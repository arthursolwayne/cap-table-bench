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-Forma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turn-Solver" sheetId="5" state="visible" r:id="rId5"/>
  </sheets>
  <definedNames>
    <definedName name="round_f_pps_usd">Assumptions!$B$120</definedName>
    <definedName name="round_post_f_fd_shares">Assumptions!$B$121</definedName>
    <definedName name="round_our_fund_shares">Assumptions!$B$140</definedName>
    <definedName name="round_f_lead_primary_shares">Assumptions!$B$139</definedName>
    <definedName name="ownership_founders_pct">'Pro-Forma'!$C$4</definedName>
    <definedName name="ownership_employees_pct">'Pro-Forma'!$C$5</definedName>
    <definedName name="ownership_options_issued_pct">'Pro-Forma'!$C$6</definedName>
    <definedName name="ownership_options_unissued_pct">'Pro-Forma'!$C$7</definedName>
    <definedName name="ownership_seed_pct">'Pro-Forma'!$C$8</definedName>
    <definedName name="ownership_series_a_pct">'Pro-Forma'!$C$9</definedName>
    <definedName name="ownership_series_b_pct">'Pro-Forma'!$C$10</definedName>
    <definedName name="ownership_series_c_pct">'Pro-Forma'!$C$11</definedName>
    <definedName name="ownership_series_d_pct">'Pro-Forma'!$C$12</definedName>
    <definedName name="ownership_series_e_pct">'Pro-Forma'!$C$13</definedName>
    <definedName name="ownership_note_a_pct">'Pro-Forma'!$C$14</definedName>
    <definedName name="ownership_note_b_pct">'Pro-Forma'!$C$15</definedName>
    <definedName name="ownership_series_f_new_pct">'Pro-Forma'!$C$16</definedName>
    <definedName name="ownership_f_lead_secondary_pct">'Pro-Forma'!$C$17</definedName>
    <definedName name="ownership_our_fund_pct">'Pro-Forma'!$C$18</definedName>
    <definedName name="antidilution_seed_new_conversion_price_usd">'Pro-Forma'!$C$24</definedName>
    <definedName name="antidilution_seed_new_ratio">'Pro-Forma'!$D$24</definedName>
    <definedName name="antidilution_series_a_new_conversion_price_usd">'Pro-Forma'!$C$25</definedName>
    <definedName name="antidilution_series_a_new_ratio">'Pro-Forma'!$D$25</definedName>
    <definedName name="antidilution_series_b_new_conversion_price_usd">'Pro-Forma'!$C$26</definedName>
    <definedName name="antidilution_series_b_new_ratio">'Pro-Forma'!$D$26</definedName>
    <definedName name="antidilution_series_c_new_conversion_price_usd">'Pro-Forma'!$C$27</definedName>
    <definedName name="antidilution_series_c_new_ratio">'Pro-Forma'!$D$27</definedName>
    <definedName name="antidilution_series_d_new_conversion_price_usd">'Pro-Forma'!$C$28</definedName>
    <definedName name="antidilution_series_d_new_ratio">'Pro-Forma'!$D$28</definedName>
    <definedName name="antidilution_series_e_new_conversion_price_usd">'Pro-Forma'!$C$29</definedName>
    <definedName name="antidilution_series_e_new_ratio">'Pro-Forma'!$D$29</definedName>
    <definedName name="notes_note_a_cap_implied_pps_usd">'Pro-Forma'!$B$33</definedName>
    <definedName name="notes_note_a_discount_implied_pps_usd">'Pro-Forma'!$C$33</definedName>
    <definedName name="notes_note_a_conversion_pps_usd">'Pro-Forma'!$D$33</definedName>
    <definedName name="notes_note_a_conversion_branch">'Pro-Forma'!$E$33</definedName>
    <definedName name="notes_note_a_shares_issued">'Pro-Forma'!$F$33</definedName>
    <definedName name="notes_note_b_cap_implied_pps_usd">'Pro-Forma'!$B$34</definedName>
    <definedName name="notes_note_b_discount_implied_pps_usd">'Pro-Forma'!$C$34</definedName>
    <definedName name="notes_note_b_conversion_pps_usd">'Pro-Forma'!$D$34</definedName>
    <definedName name="notes_note_b_conversion_branch">'Pro-Forma'!$E$34</definedName>
    <definedName name="notes_note_b_shares_issued">'Pro-Forma'!$F$34</definedName>
    <definedName name="tender_shares_transferred">'Pro-Forma'!$B$37</definedName>
    <definedName name="tender_usd_to_founders">'Pro-Forma'!$B$38</definedName>
    <definedName name="tender_f_lead_holding_secondary_shares">'Pro-Forma'!$B$39</definedName>
    <definedName name="waterfall_700M_series_f_election">Waterfall!$B$7</definedName>
    <definedName name="waterfall_700M_series_e_election">Waterfall!$B$8</definedName>
    <definedName name="waterfall_700M_series_d_election">Waterfall!$B$9</definedName>
    <definedName name="waterfall_700M_series_c_election">Waterfall!$B$10</definedName>
    <definedName name="waterfall_700M_series_b_election">Waterfall!$B$11</definedName>
    <definedName name="waterfall_700M_series_a_election">Waterfall!$B$12</definedName>
    <definedName name="waterfall_700M_seed_election">Waterfall!$B$13</definedName>
    <definedName name="waterfall_700M_series_f_dollars">Waterfall!$B$16</definedName>
    <definedName name="waterfall_700M_series_e_dollars">Waterfall!$B$17</definedName>
    <definedName name="waterfall_700M_series_d_dollars">Waterfall!$B$18</definedName>
    <definedName name="waterfall_700M_series_c_dollars">Waterfall!$B$19</definedName>
    <definedName name="waterfall_700M_series_b_dollars">Waterfall!$B$20</definedName>
    <definedName name="waterfall_700M_series_a_dollars">Waterfall!$B$21</definedName>
    <definedName name="waterfall_700M_seed_dollars">Waterfall!$B$22</definedName>
    <definedName name="waterfall_700M_notes_dollars">Waterfall!$B$23</definedName>
    <definedName name="waterfall_700M_common_dollars">Waterfall!$B$24</definedName>
    <definedName name="waterfall_700M_options_issued_dollars">Waterfall!$B$25</definedName>
    <definedName name="waterfall_700M_our_fund_dollars">Waterfall!$B$26</definedName>
    <definedName name="waterfall_700M_total_distributed">Waterfall!$B$27</definedName>
    <definedName name="waterfall_1200M_series_f_election">Waterfall!$C$7</definedName>
    <definedName name="waterfall_1200M_series_e_election">Waterfall!$C$8</definedName>
    <definedName name="waterfall_1200M_series_d_election">Waterfall!$C$9</definedName>
    <definedName name="waterfall_1200M_series_c_election">Waterfall!$C$10</definedName>
    <definedName name="waterfall_1200M_series_b_election">Waterfall!$C$11</definedName>
    <definedName name="waterfall_1200M_series_a_election">Waterfall!$C$12</definedName>
    <definedName name="waterfall_1200M_seed_election">Waterfall!$C$13</definedName>
    <definedName name="waterfall_1200M_series_f_dollars">Waterfall!$C$16</definedName>
    <definedName name="waterfall_1200M_series_e_dollars">Waterfall!$C$17</definedName>
    <definedName name="waterfall_1200M_series_d_dollars">Waterfall!$C$18</definedName>
    <definedName name="waterfall_1200M_series_c_dollars">Waterfall!$C$19</definedName>
    <definedName name="waterfall_1200M_series_b_dollars">Waterfall!$C$20</definedName>
    <definedName name="waterfall_1200M_series_a_dollars">Waterfall!$C$21</definedName>
    <definedName name="waterfall_1200M_seed_dollars">Waterfall!$C$22</definedName>
    <definedName name="waterfall_1200M_notes_dollars">Waterfall!$C$23</definedName>
    <definedName name="waterfall_1200M_common_dollars">Waterfall!$C$24</definedName>
    <definedName name="waterfall_1200M_options_issued_dollars">Waterfall!$C$25</definedName>
    <definedName name="waterfall_1200M_our_fund_dollars">Waterfall!$C$26</definedName>
    <definedName name="waterfall_1200M_total_distributed">Waterfall!$C$27</definedName>
    <definedName name="waterfall_2000M_series_f_election">Waterfall!$D$7</definedName>
    <definedName name="waterfall_2000M_series_e_election">Waterfall!$D$8</definedName>
    <definedName name="waterfall_2000M_series_d_election">Waterfall!$D$9</definedName>
    <definedName name="waterfall_2000M_series_c_election">Waterfall!$D$10</definedName>
    <definedName name="waterfall_2000M_series_b_election">Waterfall!$D$11</definedName>
    <definedName name="waterfall_2000M_series_a_election">Waterfall!$D$12</definedName>
    <definedName name="waterfall_2000M_seed_election">Waterfall!$D$13</definedName>
    <definedName name="waterfall_2000M_series_f_dollars">Waterfall!$D$16</definedName>
    <definedName name="waterfall_2000M_series_e_dollars">Waterfall!$D$17</definedName>
    <definedName name="waterfall_2000M_series_d_dollars">Waterfall!$D$18</definedName>
    <definedName name="waterfall_2000M_series_c_dollars">Waterfall!$D$19</definedName>
    <definedName name="waterfall_2000M_series_b_dollars">Waterfall!$D$20</definedName>
    <definedName name="waterfall_2000M_series_a_dollars">Waterfall!$D$21</definedName>
    <definedName name="waterfall_2000M_seed_dollars">Waterfall!$D$22</definedName>
    <definedName name="waterfall_2000M_notes_dollars">Waterfall!$D$23</definedName>
    <definedName name="waterfall_2000M_common_dollars">Waterfall!$D$24</definedName>
    <definedName name="waterfall_2000M_options_issued_dollars">Waterfall!$D$25</definedName>
    <definedName name="waterfall_2000M_our_fund_dollars">Waterfall!$D$26</definedName>
    <definedName name="waterfall_2000M_total_distributed">Waterfall!$D$27</definedName>
    <definedName name="waterfall_4000M_series_f_election">Waterfall!$E$7</definedName>
    <definedName name="waterfall_4000M_series_e_election">Waterfall!$E$8</definedName>
    <definedName name="waterfall_4000M_series_d_election">Waterfall!$E$9</definedName>
    <definedName name="waterfall_4000M_series_c_election">Waterfall!$E$10</definedName>
    <definedName name="waterfall_4000M_series_b_election">Waterfall!$E$11</definedName>
    <definedName name="waterfall_4000M_series_a_election">Waterfall!$E$12</definedName>
    <definedName name="waterfall_4000M_seed_election">Waterfall!$E$13</definedName>
    <definedName name="waterfall_4000M_series_f_dollars">Waterfall!$E$16</definedName>
    <definedName name="waterfall_4000M_series_e_dollars">Waterfall!$E$17</definedName>
    <definedName name="waterfall_4000M_series_d_dollars">Waterfall!$E$18</definedName>
    <definedName name="waterfall_4000M_series_c_dollars">Waterfall!$E$19</definedName>
    <definedName name="waterfall_4000M_series_b_dollars">Waterfall!$E$20</definedName>
    <definedName name="waterfall_4000M_series_a_dollars">Waterfall!$E$21</definedName>
    <definedName name="waterfall_4000M_seed_dollars">Waterfall!$E$22</definedName>
    <definedName name="waterfall_4000M_notes_dollars">Waterfall!$E$23</definedName>
    <definedName name="waterfall_4000M_common_dollars">Waterfall!$E$24</definedName>
    <definedName name="waterfall_4000M_options_issued_dollars">Waterfall!$E$25</definedName>
    <definedName name="waterfall_4000M_our_fund_dollars">Waterfall!$E$26</definedName>
    <definedName name="waterfall_4000M_total_distributed">Waterfall!$E$27</definedName>
    <definedName name="waterfall_8000M_series_f_election">Waterfall!$F$7</definedName>
    <definedName name="waterfall_8000M_series_e_election">Waterfall!$F$8</definedName>
    <definedName name="waterfall_8000M_series_d_election">Waterfall!$F$9</definedName>
    <definedName name="waterfall_8000M_series_c_election">Waterfall!$F$10</definedName>
    <definedName name="waterfall_8000M_series_b_election">Waterfall!$F$11</definedName>
    <definedName name="waterfall_8000M_series_a_election">Waterfall!$F$12</definedName>
    <definedName name="waterfall_8000M_seed_election">Waterfall!$F$13</definedName>
    <definedName name="waterfall_8000M_series_f_dollars">Waterfall!$F$16</definedName>
    <definedName name="waterfall_8000M_series_e_dollars">Waterfall!$F$17</definedName>
    <definedName name="waterfall_8000M_series_d_dollars">Waterfall!$F$18</definedName>
    <definedName name="waterfall_8000M_series_c_dollars">Waterfall!$F$19</definedName>
    <definedName name="waterfall_8000M_series_b_dollars">Waterfall!$F$20</definedName>
    <definedName name="waterfall_8000M_series_a_dollars">Waterfall!$F$21</definedName>
    <definedName name="waterfall_8000M_seed_dollars">Waterfall!$F$22</definedName>
    <definedName name="waterfall_8000M_notes_dollars">Waterfall!$F$23</definedName>
    <definedName name="waterfall_8000M_common_dollars">Waterfall!$F$24</definedName>
    <definedName name="waterfall_8000M_options_issued_dollars">Waterfall!$F$25</definedName>
    <definedName name="waterfall_8000M_our_fund_dollars">Waterfall!$F$26</definedName>
    <definedName name="waterfall_8000M_total_distributed">Waterfall!$F$27</definedName>
    <definedName name="sensitivity_esop_11_pre_1200M_our_pct">Sensitivity!$D$4</definedName>
    <definedName name="sensitivity_esop_11_pre_1200M_dollars_at_2000M_exit">Sensitivity!$E$4</definedName>
    <definedName name="sensitivity_esop_11_pre_1400M_our_pct">Sensitivity!$D$5</definedName>
    <definedName name="sensitivity_esop_11_pre_1400M_dollars_at_2000M_exit">Sensitivity!$E$5</definedName>
    <definedName name="sensitivity_esop_11_pre_1800M_our_pct">Sensitivity!$D$6</definedName>
    <definedName name="sensitivity_esop_11_pre_1800M_dollars_at_2000M_exit">Sensitivity!$E$6</definedName>
    <definedName name="sensitivity_esop_13_pre_1200M_our_pct">Sensitivity!$D$7</definedName>
    <definedName name="sensitivity_esop_13_pre_1200M_dollars_at_2000M_exit">Sensitivity!$E$7</definedName>
    <definedName name="sensitivity_esop_13_pre_1400M_our_pct">Sensitivity!$D$8</definedName>
    <definedName name="sensitivity_esop_13_pre_1400M_dollars_at_2000M_exit">Sensitivity!$E$8</definedName>
    <definedName name="sensitivity_esop_13_pre_1800M_our_pct">Sensitivity!$D$9</definedName>
    <definedName name="sensitivity_esop_13_pre_1800M_dollars_at_2000M_exit">Sensitivity!$E$9</definedName>
    <definedName name="sensitivity_esop_15_pre_1200M_our_pct">Sensitivity!$D$10</definedName>
    <definedName name="sensitivity_esop_15_pre_1200M_dollars_at_2000M_exit">Sensitivity!$E$10</definedName>
    <definedName name="sensitivity_esop_15_pre_1400M_our_pct">Sensitivity!$D$11</definedName>
    <definedName name="sensitivity_esop_15_pre_1400M_dollars_at_2000M_exit">Sensitivity!$E$11</definedName>
    <definedName name="sensitivity_esop_15_pre_1800M_our_pct">Sensitivity!$D$12</definedName>
    <definedName name="sensitivity_esop_15_pre_1800M_dollars_at_2000M_exit">Sensitivity!$E$12</definedName>
    <definedName name="solver_3x_exit_700M_required_pct">'Return-Solver'!$C$4</definedName>
    <definedName name="solver_4x_exit_700M_required_pct">'Return-Solver'!$D$4</definedName>
    <definedName name="solver_3x_exit_1200M_required_pct">'Return-Solver'!$C$5</definedName>
    <definedName name="solver_4x_exit_1200M_required_pct">'Return-Solver'!$D$5</definedName>
    <definedName name="solver_3x_exit_2000M_required_pct">'Return-Solver'!$C$6</definedName>
    <definedName name="solver_4x_exit_2000M_required_pct">'Return-Solver'!$D$6</definedName>
    <definedName name="solver_3x_exit_4000M_required_pct">'Return-Solver'!$C$7</definedName>
    <definedName name="solver_4x_exit_4000M_required_pct">'Return-Solver'!$D$7</definedName>
    <definedName name="solver_3x_exit_8000M_required_pct">'Return-Solver'!$C$8</definedName>
    <definedName name="solver_4x_exit_8000M_required_pct">'Return-Solver'!$D$8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Kelvin Dynamics v4 - locked inputs and derived constants</t>
        </is>
      </c>
    </row>
    <row r="3">
      <c r="A3" t="inlineStr">
        <is>
          <t>Pre-F (post-E) state, locked from v3 truth.json</t>
        </is>
      </c>
    </row>
    <row r="4">
      <c r="A4" t="inlineStr">
        <is>
          <t>F1 founder shares</t>
        </is>
      </c>
      <c r="B4" t="n">
        <v>4000000</v>
      </c>
    </row>
    <row r="5">
      <c r="A5" t="inlineStr">
        <is>
          <t>F2 founder shares</t>
        </is>
      </c>
      <c r="B5" t="n">
        <v>2500000</v>
      </c>
    </row>
    <row r="6">
      <c r="A6" t="inlineStr">
        <is>
          <t>F3 founder shares</t>
        </is>
      </c>
      <c r="B6" t="n">
        <v>1500000</v>
      </c>
    </row>
    <row r="7">
      <c r="A7" t="inlineStr">
        <is>
          <t>Founders total</t>
        </is>
      </c>
      <c r="B7">
        <f>B4+B5+B6</f>
        <v/>
      </c>
    </row>
    <row r="8">
      <c r="A8" t="inlineStr">
        <is>
          <t>RSAs (E1-E10)</t>
        </is>
      </c>
      <c r="B8" t="n">
        <v>1000000</v>
      </c>
    </row>
    <row r="9">
      <c r="A9" t="inlineStr">
        <is>
          <t>Common total</t>
        </is>
      </c>
      <c r="B9">
        <f>B7+B8</f>
        <v/>
      </c>
    </row>
    <row r="11">
      <c r="A11" t="inlineStr">
        <is>
          <t>Seed shares (as-conv ratio=1)</t>
        </is>
      </c>
      <c r="B11" t="n">
        <v>5000000</v>
      </c>
    </row>
    <row r="12">
      <c r="A12" t="inlineStr">
        <is>
          <t>Series A shares</t>
        </is>
      </c>
      <c r="B12" t="n">
        <v>5000000</v>
      </c>
    </row>
    <row r="13">
      <c r="A13" t="inlineStr">
        <is>
          <t>Series B shares</t>
        </is>
      </c>
      <c r="B13" t="n">
        <v>3000000</v>
      </c>
    </row>
    <row r="14">
      <c r="A14" t="inlineStr">
        <is>
          <t>Series C shares</t>
        </is>
      </c>
      <c r="B14" t="n">
        <v>2400000</v>
      </c>
    </row>
    <row r="15">
      <c r="A15" t="inlineStr">
        <is>
          <t>Series D shares (v3-adj base)</t>
        </is>
      </c>
      <c r="B15" t="n">
        <v>1720627.398065004</v>
      </c>
    </row>
    <row r="16">
      <c r="A16" t="inlineStr">
        <is>
          <t>Series E shares (post-v3 fixed pt)</t>
        </is>
      </c>
      <c r="B16" t="n">
        <v>6102950.326650701</v>
      </c>
    </row>
    <row r="17">
      <c r="A17" t="inlineStr">
        <is>
          <t>Options issued (post-E)</t>
        </is>
      </c>
      <c r="B17" t="n">
        <v>2500000</v>
      </c>
    </row>
    <row r="18">
      <c r="A18" t="inlineStr">
        <is>
          <t>Options unissued (post-E)</t>
        </is>
      </c>
      <c r="B18" t="n">
        <v>1894124.235188505</v>
      </c>
    </row>
    <row r="19">
      <c r="A19" t="inlineStr">
        <is>
          <t>Pre-F FD total (T_E)</t>
        </is>
      </c>
      <c r="B19" t="n">
        <v>36617701.95990421</v>
      </c>
    </row>
    <row r="21">
      <c r="A21" t="inlineStr">
        <is>
          <t>Prior-round OCPs and preferences</t>
        </is>
      </c>
    </row>
    <row r="22">
      <c r="A22" t="inlineStr">
        <is>
          <t>Seed OCP</t>
        </is>
      </c>
      <c r="B22" t="n">
        <v>1</v>
      </c>
    </row>
    <row r="23">
      <c r="A23" t="inlineStr">
        <is>
          <t>A OCP</t>
        </is>
      </c>
      <c r="B23" t="n">
        <v>3</v>
      </c>
    </row>
    <row r="24">
      <c r="A24" t="inlineStr">
        <is>
          <t>B OCP</t>
        </is>
      </c>
      <c r="B24" t="n">
        <v>10</v>
      </c>
    </row>
    <row r="25">
      <c r="A25" t="inlineStr">
        <is>
          <t>C OCP</t>
        </is>
      </c>
      <c r="B25" t="n">
        <v>25</v>
      </c>
    </row>
    <row r="26">
      <c r="A26" t="inlineStr">
        <is>
          <t>D OCP (v4: post-E NCP_D)</t>
        </is>
      </c>
      <c r="B26" t="n">
        <v>58.11834689628838</v>
      </c>
    </row>
    <row r="27">
      <c r="A27" t="inlineStr">
        <is>
          <t>E OCP (= E PPS)</t>
        </is>
      </c>
      <c r="B27" t="n">
        <v>49.15655280527901</v>
      </c>
    </row>
    <row r="28">
      <c r="A28" t="inlineStr">
        <is>
          <t>Seed preference $</t>
        </is>
      </c>
      <c r="B28" t="n">
        <v>5000000</v>
      </c>
    </row>
    <row r="29">
      <c r="A29" t="inlineStr">
        <is>
          <t>A preference $</t>
        </is>
      </c>
      <c r="B29" t="n">
        <v>15000000</v>
      </c>
    </row>
    <row r="30">
      <c r="A30" t="inlineStr">
        <is>
          <t>B preference $</t>
        </is>
      </c>
      <c r="B30" t="n">
        <v>30000000</v>
      </c>
    </row>
    <row r="31">
      <c r="A31" t="inlineStr">
        <is>
          <t>C preference $</t>
        </is>
      </c>
      <c r="B31" t="n">
        <v>60000000</v>
      </c>
    </row>
    <row r="32">
      <c r="A32" t="inlineStr">
        <is>
          <t>D preference $</t>
        </is>
      </c>
      <c r="B32" t="n">
        <v>100000000</v>
      </c>
    </row>
    <row r="33">
      <c r="A33" t="inlineStr">
        <is>
          <t>E preference $</t>
        </is>
      </c>
      <c r="B33" t="n">
        <v>300000000</v>
      </c>
    </row>
    <row r="35">
      <c r="A35" t="inlineStr">
        <is>
          <t>D shares (original, pre any AD)</t>
        </is>
      </c>
      <c r="B35" t="n">
        <v>1666667</v>
      </c>
    </row>
    <row r="36">
      <c r="A36" t="inlineStr">
        <is>
          <t>Compound r_D(v3) = adj/orig</t>
        </is>
      </c>
      <c r="B36">
        <f>B15/B35</f>
        <v/>
      </c>
    </row>
    <row r="37">
      <c r="A37" t="inlineStr">
        <is>
          <t>Options strike</t>
        </is>
      </c>
      <c r="B37" t="n">
        <v>0.5</v>
      </c>
    </row>
    <row r="39">
      <c r="A39" t="inlineStr">
        <is>
          <t>Series F terms</t>
        </is>
      </c>
    </row>
    <row r="40">
      <c r="A40" t="inlineStr">
        <is>
          <t>F pre-money $</t>
        </is>
      </c>
      <c r="B40" t="n">
        <v>1400000000</v>
      </c>
    </row>
    <row r="41">
      <c r="A41" t="inlineStr">
        <is>
          <t>F primary raise $</t>
        </is>
      </c>
      <c r="B41" t="n">
        <v>30000000</v>
      </c>
    </row>
    <row r="42">
      <c r="A42" t="inlineStr">
        <is>
          <t>F post-money $</t>
        </is>
      </c>
      <c r="B42">
        <f>B40+B41</f>
        <v/>
      </c>
    </row>
    <row r="43">
      <c r="A43" t="inlineStr">
        <is>
          <t>F secondary tender $</t>
        </is>
      </c>
      <c r="B43" t="n">
        <v>15000000</v>
      </c>
    </row>
    <row r="44">
      <c r="A44" t="inlineStr">
        <is>
          <t>Tender PPS multiplier</t>
        </is>
      </c>
      <c r="B44" t="n">
        <v>0.85</v>
      </c>
    </row>
    <row r="45">
      <c r="A45" t="inlineStr">
        <is>
          <t>ESOP target post-F</t>
        </is>
      </c>
      <c r="B45" t="n">
        <v>0.13</v>
      </c>
    </row>
    <row r="46">
      <c r="A46" t="inlineStr">
        <is>
          <t>F_LEAD primary $</t>
        </is>
      </c>
      <c r="B46" t="n">
        <v>20000000</v>
      </c>
    </row>
    <row r="47">
      <c r="A47" t="inlineStr">
        <is>
          <t>Our fund check $</t>
        </is>
      </c>
      <c r="B47" t="n">
        <v>10000000</v>
      </c>
    </row>
    <row r="49">
      <c r="A49" t="inlineStr">
        <is>
          <t>Convertible notes</t>
        </is>
      </c>
    </row>
    <row r="50">
      <c r="A50" t="inlineStr">
        <is>
          <t>Note A principal</t>
        </is>
      </c>
      <c r="B50" t="n">
        <v>5000000</v>
      </c>
    </row>
    <row r="51">
      <c r="A51" t="inlineStr">
        <is>
          <t>Note A cap</t>
        </is>
      </c>
      <c r="B51" t="n">
        <v>1000000000</v>
      </c>
    </row>
    <row r="52">
      <c r="A52" t="inlineStr">
        <is>
          <t>Note A discount</t>
        </is>
      </c>
      <c r="B52" t="n">
        <v>0.2</v>
      </c>
    </row>
    <row r="53">
      <c r="A53" t="inlineStr">
        <is>
          <t>Note B principal</t>
        </is>
      </c>
      <c r="B53" t="n">
        <v>3000000</v>
      </c>
    </row>
    <row r="54">
      <c r="A54" t="inlineStr">
        <is>
          <t>Note B cap</t>
        </is>
      </c>
      <c r="B54" t="n">
        <v>1600000000</v>
      </c>
    </row>
    <row r="55">
      <c r="A55" t="inlineStr">
        <is>
          <t>Note B discount</t>
        </is>
      </c>
      <c r="B55" t="n">
        <v>0.15</v>
      </c>
    </row>
    <row r="57">
      <c r="A57" t="inlineStr">
        <is>
          <t>Exit values</t>
        </is>
      </c>
    </row>
    <row r="58">
      <c r="A58" t="inlineStr">
        <is>
          <t>Exit 700M</t>
        </is>
      </c>
      <c r="B58" t="n">
        <v>700000000</v>
      </c>
    </row>
    <row r="59">
      <c r="A59" t="inlineStr">
        <is>
          <t>Exit 1200M</t>
        </is>
      </c>
      <c r="B59" t="n">
        <v>1200000000</v>
      </c>
    </row>
    <row r="60">
      <c r="A60" t="inlineStr">
        <is>
          <t>Exit 2000M</t>
        </is>
      </c>
      <c r="B60" t="n">
        <v>2000000000</v>
      </c>
    </row>
    <row r="61">
      <c r="A61" t="inlineStr">
        <is>
          <t>Exit 4000M</t>
        </is>
      </c>
      <c r="B61" t="n">
        <v>4000000000</v>
      </c>
    </row>
    <row r="62">
      <c r="A62" t="inlineStr">
        <is>
          <t>Exit 8000M</t>
        </is>
      </c>
      <c r="B62" t="n">
        <v>8000000000</v>
      </c>
    </row>
    <row r="64">
      <c r="A64" t="inlineStr">
        <is>
          <t>Broad-base A (pre-F FD) for AD</t>
        </is>
      </c>
      <c r="B64">
        <f>B19</f>
        <v/>
      </c>
    </row>
    <row r="65">
      <c r="A65" t="inlineStr">
        <is>
          <t>Pre-F option pool (= post-E pool)</t>
        </is>
      </c>
      <c r="B65">
        <f>B17+B18</f>
        <v/>
      </c>
    </row>
    <row r="66">
      <c r="A66" t="inlineStr">
        <is>
          <t>Fixed-point iteration (50 unrolled passes)</t>
        </is>
      </c>
    </row>
    <row r="67">
      <c r="A67" t="inlineStr">
        <is>
          <t>iter</t>
        </is>
      </c>
      <c r="B67" t="inlineStr">
        <is>
          <t>r_E_prev</t>
        </is>
      </c>
      <c r="C67" t="inlineStr">
        <is>
          <t>r_D_prev</t>
        </is>
      </c>
      <c r="D67" t="inlineStr">
        <is>
          <t>N_A_prev</t>
        </is>
      </c>
      <c r="E67" t="inlineStr">
        <is>
          <t>N_B_prev</t>
        </is>
      </c>
      <c r="F67" t="inlineStr">
        <is>
          <t>E_adj</t>
        </is>
      </c>
      <c r="G67" t="inlineStr">
        <is>
          <t>D_adj</t>
        </is>
      </c>
      <c r="H67" t="inlineStr">
        <is>
          <t>F_PPS</t>
        </is>
      </c>
      <c r="I67" t="inlineStr">
        <is>
          <t>T_F</t>
        </is>
      </c>
      <c r="J67" t="inlineStr">
        <is>
          <t>new_F</t>
        </is>
      </c>
      <c r="K67" t="inlineStr">
        <is>
          <t>pre_money_FD</t>
        </is>
      </c>
      <c r="L67" t="inlineStr">
        <is>
          <t>cap_impl_A</t>
        </is>
      </c>
      <c r="M67" t="inlineStr">
        <is>
          <t>disc_impl_A</t>
        </is>
      </c>
      <c r="N67" t="inlineStr">
        <is>
          <t>conv_pps_A</t>
        </is>
      </c>
      <c r="O67" t="inlineStr">
        <is>
          <t>N_A_new</t>
        </is>
      </c>
      <c r="P67" t="inlineStr">
        <is>
          <t>cap_impl_B</t>
        </is>
      </c>
      <c r="Q67" t="inlineStr">
        <is>
          <t>disc_impl_B</t>
        </is>
      </c>
      <c r="R67" t="inlineStr">
        <is>
          <t>conv_pps_B</t>
        </is>
      </c>
      <c r="S67" t="inlineStr">
        <is>
          <t>N_B_new</t>
        </is>
      </c>
      <c r="T67" t="inlineStr">
        <is>
          <t>NCP_E_new</t>
        </is>
      </c>
      <c r="U67" t="inlineStr">
        <is>
          <t>r_E_new</t>
        </is>
      </c>
      <c r="V67" t="inlineStr">
        <is>
          <t>NCP_D_new</t>
        </is>
      </c>
      <c r="W67" t="inlineStr">
        <is>
          <t>r_D_new</t>
        </is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>
        <f>$B$16*B68</f>
        <v/>
      </c>
      <c r="G68">
        <f>$B$15*C68</f>
        <v/>
      </c>
      <c r="H68">
        <f>($B$42*(1-$B$45)-$B$41)/(($B$9+$B$11+$B$12+$B$13+$B$14)+G68+F68+D68+E68)</f>
        <v/>
      </c>
      <c r="I68">
        <f>$B$42/H68</f>
        <v/>
      </c>
      <c r="J68">
        <f>$B$41/H68</f>
        <v/>
      </c>
      <c r="K68">
        <f>I68-J68</f>
        <v/>
      </c>
      <c r="L68">
        <f>$B$51/K68</f>
        <v/>
      </c>
      <c r="M68">
        <f>H68*(1-$B$52)</f>
        <v/>
      </c>
      <c r="N68">
        <f>MIN(L68,M68)</f>
        <v/>
      </c>
      <c r="O68">
        <f>$B$50/N68</f>
        <v/>
      </c>
      <c r="P68">
        <f>$B$54/K68</f>
        <v/>
      </c>
      <c r="Q68">
        <f>H68*(1-$B$55)</f>
        <v/>
      </c>
      <c r="R68">
        <f>MIN(P68,Q68)</f>
        <v/>
      </c>
      <c r="S68">
        <f>$B$53/R68</f>
        <v/>
      </c>
      <c r="T68">
        <f>$B$27*($B$64+$B$41/$B$27)/($B$64+J68)</f>
        <v/>
      </c>
      <c r="U68">
        <f>IF(H68&lt;$B$27,$B$27/T68,1)</f>
        <v/>
      </c>
      <c r="V68">
        <f>$B$26*($B$64+$B$41/$B$26)/($B$64+J68)</f>
        <v/>
      </c>
      <c r="W68">
        <f>IF(H68&lt;$B$26,$B$26/V68,1)</f>
        <v/>
      </c>
    </row>
    <row r="69">
      <c r="A69" t="n">
        <v>1</v>
      </c>
      <c r="B69">
        <f>U68</f>
        <v/>
      </c>
      <c r="C69">
        <f>W68</f>
        <v/>
      </c>
      <c r="D69">
        <f>O68</f>
        <v/>
      </c>
      <c r="E69">
        <f>S68</f>
        <v/>
      </c>
      <c r="F69">
        <f>$B$16*B69</f>
        <v/>
      </c>
      <c r="G69">
        <f>$B$15*C69</f>
        <v/>
      </c>
      <c r="H69">
        <f>($B$42*(1-$B$45)-$B$41)/(($B$9+$B$11+$B$12+$B$13+$B$14)+G69+F69+D69+E69)</f>
        <v/>
      </c>
      <c r="I69">
        <f>$B$42/H69</f>
        <v/>
      </c>
      <c r="J69">
        <f>$B$41/H69</f>
        <v/>
      </c>
      <c r="K69">
        <f>I69-J69</f>
        <v/>
      </c>
      <c r="L69">
        <f>$B$51/K69</f>
        <v/>
      </c>
      <c r="M69">
        <f>H69*(1-$B$52)</f>
        <v/>
      </c>
      <c r="N69">
        <f>MIN(L69,M69)</f>
        <v/>
      </c>
      <c r="O69">
        <f>$B$50/N69</f>
        <v/>
      </c>
      <c r="P69">
        <f>$B$54/K69</f>
        <v/>
      </c>
      <c r="Q69">
        <f>H69*(1-$B$55)</f>
        <v/>
      </c>
      <c r="R69">
        <f>MIN(P69,Q69)</f>
        <v/>
      </c>
      <c r="S69">
        <f>$B$53/R69</f>
        <v/>
      </c>
      <c r="T69">
        <f>$B$27*($B$64+$B$41/$B$27)/($B$64+J69)</f>
        <v/>
      </c>
      <c r="U69">
        <f>IF(H69&lt;$B$27,$B$27/T69,1)</f>
        <v/>
      </c>
      <c r="V69">
        <f>$B$26*($B$64+$B$41/$B$26)/($B$64+J69)</f>
        <v/>
      </c>
      <c r="W69">
        <f>IF(H69&lt;$B$26,$B$26/V69,1)</f>
        <v/>
      </c>
    </row>
    <row r="70">
      <c r="A70" t="n">
        <v>2</v>
      </c>
      <c r="B70">
        <f>U69</f>
        <v/>
      </c>
      <c r="C70">
        <f>W69</f>
        <v/>
      </c>
      <c r="D70">
        <f>O69</f>
        <v/>
      </c>
      <c r="E70">
        <f>S69</f>
        <v/>
      </c>
      <c r="F70">
        <f>$B$16*B70</f>
        <v/>
      </c>
      <c r="G70">
        <f>$B$15*C70</f>
        <v/>
      </c>
      <c r="H70">
        <f>($B$42*(1-$B$45)-$B$41)/(($B$9+$B$11+$B$12+$B$13+$B$14)+G70+F70+D70+E70)</f>
        <v/>
      </c>
      <c r="I70">
        <f>$B$42/H70</f>
        <v/>
      </c>
      <c r="J70">
        <f>$B$41/H70</f>
        <v/>
      </c>
      <c r="K70">
        <f>I70-J70</f>
        <v/>
      </c>
      <c r="L70">
        <f>$B$51/K70</f>
        <v/>
      </c>
      <c r="M70">
        <f>H70*(1-$B$52)</f>
        <v/>
      </c>
      <c r="N70">
        <f>MIN(L70,M70)</f>
        <v/>
      </c>
      <c r="O70">
        <f>$B$50/N70</f>
        <v/>
      </c>
      <c r="P70">
        <f>$B$54/K70</f>
        <v/>
      </c>
      <c r="Q70">
        <f>H70*(1-$B$55)</f>
        <v/>
      </c>
      <c r="R70">
        <f>MIN(P70,Q70)</f>
        <v/>
      </c>
      <c r="S70">
        <f>$B$53/R70</f>
        <v/>
      </c>
      <c r="T70">
        <f>$B$27*($B$64+$B$41/$B$27)/($B$64+J70)</f>
        <v/>
      </c>
      <c r="U70">
        <f>IF(H70&lt;$B$27,$B$27/T70,1)</f>
        <v/>
      </c>
      <c r="V70">
        <f>$B$26*($B$64+$B$41/$B$26)/($B$64+J70)</f>
        <v/>
      </c>
      <c r="W70">
        <f>IF(H70&lt;$B$26,$B$26/V70,1)</f>
        <v/>
      </c>
    </row>
    <row r="71">
      <c r="A71" t="n">
        <v>3</v>
      </c>
      <c r="B71">
        <f>U70</f>
        <v/>
      </c>
      <c r="C71">
        <f>W70</f>
        <v/>
      </c>
      <c r="D71">
        <f>O70</f>
        <v/>
      </c>
      <c r="E71">
        <f>S70</f>
        <v/>
      </c>
      <c r="F71">
        <f>$B$16*B71</f>
        <v/>
      </c>
      <c r="G71">
        <f>$B$15*C71</f>
        <v/>
      </c>
      <c r="H71">
        <f>($B$42*(1-$B$45)-$B$41)/(($B$9+$B$11+$B$12+$B$13+$B$14)+G71+F71+D71+E71)</f>
        <v/>
      </c>
      <c r="I71">
        <f>$B$42/H71</f>
        <v/>
      </c>
      <c r="J71">
        <f>$B$41/H71</f>
        <v/>
      </c>
      <c r="K71">
        <f>I71-J71</f>
        <v/>
      </c>
      <c r="L71">
        <f>$B$51/K71</f>
        <v/>
      </c>
      <c r="M71">
        <f>H71*(1-$B$52)</f>
        <v/>
      </c>
      <c r="N71">
        <f>MIN(L71,M71)</f>
        <v/>
      </c>
      <c r="O71">
        <f>$B$50/N71</f>
        <v/>
      </c>
      <c r="P71">
        <f>$B$54/K71</f>
        <v/>
      </c>
      <c r="Q71">
        <f>H71*(1-$B$55)</f>
        <v/>
      </c>
      <c r="R71">
        <f>MIN(P71,Q71)</f>
        <v/>
      </c>
      <c r="S71">
        <f>$B$53/R71</f>
        <v/>
      </c>
      <c r="T71">
        <f>$B$27*($B$64+$B$41/$B$27)/($B$64+J71)</f>
        <v/>
      </c>
      <c r="U71">
        <f>IF(H71&lt;$B$27,$B$27/T71,1)</f>
        <v/>
      </c>
      <c r="V71">
        <f>$B$26*($B$64+$B$41/$B$26)/($B$64+J71)</f>
        <v/>
      </c>
      <c r="W71">
        <f>IF(H71&lt;$B$26,$B$26/V71,1)</f>
        <v/>
      </c>
    </row>
    <row r="72">
      <c r="A72" t="n">
        <v>4</v>
      </c>
      <c r="B72">
        <f>U71</f>
        <v/>
      </c>
      <c r="C72">
        <f>W71</f>
        <v/>
      </c>
      <c r="D72">
        <f>O71</f>
        <v/>
      </c>
      <c r="E72">
        <f>S71</f>
        <v/>
      </c>
      <c r="F72">
        <f>$B$16*B72</f>
        <v/>
      </c>
      <c r="G72">
        <f>$B$15*C72</f>
        <v/>
      </c>
      <c r="H72">
        <f>($B$42*(1-$B$45)-$B$41)/(($B$9+$B$11+$B$12+$B$13+$B$14)+G72+F72+D72+E72)</f>
        <v/>
      </c>
      <c r="I72">
        <f>$B$42/H72</f>
        <v/>
      </c>
      <c r="J72">
        <f>$B$41/H72</f>
        <v/>
      </c>
      <c r="K72">
        <f>I72-J72</f>
        <v/>
      </c>
      <c r="L72">
        <f>$B$51/K72</f>
        <v/>
      </c>
      <c r="M72">
        <f>H72*(1-$B$52)</f>
        <v/>
      </c>
      <c r="N72">
        <f>MIN(L72,M72)</f>
        <v/>
      </c>
      <c r="O72">
        <f>$B$50/N72</f>
        <v/>
      </c>
      <c r="P72">
        <f>$B$54/K72</f>
        <v/>
      </c>
      <c r="Q72">
        <f>H72*(1-$B$55)</f>
        <v/>
      </c>
      <c r="R72">
        <f>MIN(P72,Q72)</f>
        <v/>
      </c>
      <c r="S72">
        <f>$B$53/R72</f>
        <v/>
      </c>
      <c r="T72">
        <f>$B$27*($B$64+$B$41/$B$27)/($B$64+J72)</f>
        <v/>
      </c>
      <c r="U72">
        <f>IF(H72&lt;$B$27,$B$27/T72,1)</f>
        <v/>
      </c>
      <c r="V72">
        <f>$B$26*($B$64+$B$41/$B$26)/($B$64+J72)</f>
        <v/>
      </c>
      <c r="W72">
        <f>IF(H72&lt;$B$26,$B$26/V72,1)</f>
        <v/>
      </c>
    </row>
    <row r="73">
      <c r="A73" t="n">
        <v>5</v>
      </c>
      <c r="B73">
        <f>U72</f>
        <v/>
      </c>
      <c r="C73">
        <f>W72</f>
        <v/>
      </c>
      <c r="D73">
        <f>O72</f>
        <v/>
      </c>
      <c r="E73">
        <f>S72</f>
        <v/>
      </c>
      <c r="F73">
        <f>$B$16*B73</f>
        <v/>
      </c>
      <c r="G73">
        <f>$B$15*C73</f>
        <v/>
      </c>
      <c r="H73">
        <f>($B$42*(1-$B$45)-$B$41)/(($B$9+$B$11+$B$12+$B$13+$B$14)+G73+F73+D73+E73)</f>
        <v/>
      </c>
      <c r="I73">
        <f>$B$42/H73</f>
        <v/>
      </c>
      <c r="J73">
        <f>$B$41/H73</f>
        <v/>
      </c>
      <c r="K73">
        <f>I73-J73</f>
        <v/>
      </c>
      <c r="L73">
        <f>$B$51/K73</f>
        <v/>
      </c>
      <c r="M73">
        <f>H73*(1-$B$52)</f>
        <v/>
      </c>
      <c r="N73">
        <f>MIN(L73,M73)</f>
        <v/>
      </c>
      <c r="O73">
        <f>$B$50/N73</f>
        <v/>
      </c>
      <c r="P73">
        <f>$B$54/K73</f>
        <v/>
      </c>
      <c r="Q73">
        <f>H73*(1-$B$55)</f>
        <v/>
      </c>
      <c r="R73">
        <f>MIN(P73,Q73)</f>
        <v/>
      </c>
      <c r="S73">
        <f>$B$53/R73</f>
        <v/>
      </c>
      <c r="T73">
        <f>$B$27*($B$64+$B$41/$B$27)/($B$64+J73)</f>
        <v/>
      </c>
      <c r="U73">
        <f>IF(H73&lt;$B$27,$B$27/T73,1)</f>
        <v/>
      </c>
      <c r="V73">
        <f>$B$26*($B$64+$B$41/$B$26)/($B$64+J73)</f>
        <v/>
      </c>
      <c r="W73">
        <f>IF(H73&lt;$B$26,$B$26/V73,1)</f>
        <v/>
      </c>
    </row>
    <row r="74">
      <c r="A74" t="n">
        <v>6</v>
      </c>
      <c r="B74">
        <f>U73</f>
        <v/>
      </c>
      <c r="C74">
        <f>W73</f>
        <v/>
      </c>
      <c r="D74">
        <f>O73</f>
        <v/>
      </c>
      <c r="E74">
        <f>S73</f>
        <v/>
      </c>
      <c r="F74">
        <f>$B$16*B74</f>
        <v/>
      </c>
      <c r="G74">
        <f>$B$15*C74</f>
        <v/>
      </c>
      <c r="H74">
        <f>($B$42*(1-$B$45)-$B$41)/(($B$9+$B$11+$B$12+$B$13+$B$14)+G74+F74+D74+E74)</f>
        <v/>
      </c>
      <c r="I74">
        <f>$B$42/H74</f>
        <v/>
      </c>
      <c r="J74">
        <f>$B$41/H74</f>
        <v/>
      </c>
      <c r="K74">
        <f>I74-J74</f>
        <v/>
      </c>
      <c r="L74">
        <f>$B$51/K74</f>
        <v/>
      </c>
      <c r="M74">
        <f>H74*(1-$B$52)</f>
        <v/>
      </c>
      <c r="N74">
        <f>MIN(L74,M74)</f>
        <v/>
      </c>
      <c r="O74">
        <f>$B$50/N74</f>
        <v/>
      </c>
      <c r="P74">
        <f>$B$54/K74</f>
        <v/>
      </c>
      <c r="Q74">
        <f>H74*(1-$B$55)</f>
        <v/>
      </c>
      <c r="R74">
        <f>MIN(P74,Q74)</f>
        <v/>
      </c>
      <c r="S74">
        <f>$B$53/R74</f>
        <v/>
      </c>
      <c r="T74">
        <f>$B$27*($B$64+$B$41/$B$27)/($B$64+J74)</f>
        <v/>
      </c>
      <c r="U74">
        <f>IF(H74&lt;$B$27,$B$27/T74,1)</f>
        <v/>
      </c>
      <c r="V74">
        <f>$B$26*($B$64+$B$41/$B$26)/($B$64+J74)</f>
        <v/>
      </c>
      <c r="W74">
        <f>IF(H74&lt;$B$26,$B$26/V74,1)</f>
        <v/>
      </c>
    </row>
    <row r="75">
      <c r="A75" t="n">
        <v>7</v>
      </c>
      <c r="B75">
        <f>U74</f>
        <v/>
      </c>
      <c r="C75">
        <f>W74</f>
        <v/>
      </c>
      <c r="D75">
        <f>O74</f>
        <v/>
      </c>
      <c r="E75">
        <f>S74</f>
        <v/>
      </c>
      <c r="F75">
        <f>$B$16*B75</f>
        <v/>
      </c>
      <c r="G75">
        <f>$B$15*C75</f>
        <v/>
      </c>
      <c r="H75">
        <f>($B$42*(1-$B$45)-$B$41)/(($B$9+$B$11+$B$12+$B$13+$B$14)+G75+F75+D75+E75)</f>
        <v/>
      </c>
      <c r="I75">
        <f>$B$42/H75</f>
        <v/>
      </c>
      <c r="J75">
        <f>$B$41/H75</f>
        <v/>
      </c>
      <c r="K75">
        <f>I75-J75</f>
        <v/>
      </c>
      <c r="L75">
        <f>$B$51/K75</f>
        <v/>
      </c>
      <c r="M75">
        <f>H75*(1-$B$52)</f>
        <v/>
      </c>
      <c r="N75">
        <f>MIN(L75,M75)</f>
        <v/>
      </c>
      <c r="O75">
        <f>$B$50/N75</f>
        <v/>
      </c>
      <c r="P75">
        <f>$B$54/K75</f>
        <v/>
      </c>
      <c r="Q75">
        <f>H75*(1-$B$55)</f>
        <v/>
      </c>
      <c r="R75">
        <f>MIN(P75,Q75)</f>
        <v/>
      </c>
      <c r="S75">
        <f>$B$53/R75</f>
        <v/>
      </c>
      <c r="T75">
        <f>$B$27*($B$64+$B$41/$B$27)/($B$64+J75)</f>
        <v/>
      </c>
      <c r="U75">
        <f>IF(H75&lt;$B$27,$B$27/T75,1)</f>
        <v/>
      </c>
      <c r="V75">
        <f>$B$26*($B$64+$B$41/$B$26)/($B$64+J75)</f>
        <v/>
      </c>
      <c r="W75">
        <f>IF(H75&lt;$B$26,$B$26/V75,1)</f>
        <v/>
      </c>
    </row>
    <row r="76">
      <c r="A76" t="n">
        <v>8</v>
      </c>
      <c r="B76">
        <f>U75</f>
        <v/>
      </c>
      <c r="C76">
        <f>W75</f>
        <v/>
      </c>
      <c r="D76">
        <f>O75</f>
        <v/>
      </c>
      <c r="E76">
        <f>S75</f>
        <v/>
      </c>
      <c r="F76">
        <f>$B$16*B76</f>
        <v/>
      </c>
      <c r="G76">
        <f>$B$15*C76</f>
        <v/>
      </c>
      <c r="H76">
        <f>($B$42*(1-$B$45)-$B$41)/(($B$9+$B$11+$B$12+$B$13+$B$14)+G76+F76+D76+E76)</f>
        <v/>
      </c>
      <c r="I76">
        <f>$B$42/H76</f>
        <v/>
      </c>
      <c r="J76">
        <f>$B$41/H76</f>
        <v/>
      </c>
      <c r="K76">
        <f>I76-J76</f>
        <v/>
      </c>
      <c r="L76">
        <f>$B$51/K76</f>
        <v/>
      </c>
      <c r="M76">
        <f>H76*(1-$B$52)</f>
        <v/>
      </c>
      <c r="N76">
        <f>MIN(L76,M76)</f>
        <v/>
      </c>
      <c r="O76">
        <f>$B$50/N76</f>
        <v/>
      </c>
      <c r="P76">
        <f>$B$54/K76</f>
        <v/>
      </c>
      <c r="Q76">
        <f>H76*(1-$B$55)</f>
        <v/>
      </c>
      <c r="R76">
        <f>MIN(P76,Q76)</f>
        <v/>
      </c>
      <c r="S76">
        <f>$B$53/R76</f>
        <v/>
      </c>
      <c r="T76">
        <f>$B$27*($B$64+$B$41/$B$27)/($B$64+J76)</f>
        <v/>
      </c>
      <c r="U76">
        <f>IF(H76&lt;$B$27,$B$27/T76,1)</f>
        <v/>
      </c>
      <c r="V76">
        <f>$B$26*($B$64+$B$41/$B$26)/($B$64+J76)</f>
        <v/>
      </c>
      <c r="W76">
        <f>IF(H76&lt;$B$26,$B$26/V76,1)</f>
        <v/>
      </c>
    </row>
    <row r="77">
      <c r="A77" t="n">
        <v>9</v>
      </c>
      <c r="B77">
        <f>U76</f>
        <v/>
      </c>
      <c r="C77">
        <f>W76</f>
        <v/>
      </c>
      <c r="D77">
        <f>O76</f>
        <v/>
      </c>
      <c r="E77">
        <f>S76</f>
        <v/>
      </c>
      <c r="F77">
        <f>$B$16*B77</f>
        <v/>
      </c>
      <c r="G77">
        <f>$B$15*C77</f>
        <v/>
      </c>
      <c r="H77">
        <f>($B$42*(1-$B$45)-$B$41)/(($B$9+$B$11+$B$12+$B$13+$B$14)+G77+F77+D77+E77)</f>
        <v/>
      </c>
      <c r="I77">
        <f>$B$42/H77</f>
        <v/>
      </c>
      <c r="J77">
        <f>$B$41/H77</f>
        <v/>
      </c>
      <c r="K77">
        <f>I77-J77</f>
        <v/>
      </c>
      <c r="L77">
        <f>$B$51/K77</f>
        <v/>
      </c>
      <c r="M77">
        <f>H77*(1-$B$52)</f>
        <v/>
      </c>
      <c r="N77">
        <f>MIN(L77,M77)</f>
        <v/>
      </c>
      <c r="O77">
        <f>$B$50/N77</f>
        <v/>
      </c>
      <c r="P77">
        <f>$B$54/K77</f>
        <v/>
      </c>
      <c r="Q77">
        <f>H77*(1-$B$55)</f>
        <v/>
      </c>
      <c r="R77">
        <f>MIN(P77,Q77)</f>
        <v/>
      </c>
      <c r="S77">
        <f>$B$53/R77</f>
        <v/>
      </c>
      <c r="T77">
        <f>$B$27*($B$64+$B$41/$B$27)/($B$64+J77)</f>
        <v/>
      </c>
      <c r="U77">
        <f>IF(H77&lt;$B$27,$B$27/T77,1)</f>
        <v/>
      </c>
      <c r="V77">
        <f>$B$26*($B$64+$B$41/$B$26)/($B$64+J77)</f>
        <v/>
      </c>
      <c r="W77">
        <f>IF(H77&lt;$B$26,$B$26/V77,1)</f>
        <v/>
      </c>
    </row>
    <row r="78">
      <c r="A78" t="n">
        <v>10</v>
      </c>
      <c r="B78">
        <f>U77</f>
        <v/>
      </c>
      <c r="C78">
        <f>W77</f>
        <v/>
      </c>
      <c r="D78">
        <f>O77</f>
        <v/>
      </c>
      <c r="E78">
        <f>S77</f>
        <v/>
      </c>
      <c r="F78">
        <f>$B$16*B78</f>
        <v/>
      </c>
      <c r="G78">
        <f>$B$15*C78</f>
        <v/>
      </c>
      <c r="H78">
        <f>($B$42*(1-$B$45)-$B$41)/(($B$9+$B$11+$B$12+$B$13+$B$14)+G78+F78+D78+E78)</f>
        <v/>
      </c>
      <c r="I78">
        <f>$B$42/H78</f>
        <v/>
      </c>
      <c r="J78">
        <f>$B$41/H78</f>
        <v/>
      </c>
      <c r="K78">
        <f>I78-J78</f>
        <v/>
      </c>
      <c r="L78">
        <f>$B$51/K78</f>
        <v/>
      </c>
      <c r="M78">
        <f>H78*(1-$B$52)</f>
        <v/>
      </c>
      <c r="N78">
        <f>MIN(L78,M78)</f>
        <v/>
      </c>
      <c r="O78">
        <f>$B$50/N78</f>
        <v/>
      </c>
      <c r="P78">
        <f>$B$54/K78</f>
        <v/>
      </c>
      <c r="Q78">
        <f>H78*(1-$B$55)</f>
        <v/>
      </c>
      <c r="R78">
        <f>MIN(P78,Q78)</f>
        <v/>
      </c>
      <c r="S78">
        <f>$B$53/R78</f>
        <v/>
      </c>
      <c r="T78">
        <f>$B$27*($B$64+$B$41/$B$27)/($B$64+J78)</f>
        <v/>
      </c>
      <c r="U78">
        <f>IF(H78&lt;$B$27,$B$27/T78,1)</f>
        <v/>
      </c>
      <c r="V78">
        <f>$B$26*($B$64+$B$41/$B$26)/($B$64+J78)</f>
        <v/>
      </c>
      <c r="W78">
        <f>IF(H78&lt;$B$26,$B$26/V78,1)</f>
        <v/>
      </c>
    </row>
    <row r="79">
      <c r="A79" t="n">
        <v>11</v>
      </c>
      <c r="B79">
        <f>U78</f>
        <v/>
      </c>
      <c r="C79">
        <f>W78</f>
        <v/>
      </c>
      <c r="D79">
        <f>O78</f>
        <v/>
      </c>
      <c r="E79">
        <f>S78</f>
        <v/>
      </c>
      <c r="F79">
        <f>$B$16*B79</f>
        <v/>
      </c>
      <c r="G79">
        <f>$B$15*C79</f>
        <v/>
      </c>
      <c r="H79">
        <f>($B$42*(1-$B$45)-$B$41)/(($B$9+$B$11+$B$12+$B$13+$B$14)+G79+F79+D79+E79)</f>
        <v/>
      </c>
      <c r="I79">
        <f>$B$42/H79</f>
        <v/>
      </c>
      <c r="J79">
        <f>$B$41/H79</f>
        <v/>
      </c>
      <c r="K79">
        <f>I79-J79</f>
        <v/>
      </c>
      <c r="L79">
        <f>$B$51/K79</f>
        <v/>
      </c>
      <c r="M79">
        <f>H79*(1-$B$52)</f>
        <v/>
      </c>
      <c r="N79">
        <f>MIN(L79,M79)</f>
        <v/>
      </c>
      <c r="O79">
        <f>$B$50/N79</f>
        <v/>
      </c>
      <c r="P79">
        <f>$B$54/K79</f>
        <v/>
      </c>
      <c r="Q79">
        <f>H79*(1-$B$55)</f>
        <v/>
      </c>
      <c r="R79">
        <f>MIN(P79,Q79)</f>
        <v/>
      </c>
      <c r="S79">
        <f>$B$53/R79</f>
        <v/>
      </c>
      <c r="T79">
        <f>$B$27*($B$64+$B$41/$B$27)/($B$64+J79)</f>
        <v/>
      </c>
      <c r="U79">
        <f>IF(H79&lt;$B$27,$B$27/T79,1)</f>
        <v/>
      </c>
      <c r="V79">
        <f>$B$26*($B$64+$B$41/$B$26)/($B$64+J79)</f>
        <v/>
      </c>
      <c r="W79">
        <f>IF(H79&lt;$B$26,$B$26/V79,1)</f>
        <v/>
      </c>
    </row>
    <row r="80">
      <c r="A80" t="n">
        <v>12</v>
      </c>
      <c r="B80">
        <f>U79</f>
        <v/>
      </c>
      <c r="C80">
        <f>W79</f>
        <v/>
      </c>
      <c r="D80">
        <f>O79</f>
        <v/>
      </c>
      <c r="E80">
        <f>S79</f>
        <v/>
      </c>
      <c r="F80">
        <f>$B$16*B80</f>
        <v/>
      </c>
      <c r="G80">
        <f>$B$15*C80</f>
        <v/>
      </c>
      <c r="H80">
        <f>($B$42*(1-$B$45)-$B$41)/(($B$9+$B$11+$B$12+$B$13+$B$14)+G80+F80+D80+E80)</f>
        <v/>
      </c>
      <c r="I80">
        <f>$B$42/H80</f>
        <v/>
      </c>
      <c r="J80">
        <f>$B$41/H80</f>
        <v/>
      </c>
      <c r="K80">
        <f>I80-J80</f>
        <v/>
      </c>
      <c r="L80">
        <f>$B$51/K80</f>
        <v/>
      </c>
      <c r="M80">
        <f>H80*(1-$B$52)</f>
        <v/>
      </c>
      <c r="N80">
        <f>MIN(L80,M80)</f>
        <v/>
      </c>
      <c r="O80">
        <f>$B$50/N80</f>
        <v/>
      </c>
      <c r="P80">
        <f>$B$54/K80</f>
        <v/>
      </c>
      <c r="Q80">
        <f>H80*(1-$B$55)</f>
        <v/>
      </c>
      <c r="R80">
        <f>MIN(P80,Q80)</f>
        <v/>
      </c>
      <c r="S80">
        <f>$B$53/R80</f>
        <v/>
      </c>
      <c r="T80">
        <f>$B$27*($B$64+$B$41/$B$27)/($B$64+J80)</f>
        <v/>
      </c>
      <c r="U80">
        <f>IF(H80&lt;$B$27,$B$27/T80,1)</f>
        <v/>
      </c>
      <c r="V80">
        <f>$B$26*($B$64+$B$41/$B$26)/($B$64+J80)</f>
        <v/>
      </c>
      <c r="W80">
        <f>IF(H80&lt;$B$26,$B$26/V80,1)</f>
        <v/>
      </c>
    </row>
    <row r="81">
      <c r="A81" t="n">
        <v>13</v>
      </c>
      <c r="B81">
        <f>U80</f>
        <v/>
      </c>
      <c r="C81">
        <f>W80</f>
        <v/>
      </c>
      <c r="D81">
        <f>O80</f>
        <v/>
      </c>
      <c r="E81">
        <f>S80</f>
        <v/>
      </c>
      <c r="F81">
        <f>$B$16*B81</f>
        <v/>
      </c>
      <c r="G81">
        <f>$B$15*C81</f>
        <v/>
      </c>
      <c r="H81">
        <f>($B$42*(1-$B$45)-$B$41)/(($B$9+$B$11+$B$12+$B$13+$B$14)+G81+F81+D81+E81)</f>
        <v/>
      </c>
      <c r="I81">
        <f>$B$42/H81</f>
        <v/>
      </c>
      <c r="J81">
        <f>$B$41/H81</f>
        <v/>
      </c>
      <c r="K81">
        <f>I81-J81</f>
        <v/>
      </c>
      <c r="L81">
        <f>$B$51/K81</f>
        <v/>
      </c>
      <c r="M81">
        <f>H81*(1-$B$52)</f>
        <v/>
      </c>
      <c r="N81">
        <f>MIN(L81,M81)</f>
        <v/>
      </c>
      <c r="O81">
        <f>$B$50/N81</f>
        <v/>
      </c>
      <c r="P81">
        <f>$B$54/K81</f>
        <v/>
      </c>
      <c r="Q81">
        <f>H81*(1-$B$55)</f>
        <v/>
      </c>
      <c r="R81">
        <f>MIN(P81,Q81)</f>
        <v/>
      </c>
      <c r="S81">
        <f>$B$53/R81</f>
        <v/>
      </c>
      <c r="T81">
        <f>$B$27*($B$64+$B$41/$B$27)/($B$64+J81)</f>
        <v/>
      </c>
      <c r="U81">
        <f>IF(H81&lt;$B$27,$B$27/T81,1)</f>
        <v/>
      </c>
      <c r="V81">
        <f>$B$26*($B$64+$B$41/$B$26)/($B$64+J81)</f>
        <v/>
      </c>
      <c r="W81">
        <f>IF(H81&lt;$B$26,$B$26/V81,1)</f>
        <v/>
      </c>
    </row>
    <row r="82">
      <c r="A82" t="n">
        <v>14</v>
      </c>
      <c r="B82">
        <f>U81</f>
        <v/>
      </c>
      <c r="C82">
        <f>W81</f>
        <v/>
      </c>
      <c r="D82">
        <f>O81</f>
        <v/>
      </c>
      <c r="E82">
        <f>S81</f>
        <v/>
      </c>
      <c r="F82">
        <f>$B$16*B82</f>
        <v/>
      </c>
      <c r="G82">
        <f>$B$15*C82</f>
        <v/>
      </c>
      <c r="H82">
        <f>($B$42*(1-$B$45)-$B$41)/(($B$9+$B$11+$B$12+$B$13+$B$14)+G82+F82+D82+E82)</f>
        <v/>
      </c>
      <c r="I82">
        <f>$B$42/H82</f>
        <v/>
      </c>
      <c r="J82">
        <f>$B$41/H82</f>
        <v/>
      </c>
      <c r="K82">
        <f>I82-J82</f>
        <v/>
      </c>
      <c r="L82">
        <f>$B$51/K82</f>
        <v/>
      </c>
      <c r="M82">
        <f>H82*(1-$B$52)</f>
        <v/>
      </c>
      <c r="N82">
        <f>MIN(L82,M82)</f>
        <v/>
      </c>
      <c r="O82">
        <f>$B$50/N82</f>
        <v/>
      </c>
      <c r="P82">
        <f>$B$54/K82</f>
        <v/>
      </c>
      <c r="Q82">
        <f>H82*(1-$B$55)</f>
        <v/>
      </c>
      <c r="R82">
        <f>MIN(P82,Q82)</f>
        <v/>
      </c>
      <c r="S82">
        <f>$B$53/R82</f>
        <v/>
      </c>
      <c r="T82">
        <f>$B$27*($B$64+$B$41/$B$27)/($B$64+J82)</f>
        <v/>
      </c>
      <c r="U82">
        <f>IF(H82&lt;$B$27,$B$27/T82,1)</f>
        <v/>
      </c>
      <c r="V82">
        <f>$B$26*($B$64+$B$41/$B$26)/($B$64+J82)</f>
        <v/>
      </c>
      <c r="W82">
        <f>IF(H82&lt;$B$26,$B$26/V82,1)</f>
        <v/>
      </c>
    </row>
    <row r="83">
      <c r="A83" t="n">
        <v>15</v>
      </c>
      <c r="B83">
        <f>U82</f>
        <v/>
      </c>
      <c r="C83">
        <f>W82</f>
        <v/>
      </c>
      <c r="D83">
        <f>O82</f>
        <v/>
      </c>
      <c r="E83">
        <f>S82</f>
        <v/>
      </c>
      <c r="F83">
        <f>$B$16*B83</f>
        <v/>
      </c>
      <c r="G83">
        <f>$B$15*C83</f>
        <v/>
      </c>
      <c r="H83">
        <f>($B$42*(1-$B$45)-$B$41)/(($B$9+$B$11+$B$12+$B$13+$B$14)+G83+F83+D83+E83)</f>
        <v/>
      </c>
      <c r="I83">
        <f>$B$42/H83</f>
        <v/>
      </c>
      <c r="J83">
        <f>$B$41/H83</f>
        <v/>
      </c>
      <c r="K83">
        <f>I83-J83</f>
        <v/>
      </c>
      <c r="L83">
        <f>$B$51/K83</f>
        <v/>
      </c>
      <c r="M83">
        <f>H83*(1-$B$52)</f>
        <v/>
      </c>
      <c r="N83">
        <f>MIN(L83,M83)</f>
        <v/>
      </c>
      <c r="O83">
        <f>$B$50/N83</f>
        <v/>
      </c>
      <c r="P83">
        <f>$B$54/K83</f>
        <v/>
      </c>
      <c r="Q83">
        <f>H83*(1-$B$55)</f>
        <v/>
      </c>
      <c r="R83">
        <f>MIN(P83,Q83)</f>
        <v/>
      </c>
      <c r="S83">
        <f>$B$53/R83</f>
        <v/>
      </c>
      <c r="T83">
        <f>$B$27*($B$64+$B$41/$B$27)/($B$64+J83)</f>
        <v/>
      </c>
      <c r="U83">
        <f>IF(H83&lt;$B$27,$B$27/T83,1)</f>
        <v/>
      </c>
      <c r="V83">
        <f>$B$26*($B$64+$B$41/$B$26)/($B$64+J83)</f>
        <v/>
      </c>
      <c r="W83">
        <f>IF(H83&lt;$B$26,$B$26/V83,1)</f>
        <v/>
      </c>
    </row>
    <row r="84">
      <c r="A84" t="n">
        <v>16</v>
      </c>
      <c r="B84">
        <f>U83</f>
        <v/>
      </c>
      <c r="C84">
        <f>W83</f>
        <v/>
      </c>
      <c r="D84">
        <f>O83</f>
        <v/>
      </c>
      <c r="E84">
        <f>S83</f>
        <v/>
      </c>
      <c r="F84">
        <f>$B$16*B84</f>
        <v/>
      </c>
      <c r="G84">
        <f>$B$15*C84</f>
        <v/>
      </c>
      <c r="H84">
        <f>($B$42*(1-$B$45)-$B$41)/(($B$9+$B$11+$B$12+$B$13+$B$14)+G84+F84+D84+E84)</f>
        <v/>
      </c>
      <c r="I84">
        <f>$B$42/H84</f>
        <v/>
      </c>
      <c r="J84">
        <f>$B$41/H84</f>
        <v/>
      </c>
      <c r="K84">
        <f>I84-J84</f>
        <v/>
      </c>
      <c r="L84">
        <f>$B$51/K84</f>
        <v/>
      </c>
      <c r="M84">
        <f>H84*(1-$B$52)</f>
        <v/>
      </c>
      <c r="N84">
        <f>MIN(L84,M84)</f>
        <v/>
      </c>
      <c r="O84">
        <f>$B$50/N84</f>
        <v/>
      </c>
      <c r="P84">
        <f>$B$54/K84</f>
        <v/>
      </c>
      <c r="Q84">
        <f>H84*(1-$B$55)</f>
        <v/>
      </c>
      <c r="R84">
        <f>MIN(P84,Q84)</f>
        <v/>
      </c>
      <c r="S84">
        <f>$B$53/R84</f>
        <v/>
      </c>
      <c r="T84">
        <f>$B$27*($B$64+$B$41/$B$27)/($B$64+J84)</f>
        <v/>
      </c>
      <c r="U84">
        <f>IF(H84&lt;$B$27,$B$27/T84,1)</f>
        <v/>
      </c>
      <c r="V84">
        <f>$B$26*($B$64+$B$41/$B$26)/($B$64+J84)</f>
        <v/>
      </c>
      <c r="W84">
        <f>IF(H84&lt;$B$26,$B$26/V84,1)</f>
        <v/>
      </c>
    </row>
    <row r="85">
      <c r="A85" t="n">
        <v>17</v>
      </c>
      <c r="B85">
        <f>U84</f>
        <v/>
      </c>
      <c r="C85">
        <f>W84</f>
        <v/>
      </c>
      <c r="D85">
        <f>O84</f>
        <v/>
      </c>
      <c r="E85">
        <f>S84</f>
        <v/>
      </c>
      <c r="F85">
        <f>$B$16*B85</f>
        <v/>
      </c>
      <c r="G85">
        <f>$B$15*C85</f>
        <v/>
      </c>
      <c r="H85">
        <f>($B$42*(1-$B$45)-$B$41)/(($B$9+$B$11+$B$12+$B$13+$B$14)+G85+F85+D85+E85)</f>
        <v/>
      </c>
      <c r="I85">
        <f>$B$42/H85</f>
        <v/>
      </c>
      <c r="J85">
        <f>$B$41/H85</f>
        <v/>
      </c>
      <c r="K85">
        <f>I85-J85</f>
        <v/>
      </c>
      <c r="L85">
        <f>$B$51/K85</f>
        <v/>
      </c>
      <c r="M85">
        <f>H85*(1-$B$52)</f>
        <v/>
      </c>
      <c r="N85">
        <f>MIN(L85,M85)</f>
        <v/>
      </c>
      <c r="O85">
        <f>$B$50/N85</f>
        <v/>
      </c>
      <c r="P85">
        <f>$B$54/K85</f>
        <v/>
      </c>
      <c r="Q85">
        <f>H85*(1-$B$55)</f>
        <v/>
      </c>
      <c r="R85">
        <f>MIN(P85,Q85)</f>
        <v/>
      </c>
      <c r="S85">
        <f>$B$53/R85</f>
        <v/>
      </c>
      <c r="T85">
        <f>$B$27*($B$64+$B$41/$B$27)/($B$64+J85)</f>
        <v/>
      </c>
      <c r="U85">
        <f>IF(H85&lt;$B$27,$B$27/T85,1)</f>
        <v/>
      </c>
      <c r="V85">
        <f>$B$26*($B$64+$B$41/$B$26)/($B$64+J85)</f>
        <v/>
      </c>
      <c r="W85">
        <f>IF(H85&lt;$B$26,$B$26/V85,1)</f>
        <v/>
      </c>
    </row>
    <row r="86">
      <c r="A86" t="n">
        <v>18</v>
      </c>
      <c r="B86">
        <f>U85</f>
        <v/>
      </c>
      <c r="C86">
        <f>W85</f>
        <v/>
      </c>
      <c r="D86">
        <f>O85</f>
        <v/>
      </c>
      <c r="E86">
        <f>S85</f>
        <v/>
      </c>
      <c r="F86">
        <f>$B$16*B86</f>
        <v/>
      </c>
      <c r="G86">
        <f>$B$15*C86</f>
        <v/>
      </c>
      <c r="H86">
        <f>($B$42*(1-$B$45)-$B$41)/(($B$9+$B$11+$B$12+$B$13+$B$14)+G86+F86+D86+E86)</f>
        <v/>
      </c>
      <c r="I86">
        <f>$B$42/H86</f>
        <v/>
      </c>
      <c r="J86">
        <f>$B$41/H86</f>
        <v/>
      </c>
      <c r="K86">
        <f>I86-J86</f>
        <v/>
      </c>
      <c r="L86">
        <f>$B$51/K86</f>
        <v/>
      </c>
      <c r="M86">
        <f>H86*(1-$B$52)</f>
        <v/>
      </c>
      <c r="N86">
        <f>MIN(L86,M86)</f>
        <v/>
      </c>
      <c r="O86">
        <f>$B$50/N86</f>
        <v/>
      </c>
      <c r="P86">
        <f>$B$54/K86</f>
        <v/>
      </c>
      <c r="Q86">
        <f>H86*(1-$B$55)</f>
        <v/>
      </c>
      <c r="R86">
        <f>MIN(P86,Q86)</f>
        <v/>
      </c>
      <c r="S86">
        <f>$B$53/R86</f>
        <v/>
      </c>
      <c r="T86">
        <f>$B$27*($B$64+$B$41/$B$27)/($B$64+J86)</f>
        <v/>
      </c>
      <c r="U86">
        <f>IF(H86&lt;$B$27,$B$27/T86,1)</f>
        <v/>
      </c>
      <c r="V86">
        <f>$B$26*($B$64+$B$41/$B$26)/($B$64+J86)</f>
        <v/>
      </c>
      <c r="W86">
        <f>IF(H86&lt;$B$26,$B$26/V86,1)</f>
        <v/>
      </c>
    </row>
    <row r="87">
      <c r="A87" t="n">
        <v>19</v>
      </c>
      <c r="B87">
        <f>U86</f>
        <v/>
      </c>
      <c r="C87">
        <f>W86</f>
        <v/>
      </c>
      <c r="D87">
        <f>O86</f>
        <v/>
      </c>
      <c r="E87">
        <f>S86</f>
        <v/>
      </c>
      <c r="F87">
        <f>$B$16*B87</f>
        <v/>
      </c>
      <c r="G87">
        <f>$B$15*C87</f>
        <v/>
      </c>
      <c r="H87">
        <f>($B$42*(1-$B$45)-$B$41)/(($B$9+$B$11+$B$12+$B$13+$B$14)+G87+F87+D87+E87)</f>
        <v/>
      </c>
      <c r="I87">
        <f>$B$42/H87</f>
        <v/>
      </c>
      <c r="J87">
        <f>$B$41/H87</f>
        <v/>
      </c>
      <c r="K87">
        <f>I87-J87</f>
        <v/>
      </c>
      <c r="L87">
        <f>$B$51/K87</f>
        <v/>
      </c>
      <c r="M87">
        <f>H87*(1-$B$52)</f>
        <v/>
      </c>
      <c r="N87">
        <f>MIN(L87,M87)</f>
        <v/>
      </c>
      <c r="O87">
        <f>$B$50/N87</f>
        <v/>
      </c>
      <c r="P87">
        <f>$B$54/K87</f>
        <v/>
      </c>
      <c r="Q87">
        <f>H87*(1-$B$55)</f>
        <v/>
      </c>
      <c r="R87">
        <f>MIN(P87,Q87)</f>
        <v/>
      </c>
      <c r="S87">
        <f>$B$53/R87</f>
        <v/>
      </c>
      <c r="T87">
        <f>$B$27*($B$64+$B$41/$B$27)/($B$64+J87)</f>
        <v/>
      </c>
      <c r="U87">
        <f>IF(H87&lt;$B$27,$B$27/T87,1)</f>
        <v/>
      </c>
      <c r="V87">
        <f>$B$26*($B$64+$B$41/$B$26)/($B$64+J87)</f>
        <v/>
      </c>
      <c r="W87">
        <f>IF(H87&lt;$B$26,$B$26/V87,1)</f>
        <v/>
      </c>
    </row>
    <row r="88">
      <c r="A88" t="n">
        <v>20</v>
      </c>
      <c r="B88">
        <f>U87</f>
        <v/>
      </c>
      <c r="C88">
        <f>W87</f>
        <v/>
      </c>
      <c r="D88">
        <f>O87</f>
        <v/>
      </c>
      <c r="E88">
        <f>S87</f>
        <v/>
      </c>
      <c r="F88">
        <f>$B$16*B88</f>
        <v/>
      </c>
      <c r="G88">
        <f>$B$15*C88</f>
        <v/>
      </c>
      <c r="H88">
        <f>($B$42*(1-$B$45)-$B$41)/(($B$9+$B$11+$B$12+$B$13+$B$14)+G88+F88+D88+E88)</f>
        <v/>
      </c>
      <c r="I88">
        <f>$B$42/H88</f>
        <v/>
      </c>
      <c r="J88">
        <f>$B$41/H88</f>
        <v/>
      </c>
      <c r="K88">
        <f>I88-J88</f>
        <v/>
      </c>
      <c r="L88">
        <f>$B$51/K88</f>
        <v/>
      </c>
      <c r="M88">
        <f>H88*(1-$B$52)</f>
        <v/>
      </c>
      <c r="N88">
        <f>MIN(L88,M88)</f>
        <v/>
      </c>
      <c r="O88">
        <f>$B$50/N88</f>
        <v/>
      </c>
      <c r="P88">
        <f>$B$54/K88</f>
        <v/>
      </c>
      <c r="Q88">
        <f>H88*(1-$B$55)</f>
        <v/>
      </c>
      <c r="R88">
        <f>MIN(P88,Q88)</f>
        <v/>
      </c>
      <c r="S88">
        <f>$B$53/R88</f>
        <v/>
      </c>
      <c r="T88">
        <f>$B$27*($B$64+$B$41/$B$27)/($B$64+J88)</f>
        <v/>
      </c>
      <c r="U88">
        <f>IF(H88&lt;$B$27,$B$27/T88,1)</f>
        <v/>
      </c>
      <c r="V88">
        <f>$B$26*($B$64+$B$41/$B$26)/($B$64+J88)</f>
        <v/>
      </c>
      <c r="W88">
        <f>IF(H88&lt;$B$26,$B$26/V88,1)</f>
        <v/>
      </c>
    </row>
    <row r="89">
      <c r="A89" t="n">
        <v>21</v>
      </c>
      <c r="B89">
        <f>U88</f>
        <v/>
      </c>
      <c r="C89">
        <f>W88</f>
        <v/>
      </c>
      <c r="D89">
        <f>O88</f>
        <v/>
      </c>
      <c r="E89">
        <f>S88</f>
        <v/>
      </c>
      <c r="F89">
        <f>$B$16*B89</f>
        <v/>
      </c>
      <c r="G89">
        <f>$B$15*C89</f>
        <v/>
      </c>
      <c r="H89">
        <f>($B$42*(1-$B$45)-$B$41)/(($B$9+$B$11+$B$12+$B$13+$B$14)+G89+F89+D89+E89)</f>
        <v/>
      </c>
      <c r="I89">
        <f>$B$42/H89</f>
        <v/>
      </c>
      <c r="J89">
        <f>$B$41/H89</f>
        <v/>
      </c>
      <c r="K89">
        <f>I89-J89</f>
        <v/>
      </c>
      <c r="L89">
        <f>$B$51/K89</f>
        <v/>
      </c>
      <c r="M89">
        <f>H89*(1-$B$52)</f>
        <v/>
      </c>
      <c r="N89">
        <f>MIN(L89,M89)</f>
        <v/>
      </c>
      <c r="O89">
        <f>$B$50/N89</f>
        <v/>
      </c>
      <c r="P89">
        <f>$B$54/K89</f>
        <v/>
      </c>
      <c r="Q89">
        <f>H89*(1-$B$55)</f>
        <v/>
      </c>
      <c r="R89">
        <f>MIN(P89,Q89)</f>
        <v/>
      </c>
      <c r="S89">
        <f>$B$53/R89</f>
        <v/>
      </c>
      <c r="T89">
        <f>$B$27*($B$64+$B$41/$B$27)/($B$64+J89)</f>
        <v/>
      </c>
      <c r="U89">
        <f>IF(H89&lt;$B$27,$B$27/T89,1)</f>
        <v/>
      </c>
      <c r="V89">
        <f>$B$26*($B$64+$B$41/$B$26)/($B$64+J89)</f>
        <v/>
      </c>
      <c r="W89">
        <f>IF(H89&lt;$B$26,$B$26/V89,1)</f>
        <v/>
      </c>
    </row>
    <row r="90">
      <c r="A90" t="n">
        <v>22</v>
      </c>
      <c r="B90">
        <f>U89</f>
        <v/>
      </c>
      <c r="C90">
        <f>W89</f>
        <v/>
      </c>
      <c r="D90">
        <f>O89</f>
        <v/>
      </c>
      <c r="E90">
        <f>S89</f>
        <v/>
      </c>
      <c r="F90">
        <f>$B$16*B90</f>
        <v/>
      </c>
      <c r="G90">
        <f>$B$15*C90</f>
        <v/>
      </c>
      <c r="H90">
        <f>($B$42*(1-$B$45)-$B$41)/(($B$9+$B$11+$B$12+$B$13+$B$14)+G90+F90+D90+E90)</f>
        <v/>
      </c>
      <c r="I90">
        <f>$B$42/H90</f>
        <v/>
      </c>
      <c r="J90">
        <f>$B$41/H90</f>
        <v/>
      </c>
      <c r="K90">
        <f>I90-J90</f>
        <v/>
      </c>
      <c r="L90">
        <f>$B$51/K90</f>
        <v/>
      </c>
      <c r="M90">
        <f>H90*(1-$B$52)</f>
        <v/>
      </c>
      <c r="N90">
        <f>MIN(L90,M90)</f>
        <v/>
      </c>
      <c r="O90">
        <f>$B$50/N90</f>
        <v/>
      </c>
      <c r="P90">
        <f>$B$54/K90</f>
        <v/>
      </c>
      <c r="Q90">
        <f>H90*(1-$B$55)</f>
        <v/>
      </c>
      <c r="R90">
        <f>MIN(P90,Q90)</f>
        <v/>
      </c>
      <c r="S90">
        <f>$B$53/R90</f>
        <v/>
      </c>
      <c r="T90">
        <f>$B$27*($B$64+$B$41/$B$27)/($B$64+J90)</f>
        <v/>
      </c>
      <c r="U90">
        <f>IF(H90&lt;$B$27,$B$27/T90,1)</f>
        <v/>
      </c>
      <c r="V90">
        <f>$B$26*($B$64+$B$41/$B$26)/($B$64+J90)</f>
        <v/>
      </c>
      <c r="W90">
        <f>IF(H90&lt;$B$26,$B$26/V90,1)</f>
        <v/>
      </c>
    </row>
    <row r="91">
      <c r="A91" t="n">
        <v>23</v>
      </c>
      <c r="B91">
        <f>U90</f>
        <v/>
      </c>
      <c r="C91">
        <f>W90</f>
        <v/>
      </c>
      <c r="D91">
        <f>O90</f>
        <v/>
      </c>
      <c r="E91">
        <f>S90</f>
        <v/>
      </c>
      <c r="F91">
        <f>$B$16*B91</f>
        <v/>
      </c>
      <c r="G91">
        <f>$B$15*C91</f>
        <v/>
      </c>
      <c r="H91">
        <f>($B$42*(1-$B$45)-$B$41)/(($B$9+$B$11+$B$12+$B$13+$B$14)+G91+F91+D91+E91)</f>
        <v/>
      </c>
      <c r="I91">
        <f>$B$42/H91</f>
        <v/>
      </c>
      <c r="J91">
        <f>$B$41/H91</f>
        <v/>
      </c>
      <c r="K91">
        <f>I91-J91</f>
        <v/>
      </c>
      <c r="L91">
        <f>$B$51/K91</f>
        <v/>
      </c>
      <c r="M91">
        <f>H91*(1-$B$52)</f>
        <v/>
      </c>
      <c r="N91">
        <f>MIN(L91,M91)</f>
        <v/>
      </c>
      <c r="O91">
        <f>$B$50/N91</f>
        <v/>
      </c>
      <c r="P91">
        <f>$B$54/K91</f>
        <v/>
      </c>
      <c r="Q91">
        <f>H91*(1-$B$55)</f>
        <v/>
      </c>
      <c r="R91">
        <f>MIN(P91,Q91)</f>
        <v/>
      </c>
      <c r="S91">
        <f>$B$53/R91</f>
        <v/>
      </c>
      <c r="T91">
        <f>$B$27*($B$64+$B$41/$B$27)/($B$64+J91)</f>
        <v/>
      </c>
      <c r="U91">
        <f>IF(H91&lt;$B$27,$B$27/T91,1)</f>
        <v/>
      </c>
      <c r="V91">
        <f>$B$26*($B$64+$B$41/$B$26)/($B$64+J91)</f>
        <v/>
      </c>
      <c r="W91">
        <f>IF(H91&lt;$B$26,$B$26/V91,1)</f>
        <v/>
      </c>
    </row>
    <row r="92">
      <c r="A92" t="n">
        <v>24</v>
      </c>
      <c r="B92">
        <f>U91</f>
        <v/>
      </c>
      <c r="C92">
        <f>W91</f>
        <v/>
      </c>
      <c r="D92">
        <f>O91</f>
        <v/>
      </c>
      <c r="E92">
        <f>S91</f>
        <v/>
      </c>
      <c r="F92">
        <f>$B$16*B92</f>
        <v/>
      </c>
      <c r="G92">
        <f>$B$15*C92</f>
        <v/>
      </c>
      <c r="H92">
        <f>($B$42*(1-$B$45)-$B$41)/(($B$9+$B$11+$B$12+$B$13+$B$14)+G92+F92+D92+E92)</f>
        <v/>
      </c>
      <c r="I92">
        <f>$B$42/H92</f>
        <v/>
      </c>
      <c r="J92">
        <f>$B$41/H92</f>
        <v/>
      </c>
      <c r="K92">
        <f>I92-J92</f>
        <v/>
      </c>
      <c r="L92">
        <f>$B$51/K92</f>
        <v/>
      </c>
      <c r="M92">
        <f>H92*(1-$B$52)</f>
        <v/>
      </c>
      <c r="N92">
        <f>MIN(L92,M92)</f>
        <v/>
      </c>
      <c r="O92">
        <f>$B$50/N92</f>
        <v/>
      </c>
      <c r="P92">
        <f>$B$54/K92</f>
        <v/>
      </c>
      <c r="Q92">
        <f>H92*(1-$B$55)</f>
        <v/>
      </c>
      <c r="R92">
        <f>MIN(P92,Q92)</f>
        <v/>
      </c>
      <c r="S92">
        <f>$B$53/R92</f>
        <v/>
      </c>
      <c r="T92">
        <f>$B$27*($B$64+$B$41/$B$27)/($B$64+J92)</f>
        <v/>
      </c>
      <c r="U92">
        <f>IF(H92&lt;$B$27,$B$27/T92,1)</f>
        <v/>
      </c>
      <c r="V92">
        <f>$B$26*($B$64+$B$41/$B$26)/($B$64+J92)</f>
        <v/>
      </c>
      <c r="W92">
        <f>IF(H92&lt;$B$26,$B$26/V92,1)</f>
        <v/>
      </c>
    </row>
    <row r="93">
      <c r="A93" t="n">
        <v>25</v>
      </c>
      <c r="B93">
        <f>U92</f>
        <v/>
      </c>
      <c r="C93">
        <f>W92</f>
        <v/>
      </c>
      <c r="D93">
        <f>O92</f>
        <v/>
      </c>
      <c r="E93">
        <f>S92</f>
        <v/>
      </c>
      <c r="F93">
        <f>$B$16*B93</f>
        <v/>
      </c>
      <c r="G93">
        <f>$B$15*C93</f>
        <v/>
      </c>
      <c r="H93">
        <f>($B$42*(1-$B$45)-$B$41)/(($B$9+$B$11+$B$12+$B$13+$B$14)+G93+F93+D93+E93)</f>
        <v/>
      </c>
      <c r="I93">
        <f>$B$42/H93</f>
        <v/>
      </c>
      <c r="J93">
        <f>$B$41/H93</f>
        <v/>
      </c>
      <c r="K93">
        <f>I93-J93</f>
        <v/>
      </c>
      <c r="L93">
        <f>$B$51/K93</f>
        <v/>
      </c>
      <c r="M93">
        <f>H93*(1-$B$52)</f>
        <v/>
      </c>
      <c r="N93">
        <f>MIN(L93,M93)</f>
        <v/>
      </c>
      <c r="O93">
        <f>$B$50/N93</f>
        <v/>
      </c>
      <c r="P93">
        <f>$B$54/K93</f>
        <v/>
      </c>
      <c r="Q93">
        <f>H93*(1-$B$55)</f>
        <v/>
      </c>
      <c r="R93">
        <f>MIN(P93,Q93)</f>
        <v/>
      </c>
      <c r="S93">
        <f>$B$53/R93</f>
        <v/>
      </c>
      <c r="T93">
        <f>$B$27*($B$64+$B$41/$B$27)/($B$64+J93)</f>
        <v/>
      </c>
      <c r="U93">
        <f>IF(H93&lt;$B$27,$B$27/T93,1)</f>
        <v/>
      </c>
      <c r="V93">
        <f>$B$26*($B$64+$B$41/$B$26)/($B$64+J93)</f>
        <v/>
      </c>
      <c r="W93">
        <f>IF(H93&lt;$B$26,$B$26/V93,1)</f>
        <v/>
      </c>
    </row>
    <row r="94">
      <c r="A94" t="n">
        <v>26</v>
      </c>
      <c r="B94">
        <f>U93</f>
        <v/>
      </c>
      <c r="C94">
        <f>W93</f>
        <v/>
      </c>
      <c r="D94">
        <f>O93</f>
        <v/>
      </c>
      <c r="E94">
        <f>S93</f>
        <v/>
      </c>
      <c r="F94">
        <f>$B$16*B94</f>
        <v/>
      </c>
      <c r="G94">
        <f>$B$15*C94</f>
        <v/>
      </c>
      <c r="H94">
        <f>($B$42*(1-$B$45)-$B$41)/(($B$9+$B$11+$B$12+$B$13+$B$14)+G94+F94+D94+E94)</f>
        <v/>
      </c>
      <c r="I94">
        <f>$B$42/H94</f>
        <v/>
      </c>
      <c r="J94">
        <f>$B$41/H94</f>
        <v/>
      </c>
      <c r="K94">
        <f>I94-J94</f>
        <v/>
      </c>
      <c r="L94">
        <f>$B$51/K94</f>
        <v/>
      </c>
      <c r="M94">
        <f>H94*(1-$B$52)</f>
        <v/>
      </c>
      <c r="N94">
        <f>MIN(L94,M94)</f>
        <v/>
      </c>
      <c r="O94">
        <f>$B$50/N94</f>
        <v/>
      </c>
      <c r="P94">
        <f>$B$54/K94</f>
        <v/>
      </c>
      <c r="Q94">
        <f>H94*(1-$B$55)</f>
        <v/>
      </c>
      <c r="R94">
        <f>MIN(P94,Q94)</f>
        <v/>
      </c>
      <c r="S94">
        <f>$B$53/R94</f>
        <v/>
      </c>
      <c r="T94">
        <f>$B$27*($B$64+$B$41/$B$27)/($B$64+J94)</f>
        <v/>
      </c>
      <c r="U94">
        <f>IF(H94&lt;$B$27,$B$27/T94,1)</f>
        <v/>
      </c>
      <c r="V94">
        <f>$B$26*($B$64+$B$41/$B$26)/($B$64+J94)</f>
        <v/>
      </c>
      <c r="W94">
        <f>IF(H94&lt;$B$26,$B$26/V94,1)</f>
        <v/>
      </c>
    </row>
    <row r="95">
      <c r="A95" t="n">
        <v>27</v>
      </c>
      <c r="B95">
        <f>U94</f>
        <v/>
      </c>
      <c r="C95">
        <f>W94</f>
        <v/>
      </c>
      <c r="D95">
        <f>O94</f>
        <v/>
      </c>
      <c r="E95">
        <f>S94</f>
        <v/>
      </c>
      <c r="F95">
        <f>$B$16*B95</f>
        <v/>
      </c>
      <c r="G95">
        <f>$B$15*C95</f>
        <v/>
      </c>
      <c r="H95">
        <f>($B$42*(1-$B$45)-$B$41)/(($B$9+$B$11+$B$12+$B$13+$B$14)+G95+F95+D95+E95)</f>
        <v/>
      </c>
      <c r="I95">
        <f>$B$42/H95</f>
        <v/>
      </c>
      <c r="J95">
        <f>$B$41/H95</f>
        <v/>
      </c>
      <c r="K95">
        <f>I95-J95</f>
        <v/>
      </c>
      <c r="L95">
        <f>$B$51/K95</f>
        <v/>
      </c>
      <c r="M95">
        <f>H95*(1-$B$52)</f>
        <v/>
      </c>
      <c r="N95">
        <f>MIN(L95,M95)</f>
        <v/>
      </c>
      <c r="O95">
        <f>$B$50/N95</f>
        <v/>
      </c>
      <c r="P95">
        <f>$B$54/K95</f>
        <v/>
      </c>
      <c r="Q95">
        <f>H95*(1-$B$55)</f>
        <v/>
      </c>
      <c r="R95">
        <f>MIN(P95,Q95)</f>
        <v/>
      </c>
      <c r="S95">
        <f>$B$53/R95</f>
        <v/>
      </c>
      <c r="T95">
        <f>$B$27*($B$64+$B$41/$B$27)/($B$64+J95)</f>
        <v/>
      </c>
      <c r="U95">
        <f>IF(H95&lt;$B$27,$B$27/T95,1)</f>
        <v/>
      </c>
      <c r="V95">
        <f>$B$26*($B$64+$B$41/$B$26)/($B$64+J95)</f>
        <v/>
      </c>
      <c r="W95">
        <f>IF(H95&lt;$B$26,$B$26/V95,1)</f>
        <v/>
      </c>
    </row>
    <row r="96">
      <c r="A96" t="n">
        <v>28</v>
      </c>
      <c r="B96">
        <f>U95</f>
        <v/>
      </c>
      <c r="C96">
        <f>W95</f>
        <v/>
      </c>
      <c r="D96">
        <f>O95</f>
        <v/>
      </c>
      <c r="E96">
        <f>S95</f>
        <v/>
      </c>
      <c r="F96">
        <f>$B$16*B96</f>
        <v/>
      </c>
      <c r="G96">
        <f>$B$15*C96</f>
        <v/>
      </c>
      <c r="H96">
        <f>($B$42*(1-$B$45)-$B$41)/(($B$9+$B$11+$B$12+$B$13+$B$14)+G96+F96+D96+E96)</f>
        <v/>
      </c>
      <c r="I96">
        <f>$B$42/H96</f>
        <v/>
      </c>
      <c r="J96">
        <f>$B$41/H96</f>
        <v/>
      </c>
      <c r="K96">
        <f>I96-J96</f>
        <v/>
      </c>
      <c r="L96">
        <f>$B$51/K96</f>
        <v/>
      </c>
      <c r="M96">
        <f>H96*(1-$B$52)</f>
        <v/>
      </c>
      <c r="N96">
        <f>MIN(L96,M96)</f>
        <v/>
      </c>
      <c r="O96">
        <f>$B$50/N96</f>
        <v/>
      </c>
      <c r="P96">
        <f>$B$54/K96</f>
        <v/>
      </c>
      <c r="Q96">
        <f>H96*(1-$B$55)</f>
        <v/>
      </c>
      <c r="R96">
        <f>MIN(P96,Q96)</f>
        <v/>
      </c>
      <c r="S96">
        <f>$B$53/R96</f>
        <v/>
      </c>
      <c r="T96">
        <f>$B$27*($B$64+$B$41/$B$27)/($B$64+J96)</f>
        <v/>
      </c>
      <c r="U96">
        <f>IF(H96&lt;$B$27,$B$27/T96,1)</f>
        <v/>
      </c>
      <c r="V96">
        <f>$B$26*($B$64+$B$41/$B$26)/($B$64+J96)</f>
        <v/>
      </c>
      <c r="W96">
        <f>IF(H96&lt;$B$26,$B$26/V96,1)</f>
        <v/>
      </c>
    </row>
    <row r="97">
      <c r="A97" t="n">
        <v>29</v>
      </c>
      <c r="B97">
        <f>U96</f>
        <v/>
      </c>
      <c r="C97">
        <f>W96</f>
        <v/>
      </c>
      <c r="D97">
        <f>O96</f>
        <v/>
      </c>
      <c r="E97">
        <f>S96</f>
        <v/>
      </c>
      <c r="F97">
        <f>$B$16*B97</f>
        <v/>
      </c>
      <c r="G97">
        <f>$B$15*C97</f>
        <v/>
      </c>
      <c r="H97">
        <f>($B$42*(1-$B$45)-$B$41)/(($B$9+$B$11+$B$12+$B$13+$B$14)+G97+F97+D97+E97)</f>
        <v/>
      </c>
      <c r="I97">
        <f>$B$42/H97</f>
        <v/>
      </c>
      <c r="J97">
        <f>$B$41/H97</f>
        <v/>
      </c>
      <c r="K97">
        <f>I97-J97</f>
        <v/>
      </c>
      <c r="L97">
        <f>$B$51/K97</f>
        <v/>
      </c>
      <c r="M97">
        <f>H97*(1-$B$52)</f>
        <v/>
      </c>
      <c r="N97">
        <f>MIN(L97,M97)</f>
        <v/>
      </c>
      <c r="O97">
        <f>$B$50/N97</f>
        <v/>
      </c>
      <c r="P97">
        <f>$B$54/K97</f>
        <v/>
      </c>
      <c r="Q97">
        <f>H97*(1-$B$55)</f>
        <v/>
      </c>
      <c r="R97">
        <f>MIN(P97,Q97)</f>
        <v/>
      </c>
      <c r="S97">
        <f>$B$53/R97</f>
        <v/>
      </c>
      <c r="T97">
        <f>$B$27*($B$64+$B$41/$B$27)/($B$64+J97)</f>
        <v/>
      </c>
      <c r="U97">
        <f>IF(H97&lt;$B$27,$B$27/T97,1)</f>
        <v/>
      </c>
      <c r="V97">
        <f>$B$26*($B$64+$B$41/$B$26)/($B$64+J97)</f>
        <v/>
      </c>
      <c r="W97">
        <f>IF(H97&lt;$B$26,$B$26/V97,1)</f>
        <v/>
      </c>
    </row>
    <row r="98">
      <c r="A98" t="n">
        <v>30</v>
      </c>
      <c r="B98">
        <f>U97</f>
        <v/>
      </c>
      <c r="C98">
        <f>W97</f>
        <v/>
      </c>
      <c r="D98">
        <f>O97</f>
        <v/>
      </c>
      <c r="E98">
        <f>S97</f>
        <v/>
      </c>
      <c r="F98">
        <f>$B$16*B98</f>
        <v/>
      </c>
      <c r="G98">
        <f>$B$15*C98</f>
        <v/>
      </c>
      <c r="H98">
        <f>($B$42*(1-$B$45)-$B$41)/(($B$9+$B$11+$B$12+$B$13+$B$14)+G98+F98+D98+E98)</f>
        <v/>
      </c>
      <c r="I98">
        <f>$B$42/H98</f>
        <v/>
      </c>
      <c r="J98">
        <f>$B$41/H98</f>
        <v/>
      </c>
      <c r="K98">
        <f>I98-J98</f>
        <v/>
      </c>
      <c r="L98">
        <f>$B$51/K98</f>
        <v/>
      </c>
      <c r="M98">
        <f>H98*(1-$B$52)</f>
        <v/>
      </c>
      <c r="N98">
        <f>MIN(L98,M98)</f>
        <v/>
      </c>
      <c r="O98">
        <f>$B$50/N98</f>
        <v/>
      </c>
      <c r="P98">
        <f>$B$54/K98</f>
        <v/>
      </c>
      <c r="Q98">
        <f>H98*(1-$B$55)</f>
        <v/>
      </c>
      <c r="R98">
        <f>MIN(P98,Q98)</f>
        <v/>
      </c>
      <c r="S98">
        <f>$B$53/R98</f>
        <v/>
      </c>
      <c r="T98">
        <f>$B$27*($B$64+$B$41/$B$27)/($B$64+J98)</f>
        <v/>
      </c>
      <c r="U98">
        <f>IF(H98&lt;$B$27,$B$27/T98,1)</f>
        <v/>
      </c>
      <c r="V98">
        <f>$B$26*($B$64+$B$41/$B$26)/($B$64+J98)</f>
        <v/>
      </c>
      <c r="W98">
        <f>IF(H98&lt;$B$26,$B$26/V98,1)</f>
        <v/>
      </c>
    </row>
    <row r="99">
      <c r="A99" t="n">
        <v>31</v>
      </c>
      <c r="B99">
        <f>U98</f>
        <v/>
      </c>
      <c r="C99">
        <f>W98</f>
        <v/>
      </c>
      <c r="D99">
        <f>O98</f>
        <v/>
      </c>
      <c r="E99">
        <f>S98</f>
        <v/>
      </c>
      <c r="F99">
        <f>$B$16*B99</f>
        <v/>
      </c>
      <c r="G99">
        <f>$B$15*C99</f>
        <v/>
      </c>
      <c r="H99">
        <f>($B$42*(1-$B$45)-$B$41)/(($B$9+$B$11+$B$12+$B$13+$B$14)+G99+F99+D99+E99)</f>
        <v/>
      </c>
      <c r="I99">
        <f>$B$42/H99</f>
        <v/>
      </c>
      <c r="J99">
        <f>$B$41/H99</f>
        <v/>
      </c>
      <c r="K99">
        <f>I99-J99</f>
        <v/>
      </c>
      <c r="L99">
        <f>$B$51/K99</f>
        <v/>
      </c>
      <c r="M99">
        <f>H99*(1-$B$52)</f>
        <v/>
      </c>
      <c r="N99">
        <f>MIN(L99,M99)</f>
        <v/>
      </c>
      <c r="O99">
        <f>$B$50/N99</f>
        <v/>
      </c>
      <c r="P99">
        <f>$B$54/K99</f>
        <v/>
      </c>
      <c r="Q99">
        <f>H99*(1-$B$55)</f>
        <v/>
      </c>
      <c r="R99">
        <f>MIN(P99,Q99)</f>
        <v/>
      </c>
      <c r="S99">
        <f>$B$53/R99</f>
        <v/>
      </c>
      <c r="T99">
        <f>$B$27*($B$64+$B$41/$B$27)/($B$64+J99)</f>
        <v/>
      </c>
      <c r="U99">
        <f>IF(H99&lt;$B$27,$B$27/T99,1)</f>
        <v/>
      </c>
      <c r="V99">
        <f>$B$26*($B$64+$B$41/$B$26)/($B$64+J99)</f>
        <v/>
      </c>
      <c r="W99">
        <f>IF(H99&lt;$B$26,$B$26/V99,1)</f>
        <v/>
      </c>
    </row>
    <row r="100">
      <c r="A100" t="n">
        <v>32</v>
      </c>
      <c r="B100">
        <f>U99</f>
        <v/>
      </c>
      <c r="C100">
        <f>W99</f>
        <v/>
      </c>
      <c r="D100">
        <f>O99</f>
        <v/>
      </c>
      <c r="E100">
        <f>S99</f>
        <v/>
      </c>
      <c r="F100">
        <f>$B$16*B100</f>
        <v/>
      </c>
      <c r="G100">
        <f>$B$15*C100</f>
        <v/>
      </c>
      <c r="H100">
        <f>($B$42*(1-$B$45)-$B$41)/(($B$9+$B$11+$B$12+$B$13+$B$14)+G100+F100+D100+E100)</f>
        <v/>
      </c>
      <c r="I100">
        <f>$B$42/H100</f>
        <v/>
      </c>
      <c r="J100">
        <f>$B$41/H100</f>
        <v/>
      </c>
      <c r="K100">
        <f>I100-J100</f>
        <v/>
      </c>
      <c r="L100">
        <f>$B$51/K100</f>
        <v/>
      </c>
      <c r="M100">
        <f>H100*(1-$B$52)</f>
        <v/>
      </c>
      <c r="N100">
        <f>MIN(L100,M100)</f>
        <v/>
      </c>
      <c r="O100">
        <f>$B$50/N100</f>
        <v/>
      </c>
      <c r="P100">
        <f>$B$54/K100</f>
        <v/>
      </c>
      <c r="Q100">
        <f>H100*(1-$B$55)</f>
        <v/>
      </c>
      <c r="R100">
        <f>MIN(P100,Q100)</f>
        <v/>
      </c>
      <c r="S100">
        <f>$B$53/R100</f>
        <v/>
      </c>
      <c r="T100">
        <f>$B$27*($B$64+$B$41/$B$27)/($B$64+J100)</f>
        <v/>
      </c>
      <c r="U100">
        <f>IF(H100&lt;$B$27,$B$27/T100,1)</f>
        <v/>
      </c>
      <c r="V100">
        <f>$B$26*($B$64+$B$41/$B$26)/($B$64+J100)</f>
        <v/>
      </c>
      <c r="W100">
        <f>IF(H100&lt;$B$26,$B$26/V100,1)</f>
        <v/>
      </c>
    </row>
    <row r="101">
      <c r="A101" t="n">
        <v>33</v>
      </c>
      <c r="B101">
        <f>U100</f>
        <v/>
      </c>
      <c r="C101">
        <f>W100</f>
        <v/>
      </c>
      <c r="D101">
        <f>O100</f>
        <v/>
      </c>
      <c r="E101">
        <f>S100</f>
        <v/>
      </c>
      <c r="F101">
        <f>$B$16*B101</f>
        <v/>
      </c>
      <c r="G101">
        <f>$B$15*C101</f>
        <v/>
      </c>
      <c r="H101">
        <f>($B$42*(1-$B$45)-$B$41)/(($B$9+$B$11+$B$12+$B$13+$B$14)+G101+F101+D101+E101)</f>
        <v/>
      </c>
      <c r="I101">
        <f>$B$42/H101</f>
        <v/>
      </c>
      <c r="J101">
        <f>$B$41/H101</f>
        <v/>
      </c>
      <c r="K101">
        <f>I101-J101</f>
        <v/>
      </c>
      <c r="L101">
        <f>$B$51/K101</f>
        <v/>
      </c>
      <c r="M101">
        <f>H101*(1-$B$52)</f>
        <v/>
      </c>
      <c r="N101">
        <f>MIN(L101,M101)</f>
        <v/>
      </c>
      <c r="O101">
        <f>$B$50/N101</f>
        <v/>
      </c>
      <c r="P101">
        <f>$B$54/K101</f>
        <v/>
      </c>
      <c r="Q101">
        <f>H101*(1-$B$55)</f>
        <v/>
      </c>
      <c r="R101">
        <f>MIN(P101,Q101)</f>
        <v/>
      </c>
      <c r="S101">
        <f>$B$53/R101</f>
        <v/>
      </c>
      <c r="T101">
        <f>$B$27*($B$64+$B$41/$B$27)/($B$64+J101)</f>
        <v/>
      </c>
      <c r="U101">
        <f>IF(H101&lt;$B$27,$B$27/T101,1)</f>
        <v/>
      </c>
      <c r="V101">
        <f>$B$26*($B$64+$B$41/$B$26)/($B$64+J101)</f>
        <v/>
      </c>
      <c r="W101">
        <f>IF(H101&lt;$B$26,$B$26/V101,1)</f>
        <v/>
      </c>
    </row>
    <row r="102">
      <c r="A102" t="n">
        <v>34</v>
      </c>
      <c r="B102">
        <f>U101</f>
        <v/>
      </c>
      <c r="C102">
        <f>W101</f>
        <v/>
      </c>
      <c r="D102">
        <f>O101</f>
        <v/>
      </c>
      <c r="E102">
        <f>S101</f>
        <v/>
      </c>
      <c r="F102">
        <f>$B$16*B102</f>
        <v/>
      </c>
      <c r="G102">
        <f>$B$15*C102</f>
        <v/>
      </c>
      <c r="H102">
        <f>($B$42*(1-$B$45)-$B$41)/(($B$9+$B$11+$B$12+$B$13+$B$14)+G102+F102+D102+E102)</f>
        <v/>
      </c>
      <c r="I102">
        <f>$B$42/H102</f>
        <v/>
      </c>
      <c r="J102">
        <f>$B$41/H102</f>
        <v/>
      </c>
      <c r="K102">
        <f>I102-J102</f>
        <v/>
      </c>
      <c r="L102">
        <f>$B$51/K102</f>
        <v/>
      </c>
      <c r="M102">
        <f>H102*(1-$B$52)</f>
        <v/>
      </c>
      <c r="N102">
        <f>MIN(L102,M102)</f>
        <v/>
      </c>
      <c r="O102">
        <f>$B$50/N102</f>
        <v/>
      </c>
      <c r="P102">
        <f>$B$54/K102</f>
        <v/>
      </c>
      <c r="Q102">
        <f>H102*(1-$B$55)</f>
        <v/>
      </c>
      <c r="R102">
        <f>MIN(P102,Q102)</f>
        <v/>
      </c>
      <c r="S102">
        <f>$B$53/R102</f>
        <v/>
      </c>
      <c r="T102">
        <f>$B$27*($B$64+$B$41/$B$27)/($B$64+J102)</f>
        <v/>
      </c>
      <c r="U102">
        <f>IF(H102&lt;$B$27,$B$27/T102,1)</f>
        <v/>
      </c>
      <c r="V102">
        <f>$B$26*($B$64+$B$41/$B$26)/($B$64+J102)</f>
        <v/>
      </c>
      <c r="W102">
        <f>IF(H102&lt;$B$26,$B$26/V102,1)</f>
        <v/>
      </c>
    </row>
    <row r="103">
      <c r="A103" t="n">
        <v>35</v>
      </c>
      <c r="B103">
        <f>U102</f>
        <v/>
      </c>
      <c r="C103">
        <f>W102</f>
        <v/>
      </c>
      <c r="D103">
        <f>O102</f>
        <v/>
      </c>
      <c r="E103">
        <f>S102</f>
        <v/>
      </c>
      <c r="F103">
        <f>$B$16*B103</f>
        <v/>
      </c>
      <c r="G103">
        <f>$B$15*C103</f>
        <v/>
      </c>
      <c r="H103">
        <f>($B$42*(1-$B$45)-$B$41)/(($B$9+$B$11+$B$12+$B$13+$B$14)+G103+F103+D103+E103)</f>
        <v/>
      </c>
      <c r="I103">
        <f>$B$42/H103</f>
        <v/>
      </c>
      <c r="J103">
        <f>$B$41/H103</f>
        <v/>
      </c>
      <c r="K103">
        <f>I103-J103</f>
        <v/>
      </c>
      <c r="L103">
        <f>$B$51/K103</f>
        <v/>
      </c>
      <c r="M103">
        <f>H103*(1-$B$52)</f>
        <v/>
      </c>
      <c r="N103">
        <f>MIN(L103,M103)</f>
        <v/>
      </c>
      <c r="O103">
        <f>$B$50/N103</f>
        <v/>
      </c>
      <c r="P103">
        <f>$B$54/K103</f>
        <v/>
      </c>
      <c r="Q103">
        <f>H103*(1-$B$55)</f>
        <v/>
      </c>
      <c r="R103">
        <f>MIN(P103,Q103)</f>
        <v/>
      </c>
      <c r="S103">
        <f>$B$53/R103</f>
        <v/>
      </c>
      <c r="T103">
        <f>$B$27*($B$64+$B$41/$B$27)/($B$64+J103)</f>
        <v/>
      </c>
      <c r="U103">
        <f>IF(H103&lt;$B$27,$B$27/T103,1)</f>
        <v/>
      </c>
      <c r="V103">
        <f>$B$26*($B$64+$B$41/$B$26)/($B$64+J103)</f>
        <v/>
      </c>
      <c r="W103">
        <f>IF(H103&lt;$B$26,$B$26/V103,1)</f>
        <v/>
      </c>
    </row>
    <row r="104">
      <c r="A104" t="n">
        <v>36</v>
      </c>
      <c r="B104">
        <f>U103</f>
        <v/>
      </c>
      <c r="C104">
        <f>W103</f>
        <v/>
      </c>
      <c r="D104">
        <f>O103</f>
        <v/>
      </c>
      <c r="E104">
        <f>S103</f>
        <v/>
      </c>
      <c r="F104">
        <f>$B$16*B104</f>
        <v/>
      </c>
      <c r="G104">
        <f>$B$15*C104</f>
        <v/>
      </c>
      <c r="H104">
        <f>($B$42*(1-$B$45)-$B$41)/(($B$9+$B$11+$B$12+$B$13+$B$14)+G104+F104+D104+E104)</f>
        <v/>
      </c>
      <c r="I104">
        <f>$B$42/H104</f>
        <v/>
      </c>
      <c r="J104">
        <f>$B$41/H104</f>
        <v/>
      </c>
      <c r="K104">
        <f>I104-J104</f>
        <v/>
      </c>
      <c r="L104">
        <f>$B$51/K104</f>
        <v/>
      </c>
      <c r="M104">
        <f>H104*(1-$B$52)</f>
        <v/>
      </c>
      <c r="N104">
        <f>MIN(L104,M104)</f>
        <v/>
      </c>
      <c r="O104">
        <f>$B$50/N104</f>
        <v/>
      </c>
      <c r="P104">
        <f>$B$54/K104</f>
        <v/>
      </c>
      <c r="Q104">
        <f>H104*(1-$B$55)</f>
        <v/>
      </c>
      <c r="R104">
        <f>MIN(P104,Q104)</f>
        <v/>
      </c>
      <c r="S104">
        <f>$B$53/R104</f>
        <v/>
      </c>
      <c r="T104">
        <f>$B$27*($B$64+$B$41/$B$27)/($B$64+J104)</f>
        <v/>
      </c>
      <c r="U104">
        <f>IF(H104&lt;$B$27,$B$27/T104,1)</f>
        <v/>
      </c>
      <c r="V104">
        <f>$B$26*($B$64+$B$41/$B$26)/($B$64+J104)</f>
        <v/>
      </c>
      <c r="W104">
        <f>IF(H104&lt;$B$26,$B$26/V104,1)</f>
        <v/>
      </c>
    </row>
    <row r="105">
      <c r="A105" t="n">
        <v>37</v>
      </c>
      <c r="B105">
        <f>U104</f>
        <v/>
      </c>
      <c r="C105">
        <f>W104</f>
        <v/>
      </c>
      <c r="D105">
        <f>O104</f>
        <v/>
      </c>
      <c r="E105">
        <f>S104</f>
        <v/>
      </c>
      <c r="F105">
        <f>$B$16*B105</f>
        <v/>
      </c>
      <c r="G105">
        <f>$B$15*C105</f>
        <v/>
      </c>
      <c r="H105">
        <f>($B$42*(1-$B$45)-$B$41)/(($B$9+$B$11+$B$12+$B$13+$B$14)+G105+F105+D105+E105)</f>
        <v/>
      </c>
      <c r="I105">
        <f>$B$42/H105</f>
        <v/>
      </c>
      <c r="J105">
        <f>$B$41/H105</f>
        <v/>
      </c>
      <c r="K105">
        <f>I105-J105</f>
        <v/>
      </c>
      <c r="L105">
        <f>$B$51/K105</f>
        <v/>
      </c>
      <c r="M105">
        <f>H105*(1-$B$52)</f>
        <v/>
      </c>
      <c r="N105">
        <f>MIN(L105,M105)</f>
        <v/>
      </c>
      <c r="O105">
        <f>$B$50/N105</f>
        <v/>
      </c>
      <c r="P105">
        <f>$B$54/K105</f>
        <v/>
      </c>
      <c r="Q105">
        <f>H105*(1-$B$55)</f>
        <v/>
      </c>
      <c r="R105">
        <f>MIN(P105,Q105)</f>
        <v/>
      </c>
      <c r="S105">
        <f>$B$53/R105</f>
        <v/>
      </c>
      <c r="T105">
        <f>$B$27*($B$64+$B$41/$B$27)/($B$64+J105)</f>
        <v/>
      </c>
      <c r="U105">
        <f>IF(H105&lt;$B$27,$B$27/T105,1)</f>
        <v/>
      </c>
      <c r="V105">
        <f>$B$26*($B$64+$B$41/$B$26)/($B$64+J105)</f>
        <v/>
      </c>
      <c r="W105">
        <f>IF(H105&lt;$B$26,$B$26/V105,1)</f>
        <v/>
      </c>
    </row>
    <row r="106">
      <c r="A106" t="n">
        <v>38</v>
      </c>
      <c r="B106">
        <f>U105</f>
        <v/>
      </c>
      <c r="C106">
        <f>W105</f>
        <v/>
      </c>
      <c r="D106">
        <f>O105</f>
        <v/>
      </c>
      <c r="E106">
        <f>S105</f>
        <v/>
      </c>
      <c r="F106">
        <f>$B$16*B106</f>
        <v/>
      </c>
      <c r="G106">
        <f>$B$15*C106</f>
        <v/>
      </c>
      <c r="H106">
        <f>($B$42*(1-$B$45)-$B$41)/(($B$9+$B$11+$B$12+$B$13+$B$14)+G106+F106+D106+E106)</f>
        <v/>
      </c>
      <c r="I106">
        <f>$B$42/H106</f>
        <v/>
      </c>
      <c r="J106">
        <f>$B$41/H106</f>
        <v/>
      </c>
      <c r="K106">
        <f>I106-J106</f>
        <v/>
      </c>
      <c r="L106">
        <f>$B$51/K106</f>
        <v/>
      </c>
      <c r="M106">
        <f>H106*(1-$B$52)</f>
        <v/>
      </c>
      <c r="N106">
        <f>MIN(L106,M106)</f>
        <v/>
      </c>
      <c r="O106">
        <f>$B$50/N106</f>
        <v/>
      </c>
      <c r="P106">
        <f>$B$54/K106</f>
        <v/>
      </c>
      <c r="Q106">
        <f>H106*(1-$B$55)</f>
        <v/>
      </c>
      <c r="R106">
        <f>MIN(P106,Q106)</f>
        <v/>
      </c>
      <c r="S106">
        <f>$B$53/R106</f>
        <v/>
      </c>
      <c r="T106">
        <f>$B$27*($B$64+$B$41/$B$27)/($B$64+J106)</f>
        <v/>
      </c>
      <c r="U106">
        <f>IF(H106&lt;$B$27,$B$27/T106,1)</f>
        <v/>
      </c>
      <c r="V106">
        <f>$B$26*($B$64+$B$41/$B$26)/($B$64+J106)</f>
        <v/>
      </c>
      <c r="W106">
        <f>IF(H106&lt;$B$26,$B$26/V106,1)</f>
        <v/>
      </c>
    </row>
    <row r="107">
      <c r="A107" t="n">
        <v>39</v>
      </c>
      <c r="B107">
        <f>U106</f>
        <v/>
      </c>
      <c r="C107">
        <f>W106</f>
        <v/>
      </c>
      <c r="D107">
        <f>O106</f>
        <v/>
      </c>
      <c r="E107">
        <f>S106</f>
        <v/>
      </c>
      <c r="F107">
        <f>$B$16*B107</f>
        <v/>
      </c>
      <c r="G107">
        <f>$B$15*C107</f>
        <v/>
      </c>
      <c r="H107">
        <f>($B$42*(1-$B$45)-$B$41)/(($B$9+$B$11+$B$12+$B$13+$B$14)+G107+F107+D107+E107)</f>
        <v/>
      </c>
      <c r="I107">
        <f>$B$42/H107</f>
        <v/>
      </c>
      <c r="J107">
        <f>$B$41/H107</f>
        <v/>
      </c>
      <c r="K107">
        <f>I107-J107</f>
        <v/>
      </c>
      <c r="L107">
        <f>$B$51/K107</f>
        <v/>
      </c>
      <c r="M107">
        <f>H107*(1-$B$52)</f>
        <v/>
      </c>
      <c r="N107">
        <f>MIN(L107,M107)</f>
        <v/>
      </c>
      <c r="O107">
        <f>$B$50/N107</f>
        <v/>
      </c>
      <c r="P107">
        <f>$B$54/K107</f>
        <v/>
      </c>
      <c r="Q107">
        <f>H107*(1-$B$55)</f>
        <v/>
      </c>
      <c r="R107">
        <f>MIN(P107,Q107)</f>
        <v/>
      </c>
      <c r="S107">
        <f>$B$53/R107</f>
        <v/>
      </c>
      <c r="T107">
        <f>$B$27*($B$64+$B$41/$B$27)/($B$64+J107)</f>
        <v/>
      </c>
      <c r="U107">
        <f>IF(H107&lt;$B$27,$B$27/T107,1)</f>
        <v/>
      </c>
      <c r="V107">
        <f>$B$26*($B$64+$B$41/$B$26)/($B$64+J107)</f>
        <v/>
      </c>
      <c r="W107">
        <f>IF(H107&lt;$B$26,$B$26/V107,1)</f>
        <v/>
      </c>
    </row>
    <row r="108">
      <c r="A108" t="n">
        <v>40</v>
      </c>
      <c r="B108">
        <f>U107</f>
        <v/>
      </c>
      <c r="C108">
        <f>W107</f>
        <v/>
      </c>
      <c r="D108">
        <f>O107</f>
        <v/>
      </c>
      <c r="E108">
        <f>S107</f>
        <v/>
      </c>
      <c r="F108">
        <f>$B$16*B108</f>
        <v/>
      </c>
      <c r="G108">
        <f>$B$15*C108</f>
        <v/>
      </c>
      <c r="H108">
        <f>($B$42*(1-$B$45)-$B$41)/(($B$9+$B$11+$B$12+$B$13+$B$14)+G108+F108+D108+E108)</f>
        <v/>
      </c>
      <c r="I108">
        <f>$B$42/H108</f>
        <v/>
      </c>
      <c r="J108">
        <f>$B$41/H108</f>
        <v/>
      </c>
      <c r="K108">
        <f>I108-J108</f>
        <v/>
      </c>
      <c r="L108">
        <f>$B$51/K108</f>
        <v/>
      </c>
      <c r="M108">
        <f>H108*(1-$B$52)</f>
        <v/>
      </c>
      <c r="N108">
        <f>MIN(L108,M108)</f>
        <v/>
      </c>
      <c r="O108">
        <f>$B$50/N108</f>
        <v/>
      </c>
      <c r="P108">
        <f>$B$54/K108</f>
        <v/>
      </c>
      <c r="Q108">
        <f>H108*(1-$B$55)</f>
        <v/>
      </c>
      <c r="R108">
        <f>MIN(P108,Q108)</f>
        <v/>
      </c>
      <c r="S108">
        <f>$B$53/R108</f>
        <v/>
      </c>
      <c r="T108">
        <f>$B$27*($B$64+$B$41/$B$27)/($B$64+J108)</f>
        <v/>
      </c>
      <c r="U108">
        <f>IF(H108&lt;$B$27,$B$27/T108,1)</f>
        <v/>
      </c>
      <c r="V108">
        <f>$B$26*($B$64+$B$41/$B$26)/($B$64+J108)</f>
        <v/>
      </c>
      <c r="W108">
        <f>IF(H108&lt;$B$26,$B$26/V108,1)</f>
        <v/>
      </c>
    </row>
    <row r="109">
      <c r="A109" t="n">
        <v>41</v>
      </c>
      <c r="B109">
        <f>U108</f>
        <v/>
      </c>
      <c r="C109">
        <f>W108</f>
        <v/>
      </c>
      <c r="D109">
        <f>O108</f>
        <v/>
      </c>
      <c r="E109">
        <f>S108</f>
        <v/>
      </c>
      <c r="F109">
        <f>$B$16*B109</f>
        <v/>
      </c>
      <c r="G109">
        <f>$B$15*C109</f>
        <v/>
      </c>
      <c r="H109">
        <f>($B$42*(1-$B$45)-$B$41)/(($B$9+$B$11+$B$12+$B$13+$B$14)+G109+F109+D109+E109)</f>
        <v/>
      </c>
      <c r="I109">
        <f>$B$42/H109</f>
        <v/>
      </c>
      <c r="J109">
        <f>$B$41/H109</f>
        <v/>
      </c>
      <c r="K109">
        <f>I109-J109</f>
        <v/>
      </c>
      <c r="L109">
        <f>$B$51/K109</f>
        <v/>
      </c>
      <c r="M109">
        <f>H109*(1-$B$52)</f>
        <v/>
      </c>
      <c r="N109">
        <f>MIN(L109,M109)</f>
        <v/>
      </c>
      <c r="O109">
        <f>$B$50/N109</f>
        <v/>
      </c>
      <c r="P109">
        <f>$B$54/K109</f>
        <v/>
      </c>
      <c r="Q109">
        <f>H109*(1-$B$55)</f>
        <v/>
      </c>
      <c r="R109">
        <f>MIN(P109,Q109)</f>
        <v/>
      </c>
      <c r="S109">
        <f>$B$53/R109</f>
        <v/>
      </c>
      <c r="T109">
        <f>$B$27*($B$64+$B$41/$B$27)/($B$64+J109)</f>
        <v/>
      </c>
      <c r="U109">
        <f>IF(H109&lt;$B$27,$B$27/T109,1)</f>
        <v/>
      </c>
      <c r="V109">
        <f>$B$26*($B$64+$B$41/$B$26)/($B$64+J109)</f>
        <v/>
      </c>
      <c r="W109">
        <f>IF(H109&lt;$B$26,$B$26/V109,1)</f>
        <v/>
      </c>
    </row>
    <row r="110">
      <c r="A110" t="n">
        <v>42</v>
      </c>
      <c r="B110">
        <f>U109</f>
        <v/>
      </c>
      <c r="C110">
        <f>W109</f>
        <v/>
      </c>
      <c r="D110">
        <f>O109</f>
        <v/>
      </c>
      <c r="E110">
        <f>S109</f>
        <v/>
      </c>
      <c r="F110">
        <f>$B$16*B110</f>
        <v/>
      </c>
      <c r="G110">
        <f>$B$15*C110</f>
        <v/>
      </c>
      <c r="H110">
        <f>($B$42*(1-$B$45)-$B$41)/(($B$9+$B$11+$B$12+$B$13+$B$14)+G110+F110+D110+E110)</f>
        <v/>
      </c>
      <c r="I110">
        <f>$B$42/H110</f>
        <v/>
      </c>
      <c r="J110">
        <f>$B$41/H110</f>
        <v/>
      </c>
      <c r="K110">
        <f>I110-J110</f>
        <v/>
      </c>
      <c r="L110">
        <f>$B$51/K110</f>
        <v/>
      </c>
      <c r="M110">
        <f>H110*(1-$B$52)</f>
        <v/>
      </c>
      <c r="N110">
        <f>MIN(L110,M110)</f>
        <v/>
      </c>
      <c r="O110">
        <f>$B$50/N110</f>
        <v/>
      </c>
      <c r="P110">
        <f>$B$54/K110</f>
        <v/>
      </c>
      <c r="Q110">
        <f>H110*(1-$B$55)</f>
        <v/>
      </c>
      <c r="R110">
        <f>MIN(P110,Q110)</f>
        <v/>
      </c>
      <c r="S110">
        <f>$B$53/R110</f>
        <v/>
      </c>
      <c r="T110">
        <f>$B$27*($B$64+$B$41/$B$27)/($B$64+J110)</f>
        <v/>
      </c>
      <c r="U110">
        <f>IF(H110&lt;$B$27,$B$27/T110,1)</f>
        <v/>
      </c>
      <c r="V110">
        <f>$B$26*($B$64+$B$41/$B$26)/($B$64+J110)</f>
        <v/>
      </c>
      <c r="W110">
        <f>IF(H110&lt;$B$26,$B$26/V110,1)</f>
        <v/>
      </c>
    </row>
    <row r="111">
      <c r="A111" t="n">
        <v>43</v>
      </c>
      <c r="B111">
        <f>U110</f>
        <v/>
      </c>
      <c r="C111">
        <f>W110</f>
        <v/>
      </c>
      <c r="D111">
        <f>O110</f>
        <v/>
      </c>
      <c r="E111">
        <f>S110</f>
        <v/>
      </c>
      <c r="F111">
        <f>$B$16*B111</f>
        <v/>
      </c>
      <c r="G111">
        <f>$B$15*C111</f>
        <v/>
      </c>
      <c r="H111">
        <f>($B$42*(1-$B$45)-$B$41)/(($B$9+$B$11+$B$12+$B$13+$B$14)+G111+F111+D111+E111)</f>
        <v/>
      </c>
      <c r="I111">
        <f>$B$42/H111</f>
        <v/>
      </c>
      <c r="J111">
        <f>$B$41/H111</f>
        <v/>
      </c>
      <c r="K111">
        <f>I111-J111</f>
        <v/>
      </c>
      <c r="L111">
        <f>$B$51/K111</f>
        <v/>
      </c>
      <c r="M111">
        <f>H111*(1-$B$52)</f>
        <v/>
      </c>
      <c r="N111">
        <f>MIN(L111,M111)</f>
        <v/>
      </c>
      <c r="O111">
        <f>$B$50/N111</f>
        <v/>
      </c>
      <c r="P111">
        <f>$B$54/K111</f>
        <v/>
      </c>
      <c r="Q111">
        <f>H111*(1-$B$55)</f>
        <v/>
      </c>
      <c r="R111">
        <f>MIN(P111,Q111)</f>
        <v/>
      </c>
      <c r="S111">
        <f>$B$53/R111</f>
        <v/>
      </c>
      <c r="T111">
        <f>$B$27*($B$64+$B$41/$B$27)/($B$64+J111)</f>
        <v/>
      </c>
      <c r="U111">
        <f>IF(H111&lt;$B$27,$B$27/T111,1)</f>
        <v/>
      </c>
      <c r="V111">
        <f>$B$26*($B$64+$B$41/$B$26)/($B$64+J111)</f>
        <v/>
      </c>
      <c r="W111">
        <f>IF(H111&lt;$B$26,$B$26/V111,1)</f>
        <v/>
      </c>
    </row>
    <row r="112">
      <c r="A112" t="n">
        <v>44</v>
      </c>
      <c r="B112">
        <f>U111</f>
        <v/>
      </c>
      <c r="C112">
        <f>W111</f>
        <v/>
      </c>
      <c r="D112">
        <f>O111</f>
        <v/>
      </c>
      <c r="E112">
        <f>S111</f>
        <v/>
      </c>
      <c r="F112">
        <f>$B$16*B112</f>
        <v/>
      </c>
      <c r="G112">
        <f>$B$15*C112</f>
        <v/>
      </c>
      <c r="H112">
        <f>($B$42*(1-$B$45)-$B$41)/(($B$9+$B$11+$B$12+$B$13+$B$14)+G112+F112+D112+E112)</f>
        <v/>
      </c>
      <c r="I112">
        <f>$B$42/H112</f>
        <v/>
      </c>
      <c r="J112">
        <f>$B$41/H112</f>
        <v/>
      </c>
      <c r="K112">
        <f>I112-J112</f>
        <v/>
      </c>
      <c r="L112">
        <f>$B$51/K112</f>
        <v/>
      </c>
      <c r="M112">
        <f>H112*(1-$B$52)</f>
        <v/>
      </c>
      <c r="N112">
        <f>MIN(L112,M112)</f>
        <v/>
      </c>
      <c r="O112">
        <f>$B$50/N112</f>
        <v/>
      </c>
      <c r="P112">
        <f>$B$54/K112</f>
        <v/>
      </c>
      <c r="Q112">
        <f>H112*(1-$B$55)</f>
        <v/>
      </c>
      <c r="R112">
        <f>MIN(P112,Q112)</f>
        <v/>
      </c>
      <c r="S112">
        <f>$B$53/R112</f>
        <v/>
      </c>
      <c r="T112">
        <f>$B$27*($B$64+$B$41/$B$27)/($B$64+J112)</f>
        <v/>
      </c>
      <c r="U112">
        <f>IF(H112&lt;$B$27,$B$27/T112,1)</f>
        <v/>
      </c>
      <c r="V112">
        <f>$B$26*($B$64+$B$41/$B$26)/($B$64+J112)</f>
        <v/>
      </c>
      <c r="W112">
        <f>IF(H112&lt;$B$26,$B$26/V112,1)</f>
        <v/>
      </c>
    </row>
    <row r="113">
      <c r="A113" t="n">
        <v>45</v>
      </c>
      <c r="B113">
        <f>U112</f>
        <v/>
      </c>
      <c r="C113">
        <f>W112</f>
        <v/>
      </c>
      <c r="D113">
        <f>O112</f>
        <v/>
      </c>
      <c r="E113">
        <f>S112</f>
        <v/>
      </c>
      <c r="F113">
        <f>$B$16*B113</f>
        <v/>
      </c>
      <c r="G113">
        <f>$B$15*C113</f>
        <v/>
      </c>
      <c r="H113">
        <f>($B$42*(1-$B$45)-$B$41)/(($B$9+$B$11+$B$12+$B$13+$B$14)+G113+F113+D113+E113)</f>
        <v/>
      </c>
      <c r="I113">
        <f>$B$42/H113</f>
        <v/>
      </c>
      <c r="J113">
        <f>$B$41/H113</f>
        <v/>
      </c>
      <c r="K113">
        <f>I113-J113</f>
        <v/>
      </c>
      <c r="L113">
        <f>$B$51/K113</f>
        <v/>
      </c>
      <c r="M113">
        <f>H113*(1-$B$52)</f>
        <v/>
      </c>
      <c r="N113">
        <f>MIN(L113,M113)</f>
        <v/>
      </c>
      <c r="O113">
        <f>$B$50/N113</f>
        <v/>
      </c>
      <c r="P113">
        <f>$B$54/K113</f>
        <v/>
      </c>
      <c r="Q113">
        <f>H113*(1-$B$55)</f>
        <v/>
      </c>
      <c r="R113">
        <f>MIN(P113,Q113)</f>
        <v/>
      </c>
      <c r="S113">
        <f>$B$53/R113</f>
        <v/>
      </c>
      <c r="T113">
        <f>$B$27*($B$64+$B$41/$B$27)/($B$64+J113)</f>
        <v/>
      </c>
      <c r="U113">
        <f>IF(H113&lt;$B$27,$B$27/T113,1)</f>
        <v/>
      </c>
      <c r="V113">
        <f>$B$26*($B$64+$B$41/$B$26)/($B$64+J113)</f>
        <v/>
      </c>
      <c r="W113">
        <f>IF(H113&lt;$B$26,$B$26/V113,1)</f>
        <v/>
      </c>
    </row>
    <row r="114">
      <c r="A114" t="n">
        <v>46</v>
      </c>
      <c r="B114">
        <f>U113</f>
        <v/>
      </c>
      <c r="C114">
        <f>W113</f>
        <v/>
      </c>
      <c r="D114">
        <f>O113</f>
        <v/>
      </c>
      <c r="E114">
        <f>S113</f>
        <v/>
      </c>
      <c r="F114">
        <f>$B$16*B114</f>
        <v/>
      </c>
      <c r="G114">
        <f>$B$15*C114</f>
        <v/>
      </c>
      <c r="H114">
        <f>($B$42*(1-$B$45)-$B$41)/(($B$9+$B$11+$B$12+$B$13+$B$14)+G114+F114+D114+E114)</f>
        <v/>
      </c>
      <c r="I114">
        <f>$B$42/H114</f>
        <v/>
      </c>
      <c r="J114">
        <f>$B$41/H114</f>
        <v/>
      </c>
      <c r="K114">
        <f>I114-J114</f>
        <v/>
      </c>
      <c r="L114">
        <f>$B$51/K114</f>
        <v/>
      </c>
      <c r="M114">
        <f>H114*(1-$B$52)</f>
        <v/>
      </c>
      <c r="N114">
        <f>MIN(L114,M114)</f>
        <v/>
      </c>
      <c r="O114">
        <f>$B$50/N114</f>
        <v/>
      </c>
      <c r="P114">
        <f>$B$54/K114</f>
        <v/>
      </c>
      <c r="Q114">
        <f>H114*(1-$B$55)</f>
        <v/>
      </c>
      <c r="R114">
        <f>MIN(P114,Q114)</f>
        <v/>
      </c>
      <c r="S114">
        <f>$B$53/R114</f>
        <v/>
      </c>
      <c r="T114">
        <f>$B$27*($B$64+$B$41/$B$27)/($B$64+J114)</f>
        <v/>
      </c>
      <c r="U114">
        <f>IF(H114&lt;$B$27,$B$27/T114,1)</f>
        <v/>
      </c>
      <c r="V114">
        <f>$B$26*($B$64+$B$41/$B$26)/($B$64+J114)</f>
        <v/>
      </c>
      <c r="W114">
        <f>IF(H114&lt;$B$26,$B$26/V114,1)</f>
        <v/>
      </c>
    </row>
    <row r="115">
      <c r="A115" t="n">
        <v>47</v>
      </c>
      <c r="B115">
        <f>U114</f>
        <v/>
      </c>
      <c r="C115">
        <f>W114</f>
        <v/>
      </c>
      <c r="D115">
        <f>O114</f>
        <v/>
      </c>
      <c r="E115">
        <f>S114</f>
        <v/>
      </c>
      <c r="F115">
        <f>$B$16*B115</f>
        <v/>
      </c>
      <c r="G115">
        <f>$B$15*C115</f>
        <v/>
      </c>
      <c r="H115">
        <f>($B$42*(1-$B$45)-$B$41)/(($B$9+$B$11+$B$12+$B$13+$B$14)+G115+F115+D115+E115)</f>
        <v/>
      </c>
      <c r="I115">
        <f>$B$42/H115</f>
        <v/>
      </c>
      <c r="J115">
        <f>$B$41/H115</f>
        <v/>
      </c>
      <c r="K115">
        <f>I115-J115</f>
        <v/>
      </c>
      <c r="L115">
        <f>$B$51/K115</f>
        <v/>
      </c>
      <c r="M115">
        <f>H115*(1-$B$52)</f>
        <v/>
      </c>
      <c r="N115">
        <f>MIN(L115,M115)</f>
        <v/>
      </c>
      <c r="O115">
        <f>$B$50/N115</f>
        <v/>
      </c>
      <c r="P115">
        <f>$B$54/K115</f>
        <v/>
      </c>
      <c r="Q115">
        <f>H115*(1-$B$55)</f>
        <v/>
      </c>
      <c r="R115">
        <f>MIN(P115,Q115)</f>
        <v/>
      </c>
      <c r="S115">
        <f>$B$53/R115</f>
        <v/>
      </c>
      <c r="T115">
        <f>$B$27*($B$64+$B$41/$B$27)/($B$64+J115)</f>
        <v/>
      </c>
      <c r="U115">
        <f>IF(H115&lt;$B$27,$B$27/T115,1)</f>
        <v/>
      </c>
      <c r="V115">
        <f>$B$26*($B$64+$B$41/$B$26)/($B$64+J115)</f>
        <v/>
      </c>
      <c r="W115">
        <f>IF(H115&lt;$B$26,$B$26/V115,1)</f>
        <v/>
      </c>
    </row>
    <row r="116">
      <c r="A116" t="n">
        <v>48</v>
      </c>
      <c r="B116">
        <f>U115</f>
        <v/>
      </c>
      <c r="C116">
        <f>W115</f>
        <v/>
      </c>
      <c r="D116">
        <f>O115</f>
        <v/>
      </c>
      <c r="E116">
        <f>S115</f>
        <v/>
      </c>
      <c r="F116">
        <f>$B$16*B116</f>
        <v/>
      </c>
      <c r="G116">
        <f>$B$15*C116</f>
        <v/>
      </c>
      <c r="H116">
        <f>($B$42*(1-$B$45)-$B$41)/(($B$9+$B$11+$B$12+$B$13+$B$14)+G116+F116+D116+E116)</f>
        <v/>
      </c>
      <c r="I116">
        <f>$B$42/H116</f>
        <v/>
      </c>
      <c r="J116">
        <f>$B$41/H116</f>
        <v/>
      </c>
      <c r="K116">
        <f>I116-J116</f>
        <v/>
      </c>
      <c r="L116">
        <f>$B$51/K116</f>
        <v/>
      </c>
      <c r="M116">
        <f>H116*(1-$B$52)</f>
        <v/>
      </c>
      <c r="N116">
        <f>MIN(L116,M116)</f>
        <v/>
      </c>
      <c r="O116">
        <f>$B$50/N116</f>
        <v/>
      </c>
      <c r="P116">
        <f>$B$54/K116</f>
        <v/>
      </c>
      <c r="Q116">
        <f>H116*(1-$B$55)</f>
        <v/>
      </c>
      <c r="R116">
        <f>MIN(P116,Q116)</f>
        <v/>
      </c>
      <c r="S116">
        <f>$B$53/R116</f>
        <v/>
      </c>
      <c r="T116">
        <f>$B$27*($B$64+$B$41/$B$27)/($B$64+J116)</f>
        <v/>
      </c>
      <c r="U116">
        <f>IF(H116&lt;$B$27,$B$27/T116,1)</f>
        <v/>
      </c>
      <c r="V116">
        <f>$B$26*($B$64+$B$41/$B$26)/($B$64+J116)</f>
        <v/>
      </c>
      <c r="W116">
        <f>IF(H116&lt;$B$26,$B$26/V116,1)</f>
        <v/>
      </c>
    </row>
    <row r="117">
      <c r="A117" t="n">
        <v>49</v>
      </c>
      <c r="B117">
        <f>U116</f>
        <v/>
      </c>
      <c r="C117">
        <f>W116</f>
        <v/>
      </c>
      <c r="D117">
        <f>O116</f>
        <v/>
      </c>
      <c r="E117">
        <f>S116</f>
        <v/>
      </c>
      <c r="F117">
        <f>$B$16*B117</f>
        <v/>
      </c>
      <c r="G117">
        <f>$B$15*C117</f>
        <v/>
      </c>
      <c r="H117">
        <f>($B$42*(1-$B$45)-$B$41)/(($B$9+$B$11+$B$12+$B$13+$B$14)+G117+F117+D117+E117)</f>
        <v/>
      </c>
      <c r="I117">
        <f>$B$42/H117</f>
        <v/>
      </c>
      <c r="J117">
        <f>$B$41/H117</f>
        <v/>
      </c>
      <c r="K117">
        <f>I117-J117</f>
        <v/>
      </c>
      <c r="L117">
        <f>$B$51/K117</f>
        <v/>
      </c>
      <c r="M117">
        <f>H117*(1-$B$52)</f>
        <v/>
      </c>
      <c r="N117">
        <f>MIN(L117,M117)</f>
        <v/>
      </c>
      <c r="O117">
        <f>$B$50/N117</f>
        <v/>
      </c>
      <c r="P117">
        <f>$B$54/K117</f>
        <v/>
      </c>
      <c r="Q117">
        <f>H117*(1-$B$55)</f>
        <v/>
      </c>
      <c r="R117">
        <f>MIN(P117,Q117)</f>
        <v/>
      </c>
      <c r="S117">
        <f>$B$53/R117</f>
        <v/>
      </c>
      <c r="T117">
        <f>$B$27*($B$64+$B$41/$B$27)/($B$64+J117)</f>
        <v/>
      </c>
      <c r="U117">
        <f>IF(H117&lt;$B$27,$B$27/T117,1)</f>
        <v/>
      </c>
      <c r="V117">
        <f>$B$26*($B$64+$B$41/$B$26)/($B$64+J117)</f>
        <v/>
      </c>
      <c r="W117">
        <f>IF(H117&lt;$B$26,$B$26/V117,1)</f>
        <v/>
      </c>
    </row>
    <row r="119">
      <c r="A119" t="inlineStr">
        <is>
          <t>Converged round solution (row 117)</t>
        </is>
      </c>
    </row>
    <row r="120">
      <c r="A120" t="inlineStr">
        <is>
          <t>F_PPS</t>
        </is>
      </c>
      <c r="B120">
        <f>H117</f>
        <v/>
      </c>
    </row>
    <row r="121">
      <c r="A121" t="inlineStr">
        <is>
          <t>T_F</t>
        </is>
      </c>
      <c r="B121">
        <f>I117</f>
        <v/>
      </c>
    </row>
    <row r="122">
      <c r="A122" t="inlineStr">
        <is>
          <t>new_F</t>
        </is>
      </c>
      <c r="B122">
        <f>J117</f>
        <v/>
      </c>
    </row>
    <row r="123">
      <c r="A123" t="inlineStr">
        <is>
          <t>pre_money_FD</t>
        </is>
      </c>
      <c r="B123">
        <f>K117</f>
        <v/>
      </c>
    </row>
    <row r="124">
      <c r="A124" t="inlineStr">
        <is>
          <t>r_E_v4</t>
        </is>
      </c>
      <c r="B124">
        <f>U117</f>
        <v/>
      </c>
    </row>
    <row r="125">
      <c r="A125" t="inlineStr">
        <is>
          <t>r_D_v4</t>
        </is>
      </c>
      <c r="B125">
        <f>W117</f>
        <v/>
      </c>
    </row>
    <row r="126">
      <c r="A126" t="inlineStr">
        <is>
          <t>NCP_E_v4</t>
        </is>
      </c>
      <c r="B126">
        <f>T117</f>
        <v/>
      </c>
    </row>
    <row r="127">
      <c r="A127" t="inlineStr">
        <is>
          <t>NCP_D_v4</t>
        </is>
      </c>
      <c r="B127">
        <f>V117</f>
        <v/>
      </c>
    </row>
    <row r="128">
      <c r="A128" t="inlineStr">
        <is>
          <t>E_adj shares</t>
        </is>
      </c>
      <c r="B128">
        <f>F117</f>
        <v/>
      </c>
    </row>
    <row r="129">
      <c r="A129" t="inlineStr">
        <is>
          <t>D_adj shares</t>
        </is>
      </c>
      <c r="B129">
        <f>G117</f>
        <v/>
      </c>
    </row>
    <row r="130">
      <c r="A130" t="inlineStr">
        <is>
          <t>Note A cap-impl PPS</t>
        </is>
      </c>
      <c r="B130">
        <f>L117</f>
        <v/>
      </c>
    </row>
    <row r="131">
      <c r="A131" t="inlineStr">
        <is>
          <t>Note A disc-impl PPS</t>
        </is>
      </c>
      <c r="B131">
        <f>M117</f>
        <v/>
      </c>
    </row>
    <row r="132">
      <c r="A132" t="inlineStr">
        <is>
          <t>Note A conv PPS</t>
        </is>
      </c>
      <c r="B132">
        <f>N117</f>
        <v/>
      </c>
    </row>
    <row r="133">
      <c r="A133" t="inlineStr">
        <is>
          <t>Note A shares</t>
        </is>
      </c>
      <c r="B133">
        <f>O117</f>
        <v/>
      </c>
    </row>
    <row r="134">
      <c r="A134" t="inlineStr">
        <is>
          <t>Note B cap-impl PPS</t>
        </is>
      </c>
      <c r="B134">
        <f>P117</f>
        <v/>
      </c>
    </row>
    <row r="135">
      <c r="A135" t="inlineStr">
        <is>
          <t>Note B disc-impl PPS</t>
        </is>
      </c>
      <c r="B135">
        <f>Q117</f>
        <v/>
      </c>
    </row>
    <row r="136">
      <c r="A136" t="inlineStr">
        <is>
          <t>Note B conv PPS</t>
        </is>
      </c>
      <c r="B136">
        <f>R117</f>
        <v/>
      </c>
    </row>
    <row r="137">
      <c r="A137" t="inlineStr">
        <is>
          <t>Note B shares</t>
        </is>
      </c>
      <c r="B137">
        <f>S117</f>
        <v/>
      </c>
    </row>
    <row r="139">
      <c r="A139" t="inlineStr">
        <is>
          <t>F_LEAD primary shares</t>
        </is>
      </c>
      <c r="B139">
        <f>$B$46/$B$120</f>
        <v/>
      </c>
    </row>
    <row r="140">
      <c r="A140" t="inlineStr">
        <is>
          <t>Our fund shares</t>
        </is>
      </c>
      <c r="B140">
        <f>$B$47/$B$120</f>
        <v/>
      </c>
    </row>
    <row r="141">
      <c r="A141" t="inlineStr">
        <is>
          <t>F primary total shares (= new_F)</t>
        </is>
      </c>
      <c r="B141">
        <f>$B$122</f>
        <v/>
      </c>
    </row>
    <row r="143">
      <c r="A143" t="inlineStr">
        <is>
          <t>Tender shares transferred</t>
        </is>
      </c>
      <c r="B143">
        <f>$B$43/($B$44*$B$120)</f>
        <v/>
      </c>
    </row>
    <row r="144">
      <c r="A144" t="inlineStr">
        <is>
          <t>Tender $ to founders</t>
        </is>
      </c>
      <c r="B144">
        <f>$B$43</f>
        <v/>
      </c>
    </row>
    <row r="145">
      <c r="A145" t="inlineStr">
        <is>
          <t>Tender shares from F1 (50%)</t>
        </is>
      </c>
      <c r="B145">
        <f>$B$143*0.5</f>
        <v/>
      </c>
    </row>
    <row r="146">
      <c r="A146" t="inlineStr">
        <is>
          <t>Tender shares from F2 (31.25%)</t>
        </is>
      </c>
      <c r="B146">
        <f>$B$143*0.3125</f>
        <v/>
      </c>
    </row>
    <row r="147">
      <c r="A147" t="inlineStr">
        <is>
          <t>Tender shares from F3 (18.75%)</t>
        </is>
      </c>
      <c r="B147">
        <f>$B$143*0.1875</f>
        <v/>
      </c>
    </row>
    <row r="149">
      <c r="A149" t="inlineStr">
        <is>
          <t>Founders post-tender total</t>
        </is>
      </c>
      <c r="B149">
        <f>$B$7-$B$143</f>
        <v/>
      </c>
    </row>
    <row r="151">
      <c r="A151" t="inlineStr">
        <is>
          <t>Options pool target ($ESOP * T_F)</t>
        </is>
      </c>
      <c r="B151">
        <f>$B$45*$B$121</f>
        <v/>
      </c>
    </row>
    <row r="152">
      <c r="A152" t="inlineStr">
        <is>
          <t>Options unissued post-F (clamped)</t>
        </is>
      </c>
      <c r="B152">
        <f>MAX(0, $B$151-$B$17)</f>
        <v/>
      </c>
    </row>
    <row r="153">
      <c r="A153" t="inlineStr">
        <is>
          <t>Options issued post-F (unchanged)</t>
        </is>
      </c>
      <c r="B153">
        <f>$B$17</f>
        <v/>
      </c>
    </row>
    <row r="154">
      <c r="A154" t="inlineStr">
        <is>
          <t>Options total post-F</t>
        </is>
      </c>
      <c r="B154">
        <f>$B$152+$B$153</f>
        <v/>
      </c>
    </row>
    <row r="156">
      <c r="A156" t="inlineStr">
        <is>
          <t>F_LEAD primary shares (preferred)</t>
        </is>
      </c>
      <c r="B156">
        <f>$B$139</f>
        <v/>
      </c>
    </row>
    <row r="157">
      <c r="A157" t="inlineStr">
        <is>
          <t>F_LEAD secondary shares (common from founders)</t>
        </is>
      </c>
      <c r="B157">
        <f>$B$143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Pro-Forma cap table (post Series F close)</t>
        </is>
      </c>
    </row>
    <row r="3">
      <c r="A3" t="inlineStr">
        <is>
          <t>Class</t>
        </is>
      </c>
      <c r="B3" t="inlineStr">
        <is>
          <t>Shares (FD)</t>
        </is>
      </c>
      <c r="C3" t="inlineStr">
        <is>
          <t>%</t>
        </is>
      </c>
    </row>
    <row r="4">
      <c r="A4" t="inlineStr">
        <is>
          <t>Founders (F1+F2+F3, post-tender)</t>
        </is>
      </c>
      <c r="B4">
        <f>Assumptions!$B$149</f>
        <v/>
      </c>
      <c r="C4">
        <f>B4/Assumptions!$B$121</f>
        <v/>
      </c>
    </row>
    <row r="5">
      <c r="A5" t="inlineStr">
        <is>
          <t>Employees (RSAs)</t>
        </is>
      </c>
      <c r="B5">
        <f>Assumptions!$B$8</f>
        <v/>
      </c>
      <c r="C5">
        <f>B5/Assumptions!$B$121</f>
        <v/>
      </c>
    </row>
    <row r="6">
      <c r="A6" t="inlineStr">
        <is>
          <t>Options issued</t>
        </is>
      </c>
      <c r="B6">
        <f>Assumptions!$B$153</f>
        <v/>
      </c>
      <c r="C6">
        <f>B6/Assumptions!$B$121</f>
        <v/>
      </c>
    </row>
    <row r="7">
      <c r="A7" t="inlineStr">
        <is>
          <t>Options unissued</t>
        </is>
      </c>
      <c r="B7">
        <f>Assumptions!$B$152</f>
        <v/>
      </c>
      <c r="C7">
        <f>B7/Assumptions!$B$121</f>
        <v/>
      </c>
    </row>
    <row r="8">
      <c r="A8" t="inlineStr">
        <is>
          <t>Seed (as-conv, ratio=1)</t>
        </is>
      </c>
      <c r="B8">
        <f>Assumptions!$B$11</f>
        <v/>
      </c>
      <c r="C8">
        <f>B8/Assumptions!$B$121</f>
        <v/>
      </c>
    </row>
    <row r="9">
      <c r="A9" t="inlineStr">
        <is>
          <t>Series A (as-conv, ratio=1)</t>
        </is>
      </c>
      <c r="B9">
        <f>Assumptions!$B$12</f>
        <v/>
      </c>
      <c r="C9">
        <f>B9/Assumptions!$B$121</f>
        <v/>
      </c>
    </row>
    <row r="10">
      <c r="A10" t="inlineStr">
        <is>
          <t>Series B (as-conv, ratio=1)</t>
        </is>
      </c>
      <c r="B10">
        <f>Assumptions!$B$13</f>
        <v/>
      </c>
      <c r="C10">
        <f>B10/Assumptions!$B$121</f>
        <v/>
      </c>
    </row>
    <row r="11">
      <c r="A11" t="inlineStr">
        <is>
          <t>Series C (as-conv, ratio=1)</t>
        </is>
      </c>
      <c r="B11">
        <f>Assumptions!$B$14</f>
        <v/>
      </c>
      <c r="C11">
        <f>B11/Assumptions!$B$121</f>
        <v/>
      </c>
    </row>
    <row r="12">
      <c r="A12" t="inlineStr">
        <is>
          <t>Series D (compound v3*v4 ratio)</t>
        </is>
      </c>
      <c r="B12">
        <f>Assumptions!$B$129</f>
        <v/>
      </c>
      <c r="C12">
        <f>B12/Assumptions!$B$121</f>
        <v/>
      </c>
    </row>
    <row r="13">
      <c r="A13" t="inlineStr">
        <is>
          <t>Series E (v4-adjusted)</t>
        </is>
      </c>
      <c r="B13">
        <f>Assumptions!$B$128</f>
        <v/>
      </c>
      <c r="C13">
        <f>B13/Assumptions!$B$121</f>
        <v/>
      </c>
    </row>
    <row r="14">
      <c r="A14" t="inlineStr">
        <is>
          <t>Note A converted</t>
        </is>
      </c>
      <c r="B14">
        <f>Assumptions!$B$133</f>
        <v/>
      </c>
      <c r="C14">
        <f>B14/Assumptions!$B$121</f>
        <v/>
      </c>
    </row>
    <row r="15">
      <c r="A15" t="inlineStr">
        <is>
          <t>Note B converted</t>
        </is>
      </c>
      <c r="B15">
        <f>Assumptions!$B$137</f>
        <v/>
      </c>
      <c r="C15">
        <f>B15/Assumptions!$B$121</f>
        <v/>
      </c>
    </row>
    <row r="16">
      <c r="A16" t="inlineStr">
        <is>
          <t>Series F primary new (lead + our fund)</t>
        </is>
      </c>
      <c r="B16">
        <f>Assumptions!$B$141</f>
        <v/>
      </c>
      <c r="C16">
        <f>B16/Assumptions!$B$121</f>
        <v/>
      </c>
    </row>
    <row r="17">
      <c r="A17" t="inlineStr">
        <is>
          <t>F_LEAD secondary (common from founders)</t>
        </is>
      </c>
      <c r="B17">
        <f>Assumptions!$B$157</f>
        <v/>
      </c>
      <c r="C17">
        <f>B17/Assumptions!$B$121</f>
        <v/>
      </c>
    </row>
    <row r="18">
      <c r="A18" t="inlineStr">
        <is>
          <t>Our fund (subset of F primary)</t>
        </is>
      </c>
      <c r="B18">
        <f>Assumptions!$B$140</f>
        <v/>
      </c>
      <c r="C18">
        <f>B18/Assumptions!$B$121</f>
        <v/>
      </c>
    </row>
    <row r="20">
      <c r="A20" t="inlineStr">
        <is>
          <t>Sum check (rows 4-17, excludes our_fund subset)</t>
        </is>
      </c>
      <c r="B20">
        <f>SUM(B4:B17)</f>
        <v/>
      </c>
      <c r="C20">
        <f>SUM(C4:C17)</f>
        <v/>
      </c>
    </row>
    <row r="22">
      <c r="A22" t="inlineStr">
        <is>
          <t>Anti-dilution adjustments (F_PPS vs OCP_class)</t>
        </is>
      </c>
    </row>
    <row r="23">
      <c r="A23" t="inlineStr">
        <is>
          <t>Class</t>
        </is>
      </c>
      <c r="B23" t="inlineStr">
        <is>
          <t>Trigger (1=fired)</t>
        </is>
      </c>
      <c r="C23" t="inlineStr">
        <is>
          <t>new_conversion_price_usd</t>
        </is>
      </c>
      <c r="D23" t="inlineStr">
        <is>
          <t>new_ratio</t>
        </is>
      </c>
    </row>
    <row r="24">
      <c r="A24" t="inlineStr">
        <is>
          <t>Seed</t>
        </is>
      </c>
      <c r="B24">
        <f>IF(Assumptions!$B$120&lt;Assumptions!$B$22,1,0)</f>
        <v/>
      </c>
      <c r="C24">
        <f>IF(Assumptions!$B$120&lt;Assumptions!$B$22,Assumptions!$B$22*(Assumptions!$B$64+Assumptions!$B$41/Assumptions!$B$22)/(Assumptions!$B$64+Assumptions!$B$122),Assumptions!$B$22)</f>
        <v/>
      </c>
      <c r="D24">
        <f>Assumptions!$B$22/C24</f>
        <v/>
      </c>
    </row>
    <row r="25">
      <c r="A25" t="inlineStr">
        <is>
          <t>Series A</t>
        </is>
      </c>
      <c r="B25">
        <f>IF(Assumptions!$B$120&lt;Assumptions!$B$23,1,0)</f>
        <v/>
      </c>
      <c r="C25">
        <f>IF(Assumptions!$B$120&lt;Assumptions!$B$23,Assumptions!$B$23*(Assumptions!$B$64+Assumptions!$B$41/Assumptions!$B$23)/(Assumptions!$B$64+Assumptions!$B$122),Assumptions!$B$23)</f>
        <v/>
      </c>
      <c r="D25">
        <f>Assumptions!$B$23/C25</f>
        <v/>
      </c>
    </row>
    <row r="26">
      <c r="A26" t="inlineStr">
        <is>
          <t>Series B</t>
        </is>
      </c>
      <c r="B26">
        <f>IF(Assumptions!$B$120&lt;Assumptions!$B$24,1,0)</f>
        <v/>
      </c>
      <c r="C26">
        <f>IF(Assumptions!$B$120&lt;Assumptions!$B$24,Assumptions!$B$24*(Assumptions!$B$64+Assumptions!$B$41/Assumptions!$B$24)/(Assumptions!$B$64+Assumptions!$B$122),Assumptions!$B$24)</f>
        <v/>
      </c>
      <c r="D26">
        <f>Assumptions!$B$24/C26</f>
        <v/>
      </c>
    </row>
    <row r="27">
      <c r="A27" t="inlineStr">
        <is>
          <t>Series C</t>
        </is>
      </c>
      <c r="B27">
        <f>IF(Assumptions!$B$120&lt;Assumptions!$B$25,1,0)</f>
        <v/>
      </c>
      <c r="C27">
        <f>IF(Assumptions!$B$120&lt;Assumptions!$B$25,Assumptions!$B$25*(Assumptions!$B$64+Assumptions!$B$41/Assumptions!$B$25)/(Assumptions!$B$64+Assumptions!$B$122),Assumptions!$B$25)</f>
        <v/>
      </c>
      <c r="D27">
        <f>Assumptions!$B$25/C27</f>
        <v/>
      </c>
    </row>
    <row r="28">
      <c r="A28" t="inlineStr">
        <is>
          <t>Series D</t>
        </is>
      </c>
      <c r="B28">
        <f>IF(Assumptions!$B$120&lt;Assumptions!$B$26,1,0)</f>
        <v/>
      </c>
      <c r="C28">
        <f>IF(Assumptions!$B$120&lt;Assumptions!$B$26,Assumptions!$B$127,Assumptions!$B$26)</f>
        <v/>
      </c>
      <c r="D28">
        <f>Assumptions!$B$36*Assumptions!$B$125</f>
        <v/>
      </c>
    </row>
    <row r="29">
      <c r="A29" t="inlineStr">
        <is>
          <t>Series E</t>
        </is>
      </c>
      <c r="B29">
        <f>IF(Assumptions!$B$120&lt;Assumptions!$B$27,1,0)</f>
        <v/>
      </c>
      <c r="C29">
        <f>IF(Assumptions!$B$120&lt;Assumptions!$B$27,Assumptions!$B$126,Assumptions!$B$27)</f>
        <v/>
      </c>
      <c r="D29">
        <f>Assumptions!$B$124</f>
        <v/>
      </c>
    </row>
    <row r="31">
      <c r="A31" t="inlineStr">
        <is>
          <t>Convertible note conversions</t>
        </is>
      </c>
    </row>
    <row r="32">
      <c r="A32" t="inlineStr">
        <is>
          <t>Note</t>
        </is>
      </c>
      <c r="B32" t="inlineStr">
        <is>
          <t>cap_implied_pps_usd</t>
        </is>
      </c>
      <c r="C32" t="inlineStr">
        <is>
          <t>discount_implied_pps_usd</t>
        </is>
      </c>
      <c r="D32" t="inlineStr">
        <is>
          <t>conversion_pps_usd</t>
        </is>
      </c>
      <c r="E32" t="inlineStr">
        <is>
          <t>conversion_branch</t>
        </is>
      </c>
      <c r="F32" t="inlineStr">
        <is>
          <t>shares_issued</t>
        </is>
      </c>
    </row>
    <row r="33">
      <c r="A33" t="inlineStr">
        <is>
          <t>Note A</t>
        </is>
      </c>
      <c r="B33">
        <f>Assumptions!$B$130</f>
        <v/>
      </c>
      <c r="C33">
        <f>Assumptions!$B$131</f>
        <v/>
      </c>
      <c r="D33">
        <f>MIN(B33,C33)</f>
        <v/>
      </c>
      <c r="E33">
        <f>IF(B33&lt;C33,"cap","discount")</f>
        <v/>
      </c>
      <c r="F33">
        <f>ROUND(Assumptions!$B$50/D33,0)</f>
        <v/>
      </c>
    </row>
    <row r="34">
      <c r="A34" t="inlineStr">
        <is>
          <t>Note B</t>
        </is>
      </c>
      <c r="B34">
        <f>Assumptions!$B$134</f>
        <v/>
      </c>
      <c r="C34">
        <f>Assumptions!$B$135</f>
        <v/>
      </c>
      <c r="D34">
        <f>MIN(B34,C34)</f>
        <v/>
      </c>
      <c r="E34">
        <f>IF(B34&lt;C34,"cap","discount")</f>
        <v/>
      </c>
      <c r="F34">
        <f>ROUND(Assumptions!$B$53/D34,0)</f>
        <v/>
      </c>
    </row>
    <row r="36">
      <c r="A36" t="inlineStr">
        <is>
          <t>Tender mechanics</t>
        </is>
      </c>
    </row>
    <row r="37">
      <c r="A37" t="inlineStr">
        <is>
          <t>shares_transferred</t>
        </is>
      </c>
      <c r="B37">
        <f>Assumptions!$B$143</f>
        <v/>
      </c>
    </row>
    <row r="38">
      <c r="A38" t="inlineStr">
        <is>
          <t>usd_to_founders</t>
        </is>
      </c>
      <c r="B38">
        <f>Assumptions!$B$43</f>
        <v/>
      </c>
    </row>
    <row r="39">
      <c r="A39" t="inlineStr">
        <is>
          <t>f_lead_holding_secondary_shares</t>
        </is>
      </c>
      <c r="B39">
        <f>Assumptions!$B$143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Liquidation waterfall (election iteration converges per exit)</t>
        </is>
      </c>
    </row>
    <row r="3">
      <c r="A3" t="inlineStr">
        <is>
          <t>Exit</t>
        </is>
      </c>
      <c r="B3" t="inlineStr">
        <is>
          <t>700M</t>
        </is>
      </c>
      <c r="C3" t="inlineStr">
        <is>
          <t>1200M</t>
        </is>
      </c>
      <c r="D3" t="inlineStr">
        <is>
          <t>2000M</t>
        </is>
      </c>
      <c r="E3" t="inlineStr">
        <is>
          <t>4000M</t>
        </is>
      </c>
      <c r="F3" t="inlineStr">
        <is>
          <t>8000M</t>
        </is>
      </c>
    </row>
    <row r="4">
      <c r="A4" t="inlineStr">
        <is>
          <t>Exit value $</t>
        </is>
      </c>
      <c r="B4">
        <f>Assumptions!$B$58</f>
        <v/>
      </c>
      <c r="C4">
        <f>Assumptions!$B$59</f>
        <v/>
      </c>
      <c r="D4">
        <f>Assumptions!$B$60</f>
        <v/>
      </c>
      <c r="E4">
        <f>Assumptions!$B$61</f>
        <v/>
      </c>
      <c r="F4">
        <f>Assumptions!$B$62</f>
        <v/>
      </c>
    </row>
    <row r="6">
      <c r="A6" t="inlineStr">
        <is>
          <t>Nash combo offset</t>
        </is>
      </c>
      <c r="B6">
        <f>MATCH(1,$AX$51:$AX$178,0)</f>
        <v/>
      </c>
      <c r="C6">
        <f>MATCH(1,$AX$179:$AX$306,0)</f>
        <v/>
      </c>
      <c r="D6">
        <f>MATCH(1,$AX$307:$AX$434,0)</f>
        <v/>
      </c>
      <c r="E6">
        <f>MATCH(1,$AX$435:$AX$562,0)</f>
        <v/>
      </c>
      <c r="F6">
        <f>MATCH(1,$AX$563:$AX$690,0)</f>
        <v/>
      </c>
    </row>
    <row r="7">
      <c r="A7" t="inlineStr">
        <is>
          <t>series_f_election</t>
        </is>
      </c>
      <c r="B7">
        <f>IF(INDEX($AY$51:$AY$178,B$6)&gt;INDEX($BF$51:$BF$178,B$6),"preference","convert")</f>
        <v/>
      </c>
      <c r="C7">
        <f>IF(INDEX($AY$179:$AY$306,C$6)&gt;INDEX($BF$179:$BF$306,C$6),"preference","convert")</f>
        <v/>
      </c>
      <c r="D7">
        <f>IF(INDEX($AY$307:$AY$434,D$6)&gt;INDEX($BF$307:$BF$434,D$6),"preference","convert")</f>
        <v/>
      </c>
      <c r="E7">
        <f>IF(INDEX($AY$435:$AY$562,E$6)&gt;INDEX($BF$435:$BF$562,E$6),"preference","convert")</f>
        <v/>
      </c>
      <c r="F7">
        <f>IF(INDEX($AY$563:$AY$690,F$6)&gt;INDEX($BF$563:$BF$690,F$6),"preference","convert")</f>
        <v/>
      </c>
    </row>
    <row r="8">
      <c r="A8" t="inlineStr">
        <is>
          <t>series_e_election</t>
        </is>
      </c>
      <c r="B8">
        <f>IF(INDEX($AZ$51:$AZ$178,B$6)&gt;INDEX($BG$51:$BG$178,B$6),"preference","convert")</f>
        <v/>
      </c>
      <c r="C8">
        <f>IF(INDEX($AZ$179:$AZ$306,C$6)&gt;INDEX($BG$179:$BG$306,C$6),"preference","convert")</f>
        <v/>
      </c>
      <c r="D8">
        <f>IF(INDEX($AZ$307:$AZ$434,D$6)&gt;INDEX($BG$307:$BG$434,D$6),"preference","convert")</f>
        <v/>
      </c>
      <c r="E8">
        <f>IF(INDEX($AZ$435:$AZ$562,E$6)&gt;INDEX($BG$435:$BG$562,E$6),"preference","convert")</f>
        <v/>
      </c>
      <c r="F8">
        <f>IF(INDEX($AZ$563:$AZ$690,F$6)&gt;INDEX($BG$563:$BG$690,F$6),"preference","convert")</f>
        <v/>
      </c>
    </row>
    <row r="9">
      <c r="A9" t="inlineStr">
        <is>
          <t>series_d_election</t>
        </is>
      </c>
      <c r="B9">
        <f>IF(INDEX($BA$51:$BA$178,B$6)&gt;INDEX($BH$51:$BH$178,B$6),"preference","convert")</f>
        <v/>
      </c>
      <c r="C9">
        <f>IF(INDEX($BA$179:$BA$306,C$6)&gt;INDEX($BH$179:$BH$306,C$6),"preference","convert")</f>
        <v/>
      </c>
      <c r="D9">
        <f>IF(INDEX($BA$307:$BA$434,D$6)&gt;INDEX($BH$307:$BH$434,D$6),"preference","convert")</f>
        <v/>
      </c>
      <c r="E9">
        <f>IF(INDEX($BA$435:$BA$562,E$6)&gt;INDEX($BH$435:$BH$562,E$6),"preference","convert")</f>
        <v/>
      </c>
      <c r="F9">
        <f>IF(INDEX($BA$563:$BA$690,F$6)&gt;INDEX($BH$563:$BH$690,F$6),"preference","convert")</f>
        <v/>
      </c>
    </row>
    <row r="10">
      <c r="A10" t="inlineStr">
        <is>
          <t>series_c_election</t>
        </is>
      </c>
      <c r="B10">
        <f>IF(INDEX($BB$51:$BB$178,B$6)&gt;INDEX($BI$51:$BI$178,B$6),"preference","convert")</f>
        <v/>
      </c>
      <c r="C10">
        <f>IF(INDEX($BB$179:$BB$306,C$6)&gt;INDEX($BI$179:$BI$306,C$6),"preference","convert")</f>
        <v/>
      </c>
      <c r="D10">
        <f>IF(INDEX($BB$307:$BB$434,D$6)&gt;INDEX($BI$307:$BI$434,D$6),"preference","convert")</f>
        <v/>
      </c>
      <c r="E10">
        <f>IF(INDEX($BB$435:$BB$562,E$6)&gt;INDEX($BI$435:$BI$562,E$6),"preference","convert")</f>
        <v/>
      </c>
      <c r="F10">
        <f>IF(INDEX($BB$563:$BB$690,F$6)&gt;INDEX($BI$563:$BI$690,F$6),"preference","convert")</f>
        <v/>
      </c>
    </row>
    <row r="11">
      <c r="A11" t="inlineStr">
        <is>
          <t>series_b_election</t>
        </is>
      </c>
      <c r="B11">
        <f>IF(INDEX($BC$51:$BC$178,B$6)&gt;INDEX($BJ$51:$BJ$178,B$6),"preference","convert")</f>
        <v/>
      </c>
      <c r="C11">
        <f>IF(INDEX($BC$179:$BC$306,C$6)&gt;INDEX($BJ$179:$BJ$306,C$6),"preference","convert")</f>
        <v/>
      </c>
      <c r="D11">
        <f>IF(INDEX($BC$307:$BC$434,D$6)&gt;INDEX($BJ$307:$BJ$434,D$6),"preference","convert")</f>
        <v/>
      </c>
      <c r="E11">
        <f>IF(INDEX($BC$435:$BC$562,E$6)&gt;INDEX($BJ$435:$BJ$562,E$6),"preference","convert")</f>
        <v/>
      </c>
      <c r="F11">
        <f>IF(INDEX($BC$563:$BC$690,F$6)&gt;INDEX($BJ$563:$BJ$690,F$6),"preference","convert")</f>
        <v/>
      </c>
    </row>
    <row r="12">
      <c r="A12" t="inlineStr">
        <is>
          <t>series_a_election</t>
        </is>
      </c>
      <c r="B12">
        <f>IF(INDEX($BD$51:$BD$178,B$6)&gt;INDEX($BK$51:$BK$178,B$6),"preference","convert")</f>
        <v/>
      </c>
      <c r="C12">
        <f>IF(INDEX($BD$179:$BD$306,C$6)&gt;INDEX($BK$179:$BK$306,C$6),"preference","convert")</f>
        <v/>
      </c>
      <c r="D12">
        <f>IF(INDEX($BD$307:$BD$434,D$6)&gt;INDEX($BK$307:$BK$434,D$6),"preference","convert")</f>
        <v/>
      </c>
      <c r="E12">
        <f>IF(INDEX($BD$435:$BD$562,E$6)&gt;INDEX($BK$435:$BK$562,E$6),"preference","convert")</f>
        <v/>
      </c>
      <c r="F12">
        <f>IF(INDEX($BD$563:$BD$690,F$6)&gt;INDEX($BK$563:$BK$690,F$6),"preference","convert")</f>
        <v/>
      </c>
    </row>
    <row r="13">
      <c r="A13" t="inlineStr">
        <is>
          <t>seed_election</t>
        </is>
      </c>
      <c r="B13">
        <f>IF(INDEX($BE$51:$BE$178,B$6)&gt;INDEX($BL$51:$BL$178,B$6),"preference","convert")</f>
        <v/>
      </c>
      <c r="C13">
        <f>IF(INDEX($BE$179:$BE$306,C$6)&gt;INDEX($BL$179:$BL$306,C$6),"preference","convert")</f>
        <v/>
      </c>
      <c r="D13">
        <f>IF(INDEX($BE$307:$BE$434,D$6)&gt;INDEX($BL$307:$BL$434,D$6),"preference","convert")</f>
        <v/>
      </c>
      <c r="E13">
        <f>IF(INDEX($BE$435:$BE$562,E$6)&gt;INDEX($BL$435:$BL$562,E$6),"preference","convert")</f>
        <v/>
      </c>
      <c r="F13">
        <f>IF(INDEX($BE$563:$BE$690,F$6)&gt;INDEX($BL$563:$BL$690,F$6),"preference","convert")</f>
        <v/>
      </c>
    </row>
    <row r="16">
      <c r="A16" t="inlineStr">
        <is>
          <t>series_f_dollars</t>
        </is>
      </c>
      <c r="B16">
        <f>INDEX($Q$51:$Q$178,B$6)</f>
        <v/>
      </c>
      <c r="C16">
        <f>INDEX($Q$179:$Q$306,C$6)</f>
        <v/>
      </c>
      <c r="D16">
        <f>INDEX($Q$307:$Q$434,D$6)</f>
        <v/>
      </c>
      <c r="E16">
        <f>INDEX($Q$435:$Q$562,E$6)</f>
        <v/>
      </c>
      <c r="F16">
        <f>INDEX($Q$563:$Q$690,F$6)</f>
        <v/>
      </c>
    </row>
    <row r="17">
      <c r="A17" t="inlineStr">
        <is>
          <t>series_e_dollars</t>
        </is>
      </c>
      <c r="B17">
        <f>INDEX($R$51:$R$178,B$6)</f>
        <v/>
      </c>
      <c r="C17">
        <f>INDEX($R$179:$R$306,C$6)</f>
        <v/>
      </c>
      <c r="D17">
        <f>INDEX($R$307:$R$434,D$6)</f>
        <v/>
      </c>
      <c r="E17">
        <f>INDEX($R$435:$R$562,E$6)</f>
        <v/>
      </c>
      <c r="F17">
        <f>INDEX($R$563:$R$690,F$6)</f>
        <v/>
      </c>
    </row>
    <row r="18">
      <c r="A18" t="inlineStr">
        <is>
          <t>series_d_dollars</t>
        </is>
      </c>
      <c r="B18">
        <f>INDEX($S$51:$S$178,B$6)</f>
        <v/>
      </c>
      <c r="C18">
        <f>INDEX($S$179:$S$306,C$6)</f>
        <v/>
      </c>
      <c r="D18">
        <f>INDEX($S$307:$S$434,D$6)</f>
        <v/>
      </c>
      <c r="E18">
        <f>INDEX($S$435:$S$562,E$6)</f>
        <v/>
      </c>
      <c r="F18">
        <f>INDEX($S$563:$S$690,F$6)</f>
        <v/>
      </c>
    </row>
    <row r="19">
      <c r="A19" t="inlineStr">
        <is>
          <t>series_c_dollars</t>
        </is>
      </c>
      <c r="B19">
        <f>INDEX($T$51:$T$178,B$6)</f>
        <v/>
      </c>
      <c r="C19">
        <f>INDEX($T$179:$T$306,C$6)</f>
        <v/>
      </c>
      <c r="D19">
        <f>INDEX($T$307:$T$434,D$6)</f>
        <v/>
      </c>
      <c r="E19">
        <f>INDEX($T$435:$T$562,E$6)</f>
        <v/>
      </c>
      <c r="F19">
        <f>INDEX($T$563:$T$690,F$6)</f>
        <v/>
      </c>
    </row>
    <row r="20">
      <c r="A20" t="inlineStr">
        <is>
          <t>series_b_dollars</t>
        </is>
      </c>
      <c r="B20">
        <f>INDEX($U$51:$U$178,B$6)</f>
        <v/>
      </c>
      <c r="C20">
        <f>INDEX($U$179:$U$306,C$6)</f>
        <v/>
      </c>
      <c r="D20">
        <f>INDEX($U$307:$U$434,D$6)</f>
        <v/>
      </c>
      <c r="E20">
        <f>INDEX($U$435:$U$562,E$6)</f>
        <v/>
      </c>
      <c r="F20">
        <f>INDEX($U$563:$U$690,F$6)</f>
        <v/>
      </c>
    </row>
    <row r="21">
      <c r="A21" t="inlineStr">
        <is>
          <t>series_a_dollars</t>
        </is>
      </c>
      <c r="B21">
        <f>INDEX($V$51:$V$178,B$6)</f>
        <v/>
      </c>
      <c r="C21">
        <f>INDEX($V$179:$V$306,C$6)</f>
        <v/>
      </c>
      <c r="D21">
        <f>INDEX($V$307:$V$434,D$6)</f>
        <v/>
      </c>
      <c r="E21">
        <f>INDEX($V$435:$V$562,E$6)</f>
        <v/>
      </c>
      <c r="F21">
        <f>INDEX($V$563:$V$690,F$6)</f>
        <v/>
      </c>
    </row>
    <row r="22">
      <c r="A22" t="inlineStr">
        <is>
          <t>seed_dollars</t>
        </is>
      </c>
      <c r="B22">
        <f>INDEX($W$51:$W$178,B$6)</f>
        <v/>
      </c>
      <c r="C22">
        <f>INDEX($W$179:$W$306,C$6)</f>
        <v/>
      </c>
      <c r="D22">
        <f>INDEX($W$307:$W$434,D$6)</f>
        <v/>
      </c>
      <c r="E22">
        <f>INDEX($W$435:$W$562,E$6)</f>
        <v/>
      </c>
      <c r="F22">
        <f>INDEX($W$563:$W$690,F$6)</f>
        <v/>
      </c>
    </row>
    <row r="23">
      <c r="A23" t="inlineStr">
        <is>
          <t>notes_dollars</t>
        </is>
      </c>
      <c r="B23">
        <f>INDEX($X$51:$X$178,B$6)</f>
        <v/>
      </c>
      <c r="C23">
        <f>INDEX($X$179:$X$306,C$6)</f>
        <v/>
      </c>
      <c r="D23">
        <f>INDEX($X$307:$X$434,D$6)</f>
        <v/>
      </c>
      <c r="E23">
        <f>INDEX($X$435:$X$562,E$6)</f>
        <v/>
      </c>
      <c r="F23">
        <f>INDEX($X$563:$X$690,F$6)</f>
        <v/>
      </c>
    </row>
    <row r="24">
      <c r="A24" t="inlineStr">
        <is>
          <t>common_dollars</t>
        </is>
      </c>
      <c r="B24">
        <f>INDEX($Y$51:$Y$178,B$6)</f>
        <v/>
      </c>
      <c r="C24">
        <f>INDEX($Y$179:$Y$306,C$6)</f>
        <v/>
      </c>
      <c r="D24">
        <f>INDEX($Y$307:$Y$434,D$6)</f>
        <v/>
      </c>
      <c r="E24">
        <f>INDEX($Y$435:$Y$562,E$6)</f>
        <v/>
      </c>
      <c r="F24">
        <f>INDEX($Y$563:$Y$690,F$6)</f>
        <v/>
      </c>
    </row>
    <row r="25">
      <c r="A25" t="inlineStr">
        <is>
          <t>options_issued_dollars</t>
        </is>
      </c>
      <c r="B25">
        <f>INDEX($Z$51:$Z$178,B$6)</f>
        <v/>
      </c>
      <c r="C25">
        <f>INDEX($Z$179:$Z$306,C$6)</f>
        <v/>
      </c>
      <c r="D25">
        <f>INDEX($Z$307:$Z$434,D$6)</f>
        <v/>
      </c>
      <c r="E25">
        <f>INDEX($Z$435:$Z$562,E$6)</f>
        <v/>
      </c>
      <c r="F25">
        <f>INDEX($Z$563:$Z$690,F$6)</f>
        <v/>
      </c>
    </row>
    <row r="26">
      <c r="A26" t="inlineStr">
        <is>
          <t>our_fund_dollars</t>
        </is>
      </c>
      <c r="B26">
        <f>B16*Assumptions!$B$140/Assumptions!$B$141</f>
        <v/>
      </c>
      <c r="C26">
        <f>C16*Assumptions!$B$140/Assumptions!$B$141</f>
        <v/>
      </c>
      <c r="D26">
        <f>D16*Assumptions!$B$140/Assumptions!$B$141</f>
        <v/>
      </c>
      <c r="E26">
        <f>E16*Assumptions!$B$140/Assumptions!$B$141</f>
        <v/>
      </c>
      <c r="F26">
        <f>F16*Assumptions!$B$140/Assumptions!$B$141</f>
        <v/>
      </c>
    </row>
    <row r="27">
      <c r="A27" t="inlineStr">
        <is>
          <t>total_distributed</t>
        </is>
      </c>
      <c r="B27">
        <f>B16+B17+B18+B19+B20+B21+B22+B23+B24+B25</f>
        <v/>
      </c>
      <c r="C27">
        <f>C16+C17+C18+C19+C20+C21+C22+C23+C24+C25</f>
        <v/>
      </c>
      <c r="D27">
        <f>D16+D17+D18+D19+D20+D21+D22+D23+D24+D25</f>
        <v/>
      </c>
      <c r="E27">
        <f>E16+E17+E18+E19+E20+E21+E22+E23+E24+E25</f>
        <v/>
      </c>
      <c r="F27">
        <f>F16+F17+F18+F19+F20+F21+F22+F23+F24+F25</f>
        <v/>
      </c>
    </row>
    <row r="50">
      <c r="A50" t="inlineStr">
        <is>
          <t>exit_tag</t>
        </is>
      </c>
      <c r="B50" t="inlineStr">
        <is>
          <t>exit_val</t>
        </is>
      </c>
      <c r="C50" t="inlineStr">
        <is>
          <t>e_F</t>
        </is>
      </c>
      <c r="D50" t="inlineStr">
        <is>
          <t>e_E</t>
        </is>
      </c>
      <c r="E50" t="inlineStr">
        <is>
          <t>e_D</t>
        </is>
      </c>
      <c r="F50" t="inlineStr">
        <is>
          <t>e_C</t>
        </is>
      </c>
      <c r="G50" t="inlineStr">
        <is>
          <t>e_B</t>
        </is>
      </c>
      <c r="H50" t="inlineStr">
        <is>
          <t>e_A</t>
        </is>
      </c>
      <c r="I50" t="inlineStr">
        <is>
          <t>e_Seed</t>
        </is>
      </c>
      <c r="J50" t="inlineStr">
        <is>
          <t>pref_pool</t>
        </is>
      </c>
      <c r="K50" t="inlineStr">
        <is>
          <t>conv_shares</t>
        </is>
      </c>
      <c r="L50" t="inlineStr">
        <is>
          <t>pool_after_pref</t>
        </is>
      </c>
      <c r="M50" t="inlineStr">
        <is>
          <t>opts_itm</t>
        </is>
      </c>
      <c r="N50" t="inlineStr">
        <is>
          <t>denom</t>
        </is>
      </c>
      <c r="O50" t="inlineStr">
        <is>
          <t>pool_adj</t>
        </is>
      </c>
      <c r="P50" t="inlineStr">
        <is>
          <t>pps</t>
        </is>
      </c>
      <c r="Q50" t="inlineStr">
        <is>
          <t>F_usd</t>
        </is>
      </c>
      <c r="R50" t="inlineStr">
        <is>
          <t>E_usd</t>
        </is>
      </c>
      <c r="S50" t="inlineStr">
        <is>
          <t>D_usd</t>
        </is>
      </c>
      <c r="T50" t="inlineStr">
        <is>
          <t>C_usd</t>
        </is>
      </c>
      <c r="U50" t="inlineStr">
        <is>
          <t>B_usd</t>
        </is>
      </c>
      <c r="V50" t="inlineStr">
        <is>
          <t>A_usd</t>
        </is>
      </c>
      <c r="W50" t="inlineStr">
        <is>
          <t>Seed_usd</t>
        </is>
      </c>
      <c r="X50" t="inlineStr">
        <is>
          <t>notes_usd</t>
        </is>
      </c>
      <c r="Y50" t="inlineStr">
        <is>
          <t>common_usd</t>
        </is>
      </c>
      <c r="Z50" t="inlineStr">
        <is>
          <t>opts_issued_usd</t>
        </is>
      </c>
      <c r="AA50" t="inlineStr">
        <is>
          <t>total_dist</t>
        </is>
      </c>
      <c r="AB50" t="inlineStr">
        <is>
          <t>row_idx</t>
        </is>
      </c>
      <c r="AC50" t="inlineStr">
        <is>
          <t>fF</t>
        </is>
      </c>
      <c r="AD50" t="inlineStr">
        <is>
          <t>fE</t>
        </is>
      </c>
      <c r="AE50" t="inlineStr">
        <is>
          <t>fD</t>
        </is>
      </c>
      <c r="AF50" t="inlineStr">
        <is>
          <t>fC</t>
        </is>
      </c>
      <c r="AG50" t="inlineStr">
        <is>
          <t>fB</t>
        </is>
      </c>
      <c r="AH50" t="inlineStr">
        <is>
          <t>fA</t>
        </is>
      </c>
      <c r="AI50" t="inlineStr">
        <is>
          <t>fSeed</t>
        </is>
      </c>
      <c r="AJ50" t="inlineStr">
        <is>
          <t>altF</t>
        </is>
      </c>
      <c r="AK50" t="inlineStr">
        <is>
          <t>altE</t>
        </is>
      </c>
      <c r="AL50" t="inlineStr">
        <is>
          <t>altD</t>
        </is>
      </c>
      <c r="AM50" t="inlineStr">
        <is>
          <t>altC</t>
        </is>
      </c>
      <c r="AN50" t="inlineStr">
        <is>
          <t>altB</t>
        </is>
      </c>
      <c r="AO50" t="inlineStr">
        <is>
          <t>altA</t>
        </is>
      </c>
      <c r="AP50" t="inlineStr">
        <is>
          <t>altSeed</t>
        </is>
      </c>
      <c r="AQ50" t="inlineStr">
        <is>
          <t>okF</t>
        </is>
      </c>
      <c r="AR50" t="inlineStr">
        <is>
          <t>okE</t>
        </is>
      </c>
      <c r="AS50" t="inlineStr">
        <is>
          <t>okD</t>
        </is>
      </c>
      <c r="AT50" t="inlineStr">
        <is>
          <t>okC</t>
        </is>
      </c>
      <c r="AU50" t="inlineStr">
        <is>
          <t>okB</t>
        </is>
      </c>
      <c r="AV50" t="inlineStr">
        <is>
          <t>okA</t>
        </is>
      </c>
      <c r="AW50" t="inlineStr">
        <is>
          <t>okSeed</t>
        </is>
      </c>
      <c r="AX50" t="inlineStr">
        <is>
          <t>all_ok</t>
        </is>
      </c>
      <c r="AY50" t="inlineStr">
        <is>
          <t>prefF_v</t>
        </is>
      </c>
      <c r="AZ50" t="inlineStr">
        <is>
          <t>prefE_v</t>
        </is>
      </c>
      <c r="BA50" t="inlineStr">
        <is>
          <t>prefD_v</t>
        </is>
      </c>
      <c r="BB50" t="inlineStr">
        <is>
          <t>prefC_v</t>
        </is>
      </c>
      <c r="BC50" t="inlineStr">
        <is>
          <t>prefB_v</t>
        </is>
      </c>
      <c r="BD50" t="inlineStr">
        <is>
          <t>prefA_v</t>
        </is>
      </c>
      <c r="BE50" t="inlineStr">
        <is>
          <t>prefSeed_v</t>
        </is>
      </c>
      <c r="BF50" t="inlineStr">
        <is>
          <t>convF_v</t>
        </is>
      </c>
      <c r="BG50" t="inlineStr">
        <is>
          <t>convE_v</t>
        </is>
      </c>
      <c r="BH50" t="inlineStr">
        <is>
          <t>convD_v</t>
        </is>
      </c>
      <c r="BI50" t="inlineStr">
        <is>
          <t>convC_v</t>
        </is>
      </c>
      <c r="BJ50" t="inlineStr">
        <is>
          <t>convB_v</t>
        </is>
      </c>
      <c r="BK50" t="inlineStr">
        <is>
          <t>convA_v</t>
        </is>
      </c>
      <c r="BL50" t="inlineStr">
        <is>
          <t>convSeed_v</t>
        </is>
      </c>
    </row>
    <row r="51">
      <c r="A51" t="inlineStr">
        <is>
          <t>700M</t>
        </is>
      </c>
      <c r="B51">
        <f>Assumptions!$B$58</f>
        <v/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>
        <f>(1-C51)*Assumptions!$B$41+(1-D51)*Assumptions!$B$33+(1-E51)*Assumptions!$B$32+(1-F51)*Assumptions!$B$31+(1-G51)*Assumptions!$B$30+(1-H51)*Assumptions!$B$29+(1-I51)*Assumptions!$B$28</f>
        <v/>
      </c>
      <c r="K51">
        <f>C51*Assumptions!$B$141+D51*Assumptions!$B$128+E51*Assumptions!$B$129+F51*Assumptions!$B$14+G51*Assumptions!$B$13+H51*Assumptions!$B$12+I51*Assumptions!$B$11+Assumptions!$B$133+Assumptions!$B$137+Assumptions!$B$9</f>
        <v/>
      </c>
      <c r="L51">
        <f>B51-J51</f>
        <v/>
      </c>
      <c r="M51">
        <f>IF(K51&gt;0,IF(L51/K51&gt;=Assumptions!$B$37,1,0),0)</f>
        <v/>
      </c>
      <c r="N51">
        <f>K51+M51*Assumptions!$B$153</f>
        <v/>
      </c>
      <c r="O51">
        <f>L51+M51*Assumptions!$B$153*Assumptions!$B$37</f>
        <v/>
      </c>
      <c r="P51">
        <f>IF(N51&gt;0,O51/N51,0)</f>
        <v/>
      </c>
      <c r="Q51">
        <f>IF(C51=1,P51*Assumptions!$B$141,Assumptions!$B$41)</f>
        <v/>
      </c>
      <c r="R51">
        <f>IF(D51=1,P51*Assumptions!$B$128,Assumptions!$B$33)</f>
        <v/>
      </c>
      <c r="S51">
        <f>IF(E51=1,P51*Assumptions!$B$129,Assumptions!$B$32)</f>
        <v/>
      </c>
      <c r="T51">
        <f>IF(F51=1,P51*Assumptions!$B$14,Assumptions!$B$31)</f>
        <v/>
      </c>
      <c r="U51">
        <f>IF(G51=1,P51*Assumptions!$B$13,Assumptions!$B$30)</f>
        <v/>
      </c>
      <c r="V51">
        <f>IF(H51=1,P51*Assumptions!$B$12,Assumptions!$B$29)</f>
        <v/>
      </c>
      <c r="W51">
        <f>IF(I51=1,P51*Assumptions!$B$11,Assumptions!$B$28)</f>
        <v/>
      </c>
      <c r="X51">
        <f>P51*(Assumptions!$B$133+Assumptions!$B$137)</f>
        <v/>
      </c>
      <c r="Y51">
        <f>P51*Assumptions!$B$9</f>
        <v/>
      </c>
      <c r="Z51">
        <f>IF(M51=1,(P51-Assumptions!$B$37)*Assumptions!$B$153,0)</f>
        <v/>
      </c>
      <c r="AA51">
        <f>Q51+R51+S51+T51+U51+V51+W51+X51+Y51+Z51</f>
        <v/>
      </c>
      <c r="AB51" t="n">
        <v>0</v>
      </c>
      <c r="AC51" t="n">
        <v>64</v>
      </c>
      <c r="AD51" t="n">
        <v>32</v>
      </c>
      <c r="AE51" t="n">
        <v>16</v>
      </c>
      <c r="AF51" t="n">
        <v>8</v>
      </c>
      <c r="AG51" t="n">
        <v>4</v>
      </c>
      <c r="AH51" t="n">
        <v>2</v>
      </c>
      <c r="AI51" t="n">
        <v>1</v>
      </c>
      <c r="AJ51">
        <f>INDEX($Q$51:$Q$178,AC51+1)</f>
        <v/>
      </c>
      <c r="AK51">
        <f>INDEX($R$51:$R$178,AD51+1)</f>
        <v/>
      </c>
      <c r="AL51">
        <f>INDEX($S$51:$S$178,AE51+1)</f>
        <v/>
      </c>
      <c r="AM51">
        <f>INDEX($T$51:$T$178,AF51+1)</f>
        <v/>
      </c>
      <c r="AN51">
        <f>INDEX($U$51:$U$178,AG51+1)</f>
        <v/>
      </c>
      <c r="AO51">
        <f>INDEX($V$51:$V$178,AH51+1)</f>
        <v/>
      </c>
      <c r="AP51">
        <f>INDEX($W$51:$W$178,AI51+1)</f>
        <v/>
      </c>
      <c r="AQ51">
        <f>IF(Q51&gt;=AJ51-0.01,1,0)</f>
        <v/>
      </c>
      <c r="AR51">
        <f>IF(R51&gt;=AK51-0.01,1,0)</f>
        <v/>
      </c>
      <c r="AS51">
        <f>IF(S51&gt;=AL51-0.01,1,0)</f>
        <v/>
      </c>
      <c r="AT51">
        <f>IF(T51&gt;=AM51-0.01,1,0)</f>
        <v/>
      </c>
      <c r="AU51">
        <f>IF(U51&gt;=AN51-0.01,1,0)</f>
        <v/>
      </c>
      <c r="AV51">
        <f>IF(V51&gt;=AO51-0.01,1,0)</f>
        <v/>
      </c>
      <c r="AW51">
        <f>IF(W51&gt;=AP51-0.01,1,0)</f>
        <v/>
      </c>
      <c r="AX51">
        <f>AQ51*AR51*AS51*AT51*AU51*AV51*AW51</f>
        <v/>
      </c>
      <c r="AY51">
        <f>Assumptions!$B$41</f>
        <v/>
      </c>
      <c r="AZ51">
        <f>Assumptions!$B$33</f>
        <v/>
      </c>
      <c r="BA51">
        <f>Assumptions!$B$32</f>
        <v/>
      </c>
      <c r="BB51">
        <f>Assumptions!$B$31</f>
        <v/>
      </c>
      <c r="BC51">
        <f>Assumptions!$B$30</f>
        <v/>
      </c>
      <c r="BD51">
        <f>Assumptions!$B$29</f>
        <v/>
      </c>
      <c r="BE51">
        <f>Assumptions!$B$28</f>
        <v/>
      </c>
      <c r="BF51">
        <f>P51*Assumptions!$B$141</f>
        <v/>
      </c>
      <c r="BG51">
        <f>P51*Assumptions!$B$128</f>
        <v/>
      </c>
      <c r="BH51">
        <f>P51*Assumptions!$B$129</f>
        <v/>
      </c>
      <c r="BI51">
        <f>P51*Assumptions!$B$14</f>
        <v/>
      </c>
      <c r="BJ51">
        <f>P51*Assumptions!$B$13</f>
        <v/>
      </c>
      <c r="BK51">
        <f>P51*Assumptions!$B$12</f>
        <v/>
      </c>
      <c r="BL51">
        <f>P51*Assumptions!$B$11</f>
        <v/>
      </c>
    </row>
    <row r="52">
      <c r="A52" t="inlineStr">
        <is>
          <t>700M</t>
        </is>
      </c>
      <c r="B52">
        <f>Assumptions!$B$58</f>
        <v/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>
        <f>(1-C52)*Assumptions!$B$41+(1-D52)*Assumptions!$B$33+(1-E52)*Assumptions!$B$32+(1-F52)*Assumptions!$B$31+(1-G52)*Assumptions!$B$30+(1-H52)*Assumptions!$B$29+(1-I52)*Assumptions!$B$28</f>
        <v/>
      </c>
      <c r="K52">
        <f>C52*Assumptions!$B$141+D52*Assumptions!$B$128+E52*Assumptions!$B$129+F52*Assumptions!$B$14+G52*Assumptions!$B$13+H52*Assumptions!$B$12+I52*Assumptions!$B$11+Assumptions!$B$133+Assumptions!$B$137+Assumptions!$B$9</f>
        <v/>
      </c>
      <c r="L52">
        <f>B52-J52</f>
        <v/>
      </c>
      <c r="M52">
        <f>IF(K52&gt;0,IF(L52/K52&gt;=Assumptions!$B$37,1,0),0)</f>
        <v/>
      </c>
      <c r="N52">
        <f>K52+M52*Assumptions!$B$153</f>
        <v/>
      </c>
      <c r="O52">
        <f>L52+M52*Assumptions!$B$153*Assumptions!$B$37</f>
        <v/>
      </c>
      <c r="P52">
        <f>IF(N52&gt;0,O52/N52,0)</f>
        <v/>
      </c>
      <c r="Q52">
        <f>IF(C52=1,P52*Assumptions!$B$141,Assumptions!$B$41)</f>
        <v/>
      </c>
      <c r="R52">
        <f>IF(D52=1,P52*Assumptions!$B$128,Assumptions!$B$33)</f>
        <v/>
      </c>
      <c r="S52">
        <f>IF(E52=1,P52*Assumptions!$B$129,Assumptions!$B$32)</f>
        <v/>
      </c>
      <c r="T52">
        <f>IF(F52=1,P52*Assumptions!$B$14,Assumptions!$B$31)</f>
        <v/>
      </c>
      <c r="U52">
        <f>IF(G52=1,P52*Assumptions!$B$13,Assumptions!$B$30)</f>
        <v/>
      </c>
      <c r="V52">
        <f>IF(H52=1,P52*Assumptions!$B$12,Assumptions!$B$29)</f>
        <v/>
      </c>
      <c r="W52">
        <f>IF(I52=1,P52*Assumptions!$B$11,Assumptions!$B$28)</f>
        <v/>
      </c>
      <c r="X52">
        <f>P52*(Assumptions!$B$133+Assumptions!$B$137)</f>
        <v/>
      </c>
      <c r="Y52">
        <f>P52*Assumptions!$B$9</f>
        <v/>
      </c>
      <c r="Z52">
        <f>IF(M52=1,(P52-Assumptions!$B$37)*Assumptions!$B$153,0)</f>
        <v/>
      </c>
      <c r="AA52">
        <f>Q52+R52+S52+T52+U52+V52+W52+X52+Y52+Z52</f>
        <v/>
      </c>
      <c r="AB52" t="n">
        <v>1</v>
      </c>
      <c r="AC52" t="n">
        <v>65</v>
      </c>
      <c r="AD52" t="n">
        <v>33</v>
      </c>
      <c r="AE52" t="n">
        <v>17</v>
      </c>
      <c r="AF52" t="n">
        <v>9</v>
      </c>
      <c r="AG52" t="n">
        <v>5</v>
      </c>
      <c r="AH52" t="n">
        <v>3</v>
      </c>
      <c r="AI52" t="n">
        <v>0</v>
      </c>
      <c r="AJ52">
        <f>INDEX($Q$51:$Q$178,AC52+1)</f>
        <v/>
      </c>
      <c r="AK52">
        <f>INDEX($R$51:$R$178,AD52+1)</f>
        <v/>
      </c>
      <c r="AL52">
        <f>INDEX($S$51:$S$178,AE52+1)</f>
        <v/>
      </c>
      <c r="AM52">
        <f>INDEX($T$51:$T$178,AF52+1)</f>
        <v/>
      </c>
      <c r="AN52">
        <f>INDEX($U$51:$U$178,AG52+1)</f>
        <v/>
      </c>
      <c r="AO52">
        <f>INDEX($V$51:$V$178,AH52+1)</f>
        <v/>
      </c>
      <c r="AP52">
        <f>INDEX($W$51:$W$178,AI52+1)</f>
        <v/>
      </c>
      <c r="AQ52">
        <f>IF(Q52&gt;=AJ52-0.01,1,0)</f>
        <v/>
      </c>
      <c r="AR52">
        <f>IF(R52&gt;=AK52-0.01,1,0)</f>
        <v/>
      </c>
      <c r="AS52">
        <f>IF(S52&gt;=AL52-0.01,1,0)</f>
        <v/>
      </c>
      <c r="AT52">
        <f>IF(T52&gt;=AM52-0.01,1,0)</f>
        <v/>
      </c>
      <c r="AU52">
        <f>IF(U52&gt;=AN52-0.01,1,0)</f>
        <v/>
      </c>
      <c r="AV52">
        <f>IF(V52&gt;=AO52-0.01,1,0)</f>
        <v/>
      </c>
      <c r="AW52">
        <f>IF(W52&gt;=AP52-0.01,1,0)</f>
        <v/>
      </c>
      <c r="AX52">
        <f>AQ52*AR52*AS52*AT52*AU52*AV52*AW52</f>
        <v/>
      </c>
      <c r="AY52">
        <f>Assumptions!$B$41</f>
        <v/>
      </c>
      <c r="AZ52">
        <f>Assumptions!$B$33</f>
        <v/>
      </c>
      <c r="BA52">
        <f>Assumptions!$B$32</f>
        <v/>
      </c>
      <c r="BB52">
        <f>Assumptions!$B$31</f>
        <v/>
      </c>
      <c r="BC52">
        <f>Assumptions!$B$30</f>
        <v/>
      </c>
      <c r="BD52">
        <f>Assumptions!$B$29</f>
        <v/>
      </c>
      <c r="BE52">
        <f>Assumptions!$B$28</f>
        <v/>
      </c>
      <c r="BF52">
        <f>P52*Assumptions!$B$141</f>
        <v/>
      </c>
      <c r="BG52">
        <f>P52*Assumptions!$B$128</f>
        <v/>
      </c>
      <c r="BH52">
        <f>P52*Assumptions!$B$129</f>
        <v/>
      </c>
      <c r="BI52">
        <f>P52*Assumptions!$B$14</f>
        <v/>
      </c>
      <c r="BJ52">
        <f>P52*Assumptions!$B$13</f>
        <v/>
      </c>
      <c r="BK52">
        <f>P52*Assumptions!$B$12</f>
        <v/>
      </c>
      <c r="BL52">
        <f>P52*Assumptions!$B$11</f>
        <v/>
      </c>
    </row>
    <row r="53">
      <c r="A53" t="inlineStr">
        <is>
          <t>700M</t>
        </is>
      </c>
      <c r="B53">
        <f>Assumptions!$B$58</f>
        <v/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>
        <f>(1-C53)*Assumptions!$B$41+(1-D53)*Assumptions!$B$33+(1-E53)*Assumptions!$B$32+(1-F53)*Assumptions!$B$31+(1-G53)*Assumptions!$B$30+(1-H53)*Assumptions!$B$29+(1-I53)*Assumptions!$B$28</f>
        <v/>
      </c>
      <c r="K53">
        <f>C53*Assumptions!$B$141+D53*Assumptions!$B$128+E53*Assumptions!$B$129+F53*Assumptions!$B$14+G53*Assumptions!$B$13+H53*Assumptions!$B$12+I53*Assumptions!$B$11+Assumptions!$B$133+Assumptions!$B$137+Assumptions!$B$9</f>
        <v/>
      </c>
      <c r="L53">
        <f>B53-J53</f>
        <v/>
      </c>
      <c r="M53">
        <f>IF(K53&gt;0,IF(L53/K53&gt;=Assumptions!$B$37,1,0),0)</f>
        <v/>
      </c>
      <c r="N53">
        <f>K53+M53*Assumptions!$B$153</f>
        <v/>
      </c>
      <c r="O53">
        <f>L53+M53*Assumptions!$B$153*Assumptions!$B$37</f>
        <v/>
      </c>
      <c r="P53">
        <f>IF(N53&gt;0,O53/N53,0)</f>
        <v/>
      </c>
      <c r="Q53">
        <f>IF(C53=1,P53*Assumptions!$B$141,Assumptions!$B$41)</f>
        <v/>
      </c>
      <c r="R53">
        <f>IF(D53=1,P53*Assumptions!$B$128,Assumptions!$B$33)</f>
        <v/>
      </c>
      <c r="S53">
        <f>IF(E53=1,P53*Assumptions!$B$129,Assumptions!$B$32)</f>
        <v/>
      </c>
      <c r="T53">
        <f>IF(F53=1,P53*Assumptions!$B$14,Assumptions!$B$31)</f>
        <v/>
      </c>
      <c r="U53">
        <f>IF(G53=1,P53*Assumptions!$B$13,Assumptions!$B$30)</f>
        <v/>
      </c>
      <c r="V53">
        <f>IF(H53=1,P53*Assumptions!$B$12,Assumptions!$B$29)</f>
        <v/>
      </c>
      <c r="W53">
        <f>IF(I53=1,P53*Assumptions!$B$11,Assumptions!$B$28)</f>
        <v/>
      </c>
      <c r="X53">
        <f>P53*(Assumptions!$B$133+Assumptions!$B$137)</f>
        <v/>
      </c>
      <c r="Y53">
        <f>P53*Assumptions!$B$9</f>
        <v/>
      </c>
      <c r="Z53">
        <f>IF(M53=1,(P53-Assumptions!$B$37)*Assumptions!$B$153,0)</f>
        <v/>
      </c>
      <c r="AA53">
        <f>Q53+R53+S53+T53+U53+V53+W53+X53+Y53+Z53</f>
        <v/>
      </c>
      <c r="AB53" t="n">
        <v>2</v>
      </c>
      <c r="AC53" t="n">
        <v>66</v>
      </c>
      <c r="AD53" t="n">
        <v>34</v>
      </c>
      <c r="AE53" t="n">
        <v>18</v>
      </c>
      <c r="AF53" t="n">
        <v>10</v>
      </c>
      <c r="AG53" t="n">
        <v>6</v>
      </c>
      <c r="AH53" t="n">
        <v>0</v>
      </c>
      <c r="AI53" t="n">
        <v>3</v>
      </c>
      <c r="AJ53">
        <f>INDEX($Q$51:$Q$178,AC53+1)</f>
        <v/>
      </c>
      <c r="AK53">
        <f>INDEX($R$51:$R$178,AD53+1)</f>
        <v/>
      </c>
      <c r="AL53">
        <f>INDEX($S$51:$S$178,AE53+1)</f>
        <v/>
      </c>
      <c r="AM53">
        <f>INDEX($T$51:$T$178,AF53+1)</f>
        <v/>
      </c>
      <c r="AN53">
        <f>INDEX($U$51:$U$178,AG53+1)</f>
        <v/>
      </c>
      <c r="AO53">
        <f>INDEX($V$51:$V$178,AH53+1)</f>
        <v/>
      </c>
      <c r="AP53">
        <f>INDEX($W$51:$W$178,AI53+1)</f>
        <v/>
      </c>
      <c r="AQ53">
        <f>IF(Q53&gt;=AJ53-0.01,1,0)</f>
        <v/>
      </c>
      <c r="AR53">
        <f>IF(R53&gt;=AK53-0.01,1,0)</f>
        <v/>
      </c>
      <c r="AS53">
        <f>IF(S53&gt;=AL53-0.01,1,0)</f>
        <v/>
      </c>
      <c r="AT53">
        <f>IF(T53&gt;=AM53-0.01,1,0)</f>
        <v/>
      </c>
      <c r="AU53">
        <f>IF(U53&gt;=AN53-0.01,1,0)</f>
        <v/>
      </c>
      <c r="AV53">
        <f>IF(V53&gt;=AO53-0.01,1,0)</f>
        <v/>
      </c>
      <c r="AW53">
        <f>IF(W53&gt;=AP53-0.01,1,0)</f>
        <v/>
      </c>
      <c r="AX53">
        <f>AQ53*AR53*AS53*AT53*AU53*AV53*AW53</f>
        <v/>
      </c>
      <c r="AY53">
        <f>Assumptions!$B$41</f>
        <v/>
      </c>
      <c r="AZ53">
        <f>Assumptions!$B$33</f>
        <v/>
      </c>
      <c r="BA53">
        <f>Assumptions!$B$32</f>
        <v/>
      </c>
      <c r="BB53">
        <f>Assumptions!$B$31</f>
        <v/>
      </c>
      <c r="BC53">
        <f>Assumptions!$B$30</f>
        <v/>
      </c>
      <c r="BD53">
        <f>Assumptions!$B$29</f>
        <v/>
      </c>
      <c r="BE53">
        <f>Assumptions!$B$28</f>
        <v/>
      </c>
      <c r="BF53">
        <f>P53*Assumptions!$B$141</f>
        <v/>
      </c>
      <c r="BG53">
        <f>P53*Assumptions!$B$128</f>
        <v/>
      </c>
      <c r="BH53">
        <f>P53*Assumptions!$B$129</f>
        <v/>
      </c>
      <c r="BI53">
        <f>P53*Assumptions!$B$14</f>
        <v/>
      </c>
      <c r="BJ53">
        <f>P53*Assumptions!$B$13</f>
        <v/>
      </c>
      <c r="BK53">
        <f>P53*Assumptions!$B$12</f>
        <v/>
      </c>
      <c r="BL53">
        <f>P53*Assumptions!$B$11</f>
        <v/>
      </c>
    </row>
    <row r="54">
      <c r="A54" t="inlineStr">
        <is>
          <t>700M</t>
        </is>
      </c>
      <c r="B54">
        <f>Assumptions!$B$58</f>
        <v/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>
        <f>(1-C54)*Assumptions!$B$41+(1-D54)*Assumptions!$B$33+(1-E54)*Assumptions!$B$32+(1-F54)*Assumptions!$B$31+(1-G54)*Assumptions!$B$30+(1-H54)*Assumptions!$B$29+(1-I54)*Assumptions!$B$28</f>
        <v/>
      </c>
      <c r="K54">
        <f>C54*Assumptions!$B$141+D54*Assumptions!$B$128+E54*Assumptions!$B$129+F54*Assumptions!$B$14+G54*Assumptions!$B$13+H54*Assumptions!$B$12+I54*Assumptions!$B$11+Assumptions!$B$133+Assumptions!$B$137+Assumptions!$B$9</f>
        <v/>
      </c>
      <c r="L54">
        <f>B54-J54</f>
        <v/>
      </c>
      <c r="M54">
        <f>IF(K54&gt;0,IF(L54/K54&gt;=Assumptions!$B$37,1,0),0)</f>
        <v/>
      </c>
      <c r="N54">
        <f>K54+M54*Assumptions!$B$153</f>
        <v/>
      </c>
      <c r="O54">
        <f>L54+M54*Assumptions!$B$153*Assumptions!$B$37</f>
        <v/>
      </c>
      <c r="P54">
        <f>IF(N54&gt;0,O54/N54,0)</f>
        <v/>
      </c>
      <c r="Q54">
        <f>IF(C54=1,P54*Assumptions!$B$141,Assumptions!$B$41)</f>
        <v/>
      </c>
      <c r="R54">
        <f>IF(D54=1,P54*Assumptions!$B$128,Assumptions!$B$33)</f>
        <v/>
      </c>
      <c r="S54">
        <f>IF(E54=1,P54*Assumptions!$B$129,Assumptions!$B$32)</f>
        <v/>
      </c>
      <c r="T54">
        <f>IF(F54=1,P54*Assumptions!$B$14,Assumptions!$B$31)</f>
        <v/>
      </c>
      <c r="U54">
        <f>IF(G54=1,P54*Assumptions!$B$13,Assumptions!$B$30)</f>
        <v/>
      </c>
      <c r="V54">
        <f>IF(H54=1,P54*Assumptions!$B$12,Assumptions!$B$29)</f>
        <v/>
      </c>
      <c r="W54">
        <f>IF(I54=1,P54*Assumptions!$B$11,Assumptions!$B$28)</f>
        <v/>
      </c>
      <c r="X54">
        <f>P54*(Assumptions!$B$133+Assumptions!$B$137)</f>
        <v/>
      </c>
      <c r="Y54">
        <f>P54*Assumptions!$B$9</f>
        <v/>
      </c>
      <c r="Z54">
        <f>IF(M54=1,(P54-Assumptions!$B$37)*Assumptions!$B$153,0)</f>
        <v/>
      </c>
      <c r="AA54">
        <f>Q54+R54+S54+T54+U54+V54+W54+X54+Y54+Z54</f>
        <v/>
      </c>
      <c r="AB54" t="n">
        <v>3</v>
      </c>
      <c r="AC54" t="n">
        <v>67</v>
      </c>
      <c r="AD54" t="n">
        <v>35</v>
      </c>
      <c r="AE54" t="n">
        <v>19</v>
      </c>
      <c r="AF54" t="n">
        <v>11</v>
      </c>
      <c r="AG54" t="n">
        <v>7</v>
      </c>
      <c r="AH54" t="n">
        <v>1</v>
      </c>
      <c r="AI54" t="n">
        <v>2</v>
      </c>
      <c r="AJ54">
        <f>INDEX($Q$51:$Q$178,AC54+1)</f>
        <v/>
      </c>
      <c r="AK54">
        <f>INDEX($R$51:$R$178,AD54+1)</f>
        <v/>
      </c>
      <c r="AL54">
        <f>INDEX($S$51:$S$178,AE54+1)</f>
        <v/>
      </c>
      <c r="AM54">
        <f>INDEX($T$51:$T$178,AF54+1)</f>
        <v/>
      </c>
      <c r="AN54">
        <f>INDEX($U$51:$U$178,AG54+1)</f>
        <v/>
      </c>
      <c r="AO54">
        <f>INDEX($V$51:$V$178,AH54+1)</f>
        <v/>
      </c>
      <c r="AP54">
        <f>INDEX($W$51:$W$178,AI54+1)</f>
        <v/>
      </c>
      <c r="AQ54">
        <f>IF(Q54&gt;=AJ54-0.01,1,0)</f>
        <v/>
      </c>
      <c r="AR54">
        <f>IF(R54&gt;=AK54-0.01,1,0)</f>
        <v/>
      </c>
      <c r="AS54">
        <f>IF(S54&gt;=AL54-0.01,1,0)</f>
        <v/>
      </c>
      <c r="AT54">
        <f>IF(T54&gt;=AM54-0.01,1,0)</f>
        <v/>
      </c>
      <c r="AU54">
        <f>IF(U54&gt;=AN54-0.01,1,0)</f>
        <v/>
      </c>
      <c r="AV54">
        <f>IF(V54&gt;=AO54-0.01,1,0)</f>
        <v/>
      </c>
      <c r="AW54">
        <f>IF(W54&gt;=AP54-0.01,1,0)</f>
        <v/>
      </c>
      <c r="AX54">
        <f>AQ54*AR54*AS54*AT54*AU54*AV54*AW54</f>
        <v/>
      </c>
      <c r="AY54">
        <f>Assumptions!$B$41</f>
        <v/>
      </c>
      <c r="AZ54">
        <f>Assumptions!$B$33</f>
        <v/>
      </c>
      <c r="BA54">
        <f>Assumptions!$B$32</f>
        <v/>
      </c>
      <c r="BB54">
        <f>Assumptions!$B$31</f>
        <v/>
      </c>
      <c r="BC54">
        <f>Assumptions!$B$30</f>
        <v/>
      </c>
      <c r="BD54">
        <f>Assumptions!$B$29</f>
        <v/>
      </c>
      <c r="BE54">
        <f>Assumptions!$B$28</f>
        <v/>
      </c>
      <c r="BF54">
        <f>P54*Assumptions!$B$141</f>
        <v/>
      </c>
      <c r="BG54">
        <f>P54*Assumptions!$B$128</f>
        <v/>
      </c>
      <c r="BH54">
        <f>P54*Assumptions!$B$129</f>
        <v/>
      </c>
      <c r="BI54">
        <f>P54*Assumptions!$B$14</f>
        <v/>
      </c>
      <c r="BJ54">
        <f>P54*Assumptions!$B$13</f>
        <v/>
      </c>
      <c r="BK54">
        <f>P54*Assumptions!$B$12</f>
        <v/>
      </c>
      <c r="BL54">
        <f>P54*Assumptions!$B$11</f>
        <v/>
      </c>
    </row>
    <row r="55">
      <c r="A55" t="inlineStr">
        <is>
          <t>700M</t>
        </is>
      </c>
      <c r="B55">
        <f>Assumptions!$B$58</f>
        <v/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>
        <f>(1-C55)*Assumptions!$B$41+(1-D55)*Assumptions!$B$33+(1-E55)*Assumptions!$B$32+(1-F55)*Assumptions!$B$31+(1-G55)*Assumptions!$B$30+(1-H55)*Assumptions!$B$29+(1-I55)*Assumptions!$B$28</f>
        <v/>
      </c>
      <c r="K55">
        <f>C55*Assumptions!$B$141+D55*Assumptions!$B$128+E55*Assumptions!$B$129+F55*Assumptions!$B$14+G55*Assumptions!$B$13+H55*Assumptions!$B$12+I55*Assumptions!$B$11+Assumptions!$B$133+Assumptions!$B$137+Assumptions!$B$9</f>
        <v/>
      </c>
      <c r="L55">
        <f>B55-J55</f>
        <v/>
      </c>
      <c r="M55">
        <f>IF(K55&gt;0,IF(L55/K55&gt;=Assumptions!$B$37,1,0),0)</f>
        <v/>
      </c>
      <c r="N55">
        <f>K55+M55*Assumptions!$B$153</f>
        <v/>
      </c>
      <c r="O55">
        <f>L55+M55*Assumptions!$B$153*Assumptions!$B$37</f>
        <v/>
      </c>
      <c r="P55">
        <f>IF(N55&gt;0,O55/N55,0)</f>
        <v/>
      </c>
      <c r="Q55">
        <f>IF(C55=1,P55*Assumptions!$B$141,Assumptions!$B$41)</f>
        <v/>
      </c>
      <c r="R55">
        <f>IF(D55=1,P55*Assumptions!$B$128,Assumptions!$B$33)</f>
        <v/>
      </c>
      <c r="S55">
        <f>IF(E55=1,P55*Assumptions!$B$129,Assumptions!$B$32)</f>
        <v/>
      </c>
      <c r="T55">
        <f>IF(F55=1,P55*Assumptions!$B$14,Assumptions!$B$31)</f>
        <v/>
      </c>
      <c r="U55">
        <f>IF(G55=1,P55*Assumptions!$B$13,Assumptions!$B$30)</f>
        <v/>
      </c>
      <c r="V55">
        <f>IF(H55=1,P55*Assumptions!$B$12,Assumptions!$B$29)</f>
        <v/>
      </c>
      <c r="W55">
        <f>IF(I55=1,P55*Assumptions!$B$11,Assumptions!$B$28)</f>
        <v/>
      </c>
      <c r="X55">
        <f>P55*(Assumptions!$B$133+Assumptions!$B$137)</f>
        <v/>
      </c>
      <c r="Y55">
        <f>P55*Assumptions!$B$9</f>
        <v/>
      </c>
      <c r="Z55">
        <f>IF(M55=1,(P55-Assumptions!$B$37)*Assumptions!$B$153,0)</f>
        <v/>
      </c>
      <c r="AA55">
        <f>Q55+R55+S55+T55+U55+V55+W55+X55+Y55+Z55</f>
        <v/>
      </c>
      <c r="AB55" t="n">
        <v>4</v>
      </c>
      <c r="AC55" t="n">
        <v>68</v>
      </c>
      <c r="AD55" t="n">
        <v>36</v>
      </c>
      <c r="AE55" t="n">
        <v>20</v>
      </c>
      <c r="AF55" t="n">
        <v>12</v>
      </c>
      <c r="AG55" t="n">
        <v>0</v>
      </c>
      <c r="AH55" t="n">
        <v>6</v>
      </c>
      <c r="AI55" t="n">
        <v>5</v>
      </c>
      <c r="AJ55">
        <f>INDEX($Q$51:$Q$178,AC55+1)</f>
        <v/>
      </c>
      <c r="AK55">
        <f>INDEX($R$51:$R$178,AD55+1)</f>
        <v/>
      </c>
      <c r="AL55">
        <f>INDEX($S$51:$S$178,AE55+1)</f>
        <v/>
      </c>
      <c r="AM55">
        <f>INDEX($T$51:$T$178,AF55+1)</f>
        <v/>
      </c>
      <c r="AN55">
        <f>INDEX($U$51:$U$178,AG55+1)</f>
        <v/>
      </c>
      <c r="AO55">
        <f>INDEX($V$51:$V$178,AH55+1)</f>
        <v/>
      </c>
      <c r="AP55">
        <f>INDEX($W$51:$W$178,AI55+1)</f>
        <v/>
      </c>
      <c r="AQ55">
        <f>IF(Q55&gt;=AJ55-0.01,1,0)</f>
        <v/>
      </c>
      <c r="AR55">
        <f>IF(R55&gt;=AK55-0.01,1,0)</f>
        <v/>
      </c>
      <c r="AS55">
        <f>IF(S55&gt;=AL55-0.01,1,0)</f>
        <v/>
      </c>
      <c r="AT55">
        <f>IF(T55&gt;=AM55-0.01,1,0)</f>
        <v/>
      </c>
      <c r="AU55">
        <f>IF(U55&gt;=AN55-0.01,1,0)</f>
        <v/>
      </c>
      <c r="AV55">
        <f>IF(V55&gt;=AO55-0.01,1,0)</f>
        <v/>
      </c>
      <c r="AW55">
        <f>IF(W55&gt;=AP55-0.01,1,0)</f>
        <v/>
      </c>
      <c r="AX55">
        <f>AQ55*AR55*AS55*AT55*AU55*AV55*AW55</f>
        <v/>
      </c>
      <c r="AY55">
        <f>Assumptions!$B$41</f>
        <v/>
      </c>
      <c r="AZ55">
        <f>Assumptions!$B$33</f>
        <v/>
      </c>
      <c r="BA55">
        <f>Assumptions!$B$32</f>
        <v/>
      </c>
      <c r="BB55">
        <f>Assumptions!$B$31</f>
        <v/>
      </c>
      <c r="BC55">
        <f>Assumptions!$B$30</f>
        <v/>
      </c>
      <c r="BD55">
        <f>Assumptions!$B$29</f>
        <v/>
      </c>
      <c r="BE55">
        <f>Assumptions!$B$28</f>
        <v/>
      </c>
      <c r="BF55">
        <f>P55*Assumptions!$B$141</f>
        <v/>
      </c>
      <c r="BG55">
        <f>P55*Assumptions!$B$128</f>
        <v/>
      </c>
      <c r="BH55">
        <f>P55*Assumptions!$B$129</f>
        <v/>
      </c>
      <c r="BI55">
        <f>P55*Assumptions!$B$14</f>
        <v/>
      </c>
      <c r="BJ55">
        <f>P55*Assumptions!$B$13</f>
        <v/>
      </c>
      <c r="BK55">
        <f>P55*Assumptions!$B$12</f>
        <v/>
      </c>
      <c r="BL55">
        <f>P55*Assumptions!$B$11</f>
        <v/>
      </c>
    </row>
    <row r="56">
      <c r="A56" t="inlineStr">
        <is>
          <t>700M</t>
        </is>
      </c>
      <c r="B56">
        <f>Assumptions!$B$58</f>
        <v/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>
        <f>(1-C56)*Assumptions!$B$41+(1-D56)*Assumptions!$B$33+(1-E56)*Assumptions!$B$32+(1-F56)*Assumptions!$B$31+(1-G56)*Assumptions!$B$30+(1-H56)*Assumptions!$B$29+(1-I56)*Assumptions!$B$28</f>
        <v/>
      </c>
      <c r="K56">
        <f>C56*Assumptions!$B$141+D56*Assumptions!$B$128+E56*Assumptions!$B$129+F56*Assumptions!$B$14+G56*Assumptions!$B$13+H56*Assumptions!$B$12+I56*Assumptions!$B$11+Assumptions!$B$133+Assumptions!$B$137+Assumptions!$B$9</f>
        <v/>
      </c>
      <c r="L56">
        <f>B56-J56</f>
        <v/>
      </c>
      <c r="M56">
        <f>IF(K56&gt;0,IF(L56/K56&gt;=Assumptions!$B$37,1,0),0)</f>
        <v/>
      </c>
      <c r="N56">
        <f>K56+M56*Assumptions!$B$153</f>
        <v/>
      </c>
      <c r="O56">
        <f>L56+M56*Assumptions!$B$153*Assumptions!$B$37</f>
        <v/>
      </c>
      <c r="P56">
        <f>IF(N56&gt;0,O56/N56,0)</f>
        <v/>
      </c>
      <c r="Q56">
        <f>IF(C56=1,P56*Assumptions!$B$141,Assumptions!$B$41)</f>
        <v/>
      </c>
      <c r="R56">
        <f>IF(D56=1,P56*Assumptions!$B$128,Assumptions!$B$33)</f>
        <v/>
      </c>
      <c r="S56">
        <f>IF(E56=1,P56*Assumptions!$B$129,Assumptions!$B$32)</f>
        <v/>
      </c>
      <c r="T56">
        <f>IF(F56=1,P56*Assumptions!$B$14,Assumptions!$B$31)</f>
        <v/>
      </c>
      <c r="U56">
        <f>IF(G56=1,P56*Assumptions!$B$13,Assumptions!$B$30)</f>
        <v/>
      </c>
      <c r="V56">
        <f>IF(H56=1,P56*Assumptions!$B$12,Assumptions!$B$29)</f>
        <v/>
      </c>
      <c r="W56">
        <f>IF(I56=1,P56*Assumptions!$B$11,Assumptions!$B$28)</f>
        <v/>
      </c>
      <c r="X56">
        <f>P56*(Assumptions!$B$133+Assumptions!$B$137)</f>
        <v/>
      </c>
      <c r="Y56">
        <f>P56*Assumptions!$B$9</f>
        <v/>
      </c>
      <c r="Z56">
        <f>IF(M56=1,(P56-Assumptions!$B$37)*Assumptions!$B$153,0)</f>
        <v/>
      </c>
      <c r="AA56">
        <f>Q56+R56+S56+T56+U56+V56+W56+X56+Y56+Z56</f>
        <v/>
      </c>
      <c r="AB56" t="n">
        <v>5</v>
      </c>
      <c r="AC56" t="n">
        <v>69</v>
      </c>
      <c r="AD56" t="n">
        <v>37</v>
      </c>
      <c r="AE56" t="n">
        <v>21</v>
      </c>
      <c r="AF56" t="n">
        <v>13</v>
      </c>
      <c r="AG56" t="n">
        <v>1</v>
      </c>
      <c r="AH56" t="n">
        <v>7</v>
      </c>
      <c r="AI56" t="n">
        <v>4</v>
      </c>
      <c r="AJ56">
        <f>INDEX($Q$51:$Q$178,AC56+1)</f>
        <v/>
      </c>
      <c r="AK56">
        <f>INDEX($R$51:$R$178,AD56+1)</f>
        <v/>
      </c>
      <c r="AL56">
        <f>INDEX($S$51:$S$178,AE56+1)</f>
        <v/>
      </c>
      <c r="AM56">
        <f>INDEX($T$51:$T$178,AF56+1)</f>
        <v/>
      </c>
      <c r="AN56">
        <f>INDEX($U$51:$U$178,AG56+1)</f>
        <v/>
      </c>
      <c r="AO56">
        <f>INDEX($V$51:$V$178,AH56+1)</f>
        <v/>
      </c>
      <c r="AP56">
        <f>INDEX($W$51:$W$178,AI56+1)</f>
        <v/>
      </c>
      <c r="AQ56">
        <f>IF(Q56&gt;=AJ56-0.01,1,0)</f>
        <v/>
      </c>
      <c r="AR56">
        <f>IF(R56&gt;=AK56-0.01,1,0)</f>
        <v/>
      </c>
      <c r="AS56">
        <f>IF(S56&gt;=AL56-0.01,1,0)</f>
        <v/>
      </c>
      <c r="AT56">
        <f>IF(T56&gt;=AM56-0.01,1,0)</f>
        <v/>
      </c>
      <c r="AU56">
        <f>IF(U56&gt;=AN56-0.01,1,0)</f>
        <v/>
      </c>
      <c r="AV56">
        <f>IF(V56&gt;=AO56-0.01,1,0)</f>
        <v/>
      </c>
      <c r="AW56">
        <f>IF(W56&gt;=AP56-0.01,1,0)</f>
        <v/>
      </c>
      <c r="AX56">
        <f>AQ56*AR56*AS56*AT56*AU56*AV56*AW56</f>
        <v/>
      </c>
      <c r="AY56">
        <f>Assumptions!$B$41</f>
        <v/>
      </c>
      <c r="AZ56">
        <f>Assumptions!$B$33</f>
        <v/>
      </c>
      <c r="BA56">
        <f>Assumptions!$B$32</f>
        <v/>
      </c>
      <c r="BB56">
        <f>Assumptions!$B$31</f>
        <v/>
      </c>
      <c r="BC56">
        <f>Assumptions!$B$30</f>
        <v/>
      </c>
      <c r="BD56">
        <f>Assumptions!$B$29</f>
        <v/>
      </c>
      <c r="BE56">
        <f>Assumptions!$B$28</f>
        <v/>
      </c>
      <c r="BF56">
        <f>P56*Assumptions!$B$141</f>
        <v/>
      </c>
      <c r="BG56">
        <f>P56*Assumptions!$B$128</f>
        <v/>
      </c>
      <c r="BH56">
        <f>P56*Assumptions!$B$129</f>
        <v/>
      </c>
      <c r="BI56">
        <f>P56*Assumptions!$B$14</f>
        <v/>
      </c>
      <c r="BJ56">
        <f>P56*Assumptions!$B$13</f>
        <v/>
      </c>
      <c r="BK56">
        <f>P56*Assumptions!$B$12</f>
        <v/>
      </c>
      <c r="BL56">
        <f>P56*Assumptions!$B$11</f>
        <v/>
      </c>
    </row>
    <row r="57">
      <c r="A57" t="inlineStr">
        <is>
          <t>700M</t>
        </is>
      </c>
      <c r="B57">
        <f>Assumptions!$B$58</f>
        <v/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>
        <f>(1-C57)*Assumptions!$B$41+(1-D57)*Assumptions!$B$33+(1-E57)*Assumptions!$B$32+(1-F57)*Assumptions!$B$31+(1-G57)*Assumptions!$B$30+(1-H57)*Assumptions!$B$29+(1-I57)*Assumptions!$B$28</f>
        <v/>
      </c>
      <c r="K57">
        <f>C57*Assumptions!$B$141+D57*Assumptions!$B$128+E57*Assumptions!$B$129+F57*Assumptions!$B$14+G57*Assumptions!$B$13+H57*Assumptions!$B$12+I57*Assumptions!$B$11+Assumptions!$B$133+Assumptions!$B$137+Assumptions!$B$9</f>
        <v/>
      </c>
      <c r="L57">
        <f>B57-J57</f>
        <v/>
      </c>
      <c r="M57">
        <f>IF(K57&gt;0,IF(L57/K57&gt;=Assumptions!$B$37,1,0),0)</f>
        <v/>
      </c>
      <c r="N57">
        <f>K57+M57*Assumptions!$B$153</f>
        <v/>
      </c>
      <c r="O57">
        <f>L57+M57*Assumptions!$B$153*Assumptions!$B$37</f>
        <v/>
      </c>
      <c r="P57">
        <f>IF(N57&gt;0,O57/N57,0)</f>
        <v/>
      </c>
      <c r="Q57">
        <f>IF(C57=1,P57*Assumptions!$B$141,Assumptions!$B$41)</f>
        <v/>
      </c>
      <c r="R57">
        <f>IF(D57=1,P57*Assumptions!$B$128,Assumptions!$B$33)</f>
        <v/>
      </c>
      <c r="S57">
        <f>IF(E57=1,P57*Assumptions!$B$129,Assumptions!$B$32)</f>
        <v/>
      </c>
      <c r="T57">
        <f>IF(F57=1,P57*Assumptions!$B$14,Assumptions!$B$31)</f>
        <v/>
      </c>
      <c r="U57">
        <f>IF(G57=1,P57*Assumptions!$B$13,Assumptions!$B$30)</f>
        <v/>
      </c>
      <c r="V57">
        <f>IF(H57=1,P57*Assumptions!$B$12,Assumptions!$B$29)</f>
        <v/>
      </c>
      <c r="W57">
        <f>IF(I57=1,P57*Assumptions!$B$11,Assumptions!$B$28)</f>
        <v/>
      </c>
      <c r="X57">
        <f>P57*(Assumptions!$B$133+Assumptions!$B$137)</f>
        <v/>
      </c>
      <c r="Y57">
        <f>P57*Assumptions!$B$9</f>
        <v/>
      </c>
      <c r="Z57">
        <f>IF(M57=1,(P57-Assumptions!$B$37)*Assumptions!$B$153,0)</f>
        <v/>
      </c>
      <c r="AA57">
        <f>Q57+R57+S57+T57+U57+V57+W57+X57+Y57+Z57</f>
        <v/>
      </c>
      <c r="AB57" t="n">
        <v>6</v>
      </c>
      <c r="AC57" t="n">
        <v>70</v>
      </c>
      <c r="AD57" t="n">
        <v>38</v>
      </c>
      <c r="AE57" t="n">
        <v>22</v>
      </c>
      <c r="AF57" t="n">
        <v>14</v>
      </c>
      <c r="AG57" t="n">
        <v>2</v>
      </c>
      <c r="AH57" t="n">
        <v>4</v>
      </c>
      <c r="AI57" t="n">
        <v>7</v>
      </c>
      <c r="AJ57">
        <f>INDEX($Q$51:$Q$178,AC57+1)</f>
        <v/>
      </c>
      <c r="AK57">
        <f>INDEX($R$51:$R$178,AD57+1)</f>
        <v/>
      </c>
      <c r="AL57">
        <f>INDEX($S$51:$S$178,AE57+1)</f>
        <v/>
      </c>
      <c r="AM57">
        <f>INDEX($T$51:$T$178,AF57+1)</f>
        <v/>
      </c>
      <c r="AN57">
        <f>INDEX($U$51:$U$178,AG57+1)</f>
        <v/>
      </c>
      <c r="AO57">
        <f>INDEX($V$51:$V$178,AH57+1)</f>
        <v/>
      </c>
      <c r="AP57">
        <f>INDEX($W$51:$W$178,AI57+1)</f>
        <v/>
      </c>
      <c r="AQ57">
        <f>IF(Q57&gt;=AJ57-0.01,1,0)</f>
        <v/>
      </c>
      <c r="AR57">
        <f>IF(R57&gt;=AK57-0.01,1,0)</f>
        <v/>
      </c>
      <c r="AS57">
        <f>IF(S57&gt;=AL57-0.01,1,0)</f>
        <v/>
      </c>
      <c r="AT57">
        <f>IF(T57&gt;=AM57-0.01,1,0)</f>
        <v/>
      </c>
      <c r="AU57">
        <f>IF(U57&gt;=AN57-0.01,1,0)</f>
        <v/>
      </c>
      <c r="AV57">
        <f>IF(V57&gt;=AO57-0.01,1,0)</f>
        <v/>
      </c>
      <c r="AW57">
        <f>IF(W57&gt;=AP57-0.01,1,0)</f>
        <v/>
      </c>
      <c r="AX57">
        <f>AQ57*AR57*AS57*AT57*AU57*AV57*AW57</f>
        <v/>
      </c>
      <c r="AY57">
        <f>Assumptions!$B$41</f>
        <v/>
      </c>
      <c r="AZ57">
        <f>Assumptions!$B$33</f>
        <v/>
      </c>
      <c r="BA57">
        <f>Assumptions!$B$32</f>
        <v/>
      </c>
      <c r="BB57">
        <f>Assumptions!$B$31</f>
        <v/>
      </c>
      <c r="BC57">
        <f>Assumptions!$B$30</f>
        <v/>
      </c>
      <c r="BD57">
        <f>Assumptions!$B$29</f>
        <v/>
      </c>
      <c r="BE57">
        <f>Assumptions!$B$28</f>
        <v/>
      </c>
      <c r="BF57">
        <f>P57*Assumptions!$B$141</f>
        <v/>
      </c>
      <c r="BG57">
        <f>P57*Assumptions!$B$128</f>
        <v/>
      </c>
      <c r="BH57">
        <f>P57*Assumptions!$B$129</f>
        <v/>
      </c>
      <c r="BI57">
        <f>P57*Assumptions!$B$14</f>
        <v/>
      </c>
      <c r="BJ57">
        <f>P57*Assumptions!$B$13</f>
        <v/>
      </c>
      <c r="BK57">
        <f>P57*Assumptions!$B$12</f>
        <v/>
      </c>
      <c r="BL57">
        <f>P57*Assumptions!$B$11</f>
        <v/>
      </c>
    </row>
    <row r="58">
      <c r="A58" t="inlineStr">
        <is>
          <t>700M</t>
        </is>
      </c>
      <c r="B58">
        <f>Assumptions!$B$58</f>
        <v/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>
        <f>(1-C58)*Assumptions!$B$41+(1-D58)*Assumptions!$B$33+(1-E58)*Assumptions!$B$32+(1-F58)*Assumptions!$B$31+(1-G58)*Assumptions!$B$30+(1-H58)*Assumptions!$B$29+(1-I58)*Assumptions!$B$28</f>
        <v/>
      </c>
      <c r="K58">
        <f>C58*Assumptions!$B$141+D58*Assumptions!$B$128+E58*Assumptions!$B$129+F58*Assumptions!$B$14+G58*Assumptions!$B$13+H58*Assumptions!$B$12+I58*Assumptions!$B$11+Assumptions!$B$133+Assumptions!$B$137+Assumptions!$B$9</f>
        <v/>
      </c>
      <c r="L58">
        <f>B58-J58</f>
        <v/>
      </c>
      <c r="M58">
        <f>IF(K58&gt;0,IF(L58/K58&gt;=Assumptions!$B$37,1,0),0)</f>
        <v/>
      </c>
      <c r="N58">
        <f>K58+M58*Assumptions!$B$153</f>
        <v/>
      </c>
      <c r="O58">
        <f>L58+M58*Assumptions!$B$153*Assumptions!$B$37</f>
        <v/>
      </c>
      <c r="P58">
        <f>IF(N58&gt;0,O58/N58,0)</f>
        <v/>
      </c>
      <c r="Q58">
        <f>IF(C58=1,P58*Assumptions!$B$141,Assumptions!$B$41)</f>
        <v/>
      </c>
      <c r="R58">
        <f>IF(D58=1,P58*Assumptions!$B$128,Assumptions!$B$33)</f>
        <v/>
      </c>
      <c r="S58">
        <f>IF(E58=1,P58*Assumptions!$B$129,Assumptions!$B$32)</f>
        <v/>
      </c>
      <c r="T58">
        <f>IF(F58=1,P58*Assumptions!$B$14,Assumptions!$B$31)</f>
        <v/>
      </c>
      <c r="U58">
        <f>IF(G58=1,P58*Assumptions!$B$13,Assumptions!$B$30)</f>
        <v/>
      </c>
      <c r="V58">
        <f>IF(H58=1,P58*Assumptions!$B$12,Assumptions!$B$29)</f>
        <v/>
      </c>
      <c r="W58">
        <f>IF(I58=1,P58*Assumptions!$B$11,Assumptions!$B$28)</f>
        <v/>
      </c>
      <c r="X58">
        <f>P58*(Assumptions!$B$133+Assumptions!$B$137)</f>
        <v/>
      </c>
      <c r="Y58">
        <f>P58*Assumptions!$B$9</f>
        <v/>
      </c>
      <c r="Z58">
        <f>IF(M58=1,(P58-Assumptions!$B$37)*Assumptions!$B$153,0)</f>
        <v/>
      </c>
      <c r="AA58">
        <f>Q58+R58+S58+T58+U58+V58+W58+X58+Y58+Z58</f>
        <v/>
      </c>
      <c r="AB58" t="n">
        <v>7</v>
      </c>
      <c r="AC58" t="n">
        <v>71</v>
      </c>
      <c r="AD58" t="n">
        <v>39</v>
      </c>
      <c r="AE58" t="n">
        <v>23</v>
      </c>
      <c r="AF58" t="n">
        <v>15</v>
      </c>
      <c r="AG58" t="n">
        <v>3</v>
      </c>
      <c r="AH58" t="n">
        <v>5</v>
      </c>
      <c r="AI58" t="n">
        <v>6</v>
      </c>
      <c r="AJ58">
        <f>INDEX($Q$51:$Q$178,AC58+1)</f>
        <v/>
      </c>
      <c r="AK58">
        <f>INDEX($R$51:$R$178,AD58+1)</f>
        <v/>
      </c>
      <c r="AL58">
        <f>INDEX($S$51:$S$178,AE58+1)</f>
        <v/>
      </c>
      <c r="AM58">
        <f>INDEX($T$51:$T$178,AF58+1)</f>
        <v/>
      </c>
      <c r="AN58">
        <f>INDEX($U$51:$U$178,AG58+1)</f>
        <v/>
      </c>
      <c r="AO58">
        <f>INDEX($V$51:$V$178,AH58+1)</f>
        <v/>
      </c>
      <c r="AP58">
        <f>INDEX($W$51:$W$178,AI58+1)</f>
        <v/>
      </c>
      <c r="AQ58">
        <f>IF(Q58&gt;=AJ58-0.01,1,0)</f>
        <v/>
      </c>
      <c r="AR58">
        <f>IF(R58&gt;=AK58-0.01,1,0)</f>
        <v/>
      </c>
      <c r="AS58">
        <f>IF(S58&gt;=AL58-0.01,1,0)</f>
        <v/>
      </c>
      <c r="AT58">
        <f>IF(T58&gt;=AM58-0.01,1,0)</f>
        <v/>
      </c>
      <c r="AU58">
        <f>IF(U58&gt;=AN58-0.01,1,0)</f>
        <v/>
      </c>
      <c r="AV58">
        <f>IF(V58&gt;=AO58-0.01,1,0)</f>
        <v/>
      </c>
      <c r="AW58">
        <f>IF(W58&gt;=AP58-0.01,1,0)</f>
        <v/>
      </c>
      <c r="AX58">
        <f>AQ58*AR58*AS58*AT58*AU58*AV58*AW58</f>
        <v/>
      </c>
      <c r="AY58">
        <f>Assumptions!$B$41</f>
        <v/>
      </c>
      <c r="AZ58">
        <f>Assumptions!$B$33</f>
        <v/>
      </c>
      <c r="BA58">
        <f>Assumptions!$B$32</f>
        <v/>
      </c>
      <c r="BB58">
        <f>Assumptions!$B$31</f>
        <v/>
      </c>
      <c r="BC58">
        <f>Assumptions!$B$30</f>
        <v/>
      </c>
      <c r="BD58">
        <f>Assumptions!$B$29</f>
        <v/>
      </c>
      <c r="BE58">
        <f>Assumptions!$B$28</f>
        <v/>
      </c>
      <c r="BF58">
        <f>P58*Assumptions!$B$141</f>
        <v/>
      </c>
      <c r="BG58">
        <f>P58*Assumptions!$B$128</f>
        <v/>
      </c>
      <c r="BH58">
        <f>P58*Assumptions!$B$129</f>
        <v/>
      </c>
      <c r="BI58">
        <f>P58*Assumptions!$B$14</f>
        <v/>
      </c>
      <c r="BJ58">
        <f>P58*Assumptions!$B$13</f>
        <v/>
      </c>
      <c r="BK58">
        <f>P58*Assumptions!$B$12</f>
        <v/>
      </c>
      <c r="BL58">
        <f>P58*Assumptions!$B$11</f>
        <v/>
      </c>
    </row>
    <row r="59">
      <c r="A59" t="inlineStr">
        <is>
          <t>700M</t>
        </is>
      </c>
      <c r="B59">
        <f>Assumptions!$B$58</f>
        <v/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>
        <f>(1-C59)*Assumptions!$B$41+(1-D59)*Assumptions!$B$33+(1-E59)*Assumptions!$B$32+(1-F59)*Assumptions!$B$31+(1-G59)*Assumptions!$B$30+(1-H59)*Assumptions!$B$29+(1-I59)*Assumptions!$B$28</f>
        <v/>
      </c>
      <c r="K59">
        <f>C59*Assumptions!$B$141+D59*Assumptions!$B$128+E59*Assumptions!$B$129+F59*Assumptions!$B$14+G59*Assumptions!$B$13+H59*Assumptions!$B$12+I59*Assumptions!$B$11+Assumptions!$B$133+Assumptions!$B$137+Assumptions!$B$9</f>
        <v/>
      </c>
      <c r="L59">
        <f>B59-J59</f>
        <v/>
      </c>
      <c r="M59">
        <f>IF(K59&gt;0,IF(L59/K59&gt;=Assumptions!$B$37,1,0),0)</f>
        <v/>
      </c>
      <c r="N59">
        <f>K59+M59*Assumptions!$B$153</f>
        <v/>
      </c>
      <c r="O59">
        <f>L59+M59*Assumptions!$B$153*Assumptions!$B$37</f>
        <v/>
      </c>
      <c r="P59">
        <f>IF(N59&gt;0,O59/N59,0)</f>
        <v/>
      </c>
      <c r="Q59">
        <f>IF(C59=1,P59*Assumptions!$B$141,Assumptions!$B$41)</f>
        <v/>
      </c>
      <c r="R59">
        <f>IF(D59=1,P59*Assumptions!$B$128,Assumptions!$B$33)</f>
        <v/>
      </c>
      <c r="S59">
        <f>IF(E59=1,P59*Assumptions!$B$129,Assumptions!$B$32)</f>
        <v/>
      </c>
      <c r="T59">
        <f>IF(F59=1,P59*Assumptions!$B$14,Assumptions!$B$31)</f>
        <v/>
      </c>
      <c r="U59">
        <f>IF(G59=1,P59*Assumptions!$B$13,Assumptions!$B$30)</f>
        <v/>
      </c>
      <c r="V59">
        <f>IF(H59=1,P59*Assumptions!$B$12,Assumptions!$B$29)</f>
        <v/>
      </c>
      <c r="W59">
        <f>IF(I59=1,P59*Assumptions!$B$11,Assumptions!$B$28)</f>
        <v/>
      </c>
      <c r="X59">
        <f>P59*(Assumptions!$B$133+Assumptions!$B$137)</f>
        <v/>
      </c>
      <c r="Y59">
        <f>P59*Assumptions!$B$9</f>
        <v/>
      </c>
      <c r="Z59">
        <f>IF(M59=1,(P59-Assumptions!$B$37)*Assumptions!$B$153,0)</f>
        <v/>
      </c>
      <c r="AA59">
        <f>Q59+R59+S59+T59+U59+V59+W59+X59+Y59+Z59</f>
        <v/>
      </c>
      <c r="AB59" t="n">
        <v>8</v>
      </c>
      <c r="AC59" t="n">
        <v>72</v>
      </c>
      <c r="AD59" t="n">
        <v>40</v>
      </c>
      <c r="AE59" t="n">
        <v>24</v>
      </c>
      <c r="AF59" t="n">
        <v>0</v>
      </c>
      <c r="AG59" t="n">
        <v>12</v>
      </c>
      <c r="AH59" t="n">
        <v>10</v>
      </c>
      <c r="AI59" t="n">
        <v>9</v>
      </c>
      <c r="AJ59">
        <f>INDEX($Q$51:$Q$178,AC59+1)</f>
        <v/>
      </c>
      <c r="AK59">
        <f>INDEX($R$51:$R$178,AD59+1)</f>
        <v/>
      </c>
      <c r="AL59">
        <f>INDEX($S$51:$S$178,AE59+1)</f>
        <v/>
      </c>
      <c r="AM59">
        <f>INDEX($T$51:$T$178,AF59+1)</f>
        <v/>
      </c>
      <c r="AN59">
        <f>INDEX($U$51:$U$178,AG59+1)</f>
        <v/>
      </c>
      <c r="AO59">
        <f>INDEX($V$51:$V$178,AH59+1)</f>
        <v/>
      </c>
      <c r="AP59">
        <f>INDEX($W$51:$W$178,AI59+1)</f>
        <v/>
      </c>
      <c r="AQ59">
        <f>IF(Q59&gt;=AJ59-0.01,1,0)</f>
        <v/>
      </c>
      <c r="AR59">
        <f>IF(R59&gt;=AK59-0.01,1,0)</f>
        <v/>
      </c>
      <c r="AS59">
        <f>IF(S59&gt;=AL59-0.01,1,0)</f>
        <v/>
      </c>
      <c r="AT59">
        <f>IF(T59&gt;=AM59-0.01,1,0)</f>
        <v/>
      </c>
      <c r="AU59">
        <f>IF(U59&gt;=AN59-0.01,1,0)</f>
        <v/>
      </c>
      <c r="AV59">
        <f>IF(V59&gt;=AO59-0.01,1,0)</f>
        <v/>
      </c>
      <c r="AW59">
        <f>IF(W59&gt;=AP59-0.01,1,0)</f>
        <v/>
      </c>
      <c r="AX59">
        <f>AQ59*AR59*AS59*AT59*AU59*AV59*AW59</f>
        <v/>
      </c>
      <c r="AY59">
        <f>Assumptions!$B$41</f>
        <v/>
      </c>
      <c r="AZ59">
        <f>Assumptions!$B$33</f>
        <v/>
      </c>
      <c r="BA59">
        <f>Assumptions!$B$32</f>
        <v/>
      </c>
      <c r="BB59">
        <f>Assumptions!$B$31</f>
        <v/>
      </c>
      <c r="BC59">
        <f>Assumptions!$B$30</f>
        <v/>
      </c>
      <c r="BD59">
        <f>Assumptions!$B$29</f>
        <v/>
      </c>
      <c r="BE59">
        <f>Assumptions!$B$28</f>
        <v/>
      </c>
      <c r="BF59">
        <f>P59*Assumptions!$B$141</f>
        <v/>
      </c>
      <c r="BG59">
        <f>P59*Assumptions!$B$128</f>
        <v/>
      </c>
      <c r="BH59">
        <f>P59*Assumptions!$B$129</f>
        <v/>
      </c>
      <c r="BI59">
        <f>P59*Assumptions!$B$14</f>
        <v/>
      </c>
      <c r="BJ59">
        <f>P59*Assumptions!$B$13</f>
        <v/>
      </c>
      <c r="BK59">
        <f>P59*Assumptions!$B$12</f>
        <v/>
      </c>
      <c r="BL59">
        <f>P59*Assumptions!$B$11</f>
        <v/>
      </c>
    </row>
    <row r="60">
      <c r="A60" t="inlineStr">
        <is>
          <t>700M</t>
        </is>
      </c>
      <c r="B60">
        <f>Assumptions!$B$58</f>
        <v/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>
        <f>(1-C60)*Assumptions!$B$41+(1-D60)*Assumptions!$B$33+(1-E60)*Assumptions!$B$32+(1-F60)*Assumptions!$B$31+(1-G60)*Assumptions!$B$30+(1-H60)*Assumptions!$B$29+(1-I60)*Assumptions!$B$28</f>
        <v/>
      </c>
      <c r="K60">
        <f>C60*Assumptions!$B$141+D60*Assumptions!$B$128+E60*Assumptions!$B$129+F60*Assumptions!$B$14+G60*Assumptions!$B$13+H60*Assumptions!$B$12+I60*Assumptions!$B$11+Assumptions!$B$133+Assumptions!$B$137+Assumptions!$B$9</f>
        <v/>
      </c>
      <c r="L60">
        <f>B60-J60</f>
        <v/>
      </c>
      <c r="M60">
        <f>IF(K60&gt;0,IF(L60/K60&gt;=Assumptions!$B$37,1,0),0)</f>
        <v/>
      </c>
      <c r="N60">
        <f>K60+M60*Assumptions!$B$153</f>
        <v/>
      </c>
      <c r="O60">
        <f>L60+M60*Assumptions!$B$153*Assumptions!$B$37</f>
        <v/>
      </c>
      <c r="P60">
        <f>IF(N60&gt;0,O60/N60,0)</f>
        <v/>
      </c>
      <c r="Q60">
        <f>IF(C60=1,P60*Assumptions!$B$141,Assumptions!$B$41)</f>
        <v/>
      </c>
      <c r="R60">
        <f>IF(D60=1,P60*Assumptions!$B$128,Assumptions!$B$33)</f>
        <v/>
      </c>
      <c r="S60">
        <f>IF(E60=1,P60*Assumptions!$B$129,Assumptions!$B$32)</f>
        <v/>
      </c>
      <c r="T60">
        <f>IF(F60=1,P60*Assumptions!$B$14,Assumptions!$B$31)</f>
        <v/>
      </c>
      <c r="U60">
        <f>IF(G60=1,P60*Assumptions!$B$13,Assumptions!$B$30)</f>
        <v/>
      </c>
      <c r="V60">
        <f>IF(H60=1,P60*Assumptions!$B$12,Assumptions!$B$29)</f>
        <v/>
      </c>
      <c r="W60">
        <f>IF(I60=1,P60*Assumptions!$B$11,Assumptions!$B$28)</f>
        <v/>
      </c>
      <c r="X60">
        <f>P60*(Assumptions!$B$133+Assumptions!$B$137)</f>
        <v/>
      </c>
      <c r="Y60">
        <f>P60*Assumptions!$B$9</f>
        <v/>
      </c>
      <c r="Z60">
        <f>IF(M60=1,(P60-Assumptions!$B$37)*Assumptions!$B$153,0)</f>
        <v/>
      </c>
      <c r="AA60">
        <f>Q60+R60+S60+T60+U60+V60+W60+X60+Y60+Z60</f>
        <v/>
      </c>
      <c r="AB60" t="n">
        <v>9</v>
      </c>
      <c r="AC60" t="n">
        <v>73</v>
      </c>
      <c r="AD60" t="n">
        <v>41</v>
      </c>
      <c r="AE60" t="n">
        <v>25</v>
      </c>
      <c r="AF60" t="n">
        <v>1</v>
      </c>
      <c r="AG60" t="n">
        <v>13</v>
      </c>
      <c r="AH60" t="n">
        <v>11</v>
      </c>
      <c r="AI60" t="n">
        <v>8</v>
      </c>
      <c r="AJ60">
        <f>INDEX($Q$51:$Q$178,AC60+1)</f>
        <v/>
      </c>
      <c r="AK60">
        <f>INDEX($R$51:$R$178,AD60+1)</f>
        <v/>
      </c>
      <c r="AL60">
        <f>INDEX($S$51:$S$178,AE60+1)</f>
        <v/>
      </c>
      <c r="AM60">
        <f>INDEX($T$51:$T$178,AF60+1)</f>
        <v/>
      </c>
      <c r="AN60">
        <f>INDEX($U$51:$U$178,AG60+1)</f>
        <v/>
      </c>
      <c r="AO60">
        <f>INDEX($V$51:$V$178,AH60+1)</f>
        <v/>
      </c>
      <c r="AP60">
        <f>INDEX($W$51:$W$178,AI60+1)</f>
        <v/>
      </c>
      <c r="AQ60">
        <f>IF(Q60&gt;=AJ60-0.01,1,0)</f>
        <v/>
      </c>
      <c r="AR60">
        <f>IF(R60&gt;=AK60-0.01,1,0)</f>
        <v/>
      </c>
      <c r="AS60">
        <f>IF(S60&gt;=AL60-0.01,1,0)</f>
        <v/>
      </c>
      <c r="AT60">
        <f>IF(T60&gt;=AM60-0.01,1,0)</f>
        <v/>
      </c>
      <c r="AU60">
        <f>IF(U60&gt;=AN60-0.01,1,0)</f>
        <v/>
      </c>
      <c r="AV60">
        <f>IF(V60&gt;=AO60-0.01,1,0)</f>
        <v/>
      </c>
      <c r="AW60">
        <f>IF(W60&gt;=AP60-0.01,1,0)</f>
        <v/>
      </c>
      <c r="AX60">
        <f>AQ60*AR60*AS60*AT60*AU60*AV60*AW60</f>
        <v/>
      </c>
      <c r="AY60">
        <f>Assumptions!$B$41</f>
        <v/>
      </c>
      <c r="AZ60">
        <f>Assumptions!$B$33</f>
        <v/>
      </c>
      <c r="BA60">
        <f>Assumptions!$B$32</f>
        <v/>
      </c>
      <c r="BB60">
        <f>Assumptions!$B$31</f>
        <v/>
      </c>
      <c r="BC60">
        <f>Assumptions!$B$30</f>
        <v/>
      </c>
      <c r="BD60">
        <f>Assumptions!$B$29</f>
        <v/>
      </c>
      <c r="BE60">
        <f>Assumptions!$B$28</f>
        <v/>
      </c>
      <c r="BF60">
        <f>P60*Assumptions!$B$141</f>
        <v/>
      </c>
      <c r="BG60">
        <f>P60*Assumptions!$B$128</f>
        <v/>
      </c>
      <c r="BH60">
        <f>P60*Assumptions!$B$129</f>
        <v/>
      </c>
      <c r="BI60">
        <f>P60*Assumptions!$B$14</f>
        <v/>
      </c>
      <c r="BJ60">
        <f>P60*Assumptions!$B$13</f>
        <v/>
      </c>
      <c r="BK60">
        <f>P60*Assumptions!$B$12</f>
        <v/>
      </c>
      <c r="BL60">
        <f>P60*Assumptions!$B$11</f>
        <v/>
      </c>
    </row>
    <row r="61">
      <c r="A61" t="inlineStr">
        <is>
          <t>700M</t>
        </is>
      </c>
      <c r="B61">
        <f>Assumptions!$B$58</f>
        <v/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>
        <f>(1-C61)*Assumptions!$B$41+(1-D61)*Assumptions!$B$33+(1-E61)*Assumptions!$B$32+(1-F61)*Assumptions!$B$31+(1-G61)*Assumptions!$B$30+(1-H61)*Assumptions!$B$29+(1-I61)*Assumptions!$B$28</f>
        <v/>
      </c>
      <c r="K61">
        <f>C61*Assumptions!$B$141+D61*Assumptions!$B$128+E61*Assumptions!$B$129+F61*Assumptions!$B$14+G61*Assumptions!$B$13+H61*Assumptions!$B$12+I61*Assumptions!$B$11+Assumptions!$B$133+Assumptions!$B$137+Assumptions!$B$9</f>
        <v/>
      </c>
      <c r="L61">
        <f>B61-J61</f>
        <v/>
      </c>
      <c r="M61">
        <f>IF(K61&gt;0,IF(L61/K61&gt;=Assumptions!$B$37,1,0),0)</f>
        <v/>
      </c>
      <c r="N61">
        <f>K61+M61*Assumptions!$B$153</f>
        <v/>
      </c>
      <c r="O61">
        <f>L61+M61*Assumptions!$B$153*Assumptions!$B$37</f>
        <v/>
      </c>
      <c r="P61">
        <f>IF(N61&gt;0,O61/N61,0)</f>
        <v/>
      </c>
      <c r="Q61">
        <f>IF(C61=1,P61*Assumptions!$B$141,Assumptions!$B$41)</f>
        <v/>
      </c>
      <c r="R61">
        <f>IF(D61=1,P61*Assumptions!$B$128,Assumptions!$B$33)</f>
        <v/>
      </c>
      <c r="S61">
        <f>IF(E61=1,P61*Assumptions!$B$129,Assumptions!$B$32)</f>
        <v/>
      </c>
      <c r="T61">
        <f>IF(F61=1,P61*Assumptions!$B$14,Assumptions!$B$31)</f>
        <v/>
      </c>
      <c r="U61">
        <f>IF(G61=1,P61*Assumptions!$B$13,Assumptions!$B$30)</f>
        <v/>
      </c>
      <c r="V61">
        <f>IF(H61=1,P61*Assumptions!$B$12,Assumptions!$B$29)</f>
        <v/>
      </c>
      <c r="W61">
        <f>IF(I61=1,P61*Assumptions!$B$11,Assumptions!$B$28)</f>
        <v/>
      </c>
      <c r="X61">
        <f>P61*(Assumptions!$B$133+Assumptions!$B$137)</f>
        <v/>
      </c>
      <c r="Y61">
        <f>P61*Assumptions!$B$9</f>
        <v/>
      </c>
      <c r="Z61">
        <f>IF(M61=1,(P61-Assumptions!$B$37)*Assumptions!$B$153,0)</f>
        <v/>
      </c>
      <c r="AA61">
        <f>Q61+R61+S61+T61+U61+V61+W61+X61+Y61+Z61</f>
        <v/>
      </c>
      <c r="AB61" t="n">
        <v>10</v>
      </c>
      <c r="AC61" t="n">
        <v>74</v>
      </c>
      <c r="AD61" t="n">
        <v>42</v>
      </c>
      <c r="AE61" t="n">
        <v>26</v>
      </c>
      <c r="AF61" t="n">
        <v>2</v>
      </c>
      <c r="AG61" t="n">
        <v>14</v>
      </c>
      <c r="AH61" t="n">
        <v>8</v>
      </c>
      <c r="AI61" t="n">
        <v>11</v>
      </c>
      <c r="AJ61">
        <f>INDEX($Q$51:$Q$178,AC61+1)</f>
        <v/>
      </c>
      <c r="AK61">
        <f>INDEX($R$51:$R$178,AD61+1)</f>
        <v/>
      </c>
      <c r="AL61">
        <f>INDEX($S$51:$S$178,AE61+1)</f>
        <v/>
      </c>
      <c r="AM61">
        <f>INDEX($T$51:$T$178,AF61+1)</f>
        <v/>
      </c>
      <c r="AN61">
        <f>INDEX($U$51:$U$178,AG61+1)</f>
        <v/>
      </c>
      <c r="AO61">
        <f>INDEX($V$51:$V$178,AH61+1)</f>
        <v/>
      </c>
      <c r="AP61">
        <f>INDEX($W$51:$W$178,AI61+1)</f>
        <v/>
      </c>
      <c r="AQ61">
        <f>IF(Q61&gt;=AJ61-0.01,1,0)</f>
        <v/>
      </c>
      <c r="AR61">
        <f>IF(R61&gt;=AK61-0.01,1,0)</f>
        <v/>
      </c>
      <c r="AS61">
        <f>IF(S61&gt;=AL61-0.01,1,0)</f>
        <v/>
      </c>
      <c r="AT61">
        <f>IF(T61&gt;=AM61-0.01,1,0)</f>
        <v/>
      </c>
      <c r="AU61">
        <f>IF(U61&gt;=AN61-0.01,1,0)</f>
        <v/>
      </c>
      <c r="AV61">
        <f>IF(V61&gt;=AO61-0.01,1,0)</f>
        <v/>
      </c>
      <c r="AW61">
        <f>IF(W61&gt;=AP61-0.01,1,0)</f>
        <v/>
      </c>
      <c r="AX61">
        <f>AQ61*AR61*AS61*AT61*AU61*AV61*AW61</f>
        <v/>
      </c>
      <c r="AY61">
        <f>Assumptions!$B$41</f>
        <v/>
      </c>
      <c r="AZ61">
        <f>Assumptions!$B$33</f>
        <v/>
      </c>
      <c r="BA61">
        <f>Assumptions!$B$32</f>
        <v/>
      </c>
      <c r="BB61">
        <f>Assumptions!$B$31</f>
        <v/>
      </c>
      <c r="BC61">
        <f>Assumptions!$B$30</f>
        <v/>
      </c>
      <c r="BD61">
        <f>Assumptions!$B$29</f>
        <v/>
      </c>
      <c r="BE61">
        <f>Assumptions!$B$28</f>
        <v/>
      </c>
      <c r="BF61">
        <f>P61*Assumptions!$B$141</f>
        <v/>
      </c>
      <c r="BG61">
        <f>P61*Assumptions!$B$128</f>
        <v/>
      </c>
      <c r="BH61">
        <f>P61*Assumptions!$B$129</f>
        <v/>
      </c>
      <c r="BI61">
        <f>P61*Assumptions!$B$14</f>
        <v/>
      </c>
      <c r="BJ61">
        <f>P61*Assumptions!$B$13</f>
        <v/>
      </c>
      <c r="BK61">
        <f>P61*Assumptions!$B$12</f>
        <v/>
      </c>
      <c r="BL61">
        <f>P61*Assumptions!$B$11</f>
        <v/>
      </c>
    </row>
    <row r="62">
      <c r="A62" t="inlineStr">
        <is>
          <t>700M</t>
        </is>
      </c>
      <c r="B62">
        <f>Assumptions!$B$58</f>
        <v/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1</v>
      </c>
      <c r="J62">
        <f>(1-C62)*Assumptions!$B$41+(1-D62)*Assumptions!$B$33+(1-E62)*Assumptions!$B$32+(1-F62)*Assumptions!$B$31+(1-G62)*Assumptions!$B$30+(1-H62)*Assumptions!$B$29+(1-I62)*Assumptions!$B$28</f>
        <v/>
      </c>
      <c r="K62">
        <f>C62*Assumptions!$B$141+D62*Assumptions!$B$128+E62*Assumptions!$B$129+F62*Assumptions!$B$14+G62*Assumptions!$B$13+H62*Assumptions!$B$12+I62*Assumptions!$B$11+Assumptions!$B$133+Assumptions!$B$137+Assumptions!$B$9</f>
        <v/>
      </c>
      <c r="L62">
        <f>B62-J62</f>
        <v/>
      </c>
      <c r="M62">
        <f>IF(K62&gt;0,IF(L62/K62&gt;=Assumptions!$B$37,1,0),0)</f>
        <v/>
      </c>
      <c r="N62">
        <f>K62+M62*Assumptions!$B$153</f>
        <v/>
      </c>
      <c r="O62">
        <f>L62+M62*Assumptions!$B$153*Assumptions!$B$37</f>
        <v/>
      </c>
      <c r="P62">
        <f>IF(N62&gt;0,O62/N62,0)</f>
        <v/>
      </c>
      <c r="Q62">
        <f>IF(C62=1,P62*Assumptions!$B$141,Assumptions!$B$41)</f>
        <v/>
      </c>
      <c r="R62">
        <f>IF(D62=1,P62*Assumptions!$B$128,Assumptions!$B$33)</f>
        <v/>
      </c>
      <c r="S62">
        <f>IF(E62=1,P62*Assumptions!$B$129,Assumptions!$B$32)</f>
        <v/>
      </c>
      <c r="T62">
        <f>IF(F62=1,P62*Assumptions!$B$14,Assumptions!$B$31)</f>
        <v/>
      </c>
      <c r="U62">
        <f>IF(G62=1,P62*Assumptions!$B$13,Assumptions!$B$30)</f>
        <v/>
      </c>
      <c r="V62">
        <f>IF(H62=1,P62*Assumptions!$B$12,Assumptions!$B$29)</f>
        <v/>
      </c>
      <c r="W62">
        <f>IF(I62=1,P62*Assumptions!$B$11,Assumptions!$B$28)</f>
        <v/>
      </c>
      <c r="X62">
        <f>P62*(Assumptions!$B$133+Assumptions!$B$137)</f>
        <v/>
      </c>
      <c r="Y62">
        <f>P62*Assumptions!$B$9</f>
        <v/>
      </c>
      <c r="Z62">
        <f>IF(M62=1,(P62-Assumptions!$B$37)*Assumptions!$B$153,0)</f>
        <v/>
      </c>
      <c r="AA62">
        <f>Q62+R62+S62+T62+U62+V62+W62+X62+Y62+Z62</f>
        <v/>
      </c>
      <c r="AB62" t="n">
        <v>11</v>
      </c>
      <c r="AC62" t="n">
        <v>75</v>
      </c>
      <c r="AD62" t="n">
        <v>43</v>
      </c>
      <c r="AE62" t="n">
        <v>27</v>
      </c>
      <c r="AF62" t="n">
        <v>3</v>
      </c>
      <c r="AG62" t="n">
        <v>15</v>
      </c>
      <c r="AH62" t="n">
        <v>9</v>
      </c>
      <c r="AI62" t="n">
        <v>10</v>
      </c>
      <c r="AJ62">
        <f>INDEX($Q$51:$Q$178,AC62+1)</f>
        <v/>
      </c>
      <c r="AK62">
        <f>INDEX($R$51:$R$178,AD62+1)</f>
        <v/>
      </c>
      <c r="AL62">
        <f>INDEX($S$51:$S$178,AE62+1)</f>
        <v/>
      </c>
      <c r="AM62">
        <f>INDEX($T$51:$T$178,AF62+1)</f>
        <v/>
      </c>
      <c r="AN62">
        <f>INDEX($U$51:$U$178,AG62+1)</f>
        <v/>
      </c>
      <c r="AO62">
        <f>INDEX($V$51:$V$178,AH62+1)</f>
        <v/>
      </c>
      <c r="AP62">
        <f>INDEX($W$51:$W$178,AI62+1)</f>
        <v/>
      </c>
      <c r="AQ62">
        <f>IF(Q62&gt;=AJ62-0.01,1,0)</f>
        <v/>
      </c>
      <c r="AR62">
        <f>IF(R62&gt;=AK62-0.01,1,0)</f>
        <v/>
      </c>
      <c r="AS62">
        <f>IF(S62&gt;=AL62-0.01,1,0)</f>
        <v/>
      </c>
      <c r="AT62">
        <f>IF(T62&gt;=AM62-0.01,1,0)</f>
        <v/>
      </c>
      <c r="AU62">
        <f>IF(U62&gt;=AN62-0.01,1,0)</f>
        <v/>
      </c>
      <c r="AV62">
        <f>IF(V62&gt;=AO62-0.01,1,0)</f>
        <v/>
      </c>
      <c r="AW62">
        <f>IF(W62&gt;=AP62-0.01,1,0)</f>
        <v/>
      </c>
      <c r="AX62">
        <f>AQ62*AR62*AS62*AT62*AU62*AV62*AW62</f>
        <v/>
      </c>
      <c r="AY62">
        <f>Assumptions!$B$41</f>
        <v/>
      </c>
      <c r="AZ62">
        <f>Assumptions!$B$33</f>
        <v/>
      </c>
      <c r="BA62">
        <f>Assumptions!$B$32</f>
        <v/>
      </c>
      <c r="BB62">
        <f>Assumptions!$B$31</f>
        <v/>
      </c>
      <c r="BC62">
        <f>Assumptions!$B$30</f>
        <v/>
      </c>
      <c r="BD62">
        <f>Assumptions!$B$29</f>
        <v/>
      </c>
      <c r="BE62">
        <f>Assumptions!$B$28</f>
        <v/>
      </c>
      <c r="BF62">
        <f>P62*Assumptions!$B$141</f>
        <v/>
      </c>
      <c r="BG62">
        <f>P62*Assumptions!$B$128</f>
        <v/>
      </c>
      <c r="BH62">
        <f>P62*Assumptions!$B$129</f>
        <v/>
      </c>
      <c r="BI62">
        <f>P62*Assumptions!$B$14</f>
        <v/>
      </c>
      <c r="BJ62">
        <f>P62*Assumptions!$B$13</f>
        <v/>
      </c>
      <c r="BK62">
        <f>P62*Assumptions!$B$12</f>
        <v/>
      </c>
      <c r="BL62">
        <f>P62*Assumptions!$B$11</f>
        <v/>
      </c>
    </row>
    <row r="63">
      <c r="A63" t="inlineStr">
        <is>
          <t>700M</t>
        </is>
      </c>
      <c r="B63">
        <f>Assumptions!$B$58</f>
        <v/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>
        <f>(1-C63)*Assumptions!$B$41+(1-D63)*Assumptions!$B$33+(1-E63)*Assumptions!$B$32+(1-F63)*Assumptions!$B$31+(1-G63)*Assumptions!$B$30+(1-H63)*Assumptions!$B$29+(1-I63)*Assumptions!$B$28</f>
        <v/>
      </c>
      <c r="K63">
        <f>C63*Assumptions!$B$141+D63*Assumptions!$B$128+E63*Assumptions!$B$129+F63*Assumptions!$B$14+G63*Assumptions!$B$13+H63*Assumptions!$B$12+I63*Assumptions!$B$11+Assumptions!$B$133+Assumptions!$B$137+Assumptions!$B$9</f>
        <v/>
      </c>
      <c r="L63">
        <f>B63-J63</f>
        <v/>
      </c>
      <c r="M63">
        <f>IF(K63&gt;0,IF(L63/K63&gt;=Assumptions!$B$37,1,0),0)</f>
        <v/>
      </c>
      <c r="N63">
        <f>K63+M63*Assumptions!$B$153</f>
        <v/>
      </c>
      <c r="O63">
        <f>L63+M63*Assumptions!$B$153*Assumptions!$B$37</f>
        <v/>
      </c>
      <c r="P63">
        <f>IF(N63&gt;0,O63/N63,0)</f>
        <v/>
      </c>
      <c r="Q63">
        <f>IF(C63=1,P63*Assumptions!$B$141,Assumptions!$B$41)</f>
        <v/>
      </c>
      <c r="R63">
        <f>IF(D63=1,P63*Assumptions!$B$128,Assumptions!$B$33)</f>
        <v/>
      </c>
      <c r="S63">
        <f>IF(E63=1,P63*Assumptions!$B$129,Assumptions!$B$32)</f>
        <v/>
      </c>
      <c r="T63">
        <f>IF(F63=1,P63*Assumptions!$B$14,Assumptions!$B$31)</f>
        <v/>
      </c>
      <c r="U63">
        <f>IF(G63=1,P63*Assumptions!$B$13,Assumptions!$B$30)</f>
        <v/>
      </c>
      <c r="V63">
        <f>IF(H63=1,P63*Assumptions!$B$12,Assumptions!$B$29)</f>
        <v/>
      </c>
      <c r="W63">
        <f>IF(I63=1,P63*Assumptions!$B$11,Assumptions!$B$28)</f>
        <v/>
      </c>
      <c r="X63">
        <f>P63*(Assumptions!$B$133+Assumptions!$B$137)</f>
        <v/>
      </c>
      <c r="Y63">
        <f>P63*Assumptions!$B$9</f>
        <v/>
      </c>
      <c r="Z63">
        <f>IF(M63=1,(P63-Assumptions!$B$37)*Assumptions!$B$153,0)</f>
        <v/>
      </c>
      <c r="AA63">
        <f>Q63+R63+S63+T63+U63+V63+W63+X63+Y63+Z63</f>
        <v/>
      </c>
      <c r="AB63" t="n">
        <v>12</v>
      </c>
      <c r="AC63" t="n">
        <v>76</v>
      </c>
      <c r="AD63" t="n">
        <v>44</v>
      </c>
      <c r="AE63" t="n">
        <v>28</v>
      </c>
      <c r="AF63" t="n">
        <v>4</v>
      </c>
      <c r="AG63" t="n">
        <v>8</v>
      </c>
      <c r="AH63" t="n">
        <v>14</v>
      </c>
      <c r="AI63" t="n">
        <v>13</v>
      </c>
      <c r="AJ63">
        <f>INDEX($Q$51:$Q$178,AC63+1)</f>
        <v/>
      </c>
      <c r="AK63">
        <f>INDEX($R$51:$R$178,AD63+1)</f>
        <v/>
      </c>
      <c r="AL63">
        <f>INDEX($S$51:$S$178,AE63+1)</f>
        <v/>
      </c>
      <c r="AM63">
        <f>INDEX($T$51:$T$178,AF63+1)</f>
        <v/>
      </c>
      <c r="AN63">
        <f>INDEX($U$51:$U$178,AG63+1)</f>
        <v/>
      </c>
      <c r="AO63">
        <f>INDEX($V$51:$V$178,AH63+1)</f>
        <v/>
      </c>
      <c r="AP63">
        <f>INDEX($W$51:$W$178,AI63+1)</f>
        <v/>
      </c>
      <c r="AQ63">
        <f>IF(Q63&gt;=AJ63-0.01,1,0)</f>
        <v/>
      </c>
      <c r="AR63">
        <f>IF(R63&gt;=AK63-0.01,1,0)</f>
        <v/>
      </c>
      <c r="AS63">
        <f>IF(S63&gt;=AL63-0.01,1,0)</f>
        <v/>
      </c>
      <c r="AT63">
        <f>IF(T63&gt;=AM63-0.01,1,0)</f>
        <v/>
      </c>
      <c r="AU63">
        <f>IF(U63&gt;=AN63-0.01,1,0)</f>
        <v/>
      </c>
      <c r="AV63">
        <f>IF(V63&gt;=AO63-0.01,1,0)</f>
        <v/>
      </c>
      <c r="AW63">
        <f>IF(W63&gt;=AP63-0.01,1,0)</f>
        <v/>
      </c>
      <c r="AX63">
        <f>AQ63*AR63*AS63*AT63*AU63*AV63*AW63</f>
        <v/>
      </c>
      <c r="AY63">
        <f>Assumptions!$B$41</f>
        <v/>
      </c>
      <c r="AZ63">
        <f>Assumptions!$B$33</f>
        <v/>
      </c>
      <c r="BA63">
        <f>Assumptions!$B$32</f>
        <v/>
      </c>
      <c r="BB63">
        <f>Assumptions!$B$31</f>
        <v/>
      </c>
      <c r="BC63">
        <f>Assumptions!$B$30</f>
        <v/>
      </c>
      <c r="BD63">
        <f>Assumptions!$B$29</f>
        <v/>
      </c>
      <c r="BE63">
        <f>Assumptions!$B$28</f>
        <v/>
      </c>
      <c r="BF63">
        <f>P63*Assumptions!$B$141</f>
        <v/>
      </c>
      <c r="BG63">
        <f>P63*Assumptions!$B$128</f>
        <v/>
      </c>
      <c r="BH63">
        <f>P63*Assumptions!$B$129</f>
        <v/>
      </c>
      <c r="BI63">
        <f>P63*Assumptions!$B$14</f>
        <v/>
      </c>
      <c r="BJ63">
        <f>P63*Assumptions!$B$13</f>
        <v/>
      </c>
      <c r="BK63">
        <f>P63*Assumptions!$B$12</f>
        <v/>
      </c>
      <c r="BL63">
        <f>P63*Assumptions!$B$11</f>
        <v/>
      </c>
    </row>
    <row r="64">
      <c r="A64" t="inlineStr">
        <is>
          <t>700M</t>
        </is>
      </c>
      <c r="B64">
        <f>Assumptions!$B$58</f>
        <v/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>
        <f>(1-C64)*Assumptions!$B$41+(1-D64)*Assumptions!$B$33+(1-E64)*Assumptions!$B$32+(1-F64)*Assumptions!$B$31+(1-G64)*Assumptions!$B$30+(1-H64)*Assumptions!$B$29+(1-I64)*Assumptions!$B$28</f>
        <v/>
      </c>
      <c r="K64">
        <f>C64*Assumptions!$B$141+D64*Assumptions!$B$128+E64*Assumptions!$B$129+F64*Assumptions!$B$14+G64*Assumptions!$B$13+H64*Assumptions!$B$12+I64*Assumptions!$B$11+Assumptions!$B$133+Assumptions!$B$137+Assumptions!$B$9</f>
        <v/>
      </c>
      <c r="L64">
        <f>B64-J64</f>
        <v/>
      </c>
      <c r="M64">
        <f>IF(K64&gt;0,IF(L64/K64&gt;=Assumptions!$B$37,1,0),0)</f>
        <v/>
      </c>
      <c r="N64">
        <f>K64+M64*Assumptions!$B$153</f>
        <v/>
      </c>
      <c r="O64">
        <f>L64+M64*Assumptions!$B$153*Assumptions!$B$37</f>
        <v/>
      </c>
      <c r="P64">
        <f>IF(N64&gt;0,O64/N64,0)</f>
        <v/>
      </c>
      <c r="Q64">
        <f>IF(C64=1,P64*Assumptions!$B$141,Assumptions!$B$41)</f>
        <v/>
      </c>
      <c r="R64">
        <f>IF(D64=1,P64*Assumptions!$B$128,Assumptions!$B$33)</f>
        <v/>
      </c>
      <c r="S64">
        <f>IF(E64=1,P64*Assumptions!$B$129,Assumptions!$B$32)</f>
        <v/>
      </c>
      <c r="T64">
        <f>IF(F64=1,P64*Assumptions!$B$14,Assumptions!$B$31)</f>
        <v/>
      </c>
      <c r="U64">
        <f>IF(G64=1,P64*Assumptions!$B$13,Assumptions!$B$30)</f>
        <v/>
      </c>
      <c r="V64">
        <f>IF(H64=1,P64*Assumptions!$B$12,Assumptions!$B$29)</f>
        <v/>
      </c>
      <c r="W64">
        <f>IF(I64=1,P64*Assumptions!$B$11,Assumptions!$B$28)</f>
        <v/>
      </c>
      <c r="X64">
        <f>P64*(Assumptions!$B$133+Assumptions!$B$137)</f>
        <v/>
      </c>
      <c r="Y64">
        <f>P64*Assumptions!$B$9</f>
        <v/>
      </c>
      <c r="Z64">
        <f>IF(M64=1,(P64-Assumptions!$B$37)*Assumptions!$B$153,0)</f>
        <v/>
      </c>
      <c r="AA64">
        <f>Q64+R64+S64+T64+U64+V64+W64+X64+Y64+Z64</f>
        <v/>
      </c>
      <c r="AB64" t="n">
        <v>13</v>
      </c>
      <c r="AC64" t="n">
        <v>77</v>
      </c>
      <c r="AD64" t="n">
        <v>45</v>
      </c>
      <c r="AE64" t="n">
        <v>29</v>
      </c>
      <c r="AF64" t="n">
        <v>5</v>
      </c>
      <c r="AG64" t="n">
        <v>9</v>
      </c>
      <c r="AH64" t="n">
        <v>15</v>
      </c>
      <c r="AI64" t="n">
        <v>12</v>
      </c>
      <c r="AJ64">
        <f>INDEX($Q$51:$Q$178,AC64+1)</f>
        <v/>
      </c>
      <c r="AK64">
        <f>INDEX($R$51:$R$178,AD64+1)</f>
        <v/>
      </c>
      <c r="AL64">
        <f>INDEX($S$51:$S$178,AE64+1)</f>
        <v/>
      </c>
      <c r="AM64">
        <f>INDEX($T$51:$T$178,AF64+1)</f>
        <v/>
      </c>
      <c r="AN64">
        <f>INDEX($U$51:$U$178,AG64+1)</f>
        <v/>
      </c>
      <c r="AO64">
        <f>INDEX($V$51:$V$178,AH64+1)</f>
        <v/>
      </c>
      <c r="AP64">
        <f>INDEX($W$51:$W$178,AI64+1)</f>
        <v/>
      </c>
      <c r="AQ64">
        <f>IF(Q64&gt;=AJ64-0.01,1,0)</f>
        <v/>
      </c>
      <c r="AR64">
        <f>IF(R64&gt;=AK64-0.01,1,0)</f>
        <v/>
      </c>
      <c r="AS64">
        <f>IF(S64&gt;=AL64-0.01,1,0)</f>
        <v/>
      </c>
      <c r="AT64">
        <f>IF(T64&gt;=AM64-0.01,1,0)</f>
        <v/>
      </c>
      <c r="AU64">
        <f>IF(U64&gt;=AN64-0.01,1,0)</f>
        <v/>
      </c>
      <c r="AV64">
        <f>IF(V64&gt;=AO64-0.01,1,0)</f>
        <v/>
      </c>
      <c r="AW64">
        <f>IF(W64&gt;=AP64-0.01,1,0)</f>
        <v/>
      </c>
      <c r="AX64">
        <f>AQ64*AR64*AS64*AT64*AU64*AV64*AW64</f>
        <v/>
      </c>
      <c r="AY64">
        <f>Assumptions!$B$41</f>
        <v/>
      </c>
      <c r="AZ64">
        <f>Assumptions!$B$33</f>
        <v/>
      </c>
      <c r="BA64">
        <f>Assumptions!$B$32</f>
        <v/>
      </c>
      <c r="BB64">
        <f>Assumptions!$B$31</f>
        <v/>
      </c>
      <c r="BC64">
        <f>Assumptions!$B$30</f>
        <v/>
      </c>
      <c r="BD64">
        <f>Assumptions!$B$29</f>
        <v/>
      </c>
      <c r="BE64">
        <f>Assumptions!$B$28</f>
        <v/>
      </c>
      <c r="BF64">
        <f>P64*Assumptions!$B$141</f>
        <v/>
      </c>
      <c r="BG64">
        <f>P64*Assumptions!$B$128</f>
        <v/>
      </c>
      <c r="BH64">
        <f>P64*Assumptions!$B$129</f>
        <v/>
      </c>
      <c r="BI64">
        <f>P64*Assumptions!$B$14</f>
        <v/>
      </c>
      <c r="BJ64">
        <f>P64*Assumptions!$B$13</f>
        <v/>
      </c>
      <c r="BK64">
        <f>P64*Assumptions!$B$12</f>
        <v/>
      </c>
      <c r="BL64">
        <f>P64*Assumptions!$B$11</f>
        <v/>
      </c>
    </row>
    <row r="65">
      <c r="A65" t="inlineStr">
        <is>
          <t>700M</t>
        </is>
      </c>
      <c r="B65">
        <f>Assumptions!$B$58</f>
        <v/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>
        <f>(1-C65)*Assumptions!$B$41+(1-D65)*Assumptions!$B$33+(1-E65)*Assumptions!$B$32+(1-F65)*Assumptions!$B$31+(1-G65)*Assumptions!$B$30+(1-H65)*Assumptions!$B$29+(1-I65)*Assumptions!$B$28</f>
        <v/>
      </c>
      <c r="K65">
        <f>C65*Assumptions!$B$141+D65*Assumptions!$B$128+E65*Assumptions!$B$129+F65*Assumptions!$B$14+G65*Assumptions!$B$13+H65*Assumptions!$B$12+I65*Assumptions!$B$11+Assumptions!$B$133+Assumptions!$B$137+Assumptions!$B$9</f>
        <v/>
      </c>
      <c r="L65">
        <f>B65-J65</f>
        <v/>
      </c>
      <c r="M65">
        <f>IF(K65&gt;0,IF(L65/K65&gt;=Assumptions!$B$37,1,0),0)</f>
        <v/>
      </c>
      <c r="N65">
        <f>K65+M65*Assumptions!$B$153</f>
        <v/>
      </c>
      <c r="O65">
        <f>L65+M65*Assumptions!$B$153*Assumptions!$B$37</f>
        <v/>
      </c>
      <c r="P65">
        <f>IF(N65&gt;0,O65/N65,0)</f>
        <v/>
      </c>
      <c r="Q65">
        <f>IF(C65=1,P65*Assumptions!$B$141,Assumptions!$B$41)</f>
        <v/>
      </c>
      <c r="R65">
        <f>IF(D65=1,P65*Assumptions!$B$128,Assumptions!$B$33)</f>
        <v/>
      </c>
      <c r="S65">
        <f>IF(E65=1,P65*Assumptions!$B$129,Assumptions!$B$32)</f>
        <v/>
      </c>
      <c r="T65">
        <f>IF(F65=1,P65*Assumptions!$B$14,Assumptions!$B$31)</f>
        <v/>
      </c>
      <c r="U65">
        <f>IF(G65=1,P65*Assumptions!$B$13,Assumptions!$B$30)</f>
        <v/>
      </c>
      <c r="V65">
        <f>IF(H65=1,P65*Assumptions!$B$12,Assumptions!$B$29)</f>
        <v/>
      </c>
      <c r="W65">
        <f>IF(I65=1,P65*Assumptions!$B$11,Assumptions!$B$28)</f>
        <v/>
      </c>
      <c r="X65">
        <f>P65*(Assumptions!$B$133+Assumptions!$B$137)</f>
        <v/>
      </c>
      <c r="Y65">
        <f>P65*Assumptions!$B$9</f>
        <v/>
      </c>
      <c r="Z65">
        <f>IF(M65=1,(P65-Assumptions!$B$37)*Assumptions!$B$153,0)</f>
        <v/>
      </c>
      <c r="AA65">
        <f>Q65+R65+S65+T65+U65+V65+W65+X65+Y65+Z65</f>
        <v/>
      </c>
      <c r="AB65" t="n">
        <v>14</v>
      </c>
      <c r="AC65" t="n">
        <v>78</v>
      </c>
      <c r="AD65" t="n">
        <v>46</v>
      </c>
      <c r="AE65" t="n">
        <v>30</v>
      </c>
      <c r="AF65" t="n">
        <v>6</v>
      </c>
      <c r="AG65" t="n">
        <v>10</v>
      </c>
      <c r="AH65" t="n">
        <v>12</v>
      </c>
      <c r="AI65" t="n">
        <v>15</v>
      </c>
      <c r="AJ65">
        <f>INDEX($Q$51:$Q$178,AC65+1)</f>
        <v/>
      </c>
      <c r="AK65">
        <f>INDEX($R$51:$R$178,AD65+1)</f>
        <v/>
      </c>
      <c r="AL65">
        <f>INDEX($S$51:$S$178,AE65+1)</f>
        <v/>
      </c>
      <c r="AM65">
        <f>INDEX($T$51:$T$178,AF65+1)</f>
        <v/>
      </c>
      <c r="AN65">
        <f>INDEX($U$51:$U$178,AG65+1)</f>
        <v/>
      </c>
      <c r="AO65">
        <f>INDEX($V$51:$V$178,AH65+1)</f>
        <v/>
      </c>
      <c r="AP65">
        <f>INDEX($W$51:$W$178,AI65+1)</f>
        <v/>
      </c>
      <c r="AQ65">
        <f>IF(Q65&gt;=AJ65-0.01,1,0)</f>
        <v/>
      </c>
      <c r="AR65">
        <f>IF(R65&gt;=AK65-0.01,1,0)</f>
        <v/>
      </c>
      <c r="AS65">
        <f>IF(S65&gt;=AL65-0.01,1,0)</f>
        <v/>
      </c>
      <c r="AT65">
        <f>IF(T65&gt;=AM65-0.01,1,0)</f>
        <v/>
      </c>
      <c r="AU65">
        <f>IF(U65&gt;=AN65-0.01,1,0)</f>
        <v/>
      </c>
      <c r="AV65">
        <f>IF(V65&gt;=AO65-0.01,1,0)</f>
        <v/>
      </c>
      <c r="AW65">
        <f>IF(W65&gt;=AP65-0.01,1,0)</f>
        <v/>
      </c>
      <c r="AX65">
        <f>AQ65*AR65*AS65*AT65*AU65*AV65*AW65</f>
        <v/>
      </c>
      <c r="AY65">
        <f>Assumptions!$B$41</f>
        <v/>
      </c>
      <c r="AZ65">
        <f>Assumptions!$B$33</f>
        <v/>
      </c>
      <c r="BA65">
        <f>Assumptions!$B$32</f>
        <v/>
      </c>
      <c r="BB65">
        <f>Assumptions!$B$31</f>
        <v/>
      </c>
      <c r="BC65">
        <f>Assumptions!$B$30</f>
        <v/>
      </c>
      <c r="BD65">
        <f>Assumptions!$B$29</f>
        <v/>
      </c>
      <c r="BE65">
        <f>Assumptions!$B$28</f>
        <v/>
      </c>
      <c r="BF65">
        <f>P65*Assumptions!$B$141</f>
        <v/>
      </c>
      <c r="BG65">
        <f>P65*Assumptions!$B$128</f>
        <v/>
      </c>
      <c r="BH65">
        <f>P65*Assumptions!$B$129</f>
        <v/>
      </c>
      <c r="BI65">
        <f>P65*Assumptions!$B$14</f>
        <v/>
      </c>
      <c r="BJ65">
        <f>P65*Assumptions!$B$13</f>
        <v/>
      </c>
      <c r="BK65">
        <f>P65*Assumptions!$B$12</f>
        <v/>
      </c>
      <c r="BL65">
        <f>P65*Assumptions!$B$11</f>
        <v/>
      </c>
    </row>
    <row r="66">
      <c r="A66" t="inlineStr">
        <is>
          <t>700M</t>
        </is>
      </c>
      <c r="B66">
        <f>Assumptions!$B$58</f>
        <v/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>
        <f>(1-C66)*Assumptions!$B$41+(1-D66)*Assumptions!$B$33+(1-E66)*Assumptions!$B$32+(1-F66)*Assumptions!$B$31+(1-G66)*Assumptions!$B$30+(1-H66)*Assumptions!$B$29+(1-I66)*Assumptions!$B$28</f>
        <v/>
      </c>
      <c r="K66">
        <f>C66*Assumptions!$B$141+D66*Assumptions!$B$128+E66*Assumptions!$B$129+F66*Assumptions!$B$14+G66*Assumptions!$B$13+H66*Assumptions!$B$12+I66*Assumptions!$B$11+Assumptions!$B$133+Assumptions!$B$137+Assumptions!$B$9</f>
        <v/>
      </c>
      <c r="L66">
        <f>B66-J66</f>
        <v/>
      </c>
      <c r="M66">
        <f>IF(K66&gt;0,IF(L66/K66&gt;=Assumptions!$B$37,1,0),0)</f>
        <v/>
      </c>
      <c r="N66">
        <f>K66+M66*Assumptions!$B$153</f>
        <v/>
      </c>
      <c r="O66">
        <f>L66+M66*Assumptions!$B$153*Assumptions!$B$37</f>
        <v/>
      </c>
      <c r="P66">
        <f>IF(N66&gt;0,O66/N66,0)</f>
        <v/>
      </c>
      <c r="Q66">
        <f>IF(C66=1,P66*Assumptions!$B$141,Assumptions!$B$41)</f>
        <v/>
      </c>
      <c r="R66">
        <f>IF(D66=1,P66*Assumptions!$B$128,Assumptions!$B$33)</f>
        <v/>
      </c>
      <c r="S66">
        <f>IF(E66=1,P66*Assumptions!$B$129,Assumptions!$B$32)</f>
        <v/>
      </c>
      <c r="T66">
        <f>IF(F66=1,P66*Assumptions!$B$14,Assumptions!$B$31)</f>
        <v/>
      </c>
      <c r="U66">
        <f>IF(G66=1,P66*Assumptions!$B$13,Assumptions!$B$30)</f>
        <v/>
      </c>
      <c r="V66">
        <f>IF(H66=1,P66*Assumptions!$B$12,Assumptions!$B$29)</f>
        <v/>
      </c>
      <c r="W66">
        <f>IF(I66=1,P66*Assumptions!$B$11,Assumptions!$B$28)</f>
        <v/>
      </c>
      <c r="X66">
        <f>P66*(Assumptions!$B$133+Assumptions!$B$137)</f>
        <v/>
      </c>
      <c r="Y66">
        <f>P66*Assumptions!$B$9</f>
        <v/>
      </c>
      <c r="Z66">
        <f>IF(M66=1,(P66-Assumptions!$B$37)*Assumptions!$B$153,0)</f>
        <v/>
      </c>
      <c r="AA66">
        <f>Q66+R66+S66+T66+U66+V66+W66+X66+Y66+Z66</f>
        <v/>
      </c>
      <c r="AB66" t="n">
        <v>15</v>
      </c>
      <c r="AC66" t="n">
        <v>79</v>
      </c>
      <c r="AD66" t="n">
        <v>47</v>
      </c>
      <c r="AE66" t="n">
        <v>31</v>
      </c>
      <c r="AF66" t="n">
        <v>7</v>
      </c>
      <c r="AG66" t="n">
        <v>11</v>
      </c>
      <c r="AH66" t="n">
        <v>13</v>
      </c>
      <c r="AI66" t="n">
        <v>14</v>
      </c>
      <c r="AJ66">
        <f>INDEX($Q$51:$Q$178,AC66+1)</f>
        <v/>
      </c>
      <c r="AK66">
        <f>INDEX($R$51:$R$178,AD66+1)</f>
        <v/>
      </c>
      <c r="AL66">
        <f>INDEX($S$51:$S$178,AE66+1)</f>
        <v/>
      </c>
      <c r="AM66">
        <f>INDEX($T$51:$T$178,AF66+1)</f>
        <v/>
      </c>
      <c r="AN66">
        <f>INDEX($U$51:$U$178,AG66+1)</f>
        <v/>
      </c>
      <c r="AO66">
        <f>INDEX($V$51:$V$178,AH66+1)</f>
        <v/>
      </c>
      <c r="AP66">
        <f>INDEX($W$51:$W$178,AI66+1)</f>
        <v/>
      </c>
      <c r="AQ66">
        <f>IF(Q66&gt;=AJ66-0.01,1,0)</f>
        <v/>
      </c>
      <c r="AR66">
        <f>IF(R66&gt;=AK66-0.01,1,0)</f>
        <v/>
      </c>
      <c r="AS66">
        <f>IF(S66&gt;=AL66-0.01,1,0)</f>
        <v/>
      </c>
      <c r="AT66">
        <f>IF(T66&gt;=AM66-0.01,1,0)</f>
        <v/>
      </c>
      <c r="AU66">
        <f>IF(U66&gt;=AN66-0.01,1,0)</f>
        <v/>
      </c>
      <c r="AV66">
        <f>IF(V66&gt;=AO66-0.01,1,0)</f>
        <v/>
      </c>
      <c r="AW66">
        <f>IF(W66&gt;=AP66-0.01,1,0)</f>
        <v/>
      </c>
      <c r="AX66">
        <f>AQ66*AR66*AS66*AT66*AU66*AV66*AW66</f>
        <v/>
      </c>
      <c r="AY66">
        <f>Assumptions!$B$41</f>
        <v/>
      </c>
      <c r="AZ66">
        <f>Assumptions!$B$33</f>
        <v/>
      </c>
      <c r="BA66">
        <f>Assumptions!$B$32</f>
        <v/>
      </c>
      <c r="BB66">
        <f>Assumptions!$B$31</f>
        <v/>
      </c>
      <c r="BC66">
        <f>Assumptions!$B$30</f>
        <v/>
      </c>
      <c r="BD66">
        <f>Assumptions!$B$29</f>
        <v/>
      </c>
      <c r="BE66">
        <f>Assumptions!$B$28</f>
        <v/>
      </c>
      <c r="BF66">
        <f>P66*Assumptions!$B$141</f>
        <v/>
      </c>
      <c r="BG66">
        <f>P66*Assumptions!$B$128</f>
        <v/>
      </c>
      <c r="BH66">
        <f>P66*Assumptions!$B$129</f>
        <v/>
      </c>
      <c r="BI66">
        <f>P66*Assumptions!$B$14</f>
        <v/>
      </c>
      <c r="BJ66">
        <f>P66*Assumptions!$B$13</f>
        <v/>
      </c>
      <c r="BK66">
        <f>P66*Assumptions!$B$12</f>
        <v/>
      </c>
      <c r="BL66">
        <f>P66*Assumptions!$B$11</f>
        <v/>
      </c>
    </row>
    <row r="67">
      <c r="A67" t="inlineStr">
        <is>
          <t>700M</t>
        </is>
      </c>
      <c r="B67">
        <f>Assumptions!$B$58</f>
        <v/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>
        <f>(1-C67)*Assumptions!$B$41+(1-D67)*Assumptions!$B$33+(1-E67)*Assumptions!$B$32+(1-F67)*Assumptions!$B$31+(1-G67)*Assumptions!$B$30+(1-H67)*Assumptions!$B$29+(1-I67)*Assumptions!$B$28</f>
        <v/>
      </c>
      <c r="K67">
        <f>C67*Assumptions!$B$141+D67*Assumptions!$B$128+E67*Assumptions!$B$129+F67*Assumptions!$B$14+G67*Assumptions!$B$13+H67*Assumptions!$B$12+I67*Assumptions!$B$11+Assumptions!$B$133+Assumptions!$B$137+Assumptions!$B$9</f>
        <v/>
      </c>
      <c r="L67">
        <f>B67-J67</f>
        <v/>
      </c>
      <c r="M67">
        <f>IF(K67&gt;0,IF(L67/K67&gt;=Assumptions!$B$37,1,0),0)</f>
        <v/>
      </c>
      <c r="N67">
        <f>K67+M67*Assumptions!$B$153</f>
        <v/>
      </c>
      <c r="O67">
        <f>L67+M67*Assumptions!$B$153*Assumptions!$B$37</f>
        <v/>
      </c>
      <c r="P67">
        <f>IF(N67&gt;0,O67/N67,0)</f>
        <v/>
      </c>
      <c r="Q67">
        <f>IF(C67=1,P67*Assumptions!$B$141,Assumptions!$B$41)</f>
        <v/>
      </c>
      <c r="R67">
        <f>IF(D67=1,P67*Assumptions!$B$128,Assumptions!$B$33)</f>
        <v/>
      </c>
      <c r="S67">
        <f>IF(E67=1,P67*Assumptions!$B$129,Assumptions!$B$32)</f>
        <v/>
      </c>
      <c r="T67">
        <f>IF(F67=1,P67*Assumptions!$B$14,Assumptions!$B$31)</f>
        <v/>
      </c>
      <c r="U67">
        <f>IF(G67=1,P67*Assumptions!$B$13,Assumptions!$B$30)</f>
        <v/>
      </c>
      <c r="V67">
        <f>IF(H67=1,P67*Assumptions!$B$12,Assumptions!$B$29)</f>
        <v/>
      </c>
      <c r="W67">
        <f>IF(I67=1,P67*Assumptions!$B$11,Assumptions!$B$28)</f>
        <v/>
      </c>
      <c r="X67">
        <f>P67*(Assumptions!$B$133+Assumptions!$B$137)</f>
        <v/>
      </c>
      <c r="Y67">
        <f>P67*Assumptions!$B$9</f>
        <v/>
      </c>
      <c r="Z67">
        <f>IF(M67=1,(P67-Assumptions!$B$37)*Assumptions!$B$153,0)</f>
        <v/>
      </c>
      <c r="AA67">
        <f>Q67+R67+S67+T67+U67+V67+W67+X67+Y67+Z67</f>
        <v/>
      </c>
      <c r="AB67" t="n">
        <v>16</v>
      </c>
      <c r="AC67" t="n">
        <v>80</v>
      </c>
      <c r="AD67" t="n">
        <v>48</v>
      </c>
      <c r="AE67" t="n">
        <v>0</v>
      </c>
      <c r="AF67" t="n">
        <v>24</v>
      </c>
      <c r="AG67" t="n">
        <v>20</v>
      </c>
      <c r="AH67" t="n">
        <v>18</v>
      </c>
      <c r="AI67" t="n">
        <v>17</v>
      </c>
      <c r="AJ67">
        <f>INDEX($Q$51:$Q$178,AC67+1)</f>
        <v/>
      </c>
      <c r="AK67">
        <f>INDEX($R$51:$R$178,AD67+1)</f>
        <v/>
      </c>
      <c r="AL67">
        <f>INDEX($S$51:$S$178,AE67+1)</f>
        <v/>
      </c>
      <c r="AM67">
        <f>INDEX($T$51:$T$178,AF67+1)</f>
        <v/>
      </c>
      <c r="AN67">
        <f>INDEX($U$51:$U$178,AG67+1)</f>
        <v/>
      </c>
      <c r="AO67">
        <f>INDEX($V$51:$V$178,AH67+1)</f>
        <v/>
      </c>
      <c r="AP67">
        <f>INDEX($W$51:$W$178,AI67+1)</f>
        <v/>
      </c>
      <c r="AQ67">
        <f>IF(Q67&gt;=AJ67-0.01,1,0)</f>
        <v/>
      </c>
      <c r="AR67">
        <f>IF(R67&gt;=AK67-0.01,1,0)</f>
        <v/>
      </c>
      <c r="AS67">
        <f>IF(S67&gt;=AL67-0.01,1,0)</f>
        <v/>
      </c>
      <c r="AT67">
        <f>IF(T67&gt;=AM67-0.01,1,0)</f>
        <v/>
      </c>
      <c r="AU67">
        <f>IF(U67&gt;=AN67-0.01,1,0)</f>
        <v/>
      </c>
      <c r="AV67">
        <f>IF(V67&gt;=AO67-0.01,1,0)</f>
        <v/>
      </c>
      <c r="AW67">
        <f>IF(W67&gt;=AP67-0.01,1,0)</f>
        <v/>
      </c>
      <c r="AX67">
        <f>AQ67*AR67*AS67*AT67*AU67*AV67*AW67</f>
        <v/>
      </c>
      <c r="AY67">
        <f>Assumptions!$B$41</f>
        <v/>
      </c>
      <c r="AZ67">
        <f>Assumptions!$B$33</f>
        <v/>
      </c>
      <c r="BA67">
        <f>Assumptions!$B$32</f>
        <v/>
      </c>
      <c r="BB67">
        <f>Assumptions!$B$31</f>
        <v/>
      </c>
      <c r="BC67">
        <f>Assumptions!$B$30</f>
        <v/>
      </c>
      <c r="BD67">
        <f>Assumptions!$B$29</f>
        <v/>
      </c>
      <c r="BE67">
        <f>Assumptions!$B$28</f>
        <v/>
      </c>
      <c r="BF67">
        <f>P67*Assumptions!$B$141</f>
        <v/>
      </c>
      <c r="BG67">
        <f>P67*Assumptions!$B$128</f>
        <v/>
      </c>
      <c r="BH67">
        <f>P67*Assumptions!$B$129</f>
        <v/>
      </c>
      <c r="BI67">
        <f>P67*Assumptions!$B$14</f>
        <v/>
      </c>
      <c r="BJ67">
        <f>P67*Assumptions!$B$13</f>
        <v/>
      </c>
      <c r="BK67">
        <f>P67*Assumptions!$B$12</f>
        <v/>
      </c>
      <c r="BL67">
        <f>P67*Assumptions!$B$11</f>
        <v/>
      </c>
    </row>
    <row r="68">
      <c r="A68" t="inlineStr">
        <is>
          <t>700M</t>
        </is>
      </c>
      <c r="B68">
        <f>Assumptions!$B$58</f>
        <v/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>
        <f>(1-C68)*Assumptions!$B$41+(1-D68)*Assumptions!$B$33+(1-E68)*Assumptions!$B$32+(1-F68)*Assumptions!$B$31+(1-G68)*Assumptions!$B$30+(1-H68)*Assumptions!$B$29+(1-I68)*Assumptions!$B$28</f>
        <v/>
      </c>
      <c r="K68">
        <f>C68*Assumptions!$B$141+D68*Assumptions!$B$128+E68*Assumptions!$B$129+F68*Assumptions!$B$14+G68*Assumptions!$B$13+H68*Assumptions!$B$12+I68*Assumptions!$B$11+Assumptions!$B$133+Assumptions!$B$137+Assumptions!$B$9</f>
        <v/>
      </c>
      <c r="L68">
        <f>B68-J68</f>
        <v/>
      </c>
      <c r="M68">
        <f>IF(K68&gt;0,IF(L68/K68&gt;=Assumptions!$B$37,1,0),0)</f>
        <v/>
      </c>
      <c r="N68">
        <f>K68+M68*Assumptions!$B$153</f>
        <v/>
      </c>
      <c r="O68">
        <f>L68+M68*Assumptions!$B$153*Assumptions!$B$37</f>
        <v/>
      </c>
      <c r="P68">
        <f>IF(N68&gt;0,O68/N68,0)</f>
        <v/>
      </c>
      <c r="Q68">
        <f>IF(C68=1,P68*Assumptions!$B$141,Assumptions!$B$41)</f>
        <v/>
      </c>
      <c r="R68">
        <f>IF(D68=1,P68*Assumptions!$B$128,Assumptions!$B$33)</f>
        <v/>
      </c>
      <c r="S68">
        <f>IF(E68=1,P68*Assumptions!$B$129,Assumptions!$B$32)</f>
        <v/>
      </c>
      <c r="T68">
        <f>IF(F68=1,P68*Assumptions!$B$14,Assumptions!$B$31)</f>
        <v/>
      </c>
      <c r="U68">
        <f>IF(G68=1,P68*Assumptions!$B$13,Assumptions!$B$30)</f>
        <v/>
      </c>
      <c r="V68">
        <f>IF(H68=1,P68*Assumptions!$B$12,Assumptions!$B$29)</f>
        <v/>
      </c>
      <c r="W68">
        <f>IF(I68=1,P68*Assumptions!$B$11,Assumptions!$B$28)</f>
        <v/>
      </c>
      <c r="X68">
        <f>P68*(Assumptions!$B$133+Assumptions!$B$137)</f>
        <v/>
      </c>
      <c r="Y68">
        <f>P68*Assumptions!$B$9</f>
        <v/>
      </c>
      <c r="Z68">
        <f>IF(M68=1,(P68-Assumptions!$B$37)*Assumptions!$B$153,0)</f>
        <v/>
      </c>
      <c r="AA68">
        <f>Q68+R68+S68+T68+U68+V68+W68+X68+Y68+Z68</f>
        <v/>
      </c>
      <c r="AB68" t="n">
        <v>17</v>
      </c>
      <c r="AC68" t="n">
        <v>81</v>
      </c>
      <c r="AD68" t="n">
        <v>49</v>
      </c>
      <c r="AE68" t="n">
        <v>1</v>
      </c>
      <c r="AF68" t="n">
        <v>25</v>
      </c>
      <c r="AG68" t="n">
        <v>21</v>
      </c>
      <c r="AH68" t="n">
        <v>19</v>
      </c>
      <c r="AI68" t="n">
        <v>16</v>
      </c>
      <c r="AJ68">
        <f>INDEX($Q$51:$Q$178,AC68+1)</f>
        <v/>
      </c>
      <c r="AK68">
        <f>INDEX($R$51:$R$178,AD68+1)</f>
        <v/>
      </c>
      <c r="AL68">
        <f>INDEX($S$51:$S$178,AE68+1)</f>
        <v/>
      </c>
      <c r="AM68">
        <f>INDEX($T$51:$T$178,AF68+1)</f>
        <v/>
      </c>
      <c r="AN68">
        <f>INDEX($U$51:$U$178,AG68+1)</f>
        <v/>
      </c>
      <c r="AO68">
        <f>INDEX($V$51:$V$178,AH68+1)</f>
        <v/>
      </c>
      <c r="AP68">
        <f>INDEX($W$51:$W$178,AI68+1)</f>
        <v/>
      </c>
      <c r="AQ68">
        <f>IF(Q68&gt;=AJ68-0.01,1,0)</f>
        <v/>
      </c>
      <c r="AR68">
        <f>IF(R68&gt;=AK68-0.01,1,0)</f>
        <v/>
      </c>
      <c r="AS68">
        <f>IF(S68&gt;=AL68-0.01,1,0)</f>
        <v/>
      </c>
      <c r="AT68">
        <f>IF(T68&gt;=AM68-0.01,1,0)</f>
        <v/>
      </c>
      <c r="AU68">
        <f>IF(U68&gt;=AN68-0.01,1,0)</f>
        <v/>
      </c>
      <c r="AV68">
        <f>IF(V68&gt;=AO68-0.01,1,0)</f>
        <v/>
      </c>
      <c r="AW68">
        <f>IF(W68&gt;=AP68-0.01,1,0)</f>
        <v/>
      </c>
      <c r="AX68">
        <f>AQ68*AR68*AS68*AT68*AU68*AV68*AW68</f>
        <v/>
      </c>
      <c r="AY68">
        <f>Assumptions!$B$41</f>
        <v/>
      </c>
      <c r="AZ68">
        <f>Assumptions!$B$33</f>
        <v/>
      </c>
      <c r="BA68">
        <f>Assumptions!$B$32</f>
        <v/>
      </c>
      <c r="BB68">
        <f>Assumptions!$B$31</f>
        <v/>
      </c>
      <c r="BC68">
        <f>Assumptions!$B$30</f>
        <v/>
      </c>
      <c r="BD68">
        <f>Assumptions!$B$29</f>
        <v/>
      </c>
      <c r="BE68">
        <f>Assumptions!$B$28</f>
        <v/>
      </c>
      <c r="BF68">
        <f>P68*Assumptions!$B$141</f>
        <v/>
      </c>
      <c r="BG68">
        <f>P68*Assumptions!$B$128</f>
        <v/>
      </c>
      <c r="BH68">
        <f>P68*Assumptions!$B$129</f>
        <v/>
      </c>
      <c r="BI68">
        <f>P68*Assumptions!$B$14</f>
        <v/>
      </c>
      <c r="BJ68">
        <f>P68*Assumptions!$B$13</f>
        <v/>
      </c>
      <c r="BK68">
        <f>P68*Assumptions!$B$12</f>
        <v/>
      </c>
      <c r="BL68">
        <f>P68*Assumptions!$B$11</f>
        <v/>
      </c>
    </row>
    <row r="69">
      <c r="A69" t="inlineStr">
        <is>
          <t>700M</t>
        </is>
      </c>
      <c r="B69">
        <f>Assumptions!$B$58</f>
        <v/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>
        <f>(1-C69)*Assumptions!$B$41+(1-D69)*Assumptions!$B$33+(1-E69)*Assumptions!$B$32+(1-F69)*Assumptions!$B$31+(1-G69)*Assumptions!$B$30+(1-H69)*Assumptions!$B$29+(1-I69)*Assumptions!$B$28</f>
        <v/>
      </c>
      <c r="K69">
        <f>C69*Assumptions!$B$141+D69*Assumptions!$B$128+E69*Assumptions!$B$129+F69*Assumptions!$B$14+G69*Assumptions!$B$13+H69*Assumptions!$B$12+I69*Assumptions!$B$11+Assumptions!$B$133+Assumptions!$B$137+Assumptions!$B$9</f>
        <v/>
      </c>
      <c r="L69">
        <f>B69-J69</f>
        <v/>
      </c>
      <c r="M69">
        <f>IF(K69&gt;0,IF(L69/K69&gt;=Assumptions!$B$37,1,0),0)</f>
        <v/>
      </c>
      <c r="N69">
        <f>K69+M69*Assumptions!$B$153</f>
        <v/>
      </c>
      <c r="O69">
        <f>L69+M69*Assumptions!$B$153*Assumptions!$B$37</f>
        <v/>
      </c>
      <c r="P69">
        <f>IF(N69&gt;0,O69/N69,0)</f>
        <v/>
      </c>
      <c r="Q69">
        <f>IF(C69=1,P69*Assumptions!$B$141,Assumptions!$B$41)</f>
        <v/>
      </c>
      <c r="R69">
        <f>IF(D69=1,P69*Assumptions!$B$128,Assumptions!$B$33)</f>
        <v/>
      </c>
      <c r="S69">
        <f>IF(E69=1,P69*Assumptions!$B$129,Assumptions!$B$32)</f>
        <v/>
      </c>
      <c r="T69">
        <f>IF(F69=1,P69*Assumptions!$B$14,Assumptions!$B$31)</f>
        <v/>
      </c>
      <c r="U69">
        <f>IF(G69=1,P69*Assumptions!$B$13,Assumptions!$B$30)</f>
        <v/>
      </c>
      <c r="V69">
        <f>IF(H69=1,P69*Assumptions!$B$12,Assumptions!$B$29)</f>
        <v/>
      </c>
      <c r="W69">
        <f>IF(I69=1,P69*Assumptions!$B$11,Assumptions!$B$28)</f>
        <v/>
      </c>
      <c r="X69">
        <f>P69*(Assumptions!$B$133+Assumptions!$B$137)</f>
        <v/>
      </c>
      <c r="Y69">
        <f>P69*Assumptions!$B$9</f>
        <v/>
      </c>
      <c r="Z69">
        <f>IF(M69=1,(P69-Assumptions!$B$37)*Assumptions!$B$153,0)</f>
        <v/>
      </c>
      <c r="AA69">
        <f>Q69+R69+S69+T69+U69+V69+W69+X69+Y69+Z69</f>
        <v/>
      </c>
      <c r="AB69" t="n">
        <v>18</v>
      </c>
      <c r="AC69" t="n">
        <v>82</v>
      </c>
      <c r="AD69" t="n">
        <v>50</v>
      </c>
      <c r="AE69" t="n">
        <v>2</v>
      </c>
      <c r="AF69" t="n">
        <v>26</v>
      </c>
      <c r="AG69" t="n">
        <v>22</v>
      </c>
      <c r="AH69" t="n">
        <v>16</v>
      </c>
      <c r="AI69" t="n">
        <v>19</v>
      </c>
      <c r="AJ69">
        <f>INDEX($Q$51:$Q$178,AC69+1)</f>
        <v/>
      </c>
      <c r="AK69">
        <f>INDEX($R$51:$R$178,AD69+1)</f>
        <v/>
      </c>
      <c r="AL69">
        <f>INDEX($S$51:$S$178,AE69+1)</f>
        <v/>
      </c>
      <c r="AM69">
        <f>INDEX($T$51:$T$178,AF69+1)</f>
        <v/>
      </c>
      <c r="AN69">
        <f>INDEX($U$51:$U$178,AG69+1)</f>
        <v/>
      </c>
      <c r="AO69">
        <f>INDEX($V$51:$V$178,AH69+1)</f>
        <v/>
      </c>
      <c r="AP69">
        <f>INDEX($W$51:$W$178,AI69+1)</f>
        <v/>
      </c>
      <c r="AQ69">
        <f>IF(Q69&gt;=AJ69-0.01,1,0)</f>
        <v/>
      </c>
      <c r="AR69">
        <f>IF(R69&gt;=AK69-0.01,1,0)</f>
        <v/>
      </c>
      <c r="AS69">
        <f>IF(S69&gt;=AL69-0.01,1,0)</f>
        <v/>
      </c>
      <c r="AT69">
        <f>IF(T69&gt;=AM69-0.01,1,0)</f>
        <v/>
      </c>
      <c r="AU69">
        <f>IF(U69&gt;=AN69-0.01,1,0)</f>
        <v/>
      </c>
      <c r="AV69">
        <f>IF(V69&gt;=AO69-0.01,1,0)</f>
        <v/>
      </c>
      <c r="AW69">
        <f>IF(W69&gt;=AP69-0.01,1,0)</f>
        <v/>
      </c>
      <c r="AX69">
        <f>AQ69*AR69*AS69*AT69*AU69*AV69*AW69</f>
        <v/>
      </c>
      <c r="AY69">
        <f>Assumptions!$B$41</f>
        <v/>
      </c>
      <c r="AZ69">
        <f>Assumptions!$B$33</f>
        <v/>
      </c>
      <c r="BA69">
        <f>Assumptions!$B$32</f>
        <v/>
      </c>
      <c r="BB69">
        <f>Assumptions!$B$31</f>
        <v/>
      </c>
      <c r="BC69">
        <f>Assumptions!$B$30</f>
        <v/>
      </c>
      <c r="BD69">
        <f>Assumptions!$B$29</f>
        <v/>
      </c>
      <c r="BE69">
        <f>Assumptions!$B$28</f>
        <v/>
      </c>
      <c r="BF69">
        <f>P69*Assumptions!$B$141</f>
        <v/>
      </c>
      <c r="BG69">
        <f>P69*Assumptions!$B$128</f>
        <v/>
      </c>
      <c r="BH69">
        <f>P69*Assumptions!$B$129</f>
        <v/>
      </c>
      <c r="BI69">
        <f>P69*Assumptions!$B$14</f>
        <v/>
      </c>
      <c r="BJ69">
        <f>P69*Assumptions!$B$13</f>
        <v/>
      </c>
      <c r="BK69">
        <f>P69*Assumptions!$B$12</f>
        <v/>
      </c>
      <c r="BL69">
        <f>P69*Assumptions!$B$11</f>
        <v/>
      </c>
    </row>
    <row r="70">
      <c r="A70" t="inlineStr">
        <is>
          <t>700M</t>
        </is>
      </c>
      <c r="B70">
        <f>Assumptions!$B$58</f>
        <v/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>
        <f>(1-C70)*Assumptions!$B$41+(1-D70)*Assumptions!$B$33+(1-E70)*Assumptions!$B$32+(1-F70)*Assumptions!$B$31+(1-G70)*Assumptions!$B$30+(1-H70)*Assumptions!$B$29+(1-I70)*Assumptions!$B$28</f>
        <v/>
      </c>
      <c r="K70">
        <f>C70*Assumptions!$B$141+D70*Assumptions!$B$128+E70*Assumptions!$B$129+F70*Assumptions!$B$14+G70*Assumptions!$B$13+H70*Assumptions!$B$12+I70*Assumptions!$B$11+Assumptions!$B$133+Assumptions!$B$137+Assumptions!$B$9</f>
        <v/>
      </c>
      <c r="L70">
        <f>B70-J70</f>
        <v/>
      </c>
      <c r="M70">
        <f>IF(K70&gt;0,IF(L70/K70&gt;=Assumptions!$B$37,1,0),0)</f>
        <v/>
      </c>
      <c r="N70">
        <f>K70+M70*Assumptions!$B$153</f>
        <v/>
      </c>
      <c r="O70">
        <f>L70+M70*Assumptions!$B$153*Assumptions!$B$37</f>
        <v/>
      </c>
      <c r="P70">
        <f>IF(N70&gt;0,O70/N70,0)</f>
        <v/>
      </c>
      <c r="Q70">
        <f>IF(C70=1,P70*Assumptions!$B$141,Assumptions!$B$41)</f>
        <v/>
      </c>
      <c r="R70">
        <f>IF(D70=1,P70*Assumptions!$B$128,Assumptions!$B$33)</f>
        <v/>
      </c>
      <c r="S70">
        <f>IF(E70=1,P70*Assumptions!$B$129,Assumptions!$B$32)</f>
        <v/>
      </c>
      <c r="T70">
        <f>IF(F70=1,P70*Assumptions!$B$14,Assumptions!$B$31)</f>
        <v/>
      </c>
      <c r="U70">
        <f>IF(G70=1,P70*Assumptions!$B$13,Assumptions!$B$30)</f>
        <v/>
      </c>
      <c r="V70">
        <f>IF(H70=1,P70*Assumptions!$B$12,Assumptions!$B$29)</f>
        <v/>
      </c>
      <c r="W70">
        <f>IF(I70=1,P70*Assumptions!$B$11,Assumptions!$B$28)</f>
        <v/>
      </c>
      <c r="X70">
        <f>P70*(Assumptions!$B$133+Assumptions!$B$137)</f>
        <v/>
      </c>
      <c r="Y70">
        <f>P70*Assumptions!$B$9</f>
        <v/>
      </c>
      <c r="Z70">
        <f>IF(M70=1,(P70-Assumptions!$B$37)*Assumptions!$B$153,0)</f>
        <v/>
      </c>
      <c r="AA70">
        <f>Q70+R70+S70+T70+U70+V70+W70+X70+Y70+Z70</f>
        <v/>
      </c>
      <c r="AB70" t="n">
        <v>19</v>
      </c>
      <c r="AC70" t="n">
        <v>83</v>
      </c>
      <c r="AD70" t="n">
        <v>51</v>
      </c>
      <c r="AE70" t="n">
        <v>3</v>
      </c>
      <c r="AF70" t="n">
        <v>27</v>
      </c>
      <c r="AG70" t="n">
        <v>23</v>
      </c>
      <c r="AH70" t="n">
        <v>17</v>
      </c>
      <c r="AI70" t="n">
        <v>18</v>
      </c>
      <c r="AJ70">
        <f>INDEX($Q$51:$Q$178,AC70+1)</f>
        <v/>
      </c>
      <c r="AK70">
        <f>INDEX($R$51:$R$178,AD70+1)</f>
        <v/>
      </c>
      <c r="AL70">
        <f>INDEX($S$51:$S$178,AE70+1)</f>
        <v/>
      </c>
      <c r="AM70">
        <f>INDEX($T$51:$T$178,AF70+1)</f>
        <v/>
      </c>
      <c r="AN70">
        <f>INDEX($U$51:$U$178,AG70+1)</f>
        <v/>
      </c>
      <c r="AO70">
        <f>INDEX($V$51:$V$178,AH70+1)</f>
        <v/>
      </c>
      <c r="AP70">
        <f>INDEX($W$51:$W$178,AI70+1)</f>
        <v/>
      </c>
      <c r="AQ70">
        <f>IF(Q70&gt;=AJ70-0.01,1,0)</f>
        <v/>
      </c>
      <c r="AR70">
        <f>IF(R70&gt;=AK70-0.01,1,0)</f>
        <v/>
      </c>
      <c r="AS70">
        <f>IF(S70&gt;=AL70-0.01,1,0)</f>
        <v/>
      </c>
      <c r="AT70">
        <f>IF(T70&gt;=AM70-0.01,1,0)</f>
        <v/>
      </c>
      <c r="AU70">
        <f>IF(U70&gt;=AN70-0.01,1,0)</f>
        <v/>
      </c>
      <c r="AV70">
        <f>IF(V70&gt;=AO70-0.01,1,0)</f>
        <v/>
      </c>
      <c r="AW70">
        <f>IF(W70&gt;=AP70-0.01,1,0)</f>
        <v/>
      </c>
      <c r="AX70">
        <f>AQ70*AR70*AS70*AT70*AU70*AV70*AW70</f>
        <v/>
      </c>
      <c r="AY70">
        <f>Assumptions!$B$41</f>
        <v/>
      </c>
      <c r="AZ70">
        <f>Assumptions!$B$33</f>
        <v/>
      </c>
      <c r="BA70">
        <f>Assumptions!$B$32</f>
        <v/>
      </c>
      <c r="BB70">
        <f>Assumptions!$B$31</f>
        <v/>
      </c>
      <c r="BC70">
        <f>Assumptions!$B$30</f>
        <v/>
      </c>
      <c r="BD70">
        <f>Assumptions!$B$29</f>
        <v/>
      </c>
      <c r="BE70">
        <f>Assumptions!$B$28</f>
        <v/>
      </c>
      <c r="BF70">
        <f>P70*Assumptions!$B$141</f>
        <v/>
      </c>
      <c r="BG70">
        <f>P70*Assumptions!$B$128</f>
        <v/>
      </c>
      <c r="BH70">
        <f>P70*Assumptions!$B$129</f>
        <v/>
      </c>
      <c r="BI70">
        <f>P70*Assumptions!$B$14</f>
        <v/>
      </c>
      <c r="BJ70">
        <f>P70*Assumptions!$B$13</f>
        <v/>
      </c>
      <c r="BK70">
        <f>P70*Assumptions!$B$12</f>
        <v/>
      </c>
      <c r="BL70">
        <f>P70*Assumptions!$B$11</f>
        <v/>
      </c>
    </row>
    <row r="71">
      <c r="A71" t="inlineStr">
        <is>
          <t>700M</t>
        </is>
      </c>
      <c r="B71">
        <f>Assumptions!$B$58</f>
        <v/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>
        <f>(1-C71)*Assumptions!$B$41+(1-D71)*Assumptions!$B$33+(1-E71)*Assumptions!$B$32+(1-F71)*Assumptions!$B$31+(1-G71)*Assumptions!$B$30+(1-H71)*Assumptions!$B$29+(1-I71)*Assumptions!$B$28</f>
        <v/>
      </c>
      <c r="K71">
        <f>C71*Assumptions!$B$141+D71*Assumptions!$B$128+E71*Assumptions!$B$129+F71*Assumptions!$B$14+G71*Assumptions!$B$13+H71*Assumptions!$B$12+I71*Assumptions!$B$11+Assumptions!$B$133+Assumptions!$B$137+Assumptions!$B$9</f>
        <v/>
      </c>
      <c r="L71">
        <f>B71-J71</f>
        <v/>
      </c>
      <c r="M71">
        <f>IF(K71&gt;0,IF(L71/K71&gt;=Assumptions!$B$37,1,0),0)</f>
        <v/>
      </c>
      <c r="N71">
        <f>K71+M71*Assumptions!$B$153</f>
        <v/>
      </c>
      <c r="O71">
        <f>L71+M71*Assumptions!$B$153*Assumptions!$B$37</f>
        <v/>
      </c>
      <c r="P71">
        <f>IF(N71&gt;0,O71/N71,0)</f>
        <v/>
      </c>
      <c r="Q71">
        <f>IF(C71=1,P71*Assumptions!$B$141,Assumptions!$B$41)</f>
        <v/>
      </c>
      <c r="R71">
        <f>IF(D71=1,P71*Assumptions!$B$128,Assumptions!$B$33)</f>
        <v/>
      </c>
      <c r="S71">
        <f>IF(E71=1,P71*Assumptions!$B$129,Assumptions!$B$32)</f>
        <v/>
      </c>
      <c r="T71">
        <f>IF(F71=1,P71*Assumptions!$B$14,Assumptions!$B$31)</f>
        <v/>
      </c>
      <c r="U71">
        <f>IF(G71=1,P71*Assumptions!$B$13,Assumptions!$B$30)</f>
        <v/>
      </c>
      <c r="V71">
        <f>IF(H71=1,P71*Assumptions!$B$12,Assumptions!$B$29)</f>
        <v/>
      </c>
      <c r="W71">
        <f>IF(I71=1,P71*Assumptions!$B$11,Assumptions!$B$28)</f>
        <v/>
      </c>
      <c r="X71">
        <f>P71*(Assumptions!$B$133+Assumptions!$B$137)</f>
        <v/>
      </c>
      <c r="Y71">
        <f>P71*Assumptions!$B$9</f>
        <v/>
      </c>
      <c r="Z71">
        <f>IF(M71=1,(P71-Assumptions!$B$37)*Assumptions!$B$153,0)</f>
        <v/>
      </c>
      <c r="AA71">
        <f>Q71+R71+S71+T71+U71+V71+W71+X71+Y71+Z71</f>
        <v/>
      </c>
      <c r="AB71" t="n">
        <v>20</v>
      </c>
      <c r="AC71" t="n">
        <v>84</v>
      </c>
      <c r="AD71" t="n">
        <v>52</v>
      </c>
      <c r="AE71" t="n">
        <v>4</v>
      </c>
      <c r="AF71" t="n">
        <v>28</v>
      </c>
      <c r="AG71" t="n">
        <v>16</v>
      </c>
      <c r="AH71" t="n">
        <v>22</v>
      </c>
      <c r="AI71" t="n">
        <v>21</v>
      </c>
      <c r="AJ71">
        <f>INDEX($Q$51:$Q$178,AC71+1)</f>
        <v/>
      </c>
      <c r="AK71">
        <f>INDEX($R$51:$R$178,AD71+1)</f>
        <v/>
      </c>
      <c r="AL71">
        <f>INDEX($S$51:$S$178,AE71+1)</f>
        <v/>
      </c>
      <c r="AM71">
        <f>INDEX($T$51:$T$178,AF71+1)</f>
        <v/>
      </c>
      <c r="AN71">
        <f>INDEX($U$51:$U$178,AG71+1)</f>
        <v/>
      </c>
      <c r="AO71">
        <f>INDEX($V$51:$V$178,AH71+1)</f>
        <v/>
      </c>
      <c r="AP71">
        <f>INDEX($W$51:$W$178,AI71+1)</f>
        <v/>
      </c>
      <c r="AQ71">
        <f>IF(Q71&gt;=AJ71-0.01,1,0)</f>
        <v/>
      </c>
      <c r="AR71">
        <f>IF(R71&gt;=AK71-0.01,1,0)</f>
        <v/>
      </c>
      <c r="AS71">
        <f>IF(S71&gt;=AL71-0.01,1,0)</f>
        <v/>
      </c>
      <c r="AT71">
        <f>IF(T71&gt;=AM71-0.01,1,0)</f>
        <v/>
      </c>
      <c r="AU71">
        <f>IF(U71&gt;=AN71-0.01,1,0)</f>
        <v/>
      </c>
      <c r="AV71">
        <f>IF(V71&gt;=AO71-0.01,1,0)</f>
        <v/>
      </c>
      <c r="AW71">
        <f>IF(W71&gt;=AP71-0.01,1,0)</f>
        <v/>
      </c>
      <c r="AX71">
        <f>AQ71*AR71*AS71*AT71*AU71*AV71*AW71</f>
        <v/>
      </c>
      <c r="AY71">
        <f>Assumptions!$B$41</f>
        <v/>
      </c>
      <c r="AZ71">
        <f>Assumptions!$B$33</f>
        <v/>
      </c>
      <c r="BA71">
        <f>Assumptions!$B$32</f>
        <v/>
      </c>
      <c r="BB71">
        <f>Assumptions!$B$31</f>
        <v/>
      </c>
      <c r="BC71">
        <f>Assumptions!$B$30</f>
        <v/>
      </c>
      <c r="BD71">
        <f>Assumptions!$B$29</f>
        <v/>
      </c>
      <c r="BE71">
        <f>Assumptions!$B$28</f>
        <v/>
      </c>
      <c r="BF71">
        <f>P71*Assumptions!$B$141</f>
        <v/>
      </c>
      <c r="BG71">
        <f>P71*Assumptions!$B$128</f>
        <v/>
      </c>
      <c r="BH71">
        <f>P71*Assumptions!$B$129</f>
        <v/>
      </c>
      <c r="BI71">
        <f>P71*Assumptions!$B$14</f>
        <v/>
      </c>
      <c r="BJ71">
        <f>P71*Assumptions!$B$13</f>
        <v/>
      </c>
      <c r="BK71">
        <f>P71*Assumptions!$B$12</f>
        <v/>
      </c>
      <c r="BL71">
        <f>P71*Assumptions!$B$11</f>
        <v/>
      </c>
    </row>
    <row r="72">
      <c r="A72" t="inlineStr">
        <is>
          <t>700M</t>
        </is>
      </c>
      <c r="B72">
        <f>Assumptions!$B$58</f>
        <v/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>
        <f>(1-C72)*Assumptions!$B$41+(1-D72)*Assumptions!$B$33+(1-E72)*Assumptions!$B$32+(1-F72)*Assumptions!$B$31+(1-G72)*Assumptions!$B$30+(1-H72)*Assumptions!$B$29+(1-I72)*Assumptions!$B$28</f>
        <v/>
      </c>
      <c r="K72">
        <f>C72*Assumptions!$B$141+D72*Assumptions!$B$128+E72*Assumptions!$B$129+F72*Assumptions!$B$14+G72*Assumptions!$B$13+H72*Assumptions!$B$12+I72*Assumptions!$B$11+Assumptions!$B$133+Assumptions!$B$137+Assumptions!$B$9</f>
        <v/>
      </c>
      <c r="L72">
        <f>B72-J72</f>
        <v/>
      </c>
      <c r="M72">
        <f>IF(K72&gt;0,IF(L72/K72&gt;=Assumptions!$B$37,1,0),0)</f>
        <v/>
      </c>
      <c r="N72">
        <f>K72+M72*Assumptions!$B$153</f>
        <v/>
      </c>
      <c r="O72">
        <f>L72+M72*Assumptions!$B$153*Assumptions!$B$37</f>
        <v/>
      </c>
      <c r="P72">
        <f>IF(N72&gt;0,O72/N72,0)</f>
        <v/>
      </c>
      <c r="Q72">
        <f>IF(C72=1,P72*Assumptions!$B$141,Assumptions!$B$41)</f>
        <v/>
      </c>
      <c r="R72">
        <f>IF(D72=1,P72*Assumptions!$B$128,Assumptions!$B$33)</f>
        <v/>
      </c>
      <c r="S72">
        <f>IF(E72=1,P72*Assumptions!$B$129,Assumptions!$B$32)</f>
        <v/>
      </c>
      <c r="T72">
        <f>IF(F72=1,P72*Assumptions!$B$14,Assumptions!$B$31)</f>
        <v/>
      </c>
      <c r="U72">
        <f>IF(G72=1,P72*Assumptions!$B$13,Assumptions!$B$30)</f>
        <v/>
      </c>
      <c r="V72">
        <f>IF(H72=1,P72*Assumptions!$B$12,Assumptions!$B$29)</f>
        <v/>
      </c>
      <c r="W72">
        <f>IF(I72=1,P72*Assumptions!$B$11,Assumptions!$B$28)</f>
        <v/>
      </c>
      <c r="X72">
        <f>P72*(Assumptions!$B$133+Assumptions!$B$137)</f>
        <v/>
      </c>
      <c r="Y72">
        <f>P72*Assumptions!$B$9</f>
        <v/>
      </c>
      <c r="Z72">
        <f>IF(M72=1,(P72-Assumptions!$B$37)*Assumptions!$B$153,0)</f>
        <v/>
      </c>
      <c r="AA72">
        <f>Q72+R72+S72+T72+U72+V72+W72+X72+Y72+Z72</f>
        <v/>
      </c>
      <c r="AB72" t="n">
        <v>21</v>
      </c>
      <c r="AC72" t="n">
        <v>85</v>
      </c>
      <c r="AD72" t="n">
        <v>53</v>
      </c>
      <c r="AE72" t="n">
        <v>5</v>
      </c>
      <c r="AF72" t="n">
        <v>29</v>
      </c>
      <c r="AG72" t="n">
        <v>17</v>
      </c>
      <c r="AH72" t="n">
        <v>23</v>
      </c>
      <c r="AI72" t="n">
        <v>20</v>
      </c>
      <c r="AJ72">
        <f>INDEX($Q$51:$Q$178,AC72+1)</f>
        <v/>
      </c>
      <c r="AK72">
        <f>INDEX($R$51:$R$178,AD72+1)</f>
        <v/>
      </c>
      <c r="AL72">
        <f>INDEX($S$51:$S$178,AE72+1)</f>
        <v/>
      </c>
      <c r="AM72">
        <f>INDEX($T$51:$T$178,AF72+1)</f>
        <v/>
      </c>
      <c r="AN72">
        <f>INDEX($U$51:$U$178,AG72+1)</f>
        <v/>
      </c>
      <c r="AO72">
        <f>INDEX($V$51:$V$178,AH72+1)</f>
        <v/>
      </c>
      <c r="AP72">
        <f>INDEX($W$51:$W$178,AI72+1)</f>
        <v/>
      </c>
      <c r="AQ72">
        <f>IF(Q72&gt;=AJ72-0.01,1,0)</f>
        <v/>
      </c>
      <c r="AR72">
        <f>IF(R72&gt;=AK72-0.01,1,0)</f>
        <v/>
      </c>
      <c r="AS72">
        <f>IF(S72&gt;=AL72-0.01,1,0)</f>
        <v/>
      </c>
      <c r="AT72">
        <f>IF(T72&gt;=AM72-0.01,1,0)</f>
        <v/>
      </c>
      <c r="AU72">
        <f>IF(U72&gt;=AN72-0.01,1,0)</f>
        <v/>
      </c>
      <c r="AV72">
        <f>IF(V72&gt;=AO72-0.01,1,0)</f>
        <v/>
      </c>
      <c r="AW72">
        <f>IF(W72&gt;=AP72-0.01,1,0)</f>
        <v/>
      </c>
      <c r="AX72">
        <f>AQ72*AR72*AS72*AT72*AU72*AV72*AW72</f>
        <v/>
      </c>
      <c r="AY72">
        <f>Assumptions!$B$41</f>
        <v/>
      </c>
      <c r="AZ72">
        <f>Assumptions!$B$33</f>
        <v/>
      </c>
      <c r="BA72">
        <f>Assumptions!$B$32</f>
        <v/>
      </c>
      <c r="BB72">
        <f>Assumptions!$B$31</f>
        <v/>
      </c>
      <c r="BC72">
        <f>Assumptions!$B$30</f>
        <v/>
      </c>
      <c r="BD72">
        <f>Assumptions!$B$29</f>
        <v/>
      </c>
      <c r="BE72">
        <f>Assumptions!$B$28</f>
        <v/>
      </c>
      <c r="BF72">
        <f>P72*Assumptions!$B$141</f>
        <v/>
      </c>
      <c r="BG72">
        <f>P72*Assumptions!$B$128</f>
        <v/>
      </c>
      <c r="BH72">
        <f>P72*Assumptions!$B$129</f>
        <v/>
      </c>
      <c r="BI72">
        <f>P72*Assumptions!$B$14</f>
        <v/>
      </c>
      <c r="BJ72">
        <f>P72*Assumptions!$B$13</f>
        <v/>
      </c>
      <c r="BK72">
        <f>P72*Assumptions!$B$12</f>
        <v/>
      </c>
      <c r="BL72">
        <f>P72*Assumptions!$B$11</f>
        <v/>
      </c>
    </row>
    <row r="73">
      <c r="A73" t="inlineStr">
        <is>
          <t>700M</t>
        </is>
      </c>
      <c r="B73">
        <f>Assumptions!$B$58</f>
        <v/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>
        <f>(1-C73)*Assumptions!$B$41+(1-D73)*Assumptions!$B$33+(1-E73)*Assumptions!$B$32+(1-F73)*Assumptions!$B$31+(1-G73)*Assumptions!$B$30+(1-H73)*Assumptions!$B$29+(1-I73)*Assumptions!$B$28</f>
        <v/>
      </c>
      <c r="K73">
        <f>C73*Assumptions!$B$141+D73*Assumptions!$B$128+E73*Assumptions!$B$129+F73*Assumptions!$B$14+G73*Assumptions!$B$13+H73*Assumptions!$B$12+I73*Assumptions!$B$11+Assumptions!$B$133+Assumptions!$B$137+Assumptions!$B$9</f>
        <v/>
      </c>
      <c r="L73">
        <f>B73-J73</f>
        <v/>
      </c>
      <c r="M73">
        <f>IF(K73&gt;0,IF(L73/K73&gt;=Assumptions!$B$37,1,0),0)</f>
        <v/>
      </c>
      <c r="N73">
        <f>K73+M73*Assumptions!$B$153</f>
        <v/>
      </c>
      <c r="O73">
        <f>L73+M73*Assumptions!$B$153*Assumptions!$B$37</f>
        <v/>
      </c>
      <c r="P73">
        <f>IF(N73&gt;0,O73/N73,0)</f>
        <v/>
      </c>
      <c r="Q73">
        <f>IF(C73=1,P73*Assumptions!$B$141,Assumptions!$B$41)</f>
        <v/>
      </c>
      <c r="R73">
        <f>IF(D73=1,P73*Assumptions!$B$128,Assumptions!$B$33)</f>
        <v/>
      </c>
      <c r="S73">
        <f>IF(E73=1,P73*Assumptions!$B$129,Assumptions!$B$32)</f>
        <v/>
      </c>
      <c r="T73">
        <f>IF(F73=1,P73*Assumptions!$B$14,Assumptions!$B$31)</f>
        <v/>
      </c>
      <c r="U73">
        <f>IF(G73=1,P73*Assumptions!$B$13,Assumptions!$B$30)</f>
        <v/>
      </c>
      <c r="V73">
        <f>IF(H73=1,P73*Assumptions!$B$12,Assumptions!$B$29)</f>
        <v/>
      </c>
      <c r="W73">
        <f>IF(I73=1,P73*Assumptions!$B$11,Assumptions!$B$28)</f>
        <v/>
      </c>
      <c r="X73">
        <f>P73*(Assumptions!$B$133+Assumptions!$B$137)</f>
        <v/>
      </c>
      <c r="Y73">
        <f>P73*Assumptions!$B$9</f>
        <v/>
      </c>
      <c r="Z73">
        <f>IF(M73=1,(P73-Assumptions!$B$37)*Assumptions!$B$153,0)</f>
        <v/>
      </c>
      <c r="AA73">
        <f>Q73+R73+S73+T73+U73+V73+W73+X73+Y73+Z73</f>
        <v/>
      </c>
      <c r="AB73" t="n">
        <v>22</v>
      </c>
      <c r="AC73" t="n">
        <v>86</v>
      </c>
      <c r="AD73" t="n">
        <v>54</v>
      </c>
      <c r="AE73" t="n">
        <v>6</v>
      </c>
      <c r="AF73" t="n">
        <v>30</v>
      </c>
      <c r="AG73" t="n">
        <v>18</v>
      </c>
      <c r="AH73" t="n">
        <v>20</v>
      </c>
      <c r="AI73" t="n">
        <v>23</v>
      </c>
      <c r="AJ73">
        <f>INDEX($Q$51:$Q$178,AC73+1)</f>
        <v/>
      </c>
      <c r="AK73">
        <f>INDEX($R$51:$R$178,AD73+1)</f>
        <v/>
      </c>
      <c r="AL73">
        <f>INDEX($S$51:$S$178,AE73+1)</f>
        <v/>
      </c>
      <c r="AM73">
        <f>INDEX($T$51:$T$178,AF73+1)</f>
        <v/>
      </c>
      <c r="AN73">
        <f>INDEX($U$51:$U$178,AG73+1)</f>
        <v/>
      </c>
      <c r="AO73">
        <f>INDEX($V$51:$V$178,AH73+1)</f>
        <v/>
      </c>
      <c r="AP73">
        <f>INDEX($W$51:$W$178,AI73+1)</f>
        <v/>
      </c>
      <c r="AQ73">
        <f>IF(Q73&gt;=AJ73-0.01,1,0)</f>
        <v/>
      </c>
      <c r="AR73">
        <f>IF(R73&gt;=AK73-0.01,1,0)</f>
        <v/>
      </c>
      <c r="AS73">
        <f>IF(S73&gt;=AL73-0.01,1,0)</f>
        <v/>
      </c>
      <c r="AT73">
        <f>IF(T73&gt;=AM73-0.01,1,0)</f>
        <v/>
      </c>
      <c r="AU73">
        <f>IF(U73&gt;=AN73-0.01,1,0)</f>
        <v/>
      </c>
      <c r="AV73">
        <f>IF(V73&gt;=AO73-0.01,1,0)</f>
        <v/>
      </c>
      <c r="AW73">
        <f>IF(W73&gt;=AP73-0.01,1,0)</f>
        <v/>
      </c>
      <c r="AX73">
        <f>AQ73*AR73*AS73*AT73*AU73*AV73*AW73</f>
        <v/>
      </c>
      <c r="AY73">
        <f>Assumptions!$B$41</f>
        <v/>
      </c>
      <c r="AZ73">
        <f>Assumptions!$B$33</f>
        <v/>
      </c>
      <c r="BA73">
        <f>Assumptions!$B$32</f>
        <v/>
      </c>
      <c r="BB73">
        <f>Assumptions!$B$31</f>
        <v/>
      </c>
      <c r="BC73">
        <f>Assumptions!$B$30</f>
        <v/>
      </c>
      <c r="BD73">
        <f>Assumptions!$B$29</f>
        <v/>
      </c>
      <c r="BE73">
        <f>Assumptions!$B$28</f>
        <v/>
      </c>
      <c r="BF73">
        <f>P73*Assumptions!$B$141</f>
        <v/>
      </c>
      <c r="BG73">
        <f>P73*Assumptions!$B$128</f>
        <v/>
      </c>
      <c r="BH73">
        <f>P73*Assumptions!$B$129</f>
        <v/>
      </c>
      <c r="BI73">
        <f>P73*Assumptions!$B$14</f>
        <v/>
      </c>
      <c r="BJ73">
        <f>P73*Assumptions!$B$13</f>
        <v/>
      </c>
      <c r="BK73">
        <f>P73*Assumptions!$B$12</f>
        <v/>
      </c>
      <c r="BL73">
        <f>P73*Assumptions!$B$11</f>
        <v/>
      </c>
    </row>
    <row r="74">
      <c r="A74" t="inlineStr">
        <is>
          <t>700M</t>
        </is>
      </c>
      <c r="B74">
        <f>Assumptions!$B$58</f>
        <v/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>
        <f>(1-C74)*Assumptions!$B$41+(1-D74)*Assumptions!$B$33+(1-E74)*Assumptions!$B$32+(1-F74)*Assumptions!$B$31+(1-G74)*Assumptions!$B$30+(1-H74)*Assumptions!$B$29+(1-I74)*Assumptions!$B$28</f>
        <v/>
      </c>
      <c r="K74">
        <f>C74*Assumptions!$B$141+D74*Assumptions!$B$128+E74*Assumptions!$B$129+F74*Assumptions!$B$14+G74*Assumptions!$B$13+H74*Assumptions!$B$12+I74*Assumptions!$B$11+Assumptions!$B$133+Assumptions!$B$137+Assumptions!$B$9</f>
        <v/>
      </c>
      <c r="L74">
        <f>B74-J74</f>
        <v/>
      </c>
      <c r="M74">
        <f>IF(K74&gt;0,IF(L74/K74&gt;=Assumptions!$B$37,1,0),0)</f>
        <v/>
      </c>
      <c r="N74">
        <f>K74+M74*Assumptions!$B$153</f>
        <v/>
      </c>
      <c r="O74">
        <f>L74+M74*Assumptions!$B$153*Assumptions!$B$37</f>
        <v/>
      </c>
      <c r="P74">
        <f>IF(N74&gt;0,O74/N74,0)</f>
        <v/>
      </c>
      <c r="Q74">
        <f>IF(C74=1,P74*Assumptions!$B$141,Assumptions!$B$41)</f>
        <v/>
      </c>
      <c r="R74">
        <f>IF(D74=1,P74*Assumptions!$B$128,Assumptions!$B$33)</f>
        <v/>
      </c>
      <c r="S74">
        <f>IF(E74=1,P74*Assumptions!$B$129,Assumptions!$B$32)</f>
        <v/>
      </c>
      <c r="T74">
        <f>IF(F74=1,P74*Assumptions!$B$14,Assumptions!$B$31)</f>
        <v/>
      </c>
      <c r="U74">
        <f>IF(G74=1,P74*Assumptions!$B$13,Assumptions!$B$30)</f>
        <v/>
      </c>
      <c r="V74">
        <f>IF(H74=1,P74*Assumptions!$B$12,Assumptions!$B$29)</f>
        <v/>
      </c>
      <c r="W74">
        <f>IF(I74=1,P74*Assumptions!$B$11,Assumptions!$B$28)</f>
        <v/>
      </c>
      <c r="X74">
        <f>P74*(Assumptions!$B$133+Assumptions!$B$137)</f>
        <v/>
      </c>
      <c r="Y74">
        <f>P74*Assumptions!$B$9</f>
        <v/>
      </c>
      <c r="Z74">
        <f>IF(M74=1,(P74-Assumptions!$B$37)*Assumptions!$B$153,0)</f>
        <v/>
      </c>
      <c r="AA74">
        <f>Q74+R74+S74+T74+U74+V74+W74+X74+Y74+Z74</f>
        <v/>
      </c>
      <c r="AB74" t="n">
        <v>23</v>
      </c>
      <c r="AC74" t="n">
        <v>87</v>
      </c>
      <c r="AD74" t="n">
        <v>55</v>
      </c>
      <c r="AE74" t="n">
        <v>7</v>
      </c>
      <c r="AF74" t="n">
        <v>31</v>
      </c>
      <c r="AG74" t="n">
        <v>19</v>
      </c>
      <c r="AH74" t="n">
        <v>21</v>
      </c>
      <c r="AI74" t="n">
        <v>22</v>
      </c>
      <c r="AJ74">
        <f>INDEX($Q$51:$Q$178,AC74+1)</f>
        <v/>
      </c>
      <c r="AK74">
        <f>INDEX($R$51:$R$178,AD74+1)</f>
        <v/>
      </c>
      <c r="AL74">
        <f>INDEX($S$51:$S$178,AE74+1)</f>
        <v/>
      </c>
      <c r="AM74">
        <f>INDEX($T$51:$T$178,AF74+1)</f>
        <v/>
      </c>
      <c r="AN74">
        <f>INDEX($U$51:$U$178,AG74+1)</f>
        <v/>
      </c>
      <c r="AO74">
        <f>INDEX($V$51:$V$178,AH74+1)</f>
        <v/>
      </c>
      <c r="AP74">
        <f>INDEX($W$51:$W$178,AI74+1)</f>
        <v/>
      </c>
      <c r="AQ74">
        <f>IF(Q74&gt;=AJ74-0.01,1,0)</f>
        <v/>
      </c>
      <c r="AR74">
        <f>IF(R74&gt;=AK74-0.01,1,0)</f>
        <v/>
      </c>
      <c r="AS74">
        <f>IF(S74&gt;=AL74-0.01,1,0)</f>
        <v/>
      </c>
      <c r="AT74">
        <f>IF(T74&gt;=AM74-0.01,1,0)</f>
        <v/>
      </c>
      <c r="AU74">
        <f>IF(U74&gt;=AN74-0.01,1,0)</f>
        <v/>
      </c>
      <c r="AV74">
        <f>IF(V74&gt;=AO74-0.01,1,0)</f>
        <v/>
      </c>
      <c r="AW74">
        <f>IF(W74&gt;=AP74-0.01,1,0)</f>
        <v/>
      </c>
      <c r="AX74">
        <f>AQ74*AR74*AS74*AT74*AU74*AV74*AW74</f>
        <v/>
      </c>
      <c r="AY74">
        <f>Assumptions!$B$41</f>
        <v/>
      </c>
      <c r="AZ74">
        <f>Assumptions!$B$33</f>
        <v/>
      </c>
      <c r="BA74">
        <f>Assumptions!$B$32</f>
        <v/>
      </c>
      <c r="BB74">
        <f>Assumptions!$B$31</f>
        <v/>
      </c>
      <c r="BC74">
        <f>Assumptions!$B$30</f>
        <v/>
      </c>
      <c r="BD74">
        <f>Assumptions!$B$29</f>
        <v/>
      </c>
      <c r="BE74">
        <f>Assumptions!$B$28</f>
        <v/>
      </c>
      <c r="BF74">
        <f>P74*Assumptions!$B$141</f>
        <v/>
      </c>
      <c r="BG74">
        <f>P74*Assumptions!$B$128</f>
        <v/>
      </c>
      <c r="BH74">
        <f>P74*Assumptions!$B$129</f>
        <v/>
      </c>
      <c r="BI74">
        <f>P74*Assumptions!$B$14</f>
        <v/>
      </c>
      <c r="BJ74">
        <f>P74*Assumptions!$B$13</f>
        <v/>
      </c>
      <c r="BK74">
        <f>P74*Assumptions!$B$12</f>
        <v/>
      </c>
      <c r="BL74">
        <f>P74*Assumptions!$B$11</f>
        <v/>
      </c>
    </row>
    <row r="75">
      <c r="A75" t="inlineStr">
        <is>
          <t>700M</t>
        </is>
      </c>
      <c r="B75">
        <f>Assumptions!$B$58</f>
        <v/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>
        <f>(1-C75)*Assumptions!$B$41+(1-D75)*Assumptions!$B$33+(1-E75)*Assumptions!$B$32+(1-F75)*Assumptions!$B$31+(1-G75)*Assumptions!$B$30+(1-H75)*Assumptions!$B$29+(1-I75)*Assumptions!$B$28</f>
        <v/>
      </c>
      <c r="K75">
        <f>C75*Assumptions!$B$141+D75*Assumptions!$B$128+E75*Assumptions!$B$129+F75*Assumptions!$B$14+G75*Assumptions!$B$13+H75*Assumptions!$B$12+I75*Assumptions!$B$11+Assumptions!$B$133+Assumptions!$B$137+Assumptions!$B$9</f>
        <v/>
      </c>
      <c r="L75">
        <f>B75-J75</f>
        <v/>
      </c>
      <c r="M75">
        <f>IF(K75&gt;0,IF(L75/K75&gt;=Assumptions!$B$37,1,0),0)</f>
        <v/>
      </c>
      <c r="N75">
        <f>K75+M75*Assumptions!$B$153</f>
        <v/>
      </c>
      <c r="O75">
        <f>L75+M75*Assumptions!$B$153*Assumptions!$B$37</f>
        <v/>
      </c>
      <c r="P75">
        <f>IF(N75&gt;0,O75/N75,0)</f>
        <v/>
      </c>
      <c r="Q75">
        <f>IF(C75=1,P75*Assumptions!$B$141,Assumptions!$B$41)</f>
        <v/>
      </c>
      <c r="R75">
        <f>IF(D75=1,P75*Assumptions!$B$128,Assumptions!$B$33)</f>
        <v/>
      </c>
      <c r="S75">
        <f>IF(E75=1,P75*Assumptions!$B$129,Assumptions!$B$32)</f>
        <v/>
      </c>
      <c r="T75">
        <f>IF(F75=1,P75*Assumptions!$B$14,Assumptions!$B$31)</f>
        <v/>
      </c>
      <c r="U75">
        <f>IF(G75=1,P75*Assumptions!$B$13,Assumptions!$B$30)</f>
        <v/>
      </c>
      <c r="V75">
        <f>IF(H75=1,P75*Assumptions!$B$12,Assumptions!$B$29)</f>
        <v/>
      </c>
      <c r="W75">
        <f>IF(I75=1,P75*Assumptions!$B$11,Assumptions!$B$28)</f>
        <v/>
      </c>
      <c r="X75">
        <f>P75*(Assumptions!$B$133+Assumptions!$B$137)</f>
        <v/>
      </c>
      <c r="Y75">
        <f>P75*Assumptions!$B$9</f>
        <v/>
      </c>
      <c r="Z75">
        <f>IF(M75=1,(P75-Assumptions!$B$37)*Assumptions!$B$153,0)</f>
        <v/>
      </c>
      <c r="AA75">
        <f>Q75+R75+S75+T75+U75+V75+W75+X75+Y75+Z75</f>
        <v/>
      </c>
      <c r="AB75" t="n">
        <v>24</v>
      </c>
      <c r="AC75" t="n">
        <v>88</v>
      </c>
      <c r="AD75" t="n">
        <v>56</v>
      </c>
      <c r="AE75" t="n">
        <v>8</v>
      </c>
      <c r="AF75" t="n">
        <v>16</v>
      </c>
      <c r="AG75" t="n">
        <v>28</v>
      </c>
      <c r="AH75" t="n">
        <v>26</v>
      </c>
      <c r="AI75" t="n">
        <v>25</v>
      </c>
      <c r="AJ75">
        <f>INDEX($Q$51:$Q$178,AC75+1)</f>
        <v/>
      </c>
      <c r="AK75">
        <f>INDEX($R$51:$R$178,AD75+1)</f>
        <v/>
      </c>
      <c r="AL75">
        <f>INDEX($S$51:$S$178,AE75+1)</f>
        <v/>
      </c>
      <c r="AM75">
        <f>INDEX($T$51:$T$178,AF75+1)</f>
        <v/>
      </c>
      <c r="AN75">
        <f>INDEX($U$51:$U$178,AG75+1)</f>
        <v/>
      </c>
      <c r="AO75">
        <f>INDEX($V$51:$V$178,AH75+1)</f>
        <v/>
      </c>
      <c r="AP75">
        <f>INDEX($W$51:$W$178,AI75+1)</f>
        <v/>
      </c>
      <c r="AQ75">
        <f>IF(Q75&gt;=AJ75-0.01,1,0)</f>
        <v/>
      </c>
      <c r="AR75">
        <f>IF(R75&gt;=AK75-0.01,1,0)</f>
        <v/>
      </c>
      <c r="AS75">
        <f>IF(S75&gt;=AL75-0.01,1,0)</f>
        <v/>
      </c>
      <c r="AT75">
        <f>IF(T75&gt;=AM75-0.01,1,0)</f>
        <v/>
      </c>
      <c r="AU75">
        <f>IF(U75&gt;=AN75-0.01,1,0)</f>
        <v/>
      </c>
      <c r="AV75">
        <f>IF(V75&gt;=AO75-0.01,1,0)</f>
        <v/>
      </c>
      <c r="AW75">
        <f>IF(W75&gt;=AP75-0.01,1,0)</f>
        <v/>
      </c>
      <c r="AX75">
        <f>AQ75*AR75*AS75*AT75*AU75*AV75*AW75</f>
        <v/>
      </c>
      <c r="AY75">
        <f>Assumptions!$B$41</f>
        <v/>
      </c>
      <c r="AZ75">
        <f>Assumptions!$B$33</f>
        <v/>
      </c>
      <c r="BA75">
        <f>Assumptions!$B$32</f>
        <v/>
      </c>
      <c r="BB75">
        <f>Assumptions!$B$31</f>
        <v/>
      </c>
      <c r="BC75">
        <f>Assumptions!$B$30</f>
        <v/>
      </c>
      <c r="BD75">
        <f>Assumptions!$B$29</f>
        <v/>
      </c>
      <c r="BE75">
        <f>Assumptions!$B$28</f>
        <v/>
      </c>
      <c r="BF75">
        <f>P75*Assumptions!$B$141</f>
        <v/>
      </c>
      <c r="BG75">
        <f>P75*Assumptions!$B$128</f>
        <v/>
      </c>
      <c r="BH75">
        <f>P75*Assumptions!$B$129</f>
        <v/>
      </c>
      <c r="BI75">
        <f>P75*Assumptions!$B$14</f>
        <v/>
      </c>
      <c r="BJ75">
        <f>P75*Assumptions!$B$13</f>
        <v/>
      </c>
      <c r="BK75">
        <f>P75*Assumptions!$B$12</f>
        <v/>
      </c>
      <c r="BL75">
        <f>P75*Assumptions!$B$11</f>
        <v/>
      </c>
    </row>
    <row r="76">
      <c r="A76" t="inlineStr">
        <is>
          <t>700M</t>
        </is>
      </c>
      <c r="B76">
        <f>Assumptions!$B$58</f>
        <v/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>
        <f>(1-C76)*Assumptions!$B$41+(1-D76)*Assumptions!$B$33+(1-E76)*Assumptions!$B$32+(1-F76)*Assumptions!$B$31+(1-G76)*Assumptions!$B$30+(1-H76)*Assumptions!$B$29+(1-I76)*Assumptions!$B$28</f>
        <v/>
      </c>
      <c r="K76">
        <f>C76*Assumptions!$B$141+D76*Assumptions!$B$128+E76*Assumptions!$B$129+F76*Assumptions!$B$14+G76*Assumptions!$B$13+H76*Assumptions!$B$12+I76*Assumptions!$B$11+Assumptions!$B$133+Assumptions!$B$137+Assumptions!$B$9</f>
        <v/>
      </c>
      <c r="L76">
        <f>B76-J76</f>
        <v/>
      </c>
      <c r="M76">
        <f>IF(K76&gt;0,IF(L76/K76&gt;=Assumptions!$B$37,1,0),0)</f>
        <v/>
      </c>
      <c r="N76">
        <f>K76+M76*Assumptions!$B$153</f>
        <v/>
      </c>
      <c r="O76">
        <f>L76+M76*Assumptions!$B$153*Assumptions!$B$37</f>
        <v/>
      </c>
      <c r="P76">
        <f>IF(N76&gt;0,O76/N76,0)</f>
        <v/>
      </c>
      <c r="Q76">
        <f>IF(C76=1,P76*Assumptions!$B$141,Assumptions!$B$41)</f>
        <v/>
      </c>
      <c r="R76">
        <f>IF(D76=1,P76*Assumptions!$B$128,Assumptions!$B$33)</f>
        <v/>
      </c>
      <c r="S76">
        <f>IF(E76=1,P76*Assumptions!$B$129,Assumptions!$B$32)</f>
        <v/>
      </c>
      <c r="T76">
        <f>IF(F76=1,P76*Assumptions!$B$14,Assumptions!$B$31)</f>
        <v/>
      </c>
      <c r="U76">
        <f>IF(G76=1,P76*Assumptions!$B$13,Assumptions!$B$30)</f>
        <v/>
      </c>
      <c r="V76">
        <f>IF(H76=1,P76*Assumptions!$B$12,Assumptions!$B$29)</f>
        <v/>
      </c>
      <c r="W76">
        <f>IF(I76=1,P76*Assumptions!$B$11,Assumptions!$B$28)</f>
        <v/>
      </c>
      <c r="X76">
        <f>P76*(Assumptions!$B$133+Assumptions!$B$137)</f>
        <v/>
      </c>
      <c r="Y76">
        <f>P76*Assumptions!$B$9</f>
        <v/>
      </c>
      <c r="Z76">
        <f>IF(M76=1,(P76-Assumptions!$B$37)*Assumptions!$B$153,0)</f>
        <v/>
      </c>
      <c r="AA76">
        <f>Q76+R76+S76+T76+U76+V76+W76+X76+Y76+Z76</f>
        <v/>
      </c>
      <c r="AB76" t="n">
        <v>25</v>
      </c>
      <c r="AC76" t="n">
        <v>89</v>
      </c>
      <c r="AD76" t="n">
        <v>57</v>
      </c>
      <c r="AE76" t="n">
        <v>9</v>
      </c>
      <c r="AF76" t="n">
        <v>17</v>
      </c>
      <c r="AG76" t="n">
        <v>29</v>
      </c>
      <c r="AH76" t="n">
        <v>27</v>
      </c>
      <c r="AI76" t="n">
        <v>24</v>
      </c>
      <c r="AJ76">
        <f>INDEX($Q$51:$Q$178,AC76+1)</f>
        <v/>
      </c>
      <c r="AK76">
        <f>INDEX($R$51:$R$178,AD76+1)</f>
        <v/>
      </c>
      <c r="AL76">
        <f>INDEX($S$51:$S$178,AE76+1)</f>
        <v/>
      </c>
      <c r="AM76">
        <f>INDEX($T$51:$T$178,AF76+1)</f>
        <v/>
      </c>
      <c r="AN76">
        <f>INDEX($U$51:$U$178,AG76+1)</f>
        <v/>
      </c>
      <c r="AO76">
        <f>INDEX($V$51:$V$178,AH76+1)</f>
        <v/>
      </c>
      <c r="AP76">
        <f>INDEX($W$51:$W$178,AI76+1)</f>
        <v/>
      </c>
      <c r="AQ76">
        <f>IF(Q76&gt;=AJ76-0.01,1,0)</f>
        <v/>
      </c>
      <c r="AR76">
        <f>IF(R76&gt;=AK76-0.01,1,0)</f>
        <v/>
      </c>
      <c r="AS76">
        <f>IF(S76&gt;=AL76-0.01,1,0)</f>
        <v/>
      </c>
      <c r="AT76">
        <f>IF(T76&gt;=AM76-0.01,1,0)</f>
        <v/>
      </c>
      <c r="AU76">
        <f>IF(U76&gt;=AN76-0.01,1,0)</f>
        <v/>
      </c>
      <c r="AV76">
        <f>IF(V76&gt;=AO76-0.01,1,0)</f>
        <v/>
      </c>
      <c r="AW76">
        <f>IF(W76&gt;=AP76-0.01,1,0)</f>
        <v/>
      </c>
      <c r="AX76">
        <f>AQ76*AR76*AS76*AT76*AU76*AV76*AW76</f>
        <v/>
      </c>
      <c r="AY76">
        <f>Assumptions!$B$41</f>
        <v/>
      </c>
      <c r="AZ76">
        <f>Assumptions!$B$33</f>
        <v/>
      </c>
      <c r="BA76">
        <f>Assumptions!$B$32</f>
        <v/>
      </c>
      <c r="BB76">
        <f>Assumptions!$B$31</f>
        <v/>
      </c>
      <c r="BC76">
        <f>Assumptions!$B$30</f>
        <v/>
      </c>
      <c r="BD76">
        <f>Assumptions!$B$29</f>
        <v/>
      </c>
      <c r="BE76">
        <f>Assumptions!$B$28</f>
        <v/>
      </c>
      <c r="BF76">
        <f>P76*Assumptions!$B$141</f>
        <v/>
      </c>
      <c r="BG76">
        <f>P76*Assumptions!$B$128</f>
        <v/>
      </c>
      <c r="BH76">
        <f>P76*Assumptions!$B$129</f>
        <v/>
      </c>
      <c r="BI76">
        <f>P76*Assumptions!$B$14</f>
        <v/>
      </c>
      <c r="BJ76">
        <f>P76*Assumptions!$B$13</f>
        <v/>
      </c>
      <c r="BK76">
        <f>P76*Assumptions!$B$12</f>
        <v/>
      </c>
      <c r="BL76">
        <f>P76*Assumptions!$B$11</f>
        <v/>
      </c>
    </row>
    <row r="77">
      <c r="A77" t="inlineStr">
        <is>
          <t>700M</t>
        </is>
      </c>
      <c r="B77">
        <f>Assumptions!$B$58</f>
        <v/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>
        <f>(1-C77)*Assumptions!$B$41+(1-D77)*Assumptions!$B$33+(1-E77)*Assumptions!$B$32+(1-F77)*Assumptions!$B$31+(1-G77)*Assumptions!$B$30+(1-H77)*Assumptions!$B$29+(1-I77)*Assumptions!$B$28</f>
        <v/>
      </c>
      <c r="K77">
        <f>C77*Assumptions!$B$141+D77*Assumptions!$B$128+E77*Assumptions!$B$129+F77*Assumptions!$B$14+G77*Assumptions!$B$13+H77*Assumptions!$B$12+I77*Assumptions!$B$11+Assumptions!$B$133+Assumptions!$B$137+Assumptions!$B$9</f>
        <v/>
      </c>
      <c r="L77">
        <f>B77-J77</f>
        <v/>
      </c>
      <c r="M77">
        <f>IF(K77&gt;0,IF(L77/K77&gt;=Assumptions!$B$37,1,0),0)</f>
        <v/>
      </c>
      <c r="N77">
        <f>K77+M77*Assumptions!$B$153</f>
        <v/>
      </c>
      <c r="O77">
        <f>L77+M77*Assumptions!$B$153*Assumptions!$B$37</f>
        <v/>
      </c>
      <c r="P77">
        <f>IF(N77&gt;0,O77/N77,0)</f>
        <v/>
      </c>
      <c r="Q77">
        <f>IF(C77=1,P77*Assumptions!$B$141,Assumptions!$B$41)</f>
        <v/>
      </c>
      <c r="R77">
        <f>IF(D77=1,P77*Assumptions!$B$128,Assumptions!$B$33)</f>
        <v/>
      </c>
      <c r="S77">
        <f>IF(E77=1,P77*Assumptions!$B$129,Assumptions!$B$32)</f>
        <v/>
      </c>
      <c r="T77">
        <f>IF(F77=1,P77*Assumptions!$B$14,Assumptions!$B$31)</f>
        <v/>
      </c>
      <c r="U77">
        <f>IF(G77=1,P77*Assumptions!$B$13,Assumptions!$B$30)</f>
        <v/>
      </c>
      <c r="V77">
        <f>IF(H77=1,P77*Assumptions!$B$12,Assumptions!$B$29)</f>
        <v/>
      </c>
      <c r="W77">
        <f>IF(I77=1,P77*Assumptions!$B$11,Assumptions!$B$28)</f>
        <v/>
      </c>
      <c r="X77">
        <f>P77*(Assumptions!$B$133+Assumptions!$B$137)</f>
        <v/>
      </c>
      <c r="Y77">
        <f>P77*Assumptions!$B$9</f>
        <v/>
      </c>
      <c r="Z77">
        <f>IF(M77=1,(P77-Assumptions!$B$37)*Assumptions!$B$153,0)</f>
        <v/>
      </c>
      <c r="AA77">
        <f>Q77+R77+S77+T77+U77+V77+W77+X77+Y77+Z77</f>
        <v/>
      </c>
      <c r="AB77" t="n">
        <v>26</v>
      </c>
      <c r="AC77" t="n">
        <v>90</v>
      </c>
      <c r="AD77" t="n">
        <v>58</v>
      </c>
      <c r="AE77" t="n">
        <v>10</v>
      </c>
      <c r="AF77" t="n">
        <v>18</v>
      </c>
      <c r="AG77" t="n">
        <v>30</v>
      </c>
      <c r="AH77" t="n">
        <v>24</v>
      </c>
      <c r="AI77" t="n">
        <v>27</v>
      </c>
      <c r="AJ77">
        <f>INDEX($Q$51:$Q$178,AC77+1)</f>
        <v/>
      </c>
      <c r="AK77">
        <f>INDEX($R$51:$R$178,AD77+1)</f>
        <v/>
      </c>
      <c r="AL77">
        <f>INDEX($S$51:$S$178,AE77+1)</f>
        <v/>
      </c>
      <c r="AM77">
        <f>INDEX($T$51:$T$178,AF77+1)</f>
        <v/>
      </c>
      <c r="AN77">
        <f>INDEX($U$51:$U$178,AG77+1)</f>
        <v/>
      </c>
      <c r="AO77">
        <f>INDEX($V$51:$V$178,AH77+1)</f>
        <v/>
      </c>
      <c r="AP77">
        <f>INDEX($W$51:$W$178,AI77+1)</f>
        <v/>
      </c>
      <c r="AQ77">
        <f>IF(Q77&gt;=AJ77-0.01,1,0)</f>
        <v/>
      </c>
      <c r="AR77">
        <f>IF(R77&gt;=AK77-0.01,1,0)</f>
        <v/>
      </c>
      <c r="AS77">
        <f>IF(S77&gt;=AL77-0.01,1,0)</f>
        <v/>
      </c>
      <c r="AT77">
        <f>IF(T77&gt;=AM77-0.01,1,0)</f>
        <v/>
      </c>
      <c r="AU77">
        <f>IF(U77&gt;=AN77-0.01,1,0)</f>
        <v/>
      </c>
      <c r="AV77">
        <f>IF(V77&gt;=AO77-0.01,1,0)</f>
        <v/>
      </c>
      <c r="AW77">
        <f>IF(W77&gt;=AP77-0.01,1,0)</f>
        <v/>
      </c>
      <c r="AX77">
        <f>AQ77*AR77*AS77*AT77*AU77*AV77*AW77</f>
        <v/>
      </c>
      <c r="AY77">
        <f>Assumptions!$B$41</f>
        <v/>
      </c>
      <c r="AZ77">
        <f>Assumptions!$B$33</f>
        <v/>
      </c>
      <c r="BA77">
        <f>Assumptions!$B$32</f>
        <v/>
      </c>
      <c r="BB77">
        <f>Assumptions!$B$31</f>
        <v/>
      </c>
      <c r="BC77">
        <f>Assumptions!$B$30</f>
        <v/>
      </c>
      <c r="BD77">
        <f>Assumptions!$B$29</f>
        <v/>
      </c>
      <c r="BE77">
        <f>Assumptions!$B$28</f>
        <v/>
      </c>
      <c r="BF77">
        <f>P77*Assumptions!$B$141</f>
        <v/>
      </c>
      <c r="BG77">
        <f>P77*Assumptions!$B$128</f>
        <v/>
      </c>
      <c r="BH77">
        <f>P77*Assumptions!$B$129</f>
        <v/>
      </c>
      <c r="BI77">
        <f>P77*Assumptions!$B$14</f>
        <v/>
      </c>
      <c r="BJ77">
        <f>P77*Assumptions!$B$13</f>
        <v/>
      </c>
      <c r="BK77">
        <f>P77*Assumptions!$B$12</f>
        <v/>
      </c>
      <c r="BL77">
        <f>P77*Assumptions!$B$11</f>
        <v/>
      </c>
    </row>
    <row r="78">
      <c r="A78" t="inlineStr">
        <is>
          <t>700M</t>
        </is>
      </c>
      <c r="B78">
        <f>Assumptions!$B$58</f>
        <v/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>
        <f>(1-C78)*Assumptions!$B$41+(1-D78)*Assumptions!$B$33+(1-E78)*Assumptions!$B$32+(1-F78)*Assumptions!$B$31+(1-G78)*Assumptions!$B$30+(1-H78)*Assumptions!$B$29+(1-I78)*Assumptions!$B$28</f>
        <v/>
      </c>
      <c r="K78">
        <f>C78*Assumptions!$B$141+D78*Assumptions!$B$128+E78*Assumptions!$B$129+F78*Assumptions!$B$14+G78*Assumptions!$B$13+H78*Assumptions!$B$12+I78*Assumptions!$B$11+Assumptions!$B$133+Assumptions!$B$137+Assumptions!$B$9</f>
        <v/>
      </c>
      <c r="L78">
        <f>B78-J78</f>
        <v/>
      </c>
      <c r="M78">
        <f>IF(K78&gt;0,IF(L78/K78&gt;=Assumptions!$B$37,1,0),0)</f>
        <v/>
      </c>
      <c r="N78">
        <f>K78+M78*Assumptions!$B$153</f>
        <v/>
      </c>
      <c r="O78">
        <f>L78+M78*Assumptions!$B$153*Assumptions!$B$37</f>
        <v/>
      </c>
      <c r="P78">
        <f>IF(N78&gt;0,O78/N78,0)</f>
        <v/>
      </c>
      <c r="Q78">
        <f>IF(C78=1,P78*Assumptions!$B$141,Assumptions!$B$41)</f>
        <v/>
      </c>
      <c r="R78">
        <f>IF(D78=1,P78*Assumptions!$B$128,Assumptions!$B$33)</f>
        <v/>
      </c>
      <c r="S78">
        <f>IF(E78=1,P78*Assumptions!$B$129,Assumptions!$B$32)</f>
        <v/>
      </c>
      <c r="T78">
        <f>IF(F78=1,P78*Assumptions!$B$14,Assumptions!$B$31)</f>
        <v/>
      </c>
      <c r="U78">
        <f>IF(G78=1,P78*Assumptions!$B$13,Assumptions!$B$30)</f>
        <v/>
      </c>
      <c r="V78">
        <f>IF(H78=1,P78*Assumptions!$B$12,Assumptions!$B$29)</f>
        <v/>
      </c>
      <c r="W78">
        <f>IF(I78=1,P78*Assumptions!$B$11,Assumptions!$B$28)</f>
        <v/>
      </c>
      <c r="X78">
        <f>P78*(Assumptions!$B$133+Assumptions!$B$137)</f>
        <v/>
      </c>
      <c r="Y78">
        <f>P78*Assumptions!$B$9</f>
        <v/>
      </c>
      <c r="Z78">
        <f>IF(M78=1,(P78-Assumptions!$B$37)*Assumptions!$B$153,0)</f>
        <v/>
      </c>
      <c r="AA78">
        <f>Q78+R78+S78+T78+U78+V78+W78+X78+Y78+Z78</f>
        <v/>
      </c>
      <c r="AB78" t="n">
        <v>27</v>
      </c>
      <c r="AC78" t="n">
        <v>91</v>
      </c>
      <c r="AD78" t="n">
        <v>59</v>
      </c>
      <c r="AE78" t="n">
        <v>11</v>
      </c>
      <c r="AF78" t="n">
        <v>19</v>
      </c>
      <c r="AG78" t="n">
        <v>31</v>
      </c>
      <c r="AH78" t="n">
        <v>25</v>
      </c>
      <c r="AI78" t="n">
        <v>26</v>
      </c>
      <c r="AJ78">
        <f>INDEX($Q$51:$Q$178,AC78+1)</f>
        <v/>
      </c>
      <c r="AK78">
        <f>INDEX($R$51:$R$178,AD78+1)</f>
        <v/>
      </c>
      <c r="AL78">
        <f>INDEX($S$51:$S$178,AE78+1)</f>
        <v/>
      </c>
      <c r="AM78">
        <f>INDEX($T$51:$T$178,AF78+1)</f>
        <v/>
      </c>
      <c r="AN78">
        <f>INDEX($U$51:$U$178,AG78+1)</f>
        <v/>
      </c>
      <c r="AO78">
        <f>INDEX($V$51:$V$178,AH78+1)</f>
        <v/>
      </c>
      <c r="AP78">
        <f>INDEX($W$51:$W$178,AI78+1)</f>
        <v/>
      </c>
      <c r="AQ78">
        <f>IF(Q78&gt;=AJ78-0.01,1,0)</f>
        <v/>
      </c>
      <c r="AR78">
        <f>IF(R78&gt;=AK78-0.01,1,0)</f>
        <v/>
      </c>
      <c r="AS78">
        <f>IF(S78&gt;=AL78-0.01,1,0)</f>
        <v/>
      </c>
      <c r="AT78">
        <f>IF(T78&gt;=AM78-0.01,1,0)</f>
        <v/>
      </c>
      <c r="AU78">
        <f>IF(U78&gt;=AN78-0.01,1,0)</f>
        <v/>
      </c>
      <c r="AV78">
        <f>IF(V78&gt;=AO78-0.01,1,0)</f>
        <v/>
      </c>
      <c r="AW78">
        <f>IF(W78&gt;=AP78-0.01,1,0)</f>
        <v/>
      </c>
      <c r="AX78">
        <f>AQ78*AR78*AS78*AT78*AU78*AV78*AW78</f>
        <v/>
      </c>
      <c r="AY78">
        <f>Assumptions!$B$41</f>
        <v/>
      </c>
      <c r="AZ78">
        <f>Assumptions!$B$33</f>
        <v/>
      </c>
      <c r="BA78">
        <f>Assumptions!$B$32</f>
        <v/>
      </c>
      <c r="BB78">
        <f>Assumptions!$B$31</f>
        <v/>
      </c>
      <c r="BC78">
        <f>Assumptions!$B$30</f>
        <v/>
      </c>
      <c r="BD78">
        <f>Assumptions!$B$29</f>
        <v/>
      </c>
      <c r="BE78">
        <f>Assumptions!$B$28</f>
        <v/>
      </c>
      <c r="BF78">
        <f>P78*Assumptions!$B$141</f>
        <v/>
      </c>
      <c r="BG78">
        <f>P78*Assumptions!$B$128</f>
        <v/>
      </c>
      <c r="BH78">
        <f>P78*Assumptions!$B$129</f>
        <v/>
      </c>
      <c r="BI78">
        <f>P78*Assumptions!$B$14</f>
        <v/>
      </c>
      <c r="BJ78">
        <f>P78*Assumptions!$B$13</f>
        <v/>
      </c>
      <c r="BK78">
        <f>P78*Assumptions!$B$12</f>
        <v/>
      </c>
      <c r="BL78">
        <f>P78*Assumptions!$B$11</f>
        <v/>
      </c>
    </row>
    <row r="79">
      <c r="A79" t="inlineStr">
        <is>
          <t>700M</t>
        </is>
      </c>
      <c r="B79">
        <f>Assumptions!$B$58</f>
        <v/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>
        <f>(1-C79)*Assumptions!$B$41+(1-D79)*Assumptions!$B$33+(1-E79)*Assumptions!$B$32+(1-F79)*Assumptions!$B$31+(1-G79)*Assumptions!$B$30+(1-H79)*Assumptions!$B$29+(1-I79)*Assumptions!$B$28</f>
        <v/>
      </c>
      <c r="K79">
        <f>C79*Assumptions!$B$141+D79*Assumptions!$B$128+E79*Assumptions!$B$129+F79*Assumptions!$B$14+G79*Assumptions!$B$13+H79*Assumptions!$B$12+I79*Assumptions!$B$11+Assumptions!$B$133+Assumptions!$B$137+Assumptions!$B$9</f>
        <v/>
      </c>
      <c r="L79">
        <f>B79-J79</f>
        <v/>
      </c>
      <c r="M79">
        <f>IF(K79&gt;0,IF(L79/K79&gt;=Assumptions!$B$37,1,0),0)</f>
        <v/>
      </c>
      <c r="N79">
        <f>K79+M79*Assumptions!$B$153</f>
        <v/>
      </c>
      <c r="O79">
        <f>L79+M79*Assumptions!$B$153*Assumptions!$B$37</f>
        <v/>
      </c>
      <c r="P79">
        <f>IF(N79&gt;0,O79/N79,0)</f>
        <v/>
      </c>
      <c r="Q79">
        <f>IF(C79=1,P79*Assumptions!$B$141,Assumptions!$B$41)</f>
        <v/>
      </c>
      <c r="R79">
        <f>IF(D79=1,P79*Assumptions!$B$128,Assumptions!$B$33)</f>
        <v/>
      </c>
      <c r="S79">
        <f>IF(E79=1,P79*Assumptions!$B$129,Assumptions!$B$32)</f>
        <v/>
      </c>
      <c r="T79">
        <f>IF(F79=1,P79*Assumptions!$B$14,Assumptions!$B$31)</f>
        <v/>
      </c>
      <c r="U79">
        <f>IF(G79=1,P79*Assumptions!$B$13,Assumptions!$B$30)</f>
        <v/>
      </c>
      <c r="V79">
        <f>IF(H79=1,P79*Assumptions!$B$12,Assumptions!$B$29)</f>
        <v/>
      </c>
      <c r="W79">
        <f>IF(I79=1,P79*Assumptions!$B$11,Assumptions!$B$28)</f>
        <v/>
      </c>
      <c r="X79">
        <f>P79*(Assumptions!$B$133+Assumptions!$B$137)</f>
        <v/>
      </c>
      <c r="Y79">
        <f>P79*Assumptions!$B$9</f>
        <v/>
      </c>
      <c r="Z79">
        <f>IF(M79=1,(P79-Assumptions!$B$37)*Assumptions!$B$153,0)</f>
        <v/>
      </c>
      <c r="AA79">
        <f>Q79+R79+S79+T79+U79+V79+W79+X79+Y79+Z79</f>
        <v/>
      </c>
      <c r="AB79" t="n">
        <v>28</v>
      </c>
      <c r="AC79" t="n">
        <v>92</v>
      </c>
      <c r="AD79" t="n">
        <v>60</v>
      </c>
      <c r="AE79" t="n">
        <v>12</v>
      </c>
      <c r="AF79" t="n">
        <v>20</v>
      </c>
      <c r="AG79" t="n">
        <v>24</v>
      </c>
      <c r="AH79" t="n">
        <v>30</v>
      </c>
      <c r="AI79" t="n">
        <v>29</v>
      </c>
      <c r="AJ79">
        <f>INDEX($Q$51:$Q$178,AC79+1)</f>
        <v/>
      </c>
      <c r="AK79">
        <f>INDEX($R$51:$R$178,AD79+1)</f>
        <v/>
      </c>
      <c r="AL79">
        <f>INDEX($S$51:$S$178,AE79+1)</f>
        <v/>
      </c>
      <c r="AM79">
        <f>INDEX($T$51:$T$178,AF79+1)</f>
        <v/>
      </c>
      <c r="AN79">
        <f>INDEX($U$51:$U$178,AG79+1)</f>
        <v/>
      </c>
      <c r="AO79">
        <f>INDEX($V$51:$V$178,AH79+1)</f>
        <v/>
      </c>
      <c r="AP79">
        <f>INDEX($W$51:$W$178,AI79+1)</f>
        <v/>
      </c>
      <c r="AQ79">
        <f>IF(Q79&gt;=AJ79-0.01,1,0)</f>
        <v/>
      </c>
      <c r="AR79">
        <f>IF(R79&gt;=AK79-0.01,1,0)</f>
        <v/>
      </c>
      <c r="AS79">
        <f>IF(S79&gt;=AL79-0.01,1,0)</f>
        <v/>
      </c>
      <c r="AT79">
        <f>IF(T79&gt;=AM79-0.01,1,0)</f>
        <v/>
      </c>
      <c r="AU79">
        <f>IF(U79&gt;=AN79-0.01,1,0)</f>
        <v/>
      </c>
      <c r="AV79">
        <f>IF(V79&gt;=AO79-0.01,1,0)</f>
        <v/>
      </c>
      <c r="AW79">
        <f>IF(W79&gt;=AP79-0.01,1,0)</f>
        <v/>
      </c>
      <c r="AX79">
        <f>AQ79*AR79*AS79*AT79*AU79*AV79*AW79</f>
        <v/>
      </c>
      <c r="AY79">
        <f>Assumptions!$B$41</f>
        <v/>
      </c>
      <c r="AZ79">
        <f>Assumptions!$B$33</f>
        <v/>
      </c>
      <c r="BA79">
        <f>Assumptions!$B$32</f>
        <v/>
      </c>
      <c r="BB79">
        <f>Assumptions!$B$31</f>
        <v/>
      </c>
      <c r="BC79">
        <f>Assumptions!$B$30</f>
        <v/>
      </c>
      <c r="BD79">
        <f>Assumptions!$B$29</f>
        <v/>
      </c>
      <c r="BE79">
        <f>Assumptions!$B$28</f>
        <v/>
      </c>
      <c r="BF79">
        <f>P79*Assumptions!$B$141</f>
        <v/>
      </c>
      <c r="BG79">
        <f>P79*Assumptions!$B$128</f>
        <v/>
      </c>
      <c r="BH79">
        <f>P79*Assumptions!$B$129</f>
        <v/>
      </c>
      <c r="BI79">
        <f>P79*Assumptions!$B$14</f>
        <v/>
      </c>
      <c r="BJ79">
        <f>P79*Assumptions!$B$13</f>
        <v/>
      </c>
      <c r="BK79">
        <f>P79*Assumptions!$B$12</f>
        <v/>
      </c>
      <c r="BL79">
        <f>P79*Assumptions!$B$11</f>
        <v/>
      </c>
    </row>
    <row r="80">
      <c r="A80" t="inlineStr">
        <is>
          <t>700M</t>
        </is>
      </c>
      <c r="B80">
        <f>Assumptions!$B$58</f>
        <v/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>
        <f>(1-C80)*Assumptions!$B$41+(1-D80)*Assumptions!$B$33+(1-E80)*Assumptions!$B$32+(1-F80)*Assumptions!$B$31+(1-G80)*Assumptions!$B$30+(1-H80)*Assumptions!$B$29+(1-I80)*Assumptions!$B$28</f>
        <v/>
      </c>
      <c r="K80">
        <f>C80*Assumptions!$B$141+D80*Assumptions!$B$128+E80*Assumptions!$B$129+F80*Assumptions!$B$14+G80*Assumptions!$B$13+H80*Assumptions!$B$12+I80*Assumptions!$B$11+Assumptions!$B$133+Assumptions!$B$137+Assumptions!$B$9</f>
        <v/>
      </c>
      <c r="L80">
        <f>B80-J80</f>
        <v/>
      </c>
      <c r="M80">
        <f>IF(K80&gt;0,IF(L80/K80&gt;=Assumptions!$B$37,1,0),0)</f>
        <v/>
      </c>
      <c r="N80">
        <f>K80+M80*Assumptions!$B$153</f>
        <v/>
      </c>
      <c r="O80">
        <f>L80+M80*Assumptions!$B$153*Assumptions!$B$37</f>
        <v/>
      </c>
      <c r="P80">
        <f>IF(N80&gt;0,O80/N80,0)</f>
        <v/>
      </c>
      <c r="Q80">
        <f>IF(C80=1,P80*Assumptions!$B$141,Assumptions!$B$41)</f>
        <v/>
      </c>
      <c r="R80">
        <f>IF(D80=1,P80*Assumptions!$B$128,Assumptions!$B$33)</f>
        <v/>
      </c>
      <c r="S80">
        <f>IF(E80=1,P80*Assumptions!$B$129,Assumptions!$B$32)</f>
        <v/>
      </c>
      <c r="T80">
        <f>IF(F80=1,P80*Assumptions!$B$14,Assumptions!$B$31)</f>
        <v/>
      </c>
      <c r="U80">
        <f>IF(G80=1,P80*Assumptions!$B$13,Assumptions!$B$30)</f>
        <v/>
      </c>
      <c r="V80">
        <f>IF(H80=1,P80*Assumptions!$B$12,Assumptions!$B$29)</f>
        <v/>
      </c>
      <c r="W80">
        <f>IF(I80=1,P80*Assumptions!$B$11,Assumptions!$B$28)</f>
        <v/>
      </c>
      <c r="X80">
        <f>P80*(Assumptions!$B$133+Assumptions!$B$137)</f>
        <v/>
      </c>
      <c r="Y80">
        <f>P80*Assumptions!$B$9</f>
        <v/>
      </c>
      <c r="Z80">
        <f>IF(M80=1,(P80-Assumptions!$B$37)*Assumptions!$B$153,0)</f>
        <v/>
      </c>
      <c r="AA80">
        <f>Q80+R80+S80+T80+U80+V80+W80+X80+Y80+Z80</f>
        <v/>
      </c>
      <c r="AB80" t="n">
        <v>29</v>
      </c>
      <c r="AC80" t="n">
        <v>93</v>
      </c>
      <c r="AD80" t="n">
        <v>61</v>
      </c>
      <c r="AE80" t="n">
        <v>13</v>
      </c>
      <c r="AF80" t="n">
        <v>21</v>
      </c>
      <c r="AG80" t="n">
        <v>25</v>
      </c>
      <c r="AH80" t="n">
        <v>31</v>
      </c>
      <c r="AI80" t="n">
        <v>28</v>
      </c>
      <c r="AJ80">
        <f>INDEX($Q$51:$Q$178,AC80+1)</f>
        <v/>
      </c>
      <c r="AK80">
        <f>INDEX($R$51:$R$178,AD80+1)</f>
        <v/>
      </c>
      <c r="AL80">
        <f>INDEX($S$51:$S$178,AE80+1)</f>
        <v/>
      </c>
      <c r="AM80">
        <f>INDEX($T$51:$T$178,AF80+1)</f>
        <v/>
      </c>
      <c r="AN80">
        <f>INDEX($U$51:$U$178,AG80+1)</f>
        <v/>
      </c>
      <c r="AO80">
        <f>INDEX($V$51:$V$178,AH80+1)</f>
        <v/>
      </c>
      <c r="AP80">
        <f>INDEX($W$51:$W$178,AI80+1)</f>
        <v/>
      </c>
      <c r="AQ80">
        <f>IF(Q80&gt;=AJ80-0.01,1,0)</f>
        <v/>
      </c>
      <c r="AR80">
        <f>IF(R80&gt;=AK80-0.01,1,0)</f>
        <v/>
      </c>
      <c r="AS80">
        <f>IF(S80&gt;=AL80-0.01,1,0)</f>
        <v/>
      </c>
      <c r="AT80">
        <f>IF(T80&gt;=AM80-0.01,1,0)</f>
        <v/>
      </c>
      <c r="AU80">
        <f>IF(U80&gt;=AN80-0.01,1,0)</f>
        <v/>
      </c>
      <c r="AV80">
        <f>IF(V80&gt;=AO80-0.01,1,0)</f>
        <v/>
      </c>
      <c r="AW80">
        <f>IF(W80&gt;=AP80-0.01,1,0)</f>
        <v/>
      </c>
      <c r="AX80">
        <f>AQ80*AR80*AS80*AT80*AU80*AV80*AW80</f>
        <v/>
      </c>
      <c r="AY80">
        <f>Assumptions!$B$41</f>
        <v/>
      </c>
      <c r="AZ80">
        <f>Assumptions!$B$33</f>
        <v/>
      </c>
      <c r="BA80">
        <f>Assumptions!$B$32</f>
        <v/>
      </c>
      <c r="BB80">
        <f>Assumptions!$B$31</f>
        <v/>
      </c>
      <c r="BC80">
        <f>Assumptions!$B$30</f>
        <v/>
      </c>
      <c r="BD80">
        <f>Assumptions!$B$29</f>
        <v/>
      </c>
      <c r="BE80">
        <f>Assumptions!$B$28</f>
        <v/>
      </c>
      <c r="BF80">
        <f>P80*Assumptions!$B$141</f>
        <v/>
      </c>
      <c r="BG80">
        <f>P80*Assumptions!$B$128</f>
        <v/>
      </c>
      <c r="BH80">
        <f>P80*Assumptions!$B$129</f>
        <v/>
      </c>
      <c r="BI80">
        <f>P80*Assumptions!$B$14</f>
        <v/>
      </c>
      <c r="BJ80">
        <f>P80*Assumptions!$B$13</f>
        <v/>
      </c>
      <c r="BK80">
        <f>P80*Assumptions!$B$12</f>
        <v/>
      </c>
      <c r="BL80">
        <f>P80*Assumptions!$B$11</f>
        <v/>
      </c>
    </row>
    <row r="81">
      <c r="A81" t="inlineStr">
        <is>
          <t>700M</t>
        </is>
      </c>
      <c r="B81">
        <f>Assumptions!$B$58</f>
        <v/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>
        <f>(1-C81)*Assumptions!$B$41+(1-D81)*Assumptions!$B$33+(1-E81)*Assumptions!$B$32+(1-F81)*Assumptions!$B$31+(1-G81)*Assumptions!$B$30+(1-H81)*Assumptions!$B$29+(1-I81)*Assumptions!$B$28</f>
        <v/>
      </c>
      <c r="K81">
        <f>C81*Assumptions!$B$141+D81*Assumptions!$B$128+E81*Assumptions!$B$129+F81*Assumptions!$B$14+G81*Assumptions!$B$13+H81*Assumptions!$B$12+I81*Assumptions!$B$11+Assumptions!$B$133+Assumptions!$B$137+Assumptions!$B$9</f>
        <v/>
      </c>
      <c r="L81">
        <f>B81-J81</f>
        <v/>
      </c>
      <c r="M81">
        <f>IF(K81&gt;0,IF(L81/K81&gt;=Assumptions!$B$37,1,0),0)</f>
        <v/>
      </c>
      <c r="N81">
        <f>K81+M81*Assumptions!$B$153</f>
        <v/>
      </c>
      <c r="O81">
        <f>L81+M81*Assumptions!$B$153*Assumptions!$B$37</f>
        <v/>
      </c>
      <c r="P81">
        <f>IF(N81&gt;0,O81/N81,0)</f>
        <v/>
      </c>
      <c r="Q81">
        <f>IF(C81=1,P81*Assumptions!$B$141,Assumptions!$B$41)</f>
        <v/>
      </c>
      <c r="R81">
        <f>IF(D81=1,P81*Assumptions!$B$128,Assumptions!$B$33)</f>
        <v/>
      </c>
      <c r="S81">
        <f>IF(E81=1,P81*Assumptions!$B$129,Assumptions!$B$32)</f>
        <v/>
      </c>
      <c r="T81">
        <f>IF(F81=1,P81*Assumptions!$B$14,Assumptions!$B$31)</f>
        <v/>
      </c>
      <c r="U81">
        <f>IF(G81=1,P81*Assumptions!$B$13,Assumptions!$B$30)</f>
        <v/>
      </c>
      <c r="V81">
        <f>IF(H81=1,P81*Assumptions!$B$12,Assumptions!$B$29)</f>
        <v/>
      </c>
      <c r="W81">
        <f>IF(I81=1,P81*Assumptions!$B$11,Assumptions!$B$28)</f>
        <v/>
      </c>
      <c r="X81">
        <f>P81*(Assumptions!$B$133+Assumptions!$B$137)</f>
        <v/>
      </c>
      <c r="Y81">
        <f>P81*Assumptions!$B$9</f>
        <v/>
      </c>
      <c r="Z81">
        <f>IF(M81=1,(P81-Assumptions!$B$37)*Assumptions!$B$153,0)</f>
        <v/>
      </c>
      <c r="AA81">
        <f>Q81+R81+S81+T81+U81+V81+W81+X81+Y81+Z81</f>
        <v/>
      </c>
      <c r="AB81" t="n">
        <v>30</v>
      </c>
      <c r="AC81" t="n">
        <v>94</v>
      </c>
      <c r="AD81" t="n">
        <v>62</v>
      </c>
      <c r="AE81" t="n">
        <v>14</v>
      </c>
      <c r="AF81" t="n">
        <v>22</v>
      </c>
      <c r="AG81" t="n">
        <v>26</v>
      </c>
      <c r="AH81" t="n">
        <v>28</v>
      </c>
      <c r="AI81" t="n">
        <v>31</v>
      </c>
      <c r="AJ81">
        <f>INDEX($Q$51:$Q$178,AC81+1)</f>
        <v/>
      </c>
      <c r="AK81">
        <f>INDEX($R$51:$R$178,AD81+1)</f>
        <v/>
      </c>
      <c r="AL81">
        <f>INDEX($S$51:$S$178,AE81+1)</f>
        <v/>
      </c>
      <c r="AM81">
        <f>INDEX($T$51:$T$178,AF81+1)</f>
        <v/>
      </c>
      <c r="AN81">
        <f>INDEX($U$51:$U$178,AG81+1)</f>
        <v/>
      </c>
      <c r="AO81">
        <f>INDEX($V$51:$V$178,AH81+1)</f>
        <v/>
      </c>
      <c r="AP81">
        <f>INDEX($W$51:$W$178,AI81+1)</f>
        <v/>
      </c>
      <c r="AQ81">
        <f>IF(Q81&gt;=AJ81-0.01,1,0)</f>
        <v/>
      </c>
      <c r="AR81">
        <f>IF(R81&gt;=AK81-0.01,1,0)</f>
        <v/>
      </c>
      <c r="AS81">
        <f>IF(S81&gt;=AL81-0.01,1,0)</f>
        <v/>
      </c>
      <c r="AT81">
        <f>IF(T81&gt;=AM81-0.01,1,0)</f>
        <v/>
      </c>
      <c r="AU81">
        <f>IF(U81&gt;=AN81-0.01,1,0)</f>
        <v/>
      </c>
      <c r="AV81">
        <f>IF(V81&gt;=AO81-0.01,1,0)</f>
        <v/>
      </c>
      <c r="AW81">
        <f>IF(W81&gt;=AP81-0.01,1,0)</f>
        <v/>
      </c>
      <c r="AX81">
        <f>AQ81*AR81*AS81*AT81*AU81*AV81*AW81</f>
        <v/>
      </c>
      <c r="AY81">
        <f>Assumptions!$B$41</f>
        <v/>
      </c>
      <c r="AZ81">
        <f>Assumptions!$B$33</f>
        <v/>
      </c>
      <c r="BA81">
        <f>Assumptions!$B$32</f>
        <v/>
      </c>
      <c r="BB81">
        <f>Assumptions!$B$31</f>
        <v/>
      </c>
      <c r="BC81">
        <f>Assumptions!$B$30</f>
        <v/>
      </c>
      <c r="BD81">
        <f>Assumptions!$B$29</f>
        <v/>
      </c>
      <c r="BE81">
        <f>Assumptions!$B$28</f>
        <v/>
      </c>
      <c r="BF81">
        <f>P81*Assumptions!$B$141</f>
        <v/>
      </c>
      <c r="BG81">
        <f>P81*Assumptions!$B$128</f>
        <v/>
      </c>
      <c r="BH81">
        <f>P81*Assumptions!$B$129</f>
        <v/>
      </c>
      <c r="BI81">
        <f>P81*Assumptions!$B$14</f>
        <v/>
      </c>
      <c r="BJ81">
        <f>P81*Assumptions!$B$13</f>
        <v/>
      </c>
      <c r="BK81">
        <f>P81*Assumptions!$B$12</f>
        <v/>
      </c>
      <c r="BL81">
        <f>P81*Assumptions!$B$11</f>
        <v/>
      </c>
    </row>
    <row r="82">
      <c r="A82" t="inlineStr">
        <is>
          <t>700M</t>
        </is>
      </c>
      <c r="B82">
        <f>Assumptions!$B$58</f>
        <v/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>
        <f>(1-C82)*Assumptions!$B$41+(1-D82)*Assumptions!$B$33+(1-E82)*Assumptions!$B$32+(1-F82)*Assumptions!$B$31+(1-G82)*Assumptions!$B$30+(1-H82)*Assumptions!$B$29+(1-I82)*Assumptions!$B$28</f>
        <v/>
      </c>
      <c r="K82">
        <f>C82*Assumptions!$B$141+D82*Assumptions!$B$128+E82*Assumptions!$B$129+F82*Assumptions!$B$14+G82*Assumptions!$B$13+H82*Assumptions!$B$12+I82*Assumptions!$B$11+Assumptions!$B$133+Assumptions!$B$137+Assumptions!$B$9</f>
        <v/>
      </c>
      <c r="L82">
        <f>B82-J82</f>
        <v/>
      </c>
      <c r="M82">
        <f>IF(K82&gt;0,IF(L82/K82&gt;=Assumptions!$B$37,1,0),0)</f>
        <v/>
      </c>
      <c r="N82">
        <f>K82+M82*Assumptions!$B$153</f>
        <v/>
      </c>
      <c r="O82">
        <f>L82+M82*Assumptions!$B$153*Assumptions!$B$37</f>
        <v/>
      </c>
      <c r="P82">
        <f>IF(N82&gt;0,O82/N82,0)</f>
        <v/>
      </c>
      <c r="Q82">
        <f>IF(C82=1,P82*Assumptions!$B$141,Assumptions!$B$41)</f>
        <v/>
      </c>
      <c r="R82">
        <f>IF(D82=1,P82*Assumptions!$B$128,Assumptions!$B$33)</f>
        <v/>
      </c>
      <c r="S82">
        <f>IF(E82=1,P82*Assumptions!$B$129,Assumptions!$B$32)</f>
        <v/>
      </c>
      <c r="T82">
        <f>IF(F82=1,P82*Assumptions!$B$14,Assumptions!$B$31)</f>
        <v/>
      </c>
      <c r="U82">
        <f>IF(G82=1,P82*Assumptions!$B$13,Assumptions!$B$30)</f>
        <v/>
      </c>
      <c r="V82">
        <f>IF(H82=1,P82*Assumptions!$B$12,Assumptions!$B$29)</f>
        <v/>
      </c>
      <c r="W82">
        <f>IF(I82=1,P82*Assumptions!$B$11,Assumptions!$B$28)</f>
        <v/>
      </c>
      <c r="X82">
        <f>P82*(Assumptions!$B$133+Assumptions!$B$137)</f>
        <v/>
      </c>
      <c r="Y82">
        <f>P82*Assumptions!$B$9</f>
        <v/>
      </c>
      <c r="Z82">
        <f>IF(M82=1,(P82-Assumptions!$B$37)*Assumptions!$B$153,0)</f>
        <v/>
      </c>
      <c r="AA82">
        <f>Q82+R82+S82+T82+U82+V82+W82+X82+Y82+Z82</f>
        <v/>
      </c>
      <c r="AB82" t="n">
        <v>31</v>
      </c>
      <c r="AC82" t="n">
        <v>95</v>
      </c>
      <c r="AD82" t="n">
        <v>63</v>
      </c>
      <c r="AE82" t="n">
        <v>15</v>
      </c>
      <c r="AF82" t="n">
        <v>23</v>
      </c>
      <c r="AG82" t="n">
        <v>27</v>
      </c>
      <c r="AH82" t="n">
        <v>29</v>
      </c>
      <c r="AI82" t="n">
        <v>30</v>
      </c>
      <c r="AJ82">
        <f>INDEX($Q$51:$Q$178,AC82+1)</f>
        <v/>
      </c>
      <c r="AK82">
        <f>INDEX($R$51:$R$178,AD82+1)</f>
        <v/>
      </c>
      <c r="AL82">
        <f>INDEX($S$51:$S$178,AE82+1)</f>
        <v/>
      </c>
      <c r="AM82">
        <f>INDEX($T$51:$T$178,AF82+1)</f>
        <v/>
      </c>
      <c r="AN82">
        <f>INDEX($U$51:$U$178,AG82+1)</f>
        <v/>
      </c>
      <c r="AO82">
        <f>INDEX($V$51:$V$178,AH82+1)</f>
        <v/>
      </c>
      <c r="AP82">
        <f>INDEX($W$51:$W$178,AI82+1)</f>
        <v/>
      </c>
      <c r="AQ82">
        <f>IF(Q82&gt;=AJ82-0.01,1,0)</f>
        <v/>
      </c>
      <c r="AR82">
        <f>IF(R82&gt;=AK82-0.01,1,0)</f>
        <v/>
      </c>
      <c r="AS82">
        <f>IF(S82&gt;=AL82-0.01,1,0)</f>
        <v/>
      </c>
      <c r="AT82">
        <f>IF(T82&gt;=AM82-0.01,1,0)</f>
        <v/>
      </c>
      <c r="AU82">
        <f>IF(U82&gt;=AN82-0.01,1,0)</f>
        <v/>
      </c>
      <c r="AV82">
        <f>IF(V82&gt;=AO82-0.01,1,0)</f>
        <v/>
      </c>
      <c r="AW82">
        <f>IF(W82&gt;=AP82-0.01,1,0)</f>
        <v/>
      </c>
      <c r="AX82">
        <f>AQ82*AR82*AS82*AT82*AU82*AV82*AW82</f>
        <v/>
      </c>
      <c r="AY82">
        <f>Assumptions!$B$41</f>
        <v/>
      </c>
      <c r="AZ82">
        <f>Assumptions!$B$33</f>
        <v/>
      </c>
      <c r="BA82">
        <f>Assumptions!$B$32</f>
        <v/>
      </c>
      <c r="BB82">
        <f>Assumptions!$B$31</f>
        <v/>
      </c>
      <c r="BC82">
        <f>Assumptions!$B$30</f>
        <v/>
      </c>
      <c r="BD82">
        <f>Assumptions!$B$29</f>
        <v/>
      </c>
      <c r="BE82">
        <f>Assumptions!$B$28</f>
        <v/>
      </c>
      <c r="BF82">
        <f>P82*Assumptions!$B$141</f>
        <v/>
      </c>
      <c r="BG82">
        <f>P82*Assumptions!$B$128</f>
        <v/>
      </c>
      <c r="BH82">
        <f>P82*Assumptions!$B$129</f>
        <v/>
      </c>
      <c r="BI82">
        <f>P82*Assumptions!$B$14</f>
        <v/>
      </c>
      <c r="BJ82">
        <f>P82*Assumptions!$B$13</f>
        <v/>
      </c>
      <c r="BK82">
        <f>P82*Assumptions!$B$12</f>
        <v/>
      </c>
      <c r="BL82">
        <f>P82*Assumptions!$B$11</f>
        <v/>
      </c>
    </row>
    <row r="83">
      <c r="A83" t="inlineStr">
        <is>
          <t>700M</t>
        </is>
      </c>
      <c r="B83">
        <f>Assumptions!$B$58</f>
        <v/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>
        <f>(1-C83)*Assumptions!$B$41+(1-D83)*Assumptions!$B$33+(1-E83)*Assumptions!$B$32+(1-F83)*Assumptions!$B$31+(1-G83)*Assumptions!$B$30+(1-H83)*Assumptions!$B$29+(1-I83)*Assumptions!$B$28</f>
        <v/>
      </c>
      <c r="K83">
        <f>C83*Assumptions!$B$141+D83*Assumptions!$B$128+E83*Assumptions!$B$129+F83*Assumptions!$B$14+G83*Assumptions!$B$13+H83*Assumptions!$B$12+I83*Assumptions!$B$11+Assumptions!$B$133+Assumptions!$B$137+Assumptions!$B$9</f>
        <v/>
      </c>
      <c r="L83">
        <f>B83-J83</f>
        <v/>
      </c>
      <c r="M83">
        <f>IF(K83&gt;0,IF(L83/K83&gt;=Assumptions!$B$37,1,0),0)</f>
        <v/>
      </c>
      <c r="N83">
        <f>K83+M83*Assumptions!$B$153</f>
        <v/>
      </c>
      <c r="O83">
        <f>L83+M83*Assumptions!$B$153*Assumptions!$B$37</f>
        <v/>
      </c>
      <c r="P83">
        <f>IF(N83&gt;0,O83/N83,0)</f>
        <v/>
      </c>
      <c r="Q83">
        <f>IF(C83=1,P83*Assumptions!$B$141,Assumptions!$B$41)</f>
        <v/>
      </c>
      <c r="R83">
        <f>IF(D83=1,P83*Assumptions!$B$128,Assumptions!$B$33)</f>
        <v/>
      </c>
      <c r="S83">
        <f>IF(E83=1,P83*Assumptions!$B$129,Assumptions!$B$32)</f>
        <v/>
      </c>
      <c r="T83">
        <f>IF(F83=1,P83*Assumptions!$B$14,Assumptions!$B$31)</f>
        <v/>
      </c>
      <c r="U83">
        <f>IF(G83=1,P83*Assumptions!$B$13,Assumptions!$B$30)</f>
        <v/>
      </c>
      <c r="V83">
        <f>IF(H83=1,P83*Assumptions!$B$12,Assumptions!$B$29)</f>
        <v/>
      </c>
      <c r="W83">
        <f>IF(I83=1,P83*Assumptions!$B$11,Assumptions!$B$28)</f>
        <v/>
      </c>
      <c r="X83">
        <f>P83*(Assumptions!$B$133+Assumptions!$B$137)</f>
        <v/>
      </c>
      <c r="Y83">
        <f>P83*Assumptions!$B$9</f>
        <v/>
      </c>
      <c r="Z83">
        <f>IF(M83=1,(P83-Assumptions!$B$37)*Assumptions!$B$153,0)</f>
        <v/>
      </c>
      <c r="AA83">
        <f>Q83+R83+S83+T83+U83+V83+W83+X83+Y83+Z83</f>
        <v/>
      </c>
      <c r="AB83" t="n">
        <v>32</v>
      </c>
      <c r="AC83" t="n">
        <v>96</v>
      </c>
      <c r="AD83" t="n">
        <v>0</v>
      </c>
      <c r="AE83" t="n">
        <v>48</v>
      </c>
      <c r="AF83" t="n">
        <v>40</v>
      </c>
      <c r="AG83" t="n">
        <v>36</v>
      </c>
      <c r="AH83" t="n">
        <v>34</v>
      </c>
      <c r="AI83" t="n">
        <v>33</v>
      </c>
      <c r="AJ83">
        <f>INDEX($Q$51:$Q$178,AC83+1)</f>
        <v/>
      </c>
      <c r="AK83">
        <f>INDEX($R$51:$R$178,AD83+1)</f>
        <v/>
      </c>
      <c r="AL83">
        <f>INDEX($S$51:$S$178,AE83+1)</f>
        <v/>
      </c>
      <c r="AM83">
        <f>INDEX($T$51:$T$178,AF83+1)</f>
        <v/>
      </c>
      <c r="AN83">
        <f>INDEX($U$51:$U$178,AG83+1)</f>
        <v/>
      </c>
      <c r="AO83">
        <f>INDEX($V$51:$V$178,AH83+1)</f>
        <v/>
      </c>
      <c r="AP83">
        <f>INDEX($W$51:$W$178,AI83+1)</f>
        <v/>
      </c>
      <c r="AQ83">
        <f>IF(Q83&gt;=AJ83-0.01,1,0)</f>
        <v/>
      </c>
      <c r="AR83">
        <f>IF(R83&gt;=AK83-0.01,1,0)</f>
        <v/>
      </c>
      <c r="AS83">
        <f>IF(S83&gt;=AL83-0.01,1,0)</f>
        <v/>
      </c>
      <c r="AT83">
        <f>IF(T83&gt;=AM83-0.01,1,0)</f>
        <v/>
      </c>
      <c r="AU83">
        <f>IF(U83&gt;=AN83-0.01,1,0)</f>
        <v/>
      </c>
      <c r="AV83">
        <f>IF(V83&gt;=AO83-0.01,1,0)</f>
        <v/>
      </c>
      <c r="AW83">
        <f>IF(W83&gt;=AP83-0.01,1,0)</f>
        <v/>
      </c>
      <c r="AX83">
        <f>AQ83*AR83*AS83*AT83*AU83*AV83*AW83</f>
        <v/>
      </c>
      <c r="AY83">
        <f>Assumptions!$B$41</f>
        <v/>
      </c>
      <c r="AZ83">
        <f>Assumptions!$B$33</f>
        <v/>
      </c>
      <c r="BA83">
        <f>Assumptions!$B$32</f>
        <v/>
      </c>
      <c r="BB83">
        <f>Assumptions!$B$31</f>
        <v/>
      </c>
      <c r="BC83">
        <f>Assumptions!$B$30</f>
        <v/>
      </c>
      <c r="BD83">
        <f>Assumptions!$B$29</f>
        <v/>
      </c>
      <c r="BE83">
        <f>Assumptions!$B$28</f>
        <v/>
      </c>
      <c r="BF83">
        <f>P83*Assumptions!$B$141</f>
        <v/>
      </c>
      <c r="BG83">
        <f>P83*Assumptions!$B$128</f>
        <v/>
      </c>
      <c r="BH83">
        <f>P83*Assumptions!$B$129</f>
        <v/>
      </c>
      <c r="BI83">
        <f>P83*Assumptions!$B$14</f>
        <v/>
      </c>
      <c r="BJ83">
        <f>P83*Assumptions!$B$13</f>
        <v/>
      </c>
      <c r="BK83">
        <f>P83*Assumptions!$B$12</f>
        <v/>
      </c>
      <c r="BL83">
        <f>P83*Assumptions!$B$11</f>
        <v/>
      </c>
    </row>
    <row r="84">
      <c r="A84" t="inlineStr">
        <is>
          <t>700M</t>
        </is>
      </c>
      <c r="B84">
        <f>Assumptions!$B$58</f>
        <v/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>
        <f>(1-C84)*Assumptions!$B$41+(1-D84)*Assumptions!$B$33+(1-E84)*Assumptions!$B$32+(1-F84)*Assumptions!$B$31+(1-G84)*Assumptions!$B$30+(1-H84)*Assumptions!$B$29+(1-I84)*Assumptions!$B$28</f>
        <v/>
      </c>
      <c r="K84">
        <f>C84*Assumptions!$B$141+D84*Assumptions!$B$128+E84*Assumptions!$B$129+F84*Assumptions!$B$14+G84*Assumptions!$B$13+H84*Assumptions!$B$12+I84*Assumptions!$B$11+Assumptions!$B$133+Assumptions!$B$137+Assumptions!$B$9</f>
        <v/>
      </c>
      <c r="L84">
        <f>B84-J84</f>
        <v/>
      </c>
      <c r="M84">
        <f>IF(K84&gt;0,IF(L84/K84&gt;=Assumptions!$B$37,1,0),0)</f>
        <v/>
      </c>
      <c r="N84">
        <f>K84+M84*Assumptions!$B$153</f>
        <v/>
      </c>
      <c r="O84">
        <f>L84+M84*Assumptions!$B$153*Assumptions!$B$37</f>
        <v/>
      </c>
      <c r="P84">
        <f>IF(N84&gt;0,O84/N84,0)</f>
        <v/>
      </c>
      <c r="Q84">
        <f>IF(C84=1,P84*Assumptions!$B$141,Assumptions!$B$41)</f>
        <v/>
      </c>
      <c r="R84">
        <f>IF(D84=1,P84*Assumptions!$B$128,Assumptions!$B$33)</f>
        <v/>
      </c>
      <c r="S84">
        <f>IF(E84=1,P84*Assumptions!$B$129,Assumptions!$B$32)</f>
        <v/>
      </c>
      <c r="T84">
        <f>IF(F84=1,P84*Assumptions!$B$14,Assumptions!$B$31)</f>
        <v/>
      </c>
      <c r="U84">
        <f>IF(G84=1,P84*Assumptions!$B$13,Assumptions!$B$30)</f>
        <v/>
      </c>
      <c r="V84">
        <f>IF(H84=1,P84*Assumptions!$B$12,Assumptions!$B$29)</f>
        <v/>
      </c>
      <c r="W84">
        <f>IF(I84=1,P84*Assumptions!$B$11,Assumptions!$B$28)</f>
        <v/>
      </c>
      <c r="X84">
        <f>P84*(Assumptions!$B$133+Assumptions!$B$137)</f>
        <v/>
      </c>
      <c r="Y84">
        <f>P84*Assumptions!$B$9</f>
        <v/>
      </c>
      <c r="Z84">
        <f>IF(M84=1,(P84-Assumptions!$B$37)*Assumptions!$B$153,0)</f>
        <v/>
      </c>
      <c r="AA84">
        <f>Q84+R84+S84+T84+U84+V84+W84+X84+Y84+Z84</f>
        <v/>
      </c>
      <c r="AB84" t="n">
        <v>33</v>
      </c>
      <c r="AC84" t="n">
        <v>97</v>
      </c>
      <c r="AD84" t="n">
        <v>1</v>
      </c>
      <c r="AE84" t="n">
        <v>49</v>
      </c>
      <c r="AF84" t="n">
        <v>41</v>
      </c>
      <c r="AG84" t="n">
        <v>37</v>
      </c>
      <c r="AH84" t="n">
        <v>35</v>
      </c>
      <c r="AI84" t="n">
        <v>32</v>
      </c>
      <c r="AJ84">
        <f>INDEX($Q$51:$Q$178,AC84+1)</f>
        <v/>
      </c>
      <c r="AK84">
        <f>INDEX($R$51:$R$178,AD84+1)</f>
        <v/>
      </c>
      <c r="AL84">
        <f>INDEX($S$51:$S$178,AE84+1)</f>
        <v/>
      </c>
      <c r="AM84">
        <f>INDEX($T$51:$T$178,AF84+1)</f>
        <v/>
      </c>
      <c r="AN84">
        <f>INDEX($U$51:$U$178,AG84+1)</f>
        <v/>
      </c>
      <c r="AO84">
        <f>INDEX($V$51:$V$178,AH84+1)</f>
        <v/>
      </c>
      <c r="AP84">
        <f>INDEX($W$51:$W$178,AI84+1)</f>
        <v/>
      </c>
      <c r="AQ84">
        <f>IF(Q84&gt;=AJ84-0.01,1,0)</f>
        <v/>
      </c>
      <c r="AR84">
        <f>IF(R84&gt;=AK84-0.01,1,0)</f>
        <v/>
      </c>
      <c r="AS84">
        <f>IF(S84&gt;=AL84-0.01,1,0)</f>
        <v/>
      </c>
      <c r="AT84">
        <f>IF(T84&gt;=AM84-0.01,1,0)</f>
        <v/>
      </c>
      <c r="AU84">
        <f>IF(U84&gt;=AN84-0.01,1,0)</f>
        <v/>
      </c>
      <c r="AV84">
        <f>IF(V84&gt;=AO84-0.01,1,0)</f>
        <v/>
      </c>
      <c r="AW84">
        <f>IF(W84&gt;=AP84-0.01,1,0)</f>
        <v/>
      </c>
      <c r="AX84">
        <f>AQ84*AR84*AS84*AT84*AU84*AV84*AW84</f>
        <v/>
      </c>
      <c r="AY84">
        <f>Assumptions!$B$41</f>
        <v/>
      </c>
      <c r="AZ84">
        <f>Assumptions!$B$33</f>
        <v/>
      </c>
      <c r="BA84">
        <f>Assumptions!$B$32</f>
        <v/>
      </c>
      <c r="BB84">
        <f>Assumptions!$B$31</f>
        <v/>
      </c>
      <c r="BC84">
        <f>Assumptions!$B$30</f>
        <v/>
      </c>
      <c r="BD84">
        <f>Assumptions!$B$29</f>
        <v/>
      </c>
      <c r="BE84">
        <f>Assumptions!$B$28</f>
        <v/>
      </c>
      <c r="BF84">
        <f>P84*Assumptions!$B$141</f>
        <v/>
      </c>
      <c r="BG84">
        <f>P84*Assumptions!$B$128</f>
        <v/>
      </c>
      <c r="BH84">
        <f>P84*Assumptions!$B$129</f>
        <v/>
      </c>
      <c r="BI84">
        <f>P84*Assumptions!$B$14</f>
        <v/>
      </c>
      <c r="BJ84">
        <f>P84*Assumptions!$B$13</f>
        <v/>
      </c>
      <c r="BK84">
        <f>P84*Assumptions!$B$12</f>
        <v/>
      </c>
      <c r="BL84">
        <f>P84*Assumptions!$B$11</f>
        <v/>
      </c>
    </row>
    <row r="85">
      <c r="A85" t="inlineStr">
        <is>
          <t>700M</t>
        </is>
      </c>
      <c r="B85">
        <f>Assumptions!$B$58</f>
        <v/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>
        <f>(1-C85)*Assumptions!$B$41+(1-D85)*Assumptions!$B$33+(1-E85)*Assumptions!$B$32+(1-F85)*Assumptions!$B$31+(1-G85)*Assumptions!$B$30+(1-H85)*Assumptions!$B$29+(1-I85)*Assumptions!$B$28</f>
        <v/>
      </c>
      <c r="K85">
        <f>C85*Assumptions!$B$141+D85*Assumptions!$B$128+E85*Assumptions!$B$129+F85*Assumptions!$B$14+G85*Assumptions!$B$13+H85*Assumptions!$B$12+I85*Assumptions!$B$11+Assumptions!$B$133+Assumptions!$B$137+Assumptions!$B$9</f>
        <v/>
      </c>
      <c r="L85">
        <f>B85-J85</f>
        <v/>
      </c>
      <c r="M85">
        <f>IF(K85&gt;0,IF(L85/K85&gt;=Assumptions!$B$37,1,0),0)</f>
        <v/>
      </c>
      <c r="N85">
        <f>K85+M85*Assumptions!$B$153</f>
        <v/>
      </c>
      <c r="O85">
        <f>L85+M85*Assumptions!$B$153*Assumptions!$B$37</f>
        <v/>
      </c>
      <c r="P85">
        <f>IF(N85&gt;0,O85/N85,0)</f>
        <v/>
      </c>
      <c r="Q85">
        <f>IF(C85=1,P85*Assumptions!$B$141,Assumptions!$B$41)</f>
        <v/>
      </c>
      <c r="R85">
        <f>IF(D85=1,P85*Assumptions!$B$128,Assumptions!$B$33)</f>
        <v/>
      </c>
      <c r="S85">
        <f>IF(E85=1,P85*Assumptions!$B$129,Assumptions!$B$32)</f>
        <v/>
      </c>
      <c r="T85">
        <f>IF(F85=1,P85*Assumptions!$B$14,Assumptions!$B$31)</f>
        <v/>
      </c>
      <c r="U85">
        <f>IF(G85=1,P85*Assumptions!$B$13,Assumptions!$B$30)</f>
        <v/>
      </c>
      <c r="V85">
        <f>IF(H85=1,P85*Assumptions!$B$12,Assumptions!$B$29)</f>
        <v/>
      </c>
      <c r="W85">
        <f>IF(I85=1,P85*Assumptions!$B$11,Assumptions!$B$28)</f>
        <v/>
      </c>
      <c r="X85">
        <f>P85*(Assumptions!$B$133+Assumptions!$B$137)</f>
        <v/>
      </c>
      <c r="Y85">
        <f>P85*Assumptions!$B$9</f>
        <v/>
      </c>
      <c r="Z85">
        <f>IF(M85=1,(P85-Assumptions!$B$37)*Assumptions!$B$153,0)</f>
        <v/>
      </c>
      <c r="AA85">
        <f>Q85+R85+S85+T85+U85+V85+W85+X85+Y85+Z85</f>
        <v/>
      </c>
      <c r="AB85" t="n">
        <v>34</v>
      </c>
      <c r="AC85" t="n">
        <v>98</v>
      </c>
      <c r="AD85" t="n">
        <v>2</v>
      </c>
      <c r="AE85" t="n">
        <v>50</v>
      </c>
      <c r="AF85" t="n">
        <v>42</v>
      </c>
      <c r="AG85" t="n">
        <v>38</v>
      </c>
      <c r="AH85" t="n">
        <v>32</v>
      </c>
      <c r="AI85" t="n">
        <v>35</v>
      </c>
      <c r="AJ85">
        <f>INDEX($Q$51:$Q$178,AC85+1)</f>
        <v/>
      </c>
      <c r="AK85">
        <f>INDEX($R$51:$R$178,AD85+1)</f>
        <v/>
      </c>
      <c r="AL85">
        <f>INDEX($S$51:$S$178,AE85+1)</f>
        <v/>
      </c>
      <c r="AM85">
        <f>INDEX($T$51:$T$178,AF85+1)</f>
        <v/>
      </c>
      <c r="AN85">
        <f>INDEX($U$51:$U$178,AG85+1)</f>
        <v/>
      </c>
      <c r="AO85">
        <f>INDEX($V$51:$V$178,AH85+1)</f>
        <v/>
      </c>
      <c r="AP85">
        <f>INDEX($W$51:$W$178,AI85+1)</f>
        <v/>
      </c>
      <c r="AQ85">
        <f>IF(Q85&gt;=AJ85-0.01,1,0)</f>
        <v/>
      </c>
      <c r="AR85">
        <f>IF(R85&gt;=AK85-0.01,1,0)</f>
        <v/>
      </c>
      <c r="AS85">
        <f>IF(S85&gt;=AL85-0.01,1,0)</f>
        <v/>
      </c>
      <c r="AT85">
        <f>IF(T85&gt;=AM85-0.01,1,0)</f>
        <v/>
      </c>
      <c r="AU85">
        <f>IF(U85&gt;=AN85-0.01,1,0)</f>
        <v/>
      </c>
      <c r="AV85">
        <f>IF(V85&gt;=AO85-0.01,1,0)</f>
        <v/>
      </c>
      <c r="AW85">
        <f>IF(W85&gt;=AP85-0.01,1,0)</f>
        <v/>
      </c>
      <c r="AX85">
        <f>AQ85*AR85*AS85*AT85*AU85*AV85*AW85</f>
        <v/>
      </c>
      <c r="AY85">
        <f>Assumptions!$B$41</f>
        <v/>
      </c>
      <c r="AZ85">
        <f>Assumptions!$B$33</f>
        <v/>
      </c>
      <c r="BA85">
        <f>Assumptions!$B$32</f>
        <v/>
      </c>
      <c r="BB85">
        <f>Assumptions!$B$31</f>
        <v/>
      </c>
      <c r="BC85">
        <f>Assumptions!$B$30</f>
        <v/>
      </c>
      <c r="BD85">
        <f>Assumptions!$B$29</f>
        <v/>
      </c>
      <c r="BE85">
        <f>Assumptions!$B$28</f>
        <v/>
      </c>
      <c r="BF85">
        <f>P85*Assumptions!$B$141</f>
        <v/>
      </c>
      <c r="BG85">
        <f>P85*Assumptions!$B$128</f>
        <v/>
      </c>
      <c r="BH85">
        <f>P85*Assumptions!$B$129</f>
        <v/>
      </c>
      <c r="BI85">
        <f>P85*Assumptions!$B$14</f>
        <v/>
      </c>
      <c r="BJ85">
        <f>P85*Assumptions!$B$13</f>
        <v/>
      </c>
      <c r="BK85">
        <f>P85*Assumptions!$B$12</f>
        <v/>
      </c>
      <c r="BL85">
        <f>P85*Assumptions!$B$11</f>
        <v/>
      </c>
    </row>
    <row r="86">
      <c r="A86" t="inlineStr">
        <is>
          <t>700M</t>
        </is>
      </c>
      <c r="B86">
        <f>Assumptions!$B$58</f>
        <v/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>
        <f>(1-C86)*Assumptions!$B$41+(1-D86)*Assumptions!$B$33+(1-E86)*Assumptions!$B$32+(1-F86)*Assumptions!$B$31+(1-G86)*Assumptions!$B$30+(1-H86)*Assumptions!$B$29+(1-I86)*Assumptions!$B$28</f>
        <v/>
      </c>
      <c r="K86">
        <f>C86*Assumptions!$B$141+D86*Assumptions!$B$128+E86*Assumptions!$B$129+F86*Assumptions!$B$14+G86*Assumptions!$B$13+H86*Assumptions!$B$12+I86*Assumptions!$B$11+Assumptions!$B$133+Assumptions!$B$137+Assumptions!$B$9</f>
        <v/>
      </c>
      <c r="L86">
        <f>B86-J86</f>
        <v/>
      </c>
      <c r="M86">
        <f>IF(K86&gt;0,IF(L86/K86&gt;=Assumptions!$B$37,1,0),0)</f>
        <v/>
      </c>
      <c r="N86">
        <f>K86+M86*Assumptions!$B$153</f>
        <v/>
      </c>
      <c r="O86">
        <f>L86+M86*Assumptions!$B$153*Assumptions!$B$37</f>
        <v/>
      </c>
      <c r="P86">
        <f>IF(N86&gt;0,O86/N86,0)</f>
        <v/>
      </c>
      <c r="Q86">
        <f>IF(C86=1,P86*Assumptions!$B$141,Assumptions!$B$41)</f>
        <v/>
      </c>
      <c r="R86">
        <f>IF(D86=1,P86*Assumptions!$B$128,Assumptions!$B$33)</f>
        <v/>
      </c>
      <c r="S86">
        <f>IF(E86=1,P86*Assumptions!$B$129,Assumptions!$B$32)</f>
        <v/>
      </c>
      <c r="T86">
        <f>IF(F86=1,P86*Assumptions!$B$14,Assumptions!$B$31)</f>
        <v/>
      </c>
      <c r="U86">
        <f>IF(G86=1,P86*Assumptions!$B$13,Assumptions!$B$30)</f>
        <v/>
      </c>
      <c r="V86">
        <f>IF(H86=1,P86*Assumptions!$B$12,Assumptions!$B$29)</f>
        <v/>
      </c>
      <c r="W86">
        <f>IF(I86=1,P86*Assumptions!$B$11,Assumptions!$B$28)</f>
        <v/>
      </c>
      <c r="X86">
        <f>P86*(Assumptions!$B$133+Assumptions!$B$137)</f>
        <v/>
      </c>
      <c r="Y86">
        <f>P86*Assumptions!$B$9</f>
        <v/>
      </c>
      <c r="Z86">
        <f>IF(M86=1,(P86-Assumptions!$B$37)*Assumptions!$B$153,0)</f>
        <v/>
      </c>
      <c r="AA86">
        <f>Q86+R86+S86+T86+U86+V86+W86+X86+Y86+Z86</f>
        <v/>
      </c>
      <c r="AB86" t="n">
        <v>35</v>
      </c>
      <c r="AC86" t="n">
        <v>99</v>
      </c>
      <c r="AD86" t="n">
        <v>3</v>
      </c>
      <c r="AE86" t="n">
        <v>51</v>
      </c>
      <c r="AF86" t="n">
        <v>43</v>
      </c>
      <c r="AG86" t="n">
        <v>39</v>
      </c>
      <c r="AH86" t="n">
        <v>33</v>
      </c>
      <c r="AI86" t="n">
        <v>34</v>
      </c>
      <c r="AJ86">
        <f>INDEX($Q$51:$Q$178,AC86+1)</f>
        <v/>
      </c>
      <c r="AK86">
        <f>INDEX($R$51:$R$178,AD86+1)</f>
        <v/>
      </c>
      <c r="AL86">
        <f>INDEX($S$51:$S$178,AE86+1)</f>
        <v/>
      </c>
      <c r="AM86">
        <f>INDEX($T$51:$T$178,AF86+1)</f>
        <v/>
      </c>
      <c r="AN86">
        <f>INDEX($U$51:$U$178,AG86+1)</f>
        <v/>
      </c>
      <c r="AO86">
        <f>INDEX($V$51:$V$178,AH86+1)</f>
        <v/>
      </c>
      <c r="AP86">
        <f>INDEX($W$51:$W$178,AI86+1)</f>
        <v/>
      </c>
      <c r="AQ86">
        <f>IF(Q86&gt;=AJ86-0.01,1,0)</f>
        <v/>
      </c>
      <c r="AR86">
        <f>IF(R86&gt;=AK86-0.01,1,0)</f>
        <v/>
      </c>
      <c r="AS86">
        <f>IF(S86&gt;=AL86-0.01,1,0)</f>
        <v/>
      </c>
      <c r="AT86">
        <f>IF(T86&gt;=AM86-0.01,1,0)</f>
        <v/>
      </c>
      <c r="AU86">
        <f>IF(U86&gt;=AN86-0.01,1,0)</f>
        <v/>
      </c>
      <c r="AV86">
        <f>IF(V86&gt;=AO86-0.01,1,0)</f>
        <v/>
      </c>
      <c r="AW86">
        <f>IF(W86&gt;=AP86-0.01,1,0)</f>
        <v/>
      </c>
      <c r="AX86">
        <f>AQ86*AR86*AS86*AT86*AU86*AV86*AW86</f>
        <v/>
      </c>
      <c r="AY86">
        <f>Assumptions!$B$41</f>
        <v/>
      </c>
      <c r="AZ86">
        <f>Assumptions!$B$33</f>
        <v/>
      </c>
      <c r="BA86">
        <f>Assumptions!$B$32</f>
        <v/>
      </c>
      <c r="BB86">
        <f>Assumptions!$B$31</f>
        <v/>
      </c>
      <c r="BC86">
        <f>Assumptions!$B$30</f>
        <v/>
      </c>
      <c r="BD86">
        <f>Assumptions!$B$29</f>
        <v/>
      </c>
      <c r="BE86">
        <f>Assumptions!$B$28</f>
        <v/>
      </c>
      <c r="BF86">
        <f>P86*Assumptions!$B$141</f>
        <v/>
      </c>
      <c r="BG86">
        <f>P86*Assumptions!$B$128</f>
        <v/>
      </c>
      <c r="BH86">
        <f>P86*Assumptions!$B$129</f>
        <v/>
      </c>
      <c r="BI86">
        <f>P86*Assumptions!$B$14</f>
        <v/>
      </c>
      <c r="BJ86">
        <f>P86*Assumptions!$B$13</f>
        <v/>
      </c>
      <c r="BK86">
        <f>P86*Assumptions!$B$12</f>
        <v/>
      </c>
      <c r="BL86">
        <f>P86*Assumptions!$B$11</f>
        <v/>
      </c>
    </row>
    <row r="87">
      <c r="A87" t="inlineStr">
        <is>
          <t>700M</t>
        </is>
      </c>
      <c r="B87">
        <f>Assumptions!$B$58</f>
        <v/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>
        <f>(1-C87)*Assumptions!$B$41+(1-D87)*Assumptions!$B$33+(1-E87)*Assumptions!$B$32+(1-F87)*Assumptions!$B$31+(1-G87)*Assumptions!$B$30+(1-H87)*Assumptions!$B$29+(1-I87)*Assumptions!$B$28</f>
        <v/>
      </c>
      <c r="K87">
        <f>C87*Assumptions!$B$141+D87*Assumptions!$B$128+E87*Assumptions!$B$129+F87*Assumptions!$B$14+G87*Assumptions!$B$13+H87*Assumptions!$B$12+I87*Assumptions!$B$11+Assumptions!$B$133+Assumptions!$B$137+Assumptions!$B$9</f>
        <v/>
      </c>
      <c r="L87">
        <f>B87-J87</f>
        <v/>
      </c>
      <c r="M87">
        <f>IF(K87&gt;0,IF(L87/K87&gt;=Assumptions!$B$37,1,0),0)</f>
        <v/>
      </c>
      <c r="N87">
        <f>K87+M87*Assumptions!$B$153</f>
        <v/>
      </c>
      <c r="O87">
        <f>L87+M87*Assumptions!$B$153*Assumptions!$B$37</f>
        <v/>
      </c>
      <c r="P87">
        <f>IF(N87&gt;0,O87/N87,0)</f>
        <v/>
      </c>
      <c r="Q87">
        <f>IF(C87=1,P87*Assumptions!$B$141,Assumptions!$B$41)</f>
        <v/>
      </c>
      <c r="R87">
        <f>IF(D87=1,P87*Assumptions!$B$128,Assumptions!$B$33)</f>
        <v/>
      </c>
      <c r="S87">
        <f>IF(E87=1,P87*Assumptions!$B$129,Assumptions!$B$32)</f>
        <v/>
      </c>
      <c r="T87">
        <f>IF(F87=1,P87*Assumptions!$B$14,Assumptions!$B$31)</f>
        <v/>
      </c>
      <c r="U87">
        <f>IF(G87=1,P87*Assumptions!$B$13,Assumptions!$B$30)</f>
        <v/>
      </c>
      <c r="V87">
        <f>IF(H87=1,P87*Assumptions!$B$12,Assumptions!$B$29)</f>
        <v/>
      </c>
      <c r="W87">
        <f>IF(I87=1,P87*Assumptions!$B$11,Assumptions!$B$28)</f>
        <v/>
      </c>
      <c r="X87">
        <f>P87*(Assumptions!$B$133+Assumptions!$B$137)</f>
        <v/>
      </c>
      <c r="Y87">
        <f>P87*Assumptions!$B$9</f>
        <v/>
      </c>
      <c r="Z87">
        <f>IF(M87=1,(P87-Assumptions!$B$37)*Assumptions!$B$153,0)</f>
        <v/>
      </c>
      <c r="AA87">
        <f>Q87+R87+S87+T87+U87+V87+W87+X87+Y87+Z87</f>
        <v/>
      </c>
      <c r="AB87" t="n">
        <v>36</v>
      </c>
      <c r="AC87" t="n">
        <v>100</v>
      </c>
      <c r="AD87" t="n">
        <v>4</v>
      </c>
      <c r="AE87" t="n">
        <v>52</v>
      </c>
      <c r="AF87" t="n">
        <v>44</v>
      </c>
      <c r="AG87" t="n">
        <v>32</v>
      </c>
      <c r="AH87" t="n">
        <v>38</v>
      </c>
      <c r="AI87" t="n">
        <v>37</v>
      </c>
      <c r="AJ87">
        <f>INDEX($Q$51:$Q$178,AC87+1)</f>
        <v/>
      </c>
      <c r="AK87">
        <f>INDEX($R$51:$R$178,AD87+1)</f>
        <v/>
      </c>
      <c r="AL87">
        <f>INDEX($S$51:$S$178,AE87+1)</f>
        <v/>
      </c>
      <c r="AM87">
        <f>INDEX($T$51:$T$178,AF87+1)</f>
        <v/>
      </c>
      <c r="AN87">
        <f>INDEX($U$51:$U$178,AG87+1)</f>
        <v/>
      </c>
      <c r="AO87">
        <f>INDEX($V$51:$V$178,AH87+1)</f>
        <v/>
      </c>
      <c r="AP87">
        <f>INDEX($W$51:$W$178,AI87+1)</f>
        <v/>
      </c>
      <c r="AQ87">
        <f>IF(Q87&gt;=AJ87-0.01,1,0)</f>
        <v/>
      </c>
      <c r="AR87">
        <f>IF(R87&gt;=AK87-0.01,1,0)</f>
        <v/>
      </c>
      <c r="AS87">
        <f>IF(S87&gt;=AL87-0.01,1,0)</f>
        <v/>
      </c>
      <c r="AT87">
        <f>IF(T87&gt;=AM87-0.01,1,0)</f>
        <v/>
      </c>
      <c r="AU87">
        <f>IF(U87&gt;=AN87-0.01,1,0)</f>
        <v/>
      </c>
      <c r="AV87">
        <f>IF(V87&gt;=AO87-0.01,1,0)</f>
        <v/>
      </c>
      <c r="AW87">
        <f>IF(W87&gt;=AP87-0.01,1,0)</f>
        <v/>
      </c>
      <c r="AX87">
        <f>AQ87*AR87*AS87*AT87*AU87*AV87*AW87</f>
        <v/>
      </c>
      <c r="AY87">
        <f>Assumptions!$B$41</f>
        <v/>
      </c>
      <c r="AZ87">
        <f>Assumptions!$B$33</f>
        <v/>
      </c>
      <c r="BA87">
        <f>Assumptions!$B$32</f>
        <v/>
      </c>
      <c r="BB87">
        <f>Assumptions!$B$31</f>
        <v/>
      </c>
      <c r="BC87">
        <f>Assumptions!$B$30</f>
        <v/>
      </c>
      <c r="BD87">
        <f>Assumptions!$B$29</f>
        <v/>
      </c>
      <c r="BE87">
        <f>Assumptions!$B$28</f>
        <v/>
      </c>
      <c r="BF87">
        <f>P87*Assumptions!$B$141</f>
        <v/>
      </c>
      <c r="BG87">
        <f>P87*Assumptions!$B$128</f>
        <v/>
      </c>
      <c r="BH87">
        <f>P87*Assumptions!$B$129</f>
        <v/>
      </c>
      <c r="BI87">
        <f>P87*Assumptions!$B$14</f>
        <v/>
      </c>
      <c r="BJ87">
        <f>P87*Assumptions!$B$13</f>
        <v/>
      </c>
      <c r="BK87">
        <f>P87*Assumptions!$B$12</f>
        <v/>
      </c>
      <c r="BL87">
        <f>P87*Assumptions!$B$11</f>
        <v/>
      </c>
    </row>
    <row r="88">
      <c r="A88" t="inlineStr">
        <is>
          <t>700M</t>
        </is>
      </c>
      <c r="B88">
        <f>Assumptions!$B$58</f>
        <v/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>
        <f>(1-C88)*Assumptions!$B$41+(1-D88)*Assumptions!$B$33+(1-E88)*Assumptions!$B$32+(1-F88)*Assumptions!$B$31+(1-G88)*Assumptions!$B$30+(1-H88)*Assumptions!$B$29+(1-I88)*Assumptions!$B$28</f>
        <v/>
      </c>
      <c r="K88">
        <f>C88*Assumptions!$B$141+D88*Assumptions!$B$128+E88*Assumptions!$B$129+F88*Assumptions!$B$14+G88*Assumptions!$B$13+H88*Assumptions!$B$12+I88*Assumptions!$B$11+Assumptions!$B$133+Assumptions!$B$137+Assumptions!$B$9</f>
        <v/>
      </c>
      <c r="L88">
        <f>B88-J88</f>
        <v/>
      </c>
      <c r="M88">
        <f>IF(K88&gt;0,IF(L88/K88&gt;=Assumptions!$B$37,1,0),0)</f>
        <v/>
      </c>
      <c r="N88">
        <f>K88+M88*Assumptions!$B$153</f>
        <v/>
      </c>
      <c r="O88">
        <f>L88+M88*Assumptions!$B$153*Assumptions!$B$37</f>
        <v/>
      </c>
      <c r="P88">
        <f>IF(N88&gt;0,O88/N88,0)</f>
        <v/>
      </c>
      <c r="Q88">
        <f>IF(C88=1,P88*Assumptions!$B$141,Assumptions!$B$41)</f>
        <v/>
      </c>
      <c r="R88">
        <f>IF(D88=1,P88*Assumptions!$B$128,Assumptions!$B$33)</f>
        <v/>
      </c>
      <c r="S88">
        <f>IF(E88=1,P88*Assumptions!$B$129,Assumptions!$B$32)</f>
        <v/>
      </c>
      <c r="T88">
        <f>IF(F88=1,P88*Assumptions!$B$14,Assumptions!$B$31)</f>
        <v/>
      </c>
      <c r="U88">
        <f>IF(G88=1,P88*Assumptions!$B$13,Assumptions!$B$30)</f>
        <v/>
      </c>
      <c r="V88">
        <f>IF(H88=1,P88*Assumptions!$B$12,Assumptions!$B$29)</f>
        <v/>
      </c>
      <c r="W88">
        <f>IF(I88=1,P88*Assumptions!$B$11,Assumptions!$B$28)</f>
        <v/>
      </c>
      <c r="X88">
        <f>P88*(Assumptions!$B$133+Assumptions!$B$137)</f>
        <v/>
      </c>
      <c r="Y88">
        <f>P88*Assumptions!$B$9</f>
        <v/>
      </c>
      <c r="Z88">
        <f>IF(M88=1,(P88-Assumptions!$B$37)*Assumptions!$B$153,0)</f>
        <v/>
      </c>
      <c r="AA88">
        <f>Q88+R88+S88+T88+U88+V88+W88+X88+Y88+Z88</f>
        <v/>
      </c>
      <c r="AB88" t="n">
        <v>37</v>
      </c>
      <c r="AC88" t="n">
        <v>101</v>
      </c>
      <c r="AD88" t="n">
        <v>5</v>
      </c>
      <c r="AE88" t="n">
        <v>53</v>
      </c>
      <c r="AF88" t="n">
        <v>45</v>
      </c>
      <c r="AG88" t="n">
        <v>33</v>
      </c>
      <c r="AH88" t="n">
        <v>39</v>
      </c>
      <c r="AI88" t="n">
        <v>36</v>
      </c>
      <c r="AJ88">
        <f>INDEX($Q$51:$Q$178,AC88+1)</f>
        <v/>
      </c>
      <c r="AK88">
        <f>INDEX($R$51:$R$178,AD88+1)</f>
        <v/>
      </c>
      <c r="AL88">
        <f>INDEX($S$51:$S$178,AE88+1)</f>
        <v/>
      </c>
      <c r="AM88">
        <f>INDEX($T$51:$T$178,AF88+1)</f>
        <v/>
      </c>
      <c r="AN88">
        <f>INDEX($U$51:$U$178,AG88+1)</f>
        <v/>
      </c>
      <c r="AO88">
        <f>INDEX($V$51:$V$178,AH88+1)</f>
        <v/>
      </c>
      <c r="AP88">
        <f>INDEX($W$51:$W$178,AI88+1)</f>
        <v/>
      </c>
      <c r="AQ88">
        <f>IF(Q88&gt;=AJ88-0.01,1,0)</f>
        <v/>
      </c>
      <c r="AR88">
        <f>IF(R88&gt;=AK88-0.01,1,0)</f>
        <v/>
      </c>
      <c r="AS88">
        <f>IF(S88&gt;=AL88-0.01,1,0)</f>
        <v/>
      </c>
      <c r="AT88">
        <f>IF(T88&gt;=AM88-0.01,1,0)</f>
        <v/>
      </c>
      <c r="AU88">
        <f>IF(U88&gt;=AN88-0.01,1,0)</f>
        <v/>
      </c>
      <c r="AV88">
        <f>IF(V88&gt;=AO88-0.01,1,0)</f>
        <v/>
      </c>
      <c r="AW88">
        <f>IF(W88&gt;=AP88-0.01,1,0)</f>
        <v/>
      </c>
      <c r="AX88">
        <f>AQ88*AR88*AS88*AT88*AU88*AV88*AW88</f>
        <v/>
      </c>
      <c r="AY88">
        <f>Assumptions!$B$41</f>
        <v/>
      </c>
      <c r="AZ88">
        <f>Assumptions!$B$33</f>
        <v/>
      </c>
      <c r="BA88">
        <f>Assumptions!$B$32</f>
        <v/>
      </c>
      <c r="BB88">
        <f>Assumptions!$B$31</f>
        <v/>
      </c>
      <c r="BC88">
        <f>Assumptions!$B$30</f>
        <v/>
      </c>
      <c r="BD88">
        <f>Assumptions!$B$29</f>
        <v/>
      </c>
      <c r="BE88">
        <f>Assumptions!$B$28</f>
        <v/>
      </c>
      <c r="BF88">
        <f>P88*Assumptions!$B$141</f>
        <v/>
      </c>
      <c r="BG88">
        <f>P88*Assumptions!$B$128</f>
        <v/>
      </c>
      <c r="BH88">
        <f>P88*Assumptions!$B$129</f>
        <v/>
      </c>
      <c r="BI88">
        <f>P88*Assumptions!$B$14</f>
        <v/>
      </c>
      <c r="BJ88">
        <f>P88*Assumptions!$B$13</f>
        <v/>
      </c>
      <c r="BK88">
        <f>P88*Assumptions!$B$12</f>
        <v/>
      </c>
      <c r="BL88">
        <f>P88*Assumptions!$B$11</f>
        <v/>
      </c>
    </row>
    <row r="89">
      <c r="A89" t="inlineStr">
        <is>
          <t>700M</t>
        </is>
      </c>
      <c r="B89">
        <f>Assumptions!$B$58</f>
        <v/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>
        <f>(1-C89)*Assumptions!$B$41+(1-D89)*Assumptions!$B$33+(1-E89)*Assumptions!$B$32+(1-F89)*Assumptions!$B$31+(1-G89)*Assumptions!$B$30+(1-H89)*Assumptions!$B$29+(1-I89)*Assumptions!$B$28</f>
        <v/>
      </c>
      <c r="K89">
        <f>C89*Assumptions!$B$141+D89*Assumptions!$B$128+E89*Assumptions!$B$129+F89*Assumptions!$B$14+G89*Assumptions!$B$13+H89*Assumptions!$B$12+I89*Assumptions!$B$11+Assumptions!$B$133+Assumptions!$B$137+Assumptions!$B$9</f>
        <v/>
      </c>
      <c r="L89">
        <f>B89-J89</f>
        <v/>
      </c>
      <c r="M89">
        <f>IF(K89&gt;0,IF(L89/K89&gt;=Assumptions!$B$37,1,0),0)</f>
        <v/>
      </c>
      <c r="N89">
        <f>K89+M89*Assumptions!$B$153</f>
        <v/>
      </c>
      <c r="O89">
        <f>L89+M89*Assumptions!$B$153*Assumptions!$B$37</f>
        <v/>
      </c>
      <c r="P89">
        <f>IF(N89&gt;0,O89/N89,0)</f>
        <v/>
      </c>
      <c r="Q89">
        <f>IF(C89=1,P89*Assumptions!$B$141,Assumptions!$B$41)</f>
        <v/>
      </c>
      <c r="R89">
        <f>IF(D89=1,P89*Assumptions!$B$128,Assumptions!$B$33)</f>
        <v/>
      </c>
      <c r="S89">
        <f>IF(E89=1,P89*Assumptions!$B$129,Assumptions!$B$32)</f>
        <v/>
      </c>
      <c r="T89">
        <f>IF(F89=1,P89*Assumptions!$B$14,Assumptions!$B$31)</f>
        <v/>
      </c>
      <c r="U89">
        <f>IF(G89=1,P89*Assumptions!$B$13,Assumptions!$B$30)</f>
        <v/>
      </c>
      <c r="V89">
        <f>IF(H89=1,P89*Assumptions!$B$12,Assumptions!$B$29)</f>
        <v/>
      </c>
      <c r="W89">
        <f>IF(I89=1,P89*Assumptions!$B$11,Assumptions!$B$28)</f>
        <v/>
      </c>
      <c r="X89">
        <f>P89*(Assumptions!$B$133+Assumptions!$B$137)</f>
        <v/>
      </c>
      <c r="Y89">
        <f>P89*Assumptions!$B$9</f>
        <v/>
      </c>
      <c r="Z89">
        <f>IF(M89=1,(P89-Assumptions!$B$37)*Assumptions!$B$153,0)</f>
        <v/>
      </c>
      <c r="AA89">
        <f>Q89+R89+S89+T89+U89+V89+W89+X89+Y89+Z89</f>
        <v/>
      </c>
      <c r="AB89" t="n">
        <v>38</v>
      </c>
      <c r="AC89" t="n">
        <v>102</v>
      </c>
      <c r="AD89" t="n">
        <v>6</v>
      </c>
      <c r="AE89" t="n">
        <v>54</v>
      </c>
      <c r="AF89" t="n">
        <v>46</v>
      </c>
      <c r="AG89" t="n">
        <v>34</v>
      </c>
      <c r="AH89" t="n">
        <v>36</v>
      </c>
      <c r="AI89" t="n">
        <v>39</v>
      </c>
      <c r="AJ89">
        <f>INDEX($Q$51:$Q$178,AC89+1)</f>
        <v/>
      </c>
      <c r="AK89">
        <f>INDEX($R$51:$R$178,AD89+1)</f>
        <v/>
      </c>
      <c r="AL89">
        <f>INDEX($S$51:$S$178,AE89+1)</f>
        <v/>
      </c>
      <c r="AM89">
        <f>INDEX($T$51:$T$178,AF89+1)</f>
        <v/>
      </c>
      <c r="AN89">
        <f>INDEX($U$51:$U$178,AG89+1)</f>
        <v/>
      </c>
      <c r="AO89">
        <f>INDEX($V$51:$V$178,AH89+1)</f>
        <v/>
      </c>
      <c r="AP89">
        <f>INDEX($W$51:$W$178,AI89+1)</f>
        <v/>
      </c>
      <c r="AQ89">
        <f>IF(Q89&gt;=AJ89-0.01,1,0)</f>
        <v/>
      </c>
      <c r="AR89">
        <f>IF(R89&gt;=AK89-0.01,1,0)</f>
        <v/>
      </c>
      <c r="AS89">
        <f>IF(S89&gt;=AL89-0.01,1,0)</f>
        <v/>
      </c>
      <c r="AT89">
        <f>IF(T89&gt;=AM89-0.01,1,0)</f>
        <v/>
      </c>
      <c r="AU89">
        <f>IF(U89&gt;=AN89-0.01,1,0)</f>
        <v/>
      </c>
      <c r="AV89">
        <f>IF(V89&gt;=AO89-0.01,1,0)</f>
        <v/>
      </c>
      <c r="AW89">
        <f>IF(W89&gt;=AP89-0.01,1,0)</f>
        <v/>
      </c>
      <c r="AX89">
        <f>AQ89*AR89*AS89*AT89*AU89*AV89*AW89</f>
        <v/>
      </c>
      <c r="AY89">
        <f>Assumptions!$B$41</f>
        <v/>
      </c>
      <c r="AZ89">
        <f>Assumptions!$B$33</f>
        <v/>
      </c>
      <c r="BA89">
        <f>Assumptions!$B$32</f>
        <v/>
      </c>
      <c r="BB89">
        <f>Assumptions!$B$31</f>
        <v/>
      </c>
      <c r="BC89">
        <f>Assumptions!$B$30</f>
        <v/>
      </c>
      <c r="BD89">
        <f>Assumptions!$B$29</f>
        <v/>
      </c>
      <c r="BE89">
        <f>Assumptions!$B$28</f>
        <v/>
      </c>
      <c r="BF89">
        <f>P89*Assumptions!$B$141</f>
        <v/>
      </c>
      <c r="BG89">
        <f>P89*Assumptions!$B$128</f>
        <v/>
      </c>
      <c r="BH89">
        <f>P89*Assumptions!$B$129</f>
        <v/>
      </c>
      <c r="BI89">
        <f>P89*Assumptions!$B$14</f>
        <v/>
      </c>
      <c r="BJ89">
        <f>P89*Assumptions!$B$13</f>
        <v/>
      </c>
      <c r="BK89">
        <f>P89*Assumptions!$B$12</f>
        <v/>
      </c>
      <c r="BL89">
        <f>P89*Assumptions!$B$11</f>
        <v/>
      </c>
    </row>
    <row r="90">
      <c r="A90" t="inlineStr">
        <is>
          <t>700M</t>
        </is>
      </c>
      <c r="B90">
        <f>Assumptions!$B$58</f>
        <v/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>
        <f>(1-C90)*Assumptions!$B$41+(1-D90)*Assumptions!$B$33+(1-E90)*Assumptions!$B$32+(1-F90)*Assumptions!$B$31+(1-G90)*Assumptions!$B$30+(1-H90)*Assumptions!$B$29+(1-I90)*Assumptions!$B$28</f>
        <v/>
      </c>
      <c r="K90">
        <f>C90*Assumptions!$B$141+D90*Assumptions!$B$128+E90*Assumptions!$B$129+F90*Assumptions!$B$14+G90*Assumptions!$B$13+H90*Assumptions!$B$12+I90*Assumptions!$B$11+Assumptions!$B$133+Assumptions!$B$137+Assumptions!$B$9</f>
        <v/>
      </c>
      <c r="L90">
        <f>B90-J90</f>
        <v/>
      </c>
      <c r="M90">
        <f>IF(K90&gt;0,IF(L90/K90&gt;=Assumptions!$B$37,1,0),0)</f>
        <v/>
      </c>
      <c r="N90">
        <f>K90+M90*Assumptions!$B$153</f>
        <v/>
      </c>
      <c r="O90">
        <f>L90+M90*Assumptions!$B$153*Assumptions!$B$37</f>
        <v/>
      </c>
      <c r="P90">
        <f>IF(N90&gt;0,O90/N90,0)</f>
        <v/>
      </c>
      <c r="Q90">
        <f>IF(C90=1,P90*Assumptions!$B$141,Assumptions!$B$41)</f>
        <v/>
      </c>
      <c r="R90">
        <f>IF(D90=1,P90*Assumptions!$B$128,Assumptions!$B$33)</f>
        <v/>
      </c>
      <c r="S90">
        <f>IF(E90=1,P90*Assumptions!$B$129,Assumptions!$B$32)</f>
        <v/>
      </c>
      <c r="T90">
        <f>IF(F90=1,P90*Assumptions!$B$14,Assumptions!$B$31)</f>
        <v/>
      </c>
      <c r="U90">
        <f>IF(G90=1,P90*Assumptions!$B$13,Assumptions!$B$30)</f>
        <v/>
      </c>
      <c r="V90">
        <f>IF(H90=1,P90*Assumptions!$B$12,Assumptions!$B$29)</f>
        <v/>
      </c>
      <c r="W90">
        <f>IF(I90=1,P90*Assumptions!$B$11,Assumptions!$B$28)</f>
        <v/>
      </c>
      <c r="X90">
        <f>P90*(Assumptions!$B$133+Assumptions!$B$137)</f>
        <v/>
      </c>
      <c r="Y90">
        <f>P90*Assumptions!$B$9</f>
        <v/>
      </c>
      <c r="Z90">
        <f>IF(M90=1,(P90-Assumptions!$B$37)*Assumptions!$B$153,0)</f>
        <v/>
      </c>
      <c r="AA90">
        <f>Q90+R90+S90+T90+U90+V90+W90+X90+Y90+Z90</f>
        <v/>
      </c>
      <c r="AB90" t="n">
        <v>39</v>
      </c>
      <c r="AC90" t="n">
        <v>103</v>
      </c>
      <c r="AD90" t="n">
        <v>7</v>
      </c>
      <c r="AE90" t="n">
        <v>55</v>
      </c>
      <c r="AF90" t="n">
        <v>47</v>
      </c>
      <c r="AG90" t="n">
        <v>35</v>
      </c>
      <c r="AH90" t="n">
        <v>37</v>
      </c>
      <c r="AI90" t="n">
        <v>38</v>
      </c>
      <c r="AJ90">
        <f>INDEX($Q$51:$Q$178,AC90+1)</f>
        <v/>
      </c>
      <c r="AK90">
        <f>INDEX($R$51:$R$178,AD90+1)</f>
        <v/>
      </c>
      <c r="AL90">
        <f>INDEX($S$51:$S$178,AE90+1)</f>
        <v/>
      </c>
      <c r="AM90">
        <f>INDEX($T$51:$T$178,AF90+1)</f>
        <v/>
      </c>
      <c r="AN90">
        <f>INDEX($U$51:$U$178,AG90+1)</f>
        <v/>
      </c>
      <c r="AO90">
        <f>INDEX($V$51:$V$178,AH90+1)</f>
        <v/>
      </c>
      <c r="AP90">
        <f>INDEX($W$51:$W$178,AI90+1)</f>
        <v/>
      </c>
      <c r="AQ90">
        <f>IF(Q90&gt;=AJ90-0.01,1,0)</f>
        <v/>
      </c>
      <c r="AR90">
        <f>IF(R90&gt;=AK90-0.01,1,0)</f>
        <v/>
      </c>
      <c r="AS90">
        <f>IF(S90&gt;=AL90-0.01,1,0)</f>
        <v/>
      </c>
      <c r="AT90">
        <f>IF(T90&gt;=AM90-0.01,1,0)</f>
        <v/>
      </c>
      <c r="AU90">
        <f>IF(U90&gt;=AN90-0.01,1,0)</f>
        <v/>
      </c>
      <c r="AV90">
        <f>IF(V90&gt;=AO90-0.01,1,0)</f>
        <v/>
      </c>
      <c r="AW90">
        <f>IF(W90&gt;=AP90-0.01,1,0)</f>
        <v/>
      </c>
      <c r="AX90">
        <f>AQ90*AR90*AS90*AT90*AU90*AV90*AW90</f>
        <v/>
      </c>
      <c r="AY90">
        <f>Assumptions!$B$41</f>
        <v/>
      </c>
      <c r="AZ90">
        <f>Assumptions!$B$33</f>
        <v/>
      </c>
      <c r="BA90">
        <f>Assumptions!$B$32</f>
        <v/>
      </c>
      <c r="BB90">
        <f>Assumptions!$B$31</f>
        <v/>
      </c>
      <c r="BC90">
        <f>Assumptions!$B$30</f>
        <v/>
      </c>
      <c r="BD90">
        <f>Assumptions!$B$29</f>
        <v/>
      </c>
      <c r="BE90">
        <f>Assumptions!$B$28</f>
        <v/>
      </c>
      <c r="BF90">
        <f>P90*Assumptions!$B$141</f>
        <v/>
      </c>
      <c r="BG90">
        <f>P90*Assumptions!$B$128</f>
        <v/>
      </c>
      <c r="BH90">
        <f>P90*Assumptions!$B$129</f>
        <v/>
      </c>
      <c r="BI90">
        <f>P90*Assumptions!$B$14</f>
        <v/>
      </c>
      <c r="BJ90">
        <f>P90*Assumptions!$B$13</f>
        <v/>
      </c>
      <c r="BK90">
        <f>P90*Assumptions!$B$12</f>
        <v/>
      </c>
      <c r="BL90">
        <f>P90*Assumptions!$B$11</f>
        <v/>
      </c>
    </row>
    <row r="91">
      <c r="A91" t="inlineStr">
        <is>
          <t>700M</t>
        </is>
      </c>
      <c r="B91">
        <f>Assumptions!$B$58</f>
        <v/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>
        <f>(1-C91)*Assumptions!$B$41+(1-D91)*Assumptions!$B$33+(1-E91)*Assumptions!$B$32+(1-F91)*Assumptions!$B$31+(1-G91)*Assumptions!$B$30+(1-H91)*Assumptions!$B$29+(1-I91)*Assumptions!$B$28</f>
        <v/>
      </c>
      <c r="K91">
        <f>C91*Assumptions!$B$141+D91*Assumptions!$B$128+E91*Assumptions!$B$129+F91*Assumptions!$B$14+G91*Assumptions!$B$13+H91*Assumptions!$B$12+I91*Assumptions!$B$11+Assumptions!$B$133+Assumptions!$B$137+Assumptions!$B$9</f>
        <v/>
      </c>
      <c r="L91">
        <f>B91-J91</f>
        <v/>
      </c>
      <c r="M91">
        <f>IF(K91&gt;0,IF(L91/K91&gt;=Assumptions!$B$37,1,0),0)</f>
        <v/>
      </c>
      <c r="N91">
        <f>K91+M91*Assumptions!$B$153</f>
        <v/>
      </c>
      <c r="O91">
        <f>L91+M91*Assumptions!$B$153*Assumptions!$B$37</f>
        <v/>
      </c>
      <c r="P91">
        <f>IF(N91&gt;0,O91/N91,0)</f>
        <v/>
      </c>
      <c r="Q91">
        <f>IF(C91=1,P91*Assumptions!$B$141,Assumptions!$B$41)</f>
        <v/>
      </c>
      <c r="R91">
        <f>IF(D91=1,P91*Assumptions!$B$128,Assumptions!$B$33)</f>
        <v/>
      </c>
      <c r="S91">
        <f>IF(E91=1,P91*Assumptions!$B$129,Assumptions!$B$32)</f>
        <v/>
      </c>
      <c r="T91">
        <f>IF(F91=1,P91*Assumptions!$B$14,Assumptions!$B$31)</f>
        <v/>
      </c>
      <c r="U91">
        <f>IF(G91=1,P91*Assumptions!$B$13,Assumptions!$B$30)</f>
        <v/>
      </c>
      <c r="V91">
        <f>IF(H91=1,P91*Assumptions!$B$12,Assumptions!$B$29)</f>
        <v/>
      </c>
      <c r="W91">
        <f>IF(I91=1,P91*Assumptions!$B$11,Assumptions!$B$28)</f>
        <v/>
      </c>
      <c r="X91">
        <f>P91*(Assumptions!$B$133+Assumptions!$B$137)</f>
        <v/>
      </c>
      <c r="Y91">
        <f>P91*Assumptions!$B$9</f>
        <v/>
      </c>
      <c r="Z91">
        <f>IF(M91=1,(P91-Assumptions!$B$37)*Assumptions!$B$153,0)</f>
        <v/>
      </c>
      <c r="AA91">
        <f>Q91+R91+S91+T91+U91+V91+W91+X91+Y91+Z91</f>
        <v/>
      </c>
      <c r="AB91" t="n">
        <v>40</v>
      </c>
      <c r="AC91" t="n">
        <v>104</v>
      </c>
      <c r="AD91" t="n">
        <v>8</v>
      </c>
      <c r="AE91" t="n">
        <v>56</v>
      </c>
      <c r="AF91" t="n">
        <v>32</v>
      </c>
      <c r="AG91" t="n">
        <v>44</v>
      </c>
      <c r="AH91" t="n">
        <v>42</v>
      </c>
      <c r="AI91" t="n">
        <v>41</v>
      </c>
      <c r="AJ91">
        <f>INDEX($Q$51:$Q$178,AC91+1)</f>
        <v/>
      </c>
      <c r="AK91">
        <f>INDEX($R$51:$R$178,AD91+1)</f>
        <v/>
      </c>
      <c r="AL91">
        <f>INDEX($S$51:$S$178,AE91+1)</f>
        <v/>
      </c>
      <c r="AM91">
        <f>INDEX($T$51:$T$178,AF91+1)</f>
        <v/>
      </c>
      <c r="AN91">
        <f>INDEX($U$51:$U$178,AG91+1)</f>
        <v/>
      </c>
      <c r="AO91">
        <f>INDEX($V$51:$V$178,AH91+1)</f>
        <v/>
      </c>
      <c r="AP91">
        <f>INDEX($W$51:$W$178,AI91+1)</f>
        <v/>
      </c>
      <c r="AQ91">
        <f>IF(Q91&gt;=AJ91-0.01,1,0)</f>
        <v/>
      </c>
      <c r="AR91">
        <f>IF(R91&gt;=AK91-0.01,1,0)</f>
        <v/>
      </c>
      <c r="AS91">
        <f>IF(S91&gt;=AL91-0.01,1,0)</f>
        <v/>
      </c>
      <c r="AT91">
        <f>IF(T91&gt;=AM91-0.01,1,0)</f>
        <v/>
      </c>
      <c r="AU91">
        <f>IF(U91&gt;=AN91-0.01,1,0)</f>
        <v/>
      </c>
      <c r="AV91">
        <f>IF(V91&gt;=AO91-0.01,1,0)</f>
        <v/>
      </c>
      <c r="AW91">
        <f>IF(W91&gt;=AP91-0.01,1,0)</f>
        <v/>
      </c>
      <c r="AX91">
        <f>AQ91*AR91*AS91*AT91*AU91*AV91*AW91</f>
        <v/>
      </c>
      <c r="AY91">
        <f>Assumptions!$B$41</f>
        <v/>
      </c>
      <c r="AZ91">
        <f>Assumptions!$B$33</f>
        <v/>
      </c>
      <c r="BA91">
        <f>Assumptions!$B$32</f>
        <v/>
      </c>
      <c r="BB91">
        <f>Assumptions!$B$31</f>
        <v/>
      </c>
      <c r="BC91">
        <f>Assumptions!$B$30</f>
        <v/>
      </c>
      <c r="BD91">
        <f>Assumptions!$B$29</f>
        <v/>
      </c>
      <c r="BE91">
        <f>Assumptions!$B$28</f>
        <v/>
      </c>
      <c r="BF91">
        <f>P91*Assumptions!$B$141</f>
        <v/>
      </c>
      <c r="BG91">
        <f>P91*Assumptions!$B$128</f>
        <v/>
      </c>
      <c r="BH91">
        <f>P91*Assumptions!$B$129</f>
        <v/>
      </c>
      <c r="BI91">
        <f>P91*Assumptions!$B$14</f>
        <v/>
      </c>
      <c r="BJ91">
        <f>P91*Assumptions!$B$13</f>
        <v/>
      </c>
      <c r="BK91">
        <f>P91*Assumptions!$B$12</f>
        <v/>
      </c>
      <c r="BL91">
        <f>P91*Assumptions!$B$11</f>
        <v/>
      </c>
    </row>
    <row r="92">
      <c r="A92" t="inlineStr">
        <is>
          <t>700M</t>
        </is>
      </c>
      <c r="B92">
        <f>Assumptions!$B$58</f>
        <v/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>
        <f>(1-C92)*Assumptions!$B$41+(1-D92)*Assumptions!$B$33+(1-E92)*Assumptions!$B$32+(1-F92)*Assumptions!$B$31+(1-G92)*Assumptions!$B$30+(1-H92)*Assumptions!$B$29+(1-I92)*Assumptions!$B$28</f>
        <v/>
      </c>
      <c r="K92">
        <f>C92*Assumptions!$B$141+D92*Assumptions!$B$128+E92*Assumptions!$B$129+F92*Assumptions!$B$14+G92*Assumptions!$B$13+H92*Assumptions!$B$12+I92*Assumptions!$B$11+Assumptions!$B$133+Assumptions!$B$137+Assumptions!$B$9</f>
        <v/>
      </c>
      <c r="L92">
        <f>B92-J92</f>
        <v/>
      </c>
      <c r="M92">
        <f>IF(K92&gt;0,IF(L92/K92&gt;=Assumptions!$B$37,1,0),0)</f>
        <v/>
      </c>
      <c r="N92">
        <f>K92+M92*Assumptions!$B$153</f>
        <v/>
      </c>
      <c r="O92">
        <f>L92+M92*Assumptions!$B$153*Assumptions!$B$37</f>
        <v/>
      </c>
      <c r="P92">
        <f>IF(N92&gt;0,O92/N92,0)</f>
        <v/>
      </c>
      <c r="Q92">
        <f>IF(C92=1,P92*Assumptions!$B$141,Assumptions!$B$41)</f>
        <v/>
      </c>
      <c r="R92">
        <f>IF(D92=1,P92*Assumptions!$B$128,Assumptions!$B$33)</f>
        <v/>
      </c>
      <c r="S92">
        <f>IF(E92=1,P92*Assumptions!$B$129,Assumptions!$B$32)</f>
        <v/>
      </c>
      <c r="T92">
        <f>IF(F92=1,P92*Assumptions!$B$14,Assumptions!$B$31)</f>
        <v/>
      </c>
      <c r="U92">
        <f>IF(G92=1,P92*Assumptions!$B$13,Assumptions!$B$30)</f>
        <v/>
      </c>
      <c r="V92">
        <f>IF(H92=1,P92*Assumptions!$B$12,Assumptions!$B$29)</f>
        <v/>
      </c>
      <c r="W92">
        <f>IF(I92=1,P92*Assumptions!$B$11,Assumptions!$B$28)</f>
        <v/>
      </c>
      <c r="X92">
        <f>P92*(Assumptions!$B$133+Assumptions!$B$137)</f>
        <v/>
      </c>
      <c r="Y92">
        <f>P92*Assumptions!$B$9</f>
        <v/>
      </c>
      <c r="Z92">
        <f>IF(M92=1,(P92-Assumptions!$B$37)*Assumptions!$B$153,0)</f>
        <v/>
      </c>
      <c r="AA92">
        <f>Q92+R92+S92+T92+U92+V92+W92+X92+Y92+Z92</f>
        <v/>
      </c>
      <c r="AB92" t="n">
        <v>41</v>
      </c>
      <c r="AC92" t="n">
        <v>105</v>
      </c>
      <c r="AD92" t="n">
        <v>9</v>
      </c>
      <c r="AE92" t="n">
        <v>57</v>
      </c>
      <c r="AF92" t="n">
        <v>33</v>
      </c>
      <c r="AG92" t="n">
        <v>45</v>
      </c>
      <c r="AH92" t="n">
        <v>43</v>
      </c>
      <c r="AI92" t="n">
        <v>40</v>
      </c>
      <c r="AJ92">
        <f>INDEX($Q$51:$Q$178,AC92+1)</f>
        <v/>
      </c>
      <c r="AK92">
        <f>INDEX($R$51:$R$178,AD92+1)</f>
        <v/>
      </c>
      <c r="AL92">
        <f>INDEX($S$51:$S$178,AE92+1)</f>
        <v/>
      </c>
      <c r="AM92">
        <f>INDEX($T$51:$T$178,AF92+1)</f>
        <v/>
      </c>
      <c r="AN92">
        <f>INDEX($U$51:$U$178,AG92+1)</f>
        <v/>
      </c>
      <c r="AO92">
        <f>INDEX($V$51:$V$178,AH92+1)</f>
        <v/>
      </c>
      <c r="AP92">
        <f>INDEX($W$51:$W$178,AI92+1)</f>
        <v/>
      </c>
      <c r="AQ92">
        <f>IF(Q92&gt;=AJ92-0.01,1,0)</f>
        <v/>
      </c>
      <c r="AR92">
        <f>IF(R92&gt;=AK92-0.01,1,0)</f>
        <v/>
      </c>
      <c r="AS92">
        <f>IF(S92&gt;=AL92-0.01,1,0)</f>
        <v/>
      </c>
      <c r="AT92">
        <f>IF(T92&gt;=AM92-0.01,1,0)</f>
        <v/>
      </c>
      <c r="AU92">
        <f>IF(U92&gt;=AN92-0.01,1,0)</f>
        <v/>
      </c>
      <c r="AV92">
        <f>IF(V92&gt;=AO92-0.01,1,0)</f>
        <v/>
      </c>
      <c r="AW92">
        <f>IF(W92&gt;=AP92-0.01,1,0)</f>
        <v/>
      </c>
      <c r="AX92">
        <f>AQ92*AR92*AS92*AT92*AU92*AV92*AW92</f>
        <v/>
      </c>
      <c r="AY92">
        <f>Assumptions!$B$41</f>
        <v/>
      </c>
      <c r="AZ92">
        <f>Assumptions!$B$33</f>
        <v/>
      </c>
      <c r="BA92">
        <f>Assumptions!$B$32</f>
        <v/>
      </c>
      <c r="BB92">
        <f>Assumptions!$B$31</f>
        <v/>
      </c>
      <c r="BC92">
        <f>Assumptions!$B$30</f>
        <v/>
      </c>
      <c r="BD92">
        <f>Assumptions!$B$29</f>
        <v/>
      </c>
      <c r="BE92">
        <f>Assumptions!$B$28</f>
        <v/>
      </c>
      <c r="BF92">
        <f>P92*Assumptions!$B$141</f>
        <v/>
      </c>
      <c r="BG92">
        <f>P92*Assumptions!$B$128</f>
        <v/>
      </c>
      <c r="BH92">
        <f>P92*Assumptions!$B$129</f>
        <v/>
      </c>
      <c r="BI92">
        <f>P92*Assumptions!$B$14</f>
        <v/>
      </c>
      <c r="BJ92">
        <f>P92*Assumptions!$B$13</f>
        <v/>
      </c>
      <c r="BK92">
        <f>P92*Assumptions!$B$12</f>
        <v/>
      </c>
      <c r="BL92">
        <f>P92*Assumptions!$B$11</f>
        <v/>
      </c>
    </row>
    <row r="93">
      <c r="A93" t="inlineStr">
        <is>
          <t>700M</t>
        </is>
      </c>
      <c r="B93">
        <f>Assumptions!$B$58</f>
        <v/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>
        <f>(1-C93)*Assumptions!$B$41+(1-D93)*Assumptions!$B$33+(1-E93)*Assumptions!$B$32+(1-F93)*Assumptions!$B$31+(1-G93)*Assumptions!$B$30+(1-H93)*Assumptions!$B$29+(1-I93)*Assumptions!$B$28</f>
        <v/>
      </c>
      <c r="K93">
        <f>C93*Assumptions!$B$141+D93*Assumptions!$B$128+E93*Assumptions!$B$129+F93*Assumptions!$B$14+G93*Assumptions!$B$13+H93*Assumptions!$B$12+I93*Assumptions!$B$11+Assumptions!$B$133+Assumptions!$B$137+Assumptions!$B$9</f>
        <v/>
      </c>
      <c r="L93">
        <f>B93-J93</f>
        <v/>
      </c>
      <c r="M93">
        <f>IF(K93&gt;0,IF(L93/K93&gt;=Assumptions!$B$37,1,0),0)</f>
        <v/>
      </c>
      <c r="N93">
        <f>K93+M93*Assumptions!$B$153</f>
        <v/>
      </c>
      <c r="O93">
        <f>L93+M93*Assumptions!$B$153*Assumptions!$B$37</f>
        <v/>
      </c>
      <c r="P93">
        <f>IF(N93&gt;0,O93/N93,0)</f>
        <v/>
      </c>
      <c r="Q93">
        <f>IF(C93=1,P93*Assumptions!$B$141,Assumptions!$B$41)</f>
        <v/>
      </c>
      <c r="R93">
        <f>IF(D93=1,P93*Assumptions!$B$128,Assumptions!$B$33)</f>
        <v/>
      </c>
      <c r="S93">
        <f>IF(E93=1,P93*Assumptions!$B$129,Assumptions!$B$32)</f>
        <v/>
      </c>
      <c r="T93">
        <f>IF(F93=1,P93*Assumptions!$B$14,Assumptions!$B$31)</f>
        <v/>
      </c>
      <c r="U93">
        <f>IF(G93=1,P93*Assumptions!$B$13,Assumptions!$B$30)</f>
        <v/>
      </c>
      <c r="V93">
        <f>IF(H93=1,P93*Assumptions!$B$12,Assumptions!$B$29)</f>
        <v/>
      </c>
      <c r="W93">
        <f>IF(I93=1,P93*Assumptions!$B$11,Assumptions!$B$28)</f>
        <v/>
      </c>
      <c r="X93">
        <f>P93*(Assumptions!$B$133+Assumptions!$B$137)</f>
        <v/>
      </c>
      <c r="Y93">
        <f>P93*Assumptions!$B$9</f>
        <v/>
      </c>
      <c r="Z93">
        <f>IF(M93=1,(P93-Assumptions!$B$37)*Assumptions!$B$153,0)</f>
        <v/>
      </c>
      <c r="AA93">
        <f>Q93+R93+S93+T93+U93+V93+W93+X93+Y93+Z93</f>
        <v/>
      </c>
      <c r="AB93" t="n">
        <v>42</v>
      </c>
      <c r="AC93" t="n">
        <v>106</v>
      </c>
      <c r="AD93" t="n">
        <v>10</v>
      </c>
      <c r="AE93" t="n">
        <v>58</v>
      </c>
      <c r="AF93" t="n">
        <v>34</v>
      </c>
      <c r="AG93" t="n">
        <v>46</v>
      </c>
      <c r="AH93" t="n">
        <v>40</v>
      </c>
      <c r="AI93" t="n">
        <v>43</v>
      </c>
      <c r="AJ93">
        <f>INDEX($Q$51:$Q$178,AC93+1)</f>
        <v/>
      </c>
      <c r="AK93">
        <f>INDEX($R$51:$R$178,AD93+1)</f>
        <v/>
      </c>
      <c r="AL93">
        <f>INDEX($S$51:$S$178,AE93+1)</f>
        <v/>
      </c>
      <c r="AM93">
        <f>INDEX($T$51:$T$178,AF93+1)</f>
        <v/>
      </c>
      <c r="AN93">
        <f>INDEX($U$51:$U$178,AG93+1)</f>
        <v/>
      </c>
      <c r="AO93">
        <f>INDEX($V$51:$V$178,AH93+1)</f>
        <v/>
      </c>
      <c r="AP93">
        <f>INDEX($W$51:$W$178,AI93+1)</f>
        <v/>
      </c>
      <c r="AQ93">
        <f>IF(Q93&gt;=AJ93-0.01,1,0)</f>
        <v/>
      </c>
      <c r="AR93">
        <f>IF(R93&gt;=AK93-0.01,1,0)</f>
        <v/>
      </c>
      <c r="AS93">
        <f>IF(S93&gt;=AL93-0.01,1,0)</f>
        <v/>
      </c>
      <c r="AT93">
        <f>IF(T93&gt;=AM93-0.01,1,0)</f>
        <v/>
      </c>
      <c r="AU93">
        <f>IF(U93&gt;=AN93-0.01,1,0)</f>
        <v/>
      </c>
      <c r="AV93">
        <f>IF(V93&gt;=AO93-0.01,1,0)</f>
        <v/>
      </c>
      <c r="AW93">
        <f>IF(W93&gt;=AP93-0.01,1,0)</f>
        <v/>
      </c>
      <c r="AX93">
        <f>AQ93*AR93*AS93*AT93*AU93*AV93*AW93</f>
        <v/>
      </c>
      <c r="AY93">
        <f>Assumptions!$B$41</f>
        <v/>
      </c>
      <c r="AZ93">
        <f>Assumptions!$B$33</f>
        <v/>
      </c>
      <c r="BA93">
        <f>Assumptions!$B$32</f>
        <v/>
      </c>
      <c r="BB93">
        <f>Assumptions!$B$31</f>
        <v/>
      </c>
      <c r="BC93">
        <f>Assumptions!$B$30</f>
        <v/>
      </c>
      <c r="BD93">
        <f>Assumptions!$B$29</f>
        <v/>
      </c>
      <c r="BE93">
        <f>Assumptions!$B$28</f>
        <v/>
      </c>
      <c r="BF93">
        <f>P93*Assumptions!$B$141</f>
        <v/>
      </c>
      <c r="BG93">
        <f>P93*Assumptions!$B$128</f>
        <v/>
      </c>
      <c r="BH93">
        <f>P93*Assumptions!$B$129</f>
        <v/>
      </c>
      <c r="BI93">
        <f>P93*Assumptions!$B$14</f>
        <v/>
      </c>
      <c r="BJ93">
        <f>P93*Assumptions!$B$13</f>
        <v/>
      </c>
      <c r="BK93">
        <f>P93*Assumptions!$B$12</f>
        <v/>
      </c>
      <c r="BL93">
        <f>P93*Assumptions!$B$11</f>
        <v/>
      </c>
    </row>
    <row r="94">
      <c r="A94" t="inlineStr">
        <is>
          <t>700M</t>
        </is>
      </c>
      <c r="B94">
        <f>Assumptions!$B$58</f>
        <v/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1</v>
      </c>
      <c r="J94">
        <f>(1-C94)*Assumptions!$B$41+(1-D94)*Assumptions!$B$33+(1-E94)*Assumptions!$B$32+(1-F94)*Assumptions!$B$31+(1-G94)*Assumptions!$B$30+(1-H94)*Assumptions!$B$29+(1-I94)*Assumptions!$B$28</f>
        <v/>
      </c>
      <c r="K94">
        <f>C94*Assumptions!$B$141+D94*Assumptions!$B$128+E94*Assumptions!$B$129+F94*Assumptions!$B$14+G94*Assumptions!$B$13+H94*Assumptions!$B$12+I94*Assumptions!$B$11+Assumptions!$B$133+Assumptions!$B$137+Assumptions!$B$9</f>
        <v/>
      </c>
      <c r="L94">
        <f>B94-J94</f>
        <v/>
      </c>
      <c r="M94">
        <f>IF(K94&gt;0,IF(L94/K94&gt;=Assumptions!$B$37,1,0),0)</f>
        <v/>
      </c>
      <c r="N94">
        <f>K94+M94*Assumptions!$B$153</f>
        <v/>
      </c>
      <c r="O94">
        <f>L94+M94*Assumptions!$B$153*Assumptions!$B$37</f>
        <v/>
      </c>
      <c r="P94">
        <f>IF(N94&gt;0,O94/N94,0)</f>
        <v/>
      </c>
      <c r="Q94">
        <f>IF(C94=1,P94*Assumptions!$B$141,Assumptions!$B$41)</f>
        <v/>
      </c>
      <c r="R94">
        <f>IF(D94=1,P94*Assumptions!$B$128,Assumptions!$B$33)</f>
        <v/>
      </c>
      <c r="S94">
        <f>IF(E94=1,P94*Assumptions!$B$129,Assumptions!$B$32)</f>
        <v/>
      </c>
      <c r="T94">
        <f>IF(F94=1,P94*Assumptions!$B$14,Assumptions!$B$31)</f>
        <v/>
      </c>
      <c r="U94">
        <f>IF(G94=1,P94*Assumptions!$B$13,Assumptions!$B$30)</f>
        <v/>
      </c>
      <c r="V94">
        <f>IF(H94=1,P94*Assumptions!$B$12,Assumptions!$B$29)</f>
        <v/>
      </c>
      <c r="W94">
        <f>IF(I94=1,P94*Assumptions!$B$11,Assumptions!$B$28)</f>
        <v/>
      </c>
      <c r="X94">
        <f>P94*(Assumptions!$B$133+Assumptions!$B$137)</f>
        <v/>
      </c>
      <c r="Y94">
        <f>P94*Assumptions!$B$9</f>
        <v/>
      </c>
      <c r="Z94">
        <f>IF(M94=1,(P94-Assumptions!$B$37)*Assumptions!$B$153,0)</f>
        <v/>
      </c>
      <c r="AA94">
        <f>Q94+R94+S94+T94+U94+V94+W94+X94+Y94+Z94</f>
        <v/>
      </c>
      <c r="AB94" t="n">
        <v>43</v>
      </c>
      <c r="AC94" t="n">
        <v>107</v>
      </c>
      <c r="AD94" t="n">
        <v>11</v>
      </c>
      <c r="AE94" t="n">
        <v>59</v>
      </c>
      <c r="AF94" t="n">
        <v>35</v>
      </c>
      <c r="AG94" t="n">
        <v>47</v>
      </c>
      <c r="AH94" t="n">
        <v>41</v>
      </c>
      <c r="AI94" t="n">
        <v>42</v>
      </c>
      <c r="AJ94">
        <f>INDEX($Q$51:$Q$178,AC94+1)</f>
        <v/>
      </c>
      <c r="AK94">
        <f>INDEX($R$51:$R$178,AD94+1)</f>
        <v/>
      </c>
      <c r="AL94">
        <f>INDEX($S$51:$S$178,AE94+1)</f>
        <v/>
      </c>
      <c r="AM94">
        <f>INDEX($T$51:$T$178,AF94+1)</f>
        <v/>
      </c>
      <c r="AN94">
        <f>INDEX($U$51:$U$178,AG94+1)</f>
        <v/>
      </c>
      <c r="AO94">
        <f>INDEX($V$51:$V$178,AH94+1)</f>
        <v/>
      </c>
      <c r="AP94">
        <f>INDEX($W$51:$W$178,AI94+1)</f>
        <v/>
      </c>
      <c r="AQ94">
        <f>IF(Q94&gt;=AJ94-0.01,1,0)</f>
        <v/>
      </c>
      <c r="AR94">
        <f>IF(R94&gt;=AK94-0.01,1,0)</f>
        <v/>
      </c>
      <c r="AS94">
        <f>IF(S94&gt;=AL94-0.01,1,0)</f>
        <v/>
      </c>
      <c r="AT94">
        <f>IF(T94&gt;=AM94-0.01,1,0)</f>
        <v/>
      </c>
      <c r="AU94">
        <f>IF(U94&gt;=AN94-0.01,1,0)</f>
        <v/>
      </c>
      <c r="AV94">
        <f>IF(V94&gt;=AO94-0.01,1,0)</f>
        <v/>
      </c>
      <c r="AW94">
        <f>IF(W94&gt;=AP94-0.01,1,0)</f>
        <v/>
      </c>
      <c r="AX94">
        <f>AQ94*AR94*AS94*AT94*AU94*AV94*AW94</f>
        <v/>
      </c>
      <c r="AY94">
        <f>Assumptions!$B$41</f>
        <v/>
      </c>
      <c r="AZ94">
        <f>Assumptions!$B$33</f>
        <v/>
      </c>
      <c r="BA94">
        <f>Assumptions!$B$32</f>
        <v/>
      </c>
      <c r="BB94">
        <f>Assumptions!$B$31</f>
        <v/>
      </c>
      <c r="BC94">
        <f>Assumptions!$B$30</f>
        <v/>
      </c>
      <c r="BD94">
        <f>Assumptions!$B$29</f>
        <v/>
      </c>
      <c r="BE94">
        <f>Assumptions!$B$28</f>
        <v/>
      </c>
      <c r="BF94">
        <f>P94*Assumptions!$B$141</f>
        <v/>
      </c>
      <c r="BG94">
        <f>P94*Assumptions!$B$128</f>
        <v/>
      </c>
      <c r="BH94">
        <f>P94*Assumptions!$B$129</f>
        <v/>
      </c>
      <c r="BI94">
        <f>P94*Assumptions!$B$14</f>
        <v/>
      </c>
      <c r="BJ94">
        <f>P94*Assumptions!$B$13</f>
        <v/>
      </c>
      <c r="BK94">
        <f>P94*Assumptions!$B$12</f>
        <v/>
      </c>
      <c r="BL94">
        <f>P94*Assumptions!$B$11</f>
        <v/>
      </c>
    </row>
    <row r="95">
      <c r="A95" t="inlineStr">
        <is>
          <t>700M</t>
        </is>
      </c>
      <c r="B95">
        <f>Assumptions!$B$58</f>
        <v/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>
        <f>(1-C95)*Assumptions!$B$41+(1-D95)*Assumptions!$B$33+(1-E95)*Assumptions!$B$32+(1-F95)*Assumptions!$B$31+(1-G95)*Assumptions!$B$30+(1-H95)*Assumptions!$B$29+(1-I95)*Assumptions!$B$28</f>
        <v/>
      </c>
      <c r="K95">
        <f>C95*Assumptions!$B$141+D95*Assumptions!$B$128+E95*Assumptions!$B$129+F95*Assumptions!$B$14+G95*Assumptions!$B$13+H95*Assumptions!$B$12+I95*Assumptions!$B$11+Assumptions!$B$133+Assumptions!$B$137+Assumptions!$B$9</f>
        <v/>
      </c>
      <c r="L95">
        <f>B95-J95</f>
        <v/>
      </c>
      <c r="M95">
        <f>IF(K95&gt;0,IF(L95/K95&gt;=Assumptions!$B$37,1,0),0)</f>
        <v/>
      </c>
      <c r="N95">
        <f>K95+M95*Assumptions!$B$153</f>
        <v/>
      </c>
      <c r="O95">
        <f>L95+M95*Assumptions!$B$153*Assumptions!$B$37</f>
        <v/>
      </c>
      <c r="P95">
        <f>IF(N95&gt;0,O95/N95,0)</f>
        <v/>
      </c>
      <c r="Q95">
        <f>IF(C95=1,P95*Assumptions!$B$141,Assumptions!$B$41)</f>
        <v/>
      </c>
      <c r="R95">
        <f>IF(D95=1,P95*Assumptions!$B$128,Assumptions!$B$33)</f>
        <v/>
      </c>
      <c r="S95">
        <f>IF(E95=1,P95*Assumptions!$B$129,Assumptions!$B$32)</f>
        <v/>
      </c>
      <c r="T95">
        <f>IF(F95=1,P95*Assumptions!$B$14,Assumptions!$B$31)</f>
        <v/>
      </c>
      <c r="U95">
        <f>IF(G95=1,P95*Assumptions!$B$13,Assumptions!$B$30)</f>
        <v/>
      </c>
      <c r="V95">
        <f>IF(H95=1,P95*Assumptions!$B$12,Assumptions!$B$29)</f>
        <v/>
      </c>
      <c r="W95">
        <f>IF(I95=1,P95*Assumptions!$B$11,Assumptions!$B$28)</f>
        <v/>
      </c>
      <c r="X95">
        <f>P95*(Assumptions!$B$133+Assumptions!$B$137)</f>
        <v/>
      </c>
      <c r="Y95">
        <f>P95*Assumptions!$B$9</f>
        <v/>
      </c>
      <c r="Z95">
        <f>IF(M95=1,(P95-Assumptions!$B$37)*Assumptions!$B$153,0)</f>
        <v/>
      </c>
      <c r="AA95">
        <f>Q95+R95+S95+T95+U95+V95+W95+X95+Y95+Z95</f>
        <v/>
      </c>
      <c r="AB95" t="n">
        <v>44</v>
      </c>
      <c r="AC95" t="n">
        <v>108</v>
      </c>
      <c r="AD95" t="n">
        <v>12</v>
      </c>
      <c r="AE95" t="n">
        <v>60</v>
      </c>
      <c r="AF95" t="n">
        <v>36</v>
      </c>
      <c r="AG95" t="n">
        <v>40</v>
      </c>
      <c r="AH95" t="n">
        <v>46</v>
      </c>
      <c r="AI95" t="n">
        <v>45</v>
      </c>
      <c r="AJ95">
        <f>INDEX($Q$51:$Q$178,AC95+1)</f>
        <v/>
      </c>
      <c r="AK95">
        <f>INDEX($R$51:$R$178,AD95+1)</f>
        <v/>
      </c>
      <c r="AL95">
        <f>INDEX($S$51:$S$178,AE95+1)</f>
        <v/>
      </c>
      <c r="AM95">
        <f>INDEX($T$51:$T$178,AF95+1)</f>
        <v/>
      </c>
      <c r="AN95">
        <f>INDEX($U$51:$U$178,AG95+1)</f>
        <v/>
      </c>
      <c r="AO95">
        <f>INDEX($V$51:$V$178,AH95+1)</f>
        <v/>
      </c>
      <c r="AP95">
        <f>INDEX($W$51:$W$178,AI95+1)</f>
        <v/>
      </c>
      <c r="AQ95">
        <f>IF(Q95&gt;=AJ95-0.01,1,0)</f>
        <v/>
      </c>
      <c r="AR95">
        <f>IF(R95&gt;=AK95-0.01,1,0)</f>
        <v/>
      </c>
      <c r="AS95">
        <f>IF(S95&gt;=AL95-0.01,1,0)</f>
        <v/>
      </c>
      <c r="AT95">
        <f>IF(T95&gt;=AM95-0.01,1,0)</f>
        <v/>
      </c>
      <c r="AU95">
        <f>IF(U95&gt;=AN95-0.01,1,0)</f>
        <v/>
      </c>
      <c r="AV95">
        <f>IF(V95&gt;=AO95-0.01,1,0)</f>
        <v/>
      </c>
      <c r="AW95">
        <f>IF(W95&gt;=AP95-0.01,1,0)</f>
        <v/>
      </c>
      <c r="AX95">
        <f>AQ95*AR95*AS95*AT95*AU95*AV95*AW95</f>
        <v/>
      </c>
      <c r="AY95">
        <f>Assumptions!$B$41</f>
        <v/>
      </c>
      <c r="AZ95">
        <f>Assumptions!$B$33</f>
        <v/>
      </c>
      <c r="BA95">
        <f>Assumptions!$B$32</f>
        <v/>
      </c>
      <c r="BB95">
        <f>Assumptions!$B$31</f>
        <v/>
      </c>
      <c r="BC95">
        <f>Assumptions!$B$30</f>
        <v/>
      </c>
      <c r="BD95">
        <f>Assumptions!$B$29</f>
        <v/>
      </c>
      <c r="BE95">
        <f>Assumptions!$B$28</f>
        <v/>
      </c>
      <c r="BF95">
        <f>P95*Assumptions!$B$141</f>
        <v/>
      </c>
      <c r="BG95">
        <f>P95*Assumptions!$B$128</f>
        <v/>
      </c>
      <c r="BH95">
        <f>P95*Assumptions!$B$129</f>
        <v/>
      </c>
      <c r="BI95">
        <f>P95*Assumptions!$B$14</f>
        <v/>
      </c>
      <c r="BJ95">
        <f>P95*Assumptions!$B$13</f>
        <v/>
      </c>
      <c r="BK95">
        <f>P95*Assumptions!$B$12</f>
        <v/>
      </c>
      <c r="BL95">
        <f>P95*Assumptions!$B$11</f>
        <v/>
      </c>
    </row>
    <row r="96">
      <c r="A96" t="inlineStr">
        <is>
          <t>700M</t>
        </is>
      </c>
      <c r="B96">
        <f>Assumptions!$B$58</f>
        <v/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1</v>
      </c>
      <c r="J96">
        <f>(1-C96)*Assumptions!$B$41+(1-D96)*Assumptions!$B$33+(1-E96)*Assumptions!$B$32+(1-F96)*Assumptions!$B$31+(1-G96)*Assumptions!$B$30+(1-H96)*Assumptions!$B$29+(1-I96)*Assumptions!$B$28</f>
        <v/>
      </c>
      <c r="K96">
        <f>C96*Assumptions!$B$141+D96*Assumptions!$B$128+E96*Assumptions!$B$129+F96*Assumptions!$B$14+G96*Assumptions!$B$13+H96*Assumptions!$B$12+I96*Assumptions!$B$11+Assumptions!$B$133+Assumptions!$B$137+Assumptions!$B$9</f>
        <v/>
      </c>
      <c r="L96">
        <f>B96-J96</f>
        <v/>
      </c>
      <c r="M96">
        <f>IF(K96&gt;0,IF(L96/K96&gt;=Assumptions!$B$37,1,0),0)</f>
        <v/>
      </c>
      <c r="N96">
        <f>K96+M96*Assumptions!$B$153</f>
        <v/>
      </c>
      <c r="O96">
        <f>L96+M96*Assumptions!$B$153*Assumptions!$B$37</f>
        <v/>
      </c>
      <c r="P96">
        <f>IF(N96&gt;0,O96/N96,0)</f>
        <v/>
      </c>
      <c r="Q96">
        <f>IF(C96=1,P96*Assumptions!$B$141,Assumptions!$B$41)</f>
        <v/>
      </c>
      <c r="R96">
        <f>IF(D96=1,P96*Assumptions!$B$128,Assumptions!$B$33)</f>
        <v/>
      </c>
      <c r="S96">
        <f>IF(E96=1,P96*Assumptions!$B$129,Assumptions!$B$32)</f>
        <v/>
      </c>
      <c r="T96">
        <f>IF(F96=1,P96*Assumptions!$B$14,Assumptions!$B$31)</f>
        <v/>
      </c>
      <c r="U96">
        <f>IF(G96=1,P96*Assumptions!$B$13,Assumptions!$B$30)</f>
        <v/>
      </c>
      <c r="V96">
        <f>IF(H96=1,P96*Assumptions!$B$12,Assumptions!$B$29)</f>
        <v/>
      </c>
      <c r="W96">
        <f>IF(I96=1,P96*Assumptions!$B$11,Assumptions!$B$28)</f>
        <v/>
      </c>
      <c r="X96">
        <f>P96*(Assumptions!$B$133+Assumptions!$B$137)</f>
        <v/>
      </c>
      <c r="Y96">
        <f>P96*Assumptions!$B$9</f>
        <v/>
      </c>
      <c r="Z96">
        <f>IF(M96=1,(P96-Assumptions!$B$37)*Assumptions!$B$153,0)</f>
        <v/>
      </c>
      <c r="AA96">
        <f>Q96+R96+S96+T96+U96+V96+W96+X96+Y96+Z96</f>
        <v/>
      </c>
      <c r="AB96" t="n">
        <v>45</v>
      </c>
      <c r="AC96" t="n">
        <v>109</v>
      </c>
      <c r="AD96" t="n">
        <v>13</v>
      </c>
      <c r="AE96" t="n">
        <v>61</v>
      </c>
      <c r="AF96" t="n">
        <v>37</v>
      </c>
      <c r="AG96" t="n">
        <v>41</v>
      </c>
      <c r="AH96" t="n">
        <v>47</v>
      </c>
      <c r="AI96" t="n">
        <v>44</v>
      </c>
      <c r="AJ96">
        <f>INDEX($Q$51:$Q$178,AC96+1)</f>
        <v/>
      </c>
      <c r="AK96">
        <f>INDEX($R$51:$R$178,AD96+1)</f>
        <v/>
      </c>
      <c r="AL96">
        <f>INDEX($S$51:$S$178,AE96+1)</f>
        <v/>
      </c>
      <c r="AM96">
        <f>INDEX($T$51:$T$178,AF96+1)</f>
        <v/>
      </c>
      <c r="AN96">
        <f>INDEX($U$51:$U$178,AG96+1)</f>
        <v/>
      </c>
      <c r="AO96">
        <f>INDEX($V$51:$V$178,AH96+1)</f>
        <v/>
      </c>
      <c r="AP96">
        <f>INDEX($W$51:$W$178,AI96+1)</f>
        <v/>
      </c>
      <c r="AQ96">
        <f>IF(Q96&gt;=AJ96-0.01,1,0)</f>
        <v/>
      </c>
      <c r="AR96">
        <f>IF(R96&gt;=AK96-0.01,1,0)</f>
        <v/>
      </c>
      <c r="AS96">
        <f>IF(S96&gt;=AL96-0.01,1,0)</f>
        <v/>
      </c>
      <c r="AT96">
        <f>IF(T96&gt;=AM96-0.01,1,0)</f>
        <v/>
      </c>
      <c r="AU96">
        <f>IF(U96&gt;=AN96-0.01,1,0)</f>
        <v/>
      </c>
      <c r="AV96">
        <f>IF(V96&gt;=AO96-0.01,1,0)</f>
        <v/>
      </c>
      <c r="AW96">
        <f>IF(W96&gt;=AP96-0.01,1,0)</f>
        <v/>
      </c>
      <c r="AX96">
        <f>AQ96*AR96*AS96*AT96*AU96*AV96*AW96</f>
        <v/>
      </c>
      <c r="AY96">
        <f>Assumptions!$B$41</f>
        <v/>
      </c>
      <c r="AZ96">
        <f>Assumptions!$B$33</f>
        <v/>
      </c>
      <c r="BA96">
        <f>Assumptions!$B$32</f>
        <v/>
      </c>
      <c r="BB96">
        <f>Assumptions!$B$31</f>
        <v/>
      </c>
      <c r="BC96">
        <f>Assumptions!$B$30</f>
        <v/>
      </c>
      <c r="BD96">
        <f>Assumptions!$B$29</f>
        <v/>
      </c>
      <c r="BE96">
        <f>Assumptions!$B$28</f>
        <v/>
      </c>
      <c r="BF96">
        <f>P96*Assumptions!$B$141</f>
        <v/>
      </c>
      <c r="BG96">
        <f>P96*Assumptions!$B$128</f>
        <v/>
      </c>
      <c r="BH96">
        <f>P96*Assumptions!$B$129</f>
        <v/>
      </c>
      <c r="BI96">
        <f>P96*Assumptions!$B$14</f>
        <v/>
      </c>
      <c r="BJ96">
        <f>P96*Assumptions!$B$13</f>
        <v/>
      </c>
      <c r="BK96">
        <f>P96*Assumptions!$B$12</f>
        <v/>
      </c>
      <c r="BL96">
        <f>P96*Assumptions!$B$11</f>
        <v/>
      </c>
    </row>
    <row r="97">
      <c r="A97" t="inlineStr">
        <is>
          <t>700M</t>
        </is>
      </c>
      <c r="B97">
        <f>Assumptions!$B$58</f>
        <v/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>
        <f>(1-C97)*Assumptions!$B$41+(1-D97)*Assumptions!$B$33+(1-E97)*Assumptions!$B$32+(1-F97)*Assumptions!$B$31+(1-G97)*Assumptions!$B$30+(1-H97)*Assumptions!$B$29+(1-I97)*Assumptions!$B$28</f>
        <v/>
      </c>
      <c r="K97">
        <f>C97*Assumptions!$B$141+D97*Assumptions!$B$128+E97*Assumptions!$B$129+F97*Assumptions!$B$14+G97*Assumptions!$B$13+H97*Assumptions!$B$12+I97*Assumptions!$B$11+Assumptions!$B$133+Assumptions!$B$137+Assumptions!$B$9</f>
        <v/>
      </c>
      <c r="L97">
        <f>B97-J97</f>
        <v/>
      </c>
      <c r="M97">
        <f>IF(K97&gt;0,IF(L97/K97&gt;=Assumptions!$B$37,1,0),0)</f>
        <v/>
      </c>
      <c r="N97">
        <f>K97+M97*Assumptions!$B$153</f>
        <v/>
      </c>
      <c r="O97">
        <f>L97+M97*Assumptions!$B$153*Assumptions!$B$37</f>
        <v/>
      </c>
      <c r="P97">
        <f>IF(N97&gt;0,O97/N97,0)</f>
        <v/>
      </c>
      <c r="Q97">
        <f>IF(C97=1,P97*Assumptions!$B$141,Assumptions!$B$41)</f>
        <v/>
      </c>
      <c r="R97">
        <f>IF(D97=1,P97*Assumptions!$B$128,Assumptions!$B$33)</f>
        <v/>
      </c>
      <c r="S97">
        <f>IF(E97=1,P97*Assumptions!$B$129,Assumptions!$B$32)</f>
        <v/>
      </c>
      <c r="T97">
        <f>IF(F97=1,P97*Assumptions!$B$14,Assumptions!$B$31)</f>
        <v/>
      </c>
      <c r="U97">
        <f>IF(G97=1,P97*Assumptions!$B$13,Assumptions!$B$30)</f>
        <v/>
      </c>
      <c r="V97">
        <f>IF(H97=1,P97*Assumptions!$B$12,Assumptions!$B$29)</f>
        <v/>
      </c>
      <c r="W97">
        <f>IF(I97=1,P97*Assumptions!$B$11,Assumptions!$B$28)</f>
        <v/>
      </c>
      <c r="X97">
        <f>P97*(Assumptions!$B$133+Assumptions!$B$137)</f>
        <v/>
      </c>
      <c r="Y97">
        <f>P97*Assumptions!$B$9</f>
        <v/>
      </c>
      <c r="Z97">
        <f>IF(M97=1,(P97-Assumptions!$B$37)*Assumptions!$B$153,0)</f>
        <v/>
      </c>
      <c r="AA97">
        <f>Q97+R97+S97+T97+U97+V97+W97+X97+Y97+Z97</f>
        <v/>
      </c>
      <c r="AB97" t="n">
        <v>46</v>
      </c>
      <c r="AC97" t="n">
        <v>110</v>
      </c>
      <c r="AD97" t="n">
        <v>14</v>
      </c>
      <c r="AE97" t="n">
        <v>62</v>
      </c>
      <c r="AF97" t="n">
        <v>38</v>
      </c>
      <c r="AG97" t="n">
        <v>42</v>
      </c>
      <c r="AH97" t="n">
        <v>44</v>
      </c>
      <c r="AI97" t="n">
        <v>47</v>
      </c>
      <c r="AJ97">
        <f>INDEX($Q$51:$Q$178,AC97+1)</f>
        <v/>
      </c>
      <c r="AK97">
        <f>INDEX($R$51:$R$178,AD97+1)</f>
        <v/>
      </c>
      <c r="AL97">
        <f>INDEX($S$51:$S$178,AE97+1)</f>
        <v/>
      </c>
      <c r="AM97">
        <f>INDEX($T$51:$T$178,AF97+1)</f>
        <v/>
      </c>
      <c r="AN97">
        <f>INDEX($U$51:$U$178,AG97+1)</f>
        <v/>
      </c>
      <c r="AO97">
        <f>INDEX($V$51:$V$178,AH97+1)</f>
        <v/>
      </c>
      <c r="AP97">
        <f>INDEX($W$51:$W$178,AI97+1)</f>
        <v/>
      </c>
      <c r="AQ97">
        <f>IF(Q97&gt;=AJ97-0.01,1,0)</f>
        <v/>
      </c>
      <c r="AR97">
        <f>IF(R97&gt;=AK97-0.01,1,0)</f>
        <v/>
      </c>
      <c r="AS97">
        <f>IF(S97&gt;=AL97-0.01,1,0)</f>
        <v/>
      </c>
      <c r="AT97">
        <f>IF(T97&gt;=AM97-0.01,1,0)</f>
        <v/>
      </c>
      <c r="AU97">
        <f>IF(U97&gt;=AN97-0.01,1,0)</f>
        <v/>
      </c>
      <c r="AV97">
        <f>IF(V97&gt;=AO97-0.01,1,0)</f>
        <v/>
      </c>
      <c r="AW97">
        <f>IF(W97&gt;=AP97-0.01,1,0)</f>
        <v/>
      </c>
      <c r="AX97">
        <f>AQ97*AR97*AS97*AT97*AU97*AV97*AW97</f>
        <v/>
      </c>
      <c r="AY97">
        <f>Assumptions!$B$41</f>
        <v/>
      </c>
      <c r="AZ97">
        <f>Assumptions!$B$33</f>
        <v/>
      </c>
      <c r="BA97">
        <f>Assumptions!$B$32</f>
        <v/>
      </c>
      <c r="BB97">
        <f>Assumptions!$B$31</f>
        <v/>
      </c>
      <c r="BC97">
        <f>Assumptions!$B$30</f>
        <v/>
      </c>
      <c r="BD97">
        <f>Assumptions!$B$29</f>
        <v/>
      </c>
      <c r="BE97">
        <f>Assumptions!$B$28</f>
        <v/>
      </c>
      <c r="BF97">
        <f>P97*Assumptions!$B$141</f>
        <v/>
      </c>
      <c r="BG97">
        <f>P97*Assumptions!$B$128</f>
        <v/>
      </c>
      <c r="BH97">
        <f>P97*Assumptions!$B$129</f>
        <v/>
      </c>
      <c r="BI97">
        <f>P97*Assumptions!$B$14</f>
        <v/>
      </c>
      <c r="BJ97">
        <f>P97*Assumptions!$B$13</f>
        <v/>
      </c>
      <c r="BK97">
        <f>P97*Assumptions!$B$12</f>
        <v/>
      </c>
      <c r="BL97">
        <f>P97*Assumptions!$B$11</f>
        <v/>
      </c>
    </row>
    <row r="98">
      <c r="A98" t="inlineStr">
        <is>
          <t>700M</t>
        </is>
      </c>
      <c r="B98">
        <f>Assumptions!$B$58</f>
        <v/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>
        <f>(1-C98)*Assumptions!$B$41+(1-D98)*Assumptions!$B$33+(1-E98)*Assumptions!$B$32+(1-F98)*Assumptions!$B$31+(1-G98)*Assumptions!$B$30+(1-H98)*Assumptions!$B$29+(1-I98)*Assumptions!$B$28</f>
        <v/>
      </c>
      <c r="K98">
        <f>C98*Assumptions!$B$141+D98*Assumptions!$B$128+E98*Assumptions!$B$129+F98*Assumptions!$B$14+G98*Assumptions!$B$13+H98*Assumptions!$B$12+I98*Assumptions!$B$11+Assumptions!$B$133+Assumptions!$B$137+Assumptions!$B$9</f>
        <v/>
      </c>
      <c r="L98">
        <f>B98-J98</f>
        <v/>
      </c>
      <c r="M98">
        <f>IF(K98&gt;0,IF(L98/K98&gt;=Assumptions!$B$37,1,0),0)</f>
        <v/>
      </c>
      <c r="N98">
        <f>K98+M98*Assumptions!$B$153</f>
        <v/>
      </c>
      <c r="O98">
        <f>L98+M98*Assumptions!$B$153*Assumptions!$B$37</f>
        <v/>
      </c>
      <c r="P98">
        <f>IF(N98&gt;0,O98/N98,0)</f>
        <v/>
      </c>
      <c r="Q98">
        <f>IF(C98=1,P98*Assumptions!$B$141,Assumptions!$B$41)</f>
        <v/>
      </c>
      <c r="R98">
        <f>IF(D98=1,P98*Assumptions!$B$128,Assumptions!$B$33)</f>
        <v/>
      </c>
      <c r="S98">
        <f>IF(E98=1,P98*Assumptions!$B$129,Assumptions!$B$32)</f>
        <v/>
      </c>
      <c r="T98">
        <f>IF(F98=1,P98*Assumptions!$B$14,Assumptions!$B$31)</f>
        <v/>
      </c>
      <c r="U98">
        <f>IF(G98=1,P98*Assumptions!$B$13,Assumptions!$B$30)</f>
        <v/>
      </c>
      <c r="V98">
        <f>IF(H98=1,P98*Assumptions!$B$12,Assumptions!$B$29)</f>
        <v/>
      </c>
      <c r="W98">
        <f>IF(I98=1,P98*Assumptions!$B$11,Assumptions!$B$28)</f>
        <v/>
      </c>
      <c r="X98">
        <f>P98*(Assumptions!$B$133+Assumptions!$B$137)</f>
        <v/>
      </c>
      <c r="Y98">
        <f>P98*Assumptions!$B$9</f>
        <v/>
      </c>
      <c r="Z98">
        <f>IF(M98=1,(P98-Assumptions!$B$37)*Assumptions!$B$153,0)</f>
        <v/>
      </c>
      <c r="AA98">
        <f>Q98+R98+S98+T98+U98+V98+W98+X98+Y98+Z98</f>
        <v/>
      </c>
      <c r="AB98" t="n">
        <v>47</v>
      </c>
      <c r="AC98" t="n">
        <v>111</v>
      </c>
      <c r="AD98" t="n">
        <v>15</v>
      </c>
      <c r="AE98" t="n">
        <v>63</v>
      </c>
      <c r="AF98" t="n">
        <v>39</v>
      </c>
      <c r="AG98" t="n">
        <v>43</v>
      </c>
      <c r="AH98" t="n">
        <v>45</v>
      </c>
      <c r="AI98" t="n">
        <v>46</v>
      </c>
      <c r="AJ98">
        <f>INDEX($Q$51:$Q$178,AC98+1)</f>
        <v/>
      </c>
      <c r="AK98">
        <f>INDEX($R$51:$R$178,AD98+1)</f>
        <v/>
      </c>
      <c r="AL98">
        <f>INDEX($S$51:$S$178,AE98+1)</f>
        <v/>
      </c>
      <c r="AM98">
        <f>INDEX($T$51:$T$178,AF98+1)</f>
        <v/>
      </c>
      <c r="AN98">
        <f>INDEX($U$51:$U$178,AG98+1)</f>
        <v/>
      </c>
      <c r="AO98">
        <f>INDEX($V$51:$V$178,AH98+1)</f>
        <v/>
      </c>
      <c r="AP98">
        <f>INDEX($W$51:$W$178,AI98+1)</f>
        <v/>
      </c>
      <c r="AQ98">
        <f>IF(Q98&gt;=AJ98-0.01,1,0)</f>
        <v/>
      </c>
      <c r="AR98">
        <f>IF(R98&gt;=AK98-0.01,1,0)</f>
        <v/>
      </c>
      <c r="AS98">
        <f>IF(S98&gt;=AL98-0.01,1,0)</f>
        <v/>
      </c>
      <c r="AT98">
        <f>IF(T98&gt;=AM98-0.01,1,0)</f>
        <v/>
      </c>
      <c r="AU98">
        <f>IF(U98&gt;=AN98-0.01,1,0)</f>
        <v/>
      </c>
      <c r="AV98">
        <f>IF(V98&gt;=AO98-0.01,1,0)</f>
        <v/>
      </c>
      <c r="AW98">
        <f>IF(W98&gt;=AP98-0.01,1,0)</f>
        <v/>
      </c>
      <c r="AX98">
        <f>AQ98*AR98*AS98*AT98*AU98*AV98*AW98</f>
        <v/>
      </c>
      <c r="AY98">
        <f>Assumptions!$B$41</f>
        <v/>
      </c>
      <c r="AZ98">
        <f>Assumptions!$B$33</f>
        <v/>
      </c>
      <c r="BA98">
        <f>Assumptions!$B$32</f>
        <v/>
      </c>
      <c r="BB98">
        <f>Assumptions!$B$31</f>
        <v/>
      </c>
      <c r="BC98">
        <f>Assumptions!$B$30</f>
        <v/>
      </c>
      <c r="BD98">
        <f>Assumptions!$B$29</f>
        <v/>
      </c>
      <c r="BE98">
        <f>Assumptions!$B$28</f>
        <v/>
      </c>
      <c r="BF98">
        <f>P98*Assumptions!$B$141</f>
        <v/>
      </c>
      <c r="BG98">
        <f>P98*Assumptions!$B$128</f>
        <v/>
      </c>
      <c r="BH98">
        <f>P98*Assumptions!$B$129</f>
        <v/>
      </c>
      <c r="BI98">
        <f>P98*Assumptions!$B$14</f>
        <v/>
      </c>
      <c r="BJ98">
        <f>P98*Assumptions!$B$13</f>
        <v/>
      </c>
      <c r="BK98">
        <f>P98*Assumptions!$B$12</f>
        <v/>
      </c>
      <c r="BL98">
        <f>P98*Assumptions!$B$11</f>
        <v/>
      </c>
    </row>
    <row r="99">
      <c r="A99" t="inlineStr">
        <is>
          <t>700M</t>
        </is>
      </c>
      <c r="B99">
        <f>Assumptions!$B$58</f>
        <v/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>
        <f>(1-C99)*Assumptions!$B$41+(1-D99)*Assumptions!$B$33+(1-E99)*Assumptions!$B$32+(1-F99)*Assumptions!$B$31+(1-G99)*Assumptions!$B$30+(1-H99)*Assumptions!$B$29+(1-I99)*Assumptions!$B$28</f>
        <v/>
      </c>
      <c r="K99">
        <f>C99*Assumptions!$B$141+D99*Assumptions!$B$128+E99*Assumptions!$B$129+F99*Assumptions!$B$14+G99*Assumptions!$B$13+H99*Assumptions!$B$12+I99*Assumptions!$B$11+Assumptions!$B$133+Assumptions!$B$137+Assumptions!$B$9</f>
        <v/>
      </c>
      <c r="L99">
        <f>B99-J99</f>
        <v/>
      </c>
      <c r="M99">
        <f>IF(K99&gt;0,IF(L99/K99&gt;=Assumptions!$B$37,1,0),0)</f>
        <v/>
      </c>
      <c r="N99">
        <f>K99+M99*Assumptions!$B$153</f>
        <v/>
      </c>
      <c r="O99">
        <f>L99+M99*Assumptions!$B$153*Assumptions!$B$37</f>
        <v/>
      </c>
      <c r="P99">
        <f>IF(N99&gt;0,O99/N99,0)</f>
        <v/>
      </c>
      <c r="Q99">
        <f>IF(C99=1,P99*Assumptions!$B$141,Assumptions!$B$41)</f>
        <v/>
      </c>
      <c r="R99">
        <f>IF(D99=1,P99*Assumptions!$B$128,Assumptions!$B$33)</f>
        <v/>
      </c>
      <c r="S99">
        <f>IF(E99=1,P99*Assumptions!$B$129,Assumptions!$B$32)</f>
        <v/>
      </c>
      <c r="T99">
        <f>IF(F99=1,P99*Assumptions!$B$14,Assumptions!$B$31)</f>
        <v/>
      </c>
      <c r="U99">
        <f>IF(G99=1,P99*Assumptions!$B$13,Assumptions!$B$30)</f>
        <v/>
      </c>
      <c r="V99">
        <f>IF(H99=1,P99*Assumptions!$B$12,Assumptions!$B$29)</f>
        <v/>
      </c>
      <c r="W99">
        <f>IF(I99=1,P99*Assumptions!$B$11,Assumptions!$B$28)</f>
        <v/>
      </c>
      <c r="X99">
        <f>P99*(Assumptions!$B$133+Assumptions!$B$137)</f>
        <v/>
      </c>
      <c r="Y99">
        <f>P99*Assumptions!$B$9</f>
        <v/>
      </c>
      <c r="Z99">
        <f>IF(M99=1,(P99-Assumptions!$B$37)*Assumptions!$B$153,0)</f>
        <v/>
      </c>
      <c r="AA99">
        <f>Q99+R99+S99+T99+U99+V99+W99+X99+Y99+Z99</f>
        <v/>
      </c>
      <c r="AB99" t="n">
        <v>48</v>
      </c>
      <c r="AC99" t="n">
        <v>112</v>
      </c>
      <c r="AD99" t="n">
        <v>16</v>
      </c>
      <c r="AE99" t="n">
        <v>32</v>
      </c>
      <c r="AF99" t="n">
        <v>56</v>
      </c>
      <c r="AG99" t="n">
        <v>52</v>
      </c>
      <c r="AH99" t="n">
        <v>50</v>
      </c>
      <c r="AI99" t="n">
        <v>49</v>
      </c>
      <c r="AJ99">
        <f>INDEX($Q$51:$Q$178,AC99+1)</f>
        <v/>
      </c>
      <c r="AK99">
        <f>INDEX($R$51:$R$178,AD99+1)</f>
        <v/>
      </c>
      <c r="AL99">
        <f>INDEX($S$51:$S$178,AE99+1)</f>
        <v/>
      </c>
      <c r="AM99">
        <f>INDEX($T$51:$T$178,AF99+1)</f>
        <v/>
      </c>
      <c r="AN99">
        <f>INDEX($U$51:$U$178,AG99+1)</f>
        <v/>
      </c>
      <c r="AO99">
        <f>INDEX($V$51:$V$178,AH99+1)</f>
        <v/>
      </c>
      <c r="AP99">
        <f>INDEX($W$51:$W$178,AI99+1)</f>
        <v/>
      </c>
      <c r="AQ99">
        <f>IF(Q99&gt;=AJ99-0.01,1,0)</f>
        <v/>
      </c>
      <c r="AR99">
        <f>IF(R99&gt;=AK99-0.01,1,0)</f>
        <v/>
      </c>
      <c r="AS99">
        <f>IF(S99&gt;=AL99-0.01,1,0)</f>
        <v/>
      </c>
      <c r="AT99">
        <f>IF(T99&gt;=AM99-0.01,1,0)</f>
        <v/>
      </c>
      <c r="AU99">
        <f>IF(U99&gt;=AN99-0.01,1,0)</f>
        <v/>
      </c>
      <c r="AV99">
        <f>IF(V99&gt;=AO99-0.01,1,0)</f>
        <v/>
      </c>
      <c r="AW99">
        <f>IF(W99&gt;=AP99-0.01,1,0)</f>
        <v/>
      </c>
      <c r="AX99">
        <f>AQ99*AR99*AS99*AT99*AU99*AV99*AW99</f>
        <v/>
      </c>
      <c r="AY99">
        <f>Assumptions!$B$41</f>
        <v/>
      </c>
      <c r="AZ99">
        <f>Assumptions!$B$33</f>
        <v/>
      </c>
      <c r="BA99">
        <f>Assumptions!$B$32</f>
        <v/>
      </c>
      <c r="BB99">
        <f>Assumptions!$B$31</f>
        <v/>
      </c>
      <c r="BC99">
        <f>Assumptions!$B$30</f>
        <v/>
      </c>
      <c r="BD99">
        <f>Assumptions!$B$29</f>
        <v/>
      </c>
      <c r="BE99">
        <f>Assumptions!$B$28</f>
        <v/>
      </c>
      <c r="BF99">
        <f>P99*Assumptions!$B$141</f>
        <v/>
      </c>
      <c r="BG99">
        <f>P99*Assumptions!$B$128</f>
        <v/>
      </c>
      <c r="BH99">
        <f>P99*Assumptions!$B$129</f>
        <v/>
      </c>
      <c r="BI99">
        <f>P99*Assumptions!$B$14</f>
        <v/>
      </c>
      <c r="BJ99">
        <f>P99*Assumptions!$B$13</f>
        <v/>
      </c>
      <c r="BK99">
        <f>P99*Assumptions!$B$12</f>
        <v/>
      </c>
      <c r="BL99">
        <f>P99*Assumptions!$B$11</f>
        <v/>
      </c>
    </row>
    <row r="100">
      <c r="A100" t="inlineStr">
        <is>
          <t>700M</t>
        </is>
      </c>
      <c r="B100">
        <f>Assumptions!$B$58</f>
        <v/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>
        <f>(1-C100)*Assumptions!$B$41+(1-D100)*Assumptions!$B$33+(1-E100)*Assumptions!$B$32+(1-F100)*Assumptions!$B$31+(1-G100)*Assumptions!$B$30+(1-H100)*Assumptions!$B$29+(1-I100)*Assumptions!$B$28</f>
        <v/>
      </c>
      <c r="K100">
        <f>C100*Assumptions!$B$141+D100*Assumptions!$B$128+E100*Assumptions!$B$129+F100*Assumptions!$B$14+G100*Assumptions!$B$13+H100*Assumptions!$B$12+I100*Assumptions!$B$11+Assumptions!$B$133+Assumptions!$B$137+Assumptions!$B$9</f>
        <v/>
      </c>
      <c r="L100">
        <f>B100-J100</f>
        <v/>
      </c>
      <c r="M100">
        <f>IF(K100&gt;0,IF(L100/K100&gt;=Assumptions!$B$37,1,0),0)</f>
        <v/>
      </c>
      <c r="N100">
        <f>K100+M100*Assumptions!$B$153</f>
        <v/>
      </c>
      <c r="O100">
        <f>L100+M100*Assumptions!$B$153*Assumptions!$B$37</f>
        <v/>
      </c>
      <c r="P100">
        <f>IF(N100&gt;0,O100/N100,0)</f>
        <v/>
      </c>
      <c r="Q100">
        <f>IF(C100=1,P100*Assumptions!$B$141,Assumptions!$B$41)</f>
        <v/>
      </c>
      <c r="R100">
        <f>IF(D100=1,P100*Assumptions!$B$128,Assumptions!$B$33)</f>
        <v/>
      </c>
      <c r="S100">
        <f>IF(E100=1,P100*Assumptions!$B$129,Assumptions!$B$32)</f>
        <v/>
      </c>
      <c r="T100">
        <f>IF(F100=1,P100*Assumptions!$B$14,Assumptions!$B$31)</f>
        <v/>
      </c>
      <c r="U100">
        <f>IF(G100=1,P100*Assumptions!$B$13,Assumptions!$B$30)</f>
        <v/>
      </c>
      <c r="V100">
        <f>IF(H100=1,P100*Assumptions!$B$12,Assumptions!$B$29)</f>
        <v/>
      </c>
      <c r="W100">
        <f>IF(I100=1,P100*Assumptions!$B$11,Assumptions!$B$28)</f>
        <v/>
      </c>
      <c r="X100">
        <f>P100*(Assumptions!$B$133+Assumptions!$B$137)</f>
        <v/>
      </c>
      <c r="Y100">
        <f>P100*Assumptions!$B$9</f>
        <v/>
      </c>
      <c r="Z100">
        <f>IF(M100=1,(P100-Assumptions!$B$37)*Assumptions!$B$153,0)</f>
        <v/>
      </c>
      <c r="AA100">
        <f>Q100+R100+S100+T100+U100+V100+W100+X100+Y100+Z100</f>
        <v/>
      </c>
      <c r="AB100" t="n">
        <v>49</v>
      </c>
      <c r="AC100" t="n">
        <v>113</v>
      </c>
      <c r="AD100" t="n">
        <v>17</v>
      </c>
      <c r="AE100" t="n">
        <v>33</v>
      </c>
      <c r="AF100" t="n">
        <v>57</v>
      </c>
      <c r="AG100" t="n">
        <v>53</v>
      </c>
      <c r="AH100" t="n">
        <v>51</v>
      </c>
      <c r="AI100" t="n">
        <v>48</v>
      </c>
      <c r="AJ100">
        <f>INDEX($Q$51:$Q$178,AC100+1)</f>
        <v/>
      </c>
      <c r="AK100">
        <f>INDEX($R$51:$R$178,AD100+1)</f>
        <v/>
      </c>
      <c r="AL100">
        <f>INDEX($S$51:$S$178,AE100+1)</f>
        <v/>
      </c>
      <c r="AM100">
        <f>INDEX($T$51:$T$178,AF100+1)</f>
        <v/>
      </c>
      <c r="AN100">
        <f>INDEX($U$51:$U$178,AG100+1)</f>
        <v/>
      </c>
      <c r="AO100">
        <f>INDEX($V$51:$V$178,AH100+1)</f>
        <v/>
      </c>
      <c r="AP100">
        <f>INDEX($W$51:$W$178,AI100+1)</f>
        <v/>
      </c>
      <c r="AQ100">
        <f>IF(Q100&gt;=AJ100-0.01,1,0)</f>
        <v/>
      </c>
      <c r="AR100">
        <f>IF(R100&gt;=AK100-0.01,1,0)</f>
        <v/>
      </c>
      <c r="AS100">
        <f>IF(S100&gt;=AL100-0.01,1,0)</f>
        <v/>
      </c>
      <c r="AT100">
        <f>IF(T100&gt;=AM100-0.01,1,0)</f>
        <v/>
      </c>
      <c r="AU100">
        <f>IF(U100&gt;=AN100-0.01,1,0)</f>
        <v/>
      </c>
      <c r="AV100">
        <f>IF(V100&gt;=AO100-0.01,1,0)</f>
        <v/>
      </c>
      <c r="AW100">
        <f>IF(W100&gt;=AP100-0.01,1,0)</f>
        <v/>
      </c>
      <c r="AX100">
        <f>AQ100*AR100*AS100*AT100*AU100*AV100*AW100</f>
        <v/>
      </c>
      <c r="AY100">
        <f>Assumptions!$B$41</f>
        <v/>
      </c>
      <c r="AZ100">
        <f>Assumptions!$B$33</f>
        <v/>
      </c>
      <c r="BA100">
        <f>Assumptions!$B$32</f>
        <v/>
      </c>
      <c r="BB100">
        <f>Assumptions!$B$31</f>
        <v/>
      </c>
      <c r="BC100">
        <f>Assumptions!$B$30</f>
        <v/>
      </c>
      <c r="BD100">
        <f>Assumptions!$B$29</f>
        <v/>
      </c>
      <c r="BE100">
        <f>Assumptions!$B$28</f>
        <v/>
      </c>
      <c r="BF100">
        <f>P100*Assumptions!$B$141</f>
        <v/>
      </c>
      <c r="BG100">
        <f>P100*Assumptions!$B$128</f>
        <v/>
      </c>
      <c r="BH100">
        <f>P100*Assumptions!$B$129</f>
        <v/>
      </c>
      <c r="BI100">
        <f>P100*Assumptions!$B$14</f>
        <v/>
      </c>
      <c r="BJ100">
        <f>P100*Assumptions!$B$13</f>
        <v/>
      </c>
      <c r="BK100">
        <f>P100*Assumptions!$B$12</f>
        <v/>
      </c>
      <c r="BL100">
        <f>P100*Assumptions!$B$11</f>
        <v/>
      </c>
    </row>
    <row r="101">
      <c r="A101" t="inlineStr">
        <is>
          <t>700M</t>
        </is>
      </c>
      <c r="B101">
        <f>Assumptions!$B$58</f>
        <v/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>
        <f>(1-C101)*Assumptions!$B$41+(1-D101)*Assumptions!$B$33+(1-E101)*Assumptions!$B$32+(1-F101)*Assumptions!$B$31+(1-G101)*Assumptions!$B$30+(1-H101)*Assumptions!$B$29+(1-I101)*Assumptions!$B$28</f>
        <v/>
      </c>
      <c r="K101">
        <f>C101*Assumptions!$B$141+D101*Assumptions!$B$128+E101*Assumptions!$B$129+F101*Assumptions!$B$14+G101*Assumptions!$B$13+H101*Assumptions!$B$12+I101*Assumptions!$B$11+Assumptions!$B$133+Assumptions!$B$137+Assumptions!$B$9</f>
        <v/>
      </c>
      <c r="L101">
        <f>B101-J101</f>
        <v/>
      </c>
      <c r="M101">
        <f>IF(K101&gt;0,IF(L101/K101&gt;=Assumptions!$B$37,1,0),0)</f>
        <v/>
      </c>
      <c r="N101">
        <f>K101+M101*Assumptions!$B$153</f>
        <v/>
      </c>
      <c r="O101">
        <f>L101+M101*Assumptions!$B$153*Assumptions!$B$37</f>
        <v/>
      </c>
      <c r="P101">
        <f>IF(N101&gt;0,O101/N101,0)</f>
        <v/>
      </c>
      <c r="Q101">
        <f>IF(C101=1,P101*Assumptions!$B$141,Assumptions!$B$41)</f>
        <v/>
      </c>
      <c r="R101">
        <f>IF(D101=1,P101*Assumptions!$B$128,Assumptions!$B$33)</f>
        <v/>
      </c>
      <c r="S101">
        <f>IF(E101=1,P101*Assumptions!$B$129,Assumptions!$B$32)</f>
        <v/>
      </c>
      <c r="T101">
        <f>IF(F101=1,P101*Assumptions!$B$14,Assumptions!$B$31)</f>
        <v/>
      </c>
      <c r="U101">
        <f>IF(G101=1,P101*Assumptions!$B$13,Assumptions!$B$30)</f>
        <v/>
      </c>
      <c r="V101">
        <f>IF(H101=1,P101*Assumptions!$B$12,Assumptions!$B$29)</f>
        <v/>
      </c>
      <c r="W101">
        <f>IF(I101=1,P101*Assumptions!$B$11,Assumptions!$B$28)</f>
        <v/>
      </c>
      <c r="X101">
        <f>P101*(Assumptions!$B$133+Assumptions!$B$137)</f>
        <v/>
      </c>
      <c r="Y101">
        <f>P101*Assumptions!$B$9</f>
        <v/>
      </c>
      <c r="Z101">
        <f>IF(M101=1,(P101-Assumptions!$B$37)*Assumptions!$B$153,0)</f>
        <v/>
      </c>
      <c r="AA101">
        <f>Q101+R101+S101+T101+U101+V101+W101+X101+Y101+Z101</f>
        <v/>
      </c>
      <c r="AB101" t="n">
        <v>50</v>
      </c>
      <c r="AC101" t="n">
        <v>114</v>
      </c>
      <c r="AD101" t="n">
        <v>18</v>
      </c>
      <c r="AE101" t="n">
        <v>34</v>
      </c>
      <c r="AF101" t="n">
        <v>58</v>
      </c>
      <c r="AG101" t="n">
        <v>54</v>
      </c>
      <c r="AH101" t="n">
        <v>48</v>
      </c>
      <c r="AI101" t="n">
        <v>51</v>
      </c>
      <c r="AJ101">
        <f>INDEX($Q$51:$Q$178,AC101+1)</f>
        <v/>
      </c>
      <c r="AK101">
        <f>INDEX($R$51:$R$178,AD101+1)</f>
        <v/>
      </c>
      <c r="AL101">
        <f>INDEX($S$51:$S$178,AE101+1)</f>
        <v/>
      </c>
      <c r="AM101">
        <f>INDEX($T$51:$T$178,AF101+1)</f>
        <v/>
      </c>
      <c r="AN101">
        <f>INDEX($U$51:$U$178,AG101+1)</f>
        <v/>
      </c>
      <c r="AO101">
        <f>INDEX($V$51:$V$178,AH101+1)</f>
        <v/>
      </c>
      <c r="AP101">
        <f>INDEX($W$51:$W$178,AI101+1)</f>
        <v/>
      </c>
      <c r="AQ101">
        <f>IF(Q101&gt;=AJ101-0.01,1,0)</f>
        <v/>
      </c>
      <c r="AR101">
        <f>IF(R101&gt;=AK101-0.01,1,0)</f>
        <v/>
      </c>
      <c r="AS101">
        <f>IF(S101&gt;=AL101-0.01,1,0)</f>
        <v/>
      </c>
      <c r="AT101">
        <f>IF(T101&gt;=AM101-0.01,1,0)</f>
        <v/>
      </c>
      <c r="AU101">
        <f>IF(U101&gt;=AN101-0.01,1,0)</f>
        <v/>
      </c>
      <c r="AV101">
        <f>IF(V101&gt;=AO101-0.01,1,0)</f>
        <v/>
      </c>
      <c r="AW101">
        <f>IF(W101&gt;=AP101-0.01,1,0)</f>
        <v/>
      </c>
      <c r="AX101">
        <f>AQ101*AR101*AS101*AT101*AU101*AV101*AW101</f>
        <v/>
      </c>
      <c r="AY101">
        <f>Assumptions!$B$41</f>
        <v/>
      </c>
      <c r="AZ101">
        <f>Assumptions!$B$33</f>
        <v/>
      </c>
      <c r="BA101">
        <f>Assumptions!$B$32</f>
        <v/>
      </c>
      <c r="BB101">
        <f>Assumptions!$B$31</f>
        <v/>
      </c>
      <c r="BC101">
        <f>Assumptions!$B$30</f>
        <v/>
      </c>
      <c r="BD101">
        <f>Assumptions!$B$29</f>
        <v/>
      </c>
      <c r="BE101">
        <f>Assumptions!$B$28</f>
        <v/>
      </c>
      <c r="BF101">
        <f>P101*Assumptions!$B$141</f>
        <v/>
      </c>
      <c r="BG101">
        <f>P101*Assumptions!$B$128</f>
        <v/>
      </c>
      <c r="BH101">
        <f>P101*Assumptions!$B$129</f>
        <v/>
      </c>
      <c r="BI101">
        <f>P101*Assumptions!$B$14</f>
        <v/>
      </c>
      <c r="BJ101">
        <f>P101*Assumptions!$B$13</f>
        <v/>
      </c>
      <c r="BK101">
        <f>P101*Assumptions!$B$12</f>
        <v/>
      </c>
      <c r="BL101">
        <f>P101*Assumptions!$B$11</f>
        <v/>
      </c>
    </row>
    <row r="102">
      <c r="A102" t="inlineStr">
        <is>
          <t>700M</t>
        </is>
      </c>
      <c r="B102">
        <f>Assumptions!$B$58</f>
        <v/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>
        <f>(1-C102)*Assumptions!$B$41+(1-D102)*Assumptions!$B$33+(1-E102)*Assumptions!$B$32+(1-F102)*Assumptions!$B$31+(1-G102)*Assumptions!$B$30+(1-H102)*Assumptions!$B$29+(1-I102)*Assumptions!$B$28</f>
        <v/>
      </c>
      <c r="K102">
        <f>C102*Assumptions!$B$141+D102*Assumptions!$B$128+E102*Assumptions!$B$129+F102*Assumptions!$B$14+G102*Assumptions!$B$13+H102*Assumptions!$B$12+I102*Assumptions!$B$11+Assumptions!$B$133+Assumptions!$B$137+Assumptions!$B$9</f>
        <v/>
      </c>
      <c r="L102">
        <f>B102-J102</f>
        <v/>
      </c>
      <c r="M102">
        <f>IF(K102&gt;0,IF(L102/K102&gt;=Assumptions!$B$37,1,0),0)</f>
        <v/>
      </c>
      <c r="N102">
        <f>K102+M102*Assumptions!$B$153</f>
        <v/>
      </c>
      <c r="O102">
        <f>L102+M102*Assumptions!$B$153*Assumptions!$B$37</f>
        <v/>
      </c>
      <c r="P102">
        <f>IF(N102&gt;0,O102/N102,0)</f>
        <v/>
      </c>
      <c r="Q102">
        <f>IF(C102=1,P102*Assumptions!$B$141,Assumptions!$B$41)</f>
        <v/>
      </c>
      <c r="R102">
        <f>IF(D102=1,P102*Assumptions!$B$128,Assumptions!$B$33)</f>
        <v/>
      </c>
      <c r="S102">
        <f>IF(E102=1,P102*Assumptions!$B$129,Assumptions!$B$32)</f>
        <v/>
      </c>
      <c r="T102">
        <f>IF(F102=1,P102*Assumptions!$B$14,Assumptions!$B$31)</f>
        <v/>
      </c>
      <c r="U102">
        <f>IF(G102=1,P102*Assumptions!$B$13,Assumptions!$B$30)</f>
        <v/>
      </c>
      <c r="V102">
        <f>IF(H102=1,P102*Assumptions!$B$12,Assumptions!$B$29)</f>
        <v/>
      </c>
      <c r="W102">
        <f>IF(I102=1,P102*Assumptions!$B$11,Assumptions!$B$28)</f>
        <v/>
      </c>
      <c r="X102">
        <f>P102*(Assumptions!$B$133+Assumptions!$B$137)</f>
        <v/>
      </c>
      <c r="Y102">
        <f>P102*Assumptions!$B$9</f>
        <v/>
      </c>
      <c r="Z102">
        <f>IF(M102=1,(P102-Assumptions!$B$37)*Assumptions!$B$153,0)</f>
        <v/>
      </c>
      <c r="AA102">
        <f>Q102+R102+S102+T102+U102+V102+W102+X102+Y102+Z102</f>
        <v/>
      </c>
      <c r="AB102" t="n">
        <v>51</v>
      </c>
      <c r="AC102" t="n">
        <v>115</v>
      </c>
      <c r="AD102" t="n">
        <v>19</v>
      </c>
      <c r="AE102" t="n">
        <v>35</v>
      </c>
      <c r="AF102" t="n">
        <v>59</v>
      </c>
      <c r="AG102" t="n">
        <v>55</v>
      </c>
      <c r="AH102" t="n">
        <v>49</v>
      </c>
      <c r="AI102" t="n">
        <v>50</v>
      </c>
      <c r="AJ102">
        <f>INDEX($Q$51:$Q$178,AC102+1)</f>
        <v/>
      </c>
      <c r="AK102">
        <f>INDEX($R$51:$R$178,AD102+1)</f>
        <v/>
      </c>
      <c r="AL102">
        <f>INDEX($S$51:$S$178,AE102+1)</f>
        <v/>
      </c>
      <c r="AM102">
        <f>INDEX($T$51:$T$178,AF102+1)</f>
        <v/>
      </c>
      <c r="AN102">
        <f>INDEX($U$51:$U$178,AG102+1)</f>
        <v/>
      </c>
      <c r="AO102">
        <f>INDEX($V$51:$V$178,AH102+1)</f>
        <v/>
      </c>
      <c r="AP102">
        <f>INDEX($W$51:$W$178,AI102+1)</f>
        <v/>
      </c>
      <c r="AQ102">
        <f>IF(Q102&gt;=AJ102-0.01,1,0)</f>
        <v/>
      </c>
      <c r="AR102">
        <f>IF(R102&gt;=AK102-0.01,1,0)</f>
        <v/>
      </c>
      <c r="AS102">
        <f>IF(S102&gt;=AL102-0.01,1,0)</f>
        <v/>
      </c>
      <c r="AT102">
        <f>IF(T102&gt;=AM102-0.01,1,0)</f>
        <v/>
      </c>
      <c r="AU102">
        <f>IF(U102&gt;=AN102-0.01,1,0)</f>
        <v/>
      </c>
      <c r="AV102">
        <f>IF(V102&gt;=AO102-0.01,1,0)</f>
        <v/>
      </c>
      <c r="AW102">
        <f>IF(W102&gt;=AP102-0.01,1,0)</f>
        <v/>
      </c>
      <c r="AX102">
        <f>AQ102*AR102*AS102*AT102*AU102*AV102*AW102</f>
        <v/>
      </c>
      <c r="AY102">
        <f>Assumptions!$B$41</f>
        <v/>
      </c>
      <c r="AZ102">
        <f>Assumptions!$B$33</f>
        <v/>
      </c>
      <c r="BA102">
        <f>Assumptions!$B$32</f>
        <v/>
      </c>
      <c r="BB102">
        <f>Assumptions!$B$31</f>
        <v/>
      </c>
      <c r="BC102">
        <f>Assumptions!$B$30</f>
        <v/>
      </c>
      <c r="BD102">
        <f>Assumptions!$B$29</f>
        <v/>
      </c>
      <c r="BE102">
        <f>Assumptions!$B$28</f>
        <v/>
      </c>
      <c r="BF102">
        <f>P102*Assumptions!$B$141</f>
        <v/>
      </c>
      <c r="BG102">
        <f>P102*Assumptions!$B$128</f>
        <v/>
      </c>
      <c r="BH102">
        <f>P102*Assumptions!$B$129</f>
        <v/>
      </c>
      <c r="BI102">
        <f>P102*Assumptions!$B$14</f>
        <v/>
      </c>
      <c r="BJ102">
        <f>P102*Assumptions!$B$13</f>
        <v/>
      </c>
      <c r="BK102">
        <f>P102*Assumptions!$B$12</f>
        <v/>
      </c>
      <c r="BL102">
        <f>P102*Assumptions!$B$11</f>
        <v/>
      </c>
    </row>
    <row r="103">
      <c r="A103" t="inlineStr">
        <is>
          <t>700M</t>
        </is>
      </c>
      <c r="B103">
        <f>Assumptions!$B$58</f>
        <v/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>
        <f>(1-C103)*Assumptions!$B$41+(1-D103)*Assumptions!$B$33+(1-E103)*Assumptions!$B$32+(1-F103)*Assumptions!$B$31+(1-G103)*Assumptions!$B$30+(1-H103)*Assumptions!$B$29+(1-I103)*Assumptions!$B$28</f>
        <v/>
      </c>
      <c r="K103">
        <f>C103*Assumptions!$B$141+D103*Assumptions!$B$128+E103*Assumptions!$B$129+F103*Assumptions!$B$14+G103*Assumptions!$B$13+H103*Assumptions!$B$12+I103*Assumptions!$B$11+Assumptions!$B$133+Assumptions!$B$137+Assumptions!$B$9</f>
        <v/>
      </c>
      <c r="L103">
        <f>B103-J103</f>
        <v/>
      </c>
      <c r="M103">
        <f>IF(K103&gt;0,IF(L103/K103&gt;=Assumptions!$B$37,1,0),0)</f>
        <v/>
      </c>
      <c r="N103">
        <f>K103+M103*Assumptions!$B$153</f>
        <v/>
      </c>
      <c r="O103">
        <f>L103+M103*Assumptions!$B$153*Assumptions!$B$37</f>
        <v/>
      </c>
      <c r="P103">
        <f>IF(N103&gt;0,O103/N103,0)</f>
        <v/>
      </c>
      <c r="Q103">
        <f>IF(C103=1,P103*Assumptions!$B$141,Assumptions!$B$41)</f>
        <v/>
      </c>
      <c r="R103">
        <f>IF(D103=1,P103*Assumptions!$B$128,Assumptions!$B$33)</f>
        <v/>
      </c>
      <c r="S103">
        <f>IF(E103=1,P103*Assumptions!$B$129,Assumptions!$B$32)</f>
        <v/>
      </c>
      <c r="T103">
        <f>IF(F103=1,P103*Assumptions!$B$14,Assumptions!$B$31)</f>
        <v/>
      </c>
      <c r="U103">
        <f>IF(G103=1,P103*Assumptions!$B$13,Assumptions!$B$30)</f>
        <v/>
      </c>
      <c r="V103">
        <f>IF(H103=1,P103*Assumptions!$B$12,Assumptions!$B$29)</f>
        <v/>
      </c>
      <c r="W103">
        <f>IF(I103=1,P103*Assumptions!$B$11,Assumptions!$B$28)</f>
        <v/>
      </c>
      <c r="X103">
        <f>P103*(Assumptions!$B$133+Assumptions!$B$137)</f>
        <v/>
      </c>
      <c r="Y103">
        <f>P103*Assumptions!$B$9</f>
        <v/>
      </c>
      <c r="Z103">
        <f>IF(M103=1,(P103-Assumptions!$B$37)*Assumptions!$B$153,0)</f>
        <v/>
      </c>
      <c r="AA103">
        <f>Q103+R103+S103+T103+U103+V103+W103+X103+Y103+Z103</f>
        <v/>
      </c>
      <c r="AB103" t="n">
        <v>52</v>
      </c>
      <c r="AC103" t="n">
        <v>116</v>
      </c>
      <c r="AD103" t="n">
        <v>20</v>
      </c>
      <c r="AE103" t="n">
        <v>36</v>
      </c>
      <c r="AF103" t="n">
        <v>60</v>
      </c>
      <c r="AG103" t="n">
        <v>48</v>
      </c>
      <c r="AH103" t="n">
        <v>54</v>
      </c>
      <c r="AI103" t="n">
        <v>53</v>
      </c>
      <c r="AJ103">
        <f>INDEX($Q$51:$Q$178,AC103+1)</f>
        <v/>
      </c>
      <c r="AK103">
        <f>INDEX($R$51:$R$178,AD103+1)</f>
        <v/>
      </c>
      <c r="AL103">
        <f>INDEX($S$51:$S$178,AE103+1)</f>
        <v/>
      </c>
      <c r="AM103">
        <f>INDEX($T$51:$T$178,AF103+1)</f>
        <v/>
      </c>
      <c r="AN103">
        <f>INDEX($U$51:$U$178,AG103+1)</f>
        <v/>
      </c>
      <c r="AO103">
        <f>INDEX($V$51:$V$178,AH103+1)</f>
        <v/>
      </c>
      <c r="AP103">
        <f>INDEX($W$51:$W$178,AI103+1)</f>
        <v/>
      </c>
      <c r="AQ103">
        <f>IF(Q103&gt;=AJ103-0.01,1,0)</f>
        <v/>
      </c>
      <c r="AR103">
        <f>IF(R103&gt;=AK103-0.01,1,0)</f>
        <v/>
      </c>
      <c r="AS103">
        <f>IF(S103&gt;=AL103-0.01,1,0)</f>
        <v/>
      </c>
      <c r="AT103">
        <f>IF(T103&gt;=AM103-0.01,1,0)</f>
        <v/>
      </c>
      <c r="AU103">
        <f>IF(U103&gt;=AN103-0.01,1,0)</f>
        <v/>
      </c>
      <c r="AV103">
        <f>IF(V103&gt;=AO103-0.01,1,0)</f>
        <v/>
      </c>
      <c r="AW103">
        <f>IF(W103&gt;=AP103-0.01,1,0)</f>
        <v/>
      </c>
      <c r="AX103">
        <f>AQ103*AR103*AS103*AT103*AU103*AV103*AW103</f>
        <v/>
      </c>
      <c r="AY103">
        <f>Assumptions!$B$41</f>
        <v/>
      </c>
      <c r="AZ103">
        <f>Assumptions!$B$33</f>
        <v/>
      </c>
      <c r="BA103">
        <f>Assumptions!$B$32</f>
        <v/>
      </c>
      <c r="BB103">
        <f>Assumptions!$B$31</f>
        <v/>
      </c>
      <c r="BC103">
        <f>Assumptions!$B$30</f>
        <v/>
      </c>
      <c r="BD103">
        <f>Assumptions!$B$29</f>
        <v/>
      </c>
      <c r="BE103">
        <f>Assumptions!$B$28</f>
        <v/>
      </c>
      <c r="BF103">
        <f>P103*Assumptions!$B$141</f>
        <v/>
      </c>
      <c r="BG103">
        <f>P103*Assumptions!$B$128</f>
        <v/>
      </c>
      <c r="BH103">
        <f>P103*Assumptions!$B$129</f>
        <v/>
      </c>
      <c r="BI103">
        <f>P103*Assumptions!$B$14</f>
        <v/>
      </c>
      <c r="BJ103">
        <f>P103*Assumptions!$B$13</f>
        <v/>
      </c>
      <c r="BK103">
        <f>P103*Assumptions!$B$12</f>
        <v/>
      </c>
      <c r="BL103">
        <f>P103*Assumptions!$B$11</f>
        <v/>
      </c>
    </row>
    <row r="104">
      <c r="A104" t="inlineStr">
        <is>
          <t>700M</t>
        </is>
      </c>
      <c r="B104">
        <f>Assumptions!$B$58</f>
        <v/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>
        <f>(1-C104)*Assumptions!$B$41+(1-D104)*Assumptions!$B$33+(1-E104)*Assumptions!$B$32+(1-F104)*Assumptions!$B$31+(1-G104)*Assumptions!$B$30+(1-H104)*Assumptions!$B$29+(1-I104)*Assumptions!$B$28</f>
        <v/>
      </c>
      <c r="K104">
        <f>C104*Assumptions!$B$141+D104*Assumptions!$B$128+E104*Assumptions!$B$129+F104*Assumptions!$B$14+G104*Assumptions!$B$13+H104*Assumptions!$B$12+I104*Assumptions!$B$11+Assumptions!$B$133+Assumptions!$B$137+Assumptions!$B$9</f>
        <v/>
      </c>
      <c r="L104">
        <f>B104-J104</f>
        <v/>
      </c>
      <c r="M104">
        <f>IF(K104&gt;0,IF(L104/K104&gt;=Assumptions!$B$37,1,0),0)</f>
        <v/>
      </c>
      <c r="N104">
        <f>K104+M104*Assumptions!$B$153</f>
        <v/>
      </c>
      <c r="O104">
        <f>L104+M104*Assumptions!$B$153*Assumptions!$B$37</f>
        <v/>
      </c>
      <c r="P104">
        <f>IF(N104&gt;0,O104/N104,0)</f>
        <v/>
      </c>
      <c r="Q104">
        <f>IF(C104=1,P104*Assumptions!$B$141,Assumptions!$B$41)</f>
        <v/>
      </c>
      <c r="R104">
        <f>IF(D104=1,P104*Assumptions!$B$128,Assumptions!$B$33)</f>
        <v/>
      </c>
      <c r="S104">
        <f>IF(E104=1,P104*Assumptions!$B$129,Assumptions!$B$32)</f>
        <v/>
      </c>
      <c r="T104">
        <f>IF(F104=1,P104*Assumptions!$B$14,Assumptions!$B$31)</f>
        <v/>
      </c>
      <c r="U104">
        <f>IF(G104=1,P104*Assumptions!$B$13,Assumptions!$B$30)</f>
        <v/>
      </c>
      <c r="V104">
        <f>IF(H104=1,P104*Assumptions!$B$12,Assumptions!$B$29)</f>
        <v/>
      </c>
      <c r="W104">
        <f>IF(I104=1,P104*Assumptions!$B$11,Assumptions!$B$28)</f>
        <v/>
      </c>
      <c r="X104">
        <f>P104*(Assumptions!$B$133+Assumptions!$B$137)</f>
        <v/>
      </c>
      <c r="Y104">
        <f>P104*Assumptions!$B$9</f>
        <v/>
      </c>
      <c r="Z104">
        <f>IF(M104=1,(P104-Assumptions!$B$37)*Assumptions!$B$153,0)</f>
        <v/>
      </c>
      <c r="AA104">
        <f>Q104+R104+S104+T104+U104+V104+W104+X104+Y104+Z104</f>
        <v/>
      </c>
      <c r="AB104" t="n">
        <v>53</v>
      </c>
      <c r="AC104" t="n">
        <v>117</v>
      </c>
      <c r="AD104" t="n">
        <v>21</v>
      </c>
      <c r="AE104" t="n">
        <v>37</v>
      </c>
      <c r="AF104" t="n">
        <v>61</v>
      </c>
      <c r="AG104" t="n">
        <v>49</v>
      </c>
      <c r="AH104" t="n">
        <v>55</v>
      </c>
      <c r="AI104" t="n">
        <v>52</v>
      </c>
      <c r="AJ104">
        <f>INDEX($Q$51:$Q$178,AC104+1)</f>
        <v/>
      </c>
      <c r="AK104">
        <f>INDEX($R$51:$R$178,AD104+1)</f>
        <v/>
      </c>
      <c r="AL104">
        <f>INDEX($S$51:$S$178,AE104+1)</f>
        <v/>
      </c>
      <c r="AM104">
        <f>INDEX($T$51:$T$178,AF104+1)</f>
        <v/>
      </c>
      <c r="AN104">
        <f>INDEX($U$51:$U$178,AG104+1)</f>
        <v/>
      </c>
      <c r="AO104">
        <f>INDEX($V$51:$V$178,AH104+1)</f>
        <v/>
      </c>
      <c r="AP104">
        <f>INDEX($W$51:$W$178,AI104+1)</f>
        <v/>
      </c>
      <c r="AQ104">
        <f>IF(Q104&gt;=AJ104-0.01,1,0)</f>
        <v/>
      </c>
      <c r="AR104">
        <f>IF(R104&gt;=AK104-0.01,1,0)</f>
        <v/>
      </c>
      <c r="AS104">
        <f>IF(S104&gt;=AL104-0.01,1,0)</f>
        <v/>
      </c>
      <c r="AT104">
        <f>IF(T104&gt;=AM104-0.01,1,0)</f>
        <v/>
      </c>
      <c r="AU104">
        <f>IF(U104&gt;=AN104-0.01,1,0)</f>
        <v/>
      </c>
      <c r="AV104">
        <f>IF(V104&gt;=AO104-0.01,1,0)</f>
        <v/>
      </c>
      <c r="AW104">
        <f>IF(W104&gt;=AP104-0.01,1,0)</f>
        <v/>
      </c>
      <c r="AX104">
        <f>AQ104*AR104*AS104*AT104*AU104*AV104*AW104</f>
        <v/>
      </c>
      <c r="AY104">
        <f>Assumptions!$B$41</f>
        <v/>
      </c>
      <c r="AZ104">
        <f>Assumptions!$B$33</f>
        <v/>
      </c>
      <c r="BA104">
        <f>Assumptions!$B$32</f>
        <v/>
      </c>
      <c r="BB104">
        <f>Assumptions!$B$31</f>
        <v/>
      </c>
      <c r="BC104">
        <f>Assumptions!$B$30</f>
        <v/>
      </c>
      <c r="BD104">
        <f>Assumptions!$B$29</f>
        <v/>
      </c>
      <c r="BE104">
        <f>Assumptions!$B$28</f>
        <v/>
      </c>
      <c r="BF104">
        <f>P104*Assumptions!$B$141</f>
        <v/>
      </c>
      <c r="BG104">
        <f>P104*Assumptions!$B$128</f>
        <v/>
      </c>
      <c r="BH104">
        <f>P104*Assumptions!$B$129</f>
        <v/>
      </c>
      <c r="BI104">
        <f>P104*Assumptions!$B$14</f>
        <v/>
      </c>
      <c r="BJ104">
        <f>P104*Assumptions!$B$13</f>
        <v/>
      </c>
      <c r="BK104">
        <f>P104*Assumptions!$B$12</f>
        <v/>
      </c>
      <c r="BL104">
        <f>P104*Assumptions!$B$11</f>
        <v/>
      </c>
    </row>
    <row r="105">
      <c r="A105" t="inlineStr">
        <is>
          <t>700M</t>
        </is>
      </c>
      <c r="B105">
        <f>Assumptions!$B$58</f>
        <v/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>
        <f>(1-C105)*Assumptions!$B$41+(1-D105)*Assumptions!$B$33+(1-E105)*Assumptions!$B$32+(1-F105)*Assumptions!$B$31+(1-G105)*Assumptions!$B$30+(1-H105)*Assumptions!$B$29+(1-I105)*Assumptions!$B$28</f>
        <v/>
      </c>
      <c r="K105">
        <f>C105*Assumptions!$B$141+D105*Assumptions!$B$128+E105*Assumptions!$B$129+F105*Assumptions!$B$14+G105*Assumptions!$B$13+H105*Assumptions!$B$12+I105*Assumptions!$B$11+Assumptions!$B$133+Assumptions!$B$137+Assumptions!$B$9</f>
        <v/>
      </c>
      <c r="L105">
        <f>B105-J105</f>
        <v/>
      </c>
      <c r="M105">
        <f>IF(K105&gt;0,IF(L105/K105&gt;=Assumptions!$B$37,1,0),0)</f>
        <v/>
      </c>
      <c r="N105">
        <f>K105+M105*Assumptions!$B$153</f>
        <v/>
      </c>
      <c r="O105">
        <f>L105+M105*Assumptions!$B$153*Assumptions!$B$37</f>
        <v/>
      </c>
      <c r="P105">
        <f>IF(N105&gt;0,O105/N105,0)</f>
        <v/>
      </c>
      <c r="Q105">
        <f>IF(C105=1,P105*Assumptions!$B$141,Assumptions!$B$41)</f>
        <v/>
      </c>
      <c r="R105">
        <f>IF(D105=1,P105*Assumptions!$B$128,Assumptions!$B$33)</f>
        <v/>
      </c>
      <c r="S105">
        <f>IF(E105=1,P105*Assumptions!$B$129,Assumptions!$B$32)</f>
        <v/>
      </c>
      <c r="T105">
        <f>IF(F105=1,P105*Assumptions!$B$14,Assumptions!$B$31)</f>
        <v/>
      </c>
      <c r="U105">
        <f>IF(G105=1,P105*Assumptions!$B$13,Assumptions!$B$30)</f>
        <v/>
      </c>
      <c r="V105">
        <f>IF(H105=1,P105*Assumptions!$B$12,Assumptions!$B$29)</f>
        <v/>
      </c>
      <c r="W105">
        <f>IF(I105=1,P105*Assumptions!$B$11,Assumptions!$B$28)</f>
        <v/>
      </c>
      <c r="X105">
        <f>P105*(Assumptions!$B$133+Assumptions!$B$137)</f>
        <v/>
      </c>
      <c r="Y105">
        <f>P105*Assumptions!$B$9</f>
        <v/>
      </c>
      <c r="Z105">
        <f>IF(M105=1,(P105-Assumptions!$B$37)*Assumptions!$B$153,0)</f>
        <v/>
      </c>
      <c r="AA105">
        <f>Q105+R105+S105+T105+U105+V105+W105+X105+Y105+Z105</f>
        <v/>
      </c>
      <c r="AB105" t="n">
        <v>54</v>
      </c>
      <c r="AC105" t="n">
        <v>118</v>
      </c>
      <c r="AD105" t="n">
        <v>22</v>
      </c>
      <c r="AE105" t="n">
        <v>38</v>
      </c>
      <c r="AF105" t="n">
        <v>62</v>
      </c>
      <c r="AG105" t="n">
        <v>50</v>
      </c>
      <c r="AH105" t="n">
        <v>52</v>
      </c>
      <c r="AI105" t="n">
        <v>55</v>
      </c>
      <c r="AJ105">
        <f>INDEX($Q$51:$Q$178,AC105+1)</f>
        <v/>
      </c>
      <c r="AK105">
        <f>INDEX($R$51:$R$178,AD105+1)</f>
        <v/>
      </c>
      <c r="AL105">
        <f>INDEX($S$51:$S$178,AE105+1)</f>
        <v/>
      </c>
      <c r="AM105">
        <f>INDEX($T$51:$T$178,AF105+1)</f>
        <v/>
      </c>
      <c r="AN105">
        <f>INDEX($U$51:$U$178,AG105+1)</f>
        <v/>
      </c>
      <c r="AO105">
        <f>INDEX($V$51:$V$178,AH105+1)</f>
        <v/>
      </c>
      <c r="AP105">
        <f>INDEX($W$51:$W$178,AI105+1)</f>
        <v/>
      </c>
      <c r="AQ105">
        <f>IF(Q105&gt;=AJ105-0.01,1,0)</f>
        <v/>
      </c>
      <c r="AR105">
        <f>IF(R105&gt;=AK105-0.01,1,0)</f>
        <v/>
      </c>
      <c r="AS105">
        <f>IF(S105&gt;=AL105-0.01,1,0)</f>
        <v/>
      </c>
      <c r="AT105">
        <f>IF(T105&gt;=AM105-0.01,1,0)</f>
        <v/>
      </c>
      <c r="AU105">
        <f>IF(U105&gt;=AN105-0.01,1,0)</f>
        <v/>
      </c>
      <c r="AV105">
        <f>IF(V105&gt;=AO105-0.01,1,0)</f>
        <v/>
      </c>
      <c r="AW105">
        <f>IF(W105&gt;=AP105-0.01,1,0)</f>
        <v/>
      </c>
      <c r="AX105">
        <f>AQ105*AR105*AS105*AT105*AU105*AV105*AW105</f>
        <v/>
      </c>
      <c r="AY105">
        <f>Assumptions!$B$41</f>
        <v/>
      </c>
      <c r="AZ105">
        <f>Assumptions!$B$33</f>
        <v/>
      </c>
      <c r="BA105">
        <f>Assumptions!$B$32</f>
        <v/>
      </c>
      <c r="BB105">
        <f>Assumptions!$B$31</f>
        <v/>
      </c>
      <c r="BC105">
        <f>Assumptions!$B$30</f>
        <v/>
      </c>
      <c r="BD105">
        <f>Assumptions!$B$29</f>
        <v/>
      </c>
      <c r="BE105">
        <f>Assumptions!$B$28</f>
        <v/>
      </c>
      <c r="BF105">
        <f>P105*Assumptions!$B$141</f>
        <v/>
      </c>
      <c r="BG105">
        <f>P105*Assumptions!$B$128</f>
        <v/>
      </c>
      <c r="BH105">
        <f>P105*Assumptions!$B$129</f>
        <v/>
      </c>
      <c r="BI105">
        <f>P105*Assumptions!$B$14</f>
        <v/>
      </c>
      <c r="BJ105">
        <f>P105*Assumptions!$B$13</f>
        <v/>
      </c>
      <c r="BK105">
        <f>P105*Assumptions!$B$12</f>
        <v/>
      </c>
      <c r="BL105">
        <f>P105*Assumptions!$B$11</f>
        <v/>
      </c>
    </row>
    <row r="106">
      <c r="A106" t="inlineStr">
        <is>
          <t>700M</t>
        </is>
      </c>
      <c r="B106">
        <f>Assumptions!$B$58</f>
        <v/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>
        <f>(1-C106)*Assumptions!$B$41+(1-D106)*Assumptions!$B$33+(1-E106)*Assumptions!$B$32+(1-F106)*Assumptions!$B$31+(1-G106)*Assumptions!$B$30+(1-H106)*Assumptions!$B$29+(1-I106)*Assumptions!$B$28</f>
        <v/>
      </c>
      <c r="K106">
        <f>C106*Assumptions!$B$141+D106*Assumptions!$B$128+E106*Assumptions!$B$129+F106*Assumptions!$B$14+G106*Assumptions!$B$13+H106*Assumptions!$B$12+I106*Assumptions!$B$11+Assumptions!$B$133+Assumptions!$B$137+Assumptions!$B$9</f>
        <v/>
      </c>
      <c r="L106">
        <f>B106-J106</f>
        <v/>
      </c>
      <c r="M106">
        <f>IF(K106&gt;0,IF(L106/K106&gt;=Assumptions!$B$37,1,0),0)</f>
        <v/>
      </c>
      <c r="N106">
        <f>K106+M106*Assumptions!$B$153</f>
        <v/>
      </c>
      <c r="O106">
        <f>L106+M106*Assumptions!$B$153*Assumptions!$B$37</f>
        <v/>
      </c>
      <c r="P106">
        <f>IF(N106&gt;0,O106/N106,0)</f>
        <v/>
      </c>
      <c r="Q106">
        <f>IF(C106=1,P106*Assumptions!$B$141,Assumptions!$B$41)</f>
        <v/>
      </c>
      <c r="R106">
        <f>IF(D106=1,P106*Assumptions!$B$128,Assumptions!$B$33)</f>
        <v/>
      </c>
      <c r="S106">
        <f>IF(E106=1,P106*Assumptions!$B$129,Assumptions!$B$32)</f>
        <v/>
      </c>
      <c r="T106">
        <f>IF(F106=1,P106*Assumptions!$B$14,Assumptions!$B$31)</f>
        <v/>
      </c>
      <c r="U106">
        <f>IF(G106=1,P106*Assumptions!$B$13,Assumptions!$B$30)</f>
        <v/>
      </c>
      <c r="V106">
        <f>IF(H106=1,P106*Assumptions!$B$12,Assumptions!$B$29)</f>
        <v/>
      </c>
      <c r="W106">
        <f>IF(I106=1,P106*Assumptions!$B$11,Assumptions!$B$28)</f>
        <v/>
      </c>
      <c r="X106">
        <f>P106*(Assumptions!$B$133+Assumptions!$B$137)</f>
        <v/>
      </c>
      <c r="Y106">
        <f>P106*Assumptions!$B$9</f>
        <v/>
      </c>
      <c r="Z106">
        <f>IF(M106=1,(P106-Assumptions!$B$37)*Assumptions!$B$153,0)</f>
        <v/>
      </c>
      <c r="AA106">
        <f>Q106+R106+S106+T106+U106+V106+W106+X106+Y106+Z106</f>
        <v/>
      </c>
      <c r="AB106" t="n">
        <v>55</v>
      </c>
      <c r="AC106" t="n">
        <v>119</v>
      </c>
      <c r="AD106" t="n">
        <v>23</v>
      </c>
      <c r="AE106" t="n">
        <v>39</v>
      </c>
      <c r="AF106" t="n">
        <v>63</v>
      </c>
      <c r="AG106" t="n">
        <v>51</v>
      </c>
      <c r="AH106" t="n">
        <v>53</v>
      </c>
      <c r="AI106" t="n">
        <v>54</v>
      </c>
      <c r="AJ106">
        <f>INDEX($Q$51:$Q$178,AC106+1)</f>
        <v/>
      </c>
      <c r="AK106">
        <f>INDEX($R$51:$R$178,AD106+1)</f>
        <v/>
      </c>
      <c r="AL106">
        <f>INDEX($S$51:$S$178,AE106+1)</f>
        <v/>
      </c>
      <c r="AM106">
        <f>INDEX($T$51:$T$178,AF106+1)</f>
        <v/>
      </c>
      <c r="AN106">
        <f>INDEX($U$51:$U$178,AG106+1)</f>
        <v/>
      </c>
      <c r="AO106">
        <f>INDEX($V$51:$V$178,AH106+1)</f>
        <v/>
      </c>
      <c r="AP106">
        <f>INDEX($W$51:$W$178,AI106+1)</f>
        <v/>
      </c>
      <c r="AQ106">
        <f>IF(Q106&gt;=AJ106-0.01,1,0)</f>
        <v/>
      </c>
      <c r="AR106">
        <f>IF(R106&gt;=AK106-0.01,1,0)</f>
        <v/>
      </c>
      <c r="AS106">
        <f>IF(S106&gt;=AL106-0.01,1,0)</f>
        <v/>
      </c>
      <c r="AT106">
        <f>IF(T106&gt;=AM106-0.01,1,0)</f>
        <v/>
      </c>
      <c r="AU106">
        <f>IF(U106&gt;=AN106-0.01,1,0)</f>
        <v/>
      </c>
      <c r="AV106">
        <f>IF(V106&gt;=AO106-0.01,1,0)</f>
        <v/>
      </c>
      <c r="AW106">
        <f>IF(W106&gt;=AP106-0.01,1,0)</f>
        <v/>
      </c>
      <c r="AX106">
        <f>AQ106*AR106*AS106*AT106*AU106*AV106*AW106</f>
        <v/>
      </c>
      <c r="AY106">
        <f>Assumptions!$B$41</f>
        <v/>
      </c>
      <c r="AZ106">
        <f>Assumptions!$B$33</f>
        <v/>
      </c>
      <c r="BA106">
        <f>Assumptions!$B$32</f>
        <v/>
      </c>
      <c r="BB106">
        <f>Assumptions!$B$31</f>
        <v/>
      </c>
      <c r="BC106">
        <f>Assumptions!$B$30</f>
        <v/>
      </c>
      <c r="BD106">
        <f>Assumptions!$B$29</f>
        <v/>
      </c>
      <c r="BE106">
        <f>Assumptions!$B$28</f>
        <v/>
      </c>
      <c r="BF106">
        <f>P106*Assumptions!$B$141</f>
        <v/>
      </c>
      <c r="BG106">
        <f>P106*Assumptions!$B$128</f>
        <v/>
      </c>
      <c r="BH106">
        <f>P106*Assumptions!$B$129</f>
        <v/>
      </c>
      <c r="BI106">
        <f>P106*Assumptions!$B$14</f>
        <v/>
      </c>
      <c r="BJ106">
        <f>P106*Assumptions!$B$13</f>
        <v/>
      </c>
      <c r="BK106">
        <f>P106*Assumptions!$B$12</f>
        <v/>
      </c>
      <c r="BL106">
        <f>P106*Assumptions!$B$11</f>
        <v/>
      </c>
    </row>
    <row r="107">
      <c r="A107" t="inlineStr">
        <is>
          <t>700M</t>
        </is>
      </c>
      <c r="B107">
        <f>Assumptions!$B$58</f>
        <v/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>
        <f>(1-C107)*Assumptions!$B$41+(1-D107)*Assumptions!$B$33+(1-E107)*Assumptions!$B$32+(1-F107)*Assumptions!$B$31+(1-G107)*Assumptions!$B$30+(1-H107)*Assumptions!$B$29+(1-I107)*Assumptions!$B$28</f>
        <v/>
      </c>
      <c r="K107">
        <f>C107*Assumptions!$B$141+D107*Assumptions!$B$128+E107*Assumptions!$B$129+F107*Assumptions!$B$14+G107*Assumptions!$B$13+H107*Assumptions!$B$12+I107*Assumptions!$B$11+Assumptions!$B$133+Assumptions!$B$137+Assumptions!$B$9</f>
        <v/>
      </c>
      <c r="L107">
        <f>B107-J107</f>
        <v/>
      </c>
      <c r="M107">
        <f>IF(K107&gt;0,IF(L107/K107&gt;=Assumptions!$B$37,1,0),0)</f>
        <v/>
      </c>
      <c r="N107">
        <f>K107+M107*Assumptions!$B$153</f>
        <v/>
      </c>
      <c r="O107">
        <f>L107+M107*Assumptions!$B$153*Assumptions!$B$37</f>
        <v/>
      </c>
      <c r="P107">
        <f>IF(N107&gt;0,O107/N107,0)</f>
        <v/>
      </c>
      <c r="Q107">
        <f>IF(C107=1,P107*Assumptions!$B$141,Assumptions!$B$41)</f>
        <v/>
      </c>
      <c r="R107">
        <f>IF(D107=1,P107*Assumptions!$B$128,Assumptions!$B$33)</f>
        <v/>
      </c>
      <c r="S107">
        <f>IF(E107=1,P107*Assumptions!$B$129,Assumptions!$B$32)</f>
        <v/>
      </c>
      <c r="T107">
        <f>IF(F107=1,P107*Assumptions!$B$14,Assumptions!$B$31)</f>
        <v/>
      </c>
      <c r="U107">
        <f>IF(G107=1,P107*Assumptions!$B$13,Assumptions!$B$30)</f>
        <v/>
      </c>
      <c r="V107">
        <f>IF(H107=1,P107*Assumptions!$B$12,Assumptions!$B$29)</f>
        <v/>
      </c>
      <c r="W107">
        <f>IF(I107=1,P107*Assumptions!$B$11,Assumptions!$B$28)</f>
        <v/>
      </c>
      <c r="X107">
        <f>P107*(Assumptions!$B$133+Assumptions!$B$137)</f>
        <v/>
      </c>
      <c r="Y107">
        <f>P107*Assumptions!$B$9</f>
        <v/>
      </c>
      <c r="Z107">
        <f>IF(M107=1,(P107-Assumptions!$B$37)*Assumptions!$B$153,0)</f>
        <v/>
      </c>
      <c r="AA107">
        <f>Q107+R107+S107+T107+U107+V107+W107+X107+Y107+Z107</f>
        <v/>
      </c>
      <c r="AB107" t="n">
        <v>56</v>
      </c>
      <c r="AC107" t="n">
        <v>120</v>
      </c>
      <c r="AD107" t="n">
        <v>24</v>
      </c>
      <c r="AE107" t="n">
        <v>40</v>
      </c>
      <c r="AF107" t="n">
        <v>48</v>
      </c>
      <c r="AG107" t="n">
        <v>60</v>
      </c>
      <c r="AH107" t="n">
        <v>58</v>
      </c>
      <c r="AI107" t="n">
        <v>57</v>
      </c>
      <c r="AJ107">
        <f>INDEX($Q$51:$Q$178,AC107+1)</f>
        <v/>
      </c>
      <c r="AK107">
        <f>INDEX($R$51:$R$178,AD107+1)</f>
        <v/>
      </c>
      <c r="AL107">
        <f>INDEX($S$51:$S$178,AE107+1)</f>
        <v/>
      </c>
      <c r="AM107">
        <f>INDEX($T$51:$T$178,AF107+1)</f>
        <v/>
      </c>
      <c r="AN107">
        <f>INDEX($U$51:$U$178,AG107+1)</f>
        <v/>
      </c>
      <c r="AO107">
        <f>INDEX($V$51:$V$178,AH107+1)</f>
        <v/>
      </c>
      <c r="AP107">
        <f>INDEX($W$51:$W$178,AI107+1)</f>
        <v/>
      </c>
      <c r="AQ107">
        <f>IF(Q107&gt;=AJ107-0.01,1,0)</f>
        <v/>
      </c>
      <c r="AR107">
        <f>IF(R107&gt;=AK107-0.01,1,0)</f>
        <v/>
      </c>
      <c r="AS107">
        <f>IF(S107&gt;=AL107-0.01,1,0)</f>
        <v/>
      </c>
      <c r="AT107">
        <f>IF(T107&gt;=AM107-0.01,1,0)</f>
        <v/>
      </c>
      <c r="AU107">
        <f>IF(U107&gt;=AN107-0.01,1,0)</f>
        <v/>
      </c>
      <c r="AV107">
        <f>IF(V107&gt;=AO107-0.01,1,0)</f>
        <v/>
      </c>
      <c r="AW107">
        <f>IF(W107&gt;=AP107-0.01,1,0)</f>
        <v/>
      </c>
      <c r="AX107">
        <f>AQ107*AR107*AS107*AT107*AU107*AV107*AW107</f>
        <v/>
      </c>
      <c r="AY107">
        <f>Assumptions!$B$41</f>
        <v/>
      </c>
      <c r="AZ107">
        <f>Assumptions!$B$33</f>
        <v/>
      </c>
      <c r="BA107">
        <f>Assumptions!$B$32</f>
        <v/>
      </c>
      <c r="BB107">
        <f>Assumptions!$B$31</f>
        <v/>
      </c>
      <c r="BC107">
        <f>Assumptions!$B$30</f>
        <v/>
      </c>
      <c r="BD107">
        <f>Assumptions!$B$29</f>
        <v/>
      </c>
      <c r="BE107">
        <f>Assumptions!$B$28</f>
        <v/>
      </c>
      <c r="BF107">
        <f>P107*Assumptions!$B$141</f>
        <v/>
      </c>
      <c r="BG107">
        <f>P107*Assumptions!$B$128</f>
        <v/>
      </c>
      <c r="BH107">
        <f>P107*Assumptions!$B$129</f>
        <v/>
      </c>
      <c r="BI107">
        <f>P107*Assumptions!$B$14</f>
        <v/>
      </c>
      <c r="BJ107">
        <f>P107*Assumptions!$B$13</f>
        <v/>
      </c>
      <c r="BK107">
        <f>P107*Assumptions!$B$12</f>
        <v/>
      </c>
      <c r="BL107">
        <f>P107*Assumptions!$B$11</f>
        <v/>
      </c>
    </row>
    <row r="108">
      <c r="A108" t="inlineStr">
        <is>
          <t>700M</t>
        </is>
      </c>
      <c r="B108">
        <f>Assumptions!$B$58</f>
        <v/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>
        <f>(1-C108)*Assumptions!$B$41+(1-D108)*Assumptions!$B$33+(1-E108)*Assumptions!$B$32+(1-F108)*Assumptions!$B$31+(1-G108)*Assumptions!$B$30+(1-H108)*Assumptions!$B$29+(1-I108)*Assumptions!$B$28</f>
        <v/>
      </c>
      <c r="K108">
        <f>C108*Assumptions!$B$141+D108*Assumptions!$B$128+E108*Assumptions!$B$129+F108*Assumptions!$B$14+G108*Assumptions!$B$13+H108*Assumptions!$B$12+I108*Assumptions!$B$11+Assumptions!$B$133+Assumptions!$B$137+Assumptions!$B$9</f>
        <v/>
      </c>
      <c r="L108">
        <f>B108-J108</f>
        <v/>
      </c>
      <c r="M108">
        <f>IF(K108&gt;0,IF(L108/K108&gt;=Assumptions!$B$37,1,0),0)</f>
        <v/>
      </c>
      <c r="N108">
        <f>K108+M108*Assumptions!$B$153</f>
        <v/>
      </c>
      <c r="O108">
        <f>L108+M108*Assumptions!$B$153*Assumptions!$B$37</f>
        <v/>
      </c>
      <c r="P108">
        <f>IF(N108&gt;0,O108/N108,0)</f>
        <v/>
      </c>
      <c r="Q108">
        <f>IF(C108=1,P108*Assumptions!$B$141,Assumptions!$B$41)</f>
        <v/>
      </c>
      <c r="R108">
        <f>IF(D108=1,P108*Assumptions!$B$128,Assumptions!$B$33)</f>
        <v/>
      </c>
      <c r="S108">
        <f>IF(E108=1,P108*Assumptions!$B$129,Assumptions!$B$32)</f>
        <v/>
      </c>
      <c r="T108">
        <f>IF(F108=1,P108*Assumptions!$B$14,Assumptions!$B$31)</f>
        <v/>
      </c>
      <c r="U108">
        <f>IF(G108=1,P108*Assumptions!$B$13,Assumptions!$B$30)</f>
        <v/>
      </c>
      <c r="V108">
        <f>IF(H108=1,P108*Assumptions!$B$12,Assumptions!$B$29)</f>
        <v/>
      </c>
      <c r="W108">
        <f>IF(I108=1,P108*Assumptions!$B$11,Assumptions!$B$28)</f>
        <v/>
      </c>
      <c r="X108">
        <f>P108*(Assumptions!$B$133+Assumptions!$B$137)</f>
        <v/>
      </c>
      <c r="Y108">
        <f>P108*Assumptions!$B$9</f>
        <v/>
      </c>
      <c r="Z108">
        <f>IF(M108=1,(P108-Assumptions!$B$37)*Assumptions!$B$153,0)</f>
        <v/>
      </c>
      <c r="AA108">
        <f>Q108+R108+S108+T108+U108+V108+W108+X108+Y108+Z108</f>
        <v/>
      </c>
      <c r="AB108" t="n">
        <v>57</v>
      </c>
      <c r="AC108" t="n">
        <v>121</v>
      </c>
      <c r="AD108" t="n">
        <v>25</v>
      </c>
      <c r="AE108" t="n">
        <v>41</v>
      </c>
      <c r="AF108" t="n">
        <v>49</v>
      </c>
      <c r="AG108" t="n">
        <v>61</v>
      </c>
      <c r="AH108" t="n">
        <v>59</v>
      </c>
      <c r="AI108" t="n">
        <v>56</v>
      </c>
      <c r="AJ108">
        <f>INDEX($Q$51:$Q$178,AC108+1)</f>
        <v/>
      </c>
      <c r="AK108">
        <f>INDEX($R$51:$R$178,AD108+1)</f>
        <v/>
      </c>
      <c r="AL108">
        <f>INDEX($S$51:$S$178,AE108+1)</f>
        <v/>
      </c>
      <c r="AM108">
        <f>INDEX($T$51:$T$178,AF108+1)</f>
        <v/>
      </c>
      <c r="AN108">
        <f>INDEX($U$51:$U$178,AG108+1)</f>
        <v/>
      </c>
      <c r="AO108">
        <f>INDEX($V$51:$V$178,AH108+1)</f>
        <v/>
      </c>
      <c r="AP108">
        <f>INDEX($W$51:$W$178,AI108+1)</f>
        <v/>
      </c>
      <c r="AQ108">
        <f>IF(Q108&gt;=AJ108-0.01,1,0)</f>
        <v/>
      </c>
      <c r="AR108">
        <f>IF(R108&gt;=AK108-0.01,1,0)</f>
        <v/>
      </c>
      <c r="AS108">
        <f>IF(S108&gt;=AL108-0.01,1,0)</f>
        <v/>
      </c>
      <c r="AT108">
        <f>IF(T108&gt;=AM108-0.01,1,0)</f>
        <v/>
      </c>
      <c r="AU108">
        <f>IF(U108&gt;=AN108-0.01,1,0)</f>
        <v/>
      </c>
      <c r="AV108">
        <f>IF(V108&gt;=AO108-0.01,1,0)</f>
        <v/>
      </c>
      <c r="AW108">
        <f>IF(W108&gt;=AP108-0.01,1,0)</f>
        <v/>
      </c>
      <c r="AX108">
        <f>AQ108*AR108*AS108*AT108*AU108*AV108*AW108</f>
        <v/>
      </c>
      <c r="AY108">
        <f>Assumptions!$B$41</f>
        <v/>
      </c>
      <c r="AZ108">
        <f>Assumptions!$B$33</f>
        <v/>
      </c>
      <c r="BA108">
        <f>Assumptions!$B$32</f>
        <v/>
      </c>
      <c r="BB108">
        <f>Assumptions!$B$31</f>
        <v/>
      </c>
      <c r="BC108">
        <f>Assumptions!$B$30</f>
        <v/>
      </c>
      <c r="BD108">
        <f>Assumptions!$B$29</f>
        <v/>
      </c>
      <c r="BE108">
        <f>Assumptions!$B$28</f>
        <v/>
      </c>
      <c r="BF108">
        <f>P108*Assumptions!$B$141</f>
        <v/>
      </c>
      <c r="BG108">
        <f>P108*Assumptions!$B$128</f>
        <v/>
      </c>
      <c r="BH108">
        <f>P108*Assumptions!$B$129</f>
        <v/>
      </c>
      <c r="BI108">
        <f>P108*Assumptions!$B$14</f>
        <v/>
      </c>
      <c r="BJ108">
        <f>P108*Assumptions!$B$13</f>
        <v/>
      </c>
      <c r="BK108">
        <f>P108*Assumptions!$B$12</f>
        <v/>
      </c>
      <c r="BL108">
        <f>P108*Assumptions!$B$11</f>
        <v/>
      </c>
    </row>
    <row r="109">
      <c r="A109" t="inlineStr">
        <is>
          <t>700M</t>
        </is>
      </c>
      <c r="B109">
        <f>Assumptions!$B$58</f>
        <v/>
      </c>
      <c r="C109" t="n">
        <v>0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>
        <f>(1-C109)*Assumptions!$B$41+(1-D109)*Assumptions!$B$33+(1-E109)*Assumptions!$B$32+(1-F109)*Assumptions!$B$31+(1-G109)*Assumptions!$B$30+(1-H109)*Assumptions!$B$29+(1-I109)*Assumptions!$B$28</f>
        <v/>
      </c>
      <c r="K109">
        <f>C109*Assumptions!$B$141+D109*Assumptions!$B$128+E109*Assumptions!$B$129+F109*Assumptions!$B$14+G109*Assumptions!$B$13+H109*Assumptions!$B$12+I109*Assumptions!$B$11+Assumptions!$B$133+Assumptions!$B$137+Assumptions!$B$9</f>
        <v/>
      </c>
      <c r="L109">
        <f>B109-J109</f>
        <v/>
      </c>
      <c r="M109">
        <f>IF(K109&gt;0,IF(L109/K109&gt;=Assumptions!$B$37,1,0),0)</f>
        <v/>
      </c>
      <c r="N109">
        <f>K109+M109*Assumptions!$B$153</f>
        <v/>
      </c>
      <c r="O109">
        <f>L109+M109*Assumptions!$B$153*Assumptions!$B$37</f>
        <v/>
      </c>
      <c r="P109">
        <f>IF(N109&gt;0,O109/N109,0)</f>
        <v/>
      </c>
      <c r="Q109">
        <f>IF(C109=1,P109*Assumptions!$B$141,Assumptions!$B$41)</f>
        <v/>
      </c>
      <c r="R109">
        <f>IF(D109=1,P109*Assumptions!$B$128,Assumptions!$B$33)</f>
        <v/>
      </c>
      <c r="S109">
        <f>IF(E109=1,P109*Assumptions!$B$129,Assumptions!$B$32)</f>
        <v/>
      </c>
      <c r="T109">
        <f>IF(F109=1,P109*Assumptions!$B$14,Assumptions!$B$31)</f>
        <v/>
      </c>
      <c r="U109">
        <f>IF(G109=1,P109*Assumptions!$B$13,Assumptions!$B$30)</f>
        <v/>
      </c>
      <c r="V109">
        <f>IF(H109=1,P109*Assumptions!$B$12,Assumptions!$B$29)</f>
        <v/>
      </c>
      <c r="W109">
        <f>IF(I109=1,P109*Assumptions!$B$11,Assumptions!$B$28)</f>
        <v/>
      </c>
      <c r="X109">
        <f>P109*(Assumptions!$B$133+Assumptions!$B$137)</f>
        <v/>
      </c>
      <c r="Y109">
        <f>P109*Assumptions!$B$9</f>
        <v/>
      </c>
      <c r="Z109">
        <f>IF(M109=1,(P109-Assumptions!$B$37)*Assumptions!$B$153,0)</f>
        <v/>
      </c>
      <c r="AA109">
        <f>Q109+R109+S109+T109+U109+V109+W109+X109+Y109+Z109</f>
        <v/>
      </c>
      <c r="AB109" t="n">
        <v>58</v>
      </c>
      <c r="AC109" t="n">
        <v>122</v>
      </c>
      <c r="AD109" t="n">
        <v>26</v>
      </c>
      <c r="AE109" t="n">
        <v>42</v>
      </c>
      <c r="AF109" t="n">
        <v>50</v>
      </c>
      <c r="AG109" t="n">
        <v>62</v>
      </c>
      <c r="AH109" t="n">
        <v>56</v>
      </c>
      <c r="AI109" t="n">
        <v>59</v>
      </c>
      <c r="AJ109">
        <f>INDEX($Q$51:$Q$178,AC109+1)</f>
        <v/>
      </c>
      <c r="AK109">
        <f>INDEX($R$51:$R$178,AD109+1)</f>
        <v/>
      </c>
      <c r="AL109">
        <f>INDEX($S$51:$S$178,AE109+1)</f>
        <v/>
      </c>
      <c r="AM109">
        <f>INDEX($T$51:$T$178,AF109+1)</f>
        <v/>
      </c>
      <c r="AN109">
        <f>INDEX($U$51:$U$178,AG109+1)</f>
        <v/>
      </c>
      <c r="AO109">
        <f>INDEX($V$51:$V$178,AH109+1)</f>
        <v/>
      </c>
      <c r="AP109">
        <f>INDEX($W$51:$W$178,AI109+1)</f>
        <v/>
      </c>
      <c r="AQ109">
        <f>IF(Q109&gt;=AJ109-0.01,1,0)</f>
        <v/>
      </c>
      <c r="AR109">
        <f>IF(R109&gt;=AK109-0.01,1,0)</f>
        <v/>
      </c>
      <c r="AS109">
        <f>IF(S109&gt;=AL109-0.01,1,0)</f>
        <v/>
      </c>
      <c r="AT109">
        <f>IF(T109&gt;=AM109-0.01,1,0)</f>
        <v/>
      </c>
      <c r="AU109">
        <f>IF(U109&gt;=AN109-0.01,1,0)</f>
        <v/>
      </c>
      <c r="AV109">
        <f>IF(V109&gt;=AO109-0.01,1,0)</f>
        <v/>
      </c>
      <c r="AW109">
        <f>IF(W109&gt;=AP109-0.01,1,0)</f>
        <v/>
      </c>
      <c r="AX109">
        <f>AQ109*AR109*AS109*AT109*AU109*AV109*AW109</f>
        <v/>
      </c>
      <c r="AY109">
        <f>Assumptions!$B$41</f>
        <v/>
      </c>
      <c r="AZ109">
        <f>Assumptions!$B$33</f>
        <v/>
      </c>
      <c r="BA109">
        <f>Assumptions!$B$32</f>
        <v/>
      </c>
      <c r="BB109">
        <f>Assumptions!$B$31</f>
        <v/>
      </c>
      <c r="BC109">
        <f>Assumptions!$B$30</f>
        <v/>
      </c>
      <c r="BD109">
        <f>Assumptions!$B$29</f>
        <v/>
      </c>
      <c r="BE109">
        <f>Assumptions!$B$28</f>
        <v/>
      </c>
      <c r="BF109">
        <f>P109*Assumptions!$B$141</f>
        <v/>
      </c>
      <c r="BG109">
        <f>P109*Assumptions!$B$128</f>
        <v/>
      </c>
      <c r="BH109">
        <f>P109*Assumptions!$B$129</f>
        <v/>
      </c>
      <c r="BI109">
        <f>P109*Assumptions!$B$14</f>
        <v/>
      </c>
      <c r="BJ109">
        <f>P109*Assumptions!$B$13</f>
        <v/>
      </c>
      <c r="BK109">
        <f>P109*Assumptions!$B$12</f>
        <v/>
      </c>
      <c r="BL109">
        <f>P109*Assumptions!$B$11</f>
        <v/>
      </c>
    </row>
    <row r="110">
      <c r="A110" t="inlineStr">
        <is>
          <t>700M</t>
        </is>
      </c>
      <c r="B110">
        <f>Assumptions!$B$58</f>
        <v/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>
        <f>(1-C110)*Assumptions!$B$41+(1-D110)*Assumptions!$B$33+(1-E110)*Assumptions!$B$32+(1-F110)*Assumptions!$B$31+(1-G110)*Assumptions!$B$30+(1-H110)*Assumptions!$B$29+(1-I110)*Assumptions!$B$28</f>
        <v/>
      </c>
      <c r="K110">
        <f>C110*Assumptions!$B$141+D110*Assumptions!$B$128+E110*Assumptions!$B$129+F110*Assumptions!$B$14+G110*Assumptions!$B$13+H110*Assumptions!$B$12+I110*Assumptions!$B$11+Assumptions!$B$133+Assumptions!$B$137+Assumptions!$B$9</f>
        <v/>
      </c>
      <c r="L110">
        <f>B110-J110</f>
        <v/>
      </c>
      <c r="M110">
        <f>IF(K110&gt;0,IF(L110/K110&gt;=Assumptions!$B$37,1,0),0)</f>
        <v/>
      </c>
      <c r="N110">
        <f>K110+M110*Assumptions!$B$153</f>
        <v/>
      </c>
      <c r="O110">
        <f>L110+M110*Assumptions!$B$153*Assumptions!$B$37</f>
        <v/>
      </c>
      <c r="P110">
        <f>IF(N110&gt;0,O110/N110,0)</f>
        <v/>
      </c>
      <c r="Q110">
        <f>IF(C110=1,P110*Assumptions!$B$141,Assumptions!$B$41)</f>
        <v/>
      </c>
      <c r="R110">
        <f>IF(D110=1,P110*Assumptions!$B$128,Assumptions!$B$33)</f>
        <v/>
      </c>
      <c r="S110">
        <f>IF(E110=1,P110*Assumptions!$B$129,Assumptions!$B$32)</f>
        <v/>
      </c>
      <c r="T110">
        <f>IF(F110=1,P110*Assumptions!$B$14,Assumptions!$B$31)</f>
        <v/>
      </c>
      <c r="U110">
        <f>IF(G110=1,P110*Assumptions!$B$13,Assumptions!$B$30)</f>
        <v/>
      </c>
      <c r="V110">
        <f>IF(H110=1,P110*Assumptions!$B$12,Assumptions!$B$29)</f>
        <v/>
      </c>
      <c r="W110">
        <f>IF(I110=1,P110*Assumptions!$B$11,Assumptions!$B$28)</f>
        <v/>
      </c>
      <c r="X110">
        <f>P110*(Assumptions!$B$133+Assumptions!$B$137)</f>
        <v/>
      </c>
      <c r="Y110">
        <f>P110*Assumptions!$B$9</f>
        <v/>
      </c>
      <c r="Z110">
        <f>IF(M110=1,(P110-Assumptions!$B$37)*Assumptions!$B$153,0)</f>
        <v/>
      </c>
      <c r="AA110">
        <f>Q110+R110+S110+T110+U110+V110+W110+X110+Y110+Z110</f>
        <v/>
      </c>
      <c r="AB110" t="n">
        <v>59</v>
      </c>
      <c r="AC110" t="n">
        <v>123</v>
      </c>
      <c r="AD110" t="n">
        <v>27</v>
      </c>
      <c r="AE110" t="n">
        <v>43</v>
      </c>
      <c r="AF110" t="n">
        <v>51</v>
      </c>
      <c r="AG110" t="n">
        <v>63</v>
      </c>
      <c r="AH110" t="n">
        <v>57</v>
      </c>
      <c r="AI110" t="n">
        <v>58</v>
      </c>
      <c r="AJ110">
        <f>INDEX($Q$51:$Q$178,AC110+1)</f>
        <v/>
      </c>
      <c r="AK110">
        <f>INDEX($R$51:$R$178,AD110+1)</f>
        <v/>
      </c>
      <c r="AL110">
        <f>INDEX($S$51:$S$178,AE110+1)</f>
        <v/>
      </c>
      <c r="AM110">
        <f>INDEX($T$51:$T$178,AF110+1)</f>
        <v/>
      </c>
      <c r="AN110">
        <f>INDEX($U$51:$U$178,AG110+1)</f>
        <v/>
      </c>
      <c r="AO110">
        <f>INDEX($V$51:$V$178,AH110+1)</f>
        <v/>
      </c>
      <c r="AP110">
        <f>INDEX($W$51:$W$178,AI110+1)</f>
        <v/>
      </c>
      <c r="AQ110">
        <f>IF(Q110&gt;=AJ110-0.01,1,0)</f>
        <v/>
      </c>
      <c r="AR110">
        <f>IF(R110&gt;=AK110-0.01,1,0)</f>
        <v/>
      </c>
      <c r="AS110">
        <f>IF(S110&gt;=AL110-0.01,1,0)</f>
        <v/>
      </c>
      <c r="AT110">
        <f>IF(T110&gt;=AM110-0.01,1,0)</f>
        <v/>
      </c>
      <c r="AU110">
        <f>IF(U110&gt;=AN110-0.01,1,0)</f>
        <v/>
      </c>
      <c r="AV110">
        <f>IF(V110&gt;=AO110-0.01,1,0)</f>
        <v/>
      </c>
      <c r="AW110">
        <f>IF(W110&gt;=AP110-0.01,1,0)</f>
        <v/>
      </c>
      <c r="AX110">
        <f>AQ110*AR110*AS110*AT110*AU110*AV110*AW110</f>
        <v/>
      </c>
      <c r="AY110">
        <f>Assumptions!$B$41</f>
        <v/>
      </c>
      <c r="AZ110">
        <f>Assumptions!$B$33</f>
        <v/>
      </c>
      <c r="BA110">
        <f>Assumptions!$B$32</f>
        <v/>
      </c>
      <c r="BB110">
        <f>Assumptions!$B$31</f>
        <v/>
      </c>
      <c r="BC110">
        <f>Assumptions!$B$30</f>
        <v/>
      </c>
      <c r="BD110">
        <f>Assumptions!$B$29</f>
        <v/>
      </c>
      <c r="BE110">
        <f>Assumptions!$B$28</f>
        <v/>
      </c>
      <c r="BF110">
        <f>P110*Assumptions!$B$141</f>
        <v/>
      </c>
      <c r="BG110">
        <f>P110*Assumptions!$B$128</f>
        <v/>
      </c>
      <c r="BH110">
        <f>P110*Assumptions!$B$129</f>
        <v/>
      </c>
      <c r="BI110">
        <f>P110*Assumptions!$B$14</f>
        <v/>
      </c>
      <c r="BJ110">
        <f>P110*Assumptions!$B$13</f>
        <v/>
      </c>
      <c r="BK110">
        <f>P110*Assumptions!$B$12</f>
        <v/>
      </c>
      <c r="BL110">
        <f>P110*Assumptions!$B$11</f>
        <v/>
      </c>
    </row>
    <row r="111">
      <c r="A111" t="inlineStr">
        <is>
          <t>700M</t>
        </is>
      </c>
      <c r="B111">
        <f>Assumptions!$B$58</f>
        <v/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>
        <f>(1-C111)*Assumptions!$B$41+(1-D111)*Assumptions!$B$33+(1-E111)*Assumptions!$B$32+(1-F111)*Assumptions!$B$31+(1-G111)*Assumptions!$B$30+(1-H111)*Assumptions!$B$29+(1-I111)*Assumptions!$B$28</f>
        <v/>
      </c>
      <c r="K111">
        <f>C111*Assumptions!$B$141+D111*Assumptions!$B$128+E111*Assumptions!$B$129+F111*Assumptions!$B$14+G111*Assumptions!$B$13+H111*Assumptions!$B$12+I111*Assumptions!$B$11+Assumptions!$B$133+Assumptions!$B$137+Assumptions!$B$9</f>
        <v/>
      </c>
      <c r="L111">
        <f>B111-J111</f>
        <v/>
      </c>
      <c r="M111">
        <f>IF(K111&gt;0,IF(L111/K111&gt;=Assumptions!$B$37,1,0),0)</f>
        <v/>
      </c>
      <c r="N111">
        <f>K111+M111*Assumptions!$B$153</f>
        <v/>
      </c>
      <c r="O111">
        <f>L111+M111*Assumptions!$B$153*Assumptions!$B$37</f>
        <v/>
      </c>
      <c r="P111">
        <f>IF(N111&gt;0,O111/N111,0)</f>
        <v/>
      </c>
      <c r="Q111">
        <f>IF(C111=1,P111*Assumptions!$B$141,Assumptions!$B$41)</f>
        <v/>
      </c>
      <c r="R111">
        <f>IF(D111=1,P111*Assumptions!$B$128,Assumptions!$B$33)</f>
        <v/>
      </c>
      <c r="S111">
        <f>IF(E111=1,P111*Assumptions!$B$129,Assumptions!$B$32)</f>
        <v/>
      </c>
      <c r="T111">
        <f>IF(F111=1,P111*Assumptions!$B$14,Assumptions!$B$31)</f>
        <v/>
      </c>
      <c r="U111">
        <f>IF(G111=1,P111*Assumptions!$B$13,Assumptions!$B$30)</f>
        <v/>
      </c>
      <c r="V111">
        <f>IF(H111=1,P111*Assumptions!$B$12,Assumptions!$B$29)</f>
        <v/>
      </c>
      <c r="W111">
        <f>IF(I111=1,P111*Assumptions!$B$11,Assumptions!$B$28)</f>
        <v/>
      </c>
      <c r="X111">
        <f>P111*(Assumptions!$B$133+Assumptions!$B$137)</f>
        <v/>
      </c>
      <c r="Y111">
        <f>P111*Assumptions!$B$9</f>
        <v/>
      </c>
      <c r="Z111">
        <f>IF(M111=1,(P111-Assumptions!$B$37)*Assumptions!$B$153,0)</f>
        <v/>
      </c>
      <c r="AA111">
        <f>Q111+R111+S111+T111+U111+V111+W111+X111+Y111+Z111</f>
        <v/>
      </c>
      <c r="AB111" t="n">
        <v>60</v>
      </c>
      <c r="AC111" t="n">
        <v>124</v>
      </c>
      <c r="AD111" t="n">
        <v>28</v>
      </c>
      <c r="AE111" t="n">
        <v>44</v>
      </c>
      <c r="AF111" t="n">
        <v>52</v>
      </c>
      <c r="AG111" t="n">
        <v>56</v>
      </c>
      <c r="AH111" t="n">
        <v>62</v>
      </c>
      <c r="AI111" t="n">
        <v>61</v>
      </c>
      <c r="AJ111">
        <f>INDEX($Q$51:$Q$178,AC111+1)</f>
        <v/>
      </c>
      <c r="AK111">
        <f>INDEX($R$51:$R$178,AD111+1)</f>
        <v/>
      </c>
      <c r="AL111">
        <f>INDEX($S$51:$S$178,AE111+1)</f>
        <v/>
      </c>
      <c r="AM111">
        <f>INDEX($T$51:$T$178,AF111+1)</f>
        <v/>
      </c>
      <c r="AN111">
        <f>INDEX($U$51:$U$178,AG111+1)</f>
        <v/>
      </c>
      <c r="AO111">
        <f>INDEX($V$51:$V$178,AH111+1)</f>
        <v/>
      </c>
      <c r="AP111">
        <f>INDEX($W$51:$W$178,AI111+1)</f>
        <v/>
      </c>
      <c r="AQ111">
        <f>IF(Q111&gt;=AJ111-0.01,1,0)</f>
        <v/>
      </c>
      <c r="AR111">
        <f>IF(R111&gt;=AK111-0.01,1,0)</f>
        <v/>
      </c>
      <c r="AS111">
        <f>IF(S111&gt;=AL111-0.01,1,0)</f>
        <v/>
      </c>
      <c r="AT111">
        <f>IF(T111&gt;=AM111-0.01,1,0)</f>
        <v/>
      </c>
      <c r="AU111">
        <f>IF(U111&gt;=AN111-0.01,1,0)</f>
        <v/>
      </c>
      <c r="AV111">
        <f>IF(V111&gt;=AO111-0.01,1,0)</f>
        <v/>
      </c>
      <c r="AW111">
        <f>IF(W111&gt;=AP111-0.01,1,0)</f>
        <v/>
      </c>
      <c r="AX111">
        <f>AQ111*AR111*AS111*AT111*AU111*AV111*AW111</f>
        <v/>
      </c>
      <c r="AY111">
        <f>Assumptions!$B$41</f>
        <v/>
      </c>
      <c r="AZ111">
        <f>Assumptions!$B$33</f>
        <v/>
      </c>
      <c r="BA111">
        <f>Assumptions!$B$32</f>
        <v/>
      </c>
      <c r="BB111">
        <f>Assumptions!$B$31</f>
        <v/>
      </c>
      <c r="BC111">
        <f>Assumptions!$B$30</f>
        <v/>
      </c>
      <c r="BD111">
        <f>Assumptions!$B$29</f>
        <v/>
      </c>
      <c r="BE111">
        <f>Assumptions!$B$28</f>
        <v/>
      </c>
      <c r="BF111">
        <f>P111*Assumptions!$B$141</f>
        <v/>
      </c>
      <c r="BG111">
        <f>P111*Assumptions!$B$128</f>
        <v/>
      </c>
      <c r="BH111">
        <f>P111*Assumptions!$B$129</f>
        <v/>
      </c>
      <c r="BI111">
        <f>P111*Assumptions!$B$14</f>
        <v/>
      </c>
      <c r="BJ111">
        <f>P111*Assumptions!$B$13</f>
        <v/>
      </c>
      <c r="BK111">
        <f>P111*Assumptions!$B$12</f>
        <v/>
      </c>
      <c r="BL111">
        <f>P111*Assumptions!$B$11</f>
        <v/>
      </c>
    </row>
    <row r="112">
      <c r="A112" t="inlineStr">
        <is>
          <t>700M</t>
        </is>
      </c>
      <c r="B112">
        <f>Assumptions!$B$58</f>
        <v/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>
        <f>(1-C112)*Assumptions!$B$41+(1-D112)*Assumptions!$B$33+(1-E112)*Assumptions!$B$32+(1-F112)*Assumptions!$B$31+(1-G112)*Assumptions!$B$30+(1-H112)*Assumptions!$B$29+(1-I112)*Assumptions!$B$28</f>
        <v/>
      </c>
      <c r="K112">
        <f>C112*Assumptions!$B$141+D112*Assumptions!$B$128+E112*Assumptions!$B$129+F112*Assumptions!$B$14+G112*Assumptions!$B$13+H112*Assumptions!$B$12+I112*Assumptions!$B$11+Assumptions!$B$133+Assumptions!$B$137+Assumptions!$B$9</f>
        <v/>
      </c>
      <c r="L112">
        <f>B112-J112</f>
        <v/>
      </c>
      <c r="M112">
        <f>IF(K112&gt;0,IF(L112/K112&gt;=Assumptions!$B$37,1,0),0)</f>
        <v/>
      </c>
      <c r="N112">
        <f>K112+M112*Assumptions!$B$153</f>
        <v/>
      </c>
      <c r="O112">
        <f>L112+M112*Assumptions!$B$153*Assumptions!$B$37</f>
        <v/>
      </c>
      <c r="P112">
        <f>IF(N112&gt;0,O112/N112,0)</f>
        <v/>
      </c>
      <c r="Q112">
        <f>IF(C112=1,P112*Assumptions!$B$141,Assumptions!$B$41)</f>
        <v/>
      </c>
      <c r="R112">
        <f>IF(D112=1,P112*Assumptions!$B$128,Assumptions!$B$33)</f>
        <v/>
      </c>
      <c r="S112">
        <f>IF(E112=1,P112*Assumptions!$B$129,Assumptions!$B$32)</f>
        <v/>
      </c>
      <c r="T112">
        <f>IF(F112=1,P112*Assumptions!$B$14,Assumptions!$B$31)</f>
        <v/>
      </c>
      <c r="U112">
        <f>IF(G112=1,P112*Assumptions!$B$13,Assumptions!$B$30)</f>
        <v/>
      </c>
      <c r="V112">
        <f>IF(H112=1,P112*Assumptions!$B$12,Assumptions!$B$29)</f>
        <v/>
      </c>
      <c r="W112">
        <f>IF(I112=1,P112*Assumptions!$B$11,Assumptions!$B$28)</f>
        <v/>
      </c>
      <c r="X112">
        <f>P112*(Assumptions!$B$133+Assumptions!$B$137)</f>
        <v/>
      </c>
      <c r="Y112">
        <f>P112*Assumptions!$B$9</f>
        <v/>
      </c>
      <c r="Z112">
        <f>IF(M112=1,(P112-Assumptions!$B$37)*Assumptions!$B$153,0)</f>
        <v/>
      </c>
      <c r="AA112">
        <f>Q112+R112+S112+T112+U112+V112+W112+X112+Y112+Z112</f>
        <v/>
      </c>
      <c r="AB112" t="n">
        <v>61</v>
      </c>
      <c r="AC112" t="n">
        <v>125</v>
      </c>
      <c r="AD112" t="n">
        <v>29</v>
      </c>
      <c r="AE112" t="n">
        <v>45</v>
      </c>
      <c r="AF112" t="n">
        <v>53</v>
      </c>
      <c r="AG112" t="n">
        <v>57</v>
      </c>
      <c r="AH112" t="n">
        <v>63</v>
      </c>
      <c r="AI112" t="n">
        <v>60</v>
      </c>
      <c r="AJ112">
        <f>INDEX($Q$51:$Q$178,AC112+1)</f>
        <v/>
      </c>
      <c r="AK112">
        <f>INDEX($R$51:$R$178,AD112+1)</f>
        <v/>
      </c>
      <c r="AL112">
        <f>INDEX($S$51:$S$178,AE112+1)</f>
        <v/>
      </c>
      <c r="AM112">
        <f>INDEX($T$51:$T$178,AF112+1)</f>
        <v/>
      </c>
      <c r="AN112">
        <f>INDEX($U$51:$U$178,AG112+1)</f>
        <v/>
      </c>
      <c r="AO112">
        <f>INDEX($V$51:$V$178,AH112+1)</f>
        <v/>
      </c>
      <c r="AP112">
        <f>INDEX($W$51:$W$178,AI112+1)</f>
        <v/>
      </c>
      <c r="AQ112">
        <f>IF(Q112&gt;=AJ112-0.01,1,0)</f>
        <v/>
      </c>
      <c r="AR112">
        <f>IF(R112&gt;=AK112-0.01,1,0)</f>
        <v/>
      </c>
      <c r="AS112">
        <f>IF(S112&gt;=AL112-0.01,1,0)</f>
        <v/>
      </c>
      <c r="AT112">
        <f>IF(T112&gt;=AM112-0.01,1,0)</f>
        <v/>
      </c>
      <c r="AU112">
        <f>IF(U112&gt;=AN112-0.01,1,0)</f>
        <v/>
      </c>
      <c r="AV112">
        <f>IF(V112&gt;=AO112-0.01,1,0)</f>
        <v/>
      </c>
      <c r="AW112">
        <f>IF(W112&gt;=AP112-0.01,1,0)</f>
        <v/>
      </c>
      <c r="AX112">
        <f>AQ112*AR112*AS112*AT112*AU112*AV112*AW112</f>
        <v/>
      </c>
      <c r="AY112">
        <f>Assumptions!$B$41</f>
        <v/>
      </c>
      <c r="AZ112">
        <f>Assumptions!$B$33</f>
        <v/>
      </c>
      <c r="BA112">
        <f>Assumptions!$B$32</f>
        <v/>
      </c>
      <c r="BB112">
        <f>Assumptions!$B$31</f>
        <v/>
      </c>
      <c r="BC112">
        <f>Assumptions!$B$30</f>
        <v/>
      </c>
      <c r="BD112">
        <f>Assumptions!$B$29</f>
        <v/>
      </c>
      <c r="BE112">
        <f>Assumptions!$B$28</f>
        <v/>
      </c>
      <c r="BF112">
        <f>P112*Assumptions!$B$141</f>
        <v/>
      </c>
      <c r="BG112">
        <f>P112*Assumptions!$B$128</f>
        <v/>
      </c>
      <c r="BH112">
        <f>P112*Assumptions!$B$129</f>
        <v/>
      </c>
      <c r="BI112">
        <f>P112*Assumptions!$B$14</f>
        <v/>
      </c>
      <c r="BJ112">
        <f>P112*Assumptions!$B$13</f>
        <v/>
      </c>
      <c r="BK112">
        <f>P112*Assumptions!$B$12</f>
        <v/>
      </c>
      <c r="BL112">
        <f>P112*Assumptions!$B$11</f>
        <v/>
      </c>
    </row>
    <row r="113">
      <c r="A113" t="inlineStr">
        <is>
          <t>700M</t>
        </is>
      </c>
      <c r="B113">
        <f>Assumptions!$B$58</f>
        <v/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>
        <f>(1-C113)*Assumptions!$B$41+(1-D113)*Assumptions!$B$33+(1-E113)*Assumptions!$B$32+(1-F113)*Assumptions!$B$31+(1-G113)*Assumptions!$B$30+(1-H113)*Assumptions!$B$29+(1-I113)*Assumptions!$B$28</f>
        <v/>
      </c>
      <c r="K113">
        <f>C113*Assumptions!$B$141+D113*Assumptions!$B$128+E113*Assumptions!$B$129+F113*Assumptions!$B$14+G113*Assumptions!$B$13+H113*Assumptions!$B$12+I113*Assumptions!$B$11+Assumptions!$B$133+Assumptions!$B$137+Assumptions!$B$9</f>
        <v/>
      </c>
      <c r="L113">
        <f>B113-J113</f>
        <v/>
      </c>
      <c r="M113">
        <f>IF(K113&gt;0,IF(L113/K113&gt;=Assumptions!$B$37,1,0),0)</f>
        <v/>
      </c>
      <c r="N113">
        <f>K113+M113*Assumptions!$B$153</f>
        <v/>
      </c>
      <c r="O113">
        <f>L113+M113*Assumptions!$B$153*Assumptions!$B$37</f>
        <v/>
      </c>
      <c r="P113">
        <f>IF(N113&gt;0,O113/N113,0)</f>
        <v/>
      </c>
      <c r="Q113">
        <f>IF(C113=1,P113*Assumptions!$B$141,Assumptions!$B$41)</f>
        <v/>
      </c>
      <c r="R113">
        <f>IF(D113=1,P113*Assumptions!$B$128,Assumptions!$B$33)</f>
        <v/>
      </c>
      <c r="S113">
        <f>IF(E113=1,P113*Assumptions!$B$129,Assumptions!$B$32)</f>
        <v/>
      </c>
      <c r="T113">
        <f>IF(F113=1,P113*Assumptions!$B$14,Assumptions!$B$31)</f>
        <v/>
      </c>
      <c r="U113">
        <f>IF(G113=1,P113*Assumptions!$B$13,Assumptions!$B$30)</f>
        <v/>
      </c>
      <c r="V113">
        <f>IF(H113=1,P113*Assumptions!$B$12,Assumptions!$B$29)</f>
        <v/>
      </c>
      <c r="W113">
        <f>IF(I113=1,P113*Assumptions!$B$11,Assumptions!$B$28)</f>
        <v/>
      </c>
      <c r="X113">
        <f>P113*(Assumptions!$B$133+Assumptions!$B$137)</f>
        <v/>
      </c>
      <c r="Y113">
        <f>P113*Assumptions!$B$9</f>
        <v/>
      </c>
      <c r="Z113">
        <f>IF(M113=1,(P113-Assumptions!$B$37)*Assumptions!$B$153,0)</f>
        <v/>
      </c>
      <c r="AA113">
        <f>Q113+R113+S113+T113+U113+V113+W113+X113+Y113+Z113</f>
        <v/>
      </c>
      <c r="AB113" t="n">
        <v>62</v>
      </c>
      <c r="AC113" t="n">
        <v>126</v>
      </c>
      <c r="AD113" t="n">
        <v>30</v>
      </c>
      <c r="AE113" t="n">
        <v>46</v>
      </c>
      <c r="AF113" t="n">
        <v>54</v>
      </c>
      <c r="AG113" t="n">
        <v>58</v>
      </c>
      <c r="AH113" t="n">
        <v>60</v>
      </c>
      <c r="AI113" t="n">
        <v>63</v>
      </c>
      <c r="AJ113">
        <f>INDEX($Q$51:$Q$178,AC113+1)</f>
        <v/>
      </c>
      <c r="AK113">
        <f>INDEX($R$51:$R$178,AD113+1)</f>
        <v/>
      </c>
      <c r="AL113">
        <f>INDEX($S$51:$S$178,AE113+1)</f>
        <v/>
      </c>
      <c r="AM113">
        <f>INDEX($T$51:$T$178,AF113+1)</f>
        <v/>
      </c>
      <c r="AN113">
        <f>INDEX($U$51:$U$178,AG113+1)</f>
        <v/>
      </c>
      <c r="AO113">
        <f>INDEX($V$51:$V$178,AH113+1)</f>
        <v/>
      </c>
      <c r="AP113">
        <f>INDEX($W$51:$W$178,AI113+1)</f>
        <v/>
      </c>
      <c r="AQ113">
        <f>IF(Q113&gt;=AJ113-0.01,1,0)</f>
        <v/>
      </c>
      <c r="AR113">
        <f>IF(R113&gt;=AK113-0.01,1,0)</f>
        <v/>
      </c>
      <c r="AS113">
        <f>IF(S113&gt;=AL113-0.01,1,0)</f>
        <v/>
      </c>
      <c r="AT113">
        <f>IF(T113&gt;=AM113-0.01,1,0)</f>
        <v/>
      </c>
      <c r="AU113">
        <f>IF(U113&gt;=AN113-0.01,1,0)</f>
        <v/>
      </c>
      <c r="AV113">
        <f>IF(V113&gt;=AO113-0.01,1,0)</f>
        <v/>
      </c>
      <c r="AW113">
        <f>IF(W113&gt;=AP113-0.01,1,0)</f>
        <v/>
      </c>
      <c r="AX113">
        <f>AQ113*AR113*AS113*AT113*AU113*AV113*AW113</f>
        <v/>
      </c>
      <c r="AY113">
        <f>Assumptions!$B$41</f>
        <v/>
      </c>
      <c r="AZ113">
        <f>Assumptions!$B$33</f>
        <v/>
      </c>
      <c r="BA113">
        <f>Assumptions!$B$32</f>
        <v/>
      </c>
      <c r="BB113">
        <f>Assumptions!$B$31</f>
        <v/>
      </c>
      <c r="BC113">
        <f>Assumptions!$B$30</f>
        <v/>
      </c>
      <c r="BD113">
        <f>Assumptions!$B$29</f>
        <v/>
      </c>
      <c r="BE113">
        <f>Assumptions!$B$28</f>
        <v/>
      </c>
      <c r="BF113">
        <f>P113*Assumptions!$B$141</f>
        <v/>
      </c>
      <c r="BG113">
        <f>P113*Assumptions!$B$128</f>
        <v/>
      </c>
      <c r="BH113">
        <f>P113*Assumptions!$B$129</f>
        <v/>
      </c>
      <c r="BI113">
        <f>P113*Assumptions!$B$14</f>
        <v/>
      </c>
      <c r="BJ113">
        <f>P113*Assumptions!$B$13</f>
        <v/>
      </c>
      <c r="BK113">
        <f>P113*Assumptions!$B$12</f>
        <v/>
      </c>
      <c r="BL113">
        <f>P113*Assumptions!$B$11</f>
        <v/>
      </c>
    </row>
    <row r="114">
      <c r="A114" t="inlineStr">
        <is>
          <t>700M</t>
        </is>
      </c>
      <c r="B114">
        <f>Assumptions!$B$58</f>
        <v/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>
        <f>(1-C114)*Assumptions!$B$41+(1-D114)*Assumptions!$B$33+(1-E114)*Assumptions!$B$32+(1-F114)*Assumptions!$B$31+(1-G114)*Assumptions!$B$30+(1-H114)*Assumptions!$B$29+(1-I114)*Assumptions!$B$28</f>
        <v/>
      </c>
      <c r="K114">
        <f>C114*Assumptions!$B$141+D114*Assumptions!$B$128+E114*Assumptions!$B$129+F114*Assumptions!$B$14+G114*Assumptions!$B$13+H114*Assumptions!$B$12+I114*Assumptions!$B$11+Assumptions!$B$133+Assumptions!$B$137+Assumptions!$B$9</f>
        <v/>
      </c>
      <c r="L114">
        <f>B114-J114</f>
        <v/>
      </c>
      <c r="M114">
        <f>IF(K114&gt;0,IF(L114/K114&gt;=Assumptions!$B$37,1,0),0)</f>
        <v/>
      </c>
      <c r="N114">
        <f>K114+M114*Assumptions!$B$153</f>
        <v/>
      </c>
      <c r="O114">
        <f>L114+M114*Assumptions!$B$153*Assumptions!$B$37</f>
        <v/>
      </c>
      <c r="P114">
        <f>IF(N114&gt;0,O114/N114,0)</f>
        <v/>
      </c>
      <c r="Q114">
        <f>IF(C114=1,P114*Assumptions!$B$141,Assumptions!$B$41)</f>
        <v/>
      </c>
      <c r="R114">
        <f>IF(D114=1,P114*Assumptions!$B$128,Assumptions!$B$33)</f>
        <v/>
      </c>
      <c r="S114">
        <f>IF(E114=1,P114*Assumptions!$B$129,Assumptions!$B$32)</f>
        <v/>
      </c>
      <c r="T114">
        <f>IF(F114=1,P114*Assumptions!$B$14,Assumptions!$B$31)</f>
        <v/>
      </c>
      <c r="U114">
        <f>IF(G114=1,P114*Assumptions!$B$13,Assumptions!$B$30)</f>
        <v/>
      </c>
      <c r="V114">
        <f>IF(H114=1,P114*Assumptions!$B$12,Assumptions!$B$29)</f>
        <v/>
      </c>
      <c r="W114">
        <f>IF(I114=1,P114*Assumptions!$B$11,Assumptions!$B$28)</f>
        <v/>
      </c>
      <c r="X114">
        <f>P114*(Assumptions!$B$133+Assumptions!$B$137)</f>
        <v/>
      </c>
      <c r="Y114">
        <f>P114*Assumptions!$B$9</f>
        <v/>
      </c>
      <c r="Z114">
        <f>IF(M114=1,(P114-Assumptions!$B$37)*Assumptions!$B$153,0)</f>
        <v/>
      </c>
      <c r="AA114">
        <f>Q114+R114+S114+T114+U114+V114+W114+X114+Y114+Z114</f>
        <v/>
      </c>
      <c r="AB114" t="n">
        <v>63</v>
      </c>
      <c r="AC114" t="n">
        <v>127</v>
      </c>
      <c r="AD114" t="n">
        <v>31</v>
      </c>
      <c r="AE114" t="n">
        <v>47</v>
      </c>
      <c r="AF114" t="n">
        <v>55</v>
      </c>
      <c r="AG114" t="n">
        <v>59</v>
      </c>
      <c r="AH114" t="n">
        <v>61</v>
      </c>
      <c r="AI114" t="n">
        <v>62</v>
      </c>
      <c r="AJ114">
        <f>INDEX($Q$51:$Q$178,AC114+1)</f>
        <v/>
      </c>
      <c r="AK114">
        <f>INDEX($R$51:$R$178,AD114+1)</f>
        <v/>
      </c>
      <c r="AL114">
        <f>INDEX($S$51:$S$178,AE114+1)</f>
        <v/>
      </c>
      <c r="AM114">
        <f>INDEX($T$51:$T$178,AF114+1)</f>
        <v/>
      </c>
      <c r="AN114">
        <f>INDEX($U$51:$U$178,AG114+1)</f>
        <v/>
      </c>
      <c r="AO114">
        <f>INDEX($V$51:$V$178,AH114+1)</f>
        <v/>
      </c>
      <c r="AP114">
        <f>INDEX($W$51:$W$178,AI114+1)</f>
        <v/>
      </c>
      <c r="AQ114">
        <f>IF(Q114&gt;=AJ114-0.01,1,0)</f>
        <v/>
      </c>
      <c r="AR114">
        <f>IF(R114&gt;=AK114-0.01,1,0)</f>
        <v/>
      </c>
      <c r="AS114">
        <f>IF(S114&gt;=AL114-0.01,1,0)</f>
        <v/>
      </c>
      <c r="AT114">
        <f>IF(T114&gt;=AM114-0.01,1,0)</f>
        <v/>
      </c>
      <c r="AU114">
        <f>IF(U114&gt;=AN114-0.01,1,0)</f>
        <v/>
      </c>
      <c r="AV114">
        <f>IF(V114&gt;=AO114-0.01,1,0)</f>
        <v/>
      </c>
      <c r="AW114">
        <f>IF(W114&gt;=AP114-0.01,1,0)</f>
        <v/>
      </c>
      <c r="AX114">
        <f>AQ114*AR114*AS114*AT114*AU114*AV114*AW114</f>
        <v/>
      </c>
      <c r="AY114">
        <f>Assumptions!$B$41</f>
        <v/>
      </c>
      <c r="AZ114">
        <f>Assumptions!$B$33</f>
        <v/>
      </c>
      <c r="BA114">
        <f>Assumptions!$B$32</f>
        <v/>
      </c>
      <c r="BB114">
        <f>Assumptions!$B$31</f>
        <v/>
      </c>
      <c r="BC114">
        <f>Assumptions!$B$30</f>
        <v/>
      </c>
      <c r="BD114">
        <f>Assumptions!$B$29</f>
        <v/>
      </c>
      <c r="BE114">
        <f>Assumptions!$B$28</f>
        <v/>
      </c>
      <c r="BF114">
        <f>P114*Assumptions!$B$141</f>
        <v/>
      </c>
      <c r="BG114">
        <f>P114*Assumptions!$B$128</f>
        <v/>
      </c>
      <c r="BH114">
        <f>P114*Assumptions!$B$129</f>
        <v/>
      </c>
      <c r="BI114">
        <f>P114*Assumptions!$B$14</f>
        <v/>
      </c>
      <c r="BJ114">
        <f>P114*Assumptions!$B$13</f>
        <v/>
      </c>
      <c r="BK114">
        <f>P114*Assumptions!$B$12</f>
        <v/>
      </c>
      <c r="BL114">
        <f>P114*Assumptions!$B$11</f>
        <v/>
      </c>
    </row>
    <row r="115">
      <c r="A115" t="inlineStr">
        <is>
          <t>700M</t>
        </is>
      </c>
      <c r="B115">
        <f>Assumptions!$B$58</f>
        <v/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>
        <f>(1-C115)*Assumptions!$B$41+(1-D115)*Assumptions!$B$33+(1-E115)*Assumptions!$B$32+(1-F115)*Assumptions!$B$31+(1-G115)*Assumptions!$B$30+(1-H115)*Assumptions!$B$29+(1-I115)*Assumptions!$B$28</f>
        <v/>
      </c>
      <c r="K115">
        <f>C115*Assumptions!$B$141+D115*Assumptions!$B$128+E115*Assumptions!$B$129+F115*Assumptions!$B$14+G115*Assumptions!$B$13+H115*Assumptions!$B$12+I115*Assumptions!$B$11+Assumptions!$B$133+Assumptions!$B$137+Assumptions!$B$9</f>
        <v/>
      </c>
      <c r="L115">
        <f>B115-J115</f>
        <v/>
      </c>
      <c r="M115">
        <f>IF(K115&gt;0,IF(L115/K115&gt;=Assumptions!$B$37,1,0),0)</f>
        <v/>
      </c>
      <c r="N115">
        <f>K115+M115*Assumptions!$B$153</f>
        <v/>
      </c>
      <c r="O115">
        <f>L115+M115*Assumptions!$B$153*Assumptions!$B$37</f>
        <v/>
      </c>
      <c r="P115">
        <f>IF(N115&gt;0,O115/N115,0)</f>
        <v/>
      </c>
      <c r="Q115">
        <f>IF(C115=1,P115*Assumptions!$B$141,Assumptions!$B$41)</f>
        <v/>
      </c>
      <c r="R115">
        <f>IF(D115=1,P115*Assumptions!$B$128,Assumptions!$B$33)</f>
        <v/>
      </c>
      <c r="S115">
        <f>IF(E115=1,P115*Assumptions!$B$129,Assumptions!$B$32)</f>
        <v/>
      </c>
      <c r="T115">
        <f>IF(F115=1,P115*Assumptions!$B$14,Assumptions!$B$31)</f>
        <v/>
      </c>
      <c r="U115">
        <f>IF(G115=1,P115*Assumptions!$B$13,Assumptions!$B$30)</f>
        <v/>
      </c>
      <c r="V115">
        <f>IF(H115=1,P115*Assumptions!$B$12,Assumptions!$B$29)</f>
        <v/>
      </c>
      <c r="W115">
        <f>IF(I115=1,P115*Assumptions!$B$11,Assumptions!$B$28)</f>
        <v/>
      </c>
      <c r="X115">
        <f>P115*(Assumptions!$B$133+Assumptions!$B$137)</f>
        <v/>
      </c>
      <c r="Y115">
        <f>P115*Assumptions!$B$9</f>
        <v/>
      </c>
      <c r="Z115">
        <f>IF(M115=1,(P115-Assumptions!$B$37)*Assumptions!$B$153,0)</f>
        <v/>
      </c>
      <c r="AA115">
        <f>Q115+R115+S115+T115+U115+V115+W115+X115+Y115+Z115</f>
        <v/>
      </c>
      <c r="AB115" t="n">
        <v>64</v>
      </c>
      <c r="AC115" t="n">
        <v>0</v>
      </c>
      <c r="AD115" t="n">
        <v>96</v>
      </c>
      <c r="AE115" t="n">
        <v>80</v>
      </c>
      <c r="AF115" t="n">
        <v>72</v>
      </c>
      <c r="AG115" t="n">
        <v>68</v>
      </c>
      <c r="AH115" t="n">
        <v>66</v>
      </c>
      <c r="AI115" t="n">
        <v>65</v>
      </c>
      <c r="AJ115">
        <f>INDEX($Q$51:$Q$178,AC115+1)</f>
        <v/>
      </c>
      <c r="AK115">
        <f>INDEX($R$51:$R$178,AD115+1)</f>
        <v/>
      </c>
      <c r="AL115">
        <f>INDEX($S$51:$S$178,AE115+1)</f>
        <v/>
      </c>
      <c r="AM115">
        <f>INDEX($T$51:$T$178,AF115+1)</f>
        <v/>
      </c>
      <c r="AN115">
        <f>INDEX($U$51:$U$178,AG115+1)</f>
        <v/>
      </c>
      <c r="AO115">
        <f>INDEX($V$51:$V$178,AH115+1)</f>
        <v/>
      </c>
      <c r="AP115">
        <f>INDEX($W$51:$W$178,AI115+1)</f>
        <v/>
      </c>
      <c r="AQ115">
        <f>IF(Q115&gt;=AJ115-0.01,1,0)</f>
        <v/>
      </c>
      <c r="AR115">
        <f>IF(R115&gt;=AK115-0.01,1,0)</f>
        <v/>
      </c>
      <c r="AS115">
        <f>IF(S115&gt;=AL115-0.01,1,0)</f>
        <v/>
      </c>
      <c r="AT115">
        <f>IF(T115&gt;=AM115-0.01,1,0)</f>
        <v/>
      </c>
      <c r="AU115">
        <f>IF(U115&gt;=AN115-0.01,1,0)</f>
        <v/>
      </c>
      <c r="AV115">
        <f>IF(V115&gt;=AO115-0.01,1,0)</f>
        <v/>
      </c>
      <c r="AW115">
        <f>IF(W115&gt;=AP115-0.01,1,0)</f>
        <v/>
      </c>
      <c r="AX115">
        <f>AQ115*AR115*AS115*AT115*AU115*AV115*AW115</f>
        <v/>
      </c>
      <c r="AY115">
        <f>Assumptions!$B$41</f>
        <v/>
      </c>
      <c r="AZ115">
        <f>Assumptions!$B$33</f>
        <v/>
      </c>
      <c r="BA115">
        <f>Assumptions!$B$32</f>
        <v/>
      </c>
      <c r="BB115">
        <f>Assumptions!$B$31</f>
        <v/>
      </c>
      <c r="BC115">
        <f>Assumptions!$B$30</f>
        <v/>
      </c>
      <c r="BD115">
        <f>Assumptions!$B$29</f>
        <v/>
      </c>
      <c r="BE115">
        <f>Assumptions!$B$28</f>
        <v/>
      </c>
      <c r="BF115">
        <f>P115*Assumptions!$B$141</f>
        <v/>
      </c>
      <c r="BG115">
        <f>P115*Assumptions!$B$128</f>
        <v/>
      </c>
      <c r="BH115">
        <f>P115*Assumptions!$B$129</f>
        <v/>
      </c>
      <c r="BI115">
        <f>P115*Assumptions!$B$14</f>
        <v/>
      </c>
      <c r="BJ115">
        <f>P115*Assumptions!$B$13</f>
        <v/>
      </c>
      <c r="BK115">
        <f>P115*Assumptions!$B$12</f>
        <v/>
      </c>
      <c r="BL115">
        <f>P115*Assumptions!$B$11</f>
        <v/>
      </c>
    </row>
    <row r="116">
      <c r="A116" t="inlineStr">
        <is>
          <t>700M</t>
        </is>
      </c>
      <c r="B116">
        <f>Assumptions!$B$58</f>
        <v/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>
        <f>(1-C116)*Assumptions!$B$41+(1-D116)*Assumptions!$B$33+(1-E116)*Assumptions!$B$32+(1-F116)*Assumptions!$B$31+(1-G116)*Assumptions!$B$30+(1-H116)*Assumptions!$B$29+(1-I116)*Assumptions!$B$28</f>
        <v/>
      </c>
      <c r="K116">
        <f>C116*Assumptions!$B$141+D116*Assumptions!$B$128+E116*Assumptions!$B$129+F116*Assumptions!$B$14+G116*Assumptions!$B$13+H116*Assumptions!$B$12+I116*Assumptions!$B$11+Assumptions!$B$133+Assumptions!$B$137+Assumptions!$B$9</f>
        <v/>
      </c>
      <c r="L116">
        <f>B116-J116</f>
        <v/>
      </c>
      <c r="M116">
        <f>IF(K116&gt;0,IF(L116/K116&gt;=Assumptions!$B$37,1,0),0)</f>
        <v/>
      </c>
      <c r="N116">
        <f>K116+M116*Assumptions!$B$153</f>
        <v/>
      </c>
      <c r="O116">
        <f>L116+M116*Assumptions!$B$153*Assumptions!$B$37</f>
        <v/>
      </c>
      <c r="P116">
        <f>IF(N116&gt;0,O116/N116,0)</f>
        <v/>
      </c>
      <c r="Q116">
        <f>IF(C116=1,P116*Assumptions!$B$141,Assumptions!$B$41)</f>
        <v/>
      </c>
      <c r="R116">
        <f>IF(D116=1,P116*Assumptions!$B$128,Assumptions!$B$33)</f>
        <v/>
      </c>
      <c r="S116">
        <f>IF(E116=1,P116*Assumptions!$B$129,Assumptions!$B$32)</f>
        <v/>
      </c>
      <c r="T116">
        <f>IF(F116=1,P116*Assumptions!$B$14,Assumptions!$B$31)</f>
        <v/>
      </c>
      <c r="U116">
        <f>IF(G116=1,P116*Assumptions!$B$13,Assumptions!$B$30)</f>
        <v/>
      </c>
      <c r="V116">
        <f>IF(H116=1,P116*Assumptions!$B$12,Assumptions!$B$29)</f>
        <v/>
      </c>
      <c r="W116">
        <f>IF(I116=1,P116*Assumptions!$B$11,Assumptions!$B$28)</f>
        <v/>
      </c>
      <c r="X116">
        <f>P116*(Assumptions!$B$133+Assumptions!$B$137)</f>
        <v/>
      </c>
      <c r="Y116">
        <f>P116*Assumptions!$B$9</f>
        <v/>
      </c>
      <c r="Z116">
        <f>IF(M116=1,(P116-Assumptions!$B$37)*Assumptions!$B$153,0)</f>
        <v/>
      </c>
      <c r="AA116">
        <f>Q116+R116+S116+T116+U116+V116+W116+X116+Y116+Z116</f>
        <v/>
      </c>
      <c r="AB116" t="n">
        <v>65</v>
      </c>
      <c r="AC116" t="n">
        <v>1</v>
      </c>
      <c r="AD116" t="n">
        <v>97</v>
      </c>
      <c r="AE116" t="n">
        <v>81</v>
      </c>
      <c r="AF116" t="n">
        <v>73</v>
      </c>
      <c r="AG116" t="n">
        <v>69</v>
      </c>
      <c r="AH116" t="n">
        <v>67</v>
      </c>
      <c r="AI116" t="n">
        <v>64</v>
      </c>
      <c r="AJ116">
        <f>INDEX($Q$51:$Q$178,AC116+1)</f>
        <v/>
      </c>
      <c r="AK116">
        <f>INDEX($R$51:$R$178,AD116+1)</f>
        <v/>
      </c>
      <c r="AL116">
        <f>INDEX($S$51:$S$178,AE116+1)</f>
        <v/>
      </c>
      <c r="AM116">
        <f>INDEX($T$51:$T$178,AF116+1)</f>
        <v/>
      </c>
      <c r="AN116">
        <f>INDEX($U$51:$U$178,AG116+1)</f>
        <v/>
      </c>
      <c r="AO116">
        <f>INDEX($V$51:$V$178,AH116+1)</f>
        <v/>
      </c>
      <c r="AP116">
        <f>INDEX($W$51:$W$178,AI116+1)</f>
        <v/>
      </c>
      <c r="AQ116">
        <f>IF(Q116&gt;=AJ116-0.01,1,0)</f>
        <v/>
      </c>
      <c r="AR116">
        <f>IF(R116&gt;=AK116-0.01,1,0)</f>
        <v/>
      </c>
      <c r="AS116">
        <f>IF(S116&gt;=AL116-0.01,1,0)</f>
        <v/>
      </c>
      <c r="AT116">
        <f>IF(T116&gt;=AM116-0.01,1,0)</f>
        <v/>
      </c>
      <c r="AU116">
        <f>IF(U116&gt;=AN116-0.01,1,0)</f>
        <v/>
      </c>
      <c r="AV116">
        <f>IF(V116&gt;=AO116-0.01,1,0)</f>
        <v/>
      </c>
      <c r="AW116">
        <f>IF(W116&gt;=AP116-0.01,1,0)</f>
        <v/>
      </c>
      <c r="AX116">
        <f>AQ116*AR116*AS116*AT116*AU116*AV116*AW116</f>
        <v/>
      </c>
      <c r="AY116">
        <f>Assumptions!$B$41</f>
        <v/>
      </c>
      <c r="AZ116">
        <f>Assumptions!$B$33</f>
        <v/>
      </c>
      <c r="BA116">
        <f>Assumptions!$B$32</f>
        <v/>
      </c>
      <c r="BB116">
        <f>Assumptions!$B$31</f>
        <v/>
      </c>
      <c r="BC116">
        <f>Assumptions!$B$30</f>
        <v/>
      </c>
      <c r="BD116">
        <f>Assumptions!$B$29</f>
        <v/>
      </c>
      <c r="BE116">
        <f>Assumptions!$B$28</f>
        <v/>
      </c>
      <c r="BF116">
        <f>P116*Assumptions!$B$141</f>
        <v/>
      </c>
      <c r="BG116">
        <f>P116*Assumptions!$B$128</f>
        <v/>
      </c>
      <c r="BH116">
        <f>P116*Assumptions!$B$129</f>
        <v/>
      </c>
      <c r="BI116">
        <f>P116*Assumptions!$B$14</f>
        <v/>
      </c>
      <c r="BJ116">
        <f>P116*Assumptions!$B$13</f>
        <v/>
      </c>
      <c r="BK116">
        <f>P116*Assumptions!$B$12</f>
        <v/>
      </c>
      <c r="BL116">
        <f>P116*Assumptions!$B$11</f>
        <v/>
      </c>
    </row>
    <row r="117">
      <c r="A117" t="inlineStr">
        <is>
          <t>700M</t>
        </is>
      </c>
      <c r="B117">
        <f>Assumptions!$B$58</f>
        <v/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>
        <f>(1-C117)*Assumptions!$B$41+(1-D117)*Assumptions!$B$33+(1-E117)*Assumptions!$B$32+(1-F117)*Assumptions!$B$31+(1-G117)*Assumptions!$B$30+(1-H117)*Assumptions!$B$29+(1-I117)*Assumptions!$B$28</f>
        <v/>
      </c>
      <c r="K117">
        <f>C117*Assumptions!$B$141+D117*Assumptions!$B$128+E117*Assumptions!$B$129+F117*Assumptions!$B$14+G117*Assumptions!$B$13+H117*Assumptions!$B$12+I117*Assumptions!$B$11+Assumptions!$B$133+Assumptions!$B$137+Assumptions!$B$9</f>
        <v/>
      </c>
      <c r="L117">
        <f>B117-J117</f>
        <v/>
      </c>
      <c r="M117">
        <f>IF(K117&gt;0,IF(L117/K117&gt;=Assumptions!$B$37,1,0),0)</f>
        <v/>
      </c>
      <c r="N117">
        <f>K117+M117*Assumptions!$B$153</f>
        <v/>
      </c>
      <c r="O117">
        <f>L117+M117*Assumptions!$B$153*Assumptions!$B$37</f>
        <v/>
      </c>
      <c r="P117">
        <f>IF(N117&gt;0,O117/N117,0)</f>
        <v/>
      </c>
      <c r="Q117">
        <f>IF(C117=1,P117*Assumptions!$B$141,Assumptions!$B$41)</f>
        <v/>
      </c>
      <c r="R117">
        <f>IF(D117=1,P117*Assumptions!$B$128,Assumptions!$B$33)</f>
        <v/>
      </c>
      <c r="S117">
        <f>IF(E117=1,P117*Assumptions!$B$129,Assumptions!$B$32)</f>
        <v/>
      </c>
      <c r="T117">
        <f>IF(F117=1,P117*Assumptions!$B$14,Assumptions!$B$31)</f>
        <v/>
      </c>
      <c r="U117">
        <f>IF(G117=1,P117*Assumptions!$B$13,Assumptions!$B$30)</f>
        <v/>
      </c>
      <c r="V117">
        <f>IF(H117=1,P117*Assumptions!$B$12,Assumptions!$B$29)</f>
        <v/>
      </c>
      <c r="W117">
        <f>IF(I117=1,P117*Assumptions!$B$11,Assumptions!$B$28)</f>
        <v/>
      </c>
      <c r="X117">
        <f>P117*(Assumptions!$B$133+Assumptions!$B$137)</f>
        <v/>
      </c>
      <c r="Y117">
        <f>P117*Assumptions!$B$9</f>
        <v/>
      </c>
      <c r="Z117">
        <f>IF(M117=1,(P117-Assumptions!$B$37)*Assumptions!$B$153,0)</f>
        <v/>
      </c>
      <c r="AA117">
        <f>Q117+R117+S117+T117+U117+V117+W117+X117+Y117+Z117</f>
        <v/>
      </c>
      <c r="AB117" t="n">
        <v>66</v>
      </c>
      <c r="AC117" t="n">
        <v>2</v>
      </c>
      <c r="AD117" t="n">
        <v>98</v>
      </c>
      <c r="AE117" t="n">
        <v>82</v>
      </c>
      <c r="AF117" t="n">
        <v>74</v>
      </c>
      <c r="AG117" t="n">
        <v>70</v>
      </c>
      <c r="AH117" t="n">
        <v>64</v>
      </c>
      <c r="AI117" t="n">
        <v>67</v>
      </c>
      <c r="AJ117">
        <f>INDEX($Q$51:$Q$178,AC117+1)</f>
        <v/>
      </c>
      <c r="AK117">
        <f>INDEX($R$51:$R$178,AD117+1)</f>
        <v/>
      </c>
      <c r="AL117">
        <f>INDEX($S$51:$S$178,AE117+1)</f>
        <v/>
      </c>
      <c r="AM117">
        <f>INDEX($T$51:$T$178,AF117+1)</f>
        <v/>
      </c>
      <c r="AN117">
        <f>INDEX($U$51:$U$178,AG117+1)</f>
        <v/>
      </c>
      <c r="AO117">
        <f>INDEX($V$51:$V$178,AH117+1)</f>
        <v/>
      </c>
      <c r="AP117">
        <f>INDEX($W$51:$W$178,AI117+1)</f>
        <v/>
      </c>
      <c r="AQ117">
        <f>IF(Q117&gt;=AJ117-0.01,1,0)</f>
        <v/>
      </c>
      <c r="AR117">
        <f>IF(R117&gt;=AK117-0.01,1,0)</f>
        <v/>
      </c>
      <c r="AS117">
        <f>IF(S117&gt;=AL117-0.01,1,0)</f>
        <v/>
      </c>
      <c r="AT117">
        <f>IF(T117&gt;=AM117-0.01,1,0)</f>
        <v/>
      </c>
      <c r="AU117">
        <f>IF(U117&gt;=AN117-0.01,1,0)</f>
        <v/>
      </c>
      <c r="AV117">
        <f>IF(V117&gt;=AO117-0.01,1,0)</f>
        <v/>
      </c>
      <c r="AW117">
        <f>IF(W117&gt;=AP117-0.01,1,0)</f>
        <v/>
      </c>
      <c r="AX117">
        <f>AQ117*AR117*AS117*AT117*AU117*AV117*AW117</f>
        <v/>
      </c>
      <c r="AY117">
        <f>Assumptions!$B$41</f>
        <v/>
      </c>
      <c r="AZ117">
        <f>Assumptions!$B$33</f>
        <v/>
      </c>
      <c r="BA117">
        <f>Assumptions!$B$32</f>
        <v/>
      </c>
      <c r="BB117">
        <f>Assumptions!$B$31</f>
        <v/>
      </c>
      <c r="BC117">
        <f>Assumptions!$B$30</f>
        <v/>
      </c>
      <c r="BD117">
        <f>Assumptions!$B$29</f>
        <v/>
      </c>
      <c r="BE117">
        <f>Assumptions!$B$28</f>
        <v/>
      </c>
      <c r="BF117">
        <f>P117*Assumptions!$B$141</f>
        <v/>
      </c>
      <c r="BG117">
        <f>P117*Assumptions!$B$128</f>
        <v/>
      </c>
      <c r="BH117">
        <f>P117*Assumptions!$B$129</f>
        <v/>
      </c>
      <c r="BI117">
        <f>P117*Assumptions!$B$14</f>
        <v/>
      </c>
      <c r="BJ117">
        <f>P117*Assumptions!$B$13</f>
        <v/>
      </c>
      <c r="BK117">
        <f>P117*Assumptions!$B$12</f>
        <v/>
      </c>
      <c r="BL117">
        <f>P117*Assumptions!$B$11</f>
        <v/>
      </c>
    </row>
    <row r="118">
      <c r="A118" t="inlineStr">
        <is>
          <t>700M</t>
        </is>
      </c>
      <c r="B118">
        <f>Assumptions!$B$58</f>
        <v/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1</v>
      </c>
      <c r="J118">
        <f>(1-C118)*Assumptions!$B$41+(1-D118)*Assumptions!$B$33+(1-E118)*Assumptions!$B$32+(1-F118)*Assumptions!$B$31+(1-G118)*Assumptions!$B$30+(1-H118)*Assumptions!$B$29+(1-I118)*Assumptions!$B$28</f>
        <v/>
      </c>
      <c r="K118">
        <f>C118*Assumptions!$B$141+D118*Assumptions!$B$128+E118*Assumptions!$B$129+F118*Assumptions!$B$14+G118*Assumptions!$B$13+H118*Assumptions!$B$12+I118*Assumptions!$B$11+Assumptions!$B$133+Assumptions!$B$137+Assumptions!$B$9</f>
        <v/>
      </c>
      <c r="L118">
        <f>B118-J118</f>
        <v/>
      </c>
      <c r="M118">
        <f>IF(K118&gt;0,IF(L118/K118&gt;=Assumptions!$B$37,1,0),0)</f>
        <v/>
      </c>
      <c r="N118">
        <f>K118+M118*Assumptions!$B$153</f>
        <v/>
      </c>
      <c r="O118">
        <f>L118+M118*Assumptions!$B$153*Assumptions!$B$37</f>
        <v/>
      </c>
      <c r="P118">
        <f>IF(N118&gt;0,O118/N118,0)</f>
        <v/>
      </c>
      <c r="Q118">
        <f>IF(C118=1,P118*Assumptions!$B$141,Assumptions!$B$41)</f>
        <v/>
      </c>
      <c r="R118">
        <f>IF(D118=1,P118*Assumptions!$B$128,Assumptions!$B$33)</f>
        <v/>
      </c>
      <c r="S118">
        <f>IF(E118=1,P118*Assumptions!$B$129,Assumptions!$B$32)</f>
        <v/>
      </c>
      <c r="T118">
        <f>IF(F118=1,P118*Assumptions!$B$14,Assumptions!$B$31)</f>
        <v/>
      </c>
      <c r="U118">
        <f>IF(G118=1,P118*Assumptions!$B$13,Assumptions!$B$30)</f>
        <v/>
      </c>
      <c r="V118">
        <f>IF(H118=1,P118*Assumptions!$B$12,Assumptions!$B$29)</f>
        <v/>
      </c>
      <c r="W118">
        <f>IF(I118=1,P118*Assumptions!$B$11,Assumptions!$B$28)</f>
        <v/>
      </c>
      <c r="X118">
        <f>P118*(Assumptions!$B$133+Assumptions!$B$137)</f>
        <v/>
      </c>
      <c r="Y118">
        <f>P118*Assumptions!$B$9</f>
        <v/>
      </c>
      <c r="Z118">
        <f>IF(M118=1,(P118-Assumptions!$B$37)*Assumptions!$B$153,0)</f>
        <v/>
      </c>
      <c r="AA118">
        <f>Q118+R118+S118+T118+U118+V118+W118+X118+Y118+Z118</f>
        <v/>
      </c>
      <c r="AB118" t="n">
        <v>67</v>
      </c>
      <c r="AC118" t="n">
        <v>3</v>
      </c>
      <c r="AD118" t="n">
        <v>99</v>
      </c>
      <c r="AE118" t="n">
        <v>83</v>
      </c>
      <c r="AF118" t="n">
        <v>75</v>
      </c>
      <c r="AG118" t="n">
        <v>71</v>
      </c>
      <c r="AH118" t="n">
        <v>65</v>
      </c>
      <c r="AI118" t="n">
        <v>66</v>
      </c>
      <c r="AJ118">
        <f>INDEX($Q$51:$Q$178,AC118+1)</f>
        <v/>
      </c>
      <c r="AK118">
        <f>INDEX($R$51:$R$178,AD118+1)</f>
        <v/>
      </c>
      <c r="AL118">
        <f>INDEX($S$51:$S$178,AE118+1)</f>
        <v/>
      </c>
      <c r="AM118">
        <f>INDEX($T$51:$T$178,AF118+1)</f>
        <v/>
      </c>
      <c r="AN118">
        <f>INDEX($U$51:$U$178,AG118+1)</f>
        <v/>
      </c>
      <c r="AO118">
        <f>INDEX($V$51:$V$178,AH118+1)</f>
        <v/>
      </c>
      <c r="AP118">
        <f>INDEX($W$51:$W$178,AI118+1)</f>
        <v/>
      </c>
      <c r="AQ118">
        <f>IF(Q118&gt;=AJ118-0.01,1,0)</f>
        <v/>
      </c>
      <c r="AR118">
        <f>IF(R118&gt;=AK118-0.01,1,0)</f>
        <v/>
      </c>
      <c r="AS118">
        <f>IF(S118&gt;=AL118-0.01,1,0)</f>
        <v/>
      </c>
      <c r="AT118">
        <f>IF(T118&gt;=AM118-0.01,1,0)</f>
        <v/>
      </c>
      <c r="AU118">
        <f>IF(U118&gt;=AN118-0.01,1,0)</f>
        <v/>
      </c>
      <c r="AV118">
        <f>IF(V118&gt;=AO118-0.01,1,0)</f>
        <v/>
      </c>
      <c r="AW118">
        <f>IF(W118&gt;=AP118-0.01,1,0)</f>
        <v/>
      </c>
      <c r="AX118">
        <f>AQ118*AR118*AS118*AT118*AU118*AV118*AW118</f>
        <v/>
      </c>
      <c r="AY118">
        <f>Assumptions!$B$41</f>
        <v/>
      </c>
      <c r="AZ118">
        <f>Assumptions!$B$33</f>
        <v/>
      </c>
      <c r="BA118">
        <f>Assumptions!$B$32</f>
        <v/>
      </c>
      <c r="BB118">
        <f>Assumptions!$B$31</f>
        <v/>
      </c>
      <c r="BC118">
        <f>Assumptions!$B$30</f>
        <v/>
      </c>
      <c r="BD118">
        <f>Assumptions!$B$29</f>
        <v/>
      </c>
      <c r="BE118">
        <f>Assumptions!$B$28</f>
        <v/>
      </c>
      <c r="BF118">
        <f>P118*Assumptions!$B$141</f>
        <v/>
      </c>
      <c r="BG118">
        <f>P118*Assumptions!$B$128</f>
        <v/>
      </c>
      <c r="BH118">
        <f>P118*Assumptions!$B$129</f>
        <v/>
      </c>
      <c r="BI118">
        <f>P118*Assumptions!$B$14</f>
        <v/>
      </c>
      <c r="BJ118">
        <f>P118*Assumptions!$B$13</f>
        <v/>
      </c>
      <c r="BK118">
        <f>P118*Assumptions!$B$12</f>
        <v/>
      </c>
      <c r="BL118">
        <f>P118*Assumptions!$B$11</f>
        <v/>
      </c>
    </row>
    <row r="119">
      <c r="A119" t="inlineStr">
        <is>
          <t>700M</t>
        </is>
      </c>
      <c r="B119">
        <f>Assumptions!$B$58</f>
        <v/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>
        <f>(1-C119)*Assumptions!$B$41+(1-D119)*Assumptions!$B$33+(1-E119)*Assumptions!$B$32+(1-F119)*Assumptions!$B$31+(1-G119)*Assumptions!$B$30+(1-H119)*Assumptions!$B$29+(1-I119)*Assumptions!$B$28</f>
        <v/>
      </c>
      <c r="K119">
        <f>C119*Assumptions!$B$141+D119*Assumptions!$B$128+E119*Assumptions!$B$129+F119*Assumptions!$B$14+G119*Assumptions!$B$13+H119*Assumptions!$B$12+I119*Assumptions!$B$11+Assumptions!$B$133+Assumptions!$B$137+Assumptions!$B$9</f>
        <v/>
      </c>
      <c r="L119">
        <f>B119-J119</f>
        <v/>
      </c>
      <c r="M119">
        <f>IF(K119&gt;0,IF(L119/K119&gt;=Assumptions!$B$37,1,0),0)</f>
        <v/>
      </c>
      <c r="N119">
        <f>K119+M119*Assumptions!$B$153</f>
        <v/>
      </c>
      <c r="O119">
        <f>L119+M119*Assumptions!$B$153*Assumptions!$B$37</f>
        <v/>
      </c>
      <c r="P119">
        <f>IF(N119&gt;0,O119/N119,0)</f>
        <v/>
      </c>
      <c r="Q119">
        <f>IF(C119=1,P119*Assumptions!$B$141,Assumptions!$B$41)</f>
        <v/>
      </c>
      <c r="R119">
        <f>IF(D119=1,P119*Assumptions!$B$128,Assumptions!$B$33)</f>
        <v/>
      </c>
      <c r="S119">
        <f>IF(E119=1,P119*Assumptions!$B$129,Assumptions!$B$32)</f>
        <v/>
      </c>
      <c r="T119">
        <f>IF(F119=1,P119*Assumptions!$B$14,Assumptions!$B$31)</f>
        <v/>
      </c>
      <c r="U119">
        <f>IF(G119=1,P119*Assumptions!$B$13,Assumptions!$B$30)</f>
        <v/>
      </c>
      <c r="V119">
        <f>IF(H119=1,P119*Assumptions!$B$12,Assumptions!$B$29)</f>
        <v/>
      </c>
      <c r="W119">
        <f>IF(I119=1,P119*Assumptions!$B$11,Assumptions!$B$28)</f>
        <v/>
      </c>
      <c r="X119">
        <f>P119*(Assumptions!$B$133+Assumptions!$B$137)</f>
        <v/>
      </c>
      <c r="Y119">
        <f>P119*Assumptions!$B$9</f>
        <v/>
      </c>
      <c r="Z119">
        <f>IF(M119=1,(P119-Assumptions!$B$37)*Assumptions!$B$153,0)</f>
        <v/>
      </c>
      <c r="AA119">
        <f>Q119+R119+S119+T119+U119+V119+W119+X119+Y119+Z119</f>
        <v/>
      </c>
      <c r="AB119" t="n">
        <v>68</v>
      </c>
      <c r="AC119" t="n">
        <v>4</v>
      </c>
      <c r="AD119" t="n">
        <v>100</v>
      </c>
      <c r="AE119" t="n">
        <v>84</v>
      </c>
      <c r="AF119" t="n">
        <v>76</v>
      </c>
      <c r="AG119" t="n">
        <v>64</v>
      </c>
      <c r="AH119" t="n">
        <v>70</v>
      </c>
      <c r="AI119" t="n">
        <v>69</v>
      </c>
      <c r="AJ119">
        <f>INDEX($Q$51:$Q$178,AC119+1)</f>
        <v/>
      </c>
      <c r="AK119">
        <f>INDEX($R$51:$R$178,AD119+1)</f>
        <v/>
      </c>
      <c r="AL119">
        <f>INDEX($S$51:$S$178,AE119+1)</f>
        <v/>
      </c>
      <c r="AM119">
        <f>INDEX($T$51:$T$178,AF119+1)</f>
        <v/>
      </c>
      <c r="AN119">
        <f>INDEX($U$51:$U$178,AG119+1)</f>
        <v/>
      </c>
      <c r="AO119">
        <f>INDEX($V$51:$V$178,AH119+1)</f>
        <v/>
      </c>
      <c r="AP119">
        <f>INDEX($W$51:$W$178,AI119+1)</f>
        <v/>
      </c>
      <c r="AQ119">
        <f>IF(Q119&gt;=AJ119-0.01,1,0)</f>
        <v/>
      </c>
      <c r="AR119">
        <f>IF(R119&gt;=AK119-0.01,1,0)</f>
        <v/>
      </c>
      <c r="AS119">
        <f>IF(S119&gt;=AL119-0.01,1,0)</f>
        <v/>
      </c>
      <c r="AT119">
        <f>IF(T119&gt;=AM119-0.01,1,0)</f>
        <v/>
      </c>
      <c r="AU119">
        <f>IF(U119&gt;=AN119-0.01,1,0)</f>
        <v/>
      </c>
      <c r="AV119">
        <f>IF(V119&gt;=AO119-0.01,1,0)</f>
        <v/>
      </c>
      <c r="AW119">
        <f>IF(W119&gt;=AP119-0.01,1,0)</f>
        <v/>
      </c>
      <c r="AX119">
        <f>AQ119*AR119*AS119*AT119*AU119*AV119*AW119</f>
        <v/>
      </c>
      <c r="AY119">
        <f>Assumptions!$B$41</f>
        <v/>
      </c>
      <c r="AZ119">
        <f>Assumptions!$B$33</f>
        <v/>
      </c>
      <c r="BA119">
        <f>Assumptions!$B$32</f>
        <v/>
      </c>
      <c r="BB119">
        <f>Assumptions!$B$31</f>
        <v/>
      </c>
      <c r="BC119">
        <f>Assumptions!$B$30</f>
        <v/>
      </c>
      <c r="BD119">
        <f>Assumptions!$B$29</f>
        <v/>
      </c>
      <c r="BE119">
        <f>Assumptions!$B$28</f>
        <v/>
      </c>
      <c r="BF119">
        <f>P119*Assumptions!$B$141</f>
        <v/>
      </c>
      <c r="BG119">
        <f>P119*Assumptions!$B$128</f>
        <v/>
      </c>
      <c r="BH119">
        <f>P119*Assumptions!$B$129</f>
        <v/>
      </c>
      <c r="BI119">
        <f>P119*Assumptions!$B$14</f>
        <v/>
      </c>
      <c r="BJ119">
        <f>P119*Assumptions!$B$13</f>
        <v/>
      </c>
      <c r="BK119">
        <f>P119*Assumptions!$B$12</f>
        <v/>
      </c>
      <c r="BL119">
        <f>P119*Assumptions!$B$11</f>
        <v/>
      </c>
    </row>
    <row r="120">
      <c r="A120" t="inlineStr">
        <is>
          <t>700M</t>
        </is>
      </c>
      <c r="B120">
        <f>Assumptions!$B$58</f>
        <v/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>
        <f>(1-C120)*Assumptions!$B$41+(1-D120)*Assumptions!$B$33+(1-E120)*Assumptions!$B$32+(1-F120)*Assumptions!$B$31+(1-G120)*Assumptions!$B$30+(1-H120)*Assumptions!$B$29+(1-I120)*Assumptions!$B$28</f>
        <v/>
      </c>
      <c r="K120">
        <f>C120*Assumptions!$B$141+D120*Assumptions!$B$128+E120*Assumptions!$B$129+F120*Assumptions!$B$14+G120*Assumptions!$B$13+H120*Assumptions!$B$12+I120*Assumptions!$B$11+Assumptions!$B$133+Assumptions!$B$137+Assumptions!$B$9</f>
        <v/>
      </c>
      <c r="L120">
        <f>B120-J120</f>
        <v/>
      </c>
      <c r="M120">
        <f>IF(K120&gt;0,IF(L120/K120&gt;=Assumptions!$B$37,1,0),0)</f>
        <v/>
      </c>
      <c r="N120">
        <f>K120+M120*Assumptions!$B$153</f>
        <v/>
      </c>
      <c r="O120">
        <f>L120+M120*Assumptions!$B$153*Assumptions!$B$37</f>
        <v/>
      </c>
      <c r="P120">
        <f>IF(N120&gt;0,O120/N120,0)</f>
        <v/>
      </c>
      <c r="Q120">
        <f>IF(C120=1,P120*Assumptions!$B$141,Assumptions!$B$41)</f>
        <v/>
      </c>
      <c r="R120">
        <f>IF(D120=1,P120*Assumptions!$B$128,Assumptions!$B$33)</f>
        <v/>
      </c>
      <c r="S120">
        <f>IF(E120=1,P120*Assumptions!$B$129,Assumptions!$B$32)</f>
        <v/>
      </c>
      <c r="T120">
        <f>IF(F120=1,P120*Assumptions!$B$14,Assumptions!$B$31)</f>
        <v/>
      </c>
      <c r="U120">
        <f>IF(G120=1,P120*Assumptions!$B$13,Assumptions!$B$30)</f>
        <v/>
      </c>
      <c r="V120">
        <f>IF(H120=1,P120*Assumptions!$B$12,Assumptions!$B$29)</f>
        <v/>
      </c>
      <c r="W120">
        <f>IF(I120=1,P120*Assumptions!$B$11,Assumptions!$B$28)</f>
        <v/>
      </c>
      <c r="X120">
        <f>P120*(Assumptions!$B$133+Assumptions!$B$137)</f>
        <v/>
      </c>
      <c r="Y120">
        <f>P120*Assumptions!$B$9</f>
        <v/>
      </c>
      <c r="Z120">
        <f>IF(M120=1,(P120-Assumptions!$B$37)*Assumptions!$B$153,0)</f>
        <v/>
      </c>
      <c r="AA120">
        <f>Q120+R120+S120+T120+U120+V120+W120+X120+Y120+Z120</f>
        <v/>
      </c>
      <c r="AB120" t="n">
        <v>69</v>
      </c>
      <c r="AC120" t="n">
        <v>5</v>
      </c>
      <c r="AD120" t="n">
        <v>101</v>
      </c>
      <c r="AE120" t="n">
        <v>85</v>
      </c>
      <c r="AF120" t="n">
        <v>77</v>
      </c>
      <c r="AG120" t="n">
        <v>65</v>
      </c>
      <c r="AH120" t="n">
        <v>71</v>
      </c>
      <c r="AI120" t="n">
        <v>68</v>
      </c>
      <c r="AJ120">
        <f>INDEX($Q$51:$Q$178,AC120+1)</f>
        <v/>
      </c>
      <c r="AK120">
        <f>INDEX($R$51:$R$178,AD120+1)</f>
        <v/>
      </c>
      <c r="AL120">
        <f>INDEX($S$51:$S$178,AE120+1)</f>
        <v/>
      </c>
      <c r="AM120">
        <f>INDEX($T$51:$T$178,AF120+1)</f>
        <v/>
      </c>
      <c r="AN120">
        <f>INDEX($U$51:$U$178,AG120+1)</f>
        <v/>
      </c>
      <c r="AO120">
        <f>INDEX($V$51:$V$178,AH120+1)</f>
        <v/>
      </c>
      <c r="AP120">
        <f>INDEX($W$51:$W$178,AI120+1)</f>
        <v/>
      </c>
      <c r="AQ120">
        <f>IF(Q120&gt;=AJ120-0.01,1,0)</f>
        <v/>
      </c>
      <c r="AR120">
        <f>IF(R120&gt;=AK120-0.01,1,0)</f>
        <v/>
      </c>
      <c r="AS120">
        <f>IF(S120&gt;=AL120-0.01,1,0)</f>
        <v/>
      </c>
      <c r="AT120">
        <f>IF(T120&gt;=AM120-0.01,1,0)</f>
        <v/>
      </c>
      <c r="AU120">
        <f>IF(U120&gt;=AN120-0.01,1,0)</f>
        <v/>
      </c>
      <c r="AV120">
        <f>IF(V120&gt;=AO120-0.01,1,0)</f>
        <v/>
      </c>
      <c r="AW120">
        <f>IF(W120&gt;=AP120-0.01,1,0)</f>
        <v/>
      </c>
      <c r="AX120">
        <f>AQ120*AR120*AS120*AT120*AU120*AV120*AW120</f>
        <v/>
      </c>
      <c r="AY120">
        <f>Assumptions!$B$41</f>
        <v/>
      </c>
      <c r="AZ120">
        <f>Assumptions!$B$33</f>
        <v/>
      </c>
      <c r="BA120">
        <f>Assumptions!$B$32</f>
        <v/>
      </c>
      <c r="BB120">
        <f>Assumptions!$B$31</f>
        <v/>
      </c>
      <c r="BC120">
        <f>Assumptions!$B$30</f>
        <v/>
      </c>
      <c r="BD120">
        <f>Assumptions!$B$29</f>
        <v/>
      </c>
      <c r="BE120">
        <f>Assumptions!$B$28</f>
        <v/>
      </c>
      <c r="BF120">
        <f>P120*Assumptions!$B$141</f>
        <v/>
      </c>
      <c r="BG120">
        <f>P120*Assumptions!$B$128</f>
        <v/>
      </c>
      <c r="BH120">
        <f>P120*Assumptions!$B$129</f>
        <v/>
      </c>
      <c r="BI120">
        <f>P120*Assumptions!$B$14</f>
        <v/>
      </c>
      <c r="BJ120">
        <f>P120*Assumptions!$B$13</f>
        <v/>
      </c>
      <c r="BK120">
        <f>P120*Assumptions!$B$12</f>
        <v/>
      </c>
      <c r="BL120">
        <f>P120*Assumptions!$B$11</f>
        <v/>
      </c>
    </row>
    <row r="121">
      <c r="A121" t="inlineStr">
        <is>
          <t>700M</t>
        </is>
      </c>
      <c r="B121">
        <f>Assumptions!$B$58</f>
        <v/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>
        <f>(1-C121)*Assumptions!$B$41+(1-D121)*Assumptions!$B$33+(1-E121)*Assumptions!$B$32+(1-F121)*Assumptions!$B$31+(1-G121)*Assumptions!$B$30+(1-H121)*Assumptions!$B$29+(1-I121)*Assumptions!$B$28</f>
        <v/>
      </c>
      <c r="K121">
        <f>C121*Assumptions!$B$141+D121*Assumptions!$B$128+E121*Assumptions!$B$129+F121*Assumptions!$B$14+G121*Assumptions!$B$13+H121*Assumptions!$B$12+I121*Assumptions!$B$11+Assumptions!$B$133+Assumptions!$B$137+Assumptions!$B$9</f>
        <v/>
      </c>
      <c r="L121">
        <f>B121-J121</f>
        <v/>
      </c>
      <c r="M121">
        <f>IF(K121&gt;0,IF(L121/K121&gt;=Assumptions!$B$37,1,0),0)</f>
        <v/>
      </c>
      <c r="N121">
        <f>K121+M121*Assumptions!$B$153</f>
        <v/>
      </c>
      <c r="O121">
        <f>L121+M121*Assumptions!$B$153*Assumptions!$B$37</f>
        <v/>
      </c>
      <c r="P121">
        <f>IF(N121&gt;0,O121/N121,0)</f>
        <v/>
      </c>
      <c r="Q121">
        <f>IF(C121=1,P121*Assumptions!$B$141,Assumptions!$B$41)</f>
        <v/>
      </c>
      <c r="R121">
        <f>IF(D121=1,P121*Assumptions!$B$128,Assumptions!$B$33)</f>
        <v/>
      </c>
      <c r="S121">
        <f>IF(E121=1,P121*Assumptions!$B$129,Assumptions!$B$32)</f>
        <v/>
      </c>
      <c r="T121">
        <f>IF(F121=1,P121*Assumptions!$B$14,Assumptions!$B$31)</f>
        <v/>
      </c>
      <c r="U121">
        <f>IF(G121=1,P121*Assumptions!$B$13,Assumptions!$B$30)</f>
        <v/>
      </c>
      <c r="V121">
        <f>IF(H121=1,P121*Assumptions!$B$12,Assumptions!$B$29)</f>
        <v/>
      </c>
      <c r="W121">
        <f>IF(I121=1,P121*Assumptions!$B$11,Assumptions!$B$28)</f>
        <v/>
      </c>
      <c r="X121">
        <f>P121*(Assumptions!$B$133+Assumptions!$B$137)</f>
        <v/>
      </c>
      <c r="Y121">
        <f>P121*Assumptions!$B$9</f>
        <v/>
      </c>
      <c r="Z121">
        <f>IF(M121=1,(P121-Assumptions!$B$37)*Assumptions!$B$153,0)</f>
        <v/>
      </c>
      <c r="AA121">
        <f>Q121+R121+S121+T121+U121+V121+W121+X121+Y121+Z121</f>
        <v/>
      </c>
      <c r="AB121" t="n">
        <v>70</v>
      </c>
      <c r="AC121" t="n">
        <v>6</v>
      </c>
      <c r="AD121" t="n">
        <v>102</v>
      </c>
      <c r="AE121" t="n">
        <v>86</v>
      </c>
      <c r="AF121" t="n">
        <v>78</v>
      </c>
      <c r="AG121" t="n">
        <v>66</v>
      </c>
      <c r="AH121" t="n">
        <v>68</v>
      </c>
      <c r="AI121" t="n">
        <v>71</v>
      </c>
      <c r="AJ121">
        <f>INDEX($Q$51:$Q$178,AC121+1)</f>
        <v/>
      </c>
      <c r="AK121">
        <f>INDEX($R$51:$R$178,AD121+1)</f>
        <v/>
      </c>
      <c r="AL121">
        <f>INDEX($S$51:$S$178,AE121+1)</f>
        <v/>
      </c>
      <c r="AM121">
        <f>INDEX($T$51:$T$178,AF121+1)</f>
        <v/>
      </c>
      <c r="AN121">
        <f>INDEX($U$51:$U$178,AG121+1)</f>
        <v/>
      </c>
      <c r="AO121">
        <f>INDEX($V$51:$V$178,AH121+1)</f>
        <v/>
      </c>
      <c r="AP121">
        <f>INDEX($W$51:$W$178,AI121+1)</f>
        <v/>
      </c>
      <c r="AQ121">
        <f>IF(Q121&gt;=AJ121-0.01,1,0)</f>
        <v/>
      </c>
      <c r="AR121">
        <f>IF(R121&gt;=AK121-0.01,1,0)</f>
        <v/>
      </c>
      <c r="AS121">
        <f>IF(S121&gt;=AL121-0.01,1,0)</f>
        <v/>
      </c>
      <c r="AT121">
        <f>IF(T121&gt;=AM121-0.01,1,0)</f>
        <v/>
      </c>
      <c r="AU121">
        <f>IF(U121&gt;=AN121-0.01,1,0)</f>
        <v/>
      </c>
      <c r="AV121">
        <f>IF(V121&gt;=AO121-0.01,1,0)</f>
        <v/>
      </c>
      <c r="AW121">
        <f>IF(W121&gt;=AP121-0.01,1,0)</f>
        <v/>
      </c>
      <c r="AX121">
        <f>AQ121*AR121*AS121*AT121*AU121*AV121*AW121</f>
        <v/>
      </c>
      <c r="AY121">
        <f>Assumptions!$B$41</f>
        <v/>
      </c>
      <c r="AZ121">
        <f>Assumptions!$B$33</f>
        <v/>
      </c>
      <c r="BA121">
        <f>Assumptions!$B$32</f>
        <v/>
      </c>
      <c r="BB121">
        <f>Assumptions!$B$31</f>
        <v/>
      </c>
      <c r="BC121">
        <f>Assumptions!$B$30</f>
        <v/>
      </c>
      <c r="BD121">
        <f>Assumptions!$B$29</f>
        <v/>
      </c>
      <c r="BE121">
        <f>Assumptions!$B$28</f>
        <v/>
      </c>
      <c r="BF121">
        <f>P121*Assumptions!$B$141</f>
        <v/>
      </c>
      <c r="BG121">
        <f>P121*Assumptions!$B$128</f>
        <v/>
      </c>
      <c r="BH121">
        <f>P121*Assumptions!$B$129</f>
        <v/>
      </c>
      <c r="BI121">
        <f>P121*Assumptions!$B$14</f>
        <v/>
      </c>
      <c r="BJ121">
        <f>P121*Assumptions!$B$13</f>
        <v/>
      </c>
      <c r="BK121">
        <f>P121*Assumptions!$B$12</f>
        <v/>
      </c>
      <c r="BL121">
        <f>P121*Assumptions!$B$11</f>
        <v/>
      </c>
    </row>
    <row r="122">
      <c r="A122" t="inlineStr">
        <is>
          <t>700M</t>
        </is>
      </c>
      <c r="B122">
        <f>Assumptions!$B$58</f>
        <v/>
      </c>
      <c r="C122" t="n">
        <v>1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>
        <f>(1-C122)*Assumptions!$B$41+(1-D122)*Assumptions!$B$33+(1-E122)*Assumptions!$B$32+(1-F122)*Assumptions!$B$31+(1-G122)*Assumptions!$B$30+(1-H122)*Assumptions!$B$29+(1-I122)*Assumptions!$B$28</f>
        <v/>
      </c>
      <c r="K122">
        <f>C122*Assumptions!$B$141+D122*Assumptions!$B$128+E122*Assumptions!$B$129+F122*Assumptions!$B$14+G122*Assumptions!$B$13+H122*Assumptions!$B$12+I122*Assumptions!$B$11+Assumptions!$B$133+Assumptions!$B$137+Assumptions!$B$9</f>
        <v/>
      </c>
      <c r="L122">
        <f>B122-J122</f>
        <v/>
      </c>
      <c r="M122">
        <f>IF(K122&gt;0,IF(L122/K122&gt;=Assumptions!$B$37,1,0),0)</f>
        <v/>
      </c>
      <c r="N122">
        <f>K122+M122*Assumptions!$B$153</f>
        <v/>
      </c>
      <c r="O122">
        <f>L122+M122*Assumptions!$B$153*Assumptions!$B$37</f>
        <v/>
      </c>
      <c r="P122">
        <f>IF(N122&gt;0,O122/N122,0)</f>
        <v/>
      </c>
      <c r="Q122">
        <f>IF(C122=1,P122*Assumptions!$B$141,Assumptions!$B$41)</f>
        <v/>
      </c>
      <c r="R122">
        <f>IF(D122=1,P122*Assumptions!$B$128,Assumptions!$B$33)</f>
        <v/>
      </c>
      <c r="S122">
        <f>IF(E122=1,P122*Assumptions!$B$129,Assumptions!$B$32)</f>
        <v/>
      </c>
      <c r="T122">
        <f>IF(F122=1,P122*Assumptions!$B$14,Assumptions!$B$31)</f>
        <v/>
      </c>
      <c r="U122">
        <f>IF(G122=1,P122*Assumptions!$B$13,Assumptions!$B$30)</f>
        <v/>
      </c>
      <c r="V122">
        <f>IF(H122=1,P122*Assumptions!$B$12,Assumptions!$B$29)</f>
        <v/>
      </c>
      <c r="W122">
        <f>IF(I122=1,P122*Assumptions!$B$11,Assumptions!$B$28)</f>
        <v/>
      </c>
      <c r="X122">
        <f>P122*(Assumptions!$B$133+Assumptions!$B$137)</f>
        <v/>
      </c>
      <c r="Y122">
        <f>P122*Assumptions!$B$9</f>
        <v/>
      </c>
      <c r="Z122">
        <f>IF(M122=1,(P122-Assumptions!$B$37)*Assumptions!$B$153,0)</f>
        <v/>
      </c>
      <c r="AA122">
        <f>Q122+R122+S122+T122+U122+V122+W122+X122+Y122+Z122</f>
        <v/>
      </c>
      <c r="AB122" t="n">
        <v>71</v>
      </c>
      <c r="AC122" t="n">
        <v>7</v>
      </c>
      <c r="AD122" t="n">
        <v>103</v>
      </c>
      <c r="AE122" t="n">
        <v>87</v>
      </c>
      <c r="AF122" t="n">
        <v>79</v>
      </c>
      <c r="AG122" t="n">
        <v>67</v>
      </c>
      <c r="AH122" t="n">
        <v>69</v>
      </c>
      <c r="AI122" t="n">
        <v>70</v>
      </c>
      <c r="AJ122">
        <f>INDEX($Q$51:$Q$178,AC122+1)</f>
        <v/>
      </c>
      <c r="AK122">
        <f>INDEX($R$51:$R$178,AD122+1)</f>
        <v/>
      </c>
      <c r="AL122">
        <f>INDEX($S$51:$S$178,AE122+1)</f>
        <v/>
      </c>
      <c r="AM122">
        <f>INDEX($T$51:$T$178,AF122+1)</f>
        <v/>
      </c>
      <c r="AN122">
        <f>INDEX($U$51:$U$178,AG122+1)</f>
        <v/>
      </c>
      <c r="AO122">
        <f>INDEX($V$51:$V$178,AH122+1)</f>
        <v/>
      </c>
      <c r="AP122">
        <f>INDEX($W$51:$W$178,AI122+1)</f>
        <v/>
      </c>
      <c r="AQ122">
        <f>IF(Q122&gt;=AJ122-0.01,1,0)</f>
        <v/>
      </c>
      <c r="AR122">
        <f>IF(R122&gt;=AK122-0.01,1,0)</f>
        <v/>
      </c>
      <c r="AS122">
        <f>IF(S122&gt;=AL122-0.01,1,0)</f>
        <v/>
      </c>
      <c r="AT122">
        <f>IF(T122&gt;=AM122-0.01,1,0)</f>
        <v/>
      </c>
      <c r="AU122">
        <f>IF(U122&gt;=AN122-0.01,1,0)</f>
        <v/>
      </c>
      <c r="AV122">
        <f>IF(V122&gt;=AO122-0.01,1,0)</f>
        <v/>
      </c>
      <c r="AW122">
        <f>IF(W122&gt;=AP122-0.01,1,0)</f>
        <v/>
      </c>
      <c r="AX122">
        <f>AQ122*AR122*AS122*AT122*AU122*AV122*AW122</f>
        <v/>
      </c>
      <c r="AY122">
        <f>Assumptions!$B$41</f>
        <v/>
      </c>
      <c r="AZ122">
        <f>Assumptions!$B$33</f>
        <v/>
      </c>
      <c r="BA122">
        <f>Assumptions!$B$32</f>
        <v/>
      </c>
      <c r="BB122">
        <f>Assumptions!$B$31</f>
        <v/>
      </c>
      <c r="BC122">
        <f>Assumptions!$B$30</f>
        <v/>
      </c>
      <c r="BD122">
        <f>Assumptions!$B$29</f>
        <v/>
      </c>
      <c r="BE122">
        <f>Assumptions!$B$28</f>
        <v/>
      </c>
      <c r="BF122">
        <f>P122*Assumptions!$B$141</f>
        <v/>
      </c>
      <c r="BG122">
        <f>P122*Assumptions!$B$128</f>
        <v/>
      </c>
      <c r="BH122">
        <f>P122*Assumptions!$B$129</f>
        <v/>
      </c>
      <c r="BI122">
        <f>P122*Assumptions!$B$14</f>
        <v/>
      </c>
      <c r="BJ122">
        <f>P122*Assumptions!$B$13</f>
        <v/>
      </c>
      <c r="BK122">
        <f>P122*Assumptions!$B$12</f>
        <v/>
      </c>
      <c r="BL122">
        <f>P122*Assumptions!$B$11</f>
        <v/>
      </c>
    </row>
    <row r="123">
      <c r="A123" t="inlineStr">
        <is>
          <t>700M</t>
        </is>
      </c>
      <c r="B123">
        <f>Assumptions!$B$58</f>
        <v/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>
        <f>(1-C123)*Assumptions!$B$41+(1-D123)*Assumptions!$B$33+(1-E123)*Assumptions!$B$32+(1-F123)*Assumptions!$B$31+(1-G123)*Assumptions!$B$30+(1-H123)*Assumptions!$B$29+(1-I123)*Assumptions!$B$28</f>
        <v/>
      </c>
      <c r="K123">
        <f>C123*Assumptions!$B$141+D123*Assumptions!$B$128+E123*Assumptions!$B$129+F123*Assumptions!$B$14+G123*Assumptions!$B$13+H123*Assumptions!$B$12+I123*Assumptions!$B$11+Assumptions!$B$133+Assumptions!$B$137+Assumptions!$B$9</f>
        <v/>
      </c>
      <c r="L123">
        <f>B123-J123</f>
        <v/>
      </c>
      <c r="M123">
        <f>IF(K123&gt;0,IF(L123/K123&gt;=Assumptions!$B$37,1,0),0)</f>
        <v/>
      </c>
      <c r="N123">
        <f>K123+M123*Assumptions!$B$153</f>
        <v/>
      </c>
      <c r="O123">
        <f>L123+M123*Assumptions!$B$153*Assumptions!$B$37</f>
        <v/>
      </c>
      <c r="P123">
        <f>IF(N123&gt;0,O123/N123,0)</f>
        <v/>
      </c>
      <c r="Q123">
        <f>IF(C123=1,P123*Assumptions!$B$141,Assumptions!$B$41)</f>
        <v/>
      </c>
      <c r="R123">
        <f>IF(D123=1,P123*Assumptions!$B$128,Assumptions!$B$33)</f>
        <v/>
      </c>
      <c r="S123">
        <f>IF(E123=1,P123*Assumptions!$B$129,Assumptions!$B$32)</f>
        <v/>
      </c>
      <c r="T123">
        <f>IF(F123=1,P123*Assumptions!$B$14,Assumptions!$B$31)</f>
        <v/>
      </c>
      <c r="U123">
        <f>IF(G123=1,P123*Assumptions!$B$13,Assumptions!$B$30)</f>
        <v/>
      </c>
      <c r="V123">
        <f>IF(H123=1,P123*Assumptions!$B$12,Assumptions!$B$29)</f>
        <v/>
      </c>
      <c r="W123">
        <f>IF(I123=1,P123*Assumptions!$B$11,Assumptions!$B$28)</f>
        <v/>
      </c>
      <c r="X123">
        <f>P123*(Assumptions!$B$133+Assumptions!$B$137)</f>
        <v/>
      </c>
      <c r="Y123">
        <f>P123*Assumptions!$B$9</f>
        <v/>
      </c>
      <c r="Z123">
        <f>IF(M123=1,(P123-Assumptions!$B$37)*Assumptions!$B$153,0)</f>
        <v/>
      </c>
      <c r="AA123">
        <f>Q123+R123+S123+T123+U123+V123+W123+X123+Y123+Z123</f>
        <v/>
      </c>
      <c r="AB123" t="n">
        <v>72</v>
      </c>
      <c r="AC123" t="n">
        <v>8</v>
      </c>
      <c r="AD123" t="n">
        <v>104</v>
      </c>
      <c r="AE123" t="n">
        <v>88</v>
      </c>
      <c r="AF123" t="n">
        <v>64</v>
      </c>
      <c r="AG123" t="n">
        <v>76</v>
      </c>
      <c r="AH123" t="n">
        <v>74</v>
      </c>
      <c r="AI123" t="n">
        <v>73</v>
      </c>
      <c r="AJ123">
        <f>INDEX($Q$51:$Q$178,AC123+1)</f>
        <v/>
      </c>
      <c r="AK123">
        <f>INDEX($R$51:$R$178,AD123+1)</f>
        <v/>
      </c>
      <c r="AL123">
        <f>INDEX($S$51:$S$178,AE123+1)</f>
        <v/>
      </c>
      <c r="AM123">
        <f>INDEX($T$51:$T$178,AF123+1)</f>
        <v/>
      </c>
      <c r="AN123">
        <f>INDEX($U$51:$U$178,AG123+1)</f>
        <v/>
      </c>
      <c r="AO123">
        <f>INDEX($V$51:$V$178,AH123+1)</f>
        <v/>
      </c>
      <c r="AP123">
        <f>INDEX($W$51:$W$178,AI123+1)</f>
        <v/>
      </c>
      <c r="AQ123">
        <f>IF(Q123&gt;=AJ123-0.01,1,0)</f>
        <v/>
      </c>
      <c r="AR123">
        <f>IF(R123&gt;=AK123-0.01,1,0)</f>
        <v/>
      </c>
      <c r="AS123">
        <f>IF(S123&gt;=AL123-0.01,1,0)</f>
        <v/>
      </c>
      <c r="AT123">
        <f>IF(T123&gt;=AM123-0.01,1,0)</f>
        <v/>
      </c>
      <c r="AU123">
        <f>IF(U123&gt;=AN123-0.01,1,0)</f>
        <v/>
      </c>
      <c r="AV123">
        <f>IF(V123&gt;=AO123-0.01,1,0)</f>
        <v/>
      </c>
      <c r="AW123">
        <f>IF(W123&gt;=AP123-0.01,1,0)</f>
        <v/>
      </c>
      <c r="AX123">
        <f>AQ123*AR123*AS123*AT123*AU123*AV123*AW123</f>
        <v/>
      </c>
      <c r="AY123">
        <f>Assumptions!$B$41</f>
        <v/>
      </c>
      <c r="AZ123">
        <f>Assumptions!$B$33</f>
        <v/>
      </c>
      <c r="BA123">
        <f>Assumptions!$B$32</f>
        <v/>
      </c>
      <c r="BB123">
        <f>Assumptions!$B$31</f>
        <v/>
      </c>
      <c r="BC123">
        <f>Assumptions!$B$30</f>
        <v/>
      </c>
      <c r="BD123">
        <f>Assumptions!$B$29</f>
        <v/>
      </c>
      <c r="BE123">
        <f>Assumptions!$B$28</f>
        <v/>
      </c>
      <c r="BF123">
        <f>P123*Assumptions!$B$141</f>
        <v/>
      </c>
      <c r="BG123">
        <f>P123*Assumptions!$B$128</f>
        <v/>
      </c>
      <c r="BH123">
        <f>P123*Assumptions!$B$129</f>
        <v/>
      </c>
      <c r="BI123">
        <f>P123*Assumptions!$B$14</f>
        <v/>
      </c>
      <c r="BJ123">
        <f>P123*Assumptions!$B$13</f>
        <v/>
      </c>
      <c r="BK123">
        <f>P123*Assumptions!$B$12</f>
        <v/>
      </c>
      <c r="BL123">
        <f>P123*Assumptions!$B$11</f>
        <v/>
      </c>
    </row>
    <row r="124">
      <c r="A124" t="inlineStr">
        <is>
          <t>700M</t>
        </is>
      </c>
      <c r="B124">
        <f>Assumptions!$B$58</f>
        <v/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>
        <f>(1-C124)*Assumptions!$B$41+(1-D124)*Assumptions!$B$33+(1-E124)*Assumptions!$B$32+(1-F124)*Assumptions!$B$31+(1-G124)*Assumptions!$B$30+(1-H124)*Assumptions!$B$29+(1-I124)*Assumptions!$B$28</f>
        <v/>
      </c>
      <c r="K124">
        <f>C124*Assumptions!$B$141+D124*Assumptions!$B$128+E124*Assumptions!$B$129+F124*Assumptions!$B$14+G124*Assumptions!$B$13+H124*Assumptions!$B$12+I124*Assumptions!$B$11+Assumptions!$B$133+Assumptions!$B$137+Assumptions!$B$9</f>
        <v/>
      </c>
      <c r="L124">
        <f>B124-J124</f>
        <v/>
      </c>
      <c r="M124">
        <f>IF(K124&gt;0,IF(L124/K124&gt;=Assumptions!$B$37,1,0),0)</f>
        <v/>
      </c>
      <c r="N124">
        <f>K124+M124*Assumptions!$B$153</f>
        <v/>
      </c>
      <c r="O124">
        <f>L124+M124*Assumptions!$B$153*Assumptions!$B$37</f>
        <v/>
      </c>
      <c r="P124">
        <f>IF(N124&gt;0,O124/N124,0)</f>
        <v/>
      </c>
      <c r="Q124">
        <f>IF(C124=1,P124*Assumptions!$B$141,Assumptions!$B$41)</f>
        <v/>
      </c>
      <c r="R124">
        <f>IF(D124=1,P124*Assumptions!$B$128,Assumptions!$B$33)</f>
        <v/>
      </c>
      <c r="S124">
        <f>IF(E124=1,P124*Assumptions!$B$129,Assumptions!$B$32)</f>
        <v/>
      </c>
      <c r="T124">
        <f>IF(F124=1,P124*Assumptions!$B$14,Assumptions!$B$31)</f>
        <v/>
      </c>
      <c r="U124">
        <f>IF(G124=1,P124*Assumptions!$B$13,Assumptions!$B$30)</f>
        <v/>
      </c>
      <c r="V124">
        <f>IF(H124=1,P124*Assumptions!$B$12,Assumptions!$B$29)</f>
        <v/>
      </c>
      <c r="W124">
        <f>IF(I124=1,P124*Assumptions!$B$11,Assumptions!$B$28)</f>
        <v/>
      </c>
      <c r="X124">
        <f>P124*(Assumptions!$B$133+Assumptions!$B$137)</f>
        <v/>
      </c>
      <c r="Y124">
        <f>P124*Assumptions!$B$9</f>
        <v/>
      </c>
      <c r="Z124">
        <f>IF(M124=1,(P124-Assumptions!$B$37)*Assumptions!$B$153,0)</f>
        <v/>
      </c>
      <c r="AA124">
        <f>Q124+R124+S124+T124+U124+V124+W124+X124+Y124+Z124</f>
        <v/>
      </c>
      <c r="AB124" t="n">
        <v>73</v>
      </c>
      <c r="AC124" t="n">
        <v>9</v>
      </c>
      <c r="AD124" t="n">
        <v>105</v>
      </c>
      <c r="AE124" t="n">
        <v>89</v>
      </c>
      <c r="AF124" t="n">
        <v>65</v>
      </c>
      <c r="AG124" t="n">
        <v>77</v>
      </c>
      <c r="AH124" t="n">
        <v>75</v>
      </c>
      <c r="AI124" t="n">
        <v>72</v>
      </c>
      <c r="AJ124">
        <f>INDEX($Q$51:$Q$178,AC124+1)</f>
        <v/>
      </c>
      <c r="AK124">
        <f>INDEX($R$51:$R$178,AD124+1)</f>
        <v/>
      </c>
      <c r="AL124">
        <f>INDEX($S$51:$S$178,AE124+1)</f>
        <v/>
      </c>
      <c r="AM124">
        <f>INDEX($T$51:$T$178,AF124+1)</f>
        <v/>
      </c>
      <c r="AN124">
        <f>INDEX($U$51:$U$178,AG124+1)</f>
        <v/>
      </c>
      <c r="AO124">
        <f>INDEX($V$51:$V$178,AH124+1)</f>
        <v/>
      </c>
      <c r="AP124">
        <f>INDEX($W$51:$W$178,AI124+1)</f>
        <v/>
      </c>
      <c r="AQ124">
        <f>IF(Q124&gt;=AJ124-0.01,1,0)</f>
        <v/>
      </c>
      <c r="AR124">
        <f>IF(R124&gt;=AK124-0.01,1,0)</f>
        <v/>
      </c>
      <c r="AS124">
        <f>IF(S124&gt;=AL124-0.01,1,0)</f>
        <v/>
      </c>
      <c r="AT124">
        <f>IF(T124&gt;=AM124-0.01,1,0)</f>
        <v/>
      </c>
      <c r="AU124">
        <f>IF(U124&gt;=AN124-0.01,1,0)</f>
        <v/>
      </c>
      <c r="AV124">
        <f>IF(V124&gt;=AO124-0.01,1,0)</f>
        <v/>
      </c>
      <c r="AW124">
        <f>IF(W124&gt;=AP124-0.01,1,0)</f>
        <v/>
      </c>
      <c r="AX124">
        <f>AQ124*AR124*AS124*AT124*AU124*AV124*AW124</f>
        <v/>
      </c>
      <c r="AY124">
        <f>Assumptions!$B$41</f>
        <v/>
      </c>
      <c r="AZ124">
        <f>Assumptions!$B$33</f>
        <v/>
      </c>
      <c r="BA124">
        <f>Assumptions!$B$32</f>
        <v/>
      </c>
      <c r="BB124">
        <f>Assumptions!$B$31</f>
        <v/>
      </c>
      <c r="BC124">
        <f>Assumptions!$B$30</f>
        <v/>
      </c>
      <c r="BD124">
        <f>Assumptions!$B$29</f>
        <v/>
      </c>
      <c r="BE124">
        <f>Assumptions!$B$28</f>
        <v/>
      </c>
      <c r="BF124">
        <f>P124*Assumptions!$B$141</f>
        <v/>
      </c>
      <c r="BG124">
        <f>P124*Assumptions!$B$128</f>
        <v/>
      </c>
      <c r="BH124">
        <f>P124*Assumptions!$B$129</f>
        <v/>
      </c>
      <c r="BI124">
        <f>P124*Assumptions!$B$14</f>
        <v/>
      </c>
      <c r="BJ124">
        <f>P124*Assumptions!$B$13</f>
        <v/>
      </c>
      <c r="BK124">
        <f>P124*Assumptions!$B$12</f>
        <v/>
      </c>
      <c r="BL124">
        <f>P124*Assumptions!$B$11</f>
        <v/>
      </c>
    </row>
    <row r="125">
      <c r="A125" t="inlineStr">
        <is>
          <t>700M</t>
        </is>
      </c>
      <c r="B125">
        <f>Assumptions!$B$58</f>
        <v/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>
        <f>(1-C125)*Assumptions!$B$41+(1-D125)*Assumptions!$B$33+(1-E125)*Assumptions!$B$32+(1-F125)*Assumptions!$B$31+(1-G125)*Assumptions!$B$30+(1-H125)*Assumptions!$B$29+(1-I125)*Assumptions!$B$28</f>
        <v/>
      </c>
      <c r="K125">
        <f>C125*Assumptions!$B$141+D125*Assumptions!$B$128+E125*Assumptions!$B$129+F125*Assumptions!$B$14+G125*Assumptions!$B$13+H125*Assumptions!$B$12+I125*Assumptions!$B$11+Assumptions!$B$133+Assumptions!$B$137+Assumptions!$B$9</f>
        <v/>
      </c>
      <c r="L125">
        <f>B125-J125</f>
        <v/>
      </c>
      <c r="M125">
        <f>IF(K125&gt;0,IF(L125/K125&gt;=Assumptions!$B$37,1,0),0)</f>
        <v/>
      </c>
      <c r="N125">
        <f>K125+M125*Assumptions!$B$153</f>
        <v/>
      </c>
      <c r="O125">
        <f>L125+M125*Assumptions!$B$153*Assumptions!$B$37</f>
        <v/>
      </c>
      <c r="P125">
        <f>IF(N125&gt;0,O125/N125,0)</f>
        <v/>
      </c>
      <c r="Q125">
        <f>IF(C125=1,P125*Assumptions!$B$141,Assumptions!$B$41)</f>
        <v/>
      </c>
      <c r="R125">
        <f>IF(D125=1,P125*Assumptions!$B$128,Assumptions!$B$33)</f>
        <v/>
      </c>
      <c r="S125">
        <f>IF(E125=1,P125*Assumptions!$B$129,Assumptions!$B$32)</f>
        <v/>
      </c>
      <c r="T125">
        <f>IF(F125=1,P125*Assumptions!$B$14,Assumptions!$B$31)</f>
        <v/>
      </c>
      <c r="U125">
        <f>IF(G125=1,P125*Assumptions!$B$13,Assumptions!$B$30)</f>
        <v/>
      </c>
      <c r="V125">
        <f>IF(H125=1,P125*Assumptions!$B$12,Assumptions!$B$29)</f>
        <v/>
      </c>
      <c r="W125">
        <f>IF(I125=1,P125*Assumptions!$B$11,Assumptions!$B$28)</f>
        <v/>
      </c>
      <c r="X125">
        <f>P125*(Assumptions!$B$133+Assumptions!$B$137)</f>
        <v/>
      </c>
      <c r="Y125">
        <f>P125*Assumptions!$B$9</f>
        <v/>
      </c>
      <c r="Z125">
        <f>IF(M125=1,(P125-Assumptions!$B$37)*Assumptions!$B$153,0)</f>
        <v/>
      </c>
      <c r="AA125">
        <f>Q125+R125+S125+T125+U125+V125+W125+X125+Y125+Z125</f>
        <v/>
      </c>
      <c r="AB125" t="n">
        <v>74</v>
      </c>
      <c r="AC125" t="n">
        <v>10</v>
      </c>
      <c r="AD125" t="n">
        <v>106</v>
      </c>
      <c r="AE125" t="n">
        <v>90</v>
      </c>
      <c r="AF125" t="n">
        <v>66</v>
      </c>
      <c r="AG125" t="n">
        <v>78</v>
      </c>
      <c r="AH125" t="n">
        <v>72</v>
      </c>
      <c r="AI125" t="n">
        <v>75</v>
      </c>
      <c r="AJ125">
        <f>INDEX($Q$51:$Q$178,AC125+1)</f>
        <v/>
      </c>
      <c r="AK125">
        <f>INDEX($R$51:$R$178,AD125+1)</f>
        <v/>
      </c>
      <c r="AL125">
        <f>INDEX($S$51:$S$178,AE125+1)</f>
        <v/>
      </c>
      <c r="AM125">
        <f>INDEX($T$51:$T$178,AF125+1)</f>
        <v/>
      </c>
      <c r="AN125">
        <f>INDEX($U$51:$U$178,AG125+1)</f>
        <v/>
      </c>
      <c r="AO125">
        <f>INDEX($V$51:$V$178,AH125+1)</f>
        <v/>
      </c>
      <c r="AP125">
        <f>INDEX($W$51:$W$178,AI125+1)</f>
        <v/>
      </c>
      <c r="AQ125">
        <f>IF(Q125&gt;=AJ125-0.01,1,0)</f>
        <v/>
      </c>
      <c r="AR125">
        <f>IF(R125&gt;=AK125-0.01,1,0)</f>
        <v/>
      </c>
      <c r="AS125">
        <f>IF(S125&gt;=AL125-0.01,1,0)</f>
        <v/>
      </c>
      <c r="AT125">
        <f>IF(T125&gt;=AM125-0.01,1,0)</f>
        <v/>
      </c>
      <c r="AU125">
        <f>IF(U125&gt;=AN125-0.01,1,0)</f>
        <v/>
      </c>
      <c r="AV125">
        <f>IF(V125&gt;=AO125-0.01,1,0)</f>
        <v/>
      </c>
      <c r="AW125">
        <f>IF(W125&gt;=AP125-0.01,1,0)</f>
        <v/>
      </c>
      <c r="AX125">
        <f>AQ125*AR125*AS125*AT125*AU125*AV125*AW125</f>
        <v/>
      </c>
      <c r="AY125">
        <f>Assumptions!$B$41</f>
        <v/>
      </c>
      <c r="AZ125">
        <f>Assumptions!$B$33</f>
        <v/>
      </c>
      <c r="BA125">
        <f>Assumptions!$B$32</f>
        <v/>
      </c>
      <c r="BB125">
        <f>Assumptions!$B$31</f>
        <v/>
      </c>
      <c r="BC125">
        <f>Assumptions!$B$30</f>
        <v/>
      </c>
      <c r="BD125">
        <f>Assumptions!$B$29</f>
        <v/>
      </c>
      <c r="BE125">
        <f>Assumptions!$B$28</f>
        <v/>
      </c>
      <c r="BF125">
        <f>P125*Assumptions!$B$141</f>
        <v/>
      </c>
      <c r="BG125">
        <f>P125*Assumptions!$B$128</f>
        <v/>
      </c>
      <c r="BH125">
        <f>P125*Assumptions!$B$129</f>
        <v/>
      </c>
      <c r="BI125">
        <f>P125*Assumptions!$B$14</f>
        <v/>
      </c>
      <c r="BJ125">
        <f>P125*Assumptions!$B$13</f>
        <v/>
      </c>
      <c r="BK125">
        <f>P125*Assumptions!$B$12</f>
        <v/>
      </c>
      <c r="BL125">
        <f>P125*Assumptions!$B$11</f>
        <v/>
      </c>
    </row>
    <row r="126">
      <c r="A126" t="inlineStr">
        <is>
          <t>700M</t>
        </is>
      </c>
      <c r="B126">
        <f>Assumptions!$B$58</f>
        <v/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>
        <f>(1-C126)*Assumptions!$B$41+(1-D126)*Assumptions!$B$33+(1-E126)*Assumptions!$B$32+(1-F126)*Assumptions!$B$31+(1-G126)*Assumptions!$B$30+(1-H126)*Assumptions!$B$29+(1-I126)*Assumptions!$B$28</f>
        <v/>
      </c>
      <c r="K126">
        <f>C126*Assumptions!$B$141+D126*Assumptions!$B$128+E126*Assumptions!$B$129+F126*Assumptions!$B$14+G126*Assumptions!$B$13+H126*Assumptions!$B$12+I126*Assumptions!$B$11+Assumptions!$B$133+Assumptions!$B$137+Assumptions!$B$9</f>
        <v/>
      </c>
      <c r="L126">
        <f>B126-J126</f>
        <v/>
      </c>
      <c r="M126">
        <f>IF(K126&gt;0,IF(L126/K126&gt;=Assumptions!$B$37,1,0),0)</f>
        <v/>
      </c>
      <c r="N126">
        <f>K126+M126*Assumptions!$B$153</f>
        <v/>
      </c>
      <c r="O126">
        <f>L126+M126*Assumptions!$B$153*Assumptions!$B$37</f>
        <v/>
      </c>
      <c r="P126">
        <f>IF(N126&gt;0,O126/N126,0)</f>
        <v/>
      </c>
      <c r="Q126">
        <f>IF(C126=1,P126*Assumptions!$B$141,Assumptions!$B$41)</f>
        <v/>
      </c>
      <c r="R126">
        <f>IF(D126=1,P126*Assumptions!$B$128,Assumptions!$B$33)</f>
        <v/>
      </c>
      <c r="S126">
        <f>IF(E126=1,P126*Assumptions!$B$129,Assumptions!$B$32)</f>
        <v/>
      </c>
      <c r="T126">
        <f>IF(F126=1,P126*Assumptions!$B$14,Assumptions!$B$31)</f>
        <v/>
      </c>
      <c r="U126">
        <f>IF(G126=1,P126*Assumptions!$B$13,Assumptions!$B$30)</f>
        <v/>
      </c>
      <c r="V126">
        <f>IF(H126=1,P126*Assumptions!$B$12,Assumptions!$B$29)</f>
        <v/>
      </c>
      <c r="W126">
        <f>IF(I126=1,P126*Assumptions!$B$11,Assumptions!$B$28)</f>
        <v/>
      </c>
      <c r="X126">
        <f>P126*(Assumptions!$B$133+Assumptions!$B$137)</f>
        <v/>
      </c>
      <c r="Y126">
        <f>P126*Assumptions!$B$9</f>
        <v/>
      </c>
      <c r="Z126">
        <f>IF(M126=1,(P126-Assumptions!$B$37)*Assumptions!$B$153,0)</f>
        <v/>
      </c>
      <c r="AA126">
        <f>Q126+R126+S126+T126+U126+V126+W126+X126+Y126+Z126</f>
        <v/>
      </c>
      <c r="AB126" t="n">
        <v>75</v>
      </c>
      <c r="AC126" t="n">
        <v>11</v>
      </c>
      <c r="AD126" t="n">
        <v>107</v>
      </c>
      <c r="AE126" t="n">
        <v>91</v>
      </c>
      <c r="AF126" t="n">
        <v>67</v>
      </c>
      <c r="AG126" t="n">
        <v>79</v>
      </c>
      <c r="AH126" t="n">
        <v>73</v>
      </c>
      <c r="AI126" t="n">
        <v>74</v>
      </c>
      <c r="AJ126">
        <f>INDEX($Q$51:$Q$178,AC126+1)</f>
        <v/>
      </c>
      <c r="AK126">
        <f>INDEX($R$51:$R$178,AD126+1)</f>
        <v/>
      </c>
      <c r="AL126">
        <f>INDEX($S$51:$S$178,AE126+1)</f>
        <v/>
      </c>
      <c r="AM126">
        <f>INDEX($T$51:$T$178,AF126+1)</f>
        <v/>
      </c>
      <c r="AN126">
        <f>INDEX($U$51:$U$178,AG126+1)</f>
        <v/>
      </c>
      <c r="AO126">
        <f>INDEX($V$51:$V$178,AH126+1)</f>
        <v/>
      </c>
      <c r="AP126">
        <f>INDEX($W$51:$W$178,AI126+1)</f>
        <v/>
      </c>
      <c r="AQ126">
        <f>IF(Q126&gt;=AJ126-0.01,1,0)</f>
        <v/>
      </c>
      <c r="AR126">
        <f>IF(R126&gt;=AK126-0.01,1,0)</f>
        <v/>
      </c>
      <c r="AS126">
        <f>IF(S126&gt;=AL126-0.01,1,0)</f>
        <v/>
      </c>
      <c r="AT126">
        <f>IF(T126&gt;=AM126-0.01,1,0)</f>
        <v/>
      </c>
      <c r="AU126">
        <f>IF(U126&gt;=AN126-0.01,1,0)</f>
        <v/>
      </c>
      <c r="AV126">
        <f>IF(V126&gt;=AO126-0.01,1,0)</f>
        <v/>
      </c>
      <c r="AW126">
        <f>IF(W126&gt;=AP126-0.01,1,0)</f>
        <v/>
      </c>
      <c r="AX126">
        <f>AQ126*AR126*AS126*AT126*AU126*AV126*AW126</f>
        <v/>
      </c>
      <c r="AY126">
        <f>Assumptions!$B$41</f>
        <v/>
      </c>
      <c r="AZ126">
        <f>Assumptions!$B$33</f>
        <v/>
      </c>
      <c r="BA126">
        <f>Assumptions!$B$32</f>
        <v/>
      </c>
      <c r="BB126">
        <f>Assumptions!$B$31</f>
        <v/>
      </c>
      <c r="BC126">
        <f>Assumptions!$B$30</f>
        <v/>
      </c>
      <c r="BD126">
        <f>Assumptions!$B$29</f>
        <v/>
      </c>
      <c r="BE126">
        <f>Assumptions!$B$28</f>
        <v/>
      </c>
      <c r="BF126">
        <f>P126*Assumptions!$B$141</f>
        <v/>
      </c>
      <c r="BG126">
        <f>P126*Assumptions!$B$128</f>
        <v/>
      </c>
      <c r="BH126">
        <f>P126*Assumptions!$B$129</f>
        <v/>
      </c>
      <c r="BI126">
        <f>P126*Assumptions!$B$14</f>
        <v/>
      </c>
      <c r="BJ126">
        <f>P126*Assumptions!$B$13</f>
        <v/>
      </c>
      <c r="BK126">
        <f>P126*Assumptions!$B$12</f>
        <v/>
      </c>
      <c r="BL126">
        <f>P126*Assumptions!$B$11</f>
        <v/>
      </c>
    </row>
    <row r="127">
      <c r="A127" t="inlineStr">
        <is>
          <t>700M</t>
        </is>
      </c>
      <c r="B127">
        <f>Assumptions!$B$58</f>
        <v/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>
        <f>(1-C127)*Assumptions!$B$41+(1-D127)*Assumptions!$B$33+(1-E127)*Assumptions!$B$32+(1-F127)*Assumptions!$B$31+(1-G127)*Assumptions!$B$30+(1-H127)*Assumptions!$B$29+(1-I127)*Assumptions!$B$28</f>
        <v/>
      </c>
      <c r="K127">
        <f>C127*Assumptions!$B$141+D127*Assumptions!$B$128+E127*Assumptions!$B$129+F127*Assumptions!$B$14+G127*Assumptions!$B$13+H127*Assumptions!$B$12+I127*Assumptions!$B$11+Assumptions!$B$133+Assumptions!$B$137+Assumptions!$B$9</f>
        <v/>
      </c>
      <c r="L127">
        <f>B127-J127</f>
        <v/>
      </c>
      <c r="M127">
        <f>IF(K127&gt;0,IF(L127/K127&gt;=Assumptions!$B$37,1,0),0)</f>
        <v/>
      </c>
      <c r="N127">
        <f>K127+M127*Assumptions!$B$153</f>
        <v/>
      </c>
      <c r="O127">
        <f>L127+M127*Assumptions!$B$153*Assumptions!$B$37</f>
        <v/>
      </c>
      <c r="P127">
        <f>IF(N127&gt;0,O127/N127,0)</f>
        <v/>
      </c>
      <c r="Q127">
        <f>IF(C127=1,P127*Assumptions!$B$141,Assumptions!$B$41)</f>
        <v/>
      </c>
      <c r="R127">
        <f>IF(D127=1,P127*Assumptions!$B$128,Assumptions!$B$33)</f>
        <v/>
      </c>
      <c r="S127">
        <f>IF(E127=1,P127*Assumptions!$B$129,Assumptions!$B$32)</f>
        <v/>
      </c>
      <c r="T127">
        <f>IF(F127=1,P127*Assumptions!$B$14,Assumptions!$B$31)</f>
        <v/>
      </c>
      <c r="U127">
        <f>IF(G127=1,P127*Assumptions!$B$13,Assumptions!$B$30)</f>
        <v/>
      </c>
      <c r="V127">
        <f>IF(H127=1,P127*Assumptions!$B$12,Assumptions!$B$29)</f>
        <v/>
      </c>
      <c r="W127">
        <f>IF(I127=1,P127*Assumptions!$B$11,Assumptions!$B$28)</f>
        <v/>
      </c>
      <c r="X127">
        <f>P127*(Assumptions!$B$133+Assumptions!$B$137)</f>
        <v/>
      </c>
      <c r="Y127">
        <f>P127*Assumptions!$B$9</f>
        <v/>
      </c>
      <c r="Z127">
        <f>IF(M127=1,(P127-Assumptions!$B$37)*Assumptions!$B$153,0)</f>
        <v/>
      </c>
      <c r="AA127">
        <f>Q127+R127+S127+T127+U127+V127+W127+X127+Y127+Z127</f>
        <v/>
      </c>
      <c r="AB127" t="n">
        <v>76</v>
      </c>
      <c r="AC127" t="n">
        <v>12</v>
      </c>
      <c r="AD127" t="n">
        <v>108</v>
      </c>
      <c r="AE127" t="n">
        <v>92</v>
      </c>
      <c r="AF127" t="n">
        <v>68</v>
      </c>
      <c r="AG127" t="n">
        <v>72</v>
      </c>
      <c r="AH127" t="n">
        <v>78</v>
      </c>
      <c r="AI127" t="n">
        <v>77</v>
      </c>
      <c r="AJ127">
        <f>INDEX($Q$51:$Q$178,AC127+1)</f>
        <v/>
      </c>
      <c r="AK127">
        <f>INDEX($R$51:$R$178,AD127+1)</f>
        <v/>
      </c>
      <c r="AL127">
        <f>INDEX($S$51:$S$178,AE127+1)</f>
        <v/>
      </c>
      <c r="AM127">
        <f>INDEX($T$51:$T$178,AF127+1)</f>
        <v/>
      </c>
      <c r="AN127">
        <f>INDEX($U$51:$U$178,AG127+1)</f>
        <v/>
      </c>
      <c r="AO127">
        <f>INDEX($V$51:$V$178,AH127+1)</f>
        <v/>
      </c>
      <c r="AP127">
        <f>INDEX($W$51:$W$178,AI127+1)</f>
        <v/>
      </c>
      <c r="AQ127">
        <f>IF(Q127&gt;=AJ127-0.01,1,0)</f>
        <v/>
      </c>
      <c r="AR127">
        <f>IF(R127&gt;=AK127-0.01,1,0)</f>
        <v/>
      </c>
      <c r="AS127">
        <f>IF(S127&gt;=AL127-0.01,1,0)</f>
        <v/>
      </c>
      <c r="AT127">
        <f>IF(T127&gt;=AM127-0.01,1,0)</f>
        <v/>
      </c>
      <c r="AU127">
        <f>IF(U127&gt;=AN127-0.01,1,0)</f>
        <v/>
      </c>
      <c r="AV127">
        <f>IF(V127&gt;=AO127-0.01,1,0)</f>
        <v/>
      </c>
      <c r="AW127">
        <f>IF(W127&gt;=AP127-0.01,1,0)</f>
        <v/>
      </c>
      <c r="AX127">
        <f>AQ127*AR127*AS127*AT127*AU127*AV127*AW127</f>
        <v/>
      </c>
      <c r="AY127">
        <f>Assumptions!$B$41</f>
        <v/>
      </c>
      <c r="AZ127">
        <f>Assumptions!$B$33</f>
        <v/>
      </c>
      <c r="BA127">
        <f>Assumptions!$B$32</f>
        <v/>
      </c>
      <c r="BB127">
        <f>Assumptions!$B$31</f>
        <v/>
      </c>
      <c r="BC127">
        <f>Assumptions!$B$30</f>
        <v/>
      </c>
      <c r="BD127">
        <f>Assumptions!$B$29</f>
        <v/>
      </c>
      <c r="BE127">
        <f>Assumptions!$B$28</f>
        <v/>
      </c>
      <c r="BF127">
        <f>P127*Assumptions!$B$141</f>
        <v/>
      </c>
      <c r="BG127">
        <f>P127*Assumptions!$B$128</f>
        <v/>
      </c>
      <c r="BH127">
        <f>P127*Assumptions!$B$129</f>
        <v/>
      </c>
      <c r="BI127">
        <f>P127*Assumptions!$B$14</f>
        <v/>
      </c>
      <c r="BJ127">
        <f>P127*Assumptions!$B$13</f>
        <v/>
      </c>
      <c r="BK127">
        <f>P127*Assumptions!$B$12</f>
        <v/>
      </c>
      <c r="BL127">
        <f>P127*Assumptions!$B$11</f>
        <v/>
      </c>
    </row>
    <row r="128">
      <c r="A128" t="inlineStr">
        <is>
          <t>700M</t>
        </is>
      </c>
      <c r="B128">
        <f>Assumptions!$B$58</f>
        <v/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>
        <f>(1-C128)*Assumptions!$B$41+(1-D128)*Assumptions!$B$33+(1-E128)*Assumptions!$B$32+(1-F128)*Assumptions!$B$31+(1-G128)*Assumptions!$B$30+(1-H128)*Assumptions!$B$29+(1-I128)*Assumptions!$B$28</f>
        <v/>
      </c>
      <c r="K128">
        <f>C128*Assumptions!$B$141+D128*Assumptions!$B$128+E128*Assumptions!$B$129+F128*Assumptions!$B$14+G128*Assumptions!$B$13+H128*Assumptions!$B$12+I128*Assumptions!$B$11+Assumptions!$B$133+Assumptions!$B$137+Assumptions!$B$9</f>
        <v/>
      </c>
      <c r="L128">
        <f>B128-J128</f>
        <v/>
      </c>
      <c r="M128">
        <f>IF(K128&gt;0,IF(L128/K128&gt;=Assumptions!$B$37,1,0),0)</f>
        <v/>
      </c>
      <c r="N128">
        <f>K128+M128*Assumptions!$B$153</f>
        <v/>
      </c>
      <c r="O128">
        <f>L128+M128*Assumptions!$B$153*Assumptions!$B$37</f>
        <v/>
      </c>
      <c r="P128">
        <f>IF(N128&gt;0,O128/N128,0)</f>
        <v/>
      </c>
      <c r="Q128">
        <f>IF(C128=1,P128*Assumptions!$B$141,Assumptions!$B$41)</f>
        <v/>
      </c>
      <c r="R128">
        <f>IF(D128=1,P128*Assumptions!$B$128,Assumptions!$B$33)</f>
        <v/>
      </c>
      <c r="S128">
        <f>IF(E128=1,P128*Assumptions!$B$129,Assumptions!$B$32)</f>
        <v/>
      </c>
      <c r="T128">
        <f>IF(F128=1,P128*Assumptions!$B$14,Assumptions!$B$31)</f>
        <v/>
      </c>
      <c r="U128">
        <f>IF(G128=1,P128*Assumptions!$B$13,Assumptions!$B$30)</f>
        <v/>
      </c>
      <c r="V128">
        <f>IF(H128=1,P128*Assumptions!$B$12,Assumptions!$B$29)</f>
        <v/>
      </c>
      <c r="W128">
        <f>IF(I128=1,P128*Assumptions!$B$11,Assumptions!$B$28)</f>
        <v/>
      </c>
      <c r="X128">
        <f>P128*(Assumptions!$B$133+Assumptions!$B$137)</f>
        <v/>
      </c>
      <c r="Y128">
        <f>P128*Assumptions!$B$9</f>
        <v/>
      </c>
      <c r="Z128">
        <f>IF(M128=1,(P128-Assumptions!$B$37)*Assumptions!$B$153,0)</f>
        <v/>
      </c>
      <c r="AA128">
        <f>Q128+R128+S128+T128+U128+V128+W128+X128+Y128+Z128</f>
        <v/>
      </c>
      <c r="AB128" t="n">
        <v>77</v>
      </c>
      <c r="AC128" t="n">
        <v>13</v>
      </c>
      <c r="AD128" t="n">
        <v>109</v>
      </c>
      <c r="AE128" t="n">
        <v>93</v>
      </c>
      <c r="AF128" t="n">
        <v>69</v>
      </c>
      <c r="AG128" t="n">
        <v>73</v>
      </c>
      <c r="AH128" t="n">
        <v>79</v>
      </c>
      <c r="AI128" t="n">
        <v>76</v>
      </c>
      <c r="AJ128">
        <f>INDEX($Q$51:$Q$178,AC128+1)</f>
        <v/>
      </c>
      <c r="AK128">
        <f>INDEX($R$51:$R$178,AD128+1)</f>
        <v/>
      </c>
      <c r="AL128">
        <f>INDEX($S$51:$S$178,AE128+1)</f>
        <v/>
      </c>
      <c r="AM128">
        <f>INDEX($T$51:$T$178,AF128+1)</f>
        <v/>
      </c>
      <c r="AN128">
        <f>INDEX($U$51:$U$178,AG128+1)</f>
        <v/>
      </c>
      <c r="AO128">
        <f>INDEX($V$51:$V$178,AH128+1)</f>
        <v/>
      </c>
      <c r="AP128">
        <f>INDEX($W$51:$W$178,AI128+1)</f>
        <v/>
      </c>
      <c r="AQ128">
        <f>IF(Q128&gt;=AJ128-0.01,1,0)</f>
        <v/>
      </c>
      <c r="AR128">
        <f>IF(R128&gt;=AK128-0.01,1,0)</f>
        <v/>
      </c>
      <c r="AS128">
        <f>IF(S128&gt;=AL128-0.01,1,0)</f>
        <v/>
      </c>
      <c r="AT128">
        <f>IF(T128&gt;=AM128-0.01,1,0)</f>
        <v/>
      </c>
      <c r="AU128">
        <f>IF(U128&gt;=AN128-0.01,1,0)</f>
        <v/>
      </c>
      <c r="AV128">
        <f>IF(V128&gt;=AO128-0.01,1,0)</f>
        <v/>
      </c>
      <c r="AW128">
        <f>IF(W128&gt;=AP128-0.01,1,0)</f>
        <v/>
      </c>
      <c r="AX128">
        <f>AQ128*AR128*AS128*AT128*AU128*AV128*AW128</f>
        <v/>
      </c>
      <c r="AY128">
        <f>Assumptions!$B$41</f>
        <v/>
      </c>
      <c r="AZ128">
        <f>Assumptions!$B$33</f>
        <v/>
      </c>
      <c r="BA128">
        <f>Assumptions!$B$32</f>
        <v/>
      </c>
      <c r="BB128">
        <f>Assumptions!$B$31</f>
        <v/>
      </c>
      <c r="BC128">
        <f>Assumptions!$B$30</f>
        <v/>
      </c>
      <c r="BD128">
        <f>Assumptions!$B$29</f>
        <v/>
      </c>
      <c r="BE128">
        <f>Assumptions!$B$28</f>
        <v/>
      </c>
      <c r="BF128">
        <f>P128*Assumptions!$B$141</f>
        <v/>
      </c>
      <c r="BG128">
        <f>P128*Assumptions!$B$128</f>
        <v/>
      </c>
      <c r="BH128">
        <f>P128*Assumptions!$B$129</f>
        <v/>
      </c>
      <c r="BI128">
        <f>P128*Assumptions!$B$14</f>
        <v/>
      </c>
      <c r="BJ128">
        <f>P128*Assumptions!$B$13</f>
        <v/>
      </c>
      <c r="BK128">
        <f>P128*Assumptions!$B$12</f>
        <v/>
      </c>
      <c r="BL128">
        <f>P128*Assumptions!$B$11</f>
        <v/>
      </c>
    </row>
    <row r="129">
      <c r="A129" t="inlineStr">
        <is>
          <t>700M</t>
        </is>
      </c>
      <c r="B129">
        <f>Assumptions!$B$58</f>
        <v/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>
        <f>(1-C129)*Assumptions!$B$41+(1-D129)*Assumptions!$B$33+(1-E129)*Assumptions!$B$32+(1-F129)*Assumptions!$B$31+(1-G129)*Assumptions!$B$30+(1-H129)*Assumptions!$B$29+(1-I129)*Assumptions!$B$28</f>
        <v/>
      </c>
      <c r="K129">
        <f>C129*Assumptions!$B$141+D129*Assumptions!$B$128+E129*Assumptions!$B$129+F129*Assumptions!$B$14+G129*Assumptions!$B$13+H129*Assumptions!$B$12+I129*Assumptions!$B$11+Assumptions!$B$133+Assumptions!$B$137+Assumptions!$B$9</f>
        <v/>
      </c>
      <c r="L129">
        <f>B129-J129</f>
        <v/>
      </c>
      <c r="M129">
        <f>IF(K129&gt;0,IF(L129/K129&gt;=Assumptions!$B$37,1,0),0)</f>
        <v/>
      </c>
      <c r="N129">
        <f>K129+M129*Assumptions!$B$153</f>
        <v/>
      </c>
      <c r="O129">
        <f>L129+M129*Assumptions!$B$153*Assumptions!$B$37</f>
        <v/>
      </c>
      <c r="P129">
        <f>IF(N129&gt;0,O129/N129,0)</f>
        <v/>
      </c>
      <c r="Q129">
        <f>IF(C129=1,P129*Assumptions!$B$141,Assumptions!$B$41)</f>
        <v/>
      </c>
      <c r="R129">
        <f>IF(D129=1,P129*Assumptions!$B$128,Assumptions!$B$33)</f>
        <v/>
      </c>
      <c r="S129">
        <f>IF(E129=1,P129*Assumptions!$B$129,Assumptions!$B$32)</f>
        <v/>
      </c>
      <c r="T129">
        <f>IF(F129=1,P129*Assumptions!$B$14,Assumptions!$B$31)</f>
        <v/>
      </c>
      <c r="U129">
        <f>IF(G129=1,P129*Assumptions!$B$13,Assumptions!$B$30)</f>
        <v/>
      </c>
      <c r="V129">
        <f>IF(H129=1,P129*Assumptions!$B$12,Assumptions!$B$29)</f>
        <v/>
      </c>
      <c r="W129">
        <f>IF(I129=1,P129*Assumptions!$B$11,Assumptions!$B$28)</f>
        <v/>
      </c>
      <c r="X129">
        <f>P129*(Assumptions!$B$133+Assumptions!$B$137)</f>
        <v/>
      </c>
      <c r="Y129">
        <f>P129*Assumptions!$B$9</f>
        <v/>
      </c>
      <c r="Z129">
        <f>IF(M129=1,(P129-Assumptions!$B$37)*Assumptions!$B$153,0)</f>
        <v/>
      </c>
      <c r="AA129">
        <f>Q129+R129+S129+T129+U129+V129+W129+X129+Y129+Z129</f>
        <v/>
      </c>
      <c r="AB129" t="n">
        <v>78</v>
      </c>
      <c r="AC129" t="n">
        <v>14</v>
      </c>
      <c r="AD129" t="n">
        <v>110</v>
      </c>
      <c r="AE129" t="n">
        <v>94</v>
      </c>
      <c r="AF129" t="n">
        <v>70</v>
      </c>
      <c r="AG129" t="n">
        <v>74</v>
      </c>
      <c r="AH129" t="n">
        <v>76</v>
      </c>
      <c r="AI129" t="n">
        <v>79</v>
      </c>
      <c r="AJ129">
        <f>INDEX($Q$51:$Q$178,AC129+1)</f>
        <v/>
      </c>
      <c r="AK129">
        <f>INDEX($R$51:$R$178,AD129+1)</f>
        <v/>
      </c>
      <c r="AL129">
        <f>INDEX($S$51:$S$178,AE129+1)</f>
        <v/>
      </c>
      <c r="AM129">
        <f>INDEX($T$51:$T$178,AF129+1)</f>
        <v/>
      </c>
      <c r="AN129">
        <f>INDEX($U$51:$U$178,AG129+1)</f>
        <v/>
      </c>
      <c r="AO129">
        <f>INDEX($V$51:$V$178,AH129+1)</f>
        <v/>
      </c>
      <c r="AP129">
        <f>INDEX($W$51:$W$178,AI129+1)</f>
        <v/>
      </c>
      <c r="AQ129">
        <f>IF(Q129&gt;=AJ129-0.01,1,0)</f>
        <v/>
      </c>
      <c r="AR129">
        <f>IF(R129&gt;=AK129-0.01,1,0)</f>
        <v/>
      </c>
      <c r="AS129">
        <f>IF(S129&gt;=AL129-0.01,1,0)</f>
        <v/>
      </c>
      <c r="AT129">
        <f>IF(T129&gt;=AM129-0.01,1,0)</f>
        <v/>
      </c>
      <c r="AU129">
        <f>IF(U129&gt;=AN129-0.01,1,0)</f>
        <v/>
      </c>
      <c r="AV129">
        <f>IF(V129&gt;=AO129-0.01,1,0)</f>
        <v/>
      </c>
      <c r="AW129">
        <f>IF(W129&gt;=AP129-0.01,1,0)</f>
        <v/>
      </c>
      <c r="AX129">
        <f>AQ129*AR129*AS129*AT129*AU129*AV129*AW129</f>
        <v/>
      </c>
      <c r="AY129">
        <f>Assumptions!$B$41</f>
        <v/>
      </c>
      <c r="AZ129">
        <f>Assumptions!$B$33</f>
        <v/>
      </c>
      <c r="BA129">
        <f>Assumptions!$B$32</f>
        <v/>
      </c>
      <c r="BB129">
        <f>Assumptions!$B$31</f>
        <v/>
      </c>
      <c r="BC129">
        <f>Assumptions!$B$30</f>
        <v/>
      </c>
      <c r="BD129">
        <f>Assumptions!$B$29</f>
        <v/>
      </c>
      <c r="BE129">
        <f>Assumptions!$B$28</f>
        <v/>
      </c>
      <c r="BF129">
        <f>P129*Assumptions!$B$141</f>
        <v/>
      </c>
      <c r="BG129">
        <f>P129*Assumptions!$B$128</f>
        <v/>
      </c>
      <c r="BH129">
        <f>P129*Assumptions!$B$129</f>
        <v/>
      </c>
      <c r="BI129">
        <f>P129*Assumptions!$B$14</f>
        <v/>
      </c>
      <c r="BJ129">
        <f>P129*Assumptions!$B$13</f>
        <v/>
      </c>
      <c r="BK129">
        <f>P129*Assumptions!$B$12</f>
        <v/>
      </c>
      <c r="BL129">
        <f>P129*Assumptions!$B$11</f>
        <v/>
      </c>
    </row>
    <row r="130">
      <c r="A130" t="inlineStr">
        <is>
          <t>700M</t>
        </is>
      </c>
      <c r="B130">
        <f>Assumptions!$B$58</f>
        <v/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>
        <f>(1-C130)*Assumptions!$B$41+(1-D130)*Assumptions!$B$33+(1-E130)*Assumptions!$B$32+(1-F130)*Assumptions!$B$31+(1-G130)*Assumptions!$B$30+(1-H130)*Assumptions!$B$29+(1-I130)*Assumptions!$B$28</f>
        <v/>
      </c>
      <c r="K130">
        <f>C130*Assumptions!$B$141+D130*Assumptions!$B$128+E130*Assumptions!$B$129+F130*Assumptions!$B$14+G130*Assumptions!$B$13+H130*Assumptions!$B$12+I130*Assumptions!$B$11+Assumptions!$B$133+Assumptions!$B$137+Assumptions!$B$9</f>
        <v/>
      </c>
      <c r="L130">
        <f>B130-J130</f>
        <v/>
      </c>
      <c r="M130">
        <f>IF(K130&gt;0,IF(L130/K130&gt;=Assumptions!$B$37,1,0),0)</f>
        <v/>
      </c>
      <c r="N130">
        <f>K130+M130*Assumptions!$B$153</f>
        <v/>
      </c>
      <c r="O130">
        <f>L130+M130*Assumptions!$B$153*Assumptions!$B$37</f>
        <v/>
      </c>
      <c r="P130">
        <f>IF(N130&gt;0,O130/N130,0)</f>
        <v/>
      </c>
      <c r="Q130">
        <f>IF(C130=1,P130*Assumptions!$B$141,Assumptions!$B$41)</f>
        <v/>
      </c>
      <c r="R130">
        <f>IF(D130=1,P130*Assumptions!$B$128,Assumptions!$B$33)</f>
        <v/>
      </c>
      <c r="S130">
        <f>IF(E130=1,P130*Assumptions!$B$129,Assumptions!$B$32)</f>
        <v/>
      </c>
      <c r="T130">
        <f>IF(F130=1,P130*Assumptions!$B$14,Assumptions!$B$31)</f>
        <v/>
      </c>
      <c r="U130">
        <f>IF(G130=1,P130*Assumptions!$B$13,Assumptions!$B$30)</f>
        <v/>
      </c>
      <c r="V130">
        <f>IF(H130=1,P130*Assumptions!$B$12,Assumptions!$B$29)</f>
        <v/>
      </c>
      <c r="W130">
        <f>IF(I130=1,P130*Assumptions!$B$11,Assumptions!$B$28)</f>
        <v/>
      </c>
      <c r="X130">
        <f>P130*(Assumptions!$B$133+Assumptions!$B$137)</f>
        <v/>
      </c>
      <c r="Y130">
        <f>P130*Assumptions!$B$9</f>
        <v/>
      </c>
      <c r="Z130">
        <f>IF(M130=1,(P130-Assumptions!$B$37)*Assumptions!$B$153,0)</f>
        <v/>
      </c>
      <c r="AA130">
        <f>Q130+R130+S130+T130+U130+V130+W130+X130+Y130+Z130</f>
        <v/>
      </c>
      <c r="AB130" t="n">
        <v>79</v>
      </c>
      <c r="AC130" t="n">
        <v>15</v>
      </c>
      <c r="AD130" t="n">
        <v>111</v>
      </c>
      <c r="AE130" t="n">
        <v>95</v>
      </c>
      <c r="AF130" t="n">
        <v>71</v>
      </c>
      <c r="AG130" t="n">
        <v>75</v>
      </c>
      <c r="AH130" t="n">
        <v>77</v>
      </c>
      <c r="AI130" t="n">
        <v>78</v>
      </c>
      <c r="AJ130">
        <f>INDEX($Q$51:$Q$178,AC130+1)</f>
        <v/>
      </c>
      <c r="AK130">
        <f>INDEX($R$51:$R$178,AD130+1)</f>
        <v/>
      </c>
      <c r="AL130">
        <f>INDEX($S$51:$S$178,AE130+1)</f>
        <v/>
      </c>
      <c r="AM130">
        <f>INDEX($T$51:$T$178,AF130+1)</f>
        <v/>
      </c>
      <c r="AN130">
        <f>INDEX($U$51:$U$178,AG130+1)</f>
        <v/>
      </c>
      <c r="AO130">
        <f>INDEX($V$51:$V$178,AH130+1)</f>
        <v/>
      </c>
      <c r="AP130">
        <f>INDEX($W$51:$W$178,AI130+1)</f>
        <v/>
      </c>
      <c r="AQ130">
        <f>IF(Q130&gt;=AJ130-0.01,1,0)</f>
        <v/>
      </c>
      <c r="AR130">
        <f>IF(R130&gt;=AK130-0.01,1,0)</f>
        <v/>
      </c>
      <c r="AS130">
        <f>IF(S130&gt;=AL130-0.01,1,0)</f>
        <v/>
      </c>
      <c r="AT130">
        <f>IF(T130&gt;=AM130-0.01,1,0)</f>
        <v/>
      </c>
      <c r="AU130">
        <f>IF(U130&gt;=AN130-0.01,1,0)</f>
        <v/>
      </c>
      <c r="AV130">
        <f>IF(V130&gt;=AO130-0.01,1,0)</f>
        <v/>
      </c>
      <c r="AW130">
        <f>IF(W130&gt;=AP130-0.01,1,0)</f>
        <v/>
      </c>
      <c r="AX130">
        <f>AQ130*AR130*AS130*AT130*AU130*AV130*AW130</f>
        <v/>
      </c>
      <c r="AY130">
        <f>Assumptions!$B$41</f>
        <v/>
      </c>
      <c r="AZ130">
        <f>Assumptions!$B$33</f>
        <v/>
      </c>
      <c r="BA130">
        <f>Assumptions!$B$32</f>
        <v/>
      </c>
      <c r="BB130">
        <f>Assumptions!$B$31</f>
        <v/>
      </c>
      <c r="BC130">
        <f>Assumptions!$B$30</f>
        <v/>
      </c>
      <c r="BD130">
        <f>Assumptions!$B$29</f>
        <v/>
      </c>
      <c r="BE130">
        <f>Assumptions!$B$28</f>
        <v/>
      </c>
      <c r="BF130">
        <f>P130*Assumptions!$B$141</f>
        <v/>
      </c>
      <c r="BG130">
        <f>P130*Assumptions!$B$128</f>
        <v/>
      </c>
      <c r="BH130">
        <f>P130*Assumptions!$B$129</f>
        <v/>
      </c>
      <c r="BI130">
        <f>P130*Assumptions!$B$14</f>
        <v/>
      </c>
      <c r="BJ130">
        <f>P130*Assumptions!$B$13</f>
        <v/>
      </c>
      <c r="BK130">
        <f>P130*Assumptions!$B$12</f>
        <v/>
      </c>
      <c r="BL130">
        <f>P130*Assumptions!$B$11</f>
        <v/>
      </c>
    </row>
    <row r="131">
      <c r="A131" t="inlineStr">
        <is>
          <t>700M</t>
        </is>
      </c>
      <c r="B131">
        <f>Assumptions!$B$58</f>
        <v/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>
        <f>(1-C131)*Assumptions!$B$41+(1-D131)*Assumptions!$B$33+(1-E131)*Assumptions!$B$32+(1-F131)*Assumptions!$B$31+(1-G131)*Assumptions!$B$30+(1-H131)*Assumptions!$B$29+(1-I131)*Assumptions!$B$28</f>
        <v/>
      </c>
      <c r="K131">
        <f>C131*Assumptions!$B$141+D131*Assumptions!$B$128+E131*Assumptions!$B$129+F131*Assumptions!$B$14+G131*Assumptions!$B$13+H131*Assumptions!$B$12+I131*Assumptions!$B$11+Assumptions!$B$133+Assumptions!$B$137+Assumptions!$B$9</f>
        <v/>
      </c>
      <c r="L131">
        <f>B131-J131</f>
        <v/>
      </c>
      <c r="M131">
        <f>IF(K131&gt;0,IF(L131/K131&gt;=Assumptions!$B$37,1,0),0)</f>
        <v/>
      </c>
      <c r="N131">
        <f>K131+M131*Assumptions!$B$153</f>
        <v/>
      </c>
      <c r="O131">
        <f>L131+M131*Assumptions!$B$153*Assumptions!$B$37</f>
        <v/>
      </c>
      <c r="P131">
        <f>IF(N131&gt;0,O131/N131,0)</f>
        <v/>
      </c>
      <c r="Q131">
        <f>IF(C131=1,P131*Assumptions!$B$141,Assumptions!$B$41)</f>
        <v/>
      </c>
      <c r="R131">
        <f>IF(D131=1,P131*Assumptions!$B$128,Assumptions!$B$33)</f>
        <v/>
      </c>
      <c r="S131">
        <f>IF(E131=1,P131*Assumptions!$B$129,Assumptions!$B$32)</f>
        <v/>
      </c>
      <c r="T131">
        <f>IF(F131=1,P131*Assumptions!$B$14,Assumptions!$B$31)</f>
        <v/>
      </c>
      <c r="U131">
        <f>IF(G131=1,P131*Assumptions!$B$13,Assumptions!$B$30)</f>
        <v/>
      </c>
      <c r="V131">
        <f>IF(H131=1,P131*Assumptions!$B$12,Assumptions!$B$29)</f>
        <v/>
      </c>
      <c r="W131">
        <f>IF(I131=1,P131*Assumptions!$B$11,Assumptions!$B$28)</f>
        <v/>
      </c>
      <c r="X131">
        <f>P131*(Assumptions!$B$133+Assumptions!$B$137)</f>
        <v/>
      </c>
      <c r="Y131">
        <f>P131*Assumptions!$B$9</f>
        <v/>
      </c>
      <c r="Z131">
        <f>IF(M131=1,(P131-Assumptions!$B$37)*Assumptions!$B$153,0)</f>
        <v/>
      </c>
      <c r="AA131">
        <f>Q131+R131+S131+T131+U131+V131+W131+X131+Y131+Z131</f>
        <v/>
      </c>
      <c r="AB131" t="n">
        <v>80</v>
      </c>
      <c r="AC131" t="n">
        <v>16</v>
      </c>
      <c r="AD131" t="n">
        <v>112</v>
      </c>
      <c r="AE131" t="n">
        <v>64</v>
      </c>
      <c r="AF131" t="n">
        <v>88</v>
      </c>
      <c r="AG131" t="n">
        <v>84</v>
      </c>
      <c r="AH131" t="n">
        <v>82</v>
      </c>
      <c r="AI131" t="n">
        <v>81</v>
      </c>
      <c r="AJ131">
        <f>INDEX($Q$51:$Q$178,AC131+1)</f>
        <v/>
      </c>
      <c r="AK131">
        <f>INDEX($R$51:$R$178,AD131+1)</f>
        <v/>
      </c>
      <c r="AL131">
        <f>INDEX($S$51:$S$178,AE131+1)</f>
        <v/>
      </c>
      <c r="AM131">
        <f>INDEX($T$51:$T$178,AF131+1)</f>
        <v/>
      </c>
      <c r="AN131">
        <f>INDEX($U$51:$U$178,AG131+1)</f>
        <v/>
      </c>
      <c r="AO131">
        <f>INDEX($V$51:$V$178,AH131+1)</f>
        <v/>
      </c>
      <c r="AP131">
        <f>INDEX($W$51:$W$178,AI131+1)</f>
        <v/>
      </c>
      <c r="AQ131">
        <f>IF(Q131&gt;=AJ131-0.01,1,0)</f>
        <v/>
      </c>
      <c r="AR131">
        <f>IF(R131&gt;=AK131-0.01,1,0)</f>
        <v/>
      </c>
      <c r="AS131">
        <f>IF(S131&gt;=AL131-0.01,1,0)</f>
        <v/>
      </c>
      <c r="AT131">
        <f>IF(T131&gt;=AM131-0.01,1,0)</f>
        <v/>
      </c>
      <c r="AU131">
        <f>IF(U131&gt;=AN131-0.01,1,0)</f>
        <v/>
      </c>
      <c r="AV131">
        <f>IF(V131&gt;=AO131-0.01,1,0)</f>
        <v/>
      </c>
      <c r="AW131">
        <f>IF(W131&gt;=AP131-0.01,1,0)</f>
        <v/>
      </c>
      <c r="AX131">
        <f>AQ131*AR131*AS131*AT131*AU131*AV131*AW131</f>
        <v/>
      </c>
      <c r="AY131">
        <f>Assumptions!$B$41</f>
        <v/>
      </c>
      <c r="AZ131">
        <f>Assumptions!$B$33</f>
        <v/>
      </c>
      <c r="BA131">
        <f>Assumptions!$B$32</f>
        <v/>
      </c>
      <c r="BB131">
        <f>Assumptions!$B$31</f>
        <v/>
      </c>
      <c r="BC131">
        <f>Assumptions!$B$30</f>
        <v/>
      </c>
      <c r="BD131">
        <f>Assumptions!$B$29</f>
        <v/>
      </c>
      <c r="BE131">
        <f>Assumptions!$B$28</f>
        <v/>
      </c>
      <c r="BF131">
        <f>P131*Assumptions!$B$141</f>
        <v/>
      </c>
      <c r="BG131">
        <f>P131*Assumptions!$B$128</f>
        <v/>
      </c>
      <c r="BH131">
        <f>P131*Assumptions!$B$129</f>
        <v/>
      </c>
      <c r="BI131">
        <f>P131*Assumptions!$B$14</f>
        <v/>
      </c>
      <c r="BJ131">
        <f>P131*Assumptions!$B$13</f>
        <v/>
      </c>
      <c r="BK131">
        <f>P131*Assumptions!$B$12</f>
        <v/>
      </c>
      <c r="BL131">
        <f>P131*Assumptions!$B$11</f>
        <v/>
      </c>
    </row>
    <row r="132">
      <c r="A132" t="inlineStr">
        <is>
          <t>700M</t>
        </is>
      </c>
      <c r="B132">
        <f>Assumptions!$B$58</f>
        <v/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>
        <f>(1-C132)*Assumptions!$B$41+(1-D132)*Assumptions!$B$33+(1-E132)*Assumptions!$B$32+(1-F132)*Assumptions!$B$31+(1-G132)*Assumptions!$B$30+(1-H132)*Assumptions!$B$29+(1-I132)*Assumptions!$B$28</f>
        <v/>
      </c>
      <c r="K132">
        <f>C132*Assumptions!$B$141+D132*Assumptions!$B$128+E132*Assumptions!$B$129+F132*Assumptions!$B$14+G132*Assumptions!$B$13+H132*Assumptions!$B$12+I132*Assumptions!$B$11+Assumptions!$B$133+Assumptions!$B$137+Assumptions!$B$9</f>
        <v/>
      </c>
      <c r="L132">
        <f>B132-J132</f>
        <v/>
      </c>
      <c r="M132">
        <f>IF(K132&gt;0,IF(L132/K132&gt;=Assumptions!$B$37,1,0),0)</f>
        <v/>
      </c>
      <c r="N132">
        <f>K132+M132*Assumptions!$B$153</f>
        <v/>
      </c>
      <c r="O132">
        <f>L132+M132*Assumptions!$B$153*Assumptions!$B$37</f>
        <v/>
      </c>
      <c r="P132">
        <f>IF(N132&gt;0,O132/N132,0)</f>
        <v/>
      </c>
      <c r="Q132">
        <f>IF(C132=1,P132*Assumptions!$B$141,Assumptions!$B$41)</f>
        <v/>
      </c>
      <c r="R132">
        <f>IF(D132=1,P132*Assumptions!$B$128,Assumptions!$B$33)</f>
        <v/>
      </c>
      <c r="S132">
        <f>IF(E132=1,P132*Assumptions!$B$129,Assumptions!$B$32)</f>
        <v/>
      </c>
      <c r="T132">
        <f>IF(F132=1,P132*Assumptions!$B$14,Assumptions!$B$31)</f>
        <v/>
      </c>
      <c r="U132">
        <f>IF(G132=1,P132*Assumptions!$B$13,Assumptions!$B$30)</f>
        <v/>
      </c>
      <c r="V132">
        <f>IF(H132=1,P132*Assumptions!$B$12,Assumptions!$B$29)</f>
        <v/>
      </c>
      <c r="W132">
        <f>IF(I132=1,P132*Assumptions!$B$11,Assumptions!$B$28)</f>
        <v/>
      </c>
      <c r="X132">
        <f>P132*(Assumptions!$B$133+Assumptions!$B$137)</f>
        <v/>
      </c>
      <c r="Y132">
        <f>P132*Assumptions!$B$9</f>
        <v/>
      </c>
      <c r="Z132">
        <f>IF(M132=1,(P132-Assumptions!$B$37)*Assumptions!$B$153,0)</f>
        <v/>
      </c>
      <c r="AA132">
        <f>Q132+R132+S132+T132+U132+V132+W132+X132+Y132+Z132</f>
        <v/>
      </c>
      <c r="AB132" t="n">
        <v>81</v>
      </c>
      <c r="AC132" t="n">
        <v>17</v>
      </c>
      <c r="AD132" t="n">
        <v>113</v>
      </c>
      <c r="AE132" t="n">
        <v>65</v>
      </c>
      <c r="AF132" t="n">
        <v>89</v>
      </c>
      <c r="AG132" t="n">
        <v>85</v>
      </c>
      <c r="AH132" t="n">
        <v>83</v>
      </c>
      <c r="AI132" t="n">
        <v>80</v>
      </c>
      <c r="AJ132">
        <f>INDEX($Q$51:$Q$178,AC132+1)</f>
        <v/>
      </c>
      <c r="AK132">
        <f>INDEX($R$51:$R$178,AD132+1)</f>
        <v/>
      </c>
      <c r="AL132">
        <f>INDEX($S$51:$S$178,AE132+1)</f>
        <v/>
      </c>
      <c r="AM132">
        <f>INDEX($T$51:$T$178,AF132+1)</f>
        <v/>
      </c>
      <c r="AN132">
        <f>INDEX($U$51:$U$178,AG132+1)</f>
        <v/>
      </c>
      <c r="AO132">
        <f>INDEX($V$51:$V$178,AH132+1)</f>
        <v/>
      </c>
      <c r="AP132">
        <f>INDEX($W$51:$W$178,AI132+1)</f>
        <v/>
      </c>
      <c r="AQ132">
        <f>IF(Q132&gt;=AJ132-0.01,1,0)</f>
        <v/>
      </c>
      <c r="AR132">
        <f>IF(R132&gt;=AK132-0.01,1,0)</f>
        <v/>
      </c>
      <c r="AS132">
        <f>IF(S132&gt;=AL132-0.01,1,0)</f>
        <v/>
      </c>
      <c r="AT132">
        <f>IF(T132&gt;=AM132-0.01,1,0)</f>
        <v/>
      </c>
      <c r="AU132">
        <f>IF(U132&gt;=AN132-0.01,1,0)</f>
        <v/>
      </c>
      <c r="AV132">
        <f>IF(V132&gt;=AO132-0.01,1,0)</f>
        <v/>
      </c>
      <c r="AW132">
        <f>IF(W132&gt;=AP132-0.01,1,0)</f>
        <v/>
      </c>
      <c r="AX132">
        <f>AQ132*AR132*AS132*AT132*AU132*AV132*AW132</f>
        <v/>
      </c>
      <c r="AY132">
        <f>Assumptions!$B$41</f>
        <v/>
      </c>
      <c r="AZ132">
        <f>Assumptions!$B$33</f>
        <v/>
      </c>
      <c r="BA132">
        <f>Assumptions!$B$32</f>
        <v/>
      </c>
      <c r="BB132">
        <f>Assumptions!$B$31</f>
        <v/>
      </c>
      <c r="BC132">
        <f>Assumptions!$B$30</f>
        <v/>
      </c>
      <c r="BD132">
        <f>Assumptions!$B$29</f>
        <v/>
      </c>
      <c r="BE132">
        <f>Assumptions!$B$28</f>
        <v/>
      </c>
      <c r="BF132">
        <f>P132*Assumptions!$B$141</f>
        <v/>
      </c>
      <c r="BG132">
        <f>P132*Assumptions!$B$128</f>
        <v/>
      </c>
      <c r="BH132">
        <f>P132*Assumptions!$B$129</f>
        <v/>
      </c>
      <c r="BI132">
        <f>P132*Assumptions!$B$14</f>
        <v/>
      </c>
      <c r="BJ132">
        <f>P132*Assumptions!$B$13</f>
        <v/>
      </c>
      <c r="BK132">
        <f>P132*Assumptions!$B$12</f>
        <v/>
      </c>
      <c r="BL132">
        <f>P132*Assumptions!$B$11</f>
        <v/>
      </c>
    </row>
    <row r="133">
      <c r="A133" t="inlineStr">
        <is>
          <t>700M</t>
        </is>
      </c>
      <c r="B133">
        <f>Assumptions!$B$58</f>
        <v/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>
        <f>(1-C133)*Assumptions!$B$41+(1-D133)*Assumptions!$B$33+(1-E133)*Assumptions!$B$32+(1-F133)*Assumptions!$B$31+(1-G133)*Assumptions!$B$30+(1-H133)*Assumptions!$B$29+(1-I133)*Assumptions!$B$28</f>
        <v/>
      </c>
      <c r="K133">
        <f>C133*Assumptions!$B$141+D133*Assumptions!$B$128+E133*Assumptions!$B$129+F133*Assumptions!$B$14+G133*Assumptions!$B$13+H133*Assumptions!$B$12+I133*Assumptions!$B$11+Assumptions!$B$133+Assumptions!$B$137+Assumptions!$B$9</f>
        <v/>
      </c>
      <c r="L133">
        <f>B133-J133</f>
        <v/>
      </c>
      <c r="M133">
        <f>IF(K133&gt;0,IF(L133/K133&gt;=Assumptions!$B$37,1,0),0)</f>
        <v/>
      </c>
      <c r="N133">
        <f>K133+M133*Assumptions!$B$153</f>
        <v/>
      </c>
      <c r="O133">
        <f>L133+M133*Assumptions!$B$153*Assumptions!$B$37</f>
        <v/>
      </c>
      <c r="P133">
        <f>IF(N133&gt;0,O133/N133,0)</f>
        <v/>
      </c>
      <c r="Q133">
        <f>IF(C133=1,P133*Assumptions!$B$141,Assumptions!$B$41)</f>
        <v/>
      </c>
      <c r="R133">
        <f>IF(D133=1,P133*Assumptions!$B$128,Assumptions!$B$33)</f>
        <v/>
      </c>
      <c r="S133">
        <f>IF(E133=1,P133*Assumptions!$B$129,Assumptions!$B$32)</f>
        <v/>
      </c>
      <c r="T133">
        <f>IF(F133=1,P133*Assumptions!$B$14,Assumptions!$B$31)</f>
        <v/>
      </c>
      <c r="U133">
        <f>IF(G133=1,P133*Assumptions!$B$13,Assumptions!$B$30)</f>
        <v/>
      </c>
      <c r="V133">
        <f>IF(H133=1,P133*Assumptions!$B$12,Assumptions!$B$29)</f>
        <v/>
      </c>
      <c r="W133">
        <f>IF(I133=1,P133*Assumptions!$B$11,Assumptions!$B$28)</f>
        <v/>
      </c>
      <c r="X133">
        <f>P133*(Assumptions!$B$133+Assumptions!$B$137)</f>
        <v/>
      </c>
      <c r="Y133">
        <f>P133*Assumptions!$B$9</f>
        <v/>
      </c>
      <c r="Z133">
        <f>IF(M133=1,(P133-Assumptions!$B$37)*Assumptions!$B$153,0)</f>
        <v/>
      </c>
      <c r="AA133">
        <f>Q133+R133+S133+T133+U133+V133+W133+X133+Y133+Z133</f>
        <v/>
      </c>
      <c r="AB133" t="n">
        <v>82</v>
      </c>
      <c r="AC133" t="n">
        <v>18</v>
      </c>
      <c r="AD133" t="n">
        <v>114</v>
      </c>
      <c r="AE133" t="n">
        <v>66</v>
      </c>
      <c r="AF133" t="n">
        <v>90</v>
      </c>
      <c r="AG133" t="n">
        <v>86</v>
      </c>
      <c r="AH133" t="n">
        <v>80</v>
      </c>
      <c r="AI133" t="n">
        <v>83</v>
      </c>
      <c r="AJ133">
        <f>INDEX($Q$51:$Q$178,AC133+1)</f>
        <v/>
      </c>
      <c r="AK133">
        <f>INDEX($R$51:$R$178,AD133+1)</f>
        <v/>
      </c>
      <c r="AL133">
        <f>INDEX($S$51:$S$178,AE133+1)</f>
        <v/>
      </c>
      <c r="AM133">
        <f>INDEX($T$51:$T$178,AF133+1)</f>
        <v/>
      </c>
      <c r="AN133">
        <f>INDEX($U$51:$U$178,AG133+1)</f>
        <v/>
      </c>
      <c r="AO133">
        <f>INDEX($V$51:$V$178,AH133+1)</f>
        <v/>
      </c>
      <c r="AP133">
        <f>INDEX($W$51:$W$178,AI133+1)</f>
        <v/>
      </c>
      <c r="AQ133">
        <f>IF(Q133&gt;=AJ133-0.01,1,0)</f>
        <v/>
      </c>
      <c r="AR133">
        <f>IF(R133&gt;=AK133-0.01,1,0)</f>
        <v/>
      </c>
      <c r="AS133">
        <f>IF(S133&gt;=AL133-0.01,1,0)</f>
        <v/>
      </c>
      <c r="AT133">
        <f>IF(T133&gt;=AM133-0.01,1,0)</f>
        <v/>
      </c>
      <c r="AU133">
        <f>IF(U133&gt;=AN133-0.01,1,0)</f>
        <v/>
      </c>
      <c r="AV133">
        <f>IF(V133&gt;=AO133-0.01,1,0)</f>
        <v/>
      </c>
      <c r="AW133">
        <f>IF(W133&gt;=AP133-0.01,1,0)</f>
        <v/>
      </c>
      <c r="AX133">
        <f>AQ133*AR133*AS133*AT133*AU133*AV133*AW133</f>
        <v/>
      </c>
      <c r="AY133">
        <f>Assumptions!$B$41</f>
        <v/>
      </c>
      <c r="AZ133">
        <f>Assumptions!$B$33</f>
        <v/>
      </c>
      <c r="BA133">
        <f>Assumptions!$B$32</f>
        <v/>
      </c>
      <c r="BB133">
        <f>Assumptions!$B$31</f>
        <v/>
      </c>
      <c r="BC133">
        <f>Assumptions!$B$30</f>
        <v/>
      </c>
      <c r="BD133">
        <f>Assumptions!$B$29</f>
        <v/>
      </c>
      <c r="BE133">
        <f>Assumptions!$B$28</f>
        <v/>
      </c>
      <c r="BF133">
        <f>P133*Assumptions!$B$141</f>
        <v/>
      </c>
      <c r="BG133">
        <f>P133*Assumptions!$B$128</f>
        <v/>
      </c>
      <c r="BH133">
        <f>P133*Assumptions!$B$129</f>
        <v/>
      </c>
      <c r="BI133">
        <f>P133*Assumptions!$B$14</f>
        <v/>
      </c>
      <c r="BJ133">
        <f>P133*Assumptions!$B$13</f>
        <v/>
      </c>
      <c r="BK133">
        <f>P133*Assumptions!$B$12</f>
        <v/>
      </c>
      <c r="BL133">
        <f>P133*Assumptions!$B$11</f>
        <v/>
      </c>
    </row>
    <row r="134">
      <c r="A134" t="inlineStr">
        <is>
          <t>700M</t>
        </is>
      </c>
      <c r="B134">
        <f>Assumptions!$B$58</f>
        <v/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1</v>
      </c>
      <c r="J134">
        <f>(1-C134)*Assumptions!$B$41+(1-D134)*Assumptions!$B$33+(1-E134)*Assumptions!$B$32+(1-F134)*Assumptions!$B$31+(1-G134)*Assumptions!$B$30+(1-H134)*Assumptions!$B$29+(1-I134)*Assumptions!$B$28</f>
        <v/>
      </c>
      <c r="K134">
        <f>C134*Assumptions!$B$141+D134*Assumptions!$B$128+E134*Assumptions!$B$129+F134*Assumptions!$B$14+G134*Assumptions!$B$13+H134*Assumptions!$B$12+I134*Assumptions!$B$11+Assumptions!$B$133+Assumptions!$B$137+Assumptions!$B$9</f>
        <v/>
      </c>
      <c r="L134">
        <f>B134-J134</f>
        <v/>
      </c>
      <c r="M134">
        <f>IF(K134&gt;0,IF(L134/K134&gt;=Assumptions!$B$37,1,0),0)</f>
        <v/>
      </c>
      <c r="N134">
        <f>K134+M134*Assumptions!$B$153</f>
        <v/>
      </c>
      <c r="O134">
        <f>L134+M134*Assumptions!$B$153*Assumptions!$B$37</f>
        <v/>
      </c>
      <c r="P134">
        <f>IF(N134&gt;0,O134/N134,0)</f>
        <v/>
      </c>
      <c r="Q134">
        <f>IF(C134=1,P134*Assumptions!$B$141,Assumptions!$B$41)</f>
        <v/>
      </c>
      <c r="R134">
        <f>IF(D134=1,P134*Assumptions!$B$128,Assumptions!$B$33)</f>
        <v/>
      </c>
      <c r="S134">
        <f>IF(E134=1,P134*Assumptions!$B$129,Assumptions!$B$32)</f>
        <v/>
      </c>
      <c r="T134">
        <f>IF(F134=1,P134*Assumptions!$B$14,Assumptions!$B$31)</f>
        <v/>
      </c>
      <c r="U134">
        <f>IF(G134=1,P134*Assumptions!$B$13,Assumptions!$B$30)</f>
        <v/>
      </c>
      <c r="V134">
        <f>IF(H134=1,P134*Assumptions!$B$12,Assumptions!$B$29)</f>
        <v/>
      </c>
      <c r="W134">
        <f>IF(I134=1,P134*Assumptions!$B$11,Assumptions!$B$28)</f>
        <v/>
      </c>
      <c r="X134">
        <f>P134*(Assumptions!$B$133+Assumptions!$B$137)</f>
        <v/>
      </c>
      <c r="Y134">
        <f>P134*Assumptions!$B$9</f>
        <v/>
      </c>
      <c r="Z134">
        <f>IF(M134=1,(P134-Assumptions!$B$37)*Assumptions!$B$153,0)</f>
        <v/>
      </c>
      <c r="AA134">
        <f>Q134+R134+S134+T134+U134+V134+W134+X134+Y134+Z134</f>
        <v/>
      </c>
      <c r="AB134" t="n">
        <v>83</v>
      </c>
      <c r="AC134" t="n">
        <v>19</v>
      </c>
      <c r="AD134" t="n">
        <v>115</v>
      </c>
      <c r="AE134" t="n">
        <v>67</v>
      </c>
      <c r="AF134" t="n">
        <v>91</v>
      </c>
      <c r="AG134" t="n">
        <v>87</v>
      </c>
      <c r="AH134" t="n">
        <v>81</v>
      </c>
      <c r="AI134" t="n">
        <v>82</v>
      </c>
      <c r="AJ134">
        <f>INDEX($Q$51:$Q$178,AC134+1)</f>
        <v/>
      </c>
      <c r="AK134">
        <f>INDEX($R$51:$R$178,AD134+1)</f>
        <v/>
      </c>
      <c r="AL134">
        <f>INDEX($S$51:$S$178,AE134+1)</f>
        <v/>
      </c>
      <c r="AM134">
        <f>INDEX($T$51:$T$178,AF134+1)</f>
        <v/>
      </c>
      <c r="AN134">
        <f>INDEX($U$51:$U$178,AG134+1)</f>
        <v/>
      </c>
      <c r="AO134">
        <f>INDEX($V$51:$V$178,AH134+1)</f>
        <v/>
      </c>
      <c r="AP134">
        <f>INDEX($W$51:$W$178,AI134+1)</f>
        <v/>
      </c>
      <c r="AQ134">
        <f>IF(Q134&gt;=AJ134-0.01,1,0)</f>
        <v/>
      </c>
      <c r="AR134">
        <f>IF(R134&gt;=AK134-0.01,1,0)</f>
        <v/>
      </c>
      <c r="AS134">
        <f>IF(S134&gt;=AL134-0.01,1,0)</f>
        <v/>
      </c>
      <c r="AT134">
        <f>IF(T134&gt;=AM134-0.01,1,0)</f>
        <v/>
      </c>
      <c r="AU134">
        <f>IF(U134&gt;=AN134-0.01,1,0)</f>
        <v/>
      </c>
      <c r="AV134">
        <f>IF(V134&gt;=AO134-0.01,1,0)</f>
        <v/>
      </c>
      <c r="AW134">
        <f>IF(W134&gt;=AP134-0.01,1,0)</f>
        <v/>
      </c>
      <c r="AX134">
        <f>AQ134*AR134*AS134*AT134*AU134*AV134*AW134</f>
        <v/>
      </c>
      <c r="AY134">
        <f>Assumptions!$B$41</f>
        <v/>
      </c>
      <c r="AZ134">
        <f>Assumptions!$B$33</f>
        <v/>
      </c>
      <c r="BA134">
        <f>Assumptions!$B$32</f>
        <v/>
      </c>
      <c r="BB134">
        <f>Assumptions!$B$31</f>
        <v/>
      </c>
      <c r="BC134">
        <f>Assumptions!$B$30</f>
        <v/>
      </c>
      <c r="BD134">
        <f>Assumptions!$B$29</f>
        <v/>
      </c>
      <c r="BE134">
        <f>Assumptions!$B$28</f>
        <v/>
      </c>
      <c r="BF134">
        <f>P134*Assumptions!$B$141</f>
        <v/>
      </c>
      <c r="BG134">
        <f>P134*Assumptions!$B$128</f>
        <v/>
      </c>
      <c r="BH134">
        <f>P134*Assumptions!$B$129</f>
        <v/>
      </c>
      <c r="BI134">
        <f>P134*Assumptions!$B$14</f>
        <v/>
      </c>
      <c r="BJ134">
        <f>P134*Assumptions!$B$13</f>
        <v/>
      </c>
      <c r="BK134">
        <f>P134*Assumptions!$B$12</f>
        <v/>
      </c>
      <c r="BL134">
        <f>P134*Assumptions!$B$11</f>
        <v/>
      </c>
    </row>
    <row r="135">
      <c r="A135" t="inlineStr">
        <is>
          <t>700M</t>
        </is>
      </c>
      <c r="B135">
        <f>Assumptions!$B$58</f>
        <v/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>
        <f>(1-C135)*Assumptions!$B$41+(1-D135)*Assumptions!$B$33+(1-E135)*Assumptions!$B$32+(1-F135)*Assumptions!$B$31+(1-G135)*Assumptions!$B$30+(1-H135)*Assumptions!$B$29+(1-I135)*Assumptions!$B$28</f>
        <v/>
      </c>
      <c r="K135">
        <f>C135*Assumptions!$B$141+D135*Assumptions!$B$128+E135*Assumptions!$B$129+F135*Assumptions!$B$14+G135*Assumptions!$B$13+H135*Assumptions!$B$12+I135*Assumptions!$B$11+Assumptions!$B$133+Assumptions!$B$137+Assumptions!$B$9</f>
        <v/>
      </c>
      <c r="L135">
        <f>B135-J135</f>
        <v/>
      </c>
      <c r="M135">
        <f>IF(K135&gt;0,IF(L135/K135&gt;=Assumptions!$B$37,1,0),0)</f>
        <v/>
      </c>
      <c r="N135">
        <f>K135+M135*Assumptions!$B$153</f>
        <v/>
      </c>
      <c r="O135">
        <f>L135+M135*Assumptions!$B$153*Assumptions!$B$37</f>
        <v/>
      </c>
      <c r="P135">
        <f>IF(N135&gt;0,O135/N135,0)</f>
        <v/>
      </c>
      <c r="Q135">
        <f>IF(C135=1,P135*Assumptions!$B$141,Assumptions!$B$41)</f>
        <v/>
      </c>
      <c r="R135">
        <f>IF(D135=1,P135*Assumptions!$B$128,Assumptions!$B$33)</f>
        <v/>
      </c>
      <c r="S135">
        <f>IF(E135=1,P135*Assumptions!$B$129,Assumptions!$B$32)</f>
        <v/>
      </c>
      <c r="T135">
        <f>IF(F135=1,P135*Assumptions!$B$14,Assumptions!$B$31)</f>
        <v/>
      </c>
      <c r="U135">
        <f>IF(G135=1,P135*Assumptions!$B$13,Assumptions!$B$30)</f>
        <v/>
      </c>
      <c r="V135">
        <f>IF(H135=1,P135*Assumptions!$B$12,Assumptions!$B$29)</f>
        <v/>
      </c>
      <c r="W135">
        <f>IF(I135=1,P135*Assumptions!$B$11,Assumptions!$B$28)</f>
        <v/>
      </c>
      <c r="X135">
        <f>P135*(Assumptions!$B$133+Assumptions!$B$137)</f>
        <v/>
      </c>
      <c r="Y135">
        <f>P135*Assumptions!$B$9</f>
        <v/>
      </c>
      <c r="Z135">
        <f>IF(M135=1,(P135-Assumptions!$B$37)*Assumptions!$B$153,0)</f>
        <v/>
      </c>
      <c r="AA135">
        <f>Q135+R135+S135+T135+U135+V135+W135+X135+Y135+Z135</f>
        <v/>
      </c>
      <c r="AB135" t="n">
        <v>84</v>
      </c>
      <c r="AC135" t="n">
        <v>20</v>
      </c>
      <c r="AD135" t="n">
        <v>116</v>
      </c>
      <c r="AE135" t="n">
        <v>68</v>
      </c>
      <c r="AF135" t="n">
        <v>92</v>
      </c>
      <c r="AG135" t="n">
        <v>80</v>
      </c>
      <c r="AH135" t="n">
        <v>86</v>
      </c>
      <c r="AI135" t="n">
        <v>85</v>
      </c>
      <c r="AJ135">
        <f>INDEX($Q$51:$Q$178,AC135+1)</f>
        <v/>
      </c>
      <c r="AK135">
        <f>INDEX($R$51:$R$178,AD135+1)</f>
        <v/>
      </c>
      <c r="AL135">
        <f>INDEX($S$51:$S$178,AE135+1)</f>
        <v/>
      </c>
      <c r="AM135">
        <f>INDEX($T$51:$T$178,AF135+1)</f>
        <v/>
      </c>
      <c r="AN135">
        <f>INDEX($U$51:$U$178,AG135+1)</f>
        <v/>
      </c>
      <c r="AO135">
        <f>INDEX($V$51:$V$178,AH135+1)</f>
        <v/>
      </c>
      <c r="AP135">
        <f>INDEX($W$51:$W$178,AI135+1)</f>
        <v/>
      </c>
      <c r="AQ135">
        <f>IF(Q135&gt;=AJ135-0.01,1,0)</f>
        <v/>
      </c>
      <c r="AR135">
        <f>IF(R135&gt;=AK135-0.01,1,0)</f>
        <v/>
      </c>
      <c r="AS135">
        <f>IF(S135&gt;=AL135-0.01,1,0)</f>
        <v/>
      </c>
      <c r="AT135">
        <f>IF(T135&gt;=AM135-0.01,1,0)</f>
        <v/>
      </c>
      <c r="AU135">
        <f>IF(U135&gt;=AN135-0.01,1,0)</f>
        <v/>
      </c>
      <c r="AV135">
        <f>IF(V135&gt;=AO135-0.01,1,0)</f>
        <v/>
      </c>
      <c r="AW135">
        <f>IF(W135&gt;=AP135-0.01,1,0)</f>
        <v/>
      </c>
      <c r="AX135">
        <f>AQ135*AR135*AS135*AT135*AU135*AV135*AW135</f>
        <v/>
      </c>
      <c r="AY135">
        <f>Assumptions!$B$41</f>
        <v/>
      </c>
      <c r="AZ135">
        <f>Assumptions!$B$33</f>
        <v/>
      </c>
      <c r="BA135">
        <f>Assumptions!$B$32</f>
        <v/>
      </c>
      <c r="BB135">
        <f>Assumptions!$B$31</f>
        <v/>
      </c>
      <c r="BC135">
        <f>Assumptions!$B$30</f>
        <v/>
      </c>
      <c r="BD135">
        <f>Assumptions!$B$29</f>
        <v/>
      </c>
      <c r="BE135">
        <f>Assumptions!$B$28</f>
        <v/>
      </c>
      <c r="BF135">
        <f>P135*Assumptions!$B$141</f>
        <v/>
      </c>
      <c r="BG135">
        <f>P135*Assumptions!$B$128</f>
        <v/>
      </c>
      <c r="BH135">
        <f>P135*Assumptions!$B$129</f>
        <v/>
      </c>
      <c r="BI135">
        <f>P135*Assumptions!$B$14</f>
        <v/>
      </c>
      <c r="BJ135">
        <f>P135*Assumptions!$B$13</f>
        <v/>
      </c>
      <c r="BK135">
        <f>P135*Assumptions!$B$12</f>
        <v/>
      </c>
      <c r="BL135">
        <f>P135*Assumptions!$B$11</f>
        <v/>
      </c>
    </row>
    <row r="136">
      <c r="A136" t="inlineStr">
        <is>
          <t>700M</t>
        </is>
      </c>
      <c r="B136">
        <f>Assumptions!$B$58</f>
        <v/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>
        <f>(1-C136)*Assumptions!$B$41+(1-D136)*Assumptions!$B$33+(1-E136)*Assumptions!$B$32+(1-F136)*Assumptions!$B$31+(1-G136)*Assumptions!$B$30+(1-H136)*Assumptions!$B$29+(1-I136)*Assumptions!$B$28</f>
        <v/>
      </c>
      <c r="K136">
        <f>C136*Assumptions!$B$141+D136*Assumptions!$B$128+E136*Assumptions!$B$129+F136*Assumptions!$B$14+G136*Assumptions!$B$13+H136*Assumptions!$B$12+I136*Assumptions!$B$11+Assumptions!$B$133+Assumptions!$B$137+Assumptions!$B$9</f>
        <v/>
      </c>
      <c r="L136">
        <f>B136-J136</f>
        <v/>
      </c>
      <c r="M136">
        <f>IF(K136&gt;0,IF(L136/K136&gt;=Assumptions!$B$37,1,0),0)</f>
        <v/>
      </c>
      <c r="N136">
        <f>K136+M136*Assumptions!$B$153</f>
        <v/>
      </c>
      <c r="O136">
        <f>L136+M136*Assumptions!$B$153*Assumptions!$B$37</f>
        <v/>
      </c>
      <c r="P136">
        <f>IF(N136&gt;0,O136/N136,0)</f>
        <v/>
      </c>
      <c r="Q136">
        <f>IF(C136=1,P136*Assumptions!$B$141,Assumptions!$B$41)</f>
        <v/>
      </c>
      <c r="R136">
        <f>IF(D136=1,P136*Assumptions!$B$128,Assumptions!$B$33)</f>
        <v/>
      </c>
      <c r="S136">
        <f>IF(E136=1,P136*Assumptions!$B$129,Assumptions!$B$32)</f>
        <v/>
      </c>
      <c r="T136">
        <f>IF(F136=1,P136*Assumptions!$B$14,Assumptions!$B$31)</f>
        <v/>
      </c>
      <c r="U136">
        <f>IF(G136=1,P136*Assumptions!$B$13,Assumptions!$B$30)</f>
        <v/>
      </c>
      <c r="V136">
        <f>IF(H136=1,P136*Assumptions!$B$12,Assumptions!$B$29)</f>
        <v/>
      </c>
      <c r="W136">
        <f>IF(I136=1,P136*Assumptions!$B$11,Assumptions!$B$28)</f>
        <v/>
      </c>
      <c r="X136">
        <f>P136*(Assumptions!$B$133+Assumptions!$B$137)</f>
        <v/>
      </c>
      <c r="Y136">
        <f>P136*Assumptions!$B$9</f>
        <v/>
      </c>
      <c r="Z136">
        <f>IF(M136=1,(P136-Assumptions!$B$37)*Assumptions!$B$153,0)</f>
        <v/>
      </c>
      <c r="AA136">
        <f>Q136+R136+S136+T136+U136+V136+W136+X136+Y136+Z136</f>
        <v/>
      </c>
      <c r="AB136" t="n">
        <v>85</v>
      </c>
      <c r="AC136" t="n">
        <v>21</v>
      </c>
      <c r="AD136" t="n">
        <v>117</v>
      </c>
      <c r="AE136" t="n">
        <v>69</v>
      </c>
      <c r="AF136" t="n">
        <v>93</v>
      </c>
      <c r="AG136" t="n">
        <v>81</v>
      </c>
      <c r="AH136" t="n">
        <v>87</v>
      </c>
      <c r="AI136" t="n">
        <v>84</v>
      </c>
      <c r="AJ136">
        <f>INDEX($Q$51:$Q$178,AC136+1)</f>
        <v/>
      </c>
      <c r="AK136">
        <f>INDEX($R$51:$R$178,AD136+1)</f>
        <v/>
      </c>
      <c r="AL136">
        <f>INDEX($S$51:$S$178,AE136+1)</f>
        <v/>
      </c>
      <c r="AM136">
        <f>INDEX($T$51:$T$178,AF136+1)</f>
        <v/>
      </c>
      <c r="AN136">
        <f>INDEX($U$51:$U$178,AG136+1)</f>
        <v/>
      </c>
      <c r="AO136">
        <f>INDEX($V$51:$V$178,AH136+1)</f>
        <v/>
      </c>
      <c r="AP136">
        <f>INDEX($W$51:$W$178,AI136+1)</f>
        <v/>
      </c>
      <c r="AQ136">
        <f>IF(Q136&gt;=AJ136-0.01,1,0)</f>
        <v/>
      </c>
      <c r="AR136">
        <f>IF(R136&gt;=AK136-0.01,1,0)</f>
        <v/>
      </c>
      <c r="AS136">
        <f>IF(S136&gt;=AL136-0.01,1,0)</f>
        <v/>
      </c>
      <c r="AT136">
        <f>IF(T136&gt;=AM136-0.01,1,0)</f>
        <v/>
      </c>
      <c r="AU136">
        <f>IF(U136&gt;=AN136-0.01,1,0)</f>
        <v/>
      </c>
      <c r="AV136">
        <f>IF(V136&gt;=AO136-0.01,1,0)</f>
        <v/>
      </c>
      <c r="AW136">
        <f>IF(W136&gt;=AP136-0.01,1,0)</f>
        <v/>
      </c>
      <c r="AX136">
        <f>AQ136*AR136*AS136*AT136*AU136*AV136*AW136</f>
        <v/>
      </c>
      <c r="AY136">
        <f>Assumptions!$B$41</f>
        <v/>
      </c>
      <c r="AZ136">
        <f>Assumptions!$B$33</f>
        <v/>
      </c>
      <c r="BA136">
        <f>Assumptions!$B$32</f>
        <v/>
      </c>
      <c r="BB136">
        <f>Assumptions!$B$31</f>
        <v/>
      </c>
      <c r="BC136">
        <f>Assumptions!$B$30</f>
        <v/>
      </c>
      <c r="BD136">
        <f>Assumptions!$B$29</f>
        <v/>
      </c>
      <c r="BE136">
        <f>Assumptions!$B$28</f>
        <v/>
      </c>
      <c r="BF136">
        <f>P136*Assumptions!$B$141</f>
        <v/>
      </c>
      <c r="BG136">
        <f>P136*Assumptions!$B$128</f>
        <v/>
      </c>
      <c r="BH136">
        <f>P136*Assumptions!$B$129</f>
        <v/>
      </c>
      <c r="BI136">
        <f>P136*Assumptions!$B$14</f>
        <v/>
      </c>
      <c r="BJ136">
        <f>P136*Assumptions!$B$13</f>
        <v/>
      </c>
      <c r="BK136">
        <f>P136*Assumptions!$B$12</f>
        <v/>
      </c>
      <c r="BL136">
        <f>P136*Assumptions!$B$11</f>
        <v/>
      </c>
    </row>
    <row r="137">
      <c r="A137" t="inlineStr">
        <is>
          <t>700M</t>
        </is>
      </c>
      <c r="B137">
        <f>Assumptions!$B$58</f>
        <v/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>
        <f>(1-C137)*Assumptions!$B$41+(1-D137)*Assumptions!$B$33+(1-E137)*Assumptions!$B$32+(1-F137)*Assumptions!$B$31+(1-G137)*Assumptions!$B$30+(1-H137)*Assumptions!$B$29+(1-I137)*Assumptions!$B$28</f>
        <v/>
      </c>
      <c r="K137">
        <f>C137*Assumptions!$B$141+D137*Assumptions!$B$128+E137*Assumptions!$B$129+F137*Assumptions!$B$14+G137*Assumptions!$B$13+H137*Assumptions!$B$12+I137*Assumptions!$B$11+Assumptions!$B$133+Assumptions!$B$137+Assumptions!$B$9</f>
        <v/>
      </c>
      <c r="L137">
        <f>B137-J137</f>
        <v/>
      </c>
      <c r="M137">
        <f>IF(K137&gt;0,IF(L137/K137&gt;=Assumptions!$B$37,1,0),0)</f>
        <v/>
      </c>
      <c r="N137">
        <f>K137+M137*Assumptions!$B$153</f>
        <v/>
      </c>
      <c r="O137">
        <f>L137+M137*Assumptions!$B$153*Assumptions!$B$37</f>
        <v/>
      </c>
      <c r="P137">
        <f>IF(N137&gt;0,O137/N137,0)</f>
        <v/>
      </c>
      <c r="Q137">
        <f>IF(C137=1,P137*Assumptions!$B$141,Assumptions!$B$41)</f>
        <v/>
      </c>
      <c r="R137">
        <f>IF(D137=1,P137*Assumptions!$B$128,Assumptions!$B$33)</f>
        <v/>
      </c>
      <c r="S137">
        <f>IF(E137=1,P137*Assumptions!$B$129,Assumptions!$B$32)</f>
        <v/>
      </c>
      <c r="T137">
        <f>IF(F137=1,P137*Assumptions!$B$14,Assumptions!$B$31)</f>
        <v/>
      </c>
      <c r="U137">
        <f>IF(G137=1,P137*Assumptions!$B$13,Assumptions!$B$30)</f>
        <v/>
      </c>
      <c r="V137">
        <f>IF(H137=1,P137*Assumptions!$B$12,Assumptions!$B$29)</f>
        <v/>
      </c>
      <c r="W137">
        <f>IF(I137=1,P137*Assumptions!$B$11,Assumptions!$B$28)</f>
        <v/>
      </c>
      <c r="X137">
        <f>P137*(Assumptions!$B$133+Assumptions!$B$137)</f>
        <v/>
      </c>
      <c r="Y137">
        <f>P137*Assumptions!$B$9</f>
        <v/>
      </c>
      <c r="Z137">
        <f>IF(M137=1,(P137-Assumptions!$B$37)*Assumptions!$B$153,0)</f>
        <v/>
      </c>
      <c r="AA137">
        <f>Q137+R137+S137+T137+U137+V137+W137+X137+Y137+Z137</f>
        <v/>
      </c>
      <c r="AB137" t="n">
        <v>86</v>
      </c>
      <c r="AC137" t="n">
        <v>22</v>
      </c>
      <c r="AD137" t="n">
        <v>118</v>
      </c>
      <c r="AE137" t="n">
        <v>70</v>
      </c>
      <c r="AF137" t="n">
        <v>94</v>
      </c>
      <c r="AG137" t="n">
        <v>82</v>
      </c>
      <c r="AH137" t="n">
        <v>84</v>
      </c>
      <c r="AI137" t="n">
        <v>87</v>
      </c>
      <c r="AJ137">
        <f>INDEX($Q$51:$Q$178,AC137+1)</f>
        <v/>
      </c>
      <c r="AK137">
        <f>INDEX($R$51:$R$178,AD137+1)</f>
        <v/>
      </c>
      <c r="AL137">
        <f>INDEX($S$51:$S$178,AE137+1)</f>
        <v/>
      </c>
      <c r="AM137">
        <f>INDEX($T$51:$T$178,AF137+1)</f>
        <v/>
      </c>
      <c r="AN137">
        <f>INDEX($U$51:$U$178,AG137+1)</f>
        <v/>
      </c>
      <c r="AO137">
        <f>INDEX($V$51:$V$178,AH137+1)</f>
        <v/>
      </c>
      <c r="AP137">
        <f>INDEX($W$51:$W$178,AI137+1)</f>
        <v/>
      </c>
      <c r="AQ137">
        <f>IF(Q137&gt;=AJ137-0.01,1,0)</f>
        <v/>
      </c>
      <c r="AR137">
        <f>IF(R137&gt;=AK137-0.01,1,0)</f>
        <v/>
      </c>
      <c r="AS137">
        <f>IF(S137&gt;=AL137-0.01,1,0)</f>
        <v/>
      </c>
      <c r="AT137">
        <f>IF(T137&gt;=AM137-0.01,1,0)</f>
        <v/>
      </c>
      <c r="AU137">
        <f>IF(U137&gt;=AN137-0.01,1,0)</f>
        <v/>
      </c>
      <c r="AV137">
        <f>IF(V137&gt;=AO137-0.01,1,0)</f>
        <v/>
      </c>
      <c r="AW137">
        <f>IF(W137&gt;=AP137-0.01,1,0)</f>
        <v/>
      </c>
      <c r="AX137">
        <f>AQ137*AR137*AS137*AT137*AU137*AV137*AW137</f>
        <v/>
      </c>
      <c r="AY137">
        <f>Assumptions!$B$41</f>
        <v/>
      </c>
      <c r="AZ137">
        <f>Assumptions!$B$33</f>
        <v/>
      </c>
      <c r="BA137">
        <f>Assumptions!$B$32</f>
        <v/>
      </c>
      <c r="BB137">
        <f>Assumptions!$B$31</f>
        <v/>
      </c>
      <c r="BC137">
        <f>Assumptions!$B$30</f>
        <v/>
      </c>
      <c r="BD137">
        <f>Assumptions!$B$29</f>
        <v/>
      </c>
      <c r="BE137">
        <f>Assumptions!$B$28</f>
        <v/>
      </c>
      <c r="BF137">
        <f>P137*Assumptions!$B$141</f>
        <v/>
      </c>
      <c r="BG137">
        <f>P137*Assumptions!$B$128</f>
        <v/>
      </c>
      <c r="BH137">
        <f>P137*Assumptions!$B$129</f>
        <v/>
      </c>
      <c r="BI137">
        <f>P137*Assumptions!$B$14</f>
        <v/>
      </c>
      <c r="BJ137">
        <f>P137*Assumptions!$B$13</f>
        <v/>
      </c>
      <c r="BK137">
        <f>P137*Assumptions!$B$12</f>
        <v/>
      </c>
      <c r="BL137">
        <f>P137*Assumptions!$B$11</f>
        <v/>
      </c>
    </row>
    <row r="138">
      <c r="A138" t="inlineStr">
        <is>
          <t>700M</t>
        </is>
      </c>
      <c r="B138">
        <f>Assumptions!$B$58</f>
        <v/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>
        <f>(1-C138)*Assumptions!$B$41+(1-D138)*Assumptions!$B$33+(1-E138)*Assumptions!$B$32+(1-F138)*Assumptions!$B$31+(1-G138)*Assumptions!$B$30+(1-H138)*Assumptions!$B$29+(1-I138)*Assumptions!$B$28</f>
        <v/>
      </c>
      <c r="K138">
        <f>C138*Assumptions!$B$141+D138*Assumptions!$B$128+E138*Assumptions!$B$129+F138*Assumptions!$B$14+G138*Assumptions!$B$13+H138*Assumptions!$B$12+I138*Assumptions!$B$11+Assumptions!$B$133+Assumptions!$B$137+Assumptions!$B$9</f>
        <v/>
      </c>
      <c r="L138">
        <f>B138-J138</f>
        <v/>
      </c>
      <c r="M138">
        <f>IF(K138&gt;0,IF(L138/K138&gt;=Assumptions!$B$37,1,0),0)</f>
        <v/>
      </c>
      <c r="N138">
        <f>K138+M138*Assumptions!$B$153</f>
        <v/>
      </c>
      <c r="O138">
        <f>L138+M138*Assumptions!$B$153*Assumptions!$B$37</f>
        <v/>
      </c>
      <c r="P138">
        <f>IF(N138&gt;0,O138/N138,0)</f>
        <v/>
      </c>
      <c r="Q138">
        <f>IF(C138=1,P138*Assumptions!$B$141,Assumptions!$B$41)</f>
        <v/>
      </c>
      <c r="R138">
        <f>IF(D138=1,P138*Assumptions!$B$128,Assumptions!$B$33)</f>
        <v/>
      </c>
      <c r="S138">
        <f>IF(E138=1,P138*Assumptions!$B$129,Assumptions!$B$32)</f>
        <v/>
      </c>
      <c r="T138">
        <f>IF(F138=1,P138*Assumptions!$B$14,Assumptions!$B$31)</f>
        <v/>
      </c>
      <c r="U138">
        <f>IF(G138=1,P138*Assumptions!$B$13,Assumptions!$B$30)</f>
        <v/>
      </c>
      <c r="V138">
        <f>IF(H138=1,P138*Assumptions!$B$12,Assumptions!$B$29)</f>
        <v/>
      </c>
      <c r="W138">
        <f>IF(I138=1,P138*Assumptions!$B$11,Assumptions!$B$28)</f>
        <v/>
      </c>
      <c r="X138">
        <f>P138*(Assumptions!$B$133+Assumptions!$B$137)</f>
        <v/>
      </c>
      <c r="Y138">
        <f>P138*Assumptions!$B$9</f>
        <v/>
      </c>
      <c r="Z138">
        <f>IF(M138=1,(P138-Assumptions!$B$37)*Assumptions!$B$153,0)</f>
        <v/>
      </c>
      <c r="AA138">
        <f>Q138+R138+S138+T138+U138+V138+W138+X138+Y138+Z138</f>
        <v/>
      </c>
      <c r="AB138" t="n">
        <v>87</v>
      </c>
      <c r="AC138" t="n">
        <v>23</v>
      </c>
      <c r="AD138" t="n">
        <v>119</v>
      </c>
      <c r="AE138" t="n">
        <v>71</v>
      </c>
      <c r="AF138" t="n">
        <v>95</v>
      </c>
      <c r="AG138" t="n">
        <v>83</v>
      </c>
      <c r="AH138" t="n">
        <v>85</v>
      </c>
      <c r="AI138" t="n">
        <v>86</v>
      </c>
      <c r="AJ138">
        <f>INDEX($Q$51:$Q$178,AC138+1)</f>
        <v/>
      </c>
      <c r="AK138">
        <f>INDEX($R$51:$R$178,AD138+1)</f>
        <v/>
      </c>
      <c r="AL138">
        <f>INDEX($S$51:$S$178,AE138+1)</f>
        <v/>
      </c>
      <c r="AM138">
        <f>INDEX($T$51:$T$178,AF138+1)</f>
        <v/>
      </c>
      <c r="AN138">
        <f>INDEX($U$51:$U$178,AG138+1)</f>
        <v/>
      </c>
      <c r="AO138">
        <f>INDEX($V$51:$V$178,AH138+1)</f>
        <v/>
      </c>
      <c r="AP138">
        <f>INDEX($W$51:$W$178,AI138+1)</f>
        <v/>
      </c>
      <c r="AQ138">
        <f>IF(Q138&gt;=AJ138-0.01,1,0)</f>
        <v/>
      </c>
      <c r="AR138">
        <f>IF(R138&gt;=AK138-0.01,1,0)</f>
        <v/>
      </c>
      <c r="AS138">
        <f>IF(S138&gt;=AL138-0.01,1,0)</f>
        <v/>
      </c>
      <c r="AT138">
        <f>IF(T138&gt;=AM138-0.01,1,0)</f>
        <v/>
      </c>
      <c r="AU138">
        <f>IF(U138&gt;=AN138-0.01,1,0)</f>
        <v/>
      </c>
      <c r="AV138">
        <f>IF(V138&gt;=AO138-0.01,1,0)</f>
        <v/>
      </c>
      <c r="AW138">
        <f>IF(W138&gt;=AP138-0.01,1,0)</f>
        <v/>
      </c>
      <c r="AX138">
        <f>AQ138*AR138*AS138*AT138*AU138*AV138*AW138</f>
        <v/>
      </c>
      <c r="AY138">
        <f>Assumptions!$B$41</f>
        <v/>
      </c>
      <c r="AZ138">
        <f>Assumptions!$B$33</f>
        <v/>
      </c>
      <c r="BA138">
        <f>Assumptions!$B$32</f>
        <v/>
      </c>
      <c r="BB138">
        <f>Assumptions!$B$31</f>
        <v/>
      </c>
      <c r="BC138">
        <f>Assumptions!$B$30</f>
        <v/>
      </c>
      <c r="BD138">
        <f>Assumptions!$B$29</f>
        <v/>
      </c>
      <c r="BE138">
        <f>Assumptions!$B$28</f>
        <v/>
      </c>
      <c r="BF138">
        <f>P138*Assumptions!$B$141</f>
        <v/>
      </c>
      <c r="BG138">
        <f>P138*Assumptions!$B$128</f>
        <v/>
      </c>
      <c r="BH138">
        <f>P138*Assumptions!$B$129</f>
        <v/>
      </c>
      <c r="BI138">
        <f>P138*Assumptions!$B$14</f>
        <v/>
      </c>
      <c r="BJ138">
        <f>P138*Assumptions!$B$13</f>
        <v/>
      </c>
      <c r="BK138">
        <f>P138*Assumptions!$B$12</f>
        <v/>
      </c>
      <c r="BL138">
        <f>P138*Assumptions!$B$11</f>
        <v/>
      </c>
    </row>
    <row r="139">
      <c r="A139" t="inlineStr">
        <is>
          <t>700M</t>
        </is>
      </c>
      <c r="B139">
        <f>Assumptions!$B$58</f>
        <v/>
      </c>
      <c r="C139" t="n">
        <v>1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>
        <f>(1-C139)*Assumptions!$B$41+(1-D139)*Assumptions!$B$33+(1-E139)*Assumptions!$B$32+(1-F139)*Assumptions!$B$31+(1-G139)*Assumptions!$B$30+(1-H139)*Assumptions!$B$29+(1-I139)*Assumptions!$B$28</f>
        <v/>
      </c>
      <c r="K139">
        <f>C139*Assumptions!$B$141+D139*Assumptions!$B$128+E139*Assumptions!$B$129+F139*Assumptions!$B$14+G139*Assumptions!$B$13+H139*Assumptions!$B$12+I139*Assumptions!$B$11+Assumptions!$B$133+Assumptions!$B$137+Assumptions!$B$9</f>
        <v/>
      </c>
      <c r="L139">
        <f>B139-J139</f>
        <v/>
      </c>
      <c r="M139">
        <f>IF(K139&gt;0,IF(L139/K139&gt;=Assumptions!$B$37,1,0),0)</f>
        <v/>
      </c>
      <c r="N139">
        <f>K139+M139*Assumptions!$B$153</f>
        <v/>
      </c>
      <c r="O139">
        <f>L139+M139*Assumptions!$B$153*Assumptions!$B$37</f>
        <v/>
      </c>
      <c r="P139">
        <f>IF(N139&gt;0,O139/N139,0)</f>
        <v/>
      </c>
      <c r="Q139">
        <f>IF(C139=1,P139*Assumptions!$B$141,Assumptions!$B$41)</f>
        <v/>
      </c>
      <c r="R139">
        <f>IF(D139=1,P139*Assumptions!$B$128,Assumptions!$B$33)</f>
        <v/>
      </c>
      <c r="S139">
        <f>IF(E139=1,P139*Assumptions!$B$129,Assumptions!$B$32)</f>
        <v/>
      </c>
      <c r="T139">
        <f>IF(F139=1,P139*Assumptions!$B$14,Assumptions!$B$31)</f>
        <v/>
      </c>
      <c r="U139">
        <f>IF(G139=1,P139*Assumptions!$B$13,Assumptions!$B$30)</f>
        <v/>
      </c>
      <c r="V139">
        <f>IF(H139=1,P139*Assumptions!$B$12,Assumptions!$B$29)</f>
        <v/>
      </c>
      <c r="W139">
        <f>IF(I139=1,P139*Assumptions!$B$11,Assumptions!$B$28)</f>
        <v/>
      </c>
      <c r="X139">
        <f>P139*(Assumptions!$B$133+Assumptions!$B$137)</f>
        <v/>
      </c>
      <c r="Y139">
        <f>P139*Assumptions!$B$9</f>
        <v/>
      </c>
      <c r="Z139">
        <f>IF(M139=1,(P139-Assumptions!$B$37)*Assumptions!$B$153,0)</f>
        <v/>
      </c>
      <c r="AA139">
        <f>Q139+R139+S139+T139+U139+V139+W139+X139+Y139+Z139</f>
        <v/>
      </c>
      <c r="AB139" t="n">
        <v>88</v>
      </c>
      <c r="AC139" t="n">
        <v>24</v>
      </c>
      <c r="AD139" t="n">
        <v>120</v>
      </c>
      <c r="AE139" t="n">
        <v>72</v>
      </c>
      <c r="AF139" t="n">
        <v>80</v>
      </c>
      <c r="AG139" t="n">
        <v>92</v>
      </c>
      <c r="AH139" t="n">
        <v>90</v>
      </c>
      <c r="AI139" t="n">
        <v>89</v>
      </c>
      <c r="AJ139">
        <f>INDEX($Q$51:$Q$178,AC139+1)</f>
        <v/>
      </c>
      <c r="AK139">
        <f>INDEX($R$51:$R$178,AD139+1)</f>
        <v/>
      </c>
      <c r="AL139">
        <f>INDEX($S$51:$S$178,AE139+1)</f>
        <v/>
      </c>
      <c r="AM139">
        <f>INDEX($T$51:$T$178,AF139+1)</f>
        <v/>
      </c>
      <c r="AN139">
        <f>INDEX($U$51:$U$178,AG139+1)</f>
        <v/>
      </c>
      <c r="AO139">
        <f>INDEX($V$51:$V$178,AH139+1)</f>
        <v/>
      </c>
      <c r="AP139">
        <f>INDEX($W$51:$W$178,AI139+1)</f>
        <v/>
      </c>
      <c r="AQ139">
        <f>IF(Q139&gt;=AJ139-0.01,1,0)</f>
        <v/>
      </c>
      <c r="AR139">
        <f>IF(R139&gt;=AK139-0.01,1,0)</f>
        <v/>
      </c>
      <c r="AS139">
        <f>IF(S139&gt;=AL139-0.01,1,0)</f>
        <v/>
      </c>
      <c r="AT139">
        <f>IF(T139&gt;=AM139-0.01,1,0)</f>
        <v/>
      </c>
      <c r="AU139">
        <f>IF(U139&gt;=AN139-0.01,1,0)</f>
        <v/>
      </c>
      <c r="AV139">
        <f>IF(V139&gt;=AO139-0.01,1,0)</f>
        <v/>
      </c>
      <c r="AW139">
        <f>IF(W139&gt;=AP139-0.01,1,0)</f>
        <v/>
      </c>
      <c r="AX139">
        <f>AQ139*AR139*AS139*AT139*AU139*AV139*AW139</f>
        <v/>
      </c>
      <c r="AY139">
        <f>Assumptions!$B$41</f>
        <v/>
      </c>
      <c r="AZ139">
        <f>Assumptions!$B$33</f>
        <v/>
      </c>
      <c r="BA139">
        <f>Assumptions!$B$32</f>
        <v/>
      </c>
      <c r="BB139">
        <f>Assumptions!$B$31</f>
        <v/>
      </c>
      <c r="BC139">
        <f>Assumptions!$B$30</f>
        <v/>
      </c>
      <c r="BD139">
        <f>Assumptions!$B$29</f>
        <v/>
      </c>
      <c r="BE139">
        <f>Assumptions!$B$28</f>
        <v/>
      </c>
      <c r="BF139">
        <f>P139*Assumptions!$B$141</f>
        <v/>
      </c>
      <c r="BG139">
        <f>P139*Assumptions!$B$128</f>
        <v/>
      </c>
      <c r="BH139">
        <f>P139*Assumptions!$B$129</f>
        <v/>
      </c>
      <c r="BI139">
        <f>P139*Assumptions!$B$14</f>
        <v/>
      </c>
      <c r="BJ139">
        <f>P139*Assumptions!$B$13</f>
        <v/>
      </c>
      <c r="BK139">
        <f>P139*Assumptions!$B$12</f>
        <v/>
      </c>
      <c r="BL139">
        <f>P139*Assumptions!$B$11</f>
        <v/>
      </c>
    </row>
    <row r="140">
      <c r="A140" t="inlineStr">
        <is>
          <t>700M</t>
        </is>
      </c>
      <c r="B140">
        <f>Assumptions!$B$58</f>
        <v/>
      </c>
      <c r="C140" t="n">
        <v>1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>
        <f>(1-C140)*Assumptions!$B$41+(1-D140)*Assumptions!$B$33+(1-E140)*Assumptions!$B$32+(1-F140)*Assumptions!$B$31+(1-G140)*Assumptions!$B$30+(1-H140)*Assumptions!$B$29+(1-I140)*Assumptions!$B$28</f>
        <v/>
      </c>
      <c r="K140">
        <f>C140*Assumptions!$B$141+D140*Assumptions!$B$128+E140*Assumptions!$B$129+F140*Assumptions!$B$14+G140*Assumptions!$B$13+H140*Assumptions!$B$12+I140*Assumptions!$B$11+Assumptions!$B$133+Assumptions!$B$137+Assumptions!$B$9</f>
        <v/>
      </c>
      <c r="L140">
        <f>B140-J140</f>
        <v/>
      </c>
      <c r="M140">
        <f>IF(K140&gt;0,IF(L140/K140&gt;=Assumptions!$B$37,1,0),0)</f>
        <v/>
      </c>
      <c r="N140">
        <f>K140+M140*Assumptions!$B$153</f>
        <v/>
      </c>
      <c r="O140">
        <f>L140+M140*Assumptions!$B$153*Assumptions!$B$37</f>
        <v/>
      </c>
      <c r="P140">
        <f>IF(N140&gt;0,O140/N140,0)</f>
        <v/>
      </c>
      <c r="Q140">
        <f>IF(C140=1,P140*Assumptions!$B$141,Assumptions!$B$41)</f>
        <v/>
      </c>
      <c r="R140">
        <f>IF(D140=1,P140*Assumptions!$B$128,Assumptions!$B$33)</f>
        <v/>
      </c>
      <c r="S140">
        <f>IF(E140=1,P140*Assumptions!$B$129,Assumptions!$B$32)</f>
        <v/>
      </c>
      <c r="T140">
        <f>IF(F140=1,P140*Assumptions!$B$14,Assumptions!$B$31)</f>
        <v/>
      </c>
      <c r="U140">
        <f>IF(G140=1,P140*Assumptions!$B$13,Assumptions!$B$30)</f>
        <v/>
      </c>
      <c r="V140">
        <f>IF(H140=1,P140*Assumptions!$B$12,Assumptions!$B$29)</f>
        <v/>
      </c>
      <c r="W140">
        <f>IF(I140=1,P140*Assumptions!$B$11,Assumptions!$B$28)</f>
        <v/>
      </c>
      <c r="X140">
        <f>P140*(Assumptions!$B$133+Assumptions!$B$137)</f>
        <v/>
      </c>
      <c r="Y140">
        <f>P140*Assumptions!$B$9</f>
        <v/>
      </c>
      <c r="Z140">
        <f>IF(M140=1,(P140-Assumptions!$B$37)*Assumptions!$B$153,0)</f>
        <v/>
      </c>
      <c r="AA140">
        <f>Q140+R140+S140+T140+U140+V140+W140+X140+Y140+Z140</f>
        <v/>
      </c>
      <c r="AB140" t="n">
        <v>89</v>
      </c>
      <c r="AC140" t="n">
        <v>25</v>
      </c>
      <c r="AD140" t="n">
        <v>121</v>
      </c>
      <c r="AE140" t="n">
        <v>73</v>
      </c>
      <c r="AF140" t="n">
        <v>81</v>
      </c>
      <c r="AG140" t="n">
        <v>93</v>
      </c>
      <c r="AH140" t="n">
        <v>91</v>
      </c>
      <c r="AI140" t="n">
        <v>88</v>
      </c>
      <c r="AJ140">
        <f>INDEX($Q$51:$Q$178,AC140+1)</f>
        <v/>
      </c>
      <c r="AK140">
        <f>INDEX($R$51:$R$178,AD140+1)</f>
        <v/>
      </c>
      <c r="AL140">
        <f>INDEX($S$51:$S$178,AE140+1)</f>
        <v/>
      </c>
      <c r="AM140">
        <f>INDEX($T$51:$T$178,AF140+1)</f>
        <v/>
      </c>
      <c r="AN140">
        <f>INDEX($U$51:$U$178,AG140+1)</f>
        <v/>
      </c>
      <c r="AO140">
        <f>INDEX($V$51:$V$178,AH140+1)</f>
        <v/>
      </c>
      <c r="AP140">
        <f>INDEX($W$51:$W$178,AI140+1)</f>
        <v/>
      </c>
      <c r="AQ140">
        <f>IF(Q140&gt;=AJ140-0.01,1,0)</f>
        <v/>
      </c>
      <c r="AR140">
        <f>IF(R140&gt;=AK140-0.01,1,0)</f>
        <v/>
      </c>
      <c r="AS140">
        <f>IF(S140&gt;=AL140-0.01,1,0)</f>
        <v/>
      </c>
      <c r="AT140">
        <f>IF(T140&gt;=AM140-0.01,1,0)</f>
        <v/>
      </c>
      <c r="AU140">
        <f>IF(U140&gt;=AN140-0.01,1,0)</f>
        <v/>
      </c>
      <c r="AV140">
        <f>IF(V140&gt;=AO140-0.01,1,0)</f>
        <v/>
      </c>
      <c r="AW140">
        <f>IF(W140&gt;=AP140-0.01,1,0)</f>
        <v/>
      </c>
      <c r="AX140">
        <f>AQ140*AR140*AS140*AT140*AU140*AV140*AW140</f>
        <v/>
      </c>
      <c r="AY140">
        <f>Assumptions!$B$41</f>
        <v/>
      </c>
      <c r="AZ140">
        <f>Assumptions!$B$33</f>
        <v/>
      </c>
      <c r="BA140">
        <f>Assumptions!$B$32</f>
        <v/>
      </c>
      <c r="BB140">
        <f>Assumptions!$B$31</f>
        <v/>
      </c>
      <c r="BC140">
        <f>Assumptions!$B$30</f>
        <v/>
      </c>
      <c r="BD140">
        <f>Assumptions!$B$29</f>
        <v/>
      </c>
      <c r="BE140">
        <f>Assumptions!$B$28</f>
        <v/>
      </c>
      <c r="BF140">
        <f>P140*Assumptions!$B$141</f>
        <v/>
      </c>
      <c r="BG140">
        <f>P140*Assumptions!$B$128</f>
        <v/>
      </c>
      <c r="BH140">
        <f>P140*Assumptions!$B$129</f>
        <v/>
      </c>
      <c r="BI140">
        <f>P140*Assumptions!$B$14</f>
        <v/>
      </c>
      <c r="BJ140">
        <f>P140*Assumptions!$B$13</f>
        <v/>
      </c>
      <c r="BK140">
        <f>P140*Assumptions!$B$12</f>
        <v/>
      </c>
      <c r="BL140">
        <f>P140*Assumptions!$B$11</f>
        <v/>
      </c>
    </row>
    <row r="141">
      <c r="A141" t="inlineStr">
        <is>
          <t>700M</t>
        </is>
      </c>
      <c r="B141">
        <f>Assumptions!$B$58</f>
        <v/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>
        <f>(1-C141)*Assumptions!$B$41+(1-D141)*Assumptions!$B$33+(1-E141)*Assumptions!$B$32+(1-F141)*Assumptions!$B$31+(1-G141)*Assumptions!$B$30+(1-H141)*Assumptions!$B$29+(1-I141)*Assumptions!$B$28</f>
        <v/>
      </c>
      <c r="K141">
        <f>C141*Assumptions!$B$141+D141*Assumptions!$B$128+E141*Assumptions!$B$129+F141*Assumptions!$B$14+G141*Assumptions!$B$13+H141*Assumptions!$B$12+I141*Assumptions!$B$11+Assumptions!$B$133+Assumptions!$B$137+Assumptions!$B$9</f>
        <v/>
      </c>
      <c r="L141">
        <f>B141-J141</f>
        <v/>
      </c>
      <c r="M141">
        <f>IF(K141&gt;0,IF(L141/K141&gt;=Assumptions!$B$37,1,0),0)</f>
        <v/>
      </c>
      <c r="N141">
        <f>K141+M141*Assumptions!$B$153</f>
        <v/>
      </c>
      <c r="O141">
        <f>L141+M141*Assumptions!$B$153*Assumptions!$B$37</f>
        <v/>
      </c>
      <c r="P141">
        <f>IF(N141&gt;0,O141/N141,0)</f>
        <v/>
      </c>
      <c r="Q141">
        <f>IF(C141=1,P141*Assumptions!$B$141,Assumptions!$B$41)</f>
        <v/>
      </c>
      <c r="R141">
        <f>IF(D141=1,P141*Assumptions!$B$128,Assumptions!$B$33)</f>
        <v/>
      </c>
      <c r="S141">
        <f>IF(E141=1,P141*Assumptions!$B$129,Assumptions!$B$32)</f>
        <v/>
      </c>
      <c r="T141">
        <f>IF(F141=1,P141*Assumptions!$B$14,Assumptions!$B$31)</f>
        <v/>
      </c>
      <c r="U141">
        <f>IF(G141=1,P141*Assumptions!$B$13,Assumptions!$B$30)</f>
        <v/>
      </c>
      <c r="V141">
        <f>IF(H141=1,P141*Assumptions!$B$12,Assumptions!$B$29)</f>
        <v/>
      </c>
      <c r="W141">
        <f>IF(I141=1,P141*Assumptions!$B$11,Assumptions!$B$28)</f>
        <v/>
      </c>
      <c r="X141">
        <f>P141*(Assumptions!$B$133+Assumptions!$B$137)</f>
        <v/>
      </c>
      <c r="Y141">
        <f>P141*Assumptions!$B$9</f>
        <v/>
      </c>
      <c r="Z141">
        <f>IF(M141=1,(P141-Assumptions!$B$37)*Assumptions!$B$153,0)</f>
        <v/>
      </c>
      <c r="AA141">
        <f>Q141+R141+S141+T141+U141+V141+W141+X141+Y141+Z141</f>
        <v/>
      </c>
      <c r="AB141" t="n">
        <v>90</v>
      </c>
      <c r="AC141" t="n">
        <v>26</v>
      </c>
      <c r="AD141" t="n">
        <v>122</v>
      </c>
      <c r="AE141" t="n">
        <v>74</v>
      </c>
      <c r="AF141" t="n">
        <v>82</v>
      </c>
      <c r="AG141" t="n">
        <v>94</v>
      </c>
      <c r="AH141" t="n">
        <v>88</v>
      </c>
      <c r="AI141" t="n">
        <v>91</v>
      </c>
      <c r="AJ141">
        <f>INDEX($Q$51:$Q$178,AC141+1)</f>
        <v/>
      </c>
      <c r="AK141">
        <f>INDEX($R$51:$R$178,AD141+1)</f>
        <v/>
      </c>
      <c r="AL141">
        <f>INDEX($S$51:$S$178,AE141+1)</f>
        <v/>
      </c>
      <c r="AM141">
        <f>INDEX($T$51:$T$178,AF141+1)</f>
        <v/>
      </c>
      <c r="AN141">
        <f>INDEX($U$51:$U$178,AG141+1)</f>
        <v/>
      </c>
      <c r="AO141">
        <f>INDEX($V$51:$V$178,AH141+1)</f>
        <v/>
      </c>
      <c r="AP141">
        <f>INDEX($W$51:$W$178,AI141+1)</f>
        <v/>
      </c>
      <c r="AQ141">
        <f>IF(Q141&gt;=AJ141-0.01,1,0)</f>
        <v/>
      </c>
      <c r="AR141">
        <f>IF(R141&gt;=AK141-0.01,1,0)</f>
        <v/>
      </c>
      <c r="AS141">
        <f>IF(S141&gt;=AL141-0.01,1,0)</f>
        <v/>
      </c>
      <c r="AT141">
        <f>IF(T141&gt;=AM141-0.01,1,0)</f>
        <v/>
      </c>
      <c r="AU141">
        <f>IF(U141&gt;=AN141-0.01,1,0)</f>
        <v/>
      </c>
      <c r="AV141">
        <f>IF(V141&gt;=AO141-0.01,1,0)</f>
        <v/>
      </c>
      <c r="AW141">
        <f>IF(W141&gt;=AP141-0.01,1,0)</f>
        <v/>
      </c>
      <c r="AX141">
        <f>AQ141*AR141*AS141*AT141*AU141*AV141*AW141</f>
        <v/>
      </c>
      <c r="AY141">
        <f>Assumptions!$B$41</f>
        <v/>
      </c>
      <c r="AZ141">
        <f>Assumptions!$B$33</f>
        <v/>
      </c>
      <c r="BA141">
        <f>Assumptions!$B$32</f>
        <v/>
      </c>
      <c r="BB141">
        <f>Assumptions!$B$31</f>
        <v/>
      </c>
      <c r="BC141">
        <f>Assumptions!$B$30</f>
        <v/>
      </c>
      <c r="BD141">
        <f>Assumptions!$B$29</f>
        <v/>
      </c>
      <c r="BE141">
        <f>Assumptions!$B$28</f>
        <v/>
      </c>
      <c r="BF141">
        <f>P141*Assumptions!$B$141</f>
        <v/>
      </c>
      <c r="BG141">
        <f>P141*Assumptions!$B$128</f>
        <v/>
      </c>
      <c r="BH141">
        <f>P141*Assumptions!$B$129</f>
        <v/>
      </c>
      <c r="BI141">
        <f>P141*Assumptions!$B$14</f>
        <v/>
      </c>
      <c r="BJ141">
        <f>P141*Assumptions!$B$13</f>
        <v/>
      </c>
      <c r="BK141">
        <f>P141*Assumptions!$B$12</f>
        <v/>
      </c>
      <c r="BL141">
        <f>P141*Assumptions!$B$11</f>
        <v/>
      </c>
    </row>
    <row r="142">
      <c r="A142" t="inlineStr">
        <is>
          <t>700M</t>
        </is>
      </c>
      <c r="B142">
        <f>Assumptions!$B$58</f>
        <v/>
      </c>
      <c r="C142" t="n">
        <v>1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>
        <f>(1-C142)*Assumptions!$B$41+(1-D142)*Assumptions!$B$33+(1-E142)*Assumptions!$B$32+(1-F142)*Assumptions!$B$31+(1-G142)*Assumptions!$B$30+(1-H142)*Assumptions!$B$29+(1-I142)*Assumptions!$B$28</f>
        <v/>
      </c>
      <c r="K142">
        <f>C142*Assumptions!$B$141+D142*Assumptions!$B$128+E142*Assumptions!$B$129+F142*Assumptions!$B$14+G142*Assumptions!$B$13+H142*Assumptions!$B$12+I142*Assumptions!$B$11+Assumptions!$B$133+Assumptions!$B$137+Assumptions!$B$9</f>
        <v/>
      </c>
      <c r="L142">
        <f>B142-J142</f>
        <v/>
      </c>
      <c r="M142">
        <f>IF(K142&gt;0,IF(L142/K142&gt;=Assumptions!$B$37,1,0),0)</f>
        <v/>
      </c>
      <c r="N142">
        <f>K142+M142*Assumptions!$B$153</f>
        <v/>
      </c>
      <c r="O142">
        <f>L142+M142*Assumptions!$B$153*Assumptions!$B$37</f>
        <v/>
      </c>
      <c r="P142">
        <f>IF(N142&gt;0,O142/N142,0)</f>
        <v/>
      </c>
      <c r="Q142">
        <f>IF(C142=1,P142*Assumptions!$B$141,Assumptions!$B$41)</f>
        <v/>
      </c>
      <c r="R142">
        <f>IF(D142=1,P142*Assumptions!$B$128,Assumptions!$B$33)</f>
        <v/>
      </c>
      <c r="S142">
        <f>IF(E142=1,P142*Assumptions!$B$129,Assumptions!$B$32)</f>
        <v/>
      </c>
      <c r="T142">
        <f>IF(F142=1,P142*Assumptions!$B$14,Assumptions!$B$31)</f>
        <v/>
      </c>
      <c r="U142">
        <f>IF(G142=1,P142*Assumptions!$B$13,Assumptions!$B$30)</f>
        <v/>
      </c>
      <c r="V142">
        <f>IF(H142=1,P142*Assumptions!$B$12,Assumptions!$B$29)</f>
        <v/>
      </c>
      <c r="W142">
        <f>IF(I142=1,P142*Assumptions!$B$11,Assumptions!$B$28)</f>
        <v/>
      </c>
      <c r="X142">
        <f>P142*(Assumptions!$B$133+Assumptions!$B$137)</f>
        <v/>
      </c>
      <c r="Y142">
        <f>P142*Assumptions!$B$9</f>
        <v/>
      </c>
      <c r="Z142">
        <f>IF(M142=1,(P142-Assumptions!$B$37)*Assumptions!$B$153,0)</f>
        <v/>
      </c>
      <c r="AA142">
        <f>Q142+R142+S142+T142+U142+V142+W142+X142+Y142+Z142</f>
        <v/>
      </c>
      <c r="AB142" t="n">
        <v>91</v>
      </c>
      <c r="AC142" t="n">
        <v>27</v>
      </c>
      <c r="AD142" t="n">
        <v>123</v>
      </c>
      <c r="AE142" t="n">
        <v>75</v>
      </c>
      <c r="AF142" t="n">
        <v>83</v>
      </c>
      <c r="AG142" t="n">
        <v>95</v>
      </c>
      <c r="AH142" t="n">
        <v>89</v>
      </c>
      <c r="AI142" t="n">
        <v>90</v>
      </c>
      <c r="AJ142">
        <f>INDEX($Q$51:$Q$178,AC142+1)</f>
        <v/>
      </c>
      <c r="AK142">
        <f>INDEX($R$51:$R$178,AD142+1)</f>
        <v/>
      </c>
      <c r="AL142">
        <f>INDEX($S$51:$S$178,AE142+1)</f>
        <v/>
      </c>
      <c r="AM142">
        <f>INDEX($T$51:$T$178,AF142+1)</f>
        <v/>
      </c>
      <c r="AN142">
        <f>INDEX($U$51:$U$178,AG142+1)</f>
        <v/>
      </c>
      <c r="AO142">
        <f>INDEX($V$51:$V$178,AH142+1)</f>
        <v/>
      </c>
      <c r="AP142">
        <f>INDEX($W$51:$W$178,AI142+1)</f>
        <v/>
      </c>
      <c r="AQ142">
        <f>IF(Q142&gt;=AJ142-0.01,1,0)</f>
        <v/>
      </c>
      <c r="AR142">
        <f>IF(R142&gt;=AK142-0.01,1,0)</f>
        <v/>
      </c>
      <c r="AS142">
        <f>IF(S142&gt;=AL142-0.01,1,0)</f>
        <v/>
      </c>
      <c r="AT142">
        <f>IF(T142&gt;=AM142-0.01,1,0)</f>
        <v/>
      </c>
      <c r="AU142">
        <f>IF(U142&gt;=AN142-0.01,1,0)</f>
        <v/>
      </c>
      <c r="AV142">
        <f>IF(V142&gt;=AO142-0.01,1,0)</f>
        <v/>
      </c>
      <c r="AW142">
        <f>IF(W142&gt;=AP142-0.01,1,0)</f>
        <v/>
      </c>
      <c r="AX142">
        <f>AQ142*AR142*AS142*AT142*AU142*AV142*AW142</f>
        <v/>
      </c>
      <c r="AY142">
        <f>Assumptions!$B$41</f>
        <v/>
      </c>
      <c r="AZ142">
        <f>Assumptions!$B$33</f>
        <v/>
      </c>
      <c r="BA142">
        <f>Assumptions!$B$32</f>
        <v/>
      </c>
      <c r="BB142">
        <f>Assumptions!$B$31</f>
        <v/>
      </c>
      <c r="BC142">
        <f>Assumptions!$B$30</f>
        <v/>
      </c>
      <c r="BD142">
        <f>Assumptions!$B$29</f>
        <v/>
      </c>
      <c r="BE142">
        <f>Assumptions!$B$28</f>
        <v/>
      </c>
      <c r="BF142">
        <f>P142*Assumptions!$B$141</f>
        <v/>
      </c>
      <c r="BG142">
        <f>P142*Assumptions!$B$128</f>
        <v/>
      </c>
      <c r="BH142">
        <f>P142*Assumptions!$B$129</f>
        <v/>
      </c>
      <c r="BI142">
        <f>P142*Assumptions!$B$14</f>
        <v/>
      </c>
      <c r="BJ142">
        <f>P142*Assumptions!$B$13</f>
        <v/>
      </c>
      <c r="BK142">
        <f>P142*Assumptions!$B$12</f>
        <v/>
      </c>
      <c r="BL142">
        <f>P142*Assumptions!$B$11</f>
        <v/>
      </c>
    </row>
    <row r="143">
      <c r="A143" t="inlineStr">
        <is>
          <t>700M</t>
        </is>
      </c>
      <c r="B143">
        <f>Assumptions!$B$58</f>
        <v/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>
        <f>(1-C143)*Assumptions!$B$41+(1-D143)*Assumptions!$B$33+(1-E143)*Assumptions!$B$32+(1-F143)*Assumptions!$B$31+(1-G143)*Assumptions!$B$30+(1-H143)*Assumptions!$B$29+(1-I143)*Assumptions!$B$28</f>
        <v/>
      </c>
      <c r="K143">
        <f>C143*Assumptions!$B$141+D143*Assumptions!$B$128+E143*Assumptions!$B$129+F143*Assumptions!$B$14+G143*Assumptions!$B$13+H143*Assumptions!$B$12+I143*Assumptions!$B$11+Assumptions!$B$133+Assumptions!$B$137+Assumptions!$B$9</f>
        <v/>
      </c>
      <c r="L143">
        <f>B143-J143</f>
        <v/>
      </c>
      <c r="M143">
        <f>IF(K143&gt;0,IF(L143/K143&gt;=Assumptions!$B$37,1,0),0)</f>
        <v/>
      </c>
      <c r="N143">
        <f>K143+M143*Assumptions!$B$153</f>
        <v/>
      </c>
      <c r="O143">
        <f>L143+M143*Assumptions!$B$153*Assumptions!$B$37</f>
        <v/>
      </c>
      <c r="P143">
        <f>IF(N143&gt;0,O143/N143,0)</f>
        <v/>
      </c>
      <c r="Q143">
        <f>IF(C143=1,P143*Assumptions!$B$141,Assumptions!$B$41)</f>
        <v/>
      </c>
      <c r="R143">
        <f>IF(D143=1,P143*Assumptions!$B$128,Assumptions!$B$33)</f>
        <v/>
      </c>
      <c r="S143">
        <f>IF(E143=1,P143*Assumptions!$B$129,Assumptions!$B$32)</f>
        <v/>
      </c>
      <c r="T143">
        <f>IF(F143=1,P143*Assumptions!$B$14,Assumptions!$B$31)</f>
        <v/>
      </c>
      <c r="U143">
        <f>IF(G143=1,P143*Assumptions!$B$13,Assumptions!$B$30)</f>
        <v/>
      </c>
      <c r="V143">
        <f>IF(H143=1,P143*Assumptions!$B$12,Assumptions!$B$29)</f>
        <v/>
      </c>
      <c r="W143">
        <f>IF(I143=1,P143*Assumptions!$B$11,Assumptions!$B$28)</f>
        <v/>
      </c>
      <c r="X143">
        <f>P143*(Assumptions!$B$133+Assumptions!$B$137)</f>
        <v/>
      </c>
      <c r="Y143">
        <f>P143*Assumptions!$B$9</f>
        <v/>
      </c>
      <c r="Z143">
        <f>IF(M143=1,(P143-Assumptions!$B$37)*Assumptions!$B$153,0)</f>
        <v/>
      </c>
      <c r="AA143">
        <f>Q143+R143+S143+T143+U143+V143+W143+X143+Y143+Z143</f>
        <v/>
      </c>
      <c r="AB143" t="n">
        <v>92</v>
      </c>
      <c r="AC143" t="n">
        <v>28</v>
      </c>
      <c r="AD143" t="n">
        <v>124</v>
      </c>
      <c r="AE143" t="n">
        <v>76</v>
      </c>
      <c r="AF143" t="n">
        <v>84</v>
      </c>
      <c r="AG143" t="n">
        <v>88</v>
      </c>
      <c r="AH143" t="n">
        <v>94</v>
      </c>
      <c r="AI143" t="n">
        <v>93</v>
      </c>
      <c r="AJ143">
        <f>INDEX($Q$51:$Q$178,AC143+1)</f>
        <v/>
      </c>
      <c r="AK143">
        <f>INDEX($R$51:$R$178,AD143+1)</f>
        <v/>
      </c>
      <c r="AL143">
        <f>INDEX($S$51:$S$178,AE143+1)</f>
        <v/>
      </c>
      <c r="AM143">
        <f>INDEX($T$51:$T$178,AF143+1)</f>
        <v/>
      </c>
      <c r="AN143">
        <f>INDEX($U$51:$U$178,AG143+1)</f>
        <v/>
      </c>
      <c r="AO143">
        <f>INDEX($V$51:$V$178,AH143+1)</f>
        <v/>
      </c>
      <c r="AP143">
        <f>INDEX($W$51:$W$178,AI143+1)</f>
        <v/>
      </c>
      <c r="AQ143">
        <f>IF(Q143&gt;=AJ143-0.01,1,0)</f>
        <v/>
      </c>
      <c r="AR143">
        <f>IF(R143&gt;=AK143-0.01,1,0)</f>
        <v/>
      </c>
      <c r="AS143">
        <f>IF(S143&gt;=AL143-0.01,1,0)</f>
        <v/>
      </c>
      <c r="AT143">
        <f>IF(T143&gt;=AM143-0.01,1,0)</f>
        <v/>
      </c>
      <c r="AU143">
        <f>IF(U143&gt;=AN143-0.01,1,0)</f>
        <v/>
      </c>
      <c r="AV143">
        <f>IF(V143&gt;=AO143-0.01,1,0)</f>
        <v/>
      </c>
      <c r="AW143">
        <f>IF(W143&gt;=AP143-0.01,1,0)</f>
        <v/>
      </c>
      <c r="AX143">
        <f>AQ143*AR143*AS143*AT143*AU143*AV143*AW143</f>
        <v/>
      </c>
      <c r="AY143">
        <f>Assumptions!$B$41</f>
        <v/>
      </c>
      <c r="AZ143">
        <f>Assumptions!$B$33</f>
        <v/>
      </c>
      <c r="BA143">
        <f>Assumptions!$B$32</f>
        <v/>
      </c>
      <c r="BB143">
        <f>Assumptions!$B$31</f>
        <v/>
      </c>
      <c r="BC143">
        <f>Assumptions!$B$30</f>
        <v/>
      </c>
      <c r="BD143">
        <f>Assumptions!$B$29</f>
        <v/>
      </c>
      <c r="BE143">
        <f>Assumptions!$B$28</f>
        <v/>
      </c>
      <c r="BF143">
        <f>P143*Assumptions!$B$141</f>
        <v/>
      </c>
      <c r="BG143">
        <f>P143*Assumptions!$B$128</f>
        <v/>
      </c>
      <c r="BH143">
        <f>P143*Assumptions!$B$129</f>
        <v/>
      </c>
      <c r="BI143">
        <f>P143*Assumptions!$B$14</f>
        <v/>
      </c>
      <c r="BJ143">
        <f>P143*Assumptions!$B$13</f>
        <v/>
      </c>
      <c r="BK143">
        <f>P143*Assumptions!$B$12</f>
        <v/>
      </c>
      <c r="BL143">
        <f>P143*Assumptions!$B$11</f>
        <v/>
      </c>
    </row>
    <row r="144">
      <c r="A144" t="inlineStr">
        <is>
          <t>700M</t>
        </is>
      </c>
      <c r="B144">
        <f>Assumptions!$B$58</f>
        <v/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>
        <f>(1-C144)*Assumptions!$B$41+(1-D144)*Assumptions!$B$33+(1-E144)*Assumptions!$B$32+(1-F144)*Assumptions!$B$31+(1-G144)*Assumptions!$B$30+(1-H144)*Assumptions!$B$29+(1-I144)*Assumptions!$B$28</f>
        <v/>
      </c>
      <c r="K144">
        <f>C144*Assumptions!$B$141+D144*Assumptions!$B$128+E144*Assumptions!$B$129+F144*Assumptions!$B$14+G144*Assumptions!$B$13+H144*Assumptions!$B$12+I144*Assumptions!$B$11+Assumptions!$B$133+Assumptions!$B$137+Assumptions!$B$9</f>
        <v/>
      </c>
      <c r="L144">
        <f>B144-J144</f>
        <v/>
      </c>
      <c r="M144">
        <f>IF(K144&gt;0,IF(L144/K144&gt;=Assumptions!$B$37,1,0),0)</f>
        <v/>
      </c>
      <c r="N144">
        <f>K144+M144*Assumptions!$B$153</f>
        <v/>
      </c>
      <c r="O144">
        <f>L144+M144*Assumptions!$B$153*Assumptions!$B$37</f>
        <v/>
      </c>
      <c r="P144">
        <f>IF(N144&gt;0,O144/N144,0)</f>
        <v/>
      </c>
      <c r="Q144">
        <f>IF(C144=1,P144*Assumptions!$B$141,Assumptions!$B$41)</f>
        <v/>
      </c>
      <c r="R144">
        <f>IF(D144=1,P144*Assumptions!$B$128,Assumptions!$B$33)</f>
        <v/>
      </c>
      <c r="S144">
        <f>IF(E144=1,P144*Assumptions!$B$129,Assumptions!$B$32)</f>
        <v/>
      </c>
      <c r="T144">
        <f>IF(F144=1,P144*Assumptions!$B$14,Assumptions!$B$31)</f>
        <v/>
      </c>
      <c r="U144">
        <f>IF(G144=1,P144*Assumptions!$B$13,Assumptions!$B$30)</f>
        <v/>
      </c>
      <c r="V144">
        <f>IF(H144=1,P144*Assumptions!$B$12,Assumptions!$B$29)</f>
        <v/>
      </c>
      <c r="W144">
        <f>IF(I144=1,P144*Assumptions!$B$11,Assumptions!$B$28)</f>
        <v/>
      </c>
      <c r="X144">
        <f>P144*(Assumptions!$B$133+Assumptions!$B$137)</f>
        <v/>
      </c>
      <c r="Y144">
        <f>P144*Assumptions!$B$9</f>
        <v/>
      </c>
      <c r="Z144">
        <f>IF(M144=1,(P144-Assumptions!$B$37)*Assumptions!$B$153,0)</f>
        <v/>
      </c>
      <c r="AA144">
        <f>Q144+R144+S144+T144+U144+V144+W144+X144+Y144+Z144</f>
        <v/>
      </c>
      <c r="AB144" t="n">
        <v>93</v>
      </c>
      <c r="AC144" t="n">
        <v>29</v>
      </c>
      <c r="AD144" t="n">
        <v>125</v>
      </c>
      <c r="AE144" t="n">
        <v>77</v>
      </c>
      <c r="AF144" t="n">
        <v>85</v>
      </c>
      <c r="AG144" t="n">
        <v>89</v>
      </c>
      <c r="AH144" t="n">
        <v>95</v>
      </c>
      <c r="AI144" t="n">
        <v>92</v>
      </c>
      <c r="AJ144">
        <f>INDEX($Q$51:$Q$178,AC144+1)</f>
        <v/>
      </c>
      <c r="AK144">
        <f>INDEX($R$51:$R$178,AD144+1)</f>
        <v/>
      </c>
      <c r="AL144">
        <f>INDEX($S$51:$S$178,AE144+1)</f>
        <v/>
      </c>
      <c r="AM144">
        <f>INDEX($T$51:$T$178,AF144+1)</f>
        <v/>
      </c>
      <c r="AN144">
        <f>INDEX($U$51:$U$178,AG144+1)</f>
        <v/>
      </c>
      <c r="AO144">
        <f>INDEX($V$51:$V$178,AH144+1)</f>
        <v/>
      </c>
      <c r="AP144">
        <f>INDEX($W$51:$W$178,AI144+1)</f>
        <v/>
      </c>
      <c r="AQ144">
        <f>IF(Q144&gt;=AJ144-0.01,1,0)</f>
        <v/>
      </c>
      <c r="AR144">
        <f>IF(R144&gt;=AK144-0.01,1,0)</f>
        <v/>
      </c>
      <c r="AS144">
        <f>IF(S144&gt;=AL144-0.01,1,0)</f>
        <v/>
      </c>
      <c r="AT144">
        <f>IF(T144&gt;=AM144-0.01,1,0)</f>
        <v/>
      </c>
      <c r="AU144">
        <f>IF(U144&gt;=AN144-0.01,1,0)</f>
        <v/>
      </c>
      <c r="AV144">
        <f>IF(V144&gt;=AO144-0.01,1,0)</f>
        <v/>
      </c>
      <c r="AW144">
        <f>IF(W144&gt;=AP144-0.01,1,0)</f>
        <v/>
      </c>
      <c r="AX144">
        <f>AQ144*AR144*AS144*AT144*AU144*AV144*AW144</f>
        <v/>
      </c>
      <c r="AY144">
        <f>Assumptions!$B$41</f>
        <v/>
      </c>
      <c r="AZ144">
        <f>Assumptions!$B$33</f>
        <v/>
      </c>
      <c r="BA144">
        <f>Assumptions!$B$32</f>
        <v/>
      </c>
      <c r="BB144">
        <f>Assumptions!$B$31</f>
        <v/>
      </c>
      <c r="BC144">
        <f>Assumptions!$B$30</f>
        <v/>
      </c>
      <c r="BD144">
        <f>Assumptions!$B$29</f>
        <v/>
      </c>
      <c r="BE144">
        <f>Assumptions!$B$28</f>
        <v/>
      </c>
      <c r="BF144">
        <f>P144*Assumptions!$B$141</f>
        <v/>
      </c>
      <c r="BG144">
        <f>P144*Assumptions!$B$128</f>
        <v/>
      </c>
      <c r="BH144">
        <f>P144*Assumptions!$B$129</f>
        <v/>
      </c>
      <c r="BI144">
        <f>P144*Assumptions!$B$14</f>
        <v/>
      </c>
      <c r="BJ144">
        <f>P144*Assumptions!$B$13</f>
        <v/>
      </c>
      <c r="BK144">
        <f>P144*Assumptions!$B$12</f>
        <v/>
      </c>
      <c r="BL144">
        <f>P144*Assumptions!$B$11</f>
        <v/>
      </c>
    </row>
    <row r="145">
      <c r="A145" t="inlineStr">
        <is>
          <t>700M</t>
        </is>
      </c>
      <c r="B145">
        <f>Assumptions!$B$58</f>
        <v/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>
        <f>(1-C145)*Assumptions!$B$41+(1-D145)*Assumptions!$B$33+(1-E145)*Assumptions!$B$32+(1-F145)*Assumptions!$B$31+(1-G145)*Assumptions!$B$30+(1-H145)*Assumptions!$B$29+(1-I145)*Assumptions!$B$28</f>
        <v/>
      </c>
      <c r="K145">
        <f>C145*Assumptions!$B$141+D145*Assumptions!$B$128+E145*Assumptions!$B$129+F145*Assumptions!$B$14+G145*Assumptions!$B$13+H145*Assumptions!$B$12+I145*Assumptions!$B$11+Assumptions!$B$133+Assumptions!$B$137+Assumptions!$B$9</f>
        <v/>
      </c>
      <c r="L145">
        <f>B145-J145</f>
        <v/>
      </c>
      <c r="M145">
        <f>IF(K145&gt;0,IF(L145/K145&gt;=Assumptions!$B$37,1,0),0)</f>
        <v/>
      </c>
      <c r="N145">
        <f>K145+M145*Assumptions!$B$153</f>
        <v/>
      </c>
      <c r="O145">
        <f>L145+M145*Assumptions!$B$153*Assumptions!$B$37</f>
        <v/>
      </c>
      <c r="P145">
        <f>IF(N145&gt;0,O145/N145,0)</f>
        <v/>
      </c>
      <c r="Q145">
        <f>IF(C145=1,P145*Assumptions!$B$141,Assumptions!$B$41)</f>
        <v/>
      </c>
      <c r="R145">
        <f>IF(D145=1,P145*Assumptions!$B$128,Assumptions!$B$33)</f>
        <v/>
      </c>
      <c r="S145">
        <f>IF(E145=1,P145*Assumptions!$B$129,Assumptions!$B$32)</f>
        <v/>
      </c>
      <c r="T145">
        <f>IF(F145=1,P145*Assumptions!$B$14,Assumptions!$B$31)</f>
        <v/>
      </c>
      <c r="U145">
        <f>IF(G145=1,P145*Assumptions!$B$13,Assumptions!$B$30)</f>
        <v/>
      </c>
      <c r="V145">
        <f>IF(H145=1,P145*Assumptions!$B$12,Assumptions!$B$29)</f>
        <v/>
      </c>
      <c r="W145">
        <f>IF(I145=1,P145*Assumptions!$B$11,Assumptions!$B$28)</f>
        <v/>
      </c>
      <c r="X145">
        <f>P145*(Assumptions!$B$133+Assumptions!$B$137)</f>
        <v/>
      </c>
      <c r="Y145">
        <f>P145*Assumptions!$B$9</f>
        <v/>
      </c>
      <c r="Z145">
        <f>IF(M145=1,(P145-Assumptions!$B$37)*Assumptions!$B$153,0)</f>
        <v/>
      </c>
      <c r="AA145">
        <f>Q145+R145+S145+T145+U145+V145+W145+X145+Y145+Z145</f>
        <v/>
      </c>
      <c r="AB145" t="n">
        <v>94</v>
      </c>
      <c r="AC145" t="n">
        <v>30</v>
      </c>
      <c r="AD145" t="n">
        <v>126</v>
      </c>
      <c r="AE145" t="n">
        <v>78</v>
      </c>
      <c r="AF145" t="n">
        <v>86</v>
      </c>
      <c r="AG145" t="n">
        <v>90</v>
      </c>
      <c r="AH145" t="n">
        <v>92</v>
      </c>
      <c r="AI145" t="n">
        <v>95</v>
      </c>
      <c r="AJ145">
        <f>INDEX($Q$51:$Q$178,AC145+1)</f>
        <v/>
      </c>
      <c r="AK145">
        <f>INDEX($R$51:$R$178,AD145+1)</f>
        <v/>
      </c>
      <c r="AL145">
        <f>INDEX($S$51:$S$178,AE145+1)</f>
        <v/>
      </c>
      <c r="AM145">
        <f>INDEX($T$51:$T$178,AF145+1)</f>
        <v/>
      </c>
      <c r="AN145">
        <f>INDEX($U$51:$U$178,AG145+1)</f>
        <v/>
      </c>
      <c r="AO145">
        <f>INDEX($V$51:$V$178,AH145+1)</f>
        <v/>
      </c>
      <c r="AP145">
        <f>INDEX($W$51:$W$178,AI145+1)</f>
        <v/>
      </c>
      <c r="AQ145">
        <f>IF(Q145&gt;=AJ145-0.01,1,0)</f>
        <v/>
      </c>
      <c r="AR145">
        <f>IF(R145&gt;=AK145-0.01,1,0)</f>
        <v/>
      </c>
      <c r="AS145">
        <f>IF(S145&gt;=AL145-0.01,1,0)</f>
        <v/>
      </c>
      <c r="AT145">
        <f>IF(T145&gt;=AM145-0.01,1,0)</f>
        <v/>
      </c>
      <c r="AU145">
        <f>IF(U145&gt;=AN145-0.01,1,0)</f>
        <v/>
      </c>
      <c r="AV145">
        <f>IF(V145&gt;=AO145-0.01,1,0)</f>
        <v/>
      </c>
      <c r="AW145">
        <f>IF(W145&gt;=AP145-0.01,1,0)</f>
        <v/>
      </c>
      <c r="AX145">
        <f>AQ145*AR145*AS145*AT145*AU145*AV145*AW145</f>
        <v/>
      </c>
      <c r="AY145">
        <f>Assumptions!$B$41</f>
        <v/>
      </c>
      <c r="AZ145">
        <f>Assumptions!$B$33</f>
        <v/>
      </c>
      <c r="BA145">
        <f>Assumptions!$B$32</f>
        <v/>
      </c>
      <c r="BB145">
        <f>Assumptions!$B$31</f>
        <v/>
      </c>
      <c r="BC145">
        <f>Assumptions!$B$30</f>
        <v/>
      </c>
      <c r="BD145">
        <f>Assumptions!$B$29</f>
        <v/>
      </c>
      <c r="BE145">
        <f>Assumptions!$B$28</f>
        <v/>
      </c>
      <c r="BF145">
        <f>P145*Assumptions!$B$141</f>
        <v/>
      </c>
      <c r="BG145">
        <f>P145*Assumptions!$B$128</f>
        <v/>
      </c>
      <c r="BH145">
        <f>P145*Assumptions!$B$129</f>
        <v/>
      </c>
      <c r="BI145">
        <f>P145*Assumptions!$B$14</f>
        <v/>
      </c>
      <c r="BJ145">
        <f>P145*Assumptions!$B$13</f>
        <v/>
      </c>
      <c r="BK145">
        <f>P145*Assumptions!$B$12</f>
        <v/>
      </c>
      <c r="BL145">
        <f>P145*Assumptions!$B$11</f>
        <v/>
      </c>
    </row>
    <row r="146">
      <c r="A146" t="inlineStr">
        <is>
          <t>700M</t>
        </is>
      </c>
      <c r="B146">
        <f>Assumptions!$B$58</f>
        <v/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>
        <f>(1-C146)*Assumptions!$B$41+(1-D146)*Assumptions!$B$33+(1-E146)*Assumptions!$B$32+(1-F146)*Assumptions!$B$31+(1-G146)*Assumptions!$B$30+(1-H146)*Assumptions!$B$29+(1-I146)*Assumptions!$B$28</f>
        <v/>
      </c>
      <c r="K146">
        <f>C146*Assumptions!$B$141+D146*Assumptions!$B$128+E146*Assumptions!$B$129+F146*Assumptions!$B$14+G146*Assumptions!$B$13+H146*Assumptions!$B$12+I146*Assumptions!$B$11+Assumptions!$B$133+Assumptions!$B$137+Assumptions!$B$9</f>
        <v/>
      </c>
      <c r="L146">
        <f>B146-J146</f>
        <v/>
      </c>
      <c r="M146">
        <f>IF(K146&gt;0,IF(L146/K146&gt;=Assumptions!$B$37,1,0),0)</f>
        <v/>
      </c>
      <c r="N146">
        <f>K146+M146*Assumptions!$B$153</f>
        <v/>
      </c>
      <c r="O146">
        <f>L146+M146*Assumptions!$B$153*Assumptions!$B$37</f>
        <v/>
      </c>
      <c r="P146">
        <f>IF(N146&gt;0,O146/N146,0)</f>
        <v/>
      </c>
      <c r="Q146">
        <f>IF(C146=1,P146*Assumptions!$B$141,Assumptions!$B$41)</f>
        <v/>
      </c>
      <c r="R146">
        <f>IF(D146=1,P146*Assumptions!$B$128,Assumptions!$B$33)</f>
        <v/>
      </c>
      <c r="S146">
        <f>IF(E146=1,P146*Assumptions!$B$129,Assumptions!$B$32)</f>
        <v/>
      </c>
      <c r="T146">
        <f>IF(F146=1,P146*Assumptions!$B$14,Assumptions!$B$31)</f>
        <v/>
      </c>
      <c r="U146">
        <f>IF(G146=1,P146*Assumptions!$B$13,Assumptions!$B$30)</f>
        <v/>
      </c>
      <c r="V146">
        <f>IF(H146=1,P146*Assumptions!$B$12,Assumptions!$B$29)</f>
        <v/>
      </c>
      <c r="W146">
        <f>IF(I146=1,P146*Assumptions!$B$11,Assumptions!$B$28)</f>
        <v/>
      </c>
      <c r="X146">
        <f>P146*(Assumptions!$B$133+Assumptions!$B$137)</f>
        <v/>
      </c>
      <c r="Y146">
        <f>P146*Assumptions!$B$9</f>
        <v/>
      </c>
      <c r="Z146">
        <f>IF(M146=1,(P146-Assumptions!$B$37)*Assumptions!$B$153,0)</f>
        <v/>
      </c>
      <c r="AA146">
        <f>Q146+R146+S146+T146+U146+V146+W146+X146+Y146+Z146</f>
        <v/>
      </c>
      <c r="AB146" t="n">
        <v>95</v>
      </c>
      <c r="AC146" t="n">
        <v>31</v>
      </c>
      <c r="AD146" t="n">
        <v>127</v>
      </c>
      <c r="AE146" t="n">
        <v>79</v>
      </c>
      <c r="AF146" t="n">
        <v>87</v>
      </c>
      <c r="AG146" t="n">
        <v>91</v>
      </c>
      <c r="AH146" t="n">
        <v>93</v>
      </c>
      <c r="AI146" t="n">
        <v>94</v>
      </c>
      <c r="AJ146">
        <f>INDEX($Q$51:$Q$178,AC146+1)</f>
        <v/>
      </c>
      <c r="AK146">
        <f>INDEX($R$51:$R$178,AD146+1)</f>
        <v/>
      </c>
      <c r="AL146">
        <f>INDEX($S$51:$S$178,AE146+1)</f>
        <v/>
      </c>
      <c r="AM146">
        <f>INDEX($T$51:$T$178,AF146+1)</f>
        <v/>
      </c>
      <c r="AN146">
        <f>INDEX($U$51:$U$178,AG146+1)</f>
        <v/>
      </c>
      <c r="AO146">
        <f>INDEX($V$51:$V$178,AH146+1)</f>
        <v/>
      </c>
      <c r="AP146">
        <f>INDEX($W$51:$W$178,AI146+1)</f>
        <v/>
      </c>
      <c r="AQ146">
        <f>IF(Q146&gt;=AJ146-0.01,1,0)</f>
        <v/>
      </c>
      <c r="AR146">
        <f>IF(R146&gt;=AK146-0.01,1,0)</f>
        <v/>
      </c>
      <c r="AS146">
        <f>IF(S146&gt;=AL146-0.01,1,0)</f>
        <v/>
      </c>
      <c r="AT146">
        <f>IF(T146&gt;=AM146-0.01,1,0)</f>
        <v/>
      </c>
      <c r="AU146">
        <f>IF(U146&gt;=AN146-0.01,1,0)</f>
        <v/>
      </c>
      <c r="AV146">
        <f>IF(V146&gt;=AO146-0.01,1,0)</f>
        <v/>
      </c>
      <c r="AW146">
        <f>IF(W146&gt;=AP146-0.01,1,0)</f>
        <v/>
      </c>
      <c r="AX146">
        <f>AQ146*AR146*AS146*AT146*AU146*AV146*AW146</f>
        <v/>
      </c>
      <c r="AY146">
        <f>Assumptions!$B$41</f>
        <v/>
      </c>
      <c r="AZ146">
        <f>Assumptions!$B$33</f>
        <v/>
      </c>
      <c r="BA146">
        <f>Assumptions!$B$32</f>
        <v/>
      </c>
      <c r="BB146">
        <f>Assumptions!$B$31</f>
        <v/>
      </c>
      <c r="BC146">
        <f>Assumptions!$B$30</f>
        <v/>
      </c>
      <c r="BD146">
        <f>Assumptions!$B$29</f>
        <v/>
      </c>
      <c r="BE146">
        <f>Assumptions!$B$28</f>
        <v/>
      </c>
      <c r="BF146">
        <f>P146*Assumptions!$B$141</f>
        <v/>
      </c>
      <c r="BG146">
        <f>P146*Assumptions!$B$128</f>
        <v/>
      </c>
      <c r="BH146">
        <f>P146*Assumptions!$B$129</f>
        <v/>
      </c>
      <c r="BI146">
        <f>P146*Assumptions!$B$14</f>
        <v/>
      </c>
      <c r="BJ146">
        <f>P146*Assumptions!$B$13</f>
        <v/>
      </c>
      <c r="BK146">
        <f>P146*Assumptions!$B$12</f>
        <v/>
      </c>
      <c r="BL146">
        <f>P146*Assumptions!$B$11</f>
        <v/>
      </c>
    </row>
    <row r="147">
      <c r="A147" t="inlineStr">
        <is>
          <t>700M</t>
        </is>
      </c>
      <c r="B147">
        <f>Assumptions!$B$58</f>
        <v/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>
        <f>(1-C147)*Assumptions!$B$41+(1-D147)*Assumptions!$B$33+(1-E147)*Assumptions!$B$32+(1-F147)*Assumptions!$B$31+(1-G147)*Assumptions!$B$30+(1-H147)*Assumptions!$B$29+(1-I147)*Assumptions!$B$28</f>
        <v/>
      </c>
      <c r="K147">
        <f>C147*Assumptions!$B$141+D147*Assumptions!$B$128+E147*Assumptions!$B$129+F147*Assumptions!$B$14+G147*Assumptions!$B$13+H147*Assumptions!$B$12+I147*Assumptions!$B$11+Assumptions!$B$133+Assumptions!$B$137+Assumptions!$B$9</f>
        <v/>
      </c>
      <c r="L147">
        <f>B147-J147</f>
        <v/>
      </c>
      <c r="M147">
        <f>IF(K147&gt;0,IF(L147/K147&gt;=Assumptions!$B$37,1,0),0)</f>
        <v/>
      </c>
      <c r="N147">
        <f>K147+M147*Assumptions!$B$153</f>
        <v/>
      </c>
      <c r="O147">
        <f>L147+M147*Assumptions!$B$153*Assumptions!$B$37</f>
        <v/>
      </c>
      <c r="P147">
        <f>IF(N147&gt;0,O147/N147,0)</f>
        <v/>
      </c>
      <c r="Q147">
        <f>IF(C147=1,P147*Assumptions!$B$141,Assumptions!$B$41)</f>
        <v/>
      </c>
      <c r="R147">
        <f>IF(D147=1,P147*Assumptions!$B$128,Assumptions!$B$33)</f>
        <v/>
      </c>
      <c r="S147">
        <f>IF(E147=1,P147*Assumptions!$B$129,Assumptions!$B$32)</f>
        <v/>
      </c>
      <c r="T147">
        <f>IF(F147=1,P147*Assumptions!$B$14,Assumptions!$B$31)</f>
        <v/>
      </c>
      <c r="U147">
        <f>IF(G147=1,P147*Assumptions!$B$13,Assumptions!$B$30)</f>
        <v/>
      </c>
      <c r="V147">
        <f>IF(H147=1,P147*Assumptions!$B$12,Assumptions!$B$29)</f>
        <v/>
      </c>
      <c r="W147">
        <f>IF(I147=1,P147*Assumptions!$B$11,Assumptions!$B$28)</f>
        <v/>
      </c>
      <c r="X147">
        <f>P147*(Assumptions!$B$133+Assumptions!$B$137)</f>
        <v/>
      </c>
      <c r="Y147">
        <f>P147*Assumptions!$B$9</f>
        <v/>
      </c>
      <c r="Z147">
        <f>IF(M147=1,(P147-Assumptions!$B$37)*Assumptions!$B$153,0)</f>
        <v/>
      </c>
      <c r="AA147">
        <f>Q147+R147+S147+T147+U147+V147+W147+X147+Y147+Z147</f>
        <v/>
      </c>
      <c r="AB147" t="n">
        <v>96</v>
      </c>
      <c r="AC147" t="n">
        <v>32</v>
      </c>
      <c r="AD147" t="n">
        <v>64</v>
      </c>
      <c r="AE147" t="n">
        <v>112</v>
      </c>
      <c r="AF147" t="n">
        <v>104</v>
      </c>
      <c r="AG147" t="n">
        <v>100</v>
      </c>
      <c r="AH147" t="n">
        <v>98</v>
      </c>
      <c r="AI147" t="n">
        <v>97</v>
      </c>
      <c r="AJ147">
        <f>INDEX($Q$51:$Q$178,AC147+1)</f>
        <v/>
      </c>
      <c r="AK147">
        <f>INDEX($R$51:$R$178,AD147+1)</f>
        <v/>
      </c>
      <c r="AL147">
        <f>INDEX($S$51:$S$178,AE147+1)</f>
        <v/>
      </c>
      <c r="AM147">
        <f>INDEX($T$51:$T$178,AF147+1)</f>
        <v/>
      </c>
      <c r="AN147">
        <f>INDEX($U$51:$U$178,AG147+1)</f>
        <v/>
      </c>
      <c r="AO147">
        <f>INDEX($V$51:$V$178,AH147+1)</f>
        <v/>
      </c>
      <c r="AP147">
        <f>INDEX($W$51:$W$178,AI147+1)</f>
        <v/>
      </c>
      <c r="AQ147">
        <f>IF(Q147&gt;=AJ147-0.01,1,0)</f>
        <v/>
      </c>
      <c r="AR147">
        <f>IF(R147&gt;=AK147-0.01,1,0)</f>
        <v/>
      </c>
      <c r="AS147">
        <f>IF(S147&gt;=AL147-0.01,1,0)</f>
        <v/>
      </c>
      <c r="AT147">
        <f>IF(T147&gt;=AM147-0.01,1,0)</f>
        <v/>
      </c>
      <c r="AU147">
        <f>IF(U147&gt;=AN147-0.01,1,0)</f>
        <v/>
      </c>
      <c r="AV147">
        <f>IF(V147&gt;=AO147-0.01,1,0)</f>
        <v/>
      </c>
      <c r="AW147">
        <f>IF(W147&gt;=AP147-0.01,1,0)</f>
        <v/>
      </c>
      <c r="AX147">
        <f>AQ147*AR147*AS147*AT147*AU147*AV147*AW147</f>
        <v/>
      </c>
      <c r="AY147">
        <f>Assumptions!$B$41</f>
        <v/>
      </c>
      <c r="AZ147">
        <f>Assumptions!$B$33</f>
        <v/>
      </c>
      <c r="BA147">
        <f>Assumptions!$B$32</f>
        <v/>
      </c>
      <c r="BB147">
        <f>Assumptions!$B$31</f>
        <v/>
      </c>
      <c r="BC147">
        <f>Assumptions!$B$30</f>
        <v/>
      </c>
      <c r="BD147">
        <f>Assumptions!$B$29</f>
        <v/>
      </c>
      <c r="BE147">
        <f>Assumptions!$B$28</f>
        <v/>
      </c>
      <c r="BF147">
        <f>P147*Assumptions!$B$141</f>
        <v/>
      </c>
      <c r="BG147">
        <f>P147*Assumptions!$B$128</f>
        <v/>
      </c>
      <c r="BH147">
        <f>P147*Assumptions!$B$129</f>
        <v/>
      </c>
      <c r="BI147">
        <f>P147*Assumptions!$B$14</f>
        <v/>
      </c>
      <c r="BJ147">
        <f>P147*Assumptions!$B$13</f>
        <v/>
      </c>
      <c r="BK147">
        <f>P147*Assumptions!$B$12</f>
        <v/>
      </c>
      <c r="BL147">
        <f>P147*Assumptions!$B$11</f>
        <v/>
      </c>
    </row>
    <row r="148">
      <c r="A148" t="inlineStr">
        <is>
          <t>700M</t>
        </is>
      </c>
      <c r="B148">
        <f>Assumptions!$B$58</f>
        <v/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>
        <f>(1-C148)*Assumptions!$B$41+(1-D148)*Assumptions!$B$33+(1-E148)*Assumptions!$B$32+(1-F148)*Assumptions!$B$31+(1-G148)*Assumptions!$B$30+(1-H148)*Assumptions!$B$29+(1-I148)*Assumptions!$B$28</f>
        <v/>
      </c>
      <c r="K148">
        <f>C148*Assumptions!$B$141+D148*Assumptions!$B$128+E148*Assumptions!$B$129+F148*Assumptions!$B$14+G148*Assumptions!$B$13+H148*Assumptions!$B$12+I148*Assumptions!$B$11+Assumptions!$B$133+Assumptions!$B$137+Assumptions!$B$9</f>
        <v/>
      </c>
      <c r="L148">
        <f>B148-J148</f>
        <v/>
      </c>
      <c r="M148">
        <f>IF(K148&gt;0,IF(L148/K148&gt;=Assumptions!$B$37,1,0),0)</f>
        <v/>
      </c>
      <c r="N148">
        <f>K148+M148*Assumptions!$B$153</f>
        <v/>
      </c>
      <c r="O148">
        <f>L148+M148*Assumptions!$B$153*Assumptions!$B$37</f>
        <v/>
      </c>
      <c r="P148">
        <f>IF(N148&gt;0,O148/N148,0)</f>
        <v/>
      </c>
      <c r="Q148">
        <f>IF(C148=1,P148*Assumptions!$B$141,Assumptions!$B$41)</f>
        <v/>
      </c>
      <c r="R148">
        <f>IF(D148=1,P148*Assumptions!$B$128,Assumptions!$B$33)</f>
        <v/>
      </c>
      <c r="S148">
        <f>IF(E148=1,P148*Assumptions!$B$129,Assumptions!$B$32)</f>
        <v/>
      </c>
      <c r="T148">
        <f>IF(F148=1,P148*Assumptions!$B$14,Assumptions!$B$31)</f>
        <v/>
      </c>
      <c r="U148">
        <f>IF(G148=1,P148*Assumptions!$B$13,Assumptions!$B$30)</f>
        <v/>
      </c>
      <c r="V148">
        <f>IF(H148=1,P148*Assumptions!$B$12,Assumptions!$B$29)</f>
        <v/>
      </c>
      <c r="W148">
        <f>IF(I148=1,P148*Assumptions!$B$11,Assumptions!$B$28)</f>
        <v/>
      </c>
      <c r="X148">
        <f>P148*(Assumptions!$B$133+Assumptions!$B$137)</f>
        <v/>
      </c>
      <c r="Y148">
        <f>P148*Assumptions!$B$9</f>
        <v/>
      </c>
      <c r="Z148">
        <f>IF(M148=1,(P148-Assumptions!$B$37)*Assumptions!$B$153,0)</f>
        <v/>
      </c>
      <c r="AA148">
        <f>Q148+R148+S148+T148+U148+V148+W148+X148+Y148+Z148</f>
        <v/>
      </c>
      <c r="AB148" t="n">
        <v>97</v>
      </c>
      <c r="AC148" t="n">
        <v>33</v>
      </c>
      <c r="AD148" t="n">
        <v>65</v>
      </c>
      <c r="AE148" t="n">
        <v>113</v>
      </c>
      <c r="AF148" t="n">
        <v>105</v>
      </c>
      <c r="AG148" t="n">
        <v>101</v>
      </c>
      <c r="AH148" t="n">
        <v>99</v>
      </c>
      <c r="AI148" t="n">
        <v>96</v>
      </c>
      <c r="AJ148">
        <f>INDEX($Q$51:$Q$178,AC148+1)</f>
        <v/>
      </c>
      <c r="AK148">
        <f>INDEX($R$51:$R$178,AD148+1)</f>
        <v/>
      </c>
      <c r="AL148">
        <f>INDEX($S$51:$S$178,AE148+1)</f>
        <v/>
      </c>
      <c r="AM148">
        <f>INDEX($T$51:$T$178,AF148+1)</f>
        <v/>
      </c>
      <c r="AN148">
        <f>INDEX($U$51:$U$178,AG148+1)</f>
        <v/>
      </c>
      <c r="AO148">
        <f>INDEX($V$51:$V$178,AH148+1)</f>
        <v/>
      </c>
      <c r="AP148">
        <f>INDEX($W$51:$W$178,AI148+1)</f>
        <v/>
      </c>
      <c r="AQ148">
        <f>IF(Q148&gt;=AJ148-0.01,1,0)</f>
        <v/>
      </c>
      <c r="AR148">
        <f>IF(R148&gt;=AK148-0.01,1,0)</f>
        <v/>
      </c>
      <c r="AS148">
        <f>IF(S148&gt;=AL148-0.01,1,0)</f>
        <v/>
      </c>
      <c r="AT148">
        <f>IF(T148&gt;=AM148-0.01,1,0)</f>
        <v/>
      </c>
      <c r="AU148">
        <f>IF(U148&gt;=AN148-0.01,1,0)</f>
        <v/>
      </c>
      <c r="AV148">
        <f>IF(V148&gt;=AO148-0.01,1,0)</f>
        <v/>
      </c>
      <c r="AW148">
        <f>IF(W148&gt;=AP148-0.01,1,0)</f>
        <v/>
      </c>
      <c r="AX148">
        <f>AQ148*AR148*AS148*AT148*AU148*AV148*AW148</f>
        <v/>
      </c>
      <c r="AY148">
        <f>Assumptions!$B$41</f>
        <v/>
      </c>
      <c r="AZ148">
        <f>Assumptions!$B$33</f>
        <v/>
      </c>
      <c r="BA148">
        <f>Assumptions!$B$32</f>
        <v/>
      </c>
      <c r="BB148">
        <f>Assumptions!$B$31</f>
        <v/>
      </c>
      <c r="BC148">
        <f>Assumptions!$B$30</f>
        <v/>
      </c>
      <c r="BD148">
        <f>Assumptions!$B$29</f>
        <v/>
      </c>
      <c r="BE148">
        <f>Assumptions!$B$28</f>
        <v/>
      </c>
      <c r="BF148">
        <f>P148*Assumptions!$B$141</f>
        <v/>
      </c>
      <c r="BG148">
        <f>P148*Assumptions!$B$128</f>
        <v/>
      </c>
      <c r="BH148">
        <f>P148*Assumptions!$B$129</f>
        <v/>
      </c>
      <c r="BI148">
        <f>P148*Assumptions!$B$14</f>
        <v/>
      </c>
      <c r="BJ148">
        <f>P148*Assumptions!$B$13</f>
        <v/>
      </c>
      <c r="BK148">
        <f>P148*Assumptions!$B$12</f>
        <v/>
      </c>
      <c r="BL148">
        <f>P148*Assumptions!$B$11</f>
        <v/>
      </c>
    </row>
    <row r="149">
      <c r="A149" t="inlineStr">
        <is>
          <t>700M</t>
        </is>
      </c>
      <c r="B149">
        <f>Assumptions!$B$58</f>
        <v/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>
        <f>(1-C149)*Assumptions!$B$41+(1-D149)*Assumptions!$B$33+(1-E149)*Assumptions!$B$32+(1-F149)*Assumptions!$B$31+(1-G149)*Assumptions!$B$30+(1-H149)*Assumptions!$B$29+(1-I149)*Assumptions!$B$28</f>
        <v/>
      </c>
      <c r="K149">
        <f>C149*Assumptions!$B$141+D149*Assumptions!$B$128+E149*Assumptions!$B$129+F149*Assumptions!$B$14+G149*Assumptions!$B$13+H149*Assumptions!$B$12+I149*Assumptions!$B$11+Assumptions!$B$133+Assumptions!$B$137+Assumptions!$B$9</f>
        <v/>
      </c>
      <c r="L149">
        <f>B149-J149</f>
        <v/>
      </c>
      <c r="M149">
        <f>IF(K149&gt;0,IF(L149/K149&gt;=Assumptions!$B$37,1,0),0)</f>
        <v/>
      </c>
      <c r="N149">
        <f>K149+M149*Assumptions!$B$153</f>
        <v/>
      </c>
      <c r="O149">
        <f>L149+M149*Assumptions!$B$153*Assumptions!$B$37</f>
        <v/>
      </c>
      <c r="P149">
        <f>IF(N149&gt;0,O149/N149,0)</f>
        <v/>
      </c>
      <c r="Q149">
        <f>IF(C149=1,P149*Assumptions!$B$141,Assumptions!$B$41)</f>
        <v/>
      </c>
      <c r="R149">
        <f>IF(D149=1,P149*Assumptions!$B$128,Assumptions!$B$33)</f>
        <v/>
      </c>
      <c r="S149">
        <f>IF(E149=1,P149*Assumptions!$B$129,Assumptions!$B$32)</f>
        <v/>
      </c>
      <c r="T149">
        <f>IF(F149=1,P149*Assumptions!$B$14,Assumptions!$B$31)</f>
        <v/>
      </c>
      <c r="U149">
        <f>IF(G149=1,P149*Assumptions!$B$13,Assumptions!$B$30)</f>
        <v/>
      </c>
      <c r="V149">
        <f>IF(H149=1,P149*Assumptions!$B$12,Assumptions!$B$29)</f>
        <v/>
      </c>
      <c r="W149">
        <f>IF(I149=1,P149*Assumptions!$B$11,Assumptions!$B$28)</f>
        <v/>
      </c>
      <c r="X149">
        <f>P149*(Assumptions!$B$133+Assumptions!$B$137)</f>
        <v/>
      </c>
      <c r="Y149">
        <f>P149*Assumptions!$B$9</f>
        <v/>
      </c>
      <c r="Z149">
        <f>IF(M149=1,(P149-Assumptions!$B$37)*Assumptions!$B$153,0)</f>
        <v/>
      </c>
      <c r="AA149">
        <f>Q149+R149+S149+T149+U149+V149+W149+X149+Y149+Z149</f>
        <v/>
      </c>
      <c r="AB149" t="n">
        <v>98</v>
      </c>
      <c r="AC149" t="n">
        <v>34</v>
      </c>
      <c r="AD149" t="n">
        <v>66</v>
      </c>
      <c r="AE149" t="n">
        <v>114</v>
      </c>
      <c r="AF149" t="n">
        <v>106</v>
      </c>
      <c r="AG149" t="n">
        <v>102</v>
      </c>
      <c r="AH149" t="n">
        <v>96</v>
      </c>
      <c r="AI149" t="n">
        <v>99</v>
      </c>
      <c r="AJ149">
        <f>INDEX($Q$51:$Q$178,AC149+1)</f>
        <v/>
      </c>
      <c r="AK149">
        <f>INDEX($R$51:$R$178,AD149+1)</f>
        <v/>
      </c>
      <c r="AL149">
        <f>INDEX($S$51:$S$178,AE149+1)</f>
        <v/>
      </c>
      <c r="AM149">
        <f>INDEX($T$51:$T$178,AF149+1)</f>
        <v/>
      </c>
      <c r="AN149">
        <f>INDEX($U$51:$U$178,AG149+1)</f>
        <v/>
      </c>
      <c r="AO149">
        <f>INDEX($V$51:$V$178,AH149+1)</f>
        <v/>
      </c>
      <c r="AP149">
        <f>INDEX($W$51:$W$178,AI149+1)</f>
        <v/>
      </c>
      <c r="AQ149">
        <f>IF(Q149&gt;=AJ149-0.01,1,0)</f>
        <v/>
      </c>
      <c r="AR149">
        <f>IF(R149&gt;=AK149-0.01,1,0)</f>
        <v/>
      </c>
      <c r="AS149">
        <f>IF(S149&gt;=AL149-0.01,1,0)</f>
        <v/>
      </c>
      <c r="AT149">
        <f>IF(T149&gt;=AM149-0.01,1,0)</f>
        <v/>
      </c>
      <c r="AU149">
        <f>IF(U149&gt;=AN149-0.01,1,0)</f>
        <v/>
      </c>
      <c r="AV149">
        <f>IF(V149&gt;=AO149-0.01,1,0)</f>
        <v/>
      </c>
      <c r="AW149">
        <f>IF(W149&gt;=AP149-0.01,1,0)</f>
        <v/>
      </c>
      <c r="AX149">
        <f>AQ149*AR149*AS149*AT149*AU149*AV149*AW149</f>
        <v/>
      </c>
      <c r="AY149">
        <f>Assumptions!$B$41</f>
        <v/>
      </c>
      <c r="AZ149">
        <f>Assumptions!$B$33</f>
        <v/>
      </c>
      <c r="BA149">
        <f>Assumptions!$B$32</f>
        <v/>
      </c>
      <c r="BB149">
        <f>Assumptions!$B$31</f>
        <v/>
      </c>
      <c r="BC149">
        <f>Assumptions!$B$30</f>
        <v/>
      </c>
      <c r="BD149">
        <f>Assumptions!$B$29</f>
        <v/>
      </c>
      <c r="BE149">
        <f>Assumptions!$B$28</f>
        <v/>
      </c>
      <c r="BF149">
        <f>P149*Assumptions!$B$141</f>
        <v/>
      </c>
      <c r="BG149">
        <f>P149*Assumptions!$B$128</f>
        <v/>
      </c>
      <c r="BH149">
        <f>P149*Assumptions!$B$129</f>
        <v/>
      </c>
      <c r="BI149">
        <f>P149*Assumptions!$B$14</f>
        <v/>
      </c>
      <c r="BJ149">
        <f>P149*Assumptions!$B$13</f>
        <v/>
      </c>
      <c r="BK149">
        <f>P149*Assumptions!$B$12</f>
        <v/>
      </c>
      <c r="BL149">
        <f>P149*Assumptions!$B$11</f>
        <v/>
      </c>
    </row>
    <row r="150">
      <c r="A150" t="inlineStr">
        <is>
          <t>700M</t>
        </is>
      </c>
      <c r="B150">
        <f>Assumptions!$B$58</f>
        <v/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>
        <f>(1-C150)*Assumptions!$B$41+(1-D150)*Assumptions!$B$33+(1-E150)*Assumptions!$B$32+(1-F150)*Assumptions!$B$31+(1-G150)*Assumptions!$B$30+(1-H150)*Assumptions!$B$29+(1-I150)*Assumptions!$B$28</f>
        <v/>
      </c>
      <c r="K150">
        <f>C150*Assumptions!$B$141+D150*Assumptions!$B$128+E150*Assumptions!$B$129+F150*Assumptions!$B$14+G150*Assumptions!$B$13+H150*Assumptions!$B$12+I150*Assumptions!$B$11+Assumptions!$B$133+Assumptions!$B$137+Assumptions!$B$9</f>
        <v/>
      </c>
      <c r="L150">
        <f>B150-J150</f>
        <v/>
      </c>
      <c r="M150">
        <f>IF(K150&gt;0,IF(L150/K150&gt;=Assumptions!$B$37,1,0),0)</f>
        <v/>
      </c>
      <c r="N150">
        <f>K150+M150*Assumptions!$B$153</f>
        <v/>
      </c>
      <c r="O150">
        <f>L150+M150*Assumptions!$B$153*Assumptions!$B$37</f>
        <v/>
      </c>
      <c r="P150">
        <f>IF(N150&gt;0,O150/N150,0)</f>
        <v/>
      </c>
      <c r="Q150">
        <f>IF(C150=1,P150*Assumptions!$B$141,Assumptions!$B$41)</f>
        <v/>
      </c>
      <c r="R150">
        <f>IF(D150=1,P150*Assumptions!$B$128,Assumptions!$B$33)</f>
        <v/>
      </c>
      <c r="S150">
        <f>IF(E150=1,P150*Assumptions!$B$129,Assumptions!$B$32)</f>
        <v/>
      </c>
      <c r="T150">
        <f>IF(F150=1,P150*Assumptions!$B$14,Assumptions!$B$31)</f>
        <v/>
      </c>
      <c r="U150">
        <f>IF(G150=1,P150*Assumptions!$B$13,Assumptions!$B$30)</f>
        <v/>
      </c>
      <c r="V150">
        <f>IF(H150=1,P150*Assumptions!$B$12,Assumptions!$B$29)</f>
        <v/>
      </c>
      <c r="W150">
        <f>IF(I150=1,P150*Assumptions!$B$11,Assumptions!$B$28)</f>
        <v/>
      </c>
      <c r="X150">
        <f>P150*(Assumptions!$B$133+Assumptions!$B$137)</f>
        <v/>
      </c>
      <c r="Y150">
        <f>P150*Assumptions!$B$9</f>
        <v/>
      </c>
      <c r="Z150">
        <f>IF(M150=1,(P150-Assumptions!$B$37)*Assumptions!$B$153,0)</f>
        <v/>
      </c>
      <c r="AA150">
        <f>Q150+R150+S150+T150+U150+V150+W150+X150+Y150+Z150</f>
        <v/>
      </c>
      <c r="AB150" t="n">
        <v>99</v>
      </c>
      <c r="AC150" t="n">
        <v>35</v>
      </c>
      <c r="AD150" t="n">
        <v>67</v>
      </c>
      <c r="AE150" t="n">
        <v>115</v>
      </c>
      <c r="AF150" t="n">
        <v>107</v>
      </c>
      <c r="AG150" t="n">
        <v>103</v>
      </c>
      <c r="AH150" t="n">
        <v>97</v>
      </c>
      <c r="AI150" t="n">
        <v>98</v>
      </c>
      <c r="AJ150">
        <f>INDEX($Q$51:$Q$178,AC150+1)</f>
        <v/>
      </c>
      <c r="AK150">
        <f>INDEX($R$51:$R$178,AD150+1)</f>
        <v/>
      </c>
      <c r="AL150">
        <f>INDEX($S$51:$S$178,AE150+1)</f>
        <v/>
      </c>
      <c r="AM150">
        <f>INDEX($T$51:$T$178,AF150+1)</f>
        <v/>
      </c>
      <c r="AN150">
        <f>INDEX($U$51:$U$178,AG150+1)</f>
        <v/>
      </c>
      <c r="AO150">
        <f>INDEX($V$51:$V$178,AH150+1)</f>
        <v/>
      </c>
      <c r="AP150">
        <f>INDEX($W$51:$W$178,AI150+1)</f>
        <v/>
      </c>
      <c r="AQ150">
        <f>IF(Q150&gt;=AJ150-0.01,1,0)</f>
        <v/>
      </c>
      <c r="AR150">
        <f>IF(R150&gt;=AK150-0.01,1,0)</f>
        <v/>
      </c>
      <c r="AS150">
        <f>IF(S150&gt;=AL150-0.01,1,0)</f>
        <v/>
      </c>
      <c r="AT150">
        <f>IF(T150&gt;=AM150-0.01,1,0)</f>
        <v/>
      </c>
      <c r="AU150">
        <f>IF(U150&gt;=AN150-0.01,1,0)</f>
        <v/>
      </c>
      <c r="AV150">
        <f>IF(V150&gt;=AO150-0.01,1,0)</f>
        <v/>
      </c>
      <c r="AW150">
        <f>IF(W150&gt;=AP150-0.01,1,0)</f>
        <v/>
      </c>
      <c r="AX150">
        <f>AQ150*AR150*AS150*AT150*AU150*AV150*AW150</f>
        <v/>
      </c>
      <c r="AY150">
        <f>Assumptions!$B$41</f>
        <v/>
      </c>
      <c r="AZ150">
        <f>Assumptions!$B$33</f>
        <v/>
      </c>
      <c r="BA150">
        <f>Assumptions!$B$32</f>
        <v/>
      </c>
      <c r="BB150">
        <f>Assumptions!$B$31</f>
        <v/>
      </c>
      <c r="BC150">
        <f>Assumptions!$B$30</f>
        <v/>
      </c>
      <c r="BD150">
        <f>Assumptions!$B$29</f>
        <v/>
      </c>
      <c r="BE150">
        <f>Assumptions!$B$28</f>
        <v/>
      </c>
      <c r="BF150">
        <f>P150*Assumptions!$B$141</f>
        <v/>
      </c>
      <c r="BG150">
        <f>P150*Assumptions!$B$128</f>
        <v/>
      </c>
      <c r="BH150">
        <f>P150*Assumptions!$B$129</f>
        <v/>
      </c>
      <c r="BI150">
        <f>P150*Assumptions!$B$14</f>
        <v/>
      </c>
      <c r="BJ150">
        <f>P150*Assumptions!$B$13</f>
        <v/>
      </c>
      <c r="BK150">
        <f>P150*Assumptions!$B$12</f>
        <v/>
      </c>
      <c r="BL150">
        <f>P150*Assumptions!$B$11</f>
        <v/>
      </c>
    </row>
    <row r="151">
      <c r="A151" t="inlineStr">
        <is>
          <t>700M</t>
        </is>
      </c>
      <c r="B151">
        <f>Assumptions!$B$58</f>
        <v/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>
        <f>(1-C151)*Assumptions!$B$41+(1-D151)*Assumptions!$B$33+(1-E151)*Assumptions!$B$32+(1-F151)*Assumptions!$B$31+(1-G151)*Assumptions!$B$30+(1-H151)*Assumptions!$B$29+(1-I151)*Assumptions!$B$28</f>
        <v/>
      </c>
      <c r="K151">
        <f>C151*Assumptions!$B$141+D151*Assumptions!$B$128+E151*Assumptions!$B$129+F151*Assumptions!$B$14+G151*Assumptions!$B$13+H151*Assumptions!$B$12+I151*Assumptions!$B$11+Assumptions!$B$133+Assumptions!$B$137+Assumptions!$B$9</f>
        <v/>
      </c>
      <c r="L151">
        <f>B151-J151</f>
        <v/>
      </c>
      <c r="M151">
        <f>IF(K151&gt;0,IF(L151/K151&gt;=Assumptions!$B$37,1,0),0)</f>
        <v/>
      </c>
      <c r="N151">
        <f>K151+M151*Assumptions!$B$153</f>
        <v/>
      </c>
      <c r="O151">
        <f>L151+M151*Assumptions!$B$153*Assumptions!$B$37</f>
        <v/>
      </c>
      <c r="P151">
        <f>IF(N151&gt;0,O151/N151,0)</f>
        <v/>
      </c>
      <c r="Q151">
        <f>IF(C151=1,P151*Assumptions!$B$141,Assumptions!$B$41)</f>
        <v/>
      </c>
      <c r="R151">
        <f>IF(D151=1,P151*Assumptions!$B$128,Assumptions!$B$33)</f>
        <v/>
      </c>
      <c r="S151">
        <f>IF(E151=1,P151*Assumptions!$B$129,Assumptions!$B$32)</f>
        <v/>
      </c>
      <c r="T151">
        <f>IF(F151=1,P151*Assumptions!$B$14,Assumptions!$B$31)</f>
        <v/>
      </c>
      <c r="U151">
        <f>IF(G151=1,P151*Assumptions!$B$13,Assumptions!$B$30)</f>
        <v/>
      </c>
      <c r="V151">
        <f>IF(H151=1,P151*Assumptions!$B$12,Assumptions!$B$29)</f>
        <v/>
      </c>
      <c r="W151">
        <f>IF(I151=1,P151*Assumptions!$B$11,Assumptions!$B$28)</f>
        <v/>
      </c>
      <c r="X151">
        <f>P151*(Assumptions!$B$133+Assumptions!$B$137)</f>
        <v/>
      </c>
      <c r="Y151">
        <f>P151*Assumptions!$B$9</f>
        <v/>
      </c>
      <c r="Z151">
        <f>IF(M151=1,(P151-Assumptions!$B$37)*Assumptions!$B$153,0)</f>
        <v/>
      </c>
      <c r="AA151">
        <f>Q151+R151+S151+T151+U151+V151+W151+X151+Y151+Z151</f>
        <v/>
      </c>
      <c r="AB151" t="n">
        <v>100</v>
      </c>
      <c r="AC151" t="n">
        <v>36</v>
      </c>
      <c r="AD151" t="n">
        <v>68</v>
      </c>
      <c r="AE151" t="n">
        <v>116</v>
      </c>
      <c r="AF151" t="n">
        <v>108</v>
      </c>
      <c r="AG151" t="n">
        <v>96</v>
      </c>
      <c r="AH151" t="n">
        <v>102</v>
      </c>
      <c r="AI151" t="n">
        <v>101</v>
      </c>
      <c r="AJ151">
        <f>INDEX($Q$51:$Q$178,AC151+1)</f>
        <v/>
      </c>
      <c r="AK151">
        <f>INDEX($R$51:$R$178,AD151+1)</f>
        <v/>
      </c>
      <c r="AL151">
        <f>INDEX($S$51:$S$178,AE151+1)</f>
        <v/>
      </c>
      <c r="AM151">
        <f>INDEX($T$51:$T$178,AF151+1)</f>
        <v/>
      </c>
      <c r="AN151">
        <f>INDEX($U$51:$U$178,AG151+1)</f>
        <v/>
      </c>
      <c r="AO151">
        <f>INDEX($V$51:$V$178,AH151+1)</f>
        <v/>
      </c>
      <c r="AP151">
        <f>INDEX($W$51:$W$178,AI151+1)</f>
        <v/>
      </c>
      <c r="AQ151">
        <f>IF(Q151&gt;=AJ151-0.01,1,0)</f>
        <v/>
      </c>
      <c r="AR151">
        <f>IF(R151&gt;=AK151-0.01,1,0)</f>
        <v/>
      </c>
      <c r="AS151">
        <f>IF(S151&gt;=AL151-0.01,1,0)</f>
        <v/>
      </c>
      <c r="AT151">
        <f>IF(T151&gt;=AM151-0.01,1,0)</f>
        <v/>
      </c>
      <c r="AU151">
        <f>IF(U151&gt;=AN151-0.01,1,0)</f>
        <v/>
      </c>
      <c r="AV151">
        <f>IF(V151&gt;=AO151-0.01,1,0)</f>
        <v/>
      </c>
      <c r="AW151">
        <f>IF(W151&gt;=AP151-0.01,1,0)</f>
        <v/>
      </c>
      <c r="AX151">
        <f>AQ151*AR151*AS151*AT151*AU151*AV151*AW151</f>
        <v/>
      </c>
      <c r="AY151">
        <f>Assumptions!$B$41</f>
        <v/>
      </c>
      <c r="AZ151">
        <f>Assumptions!$B$33</f>
        <v/>
      </c>
      <c r="BA151">
        <f>Assumptions!$B$32</f>
        <v/>
      </c>
      <c r="BB151">
        <f>Assumptions!$B$31</f>
        <v/>
      </c>
      <c r="BC151">
        <f>Assumptions!$B$30</f>
        <v/>
      </c>
      <c r="BD151">
        <f>Assumptions!$B$29</f>
        <v/>
      </c>
      <c r="BE151">
        <f>Assumptions!$B$28</f>
        <v/>
      </c>
      <c r="BF151">
        <f>P151*Assumptions!$B$141</f>
        <v/>
      </c>
      <c r="BG151">
        <f>P151*Assumptions!$B$128</f>
        <v/>
      </c>
      <c r="BH151">
        <f>P151*Assumptions!$B$129</f>
        <v/>
      </c>
      <c r="BI151">
        <f>P151*Assumptions!$B$14</f>
        <v/>
      </c>
      <c r="BJ151">
        <f>P151*Assumptions!$B$13</f>
        <v/>
      </c>
      <c r="BK151">
        <f>P151*Assumptions!$B$12</f>
        <v/>
      </c>
      <c r="BL151">
        <f>P151*Assumptions!$B$11</f>
        <v/>
      </c>
    </row>
    <row r="152">
      <c r="A152" t="inlineStr">
        <is>
          <t>700M</t>
        </is>
      </c>
      <c r="B152">
        <f>Assumptions!$B$58</f>
        <v/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>
        <f>(1-C152)*Assumptions!$B$41+(1-D152)*Assumptions!$B$33+(1-E152)*Assumptions!$B$32+(1-F152)*Assumptions!$B$31+(1-G152)*Assumptions!$B$30+(1-H152)*Assumptions!$B$29+(1-I152)*Assumptions!$B$28</f>
        <v/>
      </c>
      <c r="K152">
        <f>C152*Assumptions!$B$141+D152*Assumptions!$B$128+E152*Assumptions!$B$129+F152*Assumptions!$B$14+G152*Assumptions!$B$13+H152*Assumptions!$B$12+I152*Assumptions!$B$11+Assumptions!$B$133+Assumptions!$B$137+Assumptions!$B$9</f>
        <v/>
      </c>
      <c r="L152">
        <f>B152-J152</f>
        <v/>
      </c>
      <c r="M152">
        <f>IF(K152&gt;0,IF(L152/K152&gt;=Assumptions!$B$37,1,0),0)</f>
        <v/>
      </c>
      <c r="N152">
        <f>K152+M152*Assumptions!$B$153</f>
        <v/>
      </c>
      <c r="O152">
        <f>L152+M152*Assumptions!$B$153*Assumptions!$B$37</f>
        <v/>
      </c>
      <c r="P152">
        <f>IF(N152&gt;0,O152/N152,0)</f>
        <v/>
      </c>
      <c r="Q152">
        <f>IF(C152=1,P152*Assumptions!$B$141,Assumptions!$B$41)</f>
        <v/>
      </c>
      <c r="R152">
        <f>IF(D152=1,P152*Assumptions!$B$128,Assumptions!$B$33)</f>
        <v/>
      </c>
      <c r="S152">
        <f>IF(E152=1,P152*Assumptions!$B$129,Assumptions!$B$32)</f>
        <v/>
      </c>
      <c r="T152">
        <f>IF(F152=1,P152*Assumptions!$B$14,Assumptions!$B$31)</f>
        <v/>
      </c>
      <c r="U152">
        <f>IF(G152=1,P152*Assumptions!$B$13,Assumptions!$B$30)</f>
        <v/>
      </c>
      <c r="V152">
        <f>IF(H152=1,P152*Assumptions!$B$12,Assumptions!$B$29)</f>
        <v/>
      </c>
      <c r="W152">
        <f>IF(I152=1,P152*Assumptions!$B$11,Assumptions!$B$28)</f>
        <v/>
      </c>
      <c r="X152">
        <f>P152*(Assumptions!$B$133+Assumptions!$B$137)</f>
        <v/>
      </c>
      <c r="Y152">
        <f>P152*Assumptions!$B$9</f>
        <v/>
      </c>
      <c r="Z152">
        <f>IF(M152=1,(P152-Assumptions!$B$37)*Assumptions!$B$153,0)</f>
        <v/>
      </c>
      <c r="AA152">
        <f>Q152+R152+S152+T152+U152+V152+W152+X152+Y152+Z152</f>
        <v/>
      </c>
      <c r="AB152" t="n">
        <v>101</v>
      </c>
      <c r="AC152" t="n">
        <v>37</v>
      </c>
      <c r="AD152" t="n">
        <v>69</v>
      </c>
      <c r="AE152" t="n">
        <v>117</v>
      </c>
      <c r="AF152" t="n">
        <v>109</v>
      </c>
      <c r="AG152" t="n">
        <v>97</v>
      </c>
      <c r="AH152" t="n">
        <v>103</v>
      </c>
      <c r="AI152" t="n">
        <v>100</v>
      </c>
      <c r="AJ152">
        <f>INDEX($Q$51:$Q$178,AC152+1)</f>
        <v/>
      </c>
      <c r="AK152">
        <f>INDEX($R$51:$R$178,AD152+1)</f>
        <v/>
      </c>
      <c r="AL152">
        <f>INDEX($S$51:$S$178,AE152+1)</f>
        <v/>
      </c>
      <c r="AM152">
        <f>INDEX($T$51:$T$178,AF152+1)</f>
        <v/>
      </c>
      <c r="AN152">
        <f>INDEX($U$51:$U$178,AG152+1)</f>
        <v/>
      </c>
      <c r="AO152">
        <f>INDEX($V$51:$V$178,AH152+1)</f>
        <v/>
      </c>
      <c r="AP152">
        <f>INDEX($W$51:$W$178,AI152+1)</f>
        <v/>
      </c>
      <c r="AQ152">
        <f>IF(Q152&gt;=AJ152-0.01,1,0)</f>
        <v/>
      </c>
      <c r="AR152">
        <f>IF(R152&gt;=AK152-0.01,1,0)</f>
        <v/>
      </c>
      <c r="AS152">
        <f>IF(S152&gt;=AL152-0.01,1,0)</f>
        <v/>
      </c>
      <c r="AT152">
        <f>IF(T152&gt;=AM152-0.01,1,0)</f>
        <v/>
      </c>
      <c r="AU152">
        <f>IF(U152&gt;=AN152-0.01,1,0)</f>
        <v/>
      </c>
      <c r="AV152">
        <f>IF(V152&gt;=AO152-0.01,1,0)</f>
        <v/>
      </c>
      <c r="AW152">
        <f>IF(W152&gt;=AP152-0.01,1,0)</f>
        <v/>
      </c>
      <c r="AX152">
        <f>AQ152*AR152*AS152*AT152*AU152*AV152*AW152</f>
        <v/>
      </c>
      <c r="AY152">
        <f>Assumptions!$B$41</f>
        <v/>
      </c>
      <c r="AZ152">
        <f>Assumptions!$B$33</f>
        <v/>
      </c>
      <c r="BA152">
        <f>Assumptions!$B$32</f>
        <v/>
      </c>
      <c r="BB152">
        <f>Assumptions!$B$31</f>
        <v/>
      </c>
      <c r="BC152">
        <f>Assumptions!$B$30</f>
        <v/>
      </c>
      <c r="BD152">
        <f>Assumptions!$B$29</f>
        <v/>
      </c>
      <c r="BE152">
        <f>Assumptions!$B$28</f>
        <v/>
      </c>
      <c r="BF152">
        <f>P152*Assumptions!$B$141</f>
        <v/>
      </c>
      <c r="BG152">
        <f>P152*Assumptions!$B$128</f>
        <v/>
      </c>
      <c r="BH152">
        <f>P152*Assumptions!$B$129</f>
        <v/>
      </c>
      <c r="BI152">
        <f>P152*Assumptions!$B$14</f>
        <v/>
      </c>
      <c r="BJ152">
        <f>P152*Assumptions!$B$13</f>
        <v/>
      </c>
      <c r="BK152">
        <f>P152*Assumptions!$B$12</f>
        <v/>
      </c>
      <c r="BL152">
        <f>P152*Assumptions!$B$11</f>
        <v/>
      </c>
    </row>
    <row r="153">
      <c r="A153" t="inlineStr">
        <is>
          <t>700M</t>
        </is>
      </c>
      <c r="B153">
        <f>Assumptions!$B$58</f>
        <v/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>
        <f>(1-C153)*Assumptions!$B$41+(1-D153)*Assumptions!$B$33+(1-E153)*Assumptions!$B$32+(1-F153)*Assumptions!$B$31+(1-G153)*Assumptions!$B$30+(1-H153)*Assumptions!$B$29+(1-I153)*Assumptions!$B$28</f>
        <v/>
      </c>
      <c r="K153">
        <f>C153*Assumptions!$B$141+D153*Assumptions!$B$128+E153*Assumptions!$B$129+F153*Assumptions!$B$14+G153*Assumptions!$B$13+H153*Assumptions!$B$12+I153*Assumptions!$B$11+Assumptions!$B$133+Assumptions!$B$137+Assumptions!$B$9</f>
        <v/>
      </c>
      <c r="L153">
        <f>B153-J153</f>
        <v/>
      </c>
      <c r="M153">
        <f>IF(K153&gt;0,IF(L153/K153&gt;=Assumptions!$B$37,1,0),0)</f>
        <v/>
      </c>
      <c r="N153">
        <f>K153+M153*Assumptions!$B$153</f>
        <v/>
      </c>
      <c r="O153">
        <f>L153+M153*Assumptions!$B$153*Assumptions!$B$37</f>
        <v/>
      </c>
      <c r="P153">
        <f>IF(N153&gt;0,O153/N153,0)</f>
        <v/>
      </c>
      <c r="Q153">
        <f>IF(C153=1,P153*Assumptions!$B$141,Assumptions!$B$41)</f>
        <v/>
      </c>
      <c r="R153">
        <f>IF(D153=1,P153*Assumptions!$B$128,Assumptions!$B$33)</f>
        <v/>
      </c>
      <c r="S153">
        <f>IF(E153=1,P153*Assumptions!$B$129,Assumptions!$B$32)</f>
        <v/>
      </c>
      <c r="T153">
        <f>IF(F153=1,P153*Assumptions!$B$14,Assumptions!$B$31)</f>
        <v/>
      </c>
      <c r="U153">
        <f>IF(G153=1,P153*Assumptions!$B$13,Assumptions!$B$30)</f>
        <v/>
      </c>
      <c r="V153">
        <f>IF(H153=1,P153*Assumptions!$B$12,Assumptions!$B$29)</f>
        <v/>
      </c>
      <c r="W153">
        <f>IF(I153=1,P153*Assumptions!$B$11,Assumptions!$B$28)</f>
        <v/>
      </c>
      <c r="X153">
        <f>P153*(Assumptions!$B$133+Assumptions!$B$137)</f>
        <v/>
      </c>
      <c r="Y153">
        <f>P153*Assumptions!$B$9</f>
        <v/>
      </c>
      <c r="Z153">
        <f>IF(M153=1,(P153-Assumptions!$B$37)*Assumptions!$B$153,0)</f>
        <v/>
      </c>
      <c r="AA153">
        <f>Q153+R153+S153+T153+U153+V153+W153+X153+Y153+Z153</f>
        <v/>
      </c>
      <c r="AB153" t="n">
        <v>102</v>
      </c>
      <c r="AC153" t="n">
        <v>38</v>
      </c>
      <c r="AD153" t="n">
        <v>70</v>
      </c>
      <c r="AE153" t="n">
        <v>118</v>
      </c>
      <c r="AF153" t="n">
        <v>110</v>
      </c>
      <c r="AG153" t="n">
        <v>98</v>
      </c>
      <c r="AH153" t="n">
        <v>100</v>
      </c>
      <c r="AI153" t="n">
        <v>103</v>
      </c>
      <c r="AJ153">
        <f>INDEX($Q$51:$Q$178,AC153+1)</f>
        <v/>
      </c>
      <c r="AK153">
        <f>INDEX($R$51:$R$178,AD153+1)</f>
        <v/>
      </c>
      <c r="AL153">
        <f>INDEX($S$51:$S$178,AE153+1)</f>
        <v/>
      </c>
      <c r="AM153">
        <f>INDEX($T$51:$T$178,AF153+1)</f>
        <v/>
      </c>
      <c r="AN153">
        <f>INDEX($U$51:$U$178,AG153+1)</f>
        <v/>
      </c>
      <c r="AO153">
        <f>INDEX($V$51:$V$178,AH153+1)</f>
        <v/>
      </c>
      <c r="AP153">
        <f>INDEX($W$51:$W$178,AI153+1)</f>
        <v/>
      </c>
      <c r="AQ153">
        <f>IF(Q153&gt;=AJ153-0.01,1,0)</f>
        <v/>
      </c>
      <c r="AR153">
        <f>IF(R153&gt;=AK153-0.01,1,0)</f>
        <v/>
      </c>
      <c r="AS153">
        <f>IF(S153&gt;=AL153-0.01,1,0)</f>
        <v/>
      </c>
      <c r="AT153">
        <f>IF(T153&gt;=AM153-0.01,1,0)</f>
        <v/>
      </c>
      <c r="AU153">
        <f>IF(U153&gt;=AN153-0.01,1,0)</f>
        <v/>
      </c>
      <c r="AV153">
        <f>IF(V153&gt;=AO153-0.01,1,0)</f>
        <v/>
      </c>
      <c r="AW153">
        <f>IF(W153&gt;=AP153-0.01,1,0)</f>
        <v/>
      </c>
      <c r="AX153">
        <f>AQ153*AR153*AS153*AT153*AU153*AV153*AW153</f>
        <v/>
      </c>
      <c r="AY153">
        <f>Assumptions!$B$41</f>
        <v/>
      </c>
      <c r="AZ153">
        <f>Assumptions!$B$33</f>
        <v/>
      </c>
      <c r="BA153">
        <f>Assumptions!$B$32</f>
        <v/>
      </c>
      <c r="BB153">
        <f>Assumptions!$B$31</f>
        <v/>
      </c>
      <c r="BC153">
        <f>Assumptions!$B$30</f>
        <v/>
      </c>
      <c r="BD153">
        <f>Assumptions!$B$29</f>
        <v/>
      </c>
      <c r="BE153">
        <f>Assumptions!$B$28</f>
        <v/>
      </c>
      <c r="BF153">
        <f>P153*Assumptions!$B$141</f>
        <v/>
      </c>
      <c r="BG153">
        <f>P153*Assumptions!$B$128</f>
        <v/>
      </c>
      <c r="BH153">
        <f>P153*Assumptions!$B$129</f>
        <v/>
      </c>
      <c r="BI153">
        <f>P153*Assumptions!$B$14</f>
        <v/>
      </c>
      <c r="BJ153">
        <f>P153*Assumptions!$B$13</f>
        <v/>
      </c>
      <c r="BK153">
        <f>P153*Assumptions!$B$12</f>
        <v/>
      </c>
      <c r="BL153">
        <f>P153*Assumptions!$B$11</f>
        <v/>
      </c>
    </row>
    <row r="154">
      <c r="A154" t="inlineStr">
        <is>
          <t>700M</t>
        </is>
      </c>
      <c r="B154">
        <f>Assumptions!$B$58</f>
        <v/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>
        <f>(1-C154)*Assumptions!$B$41+(1-D154)*Assumptions!$B$33+(1-E154)*Assumptions!$B$32+(1-F154)*Assumptions!$B$31+(1-G154)*Assumptions!$B$30+(1-H154)*Assumptions!$B$29+(1-I154)*Assumptions!$B$28</f>
        <v/>
      </c>
      <c r="K154">
        <f>C154*Assumptions!$B$141+D154*Assumptions!$B$128+E154*Assumptions!$B$129+F154*Assumptions!$B$14+G154*Assumptions!$B$13+H154*Assumptions!$B$12+I154*Assumptions!$B$11+Assumptions!$B$133+Assumptions!$B$137+Assumptions!$B$9</f>
        <v/>
      </c>
      <c r="L154">
        <f>B154-J154</f>
        <v/>
      </c>
      <c r="M154">
        <f>IF(K154&gt;0,IF(L154/K154&gt;=Assumptions!$B$37,1,0),0)</f>
        <v/>
      </c>
      <c r="N154">
        <f>K154+M154*Assumptions!$B$153</f>
        <v/>
      </c>
      <c r="O154">
        <f>L154+M154*Assumptions!$B$153*Assumptions!$B$37</f>
        <v/>
      </c>
      <c r="P154">
        <f>IF(N154&gt;0,O154/N154,0)</f>
        <v/>
      </c>
      <c r="Q154">
        <f>IF(C154=1,P154*Assumptions!$B$141,Assumptions!$B$41)</f>
        <v/>
      </c>
      <c r="R154">
        <f>IF(D154=1,P154*Assumptions!$B$128,Assumptions!$B$33)</f>
        <v/>
      </c>
      <c r="S154">
        <f>IF(E154=1,P154*Assumptions!$B$129,Assumptions!$B$32)</f>
        <v/>
      </c>
      <c r="T154">
        <f>IF(F154=1,P154*Assumptions!$B$14,Assumptions!$B$31)</f>
        <v/>
      </c>
      <c r="U154">
        <f>IF(G154=1,P154*Assumptions!$B$13,Assumptions!$B$30)</f>
        <v/>
      </c>
      <c r="V154">
        <f>IF(H154=1,P154*Assumptions!$B$12,Assumptions!$B$29)</f>
        <v/>
      </c>
      <c r="W154">
        <f>IF(I154=1,P154*Assumptions!$B$11,Assumptions!$B$28)</f>
        <v/>
      </c>
      <c r="X154">
        <f>P154*(Assumptions!$B$133+Assumptions!$B$137)</f>
        <v/>
      </c>
      <c r="Y154">
        <f>P154*Assumptions!$B$9</f>
        <v/>
      </c>
      <c r="Z154">
        <f>IF(M154=1,(P154-Assumptions!$B$37)*Assumptions!$B$153,0)</f>
        <v/>
      </c>
      <c r="AA154">
        <f>Q154+R154+S154+T154+U154+V154+W154+X154+Y154+Z154</f>
        <v/>
      </c>
      <c r="AB154" t="n">
        <v>103</v>
      </c>
      <c r="AC154" t="n">
        <v>39</v>
      </c>
      <c r="AD154" t="n">
        <v>71</v>
      </c>
      <c r="AE154" t="n">
        <v>119</v>
      </c>
      <c r="AF154" t="n">
        <v>111</v>
      </c>
      <c r="AG154" t="n">
        <v>99</v>
      </c>
      <c r="AH154" t="n">
        <v>101</v>
      </c>
      <c r="AI154" t="n">
        <v>102</v>
      </c>
      <c r="AJ154">
        <f>INDEX($Q$51:$Q$178,AC154+1)</f>
        <v/>
      </c>
      <c r="AK154">
        <f>INDEX($R$51:$R$178,AD154+1)</f>
        <v/>
      </c>
      <c r="AL154">
        <f>INDEX($S$51:$S$178,AE154+1)</f>
        <v/>
      </c>
      <c r="AM154">
        <f>INDEX($T$51:$T$178,AF154+1)</f>
        <v/>
      </c>
      <c r="AN154">
        <f>INDEX($U$51:$U$178,AG154+1)</f>
        <v/>
      </c>
      <c r="AO154">
        <f>INDEX($V$51:$V$178,AH154+1)</f>
        <v/>
      </c>
      <c r="AP154">
        <f>INDEX($W$51:$W$178,AI154+1)</f>
        <v/>
      </c>
      <c r="AQ154">
        <f>IF(Q154&gt;=AJ154-0.01,1,0)</f>
        <v/>
      </c>
      <c r="AR154">
        <f>IF(R154&gt;=AK154-0.01,1,0)</f>
        <v/>
      </c>
      <c r="AS154">
        <f>IF(S154&gt;=AL154-0.01,1,0)</f>
        <v/>
      </c>
      <c r="AT154">
        <f>IF(T154&gt;=AM154-0.01,1,0)</f>
        <v/>
      </c>
      <c r="AU154">
        <f>IF(U154&gt;=AN154-0.01,1,0)</f>
        <v/>
      </c>
      <c r="AV154">
        <f>IF(V154&gt;=AO154-0.01,1,0)</f>
        <v/>
      </c>
      <c r="AW154">
        <f>IF(W154&gt;=AP154-0.01,1,0)</f>
        <v/>
      </c>
      <c r="AX154">
        <f>AQ154*AR154*AS154*AT154*AU154*AV154*AW154</f>
        <v/>
      </c>
      <c r="AY154">
        <f>Assumptions!$B$41</f>
        <v/>
      </c>
      <c r="AZ154">
        <f>Assumptions!$B$33</f>
        <v/>
      </c>
      <c r="BA154">
        <f>Assumptions!$B$32</f>
        <v/>
      </c>
      <c r="BB154">
        <f>Assumptions!$B$31</f>
        <v/>
      </c>
      <c r="BC154">
        <f>Assumptions!$B$30</f>
        <v/>
      </c>
      <c r="BD154">
        <f>Assumptions!$B$29</f>
        <v/>
      </c>
      <c r="BE154">
        <f>Assumptions!$B$28</f>
        <v/>
      </c>
      <c r="BF154">
        <f>P154*Assumptions!$B$141</f>
        <v/>
      </c>
      <c r="BG154">
        <f>P154*Assumptions!$B$128</f>
        <v/>
      </c>
      <c r="BH154">
        <f>P154*Assumptions!$B$129</f>
        <v/>
      </c>
      <c r="BI154">
        <f>P154*Assumptions!$B$14</f>
        <v/>
      </c>
      <c r="BJ154">
        <f>P154*Assumptions!$B$13</f>
        <v/>
      </c>
      <c r="BK154">
        <f>P154*Assumptions!$B$12</f>
        <v/>
      </c>
      <c r="BL154">
        <f>P154*Assumptions!$B$11</f>
        <v/>
      </c>
    </row>
    <row r="155">
      <c r="A155" t="inlineStr">
        <is>
          <t>700M</t>
        </is>
      </c>
      <c r="B155">
        <f>Assumptions!$B$58</f>
        <v/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>
        <f>(1-C155)*Assumptions!$B$41+(1-D155)*Assumptions!$B$33+(1-E155)*Assumptions!$B$32+(1-F155)*Assumptions!$B$31+(1-G155)*Assumptions!$B$30+(1-H155)*Assumptions!$B$29+(1-I155)*Assumptions!$B$28</f>
        <v/>
      </c>
      <c r="K155">
        <f>C155*Assumptions!$B$141+D155*Assumptions!$B$128+E155*Assumptions!$B$129+F155*Assumptions!$B$14+G155*Assumptions!$B$13+H155*Assumptions!$B$12+I155*Assumptions!$B$11+Assumptions!$B$133+Assumptions!$B$137+Assumptions!$B$9</f>
        <v/>
      </c>
      <c r="L155">
        <f>B155-J155</f>
        <v/>
      </c>
      <c r="M155">
        <f>IF(K155&gt;0,IF(L155/K155&gt;=Assumptions!$B$37,1,0),0)</f>
        <v/>
      </c>
      <c r="N155">
        <f>K155+M155*Assumptions!$B$153</f>
        <v/>
      </c>
      <c r="O155">
        <f>L155+M155*Assumptions!$B$153*Assumptions!$B$37</f>
        <v/>
      </c>
      <c r="P155">
        <f>IF(N155&gt;0,O155/N155,0)</f>
        <v/>
      </c>
      <c r="Q155">
        <f>IF(C155=1,P155*Assumptions!$B$141,Assumptions!$B$41)</f>
        <v/>
      </c>
      <c r="R155">
        <f>IF(D155=1,P155*Assumptions!$B$128,Assumptions!$B$33)</f>
        <v/>
      </c>
      <c r="S155">
        <f>IF(E155=1,P155*Assumptions!$B$129,Assumptions!$B$32)</f>
        <v/>
      </c>
      <c r="T155">
        <f>IF(F155=1,P155*Assumptions!$B$14,Assumptions!$B$31)</f>
        <v/>
      </c>
      <c r="U155">
        <f>IF(G155=1,P155*Assumptions!$B$13,Assumptions!$B$30)</f>
        <v/>
      </c>
      <c r="V155">
        <f>IF(H155=1,P155*Assumptions!$B$12,Assumptions!$B$29)</f>
        <v/>
      </c>
      <c r="W155">
        <f>IF(I155=1,P155*Assumptions!$B$11,Assumptions!$B$28)</f>
        <v/>
      </c>
      <c r="X155">
        <f>P155*(Assumptions!$B$133+Assumptions!$B$137)</f>
        <v/>
      </c>
      <c r="Y155">
        <f>P155*Assumptions!$B$9</f>
        <v/>
      </c>
      <c r="Z155">
        <f>IF(M155=1,(P155-Assumptions!$B$37)*Assumptions!$B$153,0)</f>
        <v/>
      </c>
      <c r="AA155">
        <f>Q155+R155+S155+T155+U155+V155+W155+X155+Y155+Z155</f>
        <v/>
      </c>
      <c r="AB155" t="n">
        <v>104</v>
      </c>
      <c r="AC155" t="n">
        <v>40</v>
      </c>
      <c r="AD155" t="n">
        <v>72</v>
      </c>
      <c r="AE155" t="n">
        <v>120</v>
      </c>
      <c r="AF155" t="n">
        <v>96</v>
      </c>
      <c r="AG155" t="n">
        <v>108</v>
      </c>
      <c r="AH155" t="n">
        <v>106</v>
      </c>
      <c r="AI155" t="n">
        <v>105</v>
      </c>
      <c r="AJ155">
        <f>INDEX($Q$51:$Q$178,AC155+1)</f>
        <v/>
      </c>
      <c r="AK155">
        <f>INDEX($R$51:$R$178,AD155+1)</f>
        <v/>
      </c>
      <c r="AL155">
        <f>INDEX($S$51:$S$178,AE155+1)</f>
        <v/>
      </c>
      <c r="AM155">
        <f>INDEX($T$51:$T$178,AF155+1)</f>
        <v/>
      </c>
      <c r="AN155">
        <f>INDEX($U$51:$U$178,AG155+1)</f>
        <v/>
      </c>
      <c r="AO155">
        <f>INDEX($V$51:$V$178,AH155+1)</f>
        <v/>
      </c>
      <c r="AP155">
        <f>INDEX($W$51:$W$178,AI155+1)</f>
        <v/>
      </c>
      <c r="AQ155">
        <f>IF(Q155&gt;=AJ155-0.01,1,0)</f>
        <v/>
      </c>
      <c r="AR155">
        <f>IF(R155&gt;=AK155-0.01,1,0)</f>
        <v/>
      </c>
      <c r="AS155">
        <f>IF(S155&gt;=AL155-0.01,1,0)</f>
        <v/>
      </c>
      <c r="AT155">
        <f>IF(T155&gt;=AM155-0.01,1,0)</f>
        <v/>
      </c>
      <c r="AU155">
        <f>IF(U155&gt;=AN155-0.01,1,0)</f>
        <v/>
      </c>
      <c r="AV155">
        <f>IF(V155&gt;=AO155-0.01,1,0)</f>
        <v/>
      </c>
      <c r="AW155">
        <f>IF(W155&gt;=AP155-0.01,1,0)</f>
        <v/>
      </c>
      <c r="AX155">
        <f>AQ155*AR155*AS155*AT155*AU155*AV155*AW155</f>
        <v/>
      </c>
      <c r="AY155">
        <f>Assumptions!$B$41</f>
        <v/>
      </c>
      <c r="AZ155">
        <f>Assumptions!$B$33</f>
        <v/>
      </c>
      <c r="BA155">
        <f>Assumptions!$B$32</f>
        <v/>
      </c>
      <c r="BB155">
        <f>Assumptions!$B$31</f>
        <v/>
      </c>
      <c r="BC155">
        <f>Assumptions!$B$30</f>
        <v/>
      </c>
      <c r="BD155">
        <f>Assumptions!$B$29</f>
        <v/>
      </c>
      <c r="BE155">
        <f>Assumptions!$B$28</f>
        <v/>
      </c>
      <c r="BF155">
        <f>P155*Assumptions!$B$141</f>
        <v/>
      </c>
      <c r="BG155">
        <f>P155*Assumptions!$B$128</f>
        <v/>
      </c>
      <c r="BH155">
        <f>P155*Assumptions!$B$129</f>
        <v/>
      </c>
      <c r="BI155">
        <f>P155*Assumptions!$B$14</f>
        <v/>
      </c>
      <c r="BJ155">
        <f>P155*Assumptions!$B$13</f>
        <v/>
      </c>
      <c r="BK155">
        <f>P155*Assumptions!$B$12</f>
        <v/>
      </c>
      <c r="BL155">
        <f>P155*Assumptions!$B$11</f>
        <v/>
      </c>
    </row>
    <row r="156">
      <c r="A156" t="inlineStr">
        <is>
          <t>700M</t>
        </is>
      </c>
      <c r="B156">
        <f>Assumptions!$B$58</f>
        <v/>
      </c>
      <c r="C156" t="n">
        <v>1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>
        <f>(1-C156)*Assumptions!$B$41+(1-D156)*Assumptions!$B$33+(1-E156)*Assumptions!$B$32+(1-F156)*Assumptions!$B$31+(1-G156)*Assumptions!$B$30+(1-H156)*Assumptions!$B$29+(1-I156)*Assumptions!$B$28</f>
        <v/>
      </c>
      <c r="K156">
        <f>C156*Assumptions!$B$141+D156*Assumptions!$B$128+E156*Assumptions!$B$129+F156*Assumptions!$B$14+G156*Assumptions!$B$13+H156*Assumptions!$B$12+I156*Assumptions!$B$11+Assumptions!$B$133+Assumptions!$B$137+Assumptions!$B$9</f>
        <v/>
      </c>
      <c r="L156">
        <f>B156-J156</f>
        <v/>
      </c>
      <c r="M156">
        <f>IF(K156&gt;0,IF(L156/K156&gt;=Assumptions!$B$37,1,0),0)</f>
        <v/>
      </c>
      <c r="N156">
        <f>K156+M156*Assumptions!$B$153</f>
        <v/>
      </c>
      <c r="O156">
        <f>L156+M156*Assumptions!$B$153*Assumptions!$B$37</f>
        <v/>
      </c>
      <c r="P156">
        <f>IF(N156&gt;0,O156/N156,0)</f>
        <v/>
      </c>
      <c r="Q156">
        <f>IF(C156=1,P156*Assumptions!$B$141,Assumptions!$B$41)</f>
        <v/>
      </c>
      <c r="R156">
        <f>IF(D156=1,P156*Assumptions!$B$128,Assumptions!$B$33)</f>
        <v/>
      </c>
      <c r="S156">
        <f>IF(E156=1,P156*Assumptions!$B$129,Assumptions!$B$32)</f>
        <v/>
      </c>
      <c r="T156">
        <f>IF(F156=1,P156*Assumptions!$B$14,Assumptions!$B$31)</f>
        <v/>
      </c>
      <c r="U156">
        <f>IF(G156=1,P156*Assumptions!$B$13,Assumptions!$B$30)</f>
        <v/>
      </c>
      <c r="V156">
        <f>IF(H156=1,P156*Assumptions!$B$12,Assumptions!$B$29)</f>
        <v/>
      </c>
      <c r="W156">
        <f>IF(I156=1,P156*Assumptions!$B$11,Assumptions!$B$28)</f>
        <v/>
      </c>
      <c r="X156">
        <f>P156*(Assumptions!$B$133+Assumptions!$B$137)</f>
        <v/>
      </c>
      <c r="Y156">
        <f>P156*Assumptions!$B$9</f>
        <v/>
      </c>
      <c r="Z156">
        <f>IF(M156=1,(P156-Assumptions!$B$37)*Assumptions!$B$153,0)</f>
        <v/>
      </c>
      <c r="AA156">
        <f>Q156+R156+S156+T156+U156+V156+W156+X156+Y156+Z156</f>
        <v/>
      </c>
      <c r="AB156" t="n">
        <v>105</v>
      </c>
      <c r="AC156" t="n">
        <v>41</v>
      </c>
      <c r="AD156" t="n">
        <v>73</v>
      </c>
      <c r="AE156" t="n">
        <v>121</v>
      </c>
      <c r="AF156" t="n">
        <v>97</v>
      </c>
      <c r="AG156" t="n">
        <v>109</v>
      </c>
      <c r="AH156" t="n">
        <v>107</v>
      </c>
      <c r="AI156" t="n">
        <v>104</v>
      </c>
      <c r="AJ156">
        <f>INDEX($Q$51:$Q$178,AC156+1)</f>
        <v/>
      </c>
      <c r="AK156">
        <f>INDEX($R$51:$R$178,AD156+1)</f>
        <v/>
      </c>
      <c r="AL156">
        <f>INDEX($S$51:$S$178,AE156+1)</f>
        <v/>
      </c>
      <c r="AM156">
        <f>INDEX($T$51:$T$178,AF156+1)</f>
        <v/>
      </c>
      <c r="AN156">
        <f>INDEX($U$51:$U$178,AG156+1)</f>
        <v/>
      </c>
      <c r="AO156">
        <f>INDEX($V$51:$V$178,AH156+1)</f>
        <v/>
      </c>
      <c r="AP156">
        <f>INDEX($W$51:$W$178,AI156+1)</f>
        <v/>
      </c>
      <c r="AQ156">
        <f>IF(Q156&gt;=AJ156-0.01,1,0)</f>
        <v/>
      </c>
      <c r="AR156">
        <f>IF(R156&gt;=AK156-0.01,1,0)</f>
        <v/>
      </c>
      <c r="AS156">
        <f>IF(S156&gt;=AL156-0.01,1,0)</f>
        <v/>
      </c>
      <c r="AT156">
        <f>IF(T156&gt;=AM156-0.01,1,0)</f>
        <v/>
      </c>
      <c r="AU156">
        <f>IF(U156&gt;=AN156-0.01,1,0)</f>
        <v/>
      </c>
      <c r="AV156">
        <f>IF(V156&gt;=AO156-0.01,1,0)</f>
        <v/>
      </c>
      <c r="AW156">
        <f>IF(W156&gt;=AP156-0.01,1,0)</f>
        <v/>
      </c>
      <c r="AX156">
        <f>AQ156*AR156*AS156*AT156*AU156*AV156*AW156</f>
        <v/>
      </c>
      <c r="AY156">
        <f>Assumptions!$B$41</f>
        <v/>
      </c>
      <c r="AZ156">
        <f>Assumptions!$B$33</f>
        <v/>
      </c>
      <c r="BA156">
        <f>Assumptions!$B$32</f>
        <v/>
      </c>
      <c r="BB156">
        <f>Assumptions!$B$31</f>
        <v/>
      </c>
      <c r="BC156">
        <f>Assumptions!$B$30</f>
        <v/>
      </c>
      <c r="BD156">
        <f>Assumptions!$B$29</f>
        <v/>
      </c>
      <c r="BE156">
        <f>Assumptions!$B$28</f>
        <v/>
      </c>
      <c r="BF156">
        <f>P156*Assumptions!$B$141</f>
        <v/>
      </c>
      <c r="BG156">
        <f>P156*Assumptions!$B$128</f>
        <v/>
      </c>
      <c r="BH156">
        <f>P156*Assumptions!$B$129</f>
        <v/>
      </c>
      <c r="BI156">
        <f>P156*Assumptions!$B$14</f>
        <v/>
      </c>
      <c r="BJ156">
        <f>P156*Assumptions!$B$13</f>
        <v/>
      </c>
      <c r="BK156">
        <f>P156*Assumptions!$B$12</f>
        <v/>
      </c>
      <c r="BL156">
        <f>P156*Assumptions!$B$11</f>
        <v/>
      </c>
    </row>
    <row r="157">
      <c r="A157" t="inlineStr">
        <is>
          <t>700M</t>
        </is>
      </c>
      <c r="B157">
        <f>Assumptions!$B$58</f>
        <v/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>
        <f>(1-C157)*Assumptions!$B$41+(1-D157)*Assumptions!$B$33+(1-E157)*Assumptions!$B$32+(1-F157)*Assumptions!$B$31+(1-G157)*Assumptions!$B$30+(1-H157)*Assumptions!$B$29+(1-I157)*Assumptions!$B$28</f>
        <v/>
      </c>
      <c r="K157">
        <f>C157*Assumptions!$B$141+D157*Assumptions!$B$128+E157*Assumptions!$B$129+F157*Assumptions!$B$14+G157*Assumptions!$B$13+H157*Assumptions!$B$12+I157*Assumptions!$B$11+Assumptions!$B$133+Assumptions!$B$137+Assumptions!$B$9</f>
        <v/>
      </c>
      <c r="L157">
        <f>B157-J157</f>
        <v/>
      </c>
      <c r="M157">
        <f>IF(K157&gt;0,IF(L157/K157&gt;=Assumptions!$B$37,1,0),0)</f>
        <v/>
      </c>
      <c r="N157">
        <f>K157+M157*Assumptions!$B$153</f>
        <v/>
      </c>
      <c r="O157">
        <f>L157+M157*Assumptions!$B$153*Assumptions!$B$37</f>
        <v/>
      </c>
      <c r="P157">
        <f>IF(N157&gt;0,O157/N157,0)</f>
        <v/>
      </c>
      <c r="Q157">
        <f>IF(C157=1,P157*Assumptions!$B$141,Assumptions!$B$41)</f>
        <v/>
      </c>
      <c r="R157">
        <f>IF(D157=1,P157*Assumptions!$B$128,Assumptions!$B$33)</f>
        <v/>
      </c>
      <c r="S157">
        <f>IF(E157=1,P157*Assumptions!$B$129,Assumptions!$B$32)</f>
        <v/>
      </c>
      <c r="T157">
        <f>IF(F157=1,P157*Assumptions!$B$14,Assumptions!$B$31)</f>
        <v/>
      </c>
      <c r="U157">
        <f>IF(G157=1,P157*Assumptions!$B$13,Assumptions!$B$30)</f>
        <v/>
      </c>
      <c r="V157">
        <f>IF(H157=1,P157*Assumptions!$B$12,Assumptions!$B$29)</f>
        <v/>
      </c>
      <c r="W157">
        <f>IF(I157=1,P157*Assumptions!$B$11,Assumptions!$B$28)</f>
        <v/>
      </c>
      <c r="X157">
        <f>P157*(Assumptions!$B$133+Assumptions!$B$137)</f>
        <v/>
      </c>
      <c r="Y157">
        <f>P157*Assumptions!$B$9</f>
        <v/>
      </c>
      <c r="Z157">
        <f>IF(M157=1,(P157-Assumptions!$B$37)*Assumptions!$B$153,0)</f>
        <v/>
      </c>
      <c r="AA157">
        <f>Q157+R157+S157+T157+U157+V157+W157+X157+Y157+Z157</f>
        <v/>
      </c>
      <c r="AB157" t="n">
        <v>106</v>
      </c>
      <c r="AC157" t="n">
        <v>42</v>
      </c>
      <c r="AD157" t="n">
        <v>74</v>
      </c>
      <c r="AE157" t="n">
        <v>122</v>
      </c>
      <c r="AF157" t="n">
        <v>98</v>
      </c>
      <c r="AG157" t="n">
        <v>110</v>
      </c>
      <c r="AH157" t="n">
        <v>104</v>
      </c>
      <c r="AI157" t="n">
        <v>107</v>
      </c>
      <c r="AJ157">
        <f>INDEX($Q$51:$Q$178,AC157+1)</f>
        <v/>
      </c>
      <c r="AK157">
        <f>INDEX($R$51:$R$178,AD157+1)</f>
        <v/>
      </c>
      <c r="AL157">
        <f>INDEX($S$51:$S$178,AE157+1)</f>
        <v/>
      </c>
      <c r="AM157">
        <f>INDEX($T$51:$T$178,AF157+1)</f>
        <v/>
      </c>
      <c r="AN157">
        <f>INDEX($U$51:$U$178,AG157+1)</f>
        <v/>
      </c>
      <c r="AO157">
        <f>INDEX($V$51:$V$178,AH157+1)</f>
        <v/>
      </c>
      <c r="AP157">
        <f>INDEX($W$51:$W$178,AI157+1)</f>
        <v/>
      </c>
      <c r="AQ157">
        <f>IF(Q157&gt;=AJ157-0.01,1,0)</f>
        <v/>
      </c>
      <c r="AR157">
        <f>IF(R157&gt;=AK157-0.01,1,0)</f>
        <v/>
      </c>
      <c r="AS157">
        <f>IF(S157&gt;=AL157-0.01,1,0)</f>
        <v/>
      </c>
      <c r="AT157">
        <f>IF(T157&gt;=AM157-0.01,1,0)</f>
        <v/>
      </c>
      <c r="AU157">
        <f>IF(U157&gt;=AN157-0.01,1,0)</f>
        <v/>
      </c>
      <c r="AV157">
        <f>IF(V157&gt;=AO157-0.01,1,0)</f>
        <v/>
      </c>
      <c r="AW157">
        <f>IF(W157&gt;=AP157-0.01,1,0)</f>
        <v/>
      </c>
      <c r="AX157">
        <f>AQ157*AR157*AS157*AT157*AU157*AV157*AW157</f>
        <v/>
      </c>
      <c r="AY157">
        <f>Assumptions!$B$41</f>
        <v/>
      </c>
      <c r="AZ157">
        <f>Assumptions!$B$33</f>
        <v/>
      </c>
      <c r="BA157">
        <f>Assumptions!$B$32</f>
        <v/>
      </c>
      <c r="BB157">
        <f>Assumptions!$B$31</f>
        <v/>
      </c>
      <c r="BC157">
        <f>Assumptions!$B$30</f>
        <v/>
      </c>
      <c r="BD157">
        <f>Assumptions!$B$29</f>
        <v/>
      </c>
      <c r="BE157">
        <f>Assumptions!$B$28</f>
        <v/>
      </c>
      <c r="BF157">
        <f>P157*Assumptions!$B$141</f>
        <v/>
      </c>
      <c r="BG157">
        <f>P157*Assumptions!$B$128</f>
        <v/>
      </c>
      <c r="BH157">
        <f>P157*Assumptions!$B$129</f>
        <v/>
      </c>
      <c r="BI157">
        <f>P157*Assumptions!$B$14</f>
        <v/>
      </c>
      <c r="BJ157">
        <f>P157*Assumptions!$B$13</f>
        <v/>
      </c>
      <c r="BK157">
        <f>P157*Assumptions!$B$12</f>
        <v/>
      </c>
      <c r="BL157">
        <f>P157*Assumptions!$B$11</f>
        <v/>
      </c>
    </row>
    <row r="158">
      <c r="A158" t="inlineStr">
        <is>
          <t>700M</t>
        </is>
      </c>
      <c r="B158">
        <f>Assumptions!$B$58</f>
        <v/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>
        <f>(1-C158)*Assumptions!$B$41+(1-D158)*Assumptions!$B$33+(1-E158)*Assumptions!$B$32+(1-F158)*Assumptions!$B$31+(1-G158)*Assumptions!$B$30+(1-H158)*Assumptions!$B$29+(1-I158)*Assumptions!$B$28</f>
        <v/>
      </c>
      <c r="K158">
        <f>C158*Assumptions!$B$141+D158*Assumptions!$B$128+E158*Assumptions!$B$129+F158*Assumptions!$B$14+G158*Assumptions!$B$13+H158*Assumptions!$B$12+I158*Assumptions!$B$11+Assumptions!$B$133+Assumptions!$B$137+Assumptions!$B$9</f>
        <v/>
      </c>
      <c r="L158">
        <f>B158-J158</f>
        <v/>
      </c>
      <c r="M158">
        <f>IF(K158&gt;0,IF(L158/K158&gt;=Assumptions!$B$37,1,0),0)</f>
        <v/>
      </c>
      <c r="N158">
        <f>K158+M158*Assumptions!$B$153</f>
        <v/>
      </c>
      <c r="O158">
        <f>L158+M158*Assumptions!$B$153*Assumptions!$B$37</f>
        <v/>
      </c>
      <c r="P158">
        <f>IF(N158&gt;0,O158/N158,0)</f>
        <v/>
      </c>
      <c r="Q158">
        <f>IF(C158=1,P158*Assumptions!$B$141,Assumptions!$B$41)</f>
        <v/>
      </c>
      <c r="R158">
        <f>IF(D158=1,P158*Assumptions!$B$128,Assumptions!$B$33)</f>
        <v/>
      </c>
      <c r="S158">
        <f>IF(E158=1,P158*Assumptions!$B$129,Assumptions!$B$32)</f>
        <v/>
      </c>
      <c r="T158">
        <f>IF(F158=1,P158*Assumptions!$B$14,Assumptions!$B$31)</f>
        <v/>
      </c>
      <c r="U158">
        <f>IF(G158=1,P158*Assumptions!$B$13,Assumptions!$B$30)</f>
        <v/>
      </c>
      <c r="V158">
        <f>IF(H158=1,P158*Assumptions!$B$12,Assumptions!$B$29)</f>
        <v/>
      </c>
      <c r="W158">
        <f>IF(I158=1,P158*Assumptions!$B$11,Assumptions!$B$28)</f>
        <v/>
      </c>
      <c r="X158">
        <f>P158*(Assumptions!$B$133+Assumptions!$B$137)</f>
        <v/>
      </c>
      <c r="Y158">
        <f>P158*Assumptions!$B$9</f>
        <v/>
      </c>
      <c r="Z158">
        <f>IF(M158=1,(P158-Assumptions!$B$37)*Assumptions!$B$153,0)</f>
        <v/>
      </c>
      <c r="AA158">
        <f>Q158+R158+S158+T158+U158+V158+W158+X158+Y158+Z158</f>
        <v/>
      </c>
      <c r="AB158" t="n">
        <v>107</v>
      </c>
      <c r="AC158" t="n">
        <v>43</v>
      </c>
      <c r="AD158" t="n">
        <v>75</v>
      </c>
      <c r="AE158" t="n">
        <v>123</v>
      </c>
      <c r="AF158" t="n">
        <v>99</v>
      </c>
      <c r="AG158" t="n">
        <v>111</v>
      </c>
      <c r="AH158" t="n">
        <v>105</v>
      </c>
      <c r="AI158" t="n">
        <v>106</v>
      </c>
      <c r="AJ158">
        <f>INDEX($Q$51:$Q$178,AC158+1)</f>
        <v/>
      </c>
      <c r="AK158">
        <f>INDEX($R$51:$R$178,AD158+1)</f>
        <v/>
      </c>
      <c r="AL158">
        <f>INDEX($S$51:$S$178,AE158+1)</f>
        <v/>
      </c>
      <c r="AM158">
        <f>INDEX($T$51:$T$178,AF158+1)</f>
        <v/>
      </c>
      <c r="AN158">
        <f>INDEX($U$51:$U$178,AG158+1)</f>
        <v/>
      </c>
      <c r="AO158">
        <f>INDEX($V$51:$V$178,AH158+1)</f>
        <v/>
      </c>
      <c r="AP158">
        <f>INDEX($W$51:$W$178,AI158+1)</f>
        <v/>
      </c>
      <c r="AQ158">
        <f>IF(Q158&gt;=AJ158-0.01,1,0)</f>
        <v/>
      </c>
      <c r="AR158">
        <f>IF(R158&gt;=AK158-0.01,1,0)</f>
        <v/>
      </c>
      <c r="AS158">
        <f>IF(S158&gt;=AL158-0.01,1,0)</f>
        <v/>
      </c>
      <c r="AT158">
        <f>IF(T158&gt;=AM158-0.01,1,0)</f>
        <v/>
      </c>
      <c r="AU158">
        <f>IF(U158&gt;=AN158-0.01,1,0)</f>
        <v/>
      </c>
      <c r="AV158">
        <f>IF(V158&gt;=AO158-0.01,1,0)</f>
        <v/>
      </c>
      <c r="AW158">
        <f>IF(W158&gt;=AP158-0.01,1,0)</f>
        <v/>
      </c>
      <c r="AX158">
        <f>AQ158*AR158*AS158*AT158*AU158*AV158*AW158</f>
        <v/>
      </c>
      <c r="AY158">
        <f>Assumptions!$B$41</f>
        <v/>
      </c>
      <c r="AZ158">
        <f>Assumptions!$B$33</f>
        <v/>
      </c>
      <c r="BA158">
        <f>Assumptions!$B$32</f>
        <v/>
      </c>
      <c r="BB158">
        <f>Assumptions!$B$31</f>
        <v/>
      </c>
      <c r="BC158">
        <f>Assumptions!$B$30</f>
        <v/>
      </c>
      <c r="BD158">
        <f>Assumptions!$B$29</f>
        <v/>
      </c>
      <c r="BE158">
        <f>Assumptions!$B$28</f>
        <v/>
      </c>
      <c r="BF158">
        <f>P158*Assumptions!$B$141</f>
        <v/>
      </c>
      <c r="BG158">
        <f>P158*Assumptions!$B$128</f>
        <v/>
      </c>
      <c r="BH158">
        <f>P158*Assumptions!$B$129</f>
        <v/>
      </c>
      <c r="BI158">
        <f>P158*Assumptions!$B$14</f>
        <v/>
      </c>
      <c r="BJ158">
        <f>P158*Assumptions!$B$13</f>
        <v/>
      </c>
      <c r="BK158">
        <f>P158*Assumptions!$B$12</f>
        <v/>
      </c>
      <c r="BL158">
        <f>P158*Assumptions!$B$11</f>
        <v/>
      </c>
    </row>
    <row r="159">
      <c r="A159" t="inlineStr">
        <is>
          <t>700M</t>
        </is>
      </c>
      <c r="B159">
        <f>Assumptions!$B$58</f>
        <v/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>
        <f>(1-C159)*Assumptions!$B$41+(1-D159)*Assumptions!$B$33+(1-E159)*Assumptions!$B$32+(1-F159)*Assumptions!$B$31+(1-G159)*Assumptions!$B$30+(1-H159)*Assumptions!$B$29+(1-I159)*Assumptions!$B$28</f>
        <v/>
      </c>
      <c r="K159">
        <f>C159*Assumptions!$B$141+D159*Assumptions!$B$128+E159*Assumptions!$B$129+F159*Assumptions!$B$14+G159*Assumptions!$B$13+H159*Assumptions!$B$12+I159*Assumptions!$B$11+Assumptions!$B$133+Assumptions!$B$137+Assumptions!$B$9</f>
        <v/>
      </c>
      <c r="L159">
        <f>B159-J159</f>
        <v/>
      </c>
      <c r="M159">
        <f>IF(K159&gt;0,IF(L159/K159&gt;=Assumptions!$B$37,1,0),0)</f>
        <v/>
      </c>
      <c r="N159">
        <f>K159+M159*Assumptions!$B$153</f>
        <v/>
      </c>
      <c r="O159">
        <f>L159+M159*Assumptions!$B$153*Assumptions!$B$37</f>
        <v/>
      </c>
      <c r="P159">
        <f>IF(N159&gt;0,O159/N159,0)</f>
        <v/>
      </c>
      <c r="Q159">
        <f>IF(C159=1,P159*Assumptions!$B$141,Assumptions!$B$41)</f>
        <v/>
      </c>
      <c r="R159">
        <f>IF(D159=1,P159*Assumptions!$B$128,Assumptions!$B$33)</f>
        <v/>
      </c>
      <c r="S159">
        <f>IF(E159=1,P159*Assumptions!$B$129,Assumptions!$B$32)</f>
        <v/>
      </c>
      <c r="T159">
        <f>IF(F159=1,P159*Assumptions!$B$14,Assumptions!$B$31)</f>
        <v/>
      </c>
      <c r="U159">
        <f>IF(G159=1,P159*Assumptions!$B$13,Assumptions!$B$30)</f>
        <v/>
      </c>
      <c r="V159">
        <f>IF(H159=1,P159*Assumptions!$B$12,Assumptions!$B$29)</f>
        <v/>
      </c>
      <c r="W159">
        <f>IF(I159=1,P159*Assumptions!$B$11,Assumptions!$B$28)</f>
        <v/>
      </c>
      <c r="X159">
        <f>P159*(Assumptions!$B$133+Assumptions!$B$137)</f>
        <v/>
      </c>
      <c r="Y159">
        <f>P159*Assumptions!$B$9</f>
        <v/>
      </c>
      <c r="Z159">
        <f>IF(M159=1,(P159-Assumptions!$B$37)*Assumptions!$B$153,0)</f>
        <v/>
      </c>
      <c r="AA159">
        <f>Q159+R159+S159+T159+U159+V159+W159+X159+Y159+Z159</f>
        <v/>
      </c>
      <c r="AB159" t="n">
        <v>108</v>
      </c>
      <c r="AC159" t="n">
        <v>44</v>
      </c>
      <c r="AD159" t="n">
        <v>76</v>
      </c>
      <c r="AE159" t="n">
        <v>124</v>
      </c>
      <c r="AF159" t="n">
        <v>100</v>
      </c>
      <c r="AG159" t="n">
        <v>104</v>
      </c>
      <c r="AH159" t="n">
        <v>110</v>
      </c>
      <c r="AI159" t="n">
        <v>109</v>
      </c>
      <c r="AJ159">
        <f>INDEX($Q$51:$Q$178,AC159+1)</f>
        <v/>
      </c>
      <c r="AK159">
        <f>INDEX($R$51:$R$178,AD159+1)</f>
        <v/>
      </c>
      <c r="AL159">
        <f>INDEX($S$51:$S$178,AE159+1)</f>
        <v/>
      </c>
      <c r="AM159">
        <f>INDEX($T$51:$T$178,AF159+1)</f>
        <v/>
      </c>
      <c r="AN159">
        <f>INDEX($U$51:$U$178,AG159+1)</f>
        <v/>
      </c>
      <c r="AO159">
        <f>INDEX($V$51:$V$178,AH159+1)</f>
        <v/>
      </c>
      <c r="AP159">
        <f>INDEX($W$51:$W$178,AI159+1)</f>
        <v/>
      </c>
      <c r="AQ159">
        <f>IF(Q159&gt;=AJ159-0.01,1,0)</f>
        <v/>
      </c>
      <c r="AR159">
        <f>IF(R159&gt;=AK159-0.01,1,0)</f>
        <v/>
      </c>
      <c r="AS159">
        <f>IF(S159&gt;=AL159-0.01,1,0)</f>
        <v/>
      </c>
      <c r="AT159">
        <f>IF(T159&gt;=AM159-0.01,1,0)</f>
        <v/>
      </c>
      <c r="AU159">
        <f>IF(U159&gt;=AN159-0.01,1,0)</f>
        <v/>
      </c>
      <c r="AV159">
        <f>IF(V159&gt;=AO159-0.01,1,0)</f>
        <v/>
      </c>
      <c r="AW159">
        <f>IF(W159&gt;=AP159-0.01,1,0)</f>
        <v/>
      </c>
      <c r="AX159">
        <f>AQ159*AR159*AS159*AT159*AU159*AV159*AW159</f>
        <v/>
      </c>
      <c r="AY159">
        <f>Assumptions!$B$41</f>
        <v/>
      </c>
      <c r="AZ159">
        <f>Assumptions!$B$33</f>
        <v/>
      </c>
      <c r="BA159">
        <f>Assumptions!$B$32</f>
        <v/>
      </c>
      <c r="BB159">
        <f>Assumptions!$B$31</f>
        <v/>
      </c>
      <c r="BC159">
        <f>Assumptions!$B$30</f>
        <v/>
      </c>
      <c r="BD159">
        <f>Assumptions!$B$29</f>
        <v/>
      </c>
      <c r="BE159">
        <f>Assumptions!$B$28</f>
        <v/>
      </c>
      <c r="BF159">
        <f>P159*Assumptions!$B$141</f>
        <v/>
      </c>
      <c r="BG159">
        <f>P159*Assumptions!$B$128</f>
        <v/>
      </c>
      <c r="BH159">
        <f>P159*Assumptions!$B$129</f>
        <v/>
      </c>
      <c r="BI159">
        <f>P159*Assumptions!$B$14</f>
        <v/>
      </c>
      <c r="BJ159">
        <f>P159*Assumptions!$B$13</f>
        <v/>
      </c>
      <c r="BK159">
        <f>P159*Assumptions!$B$12</f>
        <v/>
      </c>
      <c r="BL159">
        <f>P159*Assumptions!$B$11</f>
        <v/>
      </c>
    </row>
    <row r="160">
      <c r="A160" t="inlineStr">
        <is>
          <t>700M</t>
        </is>
      </c>
      <c r="B160">
        <f>Assumptions!$B$58</f>
        <v/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>
        <f>(1-C160)*Assumptions!$B$41+(1-D160)*Assumptions!$B$33+(1-E160)*Assumptions!$B$32+(1-F160)*Assumptions!$B$31+(1-G160)*Assumptions!$B$30+(1-H160)*Assumptions!$B$29+(1-I160)*Assumptions!$B$28</f>
        <v/>
      </c>
      <c r="K160">
        <f>C160*Assumptions!$B$141+D160*Assumptions!$B$128+E160*Assumptions!$B$129+F160*Assumptions!$B$14+G160*Assumptions!$B$13+H160*Assumptions!$B$12+I160*Assumptions!$B$11+Assumptions!$B$133+Assumptions!$B$137+Assumptions!$B$9</f>
        <v/>
      </c>
      <c r="L160">
        <f>B160-J160</f>
        <v/>
      </c>
      <c r="M160">
        <f>IF(K160&gt;0,IF(L160/K160&gt;=Assumptions!$B$37,1,0),0)</f>
        <v/>
      </c>
      <c r="N160">
        <f>K160+M160*Assumptions!$B$153</f>
        <v/>
      </c>
      <c r="O160">
        <f>L160+M160*Assumptions!$B$153*Assumptions!$B$37</f>
        <v/>
      </c>
      <c r="P160">
        <f>IF(N160&gt;0,O160/N160,0)</f>
        <v/>
      </c>
      <c r="Q160">
        <f>IF(C160=1,P160*Assumptions!$B$141,Assumptions!$B$41)</f>
        <v/>
      </c>
      <c r="R160">
        <f>IF(D160=1,P160*Assumptions!$B$128,Assumptions!$B$33)</f>
        <v/>
      </c>
      <c r="S160">
        <f>IF(E160=1,P160*Assumptions!$B$129,Assumptions!$B$32)</f>
        <v/>
      </c>
      <c r="T160">
        <f>IF(F160=1,P160*Assumptions!$B$14,Assumptions!$B$31)</f>
        <v/>
      </c>
      <c r="U160">
        <f>IF(G160=1,P160*Assumptions!$B$13,Assumptions!$B$30)</f>
        <v/>
      </c>
      <c r="V160">
        <f>IF(H160=1,P160*Assumptions!$B$12,Assumptions!$B$29)</f>
        <v/>
      </c>
      <c r="W160">
        <f>IF(I160=1,P160*Assumptions!$B$11,Assumptions!$B$28)</f>
        <v/>
      </c>
      <c r="X160">
        <f>P160*(Assumptions!$B$133+Assumptions!$B$137)</f>
        <v/>
      </c>
      <c r="Y160">
        <f>P160*Assumptions!$B$9</f>
        <v/>
      </c>
      <c r="Z160">
        <f>IF(M160=1,(P160-Assumptions!$B$37)*Assumptions!$B$153,0)</f>
        <v/>
      </c>
      <c r="AA160">
        <f>Q160+R160+S160+T160+U160+V160+W160+X160+Y160+Z160</f>
        <v/>
      </c>
      <c r="AB160" t="n">
        <v>109</v>
      </c>
      <c r="AC160" t="n">
        <v>45</v>
      </c>
      <c r="AD160" t="n">
        <v>77</v>
      </c>
      <c r="AE160" t="n">
        <v>125</v>
      </c>
      <c r="AF160" t="n">
        <v>101</v>
      </c>
      <c r="AG160" t="n">
        <v>105</v>
      </c>
      <c r="AH160" t="n">
        <v>111</v>
      </c>
      <c r="AI160" t="n">
        <v>108</v>
      </c>
      <c r="AJ160">
        <f>INDEX($Q$51:$Q$178,AC160+1)</f>
        <v/>
      </c>
      <c r="AK160">
        <f>INDEX($R$51:$R$178,AD160+1)</f>
        <v/>
      </c>
      <c r="AL160">
        <f>INDEX($S$51:$S$178,AE160+1)</f>
        <v/>
      </c>
      <c r="AM160">
        <f>INDEX($T$51:$T$178,AF160+1)</f>
        <v/>
      </c>
      <c r="AN160">
        <f>INDEX($U$51:$U$178,AG160+1)</f>
        <v/>
      </c>
      <c r="AO160">
        <f>INDEX($V$51:$V$178,AH160+1)</f>
        <v/>
      </c>
      <c r="AP160">
        <f>INDEX($W$51:$W$178,AI160+1)</f>
        <v/>
      </c>
      <c r="AQ160">
        <f>IF(Q160&gt;=AJ160-0.01,1,0)</f>
        <v/>
      </c>
      <c r="AR160">
        <f>IF(R160&gt;=AK160-0.01,1,0)</f>
        <v/>
      </c>
      <c r="AS160">
        <f>IF(S160&gt;=AL160-0.01,1,0)</f>
        <v/>
      </c>
      <c r="AT160">
        <f>IF(T160&gt;=AM160-0.01,1,0)</f>
        <v/>
      </c>
      <c r="AU160">
        <f>IF(U160&gt;=AN160-0.01,1,0)</f>
        <v/>
      </c>
      <c r="AV160">
        <f>IF(V160&gt;=AO160-0.01,1,0)</f>
        <v/>
      </c>
      <c r="AW160">
        <f>IF(W160&gt;=AP160-0.01,1,0)</f>
        <v/>
      </c>
      <c r="AX160">
        <f>AQ160*AR160*AS160*AT160*AU160*AV160*AW160</f>
        <v/>
      </c>
      <c r="AY160">
        <f>Assumptions!$B$41</f>
        <v/>
      </c>
      <c r="AZ160">
        <f>Assumptions!$B$33</f>
        <v/>
      </c>
      <c r="BA160">
        <f>Assumptions!$B$32</f>
        <v/>
      </c>
      <c r="BB160">
        <f>Assumptions!$B$31</f>
        <v/>
      </c>
      <c r="BC160">
        <f>Assumptions!$B$30</f>
        <v/>
      </c>
      <c r="BD160">
        <f>Assumptions!$B$29</f>
        <v/>
      </c>
      <c r="BE160">
        <f>Assumptions!$B$28</f>
        <v/>
      </c>
      <c r="BF160">
        <f>P160*Assumptions!$B$141</f>
        <v/>
      </c>
      <c r="BG160">
        <f>P160*Assumptions!$B$128</f>
        <v/>
      </c>
      <c r="BH160">
        <f>P160*Assumptions!$B$129</f>
        <v/>
      </c>
      <c r="BI160">
        <f>P160*Assumptions!$B$14</f>
        <v/>
      </c>
      <c r="BJ160">
        <f>P160*Assumptions!$B$13</f>
        <v/>
      </c>
      <c r="BK160">
        <f>P160*Assumptions!$B$12</f>
        <v/>
      </c>
      <c r="BL160">
        <f>P160*Assumptions!$B$11</f>
        <v/>
      </c>
    </row>
    <row r="161">
      <c r="A161" t="inlineStr">
        <is>
          <t>700M</t>
        </is>
      </c>
      <c r="B161">
        <f>Assumptions!$B$58</f>
        <v/>
      </c>
      <c r="C161" t="n">
        <v>1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0</v>
      </c>
      <c r="J161">
        <f>(1-C161)*Assumptions!$B$41+(1-D161)*Assumptions!$B$33+(1-E161)*Assumptions!$B$32+(1-F161)*Assumptions!$B$31+(1-G161)*Assumptions!$B$30+(1-H161)*Assumptions!$B$29+(1-I161)*Assumptions!$B$28</f>
        <v/>
      </c>
      <c r="K161">
        <f>C161*Assumptions!$B$141+D161*Assumptions!$B$128+E161*Assumptions!$B$129+F161*Assumptions!$B$14+G161*Assumptions!$B$13+H161*Assumptions!$B$12+I161*Assumptions!$B$11+Assumptions!$B$133+Assumptions!$B$137+Assumptions!$B$9</f>
        <v/>
      </c>
      <c r="L161">
        <f>B161-J161</f>
        <v/>
      </c>
      <c r="M161">
        <f>IF(K161&gt;0,IF(L161/K161&gt;=Assumptions!$B$37,1,0),0)</f>
        <v/>
      </c>
      <c r="N161">
        <f>K161+M161*Assumptions!$B$153</f>
        <v/>
      </c>
      <c r="O161">
        <f>L161+M161*Assumptions!$B$153*Assumptions!$B$37</f>
        <v/>
      </c>
      <c r="P161">
        <f>IF(N161&gt;0,O161/N161,0)</f>
        <v/>
      </c>
      <c r="Q161">
        <f>IF(C161=1,P161*Assumptions!$B$141,Assumptions!$B$41)</f>
        <v/>
      </c>
      <c r="R161">
        <f>IF(D161=1,P161*Assumptions!$B$128,Assumptions!$B$33)</f>
        <v/>
      </c>
      <c r="S161">
        <f>IF(E161=1,P161*Assumptions!$B$129,Assumptions!$B$32)</f>
        <v/>
      </c>
      <c r="T161">
        <f>IF(F161=1,P161*Assumptions!$B$14,Assumptions!$B$31)</f>
        <v/>
      </c>
      <c r="U161">
        <f>IF(G161=1,P161*Assumptions!$B$13,Assumptions!$B$30)</f>
        <v/>
      </c>
      <c r="V161">
        <f>IF(H161=1,P161*Assumptions!$B$12,Assumptions!$B$29)</f>
        <v/>
      </c>
      <c r="W161">
        <f>IF(I161=1,P161*Assumptions!$B$11,Assumptions!$B$28)</f>
        <v/>
      </c>
      <c r="X161">
        <f>P161*(Assumptions!$B$133+Assumptions!$B$137)</f>
        <v/>
      </c>
      <c r="Y161">
        <f>P161*Assumptions!$B$9</f>
        <v/>
      </c>
      <c r="Z161">
        <f>IF(M161=1,(P161-Assumptions!$B$37)*Assumptions!$B$153,0)</f>
        <v/>
      </c>
      <c r="AA161">
        <f>Q161+R161+S161+T161+U161+V161+W161+X161+Y161+Z161</f>
        <v/>
      </c>
      <c r="AB161" t="n">
        <v>110</v>
      </c>
      <c r="AC161" t="n">
        <v>46</v>
      </c>
      <c r="AD161" t="n">
        <v>78</v>
      </c>
      <c r="AE161" t="n">
        <v>126</v>
      </c>
      <c r="AF161" t="n">
        <v>102</v>
      </c>
      <c r="AG161" t="n">
        <v>106</v>
      </c>
      <c r="AH161" t="n">
        <v>108</v>
      </c>
      <c r="AI161" t="n">
        <v>111</v>
      </c>
      <c r="AJ161">
        <f>INDEX($Q$51:$Q$178,AC161+1)</f>
        <v/>
      </c>
      <c r="AK161">
        <f>INDEX($R$51:$R$178,AD161+1)</f>
        <v/>
      </c>
      <c r="AL161">
        <f>INDEX($S$51:$S$178,AE161+1)</f>
        <v/>
      </c>
      <c r="AM161">
        <f>INDEX($T$51:$T$178,AF161+1)</f>
        <v/>
      </c>
      <c r="AN161">
        <f>INDEX($U$51:$U$178,AG161+1)</f>
        <v/>
      </c>
      <c r="AO161">
        <f>INDEX($V$51:$V$178,AH161+1)</f>
        <v/>
      </c>
      <c r="AP161">
        <f>INDEX($W$51:$W$178,AI161+1)</f>
        <v/>
      </c>
      <c r="AQ161">
        <f>IF(Q161&gt;=AJ161-0.01,1,0)</f>
        <v/>
      </c>
      <c r="AR161">
        <f>IF(R161&gt;=AK161-0.01,1,0)</f>
        <v/>
      </c>
      <c r="AS161">
        <f>IF(S161&gt;=AL161-0.01,1,0)</f>
        <v/>
      </c>
      <c r="AT161">
        <f>IF(T161&gt;=AM161-0.01,1,0)</f>
        <v/>
      </c>
      <c r="AU161">
        <f>IF(U161&gt;=AN161-0.01,1,0)</f>
        <v/>
      </c>
      <c r="AV161">
        <f>IF(V161&gt;=AO161-0.01,1,0)</f>
        <v/>
      </c>
      <c r="AW161">
        <f>IF(W161&gt;=AP161-0.01,1,0)</f>
        <v/>
      </c>
      <c r="AX161">
        <f>AQ161*AR161*AS161*AT161*AU161*AV161*AW161</f>
        <v/>
      </c>
      <c r="AY161">
        <f>Assumptions!$B$41</f>
        <v/>
      </c>
      <c r="AZ161">
        <f>Assumptions!$B$33</f>
        <v/>
      </c>
      <c r="BA161">
        <f>Assumptions!$B$32</f>
        <v/>
      </c>
      <c r="BB161">
        <f>Assumptions!$B$31</f>
        <v/>
      </c>
      <c r="BC161">
        <f>Assumptions!$B$30</f>
        <v/>
      </c>
      <c r="BD161">
        <f>Assumptions!$B$29</f>
        <v/>
      </c>
      <c r="BE161">
        <f>Assumptions!$B$28</f>
        <v/>
      </c>
      <c r="BF161">
        <f>P161*Assumptions!$B$141</f>
        <v/>
      </c>
      <c r="BG161">
        <f>P161*Assumptions!$B$128</f>
        <v/>
      </c>
      <c r="BH161">
        <f>P161*Assumptions!$B$129</f>
        <v/>
      </c>
      <c r="BI161">
        <f>P161*Assumptions!$B$14</f>
        <v/>
      </c>
      <c r="BJ161">
        <f>P161*Assumptions!$B$13</f>
        <v/>
      </c>
      <c r="BK161">
        <f>P161*Assumptions!$B$12</f>
        <v/>
      </c>
      <c r="BL161">
        <f>P161*Assumptions!$B$11</f>
        <v/>
      </c>
    </row>
    <row r="162">
      <c r="A162" t="inlineStr">
        <is>
          <t>700M</t>
        </is>
      </c>
      <c r="B162">
        <f>Assumptions!$B$58</f>
        <v/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>
        <f>(1-C162)*Assumptions!$B$41+(1-D162)*Assumptions!$B$33+(1-E162)*Assumptions!$B$32+(1-F162)*Assumptions!$B$31+(1-G162)*Assumptions!$B$30+(1-H162)*Assumptions!$B$29+(1-I162)*Assumptions!$B$28</f>
        <v/>
      </c>
      <c r="K162">
        <f>C162*Assumptions!$B$141+D162*Assumptions!$B$128+E162*Assumptions!$B$129+F162*Assumptions!$B$14+G162*Assumptions!$B$13+H162*Assumptions!$B$12+I162*Assumptions!$B$11+Assumptions!$B$133+Assumptions!$B$137+Assumptions!$B$9</f>
        <v/>
      </c>
      <c r="L162">
        <f>B162-J162</f>
        <v/>
      </c>
      <c r="M162">
        <f>IF(K162&gt;0,IF(L162/K162&gt;=Assumptions!$B$37,1,0),0)</f>
        <v/>
      </c>
      <c r="N162">
        <f>K162+M162*Assumptions!$B$153</f>
        <v/>
      </c>
      <c r="O162">
        <f>L162+M162*Assumptions!$B$153*Assumptions!$B$37</f>
        <v/>
      </c>
      <c r="P162">
        <f>IF(N162&gt;0,O162/N162,0)</f>
        <v/>
      </c>
      <c r="Q162">
        <f>IF(C162=1,P162*Assumptions!$B$141,Assumptions!$B$41)</f>
        <v/>
      </c>
      <c r="R162">
        <f>IF(D162=1,P162*Assumptions!$B$128,Assumptions!$B$33)</f>
        <v/>
      </c>
      <c r="S162">
        <f>IF(E162=1,P162*Assumptions!$B$129,Assumptions!$B$32)</f>
        <v/>
      </c>
      <c r="T162">
        <f>IF(F162=1,P162*Assumptions!$B$14,Assumptions!$B$31)</f>
        <v/>
      </c>
      <c r="U162">
        <f>IF(G162=1,P162*Assumptions!$B$13,Assumptions!$B$30)</f>
        <v/>
      </c>
      <c r="V162">
        <f>IF(H162=1,P162*Assumptions!$B$12,Assumptions!$B$29)</f>
        <v/>
      </c>
      <c r="W162">
        <f>IF(I162=1,P162*Assumptions!$B$11,Assumptions!$B$28)</f>
        <v/>
      </c>
      <c r="X162">
        <f>P162*(Assumptions!$B$133+Assumptions!$B$137)</f>
        <v/>
      </c>
      <c r="Y162">
        <f>P162*Assumptions!$B$9</f>
        <v/>
      </c>
      <c r="Z162">
        <f>IF(M162=1,(P162-Assumptions!$B$37)*Assumptions!$B$153,0)</f>
        <v/>
      </c>
      <c r="AA162">
        <f>Q162+R162+S162+T162+U162+V162+W162+X162+Y162+Z162</f>
        <v/>
      </c>
      <c r="AB162" t="n">
        <v>111</v>
      </c>
      <c r="AC162" t="n">
        <v>47</v>
      </c>
      <c r="AD162" t="n">
        <v>79</v>
      </c>
      <c r="AE162" t="n">
        <v>127</v>
      </c>
      <c r="AF162" t="n">
        <v>103</v>
      </c>
      <c r="AG162" t="n">
        <v>107</v>
      </c>
      <c r="AH162" t="n">
        <v>109</v>
      </c>
      <c r="AI162" t="n">
        <v>110</v>
      </c>
      <c r="AJ162">
        <f>INDEX($Q$51:$Q$178,AC162+1)</f>
        <v/>
      </c>
      <c r="AK162">
        <f>INDEX($R$51:$R$178,AD162+1)</f>
        <v/>
      </c>
      <c r="AL162">
        <f>INDEX($S$51:$S$178,AE162+1)</f>
        <v/>
      </c>
      <c r="AM162">
        <f>INDEX($T$51:$T$178,AF162+1)</f>
        <v/>
      </c>
      <c r="AN162">
        <f>INDEX($U$51:$U$178,AG162+1)</f>
        <v/>
      </c>
      <c r="AO162">
        <f>INDEX($V$51:$V$178,AH162+1)</f>
        <v/>
      </c>
      <c r="AP162">
        <f>INDEX($W$51:$W$178,AI162+1)</f>
        <v/>
      </c>
      <c r="AQ162">
        <f>IF(Q162&gt;=AJ162-0.01,1,0)</f>
        <v/>
      </c>
      <c r="AR162">
        <f>IF(R162&gt;=AK162-0.01,1,0)</f>
        <v/>
      </c>
      <c r="AS162">
        <f>IF(S162&gt;=AL162-0.01,1,0)</f>
        <v/>
      </c>
      <c r="AT162">
        <f>IF(T162&gt;=AM162-0.01,1,0)</f>
        <v/>
      </c>
      <c r="AU162">
        <f>IF(U162&gt;=AN162-0.01,1,0)</f>
        <v/>
      </c>
      <c r="AV162">
        <f>IF(V162&gt;=AO162-0.01,1,0)</f>
        <v/>
      </c>
      <c r="AW162">
        <f>IF(W162&gt;=AP162-0.01,1,0)</f>
        <v/>
      </c>
      <c r="AX162">
        <f>AQ162*AR162*AS162*AT162*AU162*AV162*AW162</f>
        <v/>
      </c>
      <c r="AY162">
        <f>Assumptions!$B$41</f>
        <v/>
      </c>
      <c r="AZ162">
        <f>Assumptions!$B$33</f>
        <v/>
      </c>
      <c r="BA162">
        <f>Assumptions!$B$32</f>
        <v/>
      </c>
      <c r="BB162">
        <f>Assumptions!$B$31</f>
        <v/>
      </c>
      <c r="BC162">
        <f>Assumptions!$B$30</f>
        <v/>
      </c>
      <c r="BD162">
        <f>Assumptions!$B$29</f>
        <v/>
      </c>
      <c r="BE162">
        <f>Assumptions!$B$28</f>
        <v/>
      </c>
      <c r="BF162">
        <f>P162*Assumptions!$B$141</f>
        <v/>
      </c>
      <c r="BG162">
        <f>P162*Assumptions!$B$128</f>
        <v/>
      </c>
      <c r="BH162">
        <f>P162*Assumptions!$B$129</f>
        <v/>
      </c>
      <c r="BI162">
        <f>P162*Assumptions!$B$14</f>
        <v/>
      </c>
      <c r="BJ162">
        <f>P162*Assumptions!$B$13</f>
        <v/>
      </c>
      <c r="BK162">
        <f>P162*Assumptions!$B$12</f>
        <v/>
      </c>
      <c r="BL162">
        <f>P162*Assumptions!$B$11</f>
        <v/>
      </c>
    </row>
    <row r="163">
      <c r="A163" t="inlineStr">
        <is>
          <t>700M</t>
        </is>
      </c>
      <c r="B163">
        <f>Assumptions!$B$58</f>
        <v/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>
        <f>(1-C163)*Assumptions!$B$41+(1-D163)*Assumptions!$B$33+(1-E163)*Assumptions!$B$32+(1-F163)*Assumptions!$B$31+(1-G163)*Assumptions!$B$30+(1-H163)*Assumptions!$B$29+(1-I163)*Assumptions!$B$28</f>
        <v/>
      </c>
      <c r="K163">
        <f>C163*Assumptions!$B$141+D163*Assumptions!$B$128+E163*Assumptions!$B$129+F163*Assumptions!$B$14+G163*Assumptions!$B$13+H163*Assumptions!$B$12+I163*Assumptions!$B$11+Assumptions!$B$133+Assumptions!$B$137+Assumptions!$B$9</f>
        <v/>
      </c>
      <c r="L163">
        <f>B163-J163</f>
        <v/>
      </c>
      <c r="M163">
        <f>IF(K163&gt;0,IF(L163/K163&gt;=Assumptions!$B$37,1,0),0)</f>
        <v/>
      </c>
      <c r="N163">
        <f>K163+M163*Assumptions!$B$153</f>
        <v/>
      </c>
      <c r="O163">
        <f>L163+M163*Assumptions!$B$153*Assumptions!$B$37</f>
        <v/>
      </c>
      <c r="P163">
        <f>IF(N163&gt;0,O163/N163,0)</f>
        <v/>
      </c>
      <c r="Q163">
        <f>IF(C163=1,P163*Assumptions!$B$141,Assumptions!$B$41)</f>
        <v/>
      </c>
      <c r="R163">
        <f>IF(D163=1,P163*Assumptions!$B$128,Assumptions!$B$33)</f>
        <v/>
      </c>
      <c r="S163">
        <f>IF(E163=1,P163*Assumptions!$B$129,Assumptions!$B$32)</f>
        <v/>
      </c>
      <c r="T163">
        <f>IF(F163=1,P163*Assumptions!$B$14,Assumptions!$B$31)</f>
        <v/>
      </c>
      <c r="U163">
        <f>IF(G163=1,P163*Assumptions!$B$13,Assumptions!$B$30)</f>
        <v/>
      </c>
      <c r="V163">
        <f>IF(H163=1,P163*Assumptions!$B$12,Assumptions!$B$29)</f>
        <v/>
      </c>
      <c r="W163">
        <f>IF(I163=1,P163*Assumptions!$B$11,Assumptions!$B$28)</f>
        <v/>
      </c>
      <c r="X163">
        <f>P163*(Assumptions!$B$133+Assumptions!$B$137)</f>
        <v/>
      </c>
      <c r="Y163">
        <f>P163*Assumptions!$B$9</f>
        <v/>
      </c>
      <c r="Z163">
        <f>IF(M163=1,(P163-Assumptions!$B$37)*Assumptions!$B$153,0)</f>
        <v/>
      </c>
      <c r="AA163">
        <f>Q163+R163+S163+T163+U163+V163+W163+X163+Y163+Z163</f>
        <v/>
      </c>
      <c r="AB163" t="n">
        <v>112</v>
      </c>
      <c r="AC163" t="n">
        <v>48</v>
      </c>
      <c r="AD163" t="n">
        <v>80</v>
      </c>
      <c r="AE163" t="n">
        <v>96</v>
      </c>
      <c r="AF163" t="n">
        <v>120</v>
      </c>
      <c r="AG163" t="n">
        <v>116</v>
      </c>
      <c r="AH163" t="n">
        <v>114</v>
      </c>
      <c r="AI163" t="n">
        <v>113</v>
      </c>
      <c r="AJ163">
        <f>INDEX($Q$51:$Q$178,AC163+1)</f>
        <v/>
      </c>
      <c r="AK163">
        <f>INDEX($R$51:$R$178,AD163+1)</f>
        <v/>
      </c>
      <c r="AL163">
        <f>INDEX($S$51:$S$178,AE163+1)</f>
        <v/>
      </c>
      <c r="AM163">
        <f>INDEX($T$51:$T$178,AF163+1)</f>
        <v/>
      </c>
      <c r="AN163">
        <f>INDEX($U$51:$U$178,AG163+1)</f>
        <v/>
      </c>
      <c r="AO163">
        <f>INDEX($V$51:$V$178,AH163+1)</f>
        <v/>
      </c>
      <c r="AP163">
        <f>INDEX($W$51:$W$178,AI163+1)</f>
        <v/>
      </c>
      <c r="AQ163">
        <f>IF(Q163&gt;=AJ163-0.01,1,0)</f>
        <v/>
      </c>
      <c r="AR163">
        <f>IF(R163&gt;=AK163-0.01,1,0)</f>
        <v/>
      </c>
      <c r="AS163">
        <f>IF(S163&gt;=AL163-0.01,1,0)</f>
        <v/>
      </c>
      <c r="AT163">
        <f>IF(T163&gt;=AM163-0.01,1,0)</f>
        <v/>
      </c>
      <c r="AU163">
        <f>IF(U163&gt;=AN163-0.01,1,0)</f>
        <v/>
      </c>
      <c r="AV163">
        <f>IF(V163&gt;=AO163-0.01,1,0)</f>
        <v/>
      </c>
      <c r="AW163">
        <f>IF(W163&gt;=AP163-0.01,1,0)</f>
        <v/>
      </c>
      <c r="AX163">
        <f>AQ163*AR163*AS163*AT163*AU163*AV163*AW163</f>
        <v/>
      </c>
      <c r="AY163">
        <f>Assumptions!$B$41</f>
        <v/>
      </c>
      <c r="AZ163">
        <f>Assumptions!$B$33</f>
        <v/>
      </c>
      <c r="BA163">
        <f>Assumptions!$B$32</f>
        <v/>
      </c>
      <c r="BB163">
        <f>Assumptions!$B$31</f>
        <v/>
      </c>
      <c r="BC163">
        <f>Assumptions!$B$30</f>
        <v/>
      </c>
      <c r="BD163">
        <f>Assumptions!$B$29</f>
        <v/>
      </c>
      <c r="BE163">
        <f>Assumptions!$B$28</f>
        <v/>
      </c>
      <c r="BF163">
        <f>P163*Assumptions!$B$141</f>
        <v/>
      </c>
      <c r="BG163">
        <f>P163*Assumptions!$B$128</f>
        <v/>
      </c>
      <c r="BH163">
        <f>P163*Assumptions!$B$129</f>
        <v/>
      </c>
      <c r="BI163">
        <f>P163*Assumptions!$B$14</f>
        <v/>
      </c>
      <c r="BJ163">
        <f>P163*Assumptions!$B$13</f>
        <v/>
      </c>
      <c r="BK163">
        <f>P163*Assumptions!$B$12</f>
        <v/>
      </c>
      <c r="BL163">
        <f>P163*Assumptions!$B$11</f>
        <v/>
      </c>
    </row>
    <row r="164">
      <c r="A164" t="inlineStr">
        <is>
          <t>700M</t>
        </is>
      </c>
      <c r="B164">
        <f>Assumptions!$B$58</f>
        <v/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>
        <f>(1-C164)*Assumptions!$B$41+(1-D164)*Assumptions!$B$33+(1-E164)*Assumptions!$B$32+(1-F164)*Assumptions!$B$31+(1-G164)*Assumptions!$B$30+(1-H164)*Assumptions!$B$29+(1-I164)*Assumptions!$B$28</f>
        <v/>
      </c>
      <c r="K164">
        <f>C164*Assumptions!$B$141+D164*Assumptions!$B$128+E164*Assumptions!$B$129+F164*Assumptions!$B$14+G164*Assumptions!$B$13+H164*Assumptions!$B$12+I164*Assumptions!$B$11+Assumptions!$B$133+Assumptions!$B$137+Assumptions!$B$9</f>
        <v/>
      </c>
      <c r="L164">
        <f>B164-J164</f>
        <v/>
      </c>
      <c r="M164">
        <f>IF(K164&gt;0,IF(L164/K164&gt;=Assumptions!$B$37,1,0),0)</f>
        <v/>
      </c>
      <c r="N164">
        <f>K164+M164*Assumptions!$B$153</f>
        <v/>
      </c>
      <c r="O164">
        <f>L164+M164*Assumptions!$B$153*Assumptions!$B$37</f>
        <v/>
      </c>
      <c r="P164">
        <f>IF(N164&gt;0,O164/N164,0)</f>
        <v/>
      </c>
      <c r="Q164">
        <f>IF(C164=1,P164*Assumptions!$B$141,Assumptions!$B$41)</f>
        <v/>
      </c>
      <c r="R164">
        <f>IF(D164=1,P164*Assumptions!$B$128,Assumptions!$B$33)</f>
        <v/>
      </c>
      <c r="S164">
        <f>IF(E164=1,P164*Assumptions!$B$129,Assumptions!$B$32)</f>
        <v/>
      </c>
      <c r="T164">
        <f>IF(F164=1,P164*Assumptions!$B$14,Assumptions!$B$31)</f>
        <v/>
      </c>
      <c r="U164">
        <f>IF(G164=1,P164*Assumptions!$B$13,Assumptions!$B$30)</f>
        <v/>
      </c>
      <c r="V164">
        <f>IF(H164=1,P164*Assumptions!$B$12,Assumptions!$B$29)</f>
        <v/>
      </c>
      <c r="W164">
        <f>IF(I164=1,P164*Assumptions!$B$11,Assumptions!$B$28)</f>
        <v/>
      </c>
      <c r="X164">
        <f>P164*(Assumptions!$B$133+Assumptions!$B$137)</f>
        <v/>
      </c>
      <c r="Y164">
        <f>P164*Assumptions!$B$9</f>
        <v/>
      </c>
      <c r="Z164">
        <f>IF(M164=1,(P164-Assumptions!$B$37)*Assumptions!$B$153,0)</f>
        <v/>
      </c>
      <c r="AA164">
        <f>Q164+R164+S164+T164+U164+V164+W164+X164+Y164+Z164</f>
        <v/>
      </c>
      <c r="AB164" t="n">
        <v>113</v>
      </c>
      <c r="AC164" t="n">
        <v>49</v>
      </c>
      <c r="AD164" t="n">
        <v>81</v>
      </c>
      <c r="AE164" t="n">
        <v>97</v>
      </c>
      <c r="AF164" t="n">
        <v>121</v>
      </c>
      <c r="AG164" t="n">
        <v>117</v>
      </c>
      <c r="AH164" t="n">
        <v>115</v>
      </c>
      <c r="AI164" t="n">
        <v>112</v>
      </c>
      <c r="AJ164">
        <f>INDEX($Q$51:$Q$178,AC164+1)</f>
        <v/>
      </c>
      <c r="AK164">
        <f>INDEX($R$51:$R$178,AD164+1)</f>
        <v/>
      </c>
      <c r="AL164">
        <f>INDEX($S$51:$S$178,AE164+1)</f>
        <v/>
      </c>
      <c r="AM164">
        <f>INDEX($T$51:$T$178,AF164+1)</f>
        <v/>
      </c>
      <c r="AN164">
        <f>INDEX($U$51:$U$178,AG164+1)</f>
        <v/>
      </c>
      <c r="AO164">
        <f>INDEX($V$51:$V$178,AH164+1)</f>
        <v/>
      </c>
      <c r="AP164">
        <f>INDEX($W$51:$W$178,AI164+1)</f>
        <v/>
      </c>
      <c r="AQ164">
        <f>IF(Q164&gt;=AJ164-0.01,1,0)</f>
        <v/>
      </c>
      <c r="AR164">
        <f>IF(R164&gt;=AK164-0.01,1,0)</f>
        <v/>
      </c>
      <c r="AS164">
        <f>IF(S164&gt;=AL164-0.01,1,0)</f>
        <v/>
      </c>
      <c r="AT164">
        <f>IF(T164&gt;=AM164-0.01,1,0)</f>
        <v/>
      </c>
      <c r="AU164">
        <f>IF(U164&gt;=AN164-0.01,1,0)</f>
        <v/>
      </c>
      <c r="AV164">
        <f>IF(V164&gt;=AO164-0.01,1,0)</f>
        <v/>
      </c>
      <c r="AW164">
        <f>IF(W164&gt;=AP164-0.01,1,0)</f>
        <v/>
      </c>
      <c r="AX164">
        <f>AQ164*AR164*AS164*AT164*AU164*AV164*AW164</f>
        <v/>
      </c>
      <c r="AY164">
        <f>Assumptions!$B$41</f>
        <v/>
      </c>
      <c r="AZ164">
        <f>Assumptions!$B$33</f>
        <v/>
      </c>
      <c r="BA164">
        <f>Assumptions!$B$32</f>
        <v/>
      </c>
      <c r="BB164">
        <f>Assumptions!$B$31</f>
        <v/>
      </c>
      <c r="BC164">
        <f>Assumptions!$B$30</f>
        <v/>
      </c>
      <c r="BD164">
        <f>Assumptions!$B$29</f>
        <v/>
      </c>
      <c r="BE164">
        <f>Assumptions!$B$28</f>
        <v/>
      </c>
      <c r="BF164">
        <f>P164*Assumptions!$B$141</f>
        <v/>
      </c>
      <c r="BG164">
        <f>P164*Assumptions!$B$128</f>
        <v/>
      </c>
      <c r="BH164">
        <f>P164*Assumptions!$B$129</f>
        <v/>
      </c>
      <c r="BI164">
        <f>P164*Assumptions!$B$14</f>
        <v/>
      </c>
      <c r="BJ164">
        <f>P164*Assumptions!$B$13</f>
        <v/>
      </c>
      <c r="BK164">
        <f>P164*Assumptions!$B$12</f>
        <v/>
      </c>
      <c r="BL164">
        <f>P164*Assumptions!$B$11</f>
        <v/>
      </c>
    </row>
    <row r="165">
      <c r="A165" t="inlineStr">
        <is>
          <t>700M</t>
        </is>
      </c>
      <c r="B165">
        <f>Assumptions!$B$58</f>
        <v/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>
        <f>(1-C165)*Assumptions!$B$41+(1-D165)*Assumptions!$B$33+(1-E165)*Assumptions!$B$32+(1-F165)*Assumptions!$B$31+(1-G165)*Assumptions!$B$30+(1-H165)*Assumptions!$B$29+(1-I165)*Assumptions!$B$28</f>
        <v/>
      </c>
      <c r="K165">
        <f>C165*Assumptions!$B$141+D165*Assumptions!$B$128+E165*Assumptions!$B$129+F165*Assumptions!$B$14+G165*Assumptions!$B$13+H165*Assumptions!$B$12+I165*Assumptions!$B$11+Assumptions!$B$133+Assumptions!$B$137+Assumptions!$B$9</f>
        <v/>
      </c>
      <c r="L165">
        <f>B165-J165</f>
        <v/>
      </c>
      <c r="M165">
        <f>IF(K165&gt;0,IF(L165/K165&gt;=Assumptions!$B$37,1,0),0)</f>
        <v/>
      </c>
      <c r="N165">
        <f>K165+M165*Assumptions!$B$153</f>
        <v/>
      </c>
      <c r="O165">
        <f>L165+M165*Assumptions!$B$153*Assumptions!$B$37</f>
        <v/>
      </c>
      <c r="P165">
        <f>IF(N165&gt;0,O165/N165,0)</f>
        <v/>
      </c>
      <c r="Q165">
        <f>IF(C165=1,P165*Assumptions!$B$141,Assumptions!$B$41)</f>
        <v/>
      </c>
      <c r="R165">
        <f>IF(D165=1,P165*Assumptions!$B$128,Assumptions!$B$33)</f>
        <v/>
      </c>
      <c r="S165">
        <f>IF(E165=1,P165*Assumptions!$B$129,Assumptions!$B$32)</f>
        <v/>
      </c>
      <c r="T165">
        <f>IF(F165=1,P165*Assumptions!$B$14,Assumptions!$B$31)</f>
        <v/>
      </c>
      <c r="U165">
        <f>IF(G165=1,P165*Assumptions!$B$13,Assumptions!$B$30)</f>
        <v/>
      </c>
      <c r="V165">
        <f>IF(H165=1,P165*Assumptions!$B$12,Assumptions!$B$29)</f>
        <v/>
      </c>
      <c r="W165">
        <f>IF(I165=1,P165*Assumptions!$B$11,Assumptions!$B$28)</f>
        <v/>
      </c>
      <c r="X165">
        <f>P165*(Assumptions!$B$133+Assumptions!$B$137)</f>
        <v/>
      </c>
      <c r="Y165">
        <f>P165*Assumptions!$B$9</f>
        <v/>
      </c>
      <c r="Z165">
        <f>IF(M165=1,(P165-Assumptions!$B$37)*Assumptions!$B$153,0)</f>
        <v/>
      </c>
      <c r="AA165">
        <f>Q165+R165+S165+T165+U165+V165+W165+X165+Y165+Z165</f>
        <v/>
      </c>
      <c r="AB165" t="n">
        <v>114</v>
      </c>
      <c r="AC165" t="n">
        <v>50</v>
      </c>
      <c r="AD165" t="n">
        <v>82</v>
      </c>
      <c r="AE165" t="n">
        <v>98</v>
      </c>
      <c r="AF165" t="n">
        <v>122</v>
      </c>
      <c r="AG165" t="n">
        <v>118</v>
      </c>
      <c r="AH165" t="n">
        <v>112</v>
      </c>
      <c r="AI165" t="n">
        <v>115</v>
      </c>
      <c r="AJ165">
        <f>INDEX($Q$51:$Q$178,AC165+1)</f>
        <v/>
      </c>
      <c r="AK165">
        <f>INDEX($R$51:$R$178,AD165+1)</f>
        <v/>
      </c>
      <c r="AL165">
        <f>INDEX($S$51:$S$178,AE165+1)</f>
        <v/>
      </c>
      <c r="AM165">
        <f>INDEX($T$51:$T$178,AF165+1)</f>
        <v/>
      </c>
      <c r="AN165">
        <f>INDEX($U$51:$U$178,AG165+1)</f>
        <v/>
      </c>
      <c r="AO165">
        <f>INDEX($V$51:$V$178,AH165+1)</f>
        <v/>
      </c>
      <c r="AP165">
        <f>INDEX($W$51:$W$178,AI165+1)</f>
        <v/>
      </c>
      <c r="AQ165">
        <f>IF(Q165&gt;=AJ165-0.01,1,0)</f>
        <v/>
      </c>
      <c r="AR165">
        <f>IF(R165&gt;=AK165-0.01,1,0)</f>
        <v/>
      </c>
      <c r="AS165">
        <f>IF(S165&gt;=AL165-0.01,1,0)</f>
        <v/>
      </c>
      <c r="AT165">
        <f>IF(T165&gt;=AM165-0.01,1,0)</f>
        <v/>
      </c>
      <c r="AU165">
        <f>IF(U165&gt;=AN165-0.01,1,0)</f>
        <v/>
      </c>
      <c r="AV165">
        <f>IF(V165&gt;=AO165-0.01,1,0)</f>
        <v/>
      </c>
      <c r="AW165">
        <f>IF(W165&gt;=AP165-0.01,1,0)</f>
        <v/>
      </c>
      <c r="AX165">
        <f>AQ165*AR165*AS165*AT165*AU165*AV165*AW165</f>
        <v/>
      </c>
      <c r="AY165">
        <f>Assumptions!$B$41</f>
        <v/>
      </c>
      <c r="AZ165">
        <f>Assumptions!$B$33</f>
        <v/>
      </c>
      <c r="BA165">
        <f>Assumptions!$B$32</f>
        <v/>
      </c>
      <c r="BB165">
        <f>Assumptions!$B$31</f>
        <v/>
      </c>
      <c r="BC165">
        <f>Assumptions!$B$30</f>
        <v/>
      </c>
      <c r="BD165">
        <f>Assumptions!$B$29</f>
        <v/>
      </c>
      <c r="BE165">
        <f>Assumptions!$B$28</f>
        <v/>
      </c>
      <c r="BF165">
        <f>P165*Assumptions!$B$141</f>
        <v/>
      </c>
      <c r="BG165">
        <f>P165*Assumptions!$B$128</f>
        <v/>
      </c>
      <c r="BH165">
        <f>P165*Assumptions!$B$129</f>
        <v/>
      </c>
      <c r="BI165">
        <f>P165*Assumptions!$B$14</f>
        <v/>
      </c>
      <c r="BJ165">
        <f>P165*Assumptions!$B$13</f>
        <v/>
      </c>
      <c r="BK165">
        <f>P165*Assumptions!$B$12</f>
        <v/>
      </c>
      <c r="BL165">
        <f>P165*Assumptions!$B$11</f>
        <v/>
      </c>
    </row>
    <row r="166">
      <c r="A166" t="inlineStr">
        <is>
          <t>700M</t>
        </is>
      </c>
      <c r="B166">
        <f>Assumptions!$B$58</f>
        <v/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>
        <f>(1-C166)*Assumptions!$B$41+(1-D166)*Assumptions!$B$33+(1-E166)*Assumptions!$B$32+(1-F166)*Assumptions!$B$31+(1-G166)*Assumptions!$B$30+(1-H166)*Assumptions!$B$29+(1-I166)*Assumptions!$B$28</f>
        <v/>
      </c>
      <c r="K166">
        <f>C166*Assumptions!$B$141+D166*Assumptions!$B$128+E166*Assumptions!$B$129+F166*Assumptions!$B$14+G166*Assumptions!$B$13+H166*Assumptions!$B$12+I166*Assumptions!$B$11+Assumptions!$B$133+Assumptions!$B$137+Assumptions!$B$9</f>
        <v/>
      </c>
      <c r="L166">
        <f>B166-J166</f>
        <v/>
      </c>
      <c r="M166">
        <f>IF(K166&gt;0,IF(L166/K166&gt;=Assumptions!$B$37,1,0),0)</f>
        <v/>
      </c>
      <c r="N166">
        <f>K166+M166*Assumptions!$B$153</f>
        <v/>
      </c>
      <c r="O166">
        <f>L166+M166*Assumptions!$B$153*Assumptions!$B$37</f>
        <v/>
      </c>
      <c r="P166">
        <f>IF(N166&gt;0,O166/N166,0)</f>
        <v/>
      </c>
      <c r="Q166">
        <f>IF(C166=1,P166*Assumptions!$B$141,Assumptions!$B$41)</f>
        <v/>
      </c>
      <c r="R166">
        <f>IF(D166=1,P166*Assumptions!$B$128,Assumptions!$B$33)</f>
        <v/>
      </c>
      <c r="S166">
        <f>IF(E166=1,P166*Assumptions!$B$129,Assumptions!$B$32)</f>
        <v/>
      </c>
      <c r="T166">
        <f>IF(F166=1,P166*Assumptions!$B$14,Assumptions!$B$31)</f>
        <v/>
      </c>
      <c r="U166">
        <f>IF(G166=1,P166*Assumptions!$B$13,Assumptions!$B$30)</f>
        <v/>
      </c>
      <c r="V166">
        <f>IF(H166=1,P166*Assumptions!$B$12,Assumptions!$B$29)</f>
        <v/>
      </c>
      <c r="W166">
        <f>IF(I166=1,P166*Assumptions!$B$11,Assumptions!$B$28)</f>
        <v/>
      </c>
      <c r="X166">
        <f>P166*(Assumptions!$B$133+Assumptions!$B$137)</f>
        <v/>
      </c>
      <c r="Y166">
        <f>P166*Assumptions!$B$9</f>
        <v/>
      </c>
      <c r="Z166">
        <f>IF(M166=1,(P166-Assumptions!$B$37)*Assumptions!$B$153,0)</f>
        <v/>
      </c>
      <c r="AA166">
        <f>Q166+R166+S166+T166+U166+V166+W166+X166+Y166+Z166</f>
        <v/>
      </c>
      <c r="AB166" t="n">
        <v>115</v>
      </c>
      <c r="AC166" t="n">
        <v>51</v>
      </c>
      <c r="AD166" t="n">
        <v>83</v>
      </c>
      <c r="AE166" t="n">
        <v>99</v>
      </c>
      <c r="AF166" t="n">
        <v>123</v>
      </c>
      <c r="AG166" t="n">
        <v>119</v>
      </c>
      <c r="AH166" t="n">
        <v>113</v>
      </c>
      <c r="AI166" t="n">
        <v>114</v>
      </c>
      <c r="AJ166">
        <f>INDEX($Q$51:$Q$178,AC166+1)</f>
        <v/>
      </c>
      <c r="AK166">
        <f>INDEX($R$51:$R$178,AD166+1)</f>
        <v/>
      </c>
      <c r="AL166">
        <f>INDEX($S$51:$S$178,AE166+1)</f>
        <v/>
      </c>
      <c r="AM166">
        <f>INDEX($T$51:$T$178,AF166+1)</f>
        <v/>
      </c>
      <c r="AN166">
        <f>INDEX($U$51:$U$178,AG166+1)</f>
        <v/>
      </c>
      <c r="AO166">
        <f>INDEX($V$51:$V$178,AH166+1)</f>
        <v/>
      </c>
      <c r="AP166">
        <f>INDEX($W$51:$W$178,AI166+1)</f>
        <v/>
      </c>
      <c r="AQ166">
        <f>IF(Q166&gt;=AJ166-0.01,1,0)</f>
        <v/>
      </c>
      <c r="AR166">
        <f>IF(R166&gt;=AK166-0.01,1,0)</f>
        <v/>
      </c>
      <c r="AS166">
        <f>IF(S166&gt;=AL166-0.01,1,0)</f>
        <v/>
      </c>
      <c r="AT166">
        <f>IF(T166&gt;=AM166-0.01,1,0)</f>
        <v/>
      </c>
      <c r="AU166">
        <f>IF(U166&gt;=AN166-0.01,1,0)</f>
        <v/>
      </c>
      <c r="AV166">
        <f>IF(V166&gt;=AO166-0.01,1,0)</f>
        <v/>
      </c>
      <c r="AW166">
        <f>IF(W166&gt;=AP166-0.01,1,0)</f>
        <v/>
      </c>
      <c r="AX166">
        <f>AQ166*AR166*AS166*AT166*AU166*AV166*AW166</f>
        <v/>
      </c>
      <c r="AY166">
        <f>Assumptions!$B$41</f>
        <v/>
      </c>
      <c r="AZ166">
        <f>Assumptions!$B$33</f>
        <v/>
      </c>
      <c r="BA166">
        <f>Assumptions!$B$32</f>
        <v/>
      </c>
      <c r="BB166">
        <f>Assumptions!$B$31</f>
        <v/>
      </c>
      <c r="BC166">
        <f>Assumptions!$B$30</f>
        <v/>
      </c>
      <c r="BD166">
        <f>Assumptions!$B$29</f>
        <v/>
      </c>
      <c r="BE166">
        <f>Assumptions!$B$28</f>
        <v/>
      </c>
      <c r="BF166">
        <f>P166*Assumptions!$B$141</f>
        <v/>
      </c>
      <c r="BG166">
        <f>P166*Assumptions!$B$128</f>
        <v/>
      </c>
      <c r="BH166">
        <f>P166*Assumptions!$B$129</f>
        <v/>
      </c>
      <c r="BI166">
        <f>P166*Assumptions!$B$14</f>
        <v/>
      </c>
      <c r="BJ166">
        <f>P166*Assumptions!$B$13</f>
        <v/>
      </c>
      <c r="BK166">
        <f>P166*Assumptions!$B$12</f>
        <v/>
      </c>
      <c r="BL166">
        <f>P166*Assumptions!$B$11</f>
        <v/>
      </c>
    </row>
    <row r="167">
      <c r="A167" t="inlineStr">
        <is>
          <t>700M</t>
        </is>
      </c>
      <c r="B167">
        <f>Assumptions!$B$58</f>
        <v/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>
        <f>(1-C167)*Assumptions!$B$41+(1-D167)*Assumptions!$B$33+(1-E167)*Assumptions!$B$32+(1-F167)*Assumptions!$B$31+(1-G167)*Assumptions!$B$30+(1-H167)*Assumptions!$B$29+(1-I167)*Assumptions!$B$28</f>
        <v/>
      </c>
      <c r="K167">
        <f>C167*Assumptions!$B$141+D167*Assumptions!$B$128+E167*Assumptions!$B$129+F167*Assumptions!$B$14+G167*Assumptions!$B$13+H167*Assumptions!$B$12+I167*Assumptions!$B$11+Assumptions!$B$133+Assumptions!$B$137+Assumptions!$B$9</f>
        <v/>
      </c>
      <c r="L167">
        <f>B167-J167</f>
        <v/>
      </c>
      <c r="M167">
        <f>IF(K167&gt;0,IF(L167/K167&gt;=Assumptions!$B$37,1,0),0)</f>
        <v/>
      </c>
      <c r="N167">
        <f>K167+M167*Assumptions!$B$153</f>
        <v/>
      </c>
      <c r="O167">
        <f>L167+M167*Assumptions!$B$153*Assumptions!$B$37</f>
        <v/>
      </c>
      <c r="P167">
        <f>IF(N167&gt;0,O167/N167,0)</f>
        <v/>
      </c>
      <c r="Q167">
        <f>IF(C167=1,P167*Assumptions!$B$141,Assumptions!$B$41)</f>
        <v/>
      </c>
      <c r="R167">
        <f>IF(D167=1,P167*Assumptions!$B$128,Assumptions!$B$33)</f>
        <v/>
      </c>
      <c r="S167">
        <f>IF(E167=1,P167*Assumptions!$B$129,Assumptions!$B$32)</f>
        <v/>
      </c>
      <c r="T167">
        <f>IF(F167=1,P167*Assumptions!$B$14,Assumptions!$B$31)</f>
        <v/>
      </c>
      <c r="U167">
        <f>IF(G167=1,P167*Assumptions!$B$13,Assumptions!$B$30)</f>
        <v/>
      </c>
      <c r="V167">
        <f>IF(H167=1,P167*Assumptions!$B$12,Assumptions!$B$29)</f>
        <v/>
      </c>
      <c r="W167">
        <f>IF(I167=1,P167*Assumptions!$B$11,Assumptions!$B$28)</f>
        <v/>
      </c>
      <c r="X167">
        <f>P167*(Assumptions!$B$133+Assumptions!$B$137)</f>
        <v/>
      </c>
      <c r="Y167">
        <f>P167*Assumptions!$B$9</f>
        <v/>
      </c>
      <c r="Z167">
        <f>IF(M167=1,(P167-Assumptions!$B$37)*Assumptions!$B$153,0)</f>
        <v/>
      </c>
      <c r="AA167">
        <f>Q167+R167+S167+T167+U167+V167+W167+X167+Y167+Z167</f>
        <v/>
      </c>
      <c r="AB167" t="n">
        <v>116</v>
      </c>
      <c r="AC167" t="n">
        <v>52</v>
      </c>
      <c r="AD167" t="n">
        <v>84</v>
      </c>
      <c r="AE167" t="n">
        <v>100</v>
      </c>
      <c r="AF167" t="n">
        <v>124</v>
      </c>
      <c r="AG167" t="n">
        <v>112</v>
      </c>
      <c r="AH167" t="n">
        <v>118</v>
      </c>
      <c r="AI167" t="n">
        <v>117</v>
      </c>
      <c r="AJ167">
        <f>INDEX($Q$51:$Q$178,AC167+1)</f>
        <v/>
      </c>
      <c r="AK167">
        <f>INDEX($R$51:$R$178,AD167+1)</f>
        <v/>
      </c>
      <c r="AL167">
        <f>INDEX($S$51:$S$178,AE167+1)</f>
        <v/>
      </c>
      <c r="AM167">
        <f>INDEX($T$51:$T$178,AF167+1)</f>
        <v/>
      </c>
      <c r="AN167">
        <f>INDEX($U$51:$U$178,AG167+1)</f>
        <v/>
      </c>
      <c r="AO167">
        <f>INDEX($V$51:$V$178,AH167+1)</f>
        <v/>
      </c>
      <c r="AP167">
        <f>INDEX($W$51:$W$178,AI167+1)</f>
        <v/>
      </c>
      <c r="AQ167">
        <f>IF(Q167&gt;=AJ167-0.01,1,0)</f>
        <v/>
      </c>
      <c r="AR167">
        <f>IF(R167&gt;=AK167-0.01,1,0)</f>
        <v/>
      </c>
      <c r="AS167">
        <f>IF(S167&gt;=AL167-0.01,1,0)</f>
        <v/>
      </c>
      <c r="AT167">
        <f>IF(T167&gt;=AM167-0.01,1,0)</f>
        <v/>
      </c>
      <c r="AU167">
        <f>IF(U167&gt;=AN167-0.01,1,0)</f>
        <v/>
      </c>
      <c r="AV167">
        <f>IF(V167&gt;=AO167-0.01,1,0)</f>
        <v/>
      </c>
      <c r="AW167">
        <f>IF(W167&gt;=AP167-0.01,1,0)</f>
        <v/>
      </c>
      <c r="AX167">
        <f>AQ167*AR167*AS167*AT167*AU167*AV167*AW167</f>
        <v/>
      </c>
      <c r="AY167">
        <f>Assumptions!$B$41</f>
        <v/>
      </c>
      <c r="AZ167">
        <f>Assumptions!$B$33</f>
        <v/>
      </c>
      <c r="BA167">
        <f>Assumptions!$B$32</f>
        <v/>
      </c>
      <c r="BB167">
        <f>Assumptions!$B$31</f>
        <v/>
      </c>
      <c r="BC167">
        <f>Assumptions!$B$30</f>
        <v/>
      </c>
      <c r="BD167">
        <f>Assumptions!$B$29</f>
        <v/>
      </c>
      <c r="BE167">
        <f>Assumptions!$B$28</f>
        <v/>
      </c>
      <c r="BF167">
        <f>P167*Assumptions!$B$141</f>
        <v/>
      </c>
      <c r="BG167">
        <f>P167*Assumptions!$B$128</f>
        <v/>
      </c>
      <c r="BH167">
        <f>P167*Assumptions!$B$129</f>
        <v/>
      </c>
      <c r="BI167">
        <f>P167*Assumptions!$B$14</f>
        <v/>
      </c>
      <c r="BJ167">
        <f>P167*Assumptions!$B$13</f>
        <v/>
      </c>
      <c r="BK167">
        <f>P167*Assumptions!$B$12</f>
        <v/>
      </c>
      <c r="BL167">
        <f>P167*Assumptions!$B$11</f>
        <v/>
      </c>
    </row>
    <row r="168">
      <c r="A168" t="inlineStr">
        <is>
          <t>700M</t>
        </is>
      </c>
      <c r="B168">
        <f>Assumptions!$B$58</f>
        <v/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n">
        <v>1</v>
      </c>
      <c r="J168">
        <f>(1-C168)*Assumptions!$B$41+(1-D168)*Assumptions!$B$33+(1-E168)*Assumptions!$B$32+(1-F168)*Assumptions!$B$31+(1-G168)*Assumptions!$B$30+(1-H168)*Assumptions!$B$29+(1-I168)*Assumptions!$B$28</f>
        <v/>
      </c>
      <c r="K168">
        <f>C168*Assumptions!$B$141+D168*Assumptions!$B$128+E168*Assumptions!$B$129+F168*Assumptions!$B$14+G168*Assumptions!$B$13+H168*Assumptions!$B$12+I168*Assumptions!$B$11+Assumptions!$B$133+Assumptions!$B$137+Assumptions!$B$9</f>
        <v/>
      </c>
      <c r="L168">
        <f>B168-J168</f>
        <v/>
      </c>
      <c r="M168">
        <f>IF(K168&gt;0,IF(L168/K168&gt;=Assumptions!$B$37,1,0),0)</f>
        <v/>
      </c>
      <c r="N168">
        <f>K168+M168*Assumptions!$B$153</f>
        <v/>
      </c>
      <c r="O168">
        <f>L168+M168*Assumptions!$B$153*Assumptions!$B$37</f>
        <v/>
      </c>
      <c r="P168">
        <f>IF(N168&gt;0,O168/N168,0)</f>
        <v/>
      </c>
      <c r="Q168">
        <f>IF(C168=1,P168*Assumptions!$B$141,Assumptions!$B$41)</f>
        <v/>
      </c>
      <c r="R168">
        <f>IF(D168=1,P168*Assumptions!$B$128,Assumptions!$B$33)</f>
        <v/>
      </c>
      <c r="S168">
        <f>IF(E168=1,P168*Assumptions!$B$129,Assumptions!$B$32)</f>
        <v/>
      </c>
      <c r="T168">
        <f>IF(F168=1,P168*Assumptions!$B$14,Assumptions!$B$31)</f>
        <v/>
      </c>
      <c r="U168">
        <f>IF(G168=1,P168*Assumptions!$B$13,Assumptions!$B$30)</f>
        <v/>
      </c>
      <c r="V168">
        <f>IF(H168=1,P168*Assumptions!$B$12,Assumptions!$B$29)</f>
        <v/>
      </c>
      <c r="W168">
        <f>IF(I168=1,P168*Assumptions!$B$11,Assumptions!$B$28)</f>
        <v/>
      </c>
      <c r="X168">
        <f>P168*(Assumptions!$B$133+Assumptions!$B$137)</f>
        <v/>
      </c>
      <c r="Y168">
        <f>P168*Assumptions!$B$9</f>
        <v/>
      </c>
      <c r="Z168">
        <f>IF(M168=1,(P168-Assumptions!$B$37)*Assumptions!$B$153,0)</f>
        <v/>
      </c>
      <c r="AA168">
        <f>Q168+R168+S168+T168+U168+V168+W168+X168+Y168+Z168</f>
        <v/>
      </c>
      <c r="AB168" t="n">
        <v>117</v>
      </c>
      <c r="AC168" t="n">
        <v>53</v>
      </c>
      <c r="AD168" t="n">
        <v>85</v>
      </c>
      <c r="AE168" t="n">
        <v>101</v>
      </c>
      <c r="AF168" t="n">
        <v>125</v>
      </c>
      <c r="AG168" t="n">
        <v>113</v>
      </c>
      <c r="AH168" t="n">
        <v>119</v>
      </c>
      <c r="AI168" t="n">
        <v>116</v>
      </c>
      <c r="AJ168">
        <f>INDEX($Q$51:$Q$178,AC168+1)</f>
        <v/>
      </c>
      <c r="AK168">
        <f>INDEX($R$51:$R$178,AD168+1)</f>
        <v/>
      </c>
      <c r="AL168">
        <f>INDEX($S$51:$S$178,AE168+1)</f>
        <v/>
      </c>
      <c r="AM168">
        <f>INDEX($T$51:$T$178,AF168+1)</f>
        <v/>
      </c>
      <c r="AN168">
        <f>INDEX($U$51:$U$178,AG168+1)</f>
        <v/>
      </c>
      <c r="AO168">
        <f>INDEX($V$51:$V$178,AH168+1)</f>
        <v/>
      </c>
      <c r="AP168">
        <f>INDEX($W$51:$W$178,AI168+1)</f>
        <v/>
      </c>
      <c r="AQ168">
        <f>IF(Q168&gt;=AJ168-0.01,1,0)</f>
        <v/>
      </c>
      <c r="AR168">
        <f>IF(R168&gt;=AK168-0.01,1,0)</f>
        <v/>
      </c>
      <c r="AS168">
        <f>IF(S168&gt;=AL168-0.01,1,0)</f>
        <v/>
      </c>
      <c r="AT168">
        <f>IF(T168&gt;=AM168-0.01,1,0)</f>
        <v/>
      </c>
      <c r="AU168">
        <f>IF(U168&gt;=AN168-0.01,1,0)</f>
        <v/>
      </c>
      <c r="AV168">
        <f>IF(V168&gt;=AO168-0.01,1,0)</f>
        <v/>
      </c>
      <c r="AW168">
        <f>IF(W168&gt;=AP168-0.01,1,0)</f>
        <v/>
      </c>
      <c r="AX168">
        <f>AQ168*AR168*AS168*AT168*AU168*AV168*AW168</f>
        <v/>
      </c>
      <c r="AY168">
        <f>Assumptions!$B$41</f>
        <v/>
      </c>
      <c r="AZ168">
        <f>Assumptions!$B$33</f>
        <v/>
      </c>
      <c r="BA168">
        <f>Assumptions!$B$32</f>
        <v/>
      </c>
      <c r="BB168">
        <f>Assumptions!$B$31</f>
        <v/>
      </c>
      <c r="BC168">
        <f>Assumptions!$B$30</f>
        <v/>
      </c>
      <c r="BD168">
        <f>Assumptions!$B$29</f>
        <v/>
      </c>
      <c r="BE168">
        <f>Assumptions!$B$28</f>
        <v/>
      </c>
      <c r="BF168">
        <f>P168*Assumptions!$B$141</f>
        <v/>
      </c>
      <c r="BG168">
        <f>P168*Assumptions!$B$128</f>
        <v/>
      </c>
      <c r="BH168">
        <f>P168*Assumptions!$B$129</f>
        <v/>
      </c>
      <c r="BI168">
        <f>P168*Assumptions!$B$14</f>
        <v/>
      </c>
      <c r="BJ168">
        <f>P168*Assumptions!$B$13</f>
        <v/>
      </c>
      <c r="BK168">
        <f>P168*Assumptions!$B$12</f>
        <v/>
      </c>
      <c r="BL168">
        <f>P168*Assumptions!$B$11</f>
        <v/>
      </c>
    </row>
    <row r="169">
      <c r="A169" t="inlineStr">
        <is>
          <t>700M</t>
        </is>
      </c>
      <c r="B169">
        <f>Assumptions!$B$58</f>
        <v/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>
        <f>(1-C169)*Assumptions!$B$41+(1-D169)*Assumptions!$B$33+(1-E169)*Assumptions!$B$32+(1-F169)*Assumptions!$B$31+(1-G169)*Assumptions!$B$30+(1-H169)*Assumptions!$B$29+(1-I169)*Assumptions!$B$28</f>
        <v/>
      </c>
      <c r="K169">
        <f>C169*Assumptions!$B$141+D169*Assumptions!$B$128+E169*Assumptions!$B$129+F169*Assumptions!$B$14+G169*Assumptions!$B$13+H169*Assumptions!$B$12+I169*Assumptions!$B$11+Assumptions!$B$133+Assumptions!$B$137+Assumptions!$B$9</f>
        <v/>
      </c>
      <c r="L169">
        <f>B169-J169</f>
        <v/>
      </c>
      <c r="M169">
        <f>IF(K169&gt;0,IF(L169/K169&gt;=Assumptions!$B$37,1,0),0)</f>
        <v/>
      </c>
      <c r="N169">
        <f>K169+M169*Assumptions!$B$153</f>
        <v/>
      </c>
      <c r="O169">
        <f>L169+M169*Assumptions!$B$153*Assumptions!$B$37</f>
        <v/>
      </c>
      <c r="P169">
        <f>IF(N169&gt;0,O169/N169,0)</f>
        <v/>
      </c>
      <c r="Q169">
        <f>IF(C169=1,P169*Assumptions!$B$141,Assumptions!$B$41)</f>
        <v/>
      </c>
      <c r="R169">
        <f>IF(D169=1,P169*Assumptions!$B$128,Assumptions!$B$33)</f>
        <v/>
      </c>
      <c r="S169">
        <f>IF(E169=1,P169*Assumptions!$B$129,Assumptions!$B$32)</f>
        <v/>
      </c>
      <c r="T169">
        <f>IF(F169=1,P169*Assumptions!$B$14,Assumptions!$B$31)</f>
        <v/>
      </c>
      <c r="U169">
        <f>IF(G169=1,P169*Assumptions!$B$13,Assumptions!$B$30)</f>
        <v/>
      </c>
      <c r="V169">
        <f>IF(H169=1,P169*Assumptions!$B$12,Assumptions!$B$29)</f>
        <v/>
      </c>
      <c r="W169">
        <f>IF(I169=1,P169*Assumptions!$B$11,Assumptions!$B$28)</f>
        <v/>
      </c>
      <c r="X169">
        <f>P169*(Assumptions!$B$133+Assumptions!$B$137)</f>
        <v/>
      </c>
      <c r="Y169">
        <f>P169*Assumptions!$B$9</f>
        <v/>
      </c>
      <c r="Z169">
        <f>IF(M169=1,(P169-Assumptions!$B$37)*Assumptions!$B$153,0)</f>
        <v/>
      </c>
      <c r="AA169">
        <f>Q169+R169+S169+T169+U169+V169+W169+X169+Y169+Z169</f>
        <v/>
      </c>
      <c r="AB169" t="n">
        <v>118</v>
      </c>
      <c r="AC169" t="n">
        <v>54</v>
      </c>
      <c r="AD169" t="n">
        <v>86</v>
      </c>
      <c r="AE169" t="n">
        <v>102</v>
      </c>
      <c r="AF169" t="n">
        <v>126</v>
      </c>
      <c r="AG169" t="n">
        <v>114</v>
      </c>
      <c r="AH169" t="n">
        <v>116</v>
      </c>
      <c r="AI169" t="n">
        <v>119</v>
      </c>
      <c r="AJ169">
        <f>INDEX($Q$51:$Q$178,AC169+1)</f>
        <v/>
      </c>
      <c r="AK169">
        <f>INDEX($R$51:$R$178,AD169+1)</f>
        <v/>
      </c>
      <c r="AL169">
        <f>INDEX($S$51:$S$178,AE169+1)</f>
        <v/>
      </c>
      <c r="AM169">
        <f>INDEX($T$51:$T$178,AF169+1)</f>
        <v/>
      </c>
      <c r="AN169">
        <f>INDEX($U$51:$U$178,AG169+1)</f>
        <v/>
      </c>
      <c r="AO169">
        <f>INDEX($V$51:$V$178,AH169+1)</f>
        <v/>
      </c>
      <c r="AP169">
        <f>INDEX($W$51:$W$178,AI169+1)</f>
        <v/>
      </c>
      <c r="AQ169">
        <f>IF(Q169&gt;=AJ169-0.01,1,0)</f>
        <v/>
      </c>
      <c r="AR169">
        <f>IF(R169&gt;=AK169-0.01,1,0)</f>
        <v/>
      </c>
      <c r="AS169">
        <f>IF(S169&gt;=AL169-0.01,1,0)</f>
        <v/>
      </c>
      <c r="AT169">
        <f>IF(T169&gt;=AM169-0.01,1,0)</f>
        <v/>
      </c>
      <c r="AU169">
        <f>IF(U169&gt;=AN169-0.01,1,0)</f>
        <v/>
      </c>
      <c r="AV169">
        <f>IF(V169&gt;=AO169-0.01,1,0)</f>
        <v/>
      </c>
      <c r="AW169">
        <f>IF(W169&gt;=AP169-0.01,1,0)</f>
        <v/>
      </c>
      <c r="AX169">
        <f>AQ169*AR169*AS169*AT169*AU169*AV169*AW169</f>
        <v/>
      </c>
      <c r="AY169">
        <f>Assumptions!$B$41</f>
        <v/>
      </c>
      <c r="AZ169">
        <f>Assumptions!$B$33</f>
        <v/>
      </c>
      <c r="BA169">
        <f>Assumptions!$B$32</f>
        <v/>
      </c>
      <c r="BB169">
        <f>Assumptions!$B$31</f>
        <v/>
      </c>
      <c r="BC169">
        <f>Assumptions!$B$30</f>
        <v/>
      </c>
      <c r="BD169">
        <f>Assumptions!$B$29</f>
        <v/>
      </c>
      <c r="BE169">
        <f>Assumptions!$B$28</f>
        <v/>
      </c>
      <c r="BF169">
        <f>P169*Assumptions!$B$141</f>
        <v/>
      </c>
      <c r="BG169">
        <f>P169*Assumptions!$B$128</f>
        <v/>
      </c>
      <c r="BH169">
        <f>P169*Assumptions!$B$129</f>
        <v/>
      </c>
      <c r="BI169">
        <f>P169*Assumptions!$B$14</f>
        <v/>
      </c>
      <c r="BJ169">
        <f>P169*Assumptions!$B$13</f>
        <v/>
      </c>
      <c r="BK169">
        <f>P169*Assumptions!$B$12</f>
        <v/>
      </c>
      <c r="BL169">
        <f>P169*Assumptions!$B$11</f>
        <v/>
      </c>
    </row>
    <row r="170">
      <c r="A170" t="inlineStr">
        <is>
          <t>700M</t>
        </is>
      </c>
      <c r="B170">
        <f>Assumptions!$B$58</f>
        <v/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>
        <f>(1-C170)*Assumptions!$B$41+(1-D170)*Assumptions!$B$33+(1-E170)*Assumptions!$B$32+(1-F170)*Assumptions!$B$31+(1-G170)*Assumptions!$B$30+(1-H170)*Assumptions!$B$29+(1-I170)*Assumptions!$B$28</f>
        <v/>
      </c>
      <c r="K170">
        <f>C170*Assumptions!$B$141+D170*Assumptions!$B$128+E170*Assumptions!$B$129+F170*Assumptions!$B$14+G170*Assumptions!$B$13+H170*Assumptions!$B$12+I170*Assumptions!$B$11+Assumptions!$B$133+Assumptions!$B$137+Assumptions!$B$9</f>
        <v/>
      </c>
      <c r="L170">
        <f>B170-J170</f>
        <v/>
      </c>
      <c r="M170">
        <f>IF(K170&gt;0,IF(L170/K170&gt;=Assumptions!$B$37,1,0),0)</f>
        <v/>
      </c>
      <c r="N170">
        <f>K170+M170*Assumptions!$B$153</f>
        <v/>
      </c>
      <c r="O170">
        <f>L170+M170*Assumptions!$B$153*Assumptions!$B$37</f>
        <v/>
      </c>
      <c r="P170">
        <f>IF(N170&gt;0,O170/N170,0)</f>
        <v/>
      </c>
      <c r="Q170">
        <f>IF(C170=1,P170*Assumptions!$B$141,Assumptions!$B$41)</f>
        <v/>
      </c>
      <c r="R170">
        <f>IF(D170=1,P170*Assumptions!$B$128,Assumptions!$B$33)</f>
        <v/>
      </c>
      <c r="S170">
        <f>IF(E170=1,P170*Assumptions!$B$129,Assumptions!$B$32)</f>
        <v/>
      </c>
      <c r="T170">
        <f>IF(F170=1,P170*Assumptions!$B$14,Assumptions!$B$31)</f>
        <v/>
      </c>
      <c r="U170">
        <f>IF(G170=1,P170*Assumptions!$B$13,Assumptions!$B$30)</f>
        <v/>
      </c>
      <c r="V170">
        <f>IF(H170=1,P170*Assumptions!$B$12,Assumptions!$B$29)</f>
        <v/>
      </c>
      <c r="W170">
        <f>IF(I170=1,P170*Assumptions!$B$11,Assumptions!$B$28)</f>
        <v/>
      </c>
      <c r="X170">
        <f>P170*(Assumptions!$B$133+Assumptions!$B$137)</f>
        <v/>
      </c>
      <c r="Y170">
        <f>P170*Assumptions!$B$9</f>
        <v/>
      </c>
      <c r="Z170">
        <f>IF(M170=1,(P170-Assumptions!$B$37)*Assumptions!$B$153,0)</f>
        <v/>
      </c>
      <c r="AA170">
        <f>Q170+R170+S170+T170+U170+V170+W170+X170+Y170+Z170</f>
        <v/>
      </c>
      <c r="AB170" t="n">
        <v>119</v>
      </c>
      <c r="AC170" t="n">
        <v>55</v>
      </c>
      <c r="AD170" t="n">
        <v>87</v>
      </c>
      <c r="AE170" t="n">
        <v>103</v>
      </c>
      <c r="AF170" t="n">
        <v>127</v>
      </c>
      <c r="AG170" t="n">
        <v>115</v>
      </c>
      <c r="AH170" t="n">
        <v>117</v>
      </c>
      <c r="AI170" t="n">
        <v>118</v>
      </c>
      <c r="AJ170">
        <f>INDEX($Q$51:$Q$178,AC170+1)</f>
        <v/>
      </c>
      <c r="AK170">
        <f>INDEX($R$51:$R$178,AD170+1)</f>
        <v/>
      </c>
      <c r="AL170">
        <f>INDEX($S$51:$S$178,AE170+1)</f>
        <v/>
      </c>
      <c r="AM170">
        <f>INDEX($T$51:$T$178,AF170+1)</f>
        <v/>
      </c>
      <c r="AN170">
        <f>INDEX($U$51:$U$178,AG170+1)</f>
        <v/>
      </c>
      <c r="AO170">
        <f>INDEX($V$51:$V$178,AH170+1)</f>
        <v/>
      </c>
      <c r="AP170">
        <f>INDEX($W$51:$W$178,AI170+1)</f>
        <v/>
      </c>
      <c r="AQ170">
        <f>IF(Q170&gt;=AJ170-0.01,1,0)</f>
        <v/>
      </c>
      <c r="AR170">
        <f>IF(R170&gt;=AK170-0.01,1,0)</f>
        <v/>
      </c>
      <c r="AS170">
        <f>IF(S170&gt;=AL170-0.01,1,0)</f>
        <v/>
      </c>
      <c r="AT170">
        <f>IF(T170&gt;=AM170-0.01,1,0)</f>
        <v/>
      </c>
      <c r="AU170">
        <f>IF(U170&gt;=AN170-0.01,1,0)</f>
        <v/>
      </c>
      <c r="AV170">
        <f>IF(V170&gt;=AO170-0.01,1,0)</f>
        <v/>
      </c>
      <c r="AW170">
        <f>IF(W170&gt;=AP170-0.01,1,0)</f>
        <v/>
      </c>
      <c r="AX170">
        <f>AQ170*AR170*AS170*AT170*AU170*AV170*AW170</f>
        <v/>
      </c>
      <c r="AY170">
        <f>Assumptions!$B$41</f>
        <v/>
      </c>
      <c r="AZ170">
        <f>Assumptions!$B$33</f>
        <v/>
      </c>
      <c r="BA170">
        <f>Assumptions!$B$32</f>
        <v/>
      </c>
      <c r="BB170">
        <f>Assumptions!$B$31</f>
        <v/>
      </c>
      <c r="BC170">
        <f>Assumptions!$B$30</f>
        <v/>
      </c>
      <c r="BD170">
        <f>Assumptions!$B$29</f>
        <v/>
      </c>
      <c r="BE170">
        <f>Assumptions!$B$28</f>
        <v/>
      </c>
      <c r="BF170">
        <f>P170*Assumptions!$B$141</f>
        <v/>
      </c>
      <c r="BG170">
        <f>P170*Assumptions!$B$128</f>
        <v/>
      </c>
      <c r="BH170">
        <f>P170*Assumptions!$B$129</f>
        <v/>
      </c>
      <c r="BI170">
        <f>P170*Assumptions!$B$14</f>
        <v/>
      </c>
      <c r="BJ170">
        <f>P170*Assumptions!$B$13</f>
        <v/>
      </c>
      <c r="BK170">
        <f>P170*Assumptions!$B$12</f>
        <v/>
      </c>
      <c r="BL170">
        <f>P170*Assumptions!$B$11</f>
        <v/>
      </c>
    </row>
    <row r="171">
      <c r="A171" t="inlineStr">
        <is>
          <t>700M</t>
        </is>
      </c>
      <c r="B171">
        <f>Assumptions!$B$58</f>
        <v/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>
        <f>(1-C171)*Assumptions!$B$41+(1-D171)*Assumptions!$B$33+(1-E171)*Assumptions!$B$32+(1-F171)*Assumptions!$B$31+(1-G171)*Assumptions!$B$30+(1-H171)*Assumptions!$B$29+(1-I171)*Assumptions!$B$28</f>
        <v/>
      </c>
      <c r="K171">
        <f>C171*Assumptions!$B$141+D171*Assumptions!$B$128+E171*Assumptions!$B$129+F171*Assumptions!$B$14+G171*Assumptions!$B$13+H171*Assumptions!$B$12+I171*Assumptions!$B$11+Assumptions!$B$133+Assumptions!$B$137+Assumptions!$B$9</f>
        <v/>
      </c>
      <c r="L171">
        <f>B171-J171</f>
        <v/>
      </c>
      <c r="M171">
        <f>IF(K171&gt;0,IF(L171/K171&gt;=Assumptions!$B$37,1,0),0)</f>
        <v/>
      </c>
      <c r="N171">
        <f>K171+M171*Assumptions!$B$153</f>
        <v/>
      </c>
      <c r="O171">
        <f>L171+M171*Assumptions!$B$153*Assumptions!$B$37</f>
        <v/>
      </c>
      <c r="P171">
        <f>IF(N171&gt;0,O171/N171,0)</f>
        <v/>
      </c>
      <c r="Q171">
        <f>IF(C171=1,P171*Assumptions!$B$141,Assumptions!$B$41)</f>
        <v/>
      </c>
      <c r="R171">
        <f>IF(D171=1,P171*Assumptions!$B$128,Assumptions!$B$33)</f>
        <v/>
      </c>
      <c r="S171">
        <f>IF(E171=1,P171*Assumptions!$B$129,Assumptions!$B$32)</f>
        <v/>
      </c>
      <c r="T171">
        <f>IF(F171=1,P171*Assumptions!$B$14,Assumptions!$B$31)</f>
        <v/>
      </c>
      <c r="U171">
        <f>IF(G171=1,P171*Assumptions!$B$13,Assumptions!$B$30)</f>
        <v/>
      </c>
      <c r="V171">
        <f>IF(H171=1,P171*Assumptions!$B$12,Assumptions!$B$29)</f>
        <v/>
      </c>
      <c r="W171">
        <f>IF(I171=1,P171*Assumptions!$B$11,Assumptions!$B$28)</f>
        <v/>
      </c>
      <c r="X171">
        <f>P171*(Assumptions!$B$133+Assumptions!$B$137)</f>
        <v/>
      </c>
      <c r="Y171">
        <f>P171*Assumptions!$B$9</f>
        <v/>
      </c>
      <c r="Z171">
        <f>IF(M171=1,(P171-Assumptions!$B$37)*Assumptions!$B$153,0)</f>
        <v/>
      </c>
      <c r="AA171">
        <f>Q171+R171+S171+T171+U171+V171+W171+X171+Y171+Z171</f>
        <v/>
      </c>
      <c r="AB171" t="n">
        <v>120</v>
      </c>
      <c r="AC171" t="n">
        <v>56</v>
      </c>
      <c r="AD171" t="n">
        <v>88</v>
      </c>
      <c r="AE171" t="n">
        <v>104</v>
      </c>
      <c r="AF171" t="n">
        <v>112</v>
      </c>
      <c r="AG171" t="n">
        <v>124</v>
      </c>
      <c r="AH171" t="n">
        <v>122</v>
      </c>
      <c r="AI171" t="n">
        <v>121</v>
      </c>
      <c r="AJ171">
        <f>INDEX($Q$51:$Q$178,AC171+1)</f>
        <v/>
      </c>
      <c r="AK171">
        <f>INDEX($R$51:$R$178,AD171+1)</f>
        <v/>
      </c>
      <c r="AL171">
        <f>INDEX($S$51:$S$178,AE171+1)</f>
        <v/>
      </c>
      <c r="AM171">
        <f>INDEX($T$51:$T$178,AF171+1)</f>
        <v/>
      </c>
      <c r="AN171">
        <f>INDEX($U$51:$U$178,AG171+1)</f>
        <v/>
      </c>
      <c r="AO171">
        <f>INDEX($V$51:$V$178,AH171+1)</f>
        <v/>
      </c>
      <c r="AP171">
        <f>INDEX($W$51:$W$178,AI171+1)</f>
        <v/>
      </c>
      <c r="AQ171">
        <f>IF(Q171&gt;=AJ171-0.01,1,0)</f>
        <v/>
      </c>
      <c r="AR171">
        <f>IF(R171&gt;=AK171-0.01,1,0)</f>
        <v/>
      </c>
      <c r="AS171">
        <f>IF(S171&gt;=AL171-0.01,1,0)</f>
        <v/>
      </c>
      <c r="AT171">
        <f>IF(T171&gt;=AM171-0.01,1,0)</f>
        <v/>
      </c>
      <c r="AU171">
        <f>IF(U171&gt;=AN171-0.01,1,0)</f>
        <v/>
      </c>
      <c r="AV171">
        <f>IF(V171&gt;=AO171-0.01,1,0)</f>
        <v/>
      </c>
      <c r="AW171">
        <f>IF(W171&gt;=AP171-0.01,1,0)</f>
        <v/>
      </c>
      <c r="AX171">
        <f>AQ171*AR171*AS171*AT171*AU171*AV171*AW171</f>
        <v/>
      </c>
      <c r="AY171">
        <f>Assumptions!$B$41</f>
        <v/>
      </c>
      <c r="AZ171">
        <f>Assumptions!$B$33</f>
        <v/>
      </c>
      <c r="BA171">
        <f>Assumptions!$B$32</f>
        <v/>
      </c>
      <c r="BB171">
        <f>Assumptions!$B$31</f>
        <v/>
      </c>
      <c r="BC171">
        <f>Assumptions!$B$30</f>
        <v/>
      </c>
      <c r="BD171">
        <f>Assumptions!$B$29</f>
        <v/>
      </c>
      <c r="BE171">
        <f>Assumptions!$B$28</f>
        <v/>
      </c>
      <c r="BF171">
        <f>P171*Assumptions!$B$141</f>
        <v/>
      </c>
      <c r="BG171">
        <f>P171*Assumptions!$B$128</f>
        <v/>
      </c>
      <c r="BH171">
        <f>P171*Assumptions!$B$129</f>
        <v/>
      </c>
      <c r="BI171">
        <f>P171*Assumptions!$B$14</f>
        <v/>
      </c>
      <c r="BJ171">
        <f>P171*Assumptions!$B$13</f>
        <v/>
      </c>
      <c r="BK171">
        <f>P171*Assumptions!$B$12</f>
        <v/>
      </c>
      <c r="BL171">
        <f>P171*Assumptions!$B$11</f>
        <v/>
      </c>
    </row>
    <row r="172">
      <c r="A172" t="inlineStr">
        <is>
          <t>700M</t>
        </is>
      </c>
      <c r="B172">
        <f>Assumptions!$B$58</f>
        <v/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>
        <f>(1-C172)*Assumptions!$B$41+(1-D172)*Assumptions!$B$33+(1-E172)*Assumptions!$B$32+(1-F172)*Assumptions!$B$31+(1-G172)*Assumptions!$B$30+(1-H172)*Assumptions!$B$29+(1-I172)*Assumptions!$B$28</f>
        <v/>
      </c>
      <c r="K172">
        <f>C172*Assumptions!$B$141+D172*Assumptions!$B$128+E172*Assumptions!$B$129+F172*Assumptions!$B$14+G172*Assumptions!$B$13+H172*Assumptions!$B$12+I172*Assumptions!$B$11+Assumptions!$B$133+Assumptions!$B$137+Assumptions!$B$9</f>
        <v/>
      </c>
      <c r="L172">
        <f>B172-J172</f>
        <v/>
      </c>
      <c r="M172">
        <f>IF(K172&gt;0,IF(L172/K172&gt;=Assumptions!$B$37,1,0),0)</f>
        <v/>
      </c>
      <c r="N172">
        <f>K172+M172*Assumptions!$B$153</f>
        <v/>
      </c>
      <c r="O172">
        <f>L172+M172*Assumptions!$B$153*Assumptions!$B$37</f>
        <v/>
      </c>
      <c r="P172">
        <f>IF(N172&gt;0,O172/N172,0)</f>
        <v/>
      </c>
      <c r="Q172">
        <f>IF(C172=1,P172*Assumptions!$B$141,Assumptions!$B$41)</f>
        <v/>
      </c>
      <c r="R172">
        <f>IF(D172=1,P172*Assumptions!$B$128,Assumptions!$B$33)</f>
        <v/>
      </c>
      <c r="S172">
        <f>IF(E172=1,P172*Assumptions!$B$129,Assumptions!$B$32)</f>
        <v/>
      </c>
      <c r="T172">
        <f>IF(F172=1,P172*Assumptions!$B$14,Assumptions!$B$31)</f>
        <v/>
      </c>
      <c r="U172">
        <f>IF(G172=1,P172*Assumptions!$B$13,Assumptions!$B$30)</f>
        <v/>
      </c>
      <c r="V172">
        <f>IF(H172=1,P172*Assumptions!$B$12,Assumptions!$B$29)</f>
        <v/>
      </c>
      <c r="W172">
        <f>IF(I172=1,P172*Assumptions!$B$11,Assumptions!$B$28)</f>
        <v/>
      </c>
      <c r="X172">
        <f>P172*(Assumptions!$B$133+Assumptions!$B$137)</f>
        <v/>
      </c>
      <c r="Y172">
        <f>P172*Assumptions!$B$9</f>
        <v/>
      </c>
      <c r="Z172">
        <f>IF(M172=1,(P172-Assumptions!$B$37)*Assumptions!$B$153,0)</f>
        <v/>
      </c>
      <c r="AA172">
        <f>Q172+R172+S172+T172+U172+V172+W172+X172+Y172+Z172</f>
        <v/>
      </c>
      <c r="AB172" t="n">
        <v>121</v>
      </c>
      <c r="AC172" t="n">
        <v>57</v>
      </c>
      <c r="AD172" t="n">
        <v>89</v>
      </c>
      <c r="AE172" t="n">
        <v>105</v>
      </c>
      <c r="AF172" t="n">
        <v>113</v>
      </c>
      <c r="AG172" t="n">
        <v>125</v>
      </c>
      <c r="AH172" t="n">
        <v>123</v>
      </c>
      <c r="AI172" t="n">
        <v>120</v>
      </c>
      <c r="AJ172">
        <f>INDEX($Q$51:$Q$178,AC172+1)</f>
        <v/>
      </c>
      <c r="AK172">
        <f>INDEX($R$51:$R$178,AD172+1)</f>
        <v/>
      </c>
      <c r="AL172">
        <f>INDEX($S$51:$S$178,AE172+1)</f>
        <v/>
      </c>
      <c r="AM172">
        <f>INDEX($T$51:$T$178,AF172+1)</f>
        <v/>
      </c>
      <c r="AN172">
        <f>INDEX($U$51:$U$178,AG172+1)</f>
        <v/>
      </c>
      <c r="AO172">
        <f>INDEX($V$51:$V$178,AH172+1)</f>
        <v/>
      </c>
      <c r="AP172">
        <f>INDEX($W$51:$W$178,AI172+1)</f>
        <v/>
      </c>
      <c r="AQ172">
        <f>IF(Q172&gt;=AJ172-0.01,1,0)</f>
        <v/>
      </c>
      <c r="AR172">
        <f>IF(R172&gt;=AK172-0.01,1,0)</f>
        <v/>
      </c>
      <c r="AS172">
        <f>IF(S172&gt;=AL172-0.01,1,0)</f>
        <v/>
      </c>
      <c r="AT172">
        <f>IF(T172&gt;=AM172-0.01,1,0)</f>
        <v/>
      </c>
      <c r="AU172">
        <f>IF(U172&gt;=AN172-0.01,1,0)</f>
        <v/>
      </c>
      <c r="AV172">
        <f>IF(V172&gt;=AO172-0.01,1,0)</f>
        <v/>
      </c>
      <c r="AW172">
        <f>IF(W172&gt;=AP172-0.01,1,0)</f>
        <v/>
      </c>
      <c r="AX172">
        <f>AQ172*AR172*AS172*AT172*AU172*AV172*AW172</f>
        <v/>
      </c>
      <c r="AY172">
        <f>Assumptions!$B$41</f>
        <v/>
      </c>
      <c r="AZ172">
        <f>Assumptions!$B$33</f>
        <v/>
      </c>
      <c r="BA172">
        <f>Assumptions!$B$32</f>
        <v/>
      </c>
      <c r="BB172">
        <f>Assumptions!$B$31</f>
        <v/>
      </c>
      <c r="BC172">
        <f>Assumptions!$B$30</f>
        <v/>
      </c>
      <c r="BD172">
        <f>Assumptions!$B$29</f>
        <v/>
      </c>
      <c r="BE172">
        <f>Assumptions!$B$28</f>
        <v/>
      </c>
      <c r="BF172">
        <f>P172*Assumptions!$B$141</f>
        <v/>
      </c>
      <c r="BG172">
        <f>P172*Assumptions!$B$128</f>
        <v/>
      </c>
      <c r="BH172">
        <f>P172*Assumptions!$B$129</f>
        <v/>
      </c>
      <c r="BI172">
        <f>P172*Assumptions!$B$14</f>
        <v/>
      </c>
      <c r="BJ172">
        <f>P172*Assumptions!$B$13</f>
        <v/>
      </c>
      <c r="BK172">
        <f>P172*Assumptions!$B$12</f>
        <v/>
      </c>
      <c r="BL172">
        <f>P172*Assumptions!$B$11</f>
        <v/>
      </c>
    </row>
    <row r="173">
      <c r="A173" t="inlineStr">
        <is>
          <t>700M</t>
        </is>
      </c>
      <c r="B173">
        <f>Assumptions!$B$58</f>
        <v/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>
        <f>(1-C173)*Assumptions!$B$41+(1-D173)*Assumptions!$B$33+(1-E173)*Assumptions!$B$32+(1-F173)*Assumptions!$B$31+(1-G173)*Assumptions!$B$30+(1-H173)*Assumptions!$B$29+(1-I173)*Assumptions!$B$28</f>
        <v/>
      </c>
      <c r="K173">
        <f>C173*Assumptions!$B$141+D173*Assumptions!$B$128+E173*Assumptions!$B$129+F173*Assumptions!$B$14+G173*Assumptions!$B$13+H173*Assumptions!$B$12+I173*Assumptions!$B$11+Assumptions!$B$133+Assumptions!$B$137+Assumptions!$B$9</f>
        <v/>
      </c>
      <c r="L173">
        <f>B173-J173</f>
        <v/>
      </c>
      <c r="M173">
        <f>IF(K173&gt;0,IF(L173/K173&gt;=Assumptions!$B$37,1,0),0)</f>
        <v/>
      </c>
      <c r="N173">
        <f>K173+M173*Assumptions!$B$153</f>
        <v/>
      </c>
      <c r="O173">
        <f>L173+M173*Assumptions!$B$153*Assumptions!$B$37</f>
        <v/>
      </c>
      <c r="P173">
        <f>IF(N173&gt;0,O173/N173,0)</f>
        <v/>
      </c>
      <c r="Q173">
        <f>IF(C173=1,P173*Assumptions!$B$141,Assumptions!$B$41)</f>
        <v/>
      </c>
      <c r="R173">
        <f>IF(D173=1,P173*Assumptions!$B$128,Assumptions!$B$33)</f>
        <v/>
      </c>
      <c r="S173">
        <f>IF(E173=1,P173*Assumptions!$B$129,Assumptions!$B$32)</f>
        <v/>
      </c>
      <c r="T173">
        <f>IF(F173=1,P173*Assumptions!$B$14,Assumptions!$B$31)</f>
        <v/>
      </c>
      <c r="U173">
        <f>IF(G173=1,P173*Assumptions!$B$13,Assumptions!$B$30)</f>
        <v/>
      </c>
      <c r="V173">
        <f>IF(H173=1,P173*Assumptions!$B$12,Assumptions!$B$29)</f>
        <v/>
      </c>
      <c r="W173">
        <f>IF(I173=1,P173*Assumptions!$B$11,Assumptions!$B$28)</f>
        <v/>
      </c>
      <c r="X173">
        <f>P173*(Assumptions!$B$133+Assumptions!$B$137)</f>
        <v/>
      </c>
      <c r="Y173">
        <f>P173*Assumptions!$B$9</f>
        <v/>
      </c>
      <c r="Z173">
        <f>IF(M173=1,(P173-Assumptions!$B$37)*Assumptions!$B$153,0)</f>
        <v/>
      </c>
      <c r="AA173">
        <f>Q173+R173+S173+T173+U173+V173+W173+X173+Y173+Z173</f>
        <v/>
      </c>
      <c r="AB173" t="n">
        <v>122</v>
      </c>
      <c r="AC173" t="n">
        <v>58</v>
      </c>
      <c r="AD173" t="n">
        <v>90</v>
      </c>
      <c r="AE173" t="n">
        <v>106</v>
      </c>
      <c r="AF173" t="n">
        <v>114</v>
      </c>
      <c r="AG173" t="n">
        <v>126</v>
      </c>
      <c r="AH173" t="n">
        <v>120</v>
      </c>
      <c r="AI173" t="n">
        <v>123</v>
      </c>
      <c r="AJ173">
        <f>INDEX($Q$51:$Q$178,AC173+1)</f>
        <v/>
      </c>
      <c r="AK173">
        <f>INDEX($R$51:$R$178,AD173+1)</f>
        <v/>
      </c>
      <c r="AL173">
        <f>INDEX($S$51:$S$178,AE173+1)</f>
        <v/>
      </c>
      <c r="AM173">
        <f>INDEX($T$51:$T$178,AF173+1)</f>
        <v/>
      </c>
      <c r="AN173">
        <f>INDEX($U$51:$U$178,AG173+1)</f>
        <v/>
      </c>
      <c r="AO173">
        <f>INDEX($V$51:$V$178,AH173+1)</f>
        <v/>
      </c>
      <c r="AP173">
        <f>INDEX($W$51:$W$178,AI173+1)</f>
        <v/>
      </c>
      <c r="AQ173">
        <f>IF(Q173&gt;=AJ173-0.01,1,0)</f>
        <v/>
      </c>
      <c r="AR173">
        <f>IF(R173&gt;=AK173-0.01,1,0)</f>
        <v/>
      </c>
      <c r="AS173">
        <f>IF(S173&gt;=AL173-0.01,1,0)</f>
        <v/>
      </c>
      <c r="AT173">
        <f>IF(T173&gt;=AM173-0.01,1,0)</f>
        <v/>
      </c>
      <c r="AU173">
        <f>IF(U173&gt;=AN173-0.01,1,0)</f>
        <v/>
      </c>
      <c r="AV173">
        <f>IF(V173&gt;=AO173-0.01,1,0)</f>
        <v/>
      </c>
      <c r="AW173">
        <f>IF(W173&gt;=AP173-0.01,1,0)</f>
        <v/>
      </c>
      <c r="AX173">
        <f>AQ173*AR173*AS173*AT173*AU173*AV173*AW173</f>
        <v/>
      </c>
      <c r="AY173">
        <f>Assumptions!$B$41</f>
        <v/>
      </c>
      <c r="AZ173">
        <f>Assumptions!$B$33</f>
        <v/>
      </c>
      <c r="BA173">
        <f>Assumptions!$B$32</f>
        <v/>
      </c>
      <c r="BB173">
        <f>Assumptions!$B$31</f>
        <v/>
      </c>
      <c r="BC173">
        <f>Assumptions!$B$30</f>
        <v/>
      </c>
      <c r="BD173">
        <f>Assumptions!$B$29</f>
        <v/>
      </c>
      <c r="BE173">
        <f>Assumptions!$B$28</f>
        <v/>
      </c>
      <c r="BF173">
        <f>P173*Assumptions!$B$141</f>
        <v/>
      </c>
      <c r="BG173">
        <f>P173*Assumptions!$B$128</f>
        <v/>
      </c>
      <c r="BH173">
        <f>P173*Assumptions!$B$129</f>
        <v/>
      </c>
      <c r="BI173">
        <f>P173*Assumptions!$B$14</f>
        <v/>
      </c>
      <c r="BJ173">
        <f>P173*Assumptions!$B$13</f>
        <v/>
      </c>
      <c r="BK173">
        <f>P173*Assumptions!$B$12</f>
        <v/>
      </c>
      <c r="BL173">
        <f>P173*Assumptions!$B$11</f>
        <v/>
      </c>
    </row>
    <row r="174">
      <c r="A174" t="inlineStr">
        <is>
          <t>700M</t>
        </is>
      </c>
      <c r="B174">
        <f>Assumptions!$B$58</f>
        <v/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>
        <f>(1-C174)*Assumptions!$B$41+(1-D174)*Assumptions!$B$33+(1-E174)*Assumptions!$B$32+(1-F174)*Assumptions!$B$31+(1-G174)*Assumptions!$B$30+(1-H174)*Assumptions!$B$29+(1-I174)*Assumptions!$B$28</f>
        <v/>
      </c>
      <c r="K174">
        <f>C174*Assumptions!$B$141+D174*Assumptions!$B$128+E174*Assumptions!$B$129+F174*Assumptions!$B$14+G174*Assumptions!$B$13+H174*Assumptions!$B$12+I174*Assumptions!$B$11+Assumptions!$B$133+Assumptions!$B$137+Assumptions!$B$9</f>
        <v/>
      </c>
      <c r="L174">
        <f>B174-J174</f>
        <v/>
      </c>
      <c r="M174">
        <f>IF(K174&gt;0,IF(L174/K174&gt;=Assumptions!$B$37,1,0),0)</f>
        <v/>
      </c>
      <c r="N174">
        <f>K174+M174*Assumptions!$B$153</f>
        <v/>
      </c>
      <c r="O174">
        <f>L174+M174*Assumptions!$B$153*Assumptions!$B$37</f>
        <v/>
      </c>
      <c r="P174">
        <f>IF(N174&gt;0,O174/N174,0)</f>
        <v/>
      </c>
      <c r="Q174">
        <f>IF(C174=1,P174*Assumptions!$B$141,Assumptions!$B$41)</f>
        <v/>
      </c>
      <c r="R174">
        <f>IF(D174=1,P174*Assumptions!$B$128,Assumptions!$B$33)</f>
        <v/>
      </c>
      <c r="S174">
        <f>IF(E174=1,P174*Assumptions!$B$129,Assumptions!$B$32)</f>
        <v/>
      </c>
      <c r="T174">
        <f>IF(F174=1,P174*Assumptions!$B$14,Assumptions!$B$31)</f>
        <v/>
      </c>
      <c r="U174">
        <f>IF(G174=1,P174*Assumptions!$B$13,Assumptions!$B$30)</f>
        <v/>
      </c>
      <c r="V174">
        <f>IF(H174=1,P174*Assumptions!$B$12,Assumptions!$B$29)</f>
        <v/>
      </c>
      <c r="W174">
        <f>IF(I174=1,P174*Assumptions!$B$11,Assumptions!$B$28)</f>
        <v/>
      </c>
      <c r="X174">
        <f>P174*(Assumptions!$B$133+Assumptions!$B$137)</f>
        <v/>
      </c>
      <c r="Y174">
        <f>P174*Assumptions!$B$9</f>
        <v/>
      </c>
      <c r="Z174">
        <f>IF(M174=1,(P174-Assumptions!$B$37)*Assumptions!$B$153,0)</f>
        <v/>
      </c>
      <c r="AA174">
        <f>Q174+R174+S174+T174+U174+V174+W174+X174+Y174+Z174</f>
        <v/>
      </c>
      <c r="AB174" t="n">
        <v>123</v>
      </c>
      <c r="AC174" t="n">
        <v>59</v>
      </c>
      <c r="AD174" t="n">
        <v>91</v>
      </c>
      <c r="AE174" t="n">
        <v>107</v>
      </c>
      <c r="AF174" t="n">
        <v>115</v>
      </c>
      <c r="AG174" t="n">
        <v>127</v>
      </c>
      <c r="AH174" t="n">
        <v>121</v>
      </c>
      <c r="AI174" t="n">
        <v>122</v>
      </c>
      <c r="AJ174">
        <f>INDEX($Q$51:$Q$178,AC174+1)</f>
        <v/>
      </c>
      <c r="AK174">
        <f>INDEX($R$51:$R$178,AD174+1)</f>
        <v/>
      </c>
      <c r="AL174">
        <f>INDEX($S$51:$S$178,AE174+1)</f>
        <v/>
      </c>
      <c r="AM174">
        <f>INDEX($T$51:$T$178,AF174+1)</f>
        <v/>
      </c>
      <c r="AN174">
        <f>INDEX($U$51:$U$178,AG174+1)</f>
        <v/>
      </c>
      <c r="AO174">
        <f>INDEX($V$51:$V$178,AH174+1)</f>
        <v/>
      </c>
      <c r="AP174">
        <f>INDEX($W$51:$W$178,AI174+1)</f>
        <v/>
      </c>
      <c r="AQ174">
        <f>IF(Q174&gt;=AJ174-0.01,1,0)</f>
        <v/>
      </c>
      <c r="AR174">
        <f>IF(R174&gt;=AK174-0.01,1,0)</f>
        <v/>
      </c>
      <c r="AS174">
        <f>IF(S174&gt;=AL174-0.01,1,0)</f>
        <v/>
      </c>
      <c r="AT174">
        <f>IF(T174&gt;=AM174-0.01,1,0)</f>
        <v/>
      </c>
      <c r="AU174">
        <f>IF(U174&gt;=AN174-0.01,1,0)</f>
        <v/>
      </c>
      <c r="AV174">
        <f>IF(V174&gt;=AO174-0.01,1,0)</f>
        <v/>
      </c>
      <c r="AW174">
        <f>IF(W174&gt;=AP174-0.01,1,0)</f>
        <v/>
      </c>
      <c r="AX174">
        <f>AQ174*AR174*AS174*AT174*AU174*AV174*AW174</f>
        <v/>
      </c>
      <c r="AY174">
        <f>Assumptions!$B$41</f>
        <v/>
      </c>
      <c r="AZ174">
        <f>Assumptions!$B$33</f>
        <v/>
      </c>
      <c r="BA174">
        <f>Assumptions!$B$32</f>
        <v/>
      </c>
      <c r="BB174">
        <f>Assumptions!$B$31</f>
        <v/>
      </c>
      <c r="BC174">
        <f>Assumptions!$B$30</f>
        <v/>
      </c>
      <c r="BD174">
        <f>Assumptions!$B$29</f>
        <v/>
      </c>
      <c r="BE174">
        <f>Assumptions!$B$28</f>
        <v/>
      </c>
      <c r="BF174">
        <f>P174*Assumptions!$B$141</f>
        <v/>
      </c>
      <c r="BG174">
        <f>P174*Assumptions!$B$128</f>
        <v/>
      </c>
      <c r="BH174">
        <f>P174*Assumptions!$B$129</f>
        <v/>
      </c>
      <c r="BI174">
        <f>P174*Assumptions!$B$14</f>
        <v/>
      </c>
      <c r="BJ174">
        <f>P174*Assumptions!$B$13</f>
        <v/>
      </c>
      <c r="BK174">
        <f>P174*Assumptions!$B$12</f>
        <v/>
      </c>
      <c r="BL174">
        <f>P174*Assumptions!$B$11</f>
        <v/>
      </c>
    </row>
    <row r="175">
      <c r="A175" t="inlineStr">
        <is>
          <t>700M</t>
        </is>
      </c>
      <c r="B175">
        <f>Assumptions!$B$58</f>
        <v/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>
        <f>(1-C175)*Assumptions!$B$41+(1-D175)*Assumptions!$B$33+(1-E175)*Assumptions!$B$32+(1-F175)*Assumptions!$B$31+(1-G175)*Assumptions!$B$30+(1-H175)*Assumptions!$B$29+(1-I175)*Assumptions!$B$28</f>
        <v/>
      </c>
      <c r="K175">
        <f>C175*Assumptions!$B$141+D175*Assumptions!$B$128+E175*Assumptions!$B$129+F175*Assumptions!$B$14+G175*Assumptions!$B$13+H175*Assumptions!$B$12+I175*Assumptions!$B$11+Assumptions!$B$133+Assumptions!$B$137+Assumptions!$B$9</f>
        <v/>
      </c>
      <c r="L175">
        <f>B175-J175</f>
        <v/>
      </c>
      <c r="M175">
        <f>IF(K175&gt;0,IF(L175/K175&gt;=Assumptions!$B$37,1,0),0)</f>
        <v/>
      </c>
      <c r="N175">
        <f>K175+M175*Assumptions!$B$153</f>
        <v/>
      </c>
      <c r="O175">
        <f>L175+M175*Assumptions!$B$153*Assumptions!$B$37</f>
        <v/>
      </c>
      <c r="P175">
        <f>IF(N175&gt;0,O175/N175,0)</f>
        <v/>
      </c>
      <c r="Q175">
        <f>IF(C175=1,P175*Assumptions!$B$141,Assumptions!$B$41)</f>
        <v/>
      </c>
      <c r="R175">
        <f>IF(D175=1,P175*Assumptions!$B$128,Assumptions!$B$33)</f>
        <v/>
      </c>
      <c r="S175">
        <f>IF(E175=1,P175*Assumptions!$B$129,Assumptions!$B$32)</f>
        <v/>
      </c>
      <c r="T175">
        <f>IF(F175=1,P175*Assumptions!$B$14,Assumptions!$B$31)</f>
        <v/>
      </c>
      <c r="U175">
        <f>IF(G175=1,P175*Assumptions!$B$13,Assumptions!$B$30)</f>
        <v/>
      </c>
      <c r="V175">
        <f>IF(H175=1,P175*Assumptions!$B$12,Assumptions!$B$29)</f>
        <v/>
      </c>
      <c r="W175">
        <f>IF(I175=1,P175*Assumptions!$B$11,Assumptions!$B$28)</f>
        <v/>
      </c>
      <c r="X175">
        <f>P175*(Assumptions!$B$133+Assumptions!$B$137)</f>
        <v/>
      </c>
      <c r="Y175">
        <f>P175*Assumptions!$B$9</f>
        <v/>
      </c>
      <c r="Z175">
        <f>IF(M175=1,(P175-Assumptions!$B$37)*Assumptions!$B$153,0)</f>
        <v/>
      </c>
      <c r="AA175">
        <f>Q175+R175+S175+T175+U175+V175+W175+X175+Y175+Z175</f>
        <v/>
      </c>
      <c r="AB175" t="n">
        <v>124</v>
      </c>
      <c r="AC175" t="n">
        <v>60</v>
      </c>
      <c r="AD175" t="n">
        <v>92</v>
      </c>
      <c r="AE175" t="n">
        <v>108</v>
      </c>
      <c r="AF175" t="n">
        <v>116</v>
      </c>
      <c r="AG175" t="n">
        <v>120</v>
      </c>
      <c r="AH175" t="n">
        <v>126</v>
      </c>
      <c r="AI175" t="n">
        <v>125</v>
      </c>
      <c r="AJ175">
        <f>INDEX($Q$51:$Q$178,AC175+1)</f>
        <v/>
      </c>
      <c r="AK175">
        <f>INDEX($R$51:$R$178,AD175+1)</f>
        <v/>
      </c>
      <c r="AL175">
        <f>INDEX($S$51:$S$178,AE175+1)</f>
        <v/>
      </c>
      <c r="AM175">
        <f>INDEX($T$51:$T$178,AF175+1)</f>
        <v/>
      </c>
      <c r="AN175">
        <f>INDEX($U$51:$U$178,AG175+1)</f>
        <v/>
      </c>
      <c r="AO175">
        <f>INDEX($V$51:$V$178,AH175+1)</f>
        <v/>
      </c>
      <c r="AP175">
        <f>INDEX($W$51:$W$178,AI175+1)</f>
        <v/>
      </c>
      <c r="AQ175">
        <f>IF(Q175&gt;=AJ175-0.01,1,0)</f>
        <v/>
      </c>
      <c r="AR175">
        <f>IF(R175&gt;=AK175-0.01,1,0)</f>
        <v/>
      </c>
      <c r="AS175">
        <f>IF(S175&gt;=AL175-0.01,1,0)</f>
        <v/>
      </c>
      <c r="AT175">
        <f>IF(T175&gt;=AM175-0.01,1,0)</f>
        <v/>
      </c>
      <c r="AU175">
        <f>IF(U175&gt;=AN175-0.01,1,0)</f>
        <v/>
      </c>
      <c r="AV175">
        <f>IF(V175&gt;=AO175-0.01,1,0)</f>
        <v/>
      </c>
      <c r="AW175">
        <f>IF(W175&gt;=AP175-0.01,1,0)</f>
        <v/>
      </c>
      <c r="AX175">
        <f>AQ175*AR175*AS175*AT175*AU175*AV175*AW175</f>
        <v/>
      </c>
      <c r="AY175">
        <f>Assumptions!$B$41</f>
        <v/>
      </c>
      <c r="AZ175">
        <f>Assumptions!$B$33</f>
        <v/>
      </c>
      <c r="BA175">
        <f>Assumptions!$B$32</f>
        <v/>
      </c>
      <c r="BB175">
        <f>Assumptions!$B$31</f>
        <v/>
      </c>
      <c r="BC175">
        <f>Assumptions!$B$30</f>
        <v/>
      </c>
      <c r="BD175">
        <f>Assumptions!$B$29</f>
        <v/>
      </c>
      <c r="BE175">
        <f>Assumptions!$B$28</f>
        <v/>
      </c>
      <c r="BF175">
        <f>P175*Assumptions!$B$141</f>
        <v/>
      </c>
      <c r="BG175">
        <f>P175*Assumptions!$B$128</f>
        <v/>
      </c>
      <c r="BH175">
        <f>P175*Assumptions!$B$129</f>
        <v/>
      </c>
      <c r="BI175">
        <f>P175*Assumptions!$B$14</f>
        <v/>
      </c>
      <c r="BJ175">
        <f>P175*Assumptions!$B$13</f>
        <v/>
      </c>
      <c r="BK175">
        <f>P175*Assumptions!$B$12</f>
        <v/>
      </c>
      <c r="BL175">
        <f>P175*Assumptions!$B$11</f>
        <v/>
      </c>
    </row>
    <row r="176">
      <c r="A176" t="inlineStr">
        <is>
          <t>700M</t>
        </is>
      </c>
      <c r="B176">
        <f>Assumptions!$B$58</f>
        <v/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>
        <f>(1-C176)*Assumptions!$B$41+(1-D176)*Assumptions!$B$33+(1-E176)*Assumptions!$B$32+(1-F176)*Assumptions!$B$31+(1-G176)*Assumptions!$B$30+(1-H176)*Assumptions!$B$29+(1-I176)*Assumptions!$B$28</f>
        <v/>
      </c>
      <c r="K176">
        <f>C176*Assumptions!$B$141+D176*Assumptions!$B$128+E176*Assumptions!$B$129+F176*Assumptions!$B$14+G176*Assumptions!$B$13+H176*Assumptions!$B$12+I176*Assumptions!$B$11+Assumptions!$B$133+Assumptions!$B$137+Assumptions!$B$9</f>
        <v/>
      </c>
      <c r="L176">
        <f>B176-J176</f>
        <v/>
      </c>
      <c r="M176">
        <f>IF(K176&gt;0,IF(L176/K176&gt;=Assumptions!$B$37,1,0),0)</f>
        <v/>
      </c>
      <c r="N176">
        <f>K176+M176*Assumptions!$B$153</f>
        <v/>
      </c>
      <c r="O176">
        <f>L176+M176*Assumptions!$B$153*Assumptions!$B$37</f>
        <v/>
      </c>
      <c r="P176">
        <f>IF(N176&gt;0,O176/N176,0)</f>
        <v/>
      </c>
      <c r="Q176">
        <f>IF(C176=1,P176*Assumptions!$B$141,Assumptions!$B$41)</f>
        <v/>
      </c>
      <c r="R176">
        <f>IF(D176=1,P176*Assumptions!$B$128,Assumptions!$B$33)</f>
        <v/>
      </c>
      <c r="S176">
        <f>IF(E176=1,P176*Assumptions!$B$129,Assumptions!$B$32)</f>
        <v/>
      </c>
      <c r="T176">
        <f>IF(F176=1,P176*Assumptions!$B$14,Assumptions!$B$31)</f>
        <v/>
      </c>
      <c r="U176">
        <f>IF(G176=1,P176*Assumptions!$B$13,Assumptions!$B$30)</f>
        <v/>
      </c>
      <c r="V176">
        <f>IF(H176=1,P176*Assumptions!$B$12,Assumptions!$B$29)</f>
        <v/>
      </c>
      <c r="W176">
        <f>IF(I176=1,P176*Assumptions!$B$11,Assumptions!$B$28)</f>
        <v/>
      </c>
      <c r="X176">
        <f>P176*(Assumptions!$B$133+Assumptions!$B$137)</f>
        <v/>
      </c>
      <c r="Y176">
        <f>P176*Assumptions!$B$9</f>
        <v/>
      </c>
      <c r="Z176">
        <f>IF(M176=1,(P176-Assumptions!$B$37)*Assumptions!$B$153,0)</f>
        <v/>
      </c>
      <c r="AA176">
        <f>Q176+R176+S176+T176+U176+V176+W176+X176+Y176+Z176</f>
        <v/>
      </c>
      <c r="AB176" t="n">
        <v>125</v>
      </c>
      <c r="AC176" t="n">
        <v>61</v>
      </c>
      <c r="AD176" t="n">
        <v>93</v>
      </c>
      <c r="AE176" t="n">
        <v>109</v>
      </c>
      <c r="AF176" t="n">
        <v>117</v>
      </c>
      <c r="AG176" t="n">
        <v>121</v>
      </c>
      <c r="AH176" t="n">
        <v>127</v>
      </c>
      <c r="AI176" t="n">
        <v>124</v>
      </c>
      <c r="AJ176">
        <f>INDEX($Q$51:$Q$178,AC176+1)</f>
        <v/>
      </c>
      <c r="AK176">
        <f>INDEX($R$51:$R$178,AD176+1)</f>
        <v/>
      </c>
      <c r="AL176">
        <f>INDEX($S$51:$S$178,AE176+1)</f>
        <v/>
      </c>
      <c r="AM176">
        <f>INDEX($T$51:$T$178,AF176+1)</f>
        <v/>
      </c>
      <c r="AN176">
        <f>INDEX($U$51:$U$178,AG176+1)</f>
        <v/>
      </c>
      <c r="AO176">
        <f>INDEX($V$51:$V$178,AH176+1)</f>
        <v/>
      </c>
      <c r="AP176">
        <f>INDEX($W$51:$W$178,AI176+1)</f>
        <v/>
      </c>
      <c r="AQ176">
        <f>IF(Q176&gt;=AJ176-0.01,1,0)</f>
        <v/>
      </c>
      <c r="AR176">
        <f>IF(R176&gt;=AK176-0.01,1,0)</f>
        <v/>
      </c>
      <c r="AS176">
        <f>IF(S176&gt;=AL176-0.01,1,0)</f>
        <v/>
      </c>
      <c r="AT176">
        <f>IF(T176&gt;=AM176-0.01,1,0)</f>
        <v/>
      </c>
      <c r="AU176">
        <f>IF(U176&gt;=AN176-0.01,1,0)</f>
        <v/>
      </c>
      <c r="AV176">
        <f>IF(V176&gt;=AO176-0.01,1,0)</f>
        <v/>
      </c>
      <c r="AW176">
        <f>IF(W176&gt;=AP176-0.01,1,0)</f>
        <v/>
      </c>
      <c r="AX176">
        <f>AQ176*AR176*AS176*AT176*AU176*AV176*AW176</f>
        <v/>
      </c>
      <c r="AY176">
        <f>Assumptions!$B$41</f>
        <v/>
      </c>
      <c r="AZ176">
        <f>Assumptions!$B$33</f>
        <v/>
      </c>
      <c r="BA176">
        <f>Assumptions!$B$32</f>
        <v/>
      </c>
      <c r="BB176">
        <f>Assumptions!$B$31</f>
        <v/>
      </c>
      <c r="BC176">
        <f>Assumptions!$B$30</f>
        <v/>
      </c>
      <c r="BD176">
        <f>Assumptions!$B$29</f>
        <v/>
      </c>
      <c r="BE176">
        <f>Assumptions!$B$28</f>
        <v/>
      </c>
      <c r="BF176">
        <f>P176*Assumptions!$B$141</f>
        <v/>
      </c>
      <c r="BG176">
        <f>P176*Assumptions!$B$128</f>
        <v/>
      </c>
      <c r="BH176">
        <f>P176*Assumptions!$B$129</f>
        <v/>
      </c>
      <c r="BI176">
        <f>P176*Assumptions!$B$14</f>
        <v/>
      </c>
      <c r="BJ176">
        <f>P176*Assumptions!$B$13</f>
        <v/>
      </c>
      <c r="BK176">
        <f>P176*Assumptions!$B$12</f>
        <v/>
      </c>
      <c r="BL176">
        <f>P176*Assumptions!$B$11</f>
        <v/>
      </c>
    </row>
    <row r="177">
      <c r="A177" t="inlineStr">
        <is>
          <t>700M</t>
        </is>
      </c>
      <c r="B177">
        <f>Assumptions!$B$58</f>
        <v/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>
        <f>(1-C177)*Assumptions!$B$41+(1-D177)*Assumptions!$B$33+(1-E177)*Assumptions!$B$32+(1-F177)*Assumptions!$B$31+(1-G177)*Assumptions!$B$30+(1-H177)*Assumptions!$B$29+(1-I177)*Assumptions!$B$28</f>
        <v/>
      </c>
      <c r="K177">
        <f>C177*Assumptions!$B$141+D177*Assumptions!$B$128+E177*Assumptions!$B$129+F177*Assumptions!$B$14+G177*Assumptions!$B$13+H177*Assumptions!$B$12+I177*Assumptions!$B$11+Assumptions!$B$133+Assumptions!$B$137+Assumptions!$B$9</f>
        <v/>
      </c>
      <c r="L177">
        <f>B177-J177</f>
        <v/>
      </c>
      <c r="M177">
        <f>IF(K177&gt;0,IF(L177/K177&gt;=Assumptions!$B$37,1,0),0)</f>
        <v/>
      </c>
      <c r="N177">
        <f>K177+M177*Assumptions!$B$153</f>
        <v/>
      </c>
      <c r="O177">
        <f>L177+M177*Assumptions!$B$153*Assumptions!$B$37</f>
        <v/>
      </c>
      <c r="P177">
        <f>IF(N177&gt;0,O177/N177,0)</f>
        <v/>
      </c>
      <c r="Q177">
        <f>IF(C177=1,P177*Assumptions!$B$141,Assumptions!$B$41)</f>
        <v/>
      </c>
      <c r="R177">
        <f>IF(D177=1,P177*Assumptions!$B$128,Assumptions!$B$33)</f>
        <v/>
      </c>
      <c r="S177">
        <f>IF(E177=1,P177*Assumptions!$B$129,Assumptions!$B$32)</f>
        <v/>
      </c>
      <c r="T177">
        <f>IF(F177=1,P177*Assumptions!$B$14,Assumptions!$B$31)</f>
        <v/>
      </c>
      <c r="U177">
        <f>IF(G177=1,P177*Assumptions!$B$13,Assumptions!$B$30)</f>
        <v/>
      </c>
      <c r="V177">
        <f>IF(H177=1,P177*Assumptions!$B$12,Assumptions!$B$29)</f>
        <v/>
      </c>
      <c r="W177">
        <f>IF(I177=1,P177*Assumptions!$B$11,Assumptions!$B$28)</f>
        <v/>
      </c>
      <c r="X177">
        <f>P177*(Assumptions!$B$133+Assumptions!$B$137)</f>
        <v/>
      </c>
      <c r="Y177">
        <f>P177*Assumptions!$B$9</f>
        <v/>
      </c>
      <c r="Z177">
        <f>IF(M177=1,(P177-Assumptions!$B$37)*Assumptions!$B$153,0)</f>
        <v/>
      </c>
      <c r="AA177">
        <f>Q177+R177+S177+T177+U177+V177+W177+X177+Y177+Z177</f>
        <v/>
      </c>
      <c r="AB177" t="n">
        <v>126</v>
      </c>
      <c r="AC177" t="n">
        <v>62</v>
      </c>
      <c r="AD177" t="n">
        <v>94</v>
      </c>
      <c r="AE177" t="n">
        <v>110</v>
      </c>
      <c r="AF177" t="n">
        <v>118</v>
      </c>
      <c r="AG177" t="n">
        <v>122</v>
      </c>
      <c r="AH177" t="n">
        <v>124</v>
      </c>
      <c r="AI177" t="n">
        <v>127</v>
      </c>
      <c r="AJ177">
        <f>INDEX($Q$51:$Q$178,AC177+1)</f>
        <v/>
      </c>
      <c r="AK177">
        <f>INDEX($R$51:$R$178,AD177+1)</f>
        <v/>
      </c>
      <c r="AL177">
        <f>INDEX($S$51:$S$178,AE177+1)</f>
        <v/>
      </c>
      <c r="AM177">
        <f>INDEX($T$51:$T$178,AF177+1)</f>
        <v/>
      </c>
      <c r="AN177">
        <f>INDEX($U$51:$U$178,AG177+1)</f>
        <v/>
      </c>
      <c r="AO177">
        <f>INDEX($V$51:$V$178,AH177+1)</f>
        <v/>
      </c>
      <c r="AP177">
        <f>INDEX($W$51:$W$178,AI177+1)</f>
        <v/>
      </c>
      <c r="AQ177">
        <f>IF(Q177&gt;=AJ177-0.01,1,0)</f>
        <v/>
      </c>
      <c r="AR177">
        <f>IF(R177&gt;=AK177-0.01,1,0)</f>
        <v/>
      </c>
      <c r="AS177">
        <f>IF(S177&gt;=AL177-0.01,1,0)</f>
        <v/>
      </c>
      <c r="AT177">
        <f>IF(T177&gt;=AM177-0.01,1,0)</f>
        <v/>
      </c>
      <c r="AU177">
        <f>IF(U177&gt;=AN177-0.01,1,0)</f>
        <v/>
      </c>
      <c r="AV177">
        <f>IF(V177&gt;=AO177-0.01,1,0)</f>
        <v/>
      </c>
      <c r="AW177">
        <f>IF(W177&gt;=AP177-0.01,1,0)</f>
        <v/>
      </c>
      <c r="AX177">
        <f>AQ177*AR177*AS177*AT177*AU177*AV177*AW177</f>
        <v/>
      </c>
      <c r="AY177">
        <f>Assumptions!$B$41</f>
        <v/>
      </c>
      <c r="AZ177">
        <f>Assumptions!$B$33</f>
        <v/>
      </c>
      <c r="BA177">
        <f>Assumptions!$B$32</f>
        <v/>
      </c>
      <c r="BB177">
        <f>Assumptions!$B$31</f>
        <v/>
      </c>
      <c r="BC177">
        <f>Assumptions!$B$30</f>
        <v/>
      </c>
      <c r="BD177">
        <f>Assumptions!$B$29</f>
        <v/>
      </c>
      <c r="BE177">
        <f>Assumptions!$B$28</f>
        <v/>
      </c>
      <c r="BF177">
        <f>P177*Assumptions!$B$141</f>
        <v/>
      </c>
      <c r="BG177">
        <f>P177*Assumptions!$B$128</f>
        <v/>
      </c>
      <c r="BH177">
        <f>P177*Assumptions!$B$129</f>
        <v/>
      </c>
      <c r="BI177">
        <f>P177*Assumptions!$B$14</f>
        <v/>
      </c>
      <c r="BJ177">
        <f>P177*Assumptions!$B$13</f>
        <v/>
      </c>
      <c r="BK177">
        <f>P177*Assumptions!$B$12</f>
        <v/>
      </c>
      <c r="BL177">
        <f>P177*Assumptions!$B$11</f>
        <v/>
      </c>
    </row>
    <row r="178">
      <c r="A178" t="inlineStr">
        <is>
          <t>700M</t>
        </is>
      </c>
      <c r="B178">
        <f>Assumptions!$B$58</f>
        <v/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>
        <f>(1-C178)*Assumptions!$B$41+(1-D178)*Assumptions!$B$33+(1-E178)*Assumptions!$B$32+(1-F178)*Assumptions!$B$31+(1-G178)*Assumptions!$B$30+(1-H178)*Assumptions!$B$29+(1-I178)*Assumptions!$B$28</f>
        <v/>
      </c>
      <c r="K178">
        <f>C178*Assumptions!$B$141+D178*Assumptions!$B$128+E178*Assumptions!$B$129+F178*Assumptions!$B$14+G178*Assumptions!$B$13+H178*Assumptions!$B$12+I178*Assumptions!$B$11+Assumptions!$B$133+Assumptions!$B$137+Assumptions!$B$9</f>
        <v/>
      </c>
      <c r="L178">
        <f>B178-J178</f>
        <v/>
      </c>
      <c r="M178">
        <f>IF(K178&gt;0,IF(L178/K178&gt;=Assumptions!$B$37,1,0),0)</f>
        <v/>
      </c>
      <c r="N178">
        <f>K178+M178*Assumptions!$B$153</f>
        <v/>
      </c>
      <c r="O178">
        <f>L178+M178*Assumptions!$B$153*Assumptions!$B$37</f>
        <v/>
      </c>
      <c r="P178">
        <f>IF(N178&gt;0,O178/N178,0)</f>
        <v/>
      </c>
      <c r="Q178">
        <f>IF(C178=1,P178*Assumptions!$B$141,Assumptions!$B$41)</f>
        <v/>
      </c>
      <c r="R178">
        <f>IF(D178=1,P178*Assumptions!$B$128,Assumptions!$B$33)</f>
        <v/>
      </c>
      <c r="S178">
        <f>IF(E178=1,P178*Assumptions!$B$129,Assumptions!$B$32)</f>
        <v/>
      </c>
      <c r="T178">
        <f>IF(F178=1,P178*Assumptions!$B$14,Assumptions!$B$31)</f>
        <v/>
      </c>
      <c r="U178">
        <f>IF(G178=1,P178*Assumptions!$B$13,Assumptions!$B$30)</f>
        <v/>
      </c>
      <c r="V178">
        <f>IF(H178=1,P178*Assumptions!$B$12,Assumptions!$B$29)</f>
        <v/>
      </c>
      <c r="W178">
        <f>IF(I178=1,P178*Assumptions!$B$11,Assumptions!$B$28)</f>
        <v/>
      </c>
      <c r="X178">
        <f>P178*(Assumptions!$B$133+Assumptions!$B$137)</f>
        <v/>
      </c>
      <c r="Y178">
        <f>P178*Assumptions!$B$9</f>
        <v/>
      </c>
      <c r="Z178">
        <f>IF(M178=1,(P178-Assumptions!$B$37)*Assumptions!$B$153,0)</f>
        <v/>
      </c>
      <c r="AA178">
        <f>Q178+R178+S178+T178+U178+V178+W178+X178+Y178+Z178</f>
        <v/>
      </c>
      <c r="AB178" t="n">
        <v>127</v>
      </c>
      <c r="AC178" t="n">
        <v>63</v>
      </c>
      <c r="AD178" t="n">
        <v>95</v>
      </c>
      <c r="AE178" t="n">
        <v>111</v>
      </c>
      <c r="AF178" t="n">
        <v>119</v>
      </c>
      <c r="AG178" t="n">
        <v>123</v>
      </c>
      <c r="AH178" t="n">
        <v>125</v>
      </c>
      <c r="AI178" t="n">
        <v>126</v>
      </c>
      <c r="AJ178">
        <f>INDEX($Q$51:$Q$178,AC178+1)</f>
        <v/>
      </c>
      <c r="AK178">
        <f>INDEX($R$51:$R$178,AD178+1)</f>
        <v/>
      </c>
      <c r="AL178">
        <f>INDEX($S$51:$S$178,AE178+1)</f>
        <v/>
      </c>
      <c r="AM178">
        <f>INDEX($T$51:$T$178,AF178+1)</f>
        <v/>
      </c>
      <c r="AN178">
        <f>INDEX($U$51:$U$178,AG178+1)</f>
        <v/>
      </c>
      <c r="AO178">
        <f>INDEX($V$51:$V$178,AH178+1)</f>
        <v/>
      </c>
      <c r="AP178">
        <f>INDEX($W$51:$W$178,AI178+1)</f>
        <v/>
      </c>
      <c r="AQ178">
        <f>IF(Q178&gt;=AJ178-0.01,1,0)</f>
        <v/>
      </c>
      <c r="AR178">
        <f>IF(R178&gt;=AK178-0.01,1,0)</f>
        <v/>
      </c>
      <c r="AS178">
        <f>IF(S178&gt;=AL178-0.01,1,0)</f>
        <v/>
      </c>
      <c r="AT178">
        <f>IF(T178&gt;=AM178-0.01,1,0)</f>
        <v/>
      </c>
      <c r="AU178">
        <f>IF(U178&gt;=AN178-0.01,1,0)</f>
        <v/>
      </c>
      <c r="AV178">
        <f>IF(V178&gt;=AO178-0.01,1,0)</f>
        <v/>
      </c>
      <c r="AW178">
        <f>IF(W178&gt;=AP178-0.01,1,0)</f>
        <v/>
      </c>
      <c r="AX178">
        <f>AQ178*AR178*AS178*AT178*AU178*AV178*AW178</f>
        <v/>
      </c>
      <c r="AY178">
        <f>Assumptions!$B$41</f>
        <v/>
      </c>
      <c r="AZ178">
        <f>Assumptions!$B$33</f>
        <v/>
      </c>
      <c r="BA178">
        <f>Assumptions!$B$32</f>
        <v/>
      </c>
      <c r="BB178">
        <f>Assumptions!$B$31</f>
        <v/>
      </c>
      <c r="BC178">
        <f>Assumptions!$B$30</f>
        <v/>
      </c>
      <c r="BD178">
        <f>Assumptions!$B$29</f>
        <v/>
      </c>
      <c r="BE178">
        <f>Assumptions!$B$28</f>
        <v/>
      </c>
      <c r="BF178">
        <f>P178*Assumptions!$B$141</f>
        <v/>
      </c>
      <c r="BG178">
        <f>P178*Assumptions!$B$128</f>
        <v/>
      </c>
      <c r="BH178">
        <f>P178*Assumptions!$B$129</f>
        <v/>
      </c>
      <c r="BI178">
        <f>P178*Assumptions!$B$14</f>
        <v/>
      </c>
      <c r="BJ178">
        <f>P178*Assumptions!$B$13</f>
        <v/>
      </c>
      <c r="BK178">
        <f>P178*Assumptions!$B$12</f>
        <v/>
      </c>
      <c r="BL178">
        <f>P178*Assumptions!$B$11</f>
        <v/>
      </c>
    </row>
    <row r="179">
      <c r="A179" t="inlineStr">
        <is>
          <t>1200M</t>
        </is>
      </c>
      <c r="B179">
        <f>Assumptions!$B$59</f>
        <v/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>
        <f>(1-C179)*Assumptions!$B$41+(1-D179)*Assumptions!$B$33+(1-E179)*Assumptions!$B$32+(1-F179)*Assumptions!$B$31+(1-G179)*Assumptions!$B$30+(1-H179)*Assumptions!$B$29+(1-I179)*Assumptions!$B$28</f>
        <v/>
      </c>
      <c r="K179">
        <f>C179*Assumptions!$B$141+D179*Assumptions!$B$128+E179*Assumptions!$B$129+F179*Assumptions!$B$14+G179*Assumptions!$B$13+H179*Assumptions!$B$12+I179*Assumptions!$B$11+Assumptions!$B$133+Assumptions!$B$137+Assumptions!$B$9</f>
        <v/>
      </c>
      <c r="L179">
        <f>B179-J179</f>
        <v/>
      </c>
      <c r="M179">
        <f>IF(K179&gt;0,IF(L179/K179&gt;=Assumptions!$B$37,1,0),0)</f>
        <v/>
      </c>
      <c r="N179">
        <f>K179+M179*Assumptions!$B$153</f>
        <v/>
      </c>
      <c r="O179">
        <f>L179+M179*Assumptions!$B$153*Assumptions!$B$37</f>
        <v/>
      </c>
      <c r="P179">
        <f>IF(N179&gt;0,O179/N179,0)</f>
        <v/>
      </c>
      <c r="Q179">
        <f>IF(C179=1,P179*Assumptions!$B$141,Assumptions!$B$41)</f>
        <v/>
      </c>
      <c r="R179">
        <f>IF(D179=1,P179*Assumptions!$B$128,Assumptions!$B$33)</f>
        <v/>
      </c>
      <c r="S179">
        <f>IF(E179=1,P179*Assumptions!$B$129,Assumptions!$B$32)</f>
        <v/>
      </c>
      <c r="T179">
        <f>IF(F179=1,P179*Assumptions!$B$14,Assumptions!$B$31)</f>
        <v/>
      </c>
      <c r="U179">
        <f>IF(G179=1,P179*Assumptions!$B$13,Assumptions!$B$30)</f>
        <v/>
      </c>
      <c r="V179">
        <f>IF(H179=1,P179*Assumptions!$B$12,Assumptions!$B$29)</f>
        <v/>
      </c>
      <c r="W179">
        <f>IF(I179=1,P179*Assumptions!$B$11,Assumptions!$B$28)</f>
        <v/>
      </c>
      <c r="X179">
        <f>P179*(Assumptions!$B$133+Assumptions!$B$137)</f>
        <v/>
      </c>
      <c r="Y179">
        <f>P179*Assumptions!$B$9</f>
        <v/>
      </c>
      <c r="Z179">
        <f>IF(M179=1,(P179-Assumptions!$B$37)*Assumptions!$B$153,0)</f>
        <v/>
      </c>
      <c r="AA179">
        <f>Q179+R179+S179+T179+U179+V179+W179+X179+Y179+Z179</f>
        <v/>
      </c>
      <c r="AB179" t="n">
        <v>0</v>
      </c>
      <c r="AC179" t="n">
        <v>64</v>
      </c>
      <c r="AD179" t="n">
        <v>32</v>
      </c>
      <c r="AE179" t="n">
        <v>16</v>
      </c>
      <c r="AF179" t="n">
        <v>8</v>
      </c>
      <c r="AG179" t="n">
        <v>4</v>
      </c>
      <c r="AH179" t="n">
        <v>2</v>
      </c>
      <c r="AI179" t="n">
        <v>1</v>
      </c>
      <c r="AJ179">
        <f>INDEX($Q$179:$Q$306,AC179+1)</f>
        <v/>
      </c>
      <c r="AK179">
        <f>INDEX($R$179:$R$306,AD179+1)</f>
        <v/>
      </c>
      <c r="AL179">
        <f>INDEX($S$179:$S$306,AE179+1)</f>
        <v/>
      </c>
      <c r="AM179">
        <f>INDEX($T$179:$T$306,AF179+1)</f>
        <v/>
      </c>
      <c r="AN179">
        <f>INDEX($U$179:$U$306,AG179+1)</f>
        <v/>
      </c>
      <c r="AO179">
        <f>INDEX($V$179:$V$306,AH179+1)</f>
        <v/>
      </c>
      <c r="AP179">
        <f>INDEX($W$179:$W$306,AI179+1)</f>
        <v/>
      </c>
      <c r="AQ179">
        <f>IF(Q179&gt;=AJ179-0.01,1,0)</f>
        <v/>
      </c>
      <c r="AR179">
        <f>IF(R179&gt;=AK179-0.01,1,0)</f>
        <v/>
      </c>
      <c r="AS179">
        <f>IF(S179&gt;=AL179-0.01,1,0)</f>
        <v/>
      </c>
      <c r="AT179">
        <f>IF(T179&gt;=AM179-0.01,1,0)</f>
        <v/>
      </c>
      <c r="AU179">
        <f>IF(U179&gt;=AN179-0.01,1,0)</f>
        <v/>
      </c>
      <c r="AV179">
        <f>IF(V179&gt;=AO179-0.01,1,0)</f>
        <v/>
      </c>
      <c r="AW179">
        <f>IF(W179&gt;=AP179-0.01,1,0)</f>
        <v/>
      </c>
      <c r="AX179">
        <f>AQ179*AR179*AS179*AT179*AU179*AV179*AW179</f>
        <v/>
      </c>
      <c r="AY179">
        <f>Assumptions!$B$41</f>
        <v/>
      </c>
      <c r="AZ179">
        <f>Assumptions!$B$33</f>
        <v/>
      </c>
      <c r="BA179">
        <f>Assumptions!$B$32</f>
        <v/>
      </c>
      <c r="BB179">
        <f>Assumptions!$B$31</f>
        <v/>
      </c>
      <c r="BC179">
        <f>Assumptions!$B$30</f>
        <v/>
      </c>
      <c r="BD179">
        <f>Assumptions!$B$29</f>
        <v/>
      </c>
      <c r="BE179">
        <f>Assumptions!$B$28</f>
        <v/>
      </c>
      <c r="BF179">
        <f>P179*Assumptions!$B$141</f>
        <v/>
      </c>
      <c r="BG179">
        <f>P179*Assumptions!$B$128</f>
        <v/>
      </c>
      <c r="BH179">
        <f>P179*Assumptions!$B$129</f>
        <v/>
      </c>
      <c r="BI179">
        <f>P179*Assumptions!$B$14</f>
        <v/>
      </c>
      <c r="BJ179">
        <f>P179*Assumptions!$B$13</f>
        <v/>
      </c>
      <c r="BK179">
        <f>P179*Assumptions!$B$12</f>
        <v/>
      </c>
      <c r="BL179">
        <f>P179*Assumptions!$B$11</f>
        <v/>
      </c>
    </row>
    <row r="180">
      <c r="A180" t="inlineStr">
        <is>
          <t>1200M</t>
        </is>
      </c>
      <c r="B180">
        <f>Assumptions!$B$59</f>
        <v/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>
        <f>(1-C180)*Assumptions!$B$41+(1-D180)*Assumptions!$B$33+(1-E180)*Assumptions!$B$32+(1-F180)*Assumptions!$B$31+(1-G180)*Assumptions!$B$30+(1-H180)*Assumptions!$B$29+(1-I180)*Assumptions!$B$28</f>
        <v/>
      </c>
      <c r="K180">
        <f>C180*Assumptions!$B$141+D180*Assumptions!$B$128+E180*Assumptions!$B$129+F180*Assumptions!$B$14+G180*Assumptions!$B$13+H180*Assumptions!$B$12+I180*Assumptions!$B$11+Assumptions!$B$133+Assumptions!$B$137+Assumptions!$B$9</f>
        <v/>
      </c>
      <c r="L180">
        <f>B180-J180</f>
        <v/>
      </c>
      <c r="M180">
        <f>IF(K180&gt;0,IF(L180/K180&gt;=Assumptions!$B$37,1,0),0)</f>
        <v/>
      </c>
      <c r="N180">
        <f>K180+M180*Assumptions!$B$153</f>
        <v/>
      </c>
      <c r="O180">
        <f>L180+M180*Assumptions!$B$153*Assumptions!$B$37</f>
        <v/>
      </c>
      <c r="P180">
        <f>IF(N180&gt;0,O180/N180,0)</f>
        <v/>
      </c>
      <c r="Q180">
        <f>IF(C180=1,P180*Assumptions!$B$141,Assumptions!$B$41)</f>
        <v/>
      </c>
      <c r="R180">
        <f>IF(D180=1,P180*Assumptions!$B$128,Assumptions!$B$33)</f>
        <v/>
      </c>
      <c r="S180">
        <f>IF(E180=1,P180*Assumptions!$B$129,Assumptions!$B$32)</f>
        <v/>
      </c>
      <c r="T180">
        <f>IF(F180=1,P180*Assumptions!$B$14,Assumptions!$B$31)</f>
        <v/>
      </c>
      <c r="U180">
        <f>IF(G180=1,P180*Assumptions!$B$13,Assumptions!$B$30)</f>
        <v/>
      </c>
      <c r="V180">
        <f>IF(H180=1,P180*Assumptions!$B$12,Assumptions!$B$29)</f>
        <v/>
      </c>
      <c r="W180">
        <f>IF(I180=1,P180*Assumptions!$B$11,Assumptions!$B$28)</f>
        <v/>
      </c>
      <c r="X180">
        <f>P180*(Assumptions!$B$133+Assumptions!$B$137)</f>
        <v/>
      </c>
      <c r="Y180">
        <f>P180*Assumptions!$B$9</f>
        <v/>
      </c>
      <c r="Z180">
        <f>IF(M180=1,(P180-Assumptions!$B$37)*Assumptions!$B$153,0)</f>
        <v/>
      </c>
      <c r="AA180">
        <f>Q180+R180+S180+T180+U180+V180+W180+X180+Y180+Z180</f>
        <v/>
      </c>
      <c r="AB180" t="n">
        <v>1</v>
      </c>
      <c r="AC180" t="n">
        <v>65</v>
      </c>
      <c r="AD180" t="n">
        <v>33</v>
      </c>
      <c r="AE180" t="n">
        <v>17</v>
      </c>
      <c r="AF180" t="n">
        <v>9</v>
      </c>
      <c r="AG180" t="n">
        <v>5</v>
      </c>
      <c r="AH180" t="n">
        <v>3</v>
      </c>
      <c r="AI180" t="n">
        <v>0</v>
      </c>
      <c r="AJ180">
        <f>INDEX($Q$179:$Q$306,AC180+1)</f>
        <v/>
      </c>
      <c r="AK180">
        <f>INDEX($R$179:$R$306,AD180+1)</f>
        <v/>
      </c>
      <c r="AL180">
        <f>INDEX($S$179:$S$306,AE180+1)</f>
        <v/>
      </c>
      <c r="AM180">
        <f>INDEX($T$179:$T$306,AF180+1)</f>
        <v/>
      </c>
      <c r="AN180">
        <f>INDEX($U$179:$U$306,AG180+1)</f>
        <v/>
      </c>
      <c r="AO180">
        <f>INDEX($V$179:$V$306,AH180+1)</f>
        <v/>
      </c>
      <c r="AP180">
        <f>INDEX($W$179:$W$306,AI180+1)</f>
        <v/>
      </c>
      <c r="AQ180">
        <f>IF(Q180&gt;=AJ180-0.01,1,0)</f>
        <v/>
      </c>
      <c r="AR180">
        <f>IF(R180&gt;=AK180-0.01,1,0)</f>
        <v/>
      </c>
      <c r="AS180">
        <f>IF(S180&gt;=AL180-0.01,1,0)</f>
        <v/>
      </c>
      <c r="AT180">
        <f>IF(T180&gt;=AM180-0.01,1,0)</f>
        <v/>
      </c>
      <c r="AU180">
        <f>IF(U180&gt;=AN180-0.01,1,0)</f>
        <v/>
      </c>
      <c r="AV180">
        <f>IF(V180&gt;=AO180-0.01,1,0)</f>
        <v/>
      </c>
      <c r="AW180">
        <f>IF(W180&gt;=AP180-0.01,1,0)</f>
        <v/>
      </c>
      <c r="AX180">
        <f>AQ180*AR180*AS180*AT180*AU180*AV180*AW180</f>
        <v/>
      </c>
      <c r="AY180">
        <f>Assumptions!$B$41</f>
        <v/>
      </c>
      <c r="AZ180">
        <f>Assumptions!$B$33</f>
        <v/>
      </c>
      <c r="BA180">
        <f>Assumptions!$B$32</f>
        <v/>
      </c>
      <c r="BB180">
        <f>Assumptions!$B$31</f>
        <v/>
      </c>
      <c r="BC180">
        <f>Assumptions!$B$30</f>
        <v/>
      </c>
      <c r="BD180">
        <f>Assumptions!$B$29</f>
        <v/>
      </c>
      <c r="BE180">
        <f>Assumptions!$B$28</f>
        <v/>
      </c>
      <c r="BF180">
        <f>P180*Assumptions!$B$141</f>
        <v/>
      </c>
      <c r="BG180">
        <f>P180*Assumptions!$B$128</f>
        <v/>
      </c>
      <c r="BH180">
        <f>P180*Assumptions!$B$129</f>
        <v/>
      </c>
      <c r="BI180">
        <f>P180*Assumptions!$B$14</f>
        <v/>
      </c>
      <c r="BJ180">
        <f>P180*Assumptions!$B$13</f>
        <v/>
      </c>
      <c r="BK180">
        <f>P180*Assumptions!$B$12</f>
        <v/>
      </c>
      <c r="BL180">
        <f>P180*Assumptions!$B$11</f>
        <v/>
      </c>
    </row>
    <row r="181">
      <c r="A181" t="inlineStr">
        <is>
          <t>1200M</t>
        </is>
      </c>
      <c r="B181">
        <f>Assumptions!$B$59</f>
        <v/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>
        <f>(1-C181)*Assumptions!$B$41+(1-D181)*Assumptions!$B$33+(1-E181)*Assumptions!$B$32+(1-F181)*Assumptions!$B$31+(1-G181)*Assumptions!$B$30+(1-H181)*Assumptions!$B$29+(1-I181)*Assumptions!$B$28</f>
        <v/>
      </c>
      <c r="K181">
        <f>C181*Assumptions!$B$141+D181*Assumptions!$B$128+E181*Assumptions!$B$129+F181*Assumptions!$B$14+G181*Assumptions!$B$13+H181*Assumptions!$B$12+I181*Assumptions!$B$11+Assumptions!$B$133+Assumptions!$B$137+Assumptions!$B$9</f>
        <v/>
      </c>
      <c r="L181">
        <f>B181-J181</f>
        <v/>
      </c>
      <c r="M181">
        <f>IF(K181&gt;0,IF(L181/K181&gt;=Assumptions!$B$37,1,0),0)</f>
        <v/>
      </c>
      <c r="N181">
        <f>K181+M181*Assumptions!$B$153</f>
        <v/>
      </c>
      <c r="O181">
        <f>L181+M181*Assumptions!$B$153*Assumptions!$B$37</f>
        <v/>
      </c>
      <c r="P181">
        <f>IF(N181&gt;0,O181/N181,0)</f>
        <v/>
      </c>
      <c r="Q181">
        <f>IF(C181=1,P181*Assumptions!$B$141,Assumptions!$B$41)</f>
        <v/>
      </c>
      <c r="R181">
        <f>IF(D181=1,P181*Assumptions!$B$128,Assumptions!$B$33)</f>
        <v/>
      </c>
      <c r="S181">
        <f>IF(E181=1,P181*Assumptions!$B$129,Assumptions!$B$32)</f>
        <v/>
      </c>
      <c r="T181">
        <f>IF(F181=1,P181*Assumptions!$B$14,Assumptions!$B$31)</f>
        <v/>
      </c>
      <c r="U181">
        <f>IF(G181=1,P181*Assumptions!$B$13,Assumptions!$B$30)</f>
        <v/>
      </c>
      <c r="V181">
        <f>IF(H181=1,P181*Assumptions!$B$12,Assumptions!$B$29)</f>
        <v/>
      </c>
      <c r="W181">
        <f>IF(I181=1,P181*Assumptions!$B$11,Assumptions!$B$28)</f>
        <v/>
      </c>
      <c r="X181">
        <f>P181*(Assumptions!$B$133+Assumptions!$B$137)</f>
        <v/>
      </c>
      <c r="Y181">
        <f>P181*Assumptions!$B$9</f>
        <v/>
      </c>
      <c r="Z181">
        <f>IF(M181=1,(P181-Assumptions!$B$37)*Assumptions!$B$153,0)</f>
        <v/>
      </c>
      <c r="AA181">
        <f>Q181+R181+S181+T181+U181+V181+W181+X181+Y181+Z181</f>
        <v/>
      </c>
      <c r="AB181" t="n">
        <v>2</v>
      </c>
      <c r="AC181" t="n">
        <v>66</v>
      </c>
      <c r="AD181" t="n">
        <v>34</v>
      </c>
      <c r="AE181" t="n">
        <v>18</v>
      </c>
      <c r="AF181" t="n">
        <v>10</v>
      </c>
      <c r="AG181" t="n">
        <v>6</v>
      </c>
      <c r="AH181" t="n">
        <v>0</v>
      </c>
      <c r="AI181" t="n">
        <v>3</v>
      </c>
      <c r="AJ181">
        <f>INDEX($Q$179:$Q$306,AC181+1)</f>
        <v/>
      </c>
      <c r="AK181">
        <f>INDEX($R$179:$R$306,AD181+1)</f>
        <v/>
      </c>
      <c r="AL181">
        <f>INDEX($S$179:$S$306,AE181+1)</f>
        <v/>
      </c>
      <c r="AM181">
        <f>INDEX($T$179:$T$306,AF181+1)</f>
        <v/>
      </c>
      <c r="AN181">
        <f>INDEX($U$179:$U$306,AG181+1)</f>
        <v/>
      </c>
      <c r="AO181">
        <f>INDEX($V$179:$V$306,AH181+1)</f>
        <v/>
      </c>
      <c r="AP181">
        <f>INDEX($W$179:$W$306,AI181+1)</f>
        <v/>
      </c>
      <c r="AQ181">
        <f>IF(Q181&gt;=AJ181-0.01,1,0)</f>
        <v/>
      </c>
      <c r="AR181">
        <f>IF(R181&gt;=AK181-0.01,1,0)</f>
        <v/>
      </c>
      <c r="AS181">
        <f>IF(S181&gt;=AL181-0.01,1,0)</f>
        <v/>
      </c>
      <c r="AT181">
        <f>IF(T181&gt;=AM181-0.01,1,0)</f>
        <v/>
      </c>
      <c r="AU181">
        <f>IF(U181&gt;=AN181-0.01,1,0)</f>
        <v/>
      </c>
      <c r="AV181">
        <f>IF(V181&gt;=AO181-0.01,1,0)</f>
        <v/>
      </c>
      <c r="AW181">
        <f>IF(W181&gt;=AP181-0.01,1,0)</f>
        <v/>
      </c>
      <c r="AX181">
        <f>AQ181*AR181*AS181*AT181*AU181*AV181*AW181</f>
        <v/>
      </c>
      <c r="AY181">
        <f>Assumptions!$B$41</f>
        <v/>
      </c>
      <c r="AZ181">
        <f>Assumptions!$B$33</f>
        <v/>
      </c>
      <c r="BA181">
        <f>Assumptions!$B$32</f>
        <v/>
      </c>
      <c r="BB181">
        <f>Assumptions!$B$31</f>
        <v/>
      </c>
      <c r="BC181">
        <f>Assumptions!$B$30</f>
        <v/>
      </c>
      <c r="BD181">
        <f>Assumptions!$B$29</f>
        <v/>
      </c>
      <c r="BE181">
        <f>Assumptions!$B$28</f>
        <v/>
      </c>
      <c r="BF181">
        <f>P181*Assumptions!$B$141</f>
        <v/>
      </c>
      <c r="BG181">
        <f>P181*Assumptions!$B$128</f>
        <v/>
      </c>
      <c r="BH181">
        <f>P181*Assumptions!$B$129</f>
        <v/>
      </c>
      <c r="BI181">
        <f>P181*Assumptions!$B$14</f>
        <v/>
      </c>
      <c r="BJ181">
        <f>P181*Assumptions!$B$13</f>
        <v/>
      </c>
      <c r="BK181">
        <f>P181*Assumptions!$B$12</f>
        <v/>
      </c>
      <c r="BL181">
        <f>P181*Assumptions!$B$11</f>
        <v/>
      </c>
    </row>
    <row r="182">
      <c r="A182" t="inlineStr">
        <is>
          <t>1200M</t>
        </is>
      </c>
      <c r="B182">
        <f>Assumptions!$B$59</f>
        <v/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>
        <f>(1-C182)*Assumptions!$B$41+(1-D182)*Assumptions!$B$33+(1-E182)*Assumptions!$B$32+(1-F182)*Assumptions!$B$31+(1-G182)*Assumptions!$B$30+(1-H182)*Assumptions!$B$29+(1-I182)*Assumptions!$B$28</f>
        <v/>
      </c>
      <c r="K182">
        <f>C182*Assumptions!$B$141+D182*Assumptions!$B$128+E182*Assumptions!$B$129+F182*Assumptions!$B$14+G182*Assumptions!$B$13+H182*Assumptions!$B$12+I182*Assumptions!$B$11+Assumptions!$B$133+Assumptions!$B$137+Assumptions!$B$9</f>
        <v/>
      </c>
      <c r="L182">
        <f>B182-J182</f>
        <v/>
      </c>
      <c r="M182">
        <f>IF(K182&gt;0,IF(L182/K182&gt;=Assumptions!$B$37,1,0),0)</f>
        <v/>
      </c>
      <c r="N182">
        <f>K182+M182*Assumptions!$B$153</f>
        <v/>
      </c>
      <c r="O182">
        <f>L182+M182*Assumptions!$B$153*Assumptions!$B$37</f>
        <v/>
      </c>
      <c r="P182">
        <f>IF(N182&gt;0,O182/N182,0)</f>
        <v/>
      </c>
      <c r="Q182">
        <f>IF(C182=1,P182*Assumptions!$B$141,Assumptions!$B$41)</f>
        <v/>
      </c>
      <c r="R182">
        <f>IF(D182=1,P182*Assumptions!$B$128,Assumptions!$B$33)</f>
        <v/>
      </c>
      <c r="S182">
        <f>IF(E182=1,P182*Assumptions!$B$129,Assumptions!$B$32)</f>
        <v/>
      </c>
      <c r="T182">
        <f>IF(F182=1,P182*Assumptions!$B$14,Assumptions!$B$31)</f>
        <v/>
      </c>
      <c r="U182">
        <f>IF(G182=1,P182*Assumptions!$B$13,Assumptions!$B$30)</f>
        <v/>
      </c>
      <c r="V182">
        <f>IF(H182=1,P182*Assumptions!$B$12,Assumptions!$B$29)</f>
        <v/>
      </c>
      <c r="W182">
        <f>IF(I182=1,P182*Assumptions!$B$11,Assumptions!$B$28)</f>
        <v/>
      </c>
      <c r="X182">
        <f>P182*(Assumptions!$B$133+Assumptions!$B$137)</f>
        <v/>
      </c>
      <c r="Y182">
        <f>P182*Assumptions!$B$9</f>
        <v/>
      </c>
      <c r="Z182">
        <f>IF(M182=1,(P182-Assumptions!$B$37)*Assumptions!$B$153,0)</f>
        <v/>
      </c>
      <c r="AA182">
        <f>Q182+R182+S182+T182+U182+V182+W182+X182+Y182+Z182</f>
        <v/>
      </c>
      <c r="AB182" t="n">
        <v>3</v>
      </c>
      <c r="AC182" t="n">
        <v>67</v>
      </c>
      <c r="AD182" t="n">
        <v>35</v>
      </c>
      <c r="AE182" t="n">
        <v>19</v>
      </c>
      <c r="AF182" t="n">
        <v>11</v>
      </c>
      <c r="AG182" t="n">
        <v>7</v>
      </c>
      <c r="AH182" t="n">
        <v>1</v>
      </c>
      <c r="AI182" t="n">
        <v>2</v>
      </c>
      <c r="AJ182">
        <f>INDEX($Q$179:$Q$306,AC182+1)</f>
        <v/>
      </c>
      <c r="AK182">
        <f>INDEX($R$179:$R$306,AD182+1)</f>
        <v/>
      </c>
      <c r="AL182">
        <f>INDEX($S$179:$S$306,AE182+1)</f>
        <v/>
      </c>
      <c r="AM182">
        <f>INDEX($T$179:$T$306,AF182+1)</f>
        <v/>
      </c>
      <c r="AN182">
        <f>INDEX($U$179:$U$306,AG182+1)</f>
        <v/>
      </c>
      <c r="AO182">
        <f>INDEX($V$179:$V$306,AH182+1)</f>
        <v/>
      </c>
      <c r="AP182">
        <f>INDEX($W$179:$W$306,AI182+1)</f>
        <v/>
      </c>
      <c r="AQ182">
        <f>IF(Q182&gt;=AJ182-0.01,1,0)</f>
        <v/>
      </c>
      <c r="AR182">
        <f>IF(R182&gt;=AK182-0.01,1,0)</f>
        <v/>
      </c>
      <c r="AS182">
        <f>IF(S182&gt;=AL182-0.01,1,0)</f>
        <v/>
      </c>
      <c r="AT182">
        <f>IF(T182&gt;=AM182-0.01,1,0)</f>
        <v/>
      </c>
      <c r="AU182">
        <f>IF(U182&gt;=AN182-0.01,1,0)</f>
        <v/>
      </c>
      <c r="AV182">
        <f>IF(V182&gt;=AO182-0.01,1,0)</f>
        <v/>
      </c>
      <c r="AW182">
        <f>IF(W182&gt;=AP182-0.01,1,0)</f>
        <v/>
      </c>
      <c r="AX182">
        <f>AQ182*AR182*AS182*AT182*AU182*AV182*AW182</f>
        <v/>
      </c>
      <c r="AY182">
        <f>Assumptions!$B$41</f>
        <v/>
      </c>
      <c r="AZ182">
        <f>Assumptions!$B$33</f>
        <v/>
      </c>
      <c r="BA182">
        <f>Assumptions!$B$32</f>
        <v/>
      </c>
      <c r="BB182">
        <f>Assumptions!$B$31</f>
        <v/>
      </c>
      <c r="BC182">
        <f>Assumptions!$B$30</f>
        <v/>
      </c>
      <c r="BD182">
        <f>Assumptions!$B$29</f>
        <v/>
      </c>
      <c r="BE182">
        <f>Assumptions!$B$28</f>
        <v/>
      </c>
      <c r="BF182">
        <f>P182*Assumptions!$B$141</f>
        <v/>
      </c>
      <c r="BG182">
        <f>P182*Assumptions!$B$128</f>
        <v/>
      </c>
      <c r="BH182">
        <f>P182*Assumptions!$B$129</f>
        <v/>
      </c>
      <c r="BI182">
        <f>P182*Assumptions!$B$14</f>
        <v/>
      </c>
      <c r="BJ182">
        <f>P182*Assumptions!$B$13</f>
        <v/>
      </c>
      <c r="BK182">
        <f>P182*Assumptions!$B$12</f>
        <v/>
      </c>
      <c r="BL182">
        <f>P182*Assumptions!$B$11</f>
        <v/>
      </c>
    </row>
    <row r="183">
      <c r="A183" t="inlineStr">
        <is>
          <t>1200M</t>
        </is>
      </c>
      <c r="B183">
        <f>Assumptions!$B$59</f>
        <v/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>
        <f>(1-C183)*Assumptions!$B$41+(1-D183)*Assumptions!$B$33+(1-E183)*Assumptions!$B$32+(1-F183)*Assumptions!$B$31+(1-G183)*Assumptions!$B$30+(1-H183)*Assumptions!$B$29+(1-I183)*Assumptions!$B$28</f>
        <v/>
      </c>
      <c r="K183">
        <f>C183*Assumptions!$B$141+D183*Assumptions!$B$128+E183*Assumptions!$B$129+F183*Assumptions!$B$14+G183*Assumptions!$B$13+H183*Assumptions!$B$12+I183*Assumptions!$B$11+Assumptions!$B$133+Assumptions!$B$137+Assumptions!$B$9</f>
        <v/>
      </c>
      <c r="L183">
        <f>B183-J183</f>
        <v/>
      </c>
      <c r="M183">
        <f>IF(K183&gt;0,IF(L183/K183&gt;=Assumptions!$B$37,1,0),0)</f>
        <v/>
      </c>
      <c r="N183">
        <f>K183+M183*Assumptions!$B$153</f>
        <v/>
      </c>
      <c r="O183">
        <f>L183+M183*Assumptions!$B$153*Assumptions!$B$37</f>
        <v/>
      </c>
      <c r="P183">
        <f>IF(N183&gt;0,O183/N183,0)</f>
        <v/>
      </c>
      <c r="Q183">
        <f>IF(C183=1,P183*Assumptions!$B$141,Assumptions!$B$41)</f>
        <v/>
      </c>
      <c r="R183">
        <f>IF(D183=1,P183*Assumptions!$B$128,Assumptions!$B$33)</f>
        <v/>
      </c>
      <c r="S183">
        <f>IF(E183=1,P183*Assumptions!$B$129,Assumptions!$B$32)</f>
        <v/>
      </c>
      <c r="T183">
        <f>IF(F183=1,P183*Assumptions!$B$14,Assumptions!$B$31)</f>
        <v/>
      </c>
      <c r="U183">
        <f>IF(G183=1,P183*Assumptions!$B$13,Assumptions!$B$30)</f>
        <v/>
      </c>
      <c r="V183">
        <f>IF(H183=1,P183*Assumptions!$B$12,Assumptions!$B$29)</f>
        <v/>
      </c>
      <c r="W183">
        <f>IF(I183=1,P183*Assumptions!$B$11,Assumptions!$B$28)</f>
        <v/>
      </c>
      <c r="X183">
        <f>P183*(Assumptions!$B$133+Assumptions!$B$137)</f>
        <v/>
      </c>
      <c r="Y183">
        <f>P183*Assumptions!$B$9</f>
        <v/>
      </c>
      <c r="Z183">
        <f>IF(M183=1,(P183-Assumptions!$B$37)*Assumptions!$B$153,0)</f>
        <v/>
      </c>
      <c r="AA183">
        <f>Q183+R183+S183+T183+U183+V183+W183+X183+Y183+Z183</f>
        <v/>
      </c>
      <c r="AB183" t="n">
        <v>4</v>
      </c>
      <c r="AC183" t="n">
        <v>68</v>
      </c>
      <c r="AD183" t="n">
        <v>36</v>
      </c>
      <c r="AE183" t="n">
        <v>20</v>
      </c>
      <c r="AF183" t="n">
        <v>12</v>
      </c>
      <c r="AG183" t="n">
        <v>0</v>
      </c>
      <c r="AH183" t="n">
        <v>6</v>
      </c>
      <c r="AI183" t="n">
        <v>5</v>
      </c>
      <c r="AJ183">
        <f>INDEX($Q$179:$Q$306,AC183+1)</f>
        <v/>
      </c>
      <c r="AK183">
        <f>INDEX($R$179:$R$306,AD183+1)</f>
        <v/>
      </c>
      <c r="AL183">
        <f>INDEX($S$179:$S$306,AE183+1)</f>
        <v/>
      </c>
      <c r="AM183">
        <f>INDEX($T$179:$T$306,AF183+1)</f>
        <v/>
      </c>
      <c r="AN183">
        <f>INDEX($U$179:$U$306,AG183+1)</f>
        <v/>
      </c>
      <c r="AO183">
        <f>INDEX($V$179:$V$306,AH183+1)</f>
        <v/>
      </c>
      <c r="AP183">
        <f>INDEX($W$179:$W$306,AI183+1)</f>
        <v/>
      </c>
      <c r="AQ183">
        <f>IF(Q183&gt;=AJ183-0.01,1,0)</f>
        <v/>
      </c>
      <c r="AR183">
        <f>IF(R183&gt;=AK183-0.01,1,0)</f>
        <v/>
      </c>
      <c r="AS183">
        <f>IF(S183&gt;=AL183-0.01,1,0)</f>
        <v/>
      </c>
      <c r="AT183">
        <f>IF(T183&gt;=AM183-0.01,1,0)</f>
        <v/>
      </c>
      <c r="AU183">
        <f>IF(U183&gt;=AN183-0.01,1,0)</f>
        <v/>
      </c>
      <c r="AV183">
        <f>IF(V183&gt;=AO183-0.01,1,0)</f>
        <v/>
      </c>
      <c r="AW183">
        <f>IF(W183&gt;=AP183-0.01,1,0)</f>
        <v/>
      </c>
      <c r="AX183">
        <f>AQ183*AR183*AS183*AT183*AU183*AV183*AW183</f>
        <v/>
      </c>
      <c r="AY183">
        <f>Assumptions!$B$41</f>
        <v/>
      </c>
      <c r="AZ183">
        <f>Assumptions!$B$33</f>
        <v/>
      </c>
      <c r="BA183">
        <f>Assumptions!$B$32</f>
        <v/>
      </c>
      <c r="BB183">
        <f>Assumptions!$B$31</f>
        <v/>
      </c>
      <c r="BC183">
        <f>Assumptions!$B$30</f>
        <v/>
      </c>
      <c r="BD183">
        <f>Assumptions!$B$29</f>
        <v/>
      </c>
      <c r="BE183">
        <f>Assumptions!$B$28</f>
        <v/>
      </c>
      <c r="BF183">
        <f>P183*Assumptions!$B$141</f>
        <v/>
      </c>
      <c r="BG183">
        <f>P183*Assumptions!$B$128</f>
        <v/>
      </c>
      <c r="BH183">
        <f>P183*Assumptions!$B$129</f>
        <v/>
      </c>
      <c r="BI183">
        <f>P183*Assumptions!$B$14</f>
        <v/>
      </c>
      <c r="BJ183">
        <f>P183*Assumptions!$B$13</f>
        <v/>
      </c>
      <c r="BK183">
        <f>P183*Assumptions!$B$12</f>
        <v/>
      </c>
      <c r="BL183">
        <f>P183*Assumptions!$B$11</f>
        <v/>
      </c>
    </row>
    <row r="184">
      <c r="A184" t="inlineStr">
        <is>
          <t>1200M</t>
        </is>
      </c>
      <c r="B184">
        <f>Assumptions!$B$59</f>
        <v/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  <c r="J184">
        <f>(1-C184)*Assumptions!$B$41+(1-D184)*Assumptions!$B$33+(1-E184)*Assumptions!$B$32+(1-F184)*Assumptions!$B$31+(1-G184)*Assumptions!$B$30+(1-H184)*Assumptions!$B$29+(1-I184)*Assumptions!$B$28</f>
        <v/>
      </c>
      <c r="K184">
        <f>C184*Assumptions!$B$141+D184*Assumptions!$B$128+E184*Assumptions!$B$129+F184*Assumptions!$B$14+G184*Assumptions!$B$13+H184*Assumptions!$B$12+I184*Assumptions!$B$11+Assumptions!$B$133+Assumptions!$B$137+Assumptions!$B$9</f>
        <v/>
      </c>
      <c r="L184">
        <f>B184-J184</f>
        <v/>
      </c>
      <c r="M184">
        <f>IF(K184&gt;0,IF(L184/K184&gt;=Assumptions!$B$37,1,0),0)</f>
        <v/>
      </c>
      <c r="N184">
        <f>K184+M184*Assumptions!$B$153</f>
        <v/>
      </c>
      <c r="O184">
        <f>L184+M184*Assumptions!$B$153*Assumptions!$B$37</f>
        <v/>
      </c>
      <c r="P184">
        <f>IF(N184&gt;0,O184/N184,0)</f>
        <v/>
      </c>
      <c r="Q184">
        <f>IF(C184=1,P184*Assumptions!$B$141,Assumptions!$B$41)</f>
        <v/>
      </c>
      <c r="R184">
        <f>IF(D184=1,P184*Assumptions!$B$128,Assumptions!$B$33)</f>
        <v/>
      </c>
      <c r="S184">
        <f>IF(E184=1,P184*Assumptions!$B$129,Assumptions!$B$32)</f>
        <v/>
      </c>
      <c r="T184">
        <f>IF(F184=1,P184*Assumptions!$B$14,Assumptions!$B$31)</f>
        <v/>
      </c>
      <c r="U184">
        <f>IF(G184=1,P184*Assumptions!$B$13,Assumptions!$B$30)</f>
        <v/>
      </c>
      <c r="V184">
        <f>IF(H184=1,P184*Assumptions!$B$12,Assumptions!$B$29)</f>
        <v/>
      </c>
      <c r="W184">
        <f>IF(I184=1,P184*Assumptions!$B$11,Assumptions!$B$28)</f>
        <v/>
      </c>
      <c r="X184">
        <f>P184*(Assumptions!$B$133+Assumptions!$B$137)</f>
        <v/>
      </c>
      <c r="Y184">
        <f>P184*Assumptions!$B$9</f>
        <v/>
      </c>
      <c r="Z184">
        <f>IF(M184=1,(P184-Assumptions!$B$37)*Assumptions!$B$153,0)</f>
        <v/>
      </c>
      <c r="AA184">
        <f>Q184+R184+S184+T184+U184+V184+W184+X184+Y184+Z184</f>
        <v/>
      </c>
      <c r="AB184" t="n">
        <v>5</v>
      </c>
      <c r="AC184" t="n">
        <v>69</v>
      </c>
      <c r="AD184" t="n">
        <v>37</v>
      </c>
      <c r="AE184" t="n">
        <v>21</v>
      </c>
      <c r="AF184" t="n">
        <v>13</v>
      </c>
      <c r="AG184" t="n">
        <v>1</v>
      </c>
      <c r="AH184" t="n">
        <v>7</v>
      </c>
      <c r="AI184" t="n">
        <v>4</v>
      </c>
      <c r="AJ184">
        <f>INDEX($Q$179:$Q$306,AC184+1)</f>
        <v/>
      </c>
      <c r="AK184">
        <f>INDEX($R$179:$R$306,AD184+1)</f>
        <v/>
      </c>
      <c r="AL184">
        <f>INDEX($S$179:$S$306,AE184+1)</f>
        <v/>
      </c>
      <c r="AM184">
        <f>INDEX($T$179:$T$306,AF184+1)</f>
        <v/>
      </c>
      <c r="AN184">
        <f>INDEX($U$179:$U$306,AG184+1)</f>
        <v/>
      </c>
      <c r="AO184">
        <f>INDEX($V$179:$V$306,AH184+1)</f>
        <v/>
      </c>
      <c r="AP184">
        <f>INDEX($W$179:$W$306,AI184+1)</f>
        <v/>
      </c>
      <c r="AQ184">
        <f>IF(Q184&gt;=AJ184-0.01,1,0)</f>
        <v/>
      </c>
      <c r="AR184">
        <f>IF(R184&gt;=AK184-0.01,1,0)</f>
        <v/>
      </c>
      <c r="AS184">
        <f>IF(S184&gt;=AL184-0.01,1,0)</f>
        <v/>
      </c>
      <c r="AT184">
        <f>IF(T184&gt;=AM184-0.01,1,0)</f>
        <v/>
      </c>
      <c r="AU184">
        <f>IF(U184&gt;=AN184-0.01,1,0)</f>
        <v/>
      </c>
      <c r="AV184">
        <f>IF(V184&gt;=AO184-0.01,1,0)</f>
        <v/>
      </c>
      <c r="AW184">
        <f>IF(W184&gt;=AP184-0.01,1,0)</f>
        <v/>
      </c>
      <c r="AX184">
        <f>AQ184*AR184*AS184*AT184*AU184*AV184*AW184</f>
        <v/>
      </c>
      <c r="AY184">
        <f>Assumptions!$B$41</f>
        <v/>
      </c>
      <c r="AZ184">
        <f>Assumptions!$B$33</f>
        <v/>
      </c>
      <c r="BA184">
        <f>Assumptions!$B$32</f>
        <v/>
      </c>
      <c r="BB184">
        <f>Assumptions!$B$31</f>
        <v/>
      </c>
      <c r="BC184">
        <f>Assumptions!$B$30</f>
        <v/>
      </c>
      <c r="BD184">
        <f>Assumptions!$B$29</f>
        <v/>
      </c>
      <c r="BE184">
        <f>Assumptions!$B$28</f>
        <v/>
      </c>
      <c r="BF184">
        <f>P184*Assumptions!$B$141</f>
        <v/>
      </c>
      <c r="BG184">
        <f>P184*Assumptions!$B$128</f>
        <v/>
      </c>
      <c r="BH184">
        <f>P184*Assumptions!$B$129</f>
        <v/>
      </c>
      <c r="BI184">
        <f>P184*Assumptions!$B$14</f>
        <v/>
      </c>
      <c r="BJ184">
        <f>P184*Assumptions!$B$13</f>
        <v/>
      </c>
      <c r="BK184">
        <f>P184*Assumptions!$B$12</f>
        <v/>
      </c>
      <c r="BL184">
        <f>P184*Assumptions!$B$11</f>
        <v/>
      </c>
    </row>
    <row r="185">
      <c r="A185" t="inlineStr">
        <is>
          <t>1200M</t>
        </is>
      </c>
      <c r="B185">
        <f>Assumptions!$B$59</f>
        <v/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>
        <f>(1-C185)*Assumptions!$B$41+(1-D185)*Assumptions!$B$33+(1-E185)*Assumptions!$B$32+(1-F185)*Assumptions!$B$31+(1-G185)*Assumptions!$B$30+(1-H185)*Assumptions!$B$29+(1-I185)*Assumptions!$B$28</f>
        <v/>
      </c>
      <c r="K185">
        <f>C185*Assumptions!$B$141+D185*Assumptions!$B$128+E185*Assumptions!$B$129+F185*Assumptions!$B$14+G185*Assumptions!$B$13+H185*Assumptions!$B$12+I185*Assumptions!$B$11+Assumptions!$B$133+Assumptions!$B$137+Assumptions!$B$9</f>
        <v/>
      </c>
      <c r="L185">
        <f>B185-J185</f>
        <v/>
      </c>
      <c r="M185">
        <f>IF(K185&gt;0,IF(L185/K185&gt;=Assumptions!$B$37,1,0),0)</f>
        <v/>
      </c>
      <c r="N185">
        <f>K185+M185*Assumptions!$B$153</f>
        <v/>
      </c>
      <c r="O185">
        <f>L185+M185*Assumptions!$B$153*Assumptions!$B$37</f>
        <v/>
      </c>
      <c r="P185">
        <f>IF(N185&gt;0,O185/N185,0)</f>
        <v/>
      </c>
      <c r="Q185">
        <f>IF(C185=1,P185*Assumptions!$B$141,Assumptions!$B$41)</f>
        <v/>
      </c>
      <c r="R185">
        <f>IF(D185=1,P185*Assumptions!$B$128,Assumptions!$B$33)</f>
        <v/>
      </c>
      <c r="S185">
        <f>IF(E185=1,P185*Assumptions!$B$129,Assumptions!$B$32)</f>
        <v/>
      </c>
      <c r="T185">
        <f>IF(F185=1,P185*Assumptions!$B$14,Assumptions!$B$31)</f>
        <v/>
      </c>
      <c r="U185">
        <f>IF(G185=1,P185*Assumptions!$B$13,Assumptions!$B$30)</f>
        <v/>
      </c>
      <c r="V185">
        <f>IF(H185=1,P185*Assumptions!$B$12,Assumptions!$B$29)</f>
        <v/>
      </c>
      <c r="W185">
        <f>IF(I185=1,P185*Assumptions!$B$11,Assumptions!$B$28)</f>
        <v/>
      </c>
      <c r="X185">
        <f>P185*(Assumptions!$B$133+Assumptions!$B$137)</f>
        <v/>
      </c>
      <c r="Y185">
        <f>P185*Assumptions!$B$9</f>
        <v/>
      </c>
      <c r="Z185">
        <f>IF(M185=1,(P185-Assumptions!$B$37)*Assumptions!$B$153,0)</f>
        <v/>
      </c>
      <c r="AA185">
        <f>Q185+R185+S185+T185+U185+V185+W185+X185+Y185+Z185</f>
        <v/>
      </c>
      <c r="AB185" t="n">
        <v>6</v>
      </c>
      <c r="AC185" t="n">
        <v>70</v>
      </c>
      <c r="AD185" t="n">
        <v>38</v>
      </c>
      <c r="AE185" t="n">
        <v>22</v>
      </c>
      <c r="AF185" t="n">
        <v>14</v>
      </c>
      <c r="AG185" t="n">
        <v>2</v>
      </c>
      <c r="AH185" t="n">
        <v>4</v>
      </c>
      <c r="AI185" t="n">
        <v>7</v>
      </c>
      <c r="AJ185">
        <f>INDEX($Q$179:$Q$306,AC185+1)</f>
        <v/>
      </c>
      <c r="AK185">
        <f>INDEX($R$179:$R$306,AD185+1)</f>
        <v/>
      </c>
      <c r="AL185">
        <f>INDEX($S$179:$S$306,AE185+1)</f>
        <v/>
      </c>
      <c r="AM185">
        <f>INDEX($T$179:$T$306,AF185+1)</f>
        <v/>
      </c>
      <c r="AN185">
        <f>INDEX($U$179:$U$306,AG185+1)</f>
        <v/>
      </c>
      <c r="AO185">
        <f>INDEX($V$179:$V$306,AH185+1)</f>
        <v/>
      </c>
      <c r="AP185">
        <f>INDEX($W$179:$W$306,AI185+1)</f>
        <v/>
      </c>
      <c r="AQ185">
        <f>IF(Q185&gt;=AJ185-0.01,1,0)</f>
        <v/>
      </c>
      <c r="AR185">
        <f>IF(R185&gt;=AK185-0.01,1,0)</f>
        <v/>
      </c>
      <c r="AS185">
        <f>IF(S185&gt;=AL185-0.01,1,0)</f>
        <v/>
      </c>
      <c r="AT185">
        <f>IF(T185&gt;=AM185-0.01,1,0)</f>
        <v/>
      </c>
      <c r="AU185">
        <f>IF(U185&gt;=AN185-0.01,1,0)</f>
        <v/>
      </c>
      <c r="AV185">
        <f>IF(V185&gt;=AO185-0.01,1,0)</f>
        <v/>
      </c>
      <c r="AW185">
        <f>IF(W185&gt;=AP185-0.01,1,0)</f>
        <v/>
      </c>
      <c r="AX185">
        <f>AQ185*AR185*AS185*AT185*AU185*AV185*AW185</f>
        <v/>
      </c>
      <c r="AY185">
        <f>Assumptions!$B$41</f>
        <v/>
      </c>
      <c r="AZ185">
        <f>Assumptions!$B$33</f>
        <v/>
      </c>
      <c r="BA185">
        <f>Assumptions!$B$32</f>
        <v/>
      </c>
      <c r="BB185">
        <f>Assumptions!$B$31</f>
        <v/>
      </c>
      <c r="BC185">
        <f>Assumptions!$B$30</f>
        <v/>
      </c>
      <c r="BD185">
        <f>Assumptions!$B$29</f>
        <v/>
      </c>
      <c r="BE185">
        <f>Assumptions!$B$28</f>
        <v/>
      </c>
      <c r="BF185">
        <f>P185*Assumptions!$B$141</f>
        <v/>
      </c>
      <c r="BG185">
        <f>P185*Assumptions!$B$128</f>
        <v/>
      </c>
      <c r="BH185">
        <f>P185*Assumptions!$B$129</f>
        <v/>
      </c>
      <c r="BI185">
        <f>P185*Assumptions!$B$14</f>
        <v/>
      </c>
      <c r="BJ185">
        <f>P185*Assumptions!$B$13</f>
        <v/>
      </c>
      <c r="BK185">
        <f>P185*Assumptions!$B$12</f>
        <v/>
      </c>
      <c r="BL185">
        <f>P185*Assumptions!$B$11</f>
        <v/>
      </c>
    </row>
    <row r="186">
      <c r="A186" t="inlineStr">
        <is>
          <t>1200M</t>
        </is>
      </c>
      <c r="B186">
        <f>Assumptions!$B$59</f>
        <v/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>
        <f>(1-C186)*Assumptions!$B$41+(1-D186)*Assumptions!$B$33+(1-E186)*Assumptions!$B$32+(1-F186)*Assumptions!$B$31+(1-G186)*Assumptions!$B$30+(1-H186)*Assumptions!$B$29+(1-I186)*Assumptions!$B$28</f>
        <v/>
      </c>
      <c r="K186">
        <f>C186*Assumptions!$B$141+D186*Assumptions!$B$128+E186*Assumptions!$B$129+F186*Assumptions!$B$14+G186*Assumptions!$B$13+H186*Assumptions!$B$12+I186*Assumptions!$B$11+Assumptions!$B$133+Assumptions!$B$137+Assumptions!$B$9</f>
        <v/>
      </c>
      <c r="L186">
        <f>B186-J186</f>
        <v/>
      </c>
      <c r="M186">
        <f>IF(K186&gt;0,IF(L186/K186&gt;=Assumptions!$B$37,1,0),0)</f>
        <v/>
      </c>
      <c r="N186">
        <f>K186+M186*Assumptions!$B$153</f>
        <v/>
      </c>
      <c r="O186">
        <f>L186+M186*Assumptions!$B$153*Assumptions!$B$37</f>
        <v/>
      </c>
      <c r="P186">
        <f>IF(N186&gt;0,O186/N186,0)</f>
        <v/>
      </c>
      <c r="Q186">
        <f>IF(C186=1,P186*Assumptions!$B$141,Assumptions!$B$41)</f>
        <v/>
      </c>
      <c r="R186">
        <f>IF(D186=1,P186*Assumptions!$B$128,Assumptions!$B$33)</f>
        <v/>
      </c>
      <c r="S186">
        <f>IF(E186=1,P186*Assumptions!$B$129,Assumptions!$B$32)</f>
        <v/>
      </c>
      <c r="T186">
        <f>IF(F186=1,P186*Assumptions!$B$14,Assumptions!$B$31)</f>
        <v/>
      </c>
      <c r="U186">
        <f>IF(G186=1,P186*Assumptions!$B$13,Assumptions!$B$30)</f>
        <v/>
      </c>
      <c r="V186">
        <f>IF(H186=1,P186*Assumptions!$B$12,Assumptions!$B$29)</f>
        <v/>
      </c>
      <c r="W186">
        <f>IF(I186=1,P186*Assumptions!$B$11,Assumptions!$B$28)</f>
        <v/>
      </c>
      <c r="X186">
        <f>P186*(Assumptions!$B$133+Assumptions!$B$137)</f>
        <v/>
      </c>
      <c r="Y186">
        <f>P186*Assumptions!$B$9</f>
        <v/>
      </c>
      <c r="Z186">
        <f>IF(M186=1,(P186-Assumptions!$B$37)*Assumptions!$B$153,0)</f>
        <v/>
      </c>
      <c r="AA186">
        <f>Q186+R186+S186+T186+U186+V186+W186+X186+Y186+Z186</f>
        <v/>
      </c>
      <c r="AB186" t="n">
        <v>7</v>
      </c>
      <c r="AC186" t="n">
        <v>71</v>
      </c>
      <c r="AD186" t="n">
        <v>39</v>
      </c>
      <c r="AE186" t="n">
        <v>23</v>
      </c>
      <c r="AF186" t="n">
        <v>15</v>
      </c>
      <c r="AG186" t="n">
        <v>3</v>
      </c>
      <c r="AH186" t="n">
        <v>5</v>
      </c>
      <c r="AI186" t="n">
        <v>6</v>
      </c>
      <c r="AJ186">
        <f>INDEX($Q$179:$Q$306,AC186+1)</f>
        <v/>
      </c>
      <c r="AK186">
        <f>INDEX($R$179:$R$306,AD186+1)</f>
        <v/>
      </c>
      <c r="AL186">
        <f>INDEX($S$179:$S$306,AE186+1)</f>
        <v/>
      </c>
      <c r="AM186">
        <f>INDEX($T$179:$T$306,AF186+1)</f>
        <v/>
      </c>
      <c r="AN186">
        <f>INDEX($U$179:$U$306,AG186+1)</f>
        <v/>
      </c>
      <c r="AO186">
        <f>INDEX($V$179:$V$306,AH186+1)</f>
        <v/>
      </c>
      <c r="AP186">
        <f>INDEX($W$179:$W$306,AI186+1)</f>
        <v/>
      </c>
      <c r="AQ186">
        <f>IF(Q186&gt;=AJ186-0.01,1,0)</f>
        <v/>
      </c>
      <c r="AR186">
        <f>IF(R186&gt;=AK186-0.01,1,0)</f>
        <v/>
      </c>
      <c r="AS186">
        <f>IF(S186&gt;=AL186-0.01,1,0)</f>
        <v/>
      </c>
      <c r="AT186">
        <f>IF(T186&gt;=AM186-0.01,1,0)</f>
        <v/>
      </c>
      <c r="AU186">
        <f>IF(U186&gt;=AN186-0.01,1,0)</f>
        <v/>
      </c>
      <c r="AV186">
        <f>IF(V186&gt;=AO186-0.01,1,0)</f>
        <v/>
      </c>
      <c r="AW186">
        <f>IF(W186&gt;=AP186-0.01,1,0)</f>
        <v/>
      </c>
      <c r="AX186">
        <f>AQ186*AR186*AS186*AT186*AU186*AV186*AW186</f>
        <v/>
      </c>
      <c r="AY186">
        <f>Assumptions!$B$41</f>
        <v/>
      </c>
      <c r="AZ186">
        <f>Assumptions!$B$33</f>
        <v/>
      </c>
      <c r="BA186">
        <f>Assumptions!$B$32</f>
        <v/>
      </c>
      <c r="BB186">
        <f>Assumptions!$B$31</f>
        <v/>
      </c>
      <c r="BC186">
        <f>Assumptions!$B$30</f>
        <v/>
      </c>
      <c r="BD186">
        <f>Assumptions!$B$29</f>
        <v/>
      </c>
      <c r="BE186">
        <f>Assumptions!$B$28</f>
        <v/>
      </c>
      <c r="BF186">
        <f>P186*Assumptions!$B$141</f>
        <v/>
      </c>
      <c r="BG186">
        <f>P186*Assumptions!$B$128</f>
        <v/>
      </c>
      <c r="BH186">
        <f>P186*Assumptions!$B$129</f>
        <v/>
      </c>
      <c r="BI186">
        <f>P186*Assumptions!$B$14</f>
        <v/>
      </c>
      <c r="BJ186">
        <f>P186*Assumptions!$B$13</f>
        <v/>
      </c>
      <c r="BK186">
        <f>P186*Assumptions!$B$12</f>
        <v/>
      </c>
      <c r="BL186">
        <f>P186*Assumptions!$B$11</f>
        <v/>
      </c>
    </row>
    <row r="187">
      <c r="A187" t="inlineStr">
        <is>
          <t>1200M</t>
        </is>
      </c>
      <c r="B187">
        <f>Assumptions!$B$59</f>
        <v/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>
        <f>(1-C187)*Assumptions!$B$41+(1-D187)*Assumptions!$B$33+(1-E187)*Assumptions!$B$32+(1-F187)*Assumptions!$B$31+(1-G187)*Assumptions!$B$30+(1-H187)*Assumptions!$B$29+(1-I187)*Assumptions!$B$28</f>
        <v/>
      </c>
      <c r="K187">
        <f>C187*Assumptions!$B$141+D187*Assumptions!$B$128+E187*Assumptions!$B$129+F187*Assumptions!$B$14+G187*Assumptions!$B$13+H187*Assumptions!$B$12+I187*Assumptions!$B$11+Assumptions!$B$133+Assumptions!$B$137+Assumptions!$B$9</f>
        <v/>
      </c>
      <c r="L187">
        <f>B187-J187</f>
        <v/>
      </c>
      <c r="M187">
        <f>IF(K187&gt;0,IF(L187/K187&gt;=Assumptions!$B$37,1,0),0)</f>
        <v/>
      </c>
      <c r="N187">
        <f>K187+M187*Assumptions!$B$153</f>
        <v/>
      </c>
      <c r="O187">
        <f>L187+M187*Assumptions!$B$153*Assumptions!$B$37</f>
        <v/>
      </c>
      <c r="P187">
        <f>IF(N187&gt;0,O187/N187,0)</f>
        <v/>
      </c>
      <c r="Q187">
        <f>IF(C187=1,P187*Assumptions!$B$141,Assumptions!$B$41)</f>
        <v/>
      </c>
      <c r="R187">
        <f>IF(D187=1,P187*Assumptions!$B$128,Assumptions!$B$33)</f>
        <v/>
      </c>
      <c r="S187">
        <f>IF(E187=1,P187*Assumptions!$B$129,Assumptions!$B$32)</f>
        <v/>
      </c>
      <c r="T187">
        <f>IF(F187=1,P187*Assumptions!$B$14,Assumptions!$B$31)</f>
        <v/>
      </c>
      <c r="U187">
        <f>IF(G187=1,P187*Assumptions!$B$13,Assumptions!$B$30)</f>
        <v/>
      </c>
      <c r="V187">
        <f>IF(H187=1,P187*Assumptions!$B$12,Assumptions!$B$29)</f>
        <v/>
      </c>
      <c r="W187">
        <f>IF(I187=1,P187*Assumptions!$B$11,Assumptions!$B$28)</f>
        <v/>
      </c>
      <c r="X187">
        <f>P187*(Assumptions!$B$133+Assumptions!$B$137)</f>
        <v/>
      </c>
      <c r="Y187">
        <f>P187*Assumptions!$B$9</f>
        <v/>
      </c>
      <c r="Z187">
        <f>IF(M187=1,(P187-Assumptions!$B$37)*Assumptions!$B$153,0)</f>
        <v/>
      </c>
      <c r="AA187">
        <f>Q187+R187+S187+T187+U187+V187+W187+X187+Y187+Z187</f>
        <v/>
      </c>
      <c r="AB187" t="n">
        <v>8</v>
      </c>
      <c r="AC187" t="n">
        <v>72</v>
      </c>
      <c r="AD187" t="n">
        <v>40</v>
      </c>
      <c r="AE187" t="n">
        <v>24</v>
      </c>
      <c r="AF187" t="n">
        <v>0</v>
      </c>
      <c r="AG187" t="n">
        <v>12</v>
      </c>
      <c r="AH187" t="n">
        <v>10</v>
      </c>
      <c r="AI187" t="n">
        <v>9</v>
      </c>
      <c r="AJ187">
        <f>INDEX($Q$179:$Q$306,AC187+1)</f>
        <v/>
      </c>
      <c r="AK187">
        <f>INDEX($R$179:$R$306,AD187+1)</f>
        <v/>
      </c>
      <c r="AL187">
        <f>INDEX($S$179:$S$306,AE187+1)</f>
        <v/>
      </c>
      <c r="AM187">
        <f>INDEX($T$179:$T$306,AF187+1)</f>
        <v/>
      </c>
      <c r="AN187">
        <f>INDEX($U$179:$U$306,AG187+1)</f>
        <v/>
      </c>
      <c r="AO187">
        <f>INDEX($V$179:$V$306,AH187+1)</f>
        <v/>
      </c>
      <c r="AP187">
        <f>INDEX($W$179:$W$306,AI187+1)</f>
        <v/>
      </c>
      <c r="AQ187">
        <f>IF(Q187&gt;=AJ187-0.01,1,0)</f>
        <v/>
      </c>
      <c r="AR187">
        <f>IF(R187&gt;=AK187-0.01,1,0)</f>
        <v/>
      </c>
      <c r="AS187">
        <f>IF(S187&gt;=AL187-0.01,1,0)</f>
        <v/>
      </c>
      <c r="AT187">
        <f>IF(T187&gt;=AM187-0.01,1,0)</f>
        <v/>
      </c>
      <c r="AU187">
        <f>IF(U187&gt;=AN187-0.01,1,0)</f>
        <v/>
      </c>
      <c r="AV187">
        <f>IF(V187&gt;=AO187-0.01,1,0)</f>
        <v/>
      </c>
      <c r="AW187">
        <f>IF(W187&gt;=AP187-0.01,1,0)</f>
        <v/>
      </c>
      <c r="AX187">
        <f>AQ187*AR187*AS187*AT187*AU187*AV187*AW187</f>
        <v/>
      </c>
      <c r="AY187">
        <f>Assumptions!$B$41</f>
        <v/>
      </c>
      <c r="AZ187">
        <f>Assumptions!$B$33</f>
        <v/>
      </c>
      <c r="BA187">
        <f>Assumptions!$B$32</f>
        <v/>
      </c>
      <c r="BB187">
        <f>Assumptions!$B$31</f>
        <v/>
      </c>
      <c r="BC187">
        <f>Assumptions!$B$30</f>
        <v/>
      </c>
      <c r="BD187">
        <f>Assumptions!$B$29</f>
        <v/>
      </c>
      <c r="BE187">
        <f>Assumptions!$B$28</f>
        <v/>
      </c>
      <c r="BF187">
        <f>P187*Assumptions!$B$141</f>
        <v/>
      </c>
      <c r="BG187">
        <f>P187*Assumptions!$B$128</f>
        <v/>
      </c>
      <c r="BH187">
        <f>P187*Assumptions!$B$129</f>
        <v/>
      </c>
      <c r="BI187">
        <f>P187*Assumptions!$B$14</f>
        <v/>
      </c>
      <c r="BJ187">
        <f>P187*Assumptions!$B$13</f>
        <v/>
      </c>
      <c r="BK187">
        <f>P187*Assumptions!$B$12</f>
        <v/>
      </c>
      <c r="BL187">
        <f>P187*Assumptions!$B$11</f>
        <v/>
      </c>
    </row>
    <row r="188">
      <c r="A188" t="inlineStr">
        <is>
          <t>1200M</t>
        </is>
      </c>
      <c r="B188">
        <f>Assumptions!$B$59</f>
        <v/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>
        <f>(1-C188)*Assumptions!$B$41+(1-D188)*Assumptions!$B$33+(1-E188)*Assumptions!$B$32+(1-F188)*Assumptions!$B$31+(1-G188)*Assumptions!$B$30+(1-H188)*Assumptions!$B$29+(1-I188)*Assumptions!$B$28</f>
        <v/>
      </c>
      <c r="K188">
        <f>C188*Assumptions!$B$141+D188*Assumptions!$B$128+E188*Assumptions!$B$129+F188*Assumptions!$B$14+G188*Assumptions!$B$13+H188*Assumptions!$B$12+I188*Assumptions!$B$11+Assumptions!$B$133+Assumptions!$B$137+Assumptions!$B$9</f>
        <v/>
      </c>
      <c r="L188">
        <f>B188-J188</f>
        <v/>
      </c>
      <c r="M188">
        <f>IF(K188&gt;0,IF(L188/K188&gt;=Assumptions!$B$37,1,0),0)</f>
        <v/>
      </c>
      <c r="N188">
        <f>K188+M188*Assumptions!$B$153</f>
        <v/>
      </c>
      <c r="O188">
        <f>L188+M188*Assumptions!$B$153*Assumptions!$B$37</f>
        <v/>
      </c>
      <c r="P188">
        <f>IF(N188&gt;0,O188/N188,0)</f>
        <v/>
      </c>
      <c r="Q188">
        <f>IF(C188=1,P188*Assumptions!$B$141,Assumptions!$B$41)</f>
        <v/>
      </c>
      <c r="R188">
        <f>IF(D188=1,P188*Assumptions!$B$128,Assumptions!$B$33)</f>
        <v/>
      </c>
      <c r="S188">
        <f>IF(E188=1,P188*Assumptions!$B$129,Assumptions!$B$32)</f>
        <v/>
      </c>
      <c r="T188">
        <f>IF(F188=1,P188*Assumptions!$B$14,Assumptions!$B$31)</f>
        <v/>
      </c>
      <c r="U188">
        <f>IF(G188=1,P188*Assumptions!$B$13,Assumptions!$B$30)</f>
        <v/>
      </c>
      <c r="V188">
        <f>IF(H188=1,P188*Assumptions!$B$12,Assumptions!$B$29)</f>
        <v/>
      </c>
      <c r="W188">
        <f>IF(I188=1,P188*Assumptions!$B$11,Assumptions!$B$28)</f>
        <v/>
      </c>
      <c r="X188">
        <f>P188*(Assumptions!$B$133+Assumptions!$B$137)</f>
        <v/>
      </c>
      <c r="Y188">
        <f>P188*Assumptions!$B$9</f>
        <v/>
      </c>
      <c r="Z188">
        <f>IF(M188=1,(P188-Assumptions!$B$37)*Assumptions!$B$153,0)</f>
        <v/>
      </c>
      <c r="AA188">
        <f>Q188+R188+S188+T188+U188+V188+W188+X188+Y188+Z188</f>
        <v/>
      </c>
      <c r="AB188" t="n">
        <v>9</v>
      </c>
      <c r="AC188" t="n">
        <v>73</v>
      </c>
      <c r="AD188" t="n">
        <v>41</v>
      </c>
      <c r="AE188" t="n">
        <v>25</v>
      </c>
      <c r="AF188" t="n">
        <v>1</v>
      </c>
      <c r="AG188" t="n">
        <v>13</v>
      </c>
      <c r="AH188" t="n">
        <v>11</v>
      </c>
      <c r="AI188" t="n">
        <v>8</v>
      </c>
      <c r="AJ188">
        <f>INDEX($Q$179:$Q$306,AC188+1)</f>
        <v/>
      </c>
      <c r="AK188">
        <f>INDEX($R$179:$R$306,AD188+1)</f>
        <v/>
      </c>
      <c r="AL188">
        <f>INDEX($S$179:$S$306,AE188+1)</f>
        <v/>
      </c>
      <c r="AM188">
        <f>INDEX($T$179:$T$306,AF188+1)</f>
        <v/>
      </c>
      <c r="AN188">
        <f>INDEX($U$179:$U$306,AG188+1)</f>
        <v/>
      </c>
      <c r="AO188">
        <f>INDEX($V$179:$V$306,AH188+1)</f>
        <v/>
      </c>
      <c r="AP188">
        <f>INDEX($W$179:$W$306,AI188+1)</f>
        <v/>
      </c>
      <c r="AQ188">
        <f>IF(Q188&gt;=AJ188-0.01,1,0)</f>
        <v/>
      </c>
      <c r="AR188">
        <f>IF(R188&gt;=AK188-0.01,1,0)</f>
        <v/>
      </c>
      <c r="AS188">
        <f>IF(S188&gt;=AL188-0.01,1,0)</f>
        <v/>
      </c>
      <c r="AT188">
        <f>IF(T188&gt;=AM188-0.01,1,0)</f>
        <v/>
      </c>
      <c r="AU188">
        <f>IF(U188&gt;=AN188-0.01,1,0)</f>
        <v/>
      </c>
      <c r="AV188">
        <f>IF(V188&gt;=AO188-0.01,1,0)</f>
        <v/>
      </c>
      <c r="AW188">
        <f>IF(W188&gt;=AP188-0.01,1,0)</f>
        <v/>
      </c>
      <c r="AX188">
        <f>AQ188*AR188*AS188*AT188*AU188*AV188*AW188</f>
        <v/>
      </c>
      <c r="AY188">
        <f>Assumptions!$B$41</f>
        <v/>
      </c>
      <c r="AZ188">
        <f>Assumptions!$B$33</f>
        <v/>
      </c>
      <c r="BA188">
        <f>Assumptions!$B$32</f>
        <v/>
      </c>
      <c r="BB188">
        <f>Assumptions!$B$31</f>
        <v/>
      </c>
      <c r="BC188">
        <f>Assumptions!$B$30</f>
        <v/>
      </c>
      <c r="BD188">
        <f>Assumptions!$B$29</f>
        <v/>
      </c>
      <c r="BE188">
        <f>Assumptions!$B$28</f>
        <v/>
      </c>
      <c r="BF188">
        <f>P188*Assumptions!$B$141</f>
        <v/>
      </c>
      <c r="BG188">
        <f>P188*Assumptions!$B$128</f>
        <v/>
      </c>
      <c r="BH188">
        <f>P188*Assumptions!$B$129</f>
        <v/>
      </c>
      <c r="BI188">
        <f>P188*Assumptions!$B$14</f>
        <v/>
      </c>
      <c r="BJ188">
        <f>P188*Assumptions!$B$13</f>
        <v/>
      </c>
      <c r="BK188">
        <f>P188*Assumptions!$B$12</f>
        <v/>
      </c>
      <c r="BL188">
        <f>P188*Assumptions!$B$11</f>
        <v/>
      </c>
    </row>
    <row r="189">
      <c r="A189" t="inlineStr">
        <is>
          <t>1200M</t>
        </is>
      </c>
      <c r="B189">
        <f>Assumptions!$B$59</f>
        <v/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>
        <f>(1-C189)*Assumptions!$B$41+(1-D189)*Assumptions!$B$33+(1-E189)*Assumptions!$B$32+(1-F189)*Assumptions!$B$31+(1-G189)*Assumptions!$B$30+(1-H189)*Assumptions!$B$29+(1-I189)*Assumptions!$B$28</f>
        <v/>
      </c>
      <c r="K189">
        <f>C189*Assumptions!$B$141+D189*Assumptions!$B$128+E189*Assumptions!$B$129+F189*Assumptions!$B$14+G189*Assumptions!$B$13+H189*Assumptions!$B$12+I189*Assumptions!$B$11+Assumptions!$B$133+Assumptions!$B$137+Assumptions!$B$9</f>
        <v/>
      </c>
      <c r="L189">
        <f>B189-J189</f>
        <v/>
      </c>
      <c r="M189">
        <f>IF(K189&gt;0,IF(L189/K189&gt;=Assumptions!$B$37,1,0),0)</f>
        <v/>
      </c>
      <c r="N189">
        <f>K189+M189*Assumptions!$B$153</f>
        <v/>
      </c>
      <c r="O189">
        <f>L189+M189*Assumptions!$B$153*Assumptions!$B$37</f>
        <v/>
      </c>
      <c r="P189">
        <f>IF(N189&gt;0,O189/N189,0)</f>
        <v/>
      </c>
      <c r="Q189">
        <f>IF(C189=1,P189*Assumptions!$B$141,Assumptions!$B$41)</f>
        <v/>
      </c>
      <c r="R189">
        <f>IF(D189=1,P189*Assumptions!$B$128,Assumptions!$B$33)</f>
        <v/>
      </c>
      <c r="S189">
        <f>IF(E189=1,P189*Assumptions!$B$129,Assumptions!$B$32)</f>
        <v/>
      </c>
      <c r="T189">
        <f>IF(F189=1,P189*Assumptions!$B$14,Assumptions!$B$31)</f>
        <v/>
      </c>
      <c r="U189">
        <f>IF(G189=1,P189*Assumptions!$B$13,Assumptions!$B$30)</f>
        <v/>
      </c>
      <c r="V189">
        <f>IF(H189=1,P189*Assumptions!$B$12,Assumptions!$B$29)</f>
        <v/>
      </c>
      <c r="W189">
        <f>IF(I189=1,P189*Assumptions!$B$11,Assumptions!$B$28)</f>
        <v/>
      </c>
      <c r="X189">
        <f>P189*(Assumptions!$B$133+Assumptions!$B$137)</f>
        <v/>
      </c>
      <c r="Y189">
        <f>P189*Assumptions!$B$9</f>
        <v/>
      </c>
      <c r="Z189">
        <f>IF(M189=1,(P189-Assumptions!$B$37)*Assumptions!$B$153,0)</f>
        <v/>
      </c>
      <c r="AA189">
        <f>Q189+R189+S189+T189+U189+V189+W189+X189+Y189+Z189</f>
        <v/>
      </c>
      <c r="AB189" t="n">
        <v>10</v>
      </c>
      <c r="AC189" t="n">
        <v>74</v>
      </c>
      <c r="AD189" t="n">
        <v>42</v>
      </c>
      <c r="AE189" t="n">
        <v>26</v>
      </c>
      <c r="AF189" t="n">
        <v>2</v>
      </c>
      <c r="AG189" t="n">
        <v>14</v>
      </c>
      <c r="AH189" t="n">
        <v>8</v>
      </c>
      <c r="AI189" t="n">
        <v>11</v>
      </c>
      <c r="AJ189">
        <f>INDEX($Q$179:$Q$306,AC189+1)</f>
        <v/>
      </c>
      <c r="AK189">
        <f>INDEX($R$179:$R$306,AD189+1)</f>
        <v/>
      </c>
      <c r="AL189">
        <f>INDEX($S$179:$S$306,AE189+1)</f>
        <v/>
      </c>
      <c r="AM189">
        <f>INDEX($T$179:$T$306,AF189+1)</f>
        <v/>
      </c>
      <c r="AN189">
        <f>INDEX($U$179:$U$306,AG189+1)</f>
        <v/>
      </c>
      <c r="AO189">
        <f>INDEX($V$179:$V$306,AH189+1)</f>
        <v/>
      </c>
      <c r="AP189">
        <f>INDEX($W$179:$W$306,AI189+1)</f>
        <v/>
      </c>
      <c r="AQ189">
        <f>IF(Q189&gt;=AJ189-0.01,1,0)</f>
        <v/>
      </c>
      <c r="AR189">
        <f>IF(R189&gt;=AK189-0.01,1,0)</f>
        <v/>
      </c>
      <c r="AS189">
        <f>IF(S189&gt;=AL189-0.01,1,0)</f>
        <v/>
      </c>
      <c r="AT189">
        <f>IF(T189&gt;=AM189-0.01,1,0)</f>
        <v/>
      </c>
      <c r="AU189">
        <f>IF(U189&gt;=AN189-0.01,1,0)</f>
        <v/>
      </c>
      <c r="AV189">
        <f>IF(V189&gt;=AO189-0.01,1,0)</f>
        <v/>
      </c>
      <c r="AW189">
        <f>IF(W189&gt;=AP189-0.01,1,0)</f>
        <v/>
      </c>
      <c r="AX189">
        <f>AQ189*AR189*AS189*AT189*AU189*AV189*AW189</f>
        <v/>
      </c>
      <c r="AY189">
        <f>Assumptions!$B$41</f>
        <v/>
      </c>
      <c r="AZ189">
        <f>Assumptions!$B$33</f>
        <v/>
      </c>
      <c r="BA189">
        <f>Assumptions!$B$32</f>
        <v/>
      </c>
      <c r="BB189">
        <f>Assumptions!$B$31</f>
        <v/>
      </c>
      <c r="BC189">
        <f>Assumptions!$B$30</f>
        <v/>
      </c>
      <c r="BD189">
        <f>Assumptions!$B$29</f>
        <v/>
      </c>
      <c r="BE189">
        <f>Assumptions!$B$28</f>
        <v/>
      </c>
      <c r="BF189">
        <f>P189*Assumptions!$B$141</f>
        <v/>
      </c>
      <c r="BG189">
        <f>P189*Assumptions!$B$128</f>
        <v/>
      </c>
      <c r="BH189">
        <f>P189*Assumptions!$B$129</f>
        <v/>
      </c>
      <c r="BI189">
        <f>P189*Assumptions!$B$14</f>
        <v/>
      </c>
      <c r="BJ189">
        <f>P189*Assumptions!$B$13</f>
        <v/>
      </c>
      <c r="BK189">
        <f>P189*Assumptions!$B$12</f>
        <v/>
      </c>
      <c r="BL189">
        <f>P189*Assumptions!$B$11</f>
        <v/>
      </c>
    </row>
    <row r="190">
      <c r="A190" t="inlineStr">
        <is>
          <t>1200M</t>
        </is>
      </c>
      <c r="B190">
        <f>Assumptions!$B$59</f>
        <v/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1</v>
      </c>
      <c r="J190">
        <f>(1-C190)*Assumptions!$B$41+(1-D190)*Assumptions!$B$33+(1-E190)*Assumptions!$B$32+(1-F190)*Assumptions!$B$31+(1-G190)*Assumptions!$B$30+(1-H190)*Assumptions!$B$29+(1-I190)*Assumptions!$B$28</f>
        <v/>
      </c>
      <c r="K190">
        <f>C190*Assumptions!$B$141+D190*Assumptions!$B$128+E190*Assumptions!$B$129+F190*Assumptions!$B$14+G190*Assumptions!$B$13+H190*Assumptions!$B$12+I190*Assumptions!$B$11+Assumptions!$B$133+Assumptions!$B$137+Assumptions!$B$9</f>
        <v/>
      </c>
      <c r="L190">
        <f>B190-J190</f>
        <v/>
      </c>
      <c r="M190">
        <f>IF(K190&gt;0,IF(L190/K190&gt;=Assumptions!$B$37,1,0),0)</f>
        <v/>
      </c>
      <c r="N190">
        <f>K190+M190*Assumptions!$B$153</f>
        <v/>
      </c>
      <c r="O190">
        <f>L190+M190*Assumptions!$B$153*Assumptions!$B$37</f>
        <v/>
      </c>
      <c r="P190">
        <f>IF(N190&gt;0,O190/N190,0)</f>
        <v/>
      </c>
      <c r="Q190">
        <f>IF(C190=1,P190*Assumptions!$B$141,Assumptions!$B$41)</f>
        <v/>
      </c>
      <c r="R190">
        <f>IF(D190=1,P190*Assumptions!$B$128,Assumptions!$B$33)</f>
        <v/>
      </c>
      <c r="S190">
        <f>IF(E190=1,P190*Assumptions!$B$129,Assumptions!$B$32)</f>
        <v/>
      </c>
      <c r="T190">
        <f>IF(F190=1,P190*Assumptions!$B$14,Assumptions!$B$31)</f>
        <v/>
      </c>
      <c r="U190">
        <f>IF(G190=1,P190*Assumptions!$B$13,Assumptions!$B$30)</f>
        <v/>
      </c>
      <c r="V190">
        <f>IF(H190=1,P190*Assumptions!$B$12,Assumptions!$B$29)</f>
        <v/>
      </c>
      <c r="W190">
        <f>IF(I190=1,P190*Assumptions!$B$11,Assumptions!$B$28)</f>
        <v/>
      </c>
      <c r="X190">
        <f>P190*(Assumptions!$B$133+Assumptions!$B$137)</f>
        <v/>
      </c>
      <c r="Y190">
        <f>P190*Assumptions!$B$9</f>
        <v/>
      </c>
      <c r="Z190">
        <f>IF(M190=1,(P190-Assumptions!$B$37)*Assumptions!$B$153,0)</f>
        <v/>
      </c>
      <c r="AA190">
        <f>Q190+R190+S190+T190+U190+V190+W190+X190+Y190+Z190</f>
        <v/>
      </c>
      <c r="AB190" t="n">
        <v>11</v>
      </c>
      <c r="AC190" t="n">
        <v>75</v>
      </c>
      <c r="AD190" t="n">
        <v>43</v>
      </c>
      <c r="AE190" t="n">
        <v>27</v>
      </c>
      <c r="AF190" t="n">
        <v>3</v>
      </c>
      <c r="AG190" t="n">
        <v>15</v>
      </c>
      <c r="AH190" t="n">
        <v>9</v>
      </c>
      <c r="AI190" t="n">
        <v>10</v>
      </c>
      <c r="AJ190">
        <f>INDEX($Q$179:$Q$306,AC190+1)</f>
        <v/>
      </c>
      <c r="AK190">
        <f>INDEX($R$179:$R$306,AD190+1)</f>
        <v/>
      </c>
      <c r="AL190">
        <f>INDEX($S$179:$S$306,AE190+1)</f>
        <v/>
      </c>
      <c r="AM190">
        <f>INDEX($T$179:$T$306,AF190+1)</f>
        <v/>
      </c>
      <c r="AN190">
        <f>INDEX($U$179:$U$306,AG190+1)</f>
        <v/>
      </c>
      <c r="AO190">
        <f>INDEX($V$179:$V$306,AH190+1)</f>
        <v/>
      </c>
      <c r="AP190">
        <f>INDEX($W$179:$W$306,AI190+1)</f>
        <v/>
      </c>
      <c r="AQ190">
        <f>IF(Q190&gt;=AJ190-0.01,1,0)</f>
        <v/>
      </c>
      <c r="AR190">
        <f>IF(R190&gt;=AK190-0.01,1,0)</f>
        <v/>
      </c>
      <c r="AS190">
        <f>IF(S190&gt;=AL190-0.01,1,0)</f>
        <v/>
      </c>
      <c r="AT190">
        <f>IF(T190&gt;=AM190-0.01,1,0)</f>
        <v/>
      </c>
      <c r="AU190">
        <f>IF(U190&gt;=AN190-0.01,1,0)</f>
        <v/>
      </c>
      <c r="AV190">
        <f>IF(V190&gt;=AO190-0.01,1,0)</f>
        <v/>
      </c>
      <c r="AW190">
        <f>IF(W190&gt;=AP190-0.01,1,0)</f>
        <v/>
      </c>
      <c r="AX190">
        <f>AQ190*AR190*AS190*AT190*AU190*AV190*AW190</f>
        <v/>
      </c>
      <c r="AY190">
        <f>Assumptions!$B$41</f>
        <v/>
      </c>
      <c r="AZ190">
        <f>Assumptions!$B$33</f>
        <v/>
      </c>
      <c r="BA190">
        <f>Assumptions!$B$32</f>
        <v/>
      </c>
      <c r="BB190">
        <f>Assumptions!$B$31</f>
        <v/>
      </c>
      <c r="BC190">
        <f>Assumptions!$B$30</f>
        <v/>
      </c>
      <c r="BD190">
        <f>Assumptions!$B$29</f>
        <v/>
      </c>
      <c r="BE190">
        <f>Assumptions!$B$28</f>
        <v/>
      </c>
      <c r="BF190">
        <f>P190*Assumptions!$B$141</f>
        <v/>
      </c>
      <c r="BG190">
        <f>P190*Assumptions!$B$128</f>
        <v/>
      </c>
      <c r="BH190">
        <f>P190*Assumptions!$B$129</f>
        <v/>
      </c>
      <c r="BI190">
        <f>P190*Assumptions!$B$14</f>
        <v/>
      </c>
      <c r="BJ190">
        <f>P190*Assumptions!$B$13</f>
        <v/>
      </c>
      <c r="BK190">
        <f>P190*Assumptions!$B$12</f>
        <v/>
      </c>
      <c r="BL190">
        <f>P190*Assumptions!$B$11</f>
        <v/>
      </c>
    </row>
    <row r="191">
      <c r="A191" t="inlineStr">
        <is>
          <t>1200M</t>
        </is>
      </c>
      <c r="B191">
        <f>Assumptions!$B$59</f>
        <v/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>
        <f>(1-C191)*Assumptions!$B$41+(1-D191)*Assumptions!$B$33+(1-E191)*Assumptions!$B$32+(1-F191)*Assumptions!$B$31+(1-G191)*Assumptions!$B$30+(1-H191)*Assumptions!$B$29+(1-I191)*Assumptions!$B$28</f>
        <v/>
      </c>
      <c r="K191">
        <f>C191*Assumptions!$B$141+D191*Assumptions!$B$128+E191*Assumptions!$B$129+F191*Assumptions!$B$14+G191*Assumptions!$B$13+H191*Assumptions!$B$12+I191*Assumptions!$B$11+Assumptions!$B$133+Assumptions!$B$137+Assumptions!$B$9</f>
        <v/>
      </c>
      <c r="L191">
        <f>B191-J191</f>
        <v/>
      </c>
      <c r="M191">
        <f>IF(K191&gt;0,IF(L191/K191&gt;=Assumptions!$B$37,1,0),0)</f>
        <v/>
      </c>
      <c r="N191">
        <f>K191+M191*Assumptions!$B$153</f>
        <v/>
      </c>
      <c r="O191">
        <f>L191+M191*Assumptions!$B$153*Assumptions!$B$37</f>
        <v/>
      </c>
      <c r="P191">
        <f>IF(N191&gt;0,O191/N191,0)</f>
        <v/>
      </c>
      <c r="Q191">
        <f>IF(C191=1,P191*Assumptions!$B$141,Assumptions!$B$41)</f>
        <v/>
      </c>
      <c r="R191">
        <f>IF(D191=1,P191*Assumptions!$B$128,Assumptions!$B$33)</f>
        <v/>
      </c>
      <c r="S191">
        <f>IF(E191=1,P191*Assumptions!$B$129,Assumptions!$B$32)</f>
        <v/>
      </c>
      <c r="T191">
        <f>IF(F191=1,P191*Assumptions!$B$14,Assumptions!$B$31)</f>
        <v/>
      </c>
      <c r="U191">
        <f>IF(G191=1,P191*Assumptions!$B$13,Assumptions!$B$30)</f>
        <v/>
      </c>
      <c r="V191">
        <f>IF(H191=1,P191*Assumptions!$B$12,Assumptions!$B$29)</f>
        <v/>
      </c>
      <c r="W191">
        <f>IF(I191=1,P191*Assumptions!$B$11,Assumptions!$B$28)</f>
        <v/>
      </c>
      <c r="X191">
        <f>P191*(Assumptions!$B$133+Assumptions!$B$137)</f>
        <v/>
      </c>
      <c r="Y191">
        <f>P191*Assumptions!$B$9</f>
        <v/>
      </c>
      <c r="Z191">
        <f>IF(M191=1,(P191-Assumptions!$B$37)*Assumptions!$B$153,0)</f>
        <v/>
      </c>
      <c r="AA191">
        <f>Q191+R191+S191+T191+U191+V191+W191+X191+Y191+Z191</f>
        <v/>
      </c>
      <c r="AB191" t="n">
        <v>12</v>
      </c>
      <c r="AC191" t="n">
        <v>76</v>
      </c>
      <c r="AD191" t="n">
        <v>44</v>
      </c>
      <c r="AE191" t="n">
        <v>28</v>
      </c>
      <c r="AF191" t="n">
        <v>4</v>
      </c>
      <c r="AG191" t="n">
        <v>8</v>
      </c>
      <c r="AH191" t="n">
        <v>14</v>
      </c>
      <c r="AI191" t="n">
        <v>13</v>
      </c>
      <c r="AJ191">
        <f>INDEX($Q$179:$Q$306,AC191+1)</f>
        <v/>
      </c>
      <c r="AK191">
        <f>INDEX($R$179:$R$306,AD191+1)</f>
        <v/>
      </c>
      <c r="AL191">
        <f>INDEX($S$179:$S$306,AE191+1)</f>
        <v/>
      </c>
      <c r="AM191">
        <f>INDEX($T$179:$T$306,AF191+1)</f>
        <v/>
      </c>
      <c r="AN191">
        <f>INDEX($U$179:$U$306,AG191+1)</f>
        <v/>
      </c>
      <c r="AO191">
        <f>INDEX($V$179:$V$306,AH191+1)</f>
        <v/>
      </c>
      <c r="AP191">
        <f>INDEX($W$179:$W$306,AI191+1)</f>
        <v/>
      </c>
      <c r="AQ191">
        <f>IF(Q191&gt;=AJ191-0.01,1,0)</f>
        <v/>
      </c>
      <c r="AR191">
        <f>IF(R191&gt;=AK191-0.01,1,0)</f>
        <v/>
      </c>
      <c r="AS191">
        <f>IF(S191&gt;=AL191-0.01,1,0)</f>
        <v/>
      </c>
      <c r="AT191">
        <f>IF(T191&gt;=AM191-0.01,1,0)</f>
        <v/>
      </c>
      <c r="AU191">
        <f>IF(U191&gt;=AN191-0.01,1,0)</f>
        <v/>
      </c>
      <c r="AV191">
        <f>IF(V191&gt;=AO191-0.01,1,0)</f>
        <v/>
      </c>
      <c r="AW191">
        <f>IF(W191&gt;=AP191-0.01,1,0)</f>
        <v/>
      </c>
      <c r="AX191">
        <f>AQ191*AR191*AS191*AT191*AU191*AV191*AW191</f>
        <v/>
      </c>
      <c r="AY191">
        <f>Assumptions!$B$41</f>
        <v/>
      </c>
      <c r="AZ191">
        <f>Assumptions!$B$33</f>
        <v/>
      </c>
      <c r="BA191">
        <f>Assumptions!$B$32</f>
        <v/>
      </c>
      <c r="BB191">
        <f>Assumptions!$B$31</f>
        <v/>
      </c>
      <c r="BC191">
        <f>Assumptions!$B$30</f>
        <v/>
      </c>
      <c r="BD191">
        <f>Assumptions!$B$29</f>
        <v/>
      </c>
      <c r="BE191">
        <f>Assumptions!$B$28</f>
        <v/>
      </c>
      <c r="BF191">
        <f>P191*Assumptions!$B$141</f>
        <v/>
      </c>
      <c r="BG191">
        <f>P191*Assumptions!$B$128</f>
        <v/>
      </c>
      <c r="BH191">
        <f>P191*Assumptions!$B$129</f>
        <v/>
      </c>
      <c r="BI191">
        <f>P191*Assumptions!$B$14</f>
        <v/>
      </c>
      <c r="BJ191">
        <f>P191*Assumptions!$B$13</f>
        <v/>
      </c>
      <c r="BK191">
        <f>P191*Assumptions!$B$12</f>
        <v/>
      </c>
      <c r="BL191">
        <f>P191*Assumptions!$B$11</f>
        <v/>
      </c>
    </row>
    <row r="192">
      <c r="A192" t="inlineStr">
        <is>
          <t>1200M</t>
        </is>
      </c>
      <c r="B192">
        <f>Assumptions!$B$59</f>
        <v/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1</v>
      </c>
      <c r="J192">
        <f>(1-C192)*Assumptions!$B$41+(1-D192)*Assumptions!$B$33+(1-E192)*Assumptions!$B$32+(1-F192)*Assumptions!$B$31+(1-G192)*Assumptions!$B$30+(1-H192)*Assumptions!$B$29+(1-I192)*Assumptions!$B$28</f>
        <v/>
      </c>
      <c r="K192">
        <f>C192*Assumptions!$B$141+D192*Assumptions!$B$128+E192*Assumptions!$B$129+F192*Assumptions!$B$14+G192*Assumptions!$B$13+H192*Assumptions!$B$12+I192*Assumptions!$B$11+Assumptions!$B$133+Assumptions!$B$137+Assumptions!$B$9</f>
        <v/>
      </c>
      <c r="L192">
        <f>B192-J192</f>
        <v/>
      </c>
      <c r="M192">
        <f>IF(K192&gt;0,IF(L192/K192&gt;=Assumptions!$B$37,1,0),0)</f>
        <v/>
      </c>
      <c r="N192">
        <f>K192+M192*Assumptions!$B$153</f>
        <v/>
      </c>
      <c r="O192">
        <f>L192+M192*Assumptions!$B$153*Assumptions!$B$37</f>
        <v/>
      </c>
      <c r="P192">
        <f>IF(N192&gt;0,O192/N192,0)</f>
        <v/>
      </c>
      <c r="Q192">
        <f>IF(C192=1,P192*Assumptions!$B$141,Assumptions!$B$41)</f>
        <v/>
      </c>
      <c r="R192">
        <f>IF(D192=1,P192*Assumptions!$B$128,Assumptions!$B$33)</f>
        <v/>
      </c>
      <c r="S192">
        <f>IF(E192=1,P192*Assumptions!$B$129,Assumptions!$B$32)</f>
        <v/>
      </c>
      <c r="T192">
        <f>IF(F192=1,P192*Assumptions!$B$14,Assumptions!$B$31)</f>
        <v/>
      </c>
      <c r="U192">
        <f>IF(G192=1,P192*Assumptions!$B$13,Assumptions!$B$30)</f>
        <v/>
      </c>
      <c r="V192">
        <f>IF(H192=1,P192*Assumptions!$B$12,Assumptions!$B$29)</f>
        <v/>
      </c>
      <c r="W192">
        <f>IF(I192=1,P192*Assumptions!$B$11,Assumptions!$B$28)</f>
        <v/>
      </c>
      <c r="X192">
        <f>P192*(Assumptions!$B$133+Assumptions!$B$137)</f>
        <v/>
      </c>
      <c r="Y192">
        <f>P192*Assumptions!$B$9</f>
        <v/>
      </c>
      <c r="Z192">
        <f>IF(M192=1,(P192-Assumptions!$B$37)*Assumptions!$B$153,0)</f>
        <v/>
      </c>
      <c r="AA192">
        <f>Q192+R192+S192+T192+U192+V192+W192+X192+Y192+Z192</f>
        <v/>
      </c>
      <c r="AB192" t="n">
        <v>13</v>
      </c>
      <c r="AC192" t="n">
        <v>77</v>
      </c>
      <c r="AD192" t="n">
        <v>45</v>
      </c>
      <c r="AE192" t="n">
        <v>29</v>
      </c>
      <c r="AF192" t="n">
        <v>5</v>
      </c>
      <c r="AG192" t="n">
        <v>9</v>
      </c>
      <c r="AH192" t="n">
        <v>15</v>
      </c>
      <c r="AI192" t="n">
        <v>12</v>
      </c>
      <c r="AJ192">
        <f>INDEX($Q$179:$Q$306,AC192+1)</f>
        <v/>
      </c>
      <c r="AK192">
        <f>INDEX($R$179:$R$306,AD192+1)</f>
        <v/>
      </c>
      <c r="AL192">
        <f>INDEX($S$179:$S$306,AE192+1)</f>
        <v/>
      </c>
      <c r="AM192">
        <f>INDEX($T$179:$T$306,AF192+1)</f>
        <v/>
      </c>
      <c r="AN192">
        <f>INDEX($U$179:$U$306,AG192+1)</f>
        <v/>
      </c>
      <c r="AO192">
        <f>INDEX($V$179:$V$306,AH192+1)</f>
        <v/>
      </c>
      <c r="AP192">
        <f>INDEX($W$179:$W$306,AI192+1)</f>
        <v/>
      </c>
      <c r="AQ192">
        <f>IF(Q192&gt;=AJ192-0.01,1,0)</f>
        <v/>
      </c>
      <c r="AR192">
        <f>IF(R192&gt;=AK192-0.01,1,0)</f>
        <v/>
      </c>
      <c r="AS192">
        <f>IF(S192&gt;=AL192-0.01,1,0)</f>
        <v/>
      </c>
      <c r="AT192">
        <f>IF(T192&gt;=AM192-0.01,1,0)</f>
        <v/>
      </c>
      <c r="AU192">
        <f>IF(U192&gt;=AN192-0.01,1,0)</f>
        <v/>
      </c>
      <c r="AV192">
        <f>IF(V192&gt;=AO192-0.01,1,0)</f>
        <v/>
      </c>
      <c r="AW192">
        <f>IF(W192&gt;=AP192-0.01,1,0)</f>
        <v/>
      </c>
      <c r="AX192">
        <f>AQ192*AR192*AS192*AT192*AU192*AV192*AW192</f>
        <v/>
      </c>
      <c r="AY192">
        <f>Assumptions!$B$41</f>
        <v/>
      </c>
      <c r="AZ192">
        <f>Assumptions!$B$33</f>
        <v/>
      </c>
      <c r="BA192">
        <f>Assumptions!$B$32</f>
        <v/>
      </c>
      <c r="BB192">
        <f>Assumptions!$B$31</f>
        <v/>
      </c>
      <c r="BC192">
        <f>Assumptions!$B$30</f>
        <v/>
      </c>
      <c r="BD192">
        <f>Assumptions!$B$29</f>
        <v/>
      </c>
      <c r="BE192">
        <f>Assumptions!$B$28</f>
        <v/>
      </c>
      <c r="BF192">
        <f>P192*Assumptions!$B$141</f>
        <v/>
      </c>
      <c r="BG192">
        <f>P192*Assumptions!$B$128</f>
        <v/>
      </c>
      <c r="BH192">
        <f>P192*Assumptions!$B$129</f>
        <v/>
      </c>
      <c r="BI192">
        <f>P192*Assumptions!$B$14</f>
        <v/>
      </c>
      <c r="BJ192">
        <f>P192*Assumptions!$B$13</f>
        <v/>
      </c>
      <c r="BK192">
        <f>P192*Assumptions!$B$12</f>
        <v/>
      </c>
      <c r="BL192">
        <f>P192*Assumptions!$B$11</f>
        <v/>
      </c>
    </row>
    <row r="193">
      <c r="A193" t="inlineStr">
        <is>
          <t>1200M</t>
        </is>
      </c>
      <c r="B193">
        <f>Assumptions!$B$59</f>
        <v/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>
        <f>(1-C193)*Assumptions!$B$41+(1-D193)*Assumptions!$B$33+(1-E193)*Assumptions!$B$32+(1-F193)*Assumptions!$B$31+(1-G193)*Assumptions!$B$30+(1-H193)*Assumptions!$B$29+(1-I193)*Assumptions!$B$28</f>
        <v/>
      </c>
      <c r="K193">
        <f>C193*Assumptions!$B$141+D193*Assumptions!$B$128+E193*Assumptions!$B$129+F193*Assumptions!$B$14+G193*Assumptions!$B$13+H193*Assumptions!$B$12+I193*Assumptions!$B$11+Assumptions!$B$133+Assumptions!$B$137+Assumptions!$B$9</f>
        <v/>
      </c>
      <c r="L193">
        <f>B193-J193</f>
        <v/>
      </c>
      <c r="M193">
        <f>IF(K193&gt;0,IF(L193/K193&gt;=Assumptions!$B$37,1,0),0)</f>
        <v/>
      </c>
      <c r="N193">
        <f>K193+M193*Assumptions!$B$153</f>
        <v/>
      </c>
      <c r="O193">
        <f>L193+M193*Assumptions!$B$153*Assumptions!$B$37</f>
        <v/>
      </c>
      <c r="P193">
        <f>IF(N193&gt;0,O193/N193,0)</f>
        <v/>
      </c>
      <c r="Q193">
        <f>IF(C193=1,P193*Assumptions!$B$141,Assumptions!$B$41)</f>
        <v/>
      </c>
      <c r="R193">
        <f>IF(D193=1,P193*Assumptions!$B$128,Assumptions!$B$33)</f>
        <v/>
      </c>
      <c r="S193">
        <f>IF(E193=1,P193*Assumptions!$B$129,Assumptions!$B$32)</f>
        <v/>
      </c>
      <c r="T193">
        <f>IF(F193=1,P193*Assumptions!$B$14,Assumptions!$B$31)</f>
        <v/>
      </c>
      <c r="U193">
        <f>IF(G193=1,P193*Assumptions!$B$13,Assumptions!$B$30)</f>
        <v/>
      </c>
      <c r="V193">
        <f>IF(H193=1,P193*Assumptions!$B$12,Assumptions!$B$29)</f>
        <v/>
      </c>
      <c r="W193">
        <f>IF(I193=1,P193*Assumptions!$B$11,Assumptions!$B$28)</f>
        <v/>
      </c>
      <c r="X193">
        <f>P193*(Assumptions!$B$133+Assumptions!$B$137)</f>
        <v/>
      </c>
      <c r="Y193">
        <f>P193*Assumptions!$B$9</f>
        <v/>
      </c>
      <c r="Z193">
        <f>IF(M193=1,(P193-Assumptions!$B$37)*Assumptions!$B$153,0)</f>
        <v/>
      </c>
      <c r="AA193">
        <f>Q193+R193+S193+T193+U193+V193+W193+X193+Y193+Z193</f>
        <v/>
      </c>
      <c r="AB193" t="n">
        <v>14</v>
      </c>
      <c r="AC193" t="n">
        <v>78</v>
      </c>
      <c r="AD193" t="n">
        <v>46</v>
      </c>
      <c r="AE193" t="n">
        <v>30</v>
      </c>
      <c r="AF193" t="n">
        <v>6</v>
      </c>
      <c r="AG193" t="n">
        <v>10</v>
      </c>
      <c r="AH193" t="n">
        <v>12</v>
      </c>
      <c r="AI193" t="n">
        <v>15</v>
      </c>
      <c r="AJ193">
        <f>INDEX($Q$179:$Q$306,AC193+1)</f>
        <v/>
      </c>
      <c r="AK193">
        <f>INDEX($R$179:$R$306,AD193+1)</f>
        <v/>
      </c>
      <c r="AL193">
        <f>INDEX($S$179:$S$306,AE193+1)</f>
        <v/>
      </c>
      <c r="AM193">
        <f>INDEX($T$179:$T$306,AF193+1)</f>
        <v/>
      </c>
      <c r="AN193">
        <f>INDEX($U$179:$U$306,AG193+1)</f>
        <v/>
      </c>
      <c r="AO193">
        <f>INDEX($V$179:$V$306,AH193+1)</f>
        <v/>
      </c>
      <c r="AP193">
        <f>INDEX($W$179:$W$306,AI193+1)</f>
        <v/>
      </c>
      <c r="AQ193">
        <f>IF(Q193&gt;=AJ193-0.01,1,0)</f>
        <v/>
      </c>
      <c r="AR193">
        <f>IF(R193&gt;=AK193-0.01,1,0)</f>
        <v/>
      </c>
      <c r="AS193">
        <f>IF(S193&gt;=AL193-0.01,1,0)</f>
        <v/>
      </c>
      <c r="AT193">
        <f>IF(T193&gt;=AM193-0.01,1,0)</f>
        <v/>
      </c>
      <c r="AU193">
        <f>IF(U193&gt;=AN193-0.01,1,0)</f>
        <v/>
      </c>
      <c r="AV193">
        <f>IF(V193&gt;=AO193-0.01,1,0)</f>
        <v/>
      </c>
      <c r="AW193">
        <f>IF(W193&gt;=AP193-0.01,1,0)</f>
        <v/>
      </c>
      <c r="AX193">
        <f>AQ193*AR193*AS193*AT193*AU193*AV193*AW193</f>
        <v/>
      </c>
      <c r="AY193">
        <f>Assumptions!$B$41</f>
        <v/>
      </c>
      <c r="AZ193">
        <f>Assumptions!$B$33</f>
        <v/>
      </c>
      <c r="BA193">
        <f>Assumptions!$B$32</f>
        <v/>
      </c>
      <c r="BB193">
        <f>Assumptions!$B$31</f>
        <v/>
      </c>
      <c r="BC193">
        <f>Assumptions!$B$30</f>
        <v/>
      </c>
      <c r="BD193">
        <f>Assumptions!$B$29</f>
        <v/>
      </c>
      <c r="BE193">
        <f>Assumptions!$B$28</f>
        <v/>
      </c>
      <c r="BF193">
        <f>P193*Assumptions!$B$141</f>
        <v/>
      </c>
      <c r="BG193">
        <f>P193*Assumptions!$B$128</f>
        <v/>
      </c>
      <c r="BH193">
        <f>P193*Assumptions!$B$129</f>
        <v/>
      </c>
      <c r="BI193">
        <f>P193*Assumptions!$B$14</f>
        <v/>
      </c>
      <c r="BJ193">
        <f>P193*Assumptions!$B$13</f>
        <v/>
      </c>
      <c r="BK193">
        <f>P193*Assumptions!$B$12</f>
        <v/>
      </c>
      <c r="BL193">
        <f>P193*Assumptions!$B$11</f>
        <v/>
      </c>
    </row>
    <row r="194">
      <c r="A194" t="inlineStr">
        <is>
          <t>1200M</t>
        </is>
      </c>
      <c r="B194">
        <f>Assumptions!$B$59</f>
        <v/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>
        <f>(1-C194)*Assumptions!$B$41+(1-D194)*Assumptions!$B$33+(1-E194)*Assumptions!$B$32+(1-F194)*Assumptions!$B$31+(1-G194)*Assumptions!$B$30+(1-H194)*Assumptions!$B$29+(1-I194)*Assumptions!$B$28</f>
        <v/>
      </c>
      <c r="K194">
        <f>C194*Assumptions!$B$141+D194*Assumptions!$B$128+E194*Assumptions!$B$129+F194*Assumptions!$B$14+G194*Assumptions!$B$13+H194*Assumptions!$B$12+I194*Assumptions!$B$11+Assumptions!$B$133+Assumptions!$B$137+Assumptions!$B$9</f>
        <v/>
      </c>
      <c r="L194">
        <f>B194-J194</f>
        <v/>
      </c>
      <c r="M194">
        <f>IF(K194&gt;0,IF(L194/K194&gt;=Assumptions!$B$37,1,0),0)</f>
        <v/>
      </c>
      <c r="N194">
        <f>K194+M194*Assumptions!$B$153</f>
        <v/>
      </c>
      <c r="O194">
        <f>L194+M194*Assumptions!$B$153*Assumptions!$B$37</f>
        <v/>
      </c>
      <c r="P194">
        <f>IF(N194&gt;0,O194/N194,0)</f>
        <v/>
      </c>
      <c r="Q194">
        <f>IF(C194=1,P194*Assumptions!$B$141,Assumptions!$B$41)</f>
        <v/>
      </c>
      <c r="R194">
        <f>IF(D194=1,P194*Assumptions!$B$128,Assumptions!$B$33)</f>
        <v/>
      </c>
      <c r="S194">
        <f>IF(E194=1,P194*Assumptions!$B$129,Assumptions!$B$32)</f>
        <v/>
      </c>
      <c r="T194">
        <f>IF(F194=1,P194*Assumptions!$B$14,Assumptions!$B$31)</f>
        <v/>
      </c>
      <c r="U194">
        <f>IF(G194=1,P194*Assumptions!$B$13,Assumptions!$B$30)</f>
        <v/>
      </c>
      <c r="V194">
        <f>IF(H194=1,P194*Assumptions!$B$12,Assumptions!$B$29)</f>
        <v/>
      </c>
      <c r="W194">
        <f>IF(I194=1,P194*Assumptions!$B$11,Assumptions!$B$28)</f>
        <v/>
      </c>
      <c r="X194">
        <f>P194*(Assumptions!$B$133+Assumptions!$B$137)</f>
        <v/>
      </c>
      <c r="Y194">
        <f>P194*Assumptions!$B$9</f>
        <v/>
      </c>
      <c r="Z194">
        <f>IF(M194=1,(P194-Assumptions!$B$37)*Assumptions!$B$153,0)</f>
        <v/>
      </c>
      <c r="AA194">
        <f>Q194+R194+S194+T194+U194+V194+W194+X194+Y194+Z194</f>
        <v/>
      </c>
      <c r="AB194" t="n">
        <v>15</v>
      </c>
      <c r="AC194" t="n">
        <v>79</v>
      </c>
      <c r="AD194" t="n">
        <v>47</v>
      </c>
      <c r="AE194" t="n">
        <v>31</v>
      </c>
      <c r="AF194" t="n">
        <v>7</v>
      </c>
      <c r="AG194" t="n">
        <v>11</v>
      </c>
      <c r="AH194" t="n">
        <v>13</v>
      </c>
      <c r="AI194" t="n">
        <v>14</v>
      </c>
      <c r="AJ194">
        <f>INDEX($Q$179:$Q$306,AC194+1)</f>
        <v/>
      </c>
      <c r="AK194">
        <f>INDEX($R$179:$R$306,AD194+1)</f>
        <v/>
      </c>
      <c r="AL194">
        <f>INDEX($S$179:$S$306,AE194+1)</f>
        <v/>
      </c>
      <c r="AM194">
        <f>INDEX($T$179:$T$306,AF194+1)</f>
        <v/>
      </c>
      <c r="AN194">
        <f>INDEX($U$179:$U$306,AG194+1)</f>
        <v/>
      </c>
      <c r="AO194">
        <f>INDEX($V$179:$V$306,AH194+1)</f>
        <v/>
      </c>
      <c r="AP194">
        <f>INDEX($W$179:$W$306,AI194+1)</f>
        <v/>
      </c>
      <c r="AQ194">
        <f>IF(Q194&gt;=AJ194-0.01,1,0)</f>
        <v/>
      </c>
      <c r="AR194">
        <f>IF(R194&gt;=AK194-0.01,1,0)</f>
        <v/>
      </c>
      <c r="AS194">
        <f>IF(S194&gt;=AL194-0.01,1,0)</f>
        <v/>
      </c>
      <c r="AT194">
        <f>IF(T194&gt;=AM194-0.01,1,0)</f>
        <v/>
      </c>
      <c r="AU194">
        <f>IF(U194&gt;=AN194-0.01,1,0)</f>
        <v/>
      </c>
      <c r="AV194">
        <f>IF(V194&gt;=AO194-0.01,1,0)</f>
        <v/>
      </c>
      <c r="AW194">
        <f>IF(W194&gt;=AP194-0.01,1,0)</f>
        <v/>
      </c>
      <c r="AX194">
        <f>AQ194*AR194*AS194*AT194*AU194*AV194*AW194</f>
        <v/>
      </c>
      <c r="AY194">
        <f>Assumptions!$B$41</f>
        <v/>
      </c>
      <c r="AZ194">
        <f>Assumptions!$B$33</f>
        <v/>
      </c>
      <c r="BA194">
        <f>Assumptions!$B$32</f>
        <v/>
      </c>
      <c r="BB194">
        <f>Assumptions!$B$31</f>
        <v/>
      </c>
      <c r="BC194">
        <f>Assumptions!$B$30</f>
        <v/>
      </c>
      <c r="BD194">
        <f>Assumptions!$B$29</f>
        <v/>
      </c>
      <c r="BE194">
        <f>Assumptions!$B$28</f>
        <v/>
      </c>
      <c r="BF194">
        <f>P194*Assumptions!$B$141</f>
        <v/>
      </c>
      <c r="BG194">
        <f>P194*Assumptions!$B$128</f>
        <v/>
      </c>
      <c r="BH194">
        <f>P194*Assumptions!$B$129</f>
        <v/>
      </c>
      <c r="BI194">
        <f>P194*Assumptions!$B$14</f>
        <v/>
      </c>
      <c r="BJ194">
        <f>P194*Assumptions!$B$13</f>
        <v/>
      </c>
      <c r="BK194">
        <f>P194*Assumptions!$B$12</f>
        <v/>
      </c>
      <c r="BL194">
        <f>P194*Assumptions!$B$11</f>
        <v/>
      </c>
    </row>
    <row r="195">
      <c r="A195" t="inlineStr">
        <is>
          <t>1200M</t>
        </is>
      </c>
      <c r="B195">
        <f>Assumptions!$B$59</f>
        <v/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>
        <f>(1-C195)*Assumptions!$B$41+(1-D195)*Assumptions!$B$33+(1-E195)*Assumptions!$B$32+(1-F195)*Assumptions!$B$31+(1-G195)*Assumptions!$B$30+(1-H195)*Assumptions!$B$29+(1-I195)*Assumptions!$B$28</f>
        <v/>
      </c>
      <c r="K195">
        <f>C195*Assumptions!$B$141+D195*Assumptions!$B$128+E195*Assumptions!$B$129+F195*Assumptions!$B$14+G195*Assumptions!$B$13+H195*Assumptions!$B$12+I195*Assumptions!$B$11+Assumptions!$B$133+Assumptions!$B$137+Assumptions!$B$9</f>
        <v/>
      </c>
      <c r="L195">
        <f>B195-J195</f>
        <v/>
      </c>
      <c r="M195">
        <f>IF(K195&gt;0,IF(L195/K195&gt;=Assumptions!$B$37,1,0),0)</f>
        <v/>
      </c>
      <c r="N195">
        <f>K195+M195*Assumptions!$B$153</f>
        <v/>
      </c>
      <c r="O195">
        <f>L195+M195*Assumptions!$B$153*Assumptions!$B$37</f>
        <v/>
      </c>
      <c r="P195">
        <f>IF(N195&gt;0,O195/N195,0)</f>
        <v/>
      </c>
      <c r="Q195">
        <f>IF(C195=1,P195*Assumptions!$B$141,Assumptions!$B$41)</f>
        <v/>
      </c>
      <c r="R195">
        <f>IF(D195=1,P195*Assumptions!$B$128,Assumptions!$B$33)</f>
        <v/>
      </c>
      <c r="S195">
        <f>IF(E195=1,P195*Assumptions!$B$129,Assumptions!$B$32)</f>
        <v/>
      </c>
      <c r="T195">
        <f>IF(F195=1,P195*Assumptions!$B$14,Assumptions!$B$31)</f>
        <v/>
      </c>
      <c r="U195">
        <f>IF(G195=1,P195*Assumptions!$B$13,Assumptions!$B$30)</f>
        <v/>
      </c>
      <c r="V195">
        <f>IF(H195=1,P195*Assumptions!$B$12,Assumptions!$B$29)</f>
        <v/>
      </c>
      <c r="W195">
        <f>IF(I195=1,P195*Assumptions!$B$11,Assumptions!$B$28)</f>
        <v/>
      </c>
      <c r="X195">
        <f>P195*(Assumptions!$B$133+Assumptions!$B$137)</f>
        <v/>
      </c>
      <c r="Y195">
        <f>P195*Assumptions!$B$9</f>
        <v/>
      </c>
      <c r="Z195">
        <f>IF(M195=1,(P195-Assumptions!$B$37)*Assumptions!$B$153,0)</f>
        <v/>
      </c>
      <c r="AA195">
        <f>Q195+R195+S195+T195+U195+V195+W195+X195+Y195+Z195</f>
        <v/>
      </c>
      <c r="AB195" t="n">
        <v>16</v>
      </c>
      <c r="AC195" t="n">
        <v>80</v>
      </c>
      <c r="AD195" t="n">
        <v>48</v>
      </c>
      <c r="AE195" t="n">
        <v>0</v>
      </c>
      <c r="AF195" t="n">
        <v>24</v>
      </c>
      <c r="AG195" t="n">
        <v>20</v>
      </c>
      <c r="AH195" t="n">
        <v>18</v>
      </c>
      <c r="AI195" t="n">
        <v>17</v>
      </c>
      <c r="AJ195">
        <f>INDEX($Q$179:$Q$306,AC195+1)</f>
        <v/>
      </c>
      <c r="AK195">
        <f>INDEX($R$179:$R$306,AD195+1)</f>
        <v/>
      </c>
      <c r="AL195">
        <f>INDEX($S$179:$S$306,AE195+1)</f>
        <v/>
      </c>
      <c r="AM195">
        <f>INDEX($T$179:$T$306,AF195+1)</f>
        <v/>
      </c>
      <c r="AN195">
        <f>INDEX($U$179:$U$306,AG195+1)</f>
        <v/>
      </c>
      <c r="AO195">
        <f>INDEX($V$179:$V$306,AH195+1)</f>
        <v/>
      </c>
      <c r="AP195">
        <f>INDEX($W$179:$W$306,AI195+1)</f>
        <v/>
      </c>
      <c r="AQ195">
        <f>IF(Q195&gt;=AJ195-0.01,1,0)</f>
        <v/>
      </c>
      <c r="AR195">
        <f>IF(R195&gt;=AK195-0.01,1,0)</f>
        <v/>
      </c>
      <c r="AS195">
        <f>IF(S195&gt;=AL195-0.01,1,0)</f>
        <v/>
      </c>
      <c r="AT195">
        <f>IF(T195&gt;=AM195-0.01,1,0)</f>
        <v/>
      </c>
      <c r="AU195">
        <f>IF(U195&gt;=AN195-0.01,1,0)</f>
        <v/>
      </c>
      <c r="AV195">
        <f>IF(V195&gt;=AO195-0.01,1,0)</f>
        <v/>
      </c>
      <c r="AW195">
        <f>IF(W195&gt;=AP195-0.01,1,0)</f>
        <v/>
      </c>
      <c r="AX195">
        <f>AQ195*AR195*AS195*AT195*AU195*AV195*AW195</f>
        <v/>
      </c>
      <c r="AY195">
        <f>Assumptions!$B$41</f>
        <v/>
      </c>
      <c r="AZ195">
        <f>Assumptions!$B$33</f>
        <v/>
      </c>
      <c r="BA195">
        <f>Assumptions!$B$32</f>
        <v/>
      </c>
      <c r="BB195">
        <f>Assumptions!$B$31</f>
        <v/>
      </c>
      <c r="BC195">
        <f>Assumptions!$B$30</f>
        <v/>
      </c>
      <c r="BD195">
        <f>Assumptions!$B$29</f>
        <v/>
      </c>
      <c r="BE195">
        <f>Assumptions!$B$28</f>
        <v/>
      </c>
      <c r="BF195">
        <f>P195*Assumptions!$B$141</f>
        <v/>
      </c>
      <c r="BG195">
        <f>P195*Assumptions!$B$128</f>
        <v/>
      </c>
      <c r="BH195">
        <f>P195*Assumptions!$B$129</f>
        <v/>
      </c>
      <c r="BI195">
        <f>P195*Assumptions!$B$14</f>
        <v/>
      </c>
      <c r="BJ195">
        <f>P195*Assumptions!$B$13</f>
        <v/>
      </c>
      <c r="BK195">
        <f>P195*Assumptions!$B$12</f>
        <v/>
      </c>
      <c r="BL195">
        <f>P195*Assumptions!$B$11</f>
        <v/>
      </c>
    </row>
    <row r="196">
      <c r="A196" t="inlineStr">
        <is>
          <t>1200M</t>
        </is>
      </c>
      <c r="B196">
        <f>Assumptions!$B$59</f>
        <v/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>
        <f>(1-C196)*Assumptions!$B$41+(1-D196)*Assumptions!$B$33+(1-E196)*Assumptions!$B$32+(1-F196)*Assumptions!$B$31+(1-G196)*Assumptions!$B$30+(1-H196)*Assumptions!$B$29+(1-I196)*Assumptions!$B$28</f>
        <v/>
      </c>
      <c r="K196">
        <f>C196*Assumptions!$B$141+D196*Assumptions!$B$128+E196*Assumptions!$B$129+F196*Assumptions!$B$14+G196*Assumptions!$B$13+H196*Assumptions!$B$12+I196*Assumptions!$B$11+Assumptions!$B$133+Assumptions!$B$137+Assumptions!$B$9</f>
        <v/>
      </c>
      <c r="L196">
        <f>B196-J196</f>
        <v/>
      </c>
      <c r="M196">
        <f>IF(K196&gt;0,IF(L196/K196&gt;=Assumptions!$B$37,1,0),0)</f>
        <v/>
      </c>
      <c r="N196">
        <f>K196+M196*Assumptions!$B$153</f>
        <v/>
      </c>
      <c r="O196">
        <f>L196+M196*Assumptions!$B$153*Assumptions!$B$37</f>
        <v/>
      </c>
      <c r="P196">
        <f>IF(N196&gt;0,O196/N196,0)</f>
        <v/>
      </c>
      <c r="Q196">
        <f>IF(C196=1,P196*Assumptions!$B$141,Assumptions!$B$41)</f>
        <v/>
      </c>
      <c r="R196">
        <f>IF(D196=1,P196*Assumptions!$B$128,Assumptions!$B$33)</f>
        <v/>
      </c>
      <c r="S196">
        <f>IF(E196=1,P196*Assumptions!$B$129,Assumptions!$B$32)</f>
        <v/>
      </c>
      <c r="T196">
        <f>IF(F196=1,P196*Assumptions!$B$14,Assumptions!$B$31)</f>
        <v/>
      </c>
      <c r="U196">
        <f>IF(G196=1,P196*Assumptions!$B$13,Assumptions!$B$30)</f>
        <v/>
      </c>
      <c r="V196">
        <f>IF(H196=1,P196*Assumptions!$B$12,Assumptions!$B$29)</f>
        <v/>
      </c>
      <c r="W196">
        <f>IF(I196=1,P196*Assumptions!$B$11,Assumptions!$B$28)</f>
        <v/>
      </c>
      <c r="X196">
        <f>P196*(Assumptions!$B$133+Assumptions!$B$137)</f>
        <v/>
      </c>
      <c r="Y196">
        <f>P196*Assumptions!$B$9</f>
        <v/>
      </c>
      <c r="Z196">
        <f>IF(M196=1,(P196-Assumptions!$B$37)*Assumptions!$B$153,0)</f>
        <v/>
      </c>
      <c r="AA196">
        <f>Q196+R196+S196+T196+U196+V196+W196+X196+Y196+Z196</f>
        <v/>
      </c>
      <c r="AB196" t="n">
        <v>17</v>
      </c>
      <c r="AC196" t="n">
        <v>81</v>
      </c>
      <c r="AD196" t="n">
        <v>49</v>
      </c>
      <c r="AE196" t="n">
        <v>1</v>
      </c>
      <c r="AF196" t="n">
        <v>25</v>
      </c>
      <c r="AG196" t="n">
        <v>21</v>
      </c>
      <c r="AH196" t="n">
        <v>19</v>
      </c>
      <c r="AI196" t="n">
        <v>16</v>
      </c>
      <c r="AJ196">
        <f>INDEX($Q$179:$Q$306,AC196+1)</f>
        <v/>
      </c>
      <c r="AK196">
        <f>INDEX($R$179:$R$306,AD196+1)</f>
        <v/>
      </c>
      <c r="AL196">
        <f>INDEX($S$179:$S$306,AE196+1)</f>
        <v/>
      </c>
      <c r="AM196">
        <f>INDEX($T$179:$T$306,AF196+1)</f>
        <v/>
      </c>
      <c r="AN196">
        <f>INDEX($U$179:$U$306,AG196+1)</f>
        <v/>
      </c>
      <c r="AO196">
        <f>INDEX($V$179:$V$306,AH196+1)</f>
        <v/>
      </c>
      <c r="AP196">
        <f>INDEX($W$179:$W$306,AI196+1)</f>
        <v/>
      </c>
      <c r="AQ196">
        <f>IF(Q196&gt;=AJ196-0.01,1,0)</f>
        <v/>
      </c>
      <c r="AR196">
        <f>IF(R196&gt;=AK196-0.01,1,0)</f>
        <v/>
      </c>
      <c r="AS196">
        <f>IF(S196&gt;=AL196-0.01,1,0)</f>
        <v/>
      </c>
      <c r="AT196">
        <f>IF(T196&gt;=AM196-0.01,1,0)</f>
        <v/>
      </c>
      <c r="AU196">
        <f>IF(U196&gt;=AN196-0.01,1,0)</f>
        <v/>
      </c>
      <c r="AV196">
        <f>IF(V196&gt;=AO196-0.01,1,0)</f>
        <v/>
      </c>
      <c r="AW196">
        <f>IF(W196&gt;=AP196-0.01,1,0)</f>
        <v/>
      </c>
      <c r="AX196">
        <f>AQ196*AR196*AS196*AT196*AU196*AV196*AW196</f>
        <v/>
      </c>
      <c r="AY196">
        <f>Assumptions!$B$41</f>
        <v/>
      </c>
      <c r="AZ196">
        <f>Assumptions!$B$33</f>
        <v/>
      </c>
      <c r="BA196">
        <f>Assumptions!$B$32</f>
        <v/>
      </c>
      <c r="BB196">
        <f>Assumptions!$B$31</f>
        <v/>
      </c>
      <c r="BC196">
        <f>Assumptions!$B$30</f>
        <v/>
      </c>
      <c r="BD196">
        <f>Assumptions!$B$29</f>
        <v/>
      </c>
      <c r="BE196">
        <f>Assumptions!$B$28</f>
        <v/>
      </c>
      <c r="BF196">
        <f>P196*Assumptions!$B$141</f>
        <v/>
      </c>
      <c r="BG196">
        <f>P196*Assumptions!$B$128</f>
        <v/>
      </c>
      <c r="BH196">
        <f>P196*Assumptions!$B$129</f>
        <v/>
      </c>
      <c r="BI196">
        <f>P196*Assumptions!$B$14</f>
        <v/>
      </c>
      <c r="BJ196">
        <f>P196*Assumptions!$B$13</f>
        <v/>
      </c>
      <c r="BK196">
        <f>P196*Assumptions!$B$12</f>
        <v/>
      </c>
      <c r="BL196">
        <f>P196*Assumptions!$B$11</f>
        <v/>
      </c>
    </row>
    <row r="197">
      <c r="A197" t="inlineStr">
        <is>
          <t>1200M</t>
        </is>
      </c>
      <c r="B197">
        <f>Assumptions!$B$59</f>
        <v/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>
        <f>(1-C197)*Assumptions!$B$41+(1-D197)*Assumptions!$B$33+(1-E197)*Assumptions!$B$32+(1-F197)*Assumptions!$B$31+(1-G197)*Assumptions!$B$30+(1-H197)*Assumptions!$B$29+(1-I197)*Assumptions!$B$28</f>
        <v/>
      </c>
      <c r="K197">
        <f>C197*Assumptions!$B$141+D197*Assumptions!$B$128+E197*Assumptions!$B$129+F197*Assumptions!$B$14+G197*Assumptions!$B$13+H197*Assumptions!$B$12+I197*Assumptions!$B$11+Assumptions!$B$133+Assumptions!$B$137+Assumptions!$B$9</f>
        <v/>
      </c>
      <c r="L197">
        <f>B197-J197</f>
        <v/>
      </c>
      <c r="M197">
        <f>IF(K197&gt;0,IF(L197/K197&gt;=Assumptions!$B$37,1,0),0)</f>
        <v/>
      </c>
      <c r="N197">
        <f>K197+M197*Assumptions!$B$153</f>
        <v/>
      </c>
      <c r="O197">
        <f>L197+M197*Assumptions!$B$153*Assumptions!$B$37</f>
        <v/>
      </c>
      <c r="P197">
        <f>IF(N197&gt;0,O197/N197,0)</f>
        <v/>
      </c>
      <c r="Q197">
        <f>IF(C197=1,P197*Assumptions!$B$141,Assumptions!$B$41)</f>
        <v/>
      </c>
      <c r="R197">
        <f>IF(D197=1,P197*Assumptions!$B$128,Assumptions!$B$33)</f>
        <v/>
      </c>
      <c r="S197">
        <f>IF(E197=1,P197*Assumptions!$B$129,Assumptions!$B$32)</f>
        <v/>
      </c>
      <c r="T197">
        <f>IF(F197=1,P197*Assumptions!$B$14,Assumptions!$B$31)</f>
        <v/>
      </c>
      <c r="U197">
        <f>IF(G197=1,P197*Assumptions!$B$13,Assumptions!$B$30)</f>
        <v/>
      </c>
      <c r="V197">
        <f>IF(H197=1,P197*Assumptions!$B$12,Assumptions!$B$29)</f>
        <v/>
      </c>
      <c r="W197">
        <f>IF(I197=1,P197*Assumptions!$B$11,Assumptions!$B$28)</f>
        <v/>
      </c>
      <c r="X197">
        <f>P197*(Assumptions!$B$133+Assumptions!$B$137)</f>
        <v/>
      </c>
      <c r="Y197">
        <f>P197*Assumptions!$B$9</f>
        <v/>
      </c>
      <c r="Z197">
        <f>IF(M197=1,(P197-Assumptions!$B$37)*Assumptions!$B$153,0)</f>
        <v/>
      </c>
      <c r="AA197">
        <f>Q197+R197+S197+T197+U197+V197+W197+X197+Y197+Z197</f>
        <v/>
      </c>
      <c r="AB197" t="n">
        <v>18</v>
      </c>
      <c r="AC197" t="n">
        <v>82</v>
      </c>
      <c r="AD197" t="n">
        <v>50</v>
      </c>
      <c r="AE197" t="n">
        <v>2</v>
      </c>
      <c r="AF197" t="n">
        <v>26</v>
      </c>
      <c r="AG197" t="n">
        <v>22</v>
      </c>
      <c r="AH197" t="n">
        <v>16</v>
      </c>
      <c r="AI197" t="n">
        <v>19</v>
      </c>
      <c r="AJ197">
        <f>INDEX($Q$179:$Q$306,AC197+1)</f>
        <v/>
      </c>
      <c r="AK197">
        <f>INDEX($R$179:$R$306,AD197+1)</f>
        <v/>
      </c>
      <c r="AL197">
        <f>INDEX($S$179:$S$306,AE197+1)</f>
        <v/>
      </c>
      <c r="AM197">
        <f>INDEX($T$179:$T$306,AF197+1)</f>
        <v/>
      </c>
      <c r="AN197">
        <f>INDEX($U$179:$U$306,AG197+1)</f>
        <v/>
      </c>
      <c r="AO197">
        <f>INDEX($V$179:$V$306,AH197+1)</f>
        <v/>
      </c>
      <c r="AP197">
        <f>INDEX($W$179:$W$306,AI197+1)</f>
        <v/>
      </c>
      <c r="AQ197">
        <f>IF(Q197&gt;=AJ197-0.01,1,0)</f>
        <v/>
      </c>
      <c r="AR197">
        <f>IF(R197&gt;=AK197-0.01,1,0)</f>
        <v/>
      </c>
      <c r="AS197">
        <f>IF(S197&gt;=AL197-0.01,1,0)</f>
        <v/>
      </c>
      <c r="AT197">
        <f>IF(T197&gt;=AM197-0.01,1,0)</f>
        <v/>
      </c>
      <c r="AU197">
        <f>IF(U197&gt;=AN197-0.01,1,0)</f>
        <v/>
      </c>
      <c r="AV197">
        <f>IF(V197&gt;=AO197-0.01,1,0)</f>
        <v/>
      </c>
      <c r="AW197">
        <f>IF(W197&gt;=AP197-0.01,1,0)</f>
        <v/>
      </c>
      <c r="AX197">
        <f>AQ197*AR197*AS197*AT197*AU197*AV197*AW197</f>
        <v/>
      </c>
      <c r="AY197">
        <f>Assumptions!$B$41</f>
        <v/>
      </c>
      <c r="AZ197">
        <f>Assumptions!$B$33</f>
        <v/>
      </c>
      <c r="BA197">
        <f>Assumptions!$B$32</f>
        <v/>
      </c>
      <c r="BB197">
        <f>Assumptions!$B$31</f>
        <v/>
      </c>
      <c r="BC197">
        <f>Assumptions!$B$30</f>
        <v/>
      </c>
      <c r="BD197">
        <f>Assumptions!$B$29</f>
        <v/>
      </c>
      <c r="BE197">
        <f>Assumptions!$B$28</f>
        <v/>
      </c>
      <c r="BF197">
        <f>P197*Assumptions!$B$141</f>
        <v/>
      </c>
      <c r="BG197">
        <f>P197*Assumptions!$B$128</f>
        <v/>
      </c>
      <c r="BH197">
        <f>P197*Assumptions!$B$129</f>
        <v/>
      </c>
      <c r="BI197">
        <f>P197*Assumptions!$B$14</f>
        <v/>
      </c>
      <c r="BJ197">
        <f>P197*Assumptions!$B$13</f>
        <v/>
      </c>
      <c r="BK197">
        <f>P197*Assumptions!$B$12</f>
        <v/>
      </c>
      <c r="BL197">
        <f>P197*Assumptions!$B$11</f>
        <v/>
      </c>
    </row>
    <row r="198">
      <c r="A198" t="inlineStr">
        <is>
          <t>1200M</t>
        </is>
      </c>
      <c r="B198">
        <f>Assumptions!$B$59</f>
        <v/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  <c r="J198">
        <f>(1-C198)*Assumptions!$B$41+(1-D198)*Assumptions!$B$33+(1-E198)*Assumptions!$B$32+(1-F198)*Assumptions!$B$31+(1-G198)*Assumptions!$B$30+(1-H198)*Assumptions!$B$29+(1-I198)*Assumptions!$B$28</f>
        <v/>
      </c>
      <c r="K198">
        <f>C198*Assumptions!$B$141+D198*Assumptions!$B$128+E198*Assumptions!$B$129+F198*Assumptions!$B$14+G198*Assumptions!$B$13+H198*Assumptions!$B$12+I198*Assumptions!$B$11+Assumptions!$B$133+Assumptions!$B$137+Assumptions!$B$9</f>
        <v/>
      </c>
      <c r="L198">
        <f>B198-J198</f>
        <v/>
      </c>
      <c r="M198">
        <f>IF(K198&gt;0,IF(L198/K198&gt;=Assumptions!$B$37,1,0),0)</f>
        <v/>
      </c>
      <c r="N198">
        <f>K198+M198*Assumptions!$B$153</f>
        <v/>
      </c>
      <c r="O198">
        <f>L198+M198*Assumptions!$B$153*Assumptions!$B$37</f>
        <v/>
      </c>
      <c r="P198">
        <f>IF(N198&gt;0,O198/N198,0)</f>
        <v/>
      </c>
      <c r="Q198">
        <f>IF(C198=1,P198*Assumptions!$B$141,Assumptions!$B$41)</f>
        <v/>
      </c>
      <c r="R198">
        <f>IF(D198=1,P198*Assumptions!$B$128,Assumptions!$B$33)</f>
        <v/>
      </c>
      <c r="S198">
        <f>IF(E198=1,P198*Assumptions!$B$129,Assumptions!$B$32)</f>
        <v/>
      </c>
      <c r="T198">
        <f>IF(F198=1,P198*Assumptions!$B$14,Assumptions!$B$31)</f>
        <v/>
      </c>
      <c r="U198">
        <f>IF(G198=1,P198*Assumptions!$B$13,Assumptions!$B$30)</f>
        <v/>
      </c>
      <c r="V198">
        <f>IF(H198=1,P198*Assumptions!$B$12,Assumptions!$B$29)</f>
        <v/>
      </c>
      <c r="W198">
        <f>IF(I198=1,P198*Assumptions!$B$11,Assumptions!$B$28)</f>
        <v/>
      </c>
      <c r="X198">
        <f>P198*(Assumptions!$B$133+Assumptions!$B$137)</f>
        <v/>
      </c>
      <c r="Y198">
        <f>P198*Assumptions!$B$9</f>
        <v/>
      </c>
      <c r="Z198">
        <f>IF(M198=1,(P198-Assumptions!$B$37)*Assumptions!$B$153,0)</f>
        <v/>
      </c>
      <c r="AA198">
        <f>Q198+R198+S198+T198+U198+V198+W198+X198+Y198+Z198</f>
        <v/>
      </c>
      <c r="AB198" t="n">
        <v>19</v>
      </c>
      <c r="AC198" t="n">
        <v>83</v>
      </c>
      <c r="AD198" t="n">
        <v>51</v>
      </c>
      <c r="AE198" t="n">
        <v>3</v>
      </c>
      <c r="AF198" t="n">
        <v>27</v>
      </c>
      <c r="AG198" t="n">
        <v>23</v>
      </c>
      <c r="AH198" t="n">
        <v>17</v>
      </c>
      <c r="AI198" t="n">
        <v>18</v>
      </c>
      <c r="AJ198">
        <f>INDEX($Q$179:$Q$306,AC198+1)</f>
        <v/>
      </c>
      <c r="AK198">
        <f>INDEX($R$179:$R$306,AD198+1)</f>
        <v/>
      </c>
      <c r="AL198">
        <f>INDEX($S$179:$S$306,AE198+1)</f>
        <v/>
      </c>
      <c r="AM198">
        <f>INDEX($T$179:$T$306,AF198+1)</f>
        <v/>
      </c>
      <c r="AN198">
        <f>INDEX($U$179:$U$306,AG198+1)</f>
        <v/>
      </c>
      <c r="AO198">
        <f>INDEX($V$179:$V$306,AH198+1)</f>
        <v/>
      </c>
      <c r="AP198">
        <f>INDEX($W$179:$W$306,AI198+1)</f>
        <v/>
      </c>
      <c r="AQ198">
        <f>IF(Q198&gt;=AJ198-0.01,1,0)</f>
        <v/>
      </c>
      <c r="AR198">
        <f>IF(R198&gt;=AK198-0.01,1,0)</f>
        <v/>
      </c>
      <c r="AS198">
        <f>IF(S198&gt;=AL198-0.01,1,0)</f>
        <v/>
      </c>
      <c r="AT198">
        <f>IF(T198&gt;=AM198-0.01,1,0)</f>
        <v/>
      </c>
      <c r="AU198">
        <f>IF(U198&gt;=AN198-0.01,1,0)</f>
        <v/>
      </c>
      <c r="AV198">
        <f>IF(V198&gt;=AO198-0.01,1,0)</f>
        <v/>
      </c>
      <c r="AW198">
        <f>IF(W198&gt;=AP198-0.01,1,0)</f>
        <v/>
      </c>
      <c r="AX198">
        <f>AQ198*AR198*AS198*AT198*AU198*AV198*AW198</f>
        <v/>
      </c>
      <c r="AY198">
        <f>Assumptions!$B$41</f>
        <v/>
      </c>
      <c r="AZ198">
        <f>Assumptions!$B$33</f>
        <v/>
      </c>
      <c r="BA198">
        <f>Assumptions!$B$32</f>
        <v/>
      </c>
      <c r="BB198">
        <f>Assumptions!$B$31</f>
        <v/>
      </c>
      <c r="BC198">
        <f>Assumptions!$B$30</f>
        <v/>
      </c>
      <c r="BD198">
        <f>Assumptions!$B$29</f>
        <v/>
      </c>
      <c r="BE198">
        <f>Assumptions!$B$28</f>
        <v/>
      </c>
      <c r="BF198">
        <f>P198*Assumptions!$B$141</f>
        <v/>
      </c>
      <c r="BG198">
        <f>P198*Assumptions!$B$128</f>
        <v/>
      </c>
      <c r="BH198">
        <f>P198*Assumptions!$B$129</f>
        <v/>
      </c>
      <c r="BI198">
        <f>P198*Assumptions!$B$14</f>
        <v/>
      </c>
      <c r="BJ198">
        <f>P198*Assumptions!$B$13</f>
        <v/>
      </c>
      <c r="BK198">
        <f>P198*Assumptions!$B$12</f>
        <v/>
      </c>
      <c r="BL198">
        <f>P198*Assumptions!$B$11</f>
        <v/>
      </c>
    </row>
    <row r="199">
      <c r="A199" t="inlineStr">
        <is>
          <t>1200M</t>
        </is>
      </c>
      <c r="B199">
        <f>Assumptions!$B$59</f>
        <v/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>
        <f>(1-C199)*Assumptions!$B$41+(1-D199)*Assumptions!$B$33+(1-E199)*Assumptions!$B$32+(1-F199)*Assumptions!$B$31+(1-G199)*Assumptions!$B$30+(1-H199)*Assumptions!$B$29+(1-I199)*Assumptions!$B$28</f>
        <v/>
      </c>
      <c r="K199">
        <f>C199*Assumptions!$B$141+D199*Assumptions!$B$128+E199*Assumptions!$B$129+F199*Assumptions!$B$14+G199*Assumptions!$B$13+H199*Assumptions!$B$12+I199*Assumptions!$B$11+Assumptions!$B$133+Assumptions!$B$137+Assumptions!$B$9</f>
        <v/>
      </c>
      <c r="L199">
        <f>B199-J199</f>
        <v/>
      </c>
      <c r="M199">
        <f>IF(K199&gt;0,IF(L199/K199&gt;=Assumptions!$B$37,1,0),0)</f>
        <v/>
      </c>
      <c r="N199">
        <f>K199+M199*Assumptions!$B$153</f>
        <v/>
      </c>
      <c r="O199">
        <f>L199+M199*Assumptions!$B$153*Assumptions!$B$37</f>
        <v/>
      </c>
      <c r="P199">
        <f>IF(N199&gt;0,O199/N199,0)</f>
        <v/>
      </c>
      <c r="Q199">
        <f>IF(C199=1,P199*Assumptions!$B$141,Assumptions!$B$41)</f>
        <v/>
      </c>
      <c r="R199">
        <f>IF(D199=1,P199*Assumptions!$B$128,Assumptions!$B$33)</f>
        <v/>
      </c>
      <c r="S199">
        <f>IF(E199=1,P199*Assumptions!$B$129,Assumptions!$B$32)</f>
        <v/>
      </c>
      <c r="T199">
        <f>IF(F199=1,P199*Assumptions!$B$14,Assumptions!$B$31)</f>
        <v/>
      </c>
      <c r="U199">
        <f>IF(G199=1,P199*Assumptions!$B$13,Assumptions!$B$30)</f>
        <v/>
      </c>
      <c r="V199">
        <f>IF(H199=1,P199*Assumptions!$B$12,Assumptions!$B$29)</f>
        <v/>
      </c>
      <c r="W199">
        <f>IF(I199=1,P199*Assumptions!$B$11,Assumptions!$B$28)</f>
        <v/>
      </c>
      <c r="X199">
        <f>P199*(Assumptions!$B$133+Assumptions!$B$137)</f>
        <v/>
      </c>
      <c r="Y199">
        <f>P199*Assumptions!$B$9</f>
        <v/>
      </c>
      <c r="Z199">
        <f>IF(M199=1,(P199-Assumptions!$B$37)*Assumptions!$B$153,0)</f>
        <v/>
      </c>
      <c r="AA199">
        <f>Q199+R199+S199+T199+U199+V199+W199+X199+Y199+Z199</f>
        <v/>
      </c>
      <c r="AB199" t="n">
        <v>20</v>
      </c>
      <c r="AC199" t="n">
        <v>84</v>
      </c>
      <c r="AD199" t="n">
        <v>52</v>
      </c>
      <c r="AE199" t="n">
        <v>4</v>
      </c>
      <c r="AF199" t="n">
        <v>28</v>
      </c>
      <c r="AG199" t="n">
        <v>16</v>
      </c>
      <c r="AH199" t="n">
        <v>22</v>
      </c>
      <c r="AI199" t="n">
        <v>21</v>
      </c>
      <c r="AJ199">
        <f>INDEX($Q$179:$Q$306,AC199+1)</f>
        <v/>
      </c>
      <c r="AK199">
        <f>INDEX($R$179:$R$306,AD199+1)</f>
        <v/>
      </c>
      <c r="AL199">
        <f>INDEX($S$179:$S$306,AE199+1)</f>
        <v/>
      </c>
      <c r="AM199">
        <f>INDEX($T$179:$T$306,AF199+1)</f>
        <v/>
      </c>
      <c r="AN199">
        <f>INDEX($U$179:$U$306,AG199+1)</f>
        <v/>
      </c>
      <c r="AO199">
        <f>INDEX($V$179:$V$306,AH199+1)</f>
        <v/>
      </c>
      <c r="AP199">
        <f>INDEX($W$179:$W$306,AI199+1)</f>
        <v/>
      </c>
      <c r="AQ199">
        <f>IF(Q199&gt;=AJ199-0.01,1,0)</f>
        <v/>
      </c>
      <c r="AR199">
        <f>IF(R199&gt;=AK199-0.01,1,0)</f>
        <v/>
      </c>
      <c r="AS199">
        <f>IF(S199&gt;=AL199-0.01,1,0)</f>
        <v/>
      </c>
      <c r="AT199">
        <f>IF(T199&gt;=AM199-0.01,1,0)</f>
        <v/>
      </c>
      <c r="AU199">
        <f>IF(U199&gt;=AN199-0.01,1,0)</f>
        <v/>
      </c>
      <c r="AV199">
        <f>IF(V199&gt;=AO199-0.01,1,0)</f>
        <v/>
      </c>
      <c r="AW199">
        <f>IF(W199&gt;=AP199-0.01,1,0)</f>
        <v/>
      </c>
      <c r="AX199">
        <f>AQ199*AR199*AS199*AT199*AU199*AV199*AW199</f>
        <v/>
      </c>
      <c r="AY199">
        <f>Assumptions!$B$41</f>
        <v/>
      </c>
      <c r="AZ199">
        <f>Assumptions!$B$33</f>
        <v/>
      </c>
      <c r="BA199">
        <f>Assumptions!$B$32</f>
        <v/>
      </c>
      <c r="BB199">
        <f>Assumptions!$B$31</f>
        <v/>
      </c>
      <c r="BC199">
        <f>Assumptions!$B$30</f>
        <v/>
      </c>
      <c r="BD199">
        <f>Assumptions!$B$29</f>
        <v/>
      </c>
      <c r="BE199">
        <f>Assumptions!$B$28</f>
        <v/>
      </c>
      <c r="BF199">
        <f>P199*Assumptions!$B$141</f>
        <v/>
      </c>
      <c r="BG199">
        <f>P199*Assumptions!$B$128</f>
        <v/>
      </c>
      <c r="BH199">
        <f>P199*Assumptions!$B$129</f>
        <v/>
      </c>
      <c r="BI199">
        <f>P199*Assumptions!$B$14</f>
        <v/>
      </c>
      <c r="BJ199">
        <f>P199*Assumptions!$B$13</f>
        <v/>
      </c>
      <c r="BK199">
        <f>P199*Assumptions!$B$12</f>
        <v/>
      </c>
      <c r="BL199">
        <f>P199*Assumptions!$B$11</f>
        <v/>
      </c>
    </row>
    <row r="200">
      <c r="A200" t="inlineStr">
        <is>
          <t>1200M</t>
        </is>
      </c>
      <c r="B200">
        <f>Assumptions!$B$59</f>
        <v/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1</v>
      </c>
      <c r="J200">
        <f>(1-C200)*Assumptions!$B$41+(1-D200)*Assumptions!$B$33+(1-E200)*Assumptions!$B$32+(1-F200)*Assumptions!$B$31+(1-G200)*Assumptions!$B$30+(1-H200)*Assumptions!$B$29+(1-I200)*Assumptions!$B$28</f>
        <v/>
      </c>
      <c r="K200">
        <f>C200*Assumptions!$B$141+D200*Assumptions!$B$128+E200*Assumptions!$B$129+F200*Assumptions!$B$14+G200*Assumptions!$B$13+H200*Assumptions!$B$12+I200*Assumptions!$B$11+Assumptions!$B$133+Assumptions!$B$137+Assumptions!$B$9</f>
        <v/>
      </c>
      <c r="L200">
        <f>B200-J200</f>
        <v/>
      </c>
      <c r="M200">
        <f>IF(K200&gt;0,IF(L200/K200&gt;=Assumptions!$B$37,1,0),0)</f>
        <v/>
      </c>
      <c r="N200">
        <f>K200+M200*Assumptions!$B$153</f>
        <v/>
      </c>
      <c r="O200">
        <f>L200+M200*Assumptions!$B$153*Assumptions!$B$37</f>
        <v/>
      </c>
      <c r="P200">
        <f>IF(N200&gt;0,O200/N200,0)</f>
        <v/>
      </c>
      <c r="Q200">
        <f>IF(C200=1,P200*Assumptions!$B$141,Assumptions!$B$41)</f>
        <v/>
      </c>
      <c r="R200">
        <f>IF(D200=1,P200*Assumptions!$B$128,Assumptions!$B$33)</f>
        <v/>
      </c>
      <c r="S200">
        <f>IF(E200=1,P200*Assumptions!$B$129,Assumptions!$B$32)</f>
        <v/>
      </c>
      <c r="T200">
        <f>IF(F200=1,P200*Assumptions!$B$14,Assumptions!$B$31)</f>
        <v/>
      </c>
      <c r="U200">
        <f>IF(G200=1,P200*Assumptions!$B$13,Assumptions!$B$30)</f>
        <v/>
      </c>
      <c r="V200">
        <f>IF(H200=1,P200*Assumptions!$B$12,Assumptions!$B$29)</f>
        <v/>
      </c>
      <c r="W200">
        <f>IF(I200=1,P200*Assumptions!$B$11,Assumptions!$B$28)</f>
        <v/>
      </c>
      <c r="X200">
        <f>P200*(Assumptions!$B$133+Assumptions!$B$137)</f>
        <v/>
      </c>
      <c r="Y200">
        <f>P200*Assumptions!$B$9</f>
        <v/>
      </c>
      <c r="Z200">
        <f>IF(M200=1,(P200-Assumptions!$B$37)*Assumptions!$B$153,0)</f>
        <v/>
      </c>
      <c r="AA200">
        <f>Q200+R200+S200+T200+U200+V200+W200+X200+Y200+Z200</f>
        <v/>
      </c>
      <c r="AB200" t="n">
        <v>21</v>
      </c>
      <c r="AC200" t="n">
        <v>85</v>
      </c>
      <c r="AD200" t="n">
        <v>53</v>
      </c>
      <c r="AE200" t="n">
        <v>5</v>
      </c>
      <c r="AF200" t="n">
        <v>29</v>
      </c>
      <c r="AG200" t="n">
        <v>17</v>
      </c>
      <c r="AH200" t="n">
        <v>23</v>
      </c>
      <c r="AI200" t="n">
        <v>20</v>
      </c>
      <c r="AJ200">
        <f>INDEX($Q$179:$Q$306,AC200+1)</f>
        <v/>
      </c>
      <c r="AK200">
        <f>INDEX($R$179:$R$306,AD200+1)</f>
        <v/>
      </c>
      <c r="AL200">
        <f>INDEX($S$179:$S$306,AE200+1)</f>
        <v/>
      </c>
      <c r="AM200">
        <f>INDEX($T$179:$T$306,AF200+1)</f>
        <v/>
      </c>
      <c r="AN200">
        <f>INDEX($U$179:$U$306,AG200+1)</f>
        <v/>
      </c>
      <c r="AO200">
        <f>INDEX($V$179:$V$306,AH200+1)</f>
        <v/>
      </c>
      <c r="AP200">
        <f>INDEX($W$179:$W$306,AI200+1)</f>
        <v/>
      </c>
      <c r="AQ200">
        <f>IF(Q200&gt;=AJ200-0.01,1,0)</f>
        <v/>
      </c>
      <c r="AR200">
        <f>IF(R200&gt;=AK200-0.01,1,0)</f>
        <v/>
      </c>
      <c r="AS200">
        <f>IF(S200&gt;=AL200-0.01,1,0)</f>
        <v/>
      </c>
      <c r="AT200">
        <f>IF(T200&gt;=AM200-0.01,1,0)</f>
        <v/>
      </c>
      <c r="AU200">
        <f>IF(U200&gt;=AN200-0.01,1,0)</f>
        <v/>
      </c>
      <c r="AV200">
        <f>IF(V200&gt;=AO200-0.01,1,0)</f>
        <v/>
      </c>
      <c r="AW200">
        <f>IF(W200&gt;=AP200-0.01,1,0)</f>
        <v/>
      </c>
      <c r="AX200">
        <f>AQ200*AR200*AS200*AT200*AU200*AV200*AW200</f>
        <v/>
      </c>
      <c r="AY200">
        <f>Assumptions!$B$41</f>
        <v/>
      </c>
      <c r="AZ200">
        <f>Assumptions!$B$33</f>
        <v/>
      </c>
      <c r="BA200">
        <f>Assumptions!$B$32</f>
        <v/>
      </c>
      <c r="BB200">
        <f>Assumptions!$B$31</f>
        <v/>
      </c>
      <c r="BC200">
        <f>Assumptions!$B$30</f>
        <v/>
      </c>
      <c r="BD200">
        <f>Assumptions!$B$29</f>
        <v/>
      </c>
      <c r="BE200">
        <f>Assumptions!$B$28</f>
        <v/>
      </c>
      <c r="BF200">
        <f>P200*Assumptions!$B$141</f>
        <v/>
      </c>
      <c r="BG200">
        <f>P200*Assumptions!$B$128</f>
        <v/>
      </c>
      <c r="BH200">
        <f>P200*Assumptions!$B$129</f>
        <v/>
      </c>
      <c r="BI200">
        <f>P200*Assumptions!$B$14</f>
        <v/>
      </c>
      <c r="BJ200">
        <f>P200*Assumptions!$B$13</f>
        <v/>
      </c>
      <c r="BK200">
        <f>P200*Assumptions!$B$12</f>
        <v/>
      </c>
      <c r="BL200">
        <f>P200*Assumptions!$B$11</f>
        <v/>
      </c>
    </row>
    <row r="201">
      <c r="A201" t="inlineStr">
        <is>
          <t>1200M</t>
        </is>
      </c>
      <c r="B201">
        <f>Assumptions!$B$59</f>
        <v/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>
        <f>(1-C201)*Assumptions!$B$41+(1-D201)*Assumptions!$B$33+(1-E201)*Assumptions!$B$32+(1-F201)*Assumptions!$B$31+(1-G201)*Assumptions!$B$30+(1-H201)*Assumptions!$B$29+(1-I201)*Assumptions!$B$28</f>
        <v/>
      </c>
      <c r="K201">
        <f>C201*Assumptions!$B$141+D201*Assumptions!$B$128+E201*Assumptions!$B$129+F201*Assumptions!$B$14+G201*Assumptions!$B$13+H201*Assumptions!$B$12+I201*Assumptions!$B$11+Assumptions!$B$133+Assumptions!$B$137+Assumptions!$B$9</f>
        <v/>
      </c>
      <c r="L201">
        <f>B201-J201</f>
        <v/>
      </c>
      <c r="M201">
        <f>IF(K201&gt;0,IF(L201/K201&gt;=Assumptions!$B$37,1,0),0)</f>
        <v/>
      </c>
      <c r="N201">
        <f>K201+M201*Assumptions!$B$153</f>
        <v/>
      </c>
      <c r="O201">
        <f>L201+M201*Assumptions!$B$153*Assumptions!$B$37</f>
        <v/>
      </c>
      <c r="P201">
        <f>IF(N201&gt;0,O201/N201,0)</f>
        <v/>
      </c>
      <c r="Q201">
        <f>IF(C201=1,P201*Assumptions!$B$141,Assumptions!$B$41)</f>
        <v/>
      </c>
      <c r="R201">
        <f>IF(D201=1,P201*Assumptions!$B$128,Assumptions!$B$33)</f>
        <v/>
      </c>
      <c r="S201">
        <f>IF(E201=1,P201*Assumptions!$B$129,Assumptions!$B$32)</f>
        <v/>
      </c>
      <c r="T201">
        <f>IF(F201=1,P201*Assumptions!$B$14,Assumptions!$B$31)</f>
        <v/>
      </c>
      <c r="U201">
        <f>IF(G201=1,P201*Assumptions!$B$13,Assumptions!$B$30)</f>
        <v/>
      </c>
      <c r="V201">
        <f>IF(H201=1,P201*Assumptions!$B$12,Assumptions!$B$29)</f>
        <v/>
      </c>
      <c r="W201">
        <f>IF(I201=1,P201*Assumptions!$B$11,Assumptions!$B$28)</f>
        <v/>
      </c>
      <c r="X201">
        <f>P201*(Assumptions!$B$133+Assumptions!$B$137)</f>
        <v/>
      </c>
      <c r="Y201">
        <f>P201*Assumptions!$B$9</f>
        <v/>
      </c>
      <c r="Z201">
        <f>IF(M201=1,(P201-Assumptions!$B$37)*Assumptions!$B$153,0)</f>
        <v/>
      </c>
      <c r="AA201">
        <f>Q201+R201+S201+T201+U201+V201+W201+X201+Y201+Z201</f>
        <v/>
      </c>
      <c r="AB201" t="n">
        <v>22</v>
      </c>
      <c r="AC201" t="n">
        <v>86</v>
      </c>
      <c r="AD201" t="n">
        <v>54</v>
      </c>
      <c r="AE201" t="n">
        <v>6</v>
      </c>
      <c r="AF201" t="n">
        <v>30</v>
      </c>
      <c r="AG201" t="n">
        <v>18</v>
      </c>
      <c r="AH201" t="n">
        <v>20</v>
      </c>
      <c r="AI201" t="n">
        <v>23</v>
      </c>
      <c r="AJ201">
        <f>INDEX($Q$179:$Q$306,AC201+1)</f>
        <v/>
      </c>
      <c r="AK201">
        <f>INDEX($R$179:$R$306,AD201+1)</f>
        <v/>
      </c>
      <c r="AL201">
        <f>INDEX($S$179:$S$306,AE201+1)</f>
        <v/>
      </c>
      <c r="AM201">
        <f>INDEX($T$179:$T$306,AF201+1)</f>
        <v/>
      </c>
      <c r="AN201">
        <f>INDEX($U$179:$U$306,AG201+1)</f>
        <v/>
      </c>
      <c r="AO201">
        <f>INDEX($V$179:$V$306,AH201+1)</f>
        <v/>
      </c>
      <c r="AP201">
        <f>INDEX($W$179:$W$306,AI201+1)</f>
        <v/>
      </c>
      <c r="AQ201">
        <f>IF(Q201&gt;=AJ201-0.01,1,0)</f>
        <v/>
      </c>
      <c r="AR201">
        <f>IF(R201&gt;=AK201-0.01,1,0)</f>
        <v/>
      </c>
      <c r="AS201">
        <f>IF(S201&gt;=AL201-0.01,1,0)</f>
        <v/>
      </c>
      <c r="AT201">
        <f>IF(T201&gt;=AM201-0.01,1,0)</f>
        <v/>
      </c>
      <c r="AU201">
        <f>IF(U201&gt;=AN201-0.01,1,0)</f>
        <v/>
      </c>
      <c r="AV201">
        <f>IF(V201&gt;=AO201-0.01,1,0)</f>
        <v/>
      </c>
      <c r="AW201">
        <f>IF(W201&gt;=AP201-0.01,1,0)</f>
        <v/>
      </c>
      <c r="AX201">
        <f>AQ201*AR201*AS201*AT201*AU201*AV201*AW201</f>
        <v/>
      </c>
      <c r="AY201">
        <f>Assumptions!$B$41</f>
        <v/>
      </c>
      <c r="AZ201">
        <f>Assumptions!$B$33</f>
        <v/>
      </c>
      <c r="BA201">
        <f>Assumptions!$B$32</f>
        <v/>
      </c>
      <c r="BB201">
        <f>Assumptions!$B$31</f>
        <v/>
      </c>
      <c r="BC201">
        <f>Assumptions!$B$30</f>
        <v/>
      </c>
      <c r="BD201">
        <f>Assumptions!$B$29</f>
        <v/>
      </c>
      <c r="BE201">
        <f>Assumptions!$B$28</f>
        <v/>
      </c>
      <c r="BF201">
        <f>P201*Assumptions!$B$141</f>
        <v/>
      </c>
      <c r="BG201">
        <f>P201*Assumptions!$B$128</f>
        <v/>
      </c>
      <c r="BH201">
        <f>P201*Assumptions!$B$129</f>
        <v/>
      </c>
      <c r="BI201">
        <f>P201*Assumptions!$B$14</f>
        <v/>
      </c>
      <c r="BJ201">
        <f>P201*Assumptions!$B$13</f>
        <v/>
      </c>
      <c r="BK201">
        <f>P201*Assumptions!$B$12</f>
        <v/>
      </c>
      <c r="BL201">
        <f>P201*Assumptions!$B$11</f>
        <v/>
      </c>
    </row>
    <row r="202">
      <c r="A202" t="inlineStr">
        <is>
          <t>1200M</t>
        </is>
      </c>
      <c r="B202">
        <f>Assumptions!$B$59</f>
        <v/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>
        <f>(1-C202)*Assumptions!$B$41+(1-D202)*Assumptions!$B$33+(1-E202)*Assumptions!$B$32+(1-F202)*Assumptions!$B$31+(1-G202)*Assumptions!$B$30+(1-H202)*Assumptions!$B$29+(1-I202)*Assumptions!$B$28</f>
        <v/>
      </c>
      <c r="K202">
        <f>C202*Assumptions!$B$141+D202*Assumptions!$B$128+E202*Assumptions!$B$129+F202*Assumptions!$B$14+G202*Assumptions!$B$13+H202*Assumptions!$B$12+I202*Assumptions!$B$11+Assumptions!$B$133+Assumptions!$B$137+Assumptions!$B$9</f>
        <v/>
      </c>
      <c r="L202">
        <f>B202-J202</f>
        <v/>
      </c>
      <c r="M202">
        <f>IF(K202&gt;0,IF(L202/K202&gt;=Assumptions!$B$37,1,0),0)</f>
        <v/>
      </c>
      <c r="N202">
        <f>K202+M202*Assumptions!$B$153</f>
        <v/>
      </c>
      <c r="O202">
        <f>L202+M202*Assumptions!$B$153*Assumptions!$B$37</f>
        <v/>
      </c>
      <c r="P202">
        <f>IF(N202&gt;0,O202/N202,0)</f>
        <v/>
      </c>
      <c r="Q202">
        <f>IF(C202=1,P202*Assumptions!$B$141,Assumptions!$B$41)</f>
        <v/>
      </c>
      <c r="R202">
        <f>IF(D202=1,P202*Assumptions!$B$128,Assumptions!$B$33)</f>
        <v/>
      </c>
      <c r="S202">
        <f>IF(E202=1,P202*Assumptions!$B$129,Assumptions!$B$32)</f>
        <v/>
      </c>
      <c r="T202">
        <f>IF(F202=1,P202*Assumptions!$B$14,Assumptions!$B$31)</f>
        <v/>
      </c>
      <c r="U202">
        <f>IF(G202=1,P202*Assumptions!$B$13,Assumptions!$B$30)</f>
        <v/>
      </c>
      <c r="V202">
        <f>IF(H202=1,P202*Assumptions!$B$12,Assumptions!$B$29)</f>
        <v/>
      </c>
      <c r="W202">
        <f>IF(I202=1,P202*Assumptions!$B$11,Assumptions!$B$28)</f>
        <v/>
      </c>
      <c r="X202">
        <f>P202*(Assumptions!$B$133+Assumptions!$B$137)</f>
        <v/>
      </c>
      <c r="Y202">
        <f>P202*Assumptions!$B$9</f>
        <v/>
      </c>
      <c r="Z202">
        <f>IF(M202=1,(P202-Assumptions!$B$37)*Assumptions!$B$153,0)</f>
        <v/>
      </c>
      <c r="AA202">
        <f>Q202+R202+S202+T202+U202+V202+W202+X202+Y202+Z202</f>
        <v/>
      </c>
      <c r="AB202" t="n">
        <v>23</v>
      </c>
      <c r="AC202" t="n">
        <v>87</v>
      </c>
      <c r="AD202" t="n">
        <v>55</v>
      </c>
      <c r="AE202" t="n">
        <v>7</v>
      </c>
      <c r="AF202" t="n">
        <v>31</v>
      </c>
      <c r="AG202" t="n">
        <v>19</v>
      </c>
      <c r="AH202" t="n">
        <v>21</v>
      </c>
      <c r="AI202" t="n">
        <v>22</v>
      </c>
      <c r="AJ202">
        <f>INDEX($Q$179:$Q$306,AC202+1)</f>
        <v/>
      </c>
      <c r="AK202">
        <f>INDEX($R$179:$R$306,AD202+1)</f>
        <v/>
      </c>
      <c r="AL202">
        <f>INDEX($S$179:$S$306,AE202+1)</f>
        <v/>
      </c>
      <c r="AM202">
        <f>INDEX($T$179:$T$306,AF202+1)</f>
        <v/>
      </c>
      <c r="AN202">
        <f>INDEX($U$179:$U$306,AG202+1)</f>
        <v/>
      </c>
      <c r="AO202">
        <f>INDEX($V$179:$V$306,AH202+1)</f>
        <v/>
      </c>
      <c r="AP202">
        <f>INDEX($W$179:$W$306,AI202+1)</f>
        <v/>
      </c>
      <c r="AQ202">
        <f>IF(Q202&gt;=AJ202-0.01,1,0)</f>
        <v/>
      </c>
      <c r="AR202">
        <f>IF(R202&gt;=AK202-0.01,1,0)</f>
        <v/>
      </c>
      <c r="AS202">
        <f>IF(S202&gt;=AL202-0.01,1,0)</f>
        <v/>
      </c>
      <c r="AT202">
        <f>IF(T202&gt;=AM202-0.01,1,0)</f>
        <v/>
      </c>
      <c r="AU202">
        <f>IF(U202&gt;=AN202-0.01,1,0)</f>
        <v/>
      </c>
      <c r="AV202">
        <f>IF(V202&gt;=AO202-0.01,1,0)</f>
        <v/>
      </c>
      <c r="AW202">
        <f>IF(W202&gt;=AP202-0.01,1,0)</f>
        <v/>
      </c>
      <c r="AX202">
        <f>AQ202*AR202*AS202*AT202*AU202*AV202*AW202</f>
        <v/>
      </c>
      <c r="AY202">
        <f>Assumptions!$B$41</f>
        <v/>
      </c>
      <c r="AZ202">
        <f>Assumptions!$B$33</f>
        <v/>
      </c>
      <c r="BA202">
        <f>Assumptions!$B$32</f>
        <v/>
      </c>
      <c r="BB202">
        <f>Assumptions!$B$31</f>
        <v/>
      </c>
      <c r="BC202">
        <f>Assumptions!$B$30</f>
        <v/>
      </c>
      <c r="BD202">
        <f>Assumptions!$B$29</f>
        <v/>
      </c>
      <c r="BE202">
        <f>Assumptions!$B$28</f>
        <v/>
      </c>
      <c r="BF202">
        <f>P202*Assumptions!$B$141</f>
        <v/>
      </c>
      <c r="BG202">
        <f>P202*Assumptions!$B$128</f>
        <v/>
      </c>
      <c r="BH202">
        <f>P202*Assumptions!$B$129</f>
        <v/>
      </c>
      <c r="BI202">
        <f>P202*Assumptions!$B$14</f>
        <v/>
      </c>
      <c r="BJ202">
        <f>P202*Assumptions!$B$13</f>
        <v/>
      </c>
      <c r="BK202">
        <f>P202*Assumptions!$B$12</f>
        <v/>
      </c>
      <c r="BL202">
        <f>P202*Assumptions!$B$11</f>
        <v/>
      </c>
    </row>
    <row r="203">
      <c r="A203" t="inlineStr">
        <is>
          <t>1200M</t>
        </is>
      </c>
      <c r="B203">
        <f>Assumptions!$B$59</f>
        <v/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>
        <f>(1-C203)*Assumptions!$B$41+(1-D203)*Assumptions!$B$33+(1-E203)*Assumptions!$B$32+(1-F203)*Assumptions!$B$31+(1-G203)*Assumptions!$B$30+(1-H203)*Assumptions!$B$29+(1-I203)*Assumptions!$B$28</f>
        <v/>
      </c>
      <c r="K203">
        <f>C203*Assumptions!$B$141+D203*Assumptions!$B$128+E203*Assumptions!$B$129+F203*Assumptions!$B$14+G203*Assumptions!$B$13+H203*Assumptions!$B$12+I203*Assumptions!$B$11+Assumptions!$B$133+Assumptions!$B$137+Assumptions!$B$9</f>
        <v/>
      </c>
      <c r="L203">
        <f>B203-J203</f>
        <v/>
      </c>
      <c r="M203">
        <f>IF(K203&gt;0,IF(L203/K203&gt;=Assumptions!$B$37,1,0),0)</f>
        <v/>
      </c>
      <c r="N203">
        <f>K203+M203*Assumptions!$B$153</f>
        <v/>
      </c>
      <c r="O203">
        <f>L203+M203*Assumptions!$B$153*Assumptions!$B$37</f>
        <v/>
      </c>
      <c r="P203">
        <f>IF(N203&gt;0,O203/N203,0)</f>
        <v/>
      </c>
      <c r="Q203">
        <f>IF(C203=1,P203*Assumptions!$B$141,Assumptions!$B$41)</f>
        <v/>
      </c>
      <c r="R203">
        <f>IF(D203=1,P203*Assumptions!$B$128,Assumptions!$B$33)</f>
        <v/>
      </c>
      <c r="S203">
        <f>IF(E203=1,P203*Assumptions!$B$129,Assumptions!$B$32)</f>
        <v/>
      </c>
      <c r="T203">
        <f>IF(F203=1,P203*Assumptions!$B$14,Assumptions!$B$31)</f>
        <v/>
      </c>
      <c r="U203">
        <f>IF(G203=1,P203*Assumptions!$B$13,Assumptions!$B$30)</f>
        <v/>
      </c>
      <c r="V203">
        <f>IF(H203=1,P203*Assumptions!$B$12,Assumptions!$B$29)</f>
        <v/>
      </c>
      <c r="W203">
        <f>IF(I203=1,P203*Assumptions!$B$11,Assumptions!$B$28)</f>
        <v/>
      </c>
      <c r="X203">
        <f>P203*(Assumptions!$B$133+Assumptions!$B$137)</f>
        <v/>
      </c>
      <c r="Y203">
        <f>P203*Assumptions!$B$9</f>
        <v/>
      </c>
      <c r="Z203">
        <f>IF(M203=1,(P203-Assumptions!$B$37)*Assumptions!$B$153,0)</f>
        <v/>
      </c>
      <c r="AA203">
        <f>Q203+R203+S203+T203+U203+V203+W203+X203+Y203+Z203</f>
        <v/>
      </c>
      <c r="AB203" t="n">
        <v>24</v>
      </c>
      <c r="AC203" t="n">
        <v>88</v>
      </c>
      <c r="AD203" t="n">
        <v>56</v>
      </c>
      <c r="AE203" t="n">
        <v>8</v>
      </c>
      <c r="AF203" t="n">
        <v>16</v>
      </c>
      <c r="AG203" t="n">
        <v>28</v>
      </c>
      <c r="AH203" t="n">
        <v>26</v>
      </c>
      <c r="AI203" t="n">
        <v>25</v>
      </c>
      <c r="AJ203">
        <f>INDEX($Q$179:$Q$306,AC203+1)</f>
        <v/>
      </c>
      <c r="AK203">
        <f>INDEX($R$179:$R$306,AD203+1)</f>
        <v/>
      </c>
      <c r="AL203">
        <f>INDEX($S$179:$S$306,AE203+1)</f>
        <v/>
      </c>
      <c r="AM203">
        <f>INDEX($T$179:$T$306,AF203+1)</f>
        <v/>
      </c>
      <c r="AN203">
        <f>INDEX($U$179:$U$306,AG203+1)</f>
        <v/>
      </c>
      <c r="AO203">
        <f>INDEX($V$179:$V$306,AH203+1)</f>
        <v/>
      </c>
      <c r="AP203">
        <f>INDEX($W$179:$W$306,AI203+1)</f>
        <v/>
      </c>
      <c r="AQ203">
        <f>IF(Q203&gt;=AJ203-0.01,1,0)</f>
        <v/>
      </c>
      <c r="AR203">
        <f>IF(R203&gt;=AK203-0.01,1,0)</f>
        <v/>
      </c>
      <c r="AS203">
        <f>IF(S203&gt;=AL203-0.01,1,0)</f>
        <v/>
      </c>
      <c r="AT203">
        <f>IF(T203&gt;=AM203-0.01,1,0)</f>
        <v/>
      </c>
      <c r="AU203">
        <f>IF(U203&gt;=AN203-0.01,1,0)</f>
        <v/>
      </c>
      <c r="AV203">
        <f>IF(V203&gt;=AO203-0.01,1,0)</f>
        <v/>
      </c>
      <c r="AW203">
        <f>IF(W203&gt;=AP203-0.01,1,0)</f>
        <v/>
      </c>
      <c r="AX203">
        <f>AQ203*AR203*AS203*AT203*AU203*AV203*AW203</f>
        <v/>
      </c>
      <c r="AY203">
        <f>Assumptions!$B$41</f>
        <v/>
      </c>
      <c r="AZ203">
        <f>Assumptions!$B$33</f>
        <v/>
      </c>
      <c r="BA203">
        <f>Assumptions!$B$32</f>
        <v/>
      </c>
      <c r="BB203">
        <f>Assumptions!$B$31</f>
        <v/>
      </c>
      <c r="BC203">
        <f>Assumptions!$B$30</f>
        <v/>
      </c>
      <c r="BD203">
        <f>Assumptions!$B$29</f>
        <v/>
      </c>
      <c r="BE203">
        <f>Assumptions!$B$28</f>
        <v/>
      </c>
      <c r="BF203">
        <f>P203*Assumptions!$B$141</f>
        <v/>
      </c>
      <c r="BG203">
        <f>P203*Assumptions!$B$128</f>
        <v/>
      </c>
      <c r="BH203">
        <f>P203*Assumptions!$B$129</f>
        <v/>
      </c>
      <c r="BI203">
        <f>P203*Assumptions!$B$14</f>
        <v/>
      </c>
      <c r="BJ203">
        <f>P203*Assumptions!$B$13</f>
        <v/>
      </c>
      <c r="BK203">
        <f>P203*Assumptions!$B$12</f>
        <v/>
      </c>
      <c r="BL203">
        <f>P203*Assumptions!$B$11</f>
        <v/>
      </c>
    </row>
    <row r="204">
      <c r="A204" t="inlineStr">
        <is>
          <t>1200M</t>
        </is>
      </c>
      <c r="B204">
        <f>Assumptions!$B$59</f>
        <v/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>
        <f>(1-C204)*Assumptions!$B$41+(1-D204)*Assumptions!$B$33+(1-E204)*Assumptions!$B$32+(1-F204)*Assumptions!$B$31+(1-G204)*Assumptions!$B$30+(1-H204)*Assumptions!$B$29+(1-I204)*Assumptions!$B$28</f>
        <v/>
      </c>
      <c r="K204">
        <f>C204*Assumptions!$B$141+D204*Assumptions!$B$128+E204*Assumptions!$B$129+F204*Assumptions!$B$14+G204*Assumptions!$B$13+H204*Assumptions!$B$12+I204*Assumptions!$B$11+Assumptions!$B$133+Assumptions!$B$137+Assumptions!$B$9</f>
        <v/>
      </c>
      <c r="L204">
        <f>B204-J204</f>
        <v/>
      </c>
      <c r="M204">
        <f>IF(K204&gt;0,IF(L204/K204&gt;=Assumptions!$B$37,1,0),0)</f>
        <v/>
      </c>
      <c r="N204">
        <f>K204+M204*Assumptions!$B$153</f>
        <v/>
      </c>
      <c r="O204">
        <f>L204+M204*Assumptions!$B$153*Assumptions!$B$37</f>
        <v/>
      </c>
      <c r="P204">
        <f>IF(N204&gt;0,O204/N204,0)</f>
        <v/>
      </c>
      <c r="Q204">
        <f>IF(C204=1,P204*Assumptions!$B$141,Assumptions!$B$41)</f>
        <v/>
      </c>
      <c r="R204">
        <f>IF(D204=1,P204*Assumptions!$B$128,Assumptions!$B$33)</f>
        <v/>
      </c>
      <c r="S204">
        <f>IF(E204=1,P204*Assumptions!$B$129,Assumptions!$B$32)</f>
        <v/>
      </c>
      <c r="T204">
        <f>IF(F204=1,P204*Assumptions!$B$14,Assumptions!$B$31)</f>
        <v/>
      </c>
      <c r="U204">
        <f>IF(G204=1,P204*Assumptions!$B$13,Assumptions!$B$30)</f>
        <v/>
      </c>
      <c r="V204">
        <f>IF(H204=1,P204*Assumptions!$B$12,Assumptions!$B$29)</f>
        <v/>
      </c>
      <c r="W204">
        <f>IF(I204=1,P204*Assumptions!$B$11,Assumptions!$B$28)</f>
        <v/>
      </c>
      <c r="X204">
        <f>P204*(Assumptions!$B$133+Assumptions!$B$137)</f>
        <v/>
      </c>
      <c r="Y204">
        <f>P204*Assumptions!$B$9</f>
        <v/>
      </c>
      <c r="Z204">
        <f>IF(M204=1,(P204-Assumptions!$B$37)*Assumptions!$B$153,0)</f>
        <v/>
      </c>
      <c r="AA204">
        <f>Q204+R204+S204+T204+U204+V204+W204+X204+Y204+Z204</f>
        <v/>
      </c>
      <c r="AB204" t="n">
        <v>25</v>
      </c>
      <c r="AC204" t="n">
        <v>89</v>
      </c>
      <c r="AD204" t="n">
        <v>57</v>
      </c>
      <c r="AE204" t="n">
        <v>9</v>
      </c>
      <c r="AF204" t="n">
        <v>17</v>
      </c>
      <c r="AG204" t="n">
        <v>29</v>
      </c>
      <c r="AH204" t="n">
        <v>27</v>
      </c>
      <c r="AI204" t="n">
        <v>24</v>
      </c>
      <c r="AJ204">
        <f>INDEX($Q$179:$Q$306,AC204+1)</f>
        <v/>
      </c>
      <c r="AK204">
        <f>INDEX($R$179:$R$306,AD204+1)</f>
        <v/>
      </c>
      <c r="AL204">
        <f>INDEX($S$179:$S$306,AE204+1)</f>
        <v/>
      </c>
      <c r="AM204">
        <f>INDEX($T$179:$T$306,AF204+1)</f>
        <v/>
      </c>
      <c r="AN204">
        <f>INDEX($U$179:$U$306,AG204+1)</f>
        <v/>
      </c>
      <c r="AO204">
        <f>INDEX($V$179:$V$306,AH204+1)</f>
        <v/>
      </c>
      <c r="AP204">
        <f>INDEX($W$179:$W$306,AI204+1)</f>
        <v/>
      </c>
      <c r="AQ204">
        <f>IF(Q204&gt;=AJ204-0.01,1,0)</f>
        <v/>
      </c>
      <c r="AR204">
        <f>IF(R204&gt;=AK204-0.01,1,0)</f>
        <v/>
      </c>
      <c r="AS204">
        <f>IF(S204&gt;=AL204-0.01,1,0)</f>
        <v/>
      </c>
      <c r="AT204">
        <f>IF(T204&gt;=AM204-0.01,1,0)</f>
        <v/>
      </c>
      <c r="AU204">
        <f>IF(U204&gt;=AN204-0.01,1,0)</f>
        <v/>
      </c>
      <c r="AV204">
        <f>IF(V204&gt;=AO204-0.01,1,0)</f>
        <v/>
      </c>
      <c r="AW204">
        <f>IF(W204&gt;=AP204-0.01,1,0)</f>
        <v/>
      </c>
      <c r="AX204">
        <f>AQ204*AR204*AS204*AT204*AU204*AV204*AW204</f>
        <v/>
      </c>
      <c r="AY204">
        <f>Assumptions!$B$41</f>
        <v/>
      </c>
      <c r="AZ204">
        <f>Assumptions!$B$33</f>
        <v/>
      </c>
      <c r="BA204">
        <f>Assumptions!$B$32</f>
        <v/>
      </c>
      <c r="BB204">
        <f>Assumptions!$B$31</f>
        <v/>
      </c>
      <c r="BC204">
        <f>Assumptions!$B$30</f>
        <v/>
      </c>
      <c r="BD204">
        <f>Assumptions!$B$29</f>
        <v/>
      </c>
      <c r="BE204">
        <f>Assumptions!$B$28</f>
        <v/>
      </c>
      <c r="BF204">
        <f>P204*Assumptions!$B$141</f>
        <v/>
      </c>
      <c r="BG204">
        <f>P204*Assumptions!$B$128</f>
        <v/>
      </c>
      <c r="BH204">
        <f>P204*Assumptions!$B$129</f>
        <v/>
      </c>
      <c r="BI204">
        <f>P204*Assumptions!$B$14</f>
        <v/>
      </c>
      <c r="BJ204">
        <f>P204*Assumptions!$B$13</f>
        <v/>
      </c>
      <c r="BK204">
        <f>P204*Assumptions!$B$12</f>
        <v/>
      </c>
      <c r="BL204">
        <f>P204*Assumptions!$B$11</f>
        <v/>
      </c>
    </row>
    <row r="205">
      <c r="A205" t="inlineStr">
        <is>
          <t>1200M</t>
        </is>
      </c>
      <c r="B205">
        <f>Assumptions!$B$59</f>
        <v/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>
        <f>(1-C205)*Assumptions!$B$41+(1-D205)*Assumptions!$B$33+(1-E205)*Assumptions!$B$32+(1-F205)*Assumptions!$B$31+(1-G205)*Assumptions!$B$30+(1-H205)*Assumptions!$B$29+(1-I205)*Assumptions!$B$28</f>
        <v/>
      </c>
      <c r="K205">
        <f>C205*Assumptions!$B$141+D205*Assumptions!$B$128+E205*Assumptions!$B$129+F205*Assumptions!$B$14+G205*Assumptions!$B$13+H205*Assumptions!$B$12+I205*Assumptions!$B$11+Assumptions!$B$133+Assumptions!$B$137+Assumptions!$B$9</f>
        <v/>
      </c>
      <c r="L205">
        <f>B205-J205</f>
        <v/>
      </c>
      <c r="M205">
        <f>IF(K205&gt;0,IF(L205/K205&gt;=Assumptions!$B$37,1,0),0)</f>
        <v/>
      </c>
      <c r="N205">
        <f>K205+M205*Assumptions!$B$153</f>
        <v/>
      </c>
      <c r="O205">
        <f>L205+M205*Assumptions!$B$153*Assumptions!$B$37</f>
        <v/>
      </c>
      <c r="P205">
        <f>IF(N205&gt;0,O205/N205,0)</f>
        <v/>
      </c>
      <c r="Q205">
        <f>IF(C205=1,P205*Assumptions!$B$141,Assumptions!$B$41)</f>
        <v/>
      </c>
      <c r="R205">
        <f>IF(D205=1,P205*Assumptions!$B$128,Assumptions!$B$33)</f>
        <v/>
      </c>
      <c r="S205">
        <f>IF(E205=1,P205*Assumptions!$B$129,Assumptions!$B$32)</f>
        <v/>
      </c>
      <c r="T205">
        <f>IF(F205=1,P205*Assumptions!$B$14,Assumptions!$B$31)</f>
        <v/>
      </c>
      <c r="U205">
        <f>IF(G205=1,P205*Assumptions!$B$13,Assumptions!$B$30)</f>
        <v/>
      </c>
      <c r="V205">
        <f>IF(H205=1,P205*Assumptions!$B$12,Assumptions!$B$29)</f>
        <v/>
      </c>
      <c r="W205">
        <f>IF(I205=1,P205*Assumptions!$B$11,Assumptions!$B$28)</f>
        <v/>
      </c>
      <c r="X205">
        <f>P205*(Assumptions!$B$133+Assumptions!$B$137)</f>
        <v/>
      </c>
      <c r="Y205">
        <f>P205*Assumptions!$B$9</f>
        <v/>
      </c>
      <c r="Z205">
        <f>IF(M205=1,(P205-Assumptions!$B$37)*Assumptions!$B$153,0)</f>
        <v/>
      </c>
      <c r="AA205">
        <f>Q205+R205+S205+T205+U205+V205+W205+X205+Y205+Z205</f>
        <v/>
      </c>
      <c r="AB205" t="n">
        <v>26</v>
      </c>
      <c r="AC205" t="n">
        <v>90</v>
      </c>
      <c r="AD205" t="n">
        <v>58</v>
      </c>
      <c r="AE205" t="n">
        <v>10</v>
      </c>
      <c r="AF205" t="n">
        <v>18</v>
      </c>
      <c r="AG205" t="n">
        <v>30</v>
      </c>
      <c r="AH205" t="n">
        <v>24</v>
      </c>
      <c r="AI205" t="n">
        <v>27</v>
      </c>
      <c r="AJ205">
        <f>INDEX($Q$179:$Q$306,AC205+1)</f>
        <v/>
      </c>
      <c r="AK205">
        <f>INDEX($R$179:$R$306,AD205+1)</f>
        <v/>
      </c>
      <c r="AL205">
        <f>INDEX($S$179:$S$306,AE205+1)</f>
        <v/>
      </c>
      <c r="AM205">
        <f>INDEX($T$179:$T$306,AF205+1)</f>
        <v/>
      </c>
      <c r="AN205">
        <f>INDEX($U$179:$U$306,AG205+1)</f>
        <v/>
      </c>
      <c r="AO205">
        <f>INDEX($V$179:$V$306,AH205+1)</f>
        <v/>
      </c>
      <c r="AP205">
        <f>INDEX($W$179:$W$306,AI205+1)</f>
        <v/>
      </c>
      <c r="AQ205">
        <f>IF(Q205&gt;=AJ205-0.01,1,0)</f>
        <v/>
      </c>
      <c r="AR205">
        <f>IF(R205&gt;=AK205-0.01,1,0)</f>
        <v/>
      </c>
      <c r="AS205">
        <f>IF(S205&gt;=AL205-0.01,1,0)</f>
        <v/>
      </c>
      <c r="AT205">
        <f>IF(T205&gt;=AM205-0.01,1,0)</f>
        <v/>
      </c>
      <c r="AU205">
        <f>IF(U205&gt;=AN205-0.01,1,0)</f>
        <v/>
      </c>
      <c r="AV205">
        <f>IF(V205&gt;=AO205-0.01,1,0)</f>
        <v/>
      </c>
      <c r="AW205">
        <f>IF(W205&gt;=AP205-0.01,1,0)</f>
        <v/>
      </c>
      <c r="AX205">
        <f>AQ205*AR205*AS205*AT205*AU205*AV205*AW205</f>
        <v/>
      </c>
      <c r="AY205">
        <f>Assumptions!$B$41</f>
        <v/>
      </c>
      <c r="AZ205">
        <f>Assumptions!$B$33</f>
        <v/>
      </c>
      <c r="BA205">
        <f>Assumptions!$B$32</f>
        <v/>
      </c>
      <c r="BB205">
        <f>Assumptions!$B$31</f>
        <v/>
      </c>
      <c r="BC205">
        <f>Assumptions!$B$30</f>
        <v/>
      </c>
      <c r="BD205">
        <f>Assumptions!$B$29</f>
        <v/>
      </c>
      <c r="BE205">
        <f>Assumptions!$B$28</f>
        <v/>
      </c>
      <c r="BF205">
        <f>P205*Assumptions!$B$141</f>
        <v/>
      </c>
      <c r="BG205">
        <f>P205*Assumptions!$B$128</f>
        <v/>
      </c>
      <c r="BH205">
        <f>P205*Assumptions!$B$129</f>
        <v/>
      </c>
      <c r="BI205">
        <f>P205*Assumptions!$B$14</f>
        <v/>
      </c>
      <c r="BJ205">
        <f>P205*Assumptions!$B$13</f>
        <v/>
      </c>
      <c r="BK205">
        <f>P205*Assumptions!$B$12</f>
        <v/>
      </c>
      <c r="BL205">
        <f>P205*Assumptions!$B$11</f>
        <v/>
      </c>
    </row>
    <row r="206">
      <c r="A206" t="inlineStr">
        <is>
          <t>1200M</t>
        </is>
      </c>
      <c r="B206">
        <f>Assumptions!$B$59</f>
        <v/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>
        <f>(1-C206)*Assumptions!$B$41+(1-D206)*Assumptions!$B$33+(1-E206)*Assumptions!$B$32+(1-F206)*Assumptions!$B$31+(1-G206)*Assumptions!$B$30+(1-H206)*Assumptions!$B$29+(1-I206)*Assumptions!$B$28</f>
        <v/>
      </c>
      <c r="K206">
        <f>C206*Assumptions!$B$141+D206*Assumptions!$B$128+E206*Assumptions!$B$129+F206*Assumptions!$B$14+G206*Assumptions!$B$13+H206*Assumptions!$B$12+I206*Assumptions!$B$11+Assumptions!$B$133+Assumptions!$B$137+Assumptions!$B$9</f>
        <v/>
      </c>
      <c r="L206">
        <f>B206-J206</f>
        <v/>
      </c>
      <c r="M206">
        <f>IF(K206&gt;0,IF(L206/K206&gt;=Assumptions!$B$37,1,0),0)</f>
        <v/>
      </c>
      <c r="N206">
        <f>K206+M206*Assumptions!$B$153</f>
        <v/>
      </c>
      <c r="O206">
        <f>L206+M206*Assumptions!$B$153*Assumptions!$B$37</f>
        <v/>
      </c>
      <c r="P206">
        <f>IF(N206&gt;0,O206/N206,0)</f>
        <v/>
      </c>
      <c r="Q206">
        <f>IF(C206=1,P206*Assumptions!$B$141,Assumptions!$B$41)</f>
        <v/>
      </c>
      <c r="R206">
        <f>IF(D206=1,P206*Assumptions!$B$128,Assumptions!$B$33)</f>
        <v/>
      </c>
      <c r="S206">
        <f>IF(E206=1,P206*Assumptions!$B$129,Assumptions!$B$32)</f>
        <v/>
      </c>
      <c r="T206">
        <f>IF(F206=1,P206*Assumptions!$B$14,Assumptions!$B$31)</f>
        <v/>
      </c>
      <c r="U206">
        <f>IF(G206=1,P206*Assumptions!$B$13,Assumptions!$B$30)</f>
        <v/>
      </c>
      <c r="V206">
        <f>IF(H206=1,P206*Assumptions!$B$12,Assumptions!$B$29)</f>
        <v/>
      </c>
      <c r="W206">
        <f>IF(I206=1,P206*Assumptions!$B$11,Assumptions!$B$28)</f>
        <v/>
      </c>
      <c r="X206">
        <f>P206*(Assumptions!$B$133+Assumptions!$B$137)</f>
        <v/>
      </c>
      <c r="Y206">
        <f>P206*Assumptions!$B$9</f>
        <v/>
      </c>
      <c r="Z206">
        <f>IF(M206=1,(P206-Assumptions!$B$37)*Assumptions!$B$153,0)</f>
        <v/>
      </c>
      <c r="AA206">
        <f>Q206+R206+S206+T206+U206+V206+W206+X206+Y206+Z206</f>
        <v/>
      </c>
      <c r="AB206" t="n">
        <v>27</v>
      </c>
      <c r="AC206" t="n">
        <v>91</v>
      </c>
      <c r="AD206" t="n">
        <v>59</v>
      </c>
      <c r="AE206" t="n">
        <v>11</v>
      </c>
      <c r="AF206" t="n">
        <v>19</v>
      </c>
      <c r="AG206" t="n">
        <v>31</v>
      </c>
      <c r="AH206" t="n">
        <v>25</v>
      </c>
      <c r="AI206" t="n">
        <v>26</v>
      </c>
      <c r="AJ206">
        <f>INDEX($Q$179:$Q$306,AC206+1)</f>
        <v/>
      </c>
      <c r="AK206">
        <f>INDEX($R$179:$R$306,AD206+1)</f>
        <v/>
      </c>
      <c r="AL206">
        <f>INDEX($S$179:$S$306,AE206+1)</f>
        <v/>
      </c>
      <c r="AM206">
        <f>INDEX($T$179:$T$306,AF206+1)</f>
        <v/>
      </c>
      <c r="AN206">
        <f>INDEX($U$179:$U$306,AG206+1)</f>
        <v/>
      </c>
      <c r="AO206">
        <f>INDEX($V$179:$V$306,AH206+1)</f>
        <v/>
      </c>
      <c r="AP206">
        <f>INDEX($W$179:$W$306,AI206+1)</f>
        <v/>
      </c>
      <c r="AQ206">
        <f>IF(Q206&gt;=AJ206-0.01,1,0)</f>
        <v/>
      </c>
      <c r="AR206">
        <f>IF(R206&gt;=AK206-0.01,1,0)</f>
        <v/>
      </c>
      <c r="AS206">
        <f>IF(S206&gt;=AL206-0.01,1,0)</f>
        <v/>
      </c>
      <c r="AT206">
        <f>IF(T206&gt;=AM206-0.01,1,0)</f>
        <v/>
      </c>
      <c r="AU206">
        <f>IF(U206&gt;=AN206-0.01,1,0)</f>
        <v/>
      </c>
      <c r="AV206">
        <f>IF(V206&gt;=AO206-0.01,1,0)</f>
        <v/>
      </c>
      <c r="AW206">
        <f>IF(W206&gt;=AP206-0.01,1,0)</f>
        <v/>
      </c>
      <c r="AX206">
        <f>AQ206*AR206*AS206*AT206*AU206*AV206*AW206</f>
        <v/>
      </c>
      <c r="AY206">
        <f>Assumptions!$B$41</f>
        <v/>
      </c>
      <c r="AZ206">
        <f>Assumptions!$B$33</f>
        <v/>
      </c>
      <c r="BA206">
        <f>Assumptions!$B$32</f>
        <v/>
      </c>
      <c r="BB206">
        <f>Assumptions!$B$31</f>
        <v/>
      </c>
      <c r="BC206">
        <f>Assumptions!$B$30</f>
        <v/>
      </c>
      <c r="BD206">
        <f>Assumptions!$B$29</f>
        <v/>
      </c>
      <c r="BE206">
        <f>Assumptions!$B$28</f>
        <v/>
      </c>
      <c r="BF206">
        <f>P206*Assumptions!$B$141</f>
        <v/>
      </c>
      <c r="BG206">
        <f>P206*Assumptions!$B$128</f>
        <v/>
      </c>
      <c r="BH206">
        <f>P206*Assumptions!$B$129</f>
        <v/>
      </c>
      <c r="BI206">
        <f>P206*Assumptions!$B$14</f>
        <v/>
      </c>
      <c r="BJ206">
        <f>P206*Assumptions!$B$13</f>
        <v/>
      </c>
      <c r="BK206">
        <f>P206*Assumptions!$B$12</f>
        <v/>
      </c>
      <c r="BL206">
        <f>P206*Assumptions!$B$11</f>
        <v/>
      </c>
    </row>
    <row r="207">
      <c r="A207" t="inlineStr">
        <is>
          <t>1200M</t>
        </is>
      </c>
      <c r="B207">
        <f>Assumptions!$B$59</f>
        <v/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>
        <f>(1-C207)*Assumptions!$B$41+(1-D207)*Assumptions!$B$33+(1-E207)*Assumptions!$B$32+(1-F207)*Assumptions!$B$31+(1-G207)*Assumptions!$B$30+(1-H207)*Assumptions!$B$29+(1-I207)*Assumptions!$B$28</f>
        <v/>
      </c>
      <c r="K207">
        <f>C207*Assumptions!$B$141+D207*Assumptions!$B$128+E207*Assumptions!$B$129+F207*Assumptions!$B$14+G207*Assumptions!$B$13+H207*Assumptions!$B$12+I207*Assumptions!$B$11+Assumptions!$B$133+Assumptions!$B$137+Assumptions!$B$9</f>
        <v/>
      </c>
      <c r="L207">
        <f>B207-J207</f>
        <v/>
      </c>
      <c r="M207">
        <f>IF(K207&gt;0,IF(L207/K207&gt;=Assumptions!$B$37,1,0),0)</f>
        <v/>
      </c>
      <c r="N207">
        <f>K207+M207*Assumptions!$B$153</f>
        <v/>
      </c>
      <c r="O207">
        <f>L207+M207*Assumptions!$B$153*Assumptions!$B$37</f>
        <v/>
      </c>
      <c r="P207">
        <f>IF(N207&gt;0,O207/N207,0)</f>
        <v/>
      </c>
      <c r="Q207">
        <f>IF(C207=1,P207*Assumptions!$B$141,Assumptions!$B$41)</f>
        <v/>
      </c>
      <c r="R207">
        <f>IF(D207=1,P207*Assumptions!$B$128,Assumptions!$B$33)</f>
        <v/>
      </c>
      <c r="S207">
        <f>IF(E207=1,P207*Assumptions!$B$129,Assumptions!$B$32)</f>
        <v/>
      </c>
      <c r="T207">
        <f>IF(F207=1,P207*Assumptions!$B$14,Assumptions!$B$31)</f>
        <v/>
      </c>
      <c r="U207">
        <f>IF(G207=1,P207*Assumptions!$B$13,Assumptions!$B$30)</f>
        <v/>
      </c>
      <c r="V207">
        <f>IF(H207=1,P207*Assumptions!$B$12,Assumptions!$B$29)</f>
        <v/>
      </c>
      <c r="W207">
        <f>IF(I207=1,P207*Assumptions!$B$11,Assumptions!$B$28)</f>
        <v/>
      </c>
      <c r="X207">
        <f>P207*(Assumptions!$B$133+Assumptions!$B$137)</f>
        <v/>
      </c>
      <c r="Y207">
        <f>P207*Assumptions!$B$9</f>
        <v/>
      </c>
      <c r="Z207">
        <f>IF(M207=1,(P207-Assumptions!$B$37)*Assumptions!$B$153,0)</f>
        <v/>
      </c>
      <c r="AA207">
        <f>Q207+R207+S207+T207+U207+V207+W207+X207+Y207+Z207</f>
        <v/>
      </c>
      <c r="AB207" t="n">
        <v>28</v>
      </c>
      <c r="AC207" t="n">
        <v>92</v>
      </c>
      <c r="AD207" t="n">
        <v>60</v>
      </c>
      <c r="AE207" t="n">
        <v>12</v>
      </c>
      <c r="AF207" t="n">
        <v>20</v>
      </c>
      <c r="AG207" t="n">
        <v>24</v>
      </c>
      <c r="AH207" t="n">
        <v>30</v>
      </c>
      <c r="AI207" t="n">
        <v>29</v>
      </c>
      <c r="AJ207">
        <f>INDEX($Q$179:$Q$306,AC207+1)</f>
        <v/>
      </c>
      <c r="AK207">
        <f>INDEX($R$179:$R$306,AD207+1)</f>
        <v/>
      </c>
      <c r="AL207">
        <f>INDEX($S$179:$S$306,AE207+1)</f>
        <v/>
      </c>
      <c r="AM207">
        <f>INDEX($T$179:$T$306,AF207+1)</f>
        <v/>
      </c>
      <c r="AN207">
        <f>INDEX($U$179:$U$306,AG207+1)</f>
        <v/>
      </c>
      <c r="AO207">
        <f>INDEX($V$179:$V$306,AH207+1)</f>
        <v/>
      </c>
      <c r="AP207">
        <f>INDEX($W$179:$W$306,AI207+1)</f>
        <v/>
      </c>
      <c r="AQ207">
        <f>IF(Q207&gt;=AJ207-0.01,1,0)</f>
        <v/>
      </c>
      <c r="AR207">
        <f>IF(R207&gt;=AK207-0.01,1,0)</f>
        <v/>
      </c>
      <c r="AS207">
        <f>IF(S207&gt;=AL207-0.01,1,0)</f>
        <v/>
      </c>
      <c r="AT207">
        <f>IF(T207&gt;=AM207-0.01,1,0)</f>
        <v/>
      </c>
      <c r="AU207">
        <f>IF(U207&gt;=AN207-0.01,1,0)</f>
        <v/>
      </c>
      <c r="AV207">
        <f>IF(V207&gt;=AO207-0.01,1,0)</f>
        <v/>
      </c>
      <c r="AW207">
        <f>IF(W207&gt;=AP207-0.01,1,0)</f>
        <v/>
      </c>
      <c r="AX207">
        <f>AQ207*AR207*AS207*AT207*AU207*AV207*AW207</f>
        <v/>
      </c>
      <c r="AY207">
        <f>Assumptions!$B$41</f>
        <v/>
      </c>
      <c r="AZ207">
        <f>Assumptions!$B$33</f>
        <v/>
      </c>
      <c r="BA207">
        <f>Assumptions!$B$32</f>
        <v/>
      </c>
      <c r="BB207">
        <f>Assumptions!$B$31</f>
        <v/>
      </c>
      <c r="BC207">
        <f>Assumptions!$B$30</f>
        <v/>
      </c>
      <c r="BD207">
        <f>Assumptions!$B$29</f>
        <v/>
      </c>
      <c r="BE207">
        <f>Assumptions!$B$28</f>
        <v/>
      </c>
      <c r="BF207">
        <f>P207*Assumptions!$B$141</f>
        <v/>
      </c>
      <c r="BG207">
        <f>P207*Assumptions!$B$128</f>
        <v/>
      </c>
      <c r="BH207">
        <f>P207*Assumptions!$B$129</f>
        <v/>
      </c>
      <c r="BI207">
        <f>P207*Assumptions!$B$14</f>
        <v/>
      </c>
      <c r="BJ207">
        <f>P207*Assumptions!$B$13</f>
        <v/>
      </c>
      <c r="BK207">
        <f>P207*Assumptions!$B$12</f>
        <v/>
      </c>
      <c r="BL207">
        <f>P207*Assumptions!$B$11</f>
        <v/>
      </c>
    </row>
    <row r="208">
      <c r="A208" t="inlineStr">
        <is>
          <t>1200M</t>
        </is>
      </c>
      <c r="B208">
        <f>Assumptions!$B$59</f>
        <v/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>
        <f>(1-C208)*Assumptions!$B$41+(1-D208)*Assumptions!$B$33+(1-E208)*Assumptions!$B$32+(1-F208)*Assumptions!$B$31+(1-G208)*Assumptions!$B$30+(1-H208)*Assumptions!$B$29+(1-I208)*Assumptions!$B$28</f>
        <v/>
      </c>
      <c r="K208">
        <f>C208*Assumptions!$B$141+D208*Assumptions!$B$128+E208*Assumptions!$B$129+F208*Assumptions!$B$14+G208*Assumptions!$B$13+H208*Assumptions!$B$12+I208*Assumptions!$B$11+Assumptions!$B$133+Assumptions!$B$137+Assumptions!$B$9</f>
        <v/>
      </c>
      <c r="L208">
        <f>B208-J208</f>
        <v/>
      </c>
      <c r="M208">
        <f>IF(K208&gt;0,IF(L208/K208&gt;=Assumptions!$B$37,1,0),0)</f>
        <v/>
      </c>
      <c r="N208">
        <f>K208+M208*Assumptions!$B$153</f>
        <v/>
      </c>
      <c r="O208">
        <f>L208+M208*Assumptions!$B$153*Assumptions!$B$37</f>
        <v/>
      </c>
      <c r="P208">
        <f>IF(N208&gt;0,O208/N208,0)</f>
        <v/>
      </c>
      <c r="Q208">
        <f>IF(C208=1,P208*Assumptions!$B$141,Assumptions!$B$41)</f>
        <v/>
      </c>
      <c r="R208">
        <f>IF(D208=1,P208*Assumptions!$B$128,Assumptions!$B$33)</f>
        <v/>
      </c>
      <c r="S208">
        <f>IF(E208=1,P208*Assumptions!$B$129,Assumptions!$B$32)</f>
        <v/>
      </c>
      <c r="T208">
        <f>IF(F208=1,P208*Assumptions!$B$14,Assumptions!$B$31)</f>
        <v/>
      </c>
      <c r="U208">
        <f>IF(G208=1,P208*Assumptions!$B$13,Assumptions!$B$30)</f>
        <v/>
      </c>
      <c r="V208">
        <f>IF(H208=1,P208*Assumptions!$B$12,Assumptions!$B$29)</f>
        <v/>
      </c>
      <c r="W208">
        <f>IF(I208=1,P208*Assumptions!$B$11,Assumptions!$B$28)</f>
        <v/>
      </c>
      <c r="X208">
        <f>P208*(Assumptions!$B$133+Assumptions!$B$137)</f>
        <v/>
      </c>
      <c r="Y208">
        <f>P208*Assumptions!$B$9</f>
        <v/>
      </c>
      <c r="Z208">
        <f>IF(M208=1,(P208-Assumptions!$B$37)*Assumptions!$B$153,0)</f>
        <v/>
      </c>
      <c r="AA208">
        <f>Q208+R208+S208+T208+U208+V208+W208+X208+Y208+Z208</f>
        <v/>
      </c>
      <c r="AB208" t="n">
        <v>29</v>
      </c>
      <c r="AC208" t="n">
        <v>93</v>
      </c>
      <c r="AD208" t="n">
        <v>61</v>
      </c>
      <c r="AE208" t="n">
        <v>13</v>
      </c>
      <c r="AF208" t="n">
        <v>21</v>
      </c>
      <c r="AG208" t="n">
        <v>25</v>
      </c>
      <c r="AH208" t="n">
        <v>31</v>
      </c>
      <c r="AI208" t="n">
        <v>28</v>
      </c>
      <c r="AJ208">
        <f>INDEX($Q$179:$Q$306,AC208+1)</f>
        <v/>
      </c>
      <c r="AK208">
        <f>INDEX($R$179:$R$306,AD208+1)</f>
        <v/>
      </c>
      <c r="AL208">
        <f>INDEX($S$179:$S$306,AE208+1)</f>
        <v/>
      </c>
      <c r="AM208">
        <f>INDEX($T$179:$T$306,AF208+1)</f>
        <v/>
      </c>
      <c r="AN208">
        <f>INDEX($U$179:$U$306,AG208+1)</f>
        <v/>
      </c>
      <c r="AO208">
        <f>INDEX($V$179:$V$306,AH208+1)</f>
        <v/>
      </c>
      <c r="AP208">
        <f>INDEX($W$179:$W$306,AI208+1)</f>
        <v/>
      </c>
      <c r="AQ208">
        <f>IF(Q208&gt;=AJ208-0.01,1,0)</f>
        <v/>
      </c>
      <c r="AR208">
        <f>IF(R208&gt;=AK208-0.01,1,0)</f>
        <v/>
      </c>
      <c r="AS208">
        <f>IF(S208&gt;=AL208-0.01,1,0)</f>
        <v/>
      </c>
      <c r="AT208">
        <f>IF(T208&gt;=AM208-0.01,1,0)</f>
        <v/>
      </c>
      <c r="AU208">
        <f>IF(U208&gt;=AN208-0.01,1,0)</f>
        <v/>
      </c>
      <c r="AV208">
        <f>IF(V208&gt;=AO208-0.01,1,0)</f>
        <v/>
      </c>
      <c r="AW208">
        <f>IF(W208&gt;=AP208-0.01,1,0)</f>
        <v/>
      </c>
      <c r="AX208">
        <f>AQ208*AR208*AS208*AT208*AU208*AV208*AW208</f>
        <v/>
      </c>
      <c r="AY208">
        <f>Assumptions!$B$41</f>
        <v/>
      </c>
      <c r="AZ208">
        <f>Assumptions!$B$33</f>
        <v/>
      </c>
      <c r="BA208">
        <f>Assumptions!$B$32</f>
        <v/>
      </c>
      <c r="BB208">
        <f>Assumptions!$B$31</f>
        <v/>
      </c>
      <c r="BC208">
        <f>Assumptions!$B$30</f>
        <v/>
      </c>
      <c r="BD208">
        <f>Assumptions!$B$29</f>
        <v/>
      </c>
      <c r="BE208">
        <f>Assumptions!$B$28</f>
        <v/>
      </c>
      <c r="BF208">
        <f>P208*Assumptions!$B$141</f>
        <v/>
      </c>
      <c r="BG208">
        <f>P208*Assumptions!$B$128</f>
        <v/>
      </c>
      <c r="BH208">
        <f>P208*Assumptions!$B$129</f>
        <v/>
      </c>
      <c r="BI208">
        <f>P208*Assumptions!$B$14</f>
        <v/>
      </c>
      <c r="BJ208">
        <f>P208*Assumptions!$B$13</f>
        <v/>
      </c>
      <c r="BK208">
        <f>P208*Assumptions!$B$12</f>
        <v/>
      </c>
      <c r="BL208">
        <f>P208*Assumptions!$B$11</f>
        <v/>
      </c>
    </row>
    <row r="209">
      <c r="A209" t="inlineStr">
        <is>
          <t>1200M</t>
        </is>
      </c>
      <c r="B209">
        <f>Assumptions!$B$59</f>
        <v/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>
        <f>(1-C209)*Assumptions!$B$41+(1-D209)*Assumptions!$B$33+(1-E209)*Assumptions!$B$32+(1-F209)*Assumptions!$B$31+(1-G209)*Assumptions!$B$30+(1-H209)*Assumptions!$B$29+(1-I209)*Assumptions!$B$28</f>
        <v/>
      </c>
      <c r="K209">
        <f>C209*Assumptions!$B$141+D209*Assumptions!$B$128+E209*Assumptions!$B$129+F209*Assumptions!$B$14+G209*Assumptions!$B$13+H209*Assumptions!$B$12+I209*Assumptions!$B$11+Assumptions!$B$133+Assumptions!$B$137+Assumptions!$B$9</f>
        <v/>
      </c>
      <c r="L209">
        <f>B209-J209</f>
        <v/>
      </c>
      <c r="M209">
        <f>IF(K209&gt;0,IF(L209/K209&gt;=Assumptions!$B$37,1,0),0)</f>
        <v/>
      </c>
      <c r="N209">
        <f>K209+M209*Assumptions!$B$153</f>
        <v/>
      </c>
      <c r="O209">
        <f>L209+M209*Assumptions!$B$153*Assumptions!$B$37</f>
        <v/>
      </c>
      <c r="P209">
        <f>IF(N209&gt;0,O209/N209,0)</f>
        <v/>
      </c>
      <c r="Q209">
        <f>IF(C209=1,P209*Assumptions!$B$141,Assumptions!$B$41)</f>
        <v/>
      </c>
      <c r="R209">
        <f>IF(D209=1,P209*Assumptions!$B$128,Assumptions!$B$33)</f>
        <v/>
      </c>
      <c r="S209">
        <f>IF(E209=1,P209*Assumptions!$B$129,Assumptions!$B$32)</f>
        <v/>
      </c>
      <c r="T209">
        <f>IF(F209=1,P209*Assumptions!$B$14,Assumptions!$B$31)</f>
        <v/>
      </c>
      <c r="U209">
        <f>IF(G209=1,P209*Assumptions!$B$13,Assumptions!$B$30)</f>
        <v/>
      </c>
      <c r="V209">
        <f>IF(H209=1,P209*Assumptions!$B$12,Assumptions!$B$29)</f>
        <v/>
      </c>
      <c r="W209">
        <f>IF(I209=1,P209*Assumptions!$B$11,Assumptions!$B$28)</f>
        <v/>
      </c>
      <c r="X209">
        <f>P209*(Assumptions!$B$133+Assumptions!$B$137)</f>
        <v/>
      </c>
      <c r="Y209">
        <f>P209*Assumptions!$B$9</f>
        <v/>
      </c>
      <c r="Z209">
        <f>IF(M209=1,(P209-Assumptions!$B$37)*Assumptions!$B$153,0)</f>
        <v/>
      </c>
      <c r="AA209">
        <f>Q209+R209+S209+T209+U209+V209+W209+X209+Y209+Z209</f>
        <v/>
      </c>
      <c r="AB209" t="n">
        <v>30</v>
      </c>
      <c r="AC209" t="n">
        <v>94</v>
      </c>
      <c r="AD209" t="n">
        <v>62</v>
      </c>
      <c r="AE209" t="n">
        <v>14</v>
      </c>
      <c r="AF209" t="n">
        <v>22</v>
      </c>
      <c r="AG209" t="n">
        <v>26</v>
      </c>
      <c r="AH209" t="n">
        <v>28</v>
      </c>
      <c r="AI209" t="n">
        <v>31</v>
      </c>
      <c r="AJ209">
        <f>INDEX($Q$179:$Q$306,AC209+1)</f>
        <v/>
      </c>
      <c r="AK209">
        <f>INDEX($R$179:$R$306,AD209+1)</f>
        <v/>
      </c>
      <c r="AL209">
        <f>INDEX($S$179:$S$306,AE209+1)</f>
        <v/>
      </c>
      <c r="AM209">
        <f>INDEX($T$179:$T$306,AF209+1)</f>
        <v/>
      </c>
      <c r="AN209">
        <f>INDEX($U$179:$U$306,AG209+1)</f>
        <v/>
      </c>
      <c r="AO209">
        <f>INDEX($V$179:$V$306,AH209+1)</f>
        <v/>
      </c>
      <c r="AP209">
        <f>INDEX($W$179:$W$306,AI209+1)</f>
        <v/>
      </c>
      <c r="AQ209">
        <f>IF(Q209&gt;=AJ209-0.01,1,0)</f>
        <v/>
      </c>
      <c r="AR209">
        <f>IF(R209&gt;=AK209-0.01,1,0)</f>
        <v/>
      </c>
      <c r="AS209">
        <f>IF(S209&gt;=AL209-0.01,1,0)</f>
        <v/>
      </c>
      <c r="AT209">
        <f>IF(T209&gt;=AM209-0.01,1,0)</f>
        <v/>
      </c>
      <c r="AU209">
        <f>IF(U209&gt;=AN209-0.01,1,0)</f>
        <v/>
      </c>
      <c r="AV209">
        <f>IF(V209&gt;=AO209-0.01,1,0)</f>
        <v/>
      </c>
      <c r="AW209">
        <f>IF(W209&gt;=AP209-0.01,1,0)</f>
        <v/>
      </c>
      <c r="AX209">
        <f>AQ209*AR209*AS209*AT209*AU209*AV209*AW209</f>
        <v/>
      </c>
      <c r="AY209">
        <f>Assumptions!$B$41</f>
        <v/>
      </c>
      <c r="AZ209">
        <f>Assumptions!$B$33</f>
        <v/>
      </c>
      <c r="BA209">
        <f>Assumptions!$B$32</f>
        <v/>
      </c>
      <c r="BB209">
        <f>Assumptions!$B$31</f>
        <v/>
      </c>
      <c r="BC209">
        <f>Assumptions!$B$30</f>
        <v/>
      </c>
      <c r="BD209">
        <f>Assumptions!$B$29</f>
        <v/>
      </c>
      <c r="BE209">
        <f>Assumptions!$B$28</f>
        <v/>
      </c>
      <c r="BF209">
        <f>P209*Assumptions!$B$141</f>
        <v/>
      </c>
      <c r="BG209">
        <f>P209*Assumptions!$B$128</f>
        <v/>
      </c>
      <c r="BH209">
        <f>P209*Assumptions!$B$129</f>
        <v/>
      </c>
      <c r="BI209">
        <f>P209*Assumptions!$B$14</f>
        <v/>
      </c>
      <c r="BJ209">
        <f>P209*Assumptions!$B$13</f>
        <v/>
      </c>
      <c r="BK209">
        <f>P209*Assumptions!$B$12</f>
        <v/>
      </c>
      <c r="BL209">
        <f>P209*Assumptions!$B$11</f>
        <v/>
      </c>
    </row>
    <row r="210">
      <c r="A210" t="inlineStr">
        <is>
          <t>1200M</t>
        </is>
      </c>
      <c r="B210">
        <f>Assumptions!$B$59</f>
        <v/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>
        <f>(1-C210)*Assumptions!$B$41+(1-D210)*Assumptions!$B$33+(1-E210)*Assumptions!$B$32+(1-F210)*Assumptions!$B$31+(1-G210)*Assumptions!$B$30+(1-H210)*Assumptions!$B$29+(1-I210)*Assumptions!$B$28</f>
        <v/>
      </c>
      <c r="K210">
        <f>C210*Assumptions!$B$141+D210*Assumptions!$B$128+E210*Assumptions!$B$129+F210*Assumptions!$B$14+G210*Assumptions!$B$13+H210*Assumptions!$B$12+I210*Assumptions!$B$11+Assumptions!$B$133+Assumptions!$B$137+Assumptions!$B$9</f>
        <v/>
      </c>
      <c r="L210">
        <f>B210-J210</f>
        <v/>
      </c>
      <c r="M210">
        <f>IF(K210&gt;0,IF(L210/K210&gt;=Assumptions!$B$37,1,0),0)</f>
        <v/>
      </c>
      <c r="N210">
        <f>K210+M210*Assumptions!$B$153</f>
        <v/>
      </c>
      <c r="O210">
        <f>L210+M210*Assumptions!$B$153*Assumptions!$B$37</f>
        <v/>
      </c>
      <c r="P210">
        <f>IF(N210&gt;0,O210/N210,0)</f>
        <v/>
      </c>
      <c r="Q210">
        <f>IF(C210=1,P210*Assumptions!$B$141,Assumptions!$B$41)</f>
        <v/>
      </c>
      <c r="R210">
        <f>IF(D210=1,P210*Assumptions!$B$128,Assumptions!$B$33)</f>
        <v/>
      </c>
      <c r="S210">
        <f>IF(E210=1,P210*Assumptions!$B$129,Assumptions!$B$32)</f>
        <v/>
      </c>
      <c r="T210">
        <f>IF(F210=1,P210*Assumptions!$B$14,Assumptions!$B$31)</f>
        <v/>
      </c>
      <c r="U210">
        <f>IF(G210=1,P210*Assumptions!$B$13,Assumptions!$B$30)</f>
        <v/>
      </c>
      <c r="V210">
        <f>IF(H210=1,P210*Assumptions!$B$12,Assumptions!$B$29)</f>
        <v/>
      </c>
      <c r="W210">
        <f>IF(I210=1,P210*Assumptions!$B$11,Assumptions!$B$28)</f>
        <v/>
      </c>
      <c r="X210">
        <f>P210*(Assumptions!$B$133+Assumptions!$B$137)</f>
        <v/>
      </c>
      <c r="Y210">
        <f>P210*Assumptions!$B$9</f>
        <v/>
      </c>
      <c r="Z210">
        <f>IF(M210=1,(P210-Assumptions!$B$37)*Assumptions!$B$153,0)</f>
        <v/>
      </c>
      <c r="AA210">
        <f>Q210+R210+S210+T210+U210+V210+W210+X210+Y210+Z210</f>
        <v/>
      </c>
      <c r="AB210" t="n">
        <v>31</v>
      </c>
      <c r="AC210" t="n">
        <v>95</v>
      </c>
      <c r="AD210" t="n">
        <v>63</v>
      </c>
      <c r="AE210" t="n">
        <v>15</v>
      </c>
      <c r="AF210" t="n">
        <v>23</v>
      </c>
      <c r="AG210" t="n">
        <v>27</v>
      </c>
      <c r="AH210" t="n">
        <v>29</v>
      </c>
      <c r="AI210" t="n">
        <v>30</v>
      </c>
      <c r="AJ210">
        <f>INDEX($Q$179:$Q$306,AC210+1)</f>
        <v/>
      </c>
      <c r="AK210">
        <f>INDEX($R$179:$R$306,AD210+1)</f>
        <v/>
      </c>
      <c r="AL210">
        <f>INDEX($S$179:$S$306,AE210+1)</f>
        <v/>
      </c>
      <c r="AM210">
        <f>INDEX($T$179:$T$306,AF210+1)</f>
        <v/>
      </c>
      <c r="AN210">
        <f>INDEX($U$179:$U$306,AG210+1)</f>
        <v/>
      </c>
      <c r="AO210">
        <f>INDEX($V$179:$V$306,AH210+1)</f>
        <v/>
      </c>
      <c r="AP210">
        <f>INDEX($W$179:$W$306,AI210+1)</f>
        <v/>
      </c>
      <c r="AQ210">
        <f>IF(Q210&gt;=AJ210-0.01,1,0)</f>
        <v/>
      </c>
      <c r="AR210">
        <f>IF(R210&gt;=AK210-0.01,1,0)</f>
        <v/>
      </c>
      <c r="AS210">
        <f>IF(S210&gt;=AL210-0.01,1,0)</f>
        <v/>
      </c>
      <c r="AT210">
        <f>IF(T210&gt;=AM210-0.01,1,0)</f>
        <v/>
      </c>
      <c r="AU210">
        <f>IF(U210&gt;=AN210-0.01,1,0)</f>
        <v/>
      </c>
      <c r="AV210">
        <f>IF(V210&gt;=AO210-0.01,1,0)</f>
        <v/>
      </c>
      <c r="AW210">
        <f>IF(W210&gt;=AP210-0.01,1,0)</f>
        <v/>
      </c>
      <c r="AX210">
        <f>AQ210*AR210*AS210*AT210*AU210*AV210*AW210</f>
        <v/>
      </c>
      <c r="AY210">
        <f>Assumptions!$B$41</f>
        <v/>
      </c>
      <c r="AZ210">
        <f>Assumptions!$B$33</f>
        <v/>
      </c>
      <c r="BA210">
        <f>Assumptions!$B$32</f>
        <v/>
      </c>
      <c r="BB210">
        <f>Assumptions!$B$31</f>
        <v/>
      </c>
      <c r="BC210">
        <f>Assumptions!$B$30</f>
        <v/>
      </c>
      <c r="BD210">
        <f>Assumptions!$B$29</f>
        <v/>
      </c>
      <c r="BE210">
        <f>Assumptions!$B$28</f>
        <v/>
      </c>
      <c r="BF210">
        <f>P210*Assumptions!$B$141</f>
        <v/>
      </c>
      <c r="BG210">
        <f>P210*Assumptions!$B$128</f>
        <v/>
      </c>
      <c r="BH210">
        <f>P210*Assumptions!$B$129</f>
        <v/>
      </c>
      <c r="BI210">
        <f>P210*Assumptions!$B$14</f>
        <v/>
      </c>
      <c r="BJ210">
        <f>P210*Assumptions!$B$13</f>
        <v/>
      </c>
      <c r="BK210">
        <f>P210*Assumptions!$B$12</f>
        <v/>
      </c>
      <c r="BL210">
        <f>P210*Assumptions!$B$11</f>
        <v/>
      </c>
    </row>
    <row r="211">
      <c r="A211" t="inlineStr">
        <is>
          <t>1200M</t>
        </is>
      </c>
      <c r="B211">
        <f>Assumptions!$B$59</f>
        <v/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>
        <f>(1-C211)*Assumptions!$B$41+(1-D211)*Assumptions!$B$33+(1-E211)*Assumptions!$B$32+(1-F211)*Assumptions!$B$31+(1-G211)*Assumptions!$B$30+(1-H211)*Assumptions!$B$29+(1-I211)*Assumptions!$B$28</f>
        <v/>
      </c>
      <c r="K211">
        <f>C211*Assumptions!$B$141+D211*Assumptions!$B$128+E211*Assumptions!$B$129+F211*Assumptions!$B$14+G211*Assumptions!$B$13+H211*Assumptions!$B$12+I211*Assumptions!$B$11+Assumptions!$B$133+Assumptions!$B$137+Assumptions!$B$9</f>
        <v/>
      </c>
      <c r="L211">
        <f>B211-J211</f>
        <v/>
      </c>
      <c r="M211">
        <f>IF(K211&gt;0,IF(L211/K211&gt;=Assumptions!$B$37,1,0),0)</f>
        <v/>
      </c>
      <c r="N211">
        <f>K211+M211*Assumptions!$B$153</f>
        <v/>
      </c>
      <c r="O211">
        <f>L211+M211*Assumptions!$B$153*Assumptions!$B$37</f>
        <v/>
      </c>
      <c r="P211">
        <f>IF(N211&gt;0,O211/N211,0)</f>
        <v/>
      </c>
      <c r="Q211">
        <f>IF(C211=1,P211*Assumptions!$B$141,Assumptions!$B$41)</f>
        <v/>
      </c>
      <c r="R211">
        <f>IF(D211=1,P211*Assumptions!$B$128,Assumptions!$B$33)</f>
        <v/>
      </c>
      <c r="S211">
        <f>IF(E211=1,P211*Assumptions!$B$129,Assumptions!$B$32)</f>
        <v/>
      </c>
      <c r="T211">
        <f>IF(F211=1,P211*Assumptions!$B$14,Assumptions!$B$31)</f>
        <v/>
      </c>
      <c r="U211">
        <f>IF(G211=1,P211*Assumptions!$B$13,Assumptions!$B$30)</f>
        <v/>
      </c>
      <c r="V211">
        <f>IF(H211=1,P211*Assumptions!$B$12,Assumptions!$B$29)</f>
        <v/>
      </c>
      <c r="W211">
        <f>IF(I211=1,P211*Assumptions!$B$11,Assumptions!$B$28)</f>
        <v/>
      </c>
      <c r="X211">
        <f>P211*(Assumptions!$B$133+Assumptions!$B$137)</f>
        <v/>
      </c>
      <c r="Y211">
        <f>P211*Assumptions!$B$9</f>
        <v/>
      </c>
      <c r="Z211">
        <f>IF(M211=1,(P211-Assumptions!$B$37)*Assumptions!$B$153,0)</f>
        <v/>
      </c>
      <c r="AA211">
        <f>Q211+R211+S211+T211+U211+V211+W211+X211+Y211+Z211</f>
        <v/>
      </c>
      <c r="AB211" t="n">
        <v>32</v>
      </c>
      <c r="AC211" t="n">
        <v>96</v>
      </c>
      <c r="AD211" t="n">
        <v>0</v>
      </c>
      <c r="AE211" t="n">
        <v>48</v>
      </c>
      <c r="AF211" t="n">
        <v>40</v>
      </c>
      <c r="AG211" t="n">
        <v>36</v>
      </c>
      <c r="AH211" t="n">
        <v>34</v>
      </c>
      <c r="AI211" t="n">
        <v>33</v>
      </c>
      <c r="AJ211">
        <f>INDEX($Q$179:$Q$306,AC211+1)</f>
        <v/>
      </c>
      <c r="AK211">
        <f>INDEX($R$179:$R$306,AD211+1)</f>
        <v/>
      </c>
      <c r="AL211">
        <f>INDEX($S$179:$S$306,AE211+1)</f>
        <v/>
      </c>
      <c r="AM211">
        <f>INDEX($T$179:$T$306,AF211+1)</f>
        <v/>
      </c>
      <c r="AN211">
        <f>INDEX($U$179:$U$306,AG211+1)</f>
        <v/>
      </c>
      <c r="AO211">
        <f>INDEX($V$179:$V$306,AH211+1)</f>
        <v/>
      </c>
      <c r="AP211">
        <f>INDEX($W$179:$W$306,AI211+1)</f>
        <v/>
      </c>
      <c r="AQ211">
        <f>IF(Q211&gt;=AJ211-0.01,1,0)</f>
        <v/>
      </c>
      <c r="AR211">
        <f>IF(R211&gt;=AK211-0.01,1,0)</f>
        <v/>
      </c>
      <c r="AS211">
        <f>IF(S211&gt;=AL211-0.01,1,0)</f>
        <v/>
      </c>
      <c r="AT211">
        <f>IF(T211&gt;=AM211-0.01,1,0)</f>
        <v/>
      </c>
      <c r="AU211">
        <f>IF(U211&gt;=AN211-0.01,1,0)</f>
        <v/>
      </c>
      <c r="AV211">
        <f>IF(V211&gt;=AO211-0.01,1,0)</f>
        <v/>
      </c>
      <c r="AW211">
        <f>IF(W211&gt;=AP211-0.01,1,0)</f>
        <v/>
      </c>
      <c r="AX211">
        <f>AQ211*AR211*AS211*AT211*AU211*AV211*AW211</f>
        <v/>
      </c>
      <c r="AY211">
        <f>Assumptions!$B$41</f>
        <v/>
      </c>
      <c r="AZ211">
        <f>Assumptions!$B$33</f>
        <v/>
      </c>
      <c r="BA211">
        <f>Assumptions!$B$32</f>
        <v/>
      </c>
      <c r="BB211">
        <f>Assumptions!$B$31</f>
        <v/>
      </c>
      <c r="BC211">
        <f>Assumptions!$B$30</f>
        <v/>
      </c>
      <c r="BD211">
        <f>Assumptions!$B$29</f>
        <v/>
      </c>
      <c r="BE211">
        <f>Assumptions!$B$28</f>
        <v/>
      </c>
      <c r="BF211">
        <f>P211*Assumptions!$B$141</f>
        <v/>
      </c>
      <c r="BG211">
        <f>P211*Assumptions!$B$128</f>
        <v/>
      </c>
      <c r="BH211">
        <f>P211*Assumptions!$B$129</f>
        <v/>
      </c>
      <c r="BI211">
        <f>P211*Assumptions!$B$14</f>
        <v/>
      </c>
      <c r="BJ211">
        <f>P211*Assumptions!$B$13</f>
        <v/>
      </c>
      <c r="BK211">
        <f>P211*Assumptions!$B$12</f>
        <v/>
      </c>
      <c r="BL211">
        <f>P211*Assumptions!$B$11</f>
        <v/>
      </c>
    </row>
    <row r="212">
      <c r="A212" t="inlineStr">
        <is>
          <t>1200M</t>
        </is>
      </c>
      <c r="B212">
        <f>Assumptions!$B$59</f>
        <v/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>
        <f>(1-C212)*Assumptions!$B$41+(1-D212)*Assumptions!$B$33+(1-E212)*Assumptions!$B$32+(1-F212)*Assumptions!$B$31+(1-G212)*Assumptions!$B$30+(1-H212)*Assumptions!$B$29+(1-I212)*Assumptions!$B$28</f>
        <v/>
      </c>
      <c r="K212">
        <f>C212*Assumptions!$B$141+D212*Assumptions!$B$128+E212*Assumptions!$B$129+F212*Assumptions!$B$14+G212*Assumptions!$B$13+H212*Assumptions!$B$12+I212*Assumptions!$B$11+Assumptions!$B$133+Assumptions!$B$137+Assumptions!$B$9</f>
        <v/>
      </c>
      <c r="L212">
        <f>B212-J212</f>
        <v/>
      </c>
      <c r="M212">
        <f>IF(K212&gt;0,IF(L212/K212&gt;=Assumptions!$B$37,1,0),0)</f>
        <v/>
      </c>
      <c r="N212">
        <f>K212+M212*Assumptions!$B$153</f>
        <v/>
      </c>
      <c r="O212">
        <f>L212+M212*Assumptions!$B$153*Assumptions!$B$37</f>
        <v/>
      </c>
      <c r="P212">
        <f>IF(N212&gt;0,O212/N212,0)</f>
        <v/>
      </c>
      <c r="Q212">
        <f>IF(C212=1,P212*Assumptions!$B$141,Assumptions!$B$41)</f>
        <v/>
      </c>
      <c r="R212">
        <f>IF(D212=1,P212*Assumptions!$B$128,Assumptions!$B$33)</f>
        <v/>
      </c>
      <c r="S212">
        <f>IF(E212=1,P212*Assumptions!$B$129,Assumptions!$B$32)</f>
        <v/>
      </c>
      <c r="T212">
        <f>IF(F212=1,P212*Assumptions!$B$14,Assumptions!$B$31)</f>
        <v/>
      </c>
      <c r="U212">
        <f>IF(G212=1,P212*Assumptions!$B$13,Assumptions!$B$30)</f>
        <v/>
      </c>
      <c r="V212">
        <f>IF(H212=1,P212*Assumptions!$B$12,Assumptions!$B$29)</f>
        <v/>
      </c>
      <c r="W212">
        <f>IF(I212=1,P212*Assumptions!$B$11,Assumptions!$B$28)</f>
        <v/>
      </c>
      <c r="X212">
        <f>P212*(Assumptions!$B$133+Assumptions!$B$137)</f>
        <v/>
      </c>
      <c r="Y212">
        <f>P212*Assumptions!$B$9</f>
        <v/>
      </c>
      <c r="Z212">
        <f>IF(M212=1,(P212-Assumptions!$B$37)*Assumptions!$B$153,0)</f>
        <v/>
      </c>
      <c r="AA212">
        <f>Q212+R212+S212+T212+U212+V212+W212+X212+Y212+Z212</f>
        <v/>
      </c>
      <c r="AB212" t="n">
        <v>33</v>
      </c>
      <c r="AC212" t="n">
        <v>97</v>
      </c>
      <c r="AD212" t="n">
        <v>1</v>
      </c>
      <c r="AE212" t="n">
        <v>49</v>
      </c>
      <c r="AF212" t="n">
        <v>41</v>
      </c>
      <c r="AG212" t="n">
        <v>37</v>
      </c>
      <c r="AH212" t="n">
        <v>35</v>
      </c>
      <c r="AI212" t="n">
        <v>32</v>
      </c>
      <c r="AJ212">
        <f>INDEX($Q$179:$Q$306,AC212+1)</f>
        <v/>
      </c>
      <c r="AK212">
        <f>INDEX($R$179:$R$306,AD212+1)</f>
        <v/>
      </c>
      <c r="AL212">
        <f>INDEX($S$179:$S$306,AE212+1)</f>
        <v/>
      </c>
      <c r="AM212">
        <f>INDEX($T$179:$T$306,AF212+1)</f>
        <v/>
      </c>
      <c r="AN212">
        <f>INDEX($U$179:$U$306,AG212+1)</f>
        <v/>
      </c>
      <c r="AO212">
        <f>INDEX($V$179:$V$306,AH212+1)</f>
        <v/>
      </c>
      <c r="AP212">
        <f>INDEX($W$179:$W$306,AI212+1)</f>
        <v/>
      </c>
      <c r="AQ212">
        <f>IF(Q212&gt;=AJ212-0.01,1,0)</f>
        <v/>
      </c>
      <c r="AR212">
        <f>IF(R212&gt;=AK212-0.01,1,0)</f>
        <v/>
      </c>
      <c r="AS212">
        <f>IF(S212&gt;=AL212-0.01,1,0)</f>
        <v/>
      </c>
      <c r="AT212">
        <f>IF(T212&gt;=AM212-0.01,1,0)</f>
        <v/>
      </c>
      <c r="AU212">
        <f>IF(U212&gt;=AN212-0.01,1,0)</f>
        <v/>
      </c>
      <c r="AV212">
        <f>IF(V212&gt;=AO212-0.01,1,0)</f>
        <v/>
      </c>
      <c r="AW212">
        <f>IF(W212&gt;=AP212-0.01,1,0)</f>
        <v/>
      </c>
      <c r="AX212">
        <f>AQ212*AR212*AS212*AT212*AU212*AV212*AW212</f>
        <v/>
      </c>
      <c r="AY212">
        <f>Assumptions!$B$41</f>
        <v/>
      </c>
      <c r="AZ212">
        <f>Assumptions!$B$33</f>
        <v/>
      </c>
      <c r="BA212">
        <f>Assumptions!$B$32</f>
        <v/>
      </c>
      <c r="BB212">
        <f>Assumptions!$B$31</f>
        <v/>
      </c>
      <c r="BC212">
        <f>Assumptions!$B$30</f>
        <v/>
      </c>
      <c r="BD212">
        <f>Assumptions!$B$29</f>
        <v/>
      </c>
      <c r="BE212">
        <f>Assumptions!$B$28</f>
        <v/>
      </c>
      <c r="BF212">
        <f>P212*Assumptions!$B$141</f>
        <v/>
      </c>
      <c r="BG212">
        <f>P212*Assumptions!$B$128</f>
        <v/>
      </c>
      <c r="BH212">
        <f>P212*Assumptions!$B$129</f>
        <v/>
      </c>
      <c r="BI212">
        <f>P212*Assumptions!$B$14</f>
        <v/>
      </c>
      <c r="BJ212">
        <f>P212*Assumptions!$B$13</f>
        <v/>
      </c>
      <c r="BK212">
        <f>P212*Assumptions!$B$12</f>
        <v/>
      </c>
      <c r="BL212">
        <f>P212*Assumptions!$B$11</f>
        <v/>
      </c>
    </row>
    <row r="213">
      <c r="A213" t="inlineStr">
        <is>
          <t>1200M</t>
        </is>
      </c>
      <c r="B213">
        <f>Assumptions!$B$59</f>
        <v/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>
        <f>(1-C213)*Assumptions!$B$41+(1-D213)*Assumptions!$B$33+(1-E213)*Assumptions!$B$32+(1-F213)*Assumptions!$B$31+(1-G213)*Assumptions!$B$30+(1-H213)*Assumptions!$B$29+(1-I213)*Assumptions!$B$28</f>
        <v/>
      </c>
      <c r="K213">
        <f>C213*Assumptions!$B$141+D213*Assumptions!$B$128+E213*Assumptions!$B$129+F213*Assumptions!$B$14+G213*Assumptions!$B$13+H213*Assumptions!$B$12+I213*Assumptions!$B$11+Assumptions!$B$133+Assumptions!$B$137+Assumptions!$B$9</f>
        <v/>
      </c>
      <c r="L213">
        <f>B213-J213</f>
        <v/>
      </c>
      <c r="M213">
        <f>IF(K213&gt;0,IF(L213/K213&gt;=Assumptions!$B$37,1,0),0)</f>
        <v/>
      </c>
      <c r="N213">
        <f>K213+M213*Assumptions!$B$153</f>
        <v/>
      </c>
      <c r="O213">
        <f>L213+M213*Assumptions!$B$153*Assumptions!$B$37</f>
        <v/>
      </c>
      <c r="P213">
        <f>IF(N213&gt;0,O213/N213,0)</f>
        <v/>
      </c>
      <c r="Q213">
        <f>IF(C213=1,P213*Assumptions!$B$141,Assumptions!$B$41)</f>
        <v/>
      </c>
      <c r="R213">
        <f>IF(D213=1,P213*Assumptions!$B$128,Assumptions!$B$33)</f>
        <v/>
      </c>
      <c r="S213">
        <f>IF(E213=1,P213*Assumptions!$B$129,Assumptions!$B$32)</f>
        <v/>
      </c>
      <c r="T213">
        <f>IF(F213=1,P213*Assumptions!$B$14,Assumptions!$B$31)</f>
        <v/>
      </c>
      <c r="U213">
        <f>IF(G213=1,P213*Assumptions!$B$13,Assumptions!$B$30)</f>
        <v/>
      </c>
      <c r="V213">
        <f>IF(H213=1,P213*Assumptions!$B$12,Assumptions!$B$29)</f>
        <v/>
      </c>
      <c r="W213">
        <f>IF(I213=1,P213*Assumptions!$B$11,Assumptions!$B$28)</f>
        <v/>
      </c>
      <c r="X213">
        <f>P213*(Assumptions!$B$133+Assumptions!$B$137)</f>
        <v/>
      </c>
      <c r="Y213">
        <f>P213*Assumptions!$B$9</f>
        <v/>
      </c>
      <c r="Z213">
        <f>IF(M213=1,(P213-Assumptions!$B$37)*Assumptions!$B$153,0)</f>
        <v/>
      </c>
      <c r="AA213">
        <f>Q213+R213+S213+T213+U213+V213+W213+X213+Y213+Z213</f>
        <v/>
      </c>
      <c r="AB213" t="n">
        <v>34</v>
      </c>
      <c r="AC213" t="n">
        <v>98</v>
      </c>
      <c r="AD213" t="n">
        <v>2</v>
      </c>
      <c r="AE213" t="n">
        <v>50</v>
      </c>
      <c r="AF213" t="n">
        <v>42</v>
      </c>
      <c r="AG213" t="n">
        <v>38</v>
      </c>
      <c r="AH213" t="n">
        <v>32</v>
      </c>
      <c r="AI213" t="n">
        <v>35</v>
      </c>
      <c r="AJ213">
        <f>INDEX($Q$179:$Q$306,AC213+1)</f>
        <v/>
      </c>
      <c r="AK213">
        <f>INDEX($R$179:$R$306,AD213+1)</f>
        <v/>
      </c>
      <c r="AL213">
        <f>INDEX($S$179:$S$306,AE213+1)</f>
        <v/>
      </c>
      <c r="AM213">
        <f>INDEX($T$179:$T$306,AF213+1)</f>
        <v/>
      </c>
      <c r="AN213">
        <f>INDEX($U$179:$U$306,AG213+1)</f>
        <v/>
      </c>
      <c r="AO213">
        <f>INDEX($V$179:$V$306,AH213+1)</f>
        <v/>
      </c>
      <c r="AP213">
        <f>INDEX($W$179:$W$306,AI213+1)</f>
        <v/>
      </c>
      <c r="AQ213">
        <f>IF(Q213&gt;=AJ213-0.01,1,0)</f>
        <v/>
      </c>
      <c r="AR213">
        <f>IF(R213&gt;=AK213-0.01,1,0)</f>
        <v/>
      </c>
      <c r="AS213">
        <f>IF(S213&gt;=AL213-0.01,1,0)</f>
        <v/>
      </c>
      <c r="AT213">
        <f>IF(T213&gt;=AM213-0.01,1,0)</f>
        <v/>
      </c>
      <c r="AU213">
        <f>IF(U213&gt;=AN213-0.01,1,0)</f>
        <v/>
      </c>
      <c r="AV213">
        <f>IF(V213&gt;=AO213-0.01,1,0)</f>
        <v/>
      </c>
      <c r="AW213">
        <f>IF(W213&gt;=AP213-0.01,1,0)</f>
        <v/>
      </c>
      <c r="AX213">
        <f>AQ213*AR213*AS213*AT213*AU213*AV213*AW213</f>
        <v/>
      </c>
      <c r="AY213">
        <f>Assumptions!$B$41</f>
        <v/>
      </c>
      <c r="AZ213">
        <f>Assumptions!$B$33</f>
        <v/>
      </c>
      <c r="BA213">
        <f>Assumptions!$B$32</f>
        <v/>
      </c>
      <c r="BB213">
        <f>Assumptions!$B$31</f>
        <v/>
      </c>
      <c r="BC213">
        <f>Assumptions!$B$30</f>
        <v/>
      </c>
      <c r="BD213">
        <f>Assumptions!$B$29</f>
        <v/>
      </c>
      <c r="BE213">
        <f>Assumptions!$B$28</f>
        <v/>
      </c>
      <c r="BF213">
        <f>P213*Assumptions!$B$141</f>
        <v/>
      </c>
      <c r="BG213">
        <f>P213*Assumptions!$B$128</f>
        <v/>
      </c>
      <c r="BH213">
        <f>P213*Assumptions!$B$129</f>
        <v/>
      </c>
      <c r="BI213">
        <f>P213*Assumptions!$B$14</f>
        <v/>
      </c>
      <c r="BJ213">
        <f>P213*Assumptions!$B$13</f>
        <v/>
      </c>
      <c r="BK213">
        <f>P213*Assumptions!$B$12</f>
        <v/>
      </c>
      <c r="BL213">
        <f>P213*Assumptions!$B$11</f>
        <v/>
      </c>
    </row>
    <row r="214">
      <c r="A214" t="inlineStr">
        <is>
          <t>1200M</t>
        </is>
      </c>
      <c r="B214">
        <f>Assumptions!$B$59</f>
        <v/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>
        <f>(1-C214)*Assumptions!$B$41+(1-D214)*Assumptions!$B$33+(1-E214)*Assumptions!$B$32+(1-F214)*Assumptions!$B$31+(1-G214)*Assumptions!$B$30+(1-H214)*Assumptions!$B$29+(1-I214)*Assumptions!$B$28</f>
        <v/>
      </c>
      <c r="K214">
        <f>C214*Assumptions!$B$141+D214*Assumptions!$B$128+E214*Assumptions!$B$129+F214*Assumptions!$B$14+G214*Assumptions!$B$13+H214*Assumptions!$B$12+I214*Assumptions!$B$11+Assumptions!$B$133+Assumptions!$B$137+Assumptions!$B$9</f>
        <v/>
      </c>
      <c r="L214">
        <f>B214-J214</f>
        <v/>
      </c>
      <c r="M214">
        <f>IF(K214&gt;0,IF(L214/K214&gt;=Assumptions!$B$37,1,0),0)</f>
        <v/>
      </c>
      <c r="N214">
        <f>K214+M214*Assumptions!$B$153</f>
        <v/>
      </c>
      <c r="O214">
        <f>L214+M214*Assumptions!$B$153*Assumptions!$B$37</f>
        <v/>
      </c>
      <c r="P214">
        <f>IF(N214&gt;0,O214/N214,0)</f>
        <v/>
      </c>
      <c r="Q214">
        <f>IF(C214=1,P214*Assumptions!$B$141,Assumptions!$B$41)</f>
        <v/>
      </c>
      <c r="R214">
        <f>IF(D214=1,P214*Assumptions!$B$128,Assumptions!$B$33)</f>
        <v/>
      </c>
      <c r="S214">
        <f>IF(E214=1,P214*Assumptions!$B$129,Assumptions!$B$32)</f>
        <v/>
      </c>
      <c r="T214">
        <f>IF(F214=1,P214*Assumptions!$B$14,Assumptions!$B$31)</f>
        <v/>
      </c>
      <c r="U214">
        <f>IF(G214=1,P214*Assumptions!$B$13,Assumptions!$B$30)</f>
        <v/>
      </c>
      <c r="V214">
        <f>IF(H214=1,P214*Assumptions!$B$12,Assumptions!$B$29)</f>
        <v/>
      </c>
      <c r="W214">
        <f>IF(I214=1,P214*Assumptions!$B$11,Assumptions!$B$28)</f>
        <v/>
      </c>
      <c r="X214">
        <f>P214*(Assumptions!$B$133+Assumptions!$B$137)</f>
        <v/>
      </c>
      <c r="Y214">
        <f>P214*Assumptions!$B$9</f>
        <v/>
      </c>
      <c r="Z214">
        <f>IF(M214=1,(P214-Assumptions!$B$37)*Assumptions!$B$153,0)</f>
        <v/>
      </c>
      <c r="AA214">
        <f>Q214+R214+S214+T214+U214+V214+W214+X214+Y214+Z214</f>
        <v/>
      </c>
      <c r="AB214" t="n">
        <v>35</v>
      </c>
      <c r="AC214" t="n">
        <v>99</v>
      </c>
      <c r="AD214" t="n">
        <v>3</v>
      </c>
      <c r="AE214" t="n">
        <v>51</v>
      </c>
      <c r="AF214" t="n">
        <v>43</v>
      </c>
      <c r="AG214" t="n">
        <v>39</v>
      </c>
      <c r="AH214" t="n">
        <v>33</v>
      </c>
      <c r="AI214" t="n">
        <v>34</v>
      </c>
      <c r="AJ214">
        <f>INDEX($Q$179:$Q$306,AC214+1)</f>
        <v/>
      </c>
      <c r="AK214">
        <f>INDEX($R$179:$R$306,AD214+1)</f>
        <v/>
      </c>
      <c r="AL214">
        <f>INDEX($S$179:$S$306,AE214+1)</f>
        <v/>
      </c>
      <c r="AM214">
        <f>INDEX($T$179:$T$306,AF214+1)</f>
        <v/>
      </c>
      <c r="AN214">
        <f>INDEX($U$179:$U$306,AG214+1)</f>
        <v/>
      </c>
      <c r="AO214">
        <f>INDEX($V$179:$V$306,AH214+1)</f>
        <v/>
      </c>
      <c r="AP214">
        <f>INDEX($W$179:$W$306,AI214+1)</f>
        <v/>
      </c>
      <c r="AQ214">
        <f>IF(Q214&gt;=AJ214-0.01,1,0)</f>
        <v/>
      </c>
      <c r="AR214">
        <f>IF(R214&gt;=AK214-0.01,1,0)</f>
        <v/>
      </c>
      <c r="AS214">
        <f>IF(S214&gt;=AL214-0.01,1,0)</f>
        <v/>
      </c>
      <c r="AT214">
        <f>IF(T214&gt;=AM214-0.01,1,0)</f>
        <v/>
      </c>
      <c r="AU214">
        <f>IF(U214&gt;=AN214-0.01,1,0)</f>
        <v/>
      </c>
      <c r="AV214">
        <f>IF(V214&gt;=AO214-0.01,1,0)</f>
        <v/>
      </c>
      <c r="AW214">
        <f>IF(W214&gt;=AP214-0.01,1,0)</f>
        <v/>
      </c>
      <c r="AX214">
        <f>AQ214*AR214*AS214*AT214*AU214*AV214*AW214</f>
        <v/>
      </c>
      <c r="AY214">
        <f>Assumptions!$B$41</f>
        <v/>
      </c>
      <c r="AZ214">
        <f>Assumptions!$B$33</f>
        <v/>
      </c>
      <c r="BA214">
        <f>Assumptions!$B$32</f>
        <v/>
      </c>
      <c r="BB214">
        <f>Assumptions!$B$31</f>
        <v/>
      </c>
      <c r="BC214">
        <f>Assumptions!$B$30</f>
        <v/>
      </c>
      <c r="BD214">
        <f>Assumptions!$B$29</f>
        <v/>
      </c>
      <c r="BE214">
        <f>Assumptions!$B$28</f>
        <v/>
      </c>
      <c r="BF214">
        <f>P214*Assumptions!$B$141</f>
        <v/>
      </c>
      <c r="BG214">
        <f>P214*Assumptions!$B$128</f>
        <v/>
      </c>
      <c r="BH214">
        <f>P214*Assumptions!$B$129</f>
        <v/>
      </c>
      <c r="BI214">
        <f>P214*Assumptions!$B$14</f>
        <v/>
      </c>
      <c r="BJ214">
        <f>P214*Assumptions!$B$13</f>
        <v/>
      </c>
      <c r="BK214">
        <f>P214*Assumptions!$B$12</f>
        <v/>
      </c>
      <c r="BL214">
        <f>P214*Assumptions!$B$11</f>
        <v/>
      </c>
    </row>
    <row r="215">
      <c r="A215" t="inlineStr">
        <is>
          <t>1200M</t>
        </is>
      </c>
      <c r="B215">
        <f>Assumptions!$B$59</f>
        <v/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>
        <f>(1-C215)*Assumptions!$B$41+(1-D215)*Assumptions!$B$33+(1-E215)*Assumptions!$B$32+(1-F215)*Assumptions!$B$31+(1-G215)*Assumptions!$B$30+(1-H215)*Assumptions!$B$29+(1-I215)*Assumptions!$B$28</f>
        <v/>
      </c>
      <c r="K215">
        <f>C215*Assumptions!$B$141+D215*Assumptions!$B$128+E215*Assumptions!$B$129+F215*Assumptions!$B$14+G215*Assumptions!$B$13+H215*Assumptions!$B$12+I215*Assumptions!$B$11+Assumptions!$B$133+Assumptions!$B$137+Assumptions!$B$9</f>
        <v/>
      </c>
      <c r="L215">
        <f>B215-J215</f>
        <v/>
      </c>
      <c r="M215">
        <f>IF(K215&gt;0,IF(L215/K215&gt;=Assumptions!$B$37,1,0),0)</f>
        <v/>
      </c>
      <c r="N215">
        <f>K215+M215*Assumptions!$B$153</f>
        <v/>
      </c>
      <c r="O215">
        <f>L215+M215*Assumptions!$B$153*Assumptions!$B$37</f>
        <v/>
      </c>
      <c r="P215">
        <f>IF(N215&gt;0,O215/N215,0)</f>
        <v/>
      </c>
      <c r="Q215">
        <f>IF(C215=1,P215*Assumptions!$B$141,Assumptions!$B$41)</f>
        <v/>
      </c>
      <c r="R215">
        <f>IF(D215=1,P215*Assumptions!$B$128,Assumptions!$B$33)</f>
        <v/>
      </c>
      <c r="S215">
        <f>IF(E215=1,P215*Assumptions!$B$129,Assumptions!$B$32)</f>
        <v/>
      </c>
      <c r="T215">
        <f>IF(F215=1,P215*Assumptions!$B$14,Assumptions!$B$31)</f>
        <v/>
      </c>
      <c r="U215">
        <f>IF(G215=1,P215*Assumptions!$B$13,Assumptions!$B$30)</f>
        <v/>
      </c>
      <c r="V215">
        <f>IF(H215=1,P215*Assumptions!$B$12,Assumptions!$B$29)</f>
        <v/>
      </c>
      <c r="W215">
        <f>IF(I215=1,P215*Assumptions!$B$11,Assumptions!$B$28)</f>
        <v/>
      </c>
      <c r="X215">
        <f>P215*(Assumptions!$B$133+Assumptions!$B$137)</f>
        <v/>
      </c>
      <c r="Y215">
        <f>P215*Assumptions!$B$9</f>
        <v/>
      </c>
      <c r="Z215">
        <f>IF(M215=1,(P215-Assumptions!$B$37)*Assumptions!$B$153,0)</f>
        <v/>
      </c>
      <c r="AA215">
        <f>Q215+R215+S215+T215+U215+V215+W215+X215+Y215+Z215</f>
        <v/>
      </c>
      <c r="AB215" t="n">
        <v>36</v>
      </c>
      <c r="AC215" t="n">
        <v>100</v>
      </c>
      <c r="AD215" t="n">
        <v>4</v>
      </c>
      <c r="AE215" t="n">
        <v>52</v>
      </c>
      <c r="AF215" t="n">
        <v>44</v>
      </c>
      <c r="AG215" t="n">
        <v>32</v>
      </c>
      <c r="AH215" t="n">
        <v>38</v>
      </c>
      <c r="AI215" t="n">
        <v>37</v>
      </c>
      <c r="AJ215">
        <f>INDEX($Q$179:$Q$306,AC215+1)</f>
        <v/>
      </c>
      <c r="AK215">
        <f>INDEX($R$179:$R$306,AD215+1)</f>
        <v/>
      </c>
      <c r="AL215">
        <f>INDEX($S$179:$S$306,AE215+1)</f>
        <v/>
      </c>
      <c r="AM215">
        <f>INDEX($T$179:$T$306,AF215+1)</f>
        <v/>
      </c>
      <c r="AN215">
        <f>INDEX($U$179:$U$306,AG215+1)</f>
        <v/>
      </c>
      <c r="AO215">
        <f>INDEX($V$179:$V$306,AH215+1)</f>
        <v/>
      </c>
      <c r="AP215">
        <f>INDEX($W$179:$W$306,AI215+1)</f>
        <v/>
      </c>
      <c r="AQ215">
        <f>IF(Q215&gt;=AJ215-0.01,1,0)</f>
        <v/>
      </c>
      <c r="AR215">
        <f>IF(R215&gt;=AK215-0.01,1,0)</f>
        <v/>
      </c>
      <c r="AS215">
        <f>IF(S215&gt;=AL215-0.01,1,0)</f>
        <v/>
      </c>
      <c r="AT215">
        <f>IF(T215&gt;=AM215-0.01,1,0)</f>
        <v/>
      </c>
      <c r="AU215">
        <f>IF(U215&gt;=AN215-0.01,1,0)</f>
        <v/>
      </c>
      <c r="AV215">
        <f>IF(V215&gt;=AO215-0.01,1,0)</f>
        <v/>
      </c>
      <c r="AW215">
        <f>IF(W215&gt;=AP215-0.01,1,0)</f>
        <v/>
      </c>
      <c r="AX215">
        <f>AQ215*AR215*AS215*AT215*AU215*AV215*AW215</f>
        <v/>
      </c>
      <c r="AY215">
        <f>Assumptions!$B$41</f>
        <v/>
      </c>
      <c r="AZ215">
        <f>Assumptions!$B$33</f>
        <v/>
      </c>
      <c r="BA215">
        <f>Assumptions!$B$32</f>
        <v/>
      </c>
      <c r="BB215">
        <f>Assumptions!$B$31</f>
        <v/>
      </c>
      <c r="BC215">
        <f>Assumptions!$B$30</f>
        <v/>
      </c>
      <c r="BD215">
        <f>Assumptions!$B$29</f>
        <v/>
      </c>
      <c r="BE215">
        <f>Assumptions!$B$28</f>
        <v/>
      </c>
      <c r="BF215">
        <f>P215*Assumptions!$B$141</f>
        <v/>
      </c>
      <c r="BG215">
        <f>P215*Assumptions!$B$128</f>
        <v/>
      </c>
      <c r="BH215">
        <f>P215*Assumptions!$B$129</f>
        <v/>
      </c>
      <c r="BI215">
        <f>P215*Assumptions!$B$14</f>
        <v/>
      </c>
      <c r="BJ215">
        <f>P215*Assumptions!$B$13</f>
        <v/>
      </c>
      <c r="BK215">
        <f>P215*Assumptions!$B$12</f>
        <v/>
      </c>
      <c r="BL215">
        <f>P215*Assumptions!$B$11</f>
        <v/>
      </c>
    </row>
    <row r="216">
      <c r="A216" t="inlineStr">
        <is>
          <t>1200M</t>
        </is>
      </c>
      <c r="B216">
        <f>Assumptions!$B$59</f>
        <v/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>
        <f>(1-C216)*Assumptions!$B$41+(1-D216)*Assumptions!$B$33+(1-E216)*Assumptions!$B$32+(1-F216)*Assumptions!$B$31+(1-G216)*Assumptions!$B$30+(1-H216)*Assumptions!$B$29+(1-I216)*Assumptions!$B$28</f>
        <v/>
      </c>
      <c r="K216">
        <f>C216*Assumptions!$B$141+D216*Assumptions!$B$128+E216*Assumptions!$B$129+F216*Assumptions!$B$14+G216*Assumptions!$B$13+H216*Assumptions!$B$12+I216*Assumptions!$B$11+Assumptions!$B$133+Assumptions!$B$137+Assumptions!$B$9</f>
        <v/>
      </c>
      <c r="L216">
        <f>B216-J216</f>
        <v/>
      </c>
      <c r="M216">
        <f>IF(K216&gt;0,IF(L216/K216&gt;=Assumptions!$B$37,1,0),0)</f>
        <v/>
      </c>
      <c r="N216">
        <f>K216+M216*Assumptions!$B$153</f>
        <v/>
      </c>
      <c r="O216">
        <f>L216+M216*Assumptions!$B$153*Assumptions!$B$37</f>
        <v/>
      </c>
      <c r="P216">
        <f>IF(N216&gt;0,O216/N216,0)</f>
        <v/>
      </c>
      <c r="Q216">
        <f>IF(C216=1,P216*Assumptions!$B$141,Assumptions!$B$41)</f>
        <v/>
      </c>
      <c r="R216">
        <f>IF(D216=1,P216*Assumptions!$B$128,Assumptions!$B$33)</f>
        <v/>
      </c>
      <c r="S216">
        <f>IF(E216=1,P216*Assumptions!$B$129,Assumptions!$B$32)</f>
        <v/>
      </c>
      <c r="T216">
        <f>IF(F216=1,P216*Assumptions!$B$14,Assumptions!$B$31)</f>
        <v/>
      </c>
      <c r="U216">
        <f>IF(G216=1,P216*Assumptions!$B$13,Assumptions!$B$30)</f>
        <v/>
      </c>
      <c r="V216">
        <f>IF(H216=1,P216*Assumptions!$B$12,Assumptions!$B$29)</f>
        <v/>
      </c>
      <c r="W216">
        <f>IF(I216=1,P216*Assumptions!$B$11,Assumptions!$B$28)</f>
        <v/>
      </c>
      <c r="X216">
        <f>P216*(Assumptions!$B$133+Assumptions!$B$137)</f>
        <v/>
      </c>
      <c r="Y216">
        <f>P216*Assumptions!$B$9</f>
        <v/>
      </c>
      <c r="Z216">
        <f>IF(M216=1,(P216-Assumptions!$B$37)*Assumptions!$B$153,0)</f>
        <v/>
      </c>
      <c r="AA216">
        <f>Q216+R216+S216+T216+U216+V216+W216+X216+Y216+Z216</f>
        <v/>
      </c>
      <c r="AB216" t="n">
        <v>37</v>
      </c>
      <c r="AC216" t="n">
        <v>101</v>
      </c>
      <c r="AD216" t="n">
        <v>5</v>
      </c>
      <c r="AE216" t="n">
        <v>53</v>
      </c>
      <c r="AF216" t="n">
        <v>45</v>
      </c>
      <c r="AG216" t="n">
        <v>33</v>
      </c>
      <c r="AH216" t="n">
        <v>39</v>
      </c>
      <c r="AI216" t="n">
        <v>36</v>
      </c>
      <c r="AJ216">
        <f>INDEX($Q$179:$Q$306,AC216+1)</f>
        <v/>
      </c>
      <c r="AK216">
        <f>INDEX($R$179:$R$306,AD216+1)</f>
        <v/>
      </c>
      <c r="AL216">
        <f>INDEX($S$179:$S$306,AE216+1)</f>
        <v/>
      </c>
      <c r="AM216">
        <f>INDEX($T$179:$T$306,AF216+1)</f>
        <v/>
      </c>
      <c r="AN216">
        <f>INDEX($U$179:$U$306,AG216+1)</f>
        <v/>
      </c>
      <c r="AO216">
        <f>INDEX($V$179:$V$306,AH216+1)</f>
        <v/>
      </c>
      <c r="AP216">
        <f>INDEX($W$179:$W$306,AI216+1)</f>
        <v/>
      </c>
      <c r="AQ216">
        <f>IF(Q216&gt;=AJ216-0.01,1,0)</f>
        <v/>
      </c>
      <c r="AR216">
        <f>IF(R216&gt;=AK216-0.01,1,0)</f>
        <v/>
      </c>
      <c r="AS216">
        <f>IF(S216&gt;=AL216-0.01,1,0)</f>
        <v/>
      </c>
      <c r="AT216">
        <f>IF(T216&gt;=AM216-0.01,1,0)</f>
        <v/>
      </c>
      <c r="AU216">
        <f>IF(U216&gt;=AN216-0.01,1,0)</f>
        <v/>
      </c>
      <c r="AV216">
        <f>IF(V216&gt;=AO216-0.01,1,0)</f>
        <v/>
      </c>
      <c r="AW216">
        <f>IF(W216&gt;=AP216-0.01,1,0)</f>
        <v/>
      </c>
      <c r="AX216">
        <f>AQ216*AR216*AS216*AT216*AU216*AV216*AW216</f>
        <v/>
      </c>
      <c r="AY216">
        <f>Assumptions!$B$41</f>
        <v/>
      </c>
      <c r="AZ216">
        <f>Assumptions!$B$33</f>
        <v/>
      </c>
      <c r="BA216">
        <f>Assumptions!$B$32</f>
        <v/>
      </c>
      <c r="BB216">
        <f>Assumptions!$B$31</f>
        <v/>
      </c>
      <c r="BC216">
        <f>Assumptions!$B$30</f>
        <v/>
      </c>
      <c r="BD216">
        <f>Assumptions!$B$29</f>
        <v/>
      </c>
      <c r="BE216">
        <f>Assumptions!$B$28</f>
        <v/>
      </c>
      <c r="BF216">
        <f>P216*Assumptions!$B$141</f>
        <v/>
      </c>
      <c r="BG216">
        <f>P216*Assumptions!$B$128</f>
        <v/>
      </c>
      <c r="BH216">
        <f>P216*Assumptions!$B$129</f>
        <v/>
      </c>
      <c r="BI216">
        <f>P216*Assumptions!$B$14</f>
        <v/>
      </c>
      <c r="BJ216">
        <f>P216*Assumptions!$B$13</f>
        <v/>
      </c>
      <c r="BK216">
        <f>P216*Assumptions!$B$12</f>
        <v/>
      </c>
      <c r="BL216">
        <f>P216*Assumptions!$B$11</f>
        <v/>
      </c>
    </row>
    <row r="217">
      <c r="A217" t="inlineStr">
        <is>
          <t>1200M</t>
        </is>
      </c>
      <c r="B217">
        <f>Assumptions!$B$59</f>
        <v/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>
        <f>(1-C217)*Assumptions!$B$41+(1-D217)*Assumptions!$B$33+(1-E217)*Assumptions!$B$32+(1-F217)*Assumptions!$B$31+(1-G217)*Assumptions!$B$30+(1-H217)*Assumptions!$B$29+(1-I217)*Assumptions!$B$28</f>
        <v/>
      </c>
      <c r="K217">
        <f>C217*Assumptions!$B$141+D217*Assumptions!$B$128+E217*Assumptions!$B$129+F217*Assumptions!$B$14+G217*Assumptions!$B$13+H217*Assumptions!$B$12+I217*Assumptions!$B$11+Assumptions!$B$133+Assumptions!$B$137+Assumptions!$B$9</f>
        <v/>
      </c>
      <c r="L217">
        <f>B217-J217</f>
        <v/>
      </c>
      <c r="M217">
        <f>IF(K217&gt;0,IF(L217/K217&gt;=Assumptions!$B$37,1,0),0)</f>
        <v/>
      </c>
      <c r="N217">
        <f>K217+M217*Assumptions!$B$153</f>
        <v/>
      </c>
      <c r="O217">
        <f>L217+M217*Assumptions!$B$153*Assumptions!$B$37</f>
        <v/>
      </c>
      <c r="P217">
        <f>IF(N217&gt;0,O217/N217,0)</f>
        <v/>
      </c>
      <c r="Q217">
        <f>IF(C217=1,P217*Assumptions!$B$141,Assumptions!$B$41)</f>
        <v/>
      </c>
      <c r="R217">
        <f>IF(D217=1,P217*Assumptions!$B$128,Assumptions!$B$33)</f>
        <v/>
      </c>
      <c r="S217">
        <f>IF(E217=1,P217*Assumptions!$B$129,Assumptions!$B$32)</f>
        <v/>
      </c>
      <c r="T217">
        <f>IF(F217=1,P217*Assumptions!$B$14,Assumptions!$B$31)</f>
        <v/>
      </c>
      <c r="U217">
        <f>IF(G217=1,P217*Assumptions!$B$13,Assumptions!$B$30)</f>
        <v/>
      </c>
      <c r="V217">
        <f>IF(H217=1,P217*Assumptions!$B$12,Assumptions!$B$29)</f>
        <v/>
      </c>
      <c r="W217">
        <f>IF(I217=1,P217*Assumptions!$B$11,Assumptions!$B$28)</f>
        <v/>
      </c>
      <c r="X217">
        <f>P217*(Assumptions!$B$133+Assumptions!$B$137)</f>
        <v/>
      </c>
      <c r="Y217">
        <f>P217*Assumptions!$B$9</f>
        <v/>
      </c>
      <c r="Z217">
        <f>IF(M217=1,(P217-Assumptions!$B$37)*Assumptions!$B$153,0)</f>
        <v/>
      </c>
      <c r="AA217">
        <f>Q217+R217+S217+T217+U217+V217+W217+X217+Y217+Z217</f>
        <v/>
      </c>
      <c r="AB217" t="n">
        <v>38</v>
      </c>
      <c r="AC217" t="n">
        <v>102</v>
      </c>
      <c r="AD217" t="n">
        <v>6</v>
      </c>
      <c r="AE217" t="n">
        <v>54</v>
      </c>
      <c r="AF217" t="n">
        <v>46</v>
      </c>
      <c r="AG217" t="n">
        <v>34</v>
      </c>
      <c r="AH217" t="n">
        <v>36</v>
      </c>
      <c r="AI217" t="n">
        <v>39</v>
      </c>
      <c r="AJ217">
        <f>INDEX($Q$179:$Q$306,AC217+1)</f>
        <v/>
      </c>
      <c r="AK217">
        <f>INDEX($R$179:$R$306,AD217+1)</f>
        <v/>
      </c>
      <c r="AL217">
        <f>INDEX($S$179:$S$306,AE217+1)</f>
        <v/>
      </c>
      <c r="AM217">
        <f>INDEX($T$179:$T$306,AF217+1)</f>
        <v/>
      </c>
      <c r="AN217">
        <f>INDEX($U$179:$U$306,AG217+1)</f>
        <v/>
      </c>
      <c r="AO217">
        <f>INDEX($V$179:$V$306,AH217+1)</f>
        <v/>
      </c>
      <c r="AP217">
        <f>INDEX($W$179:$W$306,AI217+1)</f>
        <v/>
      </c>
      <c r="AQ217">
        <f>IF(Q217&gt;=AJ217-0.01,1,0)</f>
        <v/>
      </c>
      <c r="AR217">
        <f>IF(R217&gt;=AK217-0.01,1,0)</f>
        <v/>
      </c>
      <c r="AS217">
        <f>IF(S217&gt;=AL217-0.01,1,0)</f>
        <v/>
      </c>
      <c r="AT217">
        <f>IF(T217&gt;=AM217-0.01,1,0)</f>
        <v/>
      </c>
      <c r="AU217">
        <f>IF(U217&gt;=AN217-0.01,1,0)</f>
        <v/>
      </c>
      <c r="AV217">
        <f>IF(V217&gt;=AO217-0.01,1,0)</f>
        <v/>
      </c>
      <c r="AW217">
        <f>IF(W217&gt;=AP217-0.01,1,0)</f>
        <v/>
      </c>
      <c r="AX217">
        <f>AQ217*AR217*AS217*AT217*AU217*AV217*AW217</f>
        <v/>
      </c>
      <c r="AY217">
        <f>Assumptions!$B$41</f>
        <v/>
      </c>
      <c r="AZ217">
        <f>Assumptions!$B$33</f>
        <v/>
      </c>
      <c r="BA217">
        <f>Assumptions!$B$32</f>
        <v/>
      </c>
      <c r="BB217">
        <f>Assumptions!$B$31</f>
        <v/>
      </c>
      <c r="BC217">
        <f>Assumptions!$B$30</f>
        <v/>
      </c>
      <c r="BD217">
        <f>Assumptions!$B$29</f>
        <v/>
      </c>
      <c r="BE217">
        <f>Assumptions!$B$28</f>
        <v/>
      </c>
      <c r="BF217">
        <f>P217*Assumptions!$B$141</f>
        <v/>
      </c>
      <c r="BG217">
        <f>P217*Assumptions!$B$128</f>
        <v/>
      </c>
      <c r="BH217">
        <f>P217*Assumptions!$B$129</f>
        <v/>
      </c>
      <c r="BI217">
        <f>P217*Assumptions!$B$14</f>
        <v/>
      </c>
      <c r="BJ217">
        <f>P217*Assumptions!$B$13</f>
        <v/>
      </c>
      <c r="BK217">
        <f>P217*Assumptions!$B$12</f>
        <v/>
      </c>
      <c r="BL217">
        <f>P217*Assumptions!$B$11</f>
        <v/>
      </c>
    </row>
    <row r="218">
      <c r="A218" t="inlineStr">
        <is>
          <t>1200M</t>
        </is>
      </c>
      <c r="B218">
        <f>Assumptions!$B$59</f>
        <v/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>
        <f>(1-C218)*Assumptions!$B$41+(1-D218)*Assumptions!$B$33+(1-E218)*Assumptions!$B$32+(1-F218)*Assumptions!$B$31+(1-G218)*Assumptions!$B$30+(1-H218)*Assumptions!$B$29+(1-I218)*Assumptions!$B$28</f>
        <v/>
      </c>
      <c r="K218">
        <f>C218*Assumptions!$B$141+D218*Assumptions!$B$128+E218*Assumptions!$B$129+F218*Assumptions!$B$14+G218*Assumptions!$B$13+H218*Assumptions!$B$12+I218*Assumptions!$B$11+Assumptions!$B$133+Assumptions!$B$137+Assumptions!$B$9</f>
        <v/>
      </c>
      <c r="L218">
        <f>B218-J218</f>
        <v/>
      </c>
      <c r="M218">
        <f>IF(K218&gt;0,IF(L218/K218&gt;=Assumptions!$B$37,1,0),0)</f>
        <v/>
      </c>
      <c r="N218">
        <f>K218+M218*Assumptions!$B$153</f>
        <v/>
      </c>
      <c r="O218">
        <f>L218+M218*Assumptions!$B$153*Assumptions!$B$37</f>
        <v/>
      </c>
      <c r="P218">
        <f>IF(N218&gt;0,O218/N218,0)</f>
        <v/>
      </c>
      <c r="Q218">
        <f>IF(C218=1,P218*Assumptions!$B$141,Assumptions!$B$41)</f>
        <v/>
      </c>
      <c r="R218">
        <f>IF(D218=1,P218*Assumptions!$B$128,Assumptions!$B$33)</f>
        <v/>
      </c>
      <c r="S218">
        <f>IF(E218=1,P218*Assumptions!$B$129,Assumptions!$B$32)</f>
        <v/>
      </c>
      <c r="T218">
        <f>IF(F218=1,P218*Assumptions!$B$14,Assumptions!$B$31)</f>
        <v/>
      </c>
      <c r="U218">
        <f>IF(G218=1,P218*Assumptions!$B$13,Assumptions!$B$30)</f>
        <v/>
      </c>
      <c r="V218">
        <f>IF(H218=1,P218*Assumptions!$B$12,Assumptions!$B$29)</f>
        <v/>
      </c>
      <c r="W218">
        <f>IF(I218=1,P218*Assumptions!$B$11,Assumptions!$B$28)</f>
        <v/>
      </c>
      <c r="X218">
        <f>P218*(Assumptions!$B$133+Assumptions!$B$137)</f>
        <v/>
      </c>
      <c r="Y218">
        <f>P218*Assumptions!$B$9</f>
        <v/>
      </c>
      <c r="Z218">
        <f>IF(M218=1,(P218-Assumptions!$B$37)*Assumptions!$B$153,0)</f>
        <v/>
      </c>
      <c r="AA218">
        <f>Q218+R218+S218+T218+U218+V218+W218+X218+Y218+Z218</f>
        <v/>
      </c>
      <c r="AB218" t="n">
        <v>39</v>
      </c>
      <c r="AC218" t="n">
        <v>103</v>
      </c>
      <c r="AD218" t="n">
        <v>7</v>
      </c>
      <c r="AE218" t="n">
        <v>55</v>
      </c>
      <c r="AF218" t="n">
        <v>47</v>
      </c>
      <c r="AG218" t="n">
        <v>35</v>
      </c>
      <c r="AH218" t="n">
        <v>37</v>
      </c>
      <c r="AI218" t="n">
        <v>38</v>
      </c>
      <c r="AJ218">
        <f>INDEX($Q$179:$Q$306,AC218+1)</f>
        <v/>
      </c>
      <c r="AK218">
        <f>INDEX($R$179:$R$306,AD218+1)</f>
        <v/>
      </c>
      <c r="AL218">
        <f>INDEX($S$179:$S$306,AE218+1)</f>
        <v/>
      </c>
      <c r="AM218">
        <f>INDEX($T$179:$T$306,AF218+1)</f>
        <v/>
      </c>
      <c r="AN218">
        <f>INDEX($U$179:$U$306,AG218+1)</f>
        <v/>
      </c>
      <c r="AO218">
        <f>INDEX($V$179:$V$306,AH218+1)</f>
        <v/>
      </c>
      <c r="AP218">
        <f>INDEX($W$179:$W$306,AI218+1)</f>
        <v/>
      </c>
      <c r="AQ218">
        <f>IF(Q218&gt;=AJ218-0.01,1,0)</f>
        <v/>
      </c>
      <c r="AR218">
        <f>IF(R218&gt;=AK218-0.01,1,0)</f>
        <v/>
      </c>
      <c r="AS218">
        <f>IF(S218&gt;=AL218-0.01,1,0)</f>
        <v/>
      </c>
      <c r="AT218">
        <f>IF(T218&gt;=AM218-0.01,1,0)</f>
        <v/>
      </c>
      <c r="AU218">
        <f>IF(U218&gt;=AN218-0.01,1,0)</f>
        <v/>
      </c>
      <c r="AV218">
        <f>IF(V218&gt;=AO218-0.01,1,0)</f>
        <v/>
      </c>
      <c r="AW218">
        <f>IF(W218&gt;=AP218-0.01,1,0)</f>
        <v/>
      </c>
      <c r="AX218">
        <f>AQ218*AR218*AS218*AT218*AU218*AV218*AW218</f>
        <v/>
      </c>
      <c r="AY218">
        <f>Assumptions!$B$41</f>
        <v/>
      </c>
      <c r="AZ218">
        <f>Assumptions!$B$33</f>
        <v/>
      </c>
      <c r="BA218">
        <f>Assumptions!$B$32</f>
        <v/>
      </c>
      <c r="BB218">
        <f>Assumptions!$B$31</f>
        <v/>
      </c>
      <c r="BC218">
        <f>Assumptions!$B$30</f>
        <v/>
      </c>
      <c r="BD218">
        <f>Assumptions!$B$29</f>
        <v/>
      </c>
      <c r="BE218">
        <f>Assumptions!$B$28</f>
        <v/>
      </c>
      <c r="BF218">
        <f>P218*Assumptions!$B$141</f>
        <v/>
      </c>
      <c r="BG218">
        <f>P218*Assumptions!$B$128</f>
        <v/>
      </c>
      <c r="BH218">
        <f>P218*Assumptions!$B$129</f>
        <v/>
      </c>
      <c r="BI218">
        <f>P218*Assumptions!$B$14</f>
        <v/>
      </c>
      <c r="BJ218">
        <f>P218*Assumptions!$B$13</f>
        <v/>
      </c>
      <c r="BK218">
        <f>P218*Assumptions!$B$12</f>
        <v/>
      </c>
      <c r="BL218">
        <f>P218*Assumptions!$B$11</f>
        <v/>
      </c>
    </row>
    <row r="219">
      <c r="A219" t="inlineStr">
        <is>
          <t>1200M</t>
        </is>
      </c>
      <c r="B219">
        <f>Assumptions!$B$59</f>
        <v/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>
        <f>(1-C219)*Assumptions!$B$41+(1-D219)*Assumptions!$B$33+(1-E219)*Assumptions!$B$32+(1-F219)*Assumptions!$B$31+(1-G219)*Assumptions!$B$30+(1-H219)*Assumptions!$B$29+(1-I219)*Assumptions!$B$28</f>
        <v/>
      </c>
      <c r="K219">
        <f>C219*Assumptions!$B$141+D219*Assumptions!$B$128+E219*Assumptions!$B$129+F219*Assumptions!$B$14+G219*Assumptions!$B$13+H219*Assumptions!$B$12+I219*Assumptions!$B$11+Assumptions!$B$133+Assumptions!$B$137+Assumptions!$B$9</f>
        <v/>
      </c>
      <c r="L219">
        <f>B219-J219</f>
        <v/>
      </c>
      <c r="M219">
        <f>IF(K219&gt;0,IF(L219/K219&gt;=Assumptions!$B$37,1,0),0)</f>
        <v/>
      </c>
      <c r="N219">
        <f>K219+M219*Assumptions!$B$153</f>
        <v/>
      </c>
      <c r="O219">
        <f>L219+M219*Assumptions!$B$153*Assumptions!$B$37</f>
        <v/>
      </c>
      <c r="P219">
        <f>IF(N219&gt;0,O219/N219,0)</f>
        <v/>
      </c>
      <c r="Q219">
        <f>IF(C219=1,P219*Assumptions!$B$141,Assumptions!$B$41)</f>
        <v/>
      </c>
      <c r="R219">
        <f>IF(D219=1,P219*Assumptions!$B$128,Assumptions!$B$33)</f>
        <v/>
      </c>
      <c r="S219">
        <f>IF(E219=1,P219*Assumptions!$B$129,Assumptions!$B$32)</f>
        <v/>
      </c>
      <c r="T219">
        <f>IF(F219=1,P219*Assumptions!$B$14,Assumptions!$B$31)</f>
        <v/>
      </c>
      <c r="U219">
        <f>IF(G219=1,P219*Assumptions!$B$13,Assumptions!$B$30)</f>
        <v/>
      </c>
      <c r="V219">
        <f>IF(H219=1,P219*Assumptions!$B$12,Assumptions!$B$29)</f>
        <v/>
      </c>
      <c r="W219">
        <f>IF(I219=1,P219*Assumptions!$B$11,Assumptions!$B$28)</f>
        <v/>
      </c>
      <c r="X219">
        <f>P219*(Assumptions!$B$133+Assumptions!$B$137)</f>
        <v/>
      </c>
      <c r="Y219">
        <f>P219*Assumptions!$B$9</f>
        <v/>
      </c>
      <c r="Z219">
        <f>IF(M219=1,(P219-Assumptions!$B$37)*Assumptions!$B$153,0)</f>
        <v/>
      </c>
      <c r="AA219">
        <f>Q219+R219+S219+T219+U219+V219+W219+X219+Y219+Z219</f>
        <v/>
      </c>
      <c r="AB219" t="n">
        <v>40</v>
      </c>
      <c r="AC219" t="n">
        <v>104</v>
      </c>
      <c r="AD219" t="n">
        <v>8</v>
      </c>
      <c r="AE219" t="n">
        <v>56</v>
      </c>
      <c r="AF219" t="n">
        <v>32</v>
      </c>
      <c r="AG219" t="n">
        <v>44</v>
      </c>
      <c r="AH219" t="n">
        <v>42</v>
      </c>
      <c r="AI219" t="n">
        <v>41</v>
      </c>
      <c r="AJ219">
        <f>INDEX($Q$179:$Q$306,AC219+1)</f>
        <v/>
      </c>
      <c r="AK219">
        <f>INDEX($R$179:$R$306,AD219+1)</f>
        <v/>
      </c>
      <c r="AL219">
        <f>INDEX($S$179:$S$306,AE219+1)</f>
        <v/>
      </c>
      <c r="AM219">
        <f>INDEX($T$179:$T$306,AF219+1)</f>
        <v/>
      </c>
      <c r="AN219">
        <f>INDEX($U$179:$U$306,AG219+1)</f>
        <v/>
      </c>
      <c r="AO219">
        <f>INDEX($V$179:$V$306,AH219+1)</f>
        <v/>
      </c>
      <c r="AP219">
        <f>INDEX($W$179:$W$306,AI219+1)</f>
        <v/>
      </c>
      <c r="AQ219">
        <f>IF(Q219&gt;=AJ219-0.01,1,0)</f>
        <v/>
      </c>
      <c r="AR219">
        <f>IF(R219&gt;=AK219-0.01,1,0)</f>
        <v/>
      </c>
      <c r="AS219">
        <f>IF(S219&gt;=AL219-0.01,1,0)</f>
        <v/>
      </c>
      <c r="AT219">
        <f>IF(T219&gt;=AM219-0.01,1,0)</f>
        <v/>
      </c>
      <c r="AU219">
        <f>IF(U219&gt;=AN219-0.01,1,0)</f>
        <v/>
      </c>
      <c r="AV219">
        <f>IF(V219&gt;=AO219-0.01,1,0)</f>
        <v/>
      </c>
      <c r="AW219">
        <f>IF(W219&gt;=AP219-0.01,1,0)</f>
        <v/>
      </c>
      <c r="AX219">
        <f>AQ219*AR219*AS219*AT219*AU219*AV219*AW219</f>
        <v/>
      </c>
      <c r="AY219">
        <f>Assumptions!$B$41</f>
        <v/>
      </c>
      <c r="AZ219">
        <f>Assumptions!$B$33</f>
        <v/>
      </c>
      <c r="BA219">
        <f>Assumptions!$B$32</f>
        <v/>
      </c>
      <c r="BB219">
        <f>Assumptions!$B$31</f>
        <v/>
      </c>
      <c r="BC219">
        <f>Assumptions!$B$30</f>
        <v/>
      </c>
      <c r="BD219">
        <f>Assumptions!$B$29</f>
        <v/>
      </c>
      <c r="BE219">
        <f>Assumptions!$B$28</f>
        <v/>
      </c>
      <c r="BF219">
        <f>P219*Assumptions!$B$141</f>
        <v/>
      </c>
      <c r="BG219">
        <f>P219*Assumptions!$B$128</f>
        <v/>
      </c>
      <c r="BH219">
        <f>P219*Assumptions!$B$129</f>
        <v/>
      </c>
      <c r="BI219">
        <f>P219*Assumptions!$B$14</f>
        <v/>
      </c>
      <c r="BJ219">
        <f>P219*Assumptions!$B$13</f>
        <v/>
      </c>
      <c r="BK219">
        <f>P219*Assumptions!$B$12</f>
        <v/>
      </c>
      <c r="BL219">
        <f>P219*Assumptions!$B$11</f>
        <v/>
      </c>
    </row>
    <row r="220">
      <c r="A220" t="inlineStr">
        <is>
          <t>1200M</t>
        </is>
      </c>
      <c r="B220">
        <f>Assumptions!$B$59</f>
        <v/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>
        <f>(1-C220)*Assumptions!$B$41+(1-D220)*Assumptions!$B$33+(1-E220)*Assumptions!$B$32+(1-F220)*Assumptions!$B$31+(1-G220)*Assumptions!$B$30+(1-H220)*Assumptions!$B$29+(1-I220)*Assumptions!$B$28</f>
        <v/>
      </c>
      <c r="K220">
        <f>C220*Assumptions!$B$141+D220*Assumptions!$B$128+E220*Assumptions!$B$129+F220*Assumptions!$B$14+G220*Assumptions!$B$13+H220*Assumptions!$B$12+I220*Assumptions!$B$11+Assumptions!$B$133+Assumptions!$B$137+Assumptions!$B$9</f>
        <v/>
      </c>
      <c r="L220">
        <f>B220-J220</f>
        <v/>
      </c>
      <c r="M220">
        <f>IF(K220&gt;0,IF(L220/K220&gt;=Assumptions!$B$37,1,0),0)</f>
        <v/>
      </c>
      <c r="N220">
        <f>K220+M220*Assumptions!$B$153</f>
        <v/>
      </c>
      <c r="O220">
        <f>L220+M220*Assumptions!$B$153*Assumptions!$B$37</f>
        <v/>
      </c>
      <c r="P220">
        <f>IF(N220&gt;0,O220/N220,0)</f>
        <v/>
      </c>
      <c r="Q220">
        <f>IF(C220=1,P220*Assumptions!$B$141,Assumptions!$B$41)</f>
        <v/>
      </c>
      <c r="R220">
        <f>IF(D220=1,P220*Assumptions!$B$128,Assumptions!$B$33)</f>
        <v/>
      </c>
      <c r="S220">
        <f>IF(E220=1,P220*Assumptions!$B$129,Assumptions!$B$32)</f>
        <v/>
      </c>
      <c r="T220">
        <f>IF(F220=1,P220*Assumptions!$B$14,Assumptions!$B$31)</f>
        <v/>
      </c>
      <c r="U220">
        <f>IF(G220=1,P220*Assumptions!$B$13,Assumptions!$B$30)</f>
        <v/>
      </c>
      <c r="V220">
        <f>IF(H220=1,P220*Assumptions!$B$12,Assumptions!$B$29)</f>
        <v/>
      </c>
      <c r="W220">
        <f>IF(I220=1,P220*Assumptions!$B$11,Assumptions!$B$28)</f>
        <v/>
      </c>
      <c r="X220">
        <f>P220*(Assumptions!$B$133+Assumptions!$B$137)</f>
        <v/>
      </c>
      <c r="Y220">
        <f>P220*Assumptions!$B$9</f>
        <v/>
      </c>
      <c r="Z220">
        <f>IF(M220=1,(P220-Assumptions!$B$37)*Assumptions!$B$153,0)</f>
        <v/>
      </c>
      <c r="AA220">
        <f>Q220+R220+S220+T220+U220+V220+W220+X220+Y220+Z220</f>
        <v/>
      </c>
      <c r="AB220" t="n">
        <v>41</v>
      </c>
      <c r="AC220" t="n">
        <v>105</v>
      </c>
      <c r="AD220" t="n">
        <v>9</v>
      </c>
      <c r="AE220" t="n">
        <v>57</v>
      </c>
      <c r="AF220" t="n">
        <v>33</v>
      </c>
      <c r="AG220" t="n">
        <v>45</v>
      </c>
      <c r="AH220" t="n">
        <v>43</v>
      </c>
      <c r="AI220" t="n">
        <v>40</v>
      </c>
      <c r="AJ220">
        <f>INDEX($Q$179:$Q$306,AC220+1)</f>
        <v/>
      </c>
      <c r="AK220">
        <f>INDEX($R$179:$R$306,AD220+1)</f>
        <v/>
      </c>
      <c r="AL220">
        <f>INDEX($S$179:$S$306,AE220+1)</f>
        <v/>
      </c>
      <c r="AM220">
        <f>INDEX($T$179:$T$306,AF220+1)</f>
        <v/>
      </c>
      <c r="AN220">
        <f>INDEX($U$179:$U$306,AG220+1)</f>
        <v/>
      </c>
      <c r="AO220">
        <f>INDEX($V$179:$V$306,AH220+1)</f>
        <v/>
      </c>
      <c r="AP220">
        <f>INDEX($W$179:$W$306,AI220+1)</f>
        <v/>
      </c>
      <c r="AQ220">
        <f>IF(Q220&gt;=AJ220-0.01,1,0)</f>
        <v/>
      </c>
      <c r="AR220">
        <f>IF(R220&gt;=AK220-0.01,1,0)</f>
        <v/>
      </c>
      <c r="AS220">
        <f>IF(S220&gt;=AL220-0.01,1,0)</f>
        <v/>
      </c>
      <c r="AT220">
        <f>IF(T220&gt;=AM220-0.01,1,0)</f>
        <v/>
      </c>
      <c r="AU220">
        <f>IF(U220&gt;=AN220-0.01,1,0)</f>
        <v/>
      </c>
      <c r="AV220">
        <f>IF(V220&gt;=AO220-0.01,1,0)</f>
        <v/>
      </c>
      <c r="AW220">
        <f>IF(W220&gt;=AP220-0.01,1,0)</f>
        <v/>
      </c>
      <c r="AX220">
        <f>AQ220*AR220*AS220*AT220*AU220*AV220*AW220</f>
        <v/>
      </c>
      <c r="AY220">
        <f>Assumptions!$B$41</f>
        <v/>
      </c>
      <c r="AZ220">
        <f>Assumptions!$B$33</f>
        <v/>
      </c>
      <c r="BA220">
        <f>Assumptions!$B$32</f>
        <v/>
      </c>
      <c r="BB220">
        <f>Assumptions!$B$31</f>
        <v/>
      </c>
      <c r="BC220">
        <f>Assumptions!$B$30</f>
        <v/>
      </c>
      <c r="BD220">
        <f>Assumptions!$B$29</f>
        <v/>
      </c>
      <c r="BE220">
        <f>Assumptions!$B$28</f>
        <v/>
      </c>
      <c r="BF220">
        <f>P220*Assumptions!$B$141</f>
        <v/>
      </c>
      <c r="BG220">
        <f>P220*Assumptions!$B$128</f>
        <v/>
      </c>
      <c r="BH220">
        <f>P220*Assumptions!$B$129</f>
        <v/>
      </c>
      <c r="BI220">
        <f>P220*Assumptions!$B$14</f>
        <v/>
      </c>
      <c r="BJ220">
        <f>P220*Assumptions!$B$13</f>
        <v/>
      </c>
      <c r="BK220">
        <f>P220*Assumptions!$B$12</f>
        <v/>
      </c>
      <c r="BL220">
        <f>P220*Assumptions!$B$11</f>
        <v/>
      </c>
    </row>
    <row r="221">
      <c r="A221" t="inlineStr">
        <is>
          <t>1200M</t>
        </is>
      </c>
      <c r="B221">
        <f>Assumptions!$B$59</f>
        <v/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>
        <f>(1-C221)*Assumptions!$B$41+(1-D221)*Assumptions!$B$33+(1-E221)*Assumptions!$B$32+(1-F221)*Assumptions!$B$31+(1-G221)*Assumptions!$B$30+(1-H221)*Assumptions!$B$29+(1-I221)*Assumptions!$B$28</f>
        <v/>
      </c>
      <c r="K221">
        <f>C221*Assumptions!$B$141+D221*Assumptions!$B$128+E221*Assumptions!$B$129+F221*Assumptions!$B$14+G221*Assumptions!$B$13+H221*Assumptions!$B$12+I221*Assumptions!$B$11+Assumptions!$B$133+Assumptions!$B$137+Assumptions!$B$9</f>
        <v/>
      </c>
      <c r="L221">
        <f>B221-J221</f>
        <v/>
      </c>
      <c r="M221">
        <f>IF(K221&gt;0,IF(L221/K221&gt;=Assumptions!$B$37,1,0),0)</f>
        <v/>
      </c>
      <c r="N221">
        <f>K221+M221*Assumptions!$B$153</f>
        <v/>
      </c>
      <c r="O221">
        <f>L221+M221*Assumptions!$B$153*Assumptions!$B$37</f>
        <v/>
      </c>
      <c r="P221">
        <f>IF(N221&gt;0,O221/N221,0)</f>
        <v/>
      </c>
      <c r="Q221">
        <f>IF(C221=1,P221*Assumptions!$B$141,Assumptions!$B$41)</f>
        <v/>
      </c>
      <c r="R221">
        <f>IF(D221=1,P221*Assumptions!$B$128,Assumptions!$B$33)</f>
        <v/>
      </c>
      <c r="S221">
        <f>IF(E221=1,P221*Assumptions!$B$129,Assumptions!$B$32)</f>
        <v/>
      </c>
      <c r="T221">
        <f>IF(F221=1,P221*Assumptions!$B$14,Assumptions!$B$31)</f>
        <v/>
      </c>
      <c r="U221">
        <f>IF(G221=1,P221*Assumptions!$B$13,Assumptions!$B$30)</f>
        <v/>
      </c>
      <c r="V221">
        <f>IF(H221=1,P221*Assumptions!$B$12,Assumptions!$B$29)</f>
        <v/>
      </c>
      <c r="W221">
        <f>IF(I221=1,P221*Assumptions!$B$11,Assumptions!$B$28)</f>
        <v/>
      </c>
      <c r="X221">
        <f>P221*(Assumptions!$B$133+Assumptions!$B$137)</f>
        <v/>
      </c>
      <c r="Y221">
        <f>P221*Assumptions!$B$9</f>
        <v/>
      </c>
      <c r="Z221">
        <f>IF(M221=1,(P221-Assumptions!$B$37)*Assumptions!$B$153,0)</f>
        <v/>
      </c>
      <c r="AA221">
        <f>Q221+R221+S221+T221+U221+V221+W221+X221+Y221+Z221</f>
        <v/>
      </c>
      <c r="AB221" t="n">
        <v>42</v>
      </c>
      <c r="AC221" t="n">
        <v>106</v>
      </c>
      <c r="AD221" t="n">
        <v>10</v>
      </c>
      <c r="AE221" t="n">
        <v>58</v>
      </c>
      <c r="AF221" t="n">
        <v>34</v>
      </c>
      <c r="AG221" t="n">
        <v>46</v>
      </c>
      <c r="AH221" t="n">
        <v>40</v>
      </c>
      <c r="AI221" t="n">
        <v>43</v>
      </c>
      <c r="AJ221">
        <f>INDEX($Q$179:$Q$306,AC221+1)</f>
        <v/>
      </c>
      <c r="AK221">
        <f>INDEX($R$179:$R$306,AD221+1)</f>
        <v/>
      </c>
      <c r="AL221">
        <f>INDEX($S$179:$S$306,AE221+1)</f>
        <v/>
      </c>
      <c r="AM221">
        <f>INDEX($T$179:$T$306,AF221+1)</f>
        <v/>
      </c>
      <c r="AN221">
        <f>INDEX($U$179:$U$306,AG221+1)</f>
        <v/>
      </c>
      <c r="AO221">
        <f>INDEX($V$179:$V$306,AH221+1)</f>
        <v/>
      </c>
      <c r="AP221">
        <f>INDEX($W$179:$W$306,AI221+1)</f>
        <v/>
      </c>
      <c r="AQ221">
        <f>IF(Q221&gt;=AJ221-0.01,1,0)</f>
        <v/>
      </c>
      <c r="AR221">
        <f>IF(R221&gt;=AK221-0.01,1,0)</f>
        <v/>
      </c>
      <c r="AS221">
        <f>IF(S221&gt;=AL221-0.01,1,0)</f>
        <v/>
      </c>
      <c r="AT221">
        <f>IF(T221&gt;=AM221-0.01,1,0)</f>
        <v/>
      </c>
      <c r="AU221">
        <f>IF(U221&gt;=AN221-0.01,1,0)</f>
        <v/>
      </c>
      <c r="AV221">
        <f>IF(V221&gt;=AO221-0.01,1,0)</f>
        <v/>
      </c>
      <c r="AW221">
        <f>IF(W221&gt;=AP221-0.01,1,0)</f>
        <v/>
      </c>
      <c r="AX221">
        <f>AQ221*AR221*AS221*AT221*AU221*AV221*AW221</f>
        <v/>
      </c>
      <c r="AY221">
        <f>Assumptions!$B$41</f>
        <v/>
      </c>
      <c r="AZ221">
        <f>Assumptions!$B$33</f>
        <v/>
      </c>
      <c r="BA221">
        <f>Assumptions!$B$32</f>
        <v/>
      </c>
      <c r="BB221">
        <f>Assumptions!$B$31</f>
        <v/>
      </c>
      <c r="BC221">
        <f>Assumptions!$B$30</f>
        <v/>
      </c>
      <c r="BD221">
        <f>Assumptions!$B$29</f>
        <v/>
      </c>
      <c r="BE221">
        <f>Assumptions!$B$28</f>
        <v/>
      </c>
      <c r="BF221">
        <f>P221*Assumptions!$B$141</f>
        <v/>
      </c>
      <c r="BG221">
        <f>P221*Assumptions!$B$128</f>
        <v/>
      </c>
      <c r="BH221">
        <f>P221*Assumptions!$B$129</f>
        <v/>
      </c>
      <c r="BI221">
        <f>P221*Assumptions!$B$14</f>
        <v/>
      </c>
      <c r="BJ221">
        <f>P221*Assumptions!$B$13</f>
        <v/>
      </c>
      <c r="BK221">
        <f>P221*Assumptions!$B$12</f>
        <v/>
      </c>
      <c r="BL221">
        <f>P221*Assumptions!$B$11</f>
        <v/>
      </c>
    </row>
    <row r="222">
      <c r="A222" t="inlineStr">
        <is>
          <t>1200M</t>
        </is>
      </c>
      <c r="B222">
        <f>Assumptions!$B$59</f>
        <v/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1</v>
      </c>
      <c r="J222">
        <f>(1-C222)*Assumptions!$B$41+(1-D222)*Assumptions!$B$33+(1-E222)*Assumptions!$B$32+(1-F222)*Assumptions!$B$31+(1-G222)*Assumptions!$B$30+(1-H222)*Assumptions!$B$29+(1-I222)*Assumptions!$B$28</f>
        <v/>
      </c>
      <c r="K222">
        <f>C222*Assumptions!$B$141+D222*Assumptions!$B$128+E222*Assumptions!$B$129+F222*Assumptions!$B$14+G222*Assumptions!$B$13+H222*Assumptions!$B$12+I222*Assumptions!$B$11+Assumptions!$B$133+Assumptions!$B$137+Assumptions!$B$9</f>
        <v/>
      </c>
      <c r="L222">
        <f>B222-J222</f>
        <v/>
      </c>
      <c r="M222">
        <f>IF(K222&gt;0,IF(L222/K222&gt;=Assumptions!$B$37,1,0),0)</f>
        <v/>
      </c>
      <c r="N222">
        <f>K222+M222*Assumptions!$B$153</f>
        <v/>
      </c>
      <c r="O222">
        <f>L222+M222*Assumptions!$B$153*Assumptions!$B$37</f>
        <v/>
      </c>
      <c r="P222">
        <f>IF(N222&gt;0,O222/N222,0)</f>
        <v/>
      </c>
      <c r="Q222">
        <f>IF(C222=1,P222*Assumptions!$B$141,Assumptions!$B$41)</f>
        <v/>
      </c>
      <c r="R222">
        <f>IF(D222=1,P222*Assumptions!$B$128,Assumptions!$B$33)</f>
        <v/>
      </c>
      <c r="S222">
        <f>IF(E222=1,P222*Assumptions!$B$129,Assumptions!$B$32)</f>
        <v/>
      </c>
      <c r="T222">
        <f>IF(F222=1,P222*Assumptions!$B$14,Assumptions!$B$31)</f>
        <v/>
      </c>
      <c r="U222">
        <f>IF(G222=1,P222*Assumptions!$B$13,Assumptions!$B$30)</f>
        <v/>
      </c>
      <c r="V222">
        <f>IF(H222=1,P222*Assumptions!$B$12,Assumptions!$B$29)</f>
        <v/>
      </c>
      <c r="W222">
        <f>IF(I222=1,P222*Assumptions!$B$11,Assumptions!$B$28)</f>
        <v/>
      </c>
      <c r="X222">
        <f>P222*(Assumptions!$B$133+Assumptions!$B$137)</f>
        <v/>
      </c>
      <c r="Y222">
        <f>P222*Assumptions!$B$9</f>
        <v/>
      </c>
      <c r="Z222">
        <f>IF(M222=1,(P222-Assumptions!$B$37)*Assumptions!$B$153,0)</f>
        <v/>
      </c>
      <c r="AA222">
        <f>Q222+R222+S222+T222+U222+V222+W222+X222+Y222+Z222</f>
        <v/>
      </c>
      <c r="AB222" t="n">
        <v>43</v>
      </c>
      <c r="AC222" t="n">
        <v>107</v>
      </c>
      <c r="AD222" t="n">
        <v>11</v>
      </c>
      <c r="AE222" t="n">
        <v>59</v>
      </c>
      <c r="AF222" t="n">
        <v>35</v>
      </c>
      <c r="AG222" t="n">
        <v>47</v>
      </c>
      <c r="AH222" t="n">
        <v>41</v>
      </c>
      <c r="AI222" t="n">
        <v>42</v>
      </c>
      <c r="AJ222">
        <f>INDEX($Q$179:$Q$306,AC222+1)</f>
        <v/>
      </c>
      <c r="AK222">
        <f>INDEX($R$179:$R$306,AD222+1)</f>
        <v/>
      </c>
      <c r="AL222">
        <f>INDEX($S$179:$S$306,AE222+1)</f>
        <v/>
      </c>
      <c r="AM222">
        <f>INDEX($T$179:$T$306,AF222+1)</f>
        <v/>
      </c>
      <c r="AN222">
        <f>INDEX($U$179:$U$306,AG222+1)</f>
        <v/>
      </c>
      <c r="AO222">
        <f>INDEX($V$179:$V$306,AH222+1)</f>
        <v/>
      </c>
      <c r="AP222">
        <f>INDEX($W$179:$W$306,AI222+1)</f>
        <v/>
      </c>
      <c r="AQ222">
        <f>IF(Q222&gt;=AJ222-0.01,1,0)</f>
        <v/>
      </c>
      <c r="AR222">
        <f>IF(R222&gt;=AK222-0.01,1,0)</f>
        <v/>
      </c>
      <c r="AS222">
        <f>IF(S222&gt;=AL222-0.01,1,0)</f>
        <v/>
      </c>
      <c r="AT222">
        <f>IF(T222&gt;=AM222-0.01,1,0)</f>
        <v/>
      </c>
      <c r="AU222">
        <f>IF(U222&gt;=AN222-0.01,1,0)</f>
        <v/>
      </c>
      <c r="AV222">
        <f>IF(V222&gt;=AO222-0.01,1,0)</f>
        <v/>
      </c>
      <c r="AW222">
        <f>IF(W222&gt;=AP222-0.01,1,0)</f>
        <v/>
      </c>
      <c r="AX222">
        <f>AQ222*AR222*AS222*AT222*AU222*AV222*AW222</f>
        <v/>
      </c>
      <c r="AY222">
        <f>Assumptions!$B$41</f>
        <v/>
      </c>
      <c r="AZ222">
        <f>Assumptions!$B$33</f>
        <v/>
      </c>
      <c r="BA222">
        <f>Assumptions!$B$32</f>
        <v/>
      </c>
      <c r="BB222">
        <f>Assumptions!$B$31</f>
        <v/>
      </c>
      <c r="BC222">
        <f>Assumptions!$B$30</f>
        <v/>
      </c>
      <c r="BD222">
        <f>Assumptions!$B$29</f>
        <v/>
      </c>
      <c r="BE222">
        <f>Assumptions!$B$28</f>
        <v/>
      </c>
      <c r="BF222">
        <f>P222*Assumptions!$B$141</f>
        <v/>
      </c>
      <c r="BG222">
        <f>P222*Assumptions!$B$128</f>
        <v/>
      </c>
      <c r="BH222">
        <f>P222*Assumptions!$B$129</f>
        <v/>
      </c>
      <c r="BI222">
        <f>P222*Assumptions!$B$14</f>
        <v/>
      </c>
      <c r="BJ222">
        <f>P222*Assumptions!$B$13</f>
        <v/>
      </c>
      <c r="BK222">
        <f>P222*Assumptions!$B$12</f>
        <v/>
      </c>
      <c r="BL222">
        <f>P222*Assumptions!$B$11</f>
        <v/>
      </c>
    </row>
    <row r="223">
      <c r="A223" t="inlineStr">
        <is>
          <t>1200M</t>
        </is>
      </c>
      <c r="B223">
        <f>Assumptions!$B$59</f>
        <v/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>
        <f>(1-C223)*Assumptions!$B$41+(1-D223)*Assumptions!$B$33+(1-E223)*Assumptions!$B$32+(1-F223)*Assumptions!$B$31+(1-G223)*Assumptions!$B$30+(1-H223)*Assumptions!$B$29+(1-I223)*Assumptions!$B$28</f>
        <v/>
      </c>
      <c r="K223">
        <f>C223*Assumptions!$B$141+D223*Assumptions!$B$128+E223*Assumptions!$B$129+F223*Assumptions!$B$14+G223*Assumptions!$B$13+H223*Assumptions!$B$12+I223*Assumptions!$B$11+Assumptions!$B$133+Assumptions!$B$137+Assumptions!$B$9</f>
        <v/>
      </c>
      <c r="L223">
        <f>B223-J223</f>
        <v/>
      </c>
      <c r="M223">
        <f>IF(K223&gt;0,IF(L223/K223&gt;=Assumptions!$B$37,1,0),0)</f>
        <v/>
      </c>
      <c r="N223">
        <f>K223+M223*Assumptions!$B$153</f>
        <v/>
      </c>
      <c r="O223">
        <f>L223+M223*Assumptions!$B$153*Assumptions!$B$37</f>
        <v/>
      </c>
      <c r="P223">
        <f>IF(N223&gt;0,O223/N223,0)</f>
        <v/>
      </c>
      <c r="Q223">
        <f>IF(C223=1,P223*Assumptions!$B$141,Assumptions!$B$41)</f>
        <v/>
      </c>
      <c r="R223">
        <f>IF(D223=1,P223*Assumptions!$B$128,Assumptions!$B$33)</f>
        <v/>
      </c>
      <c r="S223">
        <f>IF(E223=1,P223*Assumptions!$B$129,Assumptions!$B$32)</f>
        <v/>
      </c>
      <c r="T223">
        <f>IF(F223=1,P223*Assumptions!$B$14,Assumptions!$B$31)</f>
        <v/>
      </c>
      <c r="U223">
        <f>IF(G223=1,P223*Assumptions!$B$13,Assumptions!$B$30)</f>
        <v/>
      </c>
      <c r="V223">
        <f>IF(H223=1,P223*Assumptions!$B$12,Assumptions!$B$29)</f>
        <v/>
      </c>
      <c r="W223">
        <f>IF(I223=1,P223*Assumptions!$B$11,Assumptions!$B$28)</f>
        <v/>
      </c>
      <c r="X223">
        <f>P223*(Assumptions!$B$133+Assumptions!$B$137)</f>
        <v/>
      </c>
      <c r="Y223">
        <f>P223*Assumptions!$B$9</f>
        <v/>
      </c>
      <c r="Z223">
        <f>IF(M223=1,(P223-Assumptions!$B$37)*Assumptions!$B$153,0)</f>
        <v/>
      </c>
      <c r="AA223">
        <f>Q223+R223+S223+T223+U223+V223+W223+X223+Y223+Z223</f>
        <v/>
      </c>
      <c r="AB223" t="n">
        <v>44</v>
      </c>
      <c r="AC223" t="n">
        <v>108</v>
      </c>
      <c r="AD223" t="n">
        <v>12</v>
      </c>
      <c r="AE223" t="n">
        <v>60</v>
      </c>
      <c r="AF223" t="n">
        <v>36</v>
      </c>
      <c r="AG223" t="n">
        <v>40</v>
      </c>
      <c r="AH223" t="n">
        <v>46</v>
      </c>
      <c r="AI223" t="n">
        <v>45</v>
      </c>
      <c r="AJ223">
        <f>INDEX($Q$179:$Q$306,AC223+1)</f>
        <v/>
      </c>
      <c r="AK223">
        <f>INDEX($R$179:$R$306,AD223+1)</f>
        <v/>
      </c>
      <c r="AL223">
        <f>INDEX($S$179:$S$306,AE223+1)</f>
        <v/>
      </c>
      <c r="AM223">
        <f>INDEX($T$179:$T$306,AF223+1)</f>
        <v/>
      </c>
      <c r="AN223">
        <f>INDEX($U$179:$U$306,AG223+1)</f>
        <v/>
      </c>
      <c r="AO223">
        <f>INDEX($V$179:$V$306,AH223+1)</f>
        <v/>
      </c>
      <c r="AP223">
        <f>INDEX($W$179:$W$306,AI223+1)</f>
        <v/>
      </c>
      <c r="AQ223">
        <f>IF(Q223&gt;=AJ223-0.01,1,0)</f>
        <v/>
      </c>
      <c r="AR223">
        <f>IF(R223&gt;=AK223-0.01,1,0)</f>
        <v/>
      </c>
      <c r="AS223">
        <f>IF(S223&gt;=AL223-0.01,1,0)</f>
        <v/>
      </c>
      <c r="AT223">
        <f>IF(T223&gt;=AM223-0.01,1,0)</f>
        <v/>
      </c>
      <c r="AU223">
        <f>IF(U223&gt;=AN223-0.01,1,0)</f>
        <v/>
      </c>
      <c r="AV223">
        <f>IF(V223&gt;=AO223-0.01,1,0)</f>
        <v/>
      </c>
      <c r="AW223">
        <f>IF(W223&gt;=AP223-0.01,1,0)</f>
        <v/>
      </c>
      <c r="AX223">
        <f>AQ223*AR223*AS223*AT223*AU223*AV223*AW223</f>
        <v/>
      </c>
      <c r="AY223">
        <f>Assumptions!$B$41</f>
        <v/>
      </c>
      <c r="AZ223">
        <f>Assumptions!$B$33</f>
        <v/>
      </c>
      <c r="BA223">
        <f>Assumptions!$B$32</f>
        <v/>
      </c>
      <c r="BB223">
        <f>Assumptions!$B$31</f>
        <v/>
      </c>
      <c r="BC223">
        <f>Assumptions!$B$30</f>
        <v/>
      </c>
      <c r="BD223">
        <f>Assumptions!$B$29</f>
        <v/>
      </c>
      <c r="BE223">
        <f>Assumptions!$B$28</f>
        <v/>
      </c>
      <c r="BF223">
        <f>P223*Assumptions!$B$141</f>
        <v/>
      </c>
      <c r="BG223">
        <f>P223*Assumptions!$B$128</f>
        <v/>
      </c>
      <c r="BH223">
        <f>P223*Assumptions!$B$129</f>
        <v/>
      </c>
      <c r="BI223">
        <f>P223*Assumptions!$B$14</f>
        <v/>
      </c>
      <c r="BJ223">
        <f>P223*Assumptions!$B$13</f>
        <v/>
      </c>
      <c r="BK223">
        <f>P223*Assumptions!$B$12</f>
        <v/>
      </c>
      <c r="BL223">
        <f>P223*Assumptions!$B$11</f>
        <v/>
      </c>
    </row>
    <row r="224">
      <c r="A224" t="inlineStr">
        <is>
          <t>1200M</t>
        </is>
      </c>
      <c r="B224">
        <f>Assumptions!$B$59</f>
        <v/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>
        <f>(1-C224)*Assumptions!$B$41+(1-D224)*Assumptions!$B$33+(1-E224)*Assumptions!$B$32+(1-F224)*Assumptions!$B$31+(1-G224)*Assumptions!$B$30+(1-H224)*Assumptions!$B$29+(1-I224)*Assumptions!$B$28</f>
        <v/>
      </c>
      <c r="K224">
        <f>C224*Assumptions!$B$141+D224*Assumptions!$B$128+E224*Assumptions!$B$129+F224*Assumptions!$B$14+G224*Assumptions!$B$13+H224*Assumptions!$B$12+I224*Assumptions!$B$11+Assumptions!$B$133+Assumptions!$B$137+Assumptions!$B$9</f>
        <v/>
      </c>
      <c r="L224">
        <f>B224-J224</f>
        <v/>
      </c>
      <c r="M224">
        <f>IF(K224&gt;0,IF(L224/K224&gt;=Assumptions!$B$37,1,0),0)</f>
        <v/>
      </c>
      <c r="N224">
        <f>K224+M224*Assumptions!$B$153</f>
        <v/>
      </c>
      <c r="O224">
        <f>L224+M224*Assumptions!$B$153*Assumptions!$B$37</f>
        <v/>
      </c>
      <c r="P224">
        <f>IF(N224&gt;0,O224/N224,0)</f>
        <v/>
      </c>
      <c r="Q224">
        <f>IF(C224=1,P224*Assumptions!$B$141,Assumptions!$B$41)</f>
        <v/>
      </c>
      <c r="R224">
        <f>IF(D224=1,P224*Assumptions!$B$128,Assumptions!$B$33)</f>
        <v/>
      </c>
      <c r="S224">
        <f>IF(E224=1,P224*Assumptions!$B$129,Assumptions!$B$32)</f>
        <v/>
      </c>
      <c r="T224">
        <f>IF(F224=1,P224*Assumptions!$B$14,Assumptions!$B$31)</f>
        <v/>
      </c>
      <c r="U224">
        <f>IF(G224=1,P224*Assumptions!$B$13,Assumptions!$B$30)</f>
        <v/>
      </c>
      <c r="V224">
        <f>IF(H224=1,P224*Assumptions!$B$12,Assumptions!$B$29)</f>
        <v/>
      </c>
      <c r="W224">
        <f>IF(I224=1,P224*Assumptions!$B$11,Assumptions!$B$28)</f>
        <v/>
      </c>
      <c r="X224">
        <f>P224*(Assumptions!$B$133+Assumptions!$B$137)</f>
        <v/>
      </c>
      <c r="Y224">
        <f>P224*Assumptions!$B$9</f>
        <v/>
      </c>
      <c r="Z224">
        <f>IF(M224=1,(P224-Assumptions!$B$37)*Assumptions!$B$153,0)</f>
        <v/>
      </c>
      <c r="AA224">
        <f>Q224+R224+S224+T224+U224+V224+W224+X224+Y224+Z224</f>
        <v/>
      </c>
      <c r="AB224" t="n">
        <v>45</v>
      </c>
      <c r="AC224" t="n">
        <v>109</v>
      </c>
      <c r="AD224" t="n">
        <v>13</v>
      </c>
      <c r="AE224" t="n">
        <v>61</v>
      </c>
      <c r="AF224" t="n">
        <v>37</v>
      </c>
      <c r="AG224" t="n">
        <v>41</v>
      </c>
      <c r="AH224" t="n">
        <v>47</v>
      </c>
      <c r="AI224" t="n">
        <v>44</v>
      </c>
      <c r="AJ224">
        <f>INDEX($Q$179:$Q$306,AC224+1)</f>
        <v/>
      </c>
      <c r="AK224">
        <f>INDEX($R$179:$R$306,AD224+1)</f>
        <v/>
      </c>
      <c r="AL224">
        <f>INDEX($S$179:$S$306,AE224+1)</f>
        <v/>
      </c>
      <c r="AM224">
        <f>INDEX($T$179:$T$306,AF224+1)</f>
        <v/>
      </c>
      <c r="AN224">
        <f>INDEX($U$179:$U$306,AG224+1)</f>
        <v/>
      </c>
      <c r="AO224">
        <f>INDEX($V$179:$V$306,AH224+1)</f>
        <v/>
      </c>
      <c r="AP224">
        <f>INDEX($W$179:$W$306,AI224+1)</f>
        <v/>
      </c>
      <c r="AQ224">
        <f>IF(Q224&gt;=AJ224-0.01,1,0)</f>
        <v/>
      </c>
      <c r="AR224">
        <f>IF(R224&gt;=AK224-0.01,1,0)</f>
        <v/>
      </c>
      <c r="AS224">
        <f>IF(S224&gt;=AL224-0.01,1,0)</f>
        <v/>
      </c>
      <c r="AT224">
        <f>IF(T224&gt;=AM224-0.01,1,0)</f>
        <v/>
      </c>
      <c r="AU224">
        <f>IF(U224&gt;=AN224-0.01,1,0)</f>
        <v/>
      </c>
      <c r="AV224">
        <f>IF(V224&gt;=AO224-0.01,1,0)</f>
        <v/>
      </c>
      <c r="AW224">
        <f>IF(W224&gt;=AP224-0.01,1,0)</f>
        <v/>
      </c>
      <c r="AX224">
        <f>AQ224*AR224*AS224*AT224*AU224*AV224*AW224</f>
        <v/>
      </c>
      <c r="AY224">
        <f>Assumptions!$B$41</f>
        <v/>
      </c>
      <c r="AZ224">
        <f>Assumptions!$B$33</f>
        <v/>
      </c>
      <c r="BA224">
        <f>Assumptions!$B$32</f>
        <v/>
      </c>
      <c r="BB224">
        <f>Assumptions!$B$31</f>
        <v/>
      </c>
      <c r="BC224">
        <f>Assumptions!$B$30</f>
        <v/>
      </c>
      <c r="BD224">
        <f>Assumptions!$B$29</f>
        <v/>
      </c>
      <c r="BE224">
        <f>Assumptions!$B$28</f>
        <v/>
      </c>
      <c r="BF224">
        <f>P224*Assumptions!$B$141</f>
        <v/>
      </c>
      <c r="BG224">
        <f>P224*Assumptions!$B$128</f>
        <v/>
      </c>
      <c r="BH224">
        <f>P224*Assumptions!$B$129</f>
        <v/>
      </c>
      <c r="BI224">
        <f>P224*Assumptions!$B$14</f>
        <v/>
      </c>
      <c r="BJ224">
        <f>P224*Assumptions!$B$13</f>
        <v/>
      </c>
      <c r="BK224">
        <f>P224*Assumptions!$B$12</f>
        <v/>
      </c>
      <c r="BL224">
        <f>P224*Assumptions!$B$11</f>
        <v/>
      </c>
    </row>
    <row r="225">
      <c r="A225" t="inlineStr">
        <is>
          <t>1200M</t>
        </is>
      </c>
      <c r="B225">
        <f>Assumptions!$B$59</f>
        <v/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0</v>
      </c>
      <c r="J225">
        <f>(1-C225)*Assumptions!$B$41+(1-D225)*Assumptions!$B$33+(1-E225)*Assumptions!$B$32+(1-F225)*Assumptions!$B$31+(1-G225)*Assumptions!$B$30+(1-H225)*Assumptions!$B$29+(1-I225)*Assumptions!$B$28</f>
        <v/>
      </c>
      <c r="K225">
        <f>C225*Assumptions!$B$141+D225*Assumptions!$B$128+E225*Assumptions!$B$129+F225*Assumptions!$B$14+G225*Assumptions!$B$13+H225*Assumptions!$B$12+I225*Assumptions!$B$11+Assumptions!$B$133+Assumptions!$B$137+Assumptions!$B$9</f>
        <v/>
      </c>
      <c r="L225">
        <f>B225-J225</f>
        <v/>
      </c>
      <c r="M225">
        <f>IF(K225&gt;0,IF(L225/K225&gt;=Assumptions!$B$37,1,0),0)</f>
        <v/>
      </c>
      <c r="N225">
        <f>K225+M225*Assumptions!$B$153</f>
        <v/>
      </c>
      <c r="O225">
        <f>L225+M225*Assumptions!$B$153*Assumptions!$B$37</f>
        <v/>
      </c>
      <c r="P225">
        <f>IF(N225&gt;0,O225/N225,0)</f>
        <v/>
      </c>
      <c r="Q225">
        <f>IF(C225=1,P225*Assumptions!$B$141,Assumptions!$B$41)</f>
        <v/>
      </c>
      <c r="R225">
        <f>IF(D225=1,P225*Assumptions!$B$128,Assumptions!$B$33)</f>
        <v/>
      </c>
      <c r="S225">
        <f>IF(E225=1,P225*Assumptions!$B$129,Assumptions!$B$32)</f>
        <v/>
      </c>
      <c r="T225">
        <f>IF(F225=1,P225*Assumptions!$B$14,Assumptions!$B$31)</f>
        <v/>
      </c>
      <c r="U225">
        <f>IF(G225=1,P225*Assumptions!$B$13,Assumptions!$B$30)</f>
        <v/>
      </c>
      <c r="V225">
        <f>IF(H225=1,P225*Assumptions!$B$12,Assumptions!$B$29)</f>
        <v/>
      </c>
      <c r="W225">
        <f>IF(I225=1,P225*Assumptions!$B$11,Assumptions!$B$28)</f>
        <v/>
      </c>
      <c r="X225">
        <f>P225*(Assumptions!$B$133+Assumptions!$B$137)</f>
        <v/>
      </c>
      <c r="Y225">
        <f>P225*Assumptions!$B$9</f>
        <v/>
      </c>
      <c r="Z225">
        <f>IF(M225=1,(P225-Assumptions!$B$37)*Assumptions!$B$153,0)</f>
        <v/>
      </c>
      <c r="AA225">
        <f>Q225+R225+S225+T225+U225+V225+W225+X225+Y225+Z225</f>
        <v/>
      </c>
      <c r="AB225" t="n">
        <v>46</v>
      </c>
      <c r="AC225" t="n">
        <v>110</v>
      </c>
      <c r="AD225" t="n">
        <v>14</v>
      </c>
      <c r="AE225" t="n">
        <v>62</v>
      </c>
      <c r="AF225" t="n">
        <v>38</v>
      </c>
      <c r="AG225" t="n">
        <v>42</v>
      </c>
      <c r="AH225" t="n">
        <v>44</v>
      </c>
      <c r="AI225" t="n">
        <v>47</v>
      </c>
      <c r="AJ225">
        <f>INDEX($Q$179:$Q$306,AC225+1)</f>
        <v/>
      </c>
      <c r="AK225">
        <f>INDEX($R$179:$R$306,AD225+1)</f>
        <v/>
      </c>
      <c r="AL225">
        <f>INDEX($S$179:$S$306,AE225+1)</f>
        <v/>
      </c>
      <c r="AM225">
        <f>INDEX($T$179:$T$306,AF225+1)</f>
        <v/>
      </c>
      <c r="AN225">
        <f>INDEX($U$179:$U$306,AG225+1)</f>
        <v/>
      </c>
      <c r="AO225">
        <f>INDEX($V$179:$V$306,AH225+1)</f>
        <v/>
      </c>
      <c r="AP225">
        <f>INDEX($W$179:$W$306,AI225+1)</f>
        <v/>
      </c>
      <c r="AQ225">
        <f>IF(Q225&gt;=AJ225-0.01,1,0)</f>
        <v/>
      </c>
      <c r="AR225">
        <f>IF(R225&gt;=AK225-0.01,1,0)</f>
        <v/>
      </c>
      <c r="AS225">
        <f>IF(S225&gt;=AL225-0.01,1,0)</f>
        <v/>
      </c>
      <c r="AT225">
        <f>IF(T225&gt;=AM225-0.01,1,0)</f>
        <v/>
      </c>
      <c r="AU225">
        <f>IF(U225&gt;=AN225-0.01,1,0)</f>
        <v/>
      </c>
      <c r="AV225">
        <f>IF(V225&gt;=AO225-0.01,1,0)</f>
        <v/>
      </c>
      <c r="AW225">
        <f>IF(W225&gt;=AP225-0.01,1,0)</f>
        <v/>
      </c>
      <c r="AX225">
        <f>AQ225*AR225*AS225*AT225*AU225*AV225*AW225</f>
        <v/>
      </c>
      <c r="AY225">
        <f>Assumptions!$B$41</f>
        <v/>
      </c>
      <c r="AZ225">
        <f>Assumptions!$B$33</f>
        <v/>
      </c>
      <c r="BA225">
        <f>Assumptions!$B$32</f>
        <v/>
      </c>
      <c r="BB225">
        <f>Assumptions!$B$31</f>
        <v/>
      </c>
      <c r="BC225">
        <f>Assumptions!$B$30</f>
        <v/>
      </c>
      <c r="BD225">
        <f>Assumptions!$B$29</f>
        <v/>
      </c>
      <c r="BE225">
        <f>Assumptions!$B$28</f>
        <v/>
      </c>
      <c r="BF225">
        <f>P225*Assumptions!$B$141</f>
        <v/>
      </c>
      <c r="BG225">
        <f>P225*Assumptions!$B$128</f>
        <v/>
      </c>
      <c r="BH225">
        <f>P225*Assumptions!$B$129</f>
        <v/>
      </c>
      <c r="BI225">
        <f>P225*Assumptions!$B$14</f>
        <v/>
      </c>
      <c r="BJ225">
        <f>P225*Assumptions!$B$13</f>
        <v/>
      </c>
      <c r="BK225">
        <f>P225*Assumptions!$B$12</f>
        <v/>
      </c>
      <c r="BL225">
        <f>P225*Assumptions!$B$11</f>
        <v/>
      </c>
    </row>
    <row r="226">
      <c r="A226" t="inlineStr">
        <is>
          <t>1200M</t>
        </is>
      </c>
      <c r="B226">
        <f>Assumptions!$B$59</f>
        <v/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>
        <f>(1-C226)*Assumptions!$B$41+(1-D226)*Assumptions!$B$33+(1-E226)*Assumptions!$B$32+(1-F226)*Assumptions!$B$31+(1-G226)*Assumptions!$B$30+(1-H226)*Assumptions!$B$29+(1-I226)*Assumptions!$B$28</f>
        <v/>
      </c>
      <c r="K226">
        <f>C226*Assumptions!$B$141+D226*Assumptions!$B$128+E226*Assumptions!$B$129+F226*Assumptions!$B$14+G226*Assumptions!$B$13+H226*Assumptions!$B$12+I226*Assumptions!$B$11+Assumptions!$B$133+Assumptions!$B$137+Assumptions!$B$9</f>
        <v/>
      </c>
      <c r="L226">
        <f>B226-J226</f>
        <v/>
      </c>
      <c r="M226">
        <f>IF(K226&gt;0,IF(L226/K226&gt;=Assumptions!$B$37,1,0),0)</f>
        <v/>
      </c>
      <c r="N226">
        <f>K226+M226*Assumptions!$B$153</f>
        <v/>
      </c>
      <c r="O226">
        <f>L226+M226*Assumptions!$B$153*Assumptions!$B$37</f>
        <v/>
      </c>
      <c r="P226">
        <f>IF(N226&gt;0,O226/N226,0)</f>
        <v/>
      </c>
      <c r="Q226">
        <f>IF(C226=1,P226*Assumptions!$B$141,Assumptions!$B$41)</f>
        <v/>
      </c>
      <c r="R226">
        <f>IF(D226=1,P226*Assumptions!$B$128,Assumptions!$B$33)</f>
        <v/>
      </c>
      <c r="S226">
        <f>IF(E226=1,P226*Assumptions!$B$129,Assumptions!$B$32)</f>
        <v/>
      </c>
      <c r="T226">
        <f>IF(F226=1,P226*Assumptions!$B$14,Assumptions!$B$31)</f>
        <v/>
      </c>
      <c r="U226">
        <f>IF(G226=1,P226*Assumptions!$B$13,Assumptions!$B$30)</f>
        <v/>
      </c>
      <c r="V226">
        <f>IF(H226=1,P226*Assumptions!$B$12,Assumptions!$B$29)</f>
        <v/>
      </c>
      <c r="W226">
        <f>IF(I226=1,P226*Assumptions!$B$11,Assumptions!$B$28)</f>
        <v/>
      </c>
      <c r="X226">
        <f>P226*(Assumptions!$B$133+Assumptions!$B$137)</f>
        <v/>
      </c>
      <c r="Y226">
        <f>P226*Assumptions!$B$9</f>
        <v/>
      </c>
      <c r="Z226">
        <f>IF(M226=1,(P226-Assumptions!$B$37)*Assumptions!$B$153,0)</f>
        <v/>
      </c>
      <c r="AA226">
        <f>Q226+R226+S226+T226+U226+V226+W226+X226+Y226+Z226</f>
        <v/>
      </c>
      <c r="AB226" t="n">
        <v>47</v>
      </c>
      <c r="AC226" t="n">
        <v>111</v>
      </c>
      <c r="AD226" t="n">
        <v>15</v>
      </c>
      <c r="AE226" t="n">
        <v>63</v>
      </c>
      <c r="AF226" t="n">
        <v>39</v>
      </c>
      <c r="AG226" t="n">
        <v>43</v>
      </c>
      <c r="AH226" t="n">
        <v>45</v>
      </c>
      <c r="AI226" t="n">
        <v>46</v>
      </c>
      <c r="AJ226">
        <f>INDEX($Q$179:$Q$306,AC226+1)</f>
        <v/>
      </c>
      <c r="AK226">
        <f>INDEX($R$179:$R$306,AD226+1)</f>
        <v/>
      </c>
      <c r="AL226">
        <f>INDEX($S$179:$S$306,AE226+1)</f>
        <v/>
      </c>
      <c r="AM226">
        <f>INDEX($T$179:$T$306,AF226+1)</f>
        <v/>
      </c>
      <c r="AN226">
        <f>INDEX($U$179:$U$306,AG226+1)</f>
        <v/>
      </c>
      <c r="AO226">
        <f>INDEX($V$179:$V$306,AH226+1)</f>
        <v/>
      </c>
      <c r="AP226">
        <f>INDEX($W$179:$W$306,AI226+1)</f>
        <v/>
      </c>
      <c r="AQ226">
        <f>IF(Q226&gt;=AJ226-0.01,1,0)</f>
        <v/>
      </c>
      <c r="AR226">
        <f>IF(R226&gt;=AK226-0.01,1,0)</f>
        <v/>
      </c>
      <c r="AS226">
        <f>IF(S226&gt;=AL226-0.01,1,0)</f>
        <v/>
      </c>
      <c r="AT226">
        <f>IF(T226&gt;=AM226-0.01,1,0)</f>
        <v/>
      </c>
      <c r="AU226">
        <f>IF(U226&gt;=AN226-0.01,1,0)</f>
        <v/>
      </c>
      <c r="AV226">
        <f>IF(V226&gt;=AO226-0.01,1,0)</f>
        <v/>
      </c>
      <c r="AW226">
        <f>IF(W226&gt;=AP226-0.01,1,0)</f>
        <v/>
      </c>
      <c r="AX226">
        <f>AQ226*AR226*AS226*AT226*AU226*AV226*AW226</f>
        <v/>
      </c>
      <c r="AY226">
        <f>Assumptions!$B$41</f>
        <v/>
      </c>
      <c r="AZ226">
        <f>Assumptions!$B$33</f>
        <v/>
      </c>
      <c r="BA226">
        <f>Assumptions!$B$32</f>
        <v/>
      </c>
      <c r="BB226">
        <f>Assumptions!$B$31</f>
        <v/>
      </c>
      <c r="BC226">
        <f>Assumptions!$B$30</f>
        <v/>
      </c>
      <c r="BD226">
        <f>Assumptions!$B$29</f>
        <v/>
      </c>
      <c r="BE226">
        <f>Assumptions!$B$28</f>
        <v/>
      </c>
      <c r="BF226">
        <f>P226*Assumptions!$B$141</f>
        <v/>
      </c>
      <c r="BG226">
        <f>P226*Assumptions!$B$128</f>
        <v/>
      </c>
      <c r="BH226">
        <f>P226*Assumptions!$B$129</f>
        <v/>
      </c>
      <c r="BI226">
        <f>P226*Assumptions!$B$14</f>
        <v/>
      </c>
      <c r="BJ226">
        <f>P226*Assumptions!$B$13</f>
        <v/>
      </c>
      <c r="BK226">
        <f>P226*Assumptions!$B$12</f>
        <v/>
      </c>
      <c r="BL226">
        <f>P226*Assumptions!$B$11</f>
        <v/>
      </c>
    </row>
    <row r="227">
      <c r="A227" t="inlineStr">
        <is>
          <t>1200M</t>
        </is>
      </c>
      <c r="B227">
        <f>Assumptions!$B$59</f>
        <v/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>
        <f>(1-C227)*Assumptions!$B$41+(1-D227)*Assumptions!$B$33+(1-E227)*Assumptions!$B$32+(1-F227)*Assumptions!$B$31+(1-G227)*Assumptions!$B$30+(1-H227)*Assumptions!$B$29+(1-I227)*Assumptions!$B$28</f>
        <v/>
      </c>
      <c r="K227">
        <f>C227*Assumptions!$B$141+D227*Assumptions!$B$128+E227*Assumptions!$B$129+F227*Assumptions!$B$14+G227*Assumptions!$B$13+H227*Assumptions!$B$12+I227*Assumptions!$B$11+Assumptions!$B$133+Assumptions!$B$137+Assumptions!$B$9</f>
        <v/>
      </c>
      <c r="L227">
        <f>B227-J227</f>
        <v/>
      </c>
      <c r="M227">
        <f>IF(K227&gt;0,IF(L227/K227&gt;=Assumptions!$B$37,1,0),0)</f>
        <v/>
      </c>
      <c r="N227">
        <f>K227+M227*Assumptions!$B$153</f>
        <v/>
      </c>
      <c r="O227">
        <f>L227+M227*Assumptions!$B$153*Assumptions!$B$37</f>
        <v/>
      </c>
      <c r="P227">
        <f>IF(N227&gt;0,O227/N227,0)</f>
        <v/>
      </c>
      <c r="Q227">
        <f>IF(C227=1,P227*Assumptions!$B$141,Assumptions!$B$41)</f>
        <v/>
      </c>
      <c r="R227">
        <f>IF(D227=1,P227*Assumptions!$B$128,Assumptions!$B$33)</f>
        <v/>
      </c>
      <c r="S227">
        <f>IF(E227=1,P227*Assumptions!$B$129,Assumptions!$B$32)</f>
        <v/>
      </c>
      <c r="T227">
        <f>IF(F227=1,P227*Assumptions!$B$14,Assumptions!$B$31)</f>
        <v/>
      </c>
      <c r="U227">
        <f>IF(G227=1,P227*Assumptions!$B$13,Assumptions!$B$30)</f>
        <v/>
      </c>
      <c r="V227">
        <f>IF(H227=1,P227*Assumptions!$B$12,Assumptions!$B$29)</f>
        <v/>
      </c>
      <c r="W227">
        <f>IF(I227=1,P227*Assumptions!$B$11,Assumptions!$B$28)</f>
        <v/>
      </c>
      <c r="X227">
        <f>P227*(Assumptions!$B$133+Assumptions!$B$137)</f>
        <v/>
      </c>
      <c r="Y227">
        <f>P227*Assumptions!$B$9</f>
        <v/>
      </c>
      <c r="Z227">
        <f>IF(M227=1,(P227-Assumptions!$B$37)*Assumptions!$B$153,0)</f>
        <v/>
      </c>
      <c r="AA227">
        <f>Q227+R227+S227+T227+U227+V227+W227+X227+Y227+Z227</f>
        <v/>
      </c>
      <c r="AB227" t="n">
        <v>48</v>
      </c>
      <c r="AC227" t="n">
        <v>112</v>
      </c>
      <c r="AD227" t="n">
        <v>16</v>
      </c>
      <c r="AE227" t="n">
        <v>32</v>
      </c>
      <c r="AF227" t="n">
        <v>56</v>
      </c>
      <c r="AG227" t="n">
        <v>52</v>
      </c>
      <c r="AH227" t="n">
        <v>50</v>
      </c>
      <c r="AI227" t="n">
        <v>49</v>
      </c>
      <c r="AJ227">
        <f>INDEX($Q$179:$Q$306,AC227+1)</f>
        <v/>
      </c>
      <c r="AK227">
        <f>INDEX($R$179:$R$306,AD227+1)</f>
        <v/>
      </c>
      <c r="AL227">
        <f>INDEX($S$179:$S$306,AE227+1)</f>
        <v/>
      </c>
      <c r="AM227">
        <f>INDEX($T$179:$T$306,AF227+1)</f>
        <v/>
      </c>
      <c r="AN227">
        <f>INDEX($U$179:$U$306,AG227+1)</f>
        <v/>
      </c>
      <c r="AO227">
        <f>INDEX($V$179:$V$306,AH227+1)</f>
        <v/>
      </c>
      <c r="AP227">
        <f>INDEX($W$179:$W$306,AI227+1)</f>
        <v/>
      </c>
      <c r="AQ227">
        <f>IF(Q227&gt;=AJ227-0.01,1,0)</f>
        <v/>
      </c>
      <c r="AR227">
        <f>IF(R227&gt;=AK227-0.01,1,0)</f>
        <v/>
      </c>
      <c r="AS227">
        <f>IF(S227&gt;=AL227-0.01,1,0)</f>
        <v/>
      </c>
      <c r="AT227">
        <f>IF(T227&gt;=AM227-0.01,1,0)</f>
        <v/>
      </c>
      <c r="AU227">
        <f>IF(U227&gt;=AN227-0.01,1,0)</f>
        <v/>
      </c>
      <c r="AV227">
        <f>IF(V227&gt;=AO227-0.01,1,0)</f>
        <v/>
      </c>
      <c r="AW227">
        <f>IF(W227&gt;=AP227-0.01,1,0)</f>
        <v/>
      </c>
      <c r="AX227">
        <f>AQ227*AR227*AS227*AT227*AU227*AV227*AW227</f>
        <v/>
      </c>
      <c r="AY227">
        <f>Assumptions!$B$41</f>
        <v/>
      </c>
      <c r="AZ227">
        <f>Assumptions!$B$33</f>
        <v/>
      </c>
      <c r="BA227">
        <f>Assumptions!$B$32</f>
        <v/>
      </c>
      <c r="BB227">
        <f>Assumptions!$B$31</f>
        <v/>
      </c>
      <c r="BC227">
        <f>Assumptions!$B$30</f>
        <v/>
      </c>
      <c r="BD227">
        <f>Assumptions!$B$29</f>
        <v/>
      </c>
      <c r="BE227">
        <f>Assumptions!$B$28</f>
        <v/>
      </c>
      <c r="BF227">
        <f>P227*Assumptions!$B$141</f>
        <v/>
      </c>
      <c r="BG227">
        <f>P227*Assumptions!$B$128</f>
        <v/>
      </c>
      <c r="BH227">
        <f>P227*Assumptions!$B$129</f>
        <v/>
      </c>
      <c r="BI227">
        <f>P227*Assumptions!$B$14</f>
        <v/>
      </c>
      <c r="BJ227">
        <f>P227*Assumptions!$B$13</f>
        <v/>
      </c>
      <c r="BK227">
        <f>P227*Assumptions!$B$12</f>
        <v/>
      </c>
      <c r="BL227">
        <f>P227*Assumptions!$B$11</f>
        <v/>
      </c>
    </row>
    <row r="228">
      <c r="A228" t="inlineStr">
        <is>
          <t>1200M</t>
        </is>
      </c>
      <c r="B228">
        <f>Assumptions!$B$59</f>
        <v/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>
        <f>(1-C228)*Assumptions!$B$41+(1-D228)*Assumptions!$B$33+(1-E228)*Assumptions!$B$32+(1-F228)*Assumptions!$B$31+(1-G228)*Assumptions!$B$30+(1-H228)*Assumptions!$B$29+(1-I228)*Assumptions!$B$28</f>
        <v/>
      </c>
      <c r="K228">
        <f>C228*Assumptions!$B$141+D228*Assumptions!$B$128+E228*Assumptions!$B$129+F228*Assumptions!$B$14+G228*Assumptions!$B$13+H228*Assumptions!$B$12+I228*Assumptions!$B$11+Assumptions!$B$133+Assumptions!$B$137+Assumptions!$B$9</f>
        <v/>
      </c>
      <c r="L228">
        <f>B228-J228</f>
        <v/>
      </c>
      <c r="M228">
        <f>IF(K228&gt;0,IF(L228/K228&gt;=Assumptions!$B$37,1,0),0)</f>
        <v/>
      </c>
      <c r="N228">
        <f>K228+M228*Assumptions!$B$153</f>
        <v/>
      </c>
      <c r="O228">
        <f>L228+M228*Assumptions!$B$153*Assumptions!$B$37</f>
        <v/>
      </c>
      <c r="P228">
        <f>IF(N228&gt;0,O228/N228,0)</f>
        <v/>
      </c>
      <c r="Q228">
        <f>IF(C228=1,P228*Assumptions!$B$141,Assumptions!$B$41)</f>
        <v/>
      </c>
      <c r="R228">
        <f>IF(D228=1,P228*Assumptions!$B$128,Assumptions!$B$33)</f>
        <v/>
      </c>
      <c r="S228">
        <f>IF(E228=1,P228*Assumptions!$B$129,Assumptions!$B$32)</f>
        <v/>
      </c>
      <c r="T228">
        <f>IF(F228=1,P228*Assumptions!$B$14,Assumptions!$B$31)</f>
        <v/>
      </c>
      <c r="U228">
        <f>IF(G228=1,P228*Assumptions!$B$13,Assumptions!$B$30)</f>
        <v/>
      </c>
      <c r="V228">
        <f>IF(H228=1,P228*Assumptions!$B$12,Assumptions!$B$29)</f>
        <v/>
      </c>
      <c r="W228">
        <f>IF(I228=1,P228*Assumptions!$B$11,Assumptions!$B$28)</f>
        <v/>
      </c>
      <c r="X228">
        <f>P228*(Assumptions!$B$133+Assumptions!$B$137)</f>
        <v/>
      </c>
      <c r="Y228">
        <f>P228*Assumptions!$B$9</f>
        <v/>
      </c>
      <c r="Z228">
        <f>IF(M228=1,(P228-Assumptions!$B$37)*Assumptions!$B$153,0)</f>
        <v/>
      </c>
      <c r="AA228">
        <f>Q228+R228+S228+T228+U228+V228+W228+X228+Y228+Z228</f>
        <v/>
      </c>
      <c r="AB228" t="n">
        <v>49</v>
      </c>
      <c r="AC228" t="n">
        <v>113</v>
      </c>
      <c r="AD228" t="n">
        <v>17</v>
      </c>
      <c r="AE228" t="n">
        <v>33</v>
      </c>
      <c r="AF228" t="n">
        <v>57</v>
      </c>
      <c r="AG228" t="n">
        <v>53</v>
      </c>
      <c r="AH228" t="n">
        <v>51</v>
      </c>
      <c r="AI228" t="n">
        <v>48</v>
      </c>
      <c r="AJ228">
        <f>INDEX($Q$179:$Q$306,AC228+1)</f>
        <v/>
      </c>
      <c r="AK228">
        <f>INDEX($R$179:$R$306,AD228+1)</f>
        <v/>
      </c>
      <c r="AL228">
        <f>INDEX($S$179:$S$306,AE228+1)</f>
        <v/>
      </c>
      <c r="AM228">
        <f>INDEX($T$179:$T$306,AF228+1)</f>
        <v/>
      </c>
      <c r="AN228">
        <f>INDEX($U$179:$U$306,AG228+1)</f>
        <v/>
      </c>
      <c r="AO228">
        <f>INDEX($V$179:$V$306,AH228+1)</f>
        <v/>
      </c>
      <c r="AP228">
        <f>INDEX($W$179:$W$306,AI228+1)</f>
        <v/>
      </c>
      <c r="AQ228">
        <f>IF(Q228&gt;=AJ228-0.01,1,0)</f>
        <v/>
      </c>
      <c r="AR228">
        <f>IF(R228&gt;=AK228-0.01,1,0)</f>
        <v/>
      </c>
      <c r="AS228">
        <f>IF(S228&gt;=AL228-0.01,1,0)</f>
        <v/>
      </c>
      <c r="AT228">
        <f>IF(T228&gt;=AM228-0.01,1,0)</f>
        <v/>
      </c>
      <c r="AU228">
        <f>IF(U228&gt;=AN228-0.01,1,0)</f>
        <v/>
      </c>
      <c r="AV228">
        <f>IF(V228&gt;=AO228-0.01,1,0)</f>
        <v/>
      </c>
      <c r="AW228">
        <f>IF(W228&gt;=AP228-0.01,1,0)</f>
        <v/>
      </c>
      <c r="AX228">
        <f>AQ228*AR228*AS228*AT228*AU228*AV228*AW228</f>
        <v/>
      </c>
      <c r="AY228">
        <f>Assumptions!$B$41</f>
        <v/>
      </c>
      <c r="AZ228">
        <f>Assumptions!$B$33</f>
        <v/>
      </c>
      <c r="BA228">
        <f>Assumptions!$B$32</f>
        <v/>
      </c>
      <c r="BB228">
        <f>Assumptions!$B$31</f>
        <v/>
      </c>
      <c r="BC228">
        <f>Assumptions!$B$30</f>
        <v/>
      </c>
      <c r="BD228">
        <f>Assumptions!$B$29</f>
        <v/>
      </c>
      <c r="BE228">
        <f>Assumptions!$B$28</f>
        <v/>
      </c>
      <c r="BF228">
        <f>P228*Assumptions!$B$141</f>
        <v/>
      </c>
      <c r="BG228">
        <f>P228*Assumptions!$B$128</f>
        <v/>
      </c>
      <c r="BH228">
        <f>P228*Assumptions!$B$129</f>
        <v/>
      </c>
      <c r="BI228">
        <f>P228*Assumptions!$B$14</f>
        <v/>
      </c>
      <c r="BJ228">
        <f>P228*Assumptions!$B$13</f>
        <v/>
      </c>
      <c r="BK228">
        <f>P228*Assumptions!$B$12</f>
        <v/>
      </c>
      <c r="BL228">
        <f>P228*Assumptions!$B$11</f>
        <v/>
      </c>
    </row>
    <row r="229">
      <c r="A229" t="inlineStr">
        <is>
          <t>1200M</t>
        </is>
      </c>
      <c r="B229">
        <f>Assumptions!$B$59</f>
        <v/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>
        <f>(1-C229)*Assumptions!$B$41+(1-D229)*Assumptions!$B$33+(1-E229)*Assumptions!$B$32+(1-F229)*Assumptions!$B$31+(1-G229)*Assumptions!$B$30+(1-H229)*Assumptions!$B$29+(1-I229)*Assumptions!$B$28</f>
        <v/>
      </c>
      <c r="K229">
        <f>C229*Assumptions!$B$141+D229*Assumptions!$B$128+E229*Assumptions!$B$129+F229*Assumptions!$B$14+G229*Assumptions!$B$13+H229*Assumptions!$B$12+I229*Assumptions!$B$11+Assumptions!$B$133+Assumptions!$B$137+Assumptions!$B$9</f>
        <v/>
      </c>
      <c r="L229">
        <f>B229-J229</f>
        <v/>
      </c>
      <c r="M229">
        <f>IF(K229&gt;0,IF(L229/K229&gt;=Assumptions!$B$37,1,0),0)</f>
        <v/>
      </c>
      <c r="N229">
        <f>K229+M229*Assumptions!$B$153</f>
        <v/>
      </c>
      <c r="O229">
        <f>L229+M229*Assumptions!$B$153*Assumptions!$B$37</f>
        <v/>
      </c>
      <c r="P229">
        <f>IF(N229&gt;0,O229/N229,0)</f>
        <v/>
      </c>
      <c r="Q229">
        <f>IF(C229=1,P229*Assumptions!$B$141,Assumptions!$B$41)</f>
        <v/>
      </c>
      <c r="R229">
        <f>IF(D229=1,P229*Assumptions!$B$128,Assumptions!$B$33)</f>
        <v/>
      </c>
      <c r="S229">
        <f>IF(E229=1,P229*Assumptions!$B$129,Assumptions!$B$32)</f>
        <v/>
      </c>
      <c r="T229">
        <f>IF(F229=1,P229*Assumptions!$B$14,Assumptions!$B$31)</f>
        <v/>
      </c>
      <c r="U229">
        <f>IF(G229=1,P229*Assumptions!$B$13,Assumptions!$B$30)</f>
        <v/>
      </c>
      <c r="V229">
        <f>IF(H229=1,P229*Assumptions!$B$12,Assumptions!$B$29)</f>
        <v/>
      </c>
      <c r="W229">
        <f>IF(I229=1,P229*Assumptions!$B$11,Assumptions!$B$28)</f>
        <v/>
      </c>
      <c r="X229">
        <f>P229*(Assumptions!$B$133+Assumptions!$B$137)</f>
        <v/>
      </c>
      <c r="Y229">
        <f>P229*Assumptions!$B$9</f>
        <v/>
      </c>
      <c r="Z229">
        <f>IF(M229=1,(P229-Assumptions!$B$37)*Assumptions!$B$153,0)</f>
        <v/>
      </c>
      <c r="AA229">
        <f>Q229+R229+S229+T229+U229+V229+W229+X229+Y229+Z229</f>
        <v/>
      </c>
      <c r="AB229" t="n">
        <v>50</v>
      </c>
      <c r="AC229" t="n">
        <v>114</v>
      </c>
      <c r="AD229" t="n">
        <v>18</v>
      </c>
      <c r="AE229" t="n">
        <v>34</v>
      </c>
      <c r="AF229" t="n">
        <v>58</v>
      </c>
      <c r="AG229" t="n">
        <v>54</v>
      </c>
      <c r="AH229" t="n">
        <v>48</v>
      </c>
      <c r="AI229" t="n">
        <v>51</v>
      </c>
      <c r="AJ229">
        <f>INDEX($Q$179:$Q$306,AC229+1)</f>
        <v/>
      </c>
      <c r="AK229">
        <f>INDEX($R$179:$R$306,AD229+1)</f>
        <v/>
      </c>
      <c r="AL229">
        <f>INDEX($S$179:$S$306,AE229+1)</f>
        <v/>
      </c>
      <c r="AM229">
        <f>INDEX($T$179:$T$306,AF229+1)</f>
        <v/>
      </c>
      <c r="AN229">
        <f>INDEX($U$179:$U$306,AG229+1)</f>
        <v/>
      </c>
      <c r="AO229">
        <f>INDEX($V$179:$V$306,AH229+1)</f>
        <v/>
      </c>
      <c r="AP229">
        <f>INDEX($W$179:$W$306,AI229+1)</f>
        <v/>
      </c>
      <c r="AQ229">
        <f>IF(Q229&gt;=AJ229-0.01,1,0)</f>
        <v/>
      </c>
      <c r="AR229">
        <f>IF(R229&gt;=AK229-0.01,1,0)</f>
        <v/>
      </c>
      <c r="AS229">
        <f>IF(S229&gt;=AL229-0.01,1,0)</f>
        <v/>
      </c>
      <c r="AT229">
        <f>IF(T229&gt;=AM229-0.01,1,0)</f>
        <v/>
      </c>
      <c r="AU229">
        <f>IF(U229&gt;=AN229-0.01,1,0)</f>
        <v/>
      </c>
      <c r="AV229">
        <f>IF(V229&gt;=AO229-0.01,1,0)</f>
        <v/>
      </c>
      <c r="AW229">
        <f>IF(W229&gt;=AP229-0.01,1,0)</f>
        <v/>
      </c>
      <c r="AX229">
        <f>AQ229*AR229*AS229*AT229*AU229*AV229*AW229</f>
        <v/>
      </c>
      <c r="AY229">
        <f>Assumptions!$B$41</f>
        <v/>
      </c>
      <c r="AZ229">
        <f>Assumptions!$B$33</f>
        <v/>
      </c>
      <c r="BA229">
        <f>Assumptions!$B$32</f>
        <v/>
      </c>
      <c r="BB229">
        <f>Assumptions!$B$31</f>
        <v/>
      </c>
      <c r="BC229">
        <f>Assumptions!$B$30</f>
        <v/>
      </c>
      <c r="BD229">
        <f>Assumptions!$B$29</f>
        <v/>
      </c>
      <c r="BE229">
        <f>Assumptions!$B$28</f>
        <v/>
      </c>
      <c r="BF229">
        <f>P229*Assumptions!$B$141</f>
        <v/>
      </c>
      <c r="BG229">
        <f>P229*Assumptions!$B$128</f>
        <v/>
      </c>
      <c r="BH229">
        <f>P229*Assumptions!$B$129</f>
        <v/>
      </c>
      <c r="BI229">
        <f>P229*Assumptions!$B$14</f>
        <v/>
      </c>
      <c r="BJ229">
        <f>P229*Assumptions!$B$13</f>
        <v/>
      </c>
      <c r="BK229">
        <f>P229*Assumptions!$B$12</f>
        <v/>
      </c>
      <c r="BL229">
        <f>P229*Assumptions!$B$11</f>
        <v/>
      </c>
    </row>
    <row r="230">
      <c r="A230" t="inlineStr">
        <is>
          <t>1200M</t>
        </is>
      </c>
      <c r="B230">
        <f>Assumptions!$B$59</f>
        <v/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  <c r="I230" t="n">
        <v>1</v>
      </c>
      <c r="J230">
        <f>(1-C230)*Assumptions!$B$41+(1-D230)*Assumptions!$B$33+(1-E230)*Assumptions!$B$32+(1-F230)*Assumptions!$B$31+(1-G230)*Assumptions!$B$30+(1-H230)*Assumptions!$B$29+(1-I230)*Assumptions!$B$28</f>
        <v/>
      </c>
      <c r="K230">
        <f>C230*Assumptions!$B$141+D230*Assumptions!$B$128+E230*Assumptions!$B$129+F230*Assumptions!$B$14+G230*Assumptions!$B$13+H230*Assumptions!$B$12+I230*Assumptions!$B$11+Assumptions!$B$133+Assumptions!$B$137+Assumptions!$B$9</f>
        <v/>
      </c>
      <c r="L230">
        <f>B230-J230</f>
        <v/>
      </c>
      <c r="M230">
        <f>IF(K230&gt;0,IF(L230/K230&gt;=Assumptions!$B$37,1,0),0)</f>
        <v/>
      </c>
      <c r="N230">
        <f>K230+M230*Assumptions!$B$153</f>
        <v/>
      </c>
      <c r="O230">
        <f>L230+M230*Assumptions!$B$153*Assumptions!$B$37</f>
        <v/>
      </c>
      <c r="P230">
        <f>IF(N230&gt;0,O230/N230,0)</f>
        <v/>
      </c>
      <c r="Q230">
        <f>IF(C230=1,P230*Assumptions!$B$141,Assumptions!$B$41)</f>
        <v/>
      </c>
      <c r="R230">
        <f>IF(D230=1,P230*Assumptions!$B$128,Assumptions!$B$33)</f>
        <v/>
      </c>
      <c r="S230">
        <f>IF(E230=1,P230*Assumptions!$B$129,Assumptions!$B$32)</f>
        <v/>
      </c>
      <c r="T230">
        <f>IF(F230=1,P230*Assumptions!$B$14,Assumptions!$B$31)</f>
        <v/>
      </c>
      <c r="U230">
        <f>IF(G230=1,P230*Assumptions!$B$13,Assumptions!$B$30)</f>
        <v/>
      </c>
      <c r="V230">
        <f>IF(H230=1,P230*Assumptions!$B$12,Assumptions!$B$29)</f>
        <v/>
      </c>
      <c r="W230">
        <f>IF(I230=1,P230*Assumptions!$B$11,Assumptions!$B$28)</f>
        <v/>
      </c>
      <c r="X230">
        <f>P230*(Assumptions!$B$133+Assumptions!$B$137)</f>
        <v/>
      </c>
      <c r="Y230">
        <f>P230*Assumptions!$B$9</f>
        <v/>
      </c>
      <c r="Z230">
        <f>IF(M230=1,(P230-Assumptions!$B$37)*Assumptions!$B$153,0)</f>
        <v/>
      </c>
      <c r="AA230">
        <f>Q230+R230+S230+T230+U230+V230+W230+X230+Y230+Z230</f>
        <v/>
      </c>
      <c r="AB230" t="n">
        <v>51</v>
      </c>
      <c r="AC230" t="n">
        <v>115</v>
      </c>
      <c r="AD230" t="n">
        <v>19</v>
      </c>
      <c r="AE230" t="n">
        <v>35</v>
      </c>
      <c r="AF230" t="n">
        <v>59</v>
      </c>
      <c r="AG230" t="n">
        <v>55</v>
      </c>
      <c r="AH230" t="n">
        <v>49</v>
      </c>
      <c r="AI230" t="n">
        <v>50</v>
      </c>
      <c r="AJ230">
        <f>INDEX($Q$179:$Q$306,AC230+1)</f>
        <v/>
      </c>
      <c r="AK230">
        <f>INDEX($R$179:$R$306,AD230+1)</f>
        <v/>
      </c>
      <c r="AL230">
        <f>INDEX($S$179:$S$306,AE230+1)</f>
        <v/>
      </c>
      <c r="AM230">
        <f>INDEX($T$179:$T$306,AF230+1)</f>
        <v/>
      </c>
      <c r="AN230">
        <f>INDEX($U$179:$U$306,AG230+1)</f>
        <v/>
      </c>
      <c r="AO230">
        <f>INDEX($V$179:$V$306,AH230+1)</f>
        <v/>
      </c>
      <c r="AP230">
        <f>INDEX($W$179:$W$306,AI230+1)</f>
        <v/>
      </c>
      <c r="AQ230">
        <f>IF(Q230&gt;=AJ230-0.01,1,0)</f>
        <v/>
      </c>
      <c r="AR230">
        <f>IF(R230&gt;=AK230-0.01,1,0)</f>
        <v/>
      </c>
      <c r="AS230">
        <f>IF(S230&gt;=AL230-0.01,1,0)</f>
        <v/>
      </c>
      <c r="AT230">
        <f>IF(T230&gt;=AM230-0.01,1,0)</f>
        <v/>
      </c>
      <c r="AU230">
        <f>IF(U230&gt;=AN230-0.01,1,0)</f>
        <v/>
      </c>
      <c r="AV230">
        <f>IF(V230&gt;=AO230-0.01,1,0)</f>
        <v/>
      </c>
      <c r="AW230">
        <f>IF(W230&gt;=AP230-0.01,1,0)</f>
        <v/>
      </c>
      <c r="AX230">
        <f>AQ230*AR230*AS230*AT230*AU230*AV230*AW230</f>
        <v/>
      </c>
      <c r="AY230">
        <f>Assumptions!$B$41</f>
        <v/>
      </c>
      <c r="AZ230">
        <f>Assumptions!$B$33</f>
        <v/>
      </c>
      <c r="BA230">
        <f>Assumptions!$B$32</f>
        <v/>
      </c>
      <c r="BB230">
        <f>Assumptions!$B$31</f>
        <v/>
      </c>
      <c r="BC230">
        <f>Assumptions!$B$30</f>
        <v/>
      </c>
      <c r="BD230">
        <f>Assumptions!$B$29</f>
        <v/>
      </c>
      <c r="BE230">
        <f>Assumptions!$B$28</f>
        <v/>
      </c>
      <c r="BF230">
        <f>P230*Assumptions!$B$141</f>
        <v/>
      </c>
      <c r="BG230">
        <f>P230*Assumptions!$B$128</f>
        <v/>
      </c>
      <c r="BH230">
        <f>P230*Assumptions!$B$129</f>
        <v/>
      </c>
      <c r="BI230">
        <f>P230*Assumptions!$B$14</f>
        <v/>
      </c>
      <c r="BJ230">
        <f>P230*Assumptions!$B$13</f>
        <v/>
      </c>
      <c r="BK230">
        <f>P230*Assumptions!$B$12</f>
        <v/>
      </c>
      <c r="BL230">
        <f>P230*Assumptions!$B$11</f>
        <v/>
      </c>
    </row>
    <row r="231">
      <c r="A231" t="inlineStr">
        <is>
          <t>1200M</t>
        </is>
      </c>
      <c r="B231">
        <f>Assumptions!$B$59</f>
        <v/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>
        <f>(1-C231)*Assumptions!$B$41+(1-D231)*Assumptions!$B$33+(1-E231)*Assumptions!$B$32+(1-F231)*Assumptions!$B$31+(1-G231)*Assumptions!$B$30+(1-H231)*Assumptions!$B$29+(1-I231)*Assumptions!$B$28</f>
        <v/>
      </c>
      <c r="K231">
        <f>C231*Assumptions!$B$141+D231*Assumptions!$B$128+E231*Assumptions!$B$129+F231*Assumptions!$B$14+G231*Assumptions!$B$13+H231*Assumptions!$B$12+I231*Assumptions!$B$11+Assumptions!$B$133+Assumptions!$B$137+Assumptions!$B$9</f>
        <v/>
      </c>
      <c r="L231">
        <f>B231-J231</f>
        <v/>
      </c>
      <c r="M231">
        <f>IF(K231&gt;0,IF(L231/K231&gt;=Assumptions!$B$37,1,0),0)</f>
        <v/>
      </c>
      <c r="N231">
        <f>K231+M231*Assumptions!$B$153</f>
        <v/>
      </c>
      <c r="O231">
        <f>L231+M231*Assumptions!$B$153*Assumptions!$B$37</f>
        <v/>
      </c>
      <c r="P231">
        <f>IF(N231&gt;0,O231/N231,0)</f>
        <v/>
      </c>
      <c r="Q231">
        <f>IF(C231=1,P231*Assumptions!$B$141,Assumptions!$B$41)</f>
        <v/>
      </c>
      <c r="R231">
        <f>IF(D231=1,P231*Assumptions!$B$128,Assumptions!$B$33)</f>
        <v/>
      </c>
      <c r="S231">
        <f>IF(E231=1,P231*Assumptions!$B$129,Assumptions!$B$32)</f>
        <v/>
      </c>
      <c r="T231">
        <f>IF(F231=1,P231*Assumptions!$B$14,Assumptions!$B$31)</f>
        <v/>
      </c>
      <c r="U231">
        <f>IF(G231=1,P231*Assumptions!$B$13,Assumptions!$B$30)</f>
        <v/>
      </c>
      <c r="V231">
        <f>IF(H231=1,P231*Assumptions!$B$12,Assumptions!$B$29)</f>
        <v/>
      </c>
      <c r="W231">
        <f>IF(I231=1,P231*Assumptions!$B$11,Assumptions!$B$28)</f>
        <v/>
      </c>
      <c r="X231">
        <f>P231*(Assumptions!$B$133+Assumptions!$B$137)</f>
        <v/>
      </c>
      <c r="Y231">
        <f>P231*Assumptions!$B$9</f>
        <v/>
      </c>
      <c r="Z231">
        <f>IF(M231=1,(P231-Assumptions!$B$37)*Assumptions!$B$153,0)</f>
        <v/>
      </c>
      <c r="AA231">
        <f>Q231+R231+S231+T231+U231+V231+W231+X231+Y231+Z231</f>
        <v/>
      </c>
      <c r="AB231" t="n">
        <v>52</v>
      </c>
      <c r="AC231" t="n">
        <v>116</v>
      </c>
      <c r="AD231" t="n">
        <v>20</v>
      </c>
      <c r="AE231" t="n">
        <v>36</v>
      </c>
      <c r="AF231" t="n">
        <v>60</v>
      </c>
      <c r="AG231" t="n">
        <v>48</v>
      </c>
      <c r="AH231" t="n">
        <v>54</v>
      </c>
      <c r="AI231" t="n">
        <v>53</v>
      </c>
      <c r="AJ231">
        <f>INDEX($Q$179:$Q$306,AC231+1)</f>
        <v/>
      </c>
      <c r="AK231">
        <f>INDEX($R$179:$R$306,AD231+1)</f>
        <v/>
      </c>
      <c r="AL231">
        <f>INDEX($S$179:$S$306,AE231+1)</f>
        <v/>
      </c>
      <c r="AM231">
        <f>INDEX($T$179:$T$306,AF231+1)</f>
        <v/>
      </c>
      <c r="AN231">
        <f>INDEX($U$179:$U$306,AG231+1)</f>
        <v/>
      </c>
      <c r="AO231">
        <f>INDEX($V$179:$V$306,AH231+1)</f>
        <v/>
      </c>
      <c r="AP231">
        <f>INDEX($W$179:$W$306,AI231+1)</f>
        <v/>
      </c>
      <c r="AQ231">
        <f>IF(Q231&gt;=AJ231-0.01,1,0)</f>
        <v/>
      </c>
      <c r="AR231">
        <f>IF(R231&gt;=AK231-0.01,1,0)</f>
        <v/>
      </c>
      <c r="AS231">
        <f>IF(S231&gt;=AL231-0.01,1,0)</f>
        <v/>
      </c>
      <c r="AT231">
        <f>IF(T231&gt;=AM231-0.01,1,0)</f>
        <v/>
      </c>
      <c r="AU231">
        <f>IF(U231&gt;=AN231-0.01,1,0)</f>
        <v/>
      </c>
      <c r="AV231">
        <f>IF(V231&gt;=AO231-0.01,1,0)</f>
        <v/>
      </c>
      <c r="AW231">
        <f>IF(W231&gt;=AP231-0.01,1,0)</f>
        <v/>
      </c>
      <c r="AX231">
        <f>AQ231*AR231*AS231*AT231*AU231*AV231*AW231</f>
        <v/>
      </c>
      <c r="AY231">
        <f>Assumptions!$B$41</f>
        <v/>
      </c>
      <c r="AZ231">
        <f>Assumptions!$B$33</f>
        <v/>
      </c>
      <c r="BA231">
        <f>Assumptions!$B$32</f>
        <v/>
      </c>
      <c r="BB231">
        <f>Assumptions!$B$31</f>
        <v/>
      </c>
      <c r="BC231">
        <f>Assumptions!$B$30</f>
        <v/>
      </c>
      <c r="BD231">
        <f>Assumptions!$B$29</f>
        <v/>
      </c>
      <c r="BE231">
        <f>Assumptions!$B$28</f>
        <v/>
      </c>
      <c r="BF231">
        <f>P231*Assumptions!$B$141</f>
        <v/>
      </c>
      <c r="BG231">
        <f>P231*Assumptions!$B$128</f>
        <v/>
      </c>
      <c r="BH231">
        <f>P231*Assumptions!$B$129</f>
        <v/>
      </c>
      <c r="BI231">
        <f>P231*Assumptions!$B$14</f>
        <v/>
      </c>
      <c r="BJ231">
        <f>P231*Assumptions!$B$13</f>
        <v/>
      </c>
      <c r="BK231">
        <f>P231*Assumptions!$B$12</f>
        <v/>
      </c>
      <c r="BL231">
        <f>P231*Assumptions!$B$11</f>
        <v/>
      </c>
    </row>
    <row r="232">
      <c r="A232" t="inlineStr">
        <is>
          <t>1200M</t>
        </is>
      </c>
      <c r="B232">
        <f>Assumptions!$B$59</f>
        <v/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n">
        <v>1</v>
      </c>
      <c r="J232">
        <f>(1-C232)*Assumptions!$B$41+(1-D232)*Assumptions!$B$33+(1-E232)*Assumptions!$B$32+(1-F232)*Assumptions!$B$31+(1-G232)*Assumptions!$B$30+(1-H232)*Assumptions!$B$29+(1-I232)*Assumptions!$B$28</f>
        <v/>
      </c>
      <c r="K232">
        <f>C232*Assumptions!$B$141+D232*Assumptions!$B$128+E232*Assumptions!$B$129+F232*Assumptions!$B$14+G232*Assumptions!$B$13+H232*Assumptions!$B$12+I232*Assumptions!$B$11+Assumptions!$B$133+Assumptions!$B$137+Assumptions!$B$9</f>
        <v/>
      </c>
      <c r="L232">
        <f>B232-J232</f>
        <v/>
      </c>
      <c r="M232">
        <f>IF(K232&gt;0,IF(L232/K232&gt;=Assumptions!$B$37,1,0),0)</f>
        <v/>
      </c>
      <c r="N232">
        <f>K232+M232*Assumptions!$B$153</f>
        <v/>
      </c>
      <c r="O232">
        <f>L232+M232*Assumptions!$B$153*Assumptions!$B$37</f>
        <v/>
      </c>
      <c r="P232">
        <f>IF(N232&gt;0,O232/N232,0)</f>
        <v/>
      </c>
      <c r="Q232">
        <f>IF(C232=1,P232*Assumptions!$B$141,Assumptions!$B$41)</f>
        <v/>
      </c>
      <c r="R232">
        <f>IF(D232=1,P232*Assumptions!$B$128,Assumptions!$B$33)</f>
        <v/>
      </c>
      <c r="S232">
        <f>IF(E232=1,P232*Assumptions!$B$129,Assumptions!$B$32)</f>
        <v/>
      </c>
      <c r="T232">
        <f>IF(F232=1,P232*Assumptions!$B$14,Assumptions!$B$31)</f>
        <v/>
      </c>
      <c r="U232">
        <f>IF(G232=1,P232*Assumptions!$B$13,Assumptions!$B$30)</f>
        <v/>
      </c>
      <c r="V232">
        <f>IF(H232=1,P232*Assumptions!$B$12,Assumptions!$B$29)</f>
        <v/>
      </c>
      <c r="W232">
        <f>IF(I232=1,P232*Assumptions!$B$11,Assumptions!$B$28)</f>
        <v/>
      </c>
      <c r="X232">
        <f>P232*(Assumptions!$B$133+Assumptions!$B$137)</f>
        <v/>
      </c>
      <c r="Y232">
        <f>P232*Assumptions!$B$9</f>
        <v/>
      </c>
      <c r="Z232">
        <f>IF(M232=1,(P232-Assumptions!$B$37)*Assumptions!$B$153,0)</f>
        <v/>
      </c>
      <c r="AA232">
        <f>Q232+R232+S232+T232+U232+V232+W232+X232+Y232+Z232</f>
        <v/>
      </c>
      <c r="AB232" t="n">
        <v>53</v>
      </c>
      <c r="AC232" t="n">
        <v>117</v>
      </c>
      <c r="AD232" t="n">
        <v>21</v>
      </c>
      <c r="AE232" t="n">
        <v>37</v>
      </c>
      <c r="AF232" t="n">
        <v>61</v>
      </c>
      <c r="AG232" t="n">
        <v>49</v>
      </c>
      <c r="AH232" t="n">
        <v>55</v>
      </c>
      <c r="AI232" t="n">
        <v>52</v>
      </c>
      <c r="AJ232">
        <f>INDEX($Q$179:$Q$306,AC232+1)</f>
        <v/>
      </c>
      <c r="AK232">
        <f>INDEX($R$179:$R$306,AD232+1)</f>
        <v/>
      </c>
      <c r="AL232">
        <f>INDEX($S$179:$S$306,AE232+1)</f>
        <v/>
      </c>
      <c r="AM232">
        <f>INDEX($T$179:$T$306,AF232+1)</f>
        <v/>
      </c>
      <c r="AN232">
        <f>INDEX($U$179:$U$306,AG232+1)</f>
        <v/>
      </c>
      <c r="AO232">
        <f>INDEX($V$179:$V$306,AH232+1)</f>
        <v/>
      </c>
      <c r="AP232">
        <f>INDEX($W$179:$W$306,AI232+1)</f>
        <v/>
      </c>
      <c r="AQ232">
        <f>IF(Q232&gt;=AJ232-0.01,1,0)</f>
        <v/>
      </c>
      <c r="AR232">
        <f>IF(R232&gt;=AK232-0.01,1,0)</f>
        <v/>
      </c>
      <c r="AS232">
        <f>IF(S232&gt;=AL232-0.01,1,0)</f>
        <v/>
      </c>
      <c r="AT232">
        <f>IF(T232&gt;=AM232-0.01,1,0)</f>
        <v/>
      </c>
      <c r="AU232">
        <f>IF(U232&gt;=AN232-0.01,1,0)</f>
        <v/>
      </c>
      <c r="AV232">
        <f>IF(V232&gt;=AO232-0.01,1,0)</f>
        <v/>
      </c>
      <c r="AW232">
        <f>IF(W232&gt;=AP232-0.01,1,0)</f>
        <v/>
      </c>
      <c r="AX232">
        <f>AQ232*AR232*AS232*AT232*AU232*AV232*AW232</f>
        <v/>
      </c>
      <c r="AY232">
        <f>Assumptions!$B$41</f>
        <v/>
      </c>
      <c r="AZ232">
        <f>Assumptions!$B$33</f>
        <v/>
      </c>
      <c r="BA232">
        <f>Assumptions!$B$32</f>
        <v/>
      </c>
      <c r="BB232">
        <f>Assumptions!$B$31</f>
        <v/>
      </c>
      <c r="BC232">
        <f>Assumptions!$B$30</f>
        <v/>
      </c>
      <c r="BD232">
        <f>Assumptions!$B$29</f>
        <v/>
      </c>
      <c r="BE232">
        <f>Assumptions!$B$28</f>
        <v/>
      </c>
      <c r="BF232">
        <f>P232*Assumptions!$B$141</f>
        <v/>
      </c>
      <c r="BG232">
        <f>P232*Assumptions!$B$128</f>
        <v/>
      </c>
      <c r="BH232">
        <f>P232*Assumptions!$B$129</f>
        <v/>
      </c>
      <c r="BI232">
        <f>P232*Assumptions!$B$14</f>
        <v/>
      </c>
      <c r="BJ232">
        <f>P232*Assumptions!$B$13</f>
        <v/>
      </c>
      <c r="BK232">
        <f>P232*Assumptions!$B$12</f>
        <v/>
      </c>
      <c r="BL232">
        <f>P232*Assumptions!$B$11</f>
        <v/>
      </c>
    </row>
    <row r="233">
      <c r="A233" t="inlineStr">
        <is>
          <t>1200M</t>
        </is>
      </c>
      <c r="B233">
        <f>Assumptions!$B$59</f>
        <v/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0</v>
      </c>
      <c r="J233">
        <f>(1-C233)*Assumptions!$B$41+(1-D233)*Assumptions!$B$33+(1-E233)*Assumptions!$B$32+(1-F233)*Assumptions!$B$31+(1-G233)*Assumptions!$B$30+(1-H233)*Assumptions!$B$29+(1-I233)*Assumptions!$B$28</f>
        <v/>
      </c>
      <c r="K233">
        <f>C233*Assumptions!$B$141+D233*Assumptions!$B$128+E233*Assumptions!$B$129+F233*Assumptions!$B$14+G233*Assumptions!$B$13+H233*Assumptions!$B$12+I233*Assumptions!$B$11+Assumptions!$B$133+Assumptions!$B$137+Assumptions!$B$9</f>
        <v/>
      </c>
      <c r="L233">
        <f>B233-J233</f>
        <v/>
      </c>
      <c r="M233">
        <f>IF(K233&gt;0,IF(L233/K233&gt;=Assumptions!$B$37,1,0),0)</f>
        <v/>
      </c>
      <c r="N233">
        <f>K233+M233*Assumptions!$B$153</f>
        <v/>
      </c>
      <c r="O233">
        <f>L233+M233*Assumptions!$B$153*Assumptions!$B$37</f>
        <v/>
      </c>
      <c r="P233">
        <f>IF(N233&gt;0,O233/N233,0)</f>
        <v/>
      </c>
      <c r="Q233">
        <f>IF(C233=1,P233*Assumptions!$B$141,Assumptions!$B$41)</f>
        <v/>
      </c>
      <c r="R233">
        <f>IF(D233=1,P233*Assumptions!$B$128,Assumptions!$B$33)</f>
        <v/>
      </c>
      <c r="S233">
        <f>IF(E233=1,P233*Assumptions!$B$129,Assumptions!$B$32)</f>
        <v/>
      </c>
      <c r="T233">
        <f>IF(F233=1,P233*Assumptions!$B$14,Assumptions!$B$31)</f>
        <v/>
      </c>
      <c r="U233">
        <f>IF(G233=1,P233*Assumptions!$B$13,Assumptions!$B$30)</f>
        <v/>
      </c>
      <c r="V233">
        <f>IF(H233=1,P233*Assumptions!$B$12,Assumptions!$B$29)</f>
        <v/>
      </c>
      <c r="W233">
        <f>IF(I233=1,P233*Assumptions!$B$11,Assumptions!$B$28)</f>
        <v/>
      </c>
      <c r="X233">
        <f>P233*(Assumptions!$B$133+Assumptions!$B$137)</f>
        <v/>
      </c>
      <c r="Y233">
        <f>P233*Assumptions!$B$9</f>
        <v/>
      </c>
      <c r="Z233">
        <f>IF(M233=1,(P233-Assumptions!$B$37)*Assumptions!$B$153,0)</f>
        <v/>
      </c>
      <c r="AA233">
        <f>Q233+R233+S233+T233+U233+V233+W233+X233+Y233+Z233</f>
        <v/>
      </c>
      <c r="AB233" t="n">
        <v>54</v>
      </c>
      <c r="AC233" t="n">
        <v>118</v>
      </c>
      <c r="AD233" t="n">
        <v>22</v>
      </c>
      <c r="AE233" t="n">
        <v>38</v>
      </c>
      <c r="AF233" t="n">
        <v>62</v>
      </c>
      <c r="AG233" t="n">
        <v>50</v>
      </c>
      <c r="AH233" t="n">
        <v>52</v>
      </c>
      <c r="AI233" t="n">
        <v>55</v>
      </c>
      <c r="AJ233">
        <f>INDEX($Q$179:$Q$306,AC233+1)</f>
        <v/>
      </c>
      <c r="AK233">
        <f>INDEX($R$179:$R$306,AD233+1)</f>
        <v/>
      </c>
      <c r="AL233">
        <f>INDEX($S$179:$S$306,AE233+1)</f>
        <v/>
      </c>
      <c r="AM233">
        <f>INDEX($T$179:$T$306,AF233+1)</f>
        <v/>
      </c>
      <c r="AN233">
        <f>INDEX($U$179:$U$306,AG233+1)</f>
        <v/>
      </c>
      <c r="AO233">
        <f>INDEX($V$179:$V$306,AH233+1)</f>
        <v/>
      </c>
      <c r="AP233">
        <f>INDEX($W$179:$W$306,AI233+1)</f>
        <v/>
      </c>
      <c r="AQ233">
        <f>IF(Q233&gt;=AJ233-0.01,1,0)</f>
        <v/>
      </c>
      <c r="AR233">
        <f>IF(R233&gt;=AK233-0.01,1,0)</f>
        <v/>
      </c>
      <c r="AS233">
        <f>IF(S233&gt;=AL233-0.01,1,0)</f>
        <v/>
      </c>
      <c r="AT233">
        <f>IF(T233&gt;=AM233-0.01,1,0)</f>
        <v/>
      </c>
      <c r="AU233">
        <f>IF(U233&gt;=AN233-0.01,1,0)</f>
        <v/>
      </c>
      <c r="AV233">
        <f>IF(V233&gt;=AO233-0.01,1,0)</f>
        <v/>
      </c>
      <c r="AW233">
        <f>IF(W233&gt;=AP233-0.01,1,0)</f>
        <v/>
      </c>
      <c r="AX233">
        <f>AQ233*AR233*AS233*AT233*AU233*AV233*AW233</f>
        <v/>
      </c>
      <c r="AY233">
        <f>Assumptions!$B$41</f>
        <v/>
      </c>
      <c r="AZ233">
        <f>Assumptions!$B$33</f>
        <v/>
      </c>
      <c r="BA233">
        <f>Assumptions!$B$32</f>
        <v/>
      </c>
      <c r="BB233">
        <f>Assumptions!$B$31</f>
        <v/>
      </c>
      <c r="BC233">
        <f>Assumptions!$B$30</f>
        <v/>
      </c>
      <c r="BD233">
        <f>Assumptions!$B$29</f>
        <v/>
      </c>
      <c r="BE233">
        <f>Assumptions!$B$28</f>
        <v/>
      </c>
      <c r="BF233">
        <f>P233*Assumptions!$B$141</f>
        <v/>
      </c>
      <c r="BG233">
        <f>P233*Assumptions!$B$128</f>
        <v/>
      </c>
      <c r="BH233">
        <f>P233*Assumptions!$B$129</f>
        <v/>
      </c>
      <c r="BI233">
        <f>P233*Assumptions!$B$14</f>
        <v/>
      </c>
      <c r="BJ233">
        <f>P233*Assumptions!$B$13</f>
        <v/>
      </c>
      <c r="BK233">
        <f>P233*Assumptions!$B$12</f>
        <v/>
      </c>
      <c r="BL233">
        <f>P233*Assumptions!$B$11</f>
        <v/>
      </c>
    </row>
    <row r="234">
      <c r="A234" t="inlineStr">
        <is>
          <t>1200M</t>
        </is>
      </c>
      <c r="B234">
        <f>Assumptions!$B$59</f>
        <v/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>
        <f>(1-C234)*Assumptions!$B$41+(1-D234)*Assumptions!$B$33+(1-E234)*Assumptions!$B$32+(1-F234)*Assumptions!$B$31+(1-G234)*Assumptions!$B$30+(1-H234)*Assumptions!$B$29+(1-I234)*Assumptions!$B$28</f>
        <v/>
      </c>
      <c r="K234">
        <f>C234*Assumptions!$B$141+D234*Assumptions!$B$128+E234*Assumptions!$B$129+F234*Assumptions!$B$14+G234*Assumptions!$B$13+H234*Assumptions!$B$12+I234*Assumptions!$B$11+Assumptions!$B$133+Assumptions!$B$137+Assumptions!$B$9</f>
        <v/>
      </c>
      <c r="L234">
        <f>B234-J234</f>
        <v/>
      </c>
      <c r="M234">
        <f>IF(K234&gt;0,IF(L234/K234&gt;=Assumptions!$B$37,1,0),0)</f>
        <v/>
      </c>
      <c r="N234">
        <f>K234+M234*Assumptions!$B$153</f>
        <v/>
      </c>
      <c r="O234">
        <f>L234+M234*Assumptions!$B$153*Assumptions!$B$37</f>
        <v/>
      </c>
      <c r="P234">
        <f>IF(N234&gt;0,O234/N234,0)</f>
        <v/>
      </c>
      <c r="Q234">
        <f>IF(C234=1,P234*Assumptions!$B$141,Assumptions!$B$41)</f>
        <v/>
      </c>
      <c r="R234">
        <f>IF(D234=1,P234*Assumptions!$B$128,Assumptions!$B$33)</f>
        <v/>
      </c>
      <c r="S234">
        <f>IF(E234=1,P234*Assumptions!$B$129,Assumptions!$B$32)</f>
        <v/>
      </c>
      <c r="T234">
        <f>IF(F234=1,P234*Assumptions!$B$14,Assumptions!$B$31)</f>
        <v/>
      </c>
      <c r="U234">
        <f>IF(G234=1,P234*Assumptions!$B$13,Assumptions!$B$30)</f>
        <v/>
      </c>
      <c r="V234">
        <f>IF(H234=1,P234*Assumptions!$B$12,Assumptions!$B$29)</f>
        <v/>
      </c>
      <c r="W234">
        <f>IF(I234=1,P234*Assumptions!$B$11,Assumptions!$B$28)</f>
        <v/>
      </c>
      <c r="X234">
        <f>P234*(Assumptions!$B$133+Assumptions!$B$137)</f>
        <v/>
      </c>
      <c r="Y234">
        <f>P234*Assumptions!$B$9</f>
        <v/>
      </c>
      <c r="Z234">
        <f>IF(M234=1,(P234-Assumptions!$B$37)*Assumptions!$B$153,0)</f>
        <v/>
      </c>
      <c r="AA234">
        <f>Q234+R234+S234+T234+U234+V234+W234+X234+Y234+Z234</f>
        <v/>
      </c>
      <c r="AB234" t="n">
        <v>55</v>
      </c>
      <c r="AC234" t="n">
        <v>119</v>
      </c>
      <c r="AD234" t="n">
        <v>23</v>
      </c>
      <c r="AE234" t="n">
        <v>39</v>
      </c>
      <c r="AF234" t="n">
        <v>63</v>
      </c>
      <c r="AG234" t="n">
        <v>51</v>
      </c>
      <c r="AH234" t="n">
        <v>53</v>
      </c>
      <c r="AI234" t="n">
        <v>54</v>
      </c>
      <c r="AJ234">
        <f>INDEX($Q$179:$Q$306,AC234+1)</f>
        <v/>
      </c>
      <c r="AK234">
        <f>INDEX($R$179:$R$306,AD234+1)</f>
        <v/>
      </c>
      <c r="AL234">
        <f>INDEX($S$179:$S$306,AE234+1)</f>
        <v/>
      </c>
      <c r="AM234">
        <f>INDEX($T$179:$T$306,AF234+1)</f>
        <v/>
      </c>
      <c r="AN234">
        <f>INDEX($U$179:$U$306,AG234+1)</f>
        <v/>
      </c>
      <c r="AO234">
        <f>INDEX($V$179:$V$306,AH234+1)</f>
        <v/>
      </c>
      <c r="AP234">
        <f>INDEX($W$179:$W$306,AI234+1)</f>
        <v/>
      </c>
      <c r="AQ234">
        <f>IF(Q234&gt;=AJ234-0.01,1,0)</f>
        <v/>
      </c>
      <c r="AR234">
        <f>IF(R234&gt;=AK234-0.01,1,0)</f>
        <v/>
      </c>
      <c r="AS234">
        <f>IF(S234&gt;=AL234-0.01,1,0)</f>
        <v/>
      </c>
      <c r="AT234">
        <f>IF(T234&gt;=AM234-0.01,1,0)</f>
        <v/>
      </c>
      <c r="AU234">
        <f>IF(U234&gt;=AN234-0.01,1,0)</f>
        <v/>
      </c>
      <c r="AV234">
        <f>IF(V234&gt;=AO234-0.01,1,0)</f>
        <v/>
      </c>
      <c r="AW234">
        <f>IF(W234&gt;=AP234-0.01,1,0)</f>
        <v/>
      </c>
      <c r="AX234">
        <f>AQ234*AR234*AS234*AT234*AU234*AV234*AW234</f>
        <v/>
      </c>
      <c r="AY234">
        <f>Assumptions!$B$41</f>
        <v/>
      </c>
      <c r="AZ234">
        <f>Assumptions!$B$33</f>
        <v/>
      </c>
      <c r="BA234">
        <f>Assumptions!$B$32</f>
        <v/>
      </c>
      <c r="BB234">
        <f>Assumptions!$B$31</f>
        <v/>
      </c>
      <c r="BC234">
        <f>Assumptions!$B$30</f>
        <v/>
      </c>
      <c r="BD234">
        <f>Assumptions!$B$29</f>
        <v/>
      </c>
      <c r="BE234">
        <f>Assumptions!$B$28</f>
        <v/>
      </c>
      <c r="BF234">
        <f>P234*Assumptions!$B$141</f>
        <v/>
      </c>
      <c r="BG234">
        <f>P234*Assumptions!$B$128</f>
        <v/>
      </c>
      <c r="BH234">
        <f>P234*Assumptions!$B$129</f>
        <v/>
      </c>
      <c r="BI234">
        <f>P234*Assumptions!$B$14</f>
        <v/>
      </c>
      <c r="BJ234">
        <f>P234*Assumptions!$B$13</f>
        <v/>
      </c>
      <c r="BK234">
        <f>P234*Assumptions!$B$12</f>
        <v/>
      </c>
      <c r="BL234">
        <f>P234*Assumptions!$B$11</f>
        <v/>
      </c>
    </row>
    <row r="235">
      <c r="A235" t="inlineStr">
        <is>
          <t>1200M</t>
        </is>
      </c>
      <c r="B235">
        <f>Assumptions!$B$59</f>
        <v/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>
        <f>(1-C235)*Assumptions!$B$41+(1-D235)*Assumptions!$B$33+(1-E235)*Assumptions!$B$32+(1-F235)*Assumptions!$B$31+(1-G235)*Assumptions!$B$30+(1-H235)*Assumptions!$B$29+(1-I235)*Assumptions!$B$28</f>
        <v/>
      </c>
      <c r="K235">
        <f>C235*Assumptions!$B$141+D235*Assumptions!$B$128+E235*Assumptions!$B$129+F235*Assumptions!$B$14+G235*Assumptions!$B$13+H235*Assumptions!$B$12+I235*Assumptions!$B$11+Assumptions!$B$133+Assumptions!$B$137+Assumptions!$B$9</f>
        <v/>
      </c>
      <c r="L235">
        <f>B235-J235</f>
        <v/>
      </c>
      <c r="M235">
        <f>IF(K235&gt;0,IF(L235/K235&gt;=Assumptions!$B$37,1,0),0)</f>
        <v/>
      </c>
      <c r="N235">
        <f>K235+M235*Assumptions!$B$153</f>
        <v/>
      </c>
      <c r="O235">
        <f>L235+M235*Assumptions!$B$153*Assumptions!$B$37</f>
        <v/>
      </c>
      <c r="P235">
        <f>IF(N235&gt;0,O235/N235,0)</f>
        <v/>
      </c>
      <c r="Q235">
        <f>IF(C235=1,P235*Assumptions!$B$141,Assumptions!$B$41)</f>
        <v/>
      </c>
      <c r="R235">
        <f>IF(D235=1,P235*Assumptions!$B$128,Assumptions!$B$33)</f>
        <v/>
      </c>
      <c r="S235">
        <f>IF(E235=1,P235*Assumptions!$B$129,Assumptions!$B$32)</f>
        <v/>
      </c>
      <c r="T235">
        <f>IF(F235=1,P235*Assumptions!$B$14,Assumptions!$B$31)</f>
        <v/>
      </c>
      <c r="U235">
        <f>IF(G235=1,P235*Assumptions!$B$13,Assumptions!$B$30)</f>
        <v/>
      </c>
      <c r="V235">
        <f>IF(H235=1,P235*Assumptions!$B$12,Assumptions!$B$29)</f>
        <v/>
      </c>
      <c r="W235">
        <f>IF(I235=1,P235*Assumptions!$B$11,Assumptions!$B$28)</f>
        <v/>
      </c>
      <c r="X235">
        <f>P235*(Assumptions!$B$133+Assumptions!$B$137)</f>
        <v/>
      </c>
      <c r="Y235">
        <f>P235*Assumptions!$B$9</f>
        <v/>
      </c>
      <c r="Z235">
        <f>IF(M235=1,(P235-Assumptions!$B$37)*Assumptions!$B$153,0)</f>
        <v/>
      </c>
      <c r="AA235">
        <f>Q235+R235+S235+T235+U235+V235+W235+X235+Y235+Z235</f>
        <v/>
      </c>
      <c r="AB235" t="n">
        <v>56</v>
      </c>
      <c r="AC235" t="n">
        <v>120</v>
      </c>
      <c r="AD235" t="n">
        <v>24</v>
      </c>
      <c r="AE235" t="n">
        <v>40</v>
      </c>
      <c r="AF235" t="n">
        <v>48</v>
      </c>
      <c r="AG235" t="n">
        <v>60</v>
      </c>
      <c r="AH235" t="n">
        <v>58</v>
      </c>
      <c r="AI235" t="n">
        <v>57</v>
      </c>
      <c r="AJ235">
        <f>INDEX($Q$179:$Q$306,AC235+1)</f>
        <v/>
      </c>
      <c r="AK235">
        <f>INDEX($R$179:$R$306,AD235+1)</f>
        <v/>
      </c>
      <c r="AL235">
        <f>INDEX($S$179:$S$306,AE235+1)</f>
        <v/>
      </c>
      <c r="AM235">
        <f>INDEX($T$179:$T$306,AF235+1)</f>
        <v/>
      </c>
      <c r="AN235">
        <f>INDEX($U$179:$U$306,AG235+1)</f>
        <v/>
      </c>
      <c r="AO235">
        <f>INDEX($V$179:$V$306,AH235+1)</f>
        <v/>
      </c>
      <c r="AP235">
        <f>INDEX($W$179:$W$306,AI235+1)</f>
        <v/>
      </c>
      <c r="AQ235">
        <f>IF(Q235&gt;=AJ235-0.01,1,0)</f>
        <v/>
      </c>
      <c r="AR235">
        <f>IF(R235&gt;=AK235-0.01,1,0)</f>
        <v/>
      </c>
      <c r="AS235">
        <f>IF(S235&gt;=AL235-0.01,1,0)</f>
        <v/>
      </c>
      <c r="AT235">
        <f>IF(T235&gt;=AM235-0.01,1,0)</f>
        <v/>
      </c>
      <c r="AU235">
        <f>IF(U235&gt;=AN235-0.01,1,0)</f>
        <v/>
      </c>
      <c r="AV235">
        <f>IF(V235&gt;=AO235-0.01,1,0)</f>
        <v/>
      </c>
      <c r="AW235">
        <f>IF(W235&gt;=AP235-0.01,1,0)</f>
        <v/>
      </c>
      <c r="AX235">
        <f>AQ235*AR235*AS235*AT235*AU235*AV235*AW235</f>
        <v/>
      </c>
      <c r="AY235">
        <f>Assumptions!$B$41</f>
        <v/>
      </c>
      <c r="AZ235">
        <f>Assumptions!$B$33</f>
        <v/>
      </c>
      <c r="BA235">
        <f>Assumptions!$B$32</f>
        <v/>
      </c>
      <c r="BB235">
        <f>Assumptions!$B$31</f>
        <v/>
      </c>
      <c r="BC235">
        <f>Assumptions!$B$30</f>
        <v/>
      </c>
      <c r="BD235">
        <f>Assumptions!$B$29</f>
        <v/>
      </c>
      <c r="BE235">
        <f>Assumptions!$B$28</f>
        <v/>
      </c>
      <c r="BF235">
        <f>P235*Assumptions!$B$141</f>
        <v/>
      </c>
      <c r="BG235">
        <f>P235*Assumptions!$B$128</f>
        <v/>
      </c>
      <c r="BH235">
        <f>P235*Assumptions!$B$129</f>
        <v/>
      </c>
      <c r="BI235">
        <f>P235*Assumptions!$B$14</f>
        <v/>
      </c>
      <c r="BJ235">
        <f>P235*Assumptions!$B$13</f>
        <v/>
      </c>
      <c r="BK235">
        <f>P235*Assumptions!$B$12</f>
        <v/>
      </c>
      <c r="BL235">
        <f>P235*Assumptions!$B$11</f>
        <v/>
      </c>
    </row>
    <row r="236">
      <c r="A236" t="inlineStr">
        <is>
          <t>1200M</t>
        </is>
      </c>
      <c r="B236">
        <f>Assumptions!$B$59</f>
        <v/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>
        <f>(1-C236)*Assumptions!$B$41+(1-D236)*Assumptions!$B$33+(1-E236)*Assumptions!$B$32+(1-F236)*Assumptions!$B$31+(1-G236)*Assumptions!$B$30+(1-H236)*Assumptions!$B$29+(1-I236)*Assumptions!$B$28</f>
        <v/>
      </c>
      <c r="K236">
        <f>C236*Assumptions!$B$141+D236*Assumptions!$B$128+E236*Assumptions!$B$129+F236*Assumptions!$B$14+G236*Assumptions!$B$13+H236*Assumptions!$B$12+I236*Assumptions!$B$11+Assumptions!$B$133+Assumptions!$B$137+Assumptions!$B$9</f>
        <v/>
      </c>
      <c r="L236">
        <f>B236-J236</f>
        <v/>
      </c>
      <c r="M236">
        <f>IF(K236&gt;0,IF(L236/K236&gt;=Assumptions!$B$37,1,0),0)</f>
        <v/>
      </c>
      <c r="N236">
        <f>K236+M236*Assumptions!$B$153</f>
        <v/>
      </c>
      <c r="O236">
        <f>L236+M236*Assumptions!$B$153*Assumptions!$B$37</f>
        <v/>
      </c>
      <c r="P236">
        <f>IF(N236&gt;0,O236/N236,0)</f>
        <v/>
      </c>
      <c r="Q236">
        <f>IF(C236=1,P236*Assumptions!$B$141,Assumptions!$B$41)</f>
        <v/>
      </c>
      <c r="R236">
        <f>IF(D236=1,P236*Assumptions!$B$128,Assumptions!$B$33)</f>
        <v/>
      </c>
      <c r="S236">
        <f>IF(E236=1,P236*Assumptions!$B$129,Assumptions!$B$32)</f>
        <v/>
      </c>
      <c r="T236">
        <f>IF(F236=1,P236*Assumptions!$B$14,Assumptions!$B$31)</f>
        <v/>
      </c>
      <c r="U236">
        <f>IF(G236=1,P236*Assumptions!$B$13,Assumptions!$B$30)</f>
        <v/>
      </c>
      <c r="V236">
        <f>IF(H236=1,P236*Assumptions!$B$12,Assumptions!$B$29)</f>
        <v/>
      </c>
      <c r="W236">
        <f>IF(I236=1,P236*Assumptions!$B$11,Assumptions!$B$28)</f>
        <v/>
      </c>
      <c r="X236">
        <f>P236*(Assumptions!$B$133+Assumptions!$B$137)</f>
        <v/>
      </c>
      <c r="Y236">
        <f>P236*Assumptions!$B$9</f>
        <v/>
      </c>
      <c r="Z236">
        <f>IF(M236=1,(P236-Assumptions!$B$37)*Assumptions!$B$153,0)</f>
        <v/>
      </c>
      <c r="AA236">
        <f>Q236+R236+S236+T236+U236+V236+W236+X236+Y236+Z236</f>
        <v/>
      </c>
      <c r="AB236" t="n">
        <v>57</v>
      </c>
      <c r="AC236" t="n">
        <v>121</v>
      </c>
      <c r="AD236" t="n">
        <v>25</v>
      </c>
      <c r="AE236" t="n">
        <v>41</v>
      </c>
      <c r="AF236" t="n">
        <v>49</v>
      </c>
      <c r="AG236" t="n">
        <v>61</v>
      </c>
      <c r="AH236" t="n">
        <v>59</v>
      </c>
      <c r="AI236" t="n">
        <v>56</v>
      </c>
      <c r="AJ236">
        <f>INDEX($Q$179:$Q$306,AC236+1)</f>
        <v/>
      </c>
      <c r="AK236">
        <f>INDEX($R$179:$R$306,AD236+1)</f>
        <v/>
      </c>
      <c r="AL236">
        <f>INDEX($S$179:$S$306,AE236+1)</f>
        <v/>
      </c>
      <c r="AM236">
        <f>INDEX($T$179:$T$306,AF236+1)</f>
        <v/>
      </c>
      <c r="AN236">
        <f>INDEX($U$179:$U$306,AG236+1)</f>
        <v/>
      </c>
      <c r="AO236">
        <f>INDEX($V$179:$V$306,AH236+1)</f>
        <v/>
      </c>
      <c r="AP236">
        <f>INDEX($W$179:$W$306,AI236+1)</f>
        <v/>
      </c>
      <c r="AQ236">
        <f>IF(Q236&gt;=AJ236-0.01,1,0)</f>
        <v/>
      </c>
      <c r="AR236">
        <f>IF(R236&gt;=AK236-0.01,1,0)</f>
        <v/>
      </c>
      <c r="AS236">
        <f>IF(S236&gt;=AL236-0.01,1,0)</f>
        <v/>
      </c>
      <c r="AT236">
        <f>IF(T236&gt;=AM236-0.01,1,0)</f>
        <v/>
      </c>
      <c r="AU236">
        <f>IF(U236&gt;=AN236-0.01,1,0)</f>
        <v/>
      </c>
      <c r="AV236">
        <f>IF(V236&gt;=AO236-0.01,1,0)</f>
        <v/>
      </c>
      <c r="AW236">
        <f>IF(W236&gt;=AP236-0.01,1,0)</f>
        <v/>
      </c>
      <c r="AX236">
        <f>AQ236*AR236*AS236*AT236*AU236*AV236*AW236</f>
        <v/>
      </c>
      <c r="AY236">
        <f>Assumptions!$B$41</f>
        <v/>
      </c>
      <c r="AZ236">
        <f>Assumptions!$B$33</f>
        <v/>
      </c>
      <c r="BA236">
        <f>Assumptions!$B$32</f>
        <v/>
      </c>
      <c r="BB236">
        <f>Assumptions!$B$31</f>
        <v/>
      </c>
      <c r="BC236">
        <f>Assumptions!$B$30</f>
        <v/>
      </c>
      <c r="BD236">
        <f>Assumptions!$B$29</f>
        <v/>
      </c>
      <c r="BE236">
        <f>Assumptions!$B$28</f>
        <v/>
      </c>
      <c r="BF236">
        <f>P236*Assumptions!$B$141</f>
        <v/>
      </c>
      <c r="BG236">
        <f>P236*Assumptions!$B$128</f>
        <v/>
      </c>
      <c r="BH236">
        <f>P236*Assumptions!$B$129</f>
        <v/>
      </c>
      <c r="BI236">
        <f>P236*Assumptions!$B$14</f>
        <v/>
      </c>
      <c r="BJ236">
        <f>P236*Assumptions!$B$13</f>
        <v/>
      </c>
      <c r="BK236">
        <f>P236*Assumptions!$B$12</f>
        <v/>
      </c>
      <c r="BL236">
        <f>P236*Assumptions!$B$11</f>
        <v/>
      </c>
    </row>
    <row r="237">
      <c r="A237" t="inlineStr">
        <is>
          <t>1200M</t>
        </is>
      </c>
      <c r="B237">
        <f>Assumptions!$B$59</f>
        <v/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>
        <f>(1-C237)*Assumptions!$B$41+(1-D237)*Assumptions!$B$33+(1-E237)*Assumptions!$B$32+(1-F237)*Assumptions!$B$31+(1-G237)*Assumptions!$B$30+(1-H237)*Assumptions!$B$29+(1-I237)*Assumptions!$B$28</f>
        <v/>
      </c>
      <c r="K237">
        <f>C237*Assumptions!$B$141+D237*Assumptions!$B$128+E237*Assumptions!$B$129+F237*Assumptions!$B$14+G237*Assumptions!$B$13+H237*Assumptions!$B$12+I237*Assumptions!$B$11+Assumptions!$B$133+Assumptions!$B$137+Assumptions!$B$9</f>
        <v/>
      </c>
      <c r="L237">
        <f>B237-J237</f>
        <v/>
      </c>
      <c r="M237">
        <f>IF(K237&gt;0,IF(L237/K237&gt;=Assumptions!$B$37,1,0),0)</f>
        <v/>
      </c>
      <c r="N237">
        <f>K237+M237*Assumptions!$B$153</f>
        <v/>
      </c>
      <c r="O237">
        <f>L237+M237*Assumptions!$B$153*Assumptions!$B$37</f>
        <v/>
      </c>
      <c r="P237">
        <f>IF(N237&gt;0,O237/N237,0)</f>
        <v/>
      </c>
      <c r="Q237">
        <f>IF(C237=1,P237*Assumptions!$B$141,Assumptions!$B$41)</f>
        <v/>
      </c>
      <c r="R237">
        <f>IF(D237=1,P237*Assumptions!$B$128,Assumptions!$B$33)</f>
        <v/>
      </c>
      <c r="S237">
        <f>IF(E237=1,P237*Assumptions!$B$129,Assumptions!$B$32)</f>
        <v/>
      </c>
      <c r="T237">
        <f>IF(F237=1,P237*Assumptions!$B$14,Assumptions!$B$31)</f>
        <v/>
      </c>
      <c r="U237">
        <f>IF(G237=1,P237*Assumptions!$B$13,Assumptions!$B$30)</f>
        <v/>
      </c>
      <c r="V237">
        <f>IF(H237=1,P237*Assumptions!$B$12,Assumptions!$B$29)</f>
        <v/>
      </c>
      <c r="W237">
        <f>IF(I237=1,P237*Assumptions!$B$11,Assumptions!$B$28)</f>
        <v/>
      </c>
      <c r="X237">
        <f>P237*(Assumptions!$B$133+Assumptions!$B$137)</f>
        <v/>
      </c>
      <c r="Y237">
        <f>P237*Assumptions!$B$9</f>
        <v/>
      </c>
      <c r="Z237">
        <f>IF(M237=1,(P237-Assumptions!$B$37)*Assumptions!$B$153,0)</f>
        <v/>
      </c>
      <c r="AA237">
        <f>Q237+R237+S237+T237+U237+V237+W237+X237+Y237+Z237</f>
        <v/>
      </c>
      <c r="AB237" t="n">
        <v>58</v>
      </c>
      <c r="AC237" t="n">
        <v>122</v>
      </c>
      <c r="AD237" t="n">
        <v>26</v>
      </c>
      <c r="AE237" t="n">
        <v>42</v>
      </c>
      <c r="AF237" t="n">
        <v>50</v>
      </c>
      <c r="AG237" t="n">
        <v>62</v>
      </c>
      <c r="AH237" t="n">
        <v>56</v>
      </c>
      <c r="AI237" t="n">
        <v>59</v>
      </c>
      <c r="AJ237">
        <f>INDEX($Q$179:$Q$306,AC237+1)</f>
        <v/>
      </c>
      <c r="AK237">
        <f>INDEX($R$179:$R$306,AD237+1)</f>
        <v/>
      </c>
      <c r="AL237">
        <f>INDEX($S$179:$S$306,AE237+1)</f>
        <v/>
      </c>
      <c r="AM237">
        <f>INDEX($T$179:$T$306,AF237+1)</f>
        <v/>
      </c>
      <c r="AN237">
        <f>INDEX($U$179:$U$306,AG237+1)</f>
        <v/>
      </c>
      <c r="AO237">
        <f>INDEX($V$179:$V$306,AH237+1)</f>
        <v/>
      </c>
      <c r="AP237">
        <f>INDEX($W$179:$W$306,AI237+1)</f>
        <v/>
      </c>
      <c r="AQ237">
        <f>IF(Q237&gt;=AJ237-0.01,1,0)</f>
        <v/>
      </c>
      <c r="AR237">
        <f>IF(R237&gt;=AK237-0.01,1,0)</f>
        <v/>
      </c>
      <c r="AS237">
        <f>IF(S237&gt;=AL237-0.01,1,0)</f>
        <v/>
      </c>
      <c r="AT237">
        <f>IF(T237&gt;=AM237-0.01,1,0)</f>
        <v/>
      </c>
      <c r="AU237">
        <f>IF(U237&gt;=AN237-0.01,1,0)</f>
        <v/>
      </c>
      <c r="AV237">
        <f>IF(V237&gt;=AO237-0.01,1,0)</f>
        <v/>
      </c>
      <c r="AW237">
        <f>IF(W237&gt;=AP237-0.01,1,0)</f>
        <v/>
      </c>
      <c r="AX237">
        <f>AQ237*AR237*AS237*AT237*AU237*AV237*AW237</f>
        <v/>
      </c>
      <c r="AY237">
        <f>Assumptions!$B$41</f>
        <v/>
      </c>
      <c r="AZ237">
        <f>Assumptions!$B$33</f>
        <v/>
      </c>
      <c r="BA237">
        <f>Assumptions!$B$32</f>
        <v/>
      </c>
      <c r="BB237">
        <f>Assumptions!$B$31</f>
        <v/>
      </c>
      <c r="BC237">
        <f>Assumptions!$B$30</f>
        <v/>
      </c>
      <c r="BD237">
        <f>Assumptions!$B$29</f>
        <v/>
      </c>
      <c r="BE237">
        <f>Assumptions!$B$28</f>
        <v/>
      </c>
      <c r="BF237">
        <f>P237*Assumptions!$B$141</f>
        <v/>
      </c>
      <c r="BG237">
        <f>P237*Assumptions!$B$128</f>
        <v/>
      </c>
      <c r="BH237">
        <f>P237*Assumptions!$B$129</f>
        <v/>
      </c>
      <c r="BI237">
        <f>P237*Assumptions!$B$14</f>
        <v/>
      </c>
      <c r="BJ237">
        <f>P237*Assumptions!$B$13</f>
        <v/>
      </c>
      <c r="BK237">
        <f>P237*Assumptions!$B$12</f>
        <v/>
      </c>
      <c r="BL237">
        <f>P237*Assumptions!$B$11</f>
        <v/>
      </c>
    </row>
    <row r="238">
      <c r="A238" t="inlineStr">
        <is>
          <t>1200M</t>
        </is>
      </c>
      <c r="B238">
        <f>Assumptions!$B$59</f>
        <v/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>
        <f>(1-C238)*Assumptions!$B$41+(1-D238)*Assumptions!$B$33+(1-E238)*Assumptions!$B$32+(1-F238)*Assumptions!$B$31+(1-G238)*Assumptions!$B$30+(1-H238)*Assumptions!$B$29+(1-I238)*Assumptions!$B$28</f>
        <v/>
      </c>
      <c r="K238">
        <f>C238*Assumptions!$B$141+D238*Assumptions!$B$128+E238*Assumptions!$B$129+F238*Assumptions!$B$14+G238*Assumptions!$B$13+H238*Assumptions!$B$12+I238*Assumptions!$B$11+Assumptions!$B$133+Assumptions!$B$137+Assumptions!$B$9</f>
        <v/>
      </c>
      <c r="L238">
        <f>B238-J238</f>
        <v/>
      </c>
      <c r="M238">
        <f>IF(K238&gt;0,IF(L238/K238&gt;=Assumptions!$B$37,1,0),0)</f>
        <v/>
      </c>
      <c r="N238">
        <f>K238+M238*Assumptions!$B$153</f>
        <v/>
      </c>
      <c r="O238">
        <f>L238+M238*Assumptions!$B$153*Assumptions!$B$37</f>
        <v/>
      </c>
      <c r="P238">
        <f>IF(N238&gt;0,O238/N238,0)</f>
        <v/>
      </c>
      <c r="Q238">
        <f>IF(C238=1,P238*Assumptions!$B$141,Assumptions!$B$41)</f>
        <v/>
      </c>
      <c r="R238">
        <f>IF(D238=1,P238*Assumptions!$B$128,Assumptions!$B$33)</f>
        <v/>
      </c>
      <c r="S238">
        <f>IF(E238=1,P238*Assumptions!$B$129,Assumptions!$B$32)</f>
        <v/>
      </c>
      <c r="T238">
        <f>IF(F238=1,P238*Assumptions!$B$14,Assumptions!$B$31)</f>
        <v/>
      </c>
      <c r="U238">
        <f>IF(G238=1,P238*Assumptions!$B$13,Assumptions!$B$30)</f>
        <v/>
      </c>
      <c r="V238">
        <f>IF(H238=1,P238*Assumptions!$B$12,Assumptions!$B$29)</f>
        <v/>
      </c>
      <c r="W238">
        <f>IF(I238=1,P238*Assumptions!$B$11,Assumptions!$B$28)</f>
        <v/>
      </c>
      <c r="X238">
        <f>P238*(Assumptions!$B$133+Assumptions!$B$137)</f>
        <v/>
      </c>
      <c r="Y238">
        <f>P238*Assumptions!$B$9</f>
        <v/>
      </c>
      <c r="Z238">
        <f>IF(M238=1,(P238-Assumptions!$B$37)*Assumptions!$B$153,0)</f>
        <v/>
      </c>
      <c r="AA238">
        <f>Q238+R238+S238+T238+U238+V238+W238+X238+Y238+Z238</f>
        <v/>
      </c>
      <c r="AB238" t="n">
        <v>59</v>
      </c>
      <c r="AC238" t="n">
        <v>123</v>
      </c>
      <c r="AD238" t="n">
        <v>27</v>
      </c>
      <c r="AE238" t="n">
        <v>43</v>
      </c>
      <c r="AF238" t="n">
        <v>51</v>
      </c>
      <c r="AG238" t="n">
        <v>63</v>
      </c>
      <c r="AH238" t="n">
        <v>57</v>
      </c>
      <c r="AI238" t="n">
        <v>58</v>
      </c>
      <c r="AJ238">
        <f>INDEX($Q$179:$Q$306,AC238+1)</f>
        <v/>
      </c>
      <c r="AK238">
        <f>INDEX($R$179:$R$306,AD238+1)</f>
        <v/>
      </c>
      <c r="AL238">
        <f>INDEX($S$179:$S$306,AE238+1)</f>
        <v/>
      </c>
      <c r="AM238">
        <f>INDEX($T$179:$T$306,AF238+1)</f>
        <v/>
      </c>
      <c r="AN238">
        <f>INDEX($U$179:$U$306,AG238+1)</f>
        <v/>
      </c>
      <c r="AO238">
        <f>INDEX($V$179:$V$306,AH238+1)</f>
        <v/>
      </c>
      <c r="AP238">
        <f>INDEX($W$179:$W$306,AI238+1)</f>
        <v/>
      </c>
      <c r="AQ238">
        <f>IF(Q238&gt;=AJ238-0.01,1,0)</f>
        <v/>
      </c>
      <c r="AR238">
        <f>IF(R238&gt;=AK238-0.01,1,0)</f>
        <v/>
      </c>
      <c r="AS238">
        <f>IF(S238&gt;=AL238-0.01,1,0)</f>
        <v/>
      </c>
      <c r="AT238">
        <f>IF(T238&gt;=AM238-0.01,1,0)</f>
        <v/>
      </c>
      <c r="AU238">
        <f>IF(U238&gt;=AN238-0.01,1,0)</f>
        <v/>
      </c>
      <c r="AV238">
        <f>IF(V238&gt;=AO238-0.01,1,0)</f>
        <v/>
      </c>
      <c r="AW238">
        <f>IF(W238&gt;=AP238-0.01,1,0)</f>
        <v/>
      </c>
      <c r="AX238">
        <f>AQ238*AR238*AS238*AT238*AU238*AV238*AW238</f>
        <v/>
      </c>
      <c r="AY238">
        <f>Assumptions!$B$41</f>
        <v/>
      </c>
      <c r="AZ238">
        <f>Assumptions!$B$33</f>
        <v/>
      </c>
      <c r="BA238">
        <f>Assumptions!$B$32</f>
        <v/>
      </c>
      <c r="BB238">
        <f>Assumptions!$B$31</f>
        <v/>
      </c>
      <c r="BC238">
        <f>Assumptions!$B$30</f>
        <v/>
      </c>
      <c r="BD238">
        <f>Assumptions!$B$29</f>
        <v/>
      </c>
      <c r="BE238">
        <f>Assumptions!$B$28</f>
        <v/>
      </c>
      <c r="BF238">
        <f>P238*Assumptions!$B$141</f>
        <v/>
      </c>
      <c r="BG238">
        <f>P238*Assumptions!$B$128</f>
        <v/>
      </c>
      <c r="BH238">
        <f>P238*Assumptions!$B$129</f>
        <v/>
      </c>
      <c r="BI238">
        <f>P238*Assumptions!$B$14</f>
        <v/>
      </c>
      <c r="BJ238">
        <f>P238*Assumptions!$B$13</f>
        <v/>
      </c>
      <c r="BK238">
        <f>P238*Assumptions!$B$12</f>
        <v/>
      </c>
      <c r="BL238">
        <f>P238*Assumptions!$B$11</f>
        <v/>
      </c>
    </row>
    <row r="239">
      <c r="A239" t="inlineStr">
        <is>
          <t>1200M</t>
        </is>
      </c>
      <c r="B239">
        <f>Assumptions!$B$59</f>
        <v/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>
        <f>(1-C239)*Assumptions!$B$41+(1-D239)*Assumptions!$B$33+(1-E239)*Assumptions!$B$32+(1-F239)*Assumptions!$B$31+(1-G239)*Assumptions!$B$30+(1-H239)*Assumptions!$B$29+(1-I239)*Assumptions!$B$28</f>
        <v/>
      </c>
      <c r="K239">
        <f>C239*Assumptions!$B$141+D239*Assumptions!$B$128+E239*Assumptions!$B$129+F239*Assumptions!$B$14+G239*Assumptions!$B$13+H239*Assumptions!$B$12+I239*Assumptions!$B$11+Assumptions!$B$133+Assumptions!$B$137+Assumptions!$B$9</f>
        <v/>
      </c>
      <c r="L239">
        <f>B239-J239</f>
        <v/>
      </c>
      <c r="M239">
        <f>IF(K239&gt;0,IF(L239/K239&gt;=Assumptions!$B$37,1,0),0)</f>
        <v/>
      </c>
      <c r="N239">
        <f>K239+M239*Assumptions!$B$153</f>
        <v/>
      </c>
      <c r="O239">
        <f>L239+M239*Assumptions!$B$153*Assumptions!$B$37</f>
        <v/>
      </c>
      <c r="P239">
        <f>IF(N239&gt;0,O239/N239,0)</f>
        <v/>
      </c>
      <c r="Q239">
        <f>IF(C239=1,P239*Assumptions!$B$141,Assumptions!$B$41)</f>
        <v/>
      </c>
      <c r="R239">
        <f>IF(D239=1,P239*Assumptions!$B$128,Assumptions!$B$33)</f>
        <v/>
      </c>
      <c r="S239">
        <f>IF(E239=1,P239*Assumptions!$B$129,Assumptions!$B$32)</f>
        <v/>
      </c>
      <c r="T239">
        <f>IF(F239=1,P239*Assumptions!$B$14,Assumptions!$B$31)</f>
        <v/>
      </c>
      <c r="U239">
        <f>IF(G239=1,P239*Assumptions!$B$13,Assumptions!$B$30)</f>
        <v/>
      </c>
      <c r="V239">
        <f>IF(H239=1,P239*Assumptions!$B$12,Assumptions!$B$29)</f>
        <v/>
      </c>
      <c r="W239">
        <f>IF(I239=1,P239*Assumptions!$B$11,Assumptions!$B$28)</f>
        <v/>
      </c>
      <c r="X239">
        <f>P239*(Assumptions!$B$133+Assumptions!$B$137)</f>
        <v/>
      </c>
      <c r="Y239">
        <f>P239*Assumptions!$B$9</f>
        <v/>
      </c>
      <c r="Z239">
        <f>IF(M239=1,(P239-Assumptions!$B$37)*Assumptions!$B$153,0)</f>
        <v/>
      </c>
      <c r="AA239">
        <f>Q239+R239+S239+T239+U239+V239+W239+X239+Y239+Z239</f>
        <v/>
      </c>
      <c r="AB239" t="n">
        <v>60</v>
      </c>
      <c r="AC239" t="n">
        <v>124</v>
      </c>
      <c r="AD239" t="n">
        <v>28</v>
      </c>
      <c r="AE239" t="n">
        <v>44</v>
      </c>
      <c r="AF239" t="n">
        <v>52</v>
      </c>
      <c r="AG239" t="n">
        <v>56</v>
      </c>
      <c r="AH239" t="n">
        <v>62</v>
      </c>
      <c r="AI239" t="n">
        <v>61</v>
      </c>
      <c r="AJ239">
        <f>INDEX($Q$179:$Q$306,AC239+1)</f>
        <v/>
      </c>
      <c r="AK239">
        <f>INDEX($R$179:$R$306,AD239+1)</f>
        <v/>
      </c>
      <c r="AL239">
        <f>INDEX($S$179:$S$306,AE239+1)</f>
        <v/>
      </c>
      <c r="AM239">
        <f>INDEX($T$179:$T$306,AF239+1)</f>
        <v/>
      </c>
      <c r="AN239">
        <f>INDEX($U$179:$U$306,AG239+1)</f>
        <v/>
      </c>
      <c r="AO239">
        <f>INDEX($V$179:$V$306,AH239+1)</f>
        <v/>
      </c>
      <c r="AP239">
        <f>INDEX($W$179:$W$306,AI239+1)</f>
        <v/>
      </c>
      <c r="AQ239">
        <f>IF(Q239&gt;=AJ239-0.01,1,0)</f>
        <v/>
      </c>
      <c r="AR239">
        <f>IF(R239&gt;=AK239-0.01,1,0)</f>
        <v/>
      </c>
      <c r="AS239">
        <f>IF(S239&gt;=AL239-0.01,1,0)</f>
        <v/>
      </c>
      <c r="AT239">
        <f>IF(T239&gt;=AM239-0.01,1,0)</f>
        <v/>
      </c>
      <c r="AU239">
        <f>IF(U239&gt;=AN239-0.01,1,0)</f>
        <v/>
      </c>
      <c r="AV239">
        <f>IF(V239&gt;=AO239-0.01,1,0)</f>
        <v/>
      </c>
      <c r="AW239">
        <f>IF(W239&gt;=AP239-0.01,1,0)</f>
        <v/>
      </c>
      <c r="AX239">
        <f>AQ239*AR239*AS239*AT239*AU239*AV239*AW239</f>
        <v/>
      </c>
      <c r="AY239">
        <f>Assumptions!$B$41</f>
        <v/>
      </c>
      <c r="AZ239">
        <f>Assumptions!$B$33</f>
        <v/>
      </c>
      <c r="BA239">
        <f>Assumptions!$B$32</f>
        <v/>
      </c>
      <c r="BB239">
        <f>Assumptions!$B$31</f>
        <v/>
      </c>
      <c r="BC239">
        <f>Assumptions!$B$30</f>
        <v/>
      </c>
      <c r="BD239">
        <f>Assumptions!$B$29</f>
        <v/>
      </c>
      <c r="BE239">
        <f>Assumptions!$B$28</f>
        <v/>
      </c>
      <c r="BF239">
        <f>P239*Assumptions!$B$141</f>
        <v/>
      </c>
      <c r="BG239">
        <f>P239*Assumptions!$B$128</f>
        <v/>
      </c>
      <c r="BH239">
        <f>P239*Assumptions!$B$129</f>
        <v/>
      </c>
      <c r="BI239">
        <f>P239*Assumptions!$B$14</f>
        <v/>
      </c>
      <c r="BJ239">
        <f>P239*Assumptions!$B$13</f>
        <v/>
      </c>
      <c r="BK239">
        <f>P239*Assumptions!$B$12</f>
        <v/>
      </c>
      <c r="BL239">
        <f>P239*Assumptions!$B$11</f>
        <v/>
      </c>
    </row>
    <row r="240">
      <c r="A240" t="inlineStr">
        <is>
          <t>1200M</t>
        </is>
      </c>
      <c r="B240">
        <f>Assumptions!$B$59</f>
        <v/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>
        <f>(1-C240)*Assumptions!$B$41+(1-D240)*Assumptions!$B$33+(1-E240)*Assumptions!$B$32+(1-F240)*Assumptions!$B$31+(1-G240)*Assumptions!$B$30+(1-H240)*Assumptions!$B$29+(1-I240)*Assumptions!$B$28</f>
        <v/>
      </c>
      <c r="K240">
        <f>C240*Assumptions!$B$141+D240*Assumptions!$B$128+E240*Assumptions!$B$129+F240*Assumptions!$B$14+G240*Assumptions!$B$13+H240*Assumptions!$B$12+I240*Assumptions!$B$11+Assumptions!$B$133+Assumptions!$B$137+Assumptions!$B$9</f>
        <v/>
      </c>
      <c r="L240">
        <f>B240-J240</f>
        <v/>
      </c>
      <c r="M240">
        <f>IF(K240&gt;0,IF(L240/K240&gt;=Assumptions!$B$37,1,0),0)</f>
        <v/>
      </c>
      <c r="N240">
        <f>K240+M240*Assumptions!$B$153</f>
        <v/>
      </c>
      <c r="O240">
        <f>L240+M240*Assumptions!$B$153*Assumptions!$B$37</f>
        <v/>
      </c>
      <c r="P240">
        <f>IF(N240&gt;0,O240/N240,0)</f>
        <v/>
      </c>
      <c r="Q240">
        <f>IF(C240=1,P240*Assumptions!$B$141,Assumptions!$B$41)</f>
        <v/>
      </c>
      <c r="R240">
        <f>IF(D240=1,P240*Assumptions!$B$128,Assumptions!$B$33)</f>
        <v/>
      </c>
      <c r="S240">
        <f>IF(E240=1,P240*Assumptions!$B$129,Assumptions!$B$32)</f>
        <v/>
      </c>
      <c r="T240">
        <f>IF(F240=1,P240*Assumptions!$B$14,Assumptions!$B$31)</f>
        <v/>
      </c>
      <c r="U240">
        <f>IF(G240=1,P240*Assumptions!$B$13,Assumptions!$B$30)</f>
        <v/>
      </c>
      <c r="V240">
        <f>IF(H240=1,P240*Assumptions!$B$12,Assumptions!$B$29)</f>
        <v/>
      </c>
      <c r="W240">
        <f>IF(I240=1,P240*Assumptions!$B$11,Assumptions!$B$28)</f>
        <v/>
      </c>
      <c r="X240">
        <f>P240*(Assumptions!$B$133+Assumptions!$B$137)</f>
        <v/>
      </c>
      <c r="Y240">
        <f>P240*Assumptions!$B$9</f>
        <v/>
      </c>
      <c r="Z240">
        <f>IF(M240=1,(P240-Assumptions!$B$37)*Assumptions!$B$153,0)</f>
        <v/>
      </c>
      <c r="AA240">
        <f>Q240+R240+S240+T240+U240+V240+W240+X240+Y240+Z240</f>
        <v/>
      </c>
      <c r="AB240" t="n">
        <v>61</v>
      </c>
      <c r="AC240" t="n">
        <v>125</v>
      </c>
      <c r="AD240" t="n">
        <v>29</v>
      </c>
      <c r="AE240" t="n">
        <v>45</v>
      </c>
      <c r="AF240" t="n">
        <v>53</v>
      </c>
      <c r="AG240" t="n">
        <v>57</v>
      </c>
      <c r="AH240" t="n">
        <v>63</v>
      </c>
      <c r="AI240" t="n">
        <v>60</v>
      </c>
      <c r="AJ240">
        <f>INDEX($Q$179:$Q$306,AC240+1)</f>
        <v/>
      </c>
      <c r="AK240">
        <f>INDEX($R$179:$R$306,AD240+1)</f>
        <v/>
      </c>
      <c r="AL240">
        <f>INDEX($S$179:$S$306,AE240+1)</f>
        <v/>
      </c>
      <c r="AM240">
        <f>INDEX($T$179:$T$306,AF240+1)</f>
        <v/>
      </c>
      <c r="AN240">
        <f>INDEX($U$179:$U$306,AG240+1)</f>
        <v/>
      </c>
      <c r="AO240">
        <f>INDEX($V$179:$V$306,AH240+1)</f>
        <v/>
      </c>
      <c r="AP240">
        <f>INDEX($W$179:$W$306,AI240+1)</f>
        <v/>
      </c>
      <c r="AQ240">
        <f>IF(Q240&gt;=AJ240-0.01,1,0)</f>
        <v/>
      </c>
      <c r="AR240">
        <f>IF(R240&gt;=AK240-0.01,1,0)</f>
        <v/>
      </c>
      <c r="AS240">
        <f>IF(S240&gt;=AL240-0.01,1,0)</f>
        <v/>
      </c>
      <c r="AT240">
        <f>IF(T240&gt;=AM240-0.01,1,0)</f>
        <v/>
      </c>
      <c r="AU240">
        <f>IF(U240&gt;=AN240-0.01,1,0)</f>
        <v/>
      </c>
      <c r="AV240">
        <f>IF(V240&gt;=AO240-0.01,1,0)</f>
        <v/>
      </c>
      <c r="AW240">
        <f>IF(W240&gt;=AP240-0.01,1,0)</f>
        <v/>
      </c>
      <c r="AX240">
        <f>AQ240*AR240*AS240*AT240*AU240*AV240*AW240</f>
        <v/>
      </c>
      <c r="AY240">
        <f>Assumptions!$B$41</f>
        <v/>
      </c>
      <c r="AZ240">
        <f>Assumptions!$B$33</f>
        <v/>
      </c>
      <c r="BA240">
        <f>Assumptions!$B$32</f>
        <v/>
      </c>
      <c r="BB240">
        <f>Assumptions!$B$31</f>
        <v/>
      </c>
      <c r="BC240">
        <f>Assumptions!$B$30</f>
        <v/>
      </c>
      <c r="BD240">
        <f>Assumptions!$B$29</f>
        <v/>
      </c>
      <c r="BE240">
        <f>Assumptions!$B$28</f>
        <v/>
      </c>
      <c r="BF240">
        <f>P240*Assumptions!$B$141</f>
        <v/>
      </c>
      <c r="BG240">
        <f>P240*Assumptions!$B$128</f>
        <v/>
      </c>
      <c r="BH240">
        <f>P240*Assumptions!$B$129</f>
        <v/>
      </c>
      <c r="BI240">
        <f>P240*Assumptions!$B$14</f>
        <v/>
      </c>
      <c r="BJ240">
        <f>P240*Assumptions!$B$13</f>
        <v/>
      </c>
      <c r="BK240">
        <f>P240*Assumptions!$B$12</f>
        <v/>
      </c>
      <c r="BL240">
        <f>P240*Assumptions!$B$11</f>
        <v/>
      </c>
    </row>
    <row r="241">
      <c r="A241" t="inlineStr">
        <is>
          <t>1200M</t>
        </is>
      </c>
      <c r="B241">
        <f>Assumptions!$B$59</f>
        <v/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>
        <f>(1-C241)*Assumptions!$B$41+(1-D241)*Assumptions!$B$33+(1-E241)*Assumptions!$B$32+(1-F241)*Assumptions!$B$31+(1-G241)*Assumptions!$B$30+(1-H241)*Assumptions!$B$29+(1-I241)*Assumptions!$B$28</f>
        <v/>
      </c>
      <c r="K241">
        <f>C241*Assumptions!$B$141+D241*Assumptions!$B$128+E241*Assumptions!$B$129+F241*Assumptions!$B$14+G241*Assumptions!$B$13+H241*Assumptions!$B$12+I241*Assumptions!$B$11+Assumptions!$B$133+Assumptions!$B$137+Assumptions!$B$9</f>
        <v/>
      </c>
      <c r="L241">
        <f>B241-J241</f>
        <v/>
      </c>
      <c r="M241">
        <f>IF(K241&gt;0,IF(L241/K241&gt;=Assumptions!$B$37,1,0),0)</f>
        <v/>
      </c>
      <c r="N241">
        <f>K241+M241*Assumptions!$B$153</f>
        <v/>
      </c>
      <c r="O241">
        <f>L241+M241*Assumptions!$B$153*Assumptions!$B$37</f>
        <v/>
      </c>
      <c r="P241">
        <f>IF(N241&gt;0,O241/N241,0)</f>
        <v/>
      </c>
      <c r="Q241">
        <f>IF(C241=1,P241*Assumptions!$B$141,Assumptions!$B$41)</f>
        <v/>
      </c>
      <c r="R241">
        <f>IF(D241=1,P241*Assumptions!$B$128,Assumptions!$B$33)</f>
        <v/>
      </c>
      <c r="S241">
        <f>IF(E241=1,P241*Assumptions!$B$129,Assumptions!$B$32)</f>
        <v/>
      </c>
      <c r="T241">
        <f>IF(F241=1,P241*Assumptions!$B$14,Assumptions!$B$31)</f>
        <v/>
      </c>
      <c r="U241">
        <f>IF(G241=1,P241*Assumptions!$B$13,Assumptions!$B$30)</f>
        <v/>
      </c>
      <c r="V241">
        <f>IF(H241=1,P241*Assumptions!$B$12,Assumptions!$B$29)</f>
        <v/>
      </c>
      <c r="W241">
        <f>IF(I241=1,P241*Assumptions!$B$11,Assumptions!$B$28)</f>
        <v/>
      </c>
      <c r="X241">
        <f>P241*(Assumptions!$B$133+Assumptions!$B$137)</f>
        <v/>
      </c>
      <c r="Y241">
        <f>P241*Assumptions!$B$9</f>
        <v/>
      </c>
      <c r="Z241">
        <f>IF(M241=1,(P241-Assumptions!$B$37)*Assumptions!$B$153,0)</f>
        <v/>
      </c>
      <c r="AA241">
        <f>Q241+R241+S241+T241+U241+V241+W241+X241+Y241+Z241</f>
        <v/>
      </c>
      <c r="AB241" t="n">
        <v>62</v>
      </c>
      <c r="AC241" t="n">
        <v>126</v>
      </c>
      <c r="AD241" t="n">
        <v>30</v>
      </c>
      <c r="AE241" t="n">
        <v>46</v>
      </c>
      <c r="AF241" t="n">
        <v>54</v>
      </c>
      <c r="AG241" t="n">
        <v>58</v>
      </c>
      <c r="AH241" t="n">
        <v>60</v>
      </c>
      <c r="AI241" t="n">
        <v>63</v>
      </c>
      <c r="AJ241">
        <f>INDEX($Q$179:$Q$306,AC241+1)</f>
        <v/>
      </c>
      <c r="AK241">
        <f>INDEX($R$179:$R$306,AD241+1)</f>
        <v/>
      </c>
      <c r="AL241">
        <f>INDEX($S$179:$S$306,AE241+1)</f>
        <v/>
      </c>
      <c r="AM241">
        <f>INDEX($T$179:$T$306,AF241+1)</f>
        <v/>
      </c>
      <c r="AN241">
        <f>INDEX($U$179:$U$306,AG241+1)</f>
        <v/>
      </c>
      <c r="AO241">
        <f>INDEX($V$179:$V$306,AH241+1)</f>
        <v/>
      </c>
      <c r="AP241">
        <f>INDEX($W$179:$W$306,AI241+1)</f>
        <v/>
      </c>
      <c r="AQ241">
        <f>IF(Q241&gt;=AJ241-0.01,1,0)</f>
        <v/>
      </c>
      <c r="AR241">
        <f>IF(R241&gt;=AK241-0.01,1,0)</f>
        <v/>
      </c>
      <c r="AS241">
        <f>IF(S241&gt;=AL241-0.01,1,0)</f>
        <v/>
      </c>
      <c r="AT241">
        <f>IF(T241&gt;=AM241-0.01,1,0)</f>
        <v/>
      </c>
      <c r="AU241">
        <f>IF(U241&gt;=AN241-0.01,1,0)</f>
        <v/>
      </c>
      <c r="AV241">
        <f>IF(V241&gt;=AO241-0.01,1,0)</f>
        <v/>
      </c>
      <c r="AW241">
        <f>IF(W241&gt;=AP241-0.01,1,0)</f>
        <v/>
      </c>
      <c r="AX241">
        <f>AQ241*AR241*AS241*AT241*AU241*AV241*AW241</f>
        <v/>
      </c>
      <c r="AY241">
        <f>Assumptions!$B$41</f>
        <v/>
      </c>
      <c r="AZ241">
        <f>Assumptions!$B$33</f>
        <v/>
      </c>
      <c r="BA241">
        <f>Assumptions!$B$32</f>
        <v/>
      </c>
      <c r="BB241">
        <f>Assumptions!$B$31</f>
        <v/>
      </c>
      <c r="BC241">
        <f>Assumptions!$B$30</f>
        <v/>
      </c>
      <c r="BD241">
        <f>Assumptions!$B$29</f>
        <v/>
      </c>
      <c r="BE241">
        <f>Assumptions!$B$28</f>
        <v/>
      </c>
      <c r="BF241">
        <f>P241*Assumptions!$B$141</f>
        <v/>
      </c>
      <c r="BG241">
        <f>P241*Assumptions!$B$128</f>
        <v/>
      </c>
      <c r="BH241">
        <f>P241*Assumptions!$B$129</f>
        <v/>
      </c>
      <c r="BI241">
        <f>P241*Assumptions!$B$14</f>
        <v/>
      </c>
      <c r="BJ241">
        <f>P241*Assumptions!$B$13</f>
        <v/>
      </c>
      <c r="BK241">
        <f>P241*Assumptions!$B$12</f>
        <v/>
      </c>
      <c r="BL241">
        <f>P241*Assumptions!$B$11</f>
        <v/>
      </c>
    </row>
    <row r="242">
      <c r="A242" t="inlineStr">
        <is>
          <t>1200M</t>
        </is>
      </c>
      <c r="B242">
        <f>Assumptions!$B$59</f>
        <v/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>
        <f>(1-C242)*Assumptions!$B$41+(1-D242)*Assumptions!$B$33+(1-E242)*Assumptions!$B$32+(1-F242)*Assumptions!$B$31+(1-G242)*Assumptions!$B$30+(1-H242)*Assumptions!$B$29+(1-I242)*Assumptions!$B$28</f>
        <v/>
      </c>
      <c r="K242">
        <f>C242*Assumptions!$B$141+D242*Assumptions!$B$128+E242*Assumptions!$B$129+F242*Assumptions!$B$14+G242*Assumptions!$B$13+H242*Assumptions!$B$12+I242*Assumptions!$B$11+Assumptions!$B$133+Assumptions!$B$137+Assumptions!$B$9</f>
        <v/>
      </c>
      <c r="L242">
        <f>B242-J242</f>
        <v/>
      </c>
      <c r="M242">
        <f>IF(K242&gt;0,IF(L242/K242&gt;=Assumptions!$B$37,1,0),0)</f>
        <v/>
      </c>
      <c r="N242">
        <f>K242+M242*Assumptions!$B$153</f>
        <v/>
      </c>
      <c r="O242">
        <f>L242+M242*Assumptions!$B$153*Assumptions!$B$37</f>
        <v/>
      </c>
      <c r="P242">
        <f>IF(N242&gt;0,O242/N242,0)</f>
        <v/>
      </c>
      <c r="Q242">
        <f>IF(C242=1,P242*Assumptions!$B$141,Assumptions!$B$41)</f>
        <v/>
      </c>
      <c r="R242">
        <f>IF(D242=1,P242*Assumptions!$B$128,Assumptions!$B$33)</f>
        <v/>
      </c>
      <c r="S242">
        <f>IF(E242=1,P242*Assumptions!$B$129,Assumptions!$B$32)</f>
        <v/>
      </c>
      <c r="T242">
        <f>IF(F242=1,P242*Assumptions!$B$14,Assumptions!$B$31)</f>
        <v/>
      </c>
      <c r="U242">
        <f>IF(G242=1,P242*Assumptions!$B$13,Assumptions!$B$30)</f>
        <v/>
      </c>
      <c r="V242">
        <f>IF(H242=1,P242*Assumptions!$B$12,Assumptions!$B$29)</f>
        <v/>
      </c>
      <c r="W242">
        <f>IF(I242=1,P242*Assumptions!$B$11,Assumptions!$B$28)</f>
        <v/>
      </c>
      <c r="X242">
        <f>P242*(Assumptions!$B$133+Assumptions!$B$137)</f>
        <v/>
      </c>
      <c r="Y242">
        <f>P242*Assumptions!$B$9</f>
        <v/>
      </c>
      <c r="Z242">
        <f>IF(M242=1,(P242-Assumptions!$B$37)*Assumptions!$B$153,0)</f>
        <v/>
      </c>
      <c r="AA242">
        <f>Q242+R242+S242+T242+U242+V242+W242+X242+Y242+Z242</f>
        <v/>
      </c>
      <c r="AB242" t="n">
        <v>63</v>
      </c>
      <c r="AC242" t="n">
        <v>127</v>
      </c>
      <c r="AD242" t="n">
        <v>31</v>
      </c>
      <c r="AE242" t="n">
        <v>47</v>
      </c>
      <c r="AF242" t="n">
        <v>55</v>
      </c>
      <c r="AG242" t="n">
        <v>59</v>
      </c>
      <c r="AH242" t="n">
        <v>61</v>
      </c>
      <c r="AI242" t="n">
        <v>62</v>
      </c>
      <c r="AJ242">
        <f>INDEX($Q$179:$Q$306,AC242+1)</f>
        <v/>
      </c>
      <c r="AK242">
        <f>INDEX($R$179:$R$306,AD242+1)</f>
        <v/>
      </c>
      <c r="AL242">
        <f>INDEX($S$179:$S$306,AE242+1)</f>
        <v/>
      </c>
      <c r="AM242">
        <f>INDEX($T$179:$T$306,AF242+1)</f>
        <v/>
      </c>
      <c r="AN242">
        <f>INDEX($U$179:$U$306,AG242+1)</f>
        <v/>
      </c>
      <c r="AO242">
        <f>INDEX($V$179:$V$306,AH242+1)</f>
        <v/>
      </c>
      <c r="AP242">
        <f>INDEX($W$179:$W$306,AI242+1)</f>
        <v/>
      </c>
      <c r="AQ242">
        <f>IF(Q242&gt;=AJ242-0.01,1,0)</f>
        <v/>
      </c>
      <c r="AR242">
        <f>IF(R242&gt;=AK242-0.01,1,0)</f>
        <v/>
      </c>
      <c r="AS242">
        <f>IF(S242&gt;=AL242-0.01,1,0)</f>
        <v/>
      </c>
      <c r="AT242">
        <f>IF(T242&gt;=AM242-0.01,1,0)</f>
        <v/>
      </c>
      <c r="AU242">
        <f>IF(U242&gt;=AN242-0.01,1,0)</f>
        <v/>
      </c>
      <c r="AV242">
        <f>IF(V242&gt;=AO242-0.01,1,0)</f>
        <v/>
      </c>
      <c r="AW242">
        <f>IF(W242&gt;=AP242-0.01,1,0)</f>
        <v/>
      </c>
      <c r="AX242">
        <f>AQ242*AR242*AS242*AT242*AU242*AV242*AW242</f>
        <v/>
      </c>
      <c r="AY242">
        <f>Assumptions!$B$41</f>
        <v/>
      </c>
      <c r="AZ242">
        <f>Assumptions!$B$33</f>
        <v/>
      </c>
      <c r="BA242">
        <f>Assumptions!$B$32</f>
        <v/>
      </c>
      <c r="BB242">
        <f>Assumptions!$B$31</f>
        <v/>
      </c>
      <c r="BC242">
        <f>Assumptions!$B$30</f>
        <v/>
      </c>
      <c r="BD242">
        <f>Assumptions!$B$29</f>
        <v/>
      </c>
      <c r="BE242">
        <f>Assumptions!$B$28</f>
        <v/>
      </c>
      <c r="BF242">
        <f>P242*Assumptions!$B$141</f>
        <v/>
      </c>
      <c r="BG242">
        <f>P242*Assumptions!$B$128</f>
        <v/>
      </c>
      <c r="BH242">
        <f>P242*Assumptions!$B$129</f>
        <v/>
      </c>
      <c r="BI242">
        <f>P242*Assumptions!$B$14</f>
        <v/>
      </c>
      <c r="BJ242">
        <f>P242*Assumptions!$B$13</f>
        <v/>
      </c>
      <c r="BK242">
        <f>P242*Assumptions!$B$12</f>
        <v/>
      </c>
      <c r="BL242">
        <f>P242*Assumptions!$B$11</f>
        <v/>
      </c>
    </row>
    <row r="243">
      <c r="A243" t="inlineStr">
        <is>
          <t>1200M</t>
        </is>
      </c>
      <c r="B243">
        <f>Assumptions!$B$59</f>
        <v/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>
        <f>(1-C243)*Assumptions!$B$41+(1-D243)*Assumptions!$B$33+(1-E243)*Assumptions!$B$32+(1-F243)*Assumptions!$B$31+(1-G243)*Assumptions!$B$30+(1-H243)*Assumptions!$B$29+(1-I243)*Assumptions!$B$28</f>
        <v/>
      </c>
      <c r="K243">
        <f>C243*Assumptions!$B$141+D243*Assumptions!$B$128+E243*Assumptions!$B$129+F243*Assumptions!$B$14+G243*Assumptions!$B$13+H243*Assumptions!$B$12+I243*Assumptions!$B$11+Assumptions!$B$133+Assumptions!$B$137+Assumptions!$B$9</f>
        <v/>
      </c>
      <c r="L243">
        <f>B243-J243</f>
        <v/>
      </c>
      <c r="M243">
        <f>IF(K243&gt;0,IF(L243/K243&gt;=Assumptions!$B$37,1,0),0)</f>
        <v/>
      </c>
      <c r="N243">
        <f>K243+M243*Assumptions!$B$153</f>
        <v/>
      </c>
      <c r="O243">
        <f>L243+M243*Assumptions!$B$153*Assumptions!$B$37</f>
        <v/>
      </c>
      <c r="P243">
        <f>IF(N243&gt;0,O243/N243,0)</f>
        <v/>
      </c>
      <c r="Q243">
        <f>IF(C243=1,P243*Assumptions!$B$141,Assumptions!$B$41)</f>
        <v/>
      </c>
      <c r="R243">
        <f>IF(D243=1,P243*Assumptions!$B$128,Assumptions!$B$33)</f>
        <v/>
      </c>
      <c r="S243">
        <f>IF(E243=1,P243*Assumptions!$B$129,Assumptions!$B$32)</f>
        <v/>
      </c>
      <c r="T243">
        <f>IF(F243=1,P243*Assumptions!$B$14,Assumptions!$B$31)</f>
        <v/>
      </c>
      <c r="U243">
        <f>IF(G243=1,P243*Assumptions!$B$13,Assumptions!$B$30)</f>
        <v/>
      </c>
      <c r="V243">
        <f>IF(H243=1,P243*Assumptions!$B$12,Assumptions!$B$29)</f>
        <v/>
      </c>
      <c r="W243">
        <f>IF(I243=1,P243*Assumptions!$B$11,Assumptions!$B$28)</f>
        <v/>
      </c>
      <c r="X243">
        <f>P243*(Assumptions!$B$133+Assumptions!$B$137)</f>
        <v/>
      </c>
      <c r="Y243">
        <f>P243*Assumptions!$B$9</f>
        <v/>
      </c>
      <c r="Z243">
        <f>IF(M243=1,(P243-Assumptions!$B$37)*Assumptions!$B$153,0)</f>
        <v/>
      </c>
      <c r="AA243">
        <f>Q243+R243+S243+T243+U243+V243+W243+X243+Y243+Z243</f>
        <v/>
      </c>
      <c r="AB243" t="n">
        <v>64</v>
      </c>
      <c r="AC243" t="n">
        <v>0</v>
      </c>
      <c r="AD243" t="n">
        <v>96</v>
      </c>
      <c r="AE243" t="n">
        <v>80</v>
      </c>
      <c r="AF243" t="n">
        <v>72</v>
      </c>
      <c r="AG243" t="n">
        <v>68</v>
      </c>
      <c r="AH243" t="n">
        <v>66</v>
      </c>
      <c r="AI243" t="n">
        <v>65</v>
      </c>
      <c r="AJ243">
        <f>INDEX($Q$179:$Q$306,AC243+1)</f>
        <v/>
      </c>
      <c r="AK243">
        <f>INDEX($R$179:$R$306,AD243+1)</f>
        <v/>
      </c>
      <c r="AL243">
        <f>INDEX($S$179:$S$306,AE243+1)</f>
        <v/>
      </c>
      <c r="AM243">
        <f>INDEX($T$179:$T$306,AF243+1)</f>
        <v/>
      </c>
      <c r="AN243">
        <f>INDEX($U$179:$U$306,AG243+1)</f>
        <v/>
      </c>
      <c r="AO243">
        <f>INDEX($V$179:$V$306,AH243+1)</f>
        <v/>
      </c>
      <c r="AP243">
        <f>INDEX($W$179:$W$306,AI243+1)</f>
        <v/>
      </c>
      <c r="AQ243">
        <f>IF(Q243&gt;=AJ243-0.01,1,0)</f>
        <v/>
      </c>
      <c r="AR243">
        <f>IF(R243&gt;=AK243-0.01,1,0)</f>
        <v/>
      </c>
      <c r="AS243">
        <f>IF(S243&gt;=AL243-0.01,1,0)</f>
        <v/>
      </c>
      <c r="AT243">
        <f>IF(T243&gt;=AM243-0.01,1,0)</f>
        <v/>
      </c>
      <c r="AU243">
        <f>IF(U243&gt;=AN243-0.01,1,0)</f>
        <v/>
      </c>
      <c r="AV243">
        <f>IF(V243&gt;=AO243-0.01,1,0)</f>
        <v/>
      </c>
      <c r="AW243">
        <f>IF(W243&gt;=AP243-0.01,1,0)</f>
        <v/>
      </c>
      <c r="AX243">
        <f>AQ243*AR243*AS243*AT243*AU243*AV243*AW243</f>
        <v/>
      </c>
      <c r="AY243">
        <f>Assumptions!$B$41</f>
        <v/>
      </c>
      <c r="AZ243">
        <f>Assumptions!$B$33</f>
        <v/>
      </c>
      <c r="BA243">
        <f>Assumptions!$B$32</f>
        <v/>
      </c>
      <c r="BB243">
        <f>Assumptions!$B$31</f>
        <v/>
      </c>
      <c r="BC243">
        <f>Assumptions!$B$30</f>
        <v/>
      </c>
      <c r="BD243">
        <f>Assumptions!$B$29</f>
        <v/>
      </c>
      <c r="BE243">
        <f>Assumptions!$B$28</f>
        <v/>
      </c>
      <c r="BF243">
        <f>P243*Assumptions!$B$141</f>
        <v/>
      </c>
      <c r="BG243">
        <f>P243*Assumptions!$B$128</f>
        <v/>
      </c>
      <c r="BH243">
        <f>P243*Assumptions!$B$129</f>
        <v/>
      </c>
      <c r="BI243">
        <f>P243*Assumptions!$B$14</f>
        <v/>
      </c>
      <c r="BJ243">
        <f>P243*Assumptions!$B$13</f>
        <v/>
      </c>
      <c r="BK243">
        <f>P243*Assumptions!$B$12</f>
        <v/>
      </c>
      <c r="BL243">
        <f>P243*Assumptions!$B$11</f>
        <v/>
      </c>
    </row>
    <row r="244">
      <c r="A244" t="inlineStr">
        <is>
          <t>1200M</t>
        </is>
      </c>
      <c r="B244">
        <f>Assumptions!$B$59</f>
        <v/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>
        <f>(1-C244)*Assumptions!$B$41+(1-D244)*Assumptions!$B$33+(1-E244)*Assumptions!$B$32+(1-F244)*Assumptions!$B$31+(1-G244)*Assumptions!$B$30+(1-H244)*Assumptions!$B$29+(1-I244)*Assumptions!$B$28</f>
        <v/>
      </c>
      <c r="K244">
        <f>C244*Assumptions!$B$141+D244*Assumptions!$B$128+E244*Assumptions!$B$129+F244*Assumptions!$B$14+G244*Assumptions!$B$13+H244*Assumptions!$B$12+I244*Assumptions!$B$11+Assumptions!$B$133+Assumptions!$B$137+Assumptions!$B$9</f>
        <v/>
      </c>
      <c r="L244">
        <f>B244-J244</f>
        <v/>
      </c>
      <c r="M244">
        <f>IF(K244&gt;0,IF(L244/K244&gt;=Assumptions!$B$37,1,0),0)</f>
        <v/>
      </c>
      <c r="N244">
        <f>K244+M244*Assumptions!$B$153</f>
        <v/>
      </c>
      <c r="O244">
        <f>L244+M244*Assumptions!$B$153*Assumptions!$B$37</f>
        <v/>
      </c>
      <c r="P244">
        <f>IF(N244&gt;0,O244/N244,0)</f>
        <v/>
      </c>
      <c r="Q244">
        <f>IF(C244=1,P244*Assumptions!$B$141,Assumptions!$B$41)</f>
        <v/>
      </c>
      <c r="R244">
        <f>IF(D244=1,P244*Assumptions!$B$128,Assumptions!$B$33)</f>
        <v/>
      </c>
      <c r="S244">
        <f>IF(E244=1,P244*Assumptions!$B$129,Assumptions!$B$32)</f>
        <v/>
      </c>
      <c r="T244">
        <f>IF(F244=1,P244*Assumptions!$B$14,Assumptions!$B$31)</f>
        <v/>
      </c>
      <c r="U244">
        <f>IF(G244=1,P244*Assumptions!$B$13,Assumptions!$B$30)</f>
        <v/>
      </c>
      <c r="V244">
        <f>IF(H244=1,P244*Assumptions!$B$12,Assumptions!$B$29)</f>
        <v/>
      </c>
      <c r="W244">
        <f>IF(I244=1,P244*Assumptions!$B$11,Assumptions!$B$28)</f>
        <v/>
      </c>
      <c r="X244">
        <f>P244*(Assumptions!$B$133+Assumptions!$B$137)</f>
        <v/>
      </c>
      <c r="Y244">
        <f>P244*Assumptions!$B$9</f>
        <v/>
      </c>
      <c r="Z244">
        <f>IF(M244=1,(P244-Assumptions!$B$37)*Assumptions!$B$153,0)</f>
        <v/>
      </c>
      <c r="AA244">
        <f>Q244+R244+S244+T244+U244+V244+W244+X244+Y244+Z244</f>
        <v/>
      </c>
      <c r="AB244" t="n">
        <v>65</v>
      </c>
      <c r="AC244" t="n">
        <v>1</v>
      </c>
      <c r="AD244" t="n">
        <v>97</v>
      </c>
      <c r="AE244" t="n">
        <v>81</v>
      </c>
      <c r="AF244" t="n">
        <v>73</v>
      </c>
      <c r="AG244" t="n">
        <v>69</v>
      </c>
      <c r="AH244" t="n">
        <v>67</v>
      </c>
      <c r="AI244" t="n">
        <v>64</v>
      </c>
      <c r="AJ244">
        <f>INDEX($Q$179:$Q$306,AC244+1)</f>
        <v/>
      </c>
      <c r="AK244">
        <f>INDEX($R$179:$R$306,AD244+1)</f>
        <v/>
      </c>
      <c r="AL244">
        <f>INDEX($S$179:$S$306,AE244+1)</f>
        <v/>
      </c>
      <c r="AM244">
        <f>INDEX($T$179:$T$306,AF244+1)</f>
        <v/>
      </c>
      <c r="AN244">
        <f>INDEX($U$179:$U$306,AG244+1)</f>
        <v/>
      </c>
      <c r="AO244">
        <f>INDEX($V$179:$V$306,AH244+1)</f>
        <v/>
      </c>
      <c r="AP244">
        <f>INDEX($W$179:$W$306,AI244+1)</f>
        <v/>
      </c>
      <c r="AQ244">
        <f>IF(Q244&gt;=AJ244-0.01,1,0)</f>
        <v/>
      </c>
      <c r="AR244">
        <f>IF(R244&gt;=AK244-0.01,1,0)</f>
        <v/>
      </c>
      <c r="AS244">
        <f>IF(S244&gt;=AL244-0.01,1,0)</f>
        <v/>
      </c>
      <c r="AT244">
        <f>IF(T244&gt;=AM244-0.01,1,0)</f>
        <v/>
      </c>
      <c r="AU244">
        <f>IF(U244&gt;=AN244-0.01,1,0)</f>
        <v/>
      </c>
      <c r="AV244">
        <f>IF(V244&gt;=AO244-0.01,1,0)</f>
        <v/>
      </c>
      <c r="AW244">
        <f>IF(W244&gt;=AP244-0.01,1,0)</f>
        <v/>
      </c>
      <c r="AX244">
        <f>AQ244*AR244*AS244*AT244*AU244*AV244*AW244</f>
        <v/>
      </c>
      <c r="AY244">
        <f>Assumptions!$B$41</f>
        <v/>
      </c>
      <c r="AZ244">
        <f>Assumptions!$B$33</f>
        <v/>
      </c>
      <c r="BA244">
        <f>Assumptions!$B$32</f>
        <v/>
      </c>
      <c r="BB244">
        <f>Assumptions!$B$31</f>
        <v/>
      </c>
      <c r="BC244">
        <f>Assumptions!$B$30</f>
        <v/>
      </c>
      <c r="BD244">
        <f>Assumptions!$B$29</f>
        <v/>
      </c>
      <c r="BE244">
        <f>Assumptions!$B$28</f>
        <v/>
      </c>
      <c r="BF244">
        <f>P244*Assumptions!$B$141</f>
        <v/>
      </c>
      <c r="BG244">
        <f>P244*Assumptions!$B$128</f>
        <v/>
      </c>
      <c r="BH244">
        <f>P244*Assumptions!$B$129</f>
        <v/>
      </c>
      <c r="BI244">
        <f>P244*Assumptions!$B$14</f>
        <v/>
      </c>
      <c r="BJ244">
        <f>P244*Assumptions!$B$13</f>
        <v/>
      </c>
      <c r="BK244">
        <f>P244*Assumptions!$B$12</f>
        <v/>
      </c>
      <c r="BL244">
        <f>P244*Assumptions!$B$11</f>
        <v/>
      </c>
    </row>
    <row r="245">
      <c r="A245" t="inlineStr">
        <is>
          <t>1200M</t>
        </is>
      </c>
      <c r="B245">
        <f>Assumptions!$B$59</f>
        <v/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>
        <f>(1-C245)*Assumptions!$B$41+(1-D245)*Assumptions!$B$33+(1-E245)*Assumptions!$B$32+(1-F245)*Assumptions!$B$31+(1-G245)*Assumptions!$B$30+(1-H245)*Assumptions!$B$29+(1-I245)*Assumptions!$B$28</f>
        <v/>
      </c>
      <c r="K245">
        <f>C245*Assumptions!$B$141+D245*Assumptions!$B$128+E245*Assumptions!$B$129+F245*Assumptions!$B$14+G245*Assumptions!$B$13+H245*Assumptions!$B$12+I245*Assumptions!$B$11+Assumptions!$B$133+Assumptions!$B$137+Assumptions!$B$9</f>
        <v/>
      </c>
      <c r="L245">
        <f>B245-J245</f>
        <v/>
      </c>
      <c r="M245">
        <f>IF(K245&gt;0,IF(L245/K245&gt;=Assumptions!$B$37,1,0),0)</f>
        <v/>
      </c>
      <c r="N245">
        <f>K245+M245*Assumptions!$B$153</f>
        <v/>
      </c>
      <c r="O245">
        <f>L245+M245*Assumptions!$B$153*Assumptions!$B$37</f>
        <v/>
      </c>
      <c r="P245">
        <f>IF(N245&gt;0,O245/N245,0)</f>
        <v/>
      </c>
      <c r="Q245">
        <f>IF(C245=1,P245*Assumptions!$B$141,Assumptions!$B$41)</f>
        <v/>
      </c>
      <c r="R245">
        <f>IF(D245=1,P245*Assumptions!$B$128,Assumptions!$B$33)</f>
        <v/>
      </c>
      <c r="S245">
        <f>IF(E245=1,P245*Assumptions!$B$129,Assumptions!$B$32)</f>
        <v/>
      </c>
      <c r="T245">
        <f>IF(F245=1,P245*Assumptions!$B$14,Assumptions!$B$31)</f>
        <v/>
      </c>
      <c r="U245">
        <f>IF(G245=1,P245*Assumptions!$B$13,Assumptions!$B$30)</f>
        <v/>
      </c>
      <c r="V245">
        <f>IF(H245=1,P245*Assumptions!$B$12,Assumptions!$B$29)</f>
        <v/>
      </c>
      <c r="W245">
        <f>IF(I245=1,P245*Assumptions!$B$11,Assumptions!$B$28)</f>
        <v/>
      </c>
      <c r="X245">
        <f>P245*(Assumptions!$B$133+Assumptions!$B$137)</f>
        <v/>
      </c>
      <c r="Y245">
        <f>P245*Assumptions!$B$9</f>
        <v/>
      </c>
      <c r="Z245">
        <f>IF(M245=1,(P245-Assumptions!$B$37)*Assumptions!$B$153,0)</f>
        <v/>
      </c>
      <c r="AA245">
        <f>Q245+R245+S245+T245+U245+V245+W245+X245+Y245+Z245</f>
        <v/>
      </c>
      <c r="AB245" t="n">
        <v>66</v>
      </c>
      <c r="AC245" t="n">
        <v>2</v>
      </c>
      <c r="AD245" t="n">
        <v>98</v>
      </c>
      <c r="AE245" t="n">
        <v>82</v>
      </c>
      <c r="AF245" t="n">
        <v>74</v>
      </c>
      <c r="AG245" t="n">
        <v>70</v>
      </c>
      <c r="AH245" t="n">
        <v>64</v>
      </c>
      <c r="AI245" t="n">
        <v>67</v>
      </c>
      <c r="AJ245">
        <f>INDEX($Q$179:$Q$306,AC245+1)</f>
        <v/>
      </c>
      <c r="AK245">
        <f>INDEX($R$179:$R$306,AD245+1)</f>
        <v/>
      </c>
      <c r="AL245">
        <f>INDEX($S$179:$S$306,AE245+1)</f>
        <v/>
      </c>
      <c r="AM245">
        <f>INDEX($T$179:$T$306,AF245+1)</f>
        <v/>
      </c>
      <c r="AN245">
        <f>INDEX($U$179:$U$306,AG245+1)</f>
        <v/>
      </c>
      <c r="AO245">
        <f>INDEX($V$179:$V$306,AH245+1)</f>
        <v/>
      </c>
      <c r="AP245">
        <f>INDEX($W$179:$W$306,AI245+1)</f>
        <v/>
      </c>
      <c r="AQ245">
        <f>IF(Q245&gt;=AJ245-0.01,1,0)</f>
        <v/>
      </c>
      <c r="AR245">
        <f>IF(R245&gt;=AK245-0.01,1,0)</f>
        <v/>
      </c>
      <c r="AS245">
        <f>IF(S245&gt;=AL245-0.01,1,0)</f>
        <v/>
      </c>
      <c r="AT245">
        <f>IF(T245&gt;=AM245-0.01,1,0)</f>
        <v/>
      </c>
      <c r="AU245">
        <f>IF(U245&gt;=AN245-0.01,1,0)</f>
        <v/>
      </c>
      <c r="AV245">
        <f>IF(V245&gt;=AO245-0.01,1,0)</f>
        <v/>
      </c>
      <c r="AW245">
        <f>IF(W245&gt;=AP245-0.01,1,0)</f>
        <v/>
      </c>
      <c r="AX245">
        <f>AQ245*AR245*AS245*AT245*AU245*AV245*AW245</f>
        <v/>
      </c>
      <c r="AY245">
        <f>Assumptions!$B$41</f>
        <v/>
      </c>
      <c r="AZ245">
        <f>Assumptions!$B$33</f>
        <v/>
      </c>
      <c r="BA245">
        <f>Assumptions!$B$32</f>
        <v/>
      </c>
      <c r="BB245">
        <f>Assumptions!$B$31</f>
        <v/>
      </c>
      <c r="BC245">
        <f>Assumptions!$B$30</f>
        <v/>
      </c>
      <c r="BD245">
        <f>Assumptions!$B$29</f>
        <v/>
      </c>
      <c r="BE245">
        <f>Assumptions!$B$28</f>
        <v/>
      </c>
      <c r="BF245">
        <f>P245*Assumptions!$B$141</f>
        <v/>
      </c>
      <c r="BG245">
        <f>P245*Assumptions!$B$128</f>
        <v/>
      </c>
      <c r="BH245">
        <f>P245*Assumptions!$B$129</f>
        <v/>
      </c>
      <c r="BI245">
        <f>P245*Assumptions!$B$14</f>
        <v/>
      </c>
      <c r="BJ245">
        <f>P245*Assumptions!$B$13</f>
        <v/>
      </c>
      <c r="BK245">
        <f>P245*Assumptions!$B$12</f>
        <v/>
      </c>
      <c r="BL245">
        <f>P245*Assumptions!$B$11</f>
        <v/>
      </c>
    </row>
    <row r="246">
      <c r="A246" t="inlineStr">
        <is>
          <t>1200M</t>
        </is>
      </c>
      <c r="B246">
        <f>Assumptions!$B$59</f>
        <v/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>
        <f>(1-C246)*Assumptions!$B$41+(1-D246)*Assumptions!$B$33+(1-E246)*Assumptions!$B$32+(1-F246)*Assumptions!$B$31+(1-G246)*Assumptions!$B$30+(1-H246)*Assumptions!$B$29+(1-I246)*Assumptions!$B$28</f>
        <v/>
      </c>
      <c r="K246">
        <f>C246*Assumptions!$B$141+D246*Assumptions!$B$128+E246*Assumptions!$B$129+F246*Assumptions!$B$14+G246*Assumptions!$B$13+H246*Assumptions!$B$12+I246*Assumptions!$B$11+Assumptions!$B$133+Assumptions!$B$137+Assumptions!$B$9</f>
        <v/>
      </c>
      <c r="L246">
        <f>B246-J246</f>
        <v/>
      </c>
      <c r="M246">
        <f>IF(K246&gt;0,IF(L246/K246&gt;=Assumptions!$B$37,1,0),0)</f>
        <v/>
      </c>
      <c r="N246">
        <f>K246+M246*Assumptions!$B$153</f>
        <v/>
      </c>
      <c r="O246">
        <f>L246+M246*Assumptions!$B$153*Assumptions!$B$37</f>
        <v/>
      </c>
      <c r="P246">
        <f>IF(N246&gt;0,O246/N246,0)</f>
        <v/>
      </c>
      <c r="Q246">
        <f>IF(C246=1,P246*Assumptions!$B$141,Assumptions!$B$41)</f>
        <v/>
      </c>
      <c r="R246">
        <f>IF(D246=1,P246*Assumptions!$B$128,Assumptions!$B$33)</f>
        <v/>
      </c>
      <c r="S246">
        <f>IF(E246=1,P246*Assumptions!$B$129,Assumptions!$B$32)</f>
        <v/>
      </c>
      <c r="T246">
        <f>IF(F246=1,P246*Assumptions!$B$14,Assumptions!$B$31)</f>
        <v/>
      </c>
      <c r="U246">
        <f>IF(G246=1,P246*Assumptions!$B$13,Assumptions!$B$30)</f>
        <v/>
      </c>
      <c r="V246">
        <f>IF(H246=1,P246*Assumptions!$B$12,Assumptions!$B$29)</f>
        <v/>
      </c>
      <c r="W246">
        <f>IF(I246=1,P246*Assumptions!$B$11,Assumptions!$B$28)</f>
        <v/>
      </c>
      <c r="X246">
        <f>P246*(Assumptions!$B$133+Assumptions!$B$137)</f>
        <v/>
      </c>
      <c r="Y246">
        <f>P246*Assumptions!$B$9</f>
        <v/>
      </c>
      <c r="Z246">
        <f>IF(M246=1,(P246-Assumptions!$B$37)*Assumptions!$B$153,0)</f>
        <v/>
      </c>
      <c r="AA246">
        <f>Q246+R246+S246+T246+U246+V246+W246+X246+Y246+Z246</f>
        <v/>
      </c>
      <c r="AB246" t="n">
        <v>67</v>
      </c>
      <c r="AC246" t="n">
        <v>3</v>
      </c>
      <c r="AD246" t="n">
        <v>99</v>
      </c>
      <c r="AE246" t="n">
        <v>83</v>
      </c>
      <c r="AF246" t="n">
        <v>75</v>
      </c>
      <c r="AG246" t="n">
        <v>71</v>
      </c>
      <c r="AH246" t="n">
        <v>65</v>
      </c>
      <c r="AI246" t="n">
        <v>66</v>
      </c>
      <c r="AJ246">
        <f>INDEX($Q$179:$Q$306,AC246+1)</f>
        <v/>
      </c>
      <c r="AK246">
        <f>INDEX($R$179:$R$306,AD246+1)</f>
        <v/>
      </c>
      <c r="AL246">
        <f>INDEX($S$179:$S$306,AE246+1)</f>
        <v/>
      </c>
      <c r="AM246">
        <f>INDEX($T$179:$T$306,AF246+1)</f>
        <v/>
      </c>
      <c r="AN246">
        <f>INDEX($U$179:$U$306,AG246+1)</f>
        <v/>
      </c>
      <c r="AO246">
        <f>INDEX($V$179:$V$306,AH246+1)</f>
        <v/>
      </c>
      <c r="AP246">
        <f>INDEX($W$179:$W$306,AI246+1)</f>
        <v/>
      </c>
      <c r="AQ246">
        <f>IF(Q246&gt;=AJ246-0.01,1,0)</f>
        <v/>
      </c>
      <c r="AR246">
        <f>IF(R246&gt;=AK246-0.01,1,0)</f>
        <v/>
      </c>
      <c r="AS246">
        <f>IF(S246&gt;=AL246-0.01,1,0)</f>
        <v/>
      </c>
      <c r="AT246">
        <f>IF(T246&gt;=AM246-0.01,1,0)</f>
        <v/>
      </c>
      <c r="AU246">
        <f>IF(U246&gt;=AN246-0.01,1,0)</f>
        <v/>
      </c>
      <c r="AV246">
        <f>IF(V246&gt;=AO246-0.01,1,0)</f>
        <v/>
      </c>
      <c r="AW246">
        <f>IF(W246&gt;=AP246-0.01,1,0)</f>
        <v/>
      </c>
      <c r="AX246">
        <f>AQ246*AR246*AS246*AT246*AU246*AV246*AW246</f>
        <v/>
      </c>
      <c r="AY246">
        <f>Assumptions!$B$41</f>
        <v/>
      </c>
      <c r="AZ246">
        <f>Assumptions!$B$33</f>
        <v/>
      </c>
      <c r="BA246">
        <f>Assumptions!$B$32</f>
        <v/>
      </c>
      <c r="BB246">
        <f>Assumptions!$B$31</f>
        <v/>
      </c>
      <c r="BC246">
        <f>Assumptions!$B$30</f>
        <v/>
      </c>
      <c r="BD246">
        <f>Assumptions!$B$29</f>
        <v/>
      </c>
      <c r="BE246">
        <f>Assumptions!$B$28</f>
        <v/>
      </c>
      <c r="BF246">
        <f>P246*Assumptions!$B$141</f>
        <v/>
      </c>
      <c r="BG246">
        <f>P246*Assumptions!$B$128</f>
        <v/>
      </c>
      <c r="BH246">
        <f>P246*Assumptions!$B$129</f>
        <v/>
      </c>
      <c r="BI246">
        <f>P246*Assumptions!$B$14</f>
        <v/>
      </c>
      <c r="BJ246">
        <f>P246*Assumptions!$B$13</f>
        <v/>
      </c>
      <c r="BK246">
        <f>P246*Assumptions!$B$12</f>
        <v/>
      </c>
      <c r="BL246">
        <f>P246*Assumptions!$B$11</f>
        <v/>
      </c>
    </row>
    <row r="247">
      <c r="A247" t="inlineStr">
        <is>
          <t>1200M</t>
        </is>
      </c>
      <c r="B247">
        <f>Assumptions!$B$59</f>
        <v/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>
        <f>(1-C247)*Assumptions!$B$41+(1-D247)*Assumptions!$B$33+(1-E247)*Assumptions!$B$32+(1-F247)*Assumptions!$B$31+(1-G247)*Assumptions!$B$30+(1-H247)*Assumptions!$B$29+(1-I247)*Assumptions!$B$28</f>
        <v/>
      </c>
      <c r="K247">
        <f>C247*Assumptions!$B$141+D247*Assumptions!$B$128+E247*Assumptions!$B$129+F247*Assumptions!$B$14+G247*Assumptions!$B$13+H247*Assumptions!$B$12+I247*Assumptions!$B$11+Assumptions!$B$133+Assumptions!$B$137+Assumptions!$B$9</f>
        <v/>
      </c>
      <c r="L247">
        <f>B247-J247</f>
        <v/>
      </c>
      <c r="M247">
        <f>IF(K247&gt;0,IF(L247/K247&gt;=Assumptions!$B$37,1,0),0)</f>
        <v/>
      </c>
      <c r="N247">
        <f>K247+M247*Assumptions!$B$153</f>
        <v/>
      </c>
      <c r="O247">
        <f>L247+M247*Assumptions!$B$153*Assumptions!$B$37</f>
        <v/>
      </c>
      <c r="P247">
        <f>IF(N247&gt;0,O247/N247,0)</f>
        <v/>
      </c>
      <c r="Q247">
        <f>IF(C247=1,P247*Assumptions!$B$141,Assumptions!$B$41)</f>
        <v/>
      </c>
      <c r="R247">
        <f>IF(D247=1,P247*Assumptions!$B$128,Assumptions!$B$33)</f>
        <v/>
      </c>
      <c r="S247">
        <f>IF(E247=1,P247*Assumptions!$B$129,Assumptions!$B$32)</f>
        <v/>
      </c>
      <c r="T247">
        <f>IF(F247=1,P247*Assumptions!$B$14,Assumptions!$B$31)</f>
        <v/>
      </c>
      <c r="U247">
        <f>IF(G247=1,P247*Assumptions!$B$13,Assumptions!$B$30)</f>
        <v/>
      </c>
      <c r="V247">
        <f>IF(H247=1,P247*Assumptions!$B$12,Assumptions!$B$29)</f>
        <v/>
      </c>
      <c r="W247">
        <f>IF(I247=1,P247*Assumptions!$B$11,Assumptions!$B$28)</f>
        <v/>
      </c>
      <c r="X247">
        <f>P247*(Assumptions!$B$133+Assumptions!$B$137)</f>
        <v/>
      </c>
      <c r="Y247">
        <f>P247*Assumptions!$B$9</f>
        <v/>
      </c>
      <c r="Z247">
        <f>IF(M247=1,(P247-Assumptions!$B$37)*Assumptions!$B$153,0)</f>
        <v/>
      </c>
      <c r="AA247">
        <f>Q247+R247+S247+T247+U247+V247+W247+X247+Y247+Z247</f>
        <v/>
      </c>
      <c r="AB247" t="n">
        <v>68</v>
      </c>
      <c r="AC247" t="n">
        <v>4</v>
      </c>
      <c r="AD247" t="n">
        <v>100</v>
      </c>
      <c r="AE247" t="n">
        <v>84</v>
      </c>
      <c r="AF247" t="n">
        <v>76</v>
      </c>
      <c r="AG247" t="n">
        <v>64</v>
      </c>
      <c r="AH247" t="n">
        <v>70</v>
      </c>
      <c r="AI247" t="n">
        <v>69</v>
      </c>
      <c r="AJ247">
        <f>INDEX($Q$179:$Q$306,AC247+1)</f>
        <v/>
      </c>
      <c r="AK247">
        <f>INDEX($R$179:$R$306,AD247+1)</f>
        <v/>
      </c>
      <c r="AL247">
        <f>INDEX($S$179:$S$306,AE247+1)</f>
        <v/>
      </c>
      <c r="AM247">
        <f>INDEX($T$179:$T$306,AF247+1)</f>
        <v/>
      </c>
      <c r="AN247">
        <f>INDEX($U$179:$U$306,AG247+1)</f>
        <v/>
      </c>
      <c r="AO247">
        <f>INDEX($V$179:$V$306,AH247+1)</f>
        <v/>
      </c>
      <c r="AP247">
        <f>INDEX($W$179:$W$306,AI247+1)</f>
        <v/>
      </c>
      <c r="AQ247">
        <f>IF(Q247&gt;=AJ247-0.01,1,0)</f>
        <v/>
      </c>
      <c r="AR247">
        <f>IF(R247&gt;=AK247-0.01,1,0)</f>
        <v/>
      </c>
      <c r="AS247">
        <f>IF(S247&gt;=AL247-0.01,1,0)</f>
        <v/>
      </c>
      <c r="AT247">
        <f>IF(T247&gt;=AM247-0.01,1,0)</f>
        <v/>
      </c>
      <c r="AU247">
        <f>IF(U247&gt;=AN247-0.01,1,0)</f>
        <v/>
      </c>
      <c r="AV247">
        <f>IF(V247&gt;=AO247-0.01,1,0)</f>
        <v/>
      </c>
      <c r="AW247">
        <f>IF(W247&gt;=AP247-0.01,1,0)</f>
        <v/>
      </c>
      <c r="AX247">
        <f>AQ247*AR247*AS247*AT247*AU247*AV247*AW247</f>
        <v/>
      </c>
      <c r="AY247">
        <f>Assumptions!$B$41</f>
        <v/>
      </c>
      <c r="AZ247">
        <f>Assumptions!$B$33</f>
        <v/>
      </c>
      <c r="BA247">
        <f>Assumptions!$B$32</f>
        <v/>
      </c>
      <c r="BB247">
        <f>Assumptions!$B$31</f>
        <v/>
      </c>
      <c r="BC247">
        <f>Assumptions!$B$30</f>
        <v/>
      </c>
      <c r="BD247">
        <f>Assumptions!$B$29</f>
        <v/>
      </c>
      <c r="BE247">
        <f>Assumptions!$B$28</f>
        <v/>
      </c>
      <c r="BF247">
        <f>P247*Assumptions!$B$141</f>
        <v/>
      </c>
      <c r="BG247">
        <f>P247*Assumptions!$B$128</f>
        <v/>
      </c>
      <c r="BH247">
        <f>P247*Assumptions!$B$129</f>
        <v/>
      </c>
      <c r="BI247">
        <f>P247*Assumptions!$B$14</f>
        <v/>
      </c>
      <c r="BJ247">
        <f>P247*Assumptions!$B$13</f>
        <v/>
      </c>
      <c r="BK247">
        <f>P247*Assumptions!$B$12</f>
        <v/>
      </c>
      <c r="BL247">
        <f>P247*Assumptions!$B$11</f>
        <v/>
      </c>
    </row>
    <row r="248">
      <c r="A248" t="inlineStr">
        <is>
          <t>1200M</t>
        </is>
      </c>
      <c r="B248">
        <f>Assumptions!$B$59</f>
        <v/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>
        <f>(1-C248)*Assumptions!$B$41+(1-D248)*Assumptions!$B$33+(1-E248)*Assumptions!$B$32+(1-F248)*Assumptions!$B$31+(1-G248)*Assumptions!$B$30+(1-H248)*Assumptions!$B$29+(1-I248)*Assumptions!$B$28</f>
        <v/>
      </c>
      <c r="K248">
        <f>C248*Assumptions!$B$141+D248*Assumptions!$B$128+E248*Assumptions!$B$129+F248*Assumptions!$B$14+G248*Assumptions!$B$13+H248*Assumptions!$B$12+I248*Assumptions!$B$11+Assumptions!$B$133+Assumptions!$B$137+Assumptions!$B$9</f>
        <v/>
      </c>
      <c r="L248">
        <f>B248-J248</f>
        <v/>
      </c>
      <c r="M248">
        <f>IF(K248&gt;0,IF(L248/K248&gt;=Assumptions!$B$37,1,0),0)</f>
        <v/>
      </c>
      <c r="N248">
        <f>K248+M248*Assumptions!$B$153</f>
        <v/>
      </c>
      <c r="O248">
        <f>L248+M248*Assumptions!$B$153*Assumptions!$B$37</f>
        <v/>
      </c>
      <c r="P248">
        <f>IF(N248&gt;0,O248/N248,0)</f>
        <v/>
      </c>
      <c r="Q248">
        <f>IF(C248=1,P248*Assumptions!$B$141,Assumptions!$B$41)</f>
        <v/>
      </c>
      <c r="R248">
        <f>IF(D248=1,P248*Assumptions!$B$128,Assumptions!$B$33)</f>
        <v/>
      </c>
      <c r="S248">
        <f>IF(E248=1,P248*Assumptions!$B$129,Assumptions!$B$32)</f>
        <v/>
      </c>
      <c r="T248">
        <f>IF(F248=1,P248*Assumptions!$B$14,Assumptions!$B$31)</f>
        <v/>
      </c>
      <c r="U248">
        <f>IF(G248=1,P248*Assumptions!$B$13,Assumptions!$B$30)</f>
        <v/>
      </c>
      <c r="V248">
        <f>IF(H248=1,P248*Assumptions!$B$12,Assumptions!$B$29)</f>
        <v/>
      </c>
      <c r="W248">
        <f>IF(I248=1,P248*Assumptions!$B$11,Assumptions!$B$28)</f>
        <v/>
      </c>
      <c r="X248">
        <f>P248*(Assumptions!$B$133+Assumptions!$B$137)</f>
        <v/>
      </c>
      <c r="Y248">
        <f>P248*Assumptions!$B$9</f>
        <v/>
      </c>
      <c r="Z248">
        <f>IF(M248=1,(P248-Assumptions!$B$37)*Assumptions!$B$153,0)</f>
        <v/>
      </c>
      <c r="AA248">
        <f>Q248+R248+S248+T248+U248+V248+W248+X248+Y248+Z248</f>
        <v/>
      </c>
      <c r="AB248" t="n">
        <v>69</v>
      </c>
      <c r="AC248" t="n">
        <v>5</v>
      </c>
      <c r="AD248" t="n">
        <v>101</v>
      </c>
      <c r="AE248" t="n">
        <v>85</v>
      </c>
      <c r="AF248" t="n">
        <v>77</v>
      </c>
      <c r="AG248" t="n">
        <v>65</v>
      </c>
      <c r="AH248" t="n">
        <v>71</v>
      </c>
      <c r="AI248" t="n">
        <v>68</v>
      </c>
      <c r="AJ248">
        <f>INDEX($Q$179:$Q$306,AC248+1)</f>
        <v/>
      </c>
      <c r="AK248">
        <f>INDEX($R$179:$R$306,AD248+1)</f>
        <v/>
      </c>
      <c r="AL248">
        <f>INDEX($S$179:$S$306,AE248+1)</f>
        <v/>
      </c>
      <c r="AM248">
        <f>INDEX($T$179:$T$306,AF248+1)</f>
        <v/>
      </c>
      <c r="AN248">
        <f>INDEX($U$179:$U$306,AG248+1)</f>
        <v/>
      </c>
      <c r="AO248">
        <f>INDEX($V$179:$V$306,AH248+1)</f>
        <v/>
      </c>
      <c r="AP248">
        <f>INDEX($W$179:$W$306,AI248+1)</f>
        <v/>
      </c>
      <c r="AQ248">
        <f>IF(Q248&gt;=AJ248-0.01,1,0)</f>
        <v/>
      </c>
      <c r="AR248">
        <f>IF(R248&gt;=AK248-0.01,1,0)</f>
        <v/>
      </c>
      <c r="AS248">
        <f>IF(S248&gt;=AL248-0.01,1,0)</f>
        <v/>
      </c>
      <c r="AT248">
        <f>IF(T248&gt;=AM248-0.01,1,0)</f>
        <v/>
      </c>
      <c r="AU248">
        <f>IF(U248&gt;=AN248-0.01,1,0)</f>
        <v/>
      </c>
      <c r="AV248">
        <f>IF(V248&gt;=AO248-0.01,1,0)</f>
        <v/>
      </c>
      <c r="AW248">
        <f>IF(W248&gt;=AP248-0.01,1,0)</f>
        <v/>
      </c>
      <c r="AX248">
        <f>AQ248*AR248*AS248*AT248*AU248*AV248*AW248</f>
        <v/>
      </c>
      <c r="AY248">
        <f>Assumptions!$B$41</f>
        <v/>
      </c>
      <c r="AZ248">
        <f>Assumptions!$B$33</f>
        <v/>
      </c>
      <c r="BA248">
        <f>Assumptions!$B$32</f>
        <v/>
      </c>
      <c r="BB248">
        <f>Assumptions!$B$31</f>
        <v/>
      </c>
      <c r="BC248">
        <f>Assumptions!$B$30</f>
        <v/>
      </c>
      <c r="BD248">
        <f>Assumptions!$B$29</f>
        <v/>
      </c>
      <c r="BE248">
        <f>Assumptions!$B$28</f>
        <v/>
      </c>
      <c r="BF248">
        <f>P248*Assumptions!$B$141</f>
        <v/>
      </c>
      <c r="BG248">
        <f>P248*Assumptions!$B$128</f>
        <v/>
      </c>
      <c r="BH248">
        <f>P248*Assumptions!$B$129</f>
        <v/>
      </c>
      <c r="BI248">
        <f>P248*Assumptions!$B$14</f>
        <v/>
      </c>
      <c r="BJ248">
        <f>P248*Assumptions!$B$13</f>
        <v/>
      </c>
      <c r="BK248">
        <f>P248*Assumptions!$B$12</f>
        <v/>
      </c>
      <c r="BL248">
        <f>P248*Assumptions!$B$11</f>
        <v/>
      </c>
    </row>
    <row r="249">
      <c r="A249" t="inlineStr">
        <is>
          <t>1200M</t>
        </is>
      </c>
      <c r="B249">
        <f>Assumptions!$B$59</f>
        <v/>
      </c>
      <c r="C249" t="n">
        <v>1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>
        <f>(1-C249)*Assumptions!$B$41+(1-D249)*Assumptions!$B$33+(1-E249)*Assumptions!$B$32+(1-F249)*Assumptions!$B$31+(1-G249)*Assumptions!$B$30+(1-H249)*Assumptions!$B$29+(1-I249)*Assumptions!$B$28</f>
        <v/>
      </c>
      <c r="K249">
        <f>C249*Assumptions!$B$141+D249*Assumptions!$B$128+E249*Assumptions!$B$129+F249*Assumptions!$B$14+G249*Assumptions!$B$13+H249*Assumptions!$B$12+I249*Assumptions!$B$11+Assumptions!$B$133+Assumptions!$B$137+Assumptions!$B$9</f>
        <v/>
      </c>
      <c r="L249">
        <f>B249-J249</f>
        <v/>
      </c>
      <c r="M249">
        <f>IF(K249&gt;0,IF(L249/K249&gt;=Assumptions!$B$37,1,0),0)</f>
        <v/>
      </c>
      <c r="N249">
        <f>K249+M249*Assumptions!$B$153</f>
        <v/>
      </c>
      <c r="O249">
        <f>L249+M249*Assumptions!$B$153*Assumptions!$B$37</f>
        <v/>
      </c>
      <c r="P249">
        <f>IF(N249&gt;0,O249/N249,0)</f>
        <v/>
      </c>
      <c r="Q249">
        <f>IF(C249=1,P249*Assumptions!$B$141,Assumptions!$B$41)</f>
        <v/>
      </c>
      <c r="R249">
        <f>IF(D249=1,P249*Assumptions!$B$128,Assumptions!$B$33)</f>
        <v/>
      </c>
      <c r="S249">
        <f>IF(E249=1,P249*Assumptions!$B$129,Assumptions!$B$32)</f>
        <v/>
      </c>
      <c r="T249">
        <f>IF(F249=1,P249*Assumptions!$B$14,Assumptions!$B$31)</f>
        <v/>
      </c>
      <c r="U249">
        <f>IF(G249=1,P249*Assumptions!$B$13,Assumptions!$B$30)</f>
        <v/>
      </c>
      <c r="V249">
        <f>IF(H249=1,P249*Assumptions!$B$12,Assumptions!$B$29)</f>
        <v/>
      </c>
      <c r="W249">
        <f>IF(I249=1,P249*Assumptions!$B$11,Assumptions!$B$28)</f>
        <v/>
      </c>
      <c r="X249">
        <f>P249*(Assumptions!$B$133+Assumptions!$B$137)</f>
        <v/>
      </c>
      <c r="Y249">
        <f>P249*Assumptions!$B$9</f>
        <v/>
      </c>
      <c r="Z249">
        <f>IF(M249=1,(P249-Assumptions!$B$37)*Assumptions!$B$153,0)</f>
        <v/>
      </c>
      <c r="AA249">
        <f>Q249+R249+S249+T249+U249+V249+W249+X249+Y249+Z249</f>
        <v/>
      </c>
      <c r="AB249" t="n">
        <v>70</v>
      </c>
      <c r="AC249" t="n">
        <v>6</v>
      </c>
      <c r="AD249" t="n">
        <v>102</v>
      </c>
      <c r="AE249" t="n">
        <v>86</v>
      </c>
      <c r="AF249" t="n">
        <v>78</v>
      </c>
      <c r="AG249" t="n">
        <v>66</v>
      </c>
      <c r="AH249" t="n">
        <v>68</v>
      </c>
      <c r="AI249" t="n">
        <v>71</v>
      </c>
      <c r="AJ249">
        <f>INDEX($Q$179:$Q$306,AC249+1)</f>
        <v/>
      </c>
      <c r="AK249">
        <f>INDEX($R$179:$R$306,AD249+1)</f>
        <v/>
      </c>
      <c r="AL249">
        <f>INDEX($S$179:$S$306,AE249+1)</f>
        <v/>
      </c>
      <c r="AM249">
        <f>INDEX($T$179:$T$306,AF249+1)</f>
        <v/>
      </c>
      <c r="AN249">
        <f>INDEX($U$179:$U$306,AG249+1)</f>
        <v/>
      </c>
      <c r="AO249">
        <f>INDEX($V$179:$V$306,AH249+1)</f>
        <v/>
      </c>
      <c r="AP249">
        <f>INDEX($W$179:$W$306,AI249+1)</f>
        <v/>
      </c>
      <c r="AQ249">
        <f>IF(Q249&gt;=AJ249-0.01,1,0)</f>
        <v/>
      </c>
      <c r="AR249">
        <f>IF(R249&gt;=AK249-0.01,1,0)</f>
        <v/>
      </c>
      <c r="AS249">
        <f>IF(S249&gt;=AL249-0.01,1,0)</f>
        <v/>
      </c>
      <c r="AT249">
        <f>IF(T249&gt;=AM249-0.01,1,0)</f>
        <v/>
      </c>
      <c r="AU249">
        <f>IF(U249&gt;=AN249-0.01,1,0)</f>
        <v/>
      </c>
      <c r="AV249">
        <f>IF(V249&gt;=AO249-0.01,1,0)</f>
        <v/>
      </c>
      <c r="AW249">
        <f>IF(W249&gt;=AP249-0.01,1,0)</f>
        <v/>
      </c>
      <c r="AX249">
        <f>AQ249*AR249*AS249*AT249*AU249*AV249*AW249</f>
        <v/>
      </c>
      <c r="AY249">
        <f>Assumptions!$B$41</f>
        <v/>
      </c>
      <c r="AZ249">
        <f>Assumptions!$B$33</f>
        <v/>
      </c>
      <c r="BA249">
        <f>Assumptions!$B$32</f>
        <v/>
      </c>
      <c r="BB249">
        <f>Assumptions!$B$31</f>
        <v/>
      </c>
      <c r="BC249">
        <f>Assumptions!$B$30</f>
        <v/>
      </c>
      <c r="BD249">
        <f>Assumptions!$B$29</f>
        <v/>
      </c>
      <c r="BE249">
        <f>Assumptions!$B$28</f>
        <v/>
      </c>
      <c r="BF249">
        <f>P249*Assumptions!$B$141</f>
        <v/>
      </c>
      <c r="BG249">
        <f>P249*Assumptions!$B$128</f>
        <v/>
      </c>
      <c r="BH249">
        <f>P249*Assumptions!$B$129</f>
        <v/>
      </c>
      <c r="BI249">
        <f>P249*Assumptions!$B$14</f>
        <v/>
      </c>
      <c r="BJ249">
        <f>P249*Assumptions!$B$13</f>
        <v/>
      </c>
      <c r="BK249">
        <f>P249*Assumptions!$B$12</f>
        <v/>
      </c>
      <c r="BL249">
        <f>P249*Assumptions!$B$11</f>
        <v/>
      </c>
    </row>
    <row r="250">
      <c r="A250" t="inlineStr">
        <is>
          <t>1200M</t>
        </is>
      </c>
      <c r="B250">
        <f>Assumptions!$B$59</f>
        <v/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>
        <f>(1-C250)*Assumptions!$B$41+(1-D250)*Assumptions!$B$33+(1-E250)*Assumptions!$B$32+(1-F250)*Assumptions!$B$31+(1-G250)*Assumptions!$B$30+(1-H250)*Assumptions!$B$29+(1-I250)*Assumptions!$B$28</f>
        <v/>
      </c>
      <c r="K250">
        <f>C250*Assumptions!$B$141+D250*Assumptions!$B$128+E250*Assumptions!$B$129+F250*Assumptions!$B$14+G250*Assumptions!$B$13+H250*Assumptions!$B$12+I250*Assumptions!$B$11+Assumptions!$B$133+Assumptions!$B$137+Assumptions!$B$9</f>
        <v/>
      </c>
      <c r="L250">
        <f>B250-J250</f>
        <v/>
      </c>
      <c r="M250">
        <f>IF(K250&gt;0,IF(L250/K250&gt;=Assumptions!$B$37,1,0),0)</f>
        <v/>
      </c>
      <c r="N250">
        <f>K250+M250*Assumptions!$B$153</f>
        <v/>
      </c>
      <c r="O250">
        <f>L250+M250*Assumptions!$B$153*Assumptions!$B$37</f>
        <v/>
      </c>
      <c r="P250">
        <f>IF(N250&gt;0,O250/N250,0)</f>
        <v/>
      </c>
      <c r="Q250">
        <f>IF(C250=1,P250*Assumptions!$B$141,Assumptions!$B$41)</f>
        <v/>
      </c>
      <c r="R250">
        <f>IF(D250=1,P250*Assumptions!$B$128,Assumptions!$B$33)</f>
        <v/>
      </c>
      <c r="S250">
        <f>IF(E250=1,P250*Assumptions!$B$129,Assumptions!$B$32)</f>
        <v/>
      </c>
      <c r="T250">
        <f>IF(F250=1,P250*Assumptions!$B$14,Assumptions!$B$31)</f>
        <v/>
      </c>
      <c r="U250">
        <f>IF(G250=1,P250*Assumptions!$B$13,Assumptions!$B$30)</f>
        <v/>
      </c>
      <c r="V250">
        <f>IF(H250=1,P250*Assumptions!$B$12,Assumptions!$B$29)</f>
        <v/>
      </c>
      <c r="W250">
        <f>IF(I250=1,P250*Assumptions!$B$11,Assumptions!$B$28)</f>
        <v/>
      </c>
      <c r="X250">
        <f>P250*(Assumptions!$B$133+Assumptions!$B$137)</f>
        <v/>
      </c>
      <c r="Y250">
        <f>P250*Assumptions!$B$9</f>
        <v/>
      </c>
      <c r="Z250">
        <f>IF(M250=1,(P250-Assumptions!$B$37)*Assumptions!$B$153,0)</f>
        <v/>
      </c>
      <c r="AA250">
        <f>Q250+R250+S250+T250+U250+V250+W250+X250+Y250+Z250</f>
        <v/>
      </c>
      <c r="AB250" t="n">
        <v>71</v>
      </c>
      <c r="AC250" t="n">
        <v>7</v>
      </c>
      <c r="AD250" t="n">
        <v>103</v>
      </c>
      <c r="AE250" t="n">
        <v>87</v>
      </c>
      <c r="AF250" t="n">
        <v>79</v>
      </c>
      <c r="AG250" t="n">
        <v>67</v>
      </c>
      <c r="AH250" t="n">
        <v>69</v>
      </c>
      <c r="AI250" t="n">
        <v>70</v>
      </c>
      <c r="AJ250">
        <f>INDEX($Q$179:$Q$306,AC250+1)</f>
        <v/>
      </c>
      <c r="AK250">
        <f>INDEX($R$179:$R$306,AD250+1)</f>
        <v/>
      </c>
      <c r="AL250">
        <f>INDEX($S$179:$S$306,AE250+1)</f>
        <v/>
      </c>
      <c r="AM250">
        <f>INDEX($T$179:$T$306,AF250+1)</f>
        <v/>
      </c>
      <c r="AN250">
        <f>INDEX($U$179:$U$306,AG250+1)</f>
        <v/>
      </c>
      <c r="AO250">
        <f>INDEX($V$179:$V$306,AH250+1)</f>
        <v/>
      </c>
      <c r="AP250">
        <f>INDEX($W$179:$W$306,AI250+1)</f>
        <v/>
      </c>
      <c r="AQ250">
        <f>IF(Q250&gt;=AJ250-0.01,1,0)</f>
        <v/>
      </c>
      <c r="AR250">
        <f>IF(R250&gt;=AK250-0.01,1,0)</f>
        <v/>
      </c>
      <c r="AS250">
        <f>IF(S250&gt;=AL250-0.01,1,0)</f>
        <v/>
      </c>
      <c r="AT250">
        <f>IF(T250&gt;=AM250-0.01,1,0)</f>
        <v/>
      </c>
      <c r="AU250">
        <f>IF(U250&gt;=AN250-0.01,1,0)</f>
        <v/>
      </c>
      <c r="AV250">
        <f>IF(V250&gt;=AO250-0.01,1,0)</f>
        <v/>
      </c>
      <c r="AW250">
        <f>IF(W250&gt;=AP250-0.01,1,0)</f>
        <v/>
      </c>
      <c r="AX250">
        <f>AQ250*AR250*AS250*AT250*AU250*AV250*AW250</f>
        <v/>
      </c>
      <c r="AY250">
        <f>Assumptions!$B$41</f>
        <v/>
      </c>
      <c r="AZ250">
        <f>Assumptions!$B$33</f>
        <v/>
      </c>
      <c r="BA250">
        <f>Assumptions!$B$32</f>
        <v/>
      </c>
      <c r="BB250">
        <f>Assumptions!$B$31</f>
        <v/>
      </c>
      <c r="BC250">
        <f>Assumptions!$B$30</f>
        <v/>
      </c>
      <c r="BD250">
        <f>Assumptions!$B$29</f>
        <v/>
      </c>
      <c r="BE250">
        <f>Assumptions!$B$28</f>
        <v/>
      </c>
      <c r="BF250">
        <f>P250*Assumptions!$B$141</f>
        <v/>
      </c>
      <c r="BG250">
        <f>P250*Assumptions!$B$128</f>
        <v/>
      </c>
      <c r="BH250">
        <f>P250*Assumptions!$B$129</f>
        <v/>
      </c>
      <c r="BI250">
        <f>P250*Assumptions!$B$14</f>
        <v/>
      </c>
      <c r="BJ250">
        <f>P250*Assumptions!$B$13</f>
        <v/>
      </c>
      <c r="BK250">
        <f>P250*Assumptions!$B$12</f>
        <v/>
      </c>
      <c r="BL250">
        <f>P250*Assumptions!$B$11</f>
        <v/>
      </c>
    </row>
    <row r="251">
      <c r="A251" t="inlineStr">
        <is>
          <t>1200M</t>
        </is>
      </c>
      <c r="B251">
        <f>Assumptions!$B$59</f>
        <v/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>
        <f>(1-C251)*Assumptions!$B$41+(1-D251)*Assumptions!$B$33+(1-E251)*Assumptions!$B$32+(1-F251)*Assumptions!$B$31+(1-G251)*Assumptions!$B$30+(1-H251)*Assumptions!$B$29+(1-I251)*Assumptions!$B$28</f>
        <v/>
      </c>
      <c r="K251">
        <f>C251*Assumptions!$B$141+D251*Assumptions!$B$128+E251*Assumptions!$B$129+F251*Assumptions!$B$14+G251*Assumptions!$B$13+H251*Assumptions!$B$12+I251*Assumptions!$B$11+Assumptions!$B$133+Assumptions!$B$137+Assumptions!$B$9</f>
        <v/>
      </c>
      <c r="L251">
        <f>B251-J251</f>
        <v/>
      </c>
      <c r="M251">
        <f>IF(K251&gt;0,IF(L251/K251&gt;=Assumptions!$B$37,1,0),0)</f>
        <v/>
      </c>
      <c r="N251">
        <f>K251+M251*Assumptions!$B$153</f>
        <v/>
      </c>
      <c r="O251">
        <f>L251+M251*Assumptions!$B$153*Assumptions!$B$37</f>
        <v/>
      </c>
      <c r="P251">
        <f>IF(N251&gt;0,O251/N251,0)</f>
        <v/>
      </c>
      <c r="Q251">
        <f>IF(C251=1,P251*Assumptions!$B$141,Assumptions!$B$41)</f>
        <v/>
      </c>
      <c r="R251">
        <f>IF(D251=1,P251*Assumptions!$B$128,Assumptions!$B$33)</f>
        <v/>
      </c>
      <c r="S251">
        <f>IF(E251=1,P251*Assumptions!$B$129,Assumptions!$B$32)</f>
        <v/>
      </c>
      <c r="T251">
        <f>IF(F251=1,P251*Assumptions!$B$14,Assumptions!$B$31)</f>
        <v/>
      </c>
      <c r="U251">
        <f>IF(G251=1,P251*Assumptions!$B$13,Assumptions!$B$30)</f>
        <v/>
      </c>
      <c r="V251">
        <f>IF(H251=1,P251*Assumptions!$B$12,Assumptions!$B$29)</f>
        <v/>
      </c>
      <c r="W251">
        <f>IF(I251=1,P251*Assumptions!$B$11,Assumptions!$B$28)</f>
        <v/>
      </c>
      <c r="X251">
        <f>P251*(Assumptions!$B$133+Assumptions!$B$137)</f>
        <v/>
      </c>
      <c r="Y251">
        <f>P251*Assumptions!$B$9</f>
        <v/>
      </c>
      <c r="Z251">
        <f>IF(M251=1,(P251-Assumptions!$B$37)*Assumptions!$B$153,0)</f>
        <v/>
      </c>
      <c r="AA251">
        <f>Q251+R251+S251+T251+U251+V251+W251+X251+Y251+Z251</f>
        <v/>
      </c>
      <c r="AB251" t="n">
        <v>72</v>
      </c>
      <c r="AC251" t="n">
        <v>8</v>
      </c>
      <c r="AD251" t="n">
        <v>104</v>
      </c>
      <c r="AE251" t="n">
        <v>88</v>
      </c>
      <c r="AF251" t="n">
        <v>64</v>
      </c>
      <c r="AG251" t="n">
        <v>76</v>
      </c>
      <c r="AH251" t="n">
        <v>74</v>
      </c>
      <c r="AI251" t="n">
        <v>73</v>
      </c>
      <c r="AJ251">
        <f>INDEX($Q$179:$Q$306,AC251+1)</f>
        <v/>
      </c>
      <c r="AK251">
        <f>INDEX($R$179:$R$306,AD251+1)</f>
        <v/>
      </c>
      <c r="AL251">
        <f>INDEX($S$179:$S$306,AE251+1)</f>
        <v/>
      </c>
      <c r="AM251">
        <f>INDEX($T$179:$T$306,AF251+1)</f>
        <v/>
      </c>
      <c r="AN251">
        <f>INDEX($U$179:$U$306,AG251+1)</f>
        <v/>
      </c>
      <c r="AO251">
        <f>INDEX($V$179:$V$306,AH251+1)</f>
        <v/>
      </c>
      <c r="AP251">
        <f>INDEX($W$179:$W$306,AI251+1)</f>
        <v/>
      </c>
      <c r="AQ251">
        <f>IF(Q251&gt;=AJ251-0.01,1,0)</f>
        <v/>
      </c>
      <c r="AR251">
        <f>IF(R251&gt;=AK251-0.01,1,0)</f>
        <v/>
      </c>
      <c r="AS251">
        <f>IF(S251&gt;=AL251-0.01,1,0)</f>
        <v/>
      </c>
      <c r="AT251">
        <f>IF(T251&gt;=AM251-0.01,1,0)</f>
        <v/>
      </c>
      <c r="AU251">
        <f>IF(U251&gt;=AN251-0.01,1,0)</f>
        <v/>
      </c>
      <c r="AV251">
        <f>IF(V251&gt;=AO251-0.01,1,0)</f>
        <v/>
      </c>
      <c r="AW251">
        <f>IF(W251&gt;=AP251-0.01,1,0)</f>
        <v/>
      </c>
      <c r="AX251">
        <f>AQ251*AR251*AS251*AT251*AU251*AV251*AW251</f>
        <v/>
      </c>
      <c r="AY251">
        <f>Assumptions!$B$41</f>
        <v/>
      </c>
      <c r="AZ251">
        <f>Assumptions!$B$33</f>
        <v/>
      </c>
      <c r="BA251">
        <f>Assumptions!$B$32</f>
        <v/>
      </c>
      <c r="BB251">
        <f>Assumptions!$B$31</f>
        <v/>
      </c>
      <c r="BC251">
        <f>Assumptions!$B$30</f>
        <v/>
      </c>
      <c r="BD251">
        <f>Assumptions!$B$29</f>
        <v/>
      </c>
      <c r="BE251">
        <f>Assumptions!$B$28</f>
        <v/>
      </c>
      <c r="BF251">
        <f>P251*Assumptions!$B$141</f>
        <v/>
      </c>
      <c r="BG251">
        <f>P251*Assumptions!$B$128</f>
        <v/>
      </c>
      <c r="BH251">
        <f>P251*Assumptions!$B$129</f>
        <v/>
      </c>
      <c r="BI251">
        <f>P251*Assumptions!$B$14</f>
        <v/>
      </c>
      <c r="BJ251">
        <f>P251*Assumptions!$B$13</f>
        <v/>
      </c>
      <c r="BK251">
        <f>P251*Assumptions!$B$12</f>
        <v/>
      </c>
      <c r="BL251">
        <f>P251*Assumptions!$B$11</f>
        <v/>
      </c>
    </row>
    <row r="252">
      <c r="A252" t="inlineStr">
        <is>
          <t>1200M</t>
        </is>
      </c>
      <c r="B252">
        <f>Assumptions!$B$59</f>
        <v/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>
        <f>(1-C252)*Assumptions!$B$41+(1-D252)*Assumptions!$B$33+(1-E252)*Assumptions!$B$32+(1-F252)*Assumptions!$B$31+(1-G252)*Assumptions!$B$30+(1-H252)*Assumptions!$B$29+(1-I252)*Assumptions!$B$28</f>
        <v/>
      </c>
      <c r="K252">
        <f>C252*Assumptions!$B$141+D252*Assumptions!$B$128+E252*Assumptions!$B$129+F252*Assumptions!$B$14+G252*Assumptions!$B$13+H252*Assumptions!$B$12+I252*Assumptions!$B$11+Assumptions!$B$133+Assumptions!$B$137+Assumptions!$B$9</f>
        <v/>
      </c>
      <c r="L252">
        <f>B252-J252</f>
        <v/>
      </c>
      <c r="M252">
        <f>IF(K252&gt;0,IF(L252/K252&gt;=Assumptions!$B$37,1,0),0)</f>
        <v/>
      </c>
      <c r="N252">
        <f>K252+M252*Assumptions!$B$153</f>
        <v/>
      </c>
      <c r="O252">
        <f>L252+M252*Assumptions!$B$153*Assumptions!$B$37</f>
        <v/>
      </c>
      <c r="P252">
        <f>IF(N252&gt;0,O252/N252,0)</f>
        <v/>
      </c>
      <c r="Q252">
        <f>IF(C252=1,P252*Assumptions!$B$141,Assumptions!$B$41)</f>
        <v/>
      </c>
      <c r="R252">
        <f>IF(D252=1,P252*Assumptions!$B$128,Assumptions!$B$33)</f>
        <v/>
      </c>
      <c r="S252">
        <f>IF(E252=1,P252*Assumptions!$B$129,Assumptions!$B$32)</f>
        <v/>
      </c>
      <c r="T252">
        <f>IF(F252=1,P252*Assumptions!$B$14,Assumptions!$B$31)</f>
        <v/>
      </c>
      <c r="U252">
        <f>IF(G252=1,P252*Assumptions!$B$13,Assumptions!$B$30)</f>
        <v/>
      </c>
      <c r="V252">
        <f>IF(H252=1,P252*Assumptions!$B$12,Assumptions!$B$29)</f>
        <v/>
      </c>
      <c r="W252">
        <f>IF(I252=1,P252*Assumptions!$B$11,Assumptions!$B$28)</f>
        <v/>
      </c>
      <c r="X252">
        <f>P252*(Assumptions!$B$133+Assumptions!$B$137)</f>
        <v/>
      </c>
      <c r="Y252">
        <f>P252*Assumptions!$B$9</f>
        <v/>
      </c>
      <c r="Z252">
        <f>IF(M252=1,(P252-Assumptions!$B$37)*Assumptions!$B$153,0)</f>
        <v/>
      </c>
      <c r="AA252">
        <f>Q252+R252+S252+T252+U252+V252+W252+X252+Y252+Z252</f>
        <v/>
      </c>
      <c r="AB252" t="n">
        <v>73</v>
      </c>
      <c r="AC252" t="n">
        <v>9</v>
      </c>
      <c r="AD252" t="n">
        <v>105</v>
      </c>
      <c r="AE252" t="n">
        <v>89</v>
      </c>
      <c r="AF252" t="n">
        <v>65</v>
      </c>
      <c r="AG252" t="n">
        <v>77</v>
      </c>
      <c r="AH252" t="n">
        <v>75</v>
      </c>
      <c r="AI252" t="n">
        <v>72</v>
      </c>
      <c r="AJ252">
        <f>INDEX($Q$179:$Q$306,AC252+1)</f>
        <v/>
      </c>
      <c r="AK252">
        <f>INDEX($R$179:$R$306,AD252+1)</f>
        <v/>
      </c>
      <c r="AL252">
        <f>INDEX($S$179:$S$306,AE252+1)</f>
        <v/>
      </c>
      <c r="AM252">
        <f>INDEX($T$179:$T$306,AF252+1)</f>
        <v/>
      </c>
      <c r="AN252">
        <f>INDEX($U$179:$U$306,AG252+1)</f>
        <v/>
      </c>
      <c r="AO252">
        <f>INDEX($V$179:$V$306,AH252+1)</f>
        <v/>
      </c>
      <c r="AP252">
        <f>INDEX($W$179:$W$306,AI252+1)</f>
        <v/>
      </c>
      <c r="AQ252">
        <f>IF(Q252&gt;=AJ252-0.01,1,0)</f>
        <v/>
      </c>
      <c r="AR252">
        <f>IF(R252&gt;=AK252-0.01,1,0)</f>
        <v/>
      </c>
      <c r="AS252">
        <f>IF(S252&gt;=AL252-0.01,1,0)</f>
        <v/>
      </c>
      <c r="AT252">
        <f>IF(T252&gt;=AM252-0.01,1,0)</f>
        <v/>
      </c>
      <c r="AU252">
        <f>IF(U252&gt;=AN252-0.01,1,0)</f>
        <v/>
      </c>
      <c r="AV252">
        <f>IF(V252&gt;=AO252-0.01,1,0)</f>
        <v/>
      </c>
      <c r="AW252">
        <f>IF(W252&gt;=AP252-0.01,1,0)</f>
        <v/>
      </c>
      <c r="AX252">
        <f>AQ252*AR252*AS252*AT252*AU252*AV252*AW252</f>
        <v/>
      </c>
      <c r="AY252">
        <f>Assumptions!$B$41</f>
        <v/>
      </c>
      <c r="AZ252">
        <f>Assumptions!$B$33</f>
        <v/>
      </c>
      <c r="BA252">
        <f>Assumptions!$B$32</f>
        <v/>
      </c>
      <c r="BB252">
        <f>Assumptions!$B$31</f>
        <v/>
      </c>
      <c r="BC252">
        <f>Assumptions!$B$30</f>
        <v/>
      </c>
      <c r="BD252">
        <f>Assumptions!$B$29</f>
        <v/>
      </c>
      <c r="BE252">
        <f>Assumptions!$B$28</f>
        <v/>
      </c>
      <c r="BF252">
        <f>P252*Assumptions!$B$141</f>
        <v/>
      </c>
      <c r="BG252">
        <f>P252*Assumptions!$B$128</f>
        <v/>
      </c>
      <c r="BH252">
        <f>P252*Assumptions!$B$129</f>
        <v/>
      </c>
      <c r="BI252">
        <f>P252*Assumptions!$B$14</f>
        <v/>
      </c>
      <c r="BJ252">
        <f>P252*Assumptions!$B$13</f>
        <v/>
      </c>
      <c r="BK252">
        <f>P252*Assumptions!$B$12</f>
        <v/>
      </c>
      <c r="BL252">
        <f>P252*Assumptions!$B$11</f>
        <v/>
      </c>
    </row>
    <row r="253">
      <c r="A253" t="inlineStr">
        <is>
          <t>1200M</t>
        </is>
      </c>
      <c r="B253">
        <f>Assumptions!$B$59</f>
        <v/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>
        <f>(1-C253)*Assumptions!$B$41+(1-D253)*Assumptions!$B$33+(1-E253)*Assumptions!$B$32+(1-F253)*Assumptions!$B$31+(1-G253)*Assumptions!$B$30+(1-H253)*Assumptions!$B$29+(1-I253)*Assumptions!$B$28</f>
        <v/>
      </c>
      <c r="K253">
        <f>C253*Assumptions!$B$141+D253*Assumptions!$B$128+E253*Assumptions!$B$129+F253*Assumptions!$B$14+G253*Assumptions!$B$13+H253*Assumptions!$B$12+I253*Assumptions!$B$11+Assumptions!$B$133+Assumptions!$B$137+Assumptions!$B$9</f>
        <v/>
      </c>
      <c r="L253">
        <f>B253-J253</f>
        <v/>
      </c>
      <c r="M253">
        <f>IF(K253&gt;0,IF(L253/K253&gt;=Assumptions!$B$37,1,0),0)</f>
        <v/>
      </c>
      <c r="N253">
        <f>K253+M253*Assumptions!$B$153</f>
        <v/>
      </c>
      <c r="O253">
        <f>L253+M253*Assumptions!$B$153*Assumptions!$B$37</f>
        <v/>
      </c>
      <c r="P253">
        <f>IF(N253&gt;0,O253/N253,0)</f>
        <v/>
      </c>
      <c r="Q253">
        <f>IF(C253=1,P253*Assumptions!$B$141,Assumptions!$B$41)</f>
        <v/>
      </c>
      <c r="R253">
        <f>IF(D253=1,P253*Assumptions!$B$128,Assumptions!$B$33)</f>
        <v/>
      </c>
      <c r="S253">
        <f>IF(E253=1,P253*Assumptions!$B$129,Assumptions!$B$32)</f>
        <v/>
      </c>
      <c r="T253">
        <f>IF(F253=1,P253*Assumptions!$B$14,Assumptions!$B$31)</f>
        <v/>
      </c>
      <c r="U253">
        <f>IF(G253=1,P253*Assumptions!$B$13,Assumptions!$B$30)</f>
        <v/>
      </c>
      <c r="V253">
        <f>IF(H253=1,P253*Assumptions!$B$12,Assumptions!$B$29)</f>
        <v/>
      </c>
      <c r="W253">
        <f>IF(I253=1,P253*Assumptions!$B$11,Assumptions!$B$28)</f>
        <v/>
      </c>
      <c r="X253">
        <f>P253*(Assumptions!$B$133+Assumptions!$B$137)</f>
        <v/>
      </c>
      <c r="Y253">
        <f>P253*Assumptions!$B$9</f>
        <v/>
      </c>
      <c r="Z253">
        <f>IF(M253=1,(P253-Assumptions!$B$37)*Assumptions!$B$153,0)</f>
        <v/>
      </c>
      <c r="AA253">
        <f>Q253+R253+S253+T253+U253+V253+W253+X253+Y253+Z253</f>
        <v/>
      </c>
      <c r="AB253" t="n">
        <v>74</v>
      </c>
      <c r="AC253" t="n">
        <v>10</v>
      </c>
      <c r="AD253" t="n">
        <v>106</v>
      </c>
      <c r="AE253" t="n">
        <v>90</v>
      </c>
      <c r="AF253" t="n">
        <v>66</v>
      </c>
      <c r="AG253" t="n">
        <v>78</v>
      </c>
      <c r="AH253" t="n">
        <v>72</v>
      </c>
      <c r="AI253" t="n">
        <v>75</v>
      </c>
      <c r="AJ253">
        <f>INDEX($Q$179:$Q$306,AC253+1)</f>
        <v/>
      </c>
      <c r="AK253">
        <f>INDEX($R$179:$R$306,AD253+1)</f>
        <v/>
      </c>
      <c r="AL253">
        <f>INDEX($S$179:$S$306,AE253+1)</f>
        <v/>
      </c>
      <c r="AM253">
        <f>INDEX($T$179:$T$306,AF253+1)</f>
        <v/>
      </c>
      <c r="AN253">
        <f>INDEX($U$179:$U$306,AG253+1)</f>
        <v/>
      </c>
      <c r="AO253">
        <f>INDEX($V$179:$V$306,AH253+1)</f>
        <v/>
      </c>
      <c r="AP253">
        <f>INDEX($W$179:$W$306,AI253+1)</f>
        <v/>
      </c>
      <c r="AQ253">
        <f>IF(Q253&gt;=AJ253-0.01,1,0)</f>
        <v/>
      </c>
      <c r="AR253">
        <f>IF(R253&gt;=AK253-0.01,1,0)</f>
        <v/>
      </c>
      <c r="AS253">
        <f>IF(S253&gt;=AL253-0.01,1,0)</f>
        <v/>
      </c>
      <c r="AT253">
        <f>IF(T253&gt;=AM253-0.01,1,0)</f>
        <v/>
      </c>
      <c r="AU253">
        <f>IF(U253&gt;=AN253-0.01,1,0)</f>
        <v/>
      </c>
      <c r="AV253">
        <f>IF(V253&gt;=AO253-0.01,1,0)</f>
        <v/>
      </c>
      <c r="AW253">
        <f>IF(W253&gt;=AP253-0.01,1,0)</f>
        <v/>
      </c>
      <c r="AX253">
        <f>AQ253*AR253*AS253*AT253*AU253*AV253*AW253</f>
        <v/>
      </c>
      <c r="AY253">
        <f>Assumptions!$B$41</f>
        <v/>
      </c>
      <c r="AZ253">
        <f>Assumptions!$B$33</f>
        <v/>
      </c>
      <c r="BA253">
        <f>Assumptions!$B$32</f>
        <v/>
      </c>
      <c r="BB253">
        <f>Assumptions!$B$31</f>
        <v/>
      </c>
      <c r="BC253">
        <f>Assumptions!$B$30</f>
        <v/>
      </c>
      <c r="BD253">
        <f>Assumptions!$B$29</f>
        <v/>
      </c>
      <c r="BE253">
        <f>Assumptions!$B$28</f>
        <v/>
      </c>
      <c r="BF253">
        <f>P253*Assumptions!$B$141</f>
        <v/>
      </c>
      <c r="BG253">
        <f>P253*Assumptions!$B$128</f>
        <v/>
      </c>
      <c r="BH253">
        <f>P253*Assumptions!$B$129</f>
        <v/>
      </c>
      <c r="BI253">
        <f>P253*Assumptions!$B$14</f>
        <v/>
      </c>
      <c r="BJ253">
        <f>P253*Assumptions!$B$13</f>
        <v/>
      </c>
      <c r="BK253">
        <f>P253*Assumptions!$B$12</f>
        <v/>
      </c>
      <c r="BL253">
        <f>P253*Assumptions!$B$11</f>
        <v/>
      </c>
    </row>
    <row r="254">
      <c r="A254" t="inlineStr">
        <is>
          <t>1200M</t>
        </is>
      </c>
      <c r="B254">
        <f>Assumptions!$B$59</f>
        <v/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1</v>
      </c>
      <c r="J254">
        <f>(1-C254)*Assumptions!$B$41+(1-D254)*Assumptions!$B$33+(1-E254)*Assumptions!$B$32+(1-F254)*Assumptions!$B$31+(1-G254)*Assumptions!$B$30+(1-H254)*Assumptions!$B$29+(1-I254)*Assumptions!$B$28</f>
        <v/>
      </c>
      <c r="K254">
        <f>C254*Assumptions!$B$141+D254*Assumptions!$B$128+E254*Assumptions!$B$129+F254*Assumptions!$B$14+G254*Assumptions!$B$13+H254*Assumptions!$B$12+I254*Assumptions!$B$11+Assumptions!$B$133+Assumptions!$B$137+Assumptions!$B$9</f>
        <v/>
      </c>
      <c r="L254">
        <f>B254-J254</f>
        <v/>
      </c>
      <c r="M254">
        <f>IF(K254&gt;0,IF(L254/K254&gt;=Assumptions!$B$37,1,0),0)</f>
        <v/>
      </c>
      <c r="N254">
        <f>K254+M254*Assumptions!$B$153</f>
        <v/>
      </c>
      <c r="O254">
        <f>L254+M254*Assumptions!$B$153*Assumptions!$B$37</f>
        <v/>
      </c>
      <c r="P254">
        <f>IF(N254&gt;0,O254/N254,0)</f>
        <v/>
      </c>
      <c r="Q254">
        <f>IF(C254=1,P254*Assumptions!$B$141,Assumptions!$B$41)</f>
        <v/>
      </c>
      <c r="R254">
        <f>IF(D254=1,P254*Assumptions!$B$128,Assumptions!$B$33)</f>
        <v/>
      </c>
      <c r="S254">
        <f>IF(E254=1,P254*Assumptions!$B$129,Assumptions!$B$32)</f>
        <v/>
      </c>
      <c r="T254">
        <f>IF(F254=1,P254*Assumptions!$B$14,Assumptions!$B$31)</f>
        <v/>
      </c>
      <c r="U254">
        <f>IF(G254=1,P254*Assumptions!$B$13,Assumptions!$B$30)</f>
        <v/>
      </c>
      <c r="V254">
        <f>IF(H254=1,P254*Assumptions!$B$12,Assumptions!$B$29)</f>
        <v/>
      </c>
      <c r="W254">
        <f>IF(I254=1,P254*Assumptions!$B$11,Assumptions!$B$28)</f>
        <v/>
      </c>
      <c r="X254">
        <f>P254*(Assumptions!$B$133+Assumptions!$B$137)</f>
        <v/>
      </c>
      <c r="Y254">
        <f>P254*Assumptions!$B$9</f>
        <v/>
      </c>
      <c r="Z254">
        <f>IF(M254=1,(P254-Assumptions!$B$37)*Assumptions!$B$153,0)</f>
        <v/>
      </c>
      <c r="AA254">
        <f>Q254+R254+S254+T254+U254+V254+W254+X254+Y254+Z254</f>
        <v/>
      </c>
      <c r="AB254" t="n">
        <v>75</v>
      </c>
      <c r="AC254" t="n">
        <v>11</v>
      </c>
      <c r="AD254" t="n">
        <v>107</v>
      </c>
      <c r="AE254" t="n">
        <v>91</v>
      </c>
      <c r="AF254" t="n">
        <v>67</v>
      </c>
      <c r="AG254" t="n">
        <v>79</v>
      </c>
      <c r="AH254" t="n">
        <v>73</v>
      </c>
      <c r="AI254" t="n">
        <v>74</v>
      </c>
      <c r="AJ254">
        <f>INDEX($Q$179:$Q$306,AC254+1)</f>
        <v/>
      </c>
      <c r="AK254">
        <f>INDEX($R$179:$R$306,AD254+1)</f>
        <v/>
      </c>
      <c r="AL254">
        <f>INDEX($S$179:$S$306,AE254+1)</f>
        <v/>
      </c>
      <c r="AM254">
        <f>INDEX($T$179:$T$306,AF254+1)</f>
        <v/>
      </c>
      <c r="AN254">
        <f>INDEX($U$179:$U$306,AG254+1)</f>
        <v/>
      </c>
      <c r="AO254">
        <f>INDEX($V$179:$V$306,AH254+1)</f>
        <v/>
      </c>
      <c r="AP254">
        <f>INDEX($W$179:$W$306,AI254+1)</f>
        <v/>
      </c>
      <c r="AQ254">
        <f>IF(Q254&gt;=AJ254-0.01,1,0)</f>
        <v/>
      </c>
      <c r="AR254">
        <f>IF(R254&gt;=AK254-0.01,1,0)</f>
        <v/>
      </c>
      <c r="AS254">
        <f>IF(S254&gt;=AL254-0.01,1,0)</f>
        <v/>
      </c>
      <c r="AT254">
        <f>IF(T254&gt;=AM254-0.01,1,0)</f>
        <v/>
      </c>
      <c r="AU254">
        <f>IF(U254&gt;=AN254-0.01,1,0)</f>
        <v/>
      </c>
      <c r="AV254">
        <f>IF(V254&gt;=AO254-0.01,1,0)</f>
        <v/>
      </c>
      <c r="AW254">
        <f>IF(W254&gt;=AP254-0.01,1,0)</f>
        <v/>
      </c>
      <c r="AX254">
        <f>AQ254*AR254*AS254*AT254*AU254*AV254*AW254</f>
        <v/>
      </c>
      <c r="AY254">
        <f>Assumptions!$B$41</f>
        <v/>
      </c>
      <c r="AZ254">
        <f>Assumptions!$B$33</f>
        <v/>
      </c>
      <c r="BA254">
        <f>Assumptions!$B$32</f>
        <v/>
      </c>
      <c r="BB254">
        <f>Assumptions!$B$31</f>
        <v/>
      </c>
      <c r="BC254">
        <f>Assumptions!$B$30</f>
        <v/>
      </c>
      <c r="BD254">
        <f>Assumptions!$B$29</f>
        <v/>
      </c>
      <c r="BE254">
        <f>Assumptions!$B$28</f>
        <v/>
      </c>
      <c r="BF254">
        <f>P254*Assumptions!$B$141</f>
        <v/>
      </c>
      <c r="BG254">
        <f>P254*Assumptions!$B$128</f>
        <v/>
      </c>
      <c r="BH254">
        <f>P254*Assumptions!$B$129</f>
        <v/>
      </c>
      <c r="BI254">
        <f>P254*Assumptions!$B$14</f>
        <v/>
      </c>
      <c r="BJ254">
        <f>P254*Assumptions!$B$13</f>
        <v/>
      </c>
      <c r="BK254">
        <f>P254*Assumptions!$B$12</f>
        <v/>
      </c>
      <c r="BL254">
        <f>P254*Assumptions!$B$11</f>
        <v/>
      </c>
    </row>
    <row r="255">
      <c r="A255" t="inlineStr">
        <is>
          <t>1200M</t>
        </is>
      </c>
      <c r="B255">
        <f>Assumptions!$B$59</f>
        <v/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>
        <f>(1-C255)*Assumptions!$B$41+(1-D255)*Assumptions!$B$33+(1-E255)*Assumptions!$B$32+(1-F255)*Assumptions!$B$31+(1-G255)*Assumptions!$B$30+(1-H255)*Assumptions!$B$29+(1-I255)*Assumptions!$B$28</f>
        <v/>
      </c>
      <c r="K255">
        <f>C255*Assumptions!$B$141+D255*Assumptions!$B$128+E255*Assumptions!$B$129+F255*Assumptions!$B$14+G255*Assumptions!$B$13+H255*Assumptions!$B$12+I255*Assumptions!$B$11+Assumptions!$B$133+Assumptions!$B$137+Assumptions!$B$9</f>
        <v/>
      </c>
      <c r="L255">
        <f>B255-J255</f>
        <v/>
      </c>
      <c r="M255">
        <f>IF(K255&gt;0,IF(L255/K255&gt;=Assumptions!$B$37,1,0),0)</f>
        <v/>
      </c>
      <c r="N255">
        <f>K255+M255*Assumptions!$B$153</f>
        <v/>
      </c>
      <c r="O255">
        <f>L255+M255*Assumptions!$B$153*Assumptions!$B$37</f>
        <v/>
      </c>
      <c r="P255">
        <f>IF(N255&gt;0,O255/N255,0)</f>
        <v/>
      </c>
      <c r="Q255">
        <f>IF(C255=1,P255*Assumptions!$B$141,Assumptions!$B$41)</f>
        <v/>
      </c>
      <c r="R255">
        <f>IF(D255=1,P255*Assumptions!$B$128,Assumptions!$B$33)</f>
        <v/>
      </c>
      <c r="S255">
        <f>IF(E255=1,P255*Assumptions!$B$129,Assumptions!$B$32)</f>
        <v/>
      </c>
      <c r="T255">
        <f>IF(F255=1,P255*Assumptions!$B$14,Assumptions!$B$31)</f>
        <v/>
      </c>
      <c r="U255">
        <f>IF(G255=1,P255*Assumptions!$B$13,Assumptions!$B$30)</f>
        <v/>
      </c>
      <c r="V255">
        <f>IF(H255=1,P255*Assumptions!$B$12,Assumptions!$B$29)</f>
        <v/>
      </c>
      <c r="W255">
        <f>IF(I255=1,P255*Assumptions!$B$11,Assumptions!$B$28)</f>
        <v/>
      </c>
      <c r="X255">
        <f>P255*(Assumptions!$B$133+Assumptions!$B$137)</f>
        <v/>
      </c>
      <c r="Y255">
        <f>P255*Assumptions!$B$9</f>
        <v/>
      </c>
      <c r="Z255">
        <f>IF(M255=1,(P255-Assumptions!$B$37)*Assumptions!$B$153,0)</f>
        <v/>
      </c>
      <c r="AA255">
        <f>Q255+R255+S255+T255+U255+V255+W255+X255+Y255+Z255</f>
        <v/>
      </c>
      <c r="AB255" t="n">
        <v>76</v>
      </c>
      <c r="AC255" t="n">
        <v>12</v>
      </c>
      <c r="AD255" t="n">
        <v>108</v>
      </c>
      <c r="AE255" t="n">
        <v>92</v>
      </c>
      <c r="AF255" t="n">
        <v>68</v>
      </c>
      <c r="AG255" t="n">
        <v>72</v>
      </c>
      <c r="AH255" t="n">
        <v>78</v>
      </c>
      <c r="AI255" t="n">
        <v>77</v>
      </c>
      <c r="AJ255">
        <f>INDEX($Q$179:$Q$306,AC255+1)</f>
        <v/>
      </c>
      <c r="AK255">
        <f>INDEX($R$179:$R$306,AD255+1)</f>
        <v/>
      </c>
      <c r="AL255">
        <f>INDEX($S$179:$S$306,AE255+1)</f>
        <v/>
      </c>
      <c r="AM255">
        <f>INDEX($T$179:$T$306,AF255+1)</f>
        <v/>
      </c>
      <c r="AN255">
        <f>INDEX($U$179:$U$306,AG255+1)</f>
        <v/>
      </c>
      <c r="AO255">
        <f>INDEX($V$179:$V$306,AH255+1)</f>
        <v/>
      </c>
      <c r="AP255">
        <f>INDEX($W$179:$W$306,AI255+1)</f>
        <v/>
      </c>
      <c r="AQ255">
        <f>IF(Q255&gt;=AJ255-0.01,1,0)</f>
        <v/>
      </c>
      <c r="AR255">
        <f>IF(R255&gt;=AK255-0.01,1,0)</f>
        <v/>
      </c>
      <c r="AS255">
        <f>IF(S255&gt;=AL255-0.01,1,0)</f>
        <v/>
      </c>
      <c r="AT255">
        <f>IF(T255&gt;=AM255-0.01,1,0)</f>
        <v/>
      </c>
      <c r="AU255">
        <f>IF(U255&gt;=AN255-0.01,1,0)</f>
        <v/>
      </c>
      <c r="AV255">
        <f>IF(V255&gt;=AO255-0.01,1,0)</f>
        <v/>
      </c>
      <c r="AW255">
        <f>IF(W255&gt;=AP255-0.01,1,0)</f>
        <v/>
      </c>
      <c r="AX255">
        <f>AQ255*AR255*AS255*AT255*AU255*AV255*AW255</f>
        <v/>
      </c>
      <c r="AY255">
        <f>Assumptions!$B$41</f>
        <v/>
      </c>
      <c r="AZ255">
        <f>Assumptions!$B$33</f>
        <v/>
      </c>
      <c r="BA255">
        <f>Assumptions!$B$32</f>
        <v/>
      </c>
      <c r="BB255">
        <f>Assumptions!$B$31</f>
        <v/>
      </c>
      <c r="BC255">
        <f>Assumptions!$B$30</f>
        <v/>
      </c>
      <c r="BD255">
        <f>Assumptions!$B$29</f>
        <v/>
      </c>
      <c r="BE255">
        <f>Assumptions!$B$28</f>
        <v/>
      </c>
      <c r="BF255">
        <f>P255*Assumptions!$B$141</f>
        <v/>
      </c>
      <c r="BG255">
        <f>P255*Assumptions!$B$128</f>
        <v/>
      </c>
      <c r="BH255">
        <f>P255*Assumptions!$B$129</f>
        <v/>
      </c>
      <c r="BI255">
        <f>P255*Assumptions!$B$14</f>
        <v/>
      </c>
      <c r="BJ255">
        <f>P255*Assumptions!$B$13</f>
        <v/>
      </c>
      <c r="BK255">
        <f>P255*Assumptions!$B$12</f>
        <v/>
      </c>
      <c r="BL255">
        <f>P255*Assumptions!$B$11</f>
        <v/>
      </c>
    </row>
    <row r="256">
      <c r="A256" t="inlineStr">
        <is>
          <t>1200M</t>
        </is>
      </c>
      <c r="B256">
        <f>Assumptions!$B$59</f>
        <v/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1</v>
      </c>
      <c r="J256">
        <f>(1-C256)*Assumptions!$B$41+(1-D256)*Assumptions!$B$33+(1-E256)*Assumptions!$B$32+(1-F256)*Assumptions!$B$31+(1-G256)*Assumptions!$B$30+(1-H256)*Assumptions!$B$29+(1-I256)*Assumptions!$B$28</f>
        <v/>
      </c>
      <c r="K256">
        <f>C256*Assumptions!$B$141+D256*Assumptions!$B$128+E256*Assumptions!$B$129+F256*Assumptions!$B$14+G256*Assumptions!$B$13+H256*Assumptions!$B$12+I256*Assumptions!$B$11+Assumptions!$B$133+Assumptions!$B$137+Assumptions!$B$9</f>
        <v/>
      </c>
      <c r="L256">
        <f>B256-J256</f>
        <v/>
      </c>
      <c r="M256">
        <f>IF(K256&gt;0,IF(L256/K256&gt;=Assumptions!$B$37,1,0),0)</f>
        <v/>
      </c>
      <c r="N256">
        <f>K256+M256*Assumptions!$B$153</f>
        <v/>
      </c>
      <c r="O256">
        <f>L256+M256*Assumptions!$B$153*Assumptions!$B$37</f>
        <v/>
      </c>
      <c r="P256">
        <f>IF(N256&gt;0,O256/N256,0)</f>
        <v/>
      </c>
      <c r="Q256">
        <f>IF(C256=1,P256*Assumptions!$B$141,Assumptions!$B$41)</f>
        <v/>
      </c>
      <c r="R256">
        <f>IF(D256=1,P256*Assumptions!$B$128,Assumptions!$B$33)</f>
        <v/>
      </c>
      <c r="S256">
        <f>IF(E256=1,P256*Assumptions!$B$129,Assumptions!$B$32)</f>
        <v/>
      </c>
      <c r="T256">
        <f>IF(F256=1,P256*Assumptions!$B$14,Assumptions!$B$31)</f>
        <v/>
      </c>
      <c r="U256">
        <f>IF(G256=1,P256*Assumptions!$B$13,Assumptions!$B$30)</f>
        <v/>
      </c>
      <c r="V256">
        <f>IF(H256=1,P256*Assumptions!$B$12,Assumptions!$B$29)</f>
        <v/>
      </c>
      <c r="W256">
        <f>IF(I256=1,P256*Assumptions!$B$11,Assumptions!$B$28)</f>
        <v/>
      </c>
      <c r="X256">
        <f>P256*(Assumptions!$B$133+Assumptions!$B$137)</f>
        <v/>
      </c>
      <c r="Y256">
        <f>P256*Assumptions!$B$9</f>
        <v/>
      </c>
      <c r="Z256">
        <f>IF(M256=1,(P256-Assumptions!$B$37)*Assumptions!$B$153,0)</f>
        <v/>
      </c>
      <c r="AA256">
        <f>Q256+R256+S256+T256+U256+V256+W256+X256+Y256+Z256</f>
        <v/>
      </c>
      <c r="AB256" t="n">
        <v>77</v>
      </c>
      <c r="AC256" t="n">
        <v>13</v>
      </c>
      <c r="AD256" t="n">
        <v>109</v>
      </c>
      <c r="AE256" t="n">
        <v>93</v>
      </c>
      <c r="AF256" t="n">
        <v>69</v>
      </c>
      <c r="AG256" t="n">
        <v>73</v>
      </c>
      <c r="AH256" t="n">
        <v>79</v>
      </c>
      <c r="AI256" t="n">
        <v>76</v>
      </c>
      <c r="AJ256">
        <f>INDEX($Q$179:$Q$306,AC256+1)</f>
        <v/>
      </c>
      <c r="AK256">
        <f>INDEX($R$179:$R$306,AD256+1)</f>
        <v/>
      </c>
      <c r="AL256">
        <f>INDEX($S$179:$S$306,AE256+1)</f>
        <v/>
      </c>
      <c r="AM256">
        <f>INDEX($T$179:$T$306,AF256+1)</f>
        <v/>
      </c>
      <c r="AN256">
        <f>INDEX($U$179:$U$306,AG256+1)</f>
        <v/>
      </c>
      <c r="AO256">
        <f>INDEX($V$179:$V$306,AH256+1)</f>
        <v/>
      </c>
      <c r="AP256">
        <f>INDEX($W$179:$W$306,AI256+1)</f>
        <v/>
      </c>
      <c r="AQ256">
        <f>IF(Q256&gt;=AJ256-0.01,1,0)</f>
        <v/>
      </c>
      <c r="AR256">
        <f>IF(R256&gt;=AK256-0.01,1,0)</f>
        <v/>
      </c>
      <c r="AS256">
        <f>IF(S256&gt;=AL256-0.01,1,0)</f>
        <v/>
      </c>
      <c r="AT256">
        <f>IF(T256&gt;=AM256-0.01,1,0)</f>
        <v/>
      </c>
      <c r="AU256">
        <f>IF(U256&gt;=AN256-0.01,1,0)</f>
        <v/>
      </c>
      <c r="AV256">
        <f>IF(V256&gt;=AO256-0.01,1,0)</f>
        <v/>
      </c>
      <c r="AW256">
        <f>IF(W256&gt;=AP256-0.01,1,0)</f>
        <v/>
      </c>
      <c r="AX256">
        <f>AQ256*AR256*AS256*AT256*AU256*AV256*AW256</f>
        <v/>
      </c>
      <c r="AY256">
        <f>Assumptions!$B$41</f>
        <v/>
      </c>
      <c r="AZ256">
        <f>Assumptions!$B$33</f>
        <v/>
      </c>
      <c r="BA256">
        <f>Assumptions!$B$32</f>
        <v/>
      </c>
      <c r="BB256">
        <f>Assumptions!$B$31</f>
        <v/>
      </c>
      <c r="BC256">
        <f>Assumptions!$B$30</f>
        <v/>
      </c>
      <c r="BD256">
        <f>Assumptions!$B$29</f>
        <v/>
      </c>
      <c r="BE256">
        <f>Assumptions!$B$28</f>
        <v/>
      </c>
      <c r="BF256">
        <f>P256*Assumptions!$B$141</f>
        <v/>
      </c>
      <c r="BG256">
        <f>P256*Assumptions!$B$128</f>
        <v/>
      </c>
      <c r="BH256">
        <f>P256*Assumptions!$B$129</f>
        <v/>
      </c>
      <c r="BI256">
        <f>P256*Assumptions!$B$14</f>
        <v/>
      </c>
      <c r="BJ256">
        <f>P256*Assumptions!$B$13</f>
        <v/>
      </c>
      <c r="BK256">
        <f>P256*Assumptions!$B$12</f>
        <v/>
      </c>
      <c r="BL256">
        <f>P256*Assumptions!$B$11</f>
        <v/>
      </c>
    </row>
    <row r="257">
      <c r="A257" t="inlineStr">
        <is>
          <t>1200M</t>
        </is>
      </c>
      <c r="B257">
        <f>Assumptions!$B$59</f>
        <v/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>
        <f>(1-C257)*Assumptions!$B$41+(1-D257)*Assumptions!$B$33+(1-E257)*Assumptions!$B$32+(1-F257)*Assumptions!$B$31+(1-G257)*Assumptions!$B$30+(1-H257)*Assumptions!$B$29+(1-I257)*Assumptions!$B$28</f>
        <v/>
      </c>
      <c r="K257">
        <f>C257*Assumptions!$B$141+D257*Assumptions!$B$128+E257*Assumptions!$B$129+F257*Assumptions!$B$14+G257*Assumptions!$B$13+H257*Assumptions!$B$12+I257*Assumptions!$B$11+Assumptions!$B$133+Assumptions!$B$137+Assumptions!$B$9</f>
        <v/>
      </c>
      <c r="L257">
        <f>B257-J257</f>
        <v/>
      </c>
      <c r="M257">
        <f>IF(K257&gt;0,IF(L257/K257&gt;=Assumptions!$B$37,1,0),0)</f>
        <v/>
      </c>
      <c r="N257">
        <f>K257+M257*Assumptions!$B$153</f>
        <v/>
      </c>
      <c r="O257">
        <f>L257+M257*Assumptions!$B$153*Assumptions!$B$37</f>
        <v/>
      </c>
      <c r="P257">
        <f>IF(N257&gt;0,O257/N257,0)</f>
        <v/>
      </c>
      <c r="Q257">
        <f>IF(C257=1,P257*Assumptions!$B$141,Assumptions!$B$41)</f>
        <v/>
      </c>
      <c r="R257">
        <f>IF(D257=1,P257*Assumptions!$B$128,Assumptions!$B$33)</f>
        <v/>
      </c>
      <c r="S257">
        <f>IF(E257=1,P257*Assumptions!$B$129,Assumptions!$B$32)</f>
        <v/>
      </c>
      <c r="T257">
        <f>IF(F257=1,P257*Assumptions!$B$14,Assumptions!$B$31)</f>
        <v/>
      </c>
      <c r="U257">
        <f>IF(G257=1,P257*Assumptions!$B$13,Assumptions!$B$30)</f>
        <v/>
      </c>
      <c r="V257">
        <f>IF(H257=1,P257*Assumptions!$B$12,Assumptions!$B$29)</f>
        <v/>
      </c>
      <c r="W257">
        <f>IF(I257=1,P257*Assumptions!$B$11,Assumptions!$B$28)</f>
        <v/>
      </c>
      <c r="X257">
        <f>P257*(Assumptions!$B$133+Assumptions!$B$137)</f>
        <v/>
      </c>
      <c r="Y257">
        <f>P257*Assumptions!$B$9</f>
        <v/>
      </c>
      <c r="Z257">
        <f>IF(M257=1,(P257-Assumptions!$B$37)*Assumptions!$B$153,0)</f>
        <v/>
      </c>
      <c r="AA257">
        <f>Q257+R257+S257+T257+U257+V257+W257+X257+Y257+Z257</f>
        <v/>
      </c>
      <c r="AB257" t="n">
        <v>78</v>
      </c>
      <c r="AC257" t="n">
        <v>14</v>
      </c>
      <c r="AD257" t="n">
        <v>110</v>
      </c>
      <c r="AE257" t="n">
        <v>94</v>
      </c>
      <c r="AF257" t="n">
        <v>70</v>
      </c>
      <c r="AG257" t="n">
        <v>74</v>
      </c>
      <c r="AH257" t="n">
        <v>76</v>
      </c>
      <c r="AI257" t="n">
        <v>79</v>
      </c>
      <c r="AJ257">
        <f>INDEX($Q$179:$Q$306,AC257+1)</f>
        <v/>
      </c>
      <c r="AK257">
        <f>INDEX($R$179:$R$306,AD257+1)</f>
        <v/>
      </c>
      <c r="AL257">
        <f>INDEX($S$179:$S$306,AE257+1)</f>
        <v/>
      </c>
      <c r="AM257">
        <f>INDEX($T$179:$T$306,AF257+1)</f>
        <v/>
      </c>
      <c r="AN257">
        <f>INDEX($U$179:$U$306,AG257+1)</f>
        <v/>
      </c>
      <c r="AO257">
        <f>INDEX($V$179:$V$306,AH257+1)</f>
        <v/>
      </c>
      <c r="AP257">
        <f>INDEX($W$179:$W$306,AI257+1)</f>
        <v/>
      </c>
      <c r="AQ257">
        <f>IF(Q257&gt;=AJ257-0.01,1,0)</f>
        <v/>
      </c>
      <c r="AR257">
        <f>IF(R257&gt;=AK257-0.01,1,0)</f>
        <v/>
      </c>
      <c r="AS257">
        <f>IF(S257&gt;=AL257-0.01,1,0)</f>
        <v/>
      </c>
      <c r="AT257">
        <f>IF(T257&gt;=AM257-0.01,1,0)</f>
        <v/>
      </c>
      <c r="AU257">
        <f>IF(U257&gt;=AN257-0.01,1,0)</f>
        <v/>
      </c>
      <c r="AV257">
        <f>IF(V257&gt;=AO257-0.01,1,0)</f>
        <v/>
      </c>
      <c r="AW257">
        <f>IF(W257&gt;=AP257-0.01,1,0)</f>
        <v/>
      </c>
      <c r="AX257">
        <f>AQ257*AR257*AS257*AT257*AU257*AV257*AW257</f>
        <v/>
      </c>
      <c r="AY257">
        <f>Assumptions!$B$41</f>
        <v/>
      </c>
      <c r="AZ257">
        <f>Assumptions!$B$33</f>
        <v/>
      </c>
      <c r="BA257">
        <f>Assumptions!$B$32</f>
        <v/>
      </c>
      <c r="BB257">
        <f>Assumptions!$B$31</f>
        <v/>
      </c>
      <c r="BC257">
        <f>Assumptions!$B$30</f>
        <v/>
      </c>
      <c r="BD257">
        <f>Assumptions!$B$29</f>
        <v/>
      </c>
      <c r="BE257">
        <f>Assumptions!$B$28</f>
        <v/>
      </c>
      <c r="BF257">
        <f>P257*Assumptions!$B$141</f>
        <v/>
      </c>
      <c r="BG257">
        <f>P257*Assumptions!$B$128</f>
        <v/>
      </c>
      <c r="BH257">
        <f>P257*Assumptions!$B$129</f>
        <v/>
      </c>
      <c r="BI257">
        <f>P257*Assumptions!$B$14</f>
        <v/>
      </c>
      <c r="BJ257">
        <f>P257*Assumptions!$B$13</f>
        <v/>
      </c>
      <c r="BK257">
        <f>P257*Assumptions!$B$12</f>
        <v/>
      </c>
      <c r="BL257">
        <f>P257*Assumptions!$B$11</f>
        <v/>
      </c>
    </row>
    <row r="258">
      <c r="A258" t="inlineStr">
        <is>
          <t>1200M</t>
        </is>
      </c>
      <c r="B258">
        <f>Assumptions!$B$59</f>
        <v/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>
        <f>(1-C258)*Assumptions!$B$41+(1-D258)*Assumptions!$B$33+(1-E258)*Assumptions!$B$32+(1-F258)*Assumptions!$B$31+(1-G258)*Assumptions!$B$30+(1-H258)*Assumptions!$B$29+(1-I258)*Assumptions!$B$28</f>
        <v/>
      </c>
      <c r="K258">
        <f>C258*Assumptions!$B$141+D258*Assumptions!$B$128+E258*Assumptions!$B$129+F258*Assumptions!$B$14+G258*Assumptions!$B$13+H258*Assumptions!$B$12+I258*Assumptions!$B$11+Assumptions!$B$133+Assumptions!$B$137+Assumptions!$B$9</f>
        <v/>
      </c>
      <c r="L258">
        <f>B258-J258</f>
        <v/>
      </c>
      <c r="M258">
        <f>IF(K258&gt;0,IF(L258/K258&gt;=Assumptions!$B$37,1,0),0)</f>
        <v/>
      </c>
      <c r="N258">
        <f>K258+M258*Assumptions!$B$153</f>
        <v/>
      </c>
      <c r="O258">
        <f>L258+M258*Assumptions!$B$153*Assumptions!$B$37</f>
        <v/>
      </c>
      <c r="P258">
        <f>IF(N258&gt;0,O258/N258,0)</f>
        <v/>
      </c>
      <c r="Q258">
        <f>IF(C258=1,P258*Assumptions!$B$141,Assumptions!$B$41)</f>
        <v/>
      </c>
      <c r="R258">
        <f>IF(D258=1,P258*Assumptions!$B$128,Assumptions!$B$33)</f>
        <v/>
      </c>
      <c r="S258">
        <f>IF(E258=1,P258*Assumptions!$B$129,Assumptions!$B$32)</f>
        <v/>
      </c>
      <c r="T258">
        <f>IF(F258=1,P258*Assumptions!$B$14,Assumptions!$B$31)</f>
        <v/>
      </c>
      <c r="U258">
        <f>IF(G258=1,P258*Assumptions!$B$13,Assumptions!$B$30)</f>
        <v/>
      </c>
      <c r="V258">
        <f>IF(H258=1,P258*Assumptions!$B$12,Assumptions!$B$29)</f>
        <v/>
      </c>
      <c r="W258">
        <f>IF(I258=1,P258*Assumptions!$B$11,Assumptions!$B$28)</f>
        <v/>
      </c>
      <c r="X258">
        <f>P258*(Assumptions!$B$133+Assumptions!$B$137)</f>
        <v/>
      </c>
      <c r="Y258">
        <f>P258*Assumptions!$B$9</f>
        <v/>
      </c>
      <c r="Z258">
        <f>IF(M258=1,(P258-Assumptions!$B$37)*Assumptions!$B$153,0)</f>
        <v/>
      </c>
      <c r="AA258">
        <f>Q258+R258+S258+T258+U258+V258+W258+X258+Y258+Z258</f>
        <v/>
      </c>
      <c r="AB258" t="n">
        <v>79</v>
      </c>
      <c r="AC258" t="n">
        <v>15</v>
      </c>
      <c r="AD258" t="n">
        <v>111</v>
      </c>
      <c r="AE258" t="n">
        <v>95</v>
      </c>
      <c r="AF258" t="n">
        <v>71</v>
      </c>
      <c r="AG258" t="n">
        <v>75</v>
      </c>
      <c r="AH258" t="n">
        <v>77</v>
      </c>
      <c r="AI258" t="n">
        <v>78</v>
      </c>
      <c r="AJ258">
        <f>INDEX($Q$179:$Q$306,AC258+1)</f>
        <v/>
      </c>
      <c r="AK258">
        <f>INDEX($R$179:$R$306,AD258+1)</f>
        <v/>
      </c>
      <c r="AL258">
        <f>INDEX($S$179:$S$306,AE258+1)</f>
        <v/>
      </c>
      <c r="AM258">
        <f>INDEX($T$179:$T$306,AF258+1)</f>
        <v/>
      </c>
      <c r="AN258">
        <f>INDEX($U$179:$U$306,AG258+1)</f>
        <v/>
      </c>
      <c r="AO258">
        <f>INDEX($V$179:$V$306,AH258+1)</f>
        <v/>
      </c>
      <c r="AP258">
        <f>INDEX($W$179:$W$306,AI258+1)</f>
        <v/>
      </c>
      <c r="AQ258">
        <f>IF(Q258&gt;=AJ258-0.01,1,0)</f>
        <v/>
      </c>
      <c r="AR258">
        <f>IF(R258&gt;=AK258-0.01,1,0)</f>
        <v/>
      </c>
      <c r="AS258">
        <f>IF(S258&gt;=AL258-0.01,1,0)</f>
        <v/>
      </c>
      <c r="AT258">
        <f>IF(T258&gt;=AM258-0.01,1,0)</f>
        <v/>
      </c>
      <c r="AU258">
        <f>IF(U258&gt;=AN258-0.01,1,0)</f>
        <v/>
      </c>
      <c r="AV258">
        <f>IF(V258&gt;=AO258-0.01,1,0)</f>
        <v/>
      </c>
      <c r="AW258">
        <f>IF(W258&gt;=AP258-0.01,1,0)</f>
        <v/>
      </c>
      <c r="AX258">
        <f>AQ258*AR258*AS258*AT258*AU258*AV258*AW258</f>
        <v/>
      </c>
      <c r="AY258">
        <f>Assumptions!$B$41</f>
        <v/>
      </c>
      <c r="AZ258">
        <f>Assumptions!$B$33</f>
        <v/>
      </c>
      <c r="BA258">
        <f>Assumptions!$B$32</f>
        <v/>
      </c>
      <c r="BB258">
        <f>Assumptions!$B$31</f>
        <v/>
      </c>
      <c r="BC258">
        <f>Assumptions!$B$30</f>
        <v/>
      </c>
      <c r="BD258">
        <f>Assumptions!$B$29</f>
        <v/>
      </c>
      <c r="BE258">
        <f>Assumptions!$B$28</f>
        <v/>
      </c>
      <c r="BF258">
        <f>P258*Assumptions!$B$141</f>
        <v/>
      </c>
      <c r="BG258">
        <f>P258*Assumptions!$B$128</f>
        <v/>
      </c>
      <c r="BH258">
        <f>P258*Assumptions!$B$129</f>
        <v/>
      </c>
      <c r="BI258">
        <f>P258*Assumptions!$B$14</f>
        <v/>
      </c>
      <c r="BJ258">
        <f>P258*Assumptions!$B$13</f>
        <v/>
      </c>
      <c r="BK258">
        <f>P258*Assumptions!$B$12</f>
        <v/>
      </c>
      <c r="BL258">
        <f>P258*Assumptions!$B$11</f>
        <v/>
      </c>
    </row>
    <row r="259">
      <c r="A259" t="inlineStr">
        <is>
          <t>1200M</t>
        </is>
      </c>
      <c r="B259">
        <f>Assumptions!$B$59</f>
        <v/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>
        <f>(1-C259)*Assumptions!$B$41+(1-D259)*Assumptions!$B$33+(1-E259)*Assumptions!$B$32+(1-F259)*Assumptions!$B$31+(1-G259)*Assumptions!$B$30+(1-H259)*Assumptions!$B$29+(1-I259)*Assumptions!$B$28</f>
        <v/>
      </c>
      <c r="K259">
        <f>C259*Assumptions!$B$141+D259*Assumptions!$B$128+E259*Assumptions!$B$129+F259*Assumptions!$B$14+G259*Assumptions!$B$13+H259*Assumptions!$B$12+I259*Assumptions!$B$11+Assumptions!$B$133+Assumptions!$B$137+Assumptions!$B$9</f>
        <v/>
      </c>
      <c r="L259">
        <f>B259-J259</f>
        <v/>
      </c>
      <c r="M259">
        <f>IF(K259&gt;0,IF(L259/K259&gt;=Assumptions!$B$37,1,0),0)</f>
        <v/>
      </c>
      <c r="N259">
        <f>K259+M259*Assumptions!$B$153</f>
        <v/>
      </c>
      <c r="O259">
        <f>L259+M259*Assumptions!$B$153*Assumptions!$B$37</f>
        <v/>
      </c>
      <c r="P259">
        <f>IF(N259&gt;0,O259/N259,0)</f>
        <v/>
      </c>
      <c r="Q259">
        <f>IF(C259=1,P259*Assumptions!$B$141,Assumptions!$B$41)</f>
        <v/>
      </c>
      <c r="R259">
        <f>IF(D259=1,P259*Assumptions!$B$128,Assumptions!$B$33)</f>
        <v/>
      </c>
      <c r="S259">
        <f>IF(E259=1,P259*Assumptions!$B$129,Assumptions!$B$32)</f>
        <v/>
      </c>
      <c r="T259">
        <f>IF(F259=1,P259*Assumptions!$B$14,Assumptions!$B$31)</f>
        <v/>
      </c>
      <c r="U259">
        <f>IF(G259=1,P259*Assumptions!$B$13,Assumptions!$B$30)</f>
        <v/>
      </c>
      <c r="V259">
        <f>IF(H259=1,P259*Assumptions!$B$12,Assumptions!$B$29)</f>
        <v/>
      </c>
      <c r="W259">
        <f>IF(I259=1,P259*Assumptions!$B$11,Assumptions!$B$28)</f>
        <v/>
      </c>
      <c r="X259">
        <f>P259*(Assumptions!$B$133+Assumptions!$B$137)</f>
        <v/>
      </c>
      <c r="Y259">
        <f>P259*Assumptions!$B$9</f>
        <v/>
      </c>
      <c r="Z259">
        <f>IF(M259=1,(P259-Assumptions!$B$37)*Assumptions!$B$153,0)</f>
        <v/>
      </c>
      <c r="AA259">
        <f>Q259+R259+S259+T259+U259+V259+W259+X259+Y259+Z259</f>
        <v/>
      </c>
      <c r="AB259" t="n">
        <v>80</v>
      </c>
      <c r="AC259" t="n">
        <v>16</v>
      </c>
      <c r="AD259" t="n">
        <v>112</v>
      </c>
      <c r="AE259" t="n">
        <v>64</v>
      </c>
      <c r="AF259" t="n">
        <v>88</v>
      </c>
      <c r="AG259" t="n">
        <v>84</v>
      </c>
      <c r="AH259" t="n">
        <v>82</v>
      </c>
      <c r="AI259" t="n">
        <v>81</v>
      </c>
      <c r="AJ259">
        <f>INDEX($Q$179:$Q$306,AC259+1)</f>
        <v/>
      </c>
      <c r="AK259">
        <f>INDEX($R$179:$R$306,AD259+1)</f>
        <v/>
      </c>
      <c r="AL259">
        <f>INDEX($S$179:$S$306,AE259+1)</f>
        <v/>
      </c>
      <c r="AM259">
        <f>INDEX($T$179:$T$306,AF259+1)</f>
        <v/>
      </c>
      <c r="AN259">
        <f>INDEX($U$179:$U$306,AG259+1)</f>
        <v/>
      </c>
      <c r="AO259">
        <f>INDEX($V$179:$V$306,AH259+1)</f>
        <v/>
      </c>
      <c r="AP259">
        <f>INDEX($W$179:$W$306,AI259+1)</f>
        <v/>
      </c>
      <c r="AQ259">
        <f>IF(Q259&gt;=AJ259-0.01,1,0)</f>
        <v/>
      </c>
      <c r="AR259">
        <f>IF(R259&gt;=AK259-0.01,1,0)</f>
        <v/>
      </c>
      <c r="AS259">
        <f>IF(S259&gt;=AL259-0.01,1,0)</f>
        <v/>
      </c>
      <c r="AT259">
        <f>IF(T259&gt;=AM259-0.01,1,0)</f>
        <v/>
      </c>
      <c r="AU259">
        <f>IF(U259&gt;=AN259-0.01,1,0)</f>
        <v/>
      </c>
      <c r="AV259">
        <f>IF(V259&gt;=AO259-0.01,1,0)</f>
        <v/>
      </c>
      <c r="AW259">
        <f>IF(W259&gt;=AP259-0.01,1,0)</f>
        <v/>
      </c>
      <c r="AX259">
        <f>AQ259*AR259*AS259*AT259*AU259*AV259*AW259</f>
        <v/>
      </c>
      <c r="AY259">
        <f>Assumptions!$B$41</f>
        <v/>
      </c>
      <c r="AZ259">
        <f>Assumptions!$B$33</f>
        <v/>
      </c>
      <c r="BA259">
        <f>Assumptions!$B$32</f>
        <v/>
      </c>
      <c r="BB259">
        <f>Assumptions!$B$31</f>
        <v/>
      </c>
      <c r="BC259">
        <f>Assumptions!$B$30</f>
        <v/>
      </c>
      <c r="BD259">
        <f>Assumptions!$B$29</f>
        <v/>
      </c>
      <c r="BE259">
        <f>Assumptions!$B$28</f>
        <v/>
      </c>
      <c r="BF259">
        <f>P259*Assumptions!$B$141</f>
        <v/>
      </c>
      <c r="BG259">
        <f>P259*Assumptions!$B$128</f>
        <v/>
      </c>
      <c r="BH259">
        <f>P259*Assumptions!$B$129</f>
        <v/>
      </c>
      <c r="BI259">
        <f>P259*Assumptions!$B$14</f>
        <v/>
      </c>
      <c r="BJ259">
        <f>P259*Assumptions!$B$13</f>
        <v/>
      </c>
      <c r="BK259">
        <f>P259*Assumptions!$B$12</f>
        <v/>
      </c>
      <c r="BL259">
        <f>P259*Assumptions!$B$11</f>
        <v/>
      </c>
    </row>
    <row r="260">
      <c r="A260" t="inlineStr">
        <is>
          <t>1200M</t>
        </is>
      </c>
      <c r="B260">
        <f>Assumptions!$B$59</f>
        <v/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>
        <f>(1-C260)*Assumptions!$B$41+(1-D260)*Assumptions!$B$33+(1-E260)*Assumptions!$B$32+(1-F260)*Assumptions!$B$31+(1-G260)*Assumptions!$B$30+(1-H260)*Assumptions!$B$29+(1-I260)*Assumptions!$B$28</f>
        <v/>
      </c>
      <c r="K260">
        <f>C260*Assumptions!$B$141+D260*Assumptions!$B$128+E260*Assumptions!$B$129+F260*Assumptions!$B$14+G260*Assumptions!$B$13+H260*Assumptions!$B$12+I260*Assumptions!$B$11+Assumptions!$B$133+Assumptions!$B$137+Assumptions!$B$9</f>
        <v/>
      </c>
      <c r="L260">
        <f>B260-J260</f>
        <v/>
      </c>
      <c r="M260">
        <f>IF(K260&gt;0,IF(L260/K260&gt;=Assumptions!$B$37,1,0),0)</f>
        <v/>
      </c>
      <c r="N260">
        <f>K260+M260*Assumptions!$B$153</f>
        <v/>
      </c>
      <c r="O260">
        <f>L260+M260*Assumptions!$B$153*Assumptions!$B$37</f>
        <v/>
      </c>
      <c r="P260">
        <f>IF(N260&gt;0,O260/N260,0)</f>
        <v/>
      </c>
      <c r="Q260">
        <f>IF(C260=1,P260*Assumptions!$B$141,Assumptions!$B$41)</f>
        <v/>
      </c>
      <c r="R260">
        <f>IF(D260=1,P260*Assumptions!$B$128,Assumptions!$B$33)</f>
        <v/>
      </c>
      <c r="S260">
        <f>IF(E260=1,P260*Assumptions!$B$129,Assumptions!$B$32)</f>
        <v/>
      </c>
      <c r="T260">
        <f>IF(F260=1,P260*Assumptions!$B$14,Assumptions!$B$31)</f>
        <v/>
      </c>
      <c r="U260">
        <f>IF(G260=1,P260*Assumptions!$B$13,Assumptions!$B$30)</f>
        <v/>
      </c>
      <c r="V260">
        <f>IF(H260=1,P260*Assumptions!$B$12,Assumptions!$B$29)</f>
        <v/>
      </c>
      <c r="W260">
        <f>IF(I260=1,P260*Assumptions!$B$11,Assumptions!$B$28)</f>
        <v/>
      </c>
      <c r="X260">
        <f>P260*(Assumptions!$B$133+Assumptions!$B$137)</f>
        <v/>
      </c>
      <c r="Y260">
        <f>P260*Assumptions!$B$9</f>
        <v/>
      </c>
      <c r="Z260">
        <f>IF(M260=1,(P260-Assumptions!$B$37)*Assumptions!$B$153,0)</f>
        <v/>
      </c>
      <c r="AA260">
        <f>Q260+R260+S260+T260+U260+V260+W260+X260+Y260+Z260</f>
        <v/>
      </c>
      <c r="AB260" t="n">
        <v>81</v>
      </c>
      <c r="AC260" t="n">
        <v>17</v>
      </c>
      <c r="AD260" t="n">
        <v>113</v>
      </c>
      <c r="AE260" t="n">
        <v>65</v>
      </c>
      <c r="AF260" t="n">
        <v>89</v>
      </c>
      <c r="AG260" t="n">
        <v>85</v>
      </c>
      <c r="AH260" t="n">
        <v>83</v>
      </c>
      <c r="AI260" t="n">
        <v>80</v>
      </c>
      <c r="AJ260">
        <f>INDEX($Q$179:$Q$306,AC260+1)</f>
        <v/>
      </c>
      <c r="AK260">
        <f>INDEX($R$179:$R$306,AD260+1)</f>
        <v/>
      </c>
      <c r="AL260">
        <f>INDEX($S$179:$S$306,AE260+1)</f>
        <v/>
      </c>
      <c r="AM260">
        <f>INDEX($T$179:$T$306,AF260+1)</f>
        <v/>
      </c>
      <c r="AN260">
        <f>INDEX($U$179:$U$306,AG260+1)</f>
        <v/>
      </c>
      <c r="AO260">
        <f>INDEX($V$179:$V$306,AH260+1)</f>
        <v/>
      </c>
      <c r="AP260">
        <f>INDEX($W$179:$W$306,AI260+1)</f>
        <v/>
      </c>
      <c r="AQ260">
        <f>IF(Q260&gt;=AJ260-0.01,1,0)</f>
        <v/>
      </c>
      <c r="AR260">
        <f>IF(R260&gt;=AK260-0.01,1,0)</f>
        <v/>
      </c>
      <c r="AS260">
        <f>IF(S260&gt;=AL260-0.01,1,0)</f>
        <v/>
      </c>
      <c r="AT260">
        <f>IF(T260&gt;=AM260-0.01,1,0)</f>
        <v/>
      </c>
      <c r="AU260">
        <f>IF(U260&gt;=AN260-0.01,1,0)</f>
        <v/>
      </c>
      <c r="AV260">
        <f>IF(V260&gt;=AO260-0.01,1,0)</f>
        <v/>
      </c>
      <c r="AW260">
        <f>IF(W260&gt;=AP260-0.01,1,0)</f>
        <v/>
      </c>
      <c r="AX260">
        <f>AQ260*AR260*AS260*AT260*AU260*AV260*AW260</f>
        <v/>
      </c>
      <c r="AY260">
        <f>Assumptions!$B$41</f>
        <v/>
      </c>
      <c r="AZ260">
        <f>Assumptions!$B$33</f>
        <v/>
      </c>
      <c r="BA260">
        <f>Assumptions!$B$32</f>
        <v/>
      </c>
      <c r="BB260">
        <f>Assumptions!$B$31</f>
        <v/>
      </c>
      <c r="BC260">
        <f>Assumptions!$B$30</f>
        <v/>
      </c>
      <c r="BD260">
        <f>Assumptions!$B$29</f>
        <v/>
      </c>
      <c r="BE260">
        <f>Assumptions!$B$28</f>
        <v/>
      </c>
      <c r="BF260">
        <f>P260*Assumptions!$B$141</f>
        <v/>
      </c>
      <c r="BG260">
        <f>P260*Assumptions!$B$128</f>
        <v/>
      </c>
      <c r="BH260">
        <f>P260*Assumptions!$B$129</f>
        <v/>
      </c>
      <c r="BI260">
        <f>P260*Assumptions!$B$14</f>
        <v/>
      </c>
      <c r="BJ260">
        <f>P260*Assumptions!$B$13</f>
        <v/>
      </c>
      <c r="BK260">
        <f>P260*Assumptions!$B$12</f>
        <v/>
      </c>
      <c r="BL260">
        <f>P260*Assumptions!$B$11</f>
        <v/>
      </c>
    </row>
    <row r="261">
      <c r="A261" t="inlineStr">
        <is>
          <t>1200M</t>
        </is>
      </c>
      <c r="B261">
        <f>Assumptions!$B$59</f>
        <v/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>
        <f>(1-C261)*Assumptions!$B$41+(1-D261)*Assumptions!$B$33+(1-E261)*Assumptions!$B$32+(1-F261)*Assumptions!$B$31+(1-G261)*Assumptions!$B$30+(1-H261)*Assumptions!$B$29+(1-I261)*Assumptions!$B$28</f>
        <v/>
      </c>
      <c r="K261">
        <f>C261*Assumptions!$B$141+D261*Assumptions!$B$128+E261*Assumptions!$B$129+F261*Assumptions!$B$14+G261*Assumptions!$B$13+H261*Assumptions!$B$12+I261*Assumptions!$B$11+Assumptions!$B$133+Assumptions!$B$137+Assumptions!$B$9</f>
        <v/>
      </c>
      <c r="L261">
        <f>B261-J261</f>
        <v/>
      </c>
      <c r="M261">
        <f>IF(K261&gt;0,IF(L261/K261&gt;=Assumptions!$B$37,1,0),0)</f>
        <v/>
      </c>
      <c r="N261">
        <f>K261+M261*Assumptions!$B$153</f>
        <v/>
      </c>
      <c r="O261">
        <f>L261+M261*Assumptions!$B$153*Assumptions!$B$37</f>
        <v/>
      </c>
      <c r="P261">
        <f>IF(N261&gt;0,O261/N261,0)</f>
        <v/>
      </c>
      <c r="Q261">
        <f>IF(C261=1,P261*Assumptions!$B$141,Assumptions!$B$41)</f>
        <v/>
      </c>
      <c r="R261">
        <f>IF(D261=1,P261*Assumptions!$B$128,Assumptions!$B$33)</f>
        <v/>
      </c>
      <c r="S261">
        <f>IF(E261=1,P261*Assumptions!$B$129,Assumptions!$B$32)</f>
        <v/>
      </c>
      <c r="T261">
        <f>IF(F261=1,P261*Assumptions!$B$14,Assumptions!$B$31)</f>
        <v/>
      </c>
      <c r="U261">
        <f>IF(G261=1,P261*Assumptions!$B$13,Assumptions!$B$30)</f>
        <v/>
      </c>
      <c r="V261">
        <f>IF(H261=1,P261*Assumptions!$B$12,Assumptions!$B$29)</f>
        <v/>
      </c>
      <c r="W261">
        <f>IF(I261=1,P261*Assumptions!$B$11,Assumptions!$B$28)</f>
        <v/>
      </c>
      <c r="X261">
        <f>P261*(Assumptions!$B$133+Assumptions!$B$137)</f>
        <v/>
      </c>
      <c r="Y261">
        <f>P261*Assumptions!$B$9</f>
        <v/>
      </c>
      <c r="Z261">
        <f>IF(M261=1,(P261-Assumptions!$B$37)*Assumptions!$B$153,0)</f>
        <v/>
      </c>
      <c r="AA261">
        <f>Q261+R261+S261+T261+U261+V261+W261+X261+Y261+Z261</f>
        <v/>
      </c>
      <c r="AB261" t="n">
        <v>82</v>
      </c>
      <c r="AC261" t="n">
        <v>18</v>
      </c>
      <c r="AD261" t="n">
        <v>114</v>
      </c>
      <c r="AE261" t="n">
        <v>66</v>
      </c>
      <c r="AF261" t="n">
        <v>90</v>
      </c>
      <c r="AG261" t="n">
        <v>86</v>
      </c>
      <c r="AH261" t="n">
        <v>80</v>
      </c>
      <c r="AI261" t="n">
        <v>83</v>
      </c>
      <c r="AJ261">
        <f>INDEX($Q$179:$Q$306,AC261+1)</f>
        <v/>
      </c>
      <c r="AK261">
        <f>INDEX($R$179:$R$306,AD261+1)</f>
        <v/>
      </c>
      <c r="AL261">
        <f>INDEX($S$179:$S$306,AE261+1)</f>
        <v/>
      </c>
      <c r="AM261">
        <f>INDEX($T$179:$T$306,AF261+1)</f>
        <v/>
      </c>
      <c r="AN261">
        <f>INDEX($U$179:$U$306,AG261+1)</f>
        <v/>
      </c>
      <c r="AO261">
        <f>INDEX($V$179:$V$306,AH261+1)</f>
        <v/>
      </c>
      <c r="AP261">
        <f>INDEX($W$179:$W$306,AI261+1)</f>
        <v/>
      </c>
      <c r="AQ261">
        <f>IF(Q261&gt;=AJ261-0.01,1,0)</f>
        <v/>
      </c>
      <c r="AR261">
        <f>IF(R261&gt;=AK261-0.01,1,0)</f>
        <v/>
      </c>
      <c r="AS261">
        <f>IF(S261&gt;=AL261-0.01,1,0)</f>
        <v/>
      </c>
      <c r="AT261">
        <f>IF(T261&gt;=AM261-0.01,1,0)</f>
        <v/>
      </c>
      <c r="AU261">
        <f>IF(U261&gt;=AN261-0.01,1,0)</f>
        <v/>
      </c>
      <c r="AV261">
        <f>IF(V261&gt;=AO261-0.01,1,0)</f>
        <v/>
      </c>
      <c r="AW261">
        <f>IF(W261&gt;=AP261-0.01,1,0)</f>
        <v/>
      </c>
      <c r="AX261">
        <f>AQ261*AR261*AS261*AT261*AU261*AV261*AW261</f>
        <v/>
      </c>
      <c r="AY261">
        <f>Assumptions!$B$41</f>
        <v/>
      </c>
      <c r="AZ261">
        <f>Assumptions!$B$33</f>
        <v/>
      </c>
      <c r="BA261">
        <f>Assumptions!$B$32</f>
        <v/>
      </c>
      <c r="BB261">
        <f>Assumptions!$B$31</f>
        <v/>
      </c>
      <c r="BC261">
        <f>Assumptions!$B$30</f>
        <v/>
      </c>
      <c r="BD261">
        <f>Assumptions!$B$29</f>
        <v/>
      </c>
      <c r="BE261">
        <f>Assumptions!$B$28</f>
        <v/>
      </c>
      <c r="BF261">
        <f>P261*Assumptions!$B$141</f>
        <v/>
      </c>
      <c r="BG261">
        <f>P261*Assumptions!$B$128</f>
        <v/>
      </c>
      <c r="BH261">
        <f>P261*Assumptions!$B$129</f>
        <v/>
      </c>
      <c r="BI261">
        <f>P261*Assumptions!$B$14</f>
        <v/>
      </c>
      <c r="BJ261">
        <f>P261*Assumptions!$B$13</f>
        <v/>
      </c>
      <c r="BK261">
        <f>P261*Assumptions!$B$12</f>
        <v/>
      </c>
      <c r="BL261">
        <f>P261*Assumptions!$B$11</f>
        <v/>
      </c>
    </row>
    <row r="262">
      <c r="A262" t="inlineStr">
        <is>
          <t>1200M</t>
        </is>
      </c>
      <c r="B262">
        <f>Assumptions!$B$59</f>
        <v/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1</v>
      </c>
      <c r="J262">
        <f>(1-C262)*Assumptions!$B$41+(1-D262)*Assumptions!$B$33+(1-E262)*Assumptions!$B$32+(1-F262)*Assumptions!$B$31+(1-G262)*Assumptions!$B$30+(1-H262)*Assumptions!$B$29+(1-I262)*Assumptions!$B$28</f>
        <v/>
      </c>
      <c r="K262">
        <f>C262*Assumptions!$B$141+D262*Assumptions!$B$128+E262*Assumptions!$B$129+F262*Assumptions!$B$14+G262*Assumptions!$B$13+H262*Assumptions!$B$12+I262*Assumptions!$B$11+Assumptions!$B$133+Assumptions!$B$137+Assumptions!$B$9</f>
        <v/>
      </c>
      <c r="L262">
        <f>B262-J262</f>
        <v/>
      </c>
      <c r="M262">
        <f>IF(K262&gt;0,IF(L262/K262&gt;=Assumptions!$B$37,1,0),0)</f>
        <v/>
      </c>
      <c r="N262">
        <f>K262+M262*Assumptions!$B$153</f>
        <v/>
      </c>
      <c r="O262">
        <f>L262+M262*Assumptions!$B$153*Assumptions!$B$37</f>
        <v/>
      </c>
      <c r="P262">
        <f>IF(N262&gt;0,O262/N262,0)</f>
        <v/>
      </c>
      <c r="Q262">
        <f>IF(C262=1,P262*Assumptions!$B$141,Assumptions!$B$41)</f>
        <v/>
      </c>
      <c r="R262">
        <f>IF(D262=1,P262*Assumptions!$B$128,Assumptions!$B$33)</f>
        <v/>
      </c>
      <c r="S262">
        <f>IF(E262=1,P262*Assumptions!$B$129,Assumptions!$B$32)</f>
        <v/>
      </c>
      <c r="T262">
        <f>IF(F262=1,P262*Assumptions!$B$14,Assumptions!$B$31)</f>
        <v/>
      </c>
      <c r="U262">
        <f>IF(G262=1,P262*Assumptions!$B$13,Assumptions!$B$30)</f>
        <v/>
      </c>
      <c r="V262">
        <f>IF(H262=1,P262*Assumptions!$B$12,Assumptions!$B$29)</f>
        <v/>
      </c>
      <c r="W262">
        <f>IF(I262=1,P262*Assumptions!$B$11,Assumptions!$B$28)</f>
        <v/>
      </c>
      <c r="X262">
        <f>P262*(Assumptions!$B$133+Assumptions!$B$137)</f>
        <v/>
      </c>
      <c r="Y262">
        <f>P262*Assumptions!$B$9</f>
        <v/>
      </c>
      <c r="Z262">
        <f>IF(M262=1,(P262-Assumptions!$B$37)*Assumptions!$B$153,0)</f>
        <v/>
      </c>
      <c r="AA262">
        <f>Q262+R262+S262+T262+U262+V262+W262+X262+Y262+Z262</f>
        <v/>
      </c>
      <c r="AB262" t="n">
        <v>83</v>
      </c>
      <c r="AC262" t="n">
        <v>19</v>
      </c>
      <c r="AD262" t="n">
        <v>115</v>
      </c>
      <c r="AE262" t="n">
        <v>67</v>
      </c>
      <c r="AF262" t="n">
        <v>91</v>
      </c>
      <c r="AG262" t="n">
        <v>87</v>
      </c>
      <c r="AH262" t="n">
        <v>81</v>
      </c>
      <c r="AI262" t="n">
        <v>82</v>
      </c>
      <c r="AJ262">
        <f>INDEX($Q$179:$Q$306,AC262+1)</f>
        <v/>
      </c>
      <c r="AK262">
        <f>INDEX($R$179:$R$306,AD262+1)</f>
        <v/>
      </c>
      <c r="AL262">
        <f>INDEX($S$179:$S$306,AE262+1)</f>
        <v/>
      </c>
      <c r="AM262">
        <f>INDEX($T$179:$T$306,AF262+1)</f>
        <v/>
      </c>
      <c r="AN262">
        <f>INDEX($U$179:$U$306,AG262+1)</f>
        <v/>
      </c>
      <c r="AO262">
        <f>INDEX($V$179:$V$306,AH262+1)</f>
        <v/>
      </c>
      <c r="AP262">
        <f>INDEX($W$179:$W$306,AI262+1)</f>
        <v/>
      </c>
      <c r="AQ262">
        <f>IF(Q262&gt;=AJ262-0.01,1,0)</f>
        <v/>
      </c>
      <c r="AR262">
        <f>IF(R262&gt;=AK262-0.01,1,0)</f>
        <v/>
      </c>
      <c r="AS262">
        <f>IF(S262&gt;=AL262-0.01,1,0)</f>
        <v/>
      </c>
      <c r="AT262">
        <f>IF(T262&gt;=AM262-0.01,1,0)</f>
        <v/>
      </c>
      <c r="AU262">
        <f>IF(U262&gt;=AN262-0.01,1,0)</f>
        <v/>
      </c>
      <c r="AV262">
        <f>IF(V262&gt;=AO262-0.01,1,0)</f>
        <v/>
      </c>
      <c r="AW262">
        <f>IF(W262&gt;=AP262-0.01,1,0)</f>
        <v/>
      </c>
      <c r="AX262">
        <f>AQ262*AR262*AS262*AT262*AU262*AV262*AW262</f>
        <v/>
      </c>
      <c r="AY262">
        <f>Assumptions!$B$41</f>
        <v/>
      </c>
      <c r="AZ262">
        <f>Assumptions!$B$33</f>
        <v/>
      </c>
      <c r="BA262">
        <f>Assumptions!$B$32</f>
        <v/>
      </c>
      <c r="BB262">
        <f>Assumptions!$B$31</f>
        <v/>
      </c>
      <c r="BC262">
        <f>Assumptions!$B$30</f>
        <v/>
      </c>
      <c r="BD262">
        <f>Assumptions!$B$29</f>
        <v/>
      </c>
      <c r="BE262">
        <f>Assumptions!$B$28</f>
        <v/>
      </c>
      <c r="BF262">
        <f>P262*Assumptions!$B$141</f>
        <v/>
      </c>
      <c r="BG262">
        <f>P262*Assumptions!$B$128</f>
        <v/>
      </c>
      <c r="BH262">
        <f>P262*Assumptions!$B$129</f>
        <v/>
      </c>
      <c r="BI262">
        <f>P262*Assumptions!$B$14</f>
        <v/>
      </c>
      <c r="BJ262">
        <f>P262*Assumptions!$B$13</f>
        <v/>
      </c>
      <c r="BK262">
        <f>P262*Assumptions!$B$12</f>
        <v/>
      </c>
      <c r="BL262">
        <f>P262*Assumptions!$B$11</f>
        <v/>
      </c>
    </row>
    <row r="263">
      <c r="A263" t="inlineStr">
        <is>
          <t>1200M</t>
        </is>
      </c>
      <c r="B263">
        <f>Assumptions!$B$59</f>
        <v/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>
        <f>(1-C263)*Assumptions!$B$41+(1-D263)*Assumptions!$B$33+(1-E263)*Assumptions!$B$32+(1-F263)*Assumptions!$B$31+(1-G263)*Assumptions!$B$30+(1-H263)*Assumptions!$B$29+(1-I263)*Assumptions!$B$28</f>
        <v/>
      </c>
      <c r="K263">
        <f>C263*Assumptions!$B$141+D263*Assumptions!$B$128+E263*Assumptions!$B$129+F263*Assumptions!$B$14+G263*Assumptions!$B$13+H263*Assumptions!$B$12+I263*Assumptions!$B$11+Assumptions!$B$133+Assumptions!$B$137+Assumptions!$B$9</f>
        <v/>
      </c>
      <c r="L263">
        <f>B263-J263</f>
        <v/>
      </c>
      <c r="M263">
        <f>IF(K263&gt;0,IF(L263/K263&gt;=Assumptions!$B$37,1,0),0)</f>
        <v/>
      </c>
      <c r="N263">
        <f>K263+M263*Assumptions!$B$153</f>
        <v/>
      </c>
      <c r="O263">
        <f>L263+M263*Assumptions!$B$153*Assumptions!$B$37</f>
        <v/>
      </c>
      <c r="P263">
        <f>IF(N263&gt;0,O263/N263,0)</f>
        <v/>
      </c>
      <c r="Q263">
        <f>IF(C263=1,P263*Assumptions!$B$141,Assumptions!$B$41)</f>
        <v/>
      </c>
      <c r="R263">
        <f>IF(D263=1,P263*Assumptions!$B$128,Assumptions!$B$33)</f>
        <v/>
      </c>
      <c r="S263">
        <f>IF(E263=1,P263*Assumptions!$B$129,Assumptions!$B$32)</f>
        <v/>
      </c>
      <c r="T263">
        <f>IF(F263=1,P263*Assumptions!$B$14,Assumptions!$B$31)</f>
        <v/>
      </c>
      <c r="U263">
        <f>IF(G263=1,P263*Assumptions!$B$13,Assumptions!$B$30)</f>
        <v/>
      </c>
      <c r="V263">
        <f>IF(H263=1,P263*Assumptions!$B$12,Assumptions!$B$29)</f>
        <v/>
      </c>
      <c r="W263">
        <f>IF(I263=1,P263*Assumptions!$B$11,Assumptions!$B$28)</f>
        <v/>
      </c>
      <c r="X263">
        <f>P263*(Assumptions!$B$133+Assumptions!$B$137)</f>
        <v/>
      </c>
      <c r="Y263">
        <f>P263*Assumptions!$B$9</f>
        <v/>
      </c>
      <c r="Z263">
        <f>IF(M263=1,(P263-Assumptions!$B$37)*Assumptions!$B$153,0)</f>
        <v/>
      </c>
      <c r="AA263">
        <f>Q263+R263+S263+T263+U263+V263+W263+X263+Y263+Z263</f>
        <v/>
      </c>
      <c r="AB263" t="n">
        <v>84</v>
      </c>
      <c r="AC263" t="n">
        <v>20</v>
      </c>
      <c r="AD263" t="n">
        <v>116</v>
      </c>
      <c r="AE263" t="n">
        <v>68</v>
      </c>
      <c r="AF263" t="n">
        <v>92</v>
      </c>
      <c r="AG263" t="n">
        <v>80</v>
      </c>
      <c r="AH263" t="n">
        <v>86</v>
      </c>
      <c r="AI263" t="n">
        <v>85</v>
      </c>
      <c r="AJ263">
        <f>INDEX($Q$179:$Q$306,AC263+1)</f>
        <v/>
      </c>
      <c r="AK263">
        <f>INDEX($R$179:$R$306,AD263+1)</f>
        <v/>
      </c>
      <c r="AL263">
        <f>INDEX($S$179:$S$306,AE263+1)</f>
        <v/>
      </c>
      <c r="AM263">
        <f>INDEX($T$179:$T$306,AF263+1)</f>
        <v/>
      </c>
      <c r="AN263">
        <f>INDEX($U$179:$U$306,AG263+1)</f>
        <v/>
      </c>
      <c r="AO263">
        <f>INDEX($V$179:$V$306,AH263+1)</f>
        <v/>
      </c>
      <c r="AP263">
        <f>INDEX($W$179:$W$306,AI263+1)</f>
        <v/>
      </c>
      <c r="AQ263">
        <f>IF(Q263&gt;=AJ263-0.01,1,0)</f>
        <v/>
      </c>
      <c r="AR263">
        <f>IF(R263&gt;=AK263-0.01,1,0)</f>
        <v/>
      </c>
      <c r="AS263">
        <f>IF(S263&gt;=AL263-0.01,1,0)</f>
        <v/>
      </c>
      <c r="AT263">
        <f>IF(T263&gt;=AM263-0.01,1,0)</f>
        <v/>
      </c>
      <c r="AU263">
        <f>IF(U263&gt;=AN263-0.01,1,0)</f>
        <v/>
      </c>
      <c r="AV263">
        <f>IF(V263&gt;=AO263-0.01,1,0)</f>
        <v/>
      </c>
      <c r="AW263">
        <f>IF(W263&gt;=AP263-0.01,1,0)</f>
        <v/>
      </c>
      <c r="AX263">
        <f>AQ263*AR263*AS263*AT263*AU263*AV263*AW263</f>
        <v/>
      </c>
      <c r="AY263">
        <f>Assumptions!$B$41</f>
        <v/>
      </c>
      <c r="AZ263">
        <f>Assumptions!$B$33</f>
        <v/>
      </c>
      <c r="BA263">
        <f>Assumptions!$B$32</f>
        <v/>
      </c>
      <c r="BB263">
        <f>Assumptions!$B$31</f>
        <v/>
      </c>
      <c r="BC263">
        <f>Assumptions!$B$30</f>
        <v/>
      </c>
      <c r="BD263">
        <f>Assumptions!$B$29</f>
        <v/>
      </c>
      <c r="BE263">
        <f>Assumptions!$B$28</f>
        <v/>
      </c>
      <c r="BF263">
        <f>P263*Assumptions!$B$141</f>
        <v/>
      </c>
      <c r="BG263">
        <f>P263*Assumptions!$B$128</f>
        <v/>
      </c>
      <c r="BH263">
        <f>P263*Assumptions!$B$129</f>
        <v/>
      </c>
      <c r="BI263">
        <f>P263*Assumptions!$B$14</f>
        <v/>
      </c>
      <c r="BJ263">
        <f>P263*Assumptions!$B$13</f>
        <v/>
      </c>
      <c r="BK263">
        <f>P263*Assumptions!$B$12</f>
        <v/>
      </c>
      <c r="BL263">
        <f>P263*Assumptions!$B$11</f>
        <v/>
      </c>
    </row>
    <row r="264">
      <c r="A264" t="inlineStr">
        <is>
          <t>1200M</t>
        </is>
      </c>
      <c r="B264">
        <f>Assumptions!$B$59</f>
        <v/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>
        <f>(1-C264)*Assumptions!$B$41+(1-D264)*Assumptions!$B$33+(1-E264)*Assumptions!$B$32+(1-F264)*Assumptions!$B$31+(1-G264)*Assumptions!$B$30+(1-H264)*Assumptions!$B$29+(1-I264)*Assumptions!$B$28</f>
        <v/>
      </c>
      <c r="K264">
        <f>C264*Assumptions!$B$141+D264*Assumptions!$B$128+E264*Assumptions!$B$129+F264*Assumptions!$B$14+G264*Assumptions!$B$13+H264*Assumptions!$B$12+I264*Assumptions!$B$11+Assumptions!$B$133+Assumptions!$B$137+Assumptions!$B$9</f>
        <v/>
      </c>
      <c r="L264">
        <f>B264-J264</f>
        <v/>
      </c>
      <c r="M264">
        <f>IF(K264&gt;0,IF(L264/K264&gt;=Assumptions!$B$37,1,0),0)</f>
        <v/>
      </c>
      <c r="N264">
        <f>K264+M264*Assumptions!$B$153</f>
        <v/>
      </c>
      <c r="O264">
        <f>L264+M264*Assumptions!$B$153*Assumptions!$B$37</f>
        <v/>
      </c>
      <c r="P264">
        <f>IF(N264&gt;0,O264/N264,0)</f>
        <v/>
      </c>
      <c r="Q264">
        <f>IF(C264=1,P264*Assumptions!$B$141,Assumptions!$B$41)</f>
        <v/>
      </c>
      <c r="R264">
        <f>IF(D264=1,P264*Assumptions!$B$128,Assumptions!$B$33)</f>
        <v/>
      </c>
      <c r="S264">
        <f>IF(E264=1,P264*Assumptions!$B$129,Assumptions!$B$32)</f>
        <v/>
      </c>
      <c r="T264">
        <f>IF(F264=1,P264*Assumptions!$B$14,Assumptions!$B$31)</f>
        <v/>
      </c>
      <c r="U264">
        <f>IF(G264=1,P264*Assumptions!$B$13,Assumptions!$B$30)</f>
        <v/>
      </c>
      <c r="V264">
        <f>IF(H264=1,P264*Assumptions!$B$12,Assumptions!$B$29)</f>
        <v/>
      </c>
      <c r="W264">
        <f>IF(I264=1,P264*Assumptions!$B$11,Assumptions!$B$28)</f>
        <v/>
      </c>
      <c r="X264">
        <f>P264*(Assumptions!$B$133+Assumptions!$B$137)</f>
        <v/>
      </c>
      <c r="Y264">
        <f>P264*Assumptions!$B$9</f>
        <v/>
      </c>
      <c r="Z264">
        <f>IF(M264=1,(P264-Assumptions!$B$37)*Assumptions!$B$153,0)</f>
        <v/>
      </c>
      <c r="AA264">
        <f>Q264+R264+S264+T264+U264+V264+W264+X264+Y264+Z264</f>
        <v/>
      </c>
      <c r="AB264" t="n">
        <v>85</v>
      </c>
      <c r="AC264" t="n">
        <v>21</v>
      </c>
      <c r="AD264" t="n">
        <v>117</v>
      </c>
      <c r="AE264" t="n">
        <v>69</v>
      </c>
      <c r="AF264" t="n">
        <v>93</v>
      </c>
      <c r="AG264" t="n">
        <v>81</v>
      </c>
      <c r="AH264" t="n">
        <v>87</v>
      </c>
      <c r="AI264" t="n">
        <v>84</v>
      </c>
      <c r="AJ264">
        <f>INDEX($Q$179:$Q$306,AC264+1)</f>
        <v/>
      </c>
      <c r="AK264">
        <f>INDEX($R$179:$R$306,AD264+1)</f>
        <v/>
      </c>
      <c r="AL264">
        <f>INDEX($S$179:$S$306,AE264+1)</f>
        <v/>
      </c>
      <c r="AM264">
        <f>INDEX($T$179:$T$306,AF264+1)</f>
        <v/>
      </c>
      <c r="AN264">
        <f>INDEX($U$179:$U$306,AG264+1)</f>
        <v/>
      </c>
      <c r="AO264">
        <f>INDEX($V$179:$V$306,AH264+1)</f>
        <v/>
      </c>
      <c r="AP264">
        <f>INDEX($W$179:$W$306,AI264+1)</f>
        <v/>
      </c>
      <c r="AQ264">
        <f>IF(Q264&gt;=AJ264-0.01,1,0)</f>
        <v/>
      </c>
      <c r="AR264">
        <f>IF(R264&gt;=AK264-0.01,1,0)</f>
        <v/>
      </c>
      <c r="AS264">
        <f>IF(S264&gt;=AL264-0.01,1,0)</f>
        <v/>
      </c>
      <c r="AT264">
        <f>IF(T264&gt;=AM264-0.01,1,0)</f>
        <v/>
      </c>
      <c r="AU264">
        <f>IF(U264&gt;=AN264-0.01,1,0)</f>
        <v/>
      </c>
      <c r="AV264">
        <f>IF(V264&gt;=AO264-0.01,1,0)</f>
        <v/>
      </c>
      <c r="AW264">
        <f>IF(W264&gt;=AP264-0.01,1,0)</f>
        <v/>
      </c>
      <c r="AX264">
        <f>AQ264*AR264*AS264*AT264*AU264*AV264*AW264</f>
        <v/>
      </c>
      <c r="AY264">
        <f>Assumptions!$B$41</f>
        <v/>
      </c>
      <c r="AZ264">
        <f>Assumptions!$B$33</f>
        <v/>
      </c>
      <c r="BA264">
        <f>Assumptions!$B$32</f>
        <v/>
      </c>
      <c r="BB264">
        <f>Assumptions!$B$31</f>
        <v/>
      </c>
      <c r="BC264">
        <f>Assumptions!$B$30</f>
        <v/>
      </c>
      <c r="BD264">
        <f>Assumptions!$B$29</f>
        <v/>
      </c>
      <c r="BE264">
        <f>Assumptions!$B$28</f>
        <v/>
      </c>
      <c r="BF264">
        <f>P264*Assumptions!$B$141</f>
        <v/>
      </c>
      <c r="BG264">
        <f>P264*Assumptions!$B$128</f>
        <v/>
      </c>
      <c r="BH264">
        <f>P264*Assumptions!$B$129</f>
        <v/>
      </c>
      <c r="BI264">
        <f>P264*Assumptions!$B$14</f>
        <v/>
      </c>
      <c r="BJ264">
        <f>P264*Assumptions!$B$13</f>
        <v/>
      </c>
      <c r="BK264">
        <f>P264*Assumptions!$B$12</f>
        <v/>
      </c>
      <c r="BL264">
        <f>P264*Assumptions!$B$11</f>
        <v/>
      </c>
    </row>
    <row r="265">
      <c r="A265" t="inlineStr">
        <is>
          <t>1200M</t>
        </is>
      </c>
      <c r="B265">
        <f>Assumptions!$B$59</f>
        <v/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0</v>
      </c>
      <c r="J265">
        <f>(1-C265)*Assumptions!$B$41+(1-D265)*Assumptions!$B$33+(1-E265)*Assumptions!$B$32+(1-F265)*Assumptions!$B$31+(1-G265)*Assumptions!$B$30+(1-H265)*Assumptions!$B$29+(1-I265)*Assumptions!$B$28</f>
        <v/>
      </c>
      <c r="K265">
        <f>C265*Assumptions!$B$141+D265*Assumptions!$B$128+E265*Assumptions!$B$129+F265*Assumptions!$B$14+G265*Assumptions!$B$13+H265*Assumptions!$B$12+I265*Assumptions!$B$11+Assumptions!$B$133+Assumptions!$B$137+Assumptions!$B$9</f>
        <v/>
      </c>
      <c r="L265">
        <f>B265-J265</f>
        <v/>
      </c>
      <c r="M265">
        <f>IF(K265&gt;0,IF(L265/K265&gt;=Assumptions!$B$37,1,0),0)</f>
        <v/>
      </c>
      <c r="N265">
        <f>K265+M265*Assumptions!$B$153</f>
        <v/>
      </c>
      <c r="O265">
        <f>L265+M265*Assumptions!$B$153*Assumptions!$B$37</f>
        <v/>
      </c>
      <c r="P265">
        <f>IF(N265&gt;0,O265/N265,0)</f>
        <v/>
      </c>
      <c r="Q265">
        <f>IF(C265=1,P265*Assumptions!$B$141,Assumptions!$B$41)</f>
        <v/>
      </c>
      <c r="R265">
        <f>IF(D265=1,P265*Assumptions!$B$128,Assumptions!$B$33)</f>
        <v/>
      </c>
      <c r="S265">
        <f>IF(E265=1,P265*Assumptions!$B$129,Assumptions!$B$32)</f>
        <v/>
      </c>
      <c r="T265">
        <f>IF(F265=1,P265*Assumptions!$B$14,Assumptions!$B$31)</f>
        <v/>
      </c>
      <c r="U265">
        <f>IF(G265=1,P265*Assumptions!$B$13,Assumptions!$B$30)</f>
        <v/>
      </c>
      <c r="V265">
        <f>IF(H265=1,P265*Assumptions!$B$12,Assumptions!$B$29)</f>
        <v/>
      </c>
      <c r="W265">
        <f>IF(I265=1,P265*Assumptions!$B$11,Assumptions!$B$28)</f>
        <v/>
      </c>
      <c r="X265">
        <f>P265*(Assumptions!$B$133+Assumptions!$B$137)</f>
        <v/>
      </c>
      <c r="Y265">
        <f>P265*Assumptions!$B$9</f>
        <v/>
      </c>
      <c r="Z265">
        <f>IF(M265=1,(P265-Assumptions!$B$37)*Assumptions!$B$153,0)</f>
        <v/>
      </c>
      <c r="AA265">
        <f>Q265+R265+S265+T265+U265+V265+W265+X265+Y265+Z265</f>
        <v/>
      </c>
      <c r="AB265" t="n">
        <v>86</v>
      </c>
      <c r="AC265" t="n">
        <v>22</v>
      </c>
      <c r="AD265" t="n">
        <v>118</v>
      </c>
      <c r="AE265" t="n">
        <v>70</v>
      </c>
      <c r="AF265" t="n">
        <v>94</v>
      </c>
      <c r="AG265" t="n">
        <v>82</v>
      </c>
      <c r="AH265" t="n">
        <v>84</v>
      </c>
      <c r="AI265" t="n">
        <v>87</v>
      </c>
      <c r="AJ265">
        <f>INDEX($Q$179:$Q$306,AC265+1)</f>
        <v/>
      </c>
      <c r="AK265">
        <f>INDEX($R$179:$R$306,AD265+1)</f>
        <v/>
      </c>
      <c r="AL265">
        <f>INDEX($S$179:$S$306,AE265+1)</f>
        <v/>
      </c>
      <c r="AM265">
        <f>INDEX($T$179:$T$306,AF265+1)</f>
        <v/>
      </c>
      <c r="AN265">
        <f>INDEX($U$179:$U$306,AG265+1)</f>
        <v/>
      </c>
      <c r="AO265">
        <f>INDEX($V$179:$V$306,AH265+1)</f>
        <v/>
      </c>
      <c r="AP265">
        <f>INDEX($W$179:$W$306,AI265+1)</f>
        <v/>
      </c>
      <c r="AQ265">
        <f>IF(Q265&gt;=AJ265-0.01,1,0)</f>
        <v/>
      </c>
      <c r="AR265">
        <f>IF(R265&gt;=AK265-0.01,1,0)</f>
        <v/>
      </c>
      <c r="AS265">
        <f>IF(S265&gt;=AL265-0.01,1,0)</f>
        <v/>
      </c>
      <c r="AT265">
        <f>IF(T265&gt;=AM265-0.01,1,0)</f>
        <v/>
      </c>
      <c r="AU265">
        <f>IF(U265&gt;=AN265-0.01,1,0)</f>
        <v/>
      </c>
      <c r="AV265">
        <f>IF(V265&gt;=AO265-0.01,1,0)</f>
        <v/>
      </c>
      <c r="AW265">
        <f>IF(W265&gt;=AP265-0.01,1,0)</f>
        <v/>
      </c>
      <c r="AX265">
        <f>AQ265*AR265*AS265*AT265*AU265*AV265*AW265</f>
        <v/>
      </c>
      <c r="AY265">
        <f>Assumptions!$B$41</f>
        <v/>
      </c>
      <c r="AZ265">
        <f>Assumptions!$B$33</f>
        <v/>
      </c>
      <c r="BA265">
        <f>Assumptions!$B$32</f>
        <v/>
      </c>
      <c r="BB265">
        <f>Assumptions!$B$31</f>
        <v/>
      </c>
      <c r="BC265">
        <f>Assumptions!$B$30</f>
        <v/>
      </c>
      <c r="BD265">
        <f>Assumptions!$B$29</f>
        <v/>
      </c>
      <c r="BE265">
        <f>Assumptions!$B$28</f>
        <v/>
      </c>
      <c r="BF265">
        <f>P265*Assumptions!$B$141</f>
        <v/>
      </c>
      <c r="BG265">
        <f>P265*Assumptions!$B$128</f>
        <v/>
      </c>
      <c r="BH265">
        <f>P265*Assumptions!$B$129</f>
        <v/>
      </c>
      <c r="BI265">
        <f>P265*Assumptions!$B$14</f>
        <v/>
      </c>
      <c r="BJ265">
        <f>P265*Assumptions!$B$13</f>
        <v/>
      </c>
      <c r="BK265">
        <f>P265*Assumptions!$B$12</f>
        <v/>
      </c>
      <c r="BL265">
        <f>P265*Assumptions!$B$11</f>
        <v/>
      </c>
    </row>
    <row r="266">
      <c r="A266" t="inlineStr">
        <is>
          <t>1200M</t>
        </is>
      </c>
      <c r="B266">
        <f>Assumptions!$B$59</f>
        <v/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>
        <f>(1-C266)*Assumptions!$B$41+(1-D266)*Assumptions!$B$33+(1-E266)*Assumptions!$B$32+(1-F266)*Assumptions!$B$31+(1-G266)*Assumptions!$B$30+(1-H266)*Assumptions!$B$29+(1-I266)*Assumptions!$B$28</f>
        <v/>
      </c>
      <c r="K266">
        <f>C266*Assumptions!$B$141+D266*Assumptions!$B$128+E266*Assumptions!$B$129+F266*Assumptions!$B$14+G266*Assumptions!$B$13+H266*Assumptions!$B$12+I266*Assumptions!$B$11+Assumptions!$B$133+Assumptions!$B$137+Assumptions!$B$9</f>
        <v/>
      </c>
      <c r="L266">
        <f>B266-J266</f>
        <v/>
      </c>
      <c r="M266">
        <f>IF(K266&gt;0,IF(L266/K266&gt;=Assumptions!$B$37,1,0),0)</f>
        <v/>
      </c>
      <c r="N266">
        <f>K266+M266*Assumptions!$B$153</f>
        <v/>
      </c>
      <c r="O266">
        <f>L266+M266*Assumptions!$B$153*Assumptions!$B$37</f>
        <v/>
      </c>
      <c r="P266">
        <f>IF(N266&gt;0,O266/N266,0)</f>
        <v/>
      </c>
      <c r="Q266">
        <f>IF(C266=1,P266*Assumptions!$B$141,Assumptions!$B$41)</f>
        <v/>
      </c>
      <c r="R266">
        <f>IF(D266=1,P266*Assumptions!$B$128,Assumptions!$B$33)</f>
        <v/>
      </c>
      <c r="S266">
        <f>IF(E266=1,P266*Assumptions!$B$129,Assumptions!$B$32)</f>
        <v/>
      </c>
      <c r="T266">
        <f>IF(F266=1,P266*Assumptions!$B$14,Assumptions!$B$31)</f>
        <v/>
      </c>
      <c r="U266">
        <f>IF(G266=1,P266*Assumptions!$B$13,Assumptions!$B$30)</f>
        <v/>
      </c>
      <c r="V266">
        <f>IF(H266=1,P266*Assumptions!$B$12,Assumptions!$B$29)</f>
        <v/>
      </c>
      <c r="W266">
        <f>IF(I266=1,P266*Assumptions!$B$11,Assumptions!$B$28)</f>
        <v/>
      </c>
      <c r="X266">
        <f>P266*(Assumptions!$B$133+Assumptions!$B$137)</f>
        <v/>
      </c>
      <c r="Y266">
        <f>P266*Assumptions!$B$9</f>
        <v/>
      </c>
      <c r="Z266">
        <f>IF(M266=1,(P266-Assumptions!$B$37)*Assumptions!$B$153,0)</f>
        <v/>
      </c>
      <c r="AA266">
        <f>Q266+R266+S266+T266+U266+V266+W266+X266+Y266+Z266</f>
        <v/>
      </c>
      <c r="AB266" t="n">
        <v>87</v>
      </c>
      <c r="AC266" t="n">
        <v>23</v>
      </c>
      <c r="AD266" t="n">
        <v>119</v>
      </c>
      <c r="AE266" t="n">
        <v>71</v>
      </c>
      <c r="AF266" t="n">
        <v>95</v>
      </c>
      <c r="AG266" t="n">
        <v>83</v>
      </c>
      <c r="AH266" t="n">
        <v>85</v>
      </c>
      <c r="AI266" t="n">
        <v>86</v>
      </c>
      <c r="AJ266">
        <f>INDEX($Q$179:$Q$306,AC266+1)</f>
        <v/>
      </c>
      <c r="AK266">
        <f>INDEX($R$179:$R$306,AD266+1)</f>
        <v/>
      </c>
      <c r="AL266">
        <f>INDEX($S$179:$S$306,AE266+1)</f>
        <v/>
      </c>
      <c r="AM266">
        <f>INDEX($T$179:$T$306,AF266+1)</f>
        <v/>
      </c>
      <c r="AN266">
        <f>INDEX($U$179:$U$306,AG266+1)</f>
        <v/>
      </c>
      <c r="AO266">
        <f>INDEX($V$179:$V$306,AH266+1)</f>
        <v/>
      </c>
      <c r="AP266">
        <f>INDEX($W$179:$W$306,AI266+1)</f>
        <v/>
      </c>
      <c r="AQ266">
        <f>IF(Q266&gt;=AJ266-0.01,1,0)</f>
        <v/>
      </c>
      <c r="AR266">
        <f>IF(R266&gt;=AK266-0.01,1,0)</f>
        <v/>
      </c>
      <c r="AS266">
        <f>IF(S266&gt;=AL266-0.01,1,0)</f>
        <v/>
      </c>
      <c r="AT266">
        <f>IF(T266&gt;=AM266-0.01,1,0)</f>
        <v/>
      </c>
      <c r="AU266">
        <f>IF(U266&gt;=AN266-0.01,1,0)</f>
        <v/>
      </c>
      <c r="AV266">
        <f>IF(V266&gt;=AO266-0.01,1,0)</f>
        <v/>
      </c>
      <c r="AW266">
        <f>IF(W266&gt;=AP266-0.01,1,0)</f>
        <v/>
      </c>
      <c r="AX266">
        <f>AQ266*AR266*AS266*AT266*AU266*AV266*AW266</f>
        <v/>
      </c>
      <c r="AY266">
        <f>Assumptions!$B$41</f>
        <v/>
      </c>
      <c r="AZ266">
        <f>Assumptions!$B$33</f>
        <v/>
      </c>
      <c r="BA266">
        <f>Assumptions!$B$32</f>
        <v/>
      </c>
      <c r="BB266">
        <f>Assumptions!$B$31</f>
        <v/>
      </c>
      <c r="BC266">
        <f>Assumptions!$B$30</f>
        <v/>
      </c>
      <c r="BD266">
        <f>Assumptions!$B$29</f>
        <v/>
      </c>
      <c r="BE266">
        <f>Assumptions!$B$28</f>
        <v/>
      </c>
      <c r="BF266">
        <f>P266*Assumptions!$B$141</f>
        <v/>
      </c>
      <c r="BG266">
        <f>P266*Assumptions!$B$128</f>
        <v/>
      </c>
      <c r="BH266">
        <f>P266*Assumptions!$B$129</f>
        <v/>
      </c>
      <c r="BI266">
        <f>P266*Assumptions!$B$14</f>
        <v/>
      </c>
      <c r="BJ266">
        <f>P266*Assumptions!$B$13</f>
        <v/>
      </c>
      <c r="BK266">
        <f>P266*Assumptions!$B$12</f>
        <v/>
      </c>
      <c r="BL266">
        <f>P266*Assumptions!$B$11</f>
        <v/>
      </c>
    </row>
    <row r="267">
      <c r="A267" t="inlineStr">
        <is>
          <t>1200M</t>
        </is>
      </c>
      <c r="B267">
        <f>Assumptions!$B$59</f>
        <v/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>
        <f>(1-C267)*Assumptions!$B$41+(1-D267)*Assumptions!$B$33+(1-E267)*Assumptions!$B$32+(1-F267)*Assumptions!$B$31+(1-G267)*Assumptions!$B$30+(1-H267)*Assumptions!$B$29+(1-I267)*Assumptions!$B$28</f>
        <v/>
      </c>
      <c r="K267">
        <f>C267*Assumptions!$B$141+D267*Assumptions!$B$128+E267*Assumptions!$B$129+F267*Assumptions!$B$14+G267*Assumptions!$B$13+H267*Assumptions!$B$12+I267*Assumptions!$B$11+Assumptions!$B$133+Assumptions!$B$137+Assumptions!$B$9</f>
        <v/>
      </c>
      <c r="L267">
        <f>B267-J267</f>
        <v/>
      </c>
      <c r="M267">
        <f>IF(K267&gt;0,IF(L267/K267&gt;=Assumptions!$B$37,1,0),0)</f>
        <v/>
      </c>
      <c r="N267">
        <f>K267+M267*Assumptions!$B$153</f>
        <v/>
      </c>
      <c r="O267">
        <f>L267+M267*Assumptions!$B$153*Assumptions!$B$37</f>
        <v/>
      </c>
      <c r="P267">
        <f>IF(N267&gt;0,O267/N267,0)</f>
        <v/>
      </c>
      <c r="Q267">
        <f>IF(C267=1,P267*Assumptions!$B$141,Assumptions!$B$41)</f>
        <v/>
      </c>
      <c r="R267">
        <f>IF(D267=1,P267*Assumptions!$B$128,Assumptions!$B$33)</f>
        <v/>
      </c>
      <c r="S267">
        <f>IF(E267=1,P267*Assumptions!$B$129,Assumptions!$B$32)</f>
        <v/>
      </c>
      <c r="T267">
        <f>IF(F267=1,P267*Assumptions!$B$14,Assumptions!$B$31)</f>
        <v/>
      </c>
      <c r="U267">
        <f>IF(G267=1,P267*Assumptions!$B$13,Assumptions!$B$30)</f>
        <v/>
      </c>
      <c r="V267">
        <f>IF(H267=1,P267*Assumptions!$B$12,Assumptions!$B$29)</f>
        <v/>
      </c>
      <c r="W267">
        <f>IF(I267=1,P267*Assumptions!$B$11,Assumptions!$B$28)</f>
        <v/>
      </c>
      <c r="X267">
        <f>P267*(Assumptions!$B$133+Assumptions!$B$137)</f>
        <v/>
      </c>
      <c r="Y267">
        <f>P267*Assumptions!$B$9</f>
        <v/>
      </c>
      <c r="Z267">
        <f>IF(M267=1,(P267-Assumptions!$B$37)*Assumptions!$B$153,0)</f>
        <v/>
      </c>
      <c r="AA267">
        <f>Q267+R267+S267+T267+U267+V267+W267+X267+Y267+Z267</f>
        <v/>
      </c>
      <c r="AB267" t="n">
        <v>88</v>
      </c>
      <c r="AC267" t="n">
        <v>24</v>
      </c>
      <c r="AD267" t="n">
        <v>120</v>
      </c>
      <c r="AE267" t="n">
        <v>72</v>
      </c>
      <c r="AF267" t="n">
        <v>80</v>
      </c>
      <c r="AG267" t="n">
        <v>92</v>
      </c>
      <c r="AH267" t="n">
        <v>90</v>
      </c>
      <c r="AI267" t="n">
        <v>89</v>
      </c>
      <c r="AJ267">
        <f>INDEX($Q$179:$Q$306,AC267+1)</f>
        <v/>
      </c>
      <c r="AK267">
        <f>INDEX($R$179:$R$306,AD267+1)</f>
        <v/>
      </c>
      <c r="AL267">
        <f>INDEX($S$179:$S$306,AE267+1)</f>
        <v/>
      </c>
      <c r="AM267">
        <f>INDEX($T$179:$T$306,AF267+1)</f>
        <v/>
      </c>
      <c r="AN267">
        <f>INDEX($U$179:$U$306,AG267+1)</f>
        <v/>
      </c>
      <c r="AO267">
        <f>INDEX($V$179:$V$306,AH267+1)</f>
        <v/>
      </c>
      <c r="AP267">
        <f>INDEX($W$179:$W$306,AI267+1)</f>
        <v/>
      </c>
      <c r="AQ267">
        <f>IF(Q267&gt;=AJ267-0.01,1,0)</f>
        <v/>
      </c>
      <c r="AR267">
        <f>IF(R267&gt;=AK267-0.01,1,0)</f>
        <v/>
      </c>
      <c r="AS267">
        <f>IF(S267&gt;=AL267-0.01,1,0)</f>
        <v/>
      </c>
      <c r="AT267">
        <f>IF(T267&gt;=AM267-0.01,1,0)</f>
        <v/>
      </c>
      <c r="AU267">
        <f>IF(U267&gt;=AN267-0.01,1,0)</f>
        <v/>
      </c>
      <c r="AV267">
        <f>IF(V267&gt;=AO267-0.01,1,0)</f>
        <v/>
      </c>
      <c r="AW267">
        <f>IF(W267&gt;=AP267-0.01,1,0)</f>
        <v/>
      </c>
      <c r="AX267">
        <f>AQ267*AR267*AS267*AT267*AU267*AV267*AW267</f>
        <v/>
      </c>
      <c r="AY267">
        <f>Assumptions!$B$41</f>
        <v/>
      </c>
      <c r="AZ267">
        <f>Assumptions!$B$33</f>
        <v/>
      </c>
      <c r="BA267">
        <f>Assumptions!$B$32</f>
        <v/>
      </c>
      <c r="BB267">
        <f>Assumptions!$B$31</f>
        <v/>
      </c>
      <c r="BC267">
        <f>Assumptions!$B$30</f>
        <v/>
      </c>
      <c r="BD267">
        <f>Assumptions!$B$29</f>
        <v/>
      </c>
      <c r="BE267">
        <f>Assumptions!$B$28</f>
        <v/>
      </c>
      <c r="BF267">
        <f>P267*Assumptions!$B$141</f>
        <v/>
      </c>
      <c r="BG267">
        <f>P267*Assumptions!$B$128</f>
        <v/>
      </c>
      <c r="BH267">
        <f>P267*Assumptions!$B$129</f>
        <v/>
      </c>
      <c r="BI267">
        <f>P267*Assumptions!$B$14</f>
        <v/>
      </c>
      <c r="BJ267">
        <f>P267*Assumptions!$B$13</f>
        <v/>
      </c>
      <c r="BK267">
        <f>P267*Assumptions!$B$12</f>
        <v/>
      </c>
      <c r="BL267">
        <f>P267*Assumptions!$B$11</f>
        <v/>
      </c>
    </row>
    <row r="268">
      <c r="A268" t="inlineStr">
        <is>
          <t>1200M</t>
        </is>
      </c>
      <c r="B268">
        <f>Assumptions!$B$59</f>
        <v/>
      </c>
      <c r="C268" t="n">
        <v>1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>
        <f>(1-C268)*Assumptions!$B$41+(1-D268)*Assumptions!$B$33+(1-E268)*Assumptions!$B$32+(1-F268)*Assumptions!$B$31+(1-G268)*Assumptions!$B$30+(1-H268)*Assumptions!$B$29+(1-I268)*Assumptions!$B$28</f>
        <v/>
      </c>
      <c r="K268">
        <f>C268*Assumptions!$B$141+D268*Assumptions!$B$128+E268*Assumptions!$B$129+F268*Assumptions!$B$14+G268*Assumptions!$B$13+H268*Assumptions!$B$12+I268*Assumptions!$B$11+Assumptions!$B$133+Assumptions!$B$137+Assumptions!$B$9</f>
        <v/>
      </c>
      <c r="L268">
        <f>B268-J268</f>
        <v/>
      </c>
      <c r="M268">
        <f>IF(K268&gt;0,IF(L268/K268&gt;=Assumptions!$B$37,1,0),0)</f>
        <v/>
      </c>
      <c r="N268">
        <f>K268+M268*Assumptions!$B$153</f>
        <v/>
      </c>
      <c r="O268">
        <f>L268+M268*Assumptions!$B$153*Assumptions!$B$37</f>
        <v/>
      </c>
      <c r="P268">
        <f>IF(N268&gt;0,O268/N268,0)</f>
        <v/>
      </c>
      <c r="Q268">
        <f>IF(C268=1,P268*Assumptions!$B$141,Assumptions!$B$41)</f>
        <v/>
      </c>
      <c r="R268">
        <f>IF(D268=1,P268*Assumptions!$B$128,Assumptions!$B$33)</f>
        <v/>
      </c>
      <c r="S268">
        <f>IF(E268=1,P268*Assumptions!$B$129,Assumptions!$B$32)</f>
        <v/>
      </c>
      <c r="T268">
        <f>IF(F268=1,P268*Assumptions!$B$14,Assumptions!$B$31)</f>
        <v/>
      </c>
      <c r="U268">
        <f>IF(G268=1,P268*Assumptions!$B$13,Assumptions!$B$30)</f>
        <v/>
      </c>
      <c r="V268">
        <f>IF(H268=1,P268*Assumptions!$B$12,Assumptions!$B$29)</f>
        <v/>
      </c>
      <c r="W268">
        <f>IF(I268=1,P268*Assumptions!$B$11,Assumptions!$B$28)</f>
        <v/>
      </c>
      <c r="X268">
        <f>P268*(Assumptions!$B$133+Assumptions!$B$137)</f>
        <v/>
      </c>
      <c r="Y268">
        <f>P268*Assumptions!$B$9</f>
        <v/>
      </c>
      <c r="Z268">
        <f>IF(M268=1,(P268-Assumptions!$B$37)*Assumptions!$B$153,0)</f>
        <v/>
      </c>
      <c r="AA268">
        <f>Q268+R268+S268+T268+U268+V268+W268+X268+Y268+Z268</f>
        <v/>
      </c>
      <c r="AB268" t="n">
        <v>89</v>
      </c>
      <c r="AC268" t="n">
        <v>25</v>
      </c>
      <c r="AD268" t="n">
        <v>121</v>
      </c>
      <c r="AE268" t="n">
        <v>73</v>
      </c>
      <c r="AF268" t="n">
        <v>81</v>
      </c>
      <c r="AG268" t="n">
        <v>93</v>
      </c>
      <c r="AH268" t="n">
        <v>91</v>
      </c>
      <c r="AI268" t="n">
        <v>88</v>
      </c>
      <c r="AJ268">
        <f>INDEX($Q$179:$Q$306,AC268+1)</f>
        <v/>
      </c>
      <c r="AK268">
        <f>INDEX($R$179:$R$306,AD268+1)</f>
        <v/>
      </c>
      <c r="AL268">
        <f>INDEX($S$179:$S$306,AE268+1)</f>
        <v/>
      </c>
      <c r="AM268">
        <f>INDEX($T$179:$T$306,AF268+1)</f>
        <v/>
      </c>
      <c r="AN268">
        <f>INDEX($U$179:$U$306,AG268+1)</f>
        <v/>
      </c>
      <c r="AO268">
        <f>INDEX($V$179:$V$306,AH268+1)</f>
        <v/>
      </c>
      <c r="AP268">
        <f>INDEX($W$179:$W$306,AI268+1)</f>
        <v/>
      </c>
      <c r="AQ268">
        <f>IF(Q268&gt;=AJ268-0.01,1,0)</f>
        <v/>
      </c>
      <c r="AR268">
        <f>IF(R268&gt;=AK268-0.01,1,0)</f>
        <v/>
      </c>
      <c r="AS268">
        <f>IF(S268&gt;=AL268-0.01,1,0)</f>
        <v/>
      </c>
      <c r="AT268">
        <f>IF(T268&gt;=AM268-0.01,1,0)</f>
        <v/>
      </c>
      <c r="AU268">
        <f>IF(U268&gt;=AN268-0.01,1,0)</f>
        <v/>
      </c>
      <c r="AV268">
        <f>IF(V268&gt;=AO268-0.01,1,0)</f>
        <v/>
      </c>
      <c r="AW268">
        <f>IF(W268&gt;=AP268-0.01,1,0)</f>
        <v/>
      </c>
      <c r="AX268">
        <f>AQ268*AR268*AS268*AT268*AU268*AV268*AW268</f>
        <v/>
      </c>
      <c r="AY268">
        <f>Assumptions!$B$41</f>
        <v/>
      </c>
      <c r="AZ268">
        <f>Assumptions!$B$33</f>
        <v/>
      </c>
      <c r="BA268">
        <f>Assumptions!$B$32</f>
        <v/>
      </c>
      <c r="BB268">
        <f>Assumptions!$B$31</f>
        <v/>
      </c>
      <c r="BC268">
        <f>Assumptions!$B$30</f>
        <v/>
      </c>
      <c r="BD268">
        <f>Assumptions!$B$29</f>
        <v/>
      </c>
      <c r="BE268">
        <f>Assumptions!$B$28</f>
        <v/>
      </c>
      <c r="BF268">
        <f>P268*Assumptions!$B$141</f>
        <v/>
      </c>
      <c r="BG268">
        <f>P268*Assumptions!$B$128</f>
        <v/>
      </c>
      <c r="BH268">
        <f>P268*Assumptions!$B$129</f>
        <v/>
      </c>
      <c r="BI268">
        <f>P268*Assumptions!$B$14</f>
        <v/>
      </c>
      <c r="BJ268">
        <f>P268*Assumptions!$B$13</f>
        <v/>
      </c>
      <c r="BK268">
        <f>P268*Assumptions!$B$12</f>
        <v/>
      </c>
      <c r="BL268">
        <f>P268*Assumptions!$B$11</f>
        <v/>
      </c>
    </row>
    <row r="269">
      <c r="A269" t="inlineStr">
        <is>
          <t>1200M</t>
        </is>
      </c>
      <c r="B269">
        <f>Assumptions!$B$59</f>
        <v/>
      </c>
      <c r="C269" t="n">
        <v>1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>
        <f>(1-C269)*Assumptions!$B$41+(1-D269)*Assumptions!$B$33+(1-E269)*Assumptions!$B$32+(1-F269)*Assumptions!$B$31+(1-G269)*Assumptions!$B$30+(1-H269)*Assumptions!$B$29+(1-I269)*Assumptions!$B$28</f>
        <v/>
      </c>
      <c r="K269">
        <f>C269*Assumptions!$B$141+D269*Assumptions!$B$128+E269*Assumptions!$B$129+F269*Assumptions!$B$14+G269*Assumptions!$B$13+H269*Assumptions!$B$12+I269*Assumptions!$B$11+Assumptions!$B$133+Assumptions!$B$137+Assumptions!$B$9</f>
        <v/>
      </c>
      <c r="L269">
        <f>B269-J269</f>
        <v/>
      </c>
      <c r="M269">
        <f>IF(K269&gt;0,IF(L269/K269&gt;=Assumptions!$B$37,1,0),0)</f>
        <v/>
      </c>
      <c r="N269">
        <f>K269+M269*Assumptions!$B$153</f>
        <v/>
      </c>
      <c r="O269">
        <f>L269+M269*Assumptions!$B$153*Assumptions!$B$37</f>
        <v/>
      </c>
      <c r="P269">
        <f>IF(N269&gt;0,O269/N269,0)</f>
        <v/>
      </c>
      <c r="Q269">
        <f>IF(C269=1,P269*Assumptions!$B$141,Assumptions!$B$41)</f>
        <v/>
      </c>
      <c r="R269">
        <f>IF(D269=1,P269*Assumptions!$B$128,Assumptions!$B$33)</f>
        <v/>
      </c>
      <c r="S269">
        <f>IF(E269=1,P269*Assumptions!$B$129,Assumptions!$B$32)</f>
        <v/>
      </c>
      <c r="T269">
        <f>IF(F269=1,P269*Assumptions!$B$14,Assumptions!$B$31)</f>
        <v/>
      </c>
      <c r="U269">
        <f>IF(G269=1,P269*Assumptions!$B$13,Assumptions!$B$30)</f>
        <v/>
      </c>
      <c r="V269">
        <f>IF(H269=1,P269*Assumptions!$B$12,Assumptions!$B$29)</f>
        <v/>
      </c>
      <c r="W269">
        <f>IF(I269=1,P269*Assumptions!$B$11,Assumptions!$B$28)</f>
        <v/>
      </c>
      <c r="X269">
        <f>P269*(Assumptions!$B$133+Assumptions!$B$137)</f>
        <v/>
      </c>
      <c r="Y269">
        <f>P269*Assumptions!$B$9</f>
        <v/>
      </c>
      <c r="Z269">
        <f>IF(M269=1,(P269-Assumptions!$B$37)*Assumptions!$B$153,0)</f>
        <v/>
      </c>
      <c r="AA269">
        <f>Q269+R269+S269+T269+U269+V269+W269+X269+Y269+Z269</f>
        <v/>
      </c>
      <c r="AB269" t="n">
        <v>90</v>
      </c>
      <c r="AC269" t="n">
        <v>26</v>
      </c>
      <c r="AD269" t="n">
        <v>122</v>
      </c>
      <c r="AE269" t="n">
        <v>74</v>
      </c>
      <c r="AF269" t="n">
        <v>82</v>
      </c>
      <c r="AG269" t="n">
        <v>94</v>
      </c>
      <c r="AH269" t="n">
        <v>88</v>
      </c>
      <c r="AI269" t="n">
        <v>91</v>
      </c>
      <c r="AJ269">
        <f>INDEX($Q$179:$Q$306,AC269+1)</f>
        <v/>
      </c>
      <c r="AK269">
        <f>INDEX($R$179:$R$306,AD269+1)</f>
        <v/>
      </c>
      <c r="AL269">
        <f>INDEX($S$179:$S$306,AE269+1)</f>
        <v/>
      </c>
      <c r="AM269">
        <f>INDEX($T$179:$T$306,AF269+1)</f>
        <v/>
      </c>
      <c r="AN269">
        <f>INDEX($U$179:$U$306,AG269+1)</f>
        <v/>
      </c>
      <c r="AO269">
        <f>INDEX($V$179:$V$306,AH269+1)</f>
        <v/>
      </c>
      <c r="AP269">
        <f>INDEX($W$179:$W$306,AI269+1)</f>
        <v/>
      </c>
      <c r="AQ269">
        <f>IF(Q269&gt;=AJ269-0.01,1,0)</f>
        <v/>
      </c>
      <c r="AR269">
        <f>IF(R269&gt;=AK269-0.01,1,0)</f>
        <v/>
      </c>
      <c r="AS269">
        <f>IF(S269&gt;=AL269-0.01,1,0)</f>
        <v/>
      </c>
      <c r="AT269">
        <f>IF(T269&gt;=AM269-0.01,1,0)</f>
        <v/>
      </c>
      <c r="AU269">
        <f>IF(U269&gt;=AN269-0.01,1,0)</f>
        <v/>
      </c>
      <c r="AV269">
        <f>IF(V269&gt;=AO269-0.01,1,0)</f>
        <v/>
      </c>
      <c r="AW269">
        <f>IF(W269&gt;=AP269-0.01,1,0)</f>
        <v/>
      </c>
      <c r="AX269">
        <f>AQ269*AR269*AS269*AT269*AU269*AV269*AW269</f>
        <v/>
      </c>
      <c r="AY269">
        <f>Assumptions!$B$41</f>
        <v/>
      </c>
      <c r="AZ269">
        <f>Assumptions!$B$33</f>
        <v/>
      </c>
      <c r="BA269">
        <f>Assumptions!$B$32</f>
        <v/>
      </c>
      <c r="BB269">
        <f>Assumptions!$B$31</f>
        <v/>
      </c>
      <c r="BC269">
        <f>Assumptions!$B$30</f>
        <v/>
      </c>
      <c r="BD269">
        <f>Assumptions!$B$29</f>
        <v/>
      </c>
      <c r="BE269">
        <f>Assumptions!$B$28</f>
        <v/>
      </c>
      <c r="BF269">
        <f>P269*Assumptions!$B$141</f>
        <v/>
      </c>
      <c r="BG269">
        <f>P269*Assumptions!$B$128</f>
        <v/>
      </c>
      <c r="BH269">
        <f>P269*Assumptions!$B$129</f>
        <v/>
      </c>
      <c r="BI269">
        <f>P269*Assumptions!$B$14</f>
        <v/>
      </c>
      <c r="BJ269">
        <f>P269*Assumptions!$B$13</f>
        <v/>
      </c>
      <c r="BK269">
        <f>P269*Assumptions!$B$12</f>
        <v/>
      </c>
      <c r="BL269">
        <f>P269*Assumptions!$B$11</f>
        <v/>
      </c>
    </row>
    <row r="270">
      <c r="A270" t="inlineStr">
        <is>
          <t>1200M</t>
        </is>
      </c>
      <c r="B270">
        <f>Assumptions!$B$59</f>
        <v/>
      </c>
      <c r="C270" t="n">
        <v>1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>
        <f>(1-C270)*Assumptions!$B$41+(1-D270)*Assumptions!$B$33+(1-E270)*Assumptions!$B$32+(1-F270)*Assumptions!$B$31+(1-G270)*Assumptions!$B$30+(1-H270)*Assumptions!$B$29+(1-I270)*Assumptions!$B$28</f>
        <v/>
      </c>
      <c r="K270">
        <f>C270*Assumptions!$B$141+D270*Assumptions!$B$128+E270*Assumptions!$B$129+F270*Assumptions!$B$14+G270*Assumptions!$B$13+H270*Assumptions!$B$12+I270*Assumptions!$B$11+Assumptions!$B$133+Assumptions!$B$137+Assumptions!$B$9</f>
        <v/>
      </c>
      <c r="L270">
        <f>B270-J270</f>
        <v/>
      </c>
      <c r="M270">
        <f>IF(K270&gt;0,IF(L270/K270&gt;=Assumptions!$B$37,1,0),0)</f>
        <v/>
      </c>
      <c r="N270">
        <f>K270+M270*Assumptions!$B$153</f>
        <v/>
      </c>
      <c r="O270">
        <f>L270+M270*Assumptions!$B$153*Assumptions!$B$37</f>
        <v/>
      </c>
      <c r="P270">
        <f>IF(N270&gt;0,O270/N270,0)</f>
        <v/>
      </c>
      <c r="Q270">
        <f>IF(C270=1,P270*Assumptions!$B$141,Assumptions!$B$41)</f>
        <v/>
      </c>
      <c r="R270">
        <f>IF(D270=1,P270*Assumptions!$B$128,Assumptions!$B$33)</f>
        <v/>
      </c>
      <c r="S270">
        <f>IF(E270=1,P270*Assumptions!$B$129,Assumptions!$B$32)</f>
        <v/>
      </c>
      <c r="T270">
        <f>IF(F270=1,P270*Assumptions!$B$14,Assumptions!$B$31)</f>
        <v/>
      </c>
      <c r="U270">
        <f>IF(G270=1,P270*Assumptions!$B$13,Assumptions!$B$30)</f>
        <v/>
      </c>
      <c r="V270">
        <f>IF(H270=1,P270*Assumptions!$B$12,Assumptions!$B$29)</f>
        <v/>
      </c>
      <c r="W270">
        <f>IF(I270=1,P270*Assumptions!$B$11,Assumptions!$B$28)</f>
        <v/>
      </c>
      <c r="X270">
        <f>P270*(Assumptions!$B$133+Assumptions!$B$137)</f>
        <v/>
      </c>
      <c r="Y270">
        <f>P270*Assumptions!$B$9</f>
        <v/>
      </c>
      <c r="Z270">
        <f>IF(M270=1,(P270-Assumptions!$B$37)*Assumptions!$B$153,0)</f>
        <v/>
      </c>
      <c r="AA270">
        <f>Q270+R270+S270+T270+U270+V270+W270+X270+Y270+Z270</f>
        <v/>
      </c>
      <c r="AB270" t="n">
        <v>91</v>
      </c>
      <c r="AC270" t="n">
        <v>27</v>
      </c>
      <c r="AD270" t="n">
        <v>123</v>
      </c>
      <c r="AE270" t="n">
        <v>75</v>
      </c>
      <c r="AF270" t="n">
        <v>83</v>
      </c>
      <c r="AG270" t="n">
        <v>95</v>
      </c>
      <c r="AH270" t="n">
        <v>89</v>
      </c>
      <c r="AI270" t="n">
        <v>90</v>
      </c>
      <c r="AJ270">
        <f>INDEX($Q$179:$Q$306,AC270+1)</f>
        <v/>
      </c>
      <c r="AK270">
        <f>INDEX($R$179:$R$306,AD270+1)</f>
        <v/>
      </c>
      <c r="AL270">
        <f>INDEX($S$179:$S$306,AE270+1)</f>
        <v/>
      </c>
      <c r="AM270">
        <f>INDEX($T$179:$T$306,AF270+1)</f>
        <v/>
      </c>
      <c r="AN270">
        <f>INDEX($U$179:$U$306,AG270+1)</f>
        <v/>
      </c>
      <c r="AO270">
        <f>INDEX($V$179:$V$306,AH270+1)</f>
        <v/>
      </c>
      <c r="AP270">
        <f>INDEX($W$179:$W$306,AI270+1)</f>
        <v/>
      </c>
      <c r="AQ270">
        <f>IF(Q270&gt;=AJ270-0.01,1,0)</f>
        <v/>
      </c>
      <c r="AR270">
        <f>IF(R270&gt;=AK270-0.01,1,0)</f>
        <v/>
      </c>
      <c r="AS270">
        <f>IF(S270&gt;=AL270-0.01,1,0)</f>
        <v/>
      </c>
      <c r="AT270">
        <f>IF(T270&gt;=AM270-0.01,1,0)</f>
        <v/>
      </c>
      <c r="AU270">
        <f>IF(U270&gt;=AN270-0.01,1,0)</f>
        <v/>
      </c>
      <c r="AV270">
        <f>IF(V270&gt;=AO270-0.01,1,0)</f>
        <v/>
      </c>
      <c r="AW270">
        <f>IF(W270&gt;=AP270-0.01,1,0)</f>
        <v/>
      </c>
      <c r="AX270">
        <f>AQ270*AR270*AS270*AT270*AU270*AV270*AW270</f>
        <v/>
      </c>
      <c r="AY270">
        <f>Assumptions!$B$41</f>
        <v/>
      </c>
      <c r="AZ270">
        <f>Assumptions!$B$33</f>
        <v/>
      </c>
      <c r="BA270">
        <f>Assumptions!$B$32</f>
        <v/>
      </c>
      <c r="BB270">
        <f>Assumptions!$B$31</f>
        <v/>
      </c>
      <c r="BC270">
        <f>Assumptions!$B$30</f>
        <v/>
      </c>
      <c r="BD270">
        <f>Assumptions!$B$29</f>
        <v/>
      </c>
      <c r="BE270">
        <f>Assumptions!$B$28</f>
        <v/>
      </c>
      <c r="BF270">
        <f>P270*Assumptions!$B$141</f>
        <v/>
      </c>
      <c r="BG270">
        <f>P270*Assumptions!$B$128</f>
        <v/>
      </c>
      <c r="BH270">
        <f>P270*Assumptions!$B$129</f>
        <v/>
      </c>
      <c r="BI270">
        <f>P270*Assumptions!$B$14</f>
        <v/>
      </c>
      <c r="BJ270">
        <f>P270*Assumptions!$B$13</f>
        <v/>
      </c>
      <c r="BK270">
        <f>P270*Assumptions!$B$12</f>
        <v/>
      </c>
      <c r="BL270">
        <f>P270*Assumptions!$B$11</f>
        <v/>
      </c>
    </row>
    <row r="271">
      <c r="A271" t="inlineStr">
        <is>
          <t>1200M</t>
        </is>
      </c>
      <c r="B271">
        <f>Assumptions!$B$59</f>
        <v/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>
        <f>(1-C271)*Assumptions!$B$41+(1-D271)*Assumptions!$B$33+(1-E271)*Assumptions!$B$32+(1-F271)*Assumptions!$B$31+(1-G271)*Assumptions!$B$30+(1-H271)*Assumptions!$B$29+(1-I271)*Assumptions!$B$28</f>
        <v/>
      </c>
      <c r="K271">
        <f>C271*Assumptions!$B$141+D271*Assumptions!$B$128+E271*Assumptions!$B$129+F271*Assumptions!$B$14+G271*Assumptions!$B$13+H271*Assumptions!$B$12+I271*Assumptions!$B$11+Assumptions!$B$133+Assumptions!$B$137+Assumptions!$B$9</f>
        <v/>
      </c>
      <c r="L271">
        <f>B271-J271</f>
        <v/>
      </c>
      <c r="M271">
        <f>IF(K271&gt;0,IF(L271/K271&gt;=Assumptions!$B$37,1,0),0)</f>
        <v/>
      </c>
      <c r="N271">
        <f>K271+M271*Assumptions!$B$153</f>
        <v/>
      </c>
      <c r="O271">
        <f>L271+M271*Assumptions!$B$153*Assumptions!$B$37</f>
        <v/>
      </c>
      <c r="P271">
        <f>IF(N271&gt;0,O271/N271,0)</f>
        <v/>
      </c>
      <c r="Q271">
        <f>IF(C271=1,P271*Assumptions!$B$141,Assumptions!$B$41)</f>
        <v/>
      </c>
      <c r="R271">
        <f>IF(D271=1,P271*Assumptions!$B$128,Assumptions!$B$33)</f>
        <v/>
      </c>
      <c r="S271">
        <f>IF(E271=1,P271*Assumptions!$B$129,Assumptions!$B$32)</f>
        <v/>
      </c>
      <c r="T271">
        <f>IF(F271=1,P271*Assumptions!$B$14,Assumptions!$B$31)</f>
        <v/>
      </c>
      <c r="U271">
        <f>IF(G271=1,P271*Assumptions!$B$13,Assumptions!$B$30)</f>
        <v/>
      </c>
      <c r="V271">
        <f>IF(H271=1,P271*Assumptions!$B$12,Assumptions!$B$29)</f>
        <v/>
      </c>
      <c r="W271">
        <f>IF(I271=1,P271*Assumptions!$B$11,Assumptions!$B$28)</f>
        <v/>
      </c>
      <c r="X271">
        <f>P271*(Assumptions!$B$133+Assumptions!$B$137)</f>
        <v/>
      </c>
      <c r="Y271">
        <f>P271*Assumptions!$B$9</f>
        <v/>
      </c>
      <c r="Z271">
        <f>IF(M271=1,(P271-Assumptions!$B$37)*Assumptions!$B$153,0)</f>
        <v/>
      </c>
      <c r="AA271">
        <f>Q271+R271+S271+T271+U271+V271+W271+X271+Y271+Z271</f>
        <v/>
      </c>
      <c r="AB271" t="n">
        <v>92</v>
      </c>
      <c r="AC271" t="n">
        <v>28</v>
      </c>
      <c r="AD271" t="n">
        <v>124</v>
      </c>
      <c r="AE271" t="n">
        <v>76</v>
      </c>
      <c r="AF271" t="n">
        <v>84</v>
      </c>
      <c r="AG271" t="n">
        <v>88</v>
      </c>
      <c r="AH271" t="n">
        <v>94</v>
      </c>
      <c r="AI271" t="n">
        <v>93</v>
      </c>
      <c r="AJ271">
        <f>INDEX($Q$179:$Q$306,AC271+1)</f>
        <v/>
      </c>
      <c r="AK271">
        <f>INDEX($R$179:$R$306,AD271+1)</f>
        <v/>
      </c>
      <c r="AL271">
        <f>INDEX($S$179:$S$306,AE271+1)</f>
        <v/>
      </c>
      <c r="AM271">
        <f>INDEX($T$179:$T$306,AF271+1)</f>
        <v/>
      </c>
      <c r="AN271">
        <f>INDEX($U$179:$U$306,AG271+1)</f>
        <v/>
      </c>
      <c r="AO271">
        <f>INDEX($V$179:$V$306,AH271+1)</f>
        <v/>
      </c>
      <c r="AP271">
        <f>INDEX($W$179:$W$306,AI271+1)</f>
        <v/>
      </c>
      <c r="AQ271">
        <f>IF(Q271&gt;=AJ271-0.01,1,0)</f>
        <v/>
      </c>
      <c r="AR271">
        <f>IF(R271&gt;=AK271-0.01,1,0)</f>
        <v/>
      </c>
      <c r="AS271">
        <f>IF(S271&gt;=AL271-0.01,1,0)</f>
        <v/>
      </c>
      <c r="AT271">
        <f>IF(T271&gt;=AM271-0.01,1,0)</f>
        <v/>
      </c>
      <c r="AU271">
        <f>IF(U271&gt;=AN271-0.01,1,0)</f>
        <v/>
      </c>
      <c r="AV271">
        <f>IF(V271&gt;=AO271-0.01,1,0)</f>
        <v/>
      </c>
      <c r="AW271">
        <f>IF(W271&gt;=AP271-0.01,1,0)</f>
        <v/>
      </c>
      <c r="AX271">
        <f>AQ271*AR271*AS271*AT271*AU271*AV271*AW271</f>
        <v/>
      </c>
      <c r="AY271">
        <f>Assumptions!$B$41</f>
        <v/>
      </c>
      <c r="AZ271">
        <f>Assumptions!$B$33</f>
        <v/>
      </c>
      <c r="BA271">
        <f>Assumptions!$B$32</f>
        <v/>
      </c>
      <c r="BB271">
        <f>Assumptions!$B$31</f>
        <v/>
      </c>
      <c r="BC271">
        <f>Assumptions!$B$30</f>
        <v/>
      </c>
      <c r="BD271">
        <f>Assumptions!$B$29</f>
        <v/>
      </c>
      <c r="BE271">
        <f>Assumptions!$B$28</f>
        <v/>
      </c>
      <c r="BF271">
        <f>P271*Assumptions!$B$141</f>
        <v/>
      </c>
      <c r="BG271">
        <f>P271*Assumptions!$B$128</f>
        <v/>
      </c>
      <c r="BH271">
        <f>P271*Assumptions!$B$129</f>
        <v/>
      </c>
      <c r="BI271">
        <f>P271*Assumptions!$B$14</f>
        <v/>
      </c>
      <c r="BJ271">
        <f>P271*Assumptions!$B$13</f>
        <v/>
      </c>
      <c r="BK271">
        <f>P271*Assumptions!$B$12</f>
        <v/>
      </c>
      <c r="BL271">
        <f>P271*Assumptions!$B$11</f>
        <v/>
      </c>
    </row>
    <row r="272">
      <c r="A272" t="inlineStr">
        <is>
          <t>1200M</t>
        </is>
      </c>
      <c r="B272">
        <f>Assumptions!$B$59</f>
        <v/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  <c r="J272">
        <f>(1-C272)*Assumptions!$B$41+(1-D272)*Assumptions!$B$33+(1-E272)*Assumptions!$B$32+(1-F272)*Assumptions!$B$31+(1-G272)*Assumptions!$B$30+(1-H272)*Assumptions!$B$29+(1-I272)*Assumptions!$B$28</f>
        <v/>
      </c>
      <c r="K272">
        <f>C272*Assumptions!$B$141+D272*Assumptions!$B$128+E272*Assumptions!$B$129+F272*Assumptions!$B$14+G272*Assumptions!$B$13+H272*Assumptions!$B$12+I272*Assumptions!$B$11+Assumptions!$B$133+Assumptions!$B$137+Assumptions!$B$9</f>
        <v/>
      </c>
      <c r="L272">
        <f>B272-J272</f>
        <v/>
      </c>
      <c r="M272">
        <f>IF(K272&gt;0,IF(L272/K272&gt;=Assumptions!$B$37,1,0),0)</f>
        <v/>
      </c>
      <c r="N272">
        <f>K272+M272*Assumptions!$B$153</f>
        <v/>
      </c>
      <c r="O272">
        <f>L272+M272*Assumptions!$B$153*Assumptions!$B$37</f>
        <v/>
      </c>
      <c r="P272">
        <f>IF(N272&gt;0,O272/N272,0)</f>
        <v/>
      </c>
      <c r="Q272">
        <f>IF(C272=1,P272*Assumptions!$B$141,Assumptions!$B$41)</f>
        <v/>
      </c>
      <c r="R272">
        <f>IF(D272=1,P272*Assumptions!$B$128,Assumptions!$B$33)</f>
        <v/>
      </c>
      <c r="S272">
        <f>IF(E272=1,P272*Assumptions!$B$129,Assumptions!$B$32)</f>
        <v/>
      </c>
      <c r="T272">
        <f>IF(F272=1,P272*Assumptions!$B$14,Assumptions!$B$31)</f>
        <v/>
      </c>
      <c r="U272">
        <f>IF(G272=1,P272*Assumptions!$B$13,Assumptions!$B$30)</f>
        <v/>
      </c>
      <c r="V272">
        <f>IF(H272=1,P272*Assumptions!$B$12,Assumptions!$B$29)</f>
        <v/>
      </c>
      <c r="W272">
        <f>IF(I272=1,P272*Assumptions!$B$11,Assumptions!$B$28)</f>
        <v/>
      </c>
      <c r="X272">
        <f>P272*(Assumptions!$B$133+Assumptions!$B$137)</f>
        <v/>
      </c>
      <c r="Y272">
        <f>P272*Assumptions!$B$9</f>
        <v/>
      </c>
      <c r="Z272">
        <f>IF(M272=1,(P272-Assumptions!$B$37)*Assumptions!$B$153,0)</f>
        <v/>
      </c>
      <c r="AA272">
        <f>Q272+R272+S272+T272+U272+V272+W272+X272+Y272+Z272</f>
        <v/>
      </c>
      <c r="AB272" t="n">
        <v>93</v>
      </c>
      <c r="AC272" t="n">
        <v>29</v>
      </c>
      <c r="AD272" t="n">
        <v>125</v>
      </c>
      <c r="AE272" t="n">
        <v>77</v>
      </c>
      <c r="AF272" t="n">
        <v>85</v>
      </c>
      <c r="AG272" t="n">
        <v>89</v>
      </c>
      <c r="AH272" t="n">
        <v>95</v>
      </c>
      <c r="AI272" t="n">
        <v>92</v>
      </c>
      <c r="AJ272">
        <f>INDEX($Q$179:$Q$306,AC272+1)</f>
        <v/>
      </c>
      <c r="AK272">
        <f>INDEX($R$179:$R$306,AD272+1)</f>
        <v/>
      </c>
      <c r="AL272">
        <f>INDEX($S$179:$S$306,AE272+1)</f>
        <v/>
      </c>
      <c r="AM272">
        <f>INDEX($T$179:$T$306,AF272+1)</f>
        <v/>
      </c>
      <c r="AN272">
        <f>INDEX($U$179:$U$306,AG272+1)</f>
        <v/>
      </c>
      <c r="AO272">
        <f>INDEX($V$179:$V$306,AH272+1)</f>
        <v/>
      </c>
      <c r="AP272">
        <f>INDEX($W$179:$W$306,AI272+1)</f>
        <v/>
      </c>
      <c r="AQ272">
        <f>IF(Q272&gt;=AJ272-0.01,1,0)</f>
        <v/>
      </c>
      <c r="AR272">
        <f>IF(R272&gt;=AK272-0.01,1,0)</f>
        <v/>
      </c>
      <c r="AS272">
        <f>IF(S272&gt;=AL272-0.01,1,0)</f>
        <v/>
      </c>
      <c r="AT272">
        <f>IF(T272&gt;=AM272-0.01,1,0)</f>
        <v/>
      </c>
      <c r="AU272">
        <f>IF(U272&gt;=AN272-0.01,1,0)</f>
        <v/>
      </c>
      <c r="AV272">
        <f>IF(V272&gt;=AO272-0.01,1,0)</f>
        <v/>
      </c>
      <c r="AW272">
        <f>IF(W272&gt;=AP272-0.01,1,0)</f>
        <v/>
      </c>
      <c r="AX272">
        <f>AQ272*AR272*AS272*AT272*AU272*AV272*AW272</f>
        <v/>
      </c>
      <c r="AY272">
        <f>Assumptions!$B$41</f>
        <v/>
      </c>
      <c r="AZ272">
        <f>Assumptions!$B$33</f>
        <v/>
      </c>
      <c r="BA272">
        <f>Assumptions!$B$32</f>
        <v/>
      </c>
      <c r="BB272">
        <f>Assumptions!$B$31</f>
        <v/>
      </c>
      <c r="BC272">
        <f>Assumptions!$B$30</f>
        <v/>
      </c>
      <c r="BD272">
        <f>Assumptions!$B$29</f>
        <v/>
      </c>
      <c r="BE272">
        <f>Assumptions!$B$28</f>
        <v/>
      </c>
      <c r="BF272">
        <f>P272*Assumptions!$B$141</f>
        <v/>
      </c>
      <c r="BG272">
        <f>P272*Assumptions!$B$128</f>
        <v/>
      </c>
      <c r="BH272">
        <f>P272*Assumptions!$B$129</f>
        <v/>
      </c>
      <c r="BI272">
        <f>P272*Assumptions!$B$14</f>
        <v/>
      </c>
      <c r="BJ272">
        <f>P272*Assumptions!$B$13</f>
        <v/>
      </c>
      <c r="BK272">
        <f>P272*Assumptions!$B$12</f>
        <v/>
      </c>
      <c r="BL272">
        <f>P272*Assumptions!$B$11</f>
        <v/>
      </c>
    </row>
    <row r="273">
      <c r="A273" t="inlineStr">
        <is>
          <t>1200M</t>
        </is>
      </c>
      <c r="B273">
        <f>Assumptions!$B$59</f>
        <v/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0</v>
      </c>
      <c r="J273">
        <f>(1-C273)*Assumptions!$B$41+(1-D273)*Assumptions!$B$33+(1-E273)*Assumptions!$B$32+(1-F273)*Assumptions!$B$31+(1-G273)*Assumptions!$B$30+(1-H273)*Assumptions!$B$29+(1-I273)*Assumptions!$B$28</f>
        <v/>
      </c>
      <c r="K273">
        <f>C273*Assumptions!$B$141+D273*Assumptions!$B$128+E273*Assumptions!$B$129+F273*Assumptions!$B$14+G273*Assumptions!$B$13+H273*Assumptions!$B$12+I273*Assumptions!$B$11+Assumptions!$B$133+Assumptions!$B$137+Assumptions!$B$9</f>
        <v/>
      </c>
      <c r="L273">
        <f>B273-J273</f>
        <v/>
      </c>
      <c r="M273">
        <f>IF(K273&gt;0,IF(L273/K273&gt;=Assumptions!$B$37,1,0),0)</f>
        <v/>
      </c>
      <c r="N273">
        <f>K273+M273*Assumptions!$B$153</f>
        <v/>
      </c>
      <c r="O273">
        <f>L273+M273*Assumptions!$B$153*Assumptions!$B$37</f>
        <v/>
      </c>
      <c r="P273">
        <f>IF(N273&gt;0,O273/N273,0)</f>
        <v/>
      </c>
      <c r="Q273">
        <f>IF(C273=1,P273*Assumptions!$B$141,Assumptions!$B$41)</f>
        <v/>
      </c>
      <c r="R273">
        <f>IF(D273=1,P273*Assumptions!$B$128,Assumptions!$B$33)</f>
        <v/>
      </c>
      <c r="S273">
        <f>IF(E273=1,P273*Assumptions!$B$129,Assumptions!$B$32)</f>
        <v/>
      </c>
      <c r="T273">
        <f>IF(F273=1,P273*Assumptions!$B$14,Assumptions!$B$31)</f>
        <v/>
      </c>
      <c r="U273">
        <f>IF(G273=1,P273*Assumptions!$B$13,Assumptions!$B$30)</f>
        <v/>
      </c>
      <c r="V273">
        <f>IF(H273=1,P273*Assumptions!$B$12,Assumptions!$B$29)</f>
        <v/>
      </c>
      <c r="W273">
        <f>IF(I273=1,P273*Assumptions!$B$11,Assumptions!$B$28)</f>
        <v/>
      </c>
      <c r="X273">
        <f>P273*(Assumptions!$B$133+Assumptions!$B$137)</f>
        <v/>
      </c>
      <c r="Y273">
        <f>P273*Assumptions!$B$9</f>
        <v/>
      </c>
      <c r="Z273">
        <f>IF(M273=1,(P273-Assumptions!$B$37)*Assumptions!$B$153,0)</f>
        <v/>
      </c>
      <c r="AA273">
        <f>Q273+R273+S273+T273+U273+V273+W273+X273+Y273+Z273</f>
        <v/>
      </c>
      <c r="AB273" t="n">
        <v>94</v>
      </c>
      <c r="AC273" t="n">
        <v>30</v>
      </c>
      <c r="AD273" t="n">
        <v>126</v>
      </c>
      <c r="AE273" t="n">
        <v>78</v>
      </c>
      <c r="AF273" t="n">
        <v>86</v>
      </c>
      <c r="AG273" t="n">
        <v>90</v>
      </c>
      <c r="AH273" t="n">
        <v>92</v>
      </c>
      <c r="AI273" t="n">
        <v>95</v>
      </c>
      <c r="AJ273">
        <f>INDEX($Q$179:$Q$306,AC273+1)</f>
        <v/>
      </c>
      <c r="AK273">
        <f>INDEX($R$179:$R$306,AD273+1)</f>
        <v/>
      </c>
      <c r="AL273">
        <f>INDEX($S$179:$S$306,AE273+1)</f>
        <v/>
      </c>
      <c r="AM273">
        <f>INDEX($T$179:$T$306,AF273+1)</f>
        <v/>
      </c>
      <c r="AN273">
        <f>INDEX($U$179:$U$306,AG273+1)</f>
        <v/>
      </c>
      <c r="AO273">
        <f>INDEX($V$179:$V$306,AH273+1)</f>
        <v/>
      </c>
      <c r="AP273">
        <f>INDEX($W$179:$W$306,AI273+1)</f>
        <v/>
      </c>
      <c r="AQ273">
        <f>IF(Q273&gt;=AJ273-0.01,1,0)</f>
        <v/>
      </c>
      <c r="AR273">
        <f>IF(R273&gt;=AK273-0.01,1,0)</f>
        <v/>
      </c>
      <c r="AS273">
        <f>IF(S273&gt;=AL273-0.01,1,0)</f>
        <v/>
      </c>
      <c r="AT273">
        <f>IF(T273&gt;=AM273-0.01,1,0)</f>
        <v/>
      </c>
      <c r="AU273">
        <f>IF(U273&gt;=AN273-0.01,1,0)</f>
        <v/>
      </c>
      <c r="AV273">
        <f>IF(V273&gt;=AO273-0.01,1,0)</f>
        <v/>
      </c>
      <c r="AW273">
        <f>IF(W273&gt;=AP273-0.01,1,0)</f>
        <v/>
      </c>
      <c r="AX273">
        <f>AQ273*AR273*AS273*AT273*AU273*AV273*AW273</f>
        <v/>
      </c>
      <c r="AY273">
        <f>Assumptions!$B$41</f>
        <v/>
      </c>
      <c r="AZ273">
        <f>Assumptions!$B$33</f>
        <v/>
      </c>
      <c r="BA273">
        <f>Assumptions!$B$32</f>
        <v/>
      </c>
      <c r="BB273">
        <f>Assumptions!$B$31</f>
        <v/>
      </c>
      <c r="BC273">
        <f>Assumptions!$B$30</f>
        <v/>
      </c>
      <c r="BD273">
        <f>Assumptions!$B$29</f>
        <v/>
      </c>
      <c r="BE273">
        <f>Assumptions!$B$28</f>
        <v/>
      </c>
      <c r="BF273">
        <f>P273*Assumptions!$B$141</f>
        <v/>
      </c>
      <c r="BG273">
        <f>P273*Assumptions!$B$128</f>
        <v/>
      </c>
      <c r="BH273">
        <f>P273*Assumptions!$B$129</f>
        <v/>
      </c>
      <c r="BI273">
        <f>P273*Assumptions!$B$14</f>
        <v/>
      </c>
      <c r="BJ273">
        <f>P273*Assumptions!$B$13</f>
        <v/>
      </c>
      <c r="BK273">
        <f>P273*Assumptions!$B$12</f>
        <v/>
      </c>
      <c r="BL273">
        <f>P273*Assumptions!$B$11</f>
        <v/>
      </c>
    </row>
    <row r="274">
      <c r="A274" t="inlineStr">
        <is>
          <t>1200M</t>
        </is>
      </c>
      <c r="B274">
        <f>Assumptions!$B$59</f>
        <v/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>
        <f>(1-C274)*Assumptions!$B$41+(1-D274)*Assumptions!$B$33+(1-E274)*Assumptions!$B$32+(1-F274)*Assumptions!$B$31+(1-G274)*Assumptions!$B$30+(1-H274)*Assumptions!$B$29+(1-I274)*Assumptions!$B$28</f>
        <v/>
      </c>
      <c r="K274">
        <f>C274*Assumptions!$B$141+D274*Assumptions!$B$128+E274*Assumptions!$B$129+F274*Assumptions!$B$14+G274*Assumptions!$B$13+H274*Assumptions!$B$12+I274*Assumptions!$B$11+Assumptions!$B$133+Assumptions!$B$137+Assumptions!$B$9</f>
        <v/>
      </c>
      <c r="L274">
        <f>B274-J274</f>
        <v/>
      </c>
      <c r="M274">
        <f>IF(K274&gt;0,IF(L274/K274&gt;=Assumptions!$B$37,1,0),0)</f>
        <v/>
      </c>
      <c r="N274">
        <f>K274+M274*Assumptions!$B$153</f>
        <v/>
      </c>
      <c r="O274">
        <f>L274+M274*Assumptions!$B$153*Assumptions!$B$37</f>
        <v/>
      </c>
      <c r="P274">
        <f>IF(N274&gt;0,O274/N274,0)</f>
        <v/>
      </c>
      <c r="Q274">
        <f>IF(C274=1,P274*Assumptions!$B$141,Assumptions!$B$41)</f>
        <v/>
      </c>
      <c r="R274">
        <f>IF(D274=1,P274*Assumptions!$B$128,Assumptions!$B$33)</f>
        <v/>
      </c>
      <c r="S274">
        <f>IF(E274=1,P274*Assumptions!$B$129,Assumptions!$B$32)</f>
        <v/>
      </c>
      <c r="T274">
        <f>IF(F274=1,P274*Assumptions!$B$14,Assumptions!$B$31)</f>
        <v/>
      </c>
      <c r="U274">
        <f>IF(G274=1,P274*Assumptions!$B$13,Assumptions!$B$30)</f>
        <v/>
      </c>
      <c r="V274">
        <f>IF(H274=1,P274*Assumptions!$B$12,Assumptions!$B$29)</f>
        <v/>
      </c>
      <c r="W274">
        <f>IF(I274=1,P274*Assumptions!$B$11,Assumptions!$B$28)</f>
        <v/>
      </c>
      <c r="X274">
        <f>P274*(Assumptions!$B$133+Assumptions!$B$137)</f>
        <v/>
      </c>
      <c r="Y274">
        <f>P274*Assumptions!$B$9</f>
        <v/>
      </c>
      <c r="Z274">
        <f>IF(M274=1,(P274-Assumptions!$B$37)*Assumptions!$B$153,0)</f>
        <v/>
      </c>
      <c r="AA274">
        <f>Q274+R274+S274+T274+U274+V274+W274+X274+Y274+Z274</f>
        <v/>
      </c>
      <c r="AB274" t="n">
        <v>95</v>
      </c>
      <c r="AC274" t="n">
        <v>31</v>
      </c>
      <c r="AD274" t="n">
        <v>127</v>
      </c>
      <c r="AE274" t="n">
        <v>79</v>
      </c>
      <c r="AF274" t="n">
        <v>87</v>
      </c>
      <c r="AG274" t="n">
        <v>91</v>
      </c>
      <c r="AH274" t="n">
        <v>93</v>
      </c>
      <c r="AI274" t="n">
        <v>94</v>
      </c>
      <c r="AJ274">
        <f>INDEX($Q$179:$Q$306,AC274+1)</f>
        <v/>
      </c>
      <c r="AK274">
        <f>INDEX($R$179:$R$306,AD274+1)</f>
        <v/>
      </c>
      <c r="AL274">
        <f>INDEX($S$179:$S$306,AE274+1)</f>
        <v/>
      </c>
      <c r="AM274">
        <f>INDEX($T$179:$T$306,AF274+1)</f>
        <v/>
      </c>
      <c r="AN274">
        <f>INDEX($U$179:$U$306,AG274+1)</f>
        <v/>
      </c>
      <c r="AO274">
        <f>INDEX($V$179:$V$306,AH274+1)</f>
        <v/>
      </c>
      <c r="AP274">
        <f>INDEX($W$179:$W$306,AI274+1)</f>
        <v/>
      </c>
      <c r="AQ274">
        <f>IF(Q274&gt;=AJ274-0.01,1,0)</f>
        <v/>
      </c>
      <c r="AR274">
        <f>IF(R274&gt;=AK274-0.01,1,0)</f>
        <v/>
      </c>
      <c r="AS274">
        <f>IF(S274&gt;=AL274-0.01,1,0)</f>
        <v/>
      </c>
      <c r="AT274">
        <f>IF(T274&gt;=AM274-0.01,1,0)</f>
        <v/>
      </c>
      <c r="AU274">
        <f>IF(U274&gt;=AN274-0.01,1,0)</f>
        <v/>
      </c>
      <c r="AV274">
        <f>IF(V274&gt;=AO274-0.01,1,0)</f>
        <v/>
      </c>
      <c r="AW274">
        <f>IF(W274&gt;=AP274-0.01,1,0)</f>
        <v/>
      </c>
      <c r="AX274">
        <f>AQ274*AR274*AS274*AT274*AU274*AV274*AW274</f>
        <v/>
      </c>
      <c r="AY274">
        <f>Assumptions!$B$41</f>
        <v/>
      </c>
      <c r="AZ274">
        <f>Assumptions!$B$33</f>
        <v/>
      </c>
      <c r="BA274">
        <f>Assumptions!$B$32</f>
        <v/>
      </c>
      <c r="BB274">
        <f>Assumptions!$B$31</f>
        <v/>
      </c>
      <c r="BC274">
        <f>Assumptions!$B$30</f>
        <v/>
      </c>
      <c r="BD274">
        <f>Assumptions!$B$29</f>
        <v/>
      </c>
      <c r="BE274">
        <f>Assumptions!$B$28</f>
        <v/>
      </c>
      <c r="BF274">
        <f>P274*Assumptions!$B$141</f>
        <v/>
      </c>
      <c r="BG274">
        <f>P274*Assumptions!$B$128</f>
        <v/>
      </c>
      <c r="BH274">
        <f>P274*Assumptions!$B$129</f>
        <v/>
      </c>
      <c r="BI274">
        <f>P274*Assumptions!$B$14</f>
        <v/>
      </c>
      <c r="BJ274">
        <f>P274*Assumptions!$B$13</f>
        <v/>
      </c>
      <c r="BK274">
        <f>P274*Assumptions!$B$12</f>
        <v/>
      </c>
      <c r="BL274">
        <f>P274*Assumptions!$B$11</f>
        <v/>
      </c>
    </row>
    <row r="275">
      <c r="A275" t="inlineStr">
        <is>
          <t>1200M</t>
        </is>
      </c>
      <c r="B275">
        <f>Assumptions!$B$59</f>
        <v/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>
        <f>(1-C275)*Assumptions!$B$41+(1-D275)*Assumptions!$B$33+(1-E275)*Assumptions!$B$32+(1-F275)*Assumptions!$B$31+(1-G275)*Assumptions!$B$30+(1-H275)*Assumptions!$B$29+(1-I275)*Assumptions!$B$28</f>
        <v/>
      </c>
      <c r="K275">
        <f>C275*Assumptions!$B$141+D275*Assumptions!$B$128+E275*Assumptions!$B$129+F275*Assumptions!$B$14+G275*Assumptions!$B$13+H275*Assumptions!$B$12+I275*Assumptions!$B$11+Assumptions!$B$133+Assumptions!$B$137+Assumptions!$B$9</f>
        <v/>
      </c>
      <c r="L275">
        <f>B275-J275</f>
        <v/>
      </c>
      <c r="M275">
        <f>IF(K275&gt;0,IF(L275/K275&gt;=Assumptions!$B$37,1,0),0)</f>
        <v/>
      </c>
      <c r="N275">
        <f>K275+M275*Assumptions!$B$153</f>
        <v/>
      </c>
      <c r="O275">
        <f>L275+M275*Assumptions!$B$153*Assumptions!$B$37</f>
        <v/>
      </c>
      <c r="P275">
        <f>IF(N275&gt;0,O275/N275,0)</f>
        <v/>
      </c>
      <c r="Q275">
        <f>IF(C275=1,P275*Assumptions!$B$141,Assumptions!$B$41)</f>
        <v/>
      </c>
      <c r="R275">
        <f>IF(D275=1,P275*Assumptions!$B$128,Assumptions!$B$33)</f>
        <v/>
      </c>
      <c r="S275">
        <f>IF(E275=1,P275*Assumptions!$B$129,Assumptions!$B$32)</f>
        <v/>
      </c>
      <c r="T275">
        <f>IF(F275=1,P275*Assumptions!$B$14,Assumptions!$B$31)</f>
        <v/>
      </c>
      <c r="U275">
        <f>IF(G275=1,P275*Assumptions!$B$13,Assumptions!$B$30)</f>
        <v/>
      </c>
      <c r="V275">
        <f>IF(H275=1,P275*Assumptions!$B$12,Assumptions!$B$29)</f>
        <v/>
      </c>
      <c r="W275">
        <f>IF(I275=1,P275*Assumptions!$B$11,Assumptions!$B$28)</f>
        <v/>
      </c>
      <c r="X275">
        <f>P275*(Assumptions!$B$133+Assumptions!$B$137)</f>
        <v/>
      </c>
      <c r="Y275">
        <f>P275*Assumptions!$B$9</f>
        <v/>
      </c>
      <c r="Z275">
        <f>IF(M275=1,(P275-Assumptions!$B$37)*Assumptions!$B$153,0)</f>
        <v/>
      </c>
      <c r="AA275">
        <f>Q275+R275+S275+T275+U275+V275+W275+X275+Y275+Z275</f>
        <v/>
      </c>
      <c r="AB275" t="n">
        <v>96</v>
      </c>
      <c r="AC275" t="n">
        <v>32</v>
      </c>
      <c r="AD275" t="n">
        <v>64</v>
      </c>
      <c r="AE275" t="n">
        <v>112</v>
      </c>
      <c r="AF275" t="n">
        <v>104</v>
      </c>
      <c r="AG275" t="n">
        <v>100</v>
      </c>
      <c r="AH275" t="n">
        <v>98</v>
      </c>
      <c r="AI275" t="n">
        <v>97</v>
      </c>
      <c r="AJ275">
        <f>INDEX($Q$179:$Q$306,AC275+1)</f>
        <v/>
      </c>
      <c r="AK275">
        <f>INDEX($R$179:$R$306,AD275+1)</f>
        <v/>
      </c>
      <c r="AL275">
        <f>INDEX($S$179:$S$306,AE275+1)</f>
        <v/>
      </c>
      <c r="AM275">
        <f>INDEX($T$179:$T$306,AF275+1)</f>
        <v/>
      </c>
      <c r="AN275">
        <f>INDEX($U$179:$U$306,AG275+1)</f>
        <v/>
      </c>
      <c r="AO275">
        <f>INDEX($V$179:$V$306,AH275+1)</f>
        <v/>
      </c>
      <c r="AP275">
        <f>INDEX($W$179:$W$306,AI275+1)</f>
        <v/>
      </c>
      <c r="AQ275">
        <f>IF(Q275&gt;=AJ275-0.01,1,0)</f>
        <v/>
      </c>
      <c r="AR275">
        <f>IF(R275&gt;=AK275-0.01,1,0)</f>
        <v/>
      </c>
      <c r="AS275">
        <f>IF(S275&gt;=AL275-0.01,1,0)</f>
        <v/>
      </c>
      <c r="AT275">
        <f>IF(T275&gt;=AM275-0.01,1,0)</f>
        <v/>
      </c>
      <c r="AU275">
        <f>IF(U275&gt;=AN275-0.01,1,0)</f>
        <v/>
      </c>
      <c r="AV275">
        <f>IF(V275&gt;=AO275-0.01,1,0)</f>
        <v/>
      </c>
      <c r="AW275">
        <f>IF(W275&gt;=AP275-0.01,1,0)</f>
        <v/>
      </c>
      <c r="AX275">
        <f>AQ275*AR275*AS275*AT275*AU275*AV275*AW275</f>
        <v/>
      </c>
      <c r="AY275">
        <f>Assumptions!$B$41</f>
        <v/>
      </c>
      <c r="AZ275">
        <f>Assumptions!$B$33</f>
        <v/>
      </c>
      <c r="BA275">
        <f>Assumptions!$B$32</f>
        <v/>
      </c>
      <c r="BB275">
        <f>Assumptions!$B$31</f>
        <v/>
      </c>
      <c r="BC275">
        <f>Assumptions!$B$30</f>
        <v/>
      </c>
      <c r="BD275">
        <f>Assumptions!$B$29</f>
        <v/>
      </c>
      <c r="BE275">
        <f>Assumptions!$B$28</f>
        <v/>
      </c>
      <c r="BF275">
        <f>P275*Assumptions!$B$141</f>
        <v/>
      </c>
      <c r="BG275">
        <f>P275*Assumptions!$B$128</f>
        <v/>
      </c>
      <c r="BH275">
        <f>P275*Assumptions!$B$129</f>
        <v/>
      </c>
      <c r="BI275">
        <f>P275*Assumptions!$B$14</f>
        <v/>
      </c>
      <c r="BJ275">
        <f>P275*Assumptions!$B$13</f>
        <v/>
      </c>
      <c r="BK275">
        <f>P275*Assumptions!$B$12</f>
        <v/>
      </c>
      <c r="BL275">
        <f>P275*Assumptions!$B$11</f>
        <v/>
      </c>
    </row>
    <row r="276">
      <c r="A276" t="inlineStr">
        <is>
          <t>1200M</t>
        </is>
      </c>
      <c r="B276">
        <f>Assumptions!$B$59</f>
        <v/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>
        <f>(1-C276)*Assumptions!$B$41+(1-D276)*Assumptions!$B$33+(1-E276)*Assumptions!$B$32+(1-F276)*Assumptions!$B$31+(1-G276)*Assumptions!$B$30+(1-H276)*Assumptions!$B$29+(1-I276)*Assumptions!$B$28</f>
        <v/>
      </c>
      <c r="K276">
        <f>C276*Assumptions!$B$141+D276*Assumptions!$B$128+E276*Assumptions!$B$129+F276*Assumptions!$B$14+G276*Assumptions!$B$13+H276*Assumptions!$B$12+I276*Assumptions!$B$11+Assumptions!$B$133+Assumptions!$B$137+Assumptions!$B$9</f>
        <v/>
      </c>
      <c r="L276">
        <f>B276-J276</f>
        <v/>
      </c>
      <c r="M276">
        <f>IF(K276&gt;0,IF(L276/K276&gt;=Assumptions!$B$37,1,0),0)</f>
        <v/>
      </c>
      <c r="N276">
        <f>K276+M276*Assumptions!$B$153</f>
        <v/>
      </c>
      <c r="O276">
        <f>L276+M276*Assumptions!$B$153*Assumptions!$B$37</f>
        <v/>
      </c>
      <c r="P276">
        <f>IF(N276&gt;0,O276/N276,0)</f>
        <v/>
      </c>
      <c r="Q276">
        <f>IF(C276=1,P276*Assumptions!$B$141,Assumptions!$B$41)</f>
        <v/>
      </c>
      <c r="R276">
        <f>IF(D276=1,P276*Assumptions!$B$128,Assumptions!$B$33)</f>
        <v/>
      </c>
      <c r="S276">
        <f>IF(E276=1,P276*Assumptions!$B$129,Assumptions!$B$32)</f>
        <v/>
      </c>
      <c r="T276">
        <f>IF(F276=1,P276*Assumptions!$B$14,Assumptions!$B$31)</f>
        <v/>
      </c>
      <c r="U276">
        <f>IF(G276=1,P276*Assumptions!$B$13,Assumptions!$B$30)</f>
        <v/>
      </c>
      <c r="V276">
        <f>IF(H276=1,P276*Assumptions!$B$12,Assumptions!$B$29)</f>
        <v/>
      </c>
      <c r="W276">
        <f>IF(I276=1,P276*Assumptions!$B$11,Assumptions!$B$28)</f>
        <v/>
      </c>
      <c r="X276">
        <f>P276*(Assumptions!$B$133+Assumptions!$B$137)</f>
        <v/>
      </c>
      <c r="Y276">
        <f>P276*Assumptions!$B$9</f>
        <v/>
      </c>
      <c r="Z276">
        <f>IF(M276=1,(P276-Assumptions!$B$37)*Assumptions!$B$153,0)</f>
        <v/>
      </c>
      <c r="AA276">
        <f>Q276+R276+S276+T276+U276+V276+W276+X276+Y276+Z276</f>
        <v/>
      </c>
      <c r="AB276" t="n">
        <v>97</v>
      </c>
      <c r="AC276" t="n">
        <v>33</v>
      </c>
      <c r="AD276" t="n">
        <v>65</v>
      </c>
      <c r="AE276" t="n">
        <v>113</v>
      </c>
      <c r="AF276" t="n">
        <v>105</v>
      </c>
      <c r="AG276" t="n">
        <v>101</v>
      </c>
      <c r="AH276" t="n">
        <v>99</v>
      </c>
      <c r="AI276" t="n">
        <v>96</v>
      </c>
      <c r="AJ276">
        <f>INDEX($Q$179:$Q$306,AC276+1)</f>
        <v/>
      </c>
      <c r="AK276">
        <f>INDEX($R$179:$R$306,AD276+1)</f>
        <v/>
      </c>
      <c r="AL276">
        <f>INDEX($S$179:$S$306,AE276+1)</f>
        <v/>
      </c>
      <c r="AM276">
        <f>INDEX($T$179:$T$306,AF276+1)</f>
        <v/>
      </c>
      <c r="AN276">
        <f>INDEX($U$179:$U$306,AG276+1)</f>
        <v/>
      </c>
      <c r="AO276">
        <f>INDEX($V$179:$V$306,AH276+1)</f>
        <v/>
      </c>
      <c r="AP276">
        <f>INDEX($W$179:$W$306,AI276+1)</f>
        <v/>
      </c>
      <c r="AQ276">
        <f>IF(Q276&gt;=AJ276-0.01,1,0)</f>
        <v/>
      </c>
      <c r="AR276">
        <f>IF(R276&gt;=AK276-0.01,1,0)</f>
        <v/>
      </c>
      <c r="AS276">
        <f>IF(S276&gt;=AL276-0.01,1,0)</f>
        <v/>
      </c>
      <c r="AT276">
        <f>IF(T276&gt;=AM276-0.01,1,0)</f>
        <v/>
      </c>
      <c r="AU276">
        <f>IF(U276&gt;=AN276-0.01,1,0)</f>
        <v/>
      </c>
      <c r="AV276">
        <f>IF(V276&gt;=AO276-0.01,1,0)</f>
        <v/>
      </c>
      <c r="AW276">
        <f>IF(W276&gt;=AP276-0.01,1,0)</f>
        <v/>
      </c>
      <c r="AX276">
        <f>AQ276*AR276*AS276*AT276*AU276*AV276*AW276</f>
        <v/>
      </c>
      <c r="AY276">
        <f>Assumptions!$B$41</f>
        <v/>
      </c>
      <c r="AZ276">
        <f>Assumptions!$B$33</f>
        <v/>
      </c>
      <c r="BA276">
        <f>Assumptions!$B$32</f>
        <v/>
      </c>
      <c r="BB276">
        <f>Assumptions!$B$31</f>
        <v/>
      </c>
      <c r="BC276">
        <f>Assumptions!$B$30</f>
        <v/>
      </c>
      <c r="BD276">
        <f>Assumptions!$B$29</f>
        <v/>
      </c>
      <c r="BE276">
        <f>Assumptions!$B$28</f>
        <v/>
      </c>
      <c r="BF276">
        <f>P276*Assumptions!$B$141</f>
        <v/>
      </c>
      <c r="BG276">
        <f>P276*Assumptions!$B$128</f>
        <v/>
      </c>
      <c r="BH276">
        <f>P276*Assumptions!$B$129</f>
        <v/>
      </c>
      <c r="BI276">
        <f>P276*Assumptions!$B$14</f>
        <v/>
      </c>
      <c r="BJ276">
        <f>P276*Assumptions!$B$13</f>
        <v/>
      </c>
      <c r="BK276">
        <f>P276*Assumptions!$B$12</f>
        <v/>
      </c>
      <c r="BL276">
        <f>P276*Assumptions!$B$11</f>
        <v/>
      </c>
    </row>
    <row r="277">
      <c r="A277" t="inlineStr">
        <is>
          <t>1200M</t>
        </is>
      </c>
      <c r="B277">
        <f>Assumptions!$B$59</f>
        <v/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>
        <f>(1-C277)*Assumptions!$B$41+(1-D277)*Assumptions!$B$33+(1-E277)*Assumptions!$B$32+(1-F277)*Assumptions!$B$31+(1-G277)*Assumptions!$B$30+(1-H277)*Assumptions!$B$29+(1-I277)*Assumptions!$B$28</f>
        <v/>
      </c>
      <c r="K277">
        <f>C277*Assumptions!$B$141+D277*Assumptions!$B$128+E277*Assumptions!$B$129+F277*Assumptions!$B$14+G277*Assumptions!$B$13+H277*Assumptions!$B$12+I277*Assumptions!$B$11+Assumptions!$B$133+Assumptions!$B$137+Assumptions!$B$9</f>
        <v/>
      </c>
      <c r="L277">
        <f>B277-J277</f>
        <v/>
      </c>
      <c r="M277">
        <f>IF(K277&gt;0,IF(L277/K277&gt;=Assumptions!$B$37,1,0),0)</f>
        <v/>
      </c>
      <c r="N277">
        <f>K277+M277*Assumptions!$B$153</f>
        <v/>
      </c>
      <c r="O277">
        <f>L277+M277*Assumptions!$B$153*Assumptions!$B$37</f>
        <v/>
      </c>
      <c r="P277">
        <f>IF(N277&gt;0,O277/N277,0)</f>
        <v/>
      </c>
      <c r="Q277">
        <f>IF(C277=1,P277*Assumptions!$B$141,Assumptions!$B$41)</f>
        <v/>
      </c>
      <c r="R277">
        <f>IF(D277=1,P277*Assumptions!$B$128,Assumptions!$B$33)</f>
        <v/>
      </c>
      <c r="S277">
        <f>IF(E277=1,P277*Assumptions!$B$129,Assumptions!$B$32)</f>
        <v/>
      </c>
      <c r="T277">
        <f>IF(F277=1,P277*Assumptions!$B$14,Assumptions!$B$31)</f>
        <v/>
      </c>
      <c r="U277">
        <f>IF(G277=1,P277*Assumptions!$B$13,Assumptions!$B$30)</f>
        <v/>
      </c>
      <c r="V277">
        <f>IF(H277=1,P277*Assumptions!$B$12,Assumptions!$B$29)</f>
        <v/>
      </c>
      <c r="W277">
        <f>IF(I277=1,P277*Assumptions!$B$11,Assumptions!$B$28)</f>
        <v/>
      </c>
      <c r="X277">
        <f>P277*(Assumptions!$B$133+Assumptions!$B$137)</f>
        <v/>
      </c>
      <c r="Y277">
        <f>P277*Assumptions!$B$9</f>
        <v/>
      </c>
      <c r="Z277">
        <f>IF(M277=1,(P277-Assumptions!$B$37)*Assumptions!$B$153,0)</f>
        <v/>
      </c>
      <c r="AA277">
        <f>Q277+R277+S277+T277+U277+V277+W277+X277+Y277+Z277</f>
        <v/>
      </c>
      <c r="AB277" t="n">
        <v>98</v>
      </c>
      <c r="AC277" t="n">
        <v>34</v>
      </c>
      <c r="AD277" t="n">
        <v>66</v>
      </c>
      <c r="AE277" t="n">
        <v>114</v>
      </c>
      <c r="AF277" t="n">
        <v>106</v>
      </c>
      <c r="AG277" t="n">
        <v>102</v>
      </c>
      <c r="AH277" t="n">
        <v>96</v>
      </c>
      <c r="AI277" t="n">
        <v>99</v>
      </c>
      <c r="AJ277">
        <f>INDEX($Q$179:$Q$306,AC277+1)</f>
        <v/>
      </c>
      <c r="AK277">
        <f>INDEX($R$179:$R$306,AD277+1)</f>
        <v/>
      </c>
      <c r="AL277">
        <f>INDEX($S$179:$S$306,AE277+1)</f>
        <v/>
      </c>
      <c r="AM277">
        <f>INDEX($T$179:$T$306,AF277+1)</f>
        <v/>
      </c>
      <c r="AN277">
        <f>INDEX($U$179:$U$306,AG277+1)</f>
        <v/>
      </c>
      <c r="AO277">
        <f>INDEX($V$179:$V$306,AH277+1)</f>
        <v/>
      </c>
      <c r="AP277">
        <f>INDEX($W$179:$W$306,AI277+1)</f>
        <v/>
      </c>
      <c r="AQ277">
        <f>IF(Q277&gt;=AJ277-0.01,1,0)</f>
        <v/>
      </c>
      <c r="AR277">
        <f>IF(R277&gt;=AK277-0.01,1,0)</f>
        <v/>
      </c>
      <c r="AS277">
        <f>IF(S277&gt;=AL277-0.01,1,0)</f>
        <v/>
      </c>
      <c r="AT277">
        <f>IF(T277&gt;=AM277-0.01,1,0)</f>
        <v/>
      </c>
      <c r="AU277">
        <f>IF(U277&gt;=AN277-0.01,1,0)</f>
        <v/>
      </c>
      <c r="AV277">
        <f>IF(V277&gt;=AO277-0.01,1,0)</f>
        <v/>
      </c>
      <c r="AW277">
        <f>IF(W277&gt;=AP277-0.01,1,0)</f>
        <v/>
      </c>
      <c r="AX277">
        <f>AQ277*AR277*AS277*AT277*AU277*AV277*AW277</f>
        <v/>
      </c>
      <c r="AY277">
        <f>Assumptions!$B$41</f>
        <v/>
      </c>
      <c r="AZ277">
        <f>Assumptions!$B$33</f>
        <v/>
      </c>
      <c r="BA277">
        <f>Assumptions!$B$32</f>
        <v/>
      </c>
      <c r="BB277">
        <f>Assumptions!$B$31</f>
        <v/>
      </c>
      <c r="BC277">
        <f>Assumptions!$B$30</f>
        <v/>
      </c>
      <c r="BD277">
        <f>Assumptions!$B$29</f>
        <v/>
      </c>
      <c r="BE277">
        <f>Assumptions!$B$28</f>
        <v/>
      </c>
      <c r="BF277">
        <f>P277*Assumptions!$B$141</f>
        <v/>
      </c>
      <c r="BG277">
        <f>P277*Assumptions!$B$128</f>
        <v/>
      </c>
      <c r="BH277">
        <f>P277*Assumptions!$B$129</f>
        <v/>
      </c>
      <c r="BI277">
        <f>P277*Assumptions!$B$14</f>
        <v/>
      </c>
      <c r="BJ277">
        <f>P277*Assumptions!$B$13</f>
        <v/>
      </c>
      <c r="BK277">
        <f>P277*Assumptions!$B$12</f>
        <v/>
      </c>
      <c r="BL277">
        <f>P277*Assumptions!$B$11</f>
        <v/>
      </c>
    </row>
    <row r="278">
      <c r="A278" t="inlineStr">
        <is>
          <t>1200M</t>
        </is>
      </c>
      <c r="B278">
        <f>Assumptions!$B$59</f>
        <v/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>
        <f>(1-C278)*Assumptions!$B$41+(1-D278)*Assumptions!$B$33+(1-E278)*Assumptions!$B$32+(1-F278)*Assumptions!$B$31+(1-G278)*Assumptions!$B$30+(1-H278)*Assumptions!$B$29+(1-I278)*Assumptions!$B$28</f>
        <v/>
      </c>
      <c r="K278">
        <f>C278*Assumptions!$B$141+D278*Assumptions!$B$128+E278*Assumptions!$B$129+F278*Assumptions!$B$14+G278*Assumptions!$B$13+H278*Assumptions!$B$12+I278*Assumptions!$B$11+Assumptions!$B$133+Assumptions!$B$137+Assumptions!$B$9</f>
        <v/>
      </c>
      <c r="L278">
        <f>B278-J278</f>
        <v/>
      </c>
      <c r="M278">
        <f>IF(K278&gt;0,IF(L278/K278&gt;=Assumptions!$B$37,1,0),0)</f>
        <v/>
      </c>
      <c r="N278">
        <f>K278+M278*Assumptions!$B$153</f>
        <v/>
      </c>
      <c r="O278">
        <f>L278+M278*Assumptions!$B$153*Assumptions!$B$37</f>
        <v/>
      </c>
      <c r="P278">
        <f>IF(N278&gt;0,O278/N278,0)</f>
        <v/>
      </c>
      <c r="Q278">
        <f>IF(C278=1,P278*Assumptions!$B$141,Assumptions!$B$41)</f>
        <v/>
      </c>
      <c r="R278">
        <f>IF(D278=1,P278*Assumptions!$B$128,Assumptions!$B$33)</f>
        <v/>
      </c>
      <c r="S278">
        <f>IF(E278=1,P278*Assumptions!$B$129,Assumptions!$B$32)</f>
        <v/>
      </c>
      <c r="T278">
        <f>IF(F278=1,P278*Assumptions!$B$14,Assumptions!$B$31)</f>
        <v/>
      </c>
      <c r="U278">
        <f>IF(G278=1,P278*Assumptions!$B$13,Assumptions!$B$30)</f>
        <v/>
      </c>
      <c r="V278">
        <f>IF(H278=1,P278*Assumptions!$B$12,Assumptions!$B$29)</f>
        <v/>
      </c>
      <c r="W278">
        <f>IF(I278=1,P278*Assumptions!$B$11,Assumptions!$B$28)</f>
        <v/>
      </c>
      <c r="X278">
        <f>P278*(Assumptions!$B$133+Assumptions!$B$137)</f>
        <v/>
      </c>
      <c r="Y278">
        <f>P278*Assumptions!$B$9</f>
        <v/>
      </c>
      <c r="Z278">
        <f>IF(M278=1,(P278-Assumptions!$B$37)*Assumptions!$B$153,0)</f>
        <v/>
      </c>
      <c r="AA278">
        <f>Q278+R278+S278+T278+U278+V278+W278+X278+Y278+Z278</f>
        <v/>
      </c>
      <c r="AB278" t="n">
        <v>99</v>
      </c>
      <c r="AC278" t="n">
        <v>35</v>
      </c>
      <c r="AD278" t="n">
        <v>67</v>
      </c>
      <c r="AE278" t="n">
        <v>115</v>
      </c>
      <c r="AF278" t="n">
        <v>107</v>
      </c>
      <c r="AG278" t="n">
        <v>103</v>
      </c>
      <c r="AH278" t="n">
        <v>97</v>
      </c>
      <c r="AI278" t="n">
        <v>98</v>
      </c>
      <c r="AJ278">
        <f>INDEX($Q$179:$Q$306,AC278+1)</f>
        <v/>
      </c>
      <c r="AK278">
        <f>INDEX($R$179:$R$306,AD278+1)</f>
        <v/>
      </c>
      <c r="AL278">
        <f>INDEX($S$179:$S$306,AE278+1)</f>
        <v/>
      </c>
      <c r="AM278">
        <f>INDEX($T$179:$T$306,AF278+1)</f>
        <v/>
      </c>
      <c r="AN278">
        <f>INDEX($U$179:$U$306,AG278+1)</f>
        <v/>
      </c>
      <c r="AO278">
        <f>INDEX($V$179:$V$306,AH278+1)</f>
        <v/>
      </c>
      <c r="AP278">
        <f>INDEX($W$179:$W$306,AI278+1)</f>
        <v/>
      </c>
      <c r="AQ278">
        <f>IF(Q278&gt;=AJ278-0.01,1,0)</f>
        <v/>
      </c>
      <c r="AR278">
        <f>IF(R278&gt;=AK278-0.01,1,0)</f>
        <v/>
      </c>
      <c r="AS278">
        <f>IF(S278&gt;=AL278-0.01,1,0)</f>
        <v/>
      </c>
      <c r="AT278">
        <f>IF(T278&gt;=AM278-0.01,1,0)</f>
        <v/>
      </c>
      <c r="AU278">
        <f>IF(U278&gt;=AN278-0.01,1,0)</f>
        <v/>
      </c>
      <c r="AV278">
        <f>IF(V278&gt;=AO278-0.01,1,0)</f>
        <v/>
      </c>
      <c r="AW278">
        <f>IF(W278&gt;=AP278-0.01,1,0)</f>
        <v/>
      </c>
      <c r="AX278">
        <f>AQ278*AR278*AS278*AT278*AU278*AV278*AW278</f>
        <v/>
      </c>
      <c r="AY278">
        <f>Assumptions!$B$41</f>
        <v/>
      </c>
      <c r="AZ278">
        <f>Assumptions!$B$33</f>
        <v/>
      </c>
      <c r="BA278">
        <f>Assumptions!$B$32</f>
        <v/>
      </c>
      <c r="BB278">
        <f>Assumptions!$B$31</f>
        <v/>
      </c>
      <c r="BC278">
        <f>Assumptions!$B$30</f>
        <v/>
      </c>
      <c r="BD278">
        <f>Assumptions!$B$29</f>
        <v/>
      </c>
      <c r="BE278">
        <f>Assumptions!$B$28</f>
        <v/>
      </c>
      <c r="BF278">
        <f>P278*Assumptions!$B$141</f>
        <v/>
      </c>
      <c r="BG278">
        <f>P278*Assumptions!$B$128</f>
        <v/>
      </c>
      <c r="BH278">
        <f>P278*Assumptions!$B$129</f>
        <v/>
      </c>
      <c r="BI278">
        <f>P278*Assumptions!$B$14</f>
        <v/>
      </c>
      <c r="BJ278">
        <f>P278*Assumptions!$B$13</f>
        <v/>
      </c>
      <c r="BK278">
        <f>P278*Assumptions!$B$12</f>
        <v/>
      </c>
      <c r="BL278">
        <f>P278*Assumptions!$B$11</f>
        <v/>
      </c>
    </row>
    <row r="279">
      <c r="A279" t="inlineStr">
        <is>
          <t>1200M</t>
        </is>
      </c>
      <c r="B279">
        <f>Assumptions!$B$59</f>
        <v/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>
        <f>(1-C279)*Assumptions!$B$41+(1-D279)*Assumptions!$B$33+(1-E279)*Assumptions!$B$32+(1-F279)*Assumptions!$B$31+(1-G279)*Assumptions!$B$30+(1-H279)*Assumptions!$B$29+(1-I279)*Assumptions!$B$28</f>
        <v/>
      </c>
      <c r="K279">
        <f>C279*Assumptions!$B$141+D279*Assumptions!$B$128+E279*Assumptions!$B$129+F279*Assumptions!$B$14+G279*Assumptions!$B$13+H279*Assumptions!$B$12+I279*Assumptions!$B$11+Assumptions!$B$133+Assumptions!$B$137+Assumptions!$B$9</f>
        <v/>
      </c>
      <c r="L279">
        <f>B279-J279</f>
        <v/>
      </c>
      <c r="M279">
        <f>IF(K279&gt;0,IF(L279/K279&gt;=Assumptions!$B$37,1,0),0)</f>
        <v/>
      </c>
      <c r="N279">
        <f>K279+M279*Assumptions!$B$153</f>
        <v/>
      </c>
      <c r="O279">
        <f>L279+M279*Assumptions!$B$153*Assumptions!$B$37</f>
        <v/>
      </c>
      <c r="P279">
        <f>IF(N279&gt;0,O279/N279,0)</f>
        <v/>
      </c>
      <c r="Q279">
        <f>IF(C279=1,P279*Assumptions!$B$141,Assumptions!$B$41)</f>
        <v/>
      </c>
      <c r="R279">
        <f>IF(D279=1,P279*Assumptions!$B$128,Assumptions!$B$33)</f>
        <v/>
      </c>
      <c r="S279">
        <f>IF(E279=1,P279*Assumptions!$B$129,Assumptions!$B$32)</f>
        <v/>
      </c>
      <c r="T279">
        <f>IF(F279=1,P279*Assumptions!$B$14,Assumptions!$B$31)</f>
        <v/>
      </c>
      <c r="U279">
        <f>IF(G279=1,P279*Assumptions!$B$13,Assumptions!$B$30)</f>
        <v/>
      </c>
      <c r="V279">
        <f>IF(H279=1,P279*Assumptions!$B$12,Assumptions!$B$29)</f>
        <v/>
      </c>
      <c r="W279">
        <f>IF(I279=1,P279*Assumptions!$B$11,Assumptions!$B$28)</f>
        <v/>
      </c>
      <c r="X279">
        <f>P279*(Assumptions!$B$133+Assumptions!$B$137)</f>
        <v/>
      </c>
      <c r="Y279">
        <f>P279*Assumptions!$B$9</f>
        <v/>
      </c>
      <c r="Z279">
        <f>IF(M279=1,(P279-Assumptions!$B$37)*Assumptions!$B$153,0)</f>
        <v/>
      </c>
      <c r="AA279">
        <f>Q279+R279+S279+T279+U279+V279+W279+X279+Y279+Z279</f>
        <v/>
      </c>
      <c r="AB279" t="n">
        <v>100</v>
      </c>
      <c r="AC279" t="n">
        <v>36</v>
      </c>
      <c r="AD279" t="n">
        <v>68</v>
      </c>
      <c r="AE279" t="n">
        <v>116</v>
      </c>
      <c r="AF279" t="n">
        <v>108</v>
      </c>
      <c r="AG279" t="n">
        <v>96</v>
      </c>
      <c r="AH279" t="n">
        <v>102</v>
      </c>
      <c r="AI279" t="n">
        <v>101</v>
      </c>
      <c r="AJ279">
        <f>INDEX($Q$179:$Q$306,AC279+1)</f>
        <v/>
      </c>
      <c r="AK279">
        <f>INDEX($R$179:$R$306,AD279+1)</f>
        <v/>
      </c>
      <c r="AL279">
        <f>INDEX($S$179:$S$306,AE279+1)</f>
        <v/>
      </c>
      <c r="AM279">
        <f>INDEX($T$179:$T$306,AF279+1)</f>
        <v/>
      </c>
      <c r="AN279">
        <f>INDEX($U$179:$U$306,AG279+1)</f>
        <v/>
      </c>
      <c r="AO279">
        <f>INDEX($V$179:$V$306,AH279+1)</f>
        <v/>
      </c>
      <c r="AP279">
        <f>INDEX($W$179:$W$306,AI279+1)</f>
        <v/>
      </c>
      <c r="AQ279">
        <f>IF(Q279&gt;=AJ279-0.01,1,0)</f>
        <v/>
      </c>
      <c r="AR279">
        <f>IF(R279&gt;=AK279-0.01,1,0)</f>
        <v/>
      </c>
      <c r="AS279">
        <f>IF(S279&gt;=AL279-0.01,1,0)</f>
        <v/>
      </c>
      <c r="AT279">
        <f>IF(T279&gt;=AM279-0.01,1,0)</f>
        <v/>
      </c>
      <c r="AU279">
        <f>IF(U279&gt;=AN279-0.01,1,0)</f>
        <v/>
      </c>
      <c r="AV279">
        <f>IF(V279&gt;=AO279-0.01,1,0)</f>
        <v/>
      </c>
      <c r="AW279">
        <f>IF(W279&gt;=AP279-0.01,1,0)</f>
        <v/>
      </c>
      <c r="AX279">
        <f>AQ279*AR279*AS279*AT279*AU279*AV279*AW279</f>
        <v/>
      </c>
      <c r="AY279">
        <f>Assumptions!$B$41</f>
        <v/>
      </c>
      <c r="AZ279">
        <f>Assumptions!$B$33</f>
        <v/>
      </c>
      <c r="BA279">
        <f>Assumptions!$B$32</f>
        <v/>
      </c>
      <c r="BB279">
        <f>Assumptions!$B$31</f>
        <v/>
      </c>
      <c r="BC279">
        <f>Assumptions!$B$30</f>
        <v/>
      </c>
      <c r="BD279">
        <f>Assumptions!$B$29</f>
        <v/>
      </c>
      <c r="BE279">
        <f>Assumptions!$B$28</f>
        <v/>
      </c>
      <c r="BF279">
        <f>P279*Assumptions!$B$141</f>
        <v/>
      </c>
      <c r="BG279">
        <f>P279*Assumptions!$B$128</f>
        <v/>
      </c>
      <c r="BH279">
        <f>P279*Assumptions!$B$129</f>
        <v/>
      </c>
      <c r="BI279">
        <f>P279*Assumptions!$B$14</f>
        <v/>
      </c>
      <c r="BJ279">
        <f>P279*Assumptions!$B$13</f>
        <v/>
      </c>
      <c r="BK279">
        <f>P279*Assumptions!$B$12</f>
        <v/>
      </c>
      <c r="BL279">
        <f>P279*Assumptions!$B$11</f>
        <v/>
      </c>
    </row>
    <row r="280">
      <c r="A280" t="inlineStr">
        <is>
          <t>1200M</t>
        </is>
      </c>
      <c r="B280">
        <f>Assumptions!$B$59</f>
        <v/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>
        <f>(1-C280)*Assumptions!$B$41+(1-D280)*Assumptions!$B$33+(1-E280)*Assumptions!$B$32+(1-F280)*Assumptions!$B$31+(1-G280)*Assumptions!$B$30+(1-H280)*Assumptions!$B$29+(1-I280)*Assumptions!$B$28</f>
        <v/>
      </c>
      <c r="K280">
        <f>C280*Assumptions!$B$141+D280*Assumptions!$B$128+E280*Assumptions!$B$129+F280*Assumptions!$B$14+G280*Assumptions!$B$13+H280*Assumptions!$B$12+I280*Assumptions!$B$11+Assumptions!$B$133+Assumptions!$B$137+Assumptions!$B$9</f>
        <v/>
      </c>
      <c r="L280">
        <f>B280-J280</f>
        <v/>
      </c>
      <c r="M280">
        <f>IF(K280&gt;0,IF(L280/K280&gt;=Assumptions!$B$37,1,0),0)</f>
        <v/>
      </c>
      <c r="N280">
        <f>K280+M280*Assumptions!$B$153</f>
        <v/>
      </c>
      <c r="O280">
        <f>L280+M280*Assumptions!$B$153*Assumptions!$B$37</f>
        <v/>
      </c>
      <c r="P280">
        <f>IF(N280&gt;0,O280/N280,0)</f>
        <v/>
      </c>
      <c r="Q280">
        <f>IF(C280=1,P280*Assumptions!$B$141,Assumptions!$B$41)</f>
        <v/>
      </c>
      <c r="R280">
        <f>IF(D280=1,P280*Assumptions!$B$128,Assumptions!$B$33)</f>
        <v/>
      </c>
      <c r="S280">
        <f>IF(E280=1,P280*Assumptions!$B$129,Assumptions!$B$32)</f>
        <v/>
      </c>
      <c r="T280">
        <f>IF(F280=1,P280*Assumptions!$B$14,Assumptions!$B$31)</f>
        <v/>
      </c>
      <c r="U280">
        <f>IF(G280=1,P280*Assumptions!$B$13,Assumptions!$B$30)</f>
        <v/>
      </c>
      <c r="V280">
        <f>IF(H280=1,P280*Assumptions!$B$12,Assumptions!$B$29)</f>
        <v/>
      </c>
      <c r="W280">
        <f>IF(I280=1,P280*Assumptions!$B$11,Assumptions!$B$28)</f>
        <v/>
      </c>
      <c r="X280">
        <f>P280*(Assumptions!$B$133+Assumptions!$B$137)</f>
        <v/>
      </c>
      <c r="Y280">
        <f>P280*Assumptions!$B$9</f>
        <v/>
      </c>
      <c r="Z280">
        <f>IF(M280=1,(P280-Assumptions!$B$37)*Assumptions!$B$153,0)</f>
        <v/>
      </c>
      <c r="AA280">
        <f>Q280+R280+S280+T280+U280+V280+W280+X280+Y280+Z280</f>
        <v/>
      </c>
      <c r="AB280" t="n">
        <v>101</v>
      </c>
      <c r="AC280" t="n">
        <v>37</v>
      </c>
      <c r="AD280" t="n">
        <v>69</v>
      </c>
      <c r="AE280" t="n">
        <v>117</v>
      </c>
      <c r="AF280" t="n">
        <v>109</v>
      </c>
      <c r="AG280" t="n">
        <v>97</v>
      </c>
      <c r="AH280" t="n">
        <v>103</v>
      </c>
      <c r="AI280" t="n">
        <v>100</v>
      </c>
      <c r="AJ280">
        <f>INDEX($Q$179:$Q$306,AC280+1)</f>
        <v/>
      </c>
      <c r="AK280">
        <f>INDEX($R$179:$R$306,AD280+1)</f>
        <v/>
      </c>
      <c r="AL280">
        <f>INDEX($S$179:$S$306,AE280+1)</f>
        <v/>
      </c>
      <c r="AM280">
        <f>INDEX($T$179:$T$306,AF280+1)</f>
        <v/>
      </c>
      <c r="AN280">
        <f>INDEX($U$179:$U$306,AG280+1)</f>
        <v/>
      </c>
      <c r="AO280">
        <f>INDEX($V$179:$V$306,AH280+1)</f>
        <v/>
      </c>
      <c r="AP280">
        <f>INDEX($W$179:$W$306,AI280+1)</f>
        <v/>
      </c>
      <c r="AQ280">
        <f>IF(Q280&gt;=AJ280-0.01,1,0)</f>
        <v/>
      </c>
      <c r="AR280">
        <f>IF(R280&gt;=AK280-0.01,1,0)</f>
        <v/>
      </c>
      <c r="AS280">
        <f>IF(S280&gt;=AL280-0.01,1,0)</f>
        <v/>
      </c>
      <c r="AT280">
        <f>IF(T280&gt;=AM280-0.01,1,0)</f>
        <v/>
      </c>
      <c r="AU280">
        <f>IF(U280&gt;=AN280-0.01,1,0)</f>
        <v/>
      </c>
      <c r="AV280">
        <f>IF(V280&gt;=AO280-0.01,1,0)</f>
        <v/>
      </c>
      <c r="AW280">
        <f>IF(W280&gt;=AP280-0.01,1,0)</f>
        <v/>
      </c>
      <c r="AX280">
        <f>AQ280*AR280*AS280*AT280*AU280*AV280*AW280</f>
        <v/>
      </c>
      <c r="AY280">
        <f>Assumptions!$B$41</f>
        <v/>
      </c>
      <c r="AZ280">
        <f>Assumptions!$B$33</f>
        <v/>
      </c>
      <c r="BA280">
        <f>Assumptions!$B$32</f>
        <v/>
      </c>
      <c r="BB280">
        <f>Assumptions!$B$31</f>
        <v/>
      </c>
      <c r="BC280">
        <f>Assumptions!$B$30</f>
        <v/>
      </c>
      <c r="BD280">
        <f>Assumptions!$B$29</f>
        <v/>
      </c>
      <c r="BE280">
        <f>Assumptions!$B$28</f>
        <v/>
      </c>
      <c r="BF280">
        <f>P280*Assumptions!$B$141</f>
        <v/>
      </c>
      <c r="BG280">
        <f>P280*Assumptions!$B$128</f>
        <v/>
      </c>
      <c r="BH280">
        <f>P280*Assumptions!$B$129</f>
        <v/>
      </c>
      <c r="BI280">
        <f>P280*Assumptions!$B$14</f>
        <v/>
      </c>
      <c r="BJ280">
        <f>P280*Assumptions!$B$13</f>
        <v/>
      </c>
      <c r="BK280">
        <f>P280*Assumptions!$B$12</f>
        <v/>
      </c>
      <c r="BL280">
        <f>P280*Assumptions!$B$11</f>
        <v/>
      </c>
    </row>
    <row r="281">
      <c r="A281" t="inlineStr">
        <is>
          <t>1200M</t>
        </is>
      </c>
      <c r="B281">
        <f>Assumptions!$B$59</f>
        <v/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>
        <f>(1-C281)*Assumptions!$B$41+(1-D281)*Assumptions!$B$33+(1-E281)*Assumptions!$B$32+(1-F281)*Assumptions!$B$31+(1-G281)*Assumptions!$B$30+(1-H281)*Assumptions!$B$29+(1-I281)*Assumptions!$B$28</f>
        <v/>
      </c>
      <c r="K281">
        <f>C281*Assumptions!$B$141+D281*Assumptions!$B$128+E281*Assumptions!$B$129+F281*Assumptions!$B$14+G281*Assumptions!$B$13+H281*Assumptions!$B$12+I281*Assumptions!$B$11+Assumptions!$B$133+Assumptions!$B$137+Assumptions!$B$9</f>
        <v/>
      </c>
      <c r="L281">
        <f>B281-J281</f>
        <v/>
      </c>
      <c r="M281">
        <f>IF(K281&gt;0,IF(L281/K281&gt;=Assumptions!$B$37,1,0),0)</f>
        <v/>
      </c>
      <c r="N281">
        <f>K281+M281*Assumptions!$B$153</f>
        <v/>
      </c>
      <c r="O281">
        <f>L281+M281*Assumptions!$B$153*Assumptions!$B$37</f>
        <v/>
      </c>
      <c r="P281">
        <f>IF(N281&gt;0,O281/N281,0)</f>
        <v/>
      </c>
      <c r="Q281">
        <f>IF(C281=1,P281*Assumptions!$B$141,Assumptions!$B$41)</f>
        <v/>
      </c>
      <c r="R281">
        <f>IF(D281=1,P281*Assumptions!$B$128,Assumptions!$B$33)</f>
        <v/>
      </c>
      <c r="S281">
        <f>IF(E281=1,P281*Assumptions!$B$129,Assumptions!$B$32)</f>
        <v/>
      </c>
      <c r="T281">
        <f>IF(F281=1,P281*Assumptions!$B$14,Assumptions!$B$31)</f>
        <v/>
      </c>
      <c r="U281">
        <f>IF(G281=1,P281*Assumptions!$B$13,Assumptions!$B$30)</f>
        <v/>
      </c>
      <c r="V281">
        <f>IF(H281=1,P281*Assumptions!$B$12,Assumptions!$B$29)</f>
        <v/>
      </c>
      <c r="W281">
        <f>IF(I281=1,P281*Assumptions!$B$11,Assumptions!$B$28)</f>
        <v/>
      </c>
      <c r="X281">
        <f>P281*(Assumptions!$B$133+Assumptions!$B$137)</f>
        <v/>
      </c>
      <c r="Y281">
        <f>P281*Assumptions!$B$9</f>
        <v/>
      </c>
      <c r="Z281">
        <f>IF(M281=1,(P281-Assumptions!$B$37)*Assumptions!$B$153,0)</f>
        <v/>
      </c>
      <c r="AA281">
        <f>Q281+R281+S281+T281+U281+V281+W281+X281+Y281+Z281</f>
        <v/>
      </c>
      <c r="AB281" t="n">
        <v>102</v>
      </c>
      <c r="AC281" t="n">
        <v>38</v>
      </c>
      <c r="AD281" t="n">
        <v>70</v>
      </c>
      <c r="AE281" t="n">
        <v>118</v>
      </c>
      <c r="AF281" t="n">
        <v>110</v>
      </c>
      <c r="AG281" t="n">
        <v>98</v>
      </c>
      <c r="AH281" t="n">
        <v>100</v>
      </c>
      <c r="AI281" t="n">
        <v>103</v>
      </c>
      <c r="AJ281">
        <f>INDEX($Q$179:$Q$306,AC281+1)</f>
        <v/>
      </c>
      <c r="AK281">
        <f>INDEX($R$179:$R$306,AD281+1)</f>
        <v/>
      </c>
      <c r="AL281">
        <f>INDEX($S$179:$S$306,AE281+1)</f>
        <v/>
      </c>
      <c r="AM281">
        <f>INDEX($T$179:$T$306,AF281+1)</f>
        <v/>
      </c>
      <c r="AN281">
        <f>INDEX($U$179:$U$306,AG281+1)</f>
        <v/>
      </c>
      <c r="AO281">
        <f>INDEX($V$179:$V$306,AH281+1)</f>
        <v/>
      </c>
      <c r="AP281">
        <f>INDEX($W$179:$W$306,AI281+1)</f>
        <v/>
      </c>
      <c r="AQ281">
        <f>IF(Q281&gt;=AJ281-0.01,1,0)</f>
        <v/>
      </c>
      <c r="AR281">
        <f>IF(R281&gt;=AK281-0.01,1,0)</f>
        <v/>
      </c>
      <c r="AS281">
        <f>IF(S281&gt;=AL281-0.01,1,0)</f>
        <v/>
      </c>
      <c r="AT281">
        <f>IF(T281&gt;=AM281-0.01,1,0)</f>
        <v/>
      </c>
      <c r="AU281">
        <f>IF(U281&gt;=AN281-0.01,1,0)</f>
        <v/>
      </c>
      <c r="AV281">
        <f>IF(V281&gt;=AO281-0.01,1,0)</f>
        <v/>
      </c>
      <c r="AW281">
        <f>IF(W281&gt;=AP281-0.01,1,0)</f>
        <v/>
      </c>
      <c r="AX281">
        <f>AQ281*AR281*AS281*AT281*AU281*AV281*AW281</f>
        <v/>
      </c>
      <c r="AY281">
        <f>Assumptions!$B$41</f>
        <v/>
      </c>
      <c r="AZ281">
        <f>Assumptions!$B$33</f>
        <v/>
      </c>
      <c r="BA281">
        <f>Assumptions!$B$32</f>
        <v/>
      </c>
      <c r="BB281">
        <f>Assumptions!$B$31</f>
        <v/>
      </c>
      <c r="BC281">
        <f>Assumptions!$B$30</f>
        <v/>
      </c>
      <c r="BD281">
        <f>Assumptions!$B$29</f>
        <v/>
      </c>
      <c r="BE281">
        <f>Assumptions!$B$28</f>
        <v/>
      </c>
      <c r="BF281">
        <f>P281*Assumptions!$B$141</f>
        <v/>
      </c>
      <c r="BG281">
        <f>P281*Assumptions!$B$128</f>
        <v/>
      </c>
      <c r="BH281">
        <f>P281*Assumptions!$B$129</f>
        <v/>
      </c>
      <c r="BI281">
        <f>P281*Assumptions!$B$14</f>
        <v/>
      </c>
      <c r="BJ281">
        <f>P281*Assumptions!$B$13</f>
        <v/>
      </c>
      <c r="BK281">
        <f>P281*Assumptions!$B$12</f>
        <v/>
      </c>
      <c r="BL281">
        <f>P281*Assumptions!$B$11</f>
        <v/>
      </c>
    </row>
    <row r="282">
      <c r="A282" t="inlineStr">
        <is>
          <t>1200M</t>
        </is>
      </c>
      <c r="B282">
        <f>Assumptions!$B$59</f>
        <v/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>
        <f>(1-C282)*Assumptions!$B$41+(1-D282)*Assumptions!$B$33+(1-E282)*Assumptions!$B$32+(1-F282)*Assumptions!$B$31+(1-G282)*Assumptions!$B$30+(1-H282)*Assumptions!$B$29+(1-I282)*Assumptions!$B$28</f>
        <v/>
      </c>
      <c r="K282">
        <f>C282*Assumptions!$B$141+D282*Assumptions!$B$128+E282*Assumptions!$B$129+F282*Assumptions!$B$14+G282*Assumptions!$B$13+H282*Assumptions!$B$12+I282*Assumptions!$B$11+Assumptions!$B$133+Assumptions!$B$137+Assumptions!$B$9</f>
        <v/>
      </c>
      <c r="L282">
        <f>B282-J282</f>
        <v/>
      </c>
      <c r="M282">
        <f>IF(K282&gt;0,IF(L282/K282&gt;=Assumptions!$B$37,1,0),0)</f>
        <v/>
      </c>
      <c r="N282">
        <f>K282+M282*Assumptions!$B$153</f>
        <v/>
      </c>
      <c r="O282">
        <f>L282+M282*Assumptions!$B$153*Assumptions!$B$37</f>
        <v/>
      </c>
      <c r="P282">
        <f>IF(N282&gt;0,O282/N282,0)</f>
        <v/>
      </c>
      <c r="Q282">
        <f>IF(C282=1,P282*Assumptions!$B$141,Assumptions!$B$41)</f>
        <v/>
      </c>
      <c r="R282">
        <f>IF(D282=1,P282*Assumptions!$B$128,Assumptions!$B$33)</f>
        <v/>
      </c>
      <c r="S282">
        <f>IF(E282=1,P282*Assumptions!$B$129,Assumptions!$B$32)</f>
        <v/>
      </c>
      <c r="T282">
        <f>IF(F282=1,P282*Assumptions!$B$14,Assumptions!$B$31)</f>
        <v/>
      </c>
      <c r="U282">
        <f>IF(G282=1,P282*Assumptions!$B$13,Assumptions!$B$30)</f>
        <v/>
      </c>
      <c r="V282">
        <f>IF(H282=1,P282*Assumptions!$B$12,Assumptions!$B$29)</f>
        <v/>
      </c>
      <c r="W282">
        <f>IF(I282=1,P282*Assumptions!$B$11,Assumptions!$B$28)</f>
        <v/>
      </c>
      <c r="X282">
        <f>P282*(Assumptions!$B$133+Assumptions!$B$137)</f>
        <v/>
      </c>
      <c r="Y282">
        <f>P282*Assumptions!$B$9</f>
        <v/>
      </c>
      <c r="Z282">
        <f>IF(M282=1,(P282-Assumptions!$B$37)*Assumptions!$B$153,0)</f>
        <v/>
      </c>
      <c r="AA282">
        <f>Q282+R282+S282+T282+U282+V282+W282+X282+Y282+Z282</f>
        <v/>
      </c>
      <c r="AB282" t="n">
        <v>103</v>
      </c>
      <c r="AC282" t="n">
        <v>39</v>
      </c>
      <c r="AD282" t="n">
        <v>71</v>
      </c>
      <c r="AE282" t="n">
        <v>119</v>
      </c>
      <c r="AF282" t="n">
        <v>111</v>
      </c>
      <c r="AG282" t="n">
        <v>99</v>
      </c>
      <c r="AH282" t="n">
        <v>101</v>
      </c>
      <c r="AI282" t="n">
        <v>102</v>
      </c>
      <c r="AJ282">
        <f>INDEX($Q$179:$Q$306,AC282+1)</f>
        <v/>
      </c>
      <c r="AK282">
        <f>INDEX($R$179:$R$306,AD282+1)</f>
        <v/>
      </c>
      <c r="AL282">
        <f>INDEX($S$179:$S$306,AE282+1)</f>
        <v/>
      </c>
      <c r="AM282">
        <f>INDEX($T$179:$T$306,AF282+1)</f>
        <v/>
      </c>
      <c r="AN282">
        <f>INDEX($U$179:$U$306,AG282+1)</f>
        <v/>
      </c>
      <c r="AO282">
        <f>INDEX($V$179:$V$306,AH282+1)</f>
        <v/>
      </c>
      <c r="AP282">
        <f>INDEX($W$179:$W$306,AI282+1)</f>
        <v/>
      </c>
      <c r="AQ282">
        <f>IF(Q282&gt;=AJ282-0.01,1,0)</f>
        <v/>
      </c>
      <c r="AR282">
        <f>IF(R282&gt;=AK282-0.01,1,0)</f>
        <v/>
      </c>
      <c r="AS282">
        <f>IF(S282&gt;=AL282-0.01,1,0)</f>
        <v/>
      </c>
      <c r="AT282">
        <f>IF(T282&gt;=AM282-0.01,1,0)</f>
        <v/>
      </c>
      <c r="AU282">
        <f>IF(U282&gt;=AN282-0.01,1,0)</f>
        <v/>
      </c>
      <c r="AV282">
        <f>IF(V282&gt;=AO282-0.01,1,0)</f>
        <v/>
      </c>
      <c r="AW282">
        <f>IF(W282&gt;=AP282-0.01,1,0)</f>
        <v/>
      </c>
      <c r="AX282">
        <f>AQ282*AR282*AS282*AT282*AU282*AV282*AW282</f>
        <v/>
      </c>
      <c r="AY282">
        <f>Assumptions!$B$41</f>
        <v/>
      </c>
      <c r="AZ282">
        <f>Assumptions!$B$33</f>
        <v/>
      </c>
      <c r="BA282">
        <f>Assumptions!$B$32</f>
        <v/>
      </c>
      <c r="BB282">
        <f>Assumptions!$B$31</f>
        <v/>
      </c>
      <c r="BC282">
        <f>Assumptions!$B$30</f>
        <v/>
      </c>
      <c r="BD282">
        <f>Assumptions!$B$29</f>
        <v/>
      </c>
      <c r="BE282">
        <f>Assumptions!$B$28</f>
        <v/>
      </c>
      <c r="BF282">
        <f>P282*Assumptions!$B$141</f>
        <v/>
      </c>
      <c r="BG282">
        <f>P282*Assumptions!$B$128</f>
        <v/>
      </c>
      <c r="BH282">
        <f>P282*Assumptions!$B$129</f>
        <v/>
      </c>
      <c r="BI282">
        <f>P282*Assumptions!$B$14</f>
        <v/>
      </c>
      <c r="BJ282">
        <f>P282*Assumptions!$B$13</f>
        <v/>
      </c>
      <c r="BK282">
        <f>P282*Assumptions!$B$12</f>
        <v/>
      </c>
      <c r="BL282">
        <f>P282*Assumptions!$B$11</f>
        <v/>
      </c>
    </row>
    <row r="283">
      <c r="A283" t="inlineStr">
        <is>
          <t>1200M</t>
        </is>
      </c>
      <c r="B283">
        <f>Assumptions!$B$59</f>
        <v/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>
        <f>(1-C283)*Assumptions!$B$41+(1-D283)*Assumptions!$B$33+(1-E283)*Assumptions!$B$32+(1-F283)*Assumptions!$B$31+(1-G283)*Assumptions!$B$30+(1-H283)*Assumptions!$B$29+(1-I283)*Assumptions!$B$28</f>
        <v/>
      </c>
      <c r="K283">
        <f>C283*Assumptions!$B$141+D283*Assumptions!$B$128+E283*Assumptions!$B$129+F283*Assumptions!$B$14+G283*Assumptions!$B$13+H283*Assumptions!$B$12+I283*Assumptions!$B$11+Assumptions!$B$133+Assumptions!$B$137+Assumptions!$B$9</f>
        <v/>
      </c>
      <c r="L283">
        <f>B283-J283</f>
        <v/>
      </c>
      <c r="M283">
        <f>IF(K283&gt;0,IF(L283/K283&gt;=Assumptions!$B$37,1,0),0)</f>
        <v/>
      </c>
      <c r="N283">
        <f>K283+M283*Assumptions!$B$153</f>
        <v/>
      </c>
      <c r="O283">
        <f>L283+M283*Assumptions!$B$153*Assumptions!$B$37</f>
        <v/>
      </c>
      <c r="P283">
        <f>IF(N283&gt;0,O283/N283,0)</f>
        <v/>
      </c>
      <c r="Q283">
        <f>IF(C283=1,P283*Assumptions!$B$141,Assumptions!$B$41)</f>
        <v/>
      </c>
      <c r="R283">
        <f>IF(D283=1,P283*Assumptions!$B$128,Assumptions!$B$33)</f>
        <v/>
      </c>
      <c r="S283">
        <f>IF(E283=1,P283*Assumptions!$B$129,Assumptions!$B$32)</f>
        <v/>
      </c>
      <c r="T283">
        <f>IF(F283=1,P283*Assumptions!$B$14,Assumptions!$B$31)</f>
        <v/>
      </c>
      <c r="U283">
        <f>IF(G283=1,P283*Assumptions!$B$13,Assumptions!$B$30)</f>
        <v/>
      </c>
      <c r="V283">
        <f>IF(H283=1,P283*Assumptions!$B$12,Assumptions!$B$29)</f>
        <v/>
      </c>
      <c r="W283">
        <f>IF(I283=1,P283*Assumptions!$B$11,Assumptions!$B$28)</f>
        <v/>
      </c>
      <c r="X283">
        <f>P283*(Assumptions!$B$133+Assumptions!$B$137)</f>
        <v/>
      </c>
      <c r="Y283">
        <f>P283*Assumptions!$B$9</f>
        <v/>
      </c>
      <c r="Z283">
        <f>IF(M283=1,(P283-Assumptions!$B$37)*Assumptions!$B$153,0)</f>
        <v/>
      </c>
      <c r="AA283">
        <f>Q283+R283+S283+T283+U283+V283+W283+X283+Y283+Z283</f>
        <v/>
      </c>
      <c r="AB283" t="n">
        <v>104</v>
      </c>
      <c r="AC283" t="n">
        <v>40</v>
      </c>
      <c r="AD283" t="n">
        <v>72</v>
      </c>
      <c r="AE283" t="n">
        <v>120</v>
      </c>
      <c r="AF283" t="n">
        <v>96</v>
      </c>
      <c r="AG283" t="n">
        <v>108</v>
      </c>
      <c r="AH283" t="n">
        <v>106</v>
      </c>
      <c r="AI283" t="n">
        <v>105</v>
      </c>
      <c r="AJ283">
        <f>INDEX($Q$179:$Q$306,AC283+1)</f>
        <v/>
      </c>
      <c r="AK283">
        <f>INDEX($R$179:$R$306,AD283+1)</f>
        <v/>
      </c>
      <c r="AL283">
        <f>INDEX($S$179:$S$306,AE283+1)</f>
        <v/>
      </c>
      <c r="AM283">
        <f>INDEX($T$179:$T$306,AF283+1)</f>
        <v/>
      </c>
      <c r="AN283">
        <f>INDEX($U$179:$U$306,AG283+1)</f>
        <v/>
      </c>
      <c r="AO283">
        <f>INDEX($V$179:$V$306,AH283+1)</f>
        <v/>
      </c>
      <c r="AP283">
        <f>INDEX($W$179:$W$306,AI283+1)</f>
        <v/>
      </c>
      <c r="AQ283">
        <f>IF(Q283&gt;=AJ283-0.01,1,0)</f>
        <v/>
      </c>
      <c r="AR283">
        <f>IF(R283&gt;=AK283-0.01,1,0)</f>
        <v/>
      </c>
      <c r="AS283">
        <f>IF(S283&gt;=AL283-0.01,1,0)</f>
        <v/>
      </c>
      <c r="AT283">
        <f>IF(T283&gt;=AM283-0.01,1,0)</f>
        <v/>
      </c>
      <c r="AU283">
        <f>IF(U283&gt;=AN283-0.01,1,0)</f>
        <v/>
      </c>
      <c r="AV283">
        <f>IF(V283&gt;=AO283-0.01,1,0)</f>
        <v/>
      </c>
      <c r="AW283">
        <f>IF(W283&gt;=AP283-0.01,1,0)</f>
        <v/>
      </c>
      <c r="AX283">
        <f>AQ283*AR283*AS283*AT283*AU283*AV283*AW283</f>
        <v/>
      </c>
      <c r="AY283">
        <f>Assumptions!$B$41</f>
        <v/>
      </c>
      <c r="AZ283">
        <f>Assumptions!$B$33</f>
        <v/>
      </c>
      <c r="BA283">
        <f>Assumptions!$B$32</f>
        <v/>
      </c>
      <c r="BB283">
        <f>Assumptions!$B$31</f>
        <v/>
      </c>
      <c r="BC283">
        <f>Assumptions!$B$30</f>
        <v/>
      </c>
      <c r="BD283">
        <f>Assumptions!$B$29</f>
        <v/>
      </c>
      <c r="BE283">
        <f>Assumptions!$B$28</f>
        <v/>
      </c>
      <c r="BF283">
        <f>P283*Assumptions!$B$141</f>
        <v/>
      </c>
      <c r="BG283">
        <f>P283*Assumptions!$B$128</f>
        <v/>
      </c>
      <c r="BH283">
        <f>P283*Assumptions!$B$129</f>
        <v/>
      </c>
      <c r="BI283">
        <f>P283*Assumptions!$B$14</f>
        <v/>
      </c>
      <c r="BJ283">
        <f>P283*Assumptions!$B$13</f>
        <v/>
      </c>
      <c r="BK283">
        <f>P283*Assumptions!$B$12</f>
        <v/>
      </c>
      <c r="BL283">
        <f>P283*Assumptions!$B$11</f>
        <v/>
      </c>
    </row>
    <row r="284">
      <c r="A284" t="inlineStr">
        <is>
          <t>1200M</t>
        </is>
      </c>
      <c r="B284">
        <f>Assumptions!$B$59</f>
        <v/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>
        <f>(1-C284)*Assumptions!$B$41+(1-D284)*Assumptions!$B$33+(1-E284)*Assumptions!$B$32+(1-F284)*Assumptions!$B$31+(1-G284)*Assumptions!$B$30+(1-H284)*Assumptions!$B$29+(1-I284)*Assumptions!$B$28</f>
        <v/>
      </c>
      <c r="K284">
        <f>C284*Assumptions!$B$141+D284*Assumptions!$B$128+E284*Assumptions!$B$129+F284*Assumptions!$B$14+G284*Assumptions!$B$13+H284*Assumptions!$B$12+I284*Assumptions!$B$11+Assumptions!$B$133+Assumptions!$B$137+Assumptions!$B$9</f>
        <v/>
      </c>
      <c r="L284">
        <f>B284-J284</f>
        <v/>
      </c>
      <c r="M284">
        <f>IF(K284&gt;0,IF(L284/K284&gt;=Assumptions!$B$37,1,0),0)</f>
        <v/>
      </c>
      <c r="N284">
        <f>K284+M284*Assumptions!$B$153</f>
        <v/>
      </c>
      <c r="O284">
        <f>L284+M284*Assumptions!$B$153*Assumptions!$B$37</f>
        <v/>
      </c>
      <c r="P284">
        <f>IF(N284&gt;0,O284/N284,0)</f>
        <v/>
      </c>
      <c r="Q284">
        <f>IF(C284=1,P284*Assumptions!$B$141,Assumptions!$B$41)</f>
        <v/>
      </c>
      <c r="R284">
        <f>IF(D284=1,P284*Assumptions!$B$128,Assumptions!$B$33)</f>
        <v/>
      </c>
      <c r="S284">
        <f>IF(E284=1,P284*Assumptions!$B$129,Assumptions!$B$32)</f>
        <v/>
      </c>
      <c r="T284">
        <f>IF(F284=1,P284*Assumptions!$B$14,Assumptions!$B$31)</f>
        <v/>
      </c>
      <c r="U284">
        <f>IF(G284=1,P284*Assumptions!$B$13,Assumptions!$B$30)</f>
        <v/>
      </c>
      <c r="V284">
        <f>IF(H284=1,P284*Assumptions!$B$12,Assumptions!$B$29)</f>
        <v/>
      </c>
      <c r="W284">
        <f>IF(I284=1,P284*Assumptions!$B$11,Assumptions!$B$28)</f>
        <v/>
      </c>
      <c r="X284">
        <f>P284*(Assumptions!$B$133+Assumptions!$B$137)</f>
        <v/>
      </c>
      <c r="Y284">
        <f>P284*Assumptions!$B$9</f>
        <v/>
      </c>
      <c r="Z284">
        <f>IF(M284=1,(P284-Assumptions!$B$37)*Assumptions!$B$153,0)</f>
        <v/>
      </c>
      <c r="AA284">
        <f>Q284+R284+S284+T284+U284+V284+W284+X284+Y284+Z284</f>
        <v/>
      </c>
      <c r="AB284" t="n">
        <v>105</v>
      </c>
      <c r="AC284" t="n">
        <v>41</v>
      </c>
      <c r="AD284" t="n">
        <v>73</v>
      </c>
      <c r="AE284" t="n">
        <v>121</v>
      </c>
      <c r="AF284" t="n">
        <v>97</v>
      </c>
      <c r="AG284" t="n">
        <v>109</v>
      </c>
      <c r="AH284" t="n">
        <v>107</v>
      </c>
      <c r="AI284" t="n">
        <v>104</v>
      </c>
      <c r="AJ284">
        <f>INDEX($Q$179:$Q$306,AC284+1)</f>
        <v/>
      </c>
      <c r="AK284">
        <f>INDEX($R$179:$R$306,AD284+1)</f>
        <v/>
      </c>
      <c r="AL284">
        <f>INDEX($S$179:$S$306,AE284+1)</f>
        <v/>
      </c>
      <c r="AM284">
        <f>INDEX($T$179:$T$306,AF284+1)</f>
        <v/>
      </c>
      <c r="AN284">
        <f>INDEX($U$179:$U$306,AG284+1)</f>
        <v/>
      </c>
      <c r="AO284">
        <f>INDEX($V$179:$V$306,AH284+1)</f>
        <v/>
      </c>
      <c r="AP284">
        <f>INDEX($W$179:$W$306,AI284+1)</f>
        <v/>
      </c>
      <c r="AQ284">
        <f>IF(Q284&gt;=AJ284-0.01,1,0)</f>
        <v/>
      </c>
      <c r="AR284">
        <f>IF(R284&gt;=AK284-0.01,1,0)</f>
        <v/>
      </c>
      <c r="AS284">
        <f>IF(S284&gt;=AL284-0.01,1,0)</f>
        <v/>
      </c>
      <c r="AT284">
        <f>IF(T284&gt;=AM284-0.01,1,0)</f>
        <v/>
      </c>
      <c r="AU284">
        <f>IF(U284&gt;=AN284-0.01,1,0)</f>
        <v/>
      </c>
      <c r="AV284">
        <f>IF(V284&gt;=AO284-0.01,1,0)</f>
        <v/>
      </c>
      <c r="AW284">
        <f>IF(W284&gt;=AP284-0.01,1,0)</f>
        <v/>
      </c>
      <c r="AX284">
        <f>AQ284*AR284*AS284*AT284*AU284*AV284*AW284</f>
        <v/>
      </c>
      <c r="AY284">
        <f>Assumptions!$B$41</f>
        <v/>
      </c>
      <c r="AZ284">
        <f>Assumptions!$B$33</f>
        <v/>
      </c>
      <c r="BA284">
        <f>Assumptions!$B$32</f>
        <v/>
      </c>
      <c r="BB284">
        <f>Assumptions!$B$31</f>
        <v/>
      </c>
      <c r="BC284">
        <f>Assumptions!$B$30</f>
        <v/>
      </c>
      <c r="BD284">
        <f>Assumptions!$B$29</f>
        <v/>
      </c>
      <c r="BE284">
        <f>Assumptions!$B$28</f>
        <v/>
      </c>
      <c r="BF284">
        <f>P284*Assumptions!$B$141</f>
        <v/>
      </c>
      <c r="BG284">
        <f>P284*Assumptions!$B$128</f>
        <v/>
      </c>
      <c r="BH284">
        <f>P284*Assumptions!$B$129</f>
        <v/>
      </c>
      <c r="BI284">
        <f>P284*Assumptions!$B$14</f>
        <v/>
      </c>
      <c r="BJ284">
        <f>P284*Assumptions!$B$13</f>
        <v/>
      </c>
      <c r="BK284">
        <f>P284*Assumptions!$B$12</f>
        <v/>
      </c>
      <c r="BL284">
        <f>P284*Assumptions!$B$11</f>
        <v/>
      </c>
    </row>
    <row r="285">
      <c r="A285" t="inlineStr">
        <is>
          <t>1200M</t>
        </is>
      </c>
      <c r="B285">
        <f>Assumptions!$B$59</f>
        <v/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>
        <f>(1-C285)*Assumptions!$B$41+(1-D285)*Assumptions!$B$33+(1-E285)*Assumptions!$B$32+(1-F285)*Assumptions!$B$31+(1-G285)*Assumptions!$B$30+(1-H285)*Assumptions!$B$29+(1-I285)*Assumptions!$B$28</f>
        <v/>
      </c>
      <c r="K285">
        <f>C285*Assumptions!$B$141+D285*Assumptions!$B$128+E285*Assumptions!$B$129+F285*Assumptions!$B$14+G285*Assumptions!$B$13+H285*Assumptions!$B$12+I285*Assumptions!$B$11+Assumptions!$B$133+Assumptions!$B$137+Assumptions!$B$9</f>
        <v/>
      </c>
      <c r="L285">
        <f>B285-J285</f>
        <v/>
      </c>
      <c r="M285">
        <f>IF(K285&gt;0,IF(L285/K285&gt;=Assumptions!$B$37,1,0),0)</f>
        <v/>
      </c>
      <c r="N285">
        <f>K285+M285*Assumptions!$B$153</f>
        <v/>
      </c>
      <c r="O285">
        <f>L285+M285*Assumptions!$B$153*Assumptions!$B$37</f>
        <v/>
      </c>
      <c r="P285">
        <f>IF(N285&gt;0,O285/N285,0)</f>
        <v/>
      </c>
      <c r="Q285">
        <f>IF(C285=1,P285*Assumptions!$B$141,Assumptions!$B$41)</f>
        <v/>
      </c>
      <c r="R285">
        <f>IF(D285=1,P285*Assumptions!$B$128,Assumptions!$B$33)</f>
        <v/>
      </c>
      <c r="S285">
        <f>IF(E285=1,P285*Assumptions!$B$129,Assumptions!$B$32)</f>
        <v/>
      </c>
      <c r="T285">
        <f>IF(F285=1,P285*Assumptions!$B$14,Assumptions!$B$31)</f>
        <v/>
      </c>
      <c r="U285">
        <f>IF(G285=1,P285*Assumptions!$B$13,Assumptions!$B$30)</f>
        <v/>
      </c>
      <c r="V285">
        <f>IF(H285=1,P285*Assumptions!$B$12,Assumptions!$B$29)</f>
        <v/>
      </c>
      <c r="W285">
        <f>IF(I285=1,P285*Assumptions!$B$11,Assumptions!$B$28)</f>
        <v/>
      </c>
      <c r="X285">
        <f>P285*(Assumptions!$B$133+Assumptions!$B$137)</f>
        <v/>
      </c>
      <c r="Y285">
        <f>P285*Assumptions!$B$9</f>
        <v/>
      </c>
      <c r="Z285">
        <f>IF(M285=1,(P285-Assumptions!$B$37)*Assumptions!$B$153,0)</f>
        <v/>
      </c>
      <c r="AA285">
        <f>Q285+R285+S285+T285+U285+V285+W285+X285+Y285+Z285</f>
        <v/>
      </c>
      <c r="AB285" t="n">
        <v>106</v>
      </c>
      <c r="AC285" t="n">
        <v>42</v>
      </c>
      <c r="AD285" t="n">
        <v>74</v>
      </c>
      <c r="AE285" t="n">
        <v>122</v>
      </c>
      <c r="AF285" t="n">
        <v>98</v>
      </c>
      <c r="AG285" t="n">
        <v>110</v>
      </c>
      <c r="AH285" t="n">
        <v>104</v>
      </c>
      <c r="AI285" t="n">
        <v>107</v>
      </c>
      <c r="AJ285">
        <f>INDEX($Q$179:$Q$306,AC285+1)</f>
        <v/>
      </c>
      <c r="AK285">
        <f>INDEX($R$179:$R$306,AD285+1)</f>
        <v/>
      </c>
      <c r="AL285">
        <f>INDEX($S$179:$S$306,AE285+1)</f>
        <v/>
      </c>
      <c r="AM285">
        <f>INDEX($T$179:$T$306,AF285+1)</f>
        <v/>
      </c>
      <c r="AN285">
        <f>INDEX($U$179:$U$306,AG285+1)</f>
        <v/>
      </c>
      <c r="AO285">
        <f>INDEX($V$179:$V$306,AH285+1)</f>
        <v/>
      </c>
      <c r="AP285">
        <f>INDEX($W$179:$W$306,AI285+1)</f>
        <v/>
      </c>
      <c r="AQ285">
        <f>IF(Q285&gt;=AJ285-0.01,1,0)</f>
        <v/>
      </c>
      <c r="AR285">
        <f>IF(R285&gt;=AK285-0.01,1,0)</f>
        <v/>
      </c>
      <c r="AS285">
        <f>IF(S285&gt;=AL285-0.01,1,0)</f>
        <v/>
      </c>
      <c r="AT285">
        <f>IF(T285&gt;=AM285-0.01,1,0)</f>
        <v/>
      </c>
      <c r="AU285">
        <f>IF(U285&gt;=AN285-0.01,1,0)</f>
        <v/>
      </c>
      <c r="AV285">
        <f>IF(V285&gt;=AO285-0.01,1,0)</f>
        <v/>
      </c>
      <c r="AW285">
        <f>IF(W285&gt;=AP285-0.01,1,0)</f>
        <v/>
      </c>
      <c r="AX285">
        <f>AQ285*AR285*AS285*AT285*AU285*AV285*AW285</f>
        <v/>
      </c>
      <c r="AY285">
        <f>Assumptions!$B$41</f>
        <v/>
      </c>
      <c r="AZ285">
        <f>Assumptions!$B$33</f>
        <v/>
      </c>
      <c r="BA285">
        <f>Assumptions!$B$32</f>
        <v/>
      </c>
      <c r="BB285">
        <f>Assumptions!$B$31</f>
        <v/>
      </c>
      <c r="BC285">
        <f>Assumptions!$B$30</f>
        <v/>
      </c>
      <c r="BD285">
        <f>Assumptions!$B$29</f>
        <v/>
      </c>
      <c r="BE285">
        <f>Assumptions!$B$28</f>
        <v/>
      </c>
      <c r="BF285">
        <f>P285*Assumptions!$B$141</f>
        <v/>
      </c>
      <c r="BG285">
        <f>P285*Assumptions!$B$128</f>
        <v/>
      </c>
      <c r="BH285">
        <f>P285*Assumptions!$B$129</f>
        <v/>
      </c>
      <c r="BI285">
        <f>P285*Assumptions!$B$14</f>
        <v/>
      </c>
      <c r="BJ285">
        <f>P285*Assumptions!$B$13</f>
        <v/>
      </c>
      <c r="BK285">
        <f>P285*Assumptions!$B$12</f>
        <v/>
      </c>
      <c r="BL285">
        <f>P285*Assumptions!$B$11</f>
        <v/>
      </c>
    </row>
    <row r="286">
      <c r="A286" t="inlineStr">
        <is>
          <t>1200M</t>
        </is>
      </c>
      <c r="B286">
        <f>Assumptions!$B$59</f>
        <v/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>
        <f>(1-C286)*Assumptions!$B$41+(1-D286)*Assumptions!$B$33+(1-E286)*Assumptions!$B$32+(1-F286)*Assumptions!$B$31+(1-G286)*Assumptions!$B$30+(1-H286)*Assumptions!$B$29+(1-I286)*Assumptions!$B$28</f>
        <v/>
      </c>
      <c r="K286">
        <f>C286*Assumptions!$B$141+D286*Assumptions!$B$128+E286*Assumptions!$B$129+F286*Assumptions!$B$14+G286*Assumptions!$B$13+H286*Assumptions!$B$12+I286*Assumptions!$B$11+Assumptions!$B$133+Assumptions!$B$137+Assumptions!$B$9</f>
        <v/>
      </c>
      <c r="L286">
        <f>B286-J286</f>
        <v/>
      </c>
      <c r="M286">
        <f>IF(K286&gt;0,IF(L286/K286&gt;=Assumptions!$B$37,1,0),0)</f>
        <v/>
      </c>
      <c r="N286">
        <f>K286+M286*Assumptions!$B$153</f>
        <v/>
      </c>
      <c r="O286">
        <f>L286+M286*Assumptions!$B$153*Assumptions!$B$37</f>
        <v/>
      </c>
      <c r="P286">
        <f>IF(N286&gt;0,O286/N286,0)</f>
        <v/>
      </c>
      <c r="Q286">
        <f>IF(C286=1,P286*Assumptions!$B$141,Assumptions!$B$41)</f>
        <v/>
      </c>
      <c r="R286">
        <f>IF(D286=1,P286*Assumptions!$B$128,Assumptions!$B$33)</f>
        <v/>
      </c>
      <c r="S286">
        <f>IF(E286=1,P286*Assumptions!$B$129,Assumptions!$B$32)</f>
        <v/>
      </c>
      <c r="T286">
        <f>IF(F286=1,P286*Assumptions!$B$14,Assumptions!$B$31)</f>
        <v/>
      </c>
      <c r="U286">
        <f>IF(G286=1,P286*Assumptions!$B$13,Assumptions!$B$30)</f>
        <v/>
      </c>
      <c r="V286">
        <f>IF(H286=1,P286*Assumptions!$B$12,Assumptions!$B$29)</f>
        <v/>
      </c>
      <c r="W286">
        <f>IF(I286=1,P286*Assumptions!$B$11,Assumptions!$B$28)</f>
        <v/>
      </c>
      <c r="X286">
        <f>P286*(Assumptions!$B$133+Assumptions!$B$137)</f>
        <v/>
      </c>
      <c r="Y286">
        <f>P286*Assumptions!$B$9</f>
        <v/>
      </c>
      <c r="Z286">
        <f>IF(M286=1,(P286-Assumptions!$B$37)*Assumptions!$B$153,0)</f>
        <v/>
      </c>
      <c r="AA286">
        <f>Q286+R286+S286+T286+U286+V286+W286+X286+Y286+Z286</f>
        <v/>
      </c>
      <c r="AB286" t="n">
        <v>107</v>
      </c>
      <c r="AC286" t="n">
        <v>43</v>
      </c>
      <c r="AD286" t="n">
        <v>75</v>
      </c>
      <c r="AE286" t="n">
        <v>123</v>
      </c>
      <c r="AF286" t="n">
        <v>99</v>
      </c>
      <c r="AG286" t="n">
        <v>111</v>
      </c>
      <c r="AH286" t="n">
        <v>105</v>
      </c>
      <c r="AI286" t="n">
        <v>106</v>
      </c>
      <c r="AJ286">
        <f>INDEX($Q$179:$Q$306,AC286+1)</f>
        <v/>
      </c>
      <c r="AK286">
        <f>INDEX($R$179:$R$306,AD286+1)</f>
        <v/>
      </c>
      <c r="AL286">
        <f>INDEX($S$179:$S$306,AE286+1)</f>
        <v/>
      </c>
      <c r="AM286">
        <f>INDEX($T$179:$T$306,AF286+1)</f>
        <v/>
      </c>
      <c r="AN286">
        <f>INDEX($U$179:$U$306,AG286+1)</f>
        <v/>
      </c>
      <c r="AO286">
        <f>INDEX($V$179:$V$306,AH286+1)</f>
        <v/>
      </c>
      <c r="AP286">
        <f>INDEX($W$179:$W$306,AI286+1)</f>
        <v/>
      </c>
      <c r="AQ286">
        <f>IF(Q286&gt;=AJ286-0.01,1,0)</f>
        <v/>
      </c>
      <c r="AR286">
        <f>IF(R286&gt;=AK286-0.01,1,0)</f>
        <v/>
      </c>
      <c r="AS286">
        <f>IF(S286&gt;=AL286-0.01,1,0)</f>
        <v/>
      </c>
      <c r="AT286">
        <f>IF(T286&gt;=AM286-0.01,1,0)</f>
        <v/>
      </c>
      <c r="AU286">
        <f>IF(U286&gt;=AN286-0.01,1,0)</f>
        <v/>
      </c>
      <c r="AV286">
        <f>IF(V286&gt;=AO286-0.01,1,0)</f>
        <v/>
      </c>
      <c r="AW286">
        <f>IF(W286&gt;=AP286-0.01,1,0)</f>
        <v/>
      </c>
      <c r="AX286">
        <f>AQ286*AR286*AS286*AT286*AU286*AV286*AW286</f>
        <v/>
      </c>
      <c r="AY286">
        <f>Assumptions!$B$41</f>
        <v/>
      </c>
      <c r="AZ286">
        <f>Assumptions!$B$33</f>
        <v/>
      </c>
      <c r="BA286">
        <f>Assumptions!$B$32</f>
        <v/>
      </c>
      <c r="BB286">
        <f>Assumptions!$B$31</f>
        <v/>
      </c>
      <c r="BC286">
        <f>Assumptions!$B$30</f>
        <v/>
      </c>
      <c r="BD286">
        <f>Assumptions!$B$29</f>
        <v/>
      </c>
      <c r="BE286">
        <f>Assumptions!$B$28</f>
        <v/>
      </c>
      <c r="BF286">
        <f>P286*Assumptions!$B$141</f>
        <v/>
      </c>
      <c r="BG286">
        <f>P286*Assumptions!$B$128</f>
        <v/>
      </c>
      <c r="BH286">
        <f>P286*Assumptions!$B$129</f>
        <v/>
      </c>
      <c r="BI286">
        <f>P286*Assumptions!$B$14</f>
        <v/>
      </c>
      <c r="BJ286">
        <f>P286*Assumptions!$B$13</f>
        <v/>
      </c>
      <c r="BK286">
        <f>P286*Assumptions!$B$12</f>
        <v/>
      </c>
      <c r="BL286">
        <f>P286*Assumptions!$B$11</f>
        <v/>
      </c>
    </row>
    <row r="287">
      <c r="A287" t="inlineStr">
        <is>
          <t>1200M</t>
        </is>
      </c>
      <c r="B287">
        <f>Assumptions!$B$59</f>
        <v/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>
        <f>(1-C287)*Assumptions!$B$41+(1-D287)*Assumptions!$B$33+(1-E287)*Assumptions!$B$32+(1-F287)*Assumptions!$B$31+(1-G287)*Assumptions!$B$30+(1-H287)*Assumptions!$B$29+(1-I287)*Assumptions!$B$28</f>
        <v/>
      </c>
      <c r="K287">
        <f>C287*Assumptions!$B$141+D287*Assumptions!$B$128+E287*Assumptions!$B$129+F287*Assumptions!$B$14+G287*Assumptions!$B$13+H287*Assumptions!$B$12+I287*Assumptions!$B$11+Assumptions!$B$133+Assumptions!$B$137+Assumptions!$B$9</f>
        <v/>
      </c>
      <c r="L287">
        <f>B287-J287</f>
        <v/>
      </c>
      <c r="M287">
        <f>IF(K287&gt;0,IF(L287/K287&gt;=Assumptions!$B$37,1,0),0)</f>
        <v/>
      </c>
      <c r="N287">
        <f>K287+M287*Assumptions!$B$153</f>
        <v/>
      </c>
      <c r="O287">
        <f>L287+M287*Assumptions!$B$153*Assumptions!$B$37</f>
        <v/>
      </c>
      <c r="P287">
        <f>IF(N287&gt;0,O287/N287,0)</f>
        <v/>
      </c>
      <c r="Q287">
        <f>IF(C287=1,P287*Assumptions!$B$141,Assumptions!$B$41)</f>
        <v/>
      </c>
      <c r="R287">
        <f>IF(D287=1,P287*Assumptions!$B$128,Assumptions!$B$33)</f>
        <v/>
      </c>
      <c r="S287">
        <f>IF(E287=1,P287*Assumptions!$B$129,Assumptions!$B$32)</f>
        <v/>
      </c>
      <c r="T287">
        <f>IF(F287=1,P287*Assumptions!$B$14,Assumptions!$B$31)</f>
        <v/>
      </c>
      <c r="U287">
        <f>IF(G287=1,P287*Assumptions!$B$13,Assumptions!$B$30)</f>
        <v/>
      </c>
      <c r="V287">
        <f>IF(H287=1,P287*Assumptions!$B$12,Assumptions!$B$29)</f>
        <v/>
      </c>
      <c r="W287">
        <f>IF(I287=1,P287*Assumptions!$B$11,Assumptions!$B$28)</f>
        <v/>
      </c>
      <c r="X287">
        <f>P287*(Assumptions!$B$133+Assumptions!$B$137)</f>
        <v/>
      </c>
      <c r="Y287">
        <f>P287*Assumptions!$B$9</f>
        <v/>
      </c>
      <c r="Z287">
        <f>IF(M287=1,(P287-Assumptions!$B$37)*Assumptions!$B$153,0)</f>
        <v/>
      </c>
      <c r="AA287">
        <f>Q287+R287+S287+T287+U287+V287+W287+X287+Y287+Z287</f>
        <v/>
      </c>
      <c r="AB287" t="n">
        <v>108</v>
      </c>
      <c r="AC287" t="n">
        <v>44</v>
      </c>
      <c r="AD287" t="n">
        <v>76</v>
      </c>
      <c r="AE287" t="n">
        <v>124</v>
      </c>
      <c r="AF287" t="n">
        <v>100</v>
      </c>
      <c r="AG287" t="n">
        <v>104</v>
      </c>
      <c r="AH287" t="n">
        <v>110</v>
      </c>
      <c r="AI287" t="n">
        <v>109</v>
      </c>
      <c r="AJ287">
        <f>INDEX($Q$179:$Q$306,AC287+1)</f>
        <v/>
      </c>
      <c r="AK287">
        <f>INDEX($R$179:$R$306,AD287+1)</f>
        <v/>
      </c>
      <c r="AL287">
        <f>INDEX($S$179:$S$306,AE287+1)</f>
        <v/>
      </c>
      <c r="AM287">
        <f>INDEX($T$179:$T$306,AF287+1)</f>
        <v/>
      </c>
      <c r="AN287">
        <f>INDEX($U$179:$U$306,AG287+1)</f>
        <v/>
      </c>
      <c r="AO287">
        <f>INDEX($V$179:$V$306,AH287+1)</f>
        <v/>
      </c>
      <c r="AP287">
        <f>INDEX($W$179:$W$306,AI287+1)</f>
        <v/>
      </c>
      <c r="AQ287">
        <f>IF(Q287&gt;=AJ287-0.01,1,0)</f>
        <v/>
      </c>
      <c r="AR287">
        <f>IF(R287&gt;=AK287-0.01,1,0)</f>
        <v/>
      </c>
      <c r="AS287">
        <f>IF(S287&gt;=AL287-0.01,1,0)</f>
        <v/>
      </c>
      <c r="AT287">
        <f>IF(T287&gt;=AM287-0.01,1,0)</f>
        <v/>
      </c>
      <c r="AU287">
        <f>IF(U287&gt;=AN287-0.01,1,0)</f>
        <v/>
      </c>
      <c r="AV287">
        <f>IF(V287&gt;=AO287-0.01,1,0)</f>
        <v/>
      </c>
      <c r="AW287">
        <f>IF(W287&gt;=AP287-0.01,1,0)</f>
        <v/>
      </c>
      <c r="AX287">
        <f>AQ287*AR287*AS287*AT287*AU287*AV287*AW287</f>
        <v/>
      </c>
      <c r="AY287">
        <f>Assumptions!$B$41</f>
        <v/>
      </c>
      <c r="AZ287">
        <f>Assumptions!$B$33</f>
        <v/>
      </c>
      <c r="BA287">
        <f>Assumptions!$B$32</f>
        <v/>
      </c>
      <c r="BB287">
        <f>Assumptions!$B$31</f>
        <v/>
      </c>
      <c r="BC287">
        <f>Assumptions!$B$30</f>
        <v/>
      </c>
      <c r="BD287">
        <f>Assumptions!$B$29</f>
        <v/>
      </c>
      <c r="BE287">
        <f>Assumptions!$B$28</f>
        <v/>
      </c>
      <c r="BF287">
        <f>P287*Assumptions!$B$141</f>
        <v/>
      </c>
      <c r="BG287">
        <f>P287*Assumptions!$B$128</f>
        <v/>
      </c>
      <c r="BH287">
        <f>P287*Assumptions!$B$129</f>
        <v/>
      </c>
      <c r="BI287">
        <f>P287*Assumptions!$B$14</f>
        <v/>
      </c>
      <c r="BJ287">
        <f>P287*Assumptions!$B$13</f>
        <v/>
      </c>
      <c r="BK287">
        <f>P287*Assumptions!$B$12</f>
        <v/>
      </c>
      <c r="BL287">
        <f>P287*Assumptions!$B$11</f>
        <v/>
      </c>
    </row>
    <row r="288">
      <c r="A288" t="inlineStr">
        <is>
          <t>1200M</t>
        </is>
      </c>
      <c r="B288">
        <f>Assumptions!$B$59</f>
        <v/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>
        <f>(1-C288)*Assumptions!$B$41+(1-D288)*Assumptions!$B$33+(1-E288)*Assumptions!$B$32+(1-F288)*Assumptions!$B$31+(1-G288)*Assumptions!$B$30+(1-H288)*Assumptions!$B$29+(1-I288)*Assumptions!$B$28</f>
        <v/>
      </c>
      <c r="K288">
        <f>C288*Assumptions!$B$141+D288*Assumptions!$B$128+E288*Assumptions!$B$129+F288*Assumptions!$B$14+G288*Assumptions!$B$13+H288*Assumptions!$B$12+I288*Assumptions!$B$11+Assumptions!$B$133+Assumptions!$B$137+Assumptions!$B$9</f>
        <v/>
      </c>
      <c r="L288">
        <f>B288-J288</f>
        <v/>
      </c>
      <c r="M288">
        <f>IF(K288&gt;0,IF(L288/K288&gt;=Assumptions!$B$37,1,0),0)</f>
        <v/>
      </c>
      <c r="N288">
        <f>K288+M288*Assumptions!$B$153</f>
        <v/>
      </c>
      <c r="O288">
        <f>L288+M288*Assumptions!$B$153*Assumptions!$B$37</f>
        <v/>
      </c>
      <c r="P288">
        <f>IF(N288&gt;0,O288/N288,0)</f>
        <v/>
      </c>
      <c r="Q288">
        <f>IF(C288=1,P288*Assumptions!$B$141,Assumptions!$B$41)</f>
        <v/>
      </c>
      <c r="R288">
        <f>IF(D288=1,P288*Assumptions!$B$128,Assumptions!$B$33)</f>
        <v/>
      </c>
      <c r="S288">
        <f>IF(E288=1,P288*Assumptions!$B$129,Assumptions!$B$32)</f>
        <v/>
      </c>
      <c r="T288">
        <f>IF(F288=1,P288*Assumptions!$B$14,Assumptions!$B$31)</f>
        <v/>
      </c>
      <c r="U288">
        <f>IF(G288=1,P288*Assumptions!$B$13,Assumptions!$B$30)</f>
        <v/>
      </c>
      <c r="V288">
        <f>IF(H288=1,P288*Assumptions!$B$12,Assumptions!$B$29)</f>
        <v/>
      </c>
      <c r="W288">
        <f>IF(I288=1,P288*Assumptions!$B$11,Assumptions!$B$28)</f>
        <v/>
      </c>
      <c r="X288">
        <f>P288*(Assumptions!$B$133+Assumptions!$B$137)</f>
        <v/>
      </c>
      <c r="Y288">
        <f>P288*Assumptions!$B$9</f>
        <v/>
      </c>
      <c r="Z288">
        <f>IF(M288=1,(P288-Assumptions!$B$37)*Assumptions!$B$153,0)</f>
        <v/>
      </c>
      <c r="AA288">
        <f>Q288+R288+S288+T288+U288+V288+W288+X288+Y288+Z288</f>
        <v/>
      </c>
      <c r="AB288" t="n">
        <v>109</v>
      </c>
      <c r="AC288" t="n">
        <v>45</v>
      </c>
      <c r="AD288" t="n">
        <v>77</v>
      </c>
      <c r="AE288" t="n">
        <v>125</v>
      </c>
      <c r="AF288" t="n">
        <v>101</v>
      </c>
      <c r="AG288" t="n">
        <v>105</v>
      </c>
      <c r="AH288" t="n">
        <v>111</v>
      </c>
      <c r="AI288" t="n">
        <v>108</v>
      </c>
      <c r="AJ288">
        <f>INDEX($Q$179:$Q$306,AC288+1)</f>
        <v/>
      </c>
      <c r="AK288">
        <f>INDEX($R$179:$R$306,AD288+1)</f>
        <v/>
      </c>
      <c r="AL288">
        <f>INDEX($S$179:$S$306,AE288+1)</f>
        <v/>
      </c>
      <c r="AM288">
        <f>INDEX($T$179:$T$306,AF288+1)</f>
        <v/>
      </c>
      <c r="AN288">
        <f>INDEX($U$179:$U$306,AG288+1)</f>
        <v/>
      </c>
      <c r="AO288">
        <f>INDEX($V$179:$V$306,AH288+1)</f>
        <v/>
      </c>
      <c r="AP288">
        <f>INDEX($W$179:$W$306,AI288+1)</f>
        <v/>
      </c>
      <c r="AQ288">
        <f>IF(Q288&gt;=AJ288-0.01,1,0)</f>
        <v/>
      </c>
      <c r="AR288">
        <f>IF(R288&gt;=AK288-0.01,1,0)</f>
        <v/>
      </c>
      <c r="AS288">
        <f>IF(S288&gt;=AL288-0.01,1,0)</f>
        <v/>
      </c>
      <c r="AT288">
        <f>IF(T288&gt;=AM288-0.01,1,0)</f>
        <v/>
      </c>
      <c r="AU288">
        <f>IF(U288&gt;=AN288-0.01,1,0)</f>
        <v/>
      </c>
      <c r="AV288">
        <f>IF(V288&gt;=AO288-0.01,1,0)</f>
        <v/>
      </c>
      <c r="AW288">
        <f>IF(W288&gt;=AP288-0.01,1,0)</f>
        <v/>
      </c>
      <c r="AX288">
        <f>AQ288*AR288*AS288*AT288*AU288*AV288*AW288</f>
        <v/>
      </c>
      <c r="AY288">
        <f>Assumptions!$B$41</f>
        <v/>
      </c>
      <c r="AZ288">
        <f>Assumptions!$B$33</f>
        <v/>
      </c>
      <c r="BA288">
        <f>Assumptions!$B$32</f>
        <v/>
      </c>
      <c r="BB288">
        <f>Assumptions!$B$31</f>
        <v/>
      </c>
      <c r="BC288">
        <f>Assumptions!$B$30</f>
        <v/>
      </c>
      <c r="BD288">
        <f>Assumptions!$B$29</f>
        <v/>
      </c>
      <c r="BE288">
        <f>Assumptions!$B$28</f>
        <v/>
      </c>
      <c r="BF288">
        <f>P288*Assumptions!$B$141</f>
        <v/>
      </c>
      <c r="BG288">
        <f>P288*Assumptions!$B$128</f>
        <v/>
      </c>
      <c r="BH288">
        <f>P288*Assumptions!$B$129</f>
        <v/>
      </c>
      <c r="BI288">
        <f>P288*Assumptions!$B$14</f>
        <v/>
      </c>
      <c r="BJ288">
        <f>P288*Assumptions!$B$13</f>
        <v/>
      </c>
      <c r="BK288">
        <f>P288*Assumptions!$B$12</f>
        <v/>
      </c>
      <c r="BL288">
        <f>P288*Assumptions!$B$11</f>
        <v/>
      </c>
    </row>
    <row r="289">
      <c r="A289" t="inlineStr">
        <is>
          <t>1200M</t>
        </is>
      </c>
      <c r="B289">
        <f>Assumptions!$B$59</f>
        <v/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0</v>
      </c>
      <c r="J289">
        <f>(1-C289)*Assumptions!$B$41+(1-D289)*Assumptions!$B$33+(1-E289)*Assumptions!$B$32+(1-F289)*Assumptions!$B$31+(1-G289)*Assumptions!$B$30+(1-H289)*Assumptions!$B$29+(1-I289)*Assumptions!$B$28</f>
        <v/>
      </c>
      <c r="K289">
        <f>C289*Assumptions!$B$141+D289*Assumptions!$B$128+E289*Assumptions!$B$129+F289*Assumptions!$B$14+G289*Assumptions!$B$13+H289*Assumptions!$B$12+I289*Assumptions!$B$11+Assumptions!$B$133+Assumptions!$B$137+Assumptions!$B$9</f>
        <v/>
      </c>
      <c r="L289">
        <f>B289-J289</f>
        <v/>
      </c>
      <c r="M289">
        <f>IF(K289&gt;0,IF(L289/K289&gt;=Assumptions!$B$37,1,0),0)</f>
        <v/>
      </c>
      <c r="N289">
        <f>K289+M289*Assumptions!$B$153</f>
        <v/>
      </c>
      <c r="O289">
        <f>L289+M289*Assumptions!$B$153*Assumptions!$B$37</f>
        <v/>
      </c>
      <c r="P289">
        <f>IF(N289&gt;0,O289/N289,0)</f>
        <v/>
      </c>
      <c r="Q289">
        <f>IF(C289=1,P289*Assumptions!$B$141,Assumptions!$B$41)</f>
        <v/>
      </c>
      <c r="R289">
        <f>IF(D289=1,P289*Assumptions!$B$128,Assumptions!$B$33)</f>
        <v/>
      </c>
      <c r="S289">
        <f>IF(E289=1,P289*Assumptions!$B$129,Assumptions!$B$32)</f>
        <v/>
      </c>
      <c r="T289">
        <f>IF(F289=1,P289*Assumptions!$B$14,Assumptions!$B$31)</f>
        <v/>
      </c>
      <c r="U289">
        <f>IF(G289=1,P289*Assumptions!$B$13,Assumptions!$B$30)</f>
        <v/>
      </c>
      <c r="V289">
        <f>IF(H289=1,P289*Assumptions!$B$12,Assumptions!$B$29)</f>
        <v/>
      </c>
      <c r="W289">
        <f>IF(I289=1,P289*Assumptions!$B$11,Assumptions!$B$28)</f>
        <v/>
      </c>
      <c r="X289">
        <f>P289*(Assumptions!$B$133+Assumptions!$B$137)</f>
        <v/>
      </c>
      <c r="Y289">
        <f>P289*Assumptions!$B$9</f>
        <v/>
      </c>
      <c r="Z289">
        <f>IF(M289=1,(P289-Assumptions!$B$37)*Assumptions!$B$153,0)</f>
        <v/>
      </c>
      <c r="AA289">
        <f>Q289+R289+S289+T289+U289+V289+W289+X289+Y289+Z289</f>
        <v/>
      </c>
      <c r="AB289" t="n">
        <v>110</v>
      </c>
      <c r="AC289" t="n">
        <v>46</v>
      </c>
      <c r="AD289" t="n">
        <v>78</v>
      </c>
      <c r="AE289" t="n">
        <v>126</v>
      </c>
      <c r="AF289" t="n">
        <v>102</v>
      </c>
      <c r="AG289" t="n">
        <v>106</v>
      </c>
      <c r="AH289" t="n">
        <v>108</v>
      </c>
      <c r="AI289" t="n">
        <v>111</v>
      </c>
      <c r="AJ289">
        <f>INDEX($Q$179:$Q$306,AC289+1)</f>
        <v/>
      </c>
      <c r="AK289">
        <f>INDEX($R$179:$R$306,AD289+1)</f>
        <v/>
      </c>
      <c r="AL289">
        <f>INDEX($S$179:$S$306,AE289+1)</f>
        <v/>
      </c>
      <c r="AM289">
        <f>INDEX($T$179:$T$306,AF289+1)</f>
        <v/>
      </c>
      <c r="AN289">
        <f>INDEX($U$179:$U$306,AG289+1)</f>
        <v/>
      </c>
      <c r="AO289">
        <f>INDEX($V$179:$V$306,AH289+1)</f>
        <v/>
      </c>
      <c r="AP289">
        <f>INDEX($W$179:$W$306,AI289+1)</f>
        <v/>
      </c>
      <c r="AQ289">
        <f>IF(Q289&gt;=AJ289-0.01,1,0)</f>
        <v/>
      </c>
      <c r="AR289">
        <f>IF(R289&gt;=AK289-0.01,1,0)</f>
        <v/>
      </c>
      <c r="AS289">
        <f>IF(S289&gt;=AL289-0.01,1,0)</f>
        <v/>
      </c>
      <c r="AT289">
        <f>IF(T289&gt;=AM289-0.01,1,0)</f>
        <v/>
      </c>
      <c r="AU289">
        <f>IF(U289&gt;=AN289-0.01,1,0)</f>
        <v/>
      </c>
      <c r="AV289">
        <f>IF(V289&gt;=AO289-0.01,1,0)</f>
        <v/>
      </c>
      <c r="AW289">
        <f>IF(W289&gt;=AP289-0.01,1,0)</f>
        <v/>
      </c>
      <c r="AX289">
        <f>AQ289*AR289*AS289*AT289*AU289*AV289*AW289</f>
        <v/>
      </c>
      <c r="AY289">
        <f>Assumptions!$B$41</f>
        <v/>
      </c>
      <c r="AZ289">
        <f>Assumptions!$B$33</f>
        <v/>
      </c>
      <c r="BA289">
        <f>Assumptions!$B$32</f>
        <v/>
      </c>
      <c r="BB289">
        <f>Assumptions!$B$31</f>
        <v/>
      </c>
      <c r="BC289">
        <f>Assumptions!$B$30</f>
        <v/>
      </c>
      <c r="BD289">
        <f>Assumptions!$B$29</f>
        <v/>
      </c>
      <c r="BE289">
        <f>Assumptions!$B$28</f>
        <v/>
      </c>
      <c r="BF289">
        <f>P289*Assumptions!$B$141</f>
        <v/>
      </c>
      <c r="BG289">
        <f>P289*Assumptions!$B$128</f>
        <v/>
      </c>
      <c r="BH289">
        <f>P289*Assumptions!$B$129</f>
        <v/>
      </c>
      <c r="BI289">
        <f>P289*Assumptions!$B$14</f>
        <v/>
      </c>
      <c r="BJ289">
        <f>P289*Assumptions!$B$13</f>
        <v/>
      </c>
      <c r="BK289">
        <f>P289*Assumptions!$B$12</f>
        <v/>
      </c>
      <c r="BL289">
        <f>P289*Assumptions!$B$11</f>
        <v/>
      </c>
    </row>
    <row r="290">
      <c r="A290" t="inlineStr">
        <is>
          <t>1200M</t>
        </is>
      </c>
      <c r="B290">
        <f>Assumptions!$B$59</f>
        <v/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>
        <f>(1-C290)*Assumptions!$B$41+(1-D290)*Assumptions!$B$33+(1-E290)*Assumptions!$B$32+(1-F290)*Assumptions!$B$31+(1-G290)*Assumptions!$B$30+(1-H290)*Assumptions!$B$29+(1-I290)*Assumptions!$B$28</f>
        <v/>
      </c>
      <c r="K290">
        <f>C290*Assumptions!$B$141+D290*Assumptions!$B$128+E290*Assumptions!$B$129+F290*Assumptions!$B$14+G290*Assumptions!$B$13+H290*Assumptions!$B$12+I290*Assumptions!$B$11+Assumptions!$B$133+Assumptions!$B$137+Assumptions!$B$9</f>
        <v/>
      </c>
      <c r="L290">
        <f>B290-J290</f>
        <v/>
      </c>
      <c r="M290">
        <f>IF(K290&gt;0,IF(L290/K290&gt;=Assumptions!$B$37,1,0),0)</f>
        <v/>
      </c>
      <c r="N290">
        <f>K290+M290*Assumptions!$B$153</f>
        <v/>
      </c>
      <c r="O290">
        <f>L290+M290*Assumptions!$B$153*Assumptions!$B$37</f>
        <v/>
      </c>
      <c r="P290">
        <f>IF(N290&gt;0,O290/N290,0)</f>
        <v/>
      </c>
      <c r="Q290">
        <f>IF(C290=1,P290*Assumptions!$B$141,Assumptions!$B$41)</f>
        <v/>
      </c>
      <c r="R290">
        <f>IF(D290=1,P290*Assumptions!$B$128,Assumptions!$B$33)</f>
        <v/>
      </c>
      <c r="S290">
        <f>IF(E290=1,P290*Assumptions!$B$129,Assumptions!$B$32)</f>
        <v/>
      </c>
      <c r="T290">
        <f>IF(F290=1,P290*Assumptions!$B$14,Assumptions!$B$31)</f>
        <v/>
      </c>
      <c r="U290">
        <f>IF(G290=1,P290*Assumptions!$B$13,Assumptions!$B$30)</f>
        <v/>
      </c>
      <c r="V290">
        <f>IF(H290=1,P290*Assumptions!$B$12,Assumptions!$B$29)</f>
        <v/>
      </c>
      <c r="W290">
        <f>IF(I290=1,P290*Assumptions!$B$11,Assumptions!$B$28)</f>
        <v/>
      </c>
      <c r="X290">
        <f>P290*(Assumptions!$B$133+Assumptions!$B$137)</f>
        <v/>
      </c>
      <c r="Y290">
        <f>P290*Assumptions!$B$9</f>
        <v/>
      </c>
      <c r="Z290">
        <f>IF(M290=1,(P290-Assumptions!$B$37)*Assumptions!$B$153,0)</f>
        <v/>
      </c>
      <c r="AA290">
        <f>Q290+R290+S290+T290+U290+V290+W290+X290+Y290+Z290</f>
        <v/>
      </c>
      <c r="AB290" t="n">
        <v>111</v>
      </c>
      <c r="AC290" t="n">
        <v>47</v>
      </c>
      <c r="AD290" t="n">
        <v>79</v>
      </c>
      <c r="AE290" t="n">
        <v>127</v>
      </c>
      <c r="AF290" t="n">
        <v>103</v>
      </c>
      <c r="AG290" t="n">
        <v>107</v>
      </c>
      <c r="AH290" t="n">
        <v>109</v>
      </c>
      <c r="AI290" t="n">
        <v>110</v>
      </c>
      <c r="AJ290">
        <f>INDEX($Q$179:$Q$306,AC290+1)</f>
        <v/>
      </c>
      <c r="AK290">
        <f>INDEX($R$179:$R$306,AD290+1)</f>
        <v/>
      </c>
      <c r="AL290">
        <f>INDEX($S$179:$S$306,AE290+1)</f>
        <v/>
      </c>
      <c r="AM290">
        <f>INDEX($T$179:$T$306,AF290+1)</f>
        <v/>
      </c>
      <c r="AN290">
        <f>INDEX($U$179:$U$306,AG290+1)</f>
        <v/>
      </c>
      <c r="AO290">
        <f>INDEX($V$179:$V$306,AH290+1)</f>
        <v/>
      </c>
      <c r="AP290">
        <f>INDEX($W$179:$W$306,AI290+1)</f>
        <v/>
      </c>
      <c r="AQ290">
        <f>IF(Q290&gt;=AJ290-0.01,1,0)</f>
        <v/>
      </c>
      <c r="AR290">
        <f>IF(R290&gt;=AK290-0.01,1,0)</f>
        <v/>
      </c>
      <c r="AS290">
        <f>IF(S290&gt;=AL290-0.01,1,0)</f>
        <v/>
      </c>
      <c r="AT290">
        <f>IF(T290&gt;=AM290-0.01,1,0)</f>
        <v/>
      </c>
      <c r="AU290">
        <f>IF(U290&gt;=AN290-0.01,1,0)</f>
        <v/>
      </c>
      <c r="AV290">
        <f>IF(V290&gt;=AO290-0.01,1,0)</f>
        <v/>
      </c>
      <c r="AW290">
        <f>IF(W290&gt;=AP290-0.01,1,0)</f>
        <v/>
      </c>
      <c r="AX290">
        <f>AQ290*AR290*AS290*AT290*AU290*AV290*AW290</f>
        <v/>
      </c>
      <c r="AY290">
        <f>Assumptions!$B$41</f>
        <v/>
      </c>
      <c r="AZ290">
        <f>Assumptions!$B$33</f>
        <v/>
      </c>
      <c r="BA290">
        <f>Assumptions!$B$32</f>
        <v/>
      </c>
      <c r="BB290">
        <f>Assumptions!$B$31</f>
        <v/>
      </c>
      <c r="BC290">
        <f>Assumptions!$B$30</f>
        <v/>
      </c>
      <c r="BD290">
        <f>Assumptions!$B$29</f>
        <v/>
      </c>
      <c r="BE290">
        <f>Assumptions!$B$28</f>
        <v/>
      </c>
      <c r="BF290">
        <f>P290*Assumptions!$B$141</f>
        <v/>
      </c>
      <c r="BG290">
        <f>P290*Assumptions!$B$128</f>
        <v/>
      </c>
      <c r="BH290">
        <f>P290*Assumptions!$B$129</f>
        <v/>
      </c>
      <c r="BI290">
        <f>P290*Assumptions!$B$14</f>
        <v/>
      </c>
      <c r="BJ290">
        <f>P290*Assumptions!$B$13</f>
        <v/>
      </c>
      <c r="BK290">
        <f>P290*Assumptions!$B$12</f>
        <v/>
      </c>
      <c r="BL290">
        <f>P290*Assumptions!$B$11</f>
        <v/>
      </c>
    </row>
    <row r="291">
      <c r="A291" t="inlineStr">
        <is>
          <t>1200M</t>
        </is>
      </c>
      <c r="B291">
        <f>Assumptions!$B$59</f>
        <v/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>
        <f>(1-C291)*Assumptions!$B$41+(1-D291)*Assumptions!$B$33+(1-E291)*Assumptions!$B$32+(1-F291)*Assumptions!$B$31+(1-G291)*Assumptions!$B$30+(1-H291)*Assumptions!$B$29+(1-I291)*Assumptions!$B$28</f>
        <v/>
      </c>
      <c r="K291">
        <f>C291*Assumptions!$B$141+D291*Assumptions!$B$128+E291*Assumptions!$B$129+F291*Assumptions!$B$14+G291*Assumptions!$B$13+H291*Assumptions!$B$12+I291*Assumptions!$B$11+Assumptions!$B$133+Assumptions!$B$137+Assumptions!$B$9</f>
        <v/>
      </c>
      <c r="L291">
        <f>B291-J291</f>
        <v/>
      </c>
      <c r="M291">
        <f>IF(K291&gt;0,IF(L291/K291&gt;=Assumptions!$B$37,1,0),0)</f>
        <v/>
      </c>
      <c r="N291">
        <f>K291+M291*Assumptions!$B$153</f>
        <v/>
      </c>
      <c r="O291">
        <f>L291+M291*Assumptions!$B$153*Assumptions!$B$37</f>
        <v/>
      </c>
      <c r="P291">
        <f>IF(N291&gt;0,O291/N291,0)</f>
        <v/>
      </c>
      <c r="Q291">
        <f>IF(C291=1,P291*Assumptions!$B$141,Assumptions!$B$41)</f>
        <v/>
      </c>
      <c r="R291">
        <f>IF(D291=1,P291*Assumptions!$B$128,Assumptions!$B$33)</f>
        <v/>
      </c>
      <c r="S291">
        <f>IF(E291=1,P291*Assumptions!$B$129,Assumptions!$B$32)</f>
        <v/>
      </c>
      <c r="T291">
        <f>IF(F291=1,P291*Assumptions!$B$14,Assumptions!$B$31)</f>
        <v/>
      </c>
      <c r="U291">
        <f>IF(G291=1,P291*Assumptions!$B$13,Assumptions!$B$30)</f>
        <v/>
      </c>
      <c r="V291">
        <f>IF(H291=1,P291*Assumptions!$B$12,Assumptions!$B$29)</f>
        <v/>
      </c>
      <c r="W291">
        <f>IF(I291=1,P291*Assumptions!$B$11,Assumptions!$B$28)</f>
        <v/>
      </c>
      <c r="X291">
        <f>P291*(Assumptions!$B$133+Assumptions!$B$137)</f>
        <v/>
      </c>
      <c r="Y291">
        <f>P291*Assumptions!$B$9</f>
        <v/>
      </c>
      <c r="Z291">
        <f>IF(M291=1,(P291-Assumptions!$B$37)*Assumptions!$B$153,0)</f>
        <v/>
      </c>
      <c r="AA291">
        <f>Q291+R291+S291+T291+U291+V291+W291+X291+Y291+Z291</f>
        <v/>
      </c>
      <c r="AB291" t="n">
        <v>112</v>
      </c>
      <c r="AC291" t="n">
        <v>48</v>
      </c>
      <c r="AD291" t="n">
        <v>80</v>
      </c>
      <c r="AE291" t="n">
        <v>96</v>
      </c>
      <c r="AF291" t="n">
        <v>120</v>
      </c>
      <c r="AG291" t="n">
        <v>116</v>
      </c>
      <c r="AH291" t="n">
        <v>114</v>
      </c>
      <c r="AI291" t="n">
        <v>113</v>
      </c>
      <c r="AJ291">
        <f>INDEX($Q$179:$Q$306,AC291+1)</f>
        <v/>
      </c>
      <c r="AK291">
        <f>INDEX($R$179:$R$306,AD291+1)</f>
        <v/>
      </c>
      <c r="AL291">
        <f>INDEX($S$179:$S$306,AE291+1)</f>
        <v/>
      </c>
      <c r="AM291">
        <f>INDEX($T$179:$T$306,AF291+1)</f>
        <v/>
      </c>
      <c r="AN291">
        <f>INDEX($U$179:$U$306,AG291+1)</f>
        <v/>
      </c>
      <c r="AO291">
        <f>INDEX($V$179:$V$306,AH291+1)</f>
        <v/>
      </c>
      <c r="AP291">
        <f>INDEX($W$179:$W$306,AI291+1)</f>
        <v/>
      </c>
      <c r="AQ291">
        <f>IF(Q291&gt;=AJ291-0.01,1,0)</f>
        <v/>
      </c>
      <c r="AR291">
        <f>IF(R291&gt;=AK291-0.01,1,0)</f>
        <v/>
      </c>
      <c r="AS291">
        <f>IF(S291&gt;=AL291-0.01,1,0)</f>
        <v/>
      </c>
      <c r="AT291">
        <f>IF(T291&gt;=AM291-0.01,1,0)</f>
        <v/>
      </c>
      <c r="AU291">
        <f>IF(U291&gt;=AN291-0.01,1,0)</f>
        <v/>
      </c>
      <c r="AV291">
        <f>IF(V291&gt;=AO291-0.01,1,0)</f>
        <v/>
      </c>
      <c r="AW291">
        <f>IF(W291&gt;=AP291-0.01,1,0)</f>
        <v/>
      </c>
      <c r="AX291">
        <f>AQ291*AR291*AS291*AT291*AU291*AV291*AW291</f>
        <v/>
      </c>
      <c r="AY291">
        <f>Assumptions!$B$41</f>
        <v/>
      </c>
      <c r="AZ291">
        <f>Assumptions!$B$33</f>
        <v/>
      </c>
      <c r="BA291">
        <f>Assumptions!$B$32</f>
        <v/>
      </c>
      <c r="BB291">
        <f>Assumptions!$B$31</f>
        <v/>
      </c>
      <c r="BC291">
        <f>Assumptions!$B$30</f>
        <v/>
      </c>
      <c r="BD291">
        <f>Assumptions!$B$29</f>
        <v/>
      </c>
      <c r="BE291">
        <f>Assumptions!$B$28</f>
        <v/>
      </c>
      <c r="BF291">
        <f>P291*Assumptions!$B$141</f>
        <v/>
      </c>
      <c r="BG291">
        <f>P291*Assumptions!$B$128</f>
        <v/>
      </c>
      <c r="BH291">
        <f>P291*Assumptions!$B$129</f>
        <v/>
      </c>
      <c r="BI291">
        <f>P291*Assumptions!$B$14</f>
        <v/>
      </c>
      <c r="BJ291">
        <f>P291*Assumptions!$B$13</f>
        <v/>
      </c>
      <c r="BK291">
        <f>P291*Assumptions!$B$12</f>
        <v/>
      </c>
      <c r="BL291">
        <f>P291*Assumptions!$B$11</f>
        <v/>
      </c>
    </row>
    <row r="292">
      <c r="A292" t="inlineStr">
        <is>
          <t>1200M</t>
        </is>
      </c>
      <c r="B292">
        <f>Assumptions!$B$59</f>
        <v/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>
        <f>(1-C292)*Assumptions!$B$41+(1-D292)*Assumptions!$B$33+(1-E292)*Assumptions!$B$32+(1-F292)*Assumptions!$B$31+(1-G292)*Assumptions!$B$30+(1-H292)*Assumptions!$B$29+(1-I292)*Assumptions!$B$28</f>
        <v/>
      </c>
      <c r="K292">
        <f>C292*Assumptions!$B$141+D292*Assumptions!$B$128+E292*Assumptions!$B$129+F292*Assumptions!$B$14+G292*Assumptions!$B$13+H292*Assumptions!$B$12+I292*Assumptions!$B$11+Assumptions!$B$133+Assumptions!$B$137+Assumptions!$B$9</f>
        <v/>
      </c>
      <c r="L292">
        <f>B292-J292</f>
        <v/>
      </c>
      <c r="M292">
        <f>IF(K292&gt;0,IF(L292/K292&gt;=Assumptions!$B$37,1,0),0)</f>
        <v/>
      </c>
      <c r="N292">
        <f>K292+M292*Assumptions!$B$153</f>
        <v/>
      </c>
      <c r="O292">
        <f>L292+M292*Assumptions!$B$153*Assumptions!$B$37</f>
        <v/>
      </c>
      <c r="P292">
        <f>IF(N292&gt;0,O292/N292,0)</f>
        <v/>
      </c>
      <c r="Q292">
        <f>IF(C292=1,P292*Assumptions!$B$141,Assumptions!$B$41)</f>
        <v/>
      </c>
      <c r="R292">
        <f>IF(D292=1,P292*Assumptions!$B$128,Assumptions!$B$33)</f>
        <v/>
      </c>
      <c r="S292">
        <f>IF(E292=1,P292*Assumptions!$B$129,Assumptions!$B$32)</f>
        <v/>
      </c>
      <c r="T292">
        <f>IF(F292=1,P292*Assumptions!$B$14,Assumptions!$B$31)</f>
        <v/>
      </c>
      <c r="U292">
        <f>IF(G292=1,P292*Assumptions!$B$13,Assumptions!$B$30)</f>
        <v/>
      </c>
      <c r="V292">
        <f>IF(H292=1,P292*Assumptions!$B$12,Assumptions!$B$29)</f>
        <v/>
      </c>
      <c r="W292">
        <f>IF(I292=1,P292*Assumptions!$B$11,Assumptions!$B$28)</f>
        <v/>
      </c>
      <c r="X292">
        <f>P292*(Assumptions!$B$133+Assumptions!$B$137)</f>
        <v/>
      </c>
      <c r="Y292">
        <f>P292*Assumptions!$B$9</f>
        <v/>
      </c>
      <c r="Z292">
        <f>IF(M292=1,(P292-Assumptions!$B$37)*Assumptions!$B$153,0)</f>
        <v/>
      </c>
      <c r="AA292">
        <f>Q292+R292+S292+T292+U292+V292+W292+X292+Y292+Z292</f>
        <v/>
      </c>
      <c r="AB292" t="n">
        <v>113</v>
      </c>
      <c r="AC292" t="n">
        <v>49</v>
      </c>
      <c r="AD292" t="n">
        <v>81</v>
      </c>
      <c r="AE292" t="n">
        <v>97</v>
      </c>
      <c r="AF292" t="n">
        <v>121</v>
      </c>
      <c r="AG292" t="n">
        <v>117</v>
      </c>
      <c r="AH292" t="n">
        <v>115</v>
      </c>
      <c r="AI292" t="n">
        <v>112</v>
      </c>
      <c r="AJ292">
        <f>INDEX($Q$179:$Q$306,AC292+1)</f>
        <v/>
      </c>
      <c r="AK292">
        <f>INDEX($R$179:$R$306,AD292+1)</f>
        <v/>
      </c>
      <c r="AL292">
        <f>INDEX($S$179:$S$306,AE292+1)</f>
        <v/>
      </c>
      <c r="AM292">
        <f>INDEX($T$179:$T$306,AF292+1)</f>
        <v/>
      </c>
      <c r="AN292">
        <f>INDEX($U$179:$U$306,AG292+1)</f>
        <v/>
      </c>
      <c r="AO292">
        <f>INDEX($V$179:$V$306,AH292+1)</f>
        <v/>
      </c>
      <c r="AP292">
        <f>INDEX($W$179:$W$306,AI292+1)</f>
        <v/>
      </c>
      <c r="AQ292">
        <f>IF(Q292&gt;=AJ292-0.01,1,0)</f>
        <v/>
      </c>
      <c r="AR292">
        <f>IF(R292&gt;=AK292-0.01,1,0)</f>
        <v/>
      </c>
      <c r="AS292">
        <f>IF(S292&gt;=AL292-0.01,1,0)</f>
        <v/>
      </c>
      <c r="AT292">
        <f>IF(T292&gt;=AM292-0.01,1,0)</f>
        <v/>
      </c>
      <c r="AU292">
        <f>IF(U292&gt;=AN292-0.01,1,0)</f>
        <v/>
      </c>
      <c r="AV292">
        <f>IF(V292&gt;=AO292-0.01,1,0)</f>
        <v/>
      </c>
      <c r="AW292">
        <f>IF(W292&gt;=AP292-0.01,1,0)</f>
        <v/>
      </c>
      <c r="AX292">
        <f>AQ292*AR292*AS292*AT292*AU292*AV292*AW292</f>
        <v/>
      </c>
      <c r="AY292">
        <f>Assumptions!$B$41</f>
        <v/>
      </c>
      <c r="AZ292">
        <f>Assumptions!$B$33</f>
        <v/>
      </c>
      <c r="BA292">
        <f>Assumptions!$B$32</f>
        <v/>
      </c>
      <c r="BB292">
        <f>Assumptions!$B$31</f>
        <v/>
      </c>
      <c r="BC292">
        <f>Assumptions!$B$30</f>
        <v/>
      </c>
      <c r="BD292">
        <f>Assumptions!$B$29</f>
        <v/>
      </c>
      <c r="BE292">
        <f>Assumptions!$B$28</f>
        <v/>
      </c>
      <c r="BF292">
        <f>P292*Assumptions!$B$141</f>
        <v/>
      </c>
      <c r="BG292">
        <f>P292*Assumptions!$B$128</f>
        <v/>
      </c>
      <c r="BH292">
        <f>P292*Assumptions!$B$129</f>
        <v/>
      </c>
      <c r="BI292">
        <f>P292*Assumptions!$B$14</f>
        <v/>
      </c>
      <c r="BJ292">
        <f>P292*Assumptions!$B$13</f>
        <v/>
      </c>
      <c r="BK292">
        <f>P292*Assumptions!$B$12</f>
        <v/>
      </c>
      <c r="BL292">
        <f>P292*Assumptions!$B$11</f>
        <v/>
      </c>
    </row>
    <row r="293">
      <c r="A293" t="inlineStr">
        <is>
          <t>1200M</t>
        </is>
      </c>
      <c r="B293">
        <f>Assumptions!$B$59</f>
        <v/>
      </c>
      <c r="C293" t="n">
        <v>1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>
        <f>(1-C293)*Assumptions!$B$41+(1-D293)*Assumptions!$B$33+(1-E293)*Assumptions!$B$32+(1-F293)*Assumptions!$B$31+(1-G293)*Assumptions!$B$30+(1-H293)*Assumptions!$B$29+(1-I293)*Assumptions!$B$28</f>
        <v/>
      </c>
      <c r="K293">
        <f>C293*Assumptions!$B$141+D293*Assumptions!$B$128+E293*Assumptions!$B$129+F293*Assumptions!$B$14+G293*Assumptions!$B$13+H293*Assumptions!$B$12+I293*Assumptions!$B$11+Assumptions!$B$133+Assumptions!$B$137+Assumptions!$B$9</f>
        <v/>
      </c>
      <c r="L293">
        <f>B293-J293</f>
        <v/>
      </c>
      <c r="M293">
        <f>IF(K293&gt;0,IF(L293/K293&gt;=Assumptions!$B$37,1,0),0)</f>
        <v/>
      </c>
      <c r="N293">
        <f>K293+M293*Assumptions!$B$153</f>
        <v/>
      </c>
      <c r="O293">
        <f>L293+M293*Assumptions!$B$153*Assumptions!$B$37</f>
        <v/>
      </c>
      <c r="P293">
        <f>IF(N293&gt;0,O293/N293,0)</f>
        <v/>
      </c>
      <c r="Q293">
        <f>IF(C293=1,P293*Assumptions!$B$141,Assumptions!$B$41)</f>
        <v/>
      </c>
      <c r="R293">
        <f>IF(D293=1,P293*Assumptions!$B$128,Assumptions!$B$33)</f>
        <v/>
      </c>
      <c r="S293">
        <f>IF(E293=1,P293*Assumptions!$B$129,Assumptions!$B$32)</f>
        <v/>
      </c>
      <c r="T293">
        <f>IF(F293=1,P293*Assumptions!$B$14,Assumptions!$B$31)</f>
        <v/>
      </c>
      <c r="U293">
        <f>IF(G293=1,P293*Assumptions!$B$13,Assumptions!$B$30)</f>
        <v/>
      </c>
      <c r="V293">
        <f>IF(H293=1,P293*Assumptions!$B$12,Assumptions!$B$29)</f>
        <v/>
      </c>
      <c r="W293">
        <f>IF(I293=1,P293*Assumptions!$B$11,Assumptions!$B$28)</f>
        <v/>
      </c>
      <c r="X293">
        <f>P293*(Assumptions!$B$133+Assumptions!$B$137)</f>
        <v/>
      </c>
      <c r="Y293">
        <f>P293*Assumptions!$B$9</f>
        <v/>
      </c>
      <c r="Z293">
        <f>IF(M293=1,(P293-Assumptions!$B$37)*Assumptions!$B$153,0)</f>
        <v/>
      </c>
      <c r="AA293">
        <f>Q293+R293+S293+T293+U293+V293+W293+X293+Y293+Z293</f>
        <v/>
      </c>
      <c r="AB293" t="n">
        <v>114</v>
      </c>
      <c r="AC293" t="n">
        <v>50</v>
      </c>
      <c r="AD293" t="n">
        <v>82</v>
      </c>
      <c r="AE293" t="n">
        <v>98</v>
      </c>
      <c r="AF293" t="n">
        <v>122</v>
      </c>
      <c r="AG293" t="n">
        <v>118</v>
      </c>
      <c r="AH293" t="n">
        <v>112</v>
      </c>
      <c r="AI293" t="n">
        <v>115</v>
      </c>
      <c r="AJ293">
        <f>INDEX($Q$179:$Q$306,AC293+1)</f>
        <v/>
      </c>
      <c r="AK293">
        <f>INDEX($R$179:$R$306,AD293+1)</f>
        <v/>
      </c>
      <c r="AL293">
        <f>INDEX($S$179:$S$306,AE293+1)</f>
        <v/>
      </c>
      <c r="AM293">
        <f>INDEX($T$179:$T$306,AF293+1)</f>
        <v/>
      </c>
      <c r="AN293">
        <f>INDEX($U$179:$U$306,AG293+1)</f>
        <v/>
      </c>
      <c r="AO293">
        <f>INDEX($V$179:$V$306,AH293+1)</f>
        <v/>
      </c>
      <c r="AP293">
        <f>INDEX($W$179:$W$306,AI293+1)</f>
        <v/>
      </c>
      <c r="AQ293">
        <f>IF(Q293&gt;=AJ293-0.01,1,0)</f>
        <v/>
      </c>
      <c r="AR293">
        <f>IF(R293&gt;=AK293-0.01,1,0)</f>
        <v/>
      </c>
      <c r="AS293">
        <f>IF(S293&gt;=AL293-0.01,1,0)</f>
        <v/>
      </c>
      <c r="AT293">
        <f>IF(T293&gt;=AM293-0.01,1,0)</f>
        <v/>
      </c>
      <c r="AU293">
        <f>IF(U293&gt;=AN293-0.01,1,0)</f>
        <v/>
      </c>
      <c r="AV293">
        <f>IF(V293&gt;=AO293-0.01,1,0)</f>
        <v/>
      </c>
      <c r="AW293">
        <f>IF(W293&gt;=AP293-0.01,1,0)</f>
        <v/>
      </c>
      <c r="AX293">
        <f>AQ293*AR293*AS293*AT293*AU293*AV293*AW293</f>
        <v/>
      </c>
      <c r="AY293">
        <f>Assumptions!$B$41</f>
        <v/>
      </c>
      <c r="AZ293">
        <f>Assumptions!$B$33</f>
        <v/>
      </c>
      <c r="BA293">
        <f>Assumptions!$B$32</f>
        <v/>
      </c>
      <c r="BB293">
        <f>Assumptions!$B$31</f>
        <v/>
      </c>
      <c r="BC293">
        <f>Assumptions!$B$30</f>
        <v/>
      </c>
      <c r="BD293">
        <f>Assumptions!$B$29</f>
        <v/>
      </c>
      <c r="BE293">
        <f>Assumptions!$B$28</f>
        <v/>
      </c>
      <c r="BF293">
        <f>P293*Assumptions!$B$141</f>
        <v/>
      </c>
      <c r="BG293">
        <f>P293*Assumptions!$B$128</f>
        <v/>
      </c>
      <c r="BH293">
        <f>P293*Assumptions!$B$129</f>
        <v/>
      </c>
      <c r="BI293">
        <f>P293*Assumptions!$B$14</f>
        <v/>
      </c>
      <c r="BJ293">
        <f>P293*Assumptions!$B$13</f>
        <v/>
      </c>
      <c r="BK293">
        <f>P293*Assumptions!$B$12</f>
        <v/>
      </c>
      <c r="BL293">
        <f>P293*Assumptions!$B$11</f>
        <v/>
      </c>
    </row>
    <row r="294">
      <c r="A294" t="inlineStr">
        <is>
          <t>1200M</t>
        </is>
      </c>
      <c r="B294">
        <f>Assumptions!$B$59</f>
        <v/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  <c r="I294" t="n">
        <v>1</v>
      </c>
      <c r="J294">
        <f>(1-C294)*Assumptions!$B$41+(1-D294)*Assumptions!$B$33+(1-E294)*Assumptions!$B$32+(1-F294)*Assumptions!$B$31+(1-G294)*Assumptions!$B$30+(1-H294)*Assumptions!$B$29+(1-I294)*Assumptions!$B$28</f>
        <v/>
      </c>
      <c r="K294">
        <f>C294*Assumptions!$B$141+D294*Assumptions!$B$128+E294*Assumptions!$B$129+F294*Assumptions!$B$14+G294*Assumptions!$B$13+H294*Assumptions!$B$12+I294*Assumptions!$B$11+Assumptions!$B$133+Assumptions!$B$137+Assumptions!$B$9</f>
        <v/>
      </c>
      <c r="L294">
        <f>B294-J294</f>
        <v/>
      </c>
      <c r="M294">
        <f>IF(K294&gt;0,IF(L294/K294&gt;=Assumptions!$B$37,1,0),0)</f>
        <v/>
      </c>
      <c r="N294">
        <f>K294+M294*Assumptions!$B$153</f>
        <v/>
      </c>
      <c r="O294">
        <f>L294+M294*Assumptions!$B$153*Assumptions!$B$37</f>
        <v/>
      </c>
      <c r="P294">
        <f>IF(N294&gt;0,O294/N294,0)</f>
        <v/>
      </c>
      <c r="Q294">
        <f>IF(C294=1,P294*Assumptions!$B$141,Assumptions!$B$41)</f>
        <v/>
      </c>
      <c r="R294">
        <f>IF(D294=1,P294*Assumptions!$B$128,Assumptions!$B$33)</f>
        <v/>
      </c>
      <c r="S294">
        <f>IF(E294=1,P294*Assumptions!$B$129,Assumptions!$B$32)</f>
        <v/>
      </c>
      <c r="T294">
        <f>IF(F294=1,P294*Assumptions!$B$14,Assumptions!$B$31)</f>
        <v/>
      </c>
      <c r="U294">
        <f>IF(G294=1,P294*Assumptions!$B$13,Assumptions!$B$30)</f>
        <v/>
      </c>
      <c r="V294">
        <f>IF(H294=1,P294*Assumptions!$B$12,Assumptions!$B$29)</f>
        <v/>
      </c>
      <c r="W294">
        <f>IF(I294=1,P294*Assumptions!$B$11,Assumptions!$B$28)</f>
        <v/>
      </c>
      <c r="X294">
        <f>P294*(Assumptions!$B$133+Assumptions!$B$137)</f>
        <v/>
      </c>
      <c r="Y294">
        <f>P294*Assumptions!$B$9</f>
        <v/>
      </c>
      <c r="Z294">
        <f>IF(M294=1,(P294-Assumptions!$B$37)*Assumptions!$B$153,0)</f>
        <v/>
      </c>
      <c r="AA294">
        <f>Q294+R294+S294+T294+U294+V294+W294+X294+Y294+Z294</f>
        <v/>
      </c>
      <c r="AB294" t="n">
        <v>115</v>
      </c>
      <c r="AC294" t="n">
        <v>51</v>
      </c>
      <c r="AD294" t="n">
        <v>83</v>
      </c>
      <c r="AE294" t="n">
        <v>99</v>
      </c>
      <c r="AF294" t="n">
        <v>123</v>
      </c>
      <c r="AG294" t="n">
        <v>119</v>
      </c>
      <c r="AH294" t="n">
        <v>113</v>
      </c>
      <c r="AI294" t="n">
        <v>114</v>
      </c>
      <c r="AJ294">
        <f>INDEX($Q$179:$Q$306,AC294+1)</f>
        <v/>
      </c>
      <c r="AK294">
        <f>INDEX($R$179:$R$306,AD294+1)</f>
        <v/>
      </c>
      <c r="AL294">
        <f>INDEX($S$179:$S$306,AE294+1)</f>
        <v/>
      </c>
      <c r="AM294">
        <f>INDEX($T$179:$T$306,AF294+1)</f>
        <v/>
      </c>
      <c r="AN294">
        <f>INDEX($U$179:$U$306,AG294+1)</f>
        <v/>
      </c>
      <c r="AO294">
        <f>INDEX($V$179:$V$306,AH294+1)</f>
        <v/>
      </c>
      <c r="AP294">
        <f>INDEX($W$179:$W$306,AI294+1)</f>
        <v/>
      </c>
      <c r="AQ294">
        <f>IF(Q294&gt;=AJ294-0.01,1,0)</f>
        <v/>
      </c>
      <c r="AR294">
        <f>IF(R294&gt;=AK294-0.01,1,0)</f>
        <v/>
      </c>
      <c r="AS294">
        <f>IF(S294&gt;=AL294-0.01,1,0)</f>
        <v/>
      </c>
      <c r="AT294">
        <f>IF(T294&gt;=AM294-0.01,1,0)</f>
        <v/>
      </c>
      <c r="AU294">
        <f>IF(U294&gt;=AN294-0.01,1,0)</f>
        <v/>
      </c>
      <c r="AV294">
        <f>IF(V294&gt;=AO294-0.01,1,0)</f>
        <v/>
      </c>
      <c r="AW294">
        <f>IF(W294&gt;=AP294-0.01,1,0)</f>
        <v/>
      </c>
      <c r="AX294">
        <f>AQ294*AR294*AS294*AT294*AU294*AV294*AW294</f>
        <v/>
      </c>
      <c r="AY294">
        <f>Assumptions!$B$41</f>
        <v/>
      </c>
      <c r="AZ294">
        <f>Assumptions!$B$33</f>
        <v/>
      </c>
      <c r="BA294">
        <f>Assumptions!$B$32</f>
        <v/>
      </c>
      <c r="BB294">
        <f>Assumptions!$B$31</f>
        <v/>
      </c>
      <c r="BC294">
        <f>Assumptions!$B$30</f>
        <v/>
      </c>
      <c r="BD294">
        <f>Assumptions!$B$29</f>
        <v/>
      </c>
      <c r="BE294">
        <f>Assumptions!$B$28</f>
        <v/>
      </c>
      <c r="BF294">
        <f>P294*Assumptions!$B$141</f>
        <v/>
      </c>
      <c r="BG294">
        <f>P294*Assumptions!$B$128</f>
        <v/>
      </c>
      <c r="BH294">
        <f>P294*Assumptions!$B$129</f>
        <v/>
      </c>
      <c r="BI294">
        <f>P294*Assumptions!$B$14</f>
        <v/>
      </c>
      <c r="BJ294">
        <f>P294*Assumptions!$B$13</f>
        <v/>
      </c>
      <c r="BK294">
        <f>P294*Assumptions!$B$12</f>
        <v/>
      </c>
      <c r="BL294">
        <f>P294*Assumptions!$B$11</f>
        <v/>
      </c>
    </row>
    <row r="295">
      <c r="A295" t="inlineStr">
        <is>
          <t>1200M</t>
        </is>
      </c>
      <c r="B295">
        <f>Assumptions!$B$59</f>
        <v/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>
        <f>(1-C295)*Assumptions!$B$41+(1-D295)*Assumptions!$B$33+(1-E295)*Assumptions!$B$32+(1-F295)*Assumptions!$B$31+(1-G295)*Assumptions!$B$30+(1-H295)*Assumptions!$B$29+(1-I295)*Assumptions!$B$28</f>
        <v/>
      </c>
      <c r="K295">
        <f>C295*Assumptions!$B$141+D295*Assumptions!$B$128+E295*Assumptions!$B$129+F295*Assumptions!$B$14+G295*Assumptions!$B$13+H295*Assumptions!$B$12+I295*Assumptions!$B$11+Assumptions!$B$133+Assumptions!$B$137+Assumptions!$B$9</f>
        <v/>
      </c>
      <c r="L295">
        <f>B295-J295</f>
        <v/>
      </c>
      <c r="M295">
        <f>IF(K295&gt;0,IF(L295/K295&gt;=Assumptions!$B$37,1,0),0)</f>
        <v/>
      </c>
      <c r="N295">
        <f>K295+M295*Assumptions!$B$153</f>
        <v/>
      </c>
      <c r="O295">
        <f>L295+M295*Assumptions!$B$153*Assumptions!$B$37</f>
        <v/>
      </c>
      <c r="P295">
        <f>IF(N295&gt;0,O295/N295,0)</f>
        <v/>
      </c>
      <c r="Q295">
        <f>IF(C295=1,P295*Assumptions!$B$141,Assumptions!$B$41)</f>
        <v/>
      </c>
      <c r="R295">
        <f>IF(D295=1,P295*Assumptions!$B$128,Assumptions!$B$33)</f>
        <v/>
      </c>
      <c r="S295">
        <f>IF(E295=1,P295*Assumptions!$B$129,Assumptions!$B$32)</f>
        <v/>
      </c>
      <c r="T295">
        <f>IF(F295=1,P295*Assumptions!$B$14,Assumptions!$B$31)</f>
        <v/>
      </c>
      <c r="U295">
        <f>IF(G295=1,P295*Assumptions!$B$13,Assumptions!$B$30)</f>
        <v/>
      </c>
      <c r="V295">
        <f>IF(H295=1,P295*Assumptions!$B$12,Assumptions!$B$29)</f>
        <v/>
      </c>
      <c r="W295">
        <f>IF(I295=1,P295*Assumptions!$B$11,Assumptions!$B$28)</f>
        <v/>
      </c>
      <c r="X295">
        <f>P295*(Assumptions!$B$133+Assumptions!$B$137)</f>
        <v/>
      </c>
      <c r="Y295">
        <f>P295*Assumptions!$B$9</f>
        <v/>
      </c>
      <c r="Z295">
        <f>IF(M295=1,(P295-Assumptions!$B$37)*Assumptions!$B$153,0)</f>
        <v/>
      </c>
      <c r="AA295">
        <f>Q295+R295+S295+T295+U295+V295+W295+X295+Y295+Z295</f>
        <v/>
      </c>
      <c r="AB295" t="n">
        <v>116</v>
      </c>
      <c r="AC295" t="n">
        <v>52</v>
      </c>
      <c r="AD295" t="n">
        <v>84</v>
      </c>
      <c r="AE295" t="n">
        <v>100</v>
      </c>
      <c r="AF295" t="n">
        <v>124</v>
      </c>
      <c r="AG295" t="n">
        <v>112</v>
      </c>
      <c r="AH295" t="n">
        <v>118</v>
      </c>
      <c r="AI295" t="n">
        <v>117</v>
      </c>
      <c r="AJ295">
        <f>INDEX($Q$179:$Q$306,AC295+1)</f>
        <v/>
      </c>
      <c r="AK295">
        <f>INDEX($R$179:$R$306,AD295+1)</f>
        <v/>
      </c>
      <c r="AL295">
        <f>INDEX($S$179:$S$306,AE295+1)</f>
        <v/>
      </c>
      <c r="AM295">
        <f>INDEX($T$179:$T$306,AF295+1)</f>
        <v/>
      </c>
      <c r="AN295">
        <f>INDEX($U$179:$U$306,AG295+1)</f>
        <v/>
      </c>
      <c r="AO295">
        <f>INDEX($V$179:$V$306,AH295+1)</f>
        <v/>
      </c>
      <c r="AP295">
        <f>INDEX($W$179:$W$306,AI295+1)</f>
        <v/>
      </c>
      <c r="AQ295">
        <f>IF(Q295&gt;=AJ295-0.01,1,0)</f>
        <v/>
      </c>
      <c r="AR295">
        <f>IF(R295&gt;=AK295-0.01,1,0)</f>
        <v/>
      </c>
      <c r="AS295">
        <f>IF(S295&gt;=AL295-0.01,1,0)</f>
        <v/>
      </c>
      <c r="AT295">
        <f>IF(T295&gt;=AM295-0.01,1,0)</f>
        <v/>
      </c>
      <c r="AU295">
        <f>IF(U295&gt;=AN295-0.01,1,0)</f>
        <v/>
      </c>
      <c r="AV295">
        <f>IF(V295&gt;=AO295-0.01,1,0)</f>
        <v/>
      </c>
      <c r="AW295">
        <f>IF(W295&gt;=AP295-0.01,1,0)</f>
        <v/>
      </c>
      <c r="AX295">
        <f>AQ295*AR295*AS295*AT295*AU295*AV295*AW295</f>
        <v/>
      </c>
      <c r="AY295">
        <f>Assumptions!$B$41</f>
        <v/>
      </c>
      <c r="AZ295">
        <f>Assumptions!$B$33</f>
        <v/>
      </c>
      <c r="BA295">
        <f>Assumptions!$B$32</f>
        <v/>
      </c>
      <c r="BB295">
        <f>Assumptions!$B$31</f>
        <v/>
      </c>
      <c r="BC295">
        <f>Assumptions!$B$30</f>
        <v/>
      </c>
      <c r="BD295">
        <f>Assumptions!$B$29</f>
        <v/>
      </c>
      <c r="BE295">
        <f>Assumptions!$B$28</f>
        <v/>
      </c>
      <c r="BF295">
        <f>P295*Assumptions!$B$141</f>
        <v/>
      </c>
      <c r="BG295">
        <f>P295*Assumptions!$B$128</f>
        <v/>
      </c>
      <c r="BH295">
        <f>P295*Assumptions!$B$129</f>
        <v/>
      </c>
      <c r="BI295">
        <f>P295*Assumptions!$B$14</f>
        <v/>
      </c>
      <c r="BJ295">
        <f>P295*Assumptions!$B$13</f>
        <v/>
      </c>
      <c r="BK295">
        <f>P295*Assumptions!$B$12</f>
        <v/>
      </c>
      <c r="BL295">
        <f>P295*Assumptions!$B$11</f>
        <v/>
      </c>
    </row>
    <row r="296">
      <c r="A296" t="inlineStr">
        <is>
          <t>1200M</t>
        </is>
      </c>
      <c r="B296">
        <f>Assumptions!$B$59</f>
        <v/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1</v>
      </c>
      <c r="J296">
        <f>(1-C296)*Assumptions!$B$41+(1-D296)*Assumptions!$B$33+(1-E296)*Assumptions!$B$32+(1-F296)*Assumptions!$B$31+(1-G296)*Assumptions!$B$30+(1-H296)*Assumptions!$B$29+(1-I296)*Assumptions!$B$28</f>
        <v/>
      </c>
      <c r="K296">
        <f>C296*Assumptions!$B$141+D296*Assumptions!$B$128+E296*Assumptions!$B$129+F296*Assumptions!$B$14+G296*Assumptions!$B$13+H296*Assumptions!$B$12+I296*Assumptions!$B$11+Assumptions!$B$133+Assumptions!$B$137+Assumptions!$B$9</f>
        <v/>
      </c>
      <c r="L296">
        <f>B296-J296</f>
        <v/>
      </c>
      <c r="M296">
        <f>IF(K296&gt;0,IF(L296/K296&gt;=Assumptions!$B$37,1,0),0)</f>
        <v/>
      </c>
      <c r="N296">
        <f>K296+M296*Assumptions!$B$153</f>
        <v/>
      </c>
      <c r="O296">
        <f>L296+M296*Assumptions!$B$153*Assumptions!$B$37</f>
        <v/>
      </c>
      <c r="P296">
        <f>IF(N296&gt;0,O296/N296,0)</f>
        <v/>
      </c>
      <c r="Q296">
        <f>IF(C296=1,P296*Assumptions!$B$141,Assumptions!$B$41)</f>
        <v/>
      </c>
      <c r="R296">
        <f>IF(D296=1,P296*Assumptions!$B$128,Assumptions!$B$33)</f>
        <v/>
      </c>
      <c r="S296">
        <f>IF(E296=1,P296*Assumptions!$B$129,Assumptions!$B$32)</f>
        <v/>
      </c>
      <c r="T296">
        <f>IF(F296=1,P296*Assumptions!$B$14,Assumptions!$B$31)</f>
        <v/>
      </c>
      <c r="U296">
        <f>IF(G296=1,P296*Assumptions!$B$13,Assumptions!$B$30)</f>
        <v/>
      </c>
      <c r="V296">
        <f>IF(H296=1,P296*Assumptions!$B$12,Assumptions!$B$29)</f>
        <v/>
      </c>
      <c r="W296">
        <f>IF(I296=1,P296*Assumptions!$B$11,Assumptions!$B$28)</f>
        <v/>
      </c>
      <c r="X296">
        <f>P296*(Assumptions!$B$133+Assumptions!$B$137)</f>
        <v/>
      </c>
      <c r="Y296">
        <f>P296*Assumptions!$B$9</f>
        <v/>
      </c>
      <c r="Z296">
        <f>IF(M296=1,(P296-Assumptions!$B$37)*Assumptions!$B$153,0)</f>
        <v/>
      </c>
      <c r="AA296">
        <f>Q296+R296+S296+T296+U296+V296+W296+X296+Y296+Z296</f>
        <v/>
      </c>
      <c r="AB296" t="n">
        <v>117</v>
      </c>
      <c r="AC296" t="n">
        <v>53</v>
      </c>
      <c r="AD296" t="n">
        <v>85</v>
      </c>
      <c r="AE296" t="n">
        <v>101</v>
      </c>
      <c r="AF296" t="n">
        <v>125</v>
      </c>
      <c r="AG296" t="n">
        <v>113</v>
      </c>
      <c r="AH296" t="n">
        <v>119</v>
      </c>
      <c r="AI296" t="n">
        <v>116</v>
      </c>
      <c r="AJ296">
        <f>INDEX($Q$179:$Q$306,AC296+1)</f>
        <v/>
      </c>
      <c r="AK296">
        <f>INDEX($R$179:$R$306,AD296+1)</f>
        <v/>
      </c>
      <c r="AL296">
        <f>INDEX($S$179:$S$306,AE296+1)</f>
        <v/>
      </c>
      <c r="AM296">
        <f>INDEX($T$179:$T$306,AF296+1)</f>
        <v/>
      </c>
      <c r="AN296">
        <f>INDEX($U$179:$U$306,AG296+1)</f>
        <v/>
      </c>
      <c r="AO296">
        <f>INDEX($V$179:$V$306,AH296+1)</f>
        <v/>
      </c>
      <c r="AP296">
        <f>INDEX($W$179:$W$306,AI296+1)</f>
        <v/>
      </c>
      <c r="AQ296">
        <f>IF(Q296&gt;=AJ296-0.01,1,0)</f>
        <v/>
      </c>
      <c r="AR296">
        <f>IF(R296&gt;=AK296-0.01,1,0)</f>
        <v/>
      </c>
      <c r="AS296">
        <f>IF(S296&gt;=AL296-0.01,1,0)</f>
        <v/>
      </c>
      <c r="AT296">
        <f>IF(T296&gt;=AM296-0.01,1,0)</f>
        <v/>
      </c>
      <c r="AU296">
        <f>IF(U296&gt;=AN296-0.01,1,0)</f>
        <v/>
      </c>
      <c r="AV296">
        <f>IF(V296&gt;=AO296-0.01,1,0)</f>
        <v/>
      </c>
      <c r="AW296">
        <f>IF(W296&gt;=AP296-0.01,1,0)</f>
        <v/>
      </c>
      <c r="AX296">
        <f>AQ296*AR296*AS296*AT296*AU296*AV296*AW296</f>
        <v/>
      </c>
      <c r="AY296">
        <f>Assumptions!$B$41</f>
        <v/>
      </c>
      <c r="AZ296">
        <f>Assumptions!$B$33</f>
        <v/>
      </c>
      <c r="BA296">
        <f>Assumptions!$B$32</f>
        <v/>
      </c>
      <c r="BB296">
        <f>Assumptions!$B$31</f>
        <v/>
      </c>
      <c r="BC296">
        <f>Assumptions!$B$30</f>
        <v/>
      </c>
      <c r="BD296">
        <f>Assumptions!$B$29</f>
        <v/>
      </c>
      <c r="BE296">
        <f>Assumptions!$B$28</f>
        <v/>
      </c>
      <c r="BF296">
        <f>P296*Assumptions!$B$141</f>
        <v/>
      </c>
      <c r="BG296">
        <f>P296*Assumptions!$B$128</f>
        <v/>
      </c>
      <c r="BH296">
        <f>P296*Assumptions!$B$129</f>
        <v/>
      </c>
      <c r="BI296">
        <f>P296*Assumptions!$B$14</f>
        <v/>
      </c>
      <c r="BJ296">
        <f>P296*Assumptions!$B$13</f>
        <v/>
      </c>
      <c r="BK296">
        <f>P296*Assumptions!$B$12</f>
        <v/>
      </c>
      <c r="BL296">
        <f>P296*Assumptions!$B$11</f>
        <v/>
      </c>
    </row>
    <row r="297">
      <c r="A297" t="inlineStr">
        <is>
          <t>1200M</t>
        </is>
      </c>
      <c r="B297">
        <f>Assumptions!$B$59</f>
        <v/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>
        <f>(1-C297)*Assumptions!$B$41+(1-D297)*Assumptions!$B$33+(1-E297)*Assumptions!$B$32+(1-F297)*Assumptions!$B$31+(1-G297)*Assumptions!$B$30+(1-H297)*Assumptions!$B$29+(1-I297)*Assumptions!$B$28</f>
        <v/>
      </c>
      <c r="K297">
        <f>C297*Assumptions!$B$141+D297*Assumptions!$B$128+E297*Assumptions!$B$129+F297*Assumptions!$B$14+G297*Assumptions!$B$13+H297*Assumptions!$B$12+I297*Assumptions!$B$11+Assumptions!$B$133+Assumptions!$B$137+Assumptions!$B$9</f>
        <v/>
      </c>
      <c r="L297">
        <f>B297-J297</f>
        <v/>
      </c>
      <c r="M297">
        <f>IF(K297&gt;0,IF(L297/K297&gt;=Assumptions!$B$37,1,0),0)</f>
        <v/>
      </c>
      <c r="N297">
        <f>K297+M297*Assumptions!$B$153</f>
        <v/>
      </c>
      <c r="O297">
        <f>L297+M297*Assumptions!$B$153*Assumptions!$B$37</f>
        <v/>
      </c>
      <c r="P297">
        <f>IF(N297&gt;0,O297/N297,0)</f>
        <v/>
      </c>
      <c r="Q297">
        <f>IF(C297=1,P297*Assumptions!$B$141,Assumptions!$B$41)</f>
        <v/>
      </c>
      <c r="R297">
        <f>IF(D297=1,P297*Assumptions!$B$128,Assumptions!$B$33)</f>
        <v/>
      </c>
      <c r="S297">
        <f>IF(E297=1,P297*Assumptions!$B$129,Assumptions!$B$32)</f>
        <v/>
      </c>
      <c r="T297">
        <f>IF(F297=1,P297*Assumptions!$B$14,Assumptions!$B$31)</f>
        <v/>
      </c>
      <c r="U297">
        <f>IF(G297=1,P297*Assumptions!$B$13,Assumptions!$B$30)</f>
        <v/>
      </c>
      <c r="V297">
        <f>IF(H297=1,P297*Assumptions!$B$12,Assumptions!$B$29)</f>
        <v/>
      </c>
      <c r="W297">
        <f>IF(I297=1,P297*Assumptions!$B$11,Assumptions!$B$28)</f>
        <v/>
      </c>
      <c r="X297">
        <f>P297*(Assumptions!$B$133+Assumptions!$B$137)</f>
        <v/>
      </c>
      <c r="Y297">
        <f>P297*Assumptions!$B$9</f>
        <v/>
      </c>
      <c r="Z297">
        <f>IF(M297=1,(P297-Assumptions!$B$37)*Assumptions!$B$153,0)</f>
        <v/>
      </c>
      <c r="AA297">
        <f>Q297+R297+S297+T297+U297+V297+W297+X297+Y297+Z297</f>
        <v/>
      </c>
      <c r="AB297" t="n">
        <v>118</v>
      </c>
      <c r="AC297" t="n">
        <v>54</v>
      </c>
      <c r="AD297" t="n">
        <v>86</v>
      </c>
      <c r="AE297" t="n">
        <v>102</v>
      </c>
      <c r="AF297" t="n">
        <v>126</v>
      </c>
      <c r="AG297" t="n">
        <v>114</v>
      </c>
      <c r="AH297" t="n">
        <v>116</v>
      </c>
      <c r="AI297" t="n">
        <v>119</v>
      </c>
      <c r="AJ297">
        <f>INDEX($Q$179:$Q$306,AC297+1)</f>
        <v/>
      </c>
      <c r="AK297">
        <f>INDEX($R$179:$R$306,AD297+1)</f>
        <v/>
      </c>
      <c r="AL297">
        <f>INDEX($S$179:$S$306,AE297+1)</f>
        <v/>
      </c>
      <c r="AM297">
        <f>INDEX($T$179:$T$306,AF297+1)</f>
        <v/>
      </c>
      <c r="AN297">
        <f>INDEX($U$179:$U$306,AG297+1)</f>
        <v/>
      </c>
      <c r="AO297">
        <f>INDEX($V$179:$V$306,AH297+1)</f>
        <v/>
      </c>
      <c r="AP297">
        <f>INDEX($W$179:$W$306,AI297+1)</f>
        <v/>
      </c>
      <c r="AQ297">
        <f>IF(Q297&gt;=AJ297-0.01,1,0)</f>
        <v/>
      </c>
      <c r="AR297">
        <f>IF(R297&gt;=AK297-0.01,1,0)</f>
        <v/>
      </c>
      <c r="AS297">
        <f>IF(S297&gt;=AL297-0.01,1,0)</f>
        <v/>
      </c>
      <c r="AT297">
        <f>IF(T297&gt;=AM297-0.01,1,0)</f>
        <v/>
      </c>
      <c r="AU297">
        <f>IF(U297&gt;=AN297-0.01,1,0)</f>
        <v/>
      </c>
      <c r="AV297">
        <f>IF(V297&gt;=AO297-0.01,1,0)</f>
        <v/>
      </c>
      <c r="AW297">
        <f>IF(W297&gt;=AP297-0.01,1,0)</f>
        <v/>
      </c>
      <c r="AX297">
        <f>AQ297*AR297*AS297*AT297*AU297*AV297*AW297</f>
        <v/>
      </c>
      <c r="AY297">
        <f>Assumptions!$B$41</f>
        <v/>
      </c>
      <c r="AZ297">
        <f>Assumptions!$B$33</f>
        <v/>
      </c>
      <c r="BA297">
        <f>Assumptions!$B$32</f>
        <v/>
      </c>
      <c r="BB297">
        <f>Assumptions!$B$31</f>
        <v/>
      </c>
      <c r="BC297">
        <f>Assumptions!$B$30</f>
        <v/>
      </c>
      <c r="BD297">
        <f>Assumptions!$B$29</f>
        <v/>
      </c>
      <c r="BE297">
        <f>Assumptions!$B$28</f>
        <v/>
      </c>
      <c r="BF297">
        <f>P297*Assumptions!$B$141</f>
        <v/>
      </c>
      <c r="BG297">
        <f>P297*Assumptions!$B$128</f>
        <v/>
      </c>
      <c r="BH297">
        <f>P297*Assumptions!$B$129</f>
        <v/>
      </c>
      <c r="BI297">
        <f>P297*Assumptions!$B$14</f>
        <v/>
      </c>
      <c r="BJ297">
        <f>P297*Assumptions!$B$13</f>
        <v/>
      </c>
      <c r="BK297">
        <f>P297*Assumptions!$B$12</f>
        <v/>
      </c>
      <c r="BL297">
        <f>P297*Assumptions!$B$11</f>
        <v/>
      </c>
    </row>
    <row r="298">
      <c r="A298" t="inlineStr">
        <is>
          <t>1200M</t>
        </is>
      </c>
      <c r="B298">
        <f>Assumptions!$B$59</f>
        <v/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>
        <f>(1-C298)*Assumptions!$B$41+(1-D298)*Assumptions!$B$33+(1-E298)*Assumptions!$B$32+(1-F298)*Assumptions!$B$31+(1-G298)*Assumptions!$B$30+(1-H298)*Assumptions!$B$29+(1-I298)*Assumptions!$B$28</f>
        <v/>
      </c>
      <c r="K298">
        <f>C298*Assumptions!$B$141+D298*Assumptions!$B$128+E298*Assumptions!$B$129+F298*Assumptions!$B$14+G298*Assumptions!$B$13+H298*Assumptions!$B$12+I298*Assumptions!$B$11+Assumptions!$B$133+Assumptions!$B$137+Assumptions!$B$9</f>
        <v/>
      </c>
      <c r="L298">
        <f>B298-J298</f>
        <v/>
      </c>
      <c r="M298">
        <f>IF(K298&gt;0,IF(L298/K298&gt;=Assumptions!$B$37,1,0),0)</f>
        <v/>
      </c>
      <c r="N298">
        <f>K298+M298*Assumptions!$B$153</f>
        <v/>
      </c>
      <c r="O298">
        <f>L298+M298*Assumptions!$B$153*Assumptions!$B$37</f>
        <v/>
      </c>
      <c r="P298">
        <f>IF(N298&gt;0,O298/N298,0)</f>
        <v/>
      </c>
      <c r="Q298">
        <f>IF(C298=1,P298*Assumptions!$B$141,Assumptions!$B$41)</f>
        <v/>
      </c>
      <c r="R298">
        <f>IF(D298=1,P298*Assumptions!$B$128,Assumptions!$B$33)</f>
        <v/>
      </c>
      <c r="S298">
        <f>IF(E298=1,P298*Assumptions!$B$129,Assumptions!$B$32)</f>
        <v/>
      </c>
      <c r="T298">
        <f>IF(F298=1,P298*Assumptions!$B$14,Assumptions!$B$31)</f>
        <v/>
      </c>
      <c r="U298">
        <f>IF(G298=1,P298*Assumptions!$B$13,Assumptions!$B$30)</f>
        <v/>
      </c>
      <c r="V298">
        <f>IF(H298=1,P298*Assumptions!$B$12,Assumptions!$B$29)</f>
        <v/>
      </c>
      <c r="W298">
        <f>IF(I298=1,P298*Assumptions!$B$11,Assumptions!$B$28)</f>
        <v/>
      </c>
      <c r="X298">
        <f>P298*(Assumptions!$B$133+Assumptions!$B$137)</f>
        <v/>
      </c>
      <c r="Y298">
        <f>P298*Assumptions!$B$9</f>
        <v/>
      </c>
      <c r="Z298">
        <f>IF(M298=1,(P298-Assumptions!$B$37)*Assumptions!$B$153,0)</f>
        <v/>
      </c>
      <c r="AA298">
        <f>Q298+R298+S298+T298+U298+V298+W298+X298+Y298+Z298</f>
        <v/>
      </c>
      <c r="AB298" t="n">
        <v>119</v>
      </c>
      <c r="AC298" t="n">
        <v>55</v>
      </c>
      <c r="AD298" t="n">
        <v>87</v>
      </c>
      <c r="AE298" t="n">
        <v>103</v>
      </c>
      <c r="AF298" t="n">
        <v>127</v>
      </c>
      <c r="AG298" t="n">
        <v>115</v>
      </c>
      <c r="AH298" t="n">
        <v>117</v>
      </c>
      <c r="AI298" t="n">
        <v>118</v>
      </c>
      <c r="AJ298">
        <f>INDEX($Q$179:$Q$306,AC298+1)</f>
        <v/>
      </c>
      <c r="AK298">
        <f>INDEX($R$179:$R$306,AD298+1)</f>
        <v/>
      </c>
      <c r="AL298">
        <f>INDEX($S$179:$S$306,AE298+1)</f>
        <v/>
      </c>
      <c r="AM298">
        <f>INDEX($T$179:$T$306,AF298+1)</f>
        <v/>
      </c>
      <c r="AN298">
        <f>INDEX($U$179:$U$306,AG298+1)</f>
        <v/>
      </c>
      <c r="AO298">
        <f>INDEX($V$179:$V$306,AH298+1)</f>
        <v/>
      </c>
      <c r="AP298">
        <f>INDEX($W$179:$W$306,AI298+1)</f>
        <v/>
      </c>
      <c r="AQ298">
        <f>IF(Q298&gt;=AJ298-0.01,1,0)</f>
        <v/>
      </c>
      <c r="AR298">
        <f>IF(R298&gt;=AK298-0.01,1,0)</f>
        <v/>
      </c>
      <c r="AS298">
        <f>IF(S298&gt;=AL298-0.01,1,0)</f>
        <v/>
      </c>
      <c r="AT298">
        <f>IF(T298&gt;=AM298-0.01,1,0)</f>
        <v/>
      </c>
      <c r="AU298">
        <f>IF(U298&gt;=AN298-0.01,1,0)</f>
        <v/>
      </c>
      <c r="AV298">
        <f>IF(V298&gt;=AO298-0.01,1,0)</f>
        <v/>
      </c>
      <c r="AW298">
        <f>IF(W298&gt;=AP298-0.01,1,0)</f>
        <v/>
      </c>
      <c r="AX298">
        <f>AQ298*AR298*AS298*AT298*AU298*AV298*AW298</f>
        <v/>
      </c>
      <c r="AY298">
        <f>Assumptions!$B$41</f>
        <v/>
      </c>
      <c r="AZ298">
        <f>Assumptions!$B$33</f>
        <v/>
      </c>
      <c r="BA298">
        <f>Assumptions!$B$32</f>
        <v/>
      </c>
      <c r="BB298">
        <f>Assumptions!$B$31</f>
        <v/>
      </c>
      <c r="BC298">
        <f>Assumptions!$B$30</f>
        <v/>
      </c>
      <c r="BD298">
        <f>Assumptions!$B$29</f>
        <v/>
      </c>
      <c r="BE298">
        <f>Assumptions!$B$28</f>
        <v/>
      </c>
      <c r="BF298">
        <f>P298*Assumptions!$B$141</f>
        <v/>
      </c>
      <c r="BG298">
        <f>P298*Assumptions!$B$128</f>
        <v/>
      </c>
      <c r="BH298">
        <f>P298*Assumptions!$B$129</f>
        <v/>
      </c>
      <c r="BI298">
        <f>P298*Assumptions!$B$14</f>
        <v/>
      </c>
      <c r="BJ298">
        <f>P298*Assumptions!$B$13</f>
        <v/>
      </c>
      <c r="BK298">
        <f>P298*Assumptions!$B$12</f>
        <v/>
      </c>
      <c r="BL298">
        <f>P298*Assumptions!$B$11</f>
        <v/>
      </c>
    </row>
    <row r="299">
      <c r="A299" t="inlineStr">
        <is>
          <t>1200M</t>
        </is>
      </c>
      <c r="B299">
        <f>Assumptions!$B$59</f>
        <v/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>
        <f>(1-C299)*Assumptions!$B$41+(1-D299)*Assumptions!$B$33+(1-E299)*Assumptions!$B$32+(1-F299)*Assumptions!$B$31+(1-G299)*Assumptions!$B$30+(1-H299)*Assumptions!$B$29+(1-I299)*Assumptions!$B$28</f>
        <v/>
      </c>
      <c r="K299">
        <f>C299*Assumptions!$B$141+D299*Assumptions!$B$128+E299*Assumptions!$B$129+F299*Assumptions!$B$14+G299*Assumptions!$B$13+H299*Assumptions!$B$12+I299*Assumptions!$B$11+Assumptions!$B$133+Assumptions!$B$137+Assumptions!$B$9</f>
        <v/>
      </c>
      <c r="L299">
        <f>B299-J299</f>
        <v/>
      </c>
      <c r="M299">
        <f>IF(K299&gt;0,IF(L299/K299&gt;=Assumptions!$B$37,1,0),0)</f>
        <v/>
      </c>
      <c r="N299">
        <f>K299+M299*Assumptions!$B$153</f>
        <v/>
      </c>
      <c r="O299">
        <f>L299+M299*Assumptions!$B$153*Assumptions!$B$37</f>
        <v/>
      </c>
      <c r="P299">
        <f>IF(N299&gt;0,O299/N299,0)</f>
        <v/>
      </c>
      <c r="Q299">
        <f>IF(C299=1,P299*Assumptions!$B$141,Assumptions!$B$41)</f>
        <v/>
      </c>
      <c r="R299">
        <f>IF(D299=1,P299*Assumptions!$B$128,Assumptions!$B$33)</f>
        <v/>
      </c>
      <c r="S299">
        <f>IF(E299=1,P299*Assumptions!$B$129,Assumptions!$B$32)</f>
        <v/>
      </c>
      <c r="T299">
        <f>IF(F299=1,P299*Assumptions!$B$14,Assumptions!$B$31)</f>
        <v/>
      </c>
      <c r="U299">
        <f>IF(G299=1,P299*Assumptions!$B$13,Assumptions!$B$30)</f>
        <v/>
      </c>
      <c r="V299">
        <f>IF(H299=1,P299*Assumptions!$B$12,Assumptions!$B$29)</f>
        <v/>
      </c>
      <c r="W299">
        <f>IF(I299=1,P299*Assumptions!$B$11,Assumptions!$B$28)</f>
        <v/>
      </c>
      <c r="X299">
        <f>P299*(Assumptions!$B$133+Assumptions!$B$137)</f>
        <v/>
      </c>
      <c r="Y299">
        <f>P299*Assumptions!$B$9</f>
        <v/>
      </c>
      <c r="Z299">
        <f>IF(M299=1,(P299-Assumptions!$B$37)*Assumptions!$B$153,0)</f>
        <v/>
      </c>
      <c r="AA299">
        <f>Q299+R299+S299+T299+U299+V299+W299+X299+Y299+Z299</f>
        <v/>
      </c>
      <c r="AB299" t="n">
        <v>120</v>
      </c>
      <c r="AC299" t="n">
        <v>56</v>
      </c>
      <c r="AD299" t="n">
        <v>88</v>
      </c>
      <c r="AE299" t="n">
        <v>104</v>
      </c>
      <c r="AF299" t="n">
        <v>112</v>
      </c>
      <c r="AG299" t="n">
        <v>124</v>
      </c>
      <c r="AH299" t="n">
        <v>122</v>
      </c>
      <c r="AI299" t="n">
        <v>121</v>
      </c>
      <c r="AJ299">
        <f>INDEX($Q$179:$Q$306,AC299+1)</f>
        <v/>
      </c>
      <c r="AK299">
        <f>INDEX($R$179:$R$306,AD299+1)</f>
        <v/>
      </c>
      <c r="AL299">
        <f>INDEX($S$179:$S$306,AE299+1)</f>
        <v/>
      </c>
      <c r="AM299">
        <f>INDEX($T$179:$T$306,AF299+1)</f>
        <v/>
      </c>
      <c r="AN299">
        <f>INDEX($U$179:$U$306,AG299+1)</f>
        <v/>
      </c>
      <c r="AO299">
        <f>INDEX($V$179:$V$306,AH299+1)</f>
        <v/>
      </c>
      <c r="AP299">
        <f>INDEX($W$179:$W$306,AI299+1)</f>
        <v/>
      </c>
      <c r="AQ299">
        <f>IF(Q299&gt;=AJ299-0.01,1,0)</f>
        <v/>
      </c>
      <c r="AR299">
        <f>IF(R299&gt;=AK299-0.01,1,0)</f>
        <v/>
      </c>
      <c r="AS299">
        <f>IF(S299&gt;=AL299-0.01,1,0)</f>
        <v/>
      </c>
      <c r="AT299">
        <f>IF(T299&gt;=AM299-0.01,1,0)</f>
        <v/>
      </c>
      <c r="AU299">
        <f>IF(U299&gt;=AN299-0.01,1,0)</f>
        <v/>
      </c>
      <c r="AV299">
        <f>IF(V299&gt;=AO299-0.01,1,0)</f>
        <v/>
      </c>
      <c r="AW299">
        <f>IF(W299&gt;=AP299-0.01,1,0)</f>
        <v/>
      </c>
      <c r="AX299">
        <f>AQ299*AR299*AS299*AT299*AU299*AV299*AW299</f>
        <v/>
      </c>
      <c r="AY299">
        <f>Assumptions!$B$41</f>
        <v/>
      </c>
      <c r="AZ299">
        <f>Assumptions!$B$33</f>
        <v/>
      </c>
      <c r="BA299">
        <f>Assumptions!$B$32</f>
        <v/>
      </c>
      <c r="BB299">
        <f>Assumptions!$B$31</f>
        <v/>
      </c>
      <c r="BC299">
        <f>Assumptions!$B$30</f>
        <v/>
      </c>
      <c r="BD299">
        <f>Assumptions!$B$29</f>
        <v/>
      </c>
      <c r="BE299">
        <f>Assumptions!$B$28</f>
        <v/>
      </c>
      <c r="BF299">
        <f>P299*Assumptions!$B$141</f>
        <v/>
      </c>
      <c r="BG299">
        <f>P299*Assumptions!$B$128</f>
        <v/>
      </c>
      <c r="BH299">
        <f>P299*Assumptions!$B$129</f>
        <v/>
      </c>
      <c r="BI299">
        <f>P299*Assumptions!$B$14</f>
        <v/>
      </c>
      <c r="BJ299">
        <f>P299*Assumptions!$B$13</f>
        <v/>
      </c>
      <c r="BK299">
        <f>P299*Assumptions!$B$12</f>
        <v/>
      </c>
      <c r="BL299">
        <f>P299*Assumptions!$B$11</f>
        <v/>
      </c>
    </row>
    <row r="300">
      <c r="A300" t="inlineStr">
        <is>
          <t>1200M</t>
        </is>
      </c>
      <c r="B300">
        <f>Assumptions!$B$59</f>
        <v/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>
        <f>(1-C300)*Assumptions!$B$41+(1-D300)*Assumptions!$B$33+(1-E300)*Assumptions!$B$32+(1-F300)*Assumptions!$B$31+(1-G300)*Assumptions!$B$30+(1-H300)*Assumptions!$B$29+(1-I300)*Assumptions!$B$28</f>
        <v/>
      </c>
      <c r="K300">
        <f>C300*Assumptions!$B$141+D300*Assumptions!$B$128+E300*Assumptions!$B$129+F300*Assumptions!$B$14+G300*Assumptions!$B$13+H300*Assumptions!$B$12+I300*Assumptions!$B$11+Assumptions!$B$133+Assumptions!$B$137+Assumptions!$B$9</f>
        <v/>
      </c>
      <c r="L300">
        <f>B300-J300</f>
        <v/>
      </c>
      <c r="M300">
        <f>IF(K300&gt;0,IF(L300/K300&gt;=Assumptions!$B$37,1,0),0)</f>
        <v/>
      </c>
      <c r="N300">
        <f>K300+M300*Assumptions!$B$153</f>
        <v/>
      </c>
      <c r="O300">
        <f>L300+M300*Assumptions!$B$153*Assumptions!$B$37</f>
        <v/>
      </c>
      <c r="P300">
        <f>IF(N300&gt;0,O300/N300,0)</f>
        <v/>
      </c>
      <c r="Q300">
        <f>IF(C300=1,P300*Assumptions!$B$141,Assumptions!$B$41)</f>
        <v/>
      </c>
      <c r="R300">
        <f>IF(D300=1,P300*Assumptions!$B$128,Assumptions!$B$33)</f>
        <v/>
      </c>
      <c r="S300">
        <f>IF(E300=1,P300*Assumptions!$B$129,Assumptions!$B$32)</f>
        <v/>
      </c>
      <c r="T300">
        <f>IF(F300=1,P300*Assumptions!$B$14,Assumptions!$B$31)</f>
        <v/>
      </c>
      <c r="U300">
        <f>IF(G300=1,P300*Assumptions!$B$13,Assumptions!$B$30)</f>
        <v/>
      </c>
      <c r="V300">
        <f>IF(H300=1,P300*Assumptions!$B$12,Assumptions!$B$29)</f>
        <v/>
      </c>
      <c r="W300">
        <f>IF(I300=1,P300*Assumptions!$B$11,Assumptions!$B$28)</f>
        <v/>
      </c>
      <c r="X300">
        <f>P300*(Assumptions!$B$133+Assumptions!$B$137)</f>
        <v/>
      </c>
      <c r="Y300">
        <f>P300*Assumptions!$B$9</f>
        <v/>
      </c>
      <c r="Z300">
        <f>IF(M300=1,(P300-Assumptions!$B$37)*Assumptions!$B$153,0)</f>
        <v/>
      </c>
      <c r="AA300">
        <f>Q300+R300+S300+T300+U300+V300+W300+X300+Y300+Z300</f>
        <v/>
      </c>
      <c r="AB300" t="n">
        <v>121</v>
      </c>
      <c r="AC300" t="n">
        <v>57</v>
      </c>
      <c r="AD300" t="n">
        <v>89</v>
      </c>
      <c r="AE300" t="n">
        <v>105</v>
      </c>
      <c r="AF300" t="n">
        <v>113</v>
      </c>
      <c r="AG300" t="n">
        <v>125</v>
      </c>
      <c r="AH300" t="n">
        <v>123</v>
      </c>
      <c r="AI300" t="n">
        <v>120</v>
      </c>
      <c r="AJ300">
        <f>INDEX($Q$179:$Q$306,AC300+1)</f>
        <v/>
      </c>
      <c r="AK300">
        <f>INDEX($R$179:$R$306,AD300+1)</f>
        <v/>
      </c>
      <c r="AL300">
        <f>INDEX($S$179:$S$306,AE300+1)</f>
        <v/>
      </c>
      <c r="AM300">
        <f>INDEX($T$179:$T$306,AF300+1)</f>
        <v/>
      </c>
      <c r="AN300">
        <f>INDEX($U$179:$U$306,AG300+1)</f>
        <v/>
      </c>
      <c r="AO300">
        <f>INDEX($V$179:$V$306,AH300+1)</f>
        <v/>
      </c>
      <c r="AP300">
        <f>INDEX($W$179:$W$306,AI300+1)</f>
        <v/>
      </c>
      <c r="AQ300">
        <f>IF(Q300&gt;=AJ300-0.01,1,0)</f>
        <v/>
      </c>
      <c r="AR300">
        <f>IF(R300&gt;=AK300-0.01,1,0)</f>
        <v/>
      </c>
      <c r="AS300">
        <f>IF(S300&gt;=AL300-0.01,1,0)</f>
        <v/>
      </c>
      <c r="AT300">
        <f>IF(T300&gt;=AM300-0.01,1,0)</f>
        <v/>
      </c>
      <c r="AU300">
        <f>IF(U300&gt;=AN300-0.01,1,0)</f>
        <v/>
      </c>
      <c r="AV300">
        <f>IF(V300&gt;=AO300-0.01,1,0)</f>
        <v/>
      </c>
      <c r="AW300">
        <f>IF(W300&gt;=AP300-0.01,1,0)</f>
        <v/>
      </c>
      <c r="AX300">
        <f>AQ300*AR300*AS300*AT300*AU300*AV300*AW300</f>
        <v/>
      </c>
      <c r="AY300">
        <f>Assumptions!$B$41</f>
        <v/>
      </c>
      <c r="AZ300">
        <f>Assumptions!$B$33</f>
        <v/>
      </c>
      <c r="BA300">
        <f>Assumptions!$B$32</f>
        <v/>
      </c>
      <c r="BB300">
        <f>Assumptions!$B$31</f>
        <v/>
      </c>
      <c r="BC300">
        <f>Assumptions!$B$30</f>
        <v/>
      </c>
      <c r="BD300">
        <f>Assumptions!$B$29</f>
        <v/>
      </c>
      <c r="BE300">
        <f>Assumptions!$B$28</f>
        <v/>
      </c>
      <c r="BF300">
        <f>P300*Assumptions!$B$141</f>
        <v/>
      </c>
      <c r="BG300">
        <f>P300*Assumptions!$B$128</f>
        <v/>
      </c>
      <c r="BH300">
        <f>P300*Assumptions!$B$129</f>
        <v/>
      </c>
      <c r="BI300">
        <f>P300*Assumptions!$B$14</f>
        <v/>
      </c>
      <c r="BJ300">
        <f>P300*Assumptions!$B$13</f>
        <v/>
      </c>
      <c r="BK300">
        <f>P300*Assumptions!$B$12</f>
        <v/>
      </c>
      <c r="BL300">
        <f>P300*Assumptions!$B$11</f>
        <v/>
      </c>
    </row>
    <row r="301">
      <c r="A301" t="inlineStr">
        <is>
          <t>1200M</t>
        </is>
      </c>
      <c r="B301">
        <f>Assumptions!$B$59</f>
        <v/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>
        <f>(1-C301)*Assumptions!$B$41+(1-D301)*Assumptions!$B$33+(1-E301)*Assumptions!$B$32+(1-F301)*Assumptions!$B$31+(1-G301)*Assumptions!$B$30+(1-H301)*Assumptions!$B$29+(1-I301)*Assumptions!$B$28</f>
        <v/>
      </c>
      <c r="K301">
        <f>C301*Assumptions!$B$141+D301*Assumptions!$B$128+E301*Assumptions!$B$129+F301*Assumptions!$B$14+G301*Assumptions!$B$13+H301*Assumptions!$B$12+I301*Assumptions!$B$11+Assumptions!$B$133+Assumptions!$B$137+Assumptions!$B$9</f>
        <v/>
      </c>
      <c r="L301">
        <f>B301-J301</f>
        <v/>
      </c>
      <c r="M301">
        <f>IF(K301&gt;0,IF(L301/K301&gt;=Assumptions!$B$37,1,0),0)</f>
        <v/>
      </c>
      <c r="N301">
        <f>K301+M301*Assumptions!$B$153</f>
        <v/>
      </c>
      <c r="O301">
        <f>L301+M301*Assumptions!$B$153*Assumptions!$B$37</f>
        <v/>
      </c>
      <c r="P301">
        <f>IF(N301&gt;0,O301/N301,0)</f>
        <v/>
      </c>
      <c r="Q301">
        <f>IF(C301=1,P301*Assumptions!$B$141,Assumptions!$B$41)</f>
        <v/>
      </c>
      <c r="R301">
        <f>IF(D301=1,P301*Assumptions!$B$128,Assumptions!$B$33)</f>
        <v/>
      </c>
      <c r="S301">
        <f>IF(E301=1,P301*Assumptions!$B$129,Assumptions!$B$32)</f>
        <v/>
      </c>
      <c r="T301">
        <f>IF(F301=1,P301*Assumptions!$B$14,Assumptions!$B$31)</f>
        <v/>
      </c>
      <c r="U301">
        <f>IF(G301=1,P301*Assumptions!$B$13,Assumptions!$B$30)</f>
        <v/>
      </c>
      <c r="V301">
        <f>IF(H301=1,P301*Assumptions!$B$12,Assumptions!$B$29)</f>
        <v/>
      </c>
      <c r="W301">
        <f>IF(I301=1,P301*Assumptions!$B$11,Assumptions!$B$28)</f>
        <v/>
      </c>
      <c r="X301">
        <f>P301*(Assumptions!$B$133+Assumptions!$B$137)</f>
        <v/>
      </c>
      <c r="Y301">
        <f>P301*Assumptions!$B$9</f>
        <v/>
      </c>
      <c r="Z301">
        <f>IF(M301=1,(P301-Assumptions!$B$37)*Assumptions!$B$153,0)</f>
        <v/>
      </c>
      <c r="AA301">
        <f>Q301+R301+S301+T301+U301+V301+W301+X301+Y301+Z301</f>
        <v/>
      </c>
      <c r="AB301" t="n">
        <v>122</v>
      </c>
      <c r="AC301" t="n">
        <v>58</v>
      </c>
      <c r="AD301" t="n">
        <v>90</v>
      </c>
      <c r="AE301" t="n">
        <v>106</v>
      </c>
      <c r="AF301" t="n">
        <v>114</v>
      </c>
      <c r="AG301" t="n">
        <v>126</v>
      </c>
      <c r="AH301" t="n">
        <v>120</v>
      </c>
      <c r="AI301" t="n">
        <v>123</v>
      </c>
      <c r="AJ301">
        <f>INDEX($Q$179:$Q$306,AC301+1)</f>
        <v/>
      </c>
      <c r="AK301">
        <f>INDEX($R$179:$R$306,AD301+1)</f>
        <v/>
      </c>
      <c r="AL301">
        <f>INDEX($S$179:$S$306,AE301+1)</f>
        <v/>
      </c>
      <c r="AM301">
        <f>INDEX($T$179:$T$306,AF301+1)</f>
        <v/>
      </c>
      <c r="AN301">
        <f>INDEX($U$179:$U$306,AG301+1)</f>
        <v/>
      </c>
      <c r="AO301">
        <f>INDEX($V$179:$V$306,AH301+1)</f>
        <v/>
      </c>
      <c r="AP301">
        <f>INDEX($W$179:$W$306,AI301+1)</f>
        <v/>
      </c>
      <c r="AQ301">
        <f>IF(Q301&gt;=AJ301-0.01,1,0)</f>
        <v/>
      </c>
      <c r="AR301">
        <f>IF(R301&gt;=AK301-0.01,1,0)</f>
        <v/>
      </c>
      <c r="AS301">
        <f>IF(S301&gt;=AL301-0.01,1,0)</f>
        <v/>
      </c>
      <c r="AT301">
        <f>IF(T301&gt;=AM301-0.01,1,0)</f>
        <v/>
      </c>
      <c r="AU301">
        <f>IF(U301&gt;=AN301-0.01,1,0)</f>
        <v/>
      </c>
      <c r="AV301">
        <f>IF(V301&gt;=AO301-0.01,1,0)</f>
        <v/>
      </c>
      <c r="AW301">
        <f>IF(W301&gt;=AP301-0.01,1,0)</f>
        <v/>
      </c>
      <c r="AX301">
        <f>AQ301*AR301*AS301*AT301*AU301*AV301*AW301</f>
        <v/>
      </c>
      <c r="AY301">
        <f>Assumptions!$B$41</f>
        <v/>
      </c>
      <c r="AZ301">
        <f>Assumptions!$B$33</f>
        <v/>
      </c>
      <c r="BA301">
        <f>Assumptions!$B$32</f>
        <v/>
      </c>
      <c r="BB301">
        <f>Assumptions!$B$31</f>
        <v/>
      </c>
      <c r="BC301">
        <f>Assumptions!$B$30</f>
        <v/>
      </c>
      <c r="BD301">
        <f>Assumptions!$B$29</f>
        <v/>
      </c>
      <c r="BE301">
        <f>Assumptions!$B$28</f>
        <v/>
      </c>
      <c r="BF301">
        <f>P301*Assumptions!$B$141</f>
        <v/>
      </c>
      <c r="BG301">
        <f>P301*Assumptions!$B$128</f>
        <v/>
      </c>
      <c r="BH301">
        <f>P301*Assumptions!$B$129</f>
        <v/>
      </c>
      <c r="BI301">
        <f>P301*Assumptions!$B$14</f>
        <v/>
      </c>
      <c r="BJ301">
        <f>P301*Assumptions!$B$13</f>
        <v/>
      </c>
      <c r="BK301">
        <f>P301*Assumptions!$B$12</f>
        <v/>
      </c>
      <c r="BL301">
        <f>P301*Assumptions!$B$11</f>
        <v/>
      </c>
    </row>
    <row r="302">
      <c r="A302" t="inlineStr">
        <is>
          <t>1200M</t>
        </is>
      </c>
      <c r="B302">
        <f>Assumptions!$B$59</f>
        <v/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>
        <f>(1-C302)*Assumptions!$B$41+(1-D302)*Assumptions!$B$33+(1-E302)*Assumptions!$B$32+(1-F302)*Assumptions!$B$31+(1-G302)*Assumptions!$B$30+(1-H302)*Assumptions!$B$29+(1-I302)*Assumptions!$B$28</f>
        <v/>
      </c>
      <c r="K302">
        <f>C302*Assumptions!$B$141+D302*Assumptions!$B$128+E302*Assumptions!$B$129+F302*Assumptions!$B$14+G302*Assumptions!$B$13+H302*Assumptions!$B$12+I302*Assumptions!$B$11+Assumptions!$B$133+Assumptions!$B$137+Assumptions!$B$9</f>
        <v/>
      </c>
      <c r="L302">
        <f>B302-J302</f>
        <v/>
      </c>
      <c r="M302">
        <f>IF(K302&gt;0,IF(L302/K302&gt;=Assumptions!$B$37,1,0),0)</f>
        <v/>
      </c>
      <c r="N302">
        <f>K302+M302*Assumptions!$B$153</f>
        <v/>
      </c>
      <c r="O302">
        <f>L302+M302*Assumptions!$B$153*Assumptions!$B$37</f>
        <v/>
      </c>
      <c r="P302">
        <f>IF(N302&gt;0,O302/N302,0)</f>
        <v/>
      </c>
      <c r="Q302">
        <f>IF(C302=1,P302*Assumptions!$B$141,Assumptions!$B$41)</f>
        <v/>
      </c>
      <c r="R302">
        <f>IF(D302=1,P302*Assumptions!$B$128,Assumptions!$B$33)</f>
        <v/>
      </c>
      <c r="S302">
        <f>IF(E302=1,P302*Assumptions!$B$129,Assumptions!$B$32)</f>
        <v/>
      </c>
      <c r="T302">
        <f>IF(F302=1,P302*Assumptions!$B$14,Assumptions!$B$31)</f>
        <v/>
      </c>
      <c r="U302">
        <f>IF(G302=1,P302*Assumptions!$B$13,Assumptions!$B$30)</f>
        <v/>
      </c>
      <c r="V302">
        <f>IF(H302=1,P302*Assumptions!$B$12,Assumptions!$B$29)</f>
        <v/>
      </c>
      <c r="W302">
        <f>IF(I302=1,P302*Assumptions!$B$11,Assumptions!$B$28)</f>
        <v/>
      </c>
      <c r="X302">
        <f>P302*(Assumptions!$B$133+Assumptions!$B$137)</f>
        <v/>
      </c>
      <c r="Y302">
        <f>P302*Assumptions!$B$9</f>
        <v/>
      </c>
      <c r="Z302">
        <f>IF(M302=1,(P302-Assumptions!$B$37)*Assumptions!$B$153,0)</f>
        <v/>
      </c>
      <c r="AA302">
        <f>Q302+R302+S302+T302+U302+V302+W302+X302+Y302+Z302</f>
        <v/>
      </c>
      <c r="AB302" t="n">
        <v>123</v>
      </c>
      <c r="AC302" t="n">
        <v>59</v>
      </c>
      <c r="AD302" t="n">
        <v>91</v>
      </c>
      <c r="AE302" t="n">
        <v>107</v>
      </c>
      <c r="AF302" t="n">
        <v>115</v>
      </c>
      <c r="AG302" t="n">
        <v>127</v>
      </c>
      <c r="AH302" t="n">
        <v>121</v>
      </c>
      <c r="AI302" t="n">
        <v>122</v>
      </c>
      <c r="AJ302">
        <f>INDEX($Q$179:$Q$306,AC302+1)</f>
        <v/>
      </c>
      <c r="AK302">
        <f>INDEX($R$179:$R$306,AD302+1)</f>
        <v/>
      </c>
      <c r="AL302">
        <f>INDEX($S$179:$S$306,AE302+1)</f>
        <v/>
      </c>
      <c r="AM302">
        <f>INDEX($T$179:$T$306,AF302+1)</f>
        <v/>
      </c>
      <c r="AN302">
        <f>INDEX($U$179:$U$306,AG302+1)</f>
        <v/>
      </c>
      <c r="AO302">
        <f>INDEX($V$179:$V$306,AH302+1)</f>
        <v/>
      </c>
      <c r="AP302">
        <f>INDEX($W$179:$W$306,AI302+1)</f>
        <v/>
      </c>
      <c r="AQ302">
        <f>IF(Q302&gt;=AJ302-0.01,1,0)</f>
        <v/>
      </c>
      <c r="AR302">
        <f>IF(R302&gt;=AK302-0.01,1,0)</f>
        <v/>
      </c>
      <c r="AS302">
        <f>IF(S302&gt;=AL302-0.01,1,0)</f>
        <v/>
      </c>
      <c r="AT302">
        <f>IF(T302&gt;=AM302-0.01,1,0)</f>
        <v/>
      </c>
      <c r="AU302">
        <f>IF(U302&gt;=AN302-0.01,1,0)</f>
        <v/>
      </c>
      <c r="AV302">
        <f>IF(V302&gt;=AO302-0.01,1,0)</f>
        <v/>
      </c>
      <c r="AW302">
        <f>IF(W302&gt;=AP302-0.01,1,0)</f>
        <v/>
      </c>
      <c r="AX302">
        <f>AQ302*AR302*AS302*AT302*AU302*AV302*AW302</f>
        <v/>
      </c>
      <c r="AY302">
        <f>Assumptions!$B$41</f>
        <v/>
      </c>
      <c r="AZ302">
        <f>Assumptions!$B$33</f>
        <v/>
      </c>
      <c r="BA302">
        <f>Assumptions!$B$32</f>
        <v/>
      </c>
      <c r="BB302">
        <f>Assumptions!$B$31</f>
        <v/>
      </c>
      <c r="BC302">
        <f>Assumptions!$B$30</f>
        <v/>
      </c>
      <c r="BD302">
        <f>Assumptions!$B$29</f>
        <v/>
      </c>
      <c r="BE302">
        <f>Assumptions!$B$28</f>
        <v/>
      </c>
      <c r="BF302">
        <f>P302*Assumptions!$B$141</f>
        <v/>
      </c>
      <c r="BG302">
        <f>P302*Assumptions!$B$128</f>
        <v/>
      </c>
      <c r="BH302">
        <f>P302*Assumptions!$B$129</f>
        <v/>
      </c>
      <c r="BI302">
        <f>P302*Assumptions!$B$14</f>
        <v/>
      </c>
      <c r="BJ302">
        <f>P302*Assumptions!$B$13</f>
        <v/>
      </c>
      <c r="BK302">
        <f>P302*Assumptions!$B$12</f>
        <v/>
      </c>
      <c r="BL302">
        <f>P302*Assumptions!$B$11</f>
        <v/>
      </c>
    </row>
    <row r="303">
      <c r="A303" t="inlineStr">
        <is>
          <t>1200M</t>
        </is>
      </c>
      <c r="B303">
        <f>Assumptions!$B$59</f>
        <v/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>
        <f>(1-C303)*Assumptions!$B$41+(1-D303)*Assumptions!$B$33+(1-E303)*Assumptions!$B$32+(1-F303)*Assumptions!$B$31+(1-G303)*Assumptions!$B$30+(1-H303)*Assumptions!$B$29+(1-I303)*Assumptions!$B$28</f>
        <v/>
      </c>
      <c r="K303">
        <f>C303*Assumptions!$B$141+D303*Assumptions!$B$128+E303*Assumptions!$B$129+F303*Assumptions!$B$14+G303*Assumptions!$B$13+H303*Assumptions!$B$12+I303*Assumptions!$B$11+Assumptions!$B$133+Assumptions!$B$137+Assumptions!$B$9</f>
        <v/>
      </c>
      <c r="L303">
        <f>B303-J303</f>
        <v/>
      </c>
      <c r="M303">
        <f>IF(K303&gt;0,IF(L303/K303&gt;=Assumptions!$B$37,1,0),0)</f>
        <v/>
      </c>
      <c r="N303">
        <f>K303+M303*Assumptions!$B$153</f>
        <v/>
      </c>
      <c r="O303">
        <f>L303+M303*Assumptions!$B$153*Assumptions!$B$37</f>
        <v/>
      </c>
      <c r="P303">
        <f>IF(N303&gt;0,O303/N303,0)</f>
        <v/>
      </c>
      <c r="Q303">
        <f>IF(C303=1,P303*Assumptions!$B$141,Assumptions!$B$41)</f>
        <v/>
      </c>
      <c r="R303">
        <f>IF(D303=1,P303*Assumptions!$B$128,Assumptions!$B$33)</f>
        <v/>
      </c>
      <c r="S303">
        <f>IF(E303=1,P303*Assumptions!$B$129,Assumptions!$B$32)</f>
        <v/>
      </c>
      <c r="T303">
        <f>IF(F303=1,P303*Assumptions!$B$14,Assumptions!$B$31)</f>
        <v/>
      </c>
      <c r="U303">
        <f>IF(G303=1,P303*Assumptions!$B$13,Assumptions!$B$30)</f>
        <v/>
      </c>
      <c r="V303">
        <f>IF(H303=1,P303*Assumptions!$B$12,Assumptions!$B$29)</f>
        <v/>
      </c>
      <c r="W303">
        <f>IF(I303=1,P303*Assumptions!$B$11,Assumptions!$B$28)</f>
        <v/>
      </c>
      <c r="X303">
        <f>P303*(Assumptions!$B$133+Assumptions!$B$137)</f>
        <v/>
      </c>
      <c r="Y303">
        <f>P303*Assumptions!$B$9</f>
        <v/>
      </c>
      <c r="Z303">
        <f>IF(M303=1,(P303-Assumptions!$B$37)*Assumptions!$B$153,0)</f>
        <v/>
      </c>
      <c r="AA303">
        <f>Q303+R303+S303+T303+U303+V303+W303+X303+Y303+Z303</f>
        <v/>
      </c>
      <c r="AB303" t="n">
        <v>124</v>
      </c>
      <c r="AC303" t="n">
        <v>60</v>
      </c>
      <c r="AD303" t="n">
        <v>92</v>
      </c>
      <c r="AE303" t="n">
        <v>108</v>
      </c>
      <c r="AF303" t="n">
        <v>116</v>
      </c>
      <c r="AG303" t="n">
        <v>120</v>
      </c>
      <c r="AH303" t="n">
        <v>126</v>
      </c>
      <c r="AI303" t="n">
        <v>125</v>
      </c>
      <c r="AJ303">
        <f>INDEX($Q$179:$Q$306,AC303+1)</f>
        <v/>
      </c>
      <c r="AK303">
        <f>INDEX($R$179:$R$306,AD303+1)</f>
        <v/>
      </c>
      <c r="AL303">
        <f>INDEX($S$179:$S$306,AE303+1)</f>
        <v/>
      </c>
      <c r="AM303">
        <f>INDEX($T$179:$T$306,AF303+1)</f>
        <v/>
      </c>
      <c r="AN303">
        <f>INDEX($U$179:$U$306,AG303+1)</f>
        <v/>
      </c>
      <c r="AO303">
        <f>INDEX($V$179:$V$306,AH303+1)</f>
        <v/>
      </c>
      <c r="AP303">
        <f>INDEX($W$179:$W$306,AI303+1)</f>
        <v/>
      </c>
      <c r="AQ303">
        <f>IF(Q303&gt;=AJ303-0.01,1,0)</f>
        <v/>
      </c>
      <c r="AR303">
        <f>IF(R303&gt;=AK303-0.01,1,0)</f>
        <v/>
      </c>
      <c r="AS303">
        <f>IF(S303&gt;=AL303-0.01,1,0)</f>
        <v/>
      </c>
      <c r="AT303">
        <f>IF(T303&gt;=AM303-0.01,1,0)</f>
        <v/>
      </c>
      <c r="AU303">
        <f>IF(U303&gt;=AN303-0.01,1,0)</f>
        <v/>
      </c>
      <c r="AV303">
        <f>IF(V303&gt;=AO303-0.01,1,0)</f>
        <v/>
      </c>
      <c r="AW303">
        <f>IF(W303&gt;=AP303-0.01,1,0)</f>
        <v/>
      </c>
      <c r="AX303">
        <f>AQ303*AR303*AS303*AT303*AU303*AV303*AW303</f>
        <v/>
      </c>
      <c r="AY303">
        <f>Assumptions!$B$41</f>
        <v/>
      </c>
      <c r="AZ303">
        <f>Assumptions!$B$33</f>
        <v/>
      </c>
      <c r="BA303">
        <f>Assumptions!$B$32</f>
        <v/>
      </c>
      <c r="BB303">
        <f>Assumptions!$B$31</f>
        <v/>
      </c>
      <c r="BC303">
        <f>Assumptions!$B$30</f>
        <v/>
      </c>
      <c r="BD303">
        <f>Assumptions!$B$29</f>
        <v/>
      </c>
      <c r="BE303">
        <f>Assumptions!$B$28</f>
        <v/>
      </c>
      <c r="BF303">
        <f>P303*Assumptions!$B$141</f>
        <v/>
      </c>
      <c r="BG303">
        <f>P303*Assumptions!$B$128</f>
        <v/>
      </c>
      <c r="BH303">
        <f>P303*Assumptions!$B$129</f>
        <v/>
      </c>
      <c r="BI303">
        <f>P303*Assumptions!$B$14</f>
        <v/>
      </c>
      <c r="BJ303">
        <f>P303*Assumptions!$B$13</f>
        <v/>
      </c>
      <c r="BK303">
        <f>P303*Assumptions!$B$12</f>
        <v/>
      </c>
      <c r="BL303">
        <f>P303*Assumptions!$B$11</f>
        <v/>
      </c>
    </row>
    <row r="304">
      <c r="A304" t="inlineStr">
        <is>
          <t>1200M</t>
        </is>
      </c>
      <c r="B304">
        <f>Assumptions!$B$59</f>
        <v/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1</v>
      </c>
      <c r="J304">
        <f>(1-C304)*Assumptions!$B$41+(1-D304)*Assumptions!$B$33+(1-E304)*Assumptions!$B$32+(1-F304)*Assumptions!$B$31+(1-G304)*Assumptions!$B$30+(1-H304)*Assumptions!$B$29+(1-I304)*Assumptions!$B$28</f>
        <v/>
      </c>
      <c r="K304">
        <f>C304*Assumptions!$B$141+D304*Assumptions!$B$128+E304*Assumptions!$B$129+F304*Assumptions!$B$14+G304*Assumptions!$B$13+H304*Assumptions!$B$12+I304*Assumptions!$B$11+Assumptions!$B$133+Assumptions!$B$137+Assumptions!$B$9</f>
        <v/>
      </c>
      <c r="L304">
        <f>B304-J304</f>
        <v/>
      </c>
      <c r="M304">
        <f>IF(K304&gt;0,IF(L304/K304&gt;=Assumptions!$B$37,1,0),0)</f>
        <v/>
      </c>
      <c r="N304">
        <f>K304+M304*Assumptions!$B$153</f>
        <v/>
      </c>
      <c r="O304">
        <f>L304+M304*Assumptions!$B$153*Assumptions!$B$37</f>
        <v/>
      </c>
      <c r="P304">
        <f>IF(N304&gt;0,O304/N304,0)</f>
        <v/>
      </c>
      <c r="Q304">
        <f>IF(C304=1,P304*Assumptions!$B$141,Assumptions!$B$41)</f>
        <v/>
      </c>
      <c r="R304">
        <f>IF(D304=1,P304*Assumptions!$B$128,Assumptions!$B$33)</f>
        <v/>
      </c>
      <c r="S304">
        <f>IF(E304=1,P304*Assumptions!$B$129,Assumptions!$B$32)</f>
        <v/>
      </c>
      <c r="T304">
        <f>IF(F304=1,P304*Assumptions!$B$14,Assumptions!$B$31)</f>
        <v/>
      </c>
      <c r="U304">
        <f>IF(G304=1,P304*Assumptions!$B$13,Assumptions!$B$30)</f>
        <v/>
      </c>
      <c r="V304">
        <f>IF(H304=1,P304*Assumptions!$B$12,Assumptions!$B$29)</f>
        <v/>
      </c>
      <c r="W304">
        <f>IF(I304=1,P304*Assumptions!$B$11,Assumptions!$B$28)</f>
        <v/>
      </c>
      <c r="X304">
        <f>P304*(Assumptions!$B$133+Assumptions!$B$137)</f>
        <v/>
      </c>
      <c r="Y304">
        <f>P304*Assumptions!$B$9</f>
        <v/>
      </c>
      <c r="Z304">
        <f>IF(M304=1,(P304-Assumptions!$B$37)*Assumptions!$B$153,0)</f>
        <v/>
      </c>
      <c r="AA304">
        <f>Q304+R304+S304+T304+U304+V304+W304+X304+Y304+Z304</f>
        <v/>
      </c>
      <c r="AB304" t="n">
        <v>125</v>
      </c>
      <c r="AC304" t="n">
        <v>61</v>
      </c>
      <c r="AD304" t="n">
        <v>93</v>
      </c>
      <c r="AE304" t="n">
        <v>109</v>
      </c>
      <c r="AF304" t="n">
        <v>117</v>
      </c>
      <c r="AG304" t="n">
        <v>121</v>
      </c>
      <c r="AH304" t="n">
        <v>127</v>
      </c>
      <c r="AI304" t="n">
        <v>124</v>
      </c>
      <c r="AJ304">
        <f>INDEX($Q$179:$Q$306,AC304+1)</f>
        <v/>
      </c>
      <c r="AK304">
        <f>INDEX($R$179:$R$306,AD304+1)</f>
        <v/>
      </c>
      <c r="AL304">
        <f>INDEX($S$179:$S$306,AE304+1)</f>
        <v/>
      </c>
      <c r="AM304">
        <f>INDEX($T$179:$T$306,AF304+1)</f>
        <v/>
      </c>
      <c r="AN304">
        <f>INDEX($U$179:$U$306,AG304+1)</f>
        <v/>
      </c>
      <c r="AO304">
        <f>INDEX($V$179:$V$306,AH304+1)</f>
        <v/>
      </c>
      <c r="AP304">
        <f>INDEX($W$179:$W$306,AI304+1)</f>
        <v/>
      </c>
      <c r="AQ304">
        <f>IF(Q304&gt;=AJ304-0.01,1,0)</f>
        <v/>
      </c>
      <c r="AR304">
        <f>IF(R304&gt;=AK304-0.01,1,0)</f>
        <v/>
      </c>
      <c r="AS304">
        <f>IF(S304&gt;=AL304-0.01,1,0)</f>
        <v/>
      </c>
      <c r="AT304">
        <f>IF(T304&gt;=AM304-0.01,1,0)</f>
        <v/>
      </c>
      <c r="AU304">
        <f>IF(U304&gt;=AN304-0.01,1,0)</f>
        <v/>
      </c>
      <c r="AV304">
        <f>IF(V304&gt;=AO304-0.01,1,0)</f>
        <v/>
      </c>
      <c r="AW304">
        <f>IF(W304&gt;=AP304-0.01,1,0)</f>
        <v/>
      </c>
      <c r="AX304">
        <f>AQ304*AR304*AS304*AT304*AU304*AV304*AW304</f>
        <v/>
      </c>
      <c r="AY304">
        <f>Assumptions!$B$41</f>
        <v/>
      </c>
      <c r="AZ304">
        <f>Assumptions!$B$33</f>
        <v/>
      </c>
      <c r="BA304">
        <f>Assumptions!$B$32</f>
        <v/>
      </c>
      <c r="BB304">
        <f>Assumptions!$B$31</f>
        <v/>
      </c>
      <c r="BC304">
        <f>Assumptions!$B$30</f>
        <v/>
      </c>
      <c r="BD304">
        <f>Assumptions!$B$29</f>
        <v/>
      </c>
      <c r="BE304">
        <f>Assumptions!$B$28</f>
        <v/>
      </c>
      <c r="BF304">
        <f>P304*Assumptions!$B$141</f>
        <v/>
      </c>
      <c r="BG304">
        <f>P304*Assumptions!$B$128</f>
        <v/>
      </c>
      <c r="BH304">
        <f>P304*Assumptions!$B$129</f>
        <v/>
      </c>
      <c r="BI304">
        <f>P304*Assumptions!$B$14</f>
        <v/>
      </c>
      <c r="BJ304">
        <f>P304*Assumptions!$B$13</f>
        <v/>
      </c>
      <c r="BK304">
        <f>P304*Assumptions!$B$12</f>
        <v/>
      </c>
      <c r="BL304">
        <f>P304*Assumptions!$B$11</f>
        <v/>
      </c>
    </row>
    <row r="305">
      <c r="A305" t="inlineStr">
        <is>
          <t>1200M</t>
        </is>
      </c>
      <c r="B305">
        <f>Assumptions!$B$59</f>
        <v/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>
        <f>(1-C305)*Assumptions!$B$41+(1-D305)*Assumptions!$B$33+(1-E305)*Assumptions!$B$32+(1-F305)*Assumptions!$B$31+(1-G305)*Assumptions!$B$30+(1-H305)*Assumptions!$B$29+(1-I305)*Assumptions!$B$28</f>
        <v/>
      </c>
      <c r="K305">
        <f>C305*Assumptions!$B$141+D305*Assumptions!$B$128+E305*Assumptions!$B$129+F305*Assumptions!$B$14+G305*Assumptions!$B$13+H305*Assumptions!$B$12+I305*Assumptions!$B$11+Assumptions!$B$133+Assumptions!$B$137+Assumptions!$B$9</f>
        <v/>
      </c>
      <c r="L305">
        <f>B305-J305</f>
        <v/>
      </c>
      <c r="M305">
        <f>IF(K305&gt;0,IF(L305/K305&gt;=Assumptions!$B$37,1,0),0)</f>
        <v/>
      </c>
      <c r="N305">
        <f>K305+M305*Assumptions!$B$153</f>
        <v/>
      </c>
      <c r="O305">
        <f>L305+M305*Assumptions!$B$153*Assumptions!$B$37</f>
        <v/>
      </c>
      <c r="P305">
        <f>IF(N305&gt;0,O305/N305,0)</f>
        <v/>
      </c>
      <c r="Q305">
        <f>IF(C305=1,P305*Assumptions!$B$141,Assumptions!$B$41)</f>
        <v/>
      </c>
      <c r="R305">
        <f>IF(D305=1,P305*Assumptions!$B$128,Assumptions!$B$33)</f>
        <v/>
      </c>
      <c r="S305">
        <f>IF(E305=1,P305*Assumptions!$B$129,Assumptions!$B$32)</f>
        <v/>
      </c>
      <c r="T305">
        <f>IF(F305=1,P305*Assumptions!$B$14,Assumptions!$B$31)</f>
        <v/>
      </c>
      <c r="U305">
        <f>IF(G305=1,P305*Assumptions!$B$13,Assumptions!$B$30)</f>
        <v/>
      </c>
      <c r="V305">
        <f>IF(H305=1,P305*Assumptions!$B$12,Assumptions!$B$29)</f>
        <v/>
      </c>
      <c r="W305">
        <f>IF(I305=1,P305*Assumptions!$B$11,Assumptions!$B$28)</f>
        <v/>
      </c>
      <c r="X305">
        <f>P305*(Assumptions!$B$133+Assumptions!$B$137)</f>
        <v/>
      </c>
      <c r="Y305">
        <f>P305*Assumptions!$B$9</f>
        <v/>
      </c>
      <c r="Z305">
        <f>IF(M305=1,(P305-Assumptions!$B$37)*Assumptions!$B$153,0)</f>
        <v/>
      </c>
      <c r="AA305">
        <f>Q305+R305+S305+T305+U305+V305+W305+X305+Y305+Z305</f>
        <v/>
      </c>
      <c r="AB305" t="n">
        <v>126</v>
      </c>
      <c r="AC305" t="n">
        <v>62</v>
      </c>
      <c r="AD305" t="n">
        <v>94</v>
      </c>
      <c r="AE305" t="n">
        <v>110</v>
      </c>
      <c r="AF305" t="n">
        <v>118</v>
      </c>
      <c r="AG305" t="n">
        <v>122</v>
      </c>
      <c r="AH305" t="n">
        <v>124</v>
      </c>
      <c r="AI305" t="n">
        <v>127</v>
      </c>
      <c r="AJ305">
        <f>INDEX($Q$179:$Q$306,AC305+1)</f>
        <v/>
      </c>
      <c r="AK305">
        <f>INDEX($R$179:$R$306,AD305+1)</f>
        <v/>
      </c>
      <c r="AL305">
        <f>INDEX($S$179:$S$306,AE305+1)</f>
        <v/>
      </c>
      <c r="AM305">
        <f>INDEX($T$179:$T$306,AF305+1)</f>
        <v/>
      </c>
      <c r="AN305">
        <f>INDEX($U$179:$U$306,AG305+1)</f>
        <v/>
      </c>
      <c r="AO305">
        <f>INDEX($V$179:$V$306,AH305+1)</f>
        <v/>
      </c>
      <c r="AP305">
        <f>INDEX($W$179:$W$306,AI305+1)</f>
        <v/>
      </c>
      <c r="AQ305">
        <f>IF(Q305&gt;=AJ305-0.01,1,0)</f>
        <v/>
      </c>
      <c r="AR305">
        <f>IF(R305&gt;=AK305-0.01,1,0)</f>
        <v/>
      </c>
      <c r="AS305">
        <f>IF(S305&gt;=AL305-0.01,1,0)</f>
        <v/>
      </c>
      <c r="AT305">
        <f>IF(T305&gt;=AM305-0.01,1,0)</f>
        <v/>
      </c>
      <c r="AU305">
        <f>IF(U305&gt;=AN305-0.01,1,0)</f>
        <v/>
      </c>
      <c r="AV305">
        <f>IF(V305&gt;=AO305-0.01,1,0)</f>
        <v/>
      </c>
      <c r="AW305">
        <f>IF(W305&gt;=AP305-0.01,1,0)</f>
        <v/>
      </c>
      <c r="AX305">
        <f>AQ305*AR305*AS305*AT305*AU305*AV305*AW305</f>
        <v/>
      </c>
      <c r="AY305">
        <f>Assumptions!$B$41</f>
        <v/>
      </c>
      <c r="AZ305">
        <f>Assumptions!$B$33</f>
        <v/>
      </c>
      <c r="BA305">
        <f>Assumptions!$B$32</f>
        <v/>
      </c>
      <c r="BB305">
        <f>Assumptions!$B$31</f>
        <v/>
      </c>
      <c r="BC305">
        <f>Assumptions!$B$30</f>
        <v/>
      </c>
      <c r="BD305">
        <f>Assumptions!$B$29</f>
        <v/>
      </c>
      <c r="BE305">
        <f>Assumptions!$B$28</f>
        <v/>
      </c>
      <c r="BF305">
        <f>P305*Assumptions!$B$141</f>
        <v/>
      </c>
      <c r="BG305">
        <f>P305*Assumptions!$B$128</f>
        <v/>
      </c>
      <c r="BH305">
        <f>P305*Assumptions!$B$129</f>
        <v/>
      </c>
      <c r="BI305">
        <f>P305*Assumptions!$B$14</f>
        <v/>
      </c>
      <c r="BJ305">
        <f>P305*Assumptions!$B$13</f>
        <v/>
      </c>
      <c r="BK305">
        <f>P305*Assumptions!$B$12</f>
        <v/>
      </c>
      <c r="BL305">
        <f>P305*Assumptions!$B$11</f>
        <v/>
      </c>
    </row>
    <row r="306">
      <c r="A306" t="inlineStr">
        <is>
          <t>1200M</t>
        </is>
      </c>
      <c r="B306">
        <f>Assumptions!$B$59</f>
        <v/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>
        <f>(1-C306)*Assumptions!$B$41+(1-D306)*Assumptions!$B$33+(1-E306)*Assumptions!$B$32+(1-F306)*Assumptions!$B$31+(1-G306)*Assumptions!$B$30+(1-H306)*Assumptions!$B$29+(1-I306)*Assumptions!$B$28</f>
        <v/>
      </c>
      <c r="K306">
        <f>C306*Assumptions!$B$141+D306*Assumptions!$B$128+E306*Assumptions!$B$129+F306*Assumptions!$B$14+G306*Assumptions!$B$13+H306*Assumptions!$B$12+I306*Assumptions!$B$11+Assumptions!$B$133+Assumptions!$B$137+Assumptions!$B$9</f>
        <v/>
      </c>
      <c r="L306">
        <f>B306-J306</f>
        <v/>
      </c>
      <c r="M306">
        <f>IF(K306&gt;0,IF(L306/K306&gt;=Assumptions!$B$37,1,0),0)</f>
        <v/>
      </c>
      <c r="N306">
        <f>K306+M306*Assumptions!$B$153</f>
        <v/>
      </c>
      <c r="O306">
        <f>L306+M306*Assumptions!$B$153*Assumptions!$B$37</f>
        <v/>
      </c>
      <c r="P306">
        <f>IF(N306&gt;0,O306/N306,0)</f>
        <v/>
      </c>
      <c r="Q306">
        <f>IF(C306=1,P306*Assumptions!$B$141,Assumptions!$B$41)</f>
        <v/>
      </c>
      <c r="R306">
        <f>IF(D306=1,P306*Assumptions!$B$128,Assumptions!$B$33)</f>
        <v/>
      </c>
      <c r="S306">
        <f>IF(E306=1,P306*Assumptions!$B$129,Assumptions!$B$32)</f>
        <v/>
      </c>
      <c r="T306">
        <f>IF(F306=1,P306*Assumptions!$B$14,Assumptions!$B$31)</f>
        <v/>
      </c>
      <c r="U306">
        <f>IF(G306=1,P306*Assumptions!$B$13,Assumptions!$B$30)</f>
        <v/>
      </c>
      <c r="V306">
        <f>IF(H306=1,P306*Assumptions!$B$12,Assumptions!$B$29)</f>
        <v/>
      </c>
      <c r="W306">
        <f>IF(I306=1,P306*Assumptions!$B$11,Assumptions!$B$28)</f>
        <v/>
      </c>
      <c r="X306">
        <f>P306*(Assumptions!$B$133+Assumptions!$B$137)</f>
        <v/>
      </c>
      <c r="Y306">
        <f>P306*Assumptions!$B$9</f>
        <v/>
      </c>
      <c r="Z306">
        <f>IF(M306=1,(P306-Assumptions!$B$37)*Assumptions!$B$153,0)</f>
        <v/>
      </c>
      <c r="AA306">
        <f>Q306+R306+S306+T306+U306+V306+W306+X306+Y306+Z306</f>
        <v/>
      </c>
      <c r="AB306" t="n">
        <v>127</v>
      </c>
      <c r="AC306" t="n">
        <v>63</v>
      </c>
      <c r="AD306" t="n">
        <v>95</v>
      </c>
      <c r="AE306" t="n">
        <v>111</v>
      </c>
      <c r="AF306" t="n">
        <v>119</v>
      </c>
      <c r="AG306" t="n">
        <v>123</v>
      </c>
      <c r="AH306" t="n">
        <v>125</v>
      </c>
      <c r="AI306" t="n">
        <v>126</v>
      </c>
      <c r="AJ306">
        <f>INDEX($Q$179:$Q$306,AC306+1)</f>
        <v/>
      </c>
      <c r="AK306">
        <f>INDEX($R$179:$R$306,AD306+1)</f>
        <v/>
      </c>
      <c r="AL306">
        <f>INDEX($S$179:$S$306,AE306+1)</f>
        <v/>
      </c>
      <c r="AM306">
        <f>INDEX($T$179:$T$306,AF306+1)</f>
        <v/>
      </c>
      <c r="AN306">
        <f>INDEX($U$179:$U$306,AG306+1)</f>
        <v/>
      </c>
      <c r="AO306">
        <f>INDEX($V$179:$V$306,AH306+1)</f>
        <v/>
      </c>
      <c r="AP306">
        <f>INDEX($W$179:$W$306,AI306+1)</f>
        <v/>
      </c>
      <c r="AQ306">
        <f>IF(Q306&gt;=AJ306-0.01,1,0)</f>
        <v/>
      </c>
      <c r="AR306">
        <f>IF(R306&gt;=AK306-0.01,1,0)</f>
        <v/>
      </c>
      <c r="AS306">
        <f>IF(S306&gt;=AL306-0.01,1,0)</f>
        <v/>
      </c>
      <c r="AT306">
        <f>IF(T306&gt;=AM306-0.01,1,0)</f>
        <v/>
      </c>
      <c r="AU306">
        <f>IF(U306&gt;=AN306-0.01,1,0)</f>
        <v/>
      </c>
      <c r="AV306">
        <f>IF(V306&gt;=AO306-0.01,1,0)</f>
        <v/>
      </c>
      <c r="AW306">
        <f>IF(W306&gt;=AP306-0.01,1,0)</f>
        <v/>
      </c>
      <c r="AX306">
        <f>AQ306*AR306*AS306*AT306*AU306*AV306*AW306</f>
        <v/>
      </c>
      <c r="AY306">
        <f>Assumptions!$B$41</f>
        <v/>
      </c>
      <c r="AZ306">
        <f>Assumptions!$B$33</f>
        <v/>
      </c>
      <c r="BA306">
        <f>Assumptions!$B$32</f>
        <v/>
      </c>
      <c r="BB306">
        <f>Assumptions!$B$31</f>
        <v/>
      </c>
      <c r="BC306">
        <f>Assumptions!$B$30</f>
        <v/>
      </c>
      <c r="BD306">
        <f>Assumptions!$B$29</f>
        <v/>
      </c>
      <c r="BE306">
        <f>Assumptions!$B$28</f>
        <v/>
      </c>
      <c r="BF306">
        <f>P306*Assumptions!$B$141</f>
        <v/>
      </c>
      <c r="BG306">
        <f>P306*Assumptions!$B$128</f>
        <v/>
      </c>
      <c r="BH306">
        <f>P306*Assumptions!$B$129</f>
        <v/>
      </c>
      <c r="BI306">
        <f>P306*Assumptions!$B$14</f>
        <v/>
      </c>
      <c r="BJ306">
        <f>P306*Assumptions!$B$13</f>
        <v/>
      </c>
      <c r="BK306">
        <f>P306*Assumptions!$B$12</f>
        <v/>
      </c>
      <c r="BL306">
        <f>P306*Assumptions!$B$11</f>
        <v/>
      </c>
    </row>
    <row r="307">
      <c r="A307" t="inlineStr">
        <is>
          <t>2000M</t>
        </is>
      </c>
      <c r="B307">
        <f>Assumptions!$B$60</f>
        <v/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>
        <f>(1-C307)*Assumptions!$B$41+(1-D307)*Assumptions!$B$33+(1-E307)*Assumptions!$B$32+(1-F307)*Assumptions!$B$31+(1-G307)*Assumptions!$B$30+(1-H307)*Assumptions!$B$29+(1-I307)*Assumptions!$B$28</f>
        <v/>
      </c>
      <c r="K307">
        <f>C307*Assumptions!$B$141+D307*Assumptions!$B$128+E307*Assumptions!$B$129+F307*Assumptions!$B$14+G307*Assumptions!$B$13+H307*Assumptions!$B$12+I307*Assumptions!$B$11+Assumptions!$B$133+Assumptions!$B$137+Assumptions!$B$9</f>
        <v/>
      </c>
      <c r="L307">
        <f>B307-J307</f>
        <v/>
      </c>
      <c r="M307">
        <f>IF(K307&gt;0,IF(L307/K307&gt;=Assumptions!$B$37,1,0),0)</f>
        <v/>
      </c>
      <c r="N307">
        <f>K307+M307*Assumptions!$B$153</f>
        <v/>
      </c>
      <c r="O307">
        <f>L307+M307*Assumptions!$B$153*Assumptions!$B$37</f>
        <v/>
      </c>
      <c r="P307">
        <f>IF(N307&gt;0,O307/N307,0)</f>
        <v/>
      </c>
      <c r="Q307">
        <f>IF(C307=1,P307*Assumptions!$B$141,Assumptions!$B$41)</f>
        <v/>
      </c>
      <c r="R307">
        <f>IF(D307=1,P307*Assumptions!$B$128,Assumptions!$B$33)</f>
        <v/>
      </c>
      <c r="S307">
        <f>IF(E307=1,P307*Assumptions!$B$129,Assumptions!$B$32)</f>
        <v/>
      </c>
      <c r="T307">
        <f>IF(F307=1,P307*Assumptions!$B$14,Assumptions!$B$31)</f>
        <v/>
      </c>
      <c r="U307">
        <f>IF(G307=1,P307*Assumptions!$B$13,Assumptions!$B$30)</f>
        <v/>
      </c>
      <c r="V307">
        <f>IF(H307=1,P307*Assumptions!$B$12,Assumptions!$B$29)</f>
        <v/>
      </c>
      <c r="W307">
        <f>IF(I307=1,P307*Assumptions!$B$11,Assumptions!$B$28)</f>
        <v/>
      </c>
      <c r="X307">
        <f>P307*(Assumptions!$B$133+Assumptions!$B$137)</f>
        <v/>
      </c>
      <c r="Y307">
        <f>P307*Assumptions!$B$9</f>
        <v/>
      </c>
      <c r="Z307">
        <f>IF(M307=1,(P307-Assumptions!$B$37)*Assumptions!$B$153,0)</f>
        <v/>
      </c>
      <c r="AA307">
        <f>Q307+R307+S307+T307+U307+V307+W307+X307+Y307+Z307</f>
        <v/>
      </c>
      <c r="AB307" t="n">
        <v>0</v>
      </c>
      <c r="AC307" t="n">
        <v>64</v>
      </c>
      <c r="AD307" t="n">
        <v>32</v>
      </c>
      <c r="AE307" t="n">
        <v>16</v>
      </c>
      <c r="AF307" t="n">
        <v>8</v>
      </c>
      <c r="AG307" t="n">
        <v>4</v>
      </c>
      <c r="AH307" t="n">
        <v>2</v>
      </c>
      <c r="AI307" t="n">
        <v>1</v>
      </c>
      <c r="AJ307">
        <f>INDEX($Q$307:$Q$434,AC307+1)</f>
        <v/>
      </c>
      <c r="AK307">
        <f>INDEX($R$307:$R$434,AD307+1)</f>
        <v/>
      </c>
      <c r="AL307">
        <f>INDEX($S$307:$S$434,AE307+1)</f>
        <v/>
      </c>
      <c r="AM307">
        <f>INDEX($T$307:$T$434,AF307+1)</f>
        <v/>
      </c>
      <c r="AN307">
        <f>INDEX($U$307:$U$434,AG307+1)</f>
        <v/>
      </c>
      <c r="AO307">
        <f>INDEX($V$307:$V$434,AH307+1)</f>
        <v/>
      </c>
      <c r="AP307">
        <f>INDEX($W$307:$W$434,AI307+1)</f>
        <v/>
      </c>
      <c r="AQ307">
        <f>IF(Q307&gt;=AJ307-0.01,1,0)</f>
        <v/>
      </c>
      <c r="AR307">
        <f>IF(R307&gt;=AK307-0.01,1,0)</f>
        <v/>
      </c>
      <c r="AS307">
        <f>IF(S307&gt;=AL307-0.01,1,0)</f>
        <v/>
      </c>
      <c r="AT307">
        <f>IF(T307&gt;=AM307-0.01,1,0)</f>
        <v/>
      </c>
      <c r="AU307">
        <f>IF(U307&gt;=AN307-0.01,1,0)</f>
        <v/>
      </c>
      <c r="AV307">
        <f>IF(V307&gt;=AO307-0.01,1,0)</f>
        <v/>
      </c>
      <c r="AW307">
        <f>IF(W307&gt;=AP307-0.01,1,0)</f>
        <v/>
      </c>
      <c r="AX307">
        <f>AQ307*AR307*AS307*AT307*AU307*AV307*AW307</f>
        <v/>
      </c>
      <c r="AY307">
        <f>Assumptions!$B$41</f>
        <v/>
      </c>
      <c r="AZ307">
        <f>Assumptions!$B$33</f>
        <v/>
      </c>
      <c r="BA307">
        <f>Assumptions!$B$32</f>
        <v/>
      </c>
      <c r="BB307">
        <f>Assumptions!$B$31</f>
        <v/>
      </c>
      <c r="BC307">
        <f>Assumptions!$B$30</f>
        <v/>
      </c>
      <c r="BD307">
        <f>Assumptions!$B$29</f>
        <v/>
      </c>
      <c r="BE307">
        <f>Assumptions!$B$28</f>
        <v/>
      </c>
      <c r="BF307">
        <f>P307*Assumptions!$B$141</f>
        <v/>
      </c>
      <c r="BG307">
        <f>P307*Assumptions!$B$128</f>
        <v/>
      </c>
      <c r="BH307">
        <f>P307*Assumptions!$B$129</f>
        <v/>
      </c>
      <c r="BI307">
        <f>P307*Assumptions!$B$14</f>
        <v/>
      </c>
      <c r="BJ307">
        <f>P307*Assumptions!$B$13</f>
        <v/>
      </c>
      <c r="BK307">
        <f>P307*Assumptions!$B$12</f>
        <v/>
      </c>
      <c r="BL307">
        <f>P307*Assumptions!$B$11</f>
        <v/>
      </c>
    </row>
    <row r="308">
      <c r="A308" t="inlineStr">
        <is>
          <t>2000M</t>
        </is>
      </c>
      <c r="B308">
        <f>Assumptions!$B$60</f>
        <v/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>
        <f>(1-C308)*Assumptions!$B$41+(1-D308)*Assumptions!$B$33+(1-E308)*Assumptions!$B$32+(1-F308)*Assumptions!$B$31+(1-G308)*Assumptions!$B$30+(1-H308)*Assumptions!$B$29+(1-I308)*Assumptions!$B$28</f>
        <v/>
      </c>
      <c r="K308">
        <f>C308*Assumptions!$B$141+D308*Assumptions!$B$128+E308*Assumptions!$B$129+F308*Assumptions!$B$14+G308*Assumptions!$B$13+H308*Assumptions!$B$12+I308*Assumptions!$B$11+Assumptions!$B$133+Assumptions!$B$137+Assumptions!$B$9</f>
        <v/>
      </c>
      <c r="L308">
        <f>B308-J308</f>
        <v/>
      </c>
      <c r="M308">
        <f>IF(K308&gt;0,IF(L308/K308&gt;=Assumptions!$B$37,1,0),0)</f>
        <v/>
      </c>
      <c r="N308">
        <f>K308+M308*Assumptions!$B$153</f>
        <v/>
      </c>
      <c r="O308">
        <f>L308+M308*Assumptions!$B$153*Assumptions!$B$37</f>
        <v/>
      </c>
      <c r="P308">
        <f>IF(N308&gt;0,O308/N308,0)</f>
        <v/>
      </c>
      <c r="Q308">
        <f>IF(C308=1,P308*Assumptions!$B$141,Assumptions!$B$41)</f>
        <v/>
      </c>
      <c r="R308">
        <f>IF(D308=1,P308*Assumptions!$B$128,Assumptions!$B$33)</f>
        <v/>
      </c>
      <c r="S308">
        <f>IF(E308=1,P308*Assumptions!$B$129,Assumptions!$B$32)</f>
        <v/>
      </c>
      <c r="T308">
        <f>IF(F308=1,P308*Assumptions!$B$14,Assumptions!$B$31)</f>
        <v/>
      </c>
      <c r="U308">
        <f>IF(G308=1,P308*Assumptions!$B$13,Assumptions!$B$30)</f>
        <v/>
      </c>
      <c r="V308">
        <f>IF(H308=1,P308*Assumptions!$B$12,Assumptions!$B$29)</f>
        <v/>
      </c>
      <c r="W308">
        <f>IF(I308=1,P308*Assumptions!$B$11,Assumptions!$B$28)</f>
        <v/>
      </c>
      <c r="X308">
        <f>P308*(Assumptions!$B$133+Assumptions!$B$137)</f>
        <v/>
      </c>
      <c r="Y308">
        <f>P308*Assumptions!$B$9</f>
        <v/>
      </c>
      <c r="Z308">
        <f>IF(M308=1,(P308-Assumptions!$B$37)*Assumptions!$B$153,0)</f>
        <v/>
      </c>
      <c r="AA308">
        <f>Q308+R308+S308+T308+U308+V308+W308+X308+Y308+Z308</f>
        <v/>
      </c>
      <c r="AB308" t="n">
        <v>1</v>
      </c>
      <c r="AC308" t="n">
        <v>65</v>
      </c>
      <c r="AD308" t="n">
        <v>33</v>
      </c>
      <c r="AE308" t="n">
        <v>17</v>
      </c>
      <c r="AF308" t="n">
        <v>9</v>
      </c>
      <c r="AG308" t="n">
        <v>5</v>
      </c>
      <c r="AH308" t="n">
        <v>3</v>
      </c>
      <c r="AI308" t="n">
        <v>0</v>
      </c>
      <c r="AJ308">
        <f>INDEX($Q$307:$Q$434,AC308+1)</f>
        <v/>
      </c>
      <c r="AK308">
        <f>INDEX($R$307:$R$434,AD308+1)</f>
        <v/>
      </c>
      <c r="AL308">
        <f>INDEX($S$307:$S$434,AE308+1)</f>
        <v/>
      </c>
      <c r="AM308">
        <f>INDEX($T$307:$T$434,AF308+1)</f>
        <v/>
      </c>
      <c r="AN308">
        <f>INDEX($U$307:$U$434,AG308+1)</f>
        <v/>
      </c>
      <c r="AO308">
        <f>INDEX($V$307:$V$434,AH308+1)</f>
        <v/>
      </c>
      <c r="AP308">
        <f>INDEX($W$307:$W$434,AI308+1)</f>
        <v/>
      </c>
      <c r="AQ308">
        <f>IF(Q308&gt;=AJ308-0.01,1,0)</f>
        <v/>
      </c>
      <c r="AR308">
        <f>IF(R308&gt;=AK308-0.01,1,0)</f>
        <v/>
      </c>
      <c r="AS308">
        <f>IF(S308&gt;=AL308-0.01,1,0)</f>
        <v/>
      </c>
      <c r="AT308">
        <f>IF(T308&gt;=AM308-0.01,1,0)</f>
        <v/>
      </c>
      <c r="AU308">
        <f>IF(U308&gt;=AN308-0.01,1,0)</f>
        <v/>
      </c>
      <c r="AV308">
        <f>IF(V308&gt;=AO308-0.01,1,0)</f>
        <v/>
      </c>
      <c r="AW308">
        <f>IF(W308&gt;=AP308-0.01,1,0)</f>
        <v/>
      </c>
      <c r="AX308">
        <f>AQ308*AR308*AS308*AT308*AU308*AV308*AW308</f>
        <v/>
      </c>
      <c r="AY308">
        <f>Assumptions!$B$41</f>
        <v/>
      </c>
      <c r="AZ308">
        <f>Assumptions!$B$33</f>
        <v/>
      </c>
      <c r="BA308">
        <f>Assumptions!$B$32</f>
        <v/>
      </c>
      <c r="BB308">
        <f>Assumptions!$B$31</f>
        <v/>
      </c>
      <c r="BC308">
        <f>Assumptions!$B$30</f>
        <v/>
      </c>
      <c r="BD308">
        <f>Assumptions!$B$29</f>
        <v/>
      </c>
      <c r="BE308">
        <f>Assumptions!$B$28</f>
        <v/>
      </c>
      <c r="BF308">
        <f>P308*Assumptions!$B$141</f>
        <v/>
      </c>
      <c r="BG308">
        <f>P308*Assumptions!$B$128</f>
        <v/>
      </c>
      <c r="BH308">
        <f>P308*Assumptions!$B$129</f>
        <v/>
      </c>
      <c r="BI308">
        <f>P308*Assumptions!$B$14</f>
        <v/>
      </c>
      <c r="BJ308">
        <f>P308*Assumptions!$B$13</f>
        <v/>
      </c>
      <c r="BK308">
        <f>P308*Assumptions!$B$12</f>
        <v/>
      </c>
      <c r="BL308">
        <f>P308*Assumptions!$B$11</f>
        <v/>
      </c>
    </row>
    <row r="309">
      <c r="A309" t="inlineStr">
        <is>
          <t>2000M</t>
        </is>
      </c>
      <c r="B309">
        <f>Assumptions!$B$60</f>
        <v/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>
        <f>(1-C309)*Assumptions!$B$41+(1-D309)*Assumptions!$B$33+(1-E309)*Assumptions!$B$32+(1-F309)*Assumptions!$B$31+(1-G309)*Assumptions!$B$30+(1-H309)*Assumptions!$B$29+(1-I309)*Assumptions!$B$28</f>
        <v/>
      </c>
      <c r="K309">
        <f>C309*Assumptions!$B$141+D309*Assumptions!$B$128+E309*Assumptions!$B$129+F309*Assumptions!$B$14+G309*Assumptions!$B$13+H309*Assumptions!$B$12+I309*Assumptions!$B$11+Assumptions!$B$133+Assumptions!$B$137+Assumptions!$B$9</f>
        <v/>
      </c>
      <c r="L309">
        <f>B309-J309</f>
        <v/>
      </c>
      <c r="M309">
        <f>IF(K309&gt;0,IF(L309/K309&gt;=Assumptions!$B$37,1,0),0)</f>
        <v/>
      </c>
      <c r="N309">
        <f>K309+M309*Assumptions!$B$153</f>
        <v/>
      </c>
      <c r="O309">
        <f>L309+M309*Assumptions!$B$153*Assumptions!$B$37</f>
        <v/>
      </c>
      <c r="P309">
        <f>IF(N309&gt;0,O309/N309,0)</f>
        <v/>
      </c>
      <c r="Q309">
        <f>IF(C309=1,P309*Assumptions!$B$141,Assumptions!$B$41)</f>
        <v/>
      </c>
      <c r="R309">
        <f>IF(D309=1,P309*Assumptions!$B$128,Assumptions!$B$33)</f>
        <v/>
      </c>
      <c r="S309">
        <f>IF(E309=1,P309*Assumptions!$B$129,Assumptions!$B$32)</f>
        <v/>
      </c>
      <c r="T309">
        <f>IF(F309=1,P309*Assumptions!$B$14,Assumptions!$B$31)</f>
        <v/>
      </c>
      <c r="U309">
        <f>IF(G309=1,P309*Assumptions!$B$13,Assumptions!$B$30)</f>
        <v/>
      </c>
      <c r="V309">
        <f>IF(H309=1,P309*Assumptions!$B$12,Assumptions!$B$29)</f>
        <v/>
      </c>
      <c r="W309">
        <f>IF(I309=1,P309*Assumptions!$B$11,Assumptions!$B$28)</f>
        <v/>
      </c>
      <c r="X309">
        <f>P309*(Assumptions!$B$133+Assumptions!$B$137)</f>
        <v/>
      </c>
      <c r="Y309">
        <f>P309*Assumptions!$B$9</f>
        <v/>
      </c>
      <c r="Z309">
        <f>IF(M309=1,(P309-Assumptions!$B$37)*Assumptions!$B$153,0)</f>
        <v/>
      </c>
      <c r="AA309">
        <f>Q309+R309+S309+T309+U309+V309+W309+X309+Y309+Z309</f>
        <v/>
      </c>
      <c r="AB309" t="n">
        <v>2</v>
      </c>
      <c r="AC309" t="n">
        <v>66</v>
      </c>
      <c r="AD309" t="n">
        <v>34</v>
      </c>
      <c r="AE309" t="n">
        <v>18</v>
      </c>
      <c r="AF309" t="n">
        <v>10</v>
      </c>
      <c r="AG309" t="n">
        <v>6</v>
      </c>
      <c r="AH309" t="n">
        <v>0</v>
      </c>
      <c r="AI309" t="n">
        <v>3</v>
      </c>
      <c r="AJ309">
        <f>INDEX($Q$307:$Q$434,AC309+1)</f>
        <v/>
      </c>
      <c r="AK309">
        <f>INDEX($R$307:$R$434,AD309+1)</f>
        <v/>
      </c>
      <c r="AL309">
        <f>INDEX($S$307:$S$434,AE309+1)</f>
        <v/>
      </c>
      <c r="AM309">
        <f>INDEX($T$307:$T$434,AF309+1)</f>
        <v/>
      </c>
      <c r="AN309">
        <f>INDEX($U$307:$U$434,AG309+1)</f>
        <v/>
      </c>
      <c r="AO309">
        <f>INDEX($V$307:$V$434,AH309+1)</f>
        <v/>
      </c>
      <c r="AP309">
        <f>INDEX($W$307:$W$434,AI309+1)</f>
        <v/>
      </c>
      <c r="AQ309">
        <f>IF(Q309&gt;=AJ309-0.01,1,0)</f>
        <v/>
      </c>
      <c r="AR309">
        <f>IF(R309&gt;=AK309-0.01,1,0)</f>
        <v/>
      </c>
      <c r="AS309">
        <f>IF(S309&gt;=AL309-0.01,1,0)</f>
        <v/>
      </c>
      <c r="AT309">
        <f>IF(T309&gt;=AM309-0.01,1,0)</f>
        <v/>
      </c>
      <c r="AU309">
        <f>IF(U309&gt;=AN309-0.01,1,0)</f>
        <v/>
      </c>
      <c r="AV309">
        <f>IF(V309&gt;=AO309-0.01,1,0)</f>
        <v/>
      </c>
      <c r="AW309">
        <f>IF(W309&gt;=AP309-0.01,1,0)</f>
        <v/>
      </c>
      <c r="AX309">
        <f>AQ309*AR309*AS309*AT309*AU309*AV309*AW309</f>
        <v/>
      </c>
      <c r="AY309">
        <f>Assumptions!$B$41</f>
        <v/>
      </c>
      <c r="AZ309">
        <f>Assumptions!$B$33</f>
        <v/>
      </c>
      <c r="BA309">
        <f>Assumptions!$B$32</f>
        <v/>
      </c>
      <c r="BB309">
        <f>Assumptions!$B$31</f>
        <v/>
      </c>
      <c r="BC309">
        <f>Assumptions!$B$30</f>
        <v/>
      </c>
      <c r="BD309">
        <f>Assumptions!$B$29</f>
        <v/>
      </c>
      <c r="BE309">
        <f>Assumptions!$B$28</f>
        <v/>
      </c>
      <c r="BF309">
        <f>P309*Assumptions!$B$141</f>
        <v/>
      </c>
      <c r="BG309">
        <f>P309*Assumptions!$B$128</f>
        <v/>
      </c>
      <c r="BH309">
        <f>P309*Assumptions!$B$129</f>
        <v/>
      </c>
      <c r="BI309">
        <f>P309*Assumptions!$B$14</f>
        <v/>
      </c>
      <c r="BJ309">
        <f>P309*Assumptions!$B$13</f>
        <v/>
      </c>
      <c r="BK309">
        <f>P309*Assumptions!$B$12</f>
        <v/>
      </c>
      <c r="BL309">
        <f>P309*Assumptions!$B$11</f>
        <v/>
      </c>
    </row>
    <row r="310">
      <c r="A310" t="inlineStr">
        <is>
          <t>2000M</t>
        </is>
      </c>
      <c r="B310">
        <f>Assumptions!$B$60</f>
        <v/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>
        <f>(1-C310)*Assumptions!$B$41+(1-D310)*Assumptions!$B$33+(1-E310)*Assumptions!$B$32+(1-F310)*Assumptions!$B$31+(1-G310)*Assumptions!$B$30+(1-H310)*Assumptions!$B$29+(1-I310)*Assumptions!$B$28</f>
        <v/>
      </c>
      <c r="K310">
        <f>C310*Assumptions!$B$141+D310*Assumptions!$B$128+E310*Assumptions!$B$129+F310*Assumptions!$B$14+G310*Assumptions!$B$13+H310*Assumptions!$B$12+I310*Assumptions!$B$11+Assumptions!$B$133+Assumptions!$B$137+Assumptions!$B$9</f>
        <v/>
      </c>
      <c r="L310">
        <f>B310-J310</f>
        <v/>
      </c>
      <c r="M310">
        <f>IF(K310&gt;0,IF(L310/K310&gt;=Assumptions!$B$37,1,0),0)</f>
        <v/>
      </c>
      <c r="N310">
        <f>K310+M310*Assumptions!$B$153</f>
        <v/>
      </c>
      <c r="O310">
        <f>L310+M310*Assumptions!$B$153*Assumptions!$B$37</f>
        <v/>
      </c>
      <c r="P310">
        <f>IF(N310&gt;0,O310/N310,0)</f>
        <v/>
      </c>
      <c r="Q310">
        <f>IF(C310=1,P310*Assumptions!$B$141,Assumptions!$B$41)</f>
        <v/>
      </c>
      <c r="R310">
        <f>IF(D310=1,P310*Assumptions!$B$128,Assumptions!$B$33)</f>
        <v/>
      </c>
      <c r="S310">
        <f>IF(E310=1,P310*Assumptions!$B$129,Assumptions!$B$32)</f>
        <v/>
      </c>
      <c r="T310">
        <f>IF(F310=1,P310*Assumptions!$B$14,Assumptions!$B$31)</f>
        <v/>
      </c>
      <c r="U310">
        <f>IF(G310=1,P310*Assumptions!$B$13,Assumptions!$B$30)</f>
        <v/>
      </c>
      <c r="V310">
        <f>IF(H310=1,P310*Assumptions!$B$12,Assumptions!$B$29)</f>
        <v/>
      </c>
      <c r="W310">
        <f>IF(I310=1,P310*Assumptions!$B$11,Assumptions!$B$28)</f>
        <v/>
      </c>
      <c r="X310">
        <f>P310*(Assumptions!$B$133+Assumptions!$B$137)</f>
        <v/>
      </c>
      <c r="Y310">
        <f>P310*Assumptions!$B$9</f>
        <v/>
      </c>
      <c r="Z310">
        <f>IF(M310=1,(P310-Assumptions!$B$37)*Assumptions!$B$153,0)</f>
        <v/>
      </c>
      <c r="AA310">
        <f>Q310+R310+S310+T310+U310+V310+W310+X310+Y310+Z310</f>
        <v/>
      </c>
      <c r="AB310" t="n">
        <v>3</v>
      </c>
      <c r="AC310" t="n">
        <v>67</v>
      </c>
      <c r="AD310" t="n">
        <v>35</v>
      </c>
      <c r="AE310" t="n">
        <v>19</v>
      </c>
      <c r="AF310" t="n">
        <v>11</v>
      </c>
      <c r="AG310" t="n">
        <v>7</v>
      </c>
      <c r="AH310" t="n">
        <v>1</v>
      </c>
      <c r="AI310" t="n">
        <v>2</v>
      </c>
      <c r="AJ310">
        <f>INDEX($Q$307:$Q$434,AC310+1)</f>
        <v/>
      </c>
      <c r="AK310">
        <f>INDEX($R$307:$R$434,AD310+1)</f>
        <v/>
      </c>
      <c r="AL310">
        <f>INDEX($S$307:$S$434,AE310+1)</f>
        <v/>
      </c>
      <c r="AM310">
        <f>INDEX($T$307:$T$434,AF310+1)</f>
        <v/>
      </c>
      <c r="AN310">
        <f>INDEX($U$307:$U$434,AG310+1)</f>
        <v/>
      </c>
      <c r="AO310">
        <f>INDEX($V$307:$V$434,AH310+1)</f>
        <v/>
      </c>
      <c r="AP310">
        <f>INDEX($W$307:$W$434,AI310+1)</f>
        <v/>
      </c>
      <c r="AQ310">
        <f>IF(Q310&gt;=AJ310-0.01,1,0)</f>
        <v/>
      </c>
      <c r="AR310">
        <f>IF(R310&gt;=AK310-0.01,1,0)</f>
        <v/>
      </c>
      <c r="AS310">
        <f>IF(S310&gt;=AL310-0.01,1,0)</f>
        <v/>
      </c>
      <c r="AT310">
        <f>IF(T310&gt;=AM310-0.01,1,0)</f>
        <v/>
      </c>
      <c r="AU310">
        <f>IF(U310&gt;=AN310-0.01,1,0)</f>
        <v/>
      </c>
      <c r="AV310">
        <f>IF(V310&gt;=AO310-0.01,1,0)</f>
        <v/>
      </c>
      <c r="AW310">
        <f>IF(W310&gt;=AP310-0.01,1,0)</f>
        <v/>
      </c>
      <c r="AX310">
        <f>AQ310*AR310*AS310*AT310*AU310*AV310*AW310</f>
        <v/>
      </c>
      <c r="AY310">
        <f>Assumptions!$B$41</f>
        <v/>
      </c>
      <c r="AZ310">
        <f>Assumptions!$B$33</f>
        <v/>
      </c>
      <c r="BA310">
        <f>Assumptions!$B$32</f>
        <v/>
      </c>
      <c r="BB310">
        <f>Assumptions!$B$31</f>
        <v/>
      </c>
      <c r="BC310">
        <f>Assumptions!$B$30</f>
        <v/>
      </c>
      <c r="BD310">
        <f>Assumptions!$B$29</f>
        <v/>
      </c>
      <c r="BE310">
        <f>Assumptions!$B$28</f>
        <v/>
      </c>
      <c r="BF310">
        <f>P310*Assumptions!$B$141</f>
        <v/>
      </c>
      <c r="BG310">
        <f>P310*Assumptions!$B$128</f>
        <v/>
      </c>
      <c r="BH310">
        <f>P310*Assumptions!$B$129</f>
        <v/>
      </c>
      <c r="BI310">
        <f>P310*Assumptions!$B$14</f>
        <v/>
      </c>
      <c r="BJ310">
        <f>P310*Assumptions!$B$13</f>
        <v/>
      </c>
      <c r="BK310">
        <f>P310*Assumptions!$B$12</f>
        <v/>
      </c>
      <c r="BL310">
        <f>P310*Assumptions!$B$11</f>
        <v/>
      </c>
    </row>
    <row r="311">
      <c r="A311" t="inlineStr">
        <is>
          <t>2000M</t>
        </is>
      </c>
      <c r="B311">
        <f>Assumptions!$B$60</f>
        <v/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>
        <f>(1-C311)*Assumptions!$B$41+(1-D311)*Assumptions!$B$33+(1-E311)*Assumptions!$B$32+(1-F311)*Assumptions!$B$31+(1-G311)*Assumptions!$B$30+(1-H311)*Assumptions!$B$29+(1-I311)*Assumptions!$B$28</f>
        <v/>
      </c>
      <c r="K311">
        <f>C311*Assumptions!$B$141+D311*Assumptions!$B$128+E311*Assumptions!$B$129+F311*Assumptions!$B$14+G311*Assumptions!$B$13+H311*Assumptions!$B$12+I311*Assumptions!$B$11+Assumptions!$B$133+Assumptions!$B$137+Assumptions!$B$9</f>
        <v/>
      </c>
      <c r="L311">
        <f>B311-J311</f>
        <v/>
      </c>
      <c r="M311">
        <f>IF(K311&gt;0,IF(L311/K311&gt;=Assumptions!$B$37,1,0),0)</f>
        <v/>
      </c>
      <c r="N311">
        <f>K311+M311*Assumptions!$B$153</f>
        <v/>
      </c>
      <c r="O311">
        <f>L311+M311*Assumptions!$B$153*Assumptions!$B$37</f>
        <v/>
      </c>
      <c r="P311">
        <f>IF(N311&gt;0,O311/N311,0)</f>
        <v/>
      </c>
      <c r="Q311">
        <f>IF(C311=1,P311*Assumptions!$B$141,Assumptions!$B$41)</f>
        <v/>
      </c>
      <c r="R311">
        <f>IF(D311=1,P311*Assumptions!$B$128,Assumptions!$B$33)</f>
        <v/>
      </c>
      <c r="S311">
        <f>IF(E311=1,P311*Assumptions!$B$129,Assumptions!$B$32)</f>
        <v/>
      </c>
      <c r="T311">
        <f>IF(F311=1,P311*Assumptions!$B$14,Assumptions!$B$31)</f>
        <v/>
      </c>
      <c r="U311">
        <f>IF(G311=1,P311*Assumptions!$B$13,Assumptions!$B$30)</f>
        <v/>
      </c>
      <c r="V311">
        <f>IF(H311=1,P311*Assumptions!$B$12,Assumptions!$B$29)</f>
        <v/>
      </c>
      <c r="W311">
        <f>IF(I311=1,P311*Assumptions!$B$11,Assumptions!$B$28)</f>
        <v/>
      </c>
      <c r="X311">
        <f>P311*(Assumptions!$B$133+Assumptions!$B$137)</f>
        <v/>
      </c>
      <c r="Y311">
        <f>P311*Assumptions!$B$9</f>
        <v/>
      </c>
      <c r="Z311">
        <f>IF(M311=1,(P311-Assumptions!$B$37)*Assumptions!$B$153,0)</f>
        <v/>
      </c>
      <c r="AA311">
        <f>Q311+R311+S311+T311+U311+V311+W311+X311+Y311+Z311</f>
        <v/>
      </c>
      <c r="AB311" t="n">
        <v>4</v>
      </c>
      <c r="AC311" t="n">
        <v>68</v>
      </c>
      <c r="AD311" t="n">
        <v>36</v>
      </c>
      <c r="AE311" t="n">
        <v>20</v>
      </c>
      <c r="AF311" t="n">
        <v>12</v>
      </c>
      <c r="AG311" t="n">
        <v>0</v>
      </c>
      <c r="AH311" t="n">
        <v>6</v>
      </c>
      <c r="AI311" t="n">
        <v>5</v>
      </c>
      <c r="AJ311">
        <f>INDEX($Q$307:$Q$434,AC311+1)</f>
        <v/>
      </c>
      <c r="AK311">
        <f>INDEX($R$307:$R$434,AD311+1)</f>
        <v/>
      </c>
      <c r="AL311">
        <f>INDEX($S$307:$S$434,AE311+1)</f>
        <v/>
      </c>
      <c r="AM311">
        <f>INDEX($T$307:$T$434,AF311+1)</f>
        <v/>
      </c>
      <c r="AN311">
        <f>INDEX($U$307:$U$434,AG311+1)</f>
        <v/>
      </c>
      <c r="AO311">
        <f>INDEX($V$307:$V$434,AH311+1)</f>
        <v/>
      </c>
      <c r="AP311">
        <f>INDEX($W$307:$W$434,AI311+1)</f>
        <v/>
      </c>
      <c r="AQ311">
        <f>IF(Q311&gt;=AJ311-0.01,1,0)</f>
        <v/>
      </c>
      <c r="AR311">
        <f>IF(R311&gt;=AK311-0.01,1,0)</f>
        <v/>
      </c>
      <c r="AS311">
        <f>IF(S311&gt;=AL311-0.01,1,0)</f>
        <v/>
      </c>
      <c r="AT311">
        <f>IF(T311&gt;=AM311-0.01,1,0)</f>
        <v/>
      </c>
      <c r="AU311">
        <f>IF(U311&gt;=AN311-0.01,1,0)</f>
        <v/>
      </c>
      <c r="AV311">
        <f>IF(V311&gt;=AO311-0.01,1,0)</f>
        <v/>
      </c>
      <c r="AW311">
        <f>IF(W311&gt;=AP311-0.01,1,0)</f>
        <v/>
      </c>
      <c r="AX311">
        <f>AQ311*AR311*AS311*AT311*AU311*AV311*AW311</f>
        <v/>
      </c>
      <c r="AY311">
        <f>Assumptions!$B$41</f>
        <v/>
      </c>
      <c r="AZ311">
        <f>Assumptions!$B$33</f>
        <v/>
      </c>
      <c r="BA311">
        <f>Assumptions!$B$32</f>
        <v/>
      </c>
      <c r="BB311">
        <f>Assumptions!$B$31</f>
        <v/>
      </c>
      <c r="BC311">
        <f>Assumptions!$B$30</f>
        <v/>
      </c>
      <c r="BD311">
        <f>Assumptions!$B$29</f>
        <v/>
      </c>
      <c r="BE311">
        <f>Assumptions!$B$28</f>
        <v/>
      </c>
      <c r="BF311">
        <f>P311*Assumptions!$B$141</f>
        <v/>
      </c>
      <c r="BG311">
        <f>P311*Assumptions!$B$128</f>
        <v/>
      </c>
      <c r="BH311">
        <f>P311*Assumptions!$B$129</f>
        <v/>
      </c>
      <c r="BI311">
        <f>P311*Assumptions!$B$14</f>
        <v/>
      </c>
      <c r="BJ311">
        <f>P311*Assumptions!$B$13</f>
        <v/>
      </c>
      <c r="BK311">
        <f>P311*Assumptions!$B$12</f>
        <v/>
      </c>
      <c r="BL311">
        <f>P311*Assumptions!$B$11</f>
        <v/>
      </c>
    </row>
    <row r="312">
      <c r="A312" t="inlineStr">
        <is>
          <t>2000M</t>
        </is>
      </c>
      <c r="B312">
        <f>Assumptions!$B$60</f>
        <v/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>
        <f>(1-C312)*Assumptions!$B$41+(1-D312)*Assumptions!$B$33+(1-E312)*Assumptions!$B$32+(1-F312)*Assumptions!$B$31+(1-G312)*Assumptions!$B$30+(1-H312)*Assumptions!$B$29+(1-I312)*Assumptions!$B$28</f>
        <v/>
      </c>
      <c r="K312">
        <f>C312*Assumptions!$B$141+D312*Assumptions!$B$128+E312*Assumptions!$B$129+F312*Assumptions!$B$14+G312*Assumptions!$B$13+H312*Assumptions!$B$12+I312*Assumptions!$B$11+Assumptions!$B$133+Assumptions!$B$137+Assumptions!$B$9</f>
        <v/>
      </c>
      <c r="L312">
        <f>B312-J312</f>
        <v/>
      </c>
      <c r="M312">
        <f>IF(K312&gt;0,IF(L312/K312&gt;=Assumptions!$B$37,1,0),0)</f>
        <v/>
      </c>
      <c r="N312">
        <f>K312+M312*Assumptions!$B$153</f>
        <v/>
      </c>
      <c r="O312">
        <f>L312+M312*Assumptions!$B$153*Assumptions!$B$37</f>
        <v/>
      </c>
      <c r="P312">
        <f>IF(N312&gt;0,O312/N312,0)</f>
        <v/>
      </c>
      <c r="Q312">
        <f>IF(C312=1,P312*Assumptions!$B$141,Assumptions!$B$41)</f>
        <v/>
      </c>
      <c r="R312">
        <f>IF(D312=1,P312*Assumptions!$B$128,Assumptions!$B$33)</f>
        <v/>
      </c>
      <c r="S312">
        <f>IF(E312=1,P312*Assumptions!$B$129,Assumptions!$B$32)</f>
        <v/>
      </c>
      <c r="T312">
        <f>IF(F312=1,P312*Assumptions!$B$14,Assumptions!$B$31)</f>
        <v/>
      </c>
      <c r="U312">
        <f>IF(G312=1,P312*Assumptions!$B$13,Assumptions!$B$30)</f>
        <v/>
      </c>
      <c r="V312">
        <f>IF(H312=1,P312*Assumptions!$B$12,Assumptions!$B$29)</f>
        <v/>
      </c>
      <c r="W312">
        <f>IF(I312=1,P312*Assumptions!$B$11,Assumptions!$B$28)</f>
        <v/>
      </c>
      <c r="X312">
        <f>P312*(Assumptions!$B$133+Assumptions!$B$137)</f>
        <v/>
      </c>
      <c r="Y312">
        <f>P312*Assumptions!$B$9</f>
        <v/>
      </c>
      <c r="Z312">
        <f>IF(M312=1,(P312-Assumptions!$B$37)*Assumptions!$B$153,0)</f>
        <v/>
      </c>
      <c r="AA312">
        <f>Q312+R312+S312+T312+U312+V312+W312+X312+Y312+Z312</f>
        <v/>
      </c>
      <c r="AB312" t="n">
        <v>5</v>
      </c>
      <c r="AC312" t="n">
        <v>69</v>
      </c>
      <c r="AD312" t="n">
        <v>37</v>
      </c>
      <c r="AE312" t="n">
        <v>21</v>
      </c>
      <c r="AF312" t="n">
        <v>13</v>
      </c>
      <c r="AG312" t="n">
        <v>1</v>
      </c>
      <c r="AH312" t="n">
        <v>7</v>
      </c>
      <c r="AI312" t="n">
        <v>4</v>
      </c>
      <c r="AJ312">
        <f>INDEX($Q$307:$Q$434,AC312+1)</f>
        <v/>
      </c>
      <c r="AK312">
        <f>INDEX($R$307:$R$434,AD312+1)</f>
        <v/>
      </c>
      <c r="AL312">
        <f>INDEX($S$307:$S$434,AE312+1)</f>
        <v/>
      </c>
      <c r="AM312">
        <f>INDEX($T$307:$T$434,AF312+1)</f>
        <v/>
      </c>
      <c r="AN312">
        <f>INDEX($U$307:$U$434,AG312+1)</f>
        <v/>
      </c>
      <c r="AO312">
        <f>INDEX($V$307:$V$434,AH312+1)</f>
        <v/>
      </c>
      <c r="AP312">
        <f>INDEX($W$307:$W$434,AI312+1)</f>
        <v/>
      </c>
      <c r="AQ312">
        <f>IF(Q312&gt;=AJ312-0.01,1,0)</f>
        <v/>
      </c>
      <c r="AR312">
        <f>IF(R312&gt;=AK312-0.01,1,0)</f>
        <v/>
      </c>
      <c r="AS312">
        <f>IF(S312&gt;=AL312-0.01,1,0)</f>
        <v/>
      </c>
      <c r="AT312">
        <f>IF(T312&gt;=AM312-0.01,1,0)</f>
        <v/>
      </c>
      <c r="AU312">
        <f>IF(U312&gt;=AN312-0.01,1,0)</f>
        <v/>
      </c>
      <c r="AV312">
        <f>IF(V312&gt;=AO312-0.01,1,0)</f>
        <v/>
      </c>
      <c r="AW312">
        <f>IF(W312&gt;=AP312-0.01,1,0)</f>
        <v/>
      </c>
      <c r="AX312">
        <f>AQ312*AR312*AS312*AT312*AU312*AV312*AW312</f>
        <v/>
      </c>
      <c r="AY312">
        <f>Assumptions!$B$41</f>
        <v/>
      </c>
      <c r="AZ312">
        <f>Assumptions!$B$33</f>
        <v/>
      </c>
      <c r="BA312">
        <f>Assumptions!$B$32</f>
        <v/>
      </c>
      <c r="BB312">
        <f>Assumptions!$B$31</f>
        <v/>
      </c>
      <c r="BC312">
        <f>Assumptions!$B$30</f>
        <v/>
      </c>
      <c r="BD312">
        <f>Assumptions!$B$29</f>
        <v/>
      </c>
      <c r="BE312">
        <f>Assumptions!$B$28</f>
        <v/>
      </c>
      <c r="BF312">
        <f>P312*Assumptions!$B$141</f>
        <v/>
      </c>
      <c r="BG312">
        <f>P312*Assumptions!$B$128</f>
        <v/>
      </c>
      <c r="BH312">
        <f>P312*Assumptions!$B$129</f>
        <v/>
      </c>
      <c r="BI312">
        <f>P312*Assumptions!$B$14</f>
        <v/>
      </c>
      <c r="BJ312">
        <f>P312*Assumptions!$B$13</f>
        <v/>
      </c>
      <c r="BK312">
        <f>P312*Assumptions!$B$12</f>
        <v/>
      </c>
      <c r="BL312">
        <f>P312*Assumptions!$B$11</f>
        <v/>
      </c>
    </row>
    <row r="313">
      <c r="A313" t="inlineStr">
        <is>
          <t>2000M</t>
        </is>
      </c>
      <c r="B313">
        <f>Assumptions!$B$60</f>
        <v/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>
        <f>(1-C313)*Assumptions!$B$41+(1-D313)*Assumptions!$B$33+(1-E313)*Assumptions!$B$32+(1-F313)*Assumptions!$B$31+(1-G313)*Assumptions!$B$30+(1-H313)*Assumptions!$B$29+(1-I313)*Assumptions!$B$28</f>
        <v/>
      </c>
      <c r="K313">
        <f>C313*Assumptions!$B$141+D313*Assumptions!$B$128+E313*Assumptions!$B$129+F313*Assumptions!$B$14+G313*Assumptions!$B$13+H313*Assumptions!$B$12+I313*Assumptions!$B$11+Assumptions!$B$133+Assumptions!$B$137+Assumptions!$B$9</f>
        <v/>
      </c>
      <c r="L313">
        <f>B313-J313</f>
        <v/>
      </c>
      <c r="M313">
        <f>IF(K313&gt;0,IF(L313/K313&gt;=Assumptions!$B$37,1,0),0)</f>
        <v/>
      </c>
      <c r="N313">
        <f>K313+M313*Assumptions!$B$153</f>
        <v/>
      </c>
      <c r="O313">
        <f>L313+M313*Assumptions!$B$153*Assumptions!$B$37</f>
        <v/>
      </c>
      <c r="P313">
        <f>IF(N313&gt;0,O313/N313,0)</f>
        <v/>
      </c>
      <c r="Q313">
        <f>IF(C313=1,P313*Assumptions!$B$141,Assumptions!$B$41)</f>
        <v/>
      </c>
      <c r="R313">
        <f>IF(D313=1,P313*Assumptions!$B$128,Assumptions!$B$33)</f>
        <v/>
      </c>
      <c r="S313">
        <f>IF(E313=1,P313*Assumptions!$B$129,Assumptions!$B$32)</f>
        <v/>
      </c>
      <c r="T313">
        <f>IF(F313=1,P313*Assumptions!$B$14,Assumptions!$B$31)</f>
        <v/>
      </c>
      <c r="U313">
        <f>IF(G313=1,P313*Assumptions!$B$13,Assumptions!$B$30)</f>
        <v/>
      </c>
      <c r="V313">
        <f>IF(H313=1,P313*Assumptions!$B$12,Assumptions!$B$29)</f>
        <v/>
      </c>
      <c r="W313">
        <f>IF(I313=1,P313*Assumptions!$B$11,Assumptions!$B$28)</f>
        <v/>
      </c>
      <c r="X313">
        <f>P313*(Assumptions!$B$133+Assumptions!$B$137)</f>
        <v/>
      </c>
      <c r="Y313">
        <f>P313*Assumptions!$B$9</f>
        <v/>
      </c>
      <c r="Z313">
        <f>IF(M313=1,(P313-Assumptions!$B$37)*Assumptions!$B$153,0)</f>
        <v/>
      </c>
      <c r="AA313">
        <f>Q313+R313+S313+T313+U313+V313+W313+X313+Y313+Z313</f>
        <v/>
      </c>
      <c r="AB313" t="n">
        <v>6</v>
      </c>
      <c r="AC313" t="n">
        <v>70</v>
      </c>
      <c r="AD313" t="n">
        <v>38</v>
      </c>
      <c r="AE313" t="n">
        <v>22</v>
      </c>
      <c r="AF313" t="n">
        <v>14</v>
      </c>
      <c r="AG313" t="n">
        <v>2</v>
      </c>
      <c r="AH313" t="n">
        <v>4</v>
      </c>
      <c r="AI313" t="n">
        <v>7</v>
      </c>
      <c r="AJ313">
        <f>INDEX($Q$307:$Q$434,AC313+1)</f>
        <v/>
      </c>
      <c r="AK313">
        <f>INDEX($R$307:$R$434,AD313+1)</f>
        <v/>
      </c>
      <c r="AL313">
        <f>INDEX($S$307:$S$434,AE313+1)</f>
        <v/>
      </c>
      <c r="AM313">
        <f>INDEX($T$307:$T$434,AF313+1)</f>
        <v/>
      </c>
      <c r="AN313">
        <f>INDEX($U$307:$U$434,AG313+1)</f>
        <v/>
      </c>
      <c r="AO313">
        <f>INDEX($V$307:$V$434,AH313+1)</f>
        <v/>
      </c>
      <c r="AP313">
        <f>INDEX($W$307:$W$434,AI313+1)</f>
        <v/>
      </c>
      <c r="AQ313">
        <f>IF(Q313&gt;=AJ313-0.01,1,0)</f>
        <v/>
      </c>
      <c r="AR313">
        <f>IF(R313&gt;=AK313-0.01,1,0)</f>
        <v/>
      </c>
      <c r="AS313">
        <f>IF(S313&gt;=AL313-0.01,1,0)</f>
        <v/>
      </c>
      <c r="AT313">
        <f>IF(T313&gt;=AM313-0.01,1,0)</f>
        <v/>
      </c>
      <c r="AU313">
        <f>IF(U313&gt;=AN313-0.01,1,0)</f>
        <v/>
      </c>
      <c r="AV313">
        <f>IF(V313&gt;=AO313-0.01,1,0)</f>
        <v/>
      </c>
      <c r="AW313">
        <f>IF(W313&gt;=AP313-0.01,1,0)</f>
        <v/>
      </c>
      <c r="AX313">
        <f>AQ313*AR313*AS313*AT313*AU313*AV313*AW313</f>
        <v/>
      </c>
      <c r="AY313">
        <f>Assumptions!$B$41</f>
        <v/>
      </c>
      <c r="AZ313">
        <f>Assumptions!$B$33</f>
        <v/>
      </c>
      <c r="BA313">
        <f>Assumptions!$B$32</f>
        <v/>
      </c>
      <c r="BB313">
        <f>Assumptions!$B$31</f>
        <v/>
      </c>
      <c r="BC313">
        <f>Assumptions!$B$30</f>
        <v/>
      </c>
      <c r="BD313">
        <f>Assumptions!$B$29</f>
        <v/>
      </c>
      <c r="BE313">
        <f>Assumptions!$B$28</f>
        <v/>
      </c>
      <c r="BF313">
        <f>P313*Assumptions!$B$141</f>
        <v/>
      </c>
      <c r="BG313">
        <f>P313*Assumptions!$B$128</f>
        <v/>
      </c>
      <c r="BH313">
        <f>P313*Assumptions!$B$129</f>
        <v/>
      </c>
      <c r="BI313">
        <f>P313*Assumptions!$B$14</f>
        <v/>
      </c>
      <c r="BJ313">
        <f>P313*Assumptions!$B$13</f>
        <v/>
      </c>
      <c r="BK313">
        <f>P313*Assumptions!$B$12</f>
        <v/>
      </c>
      <c r="BL313">
        <f>P313*Assumptions!$B$11</f>
        <v/>
      </c>
    </row>
    <row r="314">
      <c r="A314" t="inlineStr">
        <is>
          <t>2000M</t>
        </is>
      </c>
      <c r="B314">
        <f>Assumptions!$B$60</f>
        <v/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>
        <f>(1-C314)*Assumptions!$B$41+(1-D314)*Assumptions!$B$33+(1-E314)*Assumptions!$B$32+(1-F314)*Assumptions!$B$31+(1-G314)*Assumptions!$B$30+(1-H314)*Assumptions!$B$29+(1-I314)*Assumptions!$B$28</f>
        <v/>
      </c>
      <c r="K314">
        <f>C314*Assumptions!$B$141+D314*Assumptions!$B$128+E314*Assumptions!$B$129+F314*Assumptions!$B$14+G314*Assumptions!$B$13+H314*Assumptions!$B$12+I314*Assumptions!$B$11+Assumptions!$B$133+Assumptions!$B$137+Assumptions!$B$9</f>
        <v/>
      </c>
      <c r="L314">
        <f>B314-J314</f>
        <v/>
      </c>
      <c r="M314">
        <f>IF(K314&gt;0,IF(L314/K314&gt;=Assumptions!$B$37,1,0),0)</f>
        <v/>
      </c>
      <c r="N314">
        <f>K314+M314*Assumptions!$B$153</f>
        <v/>
      </c>
      <c r="O314">
        <f>L314+M314*Assumptions!$B$153*Assumptions!$B$37</f>
        <v/>
      </c>
      <c r="P314">
        <f>IF(N314&gt;0,O314/N314,0)</f>
        <v/>
      </c>
      <c r="Q314">
        <f>IF(C314=1,P314*Assumptions!$B$141,Assumptions!$B$41)</f>
        <v/>
      </c>
      <c r="R314">
        <f>IF(D314=1,P314*Assumptions!$B$128,Assumptions!$B$33)</f>
        <v/>
      </c>
      <c r="S314">
        <f>IF(E314=1,P314*Assumptions!$B$129,Assumptions!$B$32)</f>
        <v/>
      </c>
      <c r="T314">
        <f>IF(F314=1,P314*Assumptions!$B$14,Assumptions!$B$31)</f>
        <v/>
      </c>
      <c r="U314">
        <f>IF(G314=1,P314*Assumptions!$B$13,Assumptions!$B$30)</f>
        <v/>
      </c>
      <c r="V314">
        <f>IF(H314=1,P314*Assumptions!$B$12,Assumptions!$B$29)</f>
        <v/>
      </c>
      <c r="W314">
        <f>IF(I314=1,P314*Assumptions!$B$11,Assumptions!$B$28)</f>
        <v/>
      </c>
      <c r="X314">
        <f>P314*(Assumptions!$B$133+Assumptions!$B$137)</f>
        <v/>
      </c>
      <c r="Y314">
        <f>P314*Assumptions!$B$9</f>
        <v/>
      </c>
      <c r="Z314">
        <f>IF(M314=1,(P314-Assumptions!$B$37)*Assumptions!$B$153,0)</f>
        <v/>
      </c>
      <c r="AA314">
        <f>Q314+R314+S314+T314+U314+V314+W314+X314+Y314+Z314</f>
        <v/>
      </c>
      <c r="AB314" t="n">
        <v>7</v>
      </c>
      <c r="AC314" t="n">
        <v>71</v>
      </c>
      <c r="AD314" t="n">
        <v>39</v>
      </c>
      <c r="AE314" t="n">
        <v>23</v>
      </c>
      <c r="AF314" t="n">
        <v>15</v>
      </c>
      <c r="AG314" t="n">
        <v>3</v>
      </c>
      <c r="AH314" t="n">
        <v>5</v>
      </c>
      <c r="AI314" t="n">
        <v>6</v>
      </c>
      <c r="AJ314">
        <f>INDEX($Q$307:$Q$434,AC314+1)</f>
        <v/>
      </c>
      <c r="AK314">
        <f>INDEX($R$307:$R$434,AD314+1)</f>
        <v/>
      </c>
      <c r="AL314">
        <f>INDEX($S$307:$S$434,AE314+1)</f>
        <v/>
      </c>
      <c r="AM314">
        <f>INDEX($T$307:$T$434,AF314+1)</f>
        <v/>
      </c>
      <c r="AN314">
        <f>INDEX($U$307:$U$434,AG314+1)</f>
        <v/>
      </c>
      <c r="AO314">
        <f>INDEX($V$307:$V$434,AH314+1)</f>
        <v/>
      </c>
      <c r="AP314">
        <f>INDEX($W$307:$W$434,AI314+1)</f>
        <v/>
      </c>
      <c r="AQ314">
        <f>IF(Q314&gt;=AJ314-0.01,1,0)</f>
        <v/>
      </c>
      <c r="AR314">
        <f>IF(R314&gt;=AK314-0.01,1,0)</f>
        <v/>
      </c>
      <c r="AS314">
        <f>IF(S314&gt;=AL314-0.01,1,0)</f>
        <v/>
      </c>
      <c r="AT314">
        <f>IF(T314&gt;=AM314-0.01,1,0)</f>
        <v/>
      </c>
      <c r="AU314">
        <f>IF(U314&gt;=AN314-0.01,1,0)</f>
        <v/>
      </c>
      <c r="AV314">
        <f>IF(V314&gt;=AO314-0.01,1,0)</f>
        <v/>
      </c>
      <c r="AW314">
        <f>IF(W314&gt;=AP314-0.01,1,0)</f>
        <v/>
      </c>
      <c r="AX314">
        <f>AQ314*AR314*AS314*AT314*AU314*AV314*AW314</f>
        <v/>
      </c>
      <c r="AY314">
        <f>Assumptions!$B$41</f>
        <v/>
      </c>
      <c r="AZ314">
        <f>Assumptions!$B$33</f>
        <v/>
      </c>
      <c r="BA314">
        <f>Assumptions!$B$32</f>
        <v/>
      </c>
      <c r="BB314">
        <f>Assumptions!$B$31</f>
        <v/>
      </c>
      <c r="BC314">
        <f>Assumptions!$B$30</f>
        <v/>
      </c>
      <c r="BD314">
        <f>Assumptions!$B$29</f>
        <v/>
      </c>
      <c r="BE314">
        <f>Assumptions!$B$28</f>
        <v/>
      </c>
      <c r="BF314">
        <f>P314*Assumptions!$B$141</f>
        <v/>
      </c>
      <c r="BG314">
        <f>P314*Assumptions!$B$128</f>
        <v/>
      </c>
      <c r="BH314">
        <f>P314*Assumptions!$B$129</f>
        <v/>
      </c>
      <c r="BI314">
        <f>P314*Assumptions!$B$14</f>
        <v/>
      </c>
      <c r="BJ314">
        <f>P314*Assumptions!$B$13</f>
        <v/>
      </c>
      <c r="BK314">
        <f>P314*Assumptions!$B$12</f>
        <v/>
      </c>
      <c r="BL314">
        <f>P314*Assumptions!$B$11</f>
        <v/>
      </c>
    </row>
    <row r="315">
      <c r="A315" t="inlineStr">
        <is>
          <t>2000M</t>
        </is>
      </c>
      <c r="B315">
        <f>Assumptions!$B$60</f>
        <v/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>
        <f>(1-C315)*Assumptions!$B$41+(1-D315)*Assumptions!$B$33+(1-E315)*Assumptions!$B$32+(1-F315)*Assumptions!$B$31+(1-G315)*Assumptions!$B$30+(1-H315)*Assumptions!$B$29+(1-I315)*Assumptions!$B$28</f>
        <v/>
      </c>
      <c r="K315">
        <f>C315*Assumptions!$B$141+D315*Assumptions!$B$128+E315*Assumptions!$B$129+F315*Assumptions!$B$14+G315*Assumptions!$B$13+H315*Assumptions!$B$12+I315*Assumptions!$B$11+Assumptions!$B$133+Assumptions!$B$137+Assumptions!$B$9</f>
        <v/>
      </c>
      <c r="L315">
        <f>B315-J315</f>
        <v/>
      </c>
      <c r="M315">
        <f>IF(K315&gt;0,IF(L315/K315&gt;=Assumptions!$B$37,1,0),0)</f>
        <v/>
      </c>
      <c r="N315">
        <f>K315+M315*Assumptions!$B$153</f>
        <v/>
      </c>
      <c r="O315">
        <f>L315+M315*Assumptions!$B$153*Assumptions!$B$37</f>
        <v/>
      </c>
      <c r="P315">
        <f>IF(N315&gt;0,O315/N315,0)</f>
        <v/>
      </c>
      <c r="Q315">
        <f>IF(C315=1,P315*Assumptions!$B$141,Assumptions!$B$41)</f>
        <v/>
      </c>
      <c r="R315">
        <f>IF(D315=1,P315*Assumptions!$B$128,Assumptions!$B$33)</f>
        <v/>
      </c>
      <c r="S315">
        <f>IF(E315=1,P315*Assumptions!$B$129,Assumptions!$B$32)</f>
        <v/>
      </c>
      <c r="T315">
        <f>IF(F315=1,P315*Assumptions!$B$14,Assumptions!$B$31)</f>
        <v/>
      </c>
      <c r="U315">
        <f>IF(G315=1,P315*Assumptions!$B$13,Assumptions!$B$30)</f>
        <v/>
      </c>
      <c r="V315">
        <f>IF(H315=1,P315*Assumptions!$B$12,Assumptions!$B$29)</f>
        <v/>
      </c>
      <c r="W315">
        <f>IF(I315=1,P315*Assumptions!$B$11,Assumptions!$B$28)</f>
        <v/>
      </c>
      <c r="X315">
        <f>P315*(Assumptions!$B$133+Assumptions!$B$137)</f>
        <v/>
      </c>
      <c r="Y315">
        <f>P315*Assumptions!$B$9</f>
        <v/>
      </c>
      <c r="Z315">
        <f>IF(M315=1,(P315-Assumptions!$B$37)*Assumptions!$B$153,0)</f>
        <v/>
      </c>
      <c r="AA315">
        <f>Q315+R315+S315+T315+U315+V315+W315+X315+Y315+Z315</f>
        <v/>
      </c>
      <c r="AB315" t="n">
        <v>8</v>
      </c>
      <c r="AC315" t="n">
        <v>72</v>
      </c>
      <c r="AD315" t="n">
        <v>40</v>
      </c>
      <c r="AE315" t="n">
        <v>24</v>
      </c>
      <c r="AF315" t="n">
        <v>0</v>
      </c>
      <c r="AG315" t="n">
        <v>12</v>
      </c>
      <c r="AH315" t="n">
        <v>10</v>
      </c>
      <c r="AI315" t="n">
        <v>9</v>
      </c>
      <c r="AJ315">
        <f>INDEX($Q$307:$Q$434,AC315+1)</f>
        <v/>
      </c>
      <c r="AK315">
        <f>INDEX($R$307:$R$434,AD315+1)</f>
        <v/>
      </c>
      <c r="AL315">
        <f>INDEX($S$307:$S$434,AE315+1)</f>
        <v/>
      </c>
      <c r="AM315">
        <f>INDEX($T$307:$T$434,AF315+1)</f>
        <v/>
      </c>
      <c r="AN315">
        <f>INDEX($U$307:$U$434,AG315+1)</f>
        <v/>
      </c>
      <c r="AO315">
        <f>INDEX($V$307:$V$434,AH315+1)</f>
        <v/>
      </c>
      <c r="AP315">
        <f>INDEX($W$307:$W$434,AI315+1)</f>
        <v/>
      </c>
      <c r="AQ315">
        <f>IF(Q315&gt;=AJ315-0.01,1,0)</f>
        <v/>
      </c>
      <c r="AR315">
        <f>IF(R315&gt;=AK315-0.01,1,0)</f>
        <v/>
      </c>
      <c r="AS315">
        <f>IF(S315&gt;=AL315-0.01,1,0)</f>
        <v/>
      </c>
      <c r="AT315">
        <f>IF(T315&gt;=AM315-0.01,1,0)</f>
        <v/>
      </c>
      <c r="AU315">
        <f>IF(U315&gt;=AN315-0.01,1,0)</f>
        <v/>
      </c>
      <c r="AV315">
        <f>IF(V315&gt;=AO315-0.01,1,0)</f>
        <v/>
      </c>
      <c r="AW315">
        <f>IF(W315&gt;=AP315-0.01,1,0)</f>
        <v/>
      </c>
      <c r="AX315">
        <f>AQ315*AR315*AS315*AT315*AU315*AV315*AW315</f>
        <v/>
      </c>
      <c r="AY315">
        <f>Assumptions!$B$41</f>
        <v/>
      </c>
      <c r="AZ315">
        <f>Assumptions!$B$33</f>
        <v/>
      </c>
      <c r="BA315">
        <f>Assumptions!$B$32</f>
        <v/>
      </c>
      <c r="BB315">
        <f>Assumptions!$B$31</f>
        <v/>
      </c>
      <c r="BC315">
        <f>Assumptions!$B$30</f>
        <v/>
      </c>
      <c r="BD315">
        <f>Assumptions!$B$29</f>
        <v/>
      </c>
      <c r="BE315">
        <f>Assumptions!$B$28</f>
        <v/>
      </c>
      <c r="BF315">
        <f>P315*Assumptions!$B$141</f>
        <v/>
      </c>
      <c r="BG315">
        <f>P315*Assumptions!$B$128</f>
        <v/>
      </c>
      <c r="BH315">
        <f>P315*Assumptions!$B$129</f>
        <v/>
      </c>
      <c r="BI315">
        <f>P315*Assumptions!$B$14</f>
        <v/>
      </c>
      <c r="BJ315">
        <f>P315*Assumptions!$B$13</f>
        <v/>
      </c>
      <c r="BK315">
        <f>P315*Assumptions!$B$12</f>
        <v/>
      </c>
      <c r="BL315">
        <f>P315*Assumptions!$B$11</f>
        <v/>
      </c>
    </row>
    <row r="316">
      <c r="A316" t="inlineStr">
        <is>
          <t>2000M</t>
        </is>
      </c>
      <c r="B316">
        <f>Assumptions!$B$60</f>
        <v/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>
        <f>(1-C316)*Assumptions!$B$41+(1-D316)*Assumptions!$B$33+(1-E316)*Assumptions!$B$32+(1-F316)*Assumptions!$B$31+(1-G316)*Assumptions!$B$30+(1-H316)*Assumptions!$B$29+(1-I316)*Assumptions!$B$28</f>
        <v/>
      </c>
      <c r="K316">
        <f>C316*Assumptions!$B$141+D316*Assumptions!$B$128+E316*Assumptions!$B$129+F316*Assumptions!$B$14+G316*Assumptions!$B$13+H316*Assumptions!$B$12+I316*Assumptions!$B$11+Assumptions!$B$133+Assumptions!$B$137+Assumptions!$B$9</f>
        <v/>
      </c>
      <c r="L316">
        <f>B316-J316</f>
        <v/>
      </c>
      <c r="M316">
        <f>IF(K316&gt;0,IF(L316/K316&gt;=Assumptions!$B$37,1,0),0)</f>
        <v/>
      </c>
      <c r="N316">
        <f>K316+M316*Assumptions!$B$153</f>
        <v/>
      </c>
      <c r="O316">
        <f>L316+M316*Assumptions!$B$153*Assumptions!$B$37</f>
        <v/>
      </c>
      <c r="P316">
        <f>IF(N316&gt;0,O316/N316,0)</f>
        <v/>
      </c>
      <c r="Q316">
        <f>IF(C316=1,P316*Assumptions!$B$141,Assumptions!$B$41)</f>
        <v/>
      </c>
      <c r="R316">
        <f>IF(D316=1,P316*Assumptions!$B$128,Assumptions!$B$33)</f>
        <v/>
      </c>
      <c r="S316">
        <f>IF(E316=1,P316*Assumptions!$B$129,Assumptions!$B$32)</f>
        <v/>
      </c>
      <c r="T316">
        <f>IF(F316=1,P316*Assumptions!$B$14,Assumptions!$B$31)</f>
        <v/>
      </c>
      <c r="U316">
        <f>IF(G316=1,P316*Assumptions!$B$13,Assumptions!$B$30)</f>
        <v/>
      </c>
      <c r="V316">
        <f>IF(H316=1,P316*Assumptions!$B$12,Assumptions!$B$29)</f>
        <v/>
      </c>
      <c r="W316">
        <f>IF(I316=1,P316*Assumptions!$B$11,Assumptions!$B$28)</f>
        <v/>
      </c>
      <c r="X316">
        <f>P316*(Assumptions!$B$133+Assumptions!$B$137)</f>
        <v/>
      </c>
      <c r="Y316">
        <f>P316*Assumptions!$B$9</f>
        <v/>
      </c>
      <c r="Z316">
        <f>IF(M316=1,(P316-Assumptions!$B$37)*Assumptions!$B$153,0)</f>
        <v/>
      </c>
      <c r="AA316">
        <f>Q316+R316+S316+T316+U316+V316+W316+X316+Y316+Z316</f>
        <v/>
      </c>
      <c r="AB316" t="n">
        <v>9</v>
      </c>
      <c r="AC316" t="n">
        <v>73</v>
      </c>
      <c r="AD316" t="n">
        <v>41</v>
      </c>
      <c r="AE316" t="n">
        <v>25</v>
      </c>
      <c r="AF316" t="n">
        <v>1</v>
      </c>
      <c r="AG316" t="n">
        <v>13</v>
      </c>
      <c r="AH316" t="n">
        <v>11</v>
      </c>
      <c r="AI316" t="n">
        <v>8</v>
      </c>
      <c r="AJ316">
        <f>INDEX($Q$307:$Q$434,AC316+1)</f>
        <v/>
      </c>
      <c r="AK316">
        <f>INDEX($R$307:$R$434,AD316+1)</f>
        <v/>
      </c>
      <c r="AL316">
        <f>INDEX($S$307:$S$434,AE316+1)</f>
        <v/>
      </c>
      <c r="AM316">
        <f>INDEX($T$307:$T$434,AF316+1)</f>
        <v/>
      </c>
      <c r="AN316">
        <f>INDEX($U$307:$U$434,AG316+1)</f>
        <v/>
      </c>
      <c r="AO316">
        <f>INDEX($V$307:$V$434,AH316+1)</f>
        <v/>
      </c>
      <c r="AP316">
        <f>INDEX($W$307:$W$434,AI316+1)</f>
        <v/>
      </c>
      <c r="AQ316">
        <f>IF(Q316&gt;=AJ316-0.01,1,0)</f>
        <v/>
      </c>
      <c r="AR316">
        <f>IF(R316&gt;=AK316-0.01,1,0)</f>
        <v/>
      </c>
      <c r="AS316">
        <f>IF(S316&gt;=AL316-0.01,1,0)</f>
        <v/>
      </c>
      <c r="AT316">
        <f>IF(T316&gt;=AM316-0.01,1,0)</f>
        <v/>
      </c>
      <c r="AU316">
        <f>IF(U316&gt;=AN316-0.01,1,0)</f>
        <v/>
      </c>
      <c r="AV316">
        <f>IF(V316&gt;=AO316-0.01,1,0)</f>
        <v/>
      </c>
      <c r="AW316">
        <f>IF(W316&gt;=AP316-0.01,1,0)</f>
        <v/>
      </c>
      <c r="AX316">
        <f>AQ316*AR316*AS316*AT316*AU316*AV316*AW316</f>
        <v/>
      </c>
      <c r="AY316">
        <f>Assumptions!$B$41</f>
        <v/>
      </c>
      <c r="AZ316">
        <f>Assumptions!$B$33</f>
        <v/>
      </c>
      <c r="BA316">
        <f>Assumptions!$B$32</f>
        <v/>
      </c>
      <c r="BB316">
        <f>Assumptions!$B$31</f>
        <v/>
      </c>
      <c r="BC316">
        <f>Assumptions!$B$30</f>
        <v/>
      </c>
      <c r="BD316">
        <f>Assumptions!$B$29</f>
        <v/>
      </c>
      <c r="BE316">
        <f>Assumptions!$B$28</f>
        <v/>
      </c>
      <c r="BF316">
        <f>P316*Assumptions!$B$141</f>
        <v/>
      </c>
      <c r="BG316">
        <f>P316*Assumptions!$B$128</f>
        <v/>
      </c>
      <c r="BH316">
        <f>P316*Assumptions!$B$129</f>
        <v/>
      </c>
      <c r="BI316">
        <f>P316*Assumptions!$B$14</f>
        <v/>
      </c>
      <c r="BJ316">
        <f>P316*Assumptions!$B$13</f>
        <v/>
      </c>
      <c r="BK316">
        <f>P316*Assumptions!$B$12</f>
        <v/>
      </c>
      <c r="BL316">
        <f>P316*Assumptions!$B$11</f>
        <v/>
      </c>
    </row>
    <row r="317">
      <c r="A317" t="inlineStr">
        <is>
          <t>2000M</t>
        </is>
      </c>
      <c r="B317">
        <f>Assumptions!$B$60</f>
        <v/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>
        <f>(1-C317)*Assumptions!$B$41+(1-D317)*Assumptions!$B$33+(1-E317)*Assumptions!$B$32+(1-F317)*Assumptions!$B$31+(1-G317)*Assumptions!$B$30+(1-H317)*Assumptions!$B$29+(1-I317)*Assumptions!$B$28</f>
        <v/>
      </c>
      <c r="K317">
        <f>C317*Assumptions!$B$141+D317*Assumptions!$B$128+E317*Assumptions!$B$129+F317*Assumptions!$B$14+G317*Assumptions!$B$13+H317*Assumptions!$B$12+I317*Assumptions!$B$11+Assumptions!$B$133+Assumptions!$B$137+Assumptions!$B$9</f>
        <v/>
      </c>
      <c r="L317">
        <f>B317-J317</f>
        <v/>
      </c>
      <c r="M317">
        <f>IF(K317&gt;0,IF(L317/K317&gt;=Assumptions!$B$37,1,0),0)</f>
        <v/>
      </c>
      <c r="N317">
        <f>K317+M317*Assumptions!$B$153</f>
        <v/>
      </c>
      <c r="O317">
        <f>L317+M317*Assumptions!$B$153*Assumptions!$B$37</f>
        <v/>
      </c>
      <c r="P317">
        <f>IF(N317&gt;0,O317/N317,0)</f>
        <v/>
      </c>
      <c r="Q317">
        <f>IF(C317=1,P317*Assumptions!$B$141,Assumptions!$B$41)</f>
        <v/>
      </c>
      <c r="R317">
        <f>IF(D317=1,P317*Assumptions!$B$128,Assumptions!$B$33)</f>
        <v/>
      </c>
      <c r="S317">
        <f>IF(E317=1,P317*Assumptions!$B$129,Assumptions!$B$32)</f>
        <v/>
      </c>
      <c r="T317">
        <f>IF(F317=1,P317*Assumptions!$B$14,Assumptions!$B$31)</f>
        <v/>
      </c>
      <c r="U317">
        <f>IF(G317=1,P317*Assumptions!$B$13,Assumptions!$B$30)</f>
        <v/>
      </c>
      <c r="V317">
        <f>IF(H317=1,P317*Assumptions!$B$12,Assumptions!$B$29)</f>
        <v/>
      </c>
      <c r="W317">
        <f>IF(I317=1,P317*Assumptions!$B$11,Assumptions!$B$28)</f>
        <v/>
      </c>
      <c r="X317">
        <f>P317*(Assumptions!$B$133+Assumptions!$B$137)</f>
        <v/>
      </c>
      <c r="Y317">
        <f>P317*Assumptions!$B$9</f>
        <v/>
      </c>
      <c r="Z317">
        <f>IF(M317=1,(P317-Assumptions!$B$37)*Assumptions!$B$153,0)</f>
        <v/>
      </c>
      <c r="AA317">
        <f>Q317+R317+S317+T317+U317+V317+W317+X317+Y317+Z317</f>
        <v/>
      </c>
      <c r="AB317" t="n">
        <v>10</v>
      </c>
      <c r="AC317" t="n">
        <v>74</v>
      </c>
      <c r="AD317" t="n">
        <v>42</v>
      </c>
      <c r="AE317" t="n">
        <v>26</v>
      </c>
      <c r="AF317" t="n">
        <v>2</v>
      </c>
      <c r="AG317" t="n">
        <v>14</v>
      </c>
      <c r="AH317" t="n">
        <v>8</v>
      </c>
      <c r="AI317" t="n">
        <v>11</v>
      </c>
      <c r="AJ317">
        <f>INDEX($Q$307:$Q$434,AC317+1)</f>
        <v/>
      </c>
      <c r="AK317">
        <f>INDEX($R$307:$R$434,AD317+1)</f>
        <v/>
      </c>
      <c r="AL317">
        <f>INDEX($S$307:$S$434,AE317+1)</f>
        <v/>
      </c>
      <c r="AM317">
        <f>INDEX($T$307:$T$434,AF317+1)</f>
        <v/>
      </c>
      <c r="AN317">
        <f>INDEX($U$307:$U$434,AG317+1)</f>
        <v/>
      </c>
      <c r="AO317">
        <f>INDEX($V$307:$V$434,AH317+1)</f>
        <v/>
      </c>
      <c r="AP317">
        <f>INDEX($W$307:$W$434,AI317+1)</f>
        <v/>
      </c>
      <c r="AQ317">
        <f>IF(Q317&gt;=AJ317-0.01,1,0)</f>
        <v/>
      </c>
      <c r="AR317">
        <f>IF(R317&gt;=AK317-0.01,1,0)</f>
        <v/>
      </c>
      <c r="AS317">
        <f>IF(S317&gt;=AL317-0.01,1,0)</f>
        <v/>
      </c>
      <c r="AT317">
        <f>IF(T317&gt;=AM317-0.01,1,0)</f>
        <v/>
      </c>
      <c r="AU317">
        <f>IF(U317&gt;=AN317-0.01,1,0)</f>
        <v/>
      </c>
      <c r="AV317">
        <f>IF(V317&gt;=AO317-0.01,1,0)</f>
        <v/>
      </c>
      <c r="AW317">
        <f>IF(W317&gt;=AP317-0.01,1,0)</f>
        <v/>
      </c>
      <c r="AX317">
        <f>AQ317*AR317*AS317*AT317*AU317*AV317*AW317</f>
        <v/>
      </c>
      <c r="AY317">
        <f>Assumptions!$B$41</f>
        <v/>
      </c>
      <c r="AZ317">
        <f>Assumptions!$B$33</f>
        <v/>
      </c>
      <c r="BA317">
        <f>Assumptions!$B$32</f>
        <v/>
      </c>
      <c r="BB317">
        <f>Assumptions!$B$31</f>
        <v/>
      </c>
      <c r="BC317">
        <f>Assumptions!$B$30</f>
        <v/>
      </c>
      <c r="BD317">
        <f>Assumptions!$B$29</f>
        <v/>
      </c>
      <c r="BE317">
        <f>Assumptions!$B$28</f>
        <v/>
      </c>
      <c r="BF317">
        <f>P317*Assumptions!$B$141</f>
        <v/>
      </c>
      <c r="BG317">
        <f>P317*Assumptions!$B$128</f>
        <v/>
      </c>
      <c r="BH317">
        <f>P317*Assumptions!$B$129</f>
        <v/>
      </c>
      <c r="BI317">
        <f>P317*Assumptions!$B$14</f>
        <v/>
      </c>
      <c r="BJ317">
        <f>P317*Assumptions!$B$13</f>
        <v/>
      </c>
      <c r="BK317">
        <f>P317*Assumptions!$B$12</f>
        <v/>
      </c>
      <c r="BL317">
        <f>P317*Assumptions!$B$11</f>
        <v/>
      </c>
    </row>
    <row r="318">
      <c r="A318" t="inlineStr">
        <is>
          <t>2000M</t>
        </is>
      </c>
      <c r="B318">
        <f>Assumptions!$B$60</f>
        <v/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1</v>
      </c>
      <c r="J318">
        <f>(1-C318)*Assumptions!$B$41+(1-D318)*Assumptions!$B$33+(1-E318)*Assumptions!$B$32+(1-F318)*Assumptions!$B$31+(1-G318)*Assumptions!$B$30+(1-H318)*Assumptions!$B$29+(1-I318)*Assumptions!$B$28</f>
        <v/>
      </c>
      <c r="K318">
        <f>C318*Assumptions!$B$141+D318*Assumptions!$B$128+E318*Assumptions!$B$129+F318*Assumptions!$B$14+G318*Assumptions!$B$13+H318*Assumptions!$B$12+I318*Assumptions!$B$11+Assumptions!$B$133+Assumptions!$B$137+Assumptions!$B$9</f>
        <v/>
      </c>
      <c r="L318">
        <f>B318-J318</f>
        <v/>
      </c>
      <c r="M318">
        <f>IF(K318&gt;0,IF(L318/K318&gt;=Assumptions!$B$37,1,0),0)</f>
        <v/>
      </c>
      <c r="N318">
        <f>K318+M318*Assumptions!$B$153</f>
        <v/>
      </c>
      <c r="O318">
        <f>L318+M318*Assumptions!$B$153*Assumptions!$B$37</f>
        <v/>
      </c>
      <c r="P318">
        <f>IF(N318&gt;0,O318/N318,0)</f>
        <v/>
      </c>
      <c r="Q318">
        <f>IF(C318=1,P318*Assumptions!$B$141,Assumptions!$B$41)</f>
        <v/>
      </c>
      <c r="R318">
        <f>IF(D318=1,P318*Assumptions!$B$128,Assumptions!$B$33)</f>
        <v/>
      </c>
      <c r="S318">
        <f>IF(E318=1,P318*Assumptions!$B$129,Assumptions!$B$32)</f>
        <v/>
      </c>
      <c r="T318">
        <f>IF(F318=1,P318*Assumptions!$B$14,Assumptions!$B$31)</f>
        <v/>
      </c>
      <c r="U318">
        <f>IF(G318=1,P318*Assumptions!$B$13,Assumptions!$B$30)</f>
        <v/>
      </c>
      <c r="V318">
        <f>IF(H318=1,P318*Assumptions!$B$12,Assumptions!$B$29)</f>
        <v/>
      </c>
      <c r="W318">
        <f>IF(I318=1,P318*Assumptions!$B$11,Assumptions!$B$28)</f>
        <v/>
      </c>
      <c r="X318">
        <f>P318*(Assumptions!$B$133+Assumptions!$B$137)</f>
        <v/>
      </c>
      <c r="Y318">
        <f>P318*Assumptions!$B$9</f>
        <v/>
      </c>
      <c r="Z318">
        <f>IF(M318=1,(P318-Assumptions!$B$37)*Assumptions!$B$153,0)</f>
        <v/>
      </c>
      <c r="AA318">
        <f>Q318+R318+S318+T318+U318+V318+W318+X318+Y318+Z318</f>
        <v/>
      </c>
      <c r="AB318" t="n">
        <v>11</v>
      </c>
      <c r="AC318" t="n">
        <v>75</v>
      </c>
      <c r="AD318" t="n">
        <v>43</v>
      </c>
      <c r="AE318" t="n">
        <v>27</v>
      </c>
      <c r="AF318" t="n">
        <v>3</v>
      </c>
      <c r="AG318" t="n">
        <v>15</v>
      </c>
      <c r="AH318" t="n">
        <v>9</v>
      </c>
      <c r="AI318" t="n">
        <v>10</v>
      </c>
      <c r="AJ318">
        <f>INDEX($Q$307:$Q$434,AC318+1)</f>
        <v/>
      </c>
      <c r="AK318">
        <f>INDEX($R$307:$R$434,AD318+1)</f>
        <v/>
      </c>
      <c r="AL318">
        <f>INDEX($S$307:$S$434,AE318+1)</f>
        <v/>
      </c>
      <c r="AM318">
        <f>INDEX($T$307:$T$434,AF318+1)</f>
        <v/>
      </c>
      <c r="AN318">
        <f>INDEX($U$307:$U$434,AG318+1)</f>
        <v/>
      </c>
      <c r="AO318">
        <f>INDEX($V$307:$V$434,AH318+1)</f>
        <v/>
      </c>
      <c r="AP318">
        <f>INDEX($W$307:$W$434,AI318+1)</f>
        <v/>
      </c>
      <c r="AQ318">
        <f>IF(Q318&gt;=AJ318-0.01,1,0)</f>
        <v/>
      </c>
      <c r="AR318">
        <f>IF(R318&gt;=AK318-0.01,1,0)</f>
        <v/>
      </c>
      <c r="AS318">
        <f>IF(S318&gt;=AL318-0.01,1,0)</f>
        <v/>
      </c>
      <c r="AT318">
        <f>IF(T318&gt;=AM318-0.01,1,0)</f>
        <v/>
      </c>
      <c r="AU318">
        <f>IF(U318&gt;=AN318-0.01,1,0)</f>
        <v/>
      </c>
      <c r="AV318">
        <f>IF(V318&gt;=AO318-0.01,1,0)</f>
        <v/>
      </c>
      <c r="AW318">
        <f>IF(W318&gt;=AP318-0.01,1,0)</f>
        <v/>
      </c>
      <c r="AX318">
        <f>AQ318*AR318*AS318*AT318*AU318*AV318*AW318</f>
        <v/>
      </c>
      <c r="AY318">
        <f>Assumptions!$B$41</f>
        <v/>
      </c>
      <c r="AZ318">
        <f>Assumptions!$B$33</f>
        <v/>
      </c>
      <c r="BA318">
        <f>Assumptions!$B$32</f>
        <v/>
      </c>
      <c r="BB318">
        <f>Assumptions!$B$31</f>
        <v/>
      </c>
      <c r="BC318">
        <f>Assumptions!$B$30</f>
        <v/>
      </c>
      <c r="BD318">
        <f>Assumptions!$B$29</f>
        <v/>
      </c>
      <c r="BE318">
        <f>Assumptions!$B$28</f>
        <v/>
      </c>
      <c r="BF318">
        <f>P318*Assumptions!$B$141</f>
        <v/>
      </c>
      <c r="BG318">
        <f>P318*Assumptions!$B$128</f>
        <v/>
      </c>
      <c r="BH318">
        <f>P318*Assumptions!$B$129</f>
        <v/>
      </c>
      <c r="BI318">
        <f>P318*Assumptions!$B$14</f>
        <v/>
      </c>
      <c r="BJ318">
        <f>P318*Assumptions!$B$13</f>
        <v/>
      </c>
      <c r="BK318">
        <f>P318*Assumptions!$B$12</f>
        <v/>
      </c>
      <c r="BL318">
        <f>P318*Assumptions!$B$11</f>
        <v/>
      </c>
    </row>
    <row r="319">
      <c r="A319" t="inlineStr">
        <is>
          <t>2000M</t>
        </is>
      </c>
      <c r="B319">
        <f>Assumptions!$B$60</f>
        <v/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>
        <f>(1-C319)*Assumptions!$B$41+(1-D319)*Assumptions!$B$33+(1-E319)*Assumptions!$B$32+(1-F319)*Assumptions!$B$31+(1-G319)*Assumptions!$B$30+(1-H319)*Assumptions!$B$29+(1-I319)*Assumptions!$B$28</f>
        <v/>
      </c>
      <c r="K319">
        <f>C319*Assumptions!$B$141+D319*Assumptions!$B$128+E319*Assumptions!$B$129+F319*Assumptions!$B$14+G319*Assumptions!$B$13+H319*Assumptions!$B$12+I319*Assumptions!$B$11+Assumptions!$B$133+Assumptions!$B$137+Assumptions!$B$9</f>
        <v/>
      </c>
      <c r="L319">
        <f>B319-J319</f>
        <v/>
      </c>
      <c r="M319">
        <f>IF(K319&gt;0,IF(L319/K319&gt;=Assumptions!$B$37,1,0),0)</f>
        <v/>
      </c>
      <c r="N319">
        <f>K319+M319*Assumptions!$B$153</f>
        <v/>
      </c>
      <c r="O319">
        <f>L319+M319*Assumptions!$B$153*Assumptions!$B$37</f>
        <v/>
      </c>
      <c r="P319">
        <f>IF(N319&gt;0,O319/N319,0)</f>
        <v/>
      </c>
      <c r="Q319">
        <f>IF(C319=1,P319*Assumptions!$B$141,Assumptions!$B$41)</f>
        <v/>
      </c>
      <c r="R319">
        <f>IF(D319=1,P319*Assumptions!$B$128,Assumptions!$B$33)</f>
        <v/>
      </c>
      <c r="S319">
        <f>IF(E319=1,P319*Assumptions!$B$129,Assumptions!$B$32)</f>
        <v/>
      </c>
      <c r="T319">
        <f>IF(F319=1,P319*Assumptions!$B$14,Assumptions!$B$31)</f>
        <v/>
      </c>
      <c r="U319">
        <f>IF(G319=1,P319*Assumptions!$B$13,Assumptions!$B$30)</f>
        <v/>
      </c>
      <c r="V319">
        <f>IF(H319=1,P319*Assumptions!$B$12,Assumptions!$B$29)</f>
        <v/>
      </c>
      <c r="W319">
        <f>IF(I319=1,P319*Assumptions!$B$11,Assumptions!$B$28)</f>
        <v/>
      </c>
      <c r="X319">
        <f>P319*(Assumptions!$B$133+Assumptions!$B$137)</f>
        <v/>
      </c>
      <c r="Y319">
        <f>P319*Assumptions!$B$9</f>
        <v/>
      </c>
      <c r="Z319">
        <f>IF(M319=1,(P319-Assumptions!$B$37)*Assumptions!$B$153,0)</f>
        <v/>
      </c>
      <c r="AA319">
        <f>Q319+R319+S319+T319+U319+V319+W319+X319+Y319+Z319</f>
        <v/>
      </c>
      <c r="AB319" t="n">
        <v>12</v>
      </c>
      <c r="AC319" t="n">
        <v>76</v>
      </c>
      <c r="AD319" t="n">
        <v>44</v>
      </c>
      <c r="AE319" t="n">
        <v>28</v>
      </c>
      <c r="AF319" t="n">
        <v>4</v>
      </c>
      <c r="AG319" t="n">
        <v>8</v>
      </c>
      <c r="AH319" t="n">
        <v>14</v>
      </c>
      <c r="AI319" t="n">
        <v>13</v>
      </c>
      <c r="AJ319">
        <f>INDEX($Q$307:$Q$434,AC319+1)</f>
        <v/>
      </c>
      <c r="AK319">
        <f>INDEX($R$307:$R$434,AD319+1)</f>
        <v/>
      </c>
      <c r="AL319">
        <f>INDEX($S$307:$S$434,AE319+1)</f>
        <v/>
      </c>
      <c r="AM319">
        <f>INDEX($T$307:$T$434,AF319+1)</f>
        <v/>
      </c>
      <c r="AN319">
        <f>INDEX($U$307:$U$434,AG319+1)</f>
        <v/>
      </c>
      <c r="AO319">
        <f>INDEX($V$307:$V$434,AH319+1)</f>
        <v/>
      </c>
      <c r="AP319">
        <f>INDEX($W$307:$W$434,AI319+1)</f>
        <v/>
      </c>
      <c r="AQ319">
        <f>IF(Q319&gt;=AJ319-0.01,1,0)</f>
        <v/>
      </c>
      <c r="AR319">
        <f>IF(R319&gt;=AK319-0.01,1,0)</f>
        <v/>
      </c>
      <c r="AS319">
        <f>IF(S319&gt;=AL319-0.01,1,0)</f>
        <v/>
      </c>
      <c r="AT319">
        <f>IF(T319&gt;=AM319-0.01,1,0)</f>
        <v/>
      </c>
      <c r="AU319">
        <f>IF(U319&gt;=AN319-0.01,1,0)</f>
        <v/>
      </c>
      <c r="AV319">
        <f>IF(V319&gt;=AO319-0.01,1,0)</f>
        <v/>
      </c>
      <c r="AW319">
        <f>IF(W319&gt;=AP319-0.01,1,0)</f>
        <v/>
      </c>
      <c r="AX319">
        <f>AQ319*AR319*AS319*AT319*AU319*AV319*AW319</f>
        <v/>
      </c>
      <c r="AY319">
        <f>Assumptions!$B$41</f>
        <v/>
      </c>
      <c r="AZ319">
        <f>Assumptions!$B$33</f>
        <v/>
      </c>
      <c r="BA319">
        <f>Assumptions!$B$32</f>
        <v/>
      </c>
      <c r="BB319">
        <f>Assumptions!$B$31</f>
        <v/>
      </c>
      <c r="BC319">
        <f>Assumptions!$B$30</f>
        <v/>
      </c>
      <c r="BD319">
        <f>Assumptions!$B$29</f>
        <v/>
      </c>
      <c r="BE319">
        <f>Assumptions!$B$28</f>
        <v/>
      </c>
      <c r="BF319">
        <f>P319*Assumptions!$B$141</f>
        <v/>
      </c>
      <c r="BG319">
        <f>P319*Assumptions!$B$128</f>
        <v/>
      </c>
      <c r="BH319">
        <f>P319*Assumptions!$B$129</f>
        <v/>
      </c>
      <c r="BI319">
        <f>P319*Assumptions!$B$14</f>
        <v/>
      </c>
      <c r="BJ319">
        <f>P319*Assumptions!$B$13</f>
        <v/>
      </c>
      <c r="BK319">
        <f>P319*Assumptions!$B$12</f>
        <v/>
      </c>
      <c r="BL319">
        <f>P319*Assumptions!$B$11</f>
        <v/>
      </c>
    </row>
    <row r="320">
      <c r="A320" t="inlineStr">
        <is>
          <t>2000M</t>
        </is>
      </c>
      <c r="B320">
        <f>Assumptions!$B$60</f>
        <v/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1</v>
      </c>
      <c r="J320">
        <f>(1-C320)*Assumptions!$B$41+(1-D320)*Assumptions!$B$33+(1-E320)*Assumptions!$B$32+(1-F320)*Assumptions!$B$31+(1-G320)*Assumptions!$B$30+(1-H320)*Assumptions!$B$29+(1-I320)*Assumptions!$B$28</f>
        <v/>
      </c>
      <c r="K320">
        <f>C320*Assumptions!$B$141+D320*Assumptions!$B$128+E320*Assumptions!$B$129+F320*Assumptions!$B$14+G320*Assumptions!$B$13+H320*Assumptions!$B$12+I320*Assumptions!$B$11+Assumptions!$B$133+Assumptions!$B$137+Assumptions!$B$9</f>
        <v/>
      </c>
      <c r="L320">
        <f>B320-J320</f>
        <v/>
      </c>
      <c r="M320">
        <f>IF(K320&gt;0,IF(L320/K320&gt;=Assumptions!$B$37,1,0),0)</f>
        <v/>
      </c>
      <c r="N320">
        <f>K320+M320*Assumptions!$B$153</f>
        <v/>
      </c>
      <c r="O320">
        <f>L320+M320*Assumptions!$B$153*Assumptions!$B$37</f>
        <v/>
      </c>
      <c r="P320">
        <f>IF(N320&gt;0,O320/N320,0)</f>
        <v/>
      </c>
      <c r="Q320">
        <f>IF(C320=1,P320*Assumptions!$B$141,Assumptions!$B$41)</f>
        <v/>
      </c>
      <c r="R320">
        <f>IF(D320=1,P320*Assumptions!$B$128,Assumptions!$B$33)</f>
        <v/>
      </c>
      <c r="S320">
        <f>IF(E320=1,P320*Assumptions!$B$129,Assumptions!$B$32)</f>
        <v/>
      </c>
      <c r="T320">
        <f>IF(F320=1,P320*Assumptions!$B$14,Assumptions!$B$31)</f>
        <v/>
      </c>
      <c r="U320">
        <f>IF(G320=1,P320*Assumptions!$B$13,Assumptions!$B$30)</f>
        <v/>
      </c>
      <c r="V320">
        <f>IF(H320=1,P320*Assumptions!$B$12,Assumptions!$B$29)</f>
        <v/>
      </c>
      <c r="W320">
        <f>IF(I320=1,P320*Assumptions!$B$11,Assumptions!$B$28)</f>
        <v/>
      </c>
      <c r="X320">
        <f>P320*(Assumptions!$B$133+Assumptions!$B$137)</f>
        <v/>
      </c>
      <c r="Y320">
        <f>P320*Assumptions!$B$9</f>
        <v/>
      </c>
      <c r="Z320">
        <f>IF(M320=1,(P320-Assumptions!$B$37)*Assumptions!$B$153,0)</f>
        <v/>
      </c>
      <c r="AA320">
        <f>Q320+R320+S320+T320+U320+V320+W320+X320+Y320+Z320</f>
        <v/>
      </c>
      <c r="AB320" t="n">
        <v>13</v>
      </c>
      <c r="AC320" t="n">
        <v>77</v>
      </c>
      <c r="AD320" t="n">
        <v>45</v>
      </c>
      <c r="AE320" t="n">
        <v>29</v>
      </c>
      <c r="AF320" t="n">
        <v>5</v>
      </c>
      <c r="AG320" t="n">
        <v>9</v>
      </c>
      <c r="AH320" t="n">
        <v>15</v>
      </c>
      <c r="AI320" t="n">
        <v>12</v>
      </c>
      <c r="AJ320">
        <f>INDEX($Q$307:$Q$434,AC320+1)</f>
        <v/>
      </c>
      <c r="AK320">
        <f>INDEX($R$307:$R$434,AD320+1)</f>
        <v/>
      </c>
      <c r="AL320">
        <f>INDEX($S$307:$S$434,AE320+1)</f>
        <v/>
      </c>
      <c r="AM320">
        <f>INDEX($T$307:$T$434,AF320+1)</f>
        <v/>
      </c>
      <c r="AN320">
        <f>INDEX($U$307:$U$434,AG320+1)</f>
        <v/>
      </c>
      <c r="AO320">
        <f>INDEX($V$307:$V$434,AH320+1)</f>
        <v/>
      </c>
      <c r="AP320">
        <f>INDEX($W$307:$W$434,AI320+1)</f>
        <v/>
      </c>
      <c r="AQ320">
        <f>IF(Q320&gt;=AJ320-0.01,1,0)</f>
        <v/>
      </c>
      <c r="AR320">
        <f>IF(R320&gt;=AK320-0.01,1,0)</f>
        <v/>
      </c>
      <c r="AS320">
        <f>IF(S320&gt;=AL320-0.01,1,0)</f>
        <v/>
      </c>
      <c r="AT320">
        <f>IF(T320&gt;=AM320-0.01,1,0)</f>
        <v/>
      </c>
      <c r="AU320">
        <f>IF(U320&gt;=AN320-0.01,1,0)</f>
        <v/>
      </c>
      <c r="AV320">
        <f>IF(V320&gt;=AO320-0.01,1,0)</f>
        <v/>
      </c>
      <c r="AW320">
        <f>IF(W320&gt;=AP320-0.01,1,0)</f>
        <v/>
      </c>
      <c r="AX320">
        <f>AQ320*AR320*AS320*AT320*AU320*AV320*AW320</f>
        <v/>
      </c>
      <c r="AY320">
        <f>Assumptions!$B$41</f>
        <v/>
      </c>
      <c r="AZ320">
        <f>Assumptions!$B$33</f>
        <v/>
      </c>
      <c r="BA320">
        <f>Assumptions!$B$32</f>
        <v/>
      </c>
      <c r="BB320">
        <f>Assumptions!$B$31</f>
        <v/>
      </c>
      <c r="BC320">
        <f>Assumptions!$B$30</f>
        <v/>
      </c>
      <c r="BD320">
        <f>Assumptions!$B$29</f>
        <v/>
      </c>
      <c r="BE320">
        <f>Assumptions!$B$28</f>
        <v/>
      </c>
      <c r="BF320">
        <f>P320*Assumptions!$B$141</f>
        <v/>
      </c>
      <c r="BG320">
        <f>P320*Assumptions!$B$128</f>
        <v/>
      </c>
      <c r="BH320">
        <f>P320*Assumptions!$B$129</f>
        <v/>
      </c>
      <c r="BI320">
        <f>P320*Assumptions!$B$14</f>
        <v/>
      </c>
      <c r="BJ320">
        <f>P320*Assumptions!$B$13</f>
        <v/>
      </c>
      <c r="BK320">
        <f>P320*Assumptions!$B$12</f>
        <v/>
      </c>
      <c r="BL320">
        <f>P320*Assumptions!$B$11</f>
        <v/>
      </c>
    </row>
    <row r="321">
      <c r="A321" t="inlineStr">
        <is>
          <t>2000M</t>
        </is>
      </c>
      <c r="B321">
        <f>Assumptions!$B$60</f>
        <v/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</v>
      </c>
      <c r="J321">
        <f>(1-C321)*Assumptions!$B$41+(1-D321)*Assumptions!$B$33+(1-E321)*Assumptions!$B$32+(1-F321)*Assumptions!$B$31+(1-G321)*Assumptions!$B$30+(1-H321)*Assumptions!$B$29+(1-I321)*Assumptions!$B$28</f>
        <v/>
      </c>
      <c r="K321">
        <f>C321*Assumptions!$B$141+D321*Assumptions!$B$128+E321*Assumptions!$B$129+F321*Assumptions!$B$14+G321*Assumptions!$B$13+H321*Assumptions!$B$12+I321*Assumptions!$B$11+Assumptions!$B$133+Assumptions!$B$137+Assumptions!$B$9</f>
        <v/>
      </c>
      <c r="L321">
        <f>B321-J321</f>
        <v/>
      </c>
      <c r="M321">
        <f>IF(K321&gt;0,IF(L321/K321&gt;=Assumptions!$B$37,1,0),0)</f>
        <v/>
      </c>
      <c r="N321">
        <f>K321+M321*Assumptions!$B$153</f>
        <v/>
      </c>
      <c r="O321">
        <f>L321+M321*Assumptions!$B$153*Assumptions!$B$37</f>
        <v/>
      </c>
      <c r="P321">
        <f>IF(N321&gt;0,O321/N321,0)</f>
        <v/>
      </c>
      <c r="Q321">
        <f>IF(C321=1,P321*Assumptions!$B$141,Assumptions!$B$41)</f>
        <v/>
      </c>
      <c r="R321">
        <f>IF(D321=1,P321*Assumptions!$B$128,Assumptions!$B$33)</f>
        <v/>
      </c>
      <c r="S321">
        <f>IF(E321=1,P321*Assumptions!$B$129,Assumptions!$B$32)</f>
        <v/>
      </c>
      <c r="T321">
        <f>IF(F321=1,P321*Assumptions!$B$14,Assumptions!$B$31)</f>
        <v/>
      </c>
      <c r="U321">
        <f>IF(G321=1,P321*Assumptions!$B$13,Assumptions!$B$30)</f>
        <v/>
      </c>
      <c r="V321">
        <f>IF(H321=1,P321*Assumptions!$B$12,Assumptions!$B$29)</f>
        <v/>
      </c>
      <c r="W321">
        <f>IF(I321=1,P321*Assumptions!$B$11,Assumptions!$B$28)</f>
        <v/>
      </c>
      <c r="X321">
        <f>P321*(Assumptions!$B$133+Assumptions!$B$137)</f>
        <v/>
      </c>
      <c r="Y321">
        <f>P321*Assumptions!$B$9</f>
        <v/>
      </c>
      <c r="Z321">
        <f>IF(M321=1,(P321-Assumptions!$B$37)*Assumptions!$B$153,0)</f>
        <v/>
      </c>
      <c r="AA321">
        <f>Q321+R321+S321+T321+U321+V321+W321+X321+Y321+Z321</f>
        <v/>
      </c>
      <c r="AB321" t="n">
        <v>14</v>
      </c>
      <c r="AC321" t="n">
        <v>78</v>
      </c>
      <c r="AD321" t="n">
        <v>46</v>
      </c>
      <c r="AE321" t="n">
        <v>30</v>
      </c>
      <c r="AF321" t="n">
        <v>6</v>
      </c>
      <c r="AG321" t="n">
        <v>10</v>
      </c>
      <c r="AH321" t="n">
        <v>12</v>
      </c>
      <c r="AI321" t="n">
        <v>15</v>
      </c>
      <c r="AJ321">
        <f>INDEX($Q$307:$Q$434,AC321+1)</f>
        <v/>
      </c>
      <c r="AK321">
        <f>INDEX($R$307:$R$434,AD321+1)</f>
        <v/>
      </c>
      <c r="AL321">
        <f>INDEX($S$307:$S$434,AE321+1)</f>
        <v/>
      </c>
      <c r="AM321">
        <f>INDEX($T$307:$T$434,AF321+1)</f>
        <v/>
      </c>
      <c r="AN321">
        <f>INDEX($U$307:$U$434,AG321+1)</f>
        <v/>
      </c>
      <c r="AO321">
        <f>INDEX($V$307:$V$434,AH321+1)</f>
        <v/>
      </c>
      <c r="AP321">
        <f>INDEX($W$307:$W$434,AI321+1)</f>
        <v/>
      </c>
      <c r="AQ321">
        <f>IF(Q321&gt;=AJ321-0.01,1,0)</f>
        <v/>
      </c>
      <c r="AR321">
        <f>IF(R321&gt;=AK321-0.01,1,0)</f>
        <v/>
      </c>
      <c r="AS321">
        <f>IF(S321&gt;=AL321-0.01,1,0)</f>
        <v/>
      </c>
      <c r="AT321">
        <f>IF(T321&gt;=AM321-0.01,1,0)</f>
        <v/>
      </c>
      <c r="AU321">
        <f>IF(U321&gt;=AN321-0.01,1,0)</f>
        <v/>
      </c>
      <c r="AV321">
        <f>IF(V321&gt;=AO321-0.01,1,0)</f>
        <v/>
      </c>
      <c r="AW321">
        <f>IF(W321&gt;=AP321-0.01,1,0)</f>
        <v/>
      </c>
      <c r="AX321">
        <f>AQ321*AR321*AS321*AT321*AU321*AV321*AW321</f>
        <v/>
      </c>
      <c r="AY321">
        <f>Assumptions!$B$41</f>
        <v/>
      </c>
      <c r="AZ321">
        <f>Assumptions!$B$33</f>
        <v/>
      </c>
      <c r="BA321">
        <f>Assumptions!$B$32</f>
        <v/>
      </c>
      <c r="BB321">
        <f>Assumptions!$B$31</f>
        <v/>
      </c>
      <c r="BC321">
        <f>Assumptions!$B$30</f>
        <v/>
      </c>
      <c r="BD321">
        <f>Assumptions!$B$29</f>
        <v/>
      </c>
      <c r="BE321">
        <f>Assumptions!$B$28</f>
        <v/>
      </c>
      <c r="BF321">
        <f>P321*Assumptions!$B$141</f>
        <v/>
      </c>
      <c r="BG321">
        <f>P321*Assumptions!$B$128</f>
        <v/>
      </c>
      <c r="BH321">
        <f>P321*Assumptions!$B$129</f>
        <v/>
      </c>
      <c r="BI321">
        <f>P321*Assumptions!$B$14</f>
        <v/>
      </c>
      <c r="BJ321">
        <f>P321*Assumptions!$B$13</f>
        <v/>
      </c>
      <c r="BK321">
        <f>P321*Assumptions!$B$12</f>
        <v/>
      </c>
      <c r="BL321">
        <f>P321*Assumptions!$B$11</f>
        <v/>
      </c>
    </row>
    <row r="322">
      <c r="A322" t="inlineStr">
        <is>
          <t>2000M</t>
        </is>
      </c>
      <c r="B322">
        <f>Assumptions!$B$60</f>
        <v/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>
        <f>(1-C322)*Assumptions!$B$41+(1-D322)*Assumptions!$B$33+(1-E322)*Assumptions!$B$32+(1-F322)*Assumptions!$B$31+(1-G322)*Assumptions!$B$30+(1-H322)*Assumptions!$B$29+(1-I322)*Assumptions!$B$28</f>
        <v/>
      </c>
      <c r="K322">
        <f>C322*Assumptions!$B$141+D322*Assumptions!$B$128+E322*Assumptions!$B$129+F322*Assumptions!$B$14+G322*Assumptions!$B$13+H322*Assumptions!$B$12+I322*Assumptions!$B$11+Assumptions!$B$133+Assumptions!$B$137+Assumptions!$B$9</f>
        <v/>
      </c>
      <c r="L322">
        <f>B322-J322</f>
        <v/>
      </c>
      <c r="M322">
        <f>IF(K322&gt;0,IF(L322/K322&gt;=Assumptions!$B$37,1,0),0)</f>
        <v/>
      </c>
      <c r="N322">
        <f>K322+M322*Assumptions!$B$153</f>
        <v/>
      </c>
      <c r="O322">
        <f>L322+M322*Assumptions!$B$153*Assumptions!$B$37</f>
        <v/>
      </c>
      <c r="P322">
        <f>IF(N322&gt;0,O322/N322,0)</f>
        <v/>
      </c>
      <c r="Q322">
        <f>IF(C322=1,P322*Assumptions!$B$141,Assumptions!$B$41)</f>
        <v/>
      </c>
      <c r="R322">
        <f>IF(D322=1,P322*Assumptions!$B$128,Assumptions!$B$33)</f>
        <v/>
      </c>
      <c r="S322">
        <f>IF(E322=1,P322*Assumptions!$B$129,Assumptions!$B$32)</f>
        <v/>
      </c>
      <c r="T322">
        <f>IF(F322=1,P322*Assumptions!$B$14,Assumptions!$B$31)</f>
        <v/>
      </c>
      <c r="U322">
        <f>IF(G322=1,P322*Assumptions!$B$13,Assumptions!$B$30)</f>
        <v/>
      </c>
      <c r="V322">
        <f>IF(H322=1,P322*Assumptions!$B$12,Assumptions!$B$29)</f>
        <v/>
      </c>
      <c r="W322">
        <f>IF(I322=1,P322*Assumptions!$B$11,Assumptions!$B$28)</f>
        <v/>
      </c>
      <c r="X322">
        <f>P322*(Assumptions!$B$133+Assumptions!$B$137)</f>
        <v/>
      </c>
      <c r="Y322">
        <f>P322*Assumptions!$B$9</f>
        <v/>
      </c>
      <c r="Z322">
        <f>IF(M322=1,(P322-Assumptions!$B$37)*Assumptions!$B$153,0)</f>
        <v/>
      </c>
      <c r="AA322">
        <f>Q322+R322+S322+T322+U322+V322+W322+X322+Y322+Z322</f>
        <v/>
      </c>
      <c r="AB322" t="n">
        <v>15</v>
      </c>
      <c r="AC322" t="n">
        <v>79</v>
      </c>
      <c r="AD322" t="n">
        <v>47</v>
      </c>
      <c r="AE322" t="n">
        <v>31</v>
      </c>
      <c r="AF322" t="n">
        <v>7</v>
      </c>
      <c r="AG322" t="n">
        <v>11</v>
      </c>
      <c r="AH322" t="n">
        <v>13</v>
      </c>
      <c r="AI322" t="n">
        <v>14</v>
      </c>
      <c r="AJ322">
        <f>INDEX($Q$307:$Q$434,AC322+1)</f>
        <v/>
      </c>
      <c r="AK322">
        <f>INDEX($R$307:$R$434,AD322+1)</f>
        <v/>
      </c>
      <c r="AL322">
        <f>INDEX($S$307:$S$434,AE322+1)</f>
        <v/>
      </c>
      <c r="AM322">
        <f>INDEX($T$307:$T$434,AF322+1)</f>
        <v/>
      </c>
      <c r="AN322">
        <f>INDEX($U$307:$U$434,AG322+1)</f>
        <v/>
      </c>
      <c r="AO322">
        <f>INDEX($V$307:$V$434,AH322+1)</f>
        <v/>
      </c>
      <c r="AP322">
        <f>INDEX($W$307:$W$434,AI322+1)</f>
        <v/>
      </c>
      <c r="AQ322">
        <f>IF(Q322&gt;=AJ322-0.01,1,0)</f>
        <v/>
      </c>
      <c r="AR322">
        <f>IF(R322&gt;=AK322-0.01,1,0)</f>
        <v/>
      </c>
      <c r="AS322">
        <f>IF(S322&gt;=AL322-0.01,1,0)</f>
        <v/>
      </c>
      <c r="AT322">
        <f>IF(T322&gt;=AM322-0.01,1,0)</f>
        <v/>
      </c>
      <c r="AU322">
        <f>IF(U322&gt;=AN322-0.01,1,0)</f>
        <v/>
      </c>
      <c r="AV322">
        <f>IF(V322&gt;=AO322-0.01,1,0)</f>
        <v/>
      </c>
      <c r="AW322">
        <f>IF(W322&gt;=AP322-0.01,1,0)</f>
        <v/>
      </c>
      <c r="AX322">
        <f>AQ322*AR322*AS322*AT322*AU322*AV322*AW322</f>
        <v/>
      </c>
      <c r="AY322">
        <f>Assumptions!$B$41</f>
        <v/>
      </c>
      <c r="AZ322">
        <f>Assumptions!$B$33</f>
        <v/>
      </c>
      <c r="BA322">
        <f>Assumptions!$B$32</f>
        <v/>
      </c>
      <c r="BB322">
        <f>Assumptions!$B$31</f>
        <v/>
      </c>
      <c r="BC322">
        <f>Assumptions!$B$30</f>
        <v/>
      </c>
      <c r="BD322">
        <f>Assumptions!$B$29</f>
        <v/>
      </c>
      <c r="BE322">
        <f>Assumptions!$B$28</f>
        <v/>
      </c>
      <c r="BF322">
        <f>P322*Assumptions!$B$141</f>
        <v/>
      </c>
      <c r="BG322">
        <f>P322*Assumptions!$B$128</f>
        <v/>
      </c>
      <c r="BH322">
        <f>P322*Assumptions!$B$129</f>
        <v/>
      </c>
      <c r="BI322">
        <f>P322*Assumptions!$B$14</f>
        <v/>
      </c>
      <c r="BJ322">
        <f>P322*Assumptions!$B$13</f>
        <v/>
      </c>
      <c r="BK322">
        <f>P322*Assumptions!$B$12</f>
        <v/>
      </c>
      <c r="BL322">
        <f>P322*Assumptions!$B$11</f>
        <v/>
      </c>
    </row>
    <row r="323">
      <c r="A323" t="inlineStr">
        <is>
          <t>2000M</t>
        </is>
      </c>
      <c r="B323">
        <f>Assumptions!$B$60</f>
        <v/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>
        <f>(1-C323)*Assumptions!$B$41+(1-D323)*Assumptions!$B$33+(1-E323)*Assumptions!$B$32+(1-F323)*Assumptions!$B$31+(1-G323)*Assumptions!$B$30+(1-H323)*Assumptions!$B$29+(1-I323)*Assumptions!$B$28</f>
        <v/>
      </c>
      <c r="K323">
        <f>C323*Assumptions!$B$141+D323*Assumptions!$B$128+E323*Assumptions!$B$129+F323*Assumptions!$B$14+G323*Assumptions!$B$13+H323*Assumptions!$B$12+I323*Assumptions!$B$11+Assumptions!$B$133+Assumptions!$B$137+Assumptions!$B$9</f>
        <v/>
      </c>
      <c r="L323">
        <f>B323-J323</f>
        <v/>
      </c>
      <c r="M323">
        <f>IF(K323&gt;0,IF(L323/K323&gt;=Assumptions!$B$37,1,0),0)</f>
        <v/>
      </c>
      <c r="N323">
        <f>K323+M323*Assumptions!$B$153</f>
        <v/>
      </c>
      <c r="O323">
        <f>L323+M323*Assumptions!$B$153*Assumptions!$B$37</f>
        <v/>
      </c>
      <c r="P323">
        <f>IF(N323&gt;0,O323/N323,0)</f>
        <v/>
      </c>
      <c r="Q323">
        <f>IF(C323=1,P323*Assumptions!$B$141,Assumptions!$B$41)</f>
        <v/>
      </c>
      <c r="R323">
        <f>IF(D323=1,P323*Assumptions!$B$128,Assumptions!$B$33)</f>
        <v/>
      </c>
      <c r="S323">
        <f>IF(E323=1,P323*Assumptions!$B$129,Assumptions!$B$32)</f>
        <v/>
      </c>
      <c r="T323">
        <f>IF(F323=1,P323*Assumptions!$B$14,Assumptions!$B$31)</f>
        <v/>
      </c>
      <c r="U323">
        <f>IF(G323=1,P323*Assumptions!$B$13,Assumptions!$B$30)</f>
        <v/>
      </c>
      <c r="V323">
        <f>IF(H323=1,P323*Assumptions!$B$12,Assumptions!$B$29)</f>
        <v/>
      </c>
      <c r="W323">
        <f>IF(I323=1,P323*Assumptions!$B$11,Assumptions!$B$28)</f>
        <v/>
      </c>
      <c r="X323">
        <f>P323*(Assumptions!$B$133+Assumptions!$B$137)</f>
        <v/>
      </c>
      <c r="Y323">
        <f>P323*Assumptions!$B$9</f>
        <v/>
      </c>
      <c r="Z323">
        <f>IF(M323=1,(P323-Assumptions!$B$37)*Assumptions!$B$153,0)</f>
        <v/>
      </c>
      <c r="AA323">
        <f>Q323+R323+S323+T323+U323+V323+W323+X323+Y323+Z323</f>
        <v/>
      </c>
      <c r="AB323" t="n">
        <v>16</v>
      </c>
      <c r="AC323" t="n">
        <v>80</v>
      </c>
      <c r="AD323" t="n">
        <v>48</v>
      </c>
      <c r="AE323" t="n">
        <v>0</v>
      </c>
      <c r="AF323" t="n">
        <v>24</v>
      </c>
      <c r="AG323" t="n">
        <v>20</v>
      </c>
      <c r="AH323" t="n">
        <v>18</v>
      </c>
      <c r="AI323" t="n">
        <v>17</v>
      </c>
      <c r="AJ323">
        <f>INDEX($Q$307:$Q$434,AC323+1)</f>
        <v/>
      </c>
      <c r="AK323">
        <f>INDEX($R$307:$R$434,AD323+1)</f>
        <v/>
      </c>
      <c r="AL323">
        <f>INDEX($S$307:$S$434,AE323+1)</f>
        <v/>
      </c>
      <c r="AM323">
        <f>INDEX($T$307:$T$434,AF323+1)</f>
        <v/>
      </c>
      <c r="AN323">
        <f>INDEX($U$307:$U$434,AG323+1)</f>
        <v/>
      </c>
      <c r="AO323">
        <f>INDEX($V$307:$V$434,AH323+1)</f>
        <v/>
      </c>
      <c r="AP323">
        <f>INDEX($W$307:$W$434,AI323+1)</f>
        <v/>
      </c>
      <c r="AQ323">
        <f>IF(Q323&gt;=AJ323-0.01,1,0)</f>
        <v/>
      </c>
      <c r="AR323">
        <f>IF(R323&gt;=AK323-0.01,1,0)</f>
        <v/>
      </c>
      <c r="AS323">
        <f>IF(S323&gt;=AL323-0.01,1,0)</f>
        <v/>
      </c>
      <c r="AT323">
        <f>IF(T323&gt;=AM323-0.01,1,0)</f>
        <v/>
      </c>
      <c r="AU323">
        <f>IF(U323&gt;=AN323-0.01,1,0)</f>
        <v/>
      </c>
      <c r="AV323">
        <f>IF(V323&gt;=AO323-0.01,1,0)</f>
        <v/>
      </c>
      <c r="AW323">
        <f>IF(W323&gt;=AP323-0.01,1,0)</f>
        <v/>
      </c>
      <c r="AX323">
        <f>AQ323*AR323*AS323*AT323*AU323*AV323*AW323</f>
        <v/>
      </c>
      <c r="AY323">
        <f>Assumptions!$B$41</f>
        <v/>
      </c>
      <c r="AZ323">
        <f>Assumptions!$B$33</f>
        <v/>
      </c>
      <c r="BA323">
        <f>Assumptions!$B$32</f>
        <v/>
      </c>
      <c r="BB323">
        <f>Assumptions!$B$31</f>
        <v/>
      </c>
      <c r="BC323">
        <f>Assumptions!$B$30</f>
        <v/>
      </c>
      <c r="BD323">
        <f>Assumptions!$B$29</f>
        <v/>
      </c>
      <c r="BE323">
        <f>Assumptions!$B$28</f>
        <v/>
      </c>
      <c r="BF323">
        <f>P323*Assumptions!$B$141</f>
        <v/>
      </c>
      <c r="BG323">
        <f>P323*Assumptions!$B$128</f>
        <v/>
      </c>
      <c r="BH323">
        <f>P323*Assumptions!$B$129</f>
        <v/>
      </c>
      <c r="BI323">
        <f>P323*Assumptions!$B$14</f>
        <v/>
      </c>
      <c r="BJ323">
        <f>P323*Assumptions!$B$13</f>
        <v/>
      </c>
      <c r="BK323">
        <f>P323*Assumptions!$B$12</f>
        <v/>
      </c>
      <c r="BL323">
        <f>P323*Assumptions!$B$11</f>
        <v/>
      </c>
    </row>
    <row r="324">
      <c r="A324" t="inlineStr">
        <is>
          <t>2000M</t>
        </is>
      </c>
      <c r="B324">
        <f>Assumptions!$B$60</f>
        <v/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>
        <f>(1-C324)*Assumptions!$B$41+(1-D324)*Assumptions!$B$33+(1-E324)*Assumptions!$B$32+(1-F324)*Assumptions!$B$31+(1-G324)*Assumptions!$B$30+(1-H324)*Assumptions!$B$29+(1-I324)*Assumptions!$B$28</f>
        <v/>
      </c>
      <c r="K324">
        <f>C324*Assumptions!$B$141+D324*Assumptions!$B$128+E324*Assumptions!$B$129+F324*Assumptions!$B$14+G324*Assumptions!$B$13+H324*Assumptions!$B$12+I324*Assumptions!$B$11+Assumptions!$B$133+Assumptions!$B$137+Assumptions!$B$9</f>
        <v/>
      </c>
      <c r="L324">
        <f>B324-J324</f>
        <v/>
      </c>
      <c r="M324">
        <f>IF(K324&gt;0,IF(L324/K324&gt;=Assumptions!$B$37,1,0),0)</f>
        <v/>
      </c>
      <c r="N324">
        <f>K324+M324*Assumptions!$B$153</f>
        <v/>
      </c>
      <c r="O324">
        <f>L324+M324*Assumptions!$B$153*Assumptions!$B$37</f>
        <v/>
      </c>
      <c r="P324">
        <f>IF(N324&gt;0,O324/N324,0)</f>
        <v/>
      </c>
      <c r="Q324">
        <f>IF(C324=1,P324*Assumptions!$B$141,Assumptions!$B$41)</f>
        <v/>
      </c>
      <c r="R324">
        <f>IF(D324=1,P324*Assumptions!$B$128,Assumptions!$B$33)</f>
        <v/>
      </c>
      <c r="S324">
        <f>IF(E324=1,P324*Assumptions!$B$129,Assumptions!$B$32)</f>
        <v/>
      </c>
      <c r="T324">
        <f>IF(F324=1,P324*Assumptions!$B$14,Assumptions!$B$31)</f>
        <v/>
      </c>
      <c r="U324">
        <f>IF(G324=1,P324*Assumptions!$B$13,Assumptions!$B$30)</f>
        <v/>
      </c>
      <c r="V324">
        <f>IF(H324=1,P324*Assumptions!$B$12,Assumptions!$B$29)</f>
        <v/>
      </c>
      <c r="W324">
        <f>IF(I324=1,P324*Assumptions!$B$11,Assumptions!$B$28)</f>
        <v/>
      </c>
      <c r="X324">
        <f>P324*(Assumptions!$B$133+Assumptions!$B$137)</f>
        <v/>
      </c>
      <c r="Y324">
        <f>P324*Assumptions!$B$9</f>
        <v/>
      </c>
      <c r="Z324">
        <f>IF(M324=1,(P324-Assumptions!$B$37)*Assumptions!$B$153,0)</f>
        <v/>
      </c>
      <c r="AA324">
        <f>Q324+R324+S324+T324+U324+V324+W324+X324+Y324+Z324</f>
        <v/>
      </c>
      <c r="AB324" t="n">
        <v>17</v>
      </c>
      <c r="AC324" t="n">
        <v>81</v>
      </c>
      <c r="AD324" t="n">
        <v>49</v>
      </c>
      <c r="AE324" t="n">
        <v>1</v>
      </c>
      <c r="AF324" t="n">
        <v>25</v>
      </c>
      <c r="AG324" t="n">
        <v>21</v>
      </c>
      <c r="AH324" t="n">
        <v>19</v>
      </c>
      <c r="AI324" t="n">
        <v>16</v>
      </c>
      <c r="AJ324">
        <f>INDEX($Q$307:$Q$434,AC324+1)</f>
        <v/>
      </c>
      <c r="AK324">
        <f>INDEX($R$307:$R$434,AD324+1)</f>
        <v/>
      </c>
      <c r="AL324">
        <f>INDEX($S$307:$S$434,AE324+1)</f>
        <v/>
      </c>
      <c r="AM324">
        <f>INDEX($T$307:$T$434,AF324+1)</f>
        <v/>
      </c>
      <c r="AN324">
        <f>INDEX($U$307:$U$434,AG324+1)</f>
        <v/>
      </c>
      <c r="AO324">
        <f>INDEX($V$307:$V$434,AH324+1)</f>
        <v/>
      </c>
      <c r="AP324">
        <f>INDEX($W$307:$W$434,AI324+1)</f>
        <v/>
      </c>
      <c r="AQ324">
        <f>IF(Q324&gt;=AJ324-0.01,1,0)</f>
        <v/>
      </c>
      <c r="AR324">
        <f>IF(R324&gt;=AK324-0.01,1,0)</f>
        <v/>
      </c>
      <c r="AS324">
        <f>IF(S324&gt;=AL324-0.01,1,0)</f>
        <v/>
      </c>
      <c r="AT324">
        <f>IF(T324&gt;=AM324-0.01,1,0)</f>
        <v/>
      </c>
      <c r="AU324">
        <f>IF(U324&gt;=AN324-0.01,1,0)</f>
        <v/>
      </c>
      <c r="AV324">
        <f>IF(V324&gt;=AO324-0.01,1,0)</f>
        <v/>
      </c>
      <c r="AW324">
        <f>IF(W324&gt;=AP324-0.01,1,0)</f>
        <v/>
      </c>
      <c r="AX324">
        <f>AQ324*AR324*AS324*AT324*AU324*AV324*AW324</f>
        <v/>
      </c>
      <c r="AY324">
        <f>Assumptions!$B$41</f>
        <v/>
      </c>
      <c r="AZ324">
        <f>Assumptions!$B$33</f>
        <v/>
      </c>
      <c r="BA324">
        <f>Assumptions!$B$32</f>
        <v/>
      </c>
      <c r="BB324">
        <f>Assumptions!$B$31</f>
        <v/>
      </c>
      <c r="BC324">
        <f>Assumptions!$B$30</f>
        <v/>
      </c>
      <c r="BD324">
        <f>Assumptions!$B$29</f>
        <v/>
      </c>
      <c r="BE324">
        <f>Assumptions!$B$28</f>
        <v/>
      </c>
      <c r="BF324">
        <f>P324*Assumptions!$B$141</f>
        <v/>
      </c>
      <c r="BG324">
        <f>P324*Assumptions!$B$128</f>
        <v/>
      </c>
      <c r="BH324">
        <f>P324*Assumptions!$B$129</f>
        <v/>
      </c>
      <c r="BI324">
        <f>P324*Assumptions!$B$14</f>
        <v/>
      </c>
      <c r="BJ324">
        <f>P324*Assumptions!$B$13</f>
        <v/>
      </c>
      <c r="BK324">
        <f>P324*Assumptions!$B$12</f>
        <v/>
      </c>
      <c r="BL324">
        <f>P324*Assumptions!$B$11</f>
        <v/>
      </c>
    </row>
    <row r="325">
      <c r="A325" t="inlineStr">
        <is>
          <t>2000M</t>
        </is>
      </c>
      <c r="B325">
        <f>Assumptions!$B$60</f>
        <v/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>
        <f>(1-C325)*Assumptions!$B$41+(1-D325)*Assumptions!$B$33+(1-E325)*Assumptions!$B$32+(1-F325)*Assumptions!$B$31+(1-G325)*Assumptions!$B$30+(1-H325)*Assumptions!$B$29+(1-I325)*Assumptions!$B$28</f>
        <v/>
      </c>
      <c r="K325">
        <f>C325*Assumptions!$B$141+D325*Assumptions!$B$128+E325*Assumptions!$B$129+F325*Assumptions!$B$14+G325*Assumptions!$B$13+H325*Assumptions!$B$12+I325*Assumptions!$B$11+Assumptions!$B$133+Assumptions!$B$137+Assumptions!$B$9</f>
        <v/>
      </c>
      <c r="L325">
        <f>B325-J325</f>
        <v/>
      </c>
      <c r="M325">
        <f>IF(K325&gt;0,IF(L325/K325&gt;=Assumptions!$B$37,1,0),0)</f>
        <v/>
      </c>
      <c r="N325">
        <f>K325+M325*Assumptions!$B$153</f>
        <v/>
      </c>
      <c r="O325">
        <f>L325+M325*Assumptions!$B$153*Assumptions!$B$37</f>
        <v/>
      </c>
      <c r="P325">
        <f>IF(N325&gt;0,O325/N325,0)</f>
        <v/>
      </c>
      <c r="Q325">
        <f>IF(C325=1,P325*Assumptions!$B$141,Assumptions!$B$41)</f>
        <v/>
      </c>
      <c r="R325">
        <f>IF(D325=1,P325*Assumptions!$B$128,Assumptions!$B$33)</f>
        <v/>
      </c>
      <c r="S325">
        <f>IF(E325=1,P325*Assumptions!$B$129,Assumptions!$B$32)</f>
        <v/>
      </c>
      <c r="T325">
        <f>IF(F325=1,P325*Assumptions!$B$14,Assumptions!$B$31)</f>
        <v/>
      </c>
      <c r="U325">
        <f>IF(G325=1,P325*Assumptions!$B$13,Assumptions!$B$30)</f>
        <v/>
      </c>
      <c r="V325">
        <f>IF(H325=1,P325*Assumptions!$B$12,Assumptions!$B$29)</f>
        <v/>
      </c>
      <c r="W325">
        <f>IF(I325=1,P325*Assumptions!$B$11,Assumptions!$B$28)</f>
        <v/>
      </c>
      <c r="X325">
        <f>P325*(Assumptions!$B$133+Assumptions!$B$137)</f>
        <v/>
      </c>
      <c r="Y325">
        <f>P325*Assumptions!$B$9</f>
        <v/>
      </c>
      <c r="Z325">
        <f>IF(M325=1,(P325-Assumptions!$B$37)*Assumptions!$B$153,0)</f>
        <v/>
      </c>
      <c r="AA325">
        <f>Q325+R325+S325+T325+U325+V325+W325+X325+Y325+Z325</f>
        <v/>
      </c>
      <c r="AB325" t="n">
        <v>18</v>
      </c>
      <c r="AC325" t="n">
        <v>82</v>
      </c>
      <c r="AD325" t="n">
        <v>50</v>
      </c>
      <c r="AE325" t="n">
        <v>2</v>
      </c>
      <c r="AF325" t="n">
        <v>26</v>
      </c>
      <c r="AG325" t="n">
        <v>22</v>
      </c>
      <c r="AH325" t="n">
        <v>16</v>
      </c>
      <c r="AI325" t="n">
        <v>19</v>
      </c>
      <c r="AJ325">
        <f>INDEX($Q$307:$Q$434,AC325+1)</f>
        <v/>
      </c>
      <c r="AK325">
        <f>INDEX($R$307:$R$434,AD325+1)</f>
        <v/>
      </c>
      <c r="AL325">
        <f>INDEX($S$307:$S$434,AE325+1)</f>
        <v/>
      </c>
      <c r="AM325">
        <f>INDEX($T$307:$T$434,AF325+1)</f>
        <v/>
      </c>
      <c r="AN325">
        <f>INDEX($U$307:$U$434,AG325+1)</f>
        <v/>
      </c>
      <c r="AO325">
        <f>INDEX($V$307:$V$434,AH325+1)</f>
        <v/>
      </c>
      <c r="AP325">
        <f>INDEX($W$307:$W$434,AI325+1)</f>
        <v/>
      </c>
      <c r="AQ325">
        <f>IF(Q325&gt;=AJ325-0.01,1,0)</f>
        <v/>
      </c>
      <c r="AR325">
        <f>IF(R325&gt;=AK325-0.01,1,0)</f>
        <v/>
      </c>
      <c r="AS325">
        <f>IF(S325&gt;=AL325-0.01,1,0)</f>
        <v/>
      </c>
      <c r="AT325">
        <f>IF(T325&gt;=AM325-0.01,1,0)</f>
        <v/>
      </c>
      <c r="AU325">
        <f>IF(U325&gt;=AN325-0.01,1,0)</f>
        <v/>
      </c>
      <c r="AV325">
        <f>IF(V325&gt;=AO325-0.01,1,0)</f>
        <v/>
      </c>
      <c r="AW325">
        <f>IF(W325&gt;=AP325-0.01,1,0)</f>
        <v/>
      </c>
      <c r="AX325">
        <f>AQ325*AR325*AS325*AT325*AU325*AV325*AW325</f>
        <v/>
      </c>
      <c r="AY325">
        <f>Assumptions!$B$41</f>
        <v/>
      </c>
      <c r="AZ325">
        <f>Assumptions!$B$33</f>
        <v/>
      </c>
      <c r="BA325">
        <f>Assumptions!$B$32</f>
        <v/>
      </c>
      <c r="BB325">
        <f>Assumptions!$B$31</f>
        <v/>
      </c>
      <c r="BC325">
        <f>Assumptions!$B$30</f>
        <v/>
      </c>
      <c r="BD325">
        <f>Assumptions!$B$29</f>
        <v/>
      </c>
      <c r="BE325">
        <f>Assumptions!$B$28</f>
        <v/>
      </c>
      <c r="BF325">
        <f>P325*Assumptions!$B$141</f>
        <v/>
      </c>
      <c r="BG325">
        <f>P325*Assumptions!$B$128</f>
        <v/>
      </c>
      <c r="BH325">
        <f>P325*Assumptions!$B$129</f>
        <v/>
      </c>
      <c r="BI325">
        <f>P325*Assumptions!$B$14</f>
        <v/>
      </c>
      <c r="BJ325">
        <f>P325*Assumptions!$B$13</f>
        <v/>
      </c>
      <c r="BK325">
        <f>P325*Assumptions!$B$12</f>
        <v/>
      </c>
      <c r="BL325">
        <f>P325*Assumptions!$B$11</f>
        <v/>
      </c>
    </row>
    <row r="326">
      <c r="A326" t="inlineStr">
        <is>
          <t>2000M</t>
        </is>
      </c>
      <c r="B326">
        <f>Assumptions!$B$60</f>
        <v/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>
        <f>(1-C326)*Assumptions!$B$41+(1-D326)*Assumptions!$B$33+(1-E326)*Assumptions!$B$32+(1-F326)*Assumptions!$B$31+(1-G326)*Assumptions!$B$30+(1-H326)*Assumptions!$B$29+(1-I326)*Assumptions!$B$28</f>
        <v/>
      </c>
      <c r="K326">
        <f>C326*Assumptions!$B$141+D326*Assumptions!$B$128+E326*Assumptions!$B$129+F326*Assumptions!$B$14+G326*Assumptions!$B$13+H326*Assumptions!$B$12+I326*Assumptions!$B$11+Assumptions!$B$133+Assumptions!$B$137+Assumptions!$B$9</f>
        <v/>
      </c>
      <c r="L326">
        <f>B326-J326</f>
        <v/>
      </c>
      <c r="M326">
        <f>IF(K326&gt;0,IF(L326/K326&gt;=Assumptions!$B$37,1,0),0)</f>
        <v/>
      </c>
      <c r="N326">
        <f>K326+M326*Assumptions!$B$153</f>
        <v/>
      </c>
      <c r="O326">
        <f>L326+M326*Assumptions!$B$153*Assumptions!$B$37</f>
        <v/>
      </c>
      <c r="P326">
        <f>IF(N326&gt;0,O326/N326,0)</f>
        <v/>
      </c>
      <c r="Q326">
        <f>IF(C326=1,P326*Assumptions!$B$141,Assumptions!$B$41)</f>
        <v/>
      </c>
      <c r="R326">
        <f>IF(D326=1,P326*Assumptions!$B$128,Assumptions!$B$33)</f>
        <v/>
      </c>
      <c r="S326">
        <f>IF(E326=1,P326*Assumptions!$B$129,Assumptions!$B$32)</f>
        <v/>
      </c>
      <c r="T326">
        <f>IF(F326=1,P326*Assumptions!$B$14,Assumptions!$B$31)</f>
        <v/>
      </c>
      <c r="U326">
        <f>IF(G326=1,P326*Assumptions!$B$13,Assumptions!$B$30)</f>
        <v/>
      </c>
      <c r="V326">
        <f>IF(H326=1,P326*Assumptions!$B$12,Assumptions!$B$29)</f>
        <v/>
      </c>
      <c r="W326">
        <f>IF(I326=1,P326*Assumptions!$B$11,Assumptions!$B$28)</f>
        <v/>
      </c>
      <c r="X326">
        <f>P326*(Assumptions!$B$133+Assumptions!$B$137)</f>
        <v/>
      </c>
      <c r="Y326">
        <f>P326*Assumptions!$B$9</f>
        <v/>
      </c>
      <c r="Z326">
        <f>IF(M326=1,(P326-Assumptions!$B$37)*Assumptions!$B$153,0)</f>
        <v/>
      </c>
      <c r="AA326">
        <f>Q326+R326+S326+T326+U326+V326+W326+X326+Y326+Z326</f>
        <v/>
      </c>
      <c r="AB326" t="n">
        <v>19</v>
      </c>
      <c r="AC326" t="n">
        <v>83</v>
      </c>
      <c r="AD326" t="n">
        <v>51</v>
      </c>
      <c r="AE326" t="n">
        <v>3</v>
      </c>
      <c r="AF326" t="n">
        <v>27</v>
      </c>
      <c r="AG326" t="n">
        <v>23</v>
      </c>
      <c r="AH326" t="n">
        <v>17</v>
      </c>
      <c r="AI326" t="n">
        <v>18</v>
      </c>
      <c r="AJ326">
        <f>INDEX($Q$307:$Q$434,AC326+1)</f>
        <v/>
      </c>
      <c r="AK326">
        <f>INDEX($R$307:$R$434,AD326+1)</f>
        <v/>
      </c>
      <c r="AL326">
        <f>INDEX($S$307:$S$434,AE326+1)</f>
        <v/>
      </c>
      <c r="AM326">
        <f>INDEX($T$307:$T$434,AF326+1)</f>
        <v/>
      </c>
      <c r="AN326">
        <f>INDEX($U$307:$U$434,AG326+1)</f>
        <v/>
      </c>
      <c r="AO326">
        <f>INDEX($V$307:$V$434,AH326+1)</f>
        <v/>
      </c>
      <c r="AP326">
        <f>INDEX($W$307:$W$434,AI326+1)</f>
        <v/>
      </c>
      <c r="AQ326">
        <f>IF(Q326&gt;=AJ326-0.01,1,0)</f>
        <v/>
      </c>
      <c r="AR326">
        <f>IF(R326&gt;=AK326-0.01,1,0)</f>
        <v/>
      </c>
      <c r="AS326">
        <f>IF(S326&gt;=AL326-0.01,1,0)</f>
        <v/>
      </c>
      <c r="AT326">
        <f>IF(T326&gt;=AM326-0.01,1,0)</f>
        <v/>
      </c>
      <c r="AU326">
        <f>IF(U326&gt;=AN326-0.01,1,0)</f>
        <v/>
      </c>
      <c r="AV326">
        <f>IF(V326&gt;=AO326-0.01,1,0)</f>
        <v/>
      </c>
      <c r="AW326">
        <f>IF(W326&gt;=AP326-0.01,1,0)</f>
        <v/>
      </c>
      <c r="AX326">
        <f>AQ326*AR326*AS326*AT326*AU326*AV326*AW326</f>
        <v/>
      </c>
      <c r="AY326">
        <f>Assumptions!$B$41</f>
        <v/>
      </c>
      <c r="AZ326">
        <f>Assumptions!$B$33</f>
        <v/>
      </c>
      <c r="BA326">
        <f>Assumptions!$B$32</f>
        <v/>
      </c>
      <c r="BB326">
        <f>Assumptions!$B$31</f>
        <v/>
      </c>
      <c r="BC326">
        <f>Assumptions!$B$30</f>
        <v/>
      </c>
      <c r="BD326">
        <f>Assumptions!$B$29</f>
        <v/>
      </c>
      <c r="BE326">
        <f>Assumptions!$B$28</f>
        <v/>
      </c>
      <c r="BF326">
        <f>P326*Assumptions!$B$141</f>
        <v/>
      </c>
      <c r="BG326">
        <f>P326*Assumptions!$B$128</f>
        <v/>
      </c>
      <c r="BH326">
        <f>P326*Assumptions!$B$129</f>
        <v/>
      </c>
      <c r="BI326">
        <f>P326*Assumptions!$B$14</f>
        <v/>
      </c>
      <c r="BJ326">
        <f>P326*Assumptions!$B$13</f>
        <v/>
      </c>
      <c r="BK326">
        <f>P326*Assumptions!$B$12</f>
        <v/>
      </c>
      <c r="BL326">
        <f>P326*Assumptions!$B$11</f>
        <v/>
      </c>
    </row>
    <row r="327">
      <c r="A327" t="inlineStr">
        <is>
          <t>2000M</t>
        </is>
      </c>
      <c r="B327">
        <f>Assumptions!$B$60</f>
        <v/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>
        <f>(1-C327)*Assumptions!$B$41+(1-D327)*Assumptions!$B$33+(1-E327)*Assumptions!$B$32+(1-F327)*Assumptions!$B$31+(1-G327)*Assumptions!$B$30+(1-H327)*Assumptions!$B$29+(1-I327)*Assumptions!$B$28</f>
        <v/>
      </c>
      <c r="K327">
        <f>C327*Assumptions!$B$141+D327*Assumptions!$B$128+E327*Assumptions!$B$129+F327*Assumptions!$B$14+G327*Assumptions!$B$13+H327*Assumptions!$B$12+I327*Assumptions!$B$11+Assumptions!$B$133+Assumptions!$B$137+Assumptions!$B$9</f>
        <v/>
      </c>
      <c r="L327">
        <f>B327-J327</f>
        <v/>
      </c>
      <c r="M327">
        <f>IF(K327&gt;0,IF(L327/K327&gt;=Assumptions!$B$37,1,0),0)</f>
        <v/>
      </c>
      <c r="N327">
        <f>K327+M327*Assumptions!$B$153</f>
        <v/>
      </c>
      <c r="O327">
        <f>L327+M327*Assumptions!$B$153*Assumptions!$B$37</f>
        <v/>
      </c>
      <c r="P327">
        <f>IF(N327&gt;0,O327/N327,0)</f>
        <v/>
      </c>
      <c r="Q327">
        <f>IF(C327=1,P327*Assumptions!$B$141,Assumptions!$B$41)</f>
        <v/>
      </c>
      <c r="R327">
        <f>IF(D327=1,P327*Assumptions!$B$128,Assumptions!$B$33)</f>
        <v/>
      </c>
      <c r="S327">
        <f>IF(E327=1,P327*Assumptions!$B$129,Assumptions!$B$32)</f>
        <v/>
      </c>
      <c r="T327">
        <f>IF(F327=1,P327*Assumptions!$B$14,Assumptions!$B$31)</f>
        <v/>
      </c>
      <c r="U327">
        <f>IF(G327=1,P327*Assumptions!$B$13,Assumptions!$B$30)</f>
        <v/>
      </c>
      <c r="V327">
        <f>IF(H327=1,P327*Assumptions!$B$12,Assumptions!$B$29)</f>
        <v/>
      </c>
      <c r="W327">
        <f>IF(I327=1,P327*Assumptions!$B$11,Assumptions!$B$28)</f>
        <v/>
      </c>
      <c r="X327">
        <f>P327*(Assumptions!$B$133+Assumptions!$B$137)</f>
        <v/>
      </c>
      <c r="Y327">
        <f>P327*Assumptions!$B$9</f>
        <v/>
      </c>
      <c r="Z327">
        <f>IF(M327=1,(P327-Assumptions!$B$37)*Assumptions!$B$153,0)</f>
        <v/>
      </c>
      <c r="AA327">
        <f>Q327+R327+S327+T327+U327+V327+W327+X327+Y327+Z327</f>
        <v/>
      </c>
      <c r="AB327" t="n">
        <v>20</v>
      </c>
      <c r="AC327" t="n">
        <v>84</v>
      </c>
      <c r="AD327" t="n">
        <v>52</v>
      </c>
      <c r="AE327" t="n">
        <v>4</v>
      </c>
      <c r="AF327" t="n">
        <v>28</v>
      </c>
      <c r="AG327" t="n">
        <v>16</v>
      </c>
      <c r="AH327" t="n">
        <v>22</v>
      </c>
      <c r="AI327" t="n">
        <v>21</v>
      </c>
      <c r="AJ327">
        <f>INDEX($Q$307:$Q$434,AC327+1)</f>
        <v/>
      </c>
      <c r="AK327">
        <f>INDEX($R$307:$R$434,AD327+1)</f>
        <v/>
      </c>
      <c r="AL327">
        <f>INDEX($S$307:$S$434,AE327+1)</f>
        <v/>
      </c>
      <c r="AM327">
        <f>INDEX($T$307:$T$434,AF327+1)</f>
        <v/>
      </c>
      <c r="AN327">
        <f>INDEX($U$307:$U$434,AG327+1)</f>
        <v/>
      </c>
      <c r="AO327">
        <f>INDEX($V$307:$V$434,AH327+1)</f>
        <v/>
      </c>
      <c r="AP327">
        <f>INDEX($W$307:$W$434,AI327+1)</f>
        <v/>
      </c>
      <c r="AQ327">
        <f>IF(Q327&gt;=AJ327-0.01,1,0)</f>
        <v/>
      </c>
      <c r="AR327">
        <f>IF(R327&gt;=AK327-0.01,1,0)</f>
        <v/>
      </c>
      <c r="AS327">
        <f>IF(S327&gt;=AL327-0.01,1,0)</f>
        <v/>
      </c>
      <c r="AT327">
        <f>IF(T327&gt;=AM327-0.01,1,0)</f>
        <v/>
      </c>
      <c r="AU327">
        <f>IF(U327&gt;=AN327-0.01,1,0)</f>
        <v/>
      </c>
      <c r="AV327">
        <f>IF(V327&gt;=AO327-0.01,1,0)</f>
        <v/>
      </c>
      <c r="AW327">
        <f>IF(W327&gt;=AP327-0.01,1,0)</f>
        <v/>
      </c>
      <c r="AX327">
        <f>AQ327*AR327*AS327*AT327*AU327*AV327*AW327</f>
        <v/>
      </c>
      <c r="AY327">
        <f>Assumptions!$B$41</f>
        <v/>
      </c>
      <c r="AZ327">
        <f>Assumptions!$B$33</f>
        <v/>
      </c>
      <c r="BA327">
        <f>Assumptions!$B$32</f>
        <v/>
      </c>
      <c r="BB327">
        <f>Assumptions!$B$31</f>
        <v/>
      </c>
      <c r="BC327">
        <f>Assumptions!$B$30</f>
        <v/>
      </c>
      <c r="BD327">
        <f>Assumptions!$B$29</f>
        <v/>
      </c>
      <c r="BE327">
        <f>Assumptions!$B$28</f>
        <v/>
      </c>
      <c r="BF327">
        <f>P327*Assumptions!$B$141</f>
        <v/>
      </c>
      <c r="BG327">
        <f>P327*Assumptions!$B$128</f>
        <v/>
      </c>
      <c r="BH327">
        <f>P327*Assumptions!$B$129</f>
        <v/>
      </c>
      <c r="BI327">
        <f>P327*Assumptions!$B$14</f>
        <v/>
      </c>
      <c r="BJ327">
        <f>P327*Assumptions!$B$13</f>
        <v/>
      </c>
      <c r="BK327">
        <f>P327*Assumptions!$B$12</f>
        <v/>
      </c>
      <c r="BL327">
        <f>P327*Assumptions!$B$11</f>
        <v/>
      </c>
    </row>
    <row r="328">
      <c r="A328" t="inlineStr">
        <is>
          <t>2000M</t>
        </is>
      </c>
      <c r="B328">
        <f>Assumptions!$B$60</f>
        <v/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>
        <f>(1-C328)*Assumptions!$B$41+(1-D328)*Assumptions!$B$33+(1-E328)*Assumptions!$B$32+(1-F328)*Assumptions!$B$31+(1-G328)*Assumptions!$B$30+(1-H328)*Assumptions!$B$29+(1-I328)*Assumptions!$B$28</f>
        <v/>
      </c>
      <c r="K328">
        <f>C328*Assumptions!$B$141+D328*Assumptions!$B$128+E328*Assumptions!$B$129+F328*Assumptions!$B$14+G328*Assumptions!$B$13+H328*Assumptions!$B$12+I328*Assumptions!$B$11+Assumptions!$B$133+Assumptions!$B$137+Assumptions!$B$9</f>
        <v/>
      </c>
      <c r="L328">
        <f>B328-J328</f>
        <v/>
      </c>
      <c r="M328">
        <f>IF(K328&gt;0,IF(L328/K328&gt;=Assumptions!$B$37,1,0),0)</f>
        <v/>
      </c>
      <c r="N328">
        <f>K328+M328*Assumptions!$B$153</f>
        <v/>
      </c>
      <c r="O328">
        <f>L328+M328*Assumptions!$B$153*Assumptions!$B$37</f>
        <v/>
      </c>
      <c r="P328">
        <f>IF(N328&gt;0,O328/N328,0)</f>
        <v/>
      </c>
      <c r="Q328">
        <f>IF(C328=1,P328*Assumptions!$B$141,Assumptions!$B$41)</f>
        <v/>
      </c>
      <c r="R328">
        <f>IF(D328=1,P328*Assumptions!$B$128,Assumptions!$B$33)</f>
        <v/>
      </c>
      <c r="S328">
        <f>IF(E328=1,P328*Assumptions!$B$129,Assumptions!$B$32)</f>
        <v/>
      </c>
      <c r="T328">
        <f>IF(F328=1,P328*Assumptions!$B$14,Assumptions!$B$31)</f>
        <v/>
      </c>
      <c r="U328">
        <f>IF(G328=1,P328*Assumptions!$B$13,Assumptions!$B$30)</f>
        <v/>
      </c>
      <c r="V328">
        <f>IF(H328=1,P328*Assumptions!$B$12,Assumptions!$B$29)</f>
        <v/>
      </c>
      <c r="W328">
        <f>IF(I328=1,P328*Assumptions!$B$11,Assumptions!$B$28)</f>
        <v/>
      </c>
      <c r="X328">
        <f>P328*(Assumptions!$B$133+Assumptions!$B$137)</f>
        <v/>
      </c>
      <c r="Y328">
        <f>P328*Assumptions!$B$9</f>
        <v/>
      </c>
      <c r="Z328">
        <f>IF(M328=1,(P328-Assumptions!$B$37)*Assumptions!$B$153,0)</f>
        <v/>
      </c>
      <c r="AA328">
        <f>Q328+R328+S328+T328+U328+V328+W328+X328+Y328+Z328</f>
        <v/>
      </c>
      <c r="AB328" t="n">
        <v>21</v>
      </c>
      <c r="AC328" t="n">
        <v>85</v>
      </c>
      <c r="AD328" t="n">
        <v>53</v>
      </c>
      <c r="AE328" t="n">
        <v>5</v>
      </c>
      <c r="AF328" t="n">
        <v>29</v>
      </c>
      <c r="AG328" t="n">
        <v>17</v>
      </c>
      <c r="AH328" t="n">
        <v>23</v>
      </c>
      <c r="AI328" t="n">
        <v>20</v>
      </c>
      <c r="AJ328">
        <f>INDEX($Q$307:$Q$434,AC328+1)</f>
        <v/>
      </c>
      <c r="AK328">
        <f>INDEX($R$307:$R$434,AD328+1)</f>
        <v/>
      </c>
      <c r="AL328">
        <f>INDEX($S$307:$S$434,AE328+1)</f>
        <v/>
      </c>
      <c r="AM328">
        <f>INDEX($T$307:$T$434,AF328+1)</f>
        <v/>
      </c>
      <c r="AN328">
        <f>INDEX($U$307:$U$434,AG328+1)</f>
        <v/>
      </c>
      <c r="AO328">
        <f>INDEX($V$307:$V$434,AH328+1)</f>
        <v/>
      </c>
      <c r="AP328">
        <f>INDEX($W$307:$W$434,AI328+1)</f>
        <v/>
      </c>
      <c r="AQ328">
        <f>IF(Q328&gt;=AJ328-0.01,1,0)</f>
        <v/>
      </c>
      <c r="AR328">
        <f>IF(R328&gt;=AK328-0.01,1,0)</f>
        <v/>
      </c>
      <c r="AS328">
        <f>IF(S328&gt;=AL328-0.01,1,0)</f>
        <v/>
      </c>
      <c r="AT328">
        <f>IF(T328&gt;=AM328-0.01,1,0)</f>
        <v/>
      </c>
      <c r="AU328">
        <f>IF(U328&gt;=AN328-0.01,1,0)</f>
        <v/>
      </c>
      <c r="AV328">
        <f>IF(V328&gt;=AO328-0.01,1,0)</f>
        <v/>
      </c>
      <c r="AW328">
        <f>IF(W328&gt;=AP328-0.01,1,0)</f>
        <v/>
      </c>
      <c r="AX328">
        <f>AQ328*AR328*AS328*AT328*AU328*AV328*AW328</f>
        <v/>
      </c>
      <c r="AY328">
        <f>Assumptions!$B$41</f>
        <v/>
      </c>
      <c r="AZ328">
        <f>Assumptions!$B$33</f>
        <v/>
      </c>
      <c r="BA328">
        <f>Assumptions!$B$32</f>
        <v/>
      </c>
      <c r="BB328">
        <f>Assumptions!$B$31</f>
        <v/>
      </c>
      <c r="BC328">
        <f>Assumptions!$B$30</f>
        <v/>
      </c>
      <c r="BD328">
        <f>Assumptions!$B$29</f>
        <v/>
      </c>
      <c r="BE328">
        <f>Assumptions!$B$28</f>
        <v/>
      </c>
      <c r="BF328">
        <f>P328*Assumptions!$B$141</f>
        <v/>
      </c>
      <c r="BG328">
        <f>P328*Assumptions!$B$128</f>
        <v/>
      </c>
      <c r="BH328">
        <f>P328*Assumptions!$B$129</f>
        <v/>
      </c>
      <c r="BI328">
        <f>P328*Assumptions!$B$14</f>
        <v/>
      </c>
      <c r="BJ328">
        <f>P328*Assumptions!$B$13</f>
        <v/>
      </c>
      <c r="BK328">
        <f>P328*Assumptions!$B$12</f>
        <v/>
      </c>
      <c r="BL328">
        <f>P328*Assumptions!$B$11</f>
        <v/>
      </c>
    </row>
    <row r="329">
      <c r="A329" t="inlineStr">
        <is>
          <t>2000M</t>
        </is>
      </c>
      <c r="B329">
        <f>Assumptions!$B$60</f>
        <v/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>
        <f>(1-C329)*Assumptions!$B$41+(1-D329)*Assumptions!$B$33+(1-E329)*Assumptions!$B$32+(1-F329)*Assumptions!$B$31+(1-G329)*Assumptions!$B$30+(1-H329)*Assumptions!$B$29+(1-I329)*Assumptions!$B$28</f>
        <v/>
      </c>
      <c r="K329">
        <f>C329*Assumptions!$B$141+D329*Assumptions!$B$128+E329*Assumptions!$B$129+F329*Assumptions!$B$14+G329*Assumptions!$B$13+H329*Assumptions!$B$12+I329*Assumptions!$B$11+Assumptions!$B$133+Assumptions!$B$137+Assumptions!$B$9</f>
        <v/>
      </c>
      <c r="L329">
        <f>B329-J329</f>
        <v/>
      </c>
      <c r="M329">
        <f>IF(K329&gt;0,IF(L329/K329&gt;=Assumptions!$B$37,1,0),0)</f>
        <v/>
      </c>
      <c r="N329">
        <f>K329+M329*Assumptions!$B$153</f>
        <v/>
      </c>
      <c r="O329">
        <f>L329+M329*Assumptions!$B$153*Assumptions!$B$37</f>
        <v/>
      </c>
      <c r="P329">
        <f>IF(N329&gt;0,O329/N329,0)</f>
        <v/>
      </c>
      <c r="Q329">
        <f>IF(C329=1,P329*Assumptions!$B$141,Assumptions!$B$41)</f>
        <v/>
      </c>
      <c r="R329">
        <f>IF(D329=1,P329*Assumptions!$B$128,Assumptions!$B$33)</f>
        <v/>
      </c>
      <c r="S329">
        <f>IF(E329=1,P329*Assumptions!$B$129,Assumptions!$B$32)</f>
        <v/>
      </c>
      <c r="T329">
        <f>IF(F329=1,P329*Assumptions!$B$14,Assumptions!$B$31)</f>
        <v/>
      </c>
      <c r="U329">
        <f>IF(G329=1,P329*Assumptions!$B$13,Assumptions!$B$30)</f>
        <v/>
      </c>
      <c r="V329">
        <f>IF(H329=1,P329*Assumptions!$B$12,Assumptions!$B$29)</f>
        <v/>
      </c>
      <c r="W329">
        <f>IF(I329=1,P329*Assumptions!$B$11,Assumptions!$B$28)</f>
        <v/>
      </c>
      <c r="X329">
        <f>P329*(Assumptions!$B$133+Assumptions!$B$137)</f>
        <v/>
      </c>
      <c r="Y329">
        <f>P329*Assumptions!$B$9</f>
        <v/>
      </c>
      <c r="Z329">
        <f>IF(M329=1,(P329-Assumptions!$B$37)*Assumptions!$B$153,0)</f>
        <v/>
      </c>
      <c r="AA329">
        <f>Q329+R329+S329+T329+U329+V329+W329+X329+Y329+Z329</f>
        <v/>
      </c>
      <c r="AB329" t="n">
        <v>22</v>
      </c>
      <c r="AC329" t="n">
        <v>86</v>
      </c>
      <c r="AD329" t="n">
        <v>54</v>
      </c>
      <c r="AE329" t="n">
        <v>6</v>
      </c>
      <c r="AF329" t="n">
        <v>30</v>
      </c>
      <c r="AG329" t="n">
        <v>18</v>
      </c>
      <c r="AH329" t="n">
        <v>20</v>
      </c>
      <c r="AI329" t="n">
        <v>23</v>
      </c>
      <c r="AJ329">
        <f>INDEX($Q$307:$Q$434,AC329+1)</f>
        <v/>
      </c>
      <c r="AK329">
        <f>INDEX($R$307:$R$434,AD329+1)</f>
        <v/>
      </c>
      <c r="AL329">
        <f>INDEX($S$307:$S$434,AE329+1)</f>
        <v/>
      </c>
      <c r="AM329">
        <f>INDEX($T$307:$T$434,AF329+1)</f>
        <v/>
      </c>
      <c r="AN329">
        <f>INDEX($U$307:$U$434,AG329+1)</f>
        <v/>
      </c>
      <c r="AO329">
        <f>INDEX($V$307:$V$434,AH329+1)</f>
        <v/>
      </c>
      <c r="AP329">
        <f>INDEX($W$307:$W$434,AI329+1)</f>
        <v/>
      </c>
      <c r="AQ329">
        <f>IF(Q329&gt;=AJ329-0.01,1,0)</f>
        <v/>
      </c>
      <c r="AR329">
        <f>IF(R329&gt;=AK329-0.01,1,0)</f>
        <v/>
      </c>
      <c r="AS329">
        <f>IF(S329&gt;=AL329-0.01,1,0)</f>
        <v/>
      </c>
      <c r="AT329">
        <f>IF(T329&gt;=AM329-0.01,1,0)</f>
        <v/>
      </c>
      <c r="AU329">
        <f>IF(U329&gt;=AN329-0.01,1,0)</f>
        <v/>
      </c>
      <c r="AV329">
        <f>IF(V329&gt;=AO329-0.01,1,0)</f>
        <v/>
      </c>
      <c r="AW329">
        <f>IF(W329&gt;=AP329-0.01,1,0)</f>
        <v/>
      </c>
      <c r="AX329">
        <f>AQ329*AR329*AS329*AT329*AU329*AV329*AW329</f>
        <v/>
      </c>
      <c r="AY329">
        <f>Assumptions!$B$41</f>
        <v/>
      </c>
      <c r="AZ329">
        <f>Assumptions!$B$33</f>
        <v/>
      </c>
      <c r="BA329">
        <f>Assumptions!$B$32</f>
        <v/>
      </c>
      <c r="BB329">
        <f>Assumptions!$B$31</f>
        <v/>
      </c>
      <c r="BC329">
        <f>Assumptions!$B$30</f>
        <v/>
      </c>
      <c r="BD329">
        <f>Assumptions!$B$29</f>
        <v/>
      </c>
      <c r="BE329">
        <f>Assumptions!$B$28</f>
        <v/>
      </c>
      <c r="BF329">
        <f>P329*Assumptions!$B$141</f>
        <v/>
      </c>
      <c r="BG329">
        <f>P329*Assumptions!$B$128</f>
        <v/>
      </c>
      <c r="BH329">
        <f>P329*Assumptions!$B$129</f>
        <v/>
      </c>
      <c r="BI329">
        <f>P329*Assumptions!$B$14</f>
        <v/>
      </c>
      <c r="BJ329">
        <f>P329*Assumptions!$B$13</f>
        <v/>
      </c>
      <c r="BK329">
        <f>P329*Assumptions!$B$12</f>
        <v/>
      </c>
      <c r="BL329">
        <f>P329*Assumptions!$B$11</f>
        <v/>
      </c>
    </row>
    <row r="330">
      <c r="A330" t="inlineStr">
        <is>
          <t>2000M</t>
        </is>
      </c>
      <c r="B330">
        <f>Assumptions!$B$60</f>
        <v/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>
        <f>(1-C330)*Assumptions!$B$41+(1-D330)*Assumptions!$B$33+(1-E330)*Assumptions!$B$32+(1-F330)*Assumptions!$B$31+(1-G330)*Assumptions!$B$30+(1-H330)*Assumptions!$B$29+(1-I330)*Assumptions!$B$28</f>
        <v/>
      </c>
      <c r="K330">
        <f>C330*Assumptions!$B$141+D330*Assumptions!$B$128+E330*Assumptions!$B$129+F330*Assumptions!$B$14+G330*Assumptions!$B$13+H330*Assumptions!$B$12+I330*Assumptions!$B$11+Assumptions!$B$133+Assumptions!$B$137+Assumptions!$B$9</f>
        <v/>
      </c>
      <c r="L330">
        <f>B330-J330</f>
        <v/>
      </c>
      <c r="M330">
        <f>IF(K330&gt;0,IF(L330/K330&gt;=Assumptions!$B$37,1,0),0)</f>
        <v/>
      </c>
      <c r="N330">
        <f>K330+M330*Assumptions!$B$153</f>
        <v/>
      </c>
      <c r="O330">
        <f>L330+M330*Assumptions!$B$153*Assumptions!$B$37</f>
        <v/>
      </c>
      <c r="P330">
        <f>IF(N330&gt;0,O330/N330,0)</f>
        <v/>
      </c>
      <c r="Q330">
        <f>IF(C330=1,P330*Assumptions!$B$141,Assumptions!$B$41)</f>
        <v/>
      </c>
      <c r="R330">
        <f>IF(D330=1,P330*Assumptions!$B$128,Assumptions!$B$33)</f>
        <v/>
      </c>
      <c r="S330">
        <f>IF(E330=1,P330*Assumptions!$B$129,Assumptions!$B$32)</f>
        <v/>
      </c>
      <c r="T330">
        <f>IF(F330=1,P330*Assumptions!$B$14,Assumptions!$B$31)</f>
        <v/>
      </c>
      <c r="U330">
        <f>IF(G330=1,P330*Assumptions!$B$13,Assumptions!$B$30)</f>
        <v/>
      </c>
      <c r="V330">
        <f>IF(H330=1,P330*Assumptions!$B$12,Assumptions!$B$29)</f>
        <v/>
      </c>
      <c r="W330">
        <f>IF(I330=1,P330*Assumptions!$B$11,Assumptions!$B$28)</f>
        <v/>
      </c>
      <c r="X330">
        <f>P330*(Assumptions!$B$133+Assumptions!$B$137)</f>
        <v/>
      </c>
      <c r="Y330">
        <f>P330*Assumptions!$B$9</f>
        <v/>
      </c>
      <c r="Z330">
        <f>IF(M330=1,(P330-Assumptions!$B$37)*Assumptions!$B$153,0)</f>
        <v/>
      </c>
      <c r="AA330">
        <f>Q330+R330+S330+T330+U330+V330+W330+X330+Y330+Z330</f>
        <v/>
      </c>
      <c r="AB330" t="n">
        <v>23</v>
      </c>
      <c r="AC330" t="n">
        <v>87</v>
      </c>
      <c r="AD330" t="n">
        <v>55</v>
      </c>
      <c r="AE330" t="n">
        <v>7</v>
      </c>
      <c r="AF330" t="n">
        <v>31</v>
      </c>
      <c r="AG330" t="n">
        <v>19</v>
      </c>
      <c r="AH330" t="n">
        <v>21</v>
      </c>
      <c r="AI330" t="n">
        <v>22</v>
      </c>
      <c r="AJ330">
        <f>INDEX($Q$307:$Q$434,AC330+1)</f>
        <v/>
      </c>
      <c r="AK330">
        <f>INDEX($R$307:$R$434,AD330+1)</f>
        <v/>
      </c>
      <c r="AL330">
        <f>INDEX($S$307:$S$434,AE330+1)</f>
        <v/>
      </c>
      <c r="AM330">
        <f>INDEX($T$307:$T$434,AF330+1)</f>
        <v/>
      </c>
      <c r="AN330">
        <f>INDEX($U$307:$U$434,AG330+1)</f>
        <v/>
      </c>
      <c r="AO330">
        <f>INDEX($V$307:$V$434,AH330+1)</f>
        <v/>
      </c>
      <c r="AP330">
        <f>INDEX($W$307:$W$434,AI330+1)</f>
        <v/>
      </c>
      <c r="AQ330">
        <f>IF(Q330&gt;=AJ330-0.01,1,0)</f>
        <v/>
      </c>
      <c r="AR330">
        <f>IF(R330&gt;=AK330-0.01,1,0)</f>
        <v/>
      </c>
      <c r="AS330">
        <f>IF(S330&gt;=AL330-0.01,1,0)</f>
        <v/>
      </c>
      <c r="AT330">
        <f>IF(T330&gt;=AM330-0.01,1,0)</f>
        <v/>
      </c>
      <c r="AU330">
        <f>IF(U330&gt;=AN330-0.01,1,0)</f>
        <v/>
      </c>
      <c r="AV330">
        <f>IF(V330&gt;=AO330-0.01,1,0)</f>
        <v/>
      </c>
      <c r="AW330">
        <f>IF(W330&gt;=AP330-0.01,1,0)</f>
        <v/>
      </c>
      <c r="AX330">
        <f>AQ330*AR330*AS330*AT330*AU330*AV330*AW330</f>
        <v/>
      </c>
      <c r="AY330">
        <f>Assumptions!$B$41</f>
        <v/>
      </c>
      <c r="AZ330">
        <f>Assumptions!$B$33</f>
        <v/>
      </c>
      <c r="BA330">
        <f>Assumptions!$B$32</f>
        <v/>
      </c>
      <c r="BB330">
        <f>Assumptions!$B$31</f>
        <v/>
      </c>
      <c r="BC330">
        <f>Assumptions!$B$30</f>
        <v/>
      </c>
      <c r="BD330">
        <f>Assumptions!$B$29</f>
        <v/>
      </c>
      <c r="BE330">
        <f>Assumptions!$B$28</f>
        <v/>
      </c>
      <c r="BF330">
        <f>P330*Assumptions!$B$141</f>
        <v/>
      </c>
      <c r="BG330">
        <f>P330*Assumptions!$B$128</f>
        <v/>
      </c>
      <c r="BH330">
        <f>P330*Assumptions!$B$129</f>
        <v/>
      </c>
      <c r="BI330">
        <f>P330*Assumptions!$B$14</f>
        <v/>
      </c>
      <c r="BJ330">
        <f>P330*Assumptions!$B$13</f>
        <v/>
      </c>
      <c r="BK330">
        <f>P330*Assumptions!$B$12</f>
        <v/>
      </c>
      <c r="BL330">
        <f>P330*Assumptions!$B$11</f>
        <v/>
      </c>
    </row>
    <row r="331">
      <c r="A331" t="inlineStr">
        <is>
          <t>2000M</t>
        </is>
      </c>
      <c r="B331">
        <f>Assumptions!$B$60</f>
        <v/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>
        <f>(1-C331)*Assumptions!$B$41+(1-D331)*Assumptions!$B$33+(1-E331)*Assumptions!$B$32+(1-F331)*Assumptions!$B$31+(1-G331)*Assumptions!$B$30+(1-H331)*Assumptions!$B$29+(1-I331)*Assumptions!$B$28</f>
        <v/>
      </c>
      <c r="K331">
        <f>C331*Assumptions!$B$141+D331*Assumptions!$B$128+E331*Assumptions!$B$129+F331*Assumptions!$B$14+G331*Assumptions!$B$13+H331*Assumptions!$B$12+I331*Assumptions!$B$11+Assumptions!$B$133+Assumptions!$B$137+Assumptions!$B$9</f>
        <v/>
      </c>
      <c r="L331">
        <f>B331-J331</f>
        <v/>
      </c>
      <c r="M331">
        <f>IF(K331&gt;0,IF(L331/K331&gt;=Assumptions!$B$37,1,0),0)</f>
        <v/>
      </c>
      <c r="N331">
        <f>K331+M331*Assumptions!$B$153</f>
        <v/>
      </c>
      <c r="O331">
        <f>L331+M331*Assumptions!$B$153*Assumptions!$B$37</f>
        <v/>
      </c>
      <c r="P331">
        <f>IF(N331&gt;0,O331/N331,0)</f>
        <v/>
      </c>
      <c r="Q331">
        <f>IF(C331=1,P331*Assumptions!$B$141,Assumptions!$B$41)</f>
        <v/>
      </c>
      <c r="R331">
        <f>IF(D331=1,P331*Assumptions!$B$128,Assumptions!$B$33)</f>
        <v/>
      </c>
      <c r="S331">
        <f>IF(E331=1,P331*Assumptions!$B$129,Assumptions!$B$32)</f>
        <v/>
      </c>
      <c r="T331">
        <f>IF(F331=1,P331*Assumptions!$B$14,Assumptions!$B$31)</f>
        <v/>
      </c>
      <c r="U331">
        <f>IF(G331=1,P331*Assumptions!$B$13,Assumptions!$B$30)</f>
        <v/>
      </c>
      <c r="V331">
        <f>IF(H331=1,P331*Assumptions!$B$12,Assumptions!$B$29)</f>
        <v/>
      </c>
      <c r="W331">
        <f>IF(I331=1,P331*Assumptions!$B$11,Assumptions!$B$28)</f>
        <v/>
      </c>
      <c r="X331">
        <f>P331*(Assumptions!$B$133+Assumptions!$B$137)</f>
        <v/>
      </c>
      <c r="Y331">
        <f>P331*Assumptions!$B$9</f>
        <v/>
      </c>
      <c r="Z331">
        <f>IF(M331=1,(P331-Assumptions!$B$37)*Assumptions!$B$153,0)</f>
        <v/>
      </c>
      <c r="AA331">
        <f>Q331+R331+S331+T331+U331+V331+W331+X331+Y331+Z331</f>
        <v/>
      </c>
      <c r="AB331" t="n">
        <v>24</v>
      </c>
      <c r="AC331" t="n">
        <v>88</v>
      </c>
      <c r="AD331" t="n">
        <v>56</v>
      </c>
      <c r="AE331" t="n">
        <v>8</v>
      </c>
      <c r="AF331" t="n">
        <v>16</v>
      </c>
      <c r="AG331" t="n">
        <v>28</v>
      </c>
      <c r="AH331" t="n">
        <v>26</v>
      </c>
      <c r="AI331" t="n">
        <v>25</v>
      </c>
      <c r="AJ331">
        <f>INDEX($Q$307:$Q$434,AC331+1)</f>
        <v/>
      </c>
      <c r="AK331">
        <f>INDEX($R$307:$R$434,AD331+1)</f>
        <v/>
      </c>
      <c r="AL331">
        <f>INDEX($S$307:$S$434,AE331+1)</f>
        <v/>
      </c>
      <c r="AM331">
        <f>INDEX($T$307:$T$434,AF331+1)</f>
        <v/>
      </c>
      <c r="AN331">
        <f>INDEX($U$307:$U$434,AG331+1)</f>
        <v/>
      </c>
      <c r="AO331">
        <f>INDEX($V$307:$V$434,AH331+1)</f>
        <v/>
      </c>
      <c r="AP331">
        <f>INDEX($W$307:$W$434,AI331+1)</f>
        <v/>
      </c>
      <c r="AQ331">
        <f>IF(Q331&gt;=AJ331-0.01,1,0)</f>
        <v/>
      </c>
      <c r="AR331">
        <f>IF(R331&gt;=AK331-0.01,1,0)</f>
        <v/>
      </c>
      <c r="AS331">
        <f>IF(S331&gt;=AL331-0.01,1,0)</f>
        <v/>
      </c>
      <c r="AT331">
        <f>IF(T331&gt;=AM331-0.01,1,0)</f>
        <v/>
      </c>
      <c r="AU331">
        <f>IF(U331&gt;=AN331-0.01,1,0)</f>
        <v/>
      </c>
      <c r="AV331">
        <f>IF(V331&gt;=AO331-0.01,1,0)</f>
        <v/>
      </c>
      <c r="AW331">
        <f>IF(W331&gt;=AP331-0.01,1,0)</f>
        <v/>
      </c>
      <c r="AX331">
        <f>AQ331*AR331*AS331*AT331*AU331*AV331*AW331</f>
        <v/>
      </c>
      <c r="AY331">
        <f>Assumptions!$B$41</f>
        <v/>
      </c>
      <c r="AZ331">
        <f>Assumptions!$B$33</f>
        <v/>
      </c>
      <c r="BA331">
        <f>Assumptions!$B$32</f>
        <v/>
      </c>
      <c r="BB331">
        <f>Assumptions!$B$31</f>
        <v/>
      </c>
      <c r="BC331">
        <f>Assumptions!$B$30</f>
        <v/>
      </c>
      <c r="BD331">
        <f>Assumptions!$B$29</f>
        <v/>
      </c>
      <c r="BE331">
        <f>Assumptions!$B$28</f>
        <v/>
      </c>
      <c r="BF331">
        <f>P331*Assumptions!$B$141</f>
        <v/>
      </c>
      <c r="BG331">
        <f>P331*Assumptions!$B$128</f>
        <v/>
      </c>
      <c r="BH331">
        <f>P331*Assumptions!$B$129</f>
        <v/>
      </c>
      <c r="BI331">
        <f>P331*Assumptions!$B$14</f>
        <v/>
      </c>
      <c r="BJ331">
        <f>P331*Assumptions!$B$13</f>
        <v/>
      </c>
      <c r="BK331">
        <f>P331*Assumptions!$B$12</f>
        <v/>
      </c>
      <c r="BL331">
        <f>P331*Assumptions!$B$11</f>
        <v/>
      </c>
    </row>
    <row r="332">
      <c r="A332" t="inlineStr">
        <is>
          <t>2000M</t>
        </is>
      </c>
      <c r="B332">
        <f>Assumptions!$B$60</f>
        <v/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>
        <f>(1-C332)*Assumptions!$B$41+(1-D332)*Assumptions!$B$33+(1-E332)*Assumptions!$B$32+(1-F332)*Assumptions!$B$31+(1-G332)*Assumptions!$B$30+(1-H332)*Assumptions!$B$29+(1-I332)*Assumptions!$B$28</f>
        <v/>
      </c>
      <c r="K332">
        <f>C332*Assumptions!$B$141+D332*Assumptions!$B$128+E332*Assumptions!$B$129+F332*Assumptions!$B$14+G332*Assumptions!$B$13+H332*Assumptions!$B$12+I332*Assumptions!$B$11+Assumptions!$B$133+Assumptions!$B$137+Assumptions!$B$9</f>
        <v/>
      </c>
      <c r="L332">
        <f>B332-J332</f>
        <v/>
      </c>
      <c r="M332">
        <f>IF(K332&gt;0,IF(L332/K332&gt;=Assumptions!$B$37,1,0),0)</f>
        <v/>
      </c>
      <c r="N332">
        <f>K332+M332*Assumptions!$B$153</f>
        <v/>
      </c>
      <c r="O332">
        <f>L332+M332*Assumptions!$B$153*Assumptions!$B$37</f>
        <v/>
      </c>
      <c r="P332">
        <f>IF(N332&gt;0,O332/N332,0)</f>
        <v/>
      </c>
      <c r="Q332">
        <f>IF(C332=1,P332*Assumptions!$B$141,Assumptions!$B$41)</f>
        <v/>
      </c>
      <c r="R332">
        <f>IF(D332=1,P332*Assumptions!$B$128,Assumptions!$B$33)</f>
        <v/>
      </c>
      <c r="S332">
        <f>IF(E332=1,P332*Assumptions!$B$129,Assumptions!$B$32)</f>
        <v/>
      </c>
      <c r="T332">
        <f>IF(F332=1,P332*Assumptions!$B$14,Assumptions!$B$31)</f>
        <v/>
      </c>
      <c r="U332">
        <f>IF(G332=1,P332*Assumptions!$B$13,Assumptions!$B$30)</f>
        <v/>
      </c>
      <c r="V332">
        <f>IF(H332=1,P332*Assumptions!$B$12,Assumptions!$B$29)</f>
        <v/>
      </c>
      <c r="W332">
        <f>IF(I332=1,P332*Assumptions!$B$11,Assumptions!$B$28)</f>
        <v/>
      </c>
      <c r="X332">
        <f>P332*(Assumptions!$B$133+Assumptions!$B$137)</f>
        <v/>
      </c>
      <c r="Y332">
        <f>P332*Assumptions!$B$9</f>
        <v/>
      </c>
      <c r="Z332">
        <f>IF(M332=1,(P332-Assumptions!$B$37)*Assumptions!$B$153,0)</f>
        <v/>
      </c>
      <c r="AA332">
        <f>Q332+R332+S332+T332+U332+V332+W332+X332+Y332+Z332</f>
        <v/>
      </c>
      <c r="AB332" t="n">
        <v>25</v>
      </c>
      <c r="AC332" t="n">
        <v>89</v>
      </c>
      <c r="AD332" t="n">
        <v>57</v>
      </c>
      <c r="AE332" t="n">
        <v>9</v>
      </c>
      <c r="AF332" t="n">
        <v>17</v>
      </c>
      <c r="AG332" t="n">
        <v>29</v>
      </c>
      <c r="AH332" t="n">
        <v>27</v>
      </c>
      <c r="AI332" t="n">
        <v>24</v>
      </c>
      <c r="AJ332">
        <f>INDEX($Q$307:$Q$434,AC332+1)</f>
        <v/>
      </c>
      <c r="AK332">
        <f>INDEX($R$307:$R$434,AD332+1)</f>
        <v/>
      </c>
      <c r="AL332">
        <f>INDEX($S$307:$S$434,AE332+1)</f>
        <v/>
      </c>
      <c r="AM332">
        <f>INDEX($T$307:$T$434,AF332+1)</f>
        <v/>
      </c>
      <c r="AN332">
        <f>INDEX($U$307:$U$434,AG332+1)</f>
        <v/>
      </c>
      <c r="AO332">
        <f>INDEX($V$307:$V$434,AH332+1)</f>
        <v/>
      </c>
      <c r="AP332">
        <f>INDEX($W$307:$W$434,AI332+1)</f>
        <v/>
      </c>
      <c r="AQ332">
        <f>IF(Q332&gt;=AJ332-0.01,1,0)</f>
        <v/>
      </c>
      <c r="AR332">
        <f>IF(R332&gt;=AK332-0.01,1,0)</f>
        <v/>
      </c>
      <c r="AS332">
        <f>IF(S332&gt;=AL332-0.01,1,0)</f>
        <v/>
      </c>
      <c r="AT332">
        <f>IF(T332&gt;=AM332-0.01,1,0)</f>
        <v/>
      </c>
      <c r="AU332">
        <f>IF(U332&gt;=AN332-0.01,1,0)</f>
        <v/>
      </c>
      <c r="AV332">
        <f>IF(V332&gt;=AO332-0.01,1,0)</f>
        <v/>
      </c>
      <c r="AW332">
        <f>IF(W332&gt;=AP332-0.01,1,0)</f>
        <v/>
      </c>
      <c r="AX332">
        <f>AQ332*AR332*AS332*AT332*AU332*AV332*AW332</f>
        <v/>
      </c>
      <c r="AY332">
        <f>Assumptions!$B$41</f>
        <v/>
      </c>
      <c r="AZ332">
        <f>Assumptions!$B$33</f>
        <v/>
      </c>
      <c r="BA332">
        <f>Assumptions!$B$32</f>
        <v/>
      </c>
      <c r="BB332">
        <f>Assumptions!$B$31</f>
        <v/>
      </c>
      <c r="BC332">
        <f>Assumptions!$B$30</f>
        <v/>
      </c>
      <c r="BD332">
        <f>Assumptions!$B$29</f>
        <v/>
      </c>
      <c r="BE332">
        <f>Assumptions!$B$28</f>
        <v/>
      </c>
      <c r="BF332">
        <f>P332*Assumptions!$B$141</f>
        <v/>
      </c>
      <c r="BG332">
        <f>P332*Assumptions!$B$128</f>
        <v/>
      </c>
      <c r="BH332">
        <f>P332*Assumptions!$B$129</f>
        <v/>
      </c>
      <c r="BI332">
        <f>P332*Assumptions!$B$14</f>
        <v/>
      </c>
      <c r="BJ332">
        <f>P332*Assumptions!$B$13</f>
        <v/>
      </c>
      <c r="BK332">
        <f>P332*Assumptions!$B$12</f>
        <v/>
      </c>
      <c r="BL332">
        <f>P332*Assumptions!$B$11</f>
        <v/>
      </c>
    </row>
    <row r="333">
      <c r="A333" t="inlineStr">
        <is>
          <t>2000M</t>
        </is>
      </c>
      <c r="B333">
        <f>Assumptions!$B$60</f>
        <v/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>
        <f>(1-C333)*Assumptions!$B$41+(1-D333)*Assumptions!$B$33+(1-E333)*Assumptions!$B$32+(1-F333)*Assumptions!$B$31+(1-G333)*Assumptions!$B$30+(1-H333)*Assumptions!$B$29+(1-I333)*Assumptions!$B$28</f>
        <v/>
      </c>
      <c r="K333">
        <f>C333*Assumptions!$B$141+D333*Assumptions!$B$128+E333*Assumptions!$B$129+F333*Assumptions!$B$14+G333*Assumptions!$B$13+H333*Assumptions!$B$12+I333*Assumptions!$B$11+Assumptions!$B$133+Assumptions!$B$137+Assumptions!$B$9</f>
        <v/>
      </c>
      <c r="L333">
        <f>B333-J333</f>
        <v/>
      </c>
      <c r="M333">
        <f>IF(K333&gt;0,IF(L333/K333&gt;=Assumptions!$B$37,1,0),0)</f>
        <v/>
      </c>
      <c r="N333">
        <f>K333+M333*Assumptions!$B$153</f>
        <v/>
      </c>
      <c r="O333">
        <f>L333+M333*Assumptions!$B$153*Assumptions!$B$37</f>
        <v/>
      </c>
      <c r="P333">
        <f>IF(N333&gt;0,O333/N333,0)</f>
        <v/>
      </c>
      <c r="Q333">
        <f>IF(C333=1,P333*Assumptions!$B$141,Assumptions!$B$41)</f>
        <v/>
      </c>
      <c r="R333">
        <f>IF(D333=1,P333*Assumptions!$B$128,Assumptions!$B$33)</f>
        <v/>
      </c>
      <c r="S333">
        <f>IF(E333=1,P333*Assumptions!$B$129,Assumptions!$B$32)</f>
        <v/>
      </c>
      <c r="T333">
        <f>IF(F333=1,P333*Assumptions!$B$14,Assumptions!$B$31)</f>
        <v/>
      </c>
      <c r="U333">
        <f>IF(G333=1,P333*Assumptions!$B$13,Assumptions!$B$30)</f>
        <v/>
      </c>
      <c r="V333">
        <f>IF(H333=1,P333*Assumptions!$B$12,Assumptions!$B$29)</f>
        <v/>
      </c>
      <c r="W333">
        <f>IF(I333=1,P333*Assumptions!$B$11,Assumptions!$B$28)</f>
        <v/>
      </c>
      <c r="X333">
        <f>P333*(Assumptions!$B$133+Assumptions!$B$137)</f>
        <v/>
      </c>
      <c r="Y333">
        <f>P333*Assumptions!$B$9</f>
        <v/>
      </c>
      <c r="Z333">
        <f>IF(M333=1,(P333-Assumptions!$B$37)*Assumptions!$B$153,0)</f>
        <v/>
      </c>
      <c r="AA333">
        <f>Q333+R333+S333+T333+U333+V333+W333+X333+Y333+Z333</f>
        <v/>
      </c>
      <c r="AB333" t="n">
        <v>26</v>
      </c>
      <c r="AC333" t="n">
        <v>90</v>
      </c>
      <c r="AD333" t="n">
        <v>58</v>
      </c>
      <c r="AE333" t="n">
        <v>10</v>
      </c>
      <c r="AF333" t="n">
        <v>18</v>
      </c>
      <c r="AG333" t="n">
        <v>30</v>
      </c>
      <c r="AH333" t="n">
        <v>24</v>
      </c>
      <c r="AI333" t="n">
        <v>27</v>
      </c>
      <c r="AJ333">
        <f>INDEX($Q$307:$Q$434,AC333+1)</f>
        <v/>
      </c>
      <c r="AK333">
        <f>INDEX($R$307:$R$434,AD333+1)</f>
        <v/>
      </c>
      <c r="AL333">
        <f>INDEX($S$307:$S$434,AE333+1)</f>
        <v/>
      </c>
      <c r="AM333">
        <f>INDEX($T$307:$T$434,AF333+1)</f>
        <v/>
      </c>
      <c r="AN333">
        <f>INDEX($U$307:$U$434,AG333+1)</f>
        <v/>
      </c>
      <c r="AO333">
        <f>INDEX($V$307:$V$434,AH333+1)</f>
        <v/>
      </c>
      <c r="AP333">
        <f>INDEX($W$307:$W$434,AI333+1)</f>
        <v/>
      </c>
      <c r="AQ333">
        <f>IF(Q333&gt;=AJ333-0.01,1,0)</f>
        <v/>
      </c>
      <c r="AR333">
        <f>IF(R333&gt;=AK333-0.01,1,0)</f>
        <v/>
      </c>
      <c r="AS333">
        <f>IF(S333&gt;=AL333-0.01,1,0)</f>
        <v/>
      </c>
      <c r="AT333">
        <f>IF(T333&gt;=AM333-0.01,1,0)</f>
        <v/>
      </c>
      <c r="AU333">
        <f>IF(U333&gt;=AN333-0.01,1,0)</f>
        <v/>
      </c>
      <c r="AV333">
        <f>IF(V333&gt;=AO333-0.01,1,0)</f>
        <v/>
      </c>
      <c r="AW333">
        <f>IF(W333&gt;=AP333-0.01,1,0)</f>
        <v/>
      </c>
      <c r="AX333">
        <f>AQ333*AR333*AS333*AT333*AU333*AV333*AW333</f>
        <v/>
      </c>
      <c r="AY333">
        <f>Assumptions!$B$41</f>
        <v/>
      </c>
      <c r="AZ333">
        <f>Assumptions!$B$33</f>
        <v/>
      </c>
      <c r="BA333">
        <f>Assumptions!$B$32</f>
        <v/>
      </c>
      <c r="BB333">
        <f>Assumptions!$B$31</f>
        <v/>
      </c>
      <c r="BC333">
        <f>Assumptions!$B$30</f>
        <v/>
      </c>
      <c r="BD333">
        <f>Assumptions!$B$29</f>
        <v/>
      </c>
      <c r="BE333">
        <f>Assumptions!$B$28</f>
        <v/>
      </c>
      <c r="BF333">
        <f>P333*Assumptions!$B$141</f>
        <v/>
      </c>
      <c r="BG333">
        <f>P333*Assumptions!$B$128</f>
        <v/>
      </c>
      <c r="BH333">
        <f>P333*Assumptions!$B$129</f>
        <v/>
      </c>
      <c r="BI333">
        <f>P333*Assumptions!$B$14</f>
        <v/>
      </c>
      <c r="BJ333">
        <f>P333*Assumptions!$B$13</f>
        <v/>
      </c>
      <c r="BK333">
        <f>P333*Assumptions!$B$12</f>
        <v/>
      </c>
      <c r="BL333">
        <f>P333*Assumptions!$B$11</f>
        <v/>
      </c>
    </row>
    <row r="334">
      <c r="A334" t="inlineStr">
        <is>
          <t>2000M</t>
        </is>
      </c>
      <c r="B334">
        <f>Assumptions!$B$60</f>
        <v/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>
        <f>(1-C334)*Assumptions!$B$41+(1-D334)*Assumptions!$B$33+(1-E334)*Assumptions!$B$32+(1-F334)*Assumptions!$B$31+(1-G334)*Assumptions!$B$30+(1-H334)*Assumptions!$B$29+(1-I334)*Assumptions!$B$28</f>
        <v/>
      </c>
      <c r="K334">
        <f>C334*Assumptions!$B$141+D334*Assumptions!$B$128+E334*Assumptions!$B$129+F334*Assumptions!$B$14+G334*Assumptions!$B$13+H334*Assumptions!$B$12+I334*Assumptions!$B$11+Assumptions!$B$133+Assumptions!$B$137+Assumptions!$B$9</f>
        <v/>
      </c>
      <c r="L334">
        <f>B334-J334</f>
        <v/>
      </c>
      <c r="M334">
        <f>IF(K334&gt;0,IF(L334/K334&gt;=Assumptions!$B$37,1,0),0)</f>
        <v/>
      </c>
      <c r="N334">
        <f>K334+M334*Assumptions!$B$153</f>
        <v/>
      </c>
      <c r="O334">
        <f>L334+M334*Assumptions!$B$153*Assumptions!$B$37</f>
        <v/>
      </c>
      <c r="P334">
        <f>IF(N334&gt;0,O334/N334,0)</f>
        <v/>
      </c>
      <c r="Q334">
        <f>IF(C334=1,P334*Assumptions!$B$141,Assumptions!$B$41)</f>
        <v/>
      </c>
      <c r="R334">
        <f>IF(D334=1,P334*Assumptions!$B$128,Assumptions!$B$33)</f>
        <v/>
      </c>
      <c r="S334">
        <f>IF(E334=1,P334*Assumptions!$B$129,Assumptions!$B$32)</f>
        <v/>
      </c>
      <c r="T334">
        <f>IF(F334=1,P334*Assumptions!$B$14,Assumptions!$B$31)</f>
        <v/>
      </c>
      <c r="U334">
        <f>IF(G334=1,P334*Assumptions!$B$13,Assumptions!$B$30)</f>
        <v/>
      </c>
      <c r="V334">
        <f>IF(H334=1,P334*Assumptions!$B$12,Assumptions!$B$29)</f>
        <v/>
      </c>
      <c r="W334">
        <f>IF(I334=1,P334*Assumptions!$B$11,Assumptions!$B$28)</f>
        <v/>
      </c>
      <c r="X334">
        <f>P334*(Assumptions!$B$133+Assumptions!$B$137)</f>
        <v/>
      </c>
      <c r="Y334">
        <f>P334*Assumptions!$B$9</f>
        <v/>
      </c>
      <c r="Z334">
        <f>IF(M334=1,(P334-Assumptions!$B$37)*Assumptions!$B$153,0)</f>
        <v/>
      </c>
      <c r="AA334">
        <f>Q334+R334+S334+T334+U334+V334+W334+X334+Y334+Z334</f>
        <v/>
      </c>
      <c r="AB334" t="n">
        <v>27</v>
      </c>
      <c r="AC334" t="n">
        <v>91</v>
      </c>
      <c r="AD334" t="n">
        <v>59</v>
      </c>
      <c r="AE334" t="n">
        <v>11</v>
      </c>
      <c r="AF334" t="n">
        <v>19</v>
      </c>
      <c r="AG334" t="n">
        <v>31</v>
      </c>
      <c r="AH334" t="n">
        <v>25</v>
      </c>
      <c r="AI334" t="n">
        <v>26</v>
      </c>
      <c r="AJ334">
        <f>INDEX($Q$307:$Q$434,AC334+1)</f>
        <v/>
      </c>
      <c r="AK334">
        <f>INDEX($R$307:$R$434,AD334+1)</f>
        <v/>
      </c>
      <c r="AL334">
        <f>INDEX($S$307:$S$434,AE334+1)</f>
        <v/>
      </c>
      <c r="AM334">
        <f>INDEX($T$307:$T$434,AF334+1)</f>
        <v/>
      </c>
      <c r="AN334">
        <f>INDEX($U$307:$U$434,AG334+1)</f>
        <v/>
      </c>
      <c r="AO334">
        <f>INDEX($V$307:$V$434,AH334+1)</f>
        <v/>
      </c>
      <c r="AP334">
        <f>INDEX($W$307:$W$434,AI334+1)</f>
        <v/>
      </c>
      <c r="AQ334">
        <f>IF(Q334&gt;=AJ334-0.01,1,0)</f>
        <v/>
      </c>
      <c r="AR334">
        <f>IF(R334&gt;=AK334-0.01,1,0)</f>
        <v/>
      </c>
      <c r="AS334">
        <f>IF(S334&gt;=AL334-0.01,1,0)</f>
        <v/>
      </c>
      <c r="AT334">
        <f>IF(T334&gt;=AM334-0.01,1,0)</f>
        <v/>
      </c>
      <c r="AU334">
        <f>IF(U334&gt;=AN334-0.01,1,0)</f>
        <v/>
      </c>
      <c r="AV334">
        <f>IF(V334&gt;=AO334-0.01,1,0)</f>
        <v/>
      </c>
      <c r="AW334">
        <f>IF(W334&gt;=AP334-0.01,1,0)</f>
        <v/>
      </c>
      <c r="AX334">
        <f>AQ334*AR334*AS334*AT334*AU334*AV334*AW334</f>
        <v/>
      </c>
      <c r="AY334">
        <f>Assumptions!$B$41</f>
        <v/>
      </c>
      <c r="AZ334">
        <f>Assumptions!$B$33</f>
        <v/>
      </c>
      <c r="BA334">
        <f>Assumptions!$B$32</f>
        <v/>
      </c>
      <c r="BB334">
        <f>Assumptions!$B$31</f>
        <v/>
      </c>
      <c r="BC334">
        <f>Assumptions!$B$30</f>
        <v/>
      </c>
      <c r="BD334">
        <f>Assumptions!$B$29</f>
        <v/>
      </c>
      <c r="BE334">
        <f>Assumptions!$B$28</f>
        <v/>
      </c>
      <c r="BF334">
        <f>P334*Assumptions!$B$141</f>
        <v/>
      </c>
      <c r="BG334">
        <f>P334*Assumptions!$B$128</f>
        <v/>
      </c>
      <c r="BH334">
        <f>P334*Assumptions!$B$129</f>
        <v/>
      </c>
      <c r="BI334">
        <f>P334*Assumptions!$B$14</f>
        <v/>
      </c>
      <c r="BJ334">
        <f>P334*Assumptions!$B$13</f>
        <v/>
      </c>
      <c r="BK334">
        <f>P334*Assumptions!$B$12</f>
        <v/>
      </c>
      <c r="BL334">
        <f>P334*Assumptions!$B$11</f>
        <v/>
      </c>
    </row>
    <row r="335">
      <c r="A335" t="inlineStr">
        <is>
          <t>2000M</t>
        </is>
      </c>
      <c r="B335">
        <f>Assumptions!$B$60</f>
        <v/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>
        <f>(1-C335)*Assumptions!$B$41+(1-D335)*Assumptions!$B$33+(1-E335)*Assumptions!$B$32+(1-F335)*Assumptions!$B$31+(1-G335)*Assumptions!$B$30+(1-H335)*Assumptions!$B$29+(1-I335)*Assumptions!$B$28</f>
        <v/>
      </c>
      <c r="K335">
        <f>C335*Assumptions!$B$141+D335*Assumptions!$B$128+E335*Assumptions!$B$129+F335*Assumptions!$B$14+G335*Assumptions!$B$13+H335*Assumptions!$B$12+I335*Assumptions!$B$11+Assumptions!$B$133+Assumptions!$B$137+Assumptions!$B$9</f>
        <v/>
      </c>
      <c r="L335">
        <f>B335-J335</f>
        <v/>
      </c>
      <c r="M335">
        <f>IF(K335&gt;0,IF(L335/K335&gt;=Assumptions!$B$37,1,0),0)</f>
        <v/>
      </c>
      <c r="N335">
        <f>K335+M335*Assumptions!$B$153</f>
        <v/>
      </c>
      <c r="O335">
        <f>L335+M335*Assumptions!$B$153*Assumptions!$B$37</f>
        <v/>
      </c>
      <c r="P335">
        <f>IF(N335&gt;0,O335/N335,0)</f>
        <v/>
      </c>
      <c r="Q335">
        <f>IF(C335=1,P335*Assumptions!$B$141,Assumptions!$B$41)</f>
        <v/>
      </c>
      <c r="R335">
        <f>IF(D335=1,P335*Assumptions!$B$128,Assumptions!$B$33)</f>
        <v/>
      </c>
      <c r="S335">
        <f>IF(E335=1,P335*Assumptions!$B$129,Assumptions!$B$32)</f>
        <v/>
      </c>
      <c r="T335">
        <f>IF(F335=1,P335*Assumptions!$B$14,Assumptions!$B$31)</f>
        <v/>
      </c>
      <c r="U335">
        <f>IF(G335=1,P335*Assumptions!$B$13,Assumptions!$B$30)</f>
        <v/>
      </c>
      <c r="V335">
        <f>IF(H335=1,P335*Assumptions!$B$12,Assumptions!$B$29)</f>
        <v/>
      </c>
      <c r="W335">
        <f>IF(I335=1,P335*Assumptions!$B$11,Assumptions!$B$28)</f>
        <v/>
      </c>
      <c r="X335">
        <f>P335*(Assumptions!$B$133+Assumptions!$B$137)</f>
        <v/>
      </c>
      <c r="Y335">
        <f>P335*Assumptions!$B$9</f>
        <v/>
      </c>
      <c r="Z335">
        <f>IF(M335=1,(P335-Assumptions!$B$37)*Assumptions!$B$153,0)</f>
        <v/>
      </c>
      <c r="AA335">
        <f>Q335+R335+S335+T335+U335+V335+W335+X335+Y335+Z335</f>
        <v/>
      </c>
      <c r="AB335" t="n">
        <v>28</v>
      </c>
      <c r="AC335" t="n">
        <v>92</v>
      </c>
      <c r="AD335" t="n">
        <v>60</v>
      </c>
      <c r="AE335" t="n">
        <v>12</v>
      </c>
      <c r="AF335" t="n">
        <v>20</v>
      </c>
      <c r="AG335" t="n">
        <v>24</v>
      </c>
      <c r="AH335" t="n">
        <v>30</v>
      </c>
      <c r="AI335" t="n">
        <v>29</v>
      </c>
      <c r="AJ335">
        <f>INDEX($Q$307:$Q$434,AC335+1)</f>
        <v/>
      </c>
      <c r="AK335">
        <f>INDEX($R$307:$R$434,AD335+1)</f>
        <v/>
      </c>
      <c r="AL335">
        <f>INDEX($S$307:$S$434,AE335+1)</f>
        <v/>
      </c>
      <c r="AM335">
        <f>INDEX($T$307:$T$434,AF335+1)</f>
        <v/>
      </c>
      <c r="AN335">
        <f>INDEX($U$307:$U$434,AG335+1)</f>
        <v/>
      </c>
      <c r="AO335">
        <f>INDEX($V$307:$V$434,AH335+1)</f>
        <v/>
      </c>
      <c r="AP335">
        <f>INDEX($W$307:$W$434,AI335+1)</f>
        <v/>
      </c>
      <c r="AQ335">
        <f>IF(Q335&gt;=AJ335-0.01,1,0)</f>
        <v/>
      </c>
      <c r="AR335">
        <f>IF(R335&gt;=AK335-0.01,1,0)</f>
        <v/>
      </c>
      <c r="AS335">
        <f>IF(S335&gt;=AL335-0.01,1,0)</f>
        <v/>
      </c>
      <c r="AT335">
        <f>IF(T335&gt;=AM335-0.01,1,0)</f>
        <v/>
      </c>
      <c r="AU335">
        <f>IF(U335&gt;=AN335-0.01,1,0)</f>
        <v/>
      </c>
      <c r="AV335">
        <f>IF(V335&gt;=AO335-0.01,1,0)</f>
        <v/>
      </c>
      <c r="AW335">
        <f>IF(W335&gt;=AP335-0.01,1,0)</f>
        <v/>
      </c>
      <c r="AX335">
        <f>AQ335*AR335*AS335*AT335*AU335*AV335*AW335</f>
        <v/>
      </c>
      <c r="AY335">
        <f>Assumptions!$B$41</f>
        <v/>
      </c>
      <c r="AZ335">
        <f>Assumptions!$B$33</f>
        <v/>
      </c>
      <c r="BA335">
        <f>Assumptions!$B$32</f>
        <v/>
      </c>
      <c r="BB335">
        <f>Assumptions!$B$31</f>
        <v/>
      </c>
      <c r="BC335">
        <f>Assumptions!$B$30</f>
        <v/>
      </c>
      <c r="BD335">
        <f>Assumptions!$B$29</f>
        <v/>
      </c>
      <c r="BE335">
        <f>Assumptions!$B$28</f>
        <v/>
      </c>
      <c r="BF335">
        <f>P335*Assumptions!$B$141</f>
        <v/>
      </c>
      <c r="BG335">
        <f>P335*Assumptions!$B$128</f>
        <v/>
      </c>
      <c r="BH335">
        <f>P335*Assumptions!$B$129</f>
        <v/>
      </c>
      <c r="BI335">
        <f>P335*Assumptions!$B$14</f>
        <v/>
      </c>
      <c r="BJ335">
        <f>P335*Assumptions!$B$13</f>
        <v/>
      </c>
      <c r="BK335">
        <f>P335*Assumptions!$B$12</f>
        <v/>
      </c>
      <c r="BL335">
        <f>P335*Assumptions!$B$11</f>
        <v/>
      </c>
    </row>
    <row r="336">
      <c r="A336" t="inlineStr">
        <is>
          <t>2000M</t>
        </is>
      </c>
      <c r="B336">
        <f>Assumptions!$B$60</f>
        <v/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>
        <f>(1-C336)*Assumptions!$B$41+(1-D336)*Assumptions!$B$33+(1-E336)*Assumptions!$B$32+(1-F336)*Assumptions!$B$31+(1-G336)*Assumptions!$B$30+(1-H336)*Assumptions!$B$29+(1-I336)*Assumptions!$B$28</f>
        <v/>
      </c>
      <c r="K336">
        <f>C336*Assumptions!$B$141+D336*Assumptions!$B$128+E336*Assumptions!$B$129+F336*Assumptions!$B$14+G336*Assumptions!$B$13+H336*Assumptions!$B$12+I336*Assumptions!$B$11+Assumptions!$B$133+Assumptions!$B$137+Assumptions!$B$9</f>
        <v/>
      </c>
      <c r="L336">
        <f>B336-J336</f>
        <v/>
      </c>
      <c r="M336">
        <f>IF(K336&gt;0,IF(L336/K336&gt;=Assumptions!$B$37,1,0),0)</f>
        <v/>
      </c>
      <c r="N336">
        <f>K336+M336*Assumptions!$B$153</f>
        <v/>
      </c>
      <c r="O336">
        <f>L336+M336*Assumptions!$B$153*Assumptions!$B$37</f>
        <v/>
      </c>
      <c r="P336">
        <f>IF(N336&gt;0,O336/N336,0)</f>
        <v/>
      </c>
      <c r="Q336">
        <f>IF(C336=1,P336*Assumptions!$B$141,Assumptions!$B$41)</f>
        <v/>
      </c>
      <c r="R336">
        <f>IF(D336=1,P336*Assumptions!$B$128,Assumptions!$B$33)</f>
        <v/>
      </c>
      <c r="S336">
        <f>IF(E336=1,P336*Assumptions!$B$129,Assumptions!$B$32)</f>
        <v/>
      </c>
      <c r="T336">
        <f>IF(F336=1,P336*Assumptions!$B$14,Assumptions!$B$31)</f>
        <v/>
      </c>
      <c r="U336">
        <f>IF(G336=1,P336*Assumptions!$B$13,Assumptions!$B$30)</f>
        <v/>
      </c>
      <c r="V336">
        <f>IF(H336=1,P336*Assumptions!$B$12,Assumptions!$B$29)</f>
        <v/>
      </c>
      <c r="W336">
        <f>IF(I336=1,P336*Assumptions!$B$11,Assumptions!$B$28)</f>
        <v/>
      </c>
      <c r="X336">
        <f>P336*(Assumptions!$B$133+Assumptions!$B$137)</f>
        <v/>
      </c>
      <c r="Y336">
        <f>P336*Assumptions!$B$9</f>
        <v/>
      </c>
      <c r="Z336">
        <f>IF(M336=1,(P336-Assumptions!$B$37)*Assumptions!$B$153,0)</f>
        <v/>
      </c>
      <c r="AA336">
        <f>Q336+R336+S336+T336+U336+V336+W336+X336+Y336+Z336</f>
        <v/>
      </c>
      <c r="AB336" t="n">
        <v>29</v>
      </c>
      <c r="AC336" t="n">
        <v>93</v>
      </c>
      <c r="AD336" t="n">
        <v>61</v>
      </c>
      <c r="AE336" t="n">
        <v>13</v>
      </c>
      <c r="AF336" t="n">
        <v>21</v>
      </c>
      <c r="AG336" t="n">
        <v>25</v>
      </c>
      <c r="AH336" t="n">
        <v>31</v>
      </c>
      <c r="AI336" t="n">
        <v>28</v>
      </c>
      <c r="AJ336">
        <f>INDEX($Q$307:$Q$434,AC336+1)</f>
        <v/>
      </c>
      <c r="AK336">
        <f>INDEX($R$307:$R$434,AD336+1)</f>
        <v/>
      </c>
      <c r="AL336">
        <f>INDEX($S$307:$S$434,AE336+1)</f>
        <v/>
      </c>
      <c r="AM336">
        <f>INDEX($T$307:$T$434,AF336+1)</f>
        <v/>
      </c>
      <c r="AN336">
        <f>INDEX($U$307:$U$434,AG336+1)</f>
        <v/>
      </c>
      <c r="AO336">
        <f>INDEX($V$307:$V$434,AH336+1)</f>
        <v/>
      </c>
      <c r="AP336">
        <f>INDEX($W$307:$W$434,AI336+1)</f>
        <v/>
      </c>
      <c r="AQ336">
        <f>IF(Q336&gt;=AJ336-0.01,1,0)</f>
        <v/>
      </c>
      <c r="AR336">
        <f>IF(R336&gt;=AK336-0.01,1,0)</f>
        <v/>
      </c>
      <c r="AS336">
        <f>IF(S336&gt;=AL336-0.01,1,0)</f>
        <v/>
      </c>
      <c r="AT336">
        <f>IF(T336&gt;=AM336-0.01,1,0)</f>
        <v/>
      </c>
      <c r="AU336">
        <f>IF(U336&gt;=AN336-0.01,1,0)</f>
        <v/>
      </c>
      <c r="AV336">
        <f>IF(V336&gt;=AO336-0.01,1,0)</f>
        <v/>
      </c>
      <c r="AW336">
        <f>IF(W336&gt;=AP336-0.01,1,0)</f>
        <v/>
      </c>
      <c r="AX336">
        <f>AQ336*AR336*AS336*AT336*AU336*AV336*AW336</f>
        <v/>
      </c>
      <c r="AY336">
        <f>Assumptions!$B$41</f>
        <v/>
      </c>
      <c r="AZ336">
        <f>Assumptions!$B$33</f>
        <v/>
      </c>
      <c r="BA336">
        <f>Assumptions!$B$32</f>
        <v/>
      </c>
      <c r="BB336">
        <f>Assumptions!$B$31</f>
        <v/>
      </c>
      <c r="BC336">
        <f>Assumptions!$B$30</f>
        <v/>
      </c>
      <c r="BD336">
        <f>Assumptions!$B$29</f>
        <v/>
      </c>
      <c r="BE336">
        <f>Assumptions!$B$28</f>
        <v/>
      </c>
      <c r="BF336">
        <f>P336*Assumptions!$B$141</f>
        <v/>
      </c>
      <c r="BG336">
        <f>P336*Assumptions!$B$128</f>
        <v/>
      </c>
      <c r="BH336">
        <f>P336*Assumptions!$B$129</f>
        <v/>
      </c>
      <c r="BI336">
        <f>P336*Assumptions!$B$14</f>
        <v/>
      </c>
      <c r="BJ336">
        <f>P336*Assumptions!$B$13</f>
        <v/>
      </c>
      <c r="BK336">
        <f>P336*Assumptions!$B$12</f>
        <v/>
      </c>
      <c r="BL336">
        <f>P336*Assumptions!$B$11</f>
        <v/>
      </c>
    </row>
    <row r="337">
      <c r="A337" t="inlineStr">
        <is>
          <t>2000M</t>
        </is>
      </c>
      <c r="B337">
        <f>Assumptions!$B$60</f>
        <v/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>
        <f>(1-C337)*Assumptions!$B$41+(1-D337)*Assumptions!$B$33+(1-E337)*Assumptions!$B$32+(1-F337)*Assumptions!$B$31+(1-G337)*Assumptions!$B$30+(1-H337)*Assumptions!$B$29+(1-I337)*Assumptions!$B$28</f>
        <v/>
      </c>
      <c r="K337">
        <f>C337*Assumptions!$B$141+D337*Assumptions!$B$128+E337*Assumptions!$B$129+F337*Assumptions!$B$14+G337*Assumptions!$B$13+H337*Assumptions!$B$12+I337*Assumptions!$B$11+Assumptions!$B$133+Assumptions!$B$137+Assumptions!$B$9</f>
        <v/>
      </c>
      <c r="L337">
        <f>B337-J337</f>
        <v/>
      </c>
      <c r="M337">
        <f>IF(K337&gt;0,IF(L337/K337&gt;=Assumptions!$B$37,1,0),0)</f>
        <v/>
      </c>
      <c r="N337">
        <f>K337+M337*Assumptions!$B$153</f>
        <v/>
      </c>
      <c r="O337">
        <f>L337+M337*Assumptions!$B$153*Assumptions!$B$37</f>
        <v/>
      </c>
      <c r="P337">
        <f>IF(N337&gt;0,O337/N337,0)</f>
        <v/>
      </c>
      <c r="Q337">
        <f>IF(C337=1,P337*Assumptions!$B$141,Assumptions!$B$41)</f>
        <v/>
      </c>
      <c r="R337">
        <f>IF(D337=1,P337*Assumptions!$B$128,Assumptions!$B$33)</f>
        <v/>
      </c>
      <c r="S337">
        <f>IF(E337=1,P337*Assumptions!$B$129,Assumptions!$B$32)</f>
        <v/>
      </c>
      <c r="T337">
        <f>IF(F337=1,P337*Assumptions!$B$14,Assumptions!$B$31)</f>
        <v/>
      </c>
      <c r="U337">
        <f>IF(G337=1,P337*Assumptions!$B$13,Assumptions!$B$30)</f>
        <v/>
      </c>
      <c r="V337">
        <f>IF(H337=1,P337*Assumptions!$B$12,Assumptions!$B$29)</f>
        <v/>
      </c>
      <c r="W337">
        <f>IF(I337=1,P337*Assumptions!$B$11,Assumptions!$B$28)</f>
        <v/>
      </c>
      <c r="X337">
        <f>P337*(Assumptions!$B$133+Assumptions!$B$137)</f>
        <v/>
      </c>
      <c r="Y337">
        <f>P337*Assumptions!$B$9</f>
        <v/>
      </c>
      <c r="Z337">
        <f>IF(M337=1,(P337-Assumptions!$B$37)*Assumptions!$B$153,0)</f>
        <v/>
      </c>
      <c r="AA337">
        <f>Q337+R337+S337+T337+U337+V337+W337+X337+Y337+Z337</f>
        <v/>
      </c>
      <c r="AB337" t="n">
        <v>30</v>
      </c>
      <c r="AC337" t="n">
        <v>94</v>
      </c>
      <c r="AD337" t="n">
        <v>62</v>
      </c>
      <c r="AE337" t="n">
        <v>14</v>
      </c>
      <c r="AF337" t="n">
        <v>22</v>
      </c>
      <c r="AG337" t="n">
        <v>26</v>
      </c>
      <c r="AH337" t="n">
        <v>28</v>
      </c>
      <c r="AI337" t="n">
        <v>31</v>
      </c>
      <c r="AJ337">
        <f>INDEX($Q$307:$Q$434,AC337+1)</f>
        <v/>
      </c>
      <c r="AK337">
        <f>INDEX($R$307:$R$434,AD337+1)</f>
        <v/>
      </c>
      <c r="AL337">
        <f>INDEX($S$307:$S$434,AE337+1)</f>
        <v/>
      </c>
      <c r="AM337">
        <f>INDEX($T$307:$T$434,AF337+1)</f>
        <v/>
      </c>
      <c r="AN337">
        <f>INDEX($U$307:$U$434,AG337+1)</f>
        <v/>
      </c>
      <c r="AO337">
        <f>INDEX($V$307:$V$434,AH337+1)</f>
        <v/>
      </c>
      <c r="AP337">
        <f>INDEX($W$307:$W$434,AI337+1)</f>
        <v/>
      </c>
      <c r="AQ337">
        <f>IF(Q337&gt;=AJ337-0.01,1,0)</f>
        <v/>
      </c>
      <c r="AR337">
        <f>IF(R337&gt;=AK337-0.01,1,0)</f>
        <v/>
      </c>
      <c r="AS337">
        <f>IF(S337&gt;=AL337-0.01,1,0)</f>
        <v/>
      </c>
      <c r="AT337">
        <f>IF(T337&gt;=AM337-0.01,1,0)</f>
        <v/>
      </c>
      <c r="AU337">
        <f>IF(U337&gt;=AN337-0.01,1,0)</f>
        <v/>
      </c>
      <c r="AV337">
        <f>IF(V337&gt;=AO337-0.01,1,0)</f>
        <v/>
      </c>
      <c r="AW337">
        <f>IF(W337&gt;=AP337-0.01,1,0)</f>
        <v/>
      </c>
      <c r="AX337">
        <f>AQ337*AR337*AS337*AT337*AU337*AV337*AW337</f>
        <v/>
      </c>
      <c r="AY337">
        <f>Assumptions!$B$41</f>
        <v/>
      </c>
      <c r="AZ337">
        <f>Assumptions!$B$33</f>
        <v/>
      </c>
      <c r="BA337">
        <f>Assumptions!$B$32</f>
        <v/>
      </c>
      <c r="BB337">
        <f>Assumptions!$B$31</f>
        <v/>
      </c>
      <c r="BC337">
        <f>Assumptions!$B$30</f>
        <v/>
      </c>
      <c r="BD337">
        <f>Assumptions!$B$29</f>
        <v/>
      </c>
      <c r="BE337">
        <f>Assumptions!$B$28</f>
        <v/>
      </c>
      <c r="BF337">
        <f>P337*Assumptions!$B$141</f>
        <v/>
      </c>
      <c r="BG337">
        <f>P337*Assumptions!$B$128</f>
        <v/>
      </c>
      <c r="BH337">
        <f>P337*Assumptions!$B$129</f>
        <v/>
      </c>
      <c r="BI337">
        <f>P337*Assumptions!$B$14</f>
        <v/>
      </c>
      <c r="BJ337">
        <f>P337*Assumptions!$B$13</f>
        <v/>
      </c>
      <c r="BK337">
        <f>P337*Assumptions!$B$12</f>
        <v/>
      </c>
      <c r="BL337">
        <f>P337*Assumptions!$B$11</f>
        <v/>
      </c>
    </row>
    <row r="338">
      <c r="A338" t="inlineStr">
        <is>
          <t>2000M</t>
        </is>
      </c>
      <c r="B338">
        <f>Assumptions!$B$60</f>
        <v/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>
        <f>(1-C338)*Assumptions!$B$41+(1-D338)*Assumptions!$B$33+(1-E338)*Assumptions!$B$32+(1-F338)*Assumptions!$B$31+(1-G338)*Assumptions!$B$30+(1-H338)*Assumptions!$B$29+(1-I338)*Assumptions!$B$28</f>
        <v/>
      </c>
      <c r="K338">
        <f>C338*Assumptions!$B$141+D338*Assumptions!$B$128+E338*Assumptions!$B$129+F338*Assumptions!$B$14+G338*Assumptions!$B$13+H338*Assumptions!$B$12+I338*Assumptions!$B$11+Assumptions!$B$133+Assumptions!$B$137+Assumptions!$B$9</f>
        <v/>
      </c>
      <c r="L338">
        <f>B338-J338</f>
        <v/>
      </c>
      <c r="M338">
        <f>IF(K338&gt;0,IF(L338/K338&gt;=Assumptions!$B$37,1,0),0)</f>
        <v/>
      </c>
      <c r="N338">
        <f>K338+M338*Assumptions!$B$153</f>
        <v/>
      </c>
      <c r="O338">
        <f>L338+M338*Assumptions!$B$153*Assumptions!$B$37</f>
        <v/>
      </c>
      <c r="P338">
        <f>IF(N338&gt;0,O338/N338,0)</f>
        <v/>
      </c>
      <c r="Q338">
        <f>IF(C338=1,P338*Assumptions!$B$141,Assumptions!$B$41)</f>
        <v/>
      </c>
      <c r="R338">
        <f>IF(D338=1,P338*Assumptions!$B$128,Assumptions!$B$33)</f>
        <v/>
      </c>
      <c r="S338">
        <f>IF(E338=1,P338*Assumptions!$B$129,Assumptions!$B$32)</f>
        <v/>
      </c>
      <c r="T338">
        <f>IF(F338=1,P338*Assumptions!$B$14,Assumptions!$B$31)</f>
        <v/>
      </c>
      <c r="U338">
        <f>IF(G338=1,P338*Assumptions!$B$13,Assumptions!$B$30)</f>
        <v/>
      </c>
      <c r="V338">
        <f>IF(H338=1,P338*Assumptions!$B$12,Assumptions!$B$29)</f>
        <v/>
      </c>
      <c r="W338">
        <f>IF(I338=1,P338*Assumptions!$B$11,Assumptions!$B$28)</f>
        <v/>
      </c>
      <c r="X338">
        <f>P338*(Assumptions!$B$133+Assumptions!$B$137)</f>
        <v/>
      </c>
      <c r="Y338">
        <f>P338*Assumptions!$B$9</f>
        <v/>
      </c>
      <c r="Z338">
        <f>IF(M338=1,(P338-Assumptions!$B$37)*Assumptions!$B$153,0)</f>
        <v/>
      </c>
      <c r="AA338">
        <f>Q338+R338+S338+T338+U338+V338+W338+X338+Y338+Z338</f>
        <v/>
      </c>
      <c r="AB338" t="n">
        <v>31</v>
      </c>
      <c r="AC338" t="n">
        <v>95</v>
      </c>
      <c r="AD338" t="n">
        <v>63</v>
      </c>
      <c r="AE338" t="n">
        <v>15</v>
      </c>
      <c r="AF338" t="n">
        <v>23</v>
      </c>
      <c r="AG338" t="n">
        <v>27</v>
      </c>
      <c r="AH338" t="n">
        <v>29</v>
      </c>
      <c r="AI338" t="n">
        <v>30</v>
      </c>
      <c r="AJ338">
        <f>INDEX($Q$307:$Q$434,AC338+1)</f>
        <v/>
      </c>
      <c r="AK338">
        <f>INDEX($R$307:$R$434,AD338+1)</f>
        <v/>
      </c>
      <c r="AL338">
        <f>INDEX($S$307:$S$434,AE338+1)</f>
        <v/>
      </c>
      <c r="AM338">
        <f>INDEX($T$307:$T$434,AF338+1)</f>
        <v/>
      </c>
      <c r="AN338">
        <f>INDEX($U$307:$U$434,AG338+1)</f>
        <v/>
      </c>
      <c r="AO338">
        <f>INDEX($V$307:$V$434,AH338+1)</f>
        <v/>
      </c>
      <c r="AP338">
        <f>INDEX($W$307:$W$434,AI338+1)</f>
        <v/>
      </c>
      <c r="AQ338">
        <f>IF(Q338&gt;=AJ338-0.01,1,0)</f>
        <v/>
      </c>
      <c r="AR338">
        <f>IF(R338&gt;=AK338-0.01,1,0)</f>
        <v/>
      </c>
      <c r="AS338">
        <f>IF(S338&gt;=AL338-0.01,1,0)</f>
        <v/>
      </c>
      <c r="AT338">
        <f>IF(T338&gt;=AM338-0.01,1,0)</f>
        <v/>
      </c>
      <c r="AU338">
        <f>IF(U338&gt;=AN338-0.01,1,0)</f>
        <v/>
      </c>
      <c r="AV338">
        <f>IF(V338&gt;=AO338-0.01,1,0)</f>
        <v/>
      </c>
      <c r="AW338">
        <f>IF(W338&gt;=AP338-0.01,1,0)</f>
        <v/>
      </c>
      <c r="AX338">
        <f>AQ338*AR338*AS338*AT338*AU338*AV338*AW338</f>
        <v/>
      </c>
      <c r="AY338">
        <f>Assumptions!$B$41</f>
        <v/>
      </c>
      <c r="AZ338">
        <f>Assumptions!$B$33</f>
        <v/>
      </c>
      <c r="BA338">
        <f>Assumptions!$B$32</f>
        <v/>
      </c>
      <c r="BB338">
        <f>Assumptions!$B$31</f>
        <v/>
      </c>
      <c r="BC338">
        <f>Assumptions!$B$30</f>
        <v/>
      </c>
      <c r="BD338">
        <f>Assumptions!$B$29</f>
        <v/>
      </c>
      <c r="BE338">
        <f>Assumptions!$B$28</f>
        <v/>
      </c>
      <c r="BF338">
        <f>P338*Assumptions!$B$141</f>
        <v/>
      </c>
      <c r="BG338">
        <f>P338*Assumptions!$B$128</f>
        <v/>
      </c>
      <c r="BH338">
        <f>P338*Assumptions!$B$129</f>
        <v/>
      </c>
      <c r="BI338">
        <f>P338*Assumptions!$B$14</f>
        <v/>
      </c>
      <c r="BJ338">
        <f>P338*Assumptions!$B$13</f>
        <v/>
      </c>
      <c r="BK338">
        <f>P338*Assumptions!$B$12</f>
        <v/>
      </c>
      <c r="BL338">
        <f>P338*Assumptions!$B$11</f>
        <v/>
      </c>
    </row>
    <row r="339">
      <c r="A339" t="inlineStr">
        <is>
          <t>2000M</t>
        </is>
      </c>
      <c r="B339">
        <f>Assumptions!$B$60</f>
        <v/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>
        <f>(1-C339)*Assumptions!$B$41+(1-D339)*Assumptions!$B$33+(1-E339)*Assumptions!$B$32+(1-F339)*Assumptions!$B$31+(1-G339)*Assumptions!$B$30+(1-H339)*Assumptions!$B$29+(1-I339)*Assumptions!$B$28</f>
        <v/>
      </c>
      <c r="K339">
        <f>C339*Assumptions!$B$141+D339*Assumptions!$B$128+E339*Assumptions!$B$129+F339*Assumptions!$B$14+G339*Assumptions!$B$13+H339*Assumptions!$B$12+I339*Assumptions!$B$11+Assumptions!$B$133+Assumptions!$B$137+Assumptions!$B$9</f>
        <v/>
      </c>
      <c r="L339">
        <f>B339-J339</f>
        <v/>
      </c>
      <c r="M339">
        <f>IF(K339&gt;0,IF(L339/K339&gt;=Assumptions!$B$37,1,0),0)</f>
        <v/>
      </c>
      <c r="N339">
        <f>K339+M339*Assumptions!$B$153</f>
        <v/>
      </c>
      <c r="O339">
        <f>L339+M339*Assumptions!$B$153*Assumptions!$B$37</f>
        <v/>
      </c>
      <c r="P339">
        <f>IF(N339&gt;0,O339/N339,0)</f>
        <v/>
      </c>
      <c r="Q339">
        <f>IF(C339=1,P339*Assumptions!$B$141,Assumptions!$B$41)</f>
        <v/>
      </c>
      <c r="R339">
        <f>IF(D339=1,P339*Assumptions!$B$128,Assumptions!$B$33)</f>
        <v/>
      </c>
      <c r="S339">
        <f>IF(E339=1,P339*Assumptions!$B$129,Assumptions!$B$32)</f>
        <v/>
      </c>
      <c r="T339">
        <f>IF(F339=1,P339*Assumptions!$B$14,Assumptions!$B$31)</f>
        <v/>
      </c>
      <c r="U339">
        <f>IF(G339=1,P339*Assumptions!$B$13,Assumptions!$B$30)</f>
        <v/>
      </c>
      <c r="V339">
        <f>IF(H339=1,P339*Assumptions!$B$12,Assumptions!$B$29)</f>
        <v/>
      </c>
      <c r="W339">
        <f>IF(I339=1,P339*Assumptions!$B$11,Assumptions!$B$28)</f>
        <v/>
      </c>
      <c r="X339">
        <f>P339*(Assumptions!$B$133+Assumptions!$B$137)</f>
        <v/>
      </c>
      <c r="Y339">
        <f>P339*Assumptions!$B$9</f>
        <v/>
      </c>
      <c r="Z339">
        <f>IF(M339=1,(P339-Assumptions!$B$37)*Assumptions!$B$153,0)</f>
        <v/>
      </c>
      <c r="AA339">
        <f>Q339+R339+S339+T339+U339+V339+W339+X339+Y339+Z339</f>
        <v/>
      </c>
      <c r="AB339" t="n">
        <v>32</v>
      </c>
      <c r="AC339" t="n">
        <v>96</v>
      </c>
      <c r="AD339" t="n">
        <v>0</v>
      </c>
      <c r="AE339" t="n">
        <v>48</v>
      </c>
      <c r="AF339" t="n">
        <v>40</v>
      </c>
      <c r="AG339" t="n">
        <v>36</v>
      </c>
      <c r="AH339" t="n">
        <v>34</v>
      </c>
      <c r="AI339" t="n">
        <v>33</v>
      </c>
      <c r="AJ339">
        <f>INDEX($Q$307:$Q$434,AC339+1)</f>
        <v/>
      </c>
      <c r="AK339">
        <f>INDEX($R$307:$R$434,AD339+1)</f>
        <v/>
      </c>
      <c r="AL339">
        <f>INDEX($S$307:$S$434,AE339+1)</f>
        <v/>
      </c>
      <c r="AM339">
        <f>INDEX($T$307:$T$434,AF339+1)</f>
        <v/>
      </c>
      <c r="AN339">
        <f>INDEX($U$307:$U$434,AG339+1)</f>
        <v/>
      </c>
      <c r="AO339">
        <f>INDEX($V$307:$V$434,AH339+1)</f>
        <v/>
      </c>
      <c r="AP339">
        <f>INDEX($W$307:$W$434,AI339+1)</f>
        <v/>
      </c>
      <c r="AQ339">
        <f>IF(Q339&gt;=AJ339-0.01,1,0)</f>
        <v/>
      </c>
      <c r="AR339">
        <f>IF(R339&gt;=AK339-0.01,1,0)</f>
        <v/>
      </c>
      <c r="AS339">
        <f>IF(S339&gt;=AL339-0.01,1,0)</f>
        <v/>
      </c>
      <c r="AT339">
        <f>IF(T339&gt;=AM339-0.01,1,0)</f>
        <v/>
      </c>
      <c r="AU339">
        <f>IF(U339&gt;=AN339-0.01,1,0)</f>
        <v/>
      </c>
      <c r="AV339">
        <f>IF(V339&gt;=AO339-0.01,1,0)</f>
        <v/>
      </c>
      <c r="AW339">
        <f>IF(W339&gt;=AP339-0.01,1,0)</f>
        <v/>
      </c>
      <c r="AX339">
        <f>AQ339*AR339*AS339*AT339*AU339*AV339*AW339</f>
        <v/>
      </c>
      <c r="AY339">
        <f>Assumptions!$B$41</f>
        <v/>
      </c>
      <c r="AZ339">
        <f>Assumptions!$B$33</f>
        <v/>
      </c>
      <c r="BA339">
        <f>Assumptions!$B$32</f>
        <v/>
      </c>
      <c r="BB339">
        <f>Assumptions!$B$31</f>
        <v/>
      </c>
      <c r="BC339">
        <f>Assumptions!$B$30</f>
        <v/>
      </c>
      <c r="BD339">
        <f>Assumptions!$B$29</f>
        <v/>
      </c>
      <c r="BE339">
        <f>Assumptions!$B$28</f>
        <v/>
      </c>
      <c r="BF339">
        <f>P339*Assumptions!$B$141</f>
        <v/>
      </c>
      <c r="BG339">
        <f>P339*Assumptions!$B$128</f>
        <v/>
      </c>
      <c r="BH339">
        <f>P339*Assumptions!$B$129</f>
        <v/>
      </c>
      <c r="BI339">
        <f>P339*Assumptions!$B$14</f>
        <v/>
      </c>
      <c r="BJ339">
        <f>P339*Assumptions!$B$13</f>
        <v/>
      </c>
      <c r="BK339">
        <f>P339*Assumptions!$B$12</f>
        <v/>
      </c>
      <c r="BL339">
        <f>P339*Assumptions!$B$11</f>
        <v/>
      </c>
    </row>
    <row r="340">
      <c r="A340" t="inlineStr">
        <is>
          <t>2000M</t>
        </is>
      </c>
      <c r="B340">
        <f>Assumptions!$B$60</f>
        <v/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>
        <f>(1-C340)*Assumptions!$B$41+(1-D340)*Assumptions!$B$33+(1-E340)*Assumptions!$B$32+(1-F340)*Assumptions!$B$31+(1-G340)*Assumptions!$B$30+(1-H340)*Assumptions!$B$29+(1-I340)*Assumptions!$B$28</f>
        <v/>
      </c>
      <c r="K340">
        <f>C340*Assumptions!$B$141+D340*Assumptions!$B$128+E340*Assumptions!$B$129+F340*Assumptions!$B$14+G340*Assumptions!$B$13+H340*Assumptions!$B$12+I340*Assumptions!$B$11+Assumptions!$B$133+Assumptions!$B$137+Assumptions!$B$9</f>
        <v/>
      </c>
      <c r="L340">
        <f>B340-J340</f>
        <v/>
      </c>
      <c r="M340">
        <f>IF(K340&gt;0,IF(L340/K340&gt;=Assumptions!$B$37,1,0),0)</f>
        <v/>
      </c>
      <c r="N340">
        <f>K340+M340*Assumptions!$B$153</f>
        <v/>
      </c>
      <c r="O340">
        <f>L340+M340*Assumptions!$B$153*Assumptions!$B$37</f>
        <v/>
      </c>
      <c r="P340">
        <f>IF(N340&gt;0,O340/N340,0)</f>
        <v/>
      </c>
      <c r="Q340">
        <f>IF(C340=1,P340*Assumptions!$B$141,Assumptions!$B$41)</f>
        <v/>
      </c>
      <c r="R340">
        <f>IF(D340=1,P340*Assumptions!$B$128,Assumptions!$B$33)</f>
        <v/>
      </c>
      <c r="S340">
        <f>IF(E340=1,P340*Assumptions!$B$129,Assumptions!$B$32)</f>
        <v/>
      </c>
      <c r="T340">
        <f>IF(F340=1,P340*Assumptions!$B$14,Assumptions!$B$31)</f>
        <v/>
      </c>
      <c r="U340">
        <f>IF(G340=1,P340*Assumptions!$B$13,Assumptions!$B$30)</f>
        <v/>
      </c>
      <c r="V340">
        <f>IF(H340=1,P340*Assumptions!$B$12,Assumptions!$B$29)</f>
        <v/>
      </c>
      <c r="W340">
        <f>IF(I340=1,P340*Assumptions!$B$11,Assumptions!$B$28)</f>
        <v/>
      </c>
      <c r="X340">
        <f>P340*(Assumptions!$B$133+Assumptions!$B$137)</f>
        <v/>
      </c>
      <c r="Y340">
        <f>P340*Assumptions!$B$9</f>
        <v/>
      </c>
      <c r="Z340">
        <f>IF(M340=1,(P340-Assumptions!$B$37)*Assumptions!$B$153,0)</f>
        <v/>
      </c>
      <c r="AA340">
        <f>Q340+R340+S340+T340+U340+V340+W340+X340+Y340+Z340</f>
        <v/>
      </c>
      <c r="AB340" t="n">
        <v>33</v>
      </c>
      <c r="AC340" t="n">
        <v>97</v>
      </c>
      <c r="AD340" t="n">
        <v>1</v>
      </c>
      <c r="AE340" t="n">
        <v>49</v>
      </c>
      <c r="AF340" t="n">
        <v>41</v>
      </c>
      <c r="AG340" t="n">
        <v>37</v>
      </c>
      <c r="AH340" t="n">
        <v>35</v>
      </c>
      <c r="AI340" t="n">
        <v>32</v>
      </c>
      <c r="AJ340">
        <f>INDEX($Q$307:$Q$434,AC340+1)</f>
        <v/>
      </c>
      <c r="AK340">
        <f>INDEX($R$307:$R$434,AD340+1)</f>
        <v/>
      </c>
      <c r="AL340">
        <f>INDEX($S$307:$S$434,AE340+1)</f>
        <v/>
      </c>
      <c r="AM340">
        <f>INDEX($T$307:$T$434,AF340+1)</f>
        <v/>
      </c>
      <c r="AN340">
        <f>INDEX($U$307:$U$434,AG340+1)</f>
        <v/>
      </c>
      <c r="AO340">
        <f>INDEX($V$307:$V$434,AH340+1)</f>
        <v/>
      </c>
      <c r="AP340">
        <f>INDEX($W$307:$W$434,AI340+1)</f>
        <v/>
      </c>
      <c r="AQ340">
        <f>IF(Q340&gt;=AJ340-0.01,1,0)</f>
        <v/>
      </c>
      <c r="AR340">
        <f>IF(R340&gt;=AK340-0.01,1,0)</f>
        <v/>
      </c>
      <c r="AS340">
        <f>IF(S340&gt;=AL340-0.01,1,0)</f>
        <v/>
      </c>
      <c r="AT340">
        <f>IF(T340&gt;=AM340-0.01,1,0)</f>
        <v/>
      </c>
      <c r="AU340">
        <f>IF(U340&gt;=AN340-0.01,1,0)</f>
        <v/>
      </c>
      <c r="AV340">
        <f>IF(V340&gt;=AO340-0.01,1,0)</f>
        <v/>
      </c>
      <c r="AW340">
        <f>IF(W340&gt;=AP340-0.01,1,0)</f>
        <v/>
      </c>
      <c r="AX340">
        <f>AQ340*AR340*AS340*AT340*AU340*AV340*AW340</f>
        <v/>
      </c>
      <c r="AY340">
        <f>Assumptions!$B$41</f>
        <v/>
      </c>
      <c r="AZ340">
        <f>Assumptions!$B$33</f>
        <v/>
      </c>
      <c r="BA340">
        <f>Assumptions!$B$32</f>
        <v/>
      </c>
      <c r="BB340">
        <f>Assumptions!$B$31</f>
        <v/>
      </c>
      <c r="BC340">
        <f>Assumptions!$B$30</f>
        <v/>
      </c>
      <c r="BD340">
        <f>Assumptions!$B$29</f>
        <v/>
      </c>
      <c r="BE340">
        <f>Assumptions!$B$28</f>
        <v/>
      </c>
      <c r="BF340">
        <f>P340*Assumptions!$B$141</f>
        <v/>
      </c>
      <c r="BG340">
        <f>P340*Assumptions!$B$128</f>
        <v/>
      </c>
      <c r="BH340">
        <f>P340*Assumptions!$B$129</f>
        <v/>
      </c>
      <c r="BI340">
        <f>P340*Assumptions!$B$14</f>
        <v/>
      </c>
      <c r="BJ340">
        <f>P340*Assumptions!$B$13</f>
        <v/>
      </c>
      <c r="BK340">
        <f>P340*Assumptions!$B$12</f>
        <v/>
      </c>
      <c r="BL340">
        <f>P340*Assumptions!$B$11</f>
        <v/>
      </c>
    </row>
    <row r="341">
      <c r="A341" t="inlineStr">
        <is>
          <t>2000M</t>
        </is>
      </c>
      <c r="B341">
        <f>Assumptions!$B$60</f>
        <v/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>
        <f>(1-C341)*Assumptions!$B$41+(1-D341)*Assumptions!$B$33+(1-E341)*Assumptions!$B$32+(1-F341)*Assumptions!$B$31+(1-G341)*Assumptions!$B$30+(1-H341)*Assumptions!$B$29+(1-I341)*Assumptions!$B$28</f>
        <v/>
      </c>
      <c r="K341">
        <f>C341*Assumptions!$B$141+D341*Assumptions!$B$128+E341*Assumptions!$B$129+F341*Assumptions!$B$14+G341*Assumptions!$B$13+H341*Assumptions!$B$12+I341*Assumptions!$B$11+Assumptions!$B$133+Assumptions!$B$137+Assumptions!$B$9</f>
        <v/>
      </c>
      <c r="L341">
        <f>B341-J341</f>
        <v/>
      </c>
      <c r="M341">
        <f>IF(K341&gt;0,IF(L341/K341&gt;=Assumptions!$B$37,1,0),0)</f>
        <v/>
      </c>
      <c r="N341">
        <f>K341+M341*Assumptions!$B$153</f>
        <v/>
      </c>
      <c r="O341">
        <f>L341+M341*Assumptions!$B$153*Assumptions!$B$37</f>
        <v/>
      </c>
      <c r="P341">
        <f>IF(N341&gt;0,O341/N341,0)</f>
        <v/>
      </c>
      <c r="Q341">
        <f>IF(C341=1,P341*Assumptions!$B$141,Assumptions!$B$41)</f>
        <v/>
      </c>
      <c r="R341">
        <f>IF(D341=1,P341*Assumptions!$B$128,Assumptions!$B$33)</f>
        <v/>
      </c>
      <c r="S341">
        <f>IF(E341=1,P341*Assumptions!$B$129,Assumptions!$B$32)</f>
        <v/>
      </c>
      <c r="T341">
        <f>IF(F341=1,P341*Assumptions!$B$14,Assumptions!$B$31)</f>
        <v/>
      </c>
      <c r="U341">
        <f>IF(G341=1,P341*Assumptions!$B$13,Assumptions!$B$30)</f>
        <v/>
      </c>
      <c r="V341">
        <f>IF(H341=1,P341*Assumptions!$B$12,Assumptions!$B$29)</f>
        <v/>
      </c>
      <c r="W341">
        <f>IF(I341=1,P341*Assumptions!$B$11,Assumptions!$B$28)</f>
        <v/>
      </c>
      <c r="X341">
        <f>P341*(Assumptions!$B$133+Assumptions!$B$137)</f>
        <v/>
      </c>
      <c r="Y341">
        <f>P341*Assumptions!$B$9</f>
        <v/>
      </c>
      <c r="Z341">
        <f>IF(M341=1,(P341-Assumptions!$B$37)*Assumptions!$B$153,0)</f>
        <v/>
      </c>
      <c r="AA341">
        <f>Q341+R341+S341+T341+U341+V341+W341+X341+Y341+Z341</f>
        <v/>
      </c>
      <c r="AB341" t="n">
        <v>34</v>
      </c>
      <c r="AC341" t="n">
        <v>98</v>
      </c>
      <c r="AD341" t="n">
        <v>2</v>
      </c>
      <c r="AE341" t="n">
        <v>50</v>
      </c>
      <c r="AF341" t="n">
        <v>42</v>
      </c>
      <c r="AG341" t="n">
        <v>38</v>
      </c>
      <c r="AH341" t="n">
        <v>32</v>
      </c>
      <c r="AI341" t="n">
        <v>35</v>
      </c>
      <c r="AJ341">
        <f>INDEX($Q$307:$Q$434,AC341+1)</f>
        <v/>
      </c>
      <c r="AK341">
        <f>INDEX($R$307:$R$434,AD341+1)</f>
        <v/>
      </c>
      <c r="AL341">
        <f>INDEX($S$307:$S$434,AE341+1)</f>
        <v/>
      </c>
      <c r="AM341">
        <f>INDEX($T$307:$T$434,AF341+1)</f>
        <v/>
      </c>
      <c r="AN341">
        <f>INDEX($U$307:$U$434,AG341+1)</f>
        <v/>
      </c>
      <c r="AO341">
        <f>INDEX($V$307:$V$434,AH341+1)</f>
        <v/>
      </c>
      <c r="AP341">
        <f>INDEX($W$307:$W$434,AI341+1)</f>
        <v/>
      </c>
      <c r="AQ341">
        <f>IF(Q341&gt;=AJ341-0.01,1,0)</f>
        <v/>
      </c>
      <c r="AR341">
        <f>IF(R341&gt;=AK341-0.01,1,0)</f>
        <v/>
      </c>
      <c r="AS341">
        <f>IF(S341&gt;=AL341-0.01,1,0)</f>
        <v/>
      </c>
      <c r="AT341">
        <f>IF(T341&gt;=AM341-0.01,1,0)</f>
        <v/>
      </c>
      <c r="AU341">
        <f>IF(U341&gt;=AN341-0.01,1,0)</f>
        <v/>
      </c>
      <c r="AV341">
        <f>IF(V341&gt;=AO341-0.01,1,0)</f>
        <v/>
      </c>
      <c r="AW341">
        <f>IF(W341&gt;=AP341-0.01,1,0)</f>
        <v/>
      </c>
      <c r="AX341">
        <f>AQ341*AR341*AS341*AT341*AU341*AV341*AW341</f>
        <v/>
      </c>
      <c r="AY341">
        <f>Assumptions!$B$41</f>
        <v/>
      </c>
      <c r="AZ341">
        <f>Assumptions!$B$33</f>
        <v/>
      </c>
      <c r="BA341">
        <f>Assumptions!$B$32</f>
        <v/>
      </c>
      <c r="BB341">
        <f>Assumptions!$B$31</f>
        <v/>
      </c>
      <c r="BC341">
        <f>Assumptions!$B$30</f>
        <v/>
      </c>
      <c r="BD341">
        <f>Assumptions!$B$29</f>
        <v/>
      </c>
      <c r="BE341">
        <f>Assumptions!$B$28</f>
        <v/>
      </c>
      <c r="BF341">
        <f>P341*Assumptions!$B$141</f>
        <v/>
      </c>
      <c r="BG341">
        <f>P341*Assumptions!$B$128</f>
        <v/>
      </c>
      <c r="BH341">
        <f>P341*Assumptions!$B$129</f>
        <v/>
      </c>
      <c r="BI341">
        <f>P341*Assumptions!$B$14</f>
        <v/>
      </c>
      <c r="BJ341">
        <f>P341*Assumptions!$B$13</f>
        <v/>
      </c>
      <c r="BK341">
        <f>P341*Assumptions!$B$12</f>
        <v/>
      </c>
      <c r="BL341">
        <f>P341*Assumptions!$B$11</f>
        <v/>
      </c>
    </row>
    <row r="342">
      <c r="A342" t="inlineStr">
        <is>
          <t>2000M</t>
        </is>
      </c>
      <c r="B342">
        <f>Assumptions!$B$60</f>
        <v/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>
        <f>(1-C342)*Assumptions!$B$41+(1-D342)*Assumptions!$B$33+(1-E342)*Assumptions!$B$32+(1-F342)*Assumptions!$B$31+(1-G342)*Assumptions!$B$30+(1-H342)*Assumptions!$B$29+(1-I342)*Assumptions!$B$28</f>
        <v/>
      </c>
      <c r="K342">
        <f>C342*Assumptions!$B$141+D342*Assumptions!$B$128+E342*Assumptions!$B$129+F342*Assumptions!$B$14+G342*Assumptions!$B$13+H342*Assumptions!$B$12+I342*Assumptions!$B$11+Assumptions!$B$133+Assumptions!$B$137+Assumptions!$B$9</f>
        <v/>
      </c>
      <c r="L342">
        <f>B342-J342</f>
        <v/>
      </c>
      <c r="M342">
        <f>IF(K342&gt;0,IF(L342/K342&gt;=Assumptions!$B$37,1,0),0)</f>
        <v/>
      </c>
      <c r="N342">
        <f>K342+M342*Assumptions!$B$153</f>
        <v/>
      </c>
      <c r="O342">
        <f>L342+M342*Assumptions!$B$153*Assumptions!$B$37</f>
        <v/>
      </c>
      <c r="P342">
        <f>IF(N342&gt;0,O342/N342,0)</f>
        <v/>
      </c>
      <c r="Q342">
        <f>IF(C342=1,P342*Assumptions!$B$141,Assumptions!$B$41)</f>
        <v/>
      </c>
      <c r="R342">
        <f>IF(D342=1,P342*Assumptions!$B$128,Assumptions!$B$33)</f>
        <v/>
      </c>
      <c r="S342">
        <f>IF(E342=1,P342*Assumptions!$B$129,Assumptions!$B$32)</f>
        <v/>
      </c>
      <c r="T342">
        <f>IF(F342=1,P342*Assumptions!$B$14,Assumptions!$B$31)</f>
        <v/>
      </c>
      <c r="U342">
        <f>IF(G342=1,P342*Assumptions!$B$13,Assumptions!$B$30)</f>
        <v/>
      </c>
      <c r="V342">
        <f>IF(H342=1,P342*Assumptions!$B$12,Assumptions!$B$29)</f>
        <v/>
      </c>
      <c r="W342">
        <f>IF(I342=1,P342*Assumptions!$B$11,Assumptions!$B$28)</f>
        <v/>
      </c>
      <c r="X342">
        <f>P342*(Assumptions!$B$133+Assumptions!$B$137)</f>
        <v/>
      </c>
      <c r="Y342">
        <f>P342*Assumptions!$B$9</f>
        <v/>
      </c>
      <c r="Z342">
        <f>IF(M342=1,(P342-Assumptions!$B$37)*Assumptions!$B$153,0)</f>
        <v/>
      </c>
      <c r="AA342">
        <f>Q342+R342+S342+T342+U342+V342+W342+X342+Y342+Z342</f>
        <v/>
      </c>
      <c r="AB342" t="n">
        <v>35</v>
      </c>
      <c r="AC342" t="n">
        <v>99</v>
      </c>
      <c r="AD342" t="n">
        <v>3</v>
      </c>
      <c r="AE342" t="n">
        <v>51</v>
      </c>
      <c r="AF342" t="n">
        <v>43</v>
      </c>
      <c r="AG342" t="n">
        <v>39</v>
      </c>
      <c r="AH342" t="n">
        <v>33</v>
      </c>
      <c r="AI342" t="n">
        <v>34</v>
      </c>
      <c r="AJ342">
        <f>INDEX($Q$307:$Q$434,AC342+1)</f>
        <v/>
      </c>
      <c r="AK342">
        <f>INDEX($R$307:$R$434,AD342+1)</f>
        <v/>
      </c>
      <c r="AL342">
        <f>INDEX($S$307:$S$434,AE342+1)</f>
        <v/>
      </c>
      <c r="AM342">
        <f>INDEX($T$307:$T$434,AF342+1)</f>
        <v/>
      </c>
      <c r="AN342">
        <f>INDEX($U$307:$U$434,AG342+1)</f>
        <v/>
      </c>
      <c r="AO342">
        <f>INDEX($V$307:$V$434,AH342+1)</f>
        <v/>
      </c>
      <c r="AP342">
        <f>INDEX($W$307:$W$434,AI342+1)</f>
        <v/>
      </c>
      <c r="AQ342">
        <f>IF(Q342&gt;=AJ342-0.01,1,0)</f>
        <v/>
      </c>
      <c r="AR342">
        <f>IF(R342&gt;=AK342-0.01,1,0)</f>
        <v/>
      </c>
      <c r="AS342">
        <f>IF(S342&gt;=AL342-0.01,1,0)</f>
        <v/>
      </c>
      <c r="AT342">
        <f>IF(T342&gt;=AM342-0.01,1,0)</f>
        <v/>
      </c>
      <c r="AU342">
        <f>IF(U342&gt;=AN342-0.01,1,0)</f>
        <v/>
      </c>
      <c r="AV342">
        <f>IF(V342&gt;=AO342-0.01,1,0)</f>
        <v/>
      </c>
      <c r="AW342">
        <f>IF(W342&gt;=AP342-0.01,1,0)</f>
        <v/>
      </c>
      <c r="AX342">
        <f>AQ342*AR342*AS342*AT342*AU342*AV342*AW342</f>
        <v/>
      </c>
      <c r="AY342">
        <f>Assumptions!$B$41</f>
        <v/>
      </c>
      <c r="AZ342">
        <f>Assumptions!$B$33</f>
        <v/>
      </c>
      <c r="BA342">
        <f>Assumptions!$B$32</f>
        <v/>
      </c>
      <c r="BB342">
        <f>Assumptions!$B$31</f>
        <v/>
      </c>
      <c r="BC342">
        <f>Assumptions!$B$30</f>
        <v/>
      </c>
      <c r="BD342">
        <f>Assumptions!$B$29</f>
        <v/>
      </c>
      <c r="BE342">
        <f>Assumptions!$B$28</f>
        <v/>
      </c>
      <c r="BF342">
        <f>P342*Assumptions!$B$141</f>
        <v/>
      </c>
      <c r="BG342">
        <f>P342*Assumptions!$B$128</f>
        <v/>
      </c>
      <c r="BH342">
        <f>P342*Assumptions!$B$129</f>
        <v/>
      </c>
      <c r="BI342">
        <f>P342*Assumptions!$B$14</f>
        <v/>
      </c>
      <c r="BJ342">
        <f>P342*Assumptions!$B$13</f>
        <v/>
      </c>
      <c r="BK342">
        <f>P342*Assumptions!$B$12</f>
        <v/>
      </c>
      <c r="BL342">
        <f>P342*Assumptions!$B$11</f>
        <v/>
      </c>
    </row>
    <row r="343">
      <c r="A343" t="inlineStr">
        <is>
          <t>2000M</t>
        </is>
      </c>
      <c r="B343">
        <f>Assumptions!$B$60</f>
        <v/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>
        <f>(1-C343)*Assumptions!$B$41+(1-D343)*Assumptions!$B$33+(1-E343)*Assumptions!$B$32+(1-F343)*Assumptions!$B$31+(1-G343)*Assumptions!$B$30+(1-H343)*Assumptions!$B$29+(1-I343)*Assumptions!$B$28</f>
        <v/>
      </c>
      <c r="K343">
        <f>C343*Assumptions!$B$141+D343*Assumptions!$B$128+E343*Assumptions!$B$129+F343*Assumptions!$B$14+G343*Assumptions!$B$13+H343*Assumptions!$B$12+I343*Assumptions!$B$11+Assumptions!$B$133+Assumptions!$B$137+Assumptions!$B$9</f>
        <v/>
      </c>
      <c r="L343">
        <f>B343-J343</f>
        <v/>
      </c>
      <c r="M343">
        <f>IF(K343&gt;0,IF(L343/K343&gt;=Assumptions!$B$37,1,0),0)</f>
        <v/>
      </c>
      <c r="N343">
        <f>K343+M343*Assumptions!$B$153</f>
        <v/>
      </c>
      <c r="O343">
        <f>L343+M343*Assumptions!$B$153*Assumptions!$B$37</f>
        <v/>
      </c>
      <c r="P343">
        <f>IF(N343&gt;0,O343/N343,0)</f>
        <v/>
      </c>
      <c r="Q343">
        <f>IF(C343=1,P343*Assumptions!$B$141,Assumptions!$B$41)</f>
        <v/>
      </c>
      <c r="R343">
        <f>IF(D343=1,P343*Assumptions!$B$128,Assumptions!$B$33)</f>
        <v/>
      </c>
      <c r="S343">
        <f>IF(E343=1,P343*Assumptions!$B$129,Assumptions!$B$32)</f>
        <v/>
      </c>
      <c r="T343">
        <f>IF(F343=1,P343*Assumptions!$B$14,Assumptions!$B$31)</f>
        <v/>
      </c>
      <c r="U343">
        <f>IF(G343=1,P343*Assumptions!$B$13,Assumptions!$B$30)</f>
        <v/>
      </c>
      <c r="V343">
        <f>IF(H343=1,P343*Assumptions!$B$12,Assumptions!$B$29)</f>
        <v/>
      </c>
      <c r="W343">
        <f>IF(I343=1,P343*Assumptions!$B$11,Assumptions!$B$28)</f>
        <v/>
      </c>
      <c r="X343">
        <f>P343*(Assumptions!$B$133+Assumptions!$B$137)</f>
        <v/>
      </c>
      <c r="Y343">
        <f>P343*Assumptions!$B$9</f>
        <v/>
      </c>
      <c r="Z343">
        <f>IF(M343=1,(P343-Assumptions!$B$37)*Assumptions!$B$153,0)</f>
        <v/>
      </c>
      <c r="AA343">
        <f>Q343+R343+S343+T343+U343+V343+W343+X343+Y343+Z343</f>
        <v/>
      </c>
      <c r="AB343" t="n">
        <v>36</v>
      </c>
      <c r="AC343" t="n">
        <v>100</v>
      </c>
      <c r="AD343" t="n">
        <v>4</v>
      </c>
      <c r="AE343" t="n">
        <v>52</v>
      </c>
      <c r="AF343" t="n">
        <v>44</v>
      </c>
      <c r="AG343" t="n">
        <v>32</v>
      </c>
      <c r="AH343" t="n">
        <v>38</v>
      </c>
      <c r="AI343" t="n">
        <v>37</v>
      </c>
      <c r="AJ343">
        <f>INDEX($Q$307:$Q$434,AC343+1)</f>
        <v/>
      </c>
      <c r="AK343">
        <f>INDEX($R$307:$R$434,AD343+1)</f>
        <v/>
      </c>
      <c r="AL343">
        <f>INDEX($S$307:$S$434,AE343+1)</f>
        <v/>
      </c>
      <c r="AM343">
        <f>INDEX($T$307:$T$434,AF343+1)</f>
        <v/>
      </c>
      <c r="AN343">
        <f>INDEX($U$307:$U$434,AG343+1)</f>
        <v/>
      </c>
      <c r="AO343">
        <f>INDEX($V$307:$V$434,AH343+1)</f>
        <v/>
      </c>
      <c r="AP343">
        <f>INDEX($W$307:$W$434,AI343+1)</f>
        <v/>
      </c>
      <c r="AQ343">
        <f>IF(Q343&gt;=AJ343-0.01,1,0)</f>
        <v/>
      </c>
      <c r="AR343">
        <f>IF(R343&gt;=AK343-0.01,1,0)</f>
        <v/>
      </c>
      <c r="AS343">
        <f>IF(S343&gt;=AL343-0.01,1,0)</f>
        <v/>
      </c>
      <c r="AT343">
        <f>IF(T343&gt;=AM343-0.01,1,0)</f>
        <v/>
      </c>
      <c r="AU343">
        <f>IF(U343&gt;=AN343-0.01,1,0)</f>
        <v/>
      </c>
      <c r="AV343">
        <f>IF(V343&gt;=AO343-0.01,1,0)</f>
        <v/>
      </c>
      <c r="AW343">
        <f>IF(W343&gt;=AP343-0.01,1,0)</f>
        <v/>
      </c>
      <c r="AX343">
        <f>AQ343*AR343*AS343*AT343*AU343*AV343*AW343</f>
        <v/>
      </c>
      <c r="AY343">
        <f>Assumptions!$B$41</f>
        <v/>
      </c>
      <c r="AZ343">
        <f>Assumptions!$B$33</f>
        <v/>
      </c>
      <c r="BA343">
        <f>Assumptions!$B$32</f>
        <v/>
      </c>
      <c r="BB343">
        <f>Assumptions!$B$31</f>
        <v/>
      </c>
      <c r="BC343">
        <f>Assumptions!$B$30</f>
        <v/>
      </c>
      <c r="BD343">
        <f>Assumptions!$B$29</f>
        <v/>
      </c>
      <c r="BE343">
        <f>Assumptions!$B$28</f>
        <v/>
      </c>
      <c r="BF343">
        <f>P343*Assumptions!$B$141</f>
        <v/>
      </c>
      <c r="BG343">
        <f>P343*Assumptions!$B$128</f>
        <v/>
      </c>
      <c r="BH343">
        <f>P343*Assumptions!$B$129</f>
        <v/>
      </c>
      <c r="BI343">
        <f>P343*Assumptions!$B$14</f>
        <v/>
      </c>
      <c r="BJ343">
        <f>P343*Assumptions!$B$13</f>
        <v/>
      </c>
      <c r="BK343">
        <f>P343*Assumptions!$B$12</f>
        <v/>
      </c>
      <c r="BL343">
        <f>P343*Assumptions!$B$11</f>
        <v/>
      </c>
    </row>
    <row r="344">
      <c r="A344" t="inlineStr">
        <is>
          <t>2000M</t>
        </is>
      </c>
      <c r="B344">
        <f>Assumptions!$B$60</f>
        <v/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>
        <f>(1-C344)*Assumptions!$B$41+(1-D344)*Assumptions!$B$33+(1-E344)*Assumptions!$B$32+(1-F344)*Assumptions!$B$31+(1-G344)*Assumptions!$B$30+(1-H344)*Assumptions!$B$29+(1-I344)*Assumptions!$B$28</f>
        <v/>
      </c>
      <c r="K344">
        <f>C344*Assumptions!$B$141+D344*Assumptions!$B$128+E344*Assumptions!$B$129+F344*Assumptions!$B$14+G344*Assumptions!$B$13+H344*Assumptions!$B$12+I344*Assumptions!$B$11+Assumptions!$B$133+Assumptions!$B$137+Assumptions!$B$9</f>
        <v/>
      </c>
      <c r="L344">
        <f>B344-J344</f>
        <v/>
      </c>
      <c r="M344">
        <f>IF(K344&gt;0,IF(L344/K344&gt;=Assumptions!$B$37,1,0),0)</f>
        <v/>
      </c>
      <c r="N344">
        <f>K344+M344*Assumptions!$B$153</f>
        <v/>
      </c>
      <c r="O344">
        <f>L344+M344*Assumptions!$B$153*Assumptions!$B$37</f>
        <v/>
      </c>
      <c r="P344">
        <f>IF(N344&gt;0,O344/N344,0)</f>
        <v/>
      </c>
      <c r="Q344">
        <f>IF(C344=1,P344*Assumptions!$B$141,Assumptions!$B$41)</f>
        <v/>
      </c>
      <c r="R344">
        <f>IF(D344=1,P344*Assumptions!$B$128,Assumptions!$B$33)</f>
        <v/>
      </c>
      <c r="S344">
        <f>IF(E344=1,P344*Assumptions!$B$129,Assumptions!$B$32)</f>
        <v/>
      </c>
      <c r="T344">
        <f>IF(F344=1,P344*Assumptions!$B$14,Assumptions!$B$31)</f>
        <v/>
      </c>
      <c r="U344">
        <f>IF(G344=1,P344*Assumptions!$B$13,Assumptions!$B$30)</f>
        <v/>
      </c>
      <c r="V344">
        <f>IF(H344=1,P344*Assumptions!$B$12,Assumptions!$B$29)</f>
        <v/>
      </c>
      <c r="W344">
        <f>IF(I344=1,P344*Assumptions!$B$11,Assumptions!$B$28)</f>
        <v/>
      </c>
      <c r="X344">
        <f>P344*(Assumptions!$B$133+Assumptions!$B$137)</f>
        <v/>
      </c>
      <c r="Y344">
        <f>P344*Assumptions!$B$9</f>
        <v/>
      </c>
      <c r="Z344">
        <f>IF(M344=1,(P344-Assumptions!$B$37)*Assumptions!$B$153,0)</f>
        <v/>
      </c>
      <c r="AA344">
        <f>Q344+R344+S344+T344+U344+V344+W344+X344+Y344+Z344</f>
        <v/>
      </c>
      <c r="AB344" t="n">
        <v>37</v>
      </c>
      <c r="AC344" t="n">
        <v>101</v>
      </c>
      <c r="AD344" t="n">
        <v>5</v>
      </c>
      <c r="AE344" t="n">
        <v>53</v>
      </c>
      <c r="AF344" t="n">
        <v>45</v>
      </c>
      <c r="AG344" t="n">
        <v>33</v>
      </c>
      <c r="AH344" t="n">
        <v>39</v>
      </c>
      <c r="AI344" t="n">
        <v>36</v>
      </c>
      <c r="AJ344">
        <f>INDEX($Q$307:$Q$434,AC344+1)</f>
        <v/>
      </c>
      <c r="AK344">
        <f>INDEX($R$307:$R$434,AD344+1)</f>
        <v/>
      </c>
      <c r="AL344">
        <f>INDEX($S$307:$S$434,AE344+1)</f>
        <v/>
      </c>
      <c r="AM344">
        <f>INDEX($T$307:$T$434,AF344+1)</f>
        <v/>
      </c>
      <c r="AN344">
        <f>INDEX($U$307:$U$434,AG344+1)</f>
        <v/>
      </c>
      <c r="AO344">
        <f>INDEX($V$307:$V$434,AH344+1)</f>
        <v/>
      </c>
      <c r="AP344">
        <f>INDEX($W$307:$W$434,AI344+1)</f>
        <v/>
      </c>
      <c r="AQ344">
        <f>IF(Q344&gt;=AJ344-0.01,1,0)</f>
        <v/>
      </c>
      <c r="AR344">
        <f>IF(R344&gt;=AK344-0.01,1,0)</f>
        <v/>
      </c>
      <c r="AS344">
        <f>IF(S344&gt;=AL344-0.01,1,0)</f>
        <v/>
      </c>
      <c r="AT344">
        <f>IF(T344&gt;=AM344-0.01,1,0)</f>
        <v/>
      </c>
      <c r="AU344">
        <f>IF(U344&gt;=AN344-0.01,1,0)</f>
        <v/>
      </c>
      <c r="AV344">
        <f>IF(V344&gt;=AO344-0.01,1,0)</f>
        <v/>
      </c>
      <c r="AW344">
        <f>IF(W344&gt;=AP344-0.01,1,0)</f>
        <v/>
      </c>
      <c r="AX344">
        <f>AQ344*AR344*AS344*AT344*AU344*AV344*AW344</f>
        <v/>
      </c>
      <c r="AY344">
        <f>Assumptions!$B$41</f>
        <v/>
      </c>
      <c r="AZ344">
        <f>Assumptions!$B$33</f>
        <v/>
      </c>
      <c r="BA344">
        <f>Assumptions!$B$32</f>
        <v/>
      </c>
      <c r="BB344">
        <f>Assumptions!$B$31</f>
        <v/>
      </c>
      <c r="BC344">
        <f>Assumptions!$B$30</f>
        <v/>
      </c>
      <c r="BD344">
        <f>Assumptions!$B$29</f>
        <v/>
      </c>
      <c r="BE344">
        <f>Assumptions!$B$28</f>
        <v/>
      </c>
      <c r="BF344">
        <f>P344*Assumptions!$B$141</f>
        <v/>
      </c>
      <c r="BG344">
        <f>P344*Assumptions!$B$128</f>
        <v/>
      </c>
      <c r="BH344">
        <f>P344*Assumptions!$B$129</f>
        <v/>
      </c>
      <c r="BI344">
        <f>P344*Assumptions!$B$14</f>
        <v/>
      </c>
      <c r="BJ344">
        <f>P344*Assumptions!$B$13</f>
        <v/>
      </c>
      <c r="BK344">
        <f>P344*Assumptions!$B$12</f>
        <v/>
      </c>
      <c r="BL344">
        <f>P344*Assumptions!$B$11</f>
        <v/>
      </c>
    </row>
    <row r="345">
      <c r="A345" t="inlineStr">
        <is>
          <t>2000M</t>
        </is>
      </c>
      <c r="B345">
        <f>Assumptions!$B$60</f>
        <v/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>
        <f>(1-C345)*Assumptions!$B$41+(1-D345)*Assumptions!$B$33+(1-E345)*Assumptions!$B$32+(1-F345)*Assumptions!$B$31+(1-G345)*Assumptions!$B$30+(1-H345)*Assumptions!$B$29+(1-I345)*Assumptions!$B$28</f>
        <v/>
      </c>
      <c r="K345">
        <f>C345*Assumptions!$B$141+D345*Assumptions!$B$128+E345*Assumptions!$B$129+F345*Assumptions!$B$14+G345*Assumptions!$B$13+H345*Assumptions!$B$12+I345*Assumptions!$B$11+Assumptions!$B$133+Assumptions!$B$137+Assumptions!$B$9</f>
        <v/>
      </c>
      <c r="L345">
        <f>B345-J345</f>
        <v/>
      </c>
      <c r="M345">
        <f>IF(K345&gt;0,IF(L345/K345&gt;=Assumptions!$B$37,1,0),0)</f>
        <v/>
      </c>
      <c r="N345">
        <f>K345+M345*Assumptions!$B$153</f>
        <v/>
      </c>
      <c r="O345">
        <f>L345+M345*Assumptions!$B$153*Assumptions!$B$37</f>
        <v/>
      </c>
      <c r="P345">
        <f>IF(N345&gt;0,O345/N345,0)</f>
        <v/>
      </c>
      <c r="Q345">
        <f>IF(C345=1,P345*Assumptions!$B$141,Assumptions!$B$41)</f>
        <v/>
      </c>
      <c r="R345">
        <f>IF(D345=1,P345*Assumptions!$B$128,Assumptions!$B$33)</f>
        <v/>
      </c>
      <c r="S345">
        <f>IF(E345=1,P345*Assumptions!$B$129,Assumptions!$B$32)</f>
        <v/>
      </c>
      <c r="T345">
        <f>IF(F345=1,P345*Assumptions!$B$14,Assumptions!$B$31)</f>
        <v/>
      </c>
      <c r="U345">
        <f>IF(G345=1,P345*Assumptions!$B$13,Assumptions!$B$30)</f>
        <v/>
      </c>
      <c r="V345">
        <f>IF(H345=1,P345*Assumptions!$B$12,Assumptions!$B$29)</f>
        <v/>
      </c>
      <c r="W345">
        <f>IF(I345=1,P345*Assumptions!$B$11,Assumptions!$B$28)</f>
        <v/>
      </c>
      <c r="X345">
        <f>P345*(Assumptions!$B$133+Assumptions!$B$137)</f>
        <v/>
      </c>
      <c r="Y345">
        <f>P345*Assumptions!$B$9</f>
        <v/>
      </c>
      <c r="Z345">
        <f>IF(M345=1,(P345-Assumptions!$B$37)*Assumptions!$B$153,0)</f>
        <v/>
      </c>
      <c r="AA345">
        <f>Q345+R345+S345+T345+U345+V345+W345+X345+Y345+Z345</f>
        <v/>
      </c>
      <c r="AB345" t="n">
        <v>38</v>
      </c>
      <c r="AC345" t="n">
        <v>102</v>
      </c>
      <c r="AD345" t="n">
        <v>6</v>
      </c>
      <c r="AE345" t="n">
        <v>54</v>
      </c>
      <c r="AF345" t="n">
        <v>46</v>
      </c>
      <c r="AG345" t="n">
        <v>34</v>
      </c>
      <c r="AH345" t="n">
        <v>36</v>
      </c>
      <c r="AI345" t="n">
        <v>39</v>
      </c>
      <c r="AJ345">
        <f>INDEX($Q$307:$Q$434,AC345+1)</f>
        <v/>
      </c>
      <c r="AK345">
        <f>INDEX($R$307:$R$434,AD345+1)</f>
        <v/>
      </c>
      <c r="AL345">
        <f>INDEX($S$307:$S$434,AE345+1)</f>
        <v/>
      </c>
      <c r="AM345">
        <f>INDEX($T$307:$T$434,AF345+1)</f>
        <v/>
      </c>
      <c r="AN345">
        <f>INDEX($U$307:$U$434,AG345+1)</f>
        <v/>
      </c>
      <c r="AO345">
        <f>INDEX($V$307:$V$434,AH345+1)</f>
        <v/>
      </c>
      <c r="AP345">
        <f>INDEX($W$307:$W$434,AI345+1)</f>
        <v/>
      </c>
      <c r="AQ345">
        <f>IF(Q345&gt;=AJ345-0.01,1,0)</f>
        <v/>
      </c>
      <c r="AR345">
        <f>IF(R345&gt;=AK345-0.01,1,0)</f>
        <v/>
      </c>
      <c r="AS345">
        <f>IF(S345&gt;=AL345-0.01,1,0)</f>
        <v/>
      </c>
      <c r="AT345">
        <f>IF(T345&gt;=AM345-0.01,1,0)</f>
        <v/>
      </c>
      <c r="AU345">
        <f>IF(U345&gt;=AN345-0.01,1,0)</f>
        <v/>
      </c>
      <c r="AV345">
        <f>IF(V345&gt;=AO345-0.01,1,0)</f>
        <v/>
      </c>
      <c r="AW345">
        <f>IF(W345&gt;=AP345-0.01,1,0)</f>
        <v/>
      </c>
      <c r="AX345">
        <f>AQ345*AR345*AS345*AT345*AU345*AV345*AW345</f>
        <v/>
      </c>
      <c r="AY345">
        <f>Assumptions!$B$41</f>
        <v/>
      </c>
      <c r="AZ345">
        <f>Assumptions!$B$33</f>
        <v/>
      </c>
      <c r="BA345">
        <f>Assumptions!$B$32</f>
        <v/>
      </c>
      <c r="BB345">
        <f>Assumptions!$B$31</f>
        <v/>
      </c>
      <c r="BC345">
        <f>Assumptions!$B$30</f>
        <v/>
      </c>
      <c r="BD345">
        <f>Assumptions!$B$29</f>
        <v/>
      </c>
      <c r="BE345">
        <f>Assumptions!$B$28</f>
        <v/>
      </c>
      <c r="BF345">
        <f>P345*Assumptions!$B$141</f>
        <v/>
      </c>
      <c r="BG345">
        <f>P345*Assumptions!$B$128</f>
        <v/>
      </c>
      <c r="BH345">
        <f>P345*Assumptions!$B$129</f>
        <v/>
      </c>
      <c r="BI345">
        <f>P345*Assumptions!$B$14</f>
        <v/>
      </c>
      <c r="BJ345">
        <f>P345*Assumptions!$B$13</f>
        <v/>
      </c>
      <c r="BK345">
        <f>P345*Assumptions!$B$12</f>
        <v/>
      </c>
      <c r="BL345">
        <f>P345*Assumptions!$B$11</f>
        <v/>
      </c>
    </row>
    <row r="346">
      <c r="A346" t="inlineStr">
        <is>
          <t>2000M</t>
        </is>
      </c>
      <c r="B346">
        <f>Assumptions!$B$60</f>
        <v/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>
        <f>(1-C346)*Assumptions!$B$41+(1-D346)*Assumptions!$B$33+(1-E346)*Assumptions!$B$32+(1-F346)*Assumptions!$B$31+(1-G346)*Assumptions!$B$30+(1-H346)*Assumptions!$B$29+(1-I346)*Assumptions!$B$28</f>
        <v/>
      </c>
      <c r="K346">
        <f>C346*Assumptions!$B$141+D346*Assumptions!$B$128+E346*Assumptions!$B$129+F346*Assumptions!$B$14+G346*Assumptions!$B$13+H346*Assumptions!$B$12+I346*Assumptions!$B$11+Assumptions!$B$133+Assumptions!$B$137+Assumptions!$B$9</f>
        <v/>
      </c>
      <c r="L346">
        <f>B346-J346</f>
        <v/>
      </c>
      <c r="M346">
        <f>IF(K346&gt;0,IF(L346/K346&gt;=Assumptions!$B$37,1,0),0)</f>
        <v/>
      </c>
      <c r="N346">
        <f>K346+M346*Assumptions!$B$153</f>
        <v/>
      </c>
      <c r="O346">
        <f>L346+M346*Assumptions!$B$153*Assumptions!$B$37</f>
        <v/>
      </c>
      <c r="P346">
        <f>IF(N346&gt;0,O346/N346,0)</f>
        <v/>
      </c>
      <c r="Q346">
        <f>IF(C346=1,P346*Assumptions!$B$141,Assumptions!$B$41)</f>
        <v/>
      </c>
      <c r="R346">
        <f>IF(D346=1,P346*Assumptions!$B$128,Assumptions!$B$33)</f>
        <v/>
      </c>
      <c r="S346">
        <f>IF(E346=1,P346*Assumptions!$B$129,Assumptions!$B$32)</f>
        <v/>
      </c>
      <c r="T346">
        <f>IF(F346=1,P346*Assumptions!$B$14,Assumptions!$B$31)</f>
        <v/>
      </c>
      <c r="U346">
        <f>IF(G346=1,P346*Assumptions!$B$13,Assumptions!$B$30)</f>
        <v/>
      </c>
      <c r="V346">
        <f>IF(H346=1,P346*Assumptions!$B$12,Assumptions!$B$29)</f>
        <v/>
      </c>
      <c r="W346">
        <f>IF(I346=1,P346*Assumptions!$B$11,Assumptions!$B$28)</f>
        <v/>
      </c>
      <c r="X346">
        <f>P346*(Assumptions!$B$133+Assumptions!$B$137)</f>
        <v/>
      </c>
      <c r="Y346">
        <f>P346*Assumptions!$B$9</f>
        <v/>
      </c>
      <c r="Z346">
        <f>IF(M346=1,(P346-Assumptions!$B$37)*Assumptions!$B$153,0)</f>
        <v/>
      </c>
      <c r="AA346">
        <f>Q346+R346+S346+T346+U346+V346+W346+X346+Y346+Z346</f>
        <v/>
      </c>
      <c r="AB346" t="n">
        <v>39</v>
      </c>
      <c r="AC346" t="n">
        <v>103</v>
      </c>
      <c r="AD346" t="n">
        <v>7</v>
      </c>
      <c r="AE346" t="n">
        <v>55</v>
      </c>
      <c r="AF346" t="n">
        <v>47</v>
      </c>
      <c r="AG346" t="n">
        <v>35</v>
      </c>
      <c r="AH346" t="n">
        <v>37</v>
      </c>
      <c r="AI346" t="n">
        <v>38</v>
      </c>
      <c r="AJ346">
        <f>INDEX($Q$307:$Q$434,AC346+1)</f>
        <v/>
      </c>
      <c r="AK346">
        <f>INDEX($R$307:$R$434,AD346+1)</f>
        <v/>
      </c>
      <c r="AL346">
        <f>INDEX($S$307:$S$434,AE346+1)</f>
        <v/>
      </c>
      <c r="AM346">
        <f>INDEX($T$307:$T$434,AF346+1)</f>
        <v/>
      </c>
      <c r="AN346">
        <f>INDEX($U$307:$U$434,AG346+1)</f>
        <v/>
      </c>
      <c r="AO346">
        <f>INDEX($V$307:$V$434,AH346+1)</f>
        <v/>
      </c>
      <c r="AP346">
        <f>INDEX($W$307:$W$434,AI346+1)</f>
        <v/>
      </c>
      <c r="AQ346">
        <f>IF(Q346&gt;=AJ346-0.01,1,0)</f>
        <v/>
      </c>
      <c r="AR346">
        <f>IF(R346&gt;=AK346-0.01,1,0)</f>
        <v/>
      </c>
      <c r="AS346">
        <f>IF(S346&gt;=AL346-0.01,1,0)</f>
        <v/>
      </c>
      <c r="AT346">
        <f>IF(T346&gt;=AM346-0.01,1,0)</f>
        <v/>
      </c>
      <c r="AU346">
        <f>IF(U346&gt;=AN346-0.01,1,0)</f>
        <v/>
      </c>
      <c r="AV346">
        <f>IF(V346&gt;=AO346-0.01,1,0)</f>
        <v/>
      </c>
      <c r="AW346">
        <f>IF(W346&gt;=AP346-0.01,1,0)</f>
        <v/>
      </c>
      <c r="AX346">
        <f>AQ346*AR346*AS346*AT346*AU346*AV346*AW346</f>
        <v/>
      </c>
      <c r="AY346">
        <f>Assumptions!$B$41</f>
        <v/>
      </c>
      <c r="AZ346">
        <f>Assumptions!$B$33</f>
        <v/>
      </c>
      <c r="BA346">
        <f>Assumptions!$B$32</f>
        <v/>
      </c>
      <c r="BB346">
        <f>Assumptions!$B$31</f>
        <v/>
      </c>
      <c r="BC346">
        <f>Assumptions!$B$30</f>
        <v/>
      </c>
      <c r="BD346">
        <f>Assumptions!$B$29</f>
        <v/>
      </c>
      <c r="BE346">
        <f>Assumptions!$B$28</f>
        <v/>
      </c>
      <c r="BF346">
        <f>P346*Assumptions!$B$141</f>
        <v/>
      </c>
      <c r="BG346">
        <f>P346*Assumptions!$B$128</f>
        <v/>
      </c>
      <c r="BH346">
        <f>P346*Assumptions!$B$129</f>
        <v/>
      </c>
      <c r="BI346">
        <f>P346*Assumptions!$B$14</f>
        <v/>
      </c>
      <c r="BJ346">
        <f>P346*Assumptions!$B$13</f>
        <v/>
      </c>
      <c r="BK346">
        <f>P346*Assumptions!$B$12</f>
        <v/>
      </c>
      <c r="BL346">
        <f>P346*Assumptions!$B$11</f>
        <v/>
      </c>
    </row>
    <row r="347">
      <c r="A347" t="inlineStr">
        <is>
          <t>2000M</t>
        </is>
      </c>
      <c r="B347">
        <f>Assumptions!$B$60</f>
        <v/>
      </c>
      <c r="C347" t="n">
        <v>0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>
        <f>(1-C347)*Assumptions!$B$41+(1-D347)*Assumptions!$B$33+(1-E347)*Assumptions!$B$32+(1-F347)*Assumptions!$B$31+(1-G347)*Assumptions!$B$30+(1-H347)*Assumptions!$B$29+(1-I347)*Assumptions!$B$28</f>
        <v/>
      </c>
      <c r="K347">
        <f>C347*Assumptions!$B$141+D347*Assumptions!$B$128+E347*Assumptions!$B$129+F347*Assumptions!$B$14+G347*Assumptions!$B$13+H347*Assumptions!$B$12+I347*Assumptions!$B$11+Assumptions!$B$133+Assumptions!$B$137+Assumptions!$B$9</f>
        <v/>
      </c>
      <c r="L347">
        <f>B347-J347</f>
        <v/>
      </c>
      <c r="M347">
        <f>IF(K347&gt;0,IF(L347/K347&gt;=Assumptions!$B$37,1,0),0)</f>
        <v/>
      </c>
      <c r="N347">
        <f>K347+M347*Assumptions!$B$153</f>
        <v/>
      </c>
      <c r="O347">
        <f>L347+M347*Assumptions!$B$153*Assumptions!$B$37</f>
        <v/>
      </c>
      <c r="P347">
        <f>IF(N347&gt;0,O347/N347,0)</f>
        <v/>
      </c>
      <c r="Q347">
        <f>IF(C347=1,P347*Assumptions!$B$141,Assumptions!$B$41)</f>
        <v/>
      </c>
      <c r="R347">
        <f>IF(D347=1,P347*Assumptions!$B$128,Assumptions!$B$33)</f>
        <v/>
      </c>
      <c r="S347">
        <f>IF(E347=1,P347*Assumptions!$B$129,Assumptions!$B$32)</f>
        <v/>
      </c>
      <c r="T347">
        <f>IF(F347=1,P347*Assumptions!$B$14,Assumptions!$B$31)</f>
        <v/>
      </c>
      <c r="U347">
        <f>IF(G347=1,P347*Assumptions!$B$13,Assumptions!$B$30)</f>
        <v/>
      </c>
      <c r="V347">
        <f>IF(H347=1,P347*Assumptions!$B$12,Assumptions!$B$29)</f>
        <v/>
      </c>
      <c r="W347">
        <f>IF(I347=1,P347*Assumptions!$B$11,Assumptions!$B$28)</f>
        <v/>
      </c>
      <c r="X347">
        <f>P347*(Assumptions!$B$133+Assumptions!$B$137)</f>
        <v/>
      </c>
      <c r="Y347">
        <f>P347*Assumptions!$B$9</f>
        <v/>
      </c>
      <c r="Z347">
        <f>IF(M347=1,(P347-Assumptions!$B$37)*Assumptions!$B$153,0)</f>
        <v/>
      </c>
      <c r="AA347">
        <f>Q347+R347+S347+T347+U347+V347+W347+X347+Y347+Z347</f>
        <v/>
      </c>
      <c r="AB347" t="n">
        <v>40</v>
      </c>
      <c r="AC347" t="n">
        <v>104</v>
      </c>
      <c r="AD347" t="n">
        <v>8</v>
      </c>
      <c r="AE347" t="n">
        <v>56</v>
      </c>
      <c r="AF347" t="n">
        <v>32</v>
      </c>
      <c r="AG347" t="n">
        <v>44</v>
      </c>
      <c r="AH347" t="n">
        <v>42</v>
      </c>
      <c r="AI347" t="n">
        <v>41</v>
      </c>
      <c r="AJ347">
        <f>INDEX($Q$307:$Q$434,AC347+1)</f>
        <v/>
      </c>
      <c r="AK347">
        <f>INDEX($R$307:$R$434,AD347+1)</f>
        <v/>
      </c>
      <c r="AL347">
        <f>INDEX($S$307:$S$434,AE347+1)</f>
        <v/>
      </c>
      <c r="AM347">
        <f>INDEX($T$307:$T$434,AF347+1)</f>
        <v/>
      </c>
      <c r="AN347">
        <f>INDEX($U$307:$U$434,AG347+1)</f>
        <v/>
      </c>
      <c r="AO347">
        <f>INDEX($V$307:$V$434,AH347+1)</f>
        <v/>
      </c>
      <c r="AP347">
        <f>INDEX($W$307:$W$434,AI347+1)</f>
        <v/>
      </c>
      <c r="AQ347">
        <f>IF(Q347&gt;=AJ347-0.01,1,0)</f>
        <v/>
      </c>
      <c r="AR347">
        <f>IF(R347&gt;=AK347-0.01,1,0)</f>
        <v/>
      </c>
      <c r="AS347">
        <f>IF(S347&gt;=AL347-0.01,1,0)</f>
        <v/>
      </c>
      <c r="AT347">
        <f>IF(T347&gt;=AM347-0.01,1,0)</f>
        <v/>
      </c>
      <c r="AU347">
        <f>IF(U347&gt;=AN347-0.01,1,0)</f>
        <v/>
      </c>
      <c r="AV347">
        <f>IF(V347&gt;=AO347-0.01,1,0)</f>
        <v/>
      </c>
      <c r="AW347">
        <f>IF(W347&gt;=AP347-0.01,1,0)</f>
        <v/>
      </c>
      <c r="AX347">
        <f>AQ347*AR347*AS347*AT347*AU347*AV347*AW347</f>
        <v/>
      </c>
      <c r="AY347">
        <f>Assumptions!$B$41</f>
        <v/>
      </c>
      <c r="AZ347">
        <f>Assumptions!$B$33</f>
        <v/>
      </c>
      <c r="BA347">
        <f>Assumptions!$B$32</f>
        <v/>
      </c>
      <c r="BB347">
        <f>Assumptions!$B$31</f>
        <v/>
      </c>
      <c r="BC347">
        <f>Assumptions!$B$30</f>
        <v/>
      </c>
      <c r="BD347">
        <f>Assumptions!$B$29</f>
        <v/>
      </c>
      <c r="BE347">
        <f>Assumptions!$B$28</f>
        <v/>
      </c>
      <c r="BF347">
        <f>P347*Assumptions!$B$141</f>
        <v/>
      </c>
      <c r="BG347">
        <f>P347*Assumptions!$B$128</f>
        <v/>
      </c>
      <c r="BH347">
        <f>P347*Assumptions!$B$129</f>
        <v/>
      </c>
      <c r="BI347">
        <f>P347*Assumptions!$B$14</f>
        <v/>
      </c>
      <c r="BJ347">
        <f>P347*Assumptions!$B$13</f>
        <v/>
      </c>
      <c r="BK347">
        <f>P347*Assumptions!$B$12</f>
        <v/>
      </c>
      <c r="BL347">
        <f>P347*Assumptions!$B$11</f>
        <v/>
      </c>
    </row>
    <row r="348">
      <c r="A348" t="inlineStr">
        <is>
          <t>2000M</t>
        </is>
      </c>
      <c r="B348">
        <f>Assumptions!$B$60</f>
        <v/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>
        <f>(1-C348)*Assumptions!$B$41+(1-D348)*Assumptions!$B$33+(1-E348)*Assumptions!$B$32+(1-F348)*Assumptions!$B$31+(1-G348)*Assumptions!$B$30+(1-H348)*Assumptions!$B$29+(1-I348)*Assumptions!$B$28</f>
        <v/>
      </c>
      <c r="K348">
        <f>C348*Assumptions!$B$141+D348*Assumptions!$B$128+E348*Assumptions!$B$129+F348*Assumptions!$B$14+G348*Assumptions!$B$13+H348*Assumptions!$B$12+I348*Assumptions!$B$11+Assumptions!$B$133+Assumptions!$B$137+Assumptions!$B$9</f>
        <v/>
      </c>
      <c r="L348">
        <f>B348-J348</f>
        <v/>
      </c>
      <c r="M348">
        <f>IF(K348&gt;0,IF(L348/K348&gt;=Assumptions!$B$37,1,0),0)</f>
        <v/>
      </c>
      <c r="N348">
        <f>K348+M348*Assumptions!$B$153</f>
        <v/>
      </c>
      <c r="O348">
        <f>L348+M348*Assumptions!$B$153*Assumptions!$B$37</f>
        <v/>
      </c>
      <c r="P348">
        <f>IF(N348&gt;0,O348/N348,0)</f>
        <v/>
      </c>
      <c r="Q348">
        <f>IF(C348=1,P348*Assumptions!$B$141,Assumptions!$B$41)</f>
        <v/>
      </c>
      <c r="R348">
        <f>IF(D348=1,P348*Assumptions!$B$128,Assumptions!$B$33)</f>
        <v/>
      </c>
      <c r="S348">
        <f>IF(E348=1,P348*Assumptions!$B$129,Assumptions!$B$32)</f>
        <v/>
      </c>
      <c r="T348">
        <f>IF(F348=1,P348*Assumptions!$B$14,Assumptions!$B$31)</f>
        <v/>
      </c>
      <c r="U348">
        <f>IF(G348=1,P348*Assumptions!$B$13,Assumptions!$B$30)</f>
        <v/>
      </c>
      <c r="V348">
        <f>IF(H348=1,P348*Assumptions!$B$12,Assumptions!$B$29)</f>
        <v/>
      </c>
      <c r="W348">
        <f>IF(I348=1,P348*Assumptions!$B$11,Assumptions!$B$28)</f>
        <v/>
      </c>
      <c r="X348">
        <f>P348*(Assumptions!$B$133+Assumptions!$B$137)</f>
        <v/>
      </c>
      <c r="Y348">
        <f>P348*Assumptions!$B$9</f>
        <v/>
      </c>
      <c r="Z348">
        <f>IF(M348=1,(P348-Assumptions!$B$37)*Assumptions!$B$153,0)</f>
        <v/>
      </c>
      <c r="AA348">
        <f>Q348+R348+S348+T348+U348+V348+W348+X348+Y348+Z348</f>
        <v/>
      </c>
      <c r="AB348" t="n">
        <v>41</v>
      </c>
      <c r="AC348" t="n">
        <v>105</v>
      </c>
      <c r="AD348" t="n">
        <v>9</v>
      </c>
      <c r="AE348" t="n">
        <v>57</v>
      </c>
      <c r="AF348" t="n">
        <v>33</v>
      </c>
      <c r="AG348" t="n">
        <v>45</v>
      </c>
      <c r="AH348" t="n">
        <v>43</v>
      </c>
      <c r="AI348" t="n">
        <v>40</v>
      </c>
      <c r="AJ348">
        <f>INDEX($Q$307:$Q$434,AC348+1)</f>
        <v/>
      </c>
      <c r="AK348">
        <f>INDEX($R$307:$R$434,AD348+1)</f>
        <v/>
      </c>
      <c r="AL348">
        <f>INDEX($S$307:$S$434,AE348+1)</f>
        <v/>
      </c>
      <c r="AM348">
        <f>INDEX($T$307:$T$434,AF348+1)</f>
        <v/>
      </c>
      <c r="AN348">
        <f>INDEX($U$307:$U$434,AG348+1)</f>
        <v/>
      </c>
      <c r="AO348">
        <f>INDEX($V$307:$V$434,AH348+1)</f>
        <v/>
      </c>
      <c r="AP348">
        <f>INDEX($W$307:$W$434,AI348+1)</f>
        <v/>
      </c>
      <c r="AQ348">
        <f>IF(Q348&gt;=AJ348-0.01,1,0)</f>
        <v/>
      </c>
      <c r="AR348">
        <f>IF(R348&gt;=AK348-0.01,1,0)</f>
        <v/>
      </c>
      <c r="AS348">
        <f>IF(S348&gt;=AL348-0.01,1,0)</f>
        <v/>
      </c>
      <c r="AT348">
        <f>IF(T348&gt;=AM348-0.01,1,0)</f>
        <v/>
      </c>
      <c r="AU348">
        <f>IF(U348&gt;=AN348-0.01,1,0)</f>
        <v/>
      </c>
      <c r="AV348">
        <f>IF(V348&gt;=AO348-0.01,1,0)</f>
        <v/>
      </c>
      <c r="AW348">
        <f>IF(W348&gt;=AP348-0.01,1,0)</f>
        <v/>
      </c>
      <c r="AX348">
        <f>AQ348*AR348*AS348*AT348*AU348*AV348*AW348</f>
        <v/>
      </c>
      <c r="AY348">
        <f>Assumptions!$B$41</f>
        <v/>
      </c>
      <c r="AZ348">
        <f>Assumptions!$B$33</f>
        <v/>
      </c>
      <c r="BA348">
        <f>Assumptions!$B$32</f>
        <v/>
      </c>
      <c r="BB348">
        <f>Assumptions!$B$31</f>
        <v/>
      </c>
      <c r="BC348">
        <f>Assumptions!$B$30</f>
        <v/>
      </c>
      <c r="BD348">
        <f>Assumptions!$B$29</f>
        <v/>
      </c>
      <c r="BE348">
        <f>Assumptions!$B$28</f>
        <v/>
      </c>
      <c r="BF348">
        <f>P348*Assumptions!$B$141</f>
        <v/>
      </c>
      <c r="BG348">
        <f>P348*Assumptions!$B$128</f>
        <v/>
      </c>
      <c r="BH348">
        <f>P348*Assumptions!$B$129</f>
        <v/>
      </c>
      <c r="BI348">
        <f>P348*Assumptions!$B$14</f>
        <v/>
      </c>
      <c r="BJ348">
        <f>P348*Assumptions!$B$13</f>
        <v/>
      </c>
      <c r="BK348">
        <f>P348*Assumptions!$B$12</f>
        <v/>
      </c>
      <c r="BL348">
        <f>P348*Assumptions!$B$11</f>
        <v/>
      </c>
    </row>
    <row r="349">
      <c r="A349" t="inlineStr">
        <is>
          <t>2000M</t>
        </is>
      </c>
      <c r="B349">
        <f>Assumptions!$B$60</f>
        <v/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>
        <f>(1-C349)*Assumptions!$B$41+(1-D349)*Assumptions!$B$33+(1-E349)*Assumptions!$B$32+(1-F349)*Assumptions!$B$31+(1-G349)*Assumptions!$B$30+(1-H349)*Assumptions!$B$29+(1-I349)*Assumptions!$B$28</f>
        <v/>
      </c>
      <c r="K349">
        <f>C349*Assumptions!$B$141+D349*Assumptions!$B$128+E349*Assumptions!$B$129+F349*Assumptions!$B$14+G349*Assumptions!$B$13+H349*Assumptions!$B$12+I349*Assumptions!$B$11+Assumptions!$B$133+Assumptions!$B$137+Assumptions!$B$9</f>
        <v/>
      </c>
      <c r="L349">
        <f>B349-J349</f>
        <v/>
      </c>
      <c r="M349">
        <f>IF(K349&gt;0,IF(L349/K349&gt;=Assumptions!$B$37,1,0),0)</f>
        <v/>
      </c>
      <c r="N349">
        <f>K349+M349*Assumptions!$B$153</f>
        <v/>
      </c>
      <c r="O349">
        <f>L349+M349*Assumptions!$B$153*Assumptions!$B$37</f>
        <v/>
      </c>
      <c r="P349">
        <f>IF(N349&gt;0,O349/N349,0)</f>
        <v/>
      </c>
      <c r="Q349">
        <f>IF(C349=1,P349*Assumptions!$B$141,Assumptions!$B$41)</f>
        <v/>
      </c>
      <c r="R349">
        <f>IF(D349=1,P349*Assumptions!$B$128,Assumptions!$B$33)</f>
        <v/>
      </c>
      <c r="S349">
        <f>IF(E349=1,P349*Assumptions!$B$129,Assumptions!$B$32)</f>
        <v/>
      </c>
      <c r="T349">
        <f>IF(F349=1,P349*Assumptions!$B$14,Assumptions!$B$31)</f>
        <v/>
      </c>
      <c r="U349">
        <f>IF(G349=1,P349*Assumptions!$B$13,Assumptions!$B$30)</f>
        <v/>
      </c>
      <c r="V349">
        <f>IF(H349=1,P349*Assumptions!$B$12,Assumptions!$B$29)</f>
        <v/>
      </c>
      <c r="W349">
        <f>IF(I349=1,P349*Assumptions!$B$11,Assumptions!$B$28)</f>
        <v/>
      </c>
      <c r="X349">
        <f>P349*(Assumptions!$B$133+Assumptions!$B$137)</f>
        <v/>
      </c>
      <c r="Y349">
        <f>P349*Assumptions!$B$9</f>
        <v/>
      </c>
      <c r="Z349">
        <f>IF(M349=1,(P349-Assumptions!$B$37)*Assumptions!$B$153,0)</f>
        <v/>
      </c>
      <c r="AA349">
        <f>Q349+R349+S349+T349+U349+V349+W349+X349+Y349+Z349</f>
        <v/>
      </c>
      <c r="AB349" t="n">
        <v>42</v>
      </c>
      <c r="AC349" t="n">
        <v>106</v>
      </c>
      <c r="AD349" t="n">
        <v>10</v>
      </c>
      <c r="AE349" t="n">
        <v>58</v>
      </c>
      <c r="AF349" t="n">
        <v>34</v>
      </c>
      <c r="AG349" t="n">
        <v>46</v>
      </c>
      <c r="AH349" t="n">
        <v>40</v>
      </c>
      <c r="AI349" t="n">
        <v>43</v>
      </c>
      <c r="AJ349">
        <f>INDEX($Q$307:$Q$434,AC349+1)</f>
        <v/>
      </c>
      <c r="AK349">
        <f>INDEX($R$307:$R$434,AD349+1)</f>
        <v/>
      </c>
      <c r="AL349">
        <f>INDEX($S$307:$S$434,AE349+1)</f>
        <v/>
      </c>
      <c r="AM349">
        <f>INDEX($T$307:$T$434,AF349+1)</f>
        <v/>
      </c>
      <c r="AN349">
        <f>INDEX($U$307:$U$434,AG349+1)</f>
        <v/>
      </c>
      <c r="AO349">
        <f>INDEX($V$307:$V$434,AH349+1)</f>
        <v/>
      </c>
      <c r="AP349">
        <f>INDEX($W$307:$W$434,AI349+1)</f>
        <v/>
      </c>
      <c r="AQ349">
        <f>IF(Q349&gt;=AJ349-0.01,1,0)</f>
        <v/>
      </c>
      <c r="AR349">
        <f>IF(R349&gt;=AK349-0.01,1,0)</f>
        <v/>
      </c>
      <c r="AS349">
        <f>IF(S349&gt;=AL349-0.01,1,0)</f>
        <v/>
      </c>
      <c r="AT349">
        <f>IF(T349&gt;=AM349-0.01,1,0)</f>
        <v/>
      </c>
      <c r="AU349">
        <f>IF(U349&gt;=AN349-0.01,1,0)</f>
        <v/>
      </c>
      <c r="AV349">
        <f>IF(V349&gt;=AO349-0.01,1,0)</f>
        <v/>
      </c>
      <c r="AW349">
        <f>IF(W349&gt;=AP349-0.01,1,0)</f>
        <v/>
      </c>
      <c r="AX349">
        <f>AQ349*AR349*AS349*AT349*AU349*AV349*AW349</f>
        <v/>
      </c>
      <c r="AY349">
        <f>Assumptions!$B$41</f>
        <v/>
      </c>
      <c r="AZ349">
        <f>Assumptions!$B$33</f>
        <v/>
      </c>
      <c r="BA349">
        <f>Assumptions!$B$32</f>
        <v/>
      </c>
      <c r="BB349">
        <f>Assumptions!$B$31</f>
        <v/>
      </c>
      <c r="BC349">
        <f>Assumptions!$B$30</f>
        <v/>
      </c>
      <c r="BD349">
        <f>Assumptions!$B$29</f>
        <v/>
      </c>
      <c r="BE349">
        <f>Assumptions!$B$28</f>
        <v/>
      </c>
      <c r="BF349">
        <f>P349*Assumptions!$B$141</f>
        <v/>
      </c>
      <c r="BG349">
        <f>P349*Assumptions!$B$128</f>
        <v/>
      </c>
      <c r="BH349">
        <f>P349*Assumptions!$B$129</f>
        <v/>
      </c>
      <c r="BI349">
        <f>P349*Assumptions!$B$14</f>
        <v/>
      </c>
      <c r="BJ349">
        <f>P349*Assumptions!$B$13</f>
        <v/>
      </c>
      <c r="BK349">
        <f>P349*Assumptions!$B$12</f>
        <v/>
      </c>
      <c r="BL349">
        <f>P349*Assumptions!$B$11</f>
        <v/>
      </c>
    </row>
    <row r="350">
      <c r="A350" t="inlineStr">
        <is>
          <t>2000M</t>
        </is>
      </c>
      <c r="B350">
        <f>Assumptions!$B$60</f>
        <v/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1</v>
      </c>
      <c r="J350">
        <f>(1-C350)*Assumptions!$B$41+(1-D350)*Assumptions!$B$33+(1-E350)*Assumptions!$B$32+(1-F350)*Assumptions!$B$31+(1-G350)*Assumptions!$B$30+(1-H350)*Assumptions!$B$29+(1-I350)*Assumptions!$B$28</f>
        <v/>
      </c>
      <c r="K350">
        <f>C350*Assumptions!$B$141+D350*Assumptions!$B$128+E350*Assumptions!$B$129+F350*Assumptions!$B$14+G350*Assumptions!$B$13+H350*Assumptions!$B$12+I350*Assumptions!$B$11+Assumptions!$B$133+Assumptions!$B$137+Assumptions!$B$9</f>
        <v/>
      </c>
      <c r="L350">
        <f>B350-J350</f>
        <v/>
      </c>
      <c r="M350">
        <f>IF(K350&gt;0,IF(L350/K350&gt;=Assumptions!$B$37,1,0),0)</f>
        <v/>
      </c>
      <c r="N350">
        <f>K350+M350*Assumptions!$B$153</f>
        <v/>
      </c>
      <c r="O350">
        <f>L350+M350*Assumptions!$B$153*Assumptions!$B$37</f>
        <v/>
      </c>
      <c r="P350">
        <f>IF(N350&gt;0,O350/N350,0)</f>
        <v/>
      </c>
      <c r="Q350">
        <f>IF(C350=1,P350*Assumptions!$B$141,Assumptions!$B$41)</f>
        <v/>
      </c>
      <c r="R350">
        <f>IF(D350=1,P350*Assumptions!$B$128,Assumptions!$B$33)</f>
        <v/>
      </c>
      <c r="S350">
        <f>IF(E350=1,P350*Assumptions!$B$129,Assumptions!$B$32)</f>
        <v/>
      </c>
      <c r="T350">
        <f>IF(F350=1,P350*Assumptions!$B$14,Assumptions!$B$31)</f>
        <v/>
      </c>
      <c r="U350">
        <f>IF(G350=1,P350*Assumptions!$B$13,Assumptions!$B$30)</f>
        <v/>
      </c>
      <c r="V350">
        <f>IF(H350=1,P350*Assumptions!$B$12,Assumptions!$B$29)</f>
        <v/>
      </c>
      <c r="W350">
        <f>IF(I350=1,P350*Assumptions!$B$11,Assumptions!$B$28)</f>
        <v/>
      </c>
      <c r="X350">
        <f>P350*(Assumptions!$B$133+Assumptions!$B$137)</f>
        <v/>
      </c>
      <c r="Y350">
        <f>P350*Assumptions!$B$9</f>
        <v/>
      </c>
      <c r="Z350">
        <f>IF(M350=1,(P350-Assumptions!$B$37)*Assumptions!$B$153,0)</f>
        <v/>
      </c>
      <c r="AA350">
        <f>Q350+R350+S350+T350+U350+V350+W350+X350+Y350+Z350</f>
        <v/>
      </c>
      <c r="AB350" t="n">
        <v>43</v>
      </c>
      <c r="AC350" t="n">
        <v>107</v>
      </c>
      <c r="AD350" t="n">
        <v>11</v>
      </c>
      <c r="AE350" t="n">
        <v>59</v>
      </c>
      <c r="AF350" t="n">
        <v>35</v>
      </c>
      <c r="AG350" t="n">
        <v>47</v>
      </c>
      <c r="AH350" t="n">
        <v>41</v>
      </c>
      <c r="AI350" t="n">
        <v>42</v>
      </c>
      <c r="AJ350">
        <f>INDEX($Q$307:$Q$434,AC350+1)</f>
        <v/>
      </c>
      <c r="AK350">
        <f>INDEX($R$307:$R$434,AD350+1)</f>
        <v/>
      </c>
      <c r="AL350">
        <f>INDEX($S$307:$S$434,AE350+1)</f>
        <v/>
      </c>
      <c r="AM350">
        <f>INDEX($T$307:$T$434,AF350+1)</f>
        <v/>
      </c>
      <c r="AN350">
        <f>INDEX($U$307:$U$434,AG350+1)</f>
        <v/>
      </c>
      <c r="AO350">
        <f>INDEX($V$307:$V$434,AH350+1)</f>
        <v/>
      </c>
      <c r="AP350">
        <f>INDEX($W$307:$W$434,AI350+1)</f>
        <v/>
      </c>
      <c r="AQ350">
        <f>IF(Q350&gt;=AJ350-0.01,1,0)</f>
        <v/>
      </c>
      <c r="AR350">
        <f>IF(R350&gt;=AK350-0.01,1,0)</f>
        <v/>
      </c>
      <c r="AS350">
        <f>IF(S350&gt;=AL350-0.01,1,0)</f>
        <v/>
      </c>
      <c r="AT350">
        <f>IF(T350&gt;=AM350-0.01,1,0)</f>
        <v/>
      </c>
      <c r="AU350">
        <f>IF(U350&gt;=AN350-0.01,1,0)</f>
        <v/>
      </c>
      <c r="AV350">
        <f>IF(V350&gt;=AO350-0.01,1,0)</f>
        <v/>
      </c>
      <c r="AW350">
        <f>IF(W350&gt;=AP350-0.01,1,0)</f>
        <v/>
      </c>
      <c r="AX350">
        <f>AQ350*AR350*AS350*AT350*AU350*AV350*AW350</f>
        <v/>
      </c>
      <c r="AY350">
        <f>Assumptions!$B$41</f>
        <v/>
      </c>
      <c r="AZ350">
        <f>Assumptions!$B$33</f>
        <v/>
      </c>
      <c r="BA350">
        <f>Assumptions!$B$32</f>
        <v/>
      </c>
      <c r="BB350">
        <f>Assumptions!$B$31</f>
        <v/>
      </c>
      <c r="BC350">
        <f>Assumptions!$B$30</f>
        <v/>
      </c>
      <c r="BD350">
        <f>Assumptions!$B$29</f>
        <v/>
      </c>
      <c r="BE350">
        <f>Assumptions!$B$28</f>
        <v/>
      </c>
      <c r="BF350">
        <f>P350*Assumptions!$B$141</f>
        <v/>
      </c>
      <c r="BG350">
        <f>P350*Assumptions!$B$128</f>
        <v/>
      </c>
      <c r="BH350">
        <f>P350*Assumptions!$B$129</f>
        <v/>
      </c>
      <c r="BI350">
        <f>P350*Assumptions!$B$14</f>
        <v/>
      </c>
      <c r="BJ350">
        <f>P350*Assumptions!$B$13</f>
        <v/>
      </c>
      <c r="BK350">
        <f>P350*Assumptions!$B$12</f>
        <v/>
      </c>
      <c r="BL350">
        <f>P350*Assumptions!$B$11</f>
        <v/>
      </c>
    </row>
    <row r="351">
      <c r="A351" t="inlineStr">
        <is>
          <t>2000M</t>
        </is>
      </c>
      <c r="B351">
        <f>Assumptions!$B$60</f>
        <v/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>
        <f>(1-C351)*Assumptions!$B$41+(1-D351)*Assumptions!$B$33+(1-E351)*Assumptions!$B$32+(1-F351)*Assumptions!$B$31+(1-G351)*Assumptions!$B$30+(1-H351)*Assumptions!$B$29+(1-I351)*Assumptions!$B$28</f>
        <v/>
      </c>
      <c r="K351">
        <f>C351*Assumptions!$B$141+D351*Assumptions!$B$128+E351*Assumptions!$B$129+F351*Assumptions!$B$14+G351*Assumptions!$B$13+H351*Assumptions!$B$12+I351*Assumptions!$B$11+Assumptions!$B$133+Assumptions!$B$137+Assumptions!$B$9</f>
        <v/>
      </c>
      <c r="L351">
        <f>B351-J351</f>
        <v/>
      </c>
      <c r="M351">
        <f>IF(K351&gt;0,IF(L351/K351&gt;=Assumptions!$B$37,1,0),0)</f>
        <v/>
      </c>
      <c r="N351">
        <f>K351+M351*Assumptions!$B$153</f>
        <v/>
      </c>
      <c r="O351">
        <f>L351+M351*Assumptions!$B$153*Assumptions!$B$37</f>
        <v/>
      </c>
      <c r="P351">
        <f>IF(N351&gt;0,O351/N351,0)</f>
        <v/>
      </c>
      <c r="Q351">
        <f>IF(C351=1,P351*Assumptions!$B$141,Assumptions!$B$41)</f>
        <v/>
      </c>
      <c r="R351">
        <f>IF(D351=1,P351*Assumptions!$B$128,Assumptions!$B$33)</f>
        <v/>
      </c>
      <c r="S351">
        <f>IF(E351=1,P351*Assumptions!$B$129,Assumptions!$B$32)</f>
        <v/>
      </c>
      <c r="T351">
        <f>IF(F351=1,P351*Assumptions!$B$14,Assumptions!$B$31)</f>
        <v/>
      </c>
      <c r="U351">
        <f>IF(G351=1,P351*Assumptions!$B$13,Assumptions!$B$30)</f>
        <v/>
      </c>
      <c r="V351">
        <f>IF(H351=1,P351*Assumptions!$B$12,Assumptions!$B$29)</f>
        <v/>
      </c>
      <c r="W351">
        <f>IF(I351=1,P351*Assumptions!$B$11,Assumptions!$B$28)</f>
        <v/>
      </c>
      <c r="X351">
        <f>P351*(Assumptions!$B$133+Assumptions!$B$137)</f>
        <v/>
      </c>
      <c r="Y351">
        <f>P351*Assumptions!$B$9</f>
        <v/>
      </c>
      <c r="Z351">
        <f>IF(M351=1,(P351-Assumptions!$B$37)*Assumptions!$B$153,0)</f>
        <v/>
      </c>
      <c r="AA351">
        <f>Q351+R351+S351+T351+U351+V351+W351+X351+Y351+Z351</f>
        <v/>
      </c>
      <c r="AB351" t="n">
        <v>44</v>
      </c>
      <c r="AC351" t="n">
        <v>108</v>
      </c>
      <c r="AD351" t="n">
        <v>12</v>
      </c>
      <c r="AE351" t="n">
        <v>60</v>
      </c>
      <c r="AF351" t="n">
        <v>36</v>
      </c>
      <c r="AG351" t="n">
        <v>40</v>
      </c>
      <c r="AH351" t="n">
        <v>46</v>
      </c>
      <c r="AI351" t="n">
        <v>45</v>
      </c>
      <c r="AJ351">
        <f>INDEX($Q$307:$Q$434,AC351+1)</f>
        <v/>
      </c>
      <c r="AK351">
        <f>INDEX($R$307:$R$434,AD351+1)</f>
        <v/>
      </c>
      <c r="AL351">
        <f>INDEX($S$307:$S$434,AE351+1)</f>
        <v/>
      </c>
      <c r="AM351">
        <f>INDEX($T$307:$T$434,AF351+1)</f>
        <v/>
      </c>
      <c r="AN351">
        <f>INDEX($U$307:$U$434,AG351+1)</f>
        <v/>
      </c>
      <c r="AO351">
        <f>INDEX($V$307:$V$434,AH351+1)</f>
        <v/>
      </c>
      <c r="AP351">
        <f>INDEX($W$307:$W$434,AI351+1)</f>
        <v/>
      </c>
      <c r="AQ351">
        <f>IF(Q351&gt;=AJ351-0.01,1,0)</f>
        <v/>
      </c>
      <c r="AR351">
        <f>IF(R351&gt;=AK351-0.01,1,0)</f>
        <v/>
      </c>
      <c r="AS351">
        <f>IF(S351&gt;=AL351-0.01,1,0)</f>
        <v/>
      </c>
      <c r="AT351">
        <f>IF(T351&gt;=AM351-0.01,1,0)</f>
        <v/>
      </c>
      <c r="AU351">
        <f>IF(U351&gt;=AN351-0.01,1,0)</f>
        <v/>
      </c>
      <c r="AV351">
        <f>IF(V351&gt;=AO351-0.01,1,0)</f>
        <v/>
      </c>
      <c r="AW351">
        <f>IF(W351&gt;=AP351-0.01,1,0)</f>
        <v/>
      </c>
      <c r="AX351">
        <f>AQ351*AR351*AS351*AT351*AU351*AV351*AW351</f>
        <v/>
      </c>
      <c r="AY351">
        <f>Assumptions!$B$41</f>
        <v/>
      </c>
      <c r="AZ351">
        <f>Assumptions!$B$33</f>
        <v/>
      </c>
      <c r="BA351">
        <f>Assumptions!$B$32</f>
        <v/>
      </c>
      <c r="BB351">
        <f>Assumptions!$B$31</f>
        <v/>
      </c>
      <c r="BC351">
        <f>Assumptions!$B$30</f>
        <v/>
      </c>
      <c r="BD351">
        <f>Assumptions!$B$29</f>
        <v/>
      </c>
      <c r="BE351">
        <f>Assumptions!$B$28</f>
        <v/>
      </c>
      <c r="BF351">
        <f>P351*Assumptions!$B$141</f>
        <v/>
      </c>
      <c r="BG351">
        <f>P351*Assumptions!$B$128</f>
        <v/>
      </c>
      <c r="BH351">
        <f>P351*Assumptions!$B$129</f>
        <v/>
      </c>
      <c r="BI351">
        <f>P351*Assumptions!$B$14</f>
        <v/>
      </c>
      <c r="BJ351">
        <f>P351*Assumptions!$B$13</f>
        <v/>
      </c>
      <c r="BK351">
        <f>P351*Assumptions!$B$12</f>
        <v/>
      </c>
      <c r="BL351">
        <f>P351*Assumptions!$B$11</f>
        <v/>
      </c>
    </row>
    <row r="352">
      <c r="A352" t="inlineStr">
        <is>
          <t>2000M</t>
        </is>
      </c>
      <c r="B352">
        <f>Assumptions!$B$60</f>
        <v/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1</v>
      </c>
      <c r="J352">
        <f>(1-C352)*Assumptions!$B$41+(1-D352)*Assumptions!$B$33+(1-E352)*Assumptions!$B$32+(1-F352)*Assumptions!$B$31+(1-G352)*Assumptions!$B$30+(1-H352)*Assumptions!$B$29+(1-I352)*Assumptions!$B$28</f>
        <v/>
      </c>
      <c r="K352">
        <f>C352*Assumptions!$B$141+D352*Assumptions!$B$128+E352*Assumptions!$B$129+F352*Assumptions!$B$14+G352*Assumptions!$B$13+H352*Assumptions!$B$12+I352*Assumptions!$B$11+Assumptions!$B$133+Assumptions!$B$137+Assumptions!$B$9</f>
        <v/>
      </c>
      <c r="L352">
        <f>B352-J352</f>
        <v/>
      </c>
      <c r="M352">
        <f>IF(K352&gt;0,IF(L352/K352&gt;=Assumptions!$B$37,1,0),0)</f>
        <v/>
      </c>
      <c r="N352">
        <f>K352+M352*Assumptions!$B$153</f>
        <v/>
      </c>
      <c r="O352">
        <f>L352+M352*Assumptions!$B$153*Assumptions!$B$37</f>
        <v/>
      </c>
      <c r="P352">
        <f>IF(N352&gt;0,O352/N352,0)</f>
        <v/>
      </c>
      <c r="Q352">
        <f>IF(C352=1,P352*Assumptions!$B$141,Assumptions!$B$41)</f>
        <v/>
      </c>
      <c r="R352">
        <f>IF(D352=1,P352*Assumptions!$B$128,Assumptions!$B$33)</f>
        <v/>
      </c>
      <c r="S352">
        <f>IF(E352=1,P352*Assumptions!$B$129,Assumptions!$B$32)</f>
        <v/>
      </c>
      <c r="T352">
        <f>IF(F352=1,P352*Assumptions!$B$14,Assumptions!$B$31)</f>
        <v/>
      </c>
      <c r="U352">
        <f>IF(G352=1,P352*Assumptions!$B$13,Assumptions!$B$30)</f>
        <v/>
      </c>
      <c r="V352">
        <f>IF(H352=1,P352*Assumptions!$B$12,Assumptions!$B$29)</f>
        <v/>
      </c>
      <c r="W352">
        <f>IF(I352=1,P352*Assumptions!$B$11,Assumptions!$B$28)</f>
        <v/>
      </c>
      <c r="X352">
        <f>P352*(Assumptions!$B$133+Assumptions!$B$137)</f>
        <v/>
      </c>
      <c r="Y352">
        <f>P352*Assumptions!$B$9</f>
        <v/>
      </c>
      <c r="Z352">
        <f>IF(M352=1,(P352-Assumptions!$B$37)*Assumptions!$B$153,0)</f>
        <v/>
      </c>
      <c r="AA352">
        <f>Q352+R352+S352+T352+U352+V352+W352+X352+Y352+Z352</f>
        <v/>
      </c>
      <c r="AB352" t="n">
        <v>45</v>
      </c>
      <c r="AC352" t="n">
        <v>109</v>
      </c>
      <c r="AD352" t="n">
        <v>13</v>
      </c>
      <c r="AE352" t="n">
        <v>61</v>
      </c>
      <c r="AF352" t="n">
        <v>37</v>
      </c>
      <c r="AG352" t="n">
        <v>41</v>
      </c>
      <c r="AH352" t="n">
        <v>47</v>
      </c>
      <c r="AI352" t="n">
        <v>44</v>
      </c>
      <c r="AJ352">
        <f>INDEX($Q$307:$Q$434,AC352+1)</f>
        <v/>
      </c>
      <c r="AK352">
        <f>INDEX($R$307:$R$434,AD352+1)</f>
        <v/>
      </c>
      <c r="AL352">
        <f>INDEX($S$307:$S$434,AE352+1)</f>
        <v/>
      </c>
      <c r="AM352">
        <f>INDEX($T$307:$T$434,AF352+1)</f>
        <v/>
      </c>
      <c r="AN352">
        <f>INDEX($U$307:$U$434,AG352+1)</f>
        <v/>
      </c>
      <c r="AO352">
        <f>INDEX($V$307:$V$434,AH352+1)</f>
        <v/>
      </c>
      <c r="AP352">
        <f>INDEX($W$307:$W$434,AI352+1)</f>
        <v/>
      </c>
      <c r="AQ352">
        <f>IF(Q352&gt;=AJ352-0.01,1,0)</f>
        <v/>
      </c>
      <c r="AR352">
        <f>IF(R352&gt;=AK352-0.01,1,0)</f>
        <v/>
      </c>
      <c r="AS352">
        <f>IF(S352&gt;=AL352-0.01,1,0)</f>
        <v/>
      </c>
      <c r="AT352">
        <f>IF(T352&gt;=AM352-0.01,1,0)</f>
        <v/>
      </c>
      <c r="AU352">
        <f>IF(U352&gt;=AN352-0.01,1,0)</f>
        <v/>
      </c>
      <c r="AV352">
        <f>IF(V352&gt;=AO352-0.01,1,0)</f>
        <v/>
      </c>
      <c r="AW352">
        <f>IF(W352&gt;=AP352-0.01,1,0)</f>
        <v/>
      </c>
      <c r="AX352">
        <f>AQ352*AR352*AS352*AT352*AU352*AV352*AW352</f>
        <v/>
      </c>
      <c r="AY352">
        <f>Assumptions!$B$41</f>
        <v/>
      </c>
      <c r="AZ352">
        <f>Assumptions!$B$33</f>
        <v/>
      </c>
      <c r="BA352">
        <f>Assumptions!$B$32</f>
        <v/>
      </c>
      <c r="BB352">
        <f>Assumptions!$B$31</f>
        <v/>
      </c>
      <c r="BC352">
        <f>Assumptions!$B$30</f>
        <v/>
      </c>
      <c r="BD352">
        <f>Assumptions!$B$29</f>
        <v/>
      </c>
      <c r="BE352">
        <f>Assumptions!$B$28</f>
        <v/>
      </c>
      <c r="BF352">
        <f>P352*Assumptions!$B$141</f>
        <v/>
      </c>
      <c r="BG352">
        <f>P352*Assumptions!$B$128</f>
        <v/>
      </c>
      <c r="BH352">
        <f>P352*Assumptions!$B$129</f>
        <v/>
      </c>
      <c r="BI352">
        <f>P352*Assumptions!$B$14</f>
        <v/>
      </c>
      <c r="BJ352">
        <f>P352*Assumptions!$B$13</f>
        <v/>
      </c>
      <c r="BK352">
        <f>P352*Assumptions!$B$12</f>
        <v/>
      </c>
      <c r="BL352">
        <f>P352*Assumptions!$B$11</f>
        <v/>
      </c>
    </row>
    <row r="353">
      <c r="A353" t="inlineStr">
        <is>
          <t>2000M</t>
        </is>
      </c>
      <c r="B353">
        <f>Assumptions!$B$60</f>
        <v/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0</v>
      </c>
      <c r="J353">
        <f>(1-C353)*Assumptions!$B$41+(1-D353)*Assumptions!$B$33+(1-E353)*Assumptions!$B$32+(1-F353)*Assumptions!$B$31+(1-G353)*Assumptions!$B$30+(1-H353)*Assumptions!$B$29+(1-I353)*Assumptions!$B$28</f>
        <v/>
      </c>
      <c r="K353">
        <f>C353*Assumptions!$B$141+D353*Assumptions!$B$128+E353*Assumptions!$B$129+F353*Assumptions!$B$14+G353*Assumptions!$B$13+H353*Assumptions!$B$12+I353*Assumptions!$B$11+Assumptions!$B$133+Assumptions!$B$137+Assumptions!$B$9</f>
        <v/>
      </c>
      <c r="L353">
        <f>B353-J353</f>
        <v/>
      </c>
      <c r="M353">
        <f>IF(K353&gt;0,IF(L353/K353&gt;=Assumptions!$B$37,1,0),0)</f>
        <v/>
      </c>
      <c r="N353">
        <f>K353+M353*Assumptions!$B$153</f>
        <v/>
      </c>
      <c r="O353">
        <f>L353+M353*Assumptions!$B$153*Assumptions!$B$37</f>
        <v/>
      </c>
      <c r="P353">
        <f>IF(N353&gt;0,O353/N353,0)</f>
        <v/>
      </c>
      <c r="Q353">
        <f>IF(C353=1,P353*Assumptions!$B$141,Assumptions!$B$41)</f>
        <v/>
      </c>
      <c r="R353">
        <f>IF(D353=1,P353*Assumptions!$B$128,Assumptions!$B$33)</f>
        <v/>
      </c>
      <c r="S353">
        <f>IF(E353=1,P353*Assumptions!$B$129,Assumptions!$B$32)</f>
        <v/>
      </c>
      <c r="T353">
        <f>IF(F353=1,P353*Assumptions!$B$14,Assumptions!$B$31)</f>
        <v/>
      </c>
      <c r="U353">
        <f>IF(G353=1,P353*Assumptions!$B$13,Assumptions!$B$30)</f>
        <v/>
      </c>
      <c r="V353">
        <f>IF(H353=1,P353*Assumptions!$B$12,Assumptions!$B$29)</f>
        <v/>
      </c>
      <c r="W353">
        <f>IF(I353=1,P353*Assumptions!$B$11,Assumptions!$B$28)</f>
        <v/>
      </c>
      <c r="X353">
        <f>P353*(Assumptions!$B$133+Assumptions!$B$137)</f>
        <v/>
      </c>
      <c r="Y353">
        <f>P353*Assumptions!$B$9</f>
        <v/>
      </c>
      <c r="Z353">
        <f>IF(M353=1,(P353-Assumptions!$B$37)*Assumptions!$B$153,0)</f>
        <v/>
      </c>
      <c r="AA353">
        <f>Q353+R353+S353+T353+U353+V353+W353+X353+Y353+Z353</f>
        <v/>
      </c>
      <c r="AB353" t="n">
        <v>46</v>
      </c>
      <c r="AC353" t="n">
        <v>110</v>
      </c>
      <c r="AD353" t="n">
        <v>14</v>
      </c>
      <c r="AE353" t="n">
        <v>62</v>
      </c>
      <c r="AF353" t="n">
        <v>38</v>
      </c>
      <c r="AG353" t="n">
        <v>42</v>
      </c>
      <c r="AH353" t="n">
        <v>44</v>
      </c>
      <c r="AI353" t="n">
        <v>47</v>
      </c>
      <c r="AJ353">
        <f>INDEX($Q$307:$Q$434,AC353+1)</f>
        <v/>
      </c>
      <c r="AK353">
        <f>INDEX($R$307:$R$434,AD353+1)</f>
        <v/>
      </c>
      <c r="AL353">
        <f>INDEX($S$307:$S$434,AE353+1)</f>
        <v/>
      </c>
      <c r="AM353">
        <f>INDEX($T$307:$T$434,AF353+1)</f>
        <v/>
      </c>
      <c r="AN353">
        <f>INDEX($U$307:$U$434,AG353+1)</f>
        <v/>
      </c>
      <c r="AO353">
        <f>INDEX($V$307:$V$434,AH353+1)</f>
        <v/>
      </c>
      <c r="AP353">
        <f>INDEX($W$307:$W$434,AI353+1)</f>
        <v/>
      </c>
      <c r="AQ353">
        <f>IF(Q353&gt;=AJ353-0.01,1,0)</f>
        <v/>
      </c>
      <c r="AR353">
        <f>IF(R353&gt;=AK353-0.01,1,0)</f>
        <v/>
      </c>
      <c r="AS353">
        <f>IF(S353&gt;=AL353-0.01,1,0)</f>
        <v/>
      </c>
      <c r="AT353">
        <f>IF(T353&gt;=AM353-0.01,1,0)</f>
        <v/>
      </c>
      <c r="AU353">
        <f>IF(U353&gt;=AN353-0.01,1,0)</f>
        <v/>
      </c>
      <c r="AV353">
        <f>IF(V353&gt;=AO353-0.01,1,0)</f>
        <v/>
      </c>
      <c r="AW353">
        <f>IF(W353&gt;=AP353-0.01,1,0)</f>
        <v/>
      </c>
      <c r="AX353">
        <f>AQ353*AR353*AS353*AT353*AU353*AV353*AW353</f>
        <v/>
      </c>
      <c r="AY353">
        <f>Assumptions!$B$41</f>
        <v/>
      </c>
      <c r="AZ353">
        <f>Assumptions!$B$33</f>
        <v/>
      </c>
      <c r="BA353">
        <f>Assumptions!$B$32</f>
        <v/>
      </c>
      <c r="BB353">
        <f>Assumptions!$B$31</f>
        <v/>
      </c>
      <c r="BC353">
        <f>Assumptions!$B$30</f>
        <v/>
      </c>
      <c r="BD353">
        <f>Assumptions!$B$29</f>
        <v/>
      </c>
      <c r="BE353">
        <f>Assumptions!$B$28</f>
        <v/>
      </c>
      <c r="BF353">
        <f>P353*Assumptions!$B$141</f>
        <v/>
      </c>
      <c r="BG353">
        <f>P353*Assumptions!$B$128</f>
        <v/>
      </c>
      <c r="BH353">
        <f>P353*Assumptions!$B$129</f>
        <v/>
      </c>
      <c r="BI353">
        <f>P353*Assumptions!$B$14</f>
        <v/>
      </c>
      <c r="BJ353">
        <f>P353*Assumptions!$B$13</f>
        <v/>
      </c>
      <c r="BK353">
        <f>P353*Assumptions!$B$12</f>
        <v/>
      </c>
      <c r="BL353">
        <f>P353*Assumptions!$B$11</f>
        <v/>
      </c>
    </row>
    <row r="354">
      <c r="A354" t="inlineStr">
        <is>
          <t>2000M</t>
        </is>
      </c>
      <c r="B354">
        <f>Assumptions!$B$60</f>
        <v/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>
        <f>(1-C354)*Assumptions!$B$41+(1-D354)*Assumptions!$B$33+(1-E354)*Assumptions!$B$32+(1-F354)*Assumptions!$B$31+(1-G354)*Assumptions!$B$30+(1-H354)*Assumptions!$B$29+(1-I354)*Assumptions!$B$28</f>
        <v/>
      </c>
      <c r="K354">
        <f>C354*Assumptions!$B$141+D354*Assumptions!$B$128+E354*Assumptions!$B$129+F354*Assumptions!$B$14+G354*Assumptions!$B$13+H354*Assumptions!$B$12+I354*Assumptions!$B$11+Assumptions!$B$133+Assumptions!$B$137+Assumptions!$B$9</f>
        <v/>
      </c>
      <c r="L354">
        <f>B354-J354</f>
        <v/>
      </c>
      <c r="M354">
        <f>IF(K354&gt;0,IF(L354/K354&gt;=Assumptions!$B$37,1,0),0)</f>
        <v/>
      </c>
      <c r="N354">
        <f>K354+M354*Assumptions!$B$153</f>
        <v/>
      </c>
      <c r="O354">
        <f>L354+M354*Assumptions!$B$153*Assumptions!$B$37</f>
        <v/>
      </c>
      <c r="P354">
        <f>IF(N354&gt;0,O354/N354,0)</f>
        <v/>
      </c>
      <c r="Q354">
        <f>IF(C354=1,P354*Assumptions!$B$141,Assumptions!$B$41)</f>
        <v/>
      </c>
      <c r="R354">
        <f>IF(D354=1,P354*Assumptions!$B$128,Assumptions!$B$33)</f>
        <v/>
      </c>
      <c r="S354">
        <f>IF(E354=1,P354*Assumptions!$B$129,Assumptions!$B$32)</f>
        <v/>
      </c>
      <c r="T354">
        <f>IF(F354=1,P354*Assumptions!$B$14,Assumptions!$B$31)</f>
        <v/>
      </c>
      <c r="U354">
        <f>IF(G354=1,P354*Assumptions!$B$13,Assumptions!$B$30)</f>
        <v/>
      </c>
      <c r="V354">
        <f>IF(H354=1,P354*Assumptions!$B$12,Assumptions!$B$29)</f>
        <v/>
      </c>
      <c r="W354">
        <f>IF(I354=1,P354*Assumptions!$B$11,Assumptions!$B$28)</f>
        <v/>
      </c>
      <c r="X354">
        <f>P354*(Assumptions!$B$133+Assumptions!$B$137)</f>
        <v/>
      </c>
      <c r="Y354">
        <f>P354*Assumptions!$B$9</f>
        <v/>
      </c>
      <c r="Z354">
        <f>IF(M354=1,(P354-Assumptions!$B$37)*Assumptions!$B$153,0)</f>
        <v/>
      </c>
      <c r="AA354">
        <f>Q354+R354+S354+T354+U354+V354+W354+X354+Y354+Z354</f>
        <v/>
      </c>
      <c r="AB354" t="n">
        <v>47</v>
      </c>
      <c r="AC354" t="n">
        <v>111</v>
      </c>
      <c r="AD354" t="n">
        <v>15</v>
      </c>
      <c r="AE354" t="n">
        <v>63</v>
      </c>
      <c r="AF354" t="n">
        <v>39</v>
      </c>
      <c r="AG354" t="n">
        <v>43</v>
      </c>
      <c r="AH354" t="n">
        <v>45</v>
      </c>
      <c r="AI354" t="n">
        <v>46</v>
      </c>
      <c r="AJ354">
        <f>INDEX($Q$307:$Q$434,AC354+1)</f>
        <v/>
      </c>
      <c r="AK354">
        <f>INDEX($R$307:$R$434,AD354+1)</f>
        <v/>
      </c>
      <c r="AL354">
        <f>INDEX($S$307:$S$434,AE354+1)</f>
        <v/>
      </c>
      <c r="AM354">
        <f>INDEX($T$307:$T$434,AF354+1)</f>
        <v/>
      </c>
      <c r="AN354">
        <f>INDEX($U$307:$U$434,AG354+1)</f>
        <v/>
      </c>
      <c r="AO354">
        <f>INDEX($V$307:$V$434,AH354+1)</f>
        <v/>
      </c>
      <c r="AP354">
        <f>INDEX($W$307:$W$434,AI354+1)</f>
        <v/>
      </c>
      <c r="AQ354">
        <f>IF(Q354&gt;=AJ354-0.01,1,0)</f>
        <v/>
      </c>
      <c r="AR354">
        <f>IF(R354&gt;=AK354-0.01,1,0)</f>
        <v/>
      </c>
      <c r="AS354">
        <f>IF(S354&gt;=AL354-0.01,1,0)</f>
        <v/>
      </c>
      <c r="AT354">
        <f>IF(T354&gt;=AM354-0.01,1,0)</f>
        <v/>
      </c>
      <c r="AU354">
        <f>IF(U354&gt;=AN354-0.01,1,0)</f>
        <v/>
      </c>
      <c r="AV354">
        <f>IF(V354&gt;=AO354-0.01,1,0)</f>
        <v/>
      </c>
      <c r="AW354">
        <f>IF(W354&gt;=AP354-0.01,1,0)</f>
        <v/>
      </c>
      <c r="AX354">
        <f>AQ354*AR354*AS354*AT354*AU354*AV354*AW354</f>
        <v/>
      </c>
      <c r="AY354">
        <f>Assumptions!$B$41</f>
        <v/>
      </c>
      <c r="AZ354">
        <f>Assumptions!$B$33</f>
        <v/>
      </c>
      <c r="BA354">
        <f>Assumptions!$B$32</f>
        <v/>
      </c>
      <c r="BB354">
        <f>Assumptions!$B$31</f>
        <v/>
      </c>
      <c r="BC354">
        <f>Assumptions!$B$30</f>
        <v/>
      </c>
      <c r="BD354">
        <f>Assumptions!$B$29</f>
        <v/>
      </c>
      <c r="BE354">
        <f>Assumptions!$B$28</f>
        <v/>
      </c>
      <c r="BF354">
        <f>P354*Assumptions!$B$141</f>
        <v/>
      </c>
      <c r="BG354">
        <f>P354*Assumptions!$B$128</f>
        <v/>
      </c>
      <c r="BH354">
        <f>P354*Assumptions!$B$129</f>
        <v/>
      </c>
      <c r="BI354">
        <f>P354*Assumptions!$B$14</f>
        <v/>
      </c>
      <c r="BJ354">
        <f>P354*Assumptions!$B$13</f>
        <v/>
      </c>
      <c r="BK354">
        <f>P354*Assumptions!$B$12</f>
        <v/>
      </c>
      <c r="BL354">
        <f>P354*Assumptions!$B$11</f>
        <v/>
      </c>
    </row>
    <row r="355">
      <c r="A355" t="inlineStr">
        <is>
          <t>2000M</t>
        </is>
      </c>
      <c r="B355">
        <f>Assumptions!$B$60</f>
        <v/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>
        <f>(1-C355)*Assumptions!$B$41+(1-D355)*Assumptions!$B$33+(1-E355)*Assumptions!$B$32+(1-F355)*Assumptions!$B$31+(1-G355)*Assumptions!$B$30+(1-H355)*Assumptions!$B$29+(1-I355)*Assumptions!$B$28</f>
        <v/>
      </c>
      <c r="K355">
        <f>C355*Assumptions!$B$141+D355*Assumptions!$B$128+E355*Assumptions!$B$129+F355*Assumptions!$B$14+G355*Assumptions!$B$13+H355*Assumptions!$B$12+I355*Assumptions!$B$11+Assumptions!$B$133+Assumptions!$B$137+Assumptions!$B$9</f>
        <v/>
      </c>
      <c r="L355">
        <f>B355-J355</f>
        <v/>
      </c>
      <c r="M355">
        <f>IF(K355&gt;0,IF(L355/K355&gt;=Assumptions!$B$37,1,0),0)</f>
        <v/>
      </c>
      <c r="N355">
        <f>K355+M355*Assumptions!$B$153</f>
        <v/>
      </c>
      <c r="O355">
        <f>L355+M355*Assumptions!$B$153*Assumptions!$B$37</f>
        <v/>
      </c>
      <c r="P355">
        <f>IF(N355&gt;0,O355/N355,0)</f>
        <v/>
      </c>
      <c r="Q355">
        <f>IF(C355=1,P355*Assumptions!$B$141,Assumptions!$B$41)</f>
        <v/>
      </c>
      <c r="R355">
        <f>IF(D355=1,P355*Assumptions!$B$128,Assumptions!$B$33)</f>
        <v/>
      </c>
      <c r="S355">
        <f>IF(E355=1,P355*Assumptions!$B$129,Assumptions!$B$32)</f>
        <v/>
      </c>
      <c r="T355">
        <f>IF(F355=1,P355*Assumptions!$B$14,Assumptions!$B$31)</f>
        <v/>
      </c>
      <c r="U355">
        <f>IF(G355=1,P355*Assumptions!$B$13,Assumptions!$B$30)</f>
        <v/>
      </c>
      <c r="V355">
        <f>IF(H355=1,P355*Assumptions!$B$12,Assumptions!$B$29)</f>
        <v/>
      </c>
      <c r="W355">
        <f>IF(I355=1,P355*Assumptions!$B$11,Assumptions!$B$28)</f>
        <v/>
      </c>
      <c r="X355">
        <f>P355*(Assumptions!$B$133+Assumptions!$B$137)</f>
        <v/>
      </c>
      <c r="Y355">
        <f>P355*Assumptions!$B$9</f>
        <v/>
      </c>
      <c r="Z355">
        <f>IF(M355=1,(P355-Assumptions!$B$37)*Assumptions!$B$153,0)</f>
        <v/>
      </c>
      <c r="AA355">
        <f>Q355+R355+S355+T355+U355+V355+W355+X355+Y355+Z355</f>
        <v/>
      </c>
      <c r="AB355" t="n">
        <v>48</v>
      </c>
      <c r="AC355" t="n">
        <v>112</v>
      </c>
      <c r="AD355" t="n">
        <v>16</v>
      </c>
      <c r="AE355" t="n">
        <v>32</v>
      </c>
      <c r="AF355" t="n">
        <v>56</v>
      </c>
      <c r="AG355" t="n">
        <v>52</v>
      </c>
      <c r="AH355" t="n">
        <v>50</v>
      </c>
      <c r="AI355" t="n">
        <v>49</v>
      </c>
      <c r="AJ355">
        <f>INDEX($Q$307:$Q$434,AC355+1)</f>
        <v/>
      </c>
      <c r="AK355">
        <f>INDEX($R$307:$R$434,AD355+1)</f>
        <v/>
      </c>
      <c r="AL355">
        <f>INDEX($S$307:$S$434,AE355+1)</f>
        <v/>
      </c>
      <c r="AM355">
        <f>INDEX($T$307:$T$434,AF355+1)</f>
        <v/>
      </c>
      <c r="AN355">
        <f>INDEX($U$307:$U$434,AG355+1)</f>
        <v/>
      </c>
      <c r="AO355">
        <f>INDEX($V$307:$V$434,AH355+1)</f>
        <v/>
      </c>
      <c r="AP355">
        <f>INDEX($W$307:$W$434,AI355+1)</f>
        <v/>
      </c>
      <c r="AQ355">
        <f>IF(Q355&gt;=AJ355-0.01,1,0)</f>
        <v/>
      </c>
      <c r="AR355">
        <f>IF(R355&gt;=AK355-0.01,1,0)</f>
        <v/>
      </c>
      <c r="AS355">
        <f>IF(S355&gt;=AL355-0.01,1,0)</f>
        <v/>
      </c>
      <c r="AT355">
        <f>IF(T355&gt;=AM355-0.01,1,0)</f>
        <v/>
      </c>
      <c r="AU355">
        <f>IF(U355&gt;=AN355-0.01,1,0)</f>
        <v/>
      </c>
      <c r="AV355">
        <f>IF(V355&gt;=AO355-0.01,1,0)</f>
        <v/>
      </c>
      <c r="AW355">
        <f>IF(W355&gt;=AP355-0.01,1,0)</f>
        <v/>
      </c>
      <c r="AX355">
        <f>AQ355*AR355*AS355*AT355*AU355*AV355*AW355</f>
        <v/>
      </c>
      <c r="AY355">
        <f>Assumptions!$B$41</f>
        <v/>
      </c>
      <c r="AZ355">
        <f>Assumptions!$B$33</f>
        <v/>
      </c>
      <c r="BA355">
        <f>Assumptions!$B$32</f>
        <v/>
      </c>
      <c r="BB355">
        <f>Assumptions!$B$31</f>
        <v/>
      </c>
      <c r="BC355">
        <f>Assumptions!$B$30</f>
        <v/>
      </c>
      <c r="BD355">
        <f>Assumptions!$B$29</f>
        <v/>
      </c>
      <c r="BE355">
        <f>Assumptions!$B$28</f>
        <v/>
      </c>
      <c r="BF355">
        <f>P355*Assumptions!$B$141</f>
        <v/>
      </c>
      <c r="BG355">
        <f>P355*Assumptions!$B$128</f>
        <v/>
      </c>
      <c r="BH355">
        <f>P355*Assumptions!$B$129</f>
        <v/>
      </c>
      <c r="BI355">
        <f>P355*Assumptions!$B$14</f>
        <v/>
      </c>
      <c r="BJ355">
        <f>P355*Assumptions!$B$13</f>
        <v/>
      </c>
      <c r="BK355">
        <f>P355*Assumptions!$B$12</f>
        <v/>
      </c>
      <c r="BL355">
        <f>P355*Assumptions!$B$11</f>
        <v/>
      </c>
    </row>
    <row r="356">
      <c r="A356" t="inlineStr">
        <is>
          <t>2000M</t>
        </is>
      </c>
      <c r="B356">
        <f>Assumptions!$B$60</f>
        <v/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>
        <f>(1-C356)*Assumptions!$B$41+(1-D356)*Assumptions!$B$33+(1-E356)*Assumptions!$B$32+(1-F356)*Assumptions!$B$31+(1-G356)*Assumptions!$B$30+(1-H356)*Assumptions!$B$29+(1-I356)*Assumptions!$B$28</f>
        <v/>
      </c>
      <c r="K356">
        <f>C356*Assumptions!$B$141+D356*Assumptions!$B$128+E356*Assumptions!$B$129+F356*Assumptions!$B$14+G356*Assumptions!$B$13+H356*Assumptions!$B$12+I356*Assumptions!$B$11+Assumptions!$B$133+Assumptions!$B$137+Assumptions!$B$9</f>
        <v/>
      </c>
      <c r="L356">
        <f>B356-J356</f>
        <v/>
      </c>
      <c r="M356">
        <f>IF(K356&gt;0,IF(L356/K356&gt;=Assumptions!$B$37,1,0),0)</f>
        <v/>
      </c>
      <c r="N356">
        <f>K356+M356*Assumptions!$B$153</f>
        <v/>
      </c>
      <c r="O356">
        <f>L356+M356*Assumptions!$B$153*Assumptions!$B$37</f>
        <v/>
      </c>
      <c r="P356">
        <f>IF(N356&gt;0,O356/N356,0)</f>
        <v/>
      </c>
      <c r="Q356">
        <f>IF(C356=1,P356*Assumptions!$B$141,Assumptions!$B$41)</f>
        <v/>
      </c>
      <c r="R356">
        <f>IF(D356=1,P356*Assumptions!$B$128,Assumptions!$B$33)</f>
        <v/>
      </c>
      <c r="S356">
        <f>IF(E356=1,P356*Assumptions!$B$129,Assumptions!$B$32)</f>
        <v/>
      </c>
      <c r="T356">
        <f>IF(F356=1,P356*Assumptions!$B$14,Assumptions!$B$31)</f>
        <v/>
      </c>
      <c r="U356">
        <f>IF(G356=1,P356*Assumptions!$B$13,Assumptions!$B$30)</f>
        <v/>
      </c>
      <c r="V356">
        <f>IF(H356=1,P356*Assumptions!$B$12,Assumptions!$B$29)</f>
        <v/>
      </c>
      <c r="W356">
        <f>IF(I356=1,P356*Assumptions!$B$11,Assumptions!$B$28)</f>
        <v/>
      </c>
      <c r="X356">
        <f>P356*(Assumptions!$B$133+Assumptions!$B$137)</f>
        <v/>
      </c>
      <c r="Y356">
        <f>P356*Assumptions!$B$9</f>
        <v/>
      </c>
      <c r="Z356">
        <f>IF(M356=1,(P356-Assumptions!$B$37)*Assumptions!$B$153,0)</f>
        <v/>
      </c>
      <c r="AA356">
        <f>Q356+R356+S356+T356+U356+V356+W356+X356+Y356+Z356</f>
        <v/>
      </c>
      <c r="AB356" t="n">
        <v>49</v>
      </c>
      <c r="AC356" t="n">
        <v>113</v>
      </c>
      <c r="AD356" t="n">
        <v>17</v>
      </c>
      <c r="AE356" t="n">
        <v>33</v>
      </c>
      <c r="AF356" t="n">
        <v>57</v>
      </c>
      <c r="AG356" t="n">
        <v>53</v>
      </c>
      <c r="AH356" t="n">
        <v>51</v>
      </c>
      <c r="AI356" t="n">
        <v>48</v>
      </c>
      <c r="AJ356">
        <f>INDEX($Q$307:$Q$434,AC356+1)</f>
        <v/>
      </c>
      <c r="AK356">
        <f>INDEX($R$307:$R$434,AD356+1)</f>
        <v/>
      </c>
      <c r="AL356">
        <f>INDEX($S$307:$S$434,AE356+1)</f>
        <v/>
      </c>
      <c r="AM356">
        <f>INDEX($T$307:$T$434,AF356+1)</f>
        <v/>
      </c>
      <c r="AN356">
        <f>INDEX($U$307:$U$434,AG356+1)</f>
        <v/>
      </c>
      <c r="AO356">
        <f>INDEX($V$307:$V$434,AH356+1)</f>
        <v/>
      </c>
      <c r="AP356">
        <f>INDEX($W$307:$W$434,AI356+1)</f>
        <v/>
      </c>
      <c r="AQ356">
        <f>IF(Q356&gt;=AJ356-0.01,1,0)</f>
        <v/>
      </c>
      <c r="AR356">
        <f>IF(R356&gt;=AK356-0.01,1,0)</f>
        <v/>
      </c>
      <c r="AS356">
        <f>IF(S356&gt;=AL356-0.01,1,0)</f>
        <v/>
      </c>
      <c r="AT356">
        <f>IF(T356&gt;=AM356-0.01,1,0)</f>
        <v/>
      </c>
      <c r="AU356">
        <f>IF(U356&gt;=AN356-0.01,1,0)</f>
        <v/>
      </c>
      <c r="AV356">
        <f>IF(V356&gt;=AO356-0.01,1,0)</f>
        <v/>
      </c>
      <c r="AW356">
        <f>IF(W356&gt;=AP356-0.01,1,0)</f>
        <v/>
      </c>
      <c r="AX356">
        <f>AQ356*AR356*AS356*AT356*AU356*AV356*AW356</f>
        <v/>
      </c>
      <c r="AY356">
        <f>Assumptions!$B$41</f>
        <v/>
      </c>
      <c r="AZ356">
        <f>Assumptions!$B$33</f>
        <v/>
      </c>
      <c r="BA356">
        <f>Assumptions!$B$32</f>
        <v/>
      </c>
      <c r="BB356">
        <f>Assumptions!$B$31</f>
        <v/>
      </c>
      <c r="BC356">
        <f>Assumptions!$B$30</f>
        <v/>
      </c>
      <c r="BD356">
        <f>Assumptions!$B$29</f>
        <v/>
      </c>
      <c r="BE356">
        <f>Assumptions!$B$28</f>
        <v/>
      </c>
      <c r="BF356">
        <f>P356*Assumptions!$B$141</f>
        <v/>
      </c>
      <c r="BG356">
        <f>P356*Assumptions!$B$128</f>
        <v/>
      </c>
      <c r="BH356">
        <f>P356*Assumptions!$B$129</f>
        <v/>
      </c>
      <c r="BI356">
        <f>P356*Assumptions!$B$14</f>
        <v/>
      </c>
      <c r="BJ356">
        <f>P356*Assumptions!$B$13</f>
        <v/>
      </c>
      <c r="BK356">
        <f>P356*Assumptions!$B$12</f>
        <v/>
      </c>
      <c r="BL356">
        <f>P356*Assumptions!$B$11</f>
        <v/>
      </c>
    </row>
    <row r="357">
      <c r="A357" t="inlineStr">
        <is>
          <t>2000M</t>
        </is>
      </c>
      <c r="B357">
        <f>Assumptions!$B$60</f>
        <v/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>
        <f>(1-C357)*Assumptions!$B$41+(1-D357)*Assumptions!$B$33+(1-E357)*Assumptions!$B$32+(1-F357)*Assumptions!$B$31+(1-G357)*Assumptions!$B$30+(1-H357)*Assumptions!$B$29+(1-I357)*Assumptions!$B$28</f>
        <v/>
      </c>
      <c r="K357">
        <f>C357*Assumptions!$B$141+D357*Assumptions!$B$128+E357*Assumptions!$B$129+F357*Assumptions!$B$14+G357*Assumptions!$B$13+H357*Assumptions!$B$12+I357*Assumptions!$B$11+Assumptions!$B$133+Assumptions!$B$137+Assumptions!$B$9</f>
        <v/>
      </c>
      <c r="L357">
        <f>B357-J357</f>
        <v/>
      </c>
      <c r="M357">
        <f>IF(K357&gt;0,IF(L357/K357&gt;=Assumptions!$B$37,1,0),0)</f>
        <v/>
      </c>
      <c r="N357">
        <f>K357+M357*Assumptions!$B$153</f>
        <v/>
      </c>
      <c r="O357">
        <f>L357+M357*Assumptions!$B$153*Assumptions!$B$37</f>
        <v/>
      </c>
      <c r="P357">
        <f>IF(N357&gt;0,O357/N357,0)</f>
        <v/>
      </c>
      <c r="Q357">
        <f>IF(C357=1,P357*Assumptions!$B$141,Assumptions!$B$41)</f>
        <v/>
      </c>
      <c r="R357">
        <f>IF(D357=1,P357*Assumptions!$B$128,Assumptions!$B$33)</f>
        <v/>
      </c>
      <c r="S357">
        <f>IF(E357=1,P357*Assumptions!$B$129,Assumptions!$B$32)</f>
        <v/>
      </c>
      <c r="T357">
        <f>IF(F357=1,P357*Assumptions!$B$14,Assumptions!$B$31)</f>
        <v/>
      </c>
      <c r="U357">
        <f>IF(G357=1,P357*Assumptions!$B$13,Assumptions!$B$30)</f>
        <v/>
      </c>
      <c r="V357">
        <f>IF(H357=1,P357*Assumptions!$B$12,Assumptions!$B$29)</f>
        <v/>
      </c>
      <c r="W357">
        <f>IF(I357=1,P357*Assumptions!$B$11,Assumptions!$B$28)</f>
        <v/>
      </c>
      <c r="X357">
        <f>P357*(Assumptions!$B$133+Assumptions!$B$137)</f>
        <v/>
      </c>
      <c r="Y357">
        <f>P357*Assumptions!$B$9</f>
        <v/>
      </c>
      <c r="Z357">
        <f>IF(M357=1,(P357-Assumptions!$B$37)*Assumptions!$B$153,0)</f>
        <v/>
      </c>
      <c r="AA357">
        <f>Q357+R357+S357+T357+U357+V357+W357+X357+Y357+Z357</f>
        <v/>
      </c>
      <c r="AB357" t="n">
        <v>50</v>
      </c>
      <c r="AC357" t="n">
        <v>114</v>
      </c>
      <c r="AD357" t="n">
        <v>18</v>
      </c>
      <c r="AE357" t="n">
        <v>34</v>
      </c>
      <c r="AF357" t="n">
        <v>58</v>
      </c>
      <c r="AG357" t="n">
        <v>54</v>
      </c>
      <c r="AH357" t="n">
        <v>48</v>
      </c>
      <c r="AI357" t="n">
        <v>51</v>
      </c>
      <c r="AJ357">
        <f>INDEX($Q$307:$Q$434,AC357+1)</f>
        <v/>
      </c>
      <c r="AK357">
        <f>INDEX($R$307:$R$434,AD357+1)</f>
        <v/>
      </c>
      <c r="AL357">
        <f>INDEX($S$307:$S$434,AE357+1)</f>
        <v/>
      </c>
      <c r="AM357">
        <f>INDEX($T$307:$T$434,AF357+1)</f>
        <v/>
      </c>
      <c r="AN357">
        <f>INDEX($U$307:$U$434,AG357+1)</f>
        <v/>
      </c>
      <c r="AO357">
        <f>INDEX($V$307:$V$434,AH357+1)</f>
        <v/>
      </c>
      <c r="AP357">
        <f>INDEX($W$307:$W$434,AI357+1)</f>
        <v/>
      </c>
      <c r="AQ357">
        <f>IF(Q357&gt;=AJ357-0.01,1,0)</f>
        <v/>
      </c>
      <c r="AR357">
        <f>IF(R357&gt;=AK357-0.01,1,0)</f>
        <v/>
      </c>
      <c r="AS357">
        <f>IF(S357&gt;=AL357-0.01,1,0)</f>
        <v/>
      </c>
      <c r="AT357">
        <f>IF(T357&gt;=AM357-0.01,1,0)</f>
        <v/>
      </c>
      <c r="AU357">
        <f>IF(U357&gt;=AN357-0.01,1,0)</f>
        <v/>
      </c>
      <c r="AV357">
        <f>IF(V357&gt;=AO357-0.01,1,0)</f>
        <v/>
      </c>
      <c r="AW357">
        <f>IF(W357&gt;=AP357-0.01,1,0)</f>
        <v/>
      </c>
      <c r="AX357">
        <f>AQ357*AR357*AS357*AT357*AU357*AV357*AW357</f>
        <v/>
      </c>
      <c r="AY357">
        <f>Assumptions!$B$41</f>
        <v/>
      </c>
      <c r="AZ357">
        <f>Assumptions!$B$33</f>
        <v/>
      </c>
      <c r="BA357">
        <f>Assumptions!$B$32</f>
        <v/>
      </c>
      <c r="BB357">
        <f>Assumptions!$B$31</f>
        <v/>
      </c>
      <c r="BC357">
        <f>Assumptions!$B$30</f>
        <v/>
      </c>
      <c r="BD357">
        <f>Assumptions!$B$29</f>
        <v/>
      </c>
      <c r="BE357">
        <f>Assumptions!$B$28</f>
        <v/>
      </c>
      <c r="BF357">
        <f>P357*Assumptions!$B$141</f>
        <v/>
      </c>
      <c r="BG357">
        <f>P357*Assumptions!$B$128</f>
        <v/>
      </c>
      <c r="BH357">
        <f>P357*Assumptions!$B$129</f>
        <v/>
      </c>
      <c r="BI357">
        <f>P357*Assumptions!$B$14</f>
        <v/>
      </c>
      <c r="BJ357">
        <f>P357*Assumptions!$B$13</f>
        <v/>
      </c>
      <c r="BK357">
        <f>P357*Assumptions!$B$12</f>
        <v/>
      </c>
      <c r="BL357">
        <f>P357*Assumptions!$B$11</f>
        <v/>
      </c>
    </row>
    <row r="358">
      <c r="A358" t="inlineStr">
        <is>
          <t>2000M</t>
        </is>
      </c>
      <c r="B358">
        <f>Assumptions!$B$60</f>
        <v/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>
        <f>(1-C358)*Assumptions!$B$41+(1-D358)*Assumptions!$B$33+(1-E358)*Assumptions!$B$32+(1-F358)*Assumptions!$B$31+(1-G358)*Assumptions!$B$30+(1-H358)*Assumptions!$B$29+(1-I358)*Assumptions!$B$28</f>
        <v/>
      </c>
      <c r="K358">
        <f>C358*Assumptions!$B$141+D358*Assumptions!$B$128+E358*Assumptions!$B$129+F358*Assumptions!$B$14+G358*Assumptions!$B$13+H358*Assumptions!$B$12+I358*Assumptions!$B$11+Assumptions!$B$133+Assumptions!$B$137+Assumptions!$B$9</f>
        <v/>
      </c>
      <c r="L358">
        <f>B358-J358</f>
        <v/>
      </c>
      <c r="M358">
        <f>IF(K358&gt;0,IF(L358/K358&gt;=Assumptions!$B$37,1,0),0)</f>
        <v/>
      </c>
      <c r="N358">
        <f>K358+M358*Assumptions!$B$153</f>
        <v/>
      </c>
      <c r="O358">
        <f>L358+M358*Assumptions!$B$153*Assumptions!$B$37</f>
        <v/>
      </c>
      <c r="P358">
        <f>IF(N358&gt;0,O358/N358,0)</f>
        <v/>
      </c>
      <c r="Q358">
        <f>IF(C358=1,P358*Assumptions!$B$141,Assumptions!$B$41)</f>
        <v/>
      </c>
      <c r="R358">
        <f>IF(D358=1,P358*Assumptions!$B$128,Assumptions!$B$33)</f>
        <v/>
      </c>
      <c r="S358">
        <f>IF(E358=1,P358*Assumptions!$B$129,Assumptions!$B$32)</f>
        <v/>
      </c>
      <c r="T358">
        <f>IF(F358=1,P358*Assumptions!$B$14,Assumptions!$B$31)</f>
        <v/>
      </c>
      <c r="U358">
        <f>IF(G358=1,P358*Assumptions!$B$13,Assumptions!$B$30)</f>
        <v/>
      </c>
      <c r="V358">
        <f>IF(H358=1,P358*Assumptions!$B$12,Assumptions!$B$29)</f>
        <v/>
      </c>
      <c r="W358">
        <f>IF(I358=1,P358*Assumptions!$B$11,Assumptions!$B$28)</f>
        <v/>
      </c>
      <c r="X358">
        <f>P358*(Assumptions!$B$133+Assumptions!$B$137)</f>
        <v/>
      </c>
      <c r="Y358">
        <f>P358*Assumptions!$B$9</f>
        <v/>
      </c>
      <c r="Z358">
        <f>IF(M358=1,(P358-Assumptions!$B$37)*Assumptions!$B$153,0)</f>
        <v/>
      </c>
      <c r="AA358">
        <f>Q358+R358+S358+T358+U358+V358+W358+X358+Y358+Z358</f>
        <v/>
      </c>
      <c r="AB358" t="n">
        <v>51</v>
      </c>
      <c r="AC358" t="n">
        <v>115</v>
      </c>
      <c r="AD358" t="n">
        <v>19</v>
      </c>
      <c r="AE358" t="n">
        <v>35</v>
      </c>
      <c r="AF358" t="n">
        <v>59</v>
      </c>
      <c r="AG358" t="n">
        <v>55</v>
      </c>
      <c r="AH358" t="n">
        <v>49</v>
      </c>
      <c r="AI358" t="n">
        <v>50</v>
      </c>
      <c r="AJ358">
        <f>INDEX($Q$307:$Q$434,AC358+1)</f>
        <v/>
      </c>
      <c r="AK358">
        <f>INDEX($R$307:$R$434,AD358+1)</f>
        <v/>
      </c>
      <c r="AL358">
        <f>INDEX($S$307:$S$434,AE358+1)</f>
        <v/>
      </c>
      <c r="AM358">
        <f>INDEX($T$307:$T$434,AF358+1)</f>
        <v/>
      </c>
      <c r="AN358">
        <f>INDEX($U$307:$U$434,AG358+1)</f>
        <v/>
      </c>
      <c r="AO358">
        <f>INDEX($V$307:$V$434,AH358+1)</f>
        <v/>
      </c>
      <c r="AP358">
        <f>INDEX($W$307:$W$434,AI358+1)</f>
        <v/>
      </c>
      <c r="AQ358">
        <f>IF(Q358&gt;=AJ358-0.01,1,0)</f>
        <v/>
      </c>
      <c r="AR358">
        <f>IF(R358&gt;=AK358-0.01,1,0)</f>
        <v/>
      </c>
      <c r="AS358">
        <f>IF(S358&gt;=AL358-0.01,1,0)</f>
        <v/>
      </c>
      <c r="AT358">
        <f>IF(T358&gt;=AM358-0.01,1,0)</f>
        <v/>
      </c>
      <c r="AU358">
        <f>IF(U358&gt;=AN358-0.01,1,0)</f>
        <v/>
      </c>
      <c r="AV358">
        <f>IF(V358&gt;=AO358-0.01,1,0)</f>
        <v/>
      </c>
      <c r="AW358">
        <f>IF(W358&gt;=AP358-0.01,1,0)</f>
        <v/>
      </c>
      <c r="AX358">
        <f>AQ358*AR358*AS358*AT358*AU358*AV358*AW358</f>
        <v/>
      </c>
      <c r="AY358">
        <f>Assumptions!$B$41</f>
        <v/>
      </c>
      <c r="AZ358">
        <f>Assumptions!$B$33</f>
        <v/>
      </c>
      <c r="BA358">
        <f>Assumptions!$B$32</f>
        <v/>
      </c>
      <c r="BB358">
        <f>Assumptions!$B$31</f>
        <v/>
      </c>
      <c r="BC358">
        <f>Assumptions!$B$30</f>
        <v/>
      </c>
      <c r="BD358">
        <f>Assumptions!$B$29</f>
        <v/>
      </c>
      <c r="BE358">
        <f>Assumptions!$B$28</f>
        <v/>
      </c>
      <c r="BF358">
        <f>P358*Assumptions!$B$141</f>
        <v/>
      </c>
      <c r="BG358">
        <f>P358*Assumptions!$B$128</f>
        <v/>
      </c>
      <c r="BH358">
        <f>P358*Assumptions!$B$129</f>
        <v/>
      </c>
      <c r="BI358">
        <f>P358*Assumptions!$B$14</f>
        <v/>
      </c>
      <c r="BJ358">
        <f>P358*Assumptions!$B$13</f>
        <v/>
      </c>
      <c r="BK358">
        <f>P358*Assumptions!$B$12</f>
        <v/>
      </c>
      <c r="BL358">
        <f>P358*Assumptions!$B$11</f>
        <v/>
      </c>
    </row>
    <row r="359">
      <c r="A359" t="inlineStr">
        <is>
          <t>2000M</t>
        </is>
      </c>
      <c r="B359">
        <f>Assumptions!$B$60</f>
        <v/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>
        <f>(1-C359)*Assumptions!$B$41+(1-D359)*Assumptions!$B$33+(1-E359)*Assumptions!$B$32+(1-F359)*Assumptions!$B$31+(1-G359)*Assumptions!$B$30+(1-H359)*Assumptions!$B$29+(1-I359)*Assumptions!$B$28</f>
        <v/>
      </c>
      <c r="K359">
        <f>C359*Assumptions!$B$141+D359*Assumptions!$B$128+E359*Assumptions!$B$129+F359*Assumptions!$B$14+G359*Assumptions!$B$13+H359*Assumptions!$B$12+I359*Assumptions!$B$11+Assumptions!$B$133+Assumptions!$B$137+Assumptions!$B$9</f>
        <v/>
      </c>
      <c r="L359">
        <f>B359-J359</f>
        <v/>
      </c>
      <c r="M359">
        <f>IF(K359&gt;0,IF(L359/K359&gt;=Assumptions!$B$37,1,0),0)</f>
        <v/>
      </c>
      <c r="N359">
        <f>K359+M359*Assumptions!$B$153</f>
        <v/>
      </c>
      <c r="O359">
        <f>L359+M359*Assumptions!$B$153*Assumptions!$B$37</f>
        <v/>
      </c>
      <c r="P359">
        <f>IF(N359&gt;0,O359/N359,0)</f>
        <v/>
      </c>
      <c r="Q359">
        <f>IF(C359=1,P359*Assumptions!$B$141,Assumptions!$B$41)</f>
        <v/>
      </c>
      <c r="R359">
        <f>IF(D359=1,P359*Assumptions!$B$128,Assumptions!$B$33)</f>
        <v/>
      </c>
      <c r="S359">
        <f>IF(E359=1,P359*Assumptions!$B$129,Assumptions!$B$32)</f>
        <v/>
      </c>
      <c r="T359">
        <f>IF(F359=1,P359*Assumptions!$B$14,Assumptions!$B$31)</f>
        <v/>
      </c>
      <c r="U359">
        <f>IF(G359=1,P359*Assumptions!$B$13,Assumptions!$B$30)</f>
        <v/>
      </c>
      <c r="V359">
        <f>IF(H359=1,P359*Assumptions!$B$12,Assumptions!$B$29)</f>
        <v/>
      </c>
      <c r="W359">
        <f>IF(I359=1,P359*Assumptions!$B$11,Assumptions!$B$28)</f>
        <v/>
      </c>
      <c r="X359">
        <f>P359*(Assumptions!$B$133+Assumptions!$B$137)</f>
        <v/>
      </c>
      <c r="Y359">
        <f>P359*Assumptions!$B$9</f>
        <v/>
      </c>
      <c r="Z359">
        <f>IF(M359=1,(P359-Assumptions!$B$37)*Assumptions!$B$153,0)</f>
        <v/>
      </c>
      <c r="AA359">
        <f>Q359+R359+S359+T359+U359+V359+W359+X359+Y359+Z359</f>
        <v/>
      </c>
      <c r="AB359" t="n">
        <v>52</v>
      </c>
      <c r="AC359" t="n">
        <v>116</v>
      </c>
      <c r="AD359" t="n">
        <v>20</v>
      </c>
      <c r="AE359" t="n">
        <v>36</v>
      </c>
      <c r="AF359" t="n">
        <v>60</v>
      </c>
      <c r="AG359" t="n">
        <v>48</v>
      </c>
      <c r="AH359" t="n">
        <v>54</v>
      </c>
      <c r="AI359" t="n">
        <v>53</v>
      </c>
      <c r="AJ359">
        <f>INDEX($Q$307:$Q$434,AC359+1)</f>
        <v/>
      </c>
      <c r="AK359">
        <f>INDEX($R$307:$R$434,AD359+1)</f>
        <v/>
      </c>
      <c r="AL359">
        <f>INDEX($S$307:$S$434,AE359+1)</f>
        <v/>
      </c>
      <c r="AM359">
        <f>INDEX($T$307:$T$434,AF359+1)</f>
        <v/>
      </c>
      <c r="AN359">
        <f>INDEX($U$307:$U$434,AG359+1)</f>
        <v/>
      </c>
      <c r="AO359">
        <f>INDEX($V$307:$V$434,AH359+1)</f>
        <v/>
      </c>
      <c r="AP359">
        <f>INDEX($W$307:$W$434,AI359+1)</f>
        <v/>
      </c>
      <c r="AQ359">
        <f>IF(Q359&gt;=AJ359-0.01,1,0)</f>
        <v/>
      </c>
      <c r="AR359">
        <f>IF(R359&gt;=AK359-0.01,1,0)</f>
        <v/>
      </c>
      <c r="AS359">
        <f>IF(S359&gt;=AL359-0.01,1,0)</f>
        <v/>
      </c>
      <c r="AT359">
        <f>IF(T359&gt;=AM359-0.01,1,0)</f>
        <v/>
      </c>
      <c r="AU359">
        <f>IF(U359&gt;=AN359-0.01,1,0)</f>
        <v/>
      </c>
      <c r="AV359">
        <f>IF(V359&gt;=AO359-0.01,1,0)</f>
        <v/>
      </c>
      <c r="AW359">
        <f>IF(W359&gt;=AP359-0.01,1,0)</f>
        <v/>
      </c>
      <c r="AX359">
        <f>AQ359*AR359*AS359*AT359*AU359*AV359*AW359</f>
        <v/>
      </c>
      <c r="AY359">
        <f>Assumptions!$B$41</f>
        <v/>
      </c>
      <c r="AZ359">
        <f>Assumptions!$B$33</f>
        <v/>
      </c>
      <c r="BA359">
        <f>Assumptions!$B$32</f>
        <v/>
      </c>
      <c r="BB359">
        <f>Assumptions!$B$31</f>
        <v/>
      </c>
      <c r="BC359">
        <f>Assumptions!$B$30</f>
        <v/>
      </c>
      <c r="BD359">
        <f>Assumptions!$B$29</f>
        <v/>
      </c>
      <c r="BE359">
        <f>Assumptions!$B$28</f>
        <v/>
      </c>
      <c r="BF359">
        <f>P359*Assumptions!$B$141</f>
        <v/>
      </c>
      <c r="BG359">
        <f>P359*Assumptions!$B$128</f>
        <v/>
      </c>
      <c r="BH359">
        <f>P359*Assumptions!$B$129</f>
        <v/>
      </c>
      <c r="BI359">
        <f>P359*Assumptions!$B$14</f>
        <v/>
      </c>
      <c r="BJ359">
        <f>P359*Assumptions!$B$13</f>
        <v/>
      </c>
      <c r="BK359">
        <f>P359*Assumptions!$B$12</f>
        <v/>
      </c>
      <c r="BL359">
        <f>P359*Assumptions!$B$11</f>
        <v/>
      </c>
    </row>
    <row r="360">
      <c r="A360" t="inlineStr">
        <is>
          <t>2000M</t>
        </is>
      </c>
      <c r="B360">
        <f>Assumptions!$B$60</f>
        <v/>
      </c>
      <c r="C360" t="n">
        <v>0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n">
        <v>1</v>
      </c>
      <c r="J360">
        <f>(1-C360)*Assumptions!$B$41+(1-D360)*Assumptions!$B$33+(1-E360)*Assumptions!$B$32+(1-F360)*Assumptions!$B$31+(1-G360)*Assumptions!$B$30+(1-H360)*Assumptions!$B$29+(1-I360)*Assumptions!$B$28</f>
        <v/>
      </c>
      <c r="K360">
        <f>C360*Assumptions!$B$141+D360*Assumptions!$B$128+E360*Assumptions!$B$129+F360*Assumptions!$B$14+G360*Assumptions!$B$13+H360*Assumptions!$B$12+I360*Assumptions!$B$11+Assumptions!$B$133+Assumptions!$B$137+Assumptions!$B$9</f>
        <v/>
      </c>
      <c r="L360">
        <f>B360-J360</f>
        <v/>
      </c>
      <c r="M360">
        <f>IF(K360&gt;0,IF(L360/K360&gt;=Assumptions!$B$37,1,0),0)</f>
        <v/>
      </c>
      <c r="N360">
        <f>K360+M360*Assumptions!$B$153</f>
        <v/>
      </c>
      <c r="O360">
        <f>L360+M360*Assumptions!$B$153*Assumptions!$B$37</f>
        <v/>
      </c>
      <c r="P360">
        <f>IF(N360&gt;0,O360/N360,0)</f>
        <v/>
      </c>
      <c r="Q360">
        <f>IF(C360=1,P360*Assumptions!$B$141,Assumptions!$B$41)</f>
        <v/>
      </c>
      <c r="R360">
        <f>IF(D360=1,P360*Assumptions!$B$128,Assumptions!$B$33)</f>
        <v/>
      </c>
      <c r="S360">
        <f>IF(E360=1,P360*Assumptions!$B$129,Assumptions!$B$32)</f>
        <v/>
      </c>
      <c r="T360">
        <f>IF(F360=1,P360*Assumptions!$B$14,Assumptions!$B$31)</f>
        <v/>
      </c>
      <c r="U360">
        <f>IF(G360=1,P360*Assumptions!$B$13,Assumptions!$B$30)</f>
        <v/>
      </c>
      <c r="V360">
        <f>IF(H360=1,P360*Assumptions!$B$12,Assumptions!$B$29)</f>
        <v/>
      </c>
      <c r="W360">
        <f>IF(I360=1,P360*Assumptions!$B$11,Assumptions!$B$28)</f>
        <v/>
      </c>
      <c r="X360">
        <f>P360*(Assumptions!$B$133+Assumptions!$B$137)</f>
        <v/>
      </c>
      <c r="Y360">
        <f>P360*Assumptions!$B$9</f>
        <v/>
      </c>
      <c r="Z360">
        <f>IF(M360=1,(P360-Assumptions!$B$37)*Assumptions!$B$153,0)</f>
        <v/>
      </c>
      <c r="AA360">
        <f>Q360+R360+S360+T360+U360+V360+W360+X360+Y360+Z360</f>
        <v/>
      </c>
      <c r="AB360" t="n">
        <v>53</v>
      </c>
      <c r="AC360" t="n">
        <v>117</v>
      </c>
      <c r="AD360" t="n">
        <v>21</v>
      </c>
      <c r="AE360" t="n">
        <v>37</v>
      </c>
      <c r="AF360" t="n">
        <v>61</v>
      </c>
      <c r="AG360" t="n">
        <v>49</v>
      </c>
      <c r="AH360" t="n">
        <v>55</v>
      </c>
      <c r="AI360" t="n">
        <v>52</v>
      </c>
      <c r="AJ360">
        <f>INDEX($Q$307:$Q$434,AC360+1)</f>
        <v/>
      </c>
      <c r="AK360">
        <f>INDEX($R$307:$R$434,AD360+1)</f>
        <v/>
      </c>
      <c r="AL360">
        <f>INDEX($S$307:$S$434,AE360+1)</f>
        <v/>
      </c>
      <c r="AM360">
        <f>INDEX($T$307:$T$434,AF360+1)</f>
        <v/>
      </c>
      <c r="AN360">
        <f>INDEX($U$307:$U$434,AG360+1)</f>
        <v/>
      </c>
      <c r="AO360">
        <f>INDEX($V$307:$V$434,AH360+1)</f>
        <v/>
      </c>
      <c r="AP360">
        <f>INDEX($W$307:$W$434,AI360+1)</f>
        <v/>
      </c>
      <c r="AQ360">
        <f>IF(Q360&gt;=AJ360-0.01,1,0)</f>
        <v/>
      </c>
      <c r="AR360">
        <f>IF(R360&gt;=AK360-0.01,1,0)</f>
        <v/>
      </c>
      <c r="AS360">
        <f>IF(S360&gt;=AL360-0.01,1,0)</f>
        <v/>
      </c>
      <c r="AT360">
        <f>IF(T360&gt;=AM360-0.01,1,0)</f>
        <v/>
      </c>
      <c r="AU360">
        <f>IF(U360&gt;=AN360-0.01,1,0)</f>
        <v/>
      </c>
      <c r="AV360">
        <f>IF(V360&gt;=AO360-0.01,1,0)</f>
        <v/>
      </c>
      <c r="AW360">
        <f>IF(W360&gt;=AP360-0.01,1,0)</f>
        <v/>
      </c>
      <c r="AX360">
        <f>AQ360*AR360*AS360*AT360*AU360*AV360*AW360</f>
        <v/>
      </c>
      <c r="AY360">
        <f>Assumptions!$B$41</f>
        <v/>
      </c>
      <c r="AZ360">
        <f>Assumptions!$B$33</f>
        <v/>
      </c>
      <c r="BA360">
        <f>Assumptions!$B$32</f>
        <v/>
      </c>
      <c r="BB360">
        <f>Assumptions!$B$31</f>
        <v/>
      </c>
      <c r="BC360">
        <f>Assumptions!$B$30</f>
        <v/>
      </c>
      <c r="BD360">
        <f>Assumptions!$B$29</f>
        <v/>
      </c>
      <c r="BE360">
        <f>Assumptions!$B$28</f>
        <v/>
      </c>
      <c r="BF360">
        <f>P360*Assumptions!$B$141</f>
        <v/>
      </c>
      <c r="BG360">
        <f>P360*Assumptions!$B$128</f>
        <v/>
      </c>
      <c r="BH360">
        <f>P360*Assumptions!$B$129</f>
        <v/>
      </c>
      <c r="BI360">
        <f>P360*Assumptions!$B$14</f>
        <v/>
      </c>
      <c r="BJ360">
        <f>P360*Assumptions!$B$13</f>
        <v/>
      </c>
      <c r="BK360">
        <f>P360*Assumptions!$B$12</f>
        <v/>
      </c>
      <c r="BL360">
        <f>P360*Assumptions!$B$11</f>
        <v/>
      </c>
    </row>
    <row r="361">
      <c r="A361" t="inlineStr">
        <is>
          <t>2000M</t>
        </is>
      </c>
      <c r="B361">
        <f>Assumptions!$B$60</f>
        <v/>
      </c>
      <c r="C361" t="n">
        <v>0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>
        <f>(1-C361)*Assumptions!$B$41+(1-D361)*Assumptions!$B$33+(1-E361)*Assumptions!$B$32+(1-F361)*Assumptions!$B$31+(1-G361)*Assumptions!$B$30+(1-H361)*Assumptions!$B$29+(1-I361)*Assumptions!$B$28</f>
        <v/>
      </c>
      <c r="K361">
        <f>C361*Assumptions!$B$141+D361*Assumptions!$B$128+E361*Assumptions!$B$129+F361*Assumptions!$B$14+G361*Assumptions!$B$13+H361*Assumptions!$B$12+I361*Assumptions!$B$11+Assumptions!$B$133+Assumptions!$B$137+Assumptions!$B$9</f>
        <v/>
      </c>
      <c r="L361">
        <f>B361-J361</f>
        <v/>
      </c>
      <c r="M361">
        <f>IF(K361&gt;0,IF(L361/K361&gt;=Assumptions!$B$37,1,0),0)</f>
        <v/>
      </c>
      <c r="N361">
        <f>K361+M361*Assumptions!$B$153</f>
        <v/>
      </c>
      <c r="O361">
        <f>L361+M361*Assumptions!$B$153*Assumptions!$B$37</f>
        <v/>
      </c>
      <c r="P361">
        <f>IF(N361&gt;0,O361/N361,0)</f>
        <v/>
      </c>
      <c r="Q361">
        <f>IF(C361=1,P361*Assumptions!$B$141,Assumptions!$B$41)</f>
        <v/>
      </c>
      <c r="R361">
        <f>IF(D361=1,P361*Assumptions!$B$128,Assumptions!$B$33)</f>
        <v/>
      </c>
      <c r="S361">
        <f>IF(E361=1,P361*Assumptions!$B$129,Assumptions!$B$32)</f>
        <v/>
      </c>
      <c r="T361">
        <f>IF(F361=1,P361*Assumptions!$B$14,Assumptions!$B$31)</f>
        <v/>
      </c>
      <c r="U361">
        <f>IF(G361=1,P361*Assumptions!$B$13,Assumptions!$B$30)</f>
        <v/>
      </c>
      <c r="V361">
        <f>IF(H361=1,P361*Assumptions!$B$12,Assumptions!$B$29)</f>
        <v/>
      </c>
      <c r="W361">
        <f>IF(I361=1,P361*Assumptions!$B$11,Assumptions!$B$28)</f>
        <v/>
      </c>
      <c r="X361">
        <f>P361*(Assumptions!$B$133+Assumptions!$B$137)</f>
        <v/>
      </c>
      <c r="Y361">
        <f>P361*Assumptions!$B$9</f>
        <v/>
      </c>
      <c r="Z361">
        <f>IF(M361=1,(P361-Assumptions!$B$37)*Assumptions!$B$153,0)</f>
        <v/>
      </c>
      <c r="AA361">
        <f>Q361+R361+S361+T361+U361+V361+W361+X361+Y361+Z361</f>
        <v/>
      </c>
      <c r="AB361" t="n">
        <v>54</v>
      </c>
      <c r="AC361" t="n">
        <v>118</v>
      </c>
      <c r="AD361" t="n">
        <v>22</v>
      </c>
      <c r="AE361" t="n">
        <v>38</v>
      </c>
      <c r="AF361" t="n">
        <v>62</v>
      </c>
      <c r="AG361" t="n">
        <v>50</v>
      </c>
      <c r="AH361" t="n">
        <v>52</v>
      </c>
      <c r="AI361" t="n">
        <v>55</v>
      </c>
      <c r="AJ361">
        <f>INDEX($Q$307:$Q$434,AC361+1)</f>
        <v/>
      </c>
      <c r="AK361">
        <f>INDEX($R$307:$R$434,AD361+1)</f>
        <v/>
      </c>
      <c r="AL361">
        <f>INDEX($S$307:$S$434,AE361+1)</f>
        <v/>
      </c>
      <c r="AM361">
        <f>INDEX($T$307:$T$434,AF361+1)</f>
        <v/>
      </c>
      <c r="AN361">
        <f>INDEX($U$307:$U$434,AG361+1)</f>
        <v/>
      </c>
      <c r="AO361">
        <f>INDEX($V$307:$V$434,AH361+1)</f>
        <v/>
      </c>
      <c r="AP361">
        <f>INDEX($W$307:$W$434,AI361+1)</f>
        <v/>
      </c>
      <c r="AQ361">
        <f>IF(Q361&gt;=AJ361-0.01,1,0)</f>
        <v/>
      </c>
      <c r="AR361">
        <f>IF(R361&gt;=AK361-0.01,1,0)</f>
        <v/>
      </c>
      <c r="AS361">
        <f>IF(S361&gt;=AL361-0.01,1,0)</f>
        <v/>
      </c>
      <c r="AT361">
        <f>IF(T361&gt;=AM361-0.01,1,0)</f>
        <v/>
      </c>
      <c r="AU361">
        <f>IF(U361&gt;=AN361-0.01,1,0)</f>
        <v/>
      </c>
      <c r="AV361">
        <f>IF(V361&gt;=AO361-0.01,1,0)</f>
        <v/>
      </c>
      <c r="AW361">
        <f>IF(W361&gt;=AP361-0.01,1,0)</f>
        <v/>
      </c>
      <c r="AX361">
        <f>AQ361*AR361*AS361*AT361*AU361*AV361*AW361</f>
        <v/>
      </c>
      <c r="AY361">
        <f>Assumptions!$B$41</f>
        <v/>
      </c>
      <c r="AZ361">
        <f>Assumptions!$B$33</f>
        <v/>
      </c>
      <c r="BA361">
        <f>Assumptions!$B$32</f>
        <v/>
      </c>
      <c r="BB361">
        <f>Assumptions!$B$31</f>
        <v/>
      </c>
      <c r="BC361">
        <f>Assumptions!$B$30</f>
        <v/>
      </c>
      <c r="BD361">
        <f>Assumptions!$B$29</f>
        <v/>
      </c>
      <c r="BE361">
        <f>Assumptions!$B$28</f>
        <v/>
      </c>
      <c r="BF361">
        <f>P361*Assumptions!$B$141</f>
        <v/>
      </c>
      <c r="BG361">
        <f>P361*Assumptions!$B$128</f>
        <v/>
      </c>
      <c r="BH361">
        <f>P361*Assumptions!$B$129</f>
        <v/>
      </c>
      <c r="BI361">
        <f>P361*Assumptions!$B$14</f>
        <v/>
      </c>
      <c r="BJ361">
        <f>P361*Assumptions!$B$13</f>
        <v/>
      </c>
      <c r="BK361">
        <f>P361*Assumptions!$B$12</f>
        <v/>
      </c>
      <c r="BL361">
        <f>P361*Assumptions!$B$11</f>
        <v/>
      </c>
    </row>
    <row r="362">
      <c r="A362" t="inlineStr">
        <is>
          <t>2000M</t>
        </is>
      </c>
      <c r="B362">
        <f>Assumptions!$B$60</f>
        <v/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>
        <f>(1-C362)*Assumptions!$B$41+(1-D362)*Assumptions!$B$33+(1-E362)*Assumptions!$B$32+(1-F362)*Assumptions!$B$31+(1-G362)*Assumptions!$B$30+(1-H362)*Assumptions!$B$29+(1-I362)*Assumptions!$B$28</f>
        <v/>
      </c>
      <c r="K362">
        <f>C362*Assumptions!$B$141+D362*Assumptions!$B$128+E362*Assumptions!$B$129+F362*Assumptions!$B$14+G362*Assumptions!$B$13+H362*Assumptions!$B$12+I362*Assumptions!$B$11+Assumptions!$B$133+Assumptions!$B$137+Assumptions!$B$9</f>
        <v/>
      </c>
      <c r="L362">
        <f>B362-J362</f>
        <v/>
      </c>
      <c r="M362">
        <f>IF(K362&gt;0,IF(L362/K362&gt;=Assumptions!$B$37,1,0),0)</f>
        <v/>
      </c>
      <c r="N362">
        <f>K362+M362*Assumptions!$B$153</f>
        <v/>
      </c>
      <c r="O362">
        <f>L362+M362*Assumptions!$B$153*Assumptions!$B$37</f>
        <v/>
      </c>
      <c r="P362">
        <f>IF(N362&gt;0,O362/N362,0)</f>
        <v/>
      </c>
      <c r="Q362">
        <f>IF(C362=1,P362*Assumptions!$B$141,Assumptions!$B$41)</f>
        <v/>
      </c>
      <c r="R362">
        <f>IF(D362=1,P362*Assumptions!$B$128,Assumptions!$B$33)</f>
        <v/>
      </c>
      <c r="S362">
        <f>IF(E362=1,P362*Assumptions!$B$129,Assumptions!$B$32)</f>
        <v/>
      </c>
      <c r="T362">
        <f>IF(F362=1,P362*Assumptions!$B$14,Assumptions!$B$31)</f>
        <v/>
      </c>
      <c r="U362">
        <f>IF(G362=1,P362*Assumptions!$B$13,Assumptions!$B$30)</f>
        <v/>
      </c>
      <c r="V362">
        <f>IF(H362=1,P362*Assumptions!$B$12,Assumptions!$B$29)</f>
        <v/>
      </c>
      <c r="W362">
        <f>IF(I362=1,P362*Assumptions!$B$11,Assumptions!$B$28)</f>
        <v/>
      </c>
      <c r="X362">
        <f>P362*(Assumptions!$B$133+Assumptions!$B$137)</f>
        <v/>
      </c>
      <c r="Y362">
        <f>P362*Assumptions!$B$9</f>
        <v/>
      </c>
      <c r="Z362">
        <f>IF(M362=1,(P362-Assumptions!$B$37)*Assumptions!$B$153,0)</f>
        <v/>
      </c>
      <c r="AA362">
        <f>Q362+R362+S362+T362+U362+V362+W362+X362+Y362+Z362</f>
        <v/>
      </c>
      <c r="AB362" t="n">
        <v>55</v>
      </c>
      <c r="AC362" t="n">
        <v>119</v>
      </c>
      <c r="AD362" t="n">
        <v>23</v>
      </c>
      <c r="AE362" t="n">
        <v>39</v>
      </c>
      <c r="AF362" t="n">
        <v>63</v>
      </c>
      <c r="AG362" t="n">
        <v>51</v>
      </c>
      <c r="AH362" t="n">
        <v>53</v>
      </c>
      <c r="AI362" t="n">
        <v>54</v>
      </c>
      <c r="AJ362">
        <f>INDEX($Q$307:$Q$434,AC362+1)</f>
        <v/>
      </c>
      <c r="AK362">
        <f>INDEX($R$307:$R$434,AD362+1)</f>
        <v/>
      </c>
      <c r="AL362">
        <f>INDEX($S$307:$S$434,AE362+1)</f>
        <v/>
      </c>
      <c r="AM362">
        <f>INDEX($T$307:$T$434,AF362+1)</f>
        <v/>
      </c>
      <c r="AN362">
        <f>INDEX($U$307:$U$434,AG362+1)</f>
        <v/>
      </c>
      <c r="AO362">
        <f>INDEX($V$307:$V$434,AH362+1)</f>
        <v/>
      </c>
      <c r="AP362">
        <f>INDEX($W$307:$W$434,AI362+1)</f>
        <v/>
      </c>
      <c r="AQ362">
        <f>IF(Q362&gt;=AJ362-0.01,1,0)</f>
        <v/>
      </c>
      <c r="AR362">
        <f>IF(R362&gt;=AK362-0.01,1,0)</f>
        <v/>
      </c>
      <c r="AS362">
        <f>IF(S362&gt;=AL362-0.01,1,0)</f>
        <v/>
      </c>
      <c r="AT362">
        <f>IF(T362&gt;=AM362-0.01,1,0)</f>
        <v/>
      </c>
      <c r="AU362">
        <f>IF(U362&gt;=AN362-0.01,1,0)</f>
        <v/>
      </c>
      <c r="AV362">
        <f>IF(V362&gt;=AO362-0.01,1,0)</f>
        <v/>
      </c>
      <c r="AW362">
        <f>IF(W362&gt;=AP362-0.01,1,0)</f>
        <v/>
      </c>
      <c r="AX362">
        <f>AQ362*AR362*AS362*AT362*AU362*AV362*AW362</f>
        <v/>
      </c>
      <c r="AY362">
        <f>Assumptions!$B$41</f>
        <v/>
      </c>
      <c r="AZ362">
        <f>Assumptions!$B$33</f>
        <v/>
      </c>
      <c r="BA362">
        <f>Assumptions!$B$32</f>
        <v/>
      </c>
      <c r="BB362">
        <f>Assumptions!$B$31</f>
        <v/>
      </c>
      <c r="BC362">
        <f>Assumptions!$B$30</f>
        <v/>
      </c>
      <c r="BD362">
        <f>Assumptions!$B$29</f>
        <v/>
      </c>
      <c r="BE362">
        <f>Assumptions!$B$28</f>
        <v/>
      </c>
      <c r="BF362">
        <f>P362*Assumptions!$B$141</f>
        <v/>
      </c>
      <c r="BG362">
        <f>P362*Assumptions!$B$128</f>
        <v/>
      </c>
      <c r="BH362">
        <f>P362*Assumptions!$B$129</f>
        <v/>
      </c>
      <c r="BI362">
        <f>P362*Assumptions!$B$14</f>
        <v/>
      </c>
      <c r="BJ362">
        <f>P362*Assumptions!$B$13</f>
        <v/>
      </c>
      <c r="BK362">
        <f>P362*Assumptions!$B$12</f>
        <v/>
      </c>
      <c r="BL362">
        <f>P362*Assumptions!$B$11</f>
        <v/>
      </c>
    </row>
    <row r="363">
      <c r="A363" t="inlineStr">
        <is>
          <t>2000M</t>
        </is>
      </c>
      <c r="B363">
        <f>Assumptions!$B$60</f>
        <v/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>
        <f>(1-C363)*Assumptions!$B$41+(1-D363)*Assumptions!$B$33+(1-E363)*Assumptions!$B$32+(1-F363)*Assumptions!$B$31+(1-G363)*Assumptions!$B$30+(1-H363)*Assumptions!$B$29+(1-I363)*Assumptions!$B$28</f>
        <v/>
      </c>
      <c r="K363">
        <f>C363*Assumptions!$B$141+D363*Assumptions!$B$128+E363*Assumptions!$B$129+F363*Assumptions!$B$14+G363*Assumptions!$B$13+H363*Assumptions!$B$12+I363*Assumptions!$B$11+Assumptions!$B$133+Assumptions!$B$137+Assumptions!$B$9</f>
        <v/>
      </c>
      <c r="L363">
        <f>B363-J363</f>
        <v/>
      </c>
      <c r="M363">
        <f>IF(K363&gt;0,IF(L363/K363&gt;=Assumptions!$B$37,1,0),0)</f>
        <v/>
      </c>
      <c r="N363">
        <f>K363+M363*Assumptions!$B$153</f>
        <v/>
      </c>
      <c r="O363">
        <f>L363+M363*Assumptions!$B$153*Assumptions!$B$37</f>
        <v/>
      </c>
      <c r="P363">
        <f>IF(N363&gt;0,O363/N363,0)</f>
        <v/>
      </c>
      <c r="Q363">
        <f>IF(C363=1,P363*Assumptions!$B$141,Assumptions!$B$41)</f>
        <v/>
      </c>
      <c r="R363">
        <f>IF(D363=1,P363*Assumptions!$B$128,Assumptions!$B$33)</f>
        <v/>
      </c>
      <c r="S363">
        <f>IF(E363=1,P363*Assumptions!$B$129,Assumptions!$B$32)</f>
        <v/>
      </c>
      <c r="T363">
        <f>IF(F363=1,P363*Assumptions!$B$14,Assumptions!$B$31)</f>
        <v/>
      </c>
      <c r="U363">
        <f>IF(G363=1,P363*Assumptions!$B$13,Assumptions!$B$30)</f>
        <v/>
      </c>
      <c r="V363">
        <f>IF(H363=1,P363*Assumptions!$B$12,Assumptions!$B$29)</f>
        <v/>
      </c>
      <c r="W363">
        <f>IF(I363=1,P363*Assumptions!$B$11,Assumptions!$B$28)</f>
        <v/>
      </c>
      <c r="X363">
        <f>P363*(Assumptions!$B$133+Assumptions!$B$137)</f>
        <v/>
      </c>
      <c r="Y363">
        <f>P363*Assumptions!$B$9</f>
        <v/>
      </c>
      <c r="Z363">
        <f>IF(M363=1,(P363-Assumptions!$B$37)*Assumptions!$B$153,0)</f>
        <v/>
      </c>
      <c r="AA363">
        <f>Q363+R363+S363+T363+U363+V363+W363+X363+Y363+Z363</f>
        <v/>
      </c>
      <c r="AB363" t="n">
        <v>56</v>
      </c>
      <c r="AC363" t="n">
        <v>120</v>
      </c>
      <c r="AD363" t="n">
        <v>24</v>
      </c>
      <c r="AE363" t="n">
        <v>40</v>
      </c>
      <c r="AF363" t="n">
        <v>48</v>
      </c>
      <c r="AG363" t="n">
        <v>60</v>
      </c>
      <c r="AH363" t="n">
        <v>58</v>
      </c>
      <c r="AI363" t="n">
        <v>57</v>
      </c>
      <c r="AJ363">
        <f>INDEX($Q$307:$Q$434,AC363+1)</f>
        <v/>
      </c>
      <c r="AK363">
        <f>INDEX($R$307:$R$434,AD363+1)</f>
        <v/>
      </c>
      <c r="AL363">
        <f>INDEX($S$307:$S$434,AE363+1)</f>
        <v/>
      </c>
      <c r="AM363">
        <f>INDEX($T$307:$T$434,AF363+1)</f>
        <v/>
      </c>
      <c r="AN363">
        <f>INDEX($U$307:$U$434,AG363+1)</f>
        <v/>
      </c>
      <c r="AO363">
        <f>INDEX($V$307:$V$434,AH363+1)</f>
        <v/>
      </c>
      <c r="AP363">
        <f>INDEX($W$307:$W$434,AI363+1)</f>
        <v/>
      </c>
      <c r="AQ363">
        <f>IF(Q363&gt;=AJ363-0.01,1,0)</f>
        <v/>
      </c>
      <c r="AR363">
        <f>IF(R363&gt;=AK363-0.01,1,0)</f>
        <v/>
      </c>
      <c r="AS363">
        <f>IF(S363&gt;=AL363-0.01,1,0)</f>
        <v/>
      </c>
      <c r="AT363">
        <f>IF(T363&gt;=AM363-0.01,1,0)</f>
        <v/>
      </c>
      <c r="AU363">
        <f>IF(U363&gt;=AN363-0.01,1,0)</f>
        <v/>
      </c>
      <c r="AV363">
        <f>IF(V363&gt;=AO363-0.01,1,0)</f>
        <v/>
      </c>
      <c r="AW363">
        <f>IF(W363&gt;=AP363-0.01,1,0)</f>
        <v/>
      </c>
      <c r="AX363">
        <f>AQ363*AR363*AS363*AT363*AU363*AV363*AW363</f>
        <v/>
      </c>
      <c r="AY363">
        <f>Assumptions!$B$41</f>
        <v/>
      </c>
      <c r="AZ363">
        <f>Assumptions!$B$33</f>
        <v/>
      </c>
      <c r="BA363">
        <f>Assumptions!$B$32</f>
        <v/>
      </c>
      <c r="BB363">
        <f>Assumptions!$B$31</f>
        <v/>
      </c>
      <c r="BC363">
        <f>Assumptions!$B$30</f>
        <v/>
      </c>
      <c r="BD363">
        <f>Assumptions!$B$29</f>
        <v/>
      </c>
      <c r="BE363">
        <f>Assumptions!$B$28</f>
        <v/>
      </c>
      <c r="BF363">
        <f>P363*Assumptions!$B$141</f>
        <v/>
      </c>
      <c r="BG363">
        <f>P363*Assumptions!$B$128</f>
        <v/>
      </c>
      <c r="BH363">
        <f>P363*Assumptions!$B$129</f>
        <v/>
      </c>
      <c r="BI363">
        <f>P363*Assumptions!$B$14</f>
        <v/>
      </c>
      <c r="BJ363">
        <f>P363*Assumptions!$B$13</f>
        <v/>
      </c>
      <c r="BK363">
        <f>P363*Assumptions!$B$12</f>
        <v/>
      </c>
      <c r="BL363">
        <f>P363*Assumptions!$B$11</f>
        <v/>
      </c>
    </row>
    <row r="364">
      <c r="A364" t="inlineStr">
        <is>
          <t>2000M</t>
        </is>
      </c>
      <c r="B364">
        <f>Assumptions!$B$60</f>
        <v/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>
        <f>(1-C364)*Assumptions!$B$41+(1-D364)*Assumptions!$B$33+(1-E364)*Assumptions!$B$32+(1-F364)*Assumptions!$B$31+(1-G364)*Assumptions!$B$30+(1-H364)*Assumptions!$B$29+(1-I364)*Assumptions!$B$28</f>
        <v/>
      </c>
      <c r="K364">
        <f>C364*Assumptions!$B$141+D364*Assumptions!$B$128+E364*Assumptions!$B$129+F364*Assumptions!$B$14+G364*Assumptions!$B$13+H364*Assumptions!$B$12+I364*Assumptions!$B$11+Assumptions!$B$133+Assumptions!$B$137+Assumptions!$B$9</f>
        <v/>
      </c>
      <c r="L364">
        <f>B364-J364</f>
        <v/>
      </c>
      <c r="M364">
        <f>IF(K364&gt;0,IF(L364/K364&gt;=Assumptions!$B$37,1,0),0)</f>
        <v/>
      </c>
      <c r="N364">
        <f>K364+M364*Assumptions!$B$153</f>
        <v/>
      </c>
      <c r="O364">
        <f>L364+M364*Assumptions!$B$153*Assumptions!$B$37</f>
        <v/>
      </c>
      <c r="P364">
        <f>IF(N364&gt;0,O364/N364,0)</f>
        <v/>
      </c>
      <c r="Q364">
        <f>IF(C364=1,P364*Assumptions!$B$141,Assumptions!$B$41)</f>
        <v/>
      </c>
      <c r="R364">
        <f>IF(D364=1,P364*Assumptions!$B$128,Assumptions!$B$33)</f>
        <v/>
      </c>
      <c r="S364">
        <f>IF(E364=1,P364*Assumptions!$B$129,Assumptions!$B$32)</f>
        <v/>
      </c>
      <c r="T364">
        <f>IF(F364=1,P364*Assumptions!$B$14,Assumptions!$B$31)</f>
        <v/>
      </c>
      <c r="U364">
        <f>IF(G364=1,P364*Assumptions!$B$13,Assumptions!$B$30)</f>
        <v/>
      </c>
      <c r="V364">
        <f>IF(H364=1,P364*Assumptions!$B$12,Assumptions!$B$29)</f>
        <v/>
      </c>
      <c r="W364">
        <f>IF(I364=1,P364*Assumptions!$B$11,Assumptions!$B$28)</f>
        <v/>
      </c>
      <c r="X364">
        <f>P364*(Assumptions!$B$133+Assumptions!$B$137)</f>
        <v/>
      </c>
      <c r="Y364">
        <f>P364*Assumptions!$B$9</f>
        <v/>
      </c>
      <c r="Z364">
        <f>IF(M364=1,(P364-Assumptions!$B$37)*Assumptions!$B$153,0)</f>
        <v/>
      </c>
      <c r="AA364">
        <f>Q364+R364+S364+T364+U364+V364+W364+X364+Y364+Z364</f>
        <v/>
      </c>
      <c r="AB364" t="n">
        <v>57</v>
      </c>
      <c r="AC364" t="n">
        <v>121</v>
      </c>
      <c r="AD364" t="n">
        <v>25</v>
      </c>
      <c r="AE364" t="n">
        <v>41</v>
      </c>
      <c r="AF364" t="n">
        <v>49</v>
      </c>
      <c r="AG364" t="n">
        <v>61</v>
      </c>
      <c r="AH364" t="n">
        <v>59</v>
      </c>
      <c r="AI364" t="n">
        <v>56</v>
      </c>
      <c r="AJ364">
        <f>INDEX($Q$307:$Q$434,AC364+1)</f>
        <v/>
      </c>
      <c r="AK364">
        <f>INDEX($R$307:$R$434,AD364+1)</f>
        <v/>
      </c>
      <c r="AL364">
        <f>INDEX($S$307:$S$434,AE364+1)</f>
        <v/>
      </c>
      <c r="AM364">
        <f>INDEX($T$307:$T$434,AF364+1)</f>
        <v/>
      </c>
      <c r="AN364">
        <f>INDEX($U$307:$U$434,AG364+1)</f>
        <v/>
      </c>
      <c r="AO364">
        <f>INDEX($V$307:$V$434,AH364+1)</f>
        <v/>
      </c>
      <c r="AP364">
        <f>INDEX($W$307:$W$434,AI364+1)</f>
        <v/>
      </c>
      <c r="AQ364">
        <f>IF(Q364&gt;=AJ364-0.01,1,0)</f>
        <v/>
      </c>
      <c r="AR364">
        <f>IF(R364&gt;=AK364-0.01,1,0)</f>
        <v/>
      </c>
      <c r="AS364">
        <f>IF(S364&gt;=AL364-0.01,1,0)</f>
        <v/>
      </c>
      <c r="AT364">
        <f>IF(T364&gt;=AM364-0.01,1,0)</f>
        <v/>
      </c>
      <c r="AU364">
        <f>IF(U364&gt;=AN364-0.01,1,0)</f>
        <v/>
      </c>
      <c r="AV364">
        <f>IF(V364&gt;=AO364-0.01,1,0)</f>
        <v/>
      </c>
      <c r="AW364">
        <f>IF(W364&gt;=AP364-0.01,1,0)</f>
        <v/>
      </c>
      <c r="AX364">
        <f>AQ364*AR364*AS364*AT364*AU364*AV364*AW364</f>
        <v/>
      </c>
      <c r="AY364">
        <f>Assumptions!$B$41</f>
        <v/>
      </c>
      <c r="AZ364">
        <f>Assumptions!$B$33</f>
        <v/>
      </c>
      <c r="BA364">
        <f>Assumptions!$B$32</f>
        <v/>
      </c>
      <c r="BB364">
        <f>Assumptions!$B$31</f>
        <v/>
      </c>
      <c r="BC364">
        <f>Assumptions!$B$30</f>
        <v/>
      </c>
      <c r="BD364">
        <f>Assumptions!$B$29</f>
        <v/>
      </c>
      <c r="BE364">
        <f>Assumptions!$B$28</f>
        <v/>
      </c>
      <c r="BF364">
        <f>P364*Assumptions!$B$141</f>
        <v/>
      </c>
      <c r="BG364">
        <f>P364*Assumptions!$B$128</f>
        <v/>
      </c>
      <c r="BH364">
        <f>P364*Assumptions!$B$129</f>
        <v/>
      </c>
      <c r="BI364">
        <f>P364*Assumptions!$B$14</f>
        <v/>
      </c>
      <c r="BJ364">
        <f>P364*Assumptions!$B$13</f>
        <v/>
      </c>
      <c r="BK364">
        <f>P364*Assumptions!$B$12</f>
        <v/>
      </c>
      <c r="BL364">
        <f>P364*Assumptions!$B$11</f>
        <v/>
      </c>
    </row>
    <row r="365">
      <c r="A365" t="inlineStr">
        <is>
          <t>2000M</t>
        </is>
      </c>
      <c r="B365">
        <f>Assumptions!$B$60</f>
        <v/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>
        <f>(1-C365)*Assumptions!$B$41+(1-D365)*Assumptions!$B$33+(1-E365)*Assumptions!$B$32+(1-F365)*Assumptions!$B$31+(1-G365)*Assumptions!$B$30+(1-H365)*Assumptions!$B$29+(1-I365)*Assumptions!$B$28</f>
        <v/>
      </c>
      <c r="K365">
        <f>C365*Assumptions!$B$141+D365*Assumptions!$B$128+E365*Assumptions!$B$129+F365*Assumptions!$B$14+G365*Assumptions!$B$13+H365*Assumptions!$B$12+I365*Assumptions!$B$11+Assumptions!$B$133+Assumptions!$B$137+Assumptions!$B$9</f>
        <v/>
      </c>
      <c r="L365">
        <f>B365-J365</f>
        <v/>
      </c>
      <c r="M365">
        <f>IF(K365&gt;0,IF(L365/K365&gt;=Assumptions!$B$37,1,0),0)</f>
        <v/>
      </c>
      <c r="N365">
        <f>K365+M365*Assumptions!$B$153</f>
        <v/>
      </c>
      <c r="O365">
        <f>L365+M365*Assumptions!$B$153*Assumptions!$B$37</f>
        <v/>
      </c>
      <c r="P365">
        <f>IF(N365&gt;0,O365/N365,0)</f>
        <v/>
      </c>
      <c r="Q365">
        <f>IF(C365=1,P365*Assumptions!$B$141,Assumptions!$B$41)</f>
        <v/>
      </c>
      <c r="R365">
        <f>IF(D365=1,P365*Assumptions!$B$128,Assumptions!$B$33)</f>
        <v/>
      </c>
      <c r="S365">
        <f>IF(E365=1,P365*Assumptions!$B$129,Assumptions!$B$32)</f>
        <v/>
      </c>
      <c r="T365">
        <f>IF(F365=1,P365*Assumptions!$B$14,Assumptions!$B$31)</f>
        <v/>
      </c>
      <c r="U365">
        <f>IF(G365=1,P365*Assumptions!$B$13,Assumptions!$B$30)</f>
        <v/>
      </c>
      <c r="V365">
        <f>IF(H365=1,P365*Assumptions!$B$12,Assumptions!$B$29)</f>
        <v/>
      </c>
      <c r="W365">
        <f>IF(I365=1,P365*Assumptions!$B$11,Assumptions!$B$28)</f>
        <v/>
      </c>
      <c r="X365">
        <f>P365*(Assumptions!$B$133+Assumptions!$B$137)</f>
        <v/>
      </c>
      <c r="Y365">
        <f>P365*Assumptions!$B$9</f>
        <v/>
      </c>
      <c r="Z365">
        <f>IF(M365=1,(P365-Assumptions!$B$37)*Assumptions!$B$153,0)</f>
        <v/>
      </c>
      <c r="AA365">
        <f>Q365+R365+S365+T365+U365+V365+W365+X365+Y365+Z365</f>
        <v/>
      </c>
      <c r="AB365" t="n">
        <v>58</v>
      </c>
      <c r="AC365" t="n">
        <v>122</v>
      </c>
      <c r="AD365" t="n">
        <v>26</v>
      </c>
      <c r="AE365" t="n">
        <v>42</v>
      </c>
      <c r="AF365" t="n">
        <v>50</v>
      </c>
      <c r="AG365" t="n">
        <v>62</v>
      </c>
      <c r="AH365" t="n">
        <v>56</v>
      </c>
      <c r="AI365" t="n">
        <v>59</v>
      </c>
      <c r="AJ365">
        <f>INDEX($Q$307:$Q$434,AC365+1)</f>
        <v/>
      </c>
      <c r="AK365">
        <f>INDEX($R$307:$R$434,AD365+1)</f>
        <v/>
      </c>
      <c r="AL365">
        <f>INDEX($S$307:$S$434,AE365+1)</f>
        <v/>
      </c>
      <c r="AM365">
        <f>INDEX($T$307:$T$434,AF365+1)</f>
        <v/>
      </c>
      <c r="AN365">
        <f>INDEX($U$307:$U$434,AG365+1)</f>
        <v/>
      </c>
      <c r="AO365">
        <f>INDEX($V$307:$V$434,AH365+1)</f>
        <v/>
      </c>
      <c r="AP365">
        <f>INDEX($W$307:$W$434,AI365+1)</f>
        <v/>
      </c>
      <c r="AQ365">
        <f>IF(Q365&gt;=AJ365-0.01,1,0)</f>
        <v/>
      </c>
      <c r="AR365">
        <f>IF(R365&gt;=AK365-0.01,1,0)</f>
        <v/>
      </c>
      <c r="AS365">
        <f>IF(S365&gt;=AL365-0.01,1,0)</f>
        <v/>
      </c>
      <c r="AT365">
        <f>IF(T365&gt;=AM365-0.01,1,0)</f>
        <v/>
      </c>
      <c r="AU365">
        <f>IF(U365&gt;=AN365-0.01,1,0)</f>
        <v/>
      </c>
      <c r="AV365">
        <f>IF(V365&gt;=AO365-0.01,1,0)</f>
        <v/>
      </c>
      <c r="AW365">
        <f>IF(W365&gt;=AP365-0.01,1,0)</f>
        <v/>
      </c>
      <c r="AX365">
        <f>AQ365*AR365*AS365*AT365*AU365*AV365*AW365</f>
        <v/>
      </c>
      <c r="AY365">
        <f>Assumptions!$B$41</f>
        <v/>
      </c>
      <c r="AZ365">
        <f>Assumptions!$B$33</f>
        <v/>
      </c>
      <c r="BA365">
        <f>Assumptions!$B$32</f>
        <v/>
      </c>
      <c r="BB365">
        <f>Assumptions!$B$31</f>
        <v/>
      </c>
      <c r="BC365">
        <f>Assumptions!$B$30</f>
        <v/>
      </c>
      <c r="BD365">
        <f>Assumptions!$B$29</f>
        <v/>
      </c>
      <c r="BE365">
        <f>Assumptions!$B$28</f>
        <v/>
      </c>
      <c r="BF365">
        <f>P365*Assumptions!$B$141</f>
        <v/>
      </c>
      <c r="BG365">
        <f>P365*Assumptions!$B$128</f>
        <v/>
      </c>
      <c r="BH365">
        <f>P365*Assumptions!$B$129</f>
        <v/>
      </c>
      <c r="BI365">
        <f>P365*Assumptions!$B$14</f>
        <v/>
      </c>
      <c r="BJ365">
        <f>P365*Assumptions!$B$13</f>
        <v/>
      </c>
      <c r="BK365">
        <f>P365*Assumptions!$B$12</f>
        <v/>
      </c>
      <c r="BL365">
        <f>P365*Assumptions!$B$11</f>
        <v/>
      </c>
    </row>
    <row r="366">
      <c r="A366" t="inlineStr">
        <is>
          <t>2000M</t>
        </is>
      </c>
      <c r="B366">
        <f>Assumptions!$B$60</f>
        <v/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>
        <f>(1-C366)*Assumptions!$B$41+(1-D366)*Assumptions!$B$33+(1-E366)*Assumptions!$B$32+(1-F366)*Assumptions!$B$31+(1-G366)*Assumptions!$B$30+(1-H366)*Assumptions!$B$29+(1-I366)*Assumptions!$B$28</f>
        <v/>
      </c>
      <c r="K366">
        <f>C366*Assumptions!$B$141+D366*Assumptions!$B$128+E366*Assumptions!$B$129+F366*Assumptions!$B$14+G366*Assumptions!$B$13+H366*Assumptions!$B$12+I366*Assumptions!$B$11+Assumptions!$B$133+Assumptions!$B$137+Assumptions!$B$9</f>
        <v/>
      </c>
      <c r="L366">
        <f>B366-J366</f>
        <v/>
      </c>
      <c r="M366">
        <f>IF(K366&gt;0,IF(L366/K366&gt;=Assumptions!$B$37,1,0),0)</f>
        <v/>
      </c>
      <c r="N366">
        <f>K366+M366*Assumptions!$B$153</f>
        <v/>
      </c>
      <c r="O366">
        <f>L366+M366*Assumptions!$B$153*Assumptions!$B$37</f>
        <v/>
      </c>
      <c r="P366">
        <f>IF(N366&gt;0,O366/N366,0)</f>
        <v/>
      </c>
      <c r="Q366">
        <f>IF(C366=1,P366*Assumptions!$B$141,Assumptions!$B$41)</f>
        <v/>
      </c>
      <c r="R366">
        <f>IF(D366=1,P366*Assumptions!$B$128,Assumptions!$B$33)</f>
        <v/>
      </c>
      <c r="S366">
        <f>IF(E366=1,P366*Assumptions!$B$129,Assumptions!$B$32)</f>
        <v/>
      </c>
      <c r="T366">
        <f>IF(F366=1,P366*Assumptions!$B$14,Assumptions!$B$31)</f>
        <v/>
      </c>
      <c r="U366">
        <f>IF(G366=1,P366*Assumptions!$B$13,Assumptions!$B$30)</f>
        <v/>
      </c>
      <c r="V366">
        <f>IF(H366=1,P366*Assumptions!$B$12,Assumptions!$B$29)</f>
        <v/>
      </c>
      <c r="W366">
        <f>IF(I366=1,P366*Assumptions!$B$11,Assumptions!$B$28)</f>
        <v/>
      </c>
      <c r="X366">
        <f>P366*(Assumptions!$B$133+Assumptions!$B$137)</f>
        <v/>
      </c>
      <c r="Y366">
        <f>P366*Assumptions!$B$9</f>
        <v/>
      </c>
      <c r="Z366">
        <f>IF(M366=1,(P366-Assumptions!$B$37)*Assumptions!$B$153,0)</f>
        <v/>
      </c>
      <c r="AA366">
        <f>Q366+R366+S366+T366+U366+V366+W366+X366+Y366+Z366</f>
        <v/>
      </c>
      <c r="AB366" t="n">
        <v>59</v>
      </c>
      <c r="AC366" t="n">
        <v>123</v>
      </c>
      <c r="AD366" t="n">
        <v>27</v>
      </c>
      <c r="AE366" t="n">
        <v>43</v>
      </c>
      <c r="AF366" t="n">
        <v>51</v>
      </c>
      <c r="AG366" t="n">
        <v>63</v>
      </c>
      <c r="AH366" t="n">
        <v>57</v>
      </c>
      <c r="AI366" t="n">
        <v>58</v>
      </c>
      <c r="AJ366">
        <f>INDEX($Q$307:$Q$434,AC366+1)</f>
        <v/>
      </c>
      <c r="AK366">
        <f>INDEX($R$307:$R$434,AD366+1)</f>
        <v/>
      </c>
      <c r="AL366">
        <f>INDEX($S$307:$S$434,AE366+1)</f>
        <v/>
      </c>
      <c r="AM366">
        <f>INDEX($T$307:$T$434,AF366+1)</f>
        <v/>
      </c>
      <c r="AN366">
        <f>INDEX($U$307:$U$434,AG366+1)</f>
        <v/>
      </c>
      <c r="AO366">
        <f>INDEX($V$307:$V$434,AH366+1)</f>
        <v/>
      </c>
      <c r="AP366">
        <f>INDEX($W$307:$W$434,AI366+1)</f>
        <v/>
      </c>
      <c r="AQ366">
        <f>IF(Q366&gt;=AJ366-0.01,1,0)</f>
        <v/>
      </c>
      <c r="AR366">
        <f>IF(R366&gt;=AK366-0.01,1,0)</f>
        <v/>
      </c>
      <c r="AS366">
        <f>IF(S366&gt;=AL366-0.01,1,0)</f>
        <v/>
      </c>
      <c r="AT366">
        <f>IF(T366&gt;=AM366-0.01,1,0)</f>
        <v/>
      </c>
      <c r="AU366">
        <f>IF(U366&gt;=AN366-0.01,1,0)</f>
        <v/>
      </c>
      <c r="AV366">
        <f>IF(V366&gt;=AO366-0.01,1,0)</f>
        <v/>
      </c>
      <c r="AW366">
        <f>IF(W366&gt;=AP366-0.01,1,0)</f>
        <v/>
      </c>
      <c r="AX366">
        <f>AQ366*AR366*AS366*AT366*AU366*AV366*AW366</f>
        <v/>
      </c>
      <c r="AY366">
        <f>Assumptions!$B$41</f>
        <v/>
      </c>
      <c r="AZ366">
        <f>Assumptions!$B$33</f>
        <v/>
      </c>
      <c r="BA366">
        <f>Assumptions!$B$32</f>
        <v/>
      </c>
      <c r="BB366">
        <f>Assumptions!$B$31</f>
        <v/>
      </c>
      <c r="BC366">
        <f>Assumptions!$B$30</f>
        <v/>
      </c>
      <c r="BD366">
        <f>Assumptions!$B$29</f>
        <v/>
      </c>
      <c r="BE366">
        <f>Assumptions!$B$28</f>
        <v/>
      </c>
      <c r="BF366">
        <f>P366*Assumptions!$B$141</f>
        <v/>
      </c>
      <c r="BG366">
        <f>P366*Assumptions!$B$128</f>
        <v/>
      </c>
      <c r="BH366">
        <f>P366*Assumptions!$B$129</f>
        <v/>
      </c>
      <c r="BI366">
        <f>P366*Assumptions!$B$14</f>
        <v/>
      </c>
      <c r="BJ366">
        <f>P366*Assumptions!$B$13</f>
        <v/>
      </c>
      <c r="BK366">
        <f>P366*Assumptions!$B$12</f>
        <v/>
      </c>
      <c r="BL366">
        <f>P366*Assumptions!$B$11</f>
        <v/>
      </c>
    </row>
    <row r="367">
      <c r="A367" t="inlineStr">
        <is>
          <t>2000M</t>
        </is>
      </c>
      <c r="B367">
        <f>Assumptions!$B$60</f>
        <v/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>
        <f>(1-C367)*Assumptions!$B$41+(1-D367)*Assumptions!$B$33+(1-E367)*Assumptions!$B$32+(1-F367)*Assumptions!$B$31+(1-G367)*Assumptions!$B$30+(1-H367)*Assumptions!$B$29+(1-I367)*Assumptions!$B$28</f>
        <v/>
      </c>
      <c r="K367">
        <f>C367*Assumptions!$B$141+D367*Assumptions!$B$128+E367*Assumptions!$B$129+F367*Assumptions!$B$14+G367*Assumptions!$B$13+H367*Assumptions!$B$12+I367*Assumptions!$B$11+Assumptions!$B$133+Assumptions!$B$137+Assumptions!$B$9</f>
        <v/>
      </c>
      <c r="L367">
        <f>B367-J367</f>
        <v/>
      </c>
      <c r="M367">
        <f>IF(K367&gt;0,IF(L367/K367&gt;=Assumptions!$B$37,1,0),0)</f>
        <v/>
      </c>
      <c r="N367">
        <f>K367+M367*Assumptions!$B$153</f>
        <v/>
      </c>
      <c r="O367">
        <f>L367+M367*Assumptions!$B$153*Assumptions!$B$37</f>
        <v/>
      </c>
      <c r="P367">
        <f>IF(N367&gt;0,O367/N367,0)</f>
        <v/>
      </c>
      <c r="Q367">
        <f>IF(C367=1,P367*Assumptions!$B$141,Assumptions!$B$41)</f>
        <v/>
      </c>
      <c r="R367">
        <f>IF(D367=1,P367*Assumptions!$B$128,Assumptions!$B$33)</f>
        <v/>
      </c>
      <c r="S367">
        <f>IF(E367=1,P367*Assumptions!$B$129,Assumptions!$B$32)</f>
        <v/>
      </c>
      <c r="T367">
        <f>IF(F367=1,P367*Assumptions!$B$14,Assumptions!$B$31)</f>
        <v/>
      </c>
      <c r="U367">
        <f>IF(G367=1,P367*Assumptions!$B$13,Assumptions!$B$30)</f>
        <v/>
      </c>
      <c r="V367">
        <f>IF(H367=1,P367*Assumptions!$B$12,Assumptions!$B$29)</f>
        <v/>
      </c>
      <c r="W367">
        <f>IF(I367=1,P367*Assumptions!$B$11,Assumptions!$B$28)</f>
        <v/>
      </c>
      <c r="X367">
        <f>P367*(Assumptions!$B$133+Assumptions!$B$137)</f>
        <v/>
      </c>
      <c r="Y367">
        <f>P367*Assumptions!$B$9</f>
        <v/>
      </c>
      <c r="Z367">
        <f>IF(M367=1,(P367-Assumptions!$B$37)*Assumptions!$B$153,0)</f>
        <v/>
      </c>
      <c r="AA367">
        <f>Q367+R367+S367+T367+U367+V367+W367+X367+Y367+Z367</f>
        <v/>
      </c>
      <c r="AB367" t="n">
        <v>60</v>
      </c>
      <c r="AC367" t="n">
        <v>124</v>
      </c>
      <c r="AD367" t="n">
        <v>28</v>
      </c>
      <c r="AE367" t="n">
        <v>44</v>
      </c>
      <c r="AF367" t="n">
        <v>52</v>
      </c>
      <c r="AG367" t="n">
        <v>56</v>
      </c>
      <c r="AH367" t="n">
        <v>62</v>
      </c>
      <c r="AI367" t="n">
        <v>61</v>
      </c>
      <c r="AJ367">
        <f>INDEX($Q$307:$Q$434,AC367+1)</f>
        <v/>
      </c>
      <c r="AK367">
        <f>INDEX($R$307:$R$434,AD367+1)</f>
        <v/>
      </c>
      <c r="AL367">
        <f>INDEX($S$307:$S$434,AE367+1)</f>
        <v/>
      </c>
      <c r="AM367">
        <f>INDEX($T$307:$T$434,AF367+1)</f>
        <v/>
      </c>
      <c r="AN367">
        <f>INDEX($U$307:$U$434,AG367+1)</f>
        <v/>
      </c>
      <c r="AO367">
        <f>INDEX($V$307:$V$434,AH367+1)</f>
        <v/>
      </c>
      <c r="AP367">
        <f>INDEX($W$307:$W$434,AI367+1)</f>
        <v/>
      </c>
      <c r="AQ367">
        <f>IF(Q367&gt;=AJ367-0.01,1,0)</f>
        <v/>
      </c>
      <c r="AR367">
        <f>IF(R367&gt;=AK367-0.01,1,0)</f>
        <v/>
      </c>
      <c r="AS367">
        <f>IF(S367&gt;=AL367-0.01,1,0)</f>
        <v/>
      </c>
      <c r="AT367">
        <f>IF(T367&gt;=AM367-0.01,1,0)</f>
        <v/>
      </c>
      <c r="AU367">
        <f>IF(U367&gt;=AN367-0.01,1,0)</f>
        <v/>
      </c>
      <c r="AV367">
        <f>IF(V367&gt;=AO367-0.01,1,0)</f>
        <v/>
      </c>
      <c r="AW367">
        <f>IF(W367&gt;=AP367-0.01,1,0)</f>
        <v/>
      </c>
      <c r="AX367">
        <f>AQ367*AR367*AS367*AT367*AU367*AV367*AW367</f>
        <v/>
      </c>
      <c r="AY367">
        <f>Assumptions!$B$41</f>
        <v/>
      </c>
      <c r="AZ367">
        <f>Assumptions!$B$33</f>
        <v/>
      </c>
      <c r="BA367">
        <f>Assumptions!$B$32</f>
        <v/>
      </c>
      <c r="BB367">
        <f>Assumptions!$B$31</f>
        <v/>
      </c>
      <c r="BC367">
        <f>Assumptions!$B$30</f>
        <v/>
      </c>
      <c r="BD367">
        <f>Assumptions!$B$29</f>
        <v/>
      </c>
      <c r="BE367">
        <f>Assumptions!$B$28</f>
        <v/>
      </c>
      <c r="BF367">
        <f>P367*Assumptions!$B$141</f>
        <v/>
      </c>
      <c r="BG367">
        <f>P367*Assumptions!$B$128</f>
        <v/>
      </c>
      <c r="BH367">
        <f>P367*Assumptions!$B$129</f>
        <v/>
      </c>
      <c r="BI367">
        <f>P367*Assumptions!$B$14</f>
        <v/>
      </c>
      <c r="BJ367">
        <f>P367*Assumptions!$B$13</f>
        <v/>
      </c>
      <c r="BK367">
        <f>P367*Assumptions!$B$12</f>
        <v/>
      </c>
      <c r="BL367">
        <f>P367*Assumptions!$B$11</f>
        <v/>
      </c>
    </row>
    <row r="368">
      <c r="A368" t="inlineStr">
        <is>
          <t>2000M</t>
        </is>
      </c>
      <c r="B368">
        <f>Assumptions!$B$60</f>
        <v/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>
        <f>(1-C368)*Assumptions!$B$41+(1-D368)*Assumptions!$B$33+(1-E368)*Assumptions!$B$32+(1-F368)*Assumptions!$B$31+(1-G368)*Assumptions!$B$30+(1-H368)*Assumptions!$B$29+(1-I368)*Assumptions!$B$28</f>
        <v/>
      </c>
      <c r="K368">
        <f>C368*Assumptions!$B$141+D368*Assumptions!$B$128+E368*Assumptions!$B$129+F368*Assumptions!$B$14+G368*Assumptions!$B$13+H368*Assumptions!$B$12+I368*Assumptions!$B$11+Assumptions!$B$133+Assumptions!$B$137+Assumptions!$B$9</f>
        <v/>
      </c>
      <c r="L368">
        <f>B368-J368</f>
        <v/>
      </c>
      <c r="M368">
        <f>IF(K368&gt;0,IF(L368/K368&gt;=Assumptions!$B$37,1,0),0)</f>
        <v/>
      </c>
      <c r="N368">
        <f>K368+M368*Assumptions!$B$153</f>
        <v/>
      </c>
      <c r="O368">
        <f>L368+M368*Assumptions!$B$153*Assumptions!$B$37</f>
        <v/>
      </c>
      <c r="P368">
        <f>IF(N368&gt;0,O368/N368,0)</f>
        <v/>
      </c>
      <c r="Q368">
        <f>IF(C368=1,P368*Assumptions!$B$141,Assumptions!$B$41)</f>
        <v/>
      </c>
      <c r="R368">
        <f>IF(D368=1,P368*Assumptions!$B$128,Assumptions!$B$33)</f>
        <v/>
      </c>
      <c r="S368">
        <f>IF(E368=1,P368*Assumptions!$B$129,Assumptions!$B$32)</f>
        <v/>
      </c>
      <c r="T368">
        <f>IF(F368=1,P368*Assumptions!$B$14,Assumptions!$B$31)</f>
        <v/>
      </c>
      <c r="U368">
        <f>IF(G368=1,P368*Assumptions!$B$13,Assumptions!$B$30)</f>
        <v/>
      </c>
      <c r="V368">
        <f>IF(H368=1,P368*Assumptions!$B$12,Assumptions!$B$29)</f>
        <v/>
      </c>
      <c r="W368">
        <f>IF(I368=1,P368*Assumptions!$B$11,Assumptions!$B$28)</f>
        <v/>
      </c>
      <c r="X368">
        <f>P368*(Assumptions!$B$133+Assumptions!$B$137)</f>
        <v/>
      </c>
      <c r="Y368">
        <f>P368*Assumptions!$B$9</f>
        <v/>
      </c>
      <c r="Z368">
        <f>IF(M368=1,(P368-Assumptions!$B$37)*Assumptions!$B$153,0)</f>
        <v/>
      </c>
      <c r="AA368">
        <f>Q368+R368+S368+T368+U368+V368+W368+X368+Y368+Z368</f>
        <v/>
      </c>
      <c r="AB368" t="n">
        <v>61</v>
      </c>
      <c r="AC368" t="n">
        <v>125</v>
      </c>
      <c r="AD368" t="n">
        <v>29</v>
      </c>
      <c r="AE368" t="n">
        <v>45</v>
      </c>
      <c r="AF368" t="n">
        <v>53</v>
      </c>
      <c r="AG368" t="n">
        <v>57</v>
      </c>
      <c r="AH368" t="n">
        <v>63</v>
      </c>
      <c r="AI368" t="n">
        <v>60</v>
      </c>
      <c r="AJ368">
        <f>INDEX($Q$307:$Q$434,AC368+1)</f>
        <v/>
      </c>
      <c r="AK368">
        <f>INDEX($R$307:$R$434,AD368+1)</f>
        <v/>
      </c>
      <c r="AL368">
        <f>INDEX($S$307:$S$434,AE368+1)</f>
        <v/>
      </c>
      <c r="AM368">
        <f>INDEX($T$307:$T$434,AF368+1)</f>
        <v/>
      </c>
      <c r="AN368">
        <f>INDEX($U$307:$U$434,AG368+1)</f>
        <v/>
      </c>
      <c r="AO368">
        <f>INDEX($V$307:$V$434,AH368+1)</f>
        <v/>
      </c>
      <c r="AP368">
        <f>INDEX($W$307:$W$434,AI368+1)</f>
        <v/>
      </c>
      <c r="AQ368">
        <f>IF(Q368&gt;=AJ368-0.01,1,0)</f>
        <v/>
      </c>
      <c r="AR368">
        <f>IF(R368&gt;=AK368-0.01,1,0)</f>
        <v/>
      </c>
      <c r="AS368">
        <f>IF(S368&gt;=AL368-0.01,1,0)</f>
        <v/>
      </c>
      <c r="AT368">
        <f>IF(T368&gt;=AM368-0.01,1,0)</f>
        <v/>
      </c>
      <c r="AU368">
        <f>IF(U368&gt;=AN368-0.01,1,0)</f>
        <v/>
      </c>
      <c r="AV368">
        <f>IF(V368&gt;=AO368-0.01,1,0)</f>
        <v/>
      </c>
      <c r="AW368">
        <f>IF(W368&gt;=AP368-0.01,1,0)</f>
        <v/>
      </c>
      <c r="AX368">
        <f>AQ368*AR368*AS368*AT368*AU368*AV368*AW368</f>
        <v/>
      </c>
      <c r="AY368">
        <f>Assumptions!$B$41</f>
        <v/>
      </c>
      <c r="AZ368">
        <f>Assumptions!$B$33</f>
        <v/>
      </c>
      <c r="BA368">
        <f>Assumptions!$B$32</f>
        <v/>
      </c>
      <c r="BB368">
        <f>Assumptions!$B$31</f>
        <v/>
      </c>
      <c r="BC368">
        <f>Assumptions!$B$30</f>
        <v/>
      </c>
      <c r="BD368">
        <f>Assumptions!$B$29</f>
        <v/>
      </c>
      <c r="BE368">
        <f>Assumptions!$B$28</f>
        <v/>
      </c>
      <c r="BF368">
        <f>P368*Assumptions!$B$141</f>
        <v/>
      </c>
      <c r="BG368">
        <f>P368*Assumptions!$B$128</f>
        <v/>
      </c>
      <c r="BH368">
        <f>P368*Assumptions!$B$129</f>
        <v/>
      </c>
      <c r="BI368">
        <f>P368*Assumptions!$B$14</f>
        <v/>
      </c>
      <c r="BJ368">
        <f>P368*Assumptions!$B$13</f>
        <v/>
      </c>
      <c r="BK368">
        <f>P368*Assumptions!$B$12</f>
        <v/>
      </c>
      <c r="BL368">
        <f>P368*Assumptions!$B$11</f>
        <v/>
      </c>
    </row>
    <row r="369">
      <c r="A369" t="inlineStr">
        <is>
          <t>2000M</t>
        </is>
      </c>
      <c r="B369">
        <f>Assumptions!$B$60</f>
        <v/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>
        <f>(1-C369)*Assumptions!$B$41+(1-D369)*Assumptions!$B$33+(1-E369)*Assumptions!$B$32+(1-F369)*Assumptions!$B$31+(1-G369)*Assumptions!$B$30+(1-H369)*Assumptions!$B$29+(1-I369)*Assumptions!$B$28</f>
        <v/>
      </c>
      <c r="K369">
        <f>C369*Assumptions!$B$141+D369*Assumptions!$B$128+E369*Assumptions!$B$129+F369*Assumptions!$B$14+G369*Assumptions!$B$13+H369*Assumptions!$B$12+I369*Assumptions!$B$11+Assumptions!$B$133+Assumptions!$B$137+Assumptions!$B$9</f>
        <v/>
      </c>
      <c r="L369">
        <f>B369-J369</f>
        <v/>
      </c>
      <c r="M369">
        <f>IF(K369&gt;0,IF(L369/K369&gt;=Assumptions!$B$37,1,0),0)</f>
        <v/>
      </c>
      <c r="N369">
        <f>K369+M369*Assumptions!$B$153</f>
        <v/>
      </c>
      <c r="O369">
        <f>L369+M369*Assumptions!$B$153*Assumptions!$B$37</f>
        <v/>
      </c>
      <c r="P369">
        <f>IF(N369&gt;0,O369/N369,0)</f>
        <v/>
      </c>
      <c r="Q369">
        <f>IF(C369=1,P369*Assumptions!$B$141,Assumptions!$B$41)</f>
        <v/>
      </c>
      <c r="R369">
        <f>IF(D369=1,P369*Assumptions!$B$128,Assumptions!$B$33)</f>
        <v/>
      </c>
      <c r="S369">
        <f>IF(E369=1,P369*Assumptions!$B$129,Assumptions!$B$32)</f>
        <v/>
      </c>
      <c r="T369">
        <f>IF(F369=1,P369*Assumptions!$B$14,Assumptions!$B$31)</f>
        <v/>
      </c>
      <c r="U369">
        <f>IF(G369=1,P369*Assumptions!$B$13,Assumptions!$B$30)</f>
        <v/>
      </c>
      <c r="V369">
        <f>IF(H369=1,P369*Assumptions!$B$12,Assumptions!$B$29)</f>
        <v/>
      </c>
      <c r="W369">
        <f>IF(I369=1,P369*Assumptions!$B$11,Assumptions!$B$28)</f>
        <v/>
      </c>
      <c r="X369">
        <f>P369*(Assumptions!$B$133+Assumptions!$B$137)</f>
        <v/>
      </c>
      <c r="Y369">
        <f>P369*Assumptions!$B$9</f>
        <v/>
      </c>
      <c r="Z369">
        <f>IF(M369=1,(P369-Assumptions!$B$37)*Assumptions!$B$153,0)</f>
        <v/>
      </c>
      <c r="AA369">
        <f>Q369+R369+S369+T369+U369+V369+W369+X369+Y369+Z369</f>
        <v/>
      </c>
      <c r="AB369" t="n">
        <v>62</v>
      </c>
      <c r="AC369" t="n">
        <v>126</v>
      </c>
      <c r="AD369" t="n">
        <v>30</v>
      </c>
      <c r="AE369" t="n">
        <v>46</v>
      </c>
      <c r="AF369" t="n">
        <v>54</v>
      </c>
      <c r="AG369" t="n">
        <v>58</v>
      </c>
      <c r="AH369" t="n">
        <v>60</v>
      </c>
      <c r="AI369" t="n">
        <v>63</v>
      </c>
      <c r="AJ369">
        <f>INDEX($Q$307:$Q$434,AC369+1)</f>
        <v/>
      </c>
      <c r="AK369">
        <f>INDEX($R$307:$R$434,AD369+1)</f>
        <v/>
      </c>
      <c r="AL369">
        <f>INDEX($S$307:$S$434,AE369+1)</f>
        <v/>
      </c>
      <c r="AM369">
        <f>INDEX($T$307:$T$434,AF369+1)</f>
        <v/>
      </c>
      <c r="AN369">
        <f>INDEX($U$307:$U$434,AG369+1)</f>
        <v/>
      </c>
      <c r="AO369">
        <f>INDEX($V$307:$V$434,AH369+1)</f>
        <v/>
      </c>
      <c r="AP369">
        <f>INDEX($W$307:$W$434,AI369+1)</f>
        <v/>
      </c>
      <c r="AQ369">
        <f>IF(Q369&gt;=AJ369-0.01,1,0)</f>
        <v/>
      </c>
      <c r="AR369">
        <f>IF(R369&gt;=AK369-0.01,1,0)</f>
        <v/>
      </c>
      <c r="AS369">
        <f>IF(S369&gt;=AL369-0.01,1,0)</f>
        <v/>
      </c>
      <c r="AT369">
        <f>IF(T369&gt;=AM369-0.01,1,0)</f>
        <v/>
      </c>
      <c r="AU369">
        <f>IF(U369&gt;=AN369-0.01,1,0)</f>
        <v/>
      </c>
      <c r="AV369">
        <f>IF(V369&gt;=AO369-0.01,1,0)</f>
        <v/>
      </c>
      <c r="AW369">
        <f>IF(W369&gt;=AP369-0.01,1,0)</f>
        <v/>
      </c>
      <c r="AX369">
        <f>AQ369*AR369*AS369*AT369*AU369*AV369*AW369</f>
        <v/>
      </c>
      <c r="AY369">
        <f>Assumptions!$B$41</f>
        <v/>
      </c>
      <c r="AZ369">
        <f>Assumptions!$B$33</f>
        <v/>
      </c>
      <c r="BA369">
        <f>Assumptions!$B$32</f>
        <v/>
      </c>
      <c r="BB369">
        <f>Assumptions!$B$31</f>
        <v/>
      </c>
      <c r="BC369">
        <f>Assumptions!$B$30</f>
        <v/>
      </c>
      <c r="BD369">
        <f>Assumptions!$B$29</f>
        <v/>
      </c>
      <c r="BE369">
        <f>Assumptions!$B$28</f>
        <v/>
      </c>
      <c r="BF369">
        <f>P369*Assumptions!$B$141</f>
        <v/>
      </c>
      <c r="BG369">
        <f>P369*Assumptions!$B$128</f>
        <v/>
      </c>
      <c r="BH369">
        <f>P369*Assumptions!$B$129</f>
        <v/>
      </c>
      <c r="BI369">
        <f>P369*Assumptions!$B$14</f>
        <v/>
      </c>
      <c r="BJ369">
        <f>P369*Assumptions!$B$13</f>
        <v/>
      </c>
      <c r="BK369">
        <f>P369*Assumptions!$B$12</f>
        <v/>
      </c>
      <c r="BL369">
        <f>P369*Assumptions!$B$11</f>
        <v/>
      </c>
    </row>
    <row r="370">
      <c r="A370" t="inlineStr">
        <is>
          <t>2000M</t>
        </is>
      </c>
      <c r="B370">
        <f>Assumptions!$B$60</f>
        <v/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>
        <f>(1-C370)*Assumptions!$B$41+(1-D370)*Assumptions!$B$33+(1-E370)*Assumptions!$B$32+(1-F370)*Assumptions!$B$31+(1-G370)*Assumptions!$B$30+(1-H370)*Assumptions!$B$29+(1-I370)*Assumptions!$B$28</f>
        <v/>
      </c>
      <c r="K370">
        <f>C370*Assumptions!$B$141+D370*Assumptions!$B$128+E370*Assumptions!$B$129+F370*Assumptions!$B$14+G370*Assumptions!$B$13+H370*Assumptions!$B$12+I370*Assumptions!$B$11+Assumptions!$B$133+Assumptions!$B$137+Assumptions!$B$9</f>
        <v/>
      </c>
      <c r="L370">
        <f>B370-J370</f>
        <v/>
      </c>
      <c r="M370">
        <f>IF(K370&gt;0,IF(L370/K370&gt;=Assumptions!$B$37,1,0),0)</f>
        <v/>
      </c>
      <c r="N370">
        <f>K370+M370*Assumptions!$B$153</f>
        <v/>
      </c>
      <c r="O370">
        <f>L370+M370*Assumptions!$B$153*Assumptions!$B$37</f>
        <v/>
      </c>
      <c r="P370">
        <f>IF(N370&gt;0,O370/N370,0)</f>
        <v/>
      </c>
      <c r="Q370">
        <f>IF(C370=1,P370*Assumptions!$B$141,Assumptions!$B$41)</f>
        <v/>
      </c>
      <c r="R370">
        <f>IF(D370=1,P370*Assumptions!$B$128,Assumptions!$B$33)</f>
        <v/>
      </c>
      <c r="S370">
        <f>IF(E370=1,P370*Assumptions!$B$129,Assumptions!$B$32)</f>
        <v/>
      </c>
      <c r="T370">
        <f>IF(F370=1,P370*Assumptions!$B$14,Assumptions!$B$31)</f>
        <v/>
      </c>
      <c r="U370">
        <f>IF(G370=1,P370*Assumptions!$B$13,Assumptions!$B$30)</f>
        <v/>
      </c>
      <c r="V370">
        <f>IF(H370=1,P370*Assumptions!$B$12,Assumptions!$B$29)</f>
        <v/>
      </c>
      <c r="W370">
        <f>IF(I370=1,P370*Assumptions!$B$11,Assumptions!$B$28)</f>
        <v/>
      </c>
      <c r="X370">
        <f>P370*(Assumptions!$B$133+Assumptions!$B$137)</f>
        <v/>
      </c>
      <c r="Y370">
        <f>P370*Assumptions!$B$9</f>
        <v/>
      </c>
      <c r="Z370">
        <f>IF(M370=1,(P370-Assumptions!$B$37)*Assumptions!$B$153,0)</f>
        <v/>
      </c>
      <c r="AA370">
        <f>Q370+R370+S370+T370+U370+V370+W370+X370+Y370+Z370</f>
        <v/>
      </c>
      <c r="AB370" t="n">
        <v>63</v>
      </c>
      <c r="AC370" t="n">
        <v>127</v>
      </c>
      <c r="AD370" t="n">
        <v>31</v>
      </c>
      <c r="AE370" t="n">
        <v>47</v>
      </c>
      <c r="AF370" t="n">
        <v>55</v>
      </c>
      <c r="AG370" t="n">
        <v>59</v>
      </c>
      <c r="AH370" t="n">
        <v>61</v>
      </c>
      <c r="AI370" t="n">
        <v>62</v>
      </c>
      <c r="AJ370">
        <f>INDEX($Q$307:$Q$434,AC370+1)</f>
        <v/>
      </c>
      <c r="AK370">
        <f>INDEX($R$307:$R$434,AD370+1)</f>
        <v/>
      </c>
      <c r="AL370">
        <f>INDEX($S$307:$S$434,AE370+1)</f>
        <v/>
      </c>
      <c r="AM370">
        <f>INDEX($T$307:$T$434,AF370+1)</f>
        <v/>
      </c>
      <c r="AN370">
        <f>INDEX($U$307:$U$434,AG370+1)</f>
        <v/>
      </c>
      <c r="AO370">
        <f>INDEX($V$307:$V$434,AH370+1)</f>
        <v/>
      </c>
      <c r="AP370">
        <f>INDEX($W$307:$W$434,AI370+1)</f>
        <v/>
      </c>
      <c r="AQ370">
        <f>IF(Q370&gt;=AJ370-0.01,1,0)</f>
        <v/>
      </c>
      <c r="AR370">
        <f>IF(R370&gt;=AK370-0.01,1,0)</f>
        <v/>
      </c>
      <c r="AS370">
        <f>IF(S370&gt;=AL370-0.01,1,0)</f>
        <v/>
      </c>
      <c r="AT370">
        <f>IF(T370&gt;=AM370-0.01,1,0)</f>
        <v/>
      </c>
      <c r="AU370">
        <f>IF(U370&gt;=AN370-0.01,1,0)</f>
        <v/>
      </c>
      <c r="AV370">
        <f>IF(V370&gt;=AO370-0.01,1,0)</f>
        <v/>
      </c>
      <c r="AW370">
        <f>IF(W370&gt;=AP370-0.01,1,0)</f>
        <v/>
      </c>
      <c r="AX370">
        <f>AQ370*AR370*AS370*AT370*AU370*AV370*AW370</f>
        <v/>
      </c>
      <c r="AY370">
        <f>Assumptions!$B$41</f>
        <v/>
      </c>
      <c r="AZ370">
        <f>Assumptions!$B$33</f>
        <v/>
      </c>
      <c r="BA370">
        <f>Assumptions!$B$32</f>
        <v/>
      </c>
      <c r="BB370">
        <f>Assumptions!$B$31</f>
        <v/>
      </c>
      <c r="BC370">
        <f>Assumptions!$B$30</f>
        <v/>
      </c>
      <c r="BD370">
        <f>Assumptions!$B$29</f>
        <v/>
      </c>
      <c r="BE370">
        <f>Assumptions!$B$28</f>
        <v/>
      </c>
      <c r="BF370">
        <f>P370*Assumptions!$B$141</f>
        <v/>
      </c>
      <c r="BG370">
        <f>P370*Assumptions!$B$128</f>
        <v/>
      </c>
      <c r="BH370">
        <f>P370*Assumptions!$B$129</f>
        <v/>
      </c>
      <c r="BI370">
        <f>P370*Assumptions!$B$14</f>
        <v/>
      </c>
      <c r="BJ370">
        <f>P370*Assumptions!$B$13</f>
        <v/>
      </c>
      <c r="BK370">
        <f>P370*Assumptions!$B$12</f>
        <v/>
      </c>
      <c r="BL370">
        <f>P370*Assumptions!$B$11</f>
        <v/>
      </c>
    </row>
    <row r="371">
      <c r="A371" t="inlineStr">
        <is>
          <t>2000M</t>
        </is>
      </c>
      <c r="B371">
        <f>Assumptions!$B$60</f>
        <v/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>
        <f>(1-C371)*Assumptions!$B$41+(1-D371)*Assumptions!$B$33+(1-E371)*Assumptions!$B$32+(1-F371)*Assumptions!$B$31+(1-G371)*Assumptions!$B$30+(1-H371)*Assumptions!$B$29+(1-I371)*Assumptions!$B$28</f>
        <v/>
      </c>
      <c r="K371">
        <f>C371*Assumptions!$B$141+D371*Assumptions!$B$128+E371*Assumptions!$B$129+F371*Assumptions!$B$14+G371*Assumptions!$B$13+H371*Assumptions!$B$12+I371*Assumptions!$B$11+Assumptions!$B$133+Assumptions!$B$137+Assumptions!$B$9</f>
        <v/>
      </c>
      <c r="L371">
        <f>B371-J371</f>
        <v/>
      </c>
      <c r="M371">
        <f>IF(K371&gt;0,IF(L371/K371&gt;=Assumptions!$B$37,1,0),0)</f>
        <v/>
      </c>
      <c r="N371">
        <f>K371+M371*Assumptions!$B$153</f>
        <v/>
      </c>
      <c r="O371">
        <f>L371+M371*Assumptions!$B$153*Assumptions!$B$37</f>
        <v/>
      </c>
      <c r="P371">
        <f>IF(N371&gt;0,O371/N371,0)</f>
        <v/>
      </c>
      <c r="Q371">
        <f>IF(C371=1,P371*Assumptions!$B$141,Assumptions!$B$41)</f>
        <v/>
      </c>
      <c r="R371">
        <f>IF(D371=1,P371*Assumptions!$B$128,Assumptions!$B$33)</f>
        <v/>
      </c>
      <c r="S371">
        <f>IF(E371=1,P371*Assumptions!$B$129,Assumptions!$B$32)</f>
        <v/>
      </c>
      <c r="T371">
        <f>IF(F371=1,P371*Assumptions!$B$14,Assumptions!$B$31)</f>
        <v/>
      </c>
      <c r="U371">
        <f>IF(G371=1,P371*Assumptions!$B$13,Assumptions!$B$30)</f>
        <v/>
      </c>
      <c r="V371">
        <f>IF(H371=1,P371*Assumptions!$B$12,Assumptions!$B$29)</f>
        <v/>
      </c>
      <c r="W371">
        <f>IF(I371=1,P371*Assumptions!$B$11,Assumptions!$B$28)</f>
        <v/>
      </c>
      <c r="X371">
        <f>P371*(Assumptions!$B$133+Assumptions!$B$137)</f>
        <v/>
      </c>
      <c r="Y371">
        <f>P371*Assumptions!$B$9</f>
        <v/>
      </c>
      <c r="Z371">
        <f>IF(M371=1,(P371-Assumptions!$B$37)*Assumptions!$B$153,0)</f>
        <v/>
      </c>
      <c r="AA371">
        <f>Q371+R371+S371+T371+U371+V371+W371+X371+Y371+Z371</f>
        <v/>
      </c>
      <c r="AB371" t="n">
        <v>64</v>
      </c>
      <c r="AC371" t="n">
        <v>0</v>
      </c>
      <c r="AD371" t="n">
        <v>96</v>
      </c>
      <c r="AE371" t="n">
        <v>80</v>
      </c>
      <c r="AF371" t="n">
        <v>72</v>
      </c>
      <c r="AG371" t="n">
        <v>68</v>
      </c>
      <c r="AH371" t="n">
        <v>66</v>
      </c>
      <c r="AI371" t="n">
        <v>65</v>
      </c>
      <c r="AJ371">
        <f>INDEX($Q$307:$Q$434,AC371+1)</f>
        <v/>
      </c>
      <c r="AK371">
        <f>INDEX($R$307:$R$434,AD371+1)</f>
        <v/>
      </c>
      <c r="AL371">
        <f>INDEX($S$307:$S$434,AE371+1)</f>
        <v/>
      </c>
      <c r="AM371">
        <f>INDEX($T$307:$T$434,AF371+1)</f>
        <v/>
      </c>
      <c r="AN371">
        <f>INDEX($U$307:$U$434,AG371+1)</f>
        <v/>
      </c>
      <c r="AO371">
        <f>INDEX($V$307:$V$434,AH371+1)</f>
        <v/>
      </c>
      <c r="AP371">
        <f>INDEX($W$307:$W$434,AI371+1)</f>
        <v/>
      </c>
      <c r="AQ371">
        <f>IF(Q371&gt;=AJ371-0.01,1,0)</f>
        <v/>
      </c>
      <c r="AR371">
        <f>IF(R371&gt;=AK371-0.01,1,0)</f>
        <v/>
      </c>
      <c r="AS371">
        <f>IF(S371&gt;=AL371-0.01,1,0)</f>
        <v/>
      </c>
      <c r="AT371">
        <f>IF(T371&gt;=AM371-0.01,1,0)</f>
        <v/>
      </c>
      <c r="AU371">
        <f>IF(U371&gt;=AN371-0.01,1,0)</f>
        <v/>
      </c>
      <c r="AV371">
        <f>IF(V371&gt;=AO371-0.01,1,0)</f>
        <v/>
      </c>
      <c r="AW371">
        <f>IF(W371&gt;=AP371-0.01,1,0)</f>
        <v/>
      </c>
      <c r="AX371">
        <f>AQ371*AR371*AS371*AT371*AU371*AV371*AW371</f>
        <v/>
      </c>
      <c r="AY371">
        <f>Assumptions!$B$41</f>
        <v/>
      </c>
      <c r="AZ371">
        <f>Assumptions!$B$33</f>
        <v/>
      </c>
      <c r="BA371">
        <f>Assumptions!$B$32</f>
        <v/>
      </c>
      <c r="BB371">
        <f>Assumptions!$B$31</f>
        <v/>
      </c>
      <c r="BC371">
        <f>Assumptions!$B$30</f>
        <v/>
      </c>
      <c r="BD371">
        <f>Assumptions!$B$29</f>
        <v/>
      </c>
      <c r="BE371">
        <f>Assumptions!$B$28</f>
        <v/>
      </c>
      <c r="BF371">
        <f>P371*Assumptions!$B$141</f>
        <v/>
      </c>
      <c r="BG371">
        <f>P371*Assumptions!$B$128</f>
        <v/>
      </c>
      <c r="BH371">
        <f>P371*Assumptions!$B$129</f>
        <v/>
      </c>
      <c r="BI371">
        <f>P371*Assumptions!$B$14</f>
        <v/>
      </c>
      <c r="BJ371">
        <f>P371*Assumptions!$B$13</f>
        <v/>
      </c>
      <c r="BK371">
        <f>P371*Assumptions!$B$12</f>
        <v/>
      </c>
      <c r="BL371">
        <f>P371*Assumptions!$B$11</f>
        <v/>
      </c>
    </row>
    <row r="372">
      <c r="A372" t="inlineStr">
        <is>
          <t>2000M</t>
        </is>
      </c>
      <c r="B372">
        <f>Assumptions!$B$60</f>
        <v/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>
        <f>(1-C372)*Assumptions!$B$41+(1-D372)*Assumptions!$B$33+(1-E372)*Assumptions!$B$32+(1-F372)*Assumptions!$B$31+(1-G372)*Assumptions!$B$30+(1-H372)*Assumptions!$B$29+(1-I372)*Assumptions!$B$28</f>
        <v/>
      </c>
      <c r="K372">
        <f>C372*Assumptions!$B$141+D372*Assumptions!$B$128+E372*Assumptions!$B$129+F372*Assumptions!$B$14+G372*Assumptions!$B$13+H372*Assumptions!$B$12+I372*Assumptions!$B$11+Assumptions!$B$133+Assumptions!$B$137+Assumptions!$B$9</f>
        <v/>
      </c>
      <c r="L372">
        <f>B372-J372</f>
        <v/>
      </c>
      <c r="M372">
        <f>IF(K372&gt;0,IF(L372/K372&gt;=Assumptions!$B$37,1,0),0)</f>
        <v/>
      </c>
      <c r="N372">
        <f>K372+M372*Assumptions!$B$153</f>
        <v/>
      </c>
      <c r="O372">
        <f>L372+M372*Assumptions!$B$153*Assumptions!$B$37</f>
        <v/>
      </c>
      <c r="P372">
        <f>IF(N372&gt;0,O372/N372,0)</f>
        <v/>
      </c>
      <c r="Q372">
        <f>IF(C372=1,P372*Assumptions!$B$141,Assumptions!$B$41)</f>
        <v/>
      </c>
      <c r="R372">
        <f>IF(D372=1,P372*Assumptions!$B$128,Assumptions!$B$33)</f>
        <v/>
      </c>
      <c r="S372">
        <f>IF(E372=1,P372*Assumptions!$B$129,Assumptions!$B$32)</f>
        <v/>
      </c>
      <c r="T372">
        <f>IF(F372=1,P372*Assumptions!$B$14,Assumptions!$B$31)</f>
        <v/>
      </c>
      <c r="U372">
        <f>IF(G372=1,P372*Assumptions!$B$13,Assumptions!$B$30)</f>
        <v/>
      </c>
      <c r="V372">
        <f>IF(H372=1,P372*Assumptions!$B$12,Assumptions!$B$29)</f>
        <v/>
      </c>
      <c r="W372">
        <f>IF(I372=1,P372*Assumptions!$B$11,Assumptions!$B$28)</f>
        <v/>
      </c>
      <c r="X372">
        <f>P372*(Assumptions!$B$133+Assumptions!$B$137)</f>
        <v/>
      </c>
      <c r="Y372">
        <f>P372*Assumptions!$B$9</f>
        <v/>
      </c>
      <c r="Z372">
        <f>IF(M372=1,(P372-Assumptions!$B$37)*Assumptions!$B$153,0)</f>
        <v/>
      </c>
      <c r="AA372">
        <f>Q372+R372+S372+T372+U372+V372+W372+X372+Y372+Z372</f>
        <v/>
      </c>
      <c r="AB372" t="n">
        <v>65</v>
      </c>
      <c r="AC372" t="n">
        <v>1</v>
      </c>
      <c r="AD372" t="n">
        <v>97</v>
      </c>
      <c r="AE372" t="n">
        <v>81</v>
      </c>
      <c r="AF372" t="n">
        <v>73</v>
      </c>
      <c r="AG372" t="n">
        <v>69</v>
      </c>
      <c r="AH372" t="n">
        <v>67</v>
      </c>
      <c r="AI372" t="n">
        <v>64</v>
      </c>
      <c r="AJ372">
        <f>INDEX($Q$307:$Q$434,AC372+1)</f>
        <v/>
      </c>
      <c r="AK372">
        <f>INDEX($R$307:$R$434,AD372+1)</f>
        <v/>
      </c>
      <c r="AL372">
        <f>INDEX($S$307:$S$434,AE372+1)</f>
        <v/>
      </c>
      <c r="AM372">
        <f>INDEX($T$307:$T$434,AF372+1)</f>
        <v/>
      </c>
      <c r="AN372">
        <f>INDEX($U$307:$U$434,AG372+1)</f>
        <v/>
      </c>
      <c r="AO372">
        <f>INDEX($V$307:$V$434,AH372+1)</f>
        <v/>
      </c>
      <c r="AP372">
        <f>INDEX($W$307:$W$434,AI372+1)</f>
        <v/>
      </c>
      <c r="AQ372">
        <f>IF(Q372&gt;=AJ372-0.01,1,0)</f>
        <v/>
      </c>
      <c r="AR372">
        <f>IF(R372&gt;=AK372-0.01,1,0)</f>
        <v/>
      </c>
      <c r="AS372">
        <f>IF(S372&gt;=AL372-0.01,1,0)</f>
        <v/>
      </c>
      <c r="AT372">
        <f>IF(T372&gt;=AM372-0.01,1,0)</f>
        <v/>
      </c>
      <c r="AU372">
        <f>IF(U372&gt;=AN372-0.01,1,0)</f>
        <v/>
      </c>
      <c r="AV372">
        <f>IF(V372&gt;=AO372-0.01,1,0)</f>
        <v/>
      </c>
      <c r="AW372">
        <f>IF(W372&gt;=AP372-0.01,1,0)</f>
        <v/>
      </c>
      <c r="AX372">
        <f>AQ372*AR372*AS372*AT372*AU372*AV372*AW372</f>
        <v/>
      </c>
      <c r="AY372">
        <f>Assumptions!$B$41</f>
        <v/>
      </c>
      <c r="AZ372">
        <f>Assumptions!$B$33</f>
        <v/>
      </c>
      <c r="BA372">
        <f>Assumptions!$B$32</f>
        <v/>
      </c>
      <c r="BB372">
        <f>Assumptions!$B$31</f>
        <v/>
      </c>
      <c r="BC372">
        <f>Assumptions!$B$30</f>
        <v/>
      </c>
      <c r="BD372">
        <f>Assumptions!$B$29</f>
        <v/>
      </c>
      <c r="BE372">
        <f>Assumptions!$B$28</f>
        <v/>
      </c>
      <c r="BF372">
        <f>P372*Assumptions!$B$141</f>
        <v/>
      </c>
      <c r="BG372">
        <f>P372*Assumptions!$B$128</f>
        <v/>
      </c>
      <c r="BH372">
        <f>P372*Assumptions!$B$129</f>
        <v/>
      </c>
      <c r="BI372">
        <f>P372*Assumptions!$B$14</f>
        <v/>
      </c>
      <c r="BJ372">
        <f>P372*Assumptions!$B$13</f>
        <v/>
      </c>
      <c r="BK372">
        <f>P372*Assumptions!$B$12</f>
        <v/>
      </c>
      <c r="BL372">
        <f>P372*Assumptions!$B$11</f>
        <v/>
      </c>
    </row>
    <row r="373">
      <c r="A373" t="inlineStr">
        <is>
          <t>2000M</t>
        </is>
      </c>
      <c r="B373">
        <f>Assumptions!$B$60</f>
        <v/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>
        <f>(1-C373)*Assumptions!$B$41+(1-D373)*Assumptions!$B$33+(1-E373)*Assumptions!$B$32+(1-F373)*Assumptions!$B$31+(1-G373)*Assumptions!$B$30+(1-H373)*Assumptions!$B$29+(1-I373)*Assumptions!$B$28</f>
        <v/>
      </c>
      <c r="K373">
        <f>C373*Assumptions!$B$141+D373*Assumptions!$B$128+E373*Assumptions!$B$129+F373*Assumptions!$B$14+G373*Assumptions!$B$13+H373*Assumptions!$B$12+I373*Assumptions!$B$11+Assumptions!$B$133+Assumptions!$B$137+Assumptions!$B$9</f>
        <v/>
      </c>
      <c r="L373">
        <f>B373-J373</f>
        <v/>
      </c>
      <c r="M373">
        <f>IF(K373&gt;0,IF(L373/K373&gt;=Assumptions!$B$37,1,0),0)</f>
        <v/>
      </c>
      <c r="N373">
        <f>K373+M373*Assumptions!$B$153</f>
        <v/>
      </c>
      <c r="O373">
        <f>L373+M373*Assumptions!$B$153*Assumptions!$B$37</f>
        <v/>
      </c>
      <c r="P373">
        <f>IF(N373&gt;0,O373/N373,0)</f>
        <v/>
      </c>
      <c r="Q373">
        <f>IF(C373=1,P373*Assumptions!$B$141,Assumptions!$B$41)</f>
        <v/>
      </c>
      <c r="R373">
        <f>IF(D373=1,P373*Assumptions!$B$128,Assumptions!$B$33)</f>
        <v/>
      </c>
      <c r="S373">
        <f>IF(E373=1,P373*Assumptions!$B$129,Assumptions!$B$32)</f>
        <v/>
      </c>
      <c r="T373">
        <f>IF(F373=1,P373*Assumptions!$B$14,Assumptions!$B$31)</f>
        <v/>
      </c>
      <c r="U373">
        <f>IF(G373=1,P373*Assumptions!$B$13,Assumptions!$B$30)</f>
        <v/>
      </c>
      <c r="V373">
        <f>IF(H373=1,P373*Assumptions!$B$12,Assumptions!$B$29)</f>
        <v/>
      </c>
      <c r="W373">
        <f>IF(I373=1,P373*Assumptions!$B$11,Assumptions!$B$28)</f>
        <v/>
      </c>
      <c r="X373">
        <f>P373*(Assumptions!$B$133+Assumptions!$B$137)</f>
        <v/>
      </c>
      <c r="Y373">
        <f>P373*Assumptions!$B$9</f>
        <v/>
      </c>
      <c r="Z373">
        <f>IF(M373=1,(P373-Assumptions!$B$37)*Assumptions!$B$153,0)</f>
        <v/>
      </c>
      <c r="AA373">
        <f>Q373+R373+S373+T373+U373+V373+W373+X373+Y373+Z373</f>
        <v/>
      </c>
      <c r="AB373" t="n">
        <v>66</v>
      </c>
      <c r="AC373" t="n">
        <v>2</v>
      </c>
      <c r="AD373" t="n">
        <v>98</v>
      </c>
      <c r="AE373" t="n">
        <v>82</v>
      </c>
      <c r="AF373" t="n">
        <v>74</v>
      </c>
      <c r="AG373" t="n">
        <v>70</v>
      </c>
      <c r="AH373" t="n">
        <v>64</v>
      </c>
      <c r="AI373" t="n">
        <v>67</v>
      </c>
      <c r="AJ373">
        <f>INDEX($Q$307:$Q$434,AC373+1)</f>
        <v/>
      </c>
      <c r="AK373">
        <f>INDEX($R$307:$R$434,AD373+1)</f>
        <v/>
      </c>
      <c r="AL373">
        <f>INDEX($S$307:$S$434,AE373+1)</f>
        <v/>
      </c>
      <c r="AM373">
        <f>INDEX($T$307:$T$434,AF373+1)</f>
        <v/>
      </c>
      <c r="AN373">
        <f>INDEX($U$307:$U$434,AG373+1)</f>
        <v/>
      </c>
      <c r="AO373">
        <f>INDEX($V$307:$V$434,AH373+1)</f>
        <v/>
      </c>
      <c r="AP373">
        <f>INDEX($W$307:$W$434,AI373+1)</f>
        <v/>
      </c>
      <c r="AQ373">
        <f>IF(Q373&gt;=AJ373-0.01,1,0)</f>
        <v/>
      </c>
      <c r="AR373">
        <f>IF(R373&gt;=AK373-0.01,1,0)</f>
        <v/>
      </c>
      <c r="AS373">
        <f>IF(S373&gt;=AL373-0.01,1,0)</f>
        <v/>
      </c>
      <c r="AT373">
        <f>IF(T373&gt;=AM373-0.01,1,0)</f>
        <v/>
      </c>
      <c r="AU373">
        <f>IF(U373&gt;=AN373-0.01,1,0)</f>
        <v/>
      </c>
      <c r="AV373">
        <f>IF(V373&gt;=AO373-0.01,1,0)</f>
        <v/>
      </c>
      <c r="AW373">
        <f>IF(W373&gt;=AP373-0.01,1,0)</f>
        <v/>
      </c>
      <c r="AX373">
        <f>AQ373*AR373*AS373*AT373*AU373*AV373*AW373</f>
        <v/>
      </c>
      <c r="AY373">
        <f>Assumptions!$B$41</f>
        <v/>
      </c>
      <c r="AZ373">
        <f>Assumptions!$B$33</f>
        <v/>
      </c>
      <c r="BA373">
        <f>Assumptions!$B$32</f>
        <v/>
      </c>
      <c r="BB373">
        <f>Assumptions!$B$31</f>
        <v/>
      </c>
      <c r="BC373">
        <f>Assumptions!$B$30</f>
        <v/>
      </c>
      <c r="BD373">
        <f>Assumptions!$B$29</f>
        <v/>
      </c>
      <c r="BE373">
        <f>Assumptions!$B$28</f>
        <v/>
      </c>
      <c r="BF373">
        <f>P373*Assumptions!$B$141</f>
        <v/>
      </c>
      <c r="BG373">
        <f>P373*Assumptions!$B$128</f>
        <v/>
      </c>
      <c r="BH373">
        <f>P373*Assumptions!$B$129</f>
        <v/>
      </c>
      <c r="BI373">
        <f>P373*Assumptions!$B$14</f>
        <v/>
      </c>
      <c r="BJ373">
        <f>P373*Assumptions!$B$13</f>
        <v/>
      </c>
      <c r="BK373">
        <f>P373*Assumptions!$B$12</f>
        <v/>
      </c>
      <c r="BL373">
        <f>P373*Assumptions!$B$11</f>
        <v/>
      </c>
    </row>
    <row r="374">
      <c r="A374" t="inlineStr">
        <is>
          <t>2000M</t>
        </is>
      </c>
      <c r="B374">
        <f>Assumptions!$B$60</f>
        <v/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>
        <f>(1-C374)*Assumptions!$B$41+(1-D374)*Assumptions!$B$33+(1-E374)*Assumptions!$B$32+(1-F374)*Assumptions!$B$31+(1-G374)*Assumptions!$B$30+(1-H374)*Assumptions!$B$29+(1-I374)*Assumptions!$B$28</f>
        <v/>
      </c>
      <c r="K374">
        <f>C374*Assumptions!$B$141+D374*Assumptions!$B$128+E374*Assumptions!$B$129+F374*Assumptions!$B$14+G374*Assumptions!$B$13+H374*Assumptions!$B$12+I374*Assumptions!$B$11+Assumptions!$B$133+Assumptions!$B$137+Assumptions!$B$9</f>
        <v/>
      </c>
      <c r="L374">
        <f>B374-J374</f>
        <v/>
      </c>
      <c r="M374">
        <f>IF(K374&gt;0,IF(L374/K374&gt;=Assumptions!$B$37,1,0),0)</f>
        <v/>
      </c>
      <c r="N374">
        <f>K374+M374*Assumptions!$B$153</f>
        <v/>
      </c>
      <c r="O374">
        <f>L374+M374*Assumptions!$B$153*Assumptions!$B$37</f>
        <v/>
      </c>
      <c r="P374">
        <f>IF(N374&gt;0,O374/N374,0)</f>
        <v/>
      </c>
      <c r="Q374">
        <f>IF(C374=1,P374*Assumptions!$B$141,Assumptions!$B$41)</f>
        <v/>
      </c>
      <c r="R374">
        <f>IF(D374=1,P374*Assumptions!$B$128,Assumptions!$B$33)</f>
        <v/>
      </c>
      <c r="S374">
        <f>IF(E374=1,P374*Assumptions!$B$129,Assumptions!$B$32)</f>
        <v/>
      </c>
      <c r="T374">
        <f>IF(F374=1,P374*Assumptions!$B$14,Assumptions!$B$31)</f>
        <v/>
      </c>
      <c r="U374">
        <f>IF(G374=1,P374*Assumptions!$B$13,Assumptions!$B$30)</f>
        <v/>
      </c>
      <c r="V374">
        <f>IF(H374=1,P374*Assumptions!$B$12,Assumptions!$B$29)</f>
        <v/>
      </c>
      <c r="W374">
        <f>IF(I374=1,P374*Assumptions!$B$11,Assumptions!$B$28)</f>
        <v/>
      </c>
      <c r="X374">
        <f>P374*(Assumptions!$B$133+Assumptions!$B$137)</f>
        <v/>
      </c>
      <c r="Y374">
        <f>P374*Assumptions!$B$9</f>
        <v/>
      </c>
      <c r="Z374">
        <f>IF(M374=1,(P374-Assumptions!$B$37)*Assumptions!$B$153,0)</f>
        <v/>
      </c>
      <c r="AA374">
        <f>Q374+R374+S374+T374+U374+V374+W374+X374+Y374+Z374</f>
        <v/>
      </c>
      <c r="AB374" t="n">
        <v>67</v>
      </c>
      <c r="AC374" t="n">
        <v>3</v>
      </c>
      <c r="AD374" t="n">
        <v>99</v>
      </c>
      <c r="AE374" t="n">
        <v>83</v>
      </c>
      <c r="AF374" t="n">
        <v>75</v>
      </c>
      <c r="AG374" t="n">
        <v>71</v>
      </c>
      <c r="AH374" t="n">
        <v>65</v>
      </c>
      <c r="AI374" t="n">
        <v>66</v>
      </c>
      <c r="AJ374">
        <f>INDEX($Q$307:$Q$434,AC374+1)</f>
        <v/>
      </c>
      <c r="AK374">
        <f>INDEX($R$307:$R$434,AD374+1)</f>
        <v/>
      </c>
      <c r="AL374">
        <f>INDEX($S$307:$S$434,AE374+1)</f>
        <v/>
      </c>
      <c r="AM374">
        <f>INDEX($T$307:$T$434,AF374+1)</f>
        <v/>
      </c>
      <c r="AN374">
        <f>INDEX($U$307:$U$434,AG374+1)</f>
        <v/>
      </c>
      <c r="AO374">
        <f>INDEX($V$307:$V$434,AH374+1)</f>
        <v/>
      </c>
      <c r="AP374">
        <f>INDEX($W$307:$W$434,AI374+1)</f>
        <v/>
      </c>
      <c r="AQ374">
        <f>IF(Q374&gt;=AJ374-0.01,1,0)</f>
        <v/>
      </c>
      <c r="AR374">
        <f>IF(R374&gt;=AK374-0.01,1,0)</f>
        <v/>
      </c>
      <c r="AS374">
        <f>IF(S374&gt;=AL374-0.01,1,0)</f>
        <v/>
      </c>
      <c r="AT374">
        <f>IF(T374&gt;=AM374-0.01,1,0)</f>
        <v/>
      </c>
      <c r="AU374">
        <f>IF(U374&gt;=AN374-0.01,1,0)</f>
        <v/>
      </c>
      <c r="AV374">
        <f>IF(V374&gt;=AO374-0.01,1,0)</f>
        <v/>
      </c>
      <c r="AW374">
        <f>IF(W374&gt;=AP374-0.01,1,0)</f>
        <v/>
      </c>
      <c r="AX374">
        <f>AQ374*AR374*AS374*AT374*AU374*AV374*AW374</f>
        <v/>
      </c>
      <c r="AY374">
        <f>Assumptions!$B$41</f>
        <v/>
      </c>
      <c r="AZ374">
        <f>Assumptions!$B$33</f>
        <v/>
      </c>
      <c r="BA374">
        <f>Assumptions!$B$32</f>
        <v/>
      </c>
      <c r="BB374">
        <f>Assumptions!$B$31</f>
        <v/>
      </c>
      <c r="BC374">
        <f>Assumptions!$B$30</f>
        <v/>
      </c>
      <c r="BD374">
        <f>Assumptions!$B$29</f>
        <v/>
      </c>
      <c r="BE374">
        <f>Assumptions!$B$28</f>
        <v/>
      </c>
      <c r="BF374">
        <f>P374*Assumptions!$B$141</f>
        <v/>
      </c>
      <c r="BG374">
        <f>P374*Assumptions!$B$128</f>
        <v/>
      </c>
      <c r="BH374">
        <f>P374*Assumptions!$B$129</f>
        <v/>
      </c>
      <c r="BI374">
        <f>P374*Assumptions!$B$14</f>
        <v/>
      </c>
      <c r="BJ374">
        <f>P374*Assumptions!$B$13</f>
        <v/>
      </c>
      <c r="BK374">
        <f>P374*Assumptions!$B$12</f>
        <v/>
      </c>
      <c r="BL374">
        <f>P374*Assumptions!$B$11</f>
        <v/>
      </c>
    </row>
    <row r="375">
      <c r="A375" t="inlineStr">
        <is>
          <t>2000M</t>
        </is>
      </c>
      <c r="B375">
        <f>Assumptions!$B$60</f>
        <v/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>
        <f>(1-C375)*Assumptions!$B$41+(1-D375)*Assumptions!$B$33+(1-E375)*Assumptions!$B$32+(1-F375)*Assumptions!$B$31+(1-G375)*Assumptions!$B$30+(1-H375)*Assumptions!$B$29+(1-I375)*Assumptions!$B$28</f>
        <v/>
      </c>
      <c r="K375">
        <f>C375*Assumptions!$B$141+D375*Assumptions!$B$128+E375*Assumptions!$B$129+F375*Assumptions!$B$14+G375*Assumptions!$B$13+H375*Assumptions!$B$12+I375*Assumptions!$B$11+Assumptions!$B$133+Assumptions!$B$137+Assumptions!$B$9</f>
        <v/>
      </c>
      <c r="L375">
        <f>B375-J375</f>
        <v/>
      </c>
      <c r="M375">
        <f>IF(K375&gt;0,IF(L375/K375&gt;=Assumptions!$B$37,1,0),0)</f>
        <v/>
      </c>
      <c r="N375">
        <f>K375+M375*Assumptions!$B$153</f>
        <v/>
      </c>
      <c r="O375">
        <f>L375+M375*Assumptions!$B$153*Assumptions!$B$37</f>
        <v/>
      </c>
      <c r="P375">
        <f>IF(N375&gt;0,O375/N375,0)</f>
        <v/>
      </c>
      <c r="Q375">
        <f>IF(C375=1,P375*Assumptions!$B$141,Assumptions!$B$41)</f>
        <v/>
      </c>
      <c r="R375">
        <f>IF(D375=1,P375*Assumptions!$B$128,Assumptions!$B$33)</f>
        <v/>
      </c>
      <c r="S375">
        <f>IF(E375=1,P375*Assumptions!$B$129,Assumptions!$B$32)</f>
        <v/>
      </c>
      <c r="T375">
        <f>IF(F375=1,P375*Assumptions!$B$14,Assumptions!$B$31)</f>
        <v/>
      </c>
      <c r="U375">
        <f>IF(G375=1,P375*Assumptions!$B$13,Assumptions!$B$30)</f>
        <v/>
      </c>
      <c r="V375">
        <f>IF(H375=1,P375*Assumptions!$B$12,Assumptions!$B$29)</f>
        <v/>
      </c>
      <c r="W375">
        <f>IF(I375=1,P375*Assumptions!$B$11,Assumptions!$B$28)</f>
        <v/>
      </c>
      <c r="X375">
        <f>P375*(Assumptions!$B$133+Assumptions!$B$137)</f>
        <v/>
      </c>
      <c r="Y375">
        <f>P375*Assumptions!$B$9</f>
        <v/>
      </c>
      <c r="Z375">
        <f>IF(M375=1,(P375-Assumptions!$B$37)*Assumptions!$B$153,0)</f>
        <v/>
      </c>
      <c r="AA375">
        <f>Q375+R375+S375+T375+U375+V375+W375+X375+Y375+Z375</f>
        <v/>
      </c>
      <c r="AB375" t="n">
        <v>68</v>
      </c>
      <c r="AC375" t="n">
        <v>4</v>
      </c>
      <c r="AD375" t="n">
        <v>100</v>
      </c>
      <c r="AE375" t="n">
        <v>84</v>
      </c>
      <c r="AF375" t="n">
        <v>76</v>
      </c>
      <c r="AG375" t="n">
        <v>64</v>
      </c>
      <c r="AH375" t="n">
        <v>70</v>
      </c>
      <c r="AI375" t="n">
        <v>69</v>
      </c>
      <c r="AJ375">
        <f>INDEX($Q$307:$Q$434,AC375+1)</f>
        <v/>
      </c>
      <c r="AK375">
        <f>INDEX($R$307:$R$434,AD375+1)</f>
        <v/>
      </c>
      <c r="AL375">
        <f>INDEX($S$307:$S$434,AE375+1)</f>
        <v/>
      </c>
      <c r="AM375">
        <f>INDEX($T$307:$T$434,AF375+1)</f>
        <v/>
      </c>
      <c r="AN375">
        <f>INDEX($U$307:$U$434,AG375+1)</f>
        <v/>
      </c>
      <c r="AO375">
        <f>INDEX($V$307:$V$434,AH375+1)</f>
        <v/>
      </c>
      <c r="AP375">
        <f>INDEX($W$307:$W$434,AI375+1)</f>
        <v/>
      </c>
      <c r="AQ375">
        <f>IF(Q375&gt;=AJ375-0.01,1,0)</f>
        <v/>
      </c>
      <c r="AR375">
        <f>IF(R375&gt;=AK375-0.01,1,0)</f>
        <v/>
      </c>
      <c r="AS375">
        <f>IF(S375&gt;=AL375-0.01,1,0)</f>
        <v/>
      </c>
      <c r="AT375">
        <f>IF(T375&gt;=AM375-0.01,1,0)</f>
        <v/>
      </c>
      <c r="AU375">
        <f>IF(U375&gt;=AN375-0.01,1,0)</f>
        <v/>
      </c>
      <c r="AV375">
        <f>IF(V375&gt;=AO375-0.01,1,0)</f>
        <v/>
      </c>
      <c r="AW375">
        <f>IF(W375&gt;=AP375-0.01,1,0)</f>
        <v/>
      </c>
      <c r="AX375">
        <f>AQ375*AR375*AS375*AT375*AU375*AV375*AW375</f>
        <v/>
      </c>
      <c r="AY375">
        <f>Assumptions!$B$41</f>
        <v/>
      </c>
      <c r="AZ375">
        <f>Assumptions!$B$33</f>
        <v/>
      </c>
      <c r="BA375">
        <f>Assumptions!$B$32</f>
        <v/>
      </c>
      <c r="BB375">
        <f>Assumptions!$B$31</f>
        <v/>
      </c>
      <c r="BC375">
        <f>Assumptions!$B$30</f>
        <v/>
      </c>
      <c r="BD375">
        <f>Assumptions!$B$29</f>
        <v/>
      </c>
      <c r="BE375">
        <f>Assumptions!$B$28</f>
        <v/>
      </c>
      <c r="BF375">
        <f>P375*Assumptions!$B$141</f>
        <v/>
      </c>
      <c r="BG375">
        <f>P375*Assumptions!$B$128</f>
        <v/>
      </c>
      <c r="BH375">
        <f>P375*Assumptions!$B$129</f>
        <v/>
      </c>
      <c r="BI375">
        <f>P375*Assumptions!$B$14</f>
        <v/>
      </c>
      <c r="BJ375">
        <f>P375*Assumptions!$B$13</f>
        <v/>
      </c>
      <c r="BK375">
        <f>P375*Assumptions!$B$12</f>
        <v/>
      </c>
      <c r="BL375">
        <f>P375*Assumptions!$B$11</f>
        <v/>
      </c>
    </row>
    <row r="376">
      <c r="A376" t="inlineStr">
        <is>
          <t>2000M</t>
        </is>
      </c>
      <c r="B376">
        <f>Assumptions!$B$60</f>
        <v/>
      </c>
      <c r="C376" t="n">
        <v>1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>
        <f>(1-C376)*Assumptions!$B$41+(1-D376)*Assumptions!$B$33+(1-E376)*Assumptions!$B$32+(1-F376)*Assumptions!$B$31+(1-G376)*Assumptions!$B$30+(1-H376)*Assumptions!$B$29+(1-I376)*Assumptions!$B$28</f>
        <v/>
      </c>
      <c r="K376">
        <f>C376*Assumptions!$B$141+D376*Assumptions!$B$128+E376*Assumptions!$B$129+F376*Assumptions!$B$14+G376*Assumptions!$B$13+H376*Assumptions!$B$12+I376*Assumptions!$B$11+Assumptions!$B$133+Assumptions!$B$137+Assumptions!$B$9</f>
        <v/>
      </c>
      <c r="L376">
        <f>B376-J376</f>
        <v/>
      </c>
      <c r="M376">
        <f>IF(K376&gt;0,IF(L376/K376&gt;=Assumptions!$B$37,1,0),0)</f>
        <v/>
      </c>
      <c r="N376">
        <f>K376+M376*Assumptions!$B$153</f>
        <v/>
      </c>
      <c r="O376">
        <f>L376+M376*Assumptions!$B$153*Assumptions!$B$37</f>
        <v/>
      </c>
      <c r="P376">
        <f>IF(N376&gt;0,O376/N376,0)</f>
        <v/>
      </c>
      <c r="Q376">
        <f>IF(C376=1,P376*Assumptions!$B$141,Assumptions!$B$41)</f>
        <v/>
      </c>
      <c r="R376">
        <f>IF(D376=1,P376*Assumptions!$B$128,Assumptions!$B$33)</f>
        <v/>
      </c>
      <c r="S376">
        <f>IF(E376=1,P376*Assumptions!$B$129,Assumptions!$B$32)</f>
        <v/>
      </c>
      <c r="T376">
        <f>IF(F376=1,P376*Assumptions!$B$14,Assumptions!$B$31)</f>
        <v/>
      </c>
      <c r="U376">
        <f>IF(G376=1,P376*Assumptions!$B$13,Assumptions!$B$30)</f>
        <v/>
      </c>
      <c r="V376">
        <f>IF(H376=1,P376*Assumptions!$B$12,Assumptions!$B$29)</f>
        <v/>
      </c>
      <c r="W376">
        <f>IF(I376=1,P376*Assumptions!$B$11,Assumptions!$B$28)</f>
        <v/>
      </c>
      <c r="X376">
        <f>P376*(Assumptions!$B$133+Assumptions!$B$137)</f>
        <v/>
      </c>
      <c r="Y376">
        <f>P376*Assumptions!$B$9</f>
        <v/>
      </c>
      <c r="Z376">
        <f>IF(M376=1,(P376-Assumptions!$B$37)*Assumptions!$B$153,0)</f>
        <v/>
      </c>
      <c r="AA376">
        <f>Q376+R376+S376+T376+U376+V376+W376+X376+Y376+Z376</f>
        <v/>
      </c>
      <c r="AB376" t="n">
        <v>69</v>
      </c>
      <c r="AC376" t="n">
        <v>5</v>
      </c>
      <c r="AD376" t="n">
        <v>101</v>
      </c>
      <c r="AE376" t="n">
        <v>85</v>
      </c>
      <c r="AF376" t="n">
        <v>77</v>
      </c>
      <c r="AG376" t="n">
        <v>65</v>
      </c>
      <c r="AH376" t="n">
        <v>71</v>
      </c>
      <c r="AI376" t="n">
        <v>68</v>
      </c>
      <c r="AJ376">
        <f>INDEX($Q$307:$Q$434,AC376+1)</f>
        <v/>
      </c>
      <c r="AK376">
        <f>INDEX($R$307:$R$434,AD376+1)</f>
        <v/>
      </c>
      <c r="AL376">
        <f>INDEX($S$307:$S$434,AE376+1)</f>
        <v/>
      </c>
      <c r="AM376">
        <f>INDEX($T$307:$T$434,AF376+1)</f>
        <v/>
      </c>
      <c r="AN376">
        <f>INDEX($U$307:$U$434,AG376+1)</f>
        <v/>
      </c>
      <c r="AO376">
        <f>INDEX($V$307:$V$434,AH376+1)</f>
        <v/>
      </c>
      <c r="AP376">
        <f>INDEX($W$307:$W$434,AI376+1)</f>
        <v/>
      </c>
      <c r="AQ376">
        <f>IF(Q376&gt;=AJ376-0.01,1,0)</f>
        <v/>
      </c>
      <c r="AR376">
        <f>IF(R376&gt;=AK376-0.01,1,0)</f>
        <v/>
      </c>
      <c r="AS376">
        <f>IF(S376&gt;=AL376-0.01,1,0)</f>
        <v/>
      </c>
      <c r="AT376">
        <f>IF(T376&gt;=AM376-0.01,1,0)</f>
        <v/>
      </c>
      <c r="AU376">
        <f>IF(U376&gt;=AN376-0.01,1,0)</f>
        <v/>
      </c>
      <c r="AV376">
        <f>IF(V376&gt;=AO376-0.01,1,0)</f>
        <v/>
      </c>
      <c r="AW376">
        <f>IF(W376&gt;=AP376-0.01,1,0)</f>
        <v/>
      </c>
      <c r="AX376">
        <f>AQ376*AR376*AS376*AT376*AU376*AV376*AW376</f>
        <v/>
      </c>
      <c r="AY376">
        <f>Assumptions!$B$41</f>
        <v/>
      </c>
      <c r="AZ376">
        <f>Assumptions!$B$33</f>
        <v/>
      </c>
      <c r="BA376">
        <f>Assumptions!$B$32</f>
        <v/>
      </c>
      <c r="BB376">
        <f>Assumptions!$B$31</f>
        <v/>
      </c>
      <c r="BC376">
        <f>Assumptions!$B$30</f>
        <v/>
      </c>
      <c r="BD376">
        <f>Assumptions!$B$29</f>
        <v/>
      </c>
      <c r="BE376">
        <f>Assumptions!$B$28</f>
        <v/>
      </c>
      <c r="BF376">
        <f>P376*Assumptions!$B$141</f>
        <v/>
      </c>
      <c r="BG376">
        <f>P376*Assumptions!$B$128</f>
        <v/>
      </c>
      <c r="BH376">
        <f>P376*Assumptions!$B$129</f>
        <v/>
      </c>
      <c r="BI376">
        <f>P376*Assumptions!$B$14</f>
        <v/>
      </c>
      <c r="BJ376">
        <f>P376*Assumptions!$B$13</f>
        <v/>
      </c>
      <c r="BK376">
        <f>P376*Assumptions!$B$12</f>
        <v/>
      </c>
      <c r="BL376">
        <f>P376*Assumptions!$B$11</f>
        <v/>
      </c>
    </row>
    <row r="377">
      <c r="A377" t="inlineStr">
        <is>
          <t>2000M</t>
        </is>
      </c>
      <c r="B377">
        <f>Assumptions!$B$60</f>
        <v/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>
        <f>(1-C377)*Assumptions!$B$41+(1-D377)*Assumptions!$B$33+(1-E377)*Assumptions!$B$32+(1-F377)*Assumptions!$B$31+(1-G377)*Assumptions!$B$30+(1-H377)*Assumptions!$B$29+(1-I377)*Assumptions!$B$28</f>
        <v/>
      </c>
      <c r="K377">
        <f>C377*Assumptions!$B$141+D377*Assumptions!$B$128+E377*Assumptions!$B$129+F377*Assumptions!$B$14+G377*Assumptions!$B$13+H377*Assumptions!$B$12+I377*Assumptions!$B$11+Assumptions!$B$133+Assumptions!$B$137+Assumptions!$B$9</f>
        <v/>
      </c>
      <c r="L377">
        <f>B377-J377</f>
        <v/>
      </c>
      <c r="M377">
        <f>IF(K377&gt;0,IF(L377/K377&gt;=Assumptions!$B$37,1,0),0)</f>
        <v/>
      </c>
      <c r="N377">
        <f>K377+M377*Assumptions!$B$153</f>
        <v/>
      </c>
      <c r="O377">
        <f>L377+M377*Assumptions!$B$153*Assumptions!$B$37</f>
        <v/>
      </c>
      <c r="P377">
        <f>IF(N377&gt;0,O377/N377,0)</f>
        <v/>
      </c>
      <c r="Q377">
        <f>IF(C377=1,P377*Assumptions!$B$141,Assumptions!$B$41)</f>
        <v/>
      </c>
      <c r="R377">
        <f>IF(D377=1,P377*Assumptions!$B$128,Assumptions!$B$33)</f>
        <v/>
      </c>
      <c r="S377">
        <f>IF(E377=1,P377*Assumptions!$B$129,Assumptions!$B$32)</f>
        <v/>
      </c>
      <c r="T377">
        <f>IF(F377=1,P377*Assumptions!$B$14,Assumptions!$B$31)</f>
        <v/>
      </c>
      <c r="U377">
        <f>IF(G377=1,P377*Assumptions!$B$13,Assumptions!$B$30)</f>
        <v/>
      </c>
      <c r="V377">
        <f>IF(H377=1,P377*Assumptions!$B$12,Assumptions!$B$29)</f>
        <v/>
      </c>
      <c r="W377">
        <f>IF(I377=1,P377*Assumptions!$B$11,Assumptions!$B$28)</f>
        <v/>
      </c>
      <c r="X377">
        <f>P377*(Assumptions!$B$133+Assumptions!$B$137)</f>
        <v/>
      </c>
      <c r="Y377">
        <f>P377*Assumptions!$B$9</f>
        <v/>
      </c>
      <c r="Z377">
        <f>IF(M377=1,(P377-Assumptions!$B$37)*Assumptions!$B$153,0)</f>
        <v/>
      </c>
      <c r="AA377">
        <f>Q377+R377+S377+T377+U377+V377+W377+X377+Y377+Z377</f>
        <v/>
      </c>
      <c r="AB377" t="n">
        <v>70</v>
      </c>
      <c r="AC377" t="n">
        <v>6</v>
      </c>
      <c r="AD377" t="n">
        <v>102</v>
      </c>
      <c r="AE377" t="n">
        <v>86</v>
      </c>
      <c r="AF377" t="n">
        <v>78</v>
      </c>
      <c r="AG377" t="n">
        <v>66</v>
      </c>
      <c r="AH377" t="n">
        <v>68</v>
      </c>
      <c r="AI377" t="n">
        <v>71</v>
      </c>
      <c r="AJ377">
        <f>INDEX($Q$307:$Q$434,AC377+1)</f>
        <v/>
      </c>
      <c r="AK377">
        <f>INDEX($R$307:$R$434,AD377+1)</f>
        <v/>
      </c>
      <c r="AL377">
        <f>INDEX($S$307:$S$434,AE377+1)</f>
        <v/>
      </c>
      <c r="AM377">
        <f>INDEX($T$307:$T$434,AF377+1)</f>
        <v/>
      </c>
      <c r="AN377">
        <f>INDEX($U$307:$U$434,AG377+1)</f>
        <v/>
      </c>
      <c r="AO377">
        <f>INDEX($V$307:$V$434,AH377+1)</f>
        <v/>
      </c>
      <c r="AP377">
        <f>INDEX($W$307:$W$434,AI377+1)</f>
        <v/>
      </c>
      <c r="AQ377">
        <f>IF(Q377&gt;=AJ377-0.01,1,0)</f>
        <v/>
      </c>
      <c r="AR377">
        <f>IF(R377&gt;=AK377-0.01,1,0)</f>
        <v/>
      </c>
      <c r="AS377">
        <f>IF(S377&gt;=AL377-0.01,1,0)</f>
        <v/>
      </c>
      <c r="AT377">
        <f>IF(T377&gt;=AM377-0.01,1,0)</f>
        <v/>
      </c>
      <c r="AU377">
        <f>IF(U377&gt;=AN377-0.01,1,0)</f>
        <v/>
      </c>
      <c r="AV377">
        <f>IF(V377&gt;=AO377-0.01,1,0)</f>
        <v/>
      </c>
      <c r="AW377">
        <f>IF(W377&gt;=AP377-0.01,1,0)</f>
        <v/>
      </c>
      <c r="AX377">
        <f>AQ377*AR377*AS377*AT377*AU377*AV377*AW377</f>
        <v/>
      </c>
      <c r="AY377">
        <f>Assumptions!$B$41</f>
        <v/>
      </c>
      <c r="AZ377">
        <f>Assumptions!$B$33</f>
        <v/>
      </c>
      <c r="BA377">
        <f>Assumptions!$B$32</f>
        <v/>
      </c>
      <c r="BB377">
        <f>Assumptions!$B$31</f>
        <v/>
      </c>
      <c r="BC377">
        <f>Assumptions!$B$30</f>
        <v/>
      </c>
      <c r="BD377">
        <f>Assumptions!$B$29</f>
        <v/>
      </c>
      <c r="BE377">
        <f>Assumptions!$B$28</f>
        <v/>
      </c>
      <c r="BF377">
        <f>P377*Assumptions!$B$141</f>
        <v/>
      </c>
      <c r="BG377">
        <f>P377*Assumptions!$B$128</f>
        <v/>
      </c>
      <c r="BH377">
        <f>P377*Assumptions!$B$129</f>
        <v/>
      </c>
      <c r="BI377">
        <f>P377*Assumptions!$B$14</f>
        <v/>
      </c>
      <c r="BJ377">
        <f>P377*Assumptions!$B$13</f>
        <v/>
      </c>
      <c r="BK377">
        <f>P377*Assumptions!$B$12</f>
        <v/>
      </c>
      <c r="BL377">
        <f>P377*Assumptions!$B$11</f>
        <v/>
      </c>
    </row>
    <row r="378">
      <c r="A378" t="inlineStr">
        <is>
          <t>2000M</t>
        </is>
      </c>
      <c r="B378">
        <f>Assumptions!$B$60</f>
        <v/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>
        <f>(1-C378)*Assumptions!$B$41+(1-D378)*Assumptions!$B$33+(1-E378)*Assumptions!$B$32+(1-F378)*Assumptions!$B$31+(1-G378)*Assumptions!$B$30+(1-H378)*Assumptions!$B$29+(1-I378)*Assumptions!$B$28</f>
        <v/>
      </c>
      <c r="K378">
        <f>C378*Assumptions!$B$141+D378*Assumptions!$B$128+E378*Assumptions!$B$129+F378*Assumptions!$B$14+G378*Assumptions!$B$13+H378*Assumptions!$B$12+I378*Assumptions!$B$11+Assumptions!$B$133+Assumptions!$B$137+Assumptions!$B$9</f>
        <v/>
      </c>
      <c r="L378">
        <f>B378-J378</f>
        <v/>
      </c>
      <c r="M378">
        <f>IF(K378&gt;0,IF(L378/K378&gt;=Assumptions!$B$37,1,0),0)</f>
        <v/>
      </c>
      <c r="N378">
        <f>K378+M378*Assumptions!$B$153</f>
        <v/>
      </c>
      <c r="O378">
        <f>L378+M378*Assumptions!$B$153*Assumptions!$B$37</f>
        <v/>
      </c>
      <c r="P378">
        <f>IF(N378&gt;0,O378/N378,0)</f>
        <v/>
      </c>
      <c r="Q378">
        <f>IF(C378=1,P378*Assumptions!$B$141,Assumptions!$B$41)</f>
        <v/>
      </c>
      <c r="R378">
        <f>IF(D378=1,P378*Assumptions!$B$128,Assumptions!$B$33)</f>
        <v/>
      </c>
      <c r="S378">
        <f>IF(E378=1,P378*Assumptions!$B$129,Assumptions!$B$32)</f>
        <v/>
      </c>
      <c r="T378">
        <f>IF(F378=1,P378*Assumptions!$B$14,Assumptions!$B$31)</f>
        <v/>
      </c>
      <c r="U378">
        <f>IF(G378=1,P378*Assumptions!$B$13,Assumptions!$B$30)</f>
        <v/>
      </c>
      <c r="V378">
        <f>IF(H378=1,P378*Assumptions!$B$12,Assumptions!$B$29)</f>
        <v/>
      </c>
      <c r="W378">
        <f>IF(I378=1,P378*Assumptions!$B$11,Assumptions!$B$28)</f>
        <v/>
      </c>
      <c r="X378">
        <f>P378*(Assumptions!$B$133+Assumptions!$B$137)</f>
        <v/>
      </c>
      <c r="Y378">
        <f>P378*Assumptions!$B$9</f>
        <v/>
      </c>
      <c r="Z378">
        <f>IF(M378=1,(P378-Assumptions!$B$37)*Assumptions!$B$153,0)</f>
        <v/>
      </c>
      <c r="AA378">
        <f>Q378+R378+S378+T378+U378+V378+W378+X378+Y378+Z378</f>
        <v/>
      </c>
      <c r="AB378" t="n">
        <v>71</v>
      </c>
      <c r="AC378" t="n">
        <v>7</v>
      </c>
      <c r="AD378" t="n">
        <v>103</v>
      </c>
      <c r="AE378" t="n">
        <v>87</v>
      </c>
      <c r="AF378" t="n">
        <v>79</v>
      </c>
      <c r="AG378" t="n">
        <v>67</v>
      </c>
      <c r="AH378" t="n">
        <v>69</v>
      </c>
      <c r="AI378" t="n">
        <v>70</v>
      </c>
      <c r="AJ378">
        <f>INDEX($Q$307:$Q$434,AC378+1)</f>
        <v/>
      </c>
      <c r="AK378">
        <f>INDEX($R$307:$R$434,AD378+1)</f>
        <v/>
      </c>
      <c r="AL378">
        <f>INDEX($S$307:$S$434,AE378+1)</f>
        <v/>
      </c>
      <c r="AM378">
        <f>INDEX($T$307:$T$434,AF378+1)</f>
        <v/>
      </c>
      <c r="AN378">
        <f>INDEX($U$307:$U$434,AG378+1)</f>
        <v/>
      </c>
      <c r="AO378">
        <f>INDEX($V$307:$V$434,AH378+1)</f>
        <v/>
      </c>
      <c r="AP378">
        <f>INDEX($W$307:$W$434,AI378+1)</f>
        <v/>
      </c>
      <c r="AQ378">
        <f>IF(Q378&gt;=AJ378-0.01,1,0)</f>
        <v/>
      </c>
      <c r="AR378">
        <f>IF(R378&gt;=AK378-0.01,1,0)</f>
        <v/>
      </c>
      <c r="AS378">
        <f>IF(S378&gt;=AL378-0.01,1,0)</f>
        <v/>
      </c>
      <c r="AT378">
        <f>IF(T378&gt;=AM378-0.01,1,0)</f>
        <v/>
      </c>
      <c r="AU378">
        <f>IF(U378&gt;=AN378-0.01,1,0)</f>
        <v/>
      </c>
      <c r="AV378">
        <f>IF(V378&gt;=AO378-0.01,1,0)</f>
        <v/>
      </c>
      <c r="AW378">
        <f>IF(W378&gt;=AP378-0.01,1,0)</f>
        <v/>
      </c>
      <c r="AX378">
        <f>AQ378*AR378*AS378*AT378*AU378*AV378*AW378</f>
        <v/>
      </c>
      <c r="AY378">
        <f>Assumptions!$B$41</f>
        <v/>
      </c>
      <c r="AZ378">
        <f>Assumptions!$B$33</f>
        <v/>
      </c>
      <c r="BA378">
        <f>Assumptions!$B$32</f>
        <v/>
      </c>
      <c r="BB378">
        <f>Assumptions!$B$31</f>
        <v/>
      </c>
      <c r="BC378">
        <f>Assumptions!$B$30</f>
        <v/>
      </c>
      <c r="BD378">
        <f>Assumptions!$B$29</f>
        <v/>
      </c>
      <c r="BE378">
        <f>Assumptions!$B$28</f>
        <v/>
      </c>
      <c r="BF378">
        <f>P378*Assumptions!$B$141</f>
        <v/>
      </c>
      <c r="BG378">
        <f>P378*Assumptions!$B$128</f>
        <v/>
      </c>
      <c r="BH378">
        <f>P378*Assumptions!$B$129</f>
        <v/>
      </c>
      <c r="BI378">
        <f>P378*Assumptions!$B$14</f>
        <v/>
      </c>
      <c r="BJ378">
        <f>P378*Assumptions!$B$13</f>
        <v/>
      </c>
      <c r="BK378">
        <f>P378*Assumptions!$B$12</f>
        <v/>
      </c>
      <c r="BL378">
        <f>P378*Assumptions!$B$11</f>
        <v/>
      </c>
    </row>
    <row r="379">
      <c r="A379" t="inlineStr">
        <is>
          <t>2000M</t>
        </is>
      </c>
      <c r="B379">
        <f>Assumptions!$B$60</f>
        <v/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>
        <f>(1-C379)*Assumptions!$B$41+(1-D379)*Assumptions!$B$33+(1-E379)*Assumptions!$B$32+(1-F379)*Assumptions!$B$31+(1-G379)*Assumptions!$B$30+(1-H379)*Assumptions!$B$29+(1-I379)*Assumptions!$B$28</f>
        <v/>
      </c>
      <c r="K379">
        <f>C379*Assumptions!$B$141+D379*Assumptions!$B$128+E379*Assumptions!$B$129+F379*Assumptions!$B$14+G379*Assumptions!$B$13+H379*Assumptions!$B$12+I379*Assumptions!$B$11+Assumptions!$B$133+Assumptions!$B$137+Assumptions!$B$9</f>
        <v/>
      </c>
      <c r="L379">
        <f>B379-J379</f>
        <v/>
      </c>
      <c r="M379">
        <f>IF(K379&gt;0,IF(L379/K379&gt;=Assumptions!$B$37,1,0),0)</f>
        <v/>
      </c>
      <c r="N379">
        <f>K379+M379*Assumptions!$B$153</f>
        <v/>
      </c>
      <c r="O379">
        <f>L379+M379*Assumptions!$B$153*Assumptions!$B$37</f>
        <v/>
      </c>
      <c r="P379">
        <f>IF(N379&gt;0,O379/N379,0)</f>
        <v/>
      </c>
      <c r="Q379">
        <f>IF(C379=1,P379*Assumptions!$B$141,Assumptions!$B$41)</f>
        <v/>
      </c>
      <c r="R379">
        <f>IF(D379=1,P379*Assumptions!$B$128,Assumptions!$B$33)</f>
        <v/>
      </c>
      <c r="S379">
        <f>IF(E379=1,P379*Assumptions!$B$129,Assumptions!$B$32)</f>
        <v/>
      </c>
      <c r="T379">
        <f>IF(F379=1,P379*Assumptions!$B$14,Assumptions!$B$31)</f>
        <v/>
      </c>
      <c r="U379">
        <f>IF(G379=1,P379*Assumptions!$B$13,Assumptions!$B$30)</f>
        <v/>
      </c>
      <c r="V379">
        <f>IF(H379=1,P379*Assumptions!$B$12,Assumptions!$B$29)</f>
        <v/>
      </c>
      <c r="W379">
        <f>IF(I379=1,P379*Assumptions!$B$11,Assumptions!$B$28)</f>
        <v/>
      </c>
      <c r="X379">
        <f>P379*(Assumptions!$B$133+Assumptions!$B$137)</f>
        <v/>
      </c>
      <c r="Y379">
        <f>P379*Assumptions!$B$9</f>
        <v/>
      </c>
      <c r="Z379">
        <f>IF(M379=1,(P379-Assumptions!$B$37)*Assumptions!$B$153,0)</f>
        <v/>
      </c>
      <c r="AA379">
        <f>Q379+R379+S379+T379+U379+V379+W379+X379+Y379+Z379</f>
        <v/>
      </c>
      <c r="AB379" t="n">
        <v>72</v>
      </c>
      <c r="AC379" t="n">
        <v>8</v>
      </c>
      <c r="AD379" t="n">
        <v>104</v>
      </c>
      <c r="AE379" t="n">
        <v>88</v>
      </c>
      <c r="AF379" t="n">
        <v>64</v>
      </c>
      <c r="AG379" t="n">
        <v>76</v>
      </c>
      <c r="AH379" t="n">
        <v>74</v>
      </c>
      <c r="AI379" t="n">
        <v>73</v>
      </c>
      <c r="AJ379">
        <f>INDEX($Q$307:$Q$434,AC379+1)</f>
        <v/>
      </c>
      <c r="AK379">
        <f>INDEX($R$307:$R$434,AD379+1)</f>
        <v/>
      </c>
      <c r="AL379">
        <f>INDEX($S$307:$S$434,AE379+1)</f>
        <v/>
      </c>
      <c r="AM379">
        <f>INDEX($T$307:$T$434,AF379+1)</f>
        <v/>
      </c>
      <c r="AN379">
        <f>INDEX($U$307:$U$434,AG379+1)</f>
        <v/>
      </c>
      <c r="AO379">
        <f>INDEX($V$307:$V$434,AH379+1)</f>
        <v/>
      </c>
      <c r="AP379">
        <f>INDEX($W$307:$W$434,AI379+1)</f>
        <v/>
      </c>
      <c r="AQ379">
        <f>IF(Q379&gt;=AJ379-0.01,1,0)</f>
        <v/>
      </c>
      <c r="AR379">
        <f>IF(R379&gt;=AK379-0.01,1,0)</f>
        <v/>
      </c>
      <c r="AS379">
        <f>IF(S379&gt;=AL379-0.01,1,0)</f>
        <v/>
      </c>
      <c r="AT379">
        <f>IF(T379&gt;=AM379-0.01,1,0)</f>
        <v/>
      </c>
      <c r="AU379">
        <f>IF(U379&gt;=AN379-0.01,1,0)</f>
        <v/>
      </c>
      <c r="AV379">
        <f>IF(V379&gt;=AO379-0.01,1,0)</f>
        <v/>
      </c>
      <c r="AW379">
        <f>IF(W379&gt;=AP379-0.01,1,0)</f>
        <v/>
      </c>
      <c r="AX379">
        <f>AQ379*AR379*AS379*AT379*AU379*AV379*AW379</f>
        <v/>
      </c>
      <c r="AY379">
        <f>Assumptions!$B$41</f>
        <v/>
      </c>
      <c r="AZ379">
        <f>Assumptions!$B$33</f>
        <v/>
      </c>
      <c r="BA379">
        <f>Assumptions!$B$32</f>
        <v/>
      </c>
      <c r="BB379">
        <f>Assumptions!$B$31</f>
        <v/>
      </c>
      <c r="BC379">
        <f>Assumptions!$B$30</f>
        <v/>
      </c>
      <c r="BD379">
        <f>Assumptions!$B$29</f>
        <v/>
      </c>
      <c r="BE379">
        <f>Assumptions!$B$28</f>
        <v/>
      </c>
      <c r="BF379">
        <f>P379*Assumptions!$B$141</f>
        <v/>
      </c>
      <c r="BG379">
        <f>P379*Assumptions!$B$128</f>
        <v/>
      </c>
      <c r="BH379">
        <f>P379*Assumptions!$B$129</f>
        <v/>
      </c>
      <c r="BI379">
        <f>P379*Assumptions!$B$14</f>
        <v/>
      </c>
      <c r="BJ379">
        <f>P379*Assumptions!$B$13</f>
        <v/>
      </c>
      <c r="BK379">
        <f>P379*Assumptions!$B$12</f>
        <v/>
      </c>
      <c r="BL379">
        <f>P379*Assumptions!$B$11</f>
        <v/>
      </c>
    </row>
    <row r="380">
      <c r="A380" t="inlineStr">
        <is>
          <t>2000M</t>
        </is>
      </c>
      <c r="B380">
        <f>Assumptions!$B$60</f>
        <v/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>
        <f>(1-C380)*Assumptions!$B$41+(1-D380)*Assumptions!$B$33+(1-E380)*Assumptions!$B$32+(1-F380)*Assumptions!$B$31+(1-G380)*Assumptions!$B$30+(1-H380)*Assumptions!$B$29+(1-I380)*Assumptions!$B$28</f>
        <v/>
      </c>
      <c r="K380">
        <f>C380*Assumptions!$B$141+D380*Assumptions!$B$128+E380*Assumptions!$B$129+F380*Assumptions!$B$14+G380*Assumptions!$B$13+H380*Assumptions!$B$12+I380*Assumptions!$B$11+Assumptions!$B$133+Assumptions!$B$137+Assumptions!$B$9</f>
        <v/>
      </c>
      <c r="L380">
        <f>B380-J380</f>
        <v/>
      </c>
      <c r="M380">
        <f>IF(K380&gt;0,IF(L380/K380&gt;=Assumptions!$B$37,1,0),0)</f>
        <v/>
      </c>
      <c r="N380">
        <f>K380+M380*Assumptions!$B$153</f>
        <v/>
      </c>
      <c r="O380">
        <f>L380+M380*Assumptions!$B$153*Assumptions!$B$37</f>
        <v/>
      </c>
      <c r="P380">
        <f>IF(N380&gt;0,O380/N380,0)</f>
        <v/>
      </c>
      <c r="Q380">
        <f>IF(C380=1,P380*Assumptions!$B$141,Assumptions!$B$41)</f>
        <v/>
      </c>
      <c r="R380">
        <f>IF(D380=1,P380*Assumptions!$B$128,Assumptions!$B$33)</f>
        <v/>
      </c>
      <c r="S380">
        <f>IF(E380=1,P380*Assumptions!$B$129,Assumptions!$B$32)</f>
        <v/>
      </c>
      <c r="T380">
        <f>IF(F380=1,P380*Assumptions!$B$14,Assumptions!$B$31)</f>
        <v/>
      </c>
      <c r="U380">
        <f>IF(G380=1,P380*Assumptions!$B$13,Assumptions!$B$30)</f>
        <v/>
      </c>
      <c r="V380">
        <f>IF(H380=1,P380*Assumptions!$B$12,Assumptions!$B$29)</f>
        <v/>
      </c>
      <c r="W380">
        <f>IF(I380=1,P380*Assumptions!$B$11,Assumptions!$B$28)</f>
        <v/>
      </c>
      <c r="X380">
        <f>P380*(Assumptions!$B$133+Assumptions!$B$137)</f>
        <v/>
      </c>
      <c r="Y380">
        <f>P380*Assumptions!$B$9</f>
        <v/>
      </c>
      <c r="Z380">
        <f>IF(M380=1,(P380-Assumptions!$B$37)*Assumptions!$B$153,0)</f>
        <v/>
      </c>
      <c r="AA380">
        <f>Q380+R380+S380+T380+U380+V380+W380+X380+Y380+Z380</f>
        <v/>
      </c>
      <c r="AB380" t="n">
        <v>73</v>
      </c>
      <c r="AC380" t="n">
        <v>9</v>
      </c>
      <c r="AD380" t="n">
        <v>105</v>
      </c>
      <c r="AE380" t="n">
        <v>89</v>
      </c>
      <c r="AF380" t="n">
        <v>65</v>
      </c>
      <c r="AG380" t="n">
        <v>77</v>
      </c>
      <c r="AH380" t="n">
        <v>75</v>
      </c>
      <c r="AI380" t="n">
        <v>72</v>
      </c>
      <c r="AJ380">
        <f>INDEX($Q$307:$Q$434,AC380+1)</f>
        <v/>
      </c>
      <c r="AK380">
        <f>INDEX($R$307:$R$434,AD380+1)</f>
        <v/>
      </c>
      <c r="AL380">
        <f>INDEX($S$307:$S$434,AE380+1)</f>
        <v/>
      </c>
      <c r="AM380">
        <f>INDEX($T$307:$T$434,AF380+1)</f>
        <v/>
      </c>
      <c r="AN380">
        <f>INDEX($U$307:$U$434,AG380+1)</f>
        <v/>
      </c>
      <c r="AO380">
        <f>INDEX($V$307:$V$434,AH380+1)</f>
        <v/>
      </c>
      <c r="AP380">
        <f>INDEX($W$307:$W$434,AI380+1)</f>
        <v/>
      </c>
      <c r="AQ380">
        <f>IF(Q380&gt;=AJ380-0.01,1,0)</f>
        <v/>
      </c>
      <c r="AR380">
        <f>IF(R380&gt;=AK380-0.01,1,0)</f>
        <v/>
      </c>
      <c r="AS380">
        <f>IF(S380&gt;=AL380-0.01,1,0)</f>
        <v/>
      </c>
      <c r="AT380">
        <f>IF(T380&gt;=AM380-0.01,1,0)</f>
        <v/>
      </c>
      <c r="AU380">
        <f>IF(U380&gt;=AN380-0.01,1,0)</f>
        <v/>
      </c>
      <c r="AV380">
        <f>IF(V380&gt;=AO380-0.01,1,0)</f>
        <v/>
      </c>
      <c r="AW380">
        <f>IF(W380&gt;=AP380-0.01,1,0)</f>
        <v/>
      </c>
      <c r="AX380">
        <f>AQ380*AR380*AS380*AT380*AU380*AV380*AW380</f>
        <v/>
      </c>
      <c r="AY380">
        <f>Assumptions!$B$41</f>
        <v/>
      </c>
      <c r="AZ380">
        <f>Assumptions!$B$33</f>
        <v/>
      </c>
      <c r="BA380">
        <f>Assumptions!$B$32</f>
        <v/>
      </c>
      <c r="BB380">
        <f>Assumptions!$B$31</f>
        <v/>
      </c>
      <c r="BC380">
        <f>Assumptions!$B$30</f>
        <v/>
      </c>
      <c r="BD380">
        <f>Assumptions!$B$29</f>
        <v/>
      </c>
      <c r="BE380">
        <f>Assumptions!$B$28</f>
        <v/>
      </c>
      <c r="BF380">
        <f>P380*Assumptions!$B$141</f>
        <v/>
      </c>
      <c r="BG380">
        <f>P380*Assumptions!$B$128</f>
        <v/>
      </c>
      <c r="BH380">
        <f>P380*Assumptions!$B$129</f>
        <v/>
      </c>
      <c r="BI380">
        <f>P380*Assumptions!$B$14</f>
        <v/>
      </c>
      <c r="BJ380">
        <f>P380*Assumptions!$B$13</f>
        <v/>
      </c>
      <c r="BK380">
        <f>P380*Assumptions!$B$12</f>
        <v/>
      </c>
      <c r="BL380">
        <f>P380*Assumptions!$B$11</f>
        <v/>
      </c>
    </row>
    <row r="381">
      <c r="A381" t="inlineStr">
        <is>
          <t>2000M</t>
        </is>
      </c>
      <c r="B381">
        <f>Assumptions!$B$60</f>
        <v/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>
        <f>(1-C381)*Assumptions!$B$41+(1-D381)*Assumptions!$B$33+(1-E381)*Assumptions!$B$32+(1-F381)*Assumptions!$B$31+(1-G381)*Assumptions!$B$30+(1-H381)*Assumptions!$B$29+(1-I381)*Assumptions!$B$28</f>
        <v/>
      </c>
      <c r="K381">
        <f>C381*Assumptions!$B$141+D381*Assumptions!$B$128+E381*Assumptions!$B$129+F381*Assumptions!$B$14+G381*Assumptions!$B$13+H381*Assumptions!$B$12+I381*Assumptions!$B$11+Assumptions!$B$133+Assumptions!$B$137+Assumptions!$B$9</f>
        <v/>
      </c>
      <c r="L381">
        <f>B381-J381</f>
        <v/>
      </c>
      <c r="M381">
        <f>IF(K381&gt;0,IF(L381/K381&gt;=Assumptions!$B$37,1,0),0)</f>
        <v/>
      </c>
      <c r="N381">
        <f>K381+M381*Assumptions!$B$153</f>
        <v/>
      </c>
      <c r="O381">
        <f>L381+M381*Assumptions!$B$153*Assumptions!$B$37</f>
        <v/>
      </c>
      <c r="P381">
        <f>IF(N381&gt;0,O381/N381,0)</f>
        <v/>
      </c>
      <c r="Q381">
        <f>IF(C381=1,P381*Assumptions!$B$141,Assumptions!$B$41)</f>
        <v/>
      </c>
      <c r="R381">
        <f>IF(D381=1,P381*Assumptions!$B$128,Assumptions!$B$33)</f>
        <v/>
      </c>
      <c r="S381">
        <f>IF(E381=1,P381*Assumptions!$B$129,Assumptions!$B$32)</f>
        <v/>
      </c>
      <c r="T381">
        <f>IF(F381=1,P381*Assumptions!$B$14,Assumptions!$B$31)</f>
        <v/>
      </c>
      <c r="U381">
        <f>IF(G381=1,P381*Assumptions!$B$13,Assumptions!$B$30)</f>
        <v/>
      </c>
      <c r="V381">
        <f>IF(H381=1,P381*Assumptions!$B$12,Assumptions!$B$29)</f>
        <v/>
      </c>
      <c r="W381">
        <f>IF(I381=1,P381*Assumptions!$B$11,Assumptions!$B$28)</f>
        <v/>
      </c>
      <c r="X381">
        <f>P381*(Assumptions!$B$133+Assumptions!$B$137)</f>
        <v/>
      </c>
      <c r="Y381">
        <f>P381*Assumptions!$B$9</f>
        <v/>
      </c>
      <c r="Z381">
        <f>IF(M381=1,(P381-Assumptions!$B$37)*Assumptions!$B$153,0)</f>
        <v/>
      </c>
      <c r="AA381">
        <f>Q381+R381+S381+T381+U381+V381+W381+X381+Y381+Z381</f>
        <v/>
      </c>
      <c r="AB381" t="n">
        <v>74</v>
      </c>
      <c r="AC381" t="n">
        <v>10</v>
      </c>
      <c r="AD381" t="n">
        <v>106</v>
      </c>
      <c r="AE381" t="n">
        <v>90</v>
      </c>
      <c r="AF381" t="n">
        <v>66</v>
      </c>
      <c r="AG381" t="n">
        <v>78</v>
      </c>
      <c r="AH381" t="n">
        <v>72</v>
      </c>
      <c r="AI381" t="n">
        <v>75</v>
      </c>
      <c r="AJ381">
        <f>INDEX($Q$307:$Q$434,AC381+1)</f>
        <v/>
      </c>
      <c r="AK381">
        <f>INDEX($R$307:$R$434,AD381+1)</f>
        <v/>
      </c>
      <c r="AL381">
        <f>INDEX($S$307:$S$434,AE381+1)</f>
        <v/>
      </c>
      <c r="AM381">
        <f>INDEX($T$307:$T$434,AF381+1)</f>
        <v/>
      </c>
      <c r="AN381">
        <f>INDEX($U$307:$U$434,AG381+1)</f>
        <v/>
      </c>
      <c r="AO381">
        <f>INDEX($V$307:$V$434,AH381+1)</f>
        <v/>
      </c>
      <c r="AP381">
        <f>INDEX($W$307:$W$434,AI381+1)</f>
        <v/>
      </c>
      <c r="AQ381">
        <f>IF(Q381&gt;=AJ381-0.01,1,0)</f>
        <v/>
      </c>
      <c r="AR381">
        <f>IF(R381&gt;=AK381-0.01,1,0)</f>
        <v/>
      </c>
      <c r="AS381">
        <f>IF(S381&gt;=AL381-0.01,1,0)</f>
        <v/>
      </c>
      <c r="AT381">
        <f>IF(T381&gt;=AM381-0.01,1,0)</f>
        <v/>
      </c>
      <c r="AU381">
        <f>IF(U381&gt;=AN381-0.01,1,0)</f>
        <v/>
      </c>
      <c r="AV381">
        <f>IF(V381&gt;=AO381-0.01,1,0)</f>
        <v/>
      </c>
      <c r="AW381">
        <f>IF(W381&gt;=AP381-0.01,1,0)</f>
        <v/>
      </c>
      <c r="AX381">
        <f>AQ381*AR381*AS381*AT381*AU381*AV381*AW381</f>
        <v/>
      </c>
      <c r="AY381">
        <f>Assumptions!$B$41</f>
        <v/>
      </c>
      <c r="AZ381">
        <f>Assumptions!$B$33</f>
        <v/>
      </c>
      <c r="BA381">
        <f>Assumptions!$B$32</f>
        <v/>
      </c>
      <c r="BB381">
        <f>Assumptions!$B$31</f>
        <v/>
      </c>
      <c r="BC381">
        <f>Assumptions!$B$30</f>
        <v/>
      </c>
      <c r="BD381">
        <f>Assumptions!$B$29</f>
        <v/>
      </c>
      <c r="BE381">
        <f>Assumptions!$B$28</f>
        <v/>
      </c>
      <c r="BF381">
        <f>P381*Assumptions!$B$141</f>
        <v/>
      </c>
      <c r="BG381">
        <f>P381*Assumptions!$B$128</f>
        <v/>
      </c>
      <c r="BH381">
        <f>P381*Assumptions!$B$129</f>
        <v/>
      </c>
      <c r="BI381">
        <f>P381*Assumptions!$B$14</f>
        <v/>
      </c>
      <c r="BJ381">
        <f>P381*Assumptions!$B$13</f>
        <v/>
      </c>
      <c r="BK381">
        <f>P381*Assumptions!$B$12</f>
        <v/>
      </c>
      <c r="BL381">
        <f>P381*Assumptions!$B$11</f>
        <v/>
      </c>
    </row>
    <row r="382">
      <c r="A382" t="inlineStr">
        <is>
          <t>2000M</t>
        </is>
      </c>
      <c r="B382">
        <f>Assumptions!$B$60</f>
        <v/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1</v>
      </c>
      <c r="J382">
        <f>(1-C382)*Assumptions!$B$41+(1-D382)*Assumptions!$B$33+(1-E382)*Assumptions!$B$32+(1-F382)*Assumptions!$B$31+(1-G382)*Assumptions!$B$30+(1-H382)*Assumptions!$B$29+(1-I382)*Assumptions!$B$28</f>
        <v/>
      </c>
      <c r="K382">
        <f>C382*Assumptions!$B$141+D382*Assumptions!$B$128+E382*Assumptions!$B$129+F382*Assumptions!$B$14+G382*Assumptions!$B$13+H382*Assumptions!$B$12+I382*Assumptions!$B$11+Assumptions!$B$133+Assumptions!$B$137+Assumptions!$B$9</f>
        <v/>
      </c>
      <c r="L382">
        <f>B382-J382</f>
        <v/>
      </c>
      <c r="M382">
        <f>IF(K382&gt;0,IF(L382/K382&gt;=Assumptions!$B$37,1,0),0)</f>
        <v/>
      </c>
      <c r="N382">
        <f>K382+M382*Assumptions!$B$153</f>
        <v/>
      </c>
      <c r="O382">
        <f>L382+M382*Assumptions!$B$153*Assumptions!$B$37</f>
        <v/>
      </c>
      <c r="P382">
        <f>IF(N382&gt;0,O382/N382,0)</f>
        <v/>
      </c>
      <c r="Q382">
        <f>IF(C382=1,P382*Assumptions!$B$141,Assumptions!$B$41)</f>
        <v/>
      </c>
      <c r="R382">
        <f>IF(D382=1,P382*Assumptions!$B$128,Assumptions!$B$33)</f>
        <v/>
      </c>
      <c r="S382">
        <f>IF(E382=1,P382*Assumptions!$B$129,Assumptions!$B$32)</f>
        <v/>
      </c>
      <c r="T382">
        <f>IF(F382=1,P382*Assumptions!$B$14,Assumptions!$B$31)</f>
        <v/>
      </c>
      <c r="U382">
        <f>IF(G382=1,P382*Assumptions!$B$13,Assumptions!$B$30)</f>
        <v/>
      </c>
      <c r="V382">
        <f>IF(H382=1,P382*Assumptions!$B$12,Assumptions!$B$29)</f>
        <v/>
      </c>
      <c r="W382">
        <f>IF(I382=1,P382*Assumptions!$B$11,Assumptions!$B$28)</f>
        <v/>
      </c>
      <c r="X382">
        <f>P382*(Assumptions!$B$133+Assumptions!$B$137)</f>
        <v/>
      </c>
      <c r="Y382">
        <f>P382*Assumptions!$B$9</f>
        <v/>
      </c>
      <c r="Z382">
        <f>IF(M382=1,(P382-Assumptions!$B$37)*Assumptions!$B$153,0)</f>
        <v/>
      </c>
      <c r="AA382">
        <f>Q382+R382+S382+T382+U382+V382+W382+X382+Y382+Z382</f>
        <v/>
      </c>
      <c r="AB382" t="n">
        <v>75</v>
      </c>
      <c r="AC382" t="n">
        <v>11</v>
      </c>
      <c r="AD382" t="n">
        <v>107</v>
      </c>
      <c r="AE382" t="n">
        <v>91</v>
      </c>
      <c r="AF382" t="n">
        <v>67</v>
      </c>
      <c r="AG382" t="n">
        <v>79</v>
      </c>
      <c r="AH382" t="n">
        <v>73</v>
      </c>
      <c r="AI382" t="n">
        <v>74</v>
      </c>
      <c r="AJ382">
        <f>INDEX($Q$307:$Q$434,AC382+1)</f>
        <v/>
      </c>
      <c r="AK382">
        <f>INDEX($R$307:$R$434,AD382+1)</f>
        <v/>
      </c>
      <c r="AL382">
        <f>INDEX($S$307:$S$434,AE382+1)</f>
        <v/>
      </c>
      <c r="AM382">
        <f>INDEX($T$307:$T$434,AF382+1)</f>
        <v/>
      </c>
      <c r="AN382">
        <f>INDEX($U$307:$U$434,AG382+1)</f>
        <v/>
      </c>
      <c r="AO382">
        <f>INDEX($V$307:$V$434,AH382+1)</f>
        <v/>
      </c>
      <c r="AP382">
        <f>INDEX($W$307:$W$434,AI382+1)</f>
        <v/>
      </c>
      <c r="AQ382">
        <f>IF(Q382&gt;=AJ382-0.01,1,0)</f>
        <v/>
      </c>
      <c r="AR382">
        <f>IF(R382&gt;=AK382-0.01,1,0)</f>
        <v/>
      </c>
      <c r="AS382">
        <f>IF(S382&gt;=AL382-0.01,1,0)</f>
        <v/>
      </c>
      <c r="AT382">
        <f>IF(T382&gt;=AM382-0.01,1,0)</f>
        <v/>
      </c>
      <c r="AU382">
        <f>IF(U382&gt;=AN382-0.01,1,0)</f>
        <v/>
      </c>
      <c r="AV382">
        <f>IF(V382&gt;=AO382-0.01,1,0)</f>
        <v/>
      </c>
      <c r="AW382">
        <f>IF(W382&gt;=AP382-0.01,1,0)</f>
        <v/>
      </c>
      <c r="AX382">
        <f>AQ382*AR382*AS382*AT382*AU382*AV382*AW382</f>
        <v/>
      </c>
      <c r="AY382">
        <f>Assumptions!$B$41</f>
        <v/>
      </c>
      <c r="AZ382">
        <f>Assumptions!$B$33</f>
        <v/>
      </c>
      <c r="BA382">
        <f>Assumptions!$B$32</f>
        <v/>
      </c>
      <c r="BB382">
        <f>Assumptions!$B$31</f>
        <v/>
      </c>
      <c r="BC382">
        <f>Assumptions!$B$30</f>
        <v/>
      </c>
      <c r="BD382">
        <f>Assumptions!$B$29</f>
        <v/>
      </c>
      <c r="BE382">
        <f>Assumptions!$B$28</f>
        <v/>
      </c>
      <c r="BF382">
        <f>P382*Assumptions!$B$141</f>
        <v/>
      </c>
      <c r="BG382">
        <f>P382*Assumptions!$B$128</f>
        <v/>
      </c>
      <c r="BH382">
        <f>P382*Assumptions!$B$129</f>
        <v/>
      </c>
      <c r="BI382">
        <f>P382*Assumptions!$B$14</f>
        <v/>
      </c>
      <c r="BJ382">
        <f>P382*Assumptions!$B$13</f>
        <v/>
      </c>
      <c r="BK382">
        <f>P382*Assumptions!$B$12</f>
        <v/>
      </c>
      <c r="BL382">
        <f>P382*Assumptions!$B$11</f>
        <v/>
      </c>
    </row>
    <row r="383">
      <c r="A383" t="inlineStr">
        <is>
          <t>2000M</t>
        </is>
      </c>
      <c r="B383">
        <f>Assumptions!$B$60</f>
        <v/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>
        <f>(1-C383)*Assumptions!$B$41+(1-D383)*Assumptions!$B$33+(1-E383)*Assumptions!$B$32+(1-F383)*Assumptions!$B$31+(1-G383)*Assumptions!$B$30+(1-H383)*Assumptions!$B$29+(1-I383)*Assumptions!$B$28</f>
        <v/>
      </c>
      <c r="K383">
        <f>C383*Assumptions!$B$141+D383*Assumptions!$B$128+E383*Assumptions!$B$129+F383*Assumptions!$B$14+G383*Assumptions!$B$13+H383*Assumptions!$B$12+I383*Assumptions!$B$11+Assumptions!$B$133+Assumptions!$B$137+Assumptions!$B$9</f>
        <v/>
      </c>
      <c r="L383">
        <f>B383-J383</f>
        <v/>
      </c>
      <c r="M383">
        <f>IF(K383&gt;0,IF(L383/K383&gt;=Assumptions!$B$37,1,0),0)</f>
        <v/>
      </c>
      <c r="N383">
        <f>K383+M383*Assumptions!$B$153</f>
        <v/>
      </c>
      <c r="O383">
        <f>L383+M383*Assumptions!$B$153*Assumptions!$B$37</f>
        <v/>
      </c>
      <c r="P383">
        <f>IF(N383&gt;0,O383/N383,0)</f>
        <v/>
      </c>
      <c r="Q383">
        <f>IF(C383=1,P383*Assumptions!$B$141,Assumptions!$B$41)</f>
        <v/>
      </c>
      <c r="R383">
        <f>IF(D383=1,P383*Assumptions!$B$128,Assumptions!$B$33)</f>
        <v/>
      </c>
      <c r="S383">
        <f>IF(E383=1,P383*Assumptions!$B$129,Assumptions!$B$32)</f>
        <v/>
      </c>
      <c r="T383">
        <f>IF(F383=1,P383*Assumptions!$B$14,Assumptions!$B$31)</f>
        <v/>
      </c>
      <c r="U383">
        <f>IF(G383=1,P383*Assumptions!$B$13,Assumptions!$B$30)</f>
        <v/>
      </c>
      <c r="V383">
        <f>IF(H383=1,P383*Assumptions!$B$12,Assumptions!$B$29)</f>
        <v/>
      </c>
      <c r="W383">
        <f>IF(I383=1,P383*Assumptions!$B$11,Assumptions!$B$28)</f>
        <v/>
      </c>
      <c r="X383">
        <f>P383*(Assumptions!$B$133+Assumptions!$B$137)</f>
        <v/>
      </c>
      <c r="Y383">
        <f>P383*Assumptions!$B$9</f>
        <v/>
      </c>
      <c r="Z383">
        <f>IF(M383=1,(P383-Assumptions!$B$37)*Assumptions!$B$153,0)</f>
        <v/>
      </c>
      <c r="AA383">
        <f>Q383+R383+S383+T383+U383+V383+W383+X383+Y383+Z383</f>
        <v/>
      </c>
      <c r="AB383" t="n">
        <v>76</v>
      </c>
      <c r="AC383" t="n">
        <v>12</v>
      </c>
      <c r="AD383" t="n">
        <v>108</v>
      </c>
      <c r="AE383" t="n">
        <v>92</v>
      </c>
      <c r="AF383" t="n">
        <v>68</v>
      </c>
      <c r="AG383" t="n">
        <v>72</v>
      </c>
      <c r="AH383" t="n">
        <v>78</v>
      </c>
      <c r="AI383" t="n">
        <v>77</v>
      </c>
      <c r="AJ383">
        <f>INDEX($Q$307:$Q$434,AC383+1)</f>
        <v/>
      </c>
      <c r="AK383">
        <f>INDEX($R$307:$R$434,AD383+1)</f>
        <v/>
      </c>
      <c r="AL383">
        <f>INDEX($S$307:$S$434,AE383+1)</f>
        <v/>
      </c>
      <c r="AM383">
        <f>INDEX($T$307:$T$434,AF383+1)</f>
        <v/>
      </c>
      <c r="AN383">
        <f>INDEX($U$307:$U$434,AG383+1)</f>
        <v/>
      </c>
      <c r="AO383">
        <f>INDEX($V$307:$V$434,AH383+1)</f>
        <v/>
      </c>
      <c r="AP383">
        <f>INDEX($W$307:$W$434,AI383+1)</f>
        <v/>
      </c>
      <c r="AQ383">
        <f>IF(Q383&gt;=AJ383-0.01,1,0)</f>
        <v/>
      </c>
      <c r="AR383">
        <f>IF(R383&gt;=AK383-0.01,1,0)</f>
        <v/>
      </c>
      <c r="AS383">
        <f>IF(S383&gt;=AL383-0.01,1,0)</f>
        <v/>
      </c>
      <c r="AT383">
        <f>IF(T383&gt;=AM383-0.01,1,0)</f>
        <v/>
      </c>
      <c r="AU383">
        <f>IF(U383&gt;=AN383-0.01,1,0)</f>
        <v/>
      </c>
      <c r="AV383">
        <f>IF(V383&gt;=AO383-0.01,1,0)</f>
        <v/>
      </c>
      <c r="AW383">
        <f>IF(W383&gt;=AP383-0.01,1,0)</f>
        <v/>
      </c>
      <c r="AX383">
        <f>AQ383*AR383*AS383*AT383*AU383*AV383*AW383</f>
        <v/>
      </c>
      <c r="AY383">
        <f>Assumptions!$B$41</f>
        <v/>
      </c>
      <c r="AZ383">
        <f>Assumptions!$B$33</f>
        <v/>
      </c>
      <c r="BA383">
        <f>Assumptions!$B$32</f>
        <v/>
      </c>
      <c r="BB383">
        <f>Assumptions!$B$31</f>
        <v/>
      </c>
      <c r="BC383">
        <f>Assumptions!$B$30</f>
        <v/>
      </c>
      <c r="BD383">
        <f>Assumptions!$B$29</f>
        <v/>
      </c>
      <c r="BE383">
        <f>Assumptions!$B$28</f>
        <v/>
      </c>
      <c r="BF383">
        <f>P383*Assumptions!$B$141</f>
        <v/>
      </c>
      <c r="BG383">
        <f>P383*Assumptions!$B$128</f>
        <v/>
      </c>
      <c r="BH383">
        <f>P383*Assumptions!$B$129</f>
        <v/>
      </c>
      <c r="BI383">
        <f>P383*Assumptions!$B$14</f>
        <v/>
      </c>
      <c r="BJ383">
        <f>P383*Assumptions!$B$13</f>
        <v/>
      </c>
      <c r="BK383">
        <f>P383*Assumptions!$B$12</f>
        <v/>
      </c>
      <c r="BL383">
        <f>P383*Assumptions!$B$11</f>
        <v/>
      </c>
    </row>
    <row r="384">
      <c r="A384" t="inlineStr">
        <is>
          <t>2000M</t>
        </is>
      </c>
      <c r="B384">
        <f>Assumptions!$B$60</f>
        <v/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>
        <f>(1-C384)*Assumptions!$B$41+(1-D384)*Assumptions!$B$33+(1-E384)*Assumptions!$B$32+(1-F384)*Assumptions!$B$31+(1-G384)*Assumptions!$B$30+(1-H384)*Assumptions!$B$29+(1-I384)*Assumptions!$B$28</f>
        <v/>
      </c>
      <c r="K384">
        <f>C384*Assumptions!$B$141+D384*Assumptions!$B$128+E384*Assumptions!$B$129+F384*Assumptions!$B$14+G384*Assumptions!$B$13+H384*Assumptions!$B$12+I384*Assumptions!$B$11+Assumptions!$B$133+Assumptions!$B$137+Assumptions!$B$9</f>
        <v/>
      </c>
      <c r="L384">
        <f>B384-J384</f>
        <v/>
      </c>
      <c r="M384">
        <f>IF(K384&gt;0,IF(L384/K384&gt;=Assumptions!$B$37,1,0),0)</f>
        <v/>
      </c>
      <c r="N384">
        <f>K384+M384*Assumptions!$B$153</f>
        <v/>
      </c>
      <c r="O384">
        <f>L384+M384*Assumptions!$B$153*Assumptions!$B$37</f>
        <v/>
      </c>
      <c r="P384">
        <f>IF(N384&gt;0,O384/N384,0)</f>
        <v/>
      </c>
      <c r="Q384">
        <f>IF(C384=1,P384*Assumptions!$B$141,Assumptions!$B$41)</f>
        <v/>
      </c>
      <c r="R384">
        <f>IF(D384=1,P384*Assumptions!$B$128,Assumptions!$B$33)</f>
        <v/>
      </c>
      <c r="S384">
        <f>IF(E384=1,P384*Assumptions!$B$129,Assumptions!$B$32)</f>
        <v/>
      </c>
      <c r="T384">
        <f>IF(F384=1,P384*Assumptions!$B$14,Assumptions!$B$31)</f>
        <v/>
      </c>
      <c r="U384">
        <f>IF(G384=1,P384*Assumptions!$B$13,Assumptions!$B$30)</f>
        <v/>
      </c>
      <c r="V384">
        <f>IF(H384=1,P384*Assumptions!$B$12,Assumptions!$B$29)</f>
        <v/>
      </c>
      <c r="W384">
        <f>IF(I384=1,P384*Assumptions!$B$11,Assumptions!$B$28)</f>
        <v/>
      </c>
      <c r="X384">
        <f>P384*(Assumptions!$B$133+Assumptions!$B$137)</f>
        <v/>
      </c>
      <c r="Y384">
        <f>P384*Assumptions!$B$9</f>
        <v/>
      </c>
      <c r="Z384">
        <f>IF(M384=1,(P384-Assumptions!$B$37)*Assumptions!$B$153,0)</f>
        <v/>
      </c>
      <c r="AA384">
        <f>Q384+R384+S384+T384+U384+V384+W384+X384+Y384+Z384</f>
        <v/>
      </c>
      <c r="AB384" t="n">
        <v>77</v>
      </c>
      <c r="AC384" t="n">
        <v>13</v>
      </c>
      <c r="AD384" t="n">
        <v>109</v>
      </c>
      <c r="AE384" t="n">
        <v>93</v>
      </c>
      <c r="AF384" t="n">
        <v>69</v>
      </c>
      <c r="AG384" t="n">
        <v>73</v>
      </c>
      <c r="AH384" t="n">
        <v>79</v>
      </c>
      <c r="AI384" t="n">
        <v>76</v>
      </c>
      <c r="AJ384">
        <f>INDEX($Q$307:$Q$434,AC384+1)</f>
        <v/>
      </c>
      <c r="AK384">
        <f>INDEX($R$307:$R$434,AD384+1)</f>
        <v/>
      </c>
      <c r="AL384">
        <f>INDEX($S$307:$S$434,AE384+1)</f>
        <v/>
      </c>
      <c r="AM384">
        <f>INDEX($T$307:$T$434,AF384+1)</f>
        <v/>
      </c>
      <c r="AN384">
        <f>INDEX($U$307:$U$434,AG384+1)</f>
        <v/>
      </c>
      <c r="AO384">
        <f>INDEX($V$307:$V$434,AH384+1)</f>
        <v/>
      </c>
      <c r="AP384">
        <f>INDEX($W$307:$W$434,AI384+1)</f>
        <v/>
      </c>
      <c r="AQ384">
        <f>IF(Q384&gt;=AJ384-0.01,1,0)</f>
        <v/>
      </c>
      <c r="AR384">
        <f>IF(R384&gt;=AK384-0.01,1,0)</f>
        <v/>
      </c>
      <c r="AS384">
        <f>IF(S384&gt;=AL384-0.01,1,0)</f>
        <v/>
      </c>
      <c r="AT384">
        <f>IF(T384&gt;=AM384-0.01,1,0)</f>
        <v/>
      </c>
      <c r="AU384">
        <f>IF(U384&gt;=AN384-0.01,1,0)</f>
        <v/>
      </c>
      <c r="AV384">
        <f>IF(V384&gt;=AO384-0.01,1,0)</f>
        <v/>
      </c>
      <c r="AW384">
        <f>IF(W384&gt;=AP384-0.01,1,0)</f>
        <v/>
      </c>
      <c r="AX384">
        <f>AQ384*AR384*AS384*AT384*AU384*AV384*AW384</f>
        <v/>
      </c>
      <c r="AY384">
        <f>Assumptions!$B$41</f>
        <v/>
      </c>
      <c r="AZ384">
        <f>Assumptions!$B$33</f>
        <v/>
      </c>
      <c r="BA384">
        <f>Assumptions!$B$32</f>
        <v/>
      </c>
      <c r="BB384">
        <f>Assumptions!$B$31</f>
        <v/>
      </c>
      <c r="BC384">
        <f>Assumptions!$B$30</f>
        <v/>
      </c>
      <c r="BD384">
        <f>Assumptions!$B$29</f>
        <v/>
      </c>
      <c r="BE384">
        <f>Assumptions!$B$28</f>
        <v/>
      </c>
      <c r="BF384">
        <f>P384*Assumptions!$B$141</f>
        <v/>
      </c>
      <c r="BG384">
        <f>P384*Assumptions!$B$128</f>
        <v/>
      </c>
      <c r="BH384">
        <f>P384*Assumptions!$B$129</f>
        <v/>
      </c>
      <c r="BI384">
        <f>P384*Assumptions!$B$14</f>
        <v/>
      </c>
      <c r="BJ384">
        <f>P384*Assumptions!$B$13</f>
        <v/>
      </c>
      <c r="BK384">
        <f>P384*Assumptions!$B$12</f>
        <v/>
      </c>
      <c r="BL384">
        <f>P384*Assumptions!$B$11</f>
        <v/>
      </c>
    </row>
    <row r="385">
      <c r="A385" t="inlineStr">
        <is>
          <t>2000M</t>
        </is>
      </c>
      <c r="B385">
        <f>Assumptions!$B$60</f>
        <v/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</v>
      </c>
      <c r="J385">
        <f>(1-C385)*Assumptions!$B$41+(1-D385)*Assumptions!$B$33+(1-E385)*Assumptions!$B$32+(1-F385)*Assumptions!$B$31+(1-G385)*Assumptions!$B$30+(1-H385)*Assumptions!$B$29+(1-I385)*Assumptions!$B$28</f>
        <v/>
      </c>
      <c r="K385">
        <f>C385*Assumptions!$B$141+D385*Assumptions!$B$128+E385*Assumptions!$B$129+F385*Assumptions!$B$14+G385*Assumptions!$B$13+H385*Assumptions!$B$12+I385*Assumptions!$B$11+Assumptions!$B$133+Assumptions!$B$137+Assumptions!$B$9</f>
        <v/>
      </c>
      <c r="L385">
        <f>B385-J385</f>
        <v/>
      </c>
      <c r="M385">
        <f>IF(K385&gt;0,IF(L385/K385&gt;=Assumptions!$B$37,1,0),0)</f>
        <v/>
      </c>
      <c r="N385">
        <f>K385+M385*Assumptions!$B$153</f>
        <v/>
      </c>
      <c r="O385">
        <f>L385+M385*Assumptions!$B$153*Assumptions!$B$37</f>
        <v/>
      </c>
      <c r="P385">
        <f>IF(N385&gt;0,O385/N385,0)</f>
        <v/>
      </c>
      <c r="Q385">
        <f>IF(C385=1,P385*Assumptions!$B$141,Assumptions!$B$41)</f>
        <v/>
      </c>
      <c r="R385">
        <f>IF(D385=1,P385*Assumptions!$B$128,Assumptions!$B$33)</f>
        <v/>
      </c>
      <c r="S385">
        <f>IF(E385=1,P385*Assumptions!$B$129,Assumptions!$B$32)</f>
        <v/>
      </c>
      <c r="T385">
        <f>IF(F385=1,P385*Assumptions!$B$14,Assumptions!$B$31)</f>
        <v/>
      </c>
      <c r="U385">
        <f>IF(G385=1,P385*Assumptions!$B$13,Assumptions!$B$30)</f>
        <v/>
      </c>
      <c r="V385">
        <f>IF(H385=1,P385*Assumptions!$B$12,Assumptions!$B$29)</f>
        <v/>
      </c>
      <c r="W385">
        <f>IF(I385=1,P385*Assumptions!$B$11,Assumptions!$B$28)</f>
        <v/>
      </c>
      <c r="X385">
        <f>P385*(Assumptions!$B$133+Assumptions!$B$137)</f>
        <v/>
      </c>
      <c r="Y385">
        <f>P385*Assumptions!$B$9</f>
        <v/>
      </c>
      <c r="Z385">
        <f>IF(M385=1,(P385-Assumptions!$B$37)*Assumptions!$B$153,0)</f>
        <v/>
      </c>
      <c r="AA385">
        <f>Q385+R385+S385+T385+U385+V385+W385+X385+Y385+Z385</f>
        <v/>
      </c>
      <c r="AB385" t="n">
        <v>78</v>
      </c>
      <c r="AC385" t="n">
        <v>14</v>
      </c>
      <c r="AD385" t="n">
        <v>110</v>
      </c>
      <c r="AE385" t="n">
        <v>94</v>
      </c>
      <c r="AF385" t="n">
        <v>70</v>
      </c>
      <c r="AG385" t="n">
        <v>74</v>
      </c>
      <c r="AH385" t="n">
        <v>76</v>
      </c>
      <c r="AI385" t="n">
        <v>79</v>
      </c>
      <c r="AJ385">
        <f>INDEX($Q$307:$Q$434,AC385+1)</f>
        <v/>
      </c>
      <c r="AK385">
        <f>INDEX($R$307:$R$434,AD385+1)</f>
        <v/>
      </c>
      <c r="AL385">
        <f>INDEX($S$307:$S$434,AE385+1)</f>
        <v/>
      </c>
      <c r="AM385">
        <f>INDEX($T$307:$T$434,AF385+1)</f>
        <v/>
      </c>
      <c r="AN385">
        <f>INDEX($U$307:$U$434,AG385+1)</f>
        <v/>
      </c>
      <c r="AO385">
        <f>INDEX($V$307:$V$434,AH385+1)</f>
        <v/>
      </c>
      <c r="AP385">
        <f>INDEX($W$307:$W$434,AI385+1)</f>
        <v/>
      </c>
      <c r="AQ385">
        <f>IF(Q385&gt;=AJ385-0.01,1,0)</f>
        <v/>
      </c>
      <c r="AR385">
        <f>IF(R385&gt;=AK385-0.01,1,0)</f>
        <v/>
      </c>
      <c r="AS385">
        <f>IF(S385&gt;=AL385-0.01,1,0)</f>
        <v/>
      </c>
      <c r="AT385">
        <f>IF(T385&gt;=AM385-0.01,1,0)</f>
        <v/>
      </c>
      <c r="AU385">
        <f>IF(U385&gt;=AN385-0.01,1,0)</f>
        <v/>
      </c>
      <c r="AV385">
        <f>IF(V385&gt;=AO385-0.01,1,0)</f>
        <v/>
      </c>
      <c r="AW385">
        <f>IF(W385&gt;=AP385-0.01,1,0)</f>
        <v/>
      </c>
      <c r="AX385">
        <f>AQ385*AR385*AS385*AT385*AU385*AV385*AW385</f>
        <v/>
      </c>
      <c r="AY385">
        <f>Assumptions!$B$41</f>
        <v/>
      </c>
      <c r="AZ385">
        <f>Assumptions!$B$33</f>
        <v/>
      </c>
      <c r="BA385">
        <f>Assumptions!$B$32</f>
        <v/>
      </c>
      <c r="BB385">
        <f>Assumptions!$B$31</f>
        <v/>
      </c>
      <c r="BC385">
        <f>Assumptions!$B$30</f>
        <v/>
      </c>
      <c r="BD385">
        <f>Assumptions!$B$29</f>
        <v/>
      </c>
      <c r="BE385">
        <f>Assumptions!$B$28</f>
        <v/>
      </c>
      <c r="BF385">
        <f>P385*Assumptions!$B$141</f>
        <v/>
      </c>
      <c r="BG385">
        <f>P385*Assumptions!$B$128</f>
        <v/>
      </c>
      <c r="BH385">
        <f>P385*Assumptions!$B$129</f>
        <v/>
      </c>
      <c r="BI385">
        <f>P385*Assumptions!$B$14</f>
        <v/>
      </c>
      <c r="BJ385">
        <f>P385*Assumptions!$B$13</f>
        <v/>
      </c>
      <c r="BK385">
        <f>P385*Assumptions!$B$12</f>
        <v/>
      </c>
      <c r="BL385">
        <f>P385*Assumptions!$B$11</f>
        <v/>
      </c>
    </row>
    <row r="386">
      <c r="A386" t="inlineStr">
        <is>
          <t>2000M</t>
        </is>
      </c>
      <c r="B386">
        <f>Assumptions!$B$60</f>
        <v/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>
        <f>(1-C386)*Assumptions!$B$41+(1-D386)*Assumptions!$B$33+(1-E386)*Assumptions!$B$32+(1-F386)*Assumptions!$B$31+(1-G386)*Assumptions!$B$30+(1-H386)*Assumptions!$B$29+(1-I386)*Assumptions!$B$28</f>
        <v/>
      </c>
      <c r="K386">
        <f>C386*Assumptions!$B$141+D386*Assumptions!$B$128+E386*Assumptions!$B$129+F386*Assumptions!$B$14+G386*Assumptions!$B$13+H386*Assumptions!$B$12+I386*Assumptions!$B$11+Assumptions!$B$133+Assumptions!$B$137+Assumptions!$B$9</f>
        <v/>
      </c>
      <c r="L386">
        <f>B386-J386</f>
        <v/>
      </c>
      <c r="M386">
        <f>IF(K386&gt;0,IF(L386/K386&gt;=Assumptions!$B$37,1,0),0)</f>
        <v/>
      </c>
      <c r="N386">
        <f>K386+M386*Assumptions!$B$153</f>
        <v/>
      </c>
      <c r="O386">
        <f>L386+M386*Assumptions!$B$153*Assumptions!$B$37</f>
        <v/>
      </c>
      <c r="P386">
        <f>IF(N386&gt;0,O386/N386,0)</f>
        <v/>
      </c>
      <c r="Q386">
        <f>IF(C386=1,P386*Assumptions!$B$141,Assumptions!$B$41)</f>
        <v/>
      </c>
      <c r="R386">
        <f>IF(D386=1,P386*Assumptions!$B$128,Assumptions!$B$33)</f>
        <v/>
      </c>
      <c r="S386">
        <f>IF(E386=1,P386*Assumptions!$B$129,Assumptions!$B$32)</f>
        <v/>
      </c>
      <c r="T386">
        <f>IF(F386=1,P386*Assumptions!$B$14,Assumptions!$B$31)</f>
        <v/>
      </c>
      <c r="U386">
        <f>IF(G386=1,P386*Assumptions!$B$13,Assumptions!$B$30)</f>
        <v/>
      </c>
      <c r="V386">
        <f>IF(H386=1,P386*Assumptions!$B$12,Assumptions!$B$29)</f>
        <v/>
      </c>
      <c r="W386">
        <f>IF(I386=1,P386*Assumptions!$B$11,Assumptions!$B$28)</f>
        <v/>
      </c>
      <c r="X386">
        <f>P386*(Assumptions!$B$133+Assumptions!$B$137)</f>
        <v/>
      </c>
      <c r="Y386">
        <f>P386*Assumptions!$B$9</f>
        <v/>
      </c>
      <c r="Z386">
        <f>IF(M386=1,(P386-Assumptions!$B$37)*Assumptions!$B$153,0)</f>
        <v/>
      </c>
      <c r="AA386">
        <f>Q386+R386+S386+T386+U386+V386+W386+X386+Y386+Z386</f>
        <v/>
      </c>
      <c r="AB386" t="n">
        <v>79</v>
      </c>
      <c r="AC386" t="n">
        <v>15</v>
      </c>
      <c r="AD386" t="n">
        <v>111</v>
      </c>
      <c r="AE386" t="n">
        <v>95</v>
      </c>
      <c r="AF386" t="n">
        <v>71</v>
      </c>
      <c r="AG386" t="n">
        <v>75</v>
      </c>
      <c r="AH386" t="n">
        <v>77</v>
      </c>
      <c r="AI386" t="n">
        <v>78</v>
      </c>
      <c r="AJ386">
        <f>INDEX($Q$307:$Q$434,AC386+1)</f>
        <v/>
      </c>
      <c r="AK386">
        <f>INDEX($R$307:$R$434,AD386+1)</f>
        <v/>
      </c>
      <c r="AL386">
        <f>INDEX($S$307:$S$434,AE386+1)</f>
        <v/>
      </c>
      <c r="AM386">
        <f>INDEX($T$307:$T$434,AF386+1)</f>
        <v/>
      </c>
      <c r="AN386">
        <f>INDEX($U$307:$U$434,AG386+1)</f>
        <v/>
      </c>
      <c r="AO386">
        <f>INDEX($V$307:$V$434,AH386+1)</f>
        <v/>
      </c>
      <c r="AP386">
        <f>INDEX($W$307:$W$434,AI386+1)</f>
        <v/>
      </c>
      <c r="AQ386">
        <f>IF(Q386&gt;=AJ386-0.01,1,0)</f>
        <v/>
      </c>
      <c r="AR386">
        <f>IF(R386&gt;=AK386-0.01,1,0)</f>
        <v/>
      </c>
      <c r="AS386">
        <f>IF(S386&gt;=AL386-0.01,1,0)</f>
        <v/>
      </c>
      <c r="AT386">
        <f>IF(T386&gt;=AM386-0.01,1,0)</f>
        <v/>
      </c>
      <c r="AU386">
        <f>IF(U386&gt;=AN386-0.01,1,0)</f>
        <v/>
      </c>
      <c r="AV386">
        <f>IF(V386&gt;=AO386-0.01,1,0)</f>
        <v/>
      </c>
      <c r="AW386">
        <f>IF(W386&gt;=AP386-0.01,1,0)</f>
        <v/>
      </c>
      <c r="AX386">
        <f>AQ386*AR386*AS386*AT386*AU386*AV386*AW386</f>
        <v/>
      </c>
      <c r="AY386">
        <f>Assumptions!$B$41</f>
        <v/>
      </c>
      <c r="AZ386">
        <f>Assumptions!$B$33</f>
        <v/>
      </c>
      <c r="BA386">
        <f>Assumptions!$B$32</f>
        <v/>
      </c>
      <c r="BB386">
        <f>Assumptions!$B$31</f>
        <v/>
      </c>
      <c r="BC386">
        <f>Assumptions!$B$30</f>
        <v/>
      </c>
      <c r="BD386">
        <f>Assumptions!$B$29</f>
        <v/>
      </c>
      <c r="BE386">
        <f>Assumptions!$B$28</f>
        <v/>
      </c>
      <c r="BF386">
        <f>P386*Assumptions!$B$141</f>
        <v/>
      </c>
      <c r="BG386">
        <f>P386*Assumptions!$B$128</f>
        <v/>
      </c>
      <c r="BH386">
        <f>P386*Assumptions!$B$129</f>
        <v/>
      </c>
      <c r="BI386">
        <f>P386*Assumptions!$B$14</f>
        <v/>
      </c>
      <c r="BJ386">
        <f>P386*Assumptions!$B$13</f>
        <v/>
      </c>
      <c r="BK386">
        <f>P386*Assumptions!$B$12</f>
        <v/>
      </c>
      <c r="BL386">
        <f>P386*Assumptions!$B$11</f>
        <v/>
      </c>
    </row>
    <row r="387">
      <c r="A387" t="inlineStr">
        <is>
          <t>2000M</t>
        </is>
      </c>
      <c r="B387">
        <f>Assumptions!$B$60</f>
        <v/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>
        <f>(1-C387)*Assumptions!$B$41+(1-D387)*Assumptions!$B$33+(1-E387)*Assumptions!$B$32+(1-F387)*Assumptions!$B$31+(1-G387)*Assumptions!$B$30+(1-H387)*Assumptions!$B$29+(1-I387)*Assumptions!$B$28</f>
        <v/>
      </c>
      <c r="K387">
        <f>C387*Assumptions!$B$141+D387*Assumptions!$B$128+E387*Assumptions!$B$129+F387*Assumptions!$B$14+G387*Assumptions!$B$13+H387*Assumptions!$B$12+I387*Assumptions!$B$11+Assumptions!$B$133+Assumptions!$B$137+Assumptions!$B$9</f>
        <v/>
      </c>
      <c r="L387">
        <f>B387-J387</f>
        <v/>
      </c>
      <c r="M387">
        <f>IF(K387&gt;0,IF(L387/K387&gt;=Assumptions!$B$37,1,0),0)</f>
        <v/>
      </c>
      <c r="N387">
        <f>K387+M387*Assumptions!$B$153</f>
        <v/>
      </c>
      <c r="O387">
        <f>L387+M387*Assumptions!$B$153*Assumptions!$B$37</f>
        <v/>
      </c>
      <c r="P387">
        <f>IF(N387&gt;0,O387/N387,0)</f>
        <v/>
      </c>
      <c r="Q387">
        <f>IF(C387=1,P387*Assumptions!$B$141,Assumptions!$B$41)</f>
        <v/>
      </c>
      <c r="R387">
        <f>IF(D387=1,P387*Assumptions!$B$128,Assumptions!$B$33)</f>
        <v/>
      </c>
      <c r="S387">
        <f>IF(E387=1,P387*Assumptions!$B$129,Assumptions!$B$32)</f>
        <v/>
      </c>
      <c r="T387">
        <f>IF(F387=1,P387*Assumptions!$B$14,Assumptions!$B$31)</f>
        <v/>
      </c>
      <c r="U387">
        <f>IF(G387=1,P387*Assumptions!$B$13,Assumptions!$B$30)</f>
        <v/>
      </c>
      <c r="V387">
        <f>IF(H387=1,P387*Assumptions!$B$12,Assumptions!$B$29)</f>
        <v/>
      </c>
      <c r="W387">
        <f>IF(I387=1,P387*Assumptions!$B$11,Assumptions!$B$28)</f>
        <v/>
      </c>
      <c r="X387">
        <f>P387*(Assumptions!$B$133+Assumptions!$B$137)</f>
        <v/>
      </c>
      <c r="Y387">
        <f>P387*Assumptions!$B$9</f>
        <v/>
      </c>
      <c r="Z387">
        <f>IF(M387=1,(P387-Assumptions!$B$37)*Assumptions!$B$153,0)</f>
        <v/>
      </c>
      <c r="AA387">
        <f>Q387+R387+S387+T387+U387+V387+W387+X387+Y387+Z387</f>
        <v/>
      </c>
      <c r="AB387" t="n">
        <v>80</v>
      </c>
      <c r="AC387" t="n">
        <v>16</v>
      </c>
      <c r="AD387" t="n">
        <v>112</v>
      </c>
      <c r="AE387" t="n">
        <v>64</v>
      </c>
      <c r="AF387" t="n">
        <v>88</v>
      </c>
      <c r="AG387" t="n">
        <v>84</v>
      </c>
      <c r="AH387" t="n">
        <v>82</v>
      </c>
      <c r="AI387" t="n">
        <v>81</v>
      </c>
      <c r="AJ387">
        <f>INDEX($Q$307:$Q$434,AC387+1)</f>
        <v/>
      </c>
      <c r="AK387">
        <f>INDEX($R$307:$R$434,AD387+1)</f>
        <v/>
      </c>
      <c r="AL387">
        <f>INDEX($S$307:$S$434,AE387+1)</f>
        <v/>
      </c>
      <c r="AM387">
        <f>INDEX($T$307:$T$434,AF387+1)</f>
        <v/>
      </c>
      <c r="AN387">
        <f>INDEX($U$307:$U$434,AG387+1)</f>
        <v/>
      </c>
      <c r="AO387">
        <f>INDEX($V$307:$V$434,AH387+1)</f>
        <v/>
      </c>
      <c r="AP387">
        <f>INDEX($W$307:$W$434,AI387+1)</f>
        <v/>
      </c>
      <c r="AQ387">
        <f>IF(Q387&gt;=AJ387-0.01,1,0)</f>
        <v/>
      </c>
      <c r="AR387">
        <f>IF(R387&gt;=AK387-0.01,1,0)</f>
        <v/>
      </c>
      <c r="AS387">
        <f>IF(S387&gt;=AL387-0.01,1,0)</f>
        <v/>
      </c>
      <c r="AT387">
        <f>IF(T387&gt;=AM387-0.01,1,0)</f>
        <v/>
      </c>
      <c r="AU387">
        <f>IF(U387&gt;=AN387-0.01,1,0)</f>
        <v/>
      </c>
      <c r="AV387">
        <f>IF(V387&gt;=AO387-0.01,1,0)</f>
        <v/>
      </c>
      <c r="AW387">
        <f>IF(W387&gt;=AP387-0.01,1,0)</f>
        <v/>
      </c>
      <c r="AX387">
        <f>AQ387*AR387*AS387*AT387*AU387*AV387*AW387</f>
        <v/>
      </c>
      <c r="AY387">
        <f>Assumptions!$B$41</f>
        <v/>
      </c>
      <c r="AZ387">
        <f>Assumptions!$B$33</f>
        <v/>
      </c>
      <c r="BA387">
        <f>Assumptions!$B$32</f>
        <v/>
      </c>
      <c r="BB387">
        <f>Assumptions!$B$31</f>
        <v/>
      </c>
      <c r="BC387">
        <f>Assumptions!$B$30</f>
        <v/>
      </c>
      <c r="BD387">
        <f>Assumptions!$B$29</f>
        <v/>
      </c>
      <c r="BE387">
        <f>Assumptions!$B$28</f>
        <v/>
      </c>
      <c r="BF387">
        <f>P387*Assumptions!$B$141</f>
        <v/>
      </c>
      <c r="BG387">
        <f>P387*Assumptions!$B$128</f>
        <v/>
      </c>
      <c r="BH387">
        <f>P387*Assumptions!$B$129</f>
        <v/>
      </c>
      <c r="BI387">
        <f>P387*Assumptions!$B$14</f>
        <v/>
      </c>
      <c r="BJ387">
        <f>P387*Assumptions!$B$13</f>
        <v/>
      </c>
      <c r="BK387">
        <f>P387*Assumptions!$B$12</f>
        <v/>
      </c>
      <c r="BL387">
        <f>P387*Assumptions!$B$11</f>
        <v/>
      </c>
    </row>
    <row r="388">
      <c r="A388" t="inlineStr">
        <is>
          <t>2000M</t>
        </is>
      </c>
      <c r="B388">
        <f>Assumptions!$B$60</f>
        <v/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>
        <f>(1-C388)*Assumptions!$B$41+(1-D388)*Assumptions!$B$33+(1-E388)*Assumptions!$B$32+(1-F388)*Assumptions!$B$31+(1-G388)*Assumptions!$B$30+(1-H388)*Assumptions!$B$29+(1-I388)*Assumptions!$B$28</f>
        <v/>
      </c>
      <c r="K388">
        <f>C388*Assumptions!$B$141+D388*Assumptions!$B$128+E388*Assumptions!$B$129+F388*Assumptions!$B$14+G388*Assumptions!$B$13+H388*Assumptions!$B$12+I388*Assumptions!$B$11+Assumptions!$B$133+Assumptions!$B$137+Assumptions!$B$9</f>
        <v/>
      </c>
      <c r="L388">
        <f>B388-J388</f>
        <v/>
      </c>
      <c r="M388">
        <f>IF(K388&gt;0,IF(L388/K388&gt;=Assumptions!$B$37,1,0),0)</f>
        <v/>
      </c>
      <c r="N388">
        <f>K388+M388*Assumptions!$B$153</f>
        <v/>
      </c>
      <c r="O388">
        <f>L388+M388*Assumptions!$B$153*Assumptions!$B$37</f>
        <v/>
      </c>
      <c r="P388">
        <f>IF(N388&gt;0,O388/N388,0)</f>
        <v/>
      </c>
      <c r="Q388">
        <f>IF(C388=1,P388*Assumptions!$B$141,Assumptions!$B$41)</f>
        <v/>
      </c>
      <c r="R388">
        <f>IF(D388=1,P388*Assumptions!$B$128,Assumptions!$B$33)</f>
        <v/>
      </c>
      <c r="S388">
        <f>IF(E388=1,P388*Assumptions!$B$129,Assumptions!$B$32)</f>
        <v/>
      </c>
      <c r="T388">
        <f>IF(F388=1,P388*Assumptions!$B$14,Assumptions!$B$31)</f>
        <v/>
      </c>
      <c r="U388">
        <f>IF(G388=1,P388*Assumptions!$B$13,Assumptions!$B$30)</f>
        <v/>
      </c>
      <c r="V388">
        <f>IF(H388=1,P388*Assumptions!$B$12,Assumptions!$B$29)</f>
        <v/>
      </c>
      <c r="W388">
        <f>IF(I388=1,P388*Assumptions!$B$11,Assumptions!$B$28)</f>
        <v/>
      </c>
      <c r="X388">
        <f>P388*(Assumptions!$B$133+Assumptions!$B$137)</f>
        <v/>
      </c>
      <c r="Y388">
        <f>P388*Assumptions!$B$9</f>
        <v/>
      </c>
      <c r="Z388">
        <f>IF(M388=1,(P388-Assumptions!$B$37)*Assumptions!$B$153,0)</f>
        <v/>
      </c>
      <c r="AA388">
        <f>Q388+R388+S388+T388+U388+V388+W388+X388+Y388+Z388</f>
        <v/>
      </c>
      <c r="AB388" t="n">
        <v>81</v>
      </c>
      <c r="AC388" t="n">
        <v>17</v>
      </c>
      <c r="AD388" t="n">
        <v>113</v>
      </c>
      <c r="AE388" t="n">
        <v>65</v>
      </c>
      <c r="AF388" t="n">
        <v>89</v>
      </c>
      <c r="AG388" t="n">
        <v>85</v>
      </c>
      <c r="AH388" t="n">
        <v>83</v>
      </c>
      <c r="AI388" t="n">
        <v>80</v>
      </c>
      <c r="AJ388">
        <f>INDEX($Q$307:$Q$434,AC388+1)</f>
        <v/>
      </c>
      <c r="AK388">
        <f>INDEX($R$307:$R$434,AD388+1)</f>
        <v/>
      </c>
      <c r="AL388">
        <f>INDEX($S$307:$S$434,AE388+1)</f>
        <v/>
      </c>
      <c r="AM388">
        <f>INDEX($T$307:$T$434,AF388+1)</f>
        <v/>
      </c>
      <c r="AN388">
        <f>INDEX($U$307:$U$434,AG388+1)</f>
        <v/>
      </c>
      <c r="AO388">
        <f>INDEX($V$307:$V$434,AH388+1)</f>
        <v/>
      </c>
      <c r="AP388">
        <f>INDEX($W$307:$W$434,AI388+1)</f>
        <v/>
      </c>
      <c r="AQ388">
        <f>IF(Q388&gt;=AJ388-0.01,1,0)</f>
        <v/>
      </c>
      <c r="AR388">
        <f>IF(R388&gt;=AK388-0.01,1,0)</f>
        <v/>
      </c>
      <c r="AS388">
        <f>IF(S388&gt;=AL388-0.01,1,0)</f>
        <v/>
      </c>
      <c r="AT388">
        <f>IF(T388&gt;=AM388-0.01,1,0)</f>
        <v/>
      </c>
      <c r="AU388">
        <f>IF(U388&gt;=AN388-0.01,1,0)</f>
        <v/>
      </c>
      <c r="AV388">
        <f>IF(V388&gt;=AO388-0.01,1,0)</f>
        <v/>
      </c>
      <c r="AW388">
        <f>IF(W388&gt;=AP388-0.01,1,0)</f>
        <v/>
      </c>
      <c r="AX388">
        <f>AQ388*AR388*AS388*AT388*AU388*AV388*AW388</f>
        <v/>
      </c>
      <c r="AY388">
        <f>Assumptions!$B$41</f>
        <v/>
      </c>
      <c r="AZ388">
        <f>Assumptions!$B$33</f>
        <v/>
      </c>
      <c r="BA388">
        <f>Assumptions!$B$32</f>
        <v/>
      </c>
      <c r="BB388">
        <f>Assumptions!$B$31</f>
        <v/>
      </c>
      <c r="BC388">
        <f>Assumptions!$B$30</f>
        <v/>
      </c>
      <c r="BD388">
        <f>Assumptions!$B$29</f>
        <v/>
      </c>
      <c r="BE388">
        <f>Assumptions!$B$28</f>
        <v/>
      </c>
      <c r="BF388">
        <f>P388*Assumptions!$B$141</f>
        <v/>
      </c>
      <c r="BG388">
        <f>P388*Assumptions!$B$128</f>
        <v/>
      </c>
      <c r="BH388">
        <f>P388*Assumptions!$B$129</f>
        <v/>
      </c>
      <c r="BI388">
        <f>P388*Assumptions!$B$14</f>
        <v/>
      </c>
      <c r="BJ388">
        <f>P388*Assumptions!$B$13</f>
        <v/>
      </c>
      <c r="BK388">
        <f>P388*Assumptions!$B$12</f>
        <v/>
      </c>
      <c r="BL388">
        <f>P388*Assumptions!$B$11</f>
        <v/>
      </c>
    </row>
    <row r="389">
      <c r="A389" t="inlineStr">
        <is>
          <t>2000M</t>
        </is>
      </c>
      <c r="B389">
        <f>Assumptions!$B$60</f>
        <v/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>
        <f>(1-C389)*Assumptions!$B$41+(1-D389)*Assumptions!$B$33+(1-E389)*Assumptions!$B$32+(1-F389)*Assumptions!$B$31+(1-G389)*Assumptions!$B$30+(1-H389)*Assumptions!$B$29+(1-I389)*Assumptions!$B$28</f>
        <v/>
      </c>
      <c r="K389">
        <f>C389*Assumptions!$B$141+D389*Assumptions!$B$128+E389*Assumptions!$B$129+F389*Assumptions!$B$14+G389*Assumptions!$B$13+H389*Assumptions!$B$12+I389*Assumptions!$B$11+Assumptions!$B$133+Assumptions!$B$137+Assumptions!$B$9</f>
        <v/>
      </c>
      <c r="L389">
        <f>B389-J389</f>
        <v/>
      </c>
      <c r="M389">
        <f>IF(K389&gt;0,IF(L389/K389&gt;=Assumptions!$B$37,1,0),0)</f>
        <v/>
      </c>
      <c r="N389">
        <f>K389+M389*Assumptions!$B$153</f>
        <v/>
      </c>
      <c r="O389">
        <f>L389+M389*Assumptions!$B$153*Assumptions!$B$37</f>
        <v/>
      </c>
      <c r="P389">
        <f>IF(N389&gt;0,O389/N389,0)</f>
        <v/>
      </c>
      <c r="Q389">
        <f>IF(C389=1,P389*Assumptions!$B$141,Assumptions!$B$41)</f>
        <v/>
      </c>
      <c r="R389">
        <f>IF(D389=1,P389*Assumptions!$B$128,Assumptions!$B$33)</f>
        <v/>
      </c>
      <c r="S389">
        <f>IF(E389=1,P389*Assumptions!$B$129,Assumptions!$B$32)</f>
        <v/>
      </c>
      <c r="T389">
        <f>IF(F389=1,P389*Assumptions!$B$14,Assumptions!$B$31)</f>
        <v/>
      </c>
      <c r="U389">
        <f>IF(G389=1,P389*Assumptions!$B$13,Assumptions!$B$30)</f>
        <v/>
      </c>
      <c r="V389">
        <f>IF(H389=1,P389*Assumptions!$B$12,Assumptions!$B$29)</f>
        <v/>
      </c>
      <c r="W389">
        <f>IF(I389=1,P389*Assumptions!$B$11,Assumptions!$B$28)</f>
        <v/>
      </c>
      <c r="X389">
        <f>P389*(Assumptions!$B$133+Assumptions!$B$137)</f>
        <v/>
      </c>
      <c r="Y389">
        <f>P389*Assumptions!$B$9</f>
        <v/>
      </c>
      <c r="Z389">
        <f>IF(M389=1,(P389-Assumptions!$B$37)*Assumptions!$B$153,0)</f>
        <v/>
      </c>
      <c r="AA389">
        <f>Q389+R389+S389+T389+U389+V389+W389+X389+Y389+Z389</f>
        <v/>
      </c>
      <c r="AB389" t="n">
        <v>82</v>
      </c>
      <c r="AC389" t="n">
        <v>18</v>
      </c>
      <c r="AD389" t="n">
        <v>114</v>
      </c>
      <c r="AE389" t="n">
        <v>66</v>
      </c>
      <c r="AF389" t="n">
        <v>90</v>
      </c>
      <c r="AG389" t="n">
        <v>86</v>
      </c>
      <c r="AH389" t="n">
        <v>80</v>
      </c>
      <c r="AI389" t="n">
        <v>83</v>
      </c>
      <c r="AJ389">
        <f>INDEX($Q$307:$Q$434,AC389+1)</f>
        <v/>
      </c>
      <c r="AK389">
        <f>INDEX($R$307:$R$434,AD389+1)</f>
        <v/>
      </c>
      <c r="AL389">
        <f>INDEX($S$307:$S$434,AE389+1)</f>
        <v/>
      </c>
      <c r="AM389">
        <f>INDEX($T$307:$T$434,AF389+1)</f>
        <v/>
      </c>
      <c r="AN389">
        <f>INDEX($U$307:$U$434,AG389+1)</f>
        <v/>
      </c>
      <c r="AO389">
        <f>INDEX($V$307:$V$434,AH389+1)</f>
        <v/>
      </c>
      <c r="AP389">
        <f>INDEX($W$307:$W$434,AI389+1)</f>
        <v/>
      </c>
      <c r="AQ389">
        <f>IF(Q389&gt;=AJ389-0.01,1,0)</f>
        <v/>
      </c>
      <c r="AR389">
        <f>IF(R389&gt;=AK389-0.01,1,0)</f>
        <v/>
      </c>
      <c r="AS389">
        <f>IF(S389&gt;=AL389-0.01,1,0)</f>
        <v/>
      </c>
      <c r="AT389">
        <f>IF(T389&gt;=AM389-0.01,1,0)</f>
        <v/>
      </c>
      <c r="AU389">
        <f>IF(U389&gt;=AN389-0.01,1,0)</f>
        <v/>
      </c>
      <c r="AV389">
        <f>IF(V389&gt;=AO389-0.01,1,0)</f>
        <v/>
      </c>
      <c r="AW389">
        <f>IF(W389&gt;=AP389-0.01,1,0)</f>
        <v/>
      </c>
      <c r="AX389">
        <f>AQ389*AR389*AS389*AT389*AU389*AV389*AW389</f>
        <v/>
      </c>
      <c r="AY389">
        <f>Assumptions!$B$41</f>
        <v/>
      </c>
      <c r="AZ389">
        <f>Assumptions!$B$33</f>
        <v/>
      </c>
      <c r="BA389">
        <f>Assumptions!$B$32</f>
        <v/>
      </c>
      <c r="BB389">
        <f>Assumptions!$B$31</f>
        <v/>
      </c>
      <c r="BC389">
        <f>Assumptions!$B$30</f>
        <v/>
      </c>
      <c r="BD389">
        <f>Assumptions!$B$29</f>
        <v/>
      </c>
      <c r="BE389">
        <f>Assumptions!$B$28</f>
        <v/>
      </c>
      <c r="BF389">
        <f>P389*Assumptions!$B$141</f>
        <v/>
      </c>
      <c r="BG389">
        <f>P389*Assumptions!$B$128</f>
        <v/>
      </c>
      <c r="BH389">
        <f>P389*Assumptions!$B$129</f>
        <v/>
      </c>
      <c r="BI389">
        <f>P389*Assumptions!$B$14</f>
        <v/>
      </c>
      <c r="BJ389">
        <f>P389*Assumptions!$B$13</f>
        <v/>
      </c>
      <c r="BK389">
        <f>P389*Assumptions!$B$12</f>
        <v/>
      </c>
      <c r="BL389">
        <f>P389*Assumptions!$B$11</f>
        <v/>
      </c>
    </row>
    <row r="390">
      <c r="A390" t="inlineStr">
        <is>
          <t>2000M</t>
        </is>
      </c>
      <c r="B390">
        <f>Assumptions!$B$60</f>
        <v/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1</v>
      </c>
      <c r="J390">
        <f>(1-C390)*Assumptions!$B$41+(1-D390)*Assumptions!$B$33+(1-E390)*Assumptions!$B$32+(1-F390)*Assumptions!$B$31+(1-G390)*Assumptions!$B$30+(1-H390)*Assumptions!$B$29+(1-I390)*Assumptions!$B$28</f>
        <v/>
      </c>
      <c r="K390">
        <f>C390*Assumptions!$B$141+D390*Assumptions!$B$128+E390*Assumptions!$B$129+F390*Assumptions!$B$14+G390*Assumptions!$B$13+H390*Assumptions!$B$12+I390*Assumptions!$B$11+Assumptions!$B$133+Assumptions!$B$137+Assumptions!$B$9</f>
        <v/>
      </c>
      <c r="L390">
        <f>B390-J390</f>
        <v/>
      </c>
      <c r="M390">
        <f>IF(K390&gt;0,IF(L390/K390&gt;=Assumptions!$B$37,1,0),0)</f>
        <v/>
      </c>
      <c r="N390">
        <f>K390+M390*Assumptions!$B$153</f>
        <v/>
      </c>
      <c r="O390">
        <f>L390+M390*Assumptions!$B$153*Assumptions!$B$37</f>
        <v/>
      </c>
      <c r="P390">
        <f>IF(N390&gt;0,O390/N390,0)</f>
        <v/>
      </c>
      <c r="Q390">
        <f>IF(C390=1,P390*Assumptions!$B$141,Assumptions!$B$41)</f>
        <v/>
      </c>
      <c r="R390">
        <f>IF(D390=1,P390*Assumptions!$B$128,Assumptions!$B$33)</f>
        <v/>
      </c>
      <c r="S390">
        <f>IF(E390=1,P390*Assumptions!$B$129,Assumptions!$B$32)</f>
        <v/>
      </c>
      <c r="T390">
        <f>IF(F390=1,P390*Assumptions!$B$14,Assumptions!$B$31)</f>
        <v/>
      </c>
      <c r="U390">
        <f>IF(G390=1,P390*Assumptions!$B$13,Assumptions!$B$30)</f>
        <v/>
      </c>
      <c r="V390">
        <f>IF(H390=1,P390*Assumptions!$B$12,Assumptions!$B$29)</f>
        <v/>
      </c>
      <c r="W390">
        <f>IF(I390=1,P390*Assumptions!$B$11,Assumptions!$B$28)</f>
        <v/>
      </c>
      <c r="X390">
        <f>P390*(Assumptions!$B$133+Assumptions!$B$137)</f>
        <v/>
      </c>
      <c r="Y390">
        <f>P390*Assumptions!$B$9</f>
        <v/>
      </c>
      <c r="Z390">
        <f>IF(M390=1,(P390-Assumptions!$B$37)*Assumptions!$B$153,0)</f>
        <v/>
      </c>
      <c r="AA390">
        <f>Q390+R390+S390+T390+U390+V390+W390+X390+Y390+Z390</f>
        <v/>
      </c>
      <c r="AB390" t="n">
        <v>83</v>
      </c>
      <c r="AC390" t="n">
        <v>19</v>
      </c>
      <c r="AD390" t="n">
        <v>115</v>
      </c>
      <c r="AE390" t="n">
        <v>67</v>
      </c>
      <c r="AF390" t="n">
        <v>91</v>
      </c>
      <c r="AG390" t="n">
        <v>87</v>
      </c>
      <c r="AH390" t="n">
        <v>81</v>
      </c>
      <c r="AI390" t="n">
        <v>82</v>
      </c>
      <c r="AJ390">
        <f>INDEX($Q$307:$Q$434,AC390+1)</f>
        <v/>
      </c>
      <c r="AK390">
        <f>INDEX($R$307:$R$434,AD390+1)</f>
        <v/>
      </c>
      <c r="AL390">
        <f>INDEX($S$307:$S$434,AE390+1)</f>
        <v/>
      </c>
      <c r="AM390">
        <f>INDEX($T$307:$T$434,AF390+1)</f>
        <v/>
      </c>
      <c r="AN390">
        <f>INDEX($U$307:$U$434,AG390+1)</f>
        <v/>
      </c>
      <c r="AO390">
        <f>INDEX($V$307:$V$434,AH390+1)</f>
        <v/>
      </c>
      <c r="AP390">
        <f>INDEX($W$307:$W$434,AI390+1)</f>
        <v/>
      </c>
      <c r="AQ390">
        <f>IF(Q390&gt;=AJ390-0.01,1,0)</f>
        <v/>
      </c>
      <c r="AR390">
        <f>IF(R390&gt;=AK390-0.01,1,0)</f>
        <v/>
      </c>
      <c r="AS390">
        <f>IF(S390&gt;=AL390-0.01,1,0)</f>
        <v/>
      </c>
      <c r="AT390">
        <f>IF(T390&gt;=AM390-0.01,1,0)</f>
        <v/>
      </c>
      <c r="AU390">
        <f>IF(U390&gt;=AN390-0.01,1,0)</f>
        <v/>
      </c>
      <c r="AV390">
        <f>IF(V390&gt;=AO390-0.01,1,0)</f>
        <v/>
      </c>
      <c r="AW390">
        <f>IF(W390&gt;=AP390-0.01,1,0)</f>
        <v/>
      </c>
      <c r="AX390">
        <f>AQ390*AR390*AS390*AT390*AU390*AV390*AW390</f>
        <v/>
      </c>
      <c r="AY390">
        <f>Assumptions!$B$41</f>
        <v/>
      </c>
      <c r="AZ390">
        <f>Assumptions!$B$33</f>
        <v/>
      </c>
      <c r="BA390">
        <f>Assumptions!$B$32</f>
        <v/>
      </c>
      <c r="BB390">
        <f>Assumptions!$B$31</f>
        <v/>
      </c>
      <c r="BC390">
        <f>Assumptions!$B$30</f>
        <v/>
      </c>
      <c r="BD390">
        <f>Assumptions!$B$29</f>
        <v/>
      </c>
      <c r="BE390">
        <f>Assumptions!$B$28</f>
        <v/>
      </c>
      <c r="BF390">
        <f>P390*Assumptions!$B$141</f>
        <v/>
      </c>
      <c r="BG390">
        <f>P390*Assumptions!$B$128</f>
        <v/>
      </c>
      <c r="BH390">
        <f>P390*Assumptions!$B$129</f>
        <v/>
      </c>
      <c r="BI390">
        <f>P390*Assumptions!$B$14</f>
        <v/>
      </c>
      <c r="BJ390">
        <f>P390*Assumptions!$B$13</f>
        <v/>
      </c>
      <c r="BK390">
        <f>P390*Assumptions!$B$12</f>
        <v/>
      </c>
      <c r="BL390">
        <f>P390*Assumptions!$B$11</f>
        <v/>
      </c>
    </row>
    <row r="391">
      <c r="A391" t="inlineStr">
        <is>
          <t>2000M</t>
        </is>
      </c>
      <c r="B391">
        <f>Assumptions!$B$60</f>
        <v/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>
        <f>(1-C391)*Assumptions!$B$41+(1-D391)*Assumptions!$B$33+(1-E391)*Assumptions!$B$32+(1-F391)*Assumptions!$B$31+(1-G391)*Assumptions!$B$30+(1-H391)*Assumptions!$B$29+(1-I391)*Assumptions!$B$28</f>
        <v/>
      </c>
      <c r="K391">
        <f>C391*Assumptions!$B$141+D391*Assumptions!$B$128+E391*Assumptions!$B$129+F391*Assumptions!$B$14+G391*Assumptions!$B$13+H391*Assumptions!$B$12+I391*Assumptions!$B$11+Assumptions!$B$133+Assumptions!$B$137+Assumptions!$B$9</f>
        <v/>
      </c>
      <c r="L391">
        <f>B391-J391</f>
        <v/>
      </c>
      <c r="M391">
        <f>IF(K391&gt;0,IF(L391/K391&gt;=Assumptions!$B$37,1,0),0)</f>
        <v/>
      </c>
      <c r="N391">
        <f>K391+M391*Assumptions!$B$153</f>
        <v/>
      </c>
      <c r="O391">
        <f>L391+M391*Assumptions!$B$153*Assumptions!$B$37</f>
        <v/>
      </c>
      <c r="P391">
        <f>IF(N391&gt;0,O391/N391,0)</f>
        <v/>
      </c>
      <c r="Q391">
        <f>IF(C391=1,P391*Assumptions!$B$141,Assumptions!$B$41)</f>
        <v/>
      </c>
      <c r="R391">
        <f>IF(D391=1,P391*Assumptions!$B$128,Assumptions!$B$33)</f>
        <v/>
      </c>
      <c r="S391">
        <f>IF(E391=1,P391*Assumptions!$B$129,Assumptions!$B$32)</f>
        <v/>
      </c>
      <c r="T391">
        <f>IF(F391=1,P391*Assumptions!$B$14,Assumptions!$B$31)</f>
        <v/>
      </c>
      <c r="U391">
        <f>IF(G391=1,P391*Assumptions!$B$13,Assumptions!$B$30)</f>
        <v/>
      </c>
      <c r="V391">
        <f>IF(H391=1,P391*Assumptions!$B$12,Assumptions!$B$29)</f>
        <v/>
      </c>
      <c r="W391">
        <f>IF(I391=1,P391*Assumptions!$B$11,Assumptions!$B$28)</f>
        <v/>
      </c>
      <c r="X391">
        <f>P391*(Assumptions!$B$133+Assumptions!$B$137)</f>
        <v/>
      </c>
      <c r="Y391">
        <f>P391*Assumptions!$B$9</f>
        <v/>
      </c>
      <c r="Z391">
        <f>IF(M391=1,(P391-Assumptions!$B$37)*Assumptions!$B$153,0)</f>
        <v/>
      </c>
      <c r="AA391">
        <f>Q391+R391+S391+T391+U391+V391+W391+X391+Y391+Z391</f>
        <v/>
      </c>
      <c r="AB391" t="n">
        <v>84</v>
      </c>
      <c r="AC391" t="n">
        <v>20</v>
      </c>
      <c r="AD391" t="n">
        <v>116</v>
      </c>
      <c r="AE391" t="n">
        <v>68</v>
      </c>
      <c r="AF391" t="n">
        <v>92</v>
      </c>
      <c r="AG391" t="n">
        <v>80</v>
      </c>
      <c r="AH391" t="n">
        <v>86</v>
      </c>
      <c r="AI391" t="n">
        <v>85</v>
      </c>
      <c r="AJ391">
        <f>INDEX($Q$307:$Q$434,AC391+1)</f>
        <v/>
      </c>
      <c r="AK391">
        <f>INDEX($R$307:$R$434,AD391+1)</f>
        <v/>
      </c>
      <c r="AL391">
        <f>INDEX($S$307:$S$434,AE391+1)</f>
        <v/>
      </c>
      <c r="AM391">
        <f>INDEX($T$307:$T$434,AF391+1)</f>
        <v/>
      </c>
      <c r="AN391">
        <f>INDEX($U$307:$U$434,AG391+1)</f>
        <v/>
      </c>
      <c r="AO391">
        <f>INDEX($V$307:$V$434,AH391+1)</f>
        <v/>
      </c>
      <c r="AP391">
        <f>INDEX($W$307:$W$434,AI391+1)</f>
        <v/>
      </c>
      <c r="AQ391">
        <f>IF(Q391&gt;=AJ391-0.01,1,0)</f>
        <v/>
      </c>
      <c r="AR391">
        <f>IF(R391&gt;=AK391-0.01,1,0)</f>
        <v/>
      </c>
      <c r="AS391">
        <f>IF(S391&gt;=AL391-0.01,1,0)</f>
        <v/>
      </c>
      <c r="AT391">
        <f>IF(T391&gt;=AM391-0.01,1,0)</f>
        <v/>
      </c>
      <c r="AU391">
        <f>IF(U391&gt;=AN391-0.01,1,0)</f>
        <v/>
      </c>
      <c r="AV391">
        <f>IF(V391&gt;=AO391-0.01,1,0)</f>
        <v/>
      </c>
      <c r="AW391">
        <f>IF(W391&gt;=AP391-0.01,1,0)</f>
        <v/>
      </c>
      <c r="AX391">
        <f>AQ391*AR391*AS391*AT391*AU391*AV391*AW391</f>
        <v/>
      </c>
      <c r="AY391">
        <f>Assumptions!$B$41</f>
        <v/>
      </c>
      <c r="AZ391">
        <f>Assumptions!$B$33</f>
        <v/>
      </c>
      <c r="BA391">
        <f>Assumptions!$B$32</f>
        <v/>
      </c>
      <c r="BB391">
        <f>Assumptions!$B$31</f>
        <v/>
      </c>
      <c r="BC391">
        <f>Assumptions!$B$30</f>
        <v/>
      </c>
      <c r="BD391">
        <f>Assumptions!$B$29</f>
        <v/>
      </c>
      <c r="BE391">
        <f>Assumptions!$B$28</f>
        <v/>
      </c>
      <c r="BF391">
        <f>P391*Assumptions!$B$141</f>
        <v/>
      </c>
      <c r="BG391">
        <f>P391*Assumptions!$B$128</f>
        <v/>
      </c>
      <c r="BH391">
        <f>P391*Assumptions!$B$129</f>
        <v/>
      </c>
      <c r="BI391">
        <f>P391*Assumptions!$B$14</f>
        <v/>
      </c>
      <c r="BJ391">
        <f>P391*Assumptions!$B$13</f>
        <v/>
      </c>
      <c r="BK391">
        <f>P391*Assumptions!$B$12</f>
        <v/>
      </c>
      <c r="BL391">
        <f>P391*Assumptions!$B$11</f>
        <v/>
      </c>
    </row>
    <row r="392">
      <c r="A392" t="inlineStr">
        <is>
          <t>2000M</t>
        </is>
      </c>
      <c r="B392">
        <f>Assumptions!$B$60</f>
        <v/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>
        <f>(1-C392)*Assumptions!$B$41+(1-D392)*Assumptions!$B$33+(1-E392)*Assumptions!$B$32+(1-F392)*Assumptions!$B$31+(1-G392)*Assumptions!$B$30+(1-H392)*Assumptions!$B$29+(1-I392)*Assumptions!$B$28</f>
        <v/>
      </c>
      <c r="K392">
        <f>C392*Assumptions!$B$141+D392*Assumptions!$B$128+E392*Assumptions!$B$129+F392*Assumptions!$B$14+G392*Assumptions!$B$13+H392*Assumptions!$B$12+I392*Assumptions!$B$11+Assumptions!$B$133+Assumptions!$B$137+Assumptions!$B$9</f>
        <v/>
      </c>
      <c r="L392">
        <f>B392-J392</f>
        <v/>
      </c>
      <c r="M392">
        <f>IF(K392&gt;0,IF(L392/K392&gt;=Assumptions!$B$37,1,0),0)</f>
        <v/>
      </c>
      <c r="N392">
        <f>K392+M392*Assumptions!$B$153</f>
        <v/>
      </c>
      <c r="O392">
        <f>L392+M392*Assumptions!$B$153*Assumptions!$B$37</f>
        <v/>
      </c>
      <c r="P392">
        <f>IF(N392&gt;0,O392/N392,0)</f>
        <v/>
      </c>
      <c r="Q392">
        <f>IF(C392=1,P392*Assumptions!$B$141,Assumptions!$B$41)</f>
        <v/>
      </c>
      <c r="R392">
        <f>IF(D392=1,P392*Assumptions!$B$128,Assumptions!$B$33)</f>
        <v/>
      </c>
      <c r="S392">
        <f>IF(E392=1,P392*Assumptions!$B$129,Assumptions!$B$32)</f>
        <v/>
      </c>
      <c r="T392">
        <f>IF(F392=1,P392*Assumptions!$B$14,Assumptions!$B$31)</f>
        <v/>
      </c>
      <c r="U392">
        <f>IF(G392=1,P392*Assumptions!$B$13,Assumptions!$B$30)</f>
        <v/>
      </c>
      <c r="V392">
        <f>IF(H392=1,P392*Assumptions!$B$12,Assumptions!$B$29)</f>
        <v/>
      </c>
      <c r="W392">
        <f>IF(I392=1,P392*Assumptions!$B$11,Assumptions!$B$28)</f>
        <v/>
      </c>
      <c r="X392">
        <f>P392*(Assumptions!$B$133+Assumptions!$B$137)</f>
        <v/>
      </c>
      <c r="Y392">
        <f>P392*Assumptions!$B$9</f>
        <v/>
      </c>
      <c r="Z392">
        <f>IF(M392=1,(P392-Assumptions!$B$37)*Assumptions!$B$153,0)</f>
        <v/>
      </c>
      <c r="AA392">
        <f>Q392+R392+S392+T392+U392+V392+W392+X392+Y392+Z392</f>
        <v/>
      </c>
      <c r="AB392" t="n">
        <v>85</v>
      </c>
      <c r="AC392" t="n">
        <v>21</v>
      </c>
      <c r="AD392" t="n">
        <v>117</v>
      </c>
      <c r="AE392" t="n">
        <v>69</v>
      </c>
      <c r="AF392" t="n">
        <v>93</v>
      </c>
      <c r="AG392" t="n">
        <v>81</v>
      </c>
      <c r="AH392" t="n">
        <v>87</v>
      </c>
      <c r="AI392" t="n">
        <v>84</v>
      </c>
      <c r="AJ392">
        <f>INDEX($Q$307:$Q$434,AC392+1)</f>
        <v/>
      </c>
      <c r="AK392">
        <f>INDEX($R$307:$R$434,AD392+1)</f>
        <v/>
      </c>
      <c r="AL392">
        <f>INDEX($S$307:$S$434,AE392+1)</f>
        <v/>
      </c>
      <c r="AM392">
        <f>INDEX($T$307:$T$434,AF392+1)</f>
        <v/>
      </c>
      <c r="AN392">
        <f>INDEX($U$307:$U$434,AG392+1)</f>
        <v/>
      </c>
      <c r="AO392">
        <f>INDEX($V$307:$V$434,AH392+1)</f>
        <v/>
      </c>
      <c r="AP392">
        <f>INDEX($W$307:$W$434,AI392+1)</f>
        <v/>
      </c>
      <c r="AQ392">
        <f>IF(Q392&gt;=AJ392-0.01,1,0)</f>
        <v/>
      </c>
      <c r="AR392">
        <f>IF(R392&gt;=AK392-0.01,1,0)</f>
        <v/>
      </c>
      <c r="AS392">
        <f>IF(S392&gt;=AL392-0.01,1,0)</f>
        <v/>
      </c>
      <c r="AT392">
        <f>IF(T392&gt;=AM392-0.01,1,0)</f>
        <v/>
      </c>
      <c r="AU392">
        <f>IF(U392&gt;=AN392-0.01,1,0)</f>
        <v/>
      </c>
      <c r="AV392">
        <f>IF(V392&gt;=AO392-0.01,1,0)</f>
        <v/>
      </c>
      <c r="AW392">
        <f>IF(W392&gt;=AP392-0.01,1,0)</f>
        <v/>
      </c>
      <c r="AX392">
        <f>AQ392*AR392*AS392*AT392*AU392*AV392*AW392</f>
        <v/>
      </c>
      <c r="AY392">
        <f>Assumptions!$B$41</f>
        <v/>
      </c>
      <c r="AZ392">
        <f>Assumptions!$B$33</f>
        <v/>
      </c>
      <c r="BA392">
        <f>Assumptions!$B$32</f>
        <v/>
      </c>
      <c r="BB392">
        <f>Assumptions!$B$31</f>
        <v/>
      </c>
      <c r="BC392">
        <f>Assumptions!$B$30</f>
        <v/>
      </c>
      <c r="BD392">
        <f>Assumptions!$B$29</f>
        <v/>
      </c>
      <c r="BE392">
        <f>Assumptions!$B$28</f>
        <v/>
      </c>
      <c r="BF392">
        <f>P392*Assumptions!$B$141</f>
        <v/>
      </c>
      <c r="BG392">
        <f>P392*Assumptions!$B$128</f>
        <v/>
      </c>
      <c r="BH392">
        <f>P392*Assumptions!$B$129</f>
        <v/>
      </c>
      <c r="BI392">
        <f>P392*Assumptions!$B$14</f>
        <v/>
      </c>
      <c r="BJ392">
        <f>P392*Assumptions!$B$13</f>
        <v/>
      </c>
      <c r="BK392">
        <f>P392*Assumptions!$B$12</f>
        <v/>
      </c>
      <c r="BL392">
        <f>P392*Assumptions!$B$11</f>
        <v/>
      </c>
    </row>
    <row r="393">
      <c r="A393" t="inlineStr">
        <is>
          <t>2000M</t>
        </is>
      </c>
      <c r="B393">
        <f>Assumptions!$B$60</f>
        <v/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>
        <f>(1-C393)*Assumptions!$B$41+(1-D393)*Assumptions!$B$33+(1-E393)*Assumptions!$B$32+(1-F393)*Assumptions!$B$31+(1-G393)*Assumptions!$B$30+(1-H393)*Assumptions!$B$29+(1-I393)*Assumptions!$B$28</f>
        <v/>
      </c>
      <c r="K393">
        <f>C393*Assumptions!$B$141+D393*Assumptions!$B$128+E393*Assumptions!$B$129+F393*Assumptions!$B$14+G393*Assumptions!$B$13+H393*Assumptions!$B$12+I393*Assumptions!$B$11+Assumptions!$B$133+Assumptions!$B$137+Assumptions!$B$9</f>
        <v/>
      </c>
      <c r="L393">
        <f>B393-J393</f>
        <v/>
      </c>
      <c r="M393">
        <f>IF(K393&gt;0,IF(L393/K393&gt;=Assumptions!$B$37,1,0),0)</f>
        <v/>
      </c>
      <c r="N393">
        <f>K393+M393*Assumptions!$B$153</f>
        <v/>
      </c>
      <c r="O393">
        <f>L393+M393*Assumptions!$B$153*Assumptions!$B$37</f>
        <v/>
      </c>
      <c r="P393">
        <f>IF(N393&gt;0,O393/N393,0)</f>
        <v/>
      </c>
      <c r="Q393">
        <f>IF(C393=1,P393*Assumptions!$B$141,Assumptions!$B$41)</f>
        <v/>
      </c>
      <c r="R393">
        <f>IF(D393=1,P393*Assumptions!$B$128,Assumptions!$B$33)</f>
        <v/>
      </c>
      <c r="S393">
        <f>IF(E393=1,P393*Assumptions!$B$129,Assumptions!$B$32)</f>
        <v/>
      </c>
      <c r="T393">
        <f>IF(F393=1,P393*Assumptions!$B$14,Assumptions!$B$31)</f>
        <v/>
      </c>
      <c r="U393">
        <f>IF(G393=1,P393*Assumptions!$B$13,Assumptions!$B$30)</f>
        <v/>
      </c>
      <c r="V393">
        <f>IF(H393=1,P393*Assumptions!$B$12,Assumptions!$B$29)</f>
        <v/>
      </c>
      <c r="W393">
        <f>IF(I393=1,P393*Assumptions!$B$11,Assumptions!$B$28)</f>
        <v/>
      </c>
      <c r="X393">
        <f>P393*(Assumptions!$B$133+Assumptions!$B$137)</f>
        <v/>
      </c>
      <c r="Y393">
        <f>P393*Assumptions!$B$9</f>
        <v/>
      </c>
      <c r="Z393">
        <f>IF(M393=1,(P393-Assumptions!$B$37)*Assumptions!$B$153,0)</f>
        <v/>
      </c>
      <c r="AA393">
        <f>Q393+R393+S393+T393+U393+V393+W393+X393+Y393+Z393</f>
        <v/>
      </c>
      <c r="AB393" t="n">
        <v>86</v>
      </c>
      <c r="AC393" t="n">
        <v>22</v>
      </c>
      <c r="AD393" t="n">
        <v>118</v>
      </c>
      <c r="AE393" t="n">
        <v>70</v>
      </c>
      <c r="AF393" t="n">
        <v>94</v>
      </c>
      <c r="AG393" t="n">
        <v>82</v>
      </c>
      <c r="AH393" t="n">
        <v>84</v>
      </c>
      <c r="AI393" t="n">
        <v>87</v>
      </c>
      <c r="AJ393">
        <f>INDEX($Q$307:$Q$434,AC393+1)</f>
        <v/>
      </c>
      <c r="AK393">
        <f>INDEX($R$307:$R$434,AD393+1)</f>
        <v/>
      </c>
      <c r="AL393">
        <f>INDEX($S$307:$S$434,AE393+1)</f>
        <v/>
      </c>
      <c r="AM393">
        <f>INDEX($T$307:$T$434,AF393+1)</f>
        <v/>
      </c>
      <c r="AN393">
        <f>INDEX($U$307:$U$434,AG393+1)</f>
        <v/>
      </c>
      <c r="AO393">
        <f>INDEX($V$307:$V$434,AH393+1)</f>
        <v/>
      </c>
      <c r="AP393">
        <f>INDEX($W$307:$W$434,AI393+1)</f>
        <v/>
      </c>
      <c r="AQ393">
        <f>IF(Q393&gt;=AJ393-0.01,1,0)</f>
        <v/>
      </c>
      <c r="AR393">
        <f>IF(R393&gt;=AK393-0.01,1,0)</f>
        <v/>
      </c>
      <c r="AS393">
        <f>IF(S393&gt;=AL393-0.01,1,0)</f>
        <v/>
      </c>
      <c r="AT393">
        <f>IF(T393&gt;=AM393-0.01,1,0)</f>
        <v/>
      </c>
      <c r="AU393">
        <f>IF(U393&gt;=AN393-0.01,1,0)</f>
        <v/>
      </c>
      <c r="AV393">
        <f>IF(V393&gt;=AO393-0.01,1,0)</f>
        <v/>
      </c>
      <c r="AW393">
        <f>IF(W393&gt;=AP393-0.01,1,0)</f>
        <v/>
      </c>
      <c r="AX393">
        <f>AQ393*AR393*AS393*AT393*AU393*AV393*AW393</f>
        <v/>
      </c>
      <c r="AY393">
        <f>Assumptions!$B$41</f>
        <v/>
      </c>
      <c r="AZ393">
        <f>Assumptions!$B$33</f>
        <v/>
      </c>
      <c r="BA393">
        <f>Assumptions!$B$32</f>
        <v/>
      </c>
      <c r="BB393">
        <f>Assumptions!$B$31</f>
        <v/>
      </c>
      <c r="BC393">
        <f>Assumptions!$B$30</f>
        <v/>
      </c>
      <c r="BD393">
        <f>Assumptions!$B$29</f>
        <v/>
      </c>
      <c r="BE393">
        <f>Assumptions!$B$28</f>
        <v/>
      </c>
      <c r="BF393">
        <f>P393*Assumptions!$B$141</f>
        <v/>
      </c>
      <c r="BG393">
        <f>P393*Assumptions!$B$128</f>
        <v/>
      </c>
      <c r="BH393">
        <f>P393*Assumptions!$B$129</f>
        <v/>
      </c>
      <c r="BI393">
        <f>P393*Assumptions!$B$14</f>
        <v/>
      </c>
      <c r="BJ393">
        <f>P393*Assumptions!$B$13</f>
        <v/>
      </c>
      <c r="BK393">
        <f>P393*Assumptions!$B$12</f>
        <v/>
      </c>
      <c r="BL393">
        <f>P393*Assumptions!$B$11</f>
        <v/>
      </c>
    </row>
    <row r="394">
      <c r="A394" t="inlineStr">
        <is>
          <t>2000M</t>
        </is>
      </c>
      <c r="B394">
        <f>Assumptions!$B$60</f>
        <v/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>
        <f>(1-C394)*Assumptions!$B$41+(1-D394)*Assumptions!$B$33+(1-E394)*Assumptions!$B$32+(1-F394)*Assumptions!$B$31+(1-G394)*Assumptions!$B$30+(1-H394)*Assumptions!$B$29+(1-I394)*Assumptions!$B$28</f>
        <v/>
      </c>
      <c r="K394">
        <f>C394*Assumptions!$B$141+D394*Assumptions!$B$128+E394*Assumptions!$B$129+F394*Assumptions!$B$14+G394*Assumptions!$B$13+H394*Assumptions!$B$12+I394*Assumptions!$B$11+Assumptions!$B$133+Assumptions!$B$137+Assumptions!$B$9</f>
        <v/>
      </c>
      <c r="L394">
        <f>B394-J394</f>
        <v/>
      </c>
      <c r="M394">
        <f>IF(K394&gt;0,IF(L394/K394&gt;=Assumptions!$B$37,1,0),0)</f>
        <v/>
      </c>
      <c r="N394">
        <f>K394+M394*Assumptions!$B$153</f>
        <v/>
      </c>
      <c r="O394">
        <f>L394+M394*Assumptions!$B$153*Assumptions!$B$37</f>
        <v/>
      </c>
      <c r="P394">
        <f>IF(N394&gt;0,O394/N394,0)</f>
        <v/>
      </c>
      <c r="Q394">
        <f>IF(C394=1,P394*Assumptions!$B$141,Assumptions!$B$41)</f>
        <v/>
      </c>
      <c r="R394">
        <f>IF(D394=1,P394*Assumptions!$B$128,Assumptions!$B$33)</f>
        <v/>
      </c>
      <c r="S394">
        <f>IF(E394=1,P394*Assumptions!$B$129,Assumptions!$B$32)</f>
        <v/>
      </c>
      <c r="T394">
        <f>IF(F394=1,P394*Assumptions!$B$14,Assumptions!$B$31)</f>
        <v/>
      </c>
      <c r="U394">
        <f>IF(G394=1,P394*Assumptions!$B$13,Assumptions!$B$30)</f>
        <v/>
      </c>
      <c r="V394">
        <f>IF(H394=1,P394*Assumptions!$B$12,Assumptions!$B$29)</f>
        <v/>
      </c>
      <c r="W394">
        <f>IF(I394=1,P394*Assumptions!$B$11,Assumptions!$B$28)</f>
        <v/>
      </c>
      <c r="X394">
        <f>P394*(Assumptions!$B$133+Assumptions!$B$137)</f>
        <v/>
      </c>
      <c r="Y394">
        <f>P394*Assumptions!$B$9</f>
        <v/>
      </c>
      <c r="Z394">
        <f>IF(M394=1,(P394-Assumptions!$B$37)*Assumptions!$B$153,0)</f>
        <v/>
      </c>
      <c r="AA394">
        <f>Q394+R394+S394+T394+U394+V394+W394+X394+Y394+Z394</f>
        <v/>
      </c>
      <c r="AB394" t="n">
        <v>87</v>
      </c>
      <c r="AC394" t="n">
        <v>23</v>
      </c>
      <c r="AD394" t="n">
        <v>119</v>
      </c>
      <c r="AE394" t="n">
        <v>71</v>
      </c>
      <c r="AF394" t="n">
        <v>95</v>
      </c>
      <c r="AG394" t="n">
        <v>83</v>
      </c>
      <c r="AH394" t="n">
        <v>85</v>
      </c>
      <c r="AI394" t="n">
        <v>86</v>
      </c>
      <c r="AJ394">
        <f>INDEX($Q$307:$Q$434,AC394+1)</f>
        <v/>
      </c>
      <c r="AK394">
        <f>INDEX($R$307:$R$434,AD394+1)</f>
        <v/>
      </c>
      <c r="AL394">
        <f>INDEX($S$307:$S$434,AE394+1)</f>
        <v/>
      </c>
      <c r="AM394">
        <f>INDEX($T$307:$T$434,AF394+1)</f>
        <v/>
      </c>
      <c r="AN394">
        <f>INDEX($U$307:$U$434,AG394+1)</f>
        <v/>
      </c>
      <c r="AO394">
        <f>INDEX($V$307:$V$434,AH394+1)</f>
        <v/>
      </c>
      <c r="AP394">
        <f>INDEX($W$307:$W$434,AI394+1)</f>
        <v/>
      </c>
      <c r="AQ394">
        <f>IF(Q394&gt;=AJ394-0.01,1,0)</f>
        <v/>
      </c>
      <c r="AR394">
        <f>IF(R394&gt;=AK394-0.01,1,0)</f>
        <v/>
      </c>
      <c r="AS394">
        <f>IF(S394&gt;=AL394-0.01,1,0)</f>
        <v/>
      </c>
      <c r="AT394">
        <f>IF(T394&gt;=AM394-0.01,1,0)</f>
        <v/>
      </c>
      <c r="AU394">
        <f>IF(U394&gt;=AN394-0.01,1,0)</f>
        <v/>
      </c>
      <c r="AV394">
        <f>IF(V394&gt;=AO394-0.01,1,0)</f>
        <v/>
      </c>
      <c r="AW394">
        <f>IF(W394&gt;=AP394-0.01,1,0)</f>
        <v/>
      </c>
      <c r="AX394">
        <f>AQ394*AR394*AS394*AT394*AU394*AV394*AW394</f>
        <v/>
      </c>
      <c r="AY394">
        <f>Assumptions!$B$41</f>
        <v/>
      </c>
      <c r="AZ394">
        <f>Assumptions!$B$33</f>
        <v/>
      </c>
      <c r="BA394">
        <f>Assumptions!$B$32</f>
        <v/>
      </c>
      <c r="BB394">
        <f>Assumptions!$B$31</f>
        <v/>
      </c>
      <c r="BC394">
        <f>Assumptions!$B$30</f>
        <v/>
      </c>
      <c r="BD394">
        <f>Assumptions!$B$29</f>
        <v/>
      </c>
      <c r="BE394">
        <f>Assumptions!$B$28</f>
        <v/>
      </c>
      <c r="BF394">
        <f>P394*Assumptions!$B$141</f>
        <v/>
      </c>
      <c r="BG394">
        <f>P394*Assumptions!$B$128</f>
        <v/>
      </c>
      <c r="BH394">
        <f>P394*Assumptions!$B$129</f>
        <v/>
      </c>
      <c r="BI394">
        <f>P394*Assumptions!$B$14</f>
        <v/>
      </c>
      <c r="BJ394">
        <f>P394*Assumptions!$B$13</f>
        <v/>
      </c>
      <c r="BK394">
        <f>P394*Assumptions!$B$12</f>
        <v/>
      </c>
      <c r="BL394">
        <f>P394*Assumptions!$B$11</f>
        <v/>
      </c>
    </row>
    <row r="395">
      <c r="A395" t="inlineStr">
        <is>
          <t>2000M</t>
        </is>
      </c>
      <c r="B395">
        <f>Assumptions!$B$60</f>
        <v/>
      </c>
      <c r="C395" t="n">
        <v>1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>
        <f>(1-C395)*Assumptions!$B$41+(1-D395)*Assumptions!$B$33+(1-E395)*Assumptions!$B$32+(1-F395)*Assumptions!$B$31+(1-G395)*Assumptions!$B$30+(1-H395)*Assumptions!$B$29+(1-I395)*Assumptions!$B$28</f>
        <v/>
      </c>
      <c r="K395">
        <f>C395*Assumptions!$B$141+D395*Assumptions!$B$128+E395*Assumptions!$B$129+F395*Assumptions!$B$14+G395*Assumptions!$B$13+H395*Assumptions!$B$12+I395*Assumptions!$B$11+Assumptions!$B$133+Assumptions!$B$137+Assumptions!$B$9</f>
        <v/>
      </c>
      <c r="L395">
        <f>B395-J395</f>
        <v/>
      </c>
      <c r="M395">
        <f>IF(K395&gt;0,IF(L395/K395&gt;=Assumptions!$B$37,1,0),0)</f>
        <v/>
      </c>
      <c r="N395">
        <f>K395+M395*Assumptions!$B$153</f>
        <v/>
      </c>
      <c r="O395">
        <f>L395+M395*Assumptions!$B$153*Assumptions!$B$37</f>
        <v/>
      </c>
      <c r="P395">
        <f>IF(N395&gt;0,O395/N395,0)</f>
        <v/>
      </c>
      <c r="Q395">
        <f>IF(C395=1,P395*Assumptions!$B$141,Assumptions!$B$41)</f>
        <v/>
      </c>
      <c r="R395">
        <f>IF(D395=1,P395*Assumptions!$B$128,Assumptions!$B$33)</f>
        <v/>
      </c>
      <c r="S395">
        <f>IF(E395=1,P395*Assumptions!$B$129,Assumptions!$B$32)</f>
        <v/>
      </c>
      <c r="T395">
        <f>IF(F395=1,P395*Assumptions!$B$14,Assumptions!$B$31)</f>
        <v/>
      </c>
      <c r="U395">
        <f>IF(G395=1,P395*Assumptions!$B$13,Assumptions!$B$30)</f>
        <v/>
      </c>
      <c r="V395">
        <f>IF(H395=1,P395*Assumptions!$B$12,Assumptions!$B$29)</f>
        <v/>
      </c>
      <c r="W395">
        <f>IF(I395=1,P395*Assumptions!$B$11,Assumptions!$B$28)</f>
        <v/>
      </c>
      <c r="X395">
        <f>P395*(Assumptions!$B$133+Assumptions!$B$137)</f>
        <v/>
      </c>
      <c r="Y395">
        <f>P395*Assumptions!$B$9</f>
        <v/>
      </c>
      <c r="Z395">
        <f>IF(M395=1,(P395-Assumptions!$B$37)*Assumptions!$B$153,0)</f>
        <v/>
      </c>
      <c r="AA395">
        <f>Q395+R395+S395+T395+U395+V395+W395+X395+Y395+Z395</f>
        <v/>
      </c>
      <c r="AB395" t="n">
        <v>88</v>
      </c>
      <c r="AC395" t="n">
        <v>24</v>
      </c>
      <c r="AD395" t="n">
        <v>120</v>
      </c>
      <c r="AE395" t="n">
        <v>72</v>
      </c>
      <c r="AF395" t="n">
        <v>80</v>
      </c>
      <c r="AG395" t="n">
        <v>92</v>
      </c>
      <c r="AH395" t="n">
        <v>90</v>
      </c>
      <c r="AI395" t="n">
        <v>89</v>
      </c>
      <c r="AJ395">
        <f>INDEX($Q$307:$Q$434,AC395+1)</f>
        <v/>
      </c>
      <c r="AK395">
        <f>INDEX($R$307:$R$434,AD395+1)</f>
        <v/>
      </c>
      <c r="AL395">
        <f>INDEX($S$307:$S$434,AE395+1)</f>
        <v/>
      </c>
      <c r="AM395">
        <f>INDEX($T$307:$T$434,AF395+1)</f>
        <v/>
      </c>
      <c r="AN395">
        <f>INDEX($U$307:$U$434,AG395+1)</f>
        <v/>
      </c>
      <c r="AO395">
        <f>INDEX($V$307:$V$434,AH395+1)</f>
        <v/>
      </c>
      <c r="AP395">
        <f>INDEX($W$307:$W$434,AI395+1)</f>
        <v/>
      </c>
      <c r="AQ395">
        <f>IF(Q395&gt;=AJ395-0.01,1,0)</f>
        <v/>
      </c>
      <c r="AR395">
        <f>IF(R395&gt;=AK395-0.01,1,0)</f>
        <v/>
      </c>
      <c r="AS395">
        <f>IF(S395&gt;=AL395-0.01,1,0)</f>
        <v/>
      </c>
      <c r="AT395">
        <f>IF(T395&gt;=AM395-0.01,1,0)</f>
        <v/>
      </c>
      <c r="AU395">
        <f>IF(U395&gt;=AN395-0.01,1,0)</f>
        <v/>
      </c>
      <c r="AV395">
        <f>IF(V395&gt;=AO395-0.01,1,0)</f>
        <v/>
      </c>
      <c r="AW395">
        <f>IF(W395&gt;=AP395-0.01,1,0)</f>
        <v/>
      </c>
      <c r="AX395">
        <f>AQ395*AR395*AS395*AT395*AU395*AV395*AW395</f>
        <v/>
      </c>
      <c r="AY395">
        <f>Assumptions!$B$41</f>
        <v/>
      </c>
      <c r="AZ395">
        <f>Assumptions!$B$33</f>
        <v/>
      </c>
      <c r="BA395">
        <f>Assumptions!$B$32</f>
        <v/>
      </c>
      <c r="BB395">
        <f>Assumptions!$B$31</f>
        <v/>
      </c>
      <c r="BC395">
        <f>Assumptions!$B$30</f>
        <v/>
      </c>
      <c r="BD395">
        <f>Assumptions!$B$29</f>
        <v/>
      </c>
      <c r="BE395">
        <f>Assumptions!$B$28</f>
        <v/>
      </c>
      <c r="BF395">
        <f>P395*Assumptions!$B$141</f>
        <v/>
      </c>
      <c r="BG395">
        <f>P395*Assumptions!$B$128</f>
        <v/>
      </c>
      <c r="BH395">
        <f>P395*Assumptions!$B$129</f>
        <v/>
      </c>
      <c r="BI395">
        <f>P395*Assumptions!$B$14</f>
        <v/>
      </c>
      <c r="BJ395">
        <f>P395*Assumptions!$B$13</f>
        <v/>
      </c>
      <c r="BK395">
        <f>P395*Assumptions!$B$12</f>
        <v/>
      </c>
      <c r="BL395">
        <f>P395*Assumptions!$B$11</f>
        <v/>
      </c>
    </row>
    <row r="396">
      <c r="A396" t="inlineStr">
        <is>
          <t>2000M</t>
        </is>
      </c>
      <c r="B396">
        <f>Assumptions!$B$60</f>
        <v/>
      </c>
      <c r="C396" t="n">
        <v>1</v>
      </c>
      <c r="D396" t="n">
        <v>0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>
        <f>(1-C396)*Assumptions!$B$41+(1-D396)*Assumptions!$B$33+(1-E396)*Assumptions!$B$32+(1-F396)*Assumptions!$B$31+(1-G396)*Assumptions!$B$30+(1-H396)*Assumptions!$B$29+(1-I396)*Assumptions!$B$28</f>
        <v/>
      </c>
      <c r="K396">
        <f>C396*Assumptions!$B$141+D396*Assumptions!$B$128+E396*Assumptions!$B$129+F396*Assumptions!$B$14+G396*Assumptions!$B$13+H396*Assumptions!$B$12+I396*Assumptions!$B$11+Assumptions!$B$133+Assumptions!$B$137+Assumptions!$B$9</f>
        <v/>
      </c>
      <c r="L396">
        <f>B396-J396</f>
        <v/>
      </c>
      <c r="M396">
        <f>IF(K396&gt;0,IF(L396/K396&gt;=Assumptions!$B$37,1,0),0)</f>
        <v/>
      </c>
      <c r="N396">
        <f>K396+M396*Assumptions!$B$153</f>
        <v/>
      </c>
      <c r="O396">
        <f>L396+M396*Assumptions!$B$153*Assumptions!$B$37</f>
        <v/>
      </c>
      <c r="P396">
        <f>IF(N396&gt;0,O396/N396,0)</f>
        <v/>
      </c>
      <c r="Q396">
        <f>IF(C396=1,P396*Assumptions!$B$141,Assumptions!$B$41)</f>
        <v/>
      </c>
      <c r="R396">
        <f>IF(D396=1,P396*Assumptions!$B$128,Assumptions!$B$33)</f>
        <v/>
      </c>
      <c r="S396">
        <f>IF(E396=1,P396*Assumptions!$B$129,Assumptions!$B$32)</f>
        <v/>
      </c>
      <c r="T396">
        <f>IF(F396=1,P396*Assumptions!$B$14,Assumptions!$B$31)</f>
        <v/>
      </c>
      <c r="U396">
        <f>IF(G396=1,P396*Assumptions!$B$13,Assumptions!$B$30)</f>
        <v/>
      </c>
      <c r="V396">
        <f>IF(H396=1,P396*Assumptions!$B$12,Assumptions!$B$29)</f>
        <v/>
      </c>
      <c r="W396">
        <f>IF(I396=1,P396*Assumptions!$B$11,Assumptions!$B$28)</f>
        <v/>
      </c>
      <c r="X396">
        <f>P396*(Assumptions!$B$133+Assumptions!$B$137)</f>
        <v/>
      </c>
      <c r="Y396">
        <f>P396*Assumptions!$B$9</f>
        <v/>
      </c>
      <c r="Z396">
        <f>IF(M396=1,(P396-Assumptions!$B$37)*Assumptions!$B$153,0)</f>
        <v/>
      </c>
      <c r="AA396">
        <f>Q396+R396+S396+T396+U396+V396+W396+X396+Y396+Z396</f>
        <v/>
      </c>
      <c r="AB396" t="n">
        <v>89</v>
      </c>
      <c r="AC396" t="n">
        <v>25</v>
      </c>
      <c r="AD396" t="n">
        <v>121</v>
      </c>
      <c r="AE396" t="n">
        <v>73</v>
      </c>
      <c r="AF396" t="n">
        <v>81</v>
      </c>
      <c r="AG396" t="n">
        <v>93</v>
      </c>
      <c r="AH396" t="n">
        <v>91</v>
      </c>
      <c r="AI396" t="n">
        <v>88</v>
      </c>
      <c r="AJ396">
        <f>INDEX($Q$307:$Q$434,AC396+1)</f>
        <v/>
      </c>
      <c r="AK396">
        <f>INDEX($R$307:$R$434,AD396+1)</f>
        <v/>
      </c>
      <c r="AL396">
        <f>INDEX($S$307:$S$434,AE396+1)</f>
        <v/>
      </c>
      <c r="AM396">
        <f>INDEX($T$307:$T$434,AF396+1)</f>
        <v/>
      </c>
      <c r="AN396">
        <f>INDEX($U$307:$U$434,AG396+1)</f>
        <v/>
      </c>
      <c r="AO396">
        <f>INDEX($V$307:$V$434,AH396+1)</f>
        <v/>
      </c>
      <c r="AP396">
        <f>INDEX($W$307:$W$434,AI396+1)</f>
        <v/>
      </c>
      <c r="AQ396">
        <f>IF(Q396&gt;=AJ396-0.01,1,0)</f>
        <v/>
      </c>
      <c r="AR396">
        <f>IF(R396&gt;=AK396-0.01,1,0)</f>
        <v/>
      </c>
      <c r="AS396">
        <f>IF(S396&gt;=AL396-0.01,1,0)</f>
        <v/>
      </c>
      <c r="AT396">
        <f>IF(T396&gt;=AM396-0.01,1,0)</f>
        <v/>
      </c>
      <c r="AU396">
        <f>IF(U396&gt;=AN396-0.01,1,0)</f>
        <v/>
      </c>
      <c r="AV396">
        <f>IF(V396&gt;=AO396-0.01,1,0)</f>
        <v/>
      </c>
      <c r="AW396">
        <f>IF(W396&gt;=AP396-0.01,1,0)</f>
        <v/>
      </c>
      <c r="AX396">
        <f>AQ396*AR396*AS396*AT396*AU396*AV396*AW396</f>
        <v/>
      </c>
      <c r="AY396">
        <f>Assumptions!$B$41</f>
        <v/>
      </c>
      <c r="AZ396">
        <f>Assumptions!$B$33</f>
        <v/>
      </c>
      <c r="BA396">
        <f>Assumptions!$B$32</f>
        <v/>
      </c>
      <c r="BB396">
        <f>Assumptions!$B$31</f>
        <v/>
      </c>
      <c r="BC396">
        <f>Assumptions!$B$30</f>
        <v/>
      </c>
      <c r="BD396">
        <f>Assumptions!$B$29</f>
        <v/>
      </c>
      <c r="BE396">
        <f>Assumptions!$B$28</f>
        <v/>
      </c>
      <c r="BF396">
        <f>P396*Assumptions!$B$141</f>
        <v/>
      </c>
      <c r="BG396">
        <f>P396*Assumptions!$B$128</f>
        <v/>
      </c>
      <c r="BH396">
        <f>P396*Assumptions!$B$129</f>
        <v/>
      </c>
      <c r="BI396">
        <f>P396*Assumptions!$B$14</f>
        <v/>
      </c>
      <c r="BJ396">
        <f>P396*Assumptions!$B$13</f>
        <v/>
      </c>
      <c r="BK396">
        <f>P396*Assumptions!$B$12</f>
        <v/>
      </c>
      <c r="BL396">
        <f>P396*Assumptions!$B$11</f>
        <v/>
      </c>
    </row>
    <row r="397">
      <c r="A397" t="inlineStr">
        <is>
          <t>2000M</t>
        </is>
      </c>
      <c r="B397">
        <f>Assumptions!$B$60</f>
        <v/>
      </c>
      <c r="C397" t="n">
        <v>1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>
        <f>(1-C397)*Assumptions!$B$41+(1-D397)*Assumptions!$B$33+(1-E397)*Assumptions!$B$32+(1-F397)*Assumptions!$B$31+(1-G397)*Assumptions!$B$30+(1-H397)*Assumptions!$B$29+(1-I397)*Assumptions!$B$28</f>
        <v/>
      </c>
      <c r="K397">
        <f>C397*Assumptions!$B$141+D397*Assumptions!$B$128+E397*Assumptions!$B$129+F397*Assumptions!$B$14+G397*Assumptions!$B$13+H397*Assumptions!$B$12+I397*Assumptions!$B$11+Assumptions!$B$133+Assumptions!$B$137+Assumptions!$B$9</f>
        <v/>
      </c>
      <c r="L397">
        <f>B397-J397</f>
        <v/>
      </c>
      <c r="M397">
        <f>IF(K397&gt;0,IF(L397/K397&gt;=Assumptions!$B$37,1,0),0)</f>
        <v/>
      </c>
      <c r="N397">
        <f>K397+M397*Assumptions!$B$153</f>
        <v/>
      </c>
      <c r="O397">
        <f>L397+M397*Assumptions!$B$153*Assumptions!$B$37</f>
        <v/>
      </c>
      <c r="P397">
        <f>IF(N397&gt;0,O397/N397,0)</f>
        <v/>
      </c>
      <c r="Q397">
        <f>IF(C397=1,P397*Assumptions!$B$141,Assumptions!$B$41)</f>
        <v/>
      </c>
      <c r="R397">
        <f>IF(D397=1,P397*Assumptions!$B$128,Assumptions!$B$33)</f>
        <v/>
      </c>
      <c r="S397">
        <f>IF(E397=1,P397*Assumptions!$B$129,Assumptions!$B$32)</f>
        <v/>
      </c>
      <c r="T397">
        <f>IF(F397=1,P397*Assumptions!$B$14,Assumptions!$B$31)</f>
        <v/>
      </c>
      <c r="U397">
        <f>IF(G397=1,P397*Assumptions!$B$13,Assumptions!$B$30)</f>
        <v/>
      </c>
      <c r="V397">
        <f>IF(H397=1,P397*Assumptions!$B$12,Assumptions!$B$29)</f>
        <v/>
      </c>
      <c r="W397">
        <f>IF(I397=1,P397*Assumptions!$B$11,Assumptions!$B$28)</f>
        <v/>
      </c>
      <c r="X397">
        <f>P397*(Assumptions!$B$133+Assumptions!$B$137)</f>
        <v/>
      </c>
      <c r="Y397">
        <f>P397*Assumptions!$B$9</f>
        <v/>
      </c>
      <c r="Z397">
        <f>IF(M397=1,(P397-Assumptions!$B$37)*Assumptions!$B$153,0)</f>
        <v/>
      </c>
      <c r="AA397">
        <f>Q397+R397+S397+T397+U397+V397+W397+X397+Y397+Z397</f>
        <v/>
      </c>
      <c r="AB397" t="n">
        <v>90</v>
      </c>
      <c r="AC397" t="n">
        <v>26</v>
      </c>
      <c r="AD397" t="n">
        <v>122</v>
      </c>
      <c r="AE397" t="n">
        <v>74</v>
      </c>
      <c r="AF397" t="n">
        <v>82</v>
      </c>
      <c r="AG397" t="n">
        <v>94</v>
      </c>
      <c r="AH397" t="n">
        <v>88</v>
      </c>
      <c r="AI397" t="n">
        <v>91</v>
      </c>
      <c r="AJ397">
        <f>INDEX($Q$307:$Q$434,AC397+1)</f>
        <v/>
      </c>
      <c r="AK397">
        <f>INDEX($R$307:$R$434,AD397+1)</f>
        <v/>
      </c>
      <c r="AL397">
        <f>INDEX($S$307:$S$434,AE397+1)</f>
        <v/>
      </c>
      <c r="AM397">
        <f>INDEX($T$307:$T$434,AF397+1)</f>
        <v/>
      </c>
      <c r="AN397">
        <f>INDEX($U$307:$U$434,AG397+1)</f>
        <v/>
      </c>
      <c r="AO397">
        <f>INDEX($V$307:$V$434,AH397+1)</f>
        <v/>
      </c>
      <c r="AP397">
        <f>INDEX($W$307:$W$434,AI397+1)</f>
        <v/>
      </c>
      <c r="AQ397">
        <f>IF(Q397&gt;=AJ397-0.01,1,0)</f>
        <v/>
      </c>
      <c r="AR397">
        <f>IF(R397&gt;=AK397-0.01,1,0)</f>
        <v/>
      </c>
      <c r="AS397">
        <f>IF(S397&gt;=AL397-0.01,1,0)</f>
        <v/>
      </c>
      <c r="AT397">
        <f>IF(T397&gt;=AM397-0.01,1,0)</f>
        <v/>
      </c>
      <c r="AU397">
        <f>IF(U397&gt;=AN397-0.01,1,0)</f>
        <v/>
      </c>
      <c r="AV397">
        <f>IF(V397&gt;=AO397-0.01,1,0)</f>
        <v/>
      </c>
      <c r="AW397">
        <f>IF(W397&gt;=AP397-0.01,1,0)</f>
        <v/>
      </c>
      <c r="AX397">
        <f>AQ397*AR397*AS397*AT397*AU397*AV397*AW397</f>
        <v/>
      </c>
      <c r="AY397">
        <f>Assumptions!$B$41</f>
        <v/>
      </c>
      <c r="AZ397">
        <f>Assumptions!$B$33</f>
        <v/>
      </c>
      <c r="BA397">
        <f>Assumptions!$B$32</f>
        <v/>
      </c>
      <c r="BB397">
        <f>Assumptions!$B$31</f>
        <v/>
      </c>
      <c r="BC397">
        <f>Assumptions!$B$30</f>
        <v/>
      </c>
      <c r="BD397">
        <f>Assumptions!$B$29</f>
        <v/>
      </c>
      <c r="BE397">
        <f>Assumptions!$B$28</f>
        <v/>
      </c>
      <c r="BF397">
        <f>P397*Assumptions!$B$141</f>
        <v/>
      </c>
      <c r="BG397">
        <f>P397*Assumptions!$B$128</f>
        <v/>
      </c>
      <c r="BH397">
        <f>P397*Assumptions!$B$129</f>
        <v/>
      </c>
      <c r="BI397">
        <f>P397*Assumptions!$B$14</f>
        <v/>
      </c>
      <c r="BJ397">
        <f>P397*Assumptions!$B$13</f>
        <v/>
      </c>
      <c r="BK397">
        <f>P397*Assumptions!$B$12</f>
        <v/>
      </c>
      <c r="BL397">
        <f>P397*Assumptions!$B$11</f>
        <v/>
      </c>
    </row>
    <row r="398">
      <c r="A398" t="inlineStr">
        <is>
          <t>2000M</t>
        </is>
      </c>
      <c r="B398">
        <f>Assumptions!$B$60</f>
        <v/>
      </c>
      <c r="C398" t="n">
        <v>1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>
        <f>(1-C398)*Assumptions!$B$41+(1-D398)*Assumptions!$B$33+(1-E398)*Assumptions!$B$32+(1-F398)*Assumptions!$B$31+(1-G398)*Assumptions!$B$30+(1-H398)*Assumptions!$B$29+(1-I398)*Assumptions!$B$28</f>
        <v/>
      </c>
      <c r="K398">
        <f>C398*Assumptions!$B$141+D398*Assumptions!$B$128+E398*Assumptions!$B$129+F398*Assumptions!$B$14+G398*Assumptions!$B$13+H398*Assumptions!$B$12+I398*Assumptions!$B$11+Assumptions!$B$133+Assumptions!$B$137+Assumptions!$B$9</f>
        <v/>
      </c>
      <c r="L398">
        <f>B398-J398</f>
        <v/>
      </c>
      <c r="M398">
        <f>IF(K398&gt;0,IF(L398/K398&gt;=Assumptions!$B$37,1,0),0)</f>
        <v/>
      </c>
      <c r="N398">
        <f>K398+M398*Assumptions!$B$153</f>
        <v/>
      </c>
      <c r="O398">
        <f>L398+M398*Assumptions!$B$153*Assumptions!$B$37</f>
        <v/>
      </c>
      <c r="P398">
        <f>IF(N398&gt;0,O398/N398,0)</f>
        <v/>
      </c>
      <c r="Q398">
        <f>IF(C398=1,P398*Assumptions!$B$141,Assumptions!$B$41)</f>
        <v/>
      </c>
      <c r="R398">
        <f>IF(D398=1,P398*Assumptions!$B$128,Assumptions!$B$33)</f>
        <v/>
      </c>
      <c r="S398">
        <f>IF(E398=1,P398*Assumptions!$B$129,Assumptions!$B$32)</f>
        <v/>
      </c>
      <c r="T398">
        <f>IF(F398=1,P398*Assumptions!$B$14,Assumptions!$B$31)</f>
        <v/>
      </c>
      <c r="U398">
        <f>IF(G398=1,P398*Assumptions!$B$13,Assumptions!$B$30)</f>
        <v/>
      </c>
      <c r="V398">
        <f>IF(H398=1,P398*Assumptions!$B$12,Assumptions!$B$29)</f>
        <v/>
      </c>
      <c r="W398">
        <f>IF(I398=1,P398*Assumptions!$B$11,Assumptions!$B$28)</f>
        <v/>
      </c>
      <c r="X398">
        <f>P398*(Assumptions!$B$133+Assumptions!$B$137)</f>
        <v/>
      </c>
      <c r="Y398">
        <f>P398*Assumptions!$B$9</f>
        <v/>
      </c>
      <c r="Z398">
        <f>IF(M398=1,(P398-Assumptions!$B$37)*Assumptions!$B$153,0)</f>
        <v/>
      </c>
      <c r="AA398">
        <f>Q398+R398+S398+T398+U398+V398+W398+X398+Y398+Z398</f>
        <v/>
      </c>
      <c r="AB398" t="n">
        <v>91</v>
      </c>
      <c r="AC398" t="n">
        <v>27</v>
      </c>
      <c r="AD398" t="n">
        <v>123</v>
      </c>
      <c r="AE398" t="n">
        <v>75</v>
      </c>
      <c r="AF398" t="n">
        <v>83</v>
      </c>
      <c r="AG398" t="n">
        <v>95</v>
      </c>
      <c r="AH398" t="n">
        <v>89</v>
      </c>
      <c r="AI398" t="n">
        <v>90</v>
      </c>
      <c r="AJ398">
        <f>INDEX($Q$307:$Q$434,AC398+1)</f>
        <v/>
      </c>
      <c r="AK398">
        <f>INDEX($R$307:$R$434,AD398+1)</f>
        <v/>
      </c>
      <c r="AL398">
        <f>INDEX($S$307:$S$434,AE398+1)</f>
        <v/>
      </c>
      <c r="AM398">
        <f>INDEX($T$307:$T$434,AF398+1)</f>
        <v/>
      </c>
      <c r="AN398">
        <f>INDEX($U$307:$U$434,AG398+1)</f>
        <v/>
      </c>
      <c r="AO398">
        <f>INDEX($V$307:$V$434,AH398+1)</f>
        <v/>
      </c>
      <c r="AP398">
        <f>INDEX($W$307:$W$434,AI398+1)</f>
        <v/>
      </c>
      <c r="AQ398">
        <f>IF(Q398&gt;=AJ398-0.01,1,0)</f>
        <v/>
      </c>
      <c r="AR398">
        <f>IF(R398&gt;=AK398-0.01,1,0)</f>
        <v/>
      </c>
      <c r="AS398">
        <f>IF(S398&gt;=AL398-0.01,1,0)</f>
        <v/>
      </c>
      <c r="AT398">
        <f>IF(T398&gt;=AM398-0.01,1,0)</f>
        <v/>
      </c>
      <c r="AU398">
        <f>IF(U398&gt;=AN398-0.01,1,0)</f>
        <v/>
      </c>
      <c r="AV398">
        <f>IF(V398&gt;=AO398-0.01,1,0)</f>
        <v/>
      </c>
      <c r="AW398">
        <f>IF(W398&gt;=AP398-0.01,1,0)</f>
        <v/>
      </c>
      <c r="AX398">
        <f>AQ398*AR398*AS398*AT398*AU398*AV398*AW398</f>
        <v/>
      </c>
      <c r="AY398">
        <f>Assumptions!$B$41</f>
        <v/>
      </c>
      <c r="AZ398">
        <f>Assumptions!$B$33</f>
        <v/>
      </c>
      <c r="BA398">
        <f>Assumptions!$B$32</f>
        <v/>
      </c>
      <c r="BB398">
        <f>Assumptions!$B$31</f>
        <v/>
      </c>
      <c r="BC398">
        <f>Assumptions!$B$30</f>
        <v/>
      </c>
      <c r="BD398">
        <f>Assumptions!$B$29</f>
        <v/>
      </c>
      <c r="BE398">
        <f>Assumptions!$B$28</f>
        <v/>
      </c>
      <c r="BF398">
        <f>P398*Assumptions!$B$141</f>
        <v/>
      </c>
      <c r="BG398">
        <f>P398*Assumptions!$B$128</f>
        <v/>
      </c>
      <c r="BH398">
        <f>P398*Assumptions!$B$129</f>
        <v/>
      </c>
      <c r="BI398">
        <f>P398*Assumptions!$B$14</f>
        <v/>
      </c>
      <c r="BJ398">
        <f>P398*Assumptions!$B$13</f>
        <v/>
      </c>
      <c r="BK398">
        <f>P398*Assumptions!$B$12</f>
        <v/>
      </c>
      <c r="BL398">
        <f>P398*Assumptions!$B$11</f>
        <v/>
      </c>
    </row>
    <row r="399">
      <c r="A399" t="inlineStr">
        <is>
          <t>2000M</t>
        </is>
      </c>
      <c r="B399">
        <f>Assumptions!$B$60</f>
        <v/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>
        <f>(1-C399)*Assumptions!$B$41+(1-D399)*Assumptions!$B$33+(1-E399)*Assumptions!$B$32+(1-F399)*Assumptions!$B$31+(1-G399)*Assumptions!$B$30+(1-H399)*Assumptions!$B$29+(1-I399)*Assumptions!$B$28</f>
        <v/>
      </c>
      <c r="K399">
        <f>C399*Assumptions!$B$141+D399*Assumptions!$B$128+E399*Assumptions!$B$129+F399*Assumptions!$B$14+G399*Assumptions!$B$13+H399*Assumptions!$B$12+I399*Assumptions!$B$11+Assumptions!$B$133+Assumptions!$B$137+Assumptions!$B$9</f>
        <v/>
      </c>
      <c r="L399">
        <f>B399-J399</f>
        <v/>
      </c>
      <c r="M399">
        <f>IF(K399&gt;0,IF(L399/K399&gt;=Assumptions!$B$37,1,0),0)</f>
        <v/>
      </c>
      <c r="N399">
        <f>K399+M399*Assumptions!$B$153</f>
        <v/>
      </c>
      <c r="O399">
        <f>L399+M399*Assumptions!$B$153*Assumptions!$B$37</f>
        <v/>
      </c>
      <c r="P399">
        <f>IF(N399&gt;0,O399/N399,0)</f>
        <v/>
      </c>
      <c r="Q399">
        <f>IF(C399=1,P399*Assumptions!$B$141,Assumptions!$B$41)</f>
        <v/>
      </c>
      <c r="R399">
        <f>IF(D399=1,P399*Assumptions!$B$128,Assumptions!$B$33)</f>
        <v/>
      </c>
      <c r="S399">
        <f>IF(E399=1,P399*Assumptions!$B$129,Assumptions!$B$32)</f>
        <v/>
      </c>
      <c r="T399">
        <f>IF(F399=1,P399*Assumptions!$B$14,Assumptions!$B$31)</f>
        <v/>
      </c>
      <c r="U399">
        <f>IF(G399=1,P399*Assumptions!$B$13,Assumptions!$B$30)</f>
        <v/>
      </c>
      <c r="V399">
        <f>IF(H399=1,P399*Assumptions!$B$12,Assumptions!$B$29)</f>
        <v/>
      </c>
      <c r="W399">
        <f>IF(I399=1,P399*Assumptions!$B$11,Assumptions!$B$28)</f>
        <v/>
      </c>
      <c r="X399">
        <f>P399*(Assumptions!$B$133+Assumptions!$B$137)</f>
        <v/>
      </c>
      <c r="Y399">
        <f>P399*Assumptions!$B$9</f>
        <v/>
      </c>
      <c r="Z399">
        <f>IF(M399=1,(P399-Assumptions!$B$37)*Assumptions!$B$153,0)</f>
        <v/>
      </c>
      <c r="AA399">
        <f>Q399+R399+S399+T399+U399+V399+W399+X399+Y399+Z399</f>
        <v/>
      </c>
      <c r="AB399" t="n">
        <v>92</v>
      </c>
      <c r="AC399" t="n">
        <v>28</v>
      </c>
      <c r="AD399" t="n">
        <v>124</v>
      </c>
      <c r="AE399" t="n">
        <v>76</v>
      </c>
      <c r="AF399" t="n">
        <v>84</v>
      </c>
      <c r="AG399" t="n">
        <v>88</v>
      </c>
      <c r="AH399" t="n">
        <v>94</v>
      </c>
      <c r="AI399" t="n">
        <v>93</v>
      </c>
      <c r="AJ399">
        <f>INDEX($Q$307:$Q$434,AC399+1)</f>
        <v/>
      </c>
      <c r="AK399">
        <f>INDEX($R$307:$R$434,AD399+1)</f>
        <v/>
      </c>
      <c r="AL399">
        <f>INDEX($S$307:$S$434,AE399+1)</f>
        <v/>
      </c>
      <c r="AM399">
        <f>INDEX($T$307:$T$434,AF399+1)</f>
        <v/>
      </c>
      <c r="AN399">
        <f>INDEX($U$307:$U$434,AG399+1)</f>
        <v/>
      </c>
      <c r="AO399">
        <f>INDEX($V$307:$V$434,AH399+1)</f>
        <v/>
      </c>
      <c r="AP399">
        <f>INDEX($W$307:$W$434,AI399+1)</f>
        <v/>
      </c>
      <c r="AQ399">
        <f>IF(Q399&gt;=AJ399-0.01,1,0)</f>
        <v/>
      </c>
      <c r="AR399">
        <f>IF(R399&gt;=AK399-0.01,1,0)</f>
        <v/>
      </c>
      <c r="AS399">
        <f>IF(S399&gt;=AL399-0.01,1,0)</f>
        <v/>
      </c>
      <c r="AT399">
        <f>IF(T399&gt;=AM399-0.01,1,0)</f>
        <v/>
      </c>
      <c r="AU399">
        <f>IF(U399&gt;=AN399-0.01,1,0)</f>
        <v/>
      </c>
      <c r="AV399">
        <f>IF(V399&gt;=AO399-0.01,1,0)</f>
        <v/>
      </c>
      <c r="AW399">
        <f>IF(W399&gt;=AP399-0.01,1,0)</f>
        <v/>
      </c>
      <c r="AX399">
        <f>AQ399*AR399*AS399*AT399*AU399*AV399*AW399</f>
        <v/>
      </c>
      <c r="AY399">
        <f>Assumptions!$B$41</f>
        <v/>
      </c>
      <c r="AZ399">
        <f>Assumptions!$B$33</f>
        <v/>
      </c>
      <c r="BA399">
        <f>Assumptions!$B$32</f>
        <v/>
      </c>
      <c r="BB399">
        <f>Assumptions!$B$31</f>
        <v/>
      </c>
      <c r="BC399">
        <f>Assumptions!$B$30</f>
        <v/>
      </c>
      <c r="BD399">
        <f>Assumptions!$B$29</f>
        <v/>
      </c>
      <c r="BE399">
        <f>Assumptions!$B$28</f>
        <v/>
      </c>
      <c r="BF399">
        <f>P399*Assumptions!$B$141</f>
        <v/>
      </c>
      <c r="BG399">
        <f>P399*Assumptions!$B$128</f>
        <v/>
      </c>
      <c r="BH399">
        <f>P399*Assumptions!$B$129</f>
        <v/>
      </c>
      <c r="BI399">
        <f>P399*Assumptions!$B$14</f>
        <v/>
      </c>
      <c r="BJ399">
        <f>P399*Assumptions!$B$13</f>
        <v/>
      </c>
      <c r="BK399">
        <f>P399*Assumptions!$B$12</f>
        <v/>
      </c>
      <c r="BL399">
        <f>P399*Assumptions!$B$11</f>
        <v/>
      </c>
    </row>
    <row r="400">
      <c r="A400" t="inlineStr">
        <is>
          <t>2000M</t>
        </is>
      </c>
      <c r="B400">
        <f>Assumptions!$B$60</f>
        <v/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>
        <f>(1-C400)*Assumptions!$B$41+(1-D400)*Assumptions!$B$33+(1-E400)*Assumptions!$B$32+(1-F400)*Assumptions!$B$31+(1-G400)*Assumptions!$B$30+(1-H400)*Assumptions!$B$29+(1-I400)*Assumptions!$B$28</f>
        <v/>
      </c>
      <c r="K400">
        <f>C400*Assumptions!$B$141+D400*Assumptions!$B$128+E400*Assumptions!$B$129+F400*Assumptions!$B$14+G400*Assumptions!$B$13+H400*Assumptions!$B$12+I400*Assumptions!$B$11+Assumptions!$B$133+Assumptions!$B$137+Assumptions!$B$9</f>
        <v/>
      </c>
      <c r="L400">
        <f>B400-J400</f>
        <v/>
      </c>
      <c r="M400">
        <f>IF(K400&gt;0,IF(L400/K400&gt;=Assumptions!$B$37,1,0),0)</f>
        <v/>
      </c>
      <c r="N400">
        <f>K400+M400*Assumptions!$B$153</f>
        <v/>
      </c>
      <c r="O400">
        <f>L400+M400*Assumptions!$B$153*Assumptions!$B$37</f>
        <v/>
      </c>
      <c r="P400">
        <f>IF(N400&gt;0,O400/N400,0)</f>
        <v/>
      </c>
      <c r="Q400">
        <f>IF(C400=1,P400*Assumptions!$B$141,Assumptions!$B$41)</f>
        <v/>
      </c>
      <c r="R400">
        <f>IF(D400=1,P400*Assumptions!$B$128,Assumptions!$B$33)</f>
        <v/>
      </c>
      <c r="S400">
        <f>IF(E400=1,P400*Assumptions!$B$129,Assumptions!$B$32)</f>
        <v/>
      </c>
      <c r="T400">
        <f>IF(F400=1,P400*Assumptions!$B$14,Assumptions!$B$31)</f>
        <v/>
      </c>
      <c r="U400">
        <f>IF(G400=1,P400*Assumptions!$B$13,Assumptions!$B$30)</f>
        <v/>
      </c>
      <c r="V400">
        <f>IF(H400=1,P400*Assumptions!$B$12,Assumptions!$B$29)</f>
        <v/>
      </c>
      <c r="W400">
        <f>IF(I400=1,P400*Assumptions!$B$11,Assumptions!$B$28)</f>
        <v/>
      </c>
      <c r="X400">
        <f>P400*(Assumptions!$B$133+Assumptions!$B$137)</f>
        <v/>
      </c>
      <c r="Y400">
        <f>P400*Assumptions!$B$9</f>
        <v/>
      </c>
      <c r="Z400">
        <f>IF(M400=1,(P400-Assumptions!$B$37)*Assumptions!$B$153,0)</f>
        <v/>
      </c>
      <c r="AA400">
        <f>Q400+R400+S400+T400+U400+V400+W400+X400+Y400+Z400</f>
        <v/>
      </c>
      <c r="AB400" t="n">
        <v>93</v>
      </c>
      <c r="AC400" t="n">
        <v>29</v>
      </c>
      <c r="AD400" t="n">
        <v>125</v>
      </c>
      <c r="AE400" t="n">
        <v>77</v>
      </c>
      <c r="AF400" t="n">
        <v>85</v>
      </c>
      <c r="AG400" t="n">
        <v>89</v>
      </c>
      <c r="AH400" t="n">
        <v>95</v>
      </c>
      <c r="AI400" t="n">
        <v>92</v>
      </c>
      <c r="AJ400">
        <f>INDEX($Q$307:$Q$434,AC400+1)</f>
        <v/>
      </c>
      <c r="AK400">
        <f>INDEX($R$307:$R$434,AD400+1)</f>
        <v/>
      </c>
      <c r="AL400">
        <f>INDEX($S$307:$S$434,AE400+1)</f>
        <v/>
      </c>
      <c r="AM400">
        <f>INDEX($T$307:$T$434,AF400+1)</f>
        <v/>
      </c>
      <c r="AN400">
        <f>INDEX($U$307:$U$434,AG400+1)</f>
        <v/>
      </c>
      <c r="AO400">
        <f>INDEX($V$307:$V$434,AH400+1)</f>
        <v/>
      </c>
      <c r="AP400">
        <f>INDEX($W$307:$W$434,AI400+1)</f>
        <v/>
      </c>
      <c r="AQ400">
        <f>IF(Q400&gt;=AJ400-0.01,1,0)</f>
        <v/>
      </c>
      <c r="AR400">
        <f>IF(R400&gt;=AK400-0.01,1,0)</f>
        <v/>
      </c>
      <c r="AS400">
        <f>IF(S400&gt;=AL400-0.01,1,0)</f>
        <v/>
      </c>
      <c r="AT400">
        <f>IF(T400&gt;=AM400-0.01,1,0)</f>
        <v/>
      </c>
      <c r="AU400">
        <f>IF(U400&gt;=AN400-0.01,1,0)</f>
        <v/>
      </c>
      <c r="AV400">
        <f>IF(V400&gt;=AO400-0.01,1,0)</f>
        <v/>
      </c>
      <c r="AW400">
        <f>IF(W400&gt;=AP400-0.01,1,0)</f>
        <v/>
      </c>
      <c r="AX400">
        <f>AQ400*AR400*AS400*AT400*AU400*AV400*AW400</f>
        <v/>
      </c>
      <c r="AY400">
        <f>Assumptions!$B$41</f>
        <v/>
      </c>
      <c r="AZ400">
        <f>Assumptions!$B$33</f>
        <v/>
      </c>
      <c r="BA400">
        <f>Assumptions!$B$32</f>
        <v/>
      </c>
      <c r="BB400">
        <f>Assumptions!$B$31</f>
        <v/>
      </c>
      <c r="BC400">
        <f>Assumptions!$B$30</f>
        <v/>
      </c>
      <c r="BD400">
        <f>Assumptions!$B$29</f>
        <v/>
      </c>
      <c r="BE400">
        <f>Assumptions!$B$28</f>
        <v/>
      </c>
      <c r="BF400">
        <f>P400*Assumptions!$B$141</f>
        <v/>
      </c>
      <c r="BG400">
        <f>P400*Assumptions!$B$128</f>
        <v/>
      </c>
      <c r="BH400">
        <f>P400*Assumptions!$B$129</f>
        <v/>
      </c>
      <c r="BI400">
        <f>P400*Assumptions!$B$14</f>
        <v/>
      </c>
      <c r="BJ400">
        <f>P400*Assumptions!$B$13</f>
        <v/>
      </c>
      <c r="BK400">
        <f>P400*Assumptions!$B$12</f>
        <v/>
      </c>
      <c r="BL400">
        <f>P400*Assumptions!$B$11</f>
        <v/>
      </c>
    </row>
    <row r="401">
      <c r="A401" t="inlineStr">
        <is>
          <t>2000M</t>
        </is>
      </c>
      <c r="B401">
        <f>Assumptions!$B$60</f>
        <v/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>
        <f>(1-C401)*Assumptions!$B$41+(1-D401)*Assumptions!$B$33+(1-E401)*Assumptions!$B$32+(1-F401)*Assumptions!$B$31+(1-G401)*Assumptions!$B$30+(1-H401)*Assumptions!$B$29+(1-I401)*Assumptions!$B$28</f>
        <v/>
      </c>
      <c r="K401">
        <f>C401*Assumptions!$B$141+D401*Assumptions!$B$128+E401*Assumptions!$B$129+F401*Assumptions!$B$14+G401*Assumptions!$B$13+H401*Assumptions!$B$12+I401*Assumptions!$B$11+Assumptions!$B$133+Assumptions!$B$137+Assumptions!$B$9</f>
        <v/>
      </c>
      <c r="L401">
        <f>B401-J401</f>
        <v/>
      </c>
      <c r="M401">
        <f>IF(K401&gt;0,IF(L401/K401&gt;=Assumptions!$B$37,1,0),0)</f>
        <v/>
      </c>
      <c r="N401">
        <f>K401+M401*Assumptions!$B$153</f>
        <v/>
      </c>
      <c r="O401">
        <f>L401+M401*Assumptions!$B$153*Assumptions!$B$37</f>
        <v/>
      </c>
      <c r="P401">
        <f>IF(N401&gt;0,O401/N401,0)</f>
        <v/>
      </c>
      <c r="Q401">
        <f>IF(C401=1,P401*Assumptions!$B$141,Assumptions!$B$41)</f>
        <v/>
      </c>
      <c r="R401">
        <f>IF(D401=1,P401*Assumptions!$B$128,Assumptions!$B$33)</f>
        <v/>
      </c>
      <c r="S401">
        <f>IF(E401=1,P401*Assumptions!$B$129,Assumptions!$B$32)</f>
        <v/>
      </c>
      <c r="T401">
        <f>IF(F401=1,P401*Assumptions!$B$14,Assumptions!$B$31)</f>
        <v/>
      </c>
      <c r="U401">
        <f>IF(G401=1,P401*Assumptions!$B$13,Assumptions!$B$30)</f>
        <v/>
      </c>
      <c r="V401">
        <f>IF(H401=1,P401*Assumptions!$B$12,Assumptions!$B$29)</f>
        <v/>
      </c>
      <c r="W401">
        <f>IF(I401=1,P401*Assumptions!$B$11,Assumptions!$B$28)</f>
        <v/>
      </c>
      <c r="X401">
        <f>P401*(Assumptions!$B$133+Assumptions!$B$137)</f>
        <v/>
      </c>
      <c r="Y401">
        <f>P401*Assumptions!$B$9</f>
        <v/>
      </c>
      <c r="Z401">
        <f>IF(M401=1,(P401-Assumptions!$B$37)*Assumptions!$B$153,0)</f>
        <v/>
      </c>
      <c r="AA401">
        <f>Q401+R401+S401+T401+U401+V401+W401+X401+Y401+Z401</f>
        <v/>
      </c>
      <c r="AB401" t="n">
        <v>94</v>
      </c>
      <c r="AC401" t="n">
        <v>30</v>
      </c>
      <c r="AD401" t="n">
        <v>126</v>
      </c>
      <c r="AE401" t="n">
        <v>78</v>
      </c>
      <c r="AF401" t="n">
        <v>86</v>
      </c>
      <c r="AG401" t="n">
        <v>90</v>
      </c>
      <c r="AH401" t="n">
        <v>92</v>
      </c>
      <c r="AI401" t="n">
        <v>95</v>
      </c>
      <c r="AJ401">
        <f>INDEX($Q$307:$Q$434,AC401+1)</f>
        <v/>
      </c>
      <c r="AK401">
        <f>INDEX($R$307:$R$434,AD401+1)</f>
        <v/>
      </c>
      <c r="AL401">
        <f>INDEX($S$307:$S$434,AE401+1)</f>
        <v/>
      </c>
      <c r="AM401">
        <f>INDEX($T$307:$T$434,AF401+1)</f>
        <v/>
      </c>
      <c r="AN401">
        <f>INDEX($U$307:$U$434,AG401+1)</f>
        <v/>
      </c>
      <c r="AO401">
        <f>INDEX($V$307:$V$434,AH401+1)</f>
        <v/>
      </c>
      <c r="AP401">
        <f>INDEX($W$307:$W$434,AI401+1)</f>
        <v/>
      </c>
      <c r="AQ401">
        <f>IF(Q401&gt;=AJ401-0.01,1,0)</f>
        <v/>
      </c>
      <c r="AR401">
        <f>IF(R401&gt;=AK401-0.01,1,0)</f>
        <v/>
      </c>
      <c r="AS401">
        <f>IF(S401&gt;=AL401-0.01,1,0)</f>
        <v/>
      </c>
      <c r="AT401">
        <f>IF(T401&gt;=AM401-0.01,1,0)</f>
        <v/>
      </c>
      <c r="AU401">
        <f>IF(U401&gt;=AN401-0.01,1,0)</f>
        <v/>
      </c>
      <c r="AV401">
        <f>IF(V401&gt;=AO401-0.01,1,0)</f>
        <v/>
      </c>
      <c r="AW401">
        <f>IF(W401&gt;=AP401-0.01,1,0)</f>
        <v/>
      </c>
      <c r="AX401">
        <f>AQ401*AR401*AS401*AT401*AU401*AV401*AW401</f>
        <v/>
      </c>
      <c r="AY401">
        <f>Assumptions!$B$41</f>
        <v/>
      </c>
      <c r="AZ401">
        <f>Assumptions!$B$33</f>
        <v/>
      </c>
      <c r="BA401">
        <f>Assumptions!$B$32</f>
        <v/>
      </c>
      <c r="BB401">
        <f>Assumptions!$B$31</f>
        <v/>
      </c>
      <c r="BC401">
        <f>Assumptions!$B$30</f>
        <v/>
      </c>
      <c r="BD401">
        <f>Assumptions!$B$29</f>
        <v/>
      </c>
      <c r="BE401">
        <f>Assumptions!$B$28</f>
        <v/>
      </c>
      <c r="BF401">
        <f>P401*Assumptions!$B$141</f>
        <v/>
      </c>
      <c r="BG401">
        <f>P401*Assumptions!$B$128</f>
        <v/>
      </c>
      <c r="BH401">
        <f>P401*Assumptions!$B$129</f>
        <v/>
      </c>
      <c r="BI401">
        <f>P401*Assumptions!$B$14</f>
        <v/>
      </c>
      <c r="BJ401">
        <f>P401*Assumptions!$B$13</f>
        <v/>
      </c>
      <c r="BK401">
        <f>P401*Assumptions!$B$12</f>
        <v/>
      </c>
      <c r="BL401">
        <f>P401*Assumptions!$B$11</f>
        <v/>
      </c>
    </row>
    <row r="402">
      <c r="A402" t="inlineStr">
        <is>
          <t>2000M</t>
        </is>
      </c>
      <c r="B402">
        <f>Assumptions!$B$60</f>
        <v/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>
        <f>(1-C402)*Assumptions!$B$41+(1-D402)*Assumptions!$B$33+(1-E402)*Assumptions!$B$32+(1-F402)*Assumptions!$B$31+(1-G402)*Assumptions!$B$30+(1-H402)*Assumptions!$B$29+(1-I402)*Assumptions!$B$28</f>
        <v/>
      </c>
      <c r="K402">
        <f>C402*Assumptions!$B$141+D402*Assumptions!$B$128+E402*Assumptions!$B$129+F402*Assumptions!$B$14+G402*Assumptions!$B$13+H402*Assumptions!$B$12+I402*Assumptions!$B$11+Assumptions!$B$133+Assumptions!$B$137+Assumptions!$B$9</f>
        <v/>
      </c>
      <c r="L402">
        <f>B402-J402</f>
        <v/>
      </c>
      <c r="M402">
        <f>IF(K402&gt;0,IF(L402/K402&gt;=Assumptions!$B$37,1,0),0)</f>
        <v/>
      </c>
      <c r="N402">
        <f>K402+M402*Assumptions!$B$153</f>
        <v/>
      </c>
      <c r="O402">
        <f>L402+M402*Assumptions!$B$153*Assumptions!$B$37</f>
        <v/>
      </c>
      <c r="P402">
        <f>IF(N402&gt;0,O402/N402,0)</f>
        <v/>
      </c>
      <c r="Q402">
        <f>IF(C402=1,P402*Assumptions!$B$141,Assumptions!$B$41)</f>
        <v/>
      </c>
      <c r="R402">
        <f>IF(D402=1,P402*Assumptions!$B$128,Assumptions!$B$33)</f>
        <v/>
      </c>
      <c r="S402">
        <f>IF(E402=1,P402*Assumptions!$B$129,Assumptions!$B$32)</f>
        <v/>
      </c>
      <c r="T402">
        <f>IF(F402=1,P402*Assumptions!$B$14,Assumptions!$B$31)</f>
        <v/>
      </c>
      <c r="U402">
        <f>IF(G402=1,P402*Assumptions!$B$13,Assumptions!$B$30)</f>
        <v/>
      </c>
      <c r="V402">
        <f>IF(H402=1,P402*Assumptions!$B$12,Assumptions!$B$29)</f>
        <v/>
      </c>
      <c r="W402">
        <f>IF(I402=1,P402*Assumptions!$B$11,Assumptions!$B$28)</f>
        <v/>
      </c>
      <c r="X402">
        <f>P402*(Assumptions!$B$133+Assumptions!$B$137)</f>
        <v/>
      </c>
      <c r="Y402">
        <f>P402*Assumptions!$B$9</f>
        <v/>
      </c>
      <c r="Z402">
        <f>IF(M402=1,(P402-Assumptions!$B$37)*Assumptions!$B$153,0)</f>
        <v/>
      </c>
      <c r="AA402">
        <f>Q402+R402+S402+T402+U402+V402+W402+X402+Y402+Z402</f>
        <v/>
      </c>
      <c r="AB402" t="n">
        <v>95</v>
      </c>
      <c r="AC402" t="n">
        <v>31</v>
      </c>
      <c r="AD402" t="n">
        <v>127</v>
      </c>
      <c r="AE402" t="n">
        <v>79</v>
      </c>
      <c r="AF402" t="n">
        <v>87</v>
      </c>
      <c r="AG402" t="n">
        <v>91</v>
      </c>
      <c r="AH402" t="n">
        <v>93</v>
      </c>
      <c r="AI402" t="n">
        <v>94</v>
      </c>
      <c r="AJ402">
        <f>INDEX($Q$307:$Q$434,AC402+1)</f>
        <v/>
      </c>
      <c r="AK402">
        <f>INDEX($R$307:$R$434,AD402+1)</f>
        <v/>
      </c>
      <c r="AL402">
        <f>INDEX($S$307:$S$434,AE402+1)</f>
        <v/>
      </c>
      <c r="AM402">
        <f>INDEX($T$307:$T$434,AF402+1)</f>
        <v/>
      </c>
      <c r="AN402">
        <f>INDEX($U$307:$U$434,AG402+1)</f>
        <v/>
      </c>
      <c r="AO402">
        <f>INDEX($V$307:$V$434,AH402+1)</f>
        <v/>
      </c>
      <c r="AP402">
        <f>INDEX($W$307:$W$434,AI402+1)</f>
        <v/>
      </c>
      <c r="AQ402">
        <f>IF(Q402&gt;=AJ402-0.01,1,0)</f>
        <v/>
      </c>
      <c r="AR402">
        <f>IF(R402&gt;=AK402-0.01,1,0)</f>
        <v/>
      </c>
      <c r="AS402">
        <f>IF(S402&gt;=AL402-0.01,1,0)</f>
        <v/>
      </c>
      <c r="AT402">
        <f>IF(T402&gt;=AM402-0.01,1,0)</f>
        <v/>
      </c>
      <c r="AU402">
        <f>IF(U402&gt;=AN402-0.01,1,0)</f>
        <v/>
      </c>
      <c r="AV402">
        <f>IF(V402&gt;=AO402-0.01,1,0)</f>
        <v/>
      </c>
      <c r="AW402">
        <f>IF(W402&gt;=AP402-0.01,1,0)</f>
        <v/>
      </c>
      <c r="AX402">
        <f>AQ402*AR402*AS402*AT402*AU402*AV402*AW402</f>
        <v/>
      </c>
      <c r="AY402">
        <f>Assumptions!$B$41</f>
        <v/>
      </c>
      <c r="AZ402">
        <f>Assumptions!$B$33</f>
        <v/>
      </c>
      <c r="BA402">
        <f>Assumptions!$B$32</f>
        <v/>
      </c>
      <c r="BB402">
        <f>Assumptions!$B$31</f>
        <v/>
      </c>
      <c r="BC402">
        <f>Assumptions!$B$30</f>
        <v/>
      </c>
      <c r="BD402">
        <f>Assumptions!$B$29</f>
        <v/>
      </c>
      <c r="BE402">
        <f>Assumptions!$B$28</f>
        <v/>
      </c>
      <c r="BF402">
        <f>P402*Assumptions!$B$141</f>
        <v/>
      </c>
      <c r="BG402">
        <f>P402*Assumptions!$B$128</f>
        <v/>
      </c>
      <c r="BH402">
        <f>P402*Assumptions!$B$129</f>
        <v/>
      </c>
      <c r="BI402">
        <f>P402*Assumptions!$B$14</f>
        <v/>
      </c>
      <c r="BJ402">
        <f>P402*Assumptions!$B$13</f>
        <v/>
      </c>
      <c r="BK402">
        <f>P402*Assumptions!$B$12</f>
        <v/>
      </c>
      <c r="BL402">
        <f>P402*Assumptions!$B$11</f>
        <v/>
      </c>
    </row>
    <row r="403">
      <c r="A403" t="inlineStr">
        <is>
          <t>2000M</t>
        </is>
      </c>
      <c r="B403">
        <f>Assumptions!$B$60</f>
        <v/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>
        <f>(1-C403)*Assumptions!$B$41+(1-D403)*Assumptions!$B$33+(1-E403)*Assumptions!$B$32+(1-F403)*Assumptions!$B$31+(1-G403)*Assumptions!$B$30+(1-H403)*Assumptions!$B$29+(1-I403)*Assumptions!$B$28</f>
        <v/>
      </c>
      <c r="K403">
        <f>C403*Assumptions!$B$141+D403*Assumptions!$B$128+E403*Assumptions!$B$129+F403*Assumptions!$B$14+G403*Assumptions!$B$13+H403*Assumptions!$B$12+I403*Assumptions!$B$11+Assumptions!$B$133+Assumptions!$B$137+Assumptions!$B$9</f>
        <v/>
      </c>
      <c r="L403">
        <f>B403-J403</f>
        <v/>
      </c>
      <c r="M403">
        <f>IF(K403&gt;0,IF(L403/K403&gt;=Assumptions!$B$37,1,0),0)</f>
        <v/>
      </c>
      <c r="N403">
        <f>K403+M403*Assumptions!$B$153</f>
        <v/>
      </c>
      <c r="O403">
        <f>L403+M403*Assumptions!$B$153*Assumptions!$B$37</f>
        <v/>
      </c>
      <c r="P403">
        <f>IF(N403&gt;0,O403/N403,0)</f>
        <v/>
      </c>
      <c r="Q403">
        <f>IF(C403=1,P403*Assumptions!$B$141,Assumptions!$B$41)</f>
        <v/>
      </c>
      <c r="R403">
        <f>IF(D403=1,P403*Assumptions!$B$128,Assumptions!$B$33)</f>
        <v/>
      </c>
      <c r="S403">
        <f>IF(E403=1,P403*Assumptions!$B$129,Assumptions!$B$32)</f>
        <v/>
      </c>
      <c r="T403">
        <f>IF(F403=1,P403*Assumptions!$B$14,Assumptions!$B$31)</f>
        <v/>
      </c>
      <c r="U403">
        <f>IF(G403=1,P403*Assumptions!$B$13,Assumptions!$B$30)</f>
        <v/>
      </c>
      <c r="V403">
        <f>IF(H403=1,P403*Assumptions!$B$12,Assumptions!$B$29)</f>
        <v/>
      </c>
      <c r="W403">
        <f>IF(I403=1,P403*Assumptions!$B$11,Assumptions!$B$28)</f>
        <v/>
      </c>
      <c r="X403">
        <f>P403*(Assumptions!$B$133+Assumptions!$B$137)</f>
        <v/>
      </c>
      <c r="Y403">
        <f>P403*Assumptions!$B$9</f>
        <v/>
      </c>
      <c r="Z403">
        <f>IF(M403=1,(P403-Assumptions!$B$37)*Assumptions!$B$153,0)</f>
        <v/>
      </c>
      <c r="AA403">
        <f>Q403+R403+S403+T403+U403+V403+W403+X403+Y403+Z403</f>
        <v/>
      </c>
      <c r="AB403" t="n">
        <v>96</v>
      </c>
      <c r="AC403" t="n">
        <v>32</v>
      </c>
      <c r="AD403" t="n">
        <v>64</v>
      </c>
      <c r="AE403" t="n">
        <v>112</v>
      </c>
      <c r="AF403" t="n">
        <v>104</v>
      </c>
      <c r="AG403" t="n">
        <v>100</v>
      </c>
      <c r="AH403" t="n">
        <v>98</v>
      </c>
      <c r="AI403" t="n">
        <v>97</v>
      </c>
      <c r="AJ403">
        <f>INDEX($Q$307:$Q$434,AC403+1)</f>
        <v/>
      </c>
      <c r="AK403">
        <f>INDEX($R$307:$R$434,AD403+1)</f>
        <v/>
      </c>
      <c r="AL403">
        <f>INDEX($S$307:$S$434,AE403+1)</f>
        <v/>
      </c>
      <c r="AM403">
        <f>INDEX($T$307:$T$434,AF403+1)</f>
        <v/>
      </c>
      <c r="AN403">
        <f>INDEX($U$307:$U$434,AG403+1)</f>
        <v/>
      </c>
      <c r="AO403">
        <f>INDEX($V$307:$V$434,AH403+1)</f>
        <v/>
      </c>
      <c r="AP403">
        <f>INDEX($W$307:$W$434,AI403+1)</f>
        <v/>
      </c>
      <c r="AQ403">
        <f>IF(Q403&gt;=AJ403-0.01,1,0)</f>
        <v/>
      </c>
      <c r="AR403">
        <f>IF(R403&gt;=AK403-0.01,1,0)</f>
        <v/>
      </c>
      <c r="AS403">
        <f>IF(S403&gt;=AL403-0.01,1,0)</f>
        <v/>
      </c>
      <c r="AT403">
        <f>IF(T403&gt;=AM403-0.01,1,0)</f>
        <v/>
      </c>
      <c r="AU403">
        <f>IF(U403&gt;=AN403-0.01,1,0)</f>
        <v/>
      </c>
      <c r="AV403">
        <f>IF(V403&gt;=AO403-0.01,1,0)</f>
        <v/>
      </c>
      <c r="AW403">
        <f>IF(W403&gt;=AP403-0.01,1,0)</f>
        <v/>
      </c>
      <c r="AX403">
        <f>AQ403*AR403*AS403*AT403*AU403*AV403*AW403</f>
        <v/>
      </c>
      <c r="AY403">
        <f>Assumptions!$B$41</f>
        <v/>
      </c>
      <c r="AZ403">
        <f>Assumptions!$B$33</f>
        <v/>
      </c>
      <c r="BA403">
        <f>Assumptions!$B$32</f>
        <v/>
      </c>
      <c r="BB403">
        <f>Assumptions!$B$31</f>
        <v/>
      </c>
      <c r="BC403">
        <f>Assumptions!$B$30</f>
        <v/>
      </c>
      <c r="BD403">
        <f>Assumptions!$B$29</f>
        <v/>
      </c>
      <c r="BE403">
        <f>Assumptions!$B$28</f>
        <v/>
      </c>
      <c r="BF403">
        <f>P403*Assumptions!$B$141</f>
        <v/>
      </c>
      <c r="BG403">
        <f>P403*Assumptions!$B$128</f>
        <v/>
      </c>
      <c r="BH403">
        <f>P403*Assumptions!$B$129</f>
        <v/>
      </c>
      <c r="BI403">
        <f>P403*Assumptions!$B$14</f>
        <v/>
      </c>
      <c r="BJ403">
        <f>P403*Assumptions!$B$13</f>
        <v/>
      </c>
      <c r="BK403">
        <f>P403*Assumptions!$B$12</f>
        <v/>
      </c>
      <c r="BL403">
        <f>P403*Assumptions!$B$11</f>
        <v/>
      </c>
    </row>
    <row r="404">
      <c r="A404" t="inlineStr">
        <is>
          <t>2000M</t>
        </is>
      </c>
      <c r="B404">
        <f>Assumptions!$B$60</f>
        <v/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>
        <f>(1-C404)*Assumptions!$B$41+(1-D404)*Assumptions!$B$33+(1-E404)*Assumptions!$B$32+(1-F404)*Assumptions!$B$31+(1-G404)*Assumptions!$B$30+(1-H404)*Assumptions!$B$29+(1-I404)*Assumptions!$B$28</f>
        <v/>
      </c>
      <c r="K404">
        <f>C404*Assumptions!$B$141+D404*Assumptions!$B$128+E404*Assumptions!$B$129+F404*Assumptions!$B$14+G404*Assumptions!$B$13+H404*Assumptions!$B$12+I404*Assumptions!$B$11+Assumptions!$B$133+Assumptions!$B$137+Assumptions!$B$9</f>
        <v/>
      </c>
      <c r="L404">
        <f>B404-J404</f>
        <v/>
      </c>
      <c r="M404">
        <f>IF(K404&gt;0,IF(L404/K404&gt;=Assumptions!$B$37,1,0),0)</f>
        <v/>
      </c>
      <c r="N404">
        <f>K404+M404*Assumptions!$B$153</f>
        <v/>
      </c>
      <c r="O404">
        <f>L404+M404*Assumptions!$B$153*Assumptions!$B$37</f>
        <v/>
      </c>
      <c r="P404">
        <f>IF(N404&gt;0,O404/N404,0)</f>
        <v/>
      </c>
      <c r="Q404">
        <f>IF(C404=1,P404*Assumptions!$B$141,Assumptions!$B$41)</f>
        <v/>
      </c>
      <c r="R404">
        <f>IF(D404=1,P404*Assumptions!$B$128,Assumptions!$B$33)</f>
        <v/>
      </c>
      <c r="S404">
        <f>IF(E404=1,P404*Assumptions!$B$129,Assumptions!$B$32)</f>
        <v/>
      </c>
      <c r="T404">
        <f>IF(F404=1,P404*Assumptions!$B$14,Assumptions!$B$31)</f>
        <v/>
      </c>
      <c r="U404">
        <f>IF(G404=1,P404*Assumptions!$B$13,Assumptions!$B$30)</f>
        <v/>
      </c>
      <c r="V404">
        <f>IF(H404=1,P404*Assumptions!$B$12,Assumptions!$B$29)</f>
        <v/>
      </c>
      <c r="W404">
        <f>IF(I404=1,P404*Assumptions!$B$11,Assumptions!$B$28)</f>
        <v/>
      </c>
      <c r="X404">
        <f>P404*(Assumptions!$B$133+Assumptions!$B$137)</f>
        <v/>
      </c>
      <c r="Y404">
        <f>P404*Assumptions!$B$9</f>
        <v/>
      </c>
      <c r="Z404">
        <f>IF(M404=1,(P404-Assumptions!$B$37)*Assumptions!$B$153,0)</f>
        <v/>
      </c>
      <c r="AA404">
        <f>Q404+R404+S404+T404+U404+V404+W404+X404+Y404+Z404</f>
        <v/>
      </c>
      <c r="AB404" t="n">
        <v>97</v>
      </c>
      <c r="AC404" t="n">
        <v>33</v>
      </c>
      <c r="AD404" t="n">
        <v>65</v>
      </c>
      <c r="AE404" t="n">
        <v>113</v>
      </c>
      <c r="AF404" t="n">
        <v>105</v>
      </c>
      <c r="AG404" t="n">
        <v>101</v>
      </c>
      <c r="AH404" t="n">
        <v>99</v>
      </c>
      <c r="AI404" t="n">
        <v>96</v>
      </c>
      <c r="AJ404">
        <f>INDEX($Q$307:$Q$434,AC404+1)</f>
        <v/>
      </c>
      <c r="AK404">
        <f>INDEX($R$307:$R$434,AD404+1)</f>
        <v/>
      </c>
      <c r="AL404">
        <f>INDEX($S$307:$S$434,AE404+1)</f>
        <v/>
      </c>
      <c r="AM404">
        <f>INDEX($T$307:$T$434,AF404+1)</f>
        <v/>
      </c>
      <c r="AN404">
        <f>INDEX($U$307:$U$434,AG404+1)</f>
        <v/>
      </c>
      <c r="AO404">
        <f>INDEX($V$307:$V$434,AH404+1)</f>
        <v/>
      </c>
      <c r="AP404">
        <f>INDEX($W$307:$W$434,AI404+1)</f>
        <v/>
      </c>
      <c r="AQ404">
        <f>IF(Q404&gt;=AJ404-0.01,1,0)</f>
        <v/>
      </c>
      <c r="AR404">
        <f>IF(R404&gt;=AK404-0.01,1,0)</f>
        <v/>
      </c>
      <c r="AS404">
        <f>IF(S404&gt;=AL404-0.01,1,0)</f>
        <v/>
      </c>
      <c r="AT404">
        <f>IF(T404&gt;=AM404-0.01,1,0)</f>
        <v/>
      </c>
      <c r="AU404">
        <f>IF(U404&gt;=AN404-0.01,1,0)</f>
        <v/>
      </c>
      <c r="AV404">
        <f>IF(V404&gt;=AO404-0.01,1,0)</f>
        <v/>
      </c>
      <c r="AW404">
        <f>IF(W404&gt;=AP404-0.01,1,0)</f>
        <v/>
      </c>
      <c r="AX404">
        <f>AQ404*AR404*AS404*AT404*AU404*AV404*AW404</f>
        <v/>
      </c>
      <c r="AY404">
        <f>Assumptions!$B$41</f>
        <v/>
      </c>
      <c r="AZ404">
        <f>Assumptions!$B$33</f>
        <v/>
      </c>
      <c r="BA404">
        <f>Assumptions!$B$32</f>
        <v/>
      </c>
      <c r="BB404">
        <f>Assumptions!$B$31</f>
        <v/>
      </c>
      <c r="BC404">
        <f>Assumptions!$B$30</f>
        <v/>
      </c>
      <c r="BD404">
        <f>Assumptions!$B$29</f>
        <v/>
      </c>
      <c r="BE404">
        <f>Assumptions!$B$28</f>
        <v/>
      </c>
      <c r="BF404">
        <f>P404*Assumptions!$B$141</f>
        <v/>
      </c>
      <c r="BG404">
        <f>P404*Assumptions!$B$128</f>
        <v/>
      </c>
      <c r="BH404">
        <f>P404*Assumptions!$B$129</f>
        <v/>
      </c>
      <c r="BI404">
        <f>P404*Assumptions!$B$14</f>
        <v/>
      </c>
      <c r="BJ404">
        <f>P404*Assumptions!$B$13</f>
        <v/>
      </c>
      <c r="BK404">
        <f>P404*Assumptions!$B$12</f>
        <v/>
      </c>
      <c r="BL404">
        <f>P404*Assumptions!$B$11</f>
        <v/>
      </c>
    </row>
    <row r="405">
      <c r="A405" t="inlineStr">
        <is>
          <t>2000M</t>
        </is>
      </c>
      <c r="B405">
        <f>Assumptions!$B$60</f>
        <v/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>
        <f>(1-C405)*Assumptions!$B$41+(1-D405)*Assumptions!$B$33+(1-E405)*Assumptions!$B$32+(1-F405)*Assumptions!$B$31+(1-G405)*Assumptions!$B$30+(1-H405)*Assumptions!$B$29+(1-I405)*Assumptions!$B$28</f>
        <v/>
      </c>
      <c r="K405">
        <f>C405*Assumptions!$B$141+D405*Assumptions!$B$128+E405*Assumptions!$B$129+F405*Assumptions!$B$14+G405*Assumptions!$B$13+H405*Assumptions!$B$12+I405*Assumptions!$B$11+Assumptions!$B$133+Assumptions!$B$137+Assumptions!$B$9</f>
        <v/>
      </c>
      <c r="L405">
        <f>B405-J405</f>
        <v/>
      </c>
      <c r="M405">
        <f>IF(K405&gt;0,IF(L405/K405&gt;=Assumptions!$B$37,1,0),0)</f>
        <v/>
      </c>
      <c r="N405">
        <f>K405+M405*Assumptions!$B$153</f>
        <v/>
      </c>
      <c r="O405">
        <f>L405+M405*Assumptions!$B$153*Assumptions!$B$37</f>
        <v/>
      </c>
      <c r="P405">
        <f>IF(N405&gt;0,O405/N405,0)</f>
        <v/>
      </c>
      <c r="Q405">
        <f>IF(C405=1,P405*Assumptions!$B$141,Assumptions!$B$41)</f>
        <v/>
      </c>
      <c r="R405">
        <f>IF(D405=1,P405*Assumptions!$B$128,Assumptions!$B$33)</f>
        <v/>
      </c>
      <c r="S405">
        <f>IF(E405=1,P405*Assumptions!$B$129,Assumptions!$B$32)</f>
        <v/>
      </c>
      <c r="T405">
        <f>IF(F405=1,P405*Assumptions!$B$14,Assumptions!$B$31)</f>
        <v/>
      </c>
      <c r="U405">
        <f>IF(G405=1,P405*Assumptions!$B$13,Assumptions!$B$30)</f>
        <v/>
      </c>
      <c r="V405">
        <f>IF(H405=1,P405*Assumptions!$B$12,Assumptions!$B$29)</f>
        <v/>
      </c>
      <c r="W405">
        <f>IF(I405=1,P405*Assumptions!$B$11,Assumptions!$B$28)</f>
        <v/>
      </c>
      <c r="X405">
        <f>P405*(Assumptions!$B$133+Assumptions!$B$137)</f>
        <v/>
      </c>
      <c r="Y405">
        <f>P405*Assumptions!$B$9</f>
        <v/>
      </c>
      <c r="Z405">
        <f>IF(M405=1,(P405-Assumptions!$B$37)*Assumptions!$B$153,0)</f>
        <v/>
      </c>
      <c r="AA405">
        <f>Q405+R405+S405+T405+U405+V405+W405+X405+Y405+Z405</f>
        <v/>
      </c>
      <c r="AB405" t="n">
        <v>98</v>
      </c>
      <c r="AC405" t="n">
        <v>34</v>
      </c>
      <c r="AD405" t="n">
        <v>66</v>
      </c>
      <c r="AE405" t="n">
        <v>114</v>
      </c>
      <c r="AF405" t="n">
        <v>106</v>
      </c>
      <c r="AG405" t="n">
        <v>102</v>
      </c>
      <c r="AH405" t="n">
        <v>96</v>
      </c>
      <c r="AI405" t="n">
        <v>99</v>
      </c>
      <c r="AJ405">
        <f>INDEX($Q$307:$Q$434,AC405+1)</f>
        <v/>
      </c>
      <c r="AK405">
        <f>INDEX($R$307:$R$434,AD405+1)</f>
        <v/>
      </c>
      <c r="AL405">
        <f>INDEX($S$307:$S$434,AE405+1)</f>
        <v/>
      </c>
      <c r="AM405">
        <f>INDEX($T$307:$T$434,AF405+1)</f>
        <v/>
      </c>
      <c r="AN405">
        <f>INDEX($U$307:$U$434,AG405+1)</f>
        <v/>
      </c>
      <c r="AO405">
        <f>INDEX($V$307:$V$434,AH405+1)</f>
        <v/>
      </c>
      <c r="AP405">
        <f>INDEX($W$307:$W$434,AI405+1)</f>
        <v/>
      </c>
      <c r="AQ405">
        <f>IF(Q405&gt;=AJ405-0.01,1,0)</f>
        <v/>
      </c>
      <c r="AR405">
        <f>IF(R405&gt;=AK405-0.01,1,0)</f>
        <v/>
      </c>
      <c r="AS405">
        <f>IF(S405&gt;=AL405-0.01,1,0)</f>
        <v/>
      </c>
      <c r="AT405">
        <f>IF(T405&gt;=AM405-0.01,1,0)</f>
        <v/>
      </c>
      <c r="AU405">
        <f>IF(U405&gt;=AN405-0.01,1,0)</f>
        <v/>
      </c>
      <c r="AV405">
        <f>IF(V405&gt;=AO405-0.01,1,0)</f>
        <v/>
      </c>
      <c r="AW405">
        <f>IF(W405&gt;=AP405-0.01,1,0)</f>
        <v/>
      </c>
      <c r="AX405">
        <f>AQ405*AR405*AS405*AT405*AU405*AV405*AW405</f>
        <v/>
      </c>
      <c r="AY405">
        <f>Assumptions!$B$41</f>
        <v/>
      </c>
      <c r="AZ405">
        <f>Assumptions!$B$33</f>
        <v/>
      </c>
      <c r="BA405">
        <f>Assumptions!$B$32</f>
        <v/>
      </c>
      <c r="BB405">
        <f>Assumptions!$B$31</f>
        <v/>
      </c>
      <c r="BC405">
        <f>Assumptions!$B$30</f>
        <v/>
      </c>
      <c r="BD405">
        <f>Assumptions!$B$29</f>
        <v/>
      </c>
      <c r="BE405">
        <f>Assumptions!$B$28</f>
        <v/>
      </c>
      <c r="BF405">
        <f>P405*Assumptions!$B$141</f>
        <v/>
      </c>
      <c r="BG405">
        <f>P405*Assumptions!$B$128</f>
        <v/>
      </c>
      <c r="BH405">
        <f>P405*Assumptions!$B$129</f>
        <v/>
      </c>
      <c r="BI405">
        <f>P405*Assumptions!$B$14</f>
        <v/>
      </c>
      <c r="BJ405">
        <f>P405*Assumptions!$B$13</f>
        <v/>
      </c>
      <c r="BK405">
        <f>P405*Assumptions!$B$12</f>
        <v/>
      </c>
      <c r="BL405">
        <f>P405*Assumptions!$B$11</f>
        <v/>
      </c>
    </row>
    <row r="406">
      <c r="A406" t="inlineStr">
        <is>
          <t>2000M</t>
        </is>
      </c>
      <c r="B406">
        <f>Assumptions!$B$60</f>
        <v/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>
        <f>(1-C406)*Assumptions!$B$41+(1-D406)*Assumptions!$B$33+(1-E406)*Assumptions!$B$32+(1-F406)*Assumptions!$B$31+(1-G406)*Assumptions!$B$30+(1-H406)*Assumptions!$B$29+(1-I406)*Assumptions!$B$28</f>
        <v/>
      </c>
      <c r="K406">
        <f>C406*Assumptions!$B$141+D406*Assumptions!$B$128+E406*Assumptions!$B$129+F406*Assumptions!$B$14+G406*Assumptions!$B$13+H406*Assumptions!$B$12+I406*Assumptions!$B$11+Assumptions!$B$133+Assumptions!$B$137+Assumptions!$B$9</f>
        <v/>
      </c>
      <c r="L406">
        <f>B406-J406</f>
        <v/>
      </c>
      <c r="M406">
        <f>IF(K406&gt;0,IF(L406/K406&gt;=Assumptions!$B$37,1,0),0)</f>
        <v/>
      </c>
      <c r="N406">
        <f>K406+M406*Assumptions!$B$153</f>
        <v/>
      </c>
      <c r="O406">
        <f>L406+M406*Assumptions!$B$153*Assumptions!$B$37</f>
        <v/>
      </c>
      <c r="P406">
        <f>IF(N406&gt;0,O406/N406,0)</f>
        <v/>
      </c>
      <c r="Q406">
        <f>IF(C406=1,P406*Assumptions!$B$141,Assumptions!$B$41)</f>
        <v/>
      </c>
      <c r="R406">
        <f>IF(D406=1,P406*Assumptions!$B$128,Assumptions!$B$33)</f>
        <v/>
      </c>
      <c r="S406">
        <f>IF(E406=1,P406*Assumptions!$B$129,Assumptions!$B$32)</f>
        <v/>
      </c>
      <c r="T406">
        <f>IF(F406=1,P406*Assumptions!$B$14,Assumptions!$B$31)</f>
        <v/>
      </c>
      <c r="U406">
        <f>IF(G406=1,P406*Assumptions!$B$13,Assumptions!$B$30)</f>
        <v/>
      </c>
      <c r="V406">
        <f>IF(H406=1,P406*Assumptions!$B$12,Assumptions!$B$29)</f>
        <v/>
      </c>
      <c r="W406">
        <f>IF(I406=1,P406*Assumptions!$B$11,Assumptions!$B$28)</f>
        <v/>
      </c>
      <c r="X406">
        <f>P406*(Assumptions!$B$133+Assumptions!$B$137)</f>
        <v/>
      </c>
      <c r="Y406">
        <f>P406*Assumptions!$B$9</f>
        <v/>
      </c>
      <c r="Z406">
        <f>IF(M406=1,(P406-Assumptions!$B$37)*Assumptions!$B$153,0)</f>
        <v/>
      </c>
      <c r="AA406">
        <f>Q406+R406+S406+T406+U406+V406+W406+X406+Y406+Z406</f>
        <v/>
      </c>
      <c r="AB406" t="n">
        <v>99</v>
      </c>
      <c r="AC406" t="n">
        <v>35</v>
      </c>
      <c r="AD406" t="n">
        <v>67</v>
      </c>
      <c r="AE406" t="n">
        <v>115</v>
      </c>
      <c r="AF406" t="n">
        <v>107</v>
      </c>
      <c r="AG406" t="n">
        <v>103</v>
      </c>
      <c r="AH406" t="n">
        <v>97</v>
      </c>
      <c r="AI406" t="n">
        <v>98</v>
      </c>
      <c r="AJ406">
        <f>INDEX($Q$307:$Q$434,AC406+1)</f>
        <v/>
      </c>
      <c r="AK406">
        <f>INDEX($R$307:$R$434,AD406+1)</f>
        <v/>
      </c>
      <c r="AL406">
        <f>INDEX($S$307:$S$434,AE406+1)</f>
        <v/>
      </c>
      <c r="AM406">
        <f>INDEX($T$307:$T$434,AF406+1)</f>
        <v/>
      </c>
      <c r="AN406">
        <f>INDEX($U$307:$U$434,AG406+1)</f>
        <v/>
      </c>
      <c r="AO406">
        <f>INDEX($V$307:$V$434,AH406+1)</f>
        <v/>
      </c>
      <c r="AP406">
        <f>INDEX($W$307:$W$434,AI406+1)</f>
        <v/>
      </c>
      <c r="AQ406">
        <f>IF(Q406&gt;=AJ406-0.01,1,0)</f>
        <v/>
      </c>
      <c r="AR406">
        <f>IF(R406&gt;=AK406-0.01,1,0)</f>
        <v/>
      </c>
      <c r="AS406">
        <f>IF(S406&gt;=AL406-0.01,1,0)</f>
        <v/>
      </c>
      <c r="AT406">
        <f>IF(T406&gt;=AM406-0.01,1,0)</f>
        <v/>
      </c>
      <c r="AU406">
        <f>IF(U406&gt;=AN406-0.01,1,0)</f>
        <v/>
      </c>
      <c r="AV406">
        <f>IF(V406&gt;=AO406-0.01,1,0)</f>
        <v/>
      </c>
      <c r="AW406">
        <f>IF(W406&gt;=AP406-0.01,1,0)</f>
        <v/>
      </c>
      <c r="AX406">
        <f>AQ406*AR406*AS406*AT406*AU406*AV406*AW406</f>
        <v/>
      </c>
      <c r="AY406">
        <f>Assumptions!$B$41</f>
        <v/>
      </c>
      <c r="AZ406">
        <f>Assumptions!$B$33</f>
        <v/>
      </c>
      <c r="BA406">
        <f>Assumptions!$B$32</f>
        <v/>
      </c>
      <c r="BB406">
        <f>Assumptions!$B$31</f>
        <v/>
      </c>
      <c r="BC406">
        <f>Assumptions!$B$30</f>
        <v/>
      </c>
      <c r="BD406">
        <f>Assumptions!$B$29</f>
        <v/>
      </c>
      <c r="BE406">
        <f>Assumptions!$B$28</f>
        <v/>
      </c>
      <c r="BF406">
        <f>P406*Assumptions!$B$141</f>
        <v/>
      </c>
      <c r="BG406">
        <f>P406*Assumptions!$B$128</f>
        <v/>
      </c>
      <c r="BH406">
        <f>P406*Assumptions!$B$129</f>
        <v/>
      </c>
      <c r="BI406">
        <f>P406*Assumptions!$B$14</f>
        <v/>
      </c>
      <c r="BJ406">
        <f>P406*Assumptions!$B$13</f>
        <v/>
      </c>
      <c r="BK406">
        <f>P406*Assumptions!$B$12</f>
        <v/>
      </c>
      <c r="BL406">
        <f>P406*Assumptions!$B$11</f>
        <v/>
      </c>
    </row>
    <row r="407">
      <c r="A407" t="inlineStr">
        <is>
          <t>2000M</t>
        </is>
      </c>
      <c r="B407">
        <f>Assumptions!$B$60</f>
        <v/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>
        <f>(1-C407)*Assumptions!$B$41+(1-D407)*Assumptions!$B$33+(1-E407)*Assumptions!$B$32+(1-F407)*Assumptions!$B$31+(1-G407)*Assumptions!$B$30+(1-H407)*Assumptions!$B$29+(1-I407)*Assumptions!$B$28</f>
        <v/>
      </c>
      <c r="K407">
        <f>C407*Assumptions!$B$141+D407*Assumptions!$B$128+E407*Assumptions!$B$129+F407*Assumptions!$B$14+G407*Assumptions!$B$13+H407*Assumptions!$B$12+I407*Assumptions!$B$11+Assumptions!$B$133+Assumptions!$B$137+Assumptions!$B$9</f>
        <v/>
      </c>
      <c r="L407">
        <f>B407-J407</f>
        <v/>
      </c>
      <c r="M407">
        <f>IF(K407&gt;0,IF(L407/K407&gt;=Assumptions!$B$37,1,0),0)</f>
        <v/>
      </c>
      <c r="N407">
        <f>K407+M407*Assumptions!$B$153</f>
        <v/>
      </c>
      <c r="O407">
        <f>L407+M407*Assumptions!$B$153*Assumptions!$B$37</f>
        <v/>
      </c>
      <c r="P407">
        <f>IF(N407&gt;0,O407/N407,0)</f>
        <v/>
      </c>
      <c r="Q407">
        <f>IF(C407=1,P407*Assumptions!$B$141,Assumptions!$B$41)</f>
        <v/>
      </c>
      <c r="R407">
        <f>IF(D407=1,P407*Assumptions!$B$128,Assumptions!$B$33)</f>
        <v/>
      </c>
      <c r="S407">
        <f>IF(E407=1,P407*Assumptions!$B$129,Assumptions!$B$32)</f>
        <v/>
      </c>
      <c r="T407">
        <f>IF(F407=1,P407*Assumptions!$B$14,Assumptions!$B$31)</f>
        <v/>
      </c>
      <c r="U407">
        <f>IF(G407=1,P407*Assumptions!$B$13,Assumptions!$B$30)</f>
        <v/>
      </c>
      <c r="V407">
        <f>IF(H407=1,P407*Assumptions!$B$12,Assumptions!$B$29)</f>
        <v/>
      </c>
      <c r="W407">
        <f>IF(I407=1,P407*Assumptions!$B$11,Assumptions!$B$28)</f>
        <v/>
      </c>
      <c r="X407">
        <f>P407*(Assumptions!$B$133+Assumptions!$B$137)</f>
        <v/>
      </c>
      <c r="Y407">
        <f>P407*Assumptions!$B$9</f>
        <v/>
      </c>
      <c r="Z407">
        <f>IF(M407=1,(P407-Assumptions!$B$37)*Assumptions!$B$153,0)</f>
        <v/>
      </c>
      <c r="AA407">
        <f>Q407+R407+S407+T407+U407+V407+W407+X407+Y407+Z407</f>
        <v/>
      </c>
      <c r="AB407" t="n">
        <v>100</v>
      </c>
      <c r="AC407" t="n">
        <v>36</v>
      </c>
      <c r="AD407" t="n">
        <v>68</v>
      </c>
      <c r="AE407" t="n">
        <v>116</v>
      </c>
      <c r="AF407" t="n">
        <v>108</v>
      </c>
      <c r="AG407" t="n">
        <v>96</v>
      </c>
      <c r="AH407" t="n">
        <v>102</v>
      </c>
      <c r="AI407" t="n">
        <v>101</v>
      </c>
      <c r="AJ407">
        <f>INDEX($Q$307:$Q$434,AC407+1)</f>
        <v/>
      </c>
      <c r="AK407">
        <f>INDEX($R$307:$R$434,AD407+1)</f>
        <v/>
      </c>
      <c r="AL407">
        <f>INDEX($S$307:$S$434,AE407+1)</f>
        <v/>
      </c>
      <c r="AM407">
        <f>INDEX($T$307:$T$434,AF407+1)</f>
        <v/>
      </c>
      <c r="AN407">
        <f>INDEX($U$307:$U$434,AG407+1)</f>
        <v/>
      </c>
      <c r="AO407">
        <f>INDEX($V$307:$V$434,AH407+1)</f>
        <v/>
      </c>
      <c r="AP407">
        <f>INDEX($W$307:$W$434,AI407+1)</f>
        <v/>
      </c>
      <c r="AQ407">
        <f>IF(Q407&gt;=AJ407-0.01,1,0)</f>
        <v/>
      </c>
      <c r="AR407">
        <f>IF(R407&gt;=AK407-0.01,1,0)</f>
        <v/>
      </c>
      <c r="AS407">
        <f>IF(S407&gt;=AL407-0.01,1,0)</f>
        <v/>
      </c>
      <c r="AT407">
        <f>IF(T407&gt;=AM407-0.01,1,0)</f>
        <v/>
      </c>
      <c r="AU407">
        <f>IF(U407&gt;=AN407-0.01,1,0)</f>
        <v/>
      </c>
      <c r="AV407">
        <f>IF(V407&gt;=AO407-0.01,1,0)</f>
        <v/>
      </c>
      <c r="AW407">
        <f>IF(W407&gt;=AP407-0.01,1,0)</f>
        <v/>
      </c>
      <c r="AX407">
        <f>AQ407*AR407*AS407*AT407*AU407*AV407*AW407</f>
        <v/>
      </c>
      <c r="AY407">
        <f>Assumptions!$B$41</f>
        <v/>
      </c>
      <c r="AZ407">
        <f>Assumptions!$B$33</f>
        <v/>
      </c>
      <c r="BA407">
        <f>Assumptions!$B$32</f>
        <v/>
      </c>
      <c r="BB407">
        <f>Assumptions!$B$31</f>
        <v/>
      </c>
      <c r="BC407">
        <f>Assumptions!$B$30</f>
        <v/>
      </c>
      <c r="BD407">
        <f>Assumptions!$B$29</f>
        <v/>
      </c>
      <c r="BE407">
        <f>Assumptions!$B$28</f>
        <v/>
      </c>
      <c r="BF407">
        <f>P407*Assumptions!$B$141</f>
        <v/>
      </c>
      <c r="BG407">
        <f>P407*Assumptions!$B$128</f>
        <v/>
      </c>
      <c r="BH407">
        <f>P407*Assumptions!$B$129</f>
        <v/>
      </c>
      <c r="BI407">
        <f>P407*Assumptions!$B$14</f>
        <v/>
      </c>
      <c r="BJ407">
        <f>P407*Assumptions!$B$13</f>
        <v/>
      </c>
      <c r="BK407">
        <f>P407*Assumptions!$B$12</f>
        <v/>
      </c>
      <c r="BL407">
        <f>P407*Assumptions!$B$11</f>
        <v/>
      </c>
    </row>
    <row r="408">
      <c r="A408" t="inlineStr">
        <is>
          <t>2000M</t>
        </is>
      </c>
      <c r="B408">
        <f>Assumptions!$B$60</f>
        <v/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>
        <f>(1-C408)*Assumptions!$B$41+(1-D408)*Assumptions!$B$33+(1-E408)*Assumptions!$B$32+(1-F408)*Assumptions!$B$31+(1-G408)*Assumptions!$B$30+(1-H408)*Assumptions!$B$29+(1-I408)*Assumptions!$B$28</f>
        <v/>
      </c>
      <c r="K408">
        <f>C408*Assumptions!$B$141+D408*Assumptions!$B$128+E408*Assumptions!$B$129+F408*Assumptions!$B$14+G408*Assumptions!$B$13+H408*Assumptions!$B$12+I408*Assumptions!$B$11+Assumptions!$B$133+Assumptions!$B$137+Assumptions!$B$9</f>
        <v/>
      </c>
      <c r="L408">
        <f>B408-J408</f>
        <v/>
      </c>
      <c r="M408">
        <f>IF(K408&gt;0,IF(L408/K408&gt;=Assumptions!$B$37,1,0),0)</f>
        <v/>
      </c>
      <c r="N408">
        <f>K408+M408*Assumptions!$B$153</f>
        <v/>
      </c>
      <c r="O408">
        <f>L408+M408*Assumptions!$B$153*Assumptions!$B$37</f>
        <v/>
      </c>
      <c r="P408">
        <f>IF(N408&gt;0,O408/N408,0)</f>
        <v/>
      </c>
      <c r="Q408">
        <f>IF(C408=1,P408*Assumptions!$B$141,Assumptions!$B$41)</f>
        <v/>
      </c>
      <c r="R408">
        <f>IF(D408=1,P408*Assumptions!$B$128,Assumptions!$B$33)</f>
        <v/>
      </c>
      <c r="S408">
        <f>IF(E408=1,P408*Assumptions!$B$129,Assumptions!$B$32)</f>
        <v/>
      </c>
      <c r="T408">
        <f>IF(F408=1,P408*Assumptions!$B$14,Assumptions!$B$31)</f>
        <v/>
      </c>
      <c r="U408">
        <f>IF(G408=1,P408*Assumptions!$B$13,Assumptions!$B$30)</f>
        <v/>
      </c>
      <c r="V408">
        <f>IF(H408=1,P408*Assumptions!$B$12,Assumptions!$B$29)</f>
        <v/>
      </c>
      <c r="W408">
        <f>IF(I408=1,P408*Assumptions!$B$11,Assumptions!$B$28)</f>
        <v/>
      </c>
      <c r="X408">
        <f>P408*(Assumptions!$B$133+Assumptions!$B$137)</f>
        <v/>
      </c>
      <c r="Y408">
        <f>P408*Assumptions!$B$9</f>
        <v/>
      </c>
      <c r="Z408">
        <f>IF(M408=1,(P408-Assumptions!$B$37)*Assumptions!$B$153,0)</f>
        <v/>
      </c>
      <c r="AA408">
        <f>Q408+R408+S408+T408+U408+V408+W408+X408+Y408+Z408</f>
        <v/>
      </c>
      <c r="AB408" t="n">
        <v>101</v>
      </c>
      <c r="AC408" t="n">
        <v>37</v>
      </c>
      <c r="AD408" t="n">
        <v>69</v>
      </c>
      <c r="AE408" t="n">
        <v>117</v>
      </c>
      <c r="AF408" t="n">
        <v>109</v>
      </c>
      <c r="AG408" t="n">
        <v>97</v>
      </c>
      <c r="AH408" t="n">
        <v>103</v>
      </c>
      <c r="AI408" t="n">
        <v>100</v>
      </c>
      <c r="AJ408">
        <f>INDEX($Q$307:$Q$434,AC408+1)</f>
        <v/>
      </c>
      <c r="AK408">
        <f>INDEX($R$307:$R$434,AD408+1)</f>
        <v/>
      </c>
      <c r="AL408">
        <f>INDEX($S$307:$S$434,AE408+1)</f>
        <v/>
      </c>
      <c r="AM408">
        <f>INDEX($T$307:$T$434,AF408+1)</f>
        <v/>
      </c>
      <c r="AN408">
        <f>INDEX($U$307:$U$434,AG408+1)</f>
        <v/>
      </c>
      <c r="AO408">
        <f>INDEX($V$307:$V$434,AH408+1)</f>
        <v/>
      </c>
      <c r="AP408">
        <f>INDEX($W$307:$W$434,AI408+1)</f>
        <v/>
      </c>
      <c r="AQ408">
        <f>IF(Q408&gt;=AJ408-0.01,1,0)</f>
        <v/>
      </c>
      <c r="AR408">
        <f>IF(R408&gt;=AK408-0.01,1,0)</f>
        <v/>
      </c>
      <c r="AS408">
        <f>IF(S408&gt;=AL408-0.01,1,0)</f>
        <v/>
      </c>
      <c r="AT408">
        <f>IF(T408&gt;=AM408-0.01,1,0)</f>
        <v/>
      </c>
      <c r="AU408">
        <f>IF(U408&gt;=AN408-0.01,1,0)</f>
        <v/>
      </c>
      <c r="AV408">
        <f>IF(V408&gt;=AO408-0.01,1,0)</f>
        <v/>
      </c>
      <c r="AW408">
        <f>IF(W408&gt;=AP408-0.01,1,0)</f>
        <v/>
      </c>
      <c r="AX408">
        <f>AQ408*AR408*AS408*AT408*AU408*AV408*AW408</f>
        <v/>
      </c>
      <c r="AY408">
        <f>Assumptions!$B$41</f>
        <v/>
      </c>
      <c r="AZ408">
        <f>Assumptions!$B$33</f>
        <v/>
      </c>
      <c r="BA408">
        <f>Assumptions!$B$32</f>
        <v/>
      </c>
      <c r="BB408">
        <f>Assumptions!$B$31</f>
        <v/>
      </c>
      <c r="BC408">
        <f>Assumptions!$B$30</f>
        <v/>
      </c>
      <c r="BD408">
        <f>Assumptions!$B$29</f>
        <v/>
      </c>
      <c r="BE408">
        <f>Assumptions!$B$28</f>
        <v/>
      </c>
      <c r="BF408">
        <f>P408*Assumptions!$B$141</f>
        <v/>
      </c>
      <c r="BG408">
        <f>P408*Assumptions!$B$128</f>
        <v/>
      </c>
      <c r="BH408">
        <f>P408*Assumptions!$B$129</f>
        <v/>
      </c>
      <c r="BI408">
        <f>P408*Assumptions!$B$14</f>
        <v/>
      </c>
      <c r="BJ408">
        <f>P408*Assumptions!$B$13</f>
        <v/>
      </c>
      <c r="BK408">
        <f>P408*Assumptions!$B$12</f>
        <v/>
      </c>
      <c r="BL408">
        <f>P408*Assumptions!$B$11</f>
        <v/>
      </c>
    </row>
    <row r="409">
      <c r="A409" t="inlineStr">
        <is>
          <t>2000M</t>
        </is>
      </c>
      <c r="B409">
        <f>Assumptions!$B$60</f>
        <v/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>
        <f>(1-C409)*Assumptions!$B$41+(1-D409)*Assumptions!$B$33+(1-E409)*Assumptions!$B$32+(1-F409)*Assumptions!$B$31+(1-G409)*Assumptions!$B$30+(1-H409)*Assumptions!$B$29+(1-I409)*Assumptions!$B$28</f>
        <v/>
      </c>
      <c r="K409">
        <f>C409*Assumptions!$B$141+D409*Assumptions!$B$128+E409*Assumptions!$B$129+F409*Assumptions!$B$14+G409*Assumptions!$B$13+H409*Assumptions!$B$12+I409*Assumptions!$B$11+Assumptions!$B$133+Assumptions!$B$137+Assumptions!$B$9</f>
        <v/>
      </c>
      <c r="L409">
        <f>B409-J409</f>
        <v/>
      </c>
      <c r="M409">
        <f>IF(K409&gt;0,IF(L409/K409&gt;=Assumptions!$B$37,1,0),0)</f>
        <v/>
      </c>
      <c r="N409">
        <f>K409+M409*Assumptions!$B$153</f>
        <v/>
      </c>
      <c r="O409">
        <f>L409+M409*Assumptions!$B$153*Assumptions!$B$37</f>
        <v/>
      </c>
      <c r="P409">
        <f>IF(N409&gt;0,O409/N409,0)</f>
        <v/>
      </c>
      <c r="Q409">
        <f>IF(C409=1,P409*Assumptions!$B$141,Assumptions!$B$41)</f>
        <v/>
      </c>
      <c r="R409">
        <f>IF(D409=1,P409*Assumptions!$B$128,Assumptions!$B$33)</f>
        <v/>
      </c>
      <c r="S409">
        <f>IF(E409=1,P409*Assumptions!$B$129,Assumptions!$B$32)</f>
        <v/>
      </c>
      <c r="T409">
        <f>IF(F409=1,P409*Assumptions!$B$14,Assumptions!$B$31)</f>
        <v/>
      </c>
      <c r="U409">
        <f>IF(G409=1,P409*Assumptions!$B$13,Assumptions!$B$30)</f>
        <v/>
      </c>
      <c r="V409">
        <f>IF(H409=1,P409*Assumptions!$B$12,Assumptions!$B$29)</f>
        <v/>
      </c>
      <c r="W409">
        <f>IF(I409=1,P409*Assumptions!$B$11,Assumptions!$B$28)</f>
        <v/>
      </c>
      <c r="X409">
        <f>P409*(Assumptions!$B$133+Assumptions!$B$137)</f>
        <v/>
      </c>
      <c r="Y409">
        <f>P409*Assumptions!$B$9</f>
        <v/>
      </c>
      <c r="Z409">
        <f>IF(M409=1,(P409-Assumptions!$B$37)*Assumptions!$B$153,0)</f>
        <v/>
      </c>
      <c r="AA409">
        <f>Q409+R409+S409+T409+U409+V409+W409+X409+Y409+Z409</f>
        <v/>
      </c>
      <c r="AB409" t="n">
        <v>102</v>
      </c>
      <c r="AC409" t="n">
        <v>38</v>
      </c>
      <c r="AD409" t="n">
        <v>70</v>
      </c>
      <c r="AE409" t="n">
        <v>118</v>
      </c>
      <c r="AF409" t="n">
        <v>110</v>
      </c>
      <c r="AG409" t="n">
        <v>98</v>
      </c>
      <c r="AH409" t="n">
        <v>100</v>
      </c>
      <c r="AI409" t="n">
        <v>103</v>
      </c>
      <c r="AJ409">
        <f>INDEX($Q$307:$Q$434,AC409+1)</f>
        <v/>
      </c>
      <c r="AK409">
        <f>INDEX($R$307:$R$434,AD409+1)</f>
        <v/>
      </c>
      <c r="AL409">
        <f>INDEX($S$307:$S$434,AE409+1)</f>
        <v/>
      </c>
      <c r="AM409">
        <f>INDEX($T$307:$T$434,AF409+1)</f>
        <v/>
      </c>
      <c r="AN409">
        <f>INDEX($U$307:$U$434,AG409+1)</f>
        <v/>
      </c>
      <c r="AO409">
        <f>INDEX($V$307:$V$434,AH409+1)</f>
        <v/>
      </c>
      <c r="AP409">
        <f>INDEX($W$307:$W$434,AI409+1)</f>
        <v/>
      </c>
      <c r="AQ409">
        <f>IF(Q409&gt;=AJ409-0.01,1,0)</f>
        <v/>
      </c>
      <c r="AR409">
        <f>IF(R409&gt;=AK409-0.01,1,0)</f>
        <v/>
      </c>
      <c r="AS409">
        <f>IF(S409&gt;=AL409-0.01,1,0)</f>
        <v/>
      </c>
      <c r="AT409">
        <f>IF(T409&gt;=AM409-0.01,1,0)</f>
        <v/>
      </c>
      <c r="AU409">
        <f>IF(U409&gt;=AN409-0.01,1,0)</f>
        <v/>
      </c>
      <c r="AV409">
        <f>IF(V409&gt;=AO409-0.01,1,0)</f>
        <v/>
      </c>
      <c r="AW409">
        <f>IF(W409&gt;=AP409-0.01,1,0)</f>
        <v/>
      </c>
      <c r="AX409">
        <f>AQ409*AR409*AS409*AT409*AU409*AV409*AW409</f>
        <v/>
      </c>
      <c r="AY409">
        <f>Assumptions!$B$41</f>
        <v/>
      </c>
      <c r="AZ409">
        <f>Assumptions!$B$33</f>
        <v/>
      </c>
      <c r="BA409">
        <f>Assumptions!$B$32</f>
        <v/>
      </c>
      <c r="BB409">
        <f>Assumptions!$B$31</f>
        <v/>
      </c>
      <c r="BC409">
        <f>Assumptions!$B$30</f>
        <v/>
      </c>
      <c r="BD409">
        <f>Assumptions!$B$29</f>
        <v/>
      </c>
      <c r="BE409">
        <f>Assumptions!$B$28</f>
        <v/>
      </c>
      <c r="BF409">
        <f>P409*Assumptions!$B$141</f>
        <v/>
      </c>
      <c r="BG409">
        <f>P409*Assumptions!$B$128</f>
        <v/>
      </c>
      <c r="BH409">
        <f>P409*Assumptions!$B$129</f>
        <v/>
      </c>
      <c r="BI409">
        <f>P409*Assumptions!$B$14</f>
        <v/>
      </c>
      <c r="BJ409">
        <f>P409*Assumptions!$B$13</f>
        <v/>
      </c>
      <c r="BK409">
        <f>P409*Assumptions!$B$12</f>
        <v/>
      </c>
      <c r="BL409">
        <f>P409*Assumptions!$B$11</f>
        <v/>
      </c>
    </row>
    <row r="410">
      <c r="A410" t="inlineStr">
        <is>
          <t>2000M</t>
        </is>
      </c>
      <c r="B410">
        <f>Assumptions!$B$60</f>
        <v/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>
        <f>(1-C410)*Assumptions!$B$41+(1-D410)*Assumptions!$B$33+(1-E410)*Assumptions!$B$32+(1-F410)*Assumptions!$B$31+(1-G410)*Assumptions!$B$30+(1-H410)*Assumptions!$B$29+(1-I410)*Assumptions!$B$28</f>
        <v/>
      </c>
      <c r="K410">
        <f>C410*Assumptions!$B$141+D410*Assumptions!$B$128+E410*Assumptions!$B$129+F410*Assumptions!$B$14+G410*Assumptions!$B$13+H410*Assumptions!$B$12+I410*Assumptions!$B$11+Assumptions!$B$133+Assumptions!$B$137+Assumptions!$B$9</f>
        <v/>
      </c>
      <c r="L410">
        <f>B410-J410</f>
        <v/>
      </c>
      <c r="M410">
        <f>IF(K410&gt;0,IF(L410/K410&gt;=Assumptions!$B$37,1,0),0)</f>
        <v/>
      </c>
      <c r="N410">
        <f>K410+M410*Assumptions!$B$153</f>
        <v/>
      </c>
      <c r="O410">
        <f>L410+M410*Assumptions!$B$153*Assumptions!$B$37</f>
        <v/>
      </c>
      <c r="P410">
        <f>IF(N410&gt;0,O410/N410,0)</f>
        <v/>
      </c>
      <c r="Q410">
        <f>IF(C410=1,P410*Assumptions!$B$141,Assumptions!$B$41)</f>
        <v/>
      </c>
      <c r="R410">
        <f>IF(D410=1,P410*Assumptions!$B$128,Assumptions!$B$33)</f>
        <v/>
      </c>
      <c r="S410">
        <f>IF(E410=1,P410*Assumptions!$B$129,Assumptions!$B$32)</f>
        <v/>
      </c>
      <c r="T410">
        <f>IF(F410=1,P410*Assumptions!$B$14,Assumptions!$B$31)</f>
        <v/>
      </c>
      <c r="U410">
        <f>IF(G410=1,P410*Assumptions!$B$13,Assumptions!$B$30)</f>
        <v/>
      </c>
      <c r="V410">
        <f>IF(H410=1,P410*Assumptions!$B$12,Assumptions!$B$29)</f>
        <v/>
      </c>
      <c r="W410">
        <f>IF(I410=1,P410*Assumptions!$B$11,Assumptions!$B$28)</f>
        <v/>
      </c>
      <c r="X410">
        <f>P410*(Assumptions!$B$133+Assumptions!$B$137)</f>
        <v/>
      </c>
      <c r="Y410">
        <f>P410*Assumptions!$B$9</f>
        <v/>
      </c>
      <c r="Z410">
        <f>IF(M410=1,(P410-Assumptions!$B$37)*Assumptions!$B$153,0)</f>
        <v/>
      </c>
      <c r="AA410">
        <f>Q410+R410+S410+T410+U410+V410+W410+X410+Y410+Z410</f>
        <v/>
      </c>
      <c r="AB410" t="n">
        <v>103</v>
      </c>
      <c r="AC410" t="n">
        <v>39</v>
      </c>
      <c r="AD410" t="n">
        <v>71</v>
      </c>
      <c r="AE410" t="n">
        <v>119</v>
      </c>
      <c r="AF410" t="n">
        <v>111</v>
      </c>
      <c r="AG410" t="n">
        <v>99</v>
      </c>
      <c r="AH410" t="n">
        <v>101</v>
      </c>
      <c r="AI410" t="n">
        <v>102</v>
      </c>
      <c r="AJ410">
        <f>INDEX($Q$307:$Q$434,AC410+1)</f>
        <v/>
      </c>
      <c r="AK410">
        <f>INDEX($R$307:$R$434,AD410+1)</f>
        <v/>
      </c>
      <c r="AL410">
        <f>INDEX($S$307:$S$434,AE410+1)</f>
        <v/>
      </c>
      <c r="AM410">
        <f>INDEX($T$307:$T$434,AF410+1)</f>
        <v/>
      </c>
      <c r="AN410">
        <f>INDEX($U$307:$U$434,AG410+1)</f>
        <v/>
      </c>
      <c r="AO410">
        <f>INDEX($V$307:$V$434,AH410+1)</f>
        <v/>
      </c>
      <c r="AP410">
        <f>INDEX($W$307:$W$434,AI410+1)</f>
        <v/>
      </c>
      <c r="AQ410">
        <f>IF(Q410&gt;=AJ410-0.01,1,0)</f>
        <v/>
      </c>
      <c r="AR410">
        <f>IF(R410&gt;=AK410-0.01,1,0)</f>
        <v/>
      </c>
      <c r="AS410">
        <f>IF(S410&gt;=AL410-0.01,1,0)</f>
        <v/>
      </c>
      <c r="AT410">
        <f>IF(T410&gt;=AM410-0.01,1,0)</f>
        <v/>
      </c>
      <c r="AU410">
        <f>IF(U410&gt;=AN410-0.01,1,0)</f>
        <v/>
      </c>
      <c r="AV410">
        <f>IF(V410&gt;=AO410-0.01,1,0)</f>
        <v/>
      </c>
      <c r="AW410">
        <f>IF(W410&gt;=AP410-0.01,1,0)</f>
        <v/>
      </c>
      <c r="AX410">
        <f>AQ410*AR410*AS410*AT410*AU410*AV410*AW410</f>
        <v/>
      </c>
      <c r="AY410">
        <f>Assumptions!$B$41</f>
        <v/>
      </c>
      <c r="AZ410">
        <f>Assumptions!$B$33</f>
        <v/>
      </c>
      <c r="BA410">
        <f>Assumptions!$B$32</f>
        <v/>
      </c>
      <c r="BB410">
        <f>Assumptions!$B$31</f>
        <v/>
      </c>
      <c r="BC410">
        <f>Assumptions!$B$30</f>
        <v/>
      </c>
      <c r="BD410">
        <f>Assumptions!$B$29</f>
        <v/>
      </c>
      <c r="BE410">
        <f>Assumptions!$B$28</f>
        <v/>
      </c>
      <c r="BF410">
        <f>P410*Assumptions!$B$141</f>
        <v/>
      </c>
      <c r="BG410">
        <f>P410*Assumptions!$B$128</f>
        <v/>
      </c>
      <c r="BH410">
        <f>P410*Assumptions!$B$129</f>
        <v/>
      </c>
      <c r="BI410">
        <f>P410*Assumptions!$B$14</f>
        <v/>
      </c>
      <c r="BJ410">
        <f>P410*Assumptions!$B$13</f>
        <v/>
      </c>
      <c r="BK410">
        <f>P410*Assumptions!$B$12</f>
        <v/>
      </c>
      <c r="BL410">
        <f>P410*Assumptions!$B$11</f>
        <v/>
      </c>
    </row>
    <row r="411">
      <c r="A411" t="inlineStr">
        <is>
          <t>2000M</t>
        </is>
      </c>
      <c r="B411">
        <f>Assumptions!$B$60</f>
        <v/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>
        <f>(1-C411)*Assumptions!$B$41+(1-D411)*Assumptions!$B$33+(1-E411)*Assumptions!$B$32+(1-F411)*Assumptions!$B$31+(1-G411)*Assumptions!$B$30+(1-H411)*Assumptions!$B$29+(1-I411)*Assumptions!$B$28</f>
        <v/>
      </c>
      <c r="K411">
        <f>C411*Assumptions!$B$141+D411*Assumptions!$B$128+E411*Assumptions!$B$129+F411*Assumptions!$B$14+G411*Assumptions!$B$13+H411*Assumptions!$B$12+I411*Assumptions!$B$11+Assumptions!$B$133+Assumptions!$B$137+Assumptions!$B$9</f>
        <v/>
      </c>
      <c r="L411">
        <f>B411-J411</f>
        <v/>
      </c>
      <c r="M411">
        <f>IF(K411&gt;0,IF(L411/K411&gt;=Assumptions!$B$37,1,0),0)</f>
        <v/>
      </c>
      <c r="N411">
        <f>K411+M411*Assumptions!$B$153</f>
        <v/>
      </c>
      <c r="O411">
        <f>L411+M411*Assumptions!$B$153*Assumptions!$B$37</f>
        <v/>
      </c>
      <c r="P411">
        <f>IF(N411&gt;0,O411/N411,0)</f>
        <v/>
      </c>
      <c r="Q411">
        <f>IF(C411=1,P411*Assumptions!$B$141,Assumptions!$B$41)</f>
        <v/>
      </c>
      <c r="R411">
        <f>IF(D411=1,P411*Assumptions!$B$128,Assumptions!$B$33)</f>
        <v/>
      </c>
      <c r="S411">
        <f>IF(E411=1,P411*Assumptions!$B$129,Assumptions!$B$32)</f>
        <v/>
      </c>
      <c r="T411">
        <f>IF(F411=1,P411*Assumptions!$B$14,Assumptions!$B$31)</f>
        <v/>
      </c>
      <c r="U411">
        <f>IF(G411=1,P411*Assumptions!$B$13,Assumptions!$B$30)</f>
        <v/>
      </c>
      <c r="V411">
        <f>IF(H411=1,P411*Assumptions!$B$12,Assumptions!$B$29)</f>
        <v/>
      </c>
      <c r="W411">
        <f>IF(I411=1,P411*Assumptions!$B$11,Assumptions!$B$28)</f>
        <v/>
      </c>
      <c r="X411">
        <f>P411*(Assumptions!$B$133+Assumptions!$B$137)</f>
        <v/>
      </c>
      <c r="Y411">
        <f>P411*Assumptions!$B$9</f>
        <v/>
      </c>
      <c r="Z411">
        <f>IF(M411=1,(P411-Assumptions!$B$37)*Assumptions!$B$153,0)</f>
        <v/>
      </c>
      <c r="AA411">
        <f>Q411+R411+S411+T411+U411+V411+W411+X411+Y411+Z411</f>
        <v/>
      </c>
      <c r="AB411" t="n">
        <v>104</v>
      </c>
      <c r="AC411" t="n">
        <v>40</v>
      </c>
      <c r="AD411" t="n">
        <v>72</v>
      </c>
      <c r="AE411" t="n">
        <v>120</v>
      </c>
      <c r="AF411" t="n">
        <v>96</v>
      </c>
      <c r="AG411" t="n">
        <v>108</v>
      </c>
      <c r="AH411" t="n">
        <v>106</v>
      </c>
      <c r="AI411" t="n">
        <v>105</v>
      </c>
      <c r="AJ411">
        <f>INDEX($Q$307:$Q$434,AC411+1)</f>
        <v/>
      </c>
      <c r="AK411">
        <f>INDEX($R$307:$R$434,AD411+1)</f>
        <v/>
      </c>
      <c r="AL411">
        <f>INDEX($S$307:$S$434,AE411+1)</f>
        <v/>
      </c>
      <c r="AM411">
        <f>INDEX($T$307:$T$434,AF411+1)</f>
        <v/>
      </c>
      <c r="AN411">
        <f>INDEX($U$307:$U$434,AG411+1)</f>
        <v/>
      </c>
      <c r="AO411">
        <f>INDEX($V$307:$V$434,AH411+1)</f>
        <v/>
      </c>
      <c r="AP411">
        <f>INDEX($W$307:$W$434,AI411+1)</f>
        <v/>
      </c>
      <c r="AQ411">
        <f>IF(Q411&gt;=AJ411-0.01,1,0)</f>
        <v/>
      </c>
      <c r="AR411">
        <f>IF(R411&gt;=AK411-0.01,1,0)</f>
        <v/>
      </c>
      <c r="AS411">
        <f>IF(S411&gt;=AL411-0.01,1,0)</f>
        <v/>
      </c>
      <c r="AT411">
        <f>IF(T411&gt;=AM411-0.01,1,0)</f>
        <v/>
      </c>
      <c r="AU411">
        <f>IF(U411&gt;=AN411-0.01,1,0)</f>
        <v/>
      </c>
      <c r="AV411">
        <f>IF(V411&gt;=AO411-0.01,1,0)</f>
        <v/>
      </c>
      <c r="AW411">
        <f>IF(W411&gt;=AP411-0.01,1,0)</f>
        <v/>
      </c>
      <c r="AX411">
        <f>AQ411*AR411*AS411*AT411*AU411*AV411*AW411</f>
        <v/>
      </c>
      <c r="AY411">
        <f>Assumptions!$B$41</f>
        <v/>
      </c>
      <c r="AZ411">
        <f>Assumptions!$B$33</f>
        <v/>
      </c>
      <c r="BA411">
        <f>Assumptions!$B$32</f>
        <v/>
      </c>
      <c r="BB411">
        <f>Assumptions!$B$31</f>
        <v/>
      </c>
      <c r="BC411">
        <f>Assumptions!$B$30</f>
        <v/>
      </c>
      <c r="BD411">
        <f>Assumptions!$B$29</f>
        <v/>
      </c>
      <c r="BE411">
        <f>Assumptions!$B$28</f>
        <v/>
      </c>
      <c r="BF411">
        <f>P411*Assumptions!$B$141</f>
        <v/>
      </c>
      <c r="BG411">
        <f>P411*Assumptions!$B$128</f>
        <v/>
      </c>
      <c r="BH411">
        <f>P411*Assumptions!$B$129</f>
        <v/>
      </c>
      <c r="BI411">
        <f>P411*Assumptions!$B$14</f>
        <v/>
      </c>
      <c r="BJ411">
        <f>P411*Assumptions!$B$13</f>
        <v/>
      </c>
      <c r="BK411">
        <f>P411*Assumptions!$B$12</f>
        <v/>
      </c>
      <c r="BL411">
        <f>P411*Assumptions!$B$11</f>
        <v/>
      </c>
    </row>
    <row r="412">
      <c r="A412" t="inlineStr">
        <is>
          <t>2000M</t>
        </is>
      </c>
      <c r="B412">
        <f>Assumptions!$B$60</f>
        <v/>
      </c>
      <c r="C412" t="n">
        <v>1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>
        <f>(1-C412)*Assumptions!$B$41+(1-D412)*Assumptions!$B$33+(1-E412)*Assumptions!$B$32+(1-F412)*Assumptions!$B$31+(1-G412)*Assumptions!$B$30+(1-H412)*Assumptions!$B$29+(1-I412)*Assumptions!$B$28</f>
        <v/>
      </c>
      <c r="K412">
        <f>C412*Assumptions!$B$141+D412*Assumptions!$B$128+E412*Assumptions!$B$129+F412*Assumptions!$B$14+G412*Assumptions!$B$13+H412*Assumptions!$B$12+I412*Assumptions!$B$11+Assumptions!$B$133+Assumptions!$B$137+Assumptions!$B$9</f>
        <v/>
      </c>
      <c r="L412">
        <f>B412-J412</f>
        <v/>
      </c>
      <c r="M412">
        <f>IF(K412&gt;0,IF(L412/K412&gt;=Assumptions!$B$37,1,0),0)</f>
        <v/>
      </c>
      <c r="N412">
        <f>K412+M412*Assumptions!$B$153</f>
        <v/>
      </c>
      <c r="O412">
        <f>L412+M412*Assumptions!$B$153*Assumptions!$B$37</f>
        <v/>
      </c>
      <c r="P412">
        <f>IF(N412&gt;0,O412/N412,0)</f>
        <v/>
      </c>
      <c r="Q412">
        <f>IF(C412=1,P412*Assumptions!$B$141,Assumptions!$B$41)</f>
        <v/>
      </c>
      <c r="R412">
        <f>IF(D412=1,P412*Assumptions!$B$128,Assumptions!$B$33)</f>
        <v/>
      </c>
      <c r="S412">
        <f>IF(E412=1,P412*Assumptions!$B$129,Assumptions!$B$32)</f>
        <v/>
      </c>
      <c r="T412">
        <f>IF(F412=1,P412*Assumptions!$B$14,Assumptions!$B$31)</f>
        <v/>
      </c>
      <c r="U412">
        <f>IF(G412=1,P412*Assumptions!$B$13,Assumptions!$B$30)</f>
        <v/>
      </c>
      <c r="V412">
        <f>IF(H412=1,P412*Assumptions!$B$12,Assumptions!$B$29)</f>
        <v/>
      </c>
      <c r="W412">
        <f>IF(I412=1,P412*Assumptions!$B$11,Assumptions!$B$28)</f>
        <v/>
      </c>
      <c r="X412">
        <f>P412*(Assumptions!$B$133+Assumptions!$B$137)</f>
        <v/>
      </c>
      <c r="Y412">
        <f>P412*Assumptions!$B$9</f>
        <v/>
      </c>
      <c r="Z412">
        <f>IF(M412=1,(P412-Assumptions!$B$37)*Assumptions!$B$153,0)</f>
        <v/>
      </c>
      <c r="AA412">
        <f>Q412+R412+S412+T412+U412+V412+W412+X412+Y412+Z412</f>
        <v/>
      </c>
      <c r="AB412" t="n">
        <v>105</v>
      </c>
      <c r="AC412" t="n">
        <v>41</v>
      </c>
      <c r="AD412" t="n">
        <v>73</v>
      </c>
      <c r="AE412" t="n">
        <v>121</v>
      </c>
      <c r="AF412" t="n">
        <v>97</v>
      </c>
      <c r="AG412" t="n">
        <v>109</v>
      </c>
      <c r="AH412" t="n">
        <v>107</v>
      </c>
      <c r="AI412" t="n">
        <v>104</v>
      </c>
      <c r="AJ412">
        <f>INDEX($Q$307:$Q$434,AC412+1)</f>
        <v/>
      </c>
      <c r="AK412">
        <f>INDEX($R$307:$R$434,AD412+1)</f>
        <v/>
      </c>
      <c r="AL412">
        <f>INDEX($S$307:$S$434,AE412+1)</f>
        <v/>
      </c>
      <c r="AM412">
        <f>INDEX($T$307:$T$434,AF412+1)</f>
        <v/>
      </c>
      <c r="AN412">
        <f>INDEX($U$307:$U$434,AG412+1)</f>
        <v/>
      </c>
      <c r="AO412">
        <f>INDEX($V$307:$V$434,AH412+1)</f>
        <v/>
      </c>
      <c r="AP412">
        <f>INDEX($W$307:$W$434,AI412+1)</f>
        <v/>
      </c>
      <c r="AQ412">
        <f>IF(Q412&gt;=AJ412-0.01,1,0)</f>
        <v/>
      </c>
      <c r="AR412">
        <f>IF(R412&gt;=AK412-0.01,1,0)</f>
        <v/>
      </c>
      <c r="AS412">
        <f>IF(S412&gt;=AL412-0.01,1,0)</f>
        <v/>
      </c>
      <c r="AT412">
        <f>IF(T412&gt;=AM412-0.01,1,0)</f>
        <v/>
      </c>
      <c r="AU412">
        <f>IF(U412&gt;=AN412-0.01,1,0)</f>
        <v/>
      </c>
      <c r="AV412">
        <f>IF(V412&gt;=AO412-0.01,1,0)</f>
        <v/>
      </c>
      <c r="AW412">
        <f>IF(W412&gt;=AP412-0.01,1,0)</f>
        <v/>
      </c>
      <c r="AX412">
        <f>AQ412*AR412*AS412*AT412*AU412*AV412*AW412</f>
        <v/>
      </c>
      <c r="AY412">
        <f>Assumptions!$B$41</f>
        <v/>
      </c>
      <c r="AZ412">
        <f>Assumptions!$B$33</f>
        <v/>
      </c>
      <c r="BA412">
        <f>Assumptions!$B$32</f>
        <v/>
      </c>
      <c r="BB412">
        <f>Assumptions!$B$31</f>
        <v/>
      </c>
      <c r="BC412">
        <f>Assumptions!$B$30</f>
        <v/>
      </c>
      <c r="BD412">
        <f>Assumptions!$B$29</f>
        <v/>
      </c>
      <c r="BE412">
        <f>Assumptions!$B$28</f>
        <v/>
      </c>
      <c r="BF412">
        <f>P412*Assumptions!$B$141</f>
        <v/>
      </c>
      <c r="BG412">
        <f>P412*Assumptions!$B$128</f>
        <v/>
      </c>
      <c r="BH412">
        <f>P412*Assumptions!$B$129</f>
        <v/>
      </c>
      <c r="BI412">
        <f>P412*Assumptions!$B$14</f>
        <v/>
      </c>
      <c r="BJ412">
        <f>P412*Assumptions!$B$13</f>
        <v/>
      </c>
      <c r="BK412">
        <f>P412*Assumptions!$B$12</f>
        <v/>
      </c>
      <c r="BL412">
        <f>P412*Assumptions!$B$11</f>
        <v/>
      </c>
    </row>
    <row r="413">
      <c r="A413" t="inlineStr">
        <is>
          <t>2000M</t>
        </is>
      </c>
      <c r="B413">
        <f>Assumptions!$B$60</f>
        <v/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>
        <f>(1-C413)*Assumptions!$B$41+(1-D413)*Assumptions!$B$33+(1-E413)*Assumptions!$B$32+(1-F413)*Assumptions!$B$31+(1-G413)*Assumptions!$B$30+(1-H413)*Assumptions!$B$29+(1-I413)*Assumptions!$B$28</f>
        <v/>
      </c>
      <c r="K413">
        <f>C413*Assumptions!$B$141+D413*Assumptions!$B$128+E413*Assumptions!$B$129+F413*Assumptions!$B$14+G413*Assumptions!$B$13+H413*Assumptions!$B$12+I413*Assumptions!$B$11+Assumptions!$B$133+Assumptions!$B$137+Assumptions!$B$9</f>
        <v/>
      </c>
      <c r="L413">
        <f>B413-J413</f>
        <v/>
      </c>
      <c r="M413">
        <f>IF(K413&gt;0,IF(L413/K413&gt;=Assumptions!$B$37,1,0),0)</f>
        <v/>
      </c>
      <c r="N413">
        <f>K413+M413*Assumptions!$B$153</f>
        <v/>
      </c>
      <c r="O413">
        <f>L413+M413*Assumptions!$B$153*Assumptions!$B$37</f>
        <v/>
      </c>
      <c r="P413">
        <f>IF(N413&gt;0,O413/N413,0)</f>
        <v/>
      </c>
      <c r="Q413">
        <f>IF(C413=1,P413*Assumptions!$B$141,Assumptions!$B$41)</f>
        <v/>
      </c>
      <c r="R413">
        <f>IF(D413=1,P413*Assumptions!$B$128,Assumptions!$B$33)</f>
        <v/>
      </c>
      <c r="S413">
        <f>IF(E413=1,P413*Assumptions!$B$129,Assumptions!$B$32)</f>
        <v/>
      </c>
      <c r="T413">
        <f>IF(F413=1,P413*Assumptions!$B$14,Assumptions!$B$31)</f>
        <v/>
      </c>
      <c r="U413">
        <f>IF(G413=1,P413*Assumptions!$B$13,Assumptions!$B$30)</f>
        <v/>
      </c>
      <c r="V413">
        <f>IF(H413=1,P413*Assumptions!$B$12,Assumptions!$B$29)</f>
        <v/>
      </c>
      <c r="W413">
        <f>IF(I413=1,P413*Assumptions!$B$11,Assumptions!$B$28)</f>
        <v/>
      </c>
      <c r="X413">
        <f>P413*(Assumptions!$B$133+Assumptions!$B$137)</f>
        <v/>
      </c>
      <c r="Y413">
        <f>P413*Assumptions!$B$9</f>
        <v/>
      </c>
      <c r="Z413">
        <f>IF(M413=1,(P413-Assumptions!$B$37)*Assumptions!$B$153,0)</f>
        <v/>
      </c>
      <c r="AA413">
        <f>Q413+R413+S413+T413+U413+V413+W413+X413+Y413+Z413</f>
        <v/>
      </c>
      <c r="AB413" t="n">
        <v>106</v>
      </c>
      <c r="AC413" t="n">
        <v>42</v>
      </c>
      <c r="AD413" t="n">
        <v>74</v>
      </c>
      <c r="AE413" t="n">
        <v>122</v>
      </c>
      <c r="AF413" t="n">
        <v>98</v>
      </c>
      <c r="AG413" t="n">
        <v>110</v>
      </c>
      <c r="AH413" t="n">
        <v>104</v>
      </c>
      <c r="AI413" t="n">
        <v>107</v>
      </c>
      <c r="AJ413">
        <f>INDEX($Q$307:$Q$434,AC413+1)</f>
        <v/>
      </c>
      <c r="AK413">
        <f>INDEX($R$307:$R$434,AD413+1)</f>
        <v/>
      </c>
      <c r="AL413">
        <f>INDEX($S$307:$S$434,AE413+1)</f>
        <v/>
      </c>
      <c r="AM413">
        <f>INDEX($T$307:$T$434,AF413+1)</f>
        <v/>
      </c>
      <c r="AN413">
        <f>INDEX($U$307:$U$434,AG413+1)</f>
        <v/>
      </c>
      <c r="AO413">
        <f>INDEX($V$307:$V$434,AH413+1)</f>
        <v/>
      </c>
      <c r="AP413">
        <f>INDEX($W$307:$W$434,AI413+1)</f>
        <v/>
      </c>
      <c r="AQ413">
        <f>IF(Q413&gt;=AJ413-0.01,1,0)</f>
        <v/>
      </c>
      <c r="AR413">
        <f>IF(R413&gt;=AK413-0.01,1,0)</f>
        <v/>
      </c>
      <c r="AS413">
        <f>IF(S413&gt;=AL413-0.01,1,0)</f>
        <v/>
      </c>
      <c r="AT413">
        <f>IF(T413&gt;=AM413-0.01,1,0)</f>
        <v/>
      </c>
      <c r="AU413">
        <f>IF(U413&gt;=AN413-0.01,1,0)</f>
        <v/>
      </c>
      <c r="AV413">
        <f>IF(V413&gt;=AO413-0.01,1,0)</f>
        <v/>
      </c>
      <c r="AW413">
        <f>IF(W413&gt;=AP413-0.01,1,0)</f>
        <v/>
      </c>
      <c r="AX413">
        <f>AQ413*AR413*AS413*AT413*AU413*AV413*AW413</f>
        <v/>
      </c>
      <c r="AY413">
        <f>Assumptions!$B$41</f>
        <v/>
      </c>
      <c r="AZ413">
        <f>Assumptions!$B$33</f>
        <v/>
      </c>
      <c r="BA413">
        <f>Assumptions!$B$32</f>
        <v/>
      </c>
      <c r="BB413">
        <f>Assumptions!$B$31</f>
        <v/>
      </c>
      <c r="BC413">
        <f>Assumptions!$B$30</f>
        <v/>
      </c>
      <c r="BD413">
        <f>Assumptions!$B$29</f>
        <v/>
      </c>
      <c r="BE413">
        <f>Assumptions!$B$28</f>
        <v/>
      </c>
      <c r="BF413">
        <f>P413*Assumptions!$B$141</f>
        <v/>
      </c>
      <c r="BG413">
        <f>P413*Assumptions!$B$128</f>
        <v/>
      </c>
      <c r="BH413">
        <f>P413*Assumptions!$B$129</f>
        <v/>
      </c>
      <c r="BI413">
        <f>P413*Assumptions!$B$14</f>
        <v/>
      </c>
      <c r="BJ413">
        <f>P413*Assumptions!$B$13</f>
        <v/>
      </c>
      <c r="BK413">
        <f>P413*Assumptions!$B$12</f>
        <v/>
      </c>
      <c r="BL413">
        <f>P413*Assumptions!$B$11</f>
        <v/>
      </c>
    </row>
    <row r="414">
      <c r="A414" t="inlineStr">
        <is>
          <t>2000M</t>
        </is>
      </c>
      <c r="B414">
        <f>Assumptions!$B$60</f>
        <v/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>
        <f>(1-C414)*Assumptions!$B$41+(1-D414)*Assumptions!$B$33+(1-E414)*Assumptions!$B$32+(1-F414)*Assumptions!$B$31+(1-G414)*Assumptions!$B$30+(1-H414)*Assumptions!$B$29+(1-I414)*Assumptions!$B$28</f>
        <v/>
      </c>
      <c r="K414">
        <f>C414*Assumptions!$B$141+D414*Assumptions!$B$128+E414*Assumptions!$B$129+F414*Assumptions!$B$14+G414*Assumptions!$B$13+H414*Assumptions!$B$12+I414*Assumptions!$B$11+Assumptions!$B$133+Assumptions!$B$137+Assumptions!$B$9</f>
        <v/>
      </c>
      <c r="L414">
        <f>B414-J414</f>
        <v/>
      </c>
      <c r="M414">
        <f>IF(K414&gt;0,IF(L414/K414&gt;=Assumptions!$B$37,1,0),0)</f>
        <v/>
      </c>
      <c r="N414">
        <f>K414+M414*Assumptions!$B$153</f>
        <v/>
      </c>
      <c r="O414">
        <f>L414+M414*Assumptions!$B$153*Assumptions!$B$37</f>
        <v/>
      </c>
      <c r="P414">
        <f>IF(N414&gt;0,O414/N414,0)</f>
        <v/>
      </c>
      <c r="Q414">
        <f>IF(C414=1,P414*Assumptions!$B$141,Assumptions!$B$41)</f>
        <v/>
      </c>
      <c r="R414">
        <f>IF(D414=1,P414*Assumptions!$B$128,Assumptions!$B$33)</f>
        <v/>
      </c>
      <c r="S414">
        <f>IF(E414=1,P414*Assumptions!$B$129,Assumptions!$B$32)</f>
        <v/>
      </c>
      <c r="T414">
        <f>IF(F414=1,P414*Assumptions!$B$14,Assumptions!$B$31)</f>
        <v/>
      </c>
      <c r="U414">
        <f>IF(G414=1,P414*Assumptions!$B$13,Assumptions!$B$30)</f>
        <v/>
      </c>
      <c r="V414">
        <f>IF(H414=1,P414*Assumptions!$B$12,Assumptions!$B$29)</f>
        <v/>
      </c>
      <c r="W414">
        <f>IF(I414=1,P414*Assumptions!$B$11,Assumptions!$B$28)</f>
        <v/>
      </c>
      <c r="X414">
        <f>P414*(Assumptions!$B$133+Assumptions!$B$137)</f>
        <v/>
      </c>
      <c r="Y414">
        <f>P414*Assumptions!$B$9</f>
        <v/>
      </c>
      <c r="Z414">
        <f>IF(M414=1,(P414-Assumptions!$B$37)*Assumptions!$B$153,0)</f>
        <v/>
      </c>
      <c r="AA414">
        <f>Q414+R414+S414+T414+U414+V414+W414+X414+Y414+Z414</f>
        <v/>
      </c>
      <c r="AB414" t="n">
        <v>107</v>
      </c>
      <c r="AC414" t="n">
        <v>43</v>
      </c>
      <c r="AD414" t="n">
        <v>75</v>
      </c>
      <c r="AE414" t="n">
        <v>123</v>
      </c>
      <c r="AF414" t="n">
        <v>99</v>
      </c>
      <c r="AG414" t="n">
        <v>111</v>
      </c>
      <c r="AH414" t="n">
        <v>105</v>
      </c>
      <c r="AI414" t="n">
        <v>106</v>
      </c>
      <c r="AJ414">
        <f>INDEX($Q$307:$Q$434,AC414+1)</f>
        <v/>
      </c>
      <c r="AK414">
        <f>INDEX($R$307:$R$434,AD414+1)</f>
        <v/>
      </c>
      <c r="AL414">
        <f>INDEX($S$307:$S$434,AE414+1)</f>
        <v/>
      </c>
      <c r="AM414">
        <f>INDEX($T$307:$T$434,AF414+1)</f>
        <v/>
      </c>
      <c r="AN414">
        <f>INDEX($U$307:$U$434,AG414+1)</f>
        <v/>
      </c>
      <c r="AO414">
        <f>INDEX($V$307:$V$434,AH414+1)</f>
        <v/>
      </c>
      <c r="AP414">
        <f>INDEX($W$307:$W$434,AI414+1)</f>
        <v/>
      </c>
      <c r="AQ414">
        <f>IF(Q414&gt;=AJ414-0.01,1,0)</f>
        <v/>
      </c>
      <c r="AR414">
        <f>IF(R414&gt;=AK414-0.01,1,0)</f>
        <v/>
      </c>
      <c r="AS414">
        <f>IF(S414&gt;=AL414-0.01,1,0)</f>
        <v/>
      </c>
      <c r="AT414">
        <f>IF(T414&gt;=AM414-0.01,1,0)</f>
        <v/>
      </c>
      <c r="AU414">
        <f>IF(U414&gt;=AN414-0.01,1,0)</f>
        <v/>
      </c>
      <c r="AV414">
        <f>IF(V414&gt;=AO414-0.01,1,0)</f>
        <v/>
      </c>
      <c r="AW414">
        <f>IF(W414&gt;=AP414-0.01,1,0)</f>
        <v/>
      </c>
      <c r="AX414">
        <f>AQ414*AR414*AS414*AT414*AU414*AV414*AW414</f>
        <v/>
      </c>
      <c r="AY414">
        <f>Assumptions!$B$41</f>
        <v/>
      </c>
      <c r="AZ414">
        <f>Assumptions!$B$33</f>
        <v/>
      </c>
      <c r="BA414">
        <f>Assumptions!$B$32</f>
        <v/>
      </c>
      <c r="BB414">
        <f>Assumptions!$B$31</f>
        <v/>
      </c>
      <c r="BC414">
        <f>Assumptions!$B$30</f>
        <v/>
      </c>
      <c r="BD414">
        <f>Assumptions!$B$29</f>
        <v/>
      </c>
      <c r="BE414">
        <f>Assumptions!$B$28</f>
        <v/>
      </c>
      <c r="BF414">
        <f>P414*Assumptions!$B$141</f>
        <v/>
      </c>
      <c r="BG414">
        <f>P414*Assumptions!$B$128</f>
        <v/>
      </c>
      <c r="BH414">
        <f>P414*Assumptions!$B$129</f>
        <v/>
      </c>
      <c r="BI414">
        <f>P414*Assumptions!$B$14</f>
        <v/>
      </c>
      <c r="BJ414">
        <f>P414*Assumptions!$B$13</f>
        <v/>
      </c>
      <c r="BK414">
        <f>P414*Assumptions!$B$12</f>
        <v/>
      </c>
      <c r="BL414">
        <f>P414*Assumptions!$B$11</f>
        <v/>
      </c>
    </row>
    <row r="415">
      <c r="A415" t="inlineStr">
        <is>
          <t>2000M</t>
        </is>
      </c>
      <c r="B415">
        <f>Assumptions!$B$60</f>
        <v/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>
        <f>(1-C415)*Assumptions!$B$41+(1-D415)*Assumptions!$B$33+(1-E415)*Assumptions!$B$32+(1-F415)*Assumptions!$B$31+(1-G415)*Assumptions!$B$30+(1-H415)*Assumptions!$B$29+(1-I415)*Assumptions!$B$28</f>
        <v/>
      </c>
      <c r="K415">
        <f>C415*Assumptions!$B$141+D415*Assumptions!$B$128+E415*Assumptions!$B$129+F415*Assumptions!$B$14+G415*Assumptions!$B$13+H415*Assumptions!$B$12+I415*Assumptions!$B$11+Assumptions!$B$133+Assumptions!$B$137+Assumptions!$B$9</f>
        <v/>
      </c>
      <c r="L415">
        <f>B415-J415</f>
        <v/>
      </c>
      <c r="M415">
        <f>IF(K415&gt;0,IF(L415/K415&gt;=Assumptions!$B$37,1,0),0)</f>
        <v/>
      </c>
      <c r="N415">
        <f>K415+M415*Assumptions!$B$153</f>
        <v/>
      </c>
      <c r="O415">
        <f>L415+M415*Assumptions!$B$153*Assumptions!$B$37</f>
        <v/>
      </c>
      <c r="P415">
        <f>IF(N415&gt;0,O415/N415,0)</f>
        <v/>
      </c>
      <c r="Q415">
        <f>IF(C415=1,P415*Assumptions!$B$141,Assumptions!$B$41)</f>
        <v/>
      </c>
      <c r="R415">
        <f>IF(D415=1,P415*Assumptions!$B$128,Assumptions!$B$33)</f>
        <v/>
      </c>
      <c r="S415">
        <f>IF(E415=1,P415*Assumptions!$B$129,Assumptions!$B$32)</f>
        <v/>
      </c>
      <c r="T415">
        <f>IF(F415=1,P415*Assumptions!$B$14,Assumptions!$B$31)</f>
        <v/>
      </c>
      <c r="U415">
        <f>IF(G415=1,P415*Assumptions!$B$13,Assumptions!$B$30)</f>
        <v/>
      </c>
      <c r="V415">
        <f>IF(H415=1,P415*Assumptions!$B$12,Assumptions!$B$29)</f>
        <v/>
      </c>
      <c r="W415">
        <f>IF(I415=1,P415*Assumptions!$B$11,Assumptions!$B$28)</f>
        <v/>
      </c>
      <c r="X415">
        <f>P415*(Assumptions!$B$133+Assumptions!$B$137)</f>
        <v/>
      </c>
      <c r="Y415">
        <f>P415*Assumptions!$B$9</f>
        <v/>
      </c>
      <c r="Z415">
        <f>IF(M415=1,(P415-Assumptions!$B$37)*Assumptions!$B$153,0)</f>
        <v/>
      </c>
      <c r="AA415">
        <f>Q415+R415+S415+T415+U415+V415+W415+X415+Y415+Z415</f>
        <v/>
      </c>
      <c r="AB415" t="n">
        <v>108</v>
      </c>
      <c r="AC415" t="n">
        <v>44</v>
      </c>
      <c r="AD415" t="n">
        <v>76</v>
      </c>
      <c r="AE415" t="n">
        <v>124</v>
      </c>
      <c r="AF415" t="n">
        <v>100</v>
      </c>
      <c r="AG415" t="n">
        <v>104</v>
      </c>
      <c r="AH415" t="n">
        <v>110</v>
      </c>
      <c r="AI415" t="n">
        <v>109</v>
      </c>
      <c r="AJ415">
        <f>INDEX($Q$307:$Q$434,AC415+1)</f>
        <v/>
      </c>
      <c r="AK415">
        <f>INDEX($R$307:$R$434,AD415+1)</f>
        <v/>
      </c>
      <c r="AL415">
        <f>INDEX($S$307:$S$434,AE415+1)</f>
        <v/>
      </c>
      <c r="AM415">
        <f>INDEX($T$307:$T$434,AF415+1)</f>
        <v/>
      </c>
      <c r="AN415">
        <f>INDEX($U$307:$U$434,AG415+1)</f>
        <v/>
      </c>
      <c r="AO415">
        <f>INDEX($V$307:$V$434,AH415+1)</f>
        <v/>
      </c>
      <c r="AP415">
        <f>INDEX($W$307:$W$434,AI415+1)</f>
        <v/>
      </c>
      <c r="AQ415">
        <f>IF(Q415&gt;=AJ415-0.01,1,0)</f>
        <v/>
      </c>
      <c r="AR415">
        <f>IF(R415&gt;=AK415-0.01,1,0)</f>
        <v/>
      </c>
      <c r="AS415">
        <f>IF(S415&gt;=AL415-0.01,1,0)</f>
        <v/>
      </c>
      <c r="AT415">
        <f>IF(T415&gt;=AM415-0.01,1,0)</f>
        <v/>
      </c>
      <c r="AU415">
        <f>IF(U415&gt;=AN415-0.01,1,0)</f>
        <v/>
      </c>
      <c r="AV415">
        <f>IF(V415&gt;=AO415-0.01,1,0)</f>
        <v/>
      </c>
      <c r="AW415">
        <f>IF(W415&gt;=AP415-0.01,1,0)</f>
        <v/>
      </c>
      <c r="AX415">
        <f>AQ415*AR415*AS415*AT415*AU415*AV415*AW415</f>
        <v/>
      </c>
      <c r="AY415">
        <f>Assumptions!$B$41</f>
        <v/>
      </c>
      <c r="AZ415">
        <f>Assumptions!$B$33</f>
        <v/>
      </c>
      <c r="BA415">
        <f>Assumptions!$B$32</f>
        <v/>
      </c>
      <c r="BB415">
        <f>Assumptions!$B$31</f>
        <v/>
      </c>
      <c r="BC415">
        <f>Assumptions!$B$30</f>
        <v/>
      </c>
      <c r="BD415">
        <f>Assumptions!$B$29</f>
        <v/>
      </c>
      <c r="BE415">
        <f>Assumptions!$B$28</f>
        <v/>
      </c>
      <c r="BF415">
        <f>P415*Assumptions!$B$141</f>
        <v/>
      </c>
      <c r="BG415">
        <f>P415*Assumptions!$B$128</f>
        <v/>
      </c>
      <c r="BH415">
        <f>P415*Assumptions!$B$129</f>
        <v/>
      </c>
      <c r="BI415">
        <f>P415*Assumptions!$B$14</f>
        <v/>
      </c>
      <c r="BJ415">
        <f>P415*Assumptions!$B$13</f>
        <v/>
      </c>
      <c r="BK415">
        <f>P415*Assumptions!$B$12</f>
        <v/>
      </c>
      <c r="BL415">
        <f>P415*Assumptions!$B$11</f>
        <v/>
      </c>
    </row>
    <row r="416">
      <c r="A416" t="inlineStr">
        <is>
          <t>2000M</t>
        </is>
      </c>
      <c r="B416">
        <f>Assumptions!$B$60</f>
        <v/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>
        <f>(1-C416)*Assumptions!$B$41+(1-D416)*Assumptions!$B$33+(1-E416)*Assumptions!$B$32+(1-F416)*Assumptions!$B$31+(1-G416)*Assumptions!$B$30+(1-H416)*Assumptions!$B$29+(1-I416)*Assumptions!$B$28</f>
        <v/>
      </c>
      <c r="K416">
        <f>C416*Assumptions!$B$141+D416*Assumptions!$B$128+E416*Assumptions!$B$129+F416*Assumptions!$B$14+G416*Assumptions!$B$13+H416*Assumptions!$B$12+I416*Assumptions!$B$11+Assumptions!$B$133+Assumptions!$B$137+Assumptions!$B$9</f>
        <v/>
      </c>
      <c r="L416">
        <f>B416-J416</f>
        <v/>
      </c>
      <c r="M416">
        <f>IF(K416&gt;0,IF(L416/K416&gt;=Assumptions!$B$37,1,0),0)</f>
        <v/>
      </c>
      <c r="N416">
        <f>K416+M416*Assumptions!$B$153</f>
        <v/>
      </c>
      <c r="O416">
        <f>L416+M416*Assumptions!$B$153*Assumptions!$B$37</f>
        <v/>
      </c>
      <c r="P416">
        <f>IF(N416&gt;0,O416/N416,0)</f>
        <v/>
      </c>
      <c r="Q416">
        <f>IF(C416=1,P416*Assumptions!$B$141,Assumptions!$B$41)</f>
        <v/>
      </c>
      <c r="R416">
        <f>IF(D416=1,P416*Assumptions!$B$128,Assumptions!$B$33)</f>
        <v/>
      </c>
      <c r="S416">
        <f>IF(E416=1,P416*Assumptions!$B$129,Assumptions!$B$32)</f>
        <v/>
      </c>
      <c r="T416">
        <f>IF(F416=1,P416*Assumptions!$B$14,Assumptions!$B$31)</f>
        <v/>
      </c>
      <c r="U416">
        <f>IF(G416=1,P416*Assumptions!$B$13,Assumptions!$B$30)</f>
        <v/>
      </c>
      <c r="V416">
        <f>IF(H416=1,P416*Assumptions!$B$12,Assumptions!$B$29)</f>
        <v/>
      </c>
      <c r="W416">
        <f>IF(I416=1,P416*Assumptions!$B$11,Assumptions!$B$28)</f>
        <v/>
      </c>
      <c r="X416">
        <f>P416*(Assumptions!$B$133+Assumptions!$B$137)</f>
        <v/>
      </c>
      <c r="Y416">
        <f>P416*Assumptions!$B$9</f>
        <v/>
      </c>
      <c r="Z416">
        <f>IF(M416=1,(P416-Assumptions!$B$37)*Assumptions!$B$153,0)</f>
        <v/>
      </c>
      <c r="AA416">
        <f>Q416+R416+S416+T416+U416+V416+W416+X416+Y416+Z416</f>
        <v/>
      </c>
      <c r="AB416" t="n">
        <v>109</v>
      </c>
      <c r="AC416" t="n">
        <v>45</v>
      </c>
      <c r="AD416" t="n">
        <v>77</v>
      </c>
      <c r="AE416" t="n">
        <v>125</v>
      </c>
      <c r="AF416" t="n">
        <v>101</v>
      </c>
      <c r="AG416" t="n">
        <v>105</v>
      </c>
      <c r="AH416" t="n">
        <v>111</v>
      </c>
      <c r="AI416" t="n">
        <v>108</v>
      </c>
      <c r="AJ416">
        <f>INDEX($Q$307:$Q$434,AC416+1)</f>
        <v/>
      </c>
      <c r="AK416">
        <f>INDEX($R$307:$R$434,AD416+1)</f>
        <v/>
      </c>
      <c r="AL416">
        <f>INDEX($S$307:$S$434,AE416+1)</f>
        <v/>
      </c>
      <c r="AM416">
        <f>INDEX($T$307:$T$434,AF416+1)</f>
        <v/>
      </c>
      <c r="AN416">
        <f>INDEX($U$307:$U$434,AG416+1)</f>
        <v/>
      </c>
      <c r="AO416">
        <f>INDEX($V$307:$V$434,AH416+1)</f>
        <v/>
      </c>
      <c r="AP416">
        <f>INDEX($W$307:$W$434,AI416+1)</f>
        <v/>
      </c>
      <c r="AQ416">
        <f>IF(Q416&gt;=AJ416-0.01,1,0)</f>
        <v/>
      </c>
      <c r="AR416">
        <f>IF(R416&gt;=AK416-0.01,1,0)</f>
        <v/>
      </c>
      <c r="AS416">
        <f>IF(S416&gt;=AL416-0.01,1,0)</f>
        <v/>
      </c>
      <c r="AT416">
        <f>IF(T416&gt;=AM416-0.01,1,0)</f>
        <v/>
      </c>
      <c r="AU416">
        <f>IF(U416&gt;=AN416-0.01,1,0)</f>
        <v/>
      </c>
      <c r="AV416">
        <f>IF(V416&gt;=AO416-0.01,1,0)</f>
        <v/>
      </c>
      <c r="AW416">
        <f>IF(W416&gt;=AP416-0.01,1,0)</f>
        <v/>
      </c>
      <c r="AX416">
        <f>AQ416*AR416*AS416*AT416*AU416*AV416*AW416</f>
        <v/>
      </c>
      <c r="AY416">
        <f>Assumptions!$B$41</f>
        <v/>
      </c>
      <c r="AZ416">
        <f>Assumptions!$B$33</f>
        <v/>
      </c>
      <c r="BA416">
        <f>Assumptions!$B$32</f>
        <v/>
      </c>
      <c r="BB416">
        <f>Assumptions!$B$31</f>
        <v/>
      </c>
      <c r="BC416">
        <f>Assumptions!$B$30</f>
        <v/>
      </c>
      <c r="BD416">
        <f>Assumptions!$B$29</f>
        <v/>
      </c>
      <c r="BE416">
        <f>Assumptions!$B$28</f>
        <v/>
      </c>
      <c r="BF416">
        <f>P416*Assumptions!$B$141</f>
        <v/>
      </c>
      <c r="BG416">
        <f>P416*Assumptions!$B$128</f>
        <v/>
      </c>
      <c r="BH416">
        <f>P416*Assumptions!$B$129</f>
        <v/>
      </c>
      <c r="BI416">
        <f>P416*Assumptions!$B$14</f>
        <v/>
      </c>
      <c r="BJ416">
        <f>P416*Assumptions!$B$13</f>
        <v/>
      </c>
      <c r="BK416">
        <f>P416*Assumptions!$B$12</f>
        <v/>
      </c>
      <c r="BL416">
        <f>P416*Assumptions!$B$11</f>
        <v/>
      </c>
    </row>
    <row r="417">
      <c r="A417" t="inlineStr">
        <is>
          <t>2000M</t>
        </is>
      </c>
      <c r="B417">
        <f>Assumptions!$B$60</f>
        <v/>
      </c>
      <c r="C417" t="n">
        <v>1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>
        <f>(1-C417)*Assumptions!$B$41+(1-D417)*Assumptions!$B$33+(1-E417)*Assumptions!$B$32+(1-F417)*Assumptions!$B$31+(1-G417)*Assumptions!$B$30+(1-H417)*Assumptions!$B$29+(1-I417)*Assumptions!$B$28</f>
        <v/>
      </c>
      <c r="K417">
        <f>C417*Assumptions!$B$141+D417*Assumptions!$B$128+E417*Assumptions!$B$129+F417*Assumptions!$B$14+G417*Assumptions!$B$13+H417*Assumptions!$B$12+I417*Assumptions!$B$11+Assumptions!$B$133+Assumptions!$B$137+Assumptions!$B$9</f>
        <v/>
      </c>
      <c r="L417">
        <f>B417-J417</f>
        <v/>
      </c>
      <c r="M417">
        <f>IF(K417&gt;0,IF(L417/K417&gt;=Assumptions!$B$37,1,0),0)</f>
        <v/>
      </c>
      <c r="N417">
        <f>K417+M417*Assumptions!$B$153</f>
        <v/>
      </c>
      <c r="O417">
        <f>L417+M417*Assumptions!$B$153*Assumptions!$B$37</f>
        <v/>
      </c>
      <c r="P417">
        <f>IF(N417&gt;0,O417/N417,0)</f>
        <v/>
      </c>
      <c r="Q417">
        <f>IF(C417=1,P417*Assumptions!$B$141,Assumptions!$B$41)</f>
        <v/>
      </c>
      <c r="R417">
        <f>IF(D417=1,P417*Assumptions!$B$128,Assumptions!$B$33)</f>
        <v/>
      </c>
      <c r="S417">
        <f>IF(E417=1,P417*Assumptions!$B$129,Assumptions!$B$32)</f>
        <v/>
      </c>
      <c r="T417">
        <f>IF(F417=1,P417*Assumptions!$B$14,Assumptions!$B$31)</f>
        <v/>
      </c>
      <c r="U417">
        <f>IF(G417=1,P417*Assumptions!$B$13,Assumptions!$B$30)</f>
        <v/>
      </c>
      <c r="V417">
        <f>IF(H417=1,P417*Assumptions!$B$12,Assumptions!$B$29)</f>
        <v/>
      </c>
      <c r="W417">
        <f>IF(I417=1,P417*Assumptions!$B$11,Assumptions!$B$28)</f>
        <v/>
      </c>
      <c r="X417">
        <f>P417*(Assumptions!$B$133+Assumptions!$B$137)</f>
        <v/>
      </c>
      <c r="Y417">
        <f>P417*Assumptions!$B$9</f>
        <v/>
      </c>
      <c r="Z417">
        <f>IF(M417=1,(P417-Assumptions!$B$37)*Assumptions!$B$153,0)</f>
        <v/>
      </c>
      <c r="AA417">
        <f>Q417+R417+S417+T417+U417+V417+W417+X417+Y417+Z417</f>
        <v/>
      </c>
      <c r="AB417" t="n">
        <v>110</v>
      </c>
      <c r="AC417" t="n">
        <v>46</v>
      </c>
      <c r="AD417" t="n">
        <v>78</v>
      </c>
      <c r="AE417" t="n">
        <v>126</v>
      </c>
      <c r="AF417" t="n">
        <v>102</v>
      </c>
      <c r="AG417" t="n">
        <v>106</v>
      </c>
      <c r="AH417" t="n">
        <v>108</v>
      </c>
      <c r="AI417" t="n">
        <v>111</v>
      </c>
      <c r="AJ417">
        <f>INDEX($Q$307:$Q$434,AC417+1)</f>
        <v/>
      </c>
      <c r="AK417">
        <f>INDEX($R$307:$R$434,AD417+1)</f>
        <v/>
      </c>
      <c r="AL417">
        <f>INDEX($S$307:$S$434,AE417+1)</f>
        <v/>
      </c>
      <c r="AM417">
        <f>INDEX($T$307:$T$434,AF417+1)</f>
        <v/>
      </c>
      <c r="AN417">
        <f>INDEX($U$307:$U$434,AG417+1)</f>
        <v/>
      </c>
      <c r="AO417">
        <f>INDEX($V$307:$V$434,AH417+1)</f>
        <v/>
      </c>
      <c r="AP417">
        <f>INDEX($W$307:$W$434,AI417+1)</f>
        <v/>
      </c>
      <c r="AQ417">
        <f>IF(Q417&gt;=AJ417-0.01,1,0)</f>
        <v/>
      </c>
      <c r="AR417">
        <f>IF(R417&gt;=AK417-0.01,1,0)</f>
        <v/>
      </c>
      <c r="AS417">
        <f>IF(S417&gt;=AL417-0.01,1,0)</f>
        <v/>
      </c>
      <c r="AT417">
        <f>IF(T417&gt;=AM417-0.01,1,0)</f>
        <v/>
      </c>
      <c r="AU417">
        <f>IF(U417&gt;=AN417-0.01,1,0)</f>
        <v/>
      </c>
      <c r="AV417">
        <f>IF(V417&gt;=AO417-0.01,1,0)</f>
        <v/>
      </c>
      <c r="AW417">
        <f>IF(W417&gt;=AP417-0.01,1,0)</f>
        <v/>
      </c>
      <c r="AX417">
        <f>AQ417*AR417*AS417*AT417*AU417*AV417*AW417</f>
        <v/>
      </c>
      <c r="AY417">
        <f>Assumptions!$B$41</f>
        <v/>
      </c>
      <c r="AZ417">
        <f>Assumptions!$B$33</f>
        <v/>
      </c>
      <c r="BA417">
        <f>Assumptions!$B$32</f>
        <v/>
      </c>
      <c r="BB417">
        <f>Assumptions!$B$31</f>
        <v/>
      </c>
      <c r="BC417">
        <f>Assumptions!$B$30</f>
        <v/>
      </c>
      <c r="BD417">
        <f>Assumptions!$B$29</f>
        <v/>
      </c>
      <c r="BE417">
        <f>Assumptions!$B$28</f>
        <v/>
      </c>
      <c r="BF417">
        <f>P417*Assumptions!$B$141</f>
        <v/>
      </c>
      <c r="BG417">
        <f>P417*Assumptions!$B$128</f>
        <v/>
      </c>
      <c r="BH417">
        <f>P417*Assumptions!$B$129</f>
        <v/>
      </c>
      <c r="BI417">
        <f>P417*Assumptions!$B$14</f>
        <v/>
      </c>
      <c r="BJ417">
        <f>P417*Assumptions!$B$13</f>
        <v/>
      </c>
      <c r="BK417">
        <f>P417*Assumptions!$B$12</f>
        <v/>
      </c>
      <c r="BL417">
        <f>P417*Assumptions!$B$11</f>
        <v/>
      </c>
    </row>
    <row r="418">
      <c r="A418" t="inlineStr">
        <is>
          <t>2000M</t>
        </is>
      </c>
      <c r="B418">
        <f>Assumptions!$B$60</f>
        <v/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>
        <f>(1-C418)*Assumptions!$B$41+(1-D418)*Assumptions!$B$33+(1-E418)*Assumptions!$B$32+(1-F418)*Assumptions!$B$31+(1-G418)*Assumptions!$B$30+(1-H418)*Assumptions!$B$29+(1-I418)*Assumptions!$B$28</f>
        <v/>
      </c>
      <c r="K418">
        <f>C418*Assumptions!$B$141+D418*Assumptions!$B$128+E418*Assumptions!$B$129+F418*Assumptions!$B$14+G418*Assumptions!$B$13+H418*Assumptions!$B$12+I418*Assumptions!$B$11+Assumptions!$B$133+Assumptions!$B$137+Assumptions!$B$9</f>
        <v/>
      </c>
      <c r="L418">
        <f>B418-J418</f>
        <v/>
      </c>
      <c r="M418">
        <f>IF(K418&gt;0,IF(L418/K418&gt;=Assumptions!$B$37,1,0),0)</f>
        <v/>
      </c>
      <c r="N418">
        <f>K418+M418*Assumptions!$B$153</f>
        <v/>
      </c>
      <c r="O418">
        <f>L418+M418*Assumptions!$B$153*Assumptions!$B$37</f>
        <v/>
      </c>
      <c r="P418">
        <f>IF(N418&gt;0,O418/N418,0)</f>
        <v/>
      </c>
      <c r="Q418">
        <f>IF(C418=1,P418*Assumptions!$B$141,Assumptions!$B$41)</f>
        <v/>
      </c>
      <c r="R418">
        <f>IF(D418=1,P418*Assumptions!$B$128,Assumptions!$B$33)</f>
        <v/>
      </c>
      <c r="S418">
        <f>IF(E418=1,P418*Assumptions!$B$129,Assumptions!$B$32)</f>
        <v/>
      </c>
      <c r="T418">
        <f>IF(F418=1,P418*Assumptions!$B$14,Assumptions!$B$31)</f>
        <v/>
      </c>
      <c r="U418">
        <f>IF(G418=1,P418*Assumptions!$B$13,Assumptions!$B$30)</f>
        <v/>
      </c>
      <c r="V418">
        <f>IF(H418=1,P418*Assumptions!$B$12,Assumptions!$B$29)</f>
        <v/>
      </c>
      <c r="W418">
        <f>IF(I418=1,P418*Assumptions!$B$11,Assumptions!$B$28)</f>
        <v/>
      </c>
      <c r="X418">
        <f>P418*(Assumptions!$B$133+Assumptions!$B$137)</f>
        <v/>
      </c>
      <c r="Y418">
        <f>P418*Assumptions!$B$9</f>
        <v/>
      </c>
      <c r="Z418">
        <f>IF(M418=1,(P418-Assumptions!$B$37)*Assumptions!$B$153,0)</f>
        <v/>
      </c>
      <c r="AA418">
        <f>Q418+R418+S418+T418+U418+V418+W418+X418+Y418+Z418</f>
        <v/>
      </c>
      <c r="AB418" t="n">
        <v>111</v>
      </c>
      <c r="AC418" t="n">
        <v>47</v>
      </c>
      <c r="AD418" t="n">
        <v>79</v>
      </c>
      <c r="AE418" t="n">
        <v>127</v>
      </c>
      <c r="AF418" t="n">
        <v>103</v>
      </c>
      <c r="AG418" t="n">
        <v>107</v>
      </c>
      <c r="AH418" t="n">
        <v>109</v>
      </c>
      <c r="AI418" t="n">
        <v>110</v>
      </c>
      <c r="AJ418">
        <f>INDEX($Q$307:$Q$434,AC418+1)</f>
        <v/>
      </c>
      <c r="AK418">
        <f>INDEX($R$307:$R$434,AD418+1)</f>
        <v/>
      </c>
      <c r="AL418">
        <f>INDEX($S$307:$S$434,AE418+1)</f>
        <v/>
      </c>
      <c r="AM418">
        <f>INDEX($T$307:$T$434,AF418+1)</f>
        <v/>
      </c>
      <c r="AN418">
        <f>INDEX($U$307:$U$434,AG418+1)</f>
        <v/>
      </c>
      <c r="AO418">
        <f>INDEX($V$307:$V$434,AH418+1)</f>
        <v/>
      </c>
      <c r="AP418">
        <f>INDEX($W$307:$W$434,AI418+1)</f>
        <v/>
      </c>
      <c r="AQ418">
        <f>IF(Q418&gt;=AJ418-0.01,1,0)</f>
        <v/>
      </c>
      <c r="AR418">
        <f>IF(R418&gt;=AK418-0.01,1,0)</f>
        <v/>
      </c>
      <c r="AS418">
        <f>IF(S418&gt;=AL418-0.01,1,0)</f>
        <v/>
      </c>
      <c r="AT418">
        <f>IF(T418&gt;=AM418-0.01,1,0)</f>
        <v/>
      </c>
      <c r="AU418">
        <f>IF(U418&gt;=AN418-0.01,1,0)</f>
        <v/>
      </c>
      <c r="AV418">
        <f>IF(V418&gt;=AO418-0.01,1,0)</f>
        <v/>
      </c>
      <c r="AW418">
        <f>IF(W418&gt;=AP418-0.01,1,0)</f>
        <v/>
      </c>
      <c r="AX418">
        <f>AQ418*AR418*AS418*AT418*AU418*AV418*AW418</f>
        <v/>
      </c>
      <c r="AY418">
        <f>Assumptions!$B$41</f>
        <v/>
      </c>
      <c r="AZ418">
        <f>Assumptions!$B$33</f>
        <v/>
      </c>
      <c r="BA418">
        <f>Assumptions!$B$32</f>
        <v/>
      </c>
      <c r="BB418">
        <f>Assumptions!$B$31</f>
        <v/>
      </c>
      <c r="BC418">
        <f>Assumptions!$B$30</f>
        <v/>
      </c>
      <c r="BD418">
        <f>Assumptions!$B$29</f>
        <v/>
      </c>
      <c r="BE418">
        <f>Assumptions!$B$28</f>
        <v/>
      </c>
      <c r="BF418">
        <f>P418*Assumptions!$B$141</f>
        <v/>
      </c>
      <c r="BG418">
        <f>P418*Assumptions!$B$128</f>
        <v/>
      </c>
      <c r="BH418">
        <f>P418*Assumptions!$B$129</f>
        <v/>
      </c>
      <c r="BI418">
        <f>P418*Assumptions!$B$14</f>
        <v/>
      </c>
      <c r="BJ418">
        <f>P418*Assumptions!$B$13</f>
        <v/>
      </c>
      <c r="BK418">
        <f>P418*Assumptions!$B$12</f>
        <v/>
      </c>
      <c r="BL418">
        <f>P418*Assumptions!$B$11</f>
        <v/>
      </c>
    </row>
    <row r="419">
      <c r="A419" t="inlineStr">
        <is>
          <t>2000M</t>
        </is>
      </c>
      <c r="B419">
        <f>Assumptions!$B$60</f>
        <v/>
      </c>
      <c r="C419" t="n">
        <v>1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>
        <f>(1-C419)*Assumptions!$B$41+(1-D419)*Assumptions!$B$33+(1-E419)*Assumptions!$B$32+(1-F419)*Assumptions!$B$31+(1-G419)*Assumptions!$B$30+(1-H419)*Assumptions!$B$29+(1-I419)*Assumptions!$B$28</f>
        <v/>
      </c>
      <c r="K419">
        <f>C419*Assumptions!$B$141+D419*Assumptions!$B$128+E419*Assumptions!$B$129+F419*Assumptions!$B$14+G419*Assumptions!$B$13+H419*Assumptions!$B$12+I419*Assumptions!$B$11+Assumptions!$B$133+Assumptions!$B$137+Assumptions!$B$9</f>
        <v/>
      </c>
      <c r="L419">
        <f>B419-J419</f>
        <v/>
      </c>
      <c r="M419">
        <f>IF(K419&gt;0,IF(L419/K419&gt;=Assumptions!$B$37,1,0),0)</f>
        <v/>
      </c>
      <c r="N419">
        <f>K419+M419*Assumptions!$B$153</f>
        <v/>
      </c>
      <c r="O419">
        <f>L419+M419*Assumptions!$B$153*Assumptions!$B$37</f>
        <v/>
      </c>
      <c r="P419">
        <f>IF(N419&gt;0,O419/N419,0)</f>
        <v/>
      </c>
      <c r="Q419">
        <f>IF(C419=1,P419*Assumptions!$B$141,Assumptions!$B$41)</f>
        <v/>
      </c>
      <c r="R419">
        <f>IF(D419=1,P419*Assumptions!$B$128,Assumptions!$B$33)</f>
        <v/>
      </c>
      <c r="S419">
        <f>IF(E419=1,P419*Assumptions!$B$129,Assumptions!$B$32)</f>
        <v/>
      </c>
      <c r="T419">
        <f>IF(F419=1,P419*Assumptions!$B$14,Assumptions!$B$31)</f>
        <v/>
      </c>
      <c r="U419">
        <f>IF(G419=1,P419*Assumptions!$B$13,Assumptions!$B$30)</f>
        <v/>
      </c>
      <c r="V419">
        <f>IF(H419=1,P419*Assumptions!$B$12,Assumptions!$B$29)</f>
        <v/>
      </c>
      <c r="W419">
        <f>IF(I419=1,P419*Assumptions!$B$11,Assumptions!$B$28)</f>
        <v/>
      </c>
      <c r="X419">
        <f>P419*(Assumptions!$B$133+Assumptions!$B$137)</f>
        <v/>
      </c>
      <c r="Y419">
        <f>P419*Assumptions!$B$9</f>
        <v/>
      </c>
      <c r="Z419">
        <f>IF(M419=1,(P419-Assumptions!$B$37)*Assumptions!$B$153,0)</f>
        <v/>
      </c>
      <c r="AA419">
        <f>Q419+R419+S419+T419+U419+V419+W419+X419+Y419+Z419</f>
        <v/>
      </c>
      <c r="AB419" t="n">
        <v>112</v>
      </c>
      <c r="AC419" t="n">
        <v>48</v>
      </c>
      <c r="AD419" t="n">
        <v>80</v>
      </c>
      <c r="AE419" t="n">
        <v>96</v>
      </c>
      <c r="AF419" t="n">
        <v>120</v>
      </c>
      <c r="AG419" t="n">
        <v>116</v>
      </c>
      <c r="AH419" t="n">
        <v>114</v>
      </c>
      <c r="AI419" t="n">
        <v>113</v>
      </c>
      <c r="AJ419">
        <f>INDEX($Q$307:$Q$434,AC419+1)</f>
        <v/>
      </c>
      <c r="AK419">
        <f>INDEX($R$307:$R$434,AD419+1)</f>
        <v/>
      </c>
      <c r="AL419">
        <f>INDEX($S$307:$S$434,AE419+1)</f>
        <v/>
      </c>
      <c r="AM419">
        <f>INDEX($T$307:$T$434,AF419+1)</f>
        <v/>
      </c>
      <c r="AN419">
        <f>INDEX($U$307:$U$434,AG419+1)</f>
        <v/>
      </c>
      <c r="AO419">
        <f>INDEX($V$307:$V$434,AH419+1)</f>
        <v/>
      </c>
      <c r="AP419">
        <f>INDEX($W$307:$W$434,AI419+1)</f>
        <v/>
      </c>
      <c r="AQ419">
        <f>IF(Q419&gt;=AJ419-0.01,1,0)</f>
        <v/>
      </c>
      <c r="AR419">
        <f>IF(R419&gt;=AK419-0.01,1,0)</f>
        <v/>
      </c>
      <c r="AS419">
        <f>IF(S419&gt;=AL419-0.01,1,0)</f>
        <v/>
      </c>
      <c r="AT419">
        <f>IF(T419&gt;=AM419-0.01,1,0)</f>
        <v/>
      </c>
      <c r="AU419">
        <f>IF(U419&gt;=AN419-0.01,1,0)</f>
        <v/>
      </c>
      <c r="AV419">
        <f>IF(V419&gt;=AO419-0.01,1,0)</f>
        <v/>
      </c>
      <c r="AW419">
        <f>IF(W419&gt;=AP419-0.01,1,0)</f>
        <v/>
      </c>
      <c r="AX419">
        <f>AQ419*AR419*AS419*AT419*AU419*AV419*AW419</f>
        <v/>
      </c>
      <c r="AY419">
        <f>Assumptions!$B$41</f>
        <v/>
      </c>
      <c r="AZ419">
        <f>Assumptions!$B$33</f>
        <v/>
      </c>
      <c r="BA419">
        <f>Assumptions!$B$32</f>
        <v/>
      </c>
      <c r="BB419">
        <f>Assumptions!$B$31</f>
        <v/>
      </c>
      <c r="BC419">
        <f>Assumptions!$B$30</f>
        <v/>
      </c>
      <c r="BD419">
        <f>Assumptions!$B$29</f>
        <v/>
      </c>
      <c r="BE419">
        <f>Assumptions!$B$28</f>
        <v/>
      </c>
      <c r="BF419">
        <f>P419*Assumptions!$B$141</f>
        <v/>
      </c>
      <c r="BG419">
        <f>P419*Assumptions!$B$128</f>
        <v/>
      </c>
      <c r="BH419">
        <f>P419*Assumptions!$B$129</f>
        <v/>
      </c>
      <c r="BI419">
        <f>P419*Assumptions!$B$14</f>
        <v/>
      </c>
      <c r="BJ419">
        <f>P419*Assumptions!$B$13</f>
        <v/>
      </c>
      <c r="BK419">
        <f>P419*Assumptions!$B$12</f>
        <v/>
      </c>
      <c r="BL419">
        <f>P419*Assumptions!$B$11</f>
        <v/>
      </c>
    </row>
    <row r="420">
      <c r="A420" t="inlineStr">
        <is>
          <t>2000M</t>
        </is>
      </c>
      <c r="B420">
        <f>Assumptions!$B$60</f>
        <v/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>
        <f>(1-C420)*Assumptions!$B$41+(1-D420)*Assumptions!$B$33+(1-E420)*Assumptions!$B$32+(1-F420)*Assumptions!$B$31+(1-G420)*Assumptions!$B$30+(1-H420)*Assumptions!$B$29+(1-I420)*Assumptions!$B$28</f>
        <v/>
      </c>
      <c r="K420">
        <f>C420*Assumptions!$B$141+D420*Assumptions!$B$128+E420*Assumptions!$B$129+F420*Assumptions!$B$14+G420*Assumptions!$B$13+H420*Assumptions!$B$12+I420*Assumptions!$B$11+Assumptions!$B$133+Assumptions!$B$137+Assumptions!$B$9</f>
        <v/>
      </c>
      <c r="L420">
        <f>B420-J420</f>
        <v/>
      </c>
      <c r="M420">
        <f>IF(K420&gt;0,IF(L420/K420&gt;=Assumptions!$B$37,1,0),0)</f>
        <v/>
      </c>
      <c r="N420">
        <f>K420+M420*Assumptions!$B$153</f>
        <v/>
      </c>
      <c r="O420">
        <f>L420+M420*Assumptions!$B$153*Assumptions!$B$37</f>
        <v/>
      </c>
      <c r="P420">
        <f>IF(N420&gt;0,O420/N420,0)</f>
        <v/>
      </c>
      <c r="Q420">
        <f>IF(C420=1,P420*Assumptions!$B$141,Assumptions!$B$41)</f>
        <v/>
      </c>
      <c r="R420">
        <f>IF(D420=1,P420*Assumptions!$B$128,Assumptions!$B$33)</f>
        <v/>
      </c>
      <c r="S420">
        <f>IF(E420=1,P420*Assumptions!$B$129,Assumptions!$B$32)</f>
        <v/>
      </c>
      <c r="T420">
        <f>IF(F420=1,P420*Assumptions!$B$14,Assumptions!$B$31)</f>
        <v/>
      </c>
      <c r="U420">
        <f>IF(G420=1,P420*Assumptions!$B$13,Assumptions!$B$30)</f>
        <v/>
      </c>
      <c r="V420">
        <f>IF(H420=1,P420*Assumptions!$B$12,Assumptions!$B$29)</f>
        <v/>
      </c>
      <c r="W420">
        <f>IF(I420=1,P420*Assumptions!$B$11,Assumptions!$B$28)</f>
        <v/>
      </c>
      <c r="X420">
        <f>P420*(Assumptions!$B$133+Assumptions!$B$137)</f>
        <v/>
      </c>
      <c r="Y420">
        <f>P420*Assumptions!$B$9</f>
        <v/>
      </c>
      <c r="Z420">
        <f>IF(M420=1,(P420-Assumptions!$B$37)*Assumptions!$B$153,0)</f>
        <v/>
      </c>
      <c r="AA420">
        <f>Q420+R420+S420+T420+U420+V420+W420+X420+Y420+Z420</f>
        <v/>
      </c>
      <c r="AB420" t="n">
        <v>113</v>
      </c>
      <c r="AC420" t="n">
        <v>49</v>
      </c>
      <c r="AD420" t="n">
        <v>81</v>
      </c>
      <c r="AE420" t="n">
        <v>97</v>
      </c>
      <c r="AF420" t="n">
        <v>121</v>
      </c>
      <c r="AG420" t="n">
        <v>117</v>
      </c>
      <c r="AH420" t="n">
        <v>115</v>
      </c>
      <c r="AI420" t="n">
        <v>112</v>
      </c>
      <c r="AJ420">
        <f>INDEX($Q$307:$Q$434,AC420+1)</f>
        <v/>
      </c>
      <c r="AK420">
        <f>INDEX($R$307:$R$434,AD420+1)</f>
        <v/>
      </c>
      <c r="AL420">
        <f>INDEX($S$307:$S$434,AE420+1)</f>
        <v/>
      </c>
      <c r="AM420">
        <f>INDEX($T$307:$T$434,AF420+1)</f>
        <v/>
      </c>
      <c r="AN420">
        <f>INDEX($U$307:$U$434,AG420+1)</f>
        <v/>
      </c>
      <c r="AO420">
        <f>INDEX($V$307:$V$434,AH420+1)</f>
        <v/>
      </c>
      <c r="AP420">
        <f>INDEX($W$307:$W$434,AI420+1)</f>
        <v/>
      </c>
      <c r="AQ420">
        <f>IF(Q420&gt;=AJ420-0.01,1,0)</f>
        <v/>
      </c>
      <c r="AR420">
        <f>IF(R420&gt;=AK420-0.01,1,0)</f>
        <v/>
      </c>
      <c r="AS420">
        <f>IF(S420&gt;=AL420-0.01,1,0)</f>
        <v/>
      </c>
      <c r="AT420">
        <f>IF(T420&gt;=AM420-0.01,1,0)</f>
        <v/>
      </c>
      <c r="AU420">
        <f>IF(U420&gt;=AN420-0.01,1,0)</f>
        <v/>
      </c>
      <c r="AV420">
        <f>IF(V420&gt;=AO420-0.01,1,0)</f>
        <v/>
      </c>
      <c r="AW420">
        <f>IF(W420&gt;=AP420-0.01,1,0)</f>
        <v/>
      </c>
      <c r="AX420">
        <f>AQ420*AR420*AS420*AT420*AU420*AV420*AW420</f>
        <v/>
      </c>
      <c r="AY420">
        <f>Assumptions!$B$41</f>
        <v/>
      </c>
      <c r="AZ420">
        <f>Assumptions!$B$33</f>
        <v/>
      </c>
      <c r="BA420">
        <f>Assumptions!$B$32</f>
        <v/>
      </c>
      <c r="BB420">
        <f>Assumptions!$B$31</f>
        <v/>
      </c>
      <c r="BC420">
        <f>Assumptions!$B$30</f>
        <v/>
      </c>
      <c r="BD420">
        <f>Assumptions!$B$29</f>
        <v/>
      </c>
      <c r="BE420">
        <f>Assumptions!$B$28</f>
        <v/>
      </c>
      <c r="BF420">
        <f>P420*Assumptions!$B$141</f>
        <v/>
      </c>
      <c r="BG420">
        <f>P420*Assumptions!$B$128</f>
        <v/>
      </c>
      <c r="BH420">
        <f>P420*Assumptions!$B$129</f>
        <v/>
      </c>
      <c r="BI420">
        <f>P420*Assumptions!$B$14</f>
        <v/>
      </c>
      <c r="BJ420">
        <f>P420*Assumptions!$B$13</f>
        <v/>
      </c>
      <c r="BK420">
        <f>P420*Assumptions!$B$12</f>
        <v/>
      </c>
      <c r="BL420">
        <f>P420*Assumptions!$B$11</f>
        <v/>
      </c>
    </row>
    <row r="421">
      <c r="A421" t="inlineStr">
        <is>
          <t>2000M</t>
        </is>
      </c>
      <c r="B421">
        <f>Assumptions!$B$60</f>
        <v/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>
        <f>(1-C421)*Assumptions!$B$41+(1-D421)*Assumptions!$B$33+(1-E421)*Assumptions!$B$32+(1-F421)*Assumptions!$B$31+(1-G421)*Assumptions!$B$30+(1-H421)*Assumptions!$B$29+(1-I421)*Assumptions!$B$28</f>
        <v/>
      </c>
      <c r="K421">
        <f>C421*Assumptions!$B$141+D421*Assumptions!$B$128+E421*Assumptions!$B$129+F421*Assumptions!$B$14+G421*Assumptions!$B$13+H421*Assumptions!$B$12+I421*Assumptions!$B$11+Assumptions!$B$133+Assumptions!$B$137+Assumptions!$B$9</f>
        <v/>
      </c>
      <c r="L421">
        <f>B421-J421</f>
        <v/>
      </c>
      <c r="M421">
        <f>IF(K421&gt;0,IF(L421/K421&gt;=Assumptions!$B$37,1,0),0)</f>
        <v/>
      </c>
      <c r="N421">
        <f>K421+M421*Assumptions!$B$153</f>
        <v/>
      </c>
      <c r="O421">
        <f>L421+M421*Assumptions!$B$153*Assumptions!$B$37</f>
        <v/>
      </c>
      <c r="P421">
        <f>IF(N421&gt;0,O421/N421,0)</f>
        <v/>
      </c>
      <c r="Q421">
        <f>IF(C421=1,P421*Assumptions!$B$141,Assumptions!$B$41)</f>
        <v/>
      </c>
      <c r="R421">
        <f>IF(D421=1,P421*Assumptions!$B$128,Assumptions!$B$33)</f>
        <v/>
      </c>
      <c r="S421">
        <f>IF(E421=1,P421*Assumptions!$B$129,Assumptions!$B$32)</f>
        <v/>
      </c>
      <c r="T421">
        <f>IF(F421=1,P421*Assumptions!$B$14,Assumptions!$B$31)</f>
        <v/>
      </c>
      <c r="U421">
        <f>IF(G421=1,P421*Assumptions!$B$13,Assumptions!$B$30)</f>
        <v/>
      </c>
      <c r="V421">
        <f>IF(H421=1,P421*Assumptions!$B$12,Assumptions!$B$29)</f>
        <v/>
      </c>
      <c r="W421">
        <f>IF(I421=1,P421*Assumptions!$B$11,Assumptions!$B$28)</f>
        <v/>
      </c>
      <c r="X421">
        <f>P421*(Assumptions!$B$133+Assumptions!$B$137)</f>
        <v/>
      </c>
      <c r="Y421">
        <f>P421*Assumptions!$B$9</f>
        <v/>
      </c>
      <c r="Z421">
        <f>IF(M421=1,(P421-Assumptions!$B$37)*Assumptions!$B$153,0)</f>
        <v/>
      </c>
      <c r="AA421">
        <f>Q421+R421+S421+T421+U421+V421+W421+X421+Y421+Z421</f>
        <v/>
      </c>
      <c r="AB421" t="n">
        <v>114</v>
      </c>
      <c r="AC421" t="n">
        <v>50</v>
      </c>
      <c r="AD421" t="n">
        <v>82</v>
      </c>
      <c r="AE421" t="n">
        <v>98</v>
      </c>
      <c r="AF421" t="n">
        <v>122</v>
      </c>
      <c r="AG421" t="n">
        <v>118</v>
      </c>
      <c r="AH421" t="n">
        <v>112</v>
      </c>
      <c r="AI421" t="n">
        <v>115</v>
      </c>
      <c r="AJ421">
        <f>INDEX($Q$307:$Q$434,AC421+1)</f>
        <v/>
      </c>
      <c r="AK421">
        <f>INDEX($R$307:$R$434,AD421+1)</f>
        <v/>
      </c>
      <c r="AL421">
        <f>INDEX($S$307:$S$434,AE421+1)</f>
        <v/>
      </c>
      <c r="AM421">
        <f>INDEX($T$307:$T$434,AF421+1)</f>
        <v/>
      </c>
      <c r="AN421">
        <f>INDEX($U$307:$U$434,AG421+1)</f>
        <v/>
      </c>
      <c r="AO421">
        <f>INDEX($V$307:$V$434,AH421+1)</f>
        <v/>
      </c>
      <c r="AP421">
        <f>INDEX($W$307:$W$434,AI421+1)</f>
        <v/>
      </c>
      <c r="AQ421">
        <f>IF(Q421&gt;=AJ421-0.01,1,0)</f>
        <v/>
      </c>
      <c r="AR421">
        <f>IF(R421&gt;=AK421-0.01,1,0)</f>
        <v/>
      </c>
      <c r="AS421">
        <f>IF(S421&gt;=AL421-0.01,1,0)</f>
        <v/>
      </c>
      <c r="AT421">
        <f>IF(T421&gt;=AM421-0.01,1,0)</f>
        <v/>
      </c>
      <c r="AU421">
        <f>IF(U421&gt;=AN421-0.01,1,0)</f>
        <v/>
      </c>
      <c r="AV421">
        <f>IF(V421&gt;=AO421-0.01,1,0)</f>
        <v/>
      </c>
      <c r="AW421">
        <f>IF(W421&gt;=AP421-0.01,1,0)</f>
        <v/>
      </c>
      <c r="AX421">
        <f>AQ421*AR421*AS421*AT421*AU421*AV421*AW421</f>
        <v/>
      </c>
      <c r="AY421">
        <f>Assumptions!$B$41</f>
        <v/>
      </c>
      <c r="AZ421">
        <f>Assumptions!$B$33</f>
        <v/>
      </c>
      <c r="BA421">
        <f>Assumptions!$B$32</f>
        <v/>
      </c>
      <c r="BB421">
        <f>Assumptions!$B$31</f>
        <v/>
      </c>
      <c r="BC421">
        <f>Assumptions!$B$30</f>
        <v/>
      </c>
      <c r="BD421">
        <f>Assumptions!$B$29</f>
        <v/>
      </c>
      <c r="BE421">
        <f>Assumptions!$B$28</f>
        <v/>
      </c>
      <c r="BF421">
        <f>P421*Assumptions!$B$141</f>
        <v/>
      </c>
      <c r="BG421">
        <f>P421*Assumptions!$B$128</f>
        <v/>
      </c>
      <c r="BH421">
        <f>P421*Assumptions!$B$129</f>
        <v/>
      </c>
      <c r="BI421">
        <f>P421*Assumptions!$B$14</f>
        <v/>
      </c>
      <c r="BJ421">
        <f>P421*Assumptions!$B$13</f>
        <v/>
      </c>
      <c r="BK421">
        <f>P421*Assumptions!$B$12</f>
        <v/>
      </c>
      <c r="BL421">
        <f>P421*Assumptions!$B$11</f>
        <v/>
      </c>
    </row>
    <row r="422">
      <c r="A422" t="inlineStr">
        <is>
          <t>2000M</t>
        </is>
      </c>
      <c r="B422">
        <f>Assumptions!$B$60</f>
        <v/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  <c r="H422" t="n">
        <v>1</v>
      </c>
      <c r="I422" t="n">
        <v>1</v>
      </c>
      <c r="J422">
        <f>(1-C422)*Assumptions!$B$41+(1-D422)*Assumptions!$B$33+(1-E422)*Assumptions!$B$32+(1-F422)*Assumptions!$B$31+(1-G422)*Assumptions!$B$30+(1-H422)*Assumptions!$B$29+(1-I422)*Assumptions!$B$28</f>
        <v/>
      </c>
      <c r="K422">
        <f>C422*Assumptions!$B$141+D422*Assumptions!$B$128+E422*Assumptions!$B$129+F422*Assumptions!$B$14+G422*Assumptions!$B$13+H422*Assumptions!$B$12+I422*Assumptions!$B$11+Assumptions!$B$133+Assumptions!$B$137+Assumptions!$B$9</f>
        <v/>
      </c>
      <c r="L422">
        <f>B422-J422</f>
        <v/>
      </c>
      <c r="M422">
        <f>IF(K422&gt;0,IF(L422/K422&gt;=Assumptions!$B$37,1,0),0)</f>
        <v/>
      </c>
      <c r="N422">
        <f>K422+M422*Assumptions!$B$153</f>
        <v/>
      </c>
      <c r="O422">
        <f>L422+M422*Assumptions!$B$153*Assumptions!$B$37</f>
        <v/>
      </c>
      <c r="P422">
        <f>IF(N422&gt;0,O422/N422,0)</f>
        <v/>
      </c>
      <c r="Q422">
        <f>IF(C422=1,P422*Assumptions!$B$141,Assumptions!$B$41)</f>
        <v/>
      </c>
      <c r="R422">
        <f>IF(D422=1,P422*Assumptions!$B$128,Assumptions!$B$33)</f>
        <v/>
      </c>
      <c r="S422">
        <f>IF(E422=1,P422*Assumptions!$B$129,Assumptions!$B$32)</f>
        <v/>
      </c>
      <c r="T422">
        <f>IF(F422=1,P422*Assumptions!$B$14,Assumptions!$B$31)</f>
        <v/>
      </c>
      <c r="U422">
        <f>IF(G422=1,P422*Assumptions!$B$13,Assumptions!$B$30)</f>
        <v/>
      </c>
      <c r="V422">
        <f>IF(H422=1,P422*Assumptions!$B$12,Assumptions!$B$29)</f>
        <v/>
      </c>
      <c r="W422">
        <f>IF(I422=1,P422*Assumptions!$B$11,Assumptions!$B$28)</f>
        <v/>
      </c>
      <c r="X422">
        <f>P422*(Assumptions!$B$133+Assumptions!$B$137)</f>
        <v/>
      </c>
      <c r="Y422">
        <f>P422*Assumptions!$B$9</f>
        <v/>
      </c>
      <c r="Z422">
        <f>IF(M422=1,(P422-Assumptions!$B$37)*Assumptions!$B$153,0)</f>
        <v/>
      </c>
      <c r="AA422">
        <f>Q422+R422+S422+T422+U422+V422+W422+X422+Y422+Z422</f>
        <v/>
      </c>
      <c r="AB422" t="n">
        <v>115</v>
      </c>
      <c r="AC422" t="n">
        <v>51</v>
      </c>
      <c r="AD422" t="n">
        <v>83</v>
      </c>
      <c r="AE422" t="n">
        <v>99</v>
      </c>
      <c r="AF422" t="n">
        <v>123</v>
      </c>
      <c r="AG422" t="n">
        <v>119</v>
      </c>
      <c r="AH422" t="n">
        <v>113</v>
      </c>
      <c r="AI422" t="n">
        <v>114</v>
      </c>
      <c r="AJ422">
        <f>INDEX($Q$307:$Q$434,AC422+1)</f>
        <v/>
      </c>
      <c r="AK422">
        <f>INDEX($R$307:$R$434,AD422+1)</f>
        <v/>
      </c>
      <c r="AL422">
        <f>INDEX($S$307:$S$434,AE422+1)</f>
        <v/>
      </c>
      <c r="AM422">
        <f>INDEX($T$307:$T$434,AF422+1)</f>
        <v/>
      </c>
      <c r="AN422">
        <f>INDEX($U$307:$U$434,AG422+1)</f>
        <v/>
      </c>
      <c r="AO422">
        <f>INDEX($V$307:$V$434,AH422+1)</f>
        <v/>
      </c>
      <c r="AP422">
        <f>INDEX($W$307:$W$434,AI422+1)</f>
        <v/>
      </c>
      <c r="AQ422">
        <f>IF(Q422&gt;=AJ422-0.01,1,0)</f>
        <v/>
      </c>
      <c r="AR422">
        <f>IF(R422&gt;=AK422-0.01,1,0)</f>
        <v/>
      </c>
      <c r="AS422">
        <f>IF(S422&gt;=AL422-0.01,1,0)</f>
        <v/>
      </c>
      <c r="AT422">
        <f>IF(T422&gt;=AM422-0.01,1,0)</f>
        <v/>
      </c>
      <c r="AU422">
        <f>IF(U422&gt;=AN422-0.01,1,0)</f>
        <v/>
      </c>
      <c r="AV422">
        <f>IF(V422&gt;=AO422-0.01,1,0)</f>
        <v/>
      </c>
      <c r="AW422">
        <f>IF(W422&gt;=AP422-0.01,1,0)</f>
        <v/>
      </c>
      <c r="AX422">
        <f>AQ422*AR422*AS422*AT422*AU422*AV422*AW422</f>
        <v/>
      </c>
      <c r="AY422">
        <f>Assumptions!$B$41</f>
        <v/>
      </c>
      <c r="AZ422">
        <f>Assumptions!$B$33</f>
        <v/>
      </c>
      <c r="BA422">
        <f>Assumptions!$B$32</f>
        <v/>
      </c>
      <c r="BB422">
        <f>Assumptions!$B$31</f>
        <v/>
      </c>
      <c r="BC422">
        <f>Assumptions!$B$30</f>
        <v/>
      </c>
      <c r="BD422">
        <f>Assumptions!$B$29</f>
        <v/>
      </c>
      <c r="BE422">
        <f>Assumptions!$B$28</f>
        <v/>
      </c>
      <c r="BF422">
        <f>P422*Assumptions!$B$141</f>
        <v/>
      </c>
      <c r="BG422">
        <f>P422*Assumptions!$B$128</f>
        <v/>
      </c>
      <c r="BH422">
        <f>P422*Assumptions!$B$129</f>
        <v/>
      </c>
      <c r="BI422">
        <f>P422*Assumptions!$B$14</f>
        <v/>
      </c>
      <c r="BJ422">
        <f>P422*Assumptions!$B$13</f>
        <v/>
      </c>
      <c r="BK422">
        <f>P422*Assumptions!$B$12</f>
        <v/>
      </c>
      <c r="BL422">
        <f>P422*Assumptions!$B$11</f>
        <v/>
      </c>
    </row>
    <row r="423">
      <c r="A423" t="inlineStr">
        <is>
          <t>2000M</t>
        </is>
      </c>
      <c r="B423">
        <f>Assumptions!$B$60</f>
        <v/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>
        <f>(1-C423)*Assumptions!$B$41+(1-D423)*Assumptions!$B$33+(1-E423)*Assumptions!$B$32+(1-F423)*Assumptions!$B$31+(1-G423)*Assumptions!$B$30+(1-H423)*Assumptions!$B$29+(1-I423)*Assumptions!$B$28</f>
        <v/>
      </c>
      <c r="K423">
        <f>C423*Assumptions!$B$141+D423*Assumptions!$B$128+E423*Assumptions!$B$129+F423*Assumptions!$B$14+G423*Assumptions!$B$13+H423*Assumptions!$B$12+I423*Assumptions!$B$11+Assumptions!$B$133+Assumptions!$B$137+Assumptions!$B$9</f>
        <v/>
      </c>
      <c r="L423">
        <f>B423-J423</f>
        <v/>
      </c>
      <c r="M423">
        <f>IF(K423&gt;0,IF(L423/K423&gt;=Assumptions!$B$37,1,0),0)</f>
        <v/>
      </c>
      <c r="N423">
        <f>K423+M423*Assumptions!$B$153</f>
        <v/>
      </c>
      <c r="O423">
        <f>L423+M423*Assumptions!$B$153*Assumptions!$B$37</f>
        <v/>
      </c>
      <c r="P423">
        <f>IF(N423&gt;0,O423/N423,0)</f>
        <v/>
      </c>
      <c r="Q423">
        <f>IF(C423=1,P423*Assumptions!$B$141,Assumptions!$B$41)</f>
        <v/>
      </c>
      <c r="R423">
        <f>IF(D423=1,P423*Assumptions!$B$128,Assumptions!$B$33)</f>
        <v/>
      </c>
      <c r="S423">
        <f>IF(E423=1,P423*Assumptions!$B$129,Assumptions!$B$32)</f>
        <v/>
      </c>
      <c r="T423">
        <f>IF(F423=1,P423*Assumptions!$B$14,Assumptions!$B$31)</f>
        <v/>
      </c>
      <c r="U423">
        <f>IF(G423=1,P423*Assumptions!$B$13,Assumptions!$B$30)</f>
        <v/>
      </c>
      <c r="V423">
        <f>IF(H423=1,P423*Assumptions!$B$12,Assumptions!$B$29)</f>
        <v/>
      </c>
      <c r="W423">
        <f>IF(I423=1,P423*Assumptions!$B$11,Assumptions!$B$28)</f>
        <v/>
      </c>
      <c r="X423">
        <f>P423*(Assumptions!$B$133+Assumptions!$B$137)</f>
        <v/>
      </c>
      <c r="Y423">
        <f>P423*Assumptions!$B$9</f>
        <v/>
      </c>
      <c r="Z423">
        <f>IF(M423=1,(P423-Assumptions!$B$37)*Assumptions!$B$153,0)</f>
        <v/>
      </c>
      <c r="AA423">
        <f>Q423+R423+S423+T423+U423+V423+W423+X423+Y423+Z423</f>
        <v/>
      </c>
      <c r="AB423" t="n">
        <v>116</v>
      </c>
      <c r="AC423" t="n">
        <v>52</v>
      </c>
      <c r="AD423" t="n">
        <v>84</v>
      </c>
      <c r="AE423" t="n">
        <v>100</v>
      </c>
      <c r="AF423" t="n">
        <v>124</v>
      </c>
      <c r="AG423" t="n">
        <v>112</v>
      </c>
      <c r="AH423" t="n">
        <v>118</v>
      </c>
      <c r="AI423" t="n">
        <v>117</v>
      </c>
      <c r="AJ423">
        <f>INDEX($Q$307:$Q$434,AC423+1)</f>
        <v/>
      </c>
      <c r="AK423">
        <f>INDEX($R$307:$R$434,AD423+1)</f>
        <v/>
      </c>
      <c r="AL423">
        <f>INDEX($S$307:$S$434,AE423+1)</f>
        <v/>
      </c>
      <c r="AM423">
        <f>INDEX($T$307:$T$434,AF423+1)</f>
        <v/>
      </c>
      <c r="AN423">
        <f>INDEX($U$307:$U$434,AG423+1)</f>
        <v/>
      </c>
      <c r="AO423">
        <f>INDEX($V$307:$V$434,AH423+1)</f>
        <v/>
      </c>
      <c r="AP423">
        <f>INDEX($W$307:$W$434,AI423+1)</f>
        <v/>
      </c>
      <c r="AQ423">
        <f>IF(Q423&gt;=AJ423-0.01,1,0)</f>
        <v/>
      </c>
      <c r="AR423">
        <f>IF(R423&gt;=AK423-0.01,1,0)</f>
        <v/>
      </c>
      <c r="AS423">
        <f>IF(S423&gt;=AL423-0.01,1,0)</f>
        <v/>
      </c>
      <c r="AT423">
        <f>IF(T423&gt;=AM423-0.01,1,0)</f>
        <v/>
      </c>
      <c r="AU423">
        <f>IF(U423&gt;=AN423-0.01,1,0)</f>
        <v/>
      </c>
      <c r="AV423">
        <f>IF(V423&gt;=AO423-0.01,1,0)</f>
        <v/>
      </c>
      <c r="AW423">
        <f>IF(W423&gt;=AP423-0.01,1,0)</f>
        <v/>
      </c>
      <c r="AX423">
        <f>AQ423*AR423*AS423*AT423*AU423*AV423*AW423</f>
        <v/>
      </c>
      <c r="AY423">
        <f>Assumptions!$B$41</f>
        <v/>
      </c>
      <c r="AZ423">
        <f>Assumptions!$B$33</f>
        <v/>
      </c>
      <c r="BA423">
        <f>Assumptions!$B$32</f>
        <v/>
      </c>
      <c r="BB423">
        <f>Assumptions!$B$31</f>
        <v/>
      </c>
      <c r="BC423">
        <f>Assumptions!$B$30</f>
        <v/>
      </c>
      <c r="BD423">
        <f>Assumptions!$B$29</f>
        <v/>
      </c>
      <c r="BE423">
        <f>Assumptions!$B$28</f>
        <v/>
      </c>
      <c r="BF423">
        <f>P423*Assumptions!$B$141</f>
        <v/>
      </c>
      <c r="BG423">
        <f>P423*Assumptions!$B$128</f>
        <v/>
      </c>
      <c r="BH423">
        <f>P423*Assumptions!$B$129</f>
        <v/>
      </c>
      <c r="BI423">
        <f>P423*Assumptions!$B$14</f>
        <v/>
      </c>
      <c r="BJ423">
        <f>P423*Assumptions!$B$13</f>
        <v/>
      </c>
      <c r="BK423">
        <f>P423*Assumptions!$B$12</f>
        <v/>
      </c>
      <c r="BL423">
        <f>P423*Assumptions!$B$11</f>
        <v/>
      </c>
    </row>
    <row r="424">
      <c r="A424" t="inlineStr">
        <is>
          <t>2000M</t>
        </is>
      </c>
      <c r="B424">
        <f>Assumptions!$B$60</f>
        <v/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n">
        <v>1</v>
      </c>
      <c r="J424">
        <f>(1-C424)*Assumptions!$B$41+(1-D424)*Assumptions!$B$33+(1-E424)*Assumptions!$B$32+(1-F424)*Assumptions!$B$31+(1-G424)*Assumptions!$B$30+(1-H424)*Assumptions!$B$29+(1-I424)*Assumptions!$B$28</f>
        <v/>
      </c>
      <c r="K424">
        <f>C424*Assumptions!$B$141+D424*Assumptions!$B$128+E424*Assumptions!$B$129+F424*Assumptions!$B$14+G424*Assumptions!$B$13+H424*Assumptions!$B$12+I424*Assumptions!$B$11+Assumptions!$B$133+Assumptions!$B$137+Assumptions!$B$9</f>
        <v/>
      </c>
      <c r="L424">
        <f>B424-J424</f>
        <v/>
      </c>
      <c r="M424">
        <f>IF(K424&gt;0,IF(L424/K424&gt;=Assumptions!$B$37,1,0),0)</f>
        <v/>
      </c>
      <c r="N424">
        <f>K424+M424*Assumptions!$B$153</f>
        <v/>
      </c>
      <c r="O424">
        <f>L424+M424*Assumptions!$B$153*Assumptions!$B$37</f>
        <v/>
      </c>
      <c r="P424">
        <f>IF(N424&gt;0,O424/N424,0)</f>
        <v/>
      </c>
      <c r="Q424">
        <f>IF(C424=1,P424*Assumptions!$B$141,Assumptions!$B$41)</f>
        <v/>
      </c>
      <c r="R424">
        <f>IF(D424=1,P424*Assumptions!$B$128,Assumptions!$B$33)</f>
        <v/>
      </c>
      <c r="S424">
        <f>IF(E424=1,P424*Assumptions!$B$129,Assumptions!$B$32)</f>
        <v/>
      </c>
      <c r="T424">
        <f>IF(F424=1,P424*Assumptions!$B$14,Assumptions!$B$31)</f>
        <v/>
      </c>
      <c r="U424">
        <f>IF(G424=1,P424*Assumptions!$B$13,Assumptions!$B$30)</f>
        <v/>
      </c>
      <c r="V424">
        <f>IF(H424=1,P424*Assumptions!$B$12,Assumptions!$B$29)</f>
        <v/>
      </c>
      <c r="W424">
        <f>IF(I424=1,P424*Assumptions!$B$11,Assumptions!$B$28)</f>
        <v/>
      </c>
      <c r="X424">
        <f>P424*(Assumptions!$B$133+Assumptions!$B$137)</f>
        <v/>
      </c>
      <c r="Y424">
        <f>P424*Assumptions!$B$9</f>
        <v/>
      </c>
      <c r="Z424">
        <f>IF(M424=1,(P424-Assumptions!$B$37)*Assumptions!$B$153,0)</f>
        <v/>
      </c>
      <c r="AA424">
        <f>Q424+R424+S424+T424+U424+V424+W424+X424+Y424+Z424</f>
        <v/>
      </c>
      <c r="AB424" t="n">
        <v>117</v>
      </c>
      <c r="AC424" t="n">
        <v>53</v>
      </c>
      <c r="AD424" t="n">
        <v>85</v>
      </c>
      <c r="AE424" t="n">
        <v>101</v>
      </c>
      <c r="AF424" t="n">
        <v>125</v>
      </c>
      <c r="AG424" t="n">
        <v>113</v>
      </c>
      <c r="AH424" t="n">
        <v>119</v>
      </c>
      <c r="AI424" t="n">
        <v>116</v>
      </c>
      <c r="AJ424">
        <f>INDEX($Q$307:$Q$434,AC424+1)</f>
        <v/>
      </c>
      <c r="AK424">
        <f>INDEX($R$307:$R$434,AD424+1)</f>
        <v/>
      </c>
      <c r="AL424">
        <f>INDEX($S$307:$S$434,AE424+1)</f>
        <v/>
      </c>
      <c r="AM424">
        <f>INDEX($T$307:$T$434,AF424+1)</f>
        <v/>
      </c>
      <c r="AN424">
        <f>INDEX($U$307:$U$434,AG424+1)</f>
        <v/>
      </c>
      <c r="AO424">
        <f>INDEX($V$307:$V$434,AH424+1)</f>
        <v/>
      </c>
      <c r="AP424">
        <f>INDEX($W$307:$W$434,AI424+1)</f>
        <v/>
      </c>
      <c r="AQ424">
        <f>IF(Q424&gt;=AJ424-0.01,1,0)</f>
        <v/>
      </c>
      <c r="AR424">
        <f>IF(R424&gt;=AK424-0.01,1,0)</f>
        <v/>
      </c>
      <c r="AS424">
        <f>IF(S424&gt;=AL424-0.01,1,0)</f>
        <v/>
      </c>
      <c r="AT424">
        <f>IF(T424&gt;=AM424-0.01,1,0)</f>
        <v/>
      </c>
      <c r="AU424">
        <f>IF(U424&gt;=AN424-0.01,1,0)</f>
        <v/>
      </c>
      <c r="AV424">
        <f>IF(V424&gt;=AO424-0.01,1,0)</f>
        <v/>
      </c>
      <c r="AW424">
        <f>IF(W424&gt;=AP424-0.01,1,0)</f>
        <v/>
      </c>
      <c r="AX424">
        <f>AQ424*AR424*AS424*AT424*AU424*AV424*AW424</f>
        <v/>
      </c>
      <c r="AY424">
        <f>Assumptions!$B$41</f>
        <v/>
      </c>
      <c r="AZ424">
        <f>Assumptions!$B$33</f>
        <v/>
      </c>
      <c r="BA424">
        <f>Assumptions!$B$32</f>
        <v/>
      </c>
      <c r="BB424">
        <f>Assumptions!$B$31</f>
        <v/>
      </c>
      <c r="BC424">
        <f>Assumptions!$B$30</f>
        <v/>
      </c>
      <c r="BD424">
        <f>Assumptions!$B$29</f>
        <v/>
      </c>
      <c r="BE424">
        <f>Assumptions!$B$28</f>
        <v/>
      </c>
      <c r="BF424">
        <f>P424*Assumptions!$B$141</f>
        <v/>
      </c>
      <c r="BG424">
        <f>P424*Assumptions!$B$128</f>
        <v/>
      </c>
      <c r="BH424">
        <f>P424*Assumptions!$B$129</f>
        <v/>
      </c>
      <c r="BI424">
        <f>P424*Assumptions!$B$14</f>
        <v/>
      </c>
      <c r="BJ424">
        <f>P424*Assumptions!$B$13</f>
        <v/>
      </c>
      <c r="BK424">
        <f>P424*Assumptions!$B$12</f>
        <v/>
      </c>
      <c r="BL424">
        <f>P424*Assumptions!$B$11</f>
        <v/>
      </c>
    </row>
    <row r="425">
      <c r="A425" t="inlineStr">
        <is>
          <t>2000M</t>
        </is>
      </c>
      <c r="B425">
        <f>Assumptions!$B$60</f>
        <v/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>
        <f>(1-C425)*Assumptions!$B$41+(1-D425)*Assumptions!$B$33+(1-E425)*Assumptions!$B$32+(1-F425)*Assumptions!$B$31+(1-G425)*Assumptions!$B$30+(1-H425)*Assumptions!$B$29+(1-I425)*Assumptions!$B$28</f>
        <v/>
      </c>
      <c r="K425">
        <f>C425*Assumptions!$B$141+D425*Assumptions!$B$128+E425*Assumptions!$B$129+F425*Assumptions!$B$14+G425*Assumptions!$B$13+H425*Assumptions!$B$12+I425*Assumptions!$B$11+Assumptions!$B$133+Assumptions!$B$137+Assumptions!$B$9</f>
        <v/>
      </c>
      <c r="L425">
        <f>B425-J425</f>
        <v/>
      </c>
      <c r="M425">
        <f>IF(K425&gt;0,IF(L425/K425&gt;=Assumptions!$B$37,1,0),0)</f>
        <v/>
      </c>
      <c r="N425">
        <f>K425+M425*Assumptions!$B$153</f>
        <v/>
      </c>
      <c r="O425">
        <f>L425+M425*Assumptions!$B$153*Assumptions!$B$37</f>
        <v/>
      </c>
      <c r="P425">
        <f>IF(N425&gt;0,O425/N425,0)</f>
        <v/>
      </c>
      <c r="Q425">
        <f>IF(C425=1,P425*Assumptions!$B$141,Assumptions!$B$41)</f>
        <v/>
      </c>
      <c r="R425">
        <f>IF(D425=1,P425*Assumptions!$B$128,Assumptions!$B$33)</f>
        <v/>
      </c>
      <c r="S425">
        <f>IF(E425=1,P425*Assumptions!$B$129,Assumptions!$B$32)</f>
        <v/>
      </c>
      <c r="T425">
        <f>IF(F425=1,P425*Assumptions!$B$14,Assumptions!$B$31)</f>
        <v/>
      </c>
      <c r="U425">
        <f>IF(G425=1,P425*Assumptions!$B$13,Assumptions!$B$30)</f>
        <v/>
      </c>
      <c r="V425">
        <f>IF(H425=1,P425*Assumptions!$B$12,Assumptions!$B$29)</f>
        <v/>
      </c>
      <c r="W425">
        <f>IF(I425=1,P425*Assumptions!$B$11,Assumptions!$B$28)</f>
        <v/>
      </c>
      <c r="X425">
        <f>P425*(Assumptions!$B$133+Assumptions!$B$137)</f>
        <v/>
      </c>
      <c r="Y425">
        <f>P425*Assumptions!$B$9</f>
        <v/>
      </c>
      <c r="Z425">
        <f>IF(M425=1,(P425-Assumptions!$B$37)*Assumptions!$B$153,0)</f>
        <v/>
      </c>
      <c r="AA425">
        <f>Q425+R425+S425+T425+U425+V425+W425+X425+Y425+Z425</f>
        <v/>
      </c>
      <c r="AB425" t="n">
        <v>118</v>
      </c>
      <c r="AC425" t="n">
        <v>54</v>
      </c>
      <c r="AD425" t="n">
        <v>86</v>
      </c>
      <c r="AE425" t="n">
        <v>102</v>
      </c>
      <c r="AF425" t="n">
        <v>126</v>
      </c>
      <c r="AG425" t="n">
        <v>114</v>
      </c>
      <c r="AH425" t="n">
        <v>116</v>
      </c>
      <c r="AI425" t="n">
        <v>119</v>
      </c>
      <c r="AJ425">
        <f>INDEX($Q$307:$Q$434,AC425+1)</f>
        <v/>
      </c>
      <c r="AK425">
        <f>INDEX($R$307:$R$434,AD425+1)</f>
        <v/>
      </c>
      <c r="AL425">
        <f>INDEX($S$307:$S$434,AE425+1)</f>
        <v/>
      </c>
      <c r="AM425">
        <f>INDEX($T$307:$T$434,AF425+1)</f>
        <v/>
      </c>
      <c r="AN425">
        <f>INDEX($U$307:$U$434,AG425+1)</f>
        <v/>
      </c>
      <c r="AO425">
        <f>INDEX($V$307:$V$434,AH425+1)</f>
        <v/>
      </c>
      <c r="AP425">
        <f>INDEX($W$307:$W$434,AI425+1)</f>
        <v/>
      </c>
      <c r="AQ425">
        <f>IF(Q425&gt;=AJ425-0.01,1,0)</f>
        <v/>
      </c>
      <c r="AR425">
        <f>IF(R425&gt;=AK425-0.01,1,0)</f>
        <v/>
      </c>
      <c r="AS425">
        <f>IF(S425&gt;=AL425-0.01,1,0)</f>
        <v/>
      </c>
      <c r="AT425">
        <f>IF(T425&gt;=AM425-0.01,1,0)</f>
        <v/>
      </c>
      <c r="AU425">
        <f>IF(U425&gt;=AN425-0.01,1,0)</f>
        <v/>
      </c>
      <c r="AV425">
        <f>IF(V425&gt;=AO425-0.01,1,0)</f>
        <v/>
      </c>
      <c r="AW425">
        <f>IF(W425&gt;=AP425-0.01,1,0)</f>
        <v/>
      </c>
      <c r="AX425">
        <f>AQ425*AR425*AS425*AT425*AU425*AV425*AW425</f>
        <v/>
      </c>
      <c r="AY425">
        <f>Assumptions!$B$41</f>
        <v/>
      </c>
      <c r="AZ425">
        <f>Assumptions!$B$33</f>
        <v/>
      </c>
      <c r="BA425">
        <f>Assumptions!$B$32</f>
        <v/>
      </c>
      <c r="BB425">
        <f>Assumptions!$B$31</f>
        <v/>
      </c>
      <c r="BC425">
        <f>Assumptions!$B$30</f>
        <v/>
      </c>
      <c r="BD425">
        <f>Assumptions!$B$29</f>
        <v/>
      </c>
      <c r="BE425">
        <f>Assumptions!$B$28</f>
        <v/>
      </c>
      <c r="BF425">
        <f>P425*Assumptions!$B$141</f>
        <v/>
      </c>
      <c r="BG425">
        <f>P425*Assumptions!$B$128</f>
        <v/>
      </c>
      <c r="BH425">
        <f>P425*Assumptions!$B$129</f>
        <v/>
      </c>
      <c r="BI425">
        <f>P425*Assumptions!$B$14</f>
        <v/>
      </c>
      <c r="BJ425">
        <f>P425*Assumptions!$B$13</f>
        <v/>
      </c>
      <c r="BK425">
        <f>P425*Assumptions!$B$12</f>
        <v/>
      </c>
      <c r="BL425">
        <f>P425*Assumptions!$B$11</f>
        <v/>
      </c>
    </row>
    <row r="426">
      <c r="A426" t="inlineStr">
        <is>
          <t>2000M</t>
        </is>
      </c>
      <c r="B426">
        <f>Assumptions!$B$60</f>
        <v/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>
        <f>(1-C426)*Assumptions!$B$41+(1-D426)*Assumptions!$B$33+(1-E426)*Assumptions!$B$32+(1-F426)*Assumptions!$B$31+(1-G426)*Assumptions!$B$30+(1-H426)*Assumptions!$B$29+(1-I426)*Assumptions!$B$28</f>
        <v/>
      </c>
      <c r="K426">
        <f>C426*Assumptions!$B$141+D426*Assumptions!$B$128+E426*Assumptions!$B$129+F426*Assumptions!$B$14+G426*Assumptions!$B$13+H426*Assumptions!$B$12+I426*Assumptions!$B$11+Assumptions!$B$133+Assumptions!$B$137+Assumptions!$B$9</f>
        <v/>
      </c>
      <c r="L426">
        <f>B426-J426</f>
        <v/>
      </c>
      <c r="M426">
        <f>IF(K426&gt;0,IF(L426/K426&gt;=Assumptions!$B$37,1,0),0)</f>
        <v/>
      </c>
      <c r="N426">
        <f>K426+M426*Assumptions!$B$153</f>
        <v/>
      </c>
      <c r="O426">
        <f>L426+M426*Assumptions!$B$153*Assumptions!$B$37</f>
        <v/>
      </c>
      <c r="P426">
        <f>IF(N426&gt;0,O426/N426,0)</f>
        <v/>
      </c>
      <c r="Q426">
        <f>IF(C426=1,P426*Assumptions!$B$141,Assumptions!$B$41)</f>
        <v/>
      </c>
      <c r="R426">
        <f>IF(D426=1,P426*Assumptions!$B$128,Assumptions!$B$33)</f>
        <v/>
      </c>
      <c r="S426">
        <f>IF(E426=1,P426*Assumptions!$B$129,Assumptions!$B$32)</f>
        <v/>
      </c>
      <c r="T426">
        <f>IF(F426=1,P426*Assumptions!$B$14,Assumptions!$B$31)</f>
        <v/>
      </c>
      <c r="U426">
        <f>IF(G426=1,P426*Assumptions!$B$13,Assumptions!$B$30)</f>
        <v/>
      </c>
      <c r="V426">
        <f>IF(H426=1,P426*Assumptions!$B$12,Assumptions!$B$29)</f>
        <v/>
      </c>
      <c r="W426">
        <f>IF(I426=1,P426*Assumptions!$B$11,Assumptions!$B$28)</f>
        <v/>
      </c>
      <c r="X426">
        <f>P426*(Assumptions!$B$133+Assumptions!$B$137)</f>
        <v/>
      </c>
      <c r="Y426">
        <f>P426*Assumptions!$B$9</f>
        <v/>
      </c>
      <c r="Z426">
        <f>IF(M426=1,(P426-Assumptions!$B$37)*Assumptions!$B$153,0)</f>
        <v/>
      </c>
      <c r="AA426">
        <f>Q426+R426+S426+T426+U426+V426+W426+X426+Y426+Z426</f>
        <v/>
      </c>
      <c r="AB426" t="n">
        <v>119</v>
      </c>
      <c r="AC426" t="n">
        <v>55</v>
      </c>
      <c r="AD426" t="n">
        <v>87</v>
      </c>
      <c r="AE426" t="n">
        <v>103</v>
      </c>
      <c r="AF426" t="n">
        <v>127</v>
      </c>
      <c r="AG426" t="n">
        <v>115</v>
      </c>
      <c r="AH426" t="n">
        <v>117</v>
      </c>
      <c r="AI426" t="n">
        <v>118</v>
      </c>
      <c r="AJ426">
        <f>INDEX($Q$307:$Q$434,AC426+1)</f>
        <v/>
      </c>
      <c r="AK426">
        <f>INDEX($R$307:$R$434,AD426+1)</f>
        <v/>
      </c>
      <c r="AL426">
        <f>INDEX($S$307:$S$434,AE426+1)</f>
        <v/>
      </c>
      <c r="AM426">
        <f>INDEX($T$307:$T$434,AF426+1)</f>
        <v/>
      </c>
      <c r="AN426">
        <f>INDEX($U$307:$U$434,AG426+1)</f>
        <v/>
      </c>
      <c r="AO426">
        <f>INDEX($V$307:$V$434,AH426+1)</f>
        <v/>
      </c>
      <c r="AP426">
        <f>INDEX($W$307:$W$434,AI426+1)</f>
        <v/>
      </c>
      <c r="AQ426">
        <f>IF(Q426&gt;=AJ426-0.01,1,0)</f>
        <v/>
      </c>
      <c r="AR426">
        <f>IF(R426&gt;=AK426-0.01,1,0)</f>
        <v/>
      </c>
      <c r="AS426">
        <f>IF(S426&gt;=AL426-0.01,1,0)</f>
        <v/>
      </c>
      <c r="AT426">
        <f>IF(T426&gt;=AM426-0.01,1,0)</f>
        <v/>
      </c>
      <c r="AU426">
        <f>IF(U426&gt;=AN426-0.01,1,0)</f>
        <v/>
      </c>
      <c r="AV426">
        <f>IF(V426&gt;=AO426-0.01,1,0)</f>
        <v/>
      </c>
      <c r="AW426">
        <f>IF(W426&gt;=AP426-0.01,1,0)</f>
        <v/>
      </c>
      <c r="AX426">
        <f>AQ426*AR426*AS426*AT426*AU426*AV426*AW426</f>
        <v/>
      </c>
      <c r="AY426">
        <f>Assumptions!$B$41</f>
        <v/>
      </c>
      <c r="AZ426">
        <f>Assumptions!$B$33</f>
        <v/>
      </c>
      <c r="BA426">
        <f>Assumptions!$B$32</f>
        <v/>
      </c>
      <c r="BB426">
        <f>Assumptions!$B$31</f>
        <v/>
      </c>
      <c r="BC426">
        <f>Assumptions!$B$30</f>
        <v/>
      </c>
      <c r="BD426">
        <f>Assumptions!$B$29</f>
        <v/>
      </c>
      <c r="BE426">
        <f>Assumptions!$B$28</f>
        <v/>
      </c>
      <c r="BF426">
        <f>P426*Assumptions!$B$141</f>
        <v/>
      </c>
      <c r="BG426">
        <f>P426*Assumptions!$B$128</f>
        <v/>
      </c>
      <c r="BH426">
        <f>P426*Assumptions!$B$129</f>
        <v/>
      </c>
      <c r="BI426">
        <f>P426*Assumptions!$B$14</f>
        <v/>
      </c>
      <c r="BJ426">
        <f>P426*Assumptions!$B$13</f>
        <v/>
      </c>
      <c r="BK426">
        <f>P426*Assumptions!$B$12</f>
        <v/>
      </c>
      <c r="BL426">
        <f>P426*Assumptions!$B$11</f>
        <v/>
      </c>
    </row>
    <row r="427">
      <c r="A427" t="inlineStr">
        <is>
          <t>2000M</t>
        </is>
      </c>
      <c r="B427">
        <f>Assumptions!$B$60</f>
        <v/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>
        <f>(1-C427)*Assumptions!$B$41+(1-D427)*Assumptions!$B$33+(1-E427)*Assumptions!$B$32+(1-F427)*Assumptions!$B$31+(1-G427)*Assumptions!$B$30+(1-H427)*Assumptions!$B$29+(1-I427)*Assumptions!$B$28</f>
        <v/>
      </c>
      <c r="K427">
        <f>C427*Assumptions!$B$141+D427*Assumptions!$B$128+E427*Assumptions!$B$129+F427*Assumptions!$B$14+G427*Assumptions!$B$13+H427*Assumptions!$B$12+I427*Assumptions!$B$11+Assumptions!$B$133+Assumptions!$B$137+Assumptions!$B$9</f>
        <v/>
      </c>
      <c r="L427">
        <f>B427-J427</f>
        <v/>
      </c>
      <c r="M427">
        <f>IF(K427&gt;0,IF(L427/K427&gt;=Assumptions!$B$37,1,0),0)</f>
        <v/>
      </c>
      <c r="N427">
        <f>K427+M427*Assumptions!$B$153</f>
        <v/>
      </c>
      <c r="O427">
        <f>L427+M427*Assumptions!$B$153*Assumptions!$B$37</f>
        <v/>
      </c>
      <c r="P427">
        <f>IF(N427&gt;0,O427/N427,0)</f>
        <v/>
      </c>
      <c r="Q427">
        <f>IF(C427=1,P427*Assumptions!$B$141,Assumptions!$B$41)</f>
        <v/>
      </c>
      <c r="R427">
        <f>IF(D427=1,P427*Assumptions!$B$128,Assumptions!$B$33)</f>
        <v/>
      </c>
      <c r="S427">
        <f>IF(E427=1,P427*Assumptions!$B$129,Assumptions!$B$32)</f>
        <v/>
      </c>
      <c r="T427">
        <f>IF(F427=1,P427*Assumptions!$B$14,Assumptions!$B$31)</f>
        <v/>
      </c>
      <c r="U427">
        <f>IF(G427=1,P427*Assumptions!$B$13,Assumptions!$B$30)</f>
        <v/>
      </c>
      <c r="V427">
        <f>IF(H427=1,P427*Assumptions!$B$12,Assumptions!$B$29)</f>
        <v/>
      </c>
      <c r="W427">
        <f>IF(I427=1,P427*Assumptions!$B$11,Assumptions!$B$28)</f>
        <v/>
      </c>
      <c r="X427">
        <f>P427*(Assumptions!$B$133+Assumptions!$B$137)</f>
        <v/>
      </c>
      <c r="Y427">
        <f>P427*Assumptions!$B$9</f>
        <v/>
      </c>
      <c r="Z427">
        <f>IF(M427=1,(P427-Assumptions!$B$37)*Assumptions!$B$153,0)</f>
        <v/>
      </c>
      <c r="AA427">
        <f>Q427+R427+S427+T427+U427+V427+W427+X427+Y427+Z427</f>
        <v/>
      </c>
      <c r="AB427" t="n">
        <v>120</v>
      </c>
      <c r="AC427" t="n">
        <v>56</v>
      </c>
      <c r="AD427" t="n">
        <v>88</v>
      </c>
      <c r="AE427" t="n">
        <v>104</v>
      </c>
      <c r="AF427" t="n">
        <v>112</v>
      </c>
      <c r="AG427" t="n">
        <v>124</v>
      </c>
      <c r="AH427" t="n">
        <v>122</v>
      </c>
      <c r="AI427" t="n">
        <v>121</v>
      </c>
      <c r="AJ427">
        <f>INDEX($Q$307:$Q$434,AC427+1)</f>
        <v/>
      </c>
      <c r="AK427">
        <f>INDEX($R$307:$R$434,AD427+1)</f>
        <v/>
      </c>
      <c r="AL427">
        <f>INDEX($S$307:$S$434,AE427+1)</f>
        <v/>
      </c>
      <c r="AM427">
        <f>INDEX($T$307:$T$434,AF427+1)</f>
        <v/>
      </c>
      <c r="AN427">
        <f>INDEX($U$307:$U$434,AG427+1)</f>
        <v/>
      </c>
      <c r="AO427">
        <f>INDEX($V$307:$V$434,AH427+1)</f>
        <v/>
      </c>
      <c r="AP427">
        <f>INDEX($W$307:$W$434,AI427+1)</f>
        <v/>
      </c>
      <c r="AQ427">
        <f>IF(Q427&gt;=AJ427-0.01,1,0)</f>
        <v/>
      </c>
      <c r="AR427">
        <f>IF(R427&gt;=AK427-0.01,1,0)</f>
        <v/>
      </c>
      <c r="AS427">
        <f>IF(S427&gt;=AL427-0.01,1,0)</f>
        <v/>
      </c>
      <c r="AT427">
        <f>IF(T427&gt;=AM427-0.01,1,0)</f>
        <v/>
      </c>
      <c r="AU427">
        <f>IF(U427&gt;=AN427-0.01,1,0)</f>
        <v/>
      </c>
      <c r="AV427">
        <f>IF(V427&gt;=AO427-0.01,1,0)</f>
        <v/>
      </c>
      <c r="AW427">
        <f>IF(W427&gt;=AP427-0.01,1,0)</f>
        <v/>
      </c>
      <c r="AX427">
        <f>AQ427*AR427*AS427*AT427*AU427*AV427*AW427</f>
        <v/>
      </c>
      <c r="AY427">
        <f>Assumptions!$B$41</f>
        <v/>
      </c>
      <c r="AZ427">
        <f>Assumptions!$B$33</f>
        <v/>
      </c>
      <c r="BA427">
        <f>Assumptions!$B$32</f>
        <v/>
      </c>
      <c r="BB427">
        <f>Assumptions!$B$31</f>
        <v/>
      </c>
      <c r="BC427">
        <f>Assumptions!$B$30</f>
        <v/>
      </c>
      <c r="BD427">
        <f>Assumptions!$B$29</f>
        <v/>
      </c>
      <c r="BE427">
        <f>Assumptions!$B$28</f>
        <v/>
      </c>
      <c r="BF427">
        <f>P427*Assumptions!$B$141</f>
        <v/>
      </c>
      <c r="BG427">
        <f>P427*Assumptions!$B$128</f>
        <v/>
      </c>
      <c r="BH427">
        <f>P427*Assumptions!$B$129</f>
        <v/>
      </c>
      <c r="BI427">
        <f>P427*Assumptions!$B$14</f>
        <v/>
      </c>
      <c r="BJ427">
        <f>P427*Assumptions!$B$13</f>
        <v/>
      </c>
      <c r="BK427">
        <f>P427*Assumptions!$B$12</f>
        <v/>
      </c>
      <c r="BL427">
        <f>P427*Assumptions!$B$11</f>
        <v/>
      </c>
    </row>
    <row r="428">
      <c r="A428" t="inlineStr">
        <is>
          <t>2000M</t>
        </is>
      </c>
      <c r="B428">
        <f>Assumptions!$B$60</f>
        <v/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>
        <f>(1-C428)*Assumptions!$B$41+(1-D428)*Assumptions!$B$33+(1-E428)*Assumptions!$B$32+(1-F428)*Assumptions!$B$31+(1-G428)*Assumptions!$B$30+(1-H428)*Assumptions!$B$29+(1-I428)*Assumptions!$B$28</f>
        <v/>
      </c>
      <c r="K428">
        <f>C428*Assumptions!$B$141+D428*Assumptions!$B$128+E428*Assumptions!$B$129+F428*Assumptions!$B$14+G428*Assumptions!$B$13+H428*Assumptions!$B$12+I428*Assumptions!$B$11+Assumptions!$B$133+Assumptions!$B$137+Assumptions!$B$9</f>
        <v/>
      </c>
      <c r="L428">
        <f>B428-J428</f>
        <v/>
      </c>
      <c r="M428">
        <f>IF(K428&gt;0,IF(L428/K428&gt;=Assumptions!$B$37,1,0),0)</f>
        <v/>
      </c>
      <c r="N428">
        <f>K428+M428*Assumptions!$B$153</f>
        <v/>
      </c>
      <c r="O428">
        <f>L428+M428*Assumptions!$B$153*Assumptions!$B$37</f>
        <v/>
      </c>
      <c r="P428">
        <f>IF(N428&gt;0,O428/N428,0)</f>
        <v/>
      </c>
      <c r="Q428">
        <f>IF(C428=1,P428*Assumptions!$B$141,Assumptions!$B$41)</f>
        <v/>
      </c>
      <c r="R428">
        <f>IF(D428=1,P428*Assumptions!$B$128,Assumptions!$B$33)</f>
        <v/>
      </c>
      <c r="S428">
        <f>IF(E428=1,P428*Assumptions!$B$129,Assumptions!$B$32)</f>
        <v/>
      </c>
      <c r="T428">
        <f>IF(F428=1,P428*Assumptions!$B$14,Assumptions!$B$31)</f>
        <v/>
      </c>
      <c r="U428">
        <f>IF(G428=1,P428*Assumptions!$B$13,Assumptions!$B$30)</f>
        <v/>
      </c>
      <c r="V428">
        <f>IF(H428=1,P428*Assumptions!$B$12,Assumptions!$B$29)</f>
        <v/>
      </c>
      <c r="W428">
        <f>IF(I428=1,P428*Assumptions!$B$11,Assumptions!$B$28)</f>
        <v/>
      </c>
      <c r="X428">
        <f>P428*(Assumptions!$B$133+Assumptions!$B$137)</f>
        <v/>
      </c>
      <c r="Y428">
        <f>P428*Assumptions!$B$9</f>
        <v/>
      </c>
      <c r="Z428">
        <f>IF(M428=1,(P428-Assumptions!$B$37)*Assumptions!$B$153,0)</f>
        <v/>
      </c>
      <c r="AA428">
        <f>Q428+R428+S428+T428+U428+V428+W428+X428+Y428+Z428</f>
        <v/>
      </c>
      <c r="AB428" t="n">
        <v>121</v>
      </c>
      <c r="AC428" t="n">
        <v>57</v>
      </c>
      <c r="AD428" t="n">
        <v>89</v>
      </c>
      <c r="AE428" t="n">
        <v>105</v>
      </c>
      <c r="AF428" t="n">
        <v>113</v>
      </c>
      <c r="AG428" t="n">
        <v>125</v>
      </c>
      <c r="AH428" t="n">
        <v>123</v>
      </c>
      <c r="AI428" t="n">
        <v>120</v>
      </c>
      <c r="AJ428">
        <f>INDEX($Q$307:$Q$434,AC428+1)</f>
        <v/>
      </c>
      <c r="AK428">
        <f>INDEX($R$307:$R$434,AD428+1)</f>
        <v/>
      </c>
      <c r="AL428">
        <f>INDEX($S$307:$S$434,AE428+1)</f>
        <v/>
      </c>
      <c r="AM428">
        <f>INDEX($T$307:$T$434,AF428+1)</f>
        <v/>
      </c>
      <c r="AN428">
        <f>INDEX($U$307:$U$434,AG428+1)</f>
        <v/>
      </c>
      <c r="AO428">
        <f>INDEX($V$307:$V$434,AH428+1)</f>
        <v/>
      </c>
      <c r="AP428">
        <f>INDEX($W$307:$W$434,AI428+1)</f>
        <v/>
      </c>
      <c r="AQ428">
        <f>IF(Q428&gt;=AJ428-0.01,1,0)</f>
        <v/>
      </c>
      <c r="AR428">
        <f>IF(R428&gt;=AK428-0.01,1,0)</f>
        <v/>
      </c>
      <c r="AS428">
        <f>IF(S428&gt;=AL428-0.01,1,0)</f>
        <v/>
      </c>
      <c r="AT428">
        <f>IF(T428&gt;=AM428-0.01,1,0)</f>
        <v/>
      </c>
      <c r="AU428">
        <f>IF(U428&gt;=AN428-0.01,1,0)</f>
        <v/>
      </c>
      <c r="AV428">
        <f>IF(V428&gt;=AO428-0.01,1,0)</f>
        <v/>
      </c>
      <c r="AW428">
        <f>IF(W428&gt;=AP428-0.01,1,0)</f>
        <v/>
      </c>
      <c r="AX428">
        <f>AQ428*AR428*AS428*AT428*AU428*AV428*AW428</f>
        <v/>
      </c>
      <c r="AY428">
        <f>Assumptions!$B$41</f>
        <v/>
      </c>
      <c r="AZ428">
        <f>Assumptions!$B$33</f>
        <v/>
      </c>
      <c r="BA428">
        <f>Assumptions!$B$32</f>
        <v/>
      </c>
      <c r="BB428">
        <f>Assumptions!$B$31</f>
        <v/>
      </c>
      <c r="BC428">
        <f>Assumptions!$B$30</f>
        <v/>
      </c>
      <c r="BD428">
        <f>Assumptions!$B$29</f>
        <v/>
      </c>
      <c r="BE428">
        <f>Assumptions!$B$28</f>
        <v/>
      </c>
      <c r="BF428">
        <f>P428*Assumptions!$B$141</f>
        <v/>
      </c>
      <c r="BG428">
        <f>P428*Assumptions!$B$128</f>
        <v/>
      </c>
      <c r="BH428">
        <f>P428*Assumptions!$B$129</f>
        <v/>
      </c>
      <c r="BI428">
        <f>P428*Assumptions!$B$14</f>
        <v/>
      </c>
      <c r="BJ428">
        <f>P428*Assumptions!$B$13</f>
        <v/>
      </c>
      <c r="BK428">
        <f>P428*Assumptions!$B$12</f>
        <v/>
      </c>
      <c r="BL428">
        <f>P428*Assumptions!$B$11</f>
        <v/>
      </c>
    </row>
    <row r="429">
      <c r="A429" t="inlineStr">
        <is>
          <t>2000M</t>
        </is>
      </c>
      <c r="B429">
        <f>Assumptions!$B$60</f>
        <v/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>
        <f>(1-C429)*Assumptions!$B$41+(1-D429)*Assumptions!$B$33+(1-E429)*Assumptions!$B$32+(1-F429)*Assumptions!$B$31+(1-G429)*Assumptions!$B$30+(1-H429)*Assumptions!$B$29+(1-I429)*Assumptions!$B$28</f>
        <v/>
      </c>
      <c r="K429">
        <f>C429*Assumptions!$B$141+D429*Assumptions!$B$128+E429*Assumptions!$B$129+F429*Assumptions!$B$14+G429*Assumptions!$B$13+H429*Assumptions!$B$12+I429*Assumptions!$B$11+Assumptions!$B$133+Assumptions!$B$137+Assumptions!$B$9</f>
        <v/>
      </c>
      <c r="L429">
        <f>B429-J429</f>
        <v/>
      </c>
      <c r="M429">
        <f>IF(K429&gt;0,IF(L429/K429&gt;=Assumptions!$B$37,1,0),0)</f>
        <v/>
      </c>
      <c r="N429">
        <f>K429+M429*Assumptions!$B$153</f>
        <v/>
      </c>
      <c r="O429">
        <f>L429+M429*Assumptions!$B$153*Assumptions!$B$37</f>
        <v/>
      </c>
      <c r="P429">
        <f>IF(N429&gt;0,O429/N429,0)</f>
        <v/>
      </c>
      <c r="Q429">
        <f>IF(C429=1,P429*Assumptions!$B$141,Assumptions!$B$41)</f>
        <v/>
      </c>
      <c r="R429">
        <f>IF(D429=1,P429*Assumptions!$B$128,Assumptions!$B$33)</f>
        <v/>
      </c>
      <c r="S429">
        <f>IF(E429=1,P429*Assumptions!$B$129,Assumptions!$B$32)</f>
        <v/>
      </c>
      <c r="T429">
        <f>IF(F429=1,P429*Assumptions!$B$14,Assumptions!$B$31)</f>
        <v/>
      </c>
      <c r="U429">
        <f>IF(G429=1,P429*Assumptions!$B$13,Assumptions!$B$30)</f>
        <v/>
      </c>
      <c r="V429">
        <f>IF(H429=1,P429*Assumptions!$B$12,Assumptions!$B$29)</f>
        <v/>
      </c>
      <c r="W429">
        <f>IF(I429=1,P429*Assumptions!$B$11,Assumptions!$B$28)</f>
        <v/>
      </c>
      <c r="X429">
        <f>P429*(Assumptions!$B$133+Assumptions!$B$137)</f>
        <v/>
      </c>
      <c r="Y429">
        <f>P429*Assumptions!$B$9</f>
        <v/>
      </c>
      <c r="Z429">
        <f>IF(M429=1,(P429-Assumptions!$B$37)*Assumptions!$B$153,0)</f>
        <v/>
      </c>
      <c r="AA429">
        <f>Q429+R429+S429+T429+U429+V429+W429+X429+Y429+Z429</f>
        <v/>
      </c>
      <c r="AB429" t="n">
        <v>122</v>
      </c>
      <c r="AC429" t="n">
        <v>58</v>
      </c>
      <c r="AD429" t="n">
        <v>90</v>
      </c>
      <c r="AE429" t="n">
        <v>106</v>
      </c>
      <c r="AF429" t="n">
        <v>114</v>
      </c>
      <c r="AG429" t="n">
        <v>126</v>
      </c>
      <c r="AH429" t="n">
        <v>120</v>
      </c>
      <c r="AI429" t="n">
        <v>123</v>
      </c>
      <c r="AJ429">
        <f>INDEX($Q$307:$Q$434,AC429+1)</f>
        <v/>
      </c>
      <c r="AK429">
        <f>INDEX($R$307:$R$434,AD429+1)</f>
        <v/>
      </c>
      <c r="AL429">
        <f>INDEX($S$307:$S$434,AE429+1)</f>
        <v/>
      </c>
      <c r="AM429">
        <f>INDEX($T$307:$T$434,AF429+1)</f>
        <v/>
      </c>
      <c r="AN429">
        <f>INDEX($U$307:$U$434,AG429+1)</f>
        <v/>
      </c>
      <c r="AO429">
        <f>INDEX($V$307:$V$434,AH429+1)</f>
        <v/>
      </c>
      <c r="AP429">
        <f>INDEX($W$307:$W$434,AI429+1)</f>
        <v/>
      </c>
      <c r="AQ429">
        <f>IF(Q429&gt;=AJ429-0.01,1,0)</f>
        <v/>
      </c>
      <c r="AR429">
        <f>IF(R429&gt;=AK429-0.01,1,0)</f>
        <v/>
      </c>
      <c r="AS429">
        <f>IF(S429&gt;=AL429-0.01,1,0)</f>
        <v/>
      </c>
      <c r="AT429">
        <f>IF(T429&gt;=AM429-0.01,1,0)</f>
        <v/>
      </c>
      <c r="AU429">
        <f>IF(U429&gt;=AN429-0.01,1,0)</f>
        <v/>
      </c>
      <c r="AV429">
        <f>IF(V429&gt;=AO429-0.01,1,0)</f>
        <v/>
      </c>
      <c r="AW429">
        <f>IF(W429&gt;=AP429-0.01,1,0)</f>
        <v/>
      </c>
      <c r="AX429">
        <f>AQ429*AR429*AS429*AT429*AU429*AV429*AW429</f>
        <v/>
      </c>
      <c r="AY429">
        <f>Assumptions!$B$41</f>
        <v/>
      </c>
      <c r="AZ429">
        <f>Assumptions!$B$33</f>
        <v/>
      </c>
      <c r="BA429">
        <f>Assumptions!$B$32</f>
        <v/>
      </c>
      <c r="BB429">
        <f>Assumptions!$B$31</f>
        <v/>
      </c>
      <c r="BC429">
        <f>Assumptions!$B$30</f>
        <v/>
      </c>
      <c r="BD429">
        <f>Assumptions!$B$29</f>
        <v/>
      </c>
      <c r="BE429">
        <f>Assumptions!$B$28</f>
        <v/>
      </c>
      <c r="BF429">
        <f>P429*Assumptions!$B$141</f>
        <v/>
      </c>
      <c r="BG429">
        <f>P429*Assumptions!$B$128</f>
        <v/>
      </c>
      <c r="BH429">
        <f>P429*Assumptions!$B$129</f>
        <v/>
      </c>
      <c r="BI429">
        <f>P429*Assumptions!$B$14</f>
        <v/>
      </c>
      <c r="BJ429">
        <f>P429*Assumptions!$B$13</f>
        <v/>
      </c>
      <c r="BK429">
        <f>P429*Assumptions!$B$12</f>
        <v/>
      </c>
      <c r="BL429">
        <f>P429*Assumptions!$B$11</f>
        <v/>
      </c>
    </row>
    <row r="430">
      <c r="A430" t="inlineStr">
        <is>
          <t>2000M</t>
        </is>
      </c>
      <c r="B430">
        <f>Assumptions!$B$60</f>
        <v/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>
        <f>(1-C430)*Assumptions!$B$41+(1-D430)*Assumptions!$B$33+(1-E430)*Assumptions!$B$32+(1-F430)*Assumptions!$B$31+(1-G430)*Assumptions!$B$30+(1-H430)*Assumptions!$B$29+(1-I430)*Assumptions!$B$28</f>
        <v/>
      </c>
      <c r="K430">
        <f>C430*Assumptions!$B$141+D430*Assumptions!$B$128+E430*Assumptions!$B$129+F430*Assumptions!$B$14+G430*Assumptions!$B$13+H430*Assumptions!$B$12+I430*Assumptions!$B$11+Assumptions!$B$133+Assumptions!$B$137+Assumptions!$B$9</f>
        <v/>
      </c>
      <c r="L430">
        <f>B430-J430</f>
        <v/>
      </c>
      <c r="M430">
        <f>IF(K430&gt;0,IF(L430/K430&gt;=Assumptions!$B$37,1,0),0)</f>
        <v/>
      </c>
      <c r="N430">
        <f>K430+M430*Assumptions!$B$153</f>
        <v/>
      </c>
      <c r="O430">
        <f>L430+M430*Assumptions!$B$153*Assumptions!$B$37</f>
        <v/>
      </c>
      <c r="P430">
        <f>IF(N430&gt;0,O430/N430,0)</f>
        <v/>
      </c>
      <c r="Q430">
        <f>IF(C430=1,P430*Assumptions!$B$141,Assumptions!$B$41)</f>
        <v/>
      </c>
      <c r="R430">
        <f>IF(D430=1,P430*Assumptions!$B$128,Assumptions!$B$33)</f>
        <v/>
      </c>
      <c r="S430">
        <f>IF(E430=1,P430*Assumptions!$B$129,Assumptions!$B$32)</f>
        <v/>
      </c>
      <c r="T430">
        <f>IF(F430=1,P430*Assumptions!$B$14,Assumptions!$B$31)</f>
        <v/>
      </c>
      <c r="U430">
        <f>IF(G430=1,P430*Assumptions!$B$13,Assumptions!$B$30)</f>
        <v/>
      </c>
      <c r="V430">
        <f>IF(H430=1,P430*Assumptions!$B$12,Assumptions!$B$29)</f>
        <v/>
      </c>
      <c r="W430">
        <f>IF(I430=1,P430*Assumptions!$B$11,Assumptions!$B$28)</f>
        <v/>
      </c>
      <c r="X430">
        <f>P430*(Assumptions!$B$133+Assumptions!$B$137)</f>
        <v/>
      </c>
      <c r="Y430">
        <f>P430*Assumptions!$B$9</f>
        <v/>
      </c>
      <c r="Z430">
        <f>IF(M430=1,(P430-Assumptions!$B$37)*Assumptions!$B$153,0)</f>
        <v/>
      </c>
      <c r="AA430">
        <f>Q430+R430+S430+T430+U430+V430+W430+X430+Y430+Z430</f>
        <v/>
      </c>
      <c r="AB430" t="n">
        <v>123</v>
      </c>
      <c r="AC430" t="n">
        <v>59</v>
      </c>
      <c r="AD430" t="n">
        <v>91</v>
      </c>
      <c r="AE430" t="n">
        <v>107</v>
      </c>
      <c r="AF430" t="n">
        <v>115</v>
      </c>
      <c r="AG430" t="n">
        <v>127</v>
      </c>
      <c r="AH430" t="n">
        <v>121</v>
      </c>
      <c r="AI430" t="n">
        <v>122</v>
      </c>
      <c r="AJ430">
        <f>INDEX($Q$307:$Q$434,AC430+1)</f>
        <v/>
      </c>
      <c r="AK430">
        <f>INDEX($R$307:$R$434,AD430+1)</f>
        <v/>
      </c>
      <c r="AL430">
        <f>INDEX($S$307:$S$434,AE430+1)</f>
        <v/>
      </c>
      <c r="AM430">
        <f>INDEX($T$307:$T$434,AF430+1)</f>
        <v/>
      </c>
      <c r="AN430">
        <f>INDEX($U$307:$U$434,AG430+1)</f>
        <v/>
      </c>
      <c r="AO430">
        <f>INDEX($V$307:$V$434,AH430+1)</f>
        <v/>
      </c>
      <c r="AP430">
        <f>INDEX($W$307:$W$434,AI430+1)</f>
        <v/>
      </c>
      <c r="AQ430">
        <f>IF(Q430&gt;=AJ430-0.01,1,0)</f>
        <v/>
      </c>
      <c r="AR430">
        <f>IF(R430&gt;=AK430-0.01,1,0)</f>
        <v/>
      </c>
      <c r="AS430">
        <f>IF(S430&gt;=AL430-0.01,1,0)</f>
        <v/>
      </c>
      <c r="AT430">
        <f>IF(T430&gt;=AM430-0.01,1,0)</f>
        <v/>
      </c>
      <c r="AU430">
        <f>IF(U430&gt;=AN430-0.01,1,0)</f>
        <v/>
      </c>
      <c r="AV430">
        <f>IF(V430&gt;=AO430-0.01,1,0)</f>
        <v/>
      </c>
      <c r="AW430">
        <f>IF(W430&gt;=AP430-0.01,1,0)</f>
        <v/>
      </c>
      <c r="AX430">
        <f>AQ430*AR430*AS430*AT430*AU430*AV430*AW430</f>
        <v/>
      </c>
      <c r="AY430">
        <f>Assumptions!$B$41</f>
        <v/>
      </c>
      <c r="AZ430">
        <f>Assumptions!$B$33</f>
        <v/>
      </c>
      <c r="BA430">
        <f>Assumptions!$B$32</f>
        <v/>
      </c>
      <c r="BB430">
        <f>Assumptions!$B$31</f>
        <v/>
      </c>
      <c r="BC430">
        <f>Assumptions!$B$30</f>
        <v/>
      </c>
      <c r="BD430">
        <f>Assumptions!$B$29</f>
        <v/>
      </c>
      <c r="BE430">
        <f>Assumptions!$B$28</f>
        <v/>
      </c>
      <c r="BF430">
        <f>P430*Assumptions!$B$141</f>
        <v/>
      </c>
      <c r="BG430">
        <f>P430*Assumptions!$B$128</f>
        <v/>
      </c>
      <c r="BH430">
        <f>P430*Assumptions!$B$129</f>
        <v/>
      </c>
      <c r="BI430">
        <f>P430*Assumptions!$B$14</f>
        <v/>
      </c>
      <c r="BJ430">
        <f>P430*Assumptions!$B$13</f>
        <v/>
      </c>
      <c r="BK430">
        <f>P430*Assumptions!$B$12</f>
        <v/>
      </c>
      <c r="BL430">
        <f>P430*Assumptions!$B$11</f>
        <v/>
      </c>
    </row>
    <row r="431">
      <c r="A431" t="inlineStr">
        <is>
          <t>2000M</t>
        </is>
      </c>
      <c r="B431">
        <f>Assumptions!$B$60</f>
        <v/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>
        <f>(1-C431)*Assumptions!$B$41+(1-D431)*Assumptions!$B$33+(1-E431)*Assumptions!$B$32+(1-F431)*Assumptions!$B$31+(1-G431)*Assumptions!$B$30+(1-H431)*Assumptions!$B$29+(1-I431)*Assumptions!$B$28</f>
        <v/>
      </c>
      <c r="K431">
        <f>C431*Assumptions!$B$141+D431*Assumptions!$B$128+E431*Assumptions!$B$129+F431*Assumptions!$B$14+G431*Assumptions!$B$13+H431*Assumptions!$B$12+I431*Assumptions!$B$11+Assumptions!$B$133+Assumptions!$B$137+Assumptions!$B$9</f>
        <v/>
      </c>
      <c r="L431">
        <f>B431-J431</f>
        <v/>
      </c>
      <c r="M431">
        <f>IF(K431&gt;0,IF(L431/K431&gt;=Assumptions!$B$37,1,0),0)</f>
        <v/>
      </c>
      <c r="N431">
        <f>K431+M431*Assumptions!$B$153</f>
        <v/>
      </c>
      <c r="O431">
        <f>L431+M431*Assumptions!$B$153*Assumptions!$B$37</f>
        <v/>
      </c>
      <c r="P431">
        <f>IF(N431&gt;0,O431/N431,0)</f>
        <v/>
      </c>
      <c r="Q431">
        <f>IF(C431=1,P431*Assumptions!$B$141,Assumptions!$B$41)</f>
        <v/>
      </c>
      <c r="R431">
        <f>IF(D431=1,P431*Assumptions!$B$128,Assumptions!$B$33)</f>
        <v/>
      </c>
      <c r="S431">
        <f>IF(E431=1,P431*Assumptions!$B$129,Assumptions!$B$32)</f>
        <v/>
      </c>
      <c r="T431">
        <f>IF(F431=1,P431*Assumptions!$B$14,Assumptions!$B$31)</f>
        <v/>
      </c>
      <c r="U431">
        <f>IF(G431=1,P431*Assumptions!$B$13,Assumptions!$B$30)</f>
        <v/>
      </c>
      <c r="V431">
        <f>IF(H431=1,P431*Assumptions!$B$12,Assumptions!$B$29)</f>
        <v/>
      </c>
      <c r="W431">
        <f>IF(I431=1,P431*Assumptions!$B$11,Assumptions!$B$28)</f>
        <v/>
      </c>
      <c r="X431">
        <f>P431*(Assumptions!$B$133+Assumptions!$B$137)</f>
        <v/>
      </c>
      <c r="Y431">
        <f>P431*Assumptions!$B$9</f>
        <v/>
      </c>
      <c r="Z431">
        <f>IF(M431=1,(P431-Assumptions!$B$37)*Assumptions!$B$153,0)</f>
        <v/>
      </c>
      <c r="AA431">
        <f>Q431+R431+S431+T431+U431+V431+W431+X431+Y431+Z431</f>
        <v/>
      </c>
      <c r="AB431" t="n">
        <v>124</v>
      </c>
      <c r="AC431" t="n">
        <v>60</v>
      </c>
      <c r="AD431" t="n">
        <v>92</v>
      </c>
      <c r="AE431" t="n">
        <v>108</v>
      </c>
      <c r="AF431" t="n">
        <v>116</v>
      </c>
      <c r="AG431" t="n">
        <v>120</v>
      </c>
      <c r="AH431" t="n">
        <v>126</v>
      </c>
      <c r="AI431" t="n">
        <v>125</v>
      </c>
      <c r="AJ431">
        <f>INDEX($Q$307:$Q$434,AC431+1)</f>
        <v/>
      </c>
      <c r="AK431">
        <f>INDEX($R$307:$R$434,AD431+1)</f>
        <v/>
      </c>
      <c r="AL431">
        <f>INDEX($S$307:$S$434,AE431+1)</f>
        <v/>
      </c>
      <c r="AM431">
        <f>INDEX($T$307:$T$434,AF431+1)</f>
        <v/>
      </c>
      <c r="AN431">
        <f>INDEX($U$307:$U$434,AG431+1)</f>
        <v/>
      </c>
      <c r="AO431">
        <f>INDEX($V$307:$V$434,AH431+1)</f>
        <v/>
      </c>
      <c r="AP431">
        <f>INDEX($W$307:$W$434,AI431+1)</f>
        <v/>
      </c>
      <c r="AQ431">
        <f>IF(Q431&gt;=AJ431-0.01,1,0)</f>
        <v/>
      </c>
      <c r="AR431">
        <f>IF(R431&gt;=AK431-0.01,1,0)</f>
        <v/>
      </c>
      <c r="AS431">
        <f>IF(S431&gt;=AL431-0.01,1,0)</f>
        <v/>
      </c>
      <c r="AT431">
        <f>IF(T431&gt;=AM431-0.01,1,0)</f>
        <v/>
      </c>
      <c r="AU431">
        <f>IF(U431&gt;=AN431-0.01,1,0)</f>
        <v/>
      </c>
      <c r="AV431">
        <f>IF(V431&gt;=AO431-0.01,1,0)</f>
        <v/>
      </c>
      <c r="AW431">
        <f>IF(W431&gt;=AP431-0.01,1,0)</f>
        <v/>
      </c>
      <c r="AX431">
        <f>AQ431*AR431*AS431*AT431*AU431*AV431*AW431</f>
        <v/>
      </c>
      <c r="AY431">
        <f>Assumptions!$B$41</f>
        <v/>
      </c>
      <c r="AZ431">
        <f>Assumptions!$B$33</f>
        <v/>
      </c>
      <c r="BA431">
        <f>Assumptions!$B$32</f>
        <v/>
      </c>
      <c r="BB431">
        <f>Assumptions!$B$31</f>
        <v/>
      </c>
      <c r="BC431">
        <f>Assumptions!$B$30</f>
        <v/>
      </c>
      <c r="BD431">
        <f>Assumptions!$B$29</f>
        <v/>
      </c>
      <c r="BE431">
        <f>Assumptions!$B$28</f>
        <v/>
      </c>
      <c r="BF431">
        <f>P431*Assumptions!$B$141</f>
        <v/>
      </c>
      <c r="BG431">
        <f>P431*Assumptions!$B$128</f>
        <v/>
      </c>
      <c r="BH431">
        <f>P431*Assumptions!$B$129</f>
        <v/>
      </c>
      <c r="BI431">
        <f>P431*Assumptions!$B$14</f>
        <v/>
      </c>
      <c r="BJ431">
        <f>P431*Assumptions!$B$13</f>
        <v/>
      </c>
      <c r="BK431">
        <f>P431*Assumptions!$B$12</f>
        <v/>
      </c>
      <c r="BL431">
        <f>P431*Assumptions!$B$11</f>
        <v/>
      </c>
    </row>
    <row r="432">
      <c r="A432" t="inlineStr">
        <is>
          <t>2000M</t>
        </is>
      </c>
      <c r="B432">
        <f>Assumptions!$B$60</f>
        <v/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  <c r="J432">
        <f>(1-C432)*Assumptions!$B$41+(1-D432)*Assumptions!$B$33+(1-E432)*Assumptions!$B$32+(1-F432)*Assumptions!$B$31+(1-G432)*Assumptions!$B$30+(1-H432)*Assumptions!$B$29+(1-I432)*Assumptions!$B$28</f>
        <v/>
      </c>
      <c r="K432">
        <f>C432*Assumptions!$B$141+D432*Assumptions!$B$128+E432*Assumptions!$B$129+F432*Assumptions!$B$14+G432*Assumptions!$B$13+H432*Assumptions!$B$12+I432*Assumptions!$B$11+Assumptions!$B$133+Assumptions!$B$137+Assumptions!$B$9</f>
        <v/>
      </c>
      <c r="L432">
        <f>B432-J432</f>
        <v/>
      </c>
      <c r="M432">
        <f>IF(K432&gt;0,IF(L432/K432&gt;=Assumptions!$B$37,1,0),0)</f>
        <v/>
      </c>
      <c r="N432">
        <f>K432+M432*Assumptions!$B$153</f>
        <v/>
      </c>
      <c r="O432">
        <f>L432+M432*Assumptions!$B$153*Assumptions!$B$37</f>
        <v/>
      </c>
      <c r="P432">
        <f>IF(N432&gt;0,O432/N432,0)</f>
        <v/>
      </c>
      <c r="Q432">
        <f>IF(C432=1,P432*Assumptions!$B$141,Assumptions!$B$41)</f>
        <v/>
      </c>
      <c r="R432">
        <f>IF(D432=1,P432*Assumptions!$B$128,Assumptions!$B$33)</f>
        <v/>
      </c>
      <c r="S432">
        <f>IF(E432=1,P432*Assumptions!$B$129,Assumptions!$B$32)</f>
        <v/>
      </c>
      <c r="T432">
        <f>IF(F432=1,P432*Assumptions!$B$14,Assumptions!$B$31)</f>
        <v/>
      </c>
      <c r="U432">
        <f>IF(G432=1,P432*Assumptions!$B$13,Assumptions!$B$30)</f>
        <v/>
      </c>
      <c r="V432">
        <f>IF(H432=1,P432*Assumptions!$B$12,Assumptions!$B$29)</f>
        <v/>
      </c>
      <c r="W432">
        <f>IF(I432=1,P432*Assumptions!$B$11,Assumptions!$B$28)</f>
        <v/>
      </c>
      <c r="X432">
        <f>P432*(Assumptions!$B$133+Assumptions!$B$137)</f>
        <v/>
      </c>
      <c r="Y432">
        <f>P432*Assumptions!$B$9</f>
        <v/>
      </c>
      <c r="Z432">
        <f>IF(M432=1,(P432-Assumptions!$B$37)*Assumptions!$B$153,0)</f>
        <v/>
      </c>
      <c r="AA432">
        <f>Q432+R432+S432+T432+U432+V432+W432+X432+Y432+Z432</f>
        <v/>
      </c>
      <c r="AB432" t="n">
        <v>125</v>
      </c>
      <c r="AC432" t="n">
        <v>61</v>
      </c>
      <c r="AD432" t="n">
        <v>93</v>
      </c>
      <c r="AE432" t="n">
        <v>109</v>
      </c>
      <c r="AF432" t="n">
        <v>117</v>
      </c>
      <c r="AG432" t="n">
        <v>121</v>
      </c>
      <c r="AH432" t="n">
        <v>127</v>
      </c>
      <c r="AI432" t="n">
        <v>124</v>
      </c>
      <c r="AJ432">
        <f>INDEX($Q$307:$Q$434,AC432+1)</f>
        <v/>
      </c>
      <c r="AK432">
        <f>INDEX($R$307:$R$434,AD432+1)</f>
        <v/>
      </c>
      <c r="AL432">
        <f>INDEX($S$307:$S$434,AE432+1)</f>
        <v/>
      </c>
      <c r="AM432">
        <f>INDEX($T$307:$T$434,AF432+1)</f>
        <v/>
      </c>
      <c r="AN432">
        <f>INDEX($U$307:$U$434,AG432+1)</f>
        <v/>
      </c>
      <c r="AO432">
        <f>INDEX($V$307:$V$434,AH432+1)</f>
        <v/>
      </c>
      <c r="AP432">
        <f>INDEX($W$307:$W$434,AI432+1)</f>
        <v/>
      </c>
      <c r="AQ432">
        <f>IF(Q432&gt;=AJ432-0.01,1,0)</f>
        <v/>
      </c>
      <c r="AR432">
        <f>IF(R432&gt;=AK432-0.01,1,0)</f>
        <v/>
      </c>
      <c r="AS432">
        <f>IF(S432&gt;=AL432-0.01,1,0)</f>
        <v/>
      </c>
      <c r="AT432">
        <f>IF(T432&gt;=AM432-0.01,1,0)</f>
        <v/>
      </c>
      <c r="AU432">
        <f>IF(U432&gt;=AN432-0.01,1,0)</f>
        <v/>
      </c>
      <c r="AV432">
        <f>IF(V432&gt;=AO432-0.01,1,0)</f>
        <v/>
      </c>
      <c r="AW432">
        <f>IF(W432&gt;=AP432-0.01,1,0)</f>
        <v/>
      </c>
      <c r="AX432">
        <f>AQ432*AR432*AS432*AT432*AU432*AV432*AW432</f>
        <v/>
      </c>
      <c r="AY432">
        <f>Assumptions!$B$41</f>
        <v/>
      </c>
      <c r="AZ432">
        <f>Assumptions!$B$33</f>
        <v/>
      </c>
      <c r="BA432">
        <f>Assumptions!$B$32</f>
        <v/>
      </c>
      <c r="BB432">
        <f>Assumptions!$B$31</f>
        <v/>
      </c>
      <c r="BC432">
        <f>Assumptions!$B$30</f>
        <v/>
      </c>
      <c r="BD432">
        <f>Assumptions!$B$29</f>
        <v/>
      </c>
      <c r="BE432">
        <f>Assumptions!$B$28</f>
        <v/>
      </c>
      <c r="BF432">
        <f>P432*Assumptions!$B$141</f>
        <v/>
      </c>
      <c r="BG432">
        <f>P432*Assumptions!$B$128</f>
        <v/>
      </c>
      <c r="BH432">
        <f>P432*Assumptions!$B$129</f>
        <v/>
      </c>
      <c r="BI432">
        <f>P432*Assumptions!$B$14</f>
        <v/>
      </c>
      <c r="BJ432">
        <f>P432*Assumptions!$B$13</f>
        <v/>
      </c>
      <c r="BK432">
        <f>P432*Assumptions!$B$12</f>
        <v/>
      </c>
      <c r="BL432">
        <f>P432*Assumptions!$B$11</f>
        <v/>
      </c>
    </row>
    <row r="433">
      <c r="A433" t="inlineStr">
        <is>
          <t>2000M</t>
        </is>
      </c>
      <c r="B433">
        <f>Assumptions!$B$60</f>
        <v/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>
        <f>(1-C433)*Assumptions!$B$41+(1-D433)*Assumptions!$B$33+(1-E433)*Assumptions!$B$32+(1-F433)*Assumptions!$B$31+(1-G433)*Assumptions!$B$30+(1-H433)*Assumptions!$B$29+(1-I433)*Assumptions!$B$28</f>
        <v/>
      </c>
      <c r="K433">
        <f>C433*Assumptions!$B$141+D433*Assumptions!$B$128+E433*Assumptions!$B$129+F433*Assumptions!$B$14+G433*Assumptions!$B$13+H433*Assumptions!$B$12+I433*Assumptions!$B$11+Assumptions!$B$133+Assumptions!$B$137+Assumptions!$B$9</f>
        <v/>
      </c>
      <c r="L433">
        <f>B433-J433</f>
        <v/>
      </c>
      <c r="M433">
        <f>IF(K433&gt;0,IF(L433/K433&gt;=Assumptions!$B$37,1,0),0)</f>
        <v/>
      </c>
      <c r="N433">
        <f>K433+M433*Assumptions!$B$153</f>
        <v/>
      </c>
      <c r="O433">
        <f>L433+M433*Assumptions!$B$153*Assumptions!$B$37</f>
        <v/>
      </c>
      <c r="P433">
        <f>IF(N433&gt;0,O433/N433,0)</f>
        <v/>
      </c>
      <c r="Q433">
        <f>IF(C433=1,P433*Assumptions!$B$141,Assumptions!$B$41)</f>
        <v/>
      </c>
      <c r="R433">
        <f>IF(D433=1,P433*Assumptions!$B$128,Assumptions!$B$33)</f>
        <v/>
      </c>
      <c r="S433">
        <f>IF(E433=1,P433*Assumptions!$B$129,Assumptions!$B$32)</f>
        <v/>
      </c>
      <c r="T433">
        <f>IF(F433=1,P433*Assumptions!$B$14,Assumptions!$B$31)</f>
        <v/>
      </c>
      <c r="U433">
        <f>IF(G433=1,P433*Assumptions!$B$13,Assumptions!$B$30)</f>
        <v/>
      </c>
      <c r="V433">
        <f>IF(H433=1,P433*Assumptions!$B$12,Assumptions!$B$29)</f>
        <v/>
      </c>
      <c r="W433">
        <f>IF(I433=1,P433*Assumptions!$B$11,Assumptions!$B$28)</f>
        <v/>
      </c>
      <c r="X433">
        <f>P433*(Assumptions!$B$133+Assumptions!$B$137)</f>
        <v/>
      </c>
      <c r="Y433">
        <f>P433*Assumptions!$B$9</f>
        <v/>
      </c>
      <c r="Z433">
        <f>IF(M433=1,(P433-Assumptions!$B$37)*Assumptions!$B$153,0)</f>
        <v/>
      </c>
      <c r="AA433">
        <f>Q433+R433+S433+T433+U433+V433+W433+X433+Y433+Z433</f>
        <v/>
      </c>
      <c r="AB433" t="n">
        <v>126</v>
      </c>
      <c r="AC433" t="n">
        <v>62</v>
      </c>
      <c r="AD433" t="n">
        <v>94</v>
      </c>
      <c r="AE433" t="n">
        <v>110</v>
      </c>
      <c r="AF433" t="n">
        <v>118</v>
      </c>
      <c r="AG433" t="n">
        <v>122</v>
      </c>
      <c r="AH433" t="n">
        <v>124</v>
      </c>
      <c r="AI433" t="n">
        <v>127</v>
      </c>
      <c r="AJ433">
        <f>INDEX($Q$307:$Q$434,AC433+1)</f>
        <v/>
      </c>
      <c r="AK433">
        <f>INDEX($R$307:$R$434,AD433+1)</f>
        <v/>
      </c>
      <c r="AL433">
        <f>INDEX($S$307:$S$434,AE433+1)</f>
        <v/>
      </c>
      <c r="AM433">
        <f>INDEX($T$307:$T$434,AF433+1)</f>
        <v/>
      </c>
      <c r="AN433">
        <f>INDEX($U$307:$U$434,AG433+1)</f>
        <v/>
      </c>
      <c r="AO433">
        <f>INDEX($V$307:$V$434,AH433+1)</f>
        <v/>
      </c>
      <c r="AP433">
        <f>INDEX($W$307:$W$434,AI433+1)</f>
        <v/>
      </c>
      <c r="AQ433">
        <f>IF(Q433&gt;=AJ433-0.01,1,0)</f>
        <v/>
      </c>
      <c r="AR433">
        <f>IF(R433&gt;=AK433-0.01,1,0)</f>
        <v/>
      </c>
      <c r="AS433">
        <f>IF(S433&gt;=AL433-0.01,1,0)</f>
        <v/>
      </c>
      <c r="AT433">
        <f>IF(T433&gt;=AM433-0.01,1,0)</f>
        <v/>
      </c>
      <c r="AU433">
        <f>IF(U433&gt;=AN433-0.01,1,0)</f>
        <v/>
      </c>
      <c r="AV433">
        <f>IF(V433&gt;=AO433-0.01,1,0)</f>
        <v/>
      </c>
      <c r="AW433">
        <f>IF(W433&gt;=AP433-0.01,1,0)</f>
        <v/>
      </c>
      <c r="AX433">
        <f>AQ433*AR433*AS433*AT433*AU433*AV433*AW433</f>
        <v/>
      </c>
      <c r="AY433">
        <f>Assumptions!$B$41</f>
        <v/>
      </c>
      <c r="AZ433">
        <f>Assumptions!$B$33</f>
        <v/>
      </c>
      <c r="BA433">
        <f>Assumptions!$B$32</f>
        <v/>
      </c>
      <c r="BB433">
        <f>Assumptions!$B$31</f>
        <v/>
      </c>
      <c r="BC433">
        <f>Assumptions!$B$30</f>
        <v/>
      </c>
      <c r="BD433">
        <f>Assumptions!$B$29</f>
        <v/>
      </c>
      <c r="BE433">
        <f>Assumptions!$B$28</f>
        <v/>
      </c>
      <c r="BF433">
        <f>P433*Assumptions!$B$141</f>
        <v/>
      </c>
      <c r="BG433">
        <f>P433*Assumptions!$B$128</f>
        <v/>
      </c>
      <c r="BH433">
        <f>P433*Assumptions!$B$129</f>
        <v/>
      </c>
      <c r="BI433">
        <f>P433*Assumptions!$B$14</f>
        <v/>
      </c>
      <c r="BJ433">
        <f>P433*Assumptions!$B$13</f>
        <v/>
      </c>
      <c r="BK433">
        <f>P433*Assumptions!$B$12</f>
        <v/>
      </c>
      <c r="BL433">
        <f>P433*Assumptions!$B$11</f>
        <v/>
      </c>
    </row>
    <row r="434">
      <c r="A434" t="inlineStr">
        <is>
          <t>2000M</t>
        </is>
      </c>
      <c r="B434">
        <f>Assumptions!$B$60</f>
        <v/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>
        <f>(1-C434)*Assumptions!$B$41+(1-D434)*Assumptions!$B$33+(1-E434)*Assumptions!$B$32+(1-F434)*Assumptions!$B$31+(1-G434)*Assumptions!$B$30+(1-H434)*Assumptions!$B$29+(1-I434)*Assumptions!$B$28</f>
        <v/>
      </c>
      <c r="K434">
        <f>C434*Assumptions!$B$141+D434*Assumptions!$B$128+E434*Assumptions!$B$129+F434*Assumptions!$B$14+G434*Assumptions!$B$13+H434*Assumptions!$B$12+I434*Assumptions!$B$11+Assumptions!$B$133+Assumptions!$B$137+Assumptions!$B$9</f>
        <v/>
      </c>
      <c r="L434">
        <f>B434-J434</f>
        <v/>
      </c>
      <c r="M434">
        <f>IF(K434&gt;0,IF(L434/K434&gt;=Assumptions!$B$37,1,0),0)</f>
        <v/>
      </c>
      <c r="N434">
        <f>K434+M434*Assumptions!$B$153</f>
        <v/>
      </c>
      <c r="O434">
        <f>L434+M434*Assumptions!$B$153*Assumptions!$B$37</f>
        <v/>
      </c>
      <c r="P434">
        <f>IF(N434&gt;0,O434/N434,0)</f>
        <v/>
      </c>
      <c r="Q434">
        <f>IF(C434=1,P434*Assumptions!$B$141,Assumptions!$B$41)</f>
        <v/>
      </c>
      <c r="R434">
        <f>IF(D434=1,P434*Assumptions!$B$128,Assumptions!$B$33)</f>
        <v/>
      </c>
      <c r="S434">
        <f>IF(E434=1,P434*Assumptions!$B$129,Assumptions!$B$32)</f>
        <v/>
      </c>
      <c r="T434">
        <f>IF(F434=1,P434*Assumptions!$B$14,Assumptions!$B$31)</f>
        <v/>
      </c>
      <c r="U434">
        <f>IF(G434=1,P434*Assumptions!$B$13,Assumptions!$B$30)</f>
        <v/>
      </c>
      <c r="V434">
        <f>IF(H434=1,P434*Assumptions!$B$12,Assumptions!$B$29)</f>
        <v/>
      </c>
      <c r="W434">
        <f>IF(I434=1,P434*Assumptions!$B$11,Assumptions!$B$28)</f>
        <v/>
      </c>
      <c r="X434">
        <f>P434*(Assumptions!$B$133+Assumptions!$B$137)</f>
        <v/>
      </c>
      <c r="Y434">
        <f>P434*Assumptions!$B$9</f>
        <v/>
      </c>
      <c r="Z434">
        <f>IF(M434=1,(P434-Assumptions!$B$37)*Assumptions!$B$153,0)</f>
        <v/>
      </c>
      <c r="AA434">
        <f>Q434+R434+S434+T434+U434+V434+W434+X434+Y434+Z434</f>
        <v/>
      </c>
      <c r="AB434" t="n">
        <v>127</v>
      </c>
      <c r="AC434" t="n">
        <v>63</v>
      </c>
      <c r="AD434" t="n">
        <v>95</v>
      </c>
      <c r="AE434" t="n">
        <v>111</v>
      </c>
      <c r="AF434" t="n">
        <v>119</v>
      </c>
      <c r="AG434" t="n">
        <v>123</v>
      </c>
      <c r="AH434" t="n">
        <v>125</v>
      </c>
      <c r="AI434" t="n">
        <v>126</v>
      </c>
      <c r="AJ434">
        <f>INDEX($Q$307:$Q$434,AC434+1)</f>
        <v/>
      </c>
      <c r="AK434">
        <f>INDEX($R$307:$R$434,AD434+1)</f>
        <v/>
      </c>
      <c r="AL434">
        <f>INDEX($S$307:$S$434,AE434+1)</f>
        <v/>
      </c>
      <c r="AM434">
        <f>INDEX($T$307:$T$434,AF434+1)</f>
        <v/>
      </c>
      <c r="AN434">
        <f>INDEX($U$307:$U$434,AG434+1)</f>
        <v/>
      </c>
      <c r="AO434">
        <f>INDEX($V$307:$V$434,AH434+1)</f>
        <v/>
      </c>
      <c r="AP434">
        <f>INDEX($W$307:$W$434,AI434+1)</f>
        <v/>
      </c>
      <c r="AQ434">
        <f>IF(Q434&gt;=AJ434-0.01,1,0)</f>
        <v/>
      </c>
      <c r="AR434">
        <f>IF(R434&gt;=AK434-0.01,1,0)</f>
        <v/>
      </c>
      <c r="AS434">
        <f>IF(S434&gt;=AL434-0.01,1,0)</f>
        <v/>
      </c>
      <c r="AT434">
        <f>IF(T434&gt;=AM434-0.01,1,0)</f>
        <v/>
      </c>
      <c r="AU434">
        <f>IF(U434&gt;=AN434-0.01,1,0)</f>
        <v/>
      </c>
      <c r="AV434">
        <f>IF(V434&gt;=AO434-0.01,1,0)</f>
        <v/>
      </c>
      <c r="AW434">
        <f>IF(W434&gt;=AP434-0.01,1,0)</f>
        <v/>
      </c>
      <c r="AX434">
        <f>AQ434*AR434*AS434*AT434*AU434*AV434*AW434</f>
        <v/>
      </c>
      <c r="AY434">
        <f>Assumptions!$B$41</f>
        <v/>
      </c>
      <c r="AZ434">
        <f>Assumptions!$B$33</f>
        <v/>
      </c>
      <c r="BA434">
        <f>Assumptions!$B$32</f>
        <v/>
      </c>
      <c r="BB434">
        <f>Assumptions!$B$31</f>
        <v/>
      </c>
      <c r="BC434">
        <f>Assumptions!$B$30</f>
        <v/>
      </c>
      <c r="BD434">
        <f>Assumptions!$B$29</f>
        <v/>
      </c>
      <c r="BE434">
        <f>Assumptions!$B$28</f>
        <v/>
      </c>
      <c r="BF434">
        <f>P434*Assumptions!$B$141</f>
        <v/>
      </c>
      <c r="BG434">
        <f>P434*Assumptions!$B$128</f>
        <v/>
      </c>
      <c r="BH434">
        <f>P434*Assumptions!$B$129</f>
        <v/>
      </c>
      <c r="BI434">
        <f>P434*Assumptions!$B$14</f>
        <v/>
      </c>
      <c r="BJ434">
        <f>P434*Assumptions!$B$13</f>
        <v/>
      </c>
      <c r="BK434">
        <f>P434*Assumptions!$B$12</f>
        <v/>
      </c>
      <c r="BL434">
        <f>P434*Assumptions!$B$11</f>
        <v/>
      </c>
    </row>
    <row r="435">
      <c r="A435" t="inlineStr">
        <is>
          <t>4000M</t>
        </is>
      </c>
      <c r="B435">
        <f>Assumptions!$B$61</f>
        <v/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>
        <f>(1-C435)*Assumptions!$B$41+(1-D435)*Assumptions!$B$33+(1-E435)*Assumptions!$B$32+(1-F435)*Assumptions!$B$31+(1-G435)*Assumptions!$B$30+(1-H435)*Assumptions!$B$29+(1-I435)*Assumptions!$B$28</f>
        <v/>
      </c>
      <c r="K435">
        <f>C435*Assumptions!$B$141+D435*Assumptions!$B$128+E435*Assumptions!$B$129+F435*Assumptions!$B$14+G435*Assumptions!$B$13+H435*Assumptions!$B$12+I435*Assumptions!$B$11+Assumptions!$B$133+Assumptions!$B$137+Assumptions!$B$9</f>
        <v/>
      </c>
      <c r="L435">
        <f>B435-J435</f>
        <v/>
      </c>
      <c r="M435">
        <f>IF(K435&gt;0,IF(L435/K435&gt;=Assumptions!$B$37,1,0),0)</f>
        <v/>
      </c>
      <c r="N435">
        <f>K435+M435*Assumptions!$B$153</f>
        <v/>
      </c>
      <c r="O435">
        <f>L435+M435*Assumptions!$B$153*Assumptions!$B$37</f>
        <v/>
      </c>
      <c r="P435">
        <f>IF(N435&gt;0,O435/N435,0)</f>
        <v/>
      </c>
      <c r="Q435">
        <f>IF(C435=1,P435*Assumptions!$B$141,Assumptions!$B$41)</f>
        <v/>
      </c>
      <c r="R435">
        <f>IF(D435=1,P435*Assumptions!$B$128,Assumptions!$B$33)</f>
        <v/>
      </c>
      <c r="S435">
        <f>IF(E435=1,P435*Assumptions!$B$129,Assumptions!$B$32)</f>
        <v/>
      </c>
      <c r="T435">
        <f>IF(F435=1,P435*Assumptions!$B$14,Assumptions!$B$31)</f>
        <v/>
      </c>
      <c r="U435">
        <f>IF(G435=1,P435*Assumptions!$B$13,Assumptions!$B$30)</f>
        <v/>
      </c>
      <c r="V435">
        <f>IF(H435=1,P435*Assumptions!$B$12,Assumptions!$B$29)</f>
        <v/>
      </c>
      <c r="W435">
        <f>IF(I435=1,P435*Assumptions!$B$11,Assumptions!$B$28)</f>
        <v/>
      </c>
      <c r="X435">
        <f>P435*(Assumptions!$B$133+Assumptions!$B$137)</f>
        <v/>
      </c>
      <c r="Y435">
        <f>P435*Assumptions!$B$9</f>
        <v/>
      </c>
      <c r="Z435">
        <f>IF(M435=1,(P435-Assumptions!$B$37)*Assumptions!$B$153,0)</f>
        <v/>
      </c>
      <c r="AA435">
        <f>Q435+R435+S435+T435+U435+V435+W435+X435+Y435+Z435</f>
        <v/>
      </c>
      <c r="AB435" t="n">
        <v>0</v>
      </c>
      <c r="AC435" t="n">
        <v>64</v>
      </c>
      <c r="AD435" t="n">
        <v>32</v>
      </c>
      <c r="AE435" t="n">
        <v>16</v>
      </c>
      <c r="AF435" t="n">
        <v>8</v>
      </c>
      <c r="AG435" t="n">
        <v>4</v>
      </c>
      <c r="AH435" t="n">
        <v>2</v>
      </c>
      <c r="AI435" t="n">
        <v>1</v>
      </c>
      <c r="AJ435">
        <f>INDEX($Q$435:$Q$562,AC435+1)</f>
        <v/>
      </c>
      <c r="AK435">
        <f>INDEX($R$435:$R$562,AD435+1)</f>
        <v/>
      </c>
      <c r="AL435">
        <f>INDEX($S$435:$S$562,AE435+1)</f>
        <v/>
      </c>
      <c r="AM435">
        <f>INDEX($T$435:$T$562,AF435+1)</f>
        <v/>
      </c>
      <c r="AN435">
        <f>INDEX($U$435:$U$562,AG435+1)</f>
        <v/>
      </c>
      <c r="AO435">
        <f>INDEX($V$435:$V$562,AH435+1)</f>
        <v/>
      </c>
      <c r="AP435">
        <f>INDEX($W$435:$W$562,AI435+1)</f>
        <v/>
      </c>
      <c r="AQ435">
        <f>IF(Q435&gt;=AJ435-0.01,1,0)</f>
        <v/>
      </c>
      <c r="AR435">
        <f>IF(R435&gt;=AK435-0.01,1,0)</f>
        <v/>
      </c>
      <c r="AS435">
        <f>IF(S435&gt;=AL435-0.01,1,0)</f>
        <v/>
      </c>
      <c r="AT435">
        <f>IF(T435&gt;=AM435-0.01,1,0)</f>
        <v/>
      </c>
      <c r="AU435">
        <f>IF(U435&gt;=AN435-0.01,1,0)</f>
        <v/>
      </c>
      <c r="AV435">
        <f>IF(V435&gt;=AO435-0.01,1,0)</f>
        <v/>
      </c>
      <c r="AW435">
        <f>IF(W435&gt;=AP435-0.01,1,0)</f>
        <v/>
      </c>
      <c r="AX435">
        <f>AQ435*AR435*AS435*AT435*AU435*AV435*AW435</f>
        <v/>
      </c>
      <c r="AY435">
        <f>Assumptions!$B$41</f>
        <v/>
      </c>
      <c r="AZ435">
        <f>Assumptions!$B$33</f>
        <v/>
      </c>
      <c r="BA435">
        <f>Assumptions!$B$32</f>
        <v/>
      </c>
      <c r="BB435">
        <f>Assumptions!$B$31</f>
        <v/>
      </c>
      <c r="BC435">
        <f>Assumptions!$B$30</f>
        <v/>
      </c>
      <c r="BD435">
        <f>Assumptions!$B$29</f>
        <v/>
      </c>
      <c r="BE435">
        <f>Assumptions!$B$28</f>
        <v/>
      </c>
      <c r="BF435">
        <f>P435*Assumptions!$B$141</f>
        <v/>
      </c>
      <c r="BG435">
        <f>P435*Assumptions!$B$128</f>
        <v/>
      </c>
      <c r="BH435">
        <f>P435*Assumptions!$B$129</f>
        <v/>
      </c>
      <c r="BI435">
        <f>P435*Assumptions!$B$14</f>
        <v/>
      </c>
      <c r="BJ435">
        <f>P435*Assumptions!$B$13</f>
        <v/>
      </c>
      <c r="BK435">
        <f>P435*Assumptions!$B$12</f>
        <v/>
      </c>
      <c r="BL435">
        <f>P435*Assumptions!$B$11</f>
        <v/>
      </c>
    </row>
    <row r="436">
      <c r="A436" t="inlineStr">
        <is>
          <t>4000M</t>
        </is>
      </c>
      <c r="B436">
        <f>Assumptions!$B$61</f>
        <v/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>
        <f>(1-C436)*Assumptions!$B$41+(1-D436)*Assumptions!$B$33+(1-E436)*Assumptions!$B$32+(1-F436)*Assumptions!$B$31+(1-G436)*Assumptions!$B$30+(1-H436)*Assumptions!$B$29+(1-I436)*Assumptions!$B$28</f>
        <v/>
      </c>
      <c r="K436">
        <f>C436*Assumptions!$B$141+D436*Assumptions!$B$128+E436*Assumptions!$B$129+F436*Assumptions!$B$14+G436*Assumptions!$B$13+H436*Assumptions!$B$12+I436*Assumptions!$B$11+Assumptions!$B$133+Assumptions!$B$137+Assumptions!$B$9</f>
        <v/>
      </c>
      <c r="L436">
        <f>B436-J436</f>
        <v/>
      </c>
      <c r="M436">
        <f>IF(K436&gt;0,IF(L436/K436&gt;=Assumptions!$B$37,1,0),0)</f>
        <v/>
      </c>
      <c r="N436">
        <f>K436+M436*Assumptions!$B$153</f>
        <v/>
      </c>
      <c r="O436">
        <f>L436+M436*Assumptions!$B$153*Assumptions!$B$37</f>
        <v/>
      </c>
      <c r="P436">
        <f>IF(N436&gt;0,O436/N436,0)</f>
        <v/>
      </c>
      <c r="Q436">
        <f>IF(C436=1,P436*Assumptions!$B$141,Assumptions!$B$41)</f>
        <v/>
      </c>
      <c r="R436">
        <f>IF(D436=1,P436*Assumptions!$B$128,Assumptions!$B$33)</f>
        <v/>
      </c>
      <c r="S436">
        <f>IF(E436=1,P436*Assumptions!$B$129,Assumptions!$B$32)</f>
        <v/>
      </c>
      <c r="T436">
        <f>IF(F436=1,P436*Assumptions!$B$14,Assumptions!$B$31)</f>
        <v/>
      </c>
      <c r="U436">
        <f>IF(G436=1,P436*Assumptions!$B$13,Assumptions!$B$30)</f>
        <v/>
      </c>
      <c r="V436">
        <f>IF(H436=1,P436*Assumptions!$B$12,Assumptions!$B$29)</f>
        <v/>
      </c>
      <c r="W436">
        <f>IF(I436=1,P436*Assumptions!$B$11,Assumptions!$B$28)</f>
        <v/>
      </c>
      <c r="X436">
        <f>P436*(Assumptions!$B$133+Assumptions!$B$137)</f>
        <v/>
      </c>
      <c r="Y436">
        <f>P436*Assumptions!$B$9</f>
        <v/>
      </c>
      <c r="Z436">
        <f>IF(M436=1,(P436-Assumptions!$B$37)*Assumptions!$B$153,0)</f>
        <v/>
      </c>
      <c r="AA436">
        <f>Q436+R436+S436+T436+U436+V436+W436+X436+Y436+Z436</f>
        <v/>
      </c>
      <c r="AB436" t="n">
        <v>1</v>
      </c>
      <c r="AC436" t="n">
        <v>65</v>
      </c>
      <c r="AD436" t="n">
        <v>33</v>
      </c>
      <c r="AE436" t="n">
        <v>17</v>
      </c>
      <c r="AF436" t="n">
        <v>9</v>
      </c>
      <c r="AG436" t="n">
        <v>5</v>
      </c>
      <c r="AH436" t="n">
        <v>3</v>
      </c>
      <c r="AI436" t="n">
        <v>0</v>
      </c>
      <c r="AJ436">
        <f>INDEX($Q$435:$Q$562,AC436+1)</f>
        <v/>
      </c>
      <c r="AK436">
        <f>INDEX($R$435:$R$562,AD436+1)</f>
        <v/>
      </c>
      <c r="AL436">
        <f>INDEX($S$435:$S$562,AE436+1)</f>
        <v/>
      </c>
      <c r="AM436">
        <f>INDEX($T$435:$T$562,AF436+1)</f>
        <v/>
      </c>
      <c r="AN436">
        <f>INDEX($U$435:$U$562,AG436+1)</f>
        <v/>
      </c>
      <c r="AO436">
        <f>INDEX($V$435:$V$562,AH436+1)</f>
        <v/>
      </c>
      <c r="AP436">
        <f>INDEX($W$435:$W$562,AI436+1)</f>
        <v/>
      </c>
      <c r="AQ436">
        <f>IF(Q436&gt;=AJ436-0.01,1,0)</f>
        <v/>
      </c>
      <c r="AR436">
        <f>IF(R436&gt;=AK436-0.01,1,0)</f>
        <v/>
      </c>
      <c r="AS436">
        <f>IF(S436&gt;=AL436-0.01,1,0)</f>
        <v/>
      </c>
      <c r="AT436">
        <f>IF(T436&gt;=AM436-0.01,1,0)</f>
        <v/>
      </c>
      <c r="AU436">
        <f>IF(U436&gt;=AN436-0.01,1,0)</f>
        <v/>
      </c>
      <c r="AV436">
        <f>IF(V436&gt;=AO436-0.01,1,0)</f>
        <v/>
      </c>
      <c r="AW436">
        <f>IF(W436&gt;=AP436-0.01,1,0)</f>
        <v/>
      </c>
      <c r="AX436">
        <f>AQ436*AR436*AS436*AT436*AU436*AV436*AW436</f>
        <v/>
      </c>
      <c r="AY436">
        <f>Assumptions!$B$41</f>
        <v/>
      </c>
      <c r="AZ436">
        <f>Assumptions!$B$33</f>
        <v/>
      </c>
      <c r="BA436">
        <f>Assumptions!$B$32</f>
        <v/>
      </c>
      <c r="BB436">
        <f>Assumptions!$B$31</f>
        <v/>
      </c>
      <c r="BC436">
        <f>Assumptions!$B$30</f>
        <v/>
      </c>
      <c r="BD436">
        <f>Assumptions!$B$29</f>
        <v/>
      </c>
      <c r="BE436">
        <f>Assumptions!$B$28</f>
        <v/>
      </c>
      <c r="BF436">
        <f>P436*Assumptions!$B$141</f>
        <v/>
      </c>
      <c r="BG436">
        <f>P436*Assumptions!$B$128</f>
        <v/>
      </c>
      <c r="BH436">
        <f>P436*Assumptions!$B$129</f>
        <v/>
      </c>
      <c r="BI436">
        <f>P436*Assumptions!$B$14</f>
        <v/>
      </c>
      <c r="BJ436">
        <f>P436*Assumptions!$B$13</f>
        <v/>
      </c>
      <c r="BK436">
        <f>P436*Assumptions!$B$12</f>
        <v/>
      </c>
      <c r="BL436">
        <f>P436*Assumptions!$B$11</f>
        <v/>
      </c>
    </row>
    <row r="437">
      <c r="A437" t="inlineStr">
        <is>
          <t>4000M</t>
        </is>
      </c>
      <c r="B437">
        <f>Assumptions!$B$61</f>
        <v/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>
        <f>(1-C437)*Assumptions!$B$41+(1-D437)*Assumptions!$B$33+(1-E437)*Assumptions!$B$32+(1-F437)*Assumptions!$B$31+(1-G437)*Assumptions!$B$30+(1-H437)*Assumptions!$B$29+(1-I437)*Assumptions!$B$28</f>
        <v/>
      </c>
      <c r="K437">
        <f>C437*Assumptions!$B$141+D437*Assumptions!$B$128+E437*Assumptions!$B$129+F437*Assumptions!$B$14+G437*Assumptions!$B$13+H437*Assumptions!$B$12+I437*Assumptions!$B$11+Assumptions!$B$133+Assumptions!$B$137+Assumptions!$B$9</f>
        <v/>
      </c>
      <c r="L437">
        <f>B437-J437</f>
        <v/>
      </c>
      <c r="M437">
        <f>IF(K437&gt;0,IF(L437/K437&gt;=Assumptions!$B$37,1,0),0)</f>
        <v/>
      </c>
      <c r="N437">
        <f>K437+M437*Assumptions!$B$153</f>
        <v/>
      </c>
      <c r="O437">
        <f>L437+M437*Assumptions!$B$153*Assumptions!$B$37</f>
        <v/>
      </c>
      <c r="P437">
        <f>IF(N437&gt;0,O437/N437,0)</f>
        <v/>
      </c>
      <c r="Q437">
        <f>IF(C437=1,P437*Assumptions!$B$141,Assumptions!$B$41)</f>
        <v/>
      </c>
      <c r="R437">
        <f>IF(D437=1,P437*Assumptions!$B$128,Assumptions!$B$33)</f>
        <v/>
      </c>
      <c r="S437">
        <f>IF(E437=1,P437*Assumptions!$B$129,Assumptions!$B$32)</f>
        <v/>
      </c>
      <c r="T437">
        <f>IF(F437=1,P437*Assumptions!$B$14,Assumptions!$B$31)</f>
        <v/>
      </c>
      <c r="U437">
        <f>IF(G437=1,P437*Assumptions!$B$13,Assumptions!$B$30)</f>
        <v/>
      </c>
      <c r="V437">
        <f>IF(H437=1,P437*Assumptions!$B$12,Assumptions!$B$29)</f>
        <v/>
      </c>
      <c r="W437">
        <f>IF(I437=1,P437*Assumptions!$B$11,Assumptions!$B$28)</f>
        <v/>
      </c>
      <c r="X437">
        <f>P437*(Assumptions!$B$133+Assumptions!$B$137)</f>
        <v/>
      </c>
      <c r="Y437">
        <f>P437*Assumptions!$B$9</f>
        <v/>
      </c>
      <c r="Z437">
        <f>IF(M437=1,(P437-Assumptions!$B$37)*Assumptions!$B$153,0)</f>
        <v/>
      </c>
      <c r="AA437">
        <f>Q437+R437+S437+T437+U437+V437+W437+X437+Y437+Z437</f>
        <v/>
      </c>
      <c r="AB437" t="n">
        <v>2</v>
      </c>
      <c r="AC437" t="n">
        <v>66</v>
      </c>
      <c r="AD437" t="n">
        <v>34</v>
      </c>
      <c r="AE437" t="n">
        <v>18</v>
      </c>
      <c r="AF437" t="n">
        <v>10</v>
      </c>
      <c r="AG437" t="n">
        <v>6</v>
      </c>
      <c r="AH437" t="n">
        <v>0</v>
      </c>
      <c r="AI437" t="n">
        <v>3</v>
      </c>
      <c r="AJ437">
        <f>INDEX($Q$435:$Q$562,AC437+1)</f>
        <v/>
      </c>
      <c r="AK437">
        <f>INDEX($R$435:$R$562,AD437+1)</f>
        <v/>
      </c>
      <c r="AL437">
        <f>INDEX($S$435:$S$562,AE437+1)</f>
        <v/>
      </c>
      <c r="AM437">
        <f>INDEX($T$435:$T$562,AF437+1)</f>
        <v/>
      </c>
      <c r="AN437">
        <f>INDEX($U$435:$U$562,AG437+1)</f>
        <v/>
      </c>
      <c r="AO437">
        <f>INDEX($V$435:$V$562,AH437+1)</f>
        <v/>
      </c>
      <c r="AP437">
        <f>INDEX($W$435:$W$562,AI437+1)</f>
        <v/>
      </c>
      <c r="AQ437">
        <f>IF(Q437&gt;=AJ437-0.01,1,0)</f>
        <v/>
      </c>
      <c r="AR437">
        <f>IF(R437&gt;=AK437-0.01,1,0)</f>
        <v/>
      </c>
      <c r="AS437">
        <f>IF(S437&gt;=AL437-0.01,1,0)</f>
        <v/>
      </c>
      <c r="AT437">
        <f>IF(T437&gt;=AM437-0.01,1,0)</f>
        <v/>
      </c>
      <c r="AU437">
        <f>IF(U437&gt;=AN437-0.01,1,0)</f>
        <v/>
      </c>
      <c r="AV437">
        <f>IF(V437&gt;=AO437-0.01,1,0)</f>
        <v/>
      </c>
      <c r="AW437">
        <f>IF(W437&gt;=AP437-0.01,1,0)</f>
        <v/>
      </c>
      <c r="AX437">
        <f>AQ437*AR437*AS437*AT437*AU437*AV437*AW437</f>
        <v/>
      </c>
      <c r="AY437">
        <f>Assumptions!$B$41</f>
        <v/>
      </c>
      <c r="AZ437">
        <f>Assumptions!$B$33</f>
        <v/>
      </c>
      <c r="BA437">
        <f>Assumptions!$B$32</f>
        <v/>
      </c>
      <c r="BB437">
        <f>Assumptions!$B$31</f>
        <v/>
      </c>
      <c r="BC437">
        <f>Assumptions!$B$30</f>
        <v/>
      </c>
      <c r="BD437">
        <f>Assumptions!$B$29</f>
        <v/>
      </c>
      <c r="BE437">
        <f>Assumptions!$B$28</f>
        <v/>
      </c>
      <c r="BF437">
        <f>P437*Assumptions!$B$141</f>
        <v/>
      </c>
      <c r="BG437">
        <f>P437*Assumptions!$B$128</f>
        <v/>
      </c>
      <c r="BH437">
        <f>P437*Assumptions!$B$129</f>
        <v/>
      </c>
      <c r="BI437">
        <f>P437*Assumptions!$B$14</f>
        <v/>
      </c>
      <c r="BJ437">
        <f>P437*Assumptions!$B$13</f>
        <v/>
      </c>
      <c r="BK437">
        <f>P437*Assumptions!$B$12</f>
        <v/>
      </c>
      <c r="BL437">
        <f>P437*Assumptions!$B$11</f>
        <v/>
      </c>
    </row>
    <row r="438">
      <c r="A438" t="inlineStr">
        <is>
          <t>4000M</t>
        </is>
      </c>
      <c r="B438">
        <f>Assumptions!$B$61</f>
        <v/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>
        <f>(1-C438)*Assumptions!$B$41+(1-D438)*Assumptions!$B$33+(1-E438)*Assumptions!$B$32+(1-F438)*Assumptions!$B$31+(1-G438)*Assumptions!$B$30+(1-H438)*Assumptions!$B$29+(1-I438)*Assumptions!$B$28</f>
        <v/>
      </c>
      <c r="K438">
        <f>C438*Assumptions!$B$141+D438*Assumptions!$B$128+E438*Assumptions!$B$129+F438*Assumptions!$B$14+G438*Assumptions!$B$13+H438*Assumptions!$B$12+I438*Assumptions!$B$11+Assumptions!$B$133+Assumptions!$B$137+Assumptions!$B$9</f>
        <v/>
      </c>
      <c r="L438">
        <f>B438-J438</f>
        <v/>
      </c>
      <c r="M438">
        <f>IF(K438&gt;0,IF(L438/K438&gt;=Assumptions!$B$37,1,0),0)</f>
        <v/>
      </c>
      <c r="N438">
        <f>K438+M438*Assumptions!$B$153</f>
        <v/>
      </c>
      <c r="O438">
        <f>L438+M438*Assumptions!$B$153*Assumptions!$B$37</f>
        <v/>
      </c>
      <c r="P438">
        <f>IF(N438&gt;0,O438/N438,0)</f>
        <v/>
      </c>
      <c r="Q438">
        <f>IF(C438=1,P438*Assumptions!$B$141,Assumptions!$B$41)</f>
        <v/>
      </c>
      <c r="R438">
        <f>IF(D438=1,P438*Assumptions!$B$128,Assumptions!$B$33)</f>
        <v/>
      </c>
      <c r="S438">
        <f>IF(E438=1,P438*Assumptions!$B$129,Assumptions!$B$32)</f>
        <v/>
      </c>
      <c r="T438">
        <f>IF(F438=1,P438*Assumptions!$B$14,Assumptions!$B$31)</f>
        <v/>
      </c>
      <c r="U438">
        <f>IF(G438=1,P438*Assumptions!$B$13,Assumptions!$B$30)</f>
        <v/>
      </c>
      <c r="V438">
        <f>IF(H438=1,P438*Assumptions!$B$12,Assumptions!$B$29)</f>
        <v/>
      </c>
      <c r="W438">
        <f>IF(I438=1,P438*Assumptions!$B$11,Assumptions!$B$28)</f>
        <v/>
      </c>
      <c r="X438">
        <f>P438*(Assumptions!$B$133+Assumptions!$B$137)</f>
        <v/>
      </c>
      <c r="Y438">
        <f>P438*Assumptions!$B$9</f>
        <v/>
      </c>
      <c r="Z438">
        <f>IF(M438=1,(P438-Assumptions!$B$37)*Assumptions!$B$153,0)</f>
        <v/>
      </c>
      <c r="AA438">
        <f>Q438+R438+S438+T438+U438+V438+W438+X438+Y438+Z438</f>
        <v/>
      </c>
      <c r="AB438" t="n">
        <v>3</v>
      </c>
      <c r="AC438" t="n">
        <v>67</v>
      </c>
      <c r="AD438" t="n">
        <v>35</v>
      </c>
      <c r="AE438" t="n">
        <v>19</v>
      </c>
      <c r="AF438" t="n">
        <v>11</v>
      </c>
      <c r="AG438" t="n">
        <v>7</v>
      </c>
      <c r="AH438" t="n">
        <v>1</v>
      </c>
      <c r="AI438" t="n">
        <v>2</v>
      </c>
      <c r="AJ438">
        <f>INDEX($Q$435:$Q$562,AC438+1)</f>
        <v/>
      </c>
      <c r="AK438">
        <f>INDEX($R$435:$R$562,AD438+1)</f>
        <v/>
      </c>
      <c r="AL438">
        <f>INDEX($S$435:$S$562,AE438+1)</f>
        <v/>
      </c>
      <c r="AM438">
        <f>INDEX($T$435:$T$562,AF438+1)</f>
        <v/>
      </c>
      <c r="AN438">
        <f>INDEX($U$435:$U$562,AG438+1)</f>
        <v/>
      </c>
      <c r="AO438">
        <f>INDEX($V$435:$V$562,AH438+1)</f>
        <v/>
      </c>
      <c r="AP438">
        <f>INDEX($W$435:$W$562,AI438+1)</f>
        <v/>
      </c>
      <c r="AQ438">
        <f>IF(Q438&gt;=AJ438-0.01,1,0)</f>
        <v/>
      </c>
      <c r="AR438">
        <f>IF(R438&gt;=AK438-0.01,1,0)</f>
        <v/>
      </c>
      <c r="AS438">
        <f>IF(S438&gt;=AL438-0.01,1,0)</f>
        <v/>
      </c>
      <c r="AT438">
        <f>IF(T438&gt;=AM438-0.01,1,0)</f>
        <v/>
      </c>
      <c r="AU438">
        <f>IF(U438&gt;=AN438-0.01,1,0)</f>
        <v/>
      </c>
      <c r="AV438">
        <f>IF(V438&gt;=AO438-0.01,1,0)</f>
        <v/>
      </c>
      <c r="AW438">
        <f>IF(W438&gt;=AP438-0.01,1,0)</f>
        <v/>
      </c>
      <c r="AX438">
        <f>AQ438*AR438*AS438*AT438*AU438*AV438*AW438</f>
        <v/>
      </c>
      <c r="AY438">
        <f>Assumptions!$B$41</f>
        <v/>
      </c>
      <c r="AZ438">
        <f>Assumptions!$B$33</f>
        <v/>
      </c>
      <c r="BA438">
        <f>Assumptions!$B$32</f>
        <v/>
      </c>
      <c r="BB438">
        <f>Assumptions!$B$31</f>
        <v/>
      </c>
      <c r="BC438">
        <f>Assumptions!$B$30</f>
        <v/>
      </c>
      <c r="BD438">
        <f>Assumptions!$B$29</f>
        <v/>
      </c>
      <c r="BE438">
        <f>Assumptions!$B$28</f>
        <v/>
      </c>
      <c r="BF438">
        <f>P438*Assumptions!$B$141</f>
        <v/>
      </c>
      <c r="BG438">
        <f>P438*Assumptions!$B$128</f>
        <v/>
      </c>
      <c r="BH438">
        <f>P438*Assumptions!$B$129</f>
        <v/>
      </c>
      <c r="BI438">
        <f>P438*Assumptions!$B$14</f>
        <v/>
      </c>
      <c r="BJ438">
        <f>P438*Assumptions!$B$13</f>
        <v/>
      </c>
      <c r="BK438">
        <f>P438*Assumptions!$B$12</f>
        <v/>
      </c>
      <c r="BL438">
        <f>P438*Assumptions!$B$11</f>
        <v/>
      </c>
    </row>
    <row r="439">
      <c r="A439" t="inlineStr">
        <is>
          <t>4000M</t>
        </is>
      </c>
      <c r="B439">
        <f>Assumptions!$B$61</f>
        <v/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>
        <f>(1-C439)*Assumptions!$B$41+(1-D439)*Assumptions!$B$33+(1-E439)*Assumptions!$B$32+(1-F439)*Assumptions!$B$31+(1-G439)*Assumptions!$B$30+(1-H439)*Assumptions!$B$29+(1-I439)*Assumptions!$B$28</f>
        <v/>
      </c>
      <c r="K439">
        <f>C439*Assumptions!$B$141+D439*Assumptions!$B$128+E439*Assumptions!$B$129+F439*Assumptions!$B$14+G439*Assumptions!$B$13+H439*Assumptions!$B$12+I439*Assumptions!$B$11+Assumptions!$B$133+Assumptions!$B$137+Assumptions!$B$9</f>
        <v/>
      </c>
      <c r="L439">
        <f>B439-J439</f>
        <v/>
      </c>
      <c r="M439">
        <f>IF(K439&gt;0,IF(L439/K439&gt;=Assumptions!$B$37,1,0),0)</f>
        <v/>
      </c>
      <c r="N439">
        <f>K439+M439*Assumptions!$B$153</f>
        <v/>
      </c>
      <c r="O439">
        <f>L439+M439*Assumptions!$B$153*Assumptions!$B$37</f>
        <v/>
      </c>
      <c r="P439">
        <f>IF(N439&gt;0,O439/N439,0)</f>
        <v/>
      </c>
      <c r="Q439">
        <f>IF(C439=1,P439*Assumptions!$B$141,Assumptions!$B$41)</f>
        <v/>
      </c>
      <c r="R439">
        <f>IF(D439=1,P439*Assumptions!$B$128,Assumptions!$B$33)</f>
        <v/>
      </c>
      <c r="S439">
        <f>IF(E439=1,P439*Assumptions!$B$129,Assumptions!$B$32)</f>
        <v/>
      </c>
      <c r="T439">
        <f>IF(F439=1,P439*Assumptions!$B$14,Assumptions!$B$31)</f>
        <v/>
      </c>
      <c r="U439">
        <f>IF(G439=1,P439*Assumptions!$B$13,Assumptions!$B$30)</f>
        <v/>
      </c>
      <c r="V439">
        <f>IF(H439=1,P439*Assumptions!$B$12,Assumptions!$B$29)</f>
        <v/>
      </c>
      <c r="W439">
        <f>IF(I439=1,P439*Assumptions!$B$11,Assumptions!$B$28)</f>
        <v/>
      </c>
      <c r="X439">
        <f>P439*(Assumptions!$B$133+Assumptions!$B$137)</f>
        <v/>
      </c>
      <c r="Y439">
        <f>P439*Assumptions!$B$9</f>
        <v/>
      </c>
      <c r="Z439">
        <f>IF(M439=1,(P439-Assumptions!$B$37)*Assumptions!$B$153,0)</f>
        <v/>
      </c>
      <c r="AA439">
        <f>Q439+R439+S439+T439+U439+V439+W439+X439+Y439+Z439</f>
        <v/>
      </c>
      <c r="AB439" t="n">
        <v>4</v>
      </c>
      <c r="AC439" t="n">
        <v>68</v>
      </c>
      <c r="AD439" t="n">
        <v>36</v>
      </c>
      <c r="AE439" t="n">
        <v>20</v>
      </c>
      <c r="AF439" t="n">
        <v>12</v>
      </c>
      <c r="AG439" t="n">
        <v>0</v>
      </c>
      <c r="AH439" t="n">
        <v>6</v>
      </c>
      <c r="AI439" t="n">
        <v>5</v>
      </c>
      <c r="AJ439">
        <f>INDEX($Q$435:$Q$562,AC439+1)</f>
        <v/>
      </c>
      <c r="AK439">
        <f>INDEX($R$435:$R$562,AD439+1)</f>
        <v/>
      </c>
      <c r="AL439">
        <f>INDEX($S$435:$S$562,AE439+1)</f>
        <v/>
      </c>
      <c r="AM439">
        <f>INDEX($T$435:$T$562,AF439+1)</f>
        <v/>
      </c>
      <c r="AN439">
        <f>INDEX($U$435:$U$562,AG439+1)</f>
        <v/>
      </c>
      <c r="AO439">
        <f>INDEX($V$435:$V$562,AH439+1)</f>
        <v/>
      </c>
      <c r="AP439">
        <f>INDEX($W$435:$W$562,AI439+1)</f>
        <v/>
      </c>
      <c r="AQ439">
        <f>IF(Q439&gt;=AJ439-0.01,1,0)</f>
        <v/>
      </c>
      <c r="AR439">
        <f>IF(R439&gt;=AK439-0.01,1,0)</f>
        <v/>
      </c>
      <c r="AS439">
        <f>IF(S439&gt;=AL439-0.01,1,0)</f>
        <v/>
      </c>
      <c r="AT439">
        <f>IF(T439&gt;=AM439-0.01,1,0)</f>
        <v/>
      </c>
      <c r="AU439">
        <f>IF(U439&gt;=AN439-0.01,1,0)</f>
        <v/>
      </c>
      <c r="AV439">
        <f>IF(V439&gt;=AO439-0.01,1,0)</f>
        <v/>
      </c>
      <c r="AW439">
        <f>IF(W439&gt;=AP439-0.01,1,0)</f>
        <v/>
      </c>
      <c r="AX439">
        <f>AQ439*AR439*AS439*AT439*AU439*AV439*AW439</f>
        <v/>
      </c>
      <c r="AY439">
        <f>Assumptions!$B$41</f>
        <v/>
      </c>
      <c r="AZ439">
        <f>Assumptions!$B$33</f>
        <v/>
      </c>
      <c r="BA439">
        <f>Assumptions!$B$32</f>
        <v/>
      </c>
      <c r="BB439">
        <f>Assumptions!$B$31</f>
        <v/>
      </c>
      <c r="BC439">
        <f>Assumptions!$B$30</f>
        <v/>
      </c>
      <c r="BD439">
        <f>Assumptions!$B$29</f>
        <v/>
      </c>
      <c r="BE439">
        <f>Assumptions!$B$28</f>
        <v/>
      </c>
      <c r="BF439">
        <f>P439*Assumptions!$B$141</f>
        <v/>
      </c>
      <c r="BG439">
        <f>P439*Assumptions!$B$128</f>
        <v/>
      </c>
      <c r="BH439">
        <f>P439*Assumptions!$B$129</f>
        <v/>
      </c>
      <c r="BI439">
        <f>P439*Assumptions!$B$14</f>
        <v/>
      </c>
      <c r="BJ439">
        <f>P439*Assumptions!$B$13</f>
        <v/>
      </c>
      <c r="BK439">
        <f>P439*Assumptions!$B$12</f>
        <v/>
      </c>
      <c r="BL439">
        <f>P439*Assumptions!$B$11</f>
        <v/>
      </c>
    </row>
    <row r="440">
      <c r="A440" t="inlineStr">
        <is>
          <t>4000M</t>
        </is>
      </c>
      <c r="B440">
        <f>Assumptions!$B$61</f>
        <v/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>
        <f>(1-C440)*Assumptions!$B$41+(1-D440)*Assumptions!$B$33+(1-E440)*Assumptions!$B$32+(1-F440)*Assumptions!$B$31+(1-G440)*Assumptions!$B$30+(1-H440)*Assumptions!$B$29+(1-I440)*Assumptions!$B$28</f>
        <v/>
      </c>
      <c r="K440">
        <f>C440*Assumptions!$B$141+D440*Assumptions!$B$128+E440*Assumptions!$B$129+F440*Assumptions!$B$14+G440*Assumptions!$B$13+H440*Assumptions!$B$12+I440*Assumptions!$B$11+Assumptions!$B$133+Assumptions!$B$137+Assumptions!$B$9</f>
        <v/>
      </c>
      <c r="L440">
        <f>B440-J440</f>
        <v/>
      </c>
      <c r="M440">
        <f>IF(K440&gt;0,IF(L440/K440&gt;=Assumptions!$B$37,1,0),0)</f>
        <v/>
      </c>
      <c r="N440">
        <f>K440+M440*Assumptions!$B$153</f>
        <v/>
      </c>
      <c r="O440">
        <f>L440+M440*Assumptions!$B$153*Assumptions!$B$37</f>
        <v/>
      </c>
      <c r="P440">
        <f>IF(N440&gt;0,O440/N440,0)</f>
        <v/>
      </c>
      <c r="Q440">
        <f>IF(C440=1,P440*Assumptions!$B$141,Assumptions!$B$41)</f>
        <v/>
      </c>
      <c r="R440">
        <f>IF(D440=1,P440*Assumptions!$B$128,Assumptions!$B$33)</f>
        <v/>
      </c>
      <c r="S440">
        <f>IF(E440=1,P440*Assumptions!$B$129,Assumptions!$B$32)</f>
        <v/>
      </c>
      <c r="T440">
        <f>IF(F440=1,P440*Assumptions!$B$14,Assumptions!$B$31)</f>
        <v/>
      </c>
      <c r="U440">
        <f>IF(G440=1,P440*Assumptions!$B$13,Assumptions!$B$30)</f>
        <v/>
      </c>
      <c r="V440">
        <f>IF(H440=1,P440*Assumptions!$B$12,Assumptions!$B$29)</f>
        <v/>
      </c>
      <c r="W440">
        <f>IF(I440=1,P440*Assumptions!$B$11,Assumptions!$B$28)</f>
        <v/>
      </c>
      <c r="X440">
        <f>P440*(Assumptions!$B$133+Assumptions!$B$137)</f>
        <v/>
      </c>
      <c r="Y440">
        <f>P440*Assumptions!$B$9</f>
        <v/>
      </c>
      <c r="Z440">
        <f>IF(M440=1,(P440-Assumptions!$B$37)*Assumptions!$B$153,0)</f>
        <v/>
      </c>
      <c r="AA440">
        <f>Q440+R440+S440+T440+U440+V440+W440+X440+Y440+Z440</f>
        <v/>
      </c>
      <c r="AB440" t="n">
        <v>5</v>
      </c>
      <c r="AC440" t="n">
        <v>69</v>
      </c>
      <c r="AD440" t="n">
        <v>37</v>
      </c>
      <c r="AE440" t="n">
        <v>21</v>
      </c>
      <c r="AF440" t="n">
        <v>13</v>
      </c>
      <c r="AG440" t="n">
        <v>1</v>
      </c>
      <c r="AH440" t="n">
        <v>7</v>
      </c>
      <c r="AI440" t="n">
        <v>4</v>
      </c>
      <c r="AJ440">
        <f>INDEX($Q$435:$Q$562,AC440+1)</f>
        <v/>
      </c>
      <c r="AK440">
        <f>INDEX($R$435:$R$562,AD440+1)</f>
        <v/>
      </c>
      <c r="AL440">
        <f>INDEX($S$435:$S$562,AE440+1)</f>
        <v/>
      </c>
      <c r="AM440">
        <f>INDEX($T$435:$T$562,AF440+1)</f>
        <v/>
      </c>
      <c r="AN440">
        <f>INDEX($U$435:$U$562,AG440+1)</f>
        <v/>
      </c>
      <c r="AO440">
        <f>INDEX($V$435:$V$562,AH440+1)</f>
        <v/>
      </c>
      <c r="AP440">
        <f>INDEX($W$435:$W$562,AI440+1)</f>
        <v/>
      </c>
      <c r="AQ440">
        <f>IF(Q440&gt;=AJ440-0.01,1,0)</f>
        <v/>
      </c>
      <c r="AR440">
        <f>IF(R440&gt;=AK440-0.01,1,0)</f>
        <v/>
      </c>
      <c r="AS440">
        <f>IF(S440&gt;=AL440-0.01,1,0)</f>
        <v/>
      </c>
      <c r="AT440">
        <f>IF(T440&gt;=AM440-0.01,1,0)</f>
        <v/>
      </c>
      <c r="AU440">
        <f>IF(U440&gt;=AN440-0.01,1,0)</f>
        <v/>
      </c>
      <c r="AV440">
        <f>IF(V440&gt;=AO440-0.01,1,0)</f>
        <v/>
      </c>
      <c r="AW440">
        <f>IF(W440&gt;=AP440-0.01,1,0)</f>
        <v/>
      </c>
      <c r="AX440">
        <f>AQ440*AR440*AS440*AT440*AU440*AV440*AW440</f>
        <v/>
      </c>
      <c r="AY440">
        <f>Assumptions!$B$41</f>
        <v/>
      </c>
      <c r="AZ440">
        <f>Assumptions!$B$33</f>
        <v/>
      </c>
      <c r="BA440">
        <f>Assumptions!$B$32</f>
        <v/>
      </c>
      <c r="BB440">
        <f>Assumptions!$B$31</f>
        <v/>
      </c>
      <c r="BC440">
        <f>Assumptions!$B$30</f>
        <v/>
      </c>
      <c r="BD440">
        <f>Assumptions!$B$29</f>
        <v/>
      </c>
      <c r="BE440">
        <f>Assumptions!$B$28</f>
        <v/>
      </c>
      <c r="BF440">
        <f>P440*Assumptions!$B$141</f>
        <v/>
      </c>
      <c r="BG440">
        <f>P440*Assumptions!$B$128</f>
        <v/>
      </c>
      <c r="BH440">
        <f>P440*Assumptions!$B$129</f>
        <v/>
      </c>
      <c r="BI440">
        <f>P440*Assumptions!$B$14</f>
        <v/>
      </c>
      <c r="BJ440">
        <f>P440*Assumptions!$B$13</f>
        <v/>
      </c>
      <c r="BK440">
        <f>P440*Assumptions!$B$12</f>
        <v/>
      </c>
      <c r="BL440">
        <f>P440*Assumptions!$B$11</f>
        <v/>
      </c>
    </row>
    <row r="441">
      <c r="A441" t="inlineStr">
        <is>
          <t>4000M</t>
        </is>
      </c>
      <c r="B441">
        <f>Assumptions!$B$61</f>
        <v/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>
        <f>(1-C441)*Assumptions!$B$41+(1-D441)*Assumptions!$B$33+(1-E441)*Assumptions!$B$32+(1-F441)*Assumptions!$B$31+(1-G441)*Assumptions!$B$30+(1-H441)*Assumptions!$B$29+(1-I441)*Assumptions!$B$28</f>
        <v/>
      </c>
      <c r="K441">
        <f>C441*Assumptions!$B$141+D441*Assumptions!$B$128+E441*Assumptions!$B$129+F441*Assumptions!$B$14+G441*Assumptions!$B$13+H441*Assumptions!$B$12+I441*Assumptions!$B$11+Assumptions!$B$133+Assumptions!$B$137+Assumptions!$B$9</f>
        <v/>
      </c>
      <c r="L441">
        <f>B441-J441</f>
        <v/>
      </c>
      <c r="M441">
        <f>IF(K441&gt;0,IF(L441/K441&gt;=Assumptions!$B$37,1,0),0)</f>
        <v/>
      </c>
      <c r="N441">
        <f>K441+M441*Assumptions!$B$153</f>
        <v/>
      </c>
      <c r="O441">
        <f>L441+M441*Assumptions!$B$153*Assumptions!$B$37</f>
        <v/>
      </c>
      <c r="P441">
        <f>IF(N441&gt;0,O441/N441,0)</f>
        <v/>
      </c>
      <c r="Q441">
        <f>IF(C441=1,P441*Assumptions!$B$141,Assumptions!$B$41)</f>
        <v/>
      </c>
      <c r="R441">
        <f>IF(D441=1,P441*Assumptions!$B$128,Assumptions!$B$33)</f>
        <v/>
      </c>
      <c r="S441">
        <f>IF(E441=1,P441*Assumptions!$B$129,Assumptions!$B$32)</f>
        <v/>
      </c>
      <c r="T441">
        <f>IF(F441=1,P441*Assumptions!$B$14,Assumptions!$B$31)</f>
        <v/>
      </c>
      <c r="U441">
        <f>IF(G441=1,P441*Assumptions!$B$13,Assumptions!$B$30)</f>
        <v/>
      </c>
      <c r="V441">
        <f>IF(H441=1,P441*Assumptions!$B$12,Assumptions!$B$29)</f>
        <v/>
      </c>
      <c r="W441">
        <f>IF(I441=1,P441*Assumptions!$B$11,Assumptions!$B$28)</f>
        <v/>
      </c>
      <c r="X441">
        <f>P441*(Assumptions!$B$133+Assumptions!$B$137)</f>
        <v/>
      </c>
      <c r="Y441">
        <f>P441*Assumptions!$B$9</f>
        <v/>
      </c>
      <c r="Z441">
        <f>IF(M441=1,(P441-Assumptions!$B$37)*Assumptions!$B$153,0)</f>
        <v/>
      </c>
      <c r="AA441">
        <f>Q441+R441+S441+T441+U441+V441+W441+X441+Y441+Z441</f>
        <v/>
      </c>
      <c r="AB441" t="n">
        <v>6</v>
      </c>
      <c r="AC441" t="n">
        <v>70</v>
      </c>
      <c r="AD441" t="n">
        <v>38</v>
      </c>
      <c r="AE441" t="n">
        <v>22</v>
      </c>
      <c r="AF441" t="n">
        <v>14</v>
      </c>
      <c r="AG441" t="n">
        <v>2</v>
      </c>
      <c r="AH441" t="n">
        <v>4</v>
      </c>
      <c r="AI441" t="n">
        <v>7</v>
      </c>
      <c r="AJ441">
        <f>INDEX($Q$435:$Q$562,AC441+1)</f>
        <v/>
      </c>
      <c r="AK441">
        <f>INDEX($R$435:$R$562,AD441+1)</f>
        <v/>
      </c>
      <c r="AL441">
        <f>INDEX($S$435:$S$562,AE441+1)</f>
        <v/>
      </c>
      <c r="AM441">
        <f>INDEX($T$435:$T$562,AF441+1)</f>
        <v/>
      </c>
      <c r="AN441">
        <f>INDEX($U$435:$U$562,AG441+1)</f>
        <v/>
      </c>
      <c r="AO441">
        <f>INDEX($V$435:$V$562,AH441+1)</f>
        <v/>
      </c>
      <c r="AP441">
        <f>INDEX($W$435:$W$562,AI441+1)</f>
        <v/>
      </c>
      <c r="AQ441">
        <f>IF(Q441&gt;=AJ441-0.01,1,0)</f>
        <v/>
      </c>
      <c r="AR441">
        <f>IF(R441&gt;=AK441-0.01,1,0)</f>
        <v/>
      </c>
      <c r="AS441">
        <f>IF(S441&gt;=AL441-0.01,1,0)</f>
        <v/>
      </c>
      <c r="AT441">
        <f>IF(T441&gt;=AM441-0.01,1,0)</f>
        <v/>
      </c>
      <c r="AU441">
        <f>IF(U441&gt;=AN441-0.01,1,0)</f>
        <v/>
      </c>
      <c r="AV441">
        <f>IF(V441&gt;=AO441-0.01,1,0)</f>
        <v/>
      </c>
      <c r="AW441">
        <f>IF(W441&gt;=AP441-0.01,1,0)</f>
        <v/>
      </c>
      <c r="AX441">
        <f>AQ441*AR441*AS441*AT441*AU441*AV441*AW441</f>
        <v/>
      </c>
      <c r="AY441">
        <f>Assumptions!$B$41</f>
        <v/>
      </c>
      <c r="AZ441">
        <f>Assumptions!$B$33</f>
        <v/>
      </c>
      <c r="BA441">
        <f>Assumptions!$B$32</f>
        <v/>
      </c>
      <c r="BB441">
        <f>Assumptions!$B$31</f>
        <v/>
      </c>
      <c r="BC441">
        <f>Assumptions!$B$30</f>
        <v/>
      </c>
      <c r="BD441">
        <f>Assumptions!$B$29</f>
        <v/>
      </c>
      <c r="BE441">
        <f>Assumptions!$B$28</f>
        <v/>
      </c>
      <c r="BF441">
        <f>P441*Assumptions!$B$141</f>
        <v/>
      </c>
      <c r="BG441">
        <f>P441*Assumptions!$B$128</f>
        <v/>
      </c>
      <c r="BH441">
        <f>P441*Assumptions!$B$129</f>
        <v/>
      </c>
      <c r="BI441">
        <f>P441*Assumptions!$B$14</f>
        <v/>
      </c>
      <c r="BJ441">
        <f>P441*Assumptions!$B$13</f>
        <v/>
      </c>
      <c r="BK441">
        <f>P441*Assumptions!$B$12</f>
        <v/>
      </c>
      <c r="BL441">
        <f>P441*Assumptions!$B$11</f>
        <v/>
      </c>
    </row>
    <row r="442">
      <c r="A442" t="inlineStr">
        <is>
          <t>4000M</t>
        </is>
      </c>
      <c r="B442">
        <f>Assumptions!$B$61</f>
        <v/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>
        <f>(1-C442)*Assumptions!$B$41+(1-D442)*Assumptions!$B$33+(1-E442)*Assumptions!$B$32+(1-F442)*Assumptions!$B$31+(1-G442)*Assumptions!$B$30+(1-H442)*Assumptions!$B$29+(1-I442)*Assumptions!$B$28</f>
        <v/>
      </c>
      <c r="K442">
        <f>C442*Assumptions!$B$141+D442*Assumptions!$B$128+E442*Assumptions!$B$129+F442*Assumptions!$B$14+G442*Assumptions!$B$13+H442*Assumptions!$B$12+I442*Assumptions!$B$11+Assumptions!$B$133+Assumptions!$B$137+Assumptions!$B$9</f>
        <v/>
      </c>
      <c r="L442">
        <f>B442-J442</f>
        <v/>
      </c>
      <c r="M442">
        <f>IF(K442&gt;0,IF(L442/K442&gt;=Assumptions!$B$37,1,0),0)</f>
        <v/>
      </c>
      <c r="N442">
        <f>K442+M442*Assumptions!$B$153</f>
        <v/>
      </c>
      <c r="O442">
        <f>L442+M442*Assumptions!$B$153*Assumptions!$B$37</f>
        <v/>
      </c>
      <c r="P442">
        <f>IF(N442&gt;0,O442/N442,0)</f>
        <v/>
      </c>
      <c r="Q442">
        <f>IF(C442=1,P442*Assumptions!$B$141,Assumptions!$B$41)</f>
        <v/>
      </c>
      <c r="R442">
        <f>IF(D442=1,P442*Assumptions!$B$128,Assumptions!$B$33)</f>
        <v/>
      </c>
      <c r="S442">
        <f>IF(E442=1,P442*Assumptions!$B$129,Assumptions!$B$32)</f>
        <v/>
      </c>
      <c r="T442">
        <f>IF(F442=1,P442*Assumptions!$B$14,Assumptions!$B$31)</f>
        <v/>
      </c>
      <c r="U442">
        <f>IF(G442=1,P442*Assumptions!$B$13,Assumptions!$B$30)</f>
        <v/>
      </c>
      <c r="V442">
        <f>IF(H442=1,P442*Assumptions!$B$12,Assumptions!$B$29)</f>
        <v/>
      </c>
      <c r="W442">
        <f>IF(I442=1,P442*Assumptions!$B$11,Assumptions!$B$28)</f>
        <v/>
      </c>
      <c r="X442">
        <f>P442*(Assumptions!$B$133+Assumptions!$B$137)</f>
        <v/>
      </c>
      <c r="Y442">
        <f>P442*Assumptions!$B$9</f>
        <v/>
      </c>
      <c r="Z442">
        <f>IF(M442=1,(P442-Assumptions!$B$37)*Assumptions!$B$153,0)</f>
        <v/>
      </c>
      <c r="AA442">
        <f>Q442+R442+S442+T442+U442+V442+W442+X442+Y442+Z442</f>
        <v/>
      </c>
      <c r="AB442" t="n">
        <v>7</v>
      </c>
      <c r="AC442" t="n">
        <v>71</v>
      </c>
      <c r="AD442" t="n">
        <v>39</v>
      </c>
      <c r="AE442" t="n">
        <v>23</v>
      </c>
      <c r="AF442" t="n">
        <v>15</v>
      </c>
      <c r="AG442" t="n">
        <v>3</v>
      </c>
      <c r="AH442" t="n">
        <v>5</v>
      </c>
      <c r="AI442" t="n">
        <v>6</v>
      </c>
      <c r="AJ442">
        <f>INDEX($Q$435:$Q$562,AC442+1)</f>
        <v/>
      </c>
      <c r="AK442">
        <f>INDEX($R$435:$R$562,AD442+1)</f>
        <v/>
      </c>
      <c r="AL442">
        <f>INDEX($S$435:$S$562,AE442+1)</f>
        <v/>
      </c>
      <c r="AM442">
        <f>INDEX($T$435:$T$562,AF442+1)</f>
        <v/>
      </c>
      <c r="AN442">
        <f>INDEX($U$435:$U$562,AG442+1)</f>
        <v/>
      </c>
      <c r="AO442">
        <f>INDEX($V$435:$V$562,AH442+1)</f>
        <v/>
      </c>
      <c r="AP442">
        <f>INDEX($W$435:$W$562,AI442+1)</f>
        <v/>
      </c>
      <c r="AQ442">
        <f>IF(Q442&gt;=AJ442-0.01,1,0)</f>
        <v/>
      </c>
      <c r="AR442">
        <f>IF(R442&gt;=AK442-0.01,1,0)</f>
        <v/>
      </c>
      <c r="AS442">
        <f>IF(S442&gt;=AL442-0.01,1,0)</f>
        <v/>
      </c>
      <c r="AT442">
        <f>IF(T442&gt;=AM442-0.01,1,0)</f>
        <v/>
      </c>
      <c r="AU442">
        <f>IF(U442&gt;=AN442-0.01,1,0)</f>
        <v/>
      </c>
      <c r="AV442">
        <f>IF(V442&gt;=AO442-0.01,1,0)</f>
        <v/>
      </c>
      <c r="AW442">
        <f>IF(W442&gt;=AP442-0.01,1,0)</f>
        <v/>
      </c>
      <c r="AX442">
        <f>AQ442*AR442*AS442*AT442*AU442*AV442*AW442</f>
        <v/>
      </c>
      <c r="AY442">
        <f>Assumptions!$B$41</f>
        <v/>
      </c>
      <c r="AZ442">
        <f>Assumptions!$B$33</f>
        <v/>
      </c>
      <c r="BA442">
        <f>Assumptions!$B$32</f>
        <v/>
      </c>
      <c r="BB442">
        <f>Assumptions!$B$31</f>
        <v/>
      </c>
      <c r="BC442">
        <f>Assumptions!$B$30</f>
        <v/>
      </c>
      <c r="BD442">
        <f>Assumptions!$B$29</f>
        <v/>
      </c>
      <c r="BE442">
        <f>Assumptions!$B$28</f>
        <v/>
      </c>
      <c r="BF442">
        <f>P442*Assumptions!$B$141</f>
        <v/>
      </c>
      <c r="BG442">
        <f>P442*Assumptions!$B$128</f>
        <v/>
      </c>
      <c r="BH442">
        <f>P442*Assumptions!$B$129</f>
        <v/>
      </c>
      <c r="BI442">
        <f>P442*Assumptions!$B$14</f>
        <v/>
      </c>
      <c r="BJ442">
        <f>P442*Assumptions!$B$13</f>
        <v/>
      </c>
      <c r="BK442">
        <f>P442*Assumptions!$B$12</f>
        <v/>
      </c>
      <c r="BL442">
        <f>P442*Assumptions!$B$11</f>
        <v/>
      </c>
    </row>
    <row r="443">
      <c r="A443" t="inlineStr">
        <is>
          <t>4000M</t>
        </is>
      </c>
      <c r="B443">
        <f>Assumptions!$B$61</f>
        <v/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>
        <f>(1-C443)*Assumptions!$B$41+(1-D443)*Assumptions!$B$33+(1-E443)*Assumptions!$B$32+(1-F443)*Assumptions!$B$31+(1-G443)*Assumptions!$B$30+(1-H443)*Assumptions!$B$29+(1-I443)*Assumptions!$B$28</f>
        <v/>
      </c>
      <c r="K443">
        <f>C443*Assumptions!$B$141+D443*Assumptions!$B$128+E443*Assumptions!$B$129+F443*Assumptions!$B$14+G443*Assumptions!$B$13+H443*Assumptions!$B$12+I443*Assumptions!$B$11+Assumptions!$B$133+Assumptions!$B$137+Assumptions!$B$9</f>
        <v/>
      </c>
      <c r="L443">
        <f>B443-J443</f>
        <v/>
      </c>
      <c r="M443">
        <f>IF(K443&gt;0,IF(L443/K443&gt;=Assumptions!$B$37,1,0),0)</f>
        <v/>
      </c>
      <c r="N443">
        <f>K443+M443*Assumptions!$B$153</f>
        <v/>
      </c>
      <c r="O443">
        <f>L443+M443*Assumptions!$B$153*Assumptions!$B$37</f>
        <v/>
      </c>
      <c r="P443">
        <f>IF(N443&gt;0,O443/N443,0)</f>
        <v/>
      </c>
      <c r="Q443">
        <f>IF(C443=1,P443*Assumptions!$B$141,Assumptions!$B$41)</f>
        <v/>
      </c>
      <c r="R443">
        <f>IF(D443=1,P443*Assumptions!$B$128,Assumptions!$B$33)</f>
        <v/>
      </c>
      <c r="S443">
        <f>IF(E443=1,P443*Assumptions!$B$129,Assumptions!$B$32)</f>
        <v/>
      </c>
      <c r="T443">
        <f>IF(F443=1,P443*Assumptions!$B$14,Assumptions!$B$31)</f>
        <v/>
      </c>
      <c r="U443">
        <f>IF(G443=1,P443*Assumptions!$B$13,Assumptions!$B$30)</f>
        <v/>
      </c>
      <c r="V443">
        <f>IF(H443=1,P443*Assumptions!$B$12,Assumptions!$B$29)</f>
        <v/>
      </c>
      <c r="W443">
        <f>IF(I443=1,P443*Assumptions!$B$11,Assumptions!$B$28)</f>
        <v/>
      </c>
      <c r="X443">
        <f>P443*(Assumptions!$B$133+Assumptions!$B$137)</f>
        <v/>
      </c>
      <c r="Y443">
        <f>P443*Assumptions!$B$9</f>
        <v/>
      </c>
      <c r="Z443">
        <f>IF(M443=1,(P443-Assumptions!$B$37)*Assumptions!$B$153,0)</f>
        <v/>
      </c>
      <c r="AA443">
        <f>Q443+R443+S443+T443+U443+V443+W443+X443+Y443+Z443</f>
        <v/>
      </c>
      <c r="AB443" t="n">
        <v>8</v>
      </c>
      <c r="AC443" t="n">
        <v>72</v>
      </c>
      <c r="AD443" t="n">
        <v>40</v>
      </c>
      <c r="AE443" t="n">
        <v>24</v>
      </c>
      <c r="AF443" t="n">
        <v>0</v>
      </c>
      <c r="AG443" t="n">
        <v>12</v>
      </c>
      <c r="AH443" t="n">
        <v>10</v>
      </c>
      <c r="AI443" t="n">
        <v>9</v>
      </c>
      <c r="AJ443">
        <f>INDEX($Q$435:$Q$562,AC443+1)</f>
        <v/>
      </c>
      <c r="AK443">
        <f>INDEX($R$435:$R$562,AD443+1)</f>
        <v/>
      </c>
      <c r="AL443">
        <f>INDEX($S$435:$S$562,AE443+1)</f>
        <v/>
      </c>
      <c r="AM443">
        <f>INDEX($T$435:$T$562,AF443+1)</f>
        <v/>
      </c>
      <c r="AN443">
        <f>INDEX($U$435:$U$562,AG443+1)</f>
        <v/>
      </c>
      <c r="AO443">
        <f>INDEX($V$435:$V$562,AH443+1)</f>
        <v/>
      </c>
      <c r="AP443">
        <f>INDEX($W$435:$W$562,AI443+1)</f>
        <v/>
      </c>
      <c r="AQ443">
        <f>IF(Q443&gt;=AJ443-0.01,1,0)</f>
        <v/>
      </c>
      <c r="AR443">
        <f>IF(R443&gt;=AK443-0.01,1,0)</f>
        <v/>
      </c>
      <c r="AS443">
        <f>IF(S443&gt;=AL443-0.01,1,0)</f>
        <v/>
      </c>
      <c r="AT443">
        <f>IF(T443&gt;=AM443-0.01,1,0)</f>
        <v/>
      </c>
      <c r="AU443">
        <f>IF(U443&gt;=AN443-0.01,1,0)</f>
        <v/>
      </c>
      <c r="AV443">
        <f>IF(V443&gt;=AO443-0.01,1,0)</f>
        <v/>
      </c>
      <c r="AW443">
        <f>IF(W443&gt;=AP443-0.01,1,0)</f>
        <v/>
      </c>
      <c r="AX443">
        <f>AQ443*AR443*AS443*AT443*AU443*AV443*AW443</f>
        <v/>
      </c>
      <c r="AY443">
        <f>Assumptions!$B$41</f>
        <v/>
      </c>
      <c r="AZ443">
        <f>Assumptions!$B$33</f>
        <v/>
      </c>
      <c r="BA443">
        <f>Assumptions!$B$32</f>
        <v/>
      </c>
      <c r="BB443">
        <f>Assumptions!$B$31</f>
        <v/>
      </c>
      <c r="BC443">
        <f>Assumptions!$B$30</f>
        <v/>
      </c>
      <c r="BD443">
        <f>Assumptions!$B$29</f>
        <v/>
      </c>
      <c r="BE443">
        <f>Assumptions!$B$28</f>
        <v/>
      </c>
      <c r="BF443">
        <f>P443*Assumptions!$B$141</f>
        <v/>
      </c>
      <c r="BG443">
        <f>P443*Assumptions!$B$128</f>
        <v/>
      </c>
      <c r="BH443">
        <f>P443*Assumptions!$B$129</f>
        <v/>
      </c>
      <c r="BI443">
        <f>P443*Assumptions!$B$14</f>
        <v/>
      </c>
      <c r="BJ443">
        <f>P443*Assumptions!$B$13</f>
        <v/>
      </c>
      <c r="BK443">
        <f>P443*Assumptions!$B$12</f>
        <v/>
      </c>
      <c r="BL443">
        <f>P443*Assumptions!$B$11</f>
        <v/>
      </c>
    </row>
    <row r="444">
      <c r="A444" t="inlineStr">
        <is>
          <t>4000M</t>
        </is>
      </c>
      <c r="B444">
        <f>Assumptions!$B$61</f>
        <v/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>
        <f>(1-C444)*Assumptions!$B$41+(1-D444)*Assumptions!$B$33+(1-E444)*Assumptions!$B$32+(1-F444)*Assumptions!$B$31+(1-G444)*Assumptions!$B$30+(1-H444)*Assumptions!$B$29+(1-I444)*Assumptions!$B$28</f>
        <v/>
      </c>
      <c r="K444">
        <f>C444*Assumptions!$B$141+D444*Assumptions!$B$128+E444*Assumptions!$B$129+F444*Assumptions!$B$14+G444*Assumptions!$B$13+H444*Assumptions!$B$12+I444*Assumptions!$B$11+Assumptions!$B$133+Assumptions!$B$137+Assumptions!$B$9</f>
        <v/>
      </c>
      <c r="L444">
        <f>B444-J444</f>
        <v/>
      </c>
      <c r="M444">
        <f>IF(K444&gt;0,IF(L444/K444&gt;=Assumptions!$B$37,1,0),0)</f>
        <v/>
      </c>
      <c r="N444">
        <f>K444+M444*Assumptions!$B$153</f>
        <v/>
      </c>
      <c r="O444">
        <f>L444+M444*Assumptions!$B$153*Assumptions!$B$37</f>
        <v/>
      </c>
      <c r="P444">
        <f>IF(N444&gt;0,O444/N444,0)</f>
        <v/>
      </c>
      <c r="Q444">
        <f>IF(C444=1,P444*Assumptions!$B$141,Assumptions!$B$41)</f>
        <v/>
      </c>
      <c r="R444">
        <f>IF(D444=1,P444*Assumptions!$B$128,Assumptions!$B$33)</f>
        <v/>
      </c>
      <c r="S444">
        <f>IF(E444=1,P444*Assumptions!$B$129,Assumptions!$B$32)</f>
        <v/>
      </c>
      <c r="T444">
        <f>IF(F444=1,P444*Assumptions!$B$14,Assumptions!$B$31)</f>
        <v/>
      </c>
      <c r="U444">
        <f>IF(G444=1,P444*Assumptions!$B$13,Assumptions!$B$30)</f>
        <v/>
      </c>
      <c r="V444">
        <f>IF(H444=1,P444*Assumptions!$B$12,Assumptions!$B$29)</f>
        <v/>
      </c>
      <c r="W444">
        <f>IF(I444=1,P444*Assumptions!$B$11,Assumptions!$B$28)</f>
        <v/>
      </c>
      <c r="X444">
        <f>P444*(Assumptions!$B$133+Assumptions!$B$137)</f>
        <v/>
      </c>
      <c r="Y444">
        <f>P444*Assumptions!$B$9</f>
        <v/>
      </c>
      <c r="Z444">
        <f>IF(M444=1,(P444-Assumptions!$B$37)*Assumptions!$B$153,0)</f>
        <v/>
      </c>
      <c r="AA444">
        <f>Q444+R444+S444+T444+U444+V444+W444+X444+Y444+Z444</f>
        <v/>
      </c>
      <c r="AB444" t="n">
        <v>9</v>
      </c>
      <c r="AC444" t="n">
        <v>73</v>
      </c>
      <c r="AD444" t="n">
        <v>41</v>
      </c>
      <c r="AE444" t="n">
        <v>25</v>
      </c>
      <c r="AF444" t="n">
        <v>1</v>
      </c>
      <c r="AG444" t="n">
        <v>13</v>
      </c>
      <c r="AH444" t="n">
        <v>11</v>
      </c>
      <c r="AI444" t="n">
        <v>8</v>
      </c>
      <c r="AJ444">
        <f>INDEX($Q$435:$Q$562,AC444+1)</f>
        <v/>
      </c>
      <c r="AK444">
        <f>INDEX($R$435:$R$562,AD444+1)</f>
        <v/>
      </c>
      <c r="AL444">
        <f>INDEX($S$435:$S$562,AE444+1)</f>
        <v/>
      </c>
      <c r="AM444">
        <f>INDEX($T$435:$T$562,AF444+1)</f>
        <v/>
      </c>
      <c r="AN444">
        <f>INDEX($U$435:$U$562,AG444+1)</f>
        <v/>
      </c>
      <c r="AO444">
        <f>INDEX($V$435:$V$562,AH444+1)</f>
        <v/>
      </c>
      <c r="AP444">
        <f>INDEX($W$435:$W$562,AI444+1)</f>
        <v/>
      </c>
      <c r="AQ444">
        <f>IF(Q444&gt;=AJ444-0.01,1,0)</f>
        <v/>
      </c>
      <c r="AR444">
        <f>IF(R444&gt;=AK444-0.01,1,0)</f>
        <v/>
      </c>
      <c r="AS444">
        <f>IF(S444&gt;=AL444-0.01,1,0)</f>
        <v/>
      </c>
      <c r="AT444">
        <f>IF(T444&gt;=AM444-0.01,1,0)</f>
        <v/>
      </c>
      <c r="AU444">
        <f>IF(U444&gt;=AN444-0.01,1,0)</f>
        <v/>
      </c>
      <c r="AV444">
        <f>IF(V444&gt;=AO444-0.01,1,0)</f>
        <v/>
      </c>
      <c r="AW444">
        <f>IF(W444&gt;=AP444-0.01,1,0)</f>
        <v/>
      </c>
      <c r="AX444">
        <f>AQ444*AR444*AS444*AT444*AU444*AV444*AW444</f>
        <v/>
      </c>
      <c r="AY444">
        <f>Assumptions!$B$41</f>
        <v/>
      </c>
      <c r="AZ444">
        <f>Assumptions!$B$33</f>
        <v/>
      </c>
      <c r="BA444">
        <f>Assumptions!$B$32</f>
        <v/>
      </c>
      <c r="BB444">
        <f>Assumptions!$B$31</f>
        <v/>
      </c>
      <c r="BC444">
        <f>Assumptions!$B$30</f>
        <v/>
      </c>
      <c r="BD444">
        <f>Assumptions!$B$29</f>
        <v/>
      </c>
      <c r="BE444">
        <f>Assumptions!$B$28</f>
        <v/>
      </c>
      <c r="BF444">
        <f>P444*Assumptions!$B$141</f>
        <v/>
      </c>
      <c r="BG444">
        <f>P444*Assumptions!$B$128</f>
        <v/>
      </c>
      <c r="BH444">
        <f>P444*Assumptions!$B$129</f>
        <v/>
      </c>
      <c r="BI444">
        <f>P444*Assumptions!$B$14</f>
        <v/>
      </c>
      <c r="BJ444">
        <f>P444*Assumptions!$B$13</f>
        <v/>
      </c>
      <c r="BK444">
        <f>P444*Assumptions!$B$12</f>
        <v/>
      </c>
      <c r="BL444">
        <f>P444*Assumptions!$B$11</f>
        <v/>
      </c>
    </row>
    <row r="445">
      <c r="A445" t="inlineStr">
        <is>
          <t>4000M</t>
        </is>
      </c>
      <c r="B445">
        <f>Assumptions!$B$61</f>
        <v/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>
        <f>(1-C445)*Assumptions!$B$41+(1-D445)*Assumptions!$B$33+(1-E445)*Assumptions!$B$32+(1-F445)*Assumptions!$B$31+(1-G445)*Assumptions!$B$30+(1-H445)*Assumptions!$B$29+(1-I445)*Assumptions!$B$28</f>
        <v/>
      </c>
      <c r="K445">
        <f>C445*Assumptions!$B$141+D445*Assumptions!$B$128+E445*Assumptions!$B$129+F445*Assumptions!$B$14+G445*Assumptions!$B$13+H445*Assumptions!$B$12+I445*Assumptions!$B$11+Assumptions!$B$133+Assumptions!$B$137+Assumptions!$B$9</f>
        <v/>
      </c>
      <c r="L445">
        <f>B445-J445</f>
        <v/>
      </c>
      <c r="M445">
        <f>IF(K445&gt;0,IF(L445/K445&gt;=Assumptions!$B$37,1,0),0)</f>
        <v/>
      </c>
      <c r="N445">
        <f>K445+M445*Assumptions!$B$153</f>
        <v/>
      </c>
      <c r="O445">
        <f>L445+M445*Assumptions!$B$153*Assumptions!$B$37</f>
        <v/>
      </c>
      <c r="P445">
        <f>IF(N445&gt;0,O445/N445,0)</f>
        <v/>
      </c>
      <c r="Q445">
        <f>IF(C445=1,P445*Assumptions!$B$141,Assumptions!$B$41)</f>
        <v/>
      </c>
      <c r="R445">
        <f>IF(D445=1,P445*Assumptions!$B$128,Assumptions!$B$33)</f>
        <v/>
      </c>
      <c r="S445">
        <f>IF(E445=1,P445*Assumptions!$B$129,Assumptions!$B$32)</f>
        <v/>
      </c>
      <c r="T445">
        <f>IF(F445=1,P445*Assumptions!$B$14,Assumptions!$B$31)</f>
        <v/>
      </c>
      <c r="U445">
        <f>IF(G445=1,P445*Assumptions!$B$13,Assumptions!$B$30)</f>
        <v/>
      </c>
      <c r="V445">
        <f>IF(H445=1,P445*Assumptions!$B$12,Assumptions!$B$29)</f>
        <v/>
      </c>
      <c r="W445">
        <f>IF(I445=1,P445*Assumptions!$B$11,Assumptions!$B$28)</f>
        <v/>
      </c>
      <c r="X445">
        <f>P445*(Assumptions!$B$133+Assumptions!$B$137)</f>
        <v/>
      </c>
      <c r="Y445">
        <f>P445*Assumptions!$B$9</f>
        <v/>
      </c>
      <c r="Z445">
        <f>IF(M445=1,(P445-Assumptions!$B$37)*Assumptions!$B$153,0)</f>
        <v/>
      </c>
      <c r="AA445">
        <f>Q445+R445+S445+T445+U445+V445+W445+X445+Y445+Z445</f>
        <v/>
      </c>
      <c r="AB445" t="n">
        <v>10</v>
      </c>
      <c r="AC445" t="n">
        <v>74</v>
      </c>
      <c r="AD445" t="n">
        <v>42</v>
      </c>
      <c r="AE445" t="n">
        <v>26</v>
      </c>
      <c r="AF445" t="n">
        <v>2</v>
      </c>
      <c r="AG445" t="n">
        <v>14</v>
      </c>
      <c r="AH445" t="n">
        <v>8</v>
      </c>
      <c r="AI445" t="n">
        <v>11</v>
      </c>
      <c r="AJ445">
        <f>INDEX($Q$435:$Q$562,AC445+1)</f>
        <v/>
      </c>
      <c r="AK445">
        <f>INDEX($R$435:$R$562,AD445+1)</f>
        <v/>
      </c>
      <c r="AL445">
        <f>INDEX($S$435:$S$562,AE445+1)</f>
        <v/>
      </c>
      <c r="AM445">
        <f>INDEX($T$435:$T$562,AF445+1)</f>
        <v/>
      </c>
      <c r="AN445">
        <f>INDEX($U$435:$U$562,AG445+1)</f>
        <v/>
      </c>
      <c r="AO445">
        <f>INDEX($V$435:$V$562,AH445+1)</f>
        <v/>
      </c>
      <c r="AP445">
        <f>INDEX($W$435:$W$562,AI445+1)</f>
        <v/>
      </c>
      <c r="AQ445">
        <f>IF(Q445&gt;=AJ445-0.01,1,0)</f>
        <v/>
      </c>
      <c r="AR445">
        <f>IF(R445&gt;=AK445-0.01,1,0)</f>
        <v/>
      </c>
      <c r="AS445">
        <f>IF(S445&gt;=AL445-0.01,1,0)</f>
        <v/>
      </c>
      <c r="AT445">
        <f>IF(T445&gt;=AM445-0.01,1,0)</f>
        <v/>
      </c>
      <c r="AU445">
        <f>IF(U445&gt;=AN445-0.01,1,0)</f>
        <v/>
      </c>
      <c r="AV445">
        <f>IF(V445&gt;=AO445-0.01,1,0)</f>
        <v/>
      </c>
      <c r="AW445">
        <f>IF(W445&gt;=AP445-0.01,1,0)</f>
        <v/>
      </c>
      <c r="AX445">
        <f>AQ445*AR445*AS445*AT445*AU445*AV445*AW445</f>
        <v/>
      </c>
      <c r="AY445">
        <f>Assumptions!$B$41</f>
        <v/>
      </c>
      <c r="AZ445">
        <f>Assumptions!$B$33</f>
        <v/>
      </c>
      <c r="BA445">
        <f>Assumptions!$B$32</f>
        <v/>
      </c>
      <c r="BB445">
        <f>Assumptions!$B$31</f>
        <v/>
      </c>
      <c r="BC445">
        <f>Assumptions!$B$30</f>
        <v/>
      </c>
      <c r="BD445">
        <f>Assumptions!$B$29</f>
        <v/>
      </c>
      <c r="BE445">
        <f>Assumptions!$B$28</f>
        <v/>
      </c>
      <c r="BF445">
        <f>P445*Assumptions!$B$141</f>
        <v/>
      </c>
      <c r="BG445">
        <f>P445*Assumptions!$B$128</f>
        <v/>
      </c>
      <c r="BH445">
        <f>P445*Assumptions!$B$129</f>
        <v/>
      </c>
      <c r="BI445">
        <f>P445*Assumptions!$B$14</f>
        <v/>
      </c>
      <c r="BJ445">
        <f>P445*Assumptions!$B$13</f>
        <v/>
      </c>
      <c r="BK445">
        <f>P445*Assumptions!$B$12</f>
        <v/>
      </c>
      <c r="BL445">
        <f>P445*Assumptions!$B$11</f>
        <v/>
      </c>
    </row>
    <row r="446">
      <c r="A446" t="inlineStr">
        <is>
          <t>4000M</t>
        </is>
      </c>
      <c r="B446">
        <f>Assumptions!$B$61</f>
        <v/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>
        <f>(1-C446)*Assumptions!$B$41+(1-D446)*Assumptions!$B$33+(1-E446)*Assumptions!$B$32+(1-F446)*Assumptions!$B$31+(1-G446)*Assumptions!$B$30+(1-H446)*Assumptions!$B$29+(1-I446)*Assumptions!$B$28</f>
        <v/>
      </c>
      <c r="K446">
        <f>C446*Assumptions!$B$141+D446*Assumptions!$B$128+E446*Assumptions!$B$129+F446*Assumptions!$B$14+G446*Assumptions!$B$13+H446*Assumptions!$B$12+I446*Assumptions!$B$11+Assumptions!$B$133+Assumptions!$B$137+Assumptions!$B$9</f>
        <v/>
      </c>
      <c r="L446">
        <f>B446-J446</f>
        <v/>
      </c>
      <c r="M446">
        <f>IF(K446&gt;0,IF(L446/K446&gt;=Assumptions!$B$37,1,0),0)</f>
        <v/>
      </c>
      <c r="N446">
        <f>K446+M446*Assumptions!$B$153</f>
        <v/>
      </c>
      <c r="O446">
        <f>L446+M446*Assumptions!$B$153*Assumptions!$B$37</f>
        <v/>
      </c>
      <c r="P446">
        <f>IF(N446&gt;0,O446/N446,0)</f>
        <v/>
      </c>
      <c r="Q446">
        <f>IF(C446=1,P446*Assumptions!$B$141,Assumptions!$B$41)</f>
        <v/>
      </c>
      <c r="R446">
        <f>IF(D446=1,P446*Assumptions!$B$128,Assumptions!$B$33)</f>
        <v/>
      </c>
      <c r="S446">
        <f>IF(E446=1,P446*Assumptions!$B$129,Assumptions!$B$32)</f>
        <v/>
      </c>
      <c r="T446">
        <f>IF(F446=1,P446*Assumptions!$B$14,Assumptions!$B$31)</f>
        <v/>
      </c>
      <c r="U446">
        <f>IF(G446=1,P446*Assumptions!$B$13,Assumptions!$B$30)</f>
        <v/>
      </c>
      <c r="V446">
        <f>IF(H446=1,P446*Assumptions!$B$12,Assumptions!$B$29)</f>
        <v/>
      </c>
      <c r="W446">
        <f>IF(I446=1,P446*Assumptions!$B$11,Assumptions!$B$28)</f>
        <v/>
      </c>
      <c r="X446">
        <f>P446*(Assumptions!$B$133+Assumptions!$B$137)</f>
        <v/>
      </c>
      <c r="Y446">
        <f>P446*Assumptions!$B$9</f>
        <v/>
      </c>
      <c r="Z446">
        <f>IF(M446=1,(P446-Assumptions!$B$37)*Assumptions!$B$153,0)</f>
        <v/>
      </c>
      <c r="AA446">
        <f>Q446+R446+S446+T446+U446+V446+W446+X446+Y446+Z446</f>
        <v/>
      </c>
      <c r="AB446" t="n">
        <v>11</v>
      </c>
      <c r="AC446" t="n">
        <v>75</v>
      </c>
      <c r="AD446" t="n">
        <v>43</v>
      </c>
      <c r="AE446" t="n">
        <v>27</v>
      </c>
      <c r="AF446" t="n">
        <v>3</v>
      </c>
      <c r="AG446" t="n">
        <v>15</v>
      </c>
      <c r="AH446" t="n">
        <v>9</v>
      </c>
      <c r="AI446" t="n">
        <v>10</v>
      </c>
      <c r="AJ446">
        <f>INDEX($Q$435:$Q$562,AC446+1)</f>
        <v/>
      </c>
      <c r="AK446">
        <f>INDEX($R$435:$R$562,AD446+1)</f>
        <v/>
      </c>
      <c r="AL446">
        <f>INDEX($S$435:$S$562,AE446+1)</f>
        <v/>
      </c>
      <c r="AM446">
        <f>INDEX($T$435:$T$562,AF446+1)</f>
        <v/>
      </c>
      <c r="AN446">
        <f>INDEX($U$435:$U$562,AG446+1)</f>
        <v/>
      </c>
      <c r="AO446">
        <f>INDEX($V$435:$V$562,AH446+1)</f>
        <v/>
      </c>
      <c r="AP446">
        <f>INDEX($W$435:$W$562,AI446+1)</f>
        <v/>
      </c>
      <c r="AQ446">
        <f>IF(Q446&gt;=AJ446-0.01,1,0)</f>
        <v/>
      </c>
      <c r="AR446">
        <f>IF(R446&gt;=AK446-0.01,1,0)</f>
        <v/>
      </c>
      <c r="AS446">
        <f>IF(S446&gt;=AL446-0.01,1,0)</f>
        <v/>
      </c>
      <c r="AT446">
        <f>IF(T446&gt;=AM446-0.01,1,0)</f>
        <v/>
      </c>
      <c r="AU446">
        <f>IF(U446&gt;=AN446-0.01,1,0)</f>
        <v/>
      </c>
      <c r="AV446">
        <f>IF(V446&gt;=AO446-0.01,1,0)</f>
        <v/>
      </c>
      <c r="AW446">
        <f>IF(W446&gt;=AP446-0.01,1,0)</f>
        <v/>
      </c>
      <c r="AX446">
        <f>AQ446*AR446*AS446*AT446*AU446*AV446*AW446</f>
        <v/>
      </c>
      <c r="AY446">
        <f>Assumptions!$B$41</f>
        <v/>
      </c>
      <c r="AZ446">
        <f>Assumptions!$B$33</f>
        <v/>
      </c>
      <c r="BA446">
        <f>Assumptions!$B$32</f>
        <v/>
      </c>
      <c r="BB446">
        <f>Assumptions!$B$31</f>
        <v/>
      </c>
      <c r="BC446">
        <f>Assumptions!$B$30</f>
        <v/>
      </c>
      <c r="BD446">
        <f>Assumptions!$B$29</f>
        <v/>
      </c>
      <c r="BE446">
        <f>Assumptions!$B$28</f>
        <v/>
      </c>
      <c r="BF446">
        <f>P446*Assumptions!$B$141</f>
        <v/>
      </c>
      <c r="BG446">
        <f>P446*Assumptions!$B$128</f>
        <v/>
      </c>
      <c r="BH446">
        <f>P446*Assumptions!$B$129</f>
        <v/>
      </c>
      <c r="BI446">
        <f>P446*Assumptions!$B$14</f>
        <v/>
      </c>
      <c r="BJ446">
        <f>P446*Assumptions!$B$13</f>
        <v/>
      </c>
      <c r="BK446">
        <f>P446*Assumptions!$B$12</f>
        <v/>
      </c>
      <c r="BL446">
        <f>P446*Assumptions!$B$11</f>
        <v/>
      </c>
    </row>
    <row r="447">
      <c r="A447" t="inlineStr">
        <is>
          <t>4000M</t>
        </is>
      </c>
      <c r="B447">
        <f>Assumptions!$B$61</f>
        <v/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>
        <f>(1-C447)*Assumptions!$B$41+(1-D447)*Assumptions!$B$33+(1-E447)*Assumptions!$B$32+(1-F447)*Assumptions!$B$31+(1-G447)*Assumptions!$B$30+(1-H447)*Assumptions!$B$29+(1-I447)*Assumptions!$B$28</f>
        <v/>
      </c>
      <c r="K447">
        <f>C447*Assumptions!$B$141+D447*Assumptions!$B$128+E447*Assumptions!$B$129+F447*Assumptions!$B$14+G447*Assumptions!$B$13+H447*Assumptions!$B$12+I447*Assumptions!$B$11+Assumptions!$B$133+Assumptions!$B$137+Assumptions!$B$9</f>
        <v/>
      </c>
      <c r="L447">
        <f>B447-J447</f>
        <v/>
      </c>
      <c r="M447">
        <f>IF(K447&gt;0,IF(L447/K447&gt;=Assumptions!$B$37,1,0),0)</f>
        <v/>
      </c>
      <c r="N447">
        <f>K447+M447*Assumptions!$B$153</f>
        <v/>
      </c>
      <c r="O447">
        <f>L447+M447*Assumptions!$B$153*Assumptions!$B$37</f>
        <v/>
      </c>
      <c r="P447">
        <f>IF(N447&gt;0,O447/N447,0)</f>
        <v/>
      </c>
      <c r="Q447">
        <f>IF(C447=1,P447*Assumptions!$B$141,Assumptions!$B$41)</f>
        <v/>
      </c>
      <c r="R447">
        <f>IF(D447=1,P447*Assumptions!$B$128,Assumptions!$B$33)</f>
        <v/>
      </c>
      <c r="S447">
        <f>IF(E447=1,P447*Assumptions!$B$129,Assumptions!$B$32)</f>
        <v/>
      </c>
      <c r="T447">
        <f>IF(F447=1,P447*Assumptions!$B$14,Assumptions!$B$31)</f>
        <v/>
      </c>
      <c r="U447">
        <f>IF(G447=1,P447*Assumptions!$B$13,Assumptions!$B$30)</f>
        <v/>
      </c>
      <c r="V447">
        <f>IF(H447=1,P447*Assumptions!$B$12,Assumptions!$B$29)</f>
        <v/>
      </c>
      <c r="W447">
        <f>IF(I447=1,P447*Assumptions!$B$11,Assumptions!$B$28)</f>
        <v/>
      </c>
      <c r="X447">
        <f>P447*(Assumptions!$B$133+Assumptions!$B$137)</f>
        <v/>
      </c>
      <c r="Y447">
        <f>P447*Assumptions!$B$9</f>
        <v/>
      </c>
      <c r="Z447">
        <f>IF(M447=1,(P447-Assumptions!$B$37)*Assumptions!$B$153,0)</f>
        <v/>
      </c>
      <c r="AA447">
        <f>Q447+R447+S447+T447+U447+V447+W447+X447+Y447+Z447</f>
        <v/>
      </c>
      <c r="AB447" t="n">
        <v>12</v>
      </c>
      <c r="AC447" t="n">
        <v>76</v>
      </c>
      <c r="AD447" t="n">
        <v>44</v>
      </c>
      <c r="AE447" t="n">
        <v>28</v>
      </c>
      <c r="AF447" t="n">
        <v>4</v>
      </c>
      <c r="AG447" t="n">
        <v>8</v>
      </c>
      <c r="AH447" t="n">
        <v>14</v>
      </c>
      <c r="AI447" t="n">
        <v>13</v>
      </c>
      <c r="AJ447">
        <f>INDEX($Q$435:$Q$562,AC447+1)</f>
        <v/>
      </c>
      <c r="AK447">
        <f>INDEX($R$435:$R$562,AD447+1)</f>
        <v/>
      </c>
      <c r="AL447">
        <f>INDEX($S$435:$S$562,AE447+1)</f>
        <v/>
      </c>
      <c r="AM447">
        <f>INDEX($T$435:$T$562,AF447+1)</f>
        <v/>
      </c>
      <c r="AN447">
        <f>INDEX($U$435:$U$562,AG447+1)</f>
        <v/>
      </c>
      <c r="AO447">
        <f>INDEX($V$435:$V$562,AH447+1)</f>
        <v/>
      </c>
      <c r="AP447">
        <f>INDEX($W$435:$W$562,AI447+1)</f>
        <v/>
      </c>
      <c r="AQ447">
        <f>IF(Q447&gt;=AJ447-0.01,1,0)</f>
        <v/>
      </c>
      <c r="AR447">
        <f>IF(R447&gt;=AK447-0.01,1,0)</f>
        <v/>
      </c>
      <c r="AS447">
        <f>IF(S447&gt;=AL447-0.01,1,0)</f>
        <v/>
      </c>
      <c r="AT447">
        <f>IF(T447&gt;=AM447-0.01,1,0)</f>
        <v/>
      </c>
      <c r="AU447">
        <f>IF(U447&gt;=AN447-0.01,1,0)</f>
        <v/>
      </c>
      <c r="AV447">
        <f>IF(V447&gt;=AO447-0.01,1,0)</f>
        <v/>
      </c>
      <c r="AW447">
        <f>IF(W447&gt;=AP447-0.01,1,0)</f>
        <v/>
      </c>
      <c r="AX447">
        <f>AQ447*AR447*AS447*AT447*AU447*AV447*AW447</f>
        <v/>
      </c>
      <c r="AY447">
        <f>Assumptions!$B$41</f>
        <v/>
      </c>
      <c r="AZ447">
        <f>Assumptions!$B$33</f>
        <v/>
      </c>
      <c r="BA447">
        <f>Assumptions!$B$32</f>
        <v/>
      </c>
      <c r="BB447">
        <f>Assumptions!$B$31</f>
        <v/>
      </c>
      <c r="BC447">
        <f>Assumptions!$B$30</f>
        <v/>
      </c>
      <c r="BD447">
        <f>Assumptions!$B$29</f>
        <v/>
      </c>
      <c r="BE447">
        <f>Assumptions!$B$28</f>
        <v/>
      </c>
      <c r="BF447">
        <f>P447*Assumptions!$B$141</f>
        <v/>
      </c>
      <c r="BG447">
        <f>P447*Assumptions!$B$128</f>
        <v/>
      </c>
      <c r="BH447">
        <f>P447*Assumptions!$B$129</f>
        <v/>
      </c>
      <c r="BI447">
        <f>P447*Assumptions!$B$14</f>
        <v/>
      </c>
      <c r="BJ447">
        <f>P447*Assumptions!$B$13</f>
        <v/>
      </c>
      <c r="BK447">
        <f>P447*Assumptions!$B$12</f>
        <v/>
      </c>
      <c r="BL447">
        <f>P447*Assumptions!$B$11</f>
        <v/>
      </c>
    </row>
    <row r="448">
      <c r="A448" t="inlineStr">
        <is>
          <t>4000M</t>
        </is>
      </c>
      <c r="B448">
        <f>Assumptions!$B$61</f>
        <v/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1</v>
      </c>
      <c r="J448">
        <f>(1-C448)*Assumptions!$B$41+(1-D448)*Assumptions!$B$33+(1-E448)*Assumptions!$B$32+(1-F448)*Assumptions!$B$31+(1-G448)*Assumptions!$B$30+(1-H448)*Assumptions!$B$29+(1-I448)*Assumptions!$B$28</f>
        <v/>
      </c>
      <c r="K448">
        <f>C448*Assumptions!$B$141+D448*Assumptions!$B$128+E448*Assumptions!$B$129+F448*Assumptions!$B$14+G448*Assumptions!$B$13+H448*Assumptions!$B$12+I448*Assumptions!$B$11+Assumptions!$B$133+Assumptions!$B$137+Assumptions!$B$9</f>
        <v/>
      </c>
      <c r="L448">
        <f>B448-J448</f>
        <v/>
      </c>
      <c r="M448">
        <f>IF(K448&gt;0,IF(L448/K448&gt;=Assumptions!$B$37,1,0),0)</f>
        <v/>
      </c>
      <c r="N448">
        <f>K448+M448*Assumptions!$B$153</f>
        <v/>
      </c>
      <c r="O448">
        <f>L448+M448*Assumptions!$B$153*Assumptions!$B$37</f>
        <v/>
      </c>
      <c r="P448">
        <f>IF(N448&gt;0,O448/N448,0)</f>
        <v/>
      </c>
      <c r="Q448">
        <f>IF(C448=1,P448*Assumptions!$B$141,Assumptions!$B$41)</f>
        <v/>
      </c>
      <c r="R448">
        <f>IF(D448=1,P448*Assumptions!$B$128,Assumptions!$B$33)</f>
        <v/>
      </c>
      <c r="S448">
        <f>IF(E448=1,P448*Assumptions!$B$129,Assumptions!$B$32)</f>
        <v/>
      </c>
      <c r="T448">
        <f>IF(F448=1,P448*Assumptions!$B$14,Assumptions!$B$31)</f>
        <v/>
      </c>
      <c r="U448">
        <f>IF(G448=1,P448*Assumptions!$B$13,Assumptions!$B$30)</f>
        <v/>
      </c>
      <c r="V448">
        <f>IF(H448=1,P448*Assumptions!$B$12,Assumptions!$B$29)</f>
        <v/>
      </c>
      <c r="W448">
        <f>IF(I448=1,P448*Assumptions!$B$11,Assumptions!$B$28)</f>
        <v/>
      </c>
      <c r="X448">
        <f>P448*(Assumptions!$B$133+Assumptions!$B$137)</f>
        <v/>
      </c>
      <c r="Y448">
        <f>P448*Assumptions!$B$9</f>
        <v/>
      </c>
      <c r="Z448">
        <f>IF(M448=1,(P448-Assumptions!$B$37)*Assumptions!$B$153,0)</f>
        <v/>
      </c>
      <c r="AA448">
        <f>Q448+R448+S448+T448+U448+V448+W448+X448+Y448+Z448</f>
        <v/>
      </c>
      <c r="AB448" t="n">
        <v>13</v>
      </c>
      <c r="AC448" t="n">
        <v>77</v>
      </c>
      <c r="AD448" t="n">
        <v>45</v>
      </c>
      <c r="AE448" t="n">
        <v>29</v>
      </c>
      <c r="AF448" t="n">
        <v>5</v>
      </c>
      <c r="AG448" t="n">
        <v>9</v>
      </c>
      <c r="AH448" t="n">
        <v>15</v>
      </c>
      <c r="AI448" t="n">
        <v>12</v>
      </c>
      <c r="AJ448">
        <f>INDEX($Q$435:$Q$562,AC448+1)</f>
        <v/>
      </c>
      <c r="AK448">
        <f>INDEX($R$435:$R$562,AD448+1)</f>
        <v/>
      </c>
      <c r="AL448">
        <f>INDEX($S$435:$S$562,AE448+1)</f>
        <v/>
      </c>
      <c r="AM448">
        <f>INDEX($T$435:$T$562,AF448+1)</f>
        <v/>
      </c>
      <c r="AN448">
        <f>INDEX($U$435:$U$562,AG448+1)</f>
        <v/>
      </c>
      <c r="AO448">
        <f>INDEX($V$435:$V$562,AH448+1)</f>
        <v/>
      </c>
      <c r="AP448">
        <f>INDEX($W$435:$W$562,AI448+1)</f>
        <v/>
      </c>
      <c r="AQ448">
        <f>IF(Q448&gt;=AJ448-0.01,1,0)</f>
        <v/>
      </c>
      <c r="AR448">
        <f>IF(R448&gt;=AK448-0.01,1,0)</f>
        <v/>
      </c>
      <c r="AS448">
        <f>IF(S448&gt;=AL448-0.01,1,0)</f>
        <v/>
      </c>
      <c r="AT448">
        <f>IF(T448&gt;=AM448-0.01,1,0)</f>
        <v/>
      </c>
      <c r="AU448">
        <f>IF(U448&gt;=AN448-0.01,1,0)</f>
        <v/>
      </c>
      <c r="AV448">
        <f>IF(V448&gt;=AO448-0.01,1,0)</f>
        <v/>
      </c>
      <c r="AW448">
        <f>IF(W448&gt;=AP448-0.01,1,0)</f>
        <v/>
      </c>
      <c r="AX448">
        <f>AQ448*AR448*AS448*AT448*AU448*AV448*AW448</f>
        <v/>
      </c>
      <c r="AY448">
        <f>Assumptions!$B$41</f>
        <v/>
      </c>
      <c r="AZ448">
        <f>Assumptions!$B$33</f>
        <v/>
      </c>
      <c r="BA448">
        <f>Assumptions!$B$32</f>
        <v/>
      </c>
      <c r="BB448">
        <f>Assumptions!$B$31</f>
        <v/>
      </c>
      <c r="BC448">
        <f>Assumptions!$B$30</f>
        <v/>
      </c>
      <c r="BD448">
        <f>Assumptions!$B$29</f>
        <v/>
      </c>
      <c r="BE448">
        <f>Assumptions!$B$28</f>
        <v/>
      </c>
      <c r="BF448">
        <f>P448*Assumptions!$B$141</f>
        <v/>
      </c>
      <c r="BG448">
        <f>P448*Assumptions!$B$128</f>
        <v/>
      </c>
      <c r="BH448">
        <f>P448*Assumptions!$B$129</f>
        <v/>
      </c>
      <c r="BI448">
        <f>P448*Assumptions!$B$14</f>
        <v/>
      </c>
      <c r="BJ448">
        <f>P448*Assumptions!$B$13</f>
        <v/>
      </c>
      <c r="BK448">
        <f>P448*Assumptions!$B$12</f>
        <v/>
      </c>
      <c r="BL448">
        <f>P448*Assumptions!$B$11</f>
        <v/>
      </c>
    </row>
    <row r="449">
      <c r="A449" t="inlineStr">
        <is>
          <t>4000M</t>
        </is>
      </c>
      <c r="B449">
        <f>Assumptions!$B$61</f>
        <v/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</v>
      </c>
      <c r="J449">
        <f>(1-C449)*Assumptions!$B$41+(1-D449)*Assumptions!$B$33+(1-E449)*Assumptions!$B$32+(1-F449)*Assumptions!$B$31+(1-G449)*Assumptions!$B$30+(1-H449)*Assumptions!$B$29+(1-I449)*Assumptions!$B$28</f>
        <v/>
      </c>
      <c r="K449">
        <f>C449*Assumptions!$B$141+D449*Assumptions!$B$128+E449*Assumptions!$B$129+F449*Assumptions!$B$14+G449*Assumptions!$B$13+H449*Assumptions!$B$12+I449*Assumptions!$B$11+Assumptions!$B$133+Assumptions!$B$137+Assumptions!$B$9</f>
        <v/>
      </c>
      <c r="L449">
        <f>B449-J449</f>
        <v/>
      </c>
      <c r="M449">
        <f>IF(K449&gt;0,IF(L449/K449&gt;=Assumptions!$B$37,1,0),0)</f>
        <v/>
      </c>
      <c r="N449">
        <f>K449+M449*Assumptions!$B$153</f>
        <v/>
      </c>
      <c r="O449">
        <f>L449+M449*Assumptions!$B$153*Assumptions!$B$37</f>
        <v/>
      </c>
      <c r="P449">
        <f>IF(N449&gt;0,O449/N449,0)</f>
        <v/>
      </c>
      <c r="Q449">
        <f>IF(C449=1,P449*Assumptions!$B$141,Assumptions!$B$41)</f>
        <v/>
      </c>
      <c r="R449">
        <f>IF(D449=1,P449*Assumptions!$B$128,Assumptions!$B$33)</f>
        <v/>
      </c>
      <c r="S449">
        <f>IF(E449=1,P449*Assumptions!$B$129,Assumptions!$B$32)</f>
        <v/>
      </c>
      <c r="T449">
        <f>IF(F449=1,P449*Assumptions!$B$14,Assumptions!$B$31)</f>
        <v/>
      </c>
      <c r="U449">
        <f>IF(G449=1,P449*Assumptions!$B$13,Assumptions!$B$30)</f>
        <v/>
      </c>
      <c r="V449">
        <f>IF(H449=1,P449*Assumptions!$B$12,Assumptions!$B$29)</f>
        <v/>
      </c>
      <c r="W449">
        <f>IF(I449=1,P449*Assumptions!$B$11,Assumptions!$B$28)</f>
        <v/>
      </c>
      <c r="X449">
        <f>P449*(Assumptions!$B$133+Assumptions!$B$137)</f>
        <v/>
      </c>
      <c r="Y449">
        <f>P449*Assumptions!$B$9</f>
        <v/>
      </c>
      <c r="Z449">
        <f>IF(M449=1,(P449-Assumptions!$B$37)*Assumptions!$B$153,0)</f>
        <v/>
      </c>
      <c r="AA449">
        <f>Q449+R449+S449+T449+U449+V449+W449+X449+Y449+Z449</f>
        <v/>
      </c>
      <c r="AB449" t="n">
        <v>14</v>
      </c>
      <c r="AC449" t="n">
        <v>78</v>
      </c>
      <c r="AD449" t="n">
        <v>46</v>
      </c>
      <c r="AE449" t="n">
        <v>30</v>
      </c>
      <c r="AF449" t="n">
        <v>6</v>
      </c>
      <c r="AG449" t="n">
        <v>10</v>
      </c>
      <c r="AH449" t="n">
        <v>12</v>
      </c>
      <c r="AI449" t="n">
        <v>15</v>
      </c>
      <c r="AJ449">
        <f>INDEX($Q$435:$Q$562,AC449+1)</f>
        <v/>
      </c>
      <c r="AK449">
        <f>INDEX($R$435:$R$562,AD449+1)</f>
        <v/>
      </c>
      <c r="AL449">
        <f>INDEX($S$435:$S$562,AE449+1)</f>
        <v/>
      </c>
      <c r="AM449">
        <f>INDEX($T$435:$T$562,AF449+1)</f>
        <v/>
      </c>
      <c r="AN449">
        <f>INDEX($U$435:$U$562,AG449+1)</f>
        <v/>
      </c>
      <c r="AO449">
        <f>INDEX($V$435:$V$562,AH449+1)</f>
        <v/>
      </c>
      <c r="AP449">
        <f>INDEX($W$435:$W$562,AI449+1)</f>
        <v/>
      </c>
      <c r="AQ449">
        <f>IF(Q449&gt;=AJ449-0.01,1,0)</f>
        <v/>
      </c>
      <c r="AR449">
        <f>IF(R449&gt;=AK449-0.01,1,0)</f>
        <v/>
      </c>
      <c r="AS449">
        <f>IF(S449&gt;=AL449-0.01,1,0)</f>
        <v/>
      </c>
      <c r="AT449">
        <f>IF(T449&gt;=AM449-0.01,1,0)</f>
        <v/>
      </c>
      <c r="AU449">
        <f>IF(U449&gt;=AN449-0.01,1,0)</f>
        <v/>
      </c>
      <c r="AV449">
        <f>IF(V449&gt;=AO449-0.01,1,0)</f>
        <v/>
      </c>
      <c r="AW449">
        <f>IF(W449&gt;=AP449-0.01,1,0)</f>
        <v/>
      </c>
      <c r="AX449">
        <f>AQ449*AR449*AS449*AT449*AU449*AV449*AW449</f>
        <v/>
      </c>
      <c r="AY449">
        <f>Assumptions!$B$41</f>
        <v/>
      </c>
      <c r="AZ449">
        <f>Assumptions!$B$33</f>
        <v/>
      </c>
      <c r="BA449">
        <f>Assumptions!$B$32</f>
        <v/>
      </c>
      <c r="BB449">
        <f>Assumptions!$B$31</f>
        <v/>
      </c>
      <c r="BC449">
        <f>Assumptions!$B$30</f>
        <v/>
      </c>
      <c r="BD449">
        <f>Assumptions!$B$29</f>
        <v/>
      </c>
      <c r="BE449">
        <f>Assumptions!$B$28</f>
        <v/>
      </c>
      <c r="BF449">
        <f>P449*Assumptions!$B$141</f>
        <v/>
      </c>
      <c r="BG449">
        <f>P449*Assumptions!$B$128</f>
        <v/>
      </c>
      <c r="BH449">
        <f>P449*Assumptions!$B$129</f>
        <v/>
      </c>
      <c r="BI449">
        <f>P449*Assumptions!$B$14</f>
        <v/>
      </c>
      <c r="BJ449">
        <f>P449*Assumptions!$B$13</f>
        <v/>
      </c>
      <c r="BK449">
        <f>P449*Assumptions!$B$12</f>
        <v/>
      </c>
      <c r="BL449">
        <f>P449*Assumptions!$B$11</f>
        <v/>
      </c>
    </row>
    <row r="450">
      <c r="A450" t="inlineStr">
        <is>
          <t>4000M</t>
        </is>
      </c>
      <c r="B450">
        <f>Assumptions!$B$61</f>
        <v/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>
        <f>(1-C450)*Assumptions!$B$41+(1-D450)*Assumptions!$B$33+(1-E450)*Assumptions!$B$32+(1-F450)*Assumptions!$B$31+(1-G450)*Assumptions!$B$30+(1-H450)*Assumptions!$B$29+(1-I450)*Assumptions!$B$28</f>
        <v/>
      </c>
      <c r="K450">
        <f>C450*Assumptions!$B$141+D450*Assumptions!$B$128+E450*Assumptions!$B$129+F450*Assumptions!$B$14+G450*Assumptions!$B$13+H450*Assumptions!$B$12+I450*Assumptions!$B$11+Assumptions!$B$133+Assumptions!$B$137+Assumptions!$B$9</f>
        <v/>
      </c>
      <c r="L450">
        <f>B450-J450</f>
        <v/>
      </c>
      <c r="M450">
        <f>IF(K450&gt;0,IF(L450/K450&gt;=Assumptions!$B$37,1,0),0)</f>
        <v/>
      </c>
      <c r="N450">
        <f>K450+M450*Assumptions!$B$153</f>
        <v/>
      </c>
      <c r="O450">
        <f>L450+M450*Assumptions!$B$153*Assumptions!$B$37</f>
        <v/>
      </c>
      <c r="P450">
        <f>IF(N450&gt;0,O450/N450,0)</f>
        <v/>
      </c>
      <c r="Q450">
        <f>IF(C450=1,P450*Assumptions!$B$141,Assumptions!$B$41)</f>
        <v/>
      </c>
      <c r="R450">
        <f>IF(D450=1,P450*Assumptions!$B$128,Assumptions!$B$33)</f>
        <v/>
      </c>
      <c r="S450">
        <f>IF(E450=1,P450*Assumptions!$B$129,Assumptions!$B$32)</f>
        <v/>
      </c>
      <c r="T450">
        <f>IF(F450=1,P450*Assumptions!$B$14,Assumptions!$B$31)</f>
        <v/>
      </c>
      <c r="U450">
        <f>IF(G450=1,P450*Assumptions!$B$13,Assumptions!$B$30)</f>
        <v/>
      </c>
      <c r="V450">
        <f>IF(H450=1,P450*Assumptions!$B$12,Assumptions!$B$29)</f>
        <v/>
      </c>
      <c r="W450">
        <f>IF(I450=1,P450*Assumptions!$B$11,Assumptions!$B$28)</f>
        <v/>
      </c>
      <c r="X450">
        <f>P450*(Assumptions!$B$133+Assumptions!$B$137)</f>
        <v/>
      </c>
      <c r="Y450">
        <f>P450*Assumptions!$B$9</f>
        <v/>
      </c>
      <c r="Z450">
        <f>IF(M450=1,(P450-Assumptions!$B$37)*Assumptions!$B$153,0)</f>
        <v/>
      </c>
      <c r="AA450">
        <f>Q450+R450+S450+T450+U450+V450+W450+X450+Y450+Z450</f>
        <v/>
      </c>
      <c r="AB450" t="n">
        <v>15</v>
      </c>
      <c r="AC450" t="n">
        <v>79</v>
      </c>
      <c r="AD450" t="n">
        <v>47</v>
      </c>
      <c r="AE450" t="n">
        <v>31</v>
      </c>
      <c r="AF450" t="n">
        <v>7</v>
      </c>
      <c r="AG450" t="n">
        <v>11</v>
      </c>
      <c r="AH450" t="n">
        <v>13</v>
      </c>
      <c r="AI450" t="n">
        <v>14</v>
      </c>
      <c r="AJ450">
        <f>INDEX($Q$435:$Q$562,AC450+1)</f>
        <v/>
      </c>
      <c r="AK450">
        <f>INDEX($R$435:$R$562,AD450+1)</f>
        <v/>
      </c>
      <c r="AL450">
        <f>INDEX($S$435:$S$562,AE450+1)</f>
        <v/>
      </c>
      <c r="AM450">
        <f>INDEX($T$435:$T$562,AF450+1)</f>
        <v/>
      </c>
      <c r="AN450">
        <f>INDEX($U$435:$U$562,AG450+1)</f>
        <v/>
      </c>
      <c r="AO450">
        <f>INDEX($V$435:$V$562,AH450+1)</f>
        <v/>
      </c>
      <c r="AP450">
        <f>INDEX($W$435:$W$562,AI450+1)</f>
        <v/>
      </c>
      <c r="AQ450">
        <f>IF(Q450&gt;=AJ450-0.01,1,0)</f>
        <v/>
      </c>
      <c r="AR450">
        <f>IF(R450&gt;=AK450-0.01,1,0)</f>
        <v/>
      </c>
      <c r="AS450">
        <f>IF(S450&gt;=AL450-0.01,1,0)</f>
        <v/>
      </c>
      <c r="AT450">
        <f>IF(T450&gt;=AM450-0.01,1,0)</f>
        <v/>
      </c>
      <c r="AU450">
        <f>IF(U450&gt;=AN450-0.01,1,0)</f>
        <v/>
      </c>
      <c r="AV450">
        <f>IF(V450&gt;=AO450-0.01,1,0)</f>
        <v/>
      </c>
      <c r="AW450">
        <f>IF(W450&gt;=AP450-0.01,1,0)</f>
        <v/>
      </c>
      <c r="AX450">
        <f>AQ450*AR450*AS450*AT450*AU450*AV450*AW450</f>
        <v/>
      </c>
      <c r="AY450">
        <f>Assumptions!$B$41</f>
        <v/>
      </c>
      <c r="AZ450">
        <f>Assumptions!$B$33</f>
        <v/>
      </c>
      <c r="BA450">
        <f>Assumptions!$B$32</f>
        <v/>
      </c>
      <c r="BB450">
        <f>Assumptions!$B$31</f>
        <v/>
      </c>
      <c r="BC450">
        <f>Assumptions!$B$30</f>
        <v/>
      </c>
      <c r="BD450">
        <f>Assumptions!$B$29</f>
        <v/>
      </c>
      <c r="BE450">
        <f>Assumptions!$B$28</f>
        <v/>
      </c>
      <c r="BF450">
        <f>P450*Assumptions!$B$141</f>
        <v/>
      </c>
      <c r="BG450">
        <f>P450*Assumptions!$B$128</f>
        <v/>
      </c>
      <c r="BH450">
        <f>P450*Assumptions!$B$129</f>
        <v/>
      </c>
      <c r="BI450">
        <f>P450*Assumptions!$B$14</f>
        <v/>
      </c>
      <c r="BJ450">
        <f>P450*Assumptions!$B$13</f>
        <v/>
      </c>
      <c r="BK450">
        <f>P450*Assumptions!$B$12</f>
        <v/>
      </c>
      <c r="BL450">
        <f>P450*Assumptions!$B$11</f>
        <v/>
      </c>
    </row>
    <row r="451">
      <c r="A451" t="inlineStr">
        <is>
          <t>4000M</t>
        </is>
      </c>
      <c r="B451">
        <f>Assumptions!$B$61</f>
        <v/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>
        <f>(1-C451)*Assumptions!$B$41+(1-D451)*Assumptions!$B$33+(1-E451)*Assumptions!$B$32+(1-F451)*Assumptions!$B$31+(1-G451)*Assumptions!$B$30+(1-H451)*Assumptions!$B$29+(1-I451)*Assumptions!$B$28</f>
        <v/>
      </c>
      <c r="K451">
        <f>C451*Assumptions!$B$141+D451*Assumptions!$B$128+E451*Assumptions!$B$129+F451*Assumptions!$B$14+G451*Assumptions!$B$13+H451*Assumptions!$B$12+I451*Assumptions!$B$11+Assumptions!$B$133+Assumptions!$B$137+Assumptions!$B$9</f>
        <v/>
      </c>
      <c r="L451">
        <f>B451-J451</f>
        <v/>
      </c>
      <c r="M451">
        <f>IF(K451&gt;0,IF(L451/K451&gt;=Assumptions!$B$37,1,0),0)</f>
        <v/>
      </c>
      <c r="N451">
        <f>K451+M451*Assumptions!$B$153</f>
        <v/>
      </c>
      <c r="O451">
        <f>L451+M451*Assumptions!$B$153*Assumptions!$B$37</f>
        <v/>
      </c>
      <c r="P451">
        <f>IF(N451&gt;0,O451/N451,0)</f>
        <v/>
      </c>
      <c r="Q451">
        <f>IF(C451=1,P451*Assumptions!$B$141,Assumptions!$B$41)</f>
        <v/>
      </c>
      <c r="R451">
        <f>IF(D451=1,P451*Assumptions!$B$128,Assumptions!$B$33)</f>
        <v/>
      </c>
      <c r="S451">
        <f>IF(E451=1,P451*Assumptions!$B$129,Assumptions!$B$32)</f>
        <v/>
      </c>
      <c r="T451">
        <f>IF(F451=1,P451*Assumptions!$B$14,Assumptions!$B$31)</f>
        <v/>
      </c>
      <c r="U451">
        <f>IF(G451=1,P451*Assumptions!$B$13,Assumptions!$B$30)</f>
        <v/>
      </c>
      <c r="V451">
        <f>IF(H451=1,P451*Assumptions!$B$12,Assumptions!$B$29)</f>
        <v/>
      </c>
      <c r="W451">
        <f>IF(I451=1,P451*Assumptions!$B$11,Assumptions!$B$28)</f>
        <v/>
      </c>
      <c r="X451">
        <f>P451*(Assumptions!$B$133+Assumptions!$B$137)</f>
        <v/>
      </c>
      <c r="Y451">
        <f>P451*Assumptions!$B$9</f>
        <v/>
      </c>
      <c r="Z451">
        <f>IF(M451=1,(P451-Assumptions!$B$37)*Assumptions!$B$153,0)</f>
        <v/>
      </c>
      <c r="AA451">
        <f>Q451+R451+S451+T451+U451+V451+W451+X451+Y451+Z451</f>
        <v/>
      </c>
      <c r="AB451" t="n">
        <v>16</v>
      </c>
      <c r="AC451" t="n">
        <v>80</v>
      </c>
      <c r="AD451" t="n">
        <v>48</v>
      </c>
      <c r="AE451" t="n">
        <v>0</v>
      </c>
      <c r="AF451" t="n">
        <v>24</v>
      </c>
      <c r="AG451" t="n">
        <v>20</v>
      </c>
      <c r="AH451" t="n">
        <v>18</v>
      </c>
      <c r="AI451" t="n">
        <v>17</v>
      </c>
      <c r="AJ451">
        <f>INDEX($Q$435:$Q$562,AC451+1)</f>
        <v/>
      </c>
      <c r="AK451">
        <f>INDEX($R$435:$R$562,AD451+1)</f>
        <v/>
      </c>
      <c r="AL451">
        <f>INDEX($S$435:$S$562,AE451+1)</f>
        <v/>
      </c>
      <c r="AM451">
        <f>INDEX($T$435:$T$562,AF451+1)</f>
        <v/>
      </c>
      <c r="AN451">
        <f>INDEX($U$435:$U$562,AG451+1)</f>
        <v/>
      </c>
      <c r="AO451">
        <f>INDEX($V$435:$V$562,AH451+1)</f>
        <v/>
      </c>
      <c r="AP451">
        <f>INDEX($W$435:$W$562,AI451+1)</f>
        <v/>
      </c>
      <c r="AQ451">
        <f>IF(Q451&gt;=AJ451-0.01,1,0)</f>
        <v/>
      </c>
      <c r="AR451">
        <f>IF(R451&gt;=AK451-0.01,1,0)</f>
        <v/>
      </c>
      <c r="AS451">
        <f>IF(S451&gt;=AL451-0.01,1,0)</f>
        <v/>
      </c>
      <c r="AT451">
        <f>IF(T451&gt;=AM451-0.01,1,0)</f>
        <v/>
      </c>
      <c r="AU451">
        <f>IF(U451&gt;=AN451-0.01,1,0)</f>
        <v/>
      </c>
      <c r="AV451">
        <f>IF(V451&gt;=AO451-0.01,1,0)</f>
        <v/>
      </c>
      <c r="AW451">
        <f>IF(W451&gt;=AP451-0.01,1,0)</f>
        <v/>
      </c>
      <c r="AX451">
        <f>AQ451*AR451*AS451*AT451*AU451*AV451*AW451</f>
        <v/>
      </c>
      <c r="AY451">
        <f>Assumptions!$B$41</f>
        <v/>
      </c>
      <c r="AZ451">
        <f>Assumptions!$B$33</f>
        <v/>
      </c>
      <c r="BA451">
        <f>Assumptions!$B$32</f>
        <v/>
      </c>
      <c r="BB451">
        <f>Assumptions!$B$31</f>
        <v/>
      </c>
      <c r="BC451">
        <f>Assumptions!$B$30</f>
        <v/>
      </c>
      <c r="BD451">
        <f>Assumptions!$B$29</f>
        <v/>
      </c>
      <c r="BE451">
        <f>Assumptions!$B$28</f>
        <v/>
      </c>
      <c r="BF451">
        <f>P451*Assumptions!$B$141</f>
        <v/>
      </c>
      <c r="BG451">
        <f>P451*Assumptions!$B$128</f>
        <v/>
      </c>
      <c r="BH451">
        <f>P451*Assumptions!$B$129</f>
        <v/>
      </c>
      <c r="BI451">
        <f>P451*Assumptions!$B$14</f>
        <v/>
      </c>
      <c r="BJ451">
        <f>P451*Assumptions!$B$13</f>
        <v/>
      </c>
      <c r="BK451">
        <f>P451*Assumptions!$B$12</f>
        <v/>
      </c>
      <c r="BL451">
        <f>P451*Assumptions!$B$11</f>
        <v/>
      </c>
    </row>
    <row r="452">
      <c r="A452" t="inlineStr">
        <is>
          <t>4000M</t>
        </is>
      </c>
      <c r="B452">
        <f>Assumptions!$B$61</f>
        <v/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>
        <f>(1-C452)*Assumptions!$B$41+(1-D452)*Assumptions!$B$33+(1-E452)*Assumptions!$B$32+(1-F452)*Assumptions!$B$31+(1-G452)*Assumptions!$B$30+(1-H452)*Assumptions!$B$29+(1-I452)*Assumptions!$B$28</f>
        <v/>
      </c>
      <c r="K452">
        <f>C452*Assumptions!$B$141+D452*Assumptions!$B$128+E452*Assumptions!$B$129+F452*Assumptions!$B$14+G452*Assumptions!$B$13+H452*Assumptions!$B$12+I452*Assumptions!$B$11+Assumptions!$B$133+Assumptions!$B$137+Assumptions!$B$9</f>
        <v/>
      </c>
      <c r="L452">
        <f>B452-J452</f>
        <v/>
      </c>
      <c r="M452">
        <f>IF(K452&gt;0,IF(L452/K452&gt;=Assumptions!$B$37,1,0),0)</f>
        <v/>
      </c>
      <c r="N452">
        <f>K452+M452*Assumptions!$B$153</f>
        <v/>
      </c>
      <c r="O452">
        <f>L452+M452*Assumptions!$B$153*Assumptions!$B$37</f>
        <v/>
      </c>
      <c r="P452">
        <f>IF(N452&gt;0,O452/N452,0)</f>
        <v/>
      </c>
      <c r="Q452">
        <f>IF(C452=1,P452*Assumptions!$B$141,Assumptions!$B$41)</f>
        <v/>
      </c>
      <c r="R452">
        <f>IF(D452=1,P452*Assumptions!$B$128,Assumptions!$B$33)</f>
        <v/>
      </c>
      <c r="S452">
        <f>IF(E452=1,P452*Assumptions!$B$129,Assumptions!$B$32)</f>
        <v/>
      </c>
      <c r="T452">
        <f>IF(F452=1,P452*Assumptions!$B$14,Assumptions!$B$31)</f>
        <v/>
      </c>
      <c r="U452">
        <f>IF(G452=1,P452*Assumptions!$B$13,Assumptions!$B$30)</f>
        <v/>
      </c>
      <c r="V452">
        <f>IF(H452=1,P452*Assumptions!$B$12,Assumptions!$B$29)</f>
        <v/>
      </c>
      <c r="W452">
        <f>IF(I452=1,P452*Assumptions!$B$11,Assumptions!$B$28)</f>
        <v/>
      </c>
      <c r="X452">
        <f>P452*(Assumptions!$B$133+Assumptions!$B$137)</f>
        <v/>
      </c>
      <c r="Y452">
        <f>P452*Assumptions!$B$9</f>
        <v/>
      </c>
      <c r="Z452">
        <f>IF(M452=1,(P452-Assumptions!$B$37)*Assumptions!$B$153,0)</f>
        <v/>
      </c>
      <c r="AA452">
        <f>Q452+R452+S452+T452+U452+V452+W452+X452+Y452+Z452</f>
        <v/>
      </c>
      <c r="AB452" t="n">
        <v>17</v>
      </c>
      <c r="AC452" t="n">
        <v>81</v>
      </c>
      <c r="AD452" t="n">
        <v>49</v>
      </c>
      <c r="AE452" t="n">
        <v>1</v>
      </c>
      <c r="AF452" t="n">
        <v>25</v>
      </c>
      <c r="AG452" t="n">
        <v>21</v>
      </c>
      <c r="AH452" t="n">
        <v>19</v>
      </c>
      <c r="AI452" t="n">
        <v>16</v>
      </c>
      <c r="AJ452">
        <f>INDEX($Q$435:$Q$562,AC452+1)</f>
        <v/>
      </c>
      <c r="AK452">
        <f>INDEX($R$435:$R$562,AD452+1)</f>
        <v/>
      </c>
      <c r="AL452">
        <f>INDEX($S$435:$S$562,AE452+1)</f>
        <v/>
      </c>
      <c r="AM452">
        <f>INDEX($T$435:$T$562,AF452+1)</f>
        <v/>
      </c>
      <c r="AN452">
        <f>INDEX($U$435:$U$562,AG452+1)</f>
        <v/>
      </c>
      <c r="AO452">
        <f>INDEX($V$435:$V$562,AH452+1)</f>
        <v/>
      </c>
      <c r="AP452">
        <f>INDEX($W$435:$W$562,AI452+1)</f>
        <v/>
      </c>
      <c r="AQ452">
        <f>IF(Q452&gt;=AJ452-0.01,1,0)</f>
        <v/>
      </c>
      <c r="AR452">
        <f>IF(R452&gt;=AK452-0.01,1,0)</f>
        <v/>
      </c>
      <c r="AS452">
        <f>IF(S452&gt;=AL452-0.01,1,0)</f>
        <v/>
      </c>
      <c r="AT452">
        <f>IF(T452&gt;=AM452-0.01,1,0)</f>
        <v/>
      </c>
      <c r="AU452">
        <f>IF(U452&gt;=AN452-0.01,1,0)</f>
        <v/>
      </c>
      <c r="AV452">
        <f>IF(V452&gt;=AO452-0.01,1,0)</f>
        <v/>
      </c>
      <c r="AW452">
        <f>IF(W452&gt;=AP452-0.01,1,0)</f>
        <v/>
      </c>
      <c r="AX452">
        <f>AQ452*AR452*AS452*AT452*AU452*AV452*AW452</f>
        <v/>
      </c>
      <c r="AY452">
        <f>Assumptions!$B$41</f>
        <v/>
      </c>
      <c r="AZ452">
        <f>Assumptions!$B$33</f>
        <v/>
      </c>
      <c r="BA452">
        <f>Assumptions!$B$32</f>
        <v/>
      </c>
      <c r="BB452">
        <f>Assumptions!$B$31</f>
        <v/>
      </c>
      <c r="BC452">
        <f>Assumptions!$B$30</f>
        <v/>
      </c>
      <c r="BD452">
        <f>Assumptions!$B$29</f>
        <v/>
      </c>
      <c r="BE452">
        <f>Assumptions!$B$28</f>
        <v/>
      </c>
      <c r="BF452">
        <f>P452*Assumptions!$B$141</f>
        <v/>
      </c>
      <c r="BG452">
        <f>P452*Assumptions!$B$128</f>
        <v/>
      </c>
      <c r="BH452">
        <f>P452*Assumptions!$B$129</f>
        <v/>
      </c>
      <c r="BI452">
        <f>P452*Assumptions!$B$14</f>
        <v/>
      </c>
      <c r="BJ452">
        <f>P452*Assumptions!$B$13</f>
        <v/>
      </c>
      <c r="BK452">
        <f>P452*Assumptions!$B$12</f>
        <v/>
      </c>
      <c r="BL452">
        <f>P452*Assumptions!$B$11</f>
        <v/>
      </c>
    </row>
    <row r="453">
      <c r="A453" t="inlineStr">
        <is>
          <t>4000M</t>
        </is>
      </c>
      <c r="B453">
        <f>Assumptions!$B$61</f>
        <v/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>
        <f>(1-C453)*Assumptions!$B$41+(1-D453)*Assumptions!$B$33+(1-E453)*Assumptions!$B$32+(1-F453)*Assumptions!$B$31+(1-G453)*Assumptions!$B$30+(1-H453)*Assumptions!$B$29+(1-I453)*Assumptions!$B$28</f>
        <v/>
      </c>
      <c r="K453">
        <f>C453*Assumptions!$B$141+D453*Assumptions!$B$128+E453*Assumptions!$B$129+F453*Assumptions!$B$14+G453*Assumptions!$B$13+H453*Assumptions!$B$12+I453*Assumptions!$B$11+Assumptions!$B$133+Assumptions!$B$137+Assumptions!$B$9</f>
        <v/>
      </c>
      <c r="L453">
        <f>B453-J453</f>
        <v/>
      </c>
      <c r="M453">
        <f>IF(K453&gt;0,IF(L453/K453&gt;=Assumptions!$B$37,1,0),0)</f>
        <v/>
      </c>
      <c r="N453">
        <f>K453+M453*Assumptions!$B$153</f>
        <v/>
      </c>
      <c r="O453">
        <f>L453+M453*Assumptions!$B$153*Assumptions!$B$37</f>
        <v/>
      </c>
      <c r="P453">
        <f>IF(N453&gt;0,O453/N453,0)</f>
        <v/>
      </c>
      <c r="Q453">
        <f>IF(C453=1,P453*Assumptions!$B$141,Assumptions!$B$41)</f>
        <v/>
      </c>
      <c r="R453">
        <f>IF(D453=1,P453*Assumptions!$B$128,Assumptions!$B$33)</f>
        <v/>
      </c>
      <c r="S453">
        <f>IF(E453=1,P453*Assumptions!$B$129,Assumptions!$B$32)</f>
        <v/>
      </c>
      <c r="T453">
        <f>IF(F453=1,P453*Assumptions!$B$14,Assumptions!$B$31)</f>
        <v/>
      </c>
      <c r="U453">
        <f>IF(G453=1,P453*Assumptions!$B$13,Assumptions!$B$30)</f>
        <v/>
      </c>
      <c r="V453">
        <f>IF(H453=1,P453*Assumptions!$B$12,Assumptions!$B$29)</f>
        <v/>
      </c>
      <c r="W453">
        <f>IF(I453=1,P453*Assumptions!$B$11,Assumptions!$B$28)</f>
        <v/>
      </c>
      <c r="X453">
        <f>P453*(Assumptions!$B$133+Assumptions!$B$137)</f>
        <v/>
      </c>
      <c r="Y453">
        <f>P453*Assumptions!$B$9</f>
        <v/>
      </c>
      <c r="Z453">
        <f>IF(M453=1,(P453-Assumptions!$B$37)*Assumptions!$B$153,0)</f>
        <v/>
      </c>
      <c r="AA453">
        <f>Q453+R453+S453+T453+U453+V453+W453+X453+Y453+Z453</f>
        <v/>
      </c>
      <c r="AB453" t="n">
        <v>18</v>
      </c>
      <c r="AC453" t="n">
        <v>82</v>
      </c>
      <c r="AD453" t="n">
        <v>50</v>
      </c>
      <c r="AE453" t="n">
        <v>2</v>
      </c>
      <c r="AF453" t="n">
        <v>26</v>
      </c>
      <c r="AG453" t="n">
        <v>22</v>
      </c>
      <c r="AH453" t="n">
        <v>16</v>
      </c>
      <c r="AI453" t="n">
        <v>19</v>
      </c>
      <c r="AJ453">
        <f>INDEX($Q$435:$Q$562,AC453+1)</f>
        <v/>
      </c>
      <c r="AK453">
        <f>INDEX($R$435:$R$562,AD453+1)</f>
        <v/>
      </c>
      <c r="AL453">
        <f>INDEX($S$435:$S$562,AE453+1)</f>
        <v/>
      </c>
      <c r="AM453">
        <f>INDEX($T$435:$T$562,AF453+1)</f>
        <v/>
      </c>
      <c r="AN453">
        <f>INDEX($U$435:$U$562,AG453+1)</f>
        <v/>
      </c>
      <c r="AO453">
        <f>INDEX($V$435:$V$562,AH453+1)</f>
        <v/>
      </c>
      <c r="AP453">
        <f>INDEX($W$435:$W$562,AI453+1)</f>
        <v/>
      </c>
      <c r="AQ453">
        <f>IF(Q453&gt;=AJ453-0.01,1,0)</f>
        <v/>
      </c>
      <c r="AR453">
        <f>IF(R453&gt;=AK453-0.01,1,0)</f>
        <v/>
      </c>
      <c r="AS453">
        <f>IF(S453&gt;=AL453-0.01,1,0)</f>
        <v/>
      </c>
      <c r="AT453">
        <f>IF(T453&gt;=AM453-0.01,1,0)</f>
        <v/>
      </c>
      <c r="AU453">
        <f>IF(U453&gt;=AN453-0.01,1,0)</f>
        <v/>
      </c>
      <c r="AV453">
        <f>IF(V453&gt;=AO453-0.01,1,0)</f>
        <v/>
      </c>
      <c r="AW453">
        <f>IF(W453&gt;=AP453-0.01,1,0)</f>
        <v/>
      </c>
      <c r="AX453">
        <f>AQ453*AR453*AS453*AT453*AU453*AV453*AW453</f>
        <v/>
      </c>
      <c r="AY453">
        <f>Assumptions!$B$41</f>
        <v/>
      </c>
      <c r="AZ453">
        <f>Assumptions!$B$33</f>
        <v/>
      </c>
      <c r="BA453">
        <f>Assumptions!$B$32</f>
        <v/>
      </c>
      <c r="BB453">
        <f>Assumptions!$B$31</f>
        <v/>
      </c>
      <c r="BC453">
        <f>Assumptions!$B$30</f>
        <v/>
      </c>
      <c r="BD453">
        <f>Assumptions!$B$29</f>
        <v/>
      </c>
      <c r="BE453">
        <f>Assumptions!$B$28</f>
        <v/>
      </c>
      <c r="BF453">
        <f>P453*Assumptions!$B$141</f>
        <v/>
      </c>
      <c r="BG453">
        <f>P453*Assumptions!$B$128</f>
        <v/>
      </c>
      <c r="BH453">
        <f>P453*Assumptions!$B$129</f>
        <v/>
      </c>
      <c r="BI453">
        <f>P453*Assumptions!$B$14</f>
        <v/>
      </c>
      <c r="BJ453">
        <f>P453*Assumptions!$B$13</f>
        <v/>
      </c>
      <c r="BK453">
        <f>P453*Assumptions!$B$12</f>
        <v/>
      </c>
      <c r="BL453">
        <f>P453*Assumptions!$B$11</f>
        <v/>
      </c>
    </row>
    <row r="454">
      <c r="A454" t="inlineStr">
        <is>
          <t>4000M</t>
        </is>
      </c>
      <c r="B454">
        <f>Assumptions!$B$61</f>
        <v/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1</v>
      </c>
      <c r="J454">
        <f>(1-C454)*Assumptions!$B$41+(1-D454)*Assumptions!$B$33+(1-E454)*Assumptions!$B$32+(1-F454)*Assumptions!$B$31+(1-G454)*Assumptions!$B$30+(1-H454)*Assumptions!$B$29+(1-I454)*Assumptions!$B$28</f>
        <v/>
      </c>
      <c r="K454">
        <f>C454*Assumptions!$B$141+D454*Assumptions!$B$128+E454*Assumptions!$B$129+F454*Assumptions!$B$14+G454*Assumptions!$B$13+H454*Assumptions!$B$12+I454*Assumptions!$B$11+Assumptions!$B$133+Assumptions!$B$137+Assumptions!$B$9</f>
        <v/>
      </c>
      <c r="L454">
        <f>B454-J454</f>
        <v/>
      </c>
      <c r="M454">
        <f>IF(K454&gt;0,IF(L454/K454&gt;=Assumptions!$B$37,1,0),0)</f>
        <v/>
      </c>
      <c r="N454">
        <f>K454+M454*Assumptions!$B$153</f>
        <v/>
      </c>
      <c r="O454">
        <f>L454+M454*Assumptions!$B$153*Assumptions!$B$37</f>
        <v/>
      </c>
      <c r="P454">
        <f>IF(N454&gt;0,O454/N454,0)</f>
        <v/>
      </c>
      <c r="Q454">
        <f>IF(C454=1,P454*Assumptions!$B$141,Assumptions!$B$41)</f>
        <v/>
      </c>
      <c r="R454">
        <f>IF(D454=1,P454*Assumptions!$B$128,Assumptions!$B$33)</f>
        <v/>
      </c>
      <c r="S454">
        <f>IF(E454=1,P454*Assumptions!$B$129,Assumptions!$B$32)</f>
        <v/>
      </c>
      <c r="T454">
        <f>IF(F454=1,P454*Assumptions!$B$14,Assumptions!$B$31)</f>
        <v/>
      </c>
      <c r="U454">
        <f>IF(G454=1,P454*Assumptions!$B$13,Assumptions!$B$30)</f>
        <v/>
      </c>
      <c r="V454">
        <f>IF(H454=1,P454*Assumptions!$B$12,Assumptions!$B$29)</f>
        <v/>
      </c>
      <c r="W454">
        <f>IF(I454=1,P454*Assumptions!$B$11,Assumptions!$B$28)</f>
        <v/>
      </c>
      <c r="X454">
        <f>P454*(Assumptions!$B$133+Assumptions!$B$137)</f>
        <v/>
      </c>
      <c r="Y454">
        <f>P454*Assumptions!$B$9</f>
        <v/>
      </c>
      <c r="Z454">
        <f>IF(M454=1,(P454-Assumptions!$B$37)*Assumptions!$B$153,0)</f>
        <v/>
      </c>
      <c r="AA454">
        <f>Q454+R454+S454+T454+U454+V454+W454+X454+Y454+Z454</f>
        <v/>
      </c>
      <c r="AB454" t="n">
        <v>19</v>
      </c>
      <c r="AC454" t="n">
        <v>83</v>
      </c>
      <c r="AD454" t="n">
        <v>51</v>
      </c>
      <c r="AE454" t="n">
        <v>3</v>
      </c>
      <c r="AF454" t="n">
        <v>27</v>
      </c>
      <c r="AG454" t="n">
        <v>23</v>
      </c>
      <c r="AH454" t="n">
        <v>17</v>
      </c>
      <c r="AI454" t="n">
        <v>18</v>
      </c>
      <c r="AJ454">
        <f>INDEX($Q$435:$Q$562,AC454+1)</f>
        <v/>
      </c>
      <c r="AK454">
        <f>INDEX($R$435:$R$562,AD454+1)</f>
        <v/>
      </c>
      <c r="AL454">
        <f>INDEX($S$435:$S$562,AE454+1)</f>
        <v/>
      </c>
      <c r="AM454">
        <f>INDEX($T$435:$T$562,AF454+1)</f>
        <v/>
      </c>
      <c r="AN454">
        <f>INDEX($U$435:$U$562,AG454+1)</f>
        <v/>
      </c>
      <c r="AO454">
        <f>INDEX($V$435:$V$562,AH454+1)</f>
        <v/>
      </c>
      <c r="AP454">
        <f>INDEX($W$435:$W$562,AI454+1)</f>
        <v/>
      </c>
      <c r="AQ454">
        <f>IF(Q454&gt;=AJ454-0.01,1,0)</f>
        <v/>
      </c>
      <c r="AR454">
        <f>IF(R454&gt;=AK454-0.01,1,0)</f>
        <v/>
      </c>
      <c r="AS454">
        <f>IF(S454&gt;=AL454-0.01,1,0)</f>
        <v/>
      </c>
      <c r="AT454">
        <f>IF(T454&gt;=AM454-0.01,1,0)</f>
        <v/>
      </c>
      <c r="AU454">
        <f>IF(U454&gt;=AN454-0.01,1,0)</f>
        <v/>
      </c>
      <c r="AV454">
        <f>IF(V454&gt;=AO454-0.01,1,0)</f>
        <v/>
      </c>
      <c r="AW454">
        <f>IF(W454&gt;=AP454-0.01,1,0)</f>
        <v/>
      </c>
      <c r="AX454">
        <f>AQ454*AR454*AS454*AT454*AU454*AV454*AW454</f>
        <v/>
      </c>
      <c r="AY454">
        <f>Assumptions!$B$41</f>
        <v/>
      </c>
      <c r="AZ454">
        <f>Assumptions!$B$33</f>
        <v/>
      </c>
      <c r="BA454">
        <f>Assumptions!$B$32</f>
        <v/>
      </c>
      <c r="BB454">
        <f>Assumptions!$B$31</f>
        <v/>
      </c>
      <c r="BC454">
        <f>Assumptions!$B$30</f>
        <v/>
      </c>
      <c r="BD454">
        <f>Assumptions!$B$29</f>
        <v/>
      </c>
      <c r="BE454">
        <f>Assumptions!$B$28</f>
        <v/>
      </c>
      <c r="BF454">
        <f>P454*Assumptions!$B$141</f>
        <v/>
      </c>
      <c r="BG454">
        <f>P454*Assumptions!$B$128</f>
        <v/>
      </c>
      <c r="BH454">
        <f>P454*Assumptions!$B$129</f>
        <v/>
      </c>
      <c r="BI454">
        <f>P454*Assumptions!$B$14</f>
        <v/>
      </c>
      <c r="BJ454">
        <f>P454*Assumptions!$B$13</f>
        <v/>
      </c>
      <c r="BK454">
        <f>P454*Assumptions!$B$12</f>
        <v/>
      </c>
      <c r="BL454">
        <f>P454*Assumptions!$B$11</f>
        <v/>
      </c>
    </row>
    <row r="455">
      <c r="A455" t="inlineStr">
        <is>
          <t>4000M</t>
        </is>
      </c>
      <c r="B455">
        <f>Assumptions!$B$61</f>
        <v/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>
        <f>(1-C455)*Assumptions!$B$41+(1-D455)*Assumptions!$B$33+(1-E455)*Assumptions!$B$32+(1-F455)*Assumptions!$B$31+(1-G455)*Assumptions!$B$30+(1-H455)*Assumptions!$B$29+(1-I455)*Assumptions!$B$28</f>
        <v/>
      </c>
      <c r="K455">
        <f>C455*Assumptions!$B$141+D455*Assumptions!$B$128+E455*Assumptions!$B$129+F455*Assumptions!$B$14+G455*Assumptions!$B$13+H455*Assumptions!$B$12+I455*Assumptions!$B$11+Assumptions!$B$133+Assumptions!$B$137+Assumptions!$B$9</f>
        <v/>
      </c>
      <c r="L455">
        <f>B455-J455</f>
        <v/>
      </c>
      <c r="M455">
        <f>IF(K455&gt;0,IF(L455/K455&gt;=Assumptions!$B$37,1,0),0)</f>
        <v/>
      </c>
      <c r="N455">
        <f>K455+M455*Assumptions!$B$153</f>
        <v/>
      </c>
      <c r="O455">
        <f>L455+M455*Assumptions!$B$153*Assumptions!$B$37</f>
        <v/>
      </c>
      <c r="P455">
        <f>IF(N455&gt;0,O455/N455,0)</f>
        <v/>
      </c>
      <c r="Q455">
        <f>IF(C455=1,P455*Assumptions!$B$141,Assumptions!$B$41)</f>
        <v/>
      </c>
      <c r="R455">
        <f>IF(D455=1,P455*Assumptions!$B$128,Assumptions!$B$33)</f>
        <v/>
      </c>
      <c r="S455">
        <f>IF(E455=1,P455*Assumptions!$B$129,Assumptions!$B$32)</f>
        <v/>
      </c>
      <c r="T455">
        <f>IF(F455=1,P455*Assumptions!$B$14,Assumptions!$B$31)</f>
        <v/>
      </c>
      <c r="U455">
        <f>IF(G455=1,P455*Assumptions!$B$13,Assumptions!$B$30)</f>
        <v/>
      </c>
      <c r="V455">
        <f>IF(H455=1,P455*Assumptions!$B$12,Assumptions!$B$29)</f>
        <v/>
      </c>
      <c r="W455">
        <f>IF(I455=1,P455*Assumptions!$B$11,Assumptions!$B$28)</f>
        <v/>
      </c>
      <c r="X455">
        <f>P455*(Assumptions!$B$133+Assumptions!$B$137)</f>
        <v/>
      </c>
      <c r="Y455">
        <f>P455*Assumptions!$B$9</f>
        <v/>
      </c>
      <c r="Z455">
        <f>IF(M455=1,(P455-Assumptions!$B$37)*Assumptions!$B$153,0)</f>
        <v/>
      </c>
      <c r="AA455">
        <f>Q455+R455+S455+T455+U455+V455+W455+X455+Y455+Z455</f>
        <v/>
      </c>
      <c r="AB455" t="n">
        <v>20</v>
      </c>
      <c r="AC455" t="n">
        <v>84</v>
      </c>
      <c r="AD455" t="n">
        <v>52</v>
      </c>
      <c r="AE455" t="n">
        <v>4</v>
      </c>
      <c r="AF455" t="n">
        <v>28</v>
      </c>
      <c r="AG455" t="n">
        <v>16</v>
      </c>
      <c r="AH455" t="n">
        <v>22</v>
      </c>
      <c r="AI455" t="n">
        <v>21</v>
      </c>
      <c r="AJ455">
        <f>INDEX($Q$435:$Q$562,AC455+1)</f>
        <v/>
      </c>
      <c r="AK455">
        <f>INDEX($R$435:$R$562,AD455+1)</f>
        <v/>
      </c>
      <c r="AL455">
        <f>INDEX($S$435:$S$562,AE455+1)</f>
        <v/>
      </c>
      <c r="AM455">
        <f>INDEX($T$435:$T$562,AF455+1)</f>
        <v/>
      </c>
      <c r="AN455">
        <f>INDEX($U$435:$U$562,AG455+1)</f>
        <v/>
      </c>
      <c r="AO455">
        <f>INDEX($V$435:$V$562,AH455+1)</f>
        <v/>
      </c>
      <c r="AP455">
        <f>INDEX($W$435:$W$562,AI455+1)</f>
        <v/>
      </c>
      <c r="AQ455">
        <f>IF(Q455&gt;=AJ455-0.01,1,0)</f>
        <v/>
      </c>
      <c r="AR455">
        <f>IF(R455&gt;=AK455-0.01,1,0)</f>
        <v/>
      </c>
      <c r="AS455">
        <f>IF(S455&gt;=AL455-0.01,1,0)</f>
        <v/>
      </c>
      <c r="AT455">
        <f>IF(T455&gt;=AM455-0.01,1,0)</f>
        <v/>
      </c>
      <c r="AU455">
        <f>IF(U455&gt;=AN455-0.01,1,0)</f>
        <v/>
      </c>
      <c r="AV455">
        <f>IF(V455&gt;=AO455-0.01,1,0)</f>
        <v/>
      </c>
      <c r="AW455">
        <f>IF(W455&gt;=AP455-0.01,1,0)</f>
        <v/>
      </c>
      <c r="AX455">
        <f>AQ455*AR455*AS455*AT455*AU455*AV455*AW455</f>
        <v/>
      </c>
      <c r="AY455">
        <f>Assumptions!$B$41</f>
        <v/>
      </c>
      <c r="AZ455">
        <f>Assumptions!$B$33</f>
        <v/>
      </c>
      <c r="BA455">
        <f>Assumptions!$B$32</f>
        <v/>
      </c>
      <c r="BB455">
        <f>Assumptions!$B$31</f>
        <v/>
      </c>
      <c r="BC455">
        <f>Assumptions!$B$30</f>
        <v/>
      </c>
      <c r="BD455">
        <f>Assumptions!$B$29</f>
        <v/>
      </c>
      <c r="BE455">
        <f>Assumptions!$B$28</f>
        <v/>
      </c>
      <c r="BF455">
        <f>P455*Assumptions!$B$141</f>
        <v/>
      </c>
      <c r="BG455">
        <f>P455*Assumptions!$B$128</f>
        <v/>
      </c>
      <c r="BH455">
        <f>P455*Assumptions!$B$129</f>
        <v/>
      </c>
      <c r="BI455">
        <f>P455*Assumptions!$B$14</f>
        <v/>
      </c>
      <c r="BJ455">
        <f>P455*Assumptions!$B$13</f>
        <v/>
      </c>
      <c r="BK455">
        <f>P455*Assumptions!$B$12</f>
        <v/>
      </c>
      <c r="BL455">
        <f>P455*Assumptions!$B$11</f>
        <v/>
      </c>
    </row>
    <row r="456">
      <c r="A456" t="inlineStr">
        <is>
          <t>4000M</t>
        </is>
      </c>
      <c r="B456">
        <f>Assumptions!$B$61</f>
        <v/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>
        <f>(1-C456)*Assumptions!$B$41+(1-D456)*Assumptions!$B$33+(1-E456)*Assumptions!$B$32+(1-F456)*Assumptions!$B$31+(1-G456)*Assumptions!$B$30+(1-H456)*Assumptions!$B$29+(1-I456)*Assumptions!$B$28</f>
        <v/>
      </c>
      <c r="K456">
        <f>C456*Assumptions!$B$141+D456*Assumptions!$B$128+E456*Assumptions!$B$129+F456*Assumptions!$B$14+G456*Assumptions!$B$13+H456*Assumptions!$B$12+I456*Assumptions!$B$11+Assumptions!$B$133+Assumptions!$B$137+Assumptions!$B$9</f>
        <v/>
      </c>
      <c r="L456">
        <f>B456-J456</f>
        <v/>
      </c>
      <c r="M456">
        <f>IF(K456&gt;0,IF(L456/K456&gt;=Assumptions!$B$37,1,0),0)</f>
        <v/>
      </c>
      <c r="N456">
        <f>K456+M456*Assumptions!$B$153</f>
        <v/>
      </c>
      <c r="O456">
        <f>L456+M456*Assumptions!$B$153*Assumptions!$B$37</f>
        <v/>
      </c>
      <c r="P456">
        <f>IF(N456&gt;0,O456/N456,0)</f>
        <v/>
      </c>
      <c r="Q456">
        <f>IF(C456=1,P456*Assumptions!$B$141,Assumptions!$B$41)</f>
        <v/>
      </c>
      <c r="R456">
        <f>IF(D456=1,P456*Assumptions!$B$128,Assumptions!$B$33)</f>
        <v/>
      </c>
      <c r="S456">
        <f>IF(E456=1,P456*Assumptions!$B$129,Assumptions!$B$32)</f>
        <v/>
      </c>
      <c r="T456">
        <f>IF(F456=1,P456*Assumptions!$B$14,Assumptions!$B$31)</f>
        <v/>
      </c>
      <c r="U456">
        <f>IF(G456=1,P456*Assumptions!$B$13,Assumptions!$B$30)</f>
        <v/>
      </c>
      <c r="V456">
        <f>IF(H456=1,P456*Assumptions!$B$12,Assumptions!$B$29)</f>
        <v/>
      </c>
      <c r="W456">
        <f>IF(I456=1,P456*Assumptions!$B$11,Assumptions!$B$28)</f>
        <v/>
      </c>
      <c r="X456">
        <f>P456*(Assumptions!$B$133+Assumptions!$B$137)</f>
        <v/>
      </c>
      <c r="Y456">
        <f>P456*Assumptions!$B$9</f>
        <v/>
      </c>
      <c r="Z456">
        <f>IF(M456=1,(P456-Assumptions!$B$37)*Assumptions!$B$153,0)</f>
        <v/>
      </c>
      <c r="AA456">
        <f>Q456+R456+S456+T456+U456+V456+W456+X456+Y456+Z456</f>
        <v/>
      </c>
      <c r="AB456" t="n">
        <v>21</v>
      </c>
      <c r="AC456" t="n">
        <v>85</v>
      </c>
      <c r="AD456" t="n">
        <v>53</v>
      </c>
      <c r="AE456" t="n">
        <v>5</v>
      </c>
      <c r="AF456" t="n">
        <v>29</v>
      </c>
      <c r="AG456" t="n">
        <v>17</v>
      </c>
      <c r="AH456" t="n">
        <v>23</v>
      </c>
      <c r="AI456" t="n">
        <v>20</v>
      </c>
      <c r="AJ456">
        <f>INDEX($Q$435:$Q$562,AC456+1)</f>
        <v/>
      </c>
      <c r="AK456">
        <f>INDEX($R$435:$R$562,AD456+1)</f>
        <v/>
      </c>
      <c r="AL456">
        <f>INDEX($S$435:$S$562,AE456+1)</f>
        <v/>
      </c>
      <c r="AM456">
        <f>INDEX($T$435:$T$562,AF456+1)</f>
        <v/>
      </c>
      <c r="AN456">
        <f>INDEX($U$435:$U$562,AG456+1)</f>
        <v/>
      </c>
      <c r="AO456">
        <f>INDEX($V$435:$V$562,AH456+1)</f>
        <v/>
      </c>
      <c r="AP456">
        <f>INDEX($W$435:$W$562,AI456+1)</f>
        <v/>
      </c>
      <c r="AQ456">
        <f>IF(Q456&gt;=AJ456-0.01,1,0)</f>
        <v/>
      </c>
      <c r="AR456">
        <f>IF(R456&gt;=AK456-0.01,1,0)</f>
        <v/>
      </c>
      <c r="AS456">
        <f>IF(S456&gt;=AL456-0.01,1,0)</f>
        <v/>
      </c>
      <c r="AT456">
        <f>IF(T456&gt;=AM456-0.01,1,0)</f>
        <v/>
      </c>
      <c r="AU456">
        <f>IF(U456&gt;=AN456-0.01,1,0)</f>
        <v/>
      </c>
      <c r="AV456">
        <f>IF(V456&gt;=AO456-0.01,1,0)</f>
        <v/>
      </c>
      <c r="AW456">
        <f>IF(W456&gt;=AP456-0.01,1,0)</f>
        <v/>
      </c>
      <c r="AX456">
        <f>AQ456*AR456*AS456*AT456*AU456*AV456*AW456</f>
        <v/>
      </c>
      <c r="AY456">
        <f>Assumptions!$B$41</f>
        <v/>
      </c>
      <c r="AZ456">
        <f>Assumptions!$B$33</f>
        <v/>
      </c>
      <c r="BA456">
        <f>Assumptions!$B$32</f>
        <v/>
      </c>
      <c r="BB456">
        <f>Assumptions!$B$31</f>
        <v/>
      </c>
      <c r="BC456">
        <f>Assumptions!$B$30</f>
        <v/>
      </c>
      <c r="BD456">
        <f>Assumptions!$B$29</f>
        <v/>
      </c>
      <c r="BE456">
        <f>Assumptions!$B$28</f>
        <v/>
      </c>
      <c r="BF456">
        <f>P456*Assumptions!$B$141</f>
        <v/>
      </c>
      <c r="BG456">
        <f>P456*Assumptions!$B$128</f>
        <v/>
      </c>
      <c r="BH456">
        <f>P456*Assumptions!$B$129</f>
        <v/>
      </c>
      <c r="BI456">
        <f>P456*Assumptions!$B$14</f>
        <v/>
      </c>
      <c r="BJ456">
        <f>P456*Assumptions!$B$13</f>
        <v/>
      </c>
      <c r="BK456">
        <f>P456*Assumptions!$B$12</f>
        <v/>
      </c>
      <c r="BL456">
        <f>P456*Assumptions!$B$11</f>
        <v/>
      </c>
    </row>
    <row r="457">
      <c r="A457" t="inlineStr">
        <is>
          <t>4000M</t>
        </is>
      </c>
      <c r="B457">
        <f>Assumptions!$B$61</f>
        <v/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>
        <f>(1-C457)*Assumptions!$B$41+(1-D457)*Assumptions!$B$33+(1-E457)*Assumptions!$B$32+(1-F457)*Assumptions!$B$31+(1-G457)*Assumptions!$B$30+(1-H457)*Assumptions!$B$29+(1-I457)*Assumptions!$B$28</f>
        <v/>
      </c>
      <c r="K457">
        <f>C457*Assumptions!$B$141+D457*Assumptions!$B$128+E457*Assumptions!$B$129+F457*Assumptions!$B$14+G457*Assumptions!$B$13+H457*Assumptions!$B$12+I457*Assumptions!$B$11+Assumptions!$B$133+Assumptions!$B$137+Assumptions!$B$9</f>
        <v/>
      </c>
      <c r="L457">
        <f>B457-J457</f>
        <v/>
      </c>
      <c r="M457">
        <f>IF(K457&gt;0,IF(L457/K457&gt;=Assumptions!$B$37,1,0),0)</f>
        <v/>
      </c>
      <c r="N457">
        <f>K457+M457*Assumptions!$B$153</f>
        <v/>
      </c>
      <c r="O457">
        <f>L457+M457*Assumptions!$B$153*Assumptions!$B$37</f>
        <v/>
      </c>
      <c r="P457">
        <f>IF(N457&gt;0,O457/N457,0)</f>
        <v/>
      </c>
      <c r="Q457">
        <f>IF(C457=1,P457*Assumptions!$B$141,Assumptions!$B$41)</f>
        <v/>
      </c>
      <c r="R457">
        <f>IF(D457=1,P457*Assumptions!$B$128,Assumptions!$B$33)</f>
        <v/>
      </c>
      <c r="S457">
        <f>IF(E457=1,P457*Assumptions!$B$129,Assumptions!$B$32)</f>
        <v/>
      </c>
      <c r="T457">
        <f>IF(F457=1,P457*Assumptions!$B$14,Assumptions!$B$31)</f>
        <v/>
      </c>
      <c r="U457">
        <f>IF(G457=1,P457*Assumptions!$B$13,Assumptions!$B$30)</f>
        <v/>
      </c>
      <c r="V457">
        <f>IF(H457=1,P457*Assumptions!$B$12,Assumptions!$B$29)</f>
        <v/>
      </c>
      <c r="W457">
        <f>IF(I457=1,P457*Assumptions!$B$11,Assumptions!$B$28)</f>
        <v/>
      </c>
      <c r="X457">
        <f>P457*(Assumptions!$B$133+Assumptions!$B$137)</f>
        <v/>
      </c>
      <c r="Y457">
        <f>P457*Assumptions!$B$9</f>
        <v/>
      </c>
      <c r="Z457">
        <f>IF(M457=1,(P457-Assumptions!$B$37)*Assumptions!$B$153,0)</f>
        <v/>
      </c>
      <c r="AA457">
        <f>Q457+R457+S457+T457+U457+V457+W457+X457+Y457+Z457</f>
        <v/>
      </c>
      <c r="AB457" t="n">
        <v>22</v>
      </c>
      <c r="AC457" t="n">
        <v>86</v>
      </c>
      <c r="AD457" t="n">
        <v>54</v>
      </c>
      <c r="AE457" t="n">
        <v>6</v>
      </c>
      <c r="AF457" t="n">
        <v>30</v>
      </c>
      <c r="AG457" t="n">
        <v>18</v>
      </c>
      <c r="AH457" t="n">
        <v>20</v>
      </c>
      <c r="AI457" t="n">
        <v>23</v>
      </c>
      <c r="AJ457">
        <f>INDEX($Q$435:$Q$562,AC457+1)</f>
        <v/>
      </c>
      <c r="AK457">
        <f>INDEX($R$435:$R$562,AD457+1)</f>
        <v/>
      </c>
      <c r="AL457">
        <f>INDEX($S$435:$S$562,AE457+1)</f>
        <v/>
      </c>
      <c r="AM457">
        <f>INDEX($T$435:$T$562,AF457+1)</f>
        <v/>
      </c>
      <c r="AN457">
        <f>INDEX($U$435:$U$562,AG457+1)</f>
        <v/>
      </c>
      <c r="AO457">
        <f>INDEX($V$435:$V$562,AH457+1)</f>
        <v/>
      </c>
      <c r="AP457">
        <f>INDEX($W$435:$W$562,AI457+1)</f>
        <v/>
      </c>
      <c r="AQ457">
        <f>IF(Q457&gt;=AJ457-0.01,1,0)</f>
        <v/>
      </c>
      <c r="AR457">
        <f>IF(R457&gt;=AK457-0.01,1,0)</f>
        <v/>
      </c>
      <c r="AS457">
        <f>IF(S457&gt;=AL457-0.01,1,0)</f>
        <v/>
      </c>
      <c r="AT457">
        <f>IF(T457&gt;=AM457-0.01,1,0)</f>
        <v/>
      </c>
      <c r="AU457">
        <f>IF(U457&gt;=AN457-0.01,1,0)</f>
        <v/>
      </c>
      <c r="AV457">
        <f>IF(V457&gt;=AO457-0.01,1,0)</f>
        <v/>
      </c>
      <c r="AW457">
        <f>IF(W457&gt;=AP457-0.01,1,0)</f>
        <v/>
      </c>
      <c r="AX457">
        <f>AQ457*AR457*AS457*AT457*AU457*AV457*AW457</f>
        <v/>
      </c>
      <c r="AY457">
        <f>Assumptions!$B$41</f>
        <v/>
      </c>
      <c r="AZ457">
        <f>Assumptions!$B$33</f>
        <v/>
      </c>
      <c r="BA457">
        <f>Assumptions!$B$32</f>
        <v/>
      </c>
      <c r="BB457">
        <f>Assumptions!$B$31</f>
        <v/>
      </c>
      <c r="BC457">
        <f>Assumptions!$B$30</f>
        <v/>
      </c>
      <c r="BD457">
        <f>Assumptions!$B$29</f>
        <v/>
      </c>
      <c r="BE457">
        <f>Assumptions!$B$28</f>
        <v/>
      </c>
      <c r="BF457">
        <f>P457*Assumptions!$B$141</f>
        <v/>
      </c>
      <c r="BG457">
        <f>P457*Assumptions!$B$128</f>
        <v/>
      </c>
      <c r="BH457">
        <f>P457*Assumptions!$B$129</f>
        <v/>
      </c>
      <c r="BI457">
        <f>P457*Assumptions!$B$14</f>
        <v/>
      </c>
      <c r="BJ457">
        <f>P457*Assumptions!$B$13</f>
        <v/>
      </c>
      <c r="BK457">
        <f>P457*Assumptions!$B$12</f>
        <v/>
      </c>
      <c r="BL457">
        <f>P457*Assumptions!$B$11</f>
        <v/>
      </c>
    </row>
    <row r="458">
      <c r="A458" t="inlineStr">
        <is>
          <t>4000M</t>
        </is>
      </c>
      <c r="B458">
        <f>Assumptions!$B$61</f>
        <v/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>
        <f>(1-C458)*Assumptions!$B$41+(1-D458)*Assumptions!$B$33+(1-E458)*Assumptions!$B$32+(1-F458)*Assumptions!$B$31+(1-G458)*Assumptions!$B$30+(1-H458)*Assumptions!$B$29+(1-I458)*Assumptions!$B$28</f>
        <v/>
      </c>
      <c r="K458">
        <f>C458*Assumptions!$B$141+D458*Assumptions!$B$128+E458*Assumptions!$B$129+F458*Assumptions!$B$14+G458*Assumptions!$B$13+H458*Assumptions!$B$12+I458*Assumptions!$B$11+Assumptions!$B$133+Assumptions!$B$137+Assumptions!$B$9</f>
        <v/>
      </c>
      <c r="L458">
        <f>B458-J458</f>
        <v/>
      </c>
      <c r="M458">
        <f>IF(K458&gt;0,IF(L458/K458&gt;=Assumptions!$B$37,1,0),0)</f>
        <v/>
      </c>
      <c r="N458">
        <f>K458+M458*Assumptions!$B$153</f>
        <v/>
      </c>
      <c r="O458">
        <f>L458+M458*Assumptions!$B$153*Assumptions!$B$37</f>
        <v/>
      </c>
      <c r="P458">
        <f>IF(N458&gt;0,O458/N458,0)</f>
        <v/>
      </c>
      <c r="Q458">
        <f>IF(C458=1,P458*Assumptions!$B$141,Assumptions!$B$41)</f>
        <v/>
      </c>
      <c r="R458">
        <f>IF(D458=1,P458*Assumptions!$B$128,Assumptions!$B$33)</f>
        <v/>
      </c>
      <c r="S458">
        <f>IF(E458=1,P458*Assumptions!$B$129,Assumptions!$B$32)</f>
        <v/>
      </c>
      <c r="T458">
        <f>IF(F458=1,P458*Assumptions!$B$14,Assumptions!$B$31)</f>
        <v/>
      </c>
      <c r="U458">
        <f>IF(G458=1,P458*Assumptions!$B$13,Assumptions!$B$30)</f>
        <v/>
      </c>
      <c r="V458">
        <f>IF(H458=1,P458*Assumptions!$B$12,Assumptions!$B$29)</f>
        <v/>
      </c>
      <c r="W458">
        <f>IF(I458=1,P458*Assumptions!$B$11,Assumptions!$B$28)</f>
        <v/>
      </c>
      <c r="X458">
        <f>P458*(Assumptions!$B$133+Assumptions!$B$137)</f>
        <v/>
      </c>
      <c r="Y458">
        <f>P458*Assumptions!$B$9</f>
        <v/>
      </c>
      <c r="Z458">
        <f>IF(M458=1,(P458-Assumptions!$B$37)*Assumptions!$B$153,0)</f>
        <v/>
      </c>
      <c r="AA458">
        <f>Q458+R458+S458+T458+U458+V458+W458+X458+Y458+Z458</f>
        <v/>
      </c>
      <c r="AB458" t="n">
        <v>23</v>
      </c>
      <c r="AC458" t="n">
        <v>87</v>
      </c>
      <c r="AD458" t="n">
        <v>55</v>
      </c>
      <c r="AE458" t="n">
        <v>7</v>
      </c>
      <c r="AF458" t="n">
        <v>31</v>
      </c>
      <c r="AG458" t="n">
        <v>19</v>
      </c>
      <c r="AH458" t="n">
        <v>21</v>
      </c>
      <c r="AI458" t="n">
        <v>22</v>
      </c>
      <c r="AJ458">
        <f>INDEX($Q$435:$Q$562,AC458+1)</f>
        <v/>
      </c>
      <c r="AK458">
        <f>INDEX($R$435:$R$562,AD458+1)</f>
        <v/>
      </c>
      <c r="AL458">
        <f>INDEX($S$435:$S$562,AE458+1)</f>
        <v/>
      </c>
      <c r="AM458">
        <f>INDEX($T$435:$T$562,AF458+1)</f>
        <v/>
      </c>
      <c r="AN458">
        <f>INDEX($U$435:$U$562,AG458+1)</f>
        <v/>
      </c>
      <c r="AO458">
        <f>INDEX($V$435:$V$562,AH458+1)</f>
        <v/>
      </c>
      <c r="AP458">
        <f>INDEX($W$435:$W$562,AI458+1)</f>
        <v/>
      </c>
      <c r="AQ458">
        <f>IF(Q458&gt;=AJ458-0.01,1,0)</f>
        <v/>
      </c>
      <c r="AR458">
        <f>IF(R458&gt;=AK458-0.01,1,0)</f>
        <v/>
      </c>
      <c r="AS458">
        <f>IF(S458&gt;=AL458-0.01,1,0)</f>
        <v/>
      </c>
      <c r="AT458">
        <f>IF(T458&gt;=AM458-0.01,1,0)</f>
        <v/>
      </c>
      <c r="AU458">
        <f>IF(U458&gt;=AN458-0.01,1,0)</f>
        <v/>
      </c>
      <c r="AV458">
        <f>IF(V458&gt;=AO458-0.01,1,0)</f>
        <v/>
      </c>
      <c r="AW458">
        <f>IF(W458&gt;=AP458-0.01,1,0)</f>
        <v/>
      </c>
      <c r="AX458">
        <f>AQ458*AR458*AS458*AT458*AU458*AV458*AW458</f>
        <v/>
      </c>
      <c r="AY458">
        <f>Assumptions!$B$41</f>
        <v/>
      </c>
      <c r="AZ458">
        <f>Assumptions!$B$33</f>
        <v/>
      </c>
      <c r="BA458">
        <f>Assumptions!$B$32</f>
        <v/>
      </c>
      <c r="BB458">
        <f>Assumptions!$B$31</f>
        <v/>
      </c>
      <c r="BC458">
        <f>Assumptions!$B$30</f>
        <v/>
      </c>
      <c r="BD458">
        <f>Assumptions!$B$29</f>
        <v/>
      </c>
      <c r="BE458">
        <f>Assumptions!$B$28</f>
        <v/>
      </c>
      <c r="BF458">
        <f>P458*Assumptions!$B$141</f>
        <v/>
      </c>
      <c r="BG458">
        <f>P458*Assumptions!$B$128</f>
        <v/>
      </c>
      <c r="BH458">
        <f>P458*Assumptions!$B$129</f>
        <v/>
      </c>
      <c r="BI458">
        <f>P458*Assumptions!$B$14</f>
        <v/>
      </c>
      <c r="BJ458">
        <f>P458*Assumptions!$B$13</f>
        <v/>
      </c>
      <c r="BK458">
        <f>P458*Assumptions!$B$12</f>
        <v/>
      </c>
      <c r="BL458">
        <f>P458*Assumptions!$B$11</f>
        <v/>
      </c>
    </row>
    <row r="459">
      <c r="A459" t="inlineStr">
        <is>
          <t>4000M</t>
        </is>
      </c>
      <c r="B459">
        <f>Assumptions!$B$61</f>
        <v/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>
        <f>(1-C459)*Assumptions!$B$41+(1-D459)*Assumptions!$B$33+(1-E459)*Assumptions!$B$32+(1-F459)*Assumptions!$B$31+(1-G459)*Assumptions!$B$30+(1-H459)*Assumptions!$B$29+(1-I459)*Assumptions!$B$28</f>
        <v/>
      </c>
      <c r="K459">
        <f>C459*Assumptions!$B$141+D459*Assumptions!$B$128+E459*Assumptions!$B$129+F459*Assumptions!$B$14+G459*Assumptions!$B$13+H459*Assumptions!$B$12+I459*Assumptions!$B$11+Assumptions!$B$133+Assumptions!$B$137+Assumptions!$B$9</f>
        <v/>
      </c>
      <c r="L459">
        <f>B459-J459</f>
        <v/>
      </c>
      <c r="M459">
        <f>IF(K459&gt;0,IF(L459/K459&gt;=Assumptions!$B$37,1,0),0)</f>
        <v/>
      </c>
      <c r="N459">
        <f>K459+M459*Assumptions!$B$153</f>
        <v/>
      </c>
      <c r="O459">
        <f>L459+M459*Assumptions!$B$153*Assumptions!$B$37</f>
        <v/>
      </c>
      <c r="P459">
        <f>IF(N459&gt;0,O459/N459,0)</f>
        <v/>
      </c>
      <c r="Q459">
        <f>IF(C459=1,P459*Assumptions!$B$141,Assumptions!$B$41)</f>
        <v/>
      </c>
      <c r="R459">
        <f>IF(D459=1,P459*Assumptions!$B$128,Assumptions!$B$33)</f>
        <v/>
      </c>
      <c r="S459">
        <f>IF(E459=1,P459*Assumptions!$B$129,Assumptions!$B$32)</f>
        <v/>
      </c>
      <c r="T459">
        <f>IF(F459=1,P459*Assumptions!$B$14,Assumptions!$B$31)</f>
        <v/>
      </c>
      <c r="U459">
        <f>IF(G459=1,P459*Assumptions!$B$13,Assumptions!$B$30)</f>
        <v/>
      </c>
      <c r="V459">
        <f>IF(H459=1,P459*Assumptions!$B$12,Assumptions!$B$29)</f>
        <v/>
      </c>
      <c r="W459">
        <f>IF(I459=1,P459*Assumptions!$B$11,Assumptions!$B$28)</f>
        <v/>
      </c>
      <c r="X459">
        <f>P459*(Assumptions!$B$133+Assumptions!$B$137)</f>
        <v/>
      </c>
      <c r="Y459">
        <f>P459*Assumptions!$B$9</f>
        <v/>
      </c>
      <c r="Z459">
        <f>IF(M459=1,(P459-Assumptions!$B$37)*Assumptions!$B$153,0)</f>
        <v/>
      </c>
      <c r="AA459">
        <f>Q459+R459+S459+T459+U459+V459+W459+X459+Y459+Z459</f>
        <v/>
      </c>
      <c r="AB459" t="n">
        <v>24</v>
      </c>
      <c r="AC459" t="n">
        <v>88</v>
      </c>
      <c r="AD459" t="n">
        <v>56</v>
      </c>
      <c r="AE459" t="n">
        <v>8</v>
      </c>
      <c r="AF459" t="n">
        <v>16</v>
      </c>
      <c r="AG459" t="n">
        <v>28</v>
      </c>
      <c r="AH459" t="n">
        <v>26</v>
      </c>
      <c r="AI459" t="n">
        <v>25</v>
      </c>
      <c r="AJ459">
        <f>INDEX($Q$435:$Q$562,AC459+1)</f>
        <v/>
      </c>
      <c r="AK459">
        <f>INDEX($R$435:$R$562,AD459+1)</f>
        <v/>
      </c>
      <c r="AL459">
        <f>INDEX($S$435:$S$562,AE459+1)</f>
        <v/>
      </c>
      <c r="AM459">
        <f>INDEX($T$435:$T$562,AF459+1)</f>
        <v/>
      </c>
      <c r="AN459">
        <f>INDEX($U$435:$U$562,AG459+1)</f>
        <v/>
      </c>
      <c r="AO459">
        <f>INDEX($V$435:$V$562,AH459+1)</f>
        <v/>
      </c>
      <c r="AP459">
        <f>INDEX($W$435:$W$562,AI459+1)</f>
        <v/>
      </c>
      <c r="AQ459">
        <f>IF(Q459&gt;=AJ459-0.01,1,0)</f>
        <v/>
      </c>
      <c r="AR459">
        <f>IF(R459&gt;=AK459-0.01,1,0)</f>
        <v/>
      </c>
      <c r="AS459">
        <f>IF(S459&gt;=AL459-0.01,1,0)</f>
        <v/>
      </c>
      <c r="AT459">
        <f>IF(T459&gt;=AM459-0.01,1,0)</f>
        <v/>
      </c>
      <c r="AU459">
        <f>IF(U459&gt;=AN459-0.01,1,0)</f>
        <v/>
      </c>
      <c r="AV459">
        <f>IF(V459&gt;=AO459-0.01,1,0)</f>
        <v/>
      </c>
      <c r="AW459">
        <f>IF(W459&gt;=AP459-0.01,1,0)</f>
        <v/>
      </c>
      <c r="AX459">
        <f>AQ459*AR459*AS459*AT459*AU459*AV459*AW459</f>
        <v/>
      </c>
      <c r="AY459">
        <f>Assumptions!$B$41</f>
        <v/>
      </c>
      <c r="AZ459">
        <f>Assumptions!$B$33</f>
        <v/>
      </c>
      <c r="BA459">
        <f>Assumptions!$B$32</f>
        <v/>
      </c>
      <c r="BB459">
        <f>Assumptions!$B$31</f>
        <v/>
      </c>
      <c r="BC459">
        <f>Assumptions!$B$30</f>
        <v/>
      </c>
      <c r="BD459">
        <f>Assumptions!$B$29</f>
        <v/>
      </c>
      <c r="BE459">
        <f>Assumptions!$B$28</f>
        <v/>
      </c>
      <c r="BF459">
        <f>P459*Assumptions!$B$141</f>
        <v/>
      </c>
      <c r="BG459">
        <f>P459*Assumptions!$B$128</f>
        <v/>
      </c>
      <c r="BH459">
        <f>P459*Assumptions!$B$129</f>
        <v/>
      </c>
      <c r="BI459">
        <f>P459*Assumptions!$B$14</f>
        <v/>
      </c>
      <c r="BJ459">
        <f>P459*Assumptions!$B$13</f>
        <v/>
      </c>
      <c r="BK459">
        <f>P459*Assumptions!$B$12</f>
        <v/>
      </c>
      <c r="BL459">
        <f>P459*Assumptions!$B$11</f>
        <v/>
      </c>
    </row>
    <row r="460">
      <c r="A460" t="inlineStr">
        <is>
          <t>4000M</t>
        </is>
      </c>
      <c r="B460">
        <f>Assumptions!$B$61</f>
        <v/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>
        <f>(1-C460)*Assumptions!$B$41+(1-D460)*Assumptions!$B$33+(1-E460)*Assumptions!$B$32+(1-F460)*Assumptions!$B$31+(1-G460)*Assumptions!$B$30+(1-H460)*Assumptions!$B$29+(1-I460)*Assumptions!$B$28</f>
        <v/>
      </c>
      <c r="K460">
        <f>C460*Assumptions!$B$141+D460*Assumptions!$B$128+E460*Assumptions!$B$129+F460*Assumptions!$B$14+G460*Assumptions!$B$13+H460*Assumptions!$B$12+I460*Assumptions!$B$11+Assumptions!$B$133+Assumptions!$B$137+Assumptions!$B$9</f>
        <v/>
      </c>
      <c r="L460">
        <f>B460-J460</f>
        <v/>
      </c>
      <c r="M460">
        <f>IF(K460&gt;0,IF(L460/K460&gt;=Assumptions!$B$37,1,0),0)</f>
        <v/>
      </c>
      <c r="N460">
        <f>K460+M460*Assumptions!$B$153</f>
        <v/>
      </c>
      <c r="O460">
        <f>L460+M460*Assumptions!$B$153*Assumptions!$B$37</f>
        <v/>
      </c>
      <c r="P460">
        <f>IF(N460&gt;0,O460/N460,0)</f>
        <v/>
      </c>
      <c r="Q460">
        <f>IF(C460=1,P460*Assumptions!$B$141,Assumptions!$B$41)</f>
        <v/>
      </c>
      <c r="R460">
        <f>IF(D460=1,P460*Assumptions!$B$128,Assumptions!$B$33)</f>
        <v/>
      </c>
      <c r="S460">
        <f>IF(E460=1,P460*Assumptions!$B$129,Assumptions!$B$32)</f>
        <v/>
      </c>
      <c r="T460">
        <f>IF(F460=1,P460*Assumptions!$B$14,Assumptions!$B$31)</f>
        <v/>
      </c>
      <c r="U460">
        <f>IF(G460=1,P460*Assumptions!$B$13,Assumptions!$B$30)</f>
        <v/>
      </c>
      <c r="V460">
        <f>IF(H460=1,P460*Assumptions!$B$12,Assumptions!$B$29)</f>
        <v/>
      </c>
      <c r="W460">
        <f>IF(I460=1,P460*Assumptions!$B$11,Assumptions!$B$28)</f>
        <v/>
      </c>
      <c r="X460">
        <f>P460*(Assumptions!$B$133+Assumptions!$B$137)</f>
        <v/>
      </c>
      <c r="Y460">
        <f>P460*Assumptions!$B$9</f>
        <v/>
      </c>
      <c r="Z460">
        <f>IF(M460=1,(P460-Assumptions!$B$37)*Assumptions!$B$153,0)</f>
        <v/>
      </c>
      <c r="AA460">
        <f>Q460+R460+S460+T460+U460+V460+W460+X460+Y460+Z460</f>
        <v/>
      </c>
      <c r="AB460" t="n">
        <v>25</v>
      </c>
      <c r="AC460" t="n">
        <v>89</v>
      </c>
      <c r="AD460" t="n">
        <v>57</v>
      </c>
      <c r="AE460" t="n">
        <v>9</v>
      </c>
      <c r="AF460" t="n">
        <v>17</v>
      </c>
      <c r="AG460" t="n">
        <v>29</v>
      </c>
      <c r="AH460" t="n">
        <v>27</v>
      </c>
      <c r="AI460" t="n">
        <v>24</v>
      </c>
      <c r="AJ460">
        <f>INDEX($Q$435:$Q$562,AC460+1)</f>
        <v/>
      </c>
      <c r="AK460">
        <f>INDEX($R$435:$R$562,AD460+1)</f>
        <v/>
      </c>
      <c r="AL460">
        <f>INDEX($S$435:$S$562,AE460+1)</f>
        <v/>
      </c>
      <c r="AM460">
        <f>INDEX($T$435:$T$562,AF460+1)</f>
        <v/>
      </c>
      <c r="AN460">
        <f>INDEX($U$435:$U$562,AG460+1)</f>
        <v/>
      </c>
      <c r="AO460">
        <f>INDEX($V$435:$V$562,AH460+1)</f>
        <v/>
      </c>
      <c r="AP460">
        <f>INDEX($W$435:$W$562,AI460+1)</f>
        <v/>
      </c>
      <c r="AQ460">
        <f>IF(Q460&gt;=AJ460-0.01,1,0)</f>
        <v/>
      </c>
      <c r="AR460">
        <f>IF(R460&gt;=AK460-0.01,1,0)</f>
        <v/>
      </c>
      <c r="AS460">
        <f>IF(S460&gt;=AL460-0.01,1,0)</f>
        <v/>
      </c>
      <c r="AT460">
        <f>IF(T460&gt;=AM460-0.01,1,0)</f>
        <v/>
      </c>
      <c r="AU460">
        <f>IF(U460&gt;=AN460-0.01,1,0)</f>
        <v/>
      </c>
      <c r="AV460">
        <f>IF(V460&gt;=AO460-0.01,1,0)</f>
        <v/>
      </c>
      <c r="AW460">
        <f>IF(W460&gt;=AP460-0.01,1,0)</f>
        <v/>
      </c>
      <c r="AX460">
        <f>AQ460*AR460*AS460*AT460*AU460*AV460*AW460</f>
        <v/>
      </c>
      <c r="AY460">
        <f>Assumptions!$B$41</f>
        <v/>
      </c>
      <c r="AZ460">
        <f>Assumptions!$B$33</f>
        <v/>
      </c>
      <c r="BA460">
        <f>Assumptions!$B$32</f>
        <v/>
      </c>
      <c r="BB460">
        <f>Assumptions!$B$31</f>
        <v/>
      </c>
      <c r="BC460">
        <f>Assumptions!$B$30</f>
        <v/>
      </c>
      <c r="BD460">
        <f>Assumptions!$B$29</f>
        <v/>
      </c>
      <c r="BE460">
        <f>Assumptions!$B$28</f>
        <v/>
      </c>
      <c r="BF460">
        <f>P460*Assumptions!$B$141</f>
        <v/>
      </c>
      <c r="BG460">
        <f>P460*Assumptions!$B$128</f>
        <v/>
      </c>
      <c r="BH460">
        <f>P460*Assumptions!$B$129</f>
        <v/>
      </c>
      <c r="BI460">
        <f>P460*Assumptions!$B$14</f>
        <v/>
      </c>
      <c r="BJ460">
        <f>P460*Assumptions!$B$13</f>
        <v/>
      </c>
      <c r="BK460">
        <f>P460*Assumptions!$B$12</f>
        <v/>
      </c>
      <c r="BL460">
        <f>P460*Assumptions!$B$11</f>
        <v/>
      </c>
    </row>
    <row r="461">
      <c r="A461" t="inlineStr">
        <is>
          <t>4000M</t>
        </is>
      </c>
      <c r="B461">
        <f>Assumptions!$B$61</f>
        <v/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>
        <f>(1-C461)*Assumptions!$B$41+(1-D461)*Assumptions!$B$33+(1-E461)*Assumptions!$B$32+(1-F461)*Assumptions!$B$31+(1-G461)*Assumptions!$B$30+(1-H461)*Assumptions!$B$29+(1-I461)*Assumptions!$B$28</f>
        <v/>
      </c>
      <c r="K461">
        <f>C461*Assumptions!$B$141+D461*Assumptions!$B$128+E461*Assumptions!$B$129+F461*Assumptions!$B$14+G461*Assumptions!$B$13+H461*Assumptions!$B$12+I461*Assumptions!$B$11+Assumptions!$B$133+Assumptions!$B$137+Assumptions!$B$9</f>
        <v/>
      </c>
      <c r="L461">
        <f>B461-J461</f>
        <v/>
      </c>
      <c r="M461">
        <f>IF(K461&gt;0,IF(L461/K461&gt;=Assumptions!$B$37,1,0),0)</f>
        <v/>
      </c>
      <c r="N461">
        <f>K461+M461*Assumptions!$B$153</f>
        <v/>
      </c>
      <c r="O461">
        <f>L461+M461*Assumptions!$B$153*Assumptions!$B$37</f>
        <v/>
      </c>
      <c r="P461">
        <f>IF(N461&gt;0,O461/N461,0)</f>
        <v/>
      </c>
      <c r="Q461">
        <f>IF(C461=1,P461*Assumptions!$B$141,Assumptions!$B$41)</f>
        <v/>
      </c>
      <c r="R461">
        <f>IF(D461=1,P461*Assumptions!$B$128,Assumptions!$B$33)</f>
        <v/>
      </c>
      <c r="S461">
        <f>IF(E461=1,P461*Assumptions!$B$129,Assumptions!$B$32)</f>
        <v/>
      </c>
      <c r="T461">
        <f>IF(F461=1,P461*Assumptions!$B$14,Assumptions!$B$31)</f>
        <v/>
      </c>
      <c r="U461">
        <f>IF(G461=1,P461*Assumptions!$B$13,Assumptions!$B$30)</f>
        <v/>
      </c>
      <c r="V461">
        <f>IF(H461=1,P461*Assumptions!$B$12,Assumptions!$B$29)</f>
        <v/>
      </c>
      <c r="W461">
        <f>IF(I461=1,P461*Assumptions!$B$11,Assumptions!$B$28)</f>
        <v/>
      </c>
      <c r="X461">
        <f>P461*(Assumptions!$B$133+Assumptions!$B$137)</f>
        <v/>
      </c>
      <c r="Y461">
        <f>P461*Assumptions!$B$9</f>
        <v/>
      </c>
      <c r="Z461">
        <f>IF(M461=1,(P461-Assumptions!$B$37)*Assumptions!$B$153,0)</f>
        <v/>
      </c>
      <c r="AA461">
        <f>Q461+R461+S461+T461+U461+V461+W461+X461+Y461+Z461</f>
        <v/>
      </c>
      <c r="AB461" t="n">
        <v>26</v>
      </c>
      <c r="AC461" t="n">
        <v>90</v>
      </c>
      <c r="AD461" t="n">
        <v>58</v>
      </c>
      <c r="AE461" t="n">
        <v>10</v>
      </c>
      <c r="AF461" t="n">
        <v>18</v>
      </c>
      <c r="AG461" t="n">
        <v>30</v>
      </c>
      <c r="AH461" t="n">
        <v>24</v>
      </c>
      <c r="AI461" t="n">
        <v>27</v>
      </c>
      <c r="AJ461">
        <f>INDEX($Q$435:$Q$562,AC461+1)</f>
        <v/>
      </c>
      <c r="AK461">
        <f>INDEX($R$435:$R$562,AD461+1)</f>
        <v/>
      </c>
      <c r="AL461">
        <f>INDEX($S$435:$S$562,AE461+1)</f>
        <v/>
      </c>
      <c r="AM461">
        <f>INDEX($T$435:$T$562,AF461+1)</f>
        <v/>
      </c>
      <c r="AN461">
        <f>INDEX($U$435:$U$562,AG461+1)</f>
        <v/>
      </c>
      <c r="AO461">
        <f>INDEX($V$435:$V$562,AH461+1)</f>
        <v/>
      </c>
      <c r="AP461">
        <f>INDEX($W$435:$W$562,AI461+1)</f>
        <v/>
      </c>
      <c r="AQ461">
        <f>IF(Q461&gt;=AJ461-0.01,1,0)</f>
        <v/>
      </c>
      <c r="AR461">
        <f>IF(R461&gt;=AK461-0.01,1,0)</f>
        <v/>
      </c>
      <c r="AS461">
        <f>IF(S461&gt;=AL461-0.01,1,0)</f>
        <v/>
      </c>
      <c r="AT461">
        <f>IF(T461&gt;=AM461-0.01,1,0)</f>
        <v/>
      </c>
      <c r="AU461">
        <f>IF(U461&gt;=AN461-0.01,1,0)</f>
        <v/>
      </c>
      <c r="AV461">
        <f>IF(V461&gt;=AO461-0.01,1,0)</f>
        <v/>
      </c>
      <c r="AW461">
        <f>IF(W461&gt;=AP461-0.01,1,0)</f>
        <v/>
      </c>
      <c r="AX461">
        <f>AQ461*AR461*AS461*AT461*AU461*AV461*AW461</f>
        <v/>
      </c>
      <c r="AY461">
        <f>Assumptions!$B$41</f>
        <v/>
      </c>
      <c r="AZ461">
        <f>Assumptions!$B$33</f>
        <v/>
      </c>
      <c r="BA461">
        <f>Assumptions!$B$32</f>
        <v/>
      </c>
      <c r="BB461">
        <f>Assumptions!$B$31</f>
        <v/>
      </c>
      <c r="BC461">
        <f>Assumptions!$B$30</f>
        <v/>
      </c>
      <c r="BD461">
        <f>Assumptions!$B$29</f>
        <v/>
      </c>
      <c r="BE461">
        <f>Assumptions!$B$28</f>
        <v/>
      </c>
      <c r="BF461">
        <f>P461*Assumptions!$B$141</f>
        <v/>
      </c>
      <c r="BG461">
        <f>P461*Assumptions!$B$128</f>
        <v/>
      </c>
      <c r="BH461">
        <f>P461*Assumptions!$B$129</f>
        <v/>
      </c>
      <c r="BI461">
        <f>P461*Assumptions!$B$14</f>
        <v/>
      </c>
      <c r="BJ461">
        <f>P461*Assumptions!$B$13</f>
        <v/>
      </c>
      <c r="BK461">
        <f>P461*Assumptions!$B$12</f>
        <v/>
      </c>
      <c r="BL461">
        <f>P461*Assumptions!$B$11</f>
        <v/>
      </c>
    </row>
    <row r="462">
      <c r="A462" t="inlineStr">
        <is>
          <t>4000M</t>
        </is>
      </c>
      <c r="B462">
        <f>Assumptions!$B$61</f>
        <v/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>
        <f>(1-C462)*Assumptions!$B$41+(1-D462)*Assumptions!$B$33+(1-E462)*Assumptions!$B$32+(1-F462)*Assumptions!$B$31+(1-G462)*Assumptions!$B$30+(1-H462)*Assumptions!$B$29+(1-I462)*Assumptions!$B$28</f>
        <v/>
      </c>
      <c r="K462">
        <f>C462*Assumptions!$B$141+D462*Assumptions!$B$128+E462*Assumptions!$B$129+F462*Assumptions!$B$14+G462*Assumptions!$B$13+H462*Assumptions!$B$12+I462*Assumptions!$B$11+Assumptions!$B$133+Assumptions!$B$137+Assumptions!$B$9</f>
        <v/>
      </c>
      <c r="L462">
        <f>B462-J462</f>
        <v/>
      </c>
      <c r="M462">
        <f>IF(K462&gt;0,IF(L462/K462&gt;=Assumptions!$B$37,1,0),0)</f>
        <v/>
      </c>
      <c r="N462">
        <f>K462+M462*Assumptions!$B$153</f>
        <v/>
      </c>
      <c r="O462">
        <f>L462+M462*Assumptions!$B$153*Assumptions!$B$37</f>
        <v/>
      </c>
      <c r="P462">
        <f>IF(N462&gt;0,O462/N462,0)</f>
        <v/>
      </c>
      <c r="Q462">
        <f>IF(C462=1,P462*Assumptions!$B$141,Assumptions!$B$41)</f>
        <v/>
      </c>
      <c r="R462">
        <f>IF(D462=1,P462*Assumptions!$B$128,Assumptions!$B$33)</f>
        <v/>
      </c>
      <c r="S462">
        <f>IF(E462=1,P462*Assumptions!$B$129,Assumptions!$B$32)</f>
        <v/>
      </c>
      <c r="T462">
        <f>IF(F462=1,P462*Assumptions!$B$14,Assumptions!$B$31)</f>
        <v/>
      </c>
      <c r="U462">
        <f>IF(G462=1,P462*Assumptions!$B$13,Assumptions!$B$30)</f>
        <v/>
      </c>
      <c r="V462">
        <f>IF(H462=1,P462*Assumptions!$B$12,Assumptions!$B$29)</f>
        <v/>
      </c>
      <c r="W462">
        <f>IF(I462=1,P462*Assumptions!$B$11,Assumptions!$B$28)</f>
        <v/>
      </c>
      <c r="X462">
        <f>P462*(Assumptions!$B$133+Assumptions!$B$137)</f>
        <v/>
      </c>
      <c r="Y462">
        <f>P462*Assumptions!$B$9</f>
        <v/>
      </c>
      <c r="Z462">
        <f>IF(M462=1,(P462-Assumptions!$B$37)*Assumptions!$B$153,0)</f>
        <v/>
      </c>
      <c r="AA462">
        <f>Q462+R462+S462+T462+U462+V462+W462+X462+Y462+Z462</f>
        <v/>
      </c>
      <c r="AB462" t="n">
        <v>27</v>
      </c>
      <c r="AC462" t="n">
        <v>91</v>
      </c>
      <c r="AD462" t="n">
        <v>59</v>
      </c>
      <c r="AE462" t="n">
        <v>11</v>
      </c>
      <c r="AF462" t="n">
        <v>19</v>
      </c>
      <c r="AG462" t="n">
        <v>31</v>
      </c>
      <c r="AH462" t="n">
        <v>25</v>
      </c>
      <c r="AI462" t="n">
        <v>26</v>
      </c>
      <c r="AJ462">
        <f>INDEX($Q$435:$Q$562,AC462+1)</f>
        <v/>
      </c>
      <c r="AK462">
        <f>INDEX($R$435:$R$562,AD462+1)</f>
        <v/>
      </c>
      <c r="AL462">
        <f>INDEX($S$435:$S$562,AE462+1)</f>
        <v/>
      </c>
      <c r="AM462">
        <f>INDEX($T$435:$T$562,AF462+1)</f>
        <v/>
      </c>
      <c r="AN462">
        <f>INDEX($U$435:$U$562,AG462+1)</f>
        <v/>
      </c>
      <c r="AO462">
        <f>INDEX($V$435:$V$562,AH462+1)</f>
        <v/>
      </c>
      <c r="AP462">
        <f>INDEX($W$435:$W$562,AI462+1)</f>
        <v/>
      </c>
      <c r="AQ462">
        <f>IF(Q462&gt;=AJ462-0.01,1,0)</f>
        <v/>
      </c>
      <c r="AR462">
        <f>IF(R462&gt;=AK462-0.01,1,0)</f>
        <v/>
      </c>
      <c r="AS462">
        <f>IF(S462&gt;=AL462-0.01,1,0)</f>
        <v/>
      </c>
      <c r="AT462">
        <f>IF(T462&gt;=AM462-0.01,1,0)</f>
        <v/>
      </c>
      <c r="AU462">
        <f>IF(U462&gt;=AN462-0.01,1,0)</f>
        <v/>
      </c>
      <c r="AV462">
        <f>IF(V462&gt;=AO462-0.01,1,0)</f>
        <v/>
      </c>
      <c r="AW462">
        <f>IF(W462&gt;=AP462-0.01,1,0)</f>
        <v/>
      </c>
      <c r="AX462">
        <f>AQ462*AR462*AS462*AT462*AU462*AV462*AW462</f>
        <v/>
      </c>
      <c r="AY462">
        <f>Assumptions!$B$41</f>
        <v/>
      </c>
      <c r="AZ462">
        <f>Assumptions!$B$33</f>
        <v/>
      </c>
      <c r="BA462">
        <f>Assumptions!$B$32</f>
        <v/>
      </c>
      <c r="BB462">
        <f>Assumptions!$B$31</f>
        <v/>
      </c>
      <c r="BC462">
        <f>Assumptions!$B$30</f>
        <v/>
      </c>
      <c r="BD462">
        <f>Assumptions!$B$29</f>
        <v/>
      </c>
      <c r="BE462">
        <f>Assumptions!$B$28</f>
        <v/>
      </c>
      <c r="BF462">
        <f>P462*Assumptions!$B$141</f>
        <v/>
      </c>
      <c r="BG462">
        <f>P462*Assumptions!$B$128</f>
        <v/>
      </c>
      <c r="BH462">
        <f>P462*Assumptions!$B$129</f>
        <v/>
      </c>
      <c r="BI462">
        <f>P462*Assumptions!$B$14</f>
        <v/>
      </c>
      <c r="BJ462">
        <f>P462*Assumptions!$B$13</f>
        <v/>
      </c>
      <c r="BK462">
        <f>P462*Assumptions!$B$12</f>
        <v/>
      </c>
      <c r="BL462">
        <f>P462*Assumptions!$B$11</f>
        <v/>
      </c>
    </row>
    <row r="463">
      <c r="A463" t="inlineStr">
        <is>
          <t>4000M</t>
        </is>
      </c>
      <c r="B463">
        <f>Assumptions!$B$61</f>
        <v/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>
        <f>(1-C463)*Assumptions!$B$41+(1-D463)*Assumptions!$B$33+(1-E463)*Assumptions!$B$32+(1-F463)*Assumptions!$B$31+(1-G463)*Assumptions!$B$30+(1-H463)*Assumptions!$B$29+(1-I463)*Assumptions!$B$28</f>
        <v/>
      </c>
      <c r="K463">
        <f>C463*Assumptions!$B$141+D463*Assumptions!$B$128+E463*Assumptions!$B$129+F463*Assumptions!$B$14+G463*Assumptions!$B$13+H463*Assumptions!$B$12+I463*Assumptions!$B$11+Assumptions!$B$133+Assumptions!$B$137+Assumptions!$B$9</f>
        <v/>
      </c>
      <c r="L463">
        <f>B463-J463</f>
        <v/>
      </c>
      <c r="M463">
        <f>IF(K463&gt;0,IF(L463/K463&gt;=Assumptions!$B$37,1,0),0)</f>
        <v/>
      </c>
      <c r="N463">
        <f>K463+M463*Assumptions!$B$153</f>
        <v/>
      </c>
      <c r="O463">
        <f>L463+M463*Assumptions!$B$153*Assumptions!$B$37</f>
        <v/>
      </c>
      <c r="P463">
        <f>IF(N463&gt;0,O463/N463,0)</f>
        <v/>
      </c>
      <c r="Q463">
        <f>IF(C463=1,P463*Assumptions!$B$141,Assumptions!$B$41)</f>
        <v/>
      </c>
      <c r="R463">
        <f>IF(D463=1,P463*Assumptions!$B$128,Assumptions!$B$33)</f>
        <v/>
      </c>
      <c r="S463">
        <f>IF(E463=1,P463*Assumptions!$B$129,Assumptions!$B$32)</f>
        <v/>
      </c>
      <c r="T463">
        <f>IF(F463=1,P463*Assumptions!$B$14,Assumptions!$B$31)</f>
        <v/>
      </c>
      <c r="U463">
        <f>IF(G463=1,P463*Assumptions!$B$13,Assumptions!$B$30)</f>
        <v/>
      </c>
      <c r="V463">
        <f>IF(H463=1,P463*Assumptions!$B$12,Assumptions!$B$29)</f>
        <v/>
      </c>
      <c r="W463">
        <f>IF(I463=1,P463*Assumptions!$B$11,Assumptions!$B$28)</f>
        <v/>
      </c>
      <c r="X463">
        <f>P463*(Assumptions!$B$133+Assumptions!$B$137)</f>
        <v/>
      </c>
      <c r="Y463">
        <f>P463*Assumptions!$B$9</f>
        <v/>
      </c>
      <c r="Z463">
        <f>IF(M463=1,(P463-Assumptions!$B$37)*Assumptions!$B$153,0)</f>
        <v/>
      </c>
      <c r="AA463">
        <f>Q463+R463+S463+T463+U463+V463+W463+X463+Y463+Z463</f>
        <v/>
      </c>
      <c r="AB463" t="n">
        <v>28</v>
      </c>
      <c r="AC463" t="n">
        <v>92</v>
      </c>
      <c r="AD463" t="n">
        <v>60</v>
      </c>
      <c r="AE463" t="n">
        <v>12</v>
      </c>
      <c r="AF463" t="n">
        <v>20</v>
      </c>
      <c r="AG463" t="n">
        <v>24</v>
      </c>
      <c r="AH463" t="n">
        <v>30</v>
      </c>
      <c r="AI463" t="n">
        <v>29</v>
      </c>
      <c r="AJ463">
        <f>INDEX($Q$435:$Q$562,AC463+1)</f>
        <v/>
      </c>
      <c r="AK463">
        <f>INDEX($R$435:$R$562,AD463+1)</f>
        <v/>
      </c>
      <c r="AL463">
        <f>INDEX($S$435:$S$562,AE463+1)</f>
        <v/>
      </c>
      <c r="AM463">
        <f>INDEX($T$435:$T$562,AF463+1)</f>
        <v/>
      </c>
      <c r="AN463">
        <f>INDEX($U$435:$U$562,AG463+1)</f>
        <v/>
      </c>
      <c r="AO463">
        <f>INDEX($V$435:$V$562,AH463+1)</f>
        <v/>
      </c>
      <c r="AP463">
        <f>INDEX($W$435:$W$562,AI463+1)</f>
        <v/>
      </c>
      <c r="AQ463">
        <f>IF(Q463&gt;=AJ463-0.01,1,0)</f>
        <v/>
      </c>
      <c r="AR463">
        <f>IF(R463&gt;=AK463-0.01,1,0)</f>
        <v/>
      </c>
      <c r="AS463">
        <f>IF(S463&gt;=AL463-0.01,1,0)</f>
        <v/>
      </c>
      <c r="AT463">
        <f>IF(T463&gt;=AM463-0.01,1,0)</f>
        <v/>
      </c>
      <c r="AU463">
        <f>IF(U463&gt;=AN463-0.01,1,0)</f>
        <v/>
      </c>
      <c r="AV463">
        <f>IF(V463&gt;=AO463-0.01,1,0)</f>
        <v/>
      </c>
      <c r="AW463">
        <f>IF(W463&gt;=AP463-0.01,1,0)</f>
        <v/>
      </c>
      <c r="AX463">
        <f>AQ463*AR463*AS463*AT463*AU463*AV463*AW463</f>
        <v/>
      </c>
      <c r="AY463">
        <f>Assumptions!$B$41</f>
        <v/>
      </c>
      <c r="AZ463">
        <f>Assumptions!$B$33</f>
        <v/>
      </c>
      <c r="BA463">
        <f>Assumptions!$B$32</f>
        <v/>
      </c>
      <c r="BB463">
        <f>Assumptions!$B$31</f>
        <v/>
      </c>
      <c r="BC463">
        <f>Assumptions!$B$30</f>
        <v/>
      </c>
      <c r="BD463">
        <f>Assumptions!$B$29</f>
        <v/>
      </c>
      <c r="BE463">
        <f>Assumptions!$B$28</f>
        <v/>
      </c>
      <c r="BF463">
        <f>P463*Assumptions!$B$141</f>
        <v/>
      </c>
      <c r="BG463">
        <f>P463*Assumptions!$B$128</f>
        <v/>
      </c>
      <c r="BH463">
        <f>P463*Assumptions!$B$129</f>
        <v/>
      </c>
      <c r="BI463">
        <f>P463*Assumptions!$B$14</f>
        <v/>
      </c>
      <c r="BJ463">
        <f>P463*Assumptions!$B$13</f>
        <v/>
      </c>
      <c r="BK463">
        <f>P463*Assumptions!$B$12</f>
        <v/>
      </c>
      <c r="BL463">
        <f>P463*Assumptions!$B$11</f>
        <v/>
      </c>
    </row>
    <row r="464">
      <c r="A464" t="inlineStr">
        <is>
          <t>4000M</t>
        </is>
      </c>
      <c r="B464">
        <f>Assumptions!$B$61</f>
        <v/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>
        <f>(1-C464)*Assumptions!$B$41+(1-D464)*Assumptions!$B$33+(1-E464)*Assumptions!$B$32+(1-F464)*Assumptions!$B$31+(1-G464)*Assumptions!$B$30+(1-H464)*Assumptions!$B$29+(1-I464)*Assumptions!$B$28</f>
        <v/>
      </c>
      <c r="K464">
        <f>C464*Assumptions!$B$141+D464*Assumptions!$B$128+E464*Assumptions!$B$129+F464*Assumptions!$B$14+G464*Assumptions!$B$13+H464*Assumptions!$B$12+I464*Assumptions!$B$11+Assumptions!$B$133+Assumptions!$B$137+Assumptions!$B$9</f>
        <v/>
      </c>
      <c r="L464">
        <f>B464-J464</f>
        <v/>
      </c>
      <c r="M464">
        <f>IF(K464&gt;0,IF(L464/K464&gt;=Assumptions!$B$37,1,0),0)</f>
        <v/>
      </c>
      <c r="N464">
        <f>K464+M464*Assumptions!$B$153</f>
        <v/>
      </c>
      <c r="O464">
        <f>L464+M464*Assumptions!$B$153*Assumptions!$B$37</f>
        <v/>
      </c>
      <c r="P464">
        <f>IF(N464&gt;0,O464/N464,0)</f>
        <v/>
      </c>
      <c r="Q464">
        <f>IF(C464=1,P464*Assumptions!$B$141,Assumptions!$B$41)</f>
        <v/>
      </c>
      <c r="R464">
        <f>IF(D464=1,P464*Assumptions!$B$128,Assumptions!$B$33)</f>
        <v/>
      </c>
      <c r="S464">
        <f>IF(E464=1,P464*Assumptions!$B$129,Assumptions!$B$32)</f>
        <v/>
      </c>
      <c r="T464">
        <f>IF(F464=1,P464*Assumptions!$B$14,Assumptions!$B$31)</f>
        <v/>
      </c>
      <c r="U464">
        <f>IF(G464=1,P464*Assumptions!$B$13,Assumptions!$B$30)</f>
        <v/>
      </c>
      <c r="V464">
        <f>IF(H464=1,P464*Assumptions!$B$12,Assumptions!$B$29)</f>
        <v/>
      </c>
      <c r="W464">
        <f>IF(I464=1,P464*Assumptions!$B$11,Assumptions!$B$28)</f>
        <v/>
      </c>
      <c r="X464">
        <f>P464*(Assumptions!$B$133+Assumptions!$B$137)</f>
        <v/>
      </c>
      <c r="Y464">
        <f>P464*Assumptions!$B$9</f>
        <v/>
      </c>
      <c r="Z464">
        <f>IF(M464=1,(P464-Assumptions!$B$37)*Assumptions!$B$153,0)</f>
        <v/>
      </c>
      <c r="AA464">
        <f>Q464+R464+S464+T464+U464+V464+W464+X464+Y464+Z464</f>
        <v/>
      </c>
      <c r="AB464" t="n">
        <v>29</v>
      </c>
      <c r="AC464" t="n">
        <v>93</v>
      </c>
      <c r="AD464" t="n">
        <v>61</v>
      </c>
      <c r="AE464" t="n">
        <v>13</v>
      </c>
      <c r="AF464" t="n">
        <v>21</v>
      </c>
      <c r="AG464" t="n">
        <v>25</v>
      </c>
      <c r="AH464" t="n">
        <v>31</v>
      </c>
      <c r="AI464" t="n">
        <v>28</v>
      </c>
      <c r="AJ464">
        <f>INDEX($Q$435:$Q$562,AC464+1)</f>
        <v/>
      </c>
      <c r="AK464">
        <f>INDEX($R$435:$R$562,AD464+1)</f>
        <v/>
      </c>
      <c r="AL464">
        <f>INDEX($S$435:$S$562,AE464+1)</f>
        <v/>
      </c>
      <c r="AM464">
        <f>INDEX($T$435:$T$562,AF464+1)</f>
        <v/>
      </c>
      <c r="AN464">
        <f>INDEX($U$435:$U$562,AG464+1)</f>
        <v/>
      </c>
      <c r="AO464">
        <f>INDEX($V$435:$V$562,AH464+1)</f>
        <v/>
      </c>
      <c r="AP464">
        <f>INDEX($W$435:$W$562,AI464+1)</f>
        <v/>
      </c>
      <c r="AQ464">
        <f>IF(Q464&gt;=AJ464-0.01,1,0)</f>
        <v/>
      </c>
      <c r="AR464">
        <f>IF(R464&gt;=AK464-0.01,1,0)</f>
        <v/>
      </c>
      <c r="AS464">
        <f>IF(S464&gt;=AL464-0.01,1,0)</f>
        <v/>
      </c>
      <c r="AT464">
        <f>IF(T464&gt;=AM464-0.01,1,0)</f>
        <v/>
      </c>
      <c r="AU464">
        <f>IF(U464&gt;=AN464-0.01,1,0)</f>
        <v/>
      </c>
      <c r="AV464">
        <f>IF(V464&gt;=AO464-0.01,1,0)</f>
        <v/>
      </c>
      <c r="AW464">
        <f>IF(W464&gt;=AP464-0.01,1,0)</f>
        <v/>
      </c>
      <c r="AX464">
        <f>AQ464*AR464*AS464*AT464*AU464*AV464*AW464</f>
        <v/>
      </c>
      <c r="AY464">
        <f>Assumptions!$B$41</f>
        <v/>
      </c>
      <c r="AZ464">
        <f>Assumptions!$B$33</f>
        <v/>
      </c>
      <c r="BA464">
        <f>Assumptions!$B$32</f>
        <v/>
      </c>
      <c r="BB464">
        <f>Assumptions!$B$31</f>
        <v/>
      </c>
      <c r="BC464">
        <f>Assumptions!$B$30</f>
        <v/>
      </c>
      <c r="BD464">
        <f>Assumptions!$B$29</f>
        <v/>
      </c>
      <c r="BE464">
        <f>Assumptions!$B$28</f>
        <v/>
      </c>
      <c r="BF464">
        <f>P464*Assumptions!$B$141</f>
        <v/>
      </c>
      <c r="BG464">
        <f>P464*Assumptions!$B$128</f>
        <v/>
      </c>
      <c r="BH464">
        <f>P464*Assumptions!$B$129</f>
        <v/>
      </c>
      <c r="BI464">
        <f>P464*Assumptions!$B$14</f>
        <v/>
      </c>
      <c r="BJ464">
        <f>P464*Assumptions!$B$13</f>
        <v/>
      </c>
      <c r="BK464">
        <f>P464*Assumptions!$B$12</f>
        <v/>
      </c>
      <c r="BL464">
        <f>P464*Assumptions!$B$11</f>
        <v/>
      </c>
    </row>
    <row r="465">
      <c r="A465" t="inlineStr">
        <is>
          <t>4000M</t>
        </is>
      </c>
      <c r="B465">
        <f>Assumptions!$B$61</f>
        <v/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>
        <f>(1-C465)*Assumptions!$B$41+(1-D465)*Assumptions!$B$33+(1-E465)*Assumptions!$B$32+(1-F465)*Assumptions!$B$31+(1-G465)*Assumptions!$B$30+(1-H465)*Assumptions!$B$29+(1-I465)*Assumptions!$B$28</f>
        <v/>
      </c>
      <c r="K465">
        <f>C465*Assumptions!$B$141+D465*Assumptions!$B$128+E465*Assumptions!$B$129+F465*Assumptions!$B$14+G465*Assumptions!$B$13+H465*Assumptions!$B$12+I465*Assumptions!$B$11+Assumptions!$B$133+Assumptions!$B$137+Assumptions!$B$9</f>
        <v/>
      </c>
      <c r="L465">
        <f>B465-J465</f>
        <v/>
      </c>
      <c r="M465">
        <f>IF(K465&gt;0,IF(L465/K465&gt;=Assumptions!$B$37,1,0),0)</f>
        <v/>
      </c>
      <c r="N465">
        <f>K465+M465*Assumptions!$B$153</f>
        <v/>
      </c>
      <c r="O465">
        <f>L465+M465*Assumptions!$B$153*Assumptions!$B$37</f>
        <v/>
      </c>
      <c r="P465">
        <f>IF(N465&gt;0,O465/N465,0)</f>
        <v/>
      </c>
      <c r="Q465">
        <f>IF(C465=1,P465*Assumptions!$B$141,Assumptions!$B$41)</f>
        <v/>
      </c>
      <c r="R465">
        <f>IF(D465=1,P465*Assumptions!$B$128,Assumptions!$B$33)</f>
        <v/>
      </c>
      <c r="S465">
        <f>IF(E465=1,P465*Assumptions!$B$129,Assumptions!$B$32)</f>
        <v/>
      </c>
      <c r="T465">
        <f>IF(F465=1,P465*Assumptions!$B$14,Assumptions!$B$31)</f>
        <v/>
      </c>
      <c r="U465">
        <f>IF(G465=1,P465*Assumptions!$B$13,Assumptions!$B$30)</f>
        <v/>
      </c>
      <c r="V465">
        <f>IF(H465=1,P465*Assumptions!$B$12,Assumptions!$B$29)</f>
        <v/>
      </c>
      <c r="W465">
        <f>IF(I465=1,P465*Assumptions!$B$11,Assumptions!$B$28)</f>
        <v/>
      </c>
      <c r="X465">
        <f>P465*(Assumptions!$B$133+Assumptions!$B$137)</f>
        <v/>
      </c>
      <c r="Y465">
        <f>P465*Assumptions!$B$9</f>
        <v/>
      </c>
      <c r="Z465">
        <f>IF(M465=1,(P465-Assumptions!$B$37)*Assumptions!$B$153,0)</f>
        <v/>
      </c>
      <c r="AA465">
        <f>Q465+R465+S465+T465+U465+V465+W465+X465+Y465+Z465</f>
        <v/>
      </c>
      <c r="AB465" t="n">
        <v>30</v>
      </c>
      <c r="AC465" t="n">
        <v>94</v>
      </c>
      <c r="AD465" t="n">
        <v>62</v>
      </c>
      <c r="AE465" t="n">
        <v>14</v>
      </c>
      <c r="AF465" t="n">
        <v>22</v>
      </c>
      <c r="AG465" t="n">
        <v>26</v>
      </c>
      <c r="AH465" t="n">
        <v>28</v>
      </c>
      <c r="AI465" t="n">
        <v>31</v>
      </c>
      <c r="AJ465">
        <f>INDEX($Q$435:$Q$562,AC465+1)</f>
        <v/>
      </c>
      <c r="AK465">
        <f>INDEX($R$435:$R$562,AD465+1)</f>
        <v/>
      </c>
      <c r="AL465">
        <f>INDEX($S$435:$S$562,AE465+1)</f>
        <v/>
      </c>
      <c r="AM465">
        <f>INDEX($T$435:$T$562,AF465+1)</f>
        <v/>
      </c>
      <c r="AN465">
        <f>INDEX($U$435:$U$562,AG465+1)</f>
        <v/>
      </c>
      <c r="AO465">
        <f>INDEX($V$435:$V$562,AH465+1)</f>
        <v/>
      </c>
      <c r="AP465">
        <f>INDEX($W$435:$W$562,AI465+1)</f>
        <v/>
      </c>
      <c r="AQ465">
        <f>IF(Q465&gt;=AJ465-0.01,1,0)</f>
        <v/>
      </c>
      <c r="AR465">
        <f>IF(R465&gt;=AK465-0.01,1,0)</f>
        <v/>
      </c>
      <c r="AS465">
        <f>IF(S465&gt;=AL465-0.01,1,0)</f>
        <v/>
      </c>
      <c r="AT465">
        <f>IF(T465&gt;=AM465-0.01,1,0)</f>
        <v/>
      </c>
      <c r="AU465">
        <f>IF(U465&gt;=AN465-0.01,1,0)</f>
        <v/>
      </c>
      <c r="AV465">
        <f>IF(V465&gt;=AO465-0.01,1,0)</f>
        <v/>
      </c>
      <c r="AW465">
        <f>IF(W465&gt;=AP465-0.01,1,0)</f>
        <v/>
      </c>
      <c r="AX465">
        <f>AQ465*AR465*AS465*AT465*AU465*AV465*AW465</f>
        <v/>
      </c>
      <c r="AY465">
        <f>Assumptions!$B$41</f>
        <v/>
      </c>
      <c r="AZ465">
        <f>Assumptions!$B$33</f>
        <v/>
      </c>
      <c r="BA465">
        <f>Assumptions!$B$32</f>
        <v/>
      </c>
      <c r="BB465">
        <f>Assumptions!$B$31</f>
        <v/>
      </c>
      <c r="BC465">
        <f>Assumptions!$B$30</f>
        <v/>
      </c>
      <c r="BD465">
        <f>Assumptions!$B$29</f>
        <v/>
      </c>
      <c r="BE465">
        <f>Assumptions!$B$28</f>
        <v/>
      </c>
      <c r="BF465">
        <f>P465*Assumptions!$B$141</f>
        <v/>
      </c>
      <c r="BG465">
        <f>P465*Assumptions!$B$128</f>
        <v/>
      </c>
      <c r="BH465">
        <f>P465*Assumptions!$B$129</f>
        <v/>
      </c>
      <c r="BI465">
        <f>P465*Assumptions!$B$14</f>
        <v/>
      </c>
      <c r="BJ465">
        <f>P465*Assumptions!$B$13</f>
        <v/>
      </c>
      <c r="BK465">
        <f>P465*Assumptions!$B$12</f>
        <v/>
      </c>
      <c r="BL465">
        <f>P465*Assumptions!$B$11</f>
        <v/>
      </c>
    </row>
    <row r="466">
      <c r="A466" t="inlineStr">
        <is>
          <t>4000M</t>
        </is>
      </c>
      <c r="B466">
        <f>Assumptions!$B$61</f>
        <v/>
      </c>
      <c r="C466" t="n">
        <v>0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>
        <f>(1-C466)*Assumptions!$B$41+(1-D466)*Assumptions!$B$33+(1-E466)*Assumptions!$B$32+(1-F466)*Assumptions!$B$31+(1-G466)*Assumptions!$B$30+(1-H466)*Assumptions!$B$29+(1-I466)*Assumptions!$B$28</f>
        <v/>
      </c>
      <c r="K466">
        <f>C466*Assumptions!$B$141+D466*Assumptions!$B$128+E466*Assumptions!$B$129+F466*Assumptions!$B$14+G466*Assumptions!$B$13+H466*Assumptions!$B$12+I466*Assumptions!$B$11+Assumptions!$B$133+Assumptions!$B$137+Assumptions!$B$9</f>
        <v/>
      </c>
      <c r="L466">
        <f>B466-J466</f>
        <v/>
      </c>
      <c r="M466">
        <f>IF(K466&gt;0,IF(L466/K466&gt;=Assumptions!$B$37,1,0),0)</f>
        <v/>
      </c>
      <c r="N466">
        <f>K466+M466*Assumptions!$B$153</f>
        <v/>
      </c>
      <c r="O466">
        <f>L466+M466*Assumptions!$B$153*Assumptions!$B$37</f>
        <v/>
      </c>
      <c r="P466">
        <f>IF(N466&gt;0,O466/N466,0)</f>
        <v/>
      </c>
      <c r="Q466">
        <f>IF(C466=1,P466*Assumptions!$B$141,Assumptions!$B$41)</f>
        <v/>
      </c>
      <c r="R466">
        <f>IF(D466=1,P466*Assumptions!$B$128,Assumptions!$B$33)</f>
        <v/>
      </c>
      <c r="S466">
        <f>IF(E466=1,P466*Assumptions!$B$129,Assumptions!$B$32)</f>
        <v/>
      </c>
      <c r="T466">
        <f>IF(F466=1,P466*Assumptions!$B$14,Assumptions!$B$31)</f>
        <v/>
      </c>
      <c r="U466">
        <f>IF(G466=1,P466*Assumptions!$B$13,Assumptions!$B$30)</f>
        <v/>
      </c>
      <c r="V466">
        <f>IF(H466=1,P466*Assumptions!$B$12,Assumptions!$B$29)</f>
        <v/>
      </c>
      <c r="W466">
        <f>IF(I466=1,P466*Assumptions!$B$11,Assumptions!$B$28)</f>
        <v/>
      </c>
      <c r="X466">
        <f>P466*(Assumptions!$B$133+Assumptions!$B$137)</f>
        <v/>
      </c>
      <c r="Y466">
        <f>P466*Assumptions!$B$9</f>
        <v/>
      </c>
      <c r="Z466">
        <f>IF(M466=1,(P466-Assumptions!$B$37)*Assumptions!$B$153,0)</f>
        <v/>
      </c>
      <c r="AA466">
        <f>Q466+R466+S466+T466+U466+V466+W466+X466+Y466+Z466</f>
        <v/>
      </c>
      <c r="AB466" t="n">
        <v>31</v>
      </c>
      <c r="AC466" t="n">
        <v>95</v>
      </c>
      <c r="AD466" t="n">
        <v>63</v>
      </c>
      <c r="AE466" t="n">
        <v>15</v>
      </c>
      <c r="AF466" t="n">
        <v>23</v>
      </c>
      <c r="AG466" t="n">
        <v>27</v>
      </c>
      <c r="AH466" t="n">
        <v>29</v>
      </c>
      <c r="AI466" t="n">
        <v>30</v>
      </c>
      <c r="AJ466">
        <f>INDEX($Q$435:$Q$562,AC466+1)</f>
        <v/>
      </c>
      <c r="AK466">
        <f>INDEX($R$435:$R$562,AD466+1)</f>
        <v/>
      </c>
      <c r="AL466">
        <f>INDEX($S$435:$S$562,AE466+1)</f>
        <v/>
      </c>
      <c r="AM466">
        <f>INDEX($T$435:$T$562,AF466+1)</f>
        <v/>
      </c>
      <c r="AN466">
        <f>INDEX($U$435:$U$562,AG466+1)</f>
        <v/>
      </c>
      <c r="AO466">
        <f>INDEX($V$435:$V$562,AH466+1)</f>
        <v/>
      </c>
      <c r="AP466">
        <f>INDEX($W$435:$W$562,AI466+1)</f>
        <v/>
      </c>
      <c r="AQ466">
        <f>IF(Q466&gt;=AJ466-0.01,1,0)</f>
        <v/>
      </c>
      <c r="AR466">
        <f>IF(R466&gt;=AK466-0.01,1,0)</f>
        <v/>
      </c>
      <c r="AS466">
        <f>IF(S466&gt;=AL466-0.01,1,0)</f>
        <v/>
      </c>
      <c r="AT466">
        <f>IF(T466&gt;=AM466-0.01,1,0)</f>
        <v/>
      </c>
      <c r="AU466">
        <f>IF(U466&gt;=AN466-0.01,1,0)</f>
        <v/>
      </c>
      <c r="AV466">
        <f>IF(V466&gt;=AO466-0.01,1,0)</f>
        <v/>
      </c>
      <c r="AW466">
        <f>IF(W466&gt;=AP466-0.01,1,0)</f>
        <v/>
      </c>
      <c r="AX466">
        <f>AQ466*AR466*AS466*AT466*AU466*AV466*AW466</f>
        <v/>
      </c>
      <c r="AY466">
        <f>Assumptions!$B$41</f>
        <v/>
      </c>
      <c r="AZ466">
        <f>Assumptions!$B$33</f>
        <v/>
      </c>
      <c r="BA466">
        <f>Assumptions!$B$32</f>
        <v/>
      </c>
      <c r="BB466">
        <f>Assumptions!$B$31</f>
        <v/>
      </c>
      <c r="BC466">
        <f>Assumptions!$B$30</f>
        <v/>
      </c>
      <c r="BD466">
        <f>Assumptions!$B$29</f>
        <v/>
      </c>
      <c r="BE466">
        <f>Assumptions!$B$28</f>
        <v/>
      </c>
      <c r="BF466">
        <f>P466*Assumptions!$B$141</f>
        <v/>
      </c>
      <c r="BG466">
        <f>P466*Assumptions!$B$128</f>
        <v/>
      </c>
      <c r="BH466">
        <f>P466*Assumptions!$B$129</f>
        <v/>
      </c>
      <c r="BI466">
        <f>P466*Assumptions!$B$14</f>
        <v/>
      </c>
      <c r="BJ466">
        <f>P466*Assumptions!$B$13</f>
        <v/>
      </c>
      <c r="BK466">
        <f>P466*Assumptions!$B$12</f>
        <v/>
      </c>
      <c r="BL466">
        <f>P466*Assumptions!$B$11</f>
        <v/>
      </c>
    </row>
    <row r="467">
      <c r="A467" t="inlineStr">
        <is>
          <t>4000M</t>
        </is>
      </c>
      <c r="B467">
        <f>Assumptions!$B$61</f>
        <v/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>
        <f>(1-C467)*Assumptions!$B$41+(1-D467)*Assumptions!$B$33+(1-E467)*Assumptions!$B$32+(1-F467)*Assumptions!$B$31+(1-G467)*Assumptions!$B$30+(1-H467)*Assumptions!$B$29+(1-I467)*Assumptions!$B$28</f>
        <v/>
      </c>
      <c r="K467">
        <f>C467*Assumptions!$B$141+D467*Assumptions!$B$128+E467*Assumptions!$B$129+F467*Assumptions!$B$14+G467*Assumptions!$B$13+H467*Assumptions!$B$12+I467*Assumptions!$B$11+Assumptions!$B$133+Assumptions!$B$137+Assumptions!$B$9</f>
        <v/>
      </c>
      <c r="L467">
        <f>B467-J467</f>
        <v/>
      </c>
      <c r="M467">
        <f>IF(K467&gt;0,IF(L467/K467&gt;=Assumptions!$B$37,1,0),0)</f>
        <v/>
      </c>
      <c r="N467">
        <f>K467+M467*Assumptions!$B$153</f>
        <v/>
      </c>
      <c r="O467">
        <f>L467+M467*Assumptions!$B$153*Assumptions!$B$37</f>
        <v/>
      </c>
      <c r="P467">
        <f>IF(N467&gt;0,O467/N467,0)</f>
        <v/>
      </c>
      <c r="Q467">
        <f>IF(C467=1,P467*Assumptions!$B$141,Assumptions!$B$41)</f>
        <v/>
      </c>
      <c r="R467">
        <f>IF(D467=1,P467*Assumptions!$B$128,Assumptions!$B$33)</f>
        <v/>
      </c>
      <c r="S467">
        <f>IF(E467=1,P467*Assumptions!$B$129,Assumptions!$B$32)</f>
        <v/>
      </c>
      <c r="T467">
        <f>IF(F467=1,P467*Assumptions!$B$14,Assumptions!$B$31)</f>
        <v/>
      </c>
      <c r="U467">
        <f>IF(G467=1,P467*Assumptions!$B$13,Assumptions!$B$30)</f>
        <v/>
      </c>
      <c r="V467">
        <f>IF(H467=1,P467*Assumptions!$B$12,Assumptions!$B$29)</f>
        <v/>
      </c>
      <c r="W467">
        <f>IF(I467=1,P467*Assumptions!$B$11,Assumptions!$B$28)</f>
        <v/>
      </c>
      <c r="X467">
        <f>P467*(Assumptions!$B$133+Assumptions!$B$137)</f>
        <v/>
      </c>
      <c r="Y467">
        <f>P467*Assumptions!$B$9</f>
        <v/>
      </c>
      <c r="Z467">
        <f>IF(M467=1,(P467-Assumptions!$B$37)*Assumptions!$B$153,0)</f>
        <v/>
      </c>
      <c r="AA467">
        <f>Q467+R467+S467+T467+U467+V467+W467+X467+Y467+Z467</f>
        <v/>
      </c>
      <c r="AB467" t="n">
        <v>32</v>
      </c>
      <c r="AC467" t="n">
        <v>96</v>
      </c>
      <c r="AD467" t="n">
        <v>0</v>
      </c>
      <c r="AE467" t="n">
        <v>48</v>
      </c>
      <c r="AF467" t="n">
        <v>40</v>
      </c>
      <c r="AG467" t="n">
        <v>36</v>
      </c>
      <c r="AH467" t="n">
        <v>34</v>
      </c>
      <c r="AI467" t="n">
        <v>33</v>
      </c>
      <c r="AJ467">
        <f>INDEX($Q$435:$Q$562,AC467+1)</f>
        <v/>
      </c>
      <c r="AK467">
        <f>INDEX($R$435:$R$562,AD467+1)</f>
        <v/>
      </c>
      <c r="AL467">
        <f>INDEX($S$435:$S$562,AE467+1)</f>
        <v/>
      </c>
      <c r="AM467">
        <f>INDEX($T$435:$T$562,AF467+1)</f>
        <v/>
      </c>
      <c r="AN467">
        <f>INDEX($U$435:$U$562,AG467+1)</f>
        <v/>
      </c>
      <c r="AO467">
        <f>INDEX($V$435:$V$562,AH467+1)</f>
        <v/>
      </c>
      <c r="AP467">
        <f>INDEX($W$435:$W$562,AI467+1)</f>
        <v/>
      </c>
      <c r="AQ467">
        <f>IF(Q467&gt;=AJ467-0.01,1,0)</f>
        <v/>
      </c>
      <c r="AR467">
        <f>IF(R467&gt;=AK467-0.01,1,0)</f>
        <v/>
      </c>
      <c r="AS467">
        <f>IF(S467&gt;=AL467-0.01,1,0)</f>
        <v/>
      </c>
      <c r="AT467">
        <f>IF(T467&gt;=AM467-0.01,1,0)</f>
        <v/>
      </c>
      <c r="AU467">
        <f>IF(U467&gt;=AN467-0.01,1,0)</f>
        <v/>
      </c>
      <c r="AV467">
        <f>IF(V467&gt;=AO467-0.01,1,0)</f>
        <v/>
      </c>
      <c r="AW467">
        <f>IF(W467&gt;=AP467-0.01,1,0)</f>
        <v/>
      </c>
      <c r="AX467">
        <f>AQ467*AR467*AS467*AT467*AU467*AV467*AW467</f>
        <v/>
      </c>
      <c r="AY467">
        <f>Assumptions!$B$41</f>
        <v/>
      </c>
      <c r="AZ467">
        <f>Assumptions!$B$33</f>
        <v/>
      </c>
      <c r="BA467">
        <f>Assumptions!$B$32</f>
        <v/>
      </c>
      <c r="BB467">
        <f>Assumptions!$B$31</f>
        <v/>
      </c>
      <c r="BC467">
        <f>Assumptions!$B$30</f>
        <v/>
      </c>
      <c r="BD467">
        <f>Assumptions!$B$29</f>
        <v/>
      </c>
      <c r="BE467">
        <f>Assumptions!$B$28</f>
        <v/>
      </c>
      <c r="BF467">
        <f>P467*Assumptions!$B$141</f>
        <v/>
      </c>
      <c r="BG467">
        <f>P467*Assumptions!$B$128</f>
        <v/>
      </c>
      <c r="BH467">
        <f>P467*Assumptions!$B$129</f>
        <v/>
      </c>
      <c r="BI467">
        <f>P467*Assumptions!$B$14</f>
        <v/>
      </c>
      <c r="BJ467">
        <f>P467*Assumptions!$B$13</f>
        <v/>
      </c>
      <c r="BK467">
        <f>P467*Assumptions!$B$12</f>
        <v/>
      </c>
      <c r="BL467">
        <f>P467*Assumptions!$B$11</f>
        <v/>
      </c>
    </row>
    <row r="468">
      <c r="A468" t="inlineStr">
        <is>
          <t>4000M</t>
        </is>
      </c>
      <c r="B468">
        <f>Assumptions!$B$61</f>
        <v/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>
        <f>(1-C468)*Assumptions!$B$41+(1-D468)*Assumptions!$B$33+(1-E468)*Assumptions!$B$32+(1-F468)*Assumptions!$B$31+(1-G468)*Assumptions!$B$30+(1-H468)*Assumptions!$B$29+(1-I468)*Assumptions!$B$28</f>
        <v/>
      </c>
      <c r="K468">
        <f>C468*Assumptions!$B$141+D468*Assumptions!$B$128+E468*Assumptions!$B$129+F468*Assumptions!$B$14+G468*Assumptions!$B$13+H468*Assumptions!$B$12+I468*Assumptions!$B$11+Assumptions!$B$133+Assumptions!$B$137+Assumptions!$B$9</f>
        <v/>
      </c>
      <c r="L468">
        <f>B468-J468</f>
        <v/>
      </c>
      <c r="M468">
        <f>IF(K468&gt;0,IF(L468/K468&gt;=Assumptions!$B$37,1,0),0)</f>
        <v/>
      </c>
      <c r="N468">
        <f>K468+M468*Assumptions!$B$153</f>
        <v/>
      </c>
      <c r="O468">
        <f>L468+M468*Assumptions!$B$153*Assumptions!$B$37</f>
        <v/>
      </c>
      <c r="P468">
        <f>IF(N468&gt;0,O468/N468,0)</f>
        <v/>
      </c>
      <c r="Q468">
        <f>IF(C468=1,P468*Assumptions!$B$141,Assumptions!$B$41)</f>
        <v/>
      </c>
      <c r="R468">
        <f>IF(D468=1,P468*Assumptions!$B$128,Assumptions!$B$33)</f>
        <v/>
      </c>
      <c r="S468">
        <f>IF(E468=1,P468*Assumptions!$B$129,Assumptions!$B$32)</f>
        <v/>
      </c>
      <c r="T468">
        <f>IF(F468=1,P468*Assumptions!$B$14,Assumptions!$B$31)</f>
        <v/>
      </c>
      <c r="U468">
        <f>IF(G468=1,P468*Assumptions!$B$13,Assumptions!$B$30)</f>
        <v/>
      </c>
      <c r="V468">
        <f>IF(H468=1,P468*Assumptions!$B$12,Assumptions!$B$29)</f>
        <v/>
      </c>
      <c r="W468">
        <f>IF(I468=1,P468*Assumptions!$B$11,Assumptions!$B$28)</f>
        <v/>
      </c>
      <c r="X468">
        <f>P468*(Assumptions!$B$133+Assumptions!$B$137)</f>
        <v/>
      </c>
      <c r="Y468">
        <f>P468*Assumptions!$B$9</f>
        <v/>
      </c>
      <c r="Z468">
        <f>IF(M468=1,(P468-Assumptions!$B$37)*Assumptions!$B$153,0)</f>
        <v/>
      </c>
      <c r="AA468">
        <f>Q468+R468+S468+T468+U468+V468+W468+X468+Y468+Z468</f>
        <v/>
      </c>
      <c r="AB468" t="n">
        <v>33</v>
      </c>
      <c r="AC468" t="n">
        <v>97</v>
      </c>
      <c r="AD468" t="n">
        <v>1</v>
      </c>
      <c r="AE468" t="n">
        <v>49</v>
      </c>
      <c r="AF468" t="n">
        <v>41</v>
      </c>
      <c r="AG468" t="n">
        <v>37</v>
      </c>
      <c r="AH468" t="n">
        <v>35</v>
      </c>
      <c r="AI468" t="n">
        <v>32</v>
      </c>
      <c r="AJ468">
        <f>INDEX($Q$435:$Q$562,AC468+1)</f>
        <v/>
      </c>
      <c r="AK468">
        <f>INDEX($R$435:$R$562,AD468+1)</f>
        <v/>
      </c>
      <c r="AL468">
        <f>INDEX($S$435:$S$562,AE468+1)</f>
        <v/>
      </c>
      <c r="AM468">
        <f>INDEX($T$435:$T$562,AF468+1)</f>
        <v/>
      </c>
      <c r="AN468">
        <f>INDEX($U$435:$U$562,AG468+1)</f>
        <v/>
      </c>
      <c r="AO468">
        <f>INDEX($V$435:$V$562,AH468+1)</f>
        <v/>
      </c>
      <c r="AP468">
        <f>INDEX($W$435:$W$562,AI468+1)</f>
        <v/>
      </c>
      <c r="AQ468">
        <f>IF(Q468&gt;=AJ468-0.01,1,0)</f>
        <v/>
      </c>
      <c r="AR468">
        <f>IF(R468&gt;=AK468-0.01,1,0)</f>
        <v/>
      </c>
      <c r="AS468">
        <f>IF(S468&gt;=AL468-0.01,1,0)</f>
        <v/>
      </c>
      <c r="AT468">
        <f>IF(T468&gt;=AM468-0.01,1,0)</f>
        <v/>
      </c>
      <c r="AU468">
        <f>IF(U468&gt;=AN468-0.01,1,0)</f>
        <v/>
      </c>
      <c r="AV468">
        <f>IF(V468&gt;=AO468-0.01,1,0)</f>
        <v/>
      </c>
      <c r="AW468">
        <f>IF(W468&gt;=AP468-0.01,1,0)</f>
        <v/>
      </c>
      <c r="AX468">
        <f>AQ468*AR468*AS468*AT468*AU468*AV468*AW468</f>
        <v/>
      </c>
      <c r="AY468">
        <f>Assumptions!$B$41</f>
        <v/>
      </c>
      <c r="AZ468">
        <f>Assumptions!$B$33</f>
        <v/>
      </c>
      <c r="BA468">
        <f>Assumptions!$B$32</f>
        <v/>
      </c>
      <c r="BB468">
        <f>Assumptions!$B$31</f>
        <v/>
      </c>
      <c r="BC468">
        <f>Assumptions!$B$30</f>
        <v/>
      </c>
      <c r="BD468">
        <f>Assumptions!$B$29</f>
        <v/>
      </c>
      <c r="BE468">
        <f>Assumptions!$B$28</f>
        <v/>
      </c>
      <c r="BF468">
        <f>P468*Assumptions!$B$141</f>
        <v/>
      </c>
      <c r="BG468">
        <f>P468*Assumptions!$B$128</f>
        <v/>
      </c>
      <c r="BH468">
        <f>P468*Assumptions!$B$129</f>
        <v/>
      </c>
      <c r="BI468">
        <f>P468*Assumptions!$B$14</f>
        <v/>
      </c>
      <c r="BJ468">
        <f>P468*Assumptions!$B$13</f>
        <v/>
      </c>
      <c r="BK468">
        <f>P468*Assumptions!$B$12</f>
        <v/>
      </c>
      <c r="BL468">
        <f>P468*Assumptions!$B$11</f>
        <v/>
      </c>
    </row>
    <row r="469">
      <c r="A469" t="inlineStr">
        <is>
          <t>4000M</t>
        </is>
      </c>
      <c r="B469">
        <f>Assumptions!$B$61</f>
        <v/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>
        <f>(1-C469)*Assumptions!$B$41+(1-D469)*Assumptions!$B$33+(1-E469)*Assumptions!$B$32+(1-F469)*Assumptions!$B$31+(1-G469)*Assumptions!$B$30+(1-H469)*Assumptions!$B$29+(1-I469)*Assumptions!$B$28</f>
        <v/>
      </c>
      <c r="K469">
        <f>C469*Assumptions!$B$141+D469*Assumptions!$B$128+E469*Assumptions!$B$129+F469*Assumptions!$B$14+G469*Assumptions!$B$13+H469*Assumptions!$B$12+I469*Assumptions!$B$11+Assumptions!$B$133+Assumptions!$B$137+Assumptions!$B$9</f>
        <v/>
      </c>
      <c r="L469">
        <f>B469-J469</f>
        <v/>
      </c>
      <c r="M469">
        <f>IF(K469&gt;0,IF(L469/K469&gt;=Assumptions!$B$37,1,0),0)</f>
        <v/>
      </c>
      <c r="N469">
        <f>K469+M469*Assumptions!$B$153</f>
        <v/>
      </c>
      <c r="O469">
        <f>L469+M469*Assumptions!$B$153*Assumptions!$B$37</f>
        <v/>
      </c>
      <c r="P469">
        <f>IF(N469&gt;0,O469/N469,0)</f>
        <v/>
      </c>
      <c r="Q469">
        <f>IF(C469=1,P469*Assumptions!$B$141,Assumptions!$B$41)</f>
        <v/>
      </c>
      <c r="R469">
        <f>IF(D469=1,P469*Assumptions!$B$128,Assumptions!$B$33)</f>
        <v/>
      </c>
      <c r="S469">
        <f>IF(E469=1,P469*Assumptions!$B$129,Assumptions!$B$32)</f>
        <v/>
      </c>
      <c r="T469">
        <f>IF(F469=1,P469*Assumptions!$B$14,Assumptions!$B$31)</f>
        <v/>
      </c>
      <c r="U469">
        <f>IF(G469=1,P469*Assumptions!$B$13,Assumptions!$B$30)</f>
        <v/>
      </c>
      <c r="V469">
        <f>IF(H469=1,P469*Assumptions!$B$12,Assumptions!$B$29)</f>
        <v/>
      </c>
      <c r="W469">
        <f>IF(I469=1,P469*Assumptions!$B$11,Assumptions!$B$28)</f>
        <v/>
      </c>
      <c r="X469">
        <f>P469*(Assumptions!$B$133+Assumptions!$B$137)</f>
        <v/>
      </c>
      <c r="Y469">
        <f>P469*Assumptions!$B$9</f>
        <v/>
      </c>
      <c r="Z469">
        <f>IF(M469=1,(P469-Assumptions!$B$37)*Assumptions!$B$153,0)</f>
        <v/>
      </c>
      <c r="AA469">
        <f>Q469+R469+S469+T469+U469+V469+W469+X469+Y469+Z469</f>
        <v/>
      </c>
      <c r="AB469" t="n">
        <v>34</v>
      </c>
      <c r="AC469" t="n">
        <v>98</v>
      </c>
      <c r="AD469" t="n">
        <v>2</v>
      </c>
      <c r="AE469" t="n">
        <v>50</v>
      </c>
      <c r="AF469" t="n">
        <v>42</v>
      </c>
      <c r="AG469" t="n">
        <v>38</v>
      </c>
      <c r="AH469" t="n">
        <v>32</v>
      </c>
      <c r="AI469" t="n">
        <v>35</v>
      </c>
      <c r="AJ469">
        <f>INDEX($Q$435:$Q$562,AC469+1)</f>
        <v/>
      </c>
      <c r="AK469">
        <f>INDEX($R$435:$R$562,AD469+1)</f>
        <v/>
      </c>
      <c r="AL469">
        <f>INDEX($S$435:$S$562,AE469+1)</f>
        <v/>
      </c>
      <c r="AM469">
        <f>INDEX($T$435:$T$562,AF469+1)</f>
        <v/>
      </c>
      <c r="AN469">
        <f>INDEX($U$435:$U$562,AG469+1)</f>
        <v/>
      </c>
      <c r="AO469">
        <f>INDEX($V$435:$V$562,AH469+1)</f>
        <v/>
      </c>
      <c r="AP469">
        <f>INDEX($W$435:$W$562,AI469+1)</f>
        <v/>
      </c>
      <c r="AQ469">
        <f>IF(Q469&gt;=AJ469-0.01,1,0)</f>
        <v/>
      </c>
      <c r="AR469">
        <f>IF(R469&gt;=AK469-0.01,1,0)</f>
        <v/>
      </c>
      <c r="AS469">
        <f>IF(S469&gt;=AL469-0.01,1,0)</f>
        <v/>
      </c>
      <c r="AT469">
        <f>IF(T469&gt;=AM469-0.01,1,0)</f>
        <v/>
      </c>
      <c r="AU469">
        <f>IF(U469&gt;=AN469-0.01,1,0)</f>
        <v/>
      </c>
      <c r="AV469">
        <f>IF(V469&gt;=AO469-0.01,1,0)</f>
        <v/>
      </c>
      <c r="AW469">
        <f>IF(W469&gt;=AP469-0.01,1,0)</f>
        <v/>
      </c>
      <c r="AX469">
        <f>AQ469*AR469*AS469*AT469*AU469*AV469*AW469</f>
        <v/>
      </c>
      <c r="AY469">
        <f>Assumptions!$B$41</f>
        <v/>
      </c>
      <c r="AZ469">
        <f>Assumptions!$B$33</f>
        <v/>
      </c>
      <c r="BA469">
        <f>Assumptions!$B$32</f>
        <v/>
      </c>
      <c r="BB469">
        <f>Assumptions!$B$31</f>
        <v/>
      </c>
      <c r="BC469">
        <f>Assumptions!$B$30</f>
        <v/>
      </c>
      <c r="BD469">
        <f>Assumptions!$B$29</f>
        <v/>
      </c>
      <c r="BE469">
        <f>Assumptions!$B$28</f>
        <v/>
      </c>
      <c r="BF469">
        <f>P469*Assumptions!$B$141</f>
        <v/>
      </c>
      <c r="BG469">
        <f>P469*Assumptions!$B$128</f>
        <v/>
      </c>
      <c r="BH469">
        <f>P469*Assumptions!$B$129</f>
        <v/>
      </c>
      <c r="BI469">
        <f>P469*Assumptions!$B$14</f>
        <v/>
      </c>
      <c r="BJ469">
        <f>P469*Assumptions!$B$13</f>
        <v/>
      </c>
      <c r="BK469">
        <f>P469*Assumptions!$B$12</f>
        <v/>
      </c>
      <c r="BL469">
        <f>P469*Assumptions!$B$11</f>
        <v/>
      </c>
    </row>
    <row r="470">
      <c r="A470" t="inlineStr">
        <is>
          <t>4000M</t>
        </is>
      </c>
      <c r="B470">
        <f>Assumptions!$B$61</f>
        <v/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>
        <f>(1-C470)*Assumptions!$B$41+(1-D470)*Assumptions!$B$33+(1-E470)*Assumptions!$B$32+(1-F470)*Assumptions!$B$31+(1-G470)*Assumptions!$B$30+(1-H470)*Assumptions!$B$29+(1-I470)*Assumptions!$B$28</f>
        <v/>
      </c>
      <c r="K470">
        <f>C470*Assumptions!$B$141+D470*Assumptions!$B$128+E470*Assumptions!$B$129+F470*Assumptions!$B$14+G470*Assumptions!$B$13+H470*Assumptions!$B$12+I470*Assumptions!$B$11+Assumptions!$B$133+Assumptions!$B$137+Assumptions!$B$9</f>
        <v/>
      </c>
      <c r="L470">
        <f>B470-J470</f>
        <v/>
      </c>
      <c r="M470">
        <f>IF(K470&gt;0,IF(L470/K470&gt;=Assumptions!$B$37,1,0),0)</f>
        <v/>
      </c>
      <c r="N470">
        <f>K470+M470*Assumptions!$B$153</f>
        <v/>
      </c>
      <c r="O470">
        <f>L470+M470*Assumptions!$B$153*Assumptions!$B$37</f>
        <v/>
      </c>
      <c r="P470">
        <f>IF(N470&gt;0,O470/N470,0)</f>
        <v/>
      </c>
      <c r="Q470">
        <f>IF(C470=1,P470*Assumptions!$B$141,Assumptions!$B$41)</f>
        <v/>
      </c>
      <c r="R470">
        <f>IF(D470=1,P470*Assumptions!$B$128,Assumptions!$B$33)</f>
        <v/>
      </c>
      <c r="S470">
        <f>IF(E470=1,P470*Assumptions!$B$129,Assumptions!$B$32)</f>
        <v/>
      </c>
      <c r="T470">
        <f>IF(F470=1,P470*Assumptions!$B$14,Assumptions!$B$31)</f>
        <v/>
      </c>
      <c r="U470">
        <f>IF(G470=1,P470*Assumptions!$B$13,Assumptions!$B$30)</f>
        <v/>
      </c>
      <c r="V470">
        <f>IF(H470=1,P470*Assumptions!$B$12,Assumptions!$B$29)</f>
        <v/>
      </c>
      <c r="W470">
        <f>IF(I470=1,P470*Assumptions!$B$11,Assumptions!$B$28)</f>
        <v/>
      </c>
      <c r="X470">
        <f>P470*(Assumptions!$B$133+Assumptions!$B$137)</f>
        <v/>
      </c>
      <c r="Y470">
        <f>P470*Assumptions!$B$9</f>
        <v/>
      </c>
      <c r="Z470">
        <f>IF(M470=1,(P470-Assumptions!$B$37)*Assumptions!$B$153,0)</f>
        <v/>
      </c>
      <c r="AA470">
        <f>Q470+R470+S470+T470+U470+V470+W470+X470+Y470+Z470</f>
        <v/>
      </c>
      <c r="AB470" t="n">
        <v>35</v>
      </c>
      <c r="AC470" t="n">
        <v>99</v>
      </c>
      <c r="AD470" t="n">
        <v>3</v>
      </c>
      <c r="AE470" t="n">
        <v>51</v>
      </c>
      <c r="AF470" t="n">
        <v>43</v>
      </c>
      <c r="AG470" t="n">
        <v>39</v>
      </c>
      <c r="AH470" t="n">
        <v>33</v>
      </c>
      <c r="AI470" t="n">
        <v>34</v>
      </c>
      <c r="AJ470">
        <f>INDEX($Q$435:$Q$562,AC470+1)</f>
        <v/>
      </c>
      <c r="AK470">
        <f>INDEX($R$435:$R$562,AD470+1)</f>
        <v/>
      </c>
      <c r="AL470">
        <f>INDEX($S$435:$S$562,AE470+1)</f>
        <v/>
      </c>
      <c r="AM470">
        <f>INDEX($T$435:$T$562,AF470+1)</f>
        <v/>
      </c>
      <c r="AN470">
        <f>INDEX($U$435:$U$562,AG470+1)</f>
        <v/>
      </c>
      <c r="AO470">
        <f>INDEX($V$435:$V$562,AH470+1)</f>
        <v/>
      </c>
      <c r="AP470">
        <f>INDEX($W$435:$W$562,AI470+1)</f>
        <v/>
      </c>
      <c r="AQ470">
        <f>IF(Q470&gt;=AJ470-0.01,1,0)</f>
        <v/>
      </c>
      <c r="AR470">
        <f>IF(R470&gt;=AK470-0.01,1,0)</f>
        <v/>
      </c>
      <c r="AS470">
        <f>IF(S470&gt;=AL470-0.01,1,0)</f>
        <v/>
      </c>
      <c r="AT470">
        <f>IF(T470&gt;=AM470-0.01,1,0)</f>
        <v/>
      </c>
      <c r="AU470">
        <f>IF(U470&gt;=AN470-0.01,1,0)</f>
        <v/>
      </c>
      <c r="AV470">
        <f>IF(V470&gt;=AO470-0.01,1,0)</f>
        <v/>
      </c>
      <c r="AW470">
        <f>IF(W470&gt;=AP470-0.01,1,0)</f>
        <v/>
      </c>
      <c r="AX470">
        <f>AQ470*AR470*AS470*AT470*AU470*AV470*AW470</f>
        <v/>
      </c>
      <c r="AY470">
        <f>Assumptions!$B$41</f>
        <v/>
      </c>
      <c r="AZ470">
        <f>Assumptions!$B$33</f>
        <v/>
      </c>
      <c r="BA470">
        <f>Assumptions!$B$32</f>
        <v/>
      </c>
      <c r="BB470">
        <f>Assumptions!$B$31</f>
        <v/>
      </c>
      <c r="BC470">
        <f>Assumptions!$B$30</f>
        <v/>
      </c>
      <c r="BD470">
        <f>Assumptions!$B$29</f>
        <v/>
      </c>
      <c r="BE470">
        <f>Assumptions!$B$28</f>
        <v/>
      </c>
      <c r="BF470">
        <f>P470*Assumptions!$B$141</f>
        <v/>
      </c>
      <c r="BG470">
        <f>P470*Assumptions!$B$128</f>
        <v/>
      </c>
      <c r="BH470">
        <f>P470*Assumptions!$B$129</f>
        <v/>
      </c>
      <c r="BI470">
        <f>P470*Assumptions!$B$14</f>
        <v/>
      </c>
      <c r="BJ470">
        <f>P470*Assumptions!$B$13</f>
        <v/>
      </c>
      <c r="BK470">
        <f>P470*Assumptions!$B$12</f>
        <v/>
      </c>
      <c r="BL470">
        <f>P470*Assumptions!$B$11</f>
        <v/>
      </c>
    </row>
    <row r="471">
      <c r="A471" t="inlineStr">
        <is>
          <t>4000M</t>
        </is>
      </c>
      <c r="B471">
        <f>Assumptions!$B$61</f>
        <v/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>
        <f>(1-C471)*Assumptions!$B$41+(1-D471)*Assumptions!$B$33+(1-E471)*Assumptions!$B$32+(1-F471)*Assumptions!$B$31+(1-G471)*Assumptions!$B$30+(1-H471)*Assumptions!$B$29+(1-I471)*Assumptions!$B$28</f>
        <v/>
      </c>
      <c r="K471">
        <f>C471*Assumptions!$B$141+D471*Assumptions!$B$128+E471*Assumptions!$B$129+F471*Assumptions!$B$14+G471*Assumptions!$B$13+H471*Assumptions!$B$12+I471*Assumptions!$B$11+Assumptions!$B$133+Assumptions!$B$137+Assumptions!$B$9</f>
        <v/>
      </c>
      <c r="L471">
        <f>B471-J471</f>
        <v/>
      </c>
      <c r="M471">
        <f>IF(K471&gt;0,IF(L471/K471&gt;=Assumptions!$B$37,1,0),0)</f>
        <v/>
      </c>
      <c r="N471">
        <f>K471+M471*Assumptions!$B$153</f>
        <v/>
      </c>
      <c r="O471">
        <f>L471+M471*Assumptions!$B$153*Assumptions!$B$37</f>
        <v/>
      </c>
      <c r="P471">
        <f>IF(N471&gt;0,O471/N471,0)</f>
        <v/>
      </c>
      <c r="Q471">
        <f>IF(C471=1,P471*Assumptions!$B$141,Assumptions!$B$41)</f>
        <v/>
      </c>
      <c r="R471">
        <f>IF(D471=1,P471*Assumptions!$B$128,Assumptions!$B$33)</f>
        <v/>
      </c>
      <c r="S471">
        <f>IF(E471=1,P471*Assumptions!$B$129,Assumptions!$B$32)</f>
        <v/>
      </c>
      <c r="T471">
        <f>IF(F471=1,P471*Assumptions!$B$14,Assumptions!$B$31)</f>
        <v/>
      </c>
      <c r="U471">
        <f>IF(G471=1,P471*Assumptions!$B$13,Assumptions!$B$30)</f>
        <v/>
      </c>
      <c r="V471">
        <f>IF(H471=1,P471*Assumptions!$B$12,Assumptions!$B$29)</f>
        <v/>
      </c>
      <c r="W471">
        <f>IF(I471=1,P471*Assumptions!$B$11,Assumptions!$B$28)</f>
        <v/>
      </c>
      <c r="X471">
        <f>P471*(Assumptions!$B$133+Assumptions!$B$137)</f>
        <v/>
      </c>
      <c r="Y471">
        <f>P471*Assumptions!$B$9</f>
        <v/>
      </c>
      <c r="Z471">
        <f>IF(M471=1,(P471-Assumptions!$B$37)*Assumptions!$B$153,0)</f>
        <v/>
      </c>
      <c r="AA471">
        <f>Q471+R471+S471+T471+U471+V471+W471+X471+Y471+Z471</f>
        <v/>
      </c>
      <c r="AB471" t="n">
        <v>36</v>
      </c>
      <c r="AC471" t="n">
        <v>100</v>
      </c>
      <c r="AD471" t="n">
        <v>4</v>
      </c>
      <c r="AE471" t="n">
        <v>52</v>
      </c>
      <c r="AF471" t="n">
        <v>44</v>
      </c>
      <c r="AG471" t="n">
        <v>32</v>
      </c>
      <c r="AH471" t="n">
        <v>38</v>
      </c>
      <c r="AI471" t="n">
        <v>37</v>
      </c>
      <c r="AJ471">
        <f>INDEX($Q$435:$Q$562,AC471+1)</f>
        <v/>
      </c>
      <c r="AK471">
        <f>INDEX($R$435:$R$562,AD471+1)</f>
        <v/>
      </c>
      <c r="AL471">
        <f>INDEX($S$435:$S$562,AE471+1)</f>
        <v/>
      </c>
      <c r="AM471">
        <f>INDEX($T$435:$T$562,AF471+1)</f>
        <v/>
      </c>
      <c r="AN471">
        <f>INDEX($U$435:$U$562,AG471+1)</f>
        <v/>
      </c>
      <c r="AO471">
        <f>INDEX($V$435:$V$562,AH471+1)</f>
        <v/>
      </c>
      <c r="AP471">
        <f>INDEX($W$435:$W$562,AI471+1)</f>
        <v/>
      </c>
      <c r="AQ471">
        <f>IF(Q471&gt;=AJ471-0.01,1,0)</f>
        <v/>
      </c>
      <c r="AR471">
        <f>IF(R471&gt;=AK471-0.01,1,0)</f>
        <v/>
      </c>
      <c r="AS471">
        <f>IF(S471&gt;=AL471-0.01,1,0)</f>
        <v/>
      </c>
      <c r="AT471">
        <f>IF(T471&gt;=AM471-0.01,1,0)</f>
        <v/>
      </c>
      <c r="AU471">
        <f>IF(U471&gt;=AN471-0.01,1,0)</f>
        <v/>
      </c>
      <c r="AV471">
        <f>IF(V471&gt;=AO471-0.01,1,0)</f>
        <v/>
      </c>
      <c r="AW471">
        <f>IF(W471&gt;=AP471-0.01,1,0)</f>
        <v/>
      </c>
      <c r="AX471">
        <f>AQ471*AR471*AS471*AT471*AU471*AV471*AW471</f>
        <v/>
      </c>
      <c r="AY471">
        <f>Assumptions!$B$41</f>
        <v/>
      </c>
      <c r="AZ471">
        <f>Assumptions!$B$33</f>
        <v/>
      </c>
      <c r="BA471">
        <f>Assumptions!$B$32</f>
        <v/>
      </c>
      <c r="BB471">
        <f>Assumptions!$B$31</f>
        <v/>
      </c>
      <c r="BC471">
        <f>Assumptions!$B$30</f>
        <v/>
      </c>
      <c r="BD471">
        <f>Assumptions!$B$29</f>
        <v/>
      </c>
      <c r="BE471">
        <f>Assumptions!$B$28</f>
        <v/>
      </c>
      <c r="BF471">
        <f>P471*Assumptions!$B$141</f>
        <v/>
      </c>
      <c r="BG471">
        <f>P471*Assumptions!$B$128</f>
        <v/>
      </c>
      <c r="BH471">
        <f>P471*Assumptions!$B$129</f>
        <v/>
      </c>
      <c r="BI471">
        <f>P471*Assumptions!$B$14</f>
        <v/>
      </c>
      <c r="BJ471">
        <f>P471*Assumptions!$B$13</f>
        <v/>
      </c>
      <c r="BK471">
        <f>P471*Assumptions!$B$12</f>
        <v/>
      </c>
      <c r="BL471">
        <f>P471*Assumptions!$B$11</f>
        <v/>
      </c>
    </row>
    <row r="472">
      <c r="A472" t="inlineStr">
        <is>
          <t>4000M</t>
        </is>
      </c>
      <c r="B472">
        <f>Assumptions!$B$61</f>
        <v/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>
        <f>(1-C472)*Assumptions!$B$41+(1-D472)*Assumptions!$B$33+(1-E472)*Assumptions!$B$32+(1-F472)*Assumptions!$B$31+(1-G472)*Assumptions!$B$30+(1-H472)*Assumptions!$B$29+(1-I472)*Assumptions!$B$28</f>
        <v/>
      </c>
      <c r="K472">
        <f>C472*Assumptions!$B$141+D472*Assumptions!$B$128+E472*Assumptions!$B$129+F472*Assumptions!$B$14+G472*Assumptions!$B$13+H472*Assumptions!$B$12+I472*Assumptions!$B$11+Assumptions!$B$133+Assumptions!$B$137+Assumptions!$B$9</f>
        <v/>
      </c>
      <c r="L472">
        <f>B472-J472</f>
        <v/>
      </c>
      <c r="M472">
        <f>IF(K472&gt;0,IF(L472/K472&gt;=Assumptions!$B$37,1,0),0)</f>
        <v/>
      </c>
      <c r="N472">
        <f>K472+M472*Assumptions!$B$153</f>
        <v/>
      </c>
      <c r="O472">
        <f>L472+M472*Assumptions!$B$153*Assumptions!$B$37</f>
        <v/>
      </c>
      <c r="P472">
        <f>IF(N472&gt;0,O472/N472,0)</f>
        <v/>
      </c>
      <c r="Q472">
        <f>IF(C472=1,P472*Assumptions!$B$141,Assumptions!$B$41)</f>
        <v/>
      </c>
      <c r="R472">
        <f>IF(D472=1,P472*Assumptions!$B$128,Assumptions!$B$33)</f>
        <v/>
      </c>
      <c r="S472">
        <f>IF(E472=1,P472*Assumptions!$B$129,Assumptions!$B$32)</f>
        <v/>
      </c>
      <c r="T472">
        <f>IF(F472=1,P472*Assumptions!$B$14,Assumptions!$B$31)</f>
        <v/>
      </c>
      <c r="U472">
        <f>IF(G472=1,P472*Assumptions!$B$13,Assumptions!$B$30)</f>
        <v/>
      </c>
      <c r="V472">
        <f>IF(H472=1,P472*Assumptions!$B$12,Assumptions!$B$29)</f>
        <v/>
      </c>
      <c r="W472">
        <f>IF(I472=1,P472*Assumptions!$B$11,Assumptions!$B$28)</f>
        <v/>
      </c>
      <c r="X472">
        <f>P472*(Assumptions!$B$133+Assumptions!$B$137)</f>
        <v/>
      </c>
      <c r="Y472">
        <f>P472*Assumptions!$B$9</f>
        <v/>
      </c>
      <c r="Z472">
        <f>IF(M472=1,(P472-Assumptions!$B$37)*Assumptions!$B$153,0)</f>
        <v/>
      </c>
      <c r="AA472">
        <f>Q472+R472+S472+T472+U472+V472+W472+X472+Y472+Z472</f>
        <v/>
      </c>
      <c r="AB472" t="n">
        <v>37</v>
      </c>
      <c r="AC472" t="n">
        <v>101</v>
      </c>
      <c r="AD472" t="n">
        <v>5</v>
      </c>
      <c r="AE472" t="n">
        <v>53</v>
      </c>
      <c r="AF472" t="n">
        <v>45</v>
      </c>
      <c r="AG472" t="n">
        <v>33</v>
      </c>
      <c r="AH472" t="n">
        <v>39</v>
      </c>
      <c r="AI472" t="n">
        <v>36</v>
      </c>
      <c r="AJ472">
        <f>INDEX($Q$435:$Q$562,AC472+1)</f>
        <v/>
      </c>
      <c r="AK472">
        <f>INDEX($R$435:$R$562,AD472+1)</f>
        <v/>
      </c>
      <c r="AL472">
        <f>INDEX($S$435:$S$562,AE472+1)</f>
        <v/>
      </c>
      <c r="AM472">
        <f>INDEX($T$435:$T$562,AF472+1)</f>
        <v/>
      </c>
      <c r="AN472">
        <f>INDEX($U$435:$U$562,AG472+1)</f>
        <v/>
      </c>
      <c r="AO472">
        <f>INDEX($V$435:$V$562,AH472+1)</f>
        <v/>
      </c>
      <c r="AP472">
        <f>INDEX($W$435:$W$562,AI472+1)</f>
        <v/>
      </c>
      <c r="AQ472">
        <f>IF(Q472&gt;=AJ472-0.01,1,0)</f>
        <v/>
      </c>
      <c r="AR472">
        <f>IF(R472&gt;=AK472-0.01,1,0)</f>
        <v/>
      </c>
      <c r="AS472">
        <f>IF(S472&gt;=AL472-0.01,1,0)</f>
        <v/>
      </c>
      <c r="AT472">
        <f>IF(T472&gt;=AM472-0.01,1,0)</f>
        <v/>
      </c>
      <c r="AU472">
        <f>IF(U472&gt;=AN472-0.01,1,0)</f>
        <v/>
      </c>
      <c r="AV472">
        <f>IF(V472&gt;=AO472-0.01,1,0)</f>
        <v/>
      </c>
      <c r="AW472">
        <f>IF(W472&gt;=AP472-0.01,1,0)</f>
        <v/>
      </c>
      <c r="AX472">
        <f>AQ472*AR472*AS472*AT472*AU472*AV472*AW472</f>
        <v/>
      </c>
      <c r="AY472">
        <f>Assumptions!$B$41</f>
        <v/>
      </c>
      <c r="AZ472">
        <f>Assumptions!$B$33</f>
        <v/>
      </c>
      <c r="BA472">
        <f>Assumptions!$B$32</f>
        <v/>
      </c>
      <c r="BB472">
        <f>Assumptions!$B$31</f>
        <v/>
      </c>
      <c r="BC472">
        <f>Assumptions!$B$30</f>
        <v/>
      </c>
      <c r="BD472">
        <f>Assumptions!$B$29</f>
        <v/>
      </c>
      <c r="BE472">
        <f>Assumptions!$B$28</f>
        <v/>
      </c>
      <c r="BF472">
        <f>P472*Assumptions!$B$141</f>
        <v/>
      </c>
      <c r="BG472">
        <f>P472*Assumptions!$B$128</f>
        <v/>
      </c>
      <c r="BH472">
        <f>P472*Assumptions!$B$129</f>
        <v/>
      </c>
      <c r="BI472">
        <f>P472*Assumptions!$B$14</f>
        <v/>
      </c>
      <c r="BJ472">
        <f>P472*Assumptions!$B$13</f>
        <v/>
      </c>
      <c r="BK472">
        <f>P472*Assumptions!$B$12</f>
        <v/>
      </c>
      <c r="BL472">
        <f>P472*Assumptions!$B$11</f>
        <v/>
      </c>
    </row>
    <row r="473">
      <c r="A473" t="inlineStr">
        <is>
          <t>4000M</t>
        </is>
      </c>
      <c r="B473">
        <f>Assumptions!$B$61</f>
        <v/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>
        <f>(1-C473)*Assumptions!$B$41+(1-D473)*Assumptions!$B$33+(1-E473)*Assumptions!$B$32+(1-F473)*Assumptions!$B$31+(1-G473)*Assumptions!$B$30+(1-H473)*Assumptions!$B$29+(1-I473)*Assumptions!$B$28</f>
        <v/>
      </c>
      <c r="K473">
        <f>C473*Assumptions!$B$141+D473*Assumptions!$B$128+E473*Assumptions!$B$129+F473*Assumptions!$B$14+G473*Assumptions!$B$13+H473*Assumptions!$B$12+I473*Assumptions!$B$11+Assumptions!$B$133+Assumptions!$B$137+Assumptions!$B$9</f>
        <v/>
      </c>
      <c r="L473">
        <f>B473-J473</f>
        <v/>
      </c>
      <c r="M473">
        <f>IF(K473&gt;0,IF(L473/K473&gt;=Assumptions!$B$37,1,0),0)</f>
        <v/>
      </c>
      <c r="N473">
        <f>K473+M473*Assumptions!$B$153</f>
        <v/>
      </c>
      <c r="O473">
        <f>L473+M473*Assumptions!$B$153*Assumptions!$B$37</f>
        <v/>
      </c>
      <c r="P473">
        <f>IF(N473&gt;0,O473/N473,0)</f>
        <v/>
      </c>
      <c r="Q473">
        <f>IF(C473=1,P473*Assumptions!$B$141,Assumptions!$B$41)</f>
        <v/>
      </c>
      <c r="R473">
        <f>IF(D473=1,P473*Assumptions!$B$128,Assumptions!$B$33)</f>
        <v/>
      </c>
      <c r="S473">
        <f>IF(E473=1,P473*Assumptions!$B$129,Assumptions!$B$32)</f>
        <v/>
      </c>
      <c r="T473">
        <f>IF(F473=1,P473*Assumptions!$B$14,Assumptions!$B$31)</f>
        <v/>
      </c>
      <c r="U473">
        <f>IF(G473=1,P473*Assumptions!$B$13,Assumptions!$B$30)</f>
        <v/>
      </c>
      <c r="V473">
        <f>IF(H473=1,P473*Assumptions!$B$12,Assumptions!$B$29)</f>
        <v/>
      </c>
      <c r="W473">
        <f>IF(I473=1,P473*Assumptions!$B$11,Assumptions!$B$28)</f>
        <v/>
      </c>
      <c r="X473">
        <f>P473*(Assumptions!$B$133+Assumptions!$B$137)</f>
        <v/>
      </c>
      <c r="Y473">
        <f>P473*Assumptions!$B$9</f>
        <v/>
      </c>
      <c r="Z473">
        <f>IF(M473=1,(P473-Assumptions!$B$37)*Assumptions!$B$153,0)</f>
        <v/>
      </c>
      <c r="AA473">
        <f>Q473+R473+S473+T473+U473+V473+W473+X473+Y473+Z473</f>
        <v/>
      </c>
      <c r="AB473" t="n">
        <v>38</v>
      </c>
      <c r="AC473" t="n">
        <v>102</v>
      </c>
      <c r="AD473" t="n">
        <v>6</v>
      </c>
      <c r="AE473" t="n">
        <v>54</v>
      </c>
      <c r="AF473" t="n">
        <v>46</v>
      </c>
      <c r="AG473" t="n">
        <v>34</v>
      </c>
      <c r="AH473" t="n">
        <v>36</v>
      </c>
      <c r="AI473" t="n">
        <v>39</v>
      </c>
      <c r="AJ473">
        <f>INDEX($Q$435:$Q$562,AC473+1)</f>
        <v/>
      </c>
      <c r="AK473">
        <f>INDEX($R$435:$R$562,AD473+1)</f>
        <v/>
      </c>
      <c r="AL473">
        <f>INDEX($S$435:$S$562,AE473+1)</f>
        <v/>
      </c>
      <c r="AM473">
        <f>INDEX($T$435:$T$562,AF473+1)</f>
        <v/>
      </c>
      <c r="AN473">
        <f>INDEX($U$435:$U$562,AG473+1)</f>
        <v/>
      </c>
      <c r="AO473">
        <f>INDEX($V$435:$V$562,AH473+1)</f>
        <v/>
      </c>
      <c r="AP473">
        <f>INDEX($W$435:$W$562,AI473+1)</f>
        <v/>
      </c>
      <c r="AQ473">
        <f>IF(Q473&gt;=AJ473-0.01,1,0)</f>
        <v/>
      </c>
      <c r="AR473">
        <f>IF(R473&gt;=AK473-0.01,1,0)</f>
        <v/>
      </c>
      <c r="AS473">
        <f>IF(S473&gt;=AL473-0.01,1,0)</f>
        <v/>
      </c>
      <c r="AT473">
        <f>IF(T473&gt;=AM473-0.01,1,0)</f>
        <v/>
      </c>
      <c r="AU473">
        <f>IF(U473&gt;=AN473-0.01,1,0)</f>
        <v/>
      </c>
      <c r="AV473">
        <f>IF(V473&gt;=AO473-0.01,1,0)</f>
        <v/>
      </c>
      <c r="AW473">
        <f>IF(W473&gt;=AP473-0.01,1,0)</f>
        <v/>
      </c>
      <c r="AX473">
        <f>AQ473*AR473*AS473*AT473*AU473*AV473*AW473</f>
        <v/>
      </c>
      <c r="AY473">
        <f>Assumptions!$B$41</f>
        <v/>
      </c>
      <c r="AZ473">
        <f>Assumptions!$B$33</f>
        <v/>
      </c>
      <c r="BA473">
        <f>Assumptions!$B$32</f>
        <v/>
      </c>
      <c r="BB473">
        <f>Assumptions!$B$31</f>
        <v/>
      </c>
      <c r="BC473">
        <f>Assumptions!$B$30</f>
        <v/>
      </c>
      <c r="BD473">
        <f>Assumptions!$B$29</f>
        <v/>
      </c>
      <c r="BE473">
        <f>Assumptions!$B$28</f>
        <v/>
      </c>
      <c r="BF473">
        <f>P473*Assumptions!$B$141</f>
        <v/>
      </c>
      <c r="BG473">
        <f>P473*Assumptions!$B$128</f>
        <v/>
      </c>
      <c r="BH473">
        <f>P473*Assumptions!$B$129</f>
        <v/>
      </c>
      <c r="BI473">
        <f>P473*Assumptions!$B$14</f>
        <v/>
      </c>
      <c r="BJ473">
        <f>P473*Assumptions!$B$13</f>
        <v/>
      </c>
      <c r="BK473">
        <f>P473*Assumptions!$B$12</f>
        <v/>
      </c>
      <c r="BL473">
        <f>P473*Assumptions!$B$11</f>
        <v/>
      </c>
    </row>
    <row r="474">
      <c r="A474" t="inlineStr">
        <is>
          <t>4000M</t>
        </is>
      </c>
      <c r="B474">
        <f>Assumptions!$B$61</f>
        <v/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>
        <f>(1-C474)*Assumptions!$B$41+(1-D474)*Assumptions!$B$33+(1-E474)*Assumptions!$B$32+(1-F474)*Assumptions!$B$31+(1-G474)*Assumptions!$B$30+(1-H474)*Assumptions!$B$29+(1-I474)*Assumptions!$B$28</f>
        <v/>
      </c>
      <c r="K474">
        <f>C474*Assumptions!$B$141+D474*Assumptions!$B$128+E474*Assumptions!$B$129+F474*Assumptions!$B$14+G474*Assumptions!$B$13+H474*Assumptions!$B$12+I474*Assumptions!$B$11+Assumptions!$B$133+Assumptions!$B$137+Assumptions!$B$9</f>
        <v/>
      </c>
      <c r="L474">
        <f>B474-J474</f>
        <v/>
      </c>
      <c r="M474">
        <f>IF(K474&gt;0,IF(L474/K474&gt;=Assumptions!$B$37,1,0),0)</f>
        <v/>
      </c>
      <c r="N474">
        <f>K474+M474*Assumptions!$B$153</f>
        <v/>
      </c>
      <c r="O474">
        <f>L474+M474*Assumptions!$B$153*Assumptions!$B$37</f>
        <v/>
      </c>
      <c r="P474">
        <f>IF(N474&gt;0,O474/N474,0)</f>
        <v/>
      </c>
      <c r="Q474">
        <f>IF(C474=1,P474*Assumptions!$B$141,Assumptions!$B$41)</f>
        <v/>
      </c>
      <c r="R474">
        <f>IF(D474=1,P474*Assumptions!$B$128,Assumptions!$B$33)</f>
        <v/>
      </c>
      <c r="S474">
        <f>IF(E474=1,P474*Assumptions!$B$129,Assumptions!$B$32)</f>
        <v/>
      </c>
      <c r="T474">
        <f>IF(F474=1,P474*Assumptions!$B$14,Assumptions!$B$31)</f>
        <v/>
      </c>
      <c r="U474">
        <f>IF(G474=1,P474*Assumptions!$B$13,Assumptions!$B$30)</f>
        <v/>
      </c>
      <c r="V474">
        <f>IF(H474=1,P474*Assumptions!$B$12,Assumptions!$B$29)</f>
        <v/>
      </c>
      <c r="W474">
        <f>IF(I474=1,P474*Assumptions!$B$11,Assumptions!$B$28)</f>
        <v/>
      </c>
      <c r="X474">
        <f>P474*(Assumptions!$B$133+Assumptions!$B$137)</f>
        <v/>
      </c>
      <c r="Y474">
        <f>P474*Assumptions!$B$9</f>
        <v/>
      </c>
      <c r="Z474">
        <f>IF(M474=1,(P474-Assumptions!$B$37)*Assumptions!$B$153,0)</f>
        <v/>
      </c>
      <c r="AA474">
        <f>Q474+R474+S474+T474+U474+V474+W474+X474+Y474+Z474</f>
        <v/>
      </c>
      <c r="AB474" t="n">
        <v>39</v>
      </c>
      <c r="AC474" t="n">
        <v>103</v>
      </c>
      <c r="AD474" t="n">
        <v>7</v>
      </c>
      <c r="AE474" t="n">
        <v>55</v>
      </c>
      <c r="AF474" t="n">
        <v>47</v>
      </c>
      <c r="AG474" t="n">
        <v>35</v>
      </c>
      <c r="AH474" t="n">
        <v>37</v>
      </c>
      <c r="AI474" t="n">
        <v>38</v>
      </c>
      <c r="AJ474">
        <f>INDEX($Q$435:$Q$562,AC474+1)</f>
        <v/>
      </c>
      <c r="AK474">
        <f>INDEX($R$435:$R$562,AD474+1)</f>
        <v/>
      </c>
      <c r="AL474">
        <f>INDEX($S$435:$S$562,AE474+1)</f>
        <v/>
      </c>
      <c r="AM474">
        <f>INDEX($T$435:$T$562,AF474+1)</f>
        <v/>
      </c>
      <c r="AN474">
        <f>INDEX($U$435:$U$562,AG474+1)</f>
        <v/>
      </c>
      <c r="AO474">
        <f>INDEX($V$435:$V$562,AH474+1)</f>
        <v/>
      </c>
      <c r="AP474">
        <f>INDEX($W$435:$W$562,AI474+1)</f>
        <v/>
      </c>
      <c r="AQ474">
        <f>IF(Q474&gt;=AJ474-0.01,1,0)</f>
        <v/>
      </c>
      <c r="AR474">
        <f>IF(R474&gt;=AK474-0.01,1,0)</f>
        <v/>
      </c>
      <c r="AS474">
        <f>IF(S474&gt;=AL474-0.01,1,0)</f>
        <v/>
      </c>
      <c r="AT474">
        <f>IF(T474&gt;=AM474-0.01,1,0)</f>
        <v/>
      </c>
      <c r="AU474">
        <f>IF(U474&gt;=AN474-0.01,1,0)</f>
        <v/>
      </c>
      <c r="AV474">
        <f>IF(V474&gt;=AO474-0.01,1,0)</f>
        <v/>
      </c>
      <c r="AW474">
        <f>IF(W474&gt;=AP474-0.01,1,0)</f>
        <v/>
      </c>
      <c r="AX474">
        <f>AQ474*AR474*AS474*AT474*AU474*AV474*AW474</f>
        <v/>
      </c>
      <c r="AY474">
        <f>Assumptions!$B$41</f>
        <v/>
      </c>
      <c r="AZ474">
        <f>Assumptions!$B$33</f>
        <v/>
      </c>
      <c r="BA474">
        <f>Assumptions!$B$32</f>
        <v/>
      </c>
      <c r="BB474">
        <f>Assumptions!$B$31</f>
        <v/>
      </c>
      <c r="BC474">
        <f>Assumptions!$B$30</f>
        <v/>
      </c>
      <c r="BD474">
        <f>Assumptions!$B$29</f>
        <v/>
      </c>
      <c r="BE474">
        <f>Assumptions!$B$28</f>
        <v/>
      </c>
      <c r="BF474">
        <f>P474*Assumptions!$B$141</f>
        <v/>
      </c>
      <c r="BG474">
        <f>P474*Assumptions!$B$128</f>
        <v/>
      </c>
      <c r="BH474">
        <f>P474*Assumptions!$B$129</f>
        <v/>
      </c>
      <c r="BI474">
        <f>P474*Assumptions!$B$14</f>
        <v/>
      </c>
      <c r="BJ474">
        <f>P474*Assumptions!$B$13</f>
        <v/>
      </c>
      <c r="BK474">
        <f>P474*Assumptions!$B$12</f>
        <v/>
      </c>
      <c r="BL474">
        <f>P474*Assumptions!$B$11</f>
        <v/>
      </c>
    </row>
    <row r="475">
      <c r="A475" t="inlineStr">
        <is>
          <t>4000M</t>
        </is>
      </c>
      <c r="B475">
        <f>Assumptions!$B$61</f>
        <v/>
      </c>
      <c r="C475" t="n">
        <v>0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>
        <f>(1-C475)*Assumptions!$B$41+(1-D475)*Assumptions!$B$33+(1-E475)*Assumptions!$B$32+(1-F475)*Assumptions!$B$31+(1-G475)*Assumptions!$B$30+(1-H475)*Assumptions!$B$29+(1-I475)*Assumptions!$B$28</f>
        <v/>
      </c>
      <c r="K475">
        <f>C475*Assumptions!$B$141+D475*Assumptions!$B$128+E475*Assumptions!$B$129+F475*Assumptions!$B$14+G475*Assumptions!$B$13+H475*Assumptions!$B$12+I475*Assumptions!$B$11+Assumptions!$B$133+Assumptions!$B$137+Assumptions!$B$9</f>
        <v/>
      </c>
      <c r="L475">
        <f>B475-J475</f>
        <v/>
      </c>
      <c r="M475">
        <f>IF(K475&gt;0,IF(L475/K475&gt;=Assumptions!$B$37,1,0),0)</f>
        <v/>
      </c>
      <c r="N475">
        <f>K475+M475*Assumptions!$B$153</f>
        <v/>
      </c>
      <c r="O475">
        <f>L475+M475*Assumptions!$B$153*Assumptions!$B$37</f>
        <v/>
      </c>
      <c r="P475">
        <f>IF(N475&gt;0,O475/N475,0)</f>
        <v/>
      </c>
      <c r="Q475">
        <f>IF(C475=1,P475*Assumptions!$B$141,Assumptions!$B$41)</f>
        <v/>
      </c>
      <c r="R475">
        <f>IF(D475=1,P475*Assumptions!$B$128,Assumptions!$B$33)</f>
        <v/>
      </c>
      <c r="S475">
        <f>IF(E475=1,P475*Assumptions!$B$129,Assumptions!$B$32)</f>
        <v/>
      </c>
      <c r="T475">
        <f>IF(F475=1,P475*Assumptions!$B$14,Assumptions!$B$31)</f>
        <v/>
      </c>
      <c r="U475">
        <f>IF(G475=1,P475*Assumptions!$B$13,Assumptions!$B$30)</f>
        <v/>
      </c>
      <c r="V475">
        <f>IF(H475=1,P475*Assumptions!$B$12,Assumptions!$B$29)</f>
        <v/>
      </c>
      <c r="W475">
        <f>IF(I475=1,P475*Assumptions!$B$11,Assumptions!$B$28)</f>
        <v/>
      </c>
      <c r="X475">
        <f>P475*(Assumptions!$B$133+Assumptions!$B$137)</f>
        <v/>
      </c>
      <c r="Y475">
        <f>P475*Assumptions!$B$9</f>
        <v/>
      </c>
      <c r="Z475">
        <f>IF(M475=1,(P475-Assumptions!$B$37)*Assumptions!$B$153,0)</f>
        <v/>
      </c>
      <c r="AA475">
        <f>Q475+R475+S475+T475+U475+V475+W475+X475+Y475+Z475</f>
        <v/>
      </c>
      <c r="AB475" t="n">
        <v>40</v>
      </c>
      <c r="AC475" t="n">
        <v>104</v>
      </c>
      <c r="AD475" t="n">
        <v>8</v>
      </c>
      <c r="AE475" t="n">
        <v>56</v>
      </c>
      <c r="AF475" t="n">
        <v>32</v>
      </c>
      <c r="AG475" t="n">
        <v>44</v>
      </c>
      <c r="AH475" t="n">
        <v>42</v>
      </c>
      <c r="AI475" t="n">
        <v>41</v>
      </c>
      <c r="AJ475">
        <f>INDEX($Q$435:$Q$562,AC475+1)</f>
        <v/>
      </c>
      <c r="AK475">
        <f>INDEX($R$435:$R$562,AD475+1)</f>
        <v/>
      </c>
      <c r="AL475">
        <f>INDEX($S$435:$S$562,AE475+1)</f>
        <v/>
      </c>
      <c r="AM475">
        <f>INDEX($T$435:$T$562,AF475+1)</f>
        <v/>
      </c>
      <c r="AN475">
        <f>INDEX($U$435:$U$562,AG475+1)</f>
        <v/>
      </c>
      <c r="AO475">
        <f>INDEX($V$435:$V$562,AH475+1)</f>
        <v/>
      </c>
      <c r="AP475">
        <f>INDEX($W$435:$W$562,AI475+1)</f>
        <v/>
      </c>
      <c r="AQ475">
        <f>IF(Q475&gt;=AJ475-0.01,1,0)</f>
        <v/>
      </c>
      <c r="AR475">
        <f>IF(R475&gt;=AK475-0.01,1,0)</f>
        <v/>
      </c>
      <c r="AS475">
        <f>IF(S475&gt;=AL475-0.01,1,0)</f>
        <v/>
      </c>
      <c r="AT475">
        <f>IF(T475&gt;=AM475-0.01,1,0)</f>
        <v/>
      </c>
      <c r="AU475">
        <f>IF(U475&gt;=AN475-0.01,1,0)</f>
        <v/>
      </c>
      <c r="AV475">
        <f>IF(V475&gt;=AO475-0.01,1,0)</f>
        <v/>
      </c>
      <c r="AW475">
        <f>IF(W475&gt;=AP475-0.01,1,0)</f>
        <v/>
      </c>
      <c r="AX475">
        <f>AQ475*AR475*AS475*AT475*AU475*AV475*AW475</f>
        <v/>
      </c>
      <c r="AY475">
        <f>Assumptions!$B$41</f>
        <v/>
      </c>
      <c r="AZ475">
        <f>Assumptions!$B$33</f>
        <v/>
      </c>
      <c r="BA475">
        <f>Assumptions!$B$32</f>
        <v/>
      </c>
      <c r="BB475">
        <f>Assumptions!$B$31</f>
        <v/>
      </c>
      <c r="BC475">
        <f>Assumptions!$B$30</f>
        <v/>
      </c>
      <c r="BD475">
        <f>Assumptions!$B$29</f>
        <v/>
      </c>
      <c r="BE475">
        <f>Assumptions!$B$28</f>
        <v/>
      </c>
      <c r="BF475">
        <f>P475*Assumptions!$B$141</f>
        <v/>
      </c>
      <c r="BG475">
        <f>P475*Assumptions!$B$128</f>
        <v/>
      </c>
      <c r="BH475">
        <f>P475*Assumptions!$B$129</f>
        <v/>
      </c>
      <c r="BI475">
        <f>P475*Assumptions!$B$14</f>
        <v/>
      </c>
      <c r="BJ475">
        <f>P475*Assumptions!$B$13</f>
        <v/>
      </c>
      <c r="BK475">
        <f>P475*Assumptions!$B$12</f>
        <v/>
      </c>
      <c r="BL475">
        <f>P475*Assumptions!$B$11</f>
        <v/>
      </c>
    </row>
    <row r="476">
      <c r="A476" t="inlineStr">
        <is>
          <t>4000M</t>
        </is>
      </c>
      <c r="B476">
        <f>Assumptions!$B$61</f>
        <v/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>
        <f>(1-C476)*Assumptions!$B$41+(1-D476)*Assumptions!$B$33+(1-E476)*Assumptions!$B$32+(1-F476)*Assumptions!$B$31+(1-G476)*Assumptions!$B$30+(1-H476)*Assumptions!$B$29+(1-I476)*Assumptions!$B$28</f>
        <v/>
      </c>
      <c r="K476">
        <f>C476*Assumptions!$B$141+D476*Assumptions!$B$128+E476*Assumptions!$B$129+F476*Assumptions!$B$14+G476*Assumptions!$B$13+H476*Assumptions!$B$12+I476*Assumptions!$B$11+Assumptions!$B$133+Assumptions!$B$137+Assumptions!$B$9</f>
        <v/>
      </c>
      <c r="L476">
        <f>B476-J476</f>
        <v/>
      </c>
      <c r="M476">
        <f>IF(K476&gt;0,IF(L476/K476&gt;=Assumptions!$B$37,1,0),0)</f>
        <v/>
      </c>
      <c r="N476">
        <f>K476+M476*Assumptions!$B$153</f>
        <v/>
      </c>
      <c r="O476">
        <f>L476+M476*Assumptions!$B$153*Assumptions!$B$37</f>
        <v/>
      </c>
      <c r="P476">
        <f>IF(N476&gt;0,O476/N476,0)</f>
        <v/>
      </c>
      <c r="Q476">
        <f>IF(C476=1,P476*Assumptions!$B$141,Assumptions!$B$41)</f>
        <v/>
      </c>
      <c r="R476">
        <f>IF(D476=1,P476*Assumptions!$B$128,Assumptions!$B$33)</f>
        <v/>
      </c>
      <c r="S476">
        <f>IF(E476=1,P476*Assumptions!$B$129,Assumptions!$B$32)</f>
        <v/>
      </c>
      <c r="T476">
        <f>IF(F476=1,P476*Assumptions!$B$14,Assumptions!$B$31)</f>
        <v/>
      </c>
      <c r="U476">
        <f>IF(G476=1,P476*Assumptions!$B$13,Assumptions!$B$30)</f>
        <v/>
      </c>
      <c r="V476">
        <f>IF(H476=1,P476*Assumptions!$B$12,Assumptions!$B$29)</f>
        <v/>
      </c>
      <c r="W476">
        <f>IF(I476=1,P476*Assumptions!$B$11,Assumptions!$B$28)</f>
        <v/>
      </c>
      <c r="X476">
        <f>P476*(Assumptions!$B$133+Assumptions!$B$137)</f>
        <v/>
      </c>
      <c r="Y476">
        <f>P476*Assumptions!$B$9</f>
        <v/>
      </c>
      <c r="Z476">
        <f>IF(M476=1,(P476-Assumptions!$B$37)*Assumptions!$B$153,0)</f>
        <v/>
      </c>
      <c r="AA476">
        <f>Q476+R476+S476+T476+U476+V476+W476+X476+Y476+Z476</f>
        <v/>
      </c>
      <c r="AB476" t="n">
        <v>41</v>
      </c>
      <c r="AC476" t="n">
        <v>105</v>
      </c>
      <c r="AD476" t="n">
        <v>9</v>
      </c>
      <c r="AE476" t="n">
        <v>57</v>
      </c>
      <c r="AF476" t="n">
        <v>33</v>
      </c>
      <c r="AG476" t="n">
        <v>45</v>
      </c>
      <c r="AH476" t="n">
        <v>43</v>
      </c>
      <c r="AI476" t="n">
        <v>40</v>
      </c>
      <c r="AJ476">
        <f>INDEX($Q$435:$Q$562,AC476+1)</f>
        <v/>
      </c>
      <c r="AK476">
        <f>INDEX($R$435:$R$562,AD476+1)</f>
        <v/>
      </c>
      <c r="AL476">
        <f>INDEX($S$435:$S$562,AE476+1)</f>
        <v/>
      </c>
      <c r="AM476">
        <f>INDEX($T$435:$T$562,AF476+1)</f>
        <v/>
      </c>
      <c r="AN476">
        <f>INDEX($U$435:$U$562,AG476+1)</f>
        <v/>
      </c>
      <c r="AO476">
        <f>INDEX($V$435:$V$562,AH476+1)</f>
        <v/>
      </c>
      <c r="AP476">
        <f>INDEX($W$435:$W$562,AI476+1)</f>
        <v/>
      </c>
      <c r="AQ476">
        <f>IF(Q476&gt;=AJ476-0.01,1,0)</f>
        <v/>
      </c>
      <c r="AR476">
        <f>IF(R476&gt;=AK476-0.01,1,0)</f>
        <v/>
      </c>
      <c r="AS476">
        <f>IF(S476&gt;=AL476-0.01,1,0)</f>
        <v/>
      </c>
      <c r="AT476">
        <f>IF(T476&gt;=AM476-0.01,1,0)</f>
        <v/>
      </c>
      <c r="AU476">
        <f>IF(U476&gt;=AN476-0.01,1,0)</f>
        <v/>
      </c>
      <c r="AV476">
        <f>IF(V476&gt;=AO476-0.01,1,0)</f>
        <v/>
      </c>
      <c r="AW476">
        <f>IF(W476&gt;=AP476-0.01,1,0)</f>
        <v/>
      </c>
      <c r="AX476">
        <f>AQ476*AR476*AS476*AT476*AU476*AV476*AW476</f>
        <v/>
      </c>
      <c r="AY476">
        <f>Assumptions!$B$41</f>
        <v/>
      </c>
      <c r="AZ476">
        <f>Assumptions!$B$33</f>
        <v/>
      </c>
      <c r="BA476">
        <f>Assumptions!$B$32</f>
        <v/>
      </c>
      <c r="BB476">
        <f>Assumptions!$B$31</f>
        <v/>
      </c>
      <c r="BC476">
        <f>Assumptions!$B$30</f>
        <v/>
      </c>
      <c r="BD476">
        <f>Assumptions!$B$29</f>
        <v/>
      </c>
      <c r="BE476">
        <f>Assumptions!$B$28</f>
        <v/>
      </c>
      <c r="BF476">
        <f>P476*Assumptions!$B$141</f>
        <v/>
      </c>
      <c r="BG476">
        <f>P476*Assumptions!$B$128</f>
        <v/>
      </c>
      <c r="BH476">
        <f>P476*Assumptions!$B$129</f>
        <v/>
      </c>
      <c r="BI476">
        <f>P476*Assumptions!$B$14</f>
        <v/>
      </c>
      <c r="BJ476">
        <f>P476*Assumptions!$B$13</f>
        <v/>
      </c>
      <c r="BK476">
        <f>P476*Assumptions!$B$12</f>
        <v/>
      </c>
      <c r="BL476">
        <f>P476*Assumptions!$B$11</f>
        <v/>
      </c>
    </row>
    <row r="477">
      <c r="A477" t="inlineStr">
        <is>
          <t>4000M</t>
        </is>
      </c>
      <c r="B477">
        <f>Assumptions!$B$61</f>
        <v/>
      </c>
      <c r="C477" t="n">
        <v>0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>
        <f>(1-C477)*Assumptions!$B$41+(1-D477)*Assumptions!$B$33+(1-E477)*Assumptions!$B$32+(1-F477)*Assumptions!$B$31+(1-G477)*Assumptions!$B$30+(1-H477)*Assumptions!$B$29+(1-I477)*Assumptions!$B$28</f>
        <v/>
      </c>
      <c r="K477">
        <f>C477*Assumptions!$B$141+D477*Assumptions!$B$128+E477*Assumptions!$B$129+F477*Assumptions!$B$14+G477*Assumptions!$B$13+H477*Assumptions!$B$12+I477*Assumptions!$B$11+Assumptions!$B$133+Assumptions!$B$137+Assumptions!$B$9</f>
        <v/>
      </c>
      <c r="L477">
        <f>B477-J477</f>
        <v/>
      </c>
      <c r="M477">
        <f>IF(K477&gt;0,IF(L477/K477&gt;=Assumptions!$B$37,1,0),0)</f>
        <v/>
      </c>
      <c r="N477">
        <f>K477+M477*Assumptions!$B$153</f>
        <v/>
      </c>
      <c r="O477">
        <f>L477+M477*Assumptions!$B$153*Assumptions!$B$37</f>
        <v/>
      </c>
      <c r="P477">
        <f>IF(N477&gt;0,O477/N477,0)</f>
        <v/>
      </c>
      <c r="Q477">
        <f>IF(C477=1,P477*Assumptions!$B$141,Assumptions!$B$41)</f>
        <v/>
      </c>
      <c r="R477">
        <f>IF(D477=1,P477*Assumptions!$B$128,Assumptions!$B$33)</f>
        <v/>
      </c>
      <c r="S477">
        <f>IF(E477=1,P477*Assumptions!$B$129,Assumptions!$B$32)</f>
        <v/>
      </c>
      <c r="T477">
        <f>IF(F477=1,P477*Assumptions!$B$14,Assumptions!$B$31)</f>
        <v/>
      </c>
      <c r="U477">
        <f>IF(G477=1,P477*Assumptions!$B$13,Assumptions!$B$30)</f>
        <v/>
      </c>
      <c r="V477">
        <f>IF(H477=1,P477*Assumptions!$B$12,Assumptions!$B$29)</f>
        <v/>
      </c>
      <c r="W477">
        <f>IF(I477=1,P477*Assumptions!$B$11,Assumptions!$B$28)</f>
        <v/>
      </c>
      <c r="X477">
        <f>P477*(Assumptions!$B$133+Assumptions!$B$137)</f>
        <v/>
      </c>
      <c r="Y477">
        <f>P477*Assumptions!$B$9</f>
        <v/>
      </c>
      <c r="Z477">
        <f>IF(M477=1,(P477-Assumptions!$B$37)*Assumptions!$B$153,0)</f>
        <v/>
      </c>
      <c r="AA477">
        <f>Q477+R477+S477+T477+U477+V477+W477+X477+Y477+Z477</f>
        <v/>
      </c>
      <c r="AB477" t="n">
        <v>42</v>
      </c>
      <c r="AC477" t="n">
        <v>106</v>
      </c>
      <c r="AD477" t="n">
        <v>10</v>
      </c>
      <c r="AE477" t="n">
        <v>58</v>
      </c>
      <c r="AF477" t="n">
        <v>34</v>
      </c>
      <c r="AG477" t="n">
        <v>46</v>
      </c>
      <c r="AH477" t="n">
        <v>40</v>
      </c>
      <c r="AI477" t="n">
        <v>43</v>
      </c>
      <c r="AJ477">
        <f>INDEX($Q$435:$Q$562,AC477+1)</f>
        <v/>
      </c>
      <c r="AK477">
        <f>INDEX($R$435:$R$562,AD477+1)</f>
        <v/>
      </c>
      <c r="AL477">
        <f>INDEX($S$435:$S$562,AE477+1)</f>
        <v/>
      </c>
      <c r="AM477">
        <f>INDEX($T$435:$T$562,AF477+1)</f>
        <v/>
      </c>
      <c r="AN477">
        <f>INDEX($U$435:$U$562,AG477+1)</f>
        <v/>
      </c>
      <c r="AO477">
        <f>INDEX($V$435:$V$562,AH477+1)</f>
        <v/>
      </c>
      <c r="AP477">
        <f>INDEX($W$435:$W$562,AI477+1)</f>
        <v/>
      </c>
      <c r="AQ477">
        <f>IF(Q477&gt;=AJ477-0.01,1,0)</f>
        <v/>
      </c>
      <c r="AR477">
        <f>IF(R477&gt;=AK477-0.01,1,0)</f>
        <v/>
      </c>
      <c r="AS477">
        <f>IF(S477&gt;=AL477-0.01,1,0)</f>
        <v/>
      </c>
      <c r="AT477">
        <f>IF(T477&gt;=AM477-0.01,1,0)</f>
        <v/>
      </c>
      <c r="AU477">
        <f>IF(U477&gt;=AN477-0.01,1,0)</f>
        <v/>
      </c>
      <c r="AV477">
        <f>IF(V477&gt;=AO477-0.01,1,0)</f>
        <v/>
      </c>
      <c r="AW477">
        <f>IF(W477&gt;=AP477-0.01,1,0)</f>
        <v/>
      </c>
      <c r="AX477">
        <f>AQ477*AR477*AS477*AT477*AU477*AV477*AW477</f>
        <v/>
      </c>
      <c r="AY477">
        <f>Assumptions!$B$41</f>
        <v/>
      </c>
      <c r="AZ477">
        <f>Assumptions!$B$33</f>
        <v/>
      </c>
      <c r="BA477">
        <f>Assumptions!$B$32</f>
        <v/>
      </c>
      <c r="BB477">
        <f>Assumptions!$B$31</f>
        <v/>
      </c>
      <c r="BC477">
        <f>Assumptions!$B$30</f>
        <v/>
      </c>
      <c r="BD477">
        <f>Assumptions!$B$29</f>
        <v/>
      </c>
      <c r="BE477">
        <f>Assumptions!$B$28</f>
        <v/>
      </c>
      <c r="BF477">
        <f>P477*Assumptions!$B$141</f>
        <v/>
      </c>
      <c r="BG477">
        <f>P477*Assumptions!$B$128</f>
        <v/>
      </c>
      <c r="BH477">
        <f>P477*Assumptions!$B$129</f>
        <v/>
      </c>
      <c r="BI477">
        <f>P477*Assumptions!$B$14</f>
        <v/>
      </c>
      <c r="BJ477">
        <f>P477*Assumptions!$B$13</f>
        <v/>
      </c>
      <c r="BK477">
        <f>P477*Assumptions!$B$12</f>
        <v/>
      </c>
      <c r="BL477">
        <f>P477*Assumptions!$B$11</f>
        <v/>
      </c>
    </row>
    <row r="478">
      <c r="A478" t="inlineStr">
        <is>
          <t>4000M</t>
        </is>
      </c>
      <c r="B478">
        <f>Assumptions!$B$61</f>
        <v/>
      </c>
      <c r="C478" t="n">
        <v>0</v>
      </c>
      <c r="D478" t="n">
        <v>1</v>
      </c>
      <c r="E478" t="n">
        <v>0</v>
      </c>
      <c r="F478" t="n">
        <v>1</v>
      </c>
      <c r="G478" t="n">
        <v>0</v>
      </c>
      <c r="H478" t="n">
        <v>1</v>
      </c>
      <c r="I478" t="n">
        <v>1</v>
      </c>
      <c r="J478">
        <f>(1-C478)*Assumptions!$B$41+(1-D478)*Assumptions!$B$33+(1-E478)*Assumptions!$B$32+(1-F478)*Assumptions!$B$31+(1-G478)*Assumptions!$B$30+(1-H478)*Assumptions!$B$29+(1-I478)*Assumptions!$B$28</f>
        <v/>
      </c>
      <c r="K478">
        <f>C478*Assumptions!$B$141+D478*Assumptions!$B$128+E478*Assumptions!$B$129+F478*Assumptions!$B$14+G478*Assumptions!$B$13+H478*Assumptions!$B$12+I478*Assumptions!$B$11+Assumptions!$B$133+Assumptions!$B$137+Assumptions!$B$9</f>
        <v/>
      </c>
      <c r="L478">
        <f>B478-J478</f>
        <v/>
      </c>
      <c r="M478">
        <f>IF(K478&gt;0,IF(L478/K478&gt;=Assumptions!$B$37,1,0),0)</f>
        <v/>
      </c>
      <c r="N478">
        <f>K478+M478*Assumptions!$B$153</f>
        <v/>
      </c>
      <c r="O478">
        <f>L478+M478*Assumptions!$B$153*Assumptions!$B$37</f>
        <v/>
      </c>
      <c r="P478">
        <f>IF(N478&gt;0,O478/N478,0)</f>
        <v/>
      </c>
      <c r="Q478">
        <f>IF(C478=1,P478*Assumptions!$B$141,Assumptions!$B$41)</f>
        <v/>
      </c>
      <c r="R478">
        <f>IF(D478=1,P478*Assumptions!$B$128,Assumptions!$B$33)</f>
        <v/>
      </c>
      <c r="S478">
        <f>IF(E478=1,P478*Assumptions!$B$129,Assumptions!$B$32)</f>
        <v/>
      </c>
      <c r="T478">
        <f>IF(F478=1,P478*Assumptions!$B$14,Assumptions!$B$31)</f>
        <v/>
      </c>
      <c r="U478">
        <f>IF(G478=1,P478*Assumptions!$B$13,Assumptions!$B$30)</f>
        <v/>
      </c>
      <c r="V478">
        <f>IF(H478=1,P478*Assumptions!$B$12,Assumptions!$B$29)</f>
        <v/>
      </c>
      <c r="W478">
        <f>IF(I478=1,P478*Assumptions!$B$11,Assumptions!$B$28)</f>
        <v/>
      </c>
      <c r="X478">
        <f>P478*(Assumptions!$B$133+Assumptions!$B$137)</f>
        <v/>
      </c>
      <c r="Y478">
        <f>P478*Assumptions!$B$9</f>
        <v/>
      </c>
      <c r="Z478">
        <f>IF(M478=1,(P478-Assumptions!$B$37)*Assumptions!$B$153,0)</f>
        <v/>
      </c>
      <c r="AA478">
        <f>Q478+R478+S478+T478+U478+V478+W478+X478+Y478+Z478</f>
        <v/>
      </c>
      <c r="AB478" t="n">
        <v>43</v>
      </c>
      <c r="AC478" t="n">
        <v>107</v>
      </c>
      <c r="AD478" t="n">
        <v>11</v>
      </c>
      <c r="AE478" t="n">
        <v>59</v>
      </c>
      <c r="AF478" t="n">
        <v>35</v>
      </c>
      <c r="AG478" t="n">
        <v>47</v>
      </c>
      <c r="AH478" t="n">
        <v>41</v>
      </c>
      <c r="AI478" t="n">
        <v>42</v>
      </c>
      <c r="AJ478">
        <f>INDEX($Q$435:$Q$562,AC478+1)</f>
        <v/>
      </c>
      <c r="AK478">
        <f>INDEX($R$435:$R$562,AD478+1)</f>
        <v/>
      </c>
      <c r="AL478">
        <f>INDEX($S$435:$S$562,AE478+1)</f>
        <v/>
      </c>
      <c r="AM478">
        <f>INDEX($T$435:$T$562,AF478+1)</f>
        <v/>
      </c>
      <c r="AN478">
        <f>INDEX($U$435:$U$562,AG478+1)</f>
        <v/>
      </c>
      <c r="AO478">
        <f>INDEX($V$435:$V$562,AH478+1)</f>
        <v/>
      </c>
      <c r="AP478">
        <f>INDEX($W$435:$W$562,AI478+1)</f>
        <v/>
      </c>
      <c r="AQ478">
        <f>IF(Q478&gt;=AJ478-0.01,1,0)</f>
        <v/>
      </c>
      <c r="AR478">
        <f>IF(R478&gt;=AK478-0.01,1,0)</f>
        <v/>
      </c>
      <c r="AS478">
        <f>IF(S478&gt;=AL478-0.01,1,0)</f>
        <v/>
      </c>
      <c r="AT478">
        <f>IF(T478&gt;=AM478-0.01,1,0)</f>
        <v/>
      </c>
      <c r="AU478">
        <f>IF(U478&gt;=AN478-0.01,1,0)</f>
        <v/>
      </c>
      <c r="AV478">
        <f>IF(V478&gt;=AO478-0.01,1,0)</f>
        <v/>
      </c>
      <c r="AW478">
        <f>IF(W478&gt;=AP478-0.01,1,0)</f>
        <v/>
      </c>
      <c r="AX478">
        <f>AQ478*AR478*AS478*AT478*AU478*AV478*AW478</f>
        <v/>
      </c>
      <c r="AY478">
        <f>Assumptions!$B$41</f>
        <v/>
      </c>
      <c r="AZ478">
        <f>Assumptions!$B$33</f>
        <v/>
      </c>
      <c r="BA478">
        <f>Assumptions!$B$32</f>
        <v/>
      </c>
      <c r="BB478">
        <f>Assumptions!$B$31</f>
        <v/>
      </c>
      <c r="BC478">
        <f>Assumptions!$B$30</f>
        <v/>
      </c>
      <c r="BD478">
        <f>Assumptions!$B$29</f>
        <v/>
      </c>
      <c r="BE478">
        <f>Assumptions!$B$28</f>
        <v/>
      </c>
      <c r="BF478">
        <f>P478*Assumptions!$B$141</f>
        <v/>
      </c>
      <c r="BG478">
        <f>P478*Assumptions!$B$128</f>
        <v/>
      </c>
      <c r="BH478">
        <f>P478*Assumptions!$B$129</f>
        <v/>
      </c>
      <c r="BI478">
        <f>P478*Assumptions!$B$14</f>
        <v/>
      </c>
      <c r="BJ478">
        <f>P478*Assumptions!$B$13</f>
        <v/>
      </c>
      <c r="BK478">
        <f>P478*Assumptions!$B$12</f>
        <v/>
      </c>
      <c r="BL478">
        <f>P478*Assumptions!$B$11</f>
        <v/>
      </c>
    </row>
    <row r="479">
      <c r="A479" t="inlineStr">
        <is>
          <t>4000M</t>
        </is>
      </c>
      <c r="B479">
        <f>Assumptions!$B$61</f>
        <v/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>
        <f>(1-C479)*Assumptions!$B$41+(1-D479)*Assumptions!$B$33+(1-E479)*Assumptions!$B$32+(1-F479)*Assumptions!$B$31+(1-G479)*Assumptions!$B$30+(1-H479)*Assumptions!$B$29+(1-I479)*Assumptions!$B$28</f>
        <v/>
      </c>
      <c r="K479">
        <f>C479*Assumptions!$B$141+D479*Assumptions!$B$128+E479*Assumptions!$B$129+F479*Assumptions!$B$14+G479*Assumptions!$B$13+H479*Assumptions!$B$12+I479*Assumptions!$B$11+Assumptions!$B$133+Assumptions!$B$137+Assumptions!$B$9</f>
        <v/>
      </c>
      <c r="L479">
        <f>B479-J479</f>
        <v/>
      </c>
      <c r="M479">
        <f>IF(K479&gt;0,IF(L479/K479&gt;=Assumptions!$B$37,1,0),0)</f>
        <v/>
      </c>
      <c r="N479">
        <f>K479+M479*Assumptions!$B$153</f>
        <v/>
      </c>
      <c r="O479">
        <f>L479+M479*Assumptions!$B$153*Assumptions!$B$37</f>
        <v/>
      </c>
      <c r="P479">
        <f>IF(N479&gt;0,O479/N479,0)</f>
        <v/>
      </c>
      <c r="Q479">
        <f>IF(C479=1,P479*Assumptions!$B$141,Assumptions!$B$41)</f>
        <v/>
      </c>
      <c r="R479">
        <f>IF(D479=1,P479*Assumptions!$B$128,Assumptions!$B$33)</f>
        <v/>
      </c>
      <c r="S479">
        <f>IF(E479=1,P479*Assumptions!$B$129,Assumptions!$B$32)</f>
        <v/>
      </c>
      <c r="T479">
        <f>IF(F479=1,P479*Assumptions!$B$14,Assumptions!$B$31)</f>
        <v/>
      </c>
      <c r="U479">
        <f>IF(G479=1,P479*Assumptions!$B$13,Assumptions!$B$30)</f>
        <v/>
      </c>
      <c r="V479">
        <f>IF(H479=1,P479*Assumptions!$B$12,Assumptions!$B$29)</f>
        <v/>
      </c>
      <c r="W479">
        <f>IF(I479=1,P479*Assumptions!$B$11,Assumptions!$B$28)</f>
        <v/>
      </c>
      <c r="X479">
        <f>P479*(Assumptions!$B$133+Assumptions!$B$137)</f>
        <v/>
      </c>
      <c r="Y479">
        <f>P479*Assumptions!$B$9</f>
        <v/>
      </c>
      <c r="Z479">
        <f>IF(M479=1,(P479-Assumptions!$B$37)*Assumptions!$B$153,0)</f>
        <v/>
      </c>
      <c r="AA479">
        <f>Q479+R479+S479+T479+U479+V479+W479+X479+Y479+Z479</f>
        <v/>
      </c>
      <c r="AB479" t="n">
        <v>44</v>
      </c>
      <c r="AC479" t="n">
        <v>108</v>
      </c>
      <c r="AD479" t="n">
        <v>12</v>
      </c>
      <c r="AE479" t="n">
        <v>60</v>
      </c>
      <c r="AF479" t="n">
        <v>36</v>
      </c>
      <c r="AG479" t="n">
        <v>40</v>
      </c>
      <c r="AH479" t="n">
        <v>46</v>
      </c>
      <c r="AI479" t="n">
        <v>45</v>
      </c>
      <c r="AJ479">
        <f>INDEX($Q$435:$Q$562,AC479+1)</f>
        <v/>
      </c>
      <c r="AK479">
        <f>INDEX($R$435:$R$562,AD479+1)</f>
        <v/>
      </c>
      <c r="AL479">
        <f>INDEX($S$435:$S$562,AE479+1)</f>
        <v/>
      </c>
      <c r="AM479">
        <f>INDEX($T$435:$T$562,AF479+1)</f>
        <v/>
      </c>
      <c r="AN479">
        <f>INDEX($U$435:$U$562,AG479+1)</f>
        <v/>
      </c>
      <c r="AO479">
        <f>INDEX($V$435:$V$562,AH479+1)</f>
        <v/>
      </c>
      <c r="AP479">
        <f>INDEX($W$435:$W$562,AI479+1)</f>
        <v/>
      </c>
      <c r="AQ479">
        <f>IF(Q479&gt;=AJ479-0.01,1,0)</f>
        <v/>
      </c>
      <c r="AR479">
        <f>IF(R479&gt;=AK479-0.01,1,0)</f>
        <v/>
      </c>
      <c r="AS479">
        <f>IF(S479&gt;=AL479-0.01,1,0)</f>
        <v/>
      </c>
      <c r="AT479">
        <f>IF(T479&gt;=AM479-0.01,1,0)</f>
        <v/>
      </c>
      <c r="AU479">
        <f>IF(U479&gt;=AN479-0.01,1,0)</f>
        <v/>
      </c>
      <c r="AV479">
        <f>IF(V479&gt;=AO479-0.01,1,0)</f>
        <v/>
      </c>
      <c r="AW479">
        <f>IF(W479&gt;=AP479-0.01,1,0)</f>
        <v/>
      </c>
      <c r="AX479">
        <f>AQ479*AR479*AS479*AT479*AU479*AV479*AW479</f>
        <v/>
      </c>
      <c r="AY479">
        <f>Assumptions!$B$41</f>
        <v/>
      </c>
      <c r="AZ479">
        <f>Assumptions!$B$33</f>
        <v/>
      </c>
      <c r="BA479">
        <f>Assumptions!$B$32</f>
        <v/>
      </c>
      <c r="BB479">
        <f>Assumptions!$B$31</f>
        <v/>
      </c>
      <c r="BC479">
        <f>Assumptions!$B$30</f>
        <v/>
      </c>
      <c r="BD479">
        <f>Assumptions!$B$29</f>
        <v/>
      </c>
      <c r="BE479">
        <f>Assumptions!$B$28</f>
        <v/>
      </c>
      <c r="BF479">
        <f>P479*Assumptions!$B$141</f>
        <v/>
      </c>
      <c r="BG479">
        <f>P479*Assumptions!$B$128</f>
        <v/>
      </c>
      <c r="BH479">
        <f>P479*Assumptions!$B$129</f>
        <v/>
      </c>
      <c r="BI479">
        <f>P479*Assumptions!$B$14</f>
        <v/>
      </c>
      <c r="BJ479">
        <f>P479*Assumptions!$B$13</f>
        <v/>
      </c>
      <c r="BK479">
        <f>P479*Assumptions!$B$12</f>
        <v/>
      </c>
      <c r="BL479">
        <f>P479*Assumptions!$B$11</f>
        <v/>
      </c>
    </row>
    <row r="480">
      <c r="A480" t="inlineStr">
        <is>
          <t>4000M</t>
        </is>
      </c>
      <c r="B480">
        <f>Assumptions!$B$61</f>
        <v/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0</v>
      </c>
      <c r="I480" t="n">
        <v>1</v>
      </c>
      <c r="J480">
        <f>(1-C480)*Assumptions!$B$41+(1-D480)*Assumptions!$B$33+(1-E480)*Assumptions!$B$32+(1-F480)*Assumptions!$B$31+(1-G480)*Assumptions!$B$30+(1-H480)*Assumptions!$B$29+(1-I480)*Assumptions!$B$28</f>
        <v/>
      </c>
      <c r="K480">
        <f>C480*Assumptions!$B$141+D480*Assumptions!$B$128+E480*Assumptions!$B$129+F480*Assumptions!$B$14+G480*Assumptions!$B$13+H480*Assumptions!$B$12+I480*Assumptions!$B$11+Assumptions!$B$133+Assumptions!$B$137+Assumptions!$B$9</f>
        <v/>
      </c>
      <c r="L480">
        <f>B480-J480</f>
        <v/>
      </c>
      <c r="M480">
        <f>IF(K480&gt;0,IF(L480/K480&gt;=Assumptions!$B$37,1,0),0)</f>
        <v/>
      </c>
      <c r="N480">
        <f>K480+M480*Assumptions!$B$153</f>
        <v/>
      </c>
      <c r="O480">
        <f>L480+M480*Assumptions!$B$153*Assumptions!$B$37</f>
        <v/>
      </c>
      <c r="P480">
        <f>IF(N480&gt;0,O480/N480,0)</f>
        <v/>
      </c>
      <c r="Q480">
        <f>IF(C480=1,P480*Assumptions!$B$141,Assumptions!$B$41)</f>
        <v/>
      </c>
      <c r="R480">
        <f>IF(D480=1,P480*Assumptions!$B$128,Assumptions!$B$33)</f>
        <v/>
      </c>
      <c r="S480">
        <f>IF(E480=1,P480*Assumptions!$B$129,Assumptions!$B$32)</f>
        <v/>
      </c>
      <c r="T480">
        <f>IF(F480=1,P480*Assumptions!$B$14,Assumptions!$B$31)</f>
        <v/>
      </c>
      <c r="U480">
        <f>IF(G480=1,P480*Assumptions!$B$13,Assumptions!$B$30)</f>
        <v/>
      </c>
      <c r="V480">
        <f>IF(H480=1,P480*Assumptions!$B$12,Assumptions!$B$29)</f>
        <v/>
      </c>
      <c r="W480">
        <f>IF(I480=1,P480*Assumptions!$B$11,Assumptions!$B$28)</f>
        <v/>
      </c>
      <c r="X480">
        <f>P480*(Assumptions!$B$133+Assumptions!$B$137)</f>
        <v/>
      </c>
      <c r="Y480">
        <f>P480*Assumptions!$B$9</f>
        <v/>
      </c>
      <c r="Z480">
        <f>IF(M480=1,(P480-Assumptions!$B$37)*Assumptions!$B$153,0)</f>
        <v/>
      </c>
      <c r="AA480">
        <f>Q480+R480+S480+T480+U480+V480+W480+X480+Y480+Z480</f>
        <v/>
      </c>
      <c r="AB480" t="n">
        <v>45</v>
      </c>
      <c r="AC480" t="n">
        <v>109</v>
      </c>
      <c r="AD480" t="n">
        <v>13</v>
      </c>
      <c r="AE480" t="n">
        <v>61</v>
      </c>
      <c r="AF480" t="n">
        <v>37</v>
      </c>
      <c r="AG480" t="n">
        <v>41</v>
      </c>
      <c r="AH480" t="n">
        <v>47</v>
      </c>
      <c r="AI480" t="n">
        <v>44</v>
      </c>
      <c r="AJ480">
        <f>INDEX($Q$435:$Q$562,AC480+1)</f>
        <v/>
      </c>
      <c r="AK480">
        <f>INDEX($R$435:$R$562,AD480+1)</f>
        <v/>
      </c>
      <c r="AL480">
        <f>INDEX($S$435:$S$562,AE480+1)</f>
        <v/>
      </c>
      <c r="AM480">
        <f>INDEX($T$435:$T$562,AF480+1)</f>
        <v/>
      </c>
      <c r="AN480">
        <f>INDEX($U$435:$U$562,AG480+1)</f>
        <v/>
      </c>
      <c r="AO480">
        <f>INDEX($V$435:$V$562,AH480+1)</f>
        <v/>
      </c>
      <c r="AP480">
        <f>INDEX($W$435:$W$562,AI480+1)</f>
        <v/>
      </c>
      <c r="AQ480">
        <f>IF(Q480&gt;=AJ480-0.01,1,0)</f>
        <v/>
      </c>
      <c r="AR480">
        <f>IF(R480&gt;=AK480-0.01,1,0)</f>
        <v/>
      </c>
      <c r="AS480">
        <f>IF(S480&gt;=AL480-0.01,1,0)</f>
        <v/>
      </c>
      <c r="AT480">
        <f>IF(T480&gt;=AM480-0.01,1,0)</f>
        <v/>
      </c>
      <c r="AU480">
        <f>IF(U480&gt;=AN480-0.01,1,0)</f>
        <v/>
      </c>
      <c r="AV480">
        <f>IF(V480&gt;=AO480-0.01,1,0)</f>
        <v/>
      </c>
      <c r="AW480">
        <f>IF(W480&gt;=AP480-0.01,1,0)</f>
        <v/>
      </c>
      <c r="AX480">
        <f>AQ480*AR480*AS480*AT480*AU480*AV480*AW480</f>
        <v/>
      </c>
      <c r="AY480">
        <f>Assumptions!$B$41</f>
        <v/>
      </c>
      <c r="AZ480">
        <f>Assumptions!$B$33</f>
        <v/>
      </c>
      <c r="BA480">
        <f>Assumptions!$B$32</f>
        <v/>
      </c>
      <c r="BB480">
        <f>Assumptions!$B$31</f>
        <v/>
      </c>
      <c r="BC480">
        <f>Assumptions!$B$30</f>
        <v/>
      </c>
      <c r="BD480">
        <f>Assumptions!$B$29</f>
        <v/>
      </c>
      <c r="BE480">
        <f>Assumptions!$B$28</f>
        <v/>
      </c>
      <c r="BF480">
        <f>P480*Assumptions!$B$141</f>
        <v/>
      </c>
      <c r="BG480">
        <f>P480*Assumptions!$B$128</f>
        <v/>
      </c>
      <c r="BH480">
        <f>P480*Assumptions!$B$129</f>
        <v/>
      </c>
      <c r="BI480">
        <f>P480*Assumptions!$B$14</f>
        <v/>
      </c>
      <c r="BJ480">
        <f>P480*Assumptions!$B$13</f>
        <v/>
      </c>
      <c r="BK480">
        <f>P480*Assumptions!$B$12</f>
        <v/>
      </c>
      <c r="BL480">
        <f>P480*Assumptions!$B$11</f>
        <v/>
      </c>
    </row>
    <row r="481">
      <c r="A481" t="inlineStr">
        <is>
          <t>4000M</t>
        </is>
      </c>
      <c r="B481">
        <f>Assumptions!$B$61</f>
        <v/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>
        <f>(1-C481)*Assumptions!$B$41+(1-D481)*Assumptions!$B$33+(1-E481)*Assumptions!$B$32+(1-F481)*Assumptions!$B$31+(1-G481)*Assumptions!$B$30+(1-H481)*Assumptions!$B$29+(1-I481)*Assumptions!$B$28</f>
        <v/>
      </c>
      <c r="K481">
        <f>C481*Assumptions!$B$141+D481*Assumptions!$B$128+E481*Assumptions!$B$129+F481*Assumptions!$B$14+G481*Assumptions!$B$13+H481*Assumptions!$B$12+I481*Assumptions!$B$11+Assumptions!$B$133+Assumptions!$B$137+Assumptions!$B$9</f>
        <v/>
      </c>
      <c r="L481">
        <f>B481-J481</f>
        <v/>
      </c>
      <c r="M481">
        <f>IF(K481&gt;0,IF(L481/K481&gt;=Assumptions!$B$37,1,0),0)</f>
        <v/>
      </c>
      <c r="N481">
        <f>K481+M481*Assumptions!$B$153</f>
        <v/>
      </c>
      <c r="O481">
        <f>L481+M481*Assumptions!$B$153*Assumptions!$B$37</f>
        <v/>
      </c>
      <c r="P481">
        <f>IF(N481&gt;0,O481/N481,0)</f>
        <v/>
      </c>
      <c r="Q481">
        <f>IF(C481=1,P481*Assumptions!$B$141,Assumptions!$B$41)</f>
        <v/>
      </c>
      <c r="R481">
        <f>IF(D481=1,P481*Assumptions!$B$128,Assumptions!$B$33)</f>
        <v/>
      </c>
      <c r="S481">
        <f>IF(E481=1,P481*Assumptions!$B$129,Assumptions!$B$32)</f>
        <v/>
      </c>
      <c r="T481">
        <f>IF(F481=1,P481*Assumptions!$B$14,Assumptions!$B$31)</f>
        <v/>
      </c>
      <c r="U481">
        <f>IF(G481=1,P481*Assumptions!$B$13,Assumptions!$B$30)</f>
        <v/>
      </c>
      <c r="V481">
        <f>IF(H481=1,P481*Assumptions!$B$12,Assumptions!$B$29)</f>
        <v/>
      </c>
      <c r="W481">
        <f>IF(I481=1,P481*Assumptions!$B$11,Assumptions!$B$28)</f>
        <v/>
      </c>
      <c r="X481">
        <f>P481*(Assumptions!$B$133+Assumptions!$B$137)</f>
        <v/>
      </c>
      <c r="Y481">
        <f>P481*Assumptions!$B$9</f>
        <v/>
      </c>
      <c r="Z481">
        <f>IF(M481=1,(P481-Assumptions!$B$37)*Assumptions!$B$153,0)</f>
        <v/>
      </c>
      <c r="AA481">
        <f>Q481+R481+S481+T481+U481+V481+W481+X481+Y481+Z481</f>
        <v/>
      </c>
      <c r="AB481" t="n">
        <v>46</v>
      </c>
      <c r="AC481" t="n">
        <v>110</v>
      </c>
      <c r="AD481" t="n">
        <v>14</v>
      </c>
      <c r="AE481" t="n">
        <v>62</v>
      </c>
      <c r="AF481" t="n">
        <v>38</v>
      </c>
      <c r="AG481" t="n">
        <v>42</v>
      </c>
      <c r="AH481" t="n">
        <v>44</v>
      </c>
      <c r="AI481" t="n">
        <v>47</v>
      </c>
      <c r="AJ481">
        <f>INDEX($Q$435:$Q$562,AC481+1)</f>
        <v/>
      </c>
      <c r="AK481">
        <f>INDEX($R$435:$R$562,AD481+1)</f>
        <v/>
      </c>
      <c r="AL481">
        <f>INDEX($S$435:$S$562,AE481+1)</f>
        <v/>
      </c>
      <c r="AM481">
        <f>INDEX($T$435:$T$562,AF481+1)</f>
        <v/>
      </c>
      <c r="AN481">
        <f>INDEX($U$435:$U$562,AG481+1)</f>
        <v/>
      </c>
      <c r="AO481">
        <f>INDEX($V$435:$V$562,AH481+1)</f>
        <v/>
      </c>
      <c r="AP481">
        <f>INDEX($W$435:$W$562,AI481+1)</f>
        <v/>
      </c>
      <c r="AQ481">
        <f>IF(Q481&gt;=AJ481-0.01,1,0)</f>
        <v/>
      </c>
      <c r="AR481">
        <f>IF(R481&gt;=AK481-0.01,1,0)</f>
        <v/>
      </c>
      <c r="AS481">
        <f>IF(S481&gt;=AL481-0.01,1,0)</f>
        <v/>
      </c>
      <c r="AT481">
        <f>IF(T481&gt;=AM481-0.01,1,0)</f>
        <v/>
      </c>
      <c r="AU481">
        <f>IF(U481&gt;=AN481-0.01,1,0)</f>
        <v/>
      </c>
      <c r="AV481">
        <f>IF(V481&gt;=AO481-0.01,1,0)</f>
        <v/>
      </c>
      <c r="AW481">
        <f>IF(W481&gt;=AP481-0.01,1,0)</f>
        <v/>
      </c>
      <c r="AX481">
        <f>AQ481*AR481*AS481*AT481*AU481*AV481*AW481</f>
        <v/>
      </c>
      <c r="AY481">
        <f>Assumptions!$B$41</f>
        <v/>
      </c>
      <c r="AZ481">
        <f>Assumptions!$B$33</f>
        <v/>
      </c>
      <c r="BA481">
        <f>Assumptions!$B$32</f>
        <v/>
      </c>
      <c r="BB481">
        <f>Assumptions!$B$31</f>
        <v/>
      </c>
      <c r="BC481">
        <f>Assumptions!$B$30</f>
        <v/>
      </c>
      <c r="BD481">
        <f>Assumptions!$B$29</f>
        <v/>
      </c>
      <c r="BE481">
        <f>Assumptions!$B$28</f>
        <v/>
      </c>
      <c r="BF481">
        <f>P481*Assumptions!$B$141</f>
        <v/>
      </c>
      <c r="BG481">
        <f>P481*Assumptions!$B$128</f>
        <v/>
      </c>
      <c r="BH481">
        <f>P481*Assumptions!$B$129</f>
        <v/>
      </c>
      <c r="BI481">
        <f>P481*Assumptions!$B$14</f>
        <v/>
      </c>
      <c r="BJ481">
        <f>P481*Assumptions!$B$13</f>
        <v/>
      </c>
      <c r="BK481">
        <f>P481*Assumptions!$B$12</f>
        <v/>
      </c>
      <c r="BL481">
        <f>P481*Assumptions!$B$11</f>
        <v/>
      </c>
    </row>
    <row r="482">
      <c r="A482" t="inlineStr">
        <is>
          <t>4000M</t>
        </is>
      </c>
      <c r="B482">
        <f>Assumptions!$B$61</f>
        <v/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>
        <f>(1-C482)*Assumptions!$B$41+(1-D482)*Assumptions!$B$33+(1-E482)*Assumptions!$B$32+(1-F482)*Assumptions!$B$31+(1-G482)*Assumptions!$B$30+(1-H482)*Assumptions!$B$29+(1-I482)*Assumptions!$B$28</f>
        <v/>
      </c>
      <c r="K482">
        <f>C482*Assumptions!$B$141+D482*Assumptions!$B$128+E482*Assumptions!$B$129+F482*Assumptions!$B$14+G482*Assumptions!$B$13+H482*Assumptions!$B$12+I482*Assumptions!$B$11+Assumptions!$B$133+Assumptions!$B$137+Assumptions!$B$9</f>
        <v/>
      </c>
      <c r="L482">
        <f>B482-J482</f>
        <v/>
      </c>
      <c r="M482">
        <f>IF(K482&gt;0,IF(L482/K482&gt;=Assumptions!$B$37,1,0),0)</f>
        <v/>
      </c>
      <c r="N482">
        <f>K482+M482*Assumptions!$B$153</f>
        <v/>
      </c>
      <c r="O482">
        <f>L482+M482*Assumptions!$B$153*Assumptions!$B$37</f>
        <v/>
      </c>
      <c r="P482">
        <f>IF(N482&gt;0,O482/N482,0)</f>
        <v/>
      </c>
      <c r="Q482">
        <f>IF(C482=1,P482*Assumptions!$B$141,Assumptions!$B$41)</f>
        <v/>
      </c>
      <c r="R482">
        <f>IF(D482=1,P482*Assumptions!$B$128,Assumptions!$B$33)</f>
        <v/>
      </c>
      <c r="S482">
        <f>IF(E482=1,P482*Assumptions!$B$129,Assumptions!$B$32)</f>
        <v/>
      </c>
      <c r="T482">
        <f>IF(F482=1,P482*Assumptions!$B$14,Assumptions!$B$31)</f>
        <v/>
      </c>
      <c r="U482">
        <f>IF(G482=1,P482*Assumptions!$B$13,Assumptions!$B$30)</f>
        <v/>
      </c>
      <c r="V482">
        <f>IF(H482=1,P482*Assumptions!$B$12,Assumptions!$B$29)</f>
        <v/>
      </c>
      <c r="W482">
        <f>IF(I482=1,P482*Assumptions!$B$11,Assumptions!$B$28)</f>
        <v/>
      </c>
      <c r="X482">
        <f>P482*(Assumptions!$B$133+Assumptions!$B$137)</f>
        <v/>
      </c>
      <c r="Y482">
        <f>P482*Assumptions!$B$9</f>
        <v/>
      </c>
      <c r="Z482">
        <f>IF(M482=1,(P482-Assumptions!$B$37)*Assumptions!$B$153,0)</f>
        <v/>
      </c>
      <c r="AA482">
        <f>Q482+R482+S482+T482+U482+V482+W482+X482+Y482+Z482</f>
        <v/>
      </c>
      <c r="AB482" t="n">
        <v>47</v>
      </c>
      <c r="AC482" t="n">
        <v>111</v>
      </c>
      <c r="AD482" t="n">
        <v>15</v>
      </c>
      <c r="AE482" t="n">
        <v>63</v>
      </c>
      <c r="AF482" t="n">
        <v>39</v>
      </c>
      <c r="AG482" t="n">
        <v>43</v>
      </c>
      <c r="AH482" t="n">
        <v>45</v>
      </c>
      <c r="AI482" t="n">
        <v>46</v>
      </c>
      <c r="AJ482">
        <f>INDEX($Q$435:$Q$562,AC482+1)</f>
        <v/>
      </c>
      <c r="AK482">
        <f>INDEX($R$435:$R$562,AD482+1)</f>
        <v/>
      </c>
      <c r="AL482">
        <f>INDEX($S$435:$S$562,AE482+1)</f>
        <v/>
      </c>
      <c r="AM482">
        <f>INDEX($T$435:$T$562,AF482+1)</f>
        <v/>
      </c>
      <c r="AN482">
        <f>INDEX($U$435:$U$562,AG482+1)</f>
        <v/>
      </c>
      <c r="AO482">
        <f>INDEX($V$435:$V$562,AH482+1)</f>
        <v/>
      </c>
      <c r="AP482">
        <f>INDEX($W$435:$W$562,AI482+1)</f>
        <v/>
      </c>
      <c r="AQ482">
        <f>IF(Q482&gt;=AJ482-0.01,1,0)</f>
        <v/>
      </c>
      <c r="AR482">
        <f>IF(R482&gt;=AK482-0.01,1,0)</f>
        <v/>
      </c>
      <c r="AS482">
        <f>IF(S482&gt;=AL482-0.01,1,0)</f>
        <v/>
      </c>
      <c r="AT482">
        <f>IF(T482&gt;=AM482-0.01,1,0)</f>
        <v/>
      </c>
      <c r="AU482">
        <f>IF(U482&gt;=AN482-0.01,1,0)</f>
        <v/>
      </c>
      <c r="AV482">
        <f>IF(V482&gt;=AO482-0.01,1,0)</f>
        <v/>
      </c>
      <c r="AW482">
        <f>IF(W482&gt;=AP482-0.01,1,0)</f>
        <v/>
      </c>
      <c r="AX482">
        <f>AQ482*AR482*AS482*AT482*AU482*AV482*AW482</f>
        <v/>
      </c>
      <c r="AY482">
        <f>Assumptions!$B$41</f>
        <v/>
      </c>
      <c r="AZ482">
        <f>Assumptions!$B$33</f>
        <v/>
      </c>
      <c r="BA482">
        <f>Assumptions!$B$32</f>
        <v/>
      </c>
      <c r="BB482">
        <f>Assumptions!$B$31</f>
        <v/>
      </c>
      <c r="BC482">
        <f>Assumptions!$B$30</f>
        <v/>
      </c>
      <c r="BD482">
        <f>Assumptions!$B$29</f>
        <v/>
      </c>
      <c r="BE482">
        <f>Assumptions!$B$28</f>
        <v/>
      </c>
      <c r="BF482">
        <f>P482*Assumptions!$B$141</f>
        <v/>
      </c>
      <c r="BG482">
        <f>P482*Assumptions!$B$128</f>
        <v/>
      </c>
      <c r="BH482">
        <f>P482*Assumptions!$B$129</f>
        <v/>
      </c>
      <c r="BI482">
        <f>P482*Assumptions!$B$14</f>
        <v/>
      </c>
      <c r="BJ482">
        <f>P482*Assumptions!$B$13</f>
        <v/>
      </c>
      <c r="BK482">
        <f>P482*Assumptions!$B$12</f>
        <v/>
      </c>
      <c r="BL482">
        <f>P482*Assumptions!$B$11</f>
        <v/>
      </c>
    </row>
    <row r="483">
      <c r="A483" t="inlineStr">
        <is>
          <t>4000M</t>
        </is>
      </c>
      <c r="B483">
        <f>Assumptions!$B$61</f>
        <v/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>
        <f>(1-C483)*Assumptions!$B$41+(1-D483)*Assumptions!$B$33+(1-E483)*Assumptions!$B$32+(1-F483)*Assumptions!$B$31+(1-G483)*Assumptions!$B$30+(1-H483)*Assumptions!$B$29+(1-I483)*Assumptions!$B$28</f>
        <v/>
      </c>
      <c r="K483">
        <f>C483*Assumptions!$B$141+D483*Assumptions!$B$128+E483*Assumptions!$B$129+F483*Assumptions!$B$14+G483*Assumptions!$B$13+H483*Assumptions!$B$12+I483*Assumptions!$B$11+Assumptions!$B$133+Assumptions!$B$137+Assumptions!$B$9</f>
        <v/>
      </c>
      <c r="L483">
        <f>B483-J483</f>
        <v/>
      </c>
      <c r="M483">
        <f>IF(K483&gt;0,IF(L483/K483&gt;=Assumptions!$B$37,1,0),0)</f>
        <v/>
      </c>
      <c r="N483">
        <f>K483+M483*Assumptions!$B$153</f>
        <v/>
      </c>
      <c r="O483">
        <f>L483+M483*Assumptions!$B$153*Assumptions!$B$37</f>
        <v/>
      </c>
      <c r="P483">
        <f>IF(N483&gt;0,O483/N483,0)</f>
        <v/>
      </c>
      <c r="Q483">
        <f>IF(C483=1,P483*Assumptions!$B$141,Assumptions!$B$41)</f>
        <v/>
      </c>
      <c r="R483">
        <f>IF(D483=1,P483*Assumptions!$B$128,Assumptions!$B$33)</f>
        <v/>
      </c>
      <c r="S483">
        <f>IF(E483=1,P483*Assumptions!$B$129,Assumptions!$B$32)</f>
        <v/>
      </c>
      <c r="T483">
        <f>IF(F483=1,P483*Assumptions!$B$14,Assumptions!$B$31)</f>
        <v/>
      </c>
      <c r="U483">
        <f>IF(G483=1,P483*Assumptions!$B$13,Assumptions!$B$30)</f>
        <v/>
      </c>
      <c r="V483">
        <f>IF(H483=1,P483*Assumptions!$B$12,Assumptions!$B$29)</f>
        <v/>
      </c>
      <c r="W483">
        <f>IF(I483=1,P483*Assumptions!$B$11,Assumptions!$B$28)</f>
        <v/>
      </c>
      <c r="X483">
        <f>P483*(Assumptions!$B$133+Assumptions!$B$137)</f>
        <v/>
      </c>
      <c r="Y483">
        <f>P483*Assumptions!$B$9</f>
        <v/>
      </c>
      <c r="Z483">
        <f>IF(M483=1,(P483-Assumptions!$B$37)*Assumptions!$B$153,0)</f>
        <v/>
      </c>
      <c r="AA483">
        <f>Q483+R483+S483+T483+U483+V483+W483+X483+Y483+Z483</f>
        <v/>
      </c>
      <c r="AB483" t="n">
        <v>48</v>
      </c>
      <c r="AC483" t="n">
        <v>112</v>
      </c>
      <c r="AD483" t="n">
        <v>16</v>
      </c>
      <c r="AE483" t="n">
        <v>32</v>
      </c>
      <c r="AF483" t="n">
        <v>56</v>
      </c>
      <c r="AG483" t="n">
        <v>52</v>
      </c>
      <c r="AH483" t="n">
        <v>50</v>
      </c>
      <c r="AI483" t="n">
        <v>49</v>
      </c>
      <c r="AJ483">
        <f>INDEX($Q$435:$Q$562,AC483+1)</f>
        <v/>
      </c>
      <c r="AK483">
        <f>INDEX($R$435:$R$562,AD483+1)</f>
        <v/>
      </c>
      <c r="AL483">
        <f>INDEX($S$435:$S$562,AE483+1)</f>
        <v/>
      </c>
      <c r="AM483">
        <f>INDEX($T$435:$T$562,AF483+1)</f>
        <v/>
      </c>
      <c r="AN483">
        <f>INDEX($U$435:$U$562,AG483+1)</f>
        <v/>
      </c>
      <c r="AO483">
        <f>INDEX($V$435:$V$562,AH483+1)</f>
        <v/>
      </c>
      <c r="AP483">
        <f>INDEX($W$435:$W$562,AI483+1)</f>
        <v/>
      </c>
      <c r="AQ483">
        <f>IF(Q483&gt;=AJ483-0.01,1,0)</f>
        <v/>
      </c>
      <c r="AR483">
        <f>IF(R483&gt;=AK483-0.01,1,0)</f>
        <v/>
      </c>
      <c r="AS483">
        <f>IF(S483&gt;=AL483-0.01,1,0)</f>
        <v/>
      </c>
      <c r="AT483">
        <f>IF(T483&gt;=AM483-0.01,1,0)</f>
        <v/>
      </c>
      <c r="AU483">
        <f>IF(U483&gt;=AN483-0.01,1,0)</f>
        <v/>
      </c>
      <c r="AV483">
        <f>IF(V483&gt;=AO483-0.01,1,0)</f>
        <v/>
      </c>
      <c r="AW483">
        <f>IF(W483&gt;=AP483-0.01,1,0)</f>
        <v/>
      </c>
      <c r="AX483">
        <f>AQ483*AR483*AS483*AT483*AU483*AV483*AW483</f>
        <v/>
      </c>
      <c r="AY483">
        <f>Assumptions!$B$41</f>
        <v/>
      </c>
      <c r="AZ483">
        <f>Assumptions!$B$33</f>
        <v/>
      </c>
      <c r="BA483">
        <f>Assumptions!$B$32</f>
        <v/>
      </c>
      <c r="BB483">
        <f>Assumptions!$B$31</f>
        <v/>
      </c>
      <c r="BC483">
        <f>Assumptions!$B$30</f>
        <v/>
      </c>
      <c r="BD483">
        <f>Assumptions!$B$29</f>
        <v/>
      </c>
      <c r="BE483">
        <f>Assumptions!$B$28</f>
        <v/>
      </c>
      <c r="BF483">
        <f>P483*Assumptions!$B$141</f>
        <v/>
      </c>
      <c r="BG483">
        <f>P483*Assumptions!$B$128</f>
        <v/>
      </c>
      <c r="BH483">
        <f>P483*Assumptions!$B$129</f>
        <v/>
      </c>
      <c r="BI483">
        <f>P483*Assumptions!$B$14</f>
        <v/>
      </c>
      <c r="BJ483">
        <f>P483*Assumptions!$B$13</f>
        <v/>
      </c>
      <c r="BK483">
        <f>P483*Assumptions!$B$12</f>
        <v/>
      </c>
      <c r="BL483">
        <f>P483*Assumptions!$B$11</f>
        <v/>
      </c>
    </row>
    <row r="484">
      <c r="A484" t="inlineStr">
        <is>
          <t>4000M</t>
        </is>
      </c>
      <c r="B484">
        <f>Assumptions!$B$61</f>
        <v/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>
        <f>(1-C484)*Assumptions!$B$41+(1-D484)*Assumptions!$B$33+(1-E484)*Assumptions!$B$32+(1-F484)*Assumptions!$B$31+(1-G484)*Assumptions!$B$30+(1-H484)*Assumptions!$B$29+(1-I484)*Assumptions!$B$28</f>
        <v/>
      </c>
      <c r="K484">
        <f>C484*Assumptions!$B$141+D484*Assumptions!$B$128+E484*Assumptions!$B$129+F484*Assumptions!$B$14+G484*Assumptions!$B$13+H484*Assumptions!$B$12+I484*Assumptions!$B$11+Assumptions!$B$133+Assumptions!$B$137+Assumptions!$B$9</f>
        <v/>
      </c>
      <c r="L484">
        <f>B484-J484</f>
        <v/>
      </c>
      <c r="M484">
        <f>IF(K484&gt;0,IF(L484/K484&gt;=Assumptions!$B$37,1,0),0)</f>
        <v/>
      </c>
      <c r="N484">
        <f>K484+M484*Assumptions!$B$153</f>
        <v/>
      </c>
      <c r="O484">
        <f>L484+M484*Assumptions!$B$153*Assumptions!$B$37</f>
        <v/>
      </c>
      <c r="P484">
        <f>IF(N484&gt;0,O484/N484,0)</f>
        <v/>
      </c>
      <c r="Q484">
        <f>IF(C484=1,P484*Assumptions!$B$141,Assumptions!$B$41)</f>
        <v/>
      </c>
      <c r="R484">
        <f>IF(D484=1,P484*Assumptions!$B$128,Assumptions!$B$33)</f>
        <v/>
      </c>
      <c r="S484">
        <f>IF(E484=1,P484*Assumptions!$B$129,Assumptions!$B$32)</f>
        <v/>
      </c>
      <c r="T484">
        <f>IF(F484=1,P484*Assumptions!$B$14,Assumptions!$B$31)</f>
        <v/>
      </c>
      <c r="U484">
        <f>IF(G484=1,P484*Assumptions!$B$13,Assumptions!$B$30)</f>
        <v/>
      </c>
      <c r="V484">
        <f>IF(H484=1,P484*Assumptions!$B$12,Assumptions!$B$29)</f>
        <v/>
      </c>
      <c r="W484">
        <f>IF(I484=1,P484*Assumptions!$B$11,Assumptions!$B$28)</f>
        <v/>
      </c>
      <c r="X484">
        <f>P484*(Assumptions!$B$133+Assumptions!$B$137)</f>
        <v/>
      </c>
      <c r="Y484">
        <f>P484*Assumptions!$B$9</f>
        <v/>
      </c>
      <c r="Z484">
        <f>IF(M484=1,(P484-Assumptions!$B$37)*Assumptions!$B$153,0)</f>
        <v/>
      </c>
      <c r="AA484">
        <f>Q484+R484+S484+T484+U484+V484+W484+X484+Y484+Z484</f>
        <v/>
      </c>
      <c r="AB484" t="n">
        <v>49</v>
      </c>
      <c r="AC484" t="n">
        <v>113</v>
      </c>
      <c r="AD484" t="n">
        <v>17</v>
      </c>
      <c r="AE484" t="n">
        <v>33</v>
      </c>
      <c r="AF484" t="n">
        <v>57</v>
      </c>
      <c r="AG484" t="n">
        <v>53</v>
      </c>
      <c r="AH484" t="n">
        <v>51</v>
      </c>
      <c r="AI484" t="n">
        <v>48</v>
      </c>
      <c r="AJ484">
        <f>INDEX($Q$435:$Q$562,AC484+1)</f>
        <v/>
      </c>
      <c r="AK484">
        <f>INDEX($R$435:$R$562,AD484+1)</f>
        <v/>
      </c>
      <c r="AL484">
        <f>INDEX($S$435:$S$562,AE484+1)</f>
        <v/>
      </c>
      <c r="AM484">
        <f>INDEX($T$435:$T$562,AF484+1)</f>
        <v/>
      </c>
      <c r="AN484">
        <f>INDEX($U$435:$U$562,AG484+1)</f>
        <v/>
      </c>
      <c r="AO484">
        <f>INDEX($V$435:$V$562,AH484+1)</f>
        <v/>
      </c>
      <c r="AP484">
        <f>INDEX($W$435:$W$562,AI484+1)</f>
        <v/>
      </c>
      <c r="AQ484">
        <f>IF(Q484&gt;=AJ484-0.01,1,0)</f>
        <v/>
      </c>
      <c r="AR484">
        <f>IF(R484&gt;=AK484-0.01,1,0)</f>
        <v/>
      </c>
      <c r="AS484">
        <f>IF(S484&gt;=AL484-0.01,1,0)</f>
        <v/>
      </c>
      <c r="AT484">
        <f>IF(T484&gt;=AM484-0.01,1,0)</f>
        <v/>
      </c>
      <c r="AU484">
        <f>IF(U484&gt;=AN484-0.01,1,0)</f>
        <v/>
      </c>
      <c r="AV484">
        <f>IF(V484&gt;=AO484-0.01,1,0)</f>
        <v/>
      </c>
      <c r="AW484">
        <f>IF(W484&gt;=AP484-0.01,1,0)</f>
        <v/>
      </c>
      <c r="AX484">
        <f>AQ484*AR484*AS484*AT484*AU484*AV484*AW484</f>
        <v/>
      </c>
      <c r="AY484">
        <f>Assumptions!$B$41</f>
        <v/>
      </c>
      <c r="AZ484">
        <f>Assumptions!$B$33</f>
        <v/>
      </c>
      <c r="BA484">
        <f>Assumptions!$B$32</f>
        <v/>
      </c>
      <c r="BB484">
        <f>Assumptions!$B$31</f>
        <v/>
      </c>
      <c r="BC484">
        <f>Assumptions!$B$30</f>
        <v/>
      </c>
      <c r="BD484">
        <f>Assumptions!$B$29</f>
        <v/>
      </c>
      <c r="BE484">
        <f>Assumptions!$B$28</f>
        <v/>
      </c>
      <c r="BF484">
        <f>P484*Assumptions!$B$141</f>
        <v/>
      </c>
      <c r="BG484">
        <f>P484*Assumptions!$B$128</f>
        <v/>
      </c>
      <c r="BH484">
        <f>P484*Assumptions!$B$129</f>
        <v/>
      </c>
      <c r="BI484">
        <f>P484*Assumptions!$B$14</f>
        <v/>
      </c>
      <c r="BJ484">
        <f>P484*Assumptions!$B$13</f>
        <v/>
      </c>
      <c r="BK484">
        <f>P484*Assumptions!$B$12</f>
        <v/>
      </c>
      <c r="BL484">
        <f>P484*Assumptions!$B$11</f>
        <v/>
      </c>
    </row>
    <row r="485">
      <c r="A485" t="inlineStr">
        <is>
          <t>4000M</t>
        </is>
      </c>
      <c r="B485">
        <f>Assumptions!$B$61</f>
        <v/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>
        <f>(1-C485)*Assumptions!$B$41+(1-D485)*Assumptions!$B$33+(1-E485)*Assumptions!$B$32+(1-F485)*Assumptions!$B$31+(1-G485)*Assumptions!$B$30+(1-H485)*Assumptions!$B$29+(1-I485)*Assumptions!$B$28</f>
        <v/>
      </c>
      <c r="K485">
        <f>C485*Assumptions!$B$141+D485*Assumptions!$B$128+E485*Assumptions!$B$129+F485*Assumptions!$B$14+G485*Assumptions!$B$13+H485*Assumptions!$B$12+I485*Assumptions!$B$11+Assumptions!$B$133+Assumptions!$B$137+Assumptions!$B$9</f>
        <v/>
      </c>
      <c r="L485">
        <f>B485-J485</f>
        <v/>
      </c>
      <c r="M485">
        <f>IF(K485&gt;0,IF(L485/K485&gt;=Assumptions!$B$37,1,0),0)</f>
        <v/>
      </c>
      <c r="N485">
        <f>K485+M485*Assumptions!$B$153</f>
        <v/>
      </c>
      <c r="O485">
        <f>L485+M485*Assumptions!$B$153*Assumptions!$B$37</f>
        <v/>
      </c>
      <c r="P485">
        <f>IF(N485&gt;0,O485/N485,0)</f>
        <v/>
      </c>
      <c r="Q485">
        <f>IF(C485=1,P485*Assumptions!$B$141,Assumptions!$B$41)</f>
        <v/>
      </c>
      <c r="R485">
        <f>IF(D485=1,P485*Assumptions!$B$128,Assumptions!$B$33)</f>
        <v/>
      </c>
      <c r="S485">
        <f>IF(E485=1,P485*Assumptions!$B$129,Assumptions!$B$32)</f>
        <v/>
      </c>
      <c r="T485">
        <f>IF(F485=1,P485*Assumptions!$B$14,Assumptions!$B$31)</f>
        <v/>
      </c>
      <c r="U485">
        <f>IF(G485=1,P485*Assumptions!$B$13,Assumptions!$B$30)</f>
        <v/>
      </c>
      <c r="V485">
        <f>IF(H485=1,P485*Assumptions!$B$12,Assumptions!$B$29)</f>
        <v/>
      </c>
      <c r="W485">
        <f>IF(I485=1,P485*Assumptions!$B$11,Assumptions!$B$28)</f>
        <v/>
      </c>
      <c r="X485">
        <f>P485*(Assumptions!$B$133+Assumptions!$B$137)</f>
        <v/>
      </c>
      <c r="Y485">
        <f>P485*Assumptions!$B$9</f>
        <v/>
      </c>
      <c r="Z485">
        <f>IF(M485=1,(P485-Assumptions!$B$37)*Assumptions!$B$153,0)</f>
        <v/>
      </c>
      <c r="AA485">
        <f>Q485+R485+S485+T485+U485+V485+W485+X485+Y485+Z485</f>
        <v/>
      </c>
      <c r="AB485" t="n">
        <v>50</v>
      </c>
      <c r="AC485" t="n">
        <v>114</v>
      </c>
      <c r="AD485" t="n">
        <v>18</v>
      </c>
      <c r="AE485" t="n">
        <v>34</v>
      </c>
      <c r="AF485" t="n">
        <v>58</v>
      </c>
      <c r="AG485" t="n">
        <v>54</v>
      </c>
      <c r="AH485" t="n">
        <v>48</v>
      </c>
      <c r="AI485" t="n">
        <v>51</v>
      </c>
      <c r="AJ485">
        <f>INDEX($Q$435:$Q$562,AC485+1)</f>
        <v/>
      </c>
      <c r="AK485">
        <f>INDEX($R$435:$R$562,AD485+1)</f>
        <v/>
      </c>
      <c r="AL485">
        <f>INDEX($S$435:$S$562,AE485+1)</f>
        <v/>
      </c>
      <c r="AM485">
        <f>INDEX($T$435:$T$562,AF485+1)</f>
        <v/>
      </c>
      <c r="AN485">
        <f>INDEX($U$435:$U$562,AG485+1)</f>
        <v/>
      </c>
      <c r="AO485">
        <f>INDEX($V$435:$V$562,AH485+1)</f>
        <v/>
      </c>
      <c r="AP485">
        <f>INDEX($W$435:$W$562,AI485+1)</f>
        <v/>
      </c>
      <c r="AQ485">
        <f>IF(Q485&gt;=AJ485-0.01,1,0)</f>
        <v/>
      </c>
      <c r="AR485">
        <f>IF(R485&gt;=AK485-0.01,1,0)</f>
        <v/>
      </c>
      <c r="AS485">
        <f>IF(S485&gt;=AL485-0.01,1,0)</f>
        <v/>
      </c>
      <c r="AT485">
        <f>IF(T485&gt;=AM485-0.01,1,0)</f>
        <v/>
      </c>
      <c r="AU485">
        <f>IF(U485&gt;=AN485-0.01,1,0)</f>
        <v/>
      </c>
      <c r="AV485">
        <f>IF(V485&gt;=AO485-0.01,1,0)</f>
        <v/>
      </c>
      <c r="AW485">
        <f>IF(W485&gt;=AP485-0.01,1,0)</f>
        <v/>
      </c>
      <c r="AX485">
        <f>AQ485*AR485*AS485*AT485*AU485*AV485*AW485</f>
        <v/>
      </c>
      <c r="AY485">
        <f>Assumptions!$B$41</f>
        <v/>
      </c>
      <c r="AZ485">
        <f>Assumptions!$B$33</f>
        <v/>
      </c>
      <c r="BA485">
        <f>Assumptions!$B$32</f>
        <v/>
      </c>
      <c r="BB485">
        <f>Assumptions!$B$31</f>
        <v/>
      </c>
      <c r="BC485">
        <f>Assumptions!$B$30</f>
        <v/>
      </c>
      <c r="BD485">
        <f>Assumptions!$B$29</f>
        <v/>
      </c>
      <c r="BE485">
        <f>Assumptions!$B$28</f>
        <v/>
      </c>
      <c r="BF485">
        <f>P485*Assumptions!$B$141</f>
        <v/>
      </c>
      <c r="BG485">
        <f>P485*Assumptions!$B$128</f>
        <v/>
      </c>
      <c r="BH485">
        <f>P485*Assumptions!$B$129</f>
        <v/>
      </c>
      <c r="BI485">
        <f>P485*Assumptions!$B$14</f>
        <v/>
      </c>
      <c r="BJ485">
        <f>P485*Assumptions!$B$13</f>
        <v/>
      </c>
      <c r="BK485">
        <f>P485*Assumptions!$B$12</f>
        <v/>
      </c>
      <c r="BL485">
        <f>P485*Assumptions!$B$11</f>
        <v/>
      </c>
    </row>
    <row r="486">
      <c r="A486" t="inlineStr">
        <is>
          <t>4000M</t>
        </is>
      </c>
      <c r="B486">
        <f>Assumptions!$B$61</f>
        <v/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  <c r="I486" t="n">
        <v>1</v>
      </c>
      <c r="J486">
        <f>(1-C486)*Assumptions!$B$41+(1-D486)*Assumptions!$B$33+(1-E486)*Assumptions!$B$32+(1-F486)*Assumptions!$B$31+(1-G486)*Assumptions!$B$30+(1-H486)*Assumptions!$B$29+(1-I486)*Assumptions!$B$28</f>
        <v/>
      </c>
      <c r="K486">
        <f>C486*Assumptions!$B$141+D486*Assumptions!$B$128+E486*Assumptions!$B$129+F486*Assumptions!$B$14+G486*Assumptions!$B$13+H486*Assumptions!$B$12+I486*Assumptions!$B$11+Assumptions!$B$133+Assumptions!$B$137+Assumptions!$B$9</f>
        <v/>
      </c>
      <c r="L486">
        <f>B486-J486</f>
        <v/>
      </c>
      <c r="M486">
        <f>IF(K486&gt;0,IF(L486/K486&gt;=Assumptions!$B$37,1,0),0)</f>
        <v/>
      </c>
      <c r="N486">
        <f>K486+M486*Assumptions!$B$153</f>
        <v/>
      </c>
      <c r="O486">
        <f>L486+M486*Assumptions!$B$153*Assumptions!$B$37</f>
        <v/>
      </c>
      <c r="P486">
        <f>IF(N486&gt;0,O486/N486,0)</f>
        <v/>
      </c>
      <c r="Q486">
        <f>IF(C486=1,P486*Assumptions!$B$141,Assumptions!$B$41)</f>
        <v/>
      </c>
      <c r="R486">
        <f>IF(D486=1,P486*Assumptions!$B$128,Assumptions!$B$33)</f>
        <v/>
      </c>
      <c r="S486">
        <f>IF(E486=1,P486*Assumptions!$B$129,Assumptions!$B$32)</f>
        <v/>
      </c>
      <c r="T486">
        <f>IF(F486=1,P486*Assumptions!$B$14,Assumptions!$B$31)</f>
        <v/>
      </c>
      <c r="U486">
        <f>IF(G486=1,P486*Assumptions!$B$13,Assumptions!$B$30)</f>
        <v/>
      </c>
      <c r="V486">
        <f>IF(H486=1,P486*Assumptions!$B$12,Assumptions!$B$29)</f>
        <v/>
      </c>
      <c r="W486">
        <f>IF(I486=1,P486*Assumptions!$B$11,Assumptions!$B$28)</f>
        <v/>
      </c>
      <c r="X486">
        <f>P486*(Assumptions!$B$133+Assumptions!$B$137)</f>
        <v/>
      </c>
      <c r="Y486">
        <f>P486*Assumptions!$B$9</f>
        <v/>
      </c>
      <c r="Z486">
        <f>IF(M486=1,(P486-Assumptions!$B$37)*Assumptions!$B$153,0)</f>
        <v/>
      </c>
      <c r="AA486">
        <f>Q486+R486+S486+T486+U486+V486+W486+X486+Y486+Z486</f>
        <v/>
      </c>
      <c r="AB486" t="n">
        <v>51</v>
      </c>
      <c r="AC486" t="n">
        <v>115</v>
      </c>
      <c r="AD486" t="n">
        <v>19</v>
      </c>
      <c r="AE486" t="n">
        <v>35</v>
      </c>
      <c r="AF486" t="n">
        <v>59</v>
      </c>
      <c r="AG486" t="n">
        <v>55</v>
      </c>
      <c r="AH486" t="n">
        <v>49</v>
      </c>
      <c r="AI486" t="n">
        <v>50</v>
      </c>
      <c r="AJ486">
        <f>INDEX($Q$435:$Q$562,AC486+1)</f>
        <v/>
      </c>
      <c r="AK486">
        <f>INDEX($R$435:$R$562,AD486+1)</f>
        <v/>
      </c>
      <c r="AL486">
        <f>INDEX($S$435:$S$562,AE486+1)</f>
        <v/>
      </c>
      <c r="AM486">
        <f>INDEX($T$435:$T$562,AF486+1)</f>
        <v/>
      </c>
      <c r="AN486">
        <f>INDEX($U$435:$U$562,AG486+1)</f>
        <v/>
      </c>
      <c r="AO486">
        <f>INDEX($V$435:$V$562,AH486+1)</f>
        <v/>
      </c>
      <c r="AP486">
        <f>INDEX($W$435:$W$562,AI486+1)</f>
        <v/>
      </c>
      <c r="AQ486">
        <f>IF(Q486&gt;=AJ486-0.01,1,0)</f>
        <v/>
      </c>
      <c r="AR486">
        <f>IF(R486&gt;=AK486-0.01,1,0)</f>
        <v/>
      </c>
      <c r="AS486">
        <f>IF(S486&gt;=AL486-0.01,1,0)</f>
        <v/>
      </c>
      <c r="AT486">
        <f>IF(T486&gt;=AM486-0.01,1,0)</f>
        <v/>
      </c>
      <c r="AU486">
        <f>IF(U486&gt;=AN486-0.01,1,0)</f>
        <v/>
      </c>
      <c r="AV486">
        <f>IF(V486&gt;=AO486-0.01,1,0)</f>
        <v/>
      </c>
      <c r="AW486">
        <f>IF(W486&gt;=AP486-0.01,1,0)</f>
        <v/>
      </c>
      <c r="AX486">
        <f>AQ486*AR486*AS486*AT486*AU486*AV486*AW486</f>
        <v/>
      </c>
      <c r="AY486">
        <f>Assumptions!$B$41</f>
        <v/>
      </c>
      <c r="AZ486">
        <f>Assumptions!$B$33</f>
        <v/>
      </c>
      <c r="BA486">
        <f>Assumptions!$B$32</f>
        <v/>
      </c>
      <c r="BB486">
        <f>Assumptions!$B$31</f>
        <v/>
      </c>
      <c r="BC486">
        <f>Assumptions!$B$30</f>
        <v/>
      </c>
      <c r="BD486">
        <f>Assumptions!$B$29</f>
        <v/>
      </c>
      <c r="BE486">
        <f>Assumptions!$B$28</f>
        <v/>
      </c>
      <c r="BF486">
        <f>P486*Assumptions!$B$141</f>
        <v/>
      </c>
      <c r="BG486">
        <f>P486*Assumptions!$B$128</f>
        <v/>
      </c>
      <c r="BH486">
        <f>P486*Assumptions!$B$129</f>
        <v/>
      </c>
      <c r="BI486">
        <f>P486*Assumptions!$B$14</f>
        <v/>
      </c>
      <c r="BJ486">
        <f>P486*Assumptions!$B$13</f>
        <v/>
      </c>
      <c r="BK486">
        <f>P486*Assumptions!$B$12</f>
        <v/>
      </c>
      <c r="BL486">
        <f>P486*Assumptions!$B$11</f>
        <v/>
      </c>
    </row>
    <row r="487">
      <c r="A487" t="inlineStr">
        <is>
          <t>4000M</t>
        </is>
      </c>
      <c r="B487">
        <f>Assumptions!$B$61</f>
        <v/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>
        <f>(1-C487)*Assumptions!$B$41+(1-D487)*Assumptions!$B$33+(1-E487)*Assumptions!$B$32+(1-F487)*Assumptions!$B$31+(1-G487)*Assumptions!$B$30+(1-H487)*Assumptions!$B$29+(1-I487)*Assumptions!$B$28</f>
        <v/>
      </c>
      <c r="K487">
        <f>C487*Assumptions!$B$141+D487*Assumptions!$B$128+E487*Assumptions!$B$129+F487*Assumptions!$B$14+G487*Assumptions!$B$13+H487*Assumptions!$B$12+I487*Assumptions!$B$11+Assumptions!$B$133+Assumptions!$B$137+Assumptions!$B$9</f>
        <v/>
      </c>
      <c r="L487">
        <f>B487-J487</f>
        <v/>
      </c>
      <c r="M487">
        <f>IF(K487&gt;0,IF(L487/K487&gt;=Assumptions!$B$37,1,0),0)</f>
        <v/>
      </c>
      <c r="N487">
        <f>K487+M487*Assumptions!$B$153</f>
        <v/>
      </c>
      <c r="O487">
        <f>L487+M487*Assumptions!$B$153*Assumptions!$B$37</f>
        <v/>
      </c>
      <c r="P487">
        <f>IF(N487&gt;0,O487/N487,0)</f>
        <v/>
      </c>
      <c r="Q487">
        <f>IF(C487=1,P487*Assumptions!$B$141,Assumptions!$B$41)</f>
        <v/>
      </c>
      <c r="R487">
        <f>IF(D487=1,P487*Assumptions!$B$128,Assumptions!$B$33)</f>
        <v/>
      </c>
      <c r="S487">
        <f>IF(E487=1,P487*Assumptions!$B$129,Assumptions!$B$32)</f>
        <v/>
      </c>
      <c r="T487">
        <f>IF(F487=1,P487*Assumptions!$B$14,Assumptions!$B$31)</f>
        <v/>
      </c>
      <c r="U487">
        <f>IF(G487=1,P487*Assumptions!$B$13,Assumptions!$B$30)</f>
        <v/>
      </c>
      <c r="V487">
        <f>IF(H487=1,P487*Assumptions!$B$12,Assumptions!$B$29)</f>
        <v/>
      </c>
      <c r="W487">
        <f>IF(I487=1,P487*Assumptions!$B$11,Assumptions!$B$28)</f>
        <v/>
      </c>
      <c r="X487">
        <f>P487*(Assumptions!$B$133+Assumptions!$B$137)</f>
        <v/>
      </c>
      <c r="Y487">
        <f>P487*Assumptions!$B$9</f>
        <v/>
      </c>
      <c r="Z487">
        <f>IF(M487=1,(P487-Assumptions!$B$37)*Assumptions!$B$153,0)</f>
        <v/>
      </c>
      <c r="AA487">
        <f>Q487+R487+S487+T487+U487+V487+W487+X487+Y487+Z487</f>
        <v/>
      </c>
      <c r="AB487" t="n">
        <v>52</v>
      </c>
      <c r="AC487" t="n">
        <v>116</v>
      </c>
      <c r="AD487" t="n">
        <v>20</v>
      </c>
      <c r="AE487" t="n">
        <v>36</v>
      </c>
      <c r="AF487" t="n">
        <v>60</v>
      </c>
      <c r="AG487" t="n">
        <v>48</v>
      </c>
      <c r="AH487" t="n">
        <v>54</v>
      </c>
      <c r="AI487" t="n">
        <v>53</v>
      </c>
      <c r="AJ487">
        <f>INDEX($Q$435:$Q$562,AC487+1)</f>
        <v/>
      </c>
      <c r="AK487">
        <f>INDEX($R$435:$R$562,AD487+1)</f>
        <v/>
      </c>
      <c r="AL487">
        <f>INDEX($S$435:$S$562,AE487+1)</f>
        <v/>
      </c>
      <c r="AM487">
        <f>INDEX($T$435:$T$562,AF487+1)</f>
        <v/>
      </c>
      <c r="AN487">
        <f>INDEX($U$435:$U$562,AG487+1)</f>
        <v/>
      </c>
      <c r="AO487">
        <f>INDEX($V$435:$V$562,AH487+1)</f>
        <v/>
      </c>
      <c r="AP487">
        <f>INDEX($W$435:$W$562,AI487+1)</f>
        <v/>
      </c>
      <c r="AQ487">
        <f>IF(Q487&gt;=AJ487-0.01,1,0)</f>
        <v/>
      </c>
      <c r="AR487">
        <f>IF(R487&gt;=AK487-0.01,1,0)</f>
        <v/>
      </c>
      <c r="AS487">
        <f>IF(S487&gt;=AL487-0.01,1,0)</f>
        <v/>
      </c>
      <c r="AT487">
        <f>IF(T487&gt;=AM487-0.01,1,0)</f>
        <v/>
      </c>
      <c r="AU487">
        <f>IF(U487&gt;=AN487-0.01,1,0)</f>
        <v/>
      </c>
      <c r="AV487">
        <f>IF(V487&gt;=AO487-0.01,1,0)</f>
        <v/>
      </c>
      <c r="AW487">
        <f>IF(W487&gt;=AP487-0.01,1,0)</f>
        <v/>
      </c>
      <c r="AX487">
        <f>AQ487*AR487*AS487*AT487*AU487*AV487*AW487</f>
        <v/>
      </c>
      <c r="AY487">
        <f>Assumptions!$B$41</f>
        <v/>
      </c>
      <c r="AZ487">
        <f>Assumptions!$B$33</f>
        <v/>
      </c>
      <c r="BA487">
        <f>Assumptions!$B$32</f>
        <v/>
      </c>
      <c r="BB487">
        <f>Assumptions!$B$31</f>
        <v/>
      </c>
      <c r="BC487">
        <f>Assumptions!$B$30</f>
        <v/>
      </c>
      <c r="BD487">
        <f>Assumptions!$B$29</f>
        <v/>
      </c>
      <c r="BE487">
        <f>Assumptions!$B$28</f>
        <v/>
      </c>
      <c r="BF487">
        <f>P487*Assumptions!$B$141</f>
        <v/>
      </c>
      <c r="BG487">
        <f>P487*Assumptions!$B$128</f>
        <v/>
      </c>
      <c r="BH487">
        <f>P487*Assumptions!$B$129</f>
        <v/>
      </c>
      <c r="BI487">
        <f>P487*Assumptions!$B$14</f>
        <v/>
      </c>
      <c r="BJ487">
        <f>P487*Assumptions!$B$13</f>
        <v/>
      </c>
      <c r="BK487">
        <f>P487*Assumptions!$B$12</f>
        <v/>
      </c>
      <c r="BL487">
        <f>P487*Assumptions!$B$11</f>
        <v/>
      </c>
    </row>
    <row r="488">
      <c r="A488" t="inlineStr">
        <is>
          <t>4000M</t>
        </is>
      </c>
      <c r="B488">
        <f>Assumptions!$B$61</f>
        <v/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>
        <f>(1-C488)*Assumptions!$B$41+(1-D488)*Assumptions!$B$33+(1-E488)*Assumptions!$B$32+(1-F488)*Assumptions!$B$31+(1-G488)*Assumptions!$B$30+(1-H488)*Assumptions!$B$29+(1-I488)*Assumptions!$B$28</f>
        <v/>
      </c>
      <c r="K488">
        <f>C488*Assumptions!$B$141+D488*Assumptions!$B$128+E488*Assumptions!$B$129+F488*Assumptions!$B$14+G488*Assumptions!$B$13+H488*Assumptions!$B$12+I488*Assumptions!$B$11+Assumptions!$B$133+Assumptions!$B$137+Assumptions!$B$9</f>
        <v/>
      </c>
      <c r="L488">
        <f>B488-J488</f>
        <v/>
      </c>
      <c r="M488">
        <f>IF(K488&gt;0,IF(L488/K488&gt;=Assumptions!$B$37,1,0),0)</f>
        <v/>
      </c>
      <c r="N488">
        <f>K488+M488*Assumptions!$B$153</f>
        <v/>
      </c>
      <c r="O488">
        <f>L488+M488*Assumptions!$B$153*Assumptions!$B$37</f>
        <v/>
      </c>
      <c r="P488">
        <f>IF(N488&gt;0,O488/N488,0)</f>
        <v/>
      </c>
      <c r="Q488">
        <f>IF(C488=1,P488*Assumptions!$B$141,Assumptions!$B$41)</f>
        <v/>
      </c>
      <c r="R488">
        <f>IF(D488=1,P488*Assumptions!$B$128,Assumptions!$B$33)</f>
        <v/>
      </c>
      <c r="S488">
        <f>IF(E488=1,P488*Assumptions!$B$129,Assumptions!$B$32)</f>
        <v/>
      </c>
      <c r="T488">
        <f>IF(F488=1,P488*Assumptions!$B$14,Assumptions!$B$31)</f>
        <v/>
      </c>
      <c r="U488">
        <f>IF(G488=1,P488*Assumptions!$B$13,Assumptions!$B$30)</f>
        <v/>
      </c>
      <c r="V488">
        <f>IF(H488=1,P488*Assumptions!$B$12,Assumptions!$B$29)</f>
        <v/>
      </c>
      <c r="W488">
        <f>IF(I488=1,P488*Assumptions!$B$11,Assumptions!$B$28)</f>
        <v/>
      </c>
      <c r="X488">
        <f>P488*(Assumptions!$B$133+Assumptions!$B$137)</f>
        <v/>
      </c>
      <c r="Y488">
        <f>P488*Assumptions!$B$9</f>
        <v/>
      </c>
      <c r="Z488">
        <f>IF(M488=1,(P488-Assumptions!$B$37)*Assumptions!$B$153,0)</f>
        <v/>
      </c>
      <c r="AA488">
        <f>Q488+R488+S488+T488+U488+V488+W488+X488+Y488+Z488</f>
        <v/>
      </c>
      <c r="AB488" t="n">
        <v>53</v>
      </c>
      <c r="AC488" t="n">
        <v>117</v>
      </c>
      <c r="AD488" t="n">
        <v>21</v>
      </c>
      <c r="AE488" t="n">
        <v>37</v>
      </c>
      <c r="AF488" t="n">
        <v>61</v>
      </c>
      <c r="AG488" t="n">
        <v>49</v>
      </c>
      <c r="AH488" t="n">
        <v>55</v>
      </c>
      <c r="AI488" t="n">
        <v>52</v>
      </c>
      <c r="AJ488">
        <f>INDEX($Q$435:$Q$562,AC488+1)</f>
        <v/>
      </c>
      <c r="AK488">
        <f>INDEX($R$435:$R$562,AD488+1)</f>
        <v/>
      </c>
      <c r="AL488">
        <f>INDEX($S$435:$S$562,AE488+1)</f>
        <v/>
      </c>
      <c r="AM488">
        <f>INDEX($T$435:$T$562,AF488+1)</f>
        <v/>
      </c>
      <c r="AN488">
        <f>INDEX($U$435:$U$562,AG488+1)</f>
        <v/>
      </c>
      <c r="AO488">
        <f>INDEX($V$435:$V$562,AH488+1)</f>
        <v/>
      </c>
      <c r="AP488">
        <f>INDEX($W$435:$W$562,AI488+1)</f>
        <v/>
      </c>
      <c r="AQ488">
        <f>IF(Q488&gt;=AJ488-0.01,1,0)</f>
        <v/>
      </c>
      <c r="AR488">
        <f>IF(R488&gt;=AK488-0.01,1,0)</f>
        <v/>
      </c>
      <c r="AS488">
        <f>IF(S488&gt;=AL488-0.01,1,0)</f>
        <v/>
      </c>
      <c r="AT488">
        <f>IF(T488&gt;=AM488-0.01,1,0)</f>
        <v/>
      </c>
      <c r="AU488">
        <f>IF(U488&gt;=AN488-0.01,1,0)</f>
        <v/>
      </c>
      <c r="AV488">
        <f>IF(V488&gt;=AO488-0.01,1,0)</f>
        <v/>
      </c>
      <c r="AW488">
        <f>IF(W488&gt;=AP488-0.01,1,0)</f>
        <v/>
      </c>
      <c r="AX488">
        <f>AQ488*AR488*AS488*AT488*AU488*AV488*AW488</f>
        <v/>
      </c>
      <c r="AY488">
        <f>Assumptions!$B$41</f>
        <v/>
      </c>
      <c r="AZ488">
        <f>Assumptions!$B$33</f>
        <v/>
      </c>
      <c r="BA488">
        <f>Assumptions!$B$32</f>
        <v/>
      </c>
      <c r="BB488">
        <f>Assumptions!$B$31</f>
        <v/>
      </c>
      <c r="BC488">
        <f>Assumptions!$B$30</f>
        <v/>
      </c>
      <c r="BD488">
        <f>Assumptions!$B$29</f>
        <v/>
      </c>
      <c r="BE488">
        <f>Assumptions!$B$28</f>
        <v/>
      </c>
      <c r="BF488">
        <f>P488*Assumptions!$B$141</f>
        <v/>
      </c>
      <c r="BG488">
        <f>P488*Assumptions!$B$128</f>
        <v/>
      </c>
      <c r="BH488">
        <f>P488*Assumptions!$B$129</f>
        <v/>
      </c>
      <c r="BI488">
        <f>P488*Assumptions!$B$14</f>
        <v/>
      </c>
      <c r="BJ488">
        <f>P488*Assumptions!$B$13</f>
        <v/>
      </c>
      <c r="BK488">
        <f>P488*Assumptions!$B$12</f>
        <v/>
      </c>
      <c r="BL488">
        <f>P488*Assumptions!$B$11</f>
        <v/>
      </c>
    </row>
    <row r="489">
      <c r="A489" t="inlineStr">
        <is>
          <t>4000M</t>
        </is>
      </c>
      <c r="B489">
        <f>Assumptions!$B$61</f>
        <v/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>
        <f>(1-C489)*Assumptions!$B$41+(1-D489)*Assumptions!$B$33+(1-E489)*Assumptions!$B$32+(1-F489)*Assumptions!$B$31+(1-G489)*Assumptions!$B$30+(1-H489)*Assumptions!$B$29+(1-I489)*Assumptions!$B$28</f>
        <v/>
      </c>
      <c r="K489">
        <f>C489*Assumptions!$B$141+D489*Assumptions!$B$128+E489*Assumptions!$B$129+F489*Assumptions!$B$14+G489*Assumptions!$B$13+H489*Assumptions!$B$12+I489*Assumptions!$B$11+Assumptions!$B$133+Assumptions!$B$137+Assumptions!$B$9</f>
        <v/>
      </c>
      <c r="L489">
        <f>B489-J489</f>
        <v/>
      </c>
      <c r="M489">
        <f>IF(K489&gt;0,IF(L489/K489&gt;=Assumptions!$B$37,1,0),0)</f>
        <v/>
      </c>
      <c r="N489">
        <f>K489+M489*Assumptions!$B$153</f>
        <v/>
      </c>
      <c r="O489">
        <f>L489+M489*Assumptions!$B$153*Assumptions!$B$37</f>
        <v/>
      </c>
      <c r="P489">
        <f>IF(N489&gt;0,O489/N489,0)</f>
        <v/>
      </c>
      <c r="Q489">
        <f>IF(C489=1,P489*Assumptions!$B$141,Assumptions!$B$41)</f>
        <v/>
      </c>
      <c r="R489">
        <f>IF(D489=1,P489*Assumptions!$B$128,Assumptions!$B$33)</f>
        <v/>
      </c>
      <c r="S489">
        <f>IF(E489=1,P489*Assumptions!$B$129,Assumptions!$B$32)</f>
        <v/>
      </c>
      <c r="T489">
        <f>IF(F489=1,P489*Assumptions!$B$14,Assumptions!$B$31)</f>
        <v/>
      </c>
      <c r="U489">
        <f>IF(G489=1,P489*Assumptions!$B$13,Assumptions!$B$30)</f>
        <v/>
      </c>
      <c r="V489">
        <f>IF(H489=1,P489*Assumptions!$B$12,Assumptions!$B$29)</f>
        <v/>
      </c>
      <c r="W489">
        <f>IF(I489=1,P489*Assumptions!$B$11,Assumptions!$B$28)</f>
        <v/>
      </c>
      <c r="X489">
        <f>P489*(Assumptions!$B$133+Assumptions!$B$137)</f>
        <v/>
      </c>
      <c r="Y489">
        <f>P489*Assumptions!$B$9</f>
        <v/>
      </c>
      <c r="Z489">
        <f>IF(M489=1,(P489-Assumptions!$B$37)*Assumptions!$B$153,0)</f>
        <v/>
      </c>
      <c r="AA489">
        <f>Q489+R489+S489+T489+U489+V489+W489+X489+Y489+Z489</f>
        <v/>
      </c>
      <c r="AB489" t="n">
        <v>54</v>
      </c>
      <c r="AC489" t="n">
        <v>118</v>
      </c>
      <c r="AD489" t="n">
        <v>22</v>
      </c>
      <c r="AE489" t="n">
        <v>38</v>
      </c>
      <c r="AF489" t="n">
        <v>62</v>
      </c>
      <c r="AG489" t="n">
        <v>50</v>
      </c>
      <c r="AH489" t="n">
        <v>52</v>
      </c>
      <c r="AI489" t="n">
        <v>55</v>
      </c>
      <c r="AJ489">
        <f>INDEX($Q$435:$Q$562,AC489+1)</f>
        <v/>
      </c>
      <c r="AK489">
        <f>INDEX($R$435:$R$562,AD489+1)</f>
        <v/>
      </c>
      <c r="AL489">
        <f>INDEX($S$435:$S$562,AE489+1)</f>
        <v/>
      </c>
      <c r="AM489">
        <f>INDEX($T$435:$T$562,AF489+1)</f>
        <v/>
      </c>
      <c r="AN489">
        <f>INDEX($U$435:$U$562,AG489+1)</f>
        <v/>
      </c>
      <c r="AO489">
        <f>INDEX($V$435:$V$562,AH489+1)</f>
        <v/>
      </c>
      <c r="AP489">
        <f>INDEX($W$435:$W$562,AI489+1)</f>
        <v/>
      </c>
      <c r="AQ489">
        <f>IF(Q489&gt;=AJ489-0.01,1,0)</f>
        <v/>
      </c>
      <c r="AR489">
        <f>IF(R489&gt;=AK489-0.01,1,0)</f>
        <v/>
      </c>
      <c r="AS489">
        <f>IF(S489&gt;=AL489-0.01,1,0)</f>
        <v/>
      </c>
      <c r="AT489">
        <f>IF(T489&gt;=AM489-0.01,1,0)</f>
        <v/>
      </c>
      <c r="AU489">
        <f>IF(U489&gt;=AN489-0.01,1,0)</f>
        <v/>
      </c>
      <c r="AV489">
        <f>IF(V489&gt;=AO489-0.01,1,0)</f>
        <v/>
      </c>
      <c r="AW489">
        <f>IF(W489&gt;=AP489-0.01,1,0)</f>
        <v/>
      </c>
      <c r="AX489">
        <f>AQ489*AR489*AS489*AT489*AU489*AV489*AW489</f>
        <v/>
      </c>
      <c r="AY489">
        <f>Assumptions!$B$41</f>
        <v/>
      </c>
      <c r="AZ489">
        <f>Assumptions!$B$33</f>
        <v/>
      </c>
      <c r="BA489">
        <f>Assumptions!$B$32</f>
        <v/>
      </c>
      <c r="BB489">
        <f>Assumptions!$B$31</f>
        <v/>
      </c>
      <c r="BC489">
        <f>Assumptions!$B$30</f>
        <v/>
      </c>
      <c r="BD489">
        <f>Assumptions!$B$29</f>
        <v/>
      </c>
      <c r="BE489">
        <f>Assumptions!$B$28</f>
        <v/>
      </c>
      <c r="BF489">
        <f>P489*Assumptions!$B$141</f>
        <v/>
      </c>
      <c r="BG489">
        <f>P489*Assumptions!$B$128</f>
        <v/>
      </c>
      <c r="BH489">
        <f>P489*Assumptions!$B$129</f>
        <v/>
      </c>
      <c r="BI489">
        <f>P489*Assumptions!$B$14</f>
        <v/>
      </c>
      <c r="BJ489">
        <f>P489*Assumptions!$B$13</f>
        <v/>
      </c>
      <c r="BK489">
        <f>P489*Assumptions!$B$12</f>
        <v/>
      </c>
      <c r="BL489">
        <f>P489*Assumptions!$B$11</f>
        <v/>
      </c>
    </row>
    <row r="490">
      <c r="A490" t="inlineStr">
        <is>
          <t>4000M</t>
        </is>
      </c>
      <c r="B490">
        <f>Assumptions!$B$61</f>
        <v/>
      </c>
      <c r="C490" t="n">
        <v>0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>
        <f>(1-C490)*Assumptions!$B$41+(1-D490)*Assumptions!$B$33+(1-E490)*Assumptions!$B$32+(1-F490)*Assumptions!$B$31+(1-G490)*Assumptions!$B$30+(1-H490)*Assumptions!$B$29+(1-I490)*Assumptions!$B$28</f>
        <v/>
      </c>
      <c r="K490">
        <f>C490*Assumptions!$B$141+D490*Assumptions!$B$128+E490*Assumptions!$B$129+F490*Assumptions!$B$14+G490*Assumptions!$B$13+H490*Assumptions!$B$12+I490*Assumptions!$B$11+Assumptions!$B$133+Assumptions!$B$137+Assumptions!$B$9</f>
        <v/>
      </c>
      <c r="L490">
        <f>B490-J490</f>
        <v/>
      </c>
      <c r="M490">
        <f>IF(K490&gt;0,IF(L490/K490&gt;=Assumptions!$B$37,1,0),0)</f>
        <v/>
      </c>
      <c r="N490">
        <f>K490+M490*Assumptions!$B$153</f>
        <v/>
      </c>
      <c r="O490">
        <f>L490+M490*Assumptions!$B$153*Assumptions!$B$37</f>
        <v/>
      </c>
      <c r="P490">
        <f>IF(N490&gt;0,O490/N490,0)</f>
        <v/>
      </c>
      <c r="Q490">
        <f>IF(C490=1,P490*Assumptions!$B$141,Assumptions!$B$41)</f>
        <v/>
      </c>
      <c r="R490">
        <f>IF(D490=1,P490*Assumptions!$B$128,Assumptions!$B$33)</f>
        <v/>
      </c>
      <c r="S490">
        <f>IF(E490=1,P490*Assumptions!$B$129,Assumptions!$B$32)</f>
        <v/>
      </c>
      <c r="T490">
        <f>IF(F490=1,P490*Assumptions!$B$14,Assumptions!$B$31)</f>
        <v/>
      </c>
      <c r="U490">
        <f>IF(G490=1,P490*Assumptions!$B$13,Assumptions!$B$30)</f>
        <v/>
      </c>
      <c r="V490">
        <f>IF(H490=1,P490*Assumptions!$B$12,Assumptions!$B$29)</f>
        <v/>
      </c>
      <c r="W490">
        <f>IF(I490=1,P490*Assumptions!$B$11,Assumptions!$B$28)</f>
        <v/>
      </c>
      <c r="X490">
        <f>P490*(Assumptions!$B$133+Assumptions!$B$137)</f>
        <v/>
      </c>
      <c r="Y490">
        <f>P490*Assumptions!$B$9</f>
        <v/>
      </c>
      <c r="Z490">
        <f>IF(M490=1,(P490-Assumptions!$B$37)*Assumptions!$B$153,0)</f>
        <v/>
      </c>
      <c r="AA490">
        <f>Q490+R490+S490+T490+U490+V490+W490+X490+Y490+Z490</f>
        <v/>
      </c>
      <c r="AB490" t="n">
        <v>55</v>
      </c>
      <c r="AC490" t="n">
        <v>119</v>
      </c>
      <c r="AD490" t="n">
        <v>23</v>
      </c>
      <c r="AE490" t="n">
        <v>39</v>
      </c>
      <c r="AF490" t="n">
        <v>63</v>
      </c>
      <c r="AG490" t="n">
        <v>51</v>
      </c>
      <c r="AH490" t="n">
        <v>53</v>
      </c>
      <c r="AI490" t="n">
        <v>54</v>
      </c>
      <c r="AJ490">
        <f>INDEX($Q$435:$Q$562,AC490+1)</f>
        <v/>
      </c>
      <c r="AK490">
        <f>INDEX($R$435:$R$562,AD490+1)</f>
        <v/>
      </c>
      <c r="AL490">
        <f>INDEX($S$435:$S$562,AE490+1)</f>
        <v/>
      </c>
      <c r="AM490">
        <f>INDEX($T$435:$T$562,AF490+1)</f>
        <v/>
      </c>
      <c r="AN490">
        <f>INDEX($U$435:$U$562,AG490+1)</f>
        <v/>
      </c>
      <c r="AO490">
        <f>INDEX($V$435:$V$562,AH490+1)</f>
        <v/>
      </c>
      <c r="AP490">
        <f>INDEX($W$435:$W$562,AI490+1)</f>
        <v/>
      </c>
      <c r="AQ490">
        <f>IF(Q490&gt;=AJ490-0.01,1,0)</f>
        <v/>
      </c>
      <c r="AR490">
        <f>IF(R490&gt;=AK490-0.01,1,0)</f>
        <v/>
      </c>
      <c r="AS490">
        <f>IF(S490&gt;=AL490-0.01,1,0)</f>
        <v/>
      </c>
      <c r="AT490">
        <f>IF(T490&gt;=AM490-0.01,1,0)</f>
        <v/>
      </c>
      <c r="AU490">
        <f>IF(U490&gt;=AN490-0.01,1,0)</f>
        <v/>
      </c>
      <c r="AV490">
        <f>IF(V490&gt;=AO490-0.01,1,0)</f>
        <v/>
      </c>
      <c r="AW490">
        <f>IF(W490&gt;=AP490-0.01,1,0)</f>
        <v/>
      </c>
      <c r="AX490">
        <f>AQ490*AR490*AS490*AT490*AU490*AV490*AW490</f>
        <v/>
      </c>
      <c r="AY490">
        <f>Assumptions!$B$41</f>
        <v/>
      </c>
      <c r="AZ490">
        <f>Assumptions!$B$33</f>
        <v/>
      </c>
      <c r="BA490">
        <f>Assumptions!$B$32</f>
        <v/>
      </c>
      <c r="BB490">
        <f>Assumptions!$B$31</f>
        <v/>
      </c>
      <c r="BC490">
        <f>Assumptions!$B$30</f>
        <v/>
      </c>
      <c r="BD490">
        <f>Assumptions!$B$29</f>
        <v/>
      </c>
      <c r="BE490">
        <f>Assumptions!$B$28</f>
        <v/>
      </c>
      <c r="BF490">
        <f>P490*Assumptions!$B$141</f>
        <v/>
      </c>
      <c r="BG490">
        <f>P490*Assumptions!$B$128</f>
        <v/>
      </c>
      <c r="BH490">
        <f>P490*Assumptions!$B$129</f>
        <v/>
      </c>
      <c r="BI490">
        <f>P490*Assumptions!$B$14</f>
        <v/>
      </c>
      <c r="BJ490">
        <f>P490*Assumptions!$B$13</f>
        <v/>
      </c>
      <c r="BK490">
        <f>P490*Assumptions!$B$12</f>
        <v/>
      </c>
      <c r="BL490">
        <f>P490*Assumptions!$B$11</f>
        <v/>
      </c>
    </row>
    <row r="491">
      <c r="A491" t="inlineStr">
        <is>
          <t>4000M</t>
        </is>
      </c>
      <c r="B491">
        <f>Assumptions!$B$61</f>
        <v/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>
        <f>(1-C491)*Assumptions!$B$41+(1-D491)*Assumptions!$B$33+(1-E491)*Assumptions!$B$32+(1-F491)*Assumptions!$B$31+(1-G491)*Assumptions!$B$30+(1-H491)*Assumptions!$B$29+(1-I491)*Assumptions!$B$28</f>
        <v/>
      </c>
      <c r="K491">
        <f>C491*Assumptions!$B$141+D491*Assumptions!$B$128+E491*Assumptions!$B$129+F491*Assumptions!$B$14+G491*Assumptions!$B$13+H491*Assumptions!$B$12+I491*Assumptions!$B$11+Assumptions!$B$133+Assumptions!$B$137+Assumptions!$B$9</f>
        <v/>
      </c>
      <c r="L491">
        <f>B491-J491</f>
        <v/>
      </c>
      <c r="M491">
        <f>IF(K491&gt;0,IF(L491/K491&gt;=Assumptions!$B$37,1,0),0)</f>
        <v/>
      </c>
      <c r="N491">
        <f>K491+M491*Assumptions!$B$153</f>
        <v/>
      </c>
      <c r="O491">
        <f>L491+M491*Assumptions!$B$153*Assumptions!$B$37</f>
        <v/>
      </c>
      <c r="P491">
        <f>IF(N491&gt;0,O491/N491,0)</f>
        <v/>
      </c>
      <c r="Q491">
        <f>IF(C491=1,P491*Assumptions!$B$141,Assumptions!$B$41)</f>
        <v/>
      </c>
      <c r="R491">
        <f>IF(D491=1,P491*Assumptions!$B$128,Assumptions!$B$33)</f>
        <v/>
      </c>
      <c r="S491">
        <f>IF(E491=1,P491*Assumptions!$B$129,Assumptions!$B$32)</f>
        <v/>
      </c>
      <c r="T491">
        <f>IF(F491=1,P491*Assumptions!$B$14,Assumptions!$B$31)</f>
        <v/>
      </c>
      <c r="U491">
        <f>IF(G491=1,P491*Assumptions!$B$13,Assumptions!$B$30)</f>
        <v/>
      </c>
      <c r="V491">
        <f>IF(H491=1,P491*Assumptions!$B$12,Assumptions!$B$29)</f>
        <v/>
      </c>
      <c r="W491">
        <f>IF(I491=1,P491*Assumptions!$B$11,Assumptions!$B$28)</f>
        <v/>
      </c>
      <c r="X491">
        <f>P491*(Assumptions!$B$133+Assumptions!$B$137)</f>
        <v/>
      </c>
      <c r="Y491">
        <f>P491*Assumptions!$B$9</f>
        <v/>
      </c>
      <c r="Z491">
        <f>IF(M491=1,(P491-Assumptions!$B$37)*Assumptions!$B$153,0)</f>
        <v/>
      </c>
      <c r="AA491">
        <f>Q491+R491+S491+T491+U491+V491+W491+X491+Y491+Z491</f>
        <v/>
      </c>
      <c r="AB491" t="n">
        <v>56</v>
      </c>
      <c r="AC491" t="n">
        <v>120</v>
      </c>
      <c r="AD491" t="n">
        <v>24</v>
      </c>
      <c r="AE491" t="n">
        <v>40</v>
      </c>
      <c r="AF491" t="n">
        <v>48</v>
      </c>
      <c r="AG491" t="n">
        <v>60</v>
      </c>
      <c r="AH491" t="n">
        <v>58</v>
      </c>
      <c r="AI491" t="n">
        <v>57</v>
      </c>
      <c r="AJ491">
        <f>INDEX($Q$435:$Q$562,AC491+1)</f>
        <v/>
      </c>
      <c r="AK491">
        <f>INDEX($R$435:$R$562,AD491+1)</f>
        <v/>
      </c>
      <c r="AL491">
        <f>INDEX($S$435:$S$562,AE491+1)</f>
        <v/>
      </c>
      <c r="AM491">
        <f>INDEX($T$435:$T$562,AF491+1)</f>
        <v/>
      </c>
      <c r="AN491">
        <f>INDEX($U$435:$U$562,AG491+1)</f>
        <v/>
      </c>
      <c r="AO491">
        <f>INDEX($V$435:$V$562,AH491+1)</f>
        <v/>
      </c>
      <c r="AP491">
        <f>INDEX($W$435:$W$562,AI491+1)</f>
        <v/>
      </c>
      <c r="AQ491">
        <f>IF(Q491&gt;=AJ491-0.01,1,0)</f>
        <v/>
      </c>
      <c r="AR491">
        <f>IF(R491&gt;=AK491-0.01,1,0)</f>
        <v/>
      </c>
      <c r="AS491">
        <f>IF(S491&gt;=AL491-0.01,1,0)</f>
        <v/>
      </c>
      <c r="AT491">
        <f>IF(T491&gt;=AM491-0.01,1,0)</f>
        <v/>
      </c>
      <c r="AU491">
        <f>IF(U491&gt;=AN491-0.01,1,0)</f>
        <v/>
      </c>
      <c r="AV491">
        <f>IF(V491&gt;=AO491-0.01,1,0)</f>
        <v/>
      </c>
      <c r="AW491">
        <f>IF(W491&gt;=AP491-0.01,1,0)</f>
        <v/>
      </c>
      <c r="AX491">
        <f>AQ491*AR491*AS491*AT491*AU491*AV491*AW491</f>
        <v/>
      </c>
      <c r="AY491">
        <f>Assumptions!$B$41</f>
        <v/>
      </c>
      <c r="AZ491">
        <f>Assumptions!$B$33</f>
        <v/>
      </c>
      <c r="BA491">
        <f>Assumptions!$B$32</f>
        <v/>
      </c>
      <c r="BB491">
        <f>Assumptions!$B$31</f>
        <v/>
      </c>
      <c r="BC491">
        <f>Assumptions!$B$30</f>
        <v/>
      </c>
      <c r="BD491">
        <f>Assumptions!$B$29</f>
        <v/>
      </c>
      <c r="BE491">
        <f>Assumptions!$B$28</f>
        <v/>
      </c>
      <c r="BF491">
        <f>P491*Assumptions!$B$141</f>
        <v/>
      </c>
      <c r="BG491">
        <f>P491*Assumptions!$B$128</f>
        <v/>
      </c>
      <c r="BH491">
        <f>P491*Assumptions!$B$129</f>
        <v/>
      </c>
      <c r="BI491">
        <f>P491*Assumptions!$B$14</f>
        <v/>
      </c>
      <c r="BJ491">
        <f>P491*Assumptions!$B$13</f>
        <v/>
      </c>
      <c r="BK491">
        <f>P491*Assumptions!$B$12</f>
        <v/>
      </c>
      <c r="BL491">
        <f>P491*Assumptions!$B$11</f>
        <v/>
      </c>
    </row>
    <row r="492">
      <c r="A492" t="inlineStr">
        <is>
          <t>4000M</t>
        </is>
      </c>
      <c r="B492">
        <f>Assumptions!$B$61</f>
        <v/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1</v>
      </c>
      <c r="J492">
        <f>(1-C492)*Assumptions!$B$41+(1-D492)*Assumptions!$B$33+(1-E492)*Assumptions!$B$32+(1-F492)*Assumptions!$B$31+(1-G492)*Assumptions!$B$30+(1-H492)*Assumptions!$B$29+(1-I492)*Assumptions!$B$28</f>
        <v/>
      </c>
      <c r="K492">
        <f>C492*Assumptions!$B$141+D492*Assumptions!$B$128+E492*Assumptions!$B$129+F492*Assumptions!$B$14+G492*Assumptions!$B$13+H492*Assumptions!$B$12+I492*Assumptions!$B$11+Assumptions!$B$133+Assumptions!$B$137+Assumptions!$B$9</f>
        <v/>
      </c>
      <c r="L492">
        <f>B492-J492</f>
        <v/>
      </c>
      <c r="M492">
        <f>IF(K492&gt;0,IF(L492/K492&gt;=Assumptions!$B$37,1,0),0)</f>
        <v/>
      </c>
      <c r="N492">
        <f>K492+M492*Assumptions!$B$153</f>
        <v/>
      </c>
      <c r="O492">
        <f>L492+M492*Assumptions!$B$153*Assumptions!$B$37</f>
        <v/>
      </c>
      <c r="P492">
        <f>IF(N492&gt;0,O492/N492,0)</f>
        <v/>
      </c>
      <c r="Q492">
        <f>IF(C492=1,P492*Assumptions!$B$141,Assumptions!$B$41)</f>
        <v/>
      </c>
      <c r="R492">
        <f>IF(D492=1,P492*Assumptions!$B$128,Assumptions!$B$33)</f>
        <v/>
      </c>
      <c r="S492">
        <f>IF(E492=1,P492*Assumptions!$B$129,Assumptions!$B$32)</f>
        <v/>
      </c>
      <c r="T492">
        <f>IF(F492=1,P492*Assumptions!$B$14,Assumptions!$B$31)</f>
        <v/>
      </c>
      <c r="U492">
        <f>IF(G492=1,P492*Assumptions!$B$13,Assumptions!$B$30)</f>
        <v/>
      </c>
      <c r="V492">
        <f>IF(H492=1,P492*Assumptions!$B$12,Assumptions!$B$29)</f>
        <v/>
      </c>
      <c r="W492">
        <f>IF(I492=1,P492*Assumptions!$B$11,Assumptions!$B$28)</f>
        <v/>
      </c>
      <c r="X492">
        <f>P492*(Assumptions!$B$133+Assumptions!$B$137)</f>
        <v/>
      </c>
      <c r="Y492">
        <f>P492*Assumptions!$B$9</f>
        <v/>
      </c>
      <c r="Z492">
        <f>IF(M492=1,(P492-Assumptions!$B$37)*Assumptions!$B$153,0)</f>
        <v/>
      </c>
      <c r="AA492">
        <f>Q492+R492+S492+T492+U492+V492+W492+X492+Y492+Z492</f>
        <v/>
      </c>
      <c r="AB492" t="n">
        <v>57</v>
      </c>
      <c r="AC492" t="n">
        <v>121</v>
      </c>
      <c r="AD492" t="n">
        <v>25</v>
      </c>
      <c r="AE492" t="n">
        <v>41</v>
      </c>
      <c r="AF492" t="n">
        <v>49</v>
      </c>
      <c r="AG492" t="n">
        <v>61</v>
      </c>
      <c r="AH492" t="n">
        <v>59</v>
      </c>
      <c r="AI492" t="n">
        <v>56</v>
      </c>
      <c r="AJ492">
        <f>INDEX($Q$435:$Q$562,AC492+1)</f>
        <v/>
      </c>
      <c r="AK492">
        <f>INDEX($R$435:$R$562,AD492+1)</f>
        <v/>
      </c>
      <c r="AL492">
        <f>INDEX($S$435:$S$562,AE492+1)</f>
        <v/>
      </c>
      <c r="AM492">
        <f>INDEX($T$435:$T$562,AF492+1)</f>
        <v/>
      </c>
      <c r="AN492">
        <f>INDEX($U$435:$U$562,AG492+1)</f>
        <v/>
      </c>
      <c r="AO492">
        <f>INDEX($V$435:$V$562,AH492+1)</f>
        <v/>
      </c>
      <c r="AP492">
        <f>INDEX($W$435:$W$562,AI492+1)</f>
        <v/>
      </c>
      <c r="AQ492">
        <f>IF(Q492&gt;=AJ492-0.01,1,0)</f>
        <v/>
      </c>
      <c r="AR492">
        <f>IF(R492&gt;=AK492-0.01,1,0)</f>
        <v/>
      </c>
      <c r="AS492">
        <f>IF(S492&gt;=AL492-0.01,1,0)</f>
        <v/>
      </c>
      <c r="AT492">
        <f>IF(T492&gt;=AM492-0.01,1,0)</f>
        <v/>
      </c>
      <c r="AU492">
        <f>IF(U492&gt;=AN492-0.01,1,0)</f>
        <v/>
      </c>
      <c r="AV492">
        <f>IF(V492&gt;=AO492-0.01,1,0)</f>
        <v/>
      </c>
      <c r="AW492">
        <f>IF(W492&gt;=AP492-0.01,1,0)</f>
        <v/>
      </c>
      <c r="AX492">
        <f>AQ492*AR492*AS492*AT492*AU492*AV492*AW492</f>
        <v/>
      </c>
      <c r="AY492">
        <f>Assumptions!$B$41</f>
        <v/>
      </c>
      <c r="AZ492">
        <f>Assumptions!$B$33</f>
        <v/>
      </c>
      <c r="BA492">
        <f>Assumptions!$B$32</f>
        <v/>
      </c>
      <c r="BB492">
        <f>Assumptions!$B$31</f>
        <v/>
      </c>
      <c r="BC492">
        <f>Assumptions!$B$30</f>
        <v/>
      </c>
      <c r="BD492">
        <f>Assumptions!$B$29</f>
        <v/>
      </c>
      <c r="BE492">
        <f>Assumptions!$B$28</f>
        <v/>
      </c>
      <c r="BF492">
        <f>P492*Assumptions!$B$141</f>
        <v/>
      </c>
      <c r="BG492">
        <f>P492*Assumptions!$B$128</f>
        <v/>
      </c>
      <c r="BH492">
        <f>P492*Assumptions!$B$129</f>
        <v/>
      </c>
      <c r="BI492">
        <f>P492*Assumptions!$B$14</f>
        <v/>
      </c>
      <c r="BJ492">
        <f>P492*Assumptions!$B$13</f>
        <v/>
      </c>
      <c r="BK492">
        <f>P492*Assumptions!$B$12</f>
        <v/>
      </c>
      <c r="BL492">
        <f>P492*Assumptions!$B$11</f>
        <v/>
      </c>
    </row>
    <row r="493">
      <c r="A493" t="inlineStr">
        <is>
          <t>4000M</t>
        </is>
      </c>
      <c r="B493">
        <f>Assumptions!$B$61</f>
        <v/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>
        <f>(1-C493)*Assumptions!$B$41+(1-D493)*Assumptions!$B$33+(1-E493)*Assumptions!$B$32+(1-F493)*Assumptions!$B$31+(1-G493)*Assumptions!$B$30+(1-H493)*Assumptions!$B$29+(1-I493)*Assumptions!$B$28</f>
        <v/>
      </c>
      <c r="K493">
        <f>C493*Assumptions!$B$141+D493*Assumptions!$B$128+E493*Assumptions!$B$129+F493*Assumptions!$B$14+G493*Assumptions!$B$13+H493*Assumptions!$B$12+I493*Assumptions!$B$11+Assumptions!$B$133+Assumptions!$B$137+Assumptions!$B$9</f>
        <v/>
      </c>
      <c r="L493">
        <f>B493-J493</f>
        <v/>
      </c>
      <c r="M493">
        <f>IF(K493&gt;0,IF(L493/K493&gt;=Assumptions!$B$37,1,0),0)</f>
        <v/>
      </c>
      <c r="N493">
        <f>K493+M493*Assumptions!$B$153</f>
        <v/>
      </c>
      <c r="O493">
        <f>L493+M493*Assumptions!$B$153*Assumptions!$B$37</f>
        <v/>
      </c>
      <c r="P493">
        <f>IF(N493&gt;0,O493/N493,0)</f>
        <v/>
      </c>
      <c r="Q493">
        <f>IF(C493=1,P493*Assumptions!$B$141,Assumptions!$B$41)</f>
        <v/>
      </c>
      <c r="R493">
        <f>IF(D493=1,P493*Assumptions!$B$128,Assumptions!$B$33)</f>
        <v/>
      </c>
      <c r="S493">
        <f>IF(E493=1,P493*Assumptions!$B$129,Assumptions!$B$32)</f>
        <v/>
      </c>
      <c r="T493">
        <f>IF(F493=1,P493*Assumptions!$B$14,Assumptions!$B$31)</f>
        <v/>
      </c>
      <c r="U493">
        <f>IF(G493=1,P493*Assumptions!$B$13,Assumptions!$B$30)</f>
        <v/>
      </c>
      <c r="V493">
        <f>IF(H493=1,P493*Assumptions!$B$12,Assumptions!$B$29)</f>
        <v/>
      </c>
      <c r="W493">
        <f>IF(I493=1,P493*Assumptions!$B$11,Assumptions!$B$28)</f>
        <v/>
      </c>
      <c r="X493">
        <f>P493*(Assumptions!$B$133+Assumptions!$B$137)</f>
        <v/>
      </c>
      <c r="Y493">
        <f>P493*Assumptions!$B$9</f>
        <v/>
      </c>
      <c r="Z493">
        <f>IF(M493=1,(P493-Assumptions!$B$37)*Assumptions!$B$153,0)</f>
        <v/>
      </c>
      <c r="AA493">
        <f>Q493+R493+S493+T493+U493+V493+W493+X493+Y493+Z493</f>
        <v/>
      </c>
      <c r="AB493" t="n">
        <v>58</v>
      </c>
      <c r="AC493" t="n">
        <v>122</v>
      </c>
      <c r="AD493" t="n">
        <v>26</v>
      </c>
      <c r="AE493" t="n">
        <v>42</v>
      </c>
      <c r="AF493" t="n">
        <v>50</v>
      </c>
      <c r="AG493" t="n">
        <v>62</v>
      </c>
      <c r="AH493" t="n">
        <v>56</v>
      </c>
      <c r="AI493" t="n">
        <v>59</v>
      </c>
      <c r="AJ493">
        <f>INDEX($Q$435:$Q$562,AC493+1)</f>
        <v/>
      </c>
      <c r="AK493">
        <f>INDEX($R$435:$R$562,AD493+1)</f>
        <v/>
      </c>
      <c r="AL493">
        <f>INDEX($S$435:$S$562,AE493+1)</f>
        <v/>
      </c>
      <c r="AM493">
        <f>INDEX($T$435:$T$562,AF493+1)</f>
        <v/>
      </c>
      <c r="AN493">
        <f>INDEX($U$435:$U$562,AG493+1)</f>
        <v/>
      </c>
      <c r="AO493">
        <f>INDEX($V$435:$V$562,AH493+1)</f>
        <v/>
      </c>
      <c r="AP493">
        <f>INDEX($W$435:$W$562,AI493+1)</f>
        <v/>
      </c>
      <c r="AQ493">
        <f>IF(Q493&gt;=AJ493-0.01,1,0)</f>
        <v/>
      </c>
      <c r="AR493">
        <f>IF(R493&gt;=AK493-0.01,1,0)</f>
        <v/>
      </c>
      <c r="AS493">
        <f>IF(S493&gt;=AL493-0.01,1,0)</f>
        <v/>
      </c>
      <c r="AT493">
        <f>IF(T493&gt;=AM493-0.01,1,0)</f>
        <v/>
      </c>
      <c r="AU493">
        <f>IF(U493&gt;=AN493-0.01,1,0)</f>
        <v/>
      </c>
      <c r="AV493">
        <f>IF(V493&gt;=AO493-0.01,1,0)</f>
        <v/>
      </c>
      <c r="AW493">
        <f>IF(W493&gt;=AP493-0.01,1,0)</f>
        <v/>
      </c>
      <c r="AX493">
        <f>AQ493*AR493*AS493*AT493*AU493*AV493*AW493</f>
        <v/>
      </c>
      <c r="AY493">
        <f>Assumptions!$B$41</f>
        <v/>
      </c>
      <c r="AZ493">
        <f>Assumptions!$B$33</f>
        <v/>
      </c>
      <c r="BA493">
        <f>Assumptions!$B$32</f>
        <v/>
      </c>
      <c r="BB493">
        <f>Assumptions!$B$31</f>
        <v/>
      </c>
      <c r="BC493">
        <f>Assumptions!$B$30</f>
        <v/>
      </c>
      <c r="BD493">
        <f>Assumptions!$B$29</f>
        <v/>
      </c>
      <c r="BE493">
        <f>Assumptions!$B$28</f>
        <v/>
      </c>
      <c r="BF493">
        <f>P493*Assumptions!$B$141</f>
        <v/>
      </c>
      <c r="BG493">
        <f>P493*Assumptions!$B$128</f>
        <v/>
      </c>
      <c r="BH493">
        <f>P493*Assumptions!$B$129</f>
        <v/>
      </c>
      <c r="BI493">
        <f>P493*Assumptions!$B$14</f>
        <v/>
      </c>
      <c r="BJ493">
        <f>P493*Assumptions!$B$13</f>
        <v/>
      </c>
      <c r="BK493">
        <f>P493*Assumptions!$B$12</f>
        <v/>
      </c>
      <c r="BL493">
        <f>P493*Assumptions!$B$11</f>
        <v/>
      </c>
    </row>
    <row r="494">
      <c r="A494" t="inlineStr">
        <is>
          <t>4000M</t>
        </is>
      </c>
      <c r="B494">
        <f>Assumptions!$B$61</f>
        <v/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>
        <f>(1-C494)*Assumptions!$B$41+(1-D494)*Assumptions!$B$33+(1-E494)*Assumptions!$B$32+(1-F494)*Assumptions!$B$31+(1-G494)*Assumptions!$B$30+(1-H494)*Assumptions!$B$29+(1-I494)*Assumptions!$B$28</f>
        <v/>
      </c>
      <c r="K494">
        <f>C494*Assumptions!$B$141+D494*Assumptions!$B$128+E494*Assumptions!$B$129+F494*Assumptions!$B$14+G494*Assumptions!$B$13+H494*Assumptions!$B$12+I494*Assumptions!$B$11+Assumptions!$B$133+Assumptions!$B$137+Assumptions!$B$9</f>
        <v/>
      </c>
      <c r="L494">
        <f>B494-J494</f>
        <v/>
      </c>
      <c r="M494">
        <f>IF(K494&gt;0,IF(L494/K494&gt;=Assumptions!$B$37,1,0),0)</f>
        <v/>
      </c>
      <c r="N494">
        <f>K494+M494*Assumptions!$B$153</f>
        <v/>
      </c>
      <c r="O494">
        <f>L494+M494*Assumptions!$B$153*Assumptions!$B$37</f>
        <v/>
      </c>
      <c r="P494">
        <f>IF(N494&gt;0,O494/N494,0)</f>
        <v/>
      </c>
      <c r="Q494">
        <f>IF(C494=1,P494*Assumptions!$B$141,Assumptions!$B$41)</f>
        <v/>
      </c>
      <c r="R494">
        <f>IF(D494=1,P494*Assumptions!$B$128,Assumptions!$B$33)</f>
        <v/>
      </c>
      <c r="S494">
        <f>IF(E494=1,P494*Assumptions!$B$129,Assumptions!$B$32)</f>
        <v/>
      </c>
      <c r="T494">
        <f>IF(F494=1,P494*Assumptions!$B$14,Assumptions!$B$31)</f>
        <v/>
      </c>
      <c r="U494">
        <f>IF(G494=1,P494*Assumptions!$B$13,Assumptions!$B$30)</f>
        <v/>
      </c>
      <c r="V494">
        <f>IF(H494=1,P494*Assumptions!$B$12,Assumptions!$B$29)</f>
        <v/>
      </c>
      <c r="W494">
        <f>IF(I494=1,P494*Assumptions!$B$11,Assumptions!$B$28)</f>
        <v/>
      </c>
      <c r="X494">
        <f>P494*(Assumptions!$B$133+Assumptions!$B$137)</f>
        <v/>
      </c>
      <c r="Y494">
        <f>P494*Assumptions!$B$9</f>
        <v/>
      </c>
      <c r="Z494">
        <f>IF(M494=1,(P494-Assumptions!$B$37)*Assumptions!$B$153,0)</f>
        <v/>
      </c>
      <c r="AA494">
        <f>Q494+R494+S494+T494+U494+V494+W494+X494+Y494+Z494</f>
        <v/>
      </c>
      <c r="AB494" t="n">
        <v>59</v>
      </c>
      <c r="AC494" t="n">
        <v>123</v>
      </c>
      <c r="AD494" t="n">
        <v>27</v>
      </c>
      <c r="AE494" t="n">
        <v>43</v>
      </c>
      <c r="AF494" t="n">
        <v>51</v>
      </c>
      <c r="AG494" t="n">
        <v>63</v>
      </c>
      <c r="AH494" t="n">
        <v>57</v>
      </c>
      <c r="AI494" t="n">
        <v>58</v>
      </c>
      <c r="AJ494">
        <f>INDEX($Q$435:$Q$562,AC494+1)</f>
        <v/>
      </c>
      <c r="AK494">
        <f>INDEX($R$435:$R$562,AD494+1)</f>
        <v/>
      </c>
      <c r="AL494">
        <f>INDEX($S$435:$S$562,AE494+1)</f>
        <v/>
      </c>
      <c r="AM494">
        <f>INDEX($T$435:$T$562,AF494+1)</f>
        <v/>
      </c>
      <c r="AN494">
        <f>INDEX($U$435:$U$562,AG494+1)</f>
        <v/>
      </c>
      <c r="AO494">
        <f>INDEX($V$435:$V$562,AH494+1)</f>
        <v/>
      </c>
      <c r="AP494">
        <f>INDEX($W$435:$W$562,AI494+1)</f>
        <v/>
      </c>
      <c r="AQ494">
        <f>IF(Q494&gt;=AJ494-0.01,1,0)</f>
        <v/>
      </c>
      <c r="AR494">
        <f>IF(R494&gt;=AK494-0.01,1,0)</f>
        <v/>
      </c>
      <c r="AS494">
        <f>IF(S494&gt;=AL494-0.01,1,0)</f>
        <v/>
      </c>
      <c r="AT494">
        <f>IF(T494&gt;=AM494-0.01,1,0)</f>
        <v/>
      </c>
      <c r="AU494">
        <f>IF(U494&gt;=AN494-0.01,1,0)</f>
        <v/>
      </c>
      <c r="AV494">
        <f>IF(V494&gt;=AO494-0.01,1,0)</f>
        <v/>
      </c>
      <c r="AW494">
        <f>IF(W494&gt;=AP494-0.01,1,0)</f>
        <v/>
      </c>
      <c r="AX494">
        <f>AQ494*AR494*AS494*AT494*AU494*AV494*AW494</f>
        <v/>
      </c>
      <c r="AY494">
        <f>Assumptions!$B$41</f>
        <v/>
      </c>
      <c r="AZ494">
        <f>Assumptions!$B$33</f>
        <v/>
      </c>
      <c r="BA494">
        <f>Assumptions!$B$32</f>
        <v/>
      </c>
      <c r="BB494">
        <f>Assumptions!$B$31</f>
        <v/>
      </c>
      <c r="BC494">
        <f>Assumptions!$B$30</f>
        <v/>
      </c>
      <c r="BD494">
        <f>Assumptions!$B$29</f>
        <v/>
      </c>
      <c r="BE494">
        <f>Assumptions!$B$28</f>
        <v/>
      </c>
      <c r="BF494">
        <f>P494*Assumptions!$B$141</f>
        <v/>
      </c>
      <c r="BG494">
        <f>P494*Assumptions!$B$128</f>
        <v/>
      </c>
      <c r="BH494">
        <f>P494*Assumptions!$B$129</f>
        <v/>
      </c>
      <c r="BI494">
        <f>P494*Assumptions!$B$14</f>
        <v/>
      </c>
      <c r="BJ494">
        <f>P494*Assumptions!$B$13</f>
        <v/>
      </c>
      <c r="BK494">
        <f>P494*Assumptions!$B$12</f>
        <v/>
      </c>
      <c r="BL494">
        <f>P494*Assumptions!$B$11</f>
        <v/>
      </c>
    </row>
    <row r="495">
      <c r="A495" t="inlineStr">
        <is>
          <t>4000M</t>
        </is>
      </c>
      <c r="B495">
        <f>Assumptions!$B$61</f>
        <v/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>
        <f>(1-C495)*Assumptions!$B$41+(1-D495)*Assumptions!$B$33+(1-E495)*Assumptions!$B$32+(1-F495)*Assumptions!$B$31+(1-G495)*Assumptions!$B$30+(1-H495)*Assumptions!$B$29+(1-I495)*Assumptions!$B$28</f>
        <v/>
      </c>
      <c r="K495">
        <f>C495*Assumptions!$B$141+D495*Assumptions!$B$128+E495*Assumptions!$B$129+F495*Assumptions!$B$14+G495*Assumptions!$B$13+H495*Assumptions!$B$12+I495*Assumptions!$B$11+Assumptions!$B$133+Assumptions!$B$137+Assumptions!$B$9</f>
        <v/>
      </c>
      <c r="L495">
        <f>B495-J495</f>
        <v/>
      </c>
      <c r="M495">
        <f>IF(K495&gt;0,IF(L495/K495&gt;=Assumptions!$B$37,1,0),0)</f>
        <v/>
      </c>
      <c r="N495">
        <f>K495+M495*Assumptions!$B$153</f>
        <v/>
      </c>
      <c r="O495">
        <f>L495+M495*Assumptions!$B$153*Assumptions!$B$37</f>
        <v/>
      </c>
      <c r="P495">
        <f>IF(N495&gt;0,O495/N495,0)</f>
        <v/>
      </c>
      <c r="Q495">
        <f>IF(C495=1,P495*Assumptions!$B$141,Assumptions!$B$41)</f>
        <v/>
      </c>
      <c r="R495">
        <f>IF(D495=1,P495*Assumptions!$B$128,Assumptions!$B$33)</f>
        <v/>
      </c>
      <c r="S495">
        <f>IF(E495=1,P495*Assumptions!$B$129,Assumptions!$B$32)</f>
        <v/>
      </c>
      <c r="T495">
        <f>IF(F495=1,P495*Assumptions!$B$14,Assumptions!$B$31)</f>
        <v/>
      </c>
      <c r="U495">
        <f>IF(G495=1,P495*Assumptions!$B$13,Assumptions!$B$30)</f>
        <v/>
      </c>
      <c r="V495">
        <f>IF(H495=1,P495*Assumptions!$B$12,Assumptions!$B$29)</f>
        <v/>
      </c>
      <c r="W495">
        <f>IF(I495=1,P495*Assumptions!$B$11,Assumptions!$B$28)</f>
        <v/>
      </c>
      <c r="X495">
        <f>P495*(Assumptions!$B$133+Assumptions!$B$137)</f>
        <v/>
      </c>
      <c r="Y495">
        <f>P495*Assumptions!$B$9</f>
        <v/>
      </c>
      <c r="Z495">
        <f>IF(M495=1,(P495-Assumptions!$B$37)*Assumptions!$B$153,0)</f>
        <v/>
      </c>
      <c r="AA495">
        <f>Q495+R495+S495+T495+U495+V495+W495+X495+Y495+Z495</f>
        <v/>
      </c>
      <c r="AB495" t="n">
        <v>60</v>
      </c>
      <c r="AC495" t="n">
        <v>124</v>
      </c>
      <c r="AD495" t="n">
        <v>28</v>
      </c>
      <c r="AE495" t="n">
        <v>44</v>
      </c>
      <c r="AF495" t="n">
        <v>52</v>
      </c>
      <c r="AG495" t="n">
        <v>56</v>
      </c>
      <c r="AH495" t="n">
        <v>62</v>
      </c>
      <c r="AI495" t="n">
        <v>61</v>
      </c>
      <c r="AJ495">
        <f>INDEX($Q$435:$Q$562,AC495+1)</f>
        <v/>
      </c>
      <c r="AK495">
        <f>INDEX($R$435:$R$562,AD495+1)</f>
        <v/>
      </c>
      <c r="AL495">
        <f>INDEX($S$435:$S$562,AE495+1)</f>
        <v/>
      </c>
      <c r="AM495">
        <f>INDEX($T$435:$T$562,AF495+1)</f>
        <v/>
      </c>
      <c r="AN495">
        <f>INDEX($U$435:$U$562,AG495+1)</f>
        <v/>
      </c>
      <c r="AO495">
        <f>INDEX($V$435:$V$562,AH495+1)</f>
        <v/>
      </c>
      <c r="AP495">
        <f>INDEX($W$435:$W$562,AI495+1)</f>
        <v/>
      </c>
      <c r="AQ495">
        <f>IF(Q495&gt;=AJ495-0.01,1,0)</f>
        <v/>
      </c>
      <c r="AR495">
        <f>IF(R495&gt;=AK495-0.01,1,0)</f>
        <v/>
      </c>
      <c r="AS495">
        <f>IF(S495&gt;=AL495-0.01,1,0)</f>
        <v/>
      </c>
      <c r="AT495">
        <f>IF(T495&gt;=AM495-0.01,1,0)</f>
        <v/>
      </c>
      <c r="AU495">
        <f>IF(U495&gt;=AN495-0.01,1,0)</f>
        <v/>
      </c>
      <c r="AV495">
        <f>IF(V495&gt;=AO495-0.01,1,0)</f>
        <v/>
      </c>
      <c r="AW495">
        <f>IF(W495&gt;=AP495-0.01,1,0)</f>
        <v/>
      </c>
      <c r="AX495">
        <f>AQ495*AR495*AS495*AT495*AU495*AV495*AW495</f>
        <v/>
      </c>
      <c r="AY495">
        <f>Assumptions!$B$41</f>
        <v/>
      </c>
      <c r="AZ495">
        <f>Assumptions!$B$33</f>
        <v/>
      </c>
      <c r="BA495">
        <f>Assumptions!$B$32</f>
        <v/>
      </c>
      <c r="BB495">
        <f>Assumptions!$B$31</f>
        <v/>
      </c>
      <c r="BC495">
        <f>Assumptions!$B$30</f>
        <v/>
      </c>
      <c r="BD495">
        <f>Assumptions!$B$29</f>
        <v/>
      </c>
      <c r="BE495">
        <f>Assumptions!$B$28</f>
        <v/>
      </c>
      <c r="BF495">
        <f>P495*Assumptions!$B$141</f>
        <v/>
      </c>
      <c r="BG495">
        <f>P495*Assumptions!$B$128</f>
        <v/>
      </c>
      <c r="BH495">
        <f>P495*Assumptions!$B$129</f>
        <v/>
      </c>
      <c r="BI495">
        <f>P495*Assumptions!$B$14</f>
        <v/>
      </c>
      <c r="BJ495">
        <f>P495*Assumptions!$B$13</f>
        <v/>
      </c>
      <c r="BK495">
        <f>P495*Assumptions!$B$12</f>
        <v/>
      </c>
      <c r="BL495">
        <f>P495*Assumptions!$B$11</f>
        <v/>
      </c>
    </row>
    <row r="496">
      <c r="A496" t="inlineStr">
        <is>
          <t>4000M</t>
        </is>
      </c>
      <c r="B496">
        <f>Assumptions!$B$61</f>
        <v/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  <c r="J496">
        <f>(1-C496)*Assumptions!$B$41+(1-D496)*Assumptions!$B$33+(1-E496)*Assumptions!$B$32+(1-F496)*Assumptions!$B$31+(1-G496)*Assumptions!$B$30+(1-H496)*Assumptions!$B$29+(1-I496)*Assumptions!$B$28</f>
        <v/>
      </c>
      <c r="K496">
        <f>C496*Assumptions!$B$141+D496*Assumptions!$B$128+E496*Assumptions!$B$129+F496*Assumptions!$B$14+G496*Assumptions!$B$13+H496*Assumptions!$B$12+I496*Assumptions!$B$11+Assumptions!$B$133+Assumptions!$B$137+Assumptions!$B$9</f>
        <v/>
      </c>
      <c r="L496">
        <f>B496-J496</f>
        <v/>
      </c>
      <c r="M496">
        <f>IF(K496&gt;0,IF(L496/K496&gt;=Assumptions!$B$37,1,0),0)</f>
        <v/>
      </c>
      <c r="N496">
        <f>K496+M496*Assumptions!$B$153</f>
        <v/>
      </c>
      <c r="O496">
        <f>L496+M496*Assumptions!$B$153*Assumptions!$B$37</f>
        <v/>
      </c>
      <c r="P496">
        <f>IF(N496&gt;0,O496/N496,0)</f>
        <v/>
      </c>
      <c r="Q496">
        <f>IF(C496=1,P496*Assumptions!$B$141,Assumptions!$B$41)</f>
        <v/>
      </c>
      <c r="R496">
        <f>IF(D496=1,P496*Assumptions!$B$128,Assumptions!$B$33)</f>
        <v/>
      </c>
      <c r="S496">
        <f>IF(E496=1,P496*Assumptions!$B$129,Assumptions!$B$32)</f>
        <v/>
      </c>
      <c r="T496">
        <f>IF(F496=1,P496*Assumptions!$B$14,Assumptions!$B$31)</f>
        <v/>
      </c>
      <c r="U496">
        <f>IF(G496=1,P496*Assumptions!$B$13,Assumptions!$B$30)</f>
        <v/>
      </c>
      <c r="V496">
        <f>IF(H496=1,P496*Assumptions!$B$12,Assumptions!$B$29)</f>
        <v/>
      </c>
      <c r="W496">
        <f>IF(I496=1,P496*Assumptions!$B$11,Assumptions!$B$28)</f>
        <v/>
      </c>
      <c r="X496">
        <f>P496*(Assumptions!$B$133+Assumptions!$B$137)</f>
        <v/>
      </c>
      <c r="Y496">
        <f>P496*Assumptions!$B$9</f>
        <v/>
      </c>
      <c r="Z496">
        <f>IF(M496=1,(P496-Assumptions!$B$37)*Assumptions!$B$153,0)</f>
        <v/>
      </c>
      <c r="AA496">
        <f>Q496+R496+S496+T496+U496+V496+W496+X496+Y496+Z496</f>
        <v/>
      </c>
      <c r="AB496" t="n">
        <v>61</v>
      </c>
      <c r="AC496" t="n">
        <v>125</v>
      </c>
      <c r="AD496" t="n">
        <v>29</v>
      </c>
      <c r="AE496" t="n">
        <v>45</v>
      </c>
      <c r="AF496" t="n">
        <v>53</v>
      </c>
      <c r="AG496" t="n">
        <v>57</v>
      </c>
      <c r="AH496" t="n">
        <v>63</v>
      </c>
      <c r="AI496" t="n">
        <v>60</v>
      </c>
      <c r="AJ496">
        <f>INDEX($Q$435:$Q$562,AC496+1)</f>
        <v/>
      </c>
      <c r="AK496">
        <f>INDEX($R$435:$R$562,AD496+1)</f>
        <v/>
      </c>
      <c r="AL496">
        <f>INDEX($S$435:$S$562,AE496+1)</f>
        <v/>
      </c>
      <c r="AM496">
        <f>INDEX($T$435:$T$562,AF496+1)</f>
        <v/>
      </c>
      <c r="AN496">
        <f>INDEX($U$435:$U$562,AG496+1)</f>
        <v/>
      </c>
      <c r="AO496">
        <f>INDEX($V$435:$V$562,AH496+1)</f>
        <v/>
      </c>
      <c r="AP496">
        <f>INDEX($W$435:$W$562,AI496+1)</f>
        <v/>
      </c>
      <c r="AQ496">
        <f>IF(Q496&gt;=AJ496-0.01,1,0)</f>
        <v/>
      </c>
      <c r="AR496">
        <f>IF(R496&gt;=AK496-0.01,1,0)</f>
        <v/>
      </c>
      <c r="AS496">
        <f>IF(S496&gt;=AL496-0.01,1,0)</f>
        <v/>
      </c>
      <c r="AT496">
        <f>IF(T496&gt;=AM496-0.01,1,0)</f>
        <v/>
      </c>
      <c r="AU496">
        <f>IF(U496&gt;=AN496-0.01,1,0)</f>
        <v/>
      </c>
      <c r="AV496">
        <f>IF(V496&gt;=AO496-0.01,1,0)</f>
        <v/>
      </c>
      <c r="AW496">
        <f>IF(W496&gt;=AP496-0.01,1,0)</f>
        <v/>
      </c>
      <c r="AX496">
        <f>AQ496*AR496*AS496*AT496*AU496*AV496*AW496</f>
        <v/>
      </c>
      <c r="AY496">
        <f>Assumptions!$B$41</f>
        <v/>
      </c>
      <c r="AZ496">
        <f>Assumptions!$B$33</f>
        <v/>
      </c>
      <c r="BA496">
        <f>Assumptions!$B$32</f>
        <v/>
      </c>
      <c r="BB496">
        <f>Assumptions!$B$31</f>
        <v/>
      </c>
      <c r="BC496">
        <f>Assumptions!$B$30</f>
        <v/>
      </c>
      <c r="BD496">
        <f>Assumptions!$B$29</f>
        <v/>
      </c>
      <c r="BE496">
        <f>Assumptions!$B$28</f>
        <v/>
      </c>
      <c r="BF496">
        <f>P496*Assumptions!$B$141</f>
        <v/>
      </c>
      <c r="BG496">
        <f>P496*Assumptions!$B$128</f>
        <v/>
      </c>
      <c r="BH496">
        <f>P496*Assumptions!$B$129</f>
        <v/>
      </c>
      <c r="BI496">
        <f>P496*Assumptions!$B$14</f>
        <v/>
      </c>
      <c r="BJ496">
        <f>P496*Assumptions!$B$13</f>
        <v/>
      </c>
      <c r="BK496">
        <f>P496*Assumptions!$B$12</f>
        <v/>
      </c>
      <c r="BL496">
        <f>P496*Assumptions!$B$11</f>
        <v/>
      </c>
    </row>
    <row r="497">
      <c r="A497" t="inlineStr">
        <is>
          <t>4000M</t>
        </is>
      </c>
      <c r="B497">
        <f>Assumptions!$B$61</f>
        <v/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>
        <f>(1-C497)*Assumptions!$B$41+(1-D497)*Assumptions!$B$33+(1-E497)*Assumptions!$B$32+(1-F497)*Assumptions!$B$31+(1-G497)*Assumptions!$B$30+(1-H497)*Assumptions!$B$29+(1-I497)*Assumptions!$B$28</f>
        <v/>
      </c>
      <c r="K497">
        <f>C497*Assumptions!$B$141+D497*Assumptions!$B$128+E497*Assumptions!$B$129+F497*Assumptions!$B$14+G497*Assumptions!$B$13+H497*Assumptions!$B$12+I497*Assumptions!$B$11+Assumptions!$B$133+Assumptions!$B$137+Assumptions!$B$9</f>
        <v/>
      </c>
      <c r="L497">
        <f>B497-J497</f>
        <v/>
      </c>
      <c r="M497">
        <f>IF(K497&gt;0,IF(L497/K497&gt;=Assumptions!$B$37,1,0),0)</f>
        <v/>
      </c>
      <c r="N497">
        <f>K497+M497*Assumptions!$B$153</f>
        <v/>
      </c>
      <c r="O497">
        <f>L497+M497*Assumptions!$B$153*Assumptions!$B$37</f>
        <v/>
      </c>
      <c r="P497">
        <f>IF(N497&gt;0,O497/N497,0)</f>
        <v/>
      </c>
      <c r="Q497">
        <f>IF(C497=1,P497*Assumptions!$B$141,Assumptions!$B$41)</f>
        <v/>
      </c>
      <c r="R497">
        <f>IF(D497=1,P497*Assumptions!$B$128,Assumptions!$B$33)</f>
        <v/>
      </c>
      <c r="S497">
        <f>IF(E497=1,P497*Assumptions!$B$129,Assumptions!$B$32)</f>
        <v/>
      </c>
      <c r="T497">
        <f>IF(F497=1,P497*Assumptions!$B$14,Assumptions!$B$31)</f>
        <v/>
      </c>
      <c r="U497">
        <f>IF(G497=1,P497*Assumptions!$B$13,Assumptions!$B$30)</f>
        <v/>
      </c>
      <c r="V497">
        <f>IF(H497=1,P497*Assumptions!$B$12,Assumptions!$B$29)</f>
        <v/>
      </c>
      <c r="W497">
        <f>IF(I497=1,P497*Assumptions!$B$11,Assumptions!$B$28)</f>
        <v/>
      </c>
      <c r="X497">
        <f>P497*(Assumptions!$B$133+Assumptions!$B$137)</f>
        <v/>
      </c>
      <c r="Y497">
        <f>P497*Assumptions!$B$9</f>
        <v/>
      </c>
      <c r="Z497">
        <f>IF(M497=1,(P497-Assumptions!$B$37)*Assumptions!$B$153,0)</f>
        <v/>
      </c>
      <c r="AA497">
        <f>Q497+R497+S497+T497+U497+V497+W497+X497+Y497+Z497</f>
        <v/>
      </c>
      <c r="AB497" t="n">
        <v>62</v>
      </c>
      <c r="AC497" t="n">
        <v>126</v>
      </c>
      <c r="AD497" t="n">
        <v>30</v>
      </c>
      <c r="AE497" t="n">
        <v>46</v>
      </c>
      <c r="AF497" t="n">
        <v>54</v>
      </c>
      <c r="AG497" t="n">
        <v>58</v>
      </c>
      <c r="AH497" t="n">
        <v>60</v>
      </c>
      <c r="AI497" t="n">
        <v>63</v>
      </c>
      <c r="AJ497">
        <f>INDEX($Q$435:$Q$562,AC497+1)</f>
        <v/>
      </c>
      <c r="AK497">
        <f>INDEX($R$435:$R$562,AD497+1)</f>
        <v/>
      </c>
      <c r="AL497">
        <f>INDEX($S$435:$S$562,AE497+1)</f>
        <v/>
      </c>
      <c r="AM497">
        <f>INDEX($T$435:$T$562,AF497+1)</f>
        <v/>
      </c>
      <c r="AN497">
        <f>INDEX($U$435:$U$562,AG497+1)</f>
        <v/>
      </c>
      <c r="AO497">
        <f>INDEX($V$435:$V$562,AH497+1)</f>
        <v/>
      </c>
      <c r="AP497">
        <f>INDEX($W$435:$W$562,AI497+1)</f>
        <v/>
      </c>
      <c r="AQ497">
        <f>IF(Q497&gt;=AJ497-0.01,1,0)</f>
        <v/>
      </c>
      <c r="AR497">
        <f>IF(R497&gt;=AK497-0.01,1,0)</f>
        <v/>
      </c>
      <c r="AS497">
        <f>IF(S497&gt;=AL497-0.01,1,0)</f>
        <v/>
      </c>
      <c r="AT497">
        <f>IF(T497&gt;=AM497-0.01,1,0)</f>
        <v/>
      </c>
      <c r="AU497">
        <f>IF(U497&gt;=AN497-0.01,1,0)</f>
        <v/>
      </c>
      <c r="AV497">
        <f>IF(V497&gt;=AO497-0.01,1,0)</f>
        <v/>
      </c>
      <c r="AW497">
        <f>IF(W497&gt;=AP497-0.01,1,0)</f>
        <v/>
      </c>
      <c r="AX497">
        <f>AQ497*AR497*AS497*AT497*AU497*AV497*AW497</f>
        <v/>
      </c>
      <c r="AY497">
        <f>Assumptions!$B$41</f>
        <v/>
      </c>
      <c r="AZ497">
        <f>Assumptions!$B$33</f>
        <v/>
      </c>
      <c r="BA497">
        <f>Assumptions!$B$32</f>
        <v/>
      </c>
      <c r="BB497">
        <f>Assumptions!$B$31</f>
        <v/>
      </c>
      <c r="BC497">
        <f>Assumptions!$B$30</f>
        <v/>
      </c>
      <c r="BD497">
        <f>Assumptions!$B$29</f>
        <v/>
      </c>
      <c r="BE497">
        <f>Assumptions!$B$28</f>
        <v/>
      </c>
      <c r="BF497">
        <f>P497*Assumptions!$B$141</f>
        <v/>
      </c>
      <c r="BG497">
        <f>P497*Assumptions!$B$128</f>
        <v/>
      </c>
      <c r="BH497">
        <f>P497*Assumptions!$B$129</f>
        <v/>
      </c>
      <c r="BI497">
        <f>P497*Assumptions!$B$14</f>
        <v/>
      </c>
      <c r="BJ497">
        <f>P497*Assumptions!$B$13</f>
        <v/>
      </c>
      <c r="BK497">
        <f>P497*Assumptions!$B$12</f>
        <v/>
      </c>
      <c r="BL497">
        <f>P497*Assumptions!$B$11</f>
        <v/>
      </c>
    </row>
    <row r="498">
      <c r="A498" t="inlineStr">
        <is>
          <t>4000M</t>
        </is>
      </c>
      <c r="B498">
        <f>Assumptions!$B$61</f>
        <v/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>
        <f>(1-C498)*Assumptions!$B$41+(1-D498)*Assumptions!$B$33+(1-E498)*Assumptions!$B$32+(1-F498)*Assumptions!$B$31+(1-G498)*Assumptions!$B$30+(1-H498)*Assumptions!$B$29+(1-I498)*Assumptions!$B$28</f>
        <v/>
      </c>
      <c r="K498">
        <f>C498*Assumptions!$B$141+D498*Assumptions!$B$128+E498*Assumptions!$B$129+F498*Assumptions!$B$14+G498*Assumptions!$B$13+H498*Assumptions!$B$12+I498*Assumptions!$B$11+Assumptions!$B$133+Assumptions!$B$137+Assumptions!$B$9</f>
        <v/>
      </c>
      <c r="L498">
        <f>B498-J498</f>
        <v/>
      </c>
      <c r="M498">
        <f>IF(K498&gt;0,IF(L498/K498&gt;=Assumptions!$B$37,1,0),0)</f>
        <v/>
      </c>
      <c r="N498">
        <f>K498+M498*Assumptions!$B$153</f>
        <v/>
      </c>
      <c r="O498">
        <f>L498+M498*Assumptions!$B$153*Assumptions!$B$37</f>
        <v/>
      </c>
      <c r="P498">
        <f>IF(N498&gt;0,O498/N498,0)</f>
        <v/>
      </c>
      <c r="Q498">
        <f>IF(C498=1,P498*Assumptions!$B$141,Assumptions!$B$41)</f>
        <v/>
      </c>
      <c r="R498">
        <f>IF(D498=1,P498*Assumptions!$B$128,Assumptions!$B$33)</f>
        <v/>
      </c>
      <c r="S498">
        <f>IF(E498=1,P498*Assumptions!$B$129,Assumptions!$B$32)</f>
        <v/>
      </c>
      <c r="T498">
        <f>IF(F498=1,P498*Assumptions!$B$14,Assumptions!$B$31)</f>
        <v/>
      </c>
      <c r="U498">
        <f>IF(G498=1,P498*Assumptions!$B$13,Assumptions!$B$30)</f>
        <v/>
      </c>
      <c r="V498">
        <f>IF(H498=1,P498*Assumptions!$B$12,Assumptions!$B$29)</f>
        <v/>
      </c>
      <c r="W498">
        <f>IF(I498=1,P498*Assumptions!$B$11,Assumptions!$B$28)</f>
        <v/>
      </c>
      <c r="X498">
        <f>P498*(Assumptions!$B$133+Assumptions!$B$137)</f>
        <v/>
      </c>
      <c r="Y498">
        <f>P498*Assumptions!$B$9</f>
        <v/>
      </c>
      <c r="Z498">
        <f>IF(M498=1,(P498-Assumptions!$B$37)*Assumptions!$B$153,0)</f>
        <v/>
      </c>
      <c r="AA498">
        <f>Q498+R498+S498+T498+U498+V498+W498+X498+Y498+Z498</f>
        <v/>
      </c>
      <c r="AB498" t="n">
        <v>63</v>
      </c>
      <c r="AC498" t="n">
        <v>127</v>
      </c>
      <c r="AD498" t="n">
        <v>31</v>
      </c>
      <c r="AE498" t="n">
        <v>47</v>
      </c>
      <c r="AF498" t="n">
        <v>55</v>
      </c>
      <c r="AG498" t="n">
        <v>59</v>
      </c>
      <c r="AH498" t="n">
        <v>61</v>
      </c>
      <c r="AI498" t="n">
        <v>62</v>
      </c>
      <c r="AJ498">
        <f>INDEX($Q$435:$Q$562,AC498+1)</f>
        <v/>
      </c>
      <c r="AK498">
        <f>INDEX($R$435:$R$562,AD498+1)</f>
        <v/>
      </c>
      <c r="AL498">
        <f>INDEX($S$435:$S$562,AE498+1)</f>
        <v/>
      </c>
      <c r="AM498">
        <f>INDEX($T$435:$T$562,AF498+1)</f>
        <v/>
      </c>
      <c r="AN498">
        <f>INDEX($U$435:$U$562,AG498+1)</f>
        <v/>
      </c>
      <c r="AO498">
        <f>INDEX($V$435:$V$562,AH498+1)</f>
        <v/>
      </c>
      <c r="AP498">
        <f>INDEX($W$435:$W$562,AI498+1)</f>
        <v/>
      </c>
      <c r="AQ498">
        <f>IF(Q498&gt;=AJ498-0.01,1,0)</f>
        <v/>
      </c>
      <c r="AR498">
        <f>IF(R498&gt;=AK498-0.01,1,0)</f>
        <v/>
      </c>
      <c r="AS498">
        <f>IF(S498&gt;=AL498-0.01,1,0)</f>
        <v/>
      </c>
      <c r="AT498">
        <f>IF(T498&gt;=AM498-0.01,1,0)</f>
        <v/>
      </c>
      <c r="AU498">
        <f>IF(U498&gt;=AN498-0.01,1,0)</f>
        <v/>
      </c>
      <c r="AV498">
        <f>IF(V498&gt;=AO498-0.01,1,0)</f>
        <v/>
      </c>
      <c r="AW498">
        <f>IF(W498&gt;=AP498-0.01,1,0)</f>
        <v/>
      </c>
      <c r="AX498">
        <f>AQ498*AR498*AS498*AT498*AU498*AV498*AW498</f>
        <v/>
      </c>
      <c r="AY498">
        <f>Assumptions!$B$41</f>
        <v/>
      </c>
      <c r="AZ498">
        <f>Assumptions!$B$33</f>
        <v/>
      </c>
      <c r="BA498">
        <f>Assumptions!$B$32</f>
        <v/>
      </c>
      <c r="BB498">
        <f>Assumptions!$B$31</f>
        <v/>
      </c>
      <c r="BC498">
        <f>Assumptions!$B$30</f>
        <v/>
      </c>
      <c r="BD498">
        <f>Assumptions!$B$29</f>
        <v/>
      </c>
      <c r="BE498">
        <f>Assumptions!$B$28</f>
        <v/>
      </c>
      <c r="BF498">
        <f>P498*Assumptions!$B$141</f>
        <v/>
      </c>
      <c r="BG498">
        <f>P498*Assumptions!$B$128</f>
        <v/>
      </c>
      <c r="BH498">
        <f>P498*Assumptions!$B$129</f>
        <v/>
      </c>
      <c r="BI498">
        <f>P498*Assumptions!$B$14</f>
        <v/>
      </c>
      <c r="BJ498">
        <f>P498*Assumptions!$B$13</f>
        <v/>
      </c>
      <c r="BK498">
        <f>P498*Assumptions!$B$12</f>
        <v/>
      </c>
      <c r="BL498">
        <f>P498*Assumptions!$B$11</f>
        <v/>
      </c>
    </row>
    <row r="499">
      <c r="A499" t="inlineStr">
        <is>
          <t>4000M</t>
        </is>
      </c>
      <c r="B499">
        <f>Assumptions!$B$61</f>
        <v/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>
        <f>(1-C499)*Assumptions!$B$41+(1-D499)*Assumptions!$B$33+(1-E499)*Assumptions!$B$32+(1-F499)*Assumptions!$B$31+(1-G499)*Assumptions!$B$30+(1-H499)*Assumptions!$B$29+(1-I499)*Assumptions!$B$28</f>
        <v/>
      </c>
      <c r="K499">
        <f>C499*Assumptions!$B$141+D499*Assumptions!$B$128+E499*Assumptions!$B$129+F499*Assumptions!$B$14+G499*Assumptions!$B$13+H499*Assumptions!$B$12+I499*Assumptions!$B$11+Assumptions!$B$133+Assumptions!$B$137+Assumptions!$B$9</f>
        <v/>
      </c>
      <c r="L499">
        <f>B499-J499</f>
        <v/>
      </c>
      <c r="M499">
        <f>IF(K499&gt;0,IF(L499/K499&gt;=Assumptions!$B$37,1,0),0)</f>
        <v/>
      </c>
      <c r="N499">
        <f>K499+M499*Assumptions!$B$153</f>
        <v/>
      </c>
      <c r="O499">
        <f>L499+M499*Assumptions!$B$153*Assumptions!$B$37</f>
        <v/>
      </c>
      <c r="P499">
        <f>IF(N499&gt;0,O499/N499,0)</f>
        <v/>
      </c>
      <c r="Q499">
        <f>IF(C499=1,P499*Assumptions!$B$141,Assumptions!$B$41)</f>
        <v/>
      </c>
      <c r="R499">
        <f>IF(D499=1,P499*Assumptions!$B$128,Assumptions!$B$33)</f>
        <v/>
      </c>
      <c r="S499">
        <f>IF(E499=1,P499*Assumptions!$B$129,Assumptions!$B$32)</f>
        <v/>
      </c>
      <c r="T499">
        <f>IF(F499=1,P499*Assumptions!$B$14,Assumptions!$B$31)</f>
        <v/>
      </c>
      <c r="U499">
        <f>IF(G499=1,P499*Assumptions!$B$13,Assumptions!$B$30)</f>
        <v/>
      </c>
      <c r="V499">
        <f>IF(H499=1,P499*Assumptions!$B$12,Assumptions!$B$29)</f>
        <v/>
      </c>
      <c r="W499">
        <f>IF(I499=1,P499*Assumptions!$B$11,Assumptions!$B$28)</f>
        <v/>
      </c>
      <c r="X499">
        <f>P499*(Assumptions!$B$133+Assumptions!$B$137)</f>
        <v/>
      </c>
      <c r="Y499">
        <f>P499*Assumptions!$B$9</f>
        <v/>
      </c>
      <c r="Z499">
        <f>IF(M499=1,(P499-Assumptions!$B$37)*Assumptions!$B$153,0)</f>
        <v/>
      </c>
      <c r="AA499">
        <f>Q499+R499+S499+T499+U499+V499+W499+X499+Y499+Z499</f>
        <v/>
      </c>
      <c r="AB499" t="n">
        <v>64</v>
      </c>
      <c r="AC499" t="n">
        <v>0</v>
      </c>
      <c r="AD499" t="n">
        <v>96</v>
      </c>
      <c r="AE499" t="n">
        <v>80</v>
      </c>
      <c r="AF499" t="n">
        <v>72</v>
      </c>
      <c r="AG499" t="n">
        <v>68</v>
      </c>
      <c r="AH499" t="n">
        <v>66</v>
      </c>
      <c r="AI499" t="n">
        <v>65</v>
      </c>
      <c r="AJ499">
        <f>INDEX($Q$435:$Q$562,AC499+1)</f>
        <v/>
      </c>
      <c r="AK499">
        <f>INDEX($R$435:$R$562,AD499+1)</f>
        <v/>
      </c>
      <c r="AL499">
        <f>INDEX($S$435:$S$562,AE499+1)</f>
        <v/>
      </c>
      <c r="AM499">
        <f>INDEX($T$435:$T$562,AF499+1)</f>
        <v/>
      </c>
      <c r="AN499">
        <f>INDEX($U$435:$U$562,AG499+1)</f>
        <v/>
      </c>
      <c r="AO499">
        <f>INDEX($V$435:$V$562,AH499+1)</f>
        <v/>
      </c>
      <c r="AP499">
        <f>INDEX($W$435:$W$562,AI499+1)</f>
        <v/>
      </c>
      <c r="AQ499">
        <f>IF(Q499&gt;=AJ499-0.01,1,0)</f>
        <v/>
      </c>
      <c r="AR499">
        <f>IF(R499&gt;=AK499-0.01,1,0)</f>
        <v/>
      </c>
      <c r="AS499">
        <f>IF(S499&gt;=AL499-0.01,1,0)</f>
        <v/>
      </c>
      <c r="AT499">
        <f>IF(T499&gt;=AM499-0.01,1,0)</f>
        <v/>
      </c>
      <c r="AU499">
        <f>IF(U499&gt;=AN499-0.01,1,0)</f>
        <v/>
      </c>
      <c r="AV499">
        <f>IF(V499&gt;=AO499-0.01,1,0)</f>
        <v/>
      </c>
      <c r="AW499">
        <f>IF(W499&gt;=AP499-0.01,1,0)</f>
        <v/>
      </c>
      <c r="AX499">
        <f>AQ499*AR499*AS499*AT499*AU499*AV499*AW499</f>
        <v/>
      </c>
      <c r="AY499">
        <f>Assumptions!$B$41</f>
        <v/>
      </c>
      <c r="AZ499">
        <f>Assumptions!$B$33</f>
        <v/>
      </c>
      <c r="BA499">
        <f>Assumptions!$B$32</f>
        <v/>
      </c>
      <c r="BB499">
        <f>Assumptions!$B$31</f>
        <v/>
      </c>
      <c r="BC499">
        <f>Assumptions!$B$30</f>
        <v/>
      </c>
      <c r="BD499">
        <f>Assumptions!$B$29</f>
        <v/>
      </c>
      <c r="BE499">
        <f>Assumptions!$B$28</f>
        <v/>
      </c>
      <c r="BF499">
        <f>P499*Assumptions!$B$141</f>
        <v/>
      </c>
      <c r="BG499">
        <f>P499*Assumptions!$B$128</f>
        <v/>
      </c>
      <c r="BH499">
        <f>P499*Assumptions!$B$129</f>
        <v/>
      </c>
      <c r="BI499">
        <f>P499*Assumptions!$B$14</f>
        <v/>
      </c>
      <c r="BJ499">
        <f>P499*Assumptions!$B$13</f>
        <v/>
      </c>
      <c r="BK499">
        <f>P499*Assumptions!$B$12</f>
        <v/>
      </c>
      <c r="BL499">
        <f>P499*Assumptions!$B$11</f>
        <v/>
      </c>
    </row>
    <row r="500">
      <c r="A500" t="inlineStr">
        <is>
          <t>4000M</t>
        </is>
      </c>
      <c r="B500">
        <f>Assumptions!$B$61</f>
        <v/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>
        <f>(1-C500)*Assumptions!$B$41+(1-D500)*Assumptions!$B$33+(1-E500)*Assumptions!$B$32+(1-F500)*Assumptions!$B$31+(1-G500)*Assumptions!$B$30+(1-H500)*Assumptions!$B$29+(1-I500)*Assumptions!$B$28</f>
        <v/>
      </c>
      <c r="K500">
        <f>C500*Assumptions!$B$141+D500*Assumptions!$B$128+E500*Assumptions!$B$129+F500*Assumptions!$B$14+G500*Assumptions!$B$13+H500*Assumptions!$B$12+I500*Assumptions!$B$11+Assumptions!$B$133+Assumptions!$B$137+Assumptions!$B$9</f>
        <v/>
      </c>
      <c r="L500">
        <f>B500-J500</f>
        <v/>
      </c>
      <c r="M500">
        <f>IF(K500&gt;0,IF(L500/K500&gt;=Assumptions!$B$37,1,0),0)</f>
        <v/>
      </c>
      <c r="N500">
        <f>K500+M500*Assumptions!$B$153</f>
        <v/>
      </c>
      <c r="O500">
        <f>L500+M500*Assumptions!$B$153*Assumptions!$B$37</f>
        <v/>
      </c>
      <c r="P500">
        <f>IF(N500&gt;0,O500/N500,0)</f>
        <v/>
      </c>
      <c r="Q500">
        <f>IF(C500=1,P500*Assumptions!$B$141,Assumptions!$B$41)</f>
        <v/>
      </c>
      <c r="R500">
        <f>IF(D500=1,P500*Assumptions!$B$128,Assumptions!$B$33)</f>
        <v/>
      </c>
      <c r="S500">
        <f>IF(E500=1,P500*Assumptions!$B$129,Assumptions!$B$32)</f>
        <v/>
      </c>
      <c r="T500">
        <f>IF(F500=1,P500*Assumptions!$B$14,Assumptions!$B$31)</f>
        <v/>
      </c>
      <c r="U500">
        <f>IF(G500=1,P500*Assumptions!$B$13,Assumptions!$B$30)</f>
        <v/>
      </c>
      <c r="V500">
        <f>IF(H500=1,P500*Assumptions!$B$12,Assumptions!$B$29)</f>
        <v/>
      </c>
      <c r="W500">
        <f>IF(I500=1,P500*Assumptions!$B$11,Assumptions!$B$28)</f>
        <v/>
      </c>
      <c r="X500">
        <f>P500*(Assumptions!$B$133+Assumptions!$B$137)</f>
        <v/>
      </c>
      <c r="Y500">
        <f>P500*Assumptions!$B$9</f>
        <v/>
      </c>
      <c r="Z500">
        <f>IF(M500=1,(P500-Assumptions!$B$37)*Assumptions!$B$153,0)</f>
        <v/>
      </c>
      <c r="AA500">
        <f>Q500+R500+S500+T500+U500+V500+W500+X500+Y500+Z500</f>
        <v/>
      </c>
      <c r="AB500" t="n">
        <v>65</v>
      </c>
      <c r="AC500" t="n">
        <v>1</v>
      </c>
      <c r="AD500" t="n">
        <v>97</v>
      </c>
      <c r="AE500" t="n">
        <v>81</v>
      </c>
      <c r="AF500" t="n">
        <v>73</v>
      </c>
      <c r="AG500" t="n">
        <v>69</v>
      </c>
      <c r="AH500" t="n">
        <v>67</v>
      </c>
      <c r="AI500" t="n">
        <v>64</v>
      </c>
      <c r="AJ500">
        <f>INDEX($Q$435:$Q$562,AC500+1)</f>
        <v/>
      </c>
      <c r="AK500">
        <f>INDEX($R$435:$R$562,AD500+1)</f>
        <v/>
      </c>
      <c r="AL500">
        <f>INDEX($S$435:$S$562,AE500+1)</f>
        <v/>
      </c>
      <c r="AM500">
        <f>INDEX($T$435:$T$562,AF500+1)</f>
        <v/>
      </c>
      <c r="AN500">
        <f>INDEX($U$435:$U$562,AG500+1)</f>
        <v/>
      </c>
      <c r="AO500">
        <f>INDEX($V$435:$V$562,AH500+1)</f>
        <v/>
      </c>
      <c r="AP500">
        <f>INDEX($W$435:$W$562,AI500+1)</f>
        <v/>
      </c>
      <c r="AQ500">
        <f>IF(Q500&gt;=AJ500-0.01,1,0)</f>
        <v/>
      </c>
      <c r="AR500">
        <f>IF(R500&gt;=AK500-0.01,1,0)</f>
        <v/>
      </c>
      <c r="AS500">
        <f>IF(S500&gt;=AL500-0.01,1,0)</f>
        <v/>
      </c>
      <c r="AT500">
        <f>IF(T500&gt;=AM500-0.01,1,0)</f>
        <v/>
      </c>
      <c r="AU500">
        <f>IF(U500&gt;=AN500-0.01,1,0)</f>
        <v/>
      </c>
      <c r="AV500">
        <f>IF(V500&gt;=AO500-0.01,1,0)</f>
        <v/>
      </c>
      <c r="AW500">
        <f>IF(W500&gt;=AP500-0.01,1,0)</f>
        <v/>
      </c>
      <c r="AX500">
        <f>AQ500*AR500*AS500*AT500*AU500*AV500*AW500</f>
        <v/>
      </c>
      <c r="AY500">
        <f>Assumptions!$B$41</f>
        <v/>
      </c>
      <c r="AZ500">
        <f>Assumptions!$B$33</f>
        <v/>
      </c>
      <c r="BA500">
        <f>Assumptions!$B$32</f>
        <v/>
      </c>
      <c r="BB500">
        <f>Assumptions!$B$31</f>
        <v/>
      </c>
      <c r="BC500">
        <f>Assumptions!$B$30</f>
        <v/>
      </c>
      <c r="BD500">
        <f>Assumptions!$B$29</f>
        <v/>
      </c>
      <c r="BE500">
        <f>Assumptions!$B$28</f>
        <v/>
      </c>
      <c r="BF500">
        <f>P500*Assumptions!$B$141</f>
        <v/>
      </c>
      <c r="BG500">
        <f>P500*Assumptions!$B$128</f>
        <v/>
      </c>
      <c r="BH500">
        <f>P500*Assumptions!$B$129</f>
        <v/>
      </c>
      <c r="BI500">
        <f>P500*Assumptions!$B$14</f>
        <v/>
      </c>
      <c r="BJ500">
        <f>P500*Assumptions!$B$13</f>
        <v/>
      </c>
      <c r="BK500">
        <f>P500*Assumptions!$B$12</f>
        <v/>
      </c>
      <c r="BL500">
        <f>P500*Assumptions!$B$11</f>
        <v/>
      </c>
    </row>
    <row r="501">
      <c r="A501" t="inlineStr">
        <is>
          <t>4000M</t>
        </is>
      </c>
      <c r="B501">
        <f>Assumptions!$B$61</f>
        <v/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>
        <f>(1-C501)*Assumptions!$B$41+(1-D501)*Assumptions!$B$33+(1-E501)*Assumptions!$B$32+(1-F501)*Assumptions!$B$31+(1-G501)*Assumptions!$B$30+(1-H501)*Assumptions!$B$29+(1-I501)*Assumptions!$B$28</f>
        <v/>
      </c>
      <c r="K501">
        <f>C501*Assumptions!$B$141+D501*Assumptions!$B$128+E501*Assumptions!$B$129+F501*Assumptions!$B$14+G501*Assumptions!$B$13+H501*Assumptions!$B$12+I501*Assumptions!$B$11+Assumptions!$B$133+Assumptions!$B$137+Assumptions!$B$9</f>
        <v/>
      </c>
      <c r="L501">
        <f>B501-J501</f>
        <v/>
      </c>
      <c r="M501">
        <f>IF(K501&gt;0,IF(L501/K501&gt;=Assumptions!$B$37,1,0),0)</f>
        <v/>
      </c>
      <c r="N501">
        <f>K501+M501*Assumptions!$B$153</f>
        <v/>
      </c>
      <c r="O501">
        <f>L501+M501*Assumptions!$B$153*Assumptions!$B$37</f>
        <v/>
      </c>
      <c r="P501">
        <f>IF(N501&gt;0,O501/N501,0)</f>
        <v/>
      </c>
      <c r="Q501">
        <f>IF(C501=1,P501*Assumptions!$B$141,Assumptions!$B$41)</f>
        <v/>
      </c>
      <c r="R501">
        <f>IF(D501=1,P501*Assumptions!$B$128,Assumptions!$B$33)</f>
        <v/>
      </c>
      <c r="S501">
        <f>IF(E501=1,P501*Assumptions!$B$129,Assumptions!$B$32)</f>
        <v/>
      </c>
      <c r="T501">
        <f>IF(F501=1,P501*Assumptions!$B$14,Assumptions!$B$31)</f>
        <v/>
      </c>
      <c r="U501">
        <f>IF(G501=1,P501*Assumptions!$B$13,Assumptions!$B$30)</f>
        <v/>
      </c>
      <c r="V501">
        <f>IF(H501=1,P501*Assumptions!$B$12,Assumptions!$B$29)</f>
        <v/>
      </c>
      <c r="W501">
        <f>IF(I501=1,P501*Assumptions!$B$11,Assumptions!$B$28)</f>
        <v/>
      </c>
      <c r="X501">
        <f>P501*(Assumptions!$B$133+Assumptions!$B$137)</f>
        <v/>
      </c>
      <c r="Y501">
        <f>P501*Assumptions!$B$9</f>
        <v/>
      </c>
      <c r="Z501">
        <f>IF(M501=1,(P501-Assumptions!$B$37)*Assumptions!$B$153,0)</f>
        <v/>
      </c>
      <c r="AA501">
        <f>Q501+R501+S501+T501+U501+V501+W501+X501+Y501+Z501</f>
        <v/>
      </c>
      <c r="AB501" t="n">
        <v>66</v>
      </c>
      <c r="AC501" t="n">
        <v>2</v>
      </c>
      <c r="AD501" t="n">
        <v>98</v>
      </c>
      <c r="AE501" t="n">
        <v>82</v>
      </c>
      <c r="AF501" t="n">
        <v>74</v>
      </c>
      <c r="AG501" t="n">
        <v>70</v>
      </c>
      <c r="AH501" t="n">
        <v>64</v>
      </c>
      <c r="AI501" t="n">
        <v>67</v>
      </c>
      <c r="AJ501">
        <f>INDEX($Q$435:$Q$562,AC501+1)</f>
        <v/>
      </c>
      <c r="AK501">
        <f>INDEX($R$435:$R$562,AD501+1)</f>
        <v/>
      </c>
      <c r="AL501">
        <f>INDEX($S$435:$S$562,AE501+1)</f>
        <v/>
      </c>
      <c r="AM501">
        <f>INDEX($T$435:$T$562,AF501+1)</f>
        <v/>
      </c>
      <c r="AN501">
        <f>INDEX($U$435:$U$562,AG501+1)</f>
        <v/>
      </c>
      <c r="AO501">
        <f>INDEX($V$435:$V$562,AH501+1)</f>
        <v/>
      </c>
      <c r="AP501">
        <f>INDEX($W$435:$W$562,AI501+1)</f>
        <v/>
      </c>
      <c r="AQ501">
        <f>IF(Q501&gt;=AJ501-0.01,1,0)</f>
        <v/>
      </c>
      <c r="AR501">
        <f>IF(R501&gt;=AK501-0.01,1,0)</f>
        <v/>
      </c>
      <c r="AS501">
        <f>IF(S501&gt;=AL501-0.01,1,0)</f>
        <v/>
      </c>
      <c r="AT501">
        <f>IF(T501&gt;=AM501-0.01,1,0)</f>
        <v/>
      </c>
      <c r="AU501">
        <f>IF(U501&gt;=AN501-0.01,1,0)</f>
        <v/>
      </c>
      <c r="AV501">
        <f>IF(V501&gt;=AO501-0.01,1,0)</f>
        <v/>
      </c>
      <c r="AW501">
        <f>IF(W501&gt;=AP501-0.01,1,0)</f>
        <v/>
      </c>
      <c r="AX501">
        <f>AQ501*AR501*AS501*AT501*AU501*AV501*AW501</f>
        <v/>
      </c>
      <c r="AY501">
        <f>Assumptions!$B$41</f>
        <v/>
      </c>
      <c r="AZ501">
        <f>Assumptions!$B$33</f>
        <v/>
      </c>
      <c r="BA501">
        <f>Assumptions!$B$32</f>
        <v/>
      </c>
      <c r="BB501">
        <f>Assumptions!$B$31</f>
        <v/>
      </c>
      <c r="BC501">
        <f>Assumptions!$B$30</f>
        <v/>
      </c>
      <c r="BD501">
        <f>Assumptions!$B$29</f>
        <v/>
      </c>
      <c r="BE501">
        <f>Assumptions!$B$28</f>
        <v/>
      </c>
      <c r="BF501">
        <f>P501*Assumptions!$B$141</f>
        <v/>
      </c>
      <c r="BG501">
        <f>P501*Assumptions!$B$128</f>
        <v/>
      </c>
      <c r="BH501">
        <f>P501*Assumptions!$B$129</f>
        <v/>
      </c>
      <c r="BI501">
        <f>P501*Assumptions!$B$14</f>
        <v/>
      </c>
      <c r="BJ501">
        <f>P501*Assumptions!$B$13</f>
        <v/>
      </c>
      <c r="BK501">
        <f>P501*Assumptions!$B$12</f>
        <v/>
      </c>
      <c r="BL501">
        <f>P501*Assumptions!$B$11</f>
        <v/>
      </c>
    </row>
    <row r="502">
      <c r="A502" t="inlineStr">
        <is>
          <t>4000M</t>
        </is>
      </c>
      <c r="B502">
        <f>Assumptions!$B$61</f>
        <v/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>
        <f>(1-C502)*Assumptions!$B$41+(1-D502)*Assumptions!$B$33+(1-E502)*Assumptions!$B$32+(1-F502)*Assumptions!$B$31+(1-G502)*Assumptions!$B$30+(1-H502)*Assumptions!$B$29+(1-I502)*Assumptions!$B$28</f>
        <v/>
      </c>
      <c r="K502">
        <f>C502*Assumptions!$B$141+D502*Assumptions!$B$128+E502*Assumptions!$B$129+F502*Assumptions!$B$14+G502*Assumptions!$B$13+H502*Assumptions!$B$12+I502*Assumptions!$B$11+Assumptions!$B$133+Assumptions!$B$137+Assumptions!$B$9</f>
        <v/>
      </c>
      <c r="L502">
        <f>B502-J502</f>
        <v/>
      </c>
      <c r="M502">
        <f>IF(K502&gt;0,IF(L502/K502&gt;=Assumptions!$B$37,1,0),0)</f>
        <v/>
      </c>
      <c r="N502">
        <f>K502+M502*Assumptions!$B$153</f>
        <v/>
      </c>
      <c r="O502">
        <f>L502+M502*Assumptions!$B$153*Assumptions!$B$37</f>
        <v/>
      </c>
      <c r="P502">
        <f>IF(N502&gt;0,O502/N502,0)</f>
        <v/>
      </c>
      <c r="Q502">
        <f>IF(C502=1,P502*Assumptions!$B$141,Assumptions!$B$41)</f>
        <v/>
      </c>
      <c r="R502">
        <f>IF(D502=1,P502*Assumptions!$B$128,Assumptions!$B$33)</f>
        <v/>
      </c>
      <c r="S502">
        <f>IF(E502=1,P502*Assumptions!$B$129,Assumptions!$B$32)</f>
        <v/>
      </c>
      <c r="T502">
        <f>IF(F502=1,P502*Assumptions!$B$14,Assumptions!$B$31)</f>
        <v/>
      </c>
      <c r="U502">
        <f>IF(G502=1,P502*Assumptions!$B$13,Assumptions!$B$30)</f>
        <v/>
      </c>
      <c r="V502">
        <f>IF(H502=1,P502*Assumptions!$B$12,Assumptions!$B$29)</f>
        <v/>
      </c>
      <c r="W502">
        <f>IF(I502=1,P502*Assumptions!$B$11,Assumptions!$B$28)</f>
        <v/>
      </c>
      <c r="X502">
        <f>P502*(Assumptions!$B$133+Assumptions!$B$137)</f>
        <v/>
      </c>
      <c r="Y502">
        <f>P502*Assumptions!$B$9</f>
        <v/>
      </c>
      <c r="Z502">
        <f>IF(M502=1,(P502-Assumptions!$B$37)*Assumptions!$B$153,0)</f>
        <v/>
      </c>
      <c r="AA502">
        <f>Q502+R502+S502+T502+U502+V502+W502+X502+Y502+Z502</f>
        <v/>
      </c>
      <c r="AB502" t="n">
        <v>67</v>
      </c>
      <c r="AC502" t="n">
        <v>3</v>
      </c>
      <c r="AD502" t="n">
        <v>99</v>
      </c>
      <c r="AE502" t="n">
        <v>83</v>
      </c>
      <c r="AF502" t="n">
        <v>75</v>
      </c>
      <c r="AG502" t="n">
        <v>71</v>
      </c>
      <c r="AH502" t="n">
        <v>65</v>
      </c>
      <c r="AI502" t="n">
        <v>66</v>
      </c>
      <c r="AJ502">
        <f>INDEX($Q$435:$Q$562,AC502+1)</f>
        <v/>
      </c>
      <c r="AK502">
        <f>INDEX($R$435:$R$562,AD502+1)</f>
        <v/>
      </c>
      <c r="AL502">
        <f>INDEX($S$435:$S$562,AE502+1)</f>
        <v/>
      </c>
      <c r="AM502">
        <f>INDEX($T$435:$T$562,AF502+1)</f>
        <v/>
      </c>
      <c r="AN502">
        <f>INDEX($U$435:$U$562,AG502+1)</f>
        <v/>
      </c>
      <c r="AO502">
        <f>INDEX($V$435:$V$562,AH502+1)</f>
        <v/>
      </c>
      <c r="AP502">
        <f>INDEX($W$435:$W$562,AI502+1)</f>
        <v/>
      </c>
      <c r="AQ502">
        <f>IF(Q502&gt;=AJ502-0.01,1,0)</f>
        <v/>
      </c>
      <c r="AR502">
        <f>IF(R502&gt;=AK502-0.01,1,0)</f>
        <v/>
      </c>
      <c r="AS502">
        <f>IF(S502&gt;=AL502-0.01,1,0)</f>
        <v/>
      </c>
      <c r="AT502">
        <f>IF(T502&gt;=AM502-0.01,1,0)</f>
        <v/>
      </c>
      <c r="AU502">
        <f>IF(U502&gt;=AN502-0.01,1,0)</f>
        <v/>
      </c>
      <c r="AV502">
        <f>IF(V502&gt;=AO502-0.01,1,0)</f>
        <v/>
      </c>
      <c r="AW502">
        <f>IF(W502&gt;=AP502-0.01,1,0)</f>
        <v/>
      </c>
      <c r="AX502">
        <f>AQ502*AR502*AS502*AT502*AU502*AV502*AW502</f>
        <v/>
      </c>
      <c r="AY502">
        <f>Assumptions!$B$41</f>
        <v/>
      </c>
      <c r="AZ502">
        <f>Assumptions!$B$33</f>
        <v/>
      </c>
      <c r="BA502">
        <f>Assumptions!$B$32</f>
        <v/>
      </c>
      <c r="BB502">
        <f>Assumptions!$B$31</f>
        <v/>
      </c>
      <c r="BC502">
        <f>Assumptions!$B$30</f>
        <v/>
      </c>
      <c r="BD502">
        <f>Assumptions!$B$29</f>
        <v/>
      </c>
      <c r="BE502">
        <f>Assumptions!$B$28</f>
        <v/>
      </c>
      <c r="BF502">
        <f>P502*Assumptions!$B$141</f>
        <v/>
      </c>
      <c r="BG502">
        <f>P502*Assumptions!$B$128</f>
        <v/>
      </c>
      <c r="BH502">
        <f>P502*Assumptions!$B$129</f>
        <v/>
      </c>
      <c r="BI502">
        <f>P502*Assumptions!$B$14</f>
        <v/>
      </c>
      <c r="BJ502">
        <f>P502*Assumptions!$B$13</f>
        <v/>
      </c>
      <c r="BK502">
        <f>P502*Assumptions!$B$12</f>
        <v/>
      </c>
      <c r="BL502">
        <f>P502*Assumptions!$B$11</f>
        <v/>
      </c>
    </row>
    <row r="503">
      <c r="A503" t="inlineStr">
        <is>
          <t>4000M</t>
        </is>
      </c>
      <c r="B503">
        <f>Assumptions!$B$61</f>
        <v/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>
        <f>(1-C503)*Assumptions!$B$41+(1-D503)*Assumptions!$B$33+(1-E503)*Assumptions!$B$32+(1-F503)*Assumptions!$B$31+(1-G503)*Assumptions!$B$30+(1-H503)*Assumptions!$B$29+(1-I503)*Assumptions!$B$28</f>
        <v/>
      </c>
      <c r="K503">
        <f>C503*Assumptions!$B$141+D503*Assumptions!$B$128+E503*Assumptions!$B$129+F503*Assumptions!$B$14+G503*Assumptions!$B$13+H503*Assumptions!$B$12+I503*Assumptions!$B$11+Assumptions!$B$133+Assumptions!$B$137+Assumptions!$B$9</f>
        <v/>
      </c>
      <c r="L503">
        <f>B503-J503</f>
        <v/>
      </c>
      <c r="M503">
        <f>IF(K503&gt;0,IF(L503/K503&gt;=Assumptions!$B$37,1,0),0)</f>
        <v/>
      </c>
      <c r="N503">
        <f>K503+M503*Assumptions!$B$153</f>
        <v/>
      </c>
      <c r="O503">
        <f>L503+M503*Assumptions!$B$153*Assumptions!$B$37</f>
        <v/>
      </c>
      <c r="P503">
        <f>IF(N503&gt;0,O503/N503,0)</f>
        <v/>
      </c>
      <c r="Q503">
        <f>IF(C503=1,P503*Assumptions!$B$141,Assumptions!$B$41)</f>
        <v/>
      </c>
      <c r="R503">
        <f>IF(D503=1,P503*Assumptions!$B$128,Assumptions!$B$33)</f>
        <v/>
      </c>
      <c r="S503">
        <f>IF(E503=1,P503*Assumptions!$B$129,Assumptions!$B$32)</f>
        <v/>
      </c>
      <c r="T503">
        <f>IF(F503=1,P503*Assumptions!$B$14,Assumptions!$B$31)</f>
        <v/>
      </c>
      <c r="U503">
        <f>IF(G503=1,P503*Assumptions!$B$13,Assumptions!$B$30)</f>
        <v/>
      </c>
      <c r="V503">
        <f>IF(H503=1,P503*Assumptions!$B$12,Assumptions!$B$29)</f>
        <v/>
      </c>
      <c r="W503">
        <f>IF(I503=1,P503*Assumptions!$B$11,Assumptions!$B$28)</f>
        <v/>
      </c>
      <c r="X503">
        <f>P503*(Assumptions!$B$133+Assumptions!$B$137)</f>
        <v/>
      </c>
      <c r="Y503">
        <f>P503*Assumptions!$B$9</f>
        <v/>
      </c>
      <c r="Z503">
        <f>IF(M503=1,(P503-Assumptions!$B$37)*Assumptions!$B$153,0)</f>
        <v/>
      </c>
      <c r="AA503">
        <f>Q503+R503+S503+T503+U503+V503+W503+X503+Y503+Z503</f>
        <v/>
      </c>
      <c r="AB503" t="n">
        <v>68</v>
      </c>
      <c r="AC503" t="n">
        <v>4</v>
      </c>
      <c r="AD503" t="n">
        <v>100</v>
      </c>
      <c r="AE503" t="n">
        <v>84</v>
      </c>
      <c r="AF503" t="n">
        <v>76</v>
      </c>
      <c r="AG503" t="n">
        <v>64</v>
      </c>
      <c r="AH503" t="n">
        <v>70</v>
      </c>
      <c r="AI503" t="n">
        <v>69</v>
      </c>
      <c r="AJ503">
        <f>INDEX($Q$435:$Q$562,AC503+1)</f>
        <v/>
      </c>
      <c r="AK503">
        <f>INDEX($R$435:$R$562,AD503+1)</f>
        <v/>
      </c>
      <c r="AL503">
        <f>INDEX($S$435:$S$562,AE503+1)</f>
        <v/>
      </c>
      <c r="AM503">
        <f>INDEX($T$435:$T$562,AF503+1)</f>
        <v/>
      </c>
      <c r="AN503">
        <f>INDEX($U$435:$U$562,AG503+1)</f>
        <v/>
      </c>
      <c r="AO503">
        <f>INDEX($V$435:$V$562,AH503+1)</f>
        <v/>
      </c>
      <c r="AP503">
        <f>INDEX($W$435:$W$562,AI503+1)</f>
        <v/>
      </c>
      <c r="AQ503">
        <f>IF(Q503&gt;=AJ503-0.01,1,0)</f>
        <v/>
      </c>
      <c r="AR503">
        <f>IF(R503&gt;=AK503-0.01,1,0)</f>
        <v/>
      </c>
      <c r="AS503">
        <f>IF(S503&gt;=AL503-0.01,1,0)</f>
        <v/>
      </c>
      <c r="AT503">
        <f>IF(T503&gt;=AM503-0.01,1,0)</f>
        <v/>
      </c>
      <c r="AU503">
        <f>IF(U503&gt;=AN503-0.01,1,0)</f>
        <v/>
      </c>
      <c r="AV503">
        <f>IF(V503&gt;=AO503-0.01,1,0)</f>
        <v/>
      </c>
      <c r="AW503">
        <f>IF(W503&gt;=AP503-0.01,1,0)</f>
        <v/>
      </c>
      <c r="AX503">
        <f>AQ503*AR503*AS503*AT503*AU503*AV503*AW503</f>
        <v/>
      </c>
      <c r="AY503">
        <f>Assumptions!$B$41</f>
        <v/>
      </c>
      <c r="AZ503">
        <f>Assumptions!$B$33</f>
        <v/>
      </c>
      <c r="BA503">
        <f>Assumptions!$B$32</f>
        <v/>
      </c>
      <c r="BB503">
        <f>Assumptions!$B$31</f>
        <v/>
      </c>
      <c r="BC503">
        <f>Assumptions!$B$30</f>
        <v/>
      </c>
      <c r="BD503">
        <f>Assumptions!$B$29</f>
        <v/>
      </c>
      <c r="BE503">
        <f>Assumptions!$B$28</f>
        <v/>
      </c>
      <c r="BF503">
        <f>P503*Assumptions!$B$141</f>
        <v/>
      </c>
      <c r="BG503">
        <f>P503*Assumptions!$B$128</f>
        <v/>
      </c>
      <c r="BH503">
        <f>P503*Assumptions!$B$129</f>
        <v/>
      </c>
      <c r="BI503">
        <f>P503*Assumptions!$B$14</f>
        <v/>
      </c>
      <c r="BJ503">
        <f>P503*Assumptions!$B$13</f>
        <v/>
      </c>
      <c r="BK503">
        <f>P503*Assumptions!$B$12</f>
        <v/>
      </c>
      <c r="BL503">
        <f>P503*Assumptions!$B$11</f>
        <v/>
      </c>
    </row>
    <row r="504">
      <c r="A504" t="inlineStr">
        <is>
          <t>4000M</t>
        </is>
      </c>
      <c r="B504">
        <f>Assumptions!$B$61</f>
        <v/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>
        <f>(1-C504)*Assumptions!$B$41+(1-D504)*Assumptions!$B$33+(1-E504)*Assumptions!$B$32+(1-F504)*Assumptions!$B$31+(1-G504)*Assumptions!$B$30+(1-H504)*Assumptions!$B$29+(1-I504)*Assumptions!$B$28</f>
        <v/>
      </c>
      <c r="K504">
        <f>C504*Assumptions!$B$141+D504*Assumptions!$B$128+E504*Assumptions!$B$129+F504*Assumptions!$B$14+G504*Assumptions!$B$13+H504*Assumptions!$B$12+I504*Assumptions!$B$11+Assumptions!$B$133+Assumptions!$B$137+Assumptions!$B$9</f>
        <v/>
      </c>
      <c r="L504">
        <f>B504-J504</f>
        <v/>
      </c>
      <c r="M504">
        <f>IF(K504&gt;0,IF(L504/K504&gt;=Assumptions!$B$37,1,0),0)</f>
        <v/>
      </c>
      <c r="N504">
        <f>K504+M504*Assumptions!$B$153</f>
        <v/>
      </c>
      <c r="O504">
        <f>L504+M504*Assumptions!$B$153*Assumptions!$B$37</f>
        <v/>
      </c>
      <c r="P504">
        <f>IF(N504&gt;0,O504/N504,0)</f>
        <v/>
      </c>
      <c r="Q504">
        <f>IF(C504=1,P504*Assumptions!$B$141,Assumptions!$B$41)</f>
        <v/>
      </c>
      <c r="R504">
        <f>IF(D504=1,P504*Assumptions!$B$128,Assumptions!$B$33)</f>
        <v/>
      </c>
      <c r="S504">
        <f>IF(E504=1,P504*Assumptions!$B$129,Assumptions!$B$32)</f>
        <v/>
      </c>
      <c r="T504">
        <f>IF(F504=1,P504*Assumptions!$B$14,Assumptions!$B$31)</f>
        <v/>
      </c>
      <c r="U504">
        <f>IF(G504=1,P504*Assumptions!$B$13,Assumptions!$B$30)</f>
        <v/>
      </c>
      <c r="V504">
        <f>IF(H504=1,P504*Assumptions!$B$12,Assumptions!$B$29)</f>
        <v/>
      </c>
      <c r="W504">
        <f>IF(I504=1,P504*Assumptions!$B$11,Assumptions!$B$28)</f>
        <v/>
      </c>
      <c r="X504">
        <f>P504*(Assumptions!$B$133+Assumptions!$B$137)</f>
        <v/>
      </c>
      <c r="Y504">
        <f>P504*Assumptions!$B$9</f>
        <v/>
      </c>
      <c r="Z504">
        <f>IF(M504=1,(P504-Assumptions!$B$37)*Assumptions!$B$153,0)</f>
        <v/>
      </c>
      <c r="AA504">
        <f>Q504+R504+S504+T504+U504+V504+W504+X504+Y504+Z504</f>
        <v/>
      </c>
      <c r="AB504" t="n">
        <v>69</v>
      </c>
      <c r="AC504" t="n">
        <v>5</v>
      </c>
      <c r="AD504" t="n">
        <v>101</v>
      </c>
      <c r="AE504" t="n">
        <v>85</v>
      </c>
      <c r="AF504" t="n">
        <v>77</v>
      </c>
      <c r="AG504" t="n">
        <v>65</v>
      </c>
      <c r="AH504" t="n">
        <v>71</v>
      </c>
      <c r="AI504" t="n">
        <v>68</v>
      </c>
      <c r="AJ504">
        <f>INDEX($Q$435:$Q$562,AC504+1)</f>
        <v/>
      </c>
      <c r="AK504">
        <f>INDEX($R$435:$R$562,AD504+1)</f>
        <v/>
      </c>
      <c r="AL504">
        <f>INDEX($S$435:$S$562,AE504+1)</f>
        <v/>
      </c>
      <c r="AM504">
        <f>INDEX($T$435:$T$562,AF504+1)</f>
        <v/>
      </c>
      <c r="AN504">
        <f>INDEX($U$435:$U$562,AG504+1)</f>
        <v/>
      </c>
      <c r="AO504">
        <f>INDEX($V$435:$V$562,AH504+1)</f>
        <v/>
      </c>
      <c r="AP504">
        <f>INDEX($W$435:$W$562,AI504+1)</f>
        <v/>
      </c>
      <c r="AQ504">
        <f>IF(Q504&gt;=AJ504-0.01,1,0)</f>
        <v/>
      </c>
      <c r="AR504">
        <f>IF(R504&gt;=AK504-0.01,1,0)</f>
        <v/>
      </c>
      <c r="AS504">
        <f>IF(S504&gt;=AL504-0.01,1,0)</f>
        <v/>
      </c>
      <c r="AT504">
        <f>IF(T504&gt;=AM504-0.01,1,0)</f>
        <v/>
      </c>
      <c r="AU504">
        <f>IF(U504&gt;=AN504-0.01,1,0)</f>
        <v/>
      </c>
      <c r="AV504">
        <f>IF(V504&gt;=AO504-0.01,1,0)</f>
        <v/>
      </c>
      <c r="AW504">
        <f>IF(W504&gt;=AP504-0.01,1,0)</f>
        <v/>
      </c>
      <c r="AX504">
        <f>AQ504*AR504*AS504*AT504*AU504*AV504*AW504</f>
        <v/>
      </c>
      <c r="AY504">
        <f>Assumptions!$B$41</f>
        <v/>
      </c>
      <c r="AZ504">
        <f>Assumptions!$B$33</f>
        <v/>
      </c>
      <c r="BA504">
        <f>Assumptions!$B$32</f>
        <v/>
      </c>
      <c r="BB504">
        <f>Assumptions!$B$31</f>
        <v/>
      </c>
      <c r="BC504">
        <f>Assumptions!$B$30</f>
        <v/>
      </c>
      <c r="BD504">
        <f>Assumptions!$B$29</f>
        <v/>
      </c>
      <c r="BE504">
        <f>Assumptions!$B$28</f>
        <v/>
      </c>
      <c r="BF504">
        <f>P504*Assumptions!$B$141</f>
        <v/>
      </c>
      <c r="BG504">
        <f>P504*Assumptions!$B$128</f>
        <v/>
      </c>
      <c r="BH504">
        <f>P504*Assumptions!$B$129</f>
        <v/>
      </c>
      <c r="BI504">
        <f>P504*Assumptions!$B$14</f>
        <v/>
      </c>
      <c r="BJ504">
        <f>P504*Assumptions!$B$13</f>
        <v/>
      </c>
      <c r="BK504">
        <f>P504*Assumptions!$B$12</f>
        <v/>
      </c>
      <c r="BL504">
        <f>P504*Assumptions!$B$11</f>
        <v/>
      </c>
    </row>
    <row r="505">
      <c r="A505" t="inlineStr">
        <is>
          <t>4000M</t>
        </is>
      </c>
      <c r="B505">
        <f>Assumptions!$B$61</f>
        <v/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>
        <f>(1-C505)*Assumptions!$B$41+(1-D505)*Assumptions!$B$33+(1-E505)*Assumptions!$B$32+(1-F505)*Assumptions!$B$31+(1-G505)*Assumptions!$B$30+(1-H505)*Assumptions!$B$29+(1-I505)*Assumptions!$B$28</f>
        <v/>
      </c>
      <c r="K505">
        <f>C505*Assumptions!$B$141+D505*Assumptions!$B$128+E505*Assumptions!$B$129+F505*Assumptions!$B$14+G505*Assumptions!$B$13+H505*Assumptions!$B$12+I505*Assumptions!$B$11+Assumptions!$B$133+Assumptions!$B$137+Assumptions!$B$9</f>
        <v/>
      </c>
      <c r="L505">
        <f>B505-J505</f>
        <v/>
      </c>
      <c r="M505">
        <f>IF(K505&gt;0,IF(L505/K505&gt;=Assumptions!$B$37,1,0),0)</f>
        <v/>
      </c>
      <c r="N505">
        <f>K505+M505*Assumptions!$B$153</f>
        <v/>
      </c>
      <c r="O505">
        <f>L505+M505*Assumptions!$B$153*Assumptions!$B$37</f>
        <v/>
      </c>
      <c r="P505">
        <f>IF(N505&gt;0,O505/N505,0)</f>
        <v/>
      </c>
      <c r="Q505">
        <f>IF(C505=1,P505*Assumptions!$B$141,Assumptions!$B$41)</f>
        <v/>
      </c>
      <c r="R505">
        <f>IF(D505=1,P505*Assumptions!$B$128,Assumptions!$B$33)</f>
        <v/>
      </c>
      <c r="S505">
        <f>IF(E505=1,P505*Assumptions!$B$129,Assumptions!$B$32)</f>
        <v/>
      </c>
      <c r="T505">
        <f>IF(F505=1,P505*Assumptions!$B$14,Assumptions!$B$31)</f>
        <v/>
      </c>
      <c r="U505">
        <f>IF(G505=1,P505*Assumptions!$B$13,Assumptions!$B$30)</f>
        <v/>
      </c>
      <c r="V505">
        <f>IF(H505=1,P505*Assumptions!$B$12,Assumptions!$B$29)</f>
        <v/>
      </c>
      <c r="W505">
        <f>IF(I505=1,P505*Assumptions!$B$11,Assumptions!$B$28)</f>
        <v/>
      </c>
      <c r="X505">
        <f>P505*(Assumptions!$B$133+Assumptions!$B$137)</f>
        <v/>
      </c>
      <c r="Y505">
        <f>P505*Assumptions!$B$9</f>
        <v/>
      </c>
      <c r="Z505">
        <f>IF(M505=1,(P505-Assumptions!$B$37)*Assumptions!$B$153,0)</f>
        <v/>
      </c>
      <c r="AA505">
        <f>Q505+R505+S505+T505+U505+V505+W505+X505+Y505+Z505</f>
        <v/>
      </c>
      <c r="AB505" t="n">
        <v>70</v>
      </c>
      <c r="AC505" t="n">
        <v>6</v>
      </c>
      <c r="AD505" t="n">
        <v>102</v>
      </c>
      <c r="AE505" t="n">
        <v>86</v>
      </c>
      <c r="AF505" t="n">
        <v>78</v>
      </c>
      <c r="AG505" t="n">
        <v>66</v>
      </c>
      <c r="AH505" t="n">
        <v>68</v>
      </c>
      <c r="AI505" t="n">
        <v>71</v>
      </c>
      <c r="AJ505">
        <f>INDEX($Q$435:$Q$562,AC505+1)</f>
        <v/>
      </c>
      <c r="AK505">
        <f>INDEX($R$435:$R$562,AD505+1)</f>
        <v/>
      </c>
      <c r="AL505">
        <f>INDEX($S$435:$S$562,AE505+1)</f>
        <v/>
      </c>
      <c r="AM505">
        <f>INDEX($T$435:$T$562,AF505+1)</f>
        <v/>
      </c>
      <c r="AN505">
        <f>INDEX($U$435:$U$562,AG505+1)</f>
        <v/>
      </c>
      <c r="AO505">
        <f>INDEX($V$435:$V$562,AH505+1)</f>
        <v/>
      </c>
      <c r="AP505">
        <f>INDEX($W$435:$W$562,AI505+1)</f>
        <v/>
      </c>
      <c r="AQ505">
        <f>IF(Q505&gt;=AJ505-0.01,1,0)</f>
        <v/>
      </c>
      <c r="AR505">
        <f>IF(R505&gt;=AK505-0.01,1,0)</f>
        <v/>
      </c>
      <c r="AS505">
        <f>IF(S505&gt;=AL505-0.01,1,0)</f>
        <v/>
      </c>
      <c r="AT505">
        <f>IF(T505&gt;=AM505-0.01,1,0)</f>
        <v/>
      </c>
      <c r="AU505">
        <f>IF(U505&gt;=AN505-0.01,1,0)</f>
        <v/>
      </c>
      <c r="AV505">
        <f>IF(V505&gt;=AO505-0.01,1,0)</f>
        <v/>
      </c>
      <c r="AW505">
        <f>IF(W505&gt;=AP505-0.01,1,0)</f>
        <v/>
      </c>
      <c r="AX505">
        <f>AQ505*AR505*AS505*AT505*AU505*AV505*AW505</f>
        <v/>
      </c>
      <c r="AY505">
        <f>Assumptions!$B$41</f>
        <v/>
      </c>
      <c r="AZ505">
        <f>Assumptions!$B$33</f>
        <v/>
      </c>
      <c r="BA505">
        <f>Assumptions!$B$32</f>
        <v/>
      </c>
      <c r="BB505">
        <f>Assumptions!$B$31</f>
        <v/>
      </c>
      <c r="BC505">
        <f>Assumptions!$B$30</f>
        <v/>
      </c>
      <c r="BD505">
        <f>Assumptions!$B$29</f>
        <v/>
      </c>
      <c r="BE505">
        <f>Assumptions!$B$28</f>
        <v/>
      </c>
      <c r="BF505">
        <f>P505*Assumptions!$B$141</f>
        <v/>
      </c>
      <c r="BG505">
        <f>P505*Assumptions!$B$128</f>
        <v/>
      </c>
      <c r="BH505">
        <f>P505*Assumptions!$B$129</f>
        <v/>
      </c>
      <c r="BI505">
        <f>P505*Assumptions!$B$14</f>
        <v/>
      </c>
      <c r="BJ505">
        <f>P505*Assumptions!$B$13</f>
        <v/>
      </c>
      <c r="BK505">
        <f>P505*Assumptions!$B$12</f>
        <v/>
      </c>
      <c r="BL505">
        <f>P505*Assumptions!$B$11</f>
        <v/>
      </c>
    </row>
    <row r="506">
      <c r="A506" t="inlineStr">
        <is>
          <t>4000M</t>
        </is>
      </c>
      <c r="B506">
        <f>Assumptions!$B$61</f>
        <v/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>
        <f>(1-C506)*Assumptions!$B$41+(1-D506)*Assumptions!$B$33+(1-E506)*Assumptions!$B$32+(1-F506)*Assumptions!$B$31+(1-G506)*Assumptions!$B$30+(1-H506)*Assumptions!$B$29+(1-I506)*Assumptions!$B$28</f>
        <v/>
      </c>
      <c r="K506">
        <f>C506*Assumptions!$B$141+D506*Assumptions!$B$128+E506*Assumptions!$B$129+F506*Assumptions!$B$14+G506*Assumptions!$B$13+H506*Assumptions!$B$12+I506*Assumptions!$B$11+Assumptions!$B$133+Assumptions!$B$137+Assumptions!$B$9</f>
        <v/>
      </c>
      <c r="L506">
        <f>B506-J506</f>
        <v/>
      </c>
      <c r="M506">
        <f>IF(K506&gt;0,IF(L506/K506&gt;=Assumptions!$B$37,1,0),0)</f>
        <v/>
      </c>
      <c r="N506">
        <f>K506+M506*Assumptions!$B$153</f>
        <v/>
      </c>
      <c r="O506">
        <f>L506+M506*Assumptions!$B$153*Assumptions!$B$37</f>
        <v/>
      </c>
      <c r="P506">
        <f>IF(N506&gt;0,O506/N506,0)</f>
        <v/>
      </c>
      <c r="Q506">
        <f>IF(C506=1,P506*Assumptions!$B$141,Assumptions!$B$41)</f>
        <v/>
      </c>
      <c r="R506">
        <f>IF(D506=1,P506*Assumptions!$B$128,Assumptions!$B$33)</f>
        <v/>
      </c>
      <c r="S506">
        <f>IF(E506=1,P506*Assumptions!$B$129,Assumptions!$B$32)</f>
        <v/>
      </c>
      <c r="T506">
        <f>IF(F506=1,P506*Assumptions!$B$14,Assumptions!$B$31)</f>
        <v/>
      </c>
      <c r="U506">
        <f>IF(G506=1,P506*Assumptions!$B$13,Assumptions!$B$30)</f>
        <v/>
      </c>
      <c r="V506">
        <f>IF(H506=1,P506*Assumptions!$B$12,Assumptions!$B$29)</f>
        <v/>
      </c>
      <c r="W506">
        <f>IF(I506=1,P506*Assumptions!$B$11,Assumptions!$B$28)</f>
        <v/>
      </c>
      <c r="X506">
        <f>P506*(Assumptions!$B$133+Assumptions!$B$137)</f>
        <v/>
      </c>
      <c r="Y506">
        <f>P506*Assumptions!$B$9</f>
        <v/>
      </c>
      <c r="Z506">
        <f>IF(M506=1,(P506-Assumptions!$B$37)*Assumptions!$B$153,0)</f>
        <v/>
      </c>
      <c r="AA506">
        <f>Q506+R506+S506+T506+U506+V506+W506+X506+Y506+Z506</f>
        <v/>
      </c>
      <c r="AB506" t="n">
        <v>71</v>
      </c>
      <c r="AC506" t="n">
        <v>7</v>
      </c>
      <c r="AD506" t="n">
        <v>103</v>
      </c>
      <c r="AE506" t="n">
        <v>87</v>
      </c>
      <c r="AF506" t="n">
        <v>79</v>
      </c>
      <c r="AG506" t="n">
        <v>67</v>
      </c>
      <c r="AH506" t="n">
        <v>69</v>
      </c>
      <c r="AI506" t="n">
        <v>70</v>
      </c>
      <c r="AJ506">
        <f>INDEX($Q$435:$Q$562,AC506+1)</f>
        <v/>
      </c>
      <c r="AK506">
        <f>INDEX($R$435:$R$562,AD506+1)</f>
        <v/>
      </c>
      <c r="AL506">
        <f>INDEX($S$435:$S$562,AE506+1)</f>
        <v/>
      </c>
      <c r="AM506">
        <f>INDEX($T$435:$T$562,AF506+1)</f>
        <v/>
      </c>
      <c r="AN506">
        <f>INDEX($U$435:$U$562,AG506+1)</f>
        <v/>
      </c>
      <c r="AO506">
        <f>INDEX($V$435:$V$562,AH506+1)</f>
        <v/>
      </c>
      <c r="AP506">
        <f>INDEX($W$435:$W$562,AI506+1)</f>
        <v/>
      </c>
      <c r="AQ506">
        <f>IF(Q506&gt;=AJ506-0.01,1,0)</f>
        <v/>
      </c>
      <c r="AR506">
        <f>IF(R506&gt;=AK506-0.01,1,0)</f>
        <v/>
      </c>
      <c r="AS506">
        <f>IF(S506&gt;=AL506-0.01,1,0)</f>
        <v/>
      </c>
      <c r="AT506">
        <f>IF(T506&gt;=AM506-0.01,1,0)</f>
        <v/>
      </c>
      <c r="AU506">
        <f>IF(U506&gt;=AN506-0.01,1,0)</f>
        <v/>
      </c>
      <c r="AV506">
        <f>IF(V506&gt;=AO506-0.01,1,0)</f>
        <v/>
      </c>
      <c r="AW506">
        <f>IF(W506&gt;=AP506-0.01,1,0)</f>
        <v/>
      </c>
      <c r="AX506">
        <f>AQ506*AR506*AS506*AT506*AU506*AV506*AW506</f>
        <v/>
      </c>
      <c r="AY506">
        <f>Assumptions!$B$41</f>
        <v/>
      </c>
      <c r="AZ506">
        <f>Assumptions!$B$33</f>
        <v/>
      </c>
      <c r="BA506">
        <f>Assumptions!$B$32</f>
        <v/>
      </c>
      <c r="BB506">
        <f>Assumptions!$B$31</f>
        <v/>
      </c>
      <c r="BC506">
        <f>Assumptions!$B$30</f>
        <v/>
      </c>
      <c r="BD506">
        <f>Assumptions!$B$29</f>
        <v/>
      </c>
      <c r="BE506">
        <f>Assumptions!$B$28</f>
        <v/>
      </c>
      <c r="BF506">
        <f>P506*Assumptions!$B$141</f>
        <v/>
      </c>
      <c r="BG506">
        <f>P506*Assumptions!$B$128</f>
        <v/>
      </c>
      <c r="BH506">
        <f>P506*Assumptions!$B$129</f>
        <v/>
      </c>
      <c r="BI506">
        <f>P506*Assumptions!$B$14</f>
        <v/>
      </c>
      <c r="BJ506">
        <f>P506*Assumptions!$B$13</f>
        <v/>
      </c>
      <c r="BK506">
        <f>P506*Assumptions!$B$12</f>
        <v/>
      </c>
      <c r="BL506">
        <f>P506*Assumptions!$B$11</f>
        <v/>
      </c>
    </row>
    <row r="507">
      <c r="A507" t="inlineStr">
        <is>
          <t>4000M</t>
        </is>
      </c>
      <c r="B507">
        <f>Assumptions!$B$61</f>
        <v/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>
        <f>(1-C507)*Assumptions!$B$41+(1-D507)*Assumptions!$B$33+(1-E507)*Assumptions!$B$32+(1-F507)*Assumptions!$B$31+(1-G507)*Assumptions!$B$30+(1-H507)*Assumptions!$B$29+(1-I507)*Assumptions!$B$28</f>
        <v/>
      </c>
      <c r="K507">
        <f>C507*Assumptions!$B$141+D507*Assumptions!$B$128+E507*Assumptions!$B$129+F507*Assumptions!$B$14+G507*Assumptions!$B$13+H507*Assumptions!$B$12+I507*Assumptions!$B$11+Assumptions!$B$133+Assumptions!$B$137+Assumptions!$B$9</f>
        <v/>
      </c>
      <c r="L507">
        <f>B507-J507</f>
        <v/>
      </c>
      <c r="M507">
        <f>IF(K507&gt;0,IF(L507/K507&gt;=Assumptions!$B$37,1,0),0)</f>
        <v/>
      </c>
      <c r="N507">
        <f>K507+M507*Assumptions!$B$153</f>
        <v/>
      </c>
      <c r="O507">
        <f>L507+M507*Assumptions!$B$153*Assumptions!$B$37</f>
        <v/>
      </c>
      <c r="P507">
        <f>IF(N507&gt;0,O507/N507,0)</f>
        <v/>
      </c>
      <c r="Q507">
        <f>IF(C507=1,P507*Assumptions!$B$141,Assumptions!$B$41)</f>
        <v/>
      </c>
      <c r="R507">
        <f>IF(D507=1,P507*Assumptions!$B$128,Assumptions!$B$33)</f>
        <v/>
      </c>
      <c r="S507">
        <f>IF(E507=1,P507*Assumptions!$B$129,Assumptions!$B$32)</f>
        <v/>
      </c>
      <c r="T507">
        <f>IF(F507=1,P507*Assumptions!$B$14,Assumptions!$B$31)</f>
        <v/>
      </c>
      <c r="U507">
        <f>IF(G507=1,P507*Assumptions!$B$13,Assumptions!$B$30)</f>
        <v/>
      </c>
      <c r="V507">
        <f>IF(H507=1,P507*Assumptions!$B$12,Assumptions!$B$29)</f>
        <v/>
      </c>
      <c r="W507">
        <f>IF(I507=1,P507*Assumptions!$B$11,Assumptions!$B$28)</f>
        <v/>
      </c>
      <c r="X507">
        <f>P507*(Assumptions!$B$133+Assumptions!$B$137)</f>
        <v/>
      </c>
      <c r="Y507">
        <f>P507*Assumptions!$B$9</f>
        <v/>
      </c>
      <c r="Z507">
        <f>IF(M507=1,(P507-Assumptions!$B$37)*Assumptions!$B$153,0)</f>
        <v/>
      </c>
      <c r="AA507">
        <f>Q507+R507+S507+T507+U507+V507+W507+X507+Y507+Z507</f>
        <v/>
      </c>
      <c r="AB507" t="n">
        <v>72</v>
      </c>
      <c r="AC507" t="n">
        <v>8</v>
      </c>
      <c r="AD507" t="n">
        <v>104</v>
      </c>
      <c r="AE507" t="n">
        <v>88</v>
      </c>
      <c r="AF507" t="n">
        <v>64</v>
      </c>
      <c r="AG507" t="n">
        <v>76</v>
      </c>
      <c r="AH507" t="n">
        <v>74</v>
      </c>
      <c r="AI507" t="n">
        <v>73</v>
      </c>
      <c r="AJ507">
        <f>INDEX($Q$435:$Q$562,AC507+1)</f>
        <v/>
      </c>
      <c r="AK507">
        <f>INDEX($R$435:$R$562,AD507+1)</f>
        <v/>
      </c>
      <c r="AL507">
        <f>INDEX($S$435:$S$562,AE507+1)</f>
        <v/>
      </c>
      <c r="AM507">
        <f>INDEX($T$435:$T$562,AF507+1)</f>
        <v/>
      </c>
      <c r="AN507">
        <f>INDEX($U$435:$U$562,AG507+1)</f>
        <v/>
      </c>
      <c r="AO507">
        <f>INDEX($V$435:$V$562,AH507+1)</f>
        <v/>
      </c>
      <c r="AP507">
        <f>INDEX($W$435:$W$562,AI507+1)</f>
        <v/>
      </c>
      <c r="AQ507">
        <f>IF(Q507&gt;=AJ507-0.01,1,0)</f>
        <v/>
      </c>
      <c r="AR507">
        <f>IF(R507&gt;=AK507-0.01,1,0)</f>
        <v/>
      </c>
      <c r="AS507">
        <f>IF(S507&gt;=AL507-0.01,1,0)</f>
        <v/>
      </c>
      <c r="AT507">
        <f>IF(T507&gt;=AM507-0.01,1,0)</f>
        <v/>
      </c>
      <c r="AU507">
        <f>IF(U507&gt;=AN507-0.01,1,0)</f>
        <v/>
      </c>
      <c r="AV507">
        <f>IF(V507&gt;=AO507-0.01,1,0)</f>
        <v/>
      </c>
      <c r="AW507">
        <f>IF(W507&gt;=AP507-0.01,1,0)</f>
        <v/>
      </c>
      <c r="AX507">
        <f>AQ507*AR507*AS507*AT507*AU507*AV507*AW507</f>
        <v/>
      </c>
      <c r="AY507">
        <f>Assumptions!$B$41</f>
        <v/>
      </c>
      <c r="AZ507">
        <f>Assumptions!$B$33</f>
        <v/>
      </c>
      <c r="BA507">
        <f>Assumptions!$B$32</f>
        <v/>
      </c>
      <c r="BB507">
        <f>Assumptions!$B$31</f>
        <v/>
      </c>
      <c r="BC507">
        <f>Assumptions!$B$30</f>
        <v/>
      </c>
      <c r="BD507">
        <f>Assumptions!$B$29</f>
        <v/>
      </c>
      <c r="BE507">
        <f>Assumptions!$B$28</f>
        <v/>
      </c>
      <c r="BF507">
        <f>P507*Assumptions!$B$141</f>
        <v/>
      </c>
      <c r="BG507">
        <f>P507*Assumptions!$B$128</f>
        <v/>
      </c>
      <c r="BH507">
        <f>P507*Assumptions!$B$129</f>
        <v/>
      </c>
      <c r="BI507">
        <f>P507*Assumptions!$B$14</f>
        <v/>
      </c>
      <c r="BJ507">
        <f>P507*Assumptions!$B$13</f>
        <v/>
      </c>
      <c r="BK507">
        <f>P507*Assumptions!$B$12</f>
        <v/>
      </c>
      <c r="BL507">
        <f>P507*Assumptions!$B$11</f>
        <v/>
      </c>
    </row>
    <row r="508">
      <c r="A508" t="inlineStr">
        <is>
          <t>4000M</t>
        </is>
      </c>
      <c r="B508">
        <f>Assumptions!$B$61</f>
        <v/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>
        <f>(1-C508)*Assumptions!$B$41+(1-D508)*Assumptions!$B$33+(1-E508)*Assumptions!$B$32+(1-F508)*Assumptions!$B$31+(1-G508)*Assumptions!$B$30+(1-H508)*Assumptions!$B$29+(1-I508)*Assumptions!$B$28</f>
        <v/>
      </c>
      <c r="K508">
        <f>C508*Assumptions!$B$141+D508*Assumptions!$B$128+E508*Assumptions!$B$129+F508*Assumptions!$B$14+G508*Assumptions!$B$13+H508*Assumptions!$B$12+I508*Assumptions!$B$11+Assumptions!$B$133+Assumptions!$B$137+Assumptions!$B$9</f>
        <v/>
      </c>
      <c r="L508">
        <f>B508-J508</f>
        <v/>
      </c>
      <c r="M508">
        <f>IF(K508&gt;0,IF(L508/K508&gt;=Assumptions!$B$37,1,0),0)</f>
        <v/>
      </c>
      <c r="N508">
        <f>K508+M508*Assumptions!$B$153</f>
        <v/>
      </c>
      <c r="O508">
        <f>L508+M508*Assumptions!$B$153*Assumptions!$B$37</f>
        <v/>
      </c>
      <c r="P508">
        <f>IF(N508&gt;0,O508/N508,0)</f>
        <v/>
      </c>
      <c r="Q508">
        <f>IF(C508=1,P508*Assumptions!$B$141,Assumptions!$B$41)</f>
        <v/>
      </c>
      <c r="R508">
        <f>IF(D508=1,P508*Assumptions!$B$128,Assumptions!$B$33)</f>
        <v/>
      </c>
      <c r="S508">
        <f>IF(E508=1,P508*Assumptions!$B$129,Assumptions!$B$32)</f>
        <v/>
      </c>
      <c r="T508">
        <f>IF(F508=1,P508*Assumptions!$B$14,Assumptions!$B$31)</f>
        <v/>
      </c>
      <c r="U508">
        <f>IF(G508=1,P508*Assumptions!$B$13,Assumptions!$B$30)</f>
        <v/>
      </c>
      <c r="V508">
        <f>IF(H508=1,P508*Assumptions!$B$12,Assumptions!$B$29)</f>
        <v/>
      </c>
      <c r="W508">
        <f>IF(I508=1,P508*Assumptions!$B$11,Assumptions!$B$28)</f>
        <v/>
      </c>
      <c r="X508">
        <f>P508*(Assumptions!$B$133+Assumptions!$B$137)</f>
        <v/>
      </c>
      <c r="Y508">
        <f>P508*Assumptions!$B$9</f>
        <v/>
      </c>
      <c r="Z508">
        <f>IF(M508=1,(P508-Assumptions!$B$37)*Assumptions!$B$153,0)</f>
        <v/>
      </c>
      <c r="AA508">
        <f>Q508+R508+S508+T508+U508+V508+W508+X508+Y508+Z508</f>
        <v/>
      </c>
      <c r="AB508" t="n">
        <v>73</v>
      </c>
      <c r="AC508" t="n">
        <v>9</v>
      </c>
      <c r="AD508" t="n">
        <v>105</v>
      </c>
      <c r="AE508" t="n">
        <v>89</v>
      </c>
      <c r="AF508" t="n">
        <v>65</v>
      </c>
      <c r="AG508" t="n">
        <v>77</v>
      </c>
      <c r="AH508" t="n">
        <v>75</v>
      </c>
      <c r="AI508" t="n">
        <v>72</v>
      </c>
      <c r="AJ508">
        <f>INDEX($Q$435:$Q$562,AC508+1)</f>
        <v/>
      </c>
      <c r="AK508">
        <f>INDEX($R$435:$R$562,AD508+1)</f>
        <v/>
      </c>
      <c r="AL508">
        <f>INDEX($S$435:$S$562,AE508+1)</f>
        <v/>
      </c>
      <c r="AM508">
        <f>INDEX($T$435:$T$562,AF508+1)</f>
        <v/>
      </c>
      <c r="AN508">
        <f>INDEX($U$435:$U$562,AG508+1)</f>
        <v/>
      </c>
      <c r="AO508">
        <f>INDEX($V$435:$V$562,AH508+1)</f>
        <v/>
      </c>
      <c r="AP508">
        <f>INDEX($W$435:$W$562,AI508+1)</f>
        <v/>
      </c>
      <c r="AQ508">
        <f>IF(Q508&gt;=AJ508-0.01,1,0)</f>
        <v/>
      </c>
      <c r="AR508">
        <f>IF(R508&gt;=AK508-0.01,1,0)</f>
        <v/>
      </c>
      <c r="AS508">
        <f>IF(S508&gt;=AL508-0.01,1,0)</f>
        <v/>
      </c>
      <c r="AT508">
        <f>IF(T508&gt;=AM508-0.01,1,0)</f>
        <v/>
      </c>
      <c r="AU508">
        <f>IF(U508&gt;=AN508-0.01,1,0)</f>
        <v/>
      </c>
      <c r="AV508">
        <f>IF(V508&gt;=AO508-0.01,1,0)</f>
        <v/>
      </c>
      <c r="AW508">
        <f>IF(W508&gt;=AP508-0.01,1,0)</f>
        <v/>
      </c>
      <c r="AX508">
        <f>AQ508*AR508*AS508*AT508*AU508*AV508*AW508</f>
        <v/>
      </c>
      <c r="AY508">
        <f>Assumptions!$B$41</f>
        <v/>
      </c>
      <c r="AZ508">
        <f>Assumptions!$B$33</f>
        <v/>
      </c>
      <c r="BA508">
        <f>Assumptions!$B$32</f>
        <v/>
      </c>
      <c r="BB508">
        <f>Assumptions!$B$31</f>
        <v/>
      </c>
      <c r="BC508">
        <f>Assumptions!$B$30</f>
        <v/>
      </c>
      <c r="BD508">
        <f>Assumptions!$B$29</f>
        <v/>
      </c>
      <c r="BE508">
        <f>Assumptions!$B$28</f>
        <v/>
      </c>
      <c r="BF508">
        <f>P508*Assumptions!$B$141</f>
        <v/>
      </c>
      <c r="BG508">
        <f>P508*Assumptions!$B$128</f>
        <v/>
      </c>
      <c r="BH508">
        <f>P508*Assumptions!$B$129</f>
        <v/>
      </c>
      <c r="BI508">
        <f>P508*Assumptions!$B$14</f>
        <v/>
      </c>
      <c r="BJ508">
        <f>P508*Assumptions!$B$13</f>
        <v/>
      </c>
      <c r="BK508">
        <f>P508*Assumptions!$B$12</f>
        <v/>
      </c>
      <c r="BL508">
        <f>P508*Assumptions!$B$11</f>
        <v/>
      </c>
    </row>
    <row r="509">
      <c r="A509" t="inlineStr">
        <is>
          <t>4000M</t>
        </is>
      </c>
      <c r="B509">
        <f>Assumptions!$B$61</f>
        <v/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>
        <f>(1-C509)*Assumptions!$B$41+(1-D509)*Assumptions!$B$33+(1-E509)*Assumptions!$B$32+(1-F509)*Assumptions!$B$31+(1-G509)*Assumptions!$B$30+(1-H509)*Assumptions!$B$29+(1-I509)*Assumptions!$B$28</f>
        <v/>
      </c>
      <c r="K509">
        <f>C509*Assumptions!$B$141+D509*Assumptions!$B$128+E509*Assumptions!$B$129+F509*Assumptions!$B$14+G509*Assumptions!$B$13+H509*Assumptions!$B$12+I509*Assumptions!$B$11+Assumptions!$B$133+Assumptions!$B$137+Assumptions!$B$9</f>
        <v/>
      </c>
      <c r="L509">
        <f>B509-J509</f>
        <v/>
      </c>
      <c r="M509">
        <f>IF(K509&gt;0,IF(L509/K509&gt;=Assumptions!$B$37,1,0),0)</f>
        <v/>
      </c>
      <c r="N509">
        <f>K509+M509*Assumptions!$B$153</f>
        <v/>
      </c>
      <c r="O509">
        <f>L509+M509*Assumptions!$B$153*Assumptions!$B$37</f>
        <v/>
      </c>
      <c r="P509">
        <f>IF(N509&gt;0,O509/N509,0)</f>
        <v/>
      </c>
      <c r="Q509">
        <f>IF(C509=1,P509*Assumptions!$B$141,Assumptions!$B$41)</f>
        <v/>
      </c>
      <c r="R509">
        <f>IF(D509=1,P509*Assumptions!$B$128,Assumptions!$B$33)</f>
        <v/>
      </c>
      <c r="S509">
        <f>IF(E509=1,P509*Assumptions!$B$129,Assumptions!$B$32)</f>
        <v/>
      </c>
      <c r="T509">
        <f>IF(F509=1,P509*Assumptions!$B$14,Assumptions!$B$31)</f>
        <v/>
      </c>
      <c r="U509">
        <f>IF(G509=1,P509*Assumptions!$B$13,Assumptions!$B$30)</f>
        <v/>
      </c>
      <c r="V509">
        <f>IF(H509=1,P509*Assumptions!$B$12,Assumptions!$B$29)</f>
        <v/>
      </c>
      <c r="W509">
        <f>IF(I509=1,P509*Assumptions!$B$11,Assumptions!$B$28)</f>
        <v/>
      </c>
      <c r="X509">
        <f>P509*(Assumptions!$B$133+Assumptions!$B$137)</f>
        <v/>
      </c>
      <c r="Y509">
        <f>P509*Assumptions!$B$9</f>
        <v/>
      </c>
      <c r="Z509">
        <f>IF(M509=1,(P509-Assumptions!$B$37)*Assumptions!$B$153,0)</f>
        <v/>
      </c>
      <c r="AA509">
        <f>Q509+R509+S509+T509+U509+V509+W509+X509+Y509+Z509</f>
        <v/>
      </c>
      <c r="AB509" t="n">
        <v>74</v>
      </c>
      <c r="AC509" t="n">
        <v>10</v>
      </c>
      <c r="AD509" t="n">
        <v>106</v>
      </c>
      <c r="AE509" t="n">
        <v>90</v>
      </c>
      <c r="AF509" t="n">
        <v>66</v>
      </c>
      <c r="AG509" t="n">
        <v>78</v>
      </c>
      <c r="AH509" t="n">
        <v>72</v>
      </c>
      <c r="AI509" t="n">
        <v>75</v>
      </c>
      <c r="AJ509">
        <f>INDEX($Q$435:$Q$562,AC509+1)</f>
        <v/>
      </c>
      <c r="AK509">
        <f>INDEX($R$435:$R$562,AD509+1)</f>
        <v/>
      </c>
      <c r="AL509">
        <f>INDEX($S$435:$S$562,AE509+1)</f>
        <v/>
      </c>
      <c r="AM509">
        <f>INDEX($T$435:$T$562,AF509+1)</f>
        <v/>
      </c>
      <c r="AN509">
        <f>INDEX($U$435:$U$562,AG509+1)</f>
        <v/>
      </c>
      <c r="AO509">
        <f>INDEX($V$435:$V$562,AH509+1)</f>
        <v/>
      </c>
      <c r="AP509">
        <f>INDEX($W$435:$W$562,AI509+1)</f>
        <v/>
      </c>
      <c r="AQ509">
        <f>IF(Q509&gt;=AJ509-0.01,1,0)</f>
        <v/>
      </c>
      <c r="AR509">
        <f>IF(R509&gt;=AK509-0.01,1,0)</f>
        <v/>
      </c>
      <c r="AS509">
        <f>IF(S509&gt;=AL509-0.01,1,0)</f>
        <v/>
      </c>
      <c r="AT509">
        <f>IF(T509&gt;=AM509-0.01,1,0)</f>
        <v/>
      </c>
      <c r="AU509">
        <f>IF(U509&gt;=AN509-0.01,1,0)</f>
        <v/>
      </c>
      <c r="AV509">
        <f>IF(V509&gt;=AO509-0.01,1,0)</f>
        <v/>
      </c>
      <c r="AW509">
        <f>IF(W509&gt;=AP509-0.01,1,0)</f>
        <v/>
      </c>
      <c r="AX509">
        <f>AQ509*AR509*AS509*AT509*AU509*AV509*AW509</f>
        <v/>
      </c>
      <c r="AY509">
        <f>Assumptions!$B$41</f>
        <v/>
      </c>
      <c r="AZ509">
        <f>Assumptions!$B$33</f>
        <v/>
      </c>
      <c r="BA509">
        <f>Assumptions!$B$32</f>
        <v/>
      </c>
      <c r="BB509">
        <f>Assumptions!$B$31</f>
        <v/>
      </c>
      <c r="BC509">
        <f>Assumptions!$B$30</f>
        <v/>
      </c>
      <c r="BD509">
        <f>Assumptions!$B$29</f>
        <v/>
      </c>
      <c r="BE509">
        <f>Assumptions!$B$28</f>
        <v/>
      </c>
      <c r="BF509">
        <f>P509*Assumptions!$B$141</f>
        <v/>
      </c>
      <c r="BG509">
        <f>P509*Assumptions!$B$128</f>
        <v/>
      </c>
      <c r="BH509">
        <f>P509*Assumptions!$B$129</f>
        <v/>
      </c>
      <c r="BI509">
        <f>P509*Assumptions!$B$14</f>
        <v/>
      </c>
      <c r="BJ509">
        <f>P509*Assumptions!$B$13</f>
        <v/>
      </c>
      <c r="BK509">
        <f>P509*Assumptions!$B$12</f>
        <v/>
      </c>
      <c r="BL509">
        <f>P509*Assumptions!$B$11</f>
        <v/>
      </c>
    </row>
    <row r="510">
      <c r="A510" t="inlineStr">
        <is>
          <t>4000M</t>
        </is>
      </c>
      <c r="B510">
        <f>Assumptions!$B$61</f>
        <v/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>
        <f>(1-C510)*Assumptions!$B$41+(1-D510)*Assumptions!$B$33+(1-E510)*Assumptions!$B$32+(1-F510)*Assumptions!$B$31+(1-G510)*Assumptions!$B$30+(1-H510)*Assumptions!$B$29+(1-I510)*Assumptions!$B$28</f>
        <v/>
      </c>
      <c r="K510">
        <f>C510*Assumptions!$B$141+D510*Assumptions!$B$128+E510*Assumptions!$B$129+F510*Assumptions!$B$14+G510*Assumptions!$B$13+H510*Assumptions!$B$12+I510*Assumptions!$B$11+Assumptions!$B$133+Assumptions!$B$137+Assumptions!$B$9</f>
        <v/>
      </c>
      <c r="L510">
        <f>B510-J510</f>
        <v/>
      </c>
      <c r="M510">
        <f>IF(K510&gt;0,IF(L510/K510&gt;=Assumptions!$B$37,1,0),0)</f>
        <v/>
      </c>
      <c r="N510">
        <f>K510+M510*Assumptions!$B$153</f>
        <v/>
      </c>
      <c r="O510">
        <f>L510+M510*Assumptions!$B$153*Assumptions!$B$37</f>
        <v/>
      </c>
      <c r="P510">
        <f>IF(N510&gt;0,O510/N510,0)</f>
        <v/>
      </c>
      <c r="Q510">
        <f>IF(C510=1,P510*Assumptions!$B$141,Assumptions!$B$41)</f>
        <v/>
      </c>
      <c r="R510">
        <f>IF(D510=1,P510*Assumptions!$B$128,Assumptions!$B$33)</f>
        <v/>
      </c>
      <c r="S510">
        <f>IF(E510=1,P510*Assumptions!$B$129,Assumptions!$B$32)</f>
        <v/>
      </c>
      <c r="T510">
        <f>IF(F510=1,P510*Assumptions!$B$14,Assumptions!$B$31)</f>
        <v/>
      </c>
      <c r="U510">
        <f>IF(G510=1,P510*Assumptions!$B$13,Assumptions!$B$30)</f>
        <v/>
      </c>
      <c r="V510">
        <f>IF(H510=1,P510*Assumptions!$B$12,Assumptions!$B$29)</f>
        <v/>
      </c>
      <c r="W510">
        <f>IF(I510=1,P510*Assumptions!$B$11,Assumptions!$B$28)</f>
        <v/>
      </c>
      <c r="X510">
        <f>P510*(Assumptions!$B$133+Assumptions!$B$137)</f>
        <v/>
      </c>
      <c r="Y510">
        <f>P510*Assumptions!$B$9</f>
        <v/>
      </c>
      <c r="Z510">
        <f>IF(M510=1,(P510-Assumptions!$B$37)*Assumptions!$B$153,0)</f>
        <v/>
      </c>
      <c r="AA510">
        <f>Q510+R510+S510+T510+U510+V510+W510+X510+Y510+Z510</f>
        <v/>
      </c>
      <c r="AB510" t="n">
        <v>75</v>
      </c>
      <c r="AC510" t="n">
        <v>11</v>
      </c>
      <c r="AD510" t="n">
        <v>107</v>
      </c>
      <c r="AE510" t="n">
        <v>91</v>
      </c>
      <c r="AF510" t="n">
        <v>67</v>
      </c>
      <c r="AG510" t="n">
        <v>79</v>
      </c>
      <c r="AH510" t="n">
        <v>73</v>
      </c>
      <c r="AI510" t="n">
        <v>74</v>
      </c>
      <c r="AJ510">
        <f>INDEX($Q$435:$Q$562,AC510+1)</f>
        <v/>
      </c>
      <c r="AK510">
        <f>INDEX($R$435:$R$562,AD510+1)</f>
        <v/>
      </c>
      <c r="AL510">
        <f>INDEX($S$435:$S$562,AE510+1)</f>
        <v/>
      </c>
      <c r="AM510">
        <f>INDEX($T$435:$T$562,AF510+1)</f>
        <v/>
      </c>
      <c r="AN510">
        <f>INDEX($U$435:$U$562,AG510+1)</f>
        <v/>
      </c>
      <c r="AO510">
        <f>INDEX($V$435:$V$562,AH510+1)</f>
        <v/>
      </c>
      <c r="AP510">
        <f>INDEX($W$435:$W$562,AI510+1)</f>
        <v/>
      </c>
      <c r="AQ510">
        <f>IF(Q510&gt;=AJ510-0.01,1,0)</f>
        <v/>
      </c>
      <c r="AR510">
        <f>IF(R510&gt;=AK510-0.01,1,0)</f>
        <v/>
      </c>
      <c r="AS510">
        <f>IF(S510&gt;=AL510-0.01,1,0)</f>
        <v/>
      </c>
      <c r="AT510">
        <f>IF(T510&gt;=AM510-0.01,1,0)</f>
        <v/>
      </c>
      <c r="AU510">
        <f>IF(U510&gt;=AN510-0.01,1,0)</f>
        <v/>
      </c>
      <c r="AV510">
        <f>IF(V510&gt;=AO510-0.01,1,0)</f>
        <v/>
      </c>
      <c r="AW510">
        <f>IF(W510&gt;=AP510-0.01,1,0)</f>
        <v/>
      </c>
      <c r="AX510">
        <f>AQ510*AR510*AS510*AT510*AU510*AV510*AW510</f>
        <v/>
      </c>
      <c r="AY510">
        <f>Assumptions!$B$41</f>
        <v/>
      </c>
      <c r="AZ510">
        <f>Assumptions!$B$33</f>
        <v/>
      </c>
      <c r="BA510">
        <f>Assumptions!$B$32</f>
        <v/>
      </c>
      <c r="BB510">
        <f>Assumptions!$B$31</f>
        <v/>
      </c>
      <c r="BC510">
        <f>Assumptions!$B$30</f>
        <v/>
      </c>
      <c r="BD510">
        <f>Assumptions!$B$29</f>
        <v/>
      </c>
      <c r="BE510">
        <f>Assumptions!$B$28</f>
        <v/>
      </c>
      <c r="BF510">
        <f>P510*Assumptions!$B$141</f>
        <v/>
      </c>
      <c r="BG510">
        <f>P510*Assumptions!$B$128</f>
        <v/>
      </c>
      <c r="BH510">
        <f>P510*Assumptions!$B$129</f>
        <v/>
      </c>
      <c r="BI510">
        <f>P510*Assumptions!$B$14</f>
        <v/>
      </c>
      <c r="BJ510">
        <f>P510*Assumptions!$B$13</f>
        <v/>
      </c>
      <c r="BK510">
        <f>P510*Assumptions!$B$12</f>
        <v/>
      </c>
      <c r="BL510">
        <f>P510*Assumptions!$B$11</f>
        <v/>
      </c>
    </row>
    <row r="511">
      <c r="A511" t="inlineStr">
        <is>
          <t>4000M</t>
        </is>
      </c>
      <c r="B511">
        <f>Assumptions!$B$61</f>
        <v/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>
        <f>(1-C511)*Assumptions!$B$41+(1-D511)*Assumptions!$B$33+(1-E511)*Assumptions!$B$32+(1-F511)*Assumptions!$B$31+(1-G511)*Assumptions!$B$30+(1-H511)*Assumptions!$B$29+(1-I511)*Assumptions!$B$28</f>
        <v/>
      </c>
      <c r="K511">
        <f>C511*Assumptions!$B$141+D511*Assumptions!$B$128+E511*Assumptions!$B$129+F511*Assumptions!$B$14+G511*Assumptions!$B$13+H511*Assumptions!$B$12+I511*Assumptions!$B$11+Assumptions!$B$133+Assumptions!$B$137+Assumptions!$B$9</f>
        <v/>
      </c>
      <c r="L511">
        <f>B511-J511</f>
        <v/>
      </c>
      <c r="M511">
        <f>IF(K511&gt;0,IF(L511/K511&gt;=Assumptions!$B$37,1,0),0)</f>
        <v/>
      </c>
      <c r="N511">
        <f>K511+M511*Assumptions!$B$153</f>
        <v/>
      </c>
      <c r="O511">
        <f>L511+M511*Assumptions!$B$153*Assumptions!$B$37</f>
        <v/>
      </c>
      <c r="P511">
        <f>IF(N511&gt;0,O511/N511,0)</f>
        <v/>
      </c>
      <c r="Q511">
        <f>IF(C511=1,P511*Assumptions!$B$141,Assumptions!$B$41)</f>
        <v/>
      </c>
      <c r="R511">
        <f>IF(D511=1,P511*Assumptions!$B$128,Assumptions!$B$33)</f>
        <v/>
      </c>
      <c r="S511">
        <f>IF(E511=1,P511*Assumptions!$B$129,Assumptions!$B$32)</f>
        <v/>
      </c>
      <c r="T511">
        <f>IF(F511=1,P511*Assumptions!$B$14,Assumptions!$B$31)</f>
        <v/>
      </c>
      <c r="U511">
        <f>IF(G511=1,P511*Assumptions!$B$13,Assumptions!$B$30)</f>
        <v/>
      </c>
      <c r="V511">
        <f>IF(H511=1,P511*Assumptions!$B$12,Assumptions!$B$29)</f>
        <v/>
      </c>
      <c r="W511">
        <f>IF(I511=1,P511*Assumptions!$B$11,Assumptions!$B$28)</f>
        <v/>
      </c>
      <c r="X511">
        <f>P511*(Assumptions!$B$133+Assumptions!$B$137)</f>
        <v/>
      </c>
      <c r="Y511">
        <f>P511*Assumptions!$B$9</f>
        <v/>
      </c>
      <c r="Z511">
        <f>IF(M511=1,(P511-Assumptions!$B$37)*Assumptions!$B$153,0)</f>
        <v/>
      </c>
      <c r="AA511">
        <f>Q511+R511+S511+T511+U511+V511+W511+X511+Y511+Z511</f>
        <v/>
      </c>
      <c r="AB511" t="n">
        <v>76</v>
      </c>
      <c r="AC511" t="n">
        <v>12</v>
      </c>
      <c r="AD511" t="n">
        <v>108</v>
      </c>
      <c r="AE511" t="n">
        <v>92</v>
      </c>
      <c r="AF511" t="n">
        <v>68</v>
      </c>
      <c r="AG511" t="n">
        <v>72</v>
      </c>
      <c r="AH511" t="n">
        <v>78</v>
      </c>
      <c r="AI511" t="n">
        <v>77</v>
      </c>
      <c r="AJ511">
        <f>INDEX($Q$435:$Q$562,AC511+1)</f>
        <v/>
      </c>
      <c r="AK511">
        <f>INDEX($R$435:$R$562,AD511+1)</f>
        <v/>
      </c>
      <c r="AL511">
        <f>INDEX($S$435:$S$562,AE511+1)</f>
        <v/>
      </c>
      <c r="AM511">
        <f>INDEX($T$435:$T$562,AF511+1)</f>
        <v/>
      </c>
      <c r="AN511">
        <f>INDEX($U$435:$U$562,AG511+1)</f>
        <v/>
      </c>
      <c r="AO511">
        <f>INDEX($V$435:$V$562,AH511+1)</f>
        <v/>
      </c>
      <c r="AP511">
        <f>INDEX($W$435:$W$562,AI511+1)</f>
        <v/>
      </c>
      <c r="AQ511">
        <f>IF(Q511&gt;=AJ511-0.01,1,0)</f>
        <v/>
      </c>
      <c r="AR511">
        <f>IF(R511&gt;=AK511-0.01,1,0)</f>
        <v/>
      </c>
      <c r="AS511">
        <f>IF(S511&gt;=AL511-0.01,1,0)</f>
        <v/>
      </c>
      <c r="AT511">
        <f>IF(T511&gt;=AM511-0.01,1,0)</f>
        <v/>
      </c>
      <c r="AU511">
        <f>IF(U511&gt;=AN511-0.01,1,0)</f>
        <v/>
      </c>
      <c r="AV511">
        <f>IF(V511&gt;=AO511-0.01,1,0)</f>
        <v/>
      </c>
      <c r="AW511">
        <f>IF(W511&gt;=AP511-0.01,1,0)</f>
        <v/>
      </c>
      <c r="AX511">
        <f>AQ511*AR511*AS511*AT511*AU511*AV511*AW511</f>
        <v/>
      </c>
      <c r="AY511">
        <f>Assumptions!$B$41</f>
        <v/>
      </c>
      <c r="AZ511">
        <f>Assumptions!$B$33</f>
        <v/>
      </c>
      <c r="BA511">
        <f>Assumptions!$B$32</f>
        <v/>
      </c>
      <c r="BB511">
        <f>Assumptions!$B$31</f>
        <v/>
      </c>
      <c r="BC511">
        <f>Assumptions!$B$30</f>
        <v/>
      </c>
      <c r="BD511">
        <f>Assumptions!$B$29</f>
        <v/>
      </c>
      <c r="BE511">
        <f>Assumptions!$B$28</f>
        <v/>
      </c>
      <c r="BF511">
        <f>P511*Assumptions!$B$141</f>
        <v/>
      </c>
      <c r="BG511">
        <f>P511*Assumptions!$B$128</f>
        <v/>
      </c>
      <c r="BH511">
        <f>P511*Assumptions!$B$129</f>
        <v/>
      </c>
      <c r="BI511">
        <f>P511*Assumptions!$B$14</f>
        <v/>
      </c>
      <c r="BJ511">
        <f>P511*Assumptions!$B$13</f>
        <v/>
      </c>
      <c r="BK511">
        <f>P511*Assumptions!$B$12</f>
        <v/>
      </c>
      <c r="BL511">
        <f>P511*Assumptions!$B$11</f>
        <v/>
      </c>
    </row>
    <row r="512">
      <c r="A512" t="inlineStr">
        <is>
          <t>4000M</t>
        </is>
      </c>
      <c r="B512">
        <f>Assumptions!$B$61</f>
        <v/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1</v>
      </c>
      <c r="J512">
        <f>(1-C512)*Assumptions!$B$41+(1-D512)*Assumptions!$B$33+(1-E512)*Assumptions!$B$32+(1-F512)*Assumptions!$B$31+(1-G512)*Assumptions!$B$30+(1-H512)*Assumptions!$B$29+(1-I512)*Assumptions!$B$28</f>
        <v/>
      </c>
      <c r="K512">
        <f>C512*Assumptions!$B$141+D512*Assumptions!$B$128+E512*Assumptions!$B$129+F512*Assumptions!$B$14+G512*Assumptions!$B$13+H512*Assumptions!$B$12+I512*Assumptions!$B$11+Assumptions!$B$133+Assumptions!$B$137+Assumptions!$B$9</f>
        <v/>
      </c>
      <c r="L512">
        <f>B512-J512</f>
        <v/>
      </c>
      <c r="M512">
        <f>IF(K512&gt;0,IF(L512/K512&gt;=Assumptions!$B$37,1,0),0)</f>
        <v/>
      </c>
      <c r="N512">
        <f>K512+M512*Assumptions!$B$153</f>
        <v/>
      </c>
      <c r="O512">
        <f>L512+M512*Assumptions!$B$153*Assumptions!$B$37</f>
        <v/>
      </c>
      <c r="P512">
        <f>IF(N512&gt;0,O512/N512,0)</f>
        <v/>
      </c>
      <c r="Q512">
        <f>IF(C512=1,P512*Assumptions!$B$141,Assumptions!$B$41)</f>
        <v/>
      </c>
      <c r="R512">
        <f>IF(D512=1,P512*Assumptions!$B$128,Assumptions!$B$33)</f>
        <v/>
      </c>
      <c r="S512">
        <f>IF(E512=1,P512*Assumptions!$B$129,Assumptions!$B$32)</f>
        <v/>
      </c>
      <c r="T512">
        <f>IF(F512=1,P512*Assumptions!$B$14,Assumptions!$B$31)</f>
        <v/>
      </c>
      <c r="U512">
        <f>IF(G512=1,P512*Assumptions!$B$13,Assumptions!$B$30)</f>
        <v/>
      </c>
      <c r="V512">
        <f>IF(H512=1,P512*Assumptions!$B$12,Assumptions!$B$29)</f>
        <v/>
      </c>
      <c r="W512">
        <f>IF(I512=1,P512*Assumptions!$B$11,Assumptions!$B$28)</f>
        <v/>
      </c>
      <c r="X512">
        <f>P512*(Assumptions!$B$133+Assumptions!$B$137)</f>
        <v/>
      </c>
      <c r="Y512">
        <f>P512*Assumptions!$B$9</f>
        <v/>
      </c>
      <c r="Z512">
        <f>IF(M512=1,(P512-Assumptions!$B$37)*Assumptions!$B$153,0)</f>
        <v/>
      </c>
      <c r="AA512">
        <f>Q512+R512+S512+T512+U512+V512+W512+X512+Y512+Z512</f>
        <v/>
      </c>
      <c r="AB512" t="n">
        <v>77</v>
      </c>
      <c r="AC512" t="n">
        <v>13</v>
      </c>
      <c r="AD512" t="n">
        <v>109</v>
      </c>
      <c r="AE512" t="n">
        <v>93</v>
      </c>
      <c r="AF512" t="n">
        <v>69</v>
      </c>
      <c r="AG512" t="n">
        <v>73</v>
      </c>
      <c r="AH512" t="n">
        <v>79</v>
      </c>
      <c r="AI512" t="n">
        <v>76</v>
      </c>
      <c r="AJ512">
        <f>INDEX($Q$435:$Q$562,AC512+1)</f>
        <v/>
      </c>
      <c r="AK512">
        <f>INDEX($R$435:$R$562,AD512+1)</f>
        <v/>
      </c>
      <c r="AL512">
        <f>INDEX($S$435:$S$562,AE512+1)</f>
        <v/>
      </c>
      <c r="AM512">
        <f>INDEX($T$435:$T$562,AF512+1)</f>
        <v/>
      </c>
      <c r="AN512">
        <f>INDEX($U$435:$U$562,AG512+1)</f>
        <v/>
      </c>
      <c r="AO512">
        <f>INDEX($V$435:$V$562,AH512+1)</f>
        <v/>
      </c>
      <c r="AP512">
        <f>INDEX($W$435:$W$562,AI512+1)</f>
        <v/>
      </c>
      <c r="AQ512">
        <f>IF(Q512&gt;=AJ512-0.01,1,0)</f>
        <v/>
      </c>
      <c r="AR512">
        <f>IF(R512&gt;=AK512-0.01,1,0)</f>
        <v/>
      </c>
      <c r="AS512">
        <f>IF(S512&gt;=AL512-0.01,1,0)</f>
        <v/>
      </c>
      <c r="AT512">
        <f>IF(T512&gt;=AM512-0.01,1,0)</f>
        <v/>
      </c>
      <c r="AU512">
        <f>IF(U512&gt;=AN512-0.01,1,0)</f>
        <v/>
      </c>
      <c r="AV512">
        <f>IF(V512&gt;=AO512-0.01,1,0)</f>
        <v/>
      </c>
      <c r="AW512">
        <f>IF(W512&gt;=AP512-0.01,1,0)</f>
        <v/>
      </c>
      <c r="AX512">
        <f>AQ512*AR512*AS512*AT512*AU512*AV512*AW512</f>
        <v/>
      </c>
      <c r="AY512">
        <f>Assumptions!$B$41</f>
        <v/>
      </c>
      <c r="AZ512">
        <f>Assumptions!$B$33</f>
        <v/>
      </c>
      <c r="BA512">
        <f>Assumptions!$B$32</f>
        <v/>
      </c>
      <c r="BB512">
        <f>Assumptions!$B$31</f>
        <v/>
      </c>
      <c r="BC512">
        <f>Assumptions!$B$30</f>
        <v/>
      </c>
      <c r="BD512">
        <f>Assumptions!$B$29</f>
        <v/>
      </c>
      <c r="BE512">
        <f>Assumptions!$B$28</f>
        <v/>
      </c>
      <c r="BF512">
        <f>P512*Assumptions!$B$141</f>
        <v/>
      </c>
      <c r="BG512">
        <f>P512*Assumptions!$B$128</f>
        <v/>
      </c>
      <c r="BH512">
        <f>P512*Assumptions!$B$129</f>
        <v/>
      </c>
      <c r="BI512">
        <f>P512*Assumptions!$B$14</f>
        <v/>
      </c>
      <c r="BJ512">
        <f>P512*Assumptions!$B$13</f>
        <v/>
      </c>
      <c r="BK512">
        <f>P512*Assumptions!$B$12</f>
        <v/>
      </c>
      <c r="BL512">
        <f>P512*Assumptions!$B$11</f>
        <v/>
      </c>
    </row>
    <row r="513">
      <c r="A513" t="inlineStr">
        <is>
          <t>4000M</t>
        </is>
      </c>
      <c r="B513">
        <f>Assumptions!$B$61</f>
        <v/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</v>
      </c>
      <c r="J513">
        <f>(1-C513)*Assumptions!$B$41+(1-D513)*Assumptions!$B$33+(1-E513)*Assumptions!$B$32+(1-F513)*Assumptions!$B$31+(1-G513)*Assumptions!$B$30+(1-H513)*Assumptions!$B$29+(1-I513)*Assumptions!$B$28</f>
        <v/>
      </c>
      <c r="K513">
        <f>C513*Assumptions!$B$141+D513*Assumptions!$B$128+E513*Assumptions!$B$129+F513*Assumptions!$B$14+G513*Assumptions!$B$13+H513*Assumptions!$B$12+I513*Assumptions!$B$11+Assumptions!$B$133+Assumptions!$B$137+Assumptions!$B$9</f>
        <v/>
      </c>
      <c r="L513">
        <f>B513-J513</f>
        <v/>
      </c>
      <c r="M513">
        <f>IF(K513&gt;0,IF(L513/K513&gt;=Assumptions!$B$37,1,0),0)</f>
        <v/>
      </c>
      <c r="N513">
        <f>K513+M513*Assumptions!$B$153</f>
        <v/>
      </c>
      <c r="O513">
        <f>L513+M513*Assumptions!$B$153*Assumptions!$B$37</f>
        <v/>
      </c>
      <c r="P513">
        <f>IF(N513&gt;0,O513/N513,0)</f>
        <v/>
      </c>
      <c r="Q513">
        <f>IF(C513=1,P513*Assumptions!$B$141,Assumptions!$B$41)</f>
        <v/>
      </c>
      <c r="R513">
        <f>IF(D513=1,P513*Assumptions!$B$128,Assumptions!$B$33)</f>
        <v/>
      </c>
      <c r="S513">
        <f>IF(E513=1,P513*Assumptions!$B$129,Assumptions!$B$32)</f>
        <v/>
      </c>
      <c r="T513">
        <f>IF(F513=1,P513*Assumptions!$B$14,Assumptions!$B$31)</f>
        <v/>
      </c>
      <c r="U513">
        <f>IF(G513=1,P513*Assumptions!$B$13,Assumptions!$B$30)</f>
        <v/>
      </c>
      <c r="V513">
        <f>IF(H513=1,P513*Assumptions!$B$12,Assumptions!$B$29)</f>
        <v/>
      </c>
      <c r="W513">
        <f>IF(I513=1,P513*Assumptions!$B$11,Assumptions!$B$28)</f>
        <v/>
      </c>
      <c r="X513">
        <f>P513*(Assumptions!$B$133+Assumptions!$B$137)</f>
        <v/>
      </c>
      <c r="Y513">
        <f>P513*Assumptions!$B$9</f>
        <v/>
      </c>
      <c r="Z513">
        <f>IF(M513=1,(P513-Assumptions!$B$37)*Assumptions!$B$153,0)</f>
        <v/>
      </c>
      <c r="AA513">
        <f>Q513+R513+S513+T513+U513+V513+W513+X513+Y513+Z513</f>
        <v/>
      </c>
      <c r="AB513" t="n">
        <v>78</v>
      </c>
      <c r="AC513" t="n">
        <v>14</v>
      </c>
      <c r="AD513" t="n">
        <v>110</v>
      </c>
      <c r="AE513" t="n">
        <v>94</v>
      </c>
      <c r="AF513" t="n">
        <v>70</v>
      </c>
      <c r="AG513" t="n">
        <v>74</v>
      </c>
      <c r="AH513" t="n">
        <v>76</v>
      </c>
      <c r="AI513" t="n">
        <v>79</v>
      </c>
      <c r="AJ513">
        <f>INDEX($Q$435:$Q$562,AC513+1)</f>
        <v/>
      </c>
      <c r="AK513">
        <f>INDEX($R$435:$R$562,AD513+1)</f>
        <v/>
      </c>
      <c r="AL513">
        <f>INDEX($S$435:$S$562,AE513+1)</f>
        <v/>
      </c>
      <c r="AM513">
        <f>INDEX($T$435:$T$562,AF513+1)</f>
        <v/>
      </c>
      <c r="AN513">
        <f>INDEX($U$435:$U$562,AG513+1)</f>
        <v/>
      </c>
      <c r="AO513">
        <f>INDEX($V$435:$V$562,AH513+1)</f>
        <v/>
      </c>
      <c r="AP513">
        <f>INDEX($W$435:$W$562,AI513+1)</f>
        <v/>
      </c>
      <c r="AQ513">
        <f>IF(Q513&gt;=AJ513-0.01,1,0)</f>
        <v/>
      </c>
      <c r="AR513">
        <f>IF(R513&gt;=AK513-0.01,1,0)</f>
        <v/>
      </c>
      <c r="AS513">
        <f>IF(S513&gt;=AL513-0.01,1,0)</f>
        <v/>
      </c>
      <c r="AT513">
        <f>IF(T513&gt;=AM513-0.01,1,0)</f>
        <v/>
      </c>
      <c r="AU513">
        <f>IF(U513&gt;=AN513-0.01,1,0)</f>
        <v/>
      </c>
      <c r="AV513">
        <f>IF(V513&gt;=AO513-0.01,1,0)</f>
        <v/>
      </c>
      <c r="AW513">
        <f>IF(W513&gt;=AP513-0.01,1,0)</f>
        <v/>
      </c>
      <c r="AX513">
        <f>AQ513*AR513*AS513*AT513*AU513*AV513*AW513</f>
        <v/>
      </c>
      <c r="AY513">
        <f>Assumptions!$B$41</f>
        <v/>
      </c>
      <c r="AZ513">
        <f>Assumptions!$B$33</f>
        <v/>
      </c>
      <c r="BA513">
        <f>Assumptions!$B$32</f>
        <v/>
      </c>
      <c r="BB513">
        <f>Assumptions!$B$31</f>
        <v/>
      </c>
      <c r="BC513">
        <f>Assumptions!$B$30</f>
        <v/>
      </c>
      <c r="BD513">
        <f>Assumptions!$B$29</f>
        <v/>
      </c>
      <c r="BE513">
        <f>Assumptions!$B$28</f>
        <v/>
      </c>
      <c r="BF513">
        <f>P513*Assumptions!$B$141</f>
        <v/>
      </c>
      <c r="BG513">
        <f>P513*Assumptions!$B$128</f>
        <v/>
      </c>
      <c r="BH513">
        <f>P513*Assumptions!$B$129</f>
        <v/>
      </c>
      <c r="BI513">
        <f>P513*Assumptions!$B$14</f>
        <v/>
      </c>
      <c r="BJ513">
        <f>P513*Assumptions!$B$13</f>
        <v/>
      </c>
      <c r="BK513">
        <f>P513*Assumptions!$B$12</f>
        <v/>
      </c>
      <c r="BL513">
        <f>P513*Assumptions!$B$11</f>
        <v/>
      </c>
    </row>
    <row r="514">
      <c r="A514" t="inlineStr">
        <is>
          <t>4000M</t>
        </is>
      </c>
      <c r="B514">
        <f>Assumptions!$B$61</f>
        <v/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>
        <f>(1-C514)*Assumptions!$B$41+(1-D514)*Assumptions!$B$33+(1-E514)*Assumptions!$B$32+(1-F514)*Assumptions!$B$31+(1-G514)*Assumptions!$B$30+(1-H514)*Assumptions!$B$29+(1-I514)*Assumptions!$B$28</f>
        <v/>
      </c>
      <c r="K514">
        <f>C514*Assumptions!$B$141+D514*Assumptions!$B$128+E514*Assumptions!$B$129+F514*Assumptions!$B$14+G514*Assumptions!$B$13+H514*Assumptions!$B$12+I514*Assumptions!$B$11+Assumptions!$B$133+Assumptions!$B$137+Assumptions!$B$9</f>
        <v/>
      </c>
      <c r="L514">
        <f>B514-J514</f>
        <v/>
      </c>
      <c r="M514">
        <f>IF(K514&gt;0,IF(L514/K514&gt;=Assumptions!$B$37,1,0),0)</f>
        <v/>
      </c>
      <c r="N514">
        <f>K514+M514*Assumptions!$B$153</f>
        <v/>
      </c>
      <c r="O514">
        <f>L514+M514*Assumptions!$B$153*Assumptions!$B$37</f>
        <v/>
      </c>
      <c r="P514">
        <f>IF(N514&gt;0,O514/N514,0)</f>
        <v/>
      </c>
      <c r="Q514">
        <f>IF(C514=1,P514*Assumptions!$B$141,Assumptions!$B$41)</f>
        <v/>
      </c>
      <c r="R514">
        <f>IF(D514=1,P514*Assumptions!$B$128,Assumptions!$B$33)</f>
        <v/>
      </c>
      <c r="S514">
        <f>IF(E514=1,P514*Assumptions!$B$129,Assumptions!$B$32)</f>
        <v/>
      </c>
      <c r="T514">
        <f>IF(F514=1,P514*Assumptions!$B$14,Assumptions!$B$31)</f>
        <v/>
      </c>
      <c r="U514">
        <f>IF(G514=1,P514*Assumptions!$B$13,Assumptions!$B$30)</f>
        <v/>
      </c>
      <c r="V514">
        <f>IF(H514=1,P514*Assumptions!$B$12,Assumptions!$B$29)</f>
        <v/>
      </c>
      <c r="W514">
        <f>IF(I514=1,P514*Assumptions!$B$11,Assumptions!$B$28)</f>
        <v/>
      </c>
      <c r="X514">
        <f>P514*(Assumptions!$B$133+Assumptions!$B$137)</f>
        <v/>
      </c>
      <c r="Y514">
        <f>P514*Assumptions!$B$9</f>
        <v/>
      </c>
      <c r="Z514">
        <f>IF(M514=1,(P514-Assumptions!$B$37)*Assumptions!$B$153,0)</f>
        <v/>
      </c>
      <c r="AA514">
        <f>Q514+R514+S514+T514+U514+V514+W514+X514+Y514+Z514</f>
        <v/>
      </c>
      <c r="AB514" t="n">
        <v>79</v>
      </c>
      <c r="AC514" t="n">
        <v>15</v>
      </c>
      <c r="AD514" t="n">
        <v>111</v>
      </c>
      <c r="AE514" t="n">
        <v>95</v>
      </c>
      <c r="AF514" t="n">
        <v>71</v>
      </c>
      <c r="AG514" t="n">
        <v>75</v>
      </c>
      <c r="AH514" t="n">
        <v>77</v>
      </c>
      <c r="AI514" t="n">
        <v>78</v>
      </c>
      <c r="AJ514">
        <f>INDEX($Q$435:$Q$562,AC514+1)</f>
        <v/>
      </c>
      <c r="AK514">
        <f>INDEX($R$435:$R$562,AD514+1)</f>
        <v/>
      </c>
      <c r="AL514">
        <f>INDEX($S$435:$S$562,AE514+1)</f>
        <v/>
      </c>
      <c r="AM514">
        <f>INDEX($T$435:$T$562,AF514+1)</f>
        <v/>
      </c>
      <c r="AN514">
        <f>INDEX($U$435:$U$562,AG514+1)</f>
        <v/>
      </c>
      <c r="AO514">
        <f>INDEX($V$435:$V$562,AH514+1)</f>
        <v/>
      </c>
      <c r="AP514">
        <f>INDEX($W$435:$W$562,AI514+1)</f>
        <v/>
      </c>
      <c r="AQ514">
        <f>IF(Q514&gt;=AJ514-0.01,1,0)</f>
        <v/>
      </c>
      <c r="AR514">
        <f>IF(R514&gt;=AK514-0.01,1,0)</f>
        <v/>
      </c>
      <c r="AS514">
        <f>IF(S514&gt;=AL514-0.01,1,0)</f>
        <v/>
      </c>
      <c r="AT514">
        <f>IF(T514&gt;=AM514-0.01,1,0)</f>
        <v/>
      </c>
      <c r="AU514">
        <f>IF(U514&gt;=AN514-0.01,1,0)</f>
        <v/>
      </c>
      <c r="AV514">
        <f>IF(V514&gt;=AO514-0.01,1,0)</f>
        <v/>
      </c>
      <c r="AW514">
        <f>IF(W514&gt;=AP514-0.01,1,0)</f>
        <v/>
      </c>
      <c r="AX514">
        <f>AQ514*AR514*AS514*AT514*AU514*AV514*AW514</f>
        <v/>
      </c>
      <c r="AY514">
        <f>Assumptions!$B$41</f>
        <v/>
      </c>
      <c r="AZ514">
        <f>Assumptions!$B$33</f>
        <v/>
      </c>
      <c r="BA514">
        <f>Assumptions!$B$32</f>
        <v/>
      </c>
      <c r="BB514">
        <f>Assumptions!$B$31</f>
        <v/>
      </c>
      <c r="BC514">
        <f>Assumptions!$B$30</f>
        <v/>
      </c>
      <c r="BD514">
        <f>Assumptions!$B$29</f>
        <v/>
      </c>
      <c r="BE514">
        <f>Assumptions!$B$28</f>
        <v/>
      </c>
      <c r="BF514">
        <f>P514*Assumptions!$B$141</f>
        <v/>
      </c>
      <c r="BG514">
        <f>P514*Assumptions!$B$128</f>
        <v/>
      </c>
      <c r="BH514">
        <f>P514*Assumptions!$B$129</f>
        <v/>
      </c>
      <c r="BI514">
        <f>P514*Assumptions!$B$14</f>
        <v/>
      </c>
      <c r="BJ514">
        <f>P514*Assumptions!$B$13</f>
        <v/>
      </c>
      <c r="BK514">
        <f>P514*Assumptions!$B$12</f>
        <v/>
      </c>
      <c r="BL514">
        <f>P514*Assumptions!$B$11</f>
        <v/>
      </c>
    </row>
    <row r="515">
      <c r="A515" t="inlineStr">
        <is>
          <t>4000M</t>
        </is>
      </c>
      <c r="B515">
        <f>Assumptions!$B$61</f>
        <v/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>
        <f>(1-C515)*Assumptions!$B$41+(1-D515)*Assumptions!$B$33+(1-E515)*Assumptions!$B$32+(1-F515)*Assumptions!$B$31+(1-G515)*Assumptions!$B$30+(1-H515)*Assumptions!$B$29+(1-I515)*Assumptions!$B$28</f>
        <v/>
      </c>
      <c r="K515">
        <f>C515*Assumptions!$B$141+D515*Assumptions!$B$128+E515*Assumptions!$B$129+F515*Assumptions!$B$14+G515*Assumptions!$B$13+H515*Assumptions!$B$12+I515*Assumptions!$B$11+Assumptions!$B$133+Assumptions!$B$137+Assumptions!$B$9</f>
        <v/>
      </c>
      <c r="L515">
        <f>B515-J515</f>
        <v/>
      </c>
      <c r="M515">
        <f>IF(K515&gt;0,IF(L515/K515&gt;=Assumptions!$B$37,1,0),0)</f>
        <v/>
      </c>
      <c r="N515">
        <f>K515+M515*Assumptions!$B$153</f>
        <v/>
      </c>
      <c r="O515">
        <f>L515+M515*Assumptions!$B$153*Assumptions!$B$37</f>
        <v/>
      </c>
      <c r="P515">
        <f>IF(N515&gt;0,O515/N515,0)</f>
        <v/>
      </c>
      <c r="Q515">
        <f>IF(C515=1,P515*Assumptions!$B$141,Assumptions!$B$41)</f>
        <v/>
      </c>
      <c r="R515">
        <f>IF(D515=1,P515*Assumptions!$B$128,Assumptions!$B$33)</f>
        <v/>
      </c>
      <c r="S515">
        <f>IF(E515=1,P515*Assumptions!$B$129,Assumptions!$B$32)</f>
        <v/>
      </c>
      <c r="T515">
        <f>IF(F515=1,P515*Assumptions!$B$14,Assumptions!$B$31)</f>
        <v/>
      </c>
      <c r="U515">
        <f>IF(G515=1,P515*Assumptions!$B$13,Assumptions!$B$30)</f>
        <v/>
      </c>
      <c r="V515">
        <f>IF(H515=1,P515*Assumptions!$B$12,Assumptions!$B$29)</f>
        <v/>
      </c>
      <c r="W515">
        <f>IF(I515=1,P515*Assumptions!$B$11,Assumptions!$B$28)</f>
        <v/>
      </c>
      <c r="X515">
        <f>P515*(Assumptions!$B$133+Assumptions!$B$137)</f>
        <v/>
      </c>
      <c r="Y515">
        <f>P515*Assumptions!$B$9</f>
        <v/>
      </c>
      <c r="Z515">
        <f>IF(M515=1,(P515-Assumptions!$B$37)*Assumptions!$B$153,0)</f>
        <v/>
      </c>
      <c r="AA515">
        <f>Q515+R515+S515+T515+U515+V515+W515+X515+Y515+Z515</f>
        <v/>
      </c>
      <c r="AB515" t="n">
        <v>80</v>
      </c>
      <c r="AC515" t="n">
        <v>16</v>
      </c>
      <c r="AD515" t="n">
        <v>112</v>
      </c>
      <c r="AE515" t="n">
        <v>64</v>
      </c>
      <c r="AF515" t="n">
        <v>88</v>
      </c>
      <c r="AG515" t="n">
        <v>84</v>
      </c>
      <c r="AH515" t="n">
        <v>82</v>
      </c>
      <c r="AI515" t="n">
        <v>81</v>
      </c>
      <c r="AJ515">
        <f>INDEX($Q$435:$Q$562,AC515+1)</f>
        <v/>
      </c>
      <c r="AK515">
        <f>INDEX($R$435:$R$562,AD515+1)</f>
        <v/>
      </c>
      <c r="AL515">
        <f>INDEX($S$435:$S$562,AE515+1)</f>
        <v/>
      </c>
      <c r="AM515">
        <f>INDEX($T$435:$T$562,AF515+1)</f>
        <v/>
      </c>
      <c r="AN515">
        <f>INDEX($U$435:$U$562,AG515+1)</f>
        <v/>
      </c>
      <c r="AO515">
        <f>INDEX($V$435:$V$562,AH515+1)</f>
        <v/>
      </c>
      <c r="AP515">
        <f>INDEX($W$435:$W$562,AI515+1)</f>
        <v/>
      </c>
      <c r="AQ515">
        <f>IF(Q515&gt;=AJ515-0.01,1,0)</f>
        <v/>
      </c>
      <c r="AR515">
        <f>IF(R515&gt;=AK515-0.01,1,0)</f>
        <v/>
      </c>
      <c r="AS515">
        <f>IF(S515&gt;=AL515-0.01,1,0)</f>
        <v/>
      </c>
      <c r="AT515">
        <f>IF(T515&gt;=AM515-0.01,1,0)</f>
        <v/>
      </c>
      <c r="AU515">
        <f>IF(U515&gt;=AN515-0.01,1,0)</f>
        <v/>
      </c>
      <c r="AV515">
        <f>IF(V515&gt;=AO515-0.01,1,0)</f>
        <v/>
      </c>
      <c r="AW515">
        <f>IF(W515&gt;=AP515-0.01,1,0)</f>
        <v/>
      </c>
      <c r="AX515">
        <f>AQ515*AR515*AS515*AT515*AU515*AV515*AW515</f>
        <v/>
      </c>
      <c r="AY515">
        <f>Assumptions!$B$41</f>
        <v/>
      </c>
      <c r="AZ515">
        <f>Assumptions!$B$33</f>
        <v/>
      </c>
      <c r="BA515">
        <f>Assumptions!$B$32</f>
        <v/>
      </c>
      <c r="BB515">
        <f>Assumptions!$B$31</f>
        <v/>
      </c>
      <c r="BC515">
        <f>Assumptions!$B$30</f>
        <v/>
      </c>
      <c r="BD515">
        <f>Assumptions!$B$29</f>
        <v/>
      </c>
      <c r="BE515">
        <f>Assumptions!$B$28</f>
        <v/>
      </c>
      <c r="BF515">
        <f>P515*Assumptions!$B$141</f>
        <v/>
      </c>
      <c r="BG515">
        <f>P515*Assumptions!$B$128</f>
        <v/>
      </c>
      <c r="BH515">
        <f>P515*Assumptions!$B$129</f>
        <v/>
      </c>
      <c r="BI515">
        <f>P515*Assumptions!$B$14</f>
        <v/>
      </c>
      <c r="BJ515">
        <f>P515*Assumptions!$B$13</f>
        <v/>
      </c>
      <c r="BK515">
        <f>P515*Assumptions!$B$12</f>
        <v/>
      </c>
      <c r="BL515">
        <f>P515*Assumptions!$B$11</f>
        <v/>
      </c>
    </row>
    <row r="516">
      <c r="A516" t="inlineStr">
        <is>
          <t>4000M</t>
        </is>
      </c>
      <c r="B516">
        <f>Assumptions!$B$61</f>
        <v/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>
        <f>(1-C516)*Assumptions!$B$41+(1-D516)*Assumptions!$B$33+(1-E516)*Assumptions!$B$32+(1-F516)*Assumptions!$B$31+(1-G516)*Assumptions!$B$30+(1-H516)*Assumptions!$B$29+(1-I516)*Assumptions!$B$28</f>
        <v/>
      </c>
      <c r="K516">
        <f>C516*Assumptions!$B$141+D516*Assumptions!$B$128+E516*Assumptions!$B$129+F516*Assumptions!$B$14+G516*Assumptions!$B$13+H516*Assumptions!$B$12+I516*Assumptions!$B$11+Assumptions!$B$133+Assumptions!$B$137+Assumptions!$B$9</f>
        <v/>
      </c>
      <c r="L516">
        <f>B516-J516</f>
        <v/>
      </c>
      <c r="M516">
        <f>IF(K516&gt;0,IF(L516/K516&gt;=Assumptions!$B$37,1,0),0)</f>
        <v/>
      </c>
      <c r="N516">
        <f>K516+M516*Assumptions!$B$153</f>
        <v/>
      </c>
      <c r="O516">
        <f>L516+M516*Assumptions!$B$153*Assumptions!$B$37</f>
        <v/>
      </c>
      <c r="P516">
        <f>IF(N516&gt;0,O516/N516,0)</f>
        <v/>
      </c>
      <c r="Q516">
        <f>IF(C516=1,P516*Assumptions!$B$141,Assumptions!$B$41)</f>
        <v/>
      </c>
      <c r="R516">
        <f>IF(D516=1,P516*Assumptions!$B$128,Assumptions!$B$33)</f>
        <v/>
      </c>
      <c r="S516">
        <f>IF(E516=1,P516*Assumptions!$B$129,Assumptions!$B$32)</f>
        <v/>
      </c>
      <c r="T516">
        <f>IF(F516=1,P516*Assumptions!$B$14,Assumptions!$B$31)</f>
        <v/>
      </c>
      <c r="U516">
        <f>IF(G516=1,P516*Assumptions!$B$13,Assumptions!$B$30)</f>
        <v/>
      </c>
      <c r="V516">
        <f>IF(H516=1,P516*Assumptions!$B$12,Assumptions!$B$29)</f>
        <v/>
      </c>
      <c r="W516">
        <f>IF(I516=1,P516*Assumptions!$B$11,Assumptions!$B$28)</f>
        <v/>
      </c>
      <c r="X516">
        <f>P516*(Assumptions!$B$133+Assumptions!$B$137)</f>
        <v/>
      </c>
      <c r="Y516">
        <f>P516*Assumptions!$B$9</f>
        <v/>
      </c>
      <c r="Z516">
        <f>IF(M516=1,(P516-Assumptions!$B$37)*Assumptions!$B$153,0)</f>
        <v/>
      </c>
      <c r="AA516">
        <f>Q516+R516+S516+T516+U516+V516+W516+X516+Y516+Z516</f>
        <v/>
      </c>
      <c r="AB516" t="n">
        <v>81</v>
      </c>
      <c r="AC516" t="n">
        <v>17</v>
      </c>
      <c r="AD516" t="n">
        <v>113</v>
      </c>
      <c r="AE516" t="n">
        <v>65</v>
      </c>
      <c r="AF516" t="n">
        <v>89</v>
      </c>
      <c r="AG516" t="n">
        <v>85</v>
      </c>
      <c r="AH516" t="n">
        <v>83</v>
      </c>
      <c r="AI516" t="n">
        <v>80</v>
      </c>
      <c r="AJ516">
        <f>INDEX($Q$435:$Q$562,AC516+1)</f>
        <v/>
      </c>
      <c r="AK516">
        <f>INDEX($R$435:$R$562,AD516+1)</f>
        <v/>
      </c>
      <c r="AL516">
        <f>INDEX($S$435:$S$562,AE516+1)</f>
        <v/>
      </c>
      <c r="AM516">
        <f>INDEX($T$435:$T$562,AF516+1)</f>
        <v/>
      </c>
      <c r="AN516">
        <f>INDEX($U$435:$U$562,AG516+1)</f>
        <v/>
      </c>
      <c r="AO516">
        <f>INDEX($V$435:$V$562,AH516+1)</f>
        <v/>
      </c>
      <c r="AP516">
        <f>INDEX($W$435:$W$562,AI516+1)</f>
        <v/>
      </c>
      <c r="AQ516">
        <f>IF(Q516&gt;=AJ516-0.01,1,0)</f>
        <v/>
      </c>
      <c r="AR516">
        <f>IF(R516&gt;=AK516-0.01,1,0)</f>
        <v/>
      </c>
      <c r="AS516">
        <f>IF(S516&gt;=AL516-0.01,1,0)</f>
        <v/>
      </c>
      <c r="AT516">
        <f>IF(T516&gt;=AM516-0.01,1,0)</f>
        <v/>
      </c>
      <c r="AU516">
        <f>IF(U516&gt;=AN516-0.01,1,0)</f>
        <v/>
      </c>
      <c r="AV516">
        <f>IF(V516&gt;=AO516-0.01,1,0)</f>
        <v/>
      </c>
      <c r="AW516">
        <f>IF(W516&gt;=AP516-0.01,1,0)</f>
        <v/>
      </c>
      <c r="AX516">
        <f>AQ516*AR516*AS516*AT516*AU516*AV516*AW516</f>
        <v/>
      </c>
      <c r="AY516">
        <f>Assumptions!$B$41</f>
        <v/>
      </c>
      <c r="AZ516">
        <f>Assumptions!$B$33</f>
        <v/>
      </c>
      <c r="BA516">
        <f>Assumptions!$B$32</f>
        <v/>
      </c>
      <c r="BB516">
        <f>Assumptions!$B$31</f>
        <v/>
      </c>
      <c r="BC516">
        <f>Assumptions!$B$30</f>
        <v/>
      </c>
      <c r="BD516">
        <f>Assumptions!$B$29</f>
        <v/>
      </c>
      <c r="BE516">
        <f>Assumptions!$B$28</f>
        <v/>
      </c>
      <c r="BF516">
        <f>P516*Assumptions!$B$141</f>
        <v/>
      </c>
      <c r="BG516">
        <f>P516*Assumptions!$B$128</f>
        <v/>
      </c>
      <c r="BH516">
        <f>P516*Assumptions!$B$129</f>
        <v/>
      </c>
      <c r="BI516">
        <f>P516*Assumptions!$B$14</f>
        <v/>
      </c>
      <c r="BJ516">
        <f>P516*Assumptions!$B$13</f>
        <v/>
      </c>
      <c r="BK516">
        <f>P516*Assumptions!$B$12</f>
        <v/>
      </c>
      <c r="BL516">
        <f>P516*Assumptions!$B$11</f>
        <v/>
      </c>
    </row>
    <row r="517">
      <c r="A517" t="inlineStr">
        <is>
          <t>4000M</t>
        </is>
      </c>
      <c r="B517">
        <f>Assumptions!$B$61</f>
        <v/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>
        <f>(1-C517)*Assumptions!$B$41+(1-D517)*Assumptions!$B$33+(1-E517)*Assumptions!$B$32+(1-F517)*Assumptions!$B$31+(1-G517)*Assumptions!$B$30+(1-H517)*Assumptions!$B$29+(1-I517)*Assumptions!$B$28</f>
        <v/>
      </c>
      <c r="K517">
        <f>C517*Assumptions!$B$141+D517*Assumptions!$B$128+E517*Assumptions!$B$129+F517*Assumptions!$B$14+G517*Assumptions!$B$13+H517*Assumptions!$B$12+I517*Assumptions!$B$11+Assumptions!$B$133+Assumptions!$B$137+Assumptions!$B$9</f>
        <v/>
      </c>
      <c r="L517">
        <f>B517-J517</f>
        <v/>
      </c>
      <c r="M517">
        <f>IF(K517&gt;0,IF(L517/K517&gt;=Assumptions!$B$37,1,0),0)</f>
        <v/>
      </c>
      <c r="N517">
        <f>K517+M517*Assumptions!$B$153</f>
        <v/>
      </c>
      <c r="O517">
        <f>L517+M517*Assumptions!$B$153*Assumptions!$B$37</f>
        <v/>
      </c>
      <c r="P517">
        <f>IF(N517&gt;0,O517/N517,0)</f>
        <v/>
      </c>
      <c r="Q517">
        <f>IF(C517=1,P517*Assumptions!$B$141,Assumptions!$B$41)</f>
        <v/>
      </c>
      <c r="R517">
        <f>IF(D517=1,P517*Assumptions!$B$128,Assumptions!$B$33)</f>
        <v/>
      </c>
      <c r="S517">
        <f>IF(E517=1,P517*Assumptions!$B$129,Assumptions!$B$32)</f>
        <v/>
      </c>
      <c r="T517">
        <f>IF(F517=1,P517*Assumptions!$B$14,Assumptions!$B$31)</f>
        <v/>
      </c>
      <c r="U517">
        <f>IF(G517=1,P517*Assumptions!$B$13,Assumptions!$B$30)</f>
        <v/>
      </c>
      <c r="V517">
        <f>IF(H517=1,P517*Assumptions!$B$12,Assumptions!$B$29)</f>
        <v/>
      </c>
      <c r="W517">
        <f>IF(I517=1,P517*Assumptions!$B$11,Assumptions!$B$28)</f>
        <v/>
      </c>
      <c r="X517">
        <f>P517*(Assumptions!$B$133+Assumptions!$B$137)</f>
        <v/>
      </c>
      <c r="Y517">
        <f>P517*Assumptions!$B$9</f>
        <v/>
      </c>
      <c r="Z517">
        <f>IF(M517=1,(P517-Assumptions!$B$37)*Assumptions!$B$153,0)</f>
        <v/>
      </c>
      <c r="AA517">
        <f>Q517+R517+S517+T517+U517+V517+W517+X517+Y517+Z517</f>
        <v/>
      </c>
      <c r="AB517" t="n">
        <v>82</v>
      </c>
      <c r="AC517" t="n">
        <v>18</v>
      </c>
      <c r="AD517" t="n">
        <v>114</v>
      </c>
      <c r="AE517" t="n">
        <v>66</v>
      </c>
      <c r="AF517" t="n">
        <v>90</v>
      </c>
      <c r="AG517" t="n">
        <v>86</v>
      </c>
      <c r="AH517" t="n">
        <v>80</v>
      </c>
      <c r="AI517" t="n">
        <v>83</v>
      </c>
      <c r="AJ517">
        <f>INDEX($Q$435:$Q$562,AC517+1)</f>
        <v/>
      </c>
      <c r="AK517">
        <f>INDEX($R$435:$R$562,AD517+1)</f>
        <v/>
      </c>
      <c r="AL517">
        <f>INDEX($S$435:$S$562,AE517+1)</f>
        <v/>
      </c>
      <c r="AM517">
        <f>INDEX($T$435:$T$562,AF517+1)</f>
        <v/>
      </c>
      <c r="AN517">
        <f>INDEX($U$435:$U$562,AG517+1)</f>
        <v/>
      </c>
      <c r="AO517">
        <f>INDEX($V$435:$V$562,AH517+1)</f>
        <v/>
      </c>
      <c r="AP517">
        <f>INDEX($W$435:$W$562,AI517+1)</f>
        <v/>
      </c>
      <c r="AQ517">
        <f>IF(Q517&gt;=AJ517-0.01,1,0)</f>
        <v/>
      </c>
      <c r="AR517">
        <f>IF(R517&gt;=AK517-0.01,1,0)</f>
        <v/>
      </c>
      <c r="AS517">
        <f>IF(S517&gt;=AL517-0.01,1,0)</f>
        <v/>
      </c>
      <c r="AT517">
        <f>IF(T517&gt;=AM517-0.01,1,0)</f>
        <v/>
      </c>
      <c r="AU517">
        <f>IF(U517&gt;=AN517-0.01,1,0)</f>
        <v/>
      </c>
      <c r="AV517">
        <f>IF(V517&gt;=AO517-0.01,1,0)</f>
        <v/>
      </c>
      <c r="AW517">
        <f>IF(W517&gt;=AP517-0.01,1,0)</f>
        <v/>
      </c>
      <c r="AX517">
        <f>AQ517*AR517*AS517*AT517*AU517*AV517*AW517</f>
        <v/>
      </c>
      <c r="AY517">
        <f>Assumptions!$B$41</f>
        <v/>
      </c>
      <c r="AZ517">
        <f>Assumptions!$B$33</f>
        <v/>
      </c>
      <c r="BA517">
        <f>Assumptions!$B$32</f>
        <v/>
      </c>
      <c r="BB517">
        <f>Assumptions!$B$31</f>
        <v/>
      </c>
      <c r="BC517">
        <f>Assumptions!$B$30</f>
        <v/>
      </c>
      <c r="BD517">
        <f>Assumptions!$B$29</f>
        <v/>
      </c>
      <c r="BE517">
        <f>Assumptions!$B$28</f>
        <v/>
      </c>
      <c r="BF517">
        <f>P517*Assumptions!$B$141</f>
        <v/>
      </c>
      <c r="BG517">
        <f>P517*Assumptions!$B$128</f>
        <v/>
      </c>
      <c r="BH517">
        <f>P517*Assumptions!$B$129</f>
        <v/>
      </c>
      <c r="BI517">
        <f>P517*Assumptions!$B$14</f>
        <v/>
      </c>
      <c r="BJ517">
        <f>P517*Assumptions!$B$13</f>
        <v/>
      </c>
      <c r="BK517">
        <f>P517*Assumptions!$B$12</f>
        <v/>
      </c>
      <c r="BL517">
        <f>P517*Assumptions!$B$11</f>
        <v/>
      </c>
    </row>
    <row r="518">
      <c r="A518" t="inlineStr">
        <is>
          <t>4000M</t>
        </is>
      </c>
      <c r="B518">
        <f>Assumptions!$B$61</f>
        <v/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>
        <f>(1-C518)*Assumptions!$B$41+(1-D518)*Assumptions!$B$33+(1-E518)*Assumptions!$B$32+(1-F518)*Assumptions!$B$31+(1-G518)*Assumptions!$B$30+(1-H518)*Assumptions!$B$29+(1-I518)*Assumptions!$B$28</f>
        <v/>
      </c>
      <c r="K518">
        <f>C518*Assumptions!$B$141+D518*Assumptions!$B$128+E518*Assumptions!$B$129+F518*Assumptions!$B$14+G518*Assumptions!$B$13+H518*Assumptions!$B$12+I518*Assumptions!$B$11+Assumptions!$B$133+Assumptions!$B$137+Assumptions!$B$9</f>
        <v/>
      </c>
      <c r="L518">
        <f>B518-J518</f>
        <v/>
      </c>
      <c r="M518">
        <f>IF(K518&gt;0,IF(L518/K518&gt;=Assumptions!$B$37,1,0),0)</f>
        <v/>
      </c>
      <c r="N518">
        <f>K518+M518*Assumptions!$B$153</f>
        <v/>
      </c>
      <c r="O518">
        <f>L518+M518*Assumptions!$B$153*Assumptions!$B$37</f>
        <v/>
      </c>
      <c r="P518">
        <f>IF(N518&gt;0,O518/N518,0)</f>
        <v/>
      </c>
      <c r="Q518">
        <f>IF(C518=1,P518*Assumptions!$B$141,Assumptions!$B$41)</f>
        <v/>
      </c>
      <c r="R518">
        <f>IF(D518=1,P518*Assumptions!$B$128,Assumptions!$B$33)</f>
        <v/>
      </c>
      <c r="S518">
        <f>IF(E518=1,P518*Assumptions!$B$129,Assumptions!$B$32)</f>
        <v/>
      </c>
      <c r="T518">
        <f>IF(F518=1,P518*Assumptions!$B$14,Assumptions!$B$31)</f>
        <v/>
      </c>
      <c r="U518">
        <f>IF(G518=1,P518*Assumptions!$B$13,Assumptions!$B$30)</f>
        <v/>
      </c>
      <c r="V518">
        <f>IF(H518=1,P518*Assumptions!$B$12,Assumptions!$B$29)</f>
        <v/>
      </c>
      <c r="W518">
        <f>IF(I518=1,P518*Assumptions!$B$11,Assumptions!$B$28)</f>
        <v/>
      </c>
      <c r="X518">
        <f>P518*(Assumptions!$B$133+Assumptions!$B$137)</f>
        <v/>
      </c>
      <c r="Y518">
        <f>P518*Assumptions!$B$9</f>
        <v/>
      </c>
      <c r="Z518">
        <f>IF(M518=1,(P518-Assumptions!$B$37)*Assumptions!$B$153,0)</f>
        <v/>
      </c>
      <c r="AA518">
        <f>Q518+R518+S518+T518+U518+V518+W518+X518+Y518+Z518</f>
        <v/>
      </c>
      <c r="AB518" t="n">
        <v>83</v>
      </c>
      <c r="AC518" t="n">
        <v>19</v>
      </c>
      <c r="AD518" t="n">
        <v>115</v>
      </c>
      <c r="AE518" t="n">
        <v>67</v>
      </c>
      <c r="AF518" t="n">
        <v>91</v>
      </c>
      <c r="AG518" t="n">
        <v>87</v>
      </c>
      <c r="AH518" t="n">
        <v>81</v>
      </c>
      <c r="AI518" t="n">
        <v>82</v>
      </c>
      <c r="AJ518">
        <f>INDEX($Q$435:$Q$562,AC518+1)</f>
        <v/>
      </c>
      <c r="AK518">
        <f>INDEX($R$435:$R$562,AD518+1)</f>
        <v/>
      </c>
      <c r="AL518">
        <f>INDEX($S$435:$S$562,AE518+1)</f>
        <v/>
      </c>
      <c r="AM518">
        <f>INDEX($T$435:$T$562,AF518+1)</f>
        <v/>
      </c>
      <c r="AN518">
        <f>INDEX($U$435:$U$562,AG518+1)</f>
        <v/>
      </c>
      <c r="AO518">
        <f>INDEX($V$435:$V$562,AH518+1)</f>
        <v/>
      </c>
      <c r="AP518">
        <f>INDEX($W$435:$W$562,AI518+1)</f>
        <v/>
      </c>
      <c r="AQ518">
        <f>IF(Q518&gt;=AJ518-0.01,1,0)</f>
        <v/>
      </c>
      <c r="AR518">
        <f>IF(R518&gt;=AK518-0.01,1,0)</f>
        <v/>
      </c>
      <c r="AS518">
        <f>IF(S518&gt;=AL518-0.01,1,0)</f>
        <v/>
      </c>
      <c r="AT518">
        <f>IF(T518&gt;=AM518-0.01,1,0)</f>
        <v/>
      </c>
      <c r="AU518">
        <f>IF(U518&gt;=AN518-0.01,1,0)</f>
        <v/>
      </c>
      <c r="AV518">
        <f>IF(V518&gt;=AO518-0.01,1,0)</f>
        <v/>
      </c>
      <c r="AW518">
        <f>IF(W518&gt;=AP518-0.01,1,0)</f>
        <v/>
      </c>
      <c r="AX518">
        <f>AQ518*AR518*AS518*AT518*AU518*AV518*AW518</f>
        <v/>
      </c>
      <c r="AY518">
        <f>Assumptions!$B$41</f>
        <v/>
      </c>
      <c r="AZ518">
        <f>Assumptions!$B$33</f>
        <v/>
      </c>
      <c r="BA518">
        <f>Assumptions!$B$32</f>
        <v/>
      </c>
      <c r="BB518">
        <f>Assumptions!$B$31</f>
        <v/>
      </c>
      <c r="BC518">
        <f>Assumptions!$B$30</f>
        <v/>
      </c>
      <c r="BD518">
        <f>Assumptions!$B$29</f>
        <v/>
      </c>
      <c r="BE518">
        <f>Assumptions!$B$28</f>
        <v/>
      </c>
      <c r="BF518">
        <f>P518*Assumptions!$B$141</f>
        <v/>
      </c>
      <c r="BG518">
        <f>P518*Assumptions!$B$128</f>
        <v/>
      </c>
      <c r="BH518">
        <f>P518*Assumptions!$B$129</f>
        <v/>
      </c>
      <c r="BI518">
        <f>P518*Assumptions!$B$14</f>
        <v/>
      </c>
      <c r="BJ518">
        <f>P518*Assumptions!$B$13</f>
        <v/>
      </c>
      <c r="BK518">
        <f>P518*Assumptions!$B$12</f>
        <v/>
      </c>
      <c r="BL518">
        <f>P518*Assumptions!$B$11</f>
        <v/>
      </c>
    </row>
    <row r="519">
      <c r="A519" t="inlineStr">
        <is>
          <t>4000M</t>
        </is>
      </c>
      <c r="B519">
        <f>Assumptions!$B$61</f>
        <v/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>
        <f>(1-C519)*Assumptions!$B$41+(1-D519)*Assumptions!$B$33+(1-E519)*Assumptions!$B$32+(1-F519)*Assumptions!$B$31+(1-G519)*Assumptions!$B$30+(1-H519)*Assumptions!$B$29+(1-I519)*Assumptions!$B$28</f>
        <v/>
      </c>
      <c r="K519">
        <f>C519*Assumptions!$B$141+D519*Assumptions!$B$128+E519*Assumptions!$B$129+F519*Assumptions!$B$14+G519*Assumptions!$B$13+H519*Assumptions!$B$12+I519*Assumptions!$B$11+Assumptions!$B$133+Assumptions!$B$137+Assumptions!$B$9</f>
        <v/>
      </c>
      <c r="L519">
        <f>B519-J519</f>
        <v/>
      </c>
      <c r="M519">
        <f>IF(K519&gt;0,IF(L519/K519&gt;=Assumptions!$B$37,1,0),0)</f>
        <v/>
      </c>
      <c r="N519">
        <f>K519+M519*Assumptions!$B$153</f>
        <v/>
      </c>
      <c r="O519">
        <f>L519+M519*Assumptions!$B$153*Assumptions!$B$37</f>
        <v/>
      </c>
      <c r="P519">
        <f>IF(N519&gt;0,O519/N519,0)</f>
        <v/>
      </c>
      <c r="Q519">
        <f>IF(C519=1,P519*Assumptions!$B$141,Assumptions!$B$41)</f>
        <v/>
      </c>
      <c r="R519">
        <f>IF(D519=1,P519*Assumptions!$B$128,Assumptions!$B$33)</f>
        <v/>
      </c>
      <c r="S519">
        <f>IF(E519=1,P519*Assumptions!$B$129,Assumptions!$B$32)</f>
        <v/>
      </c>
      <c r="T519">
        <f>IF(F519=1,P519*Assumptions!$B$14,Assumptions!$B$31)</f>
        <v/>
      </c>
      <c r="U519">
        <f>IF(G519=1,P519*Assumptions!$B$13,Assumptions!$B$30)</f>
        <v/>
      </c>
      <c r="V519">
        <f>IF(H519=1,P519*Assumptions!$B$12,Assumptions!$B$29)</f>
        <v/>
      </c>
      <c r="W519">
        <f>IF(I519=1,P519*Assumptions!$B$11,Assumptions!$B$28)</f>
        <v/>
      </c>
      <c r="X519">
        <f>P519*(Assumptions!$B$133+Assumptions!$B$137)</f>
        <v/>
      </c>
      <c r="Y519">
        <f>P519*Assumptions!$B$9</f>
        <v/>
      </c>
      <c r="Z519">
        <f>IF(M519=1,(P519-Assumptions!$B$37)*Assumptions!$B$153,0)</f>
        <v/>
      </c>
      <c r="AA519">
        <f>Q519+R519+S519+T519+U519+V519+W519+X519+Y519+Z519</f>
        <v/>
      </c>
      <c r="AB519" t="n">
        <v>84</v>
      </c>
      <c r="AC519" t="n">
        <v>20</v>
      </c>
      <c r="AD519" t="n">
        <v>116</v>
      </c>
      <c r="AE519" t="n">
        <v>68</v>
      </c>
      <c r="AF519" t="n">
        <v>92</v>
      </c>
      <c r="AG519" t="n">
        <v>80</v>
      </c>
      <c r="AH519" t="n">
        <v>86</v>
      </c>
      <c r="AI519" t="n">
        <v>85</v>
      </c>
      <c r="AJ519">
        <f>INDEX($Q$435:$Q$562,AC519+1)</f>
        <v/>
      </c>
      <c r="AK519">
        <f>INDEX($R$435:$R$562,AD519+1)</f>
        <v/>
      </c>
      <c r="AL519">
        <f>INDEX($S$435:$S$562,AE519+1)</f>
        <v/>
      </c>
      <c r="AM519">
        <f>INDEX($T$435:$T$562,AF519+1)</f>
        <v/>
      </c>
      <c r="AN519">
        <f>INDEX($U$435:$U$562,AG519+1)</f>
        <v/>
      </c>
      <c r="AO519">
        <f>INDEX($V$435:$V$562,AH519+1)</f>
        <v/>
      </c>
      <c r="AP519">
        <f>INDEX($W$435:$W$562,AI519+1)</f>
        <v/>
      </c>
      <c r="AQ519">
        <f>IF(Q519&gt;=AJ519-0.01,1,0)</f>
        <v/>
      </c>
      <c r="AR519">
        <f>IF(R519&gt;=AK519-0.01,1,0)</f>
        <v/>
      </c>
      <c r="AS519">
        <f>IF(S519&gt;=AL519-0.01,1,0)</f>
        <v/>
      </c>
      <c r="AT519">
        <f>IF(T519&gt;=AM519-0.01,1,0)</f>
        <v/>
      </c>
      <c r="AU519">
        <f>IF(U519&gt;=AN519-0.01,1,0)</f>
        <v/>
      </c>
      <c r="AV519">
        <f>IF(V519&gt;=AO519-0.01,1,0)</f>
        <v/>
      </c>
      <c r="AW519">
        <f>IF(W519&gt;=AP519-0.01,1,0)</f>
        <v/>
      </c>
      <c r="AX519">
        <f>AQ519*AR519*AS519*AT519*AU519*AV519*AW519</f>
        <v/>
      </c>
      <c r="AY519">
        <f>Assumptions!$B$41</f>
        <v/>
      </c>
      <c r="AZ519">
        <f>Assumptions!$B$33</f>
        <v/>
      </c>
      <c r="BA519">
        <f>Assumptions!$B$32</f>
        <v/>
      </c>
      <c r="BB519">
        <f>Assumptions!$B$31</f>
        <v/>
      </c>
      <c r="BC519">
        <f>Assumptions!$B$30</f>
        <v/>
      </c>
      <c r="BD519">
        <f>Assumptions!$B$29</f>
        <v/>
      </c>
      <c r="BE519">
        <f>Assumptions!$B$28</f>
        <v/>
      </c>
      <c r="BF519">
        <f>P519*Assumptions!$B$141</f>
        <v/>
      </c>
      <c r="BG519">
        <f>P519*Assumptions!$B$128</f>
        <v/>
      </c>
      <c r="BH519">
        <f>P519*Assumptions!$B$129</f>
        <v/>
      </c>
      <c r="BI519">
        <f>P519*Assumptions!$B$14</f>
        <v/>
      </c>
      <c r="BJ519">
        <f>P519*Assumptions!$B$13</f>
        <v/>
      </c>
      <c r="BK519">
        <f>P519*Assumptions!$B$12</f>
        <v/>
      </c>
      <c r="BL519">
        <f>P519*Assumptions!$B$11</f>
        <v/>
      </c>
    </row>
    <row r="520">
      <c r="A520" t="inlineStr">
        <is>
          <t>4000M</t>
        </is>
      </c>
      <c r="B520">
        <f>Assumptions!$B$61</f>
        <v/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>
        <f>(1-C520)*Assumptions!$B$41+(1-D520)*Assumptions!$B$33+(1-E520)*Assumptions!$B$32+(1-F520)*Assumptions!$B$31+(1-G520)*Assumptions!$B$30+(1-H520)*Assumptions!$B$29+(1-I520)*Assumptions!$B$28</f>
        <v/>
      </c>
      <c r="K520">
        <f>C520*Assumptions!$B$141+D520*Assumptions!$B$128+E520*Assumptions!$B$129+F520*Assumptions!$B$14+G520*Assumptions!$B$13+H520*Assumptions!$B$12+I520*Assumptions!$B$11+Assumptions!$B$133+Assumptions!$B$137+Assumptions!$B$9</f>
        <v/>
      </c>
      <c r="L520">
        <f>B520-J520</f>
        <v/>
      </c>
      <c r="M520">
        <f>IF(K520&gt;0,IF(L520/K520&gt;=Assumptions!$B$37,1,0),0)</f>
        <v/>
      </c>
      <c r="N520">
        <f>K520+M520*Assumptions!$B$153</f>
        <v/>
      </c>
      <c r="O520">
        <f>L520+M520*Assumptions!$B$153*Assumptions!$B$37</f>
        <v/>
      </c>
      <c r="P520">
        <f>IF(N520&gt;0,O520/N520,0)</f>
        <v/>
      </c>
      <c r="Q520">
        <f>IF(C520=1,P520*Assumptions!$B$141,Assumptions!$B$41)</f>
        <v/>
      </c>
      <c r="R520">
        <f>IF(D520=1,P520*Assumptions!$B$128,Assumptions!$B$33)</f>
        <v/>
      </c>
      <c r="S520">
        <f>IF(E520=1,P520*Assumptions!$B$129,Assumptions!$B$32)</f>
        <v/>
      </c>
      <c r="T520">
        <f>IF(F520=1,P520*Assumptions!$B$14,Assumptions!$B$31)</f>
        <v/>
      </c>
      <c r="U520">
        <f>IF(G520=1,P520*Assumptions!$B$13,Assumptions!$B$30)</f>
        <v/>
      </c>
      <c r="V520">
        <f>IF(H520=1,P520*Assumptions!$B$12,Assumptions!$B$29)</f>
        <v/>
      </c>
      <c r="W520">
        <f>IF(I520=1,P520*Assumptions!$B$11,Assumptions!$B$28)</f>
        <v/>
      </c>
      <c r="X520">
        <f>P520*(Assumptions!$B$133+Assumptions!$B$137)</f>
        <v/>
      </c>
      <c r="Y520">
        <f>P520*Assumptions!$B$9</f>
        <v/>
      </c>
      <c r="Z520">
        <f>IF(M520=1,(P520-Assumptions!$B$37)*Assumptions!$B$153,0)</f>
        <v/>
      </c>
      <c r="AA520">
        <f>Q520+R520+S520+T520+U520+V520+W520+X520+Y520+Z520</f>
        <v/>
      </c>
      <c r="AB520" t="n">
        <v>85</v>
      </c>
      <c r="AC520" t="n">
        <v>21</v>
      </c>
      <c r="AD520" t="n">
        <v>117</v>
      </c>
      <c r="AE520" t="n">
        <v>69</v>
      </c>
      <c r="AF520" t="n">
        <v>93</v>
      </c>
      <c r="AG520" t="n">
        <v>81</v>
      </c>
      <c r="AH520" t="n">
        <v>87</v>
      </c>
      <c r="AI520" t="n">
        <v>84</v>
      </c>
      <c r="AJ520">
        <f>INDEX($Q$435:$Q$562,AC520+1)</f>
        <v/>
      </c>
      <c r="AK520">
        <f>INDEX($R$435:$R$562,AD520+1)</f>
        <v/>
      </c>
      <c r="AL520">
        <f>INDEX($S$435:$S$562,AE520+1)</f>
        <v/>
      </c>
      <c r="AM520">
        <f>INDEX($T$435:$T$562,AF520+1)</f>
        <v/>
      </c>
      <c r="AN520">
        <f>INDEX($U$435:$U$562,AG520+1)</f>
        <v/>
      </c>
      <c r="AO520">
        <f>INDEX($V$435:$V$562,AH520+1)</f>
        <v/>
      </c>
      <c r="AP520">
        <f>INDEX($W$435:$W$562,AI520+1)</f>
        <v/>
      </c>
      <c r="AQ520">
        <f>IF(Q520&gt;=AJ520-0.01,1,0)</f>
        <v/>
      </c>
      <c r="AR520">
        <f>IF(R520&gt;=AK520-0.01,1,0)</f>
        <v/>
      </c>
      <c r="AS520">
        <f>IF(S520&gt;=AL520-0.01,1,0)</f>
        <v/>
      </c>
      <c r="AT520">
        <f>IF(T520&gt;=AM520-0.01,1,0)</f>
        <v/>
      </c>
      <c r="AU520">
        <f>IF(U520&gt;=AN520-0.01,1,0)</f>
        <v/>
      </c>
      <c r="AV520">
        <f>IF(V520&gt;=AO520-0.01,1,0)</f>
        <v/>
      </c>
      <c r="AW520">
        <f>IF(W520&gt;=AP520-0.01,1,0)</f>
        <v/>
      </c>
      <c r="AX520">
        <f>AQ520*AR520*AS520*AT520*AU520*AV520*AW520</f>
        <v/>
      </c>
      <c r="AY520">
        <f>Assumptions!$B$41</f>
        <v/>
      </c>
      <c r="AZ520">
        <f>Assumptions!$B$33</f>
        <v/>
      </c>
      <c r="BA520">
        <f>Assumptions!$B$32</f>
        <v/>
      </c>
      <c r="BB520">
        <f>Assumptions!$B$31</f>
        <v/>
      </c>
      <c r="BC520">
        <f>Assumptions!$B$30</f>
        <v/>
      </c>
      <c r="BD520">
        <f>Assumptions!$B$29</f>
        <v/>
      </c>
      <c r="BE520">
        <f>Assumptions!$B$28</f>
        <v/>
      </c>
      <c r="BF520">
        <f>P520*Assumptions!$B$141</f>
        <v/>
      </c>
      <c r="BG520">
        <f>P520*Assumptions!$B$128</f>
        <v/>
      </c>
      <c r="BH520">
        <f>P520*Assumptions!$B$129</f>
        <v/>
      </c>
      <c r="BI520">
        <f>P520*Assumptions!$B$14</f>
        <v/>
      </c>
      <c r="BJ520">
        <f>P520*Assumptions!$B$13</f>
        <v/>
      </c>
      <c r="BK520">
        <f>P520*Assumptions!$B$12</f>
        <v/>
      </c>
      <c r="BL520">
        <f>P520*Assumptions!$B$11</f>
        <v/>
      </c>
    </row>
    <row r="521">
      <c r="A521" t="inlineStr">
        <is>
          <t>4000M</t>
        </is>
      </c>
      <c r="B521">
        <f>Assumptions!$B$61</f>
        <v/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>
        <f>(1-C521)*Assumptions!$B$41+(1-D521)*Assumptions!$B$33+(1-E521)*Assumptions!$B$32+(1-F521)*Assumptions!$B$31+(1-G521)*Assumptions!$B$30+(1-H521)*Assumptions!$B$29+(1-I521)*Assumptions!$B$28</f>
        <v/>
      </c>
      <c r="K521">
        <f>C521*Assumptions!$B$141+D521*Assumptions!$B$128+E521*Assumptions!$B$129+F521*Assumptions!$B$14+G521*Assumptions!$B$13+H521*Assumptions!$B$12+I521*Assumptions!$B$11+Assumptions!$B$133+Assumptions!$B$137+Assumptions!$B$9</f>
        <v/>
      </c>
      <c r="L521">
        <f>B521-J521</f>
        <v/>
      </c>
      <c r="M521">
        <f>IF(K521&gt;0,IF(L521/K521&gt;=Assumptions!$B$37,1,0),0)</f>
        <v/>
      </c>
      <c r="N521">
        <f>K521+M521*Assumptions!$B$153</f>
        <v/>
      </c>
      <c r="O521">
        <f>L521+M521*Assumptions!$B$153*Assumptions!$B$37</f>
        <v/>
      </c>
      <c r="P521">
        <f>IF(N521&gt;0,O521/N521,0)</f>
        <v/>
      </c>
      <c r="Q521">
        <f>IF(C521=1,P521*Assumptions!$B$141,Assumptions!$B$41)</f>
        <v/>
      </c>
      <c r="R521">
        <f>IF(D521=1,P521*Assumptions!$B$128,Assumptions!$B$33)</f>
        <v/>
      </c>
      <c r="S521">
        <f>IF(E521=1,P521*Assumptions!$B$129,Assumptions!$B$32)</f>
        <v/>
      </c>
      <c r="T521">
        <f>IF(F521=1,P521*Assumptions!$B$14,Assumptions!$B$31)</f>
        <v/>
      </c>
      <c r="U521">
        <f>IF(G521=1,P521*Assumptions!$B$13,Assumptions!$B$30)</f>
        <v/>
      </c>
      <c r="V521">
        <f>IF(H521=1,P521*Assumptions!$B$12,Assumptions!$B$29)</f>
        <v/>
      </c>
      <c r="W521">
        <f>IF(I521=1,P521*Assumptions!$B$11,Assumptions!$B$28)</f>
        <v/>
      </c>
      <c r="X521">
        <f>P521*(Assumptions!$B$133+Assumptions!$B$137)</f>
        <v/>
      </c>
      <c r="Y521">
        <f>P521*Assumptions!$B$9</f>
        <v/>
      </c>
      <c r="Z521">
        <f>IF(M521=1,(P521-Assumptions!$B$37)*Assumptions!$B$153,0)</f>
        <v/>
      </c>
      <c r="AA521">
        <f>Q521+R521+S521+T521+U521+V521+W521+X521+Y521+Z521</f>
        <v/>
      </c>
      <c r="AB521" t="n">
        <v>86</v>
      </c>
      <c r="AC521" t="n">
        <v>22</v>
      </c>
      <c r="AD521" t="n">
        <v>118</v>
      </c>
      <c r="AE521" t="n">
        <v>70</v>
      </c>
      <c r="AF521" t="n">
        <v>94</v>
      </c>
      <c r="AG521" t="n">
        <v>82</v>
      </c>
      <c r="AH521" t="n">
        <v>84</v>
      </c>
      <c r="AI521" t="n">
        <v>87</v>
      </c>
      <c r="AJ521">
        <f>INDEX($Q$435:$Q$562,AC521+1)</f>
        <v/>
      </c>
      <c r="AK521">
        <f>INDEX($R$435:$R$562,AD521+1)</f>
        <v/>
      </c>
      <c r="AL521">
        <f>INDEX($S$435:$S$562,AE521+1)</f>
        <v/>
      </c>
      <c r="AM521">
        <f>INDEX($T$435:$T$562,AF521+1)</f>
        <v/>
      </c>
      <c r="AN521">
        <f>INDEX($U$435:$U$562,AG521+1)</f>
        <v/>
      </c>
      <c r="AO521">
        <f>INDEX($V$435:$V$562,AH521+1)</f>
        <v/>
      </c>
      <c r="AP521">
        <f>INDEX($W$435:$W$562,AI521+1)</f>
        <v/>
      </c>
      <c r="AQ521">
        <f>IF(Q521&gt;=AJ521-0.01,1,0)</f>
        <v/>
      </c>
      <c r="AR521">
        <f>IF(R521&gt;=AK521-0.01,1,0)</f>
        <v/>
      </c>
      <c r="AS521">
        <f>IF(S521&gt;=AL521-0.01,1,0)</f>
        <v/>
      </c>
      <c r="AT521">
        <f>IF(T521&gt;=AM521-0.01,1,0)</f>
        <v/>
      </c>
      <c r="AU521">
        <f>IF(U521&gt;=AN521-0.01,1,0)</f>
        <v/>
      </c>
      <c r="AV521">
        <f>IF(V521&gt;=AO521-0.01,1,0)</f>
        <v/>
      </c>
      <c r="AW521">
        <f>IF(W521&gt;=AP521-0.01,1,0)</f>
        <v/>
      </c>
      <c r="AX521">
        <f>AQ521*AR521*AS521*AT521*AU521*AV521*AW521</f>
        <v/>
      </c>
      <c r="AY521">
        <f>Assumptions!$B$41</f>
        <v/>
      </c>
      <c r="AZ521">
        <f>Assumptions!$B$33</f>
        <v/>
      </c>
      <c r="BA521">
        <f>Assumptions!$B$32</f>
        <v/>
      </c>
      <c r="BB521">
        <f>Assumptions!$B$31</f>
        <v/>
      </c>
      <c r="BC521">
        <f>Assumptions!$B$30</f>
        <v/>
      </c>
      <c r="BD521">
        <f>Assumptions!$B$29</f>
        <v/>
      </c>
      <c r="BE521">
        <f>Assumptions!$B$28</f>
        <v/>
      </c>
      <c r="BF521">
        <f>P521*Assumptions!$B$141</f>
        <v/>
      </c>
      <c r="BG521">
        <f>P521*Assumptions!$B$128</f>
        <v/>
      </c>
      <c r="BH521">
        <f>P521*Assumptions!$B$129</f>
        <v/>
      </c>
      <c r="BI521">
        <f>P521*Assumptions!$B$14</f>
        <v/>
      </c>
      <c r="BJ521">
        <f>P521*Assumptions!$B$13</f>
        <v/>
      </c>
      <c r="BK521">
        <f>P521*Assumptions!$B$12</f>
        <v/>
      </c>
      <c r="BL521">
        <f>P521*Assumptions!$B$11</f>
        <v/>
      </c>
    </row>
    <row r="522">
      <c r="A522" t="inlineStr">
        <is>
          <t>4000M</t>
        </is>
      </c>
      <c r="B522">
        <f>Assumptions!$B$61</f>
        <v/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>
        <f>(1-C522)*Assumptions!$B$41+(1-D522)*Assumptions!$B$33+(1-E522)*Assumptions!$B$32+(1-F522)*Assumptions!$B$31+(1-G522)*Assumptions!$B$30+(1-H522)*Assumptions!$B$29+(1-I522)*Assumptions!$B$28</f>
        <v/>
      </c>
      <c r="K522">
        <f>C522*Assumptions!$B$141+D522*Assumptions!$B$128+E522*Assumptions!$B$129+F522*Assumptions!$B$14+G522*Assumptions!$B$13+H522*Assumptions!$B$12+I522*Assumptions!$B$11+Assumptions!$B$133+Assumptions!$B$137+Assumptions!$B$9</f>
        <v/>
      </c>
      <c r="L522">
        <f>B522-J522</f>
        <v/>
      </c>
      <c r="M522">
        <f>IF(K522&gt;0,IF(L522/K522&gt;=Assumptions!$B$37,1,0),0)</f>
        <v/>
      </c>
      <c r="N522">
        <f>K522+M522*Assumptions!$B$153</f>
        <v/>
      </c>
      <c r="O522">
        <f>L522+M522*Assumptions!$B$153*Assumptions!$B$37</f>
        <v/>
      </c>
      <c r="P522">
        <f>IF(N522&gt;0,O522/N522,0)</f>
        <v/>
      </c>
      <c r="Q522">
        <f>IF(C522=1,P522*Assumptions!$B$141,Assumptions!$B$41)</f>
        <v/>
      </c>
      <c r="R522">
        <f>IF(D522=1,P522*Assumptions!$B$128,Assumptions!$B$33)</f>
        <v/>
      </c>
      <c r="S522">
        <f>IF(E522=1,P522*Assumptions!$B$129,Assumptions!$B$32)</f>
        <v/>
      </c>
      <c r="T522">
        <f>IF(F522=1,P522*Assumptions!$B$14,Assumptions!$B$31)</f>
        <v/>
      </c>
      <c r="U522">
        <f>IF(G522=1,P522*Assumptions!$B$13,Assumptions!$B$30)</f>
        <v/>
      </c>
      <c r="V522">
        <f>IF(H522=1,P522*Assumptions!$B$12,Assumptions!$B$29)</f>
        <v/>
      </c>
      <c r="W522">
        <f>IF(I522=1,P522*Assumptions!$B$11,Assumptions!$B$28)</f>
        <v/>
      </c>
      <c r="X522">
        <f>P522*(Assumptions!$B$133+Assumptions!$B$137)</f>
        <v/>
      </c>
      <c r="Y522">
        <f>P522*Assumptions!$B$9</f>
        <v/>
      </c>
      <c r="Z522">
        <f>IF(M522=1,(P522-Assumptions!$B$37)*Assumptions!$B$153,0)</f>
        <v/>
      </c>
      <c r="AA522">
        <f>Q522+R522+S522+T522+U522+V522+W522+X522+Y522+Z522</f>
        <v/>
      </c>
      <c r="AB522" t="n">
        <v>87</v>
      </c>
      <c r="AC522" t="n">
        <v>23</v>
      </c>
      <c r="AD522" t="n">
        <v>119</v>
      </c>
      <c r="AE522" t="n">
        <v>71</v>
      </c>
      <c r="AF522" t="n">
        <v>95</v>
      </c>
      <c r="AG522" t="n">
        <v>83</v>
      </c>
      <c r="AH522" t="n">
        <v>85</v>
      </c>
      <c r="AI522" t="n">
        <v>86</v>
      </c>
      <c r="AJ522">
        <f>INDEX($Q$435:$Q$562,AC522+1)</f>
        <v/>
      </c>
      <c r="AK522">
        <f>INDEX($R$435:$R$562,AD522+1)</f>
        <v/>
      </c>
      <c r="AL522">
        <f>INDEX($S$435:$S$562,AE522+1)</f>
        <v/>
      </c>
      <c r="AM522">
        <f>INDEX($T$435:$T$562,AF522+1)</f>
        <v/>
      </c>
      <c r="AN522">
        <f>INDEX($U$435:$U$562,AG522+1)</f>
        <v/>
      </c>
      <c r="AO522">
        <f>INDEX($V$435:$V$562,AH522+1)</f>
        <v/>
      </c>
      <c r="AP522">
        <f>INDEX($W$435:$W$562,AI522+1)</f>
        <v/>
      </c>
      <c r="AQ522">
        <f>IF(Q522&gt;=AJ522-0.01,1,0)</f>
        <v/>
      </c>
      <c r="AR522">
        <f>IF(R522&gt;=AK522-0.01,1,0)</f>
        <v/>
      </c>
      <c r="AS522">
        <f>IF(S522&gt;=AL522-0.01,1,0)</f>
        <v/>
      </c>
      <c r="AT522">
        <f>IF(T522&gt;=AM522-0.01,1,0)</f>
        <v/>
      </c>
      <c r="AU522">
        <f>IF(U522&gt;=AN522-0.01,1,0)</f>
        <v/>
      </c>
      <c r="AV522">
        <f>IF(V522&gt;=AO522-0.01,1,0)</f>
        <v/>
      </c>
      <c r="AW522">
        <f>IF(W522&gt;=AP522-0.01,1,0)</f>
        <v/>
      </c>
      <c r="AX522">
        <f>AQ522*AR522*AS522*AT522*AU522*AV522*AW522</f>
        <v/>
      </c>
      <c r="AY522">
        <f>Assumptions!$B$41</f>
        <v/>
      </c>
      <c r="AZ522">
        <f>Assumptions!$B$33</f>
        <v/>
      </c>
      <c r="BA522">
        <f>Assumptions!$B$32</f>
        <v/>
      </c>
      <c r="BB522">
        <f>Assumptions!$B$31</f>
        <v/>
      </c>
      <c r="BC522">
        <f>Assumptions!$B$30</f>
        <v/>
      </c>
      <c r="BD522">
        <f>Assumptions!$B$29</f>
        <v/>
      </c>
      <c r="BE522">
        <f>Assumptions!$B$28</f>
        <v/>
      </c>
      <c r="BF522">
        <f>P522*Assumptions!$B$141</f>
        <v/>
      </c>
      <c r="BG522">
        <f>P522*Assumptions!$B$128</f>
        <v/>
      </c>
      <c r="BH522">
        <f>P522*Assumptions!$B$129</f>
        <v/>
      </c>
      <c r="BI522">
        <f>P522*Assumptions!$B$14</f>
        <v/>
      </c>
      <c r="BJ522">
        <f>P522*Assumptions!$B$13</f>
        <v/>
      </c>
      <c r="BK522">
        <f>P522*Assumptions!$B$12</f>
        <v/>
      </c>
      <c r="BL522">
        <f>P522*Assumptions!$B$11</f>
        <v/>
      </c>
    </row>
    <row r="523">
      <c r="A523" t="inlineStr">
        <is>
          <t>4000M</t>
        </is>
      </c>
      <c r="B523">
        <f>Assumptions!$B$61</f>
        <v/>
      </c>
      <c r="C523" t="n">
        <v>1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>
        <f>(1-C523)*Assumptions!$B$41+(1-D523)*Assumptions!$B$33+(1-E523)*Assumptions!$B$32+(1-F523)*Assumptions!$B$31+(1-G523)*Assumptions!$B$30+(1-H523)*Assumptions!$B$29+(1-I523)*Assumptions!$B$28</f>
        <v/>
      </c>
      <c r="K523">
        <f>C523*Assumptions!$B$141+D523*Assumptions!$B$128+E523*Assumptions!$B$129+F523*Assumptions!$B$14+G523*Assumptions!$B$13+H523*Assumptions!$B$12+I523*Assumptions!$B$11+Assumptions!$B$133+Assumptions!$B$137+Assumptions!$B$9</f>
        <v/>
      </c>
      <c r="L523">
        <f>B523-J523</f>
        <v/>
      </c>
      <c r="M523">
        <f>IF(K523&gt;0,IF(L523/K523&gt;=Assumptions!$B$37,1,0),0)</f>
        <v/>
      </c>
      <c r="N523">
        <f>K523+M523*Assumptions!$B$153</f>
        <v/>
      </c>
      <c r="O523">
        <f>L523+M523*Assumptions!$B$153*Assumptions!$B$37</f>
        <v/>
      </c>
      <c r="P523">
        <f>IF(N523&gt;0,O523/N523,0)</f>
        <v/>
      </c>
      <c r="Q523">
        <f>IF(C523=1,P523*Assumptions!$B$141,Assumptions!$B$41)</f>
        <v/>
      </c>
      <c r="R523">
        <f>IF(D523=1,P523*Assumptions!$B$128,Assumptions!$B$33)</f>
        <v/>
      </c>
      <c r="S523">
        <f>IF(E523=1,P523*Assumptions!$B$129,Assumptions!$B$32)</f>
        <v/>
      </c>
      <c r="T523">
        <f>IF(F523=1,P523*Assumptions!$B$14,Assumptions!$B$31)</f>
        <v/>
      </c>
      <c r="U523">
        <f>IF(G523=1,P523*Assumptions!$B$13,Assumptions!$B$30)</f>
        <v/>
      </c>
      <c r="V523">
        <f>IF(H523=1,P523*Assumptions!$B$12,Assumptions!$B$29)</f>
        <v/>
      </c>
      <c r="W523">
        <f>IF(I523=1,P523*Assumptions!$B$11,Assumptions!$B$28)</f>
        <v/>
      </c>
      <c r="X523">
        <f>P523*(Assumptions!$B$133+Assumptions!$B$137)</f>
        <v/>
      </c>
      <c r="Y523">
        <f>P523*Assumptions!$B$9</f>
        <v/>
      </c>
      <c r="Z523">
        <f>IF(M523=1,(P523-Assumptions!$B$37)*Assumptions!$B$153,0)</f>
        <v/>
      </c>
      <c r="AA523">
        <f>Q523+R523+S523+T523+U523+V523+W523+X523+Y523+Z523</f>
        <v/>
      </c>
      <c r="AB523" t="n">
        <v>88</v>
      </c>
      <c r="AC523" t="n">
        <v>24</v>
      </c>
      <c r="AD523" t="n">
        <v>120</v>
      </c>
      <c r="AE523" t="n">
        <v>72</v>
      </c>
      <c r="AF523" t="n">
        <v>80</v>
      </c>
      <c r="AG523" t="n">
        <v>92</v>
      </c>
      <c r="AH523" t="n">
        <v>90</v>
      </c>
      <c r="AI523" t="n">
        <v>89</v>
      </c>
      <c r="AJ523">
        <f>INDEX($Q$435:$Q$562,AC523+1)</f>
        <v/>
      </c>
      <c r="AK523">
        <f>INDEX($R$435:$R$562,AD523+1)</f>
        <v/>
      </c>
      <c r="AL523">
        <f>INDEX($S$435:$S$562,AE523+1)</f>
        <v/>
      </c>
      <c r="AM523">
        <f>INDEX($T$435:$T$562,AF523+1)</f>
        <v/>
      </c>
      <c r="AN523">
        <f>INDEX($U$435:$U$562,AG523+1)</f>
        <v/>
      </c>
      <c r="AO523">
        <f>INDEX($V$435:$V$562,AH523+1)</f>
        <v/>
      </c>
      <c r="AP523">
        <f>INDEX($W$435:$W$562,AI523+1)</f>
        <v/>
      </c>
      <c r="AQ523">
        <f>IF(Q523&gt;=AJ523-0.01,1,0)</f>
        <v/>
      </c>
      <c r="AR523">
        <f>IF(R523&gt;=AK523-0.01,1,0)</f>
        <v/>
      </c>
      <c r="AS523">
        <f>IF(S523&gt;=AL523-0.01,1,0)</f>
        <v/>
      </c>
      <c r="AT523">
        <f>IF(T523&gt;=AM523-0.01,1,0)</f>
        <v/>
      </c>
      <c r="AU523">
        <f>IF(U523&gt;=AN523-0.01,1,0)</f>
        <v/>
      </c>
      <c r="AV523">
        <f>IF(V523&gt;=AO523-0.01,1,0)</f>
        <v/>
      </c>
      <c r="AW523">
        <f>IF(W523&gt;=AP523-0.01,1,0)</f>
        <v/>
      </c>
      <c r="AX523">
        <f>AQ523*AR523*AS523*AT523*AU523*AV523*AW523</f>
        <v/>
      </c>
      <c r="AY523">
        <f>Assumptions!$B$41</f>
        <v/>
      </c>
      <c r="AZ523">
        <f>Assumptions!$B$33</f>
        <v/>
      </c>
      <c r="BA523">
        <f>Assumptions!$B$32</f>
        <v/>
      </c>
      <c r="BB523">
        <f>Assumptions!$B$31</f>
        <v/>
      </c>
      <c r="BC523">
        <f>Assumptions!$B$30</f>
        <v/>
      </c>
      <c r="BD523">
        <f>Assumptions!$B$29</f>
        <v/>
      </c>
      <c r="BE523">
        <f>Assumptions!$B$28</f>
        <v/>
      </c>
      <c r="BF523">
        <f>P523*Assumptions!$B$141</f>
        <v/>
      </c>
      <c r="BG523">
        <f>P523*Assumptions!$B$128</f>
        <v/>
      </c>
      <c r="BH523">
        <f>P523*Assumptions!$B$129</f>
        <v/>
      </c>
      <c r="BI523">
        <f>P523*Assumptions!$B$14</f>
        <v/>
      </c>
      <c r="BJ523">
        <f>P523*Assumptions!$B$13</f>
        <v/>
      </c>
      <c r="BK523">
        <f>P523*Assumptions!$B$12</f>
        <v/>
      </c>
      <c r="BL523">
        <f>P523*Assumptions!$B$11</f>
        <v/>
      </c>
    </row>
    <row r="524">
      <c r="A524" t="inlineStr">
        <is>
          <t>4000M</t>
        </is>
      </c>
      <c r="B524">
        <f>Assumptions!$B$61</f>
        <v/>
      </c>
      <c r="C524" t="n">
        <v>1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>
        <f>(1-C524)*Assumptions!$B$41+(1-D524)*Assumptions!$B$33+(1-E524)*Assumptions!$B$32+(1-F524)*Assumptions!$B$31+(1-G524)*Assumptions!$B$30+(1-H524)*Assumptions!$B$29+(1-I524)*Assumptions!$B$28</f>
        <v/>
      </c>
      <c r="K524">
        <f>C524*Assumptions!$B$141+D524*Assumptions!$B$128+E524*Assumptions!$B$129+F524*Assumptions!$B$14+G524*Assumptions!$B$13+H524*Assumptions!$B$12+I524*Assumptions!$B$11+Assumptions!$B$133+Assumptions!$B$137+Assumptions!$B$9</f>
        <v/>
      </c>
      <c r="L524">
        <f>B524-J524</f>
        <v/>
      </c>
      <c r="M524">
        <f>IF(K524&gt;0,IF(L524/K524&gt;=Assumptions!$B$37,1,0),0)</f>
        <v/>
      </c>
      <c r="N524">
        <f>K524+M524*Assumptions!$B$153</f>
        <v/>
      </c>
      <c r="O524">
        <f>L524+M524*Assumptions!$B$153*Assumptions!$B$37</f>
        <v/>
      </c>
      <c r="P524">
        <f>IF(N524&gt;0,O524/N524,0)</f>
        <v/>
      </c>
      <c r="Q524">
        <f>IF(C524=1,P524*Assumptions!$B$141,Assumptions!$B$41)</f>
        <v/>
      </c>
      <c r="R524">
        <f>IF(D524=1,P524*Assumptions!$B$128,Assumptions!$B$33)</f>
        <v/>
      </c>
      <c r="S524">
        <f>IF(E524=1,P524*Assumptions!$B$129,Assumptions!$B$32)</f>
        <v/>
      </c>
      <c r="T524">
        <f>IF(F524=1,P524*Assumptions!$B$14,Assumptions!$B$31)</f>
        <v/>
      </c>
      <c r="U524">
        <f>IF(G524=1,P524*Assumptions!$B$13,Assumptions!$B$30)</f>
        <v/>
      </c>
      <c r="V524">
        <f>IF(H524=1,P524*Assumptions!$B$12,Assumptions!$B$29)</f>
        <v/>
      </c>
      <c r="W524">
        <f>IF(I524=1,P524*Assumptions!$B$11,Assumptions!$B$28)</f>
        <v/>
      </c>
      <c r="X524">
        <f>P524*(Assumptions!$B$133+Assumptions!$B$137)</f>
        <v/>
      </c>
      <c r="Y524">
        <f>P524*Assumptions!$B$9</f>
        <v/>
      </c>
      <c r="Z524">
        <f>IF(M524=1,(P524-Assumptions!$B$37)*Assumptions!$B$153,0)</f>
        <v/>
      </c>
      <c r="AA524">
        <f>Q524+R524+S524+T524+U524+V524+W524+X524+Y524+Z524</f>
        <v/>
      </c>
      <c r="AB524" t="n">
        <v>89</v>
      </c>
      <c r="AC524" t="n">
        <v>25</v>
      </c>
      <c r="AD524" t="n">
        <v>121</v>
      </c>
      <c r="AE524" t="n">
        <v>73</v>
      </c>
      <c r="AF524" t="n">
        <v>81</v>
      </c>
      <c r="AG524" t="n">
        <v>93</v>
      </c>
      <c r="AH524" t="n">
        <v>91</v>
      </c>
      <c r="AI524" t="n">
        <v>88</v>
      </c>
      <c r="AJ524">
        <f>INDEX($Q$435:$Q$562,AC524+1)</f>
        <v/>
      </c>
      <c r="AK524">
        <f>INDEX($R$435:$R$562,AD524+1)</f>
        <v/>
      </c>
      <c r="AL524">
        <f>INDEX($S$435:$S$562,AE524+1)</f>
        <v/>
      </c>
      <c r="AM524">
        <f>INDEX($T$435:$T$562,AF524+1)</f>
        <v/>
      </c>
      <c r="AN524">
        <f>INDEX($U$435:$U$562,AG524+1)</f>
        <v/>
      </c>
      <c r="AO524">
        <f>INDEX($V$435:$V$562,AH524+1)</f>
        <v/>
      </c>
      <c r="AP524">
        <f>INDEX($W$435:$W$562,AI524+1)</f>
        <v/>
      </c>
      <c r="AQ524">
        <f>IF(Q524&gt;=AJ524-0.01,1,0)</f>
        <v/>
      </c>
      <c r="AR524">
        <f>IF(R524&gt;=AK524-0.01,1,0)</f>
        <v/>
      </c>
      <c r="AS524">
        <f>IF(S524&gt;=AL524-0.01,1,0)</f>
        <v/>
      </c>
      <c r="AT524">
        <f>IF(T524&gt;=AM524-0.01,1,0)</f>
        <v/>
      </c>
      <c r="AU524">
        <f>IF(U524&gt;=AN524-0.01,1,0)</f>
        <v/>
      </c>
      <c r="AV524">
        <f>IF(V524&gt;=AO524-0.01,1,0)</f>
        <v/>
      </c>
      <c r="AW524">
        <f>IF(W524&gt;=AP524-0.01,1,0)</f>
        <v/>
      </c>
      <c r="AX524">
        <f>AQ524*AR524*AS524*AT524*AU524*AV524*AW524</f>
        <v/>
      </c>
      <c r="AY524">
        <f>Assumptions!$B$41</f>
        <v/>
      </c>
      <c r="AZ524">
        <f>Assumptions!$B$33</f>
        <v/>
      </c>
      <c r="BA524">
        <f>Assumptions!$B$32</f>
        <v/>
      </c>
      <c r="BB524">
        <f>Assumptions!$B$31</f>
        <v/>
      </c>
      <c r="BC524">
        <f>Assumptions!$B$30</f>
        <v/>
      </c>
      <c r="BD524">
        <f>Assumptions!$B$29</f>
        <v/>
      </c>
      <c r="BE524">
        <f>Assumptions!$B$28</f>
        <v/>
      </c>
      <c r="BF524">
        <f>P524*Assumptions!$B$141</f>
        <v/>
      </c>
      <c r="BG524">
        <f>P524*Assumptions!$B$128</f>
        <v/>
      </c>
      <c r="BH524">
        <f>P524*Assumptions!$B$129</f>
        <v/>
      </c>
      <c r="BI524">
        <f>P524*Assumptions!$B$14</f>
        <v/>
      </c>
      <c r="BJ524">
        <f>P524*Assumptions!$B$13</f>
        <v/>
      </c>
      <c r="BK524">
        <f>P524*Assumptions!$B$12</f>
        <v/>
      </c>
      <c r="BL524">
        <f>P524*Assumptions!$B$11</f>
        <v/>
      </c>
    </row>
    <row r="525">
      <c r="A525" t="inlineStr">
        <is>
          <t>4000M</t>
        </is>
      </c>
      <c r="B525">
        <f>Assumptions!$B$61</f>
        <v/>
      </c>
      <c r="C525" t="n">
        <v>1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>
        <f>(1-C525)*Assumptions!$B$41+(1-D525)*Assumptions!$B$33+(1-E525)*Assumptions!$B$32+(1-F525)*Assumptions!$B$31+(1-G525)*Assumptions!$B$30+(1-H525)*Assumptions!$B$29+(1-I525)*Assumptions!$B$28</f>
        <v/>
      </c>
      <c r="K525">
        <f>C525*Assumptions!$B$141+D525*Assumptions!$B$128+E525*Assumptions!$B$129+F525*Assumptions!$B$14+G525*Assumptions!$B$13+H525*Assumptions!$B$12+I525*Assumptions!$B$11+Assumptions!$B$133+Assumptions!$B$137+Assumptions!$B$9</f>
        <v/>
      </c>
      <c r="L525">
        <f>B525-J525</f>
        <v/>
      </c>
      <c r="M525">
        <f>IF(K525&gt;0,IF(L525/K525&gt;=Assumptions!$B$37,1,0),0)</f>
        <v/>
      </c>
      <c r="N525">
        <f>K525+M525*Assumptions!$B$153</f>
        <v/>
      </c>
      <c r="O525">
        <f>L525+M525*Assumptions!$B$153*Assumptions!$B$37</f>
        <v/>
      </c>
      <c r="P525">
        <f>IF(N525&gt;0,O525/N525,0)</f>
        <v/>
      </c>
      <c r="Q525">
        <f>IF(C525=1,P525*Assumptions!$B$141,Assumptions!$B$41)</f>
        <v/>
      </c>
      <c r="R525">
        <f>IF(D525=1,P525*Assumptions!$B$128,Assumptions!$B$33)</f>
        <v/>
      </c>
      <c r="S525">
        <f>IF(E525=1,P525*Assumptions!$B$129,Assumptions!$B$32)</f>
        <v/>
      </c>
      <c r="T525">
        <f>IF(F525=1,P525*Assumptions!$B$14,Assumptions!$B$31)</f>
        <v/>
      </c>
      <c r="U525">
        <f>IF(G525=1,P525*Assumptions!$B$13,Assumptions!$B$30)</f>
        <v/>
      </c>
      <c r="V525">
        <f>IF(H525=1,P525*Assumptions!$B$12,Assumptions!$B$29)</f>
        <v/>
      </c>
      <c r="W525">
        <f>IF(I525=1,P525*Assumptions!$B$11,Assumptions!$B$28)</f>
        <v/>
      </c>
      <c r="X525">
        <f>P525*(Assumptions!$B$133+Assumptions!$B$137)</f>
        <v/>
      </c>
      <c r="Y525">
        <f>P525*Assumptions!$B$9</f>
        <v/>
      </c>
      <c r="Z525">
        <f>IF(M525=1,(P525-Assumptions!$B$37)*Assumptions!$B$153,0)</f>
        <v/>
      </c>
      <c r="AA525">
        <f>Q525+R525+S525+T525+U525+V525+W525+X525+Y525+Z525</f>
        <v/>
      </c>
      <c r="AB525" t="n">
        <v>90</v>
      </c>
      <c r="AC525" t="n">
        <v>26</v>
      </c>
      <c r="AD525" t="n">
        <v>122</v>
      </c>
      <c r="AE525" t="n">
        <v>74</v>
      </c>
      <c r="AF525" t="n">
        <v>82</v>
      </c>
      <c r="AG525" t="n">
        <v>94</v>
      </c>
      <c r="AH525" t="n">
        <v>88</v>
      </c>
      <c r="AI525" t="n">
        <v>91</v>
      </c>
      <c r="AJ525">
        <f>INDEX($Q$435:$Q$562,AC525+1)</f>
        <v/>
      </c>
      <c r="AK525">
        <f>INDEX($R$435:$R$562,AD525+1)</f>
        <v/>
      </c>
      <c r="AL525">
        <f>INDEX($S$435:$S$562,AE525+1)</f>
        <v/>
      </c>
      <c r="AM525">
        <f>INDEX($T$435:$T$562,AF525+1)</f>
        <v/>
      </c>
      <c r="AN525">
        <f>INDEX($U$435:$U$562,AG525+1)</f>
        <v/>
      </c>
      <c r="AO525">
        <f>INDEX($V$435:$V$562,AH525+1)</f>
        <v/>
      </c>
      <c r="AP525">
        <f>INDEX($W$435:$W$562,AI525+1)</f>
        <v/>
      </c>
      <c r="AQ525">
        <f>IF(Q525&gt;=AJ525-0.01,1,0)</f>
        <v/>
      </c>
      <c r="AR525">
        <f>IF(R525&gt;=AK525-0.01,1,0)</f>
        <v/>
      </c>
      <c r="AS525">
        <f>IF(S525&gt;=AL525-0.01,1,0)</f>
        <v/>
      </c>
      <c r="AT525">
        <f>IF(T525&gt;=AM525-0.01,1,0)</f>
        <v/>
      </c>
      <c r="AU525">
        <f>IF(U525&gt;=AN525-0.01,1,0)</f>
        <v/>
      </c>
      <c r="AV525">
        <f>IF(V525&gt;=AO525-0.01,1,0)</f>
        <v/>
      </c>
      <c r="AW525">
        <f>IF(W525&gt;=AP525-0.01,1,0)</f>
        <v/>
      </c>
      <c r="AX525">
        <f>AQ525*AR525*AS525*AT525*AU525*AV525*AW525</f>
        <v/>
      </c>
      <c r="AY525">
        <f>Assumptions!$B$41</f>
        <v/>
      </c>
      <c r="AZ525">
        <f>Assumptions!$B$33</f>
        <v/>
      </c>
      <c r="BA525">
        <f>Assumptions!$B$32</f>
        <v/>
      </c>
      <c r="BB525">
        <f>Assumptions!$B$31</f>
        <v/>
      </c>
      <c r="BC525">
        <f>Assumptions!$B$30</f>
        <v/>
      </c>
      <c r="BD525">
        <f>Assumptions!$B$29</f>
        <v/>
      </c>
      <c r="BE525">
        <f>Assumptions!$B$28</f>
        <v/>
      </c>
      <c r="BF525">
        <f>P525*Assumptions!$B$141</f>
        <v/>
      </c>
      <c r="BG525">
        <f>P525*Assumptions!$B$128</f>
        <v/>
      </c>
      <c r="BH525">
        <f>P525*Assumptions!$B$129</f>
        <v/>
      </c>
      <c r="BI525">
        <f>P525*Assumptions!$B$14</f>
        <v/>
      </c>
      <c r="BJ525">
        <f>P525*Assumptions!$B$13</f>
        <v/>
      </c>
      <c r="BK525">
        <f>P525*Assumptions!$B$12</f>
        <v/>
      </c>
      <c r="BL525">
        <f>P525*Assumptions!$B$11</f>
        <v/>
      </c>
    </row>
    <row r="526">
      <c r="A526" t="inlineStr">
        <is>
          <t>4000M</t>
        </is>
      </c>
      <c r="B526">
        <f>Assumptions!$B$61</f>
        <v/>
      </c>
      <c r="C526" t="n">
        <v>1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1</v>
      </c>
      <c r="J526">
        <f>(1-C526)*Assumptions!$B$41+(1-D526)*Assumptions!$B$33+(1-E526)*Assumptions!$B$32+(1-F526)*Assumptions!$B$31+(1-G526)*Assumptions!$B$30+(1-H526)*Assumptions!$B$29+(1-I526)*Assumptions!$B$28</f>
        <v/>
      </c>
      <c r="K526">
        <f>C526*Assumptions!$B$141+D526*Assumptions!$B$128+E526*Assumptions!$B$129+F526*Assumptions!$B$14+G526*Assumptions!$B$13+H526*Assumptions!$B$12+I526*Assumptions!$B$11+Assumptions!$B$133+Assumptions!$B$137+Assumptions!$B$9</f>
        <v/>
      </c>
      <c r="L526">
        <f>B526-J526</f>
        <v/>
      </c>
      <c r="M526">
        <f>IF(K526&gt;0,IF(L526/K526&gt;=Assumptions!$B$37,1,0),0)</f>
        <v/>
      </c>
      <c r="N526">
        <f>K526+M526*Assumptions!$B$153</f>
        <v/>
      </c>
      <c r="O526">
        <f>L526+M526*Assumptions!$B$153*Assumptions!$B$37</f>
        <v/>
      </c>
      <c r="P526">
        <f>IF(N526&gt;0,O526/N526,0)</f>
        <v/>
      </c>
      <c r="Q526">
        <f>IF(C526=1,P526*Assumptions!$B$141,Assumptions!$B$41)</f>
        <v/>
      </c>
      <c r="R526">
        <f>IF(D526=1,P526*Assumptions!$B$128,Assumptions!$B$33)</f>
        <v/>
      </c>
      <c r="S526">
        <f>IF(E526=1,P526*Assumptions!$B$129,Assumptions!$B$32)</f>
        <v/>
      </c>
      <c r="T526">
        <f>IF(F526=1,P526*Assumptions!$B$14,Assumptions!$B$31)</f>
        <v/>
      </c>
      <c r="U526">
        <f>IF(G526=1,P526*Assumptions!$B$13,Assumptions!$B$30)</f>
        <v/>
      </c>
      <c r="V526">
        <f>IF(H526=1,P526*Assumptions!$B$12,Assumptions!$B$29)</f>
        <v/>
      </c>
      <c r="W526">
        <f>IF(I526=1,P526*Assumptions!$B$11,Assumptions!$B$28)</f>
        <v/>
      </c>
      <c r="X526">
        <f>P526*(Assumptions!$B$133+Assumptions!$B$137)</f>
        <v/>
      </c>
      <c r="Y526">
        <f>P526*Assumptions!$B$9</f>
        <v/>
      </c>
      <c r="Z526">
        <f>IF(M526=1,(P526-Assumptions!$B$37)*Assumptions!$B$153,0)</f>
        <v/>
      </c>
      <c r="AA526">
        <f>Q526+R526+S526+T526+U526+V526+W526+X526+Y526+Z526</f>
        <v/>
      </c>
      <c r="AB526" t="n">
        <v>91</v>
      </c>
      <c r="AC526" t="n">
        <v>27</v>
      </c>
      <c r="AD526" t="n">
        <v>123</v>
      </c>
      <c r="AE526" t="n">
        <v>75</v>
      </c>
      <c r="AF526" t="n">
        <v>83</v>
      </c>
      <c r="AG526" t="n">
        <v>95</v>
      </c>
      <c r="AH526" t="n">
        <v>89</v>
      </c>
      <c r="AI526" t="n">
        <v>90</v>
      </c>
      <c r="AJ526">
        <f>INDEX($Q$435:$Q$562,AC526+1)</f>
        <v/>
      </c>
      <c r="AK526">
        <f>INDEX($R$435:$R$562,AD526+1)</f>
        <v/>
      </c>
      <c r="AL526">
        <f>INDEX($S$435:$S$562,AE526+1)</f>
        <v/>
      </c>
      <c r="AM526">
        <f>INDEX($T$435:$T$562,AF526+1)</f>
        <v/>
      </c>
      <c r="AN526">
        <f>INDEX($U$435:$U$562,AG526+1)</f>
        <v/>
      </c>
      <c r="AO526">
        <f>INDEX($V$435:$V$562,AH526+1)</f>
        <v/>
      </c>
      <c r="AP526">
        <f>INDEX($W$435:$W$562,AI526+1)</f>
        <v/>
      </c>
      <c r="AQ526">
        <f>IF(Q526&gt;=AJ526-0.01,1,0)</f>
        <v/>
      </c>
      <c r="AR526">
        <f>IF(R526&gt;=AK526-0.01,1,0)</f>
        <v/>
      </c>
      <c r="AS526">
        <f>IF(S526&gt;=AL526-0.01,1,0)</f>
        <v/>
      </c>
      <c r="AT526">
        <f>IF(T526&gt;=AM526-0.01,1,0)</f>
        <v/>
      </c>
      <c r="AU526">
        <f>IF(U526&gt;=AN526-0.01,1,0)</f>
        <v/>
      </c>
      <c r="AV526">
        <f>IF(V526&gt;=AO526-0.01,1,0)</f>
        <v/>
      </c>
      <c r="AW526">
        <f>IF(W526&gt;=AP526-0.01,1,0)</f>
        <v/>
      </c>
      <c r="AX526">
        <f>AQ526*AR526*AS526*AT526*AU526*AV526*AW526</f>
        <v/>
      </c>
      <c r="AY526">
        <f>Assumptions!$B$41</f>
        <v/>
      </c>
      <c r="AZ526">
        <f>Assumptions!$B$33</f>
        <v/>
      </c>
      <c r="BA526">
        <f>Assumptions!$B$32</f>
        <v/>
      </c>
      <c r="BB526">
        <f>Assumptions!$B$31</f>
        <v/>
      </c>
      <c r="BC526">
        <f>Assumptions!$B$30</f>
        <v/>
      </c>
      <c r="BD526">
        <f>Assumptions!$B$29</f>
        <v/>
      </c>
      <c r="BE526">
        <f>Assumptions!$B$28</f>
        <v/>
      </c>
      <c r="BF526">
        <f>P526*Assumptions!$B$141</f>
        <v/>
      </c>
      <c r="BG526">
        <f>P526*Assumptions!$B$128</f>
        <v/>
      </c>
      <c r="BH526">
        <f>P526*Assumptions!$B$129</f>
        <v/>
      </c>
      <c r="BI526">
        <f>P526*Assumptions!$B$14</f>
        <v/>
      </c>
      <c r="BJ526">
        <f>P526*Assumptions!$B$13</f>
        <v/>
      </c>
      <c r="BK526">
        <f>P526*Assumptions!$B$12</f>
        <v/>
      </c>
      <c r="BL526">
        <f>P526*Assumptions!$B$11</f>
        <v/>
      </c>
    </row>
    <row r="527">
      <c r="A527" t="inlineStr">
        <is>
          <t>4000M</t>
        </is>
      </c>
      <c r="B527">
        <f>Assumptions!$B$61</f>
        <v/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>
        <f>(1-C527)*Assumptions!$B$41+(1-D527)*Assumptions!$B$33+(1-E527)*Assumptions!$B$32+(1-F527)*Assumptions!$B$31+(1-G527)*Assumptions!$B$30+(1-H527)*Assumptions!$B$29+(1-I527)*Assumptions!$B$28</f>
        <v/>
      </c>
      <c r="K527">
        <f>C527*Assumptions!$B$141+D527*Assumptions!$B$128+E527*Assumptions!$B$129+F527*Assumptions!$B$14+G527*Assumptions!$B$13+H527*Assumptions!$B$12+I527*Assumptions!$B$11+Assumptions!$B$133+Assumptions!$B$137+Assumptions!$B$9</f>
        <v/>
      </c>
      <c r="L527">
        <f>B527-J527</f>
        <v/>
      </c>
      <c r="M527">
        <f>IF(K527&gt;0,IF(L527/K527&gt;=Assumptions!$B$37,1,0),0)</f>
        <v/>
      </c>
      <c r="N527">
        <f>K527+M527*Assumptions!$B$153</f>
        <v/>
      </c>
      <c r="O527">
        <f>L527+M527*Assumptions!$B$153*Assumptions!$B$37</f>
        <v/>
      </c>
      <c r="P527">
        <f>IF(N527&gt;0,O527/N527,0)</f>
        <v/>
      </c>
      <c r="Q527">
        <f>IF(C527=1,P527*Assumptions!$B$141,Assumptions!$B$41)</f>
        <v/>
      </c>
      <c r="R527">
        <f>IF(D527=1,P527*Assumptions!$B$128,Assumptions!$B$33)</f>
        <v/>
      </c>
      <c r="S527">
        <f>IF(E527=1,P527*Assumptions!$B$129,Assumptions!$B$32)</f>
        <v/>
      </c>
      <c r="T527">
        <f>IF(F527=1,P527*Assumptions!$B$14,Assumptions!$B$31)</f>
        <v/>
      </c>
      <c r="U527">
        <f>IF(G527=1,P527*Assumptions!$B$13,Assumptions!$B$30)</f>
        <v/>
      </c>
      <c r="V527">
        <f>IF(H527=1,P527*Assumptions!$B$12,Assumptions!$B$29)</f>
        <v/>
      </c>
      <c r="W527">
        <f>IF(I527=1,P527*Assumptions!$B$11,Assumptions!$B$28)</f>
        <v/>
      </c>
      <c r="X527">
        <f>P527*(Assumptions!$B$133+Assumptions!$B$137)</f>
        <v/>
      </c>
      <c r="Y527">
        <f>P527*Assumptions!$B$9</f>
        <v/>
      </c>
      <c r="Z527">
        <f>IF(M527=1,(P527-Assumptions!$B$37)*Assumptions!$B$153,0)</f>
        <v/>
      </c>
      <c r="AA527">
        <f>Q527+R527+S527+T527+U527+V527+W527+X527+Y527+Z527</f>
        <v/>
      </c>
      <c r="AB527" t="n">
        <v>92</v>
      </c>
      <c r="AC527" t="n">
        <v>28</v>
      </c>
      <c r="AD527" t="n">
        <v>124</v>
      </c>
      <c r="AE527" t="n">
        <v>76</v>
      </c>
      <c r="AF527" t="n">
        <v>84</v>
      </c>
      <c r="AG527" t="n">
        <v>88</v>
      </c>
      <c r="AH527" t="n">
        <v>94</v>
      </c>
      <c r="AI527" t="n">
        <v>93</v>
      </c>
      <c r="AJ527">
        <f>INDEX($Q$435:$Q$562,AC527+1)</f>
        <v/>
      </c>
      <c r="AK527">
        <f>INDEX($R$435:$R$562,AD527+1)</f>
        <v/>
      </c>
      <c r="AL527">
        <f>INDEX($S$435:$S$562,AE527+1)</f>
        <v/>
      </c>
      <c r="AM527">
        <f>INDEX($T$435:$T$562,AF527+1)</f>
        <v/>
      </c>
      <c r="AN527">
        <f>INDEX($U$435:$U$562,AG527+1)</f>
        <v/>
      </c>
      <c r="AO527">
        <f>INDEX($V$435:$V$562,AH527+1)</f>
        <v/>
      </c>
      <c r="AP527">
        <f>INDEX($W$435:$W$562,AI527+1)</f>
        <v/>
      </c>
      <c r="AQ527">
        <f>IF(Q527&gt;=AJ527-0.01,1,0)</f>
        <v/>
      </c>
      <c r="AR527">
        <f>IF(R527&gt;=AK527-0.01,1,0)</f>
        <v/>
      </c>
      <c r="AS527">
        <f>IF(S527&gt;=AL527-0.01,1,0)</f>
        <v/>
      </c>
      <c r="AT527">
        <f>IF(T527&gt;=AM527-0.01,1,0)</f>
        <v/>
      </c>
      <c r="AU527">
        <f>IF(U527&gt;=AN527-0.01,1,0)</f>
        <v/>
      </c>
      <c r="AV527">
        <f>IF(V527&gt;=AO527-0.01,1,0)</f>
        <v/>
      </c>
      <c r="AW527">
        <f>IF(W527&gt;=AP527-0.01,1,0)</f>
        <v/>
      </c>
      <c r="AX527">
        <f>AQ527*AR527*AS527*AT527*AU527*AV527*AW527</f>
        <v/>
      </c>
      <c r="AY527">
        <f>Assumptions!$B$41</f>
        <v/>
      </c>
      <c r="AZ527">
        <f>Assumptions!$B$33</f>
        <v/>
      </c>
      <c r="BA527">
        <f>Assumptions!$B$32</f>
        <v/>
      </c>
      <c r="BB527">
        <f>Assumptions!$B$31</f>
        <v/>
      </c>
      <c r="BC527">
        <f>Assumptions!$B$30</f>
        <v/>
      </c>
      <c r="BD527">
        <f>Assumptions!$B$29</f>
        <v/>
      </c>
      <c r="BE527">
        <f>Assumptions!$B$28</f>
        <v/>
      </c>
      <c r="BF527">
        <f>P527*Assumptions!$B$141</f>
        <v/>
      </c>
      <c r="BG527">
        <f>P527*Assumptions!$B$128</f>
        <v/>
      </c>
      <c r="BH527">
        <f>P527*Assumptions!$B$129</f>
        <v/>
      </c>
      <c r="BI527">
        <f>P527*Assumptions!$B$14</f>
        <v/>
      </c>
      <c r="BJ527">
        <f>P527*Assumptions!$B$13</f>
        <v/>
      </c>
      <c r="BK527">
        <f>P527*Assumptions!$B$12</f>
        <v/>
      </c>
      <c r="BL527">
        <f>P527*Assumptions!$B$11</f>
        <v/>
      </c>
    </row>
    <row r="528">
      <c r="A528" t="inlineStr">
        <is>
          <t>4000M</t>
        </is>
      </c>
      <c r="B528">
        <f>Assumptions!$B$61</f>
        <v/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>
        <f>(1-C528)*Assumptions!$B$41+(1-D528)*Assumptions!$B$33+(1-E528)*Assumptions!$B$32+(1-F528)*Assumptions!$B$31+(1-G528)*Assumptions!$B$30+(1-H528)*Assumptions!$B$29+(1-I528)*Assumptions!$B$28</f>
        <v/>
      </c>
      <c r="K528">
        <f>C528*Assumptions!$B$141+D528*Assumptions!$B$128+E528*Assumptions!$B$129+F528*Assumptions!$B$14+G528*Assumptions!$B$13+H528*Assumptions!$B$12+I528*Assumptions!$B$11+Assumptions!$B$133+Assumptions!$B$137+Assumptions!$B$9</f>
        <v/>
      </c>
      <c r="L528">
        <f>B528-J528</f>
        <v/>
      </c>
      <c r="M528">
        <f>IF(K528&gt;0,IF(L528/K528&gt;=Assumptions!$B$37,1,0),0)</f>
        <v/>
      </c>
      <c r="N528">
        <f>K528+M528*Assumptions!$B$153</f>
        <v/>
      </c>
      <c r="O528">
        <f>L528+M528*Assumptions!$B$153*Assumptions!$B$37</f>
        <v/>
      </c>
      <c r="P528">
        <f>IF(N528&gt;0,O528/N528,0)</f>
        <v/>
      </c>
      <c r="Q528">
        <f>IF(C528=1,P528*Assumptions!$B$141,Assumptions!$B$41)</f>
        <v/>
      </c>
      <c r="R528">
        <f>IF(D528=1,P528*Assumptions!$B$128,Assumptions!$B$33)</f>
        <v/>
      </c>
      <c r="S528">
        <f>IF(E528=1,P528*Assumptions!$B$129,Assumptions!$B$32)</f>
        <v/>
      </c>
      <c r="T528">
        <f>IF(F528=1,P528*Assumptions!$B$14,Assumptions!$B$31)</f>
        <v/>
      </c>
      <c r="U528">
        <f>IF(G528=1,P528*Assumptions!$B$13,Assumptions!$B$30)</f>
        <v/>
      </c>
      <c r="V528">
        <f>IF(H528=1,P528*Assumptions!$B$12,Assumptions!$B$29)</f>
        <v/>
      </c>
      <c r="W528">
        <f>IF(I528=1,P528*Assumptions!$B$11,Assumptions!$B$28)</f>
        <v/>
      </c>
      <c r="X528">
        <f>P528*(Assumptions!$B$133+Assumptions!$B$137)</f>
        <v/>
      </c>
      <c r="Y528">
        <f>P528*Assumptions!$B$9</f>
        <v/>
      </c>
      <c r="Z528">
        <f>IF(M528=1,(P528-Assumptions!$B$37)*Assumptions!$B$153,0)</f>
        <v/>
      </c>
      <c r="AA528">
        <f>Q528+R528+S528+T528+U528+V528+W528+X528+Y528+Z528</f>
        <v/>
      </c>
      <c r="AB528" t="n">
        <v>93</v>
      </c>
      <c r="AC528" t="n">
        <v>29</v>
      </c>
      <c r="AD528" t="n">
        <v>125</v>
      </c>
      <c r="AE528" t="n">
        <v>77</v>
      </c>
      <c r="AF528" t="n">
        <v>85</v>
      </c>
      <c r="AG528" t="n">
        <v>89</v>
      </c>
      <c r="AH528" t="n">
        <v>95</v>
      </c>
      <c r="AI528" t="n">
        <v>92</v>
      </c>
      <c r="AJ528">
        <f>INDEX($Q$435:$Q$562,AC528+1)</f>
        <v/>
      </c>
      <c r="AK528">
        <f>INDEX($R$435:$R$562,AD528+1)</f>
        <v/>
      </c>
      <c r="AL528">
        <f>INDEX($S$435:$S$562,AE528+1)</f>
        <v/>
      </c>
      <c r="AM528">
        <f>INDEX($T$435:$T$562,AF528+1)</f>
        <v/>
      </c>
      <c r="AN528">
        <f>INDEX($U$435:$U$562,AG528+1)</f>
        <v/>
      </c>
      <c r="AO528">
        <f>INDEX($V$435:$V$562,AH528+1)</f>
        <v/>
      </c>
      <c r="AP528">
        <f>INDEX($W$435:$W$562,AI528+1)</f>
        <v/>
      </c>
      <c r="AQ528">
        <f>IF(Q528&gt;=AJ528-0.01,1,0)</f>
        <v/>
      </c>
      <c r="AR528">
        <f>IF(R528&gt;=AK528-0.01,1,0)</f>
        <v/>
      </c>
      <c r="AS528">
        <f>IF(S528&gt;=AL528-0.01,1,0)</f>
        <v/>
      </c>
      <c r="AT528">
        <f>IF(T528&gt;=AM528-0.01,1,0)</f>
        <v/>
      </c>
      <c r="AU528">
        <f>IF(U528&gt;=AN528-0.01,1,0)</f>
        <v/>
      </c>
      <c r="AV528">
        <f>IF(V528&gt;=AO528-0.01,1,0)</f>
        <v/>
      </c>
      <c r="AW528">
        <f>IF(W528&gt;=AP528-0.01,1,0)</f>
        <v/>
      </c>
      <c r="AX528">
        <f>AQ528*AR528*AS528*AT528*AU528*AV528*AW528</f>
        <v/>
      </c>
      <c r="AY528">
        <f>Assumptions!$B$41</f>
        <v/>
      </c>
      <c r="AZ528">
        <f>Assumptions!$B$33</f>
        <v/>
      </c>
      <c r="BA528">
        <f>Assumptions!$B$32</f>
        <v/>
      </c>
      <c r="BB528">
        <f>Assumptions!$B$31</f>
        <v/>
      </c>
      <c r="BC528">
        <f>Assumptions!$B$30</f>
        <v/>
      </c>
      <c r="BD528">
        <f>Assumptions!$B$29</f>
        <v/>
      </c>
      <c r="BE528">
        <f>Assumptions!$B$28</f>
        <v/>
      </c>
      <c r="BF528">
        <f>P528*Assumptions!$B$141</f>
        <v/>
      </c>
      <c r="BG528">
        <f>P528*Assumptions!$B$128</f>
        <v/>
      </c>
      <c r="BH528">
        <f>P528*Assumptions!$B$129</f>
        <v/>
      </c>
      <c r="BI528">
        <f>P528*Assumptions!$B$14</f>
        <v/>
      </c>
      <c r="BJ528">
        <f>P528*Assumptions!$B$13</f>
        <v/>
      </c>
      <c r="BK528">
        <f>P528*Assumptions!$B$12</f>
        <v/>
      </c>
      <c r="BL528">
        <f>P528*Assumptions!$B$11</f>
        <v/>
      </c>
    </row>
    <row r="529">
      <c r="A529" t="inlineStr">
        <is>
          <t>4000M</t>
        </is>
      </c>
      <c r="B529">
        <f>Assumptions!$B$61</f>
        <v/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>
        <f>(1-C529)*Assumptions!$B$41+(1-D529)*Assumptions!$B$33+(1-E529)*Assumptions!$B$32+(1-F529)*Assumptions!$B$31+(1-G529)*Assumptions!$B$30+(1-H529)*Assumptions!$B$29+(1-I529)*Assumptions!$B$28</f>
        <v/>
      </c>
      <c r="K529">
        <f>C529*Assumptions!$B$141+D529*Assumptions!$B$128+E529*Assumptions!$B$129+F529*Assumptions!$B$14+G529*Assumptions!$B$13+H529*Assumptions!$B$12+I529*Assumptions!$B$11+Assumptions!$B$133+Assumptions!$B$137+Assumptions!$B$9</f>
        <v/>
      </c>
      <c r="L529">
        <f>B529-J529</f>
        <v/>
      </c>
      <c r="M529">
        <f>IF(K529&gt;0,IF(L529/K529&gt;=Assumptions!$B$37,1,0),0)</f>
        <v/>
      </c>
      <c r="N529">
        <f>K529+M529*Assumptions!$B$153</f>
        <v/>
      </c>
      <c r="O529">
        <f>L529+M529*Assumptions!$B$153*Assumptions!$B$37</f>
        <v/>
      </c>
      <c r="P529">
        <f>IF(N529&gt;0,O529/N529,0)</f>
        <v/>
      </c>
      <c r="Q529">
        <f>IF(C529=1,P529*Assumptions!$B$141,Assumptions!$B$41)</f>
        <v/>
      </c>
      <c r="R529">
        <f>IF(D529=1,P529*Assumptions!$B$128,Assumptions!$B$33)</f>
        <v/>
      </c>
      <c r="S529">
        <f>IF(E529=1,P529*Assumptions!$B$129,Assumptions!$B$32)</f>
        <v/>
      </c>
      <c r="T529">
        <f>IF(F529=1,P529*Assumptions!$B$14,Assumptions!$B$31)</f>
        <v/>
      </c>
      <c r="U529">
        <f>IF(G529=1,P529*Assumptions!$B$13,Assumptions!$B$30)</f>
        <v/>
      </c>
      <c r="V529">
        <f>IF(H529=1,P529*Assumptions!$B$12,Assumptions!$B$29)</f>
        <v/>
      </c>
      <c r="W529">
        <f>IF(I529=1,P529*Assumptions!$B$11,Assumptions!$B$28)</f>
        <v/>
      </c>
      <c r="X529">
        <f>P529*(Assumptions!$B$133+Assumptions!$B$137)</f>
        <v/>
      </c>
      <c r="Y529">
        <f>P529*Assumptions!$B$9</f>
        <v/>
      </c>
      <c r="Z529">
        <f>IF(M529=1,(P529-Assumptions!$B$37)*Assumptions!$B$153,0)</f>
        <v/>
      </c>
      <c r="AA529">
        <f>Q529+R529+S529+T529+U529+V529+W529+X529+Y529+Z529</f>
        <v/>
      </c>
      <c r="AB529" t="n">
        <v>94</v>
      </c>
      <c r="AC529" t="n">
        <v>30</v>
      </c>
      <c r="AD529" t="n">
        <v>126</v>
      </c>
      <c r="AE529" t="n">
        <v>78</v>
      </c>
      <c r="AF529" t="n">
        <v>86</v>
      </c>
      <c r="AG529" t="n">
        <v>90</v>
      </c>
      <c r="AH529" t="n">
        <v>92</v>
      </c>
      <c r="AI529" t="n">
        <v>95</v>
      </c>
      <c r="AJ529">
        <f>INDEX($Q$435:$Q$562,AC529+1)</f>
        <v/>
      </c>
      <c r="AK529">
        <f>INDEX($R$435:$R$562,AD529+1)</f>
        <v/>
      </c>
      <c r="AL529">
        <f>INDEX($S$435:$S$562,AE529+1)</f>
        <v/>
      </c>
      <c r="AM529">
        <f>INDEX($T$435:$T$562,AF529+1)</f>
        <v/>
      </c>
      <c r="AN529">
        <f>INDEX($U$435:$U$562,AG529+1)</f>
        <v/>
      </c>
      <c r="AO529">
        <f>INDEX($V$435:$V$562,AH529+1)</f>
        <v/>
      </c>
      <c r="AP529">
        <f>INDEX($W$435:$W$562,AI529+1)</f>
        <v/>
      </c>
      <c r="AQ529">
        <f>IF(Q529&gt;=AJ529-0.01,1,0)</f>
        <v/>
      </c>
      <c r="AR529">
        <f>IF(R529&gt;=AK529-0.01,1,0)</f>
        <v/>
      </c>
      <c r="AS529">
        <f>IF(S529&gt;=AL529-0.01,1,0)</f>
        <v/>
      </c>
      <c r="AT529">
        <f>IF(T529&gt;=AM529-0.01,1,0)</f>
        <v/>
      </c>
      <c r="AU529">
        <f>IF(U529&gt;=AN529-0.01,1,0)</f>
        <v/>
      </c>
      <c r="AV529">
        <f>IF(V529&gt;=AO529-0.01,1,0)</f>
        <v/>
      </c>
      <c r="AW529">
        <f>IF(W529&gt;=AP529-0.01,1,0)</f>
        <v/>
      </c>
      <c r="AX529">
        <f>AQ529*AR529*AS529*AT529*AU529*AV529*AW529</f>
        <v/>
      </c>
      <c r="AY529">
        <f>Assumptions!$B$41</f>
        <v/>
      </c>
      <c r="AZ529">
        <f>Assumptions!$B$33</f>
        <v/>
      </c>
      <c r="BA529">
        <f>Assumptions!$B$32</f>
        <v/>
      </c>
      <c r="BB529">
        <f>Assumptions!$B$31</f>
        <v/>
      </c>
      <c r="BC529">
        <f>Assumptions!$B$30</f>
        <v/>
      </c>
      <c r="BD529">
        <f>Assumptions!$B$29</f>
        <v/>
      </c>
      <c r="BE529">
        <f>Assumptions!$B$28</f>
        <v/>
      </c>
      <c r="BF529">
        <f>P529*Assumptions!$B$141</f>
        <v/>
      </c>
      <c r="BG529">
        <f>P529*Assumptions!$B$128</f>
        <v/>
      </c>
      <c r="BH529">
        <f>P529*Assumptions!$B$129</f>
        <v/>
      </c>
      <c r="BI529">
        <f>P529*Assumptions!$B$14</f>
        <v/>
      </c>
      <c r="BJ529">
        <f>P529*Assumptions!$B$13</f>
        <v/>
      </c>
      <c r="BK529">
        <f>P529*Assumptions!$B$12</f>
        <v/>
      </c>
      <c r="BL529">
        <f>P529*Assumptions!$B$11</f>
        <v/>
      </c>
    </row>
    <row r="530">
      <c r="A530" t="inlineStr">
        <is>
          <t>4000M</t>
        </is>
      </c>
      <c r="B530">
        <f>Assumptions!$B$61</f>
        <v/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>
        <f>(1-C530)*Assumptions!$B$41+(1-D530)*Assumptions!$B$33+(1-E530)*Assumptions!$B$32+(1-F530)*Assumptions!$B$31+(1-G530)*Assumptions!$B$30+(1-H530)*Assumptions!$B$29+(1-I530)*Assumptions!$B$28</f>
        <v/>
      </c>
      <c r="K530">
        <f>C530*Assumptions!$B$141+D530*Assumptions!$B$128+E530*Assumptions!$B$129+F530*Assumptions!$B$14+G530*Assumptions!$B$13+H530*Assumptions!$B$12+I530*Assumptions!$B$11+Assumptions!$B$133+Assumptions!$B$137+Assumptions!$B$9</f>
        <v/>
      </c>
      <c r="L530">
        <f>B530-J530</f>
        <v/>
      </c>
      <c r="M530">
        <f>IF(K530&gt;0,IF(L530/K530&gt;=Assumptions!$B$37,1,0),0)</f>
        <v/>
      </c>
      <c r="N530">
        <f>K530+M530*Assumptions!$B$153</f>
        <v/>
      </c>
      <c r="O530">
        <f>L530+M530*Assumptions!$B$153*Assumptions!$B$37</f>
        <v/>
      </c>
      <c r="P530">
        <f>IF(N530&gt;0,O530/N530,0)</f>
        <v/>
      </c>
      <c r="Q530">
        <f>IF(C530=1,P530*Assumptions!$B$141,Assumptions!$B$41)</f>
        <v/>
      </c>
      <c r="R530">
        <f>IF(D530=1,P530*Assumptions!$B$128,Assumptions!$B$33)</f>
        <v/>
      </c>
      <c r="S530">
        <f>IF(E530=1,P530*Assumptions!$B$129,Assumptions!$B$32)</f>
        <v/>
      </c>
      <c r="T530">
        <f>IF(F530=1,P530*Assumptions!$B$14,Assumptions!$B$31)</f>
        <v/>
      </c>
      <c r="U530">
        <f>IF(G530=1,P530*Assumptions!$B$13,Assumptions!$B$30)</f>
        <v/>
      </c>
      <c r="V530">
        <f>IF(H530=1,P530*Assumptions!$B$12,Assumptions!$B$29)</f>
        <v/>
      </c>
      <c r="W530">
        <f>IF(I530=1,P530*Assumptions!$B$11,Assumptions!$B$28)</f>
        <v/>
      </c>
      <c r="X530">
        <f>P530*(Assumptions!$B$133+Assumptions!$B$137)</f>
        <v/>
      </c>
      <c r="Y530">
        <f>P530*Assumptions!$B$9</f>
        <v/>
      </c>
      <c r="Z530">
        <f>IF(M530=1,(P530-Assumptions!$B$37)*Assumptions!$B$153,0)</f>
        <v/>
      </c>
      <c r="AA530">
        <f>Q530+R530+S530+T530+U530+V530+W530+X530+Y530+Z530</f>
        <v/>
      </c>
      <c r="AB530" t="n">
        <v>95</v>
      </c>
      <c r="AC530" t="n">
        <v>31</v>
      </c>
      <c r="AD530" t="n">
        <v>127</v>
      </c>
      <c r="AE530" t="n">
        <v>79</v>
      </c>
      <c r="AF530" t="n">
        <v>87</v>
      </c>
      <c r="AG530" t="n">
        <v>91</v>
      </c>
      <c r="AH530" t="n">
        <v>93</v>
      </c>
      <c r="AI530" t="n">
        <v>94</v>
      </c>
      <c r="AJ530">
        <f>INDEX($Q$435:$Q$562,AC530+1)</f>
        <v/>
      </c>
      <c r="AK530">
        <f>INDEX($R$435:$R$562,AD530+1)</f>
        <v/>
      </c>
      <c r="AL530">
        <f>INDEX($S$435:$S$562,AE530+1)</f>
        <v/>
      </c>
      <c r="AM530">
        <f>INDEX($T$435:$T$562,AF530+1)</f>
        <v/>
      </c>
      <c r="AN530">
        <f>INDEX($U$435:$U$562,AG530+1)</f>
        <v/>
      </c>
      <c r="AO530">
        <f>INDEX($V$435:$V$562,AH530+1)</f>
        <v/>
      </c>
      <c r="AP530">
        <f>INDEX($W$435:$W$562,AI530+1)</f>
        <v/>
      </c>
      <c r="AQ530">
        <f>IF(Q530&gt;=AJ530-0.01,1,0)</f>
        <v/>
      </c>
      <c r="AR530">
        <f>IF(R530&gt;=AK530-0.01,1,0)</f>
        <v/>
      </c>
      <c r="AS530">
        <f>IF(S530&gt;=AL530-0.01,1,0)</f>
        <v/>
      </c>
      <c r="AT530">
        <f>IF(T530&gt;=AM530-0.01,1,0)</f>
        <v/>
      </c>
      <c r="AU530">
        <f>IF(U530&gt;=AN530-0.01,1,0)</f>
        <v/>
      </c>
      <c r="AV530">
        <f>IF(V530&gt;=AO530-0.01,1,0)</f>
        <v/>
      </c>
      <c r="AW530">
        <f>IF(W530&gt;=AP530-0.01,1,0)</f>
        <v/>
      </c>
      <c r="AX530">
        <f>AQ530*AR530*AS530*AT530*AU530*AV530*AW530</f>
        <v/>
      </c>
      <c r="AY530">
        <f>Assumptions!$B$41</f>
        <v/>
      </c>
      <c r="AZ530">
        <f>Assumptions!$B$33</f>
        <v/>
      </c>
      <c r="BA530">
        <f>Assumptions!$B$32</f>
        <v/>
      </c>
      <c r="BB530">
        <f>Assumptions!$B$31</f>
        <v/>
      </c>
      <c r="BC530">
        <f>Assumptions!$B$30</f>
        <v/>
      </c>
      <c r="BD530">
        <f>Assumptions!$B$29</f>
        <v/>
      </c>
      <c r="BE530">
        <f>Assumptions!$B$28</f>
        <v/>
      </c>
      <c r="BF530">
        <f>P530*Assumptions!$B$141</f>
        <v/>
      </c>
      <c r="BG530">
        <f>P530*Assumptions!$B$128</f>
        <v/>
      </c>
      <c r="BH530">
        <f>P530*Assumptions!$B$129</f>
        <v/>
      </c>
      <c r="BI530">
        <f>P530*Assumptions!$B$14</f>
        <v/>
      </c>
      <c r="BJ530">
        <f>P530*Assumptions!$B$13</f>
        <v/>
      </c>
      <c r="BK530">
        <f>P530*Assumptions!$B$12</f>
        <v/>
      </c>
      <c r="BL530">
        <f>P530*Assumptions!$B$11</f>
        <v/>
      </c>
    </row>
    <row r="531">
      <c r="A531" t="inlineStr">
        <is>
          <t>4000M</t>
        </is>
      </c>
      <c r="B531">
        <f>Assumptions!$B$61</f>
        <v/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>
        <f>(1-C531)*Assumptions!$B$41+(1-D531)*Assumptions!$B$33+(1-E531)*Assumptions!$B$32+(1-F531)*Assumptions!$B$31+(1-G531)*Assumptions!$B$30+(1-H531)*Assumptions!$B$29+(1-I531)*Assumptions!$B$28</f>
        <v/>
      </c>
      <c r="K531">
        <f>C531*Assumptions!$B$141+D531*Assumptions!$B$128+E531*Assumptions!$B$129+F531*Assumptions!$B$14+G531*Assumptions!$B$13+H531*Assumptions!$B$12+I531*Assumptions!$B$11+Assumptions!$B$133+Assumptions!$B$137+Assumptions!$B$9</f>
        <v/>
      </c>
      <c r="L531">
        <f>B531-J531</f>
        <v/>
      </c>
      <c r="M531">
        <f>IF(K531&gt;0,IF(L531/K531&gt;=Assumptions!$B$37,1,0),0)</f>
        <v/>
      </c>
      <c r="N531">
        <f>K531+M531*Assumptions!$B$153</f>
        <v/>
      </c>
      <c r="O531">
        <f>L531+M531*Assumptions!$B$153*Assumptions!$B$37</f>
        <v/>
      </c>
      <c r="P531">
        <f>IF(N531&gt;0,O531/N531,0)</f>
        <v/>
      </c>
      <c r="Q531">
        <f>IF(C531=1,P531*Assumptions!$B$141,Assumptions!$B$41)</f>
        <v/>
      </c>
      <c r="R531">
        <f>IF(D531=1,P531*Assumptions!$B$128,Assumptions!$B$33)</f>
        <v/>
      </c>
      <c r="S531">
        <f>IF(E531=1,P531*Assumptions!$B$129,Assumptions!$B$32)</f>
        <v/>
      </c>
      <c r="T531">
        <f>IF(F531=1,P531*Assumptions!$B$14,Assumptions!$B$31)</f>
        <v/>
      </c>
      <c r="U531">
        <f>IF(G531=1,P531*Assumptions!$B$13,Assumptions!$B$30)</f>
        <v/>
      </c>
      <c r="V531">
        <f>IF(H531=1,P531*Assumptions!$B$12,Assumptions!$B$29)</f>
        <v/>
      </c>
      <c r="W531">
        <f>IF(I531=1,P531*Assumptions!$B$11,Assumptions!$B$28)</f>
        <v/>
      </c>
      <c r="X531">
        <f>P531*(Assumptions!$B$133+Assumptions!$B$137)</f>
        <v/>
      </c>
      <c r="Y531">
        <f>P531*Assumptions!$B$9</f>
        <v/>
      </c>
      <c r="Z531">
        <f>IF(M531=1,(P531-Assumptions!$B$37)*Assumptions!$B$153,0)</f>
        <v/>
      </c>
      <c r="AA531">
        <f>Q531+R531+S531+T531+U531+V531+W531+X531+Y531+Z531</f>
        <v/>
      </c>
      <c r="AB531" t="n">
        <v>96</v>
      </c>
      <c r="AC531" t="n">
        <v>32</v>
      </c>
      <c r="AD531" t="n">
        <v>64</v>
      </c>
      <c r="AE531" t="n">
        <v>112</v>
      </c>
      <c r="AF531" t="n">
        <v>104</v>
      </c>
      <c r="AG531" t="n">
        <v>100</v>
      </c>
      <c r="AH531" t="n">
        <v>98</v>
      </c>
      <c r="AI531" t="n">
        <v>97</v>
      </c>
      <c r="AJ531">
        <f>INDEX($Q$435:$Q$562,AC531+1)</f>
        <v/>
      </c>
      <c r="AK531">
        <f>INDEX($R$435:$R$562,AD531+1)</f>
        <v/>
      </c>
      <c r="AL531">
        <f>INDEX($S$435:$S$562,AE531+1)</f>
        <v/>
      </c>
      <c r="AM531">
        <f>INDEX($T$435:$T$562,AF531+1)</f>
        <v/>
      </c>
      <c r="AN531">
        <f>INDEX($U$435:$U$562,AG531+1)</f>
        <v/>
      </c>
      <c r="AO531">
        <f>INDEX($V$435:$V$562,AH531+1)</f>
        <v/>
      </c>
      <c r="AP531">
        <f>INDEX($W$435:$W$562,AI531+1)</f>
        <v/>
      </c>
      <c r="AQ531">
        <f>IF(Q531&gt;=AJ531-0.01,1,0)</f>
        <v/>
      </c>
      <c r="AR531">
        <f>IF(R531&gt;=AK531-0.01,1,0)</f>
        <v/>
      </c>
      <c r="AS531">
        <f>IF(S531&gt;=AL531-0.01,1,0)</f>
        <v/>
      </c>
      <c r="AT531">
        <f>IF(T531&gt;=AM531-0.01,1,0)</f>
        <v/>
      </c>
      <c r="AU531">
        <f>IF(U531&gt;=AN531-0.01,1,0)</f>
        <v/>
      </c>
      <c r="AV531">
        <f>IF(V531&gt;=AO531-0.01,1,0)</f>
        <v/>
      </c>
      <c r="AW531">
        <f>IF(W531&gt;=AP531-0.01,1,0)</f>
        <v/>
      </c>
      <c r="AX531">
        <f>AQ531*AR531*AS531*AT531*AU531*AV531*AW531</f>
        <v/>
      </c>
      <c r="AY531">
        <f>Assumptions!$B$41</f>
        <v/>
      </c>
      <c r="AZ531">
        <f>Assumptions!$B$33</f>
        <v/>
      </c>
      <c r="BA531">
        <f>Assumptions!$B$32</f>
        <v/>
      </c>
      <c r="BB531">
        <f>Assumptions!$B$31</f>
        <v/>
      </c>
      <c r="BC531">
        <f>Assumptions!$B$30</f>
        <v/>
      </c>
      <c r="BD531">
        <f>Assumptions!$B$29</f>
        <v/>
      </c>
      <c r="BE531">
        <f>Assumptions!$B$28</f>
        <v/>
      </c>
      <c r="BF531">
        <f>P531*Assumptions!$B$141</f>
        <v/>
      </c>
      <c r="BG531">
        <f>P531*Assumptions!$B$128</f>
        <v/>
      </c>
      <c r="BH531">
        <f>P531*Assumptions!$B$129</f>
        <v/>
      </c>
      <c r="BI531">
        <f>P531*Assumptions!$B$14</f>
        <v/>
      </c>
      <c r="BJ531">
        <f>P531*Assumptions!$B$13</f>
        <v/>
      </c>
      <c r="BK531">
        <f>P531*Assumptions!$B$12</f>
        <v/>
      </c>
      <c r="BL531">
        <f>P531*Assumptions!$B$11</f>
        <v/>
      </c>
    </row>
    <row r="532">
      <c r="A532" t="inlineStr">
        <is>
          <t>4000M</t>
        </is>
      </c>
      <c r="B532">
        <f>Assumptions!$B$61</f>
        <v/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>
        <f>(1-C532)*Assumptions!$B$41+(1-D532)*Assumptions!$B$33+(1-E532)*Assumptions!$B$32+(1-F532)*Assumptions!$B$31+(1-G532)*Assumptions!$B$30+(1-H532)*Assumptions!$B$29+(1-I532)*Assumptions!$B$28</f>
        <v/>
      </c>
      <c r="K532">
        <f>C532*Assumptions!$B$141+D532*Assumptions!$B$128+E532*Assumptions!$B$129+F532*Assumptions!$B$14+G532*Assumptions!$B$13+H532*Assumptions!$B$12+I532*Assumptions!$B$11+Assumptions!$B$133+Assumptions!$B$137+Assumptions!$B$9</f>
        <v/>
      </c>
      <c r="L532">
        <f>B532-J532</f>
        <v/>
      </c>
      <c r="M532">
        <f>IF(K532&gt;0,IF(L532/K532&gt;=Assumptions!$B$37,1,0),0)</f>
        <v/>
      </c>
      <c r="N532">
        <f>K532+M532*Assumptions!$B$153</f>
        <v/>
      </c>
      <c r="O532">
        <f>L532+M532*Assumptions!$B$153*Assumptions!$B$37</f>
        <v/>
      </c>
      <c r="P532">
        <f>IF(N532&gt;0,O532/N532,0)</f>
        <v/>
      </c>
      <c r="Q532">
        <f>IF(C532=1,P532*Assumptions!$B$141,Assumptions!$B$41)</f>
        <v/>
      </c>
      <c r="R532">
        <f>IF(D532=1,P532*Assumptions!$B$128,Assumptions!$B$33)</f>
        <v/>
      </c>
      <c r="S532">
        <f>IF(E532=1,P532*Assumptions!$B$129,Assumptions!$B$32)</f>
        <v/>
      </c>
      <c r="T532">
        <f>IF(F532=1,P532*Assumptions!$B$14,Assumptions!$B$31)</f>
        <v/>
      </c>
      <c r="U532">
        <f>IF(G532=1,P532*Assumptions!$B$13,Assumptions!$B$30)</f>
        <v/>
      </c>
      <c r="V532">
        <f>IF(H532=1,P532*Assumptions!$B$12,Assumptions!$B$29)</f>
        <v/>
      </c>
      <c r="W532">
        <f>IF(I532=1,P532*Assumptions!$B$11,Assumptions!$B$28)</f>
        <v/>
      </c>
      <c r="X532">
        <f>P532*(Assumptions!$B$133+Assumptions!$B$137)</f>
        <v/>
      </c>
      <c r="Y532">
        <f>P532*Assumptions!$B$9</f>
        <v/>
      </c>
      <c r="Z532">
        <f>IF(M532=1,(P532-Assumptions!$B$37)*Assumptions!$B$153,0)</f>
        <v/>
      </c>
      <c r="AA532">
        <f>Q532+R532+S532+T532+U532+V532+W532+X532+Y532+Z532</f>
        <v/>
      </c>
      <c r="AB532" t="n">
        <v>97</v>
      </c>
      <c r="AC532" t="n">
        <v>33</v>
      </c>
      <c r="AD532" t="n">
        <v>65</v>
      </c>
      <c r="AE532" t="n">
        <v>113</v>
      </c>
      <c r="AF532" t="n">
        <v>105</v>
      </c>
      <c r="AG532" t="n">
        <v>101</v>
      </c>
      <c r="AH532" t="n">
        <v>99</v>
      </c>
      <c r="AI532" t="n">
        <v>96</v>
      </c>
      <c r="AJ532">
        <f>INDEX($Q$435:$Q$562,AC532+1)</f>
        <v/>
      </c>
      <c r="AK532">
        <f>INDEX($R$435:$R$562,AD532+1)</f>
        <v/>
      </c>
      <c r="AL532">
        <f>INDEX($S$435:$S$562,AE532+1)</f>
        <v/>
      </c>
      <c r="AM532">
        <f>INDEX($T$435:$T$562,AF532+1)</f>
        <v/>
      </c>
      <c r="AN532">
        <f>INDEX($U$435:$U$562,AG532+1)</f>
        <v/>
      </c>
      <c r="AO532">
        <f>INDEX($V$435:$V$562,AH532+1)</f>
        <v/>
      </c>
      <c r="AP532">
        <f>INDEX($W$435:$W$562,AI532+1)</f>
        <v/>
      </c>
      <c r="AQ532">
        <f>IF(Q532&gt;=AJ532-0.01,1,0)</f>
        <v/>
      </c>
      <c r="AR532">
        <f>IF(R532&gt;=AK532-0.01,1,0)</f>
        <v/>
      </c>
      <c r="AS532">
        <f>IF(S532&gt;=AL532-0.01,1,0)</f>
        <v/>
      </c>
      <c r="AT532">
        <f>IF(T532&gt;=AM532-0.01,1,0)</f>
        <v/>
      </c>
      <c r="AU532">
        <f>IF(U532&gt;=AN532-0.01,1,0)</f>
        <v/>
      </c>
      <c r="AV532">
        <f>IF(V532&gt;=AO532-0.01,1,0)</f>
        <v/>
      </c>
      <c r="AW532">
        <f>IF(W532&gt;=AP532-0.01,1,0)</f>
        <v/>
      </c>
      <c r="AX532">
        <f>AQ532*AR532*AS532*AT532*AU532*AV532*AW532</f>
        <v/>
      </c>
      <c r="AY532">
        <f>Assumptions!$B$41</f>
        <v/>
      </c>
      <c r="AZ532">
        <f>Assumptions!$B$33</f>
        <v/>
      </c>
      <c r="BA532">
        <f>Assumptions!$B$32</f>
        <v/>
      </c>
      <c r="BB532">
        <f>Assumptions!$B$31</f>
        <v/>
      </c>
      <c r="BC532">
        <f>Assumptions!$B$30</f>
        <v/>
      </c>
      <c r="BD532">
        <f>Assumptions!$B$29</f>
        <v/>
      </c>
      <c r="BE532">
        <f>Assumptions!$B$28</f>
        <v/>
      </c>
      <c r="BF532">
        <f>P532*Assumptions!$B$141</f>
        <v/>
      </c>
      <c r="BG532">
        <f>P532*Assumptions!$B$128</f>
        <v/>
      </c>
      <c r="BH532">
        <f>P532*Assumptions!$B$129</f>
        <v/>
      </c>
      <c r="BI532">
        <f>P532*Assumptions!$B$14</f>
        <v/>
      </c>
      <c r="BJ532">
        <f>P532*Assumptions!$B$13</f>
        <v/>
      </c>
      <c r="BK532">
        <f>P532*Assumptions!$B$12</f>
        <v/>
      </c>
      <c r="BL532">
        <f>P532*Assumptions!$B$11</f>
        <v/>
      </c>
    </row>
    <row r="533">
      <c r="A533" t="inlineStr">
        <is>
          <t>4000M</t>
        </is>
      </c>
      <c r="B533">
        <f>Assumptions!$B$61</f>
        <v/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>
        <f>(1-C533)*Assumptions!$B$41+(1-D533)*Assumptions!$B$33+(1-E533)*Assumptions!$B$32+(1-F533)*Assumptions!$B$31+(1-G533)*Assumptions!$B$30+(1-H533)*Assumptions!$B$29+(1-I533)*Assumptions!$B$28</f>
        <v/>
      </c>
      <c r="K533">
        <f>C533*Assumptions!$B$141+D533*Assumptions!$B$128+E533*Assumptions!$B$129+F533*Assumptions!$B$14+G533*Assumptions!$B$13+H533*Assumptions!$B$12+I533*Assumptions!$B$11+Assumptions!$B$133+Assumptions!$B$137+Assumptions!$B$9</f>
        <v/>
      </c>
      <c r="L533">
        <f>B533-J533</f>
        <v/>
      </c>
      <c r="M533">
        <f>IF(K533&gt;0,IF(L533/K533&gt;=Assumptions!$B$37,1,0),0)</f>
        <v/>
      </c>
      <c r="N533">
        <f>K533+M533*Assumptions!$B$153</f>
        <v/>
      </c>
      <c r="O533">
        <f>L533+M533*Assumptions!$B$153*Assumptions!$B$37</f>
        <v/>
      </c>
      <c r="P533">
        <f>IF(N533&gt;0,O533/N533,0)</f>
        <v/>
      </c>
      <c r="Q533">
        <f>IF(C533=1,P533*Assumptions!$B$141,Assumptions!$B$41)</f>
        <v/>
      </c>
      <c r="R533">
        <f>IF(D533=1,P533*Assumptions!$B$128,Assumptions!$B$33)</f>
        <v/>
      </c>
      <c r="S533">
        <f>IF(E533=1,P533*Assumptions!$B$129,Assumptions!$B$32)</f>
        <v/>
      </c>
      <c r="T533">
        <f>IF(F533=1,P533*Assumptions!$B$14,Assumptions!$B$31)</f>
        <v/>
      </c>
      <c r="U533">
        <f>IF(G533=1,P533*Assumptions!$B$13,Assumptions!$B$30)</f>
        <v/>
      </c>
      <c r="V533">
        <f>IF(H533=1,P533*Assumptions!$B$12,Assumptions!$B$29)</f>
        <v/>
      </c>
      <c r="W533">
        <f>IF(I533=1,P533*Assumptions!$B$11,Assumptions!$B$28)</f>
        <v/>
      </c>
      <c r="X533">
        <f>P533*(Assumptions!$B$133+Assumptions!$B$137)</f>
        <v/>
      </c>
      <c r="Y533">
        <f>P533*Assumptions!$B$9</f>
        <v/>
      </c>
      <c r="Z533">
        <f>IF(M533=1,(P533-Assumptions!$B$37)*Assumptions!$B$153,0)</f>
        <v/>
      </c>
      <c r="AA533">
        <f>Q533+R533+S533+T533+U533+V533+W533+X533+Y533+Z533</f>
        <v/>
      </c>
      <c r="AB533" t="n">
        <v>98</v>
      </c>
      <c r="AC533" t="n">
        <v>34</v>
      </c>
      <c r="AD533" t="n">
        <v>66</v>
      </c>
      <c r="AE533" t="n">
        <v>114</v>
      </c>
      <c r="AF533" t="n">
        <v>106</v>
      </c>
      <c r="AG533" t="n">
        <v>102</v>
      </c>
      <c r="AH533" t="n">
        <v>96</v>
      </c>
      <c r="AI533" t="n">
        <v>99</v>
      </c>
      <c r="AJ533">
        <f>INDEX($Q$435:$Q$562,AC533+1)</f>
        <v/>
      </c>
      <c r="AK533">
        <f>INDEX($R$435:$R$562,AD533+1)</f>
        <v/>
      </c>
      <c r="AL533">
        <f>INDEX($S$435:$S$562,AE533+1)</f>
        <v/>
      </c>
      <c r="AM533">
        <f>INDEX($T$435:$T$562,AF533+1)</f>
        <v/>
      </c>
      <c r="AN533">
        <f>INDEX($U$435:$U$562,AG533+1)</f>
        <v/>
      </c>
      <c r="AO533">
        <f>INDEX($V$435:$V$562,AH533+1)</f>
        <v/>
      </c>
      <c r="AP533">
        <f>INDEX($W$435:$W$562,AI533+1)</f>
        <v/>
      </c>
      <c r="AQ533">
        <f>IF(Q533&gt;=AJ533-0.01,1,0)</f>
        <v/>
      </c>
      <c r="AR533">
        <f>IF(R533&gt;=AK533-0.01,1,0)</f>
        <v/>
      </c>
      <c r="AS533">
        <f>IF(S533&gt;=AL533-0.01,1,0)</f>
        <v/>
      </c>
      <c r="AT533">
        <f>IF(T533&gt;=AM533-0.01,1,0)</f>
        <v/>
      </c>
      <c r="AU533">
        <f>IF(U533&gt;=AN533-0.01,1,0)</f>
        <v/>
      </c>
      <c r="AV533">
        <f>IF(V533&gt;=AO533-0.01,1,0)</f>
        <v/>
      </c>
      <c r="AW533">
        <f>IF(W533&gt;=AP533-0.01,1,0)</f>
        <v/>
      </c>
      <c r="AX533">
        <f>AQ533*AR533*AS533*AT533*AU533*AV533*AW533</f>
        <v/>
      </c>
      <c r="AY533">
        <f>Assumptions!$B$41</f>
        <v/>
      </c>
      <c r="AZ533">
        <f>Assumptions!$B$33</f>
        <v/>
      </c>
      <c r="BA533">
        <f>Assumptions!$B$32</f>
        <v/>
      </c>
      <c r="BB533">
        <f>Assumptions!$B$31</f>
        <v/>
      </c>
      <c r="BC533">
        <f>Assumptions!$B$30</f>
        <v/>
      </c>
      <c r="BD533">
        <f>Assumptions!$B$29</f>
        <v/>
      </c>
      <c r="BE533">
        <f>Assumptions!$B$28</f>
        <v/>
      </c>
      <c r="BF533">
        <f>P533*Assumptions!$B$141</f>
        <v/>
      </c>
      <c r="BG533">
        <f>P533*Assumptions!$B$128</f>
        <v/>
      </c>
      <c r="BH533">
        <f>P533*Assumptions!$B$129</f>
        <v/>
      </c>
      <c r="BI533">
        <f>P533*Assumptions!$B$14</f>
        <v/>
      </c>
      <c r="BJ533">
        <f>P533*Assumptions!$B$13</f>
        <v/>
      </c>
      <c r="BK533">
        <f>P533*Assumptions!$B$12</f>
        <v/>
      </c>
      <c r="BL533">
        <f>P533*Assumptions!$B$11</f>
        <v/>
      </c>
    </row>
    <row r="534">
      <c r="A534" t="inlineStr">
        <is>
          <t>4000M</t>
        </is>
      </c>
      <c r="B534">
        <f>Assumptions!$B$61</f>
        <v/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>
        <f>(1-C534)*Assumptions!$B$41+(1-D534)*Assumptions!$B$33+(1-E534)*Assumptions!$B$32+(1-F534)*Assumptions!$B$31+(1-G534)*Assumptions!$B$30+(1-H534)*Assumptions!$B$29+(1-I534)*Assumptions!$B$28</f>
        <v/>
      </c>
      <c r="K534">
        <f>C534*Assumptions!$B$141+D534*Assumptions!$B$128+E534*Assumptions!$B$129+F534*Assumptions!$B$14+G534*Assumptions!$B$13+H534*Assumptions!$B$12+I534*Assumptions!$B$11+Assumptions!$B$133+Assumptions!$B$137+Assumptions!$B$9</f>
        <v/>
      </c>
      <c r="L534">
        <f>B534-J534</f>
        <v/>
      </c>
      <c r="M534">
        <f>IF(K534&gt;0,IF(L534/K534&gt;=Assumptions!$B$37,1,0),0)</f>
        <v/>
      </c>
      <c r="N534">
        <f>K534+M534*Assumptions!$B$153</f>
        <v/>
      </c>
      <c r="O534">
        <f>L534+M534*Assumptions!$B$153*Assumptions!$B$37</f>
        <v/>
      </c>
      <c r="P534">
        <f>IF(N534&gt;0,O534/N534,0)</f>
        <v/>
      </c>
      <c r="Q534">
        <f>IF(C534=1,P534*Assumptions!$B$141,Assumptions!$B$41)</f>
        <v/>
      </c>
      <c r="R534">
        <f>IF(D534=1,P534*Assumptions!$B$128,Assumptions!$B$33)</f>
        <v/>
      </c>
      <c r="S534">
        <f>IF(E534=1,P534*Assumptions!$B$129,Assumptions!$B$32)</f>
        <v/>
      </c>
      <c r="T534">
        <f>IF(F534=1,P534*Assumptions!$B$14,Assumptions!$B$31)</f>
        <v/>
      </c>
      <c r="U534">
        <f>IF(G534=1,P534*Assumptions!$B$13,Assumptions!$B$30)</f>
        <v/>
      </c>
      <c r="V534">
        <f>IF(H534=1,P534*Assumptions!$B$12,Assumptions!$B$29)</f>
        <v/>
      </c>
      <c r="W534">
        <f>IF(I534=1,P534*Assumptions!$B$11,Assumptions!$B$28)</f>
        <v/>
      </c>
      <c r="X534">
        <f>P534*(Assumptions!$B$133+Assumptions!$B$137)</f>
        <v/>
      </c>
      <c r="Y534">
        <f>P534*Assumptions!$B$9</f>
        <v/>
      </c>
      <c r="Z534">
        <f>IF(M534=1,(P534-Assumptions!$B$37)*Assumptions!$B$153,0)</f>
        <v/>
      </c>
      <c r="AA534">
        <f>Q534+R534+S534+T534+U534+V534+W534+X534+Y534+Z534</f>
        <v/>
      </c>
      <c r="AB534" t="n">
        <v>99</v>
      </c>
      <c r="AC534" t="n">
        <v>35</v>
      </c>
      <c r="AD534" t="n">
        <v>67</v>
      </c>
      <c r="AE534" t="n">
        <v>115</v>
      </c>
      <c r="AF534" t="n">
        <v>107</v>
      </c>
      <c r="AG534" t="n">
        <v>103</v>
      </c>
      <c r="AH534" t="n">
        <v>97</v>
      </c>
      <c r="AI534" t="n">
        <v>98</v>
      </c>
      <c r="AJ534">
        <f>INDEX($Q$435:$Q$562,AC534+1)</f>
        <v/>
      </c>
      <c r="AK534">
        <f>INDEX($R$435:$R$562,AD534+1)</f>
        <v/>
      </c>
      <c r="AL534">
        <f>INDEX($S$435:$S$562,AE534+1)</f>
        <v/>
      </c>
      <c r="AM534">
        <f>INDEX($T$435:$T$562,AF534+1)</f>
        <v/>
      </c>
      <c r="AN534">
        <f>INDEX($U$435:$U$562,AG534+1)</f>
        <v/>
      </c>
      <c r="AO534">
        <f>INDEX($V$435:$V$562,AH534+1)</f>
        <v/>
      </c>
      <c r="AP534">
        <f>INDEX($W$435:$W$562,AI534+1)</f>
        <v/>
      </c>
      <c r="AQ534">
        <f>IF(Q534&gt;=AJ534-0.01,1,0)</f>
        <v/>
      </c>
      <c r="AR534">
        <f>IF(R534&gt;=AK534-0.01,1,0)</f>
        <v/>
      </c>
      <c r="AS534">
        <f>IF(S534&gt;=AL534-0.01,1,0)</f>
        <v/>
      </c>
      <c r="AT534">
        <f>IF(T534&gt;=AM534-0.01,1,0)</f>
        <v/>
      </c>
      <c r="AU534">
        <f>IF(U534&gt;=AN534-0.01,1,0)</f>
        <v/>
      </c>
      <c r="AV534">
        <f>IF(V534&gt;=AO534-0.01,1,0)</f>
        <v/>
      </c>
      <c r="AW534">
        <f>IF(W534&gt;=AP534-0.01,1,0)</f>
        <v/>
      </c>
      <c r="AX534">
        <f>AQ534*AR534*AS534*AT534*AU534*AV534*AW534</f>
        <v/>
      </c>
      <c r="AY534">
        <f>Assumptions!$B$41</f>
        <v/>
      </c>
      <c r="AZ534">
        <f>Assumptions!$B$33</f>
        <v/>
      </c>
      <c r="BA534">
        <f>Assumptions!$B$32</f>
        <v/>
      </c>
      <c r="BB534">
        <f>Assumptions!$B$31</f>
        <v/>
      </c>
      <c r="BC534">
        <f>Assumptions!$B$30</f>
        <v/>
      </c>
      <c r="BD534">
        <f>Assumptions!$B$29</f>
        <v/>
      </c>
      <c r="BE534">
        <f>Assumptions!$B$28</f>
        <v/>
      </c>
      <c r="BF534">
        <f>P534*Assumptions!$B$141</f>
        <v/>
      </c>
      <c r="BG534">
        <f>P534*Assumptions!$B$128</f>
        <v/>
      </c>
      <c r="BH534">
        <f>P534*Assumptions!$B$129</f>
        <v/>
      </c>
      <c r="BI534">
        <f>P534*Assumptions!$B$14</f>
        <v/>
      </c>
      <c r="BJ534">
        <f>P534*Assumptions!$B$13</f>
        <v/>
      </c>
      <c r="BK534">
        <f>P534*Assumptions!$B$12</f>
        <v/>
      </c>
      <c r="BL534">
        <f>P534*Assumptions!$B$11</f>
        <v/>
      </c>
    </row>
    <row r="535">
      <c r="A535" t="inlineStr">
        <is>
          <t>4000M</t>
        </is>
      </c>
      <c r="B535">
        <f>Assumptions!$B$61</f>
        <v/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>
        <f>(1-C535)*Assumptions!$B$41+(1-D535)*Assumptions!$B$33+(1-E535)*Assumptions!$B$32+(1-F535)*Assumptions!$B$31+(1-G535)*Assumptions!$B$30+(1-H535)*Assumptions!$B$29+(1-I535)*Assumptions!$B$28</f>
        <v/>
      </c>
      <c r="K535">
        <f>C535*Assumptions!$B$141+D535*Assumptions!$B$128+E535*Assumptions!$B$129+F535*Assumptions!$B$14+G535*Assumptions!$B$13+H535*Assumptions!$B$12+I535*Assumptions!$B$11+Assumptions!$B$133+Assumptions!$B$137+Assumptions!$B$9</f>
        <v/>
      </c>
      <c r="L535">
        <f>B535-J535</f>
        <v/>
      </c>
      <c r="M535">
        <f>IF(K535&gt;0,IF(L535/K535&gt;=Assumptions!$B$37,1,0),0)</f>
        <v/>
      </c>
      <c r="N535">
        <f>K535+M535*Assumptions!$B$153</f>
        <v/>
      </c>
      <c r="O535">
        <f>L535+M535*Assumptions!$B$153*Assumptions!$B$37</f>
        <v/>
      </c>
      <c r="P535">
        <f>IF(N535&gt;0,O535/N535,0)</f>
        <v/>
      </c>
      <c r="Q535">
        <f>IF(C535=1,P535*Assumptions!$B$141,Assumptions!$B$41)</f>
        <v/>
      </c>
      <c r="R535">
        <f>IF(D535=1,P535*Assumptions!$B$128,Assumptions!$B$33)</f>
        <v/>
      </c>
      <c r="S535">
        <f>IF(E535=1,P535*Assumptions!$B$129,Assumptions!$B$32)</f>
        <v/>
      </c>
      <c r="T535">
        <f>IF(F535=1,P535*Assumptions!$B$14,Assumptions!$B$31)</f>
        <v/>
      </c>
      <c r="U535">
        <f>IF(G535=1,P535*Assumptions!$B$13,Assumptions!$B$30)</f>
        <v/>
      </c>
      <c r="V535">
        <f>IF(H535=1,P535*Assumptions!$B$12,Assumptions!$B$29)</f>
        <v/>
      </c>
      <c r="W535">
        <f>IF(I535=1,P535*Assumptions!$B$11,Assumptions!$B$28)</f>
        <v/>
      </c>
      <c r="X535">
        <f>P535*(Assumptions!$B$133+Assumptions!$B$137)</f>
        <v/>
      </c>
      <c r="Y535">
        <f>P535*Assumptions!$B$9</f>
        <v/>
      </c>
      <c r="Z535">
        <f>IF(M535=1,(P535-Assumptions!$B$37)*Assumptions!$B$153,0)</f>
        <v/>
      </c>
      <c r="AA535">
        <f>Q535+R535+S535+T535+U535+V535+W535+X535+Y535+Z535</f>
        <v/>
      </c>
      <c r="AB535" t="n">
        <v>100</v>
      </c>
      <c r="AC535" t="n">
        <v>36</v>
      </c>
      <c r="AD535" t="n">
        <v>68</v>
      </c>
      <c r="AE535" t="n">
        <v>116</v>
      </c>
      <c r="AF535" t="n">
        <v>108</v>
      </c>
      <c r="AG535" t="n">
        <v>96</v>
      </c>
      <c r="AH535" t="n">
        <v>102</v>
      </c>
      <c r="AI535" t="n">
        <v>101</v>
      </c>
      <c r="AJ535">
        <f>INDEX($Q$435:$Q$562,AC535+1)</f>
        <v/>
      </c>
      <c r="AK535">
        <f>INDEX($R$435:$R$562,AD535+1)</f>
        <v/>
      </c>
      <c r="AL535">
        <f>INDEX($S$435:$S$562,AE535+1)</f>
        <v/>
      </c>
      <c r="AM535">
        <f>INDEX($T$435:$T$562,AF535+1)</f>
        <v/>
      </c>
      <c r="AN535">
        <f>INDEX($U$435:$U$562,AG535+1)</f>
        <v/>
      </c>
      <c r="AO535">
        <f>INDEX($V$435:$V$562,AH535+1)</f>
        <v/>
      </c>
      <c r="AP535">
        <f>INDEX($W$435:$W$562,AI535+1)</f>
        <v/>
      </c>
      <c r="AQ535">
        <f>IF(Q535&gt;=AJ535-0.01,1,0)</f>
        <v/>
      </c>
      <c r="AR535">
        <f>IF(R535&gt;=AK535-0.01,1,0)</f>
        <v/>
      </c>
      <c r="AS535">
        <f>IF(S535&gt;=AL535-0.01,1,0)</f>
        <v/>
      </c>
      <c r="AT535">
        <f>IF(T535&gt;=AM535-0.01,1,0)</f>
        <v/>
      </c>
      <c r="AU535">
        <f>IF(U535&gt;=AN535-0.01,1,0)</f>
        <v/>
      </c>
      <c r="AV535">
        <f>IF(V535&gt;=AO535-0.01,1,0)</f>
        <v/>
      </c>
      <c r="AW535">
        <f>IF(W535&gt;=AP535-0.01,1,0)</f>
        <v/>
      </c>
      <c r="AX535">
        <f>AQ535*AR535*AS535*AT535*AU535*AV535*AW535</f>
        <v/>
      </c>
      <c r="AY535">
        <f>Assumptions!$B$41</f>
        <v/>
      </c>
      <c r="AZ535">
        <f>Assumptions!$B$33</f>
        <v/>
      </c>
      <c r="BA535">
        <f>Assumptions!$B$32</f>
        <v/>
      </c>
      <c r="BB535">
        <f>Assumptions!$B$31</f>
        <v/>
      </c>
      <c r="BC535">
        <f>Assumptions!$B$30</f>
        <v/>
      </c>
      <c r="BD535">
        <f>Assumptions!$B$29</f>
        <v/>
      </c>
      <c r="BE535">
        <f>Assumptions!$B$28</f>
        <v/>
      </c>
      <c r="BF535">
        <f>P535*Assumptions!$B$141</f>
        <v/>
      </c>
      <c r="BG535">
        <f>P535*Assumptions!$B$128</f>
        <v/>
      </c>
      <c r="BH535">
        <f>P535*Assumptions!$B$129</f>
        <v/>
      </c>
      <c r="BI535">
        <f>P535*Assumptions!$B$14</f>
        <v/>
      </c>
      <c r="BJ535">
        <f>P535*Assumptions!$B$13</f>
        <v/>
      </c>
      <c r="BK535">
        <f>P535*Assumptions!$B$12</f>
        <v/>
      </c>
      <c r="BL535">
        <f>P535*Assumptions!$B$11</f>
        <v/>
      </c>
    </row>
    <row r="536">
      <c r="A536" t="inlineStr">
        <is>
          <t>4000M</t>
        </is>
      </c>
      <c r="B536">
        <f>Assumptions!$B$61</f>
        <v/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>
        <f>(1-C536)*Assumptions!$B$41+(1-D536)*Assumptions!$B$33+(1-E536)*Assumptions!$B$32+(1-F536)*Assumptions!$B$31+(1-G536)*Assumptions!$B$30+(1-H536)*Assumptions!$B$29+(1-I536)*Assumptions!$B$28</f>
        <v/>
      </c>
      <c r="K536">
        <f>C536*Assumptions!$B$141+D536*Assumptions!$B$128+E536*Assumptions!$B$129+F536*Assumptions!$B$14+G536*Assumptions!$B$13+H536*Assumptions!$B$12+I536*Assumptions!$B$11+Assumptions!$B$133+Assumptions!$B$137+Assumptions!$B$9</f>
        <v/>
      </c>
      <c r="L536">
        <f>B536-J536</f>
        <v/>
      </c>
      <c r="M536">
        <f>IF(K536&gt;0,IF(L536/K536&gt;=Assumptions!$B$37,1,0),0)</f>
        <v/>
      </c>
      <c r="N536">
        <f>K536+M536*Assumptions!$B$153</f>
        <v/>
      </c>
      <c r="O536">
        <f>L536+M536*Assumptions!$B$153*Assumptions!$B$37</f>
        <v/>
      </c>
      <c r="P536">
        <f>IF(N536&gt;0,O536/N536,0)</f>
        <v/>
      </c>
      <c r="Q536">
        <f>IF(C536=1,P536*Assumptions!$B$141,Assumptions!$B$41)</f>
        <v/>
      </c>
      <c r="R536">
        <f>IF(D536=1,P536*Assumptions!$B$128,Assumptions!$B$33)</f>
        <v/>
      </c>
      <c r="S536">
        <f>IF(E536=1,P536*Assumptions!$B$129,Assumptions!$B$32)</f>
        <v/>
      </c>
      <c r="T536">
        <f>IF(F536=1,P536*Assumptions!$B$14,Assumptions!$B$31)</f>
        <v/>
      </c>
      <c r="U536">
        <f>IF(G536=1,P536*Assumptions!$B$13,Assumptions!$B$30)</f>
        <v/>
      </c>
      <c r="V536">
        <f>IF(H536=1,P536*Assumptions!$B$12,Assumptions!$B$29)</f>
        <v/>
      </c>
      <c r="W536">
        <f>IF(I536=1,P536*Assumptions!$B$11,Assumptions!$B$28)</f>
        <v/>
      </c>
      <c r="X536">
        <f>P536*(Assumptions!$B$133+Assumptions!$B$137)</f>
        <v/>
      </c>
      <c r="Y536">
        <f>P536*Assumptions!$B$9</f>
        <v/>
      </c>
      <c r="Z536">
        <f>IF(M536=1,(P536-Assumptions!$B$37)*Assumptions!$B$153,0)</f>
        <v/>
      </c>
      <c r="AA536">
        <f>Q536+R536+S536+T536+U536+V536+W536+X536+Y536+Z536</f>
        <v/>
      </c>
      <c r="AB536" t="n">
        <v>101</v>
      </c>
      <c r="AC536" t="n">
        <v>37</v>
      </c>
      <c r="AD536" t="n">
        <v>69</v>
      </c>
      <c r="AE536" t="n">
        <v>117</v>
      </c>
      <c r="AF536" t="n">
        <v>109</v>
      </c>
      <c r="AG536" t="n">
        <v>97</v>
      </c>
      <c r="AH536" t="n">
        <v>103</v>
      </c>
      <c r="AI536" t="n">
        <v>100</v>
      </c>
      <c r="AJ536">
        <f>INDEX($Q$435:$Q$562,AC536+1)</f>
        <v/>
      </c>
      <c r="AK536">
        <f>INDEX($R$435:$R$562,AD536+1)</f>
        <v/>
      </c>
      <c r="AL536">
        <f>INDEX($S$435:$S$562,AE536+1)</f>
        <v/>
      </c>
      <c r="AM536">
        <f>INDEX($T$435:$T$562,AF536+1)</f>
        <v/>
      </c>
      <c r="AN536">
        <f>INDEX($U$435:$U$562,AG536+1)</f>
        <v/>
      </c>
      <c r="AO536">
        <f>INDEX($V$435:$V$562,AH536+1)</f>
        <v/>
      </c>
      <c r="AP536">
        <f>INDEX($W$435:$W$562,AI536+1)</f>
        <v/>
      </c>
      <c r="AQ536">
        <f>IF(Q536&gt;=AJ536-0.01,1,0)</f>
        <v/>
      </c>
      <c r="AR536">
        <f>IF(R536&gt;=AK536-0.01,1,0)</f>
        <v/>
      </c>
      <c r="AS536">
        <f>IF(S536&gt;=AL536-0.01,1,0)</f>
        <v/>
      </c>
      <c r="AT536">
        <f>IF(T536&gt;=AM536-0.01,1,0)</f>
        <v/>
      </c>
      <c r="AU536">
        <f>IF(U536&gt;=AN536-0.01,1,0)</f>
        <v/>
      </c>
      <c r="AV536">
        <f>IF(V536&gt;=AO536-0.01,1,0)</f>
        <v/>
      </c>
      <c r="AW536">
        <f>IF(W536&gt;=AP536-0.01,1,0)</f>
        <v/>
      </c>
      <c r="AX536">
        <f>AQ536*AR536*AS536*AT536*AU536*AV536*AW536</f>
        <v/>
      </c>
      <c r="AY536">
        <f>Assumptions!$B$41</f>
        <v/>
      </c>
      <c r="AZ536">
        <f>Assumptions!$B$33</f>
        <v/>
      </c>
      <c r="BA536">
        <f>Assumptions!$B$32</f>
        <v/>
      </c>
      <c r="BB536">
        <f>Assumptions!$B$31</f>
        <v/>
      </c>
      <c r="BC536">
        <f>Assumptions!$B$30</f>
        <v/>
      </c>
      <c r="BD536">
        <f>Assumptions!$B$29</f>
        <v/>
      </c>
      <c r="BE536">
        <f>Assumptions!$B$28</f>
        <v/>
      </c>
      <c r="BF536">
        <f>P536*Assumptions!$B$141</f>
        <v/>
      </c>
      <c r="BG536">
        <f>P536*Assumptions!$B$128</f>
        <v/>
      </c>
      <c r="BH536">
        <f>P536*Assumptions!$B$129</f>
        <v/>
      </c>
      <c r="BI536">
        <f>P536*Assumptions!$B$14</f>
        <v/>
      </c>
      <c r="BJ536">
        <f>P536*Assumptions!$B$13</f>
        <v/>
      </c>
      <c r="BK536">
        <f>P536*Assumptions!$B$12</f>
        <v/>
      </c>
      <c r="BL536">
        <f>P536*Assumptions!$B$11</f>
        <v/>
      </c>
    </row>
    <row r="537">
      <c r="A537" t="inlineStr">
        <is>
          <t>4000M</t>
        </is>
      </c>
      <c r="B537">
        <f>Assumptions!$B$61</f>
        <v/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>
        <f>(1-C537)*Assumptions!$B$41+(1-D537)*Assumptions!$B$33+(1-E537)*Assumptions!$B$32+(1-F537)*Assumptions!$B$31+(1-G537)*Assumptions!$B$30+(1-H537)*Assumptions!$B$29+(1-I537)*Assumptions!$B$28</f>
        <v/>
      </c>
      <c r="K537">
        <f>C537*Assumptions!$B$141+D537*Assumptions!$B$128+E537*Assumptions!$B$129+F537*Assumptions!$B$14+G537*Assumptions!$B$13+H537*Assumptions!$B$12+I537*Assumptions!$B$11+Assumptions!$B$133+Assumptions!$B$137+Assumptions!$B$9</f>
        <v/>
      </c>
      <c r="L537">
        <f>B537-J537</f>
        <v/>
      </c>
      <c r="M537">
        <f>IF(K537&gt;0,IF(L537/K537&gt;=Assumptions!$B$37,1,0),0)</f>
        <v/>
      </c>
      <c r="N537">
        <f>K537+M537*Assumptions!$B$153</f>
        <v/>
      </c>
      <c r="O537">
        <f>L537+M537*Assumptions!$B$153*Assumptions!$B$37</f>
        <v/>
      </c>
      <c r="P537">
        <f>IF(N537&gt;0,O537/N537,0)</f>
        <v/>
      </c>
      <c r="Q537">
        <f>IF(C537=1,P537*Assumptions!$B$141,Assumptions!$B$41)</f>
        <v/>
      </c>
      <c r="R537">
        <f>IF(D537=1,P537*Assumptions!$B$128,Assumptions!$B$33)</f>
        <v/>
      </c>
      <c r="S537">
        <f>IF(E537=1,P537*Assumptions!$B$129,Assumptions!$B$32)</f>
        <v/>
      </c>
      <c r="T537">
        <f>IF(F537=1,P537*Assumptions!$B$14,Assumptions!$B$31)</f>
        <v/>
      </c>
      <c r="U537">
        <f>IF(G537=1,P537*Assumptions!$B$13,Assumptions!$B$30)</f>
        <v/>
      </c>
      <c r="V537">
        <f>IF(H537=1,P537*Assumptions!$B$12,Assumptions!$B$29)</f>
        <v/>
      </c>
      <c r="W537">
        <f>IF(I537=1,P537*Assumptions!$B$11,Assumptions!$B$28)</f>
        <v/>
      </c>
      <c r="X537">
        <f>P537*(Assumptions!$B$133+Assumptions!$B$137)</f>
        <v/>
      </c>
      <c r="Y537">
        <f>P537*Assumptions!$B$9</f>
        <v/>
      </c>
      <c r="Z537">
        <f>IF(M537=1,(P537-Assumptions!$B$37)*Assumptions!$B$153,0)</f>
        <v/>
      </c>
      <c r="AA537">
        <f>Q537+R537+S537+T537+U537+V537+W537+X537+Y537+Z537</f>
        <v/>
      </c>
      <c r="AB537" t="n">
        <v>102</v>
      </c>
      <c r="AC537" t="n">
        <v>38</v>
      </c>
      <c r="AD537" t="n">
        <v>70</v>
      </c>
      <c r="AE537" t="n">
        <v>118</v>
      </c>
      <c r="AF537" t="n">
        <v>110</v>
      </c>
      <c r="AG537" t="n">
        <v>98</v>
      </c>
      <c r="AH537" t="n">
        <v>100</v>
      </c>
      <c r="AI537" t="n">
        <v>103</v>
      </c>
      <c r="AJ537">
        <f>INDEX($Q$435:$Q$562,AC537+1)</f>
        <v/>
      </c>
      <c r="AK537">
        <f>INDEX($R$435:$R$562,AD537+1)</f>
        <v/>
      </c>
      <c r="AL537">
        <f>INDEX($S$435:$S$562,AE537+1)</f>
        <v/>
      </c>
      <c r="AM537">
        <f>INDEX($T$435:$T$562,AF537+1)</f>
        <v/>
      </c>
      <c r="AN537">
        <f>INDEX($U$435:$U$562,AG537+1)</f>
        <v/>
      </c>
      <c r="AO537">
        <f>INDEX($V$435:$V$562,AH537+1)</f>
        <v/>
      </c>
      <c r="AP537">
        <f>INDEX($W$435:$W$562,AI537+1)</f>
        <v/>
      </c>
      <c r="AQ537">
        <f>IF(Q537&gt;=AJ537-0.01,1,0)</f>
        <v/>
      </c>
      <c r="AR537">
        <f>IF(R537&gt;=AK537-0.01,1,0)</f>
        <v/>
      </c>
      <c r="AS537">
        <f>IF(S537&gt;=AL537-0.01,1,0)</f>
        <v/>
      </c>
      <c r="AT537">
        <f>IF(T537&gt;=AM537-0.01,1,0)</f>
        <v/>
      </c>
      <c r="AU537">
        <f>IF(U537&gt;=AN537-0.01,1,0)</f>
        <v/>
      </c>
      <c r="AV537">
        <f>IF(V537&gt;=AO537-0.01,1,0)</f>
        <v/>
      </c>
      <c r="AW537">
        <f>IF(W537&gt;=AP537-0.01,1,0)</f>
        <v/>
      </c>
      <c r="AX537">
        <f>AQ537*AR537*AS537*AT537*AU537*AV537*AW537</f>
        <v/>
      </c>
      <c r="AY537">
        <f>Assumptions!$B$41</f>
        <v/>
      </c>
      <c r="AZ537">
        <f>Assumptions!$B$33</f>
        <v/>
      </c>
      <c r="BA537">
        <f>Assumptions!$B$32</f>
        <v/>
      </c>
      <c r="BB537">
        <f>Assumptions!$B$31</f>
        <v/>
      </c>
      <c r="BC537">
        <f>Assumptions!$B$30</f>
        <v/>
      </c>
      <c r="BD537">
        <f>Assumptions!$B$29</f>
        <v/>
      </c>
      <c r="BE537">
        <f>Assumptions!$B$28</f>
        <v/>
      </c>
      <c r="BF537">
        <f>P537*Assumptions!$B$141</f>
        <v/>
      </c>
      <c r="BG537">
        <f>P537*Assumptions!$B$128</f>
        <v/>
      </c>
      <c r="BH537">
        <f>P537*Assumptions!$B$129</f>
        <v/>
      </c>
      <c r="BI537">
        <f>P537*Assumptions!$B$14</f>
        <v/>
      </c>
      <c r="BJ537">
        <f>P537*Assumptions!$B$13</f>
        <v/>
      </c>
      <c r="BK537">
        <f>P537*Assumptions!$B$12</f>
        <v/>
      </c>
      <c r="BL537">
        <f>P537*Assumptions!$B$11</f>
        <v/>
      </c>
    </row>
    <row r="538">
      <c r="A538" t="inlineStr">
        <is>
          <t>4000M</t>
        </is>
      </c>
      <c r="B538">
        <f>Assumptions!$B$61</f>
        <v/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>
        <f>(1-C538)*Assumptions!$B$41+(1-D538)*Assumptions!$B$33+(1-E538)*Assumptions!$B$32+(1-F538)*Assumptions!$B$31+(1-G538)*Assumptions!$B$30+(1-H538)*Assumptions!$B$29+(1-I538)*Assumptions!$B$28</f>
        <v/>
      </c>
      <c r="K538">
        <f>C538*Assumptions!$B$141+D538*Assumptions!$B$128+E538*Assumptions!$B$129+F538*Assumptions!$B$14+G538*Assumptions!$B$13+H538*Assumptions!$B$12+I538*Assumptions!$B$11+Assumptions!$B$133+Assumptions!$B$137+Assumptions!$B$9</f>
        <v/>
      </c>
      <c r="L538">
        <f>B538-J538</f>
        <v/>
      </c>
      <c r="M538">
        <f>IF(K538&gt;0,IF(L538/K538&gt;=Assumptions!$B$37,1,0),0)</f>
        <v/>
      </c>
      <c r="N538">
        <f>K538+M538*Assumptions!$B$153</f>
        <v/>
      </c>
      <c r="O538">
        <f>L538+M538*Assumptions!$B$153*Assumptions!$B$37</f>
        <v/>
      </c>
      <c r="P538">
        <f>IF(N538&gt;0,O538/N538,0)</f>
        <v/>
      </c>
      <c r="Q538">
        <f>IF(C538=1,P538*Assumptions!$B$141,Assumptions!$B$41)</f>
        <v/>
      </c>
      <c r="R538">
        <f>IF(D538=1,P538*Assumptions!$B$128,Assumptions!$B$33)</f>
        <v/>
      </c>
      <c r="S538">
        <f>IF(E538=1,P538*Assumptions!$B$129,Assumptions!$B$32)</f>
        <v/>
      </c>
      <c r="T538">
        <f>IF(F538=1,P538*Assumptions!$B$14,Assumptions!$B$31)</f>
        <v/>
      </c>
      <c r="U538">
        <f>IF(G538=1,P538*Assumptions!$B$13,Assumptions!$B$30)</f>
        <v/>
      </c>
      <c r="V538">
        <f>IF(H538=1,P538*Assumptions!$B$12,Assumptions!$B$29)</f>
        <v/>
      </c>
      <c r="W538">
        <f>IF(I538=1,P538*Assumptions!$B$11,Assumptions!$B$28)</f>
        <v/>
      </c>
      <c r="X538">
        <f>P538*(Assumptions!$B$133+Assumptions!$B$137)</f>
        <v/>
      </c>
      <c r="Y538">
        <f>P538*Assumptions!$B$9</f>
        <v/>
      </c>
      <c r="Z538">
        <f>IF(M538=1,(P538-Assumptions!$B$37)*Assumptions!$B$153,0)</f>
        <v/>
      </c>
      <c r="AA538">
        <f>Q538+R538+S538+T538+U538+V538+W538+X538+Y538+Z538</f>
        <v/>
      </c>
      <c r="AB538" t="n">
        <v>103</v>
      </c>
      <c r="AC538" t="n">
        <v>39</v>
      </c>
      <c r="AD538" t="n">
        <v>71</v>
      </c>
      <c r="AE538" t="n">
        <v>119</v>
      </c>
      <c r="AF538" t="n">
        <v>111</v>
      </c>
      <c r="AG538" t="n">
        <v>99</v>
      </c>
      <c r="AH538" t="n">
        <v>101</v>
      </c>
      <c r="AI538" t="n">
        <v>102</v>
      </c>
      <c r="AJ538">
        <f>INDEX($Q$435:$Q$562,AC538+1)</f>
        <v/>
      </c>
      <c r="AK538">
        <f>INDEX($R$435:$R$562,AD538+1)</f>
        <v/>
      </c>
      <c r="AL538">
        <f>INDEX($S$435:$S$562,AE538+1)</f>
        <v/>
      </c>
      <c r="AM538">
        <f>INDEX($T$435:$T$562,AF538+1)</f>
        <v/>
      </c>
      <c r="AN538">
        <f>INDEX($U$435:$U$562,AG538+1)</f>
        <v/>
      </c>
      <c r="AO538">
        <f>INDEX($V$435:$V$562,AH538+1)</f>
        <v/>
      </c>
      <c r="AP538">
        <f>INDEX($W$435:$W$562,AI538+1)</f>
        <v/>
      </c>
      <c r="AQ538">
        <f>IF(Q538&gt;=AJ538-0.01,1,0)</f>
        <v/>
      </c>
      <c r="AR538">
        <f>IF(R538&gt;=AK538-0.01,1,0)</f>
        <v/>
      </c>
      <c r="AS538">
        <f>IF(S538&gt;=AL538-0.01,1,0)</f>
        <v/>
      </c>
      <c r="AT538">
        <f>IF(T538&gt;=AM538-0.01,1,0)</f>
        <v/>
      </c>
      <c r="AU538">
        <f>IF(U538&gt;=AN538-0.01,1,0)</f>
        <v/>
      </c>
      <c r="AV538">
        <f>IF(V538&gt;=AO538-0.01,1,0)</f>
        <v/>
      </c>
      <c r="AW538">
        <f>IF(W538&gt;=AP538-0.01,1,0)</f>
        <v/>
      </c>
      <c r="AX538">
        <f>AQ538*AR538*AS538*AT538*AU538*AV538*AW538</f>
        <v/>
      </c>
      <c r="AY538">
        <f>Assumptions!$B$41</f>
        <v/>
      </c>
      <c r="AZ538">
        <f>Assumptions!$B$33</f>
        <v/>
      </c>
      <c r="BA538">
        <f>Assumptions!$B$32</f>
        <v/>
      </c>
      <c r="BB538">
        <f>Assumptions!$B$31</f>
        <v/>
      </c>
      <c r="BC538">
        <f>Assumptions!$B$30</f>
        <v/>
      </c>
      <c r="BD538">
        <f>Assumptions!$B$29</f>
        <v/>
      </c>
      <c r="BE538">
        <f>Assumptions!$B$28</f>
        <v/>
      </c>
      <c r="BF538">
        <f>P538*Assumptions!$B$141</f>
        <v/>
      </c>
      <c r="BG538">
        <f>P538*Assumptions!$B$128</f>
        <v/>
      </c>
      <c r="BH538">
        <f>P538*Assumptions!$B$129</f>
        <v/>
      </c>
      <c r="BI538">
        <f>P538*Assumptions!$B$14</f>
        <v/>
      </c>
      <c r="BJ538">
        <f>P538*Assumptions!$B$13</f>
        <v/>
      </c>
      <c r="BK538">
        <f>P538*Assumptions!$B$12</f>
        <v/>
      </c>
      <c r="BL538">
        <f>P538*Assumptions!$B$11</f>
        <v/>
      </c>
    </row>
    <row r="539">
      <c r="A539" t="inlineStr">
        <is>
          <t>4000M</t>
        </is>
      </c>
      <c r="B539">
        <f>Assumptions!$B$61</f>
        <v/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>
        <f>(1-C539)*Assumptions!$B$41+(1-D539)*Assumptions!$B$33+(1-E539)*Assumptions!$B$32+(1-F539)*Assumptions!$B$31+(1-G539)*Assumptions!$B$30+(1-H539)*Assumptions!$B$29+(1-I539)*Assumptions!$B$28</f>
        <v/>
      </c>
      <c r="K539">
        <f>C539*Assumptions!$B$141+D539*Assumptions!$B$128+E539*Assumptions!$B$129+F539*Assumptions!$B$14+G539*Assumptions!$B$13+H539*Assumptions!$B$12+I539*Assumptions!$B$11+Assumptions!$B$133+Assumptions!$B$137+Assumptions!$B$9</f>
        <v/>
      </c>
      <c r="L539">
        <f>B539-J539</f>
        <v/>
      </c>
      <c r="M539">
        <f>IF(K539&gt;0,IF(L539/K539&gt;=Assumptions!$B$37,1,0),0)</f>
        <v/>
      </c>
      <c r="N539">
        <f>K539+M539*Assumptions!$B$153</f>
        <v/>
      </c>
      <c r="O539">
        <f>L539+M539*Assumptions!$B$153*Assumptions!$B$37</f>
        <v/>
      </c>
      <c r="P539">
        <f>IF(N539&gt;0,O539/N539,0)</f>
        <v/>
      </c>
      <c r="Q539">
        <f>IF(C539=1,P539*Assumptions!$B$141,Assumptions!$B$41)</f>
        <v/>
      </c>
      <c r="R539">
        <f>IF(D539=1,P539*Assumptions!$B$128,Assumptions!$B$33)</f>
        <v/>
      </c>
      <c r="S539">
        <f>IF(E539=1,P539*Assumptions!$B$129,Assumptions!$B$32)</f>
        <v/>
      </c>
      <c r="T539">
        <f>IF(F539=1,P539*Assumptions!$B$14,Assumptions!$B$31)</f>
        <v/>
      </c>
      <c r="U539">
        <f>IF(G539=1,P539*Assumptions!$B$13,Assumptions!$B$30)</f>
        <v/>
      </c>
      <c r="V539">
        <f>IF(H539=1,P539*Assumptions!$B$12,Assumptions!$B$29)</f>
        <v/>
      </c>
      <c r="W539">
        <f>IF(I539=1,P539*Assumptions!$B$11,Assumptions!$B$28)</f>
        <v/>
      </c>
      <c r="X539">
        <f>P539*(Assumptions!$B$133+Assumptions!$B$137)</f>
        <v/>
      </c>
      <c r="Y539">
        <f>P539*Assumptions!$B$9</f>
        <v/>
      </c>
      <c r="Z539">
        <f>IF(M539=1,(P539-Assumptions!$B$37)*Assumptions!$B$153,0)</f>
        <v/>
      </c>
      <c r="AA539">
        <f>Q539+R539+S539+T539+U539+V539+W539+X539+Y539+Z539</f>
        <v/>
      </c>
      <c r="AB539" t="n">
        <v>104</v>
      </c>
      <c r="AC539" t="n">
        <v>40</v>
      </c>
      <c r="AD539" t="n">
        <v>72</v>
      </c>
      <c r="AE539" t="n">
        <v>120</v>
      </c>
      <c r="AF539" t="n">
        <v>96</v>
      </c>
      <c r="AG539" t="n">
        <v>108</v>
      </c>
      <c r="AH539" t="n">
        <v>106</v>
      </c>
      <c r="AI539" t="n">
        <v>105</v>
      </c>
      <c r="AJ539">
        <f>INDEX($Q$435:$Q$562,AC539+1)</f>
        <v/>
      </c>
      <c r="AK539">
        <f>INDEX($R$435:$R$562,AD539+1)</f>
        <v/>
      </c>
      <c r="AL539">
        <f>INDEX($S$435:$S$562,AE539+1)</f>
        <v/>
      </c>
      <c r="AM539">
        <f>INDEX($T$435:$T$562,AF539+1)</f>
        <v/>
      </c>
      <c r="AN539">
        <f>INDEX($U$435:$U$562,AG539+1)</f>
        <v/>
      </c>
      <c r="AO539">
        <f>INDEX($V$435:$V$562,AH539+1)</f>
        <v/>
      </c>
      <c r="AP539">
        <f>INDEX($W$435:$W$562,AI539+1)</f>
        <v/>
      </c>
      <c r="AQ539">
        <f>IF(Q539&gt;=AJ539-0.01,1,0)</f>
        <v/>
      </c>
      <c r="AR539">
        <f>IF(R539&gt;=AK539-0.01,1,0)</f>
        <v/>
      </c>
      <c r="AS539">
        <f>IF(S539&gt;=AL539-0.01,1,0)</f>
        <v/>
      </c>
      <c r="AT539">
        <f>IF(T539&gt;=AM539-0.01,1,0)</f>
        <v/>
      </c>
      <c r="AU539">
        <f>IF(U539&gt;=AN539-0.01,1,0)</f>
        <v/>
      </c>
      <c r="AV539">
        <f>IF(V539&gt;=AO539-0.01,1,0)</f>
        <v/>
      </c>
      <c r="AW539">
        <f>IF(W539&gt;=AP539-0.01,1,0)</f>
        <v/>
      </c>
      <c r="AX539">
        <f>AQ539*AR539*AS539*AT539*AU539*AV539*AW539</f>
        <v/>
      </c>
      <c r="AY539">
        <f>Assumptions!$B$41</f>
        <v/>
      </c>
      <c r="AZ539">
        <f>Assumptions!$B$33</f>
        <v/>
      </c>
      <c r="BA539">
        <f>Assumptions!$B$32</f>
        <v/>
      </c>
      <c r="BB539">
        <f>Assumptions!$B$31</f>
        <v/>
      </c>
      <c r="BC539">
        <f>Assumptions!$B$30</f>
        <v/>
      </c>
      <c r="BD539">
        <f>Assumptions!$B$29</f>
        <v/>
      </c>
      <c r="BE539">
        <f>Assumptions!$B$28</f>
        <v/>
      </c>
      <c r="BF539">
        <f>P539*Assumptions!$B$141</f>
        <v/>
      </c>
      <c r="BG539">
        <f>P539*Assumptions!$B$128</f>
        <v/>
      </c>
      <c r="BH539">
        <f>P539*Assumptions!$B$129</f>
        <v/>
      </c>
      <c r="BI539">
        <f>P539*Assumptions!$B$14</f>
        <v/>
      </c>
      <c r="BJ539">
        <f>P539*Assumptions!$B$13</f>
        <v/>
      </c>
      <c r="BK539">
        <f>P539*Assumptions!$B$12</f>
        <v/>
      </c>
      <c r="BL539">
        <f>P539*Assumptions!$B$11</f>
        <v/>
      </c>
    </row>
    <row r="540">
      <c r="A540" t="inlineStr">
        <is>
          <t>4000M</t>
        </is>
      </c>
      <c r="B540">
        <f>Assumptions!$B$61</f>
        <v/>
      </c>
      <c r="C540" t="n">
        <v>1</v>
      </c>
      <c r="D540" t="n">
        <v>1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>
        <f>(1-C540)*Assumptions!$B$41+(1-D540)*Assumptions!$B$33+(1-E540)*Assumptions!$B$32+(1-F540)*Assumptions!$B$31+(1-G540)*Assumptions!$B$30+(1-H540)*Assumptions!$B$29+(1-I540)*Assumptions!$B$28</f>
        <v/>
      </c>
      <c r="K540">
        <f>C540*Assumptions!$B$141+D540*Assumptions!$B$128+E540*Assumptions!$B$129+F540*Assumptions!$B$14+G540*Assumptions!$B$13+H540*Assumptions!$B$12+I540*Assumptions!$B$11+Assumptions!$B$133+Assumptions!$B$137+Assumptions!$B$9</f>
        <v/>
      </c>
      <c r="L540">
        <f>B540-J540</f>
        <v/>
      </c>
      <c r="M540">
        <f>IF(K540&gt;0,IF(L540/K540&gt;=Assumptions!$B$37,1,0),0)</f>
        <v/>
      </c>
      <c r="N540">
        <f>K540+M540*Assumptions!$B$153</f>
        <v/>
      </c>
      <c r="O540">
        <f>L540+M540*Assumptions!$B$153*Assumptions!$B$37</f>
        <v/>
      </c>
      <c r="P540">
        <f>IF(N540&gt;0,O540/N540,0)</f>
        <v/>
      </c>
      <c r="Q540">
        <f>IF(C540=1,P540*Assumptions!$B$141,Assumptions!$B$41)</f>
        <v/>
      </c>
      <c r="R540">
        <f>IF(D540=1,P540*Assumptions!$B$128,Assumptions!$B$33)</f>
        <v/>
      </c>
      <c r="S540">
        <f>IF(E540=1,P540*Assumptions!$B$129,Assumptions!$B$32)</f>
        <v/>
      </c>
      <c r="T540">
        <f>IF(F540=1,P540*Assumptions!$B$14,Assumptions!$B$31)</f>
        <v/>
      </c>
      <c r="U540">
        <f>IF(G540=1,P540*Assumptions!$B$13,Assumptions!$B$30)</f>
        <v/>
      </c>
      <c r="V540">
        <f>IF(H540=1,P540*Assumptions!$B$12,Assumptions!$B$29)</f>
        <v/>
      </c>
      <c r="W540">
        <f>IF(I540=1,P540*Assumptions!$B$11,Assumptions!$B$28)</f>
        <v/>
      </c>
      <c r="X540">
        <f>P540*(Assumptions!$B$133+Assumptions!$B$137)</f>
        <v/>
      </c>
      <c r="Y540">
        <f>P540*Assumptions!$B$9</f>
        <v/>
      </c>
      <c r="Z540">
        <f>IF(M540=1,(P540-Assumptions!$B$37)*Assumptions!$B$153,0)</f>
        <v/>
      </c>
      <c r="AA540">
        <f>Q540+R540+S540+T540+U540+V540+W540+X540+Y540+Z540</f>
        <v/>
      </c>
      <c r="AB540" t="n">
        <v>105</v>
      </c>
      <c r="AC540" t="n">
        <v>41</v>
      </c>
      <c r="AD540" t="n">
        <v>73</v>
      </c>
      <c r="AE540" t="n">
        <v>121</v>
      </c>
      <c r="AF540" t="n">
        <v>97</v>
      </c>
      <c r="AG540" t="n">
        <v>109</v>
      </c>
      <c r="AH540" t="n">
        <v>107</v>
      </c>
      <c r="AI540" t="n">
        <v>104</v>
      </c>
      <c r="AJ540">
        <f>INDEX($Q$435:$Q$562,AC540+1)</f>
        <v/>
      </c>
      <c r="AK540">
        <f>INDEX($R$435:$R$562,AD540+1)</f>
        <v/>
      </c>
      <c r="AL540">
        <f>INDEX($S$435:$S$562,AE540+1)</f>
        <v/>
      </c>
      <c r="AM540">
        <f>INDEX($T$435:$T$562,AF540+1)</f>
        <v/>
      </c>
      <c r="AN540">
        <f>INDEX($U$435:$U$562,AG540+1)</f>
        <v/>
      </c>
      <c r="AO540">
        <f>INDEX($V$435:$V$562,AH540+1)</f>
        <v/>
      </c>
      <c r="AP540">
        <f>INDEX($W$435:$W$562,AI540+1)</f>
        <v/>
      </c>
      <c r="AQ540">
        <f>IF(Q540&gt;=AJ540-0.01,1,0)</f>
        <v/>
      </c>
      <c r="AR540">
        <f>IF(R540&gt;=AK540-0.01,1,0)</f>
        <v/>
      </c>
      <c r="AS540">
        <f>IF(S540&gt;=AL540-0.01,1,0)</f>
        <v/>
      </c>
      <c r="AT540">
        <f>IF(T540&gt;=AM540-0.01,1,0)</f>
        <v/>
      </c>
      <c r="AU540">
        <f>IF(U540&gt;=AN540-0.01,1,0)</f>
        <v/>
      </c>
      <c r="AV540">
        <f>IF(V540&gt;=AO540-0.01,1,0)</f>
        <v/>
      </c>
      <c r="AW540">
        <f>IF(W540&gt;=AP540-0.01,1,0)</f>
        <v/>
      </c>
      <c r="AX540">
        <f>AQ540*AR540*AS540*AT540*AU540*AV540*AW540</f>
        <v/>
      </c>
      <c r="AY540">
        <f>Assumptions!$B$41</f>
        <v/>
      </c>
      <c r="AZ540">
        <f>Assumptions!$B$33</f>
        <v/>
      </c>
      <c r="BA540">
        <f>Assumptions!$B$32</f>
        <v/>
      </c>
      <c r="BB540">
        <f>Assumptions!$B$31</f>
        <v/>
      </c>
      <c r="BC540">
        <f>Assumptions!$B$30</f>
        <v/>
      </c>
      <c r="BD540">
        <f>Assumptions!$B$29</f>
        <v/>
      </c>
      <c r="BE540">
        <f>Assumptions!$B$28</f>
        <v/>
      </c>
      <c r="BF540">
        <f>P540*Assumptions!$B$141</f>
        <v/>
      </c>
      <c r="BG540">
        <f>P540*Assumptions!$B$128</f>
        <v/>
      </c>
      <c r="BH540">
        <f>P540*Assumptions!$B$129</f>
        <v/>
      </c>
      <c r="BI540">
        <f>P540*Assumptions!$B$14</f>
        <v/>
      </c>
      <c r="BJ540">
        <f>P540*Assumptions!$B$13</f>
        <v/>
      </c>
      <c r="BK540">
        <f>P540*Assumptions!$B$12</f>
        <v/>
      </c>
      <c r="BL540">
        <f>P540*Assumptions!$B$11</f>
        <v/>
      </c>
    </row>
    <row r="541">
      <c r="A541" t="inlineStr">
        <is>
          <t>4000M</t>
        </is>
      </c>
      <c r="B541">
        <f>Assumptions!$B$61</f>
        <v/>
      </c>
      <c r="C541" t="n">
        <v>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>
        <f>(1-C541)*Assumptions!$B$41+(1-D541)*Assumptions!$B$33+(1-E541)*Assumptions!$B$32+(1-F541)*Assumptions!$B$31+(1-G541)*Assumptions!$B$30+(1-H541)*Assumptions!$B$29+(1-I541)*Assumptions!$B$28</f>
        <v/>
      </c>
      <c r="K541">
        <f>C541*Assumptions!$B$141+D541*Assumptions!$B$128+E541*Assumptions!$B$129+F541*Assumptions!$B$14+G541*Assumptions!$B$13+H541*Assumptions!$B$12+I541*Assumptions!$B$11+Assumptions!$B$133+Assumptions!$B$137+Assumptions!$B$9</f>
        <v/>
      </c>
      <c r="L541">
        <f>B541-J541</f>
        <v/>
      </c>
      <c r="M541">
        <f>IF(K541&gt;0,IF(L541/K541&gt;=Assumptions!$B$37,1,0),0)</f>
        <v/>
      </c>
      <c r="N541">
        <f>K541+M541*Assumptions!$B$153</f>
        <v/>
      </c>
      <c r="O541">
        <f>L541+M541*Assumptions!$B$153*Assumptions!$B$37</f>
        <v/>
      </c>
      <c r="P541">
        <f>IF(N541&gt;0,O541/N541,0)</f>
        <v/>
      </c>
      <c r="Q541">
        <f>IF(C541=1,P541*Assumptions!$B$141,Assumptions!$B$41)</f>
        <v/>
      </c>
      <c r="R541">
        <f>IF(D541=1,P541*Assumptions!$B$128,Assumptions!$B$33)</f>
        <v/>
      </c>
      <c r="S541">
        <f>IF(E541=1,P541*Assumptions!$B$129,Assumptions!$B$32)</f>
        <v/>
      </c>
      <c r="T541">
        <f>IF(F541=1,P541*Assumptions!$B$14,Assumptions!$B$31)</f>
        <v/>
      </c>
      <c r="U541">
        <f>IF(G541=1,P541*Assumptions!$B$13,Assumptions!$B$30)</f>
        <v/>
      </c>
      <c r="V541">
        <f>IF(H541=1,P541*Assumptions!$B$12,Assumptions!$B$29)</f>
        <v/>
      </c>
      <c r="W541">
        <f>IF(I541=1,P541*Assumptions!$B$11,Assumptions!$B$28)</f>
        <v/>
      </c>
      <c r="X541">
        <f>P541*(Assumptions!$B$133+Assumptions!$B$137)</f>
        <v/>
      </c>
      <c r="Y541">
        <f>P541*Assumptions!$B$9</f>
        <v/>
      </c>
      <c r="Z541">
        <f>IF(M541=1,(P541-Assumptions!$B$37)*Assumptions!$B$153,0)</f>
        <v/>
      </c>
      <c r="AA541">
        <f>Q541+R541+S541+T541+U541+V541+W541+X541+Y541+Z541</f>
        <v/>
      </c>
      <c r="AB541" t="n">
        <v>106</v>
      </c>
      <c r="AC541" t="n">
        <v>42</v>
      </c>
      <c r="AD541" t="n">
        <v>74</v>
      </c>
      <c r="AE541" t="n">
        <v>122</v>
      </c>
      <c r="AF541" t="n">
        <v>98</v>
      </c>
      <c r="AG541" t="n">
        <v>110</v>
      </c>
      <c r="AH541" t="n">
        <v>104</v>
      </c>
      <c r="AI541" t="n">
        <v>107</v>
      </c>
      <c r="AJ541">
        <f>INDEX($Q$435:$Q$562,AC541+1)</f>
        <v/>
      </c>
      <c r="AK541">
        <f>INDEX($R$435:$R$562,AD541+1)</f>
        <v/>
      </c>
      <c r="AL541">
        <f>INDEX($S$435:$S$562,AE541+1)</f>
        <v/>
      </c>
      <c r="AM541">
        <f>INDEX($T$435:$T$562,AF541+1)</f>
        <v/>
      </c>
      <c r="AN541">
        <f>INDEX($U$435:$U$562,AG541+1)</f>
        <v/>
      </c>
      <c r="AO541">
        <f>INDEX($V$435:$V$562,AH541+1)</f>
        <v/>
      </c>
      <c r="AP541">
        <f>INDEX($W$435:$W$562,AI541+1)</f>
        <v/>
      </c>
      <c r="AQ541">
        <f>IF(Q541&gt;=AJ541-0.01,1,0)</f>
        <v/>
      </c>
      <c r="AR541">
        <f>IF(R541&gt;=AK541-0.01,1,0)</f>
        <v/>
      </c>
      <c r="AS541">
        <f>IF(S541&gt;=AL541-0.01,1,0)</f>
        <v/>
      </c>
      <c r="AT541">
        <f>IF(T541&gt;=AM541-0.01,1,0)</f>
        <v/>
      </c>
      <c r="AU541">
        <f>IF(U541&gt;=AN541-0.01,1,0)</f>
        <v/>
      </c>
      <c r="AV541">
        <f>IF(V541&gt;=AO541-0.01,1,0)</f>
        <v/>
      </c>
      <c r="AW541">
        <f>IF(W541&gt;=AP541-0.01,1,0)</f>
        <v/>
      </c>
      <c r="AX541">
        <f>AQ541*AR541*AS541*AT541*AU541*AV541*AW541</f>
        <v/>
      </c>
      <c r="AY541">
        <f>Assumptions!$B$41</f>
        <v/>
      </c>
      <c r="AZ541">
        <f>Assumptions!$B$33</f>
        <v/>
      </c>
      <c r="BA541">
        <f>Assumptions!$B$32</f>
        <v/>
      </c>
      <c r="BB541">
        <f>Assumptions!$B$31</f>
        <v/>
      </c>
      <c r="BC541">
        <f>Assumptions!$B$30</f>
        <v/>
      </c>
      <c r="BD541">
        <f>Assumptions!$B$29</f>
        <v/>
      </c>
      <c r="BE541">
        <f>Assumptions!$B$28</f>
        <v/>
      </c>
      <c r="BF541">
        <f>P541*Assumptions!$B$141</f>
        <v/>
      </c>
      <c r="BG541">
        <f>P541*Assumptions!$B$128</f>
        <v/>
      </c>
      <c r="BH541">
        <f>P541*Assumptions!$B$129</f>
        <v/>
      </c>
      <c r="BI541">
        <f>P541*Assumptions!$B$14</f>
        <v/>
      </c>
      <c r="BJ541">
        <f>P541*Assumptions!$B$13</f>
        <v/>
      </c>
      <c r="BK541">
        <f>P541*Assumptions!$B$12</f>
        <v/>
      </c>
      <c r="BL541">
        <f>P541*Assumptions!$B$11</f>
        <v/>
      </c>
    </row>
    <row r="542">
      <c r="A542" t="inlineStr">
        <is>
          <t>4000M</t>
        </is>
      </c>
      <c r="B542">
        <f>Assumptions!$B$61</f>
        <v/>
      </c>
      <c r="C542" t="n">
        <v>1</v>
      </c>
      <c r="D542" t="n">
        <v>1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>
        <f>(1-C542)*Assumptions!$B$41+(1-D542)*Assumptions!$B$33+(1-E542)*Assumptions!$B$32+(1-F542)*Assumptions!$B$31+(1-G542)*Assumptions!$B$30+(1-H542)*Assumptions!$B$29+(1-I542)*Assumptions!$B$28</f>
        <v/>
      </c>
      <c r="K542">
        <f>C542*Assumptions!$B$141+D542*Assumptions!$B$128+E542*Assumptions!$B$129+F542*Assumptions!$B$14+G542*Assumptions!$B$13+H542*Assumptions!$B$12+I542*Assumptions!$B$11+Assumptions!$B$133+Assumptions!$B$137+Assumptions!$B$9</f>
        <v/>
      </c>
      <c r="L542">
        <f>B542-J542</f>
        <v/>
      </c>
      <c r="M542">
        <f>IF(K542&gt;0,IF(L542/K542&gt;=Assumptions!$B$37,1,0),0)</f>
        <v/>
      </c>
      <c r="N542">
        <f>K542+M542*Assumptions!$B$153</f>
        <v/>
      </c>
      <c r="O542">
        <f>L542+M542*Assumptions!$B$153*Assumptions!$B$37</f>
        <v/>
      </c>
      <c r="P542">
        <f>IF(N542&gt;0,O542/N542,0)</f>
        <v/>
      </c>
      <c r="Q542">
        <f>IF(C542=1,P542*Assumptions!$B$141,Assumptions!$B$41)</f>
        <v/>
      </c>
      <c r="R542">
        <f>IF(D542=1,P542*Assumptions!$B$128,Assumptions!$B$33)</f>
        <v/>
      </c>
      <c r="S542">
        <f>IF(E542=1,P542*Assumptions!$B$129,Assumptions!$B$32)</f>
        <v/>
      </c>
      <c r="T542">
        <f>IF(F542=1,P542*Assumptions!$B$14,Assumptions!$B$31)</f>
        <v/>
      </c>
      <c r="U542">
        <f>IF(G542=1,P542*Assumptions!$B$13,Assumptions!$B$30)</f>
        <v/>
      </c>
      <c r="V542">
        <f>IF(H542=1,P542*Assumptions!$B$12,Assumptions!$B$29)</f>
        <v/>
      </c>
      <c r="W542">
        <f>IF(I542=1,P542*Assumptions!$B$11,Assumptions!$B$28)</f>
        <v/>
      </c>
      <c r="X542">
        <f>P542*(Assumptions!$B$133+Assumptions!$B$137)</f>
        <v/>
      </c>
      <c r="Y542">
        <f>P542*Assumptions!$B$9</f>
        <v/>
      </c>
      <c r="Z542">
        <f>IF(M542=1,(P542-Assumptions!$B$37)*Assumptions!$B$153,0)</f>
        <v/>
      </c>
      <c r="AA542">
        <f>Q542+R542+S542+T542+U542+V542+W542+X542+Y542+Z542</f>
        <v/>
      </c>
      <c r="AB542" t="n">
        <v>107</v>
      </c>
      <c r="AC542" t="n">
        <v>43</v>
      </c>
      <c r="AD542" t="n">
        <v>75</v>
      </c>
      <c r="AE542" t="n">
        <v>123</v>
      </c>
      <c r="AF542" t="n">
        <v>99</v>
      </c>
      <c r="AG542" t="n">
        <v>111</v>
      </c>
      <c r="AH542" t="n">
        <v>105</v>
      </c>
      <c r="AI542" t="n">
        <v>106</v>
      </c>
      <c r="AJ542">
        <f>INDEX($Q$435:$Q$562,AC542+1)</f>
        <v/>
      </c>
      <c r="AK542">
        <f>INDEX($R$435:$R$562,AD542+1)</f>
        <v/>
      </c>
      <c r="AL542">
        <f>INDEX($S$435:$S$562,AE542+1)</f>
        <v/>
      </c>
      <c r="AM542">
        <f>INDEX($T$435:$T$562,AF542+1)</f>
        <v/>
      </c>
      <c r="AN542">
        <f>INDEX($U$435:$U$562,AG542+1)</f>
        <v/>
      </c>
      <c r="AO542">
        <f>INDEX($V$435:$V$562,AH542+1)</f>
        <v/>
      </c>
      <c r="AP542">
        <f>INDEX($W$435:$W$562,AI542+1)</f>
        <v/>
      </c>
      <c r="AQ542">
        <f>IF(Q542&gt;=AJ542-0.01,1,0)</f>
        <v/>
      </c>
      <c r="AR542">
        <f>IF(R542&gt;=AK542-0.01,1,0)</f>
        <v/>
      </c>
      <c r="AS542">
        <f>IF(S542&gt;=AL542-0.01,1,0)</f>
        <v/>
      </c>
      <c r="AT542">
        <f>IF(T542&gt;=AM542-0.01,1,0)</f>
        <v/>
      </c>
      <c r="AU542">
        <f>IF(U542&gt;=AN542-0.01,1,0)</f>
        <v/>
      </c>
      <c r="AV542">
        <f>IF(V542&gt;=AO542-0.01,1,0)</f>
        <v/>
      </c>
      <c r="AW542">
        <f>IF(W542&gt;=AP542-0.01,1,0)</f>
        <v/>
      </c>
      <c r="AX542">
        <f>AQ542*AR542*AS542*AT542*AU542*AV542*AW542</f>
        <v/>
      </c>
      <c r="AY542">
        <f>Assumptions!$B$41</f>
        <v/>
      </c>
      <c r="AZ542">
        <f>Assumptions!$B$33</f>
        <v/>
      </c>
      <c r="BA542">
        <f>Assumptions!$B$32</f>
        <v/>
      </c>
      <c r="BB542">
        <f>Assumptions!$B$31</f>
        <v/>
      </c>
      <c r="BC542">
        <f>Assumptions!$B$30</f>
        <v/>
      </c>
      <c r="BD542">
        <f>Assumptions!$B$29</f>
        <v/>
      </c>
      <c r="BE542">
        <f>Assumptions!$B$28</f>
        <v/>
      </c>
      <c r="BF542">
        <f>P542*Assumptions!$B$141</f>
        <v/>
      </c>
      <c r="BG542">
        <f>P542*Assumptions!$B$128</f>
        <v/>
      </c>
      <c r="BH542">
        <f>P542*Assumptions!$B$129</f>
        <v/>
      </c>
      <c r="BI542">
        <f>P542*Assumptions!$B$14</f>
        <v/>
      </c>
      <c r="BJ542">
        <f>P542*Assumptions!$B$13</f>
        <v/>
      </c>
      <c r="BK542">
        <f>P542*Assumptions!$B$12</f>
        <v/>
      </c>
      <c r="BL542">
        <f>P542*Assumptions!$B$11</f>
        <v/>
      </c>
    </row>
    <row r="543">
      <c r="A543" t="inlineStr">
        <is>
          <t>4000M</t>
        </is>
      </c>
      <c r="B543">
        <f>Assumptions!$B$61</f>
        <v/>
      </c>
      <c r="C543" t="n">
        <v>1</v>
      </c>
      <c r="D543" t="n">
        <v>1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>
        <f>(1-C543)*Assumptions!$B$41+(1-D543)*Assumptions!$B$33+(1-E543)*Assumptions!$B$32+(1-F543)*Assumptions!$B$31+(1-G543)*Assumptions!$B$30+(1-H543)*Assumptions!$B$29+(1-I543)*Assumptions!$B$28</f>
        <v/>
      </c>
      <c r="K543">
        <f>C543*Assumptions!$B$141+D543*Assumptions!$B$128+E543*Assumptions!$B$129+F543*Assumptions!$B$14+G543*Assumptions!$B$13+H543*Assumptions!$B$12+I543*Assumptions!$B$11+Assumptions!$B$133+Assumptions!$B$137+Assumptions!$B$9</f>
        <v/>
      </c>
      <c r="L543">
        <f>B543-J543</f>
        <v/>
      </c>
      <c r="M543">
        <f>IF(K543&gt;0,IF(L543/K543&gt;=Assumptions!$B$37,1,0),0)</f>
        <v/>
      </c>
      <c r="N543">
        <f>K543+M543*Assumptions!$B$153</f>
        <v/>
      </c>
      <c r="O543">
        <f>L543+M543*Assumptions!$B$153*Assumptions!$B$37</f>
        <v/>
      </c>
      <c r="P543">
        <f>IF(N543&gt;0,O543/N543,0)</f>
        <v/>
      </c>
      <c r="Q543">
        <f>IF(C543=1,P543*Assumptions!$B$141,Assumptions!$B$41)</f>
        <v/>
      </c>
      <c r="R543">
        <f>IF(D543=1,P543*Assumptions!$B$128,Assumptions!$B$33)</f>
        <v/>
      </c>
      <c r="S543">
        <f>IF(E543=1,P543*Assumptions!$B$129,Assumptions!$B$32)</f>
        <v/>
      </c>
      <c r="T543">
        <f>IF(F543=1,P543*Assumptions!$B$14,Assumptions!$B$31)</f>
        <v/>
      </c>
      <c r="U543">
        <f>IF(G543=1,P543*Assumptions!$B$13,Assumptions!$B$30)</f>
        <v/>
      </c>
      <c r="V543">
        <f>IF(H543=1,P543*Assumptions!$B$12,Assumptions!$B$29)</f>
        <v/>
      </c>
      <c r="W543">
        <f>IF(I543=1,P543*Assumptions!$B$11,Assumptions!$B$28)</f>
        <v/>
      </c>
      <c r="X543">
        <f>P543*(Assumptions!$B$133+Assumptions!$B$137)</f>
        <v/>
      </c>
      <c r="Y543">
        <f>P543*Assumptions!$B$9</f>
        <v/>
      </c>
      <c r="Z543">
        <f>IF(M543=1,(P543-Assumptions!$B$37)*Assumptions!$B$153,0)</f>
        <v/>
      </c>
      <c r="AA543">
        <f>Q543+R543+S543+T543+U543+V543+W543+X543+Y543+Z543</f>
        <v/>
      </c>
      <c r="AB543" t="n">
        <v>108</v>
      </c>
      <c r="AC543" t="n">
        <v>44</v>
      </c>
      <c r="AD543" t="n">
        <v>76</v>
      </c>
      <c r="AE543" t="n">
        <v>124</v>
      </c>
      <c r="AF543" t="n">
        <v>100</v>
      </c>
      <c r="AG543" t="n">
        <v>104</v>
      </c>
      <c r="AH543" t="n">
        <v>110</v>
      </c>
      <c r="AI543" t="n">
        <v>109</v>
      </c>
      <c r="AJ543">
        <f>INDEX($Q$435:$Q$562,AC543+1)</f>
        <v/>
      </c>
      <c r="AK543">
        <f>INDEX($R$435:$R$562,AD543+1)</f>
        <v/>
      </c>
      <c r="AL543">
        <f>INDEX($S$435:$S$562,AE543+1)</f>
        <v/>
      </c>
      <c r="AM543">
        <f>INDEX($T$435:$T$562,AF543+1)</f>
        <v/>
      </c>
      <c r="AN543">
        <f>INDEX($U$435:$U$562,AG543+1)</f>
        <v/>
      </c>
      <c r="AO543">
        <f>INDEX($V$435:$V$562,AH543+1)</f>
        <v/>
      </c>
      <c r="AP543">
        <f>INDEX($W$435:$W$562,AI543+1)</f>
        <v/>
      </c>
      <c r="AQ543">
        <f>IF(Q543&gt;=AJ543-0.01,1,0)</f>
        <v/>
      </c>
      <c r="AR543">
        <f>IF(R543&gt;=AK543-0.01,1,0)</f>
        <v/>
      </c>
      <c r="AS543">
        <f>IF(S543&gt;=AL543-0.01,1,0)</f>
        <v/>
      </c>
      <c r="AT543">
        <f>IF(T543&gt;=AM543-0.01,1,0)</f>
        <v/>
      </c>
      <c r="AU543">
        <f>IF(U543&gt;=AN543-0.01,1,0)</f>
        <v/>
      </c>
      <c r="AV543">
        <f>IF(V543&gt;=AO543-0.01,1,0)</f>
        <v/>
      </c>
      <c r="AW543">
        <f>IF(W543&gt;=AP543-0.01,1,0)</f>
        <v/>
      </c>
      <c r="AX543">
        <f>AQ543*AR543*AS543*AT543*AU543*AV543*AW543</f>
        <v/>
      </c>
      <c r="AY543">
        <f>Assumptions!$B$41</f>
        <v/>
      </c>
      <c r="AZ543">
        <f>Assumptions!$B$33</f>
        <v/>
      </c>
      <c r="BA543">
        <f>Assumptions!$B$32</f>
        <v/>
      </c>
      <c r="BB543">
        <f>Assumptions!$B$31</f>
        <v/>
      </c>
      <c r="BC543">
        <f>Assumptions!$B$30</f>
        <v/>
      </c>
      <c r="BD543">
        <f>Assumptions!$B$29</f>
        <v/>
      </c>
      <c r="BE543">
        <f>Assumptions!$B$28</f>
        <v/>
      </c>
      <c r="BF543">
        <f>P543*Assumptions!$B$141</f>
        <v/>
      </c>
      <c r="BG543">
        <f>P543*Assumptions!$B$128</f>
        <v/>
      </c>
      <c r="BH543">
        <f>P543*Assumptions!$B$129</f>
        <v/>
      </c>
      <c r="BI543">
        <f>P543*Assumptions!$B$14</f>
        <v/>
      </c>
      <c r="BJ543">
        <f>P543*Assumptions!$B$13</f>
        <v/>
      </c>
      <c r="BK543">
        <f>P543*Assumptions!$B$12</f>
        <v/>
      </c>
      <c r="BL543">
        <f>P543*Assumptions!$B$11</f>
        <v/>
      </c>
    </row>
    <row r="544">
      <c r="A544" t="inlineStr">
        <is>
          <t>4000M</t>
        </is>
      </c>
      <c r="B544">
        <f>Assumptions!$B$61</f>
        <v/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>
        <f>(1-C544)*Assumptions!$B$41+(1-D544)*Assumptions!$B$33+(1-E544)*Assumptions!$B$32+(1-F544)*Assumptions!$B$31+(1-G544)*Assumptions!$B$30+(1-H544)*Assumptions!$B$29+(1-I544)*Assumptions!$B$28</f>
        <v/>
      </c>
      <c r="K544">
        <f>C544*Assumptions!$B$141+D544*Assumptions!$B$128+E544*Assumptions!$B$129+F544*Assumptions!$B$14+G544*Assumptions!$B$13+H544*Assumptions!$B$12+I544*Assumptions!$B$11+Assumptions!$B$133+Assumptions!$B$137+Assumptions!$B$9</f>
        <v/>
      </c>
      <c r="L544">
        <f>B544-J544</f>
        <v/>
      </c>
      <c r="M544">
        <f>IF(K544&gt;0,IF(L544/K544&gt;=Assumptions!$B$37,1,0),0)</f>
        <v/>
      </c>
      <c r="N544">
        <f>K544+M544*Assumptions!$B$153</f>
        <v/>
      </c>
      <c r="O544">
        <f>L544+M544*Assumptions!$B$153*Assumptions!$B$37</f>
        <v/>
      </c>
      <c r="P544">
        <f>IF(N544&gt;0,O544/N544,0)</f>
        <v/>
      </c>
      <c r="Q544">
        <f>IF(C544=1,P544*Assumptions!$B$141,Assumptions!$B$41)</f>
        <v/>
      </c>
      <c r="R544">
        <f>IF(D544=1,P544*Assumptions!$B$128,Assumptions!$B$33)</f>
        <v/>
      </c>
      <c r="S544">
        <f>IF(E544=1,P544*Assumptions!$B$129,Assumptions!$B$32)</f>
        <v/>
      </c>
      <c r="T544">
        <f>IF(F544=1,P544*Assumptions!$B$14,Assumptions!$B$31)</f>
        <v/>
      </c>
      <c r="U544">
        <f>IF(G544=1,P544*Assumptions!$B$13,Assumptions!$B$30)</f>
        <v/>
      </c>
      <c r="V544">
        <f>IF(H544=1,P544*Assumptions!$B$12,Assumptions!$B$29)</f>
        <v/>
      </c>
      <c r="W544">
        <f>IF(I544=1,P544*Assumptions!$B$11,Assumptions!$B$28)</f>
        <v/>
      </c>
      <c r="X544">
        <f>P544*(Assumptions!$B$133+Assumptions!$B$137)</f>
        <v/>
      </c>
      <c r="Y544">
        <f>P544*Assumptions!$B$9</f>
        <v/>
      </c>
      <c r="Z544">
        <f>IF(M544=1,(P544-Assumptions!$B$37)*Assumptions!$B$153,0)</f>
        <v/>
      </c>
      <c r="AA544">
        <f>Q544+R544+S544+T544+U544+V544+W544+X544+Y544+Z544</f>
        <v/>
      </c>
      <c r="AB544" t="n">
        <v>109</v>
      </c>
      <c r="AC544" t="n">
        <v>45</v>
      </c>
      <c r="AD544" t="n">
        <v>77</v>
      </c>
      <c r="AE544" t="n">
        <v>125</v>
      </c>
      <c r="AF544" t="n">
        <v>101</v>
      </c>
      <c r="AG544" t="n">
        <v>105</v>
      </c>
      <c r="AH544" t="n">
        <v>111</v>
      </c>
      <c r="AI544" t="n">
        <v>108</v>
      </c>
      <c r="AJ544">
        <f>INDEX($Q$435:$Q$562,AC544+1)</f>
        <v/>
      </c>
      <c r="AK544">
        <f>INDEX($R$435:$R$562,AD544+1)</f>
        <v/>
      </c>
      <c r="AL544">
        <f>INDEX($S$435:$S$562,AE544+1)</f>
        <v/>
      </c>
      <c r="AM544">
        <f>INDEX($T$435:$T$562,AF544+1)</f>
        <v/>
      </c>
      <c r="AN544">
        <f>INDEX($U$435:$U$562,AG544+1)</f>
        <v/>
      </c>
      <c r="AO544">
        <f>INDEX($V$435:$V$562,AH544+1)</f>
        <v/>
      </c>
      <c r="AP544">
        <f>INDEX($W$435:$W$562,AI544+1)</f>
        <v/>
      </c>
      <c r="AQ544">
        <f>IF(Q544&gt;=AJ544-0.01,1,0)</f>
        <v/>
      </c>
      <c r="AR544">
        <f>IF(R544&gt;=AK544-0.01,1,0)</f>
        <v/>
      </c>
      <c r="AS544">
        <f>IF(S544&gt;=AL544-0.01,1,0)</f>
        <v/>
      </c>
      <c r="AT544">
        <f>IF(T544&gt;=AM544-0.01,1,0)</f>
        <v/>
      </c>
      <c r="AU544">
        <f>IF(U544&gt;=AN544-0.01,1,0)</f>
        <v/>
      </c>
      <c r="AV544">
        <f>IF(V544&gt;=AO544-0.01,1,0)</f>
        <v/>
      </c>
      <c r="AW544">
        <f>IF(W544&gt;=AP544-0.01,1,0)</f>
        <v/>
      </c>
      <c r="AX544">
        <f>AQ544*AR544*AS544*AT544*AU544*AV544*AW544</f>
        <v/>
      </c>
      <c r="AY544">
        <f>Assumptions!$B$41</f>
        <v/>
      </c>
      <c r="AZ544">
        <f>Assumptions!$B$33</f>
        <v/>
      </c>
      <c r="BA544">
        <f>Assumptions!$B$32</f>
        <v/>
      </c>
      <c r="BB544">
        <f>Assumptions!$B$31</f>
        <v/>
      </c>
      <c r="BC544">
        <f>Assumptions!$B$30</f>
        <v/>
      </c>
      <c r="BD544">
        <f>Assumptions!$B$29</f>
        <v/>
      </c>
      <c r="BE544">
        <f>Assumptions!$B$28</f>
        <v/>
      </c>
      <c r="BF544">
        <f>P544*Assumptions!$B$141</f>
        <v/>
      </c>
      <c r="BG544">
        <f>P544*Assumptions!$B$128</f>
        <v/>
      </c>
      <c r="BH544">
        <f>P544*Assumptions!$B$129</f>
        <v/>
      </c>
      <c r="BI544">
        <f>P544*Assumptions!$B$14</f>
        <v/>
      </c>
      <c r="BJ544">
        <f>P544*Assumptions!$B$13</f>
        <v/>
      </c>
      <c r="BK544">
        <f>P544*Assumptions!$B$12</f>
        <v/>
      </c>
      <c r="BL544">
        <f>P544*Assumptions!$B$11</f>
        <v/>
      </c>
    </row>
    <row r="545">
      <c r="A545" t="inlineStr">
        <is>
          <t>4000M</t>
        </is>
      </c>
      <c r="B545">
        <f>Assumptions!$B$61</f>
        <v/>
      </c>
      <c r="C545" t="n">
        <v>1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>
        <f>(1-C545)*Assumptions!$B$41+(1-D545)*Assumptions!$B$33+(1-E545)*Assumptions!$B$32+(1-F545)*Assumptions!$B$31+(1-G545)*Assumptions!$B$30+(1-H545)*Assumptions!$B$29+(1-I545)*Assumptions!$B$28</f>
        <v/>
      </c>
      <c r="K545">
        <f>C545*Assumptions!$B$141+D545*Assumptions!$B$128+E545*Assumptions!$B$129+F545*Assumptions!$B$14+G545*Assumptions!$B$13+H545*Assumptions!$B$12+I545*Assumptions!$B$11+Assumptions!$B$133+Assumptions!$B$137+Assumptions!$B$9</f>
        <v/>
      </c>
      <c r="L545">
        <f>B545-J545</f>
        <v/>
      </c>
      <c r="M545">
        <f>IF(K545&gt;0,IF(L545/K545&gt;=Assumptions!$B$37,1,0),0)</f>
        <v/>
      </c>
      <c r="N545">
        <f>K545+M545*Assumptions!$B$153</f>
        <v/>
      </c>
      <c r="O545">
        <f>L545+M545*Assumptions!$B$153*Assumptions!$B$37</f>
        <v/>
      </c>
      <c r="P545">
        <f>IF(N545&gt;0,O545/N545,0)</f>
        <v/>
      </c>
      <c r="Q545">
        <f>IF(C545=1,P545*Assumptions!$B$141,Assumptions!$B$41)</f>
        <v/>
      </c>
      <c r="R545">
        <f>IF(D545=1,P545*Assumptions!$B$128,Assumptions!$B$33)</f>
        <v/>
      </c>
      <c r="S545">
        <f>IF(E545=1,P545*Assumptions!$B$129,Assumptions!$B$32)</f>
        <v/>
      </c>
      <c r="T545">
        <f>IF(F545=1,P545*Assumptions!$B$14,Assumptions!$B$31)</f>
        <v/>
      </c>
      <c r="U545">
        <f>IF(G545=1,P545*Assumptions!$B$13,Assumptions!$B$30)</f>
        <v/>
      </c>
      <c r="V545">
        <f>IF(H545=1,P545*Assumptions!$B$12,Assumptions!$B$29)</f>
        <v/>
      </c>
      <c r="W545">
        <f>IF(I545=1,P545*Assumptions!$B$11,Assumptions!$B$28)</f>
        <v/>
      </c>
      <c r="X545">
        <f>P545*(Assumptions!$B$133+Assumptions!$B$137)</f>
        <v/>
      </c>
      <c r="Y545">
        <f>P545*Assumptions!$B$9</f>
        <v/>
      </c>
      <c r="Z545">
        <f>IF(M545=1,(P545-Assumptions!$B$37)*Assumptions!$B$153,0)</f>
        <v/>
      </c>
      <c r="AA545">
        <f>Q545+R545+S545+T545+U545+V545+W545+X545+Y545+Z545</f>
        <v/>
      </c>
      <c r="AB545" t="n">
        <v>110</v>
      </c>
      <c r="AC545" t="n">
        <v>46</v>
      </c>
      <c r="AD545" t="n">
        <v>78</v>
      </c>
      <c r="AE545" t="n">
        <v>126</v>
      </c>
      <c r="AF545" t="n">
        <v>102</v>
      </c>
      <c r="AG545" t="n">
        <v>106</v>
      </c>
      <c r="AH545" t="n">
        <v>108</v>
      </c>
      <c r="AI545" t="n">
        <v>111</v>
      </c>
      <c r="AJ545">
        <f>INDEX($Q$435:$Q$562,AC545+1)</f>
        <v/>
      </c>
      <c r="AK545">
        <f>INDEX($R$435:$R$562,AD545+1)</f>
        <v/>
      </c>
      <c r="AL545">
        <f>INDEX($S$435:$S$562,AE545+1)</f>
        <v/>
      </c>
      <c r="AM545">
        <f>INDEX($T$435:$T$562,AF545+1)</f>
        <v/>
      </c>
      <c r="AN545">
        <f>INDEX($U$435:$U$562,AG545+1)</f>
        <v/>
      </c>
      <c r="AO545">
        <f>INDEX($V$435:$V$562,AH545+1)</f>
        <v/>
      </c>
      <c r="AP545">
        <f>INDEX($W$435:$W$562,AI545+1)</f>
        <v/>
      </c>
      <c r="AQ545">
        <f>IF(Q545&gt;=AJ545-0.01,1,0)</f>
        <v/>
      </c>
      <c r="AR545">
        <f>IF(R545&gt;=AK545-0.01,1,0)</f>
        <v/>
      </c>
      <c r="AS545">
        <f>IF(S545&gt;=AL545-0.01,1,0)</f>
        <v/>
      </c>
      <c r="AT545">
        <f>IF(T545&gt;=AM545-0.01,1,0)</f>
        <v/>
      </c>
      <c r="AU545">
        <f>IF(U545&gt;=AN545-0.01,1,0)</f>
        <v/>
      </c>
      <c r="AV545">
        <f>IF(V545&gt;=AO545-0.01,1,0)</f>
        <v/>
      </c>
      <c r="AW545">
        <f>IF(W545&gt;=AP545-0.01,1,0)</f>
        <v/>
      </c>
      <c r="AX545">
        <f>AQ545*AR545*AS545*AT545*AU545*AV545*AW545</f>
        <v/>
      </c>
      <c r="AY545">
        <f>Assumptions!$B$41</f>
        <v/>
      </c>
      <c r="AZ545">
        <f>Assumptions!$B$33</f>
        <v/>
      </c>
      <c r="BA545">
        <f>Assumptions!$B$32</f>
        <v/>
      </c>
      <c r="BB545">
        <f>Assumptions!$B$31</f>
        <v/>
      </c>
      <c r="BC545">
        <f>Assumptions!$B$30</f>
        <v/>
      </c>
      <c r="BD545">
        <f>Assumptions!$B$29</f>
        <v/>
      </c>
      <c r="BE545">
        <f>Assumptions!$B$28</f>
        <v/>
      </c>
      <c r="BF545">
        <f>P545*Assumptions!$B$141</f>
        <v/>
      </c>
      <c r="BG545">
        <f>P545*Assumptions!$B$128</f>
        <v/>
      </c>
      <c r="BH545">
        <f>P545*Assumptions!$B$129</f>
        <v/>
      </c>
      <c r="BI545">
        <f>P545*Assumptions!$B$14</f>
        <v/>
      </c>
      <c r="BJ545">
        <f>P545*Assumptions!$B$13</f>
        <v/>
      </c>
      <c r="BK545">
        <f>P545*Assumptions!$B$12</f>
        <v/>
      </c>
      <c r="BL545">
        <f>P545*Assumptions!$B$11</f>
        <v/>
      </c>
    </row>
    <row r="546">
      <c r="A546" t="inlineStr">
        <is>
          <t>4000M</t>
        </is>
      </c>
      <c r="B546">
        <f>Assumptions!$B$61</f>
        <v/>
      </c>
      <c r="C546" t="n">
        <v>1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>
        <f>(1-C546)*Assumptions!$B$41+(1-D546)*Assumptions!$B$33+(1-E546)*Assumptions!$B$32+(1-F546)*Assumptions!$B$31+(1-G546)*Assumptions!$B$30+(1-H546)*Assumptions!$B$29+(1-I546)*Assumptions!$B$28</f>
        <v/>
      </c>
      <c r="K546">
        <f>C546*Assumptions!$B$141+D546*Assumptions!$B$128+E546*Assumptions!$B$129+F546*Assumptions!$B$14+G546*Assumptions!$B$13+H546*Assumptions!$B$12+I546*Assumptions!$B$11+Assumptions!$B$133+Assumptions!$B$137+Assumptions!$B$9</f>
        <v/>
      </c>
      <c r="L546">
        <f>B546-J546</f>
        <v/>
      </c>
      <c r="M546">
        <f>IF(K546&gt;0,IF(L546/K546&gt;=Assumptions!$B$37,1,0),0)</f>
        <v/>
      </c>
      <c r="N546">
        <f>K546+M546*Assumptions!$B$153</f>
        <v/>
      </c>
      <c r="O546">
        <f>L546+M546*Assumptions!$B$153*Assumptions!$B$37</f>
        <v/>
      </c>
      <c r="P546">
        <f>IF(N546&gt;0,O546/N546,0)</f>
        <v/>
      </c>
      <c r="Q546">
        <f>IF(C546=1,P546*Assumptions!$B$141,Assumptions!$B$41)</f>
        <v/>
      </c>
      <c r="R546">
        <f>IF(D546=1,P546*Assumptions!$B$128,Assumptions!$B$33)</f>
        <v/>
      </c>
      <c r="S546">
        <f>IF(E546=1,P546*Assumptions!$B$129,Assumptions!$B$32)</f>
        <v/>
      </c>
      <c r="T546">
        <f>IF(F546=1,P546*Assumptions!$B$14,Assumptions!$B$31)</f>
        <v/>
      </c>
      <c r="U546">
        <f>IF(G546=1,P546*Assumptions!$B$13,Assumptions!$B$30)</f>
        <v/>
      </c>
      <c r="V546">
        <f>IF(H546=1,P546*Assumptions!$B$12,Assumptions!$B$29)</f>
        <v/>
      </c>
      <c r="W546">
        <f>IF(I546=1,P546*Assumptions!$B$11,Assumptions!$B$28)</f>
        <v/>
      </c>
      <c r="X546">
        <f>P546*(Assumptions!$B$133+Assumptions!$B$137)</f>
        <v/>
      </c>
      <c r="Y546">
        <f>P546*Assumptions!$B$9</f>
        <v/>
      </c>
      <c r="Z546">
        <f>IF(M546=1,(P546-Assumptions!$B$37)*Assumptions!$B$153,0)</f>
        <v/>
      </c>
      <c r="AA546">
        <f>Q546+R546+S546+T546+U546+V546+W546+X546+Y546+Z546</f>
        <v/>
      </c>
      <c r="AB546" t="n">
        <v>111</v>
      </c>
      <c r="AC546" t="n">
        <v>47</v>
      </c>
      <c r="AD546" t="n">
        <v>79</v>
      </c>
      <c r="AE546" t="n">
        <v>127</v>
      </c>
      <c r="AF546" t="n">
        <v>103</v>
      </c>
      <c r="AG546" t="n">
        <v>107</v>
      </c>
      <c r="AH546" t="n">
        <v>109</v>
      </c>
      <c r="AI546" t="n">
        <v>110</v>
      </c>
      <c r="AJ546">
        <f>INDEX($Q$435:$Q$562,AC546+1)</f>
        <v/>
      </c>
      <c r="AK546">
        <f>INDEX($R$435:$R$562,AD546+1)</f>
        <v/>
      </c>
      <c r="AL546">
        <f>INDEX($S$435:$S$562,AE546+1)</f>
        <v/>
      </c>
      <c r="AM546">
        <f>INDEX($T$435:$T$562,AF546+1)</f>
        <v/>
      </c>
      <c r="AN546">
        <f>INDEX($U$435:$U$562,AG546+1)</f>
        <v/>
      </c>
      <c r="AO546">
        <f>INDEX($V$435:$V$562,AH546+1)</f>
        <v/>
      </c>
      <c r="AP546">
        <f>INDEX($W$435:$W$562,AI546+1)</f>
        <v/>
      </c>
      <c r="AQ546">
        <f>IF(Q546&gt;=AJ546-0.01,1,0)</f>
        <v/>
      </c>
      <c r="AR546">
        <f>IF(R546&gt;=AK546-0.01,1,0)</f>
        <v/>
      </c>
      <c r="AS546">
        <f>IF(S546&gt;=AL546-0.01,1,0)</f>
        <v/>
      </c>
      <c r="AT546">
        <f>IF(T546&gt;=AM546-0.01,1,0)</f>
        <v/>
      </c>
      <c r="AU546">
        <f>IF(U546&gt;=AN546-0.01,1,0)</f>
        <v/>
      </c>
      <c r="AV546">
        <f>IF(V546&gt;=AO546-0.01,1,0)</f>
        <v/>
      </c>
      <c r="AW546">
        <f>IF(W546&gt;=AP546-0.01,1,0)</f>
        <v/>
      </c>
      <c r="AX546">
        <f>AQ546*AR546*AS546*AT546*AU546*AV546*AW546</f>
        <v/>
      </c>
      <c r="AY546">
        <f>Assumptions!$B$41</f>
        <v/>
      </c>
      <c r="AZ546">
        <f>Assumptions!$B$33</f>
        <v/>
      </c>
      <c r="BA546">
        <f>Assumptions!$B$32</f>
        <v/>
      </c>
      <c r="BB546">
        <f>Assumptions!$B$31</f>
        <v/>
      </c>
      <c r="BC546">
        <f>Assumptions!$B$30</f>
        <v/>
      </c>
      <c r="BD546">
        <f>Assumptions!$B$29</f>
        <v/>
      </c>
      <c r="BE546">
        <f>Assumptions!$B$28</f>
        <v/>
      </c>
      <c r="BF546">
        <f>P546*Assumptions!$B$141</f>
        <v/>
      </c>
      <c r="BG546">
        <f>P546*Assumptions!$B$128</f>
        <v/>
      </c>
      <c r="BH546">
        <f>P546*Assumptions!$B$129</f>
        <v/>
      </c>
      <c r="BI546">
        <f>P546*Assumptions!$B$14</f>
        <v/>
      </c>
      <c r="BJ546">
        <f>P546*Assumptions!$B$13</f>
        <v/>
      </c>
      <c r="BK546">
        <f>P546*Assumptions!$B$12</f>
        <v/>
      </c>
      <c r="BL546">
        <f>P546*Assumptions!$B$11</f>
        <v/>
      </c>
    </row>
    <row r="547">
      <c r="A547" t="inlineStr">
        <is>
          <t>4000M</t>
        </is>
      </c>
      <c r="B547">
        <f>Assumptions!$B$61</f>
        <v/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>
        <f>(1-C547)*Assumptions!$B$41+(1-D547)*Assumptions!$B$33+(1-E547)*Assumptions!$B$32+(1-F547)*Assumptions!$B$31+(1-G547)*Assumptions!$B$30+(1-H547)*Assumptions!$B$29+(1-I547)*Assumptions!$B$28</f>
        <v/>
      </c>
      <c r="K547">
        <f>C547*Assumptions!$B$141+D547*Assumptions!$B$128+E547*Assumptions!$B$129+F547*Assumptions!$B$14+G547*Assumptions!$B$13+H547*Assumptions!$B$12+I547*Assumptions!$B$11+Assumptions!$B$133+Assumptions!$B$137+Assumptions!$B$9</f>
        <v/>
      </c>
      <c r="L547">
        <f>B547-J547</f>
        <v/>
      </c>
      <c r="M547">
        <f>IF(K547&gt;0,IF(L547/K547&gt;=Assumptions!$B$37,1,0),0)</f>
        <v/>
      </c>
      <c r="N547">
        <f>K547+M547*Assumptions!$B$153</f>
        <v/>
      </c>
      <c r="O547">
        <f>L547+M547*Assumptions!$B$153*Assumptions!$B$37</f>
        <v/>
      </c>
      <c r="P547">
        <f>IF(N547&gt;0,O547/N547,0)</f>
        <v/>
      </c>
      <c r="Q547">
        <f>IF(C547=1,P547*Assumptions!$B$141,Assumptions!$B$41)</f>
        <v/>
      </c>
      <c r="R547">
        <f>IF(D547=1,P547*Assumptions!$B$128,Assumptions!$B$33)</f>
        <v/>
      </c>
      <c r="S547">
        <f>IF(E547=1,P547*Assumptions!$B$129,Assumptions!$B$32)</f>
        <v/>
      </c>
      <c r="T547">
        <f>IF(F547=1,P547*Assumptions!$B$14,Assumptions!$B$31)</f>
        <v/>
      </c>
      <c r="U547">
        <f>IF(G547=1,P547*Assumptions!$B$13,Assumptions!$B$30)</f>
        <v/>
      </c>
      <c r="V547">
        <f>IF(H547=1,P547*Assumptions!$B$12,Assumptions!$B$29)</f>
        <v/>
      </c>
      <c r="W547">
        <f>IF(I547=1,P547*Assumptions!$B$11,Assumptions!$B$28)</f>
        <v/>
      </c>
      <c r="X547">
        <f>P547*(Assumptions!$B$133+Assumptions!$B$137)</f>
        <v/>
      </c>
      <c r="Y547">
        <f>P547*Assumptions!$B$9</f>
        <v/>
      </c>
      <c r="Z547">
        <f>IF(M547=1,(P547-Assumptions!$B$37)*Assumptions!$B$153,0)</f>
        <v/>
      </c>
      <c r="AA547">
        <f>Q547+R547+S547+T547+U547+V547+W547+X547+Y547+Z547</f>
        <v/>
      </c>
      <c r="AB547" t="n">
        <v>112</v>
      </c>
      <c r="AC547" t="n">
        <v>48</v>
      </c>
      <c r="AD547" t="n">
        <v>80</v>
      </c>
      <c r="AE547" t="n">
        <v>96</v>
      </c>
      <c r="AF547" t="n">
        <v>120</v>
      </c>
      <c r="AG547" t="n">
        <v>116</v>
      </c>
      <c r="AH547" t="n">
        <v>114</v>
      </c>
      <c r="AI547" t="n">
        <v>113</v>
      </c>
      <c r="AJ547">
        <f>INDEX($Q$435:$Q$562,AC547+1)</f>
        <v/>
      </c>
      <c r="AK547">
        <f>INDEX($R$435:$R$562,AD547+1)</f>
        <v/>
      </c>
      <c r="AL547">
        <f>INDEX($S$435:$S$562,AE547+1)</f>
        <v/>
      </c>
      <c r="AM547">
        <f>INDEX($T$435:$T$562,AF547+1)</f>
        <v/>
      </c>
      <c r="AN547">
        <f>INDEX($U$435:$U$562,AG547+1)</f>
        <v/>
      </c>
      <c r="AO547">
        <f>INDEX($V$435:$V$562,AH547+1)</f>
        <v/>
      </c>
      <c r="AP547">
        <f>INDEX($W$435:$W$562,AI547+1)</f>
        <v/>
      </c>
      <c r="AQ547">
        <f>IF(Q547&gt;=AJ547-0.01,1,0)</f>
        <v/>
      </c>
      <c r="AR547">
        <f>IF(R547&gt;=AK547-0.01,1,0)</f>
        <v/>
      </c>
      <c r="AS547">
        <f>IF(S547&gt;=AL547-0.01,1,0)</f>
        <v/>
      </c>
      <c r="AT547">
        <f>IF(T547&gt;=AM547-0.01,1,0)</f>
        <v/>
      </c>
      <c r="AU547">
        <f>IF(U547&gt;=AN547-0.01,1,0)</f>
        <v/>
      </c>
      <c r="AV547">
        <f>IF(V547&gt;=AO547-0.01,1,0)</f>
        <v/>
      </c>
      <c r="AW547">
        <f>IF(W547&gt;=AP547-0.01,1,0)</f>
        <v/>
      </c>
      <c r="AX547">
        <f>AQ547*AR547*AS547*AT547*AU547*AV547*AW547</f>
        <v/>
      </c>
      <c r="AY547">
        <f>Assumptions!$B$41</f>
        <v/>
      </c>
      <c r="AZ547">
        <f>Assumptions!$B$33</f>
        <v/>
      </c>
      <c r="BA547">
        <f>Assumptions!$B$32</f>
        <v/>
      </c>
      <c r="BB547">
        <f>Assumptions!$B$31</f>
        <v/>
      </c>
      <c r="BC547">
        <f>Assumptions!$B$30</f>
        <v/>
      </c>
      <c r="BD547">
        <f>Assumptions!$B$29</f>
        <v/>
      </c>
      <c r="BE547">
        <f>Assumptions!$B$28</f>
        <v/>
      </c>
      <c r="BF547">
        <f>P547*Assumptions!$B$141</f>
        <v/>
      </c>
      <c r="BG547">
        <f>P547*Assumptions!$B$128</f>
        <v/>
      </c>
      <c r="BH547">
        <f>P547*Assumptions!$B$129</f>
        <v/>
      </c>
      <c r="BI547">
        <f>P547*Assumptions!$B$14</f>
        <v/>
      </c>
      <c r="BJ547">
        <f>P547*Assumptions!$B$13</f>
        <v/>
      </c>
      <c r="BK547">
        <f>P547*Assumptions!$B$12</f>
        <v/>
      </c>
      <c r="BL547">
        <f>P547*Assumptions!$B$11</f>
        <v/>
      </c>
    </row>
    <row r="548">
      <c r="A548" t="inlineStr">
        <is>
          <t>4000M</t>
        </is>
      </c>
      <c r="B548">
        <f>Assumptions!$B$61</f>
        <v/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>
        <f>(1-C548)*Assumptions!$B$41+(1-D548)*Assumptions!$B$33+(1-E548)*Assumptions!$B$32+(1-F548)*Assumptions!$B$31+(1-G548)*Assumptions!$B$30+(1-H548)*Assumptions!$B$29+(1-I548)*Assumptions!$B$28</f>
        <v/>
      </c>
      <c r="K548">
        <f>C548*Assumptions!$B$141+D548*Assumptions!$B$128+E548*Assumptions!$B$129+F548*Assumptions!$B$14+G548*Assumptions!$B$13+H548*Assumptions!$B$12+I548*Assumptions!$B$11+Assumptions!$B$133+Assumptions!$B$137+Assumptions!$B$9</f>
        <v/>
      </c>
      <c r="L548">
        <f>B548-J548</f>
        <v/>
      </c>
      <c r="M548">
        <f>IF(K548&gt;0,IF(L548/K548&gt;=Assumptions!$B$37,1,0),0)</f>
        <v/>
      </c>
      <c r="N548">
        <f>K548+M548*Assumptions!$B$153</f>
        <v/>
      </c>
      <c r="O548">
        <f>L548+M548*Assumptions!$B$153*Assumptions!$B$37</f>
        <v/>
      </c>
      <c r="P548">
        <f>IF(N548&gt;0,O548/N548,0)</f>
        <v/>
      </c>
      <c r="Q548">
        <f>IF(C548=1,P548*Assumptions!$B$141,Assumptions!$B$41)</f>
        <v/>
      </c>
      <c r="R548">
        <f>IF(D548=1,P548*Assumptions!$B$128,Assumptions!$B$33)</f>
        <v/>
      </c>
      <c r="S548">
        <f>IF(E548=1,P548*Assumptions!$B$129,Assumptions!$B$32)</f>
        <v/>
      </c>
      <c r="T548">
        <f>IF(F548=1,P548*Assumptions!$B$14,Assumptions!$B$31)</f>
        <v/>
      </c>
      <c r="U548">
        <f>IF(G548=1,P548*Assumptions!$B$13,Assumptions!$B$30)</f>
        <v/>
      </c>
      <c r="V548">
        <f>IF(H548=1,P548*Assumptions!$B$12,Assumptions!$B$29)</f>
        <v/>
      </c>
      <c r="W548">
        <f>IF(I548=1,P548*Assumptions!$B$11,Assumptions!$B$28)</f>
        <v/>
      </c>
      <c r="X548">
        <f>P548*(Assumptions!$B$133+Assumptions!$B$137)</f>
        <v/>
      </c>
      <c r="Y548">
        <f>P548*Assumptions!$B$9</f>
        <v/>
      </c>
      <c r="Z548">
        <f>IF(M548=1,(P548-Assumptions!$B$37)*Assumptions!$B$153,0)</f>
        <v/>
      </c>
      <c r="AA548">
        <f>Q548+R548+S548+T548+U548+V548+W548+X548+Y548+Z548</f>
        <v/>
      </c>
      <c r="AB548" t="n">
        <v>113</v>
      </c>
      <c r="AC548" t="n">
        <v>49</v>
      </c>
      <c r="AD548" t="n">
        <v>81</v>
      </c>
      <c r="AE548" t="n">
        <v>97</v>
      </c>
      <c r="AF548" t="n">
        <v>121</v>
      </c>
      <c r="AG548" t="n">
        <v>117</v>
      </c>
      <c r="AH548" t="n">
        <v>115</v>
      </c>
      <c r="AI548" t="n">
        <v>112</v>
      </c>
      <c r="AJ548">
        <f>INDEX($Q$435:$Q$562,AC548+1)</f>
        <v/>
      </c>
      <c r="AK548">
        <f>INDEX($R$435:$R$562,AD548+1)</f>
        <v/>
      </c>
      <c r="AL548">
        <f>INDEX($S$435:$S$562,AE548+1)</f>
        <v/>
      </c>
      <c r="AM548">
        <f>INDEX($T$435:$T$562,AF548+1)</f>
        <v/>
      </c>
      <c r="AN548">
        <f>INDEX($U$435:$U$562,AG548+1)</f>
        <v/>
      </c>
      <c r="AO548">
        <f>INDEX($V$435:$V$562,AH548+1)</f>
        <v/>
      </c>
      <c r="AP548">
        <f>INDEX($W$435:$W$562,AI548+1)</f>
        <v/>
      </c>
      <c r="AQ548">
        <f>IF(Q548&gt;=AJ548-0.01,1,0)</f>
        <v/>
      </c>
      <c r="AR548">
        <f>IF(R548&gt;=AK548-0.01,1,0)</f>
        <v/>
      </c>
      <c r="AS548">
        <f>IF(S548&gt;=AL548-0.01,1,0)</f>
        <v/>
      </c>
      <c r="AT548">
        <f>IF(T548&gt;=AM548-0.01,1,0)</f>
        <v/>
      </c>
      <c r="AU548">
        <f>IF(U548&gt;=AN548-0.01,1,0)</f>
        <v/>
      </c>
      <c r="AV548">
        <f>IF(V548&gt;=AO548-0.01,1,0)</f>
        <v/>
      </c>
      <c r="AW548">
        <f>IF(W548&gt;=AP548-0.01,1,0)</f>
        <v/>
      </c>
      <c r="AX548">
        <f>AQ548*AR548*AS548*AT548*AU548*AV548*AW548</f>
        <v/>
      </c>
      <c r="AY548">
        <f>Assumptions!$B$41</f>
        <v/>
      </c>
      <c r="AZ548">
        <f>Assumptions!$B$33</f>
        <v/>
      </c>
      <c r="BA548">
        <f>Assumptions!$B$32</f>
        <v/>
      </c>
      <c r="BB548">
        <f>Assumptions!$B$31</f>
        <v/>
      </c>
      <c r="BC548">
        <f>Assumptions!$B$30</f>
        <v/>
      </c>
      <c r="BD548">
        <f>Assumptions!$B$29</f>
        <v/>
      </c>
      <c r="BE548">
        <f>Assumptions!$B$28</f>
        <v/>
      </c>
      <c r="BF548">
        <f>P548*Assumptions!$B$141</f>
        <v/>
      </c>
      <c r="BG548">
        <f>P548*Assumptions!$B$128</f>
        <v/>
      </c>
      <c r="BH548">
        <f>P548*Assumptions!$B$129</f>
        <v/>
      </c>
      <c r="BI548">
        <f>P548*Assumptions!$B$14</f>
        <v/>
      </c>
      <c r="BJ548">
        <f>P548*Assumptions!$B$13</f>
        <v/>
      </c>
      <c r="BK548">
        <f>P548*Assumptions!$B$12</f>
        <v/>
      </c>
      <c r="BL548">
        <f>P548*Assumptions!$B$11</f>
        <v/>
      </c>
    </row>
    <row r="549">
      <c r="A549" t="inlineStr">
        <is>
          <t>4000M</t>
        </is>
      </c>
      <c r="B549">
        <f>Assumptions!$B$61</f>
        <v/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>
        <f>(1-C549)*Assumptions!$B$41+(1-D549)*Assumptions!$B$33+(1-E549)*Assumptions!$B$32+(1-F549)*Assumptions!$B$31+(1-G549)*Assumptions!$B$30+(1-H549)*Assumptions!$B$29+(1-I549)*Assumptions!$B$28</f>
        <v/>
      </c>
      <c r="K549">
        <f>C549*Assumptions!$B$141+D549*Assumptions!$B$128+E549*Assumptions!$B$129+F549*Assumptions!$B$14+G549*Assumptions!$B$13+H549*Assumptions!$B$12+I549*Assumptions!$B$11+Assumptions!$B$133+Assumptions!$B$137+Assumptions!$B$9</f>
        <v/>
      </c>
      <c r="L549">
        <f>B549-J549</f>
        <v/>
      </c>
      <c r="M549">
        <f>IF(K549&gt;0,IF(L549/K549&gt;=Assumptions!$B$37,1,0),0)</f>
        <v/>
      </c>
      <c r="N549">
        <f>K549+M549*Assumptions!$B$153</f>
        <v/>
      </c>
      <c r="O549">
        <f>L549+M549*Assumptions!$B$153*Assumptions!$B$37</f>
        <v/>
      </c>
      <c r="P549">
        <f>IF(N549&gt;0,O549/N549,0)</f>
        <v/>
      </c>
      <c r="Q549">
        <f>IF(C549=1,P549*Assumptions!$B$141,Assumptions!$B$41)</f>
        <v/>
      </c>
      <c r="R549">
        <f>IF(D549=1,P549*Assumptions!$B$128,Assumptions!$B$33)</f>
        <v/>
      </c>
      <c r="S549">
        <f>IF(E549=1,P549*Assumptions!$B$129,Assumptions!$B$32)</f>
        <v/>
      </c>
      <c r="T549">
        <f>IF(F549=1,P549*Assumptions!$B$14,Assumptions!$B$31)</f>
        <v/>
      </c>
      <c r="U549">
        <f>IF(G549=1,P549*Assumptions!$B$13,Assumptions!$B$30)</f>
        <v/>
      </c>
      <c r="V549">
        <f>IF(H549=1,P549*Assumptions!$B$12,Assumptions!$B$29)</f>
        <v/>
      </c>
      <c r="W549">
        <f>IF(I549=1,P549*Assumptions!$B$11,Assumptions!$B$28)</f>
        <v/>
      </c>
      <c r="X549">
        <f>P549*(Assumptions!$B$133+Assumptions!$B$137)</f>
        <v/>
      </c>
      <c r="Y549">
        <f>P549*Assumptions!$B$9</f>
        <v/>
      </c>
      <c r="Z549">
        <f>IF(M549=1,(P549-Assumptions!$B$37)*Assumptions!$B$153,0)</f>
        <v/>
      </c>
      <c r="AA549">
        <f>Q549+R549+S549+T549+U549+V549+W549+X549+Y549+Z549</f>
        <v/>
      </c>
      <c r="AB549" t="n">
        <v>114</v>
      </c>
      <c r="AC549" t="n">
        <v>50</v>
      </c>
      <c r="AD549" t="n">
        <v>82</v>
      </c>
      <c r="AE549" t="n">
        <v>98</v>
      </c>
      <c r="AF549" t="n">
        <v>122</v>
      </c>
      <c r="AG549" t="n">
        <v>118</v>
      </c>
      <c r="AH549" t="n">
        <v>112</v>
      </c>
      <c r="AI549" t="n">
        <v>115</v>
      </c>
      <c r="AJ549">
        <f>INDEX($Q$435:$Q$562,AC549+1)</f>
        <v/>
      </c>
      <c r="AK549">
        <f>INDEX($R$435:$R$562,AD549+1)</f>
        <v/>
      </c>
      <c r="AL549">
        <f>INDEX($S$435:$S$562,AE549+1)</f>
        <v/>
      </c>
      <c r="AM549">
        <f>INDEX($T$435:$T$562,AF549+1)</f>
        <v/>
      </c>
      <c r="AN549">
        <f>INDEX($U$435:$U$562,AG549+1)</f>
        <v/>
      </c>
      <c r="AO549">
        <f>INDEX($V$435:$V$562,AH549+1)</f>
        <v/>
      </c>
      <c r="AP549">
        <f>INDEX($W$435:$W$562,AI549+1)</f>
        <v/>
      </c>
      <c r="AQ549">
        <f>IF(Q549&gt;=AJ549-0.01,1,0)</f>
        <v/>
      </c>
      <c r="AR549">
        <f>IF(R549&gt;=AK549-0.01,1,0)</f>
        <v/>
      </c>
      <c r="AS549">
        <f>IF(S549&gt;=AL549-0.01,1,0)</f>
        <v/>
      </c>
      <c r="AT549">
        <f>IF(T549&gt;=AM549-0.01,1,0)</f>
        <v/>
      </c>
      <c r="AU549">
        <f>IF(U549&gt;=AN549-0.01,1,0)</f>
        <v/>
      </c>
      <c r="AV549">
        <f>IF(V549&gt;=AO549-0.01,1,0)</f>
        <v/>
      </c>
      <c r="AW549">
        <f>IF(W549&gt;=AP549-0.01,1,0)</f>
        <v/>
      </c>
      <c r="AX549">
        <f>AQ549*AR549*AS549*AT549*AU549*AV549*AW549</f>
        <v/>
      </c>
      <c r="AY549">
        <f>Assumptions!$B$41</f>
        <v/>
      </c>
      <c r="AZ549">
        <f>Assumptions!$B$33</f>
        <v/>
      </c>
      <c r="BA549">
        <f>Assumptions!$B$32</f>
        <v/>
      </c>
      <c r="BB549">
        <f>Assumptions!$B$31</f>
        <v/>
      </c>
      <c r="BC549">
        <f>Assumptions!$B$30</f>
        <v/>
      </c>
      <c r="BD549">
        <f>Assumptions!$B$29</f>
        <v/>
      </c>
      <c r="BE549">
        <f>Assumptions!$B$28</f>
        <v/>
      </c>
      <c r="BF549">
        <f>P549*Assumptions!$B$141</f>
        <v/>
      </c>
      <c r="BG549">
        <f>P549*Assumptions!$B$128</f>
        <v/>
      </c>
      <c r="BH549">
        <f>P549*Assumptions!$B$129</f>
        <v/>
      </c>
      <c r="BI549">
        <f>P549*Assumptions!$B$14</f>
        <v/>
      </c>
      <c r="BJ549">
        <f>P549*Assumptions!$B$13</f>
        <v/>
      </c>
      <c r="BK549">
        <f>P549*Assumptions!$B$12</f>
        <v/>
      </c>
      <c r="BL549">
        <f>P549*Assumptions!$B$11</f>
        <v/>
      </c>
    </row>
    <row r="550">
      <c r="A550" t="inlineStr">
        <is>
          <t>4000M</t>
        </is>
      </c>
      <c r="B550">
        <f>Assumptions!$B$61</f>
        <v/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  <c r="I550" t="n">
        <v>1</v>
      </c>
      <c r="J550">
        <f>(1-C550)*Assumptions!$B$41+(1-D550)*Assumptions!$B$33+(1-E550)*Assumptions!$B$32+(1-F550)*Assumptions!$B$31+(1-G550)*Assumptions!$B$30+(1-H550)*Assumptions!$B$29+(1-I550)*Assumptions!$B$28</f>
        <v/>
      </c>
      <c r="K550">
        <f>C550*Assumptions!$B$141+D550*Assumptions!$B$128+E550*Assumptions!$B$129+F550*Assumptions!$B$14+G550*Assumptions!$B$13+H550*Assumptions!$B$12+I550*Assumptions!$B$11+Assumptions!$B$133+Assumptions!$B$137+Assumptions!$B$9</f>
        <v/>
      </c>
      <c r="L550">
        <f>B550-J550</f>
        <v/>
      </c>
      <c r="M550">
        <f>IF(K550&gt;0,IF(L550/K550&gt;=Assumptions!$B$37,1,0),0)</f>
        <v/>
      </c>
      <c r="N550">
        <f>K550+M550*Assumptions!$B$153</f>
        <v/>
      </c>
      <c r="O550">
        <f>L550+M550*Assumptions!$B$153*Assumptions!$B$37</f>
        <v/>
      </c>
      <c r="P550">
        <f>IF(N550&gt;0,O550/N550,0)</f>
        <v/>
      </c>
      <c r="Q550">
        <f>IF(C550=1,P550*Assumptions!$B$141,Assumptions!$B$41)</f>
        <v/>
      </c>
      <c r="R550">
        <f>IF(D550=1,P550*Assumptions!$B$128,Assumptions!$B$33)</f>
        <v/>
      </c>
      <c r="S550">
        <f>IF(E550=1,P550*Assumptions!$B$129,Assumptions!$B$32)</f>
        <v/>
      </c>
      <c r="T550">
        <f>IF(F550=1,P550*Assumptions!$B$14,Assumptions!$B$31)</f>
        <v/>
      </c>
      <c r="U550">
        <f>IF(G550=1,P550*Assumptions!$B$13,Assumptions!$B$30)</f>
        <v/>
      </c>
      <c r="V550">
        <f>IF(H550=1,P550*Assumptions!$B$12,Assumptions!$B$29)</f>
        <v/>
      </c>
      <c r="W550">
        <f>IF(I550=1,P550*Assumptions!$B$11,Assumptions!$B$28)</f>
        <v/>
      </c>
      <c r="X550">
        <f>P550*(Assumptions!$B$133+Assumptions!$B$137)</f>
        <v/>
      </c>
      <c r="Y550">
        <f>P550*Assumptions!$B$9</f>
        <v/>
      </c>
      <c r="Z550">
        <f>IF(M550=1,(P550-Assumptions!$B$37)*Assumptions!$B$153,0)</f>
        <v/>
      </c>
      <c r="AA550">
        <f>Q550+R550+S550+T550+U550+V550+W550+X550+Y550+Z550</f>
        <v/>
      </c>
      <c r="AB550" t="n">
        <v>115</v>
      </c>
      <c r="AC550" t="n">
        <v>51</v>
      </c>
      <c r="AD550" t="n">
        <v>83</v>
      </c>
      <c r="AE550" t="n">
        <v>99</v>
      </c>
      <c r="AF550" t="n">
        <v>123</v>
      </c>
      <c r="AG550" t="n">
        <v>119</v>
      </c>
      <c r="AH550" t="n">
        <v>113</v>
      </c>
      <c r="AI550" t="n">
        <v>114</v>
      </c>
      <c r="AJ550">
        <f>INDEX($Q$435:$Q$562,AC550+1)</f>
        <v/>
      </c>
      <c r="AK550">
        <f>INDEX($R$435:$R$562,AD550+1)</f>
        <v/>
      </c>
      <c r="AL550">
        <f>INDEX($S$435:$S$562,AE550+1)</f>
        <v/>
      </c>
      <c r="AM550">
        <f>INDEX($T$435:$T$562,AF550+1)</f>
        <v/>
      </c>
      <c r="AN550">
        <f>INDEX($U$435:$U$562,AG550+1)</f>
        <v/>
      </c>
      <c r="AO550">
        <f>INDEX($V$435:$V$562,AH550+1)</f>
        <v/>
      </c>
      <c r="AP550">
        <f>INDEX($W$435:$W$562,AI550+1)</f>
        <v/>
      </c>
      <c r="AQ550">
        <f>IF(Q550&gt;=AJ550-0.01,1,0)</f>
        <v/>
      </c>
      <c r="AR550">
        <f>IF(R550&gt;=AK550-0.01,1,0)</f>
        <v/>
      </c>
      <c r="AS550">
        <f>IF(S550&gt;=AL550-0.01,1,0)</f>
        <v/>
      </c>
      <c r="AT550">
        <f>IF(T550&gt;=AM550-0.01,1,0)</f>
        <v/>
      </c>
      <c r="AU550">
        <f>IF(U550&gt;=AN550-0.01,1,0)</f>
        <v/>
      </c>
      <c r="AV550">
        <f>IF(V550&gt;=AO550-0.01,1,0)</f>
        <v/>
      </c>
      <c r="AW550">
        <f>IF(W550&gt;=AP550-0.01,1,0)</f>
        <v/>
      </c>
      <c r="AX550">
        <f>AQ550*AR550*AS550*AT550*AU550*AV550*AW550</f>
        <v/>
      </c>
      <c r="AY550">
        <f>Assumptions!$B$41</f>
        <v/>
      </c>
      <c r="AZ550">
        <f>Assumptions!$B$33</f>
        <v/>
      </c>
      <c r="BA550">
        <f>Assumptions!$B$32</f>
        <v/>
      </c>
      <c r="BB550">
        <f>Assumptions!$B$31</f>
        <v/>
      </c>
      <c r="BC550">
        <f>Assumptions!$B$30</f>
        <v/>
      </c>
      <c r="BD550">
        <f>Assumptions!$B$29</f>
        <v/>
      </c>
      <c r="BE550">
        <f>Assumptions!$B$28</f>
        <v/>
      </c>
      <c r="BF550">
        <f>P550*Assumptions!$B$141</f>
        <v/>
      </c>
      <c r="BG550">
        <f>P550*Assumptions!$B$128</f>
        <v/>
      </c>
      <c r="BH550">
        <f>P550*Assumptions!$B$129</f>
        <v/>
      </c>
      <c r="BI550">
        <f>P550*Assumptions!$B$14</f>
        <v/>
      </c>
      <c r="BJ550">
        <f>P550*Assumptions!$B$13</f>
        <v/>
      </c>
      <c r="BK550">
        <f>P550*Assumptions!$B$12</f>
        <v/>
      </c>
      <c r="BL550">
        <f>P550*Assumptions!$B$11</f>
        <v/>
      </c>
    </row>
    <row r="551">
      <c r="A551" t="inlineStr">
        <is>
          <t>4000M</t>
        </is>
      </c>
      <c r="B551">
        <f>Assumptions!$B$61</f>
        <v/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>
        <f>(1-C551)*Assumptions!$B$41+(1-D551)*Assumptions!$B$33+(1-E551)*Assumptions!$B$32+(1-F551)*Assumptions!$B$31+(1-G551)*Assumptions!$B$30+(1-H551)*Assumptions!$B$29+(1-I551)*Assumptions!$B$28</f>
        <v/>
      </c>
      <c r="K551">
        <f>C551*Assumptions!$B$141+D551*Assumptions!$B$128+E551*Assumptions!$B$129+F551*Assumptions!$B$14+G551*Assumptions!$B$13+H551*Assumptions!$B$12+I551*Assumptions!$B$11+Assumptions!$B$133+Assumptions!$B$137+Assumptions!$B$9</f>
        <v/>
      </c>
      <c r="L551">
        <f>B551-J551</f>
        <v/>
      </c>
      <c r="M551">
        <f>IF(K551&gt;0,IF(L551/K551&gt;=Assumptions!$B$37,1,0),0)</f>
        <v/>
      </c>
      <c r="N551">
        <f>K551+M551*Assumptions!$B$153</f>
        <v/>
      </c>
      <c r="O551">
        <f>L551+M551*Assumptions!$B$153*Assumptions!$B$37</f>
        <v/>
      </c>
      <c r="P551">
        <f>IF(N551&gt;0,O551/N551,0)</f>
        <v/>
      </c>
      <c r="Q551">
        <f>IF(C551=1,P551*Assumptions!$B$141,Assumptions!$B$41)</f>
        <v/>
      </c>
      <c r="R551">
        <f>IF(D551=1,P551*Assumptions!$B$128,Assumptions!$B$33)</f>
        <v/>
      </c>
      <c r="S551">
        <f>IF(E551=1,P551*Assumptions!$B$129,Assumptions!$B$32)</f>
        <v/>
      </c>
      <c r="T551">
        <f>IF(F551=1,P551*Assumptions!$B$14,Assumptions!$B$31)</f>
        <v/>
      </c>
      <c r="U551">
        <f>IF(G551=1,P551*Assumptions!$B$13,Assumptions!$B$30)</f>
        <v/>
      </c>
      <c r="V551">
        <f>IF(H551=1,P551*Assumptions!$B$12,Assumptions!$B$29)</f>
        <v/>
      </c>
      <c r="W551">
        <f>IF(I551=1,P551*Assumptions!$B$11,Assumptions!$B$28)</f>
        <v/>
      </c>
      <c r="X551">
        <f>P551*(Assumptions!$B$133+Assumptions!$B$137)</f>
        <v/>
      </c>
      <c r="Y551">
        <f>P551*Assumptions!$B$9</f>
        <v/>
      </c>
      <c r="Z551">
        <f>IF(M551=1,(P551-Assumptions!$B$37)*Assumptions!$B$153,0)</f>
        <v/>
      </c>
      <c r="AA551">
        <f>Q551+R551+S551+T551+U551+V551+W551+X551+Y551+Z551</f>
        <v/>
      </c>
      <c r="AB551" t="n">
        <v>116</v>
      </c>
      <c r="AC551" t="n">
        <v>52</v>
      </c>
      <c r="AD551" t="n">
        <v>84</v>
      </c>
      <c r="AE551" t="n">
        <v>100</v>
      </c>
      <c r="AF551" t="n">
        <v>124</v>
      </c>
      <c r="AG551" t="n">
        <v>112</v>
      </c>
      <c r="AH551" t="n">
        <v>118</v>
      </c>
      <c r="AI551" t="n">
        <v>117</v>
      </c>
      <c r="AJ551">
        <f>INDEX($Q$435:$Q$562,AC551+1)</f>
        <v/>
      </c>
      <c r="AK551">
        <f>INDEX($R$435:$R$562,AD551+1)</f>
        <v/>
      </c>
      <c r="AL551">
        <f>INDEX($S$435:$S$562,AE551+1)</f>
        <v/>
      </c>
      <c r="AM551">
        <f>INDEX($T$435:$T$562,AF551+1)</f>
        <v/>
      </c>
      <c r="AN551">
        <f>INDEX($U$435:$U$562,AG551+1)</f>
        <v/>
      </c>
      <c r="AO551">
        <f>INDEX($V$435:$V$562,AH551+1)</f>
        <v/>
      </c>
      <c r="AP551">
        <f>INDEX($W$435:$W$562,AI551+1)</f>
        <v/>
      </c>
      <c r="AQ551">
        <f>IF(Q551&gt;=AJ551-0.01,1,0)</f>
        <v/>
      </c>
      <c r="AR551">
        <f>IF(R551&gt;=AK551-0.01,1,0)</f>
        <v/>
      </c>
      <c r="AS551">
        <f>IF(S551&gt;=AL551-0.01,1,0)</f>
        <v/>
      </c>
      <c r="AT551">
        <f>IF(T551&gt;=AM551-0.01,1,0)</f>
        <v/>
      </c>
      <c r="AU551">
        <f>IF(U551&gt;=AN551-0.01,1,0)</f>
        <v/>
      </c>
      <c r="AV551">
        <f>IF(V551&gt;=AO551-0.01,1,0)</f>
        <v/>
      </c>
      <c r="AW551">
        <f>IF(W551&gt;=AP551-0.01,1,0)</f>
        <v/>
      </c>
      <c r="AX551">
        <f>AQ551*AR551*AS551*AT551*AU551*AV551*AW551</f>
        <v/>
      </c>
      <c r="AY551">
        <f>Assumptions!$B$41</f>
        <v/>
      </c>
      <c r="AZ551">
        <f>Assumptions!$B$33</f>
        <v/>
      </c>
      <c r="BA551">
        <f>Assumptions!$B$32</f>
        <v/>
      </c>
      <c r="BB551">
        <f>Assumptions!$B$31</f>
        <v/>
      </c>
      <c r="BC551">
        <f>Assumptions!$B$30</f>
        <v/>
      </c>
      <c r="BD551">
        <f>Assumptions!$B$29</f>
        <v/>
      </c>
      <c r="BE551">
        <f>Assumptions!$B$28</f>
        <v/>
      </c>
      <c r="BF551">
        <f>P551*Assumptions!$B$141</f>
        <v/>
      </c>
      <c r="BG551">
        <f>P551*Assumptions!$B$128</f>
        <v/>
      </c>
      <c r="BH551">
        <f>P551*Assumptions!$B$129</f>
        <v/>
      </c>
      <c r="BI551">
        <f>P551*Assumptions!$B$14</f>
        <v/>
      </c>
      <c r="BJ551">
        <f>P551*Assumptions!$B$13</f>
        <v/>
      </c>
      <c r="BK551">
        <f>P551*Assumptions!$B$12</f>
        <v/>
      </c>
      <c r="BL551">
        <f>P551*Assumptions!$B$11</f>
        <v/>
      </c>
    </row>
    <row r="552">
      <c r="A552" t="inlineStr">
        <is>
          <t>4000M</t>
        </is>
      </c>
      <c r="B552">
        <f>Assumptions!$B$61</f>
        <v/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>
        <f>(1-C552)*Assumptions!$B$41+(1-D552)*Assumptions!$B$33+(1-E552)*Assumptions!$B$32+(1-F552)*Assumptions!$B$31+(1-G552)*Assumptions!$B$30+(1-H552)*Assumptions!$B$29+(1-I552)*Assumptions!$B$28</f>
        <v/>
      </c>
      <c r="K552">
        <f>C552*Assumptions!$B$141+D552*Assumptions!$B$128+E552*Assumptions!$B$129+F552*Assumptions!$B$14+G552*Assumptions!$B$13+H552*Assumptions!$B$12+I552*Assumptions!$B$11+Assumptions!$B$133+Assumptions!$B$137+Assumptions!$B$9</f>
        <v/>
      </c>
      <c r="L552">
        <f>B552-J552</f>
        <v/>
      </c>
      <c r="M552">
        <f>IF(K552&gt;0,IF(L552/K552&gt;=Assumptions!$B$37,1,0),0)</f>
        <v/>
      </c>
      <c r="N552">
        <f>K552+M552*Assumptions!$B$153</f>
        <v/>
      </c>
      <c r="O552">
        <f>L552+M552*Assumptions!$B$153*Assumptions!$B$37</f>
        <v/>
      </c>
      <c r="P552">
        <f>IF(N552&gt;0,O552/N552,0)</f>
        <v/>
      </c>
      <c r="Q552">
        <f>IF(C552=1,P552*Assumptions!$B$141,Assumptions!$B$41)</f>
        <v/>
      </c>
      <c r="R552">
        <f>IF(D552=1,P552*Assumptions!$B$128,Assumptions!$B$33)</f>
        <v/>
      </c>
      <c r="S552">
        <f>IF(E552=1,P552*Assumptions!$B$129,Assumptions!$B$32)</f>
        <v/>
      </c>
      <c r="T552">
        <f>IF(F552=1,P552*Assumptions!$B$14,Assumptions!$B$31)</f>
        <v/>
      </c>
      <c r="U552">
        <f>IF(G552=1,P552*Assumptions!$B$13,Assumptions!$B$30)</f>
        <v/>
      </c>
      <c r="V552">
        <f>IF(H552=1,P552*Assumptions!$B$12,Assumptions!$B$29)</f>
        <v/>
      </c>
      <c r="W552">
        <f>IF(I552=1,P552*Assumptions!$B$11,Assumptions!$B$28)</f>
        <v/>
      </c>
      <c r="X552">
        <f>P552*(Assumptions!$B$133+Assumptions!$B$137)</f>
        <v/>
      </c>
      <c r="Y552">
        <f>P552*Assumptions!$B$9</f>
        <v/>
      </c>
      <c r="Z552">
        <f>IF(M552=1,(P552-Assumptions!$B$37)*Assumptions!$B$153,0)</f>
        <v/>
      </c>
      <c r="AA552">
        <f>Q552+R552+S552+T552+U552+V552+W552+X552+Y552+Z552</f>
        <v/>
      </c>
      <c r="AB552" t="n">
        <v>117</v>
      </c>
      <c r="AC552" t="n">
        <v>53</v>
      </c>
      <c r="AD552" t="n">
        <v>85</v>
      </c>
      <c r="AE552" t="n">
        <v>101</v>
      </c>
      <c r="AF552" t="n">
        <v>125</v>
      </c>
      <c r="AG552" t="n">
        <v>113</v>
      </c>
      <c r="AH552" t="n">
        <v>119</v>
      </c>
      <c r="AI552" t="n">
        <v>116</v>
      </c>
      <c r="AJ552">
        <f>INDEX($Q$435:$Q$562,AC552+1)</f>
        <v/>
      </c>
      <c r="AK552">
        <f>INDEX($R$435:$R$562,AD552+1)</f>
        <v/>
      </c>
      <c r="AL552">
        <f>INDEX($S$435:$S$562,AE552+1)</f>
        <v/>
      </c>
      <c r="AM552">
        <f>INDEX($T$435:$T$562,AF552+1)</f>
        <v/>
      </c>
      <c r="AN552">
        <f>INDEX($U$435:$U$562,AG552+1)</f>
        <v/>
      </c>
      <c r="AO552">
        <f>INDEX($V$435:$V$562,AH552+1)</f>
        <v/>
      </c>
      <c r="AP552">
        <f>INDEX($W$435:$W$562,AI552+1)</f>
        <v/>
      </c>
      <c r="AQ552">
        <f>IF(Q552&gt;=AJ552-0.01,1,0)</f>
        <v/>
      </c>
      <c r="AR552">
        <f>IF(R552&gt;=AK552-0.01,1,0)</f>
        <v/>
      </c>
      <c r="AS552">
        <f>IF(S552&gt;=AL552-0.01,1,0)</f>
        <v/>
      </c>
      <c r="AT552">
        <f>IF(T552&gt;=AM552-0.01,1,0)</f>
        <v/>
      </c>
      <c r="AU552">
        <f>IF(U552&gt;=AN552-0.01,1,0)</f>
        <v/>
      </c>
      <c r="AV552">
        <f>IF(V552&gt;=AO552-0.01,1,0)</f>
        <v/>
      </c>
      <c r="AW552">
        <f>IF(W552&gt;=AP552-0.01,1,0)</f>
        <v/>
      </c>
      <c r="AX552">
        <f>AQ552*AR552*AS552*AT552*AU552*AV552*AW552</f>
        <v/>
      </c>
      <c r="AY552">
        <f>Assumptions!$B$41</f>
        <v/>
      </c>
      <c r="AZ552">
        <f>Assumptions!$B$33</f>
        <v/>
      </c>
      <c r="BA552">
        <f>Assumptions!$B$32</f>
        <v/>
      </c>
      <c r="BB552">
        <f>Assumptions!$B$31</f>
        <v/>
      </c>
      <c r="BC552">
        <f>Assumptions!$B$30</f>
        <v/>
      </c>
      <c r="BD552">
        <f>Assumptions!$B$29</f>
        <v/>
      </c>
      <c r="BE552">
        <f>Assumptions!$B$28</f>
        <v/>
      </c>
      <c r="BF552">
        <f>P552*Assumptions!$B$141</f>
        <v/>
      </c>
      <c r="BG552">
        <f>P552*Assumptions!$B$128</f>
        <v/>
      </c>
      <c r="BH552">
        <f>P552*Assumptions!$B$129</f>
        <v/>
      </c>
      <c r="BI552">
        <f>P552*Assumptions!$B$14</f>
        <v/>
      </c>
      <c r="BJ552">
        <f>P552*Assumptions!$B$13</f>
        <v/>
      </c>
      <c r="BK552">
        <f>P552*Assumptions!$B$12</f>
        <v/>
      </c>
      <c r="BL552">
        <f>P552*Assumptions!$B$11</f>
        <v/>
      </c>
    </row>
    <row r="553">
      <c r="A553" t="inlineStr">
        <is>
          <t>4000M</t>
        </is>
      </c>
      <c r="B553">
        <f>Assumptions!$B$61</f>
        <v/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>
        <f>(1-C553)*Assumptions!$B$41+(1-D553)*Assumptions!$B$33+(1-E553)*Assumptions!$B$32+(1-F553)*Assumptions!$B$31+(1-G553)*Assumptions!$B$30+(1-H553)*Assumptions!$B$29+(1-I553)*Assumptions!$B$28</f>
        <v/>
      </c>
      <c r="K553">
        <f>C553*Assumptions!$B$141+D553*Assumptions!$B$128+E553*Assumptions!$B$129+F553*Assumptions!$B$14+G553*Assumptions!$B$13+H553*Assumptions!$B$12+I553*Assumptions!$B$11+Assumptions!$B$133+Assumptions!$B$137+Assumptions!$B$9</f>
        <v/>
      </c>
      <c r="L553">
        <f>B553-J553</f>
        <v/>
      </c>
      <c r="M553">
        <f>IF(K553&gt;0,IF(L553/K553&gt;=Assumptions!$B$37,1,0),0)</f>
        <v/>
      </c>
      <c r="N553">
        <f>K553+M553*Assumptions!$B$153</f>
        <v/>
      </c>
      <c r="O553">
        <f>L553+M553*Assumptions!$B$153*Assumptions!$B$37</f>
        <v/>
      </c>
      <c r="P553">
        <f>IF(N553&gt;0,O553/N553,0)</f>
        <v/>
      </c>
      <c r="Q553">
        <f>IF(C553=1,P553*Assumptions!$B$141,Assumptions!$B$41)</f>
        <v/>
      </c>
      <c r="R553">
        <f>IF(D553=1,P553*Assumptions!$B$128,Assumptions!$B$33)</f>
        <v/>
      </c>
      <c r="S553">
        <f>IF(E553=1,P553*Assumptions!$B$129,Assumptions!$B$32)</f>
        <v/>
      </c>
      <c r="T553">
        <f>IF(F553=1,P553*Assumptions!$B$14,Assumptions!$B$31)</f>
        <v/>
      </c>
      <c r="U553">
        <f>IF(G553=1,P553*Assumptions!$B$13,Assumptions!$B$30)</f>
        <v/>
      </c>
      <c r="V553">
        <f>IF(H553=1,P553*Assumptions!$B$12,Assumptions!$B$29)</f>
        <v/>
      </c>
      <c r="W553">
        <f>IF(I553=1,P553*Assumptions!$B$11,Assumptions!$B$28)</f>
        <v/>
      </c>
      <c r="X553">
        <f>P553*(Assumptions!$B$133+Assumptions!$B$137)</f>
        <v/>
      </c>
      <c r="Y553">
        <f>P553*Assumptions!$B$9</f>
        <v/>
      </c>
      <c r="Z553">
        <f>IF(M553=1,(P553-Assumptions!$B$37)*Assumptions!$B$153,0)</f>
        <v/>
      </c>
      <c r="AA553">
        <f>Q553+R553+S553+T553+U553+V553+W553+X553+Y553+Z553</f>
        <v/>
      </c>
      <c r="AB553" t="n">
        <v>118</v>
      </c>
      <c r="AC553" t="n">
        <v>54</v>
      </c>
      <c r="AD553" t="n">
        <v>86</v>
      </c>
      <c r="AE553" t="n">
        <v>102</v>
      </c>
      <c r="AF553" t="n">
        <v>126</v>
      </c>
      <c r="AG553" t="n">
        <v>114</v>
      </c>
      <c r="AH553" t="n">
        <v>116</v>
      </c>
      <c r="AI553" t="n">
        <v>119</v>
      </c>
      <c r="AJ553">
        <f>INDEX($Q$435:$Q$562,AC553+1)</f>
        <v/>
      </c>
      <c r="AK553">
        <f>INDEX($R$435:$R$562,AD553+1)</f>
        <v/>
      </c>
      <c r="AL553">
        <f>INDEX($S$435:$S$562,AE553+1)</f>
        <v/>
      </c>
      <c r="AM553">
        <f>INDEX($T$435:$T$562,AF553+1)</f>
        <v/>
      </c>
      <c r="AN553">
        <f>INDEX($U$435:$U$562,AG553+1)</f>
        <v/>
      </c>
      <c r="AO553">
        <f>INDEX($V$435:$V$562,AH553+1)</f>
        <v/>
      </c>
      <c r="AP553">
        <f>INDEX($W$435:$W$562,AI553+1)</f>
        <v/>
      </c>
      <c r="AQ553">
        <f>IF(Q553&gt;=AJ553-0.01,1,0)</f>
        <v/>
      </c>
      <c r="AR553">
        <f>IF(R553&gt;=AK553-0.01,1,0)</f>
        <v/>
      </c>
      <c r="AS553">
        <f>IF(S553&gt;=AL553-0.01,1,0)</f>
        <v/>
      </c>
      <c r="AT553">
        <f>IF(T553&gt;=AM553-0.01,1,0)</f>
        <v/>
      </c>
      <c r="AU553">
        <f>IF(U553&gt;=AN553-0.01,1,0)</f>
        <v/>
      </c>
      <c r="AV553">
        <f>IF(V553&gt;=AO553-0.01,1,0)</f>
        <v/>
      </c>
      <c r="AW553">
        <f>IF(W553&gt;=AP553-0.01,1,0)</f>
        <v/>
      </c>
      <c r="AX553">
        <f>AQ553*AR553*AS553*AT553*AU553*AV553*AW553</f>
        <v/>
      </c>
      <c r="AY553">
        <f>Assumptions!$B$41</f>
        <v/>
      </c>
      <c r="AZ553">
        <f>Assumptions!$B$33</f>
        <v/>
      </c>
      <c r="BA553">
        <f>Assumptions!$B$32</f>
        <v/>
      </c>
      <c r="BB553">
        <f>Assumptions!$B$31</f>
        <v/>
      </c>
      <c r="BC553">
        <f>Assumptions!$B$30</f>
        <v/>
      </c>
      <c r="BD553">
        <f>Assumptions!$B$29</f>
        <v/>
      </c>
      <c r="BE553">
        <f>Assumptions!$B$28</f>
        <v/>
      </c>
      <c r="BF553">
        <f>P553*Assumptions!$B$141</f>
        <v/>
      </c>
      <c r="BG553">
        <f>P553*Assumptions!$B$128</f>
        <v/>
      </c>
      <c r="BH553">
        <f>P553*Assumptions!$B$129</f>
        <v/>
      </c>
      <c r="BI553">
        <f>P553*Assumptions!$B$14</f>
        <v/>
      </c>
      <c r="BJ553">
        <f>P553*Assumptions!$B$13</f>
        <v/>
      </c>
      <c r="BK553">
        <f>P553*Assumptions!$B$12</f>
        <v/>
      </c>
      <c r="BL553">
        <f>P553*Assumptions!$B$11</f>
        <v/>
      </c>
    </row>
    <row r="554">
      <c r="A554" t="inlineStr">
        <is>
          <t>4000M</t>
        </is>
      </c>
      <c r="B554">
        <f>Assumptions!$B$61</f>
        <v/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>
        <f>(1-C554)*Assumptions!$B$41+(1-D554)*Assumptions!$B$33+(1-E554)*Assumptions!$B$32+(1-F554)*Assumptions!$B$31+(1-G554)*Assumptions!$B$30+(1-H554)*Assumptions!$B$29+(1-I554)*Assumptions!$B$28</f>
        <v/>
      </c>
      <c r="K554">
        <f>C554*Assumptions!$B$141+D554*Assumptions!$B$128+E554*Assumptions!$B$129+F554*Assumptions!$B$14+G554*Assumptions!$B$13+H554*Assumptions!$B$12+I554*Assumptions!$B$11+Assumptions!$B$133+Assumptions!$B$137+Assumptions!$B$9</f>
        <v/>
      </c>
      <c r="L554">
        <f>B554-J554</f>
        <v/>
      </c>
      <c r="M554">
        <f>IF(K554&gt;0,IF(L554/K554&gt;=Assumptions!$B$37,1,0),0)</f>
        <v/>
      </c>
      <c r="N554">
        <f>K554+M554*Assumptions!$B$153</f>
        <v/>
      </c>
      <c r="O554">
        <f>L554+M554*Assumptions!$B$153*Assumptions!$B$37</f>
        <v/>
      </c>
      <c r="P554">
        <f>IF(N554&gt;0,O554/N554,0)</f>
        <v/>
      </c>
      <c r="Q554">
        <f>IF(C554=1,P554*Assumptions!$B$141,Assumptions!$B$41)</f>
        <v/>
      </c>
      <c r="R554">
        <f>IF(D554=1,P554*Assumptions!$B$128,Assumptions!$B$33)</f>
        <v/>
      </c>
      <c r="S554">
        <f>IF(E554=1,P554*Assumptions!$B$129,Assumptions!$B$32)</f>
        <v/>
      </c>
      <c r="T554">
        <f>IF(F554=1,P554*Assumptions!$B$14,Assumptions!$B$31)</f>
        <v/>
      </c>
      <c r="U554">
        <f>IF(G554=1,P554*Assumptions!$B$13,Assumptions!$B$30)</f>
        <v/>
      </c>
      <c r="V554">
        <f>IF(H554=1,P554*Assumptions!$B$12,Assumptions!$B$29)</f>
        <v/>
      </c>
      <c r="W554">
        <f>IF(I554=1,P554*Assumptions!$B$11,Assumptions!$B$28)</f>
        <v/>
      </c>
      <c r="X554">
        <f>P554*(Assumptions!$B$133+Assumptions!$B$137)</f>
        <v/>
      </c>
      <c r="Y554">
        <f>P554*Assumptions!$B$9</f>
        <v/>
      </c>
      <c r="Z554">
        <f>IF(M554=1,(P554-Assumptions!$B$37)*Assumptions!$B$153,0)</f>
        <v/>
      </c>
      <c r="AA554">
        <f>Q554+R554+S554+T554+U554+V554+W554+X554+Y554+Z554</f>
        <v/>
      </c>
      <c r="AB554" t="n">
        <v>119</v>
      </c>
      <c r="AC554" t="n">
        <v>55</v>
      </c>
      <c r="AD554" t="n">
        <v>87</v>
      </c>
      <c r="AE554" t="n">
        <v>103</v>
      </c>
      <c r="AF554" t="n">
        <v>127</v>
      </c>
      <c r="AG554" t="n">
        <v>115</v>
      </c>
      <c r="AH554" t="n">
        <v>117</v>
      </c>
      <c r="AI554" t="n">
        <v>118</v>
      </c>
      <c r="AJ554">
        <f>INDEX($Q$435:$Q$562,AC554+1)</f>
        <v/>
      </c>
      <c r="AK554">
        <f>INDEX($R$435:$R$562,AD554+1)</f>
        <v/>
      </c>
      <c r="AL554">
        <f>INDEX($S$435:$S$562,AE554+1)</f>
        <v/>
      </c>
      <c r="AM554">
        <f>INDEX($T$435:$T$562,AF554+1)</f>
        <v/>
      </c>
      <c r="AN554">
        <f>INDEX($U$435:$U$562,AG554+1)</f>
        <v/>
      </c>
      <c r="AO554">
        <f>INDEX($V$435:$V$562,AH554+1)</f>
        <v/>
      </c>
      <c r="AP554">
        <f>INDEX($W$435:$W$562,AI554+1)</f>
        <v/>
      </c>
      <c r="AQ554">
        <f>IF(Q554&gt;=AJ554-0.01,1,0)</f>
        <v/>
      </c>
      <c r="AR554">
        <f>IF(R554&gt;=AK554-0.01,1,0)</f>
        <v/>
      </c>
      <c r="AS554">
        <f>IF(S554&gt;=AL554-0.01,1,0)</f>
        <v/>
      </c>
      <c r="AT554">
        <f>IF(T554&gt;=AM554-0.01,1,0)</f>
        <v/>
      </c>
      <c r="AU554">
        <f>IF(U554&gt;=AN554-0.01,1,0)</f>
        <v/>
      </c>
      <c r="AV554">
        <f>IF(V554&gt;=AO554-0.01,1,0)</f>
        <v/>
      </c>
      <c r="AW554">
        <f>IF(W554&gt;=AP554-0.01,1,0)</f>
        <v/>
      </c>
      <c r="AX554">
        <f>AQ554*AR554*AS554*AT554*AU554*AV554*AW554</f>
        <v/>
      </c>
      <c r="AY554">
        <f>Assumptions!$B$41</f>
        <v/>
      </c>
      <c r="AZ554">
        <f>Assumptions!$B$33</f>
        <v/>
      </c>
      <c r="BA554">
        <f>Assumptions!$B$32</f>
        <v/>
      </c>
      <c r="BB554">
        <f>Assumptions!$B$31</f>
        <v/>
      </c>
      <c r="BC554">
        <f>Assumptions!$B$30</f>
        <v/>
      </c>
      <c r="BD554">
        <f>Assumptions!$B$29</f>
        <v/>
      </c>
      <c r="BE554">
        <f>Assumptions!$B$28</f>
        <v/>
      </c>
      <c r="BF554">
        <f>P554*Assumptions!$B$141</f>
        <v/>
      </c>
      <c r="BG554">
        <f>P554*Assumptions!$B$128</f>
        <v/>
      </c>
      <c r="BH554">
        <f>P554*Assumptions!$B$129</f>
        <v/>
      </c>
      <c r="BI554">
        <f>P554*Assumptions!$B$14</f>
        <v/>
      </c>
      <c r="BJ554">
        <f>P554*Assumptions!$B$13</f>
        <v/>
      </c>
      <c r="BK554">
        <f>P554*Assumptions!$B$12</f>
        <v/>
      </c>
      <c r="BL554">
        <f>P554*Assumptions!$B$11</f>
        <v/>
      </c>
    </row>
    <row r="555">
      <c r="A555" t="inlineStr">
        <is>
          <t>4000M</t>
        </is>
      </c>
      <c r="B555">
        <f>Assumptions!$B$61</f>
        <v/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>
        <f>(1-C555)*Assumptions!$B$41+(1-D555)*Assumptions!$B$33+(1-E555)*Assumptions!$B$32+(1-F555)*Assumptions!$B$31+(1-G555)*Assumptions!$B$30+(1-H555)*Assumptions!$B$29+(1-I555)*Assumptions!$B$28</f>
        <v/>
      </c>
      <c r="K555">
        <f>C555*Assumptions!$B$141+D555*Assumptions!$B$128+E555*Assumptions!$B$129+F555*Assumptions!$B$14+G555*Assumptions!$B$13+H555*Assumptions!$B$12+I555*Assumptions!$B$11+Assumptions!$B$133+Assumptions!$B$137+Assumptions!$B$9</f>
        <v/>
      </c>
      <c r="L555">
        <f>B555-J555</f>
        <v/>
      </c>
      <c r="M555">
        <f>IF(K555&gt;0,IF(L555/K555&gt;=Assumptions!$B$37,1,0),0)</f>
        <v/>
      </c>
      <c r="N555">
        <f>K555+M555*Assumptions!$B$153</f>
        <v/>
      </c>
      <c r="O555">
        <f>L555+M555*Assumptions!$B$153*Assumptions!$B$37</f>
        <v/>
      </c>
      <c r="P555">
        <f>IF(N555&gt;0,O555/N555,0)</f>
        <v/>
      </c>
      <c r="Q555">
        <f>IF(C555=1,P555*Assumptions!$B$141,Assumptions!$B$41)</f>
        <v/>
      </c>
      <c r="R555">
        <f>IF(D555=1,P555*Assumptions!$B$128,Assumptions!$B$33)</f>
        <v/>
      </c>
      <c r="S555">
        <f>IF(E555=1,P555*Assumptions!$B$129,Assumptions!$B$32)</f>
        <v/>
      </c>
      <c r="T555">
        <f>IF(F555=1,P555*Assumptions!$B$14,Assumptions!$B$31)</f>
        <v/>
      </c>
      <c r="U555">
        <f>IF(G555=1,P555*Assumptions!$B$13,Assumptions!$B$30)</f>
        <v/>
      </c>
      <c r="V555">
        <f>IF(H555=1,P555*Assumptions!$B$12,Assumptions!$B$29)</f>
        <v/>
      </c>
      <c r="W555">
        <f>IF(I555=1,P555*Assumptions!$B$11,Assumptions!$B$28)</f>
        <v/>
      </c>
      <c r="X555">
        <f>P555*(Assumptions!$B$133+Assumptions!$B$137)</f>
        <v/>
      </c>
      <c r="Y555">
        <f>P555*Assumptions!$B$9</f>
        <v/>
      </c>
      <c r="Z555">
        <f>IF(M555=1,(P555-Assumptions!$B$37)*Assumptions!$B$153,0)</f>
        <v/>
      </c>
      <c r="AA555">
        <f>Q555+R555+S555+T555+U555+V555+W555+X555+Y555+Z555</f>
        <v/>
      </c>
      <c r="AB555" t="n">
        <v>120</v>
      </c>
      <c r="AC555" t="n">
        <v>56</v>
      </c>
      <c r="AD555" t="n">
        <v>88</v>
      </c>
      <c r="AE555" t="n">
        <v>104</v>
      </c>
      <c r="AF555" t="n">
        <v>112</v>
      </c>
      <c r="AG555" t="n">
        <v>124</v>
      </c>
      <c r="AH555" t="n">
        <v>122</v>
      </c>
      <c r="AI555" t="n">
        <v>121</v>
      </c>
      <c r="AJ555">
        <f>INDEX($Q$435:$Q$562,AC555+1)</f>
        <v/>
      </c>
      <c r="AK555">
        <f>INDEX($R$435:$R$562,AD555+1)</f>
        <v/>
      </c>
      <c r="AL555">
        <f>INDEX($S$435:$S$562,AE555+1)</f>
        <v/>
      </c>
      <c r="AM555">
        <f>INDEX($T$435:$T$562,AF555+1)</f>
        <v/>
      </c>
      <c r="AN555">
        <f>INDEX($U$435:$U$562,AG555+1)</f>
        <v/>
      </c>
      <c r="AO555">
        <f>INDEX($V$435:$V$562,AH555+1)</f>
        <v/>
      </c>
      <c r="AP555">
        <f>INDEX($W$435:$W$562,AI555+1)</f>
        <v/>
      </c>
      <c r="AQ555">
        <f>IF(Q555&gt;=AJ555-0.01,1,0)</f>
        <v/>
      </c>
      <c r="AR555">
        <f>IF(R555&gt;=AK555-0.01,1,0)</f>
        <v/>
      </c>
      <c r="AS555">
        <f>IF(S555&gt;=AL555-0.01,1,0)</f>
        <v/>
      </c>
      <c r="AT555">
        <f>IF(T555&gt;=AM555-0.01,1,0)</f>
        <v/>
      </c>
      <c r="AU555">
        <f>IF(U555&gt;=AN555-0.01,1,0)</f>
        <v/>
      </c>
      <c r="AV555">
        <f>IF(V555&gt;=AO555-0.01,1,0)</f>
        <v/>
      </c>
      <c r="AW555">
        <f>IF(W555&gt;=AP555-0.01,1,0)</f>
        <v/>
      </c>
      <c r="AX555">
        <f>AQ555*AR555*AS555*AT555*AU555*AV555*AW555</f>
        <v/>
      </c>
      <c r="AY555">
        <f>Assumptions!$B$41</f>
        <v/>
      </c>
      <c r="AZ555">
        <f>Assumptions!$B$33</f>
        <v/>
      </c>
      <c r="BA555">
        <f>Assumptions!$B$32</f>
        <v/>
      </c>
      <c r="BB555">
        <f>Assumptions!$B$31</f>
        <v/>
      </c>
      <c r="BC555">
        <f>Assumptions!$B$30</f>
        <v/>
      </c>
      <c r="BD555">
        <f>Assumptions!$B$29</f>
        <v/>
      </c>
      <c r="BE555">
        <f>Assumptions!$B$28</f>
        <v/>
      </c>
      <c r="BF555">
        <f>P555*Assumptions!$B$141</f>
        <v/>
      </c>
      <c r="BG555">
        <f>P555*Assumptions!$B$128</f>
        <v/>
      </c>
      <c r="BH555">
        <f>P555*Assumptions!$B$129</f>
        <v/>
      </c>
      <c r="BI555">
        <f>P555*Assumptions!$B$14</f>
        <v/>
      </c>
      <c r="BJ555">
        <f>P555*Assumptions!$B$13</f>
        <v/>
      </c>
      <c r="BK555">
        <f>P555*Assumptions!$B$12</f>
        <v/>
      </c>
      <c r="BL555">
        <f>P555*Assumptions!$B$11</f>
        <v/>
      </c>
    </row>
    <row r="556">
      <c r="A556" t="inlineStr">
        <is>
          <t>4000M</t>
        </is>
      </c>
      <c r="B556">
        <f>Assumptions!$B$61</f>
        <v/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>
        <f>(1-C556)*Assumptions!$B$41+(1-D556)*Assumptions!$B$33+(1-E556)*Assumptions!$B$32+(1-F556)*Assumptions!$B$31+(1-G556)*Assumptions!$B$30+(1-H556)*Assumptions!$B$29+(1-I556)*Assumptions!$B$28</f>
        <v/>
      </c>
      <c r="K556">
        <f>C556*Assumptions!$B$141+D556*Assumptions!$B$128+E556*Assumptions!$B$129+F556*Assumptions!$B$14+G556*Assumptions!$B$13+H556*Assumptions!$B$12+I556*Assumptions!$B$11+Assumptions!$B$133+Assumptions!$B$137+Assumptions!$B$9</f>
        <v/>
      </c>
      <c r="L556">
        <f>B556-J556</f>
        <v/>
      </c>
      <c r="M556">
        <f>IF(K556&gt;0,IF(L556/K556&gt;=Assumptions!$B$37,1,0),0)</f>
        <v/>
      </c>
      <c r="N556">
        <f>K556+M556*Assumptions!$B$153</f>
        <v/>
      </c>
      <c r="O556">
        <f>L556+M556*Assumptions!$B$153*Assumptions!$B$37</f>
        <v/>
      </c>
      <c r="P556">
        <f>IF(N556&gt;0,O556/N556,0)</f>
        <v/>
      </c>
      <c r="Q556">
        <f>IF(C556=1,P556*Assumptions!$B$141,Assumptions!$B$41)</f>
        <v/>
      </c>
      <c r="R556">
        <f>IF(D556=1,P556*Assumptions!$B$128,Assumptions!$B$33)</f>
        <v/>
      </c>
      <c r="S556">
        <f>IF(E556=1,P556*Assumptions!$B$129,Assumptions!$B$32)</f>
        <v/>
      </c>
      <c r="T556">
        <f>IF(F556=1,P556*Assumptions!$B$14,Assumptions!$B$31)</f>
        <v/>
      </c>
      <c r="U556">
        <f>IF(G556=1,P556*Assumptions!$B$13,Assumptions!$B$30)</f>
        <v/>
      </c>
      <c r="V556">
        <f>IF(H556=1,P556*Assumptions!$B$12,Assumptions!$B$29)</f>
        <v/>
      </c>
      <c r="W556">
        <f>IF(I556=1,P556*Assumptions!$B$11,Assumptions!$B$28)</f>
        <v/>
      </c>
      <c r="X556">
        <f>P556*(Assumptions!$B$133+Assumptions!$B$137)</f>
        <v/>
      </c>
      <c r="Y556">
        <f>P556*Assumptions!$B$9</f>
        <v/>
      </c>
      <c r="Z556">
        <f>IF(M556=1,(P556-Assumptions!$B$37)*Assumptions!$B$153,0)</f>
        <v/>
      </c>
      <c r="AA556">
        <f>Q556+R556+S556+T556+U556+V556+W556+X556+Y556+Z556</f>
        <v/>
      </c>
      <c r="AB556" t="n">
        <v>121</v>
      </c>
      <c r="AC556" t="n">
        <v>57</v>
      </c>
      <c r="AD556" t="n">
        <v>89</v>
      </c>
      <c r="AE556" t="n">
        <v>105</v>
      </c>
      <c r="AF556" t="n">
        <v>113</v>
      </c>
      <c r="AG556" t="n">
        <v>125</v>
      </c>
      <c r="AH556" t="n">
        <v>123</v>
      </c>
      <c r="AI556" t="n">
        <v>120</v>
      </c>
      <c r="AJ556">
        <f>INDEX($Q$435:$Q$562,AC556+1)</f>
        <v/>
      </c>
      <c r="AK556">
        <f>INDEX($R$435:$R$562,AD556+1)</f>
        <v/>
      </c>
      <c r="AL556">
        <f>INDEX($S$435:$S$562,AE556+1)</f>
        <v/>
      </c>
      <c r="AM556">
        <f>INDEX($T$435:$T$562,AF556+1)</f>
        <v/>
      </c>
      <c r="AN556">
        <f>INDEX($U$435:$U$562,AG556+1)</f>
        <v/>
      </c>
      <c r="AO556">
        <f>INDEX($V$435:$V$562,AH556+1)</f>
        <v/>
      </c>
      <c r="AP556">
        <f>INDEX($W$435:$W$562,AI556+1)</f>
        <v/>
      </c>
      <c r="AQ556">
        <f>IF(Q556&gt;=AJ556-0.01,1,0)</f>
        <v/>
      </c>
      <c r="AR556">
        <f>IF(R556&gt;=AK556-0.01,1,0)</f>
        <v/>
      </c>
      <c r="AS556">
        <f>IF(S556&gt;=AL556-0.01,1,0)</f>
        <v/>
      </c>
      <c r="AT556">
        <f>IF(T556&gt;=AM556-0.01,1,0)</f>
        <v/>
      </c>
      <c r="AU556">
        <f>IF(U556&gt;=AN556-0.01,1,0)</f>
        <v/>
      </c>
      <c r="AV556">
        <f>IF(V556&gt;=AO556-0.01,1,0)</f>
        <v/>
      </c>
      <c r="AW556">
        <f>IF(W556&gt;=AP556-0.01,1,0)</f>
        <v/>
      </c>
      <c r="AX556">
        <f>AQ556*AR556*AS556*AT556*AU556*AV556*AW556</f>
        <v/>
      </c>
      <c r="AY556">
        <f>Assumptions!$B$41</f>
        <v/>
      </c>
      <c r="AZ556">
        <f>Assumptions!$B$33</f>
        <v/>
      </c>
      <c r="BA556">
        <f>Assumptions!$B$32</f>
        <v/>
      </c>
      <c r="BB556">
        <f>Assumptions!$B$31</f>
        <v/>
      </c>
      <c r="BC556">
        <f>Assumptions!$B$30</f>
        <v/>
      </c>
      <c r="BD556">
        <f>Assumptions!$B$29</f>
        <v/>
      </c>
      <c r="BE556">
        <f>Assumptions!$B$28</f>
        <v/>
      </c>
      <c r="BF556">
        <f>P556*Assumptions!$B$141</f>
        <v/>
      </c>
      <c r="BG556">
        <f>P556*Assumptions!$B$128</f>
        <v/>
      </c>
      <c r="BH556">
        <f>P556*Assumptions!$B$129</f>
        <v/>
      </c>
      <c r="BI556">
        <f>P556*Assumptions!$B$14</f>
        <v/>
      </c>
      <c r="BJ556">
        <f>P556*Assumptions!$B$13</f>
        <v/>
      </c>
      <c r="BK556">
        <f>P556*Assumptions!$B$12</f>
        <v/>
      </c>
      <c r="BL556">
        <f>P556*Assumptions!$B$11</f>
        <v/>
      </c>
    </row>
    <row r="557">
      <c r="A557" t="inlineStr">
        <is>
          <t>4000M</t>
        </is>
      </c>
      <c r="B557">
        <f>Assumptions!$B$61</f>
        <v/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>
        <f>(1-C557)*Assumptions!$B$41+(1-D557)*Assumptions!$B$33+(1-E557)*Assumptions!$B$32+(1-F557)*Assumptions!$B$31+(1-G557)*Assumptions!$B$30+(1-H557)*Assumptions!$B$29+(1-I557)*Assumptions!$B$28</f>
        <v/>
      </c>
      <c r="K557">
        <f>C557*Assumptions!$B$141+D557*Assumptions!$B$128+E557*Assumptions!$B$129+F557*Assumptions!$B$14+G557*Assumptions!$B$13+H557*Assumptions!$B$12+I557*Assumptions!$B$11+Assumptions!$B$133+Assumptions!$B$137+Assumptions!$B$9</f>
        <v/>
      </c>
      <c r="L557">
        <f>B557-J557</f>
        <v/>
      </c>
      <c r="M557">
        <f>IF(K557&gt;0,IF(L557/K557&gt;=Assumptions!$B$37,1,0),0)</f>
        <v/>
      </c>
      <c r="N557">
        <f>K557+M557*Assumptions!$B$153</f>
        <v/>
      </c>
      <c r="O557">
        <f>L557+M557*Assumptions!$B$153*Assumptions!$B$37</f>
        <v/>
      </c>
      <c r="P557">
        <f>IF(N557&gt;0,O557/N557,0)</f>
        <v/>
      </c>
      <c r="Q557">
        <f>IF(C557=1,P557*Assumptions!$B$141,Assumptions!$B$41)</f>
        <v/>
      </c>
      <c r="R557">
        <f>IF(D557=1,P557*Assumptions!$B$128,Assumptions!$B$33)</f>
        <v/>
      </c>
      <c r="S557">
        <f>IF(E557=1,P557*Assumptions!$B$129,Assumptions!$B$32)</f>
        <v/>
      </c>
      <c r="T557">
        <f>IF(F557=1,P557*Assumptions!$B$14,Assumptions!$B$31)</f>
        <v/>
      </c>
      <c r="U557">
        <f>IF(G557=1,P557*Assumptions!$B$13,Assumptions!$B$30)</f>
        <v/>
      </c>
      <c r="V557">
        <f>IF(H557=1,P557*Assumptions!$B$12,Assumptions!$B$29)</f>
        <v/>
      </c>
      <c r="W557">
        <f>IF(I557=1,P557*Assumptions!$B$11,Assumptions!$B$28)</f>
        <v/>
      </c>
      <c r="X557">
        <f>P557*(Assumptions!$B$133+Assumptions!$B$137)</f>
        <v/>
      </c>
      <c r="Y557">
        <f>P557*Assumptions!$B$9</f>
        <v/>
      </c>
      <c r="Z557">
        <f>IF(M557=1,(P557-Assumptions!$B$37)*Assumptions!$B$153,0)</f>
        <v/>
      </c>
      <c r="AA557">
        <f>Q557+R557+S557+T557+U557+V557+W557+X557+Y557+Z557</f>
        <v/>
      </c>
      <c r="AB557" t="n">
        <v>122</v>
      </c>
      <c r="AC557" t="n">
        <v>58</v>
      </c>
      <c r="AD557" t="n">
        <v>90</v>
      </c>
      <c r="AE557" t="n">
        <v>106</v>
      </c>
      <c r="AF557" t="n">
        <v>114</v>
      </c>
      <c r="AG557" t="n">
        <v>126</v>
      </c>
      <c r="AH557" t="n">
        <v>120</v>
      </c>
      <c r="AI557" t="n">
        <v>123</v>
      </c>
      <c r="AJ557">
        <f>INDEX($Q$435:$Q$562,AC557+1)</f>
        <v/>
      </c>
      <c r="AK557">
        <f>INDEX($R$435:$R$562,AD557+1)</f>
        <v/>
      </c>
      <c r="AL557">
        <f>INDEX($S$435:$S$562,AE557+1)</f>
        <v/>
      </c>
      <c r="AM557">
        <f>INDEX($T$435:$T$562,AF557+1)</f>
        <v/>
      </c>
      <c r="AN557">
        <f>INDEX($U$435:$U$562,AG557+1)</f>
        <v/>
      </c>
      <c r="AO557">
        <f>INDEX($V$435:$V$562,AH557+1)</f>
        <v/>
      </c>
      <c r="AP557">
        <f>INDEX($W$435:$W$562,AI557+1)</f>
        <v/>
      </c>
      <c r="AQ557">
        <f>IF(Q557&gt;=AJ557-0.01,1,0)</f>
        <v/>
      </c>
      <c r="AR557">
        <f>IF(R557&gt;=AK557-0.01,1,0)</f>
        <v/>
      </c>
      <c r="AS557">
        <f>IF(S557&gt;=AL557-0.01,1,0)</f>
        <v/>
      </c>
      <c r="AT557">
        <f>IF(T557&gt;=AM557-0.01,1,0)</f>
        <v/>
      </c>
      <c r="AU557">
        <f>IF(U557&gt;=AN557-0.01,1,0)</f>
        <v/>
      </c>
      <c r="AV557">
        <f>IF(V557&gt;=AO557-0.01,1,0)</f>
        <v/>
      </c>
      <c r="AW557">
        <f>IF(W557&gt;=AP557-0.01,1,0)</f>
        <v/>
      </c>
      <c r="AX557">
        <f>AQ557*AR557*AS557*AT557*AU557*AV557*AW557</f>
        <v/>
      </c>
      <c r="AY557">
        <f>Assumptions!$B$41</f>
        <v/>
      </c>
      <c r="AZ557">
        <f>Assumptions!$B$33</f>
        <v/>
      </c>
      <c r="BA557">
        <f>Assumptions!$B$32</f>
        <v/>
      </c>
      <c r="BB557">
        <f>Assumptions!$B$31</f>
        <v/>
      </c>
      <c r="BC557">
        <f>Assumptions!$B$30</f>
        <v/>
      </c>
      <c r="BD557">
        <f>Assumptions!$B$29</f>
        <v/>
      </c>
      <c r="BE557">
        <f>Assumptions!$B$28</f>
        <v/>
      </c>
      <c r="BF557">
        <f>P557*Assumptions!$B$141</f>
        <v/>
      </c>
      <c r="BG557">
        <f>P557*Assumptions!$B$128</f>
        <v/>
      </c>
      <c r="BH557">
        <f>P557*Assumptions!$B$129</f>
        <v/>
      </c>
      <c r="BI557">
        <f>P557*Assumptions!$B$14</f>
        <v/>
      </c>
      <c r="BJ557">
        <f>P557*Assumptions!$B$13</f>
        <v/>
      </c>
      <c r="BK557">
        <f>P557*Assumptions!$B$12</f>
        <v/>
      </c>
      <c r="BL557">
        <f>P557*Assumptions!$B$11</f>
        <v/>
      </c>
    </row>
    <row r="558">
      <c r="A558" t="inlineStr">
        <is>
          <t>4000M</t>
        </is>
      </c>
      <c r="B558">
        <f>Assumptions!$B$61</f>
        <v/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1</v>
      </c>
      <c r="J558">
        <f>(1-C558)*Assumptions!$B$41+(1-D558)*Assumptions!$B$33+(1-E558)*Assumptions!$B$32+(1-F558)*Assumptions!$B$31+(1-G558)*Assumptions!$B$30+(1-H558)*Assumptions!$B$29+(1-I558)*Assumptions!$B$28</f>
        <v/>
      </c>
      <c r="K558">
        <f>C558*Assumptions!$B$141+D558*Assumptions!$B$128+E558*Assumptions!$B$129+F558*Assumptions!$B$14+G558*Assumptions!$B$13+H558*Assumptions!$B$12+I558*Assumptions!$B$11+Assumptions!$B$133+Assumptions!$B$137+Assumptions!$B$9</f>
        <v/>
      </c>
      <c r="L558">
        <f>B558-J558</f>
        <v/>
      </c>
      <c r="M558">
        <f>IF(K558&gt;0,IF(L558/K558&gt;=Assumptions!$B$37,1,0),0)</f>
        <v/>
      </c>
      <c r="N558">
        <f>K558+M558*Assumptions!$B$153</f>
        <v/>
      </c>
      <c r="O558">
        <f>L558+M558*Assumptions!$B$153*Assumptions!$B$37</f>
        <v/>
      </c>
      <c r="P558">
        <f>IF(N558&gt;0,O558/N558,0)</f>
        <v/>
      </c>
      <c r="Q558">
        <f>IF(C558=1,P558*Assumptions!$B$141,Assumptions!$B$41)</f>
        <v/>
      </c>
      <c r="R558">
        <f>IF(D558=1,P558*Assumptions!$B$128,Assumptions!$B$33)</f>
        <v/>
      </c>
      <c r="S558">
        <f>IF(E558=1,P558*Assumptions!$B$129,Assumptions!$B$32)</f>
        <v/>
      </c>
      <c r="T558">
        <f>IF(F558=1,P558*Assumptions!$B$14,Assumptions!$B$31)</f>
        <v/>
      </c>
      <c r="U558">
        <f>IF(G558=1,P558*Assumptions!$B$13,Assumptions!$B$30)</f>
        <v/>
      </c>
      <c r="V558">
        <f>IF(H558=1,P558*Assumptions!$B$12,Assumptions!$B$29)</f>
        <v/>
      </c>
      <c r="W558">
        <f>IF(I558=1,P558*Assumptions!$B$11,Assumptions!$B$28)</f>
        <v/>
      </c>
      <c r="X558">
        <f>P558*(Assumptions!$B$133+Assumptions!$B$137)</f>
        <v/>
      </c>
      <c r="Y558">
        <f>P558*Assumptions!$B$9</f>
        <v/>
      </c>
      <c r="Z558">
        <f>IF(M558=1,(P558-Assumptions!$B$37)*Assumptions!$B$153,0)</f>
        <v/>
      </c>
      <c r="AA558">
        <f>Q558+R558+S558+T558+U558+V558+W558+X558+Y558+Z558</f>
        <v/>
      </c>
      <c r="AB558" t="n">
        <v>123</v>
      </c>
      <c r="AC558" t="n">
        <v>59</v>
      </c>
      <c r="AD558" t="n">
        <v>91</v>
      </c>
      <c r="AE558" t="n">
        <v>107</v>
      </c>
      <c r="AF558" t="n">
        <v>115</v>
      </c>
      <c r="AG558" t="n">
        <v>127</v>
      </c>
      <c r="AH558" t="n">
        <v>121</v>
      </c>
      <c r="AI558" t="n">
        <v>122</v>
      </c>
      <c r="AJ558">
        <f>INDEX($Q$435:$Q$562,AC558+1)</f>
        <v/>
      </c>
      <c r="AK558">
        <f>INDEX($R$435:$R$562,AD558+1)</f>
        <v/>
      </c>
      <c r="AL558">
        <f>INDEX($S$435:$S$562,AE558+1)</f>
        <v/>
      </c>
      <c r="AM558">
        <f>INDEX($T$435:$T$562,AF558+1)</f>
        <v/>
      </c>
      <c r="AN558">
        <f>INDEX($U$435:$U$562,AG558+1)</f>
        <v/>
      </c>
      <c r="AO558">
        <f>INDEX($V$435:$V$562,AH558+1)</f>
        <v/>
      </c>
      <c r="AP558">
        <f>INDEX($W$435:$W$562,AI558+1)</f>
        <v/>
      </c>
      <c r="AQ558">
        <f>IF(Q558&gt;=AJ558-0.01,1,0)</f>
        <v/>
      </c>
      <c r="AR558">
        <f>IF(R558&gt;=AK558-0.01,1,0)</f>
        <v/>
      </c>
      <c r="AS558">
        <f>IF(S558&gt;=AL558-0.01,1,0)</f>
        <v/>
      </c>
      <c r="AT558">
        <f>IF(T558&gt;=AM558-0.01,1,0)</f>
        <v/>
      </c>
      <c r="AU558">
        <f>IF(U558&gt;=AN558-0.01,1,0)</f>
        <v/>
      </c>
      <c r="AV558">
        <f>IF(V558&gt;=AO558-0.01,1,0)</f>
        <v/>
      </c>
      <c r="AW558">
        <f>IF(W558&gt;=AP558-0.01,1,0)</f>
        <v/>
      </c>
      <c r="AX558">
        <f>AQ558*AR558*AS558*AT558*AU558*AV558*AW558</f>
        <v/>
      </c>
      <c r="AY558">
        <f>Assumptions!$B$41</f>
        <v/>
      </c>
      <c r="AZ558">
        <f>Assumptions!$B$33</f>
        <v/>
      </c>
      <c r="BA558">
        <f>Assumptions!$B$32</f>
        <v/>
      </c>
      <c r="BB558">
        <f>Assumptions!$B$31</f>
        <v/>
      </c>
      <c r="BC558">
        <f>Assumptions!$B$30</f>
        <v/>
      </c>
      <c r="BD558">
        <f>Assumptions!$B$29</f>
        <v/>
      </c>
      <c r="BE558">
        <f>Assumptions!$B$28</f>
        <v/>
      </c>
      <c r="BF558">
        <f>P558*Assumptions!$B$141</f>
        <v/>
      </c>
      <c r="BG558">
        <f>P558*Assumptions!$B$128</f>
        <v/>
      </c>
      <c r="BH558">
        <f>P558*Assumptions!$B$129</f>
        <v/>
      </c>
      <c r="BI558">
        <f>P558*Assumptions!$B$14</f>
        <v/>
      </c>
      <c r="BJ558">
        <f>P558*Assumptions!$B$13</f>
        <v/>
      </c>
      <c r="BK558">
        <f>P558*Assumptions!$B$12</f>
        <v/>
      </c>
      <c r="BL558">
        <f>P558*Assumptions!$B$11</f>
        <v/>
      </c>
    </row>
    <row r="559">
      <c r="A559" t="inlineStr">
        <is>
          <t>4000M</t>
        </is>
      </c>
      <c r="B559">
        <f>Assumptions!$B$61</f>
        <v/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>
        <f>(1-C559)*Assumptions!$B$41+(1-D559)*Assumptions!$B$33+(1-E559)*Assumptions!$B$32+(1-F559)*Assumptions!$B$31+(1-G559)*Assumptions!$B$30+(1-H559)*Assumptions!$B$29+(1-I559)*Assumptions!$B$28</f>
        <v/>
      </c>
      <c r="K559">
        <f>C559*Assumptions!$B$141+D559*Assumptions!$B$128+E559*Assumptions!$B$129+F559*Assumptions!$B$14+G559*Assumptions!$B$13+H559*Assumptions!$B$12+I559*Assumptions!$B$11+Assumptions!$B$133+Assumptions!$B$137+Assumptions!$B$9</f>
        <v/>
      </c>
      <c r="L559">
        <f>B559-J559</f>
        <v/>
      </c>
      <c r="M559">
        <f>IF(K559&gt;0,IF(L559/K559&gt;=Assumptions!$B$37,1,0),0)</f>
        <v/>
      </c>
      <c r="N559">
        <f>K559+M559*Assumptions!$B$153</f>
        <v/>
      </c>
      <c r="O559">
        <f>L559+M559*Assumptions!$B$153*Assumptions!$B$37</f>
        <v/>
      </c>
      <c r="P559">
        <f>IF(N559&gt;0,O559/N559,0)</f>
        <v/>
      </c>
      <c r="Q559">
        <f>IF(C559=1,P559*Assumptions!$B$141,Assumptions!$B$41)</f>
        <v/>
      </c>
      <c r="R559">
        <f>IF(D559=1,P559*Assumptions!$B$128,Assumptions!$B$33)</f>
        <v/>
      </c>
      <c r="S559">
        <f>IF(E559=1,P559*Assumptions!$B$129,Assumptions!$B$32)</f>
        <v/>
      </c>
      <c r="T559">
        <f>IF(F559=1,P559*Assumptions!$B$14,Assumptions!$B$31)</f>
        <v/>
      </c>
      <c r="U559">
        <f>IF(G559=1,P559*Assumptions!$B$13,Assumptions!$B$30)</f>
        <v/>
      </c>
      <c r="V559">
        <f>IF(H559=1,P559*Assumptions!$B$12,Assumptions!$B$29)</f>
        <v/>
      </c>
      <c r="W559">
        <f>IF(I559=1,P559*Assumptions!$B$11,Assumptions!$B$28)</f>
        <v/>
      </c>
      <c r="X559">
        <f>P559*(Assumptions!$B$133+Assumptions!$B$137)</f>
        <v/>
      </c>
      <c r="Y559">
        <f>P559*Assumptions!$B$9</f>
        <v/>
      </c>
      <c r="Z559">
        <f>IF(M559=1,(P559-Assumptions!$B$37)*Assumptions!$B$153,0)</f>
        <v/>
      </c>
      <c r="AA559">
        <f>Q559+R559+S559+T559+U559+V559+W559+X559+Y559+Z559</f>
        <v/>
      </c>
      <c r="AB559" t="n">
        <v>124</v>
      </c>
      <c r="AC559" t="n">
        <v>60</v>
      </c>
      <c r="AD559" t="n">
        <v>92</v>
      </c>
      <c r="AE559" t="n">
        <v>108</v>
      </c>
      <c r="AF559" t="n">
        <v>116</v>
      </c>
      <c r="AG559" t="n">
        <v>120</v>
      </c>
      <c r="AH559" t="n">
        <v>126</v>
      </c>
      <c r="AI559" t="n">
        <v>125</v>
      </c>
      <c r="AJ559">
        <f>INDEX($Q$435:$Q$562,AC559+1)</f>
        <v/>
      </c>
      <c r="AK559">
        <f>INDEX($R$435:$R$562,AD559+1)</f>
        <v/>
      </c>
      <c r="AL559">
        <f>INDEX($S$435:$S$562,AE559+1)</f>
        <v/>
      </c>
      <c r="AM559">
        <f>INDEX($T$435:$T$562,AF559+1)</f>
        <v/>
      </c>
      <c r="AN559">
        <f>INDEX($U$435:$U$562,AG559+1)</f>
        <v/>
      </c>
      <c r="AO559">
        <f>INDEX($V$435:$V$562,AH559+1)</f>
        <v/>
      </c>
      <c r="AP559">
        <f>INDEX($W$435:$W$562,AI559+1)</f>
        <v/>
      </c>
      <c r="AQ559">
        <f>IF(Q559&gt;=AJ559-0.01,1,0)</f>
        <v/>
      </c>
      <c r="AR559">
        <f>IF(R559&gt;=AK559-0.01,1,0)</f>
        <v/>
      </c>
      <c r="AS559">
        <f>IF(S559&gt;=AL559-0.01,1,0)</f>
        <v/>
      </c>
      <c r="AT559">
        <f>IF(T559&gt;=AM559-0.01,1,0)</f>
        <v/>
      </c>
      <c r="AU559">
        <f>IF(U559&gt;=AN559-0.01,1,0)</f>
        <v/>
      </c>
      <c r="AV559">
        <f>IF(V559&gt;=AO559-0.01,1,0)</f>
        <v/>
      </c>
      <c r="AW559">
        <f>IF(W559&gt;=AP559-0.01,1,0)</f>
        <v/>
      </c>
      <c r="AX559">
        <f>AQ559*AR559*AS559*AT559*AU559*AV559*AW559</f>
        <v/>
      </c>
      <c r="AY559">
        <f>Assumptions!$B$41</f>
        <v/>
      </c>
      <c r="AZ559">
        <f>Assumptions!$B$33</f>
        <v/>
      </c>
      <c r="BA559">
        <f>Assumptions!$B$32</f>
        <v/>
      </c>
      <c r="BB559">
        <f>Assumptions!$B$31</f>
        <v/>
      </c>
      <c r="BC559">
        <f>Assumptions!$B$30</f>
        <v/>
      </c>
      <c r="BD559">
        <f>Assumptions!$B$29</f>
        <v/>
      </c>
      <c r="BE559">
        <f>Assumptions!$B$28</f>
        <v/>
      </c>
      <c r="BF559">
        <f>P559*Assumptions!$B$141</f>
        <v/>
      </c>
      <c r="BG559">
        <f>P559*Assumptions!$B$128</f>
        <v/>
      </c>
      <c r="BH559">
        <f>P559*Assumptions!$B$129</f>
        <v/>
      </c>
      <c r="BI559">
        <f>P559*Assumptions!$B$14</f>
        <v/>
      </c>
      <c r="BJ559">
        <f>P559*Assumptions!$B$13</f>
        <v/>
      </c>
      <c r="BK559">
        <f>P559*Assumptions!$B$12</f>
        <v/>
      </c>
      <c r="BL559">
        <f>P559*Assumptions!$B$11</f>
        <v/>
      </c>
    </row>
    <row r="560">
      <c r="A560" t="inlineStr">
        <is>
          <t>4000M</t>
        </is>
      </c>
      <c r="B560">
        <f>Assumptions!$B$61</f>
        <v/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1</v>
      </c>
      <c r="J560">
        <f>(1-C560)*Assumptions!$B$41+(1-D560)*Assumptions!$B$33+(1-E560)*Assumptions!$B$32+(1-F560)*Assumptions!$B$31+(1-G560)*Assumptions!$B$30+(1-H560)*Assumptions!$B$29+(1-I560)*Assumptions!$B$28</f>
        <v/>
      </c>
      <c r="K560">
        <f>C560*Assumptions!$B$141+D560*Assumptions!$B$128+E560*Assumptions!$B$129+F560*Assumptions!$B$14+G560*Assumptions!$B$13+H560*Assumptions!$B$12+I560*Assumptions!$B$11+Assumptions!$B$133+Assumptions!$B$137+Assumptions!$B$9</f>
        <v/>
      </c>
      <c r="L560">
        <f>B560-J560</f>
        <v/>
      </c>
      <c r="M560">
        <f>IF(K560&gt;0,IF(L560/K560&gt;=Assumptions!$B$37,1,0),0)</f>
        <v/>
      </c>
      <c r="N560">
        <f>K560+M560*Assumptions!$B$153</f>
        <v/>
      </c>
      <c r="O560">
        <f>L560+M560*Assumptions!$B$153*Assumptions!$B$37</f>
        <v/>
      </c>
      <c r="P560">
        <f>IF(N560&gt;0,O560/N560,0)</f>
        <v/>
      </c>
      <c r="Q560">
        <f>IF(C560=1,P560*Assumptions!$B$141,Assumptions!$B$41)</f>
        <v/>
      </c>
      <c r="R560">
        <f>IF(D560=1,P560*Assumptions!$B$128,Assumptions!$B$33)</f>
        <v/>
      </c>
      <c r="S560">
        <f>IF(E560=1,P560*Assumptions!$B$129,Assumptions!$B$32)</f>
        <v/>
      </c>
      <c r="T560">
        <f>IF(F560=1,P560*Assumptions!$B$14,Assumptions!$B$31)</f>
        <v/>
      </c>
      <c r="U560">
        <f>IF(G560=1,P560*Assumptions!$B$13,Assumptions!$B$30)</f>
        <v/>
      </c>
      <c r="V560">
        <f>IF(H560=1,P560*Assumptions!$B$12,Assumptions!$B$29)</f>
        <v/>
      </c>
      <c r="W560">
        <f>IF(I560=1,P560*Assumptions!$B$11,Assumptions!$B$28)</f>
        <v/>
      </c>
      <c r="X560">
        <f>P560*(Assumptions!$B$133+Assumptions!$B$137)</f>
        <v/>
      </c>
      <c r="Y560">
        <f>P560*Assumptions!$B$9</f>
        <v/>
      </c>
      <c r="Z560">
        <f>IF(M560=1,(P560-Assumptions!$B$37)*Assumptions!$B$153,0)</f>
        <v/>
      </c>
      <c r="AA560">
        <f>Q560+R560+S560+T560+U560+V560+W560+X560+Y560+Z560</f>
        <v/>
      </c>
      <c r="AB560" t="n">
        <v>125</v>
      </c>
      <c r="AC560" t="n">
        <v>61</v>
      </c>
      <c r="AD560" t="n">
        <v>93</v>
      </c>
      <c r="AE560" t="n">
        <v>109</v>
      </c>
      <c r="AF560" t="n">
        <v>117</v>
      </c>
      <c r="AG560" t="n">
        <v>121</v>
      </c>
      <c r="AH560" t="n">
        <v>127</v>
      </c>
      <c r="AI560" t="n">
        <v>124</v>
      </c>
      <c r="AJ560">
        <f>INDEX($Q$435:$Q$562,AC560+1)</f>
        <v/>
      </c>
      <c r="AK560">
        <f>INDEX($R$435:$R$562,AD560+1)</f>
        <v/>
      </c>
      <c r="AL560">
        <f>INDEX($S$435:$S$562,AE560+1)</f>
        <v/>
      </c>
      <c r="AM560">
        <f>INDEX($T$435:$T$562,AF560+1)</f>
        <v/>
      </c>
      <c r="AN560">
        <f>INDEX($U$435:$U$562,AG560+1)</f>
        <v/>
      </c>
      <c r="AO560">
        <f>INDEX($V$435:$V$562,AH560+1)</f>
        <v/>
      </c>
      <c r="AP560">
        <f>INDEX($W$435:$W$562,AI560+1)</f>
        <v/>
      </c>
      <c r="AQ560">
        <f>IF(Q560&gt;=AJ560-0.01,1,0)</f>
        <v/>
      </c>
      <c r="AR560">
        <f>IF(R560&gt;=AK560-0.01,1,0)</f>
        <v/>
      </c>
      <c r="AS560">
        <f>IF(S560&gt;=AL560-0.01,1,0)</f>
        <v/>
      </c>
      <c r="AT560">
        <f>IF(T560&gt;=AM560-0.01,1,0)</f>
        <v/>
      </c>
      <c r="AU560">
        <f>IF(U560&gt;=AN560-0.01,1,0)</f>
        <v/>
      </c>
      <c r="AV560">
        <f>IF(V560&gt;=AO560-0.01,1,0)</f>
        <v/>
      </c>
      <c r="AW560">
        <f>IF(W560&gt;=AP560-0.01,1,0)</f>
        <v/>
      </c>
      <c r="AX560">
        <f>AQ560*AR560*AS560*AT560*AU560*AV560*AW560</f>
        <v/>
      </c>
      <c r="AY560">
        <f>Assumptions!$B$41</f>
        <v/>
      </c>
      <c r="AZ560">
        <f>Assumptions!$B$33</f>
        <v/>
      </c>
      <c r="BA560">
        <f>Assumptions!$B$32</f>
        <v/>
      </c>
      <c r="BB560">
        <f>Assumptions!$B$31</f>
        <v/>
      </c>
      <c r="BC560">
        <f>Assumptions!$B$30</f>
        <v/>
      </c>
      <c r="BD560">
        <f>Assumptions!$B$29</f>
        <v/>
      </c>
      <c r="BE560">
        <f>Assumptions!$B$28</f>
        <v/>
      </c>
      <c r="BF560">
        <f>P560*Assumptions!$B$141</f>
        <v/>
      </c>
      <c r="BG560">
        <f>P560*Assumptions!$B$128</f>
        <v/>
      </c>
      <c r="BH560">
        <f>P560*Assumptions!$B$129</f>
        <v/>
      </c>
      <c r="BI560">
        <f>P560*Assumptions!$B$14</f>
        <v/>
      </c>
      <c r="BJ560">
        <f>P560*Assumptions!$B$13</f>
        <v/>
      </c>
      <c r="BK560">
        <f>P560*Assumptions!$B$12</f>
        <v/>
      </c>
      <c r="BL560">
        <f>P560*Assumptions!$B$11</f>
        <v/>
      </c>
    </row>
    <row r="561">
      <c r="A561" t="inlineStr">
        <is>
          <t>4000M</t>
        </is>
      </c>
      <c r="B561">
        <f>Assumptions!$B$61</f>
        <v/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  <c r="J561">
        <f>(1-C561)*Assumptions!$B$41+(1-D561)*Assumptions!$B$33+(1-E561)*Assumptions!$B$32+(1-F561)*Assumptions!$B$31+(1-G561)*Assumptions!$B$30+(1-H561)*Assumptions!$B$29+(1-I561)*Assumptions!$B$28</f>
        <v/>
      </c>
      <c r="K561">
        <f>C561*Assumptions!$B$141+D561*Assumptions!$B$128+E561*Assumptions!$B$129+F561*Assumptions!$B$14+G561*Assumptions!$B$13+H561*Assumptions!$B$12+I561*Assumptions!$B$11+Assumptions!$B$133+Assumptions!$B$137+Assumptions!$B$9</f>
        <v/>
      </c>
      <c r="L561">
        <f>B561-J561</f>
        <v/>
      </c>
      <c r="M561">
        <f>IF(K561&gt;0,IF(L561/K561&gt;=Assumptions!$B$37,1,0),0)</f>
        <v/>
      </c>
      <c r="N561">
        <f>K561+M561*Assumptions!$B$153</f>
        <v/>
      </c>
      <c r="O561">
        <f>L561+M561*Assumptions!$B$153*Assumptions!$B$37</f>
        <v/>
      </c>
      <c r="P561">
        <f>IF(N561&gt;0,O561/N561,0)</f>
        <v/>
      </c>
      <c r="Q561">
        <f>IF(C561=1,P561*Assumptions!$B$141,Assumptions!$B$41)</f>
        <v/>
      </c>
      <c r="R561">
        <f>IF(D561=1,P561*Assumptions!$B$128,Assumptions!$B$33)</f>
        <v/>
      </c>
      <c r="S561">
        <f>IF(E561=1,P561*Assumptions!$B$129,Assumptions!$B$32)</f>
        <v/>
      </c>
      <c r="T561">
        <f>IF(F561=1,P561*Assumptions!$B$14,Assumptions!$B$31)</f>
        <v/>
      </c>
      <c r="U561">
        <f>IF(G561=1,P561*Assumptions!$B$13,Assumptions!$B$30)</f>
        <v/>
      </c>
      <c r="V561">
        <f>IF(H561=1,P561*Assumptions!$B$12,Assumptions!$B$29)</f>
        <v/>
      </c>
      <c r="W561">
        <f>IF(I561=1,P561*Assumptions!$B$11,Assumptions!$B$28)</f>
        <v/>
      </c>
      <c r="X561">
        <f>P561*(Assumptions!$B$133+Assumptions!$B$137)</f>
        <v/>
      </c>
      <c r="Y561">
        <f>P561*Assumptions!$B$9</f>
        <v/>
      </c>
      <c r="Z561">
        <f>IF(M561=1,(P561-Assumptions!$B$37)*Assumptions!$B$153,0)</f>
        <v/>
      </c>
      <c r="AA561">
        <f>Q561+R561+S561+T561+U561+V561+W561+X561+Y561+Z561</f>
        <v/>
      </c>
      <c r="AB561" t="n">
        <v>126</v>
      </c>
      <c r="AC561" t="n">
        <v>62</v>
      </c>
      <c r="AD561" t="n">
        <v>94</v>
      </c>
      <c r="AE561" t="n">
        <v>110</v>
      </c>
      <c r="AF561" t="n">
        <v>118</v>
      </c>
      <c r="AG561" t="n">
        <v>122</v>
      </c>
      <c r="AH561" t="n">
        <v>124</v>
      </c>
      <c r="AI561" t="n">
        <v>127</v>
      </c>
      <c r="AJ561">
        <f>INDEX($Q$435:$Q$562,AC561+1)</f>
        <v/>
      </c>
      <c r="AK561">
        <f>INDEX($R$435:$R$562,AD561+1)</f>
        <v/>
      </c>
      <c r="AL561">
        <f>INDEX($S$435:$S$562,AE561+1)</f>
        <v/>
      </c>
      <c r="AM561">
        <f>INDEX($T$435:$T$562,AF561+1)</f>
        <v/>
      </c>
      <c r="AN561">
        <f>INDEX($U$435:$U$562,AG561+1)</f>
        <v/>
      </c>
      <c r="AO561">
        <f>INDEX($V$435:$V$562,AH561+1)</f>
        <v/>
      </c>
      <c r="AP561">
        <f>INDEX($W$435:$W$562,AI561+1)</f>
        <v/>
      </c>
      <c r="AQ561">
        <f>IF(Q561&gt;=AJ561-0.01,1,0)</f>
        <v/>
      </c>
      <c r="AR561">
        <f>IF(R561&gt;=AK561-0.01,1,0)</f>
        <v/>
      </c>
      <c r="AS561">
        <f>IF(S561&gt;=AL561-0.01,1,0)</f>
        <v/>
      </c>
      <c r="AT561">
        <f>IF(T561&gt;=AM561-0.01,1,0)</f>
        <v/>
      </c>
      <c r="AU561">
        <f>IF(U561&gt;=AN561-0.01,1,0)</f>
        <v/>
      </c>
      <c r="AV561">
        <f>IF(V561&gt;=AO561-0.01,1,0)</f>
        <v/>
      </c>
      <c r="AW561">
        <f>IF(W561&gt;=AP561-0.01,1,0)</f>
        <v/>
      </c>
      <c r="AX561">
        <f>AQ561*AR561*AS561*AT561*AU561*AV561*AW561</f>
        <v/>
      </c>
      <c r="AY561">
        <f>Assumptions!$B$41</f>
        <v/>
      </c>
      <c r="AZ561">
        <f>Assumptions!$B$33</f>
        <v/>
      </c>
      <c r="BA561">
        <f>Assumptions!$B$32</f>
        <v/>
      </c>
      <c r="BB561">
        <f>Assumptions!$B$31</f>
        <v/>
      </c>
      <c r="BC561">
        <f>Assumptions!$B$30</f>
        <v/>
      </c>
      <c r="BD561">
        <f>Assumptions!$B$29</f>
        <v/>
      </c>
      <c r="BE561">
        <f>Assumptions!$B$28</f>
        <v/>
      </c>
      <c r="BF561">
        <f>P561*Assumptions!$B$141</f>
        <v/>
      </c>
      <c r="BG561">
        <f>P561*Assumptions!$B$128</f>
        <v/>
      </c>
      <c r="BH561">
        <f>P561*Assumptions!$B$129</f>
        <v/>
      </c>
      <c r="BI561">
        <f>P561*Assumptions!$B$14</f>
        <v/>
      </c>
      <c r="BJ561">
        <f>P561*Assumptions!$B$13</f>
        <v/>
      </c>
      <c r="BK561">
        <f>P561*Assumptions!$B$12</f>
        <v/>
      </c>
      <c r="BL561">
        <f>P561*Assumptions!$B$11</f>
        <v/>
      </c>
    </row>
    <row r="562">
      <c r="A562" t="inlineStr">
        <is>
          <t>4000M</t>
        </is>
      </c>
      <c r="B562">
        <f>Assumptions!$B$61</f>
        <v/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>
        <f>(1-C562)*Assumptions!$B$41+(1-D562)*Assumptions!$B$33+(1-E562)*Assumptions!$B$32+(1-F562)*Assumptions!$B$31+(1-G562)*Assumptions!$B$30+(1-H562)*Assumptions!$B$29+(1-I562)*Assumptions!$B$28</f>
        <v/>
      </c>
      <c r="K562">
        <f>C562*Assumptions!$B$141+D562*Assumptions!$B$128+E562*Assumptions!$B$129+F562*Assumptions!$B$14+G562*Assumptions!$B$13+H562*Assumptions!$B$12+I562*Assumptions!$B$11+Assumptions!$B$133+Assumptions!$B$137+Assumptions!$B$9</f>
        <v/>
      </c>
      <c r="L562">
        <f>B562-J562</f>
        <v/>
      </c>
      <c r="M562">
        <f>IF(K562&gt;0,IF(L562/K562&gt;=Assumptions!$B$37,1,0),0)</f>
        <v/>
      </c>
      <c r="N562">
        <f>K562+M562*Assumptions!$B$153</f>
        <v/>
      </c>
      <c r="O562">
        <f>L562+M562*Assumptions!$B$153*Assumptions!$B$37</f>
        <v/>
      </c>
      <c r="P562">
        <f>IF(N562&gt;0,O562/N562,0)</f>
        <v/>
      </c>
      <c r="Q562">
        <f>IF(C562=1,P562*Assumptions!$B$141,Assumptions!$B$41)</f>
        <v/>
      </c>
      <c r="R562">
        <f>IF(D562=1,P562*Assumptions!$B$128,Assumptions!$B$33)</f>
        <v/>
      </c>
      <c r="S562">
        <f>IF(E562=1,P562*Assumptions!$B$129,Assumptions!$B$32)</f>
        <v/>
      </c>
      <c r="T562">
        <f>IF(F562=1,P562*Assumptions!$B$14,Assumptions!$B$31)</f>
        <v/>
      </c>
      <c r="U562">
        <f>IF(G562=1,P562*Assumptions!$B$13,Assumptions!$B$30)</f>
        <v/>
      </c>
      <c r="V562">
        <f>IF(H562=1,P562*Assumptions!$B$12,Assumptions!$B$29)</f>
        <v/>
      </c>
      <c r="W562">
        <f>IF(I562=1,P562*Assumptions!$B$11,Assumptions!$B$28)</f>
        <v/>
      </c>
      <c r="X562">
        <f>P562*(Assumptions!$B$133+Assumptions!$B$137)</f>
        <v/>
      </c>
      <c r="Y562">
        <f>P562*Assumptions!$B$9</f>
        <v/>
      </c>
      <c r="Z562">
        <f>IF(M562=1,(P562-Assumptions!$B$37)*Assumptions!$B$153,0)</f>
        <v/>
      </c>
      <c r="AA562">
        <f>Q562+R562+S562+T562+U562+V562+W562+X562+Y562+Z562</f>
        <v/>
      </c>
      <c r="AB562" t="n">
        <v>127</v>
      </c>
      <c r="AC562" t="n">
        <v>63</v>
      </c>
      <c r="AD562" t="n">
        <v>95</v>
      </c>
      <c r="AE562" t="n">
        <v>111</v>
      </c>
      <c r="AF562" t="n">
        <v>119</v>
      </c>
      <c r="AG562" t="n">
        <v>123</v>
      </c>
      <c r="AH562" t="n">
        <v>125</v>
      </c>
      <c r="AI562" t="n">
        <v>126</v>
      </c>
      <c r="AJ562">
        <f>INDEX($Q$435:$Q$562,AC562+1)</f>
        <v/>
      </c>
      <c r="AK562">
        <f>INDEX($R$435:$R$562,AD562+1)</f>
        <v/>
      </c>
      <c r="AL562">
        <f>INDEX($S$435:$S$562,AE562+1)</f>
        <v/>
      </c>
      <c r="AM562">
        <f>INDEX($T$435:$T$562,AF562+1)</f>
        <v/>
      </c>
      <c r="AN562">
        <f>INDEX($U$435:$U$562,AG562+1)</f>
        <v/>
      </c>
      <c r="AO562">
        <f>INDEX($V$435:$V$562,AH562+1)</f>
        <v/>
      </c>
      <c r="AP562">
        <f>INDEX($W$435:$W$562,AI562+1)</f>
        <v/>
      </c>
      <c r="AQ562">
        <f>IF(Q562&gt;=AJ562-0.01,1,0)</f>
        <v/>
      </c>
      <c r="AR562">
        <f>IF(R562&gt;=AK562-0.01,1,0)</f>
        <v/>
      </c>
      <c r="AS562">
        <f>IF(S562&gt;=AL562-0.01,1,0)</f>
        <v/>
      </c>
      <c r="AT562">
        <f>IF(T562&gt;=AM562-0.01,1,0)</f>
        <v/>
      </c>
      <c r="AU562">
        <f>IF(U562&gt;=AN562-0.01,1,0)</f>
        <v/>
      </c>
      <c r="AV562">
        <f>IF(V562&gt;=AO562-0.01,1,0)</f>
        <v/>
      </c>
      <c r="AW562">
        <f>IF(W562&gt;=AP562-0.01,1,0)</f>
        <v/>
      </c>
      <c r="AX562">
        <f>AQ562*AR562*AS562*AT562*AU562*AV562*AW562</f>
        <v/>
      </c>
      <c r="AY562">
        <f>Assumptions!$B$41</f>
        <v/>
      </c>
      <c r="AZ562">
        <f>Assumptions!$B$33</f>
        <v/>
      </c>
      <c r="BA562">
        <f>Assumptions!$B$32</f>
        <v/>
      </c>
      <c r="BB562">
        <f>Assumptions!$B$31</f>
        <v/>
      </c>
      <c r="BC562">
        <f>Assumptions!$B$30</f>
        <v/>
      </c>
      <c r="BD562">
        <f>Assumptions!$B$29</f>
        <v/>
      </c>
      <c r="BE562">
        <f>Assumptions!$B$28</f>
        <v/>
      </c>
      <c r="BF562">
        <f>P562*Assumptions!$B$141</f>
        <v/>
      </c>
      <c r="BG562">
        <f>P562*Assumptions!$B$128</f>
        <v/>
      </c>
      <c r="BH562">
        <f>P562*Assumptions!$B$129</f>
        <v/>
      </c>
      <c r="BI562">
        <f>P562*Assumptions!$B$14</f>
        <v/>
      </c>
      <c r="BJ562">
        <f>P562*Assumptions!$B$13</f>
        <v/>
      </c>
      <c r="BK562">
        <f>P562*Assumptions!$B$12</f>
        <v/>
      </c>
      <c r="BL562">
        <f>P562*Assumptions!$B$11</f>
        <v/>
      </c>
    </row>
    <row r="563">
      <c r="A563" t="inlineStr">
        <is>
          <t>8000M</t>
        </is>
      </c>
      <c r="B563">
        <f>Assumptions!$B$62</f>
        <v/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>
        <f>(1-C563)*Assumptions!$B$41+(1-D563)*Assumptions!$B$33+(1-E563)*Assumptions!$B$32+(1-F563)*Assumptions!$B$31+(1-G563)*Assumptions!$B$30+(1-H563)*Assumptions!$B$29+(1-I563)*Assumptions!$B$28</f>
        <v/>
      </c>
      <c r="K563">
        <f>C563*Assumptions!$B$141+D563*Assumptions!$B$128+E563*Assumptions!$B$129+F563*Assumptions!$B$14+G563*Assumptions!$B$13+H563*Assumptions!$B$12+I563*Assumptions!$B$11+Assumptions!$B$133+Assumptions!$B$137+Assumptions!$B$9</f>
        <v/>
      </c>
      <c r="L563">
        <f>B563-J563</f>
        <v/>
      </c>
      <c r="M563">
        <f>IF(K563&gt;0,IF(L563/K563&gt;=Assumptions!$B$37,1,0),0)</f>
        <v/>
      </c>
      <c r="N563">
        <f>K563+M563*Assumptions!$B$153</f>
        <v/>
      </c>
      <c r="O563">
        <f>L563+M563*Assumptions!$B$153*Assumptions!$B$37</f>
        <v/>
      </c>
      <c r="P563">
        <f>IF(N563&gt;0,O563/N563,0)</f>
        <v/>
      </c>
      <c r="Q563">
        <f>IF(C563=1,P563*Assumptions!$B$141,Assumptions!$B$41)</f>
        <v/>
      </c>
      <c r="R563">
        <f>IF(D563=1,P563*Assumptions!$B$128,Assumptions!$B$33)</f>
        <v/>
      </c>
      <c r="S563">
        <f>IF(E563=1,P563*Assumptions!$B$129,Assumptions!$B$32)</f>
        <v/>
      </c>
      <c r="T563">
        <f>IF(F563=1,P563*Assumptions!$B$14,Assumptions!$B$31)</f>
        <v/>
      </c>
      <c r="U563">
        <f>IF(G563=1,P563*Assumptions!$B$13,Assumptions!$B$30)</f>
        <v/>
      </c>
      <c r="V563">
        <f>IF(H563=1,P563*Assumptions!$B$12,Assumptions!$B$29)</f>
        <v/>
      </c>
      <c r="W563">
        <f>IF(I563=1,P563*Assumptions!$B$11,Assumptions!$B$28)</f>
        <v/>
      </c>
      <c r="X563">
        <f>P563*(Assumptions!$B$133+Assumptions!$B$137)</f>
        <v/>
      </c>
      <c r="Y563">
        <f>P563*Assumptions!$B$9</f>
        <v/>
      </c>
      <c r="Z563">
        <f>IF(M563=1,(P563-Assumptions!$B$37)*Assumptions!$B$153,0)</f>
        <v/>
      </c>
      <c r="AA563">
        <f>Q563+R563+S563+T563+U563+V563+W563+X563+Y563+Z563</f>
        <v/>
      </c>
      <c r="AB563" t="n">
        <v>0</v>
      </c>
      <c r="AC563" t="n">
        <v>64</v>
      </c>
      <c r="AD563" t="n">
        <v>32</v>
      </c>
      <c r="AE563" t="n">
        <v>16</v>
      </c>
      <c r="AF563" t="n">
        <v>8</v>
      </c>
      <c r="AG563" t="n">
        <v>4</v>
      </c>
      <c r="AH563" t="n">
        <v>2</v>
      </c>
      <c r="AI563" t="n">
        <v>1</v>
      </c>
      <c r="AJ563">
        <f>INDEX($Q$563:$Q$690,AC563+1)</f>
        <v/>
      </c>
      <c r="AK563">
        <f>INDEX($R$563:$R$690,AD563+1)</f>
        <v/>
      </c>
      <c r="AL563">
        <f>INDEX($S$563:$S$690,AE563+1)</f>
        <v/>
      </c>
      <c r="AM563">
        <f>INDEX($T$563:$T$690,AF563+1)</f>
        <v/>
      </c>
      <c r="AN563">
        <f>INDEX($U$563:$U$690,AG563+1)</f>
        <v/>
      </c>
      <c r="AO563">
        <f>INDEX($V$563:$V$690,AH563+1)</f>
        <v/>
      </c>
      <c r="AP563">
        <f>INDEX($W$563:$W$690,AI563+1)</f>
        <v/>
      </c>
      <c r="AQ563">
        <f>IF(Q563&gt;=AJ563-0.01,1,0)</f>
        <v/>
      </c>
      <c r="AR563">
        <f>IF(R563&gt;=AK563-0.01,1,0)</f>
        <v/>
      </c>
      <c r="AS563">
        <f>IF(S563&gt;=AL563-0.01,1,0)</f>
        <v/>
      </c>
      <c r="AT563">
        <f>IF(T563&gt;=AM563-0.01,1,0)</f>
        <v/>
      </c>
      <c r="AU563">
        <f>IF(U563&gt;=AN563-0.01,1,0)</f>
        <v/>
      </c>
      <c r="AV563">
        <f>IF(V563&gt;=AO563-0.01,1,0)</f>
        <v/>
      </c>
      <c r="AW563">
        <f>IF(W563&gt;=AP563-0.01,1,0)</f>
        <v/>
      </c>
      <c r="AX563">
        <f>AQ563*AR563*AS563*AT563*AU563*AV563*AW563</f>
        <v/>
      </c>
      <c r="AY563">
        <f>Assumptions!$B$41</f>
        <v/>
      </c>
      <c r="AZ563">
        <f>Assumptions!$B$33</f>
        <v/>
      </c>
      <c r="BA563">
        <f>Assumptions!$B$32</f>
        <v/>
      </c>
      <c r="BB563">
        <f>Assumptions!$B$31</f>
        <v/>
      </c>
      <c r="BC563">
        <f>Assumptions!$B$30</f>
        <v/>
      </c>
      <c r="BD563">
        <f>Assumptions!$B$29</f>
        <v/>
      </c>
      <c r="BE563">
        <f>Assumptions!$B$28</f>
        <v/>
      </c>
      <c r="BF563">
        <f>P563*Assumptions!$B$141</f>
        <v/>
      </c>
      <c r="BG563">
        <f>P563*Assumptions!$B$128</f>
        <v/>
      </c>
      <c r="BH563">
        <f>P563*Assumptions!$B$129</f>
        <v/>
      </c>
      <c r="BI563">
        <f>P563*Assumptions!$B$14</f>
        <v/>
      </c>
      <c r="BJ563">
        <f>P563*Assumptions!$B$13</f>
        <v/>
      </c>
      <c r="BK563">
        <f>P563*Assumptions!$B$12</f>
        <v/>
      </c>
      <c r="BL563">
        <f>P563*Assumptions!$B$11</f>
        <v/>
      </c>
    </row>
    <row r="564">
      <c r="A564" t="inlineStr">
        <is>
          <t>8000M</t>
        </is>
      </c>
      <c r="B564">
        <f>Assumptions!$B$62</f>
        <v/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>
        <f>(1-C564)*Assumptions!$B$41+(1-D564)*Assumptions!$B$33+(1-E564)*Assumptions!$B$32+(1-F564)*Assumptions!$B$31+(1-G564)*Assumptions!$B$30+(1-H564)*Assumptions!$B$29+(1-I564)*Assumptions!$B$28</f>
        <v/>
      </c>
      <c r="K564">
        <f>C564*Assumptions!$B$141+D564*Assumptions!$B$128+E564*Assumptions!$B$129+F564*Assumptions!$B$14+G564*Assumptions!$B$13+H564*Assumptions!$B$12+I564*Assumptions!$B$11+Assumptions!$B$133+Assumptions!$B$137+Assumptions!$B$9</f>
        <v/>
      </c>
      <c r="L564">
        <f>B564-J564</f>
        <v/>
      </c>
      <c r="M564">
        <f>IF(K564&gt;0,IF(L564/K564&gt;=Assumptions!$B$37,1,0),0)</f>
        <v/>
      </c>
      <c r="N564">
        <f>K564+M564*Assumptions!$B$153</f>
        <v/>
      </c>
      <c r="O564">
        <f>L564+M564*Assumptions!$B$153*Assumptions!$B$37</f>
        <v/>
      </c>
      <c r="P564">
        <f>IF(N564&gt;0,O564/N564,0)</f>
        <v/>
      </c>
      <c r="Q564">
        <f>IF(C564=1,P564*Assumptions!$B$141,Assumptions!$B$41)</f>
        <v/>
      </c>
      <c r="R564">
        <f>IF(D564=1,P564*Assumptions!$B$128,Assumptions!$B$33)</f>
        <v/>
      </c>
      <c r="S564">
        <f>IF(E564=1,P564*Assumptions!$B$129,Assumptions!$B$32)</f>
        <v/>
      </c>
      <c r="T564">
        <f>IF(F564=1,P564*Assumptions!$B$14,Assumptions!$B$31)</f>
        <v/>
      </c>
      <c r="U564">
        <f>IF(G564=1,P564*Assumptions!$B$13,Assumptions!$B$30)</f>
        <v/>
      </c>
      <c r="V564">
        <f>IF(H564=1,P564*Assumptions!$B$12,Assumptions!$B$29)</f>
        <v/>
      </c>
      <c r="W564">
        <f>IF(I564=1,P564*Assumptions!$B$11,Assumptions!$B$28)</f>
        <v/>
      </c>
      <c r="X564">
        <f>P564*(Assumptions!$B$133+Assumptions!$B$137)</f>
        <v/>
      </c>
      <c r="Y564">
        <f>P564*Assumptions!$B$9</f>
        <v/>
      </c>
      <c r="Z564">
        <f>IF(M564=1,(P564-Assumptions!$B$37)*Assumptions!$B$153,0)</f>
        <v/>
      </c>
      <c r="AA564">
        <f>Q564+R564+S564+T564+U564+V564+W564+X564+Y564+Z564</f>
        <v/>
      </c>
      <c r="AB564" t="n">
        <v>1</v>
      </c>
      <c r="AC564" t="n">
        <v>65</v>
      </c>
      <c r="AD564" t="n">
        <v>33</v>
      </c>
      <c r="AE564" t="n">
        <v>17</v>
      </c>
      <c r="AF564" t="n">
        <v>9</v>
      </c>
      <c r="AG564" t="n">
        <v>5</v>
      </c>
      <c r="AH564" t="n">
        <v>3</v>
      </c>
      <c r="AI564" t="n">
        <v>0</v>
      </c>
      <c r="AJ564">
        <f>INDEX($Q$563:$Q$690,AC564+1)</f>
        <v/>
      </c>
      <c r="AK564">
        <f>INDEX($R$563:$R$690,AD564+1)</f>
        <v/>
      </c>
      <c r="AL564">
        <f>INDEX($S$563:$S$690,AE564+1)</f>
        <v/>
      </c>
      <c r="AM564">
        <f>INDEX($T$563:$T$690,AF564+1)</f>
        <v/>
      </c>
      <c r="AN564">
        <f>INDEX($U$563:$U$690,AG564+1)</f>
        <v/>
      </c>
      <c r="AO564">
        <f>INDEX($V$563:$V$690,AH564+1)</f>
        <v/>
      </c>
      <c r="AP564">
        <f>INDEX($W$563:$W$690,AI564+1)</f>
        <v/>
      </c>
      <c r="AQ564">
        <f>IF(Q564&gt;=AJ564-0.01,1,0)</f>
        <v/>
      </c>
      <c r="AR564">
        <f>IF(R564&gt;=AK564-0.01,1,0)</f>
        <v/>
      </c>
      <c r="AS564">
        <f>IF(S564&gt;=AL564-0.01,1,0)</f>
        <v/>
      </c>
      <c r="AT564">
        <f>IF(T564&gt;=AM564-0.01,1,0)</f>
        <v/>
      </c>
      <c r="AU564">
        <f>IF(U564&gt;=AN564-0.01,1,0)</f>
        <v/>
      </c>
      <c r="AV564">
        <f>IF(V564&gt;=AO564-0.01,1,0)</f>
        <v/>
      </c>
      <c r="AW564">
        <f>IF(W564&gt;=AP564-0.01,1,0)</f>
        <v/>
      </c>
      <c r="AX564">
        <f>AQ564*AR564*AS564*AT564*AU564*AV564*AW564</f>
        <v/>
      </c>
      <c r="AY564">
        <f>Assumptions!$B$41</f>
        <v/>
      </c>
      <c r="AZ564">
        <f>Assumptions!$B$33</f>
        <v/>
      </c>
      <c r="BA564">
        <f>Assumptions!$B$32</f>
        <v/>
      </c>
      <c r="BB564">
        <f>Assumptions!$B$31</f>
        <v/>
      </c>
      <c r="BC564">
        <f>Assumptions!$B$30</f>
        <v/>
      </c>
      <c r="BD564">
        <f>Assumptions!$B$29</f>
        <v/>
      </c>
      <c r="BE564">
        <f>Assumptions!$B$28</f>
        <v/>
      </c>
      <c r="BF564">
        <f>P564*Assumptions!$B$141</f>
        <v/>
      </c>
      <c r="BG564">
        <f>P564*Assumptions!$B$128</f>
        <v/>
      </c>
      <c r="BH564">
        <f>P564*Assumptions!$B$129</f>
        <v/>
      </c>
      <c r="BI564">
        <f>P564*Assumptions!$B$14</f>
        <v/>
      </c>
      <c r="BJ564">
        <f>P564*Assumptions!$B$13</f>
        <v/>
      </c>
      <c r="BK564">
        <f>P564*Assumptions!$B$12</f>
        <v/>
      </c>
      <c r="BL564">
        <f>P564*Assumptions!$B$11</f>
        <v/>
      </c>
    </row>
    <row r="565">
      <c r="A565" t="inlineStr">
        <is>
          <t>8000M</t>
        </is>
      </c>
      <c r="B565">
        <f>Assumptions!$B$62</f>
        <v/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>
        <f>(1-C565)*Assumptions!$B$41+(1-D565)*Assumptions!$B$33+(1-E565)*Assumptions!$B$32+(1-F565)*Assumptions!$B$31+(1-G565)*Assumptions!$B$30+(1-H565)*Assumptions!$B$29+(1-I565)*Assumptions!$B$28</f>
        <v/>
      </c>
      <c r="K565">
        <f>C565*Assumptions!$B$141+D565*Assumptions!$B$128+E565*Assumptions!$B$129+F565*Assumptions!$B$14+G565*Assumptions!$B$13+H565*Assumptions!$B$12+I565*Assumptions!$B$11+Assumptions!$B$133+Assumptions!$B$137+Assumptions!$B$9</f>
        <v/>
      </c>
      <c r="L565">
        <f>B565-J565</f>
        <v/>
      </c>
      <c r="M565">
        <f>IF(K565&gt;0,IF(L565/K565&gt;=Assumptions!$B$37,1,0),0)</f>
        <v/>
      </c>
      <c r="N565">
        <f>K565+M565*Assumptions!$B$153</f>
        <v/>
      </c>
      <c r="O565">
        <f>L565+M565*Assumptions!$B$153*Assumptions!$B$37</f>
        <v/>
      </c>
      <c r="P565">
        <f>IF(N565&gt;0,O565/N565,0)</f>
        <v/>
      </c>
      <c r="Q565">
        <f>IF(C565=1,P565*Assumptions!$B$141,Assumptions!$B$41)</f>
        <v/>
      </c>
      <c r="R565">
        <f>IF(D565=1,P565*Assumptions!$B$128,Assumptions!$B$33)</f>
        <v/>
      </c>
      <c r="S565">
        <f>IF(E565=1,P565*Assumptions!$B$129,Assumptions!$B$32)</f>
        <v/>
      </c>
      <c r="T565">
        <f>IF(F565=1,P565*Assumptions!$B$14,Assumptions!$B$31)</f>
        <v/>
      </c>
      <c r="U565">
        <f>IF(G565=1,P565*Assumptions!$B$13,Assumptions!$B$30)</f>
        <v/>
      </c>
      <c r="V565">
        <f>IF(H565=1,P565*Assumptions!$B$12,Assumptions!$B$29)</f>
        <v/>
      </c>
      <c r="W565">
        <f>IF(I565=1,P565*Assumptions!$B$11,Assumptions!$B$28)</f>
        <v/>
      </c>
      <c r="X565">
        <f>P565*(Assumptions!$B$133+Assumptions!$B$137)</f>
        <v/>
      </c>
      <c r="Y565">
        <f>P565*Assumptions!$B$9</f>
        <v/>
      </c>
      <c r="Z565">
        <f>IF(M565=1,(P565-Assumptions!$B$37)*Assumptions!$B$153,0)</f>
        <v/>
      </c>
      <c r="AA565">
        <f>Q565+R565+S565+T565+U565+V565+W565+X565+Y565+Z565</f>
        <v/>
      </c>
      <c r="AB565" t="n">
        <v>2</v>
      </c>
      <c r="AC565" t="n">
        <v>66</v>
      </c>
      <c r="AD565" t="n">
        <v>34</v>
      </c>
      <c r="AE565" t="n">
        <v>18</v>
      </c>
      <c r="AF565" t="n">
        <v>10</v>
      </c>
      <c r="AG565" t="n">
        <v>6</v>
      </c>
      <c r="AH565" t="n">
        <v>0</v>
      </c>
      <c r="AI565" t="n">
        <v>3</v>
      </c>
      <c r="AJ565">
        <f>INDEX($Q$563:$Q$690,AC565+1)</f>
        <v/>
      </c>
      <c r="AK565">
        <f>INDEX($R$563:$R$690,AD565+1)</f>
        <v/>
      </c>
      <c r="AL565">
        <f>INDEX($S$563:$S$690,AE565+1)</f>
        <v/>
      </c>
      <c r="AM565">
        <f>INDEX($T$563:$T$690,AF565+1)</f>
        <v/>
      </c>
      <c r="AN565">
        <f>INDEX($U$563:$U$690,AG565+1)</f>
        <v/>
      </c>
      <c r="AO565">
        <f>INDEX($V$563:$V$690,AH565+1)</f>
        <v/>
      </c>
      <c r="AP565">
        <f>INDEX($W$563:$W$690,AI565+1)</f>
        <v/>
      </c>
      <c r="AQ565">
        <f>IF(Q565&gt;=AJ565-0.01,1,0)</f>
        <v/>
      </c>
      <c r="AR565">
        <f>IF(R565&gt;=AK565-0.01,1,0)</f>
        <v/>
      </c>
      <c r="AS565">
        <f>IF(S565&gt;=AL565-0.01,1,0)</f>
        <v/>
      </c>
      <c r="AT565">
        <f>IF(T565&gt;=AM565-0.01,1,0)</f>
        <v/>
      </c>
      <c r="AU565">
        <f>IF(U565&gt;=AN565-0.01,1,0)</f>
        <v/>
      </c>
      <c r="AV565">
        <f>IF(V565&gt;=AO565-0.01,1,0)</f>
        <v/>
      </c>
      <c r="AW565">
        <f>IF(W565&gt;=AP565-0.01,1,0)</f>
        <v/>
      </c>
      <c r="AX565">
        <f>AQ565*AR565*AS565*AT565*AU565*AV565*AW565</f>
        <v/>
      </c>
      <c r="AY565">
        <f>Assumptions!$B$41</f>
        <v/>
      </c>
      <c r="AZ565">
        <f>Assumptions!$B$33</f>
        <v/>
      </c>
      <c r="BA565">
        <f>Assumptions!$B$32</f>
        <v/>
      </c>
      <c r="BB565">
        <f>Assumptions!$B$31</f>
        <v/>
      </c>
      <c r="BC565">
        <f>Assumptions!$B$30</f>
        <v/>
      </c>
      <c r="BD565">
        <f>Assumptions!$B$29</f>
        <v/>
      </c>
      <c r="BE565">
        <f>Assumptions!$B$28</f>
        <v/>
      </c>
      <c r="BF565">
        <f>P565*Assumptions!$B$141</f>
        <v/>
      </c>
      <c r="BG565">
        <f>P565*Assumptions!$B$128</f>
        <v/>
      </c>
      <c r="BH565">
        <f>P565*Assumptions!$B$129</f>
        <v/>
      </c>
      <c r="BI565">
        <f>P565*Assumptions!$B$14</f>
        <v/>
      </c>
      <c r="BJ565">
        <f>P565*Assumptions!$B$13</f>
        <v/>
      </c>
      <c r="BK565">
        <f>P565*Assumptions!$B$12</f>
        <v/>
      </c>
      <c r="BL565">
        <f>P565*Assumptions!$B$11</f>
        <v/>
      </c>
    </row>
    <row r="566">
      <c r="A566" t="inlineStr">
        <is>
          <t>8000M</t>
        </is>
      </c>
      <c r="B566">
        <f>Assumptions!$B$62</f>
        <v/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>
        <f>(1-C566)*Assumptions!$B$41+(1-D566)*Assumptions!$B$33+(1-E566)*Assumptions!$B$32+(1-F566)*Assumptions!$B$31+(1-G566)*Assumptions!$B$30+(1-H566)*Assumptions!$B$29+(1-I566)*Assumptions!$B$28</f>
        <v/>
      </c>
      <c r="K566">
        <f>C566*Assumptions!$B$141+D566*Assumptions!$B$128+E566*Assumptions!$B$129+F566*Assumptions!$B$14+G566*Assumptions!$B$13+H566*Assumptions!$B$12+I566*Assumptions!$B$11+Assumptions!$B$133+Assumptions!$B$137+Assumptions!$B$9</f>
        <v/>
      </c>
      <c r="L566">
        <f>B566-J566</f>
        <v/>
      </c>
      <c r="M566">
        <f>IF(K566&gt;0,IF(L566/K566&gt;=Assumptions!$B$37,1,0),0)</f>
        <v/>
      </c>
      <c r="N566">
        <f>K566+M566*Assumptions!$B$153</f>
        <v/>
      </c>
      <c r="O566">
        <f>L566+M566*Assumptions!$B$153*Assumptions!$B$37</f>
        <v/>
      </c>
      <c r="P566">
        <f>IF(N566&gt;0,O566/N566,0)</f>
        <v/>
      </c>
      <c r="Q566">
        <f>IF(C566=1,P566*Assumptions!$B$141,Assumptions!$B$41)</f>
        <v/>
      </c>
      <c r="R566">
        <f>IF(D566=1,P566*Assumptions!$B$128,Assumptions!$B$33)</f>
        <v/>
      </c>
      <c r="S566">
        <f>IF(E566=1,P566*Assumptions!$B$129,Assumptions!$B$32)</f>
        <v/>
      </c>
      <c r="T566">
        <f>IF(F566=1,P566*Assumptions!$B$14,Assumptions!$B$31)</f>
        <v/>
      </c>
      <c r="U566">
        <f>IF(G566=1,P566*Assumptions!$B$13,Assumptions!$B$30)</f>
        <v/>
      </c>
      <c r="V566">
        <f>IF(H566=1,P566*Assumptions!$B$12,Assumptions!$B$29)</f>
        <v/>
      </c>
      <c r="W566">
        <f>IF(I566=1,P566*Assumptions!$B$11,Assumptions!$B$28)</f>
        <v/>
      </c>
      <c r="X566">
        <f>P566*(Assumptions!$B$133+Assumptions!$B$137)</f>
        <v/>
      </c>
      <c r="Y566">
        <f>P566*Assumptions!$B$9</f>
        <v/>
      </c>
      <c r="Z566">
        <f>IF(M566=1,(P566-Assumptions!$B$37)*Assumptions!$B$153,0)</f>
        <v/>
      </c>
      <c r="AA566">
        <f>Q566+R566+S566+T566+U566+V566+W566+X566+Y566+Z566</f>
        <v/>
      </c>
      <c r="AB566" t="n">
        <v>3</v>
      </c>
      <c r="AC566" t="n">
        <v>67</v>
      </c>
      <c r="AD566" t="n">
        <v>35</v>
      </c>
      <c r="AE566" t="n">
        <v>19</v>
      </c>
      <c r="AF566" t="n">
        <v>11</v>
      </c>
      <c r="AG566" t="n">
        <v>7</v>
      </c>
      <c r="AH566" t="n">
        <v>1</v>
      </c>
      <c r="AI566" t="n">
        <v>2</v>
      </c>
      <c r="AJ566">
        <f>INDEX($Q$563:$Q$690,AC566+1)</f>
        <v/>
      </c>
      <c r="AK566">
        <f>INDEX($R$563:$R$690,AD566+1)</f>
        <v/>
      </c>
      <c r="AL566">
        <f>INDEX($S$563:$S$690,AE566+1)</f>
        <v/>
      </c>
      <c r="AM566">
        <f>INDEX($T$563:$T$690,AF566+1)</f>
        <v/>
      </c>
      <c r="AN566">
        <f>INDEX($U$563:$U$690,AG566+1)</f>
        <v/>
      </c>
      <c r="AO566">
        <f>INDEX($V$563:$V$690,AH566+1)</f>
        <v/>
      </c>
      <c r="AP566">
        <f>INDEX($W$563:$W$690,AI566+1)</f>
        <v/>
      </c>
      <c r="AQ566">
        <f>IF(Q566&gt;=AJ566-0.01,1,0)</f>
        <v/>
      </c>
      <c r="AR566">
        <f>IF(R566&gt;=AK566-0.01,1,0)</f>
        <v/>
      </c>
      <c r="AS566">
        <f>IF(S566&gt;=AL566-0.01,1,0)</f>
        <v/>
      </c>
      <c r="AT566">
        <f>IF(T566&gt;=AM566-0.01,1,0)</f>
        <v/>
      </c>
      <c r="AU566">
        <f>IF(U566&gt;=AN566-0.01,1,0)</f>
        <v/>
      </c>
      <c r="AV566">
        <f>IF(V566&gt;=AO566-0.01,1,0)</f>
        <v/>
      </c>
      <c r="AW566">
        <f>IF(W566&gt;=AP566-0.01,1,0)</f>
        <v/>
      </c>
      <c r="AX566">
        <f>AQ566*AR566*AS566*AT566*AU566*AV566*AW566</f>
        <v/>
      </c>
      <c r="AY566">
        <f>Assumptions!$B$41</f>
        <v/>
      </c>
      <c r="AZ566">
        <f>Assumptions!$B$33</f>
        <v/>
      </c>
      <c r="BA566">
        <f>Assumptions!$B$32</f>
        <v/>
      </c>
      <c r="BB566">
        <f>Assumptions!$B$31</f>
        <v/>
      </c>
      <c r="BC566">
        <f>Assumptions!$B$30</f>
        <v/>
      </c>
      <c r="BD566">
        <f>Assumptions!$B$29</f>
        <v/>
      </c>
      <c r="BE566">
        <f>Assumptions!$B$28</f>
        <v/>
      </c>
      <c r="BF566">
        <f>P566*Assumptions!$B$141</f>
        <v/>
      </c>
      <c r="BG566">
        <f>P566*Assumptions!$B$128</f>
        <v/>
      </c>
      <c r="BH566">
        <f>P566*Assumptions!$B$129</f>
        <v/>
      </c>
      <c r="BI566">
        <f>P566*Assumptions!$B$14</f>
        <v/>
      </c>
      <c r="BJ566">
        <f>P566*Assumptions!$B$13</f>
        <v/>
      </c>
      <c r="BK566">
        <f>P566*Assumptions!$B$12</f>
        <v/>
      </c>
      <c r="BL566">
        <f>P566*Assumptions!$B$11</f>
        <v/>
      </c>
    </row>
    <row r="567">
      <c r="A567" t="inlineStr">
        <is>
          <t>8000M</t>
        </is>
      </c>
      <c r="B567">
        <f>Assumptions!$B$62</f>
        <v/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>
        <f>(1-C567)*Assumptions!$B$41+(1-D567)*Assumptions!$B$33+(1-E567)*Assumptions!$B$32+(1-F567)*Assumptions!$B$31+(1-G567)*Assumptions!$B$30+(1-H567)*Assumptions!$B$29+(1-I567)*Assumptions!$B$28</f>
        <v/>
      </c>
      <c r="K567">
        <f>C567*Assumptions!$B$141+D567*Assumptions!$B$128+E567*Assumptions!$B$129+F567*Assumptions!$B$14+G567*Assumptions!$B$13+H567*Assumptions!$B$12+I567*Assumptions!$B$11+Assumptions!$B$133+Assumptions!$B$137+Assumptions!$B$9</f>
        <v/>
      </c>
      <c r="L567">
        <f>B567-J567</f>
        <v/>
      </c>
      <c r="M567">
        <f>IF(K567&gt;0,IF(L567/K567&gt;=Assumptions!$B$37,1,0),0)</f>
        <v/>
      </c>
      <c r="N567">
        <f>K567+M567*Assumptions!$B$153</f>
        <v/>
      </c>
      <c r="O567">
        <f>L567+M567*Assumptions!$B$153*Assumptions!$B$37</f>
        <v/>
      </c>
      <c r="P567">
        <f>IF(N567&gt;0,O567/N567,0)</f>
        <v/>
      </c>
      <c r="Q567">
        <f>IF(C567=1,P567*Assumptions!$B$141,Assumptions!$B$41)</f>
        <v/>
      </c>
      <c r="R567">
        <f>IF(D567=1,P567*Assumptions!$B$128,Assumptions!$B$33)</f>
        <v/>
      </c>
      <c r="S567">
        <f>IF(E567=1,P567*Assumptions!$B$129,Assumptions!$B$32)</f>
        <v/>
      </c>
      <c r="T567">
        <f>IF(F567=1,P567*Assumptions!$B$14,Assumptions!$B$31)</f>
        <v/>
      </c>
      <c r="U567">
        <f>IF(G567=1,P567*Assumptions!$B$13,Assumptions!$B$30)</f>
        <v/>
      </c>
      <c r="V567">
        <f>IF(H567=1,P567*Assumptions!$B$12,Assumptions!$B$29)</f>
        <v/>
      </c>
      <c r="W567">
        <f>IF(I567=1,P567*Assumptions!$B$11,Assumptions!$B$28)</f>
        <v/>
      </c>
      <c r="X567">
        <f>P567*(Assumptions!$B$133+Assumptions!$B$137)</f>
        <v/>
      </c>
      <c r="Y567">
        <f>P567*Assumptions!$B$9</f>
        <v/>
      </c>
      <c r="Z567">
        <f>IF(M567=1,(P567-Assumptions!$B$37)*Assumptions!$B$153,0)</f>
        <v/>
      </c>
      <c r="AA567">
        <f>Q567+R567+S567+T567+U567+V567+W567+X567+Y567+Z567</f>
        <v/>
      </c>
      <c r="AB567" t="n">
        <v>4</v>
      </c>
      <c r="AC567" t="n">
        <v>68</v>
      </c>
      <c r="AD567" t="n">
        <v>36</v>
      </c>
      <c r="AE567" t="n">
        <v>20</v>
      </c>
      <c r="AF567" t="n">
        <v>12</v>
      </c>
      <c r="AG567" t="n">
        <v>0</v>
      </c>
      <c r="AH567" t="n">
        <v>6</v>
      </c>
      <c r="AI567" t="n">
        <v>5</v>
      </c>
      <c r="AJ567">
        <f>INDEX($Q$563:$Q$690,AC567+1)</f>
        <v/>
      </c>
      <c r="AK567">
        <f>INDEX($R$563:$R$690,AD567+1)</f>
        <v/>
      </c>
      <c r="AL567">
        <f>INDEX($S$563:$S$690,AE567+1)</f>
        <v/>
      </c>
      <c r="AM567">
        <f>INDEX($T$563:$T$690,AF567+1)</f>
        <v/>
      </c>
      <c r="AN567">
        <f>INDEX($U$563:$U$690,AG567+1)</f>
        <v/>
      </c>
      <c r="AO567">
        <f>INDEX($V$563:$V$690,AH567+1)</f>
        <v/>
      </c>
      <c r="AP567">
        <f>INDEX($W$563:$W$690,AI567+1)</f>
        <v/>
      </c>
      <c r="AQ567">
        <f>IF(Q567&gt;=AJ567-0.01,1,0)</f>
        <v/>
      </c>
      <c r="AR567">
        <f>IF(R567&gt;=AK567-0.01,1,0)</f>
        <v/>
      </c>
      <c r="AS567">
        <f>IF(S567&gt;=AL567-0.01,1,0)</f>
        <v/>
      </c>
      <c r="AT567">
        <f>IF(T567&gt;=AM567-0.01,1,0)</f>
        <v/>
      </c>
      <c r="AU567">
        <f>IF(U567&gt;=AN567-0.01,1,0)</f>
        <v/>
      </c>
      <c r="AV567">
        <f>IF(V567&gt;=AO567-0.01,1,0)</f>
        <v/>
      </c>
      <c r="AW567">
        <f>IF(W567&gt;=AP567-0.01,1,0)</f>
        <v/>
      </c>
      <c r="AX567">
        <f>AQ567*AR567*AS567*AT567*AU567*AV567*AW567</f>
        <v/>
      </c>
      <c r="AY567">
        <f>Assumptions!$B$41</f>
        <v/>
      </c>
      <c r="AZ567">
        <f>Assumptions!$B$33</f>
        <v/>
      </c>
      <c r="BA567">
        <f>Assumptions!$B$32</f>
        <v/>
      </c>
      <c r="BB567">
        <f>Assumptions!$B$31</f>
        <v/>
      </c>
      <c r="BC567">
        <f>Assumptions!$B$30</f>
        <v/>
      </c>
      <c r="BD567">
        <f>Assumptions!$B$29</f>
        <v/>
      </c>
      <c r="BE567">
        <f>Assumptions!$B$28</f>
        <v/>
      </c>
      <c r="BF567">
        <f>P567*Assumptions!$B$141</f>
        <v/>
      </c>
      <c r="BG567">
        <f>P567*Assumptions!$B$128</f>
        <v/>
      </c>
      <c r="BH567">
        <f>P567*Assumptions!$B$129</f>
        <v/>
      </c>
      <c r="BI567">
        <f>P567*Assumptions!$B$14</f>
        <v/>
      </c>
      <c r="BJ567">
        <f>P567*Assumptions!$B$13</f>
        <v/>
      </c>
      <c r="BK567">
        <f>P567*Assumptions!$B$12</f>
        <v/>
      </c>
      <c r="BL567">
        <f>P567*Assumptions!$B$11</f>
        <v/>
      </c>
    </row>
    <row r="568">
      <c r="A568" t="inlineStr">
        <is>
          <t>8000M</t>
        </is>
      </c>
      <c r="B568">
        <f>Assumptions!$B$62</f>
        <v/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>
        <f>(1-C568)*Assumptions!$B$41+(1-D568)*Assumptions!$B$33+(1-E568)*Assumptions!$B$32+(1-F568)*Assumptions!$B$31+(1-G568)*Assumptions!$B$30+(1-H568)*Assumptions!$B$29+(1-I568)*Assumptions!$B$28</f>
        <v/>
      </c>
      <c r="K568">
        <f>C568*Assumptions!$B$141+D568*Assumptions!$B$128+E568*Assumptions!$B$129+F568*Assumptions!$B$14+G568*Assumptions!$B$13+H568*Assumptions!$B$12+I568*Assumptions!$B$11+Assumptions!$B$133+Assumptions!$B$137+Assumptions!$B$9</f>
        <v/>
      </c>
      <c r="L568">
        <f>B568-J568</f>
        <v/>
      </c>
      <c r="M568">
        <f>IF(K568&gt;0,IF(L568/K568&gt;=Assumptions!$B$37,1,0),0)</f>
        <v/>
      </c>
      <c r="N568">
        <f>K568+M568*Assumptions!$B$153</f>
        <v/>
      </c>
      <c r="O568">
        <f>L568+M568*Assumptions!$B$153*Assumptions!$B$37</f>
        <v/>
      </c>
      <c r="P568">
        <f>IF(N568&gt;0,O568/N568,0)</f>
        <v/>
      </c>
      <c r="Q568">
        <f>IF(C568=1,P568*Assumptions!$B$141,Assumptions!$B$41)</f>
        <v/>
      </c>
      <c r="R568">
        <f>IF(D568=1,P568*Assumptions!$B$128,Assumptions!$B$33)</f>
        <v/>
      </c>
      <c r="S568">
        <f>IF(E568=1,P568*Assumptions!$B$129,Assumptions!$B$32)</f>
        <v/>
      </c>
      <c r="T568">
        <f>IF(F568=1,P568*Assumptions!$B$14,Assumptions!$B$31)</f>
        <v/>
      </c>
      <c r="U568">
        <f>IF(G568=1,P568*Assumptions!$B$13,Assumptions!$B$30)</f>
        <v/>
      </c>
      <c r="V568">
        <f>IF(H568=1,P568*Assumptions!$B$12,Assumptions!$B$29)</f>
        <v/>
      </c>
      <c r="W568">
        <f>IF(I568=1,P568*Assumptions!$B$11,Assumptions!$B$28)</f>
        <v/>
      </c>
      <c r="X568">
        <f>P568*(Assumptions!$B$133+Assumptions!$B$137)</f>
        <v/>
      </c>
      <c r="Y568">
        <f>P568*Assumptions!$B$9</f>
        <v/>
      </c>
      <c r="Z568">
        <f>IF(M568=1,(P568-Assumptions!$B$37)*Assumptions!$B$153,0)</f>
        <v/>
      </c>
      <c r="AA568">
        <f>Q568+R568+S568+T568+U568+V568+W568+X568+Y568+Z568</f>
        <v/>
      </c>
      <c r="AB568" t="n">
        <v>5</v>
      </c>
      <c r="AC568" t="n">
        <v>69</v>
      </c>
      <c r="AD568" t="n">
        <v>37</v>
      </c>
      <c r="AE568" t="n">
        <v>21</v>
      </c>
      <c r="AF568" t="n">
        <v>13</v>
      </c>
      <c r="AG568" t="n">
        <v>1</v>
      </c>
      <c r="AH568" t="n">
        <v>7</v>
      </c>
      <c r="AI568" t="n">
        <v>4</v>
      </c>
      <c r="AJ568">
        <f>INDEX($Q$563:$Q$690,AC568+1)</f>
        <v/>
      </c>
      <c r="AK568">
        <f>INDEX($R$563:$R$690,AD568+1)</f>
        <v/>
      </c>
      <c r="AL568">
        <f>INDEX($S$563:$S$690,AE568+1)</f>
        <v/>
      </c>
      <c r="AM568">
        <f>INDEX($T$563:$T$690,AF568+1)</f>
        <v/>
      </c>
      <c r="AN568">
        <f>INDEX($U$563:$U$690,AG568+1)</f>
        <v/>
      </c>
      <c r="AO568">
        <f>INDEX($V$563:$V$690,AH568+1)</f>
        <v/>
      </c>
      <c r="AP568">
        <f>INDEX($W$563:$W$690,AI568+1)</f>
        <v/>
      </c>
      <c r="AQ568">
        <f>IF(Q568&gt;=AJ568-0.01,1,0)</f>
        <v/>
      </c>
      <c r="AR568">
        <f>IF(R568&gt;=AK568-0.01,1,0)</f>
        <v/>
      </c>
      <c r="AS568">
        <f>IF(S568&gt;=AL568-0.01,1,0)</f>
        <v/>
      </c>
      <c r="AT568">
        <f>IF(T568&gt;=AM568-0.01,1,0)</f>
        <v/>
      </c>
      <c r="AU568">
        <f>IF(U568&gt;=AN568-0.01,1,0)</f>
        <v/>
      </c>
      <c r="AV568">
        <f>IF(V568&gt;=AO568-0.01,1,0)</f>
        <v/>
      </c>
      <c r="AW568">
        <f>IF(W568&gt;=AP568-0.01,1,0)</f>
        <v/>
      </c>
      <c r="AX568">
        <f>AQ568*AR568*AS568*AT568*AU568*AV568*AW568</f>
        <v/>
      </c>
      <c r="AY568">
        <f>Assumptions!$B$41</f>
        <v/>
      </c>
      <c r="AZ568">
        <f>Assumptions!$B$33</f>
        <v/>
      </c>
      <c r="BA568">
        <f>Assumptions!$B$32</f>
        <v/>
      </c>
      <c r="BB568">
        <f>Assumptions!$B$31</f>
        <v/>
      </c>
      <c r="BC568">
        <f>Assumptions!$B$30</f>
        <v/>
      </c>
      <c r="BD568">
        <f>Assumptions!$B$29</f>
        <v/>
      </c>
      <c r="BE568">
        <f>Assumptions!$B$28</f>
        <v/>
      </c>
      <c r="BF568">
        <f>P568*Assumptions!$B$141</f>
        <v/>
      </c>
      <c r="BG568">
        <f>P568*Assumptions!$B$128</f>
        <v/>
      </c>
      <c r="BH568">
        <f>P568*Assumptions!$B$129</f>
        <v/>
      </c>
      <c r="BI568">
        <f>P568*Assumptions!$B$14</f>
        <v/>
      </c>
      <c r="BJ568">
        <f>P568*Assumptions!$B$13</f>
        <v/>
      </c>
      <c r="BK568">
        <f>P568*Assumptions!$B$12</f>
        <v/>
      </c>
      <c r="BL568">
        <f>P568*Assumptions!$B$11</f>
        <v/>
      </c>
    </row>
    <row r="569">
      <c r="A569" t="inlineStr">
        <is>
          <t>8000M</t>
        </is>
      </c>
      <c r="B569">
        <f>Assumptions!$B$62</f>
        <v/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>
        <f>(1-C569)*Assumptions!$B$41+(1-D569)*Assumptions!$B$33+(1-E569)*Assumptions!$B$32+(1-F569)*Assumptions!$B$31+(1-G569)*Assumptions!$B$30+(1-H569)*Assumptions!$B$29+(1-I569)*Assumptions!$B$28</f>
        <v/>
      </c>
      <c r="K569">
        <f>C569*Assumptions!$B$141+D569*Assumptions!$B$128+E569*Assumptions!$B$129+F569*Assumptions!$B$14+G569*Assumptions!$B$13+H569*Assumptions!$B$12+I569*Assumptions!$B$11+Assumptions!$B$133+Assumptions!$B$137+Assumptions!$B$9</f>
        <v/>
      </c>
      <c r="L569">
        <f>B569-J569</f>
        <v/>
      </c>
      <c r="M569">
        <f>IF(K569&gt;0,IF(L569/K569&gt;=Assumptions!$B$37,1,0),0)</f>
        <v/>
      </c>
      <c r="N569">
        <f>K569+M569*Assumptions!$B$153</f>
        <v/>
      </c>
      <c r="O569">
        <f>L569+M569*Assumptions!$B$153*Assumptions!$B$37</f>
        <v/>
      </c>
      <c r="P569">
        <f>IF(N569&gt;0,O569/N569,0)</f>
        <v/>
      </c>
      <c r="Q569">
        <f>IF(C569=1,P569*Assumptions!$B$141,Assumptions!$B$41)</f>
        <v/>
      </c>
      <c r="R569">
        <f>IF(D569=1,P569*Assumptions!$B$128,Assumptions!$B$33)</f>
        <v/>
      </c>
      <c r="S569">
        <f>IF(E569=1,P569*Assumptions!$B$129,Assumptions!$B$32)</f>
        <v/>
      </c>
      <c r="T569">
        <f>IF(F569=1,P569*Assumptions!$B$14,Assumptions!$B$31)</f>
        <v/>
      </c>
      <c r="U569">
        <f>IF(G569=1,P569*Assumptions!$B$13,Assumptions!$B$30)</f>
        <v/>
      </c>
      <c r="V569">
        <f>IF(H569=1,P569*Assumptions!$B$12,Assumptions!$B$29)</f>
        <v/>
      </c>
      <c r="W569">
        <f>IF(I569=1,P569*Assumptions!$B$11,Assumptions!$B$28)</f>
        <v/>
      </c>
      <c r="X569">
        <f>P569*(Assumptions!$B$133+Assumptions!$B$137)</f>
        <v/>
      </c>
      <c r="Y569">
        <f>P569*Assumptions!$B$9</f>
        <v/>
      </c>
      <c r="Z569">
        <f>IF(M569=1,(P569-Assumptions!$B$37)*Assumptions!$B$153,0)</f>
        <v/>
      </c>
      <c r="AA569">
        <f>Q569+R569+S569+T569+U569+V569+W569+X569+Y569+Z569</f>
        <v/>
      </c>
      <c r="AB569" t="n">
        <v>6</v>
      </c>
      <c r="AC569" t="n">
        <v>70</v>
      </c>
      <c r="AD569" t="n">
        <v>38</v>
      </c>
      <c r="AE569" t="n">
        <v>22</v>
      </c>
      <c r="AF569" t="n">
        <v>14</v>
      </c>
      <c r="AG569" t="n">
        <v>2</v>
      </c>
      <c r="AH569" t="n">
        <v>4</v>
      </c>
      <c r="AI569" t="n">
        <v>7</v>
      </c>
      <c r="AJ569">
        <f>INDEX($Q$563:$Q$690,AC569+1)</f>
        <v/>
      </c>
      <c r="AK569">
        <f>INDEX($R$563:$R$690,AD569+1)</f>
        <v/>
      </c>
      <c r="AL569">
        <f>INDEX($S$563:$S$690,AE569+1)</f>
        <v/>
      </c>
      <c r="AM569">
        <f>INDEX($T$563:$T$690,AF569+1)</f>
        <v/>
      </c>
      <c r="AN569">
        <f>INDEX($U$563:$U$690,AG569+1)</f>
        <v/>
      </c>
      <c r="AO569">
        <f>INDEX($V$563:$V$690,AH569+1)</f>
        <v/>
      </c>
      <c r="AP569">
        <f>INDEX($W$563:$W$690,AI569+1)</f>
        <v/>
      </c>
      <c r="AQ569">
        <f>IF(Q569&gt;=AJ569-0.01,1,0)</f>
        <v/>
      </c>
      <c r="AR569">
        <f>IF(R569&gt;=AK569-0.01,1,0)</f>
        <v/>
      </c>
      <c r="AS569">
        <f>IF(S569&gt;=AL569-0.01,1,0)</f>
        <v/>
      </c>
      <c r="AT569">
        <f>IF(T569&gt;=AM569-0.01,1,0)</f>
        <v/>
      </c>
      <c r="AU569">
        <f>IF(U569&gt;=AN569-0.01,1,0)</f>
        <v/>
      </c>
      <c r="AV569">
        <f>IF(V569&gt;=AO569-0.01,1,0)</f>
        <v/>
      </c>
      <c r="AW569">
        <f>IF(W569&gt;=AP569-0.01,1,0)</f>
        <v/>
      </c>
      <c r="AX569">
        <f>AQ569*AR569*AS569*AT569*AU569*AV569*AW569</f>
        <v/>
      </c>
      <c r="AY569">
        <f>Assumptions!$B$41</f>
        <v/>
      </c>
      <c r="AZ569">
        <f>Assumptions!$B$33</f>
        <v/>
      </c>
      <c r="BA569">
        <f>Assumptions!$B$32</f>
        <v/>
      </c>
      <c r="BB569">
        <f>Assumptions!$B$31</f>
        <v/>
      </c>
      <c r="BC569">
        <f>Assumptions!$B$30</f>
        <v/>
      </c>
      <c r="BD569">
        <f>Assumptions!$B$29</f>
        <v/>
      </c>
      <c r="BE569">
        <f>Assumptions!$B$28</f>
        <v/>
      </c>
      <c r="BF569">
        <f>P569*Assumptions!$B$141</f>
        <v/>
      </c>
      <c r="BG569">
        <f>P569*Assumptions!$B$128</f>
        <v/>
      </c>
      <c r="BH569">
        <f>P569*Assumptions!$B$129</f>
        <v/>
      </c>
      <c r="BI569">
        <f>P569*Assumptions!$B$14</f>
        <v/>
      </c>
      <c r="BJ569">
        <f>P569*Assumptions!$B$13</f>
        <v/>
      </c>
      <c r="BK569">
        <f>P569*Assumptions!$B$12</f>
        <v/>
      </c>
      <c r="BL569">
        <f>P569*Assumptions!$B$11</f>
        <v/>
      </c>
    </row>
    <row r="570">
      <c r="A570" t="inlineStr">
        <is>
          <t>8000M</t>
        </is>
      </c>
      <c r="B570">
        <f>Assumptions!$B$62</f>
        <v/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>
        <f>(1-C570)*Assumptions!$B$41+(1-D570)*Assumptions!$B$33+(1-E570)*Assumptions!$B$32+(1-F570)*Assumptions!$B$31+(1-G570)*Assumptions!$B$30+(1-H570)*Assumptions!$B$29+(1-I570)*Assumptions!$B$28</f>
        <v/>
      </c>
      <c r="K570">
        <f>C570*Assumptions!$B$141+D570*Assumptions!$B$128+E570*Assumptions!$B$129+F570*Assumptions!$B$14+G570*Assumptions!$B$13+H570*Assumptions!$B$12+I570*Assumptions!$B$11+Assumptions!$B$133+Assumptions!$B$137+Assumptions!$B$9</f>
        <v/>
      </c>
      <c r="L570">
        <f>B570-J570</f>
        <v/>
      </c>
      <c r="M570">
        <f>IF(K570&gt;0,IF(L570/K570&gt;=Assumptions!$B$37,1,0),0)</f>
        <v/>
      </c>
      <c r="N570">
        <f>K570+M570*Assumptions!$B$153</f>
        <v/>
      </c>
      <c r="O570">
        <f>L570+M570*Assumptions!$B$153*Assumptions!$B$37</f>
        <v/>
      </c>
      <c r="P570">
        <f>IF(N570&gt;0,O570/N570,0)</f>
        <v/>
      </c>
      <c r="Q570">
        <f>IF(C570=1,P570*Assumptions!$B$141,Assumptions!$B$41)</f>
        <v/>
      </c>
      <c r="R570">
        <f>IF(D570=1,P570*Assumptions!$B$128,Assumptions!$B$33)</f>
        <v/>
      </c>
      <c r="S570">
        <f>IF(E570=1,P570*Assumptions!$B$129,Assumptions!$B$32)</f>
        <v/>
      </c>
      <c r="T570">
        <f>IF(F570=1,P570*Assumptions!$B$14,Assumptions!$B$31)</f>
        <v/>
      </c>
      <c r="U570">
        <f>IF(G570=1,P570*Assumptions!$B$13,Assumptions!$B$30)</f>
        <v/>
      </c>
      <c r="V570">
        <f>IF(H570=1,P570*Assumptions!$B$12,Assumptions!$B$29)</f>
        <v/>
      </c>
      <c r="W570">
        <f>IF(I570=1,P570*Assumptions!$B$11,Assumptions!$B$28)</f>
        <v/>
      </c>
      <c r="X570">
        <f>P570*(Assumptions!$B$133+Assumptions!$B$137)</f>
        <v/>
      </c>
      <c r="Y570">
        <f>P570*Assumptions!$B$9</f>
        <v/>
      </c>
      <c r="Z570">
        <f>IF(M570=1,(P570-Assumptions!$B$37)*Assumptions!$B$153,0)</f>
        <v/>
      </c>
      <c r="AA570">
        <f>Q570+R570+S570+T570+U570+V570+W570+X570+Y570+Z570</f>
        <v/>
      </c>
      <c r="AB570" t="n">
        <v>7</v>
      </c>
      <c r="AC570" t="n">
        <v>71</v>
      </c>
      <c r="AD570" t="n">
        <v>39</v>
      </c>
      <c r="AE570" t="n">
        <v>23</v>
      </c>
      <c r="AF570" t="n">
        <v>15</v>
      </c>
      <c r="AG570" t="n">
        <v>3</v>
      </c>
      <c r="AH570" t="n">
        <v>5</v>
      </c>
      <c r="AI570" t="n">
        <v>6</v>
      </c>
      <c r="AJ570">
        <f>INDEX($Q$563:$Q$690,AC570+1)</f>
        <v/>
      </c>
      <c r="AK570">
        <f>INDEX($R$563:$R$690,AD570+1)</f>
        <v/>
      </c>
      <c r="AL570">
        <f>INDEX($S$563:$S$690,AE570+1)</f>
        <v/>
      </c>
      <c r="AM570">
        <f>INDEX($T$563:$T$690,AF570+1)</f>
        <v/>
      </c>
      <c r="AN570">
        <f>INDEX($U$563:$U$690,AG570+1)</f>
        <v/>
      </c>
      <c r="AO570">
        <f>INDEX($V$563:$V$690,AH570+1)</f>
        <v/>
      </c>
      <c r="AP570">
        <f>INDEX($W$563:$W$690,AI570+1)</f>
        <v/>
      </c>
      <c r="AQ570">
        <f>IF(Q570&gt;=AJ570-0.01,1,0)</f>
        <v/>
      </c>
      <c r="AR570">
        <f>IF(R570&gt;=AK570-0.01,1,0)</f>
        <v/>
      </c>
      <c r="AS570">
        <f>IF(S570&gt;=AL570-0.01,1,0)</f>
        <v/>
      </c>
      <c r="AT570">
        <f>IF(T570&gt;=AM570-0.01,1,0)</f>
        <v/>
      </c>
      <c r="AU570">
        <f>IF(U570&gt;=AN570-0.01,1,0)</f>
        <v/>
      </c>
      <c r="AV570">
        <f>IF(V570&gt;=AO570-0.01,1,0)</f>
        <v/>
      </c>
      <c r="AW570">
        <f>IF(W570&gt;=AP570-0.01,1,0)</f>
        <v/>
      </c>
      <c r="AX570">
        <f>AQ570*AR570*AS570*AT570*AU570*AV570*AW570</f>
        <v/>
      </c>
      <c r="AY570">
        <f>Assumptions!$B$41</f>
        <v/>
      </c>
      <c r="AZ570">
        <f>Assumptions!$B$33</f>
        <v/>
      </c>
      <c r="BA570">
        <f>Assumptions!$B$32</f>
        <v/>
      </c>
      <c r="BB570">
        <f>Assumptions!$B$31</f>
        <v/>
      </c>
      <c r="BC570">
        <f>Assumptions!$B$30</f>
        <v/>
      </c>
      <c r="BD570">
        <f>Assumptions!$B$29</f>
        <v/>
      </c>
      <c r="BE570">
        <f>Assumptions!$B$28</f>
        <v/>
      </c>
      <c r="BF570">
        <f>P570*Assumptions!$B$141</f>
        <v/>
      </c>
      <c r="BG570">
        <f>P570*Assumptions!$B$128</f>
        <v/>
      </c>
      <c r="BH570">
        <f>P570*Assumptions!$B$129</f>
        <v/>
      </c>
      <c r="BI570">
        <f>P570*Assumptions!$B$14</f>
        <v/>
      </c>
      <c r="BJ570">
        <f>P570*Assumptions!$B$13</f>
        <v/>
      </c>
      <c r="BK570">
        <f>P570*Assumptions!$B$12</f>
        <v/>
      </c>
      <c r="BL570">
        <f>P570*Assumptions!$B$11</f>
        <v/>
      </c>
    </row>
    <row r="571">
      <c r="A571" t="inlineStr">
        <is>
          <t>8000M</t>
        </is>
      </c>
      <c r="B571">
        <f>Assumptions!$B$62</f>
        <v/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>
        <f>(1-C571)*Assumptions!$B$41+(1-D571)*Assumptions!$B$33+(1-E571)*Assumptions!$B$32+(1-F571)*Assumptions!$B$31+(1-G571)*Assumptions!$B$30+(1-H571)*Assumptions!$B$29+(1-I571)*Assumptions!$B$28</f>
        <v/>
      </c>
      <c r="K571">
        <f>C571*Assumptions!$B$141+D571*Assumptions!$B$128+E571*Assumptions!$B$129+F571*Assumptions!$B$14+G571*Assumptions!$B$13+H571*Assumptions!$B$12+I571*Assumptions!$B$11+Assumptions!$B$133+Assumptions!$B$137+Assumptions!$B$9</f>
        <v/>
      </c>
      <c r="L571">
        <f>B571-J571</f>
        <v/>
      </c>
      <c r="M571">
        <f>IF(K571&gt;0,IF(L571/K571&gt;=Assumptions!$B$37,1,0),0)</f>
        <v/>
      </c>
      <c r="N571">
        <f>K571+M571*Assumptions!$B$153</f>
        <v/>
      </c>
      <c r="O571">
        <f>L571+M571*Assumptions!$B$153*Assumptions!$B$37</f>
        <v/>
      </c>
      <c r="P571">
        <f>IF(N571&gt;0,O571/N571,0)</f>
        <v/>
      </c>
      <c r="Q571">
        <f>IF(C571=1,P571*Assumptions!$B$141,Assumptions!$B$41)</f>
        <v/>
      </c>
      <c r="R571">
        <f>IF(D571=1,P571*Assumptions!$B$128,Assumptions!$B$33)</f>
        <v/>
      </c>
      <c r="S571">
        <f>IF(E571=1,P571*Assumptions!$B$129,Assumptions!$B$32)</f>
        <v/>
      </c>
      <c r="T571">
        <f>IF(F571=1,P571*Assumptions!$B$14,Assumptions!$B$31)</f>
        <v/>
      </c>
      <c r="U571">
        <f>IF(G571=1,P571*Assumptions!$B$13,Assumptions!$B$30)</f>
        <v/>
      </c>
      <c r="V571">
        <f>IF(H571=1,P571*Assumptions!$B$12,Assumptions!$B$29)</f>
        <v/>
      </c>
      <c r="W571">
        <f>IF(I571=1,P571*Assumptions!$B$11,Assumptions!$B$28)</f>
        <v/>
      </c>
      <c r="X571">
        <f>P571*(Assumptions!$B$133+Assumptions!$B$137)</f>
        <v/>
      </c>
      <c r="Y571">
        <f>P571*Assumptions!$B$9</f>
        <v/>
      </c>
      <c r="Z571">
        <f>IF(M571=1,(P571-Assumptions!$B$37)*Assumptions!$B$153,0)</f>
        <v/>
      </c>
      <c r="AA571">
        <f>Q571+R571+S571+T571+U571+V571+W571+X571+Y571+Z571</f>
        <v/>
      </c>
      <c r="AB571" t="n">
        <v>8</v>
      </c>
      <c r="AC571" t="n">
        <v>72</v>
      </c>
      <c r="AD571" t="n">
        <v>40</v>
      </c>
      <c r="AE571" t="n">
        <v>24</v>
      </c>
      <c r="AF571" t="n">
        <v>0</v>
      </c>
      <c r="AG571" t="n">
        <v>12</v>
      </c>
      <c r="AH571" t="n">
        <v>10</v>
      </c>
      <c r="AI571" t="n">
        <v>9</v>
      </c>
      <c r="AJ571">
        <f>INDEX($Q$563:$Q$690,AC571+1)</f>
        <v/>
      </c>
      <c r="AK571">
        <f>INDEX($R$563:$R$690,AD571+1)</f>
        <v/>
      </c>
      <c r="AL571">
        <f>INDEX($S$563:$S$690,AE571+1)</f>
        <v/>
      </c>
      <c r="AM571">
        <f>INDEX($T$563:$T$690,AF571+1)</f>
        <v/>
      </c>
      <c r="AN571">
        <f>INDEX($U$563:$U$690,AG571+1)</f>
        <v/>
      </c>
      <c r="AO571">
        <f>INDEX($V$563:$V$690,AH571+1)</f>
        <v/>
      </c>
      <c r="AP571">
        <f>INDEX($W$563:$W$690,AI571+1)</f>
        <v/>
      </c>
      <c r="AQ571">
        <f>IF(Q571&gt;=AJ571-0.01,1,0)</f>
        <v/>
      </c>
      <c r="AR571">
        <f>IF(R571&gt;=AK571-0.01,1,0)</f>
        <v/>
      </c>
      <c r="AS571">
        <f>IF(S571&gt;=AL571-0.01,1,0)</f>
        <v/>
      </c>
      <c r="AT571">
        <f>IF(T571&gt;=AM571-0.01,1,0)</f>
        <v/>
      </c>
      <c r="AU571">
        <f>IF(U571&gt;=AN571-0.01,1,0)</f>
        <v/>
      </c>
      <c r="AV571">
        <f>IF(V571&gt;=AO571-0.01,1,0)</f>
        <v/>
      </c>
      <c r="AW571">
        <f>IF(W571&gt;=AP571-0.01,1,0)</f>
        <v/>
      </c>
      <c r="AX571">
        <f>AQ571*AR571*AS571*AT571*AU571*AV571*AW571</f>
        <v/>
      </c>
      <c r="AY571">
        <f>Assumptions!$B$41</f>
        <v/>
      </c>
      <c r="AZ571">
        <f>Assumptions!$B$33</f>
        <v/>
      </c>
      <c r="BA571">
        <f>Assumptions!$B$32</f>
        <v/>
      </c>
      <c r="BB571">
        <f>Assumptions!$B$31</f>
        <v/>
      </c>
      <c r="BC571">
        <f>Assumptions!$B$30</f>
        <v/>
      </c>
      <c r="BD571">
        <f>Assumptions!$B$29</f>
        <v/>
      </c>
      <c r="BE571">
        <f>Assumptions!$B$28</f>
        <v/>
      </c>
      <c r="BF571">
        <f>P571*Assumptions!$B$141</f>
        <v/>
      </c>
      <c r="BG571">
        <f>P571*Assumptions!$B$128</f>
        <v/>
      </c>
      <c r="BH571">
        <f>P571*Assumptions!$B$129</f>
        <v/>
      </c>
      <c r="BI571">
        <f>P571*Assumptions!$B$14</f>
        <v/>
      </c>
      <c r="BJ571">
        <f>P571*Assumptions!$B$13</f>
        <v/>
      </c>
      <c r="BK571">
        <f>P571*Assumptions!$B$12</f>
        <v/>
      </c>
      <c r="BL571">
        <f>P571*Assumptions!$B$11</f>
        <v/>
      </c>
    </row>
    <row r="572">
      <c r="A572" t="inlineStr">
        <is>
          <t>8000M</t>
        </is>
      </c>
      <c r="B572">
        <f>Assumptions!$B$62</f>
        <v/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>
        <f>(1-C572)*Assumptions!$B$41+(1-D572)*Assumptions!$B$33+(1-E572)*Assumptions!$B$32+(1-F572)*Assumptions!$B$31+(1-G572)*Assumptions!$B$30+(1-H572)*Assumptions!$B$29+(1-I572)*Assumptions!$B$28</f>
        <v/>
      </c>
      <c r="K572">
        <f>C572*Assumptions!$B$141+D572*Assumptions!$B$128+E572*Assumptions!$B$129+F572*Assumptions!$B$14+G572*Assumptions!$B$13+H572*Assumptions!$B$12+I572*Assumptions!$B$11+Assumptions!$B$133+Assumptions!$B$137+Assumptions!$B$9</f>
        <v/>
      </c>
      <c r="L572">
        <f>B572-J572</f>
        <v/>
      </c>
      <c r="M572">
        <f>IF(K572&gt;0,IF(L572/K572&gt;=Assumptions!$B$37,1,0),0)</f>
        <v/>
      </c>
      <c r="N572">
        <f>K572+M572*Assumptions!$B$153</f>
        <v/>
      </c>
      <c r="O572">
        <f>L572+M572*Assumptions!$B$153*Assumptions!$B$37</f>
        <v/>
      </c>
      <c r="P572">
        <f>IF(N572&gt;0,O572/N572,0)</f>
        <v/>
      </c>
      <c r="Q572">
        <f>IF(C572=1,P572*Assumptions!$B$141,Assumptions!$B$41)</f>
        <v/>
      </c>
      <c r="R572">
        <f>IF(D572=1,P572*Assumptions!$B$128,Assumptions!$B$33)</f>
        <v/>
      </c>
      <c r="S572">
        <f>IF(E572=1,P572*Assumptions!$B$129,Assumptions!$B$32)</f>
        <v/>
      </c>
      <c r="T572">
        <f>IF(F572=1,P572*Assumptions!$B$14,Assumptions!$B$31)</f>
        <v/>
      </c>
      <c r="U572">
        <f>IF(G572=1,P572*Assumptions!$B$13,Assumptions!$B$30)</f>
        <v/>
      </c>
      <c r="V572">
        <f>IF(H572=1,P572*Assumptions!$B$12,Assumptions!$B$29)</f>
        <v/>
      </c>
      <c r="W572">
        <f>IF(I572=1,P572*Assumptions!$B$11,Assumptions!$B$28)</f>
        <v/>
      </c>
      <c r="X572">
        <f>P572*(Assumptions!$B$133+Assumptions!$B$137)</f>
        <v/>
      </c>
      <c r="Y572">
        <f>P572*Assumptions!$B$9</f>
        <v/>
      </c>
      <c r="Z572">
        <f>IF(M572=1,(P572-Assumptions!$B$37)*Assumptions!$B$153,0)</f>
        <v/>
      </c>
      <c r="AA572">
        <f>Q572+R572+S572+T572+U572+V572+W572+X572+Y572+Z572</f>
        <v/>
      </c>
      <c r="AB572" t="n">
        <v>9</v>
      </c>
      <c r="AC572" t="n">
        <v>73</v>
      </c>
      <c r="AD572" t="n">
        <v>41</v>
      </c>
      <c r="AE572" t="n">
        <v>25</v>
      </c>
      <c r="AF572" t="n">
        <v>1</v>
      </c>
      <c r="AG572" t="n">
        <v>13</v>
      </c>
      <c r="AH572" t="n">
        <v>11</v>
      </c>
      <c r="AI572" t="n">
        <v>8</v>
      </c>
      <c r="AJ572">
        <f>INDEX($Q$563:$Q$690,AC572+1)</f>
        <v/>
      </c>
      <c r="AK572">
        <f>INDEX($R$563:$R$690,AD572+1)</f>
        <v/>
      </c>
      <c r="AL572">
        <f>INDEX($S$563:$S$690,AE572+1)</f>
        <v/>
      </c>
      <c r="AM572">
        <f>INDEX($T$563:$T$690,AF572+1)</f>
        <v/>
      </c>
      <c r="AN572">
        <f>INDEX($U$563:$U$690,AG572+1)</f>
        <v/>
      </c>
      <c r="AO572">
        <f>INDEX($V$563:$V$690,AH572+1)</f>
        <v/>
      </c>
      <c r="AP572">
        <f>INDEX($W$563:$W$690,AI572+1)</f>
        <v/>
      </c>
      <c r="AQ572">
        <f>IF(Q572&gt;=AJ572-0.01,1,0)</f>
        <v/>
      </c>
      <c r="AR572">
        <f>IF(R572&gt;=AK572-0.01,1,0)</f>
        <v/>
      </c>
      <c r="AS572">
        <f>IF(S572&gt;=AL572-0.01,1,0)</f>
        <v/>
      </c>
      <c r="AT572">
        <f>IF(T572&gt;=AM572-0.01,1,0)</f>
        <v/>
      </c>
      <c r="AU572">
        <f>IF(U572&gt;=AN572-0.01,1,0)</f>
        <v/>
      </c>
      <c r="AV572">
        <f>IF(V572&gt;=AO572-0.01,1,0)</f>
        <v/>
      </c>
      <c r="AW572">
        <f>IF(W572&gt;=AP572-0.01,1,0)</f>
        <v/>
      </c>
      <c r="AX572">
        <f>AQ572*AR572*AS572*AT572*AU572*AV572*AW572</f>
        <v/>
      </c>
      <c r="AY572">
        <f>Assumptions!$B$41</f>
        <v/>
      </c>
      <c r="AZ572">
        <f>Assumptions!$B$33</f>
        <v/>
      </c>
      <c r="BA572">
        <f>Assumptions!$B$32</f>
        <v/>
      </c>
      <c r="BB572">
        <f>Assumptions!$B$31</f>
        <v/>
      </c>
      <c r="BC572">
        <f>Assumptions!$B$30</f>
        <v/>
      </c>
      <c r="BD572">
        <f>Assumptions!$B$29</f>
        <v/>
      </c>
      <c r="BE572">
        <f>Assumptions!$B$28</f>
        <v/>
      </c>
      <c r="BF572">
        <f>P572*Assumptions!$B$141</f>
        <v/>
      </c>
      <c r="BG572">
        <f>P572*Assumptions!$B$128</f>
        <v/>
      </c>
      <c r="BH572">
        <f>P572*Assumptions!$B$129</f>
        <v/>
      </c>
      <c r="BI572">
        <f>P572*Assumptions!$B$14</f>
        <v/>
      </c>
      <c r="BJ572">
        <f>P572*Assumptions!$B$13</f>
        <v/>
      </c>
      <c r="BK572">
        <f>P572*Assumptions!$B$12</f>
        <v/>
      </c>
      <c r="BL572">
        <f>P572*Assumptions!$B$11</f>
        <v/>
      </c>
    </row>
    <row r="573">
      <c r="A573" t="inlineStr">
        <is>
          <t>8000M</t>
        </is>
      </c>
      <c r="B573">
        <f>Assumptions!$B$62</f>
        <v/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>
        <f>(1-C573)*Assumptions!$B$41+(1-D573)*Assumptions!$B$33+(1-E573)*Assumptions!$B$32+(1-F573)*Assumptions!$B$31+(1-G573)*Assumptions!$B$30+(1-H573)*Assumptions!$B$29+(1-I573)*Assumptions!$B$28</f>
        <v/>
      </c>
      <c r="K573">
        <f>C573*Assumptions!$B$141+D573*Assumptions!$B$128+E573*Assumptions!$B$129+F573*Assumptions!$B$14+G573*Assumptions!$B$13+H573*Assumptions!$B$12+I573*Assumptions!$B$11+Assumptions!$B$133+Assumptions!$B$137+Assumptions!$B$9</f>
        <v/>
      </c>
      <c r="L573">
        <f>B573-J573</f>
        <v/>
      </c>
      <c r="M573">
        <f>IF(K573&gt;0,IF(L573/K573&gt;=Assumptions!$B$37,1,0),0)</f>
        <v/>
      </c>
      <c r="N573">
        <f>K573+M573*Assumptions!$B$153</f>
        <v/>
      </c>
      <c r="O573">
        <f>L573+M573*Assumptions!$B$153*Assumptions!$B$37</f>
        <v/>
      </c>
      <c r="P573">
        <f>IF(N573&gt;0,O573/N573,0)</f>
        <v/>
      </c>
      <c r="Q573">
        <f>IF(C573=1,P573*Assumptions!$B$141,Assumptions!$B$41)</f>
        <v/>
      </c>
      <c r="R573">
        <f>IF(D573=1,P573*Assumptions!$B$128,Assumptions!$B$33)</f>
        <v/>
      </c>
      <c r="S573">
        <f>IF(E573=1,P573*Assumptions!$B$129,Assumptions!$B$32)</f>
        <v/>
      </c>
      <c r="T573">
        <f>IF(F573=1,P573*Assumptions!$B$14,Assumptions!$B$31)</f>
        <v/>
      </c>
      <c r="U573">
        <f>IF(G573=1,P573*Assumptions!$B$13,Assumptions!$B$30)</f>
        <v/>
      </c>
      <c r="V573">
        <f>IF(H573=1,P573*Assumptions!$B$12,Assumptions!$B$29)</f>
        <v/>
      </c>
      <c r="W573">
        <f>IF(I573=1,P573*Assumptions!$B$11,Assumptions!$B$28)</f>
        <v/>
      </c>
      <c r="X573">
        <f>P573*(Assumptions!$B$133+Assumptions!$B$137)</f>
        <v/>
      </c>
      <c r="Y573">
        <f>P573*Assumptions!$B$9</f>
        <v/>
      </c>
      <c r="Z573">
        <f>IF(M573=1,(P573-Assumptions!$B$37)*Assumptions!$B$153,0)</f>
        <v/>
      </c>
      <c r="AA573">
        <f>Q573+R573+S573+T573+U573+V573+W573+X573+Y573+Z573</f>
        <v/>
      </c>
      <c r="AB573" t="n">
        <v>10</v>
      </c>
      <c r="AC573" t="n">
        <v>74</v>
      </c>
      <c r="AD573" t="n">
        <v>42</v>
      </c>
      <c r="AE573" t="n">
        <v>26</v>
      </c>
      <c r="AF573" t="n">
        <v>2</v>
      </c>
      <c r="AG573" t="n">
        <v>14</v>
      </c>
      <c r="AH573" t="n">
        <v>8</v>
      </c>
      <c r="AI573" t="n">
        <v>11</v>
      </c>
      <c r="AJ573">
        <f>INDEX($Q$563:$Q$690,AC573+1)</f>
        <v/>
      </c>
      <c r="AK573">
        <f>INDEX($R$563:$R$690,AD573+1)</f>
        <v/>
      </c>
      <c r="AL573">
        <f>INDEX($S$563:$S$690,AE573+1)</f>
        <v/>
      </c>
      <c r="AM573">
        <f>INDEX($T$563:$T$690,AF573+1)</f>
        <v/>
      </c>
      <c r="AN573">
        <f>INDEX($U$563:$U$690,AG573+1)</f>
        <v/>
      </c>
      <c r="AO573">
        <f>INDEX($V$563:$V$690,AH573+1)</f>
        <v/>
      </c>
      <c r="AP573">
        <f>INDEX($W$563:$W$690,AI573+1)</f>
        <v/>
      </c>
      <c r="AQ573">
        <f>IF(Q573&gt;=AJ573-0.01,1,0)</f>
        <v/>
      </c>
      <c r="AR573">
        <f>IF(R573&gt;=AK573-0.01,1,0)</f>
        <v/>
      </c>
      <c r="AS573">
        <f>IF(S573&gt;=AL573-0.01,1,0)</f>
        <v/>
      </c>
      <c r="AT573">
        <f>IF(T573&gt;=AM573-0.01,1,0)</f>
        <v/>
      </c>
      <c r="AU573">
        <f>IF(U573&gt;=AN573-0.01,1,0)</f>
        <v/>
      </c>
      <c r="AV573">
        <f>IF(V573&gt;=AO573-0.01,1,0)</f>
        <v/>
      </c>
      <c r="AW573">
        <f>IF(W573&gt;=AP573-0.01,1,0)</f>
        <v/>
      </c>
      <c r="AX573">
        <f>AQ573*AR573*AS573*AT573*AU573*AV573*AW573</f>
        <v/>
      </c>
      <c r="AY573">
        <f>Assumptions!$B$41</f>
        <v/>
      </c>
      <c r="AZ573">
        <f>Assumptions!$B$33</f>
        <v/>
      </c>
      <c r="BA573">
        <f>Assumptions!$B$32</f>
        <v/>
      </c>
      <c r="BB573">
        <f>Assumptions!$B$31</f>
        <v/>
      </c>
      <c r="BC573">
        <f>Assumptions!$B$30</f>
        <v/>
      </c>
      <c r="BD573">
        <f>Assumptions!$B$29</f>
        <v/>
      </c>
      <c r="BE573">
        <f>Assumptions!$B$28</f>
        <v/>
      </c>
      <c r="BF573">
        <f>P573*Assumptions!$B$141</f>
        <v/>
      </c>
      <c r="BG573">
        <f>P573*Assumptions!$B$128</f>
        <v/>
      </c>
      <c r="BH573">
        <f>P573*Assumptions!$B$129</f>
        <v/>
      </c>
      <c r="BI573">
        <f>P573*Assumptions!$B$14</f>
        <v/>
      </c>
      <c r="BJ573">
        <f>P573*Assumptions!$B$13</f>
        <v/>
      </c>
      <c r="BK573">
        <f>P573*Assumptions!$B$12</f>
        <v/>
      </c>
      <c r="BL573">
        <f>P573*Assumptions!$B$11</f>
        <v/>
      </c>
    </row>
    <row r="574">
      <c r="A574" t="inlineStr">
        <is>
          <t>8000M</t>
        </is>
      </c>
      <c r="B574">
        <f>Assumptions!$B$62</f>
        <v/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>
        <f>(1-C574)*Assumptions!$B$41+(1-D574)*Assumptions!$B$33+(1-E574)*Assumptions!$B$32+(1-F574)*Assumptions!$B$31+(1-G574)*Assumptions!$B$30+(1-H574)*Assumptions!$B$29+(1-I574)*Assumptions!$B$28</f>
        <v/>
      </c>
      <c r="K574">
        <f>C574*Assumptions!$B$141+D574*Assumptions!$B$128+E574*Assumptions!$B$129+F574*Assumptions!$B$14+G574*Assumptions!$B$13+H574*Assumptions!$B$12+I574*Assumptions!$B$11+Assumptions!$B$133+Assumptions!$B$137+Assumptions!$B$9</f>
        <v/>
      </c>
      <c r="L574">
        <f>B574-J574</f>
        <v/>
      </c>
      <c r="M574">
        <f>IF(K574&gt;0,IF(L574/K574&gt;=Assumptions!$B$37,1,0),0)</f>
        <v/>
      </c>
      <c r="N574">
        <f>K574+M574*Assumptions!$B$153</f>
        <v/>
      </c>
      <c r="O574">
        <f>L574+M574*Assumptions!$B$153*Assumptions!$B$37</f>
        <v/>
      </c>
      <c r="P574">
        <f>IF(N574&gt;0,O574/N574,0)</f>
        <v/>
      </c>
      <c r="Q574">
        <f>IF(C574=1,P574*Assumptions!$B$141,Assumptions!$B$41)</f>
        <v/>
      </c>
      <c r="R574">
        <f>IF(D574=1,P574*Assumptions!$B$128,Assumptions!$B$33)</f>
        <v/>
      </c>
      <c r="S574">
        <f>IF(E574=1,P574*Assumptions!$B$129,Assumptions!$B$32)</f>
        <v/>
      </c>
      <c r="T574">
        <f>IF(F574=1,P574*Assumptions!$B$14,Assumptions!$B$31)</f>
        <v/>
      </c>
      <c r="U574">
        <f>IF(G574=1,P574*Assumptions!$B$13,Assumptions!$B$30)</f>
        <v/>
      </c>
      <c r="V574">
        <f>IF(H574=1,P574*Assumptions!$B$12,Assumptions!$B$29)</f>
        <v/>
      </c>
      <c r="W574">
        <f>IF(I574=1,P574*Assumptions!$B$11,Assumptions!$B$28)</f>
        <v/>
      </c>
      <c r="X574">
        <f>P574*(Assumptions!$B$133+Assumptions!$B$137)</f>
        <v/>
      </c>
      <c r="Y574">
        <f>P574*Assumptions!$B$9</f>
        <v/>
      </c>
      <c r="Z574">
        <f>IF(M574=1,(P574-Assumptions!$B$37)*Assumptions!$B$153,0)</f>
        <v/>
      </c>
      <c r="AA574">
        <f>Q574+R574+S574+T574+U574+V574+W574+X574+Y574+Z574</f>
        <v/>
      </c>
      <c r="AB574" t="n">
        <v>11</v>
      </c>
      <c r="AC574" t="n">
        <v>75</v>
      </c>
      <c r="AD574" t="n">
        <v>43</v>
      </c>
      <c r="AE574" t="n">
        <v>27</v>
      </c>
      <c r="AF574" t="n">
        <v>3</v>
      </c>
      <c r="AG574" t="n">
        <v>15</v>
      </c>
      <c r="AH574" t="n">
        <v>9</v>
      </c>
      <c r="AI574" t="n">
        <v>10</v>
      </c>
      <c r="AJ574">
        <f>INDEX($Q$563:$Q$690,AC574+1)</f>
        <v/>
      </c>
      <c r="AK574">
        <f>INDEX($R$563:$R$690,AD574+1)</f>
        <v/>
      </c>
      <c r="AL574">
        <f>INDEX($S$563:$S$690,AE574+1)</f>
        <v/>
      </c>
      <c r="AM574">
        <f>INDEX($T$563:$T$690,AF574+1)</f>
        <v/>
      </c>
      <c r="AN574">
        <f>INDEX($U$563:$U$690,AG574+1)</f>
        <v/>
      </c>
      <c r="AO574">
        <f>INDEX($V$563:$V$690,AH574+1)</f>
        <v/>
      </c>
      <c r="AP574">
        <f>INDEX($W$563:$W$690,AI574+1)</f>
        <v/>
      </c>
      <c r="AQ574">
        <f>IF(Q574&gt;=AJ574-0.01,1,0)</f>
        <v/>
      </c>
      <c r="AR574">
        <f>IF(R574&gt;=AK574-0.01,1,0)</f>
        <v/>
      </c>
      <c r="AS574">
        <f>IF(S574&gt;=AL574-0.01,1,0)</f>
        <v/>
      </c>
      <c r="AT574">
        <f>IF(T574&gt;=AM574-0.01,1,0)</f>
        <v/>
      </c>
      <c r="AU574">
        <f>IF(U574&gt;=AN574-0.01,1,0)</f>
        <v/>
      </c>
      <c r="AV574">
        <f>IF(V574&gt;=AO574-0.01,1,0)</f>
        <v/>
      </c>
      <c r="AW574">
        <f>IF(W574&gt;=AP574-0.01,1,0)</f>
        <v/>
      </c>
      <c r="AX574">
        <f>AQ574*AR574*AS574*AT574*AU574*AV574*AW574</f>
        <v/>
      </c>
      <c r="AY574">
        <f>Assumptions!$B$41</f>
        <v/>
      </c>
      <c r="AZ574">
        <f>Assumptions!$B$33</f>
        <v/>
      </c>
      <c r="BA574">
        <f>Assumptions!$B$32</f>
        <v/>
      </c>
      <c r="BB574">
        <f>Assumptions!$B$31</f>
        <v/>
      </c>
      <c r="BC574">
        <f>Assumptions!$B$30</f>
        <v/>
      </c>
      <c r="BD574">
        <f>Assumptions!$B$29</f>
        <v/>
      </c>
      <c r="BE574">
        <f>Assumptions!$B$28</f>
        <v/>
      </c>
      <c r="BF574">
        <f>P574*Assumptions!$B$141</f>
        <v/>
      </c>
      <c r="BG574">
        <f>P574*Assumptions!$B$128</f>
        <v/>
      </c>
      <c r="BH574">
        <f>P574*Assumptions!$B$129</f>
        <v/>
      </c>
      <c r="BI574">
        <f>P574*Assumptions!$B$14</f>
        <v/>
      </c>
      <c r="BJ574">
        <f>P574*Assumptions!$B$13</f>
        <v/>
      </c>
      <c r="BK574">
        <f>P574*Assumptions!$B$12</f>
        <v/>
      </c>
      <c r="BL574">
        <f>P574*Assumptions!$B$11</f>
        <v/>
      </c>
    </row>
    <row r="575">
      <c r="A575" t="inlineStr">
        <is>
          <t>8000M</t>
        </is>
      </c>
      <c r="B575">
        <f>Assumptions!$B$62</f>
        <v/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>
        <f>(1-C575)*Assumptions!$B$41+(1-D575)*Assumptions!$B$33+(1-E575)*Assumptions!$B$32+(1-F575)*Assumptions!$B$31+(1-G575)*Assumptions!$B$30+(1-H575)*Assumptions!$B$29+(1-I575)*Assumptions!$B$28</f>
        <v/>
      </c>
      <c r="K575">
        <f>C575*Assumptions!$B$141+D575*Assumptions!$B$128+E575*Assumptions!$B$129+F575*Assumptions!$B$14+G575*Assumptions!$B$13+H575*Assumptions!$B$12+I575*Assumptions!$B$11+Assumptions!$B$133+Assumptions!$B$137+Assumptions!$B$9</f>
        <v/>
      </c>
      <c r="L575">
        <f>B575-J575</f>
        <v/>
      </c>
      <c r="M575">
        <f>IF(K575&gt;0,IF(L575/K575&gt;=Assumptions!$B$37,1,0),0)</f>
        <v/>
      </c>
      <c r="N575">
        <f>K575+M575*Assumptions!$B$153</f>
        <v/>
      </c>
      <c r="O575">
        <f>L575+M575*Assumptions!$B$153*Assumptions!$B$37</f>
        <v/>
      </c>
      <c r="P575">
        <f>IF(N575&gt;0,O575/N575,0)</f>
        <v/>
      </c>
      <c r="Q575">
        <f>IF(C575=1,P575*Assumptions!$B$141,Assumptions!$B$41)</f>
        <v/>
      </c>
      <c r="R575">
        <f>IF(D575=1,P575*Assumptions!$B$128,Assumptions!$B$33)</f>
        <v/>
      </c>
      <c r="S575">
        <f>IF(E575=1,P575*Assumptions!$B$129,Assumptions!$B$32)</f>
        <v/>
      </c>
      <c r="T575">
        <f>IF(F575=1,P575*Assumptions!$B$14,Assumptions!$B$31)</f>
        <v/>
      </c>
      <c r="U575">
        <f>IF(G575=1,P575*Assumptions!$B$13,Assumptions!$B$30)</f>
        <v/>
      </c>
      <c r="V575">
        <f>IF(H575=1,P575*Assumptions!$B$12,Assumptions!$B$29)</f>
        <v/>
      </c>
      <c r="W575">
        <f>IF(I575=1,P575*Assumptions!$B$11,Assumptions!$B$28)</f>
        <v/>
      </c>
      <c r="X575">
        <f>P575*(Assumptions!$B$133+Assumptions!$B$137)</f>
        <v/>
      </c>
      <c r="Y575">
        <f>P575*Assumptions!$B$9</f>
        <v/>
      </c>
      <c r="Z575">
        <f>IF(M575=1,(P575-Assumptions!$B$37)*Assumptions!$B$153,0)</f>
        <v/>
      </c>
      <c r="AA575">
        <f>Q575+R575+S575+T575+U575+V575+W575+X575+Y575+Z575</f>
        <v/>
      </c>
      <c r="AB575" t="n">
        <v>12</v>
      </c>
      <c r="AC575" t="n">
        <v>76</v>
      </c>
      <c r="AD575" t="n">
        <v>44</v>
      </c>
      <c r="AE575" t="n">
        <v>28</v>
      </c>
      <c r="AF575" t="n">
        <v>4</v>
      </c>
      <c r="AG575" t="n">
        <v>8</v>
      </c>
      <c r="AH575" t="n">
        <v>14</v>
      </c>
      <c r="AI575" t="n">
        <v>13</v>
      </c>
      <c r="AJ575">
        <f>INDEX($Q$563:$Q$690,AC575+1)</f>
        <v/>
      </c>
      <c r="AK575">
        <f>INDEX($R$563:$R$690,AD575+1)</f>
        <v/>
      </c>
      <c r="AL575">
        <f>INDEX($S$563:$S$690,AE575+1)</f>
        <v/>
      </c>
      <c r="AM575">
        <f>INDEX($T$563:$T$690,AF575+1)</f>
        <v/>
      </c>
      <c r="AN575">
        <f>INDEX($U$563:$U$690,AG575+1)</f>
        <v/>
      </c>
      <c r="AO575">
        <f>INDEX($V$563:$V$690,AH575+1)</f>
        <v/>
      </c>
      <c r="AP575">
        <f>INDEX($W$563:$W$690,AI575+1)</f>
        <v/>
      </c>
      <c r="AQ575">
        <f>IF(Q575&gt;=AJ575-0.01,1,0)</f>
        <v/>
      </c>
      <c r="AR575">
        <f>IF(R575&gt;=AK575-0.01,1,0)</f>
        <v/>
      </c>
      <c r="AS575">
        <f>IF(S575&gt;=AL575-0.01,1,0)</f>
        <v/>
      </c>
      <c r="AT575">
        <f>IF(T575&gt;=AM575-0.01,1,0)</f>
        <v/>
      </c>
      <c r="AU575">
        <f>IF(U575&gt;=AN575-0.01,1,0)</f>
        <v/>
      </c>
      <c r="AV575">
        <f>IF(V575&gt;=AO575-0.01,1,0)</f>
        <v/>
      </c>
      <c r="AW575">
        <f>IF(W575&gt;=AP575-0.01,1,0)</f>
        <v/>
      </c>
      <c r="AX575">
        <f>AQ575*AR575*AS575*AT575*AU575*AV575*AW575</f>
        <v/>
      </c>
      <c r="AY575">
        <f>Assumptions!$B$41</f>
        <v/>
      </c>
      <c r="AZ575">
        <f>Assumptions!$B$33</f>
        <v/>
      </c>
      <c r="BA575">
        <f>Assumptions!$B$32</f>
        <v/>
      </c>
      <c r="BB575">
        <f>Assumptions!$B$31</f>
        <v/>
      </c>
      <c r="BC575">
        <f>Assumptions!$B$30</f>
        <v/>
      </c>
      <c r="BD575">
        <f>Assumptions!$B$29</f>
        <v/>
      </c>
      <c r="BE575">
        <f>Assumptions!$B$28</f>
        <v/>
      </c>
      <c r="BF575">
        <f>P575*Assumptions!$B$141</f>
        <v/>
      </c>
      <c r="BG575">
        <f>P575*Assumptions!$B$128</f>
        <v/>
      </c>
      <c r="BH575">
        <f>P575*Assumptions!$B$129</f>
        <v/>
      </c>
      <c r="BI575">
        <f>P575*Assumptions!$B$14</f>
        <v/>
      </c>
      <c r="BJ575">
        <f>P575*Assumptions!$B$13</f>
        <v/>
      </c>
      <c r="BK575">
        <f>P575*Assumptions!$B$12</f>
        <v/>
      </c>
      <c r="BL575">
        <f>P575*Assumptions!$B$11</f>
        <v/>
      </c>
    </row>
    <row r="576">
      <c r="A576" t="inlineStr">
        <is>
          <t>8000M</t>
        </is>
      </c>
      <c r="B576">
        <f>Assumptions!$B$62</f>
        <v/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1</v>
      </c>
      <c r="J576">
        <f>(1-C576)*Assumptions!$B$41+(1-D576)*Assumptions!$B$33+(1-E576)*Assumptions!$B$32+(1-F576)*Assumptions!$B$31+(1-G576)*Assumptions!$B$30+(1-H576)*Assumptions!$B$29+(1-I576)*Assumptions!$B$28</f>
        <v/>
      </c>
      <c r="K576">
        <f>C576*Assumptions!$B$141+D576*Assumptions!$B$128+E576*Assumptions!$B$129+F576*Assumptions!$B$14+G576*Assumptions!$B$13+H576*Assumptions!$B$12+I576*Assumptions!$B$11+Assumptions!$B$133+Assumptions!$B$137+Assumptions!$B$9</f>
        <v/>
      </c>
      <c r="L576">
        <f>B576-J576</f>
        <v/>
      </c>
      <c r="M576">
        <f>IF(K576&gt;0,IF(L576/K576&gt;=Assumptions!$B$37,1,0),0)</f>
        <v/>
      </c>
      <c r="N576">
        <f>K576+M576*Assumptions!$B$153</f>
        <v/>
      </c>
      <c r="O576">
        <f>L576+M576*Assumptions!$B$153*Assumptions!$B$37</f>
        <v/>
      </c>
      <c r="P576">
        <f>IF(N576&gt;0,O576/N576,0)</f>
        <v/>
      </c>
      <c r="Q576">
        <f>IF(C576=1,P576*Assumptions!$B$141,Assumptions!$B$41)</f>
        <v/>
      </c>
      <c r="R576">
        <f>IF(D576=1,P576*Assumptions!$B$128,Assumptions!$B$33)</f>
        <v/>
      </c>
      <c r="S576">
        <f>IF(E576=1,P576*Assumptions!$B$129,Assumptions!$B$32)</f>
        <v/>
      </c>
      <c r="T576">
        <f>IF(F576=1,P576*Assumptions!$B$14,Assumptions!$B$31)</f>
        <v/>
      </c>
      <c r="U576">
        <f>IF(G576=1,P576*Assumptions!$B$13,Assumptions!$B$30)</f>
        <v/>
      </c>
      <c r="V576">
        <f>IF(H576=1,P576*Assumptions!$B$12,Assumptions!$B$29)</f>
        <v/>
      </c>
      <c r="W576">
        <f>IF(I576=1,P576*Assumptions!$B$11,Assumptions!$B$28)</f>
        <v/>
      </c>
      <c r="X576">
        <f>P576*(Assumptions!$B$133+Assumptions!$B$137)</f>
        <v/>
      </c>
      <c r="Y576">
        <f>P576*Assumptions!$B$9</f>
        <v/>
      </c>
      <c r="Z576">
        <f>IF(M576=1,(P576-Assumptions!$B$37)*Assumptions!$B$153,0)</f>
        <v/>
      </c>
      <c r="AA576">
        <f>Q576+R576+S576+T576+U576+V576+W576+X576+Y576+Z576</f>
        <v/>
      </c>
      <c r="AB576" t="n">
        <v>13</v>
      </c>
      <c r="AC576" t="n">
        <v>77</v>
      </c>
      <c r="AD576" t="n">
        <v>45</v>
      </c>
      <c r="AE576" t="n">
        <v>29</v>
      </c>
      <c r="AF576" t="n">
        <v>5</v>
      </c>
      <c r="AG576" t="n">
        <v>9</v>
      </c>
      <c r="AH576" t="n">
        <v>15</v>
      </c>
      <c r="AI576" t="n">
        <v>12</v>
      </c>
      <c r="AJ576">
        <f>INDEX($Q$563:$Q$690,AC576+1)</f>
        <v/>
      </c>
      <c r="AK576">
        <f>INDEX($R$563:$R$690,AD576+1)</f>
        <v/>
      </c>
      <c r="AL576">
        <f>INDEX($S$563:$S$690,AE576+1)</f>
        <v/>
      </c>
      <c r="AM576">
        <f>INDEX($T$563:$T$690,AF576+1)</f>
        <v/>
      </c>
      <c r="AN576">
        <f>INDEX($U$563:$U$690,AG576+1)</f>
        <v/>
      </c>
      <c r="AO576">
        <f>INDEX($V$563:$V$690,AH576+1)</f>
        <v/>
      </c>
      <c r="AP576">
        <f>INDEX($W$563:$W$690,AI576+1)</f>
        <v/>
      </c>
      <c r="AQ576">
        <f>IF(Q576&gt;=AJ576-0.01,1,0)</f>
        <v/>
      </c>
      <c r="AR576">
        <f>IF(R576&gt;=AK576-0.01,1,0)</f>
        <v/>
      </c>
      <c r="AS576">
        <f>IF(S576&gt;=AL576-0.01,1,0)</f>
        <v/>
      </c>
      <c r="AT576">
        <f>IF(T576&gt;=AM576-0.01,1,0)</f>
        <v/>
      </c>
      <c r="AU576">
        <f>IF(U576&gt;=AN576-0.01,1,0)</f>
        <v/>
      </c>
      <c r="AV576">
        <f>IF(V576&gt;=AO576-0.01,1,0)</f>
        <v/>
      </c>
      <c r="AW576">
        <f>IF(W576&gt;=AP576-0.01,1,0)</f>
        <v/>
      </c>
      <c r="AX576">
        <f>AQ576*AR576*AS576*AT576*AU576*AV576*AW576</f>
        <v/>
      </c>
      <c r="AY576">
        <f>Assumptions!$B$41</f>
        <v/>
      </c>
      <c r="AZ576">
        <f>Assumptions!$B$33</f>
        <v/>
      </c>
      <c r="BA576">
        <f>Assumptions!$B$32</f>
        <v/>
      </c>
      <c r="BB576">
        <f>Assumptions!$B$31</f>
        <v/>
      </c>
      <c r="BC576">
        <f>Assumptions!$B$30</f>
        <v/>
      </c>
      <c r="BD576">
        <f>Assumptions!$B$29</f>
        <v/>
      </c>
      <c r="BE576">
        <f>Assumptions!$B$28</f>
        <v/>
      </c>
      <c r="BF576">
        <f>P576*Assumptions!$B$141</f>
        <v/>
      </c>
      <c r="BG576">
        <f>P576*Assumptions!$B$128</f>
        <v/>
      </c>
      <c r="BH576">
        <f>P576*Assumptions!$B$129</f>
        <v/>
      </c>
      <c r="BI576">
        <f>P576*Assumptions!$B$14</f>
        <v/>
      </c>
      <c r="BJ576">
        <f>P576*Assumptions!$B$13</f>
        <v/>
      </c>
      <c r="BK576">
        <f>P576*Assumptions!$B$12</f>
        <v/>
      </c>
      <c r="BL576">
        <f>P576*Assumptions!$B$11</f>
        <v/>
      </c>
    </row>
    <row r="577">
      <c r="A577" t="inlineStr">
        <is>
          <t>8000M</t>
        </is>
      </c>
      <c r="B577">
        <f>Assumptions!$B$62</f>
        <v/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>
        <f>(1-C577)*Assumptions!$B$41+(1-D577)*Assumptions!$B$33+(1-E577)*Assumptions!$B$32+(1-F577)*Assumptions!$B$31+(1-G577)*Assumptions!$B$30+(1-H577)*Assumptions!$B$29+(1-I577)*Assumptions!$B$28</f>
        <v/>
      </c>
      <c r="K577">
        <f>C577*Assumptions!$B$141+D577*Assumptions!$B$128+E577*Assumptions!$B$129+F577*Assumptions!$B$14+G577*Assumptions!$B$13+H577*Assumptions!$B$12+I577*Assumptions!$B$11+Assumptions!$B$133+Assumptions!$B$137+Assumptions!$B$9</f>
        <v/>
      </c>
      <c r="L577">
        <f>B577-J577</f>
        <v/>
      </c>
      <c r="M577">
        <f>IF(K577&gt;0,IF(L577/K577&gt;=Assumptions!$B$37,1,0),0)</f>
        <v/>
      </c>
      <c r="N577">
        <f>K577+M577*Assumptions!$B$153</f>
        <v/>
      </c>
      <c r="O577">
        <f>L577+M577*Assumptions!$B$153*Assumptions!$B$37</f>
        <v/>
      </c>
      <c r="P577">
        <f>IF(N577&gt;0,O577/N577,0)</f>
        <v/>
      </c>
      <c r="Q577">
        <f>IF(C577=1,P577*Assumptions!$B$141,Assumptions!$B$41)</f>
        <v/>
      </c>
      <c r="R577">
        <f>IF(D577=1,P577*Assumptions!$B$128,Assumptions!$B$33)</f>
        <v/>
      </c>
      <c r="S577">
        <f>IF(E577=1,P577*Assumptions!$B$129,Assumptions!$B$32)</f>
        <v/>
      </c>
      <c r="T577">
        <f>IF(F577=1,P577*Assumptions!$B$14,Assumptions!$B$31)</f>
        <v/>
      </c>
      <c r="U577">
        <f>IF(G577=1,P577*Assumptions!$B$13,Assumptions!$B$30)</f>
        <v/>
      </c>
      <c r="V577">
        <f>IF(H577=1,P577*Assumptions!$B$12,Assumptions!$B$29)</f>
        <v/>
      </c>
      <c r="W577">
        <f>IF(I577=1,P577*Assumptions!$B$11,Assumptions!$B$28)</f>
        <v/>
      </c>
      <c r="X577">
        <f>P577*(Assumptions!$B$133+Assumptions!$B$137)</f>
        <v/>
      </c>
      <c r="Y577">
        <f>P577*Assumptions!$B$9</f>
        <v/>
      </c>
      <c r="Z577">
        <f>IF(M577=1,(P577-Assumptions!$B$37)*Assumptions!$B$153,0)</f>
        <v/>
      </c>
      <c r="AA577">
        <f>Q577+R577+S577+T577+U577+V577+W577+X577+Y577+Z577</f>
        <v/>
      </c>
      <c r="AB577" t="n">
        <v>14</v>
      </c>
      <c r="AC577" t="n">
        <v>78</v>
      </c>
      <c r="AD577" t="n">
        <v>46</v>
      </c>
      <c r="AE577" t="n">
        <v>30</v>
      </c>
      <c r="AF577" t="n">
        <v>6</v>
      </c>
      <c r="AG577" t="n">
        <v>10</v>
      </c>
      <c r="AH577" t="n">
        <v>12</v>
      </c>
      <c r="AI577" t="n">
        <v>15</v>
      </c>
      <c r="AJ577">
        <f>INDEX($Q$563:$Q$690,AC577+1)</f>
        <v/>
      </c>
      <c r="AK577">
        <f>INDEX($R$563:$R$690,AD577+1)</f>
        <v/>
      </c>
      <c r="AL577">
        <f>INDEX($S$563:$S$690,AE577+1)</f>
        <v/>
      </c>
      <c r="AM577">
        <f>INDEX($T$563:$T$690,AF577+1)</f>
        <v/>
      </c>
      <c r="AN577">
        <f>INDEX($U$563:$U$690,AG577+1)</f>
        <v/>
      </c>
      <c r="AO577">
        <f>INDEX($V$563:$V$690,AH577+1)</f>
        <v/>
      </c>
      <c r="AP577">
        <f>INDEX($W$563:$W$690,AI577+1)</f>
        <v/>
      </c>
      <c r="AQ577">
        <f>IF(Q577&gt;=AJ577-0.01,1,0)</f>
        <v/>
      </c>
      <c r="AR577">
        <f>IF(R577&gt;=AK577-0.01,1,0)</f>
        <v/>
      </c>
      <c r="AS577">
        <f>IF(S577&gt;=AL577-0.01,1,0)</f>
        <v/>
      </c>
      <c r="AT577">
        <f>IF(T577&gt;=AM577-0.01,1,0)</f>
        <v/>
      </c>
      <c r="AU577">
        <f>IF(U577&gt;=AN577-0.01,1,0)</f>
        <v/>
      </c>
      <c r="AV577">
        <f>IF(V577&gt;=AO577-0.01,1,0)</f>
        <v/>
      </c>
      <c r="AW577">
        <f>IF(W577&gt;=AP577-0.01,1,0)</f>
        <v/>
      </c>
      <c r="AX577">
        <f>AQ577*AR577*AS577*AT577*AU577*AV577*AW577</f>
        <v/>
      </c>
      <c r="AY577">
        <f>Assumptions!$B$41</f>
        <v/>
      </c>
      <c r="AZ577">
        <f>Assumptions!$B$33</f>
        <v/>
      </c>
      <c r="BA577">
        <f>Assumptions!$B$32</f>
        <v/>
      </c>
      <c r="BB577">
        <f>Assumptions!$B$31</f>
        <v/>
      </c>
      <c r="BC577">
        <f>Assumptions!$B$30</f>
        <v/>
      </c>
      <c r="BD577">
        <f>Assumptions!$B$29</f>
        <v/>
      </c>
      <c r="BE577">
        <f>Assumptions!$B$28</f>
        <v/>
      </c>
      <c r="BF577">
        <f>P577*Assumptions!$B$141</f>
        <v/>
      </c>
      <c r="BG577">
        <f>P577*Assumptions!$B$128</f>
        <v/>
      </c>
      <c r="BH577">
        <f>P577*Assumptions!$B$129</f>
        <v/>
      </c>
      <c r="BI577">
        <f>P577*Assumptions!$B$14</f>
        <v/>
      </c>
      <c r="BJ577">
        <f>P577*Assumptions!$B$13</f>
        <v/>
      </c>
      <c r="BK577">
        <f>P577*Assumptions!$B$12</f>
        <v/>
      </c>
      <c r="BL577">
        <f>P577*Assumptions!$B$11</f>
        <v/>
      </c>
    </row>
    <row r="578">
      <c r="A578" t="inlineStr">
        <is>
          <t>8000M</t>
        </is>
      </c>
      <c r="B578">
        <f>Assumptions!$B$62</f>
        <v/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>
        <f>(1-C578)*Assumptions!$B$41+(1-D578)*Assumptions!$B$33+(1-E578)*Assumptions!$B$32+(1-F578)*Assumptions!$B$31+(1-G578)*Assumptions!$B$30+(1-H578)*Assumptions!$B$29+(1-I578)*Assumptions!$B$28</f>
        <v/>
      </c>
      <c r="K578">
        <f>C578*Assumptions!$B$141+D578*Assumptions!$B$128+E578*Assumptions!$B$129+F578*Assumptions!$B$14+G578*Assumptions!$B$13+H578*Assumptions!$B$12+I578*Assumptions!$B$11+Assumptions!$B$133+Assumptions!$B$137+Assumptions!$B$9</f>
        <v/>
      </c>
      <c r="L578">
        <f>B578-J578</f>
        <v/>
      </c>
      <c r="M578">
        <f>IF(K578&gt;0,IF(L578/K578&gt;=Assumptions!$B$37,1,0),0)</f>
        <v/>
      </c>
      <c r="N578">
        <f>K578+M578*Assumptions!$B$153</f>
        <v/>
      </c>
      <c r="O578">
        <f>L578+M578*Assumptions!$B$153*Assumptions!$B$37</f>
        <v/>
      </c>
      <c r="P578">
        <f>IF(N578&gt;0,O578/N578,0)</f>
        <v/>
      </c>
      <c r="Q578">
        <f>IF(C578=1,P578*Assumptions!$B$141,Assumptions!$B$41)</f>
        <v/>
      </c>
      <c r="R578">
        <f>IF(D578=1,P578*Assumptions!$B$128,Assumptions!$B$33)</f>
        <v/>
      </c>
      <c r="S578">
        <f>IF(E578=1,P578*Assumptions!$B$129,Assumptions!$B$32)</f>
        <v/>
      </c>
      <c r="T578">
        <f>IF(F578=1,P578*Assumptions!$B$14,Assumptions!$B$31)</f>
        <v/>
      </c>
      <c r="U578">
        <f>IF(G578=1,P578*Assumptions!$B$13,Assumptions!$B$30)</f>
        <v/>
      </c>
      <c r="V578">
        <f>IF(H578=1,P578*Assumptions!$B$12,Assumptions!$B$29)</f>
        <v/>
      </c>
      <c r="W578">
        <f>IF(I578=1,P578*Assumptions!$B$11,Assumptions!$B$28)</f>
        <v/>
      </c>
      <c r="X578">
        <f>P578*(Assumptions!$B$133+Assumptions!$B$137)</f>
        <v/>
      </c>
      <c r="Y578">
        <f>P578*Assumptions!$B$9</f>
        <v/>
      </c>
      <c r="Z578">
        <f>IF(M578=1,(P578-Assumptions!$B$37)*Assumptions!$B$153,0)</f>
        <v/>
      </c>
      <c r="AA578">
        <f>Q578+R578+S578+T578+U578+V578+W578+X578+Y578+Z578</f>
        <v/>
      </c>
      <c r="AB578" t="n">
        <v>15</v>
      </c>
      <c r="AC578" t="n">
        <v>79</v>
      </c>
      <c r="AD578" t="n">
        <v>47</v>
      </c>
      <c r="AE578" t="n">
        <v>31</v>
      </c>
      <c r="AF578" t="n">
        <v>7</v>
      </c>
      <c r="AG578" t="n">
        <v>11</v>
      </c>
      <c r="AH578" t="n">
        <v>13</v>
      </c>
      <c r="AI578" t="n">
        <v>14</v>
      </c>
      <c r="AJ578">
        <f>INDEX($Q$563:$Q$690,AC578+1)</f>
        <v/>
      </c>
      <c r="AK578">
        <f>INDEX($R$563:$R$690,AD578+1)</f>
        <v/>
      </c>
      <c r="AL578">
        <f>INDEX($S$563:$S$690,AE578+1)</f>
        <v/>
      </c>
      <c r="AM578">
        <f>INDEX($T$563:$T$690,AF578+1)</f>
        <v/>
      </c>
      <c r="AN578">
        <f>INDEX($U$563:$U$690,AG578+1)</f>
        <v/>
      </c>
      <c r="AO578">
        <f>INDEX($V$563:$V$690,AH578+1)</f>
        <v/>
      </c>
      <c r="AP578">
        <f>INDEX($W$563:$W$690,AI578+1)</f>
        <v/>
      </c>
      <c r="AQ578">
        <f>IF(Q578&gt;=AJ578-0.01,1,0)</f>
        <v/>
      </c>
      <c r="AR578">
        <f>IF(R578&gt;=AK578-0.01,1,0)</f>
        <v/>
      </c>
      <c r="AS578">
        <f>IF(S578&gt;=AL578-0.01,1,0)</f>
        <v/>
      </c>
      <c r="AT578">
        <f>IF(T578&gt;=AM578-0.01,1,0)</f>
        <v/>
      </c>
      <c r="AU578">
        <f>IF(U578&gt;=AN578-0.01,1,0)</f>
        <v/>
      </c>
      <c r="AV578">
        <f>IF(V578&gt;=AO578-0.01,1,0)</f>
        <v/>
      </c>
      <c r="AW578">
        <f>IF(W578&gt;=AP578-0.01,1,0)</f>
        <v/>
      </c>
      <c r="AX578">
        <f>AQ578*AR578*AS578*AT578*AU578*AV578*AW578</f>
        <v/>
      </c>
      <c r="AY578">
        <f>Assumptions!$B$41</f>
        <v/>
      </c>
      <c r="AZ578">
        <f>Assumptions!$B$33</f>
        <v/>
      </c>
      <c r="BA578">
        <f>Assumptions!$B$32</f>
        <v/>
      </c>
      <c r="BB578">
        <f>Assumptions!$B$31</f>
        <v/>
      </c>
      <c r="BC578">
        <f>Assumptions!$B$30</f>
        <v/>
      </c>
      <c r="BD578">
        <f>Assumptions!$B$29</f>
        <v/>
      </c>
      <c r="BE578">
        <f>Assumptions!$B$28</f>
        <v/>
      </c>
      <c r="BF578">
        <f>P578*Assumptions!$B$141</f>
        <v/>
      </c>
      <c r="BG578">
        <f>P578*Assumptions!$B$128</f>
        <v/>
      </c>
      <c r="BH578">
        <f>P578*Assumptions!$B$129</f>
        <v/>
      </c>
      <c r="BI578">
        <f>P578*Assumptions!$B$14</f>
        <v/>
      </c>
      <c r="BJ578">
        <f>P578*Assumptions!$B$13</f>
        <v/>
      </c>
      <c r="BK578">
        <f>P578*Assumptions!$B$12</f>
        <v/>
      </c>
      <c r="BL578">
        <f>P578*Assumptions!$B$11</f>
        <v/>
      </c>
    </row>
    <row r="579">
      <c r="A579" t="inlineStr">
        <is>
          <t>8000M</t>
        </is>
      </c>
      <c r="B579">
        <f>Assumptions!$B$62</f>
        <v/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>
        <f>(1-C579)*Assumptions!$B$41+(1-D579)*Assumptions!$B$33+(1-E579)*Assumptions!$B$32+(1-F579)*Assumptions!$B$31+(1-G579)*Assumptions!$B$30+(1-H579)*Assumptions!$B$29+(1-I579)*Assumptions!$B$28</f>
        <v/>
      </c>
      <c r="K579">
        <f>C579*Assumptions!$B$141+D579*Assumptions!$B$128+E579*Assumptions!$B$129+F579*Assumptions!$B$14+G579*Assumptions!$B$13+H579*Assumptions!$B$12+I579*Assumptions!$B$11+Assumptions!$B$133+Assumptions!$B$137+Assumptions!$B$9</f>
        <v/>
      </c>
      <c r="L579">
        <f>B579-J579</f>
        <v/>
      </c>
      <c r="M579">
        <f>IF(K579&gt;0,IF(L579/K579&gt;=Assumptions!$B$37,1,0),0)</f>
        <v/>
      </c>
      <c r="N579">
        <f>K579+M579*Assumptions!$B$153</f>
        <v/>
      </c>
      <c r="O579">
        <f>L579+M579*Assumptions!$B$153*Assumptions!$B$37</f>
        <v/>
      </c>
      <c r="P579">
        <f>IF(N579&gt;0,O579/N579,0)</f>
        <v/>
      </c>
      <c r="Q579">
        <f>IF(C579=1,P579*Assumptions!$B$141,Assumptions!$B$41)</f>
        <v/>
      </c>
      <c r="R579">
        <f>IF(D579=1,P579*Assumptions!$B$128,Assumptions!$B$33)</f>
        <v/>
      </c>
      <c r="S579">
        <f>IF(E579=1,P579*Assumptions!$B$129,Assumptions!$B$32)</f>
        <v/>
      </c>
      <c r="T579">
        <f>IF(F579=1,P579*Assumptions!$B$14,Assumptions!$B$31)</f>
        <v/>
      </c>
      <c r="U579">
        <f>IF(G579=1,P579*Assumptions!$B$13,Assumptions!$B$30)</f>
        <v/>
      </c>
      <c r="V579">
        <f>IF(H579=1,P579*Assumptions!$B$12,Assumptions!$B$29)</f>
        <v/>
      </c>
      <c r="W579">
        <f>IF(I579=1,P579*Assumptions!$B$11,Assumptions!$B$28)</f>
        <v/>
      </c>
      <c r="X579">
        <f>P579*(Assumptions!$B$133+Assumptions!$B$137)</f>
        <v/>
      </c>
      <c r="Y579">
        <f>P579*Assumptions!$B$9</f>
        <v/>
      </c>
      <c r="Z579">
        <f>IF(M579=1,(P579-Assumptions!$B$37)*Assumptions!$B$153,0)</f>
        <v/>
      </c>
      <c r="AA579">
        <f>Q579+R579+S579+T579+U579+V579+W579+X579+Y579+Z579</f>
        <v/>
      </c>
      <c r="AB579" t="n">
        <v>16</v>
      </c>
      <c r="AC579" t="n">
        <v>80</v>
      </c>
      <c r="AD579" t="n">
        <v>48</v>
      </c>
      <c r="AE579" t="n">
        <v>0</v>
      </c>
      <c r="AF579" t="n">
        <v>24</v>
      </c>
      <c r="AG579" t="n">
        <v>20</v>
      </c>
      <c r="AH579" t="n">
        <v>18</v>
      </c>
      <c r="AI579" t="n">
        <v>17</v>
      </c>
      <c r="AJ579">
        <f>INDEX($Q$563:$Q$690,AC579+1)</f>
        <v/>
      </c>
      <c r="AK579">
        <f>INDEX($R$563:$R$690,AD579+1)</f>
        <v/>
      </c>
      <c r="AL579">
        <f>INDEX($S$563:$S$690,AE579+1)</f>
        <v/>
      </c>
      <c r="AM579">
        <f>INDEX($T$563:$T$690,AF579+1)</f>
        <v/>
      </c>
      <c r="AN579">
        <f>INDEX($U$563:$U$690,AG579+1)</f>
        <v/>
      </c>
      <c r="AO579">
        <f>INDEX($V$563:$V$690,AH579+1)</f>
        <v/>
      </c>
      <c r="AP579">
        <f>INDEX($W$563:$W$690,AI579+1)</f>
        <v/>
      </c>
      <c r="AQ579">
        <f>IF(Q579&gt;=AJ579-0.01,1,0)</f>
        <v/>
      </c>
      <c r="AR579">
        <f>IF(R579&gt;=AK579-0.01,1,0)</f>
        <v/>
      </c>
      <c r="AS579">
        <f>IF(S579&gt;=AL579-0.01,1,0)</f>
        <v/>
      </c>
      <c r="AT579">
        <f>IF(T579&gt;=AM579-0.01,1,0)</f>
        <v/>
      </c>
      <c r="AU579">
        <f>IF(U579&gt;=AN579-0.01,1,0)</f>
        <v/>
      </c>
      <c r="AV579">
        <f>IF(V579&gt;=AO579-0.01,1,0)</f>
        <v/>
      </c>
      <c r="AW579">
        <f>IF(W579&gt;=AP579-0.01,1,0)</f>
        <v/>
      </c>
      <c r="AX579">
        <f>AQ579*AR579*AS579*AT579*AU579*AV579*AW579</f>
        <v/>
      </c>
      <c r="AY579">
        <f>Assumptions!$B$41</f>
        <v/>
      </c>
      <c r="AZ579">
        <f>Assumptions!$B$33</f>
        <v/>
      </c>
      <c r="BA579">
        <f>Assumptions!$B$32</f>
        <v/>
      </c>
      <c r="BB579">
        <f>Assumptions!$B$31</f>
        <v/>
      </c>
      <c r="BC579">
        <f>Assumptions!$B$30</f>
        <v/>
      </c>
      <c r="BD579">
        <f>Assumptions!$B$29</f>
        <v/>
      </c>
      <c r="BE579">
        <f>Assumptions!$B$28</f>
        <v/>
      </c>
      <c r="BF579">
        <f>P579*Assumptions!$B$141</f>
        <v/>
      </c>
      <c r="BG579">
        <f>P579*Assumptions!$B$128</f>
        <v/>
      </c>
      <c r="BH579">
        <f>P579*Assumptions!$B$129</f>
        <v/>
      </c>
      <c r="BI579">
        <f>P579*Assumptions!$B$14</f>
        <v/>
      </c>
      <c r="BJ579">
        <f>P579*Assumptions!$B$13</f>
        <v/>
      </c>
      <c r="BK579">
        <f>P579*Assumptions!$B$12</f>
        <v/>
      </c>
      <c r="BL579">
        <f>P579*Assumptions!$B$11</f>
        <v/>
      </c>
    </row>
    <row r="580">
      <c r="A580" t="inlineStr">
        <is>
          <t>8000M</t>
        </is>
      </c>
      <c r="B580">
        <f>Assumptions!$B$62</f>
        <v/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>
        <f>(1-C580)*Assumptions!$B$41+(1-D580)*Assumptions!$B$33+(1-E580)*Assumptions!$B$32+(1-F580)*Assumptions!$B$31+(1-G580)*Assumptions!$B$30+(1-H580)*Assumptions!$B$29+(1-I580)*Assumptions!$B$28</f>
        <v/>
      </c>
      <c r="K580">
        <f>C580*Assumptions!$B$141+D580*Assumptions!$B$128+E580*Assumptions!$B$129+F580*Assumptions!$B$14+G580*Assumptions!$B$13+H580*Assumptions!$B$12+I580*Assumptions!$B$11+Assumptions!$B$133+Assumptions!$B$137+Assumptions!$B$9</f>
        <v/>
      </c>
      <c r="L580">
        <f>B580-J580</f>
        <v/>
      </c>
      <c r="M580">
        <f>IF(K580&gt;0,IF(L580/K580&gt;=Assumptions!$B$37,1,0),0)</f>
        <v/>
      </c>
      <c r="N580">
        <f>K580+M580*Assumptions!$B$153</f>
        <v/>
      </c>
      <c r="O580">
        <f>L580+M580*Assumptions!$B$153*Assumptions!$B$37</f>
        <v/>
      </c>
      <c r="P580">
        <f>IF(N580&gt;0,O580/N580,0)</f>
        <v/>
      </c>
      <c r="Q580">
        <f>IF(C580=1,P580*Assumptions!$B$141,Assumptions!$B$41)</f>
        <v/>
      </c>
      <c r="R580">
        <f>IF(D580=1,P580*Assumptions!$B$128,Assumptions!$B$33)</f>
        <v/>
      </c>
      <c r="S580">
        <f>IF(E580=1,P580*Assumptions!$B$129,Assumptions!$B$32)</f>
        <v/>
      </c>
      <c r="T580">
        <f>IF(F580=1,P580*Assumptions!$B$14,Assumptions!$B$31)</f>
        <v/>
      </c>
      <c r="U580">
        <f>IF(G580=1,P580*Assumptions!$B$13,Assumptions!$B$30)</f>
        <v/>
      </c>
      <c r="V580">
        <f>IF(H580=1,P580*Assumptions!$B$12,Assumptions!$B$29)</f>
        <v/>
      </c>
      <c r="W580">
        <f>IF(I580=1,P580*Assumptions!$B$11,Assumptions!$B$28)</f>
        <v/>
      </c>
      <c r="X580">
        <f>P580*(Assumptions!$B$133+Assumptions!$B$137)</f>
        <v/>
      </c>
      <c r="Y580">
        <f>P580*Assumptions!$B$9</f>
        <v/>
      </c>
      <c r="Z580">
        <f>IF(M580=1,(P580-Assumptions!$B$37)*Assumptions!$B$153,0)</f>
        <v/>
      </c>
      <c r="AA580">
        <f>Q580+R580+S580+T580+U580+V580+W580+X580+Y580+Z580</f>
        <v/>
      </c>
      <c r="AB580" t="n">
        <v>17</v>
      </c>
      <c r="AC580" t="n">
        <v>81</v>
      </c>
      <c r="AD580" t="n">
        <v>49</v>
      </c>
      <c r="AE580" t="n">
        <v>1</v>
      </c>
      <c r="AF580" t="n">
        <v>25</v>
      </c>
      <c r="AG580" t="n">
        <v>21</v>
      </c>
      <c r="AH580" t="n">
        <v>19</v>
      </c>
      <c r="AI580" t="n">
        <v>16</v>
      </c>
      <c r="AJ580">
        <f>INDEX($Q$563:$Q$690,AC580+1)</f>
        <v/>
      </c>
      <c r="AK580">
        <f>INDEX($R$563:$R$690,AD580+1)</f>
        <v/>
      </c>
      <c r="AL580">
        <f>INDEX($S$563:$S$690,AE580+1)</f>
        <v/>
      </c>
      <c r="AM580">
        <f>INDEX($T$563:$T$690,AF580+1)</f>
        <v/>
      </c>
      <c r="AN580">
        <f>INDEX($U$563:$U$690,AG580+1)</f>
        <v/>
      </c>
      <c r="AO580">
        <f>INDEX($V$563:$V$690,AH580+1)</f>
        <v/>
      </c>
      <c r="AP580">
        <f>INDEX($W$563:$W$690,AI580+1)</f>
        <v/>
      </c>
      <c r="AQ580">
        <f>IF(Q580&gt;=AJ580-0.01,1,0)</f>
        <v/>
      </c>
      <c r="AR580">
        <f>IF(R580&gt;=AK580-0.01,1,0)</f>
        <v/>
      </c>
      <c r="AS580">
        <f>IF(S580&gt;=AL580-0.01,1,0)</f>
        <v/>
      </c>
      <c r="AT580">
        <f>IF(T580&gt;=AM580-0.01,1,0)</f>
        <v/>
      </c>
      <c r="AU580">
        <f>IF(U580&gt;=AN580-0.01,1,0)</f>
        <v/>
      </c>
      <c r="AV580">
        <f>IF(V580&gt;=AO580-0.01,1,0)</f>
        <v/>
      </c>
      <c r="AW580">
        <f>IF(W580&gt;=AP580-0.01,1,0)</f>
        <v/>
      </c>
      <c r="AX580">
        <f>AQ580*AR580*AS580*AT580*AU580*AV580*AW580</f>
        <v/>
      </c>
      <c r="AY580">
        <f>Assumptions!$B$41</f>
        <v/>
      </c>
      <c r="AZ580">
        <f>Assumptions!$B$33</f>
        <v/>
      </c>
      <c r="BA580">
        <f>Assumptions!$B$32</f>
        <v/>
      </c>
      <c r="BB580">
        <f>Assumptions!$B$31</f>
        <v/>
      </c>
      <c r="BC580">
        <f>Assumptions!$B$30</f>
        <v/>
      </c>
      <c r="BD580">
        <f>Assumptions!$B$29</f>
        <v/>
      </c>
      <c r="BE580">
        <f>Assumptions!$B$28</f>
        <v/>
      </c>
      <c r="BF580">
        <f>P580*Assumptions!$B$141</f>
        <v/>
      </c>
      <c r="BG580">
        <f>P580*Assumptions!$B$128</f>
        <v/>
      </c>
      <c r="BH580">
        <f>P580*Assumptions!$B$129</f>
        <v/>
      </c>
      <c r="BI580">
        <f>P580*Assumptions!$B$14</f>
        <v/>
      </c>
      <c r="BJ580">
        <f>P580*Assumptions!$B$13</f>
        <v/>
      </c>
      <c r="BK580">
        <f>P580*Assumptions!$B$12</f>
        <v/>
      </c>
      <c r="BL580">
        <f>P580*Assumptions!$B$11</f>
        <v/>
      </c>
    </row>
    <row r="581">
      <c r="A581" t="inlineStr">
        <is>
          <t>8000M</t>
        </is>
      </c>
      <c r="B581">
        <f>Assumptions!$B$62</f>
        <v/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>
        <f>(1-C581)*Assumptions!$B$41+(1-D581)*Assumptions!$B$33+(1-E581)*Assumptions!$B$32+(1-F581)*Assumptions!$B$31+(1-G581)*Assumptions!$B$30+(1-H581)*Assumptions!$B$29+(1-I581)*Assumptions!$B$28</f>
        <v/>
      </c>
      <c r="K581">
        <f>C581*Assumptions!$B$141+D581*Assumptions!$B$128+E581*Assumptions!$B$129+F581*Assumptions!$B$14+G581*Assumptions!$B$13+H581*Assumptions!$B$12+I581*Assumptions!$B$11+Assumptions!$B$133+Assumptions!$B$137+Assumptions!$B$9</f>
        <v/>
      </c>
      <c r="L581">
        <f>B581-J581</f>
        <v/>
      </c>
      <c r="M581">
        <f>IF(K581&gt;0,IF(L581/K581&gt;=Assumptions!$B$37,1,0),0)</f>
        <v/>
      </c>
      <c r="N581">
        <f>K581+M581*Assumptions!$B$153</f>
        <v/>
      </c>
      <c r="O581">
        <f>L581+M581*Assumptions!$B$153*Assumptions!$B$37</f>
        <v/>
      </c>
      <c r="P581">
        <f>IF(N581&gt;0,O581/N581,0)</f>
        <v/>
      </c>
      <c r="Q581">
        <f>IF(C581=1,P581*Assumptions!$B$141,Assumptions!$B$41)</f>
        <v/>
      </c>
      <c r="R581">
        <f>IF(D581=1,P581*Assumptions!$B$128,Assumptions!$B$33)</f>
        <v/>
      </c>
      <c r="S581">
        <f>IF(E581=1,P581*Assumptions!$B$129,Assumptions!$B$32)</f>
        <v/>
      </c>
      <c r="T581">
        <f>IF(F581=1,P581*Assumptions!$B$14,Assumptions!$B$31)</f>
        <v/>
      </c>
      <c r="U581">
        <f>IF(G581=1,P581*Assumptions!$B$13,Assumptions!$B$30)</f>
        <v/>
      </c>
      <c r="V581">
        <f>IF(H581=1,P581*Assumptions!$B$12,Assumptions!$B$29)</f>
        <v/>
      </c>
      <c r="W581">
        <f>IF(I581=1,P581*Assumptions!$B$11,Assumptions!$B$28)</f>
        <v/>
      </c>
      <c r="X581">
        <f>P581*(Assumptions!$B$133+Assumptions!$B$137)</f>
        <v/>
      </c>
      <c r="Y581">
        <f>P581*Assumptions!$B$9</f>
        <v/>
      </c>
      <c r="Z581">
        <f>IF(M581=1,(P581-Assumptions!$B$37)*Assumptions!$B$153,0)</f>
        <v/>
      </c>
      <c r="AA581">
        <f>Q581+R581+S581+T581+U581+V581+W581+X581+Y581+Z581</f>
        <v/>
      </c>
      <c r="AB581" t="n">
        <v>18</v>
      </c>
      <c r="AC581" t="n">
        <v>82</v>
      </c>
      <c r="AD581" t="n">
        <v>50</v>
      </c>
      <c r="AE581" t="n">
        <v>2</v>
      </c>
      <c r="AF581" t="n">
        <v>26</v>
      </c>
      <c r="AG581" t="n">
        <v>22</v>
      </c>
      <c r="AH581" t="n">
        <v>16</v>
      </c>
      <c r="AI581" t="n">
        <v>19</v>
      </c>
      <c r="AJ581">
        <f>INDEX($Q$563:$Q$690,AC581+1)</f>
        <v/>
      </c>
      <c r="AK581">
        <f>INDEX($R$563:$R$690,AD581+1)</f>
        <v/>
      </c>
      <c r="AL581">
        <f>INDEX($S$563:$S$690,AE581+1)</f>
        <v/>
      </c>
      <c r="AM581">
        <f>INDEX($T$563:$T$690,AF581+1)</f>
        <v/>
      </c>
      <c r="AN581">
        <f>INDEX($U$563:$U$690,AG581+1)</f>
        <v/>
      </c>
      <c r="AO581">
        <f>INDEX($V$563:$V$690,AH581+1)</f>
        <v/>
      </c>
      <c r="AP581">
        <f>INDEX($W$563:$W$690,AI581+1)</f>
        <v/>
      </c>
      <c r="AQ581">
        <f>IF(Q581&gt;=AJ581-0.01,1,0)</f>
        <v/>
      </c>
      <c r="AR581">
        <f>IF(R581&gt;=AK581-0.01,1,0)</f>
        <v/>
      </c>
      <c r="AS581">
        <f>IF(S581&gt;=AL581-0.01,1,0)</f>
        <v/>
      </c>
      <c r="AT581">
        <f>IF(T581&gt;=AM581-0.01,1,0)</f>
        <v/>
      </c>
      <c r="AU581">
        <f>IF(U581&gt;=AN581-0.01,1,0)</f>
        <v/>
      </c>
      <c r="AV581">
        <f>IF(V581&gt;=AO581-0.01,1,0)</f>
        <v/>
      </c>
      <c r="AW581">
        <f>IF(W581&gt;=AP581-0.01,1,0)</f>
        <v/>
      </c>
      <c r="AX581">
        <f>AQ581*AR581*AS581*AT581*AU581*AV581*AW581</f>
        <v/>
      </c>
      <c r="AY581">
        <f>Assumptions!$B$41</f>
        <v/>
      </c>
      <c r="AZ581">
        <f>Assumptions!$B$33</f>
        <v/>
      </c>
      <c r="BA581">
        <f>Assumptions!$B$32</f>
        <v/>
      </c>
      <c r="BB581">
        <f>Assumptions!$B$31</f>
        <v/>
      </c>
      <c r="BC581">
        <f>Assumptions!$B$30</f>
        <v/>
      </c>
      <c r="BD581">
        <f>Assumptions!$B$29</f>
        <v/>
      </c>
      <c r="BE581">
        <f>Assumptions!$B$28</f>
        <v/>
      </c>
      <c r="BF581">
        <f>P581*Assumptions!$B$141</f>
        <v/>
      </c>
      <c r="BG581">
        <f>P581*Assumptions!$B$128</f>
        <v/>
      </c>
      <c r="BH581">
        <f>P581*Assumptions!$B$129</f>
        <v/>
      </c>
      <c r="BI581">
        <f>P581*Assumptions!$B$14</f>
        <v/>
      </c>
      <c r="BJ581">
        <f>P581*Assumptions!$B$13</f>
        <v/>
      </c>
      <c r="BK581">
        <f>P581*Assumptions!$B$12</f>
        <v/>
      </c>
      <c r="BL581">
        <f>P581*Assumptions!$B$11</f>
        <v/>
      </c>
    </row>
    <row r="582">
      <c r="A582" t="inlineStr">
        <is>
          <t>8000M</t>
        </is>
      </c>
      <c r="B582">
        <f>Assumptions!$B$62</f>
        <v/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1</v>
      </c>
      <c r="J582">
        <f>(1-C582)*Assumptions!$B$41+(1-D582)*Assumptions!$B$33+(1-E582)*Assumptions!$B$32+(1-F582)*Assumptions!$B$31+(1-G582)*Assumptions!$B$30+(1-H582)*Assumptions!$B$29+(1-I582)*Assumptions!$B$28</f>
        <v/>
      </c>
      <c r="K582">
        <f>C582*Assumptions!$B$141+D582*Assumptions!$B$128+E582*Assumptions!$B$129+F582*Assumptions!$B$14+G582*Assumptions!$B$13+H582*Assumptions!$B$12+I582*Assumptions!$B$11+Assumptions!$B$133+Assumptions!$B$137+Assumptions!$B$9</f>
        <v/>
      </c>
      <c r="L582">
        <f>B582-J582</f>
        <v/>
      </c>
      <c r="M582">
        <f>IF(K582&gt;0,IF(L582/K582&gt;=Assumptions!$B$37,1,0),0)</f>
        <v/>
      </c>
      <c r="N582">
        <f>K582+M582*Assumptions!$B$153</f>
        <v/>
      </c>
      <c r="O582">
        <f>L582+M582*Assumptions!$B$153*Assumptions!$B$37</f>
        <v/>
      </c>
      <c r="P582">
        <f>IF(N582&gt;0,O582/N582,0)</f>
        <v/>
      </c>
      <c r="Q582">
        <f>IF(C582=1,P582*Assumptions!$B$141,Assumptions!$B$41)</f>
        <v/>
      </c>
      <c r="R582">
        <f>IF(D582=1,P582*Assumptions!$B$128,Assumptions!$B$33)</f>
        <v/>
      </c>
      <c r="S582">
        <f>IF(E582=1,P582*Assumptions!$B$129,Assumptions!$B$32)</f>
        <v/>
      </c>
      <c r="T582">
        <f>IF(F582=1,P582*Assumptions!$B$14,Assumptions!$B$31)</f>
        <v/>
      </c>
      <c r="U582">
        <f>IF(G582=1,P582*Assumptions!$B$13,Assumptions!$B$30)</f>
        <v/>
      </c>
      <c r="V582">
        <f>IF(H582=1,P582*Assumptions!$B$12,Assumptions!$B$29)</f>
        <v/>
      </c>
      <c r="W582">
        <f>IF(I582=1,P582*Assumptions!$B$11,Assumptions!$B$28)</f>
        <v/>
      </c>
      <c r="X582">
        <f>P582*(Assumptions!$B$133+Assumptions!$B$137)</f>
        <v/>
      </c>
      <c r="Y582">
        <f>P582*Assumptions!$B$9</f>
        <v/>
      </c>
      <c r="Z582">
        <f>IF(M582=1,(P582-Assumptions!$B$37)*Assumptions!$B$153,0)</f>
        <v/>
      </c>
      <c r="AA582">
        <f>Q582+R582+S582+T582+U582+V582+W582+X582+Y582+Z582</f>
        <v/>
      </c>
      <c r="AB582" t="n">
        <v>19</v>
      </c>
      <c r="AC582" t="n">
        <v>83</v>
      </c>
      <c r="AD582" t="n">
        <v>51</v>
      </c>
      <c r="AE582" t="n">
        <v>3</v>
      </c>
      <c r="AF582" t="n">
        <v>27</v>
      </c>
      <c r="AG582" t="n">
        <v>23</v>
      </c>
      <c r="AH582" t="n">
        <v>17</v>
      </c>
      <c r="AI582" t="n">
        <v>18</v>
      </c>
      <c r="AJ582">
        <f>INDEX($Q$563:$Q$690,AC582+1)</f>
        <v/>
      </c>
      <c r="AK582">
        <f>INDEX($R$563:$R$690,AD582+1)</f>
        <v/>
      </c>
      <c r="AL582">
        <f>INDEX($S$563:$S$690,AE582+1)</f>
        <v/>
      </c>
      <c r="AM582">
        <f>INDEX($T$563:$T$690,AF582+1)</f>
        <v/>
      </c>
      <c r="AN582">
        <f>INDEX($U$563:$U$690,AG582+1)</f>
        <v/>
      </c>
      <c r="AO582">
        <f>INDEX($V$563:$V$690,AH582+1)</f>
        <v/>
      </c>
      <c r="AP582">
        <f>INDEX($W$563:$W$690,AI582+1)</f>
        <v/>
      </c>
      <c r="AQ582">
        <f>IF(Q582&gt;=AJ582-0.01,1,0)</f>
        <v/>
      </c>
      <c r="AR582">
        <f>IF(R582&gt;=AK582-0.01,1,0)</f>
        <v/>
      </c>
      <c r="AS582">
        <f>IF(S582&gt;=AL582-0.01,1,0)</f>
        <v/>
      </c>
      <c r="AT582">
        <f>IF(T582&gt;=AM582-0.01,1,0)</f>
        <v/>
      </c>
      <c r="AU582">
        <f>IF(U582&gt;=AN582-0.01,1,0)</f>
        <v/>
      </c>
      <c r="AV582">
        <f>IF(V582&gt;=AO582-0.01,1,0)</f>
        <v/>
      </c>
      <c r="AW582">
        <f>IF(W582&gt;=AP582-0.01,1,0)</f>
        <v/>
      </c>
      <c r="AX582">
        <f>AQ582*AR582*AS582*AT582*AU582*AV582*AW582</f>
        <v/>
      </c>
      <c r="AY582">
        <f>Assumptions!$B$41</f>
        <v/>
      </c>
      <c r="AZ582">
        <f>Assumptions!$B$33</f>
        <v/>
      </c>
      <c r="BA582">
        <f>Assumptions!$B$32</f>
        <v/>
      </c>
      <c r="BB582">
        <f>Assumptions!$B$31</f>
        <v/>
      </c>
      <c r="BC582">
        <f>Assumptions!$B$30</f>
        <v/>
      </c>
      <c r="BD582">
        <f>Assumptions!$B$29</f>
        <v/>
      </c>
      <c r="BE582">
        <f>Assumptions!$B$28</f>
        <v/>
      </c>
      <c r="BF582">
        <f>P582*Assumptions!$B$141</f>
        <v/>
      </c>
      <c r="BG582">
        <f>P582*Assumptions!$B$128</f>
        <v/>
      </c>
      <c r="BH582">
        <f>P582*Assumptions!$B$129</f>
        <v/>
      </c>
      <c r="BI582">
        <f>P582*Assumptions!$B$14</f>
        <v/>
      </c>
      <c r="BJ582">
        <f>P582*Assumptions!$B$13</f>
        <v/>
      </c>
      <c r="BK582">
        <f>P582*Assumptions!$B$12</f>
        <v/>
      </c>
      <c r="BL582">
        <f>P582*Assumptions!$B$11</f>
        <v/>
      </c>
    </row>
    <row r="583">
      <c r="A583" t="inlineStr">
        <is>
          <t>8000M</t>
        </is>
      </c>
      <c r="B583">
        <f>Assumptions!$B$62</f>
        <v/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>
        <f>(1-C583)*Assumptions!$B$41+(1-D583)*Assumptions!$B$33+(1-E583)*Assumptions!$B$32+(1-F583)*Assumptions!$B$31+(1-G583)*Assumptions!$B$30+(1-H583)*Assumptions!$B$29+(1-I583)*Assumptions!$B$28</f>
        <v/>
      </c>
      <c r="K583">
        <f>C583*Assumptions!$B$141+D583*Assumptions!$B$128+E583*Assumptions!$B$129+F583*Assumptions!$B$14+G583*Assumptions!$B$13+H583*Assumptions!$B$12+I583*Assumptions!$B$11+Assumptions!$B$133+Assumptions!$B$137+Assumptions!$B$9</f>
        <v/>
      </c>
      <c r="L583">
        <f>B583-J583</f>
        <v/>
      </c>
      <c r="M583">
        <f>IF(K583&gt;0,IF(L583/K583&gt;=Assumptions!$B$37,1,0),0)</f>
        <v/>
      </c>
      <c r="N583">
        <f>K583+M583*Assumptions!$B$153</f>
        <v/>
      </c>
      <c r="O583">
        <f>L583+M583*Assumptions!$B$153*Assumptions!$B$37</f>
        <v/>
      </c>
      <c r="P583">
        <f>IF(N583&gt;0,O583/N583,0)</f>
        <v/>
      </c>
      <c r="Q583">
        <f>IF(C583=1,P583*Assumptions!$B$141,Assumptions!$B$41)</f>
        <v/>
      </c>
      <c r="R583">
        <f>IF(D583=1,P583*Assumptions!$B$128,Assumptions!$B$33)</f>
        <v/>
      </c>
      <c r="S583">
        <f>IF(E583=1,P583*Assumptions!$B$129,Assumptions!$B$32)</f>
        <v/>
      </c>
      <c r="T583">
        <f>IF(F583=1,P583*Assumptions!$B$14,Assumptions!$B$31)</f>
        <v/>
      </c>
      <c r="U583">
        <f>IF(G583=1,P583*Assumptions!$B$13,Assumptions!$B$30)</f>
        <v/>
      </c>
      <c r="V583">
        <f>IF(H583=1,P583*Assumptions!$B$12,Assumptions!$B$29)</f>
        <v/>
      </c>
      <c r="W583">
        <f>IF(I583=1,P583*Assumptions!$B$11,Assumptions!$B$28)</f>
        <v/>
      </c>
      <c r="X583">
        <f>P583*(Assumptions!$B$133+Assumptions!$B$137)</f>
        <v/>
      </c>
      <c r="Y583">
        <f>P583*Assumptions!$B$9</f>
        <v/>
      </c>
      <c r="Z583">
        <f>IF(M583=1,(P583-Assumptions!$B$37)*Assumptions!$B$153,0)</f>
        <v/>
      </c>
      <c r="AA583">
        <f>Q583+R583+S583+T583+U583+V583+W583+X583+Y583+Z583</f>
        <v/>
      </c>
      <c r="AB583" t="n">
        <v>20</v>
      </c>
      <c r="AC583" t="n">
        <v>84</v>
      </c>
      <c r="AD583" t="n">
        <v>52</v>
      </c>
      <c r="AE583" t="n">
        <v>4</v>
      </c>
      <c r="AF583" t="n">
        <v>28</v>
      </c>
      <c r="AG583" t="n">
        <v>16</v>
      </c>
      <c r="AH583" t="n">
        <v>22</v>
      </c>
      <c r="AI583" t="n">
        <v>21</v>
      </c>
      <c r="AJ583">
        <f>INDEX($Q$563:$Q$690,AC583+1)</f>
        <v/>
      </c>
      <c r="AK583">
        <f>INDEX($R$563:$R$690,AD583+1)</f>
        <v/>
      </c>
      <c r="AL583">
        <f>INDEX($S$563:$S$690,AE583+1)</f>
        <v/>
      </c>
      <c r="AM583">
        <f>INDEX($T$563:$T$690,AF583+1)</f>
        <v/>
      </c>
      <c r="AN583">
        <f>INDEX($U$563:$U$690,AG583+1)</f>
        <v/>
      </c>
      <c r="AO583">
        <f>INDEX($V$563:$V$690,AH583+1)</f>
        <v/>
      </c>
      <c r="AP583">
        <f>INDEX($W$563:$W$690,AI583+1)</f>
        <v/>
      </c>
      <c r="AQ583">
        <f>IF(Q583&gt;=AJ583-0.01,1,0)</f>
        <v/>
      </c>
      <c r="AR583">
        <f>IF(R583&gt;=AK583-0.01,1,0)</f>
        <v/>
      </c>
      <c r="AS583">
        <f>IF(S583&gt;=AL583-0.01,1,0)</f>
        <v/>
      </c>
      <c r="AT583">
        <f>IF(T583&gt;=AM583-0.01,1,0)</f>
        <v/>
      </c>
      <c r="AU583">
        <f>IF(U583&gt;=AN583-0.01,1,0)</f>
        <v/>
      </c>
      <c r="AV583">
        <f>IF(V583&gt;=AO583-0.01,1,0)</f>
        <v/>
      </c>
      <c r="AW583">
        <f>IF(W583&gt;=AP583-0.01,1,0)</f>
        <v/>
      </c>
      <c r="AX583">
        <f>AQ583*AR583*AS583*AT583*AU583*AV583*AW583</f>
        <v/>
      </c>
      <c r="AY583">
        <f>Assumptions!$B$41</f>
        <v/>
      </c>
      <c r="AZ583">
        <f>Assumptions!$B$33</f>
        <v/>
      </c>
      <c r="BA583">
        <f>Assumptions!$B$32</f>
        <v/>
      </c>
      <c r="BB583">
        <f>Assumptions!$B$31</f>
        <v/>
      </c>
      <c r="BC583">
        <f>Assumptions!$B$30</f>
        <v/>
      </c>
      <c r="BD583">
        <f>Assumptions!$B$29</f>
        <v/>
      </c>
      <c r="BE583">
        <f>Assumptions!$B$28</f>
        <v/>
      </c>
      <c r="BF583">
        <f>P583*Assumptions!$B$141</f>
        <v/>
      </c>
      <c r="BG583">
        <f>P583*Assumptions!$B$128</f>
        <v/>
      </c>
      <c r="BH583">
        <f>P583*Assumptions!$B$129</f>
        <v/>
      </c>
      <c r="BI583">
        <f>P583*Assumptions!$B$14</f>
        <v/>
      </c>
      <c r="BJ583">
        <f>P583*Assumptions!$B$13</f>
        <v/>
      </c>
      <c r="BK583">
        <f>P583*Assumptions!$B$12</f>
        <v/>
      </c>
      <c r="BL583">
        <f>P583*Assumptions!$B$11</f>
        <v/>
      </c>
    </row>
    <row r="584">
      <c r="A584" t="inlineStr">
        <is>
          <t>8000M</t>
        </is>
      </c>
      <c r="B584">
        <f>Assumptions!$B$62</f>
        <v/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>
        <f>(1-C584)*Assumptions!$B$41+(1-D584)*Assumptions!$B$33+(1-E584)*Assumptions!$B$32+(1-F584)*Assumptions!$B$31+(1-G584)*Assumptions!$B$30+(1-H584)*Assumptions!$B$29+(1-I584)*Assumptions!$B$28</f>
        <v/>
      </c>
      <c r="K584">
        <f>C584*Assumptions!$B$141+D584*Assumptions!$B$128+E584*Assumptions!$B$129+F584*Assumptions!$B$14+G584*Assumptions!$B$13+H584*Assumptions!$B$12+I584*Assumptions!$B$11+Assumptions!$B$133+Assumptions!$B$137+Assumptions!$B$9</f>
        <v/>
      </c>
      <c r="L584">
        <f>B584-J584</f>
        <v/>
      </c>
      <c r="M584">
        <f>IF(K584&gt;0,IF(L584/K584&gt;=Assumptions!$B$37,1,0),0)</f>
        <v/>
      </c>
      <c r="N584">
        <f>K584+M584*Assumptions!$B$153</f>
        <v/>
      </c>
      <c r="O584">
        <f>L584+M584*Assumptions!$B$153*Assumptions!$B$37</f>
        <v/>
      </c>
      <c r="P584">
        <f>IF(N584&gt;0,O584/N584,0)</f>
        <v/>
      </c>
      <c r="Q584">
        <f>IF(C584=1,P584*Assumptions!$B$141,Assumptions!$B$41)</f>
        <v/>
      </c>
      <c r="R584">
        <f>IF(D584=1,P584*Assumptions!$B$128,Assumptions!$B$33)</f>
        <v/>
      </c>
      <c r="S584">
        <f>IF(E584=1,P584*Assumptions!$B$129,Assumptions!$B$32)</f>
        <v/>
      </c>
      <c r="T584">
        <f>IF(F584=1,P584*Assumptions!$B$14,Assumptions!$B$31)</f>
        <v/>
      </c>
      <c r="U584">
        <f>IF(G584=1,P584*Assumptions!$B$13,Assumptions!$B$30)</f>
        <v/>
      </c>
      <c r="V584">
        <f>IF(H584=1,P584*Assumptions!$B$12,Assumptions!$B$29)</f>
        <v/>
      </c>
      <c r="W584">
        <f>IF(I584=1,P584*Assumptions!$B$11,Assumptions!$B$28)</f>
        <v/>
      </c>
      <c r="X584">
        <f>P584*(Assumptions!$B$133+Assumptions!$B$137)</f>
        <v/>
      </c>
      <c r="Y584">
        <f>P584*Assumptions!$B$9</f>
        <v/>
      </c>
      <c r="Z584">
        <f>IF(M584=1,(P584-Assumptions!$B$37)*Assumptions!$B$153,0)</f>
        <v/>
      </c>
      <c r="AA584">
        <f>Q584+R584+S584+T584+U584+V584+W584+X584+Y584+Z584</f>
        <v/>
      </c>
      <c r="AB584" t="n">
        <v>21</v>
      </c>
      <c r="AC584" t="n">
        <v>85</v>
      </c>
      <c r="AD584" t="n">
        <v>53</v>
      </c>
      <c r="AE584" t="n">
        <v>5</v>
      </c>
      <c r="AF584" t="n">
        <v>29</v>
      </c>
      <c r="AG584" t="n">
        <v>17</v>
      </c>
      <c r="AH584" t="n">
        <v>23</v>
      </c>
      <c r="AI584" t="n">
        <v>20</v>
      </c>
      <c r="AJ584">
        <f>INDEX($Q$563:$Q$690,AC584+1)</f>
        <v/>
      </c>
      <c r="AK584">
        <f>INDEX($R$563:$R$690,AD584+1)</f>
        <v/>
      </c>
      <c r="AL584">
        <f>INDEX($S$563:$S$690,AE584+1)</f>
        <v/>
      </c>
      <c r="AM584">
        <f>INDEX($T$563:$T$690,AF584+1)</f>
        <v/>
      </c>
      <c r="AN584">
        <f>INDEX($U$563:$U$690,AG584+1)</f>
        <v/>
      </c>
      <c r="AO584">
        <f>INDEX($V$563:$V$690,AH584+1)</f>
        <v/>
      </c>
      <c r="AP584">
        <f>INDEX($W$563:$W$690,AI584+1)</f>
        <v/>
      </c>
      <c r="AQ584">
        <f>IF(Q584&gt;=AJ584-0.01,1,0)</f>
        <v/>
      </c>
      <c r="AR584">
        <f>IF(R584&gt;=AK584-0.01,1,0)</f>
        <v/>
      </c>
      <c r="AS584">
        <f>IF(S584&gt;=AL584-0.01,1,0)</f>
        <v/>
      </c>
      <c r="AT584">
        <f>IF(T584&gt;=AM584-0.01,1,0)</f>
        <v/>
      </c>
      <c r="AU584">
        <f>IF(U584&gt;=AN584-0.01,1,0)</f>
        <v/>
      </c>
      <c r="AV584">
        <f>IF(V584&gt;=AO584-0.01,1,0)</f>
        <v/>
      </c>
      <c r="AW584">
        <f>IF(W584&gt;=AP584-0.01,1,0)</f>
        <v/>
      </c>
      <c r="AX584">
        <f>AQ584*AR584*AS584*AT584*AU584*AV584*AW584</f>
        <v/>
      </c>
      <c r="AY584">
        <f>Assumptions!$B$41</f>
        <v/>
      </c>
      <c r="AZ584">
        <f>Assumptions!$B$33</f>
        <v/>
      </c>
      <c r="BA584">
        <f>Assumptions!$B$32</f>
        <v/>
      </c>
      <c r="BB584">
        <f>Assumptions!$B$31</f>
        <v/>
      </c>
      <c r="BC584">
        <f>Assumptions!$B$30</f>
        <v/>
      </c>
      <c r="BD584">
        <f>Assumptions!$B$29</f>
        <v/>
      </c>
      <c r="BE584">
        <f>Assumptions!$B$28</f>
        <v/>
      </c>
      <c r="BF584">
        <f>P584*Assumptions!$B$141</f>
        <v/>
      </c>
      <c r="BG584">
        <f>P584*Assumptions!$B$128</f>
        <v/>
      </c>
      <c r="BH584">
        <f>P584*Assumptions!$B$129</f>
        <v/>
      </c>
      <c r="BI584">
        <f>P584*Assumptions!$B$14</f>
        <v/>
      </c>
      <c r="BJ584">
        <f>P584*Assumptions!$B$13</f>
        <v/>
      </c>
      <c r="BK584">
        <f>P584*Assumptions!$B$12</f>
        <v/>
      </c>
      <c r="BL584">
        <f>P584*Assumptions!$B$11</f>
        <v/>
      </c>
    </row>
    <row r="585">
      <c r="A585" t="inlineStr">
        <is>
          <t>8000M</t>
        </is>
      </c>
      <c r="B585">
        <f>Assumptions!$B$62</f>
        <v/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>
        <f>(1-C585)*Assumptions!$B$41+(1-D585)*Assumptions!$B$33+(1-E585)*Assumptions!$B$32+(1-F585)*Assumptions!$B$31+(1-G585)*Assumptions!$B$30+(1-H585)*Assumptions!$B$29+(1-I585)*Assumptions!$B$28</f>
        <v/>
      </c>
      <c r="K585">
        <f>C585*Assumptions!$B$141+D585*Assumptions!$B$128+E585*Assumptions!$B$129+F585*Assumptions!$B$14+G585*Assumptions!$B$13+H585*Assumptions!$B$12+I585*Assumptions!$B$11+Assumptions!$B$133+Assumptions!$B$137+Assumptions!$B$9</f>
        <v/>
      </c>
      <c r="L585">
        <f>B585-J585</f>
        <v/>
      </c>
      <c r="M585">
        <f>IF(K585&gt;0,IF(L585/K585&gt;=Assumptions!$B$37,1,0),0)</f>
        <v/>
      </c>
      <c r="N585">
        <f>K585+M585*Assumptions!$B$153</f>
        <v/>
      </c>
      <c r="O585">
        <f>L585+M585*Assumptions!$B$153*Assumptions!$B$37</f>
        <v/>
      </c>
      <c r="P585">
        <f>IF(N585&gt;0,O585/N585,0)</f>
        <v/>
      </c>
      <c r="Q585">
        <f>IF(C585=1,P585*Assumptions!$B$141,Assumptions!$B$41)</f>
        <v/>
      </c>
      <c r="R585">
        <f>IF(D585=1,P585*Assumptions!$B$128,Assumptions!$B$33)</f>
        <v/>
      </c>
      <c r="S585">
        <f>IF(E585=1,P585*Assumptions!$B$129,Assumptions!$B$32)</f>
        <v/>
      </c>
      <c r="T585">
        <f>IF(F585=1,P585*Assumptions!$B$14,Assumptions!$B$31)</f>
        <v/>
      </c>
      <c r="U585">
        <f>IF(G585=1,P585*Assumptions!$B$13,Assumptions!$B$30)</f>
        <v/>
      </c>
      <c r="V585">
        <f>IF(H585=1,P585*Assumptions!$B$12,Assumptions!$B$29)</f>
        <v/>
      </c>
      <c r="W585">
        <f>IF(I585=1,P585*Assumptions!$B$11,Assumptions!$B$28)</f>
        <v/>
      </c>
      <c r="X585">
        <f>P585*(Assumptions!$B$133+Assumptions!$B$137)</f>
        <v/>
      </c>
      <c r="Y585">
        <f>P585*Assumptions!$B$9</f>
        <v/>
      </c>
      <c r="Z585">
        <f>IF(M585=1,(P585-Assumptions!$B$37)*Assumptions!$B$153,0)</f>
        <v/>
      </c>
      <c r="AA585">
        <f>Q585+R585+S585+T585+U585+V585+W585+X585+Y585+Z585</f>
        <v/>
      </c>
      <c r="AB585" t="n">
        <v>22</v>
      </c>
      <c r="AC585" t="n">
        <v>86</v>
      </c>
      <c r="AD585" t="n">
        <v>54</v>
      </c>
      <c r="AE585" t="n">
        <v>6</v>
      </c>
      <c r="AF585" t="n">
        <v>30</v>
      </c>
      <c r="AG585" t="n">
        <v>18</v>
      </c>
      <c r="AH585" t="n">
        <v>20</v>
      </c>
      <c r="AI585" t="n">
        <v>23</v>
      </c>
      <c r="AJ585">
        <f>INDEX($Q$563:$Q$690,AC585+1)</f>
        <v/>
      </c>
      <c r="AK585">
        <f>INDEX($R$563:$R$690,AD585+1)</f>
        <v/>
      </c>
      <c r="AL585">
        <f>INDEX($S$563:$S$690,AE585+1)</f>
        <v/>
      </c>
      <c r="AM585">
        <f>INDEX($T$563:$T$690,AF585+1)</f>
        <v/>
      </c>
      <c r="AN585">
        <f>INDEX($U$563:$U$690,AG585+1)</f>
        <v/>
      </c>
      <c r="AO585">
        <f>INDEX($V$563:$V$690,AH585+1)</f>
        <v/>
      </c>
      <c r="AP585">
        <f>INDEX($W$563:$W$690,AI585+1)</f>
        <v/>
      </c>
      <c r="AQ585">
        <f>IF(Q585&gt;=AJ585-0.01,1,0)</f>
        <v/>
      </c>
      <c r="AR585">
        <f>IF(R585&gt;=AK585-0.01,1,0)</f>
        <v/>
      </c>
      <c r="AS585">
        <f>IF(S585&gt;=AL585-0.01,1,0)</f>
        <v/>
      </c>
      <c r="AT585">
        <f>IF(T585&gt;=AM585-0.01,1,0)</f>
        <v/>
      </c>
      <c r="AU585">
        <f>IF(U585&gt;=AN585-0.01,1,0)</f>
        <v/>
      </c>
      <c r="AV585">
        <f>IF(V585&gt;=AO585-0.01,1,0)</f>
        <v/>
      </c>
      <c r="AW585">
        <f>IF(W585&gt;=AP585-0.01,1,0)</f>
        <v/>
      </c>
      <c r="AX585">
        <f>AQ585*AR585*AS585*AT585*AU585*AV585*AW585</f>
        <v/>
      </c>
      <c r="AY585">
        <f>Assumptions!$B$41</f>
        <v/>
      </c>
      <c r="AZ585">
        <f>Assumptions!$B$33</f>
        <v/>
      </c>
      <c r="BA585">
        <f>Assumptions!$B$32</f>
        <v/>
      </c>
      <c r="BB585">
        <f>Assumptions!$B$31</f>
        <v/>
      </c>
      <c r="BC585">
        <f>Assumptions!$B$30</f>
        <v/>
      </c>
      <c r="BD585">
        <f>Assumptions!$B$29</f>
        <v/>
      </c>
      <c r="BE585">
        <f>Assumptions!$B$28</f>
        <v/>
      </c>
      <c r="BF585">
        <f>P585*Assumptions!$B$141</f>
        <v/>
      </c>
      <c r="BG585">
        <f>P585*Assumptions!$B$128</f>
        <v/>
      </c>
      <c r="BH585">
        <f>P585*Assumptions!$B$129</f>
        <v/>
      </c>
      <c r="BI585">
        <f>P585*Assumptions!$B$14</f>
        <v/>
      </c>
      <c r="BJ585">
        <f>P585*Assumptions!$B$13</f>
        <v/>
      </c>
      <c r="BK585">
        <f>P585*Assumptions!$B$12</f>
        <v/>
      </c>
      <c r="BL585">
        <f>P585*Assumptions!$B$11</f>
        <v/>
      </c>
    </row>
    <row r="586">
      <c r="A586" t="inlineStr">
        <is>
          <t>8000M</t>
        </is>
      </c>
      <c r="B586">
        <f>Assumptions!$B$62</f>
        <v/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>
        <f>(1-C586)*Assumptions!$B$41+(1-D586)*Assumptions!$B$33+(1-E586)*Assumptions!$B$32+(1-F586)*Assumptions!$B$31+(1-G586)*Assumptions!$B$30+(1-H586)*Assumptions!$B$29+(1-I586)*Assumptions!$B$28</f>
        <v/>
      </c>
      <c r="K586">
        <f>C586*Assumptions!$B$141+D586*Assumptions!$B$128+E586*Assumptions!$B$129+F586*Assumptions!$B$14+G586*Assumptions!$B$13+H586*Assumptions!$B$12+I586*Assumptions!$B$11+Assumptions!$B$133+Assumptions!$B$137+Assumptions!$B$9</f>
        <v/>
      </c>
      <c r="L586">
        <f>B586-J586</f>
        <v/>
      </c>
      <c r="M586">
        <f>IF(K586&gt;0,IF(L586/K586&gt;=Assumptions!$B$37,1,0),0)</f>
        <v/>
      </c>
      <c r="N586">
        <f>K586+M586*Assumptions!$B$153</f>
        <v/>
      </c>
      <c r="O586">
        <f>L586+M586*Assumptions!$B$153*Assumptions!$B$37</f>
        <v/>
      </c>
      <c r="P586">
        <f>IF(N586&gt;0,O586/N586,0)</f>
        <v/>
      </c>
      <c r="Q586">
        <f>IF(C586=1,P586*Assumptions!$B$141,Assumptions!$B$41)</f>
        <v/>
      </c>
      <c r="R586">
        <f>IF(D586=1,P586*Assumptions!$B$128,Assumptions!$B$33)</f>
        <v/>
      </c>
      <c r="S586">
        <f>IF(E586=1,P586*Assumptions!$B$129,Assumptions!$B$32)</f>
        <v/>
      </c>
      <c r="T586">
        <f>IF(F586=1,P586*Assumptions!$B$14,Assumptions!$B$31)</f>
        <v/>
      </c>
      <c r="U586">
        <f>IF(G586=1,P586*Assumptions!$B$13,Assumptions!$B$30)</f>
        <v/>
      </c>
      <c r="V586">
        <f>IF(H586=1,P586*Assumptions!$B$12,Assumptions!$B$29)</f>
        <v/>
      </c>
      <c r="W586">
        <f>IF(I586=1,P586*Assumptions!$B$11,Assumptions!$B$28)</f>
        <v/>
      </c>
      <c r="X586">
        <f>P586*(Assumptions!$B$133+Assumptions!$B$137)</f>
        <v/>
      </c>
      <c r="Y586">
        <f>P586*Assumptions!$B$9</f>
        <v/>
      </c>
      <c r="Z586">
        <f>IF(M586=1,(P586-Assumptions!$B$37)*Assumptions!$B$153,0)</f>
        <v/>
      </c>
      <c r="AA586">
        <f>Q586+R586+S586+T586+U586+V586+W586+X586+Y586+Z586</f>
        <v/>
      </c>
      <c r="AB586" t="n">
        <v>23</v>
      </c>
      <c r="AC586" t="n">
        <v>87</v>
      </c>
      <c r="AD586" t="n">
        <v>55</v>
      </c>
      <c r="AE586" t="n">
        <v>7</v>
      </c>
      <c r="AF586" t="n">
        <v>31</v>
      </c>
      <c r="AG586" t="n">
        <v>19</v>
      </c>
      <c r="AH586" t="n">
        <v>21</v>
      </c>
      <c r="AI586" t="n">
        <v>22</v>
      </c>
      <c r="AJ586">
        <f>INDEX($Q$563:$Q$690,AC586+1)</f>
        <v/>
      </c>
      <c r="AK586">
        <f>INDEX($R$563:$R$690,AD586+1)</f>
        <v/>
      </c>
      <c r="AL586">
        <f>INDEX($S$563:$S$690,AE586+1)</f>
        <v/>
      </c>
      <c r="AM586">
        <f>INDEX($T$563:$T$690,AF586+1)</f>
        <v/>
      </c>
      <c r="AN586">
        <f>INDEX($U$563:$U$690,AG586+1)</f>
        <v/>
      </c>
      <c r="AO586">
        <f>INDEX($V$563:$V$690,AH586+1)</f>
        <v/>
      </c>
      <c r="AP586">
        <f>INDEX($W$563:$W$690,AI586+1)</f>
        <v/>
      </c>
      <c r="AQ586">
        <f>IF(Q586&gt;=AJ586-0.01,1,0)</f>
        <v/>
      </c>
      <c r="AR586">
        <f>IF(R586&gt;=AK586-0.01,1,0)</f>
        <v/>
      </c>
      <c r="AS586">
        <f>IF(S586&gt;=AL586-0.01,1,0)</f>
        <v/>
      </c>
      <c r="AT586">
        <f>IF(T586&gt;=AM586-0.01,1,0)</f>
        <v/>
      </c>
      <c r="AU586">
        <f>IF(U586&gt;=AN586-0.01,1,0)</f>
        <v/>
      </c>
      <c r="AV586">
        <f>IF(V586&gt;=AO586-0.01,1,0)</f>
        <v/>
      </c>
      <c r="AW586">
        <f>IF(W586&gt;=AP586-0.01,1,0)</f>
        <v/>
      </c>
      <c r="AX586">
        <f>AQ586*AR586*AS586*AT586*AU586*AV586*AW586</f>
        <v/>
      </c>
      <c r="AY586">
        <f>Assumptions!$B$41</f>
        <v/>
      </c>
      <c r="AZ586">
        <f>Assumptions!$B$33</f>
        <v/>
      </c>
      <c r="BA586">
        <f>Assumptions!$B$32</f>
        <v/>
      </c>
      <c r="BB586">
        <f>Assumptions!$B$31</f>
        <v/>
      </c>
      <c r="BC586">
        <f>Assumptions!$B$30</f>
        <v/>
      </c>
      <c r="BD586">
        <f>Assumptions!$B$29</f>
        <v/>
      </c>
      <c r="BE586">
        <f>Assumptions!$B$28</f>
        <v/>
      </c>
      <c r="BF586">
        <f>P586*Assumptions!$B$141</f>
        <v/>
      </c>
      <c r="BG586">
        <f>P586*Assumptions!$B$128</f>
        <v/>
      </c>
      <c r="BH586">
        <f>P586*Assumptions!$B$129</f>
        <v/>
      </c>
      <c r="BI586">
        <f>P586*Assumptions!$B$14</f>
        <v/>
      </c>
      <c r="BJ586">
        <f>P586*Assumptions!$B$13</f>
        <v/>
      </c>
      <c r="BK586">
        <f>P586*Assumptions!$B$12</f>
        <v/>
      </c>
      <c r="BL586">
        <f>P586*Assumptions!$B$11</f>
        <v/>
      </c>
    </row>
    <row r="587">
      <c r="A587" t="inlineStr">
        <is>
          <t>8000M</t>
        </is>
      </c>
      <c r="B587">
        <f>Assumptions!$B$62</f>
        <v/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>
        <f>(1-C587)*Assumptions!$B$41+(1-D587)*Assumptions!$B$33+(1-E587)*Assumptions!$B$32+(1-F587)*Assumptions!$B$31+(1-G587)*Assumptions!$B$30+(1-H587)*Assumptions!$B$29+(1-I587)*Assumptions!$B$28</f>
        <v/>
      </c>
      <c r="K587">
        <f>C587*Assumptions!$B$141+D587*Assumptions!$B$128+E587*Assumptions!$B$129+F587*Assumptions!$B$14+G587*Assumptions!$B$13+H587*Assumptions!$B$12+I587*Assumptions!$B$11+Assumptions!$B$133+Assumptions!$B$137+Assumptions!$B$9</f>
        <v/>
      </c>
      <c r="L587">
        <f>B587-J587</f>
        <v/>
      </c>
      <c r="M587">
        <f>IF(K587&gt;0,IF(L587/K587&gt;=Assumptions!$B$37,1,0),0)</f>
        <v/>
      </c>
      <c r="N587">
        <f>K587+M587*Assumptions!$B$153</f>
        <v/>
      </c>
      <c r="O587">
        <f>L587+M587*Assumptions!$B$153*Assumptions!$B$37</f>
        <v/>
      </c>
      <c r="P587">
        <f>IF(N587&gt;0,O587/N587,0)</f>
        <v/>
      </c>
      <c r="Q587">
        <f>IF(C587=1,P587*Assumptions!$B$141,Assumptions!$B$41)</f>
        <v/>
      </c>
      <c r="R587">
        <f>IF(D587=1,P587*Assumptions!$B$128,Assumptions!$B$33)</f>
        <v/>
      </c>
      <c r="S587">
        <f>IF(E587=1,P587*Assumptions!$B$129,Assumptions!$B$32)</f>
        <v/>
      </c>
      <c r="T587">
        <f>IF(F587=1,P587*Assumptions!$B$14,Assumptions!$B$31)</f>
        <v/>
      </c>
      <c r="U587">
        <f>IF(G587=1,P587*Assumptions!$B$13,Assumptions!$B$30)</f>
        <v/>
      </c>
      <c r="V587">
        <f>IF(H587=1,P587*Assumptions!$B$12,Assumptions!$B$29)</f>
        <v/>
      </c>
      <c r="W587">
        <f>IF(I587=1,P587*Assumptions!$B$11,Assumptions!$B$28)</f>
        <v/>
      </c>
      <c r="X587">
        <f>P587*(Assumptions!$B$133+Assumptions!$B$137)</f>
        <v/>
      </c>
      <c r="Y587">
        <f>P587*Assumptions!$B$9</f>
        <v/>
      </c>
      <c r="Z587">
        <f>IF(M587=1,(P587-Assumptions!$B$37)*Assumptions!$B$153,0)</f>
        <v/>
      </c>
      <c r="AA587">
        <f>Q587+R587+S587+T587+U587+V587+W587+X587+Y587+Z587</f>
        <v/>
      </c>
      <c r="AB587" t="n">
        <v>24</v>
      </c>
      <c r="AC587" t="n">
        <v>88</v>
      </c>
      <c r="AD587" t="n">
        <v>56</v>
      </c>
      <c r="AE587" t="n">
        <v>8</v>
      </c>
      <c r="AF587" t="n">
        <v>16</v>
      </c>
      <c r="AG587" t="n">
        <v>28</v>
      </c>
      <c r="AH587" t="n">
        <v>26</v>
      </c>
      <c r="AI587" t="n">
        <v>25</v>
      </c>
      <c r="AJ587">
        <f>INDEX($Q$563:$Q$690,AC587+1)</f>
        <v/>
      </c>
      <c r="AK587">
        <f>INDEX($R$563:$R$690,AD587+1)</f>
        <v/>
      </c>
      <c r="AL587">
        <f>INDEX($S$563:$S$690,AE587+1)</f>
        <v/>
      </c>
      <c r="AM587">
        <f>INDEX($T$563:$T$690,AF587+1)</f>
        <v/>
      </c>
      <c r="AN587">
        <f>INDEX($U$563:$U$690,AG587+1)</f>
        <v/>
      </c>
      <c r="AO587">
        <f>INDEX($V$563:$V$690,AH587+1)</f>
        <v/>
      </c>
      <c r="AP587">
        <f>INDEX($W$563:$W$690,AI587+1)</f>
        <v/>
      </c>
      <c r="AQ587">
        <f>IF(Q587&gt;=AJ587-0.01,1,0)</f>
        <v/>
      </c>
      <c r="AR587">
        <f>IF(R587&gt;=AK587-0.01,1,0)</f>
        <v/>
      </c>
      <c r="AS587">
        <f>IF(S587&gt;=AL587-0.01,1,0)</f>
        <v/>
      </c>
      <c r="AT587">
        <f>IF(T587&gt;=AM587-0.01,1,0)</f>
        <v/>
      </c>
      <c r="AU587">
        <f>IF(U587&gt;=AN587-0.01,1,0)</f>
        <v/>
      </c>
      <c r="AV587">
        <f>IF(V587&gt;=AO587-0.01,1,0)</f>
        <v/>
      </c>
      <c r="AW587">
        <f>IF(W587&gt;=AP587-0.01,1,0)</f>
        <v/>
      </c>
      <c r="AX587">
        <f>AQ587*AR587*AS587*AT587*AU587*AV587*AW587</f>
        <v/>
      </c>
      <c r="AY587">
        <f>Assumptions!$B$41</f>
        <v/>
      </c>
      <c r="AZ587">
        <f>Assumptions!$B$33</f>
        <v/>
      </c>
      <c r="BA587">
        <f>Assumptions!$B$32</f>
        <v/>
      </c>
      <c r="BB587">
        <f>Assumptions!$B$31</f>
        <v/>
      </c>
      <c r="BC587">
        <f>Assumptions!$B$30</f>
        <v/>
      </c>
      <c r="BD587">
        <f>Assumptions!$B$29</f>
        <v/>
      </c>
      <c r="BE587">
        <f>Assumptions!$B$28</f>
        <v/>
      </c>
      <c r="BF587">
        <f>P587*Assumptions!$B$141</f>
        <v/>
      </c>
      <c r="BG587">
        <f>P587*Assumptions!$B$128</f>
        <v/>
      </c>
      <c r="BH587">
        <f>P587*Assumptions!$B$129</f>
        <v/>
      </c>
      <c r="BI587">
        <f>P587*Assumptions!$B$14</f>
        <v/>
      </c>
      <c r="BJ587">
        <f>P587*Assumptions!$B$13</f>
        <v/>
      </c>
      <c r="BK587">
        <f>P587*Assumptions!$B$12</f>
        <v/>
      </c>
      <c r="BL587">
        <f>P587*Assumptions!$B$11</f>
        <v/>
      </c>
    </row>
    <row r="588">
      <c r="A588" t="inlineStr">
        <is>
          <t>8000M</t>
        </is>
      </c>
      <c r="B588">
        <f>Assumptions!$B$62</f>
        <v/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>
        <f>(1-C588)*Assumptions!$B$41+(1-D588)*Assumptions!$B$33+(1-E588)*Assumptions!$B$32+(1-F588)*Assumptions!$B$31+(1-G588)*Assumptions!$B$30+(1-H588)*Assumptions!$B$29+(1-I588)*Assumptions!$B$28</f>
        <v/>
      </c>
      <c r="K588">
        <f>C588*Assumptions!$B$141+D588*Assumptions!$B$128+E588*Assumptions!$B$129+F588*Assumptions!$B$14+G588*Assumptions!$B$13+H588*Assumptions!$B$12+I588*Assumptions!$B$11+Assumptions!$B$133+Assumptions!$B$137+Assumptions!$B$9</f>
        <v/>
      </c>
      <c r="L588">
        <f>B588-J588</f>
        <v/>
      </c>
      <c r="M588">
        <f>IF(K588&gt;0,IF(L588/K588&gt;=Assumptions!$B$37,1,0),0)</f>
        <v/>
      </c>
      <c r="N588">
        <f>K588+M588*Assumptions!$B$153</f>
        <v/>
      </c>
      <c r="O588">
        <f>L588+M588*Assumptions!$B$153*Assumptions!$B$37</f>
        <v/>
      </c>
      <c r="P588">
        <f>IF(N588&gt;0,O588/N588,0)</f>
        <v/>
      </c>
      <c r="Q588">
        <f>IF(C588=1,P588*Assumptions!$B$141,Assumptions!$B$41)</f>
        <v/>
      </c>
      <c r="R588">
        <f>IF(D588=1,P588*Assumptions!$B$128,Assumptions!$B$33)</f>
        <v/>
      </c>
      <c r="S588">
        <f>IF(E588=1,P588*Assumptions!$B$129,Assumptions!$B$32)</f>
        <v/>
      </c>
      <c r="T588">
        <f>IF(F588=1,P588*Assumptions!$B$14,Assumptions!$B$31)</f>
        <v/>
      </c>
      <c r="U588">
        <f>IF(G588=1,P588*Assumptions!$B$13,Assumptions!$B$30)</f>
        <v/>
      </c>
      <c r="V588">
        <f>IF(H588=1,P588*Assumptions!$B$12,Assumptions!$B$29)</f>
        <v/>
      </c>
      <c r="W588">
        <f>IF(I588=1,P588*Assumptions!$B$11,Assumptions!$B$28)</f>
        <v/>
      </c>
      <c r="X588">
        <f>P588*(Assumptions!$B$133+Assumptions!$B$137)</f>
        <v/>
      </c>
      <c r="Y588">
        <f>P588*Assumptions!$B$9</f>
        <v/>
      </c>
      <c r="Z588">
        <f>IF(M588=1,(P588-Assumptions!$B$37)*Assumptions!$B$153,0)</f>
        <v/>
      </c>
      <c r="AA588">
        <f>Q588+R588+S588+T588+U588+V588+W588+X588+Y588+Z588</f>
        <v/>
      </c>
      <c r="AB588" t="n">
        <v>25</v>
      </c>
      <c r="AC588" t="n">
        <v>89</v>
      </c>
      <c r="AD588" t="n">
        <v>57</v>
      </c>
      <c r="AE588" t="n">
        <v>9</v>
      </c>
      <c r="AF588" t="n">
        <v>17</v>
      </c>
      <c r="AG588" t="n">
        <v>29</v>
      </c>
      <c r="AH588" t="n">
        <v>27</v>
      </c>
      <c r="AI588" t="n">
        <v>24</v>
      </c>
      <c r="AJ588">
        <f>INDEX($Q$563:$Q$690,AC588+1)</f>
        <v/>
      </c>
      <c r="AK588">
        <f>INDEX($R$563:$R$690,AD588+1)</f>
        <v/>
      </c>
      <c r="AL588">
        <f>INDEX($S$563:$S$690,AE588+1)</f>
        <v/>
      </c>
      <c r="AM588">
        <f>INDEX($T$563:$T$690,AF588+1)</f>
        <v/>
      </c>
      <c r="AN588">
        <f>INDEX($U$563:$U$690,AG588+1)</f>
        <v/>
      </c>
      <c r="AO588">
        <f>INDEX($V$563:$V$690,AH588+1)</f>
        <v/>
      </c>
      <c r="AP588">
        <f>INDEX($W$563:$W$690,AI588+1)</f>
        <v/>
      </c>
      <c r="AQ588">
        <f>IF(Q588&gt;=AJ588-0.01,1,0)</f>
        <v/>
      </c>
      <c r="AR588">
        <f>IF(R588&gt;=AK588-0.01,1,0)</f>
        <v/>
      </c>
      <c r="AS588">
        <f>IF(S588&gt;=AL588-0.01,1,0)</f>
        <v/>
      </c>
      <c r="AT588">
        <f>IF(T588&gt;=AM588-0.01,1,0)</f>
        <v/>
      </c>
      <c r="AU588">
        <f>IF(U588&gt;=AN588-0.01,1,0)</f>
        <v/>
      </c>
      <c r="AV588">
        <f>IF(V588&gt;=AO588-0.01,1,0)</f>
        <v/>
      </c>
      <c r="AW588">
        <f>IF(W588&gt;=AP588-0.01,1,0)</f>
        <v/>
      </c>
      <c r="AX588">
        <f>AQ588*AR588*AS588*AT588*AU588*AV588*AW588</f>
        <v/>
      </c>
      <c r="AY588">
        <f>Assumptions!$B$41</f>
        <v/>
      </c>
      <c r="AZ588">
        <f>Assumptions!$B$33</f>
        <v/>
      </c>
      <c r="BA588">
        <f>Assumptions!$B$32</f>
        <v/>
      </c>
      <c r="BB588">
        <f>Assumptions!$B$31</f>
        <v/>
      </c>
      <c r="BC588">
        <f>Assumptions!$B$30</f>
        <v/>
      </c>
      <c r="BD588">
        <f>Assumptions!$B$29</f>
        <v/>
      </c>
      <c r="BE588">
        <f>Assumptions!$B$28</f>
        <v/>
      </c>
      <c r="BF588">
        <f>P588*Assumptions!$B$141</f>
        <v/>
      </c>
      <c r="BG588">
        <f>P588*Assumptions!$B$128</f>
        <v/>
      </c>
      <c r="BH588">
        <f>P588*Assumptions!$B$129</f>
        <v/>
      </c>
      <c r="BI588">
        <f>P588*Assumptions!$B$14</f>
        <v/>
      </c>
      <c r="BJ588">
        <f>P588*Assumptions!$B$13</f>
        <v/>
      </c>
      <c r="BK588">
        <f>P588*Assumptions!$B$12</f>
        <v/>
      </c>
      <c r="BL588">
        <f>P588*Assumptions!$B$11</f>
        <v/>
      </c>
    </row>
    <row r="589">
      <c r="A589" t="inlineStr">
        <is>
          <t>8000M</t>
        </is>
      </c>
      <c r="B589">
        <f>Assumptions!$B$62</f>
        <v/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>
        <f>(1-C589)*Assumptions!$B$41+(1-D589)*Assumptions!$B$33+(1-E589)*Assumptions!$B$32+(1-F589)*Assumptions!$B$31+(1-G589)*Assumptions!$B$30+(1-H589)*Assumptions!$B$29+(1-I589)*Assumptions!$B$28</f>
        <v/>
      </c>
      <c r="K589">
        <f>C589*Assumptions!$B$141+D589*Assumptions!$B$128+E589*Assumptions!$B$129+F589*Assumptions!$B$14+G589*Assumptions!$B$13+H589*Assumptions!$B$12+I589*Assumptions!$B$11+Assumptions!$B$133+Assumptions!$B$137+Assumptions!$B$9</f>
        <v/>
      </c>
      <c r="L589">
        <f>B589-J589</f>
        <v/>
      </c>
      <c r="M589">
        <f>IF(K589&gt;0,IF(L589/K589&gt;=Assumptions!$B$37,1,0),0)</f>
        <v/>
      </c>
      <c r="N589">
        <f>K589+M589*Assumptions!$B$153</f>
        <v/>
      </c>
      <c r="O589">
        <f>L589+M589*Assumptions!$B$153*Assumptions!$B$37</f>
        <v/>
      </c>
      <c r="P589">
        <f>IF(N589&gt;0,O589/N589,0)</f>
        <v/>
      </c>
      <c r="Q589">
        <f>IF(C589=1,P589*Assumptions!$B$141,Assumptions!$B$41)</f>
        <v/>
      </c>
      <c r="R589">
        <f>IF(D589=1,P589*Assumptions!$B$128,Assumptions!$B$33)</f>
        <v/>
      </c>
      <c r="S589">
        <f>IF(E589=1,P589*Assumptions!$B$129,Assumptions!$B$32)</f>
        <v/>
      </c>
      <c r="T589">
        <f>IF(F589=1,P589*Assumptions!$B$14,Assumptions!$B$31)</f>
        <v/>
      </c>
      <c r="U589">
        <f>IF(G589=1,P589*Assumptions!$B$13,Assumptions!$B$30)</f>
        <v/>
      </c>
      <c r="V589">
        <f>IF(H589=1,P589*Assumptions!$B$12,Assumptions!$B$29)</f>
        <v/>
      </c>
      <c r="W589">
        <f>IF(I589=1,P589*Assumptions!$B$11,Assumptions!$B$28)</f>
        <v/>
      </c>
      <c r="X589">
        <f>P589*(Assumptions!$B$133+Assumptions!$B$137)</f>
        <v/>
      </c>
      <c r="Y589">
        <f>P589*Assumptions!$B$9</f>
        <v/>
      </c>
      <c r="Z589">
        <f>IF(M589=1,(P589-Assumptions!$B$37)*Assumptions!$B$153,0)</f>
        <v/>
      </c>
      <c r="AA589">
        <f>Q589+R589+S589+T589+U589+V589+W589+X589+Y589+Z589</f>
        <v/>
      </c>
      <c r="AB589" t="n">
        <v>26</v>
      </c>
      <c r="AC589" t="n">
        <v>90</v>
      </c>
      <c r="AD589" t="n">
        <v>58</v>
      </c>
      <c r="AE589" t="n">
        <v>10</v>
      </c>
      <c r="AF589" t="n">
        <v>18</v>
      </c>
      <c r="AG589" t="n">
        <v>30</v>
      </c>
      <c r="AH589" t="n">
        <v>24</v>
      </c>
      <c r="AI589" t="n">
        <v>27</v>
      </c>
      <c r="AJ589">
        <f>INDEX($Q$563:$Q$690,AC589+1)</f>
        <v/>
      </c>
      <c r="AK589">
        <f>INDEX($R$563:$R$690,AD589+1)</f>
        <v/>
      </c>
      <c r="AL589">
        <f>INDEX($S$563:$S$690,AE589+1)</f>
        <v/>
      </c>
      <c r="AM589">
        <f>INDEX($T$563:$T$690,AF589+1)</f>
        <v/>
      </c>
      <c r="AN589">
        <f>INDEX($U$563:$U$690,AG589+1)</f>
        <v/>
      </c>
      <c r="AO589">
        <f>INDEX($V$563:$V$690,AH589+1)</f>
        <v/>
      </c>
      <c r="AP589">
        <f>INDEX($W$563:$W$690,AI589+1)</f>
        <v/>
      </c>
      <c r="AQ589">
        <f>IF(Q589&gt;=AJ589-0.01,1,0)</f>
        <v/>
      </c>
      <c r="AR589">
        <f>IF(R589&gt;=AK589-0.01,1,0)</f>
        <v/>
      </c>
      <c r="AS589">
        <f>IF(S589&gt;=AL589-0.01,1,0)</f>
        <v/>
      </c>
      <c r="AT589">
        <f>IF(T589&gt;=AM589-0.01,1,0)</f>
        <v/>
      </c>
      <c r="AU589">
        <f>IF(U589&gt;=AN589-0.01,1,0)</f>
        <v/>
      </c>
      <c r="AV589">
        <f>IF(V589&gt;=AO589-0.01,1,0)</f>
        <v/>
      </c>
      <c r="AW589">
        <f>IF(W589&gt;=AP589-0.01,1,0)</f>
        <v/>
      </c>
      <c r="AX589">
        <f>AQ589*AR589*AS589*AT589*AU589*AV589*AW589</f>
        <v/>
      </c>
      <c r="AY589">
        <f>Assumptions!$B$41</f>
        <v/>
      </c>
      <c r="AZ589">
        <f>Assumptions!$B$33</f>
        <v/>
      </c>
      <c r="BA589">
        <f>Assumptions!$B$32</f>
        <v/>
      </c>
      <c r="BB589">
        <f>Assumptions!$B$31</f>
        <v/>
      </c>
      <c r="BC589">
        <f>Assumptions!$B$30</f>
        <v/>
      </c>
      <c r="BD589">
        <f>Assumptions!$B$29</f>
        <v/>
      </c>
      <c r="BE589">
        <f>Assumptions!$B$28</f>
        <v/>
      </c>
      <c r="BF589">
        <f>P589*Assumptions!$B$141</f>
        <v/>
      </c>
      <c r="BG589">
        <f>P589*Assumptions!$B$128</f>
        <v/>
      </c>
      <c r="BH589">
        <f>P589*Assumptions!$B$129</f>
        <v/>
      </c>
      <c r="BI589">
        <f>P589*Assumptions!$B$14</f>
        <v/>
      </c>
      <c r="BJ589">
        <f>P589*Assumptions!$B$13</f>
        <v/>
      </c>
      <c r="BK589">
        <f>P589*Assumptions!$B$12</f>
        <v/>
      </c>
      <c r="BL589">
        <f>P589*Assumptions!$B$11</f>
        <v/>
      </c>
    </row>
    <row r="590">
      <c r="A590" t="inlineStr">
        <is>
          <t>8000M</t>
        </is>
      </c>
      <c r="B590">
        <f>Assumptions!$B$62</f>
        <v/>
      </c>
      <c r="C590" t="n">
        <v>0</v>
      </c>
      <c r="D590" t="n">
        <v>0</v>
      </c>
      <c r="E590" t="n">
        <v>1</v>
      </c>
      <c r="F590" t="n">
        <v>1</v>
      </c>
      <c r="G590" t="n">
        <v>0</v>
      </c>
      <c r="H590" t="n">
        <v>1</v>
      </c>
      <c r="I590" t="n">
        <v>1</v>
      </c>
      <c r="J590">
        <f>(1-C590)*Assumptions!$B$41+(1-D590)*Assumptions!$B$33+(1-E590)*Assumptions!$B$32+(1-F590)*Assumptions!$B$31+(1-G590)*Assumptions!$B$30+(1-H590)*Assumptions!$B$29+(1-I590)*Assumptions!$B$28</f>
        <v/>
      </c>
      <c r="K590">
        <f>C590*Assumptions!$B$141+D590*Assumptions!$B$128+E590*Assumptions!$B$129+F590*Assumptions!$B$14+G590*Assumptions!$B$13+H590*Assumptions!$B$12+I590*Assumptions!$B$11+Assumptions!$B$133+Assumptions!$B$137+Assumptions!$B$9</f>
        <v/>
      </c>
      <c r="L590">
        <f>B590-J590</f>
        <v/>
      </c>
      <c r="M590">
        <f>IF(K590&gt;0,IF(L590/K590&gt;=Assumptions!$B$37,1,0),0)</f>
        <v/>
      </c>
      <c r="N590">
        <f>K590+M590*Assumptions!$B$153</f>
        <v/>
      </c>
      <c r="O590">
        <f>L590+M590*Assumptions!$B$153*Assumptions!$B$37</f>
        <v/>
      </c>
      <c r="P590">
        <f>IF(N590&gt;0,O590/N590,0)</f>
        <v/>
      </c>
      <c r="Q590">
        <f>IF(C590=1,P590*Assumptions!$B$141,Assumptions!$B$41)</f>
        <v/>
      </c>
      <c r="R590">
        <f>IF(D590=1,P590*Assumptions!$B$128,Assumptions!$B$33)</f>
        <v/>
      </c>
      <c r="S590">
        <f>IF(E590=1,P590*Assumptions!$B$129,Assumptions!$B$32)</f>
        <v/>
      </c>
      <c r="T590">
        <f>IF(F590=1,P590*Assumptions!$B$14,Assumptions!$B$31)</f>
        <v/>
      </c>
      <c r="U590">
        <f>IF(G590=1,P590*Assumptions!$B$13,Assumptions!$B$30)</f>
        <v/>
      </c>
      <c r="V590">
        <f>IF(H590=1,P590*Assumptions!$B$12,Assumptions!$B$29)</f>
        <v/>
      </c>
      <c r="W590">
        <f>IF(I590=1,P590*Assumptions!$B$11,Assumptions!$B$28)</f>
        <v/>
      </c>
      <c r="X590">
        <f>P590*(Assumptions!$B$133+Assumptions!$B$137)</f>
        <v/>
      </c>
      <c r="Y590">
        <f>P590*Assumptions!$B$9</f>
        <v/>
      </c>
      <c r="Z590">
        <f>IF(M590=1,(P590-Assumptions!$B$37)*Assumptions!$B$153,0)</f>
        <v/>
      </c>
      <c r="AA590">
        <f>Q590+R590+S590+T590+U590+V590+W590+X590+Y590+Z590</f>
        <v/>
      </c>
      <c r="AB590" t="n">
        <v>27</v>
      </c>
      <c r="AC590" t="n">
        <v>91</v>
      </c>
      <c r="AD590" t="n">
        <v>59</v>
      </c>
      <c r="AE590" t="n">
        <v>11</v>
      </c>
      <c r="AF590" t="n">
        <v>19</v>
      </c>
      <c r="AG590" t="n">
        <v>31</v>
      </c>
      <c r="AH590" t="n">
        <v>25</v>
      </c>
      <c r="AI590" t="n">
        <v>26</v>
      </c>
      <c r="AJ590">
        <f>INDEX($Q$563:$Q$690,AC590+1)</f>
        <v/>
      </c>
      <c r="AK590">
        <f>INDEX($R$563:$R$690,AD590+1)</f>
        <v/>
      </c>
      <c r="AL590">
        <f>INDEX($S$563:$S$690,AE590+1)</f>
        <v/>
      </c>
      <c r="AM590">
        <f>INDEX($T$563:$T$690,AF590+1)</f>
        <v/>
      </c>
      <c r="AN590">
        <f>INDEX($U$563:$U$690,AG590+1)</f>
        <v/>
      </c>
      <c r="AO590">
        <f>INDEX($V$563:$V$690,AH590+1)</f>
        <v/>
      </c>
      <c r="AP590">
        <f>INDEX($W$563:$W$690,AI590+1)</f>
        <v/>
      </c>
      <c r="AQ590">
        <f>IF(Q590&gt;=AJ590-0.01,1,0)</f>
        <v/>
      </c>
      <c r="AR590">
        <f>IF(R590&gt;=AK590-0.01,1,0)</f>
        <v/>
      </c>
      <c r="AS590">
        <f>IF(S590&gt;=AL590-0.01,1,0)</f>
        <v/>
      </c>
      <c r="AT590">
        <f>IF(T590&gt;=AM590-0.01,1,0)</f>
        <v/>
      </c>
      <c r="AU590">
        <f>IF(U590&gt;=AN590-0.01,1,0)</f>
        <v/>
      </c>
      <c r="AV590">
        <f>IF(V590&gt;=AO590-0.01,1,0)</f>
        <v/>
      </c>
      <c r="AW590">
        <f>IF(W590&gt;=AP590-0.01,1,0)</f>
        <v/>
      </c>
      <c r="AX590">
        <f>AQ590*AR590*AS590*AT590*AU590*AV590*AW590</f>
        <v/>
      </c>
      <c r="AY590">
        <f>Assumptions!$B$41</f>
        <v/>
      </c>
      <c r="AZ590">
        <f>Assumptions!$B$33</f>
        <v/>
      </c>
      <c r="BA590">
        <f>Assumptions!$B$32</f>
        <v/>
      </c>
      <c r="BB590">
        <f>Assumptions!$B$31</f>
        <v/>
      </c>
      <c r="BC590">
        <f>Assumptions!$B$30</f>
        <v/>
      </c>
      <c r="BD590">
        <f>Assumptions!$B$29</f>
        <v/>
      </c>
      <c r="BE590">
        <f>Assumptions!$B$28</f>
        <v/>
      </c>
      <c r="BF590">
        <f>P590*Assumptions!$B$141</f>
        <v/>
      </c>
      <c r="BG590">
        <f>P590*Assumptions!$B$128</f>
        <v/>
      </c>
      <c r="BH590">
        <f>P590*Assumptions!$B$129</f>
        <v/>
      </c>
      <c r="BI590">
        <f>P590*Assumptions!$B$14</f>
        <v/>
      </c>
      <c r="BJ590">
        <f>P590*Assumptions!$B$13</f>
        <v/>
      </c>
      <c r="BK590">
        <f>P590*Assumptions!$B$12</f>
        <v/>
      </c>
      <c r="BL590">
        <f>P590*Assumptions!$B$11</f>
        <v/>
      </c>
    </row>
    <row r="591">
      <c r="A591" t="inlineStr">
        <is>
          <t>8000M</t>
        </is>
      </c>
      <c r="B591">
        <f>Assumptions!$B$62</f>
        <v/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>
        <f>(1-C591)*Assumptions!$B$41+(1-D591)*Assumptions!$B$33+(1-E591)*Assumptions!$B$32+(1-F591)*Assumptions!$B$31+(1-G591)*Assumptions!$B$30+(1-H591)*Assumptions!$B$29+(1-I591)*Assumptions!$B$28</f>
        <v/>
      </c>
      <c r="K591">
        <f>C591*Assumptions!$B$141+D591*Assumptions!$B$128+E591*Assumptions!$B$129+F591*Assumptions!$B$14+G591*Assumptions!$B$13+H591*Assumptions!$B$12+I591*Assumptions!$B$11+Assumptions!$B$133+Assumptions!$B$137+Assumptions!$B$9</f>
        <v/>
      </c>
      <c r="L591">
        <f>B591-J591</f>
        <v/>
      </c>
      <c r="M591">
        <f>IF(K591&gt;0,IF(L591/K591&gt;=Assumptions!$B$37,1,0),0)</f>
        <v/>
      </c>
      <c r="N591">
        <f>K591+M591*Assumptions!$B$153</f>
        <v/>
      </c>
      <c r="O591">
        <f>L591+M591*Assumptions!$B$153*Assumptions!$B$37</f>
        <v/>
      </c>
      <c r="P591">
        <f>IF(N591&gt;0,O591/N591,0)</f>
        <v/>
      </c>
      <c r="Q591">
        <f>IF(C591=1,P591*Assumptions!$B$141,Assumptions!$B$41)</f>
        <v/>
      </c>
      <c r="R591">
        <f>IF(D591=1,P591*Assumptions!$B$128,Assumptions!$B$33)</f>
        <v/>
      </c>
      <c r="S591">
        <f>IF(E591=1,P591*Assumptions!$B$129,Assumptions!$B$32)</f>
        <v/>
      </c>
      <c r="T591">
        <f>IF(F591=1,P591*Assumptions!$B$14,Assumptions!$B$31)</f>
        <v/>
      </c>
      <c r="U591">
        <f>IF(G591=1,P591*Assumptions!$B$13,Assumptions!$B$30)</f>
        <v/>
      </c>
      <c r="V591">
        <f>IF(H591=1,P591*Assumptions!$B$12,Assumptions!$B$29)</f>
        <v/>
      </c>
      <c r="W591">
        <f>IF(I591=1,P591*Assumptions!$B$11,Assumptions!$B$28)</f>
        <v/>
      </c>
      <c r="X591">
        <f>P591*(Assumptions!$B$133+Assumptions!$B$137)</f>
        <v/>
      </c>
      <c r="Y591">
        <f>P591*Assumptions!$B$9</f>
        <v/>
      </c>
      <c r="Z591">
        <f>IF(M591=1,(P591-Assumptions!$B$37)*Assumptions!$B$153,0)</f>
        <v/>
      </c>
      <c r="AA591">
        <f>Q591+R591+S591+T591+U591+V591+W591+X591+Y591+Z591</f>
        <v/>
      </c>
      <c r="AB591" t="n">
        <v>28</v>
      </c>
      <c r="AC591" t="n">
        <v>92</v>
      </c>
      <c r="AD591" t="n">
        <v>60</v>
      </c>
      <c r="AE591" t="n">
        <v>12</v>
      </c>
      <c r="AF591" t="n">
        <v>20</v>
      </c>
      <c r="AG591" t="n">
        <v>24</v>
      </c>
      <c r="AH591" t="n">
        <v>30</v>
      </c>
      <c r="AI591" t="n">
        <v>29</v>
      </c>
      <c r="AJ591">
        <f>INDEX($Q$563:$Q$690,AC591+1)</f>
        <v/>
      </c>
      <c r="AK591">
        <f>INDEX($R$563:$R$690,AD591+1)</f>
        <v/>
      </c>
      <c r="AL591">
        <f>INDEX($S$563:$S$690,AE591+1)</f>
        <v/>
      </c>
      <c r="AM591">
        <f>INDEX($T$563:$T$690,AF591+1)</f>
        <v/>
      </c>
      <c r="AN591">
        <f>INDEX($U$563:$U$690,AG591+1)</f>
        <v/>
      </c>
      <c r="AO591">
        <f>INDEX($V$563:$V$690,AH591+1)</f>
        <v/>
      </c>
      <c r="AP591">
        <f>INDEX($W$563:$W$690,AI591+1)</f>
        <v/>
      </c>
      <c r="AQ591">
        <f>IF(Q591&gt;=AJ591-0.01,1,0)</f>
        <v/>
      </c>
      <c r="AR591">
        <f>IF(R591&gt;=AK591-0.01,1,0)</f>
        <v/>
      </c>
      <c r="AS591">
        <f>IF(S591&gt;=AL591-0.01,1,0)</f>
        <v/>
      </c>
      <c r="AT591">
        <f>IF(T591&gt;=AM591-0.01,1,0)</f>
        <v/>
      </c>
      <c r="AU591">
        <f>IF(U591&gt;=AN591-0.01,1,0)</f>
        <v/>
      </c>
      <c r="AV591">
        <f>IF(V591&gt;=AO591-0.01,1,0)</f>
        <v/>
      </c>
      <c r="AW591">
        <f>IF(W591&gt;=AP591-0.01,1,0)</f>
        <v/>
      </c>
      <c r="AX591">
        <f>AQ591*AR591*AS591*AT591*AU591*AV591*AW591</f>
        <v/>
      </c>
      <c r="AY591">
        <f>Assumptions!$B$41</f>
        <v/>
      </c>
      <c r="AZ591">
        <f>Assumptions!$B$33</f>
        <v/>
      </c>
      <c r="BA591">
        <f>Assumptions!$B$32</f>
        <v/>
      </c>
      <c r="BB591">
        <f>Assumptions!$B$31</f>
        <v/>
      </c>
      <c r="BC591">
        <f>Assumptions!$B$30</f>
        <v/>
      </c>
      <c r="BD591">
        <f>Assumptions!$B$29</f>
        <v/>
      </c>
      <c r="BE591">
        <f>Assumptions!$B$28</f>
        <v/>
      </c>
      <c r="BF591">
        <f>P591*Assumptions!$B$141</f>
        <v/>
      </c>
      <c r="BG591">
        <f>P591*Assumptions!$B$128</f>
        <v/>
      </c>
      <c r="BH591">
        <f>P591*Assumptions!$B$129</f>
        <v/>
      </c>
      <c r="BI591">
        <f>P591*Assumptions!$B$14</f>
        <v/>
      </c>
      <c r="BJ591">
        <f>P591*Assumptions!$B$13</f>
        <v/>
      </c>
      <c r="BK591">
        <f>P591*Assumptions!$B$12</f>
        <v/>
      </c>
      <c r="BL591">
        <f>P591*Assumptions!$B$11</f>
        <v/>
      </c>
    </row>
    <row r="592">
      <c r="A592" t="inlineStr">
        <is>
          <t>8000M</t>
        </is>
      </c>
      <c r="B592">
        <f>Assumptions!$B$62</f>
        <v/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1</v>
      </c>
      <c r="J592">
        <f>(1-C592)*Assumptions!$B$41+(1-D592)*Assumptions!$B$33+(1-E592)*Assumptions!$B$32+(1-F592)*Assumptions!$B$31+(1-G592)*Assumptions!$B$30+(1-H592)*Assumptions!$B$29+(1-I592)*Assumptions!$B$28</f>
        <v/>
      </c>
      <c r="K592">
        <f>C592*Assumptions!$B$141+D592*Assumptions!$B$128+E592*Assumptions!$B$129+F592*Assumptions!$B$14+G592*Assumptions!$B$13+H592*Assumptions!$B$12+I592*Assumptions!$B$11+Assumptions!$B$133+Assumptions!$B$137+Assumptions!$B$9</f>
        <v/>
      </c>
      <c r="L592">
        <f>B592-J592</f>
        <v/>
      </c>
      <c r="M592">
        <f>IF(K592&gt;0,IF(L592/K592&gt;=Assumptions!$B$37,1,0),0)</f>
        <v/>
      </c>
      <c r="N592">
        <f>K592+M592*Assumptions!$B$153</f>
        <v/>
      </c>
      <c r="O592">
        <f>L592+M592*Assumptions!$B$153*Assumptions!$B$37</f>
        <v/>
      </c>
      <c r="P592">
        <f>IF(N592&gt;0,O592/N592,0)</f>
        <v/>
      </c>
      <c r="Q592">
        <f>IF(C592=1,P592*Assumptions!$B$141,Assumptions!$B$41)</f>
        <v/>
      </c>
      <c r="R592">
        <f>IF(D592=1,P592*Assumptions!$B$128,Assumptions!$B$33)</f>
        <v/>
      </c>
      <c r="S592">
        <f>IF(E592=1,P592*Assumptions!$B$129,Assumptions!$B$32)</f>
        <v/>
      </c>
      <c r="T592">
        <f>IF(F592=1,P592*Assumptions!$B$14,Assumptions!$B$31)</f>
        <v/>
      </c>
      <c r="U592">
        <f>IF(G592=1,P592*Assumptions!$B$13,Assumptions!$B$30)</f>
        <v/>
      </c>
      <c r="V592">
        <f>IF(H592=1,P592*Assumptions!$B$12,Assumptions!$B$29)</f>
        <v/>
      </c>
      <c r="W592">
        <f>IF(I592=1,P592*Assumptions!$B$11,Assumptions!$B$28)</f>
        <v/>
      </c>
      <c r="X592">
        <f>P592*(Assumptions!$B$133+Assumptions!$B$137)</f>
        <v/>
      </c>
      <c r="Y592">
        <f>P592*Assumptions!$B$9</f>
        <v/>
      </c>
      <c r="Z592">
        <f>IF(M592=1,(P592-Assumptions!$B$37)*Assumptions!$B$153,0)</f>
        <v/>
      </c>
      <c r="AA592">
        <f>Q592+R592+S592+T592+U592+V592+W592+X592+Y592+Z592</f>
        <v/>
      </c>
      <c r="AB592" t="n">
        <v>29</v>
      </c>
      <c r="AC592" t="n">
        <v>93</v>
      </c>
      <c r="AD592" t="n">
        <v>61</v>
      </c>
      <c r="AE592" t="n">
        <v>13</v>
      </c>
      <c r="AF592" t="n">
        <v>21</v>
      </c>
      <c r="AG592" t="n">
        <v>25</v>
      </c>
      <c r="AH592" t="n">
        <v>31</v>
      </c>
      <c r="AI592" t="n">
        <v>28</v>
      </c>
      <c r="AJ592">
        <f>INDEX($Q$563:$Q$690,AC592+1)</f>
        <v/>
      </c>
      <c r="AK592">
        <f>INDEX($R$563:$R$690,AD592+1)</f>
        <v/>
      </c>
      <c r="AL592">
        <f>INDEX($S$563:$S$690,AE592+1)</f>
        <v/>
      </c>
      <c r="AM592">
        <f>INDEX($T$563:$T$690,AF592+1)</f>
        <v/>
      </c>
      <c r="AN592">
        <f>INDEX($U$563:$U$690,AG592+1)</f>
        <v/>
      </c>
      <c r="AO592">
        <f>INDEX($V$563:$V$690,AH592+1)</f>
        <v/>
      </c>
      <c r="AP592">
        <f>INDEX($W$563:$W$690,AI592+1)</f>
        <v/>
      </c>
      <c r="AQ592">
        <f>IF(Q592&gt;=AJ592-0.01,1,0)</f>
        <v/>
      </c>
      <c r="AR592">
        <f>IF(R592&gt;=AK592-0.01,1,0)</f>
        <v/>
      </c>
      <c r="AS592">
        <f>IF(S592&gt;=AL592-0.01,1,0)</f>
        <v/>
      </c>
      <c r="AT592">
        <f>IF(T592&gt;=AM592-0.01,1,0)</f>
        <v/>
      </c>
      <c r="AU592">
        <f>IF(U592&gt;=AN592-0.01,1,0)</f>
        <v/>
      </c>
      <c r="AV592">
        <f>IF(V592&gt;=AO592-0.01,1,0)</f>
        <v/>
      </c>
      <c r="AW592">
        <f>IF(W592&gt;=AP592-0.01,1,0)</f>
        <v/>
      </c>
      <c r="AX592">
        <f>AQ592*AR592*AS592*AT592*AU592*AV592*AW592</f>
        <v/>
      </c>
      <c r="AY592">
        <f>Assumptions!$B$41</f>
        <v/>
      </c>
      <c r="AZ592">
        <f>Assumptions!$B$33</f>
        <v/>
      </c>
      <c r="BA592">
        <f>Assumptions!$B$32</f>
        <v/>
      </c>
      <c r="BB592">
        <f>Assumptions!$B$31</f>
        <v/>
      </c>
      <c r="BC592">
        <f>Assumptions!$B$30</f>
        <v/>
      </c>
      <c r="BD592">
        <f>Assumptions!$B$29</f>
        <v/>
      </c>
      <c r="BE592">
        <f>Assumptions!$B$28</f>
        <v/>
      </c>
      <c r="BF592">
        <f>P592*Assumptions!$B$141</f>
        <v/>
      </c>
      <c r="BG592">
        <f>P592*Assumptions!$B$128</f>
        <v/>
      </c>
      <c r="BH592">
        <f>P592*Assumptions!$B$129</f>
        <v/>
      </c>
      <c r="BI592">
        <f>P592*Assumptions!$B$14</f>
        <v/>
      </c>
      <c r="BJ592">
        <f>P592*Assumptions!$B$13</f>
        <v/>
      </c>
      <c r="BK592">
        <f>P592*Assumptions!$B$12</f>
        <v/>
      </c>
      <c r="BL592">
        <f>P592*Assumptions!$B$11</f>
        <v/>
      </c>
    </row>
    <row r="593">
      <c r="A593" t="inlineStr">
        <is>
          <t>8000M</t>
        </is>
      </c>
      <c r="B593">
        <f>Assumptions!$B$62</f>
        <v/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  <c r="H593" t="n">
        <v>1</v>
      </c>
      <c r="I593" t="n">
        <v>0</v>
      </c>
      <c r="J593">
        <f>(1-C593)*Assumptions!$B$41+(1-D593)*Assumptions!$B$33+(1-E593)*Assumptions!$B$32+(1-F593)*Assumptions!$B$31+(1-G593)*Assumptions!$B$30+(1-H593)*Assumptions!$B$29+(1-I593)*Assumptions!$B$28</f>
        <v/>
      </c>
      <c r="K593">
        <f>C593*Assumptions!$B$141+D593*Assumptions!$B$128+E593*Assumptions!$B$129+F593*Assumptions!$B$14+G593*Assumptions!$B$13+H593*Assumptions!$B$12+I593*Assumptions!$B$11+Assumptions!$B$133+Assumptions!$B$137+Assumptions!$B$9</f>
        <v/>
      </c>
      <c r="L593">
        <f>B593-J593</f>
        <v/>
      </c>
      <c r="M593">
        <f>IF(K593&gt;0,IF(L593/K593&gt;=Assumptions!$B$37,1,0),0)</f>
        <v/>
      </c>
      <c r="N593">
        <f>K593+M593*Assumptions!$B$153</f>
        <v/>
      </c>
      <c r="O593">
        <f>L593+M593*Assumptions!$B$153*Assumptions!$B$37</f>
        <v/>
      </c>
      <c r="P593">
        <f>IF(N593&gt;0,O593/N593,0)</f>
        <v/>
      </c>
      <c r="Q593">
        <f>IF(C593=1,P593*Assumptions!$B$141,Assumptions!$B$41)</f>
        <v/>
      </c>
      <c r="R593">
        <f>IF(D593=1,P593*Assumptions!$B$128,Assumptions!$B$33)</f>
        <v/>
      </c>
      <c r="S593">
        <f>IF(E593=1,P593*Assumptions!$B$129,Assumptions!$B$32)</f>
        <v/>
      </c>
      <c r="T593">
        <f>IF(F593=1,P593*Assumptions!$B$14,Assumptions!$B$31)</f>
        <v/>
      </c>
      <c r="U593">
        <f>IF(G593=1,P593*Assumptions!$B$13,Assumptions!$B$30)</f>
        <v/>
      </c>
      <c r="V593">
        <f>IF(H593=1,P593*Assumptions!$B$12,Assumptions!$B$29)</f>
        <v/>
      </c>
      <c r="W593">
        <f>IF(I593=1,P593*Assumptions!$B$11,Assumptions!$B$28)</f>
        <v/>
      </c>
      <c r="X593">
        <f>P593*(Assumptions!$B$133+Assumptions!$B$137)</f>
        <v/>
      </c>
      <c r="Y593">
        <f>P593*Assumptions!$B$9</f>
        <v/>
      </c>
      <c r="Z593">
        <f>IF(M593=1,(P593-Assumptions!$B$37)*Assumptions!$B$153,0)</f>
        <v/>
      </c>
      <c r="AA593">
        <f>Q593+R593+S593+T593+U593+V593+W593+X593+Y593+Z593</f>
        <v/>
      </c>
      <c r="AB593" t="n">
        <v>30</v>
      </c>
      <c r="AC593" t="n">
        <v>94</v>
      </c>
      <c r="AD593" t="n">
        <v>62</v>
      </c>
      <c r="AE593" t="n">
        <v>14</v>
      </c>
      <c r="AF593" t="n">
        <v>22</v>
      </c>
      <c r="AG593" t="n">
        <v>26</v>
      </c>
      <c r="AH593" t="n">
        <v>28</v>
      </c>
      <c r="AI593" t="n">
        <v>31</v>
      </c>
      <c r="AJ593">
        <f>INDEX($Q$563:$Q$690,AC593+1)</f>
        <v/>
      </c>
      <c r="AK593">
        <f>INDEX($R$563:$R$690,AD593+1)</f>
        <v/>
      </c>
      <c r="AL593">
        <f>INDEX($S$563:$S$690,AE593+1)</f>
        <v/>
      </c>
      <c r="AM593">
        <f>INDEX($T$563:$T$690,AF593+1)</f>
        <v/>
      </c>
      <c r="AN593">
        <f>INDEX($U$563:$U$690,AG593+1)</f>
        <v/>
      </c>
      <c r="AO593">
        <f>INDEX($V$563:$V$690,AH593+1)</f>
        <v/>
      </c>
      <c r="AP593">
        <f>INDEX($W$563:$W$690,AI593+1)</f>
        <v/>
      </c>
      <c r="AQ593">
        <f>IF(Q593&gt;=AJ593-0.01,1,0)</f>
        <v/>
      </c>
      <c r="AR593">
        <f>IF(R593&gt;=AK593-0.01,1,0)</f>
        <v/>
      </c>
      <c r="AS593">
        <f>IF(S593&gt;=AL593-0.01,1,0)</f>
        <v/>
      </c>
      <c r="AT593">
        <f>IF(T593&gt;=AM593-0.01,1,0)</f>
        <v/>
      </c>
      <c r="AU593">
        <f>IF(U593&gt;=AN593-0.01,1,0)</f>
        <v/>
      </c>
      <c r="AV593">
        <f>IF(V593&gt;=AO593-0.01,1,0)</f>
        <v/>
      </c>
      <c r="AW593">
        <f>IF(W593&gt;=AP593-0.01,1,0)</f>
        <v/>
      </c>
      <c r="AX593">
        <f>AQ593*AR593*AS593*AT593*AU593*AV593*AW593</f>
        <v/>
      </c>
      <c r="AY593">
        <f>Assumptions!$B$41</f>
        <v/>
      </c>
      <c r="AZ593">
        <f>Assumptions!$B$33</f>
        <v/>
      </c>
      <c r="BA593">
        <f>Assumptions!$B$32</f>
        <v/>
      </c>
      <c r="BB593">
        <f>Assumptions!$B$31</f>
        <v/>
      </c>
      <c r="BC593">
        <f>Assumptions!$B$30</f>
        <v/>
      </c>
      <c r="BD593">
        <f>Assumptions!$B$29</f>
        <v/>
      </c>
      <c r="BE593">
        <f>Assumptions!$B$28</f>
        <v/>
      </c>
      <c r="BF593">
        <f>P593*Assumptions!$B$141</f>
        <v/>
      </c>
      <c r="BG593">
        <f>P593*Assumptions!$B$128</f>
        <v/>
      </c>
      <c r="BH593">
        <f>P593*Assumptions!$B$129</f>
        <v/>
      </c>
      <c r="BI593">
        <f>P593*Assumptions!$B$14</f>
        <v/>
      </c>
      <c r="BJ593">
        <f>P593*Assumptions!$B$13</f>
        <v/>
      </c>
      <c r="BK593">
        <f>P593*Assumptions!$B$12</f>
        <v/>
      </c>
      <c r="BL593">
        <f>P593*Assumptions!$B$11</f>
        <v/>
      </c>
    </row>
    <row r="594">
      <c r="A594" t="inlineStr">
        <is>
          <t>8000M</t>
        </is>
      </c>
      <c r="B594">
        <f>Assumptions!$B$62</f>
        <v/>
      </c>
      <c r="C594" t="n">
        <v>0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>
        <f>(1-C594)*Assumptions!$B$41+(1-D594)*Assumptions!$B$33+(1-E594)*Assumptions!$B$32+(1-F594)*Assumptions!$B$31+(1-G594)*Assumptions!$B$30+(1-H594)*Assumptions!$B$29+(1-I594)*Assumptions!$B$28</f>
        <v/>
      </c>
      <c r="K594">
        <f>C594*Assumptions!$B$141+D594*Assumptions!$B$128+E594*Assumptions!$B$129+F594*Assumptions!$B$14+G594*Assumptions!$B$13+H594*Assumptions!$B$12+I594*Assumptions!$B$11+Assumptions!$B$133+Assumptions!$B$137+Assumptions!$B$9</f>
        <v/>
      </c>
      <c r="L594">
        <f>B594-J594</f>
        <v/>
      </c>
      <c r="M594">
        <f>IF(K594&gt;0,IF(L594/K594&gt;=Assumptions!$B$37,1,0),0)</f>
        <v/>
      </c>
      <c r="N594">
        <f>K594+M594*Assumptions!$B$153</f>
        <v/>
      </c>
      <c r="O594">
        <f>L594+M594*Assumptions!$B$153*Assumptions!$B$37</f>
        <v/>
      </c>
      <c r="P594">
        <f>IF(N594&gt;0,O594/N594,0)</f>
        <v/>
      </c>
      <c r="Q594">
        <f>IF(C594=1,P594*Assumptions!$B$141,Assumptions!$B$41)</f>
        <v/>
      </c>
      <c r="R594">
        <f>IF(D594=1,P594*Assumptions!$B$128,Assumptions!$B$33)</f>
        <v/>
      </c>
      <c r="S594">
        <f>IF(E594=1,P594*Assumptions!$B$129,Assumptions!$B$32)</f>
        <v/>
      </c>
      <c r="T594">
        <f>IF(F594=1,P594*Assumptions!$B$14,Assumptions!$B$31)</f>
        <v/>
      </c>
      <c r="U594">
        <f>IF(G594=1,P594*Assumptions!$B$13,Assumptions!$B$30)</f>
        <v/>
      </c>
      <c r="V594">
        <f>IF(H594=1,P594*Assumptions!$B$12,Assumptions!$B$29)</f>
        <v/>
      </c>
      <c r="W594">
        <f>IF(I594=1,P594*Assumptions!$B$11,Assumptions!$B$28)</f>
        <v/>
      </c>
      <c r="X594">
        <f>P594*(Assumptions!$B$133+Assumptions!$B$137)</f>
        <v/>
      </c>
      <c r="Y594">
        <f>P594*Assumptions!$B$9</f>
        <v/>
      </c>
      <c r="Z594">
        <f>IF(M594=1,(P594-Assumptions!$B$37)*Assumptions!$B$153,0)</f>
        <v/>
      </c>
      <c r="AA594">
        <f>Q594+R594+S594+T594+U594+V594+W594+X594+Y594+Z594</f>
        <v/>
      </c>
      <c r="AB594" t="n">
        <v>31</v>
      </c>
      <c r="AC594" t="n">
        <v>95</v>
      </c>
      <c r="AD594" t="n">
        <v>63</v>
      </c>
      <c r="AE594" t="n">
        <v>15</v>
      </c>
      <c r="AF594" t="n">
        <v>23</v>
      </c>
      <c r="AG594" t="n">
        <v>27</v>
      </c>
      <c r="AH594" t="n">
        <v>29</v>
      </c>
      <c r="AI594" t="n">
        <v>30</v>
      </c>
      <c r="AJ594">
        <f>INDEX($Q$563:$Q$690,AC594+1)</f>
        <v/>
      </c>
      <c r="AK594">
        <f>INDEX($R$563:$R$690,AD594+1)</f>
        <v/>
      </c>
      <c r="AL594">
        <f>INDEX($S$563:$S$690,AE594+1)</f>
        <v/>
      </c>
      <c r="AM594">
        <f>INDEX($T$563:$T$690,AF594+1)</f>
        <v/>
      </c>
      <c r="AN594">
        <f>INDEX($U$563:$U$690,AG594+1)</f>
        <v/>
      </c>
      <c r="AO594">
        <f>INDEX($V$563:$V$690,AH594+1)</f>
        <v/>
      </c>
      <c r="AP594">
        <f>INDEX($W$563:$W$690,AI594+1)</f>
        <v/>
      </c>
      <c r="AQ594">
        <f>IF(Q594&gt;=AJ594-0.01,1,0)</f>
        <v/>
      </c>
      <c r="AR594">
        <f>IF(R594&gt;=AK594-0.01,1,0)</f>
        <v/>
      </c>
      <c r="AS594">
        <f>IF(S594&gt;=AL594-0.01,1,0)</f>
        <v/>
      </c>
      <c r="AT594">
        <f>IF(T594&gt;=AM594-0.01,1,0)</f>
        <v/>
      </c>
      <c r="AU594">
        <f>IF(U594&gt;=AN594-0.01,1,0)</f>
        <v/>
      </c>
      <c r="AV594">
        <f>IF(V594&gt;=AO594-0.01,1,0)</f>
        <v/>
      </c>
      <c r="AW594">
        <f>IF(W594&gt;=AP594-0.01,1,0)</f>
        <v/>
      </c>
      <c r="AX594">
        <f>AQ594*AR594*AS594*AT594*AU594*AV594*AW594</f>
        <v/>
      </c>
      <c r="AY594">
        <f>Assumptions!$B$41</f>
        <v/>
      </c>
      <c r="AZ594">
        <f>Assumptions!$B$33</f>
        <v/>
      </c>
      <c r="BA594">
        <f>Assumptions!$B$32</f>
        <v/>
      </c>
      <c r="BB594">
        <f>Assumptions!$B$31</f>
        <v/>
      </c>
      <c r="BC594">
        <f>Assumptions!$B$30</f>
        <v/>
      </c>
      <c r="BD594">
        <f>Assumptions!$B$29</f>
        <v/>
      </c>
      <c r="BE594">
        <f>Assumptions!$B$28</f>
        <v/>
      </c>
      <c r="BF594">
        <f>P594*Assumptions!$B$141</f>
        <v/>
      </c>
      <c r="BG594">
        <f>P594*Assumptions!$B$128</f>
        <v/>
      </c>
      <c r="BH594">
        <f>P594*Assumptions!$B$129</f>
        <v/>
      </c>
      <c r="BI594">
        <f>P594*Assumptions!$B$14</f>
        <v/>
      </c>
      <c r="BJ594">
        <f>P594*Assumptions!$B$13</f>
        <v/>
      </c>
      <c r="BK594">
        <f>P594*Assumptions!$B$12</f>
        <v/>
      </c>
      <c r="BL594">
        <f>P594*Assumptions!$B$11</f>
        <v/>
      </c>
    </row>
    <row r="595">
      <c r="A595" t="inlineStr">
        <is>
          <t>8000M</t>
        </is>
      </c>
      <c r="B595">
        <f>Assumptions!$B$62</f>
        <v/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>
        <f>(1-C595)*Assumptions!$B$41+(1-D595)*Assumptions!$B$33+(1-E595)*Assumptions!$B$32+(1-F595)*Assumptions!$B$31+(1-G595)*Assumptions!$B$30+(1-H595)*Assumptions!$B$29+(1-I595)*Assumptions!$B$28</f>
        <v/>
      </c>
      <c r="K595">
        <f>C595*Assumptions!$B$141+D595*Assumptions!$B$128+E595*Assumptions!$B$129+F595*Assumptions!$B$14+G595*Assumptions!$B$13+H595*Assumptions!$B$12+I595*Assumptions!$B$11+Assumptions!$B$133+Assumptions!$B$137+Assumptions!$B$9</f>
        <v/>
      </c>
      <c r="L595">
        <f>B595-J595</f>
        <v/>
      </c>
      <c r="M595">
        <f>IF(K595&gt;0,IF(L595/K595&gt;=Assumptions!$B$37,1,0),0)</f>
        <v/>
      </c>
      <c r="N595">
        <f>K595+M595*Assumptions!$B$153</f>
        <v/>
      </c>
      <c r="O595">
        <f>L595+M595*Assumptions!$B$153*Assumptions!$B$37</f>
        <v/>
      </c>
      <c r="P595">
        <f>IF(N595&gt;0,O595/N595,0)</f>
        <v/>
      </c>
      <c r="Q595">
        <f>IF(C595=1,P595*Assumptions!$B$141,Assumptions!$B$41)</f>
        <v/>
      </c>
      <c r="R595">
        <f>IF(D595=1,P595*Assumptions!$B$128,Assumptions!$B$33)</f>
        <v/>
      </c>
      <c r="S595">
        <f>IF(E595=1,P595*Assumptions!$B$129,Assumptions!$B$32)</f>
        <v/>
      </c>
      <c r="T595">
        <f>IF(F595=1,P595*Assumptions!$B$14,Assumptions!$B$31)</f>
        <v/>
      </c>
      <c r="U595">
        <f>IF(G595=1,P595*Assumptions!$B$13,Assumptions!$B$30)</f>
        <v/>
      </c>
      <c r="V595">
        <f>IF(H595=1,P595*Assumptions!$B$12,Assumptions!$B$29)</f>
        <v/>
      </c>
      <c r="W595">
        <f>IF(I595=1,P595*Assumptions!$B$11,Assumptions!$B$28)</f>
        <v/>
      </c>
      <c r="X595">
        <f>P595*(Assumptions!$B$133+Assumptions!$B$137)</f>
        <v/>
      </c>
      <c r="Y595">
        <f>P595*Assumptions!$B$9</f>
        <v/>
      </c>
      <c r="Z595">
        <f>IF(M595=1,(P595-Assumptions!$B$37)*Assumptions!$B$153,0)</f>
        <v/>
      </c>
      <c r="AA595">
        <f>Q595+R595+S595+T595+U595+V595+W595+X595+Y595+Z595</f>
        <v/>
      </c>
      <c r="AB595" t="n">
        <v>32</v>
      </c>
      <c r="AC595" t="n">
        <v>96</v>
      </c>
      <c r="AD595" t="n">
        <v>0</v>
      </c>
      <c r="AE595" t="n">
        <v>48</v>
      </c>
      <c r="AF595" t="n">
        <v>40</v>
      </c>
      <c r="AG595" t="n">
        <v>36</v>
      </c>
      <c r="AH595" t="n">
        <v>34</v>
      </c>
      <c r="AI595" t="n">
        <v>33</v>
      </c>
      <c r="AJ595">
        <f>INDEX($Q$563:$Q$690,AC595+1)</f>
        <v/>
      </c>
      <c r="AK595">
        <f>INDEX($R$563:$R$690,AD595+1)</f>
        <v/>
      </c>
      <c r="AL595">
        <f>INDEX($S$563:$S$690,AE595+1)</f>
        <v/>
      </c>
      <c r="AM595">
        <f>INDEX($T$563:$T$690,AF595+1)</f>
        <v/>
      </c>
      <c r="AN595">
        <f>INDEX($U$563:$U$690,AG595+1)</f>
        <v/>
      </c>
      <c r="AO595">
        <f>INDEX($V$563:$V$690,AH595+1)</f>
        <v/>
      </c>
      <c r="AP595">
        <f>INDEX($W$563:$W$690,AI595+1)</f>
        <v/>
      </c>
      <c r="AQ595">
        <f>IF(Q595&gt;=AJ595-0.01,1,0)</f>
        <v/>
      </c>
      <c r="AR595">
        <f>IF(R595&gt;=AK595-0.01,1,0)</f>
        <v/>
      </c>
      <c r="AS595">
        <f>IF(S595&gt;=AL595-0.01,1,0)</f>
        <v/>
      </c>
      <c r="AT595">
        <f>IF(T595&gt;=AM595-0.01,1,0)</f>
        <v/>
      </c>
      <c r="AU595">
        <f>IF(U595&gt;=AN595-0.01,1,0)</f>
        <v/>
      </c>
      <c r="AV595">
        <f>IF(V595&gt;=AO595-0.01,1,0)</f>
        <v/>
      </c>
      <c r="AW595">
        <f>IF(W595&gt;=AP595-0.01,1,0)</f>
        <v/>
      </c>
      <c r="AX595">
        <f>AQ595*AR595*AS595*AT595*AU595*AV595*AW595</f>
        <v/>
      </c>
      <c r="AY595">
        <f>Assumptions!$B$41</f>
        <v/>
      </c>
      <c r="AZ595">
        <f>Assumptions!$B$33</f>
        <v/>
      </c>
      <c r="BA595">
        <f>Assumptions!$B$32</f>
        <v/>
      </c>
      <c r="BB595">
        <f>Assumptions!$B$31</f>
        <v/>
      </c>
      <c r="BC595">
        <f>Assumptions!$B$30</f>
        <v/>
      </c>
      <c r="BD595">
        <f>Assumptions!$B$29</f>
        <v/>
      </c>
      <c r="BE595">
        <f>Assumptions!$B$28</f>
        <v/>
      </c>
      <c r="BF595">
        <f>P595*Assumptions!$B$141</f>
        <v/>
      </c>
      <c r="BG595">
        <f>P595*Assumptions!$B$128</f>
        <v/>
      </c>
      <c r="BH595">
        <f>P595*Assumptions!$B$129</f>
        <v/>
      </c>
      <c r="BI595">
        <f>P595*Assumptions!$B$14</f>
        <v/>
      </c>
      <c r="BJ595">
        <f>P595*Assumptions!$B$13</f>
        <v/>
      </c>
      <c r="BK595">
        <f>P595*Assumptions!$B$12</f>
        <v/>
      </c>
      <c r="BL595">
        <f>P595*Assumptions!$B$11</f>
        <v/>
      </c>
    </row>
    <row r="596">
      <c r="A596" t="inlineStr">
        <is>
          <t>8000M</t>
        </is>
      </c>
      <c r="B596">
        <f>Assumptions!$B$62</f>
        <v/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>
        <f>(1-C596)*Assumptions!$B$41+(1-D596)*Assumptions!$B$33+(1-E596)*Assumptions!$B$32+(1-F596)*Assumptions!$B$31+(1-G596)*Assumptions!$B$30+(1-H596)*Assumptions!$B$29+(1-I596)*Assumptions!$B$28</f>
        <v/>
      </c>
      <c r="K596">
        <f>C596*Assumptions!$B$141+D596*Assumptions!$B$128+E596*Assumptions!$B$129+F596*Assumptions!$B$14+G596*Assumptions!$B$13+H596*Assumptions!$B$12+I596*Assumptions!$B$11+Assumptions!$B$133+Assumptions!$B$137+Assumptions!$B$9</f>
        <v/>
      </c>
      <c r="L596">
        <f>B596-J596</f>
        <v/>
      </c>
      <c r="M596">
        <f>IF(K596&gt;0,IF(L596/K596&gt;=Assumptions!$B$37,1,0),0)</f>
        <v/>
      </c>
      <c r="N596">
        <f>K596+M596*Assumptions!$B$153</f>
        <v/>
      </c>
      <c r="O596">
        <f>L596+M596*Assumptions!$B$153*Assumptions!$B$37</f>
        <v/>
      </c>
      <c r="P596">
        <f>IF(N596&gt;0,O596/N596,0)</f>
        <v/>
      </c>
      <c r="Q596">
        <f>IF(C596=1,P596*Assumptions!$B$141,Assumptions!$B$41)</f>
        <v/>
      </c>
      <c r="R596">
        <f>IF(D596=1,P596*Assumptions!$B$128,Assumptions!$B$33)</f>
        <v/>
      </c>
      <c r="S596">
        <f>IF(E596=1,P596*Assumptions!$B$129,Assumptions!$B$32)</f>
        <v/>
      </c>
      <c r="T596">
        <f>IF(F596=1,P596*Assumptions!$B$14,Assumptions!$B$31)</f>
        <v/>
      </c>
      <c r="U596">
        <f>IF(G596=1,P596*Assumptions!$B$13,Assumptions!$B$30)</f>
        <v/>
      </c>
      <c r="V596">
        <f>IF(H596=1,P596*Assumptions!$B$12,Assumptions!$B$29)</f>
        <v/>
      </c>
      <c r="W596">
        <f>IF(I596=1,P596*Assumptions!$B$11,Assumptions!$B$28)</f>
        <v/>
      </c>
      <c r="X596">
        <f>P596*(Assumptions!$B$133+Assumptions!$B$137)</f>
        <v/>
      </c>
      <c r="Y596">
        <f>P596*Assumptions!$B$9</f>
        <v/>
      </c>
      <c r="Z596">
        <f>IF(M596=1,(P596-Assumptions!$B$37)*Assumptions!$B$153,0)</f>
        <v/>
      </c>
      <c r="AA596">
        <f>Q596+R596+S596+T596+U596+V596+W596+X596+Y596+Z596</f>
        <v/>
      </c>
      <c r="AB596" t="n">
        <v>33</v>
      </c>
      <c r="AC596" t="n">
        <v>97</v>
      </c>
      <c r="AD596" t="n">
        <v>1</v>
      </c>
      <c r="AE596" t="n">
        <v>49</v>
      </c>
      <c r="AF596" t="n">
        <v>41</v>
      </c>
      <c r="AG596" t="n">
        <v>37</v>
      </c>
      <c r="AH596" t="n">
        <v>35</v>
      </c>
      <c r="AI596" t="n">
        <v>32</v>
      </c>
      <c r="AJ596">
        <f>INDEX($Q$563:$Q$690,AC596+1)</f>
        <v/>
      </c>
      <c r="AK596">
        <f>INDEX($R$563:$R$690,AD596+1)</f>
        <v/>
      </c>
      <c r="AL596">
        <f>INDEX($S$563:$S$690,AE596+1)</f>
        <v/>
      </c>
      <c r="AM596">
        <f>INDEX($T$563:$T$690,AF596+1)</f>
        <v/>
      </c>
      <c r="AN596">
        <f>INDEX($U$563:$U$690,AG596+1)</f>
        <v/>
      </c>
      <c r="AO596">
        <f>INDEX($V$563:$V$690,AH596+1)</f>
        <v/>
      </c>
      <c r="AP596">
        <f>INDEX($W$563:$W$690,AI596+1)</f>
        <v/>
      </c>
      <c r="AQ596">
        <f>IF(Q596&gt;=AJ596-0.01,1,0)</f>
        <v/>
      </c>
      <c r="AR596">
        <f>IF(R596&gt;=AK596-0.01,1,0)</f>
        <v/>
      </c>
      <c r="AS596">
        <f>IF(S596&gt;=AL596-0.01,1,0)</f>
        <v/>
      </c>
      <c r="AT596">
        <f>IF(T596&gt;=AM596-0.01,1,0)</f>
        <v/>
      </c>
      <c r="AU596">
        <f>IF(U596&gt;=AN596-0.01,1,0)</f>
        <v/>
      </c>
      <c r="AV596">
        <f>IF(V596&gt;=AO596-0.01,1,0)</f>
        <v/>
      </c>
      <c r="AW596">
        <f>IF(W596&gt;=AP596-0.01,1,0)</f>
        <v/>
      </c>
      <c r="AX596">
        <f>AQ596*AR596*AS596*AT596*AU596*AV596*AW596</f>
        <v/>
      </c>
      <c r="AY596">
        <f>Assumptions!$B$41</f>
        <v/>
      </c>
      <c r="AZ596">
        <f>Assumptions!$B$33</f>
        <v/>
      </c>
      <c r="BA596">
        <f>Assumptions!$B$32</f>
        <v/>
      </c>
      <c r="BB596">
        <f>Assumptions!$B$31</f>
        <v/>
      </c>
      <c r="BC596">
        <f>Assumptions!$B$30</f>
        <v/>
      </c>
      <c r="BD596">
        <f>Assumptions!$B$29</f>
        <v/>
      </c>
      <c r="BE596">
        <f>Assumptions!$B$28</f>
        <v/>
      </c>
      <c r="BF596">
        <f>P596*Assumptions!$B$141</f>
        <v/>
      </c>
      <c r="BG596">
        <f>P596*Assumptions!$B$128</f>
        <v/>
      </c>
      <c r="BH596">
        <f>P596*Assumptions!$B$129</f>
        <v/>
      </c>
      <c r="BI596">
        <f>P596*Assumptions!$B$14</f>
        <v/>
      </c>
      <c r="BJ596">
        <f>P596*Assumptions!$B$13</f>
        <v/>
      </c>
      <c r="BK596">
        <f>P596*Assumptions!$B$12</f>
        <v/>
      </c>
      <c r="BL596">
        <f>P596*Assumptions!$B$11</f>
        <v/>
      </c>
    </row>
    <row r="597">
      <c r="A597" t="inlineStr">
        <is>
          <t>8000M</t>
        </is>
      </c>
      <c r="B597">
        <f>Assumptions!$B$62</f>
        <v/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>
        <f>(1-C597)*Assumptions!$B$41+(1-D597)*Assumptions!$B$33+(1-E597)*Assumptions!$B$32+(1-F597)*Assumptions!$B$31+(1-G597)*Assumptions!$B$30+(1-H597)*Assumptions!$B$29+(1-I597)*Assumptions!$B$28</f>
        <v/>
      </c>
      <c r="K597">
        <f>C597*Assumptions!$B$141+D597*Assumptions!$B$128+E597*Assumptions!$B$129+F597*Assumptions!$B$14+G597*Assumptions!$B$13+H597*Assumptions!$B$12+I597*Assumptions!$B$11+Assumptions!$B$133+Assumptions!$B$137+Assumptions!$B$9</f>
        <v/>
      </c>
      <c r="L597">
        <f>B597-J597</f>
        <v/>
      </c>
      <c r="M597">
        <f>IF(K597&gt;0,IF(L597/K597&gt;=Assumptions!$B$37,1,0),0)</f>
        <v/>
      </c>
      <c r="N597">
        <f>K597+M597*Assumptions!$B$153</f>
        <v/>
      </c>
      <c r="O597">
        <f>L597+M597*Assumptions!$B$153*Assumptions!$B$37</f>
        <v/>
      </c>
      <c r="P597">
        <f>IF(N597&gt;0,O597/N597,0)</f>
        <v/>
      </c>
      <c r="Q597">
        <f>IF(C597=1,P597*Assumptions!$B$141,Assumptions!$B$41)</f>
        <v/>
      </c>
      <c r="R597">
        <f>IF(D597=1,P597*Assumptions!$B$128,Assumptions!$B$33)</f>
        <v/>
      </c>
      <c r="S597">
        <f>IF(E597=1,P597*Assumptions!$B$129,Assumptions!$B$32)</f>
        <v/>
      </c>
      <c r="T597">
        <f>IF(F597=1,P597*Assumptions!$B$14,Assumptions!$B$31)</f>
        <v/>
      </c>
      <c r="U597">
        <f>IF(G597=1,P597*Assumptions!$B$13,Assumptions!$B$30)</f>
        <v/>
      </c>
      <c r="V597">
        <f>IF(H597=1,P597*Assumptions!$B$12,Assumptions!$B$29)</f>
        <v/>
      </c>
      <c r="W597">
        <f>IF(I597=1,P597*Assumptions!$B$11,Assumptions!$B$28)</f>
        <v/>
      </c>
      <c r="X597">
        <f>P597*(Assumptions!$B$133+Assumptions!$B$137)</f>
        <v/>
      </c>
      <c r="Y597">
        <f>P597*Assumptions!$B$9</f>
        <v/>
      </c>
      <c r="Z597">
        <f>IF(M597=1,(P597-Assumptions!$B$37)*Assumptions!$B$153,0)</f>
        <v/>
      </c>
      <c r="AA597">
        <f>Q597+R597+S597+T597+U597+V597+W597+X597+Y597+Z597</f>
        <v/>
      </c>
      <c r="AB597" t="n">
        <v>34</v>
      </c>
      <c r="AC597" t="n">
        <v>98</v>
      </c>
      <c r="AD597" t="n">
        <v>2</v>
      </c>
      <c r="AE597" t="n">
        <v>50</v>
      </c>
      <c r="AF597" t="n">
        <v>42</v>
      </c>
      <c r="AG597" t="n">
        <v>38</v>
      </c>
      <c r="AH597" t="n">
        <v>32</v>
      </c>
      <c r="AI597" t="n">
        <v>35</v>
      </c>
      <c r="AJ597">
        <f>INDEX($Q$563:$Q$690,AC597+1)</f>
        <v/>
      </c>
      <c r="AK597">
        <f>INDEX($R$563:$R$690,AD597+1)</f>
        <v/>
      </c>
      <c r="AL597">
        <f>INDEX($S$563:$S$690,AE597+1)</f>
        <v/>
      </c>
      <c r="AM597">
        <f>INDEX($T$563:$T$690,AF597+1)</f>
        <v/>
      </c>
      <c r="AN597">
        <f>INDEX($U$563:$U$690,AG597+1)</f>
        <v/>
      </c>
      <c r="AO597">
        <f>INDEX($V$563:$V$690,AH597+1)</f>
        <v/>
      </c>
      <c r="AP597">
        <f>INDEX($W$563:$W$690,AI597+1)</f>
        <v/>
      </c>
      <c r="AQ597">
        <f>IF(Q597&gt;=AJ597-0.01,1,0)</f>
        <v/>
      </c>
      <c r="AR597">
        <f>IF(R597&gt;=AK597-0.01,1,0)</f>
        <v/>
      </c>
      <c r="AS597">
        <f>IF(S597&gt;=AL597-0.01,1,0)</f>
        <v/>
      </c>
      <c r="AT597">
        <f>IF(T597&gt;=AM597-0.01,1,0)</f>
        <v/>
      </c>
      <c r="AU597">
        <f>IF(U597&gt;=AN597-0.01,1,0)</f>
        <v/>
      </c>
      <c r="AV597">
        <f>IF(V597&gt;=AO597-0.01,1,0)</f>
        <v/>
      </c>
      <c r="AW597">
        <f>IF(W597&gt;=AP597-0.01,1,0)</f>
        <v/>
      </c>
      <c r="AX597">
        <f>AQ597*AR597*AS597*AT597*AU597*AV597*AW597</f>
        <v/>
      </c>
      <c r="AY597">
        <f>Assumptions!$B$41</f>
        <v/>
      </c>
      <c r="AZ597">
        <f>Assumptions!$B$33</f>
        <v/>
      </c>
      <c r="BA597">
        <f>Assumptions!$B$32</f>
        <v/>
      </c>
      <c r="BB597">
        <f>Assumptions!$B$31</f>
        <v/>
      </c>
      <c r="BC597">
        <f>Assumptions!$B$30</f>
        <v/>
      </c>
      <c r="BD597">
        <f>Assumptions!$B$29</f>
        <v/>
      </c>
      <c r="BE597">
        <f>Assumptions!$B$28</f>
        <v/>
      </c>
      <c r="BF597">
        <f>P597*Assumptions!$B$141</f>
        <v/>
      </c>
      <c r="BG597">
        <f>P597*Assumptions!$B$128</f>
        <v/>
      </c>
      <c r="BH597">
        <f>P597*Assumptions!$B$129</f>
        <v/>
      </c>
      <c r="BI597">
        <f>P597*Assumptions!$B$14</f>
        <v/>
      </c>
      <c r="BJ597">
        <f>P597*Assumptions!$B$13</f>
        <v/>
      </c>
      <c r="BK597">
        <f>P597*Assumptions!$B$12</f>
        <v/>
      </c>
      <c r="BL597">
        <f>P597*Assumptions!$B$11</f>
        <v/>
      </c>
    </row>
    <row r="598">
      <c r="A598" t="inlineStr">
        <is>
          <t>8000M</t>
        </is>
      </c>
      <c r="B598">
        <f>Assumptions!$B$62</f>
        <v/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>
        <f>(1-C598)*Assumptions!$B$41+(1-D598)*Assumptions!$B$33+(1-E598)*Assumptions!$B$32+(1-F598)*Assumptions!$B$31+(1-G598)*Assumptions!$B$30+(1-H598)*Assumptions!$B$29+(1-I598)*Assumptions!$B$28</f>
        <v/>
      </c>
      <c r="K598">
        <f>C598*Assumptions!$B$141+D598*Assumptions!$B$128+E598*Assumptions!$B$129+F598*Assumptions!$B$14+G598*Assumptions!$B$13+H598*Assumptions!$B$12+I598*Assumptions!$B$11+Assumptions!$B$133+Assumptions!$B$137+Assumptions!$B$9</f>
        <v/>
      </c>
      <c r="L598">
        <f>B598-J598</f>
        <v/>
      </c>
      <c r="M598">
        <f>IF(K598&gt;0,IF(L598/K598&gt;=Assumptions!$B$37,1,0),0)</f>
        <v/>
      </c>
      <c r="N598">
        <f>K598+M598*Assumptions!$B$153</f>
        <v/>
      </c>
      <c r="O598">
        <f>L598+M598*Assumptions!$B$153*Assumptions!$B$37</f>
        <v/>
      </c>
      <c r="P598">
        <f>IF(N598&gt;0,O598/N598,0)</f>
        <v/>
      </c>
      <c r="Q598">
        <f>IF(C598=1,P598*Assumptions!$B$141,Assumptions!$B$41)</f>
        <v/>
      </c>
      <c r="R598">
        <f>IF(D598=1,P598*Assumptions!$B$128,Assumptions!$B$33)</f>
        <v/>
      </c>
      <c r="S598">
        <f>IF(E598=1,P598*Assumptions!$B$129,Assumptions!$B$32)</f>
        <v/>
      </c>
      <c r="T598">
        <f>IF(F598=1,P598*Assumptions!$B$14,Assumptions!$B$31)</f>
        <v/>
      </c>
      <c r="U598">
        <f>IF(G598=1,P598*Assumptions!$B$13,Assumptions!$B$30)</f>
        <v/>
      </c>
      <c r="V598">
        <f>IF(H598=1,P598*Assumptions!$B$12,Assumptions!$B$29)</f>
        <v/>
      </c>
      <c r="W598">
        <f>IF(I598=1,P598*Assumptions!$B$11,Assumptions!$B$28)</f>
        <v/>
      </c>
      <c r="X598">
        <f>P598*(Assumptions!$B$133+Assumptions!$B$137)</f>
        <v/>
      </c>
      <c r="Y598">
        <f>P598*Assumptions!$B$9</f>
        <v/>
      </c>
      <c r="Z598">
        <f>IF(M598=1,(P598-Assumptions!$B$37)*Assumptions!$B$153,0)</f>
        <v/>
      </c>
      <c r="AA598">
        <f>Q598+R598+S598+T598+U598+V598+W598+X598+Y598+Z598</f>
        <v/>
      </c>
      <c r="AB598" t="n">
        <v>35</v>
      </c>
      <c r="AC598" t="n">
        <v>99</v>
      </c>
      <c r="AD598" t="n">
        <v>3</v>
      </c>
      <c r="AE598" t="n">
        <v>51</v>
      </c>
      <c r="AF598" t="n">
        <v>43</v>
      </c>
      <c r="AG598" t="n">
        <v>39</v>
      </c>
      <c r="AH598" t="n">
        <v>33</v>
      </c>
      <c r="AI598" t="n">
        <v>34</v>
      </c>
      <c r="AJ598">
        <f>INDEX($Q$563:$Q$690,AC598+1)</f>
        <v/>
      </c>
      <c r="AK598">
        <f>INDEX($R$563:$R$690,AD598+1)</f>
        <v/>
      </c>
      <c r="AL598">
        <f>INDEX($S$563:$S$690,AE598+1)</f>
        <v/>
      </c>
      <c r="AM598">
        <f>INDEX($T$563:$T$690,AF598+1)</f>
        <v/>
      </c>
      <c r="AN598">
        <f>INDEX($U$563:$U$690,AG598+1)</f>
        <v/>
      </c>
      <c r="AO598">
        <f>INDEX($V$563:$V$690,AH598+1)</f>
        <v/>
      </c>
      <c r="AP598">
        <f>INDEX($W$563:$W$690,AI598+1)</f>
        <v/>
      </c>
      <c r="AQ598">
        <f>IF(Q598&gt;=AJ598-0.01,1,0)</f>
        <v/>
      </c>
      <c r="AR598">
        <f>IF(R598&gt;=AK598-0.01,1,0)</f>
        <v/>
      </c>
      <c r="AS598">
        <f>IF(S598&gt;=AL598-0.01,1,0)</f>
        <v/>
      </c>
      <c r="AT598">
        <f>IF(T598&gt;=AM598-0.01,1,0)</f>
        <v/>
      </c>
      <c r="AU598">
        <f>IF(U598&gt;=AN598-0.01,1,0)</f>
        <v/>
      </c>
      <c r="AV598">
        <f>IF(V598&gt;=AO598-0.01,1,0)</f>
        <v/>
      </c>
      <c r="AW598">
        <f>IF(W598&gt;=AP598-0.01,1,0)</f>
        <v/>
      </c>
      <c r="AX598">
        <f>AQ598*AR598*AS598*AT598*AU598*AV598*AW598</f>
        <v/>
      </c>
      <c r="AY598">
        <f>Assumptions!$B$41</f>
        <v/>
      </c>
      <c r="AZ598">
        <f>Assumptions!$B$33</f>
        <v/>
      </c>
      <c r="BA598">
        <f>Assumptions!$B$32</f>
        <v/>
      </c>
      <c r="BB598">
        <f>Assumptions!$B$31</f>
        <v/>
      </c>
      <c r="BC598">
        <f>Assumptions!$B$30</f>
        <v/>
      </c>
      <c r="BD598">
        <f>Assumptions!$B$29</f>
        <v/>
      </c>
      <c r="BE598">
        <f>Assumptions!$B$28</f>
        <v/>
      </c>
      <c r="BF598">
        <f>P598*Assumptions!$B$141</f>
        <v/>
      </c>
      <c r="BG598">
        <f>P598*Assumptions!$B$128</f>
        <v/>
      </c>
      <c r="BH598">
        <f>P598*Assumptions!$B$129</f>
        <v/>
      </c>
      <c r="BI598">
        <f>P598*Assumptions!$B$14</f>
        <v/>
      </c>
      <c r="BJ598">
        <f>P598*Assumptions!$B$13</f>
        <v/>
      </c>
      <c r="BK598">
        <f>P598*Assumptions!$B$12</f>
        <v/>
      </c>
      <c r="BL598">
        <f>P598*Assumptions!$B$11</f>
        <v/>
      </c>
    </row>
    <row r="599">
      <c r="A599" t="inlineStr">
        <is>
          <t>8000M</t>
        </is>
      </c>
      <c r="B599">
        <f>Assumptions!$B$62</f>
        <v/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>
        <f>(1-C599)*Assumptions!$B$41+(1-D599)*Assumptions!$B$33+(1-E599)*Assumptions!$B$32+(1-F599)*Assumptions!$B$31+(1-G599)*Assumptions!$B$30+(1-H599)*Assumptions!$B$29+(1-I599)*Assumptions!$B$28</f>
        <v/>
      </c>
      <c r="K599">
        <f>C599*Assumptions!$B$141+D599*Assumptions!$B$128+E599*Assumptions!$B$129+F599*Assumptions!$B$14+G599*Assumptions!$B$13+H599*Assumptions!$B$12+I599*Assumptions!$B$11+Assumptions!$B$133+Assumptions!$B$137+Assumptions!$B$9</f>
        <v/>
      </c>
      <c r="L599">
        <f>B599-J599</f>
        <v/>
      </c>
      <c r="M599">
        <f>IF(K599&gt;0,IF(L599/K599&gt;=Assumptions!$B$37,1,0),0)</f>
        <v/>
      </c>
      <c r="N599">
        <f>K599+M599*Assumptions!$B$153</f>
        <v/>
      </c>
      <c r="O599">
        <f>L599+M599*Assumptions!$B$153*Assumptions!$B$37</f>
        <v/>
      </c>
      <c r="P599">
        <f>IF(N599&gt;0,O599/N599,0)</f>
        <v/>
      </c>
      <c r="Q599">
        <f>IF(C599=1,P599*Assumptions!$B$141,Assumptions!$B$41)</f>
        <v/>
      </c>
      <c r="R599">
        <f>IF(D599=1,P599*Assumptions!$B$128,Assumptions!$B$33)</f>
        <v/>
      </c>
      <c r="S599">
        <f>IF(E599=1,P599*Assumptions!$B$129,Assumptions!$B$32)</f>
        <v/>
      </c>
      <c r="T599">
        <f>IF(F599=1,P599*Assumptions!$B$14,Assumptions!$B$31)</f>
        <v/>
      </c>
      <c r="U599">
        <f>IF(G599=1,P599*Assumptions!$B$13,Assumptions!$B$30)</f>
        <v/>
      </c>
      <c r="V599">
        <f>IF(H599=1,P599*Assumptions!$B$12,Assumptions!$B$29)</f>
        <v/>
      </c>
      <c r="W599">
        <f>IF(I599=1,P599*Assumptions!$B$11,Assumptions!$B$28)</f>
        <v/>
      </c>
      <c r="X599">
        <f>P599*(Assumptions!$B$133+Assumptions!$B$137)</f>
        <v/>
      </c>
      <c r="Y599">
        <f>P599*Assumptions!$B$9</f>
        <v/>
      </c>
      <c r="Z599">
        <f>IF(M599=1,(P599-Assumptions!$B$37)*Assumptions!$B$153,0)</f>
        <v/>
      </c>
      <c r="AA599">
        <f>Q599+R599+S599+T599+U599+V599+W599+X599+Y599+Z599</f>
        <v/>
      </c>
      <c r="AB599" t="n">
        <v>36</v>
      </c>
      <c r="AC599" t="n">
        <v>100</v>
      </c>
      <c r="AD599" t="n">
        <v>4</v>
      </c>
      <c r="AE599" t="n">
        <v>52</v>
      </c>
      <c r="AF599" t="n">
        <v>44</v>
      </c>
      <c r="AG599" t="n">
        <v>32</v>
      </c>
      <c r="AH599" t="n">
        <v>38</v>
      </c>
      <c r="AI599" t="n">
        <v>37</v>
      </c>
      <c r="AJ599">
        <f>INDEX($Q$563:$Q$690,AC599+1)</f>
        <v/>
      </c>
      <c r="AK599">
        <f>INDEX($R$563:$R$690,AD599+1)</f>
        <v/>
      </c>
      <c r="AL599">
        <f>INDEX($S$563:$S$690,AE599+1)</f>
        <v/>
      </c>
      <c r="AM599">
        <f>INDEX($T$563:$T$690,AF599+1)</f>
        <v/>
      </c>
      <c r="AN599">
        <f>INDEX($U$563:$U$690,AG599+1)</f>
        <v/>
      </c>
      <c r="AO599">
        <f>INDEX($V$563:$V$690,AH599+1)</f>
        <v/>
      </c>
      <c r="AP599">
        <f>INDEX($W$563:$W$690,AI599+1)</f>
        <v/>
      </c>
      <c r="AQ599">
        <f>IF(Q599&gt;=AJ599-0.01,1,0)</f>
        <v/>
      </c>
      <c r="AR599">
        <f>IF(R599&gt;=AK599-0.01,1,0)</f>
        <v/>
      </c>
      <c r="AS599">
        <f>IF(S599&gt;=AL599-0.01,1,0)</f>
        <v/>
      </c>
      <c r="AT599">
        <f>IF(T599&gt;=AM599-0.01,1,0)</f>
        <v/>
      </c>
      <c r="AU599">
        <f>IF(U599&gt;=AN599-0.01,1,0)</f>
        <v/>
      </c>
      <c r="AV599">
        <f>IF(V599&gt;=AO599-0.01,1,0)</f>
        <v/>
      </c>
      <c r="AW599">
        <f>IF(W599&gt;=AP599-0.01,1,0)</f>
        <v/>
      </c>
      <c r="AX599">
        <f>AQ599*AR599*AS599*AT599*AU599*AV599*AW599</f>
        <v/>
      </c>
      <c r="AY599">
        <f>Assumptions!$B$41</f>
        <v/>
      </c>
      <c r="AZ599">
        <f>Assumptions!$B$33</f>
        <v/>
      </c>
      <c r="BA599">
        <f>Assumptions!$B$32</f>
        <v/>
      </c>
      <c r="BB599">
        <f>Assumptions!$B$31</f>
        <v/>
      </c>
      <c r="BC599">
        <f>Assumptions!$B$30</f>
        <v/>
      </c>
      <c r="BD599">
        <f>Assumptions!$B$29</f>
        <v/>
      </c>
      <c r="BE599">
        <f>Assumptions!$B$28</f>
        <v/>
      </c>
      <c r="BF599">
        <f>P599*Assumptions!$B$141</f>
        <v/>
      </c>
      <c r="BG599">
        <f>P599*Assumptions!$B$128</f>
        <v/>
      </c>
      <c r="BH599">
        <f>P599*Assumptions!$B$129</f>
        <v/>
      </c>
      <c r="BI599">
        <f>P599*Assumptions!$B$14</f>
        <v/>
      </c>
      <c r="BJ599">
        <f>P599*Assumptions!$B$13</f>
        <v/>
      </c>
      <c r="BK599">
        <f>P599*Assumptions!$B$12</f>
        <v/>
      </c>
      <c r="BL599">
        <f>P599*Assumptions!$B$11</f>
        <v/>
      </c>
    </row>
    <row r="600">
      <c r="A600" t="inlineStr">
        <is>
          <t>8000M</t>
        </is>
      </c>
      <c r="B600">
        <f>Assumptions!$B$62</f>
        <v/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>
        <f>(1-C600)*Assumptions!$B$41+(1-D600)*Assumptions!$B$33+(1-E600)*Assumptions!$B$32+(1-F600)*Assumptions!$B$31+(1-G600)*Assumptions!$B$30+(1-H600)*Assumptions!$B$29+(1-I600)*Assumptions!$B$28</f>
        <v/>
      </c>
      <c r="K600">
        <f>C600*Assumptions!$B$141+D600*Assumptions!$B$128+E600*Assumptions!$B$129+F600*Assumptions!$B$14+G600*Assumptions!$B$13+H600*Assumptions!$B$12+I600*Assumptions!$B$11+Assumptions!$B$133+Assumptions!$B$137+Assumptions!$B$9</f>
        <v/>
      </c>
      <c r="L600">
        <f>B600-J600</f>
        <v/>
      </c>
      <c r="M600">
        <f>IF(K600&gt;0,IF(L600/K600&gt;=Assumptions!$B$37,1,0),0)</f>
        <v/>
      </c>
      <c r="N600">
        <f>K600+M600*Assumptions!$B$153</f>
        <v/>
      </c>
      <c r="O600">
        <f>L600+M600*Assumptions!$B$153*Assumptions!$B$37</f>
        <v/>
      </c>
      <c r="P600">
        <f>IF(N600&gt;0,O600/N600,0)</f>
        <v/>
      </c>
      <c r="Q600">
        <f>IF(C600=1,P600*Assumptions!$B$141,Assumptions!$B$41)</f>
        <v/>
      </c>
      <c r="R600">
        <f>IF(D600=1,P600*Assumptions!$B$128,Assumptions!$B$33)</f>
        <v/>
      </c>
      <c r="S600">
        <f>IF(E600=1,P600*Assumptions!$B$129,Assumptions!$B$32)</f>
        <v/>
      </c>
      <c r="T600">
        <f>IF(F600=1,P600*Assumptions!$B$14,Assumptions!$B$31)</f>
        <v/>
      </c>
      <c r="U600">
        <f>IF(G600=1,P600*Assumptions!$B$13,Assumptions!$B$30)</f>
        <v/>
      </c>
      <c r="V600">
        <f>IF(H600=1,P600*Assumptions!$B$12,Assumptions!$B$29)</f>
        <v/>
      </c>
      <c r="W600">
        <f>IF(I600=1,P600*Assumptions!$B$11,Assumptions!$B$28)</f>
        <v/>
      </c>
      <c r="X600">
        <f>P600*(Assumptions!$B$133+Assumptions!$B$137)</f>
        <v/>
      </c>
      <c r="Y600">
        <f>P600*Assumptions!$B$9</f>
        <v/>
      </c>
      <c r="Z600">
        <f>IF(M600=1,(P600-Assumptions!$B$37)*Assumptions!$B$153,0)</f>
        <v/>
      </c>
      <c r="AA600">
        <f>Q600+R600+S600+T600+U600+V600+W600+X600+Y600+Z600</f>
        <v/>
      </c>
      <c r="AB600" t="n">
        <v>37</v>
      </c>
      <c r="AC600" t="n">
        <v>101</v>
      </c>
      <c r="AD600" t="n">
        <v>5</v>
      </c>
      <c r="AE600" t="n">
        <v>53</v>
      </c>
      <c r="AF600" t="n">
        <v>45</v>
      </c>
      <c r="AG600" t="n">
        <v>33</v>
      </c>
      <c r="AH600" t="n">
        <v>39</v>
      </c>
      <c r="AI600" t="n">
        <v>36</v>
      </c>
      <c r="AJ600">
        <f>INDEX($Q$563:$Q$690,AC600+1)</f>
        <v/>
      </c>
      <c r="AK600">
        <f>INDEX($R$563:$R$690,AD600+1)</f>
        <v/>
      </c>
      <c r="AL600">
        <f>INDEX($S$563:$S$690,AE600+1)</f>
        <v/>
      </c>
      <c r="AM600">
        <f>INDEX($T$563:$T$690,AF600+1)</f>
        <v/>
      </c>
      <c r="AN600">
        <f>INDEX($U$563:$U$690,AG600+1)</f>
        <v/>
      </c>
      <c r="AO600">
        <f>INDEX($V$563:$V$690,AH600+1)</f>
        <v/>
      </c>
      <c r="AP600">
        <f>INDEX($W$563:$W$690,AI600+1)</f>
        <v/>
      </c>
      <c r="AQ600">
        <f>IF(Q600&gt;=AJ600-0.01,1,0)</f>
        <v/>
      </c>
      <c r="AR600">
        <f>IF(R600&gt;=AK600-0.01,1,0)</f>
        <v/>
      </c>
      <c r="AS600">
        <f>IF(S600&gt;=AL600-0.01,1,0)</f>
        <v/>
      </c>
      <c r="AT600">
        <f>IF(T600&gt;=AM600-0.01,1,0)</f>
        <v/>
      </c>
      <c r="AU600">
        <f>IF(U600&gt;=AN600-0.01,1,0)</f>
        <v/>
      </c>
      <c r="AV600">
        <f>IF(V600&gt;=AO600-0.01,1,0)</f>
        <v/>
      </c>
      <c r="AW600">
        <f>IF(W600&gt;=AP600-0.01,1,0)</f>
        <v/>
      </c>
      <c r="AX600">
        <f>AQ600*AR600*AS600*AT600*AU600*AV600*AW600</f>
        <v/>
      </c>
      <c r="AY600">
        <f>Assumptions!$B$41</f>
        <v/>
      </c>
      <c r="AZ600">
        <f>Assumptions!$B$33</f>
        <v/>
      </c>
      <c r="BA600">
        <f>Assumptions!$B$32</f>
        <v/>
      </c>
      <c r="BB600">
        <f>Assumptions!$B$31</f>
        <v/>
      </c>
      <c r="BC600">
        <f>Assumptions!$B$30</f>
        <v/>
      </c>
      <c r="BD600">
        <f>Assumptions!$B$29</f>
        <v/>
      </c>
      <c r="BE600">
        <f>Assumptions!$B$28</f>
        <v/>
      </c>
      <c r="BF600">
        <f>P600*Assumptions!$B$141</f>
        <v/>
      </c>
      <c r="BG600">
        <f>P600*Assumptions!$B$128</f>
        <v/>
      </c>
      <c r="BH600">
        <f>P600*Assumptions!$B$129</f>
        <v/>
      </c>
      <c r="BI600">
        <f>P600*Assumptions!$B$14</f>
        <v/>
      </c>
      <c r="BJ600">
        <f>P600*Assumptions!$B$13</f>
        <v/>
      </c>
      <c r="BK600">
        <f>P600*Assumptions!$B$12</f>
        <v/>
      </c>
      <c r="BL600">
        <f>P600*Assumptions!$B$11</f>
        <v/>
      </c>
    </row>
    <row r="601">
      <c r="A601" t="inlineStr">
        <is>
          <t>8000M</t>
        </is>
      </c>
      <c r="B601">
        <f>Assumptions!$B$62</f>
        <v/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>
        <f>(1-C601)*Assumptions!$B$41+(1-D601)*Assumptions!$B$33+(1-E601)*Assumptions!$B$32+(1-F601)*Assumptions!$B$31+(1-G601)*Assumptions!$B$30+(1-H601)*Assumptions!$B$29+(1-I601)*Assumptions!$B$28</f>
        <v/>
      </c>
      <c r="K601">
        <f>C601*Assumptions!$B$141+D601*Assumptions!$B$128+E601*Assumptions!$B$129+F601*Assumptions!$B$14+G601*Assumptions!$B$13+H601*Assumptions!$B$12+I601*Assumptions!$B$11+Assumptions!$B$133+Assumptions!$B$137+Assumptions!$B$9</f>
        <v/>
      </c>
      <c r="L601">
        <f>B601-J601</f>
        <v/>
      </c>
      <c r="M601">
        <f>IF(K601&gt;0,IF(L601/K601&gt;=Assumptions!$B$37,1,0),0)</f>
        <v/>
      </c>
      <c r="N601">
        <f>K601+M601*Assumptions!$B$153</f>
        <v/>
      </c>
      <c r="O601">
        <f>L601+M601*Assumptions!$B$153*Assumptions!$B$37</f>
        <v/>
      </c>
      <c r="P601">
        <f>IF(N601&gt;0,O601/N601,0)</f>
        <v/>
      </c>
      <c r="Q601">
        <f>IF(C601=1,P601*Assumptions!$B$141,Assumptions!$B$41)</f>
        <v/>
      </c>
      <c r="R601">
        <f>IF(D601=1,P601*Assumptions!$B$128,Assumptions!$B$33)</f>
        <v/>
      </c>
      <c r="S601">
        <f>IF(E601=1,P601*Assumptions!$B$129,Assumptions!$B$32)</f>
        <v/>
      </c>
      <c r="T601">
        <f>IF(F601=1,P601*Assumptions!$B$14,Assumptions!$B$31)</f>
        <v/>
      </c>
      <c r="U601">
        <f>IF(G601=1,P601*Assumptions!$B$13,Assumptions!$B$30)</f>
        <v/>
      </c>
      <c r="V601">
        <f>IF(H601=1,P601*Assumptions!$B$12,Assumptions!$B$29)</f>
        <v/>
      </c>
      <c r="W601">
        <f>IF(I601=1,P601*Assumptions!$B$11,Assumptions!$B$28)</f>
        <v/>
      </c>
      <c r="X601">
        <f>P601*(Assumptions!$B$133+Assumptions!$B$137)</f>
        <v/>
      </c>
      <c r="Y601">
        <f>P601*Assumptions!$B$9</f>
        <v/>
      </c>
      <c r="Z601">
        <f>IF(M601=1,(P601-Assumptions!$B$37)*Assumptions!$B$153,0)</f>
        <v/>
      </c>
      <c r="AA601">
        <f>Q601+R601+S601+T601+U601+V601+W601+X601+Y601+Z601</f>
        <v/>
      </c>
      <c r="AB601" t="n">
        <v>38</v>
      </c>
      <c r="AC601" t="n">
        <v>102</v>
      </c>
      <c r="AD601" t="n">
        <v>6</v>
      </c>
      <c r="AE601" t="n">
        <v>54</v>
      </c>
      <c r="AF601" t="n">
        <v>46</v>
      </c>
      <c r="AG601" t="n">
        <v>34</v>
      </c>
      <c r="AH601" t="n">
        <v>36</v>
      </c>
      <c r="AI601" t="n">
        <v>39</v>
      </c>
      <c r="AJ601">
        <f>INDEX($Q$563:$Q$690,AC601+1)</f>
        <v/>
      </c>
      <c r="AK601">
        <f>INDEX($R$563:$R$690,AD601+1)</f>
        <v/>
      </c>
      <c r="AL601">
        <f>INDEX($S$563:$S$690,AE601+1)</f>
        <v/>
      </c>
      <c r="AM601">
        <f>INDEX($T$563:$T$690,AF601+1)</f>
        <v/>
      </c>
      <c r="AN601">
        <f>INDEX($U$563:$U$690,AG601+1)</f>
        <v/>
      </c>
      <c r="AO601">
        <f>INDEX($V$563:$V$690,AH601+1)</f>
        <v/>
      </c>
      <c r="AP601">
        <f>INDEX($W$563:$W$690,AI601+1)</f>
        <v/>
      </c>
      <c r="AQ601">
        <f>IF(Q601&gt;=AJ601-0.01,1,0)</f>
        <v/>
      </c>
      <c r="AR601">
        <f>IF(R601&gt;=AK601-0.01,1,0)</f>
        <v/>
      </c>
      <c r="AS601">
        <f>IF(S601&gt;=AL601-0.01,1,0)</f>
        <v/>
      </c>
      <c r="AT601">
        <f>IF(T601&gt;=AM601-0.01,1,0)</f>
        <v/>
      </c>
      <c r="AU601">
        <f>IF(U601&gt;=AN601-0.01,1,0)</f>
        <v/>
      </c>
      <c r="AV601">
        <f>IF(V601&gt;=AO601-0.01,1,0)</f>
        <v/>
      </c>
      <c r="AW601">
        <f>IF(W601&gt;=AP601-0.01,1,0)</f>
        <v/>
      </c>
      <c r="AX601">
        <f>AQ601*AR601*AS601*AT601*AU601*AV601*AW601</f>
        <v/>
      </c>
      <c r="AY601">
        <f>Assumptions!$B$41</f>
        <v/>
      </c>
      <c r="AZ601">
        <f>Assumptions!$B$33</f>
        <v/>
      </c>
      <c r="BA601">
        <f>Assumptions!$B$32</f>
        <v/>
      </c>
      <c r="BB601">
        <f>Assumptions!$B$31</f>
        <v/>
      </c>
      <c r="BC601">
        <f>Assumptions!$B$30</f>
        <v/>
      </c>
      <c r="BD601">
        <f>Assumptions!$B$29</f>
        <v/>
      </c>
      <c r="BE601">
        <f>Assumptions!$B$28</f>
        <v/>
      </c>
      <c r="BF601">
        <f>P601*Assumptions!$B$141</f>
        <v/>
      </c>
      <c r="BG601">
        <f>P601*Assumptions!$B$128</f>
        <v/>
      </c>
      <c r="BH601">
        <f>P601*Assumptions!$B$129</f>
        <v/>
      </c>
      <c r="BI601">
        <f>P601*Assumptions!$B$14</f>
        <v/>
      </c>
      <c r="BJ601">
        <f>P601*Assumptions!$B$13</f>
        <v/>
      </c>
      <c r="BK601">
        <f>P601*Assumptions!$B$12</f>
        <v/>
      </c>
      <c r="BL601">
        <f>P601*Assumptions!$B$11</f>
        <v/>
      </c>
    </row>
    <row r="602">
      <c r="A602" t="inlineStr">
        <is>
          <t>8000M</t>
        </is>
      </c>
      <c r="B602">
        <f>Assumptions!$B$62</f>
        <v/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>
        <f>(1-C602)*Assumptions!$B$41+(1-D602)*Assumptions!$B$33+(1-E602)*Assumptions!$B$32+(1-F602)*Assumptions!$B$31+(1-G602)*Assumptions!$B$30+(1-H602)*Assumptions!$B$29+(1-I602)*Assumptions!$B$28</f>
        <v/>
      </c>
      <c r="K602">
        <f>C602*Assumptions!$B$141+D602*Assumptions!$B$128+E602*Assumptions!$B$129+F602*Assumptions!$B$14+G602*Assumptions!$B$13+H602*Assumptions!$B$12+I602*Assumptions!$B$11+Assumptions!$B$133+Assumptions!$B$137+Assumptions!$B$9</f>
        <v/>
      </c>
      <c r="L602">
        <f>B602-J602</f>
        <v/>
      </c>
      <c r="M602">
        <f>IF(K602&gt;0,IF(L602/K602&gt;=Assumptions!$B$37,1,0),0)</f>
        <v/>
      </c>
      <c r="N602">
        <f>K602+M602*Assumptions!$B$153</f>
        <v/>
      </c>
      <c r="O602">
        <f>L602+M602*Assumptions!$B$153*Assumptions!$B$37</f>
        <v/>
      </c>
      <c r="P602">
        <f>IF(N602&gt;0,O602/N602,0)</f>
        <v/>
      </c>
      <c r="Q602">
        <f>IF(C602=1,P602*Assumptions!$B$141,Assumptions!$B$41)</f>
        <v/>
      </c>
      <c r="R602">
        <f>IF(D602=1,P602*Assumptions!$B$128,Assumptions!$B$33)</f>
        <v/>
      </c>
      <c r="S602">
        <f>IF(E602=1,P602*Assumptions!$B$129,Assumptions!$B$32)</f>
        <v/>
      </c>
      <c r="T602">
        <f>IF(F602=1,P602*Assumptions!$B$14,Assumptions!$B$31)</f>
        <v/>
      </c>
      <c r="U602">
        <f>IF(G602=1,P602*Assumptions!$B$13,Assumptions!$B$30)</f>
        <v/>
      </c>
      <c r="V602">
        <f>IF(H602=1,P602*Assumptions!$B$12,Assumptions!$B$29)</f>
        <v/>
      </c>
      <c r="W602">
        <f>IF(I602=1,P602*Assumptions!$B$11,Assumptions!$B$28)</f>
        <v/>
      </c>
      <c r="X602">
        <f>P602*(Assumptions!$B$133+Assumptions!$B$137)</f>
        <v/>
      </c>
      <c r="Y602">
        <f>P602*Assumptions!$B$9</f>
        <v/>
      </c>
      <c r="Z602">
        <f>IF(M602=1,(P602-Assumptions!$B$37)*Assumptions!$B$153,0)</f>
        <v/>
      </c>
      <c r="AA602">
        <f>Q602+R602+S602+T602+U602+V602+W602+X602+Y602+Z602</f>
        <v/>
      </c>
      <c r="AB602" t="n">
        <v>39</v>
      </c>
      <c r="AC602" t="n">
        <v>103</v>
      </c>
      <c r="AD602" t="n">
        <v>7</v>
      </c>
      <c r="AE602" t="n">
        <v>55</v>
      </c>
      <c r="AF602" t="n">
        <v>47</v>
      </c>
      <c r="AG602" t="n">
        <v>35</v>
      </c>
      <c r="AH602" t="n">
        <v>37</v>
      </c>
      <c r="AI602" t="n">
        <v>38</v>
      </c>
      <c r="AJ602">
        <f>INDEX($Q$563:$Q$690,AC602+1)</f>
        <v/>
      </c>
      <c r="AK602">
        <f>INDEX($R$563:$R$690,AD602+1)</f>
        <v/>
      </c>
      <c r="AL602">
        <f>INDEX($S$563:$S$690,AE602+1)</f>
        <v/>
      </c>
      <c r="AM602">
        <f>INDEX($T$563:$T$690,AF602+1)</f>
        <v/>
      </c>
      <c r="AN602">
        <f>INDEX($U$563:$U$690,AG602+1)</f>
        <v/>
      </c>
      <c r="AO602">
        <f>INDEX($V$563:$V$690,AH602+1)</f>
        <v/>
      </c>
      <c r="AP602">
        <f>INDEX($W$563:$W$690,AI602+1)</f>
        <v/>
      </c>
      <c r="AQ602">
        <f>IF(Q602&gt;=AJ602-0.01,1,0)</f>
        <v/>
      </c>
      <c r="AR602">
        <f>IF(R602&gt;=AK602-0.01,1,0)</f>
        <v/>
      </c>
      <c r="AS602">
        <f>IF(S602&gt;=AL602-0.01,1,0)</f>
        <v/>
      </c>
      <c r="AT602">
        <f>IF(T602&gt;=AM602-0.01,1,0)</f>
        <v/>
      </c>
      <c r="AU602">
        <f>IF(U602&gt;=AN602-0.01,1,0)</f>
        <v/>
      </c>
      <c r="AV602">
        <f>IF(V602&gt;=AO602-0.01,1,0)</f>
        <v/>
      </c>
      <c r="AW602">
        <f>IF(W602&gt;=AP602-0.01,1,0)</f>
        <v/>
      </c>
      <c r="AX602">
        <f>AQ602*AR602*AS602*AT602*AU602*AV602*AW602</f>
        <v/>
      </c>
      <c r="AY602">
        <f>Assumptions!$B$41</f>
        <v/>
      </c>
      <c r="AZ602">
        <f>Assumptions!$B$33</f>
        <v/>
      </c>
      <c r="BA602">
        <f>Assumptions!$B$32</f>
        <v/>
      </c>
      <c r="BB602">
        <f>Assumptions!$B$31</f>
        <v/>
      </c>
      <c r="BC602">
        <f>Assumptions!$B$30</f>
        <v/>
      </c>
      <c r="BD602">
        <f>Assumptions!$B$29</f>
        <v/>
      </c>
      <c r="BE602">
        <f>Assumptions!$B$28</f>
        <v/>
      </c>
      <c r="BF602">
        <f>P602*Assumptions!$B$141</f>
        <v/>
      </c>
      <c r="BG602">
        <f>P602*Assumptions!$B$128</f>
        <v/>
      </c>
      <c r="BH602">
        <f>P602*Assumptions!$B$129</f>
        <v/>
      </c>
      <c r="BI602">
        <f>P602*Assumptions!$B$14</f>
        <v/>
      </c>
      <c r="BJ602">
        <f>P602*Assumptions!$B$13</f>
        <v/>
      </c>
      <c r="BK602">
        <f>P602*Assumptions!$B$12</f>
        <v/>
      </c>
      <c r="BL602">
        <f>P602*Assumptions!$B$11</f>
        <v/>
      </c>
    </row>
    <row r="603">
      <c r="A603" t="inlineStr">
        <is>
          <t>8000M</t>
        </is>
      </c>
      <c r="B603">
        <f>Assumptions!$B$62</f>
        <v/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>
        <f>(1-C603)*Assumptions!$B$41+(1-D603)*Assumptions!$B$33+(1-E603)*Assumptions!$B$32+(1-F603)*Assumptions!$B$31+(1-G603)*Assumptions!$B$30+(1-H603)*Assumptions!$B$29+(1-I603)*Assumptions!$B$28</f>
        <v/>
      </c>
      <c r="K603">
        <f>C603*Assumptions!$B$141+D603*Assumptions!$B$128+E603*Assumptions!$B$129+F603*Assumptions!$B$14+G603*Assumptions!$B$13+H603*Assumptions!$B$12+I603*Assumptions!$B$11+Assumptions!$B$133+Assumptions!$B$137+Assumptions!$B$9</f>
        <v/>
      </c>
      <c r="L603">
        <f>B603-J603</f>
        <v/>
      </c>
      <c r="M603">
        <f>IF(K603&gt;0,IF(L603/K603&gt;=Assumptions!$B$37,1,0),0)</f>
        <v/>
      </c>
      <c r="N603">
        <f>K603+M603*Assumptions!$B$153</f>
        <v/>
      </c>
      <c r="O603">
        <f>L603+M603*Assumptions!$B$153*Assumptions!$B$37</f>
        <v/>
      </c>
      <c r="P603">
        <f>IF(N603&gt;0,O603/N603,0)</f>
        <v/>
      </c>
      <c r="Q603">
        <f>IF(C603=1,P603*Assumptions!$B$141,Assumptions!$B$41)</f>
        <v/>
      </c>
      <c r="R603">
        <f>IF(D603=1,P603*Assumptions!$B$128,Assumptions!$B$33)</f>
        <v/>
      </c>
      <c r="S603">
        <f>IF(E603=1,P603*Assumptions!$B$129,Assumptions!$B$32)</f>
        <v/>
      </c>
      <c r="T603">
        <f>IF(F603=1,P603*Assumptions!$B$14,Assumptions!$B$31)</f>
        <v/>
      </c>
      <c r="U603">
        <f>IF(G603=1,P603*Assumptions!$B$13,Assumptions!$B$30)</f>
        <v/>
      </c>
      <c r="V603">
        <f>IF(H603=1,P603*Assumptions!$B$12,Assumptions!$B$29)</f>
        <v/>
      </c>
      <c r="W603">
        <f>IF(I603=1,P603*Assumptions!$B$11,Assumptions!$B$28)</f>
        <v/>
      </c>
      <c r="X603">
        <f>P603*(Assumptions!$B$133+Assumptions!$B$137)</f>
        <v/>
      </c>
      <c r="Y603">
        <f>P603*Assumptions!$B$9</f>
        <v/>
      </c>
      <c r="Z603">
        <f>IF(M603=1,(P603-Assumptions!$B$37)*Assumptions!$B$153,0)</f>
        <v/>
      </c>
      <c r="AA603">
        <f>Q603+R603+S603+T603+U603+V603+W603+X603+Y603+Z603</f>
        <v/>
      </c>
      <c r="AB603" t="n">
        <v>40</v>
      </c>
      <c r="AC603" t="n">
        <v>104</v>
      </c>
      <c r="AD603" t="n">
        <v>8</v>
      </c>
      <c r="AE603" t="n">
        <v>56</v>
      </c>
      <c r="AF603" t="n">
        <v>32</v>
      </c>
      <c r="AG603" t="n">
        <v>44</v>
      </c>
      <c r="AH603" t="n">
        <v>42</v>
      </c>
      <c r="AI603" t="n">
        <v>41</v>
      </c>
      <c r="AJ603">
        <f>INDEX($Q$563:$Q$690,AC603+1)</f>
        <v/>
      </c>
      <c r="AK603">
        <f>INDEX($R$563:$R$690,AD603+1)</f>
        <v/>
      </c>
      <c r="AL603">
        <f>INDEX($S$563:$S$690,AE603+1)</f>
        <v/>
      </c>
      <c r="AM603">
        <f>INDEX($T$563:$T$690,AF603+1)</f>
        <v/>
      </c>
      <c r="AN603">
        <f>INDEX($U$563:$U$690,AG603+1)</f>
        <v/>
      </c>
      <c r="AO603">
        <f>INDEX($V$563:$V$690,AH603+1)</f>
        <v/>
      </c>
      <c r="AP603">
        <f>INDEX($W$563:$W$690,AI603+1)</f>
        <v/>
      </c>
      <c r="AQ603">
        <f>IF(Q603&gt;=AJ603-0.01,1,0)</f>
        <v/>
      </c>
      <c r="AR603">
        <f>IF(R603&gt;=AK603-0.01,1,0)</f>
        <v/>
      </c>
      <c r="AS603">
        <f>IF(S603&gt;=AL603-0.01,1,0)</f>
        <v/>
      </c>
      <c r="AT603">
        <f>IF(T603&gt;=AM603-0.01,1,0)</f>
        <v/>
      </c>
      <c r="AU603">
        <f>IF(U603&gt;=AN603-0.01,1,0)</f>
        <v/>
      </c>
      <c r="AV603">
        <f>IF(V603&gt;=AO603-0.01,1,0)</f>
        <v/>
      </c>
      <c r="AW603">
        <f>IF(W603&gt;=AP603-0.01,1,0)</f>
        <v/>
      </c>
      <c r="AX603">
        <f>AQ603*AR603*AS603*AT603*AU603*AV603*AW603</f>
        <v/>
      </c>
      <c r="AY603">
        <f>Assumptions!$B$41</f>
        <v/>
      </c>
      <c r="AZ603">
        <f>Assumptions!$B$33</f>
        <v/>
      </c>
      <c r="BA603">
        <f>Assumptions!$B$32</f>
        <v/>
      </c>
      <c r="BB603">
        <f>Assumptions!$B$31</f>
        <v/>
      </c>
      <c r="BC603">
        <f>Assumptions!$B$30</f>
        <v/>
      </c>
      <c r="BD603">
        <f>Assumptions!$B$29</f>
        <v/>
      </c>
      <c r="BE603">
        <f>Assumptions!$B$28</f>
        <v/>
      </c>
      <c r="BF603">
        <f>P603*Assumptions!$B$141</f>
        <v/>
      </c>
      <c r="BG603">
        <f>P603*Assumptions!$B$128</f>
        <v/>
      </c>
      <c r="BH603">
        <f>P603*Assumptions!$B$129</f>
        <v/>
      </c>
      <c r="BI603">
        <f>P603*Assumptions!$B$14</f>
        <v/>
      </c>
      <c r="BJ603">
        <f>P603*Assumptions!$B$13</f>
        <v/>
      </c>
      <c r="BK603">
        <f>P603*Assumptions!$B$12</f>
        <v/>
      </c>
      <c r="BL603">
        <f>P603*Assumptions!$B$11</f>
        <v/>
      </c>
    </row>
    <row r="604">
      <c r="A604" t="inlineStr">
        <is>
          <t>8000M</t>
        </is>
      </c>
      <c r="B604">
        <f>Assumptions!$B$62</f>
        <v/>
      </c>
      <c r="C604" t="n">
        <v>0</v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>
        <f>(1-C604)*Assumptions!$B$41+(1-D604)*Assumptions!$B$33+(1-E604)*Assumptions!$B$32+(1-F604)*Assumptions!$B$31+(1-G604)*Assumptions!$B$30+(1-H604)*Assumptions!$B$29+(1-I604)*Assumptions!$B$28</f>
        <v/>
      </c>
      <c r="K604">
        <f>C604*Assumptions!$B$141+D604*Assumptions!$B$128+E604*Assumptions!$B$129+F604*Assumptions!$B$14+G604*Assumptions!$B$13+H604*Assumptions!$B$12+I604*Assumptions!$B$11+Assumptions!$B$133+Assumptions!$B$137+Assumptions!$B$9</f>
        <v/>
      </c>
      <c r="L604">
        <f>B604-J604</f>
        <v/>
      </c>
      <c r="M604">
        <f>IF(K604&gt;0,IF(L604/K604&gt;=Assumptions!$B$37,1,0),0)</f>
        <v/>
      </c>
      <c r="N604">
        <f>K604+M604*Assumptions!$B$153</f>
        <v/>
      </c>
      <c r="O604">
        <f>L604+M604*Assumptions!$B$153*Assumptions!$B$37</f>
        <v/>
      </c>
      <c r="P604">
        <f>IF(N604&gt;0,O604/N604,0)</f>
        <v/>
      </c>
      <c r="Q604">
        <f>IF(C604=1,P604*Assumptions!$B$141,Assumptions!$B$41)</f>
        <v/>
      </c>
      <c r="R604">
        <f>IF(D604=1,P604*Assumptions!$B$128,Assumptions!$B$33)</f>
        <v/>
      </c>
      <c r="S604">
        <f>IF(E604=1,P604*Assumptions!$B$129,Assumptions!$B$32)</f>
        <v/>
      </c>
      <c r="T604">
        <f>IF(F604=1,P604*Assumptions!$B$14,Assumptions!$B$31)</f>
        <v/>
      </c>
      <c r="U604">
        <f>IF(G604=1,P604*Assumptions!$B$13,Assumptions!$B$30)</f>
        <v/>
      </c>
      <c r="V604">
        <f>IF(H604=1,P604*Assumptions!$B$12,Assumptions!$B$29)</f>
        <v/>
      </c>
      <c r="W604">
        <f>IF(I604=1,P604*Assumptions!$B$11,Assumptions!$B$28)</f>
        <v/>
      </c>
      <c r="X604">
        <f>P604*(Assumptions!$B$133+Assumptions!$B$137)</f>
        <v/>
      </c>
      <c r="Y604">
        <f>P604*Assumptions!$B$9</f>
        <v/>
      </c>
      <c r="Z604">
        <f>IF(M604=1,(P604-Assumptions!$B$37)*Assumptions!$B$153,0)</f>
        <v/>
      </c>
      <c r="AA604">
        <f>Q604+R604+S604+T604+U604+V604+W604+X604+Y604+Z604</f>
        <v/>
      </c>
      <c r="AB604" t="n">
        <v>41</v>
      </c>
      <c r="AC604" t="n">
        <v>105</v>
      </c>
      <c r="AD604" t="n">
        <v>9</v>
      </c>
      <c r="AE604" t="n">
        <v>57</v>
      </c>
      <c r="AF604" t="n">
        <v>33</v>
      </c>
      <c r="AG604" t="n">
        <v>45</v>
      </c>
      <c r="AH604" t="n">
        <v>43</v>
      </c>
      <c r="AI604" t="n">
        <v>40</v>
      </c>
      <c r="AJ604">
        <f>INDEX($Q$563:$Q$690,AC604+1)</f>
        <v/>
      </c>
      <c r="AK604">
        <f>INDEX($R$563:$R$690,AD604+1)</f>
        <v/>
      </c>
      <c r="AL604">
        <f>INDEX($S$563:$S$690,AE604+1)</f>
        <v/>
      </c>
      <c r="AM604">
        <f>INDEX($T$563:$T$690,AF604+1)</f>
        <v/>
      </c>
      <c r="AN604">
        <f>INDEX($U$563:$U$690,AG604+1)</f>
        <v/>
      </c>
      <c r="AO604">
        <f>INDEX($V$563:$V$690,AH604+1)</f>
        <v/>
      </c>
      <c r="AP604">
        <f>INDEX($W$563:$W$690,AI604+1)</f>
        <v/>
      </c>
      <c r="AQ604">
        <f>IF(Q604&gt;=AJ604-0.01,1,0)</f>
        <v/>
      </c>
      <c r="AR604">
        <f>IF(R604&gt;=AK604-0.01,1,0)</f>
        <v/>
      </c>
      <c r="AS604">
        <f>IF(S604&gt;=AL604-0.01,1,0)</f>
        <v/>
      </c>
      <c r="AT604">
        <f>IF(T604&gt;=AM604-0.01,1,0)</f>
        <v/>
      </c>
      <c r="AU604">
        <f>IF(U604&gt;=AN604-0.01,1,0)</f>
        <v/>
      </c>
      <c r="AV604">
        <f>IF(V604&gt;=AO604-0.01,1,0)</f>
        <v/>
      </c>
      <c r="AW604">
        <f>IF(W604&gt;=AP604-0.01,1,0)</f>
        <v/>
      </c>
      <c r="AX604">
        <f>AQ604*AR604*AS604*AT604*AU604*AV604*AW604</f>
        <v/>
      </c>
      <c r="AY604">
        <f>Assumptions!$B$41</f>
        <v/>
      </c>
      <c r="AZ604">
        <f>Assumptions!$B$33</f>
        <v/>
      </c>
      <c r="BA604">
        <f>Assumptions!$B$32</f>
        <v/>
      </c>
      <c r="BB604">
        <f>Assumptions!$B$31</f>
        <v/>
      </c>
      <c r="BC604">
        <f>Assumptions!$B$30</f>
        <v/>
      </c>
      <c r="BD604">
        <f>Assumptions!$B$29</f>
        <v/>
      </c>
      <c r="BE604">
        <f>Assumptions!$B$28</f>
        <v/>
      </c>
      <c r="BF604">
        <f>P604*Assumptions!$B$141</f>
        <v/>
      </c>
      <c r="BG604">
        <f>P604*Assumptions!$B$128</f>
        <v/>
      </c>
      <c r="BH604">
        <f>P604*Assumptions!$B$129</f>
        <v/>
      </c>
      <c r="BI604">
        <f>P604*Assumptions!$B$14</f>
        <v/>
      </c>
      <c r="BJ604">
        <f>P604*Assumptions!$B$13</f>
        <v/>
      </c>
      <c r="BK604">
        <f>P604*Assumptions!$B$12</f>
        <v/>
      </c>
      <c r="BL604">
        <f>P604*Assumptions!$B$11</f>
        <v/>
      </c>
    </row>
    <row r="605">
      <c r="A605" t="inlineStr">
        <is>
          <t>8000M</t>
        </is>
      </c>
      <c r="B605">
        <f>Assumptions!$B$62</f>
        <v/>
      </c>
      <c r="C605" t="n">
        <v>0</v>
      </c>
      <c r="D605" t="n">
        <v>1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>
        <f>(1-C605)*Assumptions!$B$41+(1-D605)*Assumptions!$B$33+(1-E605)*Assumptions!$B$32+(1-F605)*Assumptions!$B$31+(1-G605)*Assumptions!$B$30+(1-H605)*Assumptions!$B$29+(1-I605)*Assumptions!$B$28</f>
        <v/>
      </c>
      <c r="K605">
        <f>C605*Assumptions!$B$141+D605*Assumptions!$B$128+E605*Assumptions!$B$129+F605*Assumptions!$B$14+G605*Assumptions!$B$13+H605*Assumptions!$B$12+I605*Assumptions!$B$11+Assumptions!$B$133+Assumptions!$B$137+Assumptions!$B$9</f>
        <v/>
      </c>
      <c r="L605">
        <f>B605-J605</f>
        <v/>
      </c>
      <c r="M605">
        <f>IF(K605&gt;0,IF(L605/K605&gt;=Assumptions!$B$37,1,0),0)</f>
        <v/>
      </c>
      <c r="N605">
        <f>K605+M605*Assumptions!$B$153</f>
        <v/>
      </c>
      <c r="O605">
        <f>L605+M605*Assumptions!$B$153*Assumptions!$B$37</f>
        <v/>
      </c>
      <c r="P605">
        <f>IF(N605&gt;0,O605/N605,0)</f>
        <v/>
      </c>
      <c r="Q605">
        <f>IF(C605=1,P605*Assumptions!$B$141,Assumptions!$B$41)</f>
        <v/>
      </c>
      <c r="R605">
        <f>IF(D605=1,P605*Assumptions!$B$128,Assumptions!$B$33)</f>
        <v/>
      </c>
      <c r="S605">
        <f>IF(E605=1,P605*Assumptions!$B$129,Assumptions!$B$32)</f>
        <v/>
      </c>
      <c r="T605">
        <f>IF(F605=1,P605*Assumptions!$B$14,Assumptions!$B$31)</f>
        <v/>
      </c>
      <c r="U605">
        <f>IF(G605=1,P605*Assumptions!$B$13,Assumptions!$B$30)</f>
        <v/>
      </c>
      <c r="V605">
        <f>IF(H605=1,P605*Assumptions!$B$12,Assumptions!$B$29)</f>
        <v/>
      </c>
      <c r="W605">
        <f>IF(I605=1,P605*Assumptions!$B$11,Assumptions!$B$28)</f>
        <v/>
      </c>
      <c r="X605">
        <f>P605*(Assumptions!$B$133+Assumptions!$B$137)</f>
        <v/>
      </c>
      <c r="Y605">
        <f>P605*Assumptions!$B$9</f>
        <v/>
      </c>
      <c r="Z605">
        <f>IF(M605=1,(P605-Assumptions!$B$37)*Assumptions!$B$153,0)</f>
        <v/>
      </c>
      <c r="AA605">
        <f>Q605+R605+S605+T605+U605+V605+W605+X605+Y605+Z605</f>
        <v/>
      </c>
      <c r="AB605" t="n">
        <v>42</v>
      </c>
      <c r="AC605" t="n">
        <v>106</v>
      </c>
      <c r="AD605" t="n">
        <v>10</v>
      </c>
      <c r="AE605" t="n">
        <v>58</v>
      </c>
      <c r="AF605" t="n">
        <v>34</v>
      </c>
      <c r="AG605" t="n">
        <v>46</v>
      </c>
      <c r="AH605" t="n">
        <v>40</v>
      </c>
      <c r="AI605" t="n">
        <v>43</v>
      </c>
      <c r="AJ605">
        <f>INDEX($Q$563:$Q$690,AC605+1)</f>
        <v/>
      </c>
      <c r="AK605">
        <f>INDEX($R$563:$R$690,AD605+1)</f>
        <v/>
      </c>
      <c r="AL605">
        <f>INDEX($S$563:$S$690,AE605+1)</f>
        <v/>
      </c>
      <c r="AM605">
        <f>INDEX($T$563:$T$690,AF605+1)</f>
        <v/>
      </c>
      <c r="AN605">
        <f>INDEX($U$563:$U$690,AG605+1)</f>
        <v/>
      </c>
      <c r="AO605">
        <f>INDEX($V$563:$V$690,AH605+1)</f>
        <v/>
      </c>
      <c r="AP605">
        <f>INDEX($W$563:$W$690,AI605+1)</f>
        <v/>
      </c>
      <c r="AQ605">
        <f>IF(Q605&gt;=AJ605-0.01,1,0)</f>
        <v/>
      </c>
      <c r="AR605">
        <f>IF(R605&gt;=AK605-0.01,1,0)</f>
        <v/>
      </c>
      <c r="AS605">
        <f>IF(S605&gt;=AL605-0.01,1,0)</f>
        <v/>
      </c>
      <c r="AT605">
        <f>IF(T605&gt;=AM605-0.01,1,0)</f>
        <v/>
      </c>
      <c r="AU605">
        <f>IF(U605&gt;=AN605-0.01,1,0)</f>
        <v/>
      </c>
      <c r="AV605">
        <f>IF(V605&gt;=AO605-0.01,1,0)</f>
        <v/>
      </c>
      <c r="AW605">
        <f>IF(W605&gt;=AP605-0.01,1,0)</f>
        <v/>
      </c>
      <c r="AX605">
        <f>AQ605*AR605*AS605*AT605*AU605*AV605*AW605</f>
        <v/>
      </c>
      <c r="AY605">
        <f>Assumptions!$B$41</f>
        <v/>
      </c>
      <c r="AZ605">
        <f>Assumptions!$B$33</f>
        <v/>
      </c>
      <c r="BA605">
        <f>Assumptions!$B$32</f>
        <v/>
      </c>
      <c r="BB605">
        <f>Assumptions!$B$31</f>
        <v/>
      </c>
      <c r="BC605">
        <f>Assumptions!$B$30</f>
        <v/>
      </c>
      <c r="BD605">
        <f>Assumptions!$B$29</f>
        <v/>
      </c>
      <c r="BE605">
        <f>Assumptions!$B$28</f>
        <v/>
      </c>
      <c r="BF605">
        <f>P605*Assumptions!$B$141</f>
        <v/>
      </c>
      <c r="BG605">
        <f>P605*Assumptions!$B$128</f>
        <v/>
      </c>
      <c r="BH605">
        <f>P605*Assumptions!$B$129</f>
        <v/>
      </c>
      <c r="BI605">
        <f>P605*Assumptions!$B$14</f>
        <v/>
      </c>
      <c r="BJ605">
        <f>P605*Assumptions!$B$13</f>
        <v/>
      </c>
      <c r="BK605">
        <f>P605*Assumptions!$B$12</f>
        <v/>
      </c>
      <c r="BL605">
        <f>P605*Assumptions!$B$11</f>
        <v/>
      </c>
    </row>
    <row r="606">
      <c r="A606" t="inlineStr">
        <is>
          <t>8000M</t>
        </is>
      </c>
      <c r="B606">
        <f>Assumptions!$B$62</f>
        <v/>
      </c>
      <c r="C606" t="n">
        <v>0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n">
        <v>1</v>
      </c>
      <c r="J606">
        <f>(1-C606)*Assumptions!$B$41+(1-D606)*Assumptions!$B$33+(1-E606)*Assumptions!$B$32+(1-F606)*Assumptions!$B$31+(1-G606)*Assumptions!$B$30+(1-H606)*Assumptions!$B$29+(1-I606)*Assumptions!$B$28</f>
        <v/>
      </c>
      <c r="K606">
        <f>C606*Assumptions!$B$141+D606*Assumptions!$B$128+E606*Assumptions!$B$129+F606*Assumptions!$B$14+G606*Assumptions!$B$13+H606*Assumptions!$B$12+I606*Assumptions!$B$11+Assumptions!$B$133+Assumptions!$B$137+Assumptions!$B$9</f>
        <v/>
      </c>
      <c r="L606">
        <f>B606-J606</f>
        <v/>
      </c>
      <c r="M606">
        <f>IF(K606&gt;0,IF(L606/K606&gt;=Assumptions!$B$37,1,0),0)</f>
        <v/>
      </c>
      <c r="N606">
        <f>K606+M606*Assumptions!$B$153</f>
        <v/>
      </c>
      <c r="O606">
        <f>L606+M606*Assumptions!$B$153*Assumptions!$B$37</f>
        <v/>
      </c>
      <c r="P606">
        <f>IF(N606&gt;0,O606/N606,0)</f>
        <v/>
      </c>
      <c r="Q606">
        <f>IF(C606=1,P606*Assumptions!$B$141,Assumptions!$B$41)</f>
        <v/>
      </c>
      <c r="R606">
        <f>IF(D606=1,P606*Assumptions!$B$128,Assumptions!$B$33)</f>
        <v/>
      </c>
      <c r="S606">
        <f>IF(E606=1,P606*Assumptions!$B$129,Assumptions!$B$32)</f>
        <v/>
      </c>
      <c r="T606">
        <f>IF(F606=1,P606*Assumptions!$B$14,Assumptions!$B$31)</f>
        <v/>
      </c>
      <c r="U606">
        <f>IF(G606=1,P606*Assumptions!$B$13,Assumptions!$B$30)</f>
        <v/>
      </c>
      <c r="V606">
        <f>IF(H606=1,P606*Assumptions!$B$12,Assumptions!$B$29)</f>
        <v/>
      </c>
      <c r="W606">
        <f>IF(I606=1,P606*Assumptions!$B$11,Assumptions!$B$28)</f>
        <v/>
      </c>
      <c r="X606">
        <f>P606*(Assumptions!$B$133+Assumptions!$B$137)</f>
        <v/>
      </c>
      <c r="Y606">
        <f>P606*Assumptions!$B$9</f>
        <v/>
      </c>
      <c r="Z606">
        <f>IF(M606=1,(P606-Assumptions!$B$37)*Assumptions!$B$153,0)</f>
        <v/>
      </c>
      <c r="AA606">
        <f>Q606+R606+S606+T606+U606+V606+W606+X606+Y606+Z606</f>
        <v/>
      </c>
      <c r="AB606" t="n">
        <v>43</v>
      </c>
      <c r="AC606" t="n">
        <v>107</v>
      </c>
      <c r="AD606" t="n">
        <v>11</v>
      </c>
      <c r="AE606" t="n">
        <v>59</v>
      </c>
      <c r="AF606" t="n">
        <v>35</v>
      </c>
      <c r="AG606" t="n">
        <v>47</v>
      </c>
      <c r="AH606" t="n">
        <v>41</v>
      </c>
      <c r="AI606" t="n">
        <v>42</v>
      </c>
      <c r="AJ606">
        <f>INDEX($Q$563:$Q$690,AC606+1)</f>
        <v/>
      </c>
      <c r="AK606">
        <f>INDEX($R$563:$R$690,AD606+1)</f>
        <v/>
      </c>
      <c r="AL606">
        <f>INDEX($S$563:$S$690,AE606+1)</f>
        <v/>
      </c>
      <c r="AM606">
        <f>INDEX($T$563:$T$690,AF606+1)</f>
        <v/>
      </c>
      <c r="AN606">
        <f>INDEX($U$563:$U$690,AG606+1)</f>
        <v/>
      </c>
      <c r="AO606">
        <f>INDEX($V$563:$V$690,AH606+1)</f>
        <v/>
      </c>
      <c r="AP606">
        <f>INDEX($W$563:$W$690,AI606+1)</f>
        <v/>
      </c>
      <c r="AQ606">
        <f>IF(Q606&gt;=AJ606-0.01,1,0)</f>
        <v/>
      </c>
      <c r="AR606">
        <f>IF(R606&gt;=AK606-0.01,1,0)</f>
        <v/>
      </c>
      <c r="AS606">
        <f>IF(S606&gt;=AL606-0.01,1,0)</f>
        <v/>
      </c>
      <c r="AT606">
        <f>IF(T606&gt;=AM606-0.01,1,0)</f>
        <v/>
      </c>
      <c r="AU606">
        <f>IF(U606&gt;=AN606-0.01,1,0)</f>
        <v/>
      </c>
      <c r="AV606">
        <f>IF(V606&gt;=AO606-0.01,1,0)</f>
        <v/>
      </c>
      <c r="AW606">
        <f>IF(W606&gt;=AP606-0.01,1,0)</f>
        <v/>
      </c>
      <c r="AX606">
        <f>AQ606*AR606*AS606*AT606*AU606*AV606*AW606</f>
        <v/>
      </c>
      <c r="AY606">
        <f>Assumptions!$B$41</f>
        <v/>
      </c>
      <c r="AZ606">
        <f>Assumptions!$B$33</f>
        <v/>
      </c>
      <c r="BA606">
        <f>Assumptions!$B$32</f>
        <v/>
      </c>
      <c r="BB606">
        <f>Assumptions!$B$31</f>
        <v/>
      </c>
      <c r="BC606">
        <f>Assumptions!$B$30</f>
        <v/>
      </c>
      <c r="BD606">
        <f>Assumptions!$B$29</f>
        <v/>
      </c>
      <c r="BE606">
        <f>Assumptions!$B$28</f>
        <v/>
      </c>
      <c r="BF606">
        <f>P606*Assumptions!$B$141</f>
        <v/>
      </c>
      <c r="BG606">
        <f>P606*Assumptions!$B$128</f>
        <v/>
      </c>
      <c r="BH606">
        <f>P606*Assumptions!$B$129</f>
        <v/>
      </c>
      <c r="BI606">
        <f>P606*Assumptions!$B$14</f>
        <v/>
      </c>
      <c r="BJ606">
        <f>P606*Assumptions!$B$13</f>
        <v/>
      </c>
      <c r="BK606">
        <f>P606*Assumptions!$B$12</f>
        <v/>
      </c>
      <c r="BL606">
        <f>P606*Assumptions!$B$11</f>
        <v/>
      </c>
    </row>
    <row r="607">
      <c r="A607" t="inlineStr">
        <is>
          <t>8000M</t>
        </is>
      </c>
      <c r="B607">
        <f>Assumptions!$B$62</f>
        <v/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>
        <f>(1-C607)*Assumptions!$B$41+(1-D607)*Assumptions!$B$33+(1-E607)*Assumptions!$B$32+(1-F607)*Assumptions!$B$31+(1-G607)*Assumptions!$B$30+(1-H607)*Assumptions!$B$29+(1-I607)*Assumptions!$B$28</f>
        <v/>
      </c>
      <c r="K607">
        <f>C607*Assumptions!$B$141+D607*Assumptions!$B$128+E607*Assumptions!$B$129+F607*Assumptions!$B$14+G607*Assumptions!$B$13+H607*Assumptions!$B$12+I607*Assumptions!$B$11+Assumptions!$B$133+Assumptions!$B$137+Assumptions!$B$9</f>
        <v/>
      </c>
      <c r="L607">
        <f>B607-J607</f>
        <v/>
      </c>
      <c r="M607">
        <f>IF(K607&gt;0,IF(L607/K607&gt;=Assumptions!$B$37,1,0),0)</f>
        <v/>
      </c>
      <c r="N607">
        <f>K607+M607*Assumptions!$B$153</f>
        <v/>
      </c>
      <c r="O607">
        <f>L607+M607*Assumptions!$B$153*Assumptions!$B$37</f>
        <v/>
      </c>
      <c r="P607">
        <f>IF(N607&gt;0,O607/N607,0)</f>
        <v/>
      </c>
      <c r="Q607">
        <f>IF(C607=1,P607*Assumptions!$B$141,Assumptions!$B$41)</f>
        <v/>
      </c>
      <c r="R607">
        <f>IF(D607=1,P607*Assumptions!$B$128,Assumptions!$B$33)</f>
        <v/>
      </c>
      <c r="S607">
        <f>IF(E607=1,P607*Assumptions!$B$129,Assumptions!$B$32)</f>
        <v/>
      </c>
      <c r="T607">
        <f>IF(F607=1,P607*Assumptions!$B$14,Assumptions!$B$31)</f>
        <v/>
      </c>
      <c r="U607">
        <f>IF(G607=1,P607*Assumptions!$B$13,Assumptions!$B$30)</f>
        <v/>
      </c>
      <c r="V607">
        <f>IF(H607=1,P607*Assumptions!$B$12,Assumptions!$B$29)</f>
        <v/>
      </c>
      <c r="W607">
        <f>IF(I607=1,P607*Assumptions!$B$11,Assumptions!$B$28)</f>
        <v/>
      </c>
      <c r="X607">
        <f>P607*(Assumptions!$B$133+Assumptions!$B$137)</f>
        <v/>
      </c>
      <c r="Y607">
        <f>P607*Assumptions!$B$9</f>
        <v/>
      </c>
      <c r="Z607">
        <f>IF(M607=1,(P607-Assumptions!$B$37)*Assumptions!$B$153,0)</f>
        <v/>
      </c>
      <c r="AA607">
        <f>Q607+R607+S607+T607+U607+V607+W607+X607+Y607+Z607</f>
        <v/>
      </c>
      <c r="AB607" t="n">
        <v>44</v>
      </c>
      <c r="AC607" t="n">
        <v>108</v>
      </c>
      <c r="AD607" t="n">
        <v>12</v>
      </c>
      <c r="AE607" t="n">
        <v>60</v>
      </c>
      <c r="AF607" t="n">
        <v>36</v>
      </c>
      <c r="AG607" t="n">
        <v>40</v>
      </c>
      <c r="AH607" t="n">
        <v>46</v>
      </c>
      <c r="AI607" t="n">
        <v>45</v>
      </c>
      <c r="AJ607">
        <f>INDEX($Q$563:$Q$690,AC607+1)</f>
        <v/>
      </c>
      <c r="AK607">
        <f>INDEX($R$563:$R$690,AD607+1)</f>
        <v/>
      </c>
      <c r="AL607">
        <f>INDEX($S$563:$S$690,AE607+1)</f>
        <v/>
      </c>
      <c r="AM607">
        <f>INDEX($T$563:$T$690,AF607+1)</f>
        <v/>
      </c>
      <c r="AN607">
        <f>INDEX($U$563:$U$690,AG607+1)</f>
        <v/>
      </c>
      <c r="AO607">
        <f>INDEX($V$563:$V$690,AH607+1)</f>
        <v/>
      </c>
      <c r="AP607">
        <f>INDEX($W$563:$W$690,AI607+1)</f>
        <v/>
      </c>
      <c r="AQ607">
        <f>IF(Q607&gt;=AJ607-0.01,1,0)</f>
        <v/>
      </c>
      <c r="AR607">
        <f>IF(R607&gt;=AK607-0.01,1,0)</f>
        <v/>
      </c>
      <c r="AS607">
        <f>IF(S607&gt;=AL607-0.01,1,0)</f>
        <v/>
      </c>
      <c r="AT607">
        <f>IF(T607&gt;=AM607-0.01,1,0)</f>
        <v/>
      </c>
      <c r="AU607">
        <f>IF(U607&gt;=AN607-0.01,1,0)</f>
        <v/>
      </c>
      <c r="AV607">
        <f>IF(V607&gt;=AO607-0.01,1,0)</f>
        <v/>
      </c>
      <c r="AW607">
        <f>IF(W607&gt;=AP607-0.01,1,0)</f>
        <v/>
      </c>
      <c r="AX607">
        <f>AQ607*AR607*AS607*AT607*AU607*AV607*AW607</f>
        <v/>
      </c>
      <c r="AY607">
        <f>Assumptions!$B$41</f>
        <v/>
      </c>
      <c r="AZ607">
        <f>Assumptions!$B$33</f>
        <v/>
      </c>
      <c r="BA607">
        <f>Assumptions!$B$32</f>
        <v/>
      </c>
      <c r="BB607">
        <f>Assumptions!$B$31</f>
        <v/>
      </c>
      <c r="BC607">
        <f>Assumptions!$B$30</f>
        <v/>
      </c>
      <c r="BD607">
        <f>Assumptions!$B$29</f>
        <v/>
      </c>
      <c r="BE607">
        <f>Assumptions!$B$28</f>
        <v/>
      </c>
      <c r="BF607">
        <f>P607*Assumptions!$B$141</f>
        <v/>
      </c>
      <c r="BG607">
        <f>P607*Assumptions!$B$128</f>
        <v/>
      </c>
      <c r="BH607">
        <f>P607*Assumptions!$B$129</f>
        <v/>
      </c>
      <c r="BI607">
        <f>P607*Assumptions!$B$14</f>
        <v/>
      </c>
      <c r="BJ607">
        <f>P607*Assumptions!$B$13</f>
        <v/>
      </c>
      <c r="BK607">
        <f>P607*Assumptions!$B$12</f>
        <v/>
      </c>
      <c r="BL607">
        <f>P607*Assumptions!$B$11</f>
        <v/>
      </c>
    </row>
    <row r="608">
      <c r="A608" t="inlineStr">
        <is>
          <t>8000M</t>
        </is>
      </c>
      <c r="B608">
        <f>Assumptions!$B$62</f>
        <v/>
      </c>
      <c r="C608" t="n">
        <v>0</v>
      </c>
      <c r="D608" t="n">
        <v>1</v>
      </c>
      <c r="E608" t="n">
        <v>0</v>
      </c>
      <c r="F608" t="n">
        <v>1</v>
      </c>
      <c r="G608" t="n">
        <v>1</v>
      </c>
      <c r="H608" t="n">
        <v>0</v>
      </c>
      <c r="I608" t="n">
        <v>1</v>
      </c>
      <c r="J608">
        <f>(1-C608)*Assumptions!$B$41+(1-D608)*Assumptions!$B$33+(1-E608)*Assumptions!$B$32+(1-F608)*Assumptions!$B$31+(1-G608)*Assumptions!$B$30+(1-H608)*Assumptions!$B$29+(1-I608)*Assumptions!$B$28</f>
        <v/>
      </c>
      <c r="K608">
        <f>C608*Assumptions!$B$141+D608*Assumptions!$B$128+E608*Assumptions!$B$129+F608*Assumptions!$B$14+G608*Assumptions!$B$13+H608*Assumptions!$B$12+I608*Assumptions!$B$11+Assumptions!$B$133+Assumptions!$B$137+Assumptions!$B$9</f>
        <v/>
      </c>
      <c r="L608">
        <f>B608-J608</f>
        <v/>
      </c>
      <c r="M608">
        <f>IF(K608&gt;0,IF(L608/K608&gt;=Assumptions!$B$37,1,0),0)</f>
        <v/>
      </c>
      <c r="N608">
        <f>K608+M608*Assumptions!$B$153</f>
        <v/>
      </c>
      <c r="O608">
        <f>L608+M608*Assumptions!$B$153*Assumptions!$B$37</f>
        <v/>
      </c>
      <c r="P608">
        <f>IF(N608&gt;0,O608/N608,0)</f>
        <v/>
      </c>
      <c r="Q608">
        <f>IF(C608=1,P608*Assumptions!$B$141,Assumptions!$B$41)</f>
        <v/>
      </c>
      <c r="R608">
        <f>IF(D608=1,P608*Assumptions!$B$128,Assumptions!$B$33)</f>
        <v/>
      </c>
      <c r="S608">
        <f>IF(E608=1,P608*Assumptions!$B$129,Assumptions!$B$32)</f>
        <v/>
      </c>
      <c r="T608">
        <f>IF(F608=1,P608*Assumptions!$B$14,Assumptions!$B$31)</f>
        <v/>
      </c>
      <c r="U608">
        <f>IF(G608=1,P608*Assumptions!$B$13,Assumptions!$B$30)</f>
        <v/>
      </c>
      <c r="V608">
        <f>IF(H608=1,P608*Assumptions!$B$12,Assumptions!$B$29)</f>
        <v/>
      </c>
      <c r="W608">
        <f>IF(I608=1,P608*Assumptions!$B$11,Assumptions!$B$28)</f>
        <v/>
      </c>
      <c r="X608">
        <f>P608*(Assumptions!$B$133+Assumptions!$B$137)</f>
        <v/>
      </c>
      <c r="Y608">
        <f>P608*Assumptions!$B$9</f>
        <v/>
      </c>
      <c r="Z608">
        <f>IF(M608=1,(P608-Assumptions!$B$37)*Assumptions!$B$153,0)</f>
        <v/>
      </c>
      <c r="AA608">
        <f>Q608+R608+S608+T608+U608+V608+W608+X608+Y608+Z608</f>
        <v/>
      </c>
      <c r="AB608" t="n">
        <v>45</v>
      </c>
      <c r="AC608" t="n">
        <v>109</v>
      </c>
      <c r="AD608" t="n">
        <v>13</v>
      </c>
      <c r="AE608" t="n">
        <v>61</v>
      </c>
      <c r="AF608" t="n">
        <v>37</v>
      </c>
      <c r="AG608" t="n">
        <v>41</v>
      </c>
      <c r="AH608" t="n">
        <v>47</v>
      </c>
      <c r="AI608" t="n">
        <v>44</v>
      </c>
      <c r="AJ608">
        <f>INDEX($Q$563:$Q$690,AC608+1)</f>
        <v/>
      </c>
      <c r="AK608">
        <f>INDEX($R$563:$R$690,AD608+1)</f>
        <v/>
      </c>
      <c r="AL608">
        <f>INDEX($S$563:$S$690,AE608+1)</f>
        <v/>
      </c>
      <c r="AM608">
        <f>INDEX($T$563:$T$690,AF608+1)</f>
        <v/>
      </c>
      <c r="AN608">
        <f>INDEX($U$563:$U$690,AG608+1)</f>
        <v/>
      </c>
      <c r="AO608">
        <f>INDEX($V$563:$V$690,AH608+1)</f>
        <v/>
      </c>
      <c r="AP608">
        <f>INDEX($W$563:$W$690,AI608+1)</f>
        <v/>
      </c>
      <c r="AQ608">
        <f>IF(Q608&gt;=AJ608-0.01,1,0)</f>
        <v/>
      </c>
      <c r="AR608">
        <f>IF(R608&gt;=AK608-0.01,1,0)</f>
        <v/>
      </c>
      <c r="AS608">
        <f>IF(S608&gt;=AL608-0.01,1,0)</f>
        <v/>
      </c>
      <c r="AT608">
        <f>IF(T608&gt;=AM608-0.01,1,0)</f>
        <v/>
      </c>
      <c r="AU608">
        <f>IF(U608&gt;=AN608-0.01,1,0)</f>
        <v/>
      </c>
      <c r="AV608">
        <f>IF(V608&gt;=AO608-0.01,1,0)</f>
        <v/>
      </c>
      <c r="AW608">
        <f>IF(W608&gt;=AP608-0.01,1,0)</f>
        <v/>
      </c>
      <c r="AX608">
        <f>AQ608*AR608*AS608*AT608*AU608*AV608*AW608</f>
        <v/>
      </c>
      <c r="AY608">
        <f>Assumptions!$B$41</f>
        <v/>
      </c>
      <c r="AZ608">
        <f>Assumptions!$B$33</f>
        <v/>
      </c>
      <c r="BA608">
        <f>Assumptions!$B$32</f>
        <v/>
      </c>
      <c r="BB608">
        <f>Assumptions!$B$31</f>
        <v/>
      </c>
      <c r="BC608">
        <f>Assumptions!$B$30</f>
        <v/>
      </c>
      <c r="BD608">
        <f>Assumptions!$B$29</f>
        <v/>
      </c>
      <c r="BE608">
        <f>Assumptions!$B$28</f>
        <v/>
      </c>
      <c r="BF608">
        <f>P608*Assumptions!$B$141</f>
        <v/>
      </c>
      <c r="BG608">
        <f>P608*Assumptions!$B$128</f>
        <v/>
      </c>
      <c r="BH608">
        <f>P608*Assumptions!$B$129</f>
        <v/>
      </c>
      <c r="BI608">
        <f>P608*Assumptions!$B$14</f>
        <v/>
      </c>
      <c r="BJ608">
        <f>P608*Assumptions!$B$13</f>
        <v/>
      </c>
      <c r="BK608">
        <f>P608*Assumptions!$B$12</f>
        <v/>
      </c>
      <c r="BL608">
        <f>P608*Assumptions!$B$11</f>
        <v/>
      </c>
    </row>
    <row r="609">
      <c r="A609" t="inlineStr">
        <is>
          <t>8000M</t>
        </is>
      </c>
      <c r="B609">
        <f>Assumptions!$B$62</f>
        <v/>
      </c>
      <c r="C609" t="n">
        <v>0</v>
      </c>
      <c r="D609" t="n">
        <v>1</v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>
        <f>(1-C609)*Assumptions!$B$41+(1-D609)*Assumptions!$B$33+(1-E609)*Assumptions!$B$32+(1-F609)*Assumptions!$B$31+(1-G609)*Assumptions!$B$30+(1-H609)*Assumptions!$B$29+(1-I609)*Assumptions!$B$28</f>
        <v/>
      </c>
      <c r="K609">
        <f>C609*Assumptions!$B$141+D609*Assumptions!$B$128+E609*Assumptions!$B$129+F609*Assumptions!$B$14+G609*Assumptions!$B$13+H609*Assumptions!$B$12+I609*Assumptions!$B$11+Assumptions!$B$133+Assumptions!$B$137+Assumptions!$B$9</f>
        <v/>
      </c>
      <c r="L609">
        <f>B609-J609</f>
        <v/>
      </c>
      <c r="M609">
        <f>IF(K609&gt;0,IF(L609/K609&gt;=Assumptions!$B$37,1,0),0)</f>
        <v/>
      </c>
      <c r="N609">
        <f>K609+M609*Assumptions!$B$153</f>
        <v/>
      </c>
      <c r="O609">
        <f>L609+M609*Assumptions!$B$153*Assumptions!$B$37</f>
        <v/>
      </c>
      <c r="P609">
        <f>IF(N609&gt;0,O609/N609,0)</f>
        <v/>
      </c>
      <c r="Q609">
        <f>IF(C609=1,P609*Assumptions!$B$141,Assumptions!$B$41)</f>
        <v/>
      </c>
      <c r="R609">
        <f>IF(D609=1,P609*Assumptions!$B$128,Assumptions!$B$33)</f>
        <v/>
      </c>
      <c r="S609">
        <f>IF(E609=1,P609*Assumptions!$B$129,Assumptions!$B$32)</f>
        <v/>
      </c>
      <c r="T609">
        <f>IF(F609=1,P609*Assumptions!$B$14,Assumptions!$B$31)</f>
        <v/>
      </c>
      <c r="U609">
        <f>IF(G609=1,P609*Assumptions!$B$13,Assumptions!$B$30)</f>
        <v/>
      </c>
      <c r="V609">
        <f>IF(H609=1,P609*Assumptions!$B$12,Assumptions!$B$29)</f>
        <v/>
      </c>
      <c r="W609">
        <f>IF(I609=1,P609*Assumptions!$B$11,Assumptions!$B$28)</f>
        <v/>
      </c>
      <c r="X609">
        <f>P609*(Assumptions!$B$133+Assumptions!$B$137)</f>
        <v/>
      </c>
      <c r="Y609">
        <f>P609*Assumptions!$B$9</f>
        <v/>
      </c>
      <c r="Z609">
        <f>IF(M609=1,(P609-Assumptions!$B$37)*Assumptions!$B$153,0)</f>
        <v/>
      </c>
      <c r="AA609">
        <f>Q609+R609+S609+T609+U609+V609+W609+X609+Y609+Z609</f>
        <v/>
      </c>
      <c r="AB609" t="n">
        <v>46</v>
      </c>
      <c r="AC609" t="n">
        <v>110</v>
      </c>
      <c r="AD609" t="n">
        <v>14</v>
      </c>
      <c r="AE609" t="n">
        <v>62</v>
      </c>
      <c r="AF609" t="n">
        <v>38</v>
      </c>
      <c r="AG609" t="n">
        <v>42</v>
      </c>
      <c r="AH609" t="n">
        <v>44</v>
      </c>
      <c r="AI609" t="n">
        <v>47</v>
      </c>
      <c r="AJ609">
        <f>INDEX($Q$563:$Q$690,AC609+1)</f>
        <v/>
      </c>
      <c r="AK609">
        <f>INDEX($R$563:$R$690,AD609+1)</f>
        <v/>
      </c>
      <c r="AL609">
        <f>INDEX($S$563:$S$690,AE609+1)</f>
        <v/>
      </c>
      <c r="AM609">
        <f>INDEX($T$563:$T$690,AF609+1)</f>
        <v/>
      </c>
      <c r="AN609">
        <f>INDEX($U$563:$U$690,AG609+1)</f>
        <v/>
      </c>
      <c r="AO609">
        <f>INDEX($V$563:$V$690,AH609+1)</f>
        <v/>
      </c>
      <c r="AP609">
        <f>INDEX($W$563:$W$690,AI609+1)</f>
        <v/>
      </c>
      <c r="AQ609">
        <f>IF(Q609&gt;=AJ609-0.01,1,0)</f>
        <v/>
      </c>
      <c r="AR609">
        <f>IF(R609&gt;=AK609-0.01,1,0)</f>
        <v/>
      </c>
      <c r="AS609">
        <f>IF(S609&gt;=AL609-0.01,1,0)</f>
        <v/>
      </c>
      <c r="AT609">
        <f>IF(T609&gt;=AM609-0.01,1,0)</f>
        <v/>
      </c>
      <c r="AU609">
        <f>IF(U609&gt;=AN609-0.01,1,0)</f>
        <v/>
      </c>
      <c r="AV609">
        <f>IF(V609&gt;=AO609-0.01,1,0)</f>
        <v/>
      </c>
      <c r="AW609">
        <f>IF(W609&gt;=AP609-0.01,1,0)</f>
        <v/>
      </c>
      <c r="AX609">
        <f>AQ609*AR609*AS609*AT609*AU609*AV609*AW609</f>
        <v/>
      </c>
      <c r="AY609">
        <f>Assumptions!$B$41</f>
        <v/>
      </c>
      <c r="AZ609">
        <f>Assumptions!$B$33</f>
        <v/>
      </c>
      <c r="BA609">
        <f>Assumptions!$B$32</f>
        <v/>
      </c>
      <c r="BB609">
        <f>Assumptions!$B$31</f>
        <v/>
      </c>
      <c r="BC609">
        <f>Assumptions!$B$30</f>
        <v/>
      </c>
      <c r="BD609">
        <f>Assumptions!$B$29</f>
        <v/>
      </c>
      <c r="BE609">
        <f>Assumptions!$B$28</f>
        <v/>
      </c>
      <c r="BF609">
        <f>P609*Assumptions!$B$141</f>
        <v/>
      </c>
      <c r="BG609">
        <f>P609*Assumptions!$B$128</f>
        <v/>
      </c>
      <c r="BH609">
        <f>P609*Assumptions!$B$129</f>
        <v/>
      </c>
      <c r="BI609">
        <f>P609*Assumptions!$B$14</f>
        <v/>
      </c>
      <c r="BJ609">
        <f>P609*Assumptions!$B$13</f>
        <v/>
      </c>
      <c r="BK609">
        <f>P609*Assumptions!$B$12</f>
        <v/>
      </c>
      <c r="BL609">
        <f>P609*Assumptions!$B$11</f>
        <v/>
      </c>
    </row>
    <row r="610">
      <c r="A610" t="inlineStr">
        <is>
          <t>8000M</t>
        </is>
      </c>
      <c r="B610">
        <f>Assumptions!$B$62</f>
        <v/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>
        <f>(1-C610)*Assumptions!$B$41+(1-D610)*Assumptions!$B$33+(1-E610)*Assumptions!$B$32+(1-F610)*Assumptions!$B$31+(1-G610)*Assumptions!$B$30+(1-H610)*Assumptions!$B$29+(1-I610)*Assumptions!$B$28</f>
        <v/>
      </c>
      <c r="K610">
        <f>C610*Assumptions!$B$141+D610*Assumptions!$B$128+E610*Assumptions!$B$129+F610*Assumptions!$B$14+G610*Assumptions!$B$13+H610*Assumptions!$B$12+I610*Assumptions!$B$11+Assumptions!$B$133+Assumptions!$B$137+Assumptions!$B$9</f>
        <v/>
      </c>
      <c r="L610">
        <f>B610-J610</f>
        <v/>
      </c>
      <c r="M610">
        <f>IF(K610&gt;0,IF(L610/K610&gt;=Assumptions!$B$37,1,0),0)</f>
        <v/>
      </c>
      <c r="N610">
        <f>K610+M610*Assumptions!$B$153</f>
        <v/>
      </c>
      <c r="O610">
        <f>L610+M610*Assumptions!$B$153*Assumptions!$B$37</f>
        <v/>
      </c>
      <c r="P610">
        <f>IF(N610&gt;0,O610/N610,0)</f>
        <v/>
      </c>
      <c r="Q610">
        <f>IF(C610=1,P610*Assumptions!$B$141,Assumptions!$B$41)</f>
        <v/>
      </c>
      <c r="R610">
        <f>IF(D610=1,P610*Assumptions!$B$128,Assumptions!$B$33)</f>
        <v/>
      </c>
      <c r="S610">
        <f>IF(E610=1,P610*Assumptions!$B$129,Assumptions!$B$32)</f>
        <v/>
      </c>
      <c r="T610">
        <f>IF(F610=1,P610*Assumptions!$B$14,Assumptions!$B$31)</f>
        <v/>
      </c>
      <c r="U610">
        <f>IF(G610=1,P610*Assumptions!$B$13,Assumptions!$B$30)</f>
        <v/>
      </c>
      <c r="V610">
        <f>IF(H610=1,P610*Assumptions!$B$12,Assumptions!$B$29)</f>
        <v/>
      </c>
      <c r="W610">
        <f>IF(I610=1,P610*Assumptions!$B$11,Assumptions!$B$28)</f>
        <v/>
      </c>
      <c r="X610">
        <f>P610*(Assumptions!$B$133+Assumptions!$B$137)</f>
        <v/>
      </c>
      <c r="Y610">
        <f>P610*Assumptions!$B$9</f>
        <v/>
      </c>
      <c r="Z610">
        <f>IF(M610=1,(P610-Assumptions!$B$37)*Assumptions!$B$153,0)</f>
        <v/>
      </c>
      <c r="AA610">
        <f>Q610+R610+S610+T610+U610+V610+W610+X610+Y610+Z610</f>
        <v/>
      </c>
      <c r="AB610" t="n">
        <v>47</v>
      </c>
      <c r="AC610" t="n">
        <v>111</v>
      </c>
      <c r="AD610" t="n">
        <v>15</v>
      </c>
      <c r="AE610" t="n">
        <v>63</v>
      </c>
      <c r="AF610" t="n">
        <v>39</v>
      </c>
      <c r="AG610" t="n">
        <v>43</v>
      </c>
      <c r="AH610" t="n">
        <v>45</v>
      </c>
      <c r="AI610" t="n">
        <v>46</v>
      </c>
      <c r="AJ610">
        <f>INDEX($Q$563:$Q$690,AC610+1)</f>
        <v/>
      </c>
      <c r="AK610">
        <f>INDEX($R$563:$R$690,AD610+1)</f>
        <v/>
      </c>
      <c r="AL610">
        <f>INDEX($S$563:$S$690,AE610+1)</f>
        <v/>
      </c>
      <c r="AM610">
        <f>INDEX($T$563:$T$690,AF610+1)</f>
        <v/>
      </c>
      <c r="AN610">
        <f>INDEX($U$563:$U$690,AG610+1)</f>
        <v/>
      </c>
      <c r="AO610">
        <f>INDEX($V$563:$V$690,AH610+1)</f>
        <v/>
      </c>
      <c r="AP610">
        <f>INDEX($W$563:$W$690,AI610+1)</f>
        <v/>
      </c>
      <c r="AQ610">
        <f>IF(Q610&gt;=AJ610-0.01,1,0)</f>
        <v/>
      </c>
      <c r="AR610">
        <f>IF(R610&gt;=AK610-0.01,1,0)</f>
        <v/>
      </c>
      <c r="AS610">
        <f>IF(S610&gt;=AL610-0.01,1,0)</f>
        <v/>
      </c>
      <c r="AT610">
        <f>IF(T610&gt;=AM610-0.01,1,0)</f>
        <v/>
      </c>
      <c r="AU610">
        <f>IF(U610&gt;=AN610-0.01,1,0)</f>
        <v/>
      </c>
      <c r="AV610">
        <f>IF(V610&gt;=AO610-0.01,1,0)</f>
        <v/>
      </c>
      <c r="AW610">
        <f>IF(W610&gt;=AP610-0.01,1,0)</f>
        <v/>
      </c>
      <c r="AX610">
        <f>AQ610*AR610*AS610*AT610*AU610*AV610*AW610</f>
        <v/>
      </c>
      <c r="AY610">
        <f>Assumptions!$B$41</f>
        <v/>
      </c>
      <c r="AZ610">
        <f>Assumptions!$B$33</f>
        <v/>
      </c>
      <c r="BA610">
        <f>Assumptions!$B$32</f>
        <v/>
      </c>
      <c r="BB610">
        <f>Assumptions!$B$31</f>
        <v/>
      </c>
      <c r="BC610">
        <f>Assumptions!$B$30</f>
        <v/>
      </c>
      <c r="BD610">
        <f>Assumptions!$B$29</f>
        <v/>
      </c>
      <c r="BE610">
        <f>Assumptions!$B$28</f>
        <v/>
      </c>
      <c r="BF610">
        <f>P610*Assumptions!$B$141</f>
        <v/>
      </c>
      <c r="BG610">
        <f>P610*Assumptions!$B$128</f>
        <v/>
      </c>
      <c r="BH610">
        <f>P610*Assumptions!$B$129</f>
        <v/>
      </c>
      <c r="BI610">
        <f>P610*Assumptions!$B$14</f>
        <v/>
      </c>
      <c r="BJ610">
        <f>P610*Assumptions!$B$13</f>
        <v/>
      </c>
      <c r="BK610">
        <f>P610*Assumptions!$B$12</f>
        <v/>
      </c>
      <c r="BL610">
        <f>P610*Assumptions!$B$11</f>
        <v/>
      </c>
    </row>
    <row r="611">
      <c r="A611" t="inlineStr">
        <is>
          <t>8000M</t>
        </is>
      </c>
      <c r="B611">
        <f>Assumptions!$B$62</f>
        <v/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>
        <f>(1-C611)*Assumptions!$B$41+(1-D611)*Assumptions!$B$33+(1-E611)*Assumptions!$B$32+(1-F611)*Assumptions!$B$31+(1-G611)*Assumptions!$B$30+(1-H611)*Assumptions!$B$29+(1-I611)*Assumptions!$B$28</f>
        <v/>
      </c>
      <c r="K611">
        <f>C611*Assumptions!$B$141+D611*Assumptions!$B$128+E611*Assumptions!$B$129+F611*Assumptions!$B$14+G611*Assumptions!$B$13+H611*Assumptions!$B$12+I611*Assumptions!$B$11+Assumptions!$B$133+Assumptions!$B$137+Assumptions!$B$9</f>
        <v/>
      </c>
      <c r="L611">
        <f>B611-J611</f>
        <v/>
      </c>
      <c r="M611">
        <f>IF(K611&gt;0,IF(L611/K611&gt;=Assumptions!$B$37,1,0),0)</f>
        <v/>
      </c>
      <c r="N611">
        <f>K611+M611*Assumptions!$B$153</f>
        <v/>
      </c>
      <c r="O611">
        <f>L611+M611*Assumptions!$B$153*Assumptions!$B$37</f>
        <v/>
      </c>
      <c r="P611">
        <f>IF(N611&gt;0,O611/N611,0)</f>
        <v/>
      </c>
      <c r="Q611">
        <f>IF(C611=1,P611*Assumptions!$B$141,Assumptions!$B$41)</f>
        <v/>
      </c>
      <c r="R611">
        <f>IF(D611=1,P611*Assumptions!$B$128,Assumptions!$B$33)</f>
        <v/>
      </c>
      <c r="S611">
        <f>IF(E611=1,P611*Assumptions!$B$129,Assumptions!$B$32)</f>
        <v/>
      </c>
      <c r="T611">
        <f>IF(F611=1,P611*Assumptions!$B$14,Assumptions!$B$31)</f>
        <v/>
      </c>
      <c r="U611">
        <f>IF(G611=1,P611*Assumptions!$B$13,Assumptions!$B$30)</f>
        <v/>
      </c>
      <c r="V611">
        <f>IF(H611=1,P611*Assumptions!$B$12,Assumptions!$B$29)</f>
        <v/>
      </c>
      <c r="W611">
        <f>IF(I611=1,P611*Assumptions!$B$11,Assumptions!$B$28)</f>
        <v/>
      </c>
      <c r="X611">
        <f>P611*(Assumptions!$B$133+Assumptions!$B$137)</f>
        <v/>
      </c>
      <c r="Y611">
        <f>P611*Assumptions!$B$9</f>
        <v/>
      </c>
      <c r="Z611">
        <f>IF(M611=1,(P611-Assumptions!$B$37)*Assumptions!$B$153,0)</f>
        <v/>
      </c>
      <c r="AA611">
        <f>Q611+R611+S611+T611+U611+V611+W611+X611+Y611+Z611</f>
        <v/>
      </c>
      <c r="AB611" t="n">
        <v>48</v>
      </c>
      <c r="AC611" t="n">
        <v>112</v>
      </c>
      <c r="AD611" t="n">
        <v>16</v>
      </c>
      <c r="AE611" t="n">
        <v>32</v>
      </c>
      <c r="AF611" t="n">
        <v>56</v>
      </c>
      <c r="AG611" t="n">
        <v>52</v>
      </c>
      <c r="AH611" t="n">
        <v>50</v>
      </c>
      <c r="AI611" t="n">
        <v>49</v>
      </c>
      <c r="AJ611">
        <f>INDEX($Q$563:$Q$690,AC611+1)</f>
        <v/>
      </c>
      <c r="AK611">
        <f>INDEX($R$563:$R$690,AD611+1)</f>
        <v/>
      </c>
      <c r="AL611">
        <f>INDEX($S$563:$S$690,AE611+1)</f>
        <v/>
      </c>
      <c r="AM611">
        <f>INDEX($T$563:$T$690,AF611+1)</f>
        <v/>
      </c>
      <c r="AN611">
        <f>INDEX($U$563:$U$690,AG611+1)</f>
        <v/>
      </c>
      <c r="AO611">
        <f>INDEX($V$563:$V$690,AH611+1)</f>
        <v/>
      </c>
      <c r="AP611">
        <f>INDEX($W$563:$W$690,AI611+1)</f>
        <v/>
      </c>
      <c r="AQ611">
        <f>IF(Q611&gt;=AJ611-0.01,1,0)</f>
        <v/>
      </c>
      <c r="AR611">
        <f>IF(R611&gt;=AK611-0.01,1,0)</f>
        <v/>
      </c>
      <c r="AS611">
        <f>IF(S611&gt;=AL611-0.01,1,0)</f>
        <v/>
      </c>
      <c r="AT611">
        <f>IF(T611&gt;=AM611-0.01,1,0)</f>
        <v/>
      </c>
      <c r="AU611">
        <f>IF(U611&gt;=AN611-0.01,1,0)</f>
        <v/>
      </c>
      <c r="AV611">
        <f>IF(V611&gt;=AO611-0.01,1,0)</f>
        <v/>
      </c>
      <c r="AW611">
        <f>IF(W611&gt;=AP611-0.01,1,0)</f>
        <v/>
      </c>
      <c r="AX611">
        <f>AQ611*AR611*AS611*AT611*AU611*AV611*AW611</f>
        <v/>
      </c>
      <c r="AY611">
        <f>Assumptions!$B$41</f>
        <v/>
      </c>
      <c r="AZ611">
        <f>Assumptions!$B$33</f>
        <v/>
      </c>
      <c r="BA611">
        <f>Assumptions!$B$32</f>
        <v/>
      </c>
      <c r="BB611">
        <f>Assumptions!$B$31</f>
        <v/>
      </c>
      <c r="BC611">
        <f>Assumptions!$B$30</f>
        <v/>
      </c>
      <c r="BD611">
        <f>Assumptions!$B$29</f>
        <v/>
      </c>
      <c r="BE611">
        <f>Assumptions!$B$28</f>
        <v/>
      </c>
      <c r="BF611">
        <f>P611*Assumptions!$B$141</f>
        <v/>
      </c>
      <c r="BG611">
        <f>P611*Assumptions!$B$128</f>
        <v/>
      </c>
      <c r="BH611">
        <f>P611*Assumptions!$B$129</f>
        <v/>
      </c>
      <c r="BI611">
        <f>P611*Assumptions!$B$14</f>
        <v/>
      </c>
      <c r="BJ611">
        <f>P611*Assumptions!$B$13</f>
        <v/>
      </c>
      <c r="BK611">
        <f>P611*Assumptions!$B$12</f>
        <v/>
      </c>
      <c r="BL611">
        <f>P611*Assumptions!$B$11</f>
        <v/>
      </c>
    </row>
    <row r="612">
      <c r="A612" t="inlineStr">
        <is>
          <t>8000M</t>
        </is>
      </c>
      <c r="B612">
        <f>Assumptions!$B$62</f>
        <v/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>
        <f>(1-C612)*Assumptions!$B$41+(1-D612)*Assumptions!$B$33+(1-E612)*Assumptions!$B$32+(1-F612)*Assumptions!$B$31+(1-G612)*Assumptions!$B$30+(1-H612)*Assumptions!$B$29+(1-I612)*Assumptions!$B$28</f>
        <v/>
      </c>
      <c r="K612">
        <f>C612*Assumptions!$B$141+D612*Assumptions!$B$128+E612*Assumptions!$B$129+F612*Assumptions!$B$14+G612*Assumptions!$B$13+H612*Assumptions!$B$12+I612*Assumptions!$B$11+Assumptions!$B$133+Assumptions!$B$137+Assumptions!$B$9</f>
        <v/>
      </c>
      <c r="L612">
        <f>B612-J612</f>
        <v/>
      </c>
      <c r="M612">
        <f>IF(K612&gt;0,IF(L612/K612&gt;=Assumptions!$B$37,1,0),0)</f>
        <v/>
      </c>
      <c r="N612">
        <f>K612+M612*Assumptions!$B$153</f>
        <v/>
      </c>
      <c r="O612">
        <f>L612+M612*Assumptions!$B$153*Assumptions!$B$37</f>
        <v/>
      </c>
      <c r="P612">
        <f>IF(N612&gt;0,O612/N612,0)</f>
        <v/>
      </c>
      <c r="Q612">
        <f>IF(C612=1,P612*Assumptions!$B$141,Assumptions!$B$41)</f>
        <v/>
      </c>
      <c r="R612">
        <f>IF(D612=1,P612*Assumptions!$B$128,Assumptions!$B$33)</f>
        <v/>
      </c>
      <c r="S612">
        <f>IF(E612=1,P612*Assumptions!$B$129,Assumptions!$B$32)</f>
        <v/>
      </c>
      <c r="T612">
        <f>IF(F612=1,P612*Assumptions!$B$14,Assumptions!$B$31)</f>
        <v/>
      </c>
      <c r="U612">
        <f>IF(G612=1,P612*Assumptions!$B$13,Assumptions!$B$30)</f>
        <v/>
      </c>
      <c r="V612">
        <f>IF(H612=1,P612*Assumptions!$B$12,Assumptions!$B$29)</f>
        <v/>
      </c>
      <c r="W612">
        <f>IF(I612=1,P612*Assumptions!$B$11,Assumptions!$B$28)</f>
        <v/>
      </c>
      <c r="X612">
        <f>P612*(Assumptions!$B$133+Assumptions!$B$137)</f>
        <v/>
      </c>
      <c r="Y612">
        <f>P612*Assumptions!$B$9</f>
        <v/>
      </c>
      <c r="Z612">
        <f>IF(M612=1,(P612-Assumptions!$B$37)*Assumptions!$B$153,0)</f>
        <v/>
      </c>
      <c r="AA612">
        <f>Q612+R612+S612+T612+U612+V612+W612+X612+Y612+Z612</f>
        <v/>
      </c>
      <c r="AB612" t="n">
        <v>49</v>
      </c>
      <c r="AC612" t="n">
        <v>113</v>
      </c>
      <c r="AD612" t="n">
        <v>17</v>
      </c>
      <c r="AE612" t="n">
        <v>33</v>
      </c>
      <c r="AF612" t="n">
        <v>57</v>
      </c>
      <c r="AG612" t="n">
        <v>53</v>
      </c>
      <c r="AH612" t="n">
        <v>51</v>
      </c>
      <c r="AI612" t="n">
        <v>48</v>
      </c>
      <c r="AJ612">
        <f>INDEX($Q$563:$Q$690,AC612+1)</f>
        <v/>
      </c>
      <c r="AK612">
        <f>INDEX($R$563:$R$690,AD612+1)</f>
        <v/>
      </c>
      <c r="AL612">
        <f>INDEX($S$563:$S$690,AE612+1)</f>
        <v/>
      </c>
      <c r="AM612">
        <f>INDEX($T$563:$T$690,AF612+1)</f>
        <v/>
      </c>
      <c r="AN612">
        <f>INDEX($U$563:$U$690,AG612+1)</f>
        <v/>
      </c>
      <c r="AO612">
        <f>INDEX($V$563:$V$690,AH612+1)</f>
        <v/>
      </c>
      <c r="AP612">
        <f>INDEX($W$563:$W$690,AI612+1)</f>
        <v/>
      </c>
      <c r="AQ612">
        <f>IF(Q612&gt;=AJ612-0.01,1,0)</f>
        <v/>
      </c>
      <c r="AR612">
        <f>IF(R612&gt;=AK612-0.01,1,0)</f>
        <v/>
      </c>
      <c r="AS612">
        <f>IF(S612&gt;=AL612-0.01,1,0)</f>
        <v/>
      </c>
      <c r="AT612">
        <f>IF(T612&gt;=AM612-0.01,1,0)</f>
        <v/>
      </c>
      <c r="AU612">
        <f>IF(U612&gt;=AN612-0.01,1,0)</f>
        <v/>
      </c>
      <c r="AV612">
        <f>IF(V612&gt;=AO612-0.01,1,0)</f>
        <v/>
      </c>
      <c r="AW612">
        <f>IF(W612&gt;=AP612-0.01,1,0)</f>
        <v/>
      </c>
      <c r="AX612">
        <f>AQ612*AR612*AS612*AT612*AU612*AV612*AW612</f>
        <v/>
      </c>
      <c r="AY612">
        <f>Assumptions!$B$41</f>
        <v/>
      </c>
      <c r="AZ612">
        <f>Assumptions!$B$33</f>
        <v/>
      </c>
      <c r="BA612">
        <f>Assumptions!$B$32</f>
        <v/>
      </c>
      <c r="BB612">
        <f>Assumptions!$B$31</f>
        <v/>
      </c>
      <c r="BC612">
        <f>Assumptions!$B$30</f>
        <v/>
      </c>
      <c r="BD612">
        <f>Assumptions!$B$29</f>
        <v/>
      </c>
      <c r="BE612">
        <f>Assumptions!$B$28</f>
        <v/>
      </c>
      <c r="BF612">
        <f>P612*Assumptions!$B$141</f>
        <v/>
      </c>
      <c r="BG612">
        <f>P612*Assumptions!$B$128</f>
        <v/>
      </c>
      <c r="BH612">
        <f>P612*Assumptions!$B$129</f>
        <v/>
      </c>
      <c r="BI612">
        <f>P612*Assumptions!$B$14</f>
        <v/>
      </c>
      <c r="BJ612">
        <f>P612*Assumptions!$B$13</f>
        <v/>
      </c>
      <c r="BK612">
        <f>P612*Assumptions!$B$12</f>
        <v/>
      </c>
      <c r="BL612">
        <f>P612*Assumptions!$B$11</f>
        <v/>
      </c>
    </row>
    <row r="613">
      <c r="A613" t="inlineStr">
        <is>
          <t>8000M</t>
        </is>
      </c>
      <c r="B613">
        <f>Assumptions!$B$62</f>
        <v/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>
        <f>(1-C613)*Assumptions!$B$41+(1-D613)*Assumptions!$B$33+(1-E613)*Assumptions!$B$32+(1-F613)*Assumptions!$B$31+(1-G613)*Assumptions!$B$30+(1-H613)*Assumptions!$B$29+(1-I613)*Assumptions!$B$28</f>
        <v/>
      </c>
      <c r="K613">
        <f>C613*Assumptions!$B$141+D613*Assumptions!$B$128+E613*Assumptions!$B$129+F613*Assumptions!$B$14+G613*Assumptions!$B$13+H613*Assumptions!$B$12+I613*Assumptions!$B$11+Assumptions!$B$133+Assumptions!$B$137+Assumptions!$B$9</f>
        <v/>
      </c>
      <c r="L613">
        <f>B613-J613</f>
        <v/>
      </c>
      <c r="M613">
        <f>IF(K613&gt;0,IF(L613/K613&gt;=Assumptions!$B$37,1,0),0)</f>
        <v/>
      </c>
      <c r="N613">
        <f>K613+M613*Assumptions!$B$153</f>
        <v/>
      </c>
      <c r="O613">
        <f>L613+M613*Assumptions!$B$153*Assumptions!$B$37</f>
        <v/>
      </c>
      <c r="P613">
        <f>IF(N613&gt;0,O613/N613,0)</f>
        <v/>
      </c>
      <c r="Q613">
        <f>IF(C613=1,P613*Assumptions!$B$141,Assumptions!$B$41)</f>
        <v/>
      </c>
      <c r="R613">
        <f>IF(D613=1,P613*Assumptions!$B$128,Assumptions!$B$33)</f>
        <v/>
      </c>
      <c r="S613">
        <f>IF(E613=1,P613*Assumptions!$B$129,Assumptions!$B$32)</f>
        <v/>
      </c>
      <c r="T613">
        <f>IF(F613=1,P613*Assumptions!$B$14,Assumptions!$B$31)</f>
        <v/>
      </c>
      <c r="U613">
        <f>IF(G613=1,P613*Assumptions!$B$13,Assumptions!$B$30)</f>
        <v/>
      </c>
      <c r="V613">
        <f>IF(H613=1,P613*Assumptions!$B$12,Assumptions!$B$29)</f>
        <v/>
      </c>
      <c r="W613">
        <f>IF(I613=1,P613*Assumptions!$B$11,Assumptions!$B$28)</f>
        <v/>
      </c>
      <c r="X613">
        <f>P613*(Assumptions!$B$133+Assumptions!$B$137)</f>
        <v/>
      </c>
      <c r="Y613">
        <f>P613*Assumptions!$B$9</f>
        <v/>
      </c>
      <c r="Z613">
        <f>IF(M613=1,(P613-Assumptions!$B$37)*Assumptions!$B$153,0)</f>
        <v/>
      </c>
      <c r="AA613">
        <f>Q613+R613+S613+T613+U613+V613+W613+X613+Y613+Z613</f>
        <v/>
      </c>
      <c r="AB613" t="n">
        <v>50</v>
      </c>
      <c r="AC613" t="n">
        <v>114</v>
      </c>
      <c r="AD613" t="n">
        <v>18</v>
      </c>
      <c r="AE613" t="n">
        <v>34</v>
      </c>
      <c r="AF613" t="n">
        <v>58</v>
      </c>
      <c r="AG613" t="n">
        <v>54</v>
      </c>
      <c r="AH613" t="n">
        <v>48</v>
      </c>
      <c r="AI613" t="n">
        <v>51</v>
      </c>
      <c r="AJ613">
        <f>INDEX($Q$563:$Q$690,AC613+1)</f>
        <v/>
      </c>
      <c r="AK613">
        <f>INDEX($R$563:$R$690,AD613+1)</f>
        <v/>
      </c>
      <c r="AL613">
        <f>INDEX($S$563:$S$690,AE613+1)</f>
        <v/>
      </c>
      <c r="AM613">
        <f>INDEX($T$563:$T$690,AF613+1)</f>
        <v/>
      </c>
      <c r="AN613">
        <f>INDEX($U$563:$U$690,AG613+1)</f>
        <v/>
      </c>
      <c r="AO613">
        <f>INDEX($V$563:$V$690,AH613+1)</f>
        <v/>
      </c>
      <c r="AP613">
        <f>INDEX($W$563:$W$690,AI613+1)</f>
        <v/>
      </c>
      <c r="AQ613">
        <f>IF(Q613&gt;=AJ613-0.01,1,0)</f>
        <v/>
      </c>
      <c r="AR613">
        <f>IF(R613&gt;=AK613-0.01,1,0)</f>
        <v/>
      </c>
      <c r="AS613">
        <f>IF(S613&gt;=AL613-0.01,1,0)</f>
        <v/>
      </c>
      <c r="AT613">
        <f>IF(T613&gt;=AM613-0.01,1,0)</f>
        <v/>
      </c>
      <c r="AU613">
        <f>IF(U613&gt;=AN613-0.01,1,0)</f>
        <v/>
      </c>
      <c r="AV613">
        <f>IF(V613&gt;=AO613-0.01,1,0)</f>
        <v/>
      </c>
      <c r="AW613">
        <f>IF(W613&gt;=AP613-0.01,1,0)</f>
        <v/>
      </c>
      <c r="AX613">
        <f>AQ613*AR613*AS613*AT613*AU613*AV613*AW613</f>
        <v/>
      </c>
      <c r="AY613">
        <f>Assumptions!$B$41</f>
        <v/>
      </c>
      <c r="AZ613">
        <f>Assumptions!$B$33</f>
        <v/>
      </c>
      <c r="BA613">
        <f>Assumptions!$B$32</f>
        <v/>
      </c>
      <c r="BB613">
        <f>Assumptions!$B$31</f>
        <v/>
      </c>
      <c r="BC613">
        <f>Assumptions!$B$30</f>
        <v/>
      </c>
      <c r="BD613">
        <f>Assumptions!$B$29</f>
        <v/>
      </c>
      <c r="BE613">
        <f>Assumptions!$B$28</f>
        <v/>
      </c>
      <c r="BF613">
        <f>P613*Assumptions!$B$141</f>
        <v/>
      </c>
      <c r="BG613">
        <f>P613*Assumptions!$B$128</f>
        <v/>
      </c>
      <c r="BH613">
        <f>P613*Assumptions!$B$129</f>
        <v/>
      </c>
      <c r="BI613">
        <f>P613*Assumptions!$B$14</f>
        <v/>
      </c>
      <c r="BJ613">
        <f>P613*Assumptions!$B$13</f>
        <v/>
      </c>
      <c r="BK613">
        <f>P613*Assumptions!$B$12</f>
        <v/>
      </c>
      <c r="BL613">
        <f>P613*Assumptions!$B$11</f>
        <v/>
      </c>
    </row>
    <row r="614">
      <c r="A614" t="inlineStr">
        <is>
          <t>8000M</t>
        </is>
      </c>
      <c r="B614">
        <f>Assumptions!$B$62</f>
        <v/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1</v>
      </c>
      <c r="I614" t="n">
        <v>1</v>
      </c>
      <c r="J614">
        <f>(1-C614)*Assumptions!$B$41+(1-D614)*Assumptions!$B$33+(1-E614)*Assumptions!$B$32+(1-F614)*Assumptions!$B$31+(1-G614)*Assumptions!$B$30+(1-H614)*Assumptions!$B$29+(1-I614)*Assumptions!$B$28</f>
        <v/>
      </c>
      <c r="K614">
        <f>C614*Assumptions!$B$141+D614*Assumptions!$B$128+E614*Assumptions!$B$129+F614*Assumptions!$B$14+G614*Assumptions!$B$13+H614*Assumptions!$B$12+I614*Assumptions!$B$11+Assumptions!$B$133+Assumptions!$B$137+Assumptions!$B$9</f>
        <v/>
      </c>
      <c r="L614">
        <f>B614-J614</f>
        <v/>
      </c>
      <c r="M614">
        <f>IF(K614&gt;0,IF(L614/K614&gt;=Assumptions!$B$37,1,0),0)</f>
        <v/>
      </c>
      <c r="N614">
        <f>K614+M614*Assumptions!$B$153</f>
        <v/>
      </c>
      <c r="O614">
        <f>L614+M614*Assumptions!$B$153*Assumptions!$B$37</f>
        <v/>
      </c>
      <c r="P614">
        <f>IF(N614&gt;0,O614/N614,0)</f>
        <v/>
      </c>
      <c r="Q614">
        <f>IF(C614=1,P614*Assumptions!$B$141,Assumptions!$B$41)</f>
        <v/>
      </c>
      <c r="R614">
        <f>IF(D614=1,P614*Assumptions!$B$128,Assumptions!$B$33)</f>
        <v/>
      </c>
      <c r="S614">
        <f>IF(E614=1,P614*Assumptions!$B$129,Assumptions!$B$32)</f>
        <v/>
      </c>
      <c r="T614">
        <f>IF(F614=1,P614*Assumptions!$B$14,Assumptions!$B$31)</f>
        <v/>
      </c>
      <c r="U614">
        <f>IF(G614=1,P614*Assumptions!$B$13,Assumptions!$B$30)</f>
        <v/>
      </c>
      <c r="V614">
        <f>IF(H614=1,P614*Assumptions!$B$12,Assumptions!$B$29)</f>
        <v/>
      </c>
      <c r="W614">
        <f>IF(I614=1,P614*Assumptions!$B$11,Assumptions!$B$28)</f>
        <v/>
      </c>
      <c r="X614">
        <f>P614*(Assumptions!$B$133+Assumptions!$B$137)</f>
        <v/>
      </c>
      <c r="Y614">
        <f>P614*Assumptions!$B$9</f>
        <v/>
      </c>
      <c r="Z614">
        <f>IF(M614=1,(P614-Assumptions!$B$37)*Assumptions!$B$153,0)</f>
        <v/>
      </c>
      <c r="AA614">
        <f>Q614+R614+S614+T614+U614+V614+W614+X614+Y614+Z614</f>
        <v/>
      </c>
      <c r="AB614" t="n">
        <v>51</v>
      </c>
      <c r="AC614" t="n">
        <v>115</v>
      </c>
      <c r="AD614" t="n">
        <v>19</v>
      </c>
      <c r="AE614" t="n">
        <v>35</v>
      </c>
      <c r="AF614" t="n">
        <v>59</v>
      </c>
      <c r="AG614" t="n">
        <v>55</v>
      </c>
      <c r="AH614" t="n">
        <v>49</v>
      </c>
      <c r="AI614" t="n">
        <v>50</v>
      </c>
      <c r="AJ614">
        <f>INDEX($Q$563:$Q$690,AC614+1)</f>
        <v/>
      </c>
      <c r="AK614">
        <f>INDEX($R$563:$R$690,AD614+1)</f>
        <v/>
      </c>
      <c r="AL614">
        <f>INDEX($S$563:$S$690,AE614+1)</f>
        <v/>
      </c>
      <c r="AM614">
        <f>INDEX($T$563:$T$690,AF614+1)</f>
        <v/>
      </c>
      <c r="AN614">
        <f>INDEX($U$563:$U$690,AG614+1)</f>
        <v/>
      </c>
      <c r="AO614">
        <f>INDEX($V$563:$V$690,AH614+1)</f>
        <v/>
      </c>
      <c r="AP614">
        <f>INDEX($W$563:$W$690,AI614+1)</f>
        <v/>
      </c>
      <c r="AQ614">
        <f>IF(Q614&gt;=AJ614-0.01,1,0)</f>
        <v/>
      </c>
      <c r="AR614">
        <f>IF(R614&gt;=AK614-0.01,1,0)</f>
        <v/>
      </c>
      <c r="AS614">
        <f>IF(S614&gt;=AL614-0.01,1,0)</f>
        <v/>
      </c>
      <c r="AT614">
        <f>IF(T614&gt;=AM614-0.01,1,0)</f>
        <v/>
      </c>
      <c r="AU614">
        <f>IF(U614&gt;=AN614-0.01,1,0)</f>
        <v/>
      </c>
      <c r="AV614">
        <f>IF(V614&gt;=AO614-0.01,1,0)</f>
        <v/>
      </c>
      <c r="AW614">
        <f>IF(W614&gt;=AP614-0.01,1,0)</f>
        <v/>
      </c>
      <c r="AX614">
        <f>AQ614*AR614*AS614*AT614*AU614*AV614*AW614</f>
        <v/>
      </c>
      <c r="AY614">
        <f>Assumptions!$B$41</f>
        <v/>
      </c>
      <c r="AZ614">
        <f>Assumptions!$B$33</f>
        <v/>
      </c>
      <c r="BA614">
        <f>Assumptions!$B$32</f>
        <v/>
      </c>
      <c r="BB614">
        <f>Assumptions!$B$31</f>
        <v/>
      </c>
      <c r="BC614">
        <f>Assumptions!$B$30</f>
        <v/>
      </c>
      <c r="BD614">
        <f>Assumptions!$B$29</f>
        <v/>
      </c>
      <c r="BE614">
        <f>Assumptions!$B$28</f>
        <v/>
      </c>
      <c r="BF614">
        <f>P614*Assumptions!$B$141</f>
        <v/>
      </c>
      <c r="BG614">
        <f>P614*Assumptions!$B$128</f>
        <v/>
      </c>
      <c r="BH614">
        <f>P614*Assumptions!$B$129</f>
        <v/>
      </c>
      <c r="BI614">
        <f>P614*Assumptions!$B$14</f>
        <v/>
      </c>
      <c r="BJ614">
        <f>P614*Assumptions!$B$13</f>
        <v/>
      </c>
      <c r="BK614">
        <f>P614*Assumptions!$B$12</f>
        <v/>
      </c>
      <c r="BL614">
        <f>P614*Assumptions!$B$11</f>
        <v/>
      </c>
    </row>
    <row r="615">
      <c r="A615" t="inlineStr">
        <is>
          <t>8000M</t>
        </is>
      </c>
      <c r="B615">
        <f>Assumptions!$B$62</f>
        <v/>
      </c>
      <c r="C615" t="n">
        <v>0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>
        <f>(1-C615)*Assumptions!$B$41+(1-D615)*Assumptions!$B$33+(1-E615)*Assumptions!$B$32+(1-F615)*Assumptions!$B$31+(1-G615)*Assumptions!$B$30+(1-H615)*Assumptions!$B$29+(1-I615)*Assumptions!$B$28</f>
        <v/>
      </c>
      <c r="K615">
        <f>C615*Assumptions!$B$141+D615*Assumptions!$B$128+E615*Assumptions!$B$129+F615*Assumptions!$B$14+G615*Assumptions!$B$13+H615*Assumptions!$B$12+I615*Assumptions!$B$11+Assumptions!$B$133+Assumptions!$B$137+Assumptions!$B$9</f>
        <v/>
      </c>
      <c r="L615">
        <f>B615-J615</f>
        <v/>
      </c>
      <c r="M615">
        <f>IF(K615&gt;0,IF(L615/K615&gt;=Assumptions!$B$37,1,0),0)</f>
        <v/>
      </c>
      <c r="N615">
        <f>K615+M615*Assumptions!$B$153</f>
        <v/>
      </c>
      <c r="O615">
        <f>L615+M615*Assumptions!$B$153*Assumptions!$B$37</f>
        <v/>
      </c>
      <c r="P615">
        <f>IF(N615&gt;0,O615/N615,0)</f>
        <v/>
      </c>
      <c r="Q615">
        <f>IF(C615=1,P615*Assumptions!$B$141,Assumptions!$B$41)</f>
        <v/>
      </c>
      <c r="R615">
        <f>IF(D615=1,P615*Assumptions!$B$128,Assumptions!$B$33)</f>
        <v/>
      </c>
      <c r="S615">
        <f>IF(E615=1,P615*Assumptions!$B$129,Assumptions!$B$32)</f>
        <v/>
      </c>
      <c r="T615">
        <f>IF(F615=1,P615*Assumptions!$B$14,Assumptions!$B$31)</f>
        <v/>
      </c>
      <c r="U615">
        <f>IF(G615=1,P615*Assumptions!$B$13,Assumptions!$B$30)</f>
        <v/>
      </c>
      <c r="V615">
        <f>IF(H615=1,P615*Assumptions!$B$12,Assumptions!$B$29)</f>
        <v/>
      </c>
      <c r="W615">
        <f>IF(I615=1,P615*Assumptions!$B$11,Assumptions!$B$28)</f>
        <v/>
      </c>
      <c r="X615">
        <f>P615*(Assumptions!$B$133+Assumptions!$B$137)</f>
        <v/>
      </c>
      <c r="Y615">
        <f>P615*Assumptions!$B$9</f>
        <v/>
      </c>
      <c r="Z615">
        <f>IF(M615=1,(P615-Assumptions!$B$37)*Assumptions!$B$153,0)</f>
        <v/>
      </c>
      <c r="AA615">
        <f>Q615+R615+S615+T615+U615+V615+W615+X615+Y615+Z615</f>
        <v/>
      </c>
      <c r="AB615" t="n">
        <v>52</v>
      </c>
      <c r="AC615" t="n">
        <v>116</v>
      </c>
      <c r="AD615" t="n">
        <v>20</v>
      </c>
      <c r="AE615" t="n">
        <v>36</v>
      </c>
      <c r="AF615" t="n">
        <v>60</v>
      </c>
      <c r="AG615" t="n">
        <v>48</v>
      </c>
      <c r="AH615" t="n">
        <v>54</v>
      </c>
      <c r="AI615" t="n">
        <v>53</v>
      </c>
      <c r="AJ615">
        <f>INDEX($Q$563:$Q$690,AC615+1)</f>
        <v/>
      </c>
      <c r="AK615">
        <f>INDEX($R$563:$R$690,AD615+1)</f>
        <v/>
      </c>
      <c r="AL615">
        <f>INDEX($S$563:$S$690,AE615+1)</f>
        <v/>
      </c>
      <c r="AM615">
        <f>INDEX($T$563:$T$690,AF615+1)</f>
        <v/>
      </c>
      <c r="AN615">
        <f>INDEX($U$563:$U$690,AG615+1)</f>
        <v/>
      </c>
      <c r="AO615">
        <f>INDEX($V$563:$V$690,AH615+1)</f>
        <v/>
      </c>
      <c r="AP615">
        <f>INDEX($W$563:$W$690,AI615+1)</f>
        <v/>
      </c>
      <c r="AQ615">
        <f>IF(Q615&gt;=AJ615-0.01,1,0)</f>
        <v/>
      </c>
      <c r="AR615">
        <f>IF(R615&gt;=AK615-0.01,1,0)</f>
        <v/>
      </c>
      <c r="AS615">
        <f>IF(S615&gt;=AL615-0.01,1,0)</f>
        <v/>
      </c>
      <c r="AT615">
        <f>IF(T615&gt;=AM615-0.01,1,0)</f>
        <v/>
      </c>
      <c r="AU615">
        <f>IF(U615&gt;=AN615-0.01,1,0)</f>
        <v/>
      </c>
      <c r="AV615">
        <f>IF(V615&gt;=AO615-0.01,1,0)</f>
        <v/>
      </c>
      <c r="AW615">
        <f>IF(W615&gt;=AP615-0.01,1,0)</f>
        <v/>
      </c>
      <c r="AX615">
        <f>AQ615*AR615*AS615*AT615*AU615*AV615*AW615</f>
        <v/>
      </c>
      <c r="AY615">
        <f>Assumptions!$B$41</f>
        <v/>
      </c>
      <c r="AZ615">
        <f>Assumptions!$B$33</f>
        <v/>
      </c>
      <c r="BA615">
        <f>Assumptions!$B$32</f>
        <v/>
      </c>
      <c r="BB615">
        <f>Assumptions!$B$31</f>
        <v/>
      </c>
      <c r="BC615">
        <f>Assumptions!$B$30</f>
        <v/>
      </c>
      <c r="BD615">
        <f>Assumptions!$B$29</f>
        <v/>
      </c>
      <c r="BE615">
        <f>Assumptions!$B$28</f>
        <v/>
      </c>
      <c r="BF615">
        <f>P615*Assumptions!$B$141</f>
        <v/>
      </c>
      <c r="BG615">
        <f>P615*Assumptions!$B$128</f>
        <v/>
      </c>
      <c r="BH615">
        <f>P615*Assumptions!$B$129</f>
        <v/>
      </c>
      <c r="BI615">
        <f>P615*Assumptions!$B$14</f>
        <v/>
      </c>
      <c r="BJ615">
        <f>P615*Assumptions!$B$13</f>
        <v/>
      </c>
      <c r="BK615">
        <f>P615*Assumptions!$B$12</f>
        <v/>
      </c>
      <c r="BL615">
        <f>P615*Assumptions!$B$11</f>
        <v/>
      </c>
    </row>
    <row r="616">
      <c r="A616" t="inlineStr">
        <is>
          <t>8000M</t>
        </is>
      </c>
      <c r="B616">
        <f>Assumptions!$B$62</f>
        <v/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  <c r="J616">
        <f>(1-C616)*Assumptions!$B$41+(1-D616)*Assumptions!$B$33+(1-E616)*Assumptions!$B$32+(1-F616)*Assumptions!$B$31+(1-G616)*Assumptions!$B$30+(1-H616)*Assumptions!$B$29+(1-I616)*Assumptions!$B$28</f>
        <v/>
      </c>
      <c r="K616">
        <f>C616*Assumptions!$B$141+D616*Assumptions!$B$128+E616*Assumptions!$B$129+F616*Assumptions!$B$14+G616*Assumptions!$B$13+H616*Assumptions!$B$12+I616*Assumptions!$B$11+Assumptions!$B$133+Assumptions!$B$137+Assumptions!$B$9</f>
        <v/>
      </c>
      <c r="L616">
        <f>B616-J616</f>
        <v/>
      </c>
      <c r="M616">
        <f>IF(K616&gt;0,IF(L616/K616&gt;=Assumptions!$B$37,1,0),0)</f>
        <v/>
      </c>
      <c r="N616">
        <f>K616+M616*Assumptions!$B$153</f>
        <v/>
      </c>
      <c r="O616">
        <f>L616+M616*Assumptions!$B$153*Assumptions!$B$37</f>
        <v/>
      </c>
      <c r="P616">
        <f>IF(N616&gt;0,O616/N616,0)</f>
        <v/>
      </c>
      <c r="Q616">
        <f>IF(C616=1,P616*Assumptions!$B$141,Assumptions!$B$41)</f>
        <v/>
      </c>
      <c r="R616">
        <f>IF(D616=1,P616*Assumptions!$B$128,Assumptions!$B$33)</f>
        <v/>
      </c>
      <c r="S616">
        <f>IF(E616=1,P616*Assumptions!$B$129,Assumptions!$B$32)</f>
        <v/>
      </c>
      <c r="T616">
        <f>IF(F616=1,P616*Assumptions!$B$14,Assumptions!$B$31)</f>
        <v/>
      </c>
      <c r="U616">
        <f>IF(G616=1,P616*Assumptions!$B$13,Assumptions!$B$30)</f>
        <v/>
      </c>
      <c r="V616">
        <f>IF(H616=1,P616*Assumptions!$B$12,Assumptions!$B$29)</f>
        <v/>
      </c>
      <c r="W616">
        <f>IF(I616=1,P616*Assumptions!$B$11,Assumptions!$B$28)</f>
        <v/>
      </c>
      <c r="X616">
        <f>P616*(Assumptions!$B$133+Assumptions!$B$137)</f>
        <v/>
      </c>
      <c r="Y616">
        <f>P616*Assumptions!$B$9</f>
        <v/>
      </c>
      <c r="Z616">
        <f>IF(M616=1,(P616-Assumptions!$B$37)*Assumptions!$B$153,0)</f>
        <v/>
      </c>
      <c r="AA616">
        <f>Q616+R616+S616+T616+U616+V616+W616+X616+Y616+Z616</f>
        <v/>
      </c>
      <c r="AB616" t="n">
        <v>53</v>
      </c>
      <c r="AC616" t="n">
        <v>117</v>
      </c>
      <c r="AD616" t="n">
        <v>21</v>
      </c>
      <c r="AE616" t="n">
        <v>37</v>
      </c>
      <c r="AF616" t="n">
        <v>61</v>
      </c>
      <c r="AG616" t="n">
        <v>49</v>
      </c>
      <c r="AH616" t="n">
        <v>55</v>
      </c>
      <c r="AI616" t="n">
        <v>52</v>
      </c>
      <c r="AJ616">
        <f>INDEX($Q$563:$Q$690,AC616+1)</f>
        <v/>
      </c>
      <c r="AK616">
        <f>INDEX($R$563:$R$690,AD616+1)</f>
        <v/>
      </c>
      <c r="AL616">
        <f>INDEX($S$563:$S$690,AE616+1)</f>
        <v/>
      </c>
      <c r="AM616">
        <f>INDEX($T$563:$T$690,AF616+1)</f>
        <v/>
      </c>
      <c r="AN616">
        <f>INDEX($U$563:$U$690,AG616+1)</f>
        <v/>
      </c>
      <c r="AO616">
        <f>INDEX($V$563:$V$690,AH616+1)</f>
        <v/>
      </c>
      <c r="AP616">
        <f>INDEX($W$563:$W$690,AI616+1)</f>
        <v/>
      </c>
      <c r="AQ616">
        <f>IF(Q616&gt;=AJ616-0.01,1,0)</f>
        <v/>
      </c>
      <c r="AR616">
        <f>IF(R616&gt;=AK616-0.01,1,0)</f>
        <v/>
      </c>
      <c r="AS616">
        <f>IF(S616&gt;=AL616-0.01,1,0)</f>
        <v/>
      </c>
      <c r="AT616">
        <f>IF(T616&gt;=AM616-0.01,1,0)</f>
        <v/>
      </c>
      <c r="AU616">
        <f>IF(U616&gt;=AN616-0.01,1,0)</f>
        <v/>
      </c>
      <c r="AV616">
        <f>IF(V616&gt;=AO616-0.01,1,0)</f>
        <v/>
      </c>
      <c r="AW616">
        <f>IF(W616&gt;=AP616-0.01,1,0)</f>
        <v/>
      </c>
      <c r="AX616">
        <f>AQ616*AR616*AS616*AT616*AU616*AV616*AW616</f>
        <v/>
      </c>
      <c r="AY616">
        <f>Assumptions!$B$41</f>
        <v/>
      </c>
      <c r="AZ616">
        <f>Assumptions!$B$33</f>
        <v/>
      </c>
      <c r="BA616">
        <f>Assumptions!$B$32</f>
        <v/>
      </c>
      <c r="BB616">
        <f>Assumptions!$B$31</f>
        <v/>
      </c>
      <c r="BC616">
        <f>Assumptions!$B$30</f>
        <v/>
      </c>
      <c r="BD616">
        <f>Assumptions!$B$29</f>
        <v/>
      </c>
      <c r="BE616">
        <f>Assumptions!$B$28</f>
        <v/>
      </c>
      <c r="BF616">
        <f>P616*Assumptions!$B$141</f>
        <v/>
      </c>
      <c r="BG616">
        <f>P616*Assumptions!$B$128</f>
        <v/>
      </c>
      <c r="BH616">
        <f>P616*Assumptions!$B$129</f>
        <v/>
      </c>
      <c r="BI616">
        <f>P616*Assumptions!$B$14</f>
        <v/>
      </c>
      <c r="BJ616">
        <f>P616*Assumptions!$B$13</f>
        <v/>
      </c>
      <c r="BK616">
        <f>P616*Assumptions!$B$12</f>
        <v/>
      </c>
      <c r="BL616">
        <f>P616*Assumptions!$B$11</f>
        <v/>
      </c>
    </row>
    <row r="617">
      <c r="A617" t="inlineStr">
        <is>
          <t>8000M</t>
        </is>
      </c>
      <c r="B617">
        <f>Assumptions!$B$62</f>
        <v/>
      </c>
      <c r="C617" t="n">
        <v>0</v>
      </c>
      <c r="D617" t="n">
        <v>1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>
        <f>(1-C617)*Assumptions!$B$41+(1-D617)*Assumptions!$B$33+(1-E617)*Assumptions!$B$32+(1-F617)*Assumptions!$B$31+(1-G617)*Assumptions!$B$30+(1-H617)*Assumptions!$B$29+(1-I617)*Assumptions!$B$28</f>
        <v/>
      </c>
      <c r="K617">
        <f>C617*Assumptions!$B$141+D617*Assumptions!$B$128+E617*Assumptions!$B$129+F617*Assumptions!$B$14+G617*Assumptions!$B$13+H617*Assumptions!$B$12+I617*Assumptions!$B$11+Assumptions!$B$133+Assumptions!$B$137+Assumptions!$B$9</f>
        <v/>
      </c>
      <c r="L617">
        <f>B617-J617</f>
        <v/>
      </c>
      <c r="M617">
        <f>IF(K617&gt;0,IF(L617/K617&gt;=Assumptions!$B$37,1,0),0)</f>
        <v/>
      </c>
      <c r="N617">
        <f>K617+M617*Assumptions!$B$153</f>
        <v/>
      </c>
      <c r="O617">
        <f>L617+M617*Assumptions!$B$153*Assumptions!$B$37</f>
        <v/>
      </c>
      <c r="P617">
        <f>IF(N617&gt;0,O617/N617,0)</f>
        <v/>
      </c>
      <c r="Q617">
        <f>IF(C617=1,P617*Assumptions!$B$141,Assumptions!$B$41)</f>
        <v/>
      </c>
      <c r="R617">
        <f>IF(D617=1,P617*Assumptions!$B$128,Assumptions!$B$33)</f>
        <v/>
      </c>
      <c r="S617">
        <f>IF(E617=1,P617*Assumptions!$B$129,Assumptions!$B$32)</f>
        <v/>
      </c>
      <c r="T617">
        <f>IF(F617=1,P617*Assumptions!$B$14,Assumptions!$B$31)</f>
        <v/>
      </c>
      <c r="U617">
        <f>IF(G617=1,P617*Assumptions!$B$13,Assumptions!$B$30)</f>
        <v/>
      </c>
      <c r="V617">
        <f>IF(H617=1,P617*Assumptions!$B$12,Assumptions!$B$29)</f>
        <v/>
      </c>
      <c r="W617">
        <f>IF(I617=1,P617*Assumptions!$B$11,Assumptions!$B$28)</f>
        <v/>
      </c>
      <c r="X617">
        <f>P617*(Assumptions!$B$133+Assumptions!$B$137)</f>
        <v/>
      </c>
      <c r="Y617">
        <f>P617*Assumptions!$B$9</f>
        <v/>
      </c>
      <c r="Z617">
        <f>IF(M617=1,(P617-Assumptions!$B$37)*Assumptions!$B$153,0)</f>
        <v/>
      </c>
      <c r="AA617">
        <f>Q617+R617+S617+T617+U617+V617+W617+X617+Y617+Z617</f>
        <v/>
      </c>
      <c r="AB617" t="n">
        <v>54</v>
      </c>
      <c r="AC617" t="n">
        <v>118</v>
      </c>
      <c r="AD617" t="n">
        <v>22</v>
      </c>
      <c r="AE617" t="n">
        <v>38</v>
      </c>
      <c r="AF617" t="n">
        <v>62</v>
      </c>
      <c r="AG617" t="n">
        <v>50</v>
      </c>
      <c r="AH617" t="n">
        <v>52</v>
      </c>
      <c r="AI617" t="n">
        <v>55</v>
      </c>
      <c r="AJ617">
        <f>INDEX($Q$563:$Q$690,AC617+1)</f>
        <v/>
      </c>
      <c r="AK617">
        <f>INDEX($R$563:$R$690,AD617+1)</f>
        <v/>
      </c>
      <c r="AL617">
        <f>INDEX($S$563:$S$690,AE617+1)</f>
        <v/>
      </c>
      <c r="AM617">
        <f>INDEX($T$563:$T$690,AF617+1)</f>
        <v/>
      </c>
      <c r="AN617">
        <f>INDEX($U$563:$U$690,AG617+1)</f>
        <v/>
      </c>
      <c r="AO617">
        <f>INDEX($V$563:$V$690,AH617+1)</f>
        <v/>
      </c>
      <c r="AP617">
        <f>INDEX($W$563:$W$690,AI617+1)</f>
        <v/>
      </c>
      <c r="AQ617">
        <f>IF(Q617&gt;=AJ617-0.01,1,0)</f>
        <v/>
      </c>
      <c r="AR617">
        <f>IF(R617&gt;=AK617-0.01,1,0)</f>
        <v/>
      </c>
      <c r="AS617">
        <f>IF(S617&gt;=AL617-0.01,1,0)</f>
        <v/>
      </c>
      <c r="AT617">
        <f>IF(T617&gt;=AM617-0.01,1,0)</f>
        <v/>
      </c>
      <c r="AU617">
        <f>IF(U617&gt;=AN617-0.01,1,0)</f>
        <v/>
      </c>
      <c r="AV617">
        <f>IF(V617&gt;=AO617-0.01,1,0)</f>
        <v/>
      </c>
      <c r="AW617">
        <f>IF(W617&gt;=AP617-0.01,1,0)</f>
        <v/>
      </c>
      <c r="AX617">
        <f>AQ617*AR617*AS617*AT617*AU617*AV617*AW617</f>
        <v/>
      </c>
      <c r="AY617">
        <f>Assumptions!$B$41</f>
        <v/>
      </c>
      <c r="AZ617">
        <f>Assumptions!$B$33</f>
        <v/>
      </c>
      <c r="BA617">
        <f>Assumptions!$B$32</f>
        <v/>
      </c>
      <c r="BB617">
        <f>Assumptions!$B$31</f>
        <v/>
      </c>
      <c r="BC617">
        <f>Assumptions!$B$30</f>
        <v/>
      </c>
      <c r="BD617">
        <f>Assumptions!$B$29</f>
        <v/>
      </c>
      <c r="BE617">
        <f>Assumptions!$B$28</f>
        <v/>
      </c>
      <c r="BF617">
        <f>P617*Assumptions!$B$141</f>
        <v/>
      </c>
      <c r="BG617">
        <f>P617*Assumptions!$B$128</f>
        <v/>
      </c>
      <c r="BH617">
        <f>P617*Assumptions!$B$129</f>
        <v/>
      </c>
      <c r="BI617">
        <f>P617*Assumptions!$B$14</f>
        <v/>
      </c>
      <c r="BJ617">
        <f>P617*Assumptions!$B$13</f>
        <v/>
      </c>
      <c r="BK617">
        <f>P617*Assumptions!$B$12</f>
        <v/>
      </c>
      <c r="BL617">
        <f>P617*Assumptions!$B$11</f>
        <v/>
      </c>
    </row>
    <row r="618">
      <c r="A618" t="inlineStr">
        <is>
          <t>8000M</t>
        </is>
      </c>
      <c r="B618">
        <f>Assumptions!$B$62</f>
        <v/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>
        <f>(1-C618)*Assumptions!$B$41+(1-D618)*Assumptions!$B$33+(1-E618)*Assumptions!$B$32+(1-F618)*Assumptions!$B$31+(1-G618)*Assumptions!$B$30+(1-H618)*Assumptions!$B$29+(1-I618)*Assumptions!$B$28</f>
        <v/>
      </c>
      <c r="K618">
        <f>C618*Assumptions!$B$141+D618*Assumptions!$B$128+E618*Assumptions!$B$129+F618*Assumptions!$B$14+G618*Assumptions!$B$13+H618*Assumptions!$B$12+I618*Assumptions!$B$11+Assumptions!$B$133+Assumptions!$B$137+Assumptions!$B$9</f>
        <v/>
      </c>
      <c r="L618">
        <f>B618-J618</f>
        <v/>
      </c>
      <c r="M618">
        <f>IF(K618&gt;0,IF(L618/K618&gt;=Assumptions!$B$37,1,0),0)</f>
        <v/>
      </c>
      <c r="N618">
        <f>K618+M618*Assumptions!$B$153</f>
        <v/>
      </c>
      <c r="O618">
        <f>L618+M618*Assumptions!$B$153*Assumptions!$B$37</f>
        <v/>
      </c>
      <c r="P618">
        <f>IF(N618&gt;0,O618/N618,0)</f>
        <v/>
      </c>
      <c r="Q618">
        <f>IF(C618=1,P618*Assumptions!$B$141,Assumptions!$B$41)</f>
        <v/>
      </c>
      <c r="R618">
        <f>IF(D618=1,P618*Assumptions!$B$128,Assumptions!$B$33)</f>
        <v/>
      </c>
      <c r="S618">
        <f>IF(E618=1,P618*Assumptions!$B$129,Assumptions!$B$32)</f>
        <v/>
      </c>
      <c r="T618">
        <f>IF(F618=1,P618*Assumptions!$B$14,Assumptions!$B$31)</f>
        <v/>
      </c>
      <c r="U618">
        <f>IF(G618=1,P618*Assumptions!$B$13,Assumptions!$B$30)</f>
        <v/>
      </c>
      <c r="V618">
        <f>IF(H618=1,P618*Assumptions!$B$12,Assumptions!$B$29)</f>
        <v/>
      </c>
      <c r="W618">
        <f>IF(I618=1,P618*Assumptions!$B$11,Assumptions!$B$28)</f>
        <v/>
      </c>
      <c r="X618">
        <f>P618*(Assumptions!$B$133+Assumptions!$B$137)</f>
        <v/>
      </c>
      <c r="Y618">
        <f>P618*Assumptions!$B$9</f>
        <v/>
      </c>
      <c r="Z618">
        <f>IF(M618=1,(P618-Assumptions!$B$37)*Assumptions!$B$153,0)</f>
        <v/>
      </c>
      <c r="AA618">
        <f>Q618+R618+S618+T618+U618+V618+W618+X618+Y618+Z618</f>
        <v/>
      </c>
      <c r="AB618" t="n">
        <v>55</v>
      </c>
      <c r="AC618" t="n">
        <v>119</v>
      </c>
      <c r="AD618" t="n">
        <v>23</v>
      </c>
      <c r="AE618" t="n">
        <v>39</v>
      </c>
      <c r="AF618" t="n">
        <v>63</v>
      </c>
      <c r="AG618" t="n">
        <v>51</v>
      </c>
      <c r="AH618" t="n">
        <v>53</v>
      </c>
      <c r="AI618" t="n">
        <v>54</v>
      </c>
      <c r="AJ618">
        <f>INDEX($Q$563:$Q$690,AC618+1)</f>
        <v/>
      </c>
      <c r="AK618">
        <f>INDEX($R$563:$R$690,AD618+1)</f>
        <v/>
      </c>
      <c r="AL618">
        <f>INDEX($S$563:$S$690,AE618+1)</f>
        <v/>
      </c>
      <c r="AM618">
        <f>INDEX($T$563:$T$690,AF618+1)</f>
        <v/>
      </c>
      <c r="AN618">
        <f>INDEX($U$563:$U$690,AG618+1)</f>
        <v/>
      </c>
      <c r="AO618">
        <f>INDEX($V$563:$V$690,AH618+1)</f>
        <v/>
      </c>
      <c r="AP618">
        <f>INDEX($W$563:$W$690,AI618+1)</f>
        <v/>
      </c>
      <c r="AQ618">
        <f>IF(Q618&gt;=AJ618-0.01,1,0)</f>
        <v/>
      </c>
      <c r="AR618">
        <f>IF(R618&gt;=AK618-0.01,1,0)</f>
        <v/>
      </c>
      <c r="AS618">
        <f>IF(S618&gt;=AL618-0.01,1,0)</f>
        <v/>
      </c>
      <c r="AT618">
        <f>IF(T618&gt;=AM618-0.01,1,0)</f>
        <v/>
      </c>
      <c r="AU618">
        <f>IF(U618&gt;=AN618-0.01,1,0)</f>
        <v/>
      </c>
      <c r="AV618">
        <f>IF(V618&gt;=AO618-0.01,1,0)</f>
        <v/>
      </c>
      <c r="AW618">
        <f>IF(W618&gt;=AP618-0.01,1,0)</f>
        <v/>
      </c>
      <c r="AX618">
        <f>AQ618*AR618*AS618*AT618*AU618*AV618*AW618</f>
        <v/>
      </c>
      <c r="AY618">
        <f>Assumptions!$B$41</f>
        <v/>
      </c>
      <c r="AZ618">
        <f>Assumptions!$B$33</f>
        <v/>
      </c>
      <c r="BA618">
        <f>Assumptions!$B$32</f>
        <v/>
      </c>
      <c r="BB618">
        <f>Assumptions!$B$31</f>
        <v/>
      </c>
      <c r="BC618">
        <f>Assumptions!$B$30</f>
        <v/>
      </c>
      <c r="BD618">
        <f>Assumptions!$B$29</f>
        <v/>
      </c>
      <c r="BE618">
        <f>Assumptions!$B$28</f>
        <v/>
      </c>
      <c r="BF618">
        <f>P618*Assumptions!$B$141</f>
        <v/>
      </c>
      <c r="BG618">
        <f>P618*Assumptions!$B$128</f>
        <v/>
      </c>
      <c r="BH618">
        <f>P618*Assumptions!$B$129</f>
        <v/>
      </c>
      <c r="BI618">
        <f>P618*Assumptions!$B$14</f>
        <v/>
      </c>
      <c r="BJ618">
        <f>P618*Assumptions!$B$13</f>
        <v/>
      </c>
      <c r="BK618">
        <f>P618*Assumptions!$B$12</f>
        <v/>
      </c>
      <c r="BL618">
        <f>P618*Assumptions!$B$11</f>
        <v/>
      </c>
    </row>
    <row r="619">
      <c r="A619" t="inlineStr">
        <is>
          <t>8000M</t>
        </is>
      </c>
      <c r="B619">
        <f>Assumptions!$B$62</f>
        <v/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>
        <f>(1-C619)*Assumptions!$B$41+(1-D619)*Assumptions!$B$33+(1-E619)*Assumptions!$B$32+(1-F619)*Assumptions!$B$31+(1-G619)*Assumptions!$B$30+(1-H619)*Assumptions!$B$29+(1-I619)*Assumptions!$B$28</f>
        <v/>
      </c>
      <c r="K619">
        <f>C619*Assumptions!$B$141+D619*Assumptions!$B$128+E619*Assumptions!$B$129+F619*Assumptions!$B$14+G619*Assumptions!$B$13+H619*Assumptions!$B$12+I619*Assumptions!$B$11+Assumptions!$B$133+Assumptions!$B$137+Assumptions!$B$9</f>
        <v/>
      </c>
      <c r="L619">
        <f>B619-J619</f>
        <v/>
      </c>
      <c r="M619">
        <f>IF(K619&gt;0,IF(L619/K619&gt;=Assumptions!$B$37,1,0),0)</f>
        <v/>
      </c>
      <c r="N619">
        <f>K619+M619*Assumptions!$B$153</f>
        <v/>
      </c>
      <c r="O619">
        <f>L619+M619*Assumptions!$B$153*Assumptions!$B$37</f>
        <v/>
      </c>
      <c r="P619">
        <f>IF(N619&gt;0,O619/N619,0)</f>
        <v/>
      </c>
      <c r="Q619">
        <f>IF(C619=1,P619*Assumptions!$B$141,Assumptions!$B$41)</f>
        <v/>
      </c>
      <c r="R619">
        <f>IF(D619=1,P619*Assumptions!$B$128,Assumptions!$B$33)</f>
        <v/>
      </c>
      <c r="S619">
        <f>IF(E619=1,P619*Assumptions!$B$129,Assumptions!$B$32)</f>
        <v/>
      </c>
      <c r="T619">
        <f>IF(F619=1,P619*Assumptions!$B$14,Assumptions!$B$31)</f>
        <v/>
      </c>
      <c r="U619">
        <f>IF(G619=1,P619*Assumptions!$B$13,Assumptions!$B$30)</f>
        <v/>
      </c>
      <c r="V619">
        <f>IF(H619=1,P619*Assumptions!$B$12,Assumptions!$B$29)</f>
        <v/>
      </c>
      <c r="W619">
        <f>IF(I619=1,P619*Assumptions!$B$11,Assumptions!$B$28)</f>
        <v/>
      </c>
      <c r="X619">
        <f>P619*(Assumptions!$B$133+Assumptions!$B$137)</f>
        <v/>
      </c>
      <c r="Y619">
        <f>P619*Assumptions!$B$9</f>
        <v/>
      </c>
      <c r="Z619">
        <f>IF(M619=1,(P619-Assumptions!$B$37)*Assumptions!$B$153,0)</f>
        <v/>
      </c>
      <c r="AA619">
        <f>Q619+R619+S619+T619+U619+V619+W619+X619+Y619+Z619</f>
        <v/>
      </c>
      <c r="AB619" t="n">
        <v>56</v>
      </c>
      <c r="AC619" t="n">
        <v>120</v>
      </c>
      <c r="AD619" t="n">
        <v>24</v>
      </c>
      <c r="AE619" t="n">
        <v>40</v>
      </c>
      <c r="AF619" t="n">
        <v>48</v>
      </c>
      <c r="AG619" t="n">
        <v>60</v>
      </c>
      <c r="AH619" t="n">
        <v>58</v>
      </c>
      <c r="AI619" t="n">
        <v>57</v>
      </c>
      <c r="AJ619">
        <f>INDEX($Q$563:$Q$690,AC619+1)</f>
        <v/>
      </c>
      <c r="AK619">
        <f>INDEX($R$563:$R$690,AD619+1)</f>
        <v/>
      </c>
      <c r="AL619">
        <f>INDEX($S$563:$S$690,AE619+1)</f>
        <v/>
      </c>
      <c r="AM619">
        <f>INDEX($T$563:$T$690,AF619+1)</f>
        <v/>
      </c>
      <c r="AN619">
        <f>INDEX($U$563:$U$690,AG619+1)</f>
        <v/>
      </c>
      <c r="AO619">
        <f>INDEX($V$563:$V$690,AH619+1)</f>
        <v/>
      </c>
      <c r="AP619">
        <f>INDEX($W$563:$W$690,AI619+1)</f>
        <v/>
      </c>
      <c r="AQ619">
        <f>IF(Q619&gt;=AJ619-0.01,1,0)</f>
        <v/>
      </c>
      <c r="AR619">
        <f>IF(R619&gt;=AK619-0.01,1,0)</f>
        <v/>
      </c>
      <c r="AS619">
        <f>IF(S619&gt;=AL619-0.01,1,0)</f>
        <v/>
      </c>
      <c r="AT619">
        <f>IF(T619&gt;=AM619-0.01,1,0)</f>
        <v/>
      </c>
      <c r="AU619">
        <f>IF(U619&gt;=AN619-0.01,1,0)</f>
        <v/>
      </c>
      <c r="AV619">
        <f>IF(V619&gt;=AO619-0.01,1,0)</f>
        <v/>
      </c>
      <c r="AW619">
        <f>IF(W619&gt;=AP619-0.01,1,0)</f>
        <v/>
      </c>
      <c r="AX619">
        <f>AQ619*AR619*AS619*AT619*AU619*AV619*AW619</f>
        <v/>
      </c>
      <c r="AY619">
        <f>Assumptions!$B$41</f>
        <v/>
      </c>
      <c r="AZ619">
        <f>Assumptions!$B$33</f>
        <v/>
      </c>
      <c r="BA619">
        <f>Assumptions!$B$32</f>
        <v/>
      </c>
      <c r="BB619">
        <f>Assumptions!$B$31</f>
        <v/>
      </c>
      <c r="BC619">
        <f>Assumptions!$B$30</f>
        <v/>
      </c>
      <c r="BD619">
        <f>Assumptions!$B$29</f>
        <v/>
      </c>
      <c r="BE619">
        <f>Assumptions!$B$28</f>
        <v/>
      </c>
      <c r="BF619">
        <f>P619*Assumptions!$B$141</f>
        <v/>
      </c>
      <c r="BG619">
        <f>P619*Assumptions!$B$128</f>
        <v/>
      </c>
      <c r="BH619">
        <f>P619*Assumptions!$B$129</f>
        <v/>
      </c>
      <c r="BI619">
        <f>P619*Assumptions!$B$14</f>
        <v/>
      </c>
      <c r="BJ619">
        <f>P619*Assumptions!$B$13</f>
        <v/>
      </c>
      <c r="BK619">
        <f>P619*Assumptions!$B$12</f>
        <v/>
      </c>
      <c r="BL619">
        <f>P619*Assumptions!$B$11</f>
        <v/>
      </c>
    </row>
    <row r="620">
      <c r="A620" t="inlineStr">
        <is>
          <t>8000M</t>
        </is>
      </c>
      <c r="B620">
        <f>Assumptions!$B$62</f>
        <v/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>
        <f>(1-C620)*Assumptions!$B$41+(1-D620)*Assumptions!$B$33+(1-E620)*Assumptions!$B$32+(1-F620)*Assumptions!$B$31+(1-G620)*Assumptions!$B$30+(1-H620)*Assumptions!$B$29+(1-I620)*Assumptions!$B$28</f>
        <v/>
      </c>
      <c r="K620">
        <f>C620*Assumptions!$B$141+D620*Assumptions!$B$128+E620*Assumptions!$B$129+F620*Assumptions!$B$14+G620*Assumptions!$B$13+H620*Assumptions!$B$12+I620*Assumptions!$B$11+Assumptions!$B$133+Assumptions!$B$137+Assumptions!$B$9</f>
        <v/>
      </c>
      <c r="L620">
        <f>B620-J620</f>
        <v/>
      </c>
      <c r="M620">
        <f>IF(K620&gt;0,IF(L620/K620&gt;=Assumptions!$B$37,1,0),0)</f>
        <v/>
      </c>
      <c r="N620">
        <f>K620+M620*Assumptions!$B$153</f>
        <v/>
      </c>
      <c r="O620">
        <f>L620+M620*Assumptions!$B$153*Assumptions!$B$37</f>
        <v/>
      </c>
      <c r="P620">
        <f>IF(N620&gt;0,O620/N620,0)</f>
        <v/>
      </c>
      <c r="Q620">
        <f>IF(C620=1,P620*Assumptions!$B$141,Assumptions!$B$41)</f>
        <v/>
      </c>
      <c r="R620">
        <f>IF(D620=1,P620*Assumptions!$B$128,Assumptions!$B$33)</f>
        <v/>
      </c>
      <c r="S620">
        <f>IF(E620=1,P620*Assumptions!$B$129,Assumptions!$B$32)</f>
        <v/>
      </c>
      <c r="T620">
        <f>IF(F620=1,P620*Assumptions!$B$14,Assumptions!$B$31)</f>
        <v/>
      </c>
      <c r="U620">
        <f>IF(G620=1,P620*Assumptions!$B$13,Assumptions!$B$30)</f>
        <v/>
      </c>
      <c r="V620">
        <f>IF(H620=1,P620*Assumptions!$B$12,Assumptions!$B$29)</f>
        <v/>
      </c>
      <c r="W620">
        <f>IF(I620=1,P620*Assumptions!$B$11,Assumptions!$B$28)</f>
        <v/>
      </c>
      <c r="X620">
        <f>P620*(Assumptions!$B$133+Assumptions!$B$137)</f>
        <v/>
      </c>
      <c r="Y620">
        <f>P620*Assumptions!$B$9</f>
        <v/>
      </c>
      <c r="Z620">
        <f>IF(M620=1,(P620-Assumptions!$B$37)*Assumptions!$B$153,0)</f>
        <v/>
      </c>
      <c r="AA620">
        <f>Q620+R620+S620+T620+U620+V620+W620+X620+Y620+Z620</f>
        <v/>
      </c>
      <c r="AB620" t="n">
        <v>57</v>
      </c>
      <c r="AC620" t="n">
        <v>121</v>
      </c>
      <c r="AD620" t="n">
        <v>25</v>
      </c>
      <c r="AE620" t="n">
        <v>41</v>
      </c>
      <c r="AF620" t="n">
        <v>49</v>
      </c>
      <c r="AG620" t="n">
        <v>61</v>
      </c>
      <c r="AH620" t="n">
        <v>59</v>
      </c>
      <c r="AI620" t="n">
        <v>56</v>
      </c>
      <c r="AJ620">
        <f>INDEX($Q$563:$Q$690,AC620+1)</f>
        <v/>
      </c>
      <c r="AK620">
        <f>INDEX($R$563:$R$690,AD620+1)</f>
        <v/>
      </c>
      <c r="AL620">
        <f>INDEX($S$563:$S$690,AE620+1)</f>
        <v/>
      </c>
      <c r="AM620">
        <f>INDEX($T$563:$T$690,AF620+1)</f>
        <v/>
      </c>
      <c r="AN620">
        <f>INDEX($U$563:$U$690,AG620+1)</f>
        <v/>
      </c>
      <c r="AO620">
        <f>INDEX($V$563:$V$690,AH620+1)</f>
        <v/>
      </c>
      <c r="AP620">
        <f>INDEX($W$563:$W$690,AI620+1)</f>
        <v/>
      </c>
      <c r="AQ620">
        <f>IF(Q620&gt;=AJ620-0.01,1,0)</f>
        <v/>
      </c>
      <c r="AR620">
        <f>IF(R620&gt;=AK620-0.01,1,0)</f>
        <v/>
      </c>
      <c r="AS620">
        <f>IF(S620&gt;=AL620-0.01,1,0)</f>
        <v/>
      </c>
      <c r="AT620">
        <f>IF(T620&gt;=AM620-0.01,1,0)</f>
        <v/>
      </c>
      <c r="AU620">
        <f>IF(U620&gt;=AN620-0.01,1,0)</f>
        <v/>
      </c>
      <c r="AV620">
        <f>IF(V620&gt;=AO620-0.01,1,0)</f>
        <v/>
      </c>
      <c r="AW620">
        <f>IF(W620&gt;=AP620-0.01,1,0)</f>
        <v/>
      </c>
      <c r="AX620">
        <f>AQ620*AR620*AS620*AT620*AU620*AV620*AW620</f>
        <v/>
      </c>
      <c r="AY620">
        <f>Assumptions!$B$41</f>
        <v/>
      </c>
      <c r="AZ620">
        <f>Assumptions!$B$33</f>
        <v/>
      </c>
      <c r="BA620">
        <f>Assumptions!$B$32</f>
        <v/>
      </c>
      <c r="BB620">
        <f>Assumptions!$B$31</f>
        <v/>
      </c>
      <c r="BC620">
        <f>Assumptions!$B$30</f>
        <v/>
      </c>
      <c r="BD620">
        <f>Assumptions!$B$29</f>
        <v/>
      </c>
      <c r="BE620">
        <f>Assumptions!$B$28</f>
        <v/>
      </c>
      <c r="BF620">
        <f>P620*Assumptions!$B$141</f>
        <v/>
      </c>
      <c r="BG620">
        <f>P620*Assumptions!$B$128</f>
        <v/>
      </c>
      <c r="BH620">
        <f>P620*Assumptions!$B$129</f>
        <v/>
      </c>
      <c r="BI620">
        <f>P620*Assumptions!$B$14</f>
        <v/>
      </c>
      <c r="BJ620">
        <f>P620*Assumptions!$B$13</f>
        <v/>
      </c>
      <c r="BK620">
        <f>P620*Assumptions!$B$12</f>
        <v/>
      </c>
      <c r="BL620">
        <f>P620*Assumptions!$B$11</f>
        <v/>
      </c>
    </row>
    <row r="621">
      <c r="A621" t="inlineStr">
        <is>
          <t>8000M</t>
        </is>
      </c>
      <c r="B621">
        <f>Assumptions!$B$62</f>
        <v/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>
        <f>(1-C621)*Assumptions!$B$41+(1-D621)*Assumptions!$B$33+(1-E621)*Assumptions!$B$32+(1-F621)*Assumptions!$B$31+(1-G621)*Assumptions!$B$30+(1-H621)*Assumptions!$B$29+(1-I621)*Assumptions!$B$28</f>
        <v/>
      </c>
      <c r="K621">
        <f>C621*Assumptions!$B$141+D621*Assumptions!$B$128+E621*Assumptions!$B$129+F621*Assumptions!$B$14+G621*Assumptions!$B$13+H621*Assumptions!$B$12+I621*Assumptions!$B$11+Assumptions!$B$133+Assumptions!$B$137+Assumptions!$B$9</f>
        <v/>
      </c>
      <c r="L621">
        <f>B621-J621</f>
        <v/>
      </c>
      <c r="M621">
        <f>IF(K621&gt;0,IF(L621/K621&gt;=Assumptions!$B$37,1,0),0)</f>
        <v/>
      </c>
      <c r="N621">
        <f>K621+M621*Assumptions!$B$153</f>
        <v/>
      </c>
      <c r="O621">
        <f>L621+M621*Assumptions!$B$153*Assumptions!$B$37</f>
        <v/>
      </c>
      <c r="P621">
        <f>IF(N621&gt;0,O621/N621,0)</f>
        <v/>
      </c>
      <c r="Q621">
        <f>IF(C621=1,P621*Assumptions!$B$141,Assumptions!$B$41)</f>
        <v/>
      </c>
      <c r="R621">
        <f>IF(D621=1,P621*Assumptions!$B$128,Assumptions!$B$33)</f>
        <v/>
      </c>
      <c r="S621">
        <f>IF(E621=1,P621*Assumptions!$B$129,Assumptions!$B$32)</f>
        <v/>
      </c>
      <c r="T621">
        <f>IF(F621=1,P621*Assumptions!$B$14,Assumptions!$B$31)</f>
        <v/>
      </c>
      <c r="U621">
        <f>IF(G621=1,P621*Assumptions!$B$13,Assumptions!$B$30)</f>
        <v/>
      </c>
      <c r="V621">
        <f>IF(H621=1,P621*Assumptions!$B$12,Assumptions!$B$29)</f>
        <v/>
      </c>
      <c r="W621">
        <f>IF(I621=1,P621*Assumptions!$B$11,Assumptions!$B$28)</f>
        <v/>
      </c>
      <c r="X621">
        <f>P621*(Assumptions!$B$133+Assumptions!$B$137)</f>
        <v/>
      </c>
      <c r="Y621">
        <f>P621*Assumptions!$B$9</f>
        <v/>
      </c>
      <c r="Z621">
        <f>IF(M621=1,(P621-Assumptions!$B$37)*Assumptions!$B$153,0)</f>
        <v/>
      </c>
      <c r="AA621">
        <f>Q621+R621+S621+T621+U621+V621+W621+X621+Y621+Z621</f>
        <v/>
      </c>
      <c r="AB621" t="n">
        <v>58</v>
      </c>
      <c r="AC621" t="n">
        <v>122</v>
      </c>
      <c r="AD621" t="n">
        <v>26</v>
      </c>
      <c r="AE621" t="n">
        <v>42</v>
      </c>
      <c r="AF621" t="n">
        <v>50</v>
      </c>
      <c r="AG621" t="n">
        <v>62</v>
      </c>
      <c r="AH621" t="n">
        <v>56</v>
      </c>
      <c r="AI621" t="n">
        <v>59</v>
      </c>
      <c r="AJ621">
        <f>INDEX($Q$563:$Q$690,AC621+1)</f>
        <v/>
      </c>
      <c r="AK621">
        <f>INDEX($R$563:$R$690,AD621+1)</f>
        <v/>
      </c>
      <c r="AL621">
        <f>INDEX($S$563:$S$690,AE621+1)</f>
        <v/>
      </c>
      <c r="AM621">
        <f>INDEX($T$563:$T$690,AF621+1)</f>
        <v/>
      </c>
      <c r="AN621">
        <f>INDEX($U$563:$U$690,AG621+1)</f>
        <v/>
      </c>
      <c r="AO621">
        <f>INDEX($V$563:$V$690,AH621+1)</f>
        <v/>
      </c>
      <c r="AP621">
        <f>INDEX($W$563:$W$690,AI621+1)</f>
        <v/>
      </c>
      <c r="AQ621">
        <f>IF(Q621&gt;=AJ621-0.01,1,0)</f>
        <v/>
      </c>
      <c r="AR621">
        <f>IF(R621&gt;=AK621-0.01,1,0)</f>
        <v/>
      </c>
      <c r="AS621">
        <f>IF(S621&gt;=AL621-0.01,1,0)</f>
        <v/>
      </c>
      <c r="AT621">
        <f>IF(T621&gt;=AM621-0.01,1,0)</f>
        <v/>
      </c>
      <c r="AU621">
        <f>IF(U621&gt;=AN621-0.01,1,0)</f>
        <v/>
      </c>
      <c r="AV621">
        <f>IF(V621&gt;=AO621-0.01,1,0)</f>
        <v/>
      </c>
      <c r="AW621">
        <f>IF(W621&gt;=AP621-0.01,1,0)</f>
        <v/>
      </c>
      <c r="AX621">
        <f>AQ621*AR621*AS621*AT621*AU621*AV621*AW621</f>
        <v/>
      </c>
      <c r="AY621">
        <f>Assumptions!$B$41</f>
        <v/>
      </c>
      <c r="AZ621">
        <f>Assumptions!$B$33</f>
        <v/>
      </c>
      <c r="BA621">
        <f>Assumptions!$B$32</f>
        <v/>
      </c>
      <c r="BB621">
        <f>Assumptions!$B$31</f>
        <v/>
      </c>
      <c r="BC621">
        <f>Assumptions!$B$30</f>
        <v/>
      </c>
      <c r="BD621">
        <f>Assumptions!$B$29</f>
        <v/>
      </c>
      <c r="BE621">
        <f>Assumptions!$B$28</f>
        <v/>
      </c>
      <c r="BF621">
        <f>P621*Assumptions!$B$141</f>
        <v/>
      </c>
      <c r="BG621">
        <f>P621*Assumptions!$B$128</f>
        <v/>
      </c>
      <c r="BH621">
        <f>P621*Assumptions!$B$129</f>
        <v/>
      </c>
      <c r="BI621">
        <f>P621*Assumptions!$B$14</f>
        <v/>
      </c>
      <c r="BJ621">
        <f>P621*Assumptions!$B$13</f>
        <v/>
      </c>
      <c r="BK621">
        <f>P621*Assumptions!$B$12</f>
        <v/>
      </c>
      <c r="BL621">
        <f>P621*Assumptions!$B$11</f>
        <v/>
      </c>
    </row>
    <row r="622">
      <c r="A622" t="inlineStr">
        <is>
          <t>8000M</t>
        </is>
      </c>
      <c r="B622">
        <f>Assumptions!$B$62</f>
        <v/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>
        <f>(1-C622)*Assumptions!$B$41+(1-D622)*Assumptions!$B$33+(1-E622)*Assumptions!$B$32+(1-F622)*Assumptions!$B$31+(1-G622)*Assumptions!$B$30+(1-H622)*Assumptions!$B$29+(1-I622)*Assumptions!$B$28</f>
        <v/>
      </c>
      <c r="K622">
        <f>C622*Assumptions!$B$141+D622*Assumptions!$B$128+E622*Assumptions!$B$129+F622*Assumptions!$B$14+G622*Assumptions!$B$13+H622*Assumptions!$B$12+I622*Assumptions!$B$11+Assumptions!$B$133+Assumptions!$B$137+Assumptions!$B$9</f>
        <v/>
      </c>
      <c r="L622">
        <f>B622-J622</f>
        <v/>
      </c>
      <c r="M622">
        <f>IF(K622&gt;0,IF(L622/K622&gt;=Assumptions!$B$37,1,0),0)</f>
        <v/>
      </c>
      <c r="N622">
        <f>K622+M622*Assumptions!$B$153</f>
        <v/>
      </c>
      <c r="O622">
        <f>L622+M622*Assumptions!$B$153*Assumptions!$B$37</f>
        <v/>
      </c>
      <c r="P622">
        <f>IF(N622&gt;0,O622/N622,0)</f>
        <v/>
      </c>
      <c r="Q622">
        <f>IF(C622=1,P622*Assumptions!$B$141,Assumptions!$B$41)</f>
        <v/>
      </c>
      <c r="R622">
        <f>IF(D622=1,P622*Assumptions!$B$128,Assumptions!$B$33)</f>
        <v/>
      </c>
      <c r="S622">
        <f>IF(E622=1,P622*Assumptions!$B$129,Assumptions!$B$32)</f>
        <v/>
      </c>
      <c r="T622">
        <f>IF(F622=1,P622*Assumptions!$B$14,Assumptions!$B$31)</f>
        <v/>
      </c>
      <c r="U622">
        <f>IF(G622=1,P622*Assumptions!$B$13,Assumptions!$B$30)</f>
        <v/>
      </c>
      <c r="V622">
        <f>IF(H622=1,P622*Assumptions!$B$12,Assumptions!$B$29)</f>
        <v/>
      </c>
      <c r="W622">
        <f>IF(I622=1,P622*Assumptions!$B$11,Assumptions!$B$28)</f>
        <v/>
      </c>
      <c r="X622">
        <f>P622*(Assumptions!$B$133+Assumptions!$B$137)</f>
        <v/>
      </c>
      <c r="Y622">
        <f>P622*Assumptions!$B$9</f>
        <v/>
      </c>
      <c r="Z622">
        <f>IF(M622=1,(P622-Assumptions!$B$37)*Assumptions!$B$153,0)</f>
        <v/>
      </c>
      <c r="AA622">
        <f>Q622+R622+S622+T622+U622+V622+W622+X622+Y622+Z622</f>
        <v/>
      </c>
      <c r="AB622" t="n">
        <v>59</v>
      </c>
      <c r="AC622" t="n">
        <v>123</v>
      </c>
      <c r="AD622" t="n">
        <v>27</v>
      </c>
      <c r="AE622" t="n">
        <v>43</v>
      </c>
      <c r="AF622" t="n">
        <v>51</v>
      </c>
      <c r="AG622" t="n">
        <v>63</v>
      </c>
      <c r="AH622" t="n">
        <v>57</v>
      </c>
      <c r="AI622" t="n">
        <v>58</v>
      </c>
      <c r="AJ622">
        <f>INDEX($Q$563:$Q$690,AC622+1)</f>
        <v/>
      </c>
      <c r="AK622">
        <f>INDEX($R$563:$R$690,AD622+1)</f>
        <v/>
      </c>
      <c r="AL622">
        <f>INDEX($S$563:$S$690,AE622+1)</f>
        <v/>
      </c>
      <c r="AM622">
        <f>INDEX($T$563:$T$690,AF622+1)</f>
        <v/>
      </c>
      <c r="AN622">
        <f>INDEX($U$563:$U$690,AG622+1)</f>
        <v/>
      </c>
      <c r="AO622">
        <f>INDEX($V$563:$V$690,AH622+1)</f>
        <v/>
      </c>
      <c r="AP622">
        <f>INDEX($W$563:$W$690,AI622+1)</f>
        <v/>
      </c>
      <c r="AQ622">
        <f>IF(Q622&gt;=AJ622-0.01,1,0)</f>
        <v/>
      </c>
      <c r="AR622">
        <f>IF(R622&gt;=AK622-0.01,1,0)</f>
        <v/>
      </c>
      <c r="AS622">
        <f>IF(S622&gt;=AL622-0.01,1,0)</f>
        <v/>
      </c>
      <c r="AT622">
        <f>IF(T622&gt;=AM622-0.01,1,0)</f>
        <v/>
      </c>
      <c r="AU622">
        <f>IF(U622&gt;=AN622-0.01,1,0)</f>
        <v/>
      </c>
      <c r="AV622">
        <f>IF(V622&gt;=AO622-0.01,1,0)</f>
        <v/>
      </c>
      <c r="AW622">
        <f>IF(W622&gt;=AP622-0.01,1,0)</f>
        <v/>
      </c>
      <c r="AX622">
        <f>AQ622*AR622*AS622*AT622*AU622*AV622*AW622</f>
        <v/>
      </c>
      <c r="AY622">
        <f>Assumptions!$B$41</f>
        <v/>
      </c>
      <c r="AZ622">
        <f>Assumptions!$B$33</f>
        <v/>
      </c>
      <c r="BA622">
        <f>Assumptions!$B$32</f>
        <v/>
      </c>
      <c r="BB622">
        <f>Assumptions!$B$31</f>
        <v/>
      </c>
      <c r="BC622">
        <f>Assumptions!$B$30</f>
        <v/>
      </c>
      <c r="BD622">
        <f>Assumptions!$B$29</f>
        <v/>
      </c>
      <c r="BE622">
        <f>Assumptions!$B$28</f>
        <v/>
      </c>
      <c r="BF622">
        <f>P622*Assumptions!$B$141</f>
        <v/>
      </c>
      <c r="BG622">
        <f>P622*Assumptions!$B$128</f>
        <v/>
      </c>
      <c r="BH622">
        <f>P622*Assumptions!$B$129</f>
        <v/>
      </c>
      <c r="BI622">
        <f>P622*Assumptions!$B$14</f>
        <v/>
      </c>
      <c r="BJ622">
        <f>P622*Assumptions!$B$13</f>
        <v/>
      </c>
      <c r="BK622">
        <f>P622*Assumptions!$B$12</f>
        <v/>
      </c>
      <c r="BL622">
        <f>P622*Assumptions!$B$11</f>
        <v/>
      </c>
    </row>
    <row r="623">
      <c r="A623" t="inlineStr">
        <is>
          <t>8000M</t>
        </is>
      </c>
      <c r="B623">
        <f>Assumptions!$B$62</f>
        <v/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>
        <f>(1-C623)*Assumptions!$B$41+(1-D623)*Assumptions!$B$33+(1-E623)*Assumptions!$B$32+(1-F623)*Assumptions!$B$31+(1-G623)*Assumptions!$B$30+(1-H623)*Assumptions!$B$29+(1-I623)*Assumptions!$B$28</f>
        <v/>
      </c>
      <c r="K623">
        <f>C623*Assumptions!$B$141+D623*Assumptions!$B$128+E623*Assumptions!$B$129+F623*Assumptions!$B$14+G623*Assumptions!$B$13+H623*Assumptions!$B$12+I623*Assumptions!$B$11+Assumptions!$B$133+Assumptions!$B$137+Assumptions!$B$9</f>
        <v/>
      </c>
      <c r="L623">
        <f>B623-J623</f>
        <v/>
      </c>
      <c r="M623">
        <f>IF(K623&gt;0,IF(L623/K623&gt;=Assumptions!$B$37,1,0),0)</f>
        <v/>
      </c>
      <c r="N623">
        <f>K623+M623*Assumptions!$B$153</f>
        <v/>
      </c>
      <c r="O623">
        <f>L623+M623*Assumptions!$B$153*Assumptions!$B$37</f>
        <v/>
      </c>
      <c r="P623">
        <f>IF(N623&gt;0,O623/N623,0)</f>
        <v/>
      </c>
      <c r="Q623">
        <f>IF(C623=1,P623*Assumptions!$B$141,Assumptions!$B$41)</f>
        <v/>
      </c>
      <c r="R623">
        <f>IF(D623=1,P623*Assumptions!$B$128,Assumptions!$B$33)</f>
        <v/>
      </c>
      <c r="S623">
        <f>IF(E623=1,P623*Assumptions!$B$129,Assumptions!$B$32)</f>
        <v/>
      </c>
      <c r="T623">
        <f>IF(F623=1,P623*Assumptions!$B$14,Assumptions!$B$31)</f>
        <v/>
      </c>
      <c r="U623">
        <f>IF(G623=1,P623*Assumptions!$B$13,Assumptions!$B$30)</f>
        <v/>
      </c>
      <c r="V623">
        <f>IF(H623=1,P623*Assumptions!$B$12,Assumptions!$B$29)</f>
        <v/>
      </c>
      <c r="W623">
        <f>IF(I623=1,P623*Assumptions!$B$11,Assumptions!$B$28)</f>
        <v/>
      </c>
      <c r="X623">
        <f>P623*(Assumptions!$B$133+Assumptions!$B$137)</f>
        <v/>
      </c>
      <c r="Y623">
        <f>P623*Assumptions!$B$9</f>
        <v/>
      </c>
      <c r="Z623">
        <f>IF(M623=1,(P623-Assumptions!$B$37)*Assumptions!$B$153,0)</f>
        <v/>
      </c>
      <c r="AA623">
        <f>Q623+R623+S623+T623+U623+V623+W623+X623+Y623+Z623</f>
        <v/>
      </c>
      <c r="AB623" t="n">
        <v>60</v>
      </c>
      <c r="AC623" t="n">
        <v>124</v>
      </c>
      <c r="AD623" t="n">
        <v>28</v>
      </c>
      <c r="AE623" t="n">
        <v>44</v>
      </c>
      <c r="AF623" t="n">
        <v>52</v>
      </c>
      <c r="AG623" t="n">
        <v>56</v>
      </c>
      <c r="AH623" t="n">
        <v>62</v>
      </c>
      <c r="AI623" t="n">
        <v>61</v>
      </c>
      <c r="AJ623">
        <f>INDEX($Q$563:$Q$690,AC623+1)</f>
        <v/>
      </c>
      <c r="AK623">
        <f>INDEX($R$563:$R$690,AD623+1)</f>
        <v/>
      </c>
      <c r="AL623">
        <f>INDEX($S$563:$S$690,AE623+1)</f>
        <v/>
      </c>
      <c r="AM623">
        <f>INDEX($T$563:$T$690,AF623+1)</f>
        <v/>
      </c>
      <c r="AN623">
        <f>INDEX($U$563:$U$690,AG623+1)</f>
        <v/>
      </c>
      <c r="AO623">
        <f>INDEX($V$563:$V$690,AH623+1)</f>
        <v/>
      </c>
      <c r="AP623">
        <f>INDEX($W$563:$W$690,AI623+1)</f>
        <v/>
      </c>
      <c r="AQ623">
        <f>IF(Q623&gt;=AJ623-0.01,1,0)</f>
        <v/>
      </c>
      <c r="AR623">
        <f>IF(R623&gt;=AK623-0.01,1,0)</f>
        <v/>
      </c>
      <c r="AS623">
        <f>IF(S623&gt;=AL623-0.01,1,0)</f>
        <v/>
      </c>
      <c r="AT623">
        <f>IF(T623&gt;=AM623-0.01,1,0)</f>
        <v/>
      </c>
      <c r="AU623">
        <f>IF(U623&gt;=AN623-0.01,1,0)</f>
        <v/>
      </c>
      <c r="AV623">
        <f>IF(V623&gt;=AO623-0.01,1,0)</f>
        <v/>
      </c>
      <c r="AW623">
        <f>IF(W623&gt;=AP623-0.01,1,0)</f>
        <v/>
      </c>
      <c r="AX623">
        <f>AQ623*AR623*AS623*AT623*AU623*AV623*AW623</f>
        <v/>
      </c>
      <c r="AY623">
        <f>Assumptions!$B$41</f>
        <v/>
      </c>
      <c r="AZ623">
        <f>Assumptions!$B$33</f>
        <v/>
      </c>
      <c r="BA623">
        <f>Assumptions!$B$32</f>
        <v/>
      </c>
      <c r="BB623">
        <f>Assumptions!$B$31</f>
        <v/>
      </c>
      <c r="BC623">
        <f>Assumptions!$B$30</f>
        <v/>
      </c>
      <c r="BD623">
        <f>Assumptions!$B$29</f>
        <v/>
      </c>
      <c r="BE623">
        <f>Assumptions!$B$28</f>
        <v/>
      </c>
      <c r="BF623">
        <f>P623*Assumptions!$B$141</f>
        <v/>
      </c>
      <c r="BG623">
        <f>P623*Assumptions!$B$128</f>
        <v/>
      </c>
      <c r="BH623">
        <f>P623*Assumptions!$B$129</f>
        <v/>
      </c>
      <c r="BI623">
        <f>P623*Assumptions!$B$14</f>
        <v/>
      </c>
      <c r="BJ623">
        <f>P623*Assumptions!$B$13</f>
        <v/>
      </c>
      <c r="BK623">
        <f>P623*Assumptions!$B$12</f>
        <v/>
      </c>
      <c r="BL623">
        <f>P623*Assumptions!$B$11</f>
        <v/>
      </c>
    </row>
    <row r="624">
      <c r="A624" t="inlineStr">
        <is>
          <t>8000M</t>
        </is>
      </c>
      <c r="B624">
        <f>Assumptions!$B$62</f>
        <v/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1</v>
      </c>
      <c r="J624">
        <f>(1-C624)*Assumptions!$B$41+(1-D624)*Assumptions!$B$33+(1-E624)*Assumptions!$B$32+(1-F624)*Assumptions!$B$31+(1-G624)*Assumptions!$B$30+(1-H624)*Assumptions!$B$29+(1-I624)*Assumptions!$B$28</f>
        <v/>
      </c>
      <c r="K624">
        <f>C624*Assumptions!$B$141+D624*Assumptions!$B$128+E624*Assumptions!$B$129+F624*Assumptions!$B$14+G624*Assumptions!$B$13+H624*Assumptions!$B$12+I624*Assumptions!$B$11+Assumptions!$B$133+Assumptions!$B$137+Assumptions!$B$9</f>
        <v/>
      </c>
      <c r="L624">
        <f>B624-J624</f>
        <v/>
      </c>
      <c r="M624">
        <f>IF(K624&gt;0,IF(L624/K624&gt;=Assumptions!$B$37,1,0),0)</f>
        <v/>
      </c>
      <c r="N624">
        <f>K624+M624*Assumptions!$B$153</f>
        <v/>
      </c>
      <c r="O624">
        <f>L624+M624*Assumptions!$B$153*Assumptions!$B$37</f>
        <v/>
      </c>
      <c r="P624">
        <f>IF(N624&gt;0,O624/N624,0)</f>
        <v/>
      </c>
      <c r="Q624">
        <f>IF(C624=1,P624*Assumptions!$B$141,Assumptions!$B$41)</f>
        <v/>
      </c>
      <c r="R624">
        <f>IF(D624=1,P624*Assumptions!$B$128,Assumptions!$B$33)</f>
        <v/>
      </c>
      <c r="S624">
        <f>IF(E624=1,P624*Assumptions!$B$129,Assumptions!$B$32)</f>
        <v/>
      </c>
      <c r="T624">
        <f>IF(F624=1,P624*Assumptions!$B$14,Assumptions!$B$31)</f>
        <v/>
      </c>
      <c r="U624">
        <f>IF(G624=1,P624*Assumptions!$B$13,Assumptions!$B$30)</f>
        <v/>
      </c>
      <c r="V624">
        <f>IF(H624=1,P624*Assumptions!$B$12,Assumptions!$B$29)</f>
        <v/>
      </c>
      <c r="W624">
        <f>IF(I624=1,P624*Assumptions!$B$11,Assumptions!$B$28)</f>
        <v/>
      </c>
      <c r="X624">
        <f>P624*(Assumptions!$B$133+Assumptions!$B$137)</f>
        <v/>
      </c>
      <c r="Y624">
        <f>P624*Assumptions!$B$9</f>
        <v/>
      </c>
      <c r="Z624">
        <f>IF(M624=1,(P624-Assumptions!$B$37)*Assumptions!$B$153,0)</f>
        <v/>
      </c>
      <c r="AA624">
        <f>Q624+R624+S624+T624+U624+V624+W624+X624+Y624+Z624</f>
        <v/>
      </c>
      <c r="AB624" t="n">
        <v>61</v>
      </c>
      <c r="AC624" t="n">
        <v>125</v>
      </c>
      <c r="AD624" t="n">
        <v>29</v>
      </c>
      <c r="AE624" t="n">
        <v>45</v>
      </c>
      <c r="AF624" t="n">
        <v>53</v>
      </c>
      <c r="AG624" t="n">
        <v>57</v>
      </c>
      <c r="AH624" t="n">
        <v>63</v>
      </c>
      <c r="AI624" t="n">
        <v>60</v>
      </c>
      <c r="AJ624">
        <f>INDEX($Q$563:$Q$690,AC624+1)</f>
        <v/>
      </c>
      <c r="AK624">
        <f>INDEX($R$563:$R$690,AD624+1)</f>
        <v/>
      </c>
      <c r="AL624">
        <f>INDEX($S$563:$S$690,AE624+1)</f>
        <v/>
      </c>
      <c r="AM624">
        <f>INDEX($T$563:$T$690,AF624+1)</f>
        <v/>
      </c>
      <c r="AN624">
        <f>INDEX($U$563:$U$690,AG624+1)</f>
        <v/>
      </c>
      <c r="AO624">
        <f>INDEX($V$563:$V$690,AH624+1)</f>
        <v/>
      </c>
      <c r="AP624">
        <f>INDEX($W$563:$W$690,AI624+1)</f>
        <v/>
      </c>
      <c r="AQ624">
        <f>IF(Q624&gt;=AJ624-0.01,1,0)</f>
        <v/>
      </c>
      <c r="AR624">
        <f>IF(R624&gt;=AK624-0.01,1,0)</f>
        <v/>
      </c>
      <c r="AS624">
        <f>IF(S624&gt;=AL624-0.01,1,0)</f>
        <v/>
      </c>
      <c r="AT624">
        <f>IF(T624&gt;=AM624-0.01,1,0)</f>
        <v/>
      </c>
      <c r="AU624">
        <f>IF(U624&gt;=AN624-0.01,1,0)</f>
        <v/>
      </c>
      <c r="AV624">
        <f>IF(V624&gt;=AO624-0.01,1,0)</f>
        <v/>
      </c>
      <c r="AW624">
        <f>IF(W624&gt;=AP624-0.01,1,0)</f>
        <v/>
      </c>
      <c r="AX624">
        <f>AQ624*AR624*AS624*AT624*AU624*AV624*AW624</f>
        <v/>
      </c>
      <c r="AY624">
        <f>Assumptions!$B$41</f>
        <v/>
      </c>
      <c r="AZ624">
        <f>Assumptions!$B$33</f>
        <v/>
      </c>
      <c r="BA624">
        <f>Assumptions!$B$32</f>
        <v/>
      </c>
      <c r="BB624">
        <f>Assumptions!$B$31</f>
        <v/>
      </c>
      <c r="BC624">
        <f>Assumptions!$B$30</f>
        <v/>
      </c>
      <c r="BD624">
        <f>Assumptions!$B$29</f>
        <v/>
      </c>
      <c r="BE624">
        <f>Assumptions!$B$28</f>
        <v/>
      </c>
      <c r="BF624">
        <f>P624*Assumptions!$B$141</f>
        <v/>
      </c>
      <c r="BG624">
        <f>P624*Assumptions!$B$128</f>
        <v/>
      </c>
      <c r="BH624">
        <f>P624*Assumptions!$B$129</f>
        <v/>
      </c>
      <c r="BI624">
        <f>P624*Assumptions!$B$14</f>
        <v/>
      </c>
      <c r="BJ624">
        <f>P624*Assumptions!$B$13</f>
        <v/>
      </c>
      <c r="BK624">
        <f>P624*Assumptions!$B$12</f>
        <v/>
      </c>
      <c r="BL624">
        <f>P624*Assumptions!$B$11</f>
        <v/>
      </c>
    </row>
    <row r="625">
      <c r="A625" t="inlineStr">
        <is>
          <t>8000M</t>
        </is>
      </c>
      <c r="B625">
        <f>Assumptions!$B$62</f>
        <v/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>
        <f>(1-C625)*Assumptions!$B$41+(1-D625)*Assumptions!$B$33+(1-E625)*Assumptions!$B$32+(1-F625)*Assumptions!$B$31+(1-G625)*Assumptions!$B$30+(1-H625)*Assumptions!$B$29+(1-I625)*Assumptions!$B$28</f>
        <v/>
      </c>
      <c r="K625">
        <f>C625*Assumptions!$B$141+D625*Assumptions!$B$128+E625*Assumptions!$B$129+F625*Assumptions!$B$14+G625*Assumptions!$B$13+H625*Assumptions!$B$12+I625*Assumptions!$B$11+Assumptions!$B$133+Assumptions!$B$137+Assumptions!$B$9</f>
        <v/>
      </c>
      <c r="L625">
        <f>B625-J625</f>
        <v/>
      </c>
      <c r="M625">
        <f>IF(K625&gt;0,IF(L625/K625&gt;=Assumptions!$B$37,1,0),0)</f>
        <v/>
      </c>
      <c r="N625">
        <f>K625+M625*Assumptions!$B$153</f>
        <v/>
      </c>
      <c r="O625">
        <f>L625+M625*Assumptions!$B$153*Assumptions!$B$37</f>
        <v/>
      </c>
      <c r="P625">
        <f>IF(N625&gt;0,O625/N625,0)</f>
        <v/>
      </c>
      <c r="Q625">
        <f>IF(C625=1,P625*Assumptions!$B$141,Assumptions!$B$41)</f>
        <v/>
      </c>
      <c r="R625">
        <f>IF(D625=1,P625*Assumptions!$B$128,Assumptions!$B$33)</f>
        <v/>
      </c>
      <c r="S625">
        <f>IF(E625=1,P625*Assumptions!$B$129,Assumptions!$B$32)</f>
        <v/>
      </c>
      <c r="T625">
        <f>IF(F625=1,P625*Assumptions!$B$14,Assumptions!$B$31)</f>
        <v/>
      </c>
      <c r="U625">
        <f>IF(G625=1,P625*Assumptions!$B$13,Assumptions!$B$30)</f>
        <v/>
      </c>
      <c r="V625">
        <f>IF(H625=1,P625*Assumptions!$B$12,Assumptions!$B$29)</f>
        <v/>
      </c>
      <c r="W625">
        <f>IF(I625=1,P625*Assumptions!$B$11,Assumptions!$B$28)</f>
        <v/>
      </c>
      <c r="X625">
        <f>P625*(Assumptions!$B$133+Assumptions!$B$137)</f>
        <v/>
      </c>
      <c r="Y625">
        <f>P625*Assumptions!$B$9</f>
        <v/>
      </c>
      <c r="Z625">
        <f>IF(M625=1,(P625-Assumptions!$B$37)*Assumptions!$B$153,0)</f>
        <v/>
      </c>
      <c r="AA625">
        <f>Q625+R625+S625+T625+U625+V625+W625+X625+Y625+Z625</f>
        <v/>
      </c>
      <c r="AB625" t="n">
        <v>62</v>
      </c>
      <c r="AC625" t="n">
        <v>126</v>
      </c>
      <c r="AD625" t="n">
        <v>30</v>
      </c>
      <c r="AE625" t="n">
        <v>46</v>
      </c>
      <c r="AF625" t="n">
        <v>54</v>
      </c>
      <c r="AG625" t="n">
        <v>58</v>
      </c>
      <c r="AH625" t="n">
        <v>60</v>
      </c>
      <c r="AI625" t="n">
        <v>63</v>
      </c>
      <c r="AJ625">
        <f>INDEX($Q$563:$Q$690,AC625+1)</f>
        <v/>
      </c>
      <c r="AK625">
        <f>INDEX($R$563:$R$690,AD625+1)</f>
        <v/>
      </c>
      <c r="AL625">
        <f>INDEX($S$563:$S$690,AE625+1)</f>
        <v/>
      </c>
      <c r="AM625">
        <f>INDEX($T$563:$T$690,AF625+1)</f>
        <v/>
      </c>
      <c r="AN625">
        <f>INDEX($U$563:$U$690,AG625+1)</f>
        <v/>
      </c>
      <c r="AO625">
        <f>INDEX($V$563:$V$690,AH625+1)</f>
        <v/>
      </c>
      <c r="AP625">
        <f>INDEX($W$563:$W$690,AI625+1)</f>
        <v/>
      </c>
      <c r="AQ625">
        <f>IF(Q625&gt;=AJ625-0.01,1,0)</f>
        <v/>
      </c>
      <c r="AR625">
        <f>IF(R625&gt;=AK625-0.01,1,0)</f>
        <v/>
      </c>
      <c r="AS625">
        <f>IF(S625&gt;=AL625-0.01,1,0)</f>
        <v/>
      </c>
      <c r="AT625">
        <f>IF(T625&gt;=AM625-0.01,1,0)</f>
        <v/>
      </c>
      <c r="AU625">
        <f>IF(U625&gt;=AN625-0.01,1,0)</f>
        <v/>
      </c>
      <c r="AV625">
        <f>IF(V625&gt;=AO625-0.01,1,0)</f>
        <v/>
      </c>
      <c r="AW625">
        <f>IF(W625&gt;=AP625-0.01,1,0)</f>
        <v/>
      </c>
      <c r="AX625">
        <f>AQ625*AR625*AS625*AT625*AU625*AV625*AW625</f>
        <v/>
      </c>
      <c r="AY625">
        <f>Assumptions!$B$41</f>
        <v/>
      </c>
      <c r="AZ625">
        <f>Assumptions!$B$33</f>
        <v/>
      </c>
      <c r="BA625">
        <f>Assumptions!$B$32</f>
        <v/>
      </c>
      <c r="BB625">
        <f>Assumptions!$B$31</f>
        <v/>
      </c>
      <c r="BC625">
        <f>Assumptions!$B$30</f>
        <v/>
      </c>
      <c r="BD625">
        <f>Assumptions!$B$29</f>
        <v/>
      </c>
      <c r="BE625">
        <f>Assumptions!$B$28</f>
        <v/>
      </c>
      <c r="BF625">
        <f>P625*Assumptions!$B$141</f>
        <v/>
      </c>
      <c r="BG625">
        <f>P625*Assumptions!$B$128</f>
        <v/>
      </c>
      <c r="BH625">
        <f>P625*Assumptions!$B$129</f>
        <v/>
      </c>
      <c r="BI625">
        <f>P625*Assumptions!$B$14</f>
        <v/>
      </c>
      <c r="BJ625">
        <f>P625*Assumptions!$B$13</f>
        <v/>
      </c>
      <c r="BK625">
        <f>P625*Assumptions!$B$12</f>
        <v/>
      </c>
      <c r="BL625">
        <f>P625*Assumptions!$B$11</f>
        <v/>
      </c>
    </row>
    <row r="626">
      <c r="A626" t="inlineStr">
        <is>
          <t>8000M</t>
        </is>
      </c>
      <c r="B626">
        <f>Assumptions!$B$62</f>
        <v/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>
        <f>(1-C626)*Assumptions!$B$41+(1-D626)*Assumptions!$B$33+(1-E626)*Assumptions!$B$32+(1-F626)*Assumptions!$B$31+(1-G626)*Assumptions!$B$30+(1-H626)*Assumptions!$B$29+(1-I626)*Assumptions!$B$28</f>
        <v/>
      </c>
      <c r="K626">
        <f>C626*Assumptions!$B$141+D626*Assumptions!$B$128+E626*Assumptions!$B$129+F626*Assumptions!$B$14+G626*Assumptions!$B$13+H626*Assumptions!$B$12+I626*Assumptions!$B$11+Assumptions!$B$133+Assumptions!$B$137+Assumptions!$B$9</f>
        <v/>
      </c>
      <c r="L626">
        <f>B626-J626</f>
        <v/>
      </c>
      <c r="M626">
        <f>IF(K626&gt;0,IF(L626/K626&gt;=Assumptions!$B$37,1,0),0)</f>
        <v/>
      </c>
      <c r="N626">
        <f>K626+M626*Assumptions!$B$153</f>
        <v/>
      </c>
      <c r="O626">
        <f>L626+M626*Assumptions!$B$153*Assumptions!$B$37</f>
        <v/>
      </c>
      <c r="P626">
        <f>IF(N626&gt;0,O626/N626,0)</f>
        <v/>
      </c>
      <c r="Q626">
        <f>IF(C626=1,P626*Assumptions!$B$141,Assumptions!$B$41)</f>
        <v/>
      </c>
      <c r="R626">
        <f>IF(D626=1,P626*Assumptions!$B$128,Assumptions!$B$33)</f>
        <v/>
      </c>
      <c r="S626">
        <f>IF(E626=1,P626*Assumptions!$B$129,Assumptions!$B$32)</f>
        <v/>
      </c>
      <c r="T626">
        <f>IF(F626=1,P626*Assumptions!$B$14,Assumptions!$B$31)</f>
        <v/>
      </c>
      <c r="U626">
        <f>IF(G626=1,P626*Assumptions!$B$13,Assumptions!$B$30)</f>
        <v/>
      </c>
      <c r="V626">
        <f>IF(H626=1,P626*Assumptions!$B$12,Assumptions!$B$29)</f>
        <v/>
      </c>
      <c r="W626">
        <f>IF(I626=1,P626*Assumptions!$B$11,Assumptions!$B$28)</f>
        <v/>
      </c>
      <c r="X626">
        <f>P626*(Assumptions!$B$133+Assumptions!$B$137)</f>
        <v/>
      </c>
      <c r="Y626">
        <f>P626*Assumptions!$B$9</f>
        <v/>
      </c>
      <c r="Z626">
        <f>IF(M626=1,(P626-Assumptions!$B$37)*Assumptions!$B$153,0)</f>
        <v/>
      </c>
      <c r="AA626">
        <f>Q626+R626+S626+T626+U626+V626+W626+X626+Y626+Z626</f>
        <v/>
      </c>
      <c r="AB626" t="n">
        <v>63</v>
      </c>
      <c r="AC626" t="n">
        <v>127</v>
      </c>
      <c r="AD626" t="n">
        <v>31</v>
      </c>
      <c r="AE626" t="n">
        <v>47</v>
      </c>
      <c r="AF626" t="n">
        <v>55</v>
      </c>
      <c r="AG626" t="n">
        <v>59</v>
      </c>
      <c r="AH626" t="n">
        <v>61</v>
      </c>
      <c r="AI626" t="n">
        <v>62</v>
      </c>
      <c r="AJ626">
        <f>INDEX($Q$563:$Q$690,AC626+1)</f>
        <v/>
      </c>
      <c r="AK626">
        <f>INDEX($R$563:$R$690,AD626+1)</f>
        <v/>
      </c>
      <c r="AL626">
        <f>INDEX($S$563:$S$690,AE626+1)</f>
        <v/>
      </c>
      <c r="AM626">
        <f>INDEX($T$563:$T$690,AF626+1)</f>
        <v/>
      </c>
      <c r="AN626">
        <f>INDEX($U$563:$U$690,AG626+1)</f>
        <v/>
      </c>
      <c r="AO626">
        <f>INDEX($V$563:$V$690,AH626+1)</f>
        <v/>
      </c>
      <c r="AP626">
        <f>INDEX($W$563:$W$690,AI626+1)</f>
        <v/>
      </c>
      <c r="AQ626">
        <f>IF(Q626&gt;=AJ626-0.01,1,0)</f>
        <v/>
      </c>
      <c r="AR626">
        <f>IF(R626&gt;=AK626-0.01,1,0)</f>
        <v/>
      </c>
      <c r="AS626">
        <f>IF(S626&gt;=AL626-0.01,1,0)</f>
        <v/>
      </c>
      <c r="AT626">
        <f>IF(T626&gt;=AM626-0.01,1,0)</f>
        <v/>
      </c>
      <c r="AU626">
        <f>IF(U626&gt;=AN626-0.01,1,0)</f>
        <v/>
      </c>
      <c r="AV626">
        <f>IF(V626&gt;=AO626-0.01,1,0)</f>
        <v/>
      </c>
      <c r="AW626">
        <f>IF(W626&gt;=AP626-0.01,1,0)</f>
        <v/>
      </c>
      <c r="AX626">
        <f>AQ626*AR626*AS626*AT626*AU626*AV626*AW626</f>
        <v/>
      </c>
      <c r="AY626">
        <f>Assumptions!$B$41</f>
        <v/>
      </c>
      <c r="AZ626">
        <f>Assumptions!$B$33</f>
        <v/>
      </c>
      <c r="BA626">
        <f>Assumptions!$B$32</f>
        <v/>
      </c>
      <c r="BB626">
        <f>Assumptions!$B$31</f>
        <v/>
      </c>
      <c r="BC626">
        <f>Assumptions!$B$30</f>
        <v/>
      </c>
      <c r="BD626">
        <f>Assumptions!$B$29</f>
        <v/>
      </c>
      <c r="BE626">
        <f>Assumptions!$B$28</f>
        <v/>
      </c>
      <c r="BF626">
        <f>P626*Assumptions!$B$141</f>
        <v/>
      </c>
      <c r="BG626">
        <f>P626*Assumptions!$B$128</f>
        <v/>
      </c>
      <c r="BH626">
        <f>P626*Assumptions!$B$129</f>
        <v/>
      </c>
      <c r="BI626">
        <f>P626*Assumptions!$B$14</f>
        <v/>
      </c>
      <c r="BJ626">
        <f>P626*Assumptions!$B$13</f>
        <v/>
      </c>
      <c r="BK626">
        <f>P626*Assumptions!$B$12</f>
        <v/>
      </c>
      <c r="BL626">
        <f>P626*Assumptions!$B$11</f>
        <v/>
      </c>
    </row>
    <row r="627">
      <c r="A627" t="inlineStr">
        <is>
          <t>8000M</t>
        </is>
      </c>
      <c r="B627">
        <f>Assumptions!$B$62</f>
        <v/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>
        <f>(1-C627)*Assumptions!$B$41+(1-D627)*Assumptions!$B$33+(1-E627)*Assumptions!$B$32+(1-F627)*Assumptions!$B$31+(1-G627)*Assumptions!$B$30+(1-H627)*Assumptions!$B$29+(1-I627)*Assumptions!$B$28</f>
        <v/>
      </c>
      <c r="K627">
        <f>C627*Assumptions!$B$141+D627*Assumptions!$B$128+E627*Assumptions!$B$129+F627*Assumptions!$B$14+G627*Assumptions!$B$13+H627*Assumptions!$B$12+I627*Assumptions!$B$11+Assumptions!$B$133+Assumptions!$B$137+Assumptions!$B$9</f>
        <v/>
      </c>
      <c r="L627">
        <f>B627-J627</f>
        <v/>
      </c>
      <c r="M627">
        <f>IF(K627&gt;0,IF(L627/K627&gt;=Assumptions!$B$37,1,0),0)</f>
        <v/>
      </c>
      <c r="N627">
        <f>K627+M627*Assumptions!$B$153</f>
        <v/>
      </c>
      <c r="O627">
        <f>L627+M627*Assumptions!$B$153*Assumptions!$B$37</f>
        <v/>
      </c>
      <c r="P627">
        <f>IF(N627&gt;0,O627/N627,0)</f>
        <v/>
      </c>
      <c r="Q627">
        <f>IF(C627=1,P627*Assumptions!$B$141,Assumptions!$B$41)</f>
        <v/>
      </c>
      <c r="R627">
        <f>IF(D627=1,P627*Assumptions!$B$128,Assumptions!$B$33)</f>
        <v/>
      </c>
      <c r="S627">
        <f>IF(E627=1,P627*Assumptions!$B$129,Assumptions!$B$32)</f>
        <v/>
      </c>
      <c r="T627">
        <f>IF(F627=1,P627*Assumptions!$B$14,Assumptions!$B$31)</f>
        <v/>
      </c>
      <c r="U627">
        <f>IF(G627=1,P627*Assumptions!$B$13,Assumptions!$B$30)</f>
        <v/>
      </c>
      <c r="V627">
        <f>IF(H627=1,P627*Assumptions!$B$12,Assumptions!$B$29)</f>
        <v/>
      </c>
      <c r="W627">
        <f>IF(I627=1,P627*Assumptions!$B$11,Assumptions!$B$28)</f>
        <v/>
      </c>
      <c r="X627">
        <f>P627*(Assumptions!$B$133+Assumptions!$B$137)</f>
        <v/>
      </c>
      <c r="Y627">
        <f>P627*Assumptions!$B$9</f>
        <v/>
      </c>
      <c r="Z627">
        <f>IF(M627=1,(P627-Assumptions!$B$37)*Assumptions!$B$153,0)</f>
        <v/>
      </c>
      <c r="AA627">
        <f>Q627+R627+S627+T627+U627+V627+W627+X627+Y627+Z627</f>
        <v/>
      </c>
      <c r="AB627" t="n">
        <v>64</v>
      </c>
      <c r="AC627" t="n">
        <v>0</v>
      </c>
      <c r="AD627" t="n">
        <v>96</v>
      </c>
      <c r="AE627" t="n">
        <v>80</v>
      </c>
      <c r="AF627" t="n">
        <v>72</v>
      </c>
      <c r="AG627" t="n">
        <v>68</v>
      </c>
      <c r="AH627" t="n">
        <v>66</v>
      </c>
      <c r="AI627" t="n">
        <v>65</v>
      </c>
      <c r="AJ627">
        <f>INDEX($Q$563:$Q$690,AC627+1)</f>
        <v/>
      </c>
      <c r="AK627">
        <f>INDEX($R$563:$R$690,AD627+1)</f>
        <v/>
      </c>
      <c r="AL627">
        <f>INDEX($S$563:$S$690,AE627+1)</f>
        <v/>
      </c>
      <c r="AM627">
        <f>INDEX($T$563:$T$690,AF627+1)</f>
        <v/>
      </c>
      <c r="AN627">
        <f>INDEX($U$563:$U$690,AG627+1)</f>
        <v/>
      </c>
      <c r="AO627">
        <f>INDEX($V$563:$V$690,AH627+1)</f>
        <v/>
      </c>
      <c r="AP627">
        <f>INDEX($W$563:$W$690,AI627+1)</f>
        <v/>
      </c>
      <c r="AQ627">
        <f>IF(Q627&gt;=AJ627-0.01,1,0)</f>
        <v/>
      </c>
      <c r="AR627">
        <f>IF(R627&gt;=AK627-0.01,1,0)</f>
        <v/>
      </c>
      <c r="AS627">
        <f>IF(S627&gt;=AL627-0.01,1,0)</f>
        <v/>
      </c>
      <c r="AT627">
        <f>IF(T627&gt;=AM627-0.01,1,0)</f>
        <v/>
      </c>
      <c r="AU627">
        <f>IF(U627&gt;=AN627-0.01,1,0)</f>
        <v/>
      </c>
      <c r="AV627">
        <f>IF(V627&gt;=AO627-0.01,1,0)</f>
        <v/>
      </c>
      <c r="AW627">
        <f>IF(W627&gt;=AP627-0.01,1,0)</f>
        <v/>
      </c>
      <c r="AX627">
        <f>AQ627*AR627*AS627*AT627*AU627*AV627*AW627</f>
        <v/>
      </c>
      <c r="AY627">
        <f>Assumptions!$B$41</f>
        <v/>
      </c>
      <c r="AZ627">
        <f>Assumptions!$B$33</f>
        <v/>
      </c>
      <c r="BA627">
        <f>Assumptions!$B$32</f>
        <v/>
      </c>
      <c r="BB627">
        <f>Assumptions!$B$31</f>
        <v/>
      </c>
      <c r="BC627">
        <f>Assumptions!$B$30</f>
        <v/>
      </c>
      <c r="BD627">
        <f>Assumptions!$B$29</f>
        <v/>
      </c>
      <c r="BE627">
        <f>Assumptions!$B$28</f>
        <v/>
      </c>
      <c r="BF627">
        <f>P627*Assumptions!$B$141</f>
        <v/>
      </c>
      <c r="BG627">
        <f>P627*Assumptions!$B$128</f>
        <v/>
      </c>
      <c r="BH627">
        <f>P627*Assumptions!$B$129</f>
        <v/>
      </c>
      <c r="BI627">
        <f>P627*Assumptions!$B$14</f>
        <v/>
      </c>
      <c r="BJ627">
        <f>P627*Assumptions!$B$13</f>
        <v/>
      </c>
      <c r="BK627">
        <f>P627*Assumptions!$B$12</f>
        <v/>
      </c>
      <c r="BL627">
        <f>P627*Assumptions!$B$11</f>
        <v/>
      </c>
    </row>
    <row r="628">
      <c r="A628" t="inlineStr">
        <is>
          <t>8000M</t>
        </is>
      </c>
      <c r="B628">
        <f>Assumptions!$B$62</f>
        <v/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>
        <f>(1-C628)*Assumptions!$B$41+(1-D628)*Assumptions!$B$33+(1-E628)*Assumptions!$B$32+(1-F628)*Assumptions!$B$31+(1-G628)*Assumptions!$B$30+(1-H628)*Assumptions!$B$29+(1-I628)*Assumptions!$B$28</f>
        <v/>
      </c>
      <c r="K628">
        <f>C628*Assumptions!$B$141+D628*Assumptions!$B$128+E628*Assumptions!$B$129+F628*Assumptions!$B$14+G628*Assumptions!$B$13+H628*Assumptions!$B$12+I628*Assumptions!$B$11+Assumptions!$B$133+Assumptions!$B$137+Assumptions!$B$9</f>
        <v/>
      </c>
      <c r="L628">
        <f>B628-J628</f>
        <v/>
      </c>
      <c r="M628">
        <f>IF(K628&gt;0,IF(L628/K628&gt;=Assumptions!$B$37,1,0),0)</f>
        <v/>
      </c>
      <c r="N628">
        <f>K628+M628*Assumptions!$B$153</f>
        <v/>
      </c>
      <c r="O628">
        <f>L628+M628*Assumptions!$B$153*Assumptions!$B$37</f>
        <v/>
      </c>
      <c r="P628">
        <f>IF(N628&gt;0,O628/N628,0)</f>
        <v/>
      </c>
      <c r="Q628">
        <f>IF(C628=1,P628*Assumptions!$B$141,Assumptions!$B$41)</f>
        <v/>
      </c>
      <c r="R628">
        <f>IF(D628=1,P628*Assumptions!$B$128,Assumptions!$B$33)</f>
        <v/>
      </c>
      <c r="S628">
        <f>IF(E628=1,P628*Assumptions!$B$129,Assumptions!$B$32)</f>
        <v/>
      </c>
      <c r="T628">
        <f>IF(F628=1,P628*Assumptions!$B$14,Assumptions!$B$31)</f>
        <v/>
      </c>
      <c r="U628">
        <f>IF(G628=1,P628*Assumptions!$B$13,Assumptions!$B$30)</f>
        <v/>
      </c>
      <c r="V628">
        <f>IF(H628=1,P628*Assumptions!$B$12,Assumptions!$B$29)</f>
        <v/>
      </c>
      <c r="W628">
        <f>IF(I628=1,P628*Assumptions!$B$11,Assumptions!$B$28)</f>
        <v/>
      </c>
      <c r="X628">
        <f>P628*(Assumptions!$B$133+Assumptions!$B$137)</f>
        <v/>
      </c>
      <c r="Y628">
        <f>P628*Assumptions!$B$9</f>
        <v/>
      </c>
      <c r="Z628">
        <f>IF(M628=1,(P628-Assumptions!$B$37)*Assumptions!$B$153,0)</f>
        <v/>
      </c>
      <c r="AA628">
        <f>Q628+R628+S628+T628+U628+V628+W628+X628+Y628+Z628</f>
        <v/>
      </c>
      <c r="AB628" t="n">
        <v>65</v>
      </c>
      <c r="AC628" t="n">
        <v>1</v>
      </c>
      <c r="AD628" t="n">
        <v>97</v>
      </c>
      <c r="AE628" t="n">
        <v>81</v>
      </c>
      <c r="AF628" t="n">
        <v>73</v>
      </c>
      <c r="AG628" t="n">
        <v>69</v>
      </c>
      <c r="AH628" t="n">
        <v>67</v>
      </c>
      <c r="AI628" t="n">
        <v>64</v>
      </c>
      <c r="AJ628">
        <f>INDEX($Q$563:$Q$690,AC628+1)</f>
        <v/>
      </c>
      <c r="AK628">
        <f>INDEX($R$563:$R$690,AD628+1)</f>
        <v/>
      </c>
      <c r="AL628">
        <f>INDEX($S$563:$S$690,AE628+1)</f>
        <v/>
      </c>
      <c r="AM628">
        <f>INDEX($T$563:$T$690,AF628+1)</f>
        <v/>
      </c>
      <c r="AN628">
        <f>INDEX($U$563:$U$690,AG628+1)</f>
        <v/>
      </c>
      <c r="AO628">
        <f>INDEX($V$563:$V$690,AH628+1)</f>
        <v/>
      </c>
      <c r="AP628">
        <f>INDEX($W$563:$W$690,AI628+1)</f>
        <v/>
      </c>
      <c r="AQ628">
        <f>IF(Q628&gt;=AJ628-0.01,1,0)</f>
        <v/>
      </c>
      <c r="AR628">
        <f>IF(R628&gt;=AK628-0.01,1,0)</f>
        <v/>
      </c>
      <c r="AS628">
        <f>IF(S628&gt;=AL628-0.01,1,0)</f>
        <v/>
      </c>
      <c r="AT628">
        <f>IF(T628&gt;=AM628-0.01,1,0)</f>
        <v/>
      </c>
      <c r="AU628">
        <f>IF(U628&gt;=AN628-0.01,1,0)</f>
        <v/>
      </c>
      <c r="AV628">
        <f>IF(V628&gt;=AO628-0.01,1,0)</f>
        <v/>
      </c>
      <c r="AW628">
        <f>IF(W628&gt;=AP628-0.01,1,0)</f>
        <v/>
      </c>
      <c r="AX628">
        <f>AQ628*AR628*AS628*AT628*AU628*AV628*AW628</f>
        <v/>
      </c>
      <c r="AY628">
        <f>Assumptions!$B$41</f>
        <v/>
      </c>
      <c r="AZ628">
        <f>Assumptions!$B$33</f>
        <v/>
      </c>
      <c r="BA628">
        <f>Assumptions!$B$32</f>
        <v/>
      </c>
      <c r="BB628">
        <f>Assumptions!$B$31</f>
        <v/>
      </c>
      <c r="BC628">
        <f>Assumptions!$B$30</f>
        <v/>
      </c>
      <c r="BD628">
        <f>Assumptions!$B$29</f>
        <v/>
      </c>
      <c r="BE628">
        <f>Assumptions!$B$28</f>
        <v/>
      </c>
      <c r="BF628">
        <f>P628*Assumptions!$B$141</f>
        <v/>
      </c>
      <c r="BG628">
        <f>P628*Assumptions!$B$128</f>
        <v/>
      </c>
      <c r="BH628">
        <f>P628*Assumptions!$B$129</f>
        <v/>
      </c>
      <c r="BI628">
        <f>P628*Assumptions!$B$14</f>
        <v/>
      </c>
      <c r="BJ628">
        <f>P628*Assumptions!$B$13</f>
        <v/>
      </c>
      <c r="BK628">
        <f>P628*Assumptions!$B$12</f>
        <v/>
      </c>
      <c r="BL628">
        <f>P628*Assumptions!$B$11</f>
        <v/>
      </c>
    </row>
    <row r="629">
      <c r="A629" t="inlineStr">
        <is>
          <t>8000M</t>
        </is>
      </c>
      <c r="B629">
        <f>Assumptions!$B$62</f>
        <v/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>
        <f>(1-C629)*Assumptions!$B$41+(1-D629)*Assumptions!$B$33+(1-E629)*Assumptions!$B$32+(1-F629)*Assumptions!$B$31+(1-G629)*Assumptions!$B$30+(1-H629)*Assumptions!$B$29+(1-I629)*Assumptions!$B$28</f>
        <v/>
      </c>
      <c r="K629">
        <f>C629*Assumptions!$B$141+D629*Assumptions!$B$128+E629*Assumptions!$B$129+F629*Assumptions!$B$14+G629*Assumptions!$B$13+H629*Assumptions!$B$12+I629*Assumptions!$B$11+Assumptions!$B$133+Assumptions!$B$137+Assumptions!$B$9</f>
        <v/>
      </c>
      <c r="L629">
        <f>B629-J629</f>
        <v/>
      </c>
      <c r="M629">
        <f>IF(K629&gt;0,IF(L629/K629&gt;=Assumptions!$B$37,1,0),0)</f>
        <v/>
      </c>
      <c r="N629">
        <f>K629+M629*Assumptions!$B$153</f>
        <v/>
      </c>
      <c r="O629">
        <f>L629+M629*Assumptions!$B$153*Assumptions!$B$37</f>
        <v/>
      </c>
      <c r="P629">
        <f>IF(N629&gt;0,O629/N629,0)</f>
        <v/>
      </c>
      <c r="Q629">
        <f>IF(C629=1,P629*Assumptions!$B$141,Assumptions!$B$41)</f>
        <v/>
      </c>
      <c r="R629">
        <f>IF(D629=1,P629*Assumptions!$B$128,Assumptions!$B$33)</f>
        <v/>
      </c>
      <c r="S629">
        <f>IF(E629=1,P629*Assumptions!$B$129,Assumptions!$B$32)</f>
        <v/>
      </c>
      <c r="T629">
        <f>IF(F629=1,P629*Assumptions!$B$14,Assumptions!$B$31)</f>
        <v/>
      </c>
      <c r="U629">
        <f>IF(G629=1,P629*Assumptions!$B$13,Assumptions!$B$30)</f>
        <v/>
      </c>
      <c r="V629">
        <f>IF(H629=1,P629*Assumptions!$B$12,Assumptions!$B$29)</f>
        <v/>
      </c>
      <c r="W629">
        <f>IF(I629=1,P629*Assumptions!$B$11,Assumptions!$B$28)</f>
        <v/>
      </c>
      <c r="X629">
        <f>P629*(Assumptions!$B$133+Assumptions!$B$137)</f>
        <v/>
      </c>
      <c r="Y629">
        <f>P629*Assumptions!$B$9</f>
        <v/>
      </c>
      <c r="Z629">
        <f>IF(M629=1,(P629-Assumptions!$B$37)*Assumptions!$B$153,0)</f>
        <v/>
      </c>
      <c r="AA629">
        <f>Q629+R629+S629+T629+U629+V629+W629+X629+Y629+Z629</f>
        <v/>
      </c>
      <c r="AB629" t="n">
        <v>66</v>
      </c>
      <c r="AC629" t="n">
        <v>2</v>
      </c>
      <c r="AD629" t="n">
        <v>98</v>
      </c>
      <c r="AE629" t="n">
        <v>82</v>
      </c>
      <c r="AF629" t="n">
        <v>74</v>
      </c>
      <c r="AG629" t="n">
        <v>70</v>
      </c>
      <c r="AH629" t="n">
        <v>64</v>
      </c>
      <c r="AI629" t="n">
        <v>67</v>
      </c>
      <c r="AJ629">
        <f>INDEX($Q$563:$Q$690,AC629+1)</f>
        <v/>
      </c>
      <c r="AK629">
        <f>INDEX($R$563:$R$690,AD629+1)</f>
        <v/>
      </c>
      <c r="AL629">
        <f>INDEX($S$563:$S$690,AE629+1)</f>
        <v/>
      </c>
      <c r="AM629">
        <f>INDEX($T$563:$T$690,AF629+1)</f>
        <v/>
      </c>
      <c r="AN629">
        <f>INDEX($U$563:$U$690,AG629+1)</f>
        <v/>
      </c>
      <c r="AO629">
        <f>INDEX($V$563:$V$690,AH629+1)</f>
        <v/>
      </c>
      <c r="AP629">
        <f>INDEX($W$563:$W$690,AI629+1)</f>
        <v/>
      </c>
      <c r="AQ629">
        <f>IF(Q629&gt;=AJ629-0.01,1,0)</f>
        <v/>
      </c>
      <c r="AR629">
        <f>IF(R629&gt;=AK629-0.01,1,0)</f>
        <v/>
      </c>
      <c r="AS629">
        <f>IF(S629&gt;=AL629-0.01,1,0)</f>
        <v/>
      </c>
      <c r="AT629">
        <f>IF(T629&gt;=AM629-0.01,1,0)</f>
        <v/>
      </c>
      <c r="AU629">
        <f>IF(U629&gt;=AN629-0.01,1,0)</f>
        <v/>
      </c>
      <c r="AV629">
        <f>IF(V629&gt;=AO629-0.01,1,0)</f>
        <v/>
      </c>
      <c r="AW629">
        <f>IF(W629&gt;=AP629-0.01,1,0)</f>
        <v/>
      </c>
      <c r="AX629">
        <f>AQ629*AR629*AS629*AT629*AU629*AV629*AW629</f>
        <v/>
      </c>
      <c r="AY629">
        <f>Assumptions!$B$41</f>
        <v/>
      </c>
      <c r="AZ629">
        <f>Assumptions!$B$33</f>
        <v/>
      </c>
      <c r="BA629">
        <f>Assumptions!$B$32</f>
        <v/>
      </c>
      <c r="BB629">
        <f>Assumptions!$B$31</f>
        <v/>
      </c>
      <c r="BC629">
        <f>Assumptions!$B$30</f>
        <v/>
      </c>
      <c r="BD629">
        <f>Assumptions!$B$29</f>
        <v/>
      </c>
      <c r="BE629">
        <f>Assumptions!$B$28</f>
        <v/>
      </c>
      <c r="BF629">
        <f>P629*Assumptions!$B$141</f>
        <v/>
      </c>
      <c r="BG629">
        <f>P629*Assumptions!$B$128</f>
        <v/>
      </c>
      <c r="BH629">
        <f>P629*Assumptions!$B$129</f>
        <v/>
      </c>
      <c r="BI629">
        <f>P629*Assumptions!$B$14</f>
        <v/>
      </c>
      <c r="BJ629">
        <f>P629*Assumptions!$B$13</f>
        <v/>
      </c>
      <c r="BK629">
        <f>P629*Assumptions!$B$12</f>
        <v/>
      </c>
      <c r="BL629">
        <f>P629*Assumptions!$B$11</f>
        <v/>
      </c>
    </row>
    <row r="630">
      <c r="A630" t="inlineStr">
        <is>
          <t>8000M</t>
        </is>
      </c>
      <c r="B630">
        <f>Assumptions!$B$62</f>
        <v/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>
        <f>(1-C630)*Assumptions!$B$41+(1-D630)*Assumptions!$B$33+(1-E630)*Assumptions!$B$32+(1-F630)*Assumptions!$B$31+(1-G630)*Assumptions!$B$30+(1-H630)*Assumptions!$B$29+(1-I630)*Assumptions!$B$28</f>
        <v/>
      </c>
      <c r="K630">
        <f>C630*Assumptions!$B$141+D630*Assumptions!$B$128+E630*Assumptions!$B$129+F630*Assumptions!$B$14+G630*Assumptions!$B$13+H630*Assumptions!$B$12+I630*Assumptions!$B$11+Assumptions!$B$133+Assumptions!$B$137+Assumptions!$B$9</f>
        <v/>
      </c>
      <c r="L630">
        <f>B630-J630</f>
        <v/>
      </c>
      <c r="M630">
        <f>IF(K630&gt;0,IF(L630/K630&gt;=Assumptions!$B$37,1,0),0)</f>
        <v/>
      </c>
      <c r="N630">
        <f>K630+M630*Assumptions!$B$153</f>
        <v/>
      </c>
      <c r="O630">
        <f>L630+M630*Assumptions!$B$153*Assumptions!$B$37</f>
        <v/>
      </c>
      <c r="P630">
        <f>IF(N630&gt;0,O630/N630,0)</f>
        <v/>
      </c>
      <c r="Q630">
        <f>IF(C630=1,P630*Assumptions!$B$141,Assumptions!$B$41)</f>
        <v/>
      </c>
      <c r="R630">
        <f>IF(D630=1,P630*Assumptions!$B$128,Assumptions!$B$33)</f>
        <v/>
      </c>
      <c r="S630">
        <f>IF(E630=1,P630*Assumptions!$B$129,Assumptions!$B$32)</f>
        <v/>
      </c>
      <c r="T630">
        <f>IF(F630=1,P630*Assumptions!$B$14,Assumptions!$B$31)</f>
        <v/>
      </c>
      <c r="U630">
        <f>IF(G630=1,P630*Assumptions!$B$13,Assumptions!$B$30)</f>
        <v/>
      </c>
      <c r="V630">
        <f>IF(H630=1,P630*Assumptions!$B$12,Assumptions!$B$29)</f>
        <v/>
      </c>
      <c r="W630">
        <f>IF(I630=1,P630*Assumptions!$B$11,Assumptions!$B$28)</f>
        <v/>
      </c>
      <c r="X630">
        <f>P630*(Assumptions!$B$133+Assumptions!$B$137)</f>
        <v/>
      </c>
      <c r="Y630">
        <f>P630*Assumptions!$B$9</f>
        <v/>
      </c>
      <c r="Z630">
        <f>IF(M630=1,(P630-Assumptions!$B$37)*Assumptions!$B$153,0)</f>
        <v/>
      </c>
      <c r="AA630">
        <f>Q630+R630+S630+T630+U630+V630+W630+X630+Y630+Z630</f>
        <v/>
      </c>
      <c r="AB630" t="n">
        <v>67</v>
      </c>
      <c r="AC630" t="n">
        <v>3</v>
      </c>
      <c r="AD630" t="n">
        <v>99</v>
      </c>
      <c r="AE630" t="n">
        <v>83</v>
      </c>
      <c r="AF630" t="n">
        <v>75</v>
      </c>
      <c r="AG630" t="n">
        <v>71</v>
      </c>
      <c r="AH630" t="n">
        <v>65</v>
      </c>
      <c r="AI630" t="n">
        <v>66</v>
      </c>
      <c r="AJ630">
        <f>INDEX($Q$563:$Q$690,AC630+1)</f>
        <v/>
      </c>
      <c r="AK630">
        <f>INDEX($R$563:$R$690,AD630+1)</f>
        <v/>
      </c>
      <c r="AL630">
        <f>INDEX($S$563:$S$690,AE630+1)</f>
        <v/>
      </c>
      <c r="AM630">
        <f>INDEX($T$563:$T$690,AF630+1)</f>
        <v/>
      </c>
      <c r="AN630">
        <f>INDEX($U$563:$U$690,AG630+1)</f>
        <v/>
      </c>
      <c r="AO630">
        <f>INDEX($V$563:$V$690,AH630+1)</f>
        <v/>
      </c>
      <c r="AP630">
        <f>INDEX($W$563:$W$690,AI630+1)</f>
        <v/>
      </c>
      <c r="AQ630">
        <f>IF(Q630&gt;=AJ630-0.01,1,0)</f>
        <v/>
      </c>
      <c r="AR630">
        <f>IF(R630&gt;=AK630-0.01,1,0)</f>
        <v/>
      </c>
      <c r="AS630">
        <f>IF(S630&gt;=AL630-0.01,1,0)</f>
        <v/>
      </c>
      <c r="AT630">
        <f>IF(T630&gt;=AM630-0.01,1,0)</f>
        <v/>
      </c>
      <c r="AU630">
        <f>IF(U630&gt;=AN630-0.01,1,0)</f>
        <v/>
      </c>
      <c r="AV630">
        <f>IF(V630&gt;=AO630-0.01,1,0)</f>
        <v/>
      </c>
      <c r="AW630">
        <f>IF(W630&gt;=AP630-0.01,1,0)</f>
        <v/>
      </c>
      <c r="AX630">
        <f>AQ630*AR630*AS630*AT630*AU630*AV630*AW630</f>
        <v/>
      </c>
      <c r="AY630">
        <f>Assumptions!$B$41</f>
        <v/>
      </c>
      <c r="AZ630">
        <f>Assumptions!$B$33</f>
        <v/>
      </c>
      <c r="BA630">
        <f>Assumptions!$B$32</f>
        <v/>
      </c>
      <c r="BB630">
        <f>Assumptions!$B$31</f>
        <v/>
      </c>
      <c r="BC630">
        <f>Assumptions!$B$30</f>
        <v/>
      </c>
      <c r="BD630">
        <f>Assumptions!$B$29</f>
        <v/>
      </c>
      <c r="BE630">
        <f>Assumptions!$B$28</f>
        <v/>
      </c>
      <c r="BF630">
        <f>P630*Assumptions!$B$141</f>
        <v/>
      </c>
      <c r="BG630">
        <f>P630*Assumptions!$B$128</f>
        <v/>
      </c>
      <c r="BH630">
        <f>P630*Assumptions!$B$129</f>
        <v/>
      </c>
      <c r="BI630">
        <f>P630*Assumptions!$B$14</f>
        <v/>
      </c>
      <c r="BJ630">
        <f>P630*Assumptions!$B$13</f>
        <v/>
      </c>
      <c r="BK630">
        <f>P630*Assumptions!$B$12</f>
        <v/>
      </c>
      <c r="BL630">
        <f>P630*Assumptions!$B$11</f>
        <v/>
      </c>
    </row>
    <row r="631">
      <c r="A631" t="inlineStr">
        <is>
          <t>8000M</t>
        </is>
      </c>
      <c r="B631">
        <f>Assumptions!$B$62</f>
        <v/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>
        <f>(1-C631)*Assumptions!$B$41+(1-D631)*Assumptions!$B$33+(1-E631)*Assumptions!$B$32+(1-F631)*Assumptions!$B$31+(1-G631)*Assumptions!$B$30+(1-H631)*Assumptions!$B$29+(1-I631)*Assumptions!$B$28</f>
        <v/>
      </c>
      <c r="K631">
        <f>C631*Assumptions!$B$141+D631*Assumptions!$B$128+E631*Assumptions!$B$129+F631*Assumptions!$B$14+G631*Assumptions!$B$13+H631*Assumptions!$B$12+I631*Assumptions!$B$11+Assumptions!$B$133+Assumptions!$B$137+Assumptions!$B$9</f>
        <v/>
      </c>
      <c r="L631">
        <f>B631-J631</f>
        <v/>
      </c>
      <c r="M631">
        <f>IF(K631&gt;0,IF(L631/K631&gt;=Assumptions!$B$37,1,0),0)</f>
        <v/>
      </c>
      <c r="N631">
        <f>K631+M631*Assumptions!$B$153</f>
        <v/>
      </c>
      <c r="O631">
        <f>L631+M631*Assumptions!$B$153*Assumptions!$B$37</f>
        <v/>
      </c>
      <c r="P631">
        <f>IF(N631&gt;0,O631/N631,0)</f>
        <v/>
      </c>
      <c r="Q631">
        <f>IF(C631=1,P631*Assumptions!$B$141,Assumptions!$B$41)</f>
        <v/>
      </c>
      <c r="R631">
        <f>IF(D631=1,P631*Assumptions!$B$128,Assumptions!$B$33)</f>
        <v/>
      </c>
      <c r="S631">
        <f>IF(E631=1,P631*Assumptions!$B$129,Assumptions!$B$32)</f>
        <v/>
      </c>
      <c r="T631">
        <f>IF(F631=1,P631*Assumptions!$B$14,Assumptions!$B$31)</f>
        <v/>
      </c>
      <c r="U631">
        <f>IF(G631=1,P631*Assumptions!$B$13,Assumptions!$B$30)</f>
        <v/>
      </c>
      <c r="V631">
        <f>IF(H631=1,P631*Assumptions!$B$12,Assumptions!$B$29)</f>
        <v/>
      </c>
      <c r="W631">
        <f>IF(I631=1,P631*Assumptions!$B$11,Assumptions!$B$28)</f>
        <v/>
      </c>
      <c r="X631">
        <f>P631*(Assumptions!$B$133+Assumptions!$B$137)</f>
        <v/>
      </c>
      <c r="Y631">
        <f>P631*Assumptions!$B$9</f>
        <v/>
      </c>
      <c r="Z631">
        <f>IF(M631=1,(P631-Assumptions!$B$37)*Assumptions!$B$153,0)</f>
        <v/>
      </c>
      <c r="AA631">
        <f>Q631+R631+S631+T631+U631+V631+W631+X631+Y631+Z631</f>
        <v/>
      </c>
      <c r="AB631" t="n">
        <v>68</v>
      </c>
      <c r="AC631" t="n">
        <v>4</v>
      </c>
      <c r="AD631" t="n">
        <v>100</v>
      </c>
      <c r="AE631" t="n">
        <v>84</v>
      </c>
      <c r="AF631" t="n">
        <v>76</v>
      </c>
      <c r="AG631" t="n">
        <v>64</v>
      </c>
      <c r="AH631" t="n">
        <v>70</v>
      </c>
      <c r="AI631" t="n">
        <v>69</v>
      </c>
      <c r="AJ631">
        <f>INDEX($Q$563:$Q$690,AC631+1)</f>
        <v/>
      </c>
      <c r="AK631">
        <f>INDEX($R$563:$R$690,AD631+1)</f>
        <v/>
      </c>
      <c r="AL631">
        <f>INDEX($S$563:$S$690,AE631+1)</f>
        <v/>
      </c>
      <c r="AM631">
        <f>INDEX($T$563:$T$690,AF631+1)</f>
        <v/>
      </c>
      <c r="AN631">
        <f>INDEX($U$563:$U$690,AG631+1)</f>
        <v/>
      </c>
      <c r="AO631">
        <f>INDEX($V$563:$V$690,AH631+1)</f>
        <v/>
      </c>
      <c r="AP631">
        <f>INDEX($W$563:$W$690,AI631+1)</f>
        <v/>
      </c>
      <c r="AQ631">
        <f>IF(Q631&gt;=AJ631-0.01,1,0)</f>
        <v/>
      </c>
      <c r="AR631">
        <f>IF(R631&gt;=AK631-0.01,1,0)</f>
        <v/>
      </c>
      <c r="AS631">
        <f>IF(S631&gt;=AL631-0.01,1,0)</f>
        <v/>
      </c>
      <c r="AT631">
        <f>IF(T631&gt;=AM631-0.01,1,0)</f>
        <v/>
      </c>
      <c r="AU631">
        <f>IF(U631&gt;=AN631-0.01,1,0)</f>
        <v/>
      </c>
      <c r="AV631">
        <f>IF(V631&gt;=AO631-0.01,1,0)</f>
        <v/>
      </c>
      <c r="AW631">
        <f>IF(W631&gt;=AP631-0.01,1,0)</f>
        <v/>
      </c>
      <c r="AX631">
        <f>AQ631*AR631*AS631*AT631*AU631*AV631*AW631</f>
        <v/>
      </c>
      <c r="AY631">
        <f>Assumptions!$B$41</f>
        <v/>
      </c>
      <c r="AZ631">
        <f>Assumptions!$B$33</f>
        <v/>
      </c>
      <c r="BA631">
        <f>Assumptions!$B$32</f>
        <v/>
      </c>
      <c r="BB631">
        <f>Assumptions!$B$31</f>
        <v/>
      </c>
      <c r="BC631">
        <f>Assumptions!$B$30</f>
        <v/>
      </c>
      <c r="BD631">
        <f>Assumptions!$B$29</f>
        <v/>
      </c>
      <c r="BE631">
        <f>Assumptions!$B$28</f>
        <v/>
      </c>
      <c r="BF631">
        <f>P631*Assumptions!$B$141</f>
        <v/>
      </c>
      <c r="BG631">
        <f>P631*Assumptions!$B$128</f>
        <v/>
      </c>
      <c r="BH631">
        <f>P631*Assumptions!$B$129</f>
        <v/>
      </c>
      <c r="BI631">
        <f>P631*Assumptions!$B$14</f>
        <v/>
      </c>
      <c r="BJ631">
        <f>P631*Assumptions!$B$13</f>
        <v/>
      </c>
      <c r="BK631">
        <f>P631*Assumptions!$B$12</f>
        <v/>
      </c>
      <c r="BL631">
        <f>P631*Assumptions!$B$11</f>
        <v/>
      </c>
    </row>
    <row r="632">
      <c r="A632" t="inlineStr">
        <is>
          <t>8000M</t>
        </is>
      </c>
      <c r="B632">
        <f>Assumptions!$B$62</f>
        <v/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>
        <f>(1-C632)*Assumptions!$B$41+(1-D632)*Assumptions!$B$33+(1-E632)*Assumptions!$B$32+(1-F632)*Assumptions!$B$31+(1-G632)*Assumptions!$B$30+(1-H632)*Assumptions!$B$29+(1-I632)*Assumptions!$B$28</f>
        <v/>
      </c>
      <c r="K632">
        <f>C632*Assumptions!$B$141+D632*Assumptions!$B$128+E632*Assumptions!$B$129+F632*Assumptions!$B$14+G632*Assumptions!$B$13+H632*Assumptions!$B$12+I632*Assumptions!$B$11+Assumptions!$B$133+Assumptions!$B$137+Assumptions!$B$9</f>
        <v/>
      </c>
      <c r="L632">
        <f>B632-J632</f>
        <v/>
      </c>
      <c r="M632">
        <f>IF(K632&gt;0,IF(L632/K632&gt;=Assumptions!$B$37,1,0),0)</f>
        <v/>
      </c>
      <c r="N632">
        <f>K632+M632*Assumptions!$B$153</f>
        <v/>
      </c>
      <c r="O632">
        <f>L632+M632*Assumptions!$B$153*Assumptions!$B$37</f>
        <v/>
      </c>
      <c r="P632">
        <f>IF(N632&gt;0,O632/N632,0)</f>
        <v/>
      </c>
      <c r="Q632">
        <f>IF(C632=1,P632*Assumptions!$B$141,Assumptions!$B$41)</f>
        <v/>
      </c>
      <c r="R632">
        <f>IF(D632=1,P632*Assumptions!$B$128,Assumptions!$B$33)</f>
        <v/>
      </c>
      <c r="S632">
        <f>IF(E632=1,P632*Assumptions!$B$129,Assumptions!$B$32)</f>
        <v/>
      </c>
      <c r="T632">
        <f>IF(F632=1,P632*Assumptions!$B$14,Assumptions!$B$31)</f>
        <v/>
      </c>
      <c r="U632">
        <f>IF(G632=1,P632*Assumptions!$B$13,Assumptions!$B$30)</f>
        <v/>
      </c>
      <c r="V632">
        <f>IF(H632=1,P632*Assumptions!$B$12,Assumptions!$B$29)</f>
        <v/>
      </c>
      <c r="W632">
        <f>IF(I632=1,P632*Assumptions!$B$11,Assumptions!$B$28)</f>
        <v/>
      </c>
      <c r="X632">
        <f>P632*(Assumptions!$B$133+Assumptions!$B$137)</f>
        <v/>
      </c>
      <c r="Y632">
        <f>P632*Assumptions!$B$9</f>
        <v/>
      </c>
      <c r="Z632">
        <f>IF(M632=1,(P632-Assumptions!$B$37)*Assumptions!$B$153,0)</f>
        <v/>
      </c>
      <c r="AA632">
        <f>Q632+R632+S632+T632+U632+V632+W632+X632+Y632+Z632</f>
        <v/>
      </c>
      <c r="AB632" t="n">
        <v>69</v>
      </c>
      <c r="AC632" t="n">
        <v>5</v>
      </c>
      <c r="AD632" t="n">
        <v>101</v>
      </c>
      <c r="AE632" t="n">
        <v>85</v>
      </c>
      <c r="AF632" t="n">
        <v>77</v>
      </c>
      <c r="AG632" t="n">
        <v>65</v>
      </c>
      <c r="AH632" t="n">
        <v>71</v>
      </c>
      <c r="AI632" t="n">
        <v>68</v>
      </c>
      <c r="AJ632">
        <f>INDEX($Q$563:$Q$690,AC632+1)</f>
        <v/>
      </c>
      <c r="AK632">
        <f>INDEX($R$563:$R$690,AD632+1)</f>
        <v/>
      </c>
      <c r="AL632">
        <f>INDEX($S$563:$S$690,AE632+1)</f>
        <v/>
      </c>
      <c r="AM632">
        <f>INDEX($T$563:$T$690,AF632+1)</f>
        <v/>
      </c>
      <c r="AN632">
        <f>INDEX($U$563:$U$690,AG632+1)</f>
        <v/>
      </c>
      <c r="AO632">
        <f>INDEX($V$563:$V$690,AH632+1)</f>
        <v/>
      </c>
      <c r="AP632">
        <f>INDEX($W$563:$W$690,AI632+1)</f>
        <v/>
      </c>
      <c r="AQ632">
        <f>IF(Q632&gt;=AJ632-0.01,1,0)</f>
        <v/>
      </c>
      <c r="AR632">
        <f>IF(R632&gt;=AK632-0.01,1,0)</f>
        <v/>
      </c>
      <c r="AS632">
        <f>IF(S632&gt;=AL632-0.01,1,0)</f>
        <v/>
      </c>
      <c r="AT632">
        <f>IF(T632&gt;=AM632-0.01,1,0)</f>
        <v/>
      </c>
      <c r="AU632">
        <f>IF(U632&gt;=AN632-0.01,1,0)</f>
        <v/>
      </c>
      <c r="AV632">
        <f>IF(V632&gt;=AO632-0.01,1,0)</f>
        <v/>
      </c>
      <c r="AW632">
        <f>IF(W632&gt;=AP632-0.01,1,0)</f>
        <v/>
      </c>
      <c r="AX632">
        <f>AQ632*AR632*AS632*AT632*AU632*AV632*AW632</f>
        <v/>
      </c>
      <c r="AY632">
        <f>Assumptions!$B$41</f>
        <v/>
      </c>
      <c r="AZ632">
        <f>Assumptions!$B$33</f>
        <v/>
      </c>
      <c r="BA632">
        <f>Assumptions!$B$32</f>
        <v/>
      </c>
      <c r="BB632">
        <f>Assumptions!$B$31</f>
        <v/>
      </c>
      <c r="BC632">
        <f>Assumptions!$B$30</f>
        <v/>
      </c>
      <c r="BD632">
        <f>Assumptions!$B$29</f>
        <v/>
      </c>
      <c r="BE632">
        <f>Assumptions!$B$28</f>
        <v/>
      </c>
      <c r="BF632">
        <f>P632*Assumptions!$B$141</f>
        <v/>
      </c>
      <c r="BG632">
        <f>P632*Assumptions!$B$128</f>
        <v/>
      </c>
      <c r="BH632">
        <f>P632*Assumptions!$B$129</f>
        <v/>
      </c>
      <c r="BI632">
        <f>P632*Assumptions!$B$14</f>
        <v/>
      </c>
      <c r="BJ632">
        <f>P632*Assumptions!$B$13</f>
        <v/>
      </c>
      <c r="BK632">
        <f>P632*Assumptions!$B$12</f>
        <v/>
      </c>
      <c r="BL632">
        <f>P632*Assumptions!$B$11</f>
        <v/>
      </c>
    </row>
    <row r="633">
      <c r="A633" t="inlineStr">
        <is>
          <t>8000M</t>
        </is>
      </c>
      <c r="B633">
        <f>Assumptions!$B$62</f>
        <v/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>
        <f>(1-C633)*Assumptions!$B$41+(1-D633)*Assumptions!$B$33+(1-E633)*Assumptions!$B$32+(1-F633)*Assumptions!$B$31+(1-G633)*Assumptions!$B$30+(1-H633)*Assumptions!$B$29+(1-I633)*Assumptions!$B$28</f>
        <v/>
      </c>
      <c r="K633">
        <f>C633*Assumptions!$B$141+D633*Assumptions!$B$128+E633*Assumptions!$B$129+F633*Assumptions!$B$14+G633*Assumptions!$B$13+H633*Assumptions!$B$12+I633*Assumptions!$B$11+Assumptions!$B$133+Assumptions!$B$137+Assumptions!$B$9</f>
        <v/>
      </c>
      <c r="L633">
        <f>B633-J633</f>
        <v/>
      </c>
      <c r="M633">
        <f>IF(K633&gt;0,IF(L633/K633&gt;=Assumptions!$B$37,1,0),0)</f>
        <v/>
      </c>
      <c r="N633">
        <f>K633+M633*Assumptions!$B$153</f>
        <v/>
      </c>
      <c r="O633">
        <f>L633+M633*Assumptions!$B$153*Assumptions!$B$37</f>
        <v/>
      </c>
      <c r="P633">
        <f>IF(N633&gt;0,O633/N633,0)</f>
        <v/>
      </c>
      <c r="Q633">
        <f>IF(C633=1,P633*Assumptions!$B$141,Assumptions!$B$41)</f>
        <v/>
      </c>
      <c r="R633">
        <f>IF(D633=1,P633*Assumptions!$B$128,Assumptions!$B$33)</f>
        <v/>
      </c>
      <c r="S633">
        <f>IF(E633=1,P633*Assumptions!$B$129,Assumptions!$B$32)</f>
        <v/>
      </c>
      <c r="T633">
        <f>IF(F633=1,P633*Assumptions!$B$14,Assumptions!$B$31)</f>
        <v/>
      </c>
      <c r="U633">
        <f>IF(G633=1,P633*Assumptions!$B$13,Assumptions!$B$30)</f>
        <v/>
      </c>
      <c r="V633">
        <f>IF(H633=1,P633*Assumptions!$B$12,Assumptions!$B$29)</f>
        <v/>
      </c>
      <c r="W633">
        <f>IF(I633=1,P633*Assumptions!$B$11,Assumptions!$B$28)</f>
        <v/>
      </c>
      <c r="X633">
        <f>P633*(Assumptions!$B$133+Assumptions!$B$137)</f>
        <v/>
      </c>
      <c r="Y633">
        <f>P633*Assumptions!$B$9</f>
        <v/>
      </c>
      <c r="Z633">
        <f>IF(M633=1,(P633-Assumptions!$B$37)*Assumptions!$B$153,0)</f>
        <v/>
      </c>
      <c r="AA633">
        <f>Q633+R633+S633+T633+U633+V633+W633+X633+Y633+Z633</f>
        <v/>
      </c>
      <c r="AB633" t="n">
        <v>70</v>
      </c>
      <c r="AC633" t="n">
        <v>6</v>
      </c>
      <c r="AD633" t="n">
        <v>102</v>
      </c>
      <c r="AE633" t="n">
        <v>86</v>
      </c>
      <c r="AF633" t="n">
        <v>78</v>
      </c>
      <c r="AG633" t="n">
        <v>66</v>
      </c>
      <c r="AH633" t="n">
        <v>68</v>
      </c>
      <c r="AI633" t="n">
        <v>71</v>
      </c>
      <c r="AJ633">
        <f>INDEX($Q$563:$Q$690,AC633+1)</f>
        <v/>
      </c>
      <c r="AK633">
        <f>INDEX($R$563:$R$690,AD633+1)</f>
        <v/>
      </c>
      <c r="AL633">
        <f>INDEX($S$563:$S$690,AE633+1)</f>
        <v/>
      </c>
      <c r="AM633">
        <f>INDEX($T$563:$T$690,AF633+1)</f>
        <v/>
      </c>
      <c r="AN633">
        <f>INDEX($U$563:$U$690,AG633+1)</f>
        <v/>
      </c>
      <c r="AO633">
        <f>INDEX($V$563:$V$690,AH633+1)</f>
        <v/>
      </c>
      <c r="AP633">
        <f>INDEX($W$563:$W$690,AI633+1)</f>
        <v/>
      </c>
      <c r="AQ633">
        <f>IF(Q633&gt;=AJ633-0.01,1,0)</f>
        <v/>
      </c>
      <c r="AR633">
        <f>IF(R633&gt;=AK633-0.01,1,0)</f>
        <v/>
      </c>
      <c r="AS633">
        <f>IF(S633&gt;=AL633-0.01,1,0)</f>
        <v/>
      </c>
      <c r="AT633">
        <f>IF(T633&gt;=AM633-0.01,1,0)</f>
        <v/>
      </c>
      <c r="AU633">
        <f>IF(U633&gt;=AN633-0.01,1,0)</f>
        <v/>
      </c>
      <c r="AV633">
        <f>IF(V633&gt;=AO633-0.01,1,0)</f>
        <v/>
      </c>
      <c r="AW633">
        <f>IF(W633&gt;=AP633-0.01,1,0)</f>
        <v/>
      </c>
      <c r="AX633">
        <f>AQ633*AR633*AS633*AT633*AU633*AV633*AW633</f>
        <v/>
      </c>
      <c r="AY633">
        <f>Assumptions!$B$41</f>
        <v/>
      </c>
      <c r="AZ633">
        <f>Assumptions!$B$33</f>
        <v/>
      </c>
      <c r="BA633">
        <f>Assumptions!$B$32</f>
        <v/>
      </c>
      <c r="BB633">
        <f>Assumptions!$B$31</f>
        <v/>
      </c>
      <c r="BC633">
        <f>Assumptions!$B$30</f>
        <v/>
      </c>
      <c r="BD633">
        <f>Assumptions!$B$29</f>
        <v/>
      </c>
      <c r="BE633">
        <f>Assumptions!$B$28</f>
        <v/>
      </c>
      <c r="BF633">
        <f>P633*Assumptions!$B$141</f>
        <v/>
      </c>
      <c r="BG633">
        <f>P633*Assumptions!$B$128</f>
        <v/>
      </c>
      <c r="BH633">
        <f>P633*Assumptions!$B$129</f>
        <v/>
      </c>
      <c r="BI633">
        <f>P633*Assumptions!$B$14</f>
        <v/>
      </c>
      <c r="BJ633">
        <f>P633*Assumptions!$B$13</f>
        <v/>
      </c>
      <c r="BK633">
        <f>P633*Assumptions!$B$12</f>
        <v/>
      </c>
      <c r="BL633">
        <f>P633*Assumptions!$B$11</f>
        <v/>
      </c>
    </row>
    <row r="634">
      <c r="A634" t="inlineStr">
        <is>
          <t>8000M</t>
        </is>
      </c>
      <c r="B634">
        <f>Assumptions!$B$62</f>
        <v/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>
        <f>(1-C634)*Assumptions!$B$41+(1-D634)*Assumptions!$B$33+(1-E634)*Assumptions!$B$32+(1-F634)*Assumptions!$B$31+(1-G634)*Assumptions!$B$30+(1-H634)*Assumptions!$B$29+(1-I634)*Assumptions!$B$28</f>
        <v/>
      </c>
      <c r="K634">
        <f>C634*Assumptions!$B$141+D634*Assumptions!$B$128+E634*Assumptions!$B$129+F634*Assumptions!$B$14+G634*Assumptions!$B$13+H634*Assumptions!$B$12+I634*Assumptions!$B$11+Assumptions!$B$133+Assumptions!$B$137+Assumptions!$B$9</f>
        <v/>
      </c>
      <c r="L634">
        <f>B634-J634</f>
        <v/>
      </c>
      <c r="M634">
        <f>IF(K634&gt;0,IF(L634/K634&gt;=Assumptions!$B$37,1,0),0)</f>
        <v/>
      </c>
      <c r="N634">
        <f>K634+M634*Assumptions!$B$153</f>
        <v/>
      </c>
      <c r="O634">
        <f>L634+M634*Assumptions!$B$153*Assumptions!$B$37</f>
        <v/>
      </c>
      <c r="P634">
        <f>IF(N634&gt;0,O634/N634,0)</f>
        <v/>
      </c>
      <c r="Q634">
        <f>IF(C634=1,P634*Assumptions!$B$141,Assumptions!$B$41)</f>
        <v/>
      </c>
      <c r="R634">
        <f>IF(D634=1,P634*Assumptions!$B$128,Assumptions!$B$33)</f>
        <v/>
      </c>
      <c r="S634">
        <f>IF(E634=1,P634*Assumptions!$B$129,Assumptions!$B$32)</f>
        <v/>
      </c>
      <c r="T634">
        <f>IF(F634=1,P634*Assumptions!$B$14,Assumptions!$B$31)</f>
        <v/>
      </c>
      <c r="U634">
        <f>IF(G634=1,P634*Assumptions!$B$13,Assumptions!$B$30)</f>
        <v/>
      </c>
      <c r="V634">
        <f>IF(H634=1,P634*Assumptions!$B$12,Assumptions!$B$29)</f>
        <v/>
      </c>
      <c r="W634">
        <f>IF(I634=1,P634*Assumptions!$B$11,Assumptions!$B$28)</f>
        <v/>
      </c>
      <c r="X634">
        <f>P634*(Assumptions!$B$133+Assumptions!$B$137)</f>
        <v/>
      </c>
      <c r="Y634">
        <f>P634*Assumptions!$B$9</f>
        <v/>
      </c>
      <c r="Z634">
        <f>IF(M634=1,(P634-Assumptions!$B$37)*Assumptions!$B$153,0)</f>
        <v/>
      </c>
      <c r="AA634">
        <f>Q634+R634+S634+T634+U634+V634+W634+X634+Y634+Z634</f>
        <v/>
      </c>
      <c r="AB634" t="n">
        <v>71</v>
      </c>
      <c r="AC634" t="n">
        <v>7</v>
      </c>
      <c r="AD634" t="n">
        <v>103</v>
      </c>
      <c r="AE634" t="n">
        <v>87</v>
      </c>
      <c r="AF634" t="n">
        <v>79</v>
      </c>
      <c r="AG634" t="n">
        <v>67</v>
      </c>
      <c r="AH634" t="n">
        <v>69</v>
      </c>
      <c r="AI634" t="n">
        <v>70</v>
      </c>
      <c r="AJ634">
        <f>INDEX($Q$563:$Q$690,AC634+1)</f>
        <v/>
      </c>
      <c r="AK634">
        <f>INDEX($R$563:$R$690,AD634+1)</f>
        <v/>
      </c>
      <c r="AL634">
        <f>INDEX($S$563:$S$690,AE634+1)</f>
        <v/>
      </c>
      <c r="AM634">
        <f>INDEX($T$563:$T$690,AF634+1)</f>
        <v/>
      </c>
      <c r="AN634">
        <f>INDEX($U$563:$U$690,AG634+1)</f>
        <v/>
      </c>
      <c r="AO634">
        <f>INDEX($V$563:$V$690,AH634+1)</f>
        <v/>
      </c>
      <c r="AP634">
        <f>INDEX($W$563:$W$690,AI634+1)</f>
        <v/>
      </c>
      <c r="AQ634">
        <f>IF(Q634&gt;=AJ634-0.01,1,0)</f>
        <v/>
      </c>
      <c r="AR634">
        <f>IF(R634&gt;=AK634-0.01,1,0)</f>
        <v/>
      </c>
      <c r="AS634">
        <f>IF(S634&gt;=AL634-0.01,1,0)</f>
        <v/>
      </c>
      <c r="AT634">
        <f>IF(T634&gt;=AM634-0.01,1,0)</f>
        <v/>
      </c>
      <c r="AU634">
        <f>IF(U634&gt;=AN634-0.01,1,0)</f>
        <v/>
      </c>
      <c r="AV634">
        <f>IF(V634&gt;=AO634-0.01,1,0)</f>
        <v/>
      </c>
      <c r="AW634">
        <f>IF(W634&gt;=AP634-0.01,1,0)</f>
        <v/>
      </c>
      <c r="AX634">
        <f>AQ634*AR634*AS634*AT634*AU634*AV634*AW634</f>
        <v/>
      </c>
      <c r="AY634">
        <f>Assumptions!$B$41</f>
        <v/>
      </c>
      <c r="AZ634">
        <f>Assumptions!$B$33</f>
        <v/>
      </c>
      <c r="BA634">
        <f>Assumptions!$B$32</f>
        <v/>
      </c>
      <c r="BB634">
        <f>Assumptions!$B$31</f>
        <v/>
      </c>
      <c r="BC634">
        <f>Assumptions!$B$30</f>
        <v/>
      </c>
      <c r="BD634">
        <f>Assumptions!$B$29</f>
        <v/>
      </c>
      <c r="BE634">
        <f>Assumptions!$B$28</f>
        <v/>
      </c>
      <c r="BF634">
        <f>P634*Assumptions!$B$141</f>
        <v/>
      </c>
      <c r="BG634">
        <f>P634*Assumptions!$B$128</f>
        <v/>
      </c>
      <c r="BH634">
        <f>P634*Assumptions!$B$129</f>
        <v/>
      </c>
      <c r="BI634">
        <f>P634*Assumptions!$B$14</f>
        <v/>
      </c>
      <c r="BJ634">
        <f>P634*Assumptions!$B$13</f>
        <v/>
      </c>
      <c r="BK634">
        <f>P634*Assumptions!$B$12</f>
        <v/>
      </c>
      <c r="BL634">
        <f>P634*Assumptions!$B$11</f>
        <v/>
      </c>
    </row>
    <row r="635">
      <c r="A635" t="inlineStr">
        <is>
          <t>8000M</t>
        </is>
      </c>
      <c r="B635">
        <f>Assumptions!$B$62</f>
        <v/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>
        <f>(1-C635)*Assumptions!$B$41+(1-D635)*Assumptions!$B$33+(1-E635)*Assumptions!$B$32+(1-F635)*Assumptions!$B$31+(1-G635)*Assumptions!$B$30+(1-H635)*Assumptions!$B$29+(1-I635)*Assumptions!$B$28</f>
        <v/>
      </c>
      <c r="K635">
        <f>C635*Assumptions!$B$141+D635*Assumptions!$B$128+E635*Assumptions!$B$129+F635*Assumptions!$B$14+G635*Assumptions!$B$13+H635*Assumptions!$B$12+I635*Assumptions!$B$11+Assumptions!$B$133+Assumptions!$B$137+Assumptions!$B$9</f>
        <v/>
      </c>
      <c r="L635">
        <f>B635-J635</f>
        <v/>
      </c>
      <c r="M635">
        <f>IF(K635&gt;0,IF(L635/K635&gt;=Assumptions!$B$37,1,0),0)</f>
        <v/>
      </c>
      <c r="N635">
        <f>K635+M635*Assumptions!$B$153</f>
        <v/>
      </c>
      <c r="O635">
        <f>L635+M635*Assumptions!$B$153*Assumptions!$B$37</f>
        <v/>
      </c>
      <c r="P635">
        <f>IF(N635&gt;0,O635/N635,0)</f>
        <v/>
      </c>
      <c r="Q635">
        <f>IF(C635=1,P635*Assumptions!$B$141,Assumptions!$B$41)</f>
        <v/>
      </c>
      <c r="R635">
        <f>IF(D635=1,P635*Assumptions!$B$128,Assumptions!$B$33)</f>
        <v/>
      </c>
      <c r="S635">
        <f>IF(E635=1,P635*Assumptions!$B$129,Assumptions!$B$32)</f>
        <v/>
      </c>
      <c r="T635">
        <f>IF(F635=1,P635*Assumptions!$B$14,Assumptions!$B$31)</f>
        <v/>
      </c>
      <c r="U635">
        <f>IF(G635=1,P635*Assumptions!$B$13,Assumptions!$B$30)</f>
        <v/>
      </c>
      <c r="V635">
        <f>IF(H635=1,P635*Assumptions!$B$12,Assumptions!$B$29)</f>
        <v/>
      </c>
      <c r="W635">
        <f>IF(I635=1,P635*Assumptions!$B$11,Assumptions!$B$28)</f>
        <v/>
      </c>
      <c r="X635">
        <f>P635*(Assumptions!$B$133+Assumptions!$B$137)</f>
        <v/>
      </c>
      <c r="Y635">
        <f>P635*Assumptions!$B$9</f>
        <v/>
      </c>
      <c r="Z635">
        <f>IF(M635=1,(P635-Assumptions!$B$37)*Assumptions!$B$153,0)</f>
        <v/>
      </c>
      <c r="AA635">
        <f>Q635+R635+S635+T635+U635+V635+W635+X635+Y635+Z635</f>
        <v/>
      </c>
      <c r="AB635" t="n">
        <v>72</v>
      </c>
      <c r="AC635" t="n">
        <v>8</v>
      </c>
      <c r="AD635" t="n">
        <v>104</v>
      </c>
      <c r="AE635" t="n">
        <v>88</v>
      </c>
      <c r="AF635" t="n">
        <v>64</v>
      </c>
      <c r="AG635" t="n">
        <v>76</v>
      </c>
      <c r="AH635" t="n">
        <v>74</v>
      </c>
      <c r="AI635" t="n">
        <v>73</v>
      </c>
      <c r="AJ635">
        <f>INDEX($Q$563:$Q$690,AC635+1)</f>
        <v/>
      </c>
      <c r="AK635">
        <f>INDEX($R$563:$R$690,AD635+1)</f>
        <v/>
      </c>
      <c r="AL635">
        <f>INDEX($S$563:$S$690,AE635+1)</f>
        <v/>
      </c>
      <c r="AM635">
        <f>INDEX($T$563:$T$690,AF635+1)</f>
        <v/>
      </c>
      <c r="AN635">
        <f>INDEX($U$563:$U$690,AG635+1)</f>
        <v/>
      </c>
      <c r="AO635">
        <f>INDEX($V$563:$V$690,AH635+1)</f>
        <v/>
      </c>
      <c r="AP635">
        <f>INDEX($W$563:$W$690,AI635+1)</f>
        <v/>
      </c>
      <c r="AQ635">
        <f>IF(Q635&gt;=AJ635-0.01,1,0)</f>
        <v/>
      </c>
      <c r="AR635">
        <f>IF(R635&gt;=AK635-0.01,1,0)</f>
        <v/>
      </c>
      <c r="AS635">
        <f>IF(S635&gt;=AL635-0.01,1,0)</f>
        <v/>
      </c>
      <c r="AT635">
        <f>IF(T635&gt;=AM635-0.01,1,0)</f>
        <v/>
      </c>
      <c r="AU635">
        <f>IF(U635&gt;=AN635-0.01,1,0)</f>
        <v/>
      </c>
      <c r="AV635">
        <f>IF(V635&gt;=AO635-0.01,1,0)</f>
        <v/>
      </c>
      <c r="AW635">
        <f>IF(W635&gt;=AP635-0.01,1,0)</f>
        <v/>
      </c>
      <c r="AX635">
        <f>AQ635*AR635*AS635*AT635*AU635*AV635*AW635</f>
        <v/>
      </c>
      <c r="AY635">
        <f>Assumptions!$B$41</f>
        <v/>
      </c>
      <c r="AZ635">
        <f>Assumptions!$B$33</f>
        <v/>
      </c>
      <c r="BA635">
        <f>Assumptions!$B$32</f>
        <v/>
      </c>
      <c r="BB635">
        <f>Assumptions!$B$31</f>
        <v/>
      </c>
      <c r="BC635">
        <f>Assumptions!$B$30</f>
        <v/>
      </c>
      <c r="BD635">
        <f>Assumptions!$B$29</f>
        <v/>
      </c>
      <c r="BE635">
        <f>Assumptions!$B$28</f>
        <v/>
      </c>
      <c r="BF635">
        <f>P635*Assumptions!$B$141</f>
        <v/>
      </c>
      <c r="BG635">
        <f>P635*Assumptions!$B$128</f>
        <v/>
      </c>
      <c r="BH635">
        <f>P635*Assumptions!$B$129</f>
        <v/>
      </c>
      <c r="BI635">
        <f>P635*Assumptions!$B$14</f>
        <v/>
      </c>
      <c r="BJ635">
        <f>P635*Assumptions!$B$13</f>
        <v/>
      </c>
      <c r="BK635">
        <f>P635*Assumptions!$B$12</f>
        <v/>
      </c>
      <c r="BL635">
        <f>P635*Assumptions!$B$11</f>
        <v/>
      </c>
    </row>
    <row r="636">
      <c r="A636" t="inlineStr">
        <is>
          <t>8000M</t>
        </is>
      </c>
      <c r="B636">
        <f>Assumptions!$B$62</f>
        <v/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>
        <f>(1-C636)*Assumptions!$B$41+(1-D636)*Assumptions!$B$33+(1-E636)*Assumptions!$B$32+(1-F636)*Assumptions!$B$31+(1-G636)*Assumptions!$B$30+(1-H636)*Assumptions!$B$29+(1-I636)*Assumptions!$B$28</f>
        <v/>
      </c>
      <c r="K636">
        <f>C636*Assumptions!$B$141+D636*Assumptions!$B$128+E636*Assumptions!$B$129+F636*Assumptions!$B$14+G636*Assumptions!$B$13+H636*Assumptions!$B$12+I636*Assumptions!$B$11+Assumptions!$B$133+Assumptions!$B$137+Assumptions!$B$9</f>
        <v/>
      </c>
      <c r="L636">
        <f>B636-J636</f>
        <v/>
      </c>
      <c r="M636">
        <f>IF(K636&gt;0,IF(L636/K636&gt;=Assumptions!$B$37,1,0),0)</f>
        <v/>
      </c>
      <c r="N636">
        <f>K636+M636*Assumptions!$B$153</f>
        <v/>
      </c>
      <c r="O636">
        <f>L636+M636*Assumptions!$B$153*Assumptions!$B$37</f>
        <v/>
      </c>
      <c r="P636">
        <f>IF(N636&gt;0,O636/N636,0)</f>
        <v/>
      </c>
      <c r="Q636">
        <f>IF(C636=1,P636*Assumptions!$B$141,Assumptions!$B$41)</f>
        <v/>
      </c>
      <c r="R636">
        <f>IF(D636=1,P636*Assumptions!$B$128,Assumptions!$B$33)</f>
        <v/>
      </c>
      <c r="S636">
        <f>IF(E636=1,P636*Assumptions!$B$129,Assumptions!$B$32)</f>
        <v/>
      </c>
      <c r="T636">
        <f>IF(F636=1,P636*Assumptions!$B$14,Assumptions!$B$31)</f>
        <v/>
      </c>
      <c r="U636">
        <f>IF(G636=1,P636*Assumptions!$B$13,Assumptions!$B$30)</f>
        <v/>
      </c>
      <c r="V636">
        <f>IF(H636=1,P636*Assumptions!$B$12,Assumptions!$B$29)</f>
        <v/>
      </c>
      <c r="W636">
        <f>IF(I636=1,P636*Assumptions!$B$11,Assumptions!$B$28)</f>
        <v/>
      </c>
      <c r="X636">
        <f>P636*(Assumptions!$B$133+Assumptions!$B$137)</f>
        <v/>
      </c>
      <c r="Y636">
        <f>P636*Assumptions!$B$9</f>
        <v/>
      </c>
      <c r="Z636">
        <f>IF(M636=1,(P636-Assumptions!$B$37)*Assumptions!$B$153,0)</f>
        <v/>
      </c>
      <c r="AA636">
        <f>Q636+R636+S636+T636+U636+V636+W636+X636+Y636+Z636</f>
        <v/>
      </c>
      <c r="AB636" t="n">
        <v>73</v>
      </c>
      <c r="AC636" t="n">
        <v>9</v>
      </c>
      <c r="AD636" t="n">
        <v>105</v>
      </c>
      <c r="AE636" t="n">
        <v>89</v>
      </c>
      <c r="AF636" t="n">
        <v>65</v>
      </c>
      <c r="AG636" t="n">
        <v>77</v>
      </c>
      <c r="AH636" t="n">
        <v>75</v>
      </c>
      <c r="AI636" t="n">
        <v>72</v>
      </c>
      <c r="AJ636">
        <f>INDEX($Q$563:$Q$690,AC636+1)</f>
        <v/>
      </c>
      <c r="AK636">
        <f>INDEX($R$563:$R$690,AD636+1)</f>
        <v/>
      </c>
      <c r="AL636">
        <f>INDEX($S$563:$S$690,AE636+1)</f>
        <v/>
      </c>
      <c r="AM636">
        <f>INDEX($T$563:$T$690,AF636+1)</f>
        <v/>
      </c>
      <c r="AN636">
        <f>INDEX($U$563:$U$690,AG636+1)</f>
        <v/>
      </c>
      <c r="AO636">
        <f>INDEX($V$563:$V$690,AH636+1)</f>
        <v/>
      </c>
      <c r="AP636">
        <f>INDEX($W$563:$W$690,AI636+1)</f>
        <v/>
      </c>
      <c r="AQ636">
        <f>IF(Q636&gt;=AJ636-0.01,1,0)</f>
        <v/>
      </c>
      <c r="AR636">
        <f>IF(R636&gt;=AK636-0.01,1,0)</f>
        <v/>
      </c>
      <c r="AS636">
        <f>IF(S636&gt;=AL636-0.01,1,0)</f>
        <v/>
      </c>
      <c r="AT636">
        <f>IF(T636&gt;=AM636-0.01,1,0)</f>
        <v/>
      </c>
      <c r="AU636">
        <f>IF(U636&gt;=AN636-0.01,1,0)</f>
        <v/>
      </c>
      <c r="AV636">
        <f>IF(V636&gt;=AO636-0.01,1,0)</f>
        <v/>
      </c>
      <c r="AW636">
        <f>IF(W636&gt;=AP636-0.01,1,0)</f>
        <v/>
      </c>
      <c r="AX636">
        <f>AQ636*AR636*AS636*AT636*AU636*AV636*AW636</f>
        <v/>
      </c>
      <c r="AY636">
        <f>Assumptions!$B$41</f>
        <v/>
      </c>
      <c r="AZ636">
        <f>Assumptions!$B$33</f>
        <v/>
      </c>
      <c r="BA636">
        <f>Assumptions!$B$32</f>
        <v/>
      </c>
      <c r="BB636">
        <f>Assumptions!$B$31</f>
        <v/>
      </c>
      <c r="BC636">
        <f>Assumptions!$B$30</f>
        <v/>
      </c>
      <c r="BD636">
        <f>Assumptions!$B$29</f>
        <v/>
      </c>
      <c r="BE636">
        <f>Assumptions!$B$28</f>
        <v/>
      </c>
      <c r="BF636">
        <f>P636*Assumptions!$B$141</f>
        <v/>
      </c>
      <c r="BG636">
        <f>P636*Assumptions!$B$128</f>
        <v/>
      </c>
      <c r="BH636">
        <f>P636*Assumptions!$B$129</f>
        <v/>
      </c>
      <c r="BI636">
        <f>P636*Assumptions!$B$14</f>
        <v/>
      </c>
      <c r="BJ636">
        <f>P636*Assumptions!$B$13</f>
        <v/>
      </c>
      <c r="BK636">
        <f>P636*Assumptions!$B$12</f>
        <v/>
      </c>
      <c r="BL636">
        <f>P636*Assumptions!$B$11</f>
        <v/>
      </c>
    </row>
    <row r="637">
      <c r="A637" t="inlineStr">
        <is>
          <t>8000M</t>
        </is>
      </c>
      <c r="B637">
        <f>Assumptions!$B$62</f>
        <v/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>
        <f>(1-C637)*Assumptions!$B$41+(1-D637)*Assumptions!$B$33+(1-E637)*Assumptions!$B$32+(1-F637)*Assumptions!$B$31+(1-G637)*Assumptions!$B$30+(1-H637)*Assumptions!$B$29+(1-I637)*Assumptions!$B$28</f>
        <v/>
      </c>
      <c r="K637">
        <f>C637*Assumptions!$B$141+D637*Assumptions!$B$128+E637*Assumptions!$B$129+F637*Assumptions!$B$14+G637*Assumptions!$B$13+H637*Assumptions!$B$12+I637*Assumptions!$B$11+Assumptions!$B$133+Assumptions!$B$137+Assumptions!$B$9</f>
        <v/>
      </c>
      <c r="L637">
        <f>B637-J637</f>
        <v/>
      </c>
      <c r="M637">
        <f>IF(K637&gt;0,IF(L637/K637&gt;=Assumptions!$B$37,1,0),0)</f>
        <v/>
      </c>
      <c r="N637">
        <f>K637+M637*Assumptions!$B$153</f>
        <v/>
      </c>
      <c r="O637">
        <f>L637+M637*Assumptions!$B$153*Assumptions!$B$37</f>
        <v/>
      </c>
      <c r="P637">
        <f>IF(N637&gt;0,O637/N637,0)</f>
        <v/>
      </c>
      <c r="Q637">
        <f>IF(C637=1,P637*Assumptions!$B$141,Assumptions!$B$41)</f>
        <v/>
      </c>
      <c r="R637">
        <f>IF(D637=1,P637*Assumptions!$B$128,Assumptions!$B$33)</f>
        <v/>
      </c>
      <c r="S637">
        <f>IF(E637=1,P637*Assumptions!$B$129,Assumptions!$B$32)</f>
        <v/>
      </c>
      <c r="T637">
        <f>IF(F637=1,P637*Assumptions!$B$14,Assumptions!$B$31)</f>
        <v/>
      </c>
      <c r="U637">
        <f>IF(G637=1,P637*Assumptions!$B$13,Assumptions!$B$30)</f>
        <v/>
      </c>
      <c r="V637">
        <f>IF(H637=1,P637*Assumptions!$B$12,Assumptions!$B$29)</f>
        <v/>
      </c>
      <c r="W637">
        <f>IF(I637=1,P637*Assumptions!$B$11,Assumptions!$B$28)</f>
        <v/>
      </c>
      <c r="X637">
        <f>P637*(Assumptions!$B$133+Assumptions!$B$137)</f>
        <v/>
      </c>
      <c r="Y637">
        <f>P637*Assumptions!$B$9</f>
        <v/>
      </c>
      <c r="Z637">
        <f>IF(M637=1,(P637-Assumptions!$B$37)*Assumptions!$B$153,0)</f>
        <v/>
      </c>
      <c r="AA637">
        <f>Q637+R637+S637+T637+U637+V637+W637+X637+Y637+Z637</f>
        <v/>
      </c>
      <c r="AB637" t="n">
        <v>74</v>
      </c>
      <c r="AC637" t="n">
        <v>10</v>
      </c>
      <c r="AD637" t="n">
        <v>106</v>
      </c>
      <c r="AE637" t="n">
        <v>90</v>
      </c>
      <c r="AF637" t="n">
        <v>66</v>
      </c>
      <c r="AG637" t="n">
        <v>78</v>
      </c>
      <c r="AH637" t="n">
        <v>72</v>
      </c>
      <c r="AI637" t="n">
        <v>75</v>
      </c>
      <c r="AJ637">
        <f>INDEX($Q$563:$Q$690,AC637+1)</f>
        <v/>
      </c>
      <c r="AK637">
        <f>INDEX($R$563:$R$690,AD637+1)</f>
        <v/>
      </c>
      <c r="AL637">
        <f>INDEX($S$563:$S$690,AE637+1)</f>
        <v/>
      </c>
      <c r="AM637">
        <f>INDEX($T$563:$T$690,AF637+1)</f>
        <v/>
      </c>
      <c r="AN637">
        <f>INDEX($U$563:$U$690,AG637+1)</f>
        <v/>
      </c>
      <c r="AO637">
        <f>INDEX($V$563:$V$690,AH637+1)</f>
        <v/>
      </c>
      <c r="AP637">
        <f>INDEX($W$563:$W$690,AI637+1)</f>
        <v/>
      </c>
      <c r="AQ637">
        <f>IF(Q637&gt;=AJ637-0.01,1,0)</f>
        <v/>
      </c>
      <c r="AR637">
        <f>IF(R637&gt;=AK637-0.01,1,0)</f>
        <v/>
      </c>
      <c r="AS637">
        <f>IF(S637&gt;=AL637-0.01,1,0)</f>
        <v/>
      </c>
      <c r="AT637">
        <f>IF(T637&gt;=AM637-0.01,1,0)</f>
        <v/>
      </c>
      <c r="AU637">
        <f>IF(U637&gt;=AN637-0.01,1,0)</f>
        <v/>
      </c>
      <c r="AV637">
        <f>IF(V637&gt;=AO637-0.01,1,0)</f>
        <v/>
      </c>
      <c r="AW637">
        <f>IF(W637&gt;=AP637-0.01,1,0)</f>
        <v/>
      </c>
      <c r="AX637">
        <f>AQ637*AR637*AS637*AT637*AU637*AV637*AW637</f>
        <v/>
      </c>
      <c r="AY637">
        <f>Assumptions!$B$41</f>
        <v/>
      </c>
      <c r="AZ637">
        <f>Assumptions!$B$33</f>
        <v/>
      </c>
      <c r="BA637">
        <f>Assumptions!$B$32</f>
        <v/>
      </c>
      <c r="BB637">
        <f>Assumptions!$B$31</f>
        <v/>
      </c>
      <c r="BC637">
        <f>Assumptions!$B$30</f>
        <v/>
      </c>
      <c r="BD637">
        <f>Assumptions!$B$29</f>
        <v/>
      </c>
      <c r="BE637">
        <f>Assumptions!$B$28</f>
        <v/>
      </c>
      <c r="BF637">
        <f>P637*Assumptions!$B$141</f>
        <v/>
      </c>
      <c r="BG637">
        <f>P637*Assumptions!$B$128</f>
        <v/>
      </c>
      <c r="BH637">
        <f>P637*Assumptions!$B$129</f>
        <v/>
      </c>
      <c r="BI637">
        <f>P637*Assumptions!$B$14</f>
        <v/>
      </c>
      <c r="BJ637">
        <f>P637*Assumptions!$B$13</f>
        <v/>
      </c>
      <c r="BK637">
        <f>P637*Assumptions!$B$12</f>
        <v/>
      </c>
      <c r="BL637">
        <f>P637*Assumptions!$B$11</f>
        <v/>
      </c>
    </row>
    <row r="638">
      <c r="A638" t="inlineStr">
        <is>
          <t>8000M</t>
        </is>
      </c>
      <c r="B638">
        <f>Assumptions!$B$62</f>
        <v/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1</v>
      </c>
      <c r="J638">
        <f>(1-C638)*Assumptions!$B$41+(1-D638)*Assumptions!$B$33+(1-E638)*Assumptions!$B$32+(1-F638)*Assumptions!$B$31+(1-G638)*Assumptions!$B$30+(1-H638)*Assumptions!$B$29+(1-I638)*Assumptions!$B$28</f>
        <v/>
      </c>
      <c r="K638">
        <f>C638*Assumptions!$B$141+D638*Assumptions!$B$128+E638*Assumptions!$B$129+F638*Assumptions!$B$14+G638*Assumptions!$B$13+H638*Assumptions!$B$12+I638*Assumptions!$B$11+Assumptions!$B$133+Assumptions!$B$137+Assumptions!$B$9</f>
        <v/>
      </c>
      <c r="L638">
        <f>B638-J638</f>
        <v/>
      </c>
      <c r="M638">
        <f>IF(K638&gt;0,IF(L638/K638&gt;=Assumptions!$B$37,1,0),0)</f>
        <v/>
      </c>
      <c r="N638">
        <f>K638+M638*Assumptions!$B$153</f>
        <v/>
      </c>
      <c r="O638">
        <f>L638+M638*Assumptions!$B$153*Assumptions!$B$37</f>
        <v/>
      </c>
      <c r="P638">
        <f>IF(N638&gt;0,O638/N638,0)</f>
        <v/>
      </c>
      <c r="Q638">
        <f>IF(C638=1,P638*Assumptions!$B$141,Assumptions!$B$41)</f>
        <v/>
      </c>
      <c r="R638">
        <f>IF(D638=1,P638*Assumptions!$B$128,Assumptions!$B$33)</f>
        <v/>
      </c>
      <c r="S638">
        <f>IF(E638=1,P638*Assumptions!$B$129,Assumptions!$B$32)</f>
        <v/>
      </c>
      <c r="T638">
        <f>IF(F638=1,P638*Assumptions!$B$14,Assumptions!$B$31)</f>
        <v/>
      </c>
      <c r="U638">
        <f>IF(G638=1,P638*Assumptions!$B$13,Assumptions!$B$30)</f>
        <v/>
      </c>
      <c r="V638">
        <f>IF(H638=1,P638*Assumptions!$B$12,Assumptions!$B$29)</f>
        <v/>
      </c>
      <c r="W638">
        <f>IF(I638=1,P638*Assumptions!$B$11,Assumptions!$B$28)</f>
        <v/>
      </c>
      <c r="X638">
        <f>P638*(Assumptions!$B$133+Assumptions!$B$137)</f>
        <v/>
      </c>
      <c r="Y638">
        <f>P638*Assumptions!$B$9</f>
        <v/>
      </c>
      <c r="Z638">
        <f>IF(M638=1,(P638-Assumptions!$B$37)*Assumptions!$B$153,0)</f>
        <v/>
      </c>
      <c r="AA638">
        <f>Q638+R638+S638+T638+U638+V638+W638+X638+Y638+Z638</f>
        <v/>
      </c>
      <c r="AB638" t="n">
        <v>75</v>
      </c>
      <c r="AC638" t="n">
        <v>11</v>
      </c>
      <c r="AD638" t="n">
        <v>107</v>
      </c>
      <c r="AE638" t="n">
        <v>91</v>
      </c>
      <c r="AF638" t="n">
        <v>67</v>
      </c>
      <c r="AG638" t="n">
        <v>79</v>
      </c>
      <c r="AH638" t="n">
        <v>73</v>
      </c>
      <c r="AI638" t="n">
        <v>74</v>
      </c>
      <c r="AJ638">
        <f>INDEX($Q$563:$Q$690,AC638+1)</f>
        <v/>
      </c>
      <c r="AK638">
        <f>INDEX($R$563:$R$690,AD638+1)</f>
        <v/>
      </c>
      <c r="AL638">
        <f>INDEX($S$563:$S$690,AE638+1)</f>
        <v/>
      </c>
      <c r="AM638">
        <f>INDEX($T$563:$T$690,AF638+1)</f>
        <v/>
      </c>
      <c r="AN638">
        <f>INDEX($U$563:$U$690,AG638+1)</f>
        <v/>
      </c>
      <c r="AO638">
        <f>INDEX($V$563:$V$690,AH638+1)</f>
        <v/>
      </c>
      <c r="AP638">
        <f>INDEX($W$563:$W$690,AI638+1)</f>
        <v/>
      </c>
      <c r="AQ638">
        <f>IF(Q638&gt;=AJ638-0.01,1,0)</f>
        <v/>
      </c>
      <c r="AR638">
        <f>IF(R638&gt;=AK638-0.01,1,0)</f>
        <v/>
      </c>
      <c r="AS638">
        <f>IF(S638&gt;=AL638-0.01,1,0)</f>
        <v/>
      </c>
      <c r="AT638">
        <f>IF(T638&gt;=AM638-0.01,1,0)</f>
        <v/>
      </c>
      <c r="AU638">
        <f>IF(U638&gt;=AN638-0.01,1,0)</f>
        <v/>
      </c>
      <c r="AV638">
        <f>IF(V638&gt;=AO638-0.01,1,0)</f>
        <v/>
      </c>
      <c r="AW638">
        <f>IF(W638&gt;=AP638-0.01,1,0)</f>
        <v/>
      </c>
      <c r="AX638">
        <f>AQ638*AR638*AS638*AT638*AU638*AV638*AW638</f>
        <v/>
      </c>
      <c r="AY638">
        <f>Assumptions!$B$41</f>
        <v/>
      </c>
      <c r="AZ638">
        <f>Assumptions!$B$33</f>
        <v/>
      </c>
      <c r="BA638">
        <f>Assumptions!$B$32</f>
        <v/>
      </c>
      <c r="BB638">
        <f>Assumptions!$B$31</f>
        <v/>
      </c>
      <c r="BC638">
        <f>Assumptions!$B$30</f>
        <v/>
      </c>
      <c r="BD638">
        <f>Assumptions!$B$29</f>
        <v/>
      </c>
      <c r="BE638">
        <f>Assumptions!$B$28</f>
        <v/>
      </c>
      <c r="BF638">
        <f>P638*Assumptions!$B$141</f>
        <v/>
      </c>
      <c r="BG638">
        <f>P638*Assumptions!$B$128</f>
        <v/>
      </c>
      <c r="BH638">
        <f>P638*Assumptions!$B$129</f>
        <v/>
      </c>
      <c r="BI638">
        <f>P638*Assumptions!$B$14</f>
        <v/>
      </c>
      <c r="BJ638">
        <f>P638*Assumptions!$B$13</f>
        <v/>
      </c>
      <c r="BK638">
        <f>P638*Assumptions!$B$12</f>
        <v/>
      </c>
      <c r="BL638">
        <f>P638*Assumptions!$B$11</f>
        <v/>
      </c>
    </row>
    <row r="639">
      <c r="A639" t="inlineStr">
        <is>
          <t>8000M</t>
        </is>
      </c>
      <c r="B639">
        <f>Assumptions!$B$62</f>
        <v/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>
        <f>(1-C639)*Assumptions!$B$41+(1-D639)*Assumptions!$B$33+(1-E639)*Assumptions!$B$32+(1-F639)*Assumptions!$B$31+(1-G639)*Assumptions!$B$30+(1-H639)*Assumptions!$B$29+(1-I639)*Assumptions!$B$28</f>
        <v/>
      </c>
      <c r="K639">
        <f>C639*Assumptions!$B$141+D639*Assumptions!$B$128+E639*Assumptions!$B$129+F639*Assumptions!$B$14+G639*Assumptions!$B$13+H639*Assumptions!$B$12+I639*Assumptions!$B$11+Assumptions!$B$133+Assumptions!$B$137+Assumptions!$B$9</f>
        <v/>
      </c>
      <c r="L639">
        <f>B639-J639</f>
        <v/>
      </c>
      <c r="M639">
        <f>IF(K639&gt;0,IF(L639/K639&gt;=Assumptions!$B$37,1,0),0)</f>
        <v/>
      </c>
      <c r="N639">
        <f>K639+M639*Assumptions!$B$153</f>
        <v/>
      </c>
      <c r="O639">
        <f>L639+M639*Assumptions!$B$153*Assumptions!$B$37</f>
        <v/>
      </c>
      <c r="P639">
        <f>IF(N639&gt;0,O639/N639,0)</f>
        <v/>
      </c>
      <c r="Q639">
        <f>IF(C639=1,P639*Assumptions!$B$141,Assumptions!$B$41)</f>
        <v/>
      </c>
      <c r="R639">
        <f>IF(D639=1,P639*Assumptions!$B$128,Assumptions!$B$33)</f>
        <v/>
      </c>
      <c r="S639">
        <f>IF(E639=1,P639*Assumptions!$B$129,Assumptions!$B$32)</f>
        <v/>
      </c>
      <c r="T639">
        <f>IF(F639=1,P639*Assumptions!$B$14,Assumptions!$B$31)</f>
        <v/>
      </c>
      <c r="U639">
        <f>IF(G639=1,P639*Assumptions!$B$13,Assumptions!$B$30)</f>
        <v/>
      </c>
      <c r="V639">
        <f>IF(H639=1,P639*Assumptions!$B$12,Assumptions!$B$29)</f>
        <v/>
      </c>
      <c r="W639">
        <f>IF(I639=1,P639*Assumptions!$B$11,Assumptions!$B$28)</f>
        <v/>
      </c>
      <c r="X639">
        <f>P639*(Assumptions!$B$133+Assumptions!$B$137)</f>
        <v/>
      </c>
      <c r="Y639">
        <f>P639*Assumptions!$B$9</f>
        <v/>
      </c>
      <c r="Z639">
        <f>IF(M639=1,(P639-Assumptions!$B$37)*Assumptions!$B$153,0)</f>
        <v/>
      </c>
      <c r="AA639">
        <f>Q639+R639+S639+T639+U639+V639+W639+X639+Y639+Z639</f>
        <v/>
      </c>
      <c r="AB639" t="n">
        <v>76</v>
      </c>
      <c r="AC639" t="n">
        <v>12</v>
      </c>
      <c r="AD639" t="n">
        <v>108</v>
      </c>
      <c r="AE639" t="n">
        <v>92</v>
      </c>
      <c r="AF639" t="n">
        <v>68</v>
      </c>
      <c r="AG639" t="n">
        <v>72</v>
      </c>
      <c r="AH639" t="n">
        <v>78</v>
      </c>
      <c r="AI639" t="n">
        <v>77</v>
      </c>
      <c r="AJ639">
        <f>INDEX($Q$563:$Q$690,AC639+1)</f>
        <v/>
      </c>
      <c r="AK639">
        <f>INDEX($R$563:$R$690,AD639+1)</f>
        <v/>
      </c>
      <c r="AL639">
        <f>INDEX($S$563:$S$690,AE639+1)</f>
        <v/>
      </c>
      <c r="AM639">
        <f>INDEX($T$563:$T$690,AF639+1)</f>
        <v/>
      </c>
      <c r="AN639">
        <f>INDEX($U$563:$U$690,AG639+1)</f>
        <v/>
      </c>
      <c r="AO639">
        <f>INDEX($V$563:$V$690,AH639+1)</f>
        <v/>
      </c>
      <c r="AP639">
        <f>INDEX($W$563:$W$690,AI639+1)</f>
        <v/>
      </c>
      <c r="AQ639">
        <f>IF(Q639&gt;=AJ639-0.01,1,0)</f>
        <v/>
      </c>
      <c r="AR639">
        <f>IF(R639&gt;=AK639-0.01,1,0)</f>
        <v/>
      </c>
      <c r="AS639">
        <f>IF(S639&gt;=AL639-0.01,1,0)</f>
        <v/>
      </c>
      <c r="AT639">
        <f>IF(T639&gt;=AM639-0.01,1,0)</f>
        <v/>
      </c>
      <c r="AU639">
        <f>IF(U639&gt;=AN639-0.01,1,0)</f>
        <v/>
      </c>
      <c r="AV639">
        <f>IF(V639&gt;=AO639-0.01,1,0)</f>
        <v/>
      </c>
      <c r="AW639">
        <f>IF(W639&gt;=AP639-0.01,1,0)</f>
        <v/>
      </c>
      <c r="AX639">
        <f>AQ639*AR639*AS639*AT639*AU639*AV639*AW639</f>
        <v/>
      </c>
      <c r="AY639">
        <f>Assumptions!$B$41</f>
        <v/>
      </c>
      <c r="AZ639">
        <f>Assumptions!$B$33</f>
        <v/>
      </c>
      <c r="BA639">
        <f>Assumptions!$B$32</f>
        <v/>
      </c>
      <c r="BB639">
        <f>Assumptions!$B$31</f>
        <v/>
      </c>
      <c r="BC639">
        <f>Assumptions!$B$30</f>
        <v/>
      </c>
      <c r="BD639">
        <f>Assumptions!$B$29</f>
        <v/>
      </c>
      <c r="BE639">
        <f>Assumptions!$B$28</f>
        <v/>
      </c>
      <c r="BF639">
        <f>P639*Assumptions!$B$141</f>
        <v/>
      </c>
      <c r="BG639">
        <f>P639*Assumptions!$B$128</f>
        <v/>
      </c>
      <c r="BH639">
        <f>P639*Assumptions!$B$129</f>
        <v/>
      </c>
      <c r="BI639">
        <f>P639*Assumptions!$B$14</f>
        <v/>
      </c>
      <c r="BJ639">
        <f>P639*Assumptions!$B$13</f>
        <v/>
      </c>
      <c r="BK639">
        <f>P639*Assumptions!$B$12</f>
        <v/>
      </c>
      <c r="BL639">
        <f>P639*Assumptions!$B$11</f>
        <v/>
      </c>
    </row>
    <row r="640">
      <c r="A640" t="inlineStr">
        <is>
          <t>8000M</t>
        </is>
      </c>
      <c r="B640">
        <f>Assumptions!$B$62</f>
        <v/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1</v>
      </c>
      <c r="J640">
        <f>(1-C640)*Assumptions!$B$41+(1-D640)*Assumptions!$B$33+(1-E640)*Assumptions!$B$32+(1-F640)*Assumptions!$B$31+(1-G640)*Assumptions!$B$30+(1-H640)*Assumptions!$B$29+(1-I640)*Assumptions!$B$28</f>
        <v/>
      </c>
      <c r="K640">
        <f>C640*Assumptions!$B$141+D640*Assumptions!$B$128+E640*Assumptions!$B$129+F640*Assumptions!$B$14+G640*Assumptions!$B$13+H640*Assumptions!$B$12+I640*Assumptions!$B$11+Assumptions!$B$133+Assumptions!$B$137+Assumptions!$B$9</f>
        <v/>
      </c>
      <c r="L640">
        <f>B640-J640</f>
        <v/>
      </c>
      <c r="M640">
        <f>IF(K640&gt;0,IF(L640/K640&gt;=Assumptions!$B$37,1,0),0)</f>
        <v/>
      </c>
      <c r="N640">
        <f>K640+M640*Assumptions!$B$153</f>
        <v/>
      </c>
      <c r="O640">
        <f>L640+M640*Assumptions!$B$153*Assumptions!$B$37</f>
        <v/>
      </c>
      <c r="P640">
        <f>IF(N640&gt;0,O640/N640,0)</f>
        <v/>
      </c>
      <c r="Q640">
        <f>IF(C640=1,P640*Assumptions!$B$141,Assumptions!$B$41)</f>
        <v/>
      </c>
      <c r="R640">
        <f>IF(D640=1,P640*Assumptions!$B$128,Assumptions!$B$33)</f>
        <v/>
      </c>
      <c r="S640">
        <f>IF(E640=1,P640*Assumptions!$B$129,Assumptions!$B$32)</f>
        <v/>
      </c>
      <c r="T640">
        <f>IF(F640=1,P640*Assumptions!$B$14,Assumptions!$B$31)</f>
        <v/>
      </c>
      <c r="U640">
        <f>IF(G640=1,P640*Assumptions!$B$13,Assumptions!$B$30)</f>
        <v/>
      </c>
      <c r="V640">
        <f>IF(H640=1,P640*Assumptions!$B$12,Assumptions!$B$29)</f>
        <v/>
      </c>
      <c r="W640">
        <f>IF(I640=1,P640*Assumptions!$B$11,Assumptions!$B$28)</f>
        <v/>
      </c>
      <c r="X640">
        <f>P640*(Assumptions!$B$133+Assumptions!$B$137)</f>
        <v/>
      </c>
      <c r="Y640">
        <f>P640*Assumptions!$B$9</f>
        <v/>
      </c>
      <c r="Z640">
        <f>IF(M640=1,(P640-Assumptions!$B$37)*Assumptions!$B$153,0)</f>
        <v/>
      </c>
      <c r="AA640">
        <f>Q640+R640+S640+T640+U640+V640+W640+X640+Y640+Z640</f>
        <v/>
      </c>
      <c r="AB640" t="n">
        <v>77</v>
      </c>
      <c r="AC640" t="n">
        <v>13</v>
      </c>
      <c r="AD640" t="n">
        <v>109</v>
      </c>
      <c r="AE640" t="n">
        <v>93</v>
      </c>
      <c r="AF640" t="n">
        <v>69</v>
      </c>
      <c r="AG640" t="n">
        <v>73</v>
      </c>
      <c r="AH640" t="n">
        <v>79</v>
      </c>
      <c r="AI640" t="n">
        <v>76</v>
      </c>
      <c r="AJ640">
        <f>INDEX($Q$563:$Q$690,AC640+1)</f>
        <v/>
      </c>
      <c r="AK640">
        <f>INDEX($R$563:$R$690,AD640+1)</f>
        <v/>
      </c>
      <c r="AL640">
        <f>INDEX($S$563:$S$690,AE640+1)</f>
        <v/>
      </c>
      <c r="AM640">
        <f>INDEX($T$563:$T$690,AF640+1)</f>
        <v/>
      </c>
      <c r="AN640">
        <f>INDEX($U$563:$U$690,AG640+1)</f>
        <v/>
      </c>
      <c r="AO640">
        <f>INDEX($V$563:$V$690,AH640+1)</f>
        <v/>
      </c>
      <c r="AP640">
        <f>INDEX($W$563:$W$690,AI640+1)</f>
        <v/>
      </c>
      <c r="AQ640">
        <f>IF(Q640&gt;=AJ640-0.01,1,0)</f>
        <v/>
      </c>
      <c r="AR640">
        <f>IF(R640&gt;=AK640-0.01,1,0)</f>
        <v/>
      </c>
      <c r="AS640">
        <f>IF(S640&gt;=AL640-0.01,1,0)</f>
        <v/>
      </c>
      <c r="AT640">
        <f>IF(T640&gt;=AM640-0.01,1,0)</f>
        <v/>
      </c>
      <c r="AU640">
        <f>IF(U640&gt;=AN640-0.01,1,0)</f>
        <v/>
      </c>
      <c r="AV640">
        <f>IF(V640&gt;=AO640-0.01,1,0)</f>
        <v/>
      </c>
      <c r="AW640">
        <f>IF(W640&gt;=AP640-0.01,1,0)</f>
        <v/>
      </c>
      <c r="AX640">
        <f>AQ640*AR640*AS640*AT640*AU640*AV640*AW640</f>
        <v/>
      </c>
      <c r="AY640">
        <f>Assumptions!$B$41</f>
        <v/>
      </c>
      <c r="AZ640">
        <f>Assumptions!$B$33</f>
        <v/>
      </c>
      <c r="BA640">
        <f>Assumptions!$B$32</f>
        <v/>
      </c>
      <c r="BB640">
        <f>Assumptions!$B$31</f>
        <v/>
      </c>
      <c r="BC640">
        <f>Assumptions!$B$30</f>
        <v/>
      </c>
      <c r="BD640">
        <f>Assumptions!$B$29</f>
        <v/>
      </c>
      <c r="BE640">
        <f>Assumptions!$B$28</f>
        <v/>
      </c>
      <c r="BF640">
        <f>P640*Assumptions!$B$141</f>
        <v/>
      </c>
      <c r="BG640">
        <f>P640*Assumptions!$B$128</f>
        <v/>
      </c>
      <c r="BH640">
        <f>P640*Assumptions!$B$129</f>
        <v/>
      </c>
      <c r="BI640">
        <f>P640*Assumptions!$B$14</f>
        <v/>
      </c>
      <c r="BJ640">
        <f>P640*Assumptions!$B$13</f>
        <v/>
      </c>
      <c r="BK640">
        <f>P640*Assumptions!$B$12</f>
        <v/>
      </c>
      <c r="BL640">
        <f>P640*Assumptions!$B$11</f>
        <v/>
      </c>
    </row>
    <row r="641">
      <c r="A641" t="inlineStr">
        <is>
          <t>8000M</t>
        </is>
      </c>
      <c r="B641">
        <f>Assumptions!$B$62</f>
        <v/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>
        <f>(1-C641)*Assumptions!$B$41+(1-D641)*Assumptions!$B$33+(1-E641)*Assumptions!$B$32+(1-F641)*Assumptions!$B$31+(1-G641)*Assumptions!$B$30+(1-H641)*Assumptions!$B$29+(1-I641)*Assumptions!$B$28</f>
        <v/>
      </c>
      <c r="K641">
        <f>C641*Assumptions!$B$141+D641*Assumptions!$B$128+E641*Assumptions!$B$129+F641*Assumptions!$B$14+G641*Assumptions!$B$13+H641*Assumptions!$B$12+I641*Assumptions!$B$11+Assumptions!$B$133+Assumptions!$B$137+Assumptions!$B$9</f>
        <v/>
      </c>
      <c r="L641">
        <f>B641-J641</f>
        <v/>
      </c>
      <c r="M641">
        <f>IF(K641&gt;0,IF(L641/K641&gt;=Assumptions!$B$37,1,0),0)</f>
        <v/>
      </c>
      <c r="N641">
        <f>K641+M641*Assumptions!$B$153</f>
        <v/>
      </c>
      <c r="O641">
        <f>L641+M641*Assumptions!$B$153*Assumptions!$B$37</f>
        <v/>
      </c>
      <c r="P641">
        <f>IF(N641&gt;0,O641/N641,0)</f>
        <v/>
      </c>
      <c r="Q641">
        <f>IF(C641=1,P641*Assumptions!$B$141,Assumptions!$B$41)</f>
        <v/>
      </c>
      <c r="R641">
        <f>IF(D641=1,P641*Assumptions!$B$128,Assumptions!$B$33)</f>
        <v/>
      </c>
      <c r="S641">
        <f>IF(E641=1,P641*Assumptions!$B$129,Assumptions!$B$32)</f>
        <v/>
      </c>
      <c r="T641">
        <f>IF(F641=1,P641*Assumptions!$B$14,Assumptions!$B$31)</f>
        <v/>
      </c>
      <c r="U641">
        <f>IF(G641=1,P641*Assumptions!$B$13,Assumptions!$B$30)</f>
        <v/>
      </c>
      <c r="V641">
        <f>IF(H641=1,P641*Assumptions!$B$12,Assumptions!$B$29)</f>
        <v/>
      </c>
      <c r="W641">
        <f>IF(I641=1,P641*Assumptions!$B$11,Assumptions!$B$28)</f>
        <v/>
      </c>
      <c r="X641">
        <f>P641*(Assumptions!$B$133+Assumptions!$B$137)</f>
        <v/>
      </c>
      <c r="Y641">
        <f>P641*Assumptions!$B$9</f>
        <v/>
      </c>
      <c r="Z641">
        <f>IF(M641=1,(P641-Assumptions!$B$37)*Assumptions!$B$153,0)</f>
        <v/>
      </c>
      <c r="AA641">
        <f>Q641+R641+S641+T641+U641+V641+W641+X641+Y641+Z641</f>
        <v/>
      </c>
      <c r="AB641" t="n">
        <v>78</v>
      </c>
      <c r="AC641" t="n">
        <v>14</v>
      </c>
      <c r="AD641" t="n">
        <v>110</v>
      </c>
      <c r="AE641" t="n">
        <v>94</v>
      </c>
      <c r="AF641" t="n">
        <v>70</v>
      </c>
      <c r="AG641" t="n">
        <v>74</v>
      </c>
      <c r="AH641" t="n">
        <v>76</v>
      </c>
      <c r="AI641" t="n">
        <v>79</v>
      </c>
      <c r="AJ641">
        <f>INDEX($Q$563:$Q$690,AC641+1)</f>
        <v/>
      </c>
      <c r="AK641">
        <f>INDEX($R$563:$R$690,AD641+1)</f>
        <v/>
      </c>
      <c r="AL641">
        <f>INDEX($S$563:$S$690,AE641+1)</f>
        <v/>
      </c>
      <c r="AM641">
        <f>INDEX($T$563:$T$690,AF641+1)</f>
        <v/>
      </c>
      <c r="AN641">
        <f>INDEX($U$563:$U$690,AG641+1)</f>
        <v/>
      </c>
      <c r="AO641">
        <f>INDEX($V$563:$V$690,AH641+1)</f>
        <v/>
      </c>
      <c r="AP641">
        <f>INDEX($W$563:$W$690,AI641+1)</f>
        <v/>
      </c>
      <c r="AQ641">
        <f>IF(Q641&gt;=AJ641-0.01,1,0)</f>
        <v/>
      </c>
      <c r="AR641">
        <f>IF(R641&gt;=AK641-0.01,1,0)</f>
        <v/>
      </c>
      <c r="AS641">
        <f>IF(S641&gt;=AL641-0.01,1,0)</f>
        <v/>
      </c>
      <c r="AT641">
        <f>IF(T641&gt;=AM641-0.01,1,0)</f>
        <v/>
      </c>
      <c r="AU641">
        <f>IF(U641&gt;=AN641-0.01,1,0)</f>
        <v/>
      </c>
      <c r="AV641">
        <f>IF(V641&gt;=AO641-0.01,1,0)</f>
        <v/>
      </c>
      <c r="AW641">
        <f>IF(W641&gt;=AP641-0.01,1,0)</f>
        <v/>
      </c>
      <c r="AX641">
        <f>AQ641*AR641*AS641*AT641*AU641*AV641*AW641</f>
        <v/>
      </c>
      <c r="AY641">
        <f>Assumptions!$B$41</f>
        <v/>
      </c>
      <c r="AZ641">
        <f>Assumptions!$B$33</f>
        <v/>
      </c>
      <c r="BA641">
        <f>Assumptions!$B$32</f>
        <v/>
      </c>
      <c r="BB641">
        <f>Assumptions!$B$31</f>
        <v/>
      </c>
      <c r="BC641">
        <f>Assumptions!$B$30</f>
        <v/>
      </c>
      <c r="BD641">
        <f>Assumptions!$B$29</f>
        <v/>
      </c>
      <c r="BE641">
        <f>Assumptions!$B$28</f>
        <v/>
      </c>
      <c r="BF641">
        <f>P641*Assumptions!$B$141</f>
        <v/>
      </c>
      <c r="BG641">
        <f>P641*Assumptions!$B$128</f>
        <v/>
      </c>
      <c r="BH641">
        <f>P641*Assumptions!$B$129</f>
        <v/>
      </c>
      <c r="BI641">
        <f>P641*Assumptions!$B$14</f>
        <v/>
      </c>
      <c r="BJ641">
        <f>P641*Assumptions!$B$13</f>
        <v/>
      </c>
      <c r="BK641">
        <f>P641*Assumptions!$B$12</f>
        <v/>
      </c>
      <c r="BL641">
        <f>P641*Assumptions!$B$11</f>
        <v/>
      </c>
    </row>
    <row r="642">
      <c r="A642" t="inlineStr">
        <is>
          <t>8000M</t>
        </is>
      </c>
      <c r="B642">
        <f>Assumptions!$B$62</f>
        <v/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>
        <f>(1-C642)*Assumptions!$B$41+(1-D642)*Assumptions!$B$33+(1-E642)*Assumptions!$B$32+(1-F642)*Assumptions!$B$31+(1-G642)*Assumptions!$B$30+(1-H642)*Assumptions!$B$29+(1-I642)*Assumptions!$B$28</f>
        <v/>
      </c>
      <c r="K642">
        <f>C642*Assumptions!$B$141+D642*Assumptions!$B$128+E642*Assumptions!$B$129+F642*Assumptions!$B$14+G642*Assumptions!$B$13+H642*Assumptions!$B$12+I642*Assumptions!$B$11+Assumptions!$B$133+Assumptions!$B$137+Assumptions!$B$9</f>
        <v/>
      </c>
      <c r="L642">
        <f>B642-J642</f>
        <v/>
      </c>
      <c r="M642">
        <f>IF(K642&gt;0,IF(L642/K642&gt;=Assumptions!$B$37,1,0),0)</f>
        <v/>
      </c>
      <c r="N642">
        <f>K642+M642*Assumptions!$B$153</f>
        <v/>
      </c>
      <c r="O642">
        <f>L642+M642*Assumptions!$B$153*Assumptions!$B$37</f>
        <v/>
      </c>
      <c r="P642">
        <f>IF(N642&gt;0,O642/N642,0)</f>
        <v/>
      </c>
      <c r="Q642">
        <f>IF(C642=1,P642*Assumptions!$B$141,Assumptions!$B$41)</f>
        <v/>
      </c>
      <c r="R642">
        <f>IF(D642=1,P642*Assumptions!$B$128,Assumptions!$B$33)</f>
        <v/>
      </c>
      <c r="S642">
        <f>IF(E642=1,P642*Assumptions!$B$129,Assumptions!$B$32)</f>
        <v/>
      </c>
      <c r="T642">
        <f>IF(F642=1,P642*Assumptions!$B$14,Assumptions!$B$31)</f>
        <v/>
      </c>
      <c r="U642">
        <f>IF(G642=1,P642*Assumptions!$B$13,Assumptions!$B$30)</f>
        <v/>
      </c>
      <c r="V642">
        <f>IF(H642=1,P642*Assumptions!$B$12,Assumptions!$B$29)</f>
        <v/>
      </c>
      <c r="W642">
        <f>IF(I642=1,P642*Assumptions!$B$11,Assumptions!$B$28)</f>
        <v/>
      </c>
      <c r="X642">
        <f>P642*(Assumptions!$B$133+Assumptions!$B$137)</f>
        <v/>
      </c>
      <c r="Y642">
        <f>P642*Assumptions!$B$9</f>
        <v/>
      </c>
      <c r="Z642">
        <f>IF(M642=1,(P642-Assumptions!$B$37)*Assumptions!$B$153,0)</f>
        <v/>
      </c>
      <c r="AA642">
        <f>Q642+R642+S642+T642+U642+V642+W642+X642+Y642+Z642</f>
        <v/>
      </c>
      <c r="AB642" t="n">
        <v>79</v>
      </c>
      <c r="AC642" t="n">
        <v>15</v>
      </c>
      <c r="AD642" t="n">
        <v>111</v>
      </c>
      <c r="AE642" t="n">
        <v>95</v>
      </c>
      <c r="AF642" t="n">
        <v>71</v>
      </c>
      <c r="AG642" t="n">
        <v>75</v>
      </c>
      <c r="AH642" t="n">
        <v>77</v>
      </c>
      <c r="AI642" t="n">
        <v>78</v>
      </c>
      <c r="AJ642">
        <f>INDEX($Q$563:$Q$690,AC642+1)</f>
        <v/>
      </c>
      <c r="AK642">
        <f>INDEX($R$563:$R$690,AD642+1)</f>
        <v/>
      </c>
      <c r="AL642">
        <f>INDEX($S$563:$S$690,AE642+1)</f>
        <v/>
      </c>
      <c r="AM642">
        <f>INDEX($T$563:$T$690,AF642+1)</f>
        <v/>
      </c>
      <c r="AN642">
        <f>INDEX($U$563:$U$690,AG642+1)</f>
        <v/>
      </c>
      <c r="AO642">
        <f>INDEX($V$563:$V$690,AH642+1)</f>
        <v/>
      </c>
      <c r="AP642">
        <f>INDEX($W$563:$W$690,AI642+1)</f>
        <v/>
      </c>
      <c r="AQ642">
        <f>IF(Q642&gt;=AJ642-0.01,1,0)</f>
        <v/>
      </c>
      <c r="AR642">
        <f>IF(R642&gt;=AK642-0.01,1,0)</f>
        <v/>
      </c>
      <c r="AS642">
        <f>IF(S642&gt;=AL642-0.01,1,0)</f>
        <v/>
      </c>
      <c r="AT642">
        <f>IF(T642&gt;=AM642-0.01,1,0)</f>
        <v/>
      </c>
      <c r="AU642">
        <f>IF(U642&gt;=AN642-0.01,1,0)</f>
        <v/>
      </c>
      <c r="AV642">
        <f>IF(V642&gt;=AO642-0.01,1,0)</f>
        <v/>
      </c>
      <c r="AW642">
        <f>IF(W642&gt;=AP642-0.01,1,0)</f>
        <v/>
      </c>
      <c r="AX642">
        <f>AQ642*AR642*AS642*AT642*AU642*AV642*AW642</f>
        <v/>
      </c>
      <c r="AY642">
        <f>Assumptions!$B$41</f>
        <v/>
      </c>
      <c r="AZ642">
        <f>Assumptions!$B$33</f>
        <v/>
      </c>
      <c r="BA642">
        <f>Assumptions!$B$32</f>
        <v/>
      </c>
      <c r="BB642">
        <f>Assumptions!$B$31</f>
        <v/>
      </c>
      <c r="BC642">
        <f>Assumptions!$B$30</f>
        <v/>
      </c>
      <c r="BD642">
        <f>Assumptions!$B$29</f>
        <v/>
      </c>
      <c r="BE642">
        <f>Assumptions!$B$28</f>
        <v/>
      </c>
      <c r="BF642">
        <f>P642*Assumptions!$B$141</f>
        <v/>
      </c>
      <c r="BG642">
        <f>P642*Assumptions!$B$128</f>
        <v/>
      </c>
      <c r="BH642">
        <f>P642*Assumptions!$B$129</f>
        <v/>
      </c>
      <c r="BI642">
        <f>P642*Assumptions!$B$14</f>
        <v/>
      </c>
      <c r="BJ642">
        <f>P642*Assumptions!$B$13</f>
        <v/>
      </c>
      <c r="BK642">
        <f>P642*Assumptions!$B$12</f>
        <v/>
      </c>
      <c r="BL642">
        <f>P642*Assumptions!$B$11</f>
        <v/>
      </c>
    </row>
    <row r="643">
      <c r="A643" t="inlineStr">
        <is>
          <t>8000M</t>
        </is>
      </c>
      <c r="B643">
        <f>Assumptions!$B$62</f>
        <v/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>
        <f>(1-C643)*Assumptions!$B$41+(1-D643)*Assumptions!$B$33+(1-E643)*Assumptions!$B$32+(1-F643)*Assumptions!$B$31+(1-G643)*Assumptions!$B$30+(1-H643)*Assumptions!$B$29+(1-I643)*Assumptions!$B$28</f>
        <v/>
      </c>
      <c r="K643">
        <f>C643*Assumptions!$B$141+D643*Assumptions!$B$128+E643*Assumptions!$B$129+F643*Assumptions!$B$14+G643*Assumptions!$B$13+H643*Assumptions!$B$12+I643*Assumptions!$B$11+Assumptions!$B$133+Assumptions!$B$137+Assumptions!$B$9</f>
        <v/>
      </c>
      <c r="L643">
        <f>B643-J643</f>
        <v/>
      </c>
      <c r="M643">
        <f>IF(K643&gt;0,IF(L643/K643&gt;=Assumptions!$B$37,1,0),0)</f>
        <v/>
      </c>
      <c r="N643">
        <f>K643+M643*Assumptions!$B$153</f>
        <v/>
      </c>
      <c r="O643">
        <f>L643+M643*Assumptions!$B$153*Assumptions!$B$37</f>
        <v/>
      </c>
      <c r="P643">
        <f>IF(N643&gt;0,O643/N643,0)</f>
        <v/>
      </c>
      <c r="Q643">
        <f>IF(C643=1,P643*Assumptions!$B$141,Assumptions!$B$41)</f>
        <v/>
      </c>
      <c r="R643">
        <f>IF(D643=1,P643*Assumptions!$B$128,Assumptions!$B$33)</f>
        <v/>
      </c>
      <c r="S643">
        <f>IF(E643=1,P643*Assumptions!$B$129,Assumptions!$B$32)</f>
        <v/>
      </c>
      <c r="T643">
        <f>IF(F643=1,P643*Assumptions!$B$14,Assumptions!$B$31)</f>
        <v/>
      </c>
      <c r="U643">
        <f>IF(G643=1,P643*Assumptions!$B$13,Assumptions!$B$30)</f>
        <v/>
      </c>
      <c r="V643">
        <f>IF(H643=1,P643*Assumptions!$B$12,Assumptions!$B$29)</f>
        <v/>
      </c>
      <c r="W643">
        <f>IF(I643=1,P643*Assumptions!$B$11,Assumptions!$B$28)</f>
        <v/>
      </c>
      <c r="X643">
        <f>P643*(Assumptions!$B$133+Assumptions!$B$137)</f>
        <v/>
      </c>
      <c r="Y643">
        <f>P643*Assumptions!$B$9</f>
        <v/>
      </c>
      <c r="Z643">
        <f>IF(M643=1,(P643-Assumptions!$B$37)*Assumptions!$B$153,0)</f>
        <v/>
      </c>
      <c r="AA643">
        <f>Q643+R643+S643+T643+U643+V643+W643+X643+Y643+Z643</f>
        <v/>
      </c>
      <c r="AB643" t="n">
        <v>80</v>
      </c>
      <c r="AC643" t="n">
        <v>16</v>
      </c>
      <c r="AD643" t="n">
        <v>112</v>
      </c>
      <c r="AE643" t="n">
        <v>64</v>
      </c>
      <c r="AF643" t="n">
        <v>88</v>
      </c>
      <c r="AG643" t="n">
        <v>84</v>
      </c>
      <c r="AH643" t="n">
        <v>82</v>
      </c>
      <c r="AI643" t="n">
        <v>81</v>
      </c>
      <c r="AJ643">
        <f>INDEX($Q$563:$Q$690,AC643+1)</f>
        <v/>
      </c>
      <c r="AK643">
        <f>INDEX($R$563:$R$690,AD643+1)</f>
        <v/>
      </c>
      <c r="AL643">
        <f>INDEX($S$563:$S$690,AE643+1)</f>
        <v/>
      </c>
      <c r="AM643">
        <f>INDEX($T$563:$T$690,AF643+1)</f>
        <v/>
      </c>
      <c r="AN643">
        <f>INDEX($U$563:$U$690,AG643+1)</f>
        <v/>
      </c>
      <c r="AO643">
        <f>INDEX($V$563:$V$690,AH643+1)</f>
        <v/>
      </c>
      <c r="AP643">
        <f>INDEX($W$563:$W$690,AI643+1)</f>
        <v/>
      </c>
      <c r="AQ643">
        <f>IF(Q643&gt;=AJ643-0.01,1,0)</f>
        <v/>
      </c>
      <c r="AR643">
        <f>IF(R643&gt;=AK643-0.01,1,0)</f>
        <v/>
      </c>
      <c r="AS643">
        <f>IF(S643&gt;=AL643-0.01,1,0)</f>
        <v/>
      </c>
      <c r="AT643">
        <f>IF(T643&gt;=AM643-0.01,1,0)</f>
        <v/>
      </c>
      <c r="AU643">
        <f>IF(U643&gt;=AN643-0.01,1,0)</f>
        <v/>
      </c>
      <c r="AV643">
        <f>IF(V643&gt;=AO643-0.01,1,0)</f>
        <v/>
      </c>
      <c r="AW643">
        <f>IF(W643&gt;=AP643-0.01,1,0)</f>
        <v/>
      </c>
      <c r="AX643">
        <f>AQ643*AR643*AS643*AT643*AU643*AV643*AW643</f>
        <v/>
      </c>
      <c r="AY643">
        <f>Assumptions!$B$41</f>
        <v/>
      </c>
      <c r="AZ643">
        <f>Assumptions!$B$33</f>
        <v/>
      </c>
      <c r="BA643">
        <f>Assumptions!$B$32</f>
        <v/>
      </c>
      <c r="BB643">
        <f>Assumptions!$B$31</f>
        <v/>
      </c>
      <c r="BC643">
        <f>Assumptions!$B$30</f>
        <v/>
      </c>
      <c r="BD643">
        <f>Assumptions!$B$29</f>
        <v/>
      </c>
      <c r="BE643">
        <f>Assumptions!$B$28</f>
        <v/>
      </c>
      <c r="BF643">
        <f>P643*Assumptions!$B$141</f>
        <v/>
      </c>
      <c r="BG643">
        <f>P643*Assumptions!$B$128</f>
        <v/>
      </c>
      <c r="BH643">
        <f>P643*Assumptions!$B$129</f>
        <v/>
      </c>
      <c r="BI643">
        <f>P643*Assumptions!$B$14</f>
        <v/>
      </c>
      <c r="BJ643">
        <f>P643*Assumptions!$B$13</f>
        <v/>
      </c>
      <c r="BK643">
        <f>P643*Assumptions!$B$12</f>
        <v/>
      </c>
      <c r="BL643">
        <f>P643*Assumptions!$B$11</f>
        <v/>
      </c>
    </row>
    <row r="644">
      <c r="A644" t="inlineStr">
        <is>
          <t>8000M</t>
        </is>
      </c>
      <c r="B644">
        <f>Assumptions!$B$62</f>
        <v/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>
        <f>(1-C644)*Assumptions!$B$41+(1-D644)*Assumptions!$B$33+(1-E644)*Assumptions!$B$32+(1-F644)*Assumptions!$B$31+(1-G644)*Assumptions!$B$30+(1-H644)*Assumptions!$B$29+(1-I644)*Assumptions!$B$28</f>
        <v/>
      </c>
      <c r="K644">
        <f>C644*Assumptions!$B$141+D644*Assumptions!$B$128+E644*Assumptions!$B$129+F644*Assumptions!$B$14+G644*Assumptions!$B$13+H644*Assumptions!$B$12+I644*Assumptions!$B$11+Assumptions!$B$133+Assumptions!$B$137+Assumptions!$B$9</f>
        <v/>
      </c>
      <c r="L644">
        <f>B644-J644</f>
        <v/>
      </c>
      <c r="M644">
        <f>IF(K644&gt;0,IF(L644/K644&gt;=Assumptions!$B$37,1,0),0)</f>
        <v/>
      </c>
      <c r="N644">
        <f>K644+M644*Assumptions!$B$153</f>
        <v/>
      </c>
      <c r="O644">
        <f>L644+M644*Assumptions!$B$153*Assumptions!$B$37</f>
        <v/>
      </c>
      <c r="P644">
        <f>IF(N644&gt;0,O644/N644,0)</f>
        <v/>
      </c>
      <c r="Q644">
        <f>IF(C644=1,P644*Assumptions!$B$141,Assumptions!$B$41)</f>
        <v/>
      </c>
      <c r="R644">
        <f>IF(D644=1,P644*Assumptions!$B$128,Assumptions!$B$33)</f>
        <v/>
      </c>
      <c r="S644">
        <f>IF(E644=1,P644*Assumptions!$B$129,Assumptions!$B$32)</f>
        <v/>
      </c>
      <c r="T644">
        <f>IF(F644=1,P644*Assumptions!$B$14,Assumptions!$B$31)</f>
        <v/>
      </c>
      <c r="U644">
        <f>IF(G644=1,P644*Assumptions!$B$13,Assumptions!$B$30)</f>
        <v/>
      </c>
      <c r="V644">
        <f>IF(H644=1,P644*Assumptions!$B$12,Assumptions!$B$29)</f>
        <v/>
      </c>
      <c r="W644">
        <f>IF(I644=1,P644*Assumptions!$B$11,Assumptions!$B$28)</f>
        <v/>
      </c>
      <c r="X644">
        <f>P644*(Assumptions!$B$133+Assumptions!$B$137)</f>
        <v/>
      </c>
      <c r="Y644">
        <f>P644*Assumptions!$B$9</f>
        <v/>
      </c>
      <c r="Z644">
        <f>IF(M644=1,(P644-Assumptions!$B$37)*Assumptions!$B$153,0)</f>
        <v/>
      </c>
      <c r="AA644">
        <f>Q644+R644+S644+T644+U644+V644+W644+X644+Y644+Z644</f>
        <v/>
      </c>
      <c r="AB644" t="n">
        <v>81</v>
      </c>
      <c r="AC644" t="n">
        <v>17</v>
      </c>
      <c r="AD644" t="n">
        <v>113</v>
      </c>
      <c r="AE644" t="n">
        <v>65</v>
      </c>
      <c r="AF644" t="n">
        <v>89</v>
      </c>
      <c r="AG644" t="n">
        <v>85</v>
      </c>
      <c r="AH644" t="n">
        <v>83</v>
      </c>
      <c r="AI644" t="n">
        <v>80</v>
      </c>
      <c r="AJ644">
        <f>INDEX($Q$563:$Q$690,AC644+1)</f>
        <v/>
      </c>
      <c r="AK644">
        <f>INDEX($R$563:$R$690,AD644+1)</f>
        <v/>
      </c>
      <c r="AL644">
        <f>INDEX($S$563:$S$690,AE644+1)</f>
        <v/>
      </c>
      <c r="AM644">
        <f>INDEX($T$563:$T$690,AF644+1)</f>
        <v/>
      </c>
      <c r="AN644">
        <f>INDEX($U$563:$U$690,AG644+1)</f>
        <v/>
      </c>
      <c r="AO644">
        <f>INDEX($V$563:$V$690,AH644+1)</f>
        <v/>
      </c>
      <c r="AP644">
        <f>INDEX($W$563:$W$690,AI644+1)</f>
        <v/>
      </c>
      <c r="AQ644">
        <f>IF(Q644&gt;=AJ644-0.01,1,0)</f>
        <v/>
      </c>
      <c r="AR644">
        <f>IF(R644&gt;=AK644-0.01,1,0)</f>
        <v/>
      </c>
      <c r="AS644">
        <f>IF(S644&gt;=AL644-0.01,1,0)</f>
        <v/>
      </c>
      <c r="AT644">
        <f>IF(T644&gt;=AM644-0.01,1,0)</f>
        <v/>
      </c>
      <c r="AU644">
        <f>IF(U644&gt;=AN644-0.01,1,0)</f>
        <v/>
      </c>
      <c r="AV644">
        <f>IF(V644&gt;=AO644-0.01,1,0)</f>
        <v/>
      </c>
      <c r="AW644">
        <f>IF(W644&gt;=AP644-0.01,1,0)</f>
        <v/>
      </c>
      <c r="AX644">
        <f>AQ644*AR644*AS644*AT644*AU644*AV644*AW644</f>
        <v/>
      </c>
      <c r="AY644">
        <f>Assumptions!$B$41</f>
        <v/>
      </c>
      <c r="AZ644">
        <f>Assumptions!$B$33</f>
        <v/>
      </c>
      <c r="BA644">
        <f>Assumptions!$B$32</f>
        <v/>
      </c>
      <c r="BB644">
        <f>Assumptions!$B$31</f>
        <v/>
      </c>
      <c r="BC644">
        <f>Assumptions!$B$30</f>
        <v/>
      </c>
      <c r="BD644">
        <f>Assumptions!$B$29</f>
        <v/>
      </c>
      <c r="BE644">
        <f>Assumptions!$B$28</f>
        <v/>
      </c>
      <c r="BF644">
        <f>P644*Assumptions!$B$141</f>
        <v/>
      </c>
      <c r="BG644">
        <f>P644*Assumptions!$B$128</f>
        <v/>
      </c>
      <c r="BH644">
        <f>P644*Assumptions!$B$129</f>
        <v/>
      </c>
      <c r="BI644">
        <f>P644*Assumptions!$B$14</f>
        <v/>
      </c>
      <c r="BJ644">
        <f>P644*Assumptions!$B$13</f>
        <v/>
      </c>
      <c r="BK644">
        <f>P644*Assumptions!$B$12</f>
        <v/>
      </c>
      <c r="BL644">
        <f>P644*Assumptions!$B$11</f>
        <v/>
      </c>
    </row>
    <row r="645">
      <c r="A645" t="inlineStr">
        <is>
          <t>8000M</t>
        </is>
      </c>
      <c r="B645">
        <f>Assumptions!$B$62</f>
        <v/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>
        <f>(1-C645)*Assumptions!$B$41+(1-D645)*Assumptions!$B$33+(1-E645)*Assumptions!$B$32+(1-F645)*Assumptions!$B$31+(1-G645)*Assumptions!$B$30+(1-H645)*Assumptions!$B$29+(1-I645)*Assumptions!$B$28</f>
        <v/>
      </c>
      <c r="K645">
        <f>C645*Assumptions!$B$141+D645*Assumptions!$B$128+E645*Assumptions!$B$129+F645*Assumptions!$B$14+G645*Assumptions!$B$13+H645*Assumptions!$B$12+I645*Assumptions!$B$11+Assumptions!$B$133+Assumptions!$B$137+Assumptions!$B$9</f>
        <v/>
      </c>
      <c r="L645">
        <f>B645-J645</f>
        <v/>
      </c>
      <c r="M645">
        <f>IF(K645&gt;0,IF(L645/K645&gt;=Assumptions!$B$37,1,0),0)</f>
        <v/>
      </c>
      <c r="N645">
        <f>K645+M645*Assumptions!$B$153</f>
        <v/>
      </c>
      <c r="O645">
        <f>L645+M645*Assumptions!$B$153*Assumptions!$B$37</f>
        <v/>
      </c>
      <c r="P645">
        <f>IF(N645&gt;0,O645/N645,0)</f>
        <v/>
      </c>
      <c r="Q645">
        <f>IF(C645=1,P645*Assumptions!$B$141,Assumptions!$B$41)</f>
        <v/>
      </c>
      <c r="R645">
        <f>IF(D645=1,P645*Assumptions!$B$128,Assumptions!$B$33)</f>
        <v/>
      </c>
      <c r="S645">
        <f>IF(E645=1,P645*Assumptions!$B$129,Assumptions!$B$32)</f>
        <v/>
      </c>
      <c r="T645">
        <f>IF(F645=1,P645*Assumptions!$B$14,Assumptions!$B$31)</f>
        <v/>
      </c>
      <c r="U645">
        <f>IF(G645=1,P645*Assumptions!$B$13,Assumptions!$B$30)</f>
        <v/>
      </c>
      <c r="V645">
        <f>IF(H645=1,P645*Assumptions!$B$12,Assumptions!$B$29)</f>
        <v/>
      </c>
      <c r="W645">
        <f>IF(I645=1,P645*Assumptions!$B$11,Assumptions!$B$28)</f>
        <v/>
      </c>
      <c r="X645">
        <f>P645*(Assumptions!$B$133+Assumptions!$B$137)</f>
        <v/>
      </c>
      <c r="Y645">
        <f>P645*Assumptions!$B$9</f>
        <v/>
      </c>
      <c r="Z645">
        <f>IF(M645=1,(P645-Assumptions!$B$37)*Assumptions!$B$153,0)</f>
        <v/>
      </c>
      <c r="AA645">
        <f>Q645+R645+S645+T645+U645+V645+W645+X645+Y645+Z645</f>
        <v/>
      </c>
      <c r="AB645" t="n">
        <v>82</v>
      </c>
      <c r="AC645" t="n">
        <v>18</v>
      </c>
      <c r="AD645" t="n">
        <v>114</v>
      </c>
      <c r="AE645" t="n">
        <v>66</v>
      </c>
      <c r="AF645" t="n">
        <v>90</v>
      </c>
      <c r="AG645" t="n">
        <v>86</v>
      </c>
      <c r="AH645" t="n">
        <v>80</v>
      </c>
      <c r="AI645" t="n">
        <v>83</v>
      </c>
      <c r="AJ645">
        <f>INDEX($Q$563:$Q$690,AC645+1)</f>
        <v/>
      </c>
      <c r="AK645">
        <f>INDEX($R$563:$R$690,AD645+1)</f>
        <v/>
      </c>
      <c r="AL645">
        <f>INDEX($S$563:$S$690,AE645+1)</f>
        <v/>
      </c>
      <c r="AM645">
        <f>INDEX($T$563:$T$690,AF645+1)</f>
        <v/>
      </c>
      <c r="AN645">
        <f>INDEX($U$563:$U$690,AG645+1)</f>
        <v/>
      </c>
      <c r="AO645">
        <f>INDEX($V$563:$V$690,AH645+1)</f>
        <v/>
      </c>
      <c r="AP645">
        <f>INDEX($W$563:$W$690,AI645+1)</f>
        <v/>
      </c>
      <c r="AQ645">
        <f>IF(Q645&gt;=AJ645-0.01,1,0)</f>
        <v/>
      </c>
      <c r="AR645">
        <f>IF(R645&gt;=AK645-0.01,1,0)</f>
        <v/>
      </c>
      <c r="AS645">
        <f>IF(S645&gt;=AL645-0.01,1,0)</f>
        <v/>
      </c>
      <c r="AT645">
        <f>IF(T645&gt;=AM645-0.01,1,0)</f>
        <v/>
      </c>
      <c r="AU645">
        <f>IF(U645&gt;=AN645-0.01,1,0)</f>
        <v/>
      </c>
      <c r="AV645">
        <f>IF(V645&gt;=AO645-0.01,1,0)</f>
        <v/>
      </c>
      <c r="AW645">
        <f>IF(W645&gt;=AP645-0.01,1,0)</f>
        <v/>
      </c>
      <c r="AX645">
        <f>AQ645*AR645*AS645*AT645*AU645*AV645*AW645</f>
        <v/>
      </c>
      <c r="AY645">
        <f>Assumptions!$B$41</f>
        <v/>
      </c>
      <c r="AZ645">
        <f>Assumptions!$B$33</f>
        <v/>
      </c>
      <c r="BA645">
        <f>Assumptions!$B$32</f>
        <v/>
      </c>
      <c r="BB645">
        <f>Assumptions!$B$31</f>
        <v/>
      </c>
      <c r="BC645">
        <f>Assumptions!$B$30</f>
        <v/>
      </c>
      <c r="BD645">
        <f>Assumptions!$B$29</f>
        <v/>
      </c>
      <c r="BE645">
        <f>Assumptions!$B$28</f>
        <v/>
      </c>
      <c r="BF645">
        <f>P645*Assumptions!$B$141</f>
        <v/>
      </c>
      <c r="BG645">
        <f>P645*Assumptions!$B$128</f>
        <v/>
      </c>
      <c r="BH645">
        <f>P645*Assumptions!$B$129</f>
        <v/>
      </c>
      <c r="BI645">
        <f>P645*Assumptions!$B$14</f>
        <v/>
      </c>
      <c r="BJ645">
        <f>P645*Assumptions!$B$13</f>
        <v/>
      </c>
      <c r="BK645">
        <f>P645*Assumptions!$B$12</f>
        <v/>
      </c>
      <c r="BL645">
        <f>P645*Assumptions!$B$11</f>
        <v/>
      </c>
    </row>
    <row r="646">
      <c r="A646" t="inlineStr">
        <is>
          <t>8000M</t>
        </is>
      </c>
      <c r="B646">
        <f>Assumptions!$B$62</f>
        <v/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>
        <f>(1-C646)*Assumptions!$B$41+(1-D646)*Assumptions!$B$33+(1-E646)*Assumptions!$B$32+(1-F646)*Assumptions!$B$31+(1-G646)*Assumptions!$B$30+(1-H646)*Assumptions!$B$29+(1-I646)*Assumptions!$B$28</f>
        <v/>
      </c>
      <c r="K646">
        <f>C646*Assumptions!$B$141+D646*Assumptions!$B$128+E646*Assumptions!$B$129+F646*Assumptions!$B$14+G646*Assumptions!$B$13+H646*Assumptions!$B$12+I646*Assumptions!$B$11+Assumptions!$B$133+Assumptions!$B$137+Assumptions!$B$9</f>
        <v/>
      </c>
      <c r="L646">
        <f>B646-J646</f>
        <v/>
      </c>
      <c r="M646">
        <f>IF(K646&gt;0,IF(L646/K646&gt;=Assumptions!$B$37,1,0),0)</f>
        <v/>
      </c>
      <c r="N646">
        <f>K646+M646*Assumptions!$B$153</f>
        <v/>
      </c>
      <c r="O646">
        <f>L646+M646*Assumptions!$B$153*Assumptions!$B$37</f>
        <v/>
      </c>
      <c r="P646">
        <f>IF(N646&gt;0,O646/N646,0)</f>
        <v/>
      </c>
      <c r="Q646">
        <f>IF(C646=1,P646*Assumptions!$B$141,Assumptions!$B$41)</f>
        <v/>
      </c>
      <c r="R646">
        <f>IF(D646=1,P646*Assumptions!$B$128,Assumptions!$B$33)</f>
        <v/>
      </c>
      <c r="S646">
        <f>IF(E646=1,P646*Assumptions!$B$129,Assumptions!$B$32)</f>
        <v/>
      </c>
      <c r="T646">
        <f>IF(F646=1,P646*Assumptions!$B$14,Assumptions!$B$31)</f>
        <v/>
      </c>
      <c r="U646">
        <f>IF(G646=1,P646*Assumptions!$B$13,Assumptions!$B$30)</f>
        <v/>
      </c>
      <c r="V646">
        <f>IF(H646=1,P646*Assumptions!$B$12,Assumptions!$B$29)</f>
        <v/>
      </c>
      <c r="W646">
        <f>IF(I646=1,P646*Assumptions!$B$11,Assumptions!$B$28)</f>
        <v/>
      </c>
      <c r="X646">
        <f>P646*(Assumptions!$B$133+Assumptions!$B$137)</f>
        <v/>
      </c>
      <c r="Y646">
        <f>P646*Assumptions!$B$9</f>
        <v/>
      </c>
      <c r="Z646">
        <f>IF(M646=1,(P646-Assumptions!$B$37)*Assumptions!$B$153,0)</f>
        <v/>
      </c>
      <c r="AA646">
        <f>Q646+R646+S646+T646+U646+V646+W646+X646+Y646+Z646</f>
        <v/>
      </c>
      <c r="AB646" t="n">
        <v>83</v>
      </c>
      <c r="AC646" t="n">
        <v>19</v>
      </c>
      <c r="AD646" t="n">
        <v>115</v>
      </c>
      <c r="AE646" t="n">
        <v>67</v>
      </c>
      <c r="AF646" t="n">
        <v>91</v>
      </c>
      <c r="AG646" t="n">
        <v>87</v>
      </c>
      <c r="AH646" t="n">
        <v>81</v>
      </c>
      <c r="AI646" t="n">
        <v>82</v>
      </c>
      <c r="AJ646">
        <f>INDEX($Q$563:$Q$690,AC646+1)</f>
        <v/>
      </c>
      <c r="AK646">
        <f>INDEX($R$563:$R$690,AD646+1)</f>
        <v/>
      </c>
      <c r="AL646">
        <f>INDEX($S$563:$S$690,AE646+1)</f>
        <v/>
      </c>
      <c r="AM646">
        <f>INDEX($T$563:$T$690,AF646+1)</f>
        <v/>
      </c>
      <c r="AN646">
        <f>INDEX($U$563:$U$690,AG646+1)</f>
        <v/>
      </c>
      <c r="AO646">
        <f>INDEX($V$563:$V$690,AH646+1)</f>
        <v/>
      </c>
      <c r="AP646">
        <f>INDEX($W$563:$W$690,AI646+1)</f>
        <v/>
      </c>
      <c r="AQ646">
        <f>IF(Q646&gt;=AJ646-0.01,1,0)</f>
        <v/>
      </c>
      <c r="AR646">
        <f>IF(R646&gt;=AK646-0.01,1,0)</f>
        <v/>
      </c>
      <c r="AS646">
        <f>IF(S646&gt;=AL646-0.01,1,0)</f>
        <v/>
      </c>
      <c r="AT646">
        <f>IF(T646&gt;=AM646-0.01,1,0)</f>
        <v/>
      </c>
      <c r="AU646">
        <f>IF(U646&gt;=AN646-0.01,1,0)</f>
        <v/>
      </c>
      <c r="AV646">
        <f>IF(V646&gt;=AO646-0.01,1,0)</f>
        <v/>
      </c>
      <c r="AW646">
        <f>IF(W646&gt;=AP646-0.01,1,0)</f>
        <v/>
      </c>
      <c r="AX646">
        <f>AQ646*AR646*AS646*AT646*AU646*AV646*AW646</f>
        <v/>
      </c>
      <c r="AY646">
        <f>Assumptions!$B$41</f>
        <v/>
      </c>
      <c r="AZ646">
        <f>Assumptions!$B$33</f>
        <v/>
      </c>
      <c r="BA646">
        <f>Assumptions!$B$32</f>
        <v/>
      </c>
      <c r="BB646">
        <f>Assumptions!$B$31</f>
        <v/>
      </c>
      <c r="BC646">
        <f>Assumptions!$B$30</f>
        <v/>
      </c>
      <c r="BD646">
        <f>Assumptions!$B$29</f>
        <v/>
      </c>
      <c r="BE646">
        <f>Assumptions!$B$28</f>
        <v/>
      </c>
      <c r="BF646">
        <f>P646*Assumptions!$B$141</f>
        <v/>
      </c>
      <c r="BG646">
        <f>P646*Assumptions!$B$128</f>
        <v/>
      </c>
      <c r="BH646">
        <f>P646*Assumptions!$B$129</f>
        <v/>
      </c>
      <c r="BI646">
        <f>P646*Assumptions!$B$14</f>
        <v/>
      </c>
      <c r="BJ646">
        <f>P646*Assumptions!$B$13</f>
        <v/>
      </c>
      <c r="BK646">
        <f>P646*Assumptions!$B$12</f>
        <v/>
      </c>
      <c r="BL646">
        <f>P646*Assumptions!$B$11</f>
        <v/>
      </c>
    </row>
    <row r="647">
      <c r="A647" t="inlineStr">
        <is>
          <t>8000M</t>
        </is>
      </c>
      <c r="B647">
        <f>Assumptions!$B$62</f>
        <v/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>
        <f>(1-C647)*Assumptions!$B$41+(1-D647)*Assumptions!$B$33+(1-E647)*Assumptions!$B$32+(1-F647)*Assumptions!$B$31+(1-G647)*Assumptions!$B$30+(1-H647)*Assumptions!$B$29+(1-I647)*Assumptions!$B$28</f>
        <v/>
      </c>
      <c r="K647">
        <f>C647*Assumptions!$B$141+D647*Assumptions!$B$128+E647*Assumptions!$B$129+F647*Assumptions!$B$14+G647*Assumptions!$B$13+H647*Assumptions!$B$12+I647*Assumptions!$B$11+Assumptions!$B$133+Assumptions!$B$137+Assumptions!$B$9</f>
        <v/>
      </c>
      <c r="L647">
        <f>B647-J647</f>
        <v/>
      </c>
      <c r="M647">
        <f>IF(K647&gt;0,IF(L647/K647&gt;=Assumptions!$B$37,1,0),0)</f>
        <v/>
      </c>
      <c r="N647">
        <f>K647+M647*Assumptions!$B$153</f>
        <v/>
      </c>
      <c r="O647">
        <f>L647+M647*Assumptions!$B$153*Assumptions!$B$37</f>
        <v/>
      </c>
      <c r="P647">
        <f>IF(N647&gt;0,O647/N647,0)</f>
        <v/>
      </c>
      <c r="Q647">
        <f>IF(C647=1,P647*Assumptions!$B$141,Assumptions!$B$41)</f>
        <v/>
      </c>
      <c r="R647">
        <f>IF(D647=1,P647*Assumptions!$B$128,Assumptions!$B$33)</f>
        <v/>
      </c>
      <c r="S647">
        <f>IF(E647=1,P647*Assumptions!$B$129,Assumptions!$B$32)</f>
        <v/>
      </c>
      <c r="T647">
        <f>IF(F647=1,P647*Assumptions!$B$14,Assumptions!$B$31)</f>
        <v/>
      </c>
      <c r="U647">
        <f>IF(G647=1,P647*Assumptions!$B$13,Assumptions!$B$30)</f>
        <v/>
      </c>
      <c r="V647">
        <f>IF(H647=1,P647*Assumptions!$B$12,Assumptions!$B$29)</f>
        <v/>
      </c>
      <c r="W647">
        <f>IF(I647=1,P647*Assumptions!$B$11,Assumptions!$B$28)</f>
        <v/>
      </c>
      <c r="X647">
        <f>P647*(Assumptions!$B$133+Assumptions!$B$137)</f>
        <v/>
      </c>
      <c r="Y647">
        <f>P647*Assumptions!$B$9</f>
        <v/>
      </c>
      <c r="Z647">
        <f>IF(M647=1,(P647-Assumptions!$B$37)*Assumptions!$B$153,0)</f>
        <v/>
      </c>
      <c r="AA647">
        <f>Q647+R647+S647+T647+U647+V647+W647+X647+Y647+Z647</f>
        <v/>
      </c>
      <c r="AB647" t="n">
        <v>84</v>
      </c>
      <c r="AC647" t="n">
        <v>20</v>
      </c>
      <c r="AD647" t="n">
        <v>116</v>
      </c>
      <c r="AE647" t="n">
        <v>68</v>
      </c>
      <c r="AF647" t="n">
        <v>92</v>
      </c>
      <c r="AG647" t="n">
        <v>80</v>
      </c>
      <c r="AH647" t="n">
        <v>86</v>
      </c>
      <c r="AI647" t="n">
        <v>85</v>
      </c>
      <c r="AJ647">
        <f>INDEX($Q$563:$Q$690,AC647+1)</f>
        <v/>
      </c>
      <c r="AK647">
        <f>INDEX($R$563:$R$690,AD647+1)</f>
        <v/>
      </c>
      <c r="AL647">
        <f>INDEX($S$563:$S$690,AE647+1)</f>
        <v/>
      </c>
      <c r="AM647">
        <f>INDEX($T$563:$T$690,AF647+1)</f>
        <v/>
      </c>
      <c r="AN647">
        <f>INDEX($U$563:$U$690,AG647+1)</f>
        <v/>
      </c>
      <c r="AO647">
        <f>INDEX($V$563:$V$690,AH647+1)</f>
        <v/>
      </c>
      <c r="AP647">
        <f>INDEX($W$563:$W$690,AI647+1)</f>
        <v/>
      </c>
      <c r="AQ647">
        <f>IF(Q647&gt;=AJ647-0.01,1,0)</f>
        <v/>
      </c>
      <c r="AR647">
        <f>IF(R647&gt;=AK647-0.01,1,0)</f>
        <v/>
      </c>
      <c r="AS647">
        <f>IF(S647&gt;=AL647-0.01,1,0)</f>
        <v/>
      </c>
      <c r="AT647">
        <f>IF(T647&gt;=AM647-0.01,1,0)</f>
        <v/>
      </c>
      <c r="AU647">
        <f>IF(U647&gt;=AN647-0.01,1,0)</f>
        <v/>
      </c>
      <c r="AV647">
        <f>IF(V647&gt;=AO647-0.01,1,0)</f>
        <v/>
      </c>
      <c r="AW647">
        <f>IF(W647&gt;=AP647-0.01,1,0)</f>
        <v/>
      </c>
      <c r="AX647">
        <f>AQ647*AR647*AS647*AT647*AU647*AV647*AW647</f>
        <v/>
      </c>
      <c r="AY647">
        <f>Assumptions!$B$41</f>
        <v/>
      </c>
      <c r="AZ647">
        <f>Assumptions!$B$33</f>
        <v/>
      </c>
      <c r="BA647">
        <f>Assumptions!$B$32</f>
        <v/>
      </c>
      <c r="BB647">
        <f>Assumptions!$B$31</f>
        <v/>
      </c>
      <c r="BC647">
        <f>Assumptions!$B$30</f>
        <v/>
      </c>
      <c r="BD647">
        <f>Assumptions!$B$29</f>
        <v/>
      </c>
      <c r="BE647">
        <f>Assumptions!$B$28</f>
        <v/>
      </c>
      <c r="BF647">
        <f>P647*Assumptions!$B$141</f>
        <v/>
      </c>
      <c r="BG647">
        <f>P647*Assumptions!$B$128</f>
        <v/>
      </c>
      <c r="BH647">
        <f>P647*Assumptions!$B$129</f>
        <v/>
      </c>
      <c r="BI647">
        <f>P647*Assumptions!$B$14</f>
        <v/>
      </c>
      <c r="BJ647">
        <f>P647*Assumptions!$B$13</f>
        <v/>
      </c>
      <c r="BK647">
        <f>P647*Assumptions!$B$12</f>
        <v/>
      </c>
      <c r="BL647">
        <f>P647*Assumptions!$B$11</f>
        <v/>
      </c>
    </row>
    <row r="648">
      <c r="A648" t="inlineStr">
        <is>
          <t>8000M</t>
        </is>
      </c>
      <c r="B648">
        <f>Assumptions!$B$62</f>
        <v/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  <c r="J648">
        <f>(1-C648)*Assumptions!$B$41+(1-D648)*Assumptions!$B$33+(1-E648)*Assumptions!$B$32+(1-F648)*Assumptions!$B$31+(1-G648)*Assumptions!$B$30+(1-H648)*Assumptions!$B$29+(1-I648)*Assumptions!$B$28</f>
        <v/>
      </c>
      <c r="K648">
        <f>C648*Assumptions!$B$141+D648*Assumptions!$B$128+E648*Assumptions!$B$129+F648*Assumptions!$B$14+G648*Assumptions!$B$13+H648*Assumptions!$B$12+I648*Assumptions!$B$11+Assumptions!$B$133+Assumptions!$B$137+Assumptions!$B$9</f>
        <v/>
      </c>
      <c r="L648">
        <f>B648-J648</f>
        <v/>
      </c>
      <c r="M648">
        <f>IF(K648&gt;0,IF(L648/K648&gt;=Assumptions!$B$37,1,0),0)</f>
        <v/>
      </c>
      <c r="N648">
        <f>K648+M648*Assumptions!$B$153</f>
        <v/>
      </c>
      <c r="O648">
        <f>L648+M648*Assumptions!$B$153*Assumptions!$B$37</f>
        <v/>
      </c>
      <c r="P648">
        <f>IF(N648&gt;0,O648/N648,0)</f>
        <v/>
      </c>
      <c r="Q648">
        <f>IF(C648=1,P648*Assumptions!$B$141,Assumptions!$B$41)</f>
        <v/>
      </c>
      <c r="R648">
        <f>IF(D648=1,P648*Assumptions!$B$128,Assumptions!$B$33)</f>
        <v/>
      </c>
      <c r="S648">
        <f>IF(E648=1,P648*Assumptions!$B$129,Assumptions!$B$32)</f>
        <v/>
      </c>
      <c r="T648">
        <f>IF(F648=1,P648*Assumptions!$B$14,Assumptions!$B$31)</f>
        <v/>
      </c>
      <c r="U648">
        <f>IF(G648=1,P648*Assumptions!$B$13,Assumptions!$B$30)</f>
        <v/>
      </c>
      <c r="V648">
        <f>IF(H648=1,P648*Assumptions!$B$12,Assumptions!$B$29)</f>
        <v/>
      </c>
      <c r="W648">
        <f>IF(I648=1,P648*Assumptions!$B$11,Assumptions!$B$28)</f>
        <v/>
      </c>
      <c r="X648">
        <f>P648*(Assumptions!$B$133+Assumptions!$B$137)</f>
        <v/>
      </c>
      <c r="Y648">
        <f>P648*Assumptions!$B$9</f>
        <v/>
      </c>
      <c r="Z648">
        <f>IF(M648=1,(P648-Assumptions!$B$37)*Assumptions!$B$153,0)</f>
        <v/>
      </c>
      <c r="AA648">
        <f>Q648+R648+S648+T648+U648+V648+W648+X648+Y648+Z648</f>
        <v/>
      </c>
      <c r="AB648" t="n">
        <v>85</v>
      </c>
      <c r="AC648" t="n">
        <v>21</v>
      </c>
      <c r="AD648" t="n">
        <v>117</v>
      </c>
      <c r="AE648" t="n">
        <v>69</v>
      </c>
      <c r="AF648" t="n">
        <v>93</v>
      </c>
      <c r="AG648" t="n">
        <v>81</v>
      </c>
      <c r="AH648" t="n">
        <v>87</v>
      </c>
      <c r="AI648" t="n">
        <v>84</v>
      </c>
      <c r="AJ648">
        <f>INDEX($Q$563:$Q$690,AC648+1)</f>
        <v/>
      </c>
      <c r="AK648">
        <f>INDEX($R$563:$R$690,AD648+1)</f>
        <v/>
      </c>
      <c r="AL648">
        <f>INDEX($S$563:$S$690,AE648+1)</f>
        <v/>
      </c>
      <c r="AM648">
        <f>INDEX($T$563:$T$690,AF648+1)</f>
        <v/>
      </c>
      <c r="AN648">
        <f>INDEX($U$563:$U$690,AG648+1)</f>
        <v/>
      </c>
      <c r="AO648">
        <f>INDEX($V$563:$V$690,AH648+1)</f>
        <v/>
      </c>
      <c r="AP648">
        <f>INDEX($W$563:$W$690,AI648+1)</f>
        <v/>
      </c>
      <c r="AQ648">
        <f>IF(Q648&gt;=AJ648-0.01,1,0)</f>
        <v/>
      </c>
      <c r="AR648">
        <f>IF(R648&gt;=AK648-0.01,1,0)</f>
        <v/>
      </c>
      <c r="AS648">
        <f>IF(S648&gt;=AL648-0.01,1,0)</f>
        <v/>
      </c>
      <c r="AT648">
        <f>IF(T648&gt;=AM648-0.01,1,0)</f>
        <v/>
      </c>
      <c r="AU648">
        <f>IF(U648&gt;=AN648-0.01,1,0)</f>
        <v/>
      </c>
      <c r="AV648">
        <f>IF(V648&gt;=AO648-0.01,1,0)</f>
        <v/>
      </c>
      <c r="AW648">
        <f>IF(W648&gt;=AP648-0.01,1,0)</f>
        <v/>
      </c>
      <c r="AX648">
        <f>AQ648*AR648*AS648*AT648*AU648*AV648*AW648</f>
        <v/>
      </c>
      <c r="AY648">
        <f>Assumptions!$B$41</f>
        <v/>
      </c>
      <c r="AZ648">
        <f>Assumptions!$B$33</f>
        <v/>
      </c>
      <c r="BA648">
        <f>Assumptions!$B$32</f>
        <v/>
      </c>
      <c r="BB648">
        <f>Assumptions!$B$31</f>
        <v/>
      </c>
      <c r="BC648">
        <f>Assumptions!$B$30</f>
        <v/>
      </c>
      <c r="BD648">
        <f>Assumptions!$B$29</f>
        <v/>
      </c>
      <c r="BE648">
        <f>Assumptions!$B$28</f>
        <v/>
      </c>
      <c r="BF648">
        <f>P648*Assumptions!$B$141</f>
        <v/>
      </c>
      <c r="BG648">
        <f>P648*Assumptions!$B$128</f>
        <v/>
      </c>
      <c r="BH648">
        <f>P648*Assumptions!$B$129</f>
        <v/>
      </c>
      <c r="BI648">
        <f>P648*Assumptions!$B$14</f>
        <v/>
      </c>
      <c r="BJ648">
        <f>P648*Assumptions!$B$13</f>
        <v/>
      </c>
      <c r="BK648">
        <f>P648*Assumptions!$B$12</f>
        <v/>
      </c>
      <c r="BL648">
        <f>P648*Assumptions!$B$11</f>
        <v/>
      </c>
    </row>
    <row r="649">
      <c r="A649" t="inlineStr">
        <is>
          <t>8000M</t>
        </is>
      </c>
      <c r="B649">
        <f>Assumptions!$B$62</f>
        <v/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  <c r="J649">
        <f>(1-C649)*Assumptions!$B$41+(1-D649)*Assumptions!$B$33+(1-E649)*Assumptions!$B$32+(1-F649)*Assumptions!$B$31+(1-G649)*Assumptions!$B$30+(1-H649)*Assumptions!$B$29+(1-I649)*Assumptions!$B$28</f>
        <v/>
      </c>
      <c r="K649">
        <f>C649*Assumptions!$B$141+D649*Assumptions!$B$128+E649*Assumptions!$B$129+F649*Assumptions!$B$14+G649*Assumptions!$B$13+H649*Assumptions!$B$12+I649*Assumptions!$B$11+Assumptions!$B$133+Assumptions!$B$137+Assumptions!$B$9</f>
        <v/>
      </c>
      <c r="L649">
        <f>B649-J649</f>
        <v/>
      </c>
      <c r="M649">
        <f>IF(K649&gt;0,IF(L649/K649&gt;=Assumptions!$B$37,1,0),0)</f>
        <v/>
      </c>
      <c r="N649">
        <f>K649+M649*Assumptions!$B$153</f>
        <v/>
      </c>
      <c r="O649">
        <f>L649+M649*Assumptions!$B$153*Assumptions!$B$37</f>
        <v/>
      </c>
      <c r="P649">
        <f>IF(N649&gt;0,O649/N649,0)</f>
        <v/>
      </c>
      <c r="Q649">
        <f>IF(C649=1,P649*Assumptions!$B$141,Assumptions!$B$41)</f>
        <v/>
      </c>
      <c r="R649">
        <f>IF(D649=1,P649*Assumptions!$B$128,Assumptions!$B$33)</f>
        <v/>
      </c>
      <c r="S649">
        <f>IF(E649=1,P649*Assumptions!$B$129,Assumptions!$B$32)</f>
        <v/>
      </c>
      <c r="T649">
        <f>IF(F649=1,P649*Assumptions!$B$14,Assumptions!$B$31)</f>
        <v/>
      </c>
      <c r="U649">
        <f>IF(G649=1,P649*Assumptions!$B$13,Assumptions!$B$30)</f>
        <v/>
      </c>
      <c r="V649">
        <f>IF(H649=1,P649*Assumptions!$B$12,Assumptions!$B$29)</f>
        <v/>
      </c>
      <c r="W649">
        <f>IF(I649=1,P649*Assumptions!$B$11,Assumptions!$B$28)</f>
        <v/>
      </c>
      <c r="X649">
        <f>P649*(Assumptions!$B$133+Assumptions!$B$137)</f>
        <v/>
      </c>
      <c r="Y649">
        <f>P649*Assumptions!$B$9</f>
        <v/>
      </c>
      <c r="Z649">
        <f>IF(M649=1,(P649-Assumptions!$B$37)*Assumptions!$B$153,0)</f>
        <v/>
      </c>
      <c r="AA649">
        <f>Q649+R649+S649+T649+U649+V649+W649+X649+Y649+Z649</f>
        <v/>
      </c>
      <c r="AB649" t="n">
        <v>86</v>
      </c>
      <c r="AC649" t="n">
        <v>22</v>
      </c>
      <c r="AD649" t="n">
        <v>118</v>
      </c>
      <c r="AE649" t="n">
        <v>70</v>
      </c>
      <c r="AF649" t="n">
        <v>94</v>
      </c>
      <c r="AG649" t="n">
        <v>82</v>
      </c>
      <c r="AH649" t="n">
        <v>84</v>
      </c>
      <c r="AI649" t="n">
        <v>87</v>
      </c>
      <c r="AJ649">
        <f>INDEX($Q$563:$Q$690,AC649+1)</f>
        <v/>
      </c>
      <c r="AK649">
        <f>INDEX($R$563:$R$690,AD649+1)</f>
        <v/>
      </c>
      <c r="AL649">
        <f>INDEX($S$563:$S$690,AE649+1)</f>
        <v/>
      </c>
      <c r="AM649">
        <f>INDEX($T$563:$T$690,AF649+1)</f>
        <v/>
      </c>
      <c r="AN649">
        <f>INDEX($U$563:$U$690,AG649+1)</f>
        <v/>
      </c>
      <c r="AO649">
        <f>INDEX($V$563:$V$690,AH649+1)</f>
        <v/>
      </c>
      <c r="AP649">
        <f>INDEX($W$563:$W$690,AI649+1)</f>
        <v/>
      </c>
      <c r="AQ649">
        <f>IF(Q649&gt;=AJ649-0.01,1,0)</f>
        <v/>
      </c>
      <c r="AR649">
        <f>IF(R649&gt;=AK649-0.01,1,0)</f>
        <v/>
      </c>
      <c r="AS649">
        <f>IF(S649&gt;=AL649-0.01,1,0)</f>
        <v/>
      </c>
      <c r="AT649">
        <f>IF(T649&gt;=AM649-0.01,1,0)</f>
        <v/>
      </c>
      <c r="AU649">
        <f>IF(U649&gt;=AN649-0.01,1,0)</f>
        <v/>
      </c>
      <c r="AV649">
        <f>IF(V649&gt;=AO649-0.01,1,0)</f>
        <v/>
      </c>
      <c r="AW649">
        <f>IF(W649&gt;=AP649-0.01,1,0)</f>
        <v/>
      </c>
      <c r="AX649">
        <f>AQ649*AR649*AS649*AT649*AU649*AV649*AW649</f>
        <v/>
      </c>
      <c r="AY649">
        <f>Assumptions!$B$41</f>
        <v/>
      </c>
      <c r="AZ649">
        <f>Assumptions!$B$33</f>
        <v/>
      </c>
      <c r="BA649">
        <f>Assumptions!$B$32</f>
        <v/>
      </c>
      <c r="BB649">
        <f>Assumptions!$B$31</f>
        <v/>
      </c>
      <c r="BC649">
        <f>Assumptions!$B$30</f>
        <v/>
      </c>
      <c r="BD649">
        <f>Assumptions!$B$29</f>
        <v/>
      </c>
      <c r="BE649">
        <f>Assumptions!$B$28</f>
        <v/>
      </c>
      <c r="BF649">
        <f>P649*Assumptions!$B$141</f>
        <v/>
      </c>
      <c r="BG649">
        <f>P649*Assumptions!$B$128</f>
        <v/>
      </c>
      <c r="BH649">
        <f>P649*Assumptions!$B$129</f>
        <v/>
      </c>
      <c r="BI649">
        <f>P649*Assumptions!$B$14</f>
        <v/>
      </c>
      <c r="BJ649">
        <f>P649*Assumptions!$B$13</f>
        <v/>
      </c>
      <c r="BK649">
        <f>P649*Assumptions!$B$12</f>
        <v/>
      </c>
      <c r="BL649">
        <f>P649*Assumptions!$B$11</f>
        <v/>
      </c>
    </row>
    <row r="650">
      <c r="A650" t="inlineStr">
        <is>
          <t>8000M</t>
        </is>
      </c>
      <c r="B650">
        <f>Assumptions!$B$62</f>
        <v/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>
        <f>(1-C650)*Assumptions!$B$41+(1-D650)*Assumptions!$B$33+(1-E650)*Assumptions!$B$32+(1-F650)*Assumptions!$B$31+(1-G650)*Assumptions!$B$30+(1-H650)*Assumptions!$B$29+(1-I650)*Assumptions!$B$28</f>
        <v/>
      </c>
      <c r="K650">
        <f>C650*Assumptions!$B$141+D650*Assumptions!$B$128+E650*Assumptions!$B$129+F650*Assumptions!$B$14+G650*Assumptions!$B$13+H650*Assumptions!$B$12+I650*Assumptions!$B$11+Assumptions!$B$133+Assumptions!$B$137+Assumptions!$B$9</f>
        <v/>
      </c>
      <c r="L650">
        <f>B650-J650</f>
        <v/>
      </c>
      <c r="M650">
        <f>IF(K650&gt;0,IF(L650/K650&gt;=Assumptions!$B$37,1,0),0)</f>
        <v/>
      </c>
      <c r="N650">
        <f>K650+M650*Assumptions!$B$153</f>
        <v/>
      </c>
      <c r="O650">
        <f>L650+M650*Assumptions!$B$153*Assumptions!$B$37</f>
        <v/>
      </c>
      <c r="P650">
        <f>IF(N650&gt;0,O650/N650,0)</f>
        <v/>
      </c>
      <c r="Q650">
        <f>IF(C650=1,P650*Assumptions!$B$141,Assumptions!$B$41)</f>
        <v/>
      </c>
      <c r="R650">
        <f>IF(D650=1,P650*Assumptions!$B$128,Assumptions!$B$33)</f>
        <v/>
      </c>
      <c r="S650">
        <f>IF(E650=1,P650*Assumptions!$B$129,Assumptions!$B$32)</f>
        <v/>
      </c>
      <c r="T650">
        <f>IF(F650=1,P650*Assumptions!$B$14,Assumptions!$B$31)</f>
        <v/>
      </c>
      <c r="U650">
        <f>IF(G650=1,P650*Assumptions!$B$13,Assumptions!$B$30)</f>
        <v/>
      </c>
      <c r="V650">
        <f>IF(H650=1,P650*Assumptions!$B$12,Assumptions!$B$29)</f>
        <v/>
      </c>
      <c r="W650">
        <f>IF(I650=1,P650*Assumptions!$B$11,Assumptions!$B$28)</f>
        <v/>
      </c>
      <c r="X650">
        <f>P650*(Assumptions!$B$133+Assumptions!$B$137)</f>
        <v/>
      </c>
      <c r="Y650">
        <f>P650*Assumptions!$B$9</f>
        <v/>
      </c>
      <c r="Z650">
        <f>IF(M650=1,(P650-Assumptions!$B$37)*Assumptions!$B$153,0)</f>
        <v/>
      </c>
      <c r="AA650">
        <f>Q650+R650+S650+T650+U650+V650+W650+X650+Y650+Z650</f>
        <v/>
      </c>
      <c r="AB650" t="n">
        <v>87</v>
      </c>
      <c r="AC650" t="n">
        <v>23</v>
      </c>
      <c r="AD650" t="n">
        <v>119</v>
      </c>
      <c r="AE650" t="n">
        <v>71</v>
      </c>
      <c r="AF650" t="n">
        <v>95</v>
      </c>
      <c r="AG650" t="n">
        <v>83</v>
      </c>
      <c r="AH650" t="n">
        <v>85</v>
      </c>
      <c r="AI650" t="n">
        <v>86</v>
      </c>
      <c r="AJ650">
        <f>INDEX($Q$563:$Q$690,AC650+1)</f>
        <v/>
      </c>
      <c r="AK650">
        <f>INDEX($R$563:$R$690,AD650+1)</f>
        <v/>
      </c>
      <c r="AL650">
        <f>INDEX($S$563:$S$690,AE650+1)</f>
        <v/>
      </c>
      <c r="AM650">
        <f>INDEX($T$563:$T$690,AF650+1)</f>
        <v/>
      </c>
      <c r="AN650">
        <f>INDEX($U$563:$U$690,AG650+1)</f>
        <v/>
      </c>
      <c r="AO650">
        <f>INDEX($V$563:$V$690,AH650+1)</f>
        <v/>
      </c>
      <c r="AP650">
        <f>INDEX($W$563:$W$690,AI650+1)</f>
        <v/>
      </c>
      <c r="AQ650">
        <f>IF(Q650&gt;=AJ650-0.01,1,0)</f>
        <v/>
      </c>
      <c r="AR650">
        <f>IF(R650&gt;=AK650-0.01,1,0)</f>
        <v/>
      </c>
      <c r="AS650">
        <f>IF(S650&gt;=AL650-0.01,1,0)</f>
        <v/>
      </c>
      <c r="AT650">
        <f>IF(T650&gt;=AM650-0.01,1,0)</f>
        <v/>
      </c>
      <c r="AU650">
        <f>IF(U650&gt;=AN650-0.01,1,0)</f>
        <v/>
      </c>
      <c r="AV650">
        <f>IF(V650&gt;=AO650-0.01,1,0)</f>
        <v/>
      </c>
      <c r="AW650">
        <f>IF(W650&gt;=AP650-0.01,1,0)</f>
        <v/>
      </c>
      <c r="AX650">
        <f>AQ650*AR650*AS650*AT650*AU650*AV650*AW650</f>
        <v/>
      </c>
      <c r="AY650">
        <f>Assumptions!$B$41</f>
        <v/>
      </c>
      <c r="AZ650">
        <f>Assumptions!$B$33</f>
        <v/>
      </c>
      <c r="BA650">
        <f>Assumptions!$B$32</f>
        <v/>
      </c>
      <c r="BB650">
        <f>Assumptions!$B$31</f>
        <v/>
      </c>
      <c r="BC650">
        <f>Assumptions!$B$30</f>
        <v/>
      </c>
      <c r="BD650">
        <f>Assumptions!$B$29</f>
        <v/>
      </c>
      <c r="BE650">
        <f>Assumptions!$B$28</f>
        <v/>
      </c>
      <c r="BF650">
        <f>P650*Assumptions!$B$141</f>
        <v/>
      </c>
      <c r="BG650">
        <f>P650*Assumptions!$B$128</f>
        <v/>
      </c>
      <c r="BH650">
        <f>P650*Assumptions!$B$129</f>
        <v/>
      </c>
      <c r="BI650">
        <f>P650*Assumptions!$B$14</f>
        <v/>
      </c>
      <c r="BJ650">
        <f>P650*Assumptions!$B$13</f>
        <v/>
      </c>
      <c r="BK650">
        <f>P650*Assumptions!$B$12</f>
        <v/>
      </c>
      <c r="BL650">
        <f>P650*Assumptions!$B$11</f>
        <v/>
      </c>
    </row>
    <row r="651">
      <c r="A651" t="inlineStr">
        <is>
          <t>8000M</t>
        </is>
      </c>
      <c r="B651">
        <f>Assumptions!$B$62</f>
        <v/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>
        <f>(1-C651)*Assumptions!$B$41+(1-D651)*Assumptions!$B$33+(1-E651)*Assumptions!$B$32+(1-F651)*Assumptions!$B$31+(1-G651)*Assumptions!$B$30+(1-H651)*Assumptions!$B$29+(1-I651)*Assumptions!$B$28</f>
        <v/>
      </c>
      <c r="K651">
        <f>C651*Assumptions!$B$141+D651*Assumptions!$B$128+E651*Assumptions!$B$129+F651*Assumptions!$B$14+G651*Assumptions!$B$13+H651*Assumptions!$B$12+I651*Assumptions!$B$11+Assumptions!$B$133+Assumptions!$B$137+Assumptions!$B$9</f>
        <v/>
      </c>
      <c r="L651">
        <f>B651-J651</f>
        <v/>
      </c>
      <c r="M651">
        <f>IF(K651&gt;0,IF(L651/K651&gt;=Assumptions!$B$37,1,0),0)</f>
        <v/>
      </c>
      <c r="N651">
        <f>K651+M651*Assumptions!$B$153</f>
        <v/>
      </c>
      <c r="O651">
        <f>L651+M651*Assumptions!$B$153*Assumptions!$B$37</f>
        <v/>
      </c>
      <c r="P651">
        <f>IF(N651&gt;0,O651/N651,0)</f>
        <v/>
      </c>
      <c r="Q651">
        <f>IF(C651=1,P651*Assumptions!$B$141,Assumptions!$B$41)</f>
        <v/>
      </c>
      <c r="R651">
        <f>IF(D651=1,P651*Assumptions!$B$128,Assumptions!$B$33)</f>
        <v/>
      </c>
      <c r="S651">
        <f>IF(E651=1,P651*Assumptions!$B$129,Assumptions!$B$32)</f>
        <v/>
      </c>
      <c r="T651">
        <f>IF(F651=1,P651*Assumptions!$B$14,Assumptions!$B$31)</f>
        <v/>
      </c>
      <c r="U651">
        <f>IF(G651=1,P651*Assumptions!$B$13,Assumptions!$B$30)</f>
        <v/>
      </c>
      <c r="V651">
        <f>IF(H651=1,P651*Assumptions!$B$12,Assumptions!$B$29)</f>
        <v/>
      </c>
      <c r="W651">
        <f>IF(I651=1,P651*Assumptions!$B$11,Assumptions!$B$28)</f>
        <v/>
      </c>
      <c r="X651">
        <f>P651*(Assumptions!$B$133+Assumptions!$B$137)</f>
        <v/>
      </c>
      <c r="Y651">
        <f>P651*Assumptions!$B$9</f>
        <v/>
      </c>
      <c r="Z651">
        <f>IF(M651=1,(P651-Assumptions!$B$37)*Assumptions!$B$153,0)</f>
        <v/>
      </c>
      <c r="AA651">
        <f>Q651+R651+S651+T651+U651+V651+W651+X651+Y651+Z651</f>
        <v/>
      </c>
      <c r="AB651" t="n">
        <v>88</v>
      </c>
      <c r="AC651" t="n">
        <v>24</v>
      </c>
      <c r="AD651" t="n">
        <v>120</v>
      </c>
      <c r="AE651" t="n">
        <v>72</v>
      </c>
      <c r="AF651" t="n">
        <v>80</v>
      </c>
      <c r="AG651" t="n">
        <v>92</v>
      </c>
      <c r="AH651" t="n">
        <v>90</v>
      </c>
      <c r="AI651" t="n">
        <v>89</v>
      </c>
      <c r="AJ651">
        <f>INDEX($Q$563:$Q$690,AC651+1)</f>
        <v/>
      </c>
      <c r="AK651">
        <f>INDEX($R$563:$R$690,AD651+1)</f>
        <v/>
      </c>
      <c r="AL651">
        <f>INDEX($S$563:$S$690,AE651+1)</f>
        <v/>
      </c>
      <c r="AM651">
        <f>INDEX($T$563:$T$690,AF651+1)</f>
        <v/>
      </c>
      <c r="AN651">
        <f>INDEX($U$563:$U$690,AG651+1)</f>
        <v/>
      </c>
      <c r="AO651">
        <f>INDEX($V$563:$V$690,AH651+1)</f>
        <v/>
      </c>
      <c r="AP651">
        <f>INDEX($W$563:$W$690,AI651+1)</f>
        <v/>
      </c>
      <c r="AQ651">
        <f>IF(Q651&gt;=AJ651-0.01,1,0)</f>
        <v/>
      </c>
      <c r="AR651">
        <f>IF(R651&gt;=AK651-0.01,1,0)</f>
        <v/>
      </c>
      <c r="AS651">
        <f>IF(S651&gt;=AL651-0.01,1,0)</f>
        <v/>
      </c>
      <c r="AT651">
        <f>IF(T651&gt;=AM651-0.01,1,0)</f>
        <v/>
      </c>
      <c r="AU651">
        <f>IF(U651&gt;=AN651-0.01,1,0)</f>
        <v/>
      </c>
      <c r="AV651">
        <f>IF(V651&gt;=AO651-0.01,1,0)</f>
        <v/>
      </c>
      <c r="AW651">
        <f>IF(W651&gt;=AP651-0.01,1,0)</f>
        <v/>
      </c>
      <c r="AX651">
        <f>AQ651*AR651*AS651*AT651*AU651*AV651*AW651</f>
        <v/>
      </c>
      <c r="AY651">
        <f>Assumptions!$B$41</f>
        <v/>
      </c>
      <c r="AZ651">
        <f>Assumptions!$B$33</f>
        <v/>
      </c>
      <c r="BA651">
        <f>Assumptions!$B$32</f>
        <v/>
      </c>
      <c r="BB651">
        <f>Assumptions!$B$31</f>
        <v/>
      </c>
      <c r="BC651">
        <f>Assumptions!$B$30</f>
        <v/>
      </c>
      <c r="BD651">
        <f>Assumptions!$B$29</f>
        <v/>
      </c>
      <c r="BE651">
        <f>Assumptions!$B$28</f>
        <v/>
      </c>
      <c r="BF651">
        <f>P651*Assumptions!$B$141</f>
        <v/>
      </c>
      <c r="BG651">
        <f>P651*Assumptions!$B$128</f>
        <v/>
      </c>
      <c r="BH651">
        <f>P651*Assumptions!$B$129</f>
        <v/>
      </c>
      <c r="BI651">
        <f>P651*Assumptions!$B$14</f>
        <v/>
      </c>
      <c r="BJ651">
        <f>P651*Assumptions!$B$13</f>
        <v/>
      </c>
      <c r="BK651">
        <f>P651*Assumptions!$B$12</f>
        <v/>
      </c>
      <c r="BL651">
        <f>P651*Assumptions!$B$11</f>
        <v/>
      </c>
    </row>
    <row r="652">
      <c r="A652" t="inlineStr">
        <is>
          <t>8000M</t>
        </is>
      </c>
      <c r="B652">
        <f>Assumptions!$B$62</f>
        <v/>
      </c>
      <c r="C652" t="n">
        <v>1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>
        <f>(1-C652)*Assumptions!$B$41+(1-D652)*Assumptions!$B$33+(1-E652)*Assumptions!$B$32+(1-F652)*Assumptions!$B$31+(1-G652)*Assumptions!$B$30+(1-H652)*Assumptions!$B$29+(1-I652)*Assumptions!$B$28</f>
        <v/>
      </c>
      <c r="K652">
        <f>C652*Assumptions!$B$141+D652*Assumptions!$B$128+E652*Assumptions!$B$129+F652*Assumptions!$B$14+G652*Assumptions!$B$13+H652*Assumptions!$B$12+I652*Assumptions!$B$11+Assumptions!$B$133+Assumptions!$B$137+Assumptions!$B$9</f>
        <v/>
      </c>
      <c r="L652">
        <f>B652-J652</f>
        <v/>
      </c>
      <c r="M652">
        <f>IF(K652&gt;0,IF(L652/K652&gt;=Assumptions!$B$37,1,0),0)</f>
        <v/>
      </c>
      <c r="N652">
        <f>K652+M652*Assumptions!$B$153</f>
        <v/>
      </c>
      <c r="O652">
        <f>L652+M652*Assumptions!$B$153*Assumptions!$B$37</f>
        <v/>
      </c>
      <c r="P652">
        <f>IF(N652&gt;0,O652/N652,0)</f>
        <v/>
      </c>
      <c r="Q652">
        <f>IF(C652=1,P652*Assumptions!$B$141,Assumptions!$B$41)</f>
        <v/>
      </c>
      <c r="R652">
        <f>IF(D652=1,P652*Assumptions!$B$128,Assumptions!$B$33)</f>
        <v/>
      </c>
      <c r="S652">
        <f>IF(E652=1,P652*Assumptions!$B$129,Assumptions!$B$32)</f>
        <v/>
      </c>
      <c r="T652">
        <f>IF(F652=1,P652*Assumptions!$B$14,Assumptions!$B$31)</f>
        <v/>
      </c>
      <c r="U652">
        <f>IF(G652=1,P652*Assumptions!$B$13,Assumptions!$B$30)</f>
        <v/>
      </c>
      <c r="V652">
        <f>IF(H652=1,P652*Assumptions!$B$12,Assumptions!$B$29)</f>
        <v/>
      </c>
      <c r="W652">
        <f>IF(I652=1,P652*Assumptions!$B$11,Assumptions!$B$28)</f>
        <v/>
      </c>
      <c r="X652">
        <f>P652*(Assumptions!$B$133+Assumptions!$B$137)</f>
        <v/>
      </c>
      <c r="Y652">
        <f>P652*Assumptions!$B$9</f>
        <v/>
      </c>
      <c r="Z652">
        <f>IF(M652=1,(P652-Assumptions!$B$37)*Assumptions!$B$153,0)</f>
        <v/>
      </c>
      <c r="AA652">
        <f>Q652+R652+S652+T652+U652+V652+W652+X652+Y652+Z652</f>
        <v/>
      </c>
      <c r="AB652" t="n">
        <v>89</v>
      </c>
      <c r="AC652" t="n">
        <v>25</v>
      </c>
      <c r="AD652" t="n">
        <v>121</v>
      </c>
      <c r="AE652" t="n">
        <v>73</v>
      </c>
      <c r="AF652" t="n">
        <v>81</v>
      </c>
      <c r="AG652" t="n">
        <v>93</v>
      </c>
      <c r="AH652" t="n">
        <v>91</v>
      </c>
      <c r="AI652" t="n">
        <v>88</v>
      </c>
      <c r="AJ652">
        <f>INDEX($Q$563:$Q$690,AC652+1)</f>
        <v/>
      </c>
      <c r="AK652">
        <f>INDEX($R$563:$R$690,AD652+1)</f>
        <v/>
      </c>
      <c r="AL652">
        <f>INDEX($S$563:$S$690,AE652+1)</f>
        <v/>
      </c>
      <c r="AM652">
        <f>INDEX($T$563:$T$690,AF652+1)</f>
        <v/>
      </c>
      <c r="AN652">
        <f>INDEX($U$563:$U$690,AG652+1)</f>
        <v/>
      </c>
      <c r="AO652">
        <f>INDEX($V$563:$V$690,AH652+1)</f>
        <v/>
      </c>
      <c r="AP652">
        <f>INDEX($W$563:$W$690,AI652+1)</f>
        <v/>
      </c>
      <c r="AQ652">
        <f>IF(Q652&gt;=AJ652-0.01,1,0)</f>
        <v/>
      </c>
      <c r="AR652">
        <f>IF(R652&gt;=AK652-0.01,1,0)</f>
        <v/>
      </c>
      <c r="AS652">
        <f>IF(S652&gt;=AL652-0.01,1,0)</f>
        <v/>
      </c>
      <c r="AT652">
        <f>IF(T652&gt;=AM652-0.01,1,0)</f>
        <v/>
      </c>
      <c r="AU652">
        <f>IF(U652&gt;=AN652-0.01,1,0)</f>
        <v/>
      </c>
      <c r="AV652">
        <f>IF(V652&gt;=AO652-0.01,1,0)</f>
        <v/>
      </c>
      <c r="AW652">
        <f>IF(W652&gt;=AP652-0.01,1,0)</f>
        <v/>
      </c>
      <c r="AX652">
        <f>AQ652*AR652*AS652*AT652*AU652*AV652*AW652</f>
        <v/>
      </c>
      <c r="AY652">
        <f>Assumptions!$B$41</f>
        <v/>
      </c>
      <c r="AZ652">
        <f>Assumptions!$B$33</f>
        <v/>
      </c>
      <c r="BA652">
        <f>Assumptions!$B$32</f>
        <v/>
      </c>
      <c r="BB652">
        <f>Assumptions!$B$31</f>
        <v/>
      </c>
      <c r="BC652">
        <f>Assumptions!$B$30</f>
        <v/>
      </c>
      <c r="BD652">
        <f>Assumptions!$B$29</f>
        <v/>
      </c>
      <c r="BE652">
        <f>Assumptions!$B$28</f>
        <v/>
      </c>
      <c r="BF652">
        <f>P652*Assumptions!$B$141</f>
        <v/>
      </c>
      <c r="BG652">
        <f>P652*Assumptions!$B$128</f>
        <v/>
      </c>
      <c r="BH652">
        <f>P652*Assumptions!$B$129</f>
        <v/>
      </c>
      <c r="BI652">
        <f>P652*Assumptions!$B$14</f>
        <v/>
      </c>
      <c r="BJ652">
        <f>P652*Assumptions!$B$13</f>
        <v/>
      </c>
      <c r="BK652">
        <f>P652*Assumptions!$B$12</f>
        <v/>
      </c>
      <c r="BL652">
        <f>P652*Assumptions!$B$11</f>
        <v/>
      </c>
    </row>
    <row r="653">
      <c r="A653" t="inlineStr">
        <is>
          <t>8000M</t>
        </is>
      </c>
      <c r="B653">
        <f>Assumptions!$B$62</f>
        <v/>
      </c>
      <c r="C653" t="n">
        <v>1</v>
      </c>
      <c r="D653" t="n">
        <v>0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>
        <f>(1-C653)*Assumptions!$B$41+(1-D653)*Assumptions!$B$33+(1-E653)*Assumptions!$B$32+(1-F653)*Assumptions!$B$31+(1-G653)*Assumptions!$B$30+(1-H653)*Assumptions!$B$29+(1-I653)*Assumptions!$B$28</f>
        <v/>
      </c>
      <c r="K653">
        <f>C653*Assumptions!$B$141+D653*Assumptions!$B$128+E653*Assumptions!$B$129+F653*Assumptions!$B$14+G653*Assumptions!$B$13+H653*Assumptions!$B$12+I653*Assumptions!$B$11+Assumptions!$B$133+Assumptions!$B$137+Assumptions!$B$9</f>
        <v/>
      </c>
      <c r="L653">
        <f>B653-J653</f>
        <v/>
      </c>
      <c r="M653">
        <f>IF(K653&gt;0,IF(L653/K653&gt;=Assumptions!$B$37,1,0),0)</f>
        <v/>
      </c>
      <c r="N653">
        <f>K653+M653*Assumptions!$B$153</f>
        <v/>
      </c>
      <c r="O653">
        <f>L653+M653*Assumptions!$B$153*Assumptions!$B$37</f>
        <v/>
      </c>
      <c r="P653">
        <f>IF(N653&gt;0,O653/N653,0)</f>
        <v/>
      </c>
      <c r="Q653">
        <f>IF(C653=1,P653*Assumptions!$B$141,Assumptions!$B$41)</f>
        <v/>
      </c>
      <c r="R653">
        <f>IF(D653=1,P653*Assumptions!$B$128,Assumptions!$B$33)</f>
        <v/>
      </c>
      <c r="S653">
        <f>IF(E653=1,P653*Assumptions!$B$129,Assumptions!$B$32)</f>
        <v/>
      </c>
      <c r="T653">
        <f>IF(F653=1,P653*Assumptions!$B$14,Assumptions!$B$31)</f>
        <v/>
      </c>
      <c r="U653">
        <f>IF(G653=1,P653*Assumptions!$B$13,Assumptions!$B$30)</f>
        <v/>
      </c>
      <c r="V653">
        <f>IF(H653=1,P653*Assumptions!$B$12,Assumptions!$B$29)</f>
        <v/>
      </c>
      <c r="W653">
        <f>IF(I653=1,P653*Assumptions!$B$11,Assumptions!$B$28)</f>
        <v/>
      </c>
      <c r="X653">
        <f>P653*(Assumptions!$B$133+Assumptions!$B$137)</f>
        <v/>
      </c>
      <c r="Y653">
        <f>P653*Assumptions!$B$9</f>
        <v/>
      </c>
      <c r="Z653">
        <f>IF(M653=1,(P653-Assumptions!$B$37)*Assumptions!$B$153,0)</f>
        <v/>
      </c>
      <c r="AA653">
        <f>Q653+R653+S653+T653+U653+V653+W653+X653+Y653+Z653</f>
        <v/>
      </c>
      <c r="AB653" t="n">
        <v>90</v>
      </c>
      <c r="AC653" t="n">
        <v>26</v>
      </c>
      <c r="AD653" t="n">
        <v>122</v>
      </c>
      <c r="AE653" t="n">
        <v>74</v>
      </c>
      <c r="AF653" t="n">
        <v>82</v>
      </c>
      <c r="AG653" t="n">
        <v>94</v>
      </c>
      <c r="AH653" t="n">
        <v>88</v>
      </c>
      <c r="AI653" t="n">
        <v>91</v>
      </c>
      <c r="AJ653">
        <f>INDEX($Q$563:$Q$690,AC653+1)</f>
        <v/>
      </c>
      <c r="AK653">
        <f>INDEX($R$563:$R$690,AD653+1)</f>
        <v/>
      </c>
      <c r="AL653">
        <f>INDEX($S$563:$S$690,AE653+1)</f>
        <v/>
      </c>
      <c r="AM653">
        <f>INDEX($T$563:$T$690,AF653+1)</f>
        <v/>
      </c>
      <c r="AN653">
        <f>INDEX($U$563:$U$690,AG653+1)</f>
        <v/>
      </c>
      <c r="AO653">
        <f>INDEX($V$563:$V$690,AH653+1)</f>
        <v/>
      </c>
      <c r="AP653">
        <f>INDEX($W$563:$W$690,AI653+1)</f>
        <v/>
      </c>
      <c r="AQ653">
        <f>IF(Q653&gt;=AJ653-0.01,1,0)</f>
        <v/>
      </c>
      <c r="AR653">
        <f>IF(R653&gt;=AK653-0.01,1,0)</f>
        <v/>
      </c>
      <c r="AS653">
        <f>IF(S653&gt;=AL653-0.01,1,0)</f>
        <v/>
      </c>
      <c r="AT653">
        <f>IF(T653&gt;=AM653-0.01,1,0)</f>
        <v/>
      </c>
      <c r="AU653">
        <f>IF(U653&gt;=AN653-0.01,1,0)</f>
        <v/>
      </c>
      <c r="AV653">
        <f>IF(V653&gt;=AO653-0.01,1,0)</f>
        <v/>
      </c>
      <c r="AW653">
        <f>IF(W653&gt;=AP653-0.01,1,0)</f>
        <v/>
      </c>
      <c r="AX653">
        <f>AQ653*AR653*AS653*AT653*AU653*AV653*AW653</f>
        <v/>
      </c>
      <c r="AY653">
        <f>Assumptions!$B$41</f>
        <v/>
      </c>
      <c r="AZ653">
        <f>Assumptions!$B$33</f>
        <v/>
      </c>
      <c r="BA653">
        <f>Assumptions!$B$32</f>
        <v/>
      </c>
      <c r="BB653">
        <f>Assumptions!$B$31</f>
        <v/>
      </c>
      <c r="BC653">
        <f>Assumptions!$B$30</f>
        <v/>
      </c>
      <c r="BD653">
        <f>Assumptions!$B$29</f>
        <v/>
      </c>
      <c r="BE653">
        <f>Assumptions!$B$28</f>
        <v/>
      </c>
      <c r="BF653">
        <f>P653*Assumptions!$B$141</f>
        <v/>
      </c>
      <c r="BG653">
        <f>P653*Assumptions!$B$128</f>
        <v/>
      </c>
      <c r="BH653">
        <f>P653*Assumptions!$B$129</f>
        <v/>
      </c>
      <c r="BI653">
        <f>P653*Assumptions!$B$14</f>
        <v/>
      </c>
      <c r="BJ653">
        <f>P653*Assumptions!$B$13</f>
        <v/>
      </c>
      <c r="BK653">
        <f>P653*Assumptions!$B$12</f>
        <v/>
      </c>
      <c r="BL653">
        <f>P653*Assumptions!$B$11</f>
        <v/>
      </c>
    </row>
    <row r="654">
      <c r="A654" t="inlineStr">
        <is>
          <t>8000M</t>
        </is>
      </c>
      <c r="B654">
        <f>Assumptions!$B$62</f>
        <v/>
      </c>
      <c r="C654" t="n">
        <v>1</v>
      </c>
      <c r="D654" t="n">
        <v>0</v>
      </c>
      <c r="E654" t="n">
        <v>1</v>
      </c>
      <c r="F654" t="n">
        <v>1</v>
      </c>
      <c r="G654" t="n">
        <v>0</v>
      </c>
      <c r="H654" t="n">
        <v>1</v>
      </c>
      <c r="I654" t="n">
        <v>1</v>
      </c>
      <c r="J654">
        <f>(1-C654)*Assumptions!$B$41+(1-D654)*Assumptions!$B$33+(1-E654)*Assumptions!$B$32+(1-F654)*Assumptions!$B$31+(1-G654)*Assumptions!$B$30+(1-H654)*Assumptions!$B$29+(1-I654)*Assumptions!$B$28</f>
        <v/>
      </c>
      <c r="K654">
        <f>C654*Assumptions!$B$141+D654*Assumptions!$B$128+E654*Assumptions!$B$129+F654*Assumptions!$B$14+G654*Assumptions!$B$13+H654*Assumptions!$B$12+I654*Assumptions!$B$11+Assumptions!$B$133+Assumptions!$B$137+Assumptions!$B$9</f>
        <v/>
      </c>
      <c r="L654">
        <f>B654-J654</f>
        <v/>
      </c>
      <c r="M654">
        <f>IF(K654&gt;0,IF(L654/K654&gt;=Assumptions!$B$37,1,0),0)</f>
        <v/>
      </c>
      <c r="N654">
        <f>K654+M654*Assumptions!$B$153</f>
        <v/>
      </c>
      <c r="O654">
        <f>L654+M654*Assumptions!$B$153*Assumptions!$B$37</f>
        <v/>
      </c>
      <c r="P654">
        <f>IF(N654&gt;0,O654/N654,0)</f>
        <v/>
      </c>
      <c r="Q654">
        <f>IF(C654=1,P654*Assumptions!$B$141,Assumptions!$B$41)</f>
        <v/>
      </c>
      <c r="R654">
        <f>IF(D654=1,P654*Assumptions!$B$128,Assumptions!$B$33)</f>
        <v/>
      </c>
      <c r="S654">
        <f>IF(E654=1,P654*Assumptions!$B$129,Assumptions!$B$32)</f>
        <v/>
      </c>
      <c r="T654">
        <f>IF(F654=1,P654*Assumptions!$B$14,Assumptions!$B$31)</f>
        <v/>
      </c>
      <c r="U654">
        <f>IF(G654=1,P654*Assumptions!$B$13,Assumptions!$B$30)</f>
        <v/>
      </c>
      <c r="V654">
        <f>IF(H654=1,P654*Assumptions!$B$12,Assumptions!$B$29)</f>
        <v/>
      </c>
      <c r="W654">
        <f>IF(I654=1,P654*Assumptions!$B$11,Assumptions!$B$28)</f>
        <v/>
      </c>
      <c r="X654">
        <f>P654*(Assumptions!$B$133+Assumptions!$B$137)</f>
        <v/>
      </c>
      <c r="Y654">
        <f>P654*Assumptions!$B$9</f>
        <v/>
      </c>
      <c r="Z654">
        <f>IF(M654=1,(P654-Assumptions!$B$37)*Assumptions!$B$153,0)</f>
        <v/>
      </c>
      <c r="AA654">
        <f>Q654+R654+S654+T654+U654+V654+W654+X654+Y654+Z654</f>
        <v/>
      </c>
      <c r="AB654" t="n">
        <v>91</v>
      </c>
      <c r="AC654" t="n">
        <v>27</v>
      </c>
      <c r="AD654" t="n">
        <v>123</v>
      </c>
      <c r="AE654" t="n">
        <v>75</v>
      </c>
      <c r="AF654" t="n">
        <v>83</v>
      </c>
      <c r="AG654" t="n">
        <v>95</v>
      </c>
      <c r="AH654" t="n">
        <v>89</v>
      </c>
      <c r="AI654" t="n">
        <v>90</v>
      </c>
      <c r="AJ654">
        <f>INDEX($Q$563:$Q$690,AC654+1)</f>
        <v/>
      </c>
      <c r="AK654">
        <f>INDEX($R$563:$R$690,AD654+1)</f>
        <v/>
      </c>
      <c r="AL654">
        <f>INDEX($S$563:$S$690,AE654+1)</f>
        <v/>
      </c>
      <c r="AM654">
        <f>INDEX($T$563:$T$690,AF654+1)</f>
        <v/>
      </c>
      <c r="AN654">
        <f>INDEX($U$563:$U$690,AG654+1)</f>
        <v/>
      </c>
      <c r="AO654">
        <f>INDEX($V$563:$V$690,AH654+1)</f>
        <v/>
      </c>
      <c r="AP654">
        <f>INDEX($W$563:$W$690,AI654+1)</f>
        <v/>
      </c>
      <c r="AQ654">
        <f>IF(Q654&gt;=AJ654-0.01,1,0)</f>
        <v/>
      </c>
      <c r="AR654">
        <f>IF(R654&gt;=AK654-0.01,1,0)</f>
        <v/>
      </c>
      <c r="AS654">
        <f>IF(S654&gt;=AL654-0.01,1,0)</f>
        <v/>
      </c>
      <c r="AT654">
        <f>IF(T654&gt;=AM654-0.01,1,0)</f>
        <v/>
      </c>
      <c r="AU654">
        <f>IF(U654&gt;=AN654-0.01,1,0)</f>
        <v/>
      </c>
      <c r="AV654">
        <f>IF(V654&gt;=AO654-0.01,1,0)</f>
        <v/>
      </c>
      <c r="AW654">
        <f>IF(W654&gt;=AP654-0.01,1,0)</f>
        <v/>
      </c>
      <c r="AX654">
        <f>AQ654*AR654*AS654*AT654*AU654*AV654*AW654</f>
        <v/>
      </c>
      <c r="AY654">
        <f>Assumptions!$B$41</f>
        <v/>
      </c>
      <c r="AZ654">
        <f>Assumptions!$B$33</f>
        <v/>
      </c>
      <c r="BA654">
        <f>Assumptions!$B$32</f>
        <v/>
      </c>
      <c r="BB654">
        <f>Assumptions!$B$31</f>
        <v/>
      </c>
      <c r="BC654">
        <f>Assumptions!$B$30</f>
        <v/>
      </c>
      <c r="BD654">
        <f>Assumptions!$B$29</f>
        <v/>
      </c>
      <c r="BE654">
        <f>Assumptions!$B$28</f>
        <v/>
      </c>
      <c r="BF654">
        <f>P654*Assumptions!$B$141</f>
        <v/>
      </c>
      <c r="BG654">
        <f>P654*Assumptions!$B$128</f>
        <v/>
      </c>
      <c r="BH654">
        <f>P654*Assumptions!$B$129</f>
        <v/>
      </c>
      <c r="BI654">
        <f>P654*Assumptions!$B$14</f>
        <v/>
      </c>
      <c r="BJ654">
        <f>P654*Assumptions!$B$13</f>
        <v/>
      </c>
      <c r="BK654">
        <f>P654*Assumptions!$B$12</f>
        <v/>
      </c>
      <c r="BL654">
        <f>P654*Assumptions!$B$11</f>
        <v/>
      </c>
    </row>
    <row r="655">
      <c r="A655" t="inlineStr">
        <is>
          <t>8000M</t>
        </is>
      </c>
      <c r="B655">
        <f>Assumptions!$B$62</f>
        <v/>
      </c>
      <c r="C655" t="n">
        <v>1</v>
      </c>
      <c r="D655" t="n">
        <v>0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>
        <f>(1-C655)*Assumptions!$B$41+(1-D655)*Assumptions!$B$33+(1-E655)*Assumptions!$B$32+(1-F655)*Assumptions!$B$31+(1-G655)*Assumptions!$B$30+(1-H655)*Assumptions!$B$29+(1-I655)*Assumptions!$B$28</f>
        <v/>
      </c>
      <c r="K655">
        <f>C655*Assumptions!$B$141+D655*Assumptions!$B$128+E655*Assumptions!$B$129+F655*Assumptions!$B$14+G655*Assumptions!$B$13+H655*Assumptions!$B$12+I655*Assumptions!$B$11+Assumptions!$B$133+Assumptions!$B$137+Assumptions!$B$9</f>
        <v/>
      </c>
      <c r="L655">
        <f>B655-J655</f>
        <v/>
      </c>
      <c r="M655">
        <f>IF(K655&gt;0,IF(L655/K655&gt;=Assumptions!$B$37,1,0),0)</f>
        <v/>
      </c>
      <c r="N655">
        <f>K655+M655*Assumptions!$B$153</f>
        <v/>
      </c>
      <c r="O655">
        <f>L655+M655*Assumptions!$B$153*Assumptions!$B$37</f>
        <v/>
      </c>
      <c r="P655">
        <f>IF(N655&gt;0,O655/N655,0)</f>
        <v/>
      </c>
      <c r="Q655">
        <f>IF(C655=1,P655*Assumptions!$B$141,Assumptions!$B$41)</f>
        <v/>
      </c>
      <c r="R655">
        <f>IF(D655=1,P655*Assumptions!$B$128,Assumptions!$B$33)</f>
        <v/>
      </c>
      <c r="S655">
        <f>IF(E655=1,P655*Assumptions!$B$129,Assumptions!$B$32)</f>
        <v/>
      </c>
      <c r="T655">
        <f>IF(F655=1,P655*Assumptions!$B$14,Assumptions!$B$31)</f>
        <v/>
      </c>
      <c r="U655">
        <f>IF(G655=1,P655*Assumptions!$B$13,Assumptions!$B$30)</f>
        <v/>
      </c>
      <c r="V655">
        <f>IF(H655=1,P655*Assumptions!$B$12,Assumptions!$B$29)</f>
        <v/>
      </c>
      <c r="W655">
        <f>IF(I655=1,P655*Assumptions!$B$11,Assumptions!$B$28)</f>
        <v/>
      </c>
      <c r="X655">
        <f>P655*(Assumptions!$B$133+Assumptions!$B$137)</f>
        <v/>
      </c>
      <c r="Y655">
        <f>P655*Assumptions!$B$9</f>
        <v/>
      </c>
      <c r="Z655">
        <f>IF(M655=1,(P655-Assumptions!$B$37)*Assumptions!$B$153,0)</f>
        <v/>
      </c>
      <c r="AA655">
        <f>Q655+R655+S655+T655+U655+V655+W655+X655+Y655+Z655</f>
        <v/>
      </c>
      <c r="AB655" t="n">
        <v>92</v>
      </c>
      <c r="AC655" t="n">
        <v>28</v>
      </c>
      <c r="AD655" t="n">
        <v>124</v>
      </c>
      <c r="AE655" t="n">
        <v>76</v>
      </c>
      <c r="AF655" t="n">
        <v>84</v>
      </c>
      <c r="AG655" t="n">
        <v>88</v>
      </c>
      <c r="AH655" t="n">
        <v>94</v>
      </c>
      <c r="AI655" t="n">
        <v>93</v>
      </c>
      <c r="AJ655">
        <f>INDEX($Q$563:$Q$690,AC655+1)</f>
        <v/>
      </c>
      <c r="AK655">
        <f>INDEX($R$563:$R$690,AD655+1)</f>
        <v/>
      </c>
      <c r="AL655">
        <f>INDEX($S$563:$S$690,AE655+1)</f>
        <v/>
      </c>
      <c r="AM655">
        <f>INDEX($T$563:$T$690,AF655+1)</f>
        <v/>
      </c>
      <c r="AN655">
        <f>INDEX($U$563:$U$690,AG655+1)</f>
        <v/>
      </c>
      <c r="AO655">
        <f>INDEX($V$563:$V$690,AH655+1)</f>
        <v/>
      </c>
      <c r="AP655">
        <f>INDEX($W$563:$W$690,AI655+1)</f>
        <v/>
      </c>
      <c r="AQ655">
        <f>IF(Q655&gt;=AJ655-0.01,1,0)</f>
        <v/>
      </c>
      <c r="AR655">
        <f>IF(R655&gt;=AK655-0.01,1,0)</f>
        <v/>
      </c>
      <c r="AS655">
        <f>IF(S655&gt;=AL655-0.01,1,0)</f>
        <v/>
      </c>
      <c r="AT655">
        <f>IF(T655&gt;=AM655-0.01,1,0)</f>
        <v/>
      </c>
      <c r="AU655">
        <f>IF(U655&gt;=AN655-0.01,1,0)</f>
        <v/>
      </c>
      <c r="AV655">
        <f>IF(V655&gt;=AO655-0.01,1,0)</f>
        <v/>
      </c>
      <c r="AW655">
        <f>IF(W655&gt;=AP655-0.01,1,0)</f>
        <v/>
      </c>
      <c r="AX655">
        <f>AQ655*AR655*AS655*AT655*AU655*AV655*AW655</f>
        <v/>
      </c>
      <c r="AY655">
        <f>Assumptions!$B$41</f>
        <v/>
      </c>
      <c r="AZ655">
        <f>Assumptions!$B$33</f>
        <v/>
      </c>
      <c r="BA655">
        <f>Assumptions!$B$32</f>
        <v/>
      </c>
      <c r="BB655">
        <f>Assumptions!$B$31</f>
        <v/>
      </c>
      <c r="BC655">
        <f>Assumptions!$B$30</f>
        <v/>
      </c>
      <c r="BD655">
        <f>Assumptions!$B$29</f>
        <v/>
      </c>
      <c r="BE655">
        <f>Assumptions!$B$28</f>
        <v/>
      </c>
      <c r="BF655">
        <f>P655*Assumptions!$B$141</f>
        <v/>
      </c>
      <c r="BG655">
        <f>P655*Assumptions!$B$128</f>
        <v/>
      </c>
      <c r="BH655">
        <f>P655*Assumptions!$B$129</f>
        <v/>
      </c>
      <c r="BI655">
        <f>P655*Assumptions!$B$14</f>
        <v/>
      </c>
      <c r="BJ655">
        <f>P655*Assumptions!$B$13</f>
        <v/>
      </c>
      <c r="BK655">
        <f>P655*Assumptions!$B$12</f>
        <v/>
      </c>
      <c r="BL655">
        <f>P655*Assumptions!$B$11</f>
        <v/>
      </c>
    </row>
    <row r="656">
      <c r="A656" t="inlineStr">
        <is>
          <t>8000M</t>
        </is>
      </c>
      <c r="B656">
        <f>Assumptions!$B$62</f>
        <v/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0</v>
      </c>
      <c r="I656" t="n">
        <v>1</v>
      </c>
      <c r="J656">
        <f>(1-C656)*Assumptions!$B$41+(1-D656)*Assumptions!$B$33+(1-E656)*Assumptions!$B$32+(1-F656)*Assumptions!$B$31+(1-G656)*Assumptions!$B$30+(1-H656)*Assumptions!$B$29+(1-I656)*Assumptions!$B$28</f>
        <v/>
      </c>
      <c r="K656">
        <f>C656*Assumptions!$B$141+D656*Assumptions!$B$128+E656*Assumptions!$B$129+F656*Assumptions!$B$14+G656*Assumptions!$B$13+H656*Assumptions!$B$12+I656*Assumptions!$B$11+Assumptions!$B$133+Assumptions!$B$137+Assumptions!$B$9</f>
        <v/>
      </c>
      <c r="L656">
        <f>B656-J656</f>
        <v/>
      </c>
      <c r="M656">
        <f>IF(K656&gt;0,IF(L656/K656&gt;=Assumptions!$B$37,1,0),0)</f>
        <v/>
      </c>
      <c r="N656">
        <f>K656+M656*Assumptions!$B$153</f>
        <v/>
      </c>
      <c r="O656">
        <f>L656+M656*Assumptions!$B$153*Assumptions!$B$37</f>
        <v/>
      </c>
      <c r="P656">
        <f>IF(N656&gt;0,O656/N656,0)</f>
        <v/>
      </c>
      <c r="Q656">
        <f>IF(C656=1,P656*Assumptions!$B$141,Assumptions!$B$41)</f>
        <v/>
      </c>
      <c r="R656">
        <f>IF(D656=1,P656*Assumptions!$B$128,Assumptions!$B$33)</f>
        <v/>
      </c>
      <c r="S656">
        <f>IF(E656=1,P656*Assumptions!$B$129,Assumptions!$B$32)</f>
        <v/>
      </c>
      <c r="T656">
        <f>IF(F656=1,P656*Assumptions!$B$14,Assumptions!$B$31)</f>
        <v/>
      </c>
      <c r="U656">
        <f>IF(G656=1,P656*Assumptions!$B$13,Assumptions!$B$30)</f>
        <v/>
      </c>
      <c r="V656">
        <f>IF(H656=1,P656*Assumptions!$B$12,Assumptions!$B$29)</f>
        <v/>
      </c>
      <c r="W656">
        <f>IF(I656=1,P656*Assumptions!$B$11,Assumptions!$B$28)</f>
        <v/>
      </c>
      <c r="X656">
        <f>P656*(Assumptions!$B$133+Assumptions!$B$137)</f>
        <v/>
      </c>
      <c r="Y656">
        <f>P656*Assumptions!$B$9</f>
        <v/>
      </c>
      <c r="Z656">
        <f>IF(M656=1,(P656-Assumptions!$B$37)*Assumptions!$B$153,0)</f>
        <v/>
      </c>
      <c r="AA656">
        <f>Q656+R656+S656+T656+U656+V656+W656+X656+Y656+Z656</f>
        <v/>
      </c>
      <c r="AB656" t="n">
        <v>93</v>
      </c>
      <c r="AC656" t="n">
        <v>29</v>
      </c>
      <c r="AD656" t="n">
        <v>125</v>
      </c>
      <c r="AE656" t="n">
        <v>77</v>
      </c>
      <c r="AF656" t="n">
        <v>85</v>
      </c>
      <c r="AG656" t="n">
        <v>89</v>
      </c>
      <c r="AH656" t="n">
        <v>95</v>
      </c>
      <c r="AI656" t="n">
        <v>92</v>
      </c>
      <c r="AJ656">
        <f>INDEX($Q$563:$Q$690,AC656+1)</f>
        <v/>
      </c>
      <c r="AK656">
        <f>INDEX($R$563:$R$690,AD656+1)</f>
        <v/>
      </c>
      <c r="AL656">
        <f>INDEX($S$563:$S$690,AE656+1)</f>
        <v/>
      </c>
      <c r="AM656">
        <f>INDEX($T$563:$T$690,AF656+1)</f>
        <v/>
      </c>
      <c r="AN656">
        <f>INDEX($U$563:$U$690,AG656+1)</f>
        <v/>
      </c>
      <c r="AO656">
        <f>INDEX($V$563:$V$690,AH656+1)</f>
        <v/>
      </c>
      <c r="AP656">
        <f>INDEX($W$563:$W$690,AI656+1)</f>
        <v/>
      </c>
      <c r="AQ656">
        <f>IF(Q656&gt;=AJ656-0.01,1,0)</f>
        <v/>
      </c>
      <c r="AR656">
        <f>IF(R656&gt;=AK656-0.01,1,0)</f>
        <v/>
      </c>
      <c r="AS656">
        <f>IF(S656&gt;=AL656-0.01,1,0)</f>
        <v/>
      </c>
      <c r="AT656">
        <f>IF(T656&gt;=AM656-0.01,1,0)</f>
        <v/>
      </c>
      <c r="AU656">
        <f>IF(U656&gt;=AN656-0.01,1,0)</f>
        <v/>
      </c>
      <c r="AV656">
        <f>IF(V656&gt;=AO656-0.01,1,0)</f>
        <v/>
      </c>
      <c r="AW656">
        <f>IF(W656&gt;=AP656-0.01,1,0)</f>
        <v/>
      </c>
      <c r="AX656">
        <f>AQ656*AR656*AS656*AT656*AU656*AV656*AW656</f>
        <v/>
      </c>
      <c r="AY656">
        <f>Assumptions!$B$41</f>
        <v/>
      </c>
      <c r="AZ656">
        <f>Assumptions!$B$33</f>
        <v/>
      </c>
      <c r="BA656">
        <f>Assumptions!$B$32</f>
        <v/>
      </c>
      <c r="BB656">
        <f>Assumptions!$B$31</f>
        <v/>
      </c>
      <c r="BC656">
        <f>Assumptions!$B$30</f>
        <v/>
      </c>
      <c r="BD656">
        <f>Assumptions!$B$29</f>
        <v/>
      </c>
      <c r="BE656">
        <f>Assumptions!$B$28</f>
        <v/>
      </c>
      <c r="BF656">
        <f>P656*Assumptions!$B$141</f>
        <v/>
      </c>
      <c r="BG656">
        <f>P656*Assumptions!$B$128</f>
        <v/>
      </c>
      <c r="BH656">
        <f>P656*Assumptions!$B$129</f>
        <v/>
      </c>
      <c r="BI656">
        <f>P656*Assumptions!$B$14</f>
        <v/>
      </c>
      <c r="BJ656">
        <f>P656*Assumptions!$B$13</f>
        <v/>
      </c>
      <c r="BK656">
        <f>P656*Assumptions!$B$12</f>
        <v/>
      </c>
      <c r="BL656">
        <f>P656*Assumptions!$B$11</f>
        <v/>
      </c>
    </row>
    <row r="657">
      <c r="A657" t="inlineStr">
        <is>
          <t>8000M</t>
        </is>
      </c>
      <c r="B657">
        <f>Assumptions!$B$62</f>
        <v/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0</v>
      </c>
      <c r="J657">
        <f>(1-C657)*Assumptions!$B$41+(1-D657)*Assumptions!$B$33+(1-E657)*Assumptions!$B$32+(1-F657)*Assumptions!$B$31+(1-G657)*Assumptions!$B$30+(1-H657)*Assumptions!$B$29+(1-I657)*Assumptions!$B$28</f>
        <v/>
      </c>
      <c r="K657">
        <f>C657*Assumptions!$B$141+D657*Assumptions!$B$128+E657*Assumptions!$B$129+F657*Assumptions!$B$14+G657*Assumptions!$B$13+H657*Assumptions!$B$12+I657*Assumptions!$B$11+Assumptions!$B$133+Assumptions!$B$137+Assumptions!$B$9</f>
        <v/>
      </c>
      <c r="L657">
        <f>B657-J657</f>
        <v/>
      </c>
      <c r="M657">
        <f>IF(K657&gt;0,IF(L657/K657&gt;=Assumptions!$B$37,1,0),0)</f>
        <v/>
      </c>
      <c r="N657">
        <f>K657+M657*Assumptions!$B$153</f>
        <v/>
      </c>
      <c r="O657">
        <f>L657+M657*Assumptions!$B$153*Assumptions!$B$37</f>
        <v/>
      </c>
      <c r="P657">
        <f>IF(N657&gt;0,O657/N657,0)</f>
        <v/>
      </c>
      <c r="Q657">
        <f>IF(C657=1,P657*Assumptions!$B$141,Assumptions!$B$41)</f>
        <v/>
      </c>
      <c r="R657">
        <f>IF(D657=1,P657*Assumptions!$B$128,Assumptions!$B$33)</f>
        <v/>
      </c>
      <c r="S657">
        <f>IF(E657=1,P657*Assumptions!$B$129,Assumptions!$B$32)</f>
        <v/>
      </c>
      <c r="T657">
        <f>IF(F657=1,P657*Assumptions!$B$14,Assumptions!$B$31)</f>
        <v/>
      </c>
      <c r="U657">
        <f>IF(G657=1,P657*Assumptions!$B$13,Assumptions!$B$30)</f>
        <v/>
      </c>
      <c r="V657">
        <f>IF(H657=1,P657*Assumptions!$B$12,Assumptions!$B$29)</f>
        <v/>
      </c>
      <c r="W657">
        <f>IF(I657=1,P657*Assumptions!$B$11,Assumptions!$B$28)</f>
        <v/>
      </c>
      <c r="X657">
        <f>P657*(Assumptions!$B$133+Assumptions!$B$137)</f>
        <v/>
      </c>
      <c r="Y657">
        <f>P657*Assumptions!$B$9</f>
        <v/>
      </c>
      <c r="Z657">
        <f>IF(M657=1,(P657-Assumptions!$B$37)*Assumptions!$B$153,0)</f>
        <v/>
      </c>
      <c r="AA657">
        <f>Q657+R657+S657+T657+U657+V657+W657+X657+Y657+Z657</f>
        <v/>
      </c>
      <c r="AB657" t="n">
        <v>94</v>
      </c>
      <c r="AC657" t="n">
        <v>30</v>
      </c>
      <c r="AD657" t="n">
        <v>126</v>
      </c>
      <c r="AE657" t="n">
        <v>78</v>
      </c>
      <c r="AF657" t="n">
        <v>86</v>
      </c>
      <c r="AG657" t="n">
        <v>90</v>
      </c>
      <c r="AH657" t="n">
        <v>92</v>
      </c>
      <c r="AI657" t="n">
        <v>95</v>
      </c>
      <c r="AJ657">
        <f>INDEX($Q$563:$Q$690,AC657+1)</f>
        <v/>
      </c>
      <c r="AK657">
        <f>INDEX($R$563:$R$690,AD657+1)</f>
        <v/>
      </c>
      <c r="AL657">
        <f>INDEX($S$563:$S$690,AE657+1)</f>
        <v/>
      </c>
      <c r="AM657">
        <f>INDEX($T$563:$T$690,AF657+1)</f>
        <v/>
      </c>
      <c r="AN657">
        <f>INDEX($U$563:$U$690,AG657+1)</f>
        <v/>
      </c>
      <c r="AO657">
        <f>INDEX($V$563:$V$690,AH657+1)</f>
        <v/>
      </c>
      <c r="AP657">
        <f>INDEX($W$563:$W$690,AI657+1)</f>
        <v/>
      </c>
      <c r="AQ657">
        <f>IF(Q657&gt;=AJ657-0.01,1,0)</f>
        <v/>
      </c>
      <c r="AR657">
        <f>IF(R657&gt;=AK657-0.01,1,0)</f>
        <v/>
      </c>
      <c r="AS657">
        <f>IF(S657&gt;=AL657-0.01,1,0)</f>
        <v/>
      </c>
      <c r="AT657">
        <f>IF(T657&gt;=AM657-0.01,1,0)</f>
        <v/>
      </c>
      <c r="AU657">
        <f>IF(U657&gt;=AN657-0.01,1,0)</f>
        <v/>
      </c>
      <c r="AV657">
        <f>IF(V657&gt;=AO657-0.01,1,0)</f>
        <v/>
      </c>
      <c r="AW657">
        <f>IF(W657&gt;=AP657-0.01,1,0)</f>
        <v/>
      </c>
      <c r="AX657">
        <f>AQ657*AR657*AS657*AT657*AU657*AV657*AW657</f>
        <v/>
      </c>
      <c r="AY657">
        <f>Assumptions!$B$41</f>
        <v/>
      </c>
      <c r="AZ657">
        <f>Assumptions!$B$33</f>
        <v/>
      </c>
      <c r="BA657">
        <f>Assumptions!$B$32</f>
        <v/>
      </c>
      <c r="BB657">
        <f>Assumptions!$B$31</f>
        <v/>
      </c>
      <c r="BC657">
        <f>Assumptions!$B$30</f>
        <v/>
      </c>
      <c r="BD657">
        <f>Assumptions!$B$29</f>
        <v/>
      </c>
      <c r="BE657">
        <f>Assumptions!$B$28</f>
        <v/>
      </c>
      <c r="BF657">
        <f>P657*Assumptions!$B$141</f>
        <v/>
      </c>
      <c r="BG657">
        <f>P657*Assumptions!$B$128</f>
        <v/>
      </c>
      <c r="BH657">
        <f>P657*Assumptions!$B$129</f>
        <v/>
      </c>
      <c r="BI657">
        <f>P657*Assumptions!$B$14</f>
        <v/>
      </c>
      <c r="BJ657">
        <f>P657*Assumptions!$B$13</f>
        <v/>
      </c>
      <c r="BK657">
        <f>P657*Assumptions!$B$12</f>
        <v/>
      </c>
      <c r="BL657">
        <f>P657*Assumptions!$B$11</f>
        <v/>
      </c>
    </row>
    <row r="658">
      <c r="A658" t="inlineStr">
        <is>
          <t>8000M</t>
        </is>
      </c>
      <c r="B658">
        <f>Assumptions!$B$62</f>
        <v/>
      </c>
      <c r="C658" t="n">
        <v>1</v>
      </c>
      <c r="D658" t="n">
        <v>0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>
        <f>(1-C658)*Assumptions!$B$41+(1-D658)*Assumptions!$B$33+(1-E658)*Assumptions!$B$32+(1-F658)*Assumptions!$B$31+(1-G658)*Assumptions!$B$30+(1-H658)*Assumptions!$B$29+(1-I658)*Assumptions!$B$28</f>
        <v/>
      </c>
      <c r="K658">
        <f>C658*Assumptions!$B$141+D658*Assumptions!$B$128+E658*Assumptions!$B$129+F658*Assumptions!$B$14+G658*Assumptions!$B$13+H658*Assumptions!$B$12+I658*Assumptions!$B$11+Assumptions!$B$133+Assumptions!$B$137+Assumptions!$B$9</f>
        <v/>
      </c>
      <c r="L658">
        <f>B658-J658</f>
        <v/>
      </c>
      <c r="M658">
        <f>IF(K658&gt;0,IF(L658/K658&gt;=Assumptions!$B$37,1,0),0)</f>
        <v/>
      </c>
      <c r="N658">
        <f>K658+M658*Assumptions!$B$153</f>
        <v/>
      </c>
      <c r="O658">
        <f>L658+M658*Assumptions!$B$153*Assumptions!$B$37</f>
        <v/>
      </c>
      <c r="P658">
        <f>IF(N658&gt;0,O658/N658,0)</f>
        <v/>
      </c>
      <c r="Q658">
        <f>IF(C658=1,P658*Assumptions!$B$141,Assumptions!$B$41)</f>
        <v/>
      </c>
      <c r="R658">
        <f>IF(D658=1,P658*Assumptions!$B$128,Assumptions!$B$33)</f>
        <v/>
      </c>
      <c r="S658">
        <f>IF(E658=1,P658*Assumptions!$B$129,Assumptions!$B$32)</f>
        <v/>
      </c>
      <c r="T658">
        <f>IF(F658=1,P658*Assumptions!$B$14,Assumptions!$B$31)</f>
        <v/>
      </c>
      <c r="U658">
        <f>IF(G658=1,P658*Assumptions!$B$13,Assumptions!$B$30)</f>
        <v/>
      </c>
      <c r="V658">
        <f>IF(H658=1,P658*Assumptions!$B$12,Assumptions!$B$29)</f>
        <v/>
      </c>
      <c r="W658">
        <f>IF(I658=1,P658*Assumptions!$B$11,Assumptions!$B$28)</f>
        <v/>
      </c>
      <c r="X658">
        <f>P658*(Assumptions!$B$133+Assumptions!$B$137)</f>
        <v/>
      </c>
      <c r="Y658">
        <f>P658*Assumptions!$B$9</f>
        <v/>
      </c>
      <c r="Z658">
        <f>IF(M658=1,(P658-Assumptions!$B$37)*Assumptions!$B$153,0)</f>
        <v/>
      </c>
      <c r="AA658">
        <f>Q658+R658+S658+T658+U658+V658+W658+X658+Y658+Z658</f>
        <v/>
      </c>
      <c r="AB658" t="n">
        <v>95</v>
      </c>
      <c r="AC658" t="n">
        <v>31</v>
      </c>
      <c r="AD658" t="n">
        <v>127</v>
      </c>
      <c r="AE658" t="n">
        <v>79</v>
      </c>
      <c r="AF658" t="n">
        <v>87</v>
      </c>
      <c r="AG658" t="n">
        <v>91</v>
      </c>
      <c r="AH658" t="n">
        <v>93</v>
      </c>
      <c r="AI658" t="n">
        <v>94</v>
      </c>
      <c r="AJ658">
        <f>INDEX($Q$563:$Q$690,AC658+1)</f>
        <v/>
      </c>
      <c r="AK658">
        <f>INDEX($R$563:$R$690,AD658+1)</f>
        <v/>
      </c>
      <c r="AL658">
        <f>INDEX($S$563:$S$690,AE658+1)</f>
        <v/>
      </c>
      <c r="AM658">
        <f>INDEX($T$563:$T$690,AF658+1)</f>
        <v/>
      </c>
      <c r="AN658">
        <f>INDEX($U$563:$U$690,AG658+1)</f>
        <v/>
      </c>
      <c r="AO658">
        <f>INDEX($V$563:$V$690,AH658+1)</f>
        <v/>
      </c>
      <c r="AP658">
        <f>INDEX($W$563:$W$690,AI658+1)</f>
        <v/>
      </c>
      <c r="AQ658">
        <f>IF(Q658&gt;=AJ658-0.01,1,0)</f>
        <v/>
      </c>
      <c r="AR658">
        <f>IF(R658&gt;=AK658-0.01,1,0)</f>
        <v/>
      </c>
      <c r="AS658">
        <f>IF(S658&gt;=AL658-0.01,1,0)</f>
        <v/>
      </c>
      <c r="AT658">
        <f>IF(T658&gt;=AM658-0.01,1,0)</f>
        <v/>
      </c>
      <c r="AU658">
        <f>IF(U658&gt;=AN658-0.01,1,0)</f>
        <v/>
      </c>
      <c r="AV658">
        <f>IF(V658&gt;=AO658-0.01,1,0)</f>
        <v/>
      </c>
      <c r="AW658">
        <f>IF(W658&gt;=AP658-0.01,1,0)</f>
        <v/>
      </c>
      <c r="AX658">
        <f>AQ658*AR658*AS658*AT658*AU658*AV658*AW658</f>
        <v/>
      </c>
      <c r="AY658">
        <f>Assumptions!$B$41</f>
        <v/>
      </c>
      <c r="AZ658">
        <f>Assumptions!$B$33</f>
        <v/>
      </c>
      <c r="BA658">
        <f>Assumptions!$B$32</f>
        <v/>
      </c>
      <c r="BB658">
        <f>Assumptions!$B$31</f>
        <v/>
      </c>
      <c r="BC658">
        <f>Assumptions!$B$30</f>
        <v/>
      </c>
      <c r="BD658">
        <f>Assumptions!$B$29</f>
        <v/>
      </c>
      <c r="BE658">
        <f>Assumptions!$B$28</f>
        <v/>
      </c>
      <c r="BF658">
        <f>P658*Assumptions!$B$141</f>
        <v/>
      </c>
      <c r="BG658">
        <f>P658*Assumptions!$B$128</f>
        <v/>
      </c>
      <c r="BH658">
        <f>P658*Assumptions!$B$129</f>
        <v/>
      </c>
      <c r="BI658">
        <f>P658*Assumptions!$B$14</f>
        <v/>
      </c>
      <c r="BJ658">
        <f>P658*Assumptions!$B$13</f>
        <v/>
      </c>
      <c r="BK658">
        <f>P658*Assumptions!$B$12</f>
        <v/>
      </c>
      <c r="BL658">
        <f>P658*Assumptions!$B$11</f>
        <v/>
      </c>
    </row>
    <row r="659">
      <c r="A659" t="inlineStr">
        <is>
          <t>8000M</t>
        </is>
      </c>
      <c r="B659">
        <f>Assumptions!$B$62</f>
        <v/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>
        <f>(1-C659)*Assumptions!$B$41+(1-D659)*Assumptions!$B$33+(1-E659)*Assumptions!$B$32+(1-F659)*Assumptions!$B$31+(1-G659)*Assumptions!$B$30+(1-H659)*Assumptions!$B$29+(1-I659)*Assumptions!$B$28</f>
        <v/>
      </c>
      <c r="K659">
        <f>C659*Assumptions!$B$141+D659*Assumptions!$B$128+E659*Assumptions!$B$129+F659*Assumptions!$B$14+G659*Assumptions!$B$13+H659*Assumptions!$B$12+I659*Assumptions!$B$11+Assumptions!$B$133+Assumptions!$B$137+Assumptions!$B$9</f>
        <v/>
      </c>
      <c r="L659">
        <f>B659-J659</f>
        <v/>
      </c>
      <c r="M659">
        <f>IF(K659&gt;0,IF(L659/K659&gt;=Assumptions!$B$37,1,0),0)</f>
        <v/>
      </c>
      <c r="N659">
        <f>K659+M659*Assumptions!$B$153</f>
        <v/>
      </c>
      <c r="O659">
        <f>L659+M659*Assumptions!$B$153*Assumptions!$B$37</f>
        <v/>
      </c>
      <c r="P659">
        <f>IF(N659&gt;0,O659/N659,0)</f>
        <v/>
      </c>
      <c r="Q659">
        <f>IF(C659=1,P659*Assumptions!$B$141,Assumptions!$B$41)</f>
        <v/>
      </c>
      <c r="R659">
        <f>IF(D659=1,P659*Assumptions!$B$128,Assumptions!$B$33)</f>
        <v/>
      </c>
      <c r="S659">
        <f>IF(E659=1,P659*Assumptions!$B$129,Assumptions!$B$32)</f>
        <v/>
      </c>
      <c r="T659">
        <f>IF(F659=1,P659*Assumptions!$B$14,Assumptions!$B$31)</f>
        <v/>
      </c>
      <c r="U659">
        <f>IF(G659=1,P659*Assumptions!$B$13,Assumptions!$B$30)</f>
        <v/>
      </c>
      <c r="V659">
        <f>IF(H659=1,P659*Assumptions!$B$12,Assumptions!$B$29)</f>
        <v/>
      </c>
      <c r="W659">
        <f>IF(I659=1,P659*Assumptions!$B$11,Assumptions!$B$28)</f>
        <v/>
      </c>
      <c r="X659">
        <f>P659*(Assumptions!$B$133+Assumptions!$B$137)</f>
        <v/>
      </c>
      <c r="Y659">
        <f>P659*Assumptions!$B$9</f>
        <v/>
      </c>
      <c r="Z659">
        <f>IF(M659=1,(P659-Assumptions!$B$37)*Assumptions!$B$153,0)</f>
        <v/>
      </c>
      <c r="AA659">
        <f>Q659+R659+S659+T659+U659+V659+W659+X659+Y659+Z659</f>
        <v/>
      </c>
      <c r="AB659" t="n">
        <v>96</v>
      </c>
      <c r="AC659" t="n">
        <v>32</v>
      </c>
      <c r="AD659" t="n">
        <v>64</v>
      </c>
      <c r="AE659" t="n">
        <v>112</v>
      </c>
      <c r="AF659" t="n">
        <v>104</v>
      </c>
      <c r="AG659" t="n">
        <v>100</v>
      </c>
      <c r="AH659" t="n">
        <v>98</v>
      </c>
      <c r="AI659" t="n">
        <v>97</v>
      </c>
      <c r="AJ659">
        <f>INDEX($Q$563:$Q$690,AC659+1)</f>
        <v/>
      </c>
      <c r="AK659">
        <f>INDEX($R$563:$R$690,AD659+1)</f>
        <v/>
      </c>
      <c r="AL659">
        <f>INDEX($S$563:$S$690,AE659+1)</f>
        <v/>
      </c>
      <c r="AM659">
        <f>INDEX($T$563:$T$690,AF659+1)</f>
        <v/>
      </c>
      <c r="AN659">
        <f>INDEX($U$563:$U$690,AG659+1)</f>
        <v/>
      </c>
      <c r="AO659">
        <f>INDEX($V$563:$V$690,AH659+1)</f>
        <v/>
      </c>
      <c r="AP659">
        <f>INDEX($W$563:$W$690,AI659+1)</f>
        <v/>
      </c>
      <c r="AQ659">
        <f>IF(Q659&gt;=AJ659-0.01,1,0)</f>
        <v/>
      </c>
      <c r="AR659">
        <f>IF(R659&gt;=AK659-0.01,1,0)</f>
        <v/>
      </c>
      <c r="AS659">
        <f>IF(S659&gt;=AL659-0.01,1,0)</f>
        <v/>
      </c>
      <c r="AT659">
        <f>IF(T659&gt;=AM659-0.01,1,0)</f>
        <v/>
      </c>
      <c r="AU659">
        <f>IF(U659&gt;=AN659-0.01,1,0)</f>
        <v/>
      </c>
      <c r="AV659">
        <f>IF(V659&gt;=AO659-0.01,1,0)</f>
        <v/>
      </c>
      <c r="AW659">
        <f>IF(W659&gt;=AP659-0.01,1,0)</f>
        <v/>
      </c>
      <c r="AX659">
        <f>AQ659*AR659*AS659*AT659*AU659*AV659*AW659</f>
        <v/>
      </c>
      <c r="AY659">
        <f>Assumptions!$B$41</f>
        <v/>
      </c>
      <c r="AZ659">
        <f>Assumptions!$B$33</f>
        <v/>
      </c>
      <c r="BA659">
        <f>Assumptions!$B$32</f>
        <v/>
      </c>
      <c r="BB659">
        <f>Assumptions!$B$31</f>
        <v/>
      </c>
      <c r="BC659">
        <f>Assumptions!$B$30</f>
        <v/>
      </c>
      <c r="BD659">
        <f>Assumptions!$B$29</f>
        <v/>
      </c>
      <c r="BE659">
        <f>Assumptions!$B$28</f>
        <v/>
      </c>
      <c r="BF659">
        <f>P659*Assumptions!$B$141</f>
        <v/>
      </c>
      <c r="BG659">
        <f>P659*Assumptions!$B$128</f>
        <v/>
      </c>
      <c r="BH659">
        <f>P659*Assumptions!$B$129</f>
        <v/>
      </c>
      <c r="BI659">
        <f>P659*Assumptions!$B$14</f>
        <v/>
      </c>
      <c r="BJ659">
        <f>P659*Assumptions!$B$13</f>
        <v/>
      </c>
      <c r="BK659">
        <f>P659*Assumptions!$B$12</f>
        <v/>
      </c>
      <c r="BL659">
        <f>P659*Assumptions!$B$11</f>
        <v/>
      </c>
    </row>
    <row r="660">
      <c r="A660" t="inlineStr">
        <is>
          <t>8000M</t>
        </is>
      </c>
      <c r="B660">
        <f>Assumptions!$B$62</f>
        <v/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>
        <f>(1-C660)*Assumptions!$B$41+(1-D660)*Assumptions!$B$33+(1-E660)*Assumptions!$B$32+(1-F660)*Assumptions!$B$31+(1-G660)*Assumptions!$B$30+(1-H660)*Assumptions!$B$29+(1-I660)*Assumptions!$B$28</f>
        <v/>
      </c>
      <c r="K660">
        <f>C660*Assumptions!$B$141+D660*Assumptions!$B$128+E660*Assumptions!$B$129+F660*Assumptions!$B$14+G660*Assumptions!$B$13+H660*Assumptions!$B$12+I660*Assumptions!$B$11+Assumptions!$B$133+Assumptions!$B$137+Assumptions!$B$9</f>
        <v/>
      </c>
      <c r="L660">
        <f>B660-J660</f>
        <v/>
      </c>
      <c r="M660">
        <f>IF(K660&gt;0,IF(L660/K660&gt;=Assumptions!$B$37,1,0),0)</f>
        <v/>
      </c>
      <c r="N660">
        <f>K660+M660*Assumptions!$B$153</f>
        <v/>
      </c>
      <c r="O660">
        <f>L660+M660*Assumptions!$B$153*Assumptions!$B$37</f>
        <v/>
      </c>
      <c r="P660">
        <f>IF(N660&gt;0,O660/N660,0)</f>
        <v/>
      </c>
      <c r="Q660">
        <f>IF(C660=1,P660*Assumptions!$B$141,Assumptions!$B$41)</f>
        <v/>
      </c>
      <c r="R660">
        <f>IF(D660=1,P660*Assumptions!$B$128,Assumptions!$B$33)</f>
        <v/>
      </c>
      <c r="S660">
        <f>IF(E660=1,P660*Assumptions!$B$129,Assumptions!$B$32)</f>
        <v/>
      </c>
      <c r="T660">
        <f>IF(F660=1,P660*Assumptions!$B$14,Assumptions!$B$31)</f>
        <v/>
      </c>
      <c r="U660">
        <f>IF(G660=1,P660*Assumptions!$B$13,Assumptions!$B$30)</f>
        <v/>
      </c>
      <c r="V660">
        <f>IF(H660=1,P660*Assumptions!$B$12,Assumptions!$B$29)</f>
        <v/>
      </c>
      <c r="W660">
        <f>IF(I660=1,P660*Assumptions!$B$11,Assumptions!$B$28)</f>
        <v/>
      </c>
      <c r="X660">
        <f>P660*(Assumptions!$B$133+Assumptions!$B$137)</f>
        <v/>
      </c>
      <c r="Y660">
        <f>P660*Assumptions!$B$9</f>
        <v/>
      </c>
      <c r="Z660">
        <f>IF(M660=1,(P660-Assumptions!$B$37)*Assumptions!$B$153,0)</f>
        <v/>
      </c>
      <c r="AA660">
        <f>Q660+R660+S660+T660+U660+V660+W660+X660+Y660+Z660</f>
        <v/>
      </c>
      <c r="AB660" t="n">
        <v>97</v>
      </c>
      <c r="AC660" t="n">
        <v>33</v>
      </c>
      <c r="AD660" t="n">
        <v>65</v>
      </c>
      <c r="AE660" t="n">
        <v>113</v>
      </c>
      <c r="AF660" t="n">
        <v>105</v>
      </c>
      <c r="AG660" t="n">
        <v>101</v>
      </c>
      <c r="AH660" t="n">
        <v>99</v>
      </c>
      <c r="AI660" t="n">
        <v>96</v>
      </c>
      <c r="AJ660">
        <f>INDEX($Q$563:$Q$690,AC660+1)</f>
        <v/>
      </c>
      <c r="AK660">
        <f>INDEX($R$563:$R$690,AD660+1)</f>
        <v/>
      </c>
      <c r="AL660">
        <f>INDEX($S$563:$S$690,AE660+1)</f>
        <v/>
      </c>
      <c r="AM660">
        <f>INDEX($T$563:$T$690,AF660+1)</f>
        <v/>
      </c>
      <c r="AN660">
        <f>INDEX($U$563:$U$690,AG660+1)</f>
        <v/>
      </c>
      <c r="AO660">
        <f>INDEX($V$563:$V$690,AH660+1)</f>
        <v/>
      </c>
      <c r="AP660">
        <f>INDEX($W$563:$W$690,AI660+1)</f>
        <v/>
      </c>
      <c r="AQ660">
        <f>IF(Q660&gt;=AJ660-0.01,1,0)</f>
        <v/>
      </c>
      <c r="AR660">
        <f>IF(R660&gt;=AK660-0.01,1,0)</f>
        <v/>
      </c>
      <c r="AS660">
        <f>IF(S660&gt;=AL660-0.01,1,0)</f>
        <v/>
      </c>
      <c r="AT660">
        <f>IF(T660&gt;=AM660-0.01,1,0)</f>
        <v/>
      </c>
      <c r="AU660">
        <f>IF(U660&gt;=AN660-0.01,1,0)</f>
        <v/>
      </c>
      <c r="AV660">
        <f>IF(V660&gt;=AO660-0.01,1,0)</f>
        <v/>
      </c>
      <c r="AW660">
        <f>IF(W660&gt;=AP660-0.01,1,0)</f>
        <v/>
      </c>
      <c r="AX660">
        <f>AQ660*AR660*AS660*AT660*AU660*AV660*AW660</f>
        <v/>
      </c>
      <c r="AY660">
        <f>Assumptions!$B$41</f>
        <v/>
      </c>
      <c r="AZ660">
        <f>Assumptions!$B$33</f>
        <v/>
      </c>
      <c r="BA660">
        <f>Assumptions!$B$32</f>
        <v/>
      </c>
      <c r="BB660">
        <f>Assumptions!$B$31</f>
        <v/>
      </c>
      <c r="BC660">
        <f>Assumptions!$B$30</f>
        <v/>
      </c>
      <c r="BD660">
        <f>Assumptions!$B$29</f>
        <v/>
      </c>
      <c r="BE660">
        <f>Assumptions!$B$28</f>
        <v/>
      </c>
      <c r="BF660">
        <f>P660*Assumptions!$B$141</f>
        <v/>
      </c>
      <c r="BG660">
        <f>P660*Assumptions!$B$128</f>
        <v/>
      </c>
      <c r="BH660">
        <f>P660*Assumptions!$B$129</f>
        <v/>
      </c>
      <c r="BI660">
        <f>P660*Assumptions!$B$14</f>
        <v/>
      </c>
      <c r="BJ660">
        <f>P660*Assumptions!$B$13</f>
        <v/>
      </c>
      <c r="BK660">
        <f>P660*Assumptions!$B$12</f>
        <v/>
      </c>
      <c r="BL660">
        <f>P660*Assumptions!$B$11</f>
        <v/>
      </c>
    </row>
    <row r="661">
      <c r="A661" t="inlineStr">
        <is>
          <t>8000M</t>
        </is>
      </c>
      <c r="B661">
        <f>Assumptions!$B$62</f>
        <v/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>
        <f>(1-C661)*Assumptions!$B$41+(1-D661)*Assumptions!$B$33+(1-E661)*Assumptions!$B$32+(1-F661)*Assumptions!$B$31+(1-G661)*Assumptions!$B$30+(1-H661)*Assumptions!$B$29+(1-I661)*Assumptions!$B$28</f>
        <v/>
      </c>
      <c r="K661">
        <f>C661*Assumptions!$B$141+D661*Assumptions!$B$128+E661*Assumptions!$B$129+F661*Assumptions!$B$14+G661*Assumptions!$B$13+H661*Assumptions!$B$12+I661*Assumptions!$B$11+Assumptions!$B$133+Assumptions!$B$137+Assumptions!$B$9</f>
        <v/>
      </c>
      <c r="L661">
        <f>B661-J661</f>
        <v/>
      </c>
      <c r="M661">
        <f>IF(K661&gt;0,IF(L661/K661&gt;=Assumptions!$B$37,1,0),0)</f>
        <v/>
      </c>
      <c r="N661">
        <f>K661+M661*Assumptions!$B$153</f>
        <v/>
      </c>
      <c r="O661">
        <f>L661+M661*Assumptions!$B$153*Assumptions!$B$37</f>
        <v/>
      </c>
      <c r="P661">
        <f>IF(N661&gt;0,O661/N661,0)</f>
        <v/>
      </c>
      <c r="Q661">
        <f>IF(C661=1,P661*Assumptions!$B$141,Assumptions!$B$41)</f>
        <v/>
      </c>
      <c r="R661">
        <f>IF(D661=1,P661*Assumptions!$B$128,Assumptions!$B$33)</f>
        <v/>
      </c>
      <c r="S661">
        <f>IF(E661=1,P661*Assumptions!$B$129,Assumptions!$B$32)</f>
        <v/>
      </c>
      <c r="T661">
        <f>IF(F661=1,P661*Assumptions!$B$14,Assumptions!$B$31)</f>
        <v/>
      </c>
      <c r="U661">
        <f>IF(G661=1,P661*Assumptions!$B$13,Assumptions!$B$30)</f>
        <v/>
      </c>
      <c r="V661">
        <f>IF(H661=1,P661*Assumptions!$B$12,Assumptions!$B$29)</f>
        <v/>
      </c>
      <c r="W661">
        <f>IF(I661=1,P661*Assumptions!$B$11,Assumptions!$B$28)</f>
        <v/>
      </c>
      <c r="X661">
        <f>P661*(Assumptions!$B$133+Assumptions!$B$137)</f>
        <v/>
      </c>
      <c r="Y661">
        <f>P661*Assumptions!$B$9</f>
        <v/>
      </c>
      <c r="Z661">
        <f>IF(M661=1,(P661-Assumptions!$B$37)*Assumptions!$B$153,0)</f>
        <v/>
      </c>
      <c r="AA661">
        <f>Q661+R661+S661+T661+U661+V661+W661+X661+Y661+Z661</f>
        <v/>
      </c>
      <c r="AB661" t="n">
        <v>98</v>
      </c>
      <c r="AC661" t="n">
        <v>34</v>
      </c>
      <c r="AD661" t="n">
        <v>66</v>
      </c>
      <c r="AE661" t="n">
        <v>114</v>
      </c>
      <c r="AF661" t="n">
        <v>106</v>
      </c>
      <c r="AG661" t="n">
        <v>102</v>
      </c>
      <c r="AH661" t="n">
        <v>96</v>
      </c>
      <c r="AI661" t="n">
        <v>99</v>
      </c>
      <c r="AJ661">
        <f>INDEX($Q$563:$Q$690,AC661+1)</f>
        <v/>
      </c>
      <c r="AK661">
        <f>INDEX($R$563:$R$690,AD661+1)</f>
        <v/>
      </c>
      <c r="AL661">
        <f>INDEX($S$563:$S$690,AE661+1)</f>
        <v/>
      </c>
      <c r="AM661">
        <f>INDEX($T$563:$T$690,AF661+1)</f>
        <v/>
      </c>
      <c r="AN661">
        <f>INDEX($U$563:$U$690,AG661+1)</f>
        <v/>
      </c>
      <c r="AO661">
        <f>INDEX($V$563:$V$690,AH661+1)</f>
        <v/>
      </c>
      <c r="AP661">
        <f>INDEX($W$563:$W$690,AI661+1)</f>
        <v/>
      </c>
      <c r="AQ661">
        <f>IF(Q661&gt;=AJ661-0.01,1,0)</f>
        <v/>
      </c>
      <c r="AR661">
        <f>IF(R661&gt;=AK661-0.01,1,0)</f>
        <v/>
      </c>
      <c r="AS661">
        <f>IF(S661&gt;=AL661-0.01,1,0)</f>
        <v/>
      </c>
      <c r="AT661">
        <f>IF(T661&gt;=AM661-0.01,1,0)</f>
        <v/>
      </c>
      <c r="AU661">
        <f>IF(U661&gt;=AN661-0.01,1,0)</f>
        <v/>
      </c>
      <c r="AV661">
        <f>IF(V661&gt;=AO661-0.01,1,0)</f>
        <v/>
      </c>
      <c r="AW661">
        <f>IF(W661&gt;=AP661-0.01,1,0)</f>
        <v/>
      </c>
      <c r="AX661">
        <f>AQ661*AR661*AS661*AT661*AU661*AV661*AW661</f>
        <v/>
      </c>
      <c r="AY661">
        <f>Assumptions!$B$41</f>
        <v/>
      </c>
      <c r="AZ661">
        <f>Assumptions!$B$33</f>
        <v/>
      </c>
      <c r="BA661">
        <f>Assumptions!$B$32</f>
        <v/>
      </c>
      <c r="BB661">
        <f>Assumptions!$B$31</f>
        <v/>
      </c>
      <c r="BC661">
        <f>Assumptions!$B$30</f>
        <v/>
      </c>
      <c r="BD661">
        <f>Assumptions!$B$29</f>
        <v/>
      </c>
      <c r="BE661">
        <f>Assumptions!$B$28</f>
        <v/>
      </c>
      <c r="BF661">
        <f>P661*Assumptions!$B$141</f>
        <v/>
      </c>
      <c r="BG661">
        <f>P661*Assumptions!$B$128</f>
        <v/>
      </c>
      <c r="BH661">
        <f>P661*Assumptions!$B$129</f>
        <v/>
      </c>
      <c r="BI661">
        <f>P661*Assumptions!$B$14</f>
        <v/>
      </c>
      <c r="BJ661">
        <f>P661*Assumptions!$B$13</f>
        <v/>
      </c>
      <c r="BK661">
        <f>P661*Assumptions!$B$12</f>
        <v/>
      </c>
      <c r="BL661">
        <f>P661*Assumptions!$B$11</f>
        <v/>
      </c>
    </row>
    <row r="662">
      <c r="A662" t="inlineStr">
        <is>
          <t>8000M</t>
        </is>
      </c>
      <c r="B662">
        <f>Assumptions!$B$62</f>
        <v/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>
        <f>(1-C662)*Assumptions!$B$41+(1-D662)*Assumptions!$B$33+(1-E662)*Assumptions!$B$32+(1-F662)*Assumptions!$B$31+(1-G662)*Assumptions!$B$30+(1-H662)*Assumptions!$B$29+(1-I662)*Assumptions!$B$28</f>
        <v/>
      </c>
      <c r="K662">
        <f>C662*Assumptions!$B$141+D662*Assumptions!$B$128+E662*Assumptions!$B$129+F662*Assumptions!$B$14+G662*Assumptions!$B$13+H662*Assumptions!$B$12+I662*Assumptions!$B$11+Assumptions!$B$133+Assumptions!$B$137+Assumptions!$B$9</f>
        <v/>
      </c>
      <c r="L662">
        <f>B662-J662</f>
        <v/>
      </c>
      <c r="M662">
        <f>IF(K662&gt;0,IF(L662/K662&gt;=Assumptions!$B$37,1,0),0)</f>
        <v/>
      </c>
      <c r="N662">
        <f>K662+M662*Assumptions!$B$153</f>
        <v/>
      </c>
      <c r="O662">
        <f>L662+M662*Assumptions!$B$153*Assumptions!$B$37</f>
        <v/>
      </c>
      <c r="P662">
        <f>IF(N662&gt;0,O662/N662,0)</f>
        <v/>
      </c>
      <c r="Q662">
        <f>IF(C662=1,P662*Assumptions!$B$141,Assumptions!$B$41)</f>
        <v/>
      </c>
      <c r="R662">
        <f>IF(D662=1,P662*Assumptions!$B$128,Assumptions!$B$33)</f>
        <v/>
      </c>
      <c r="S662">
        <f>IF(E662=1,P662*Assumptions!$B$129,Assumptions!$B$32)</f>
        <v/>
      </c>
      <c r="T662">
        <f>IF(F662=1,P662*Assumptions!$B$14,Assumptions!$B$31)</f>
        <v/>
      </c>
      <c r="U662">
        <f>IF(G662=1,P662*Assumptions!$B$13,Assumptions!$B$30)</f>
        <v/>
      </c>
      <c r="V662">
        <f>IF(H662=1,P662*Assumptions!$B$12,Assumptions!$B$29)</f>
        <v/>
      </c>
      <c r="W662">
        <f>IF(I662=1,P662*Assumptions!$B$11,Assumptions!$B$28)</f>
        <v/>
      </c>
      <c r="X662">
        <f>P662*(Assumptions!$B$133+Assumptions!$B$137)</f>
        <v/>
      </c>
      <c r="Y662">
        <f>P662*Assumptions!$B$9</f>
        <v/>
      </c>
      <c r="Z662">
        <f>IF(M662=1,(P662-Assumptions!$B$37)*Assumptions!$B$153,0)</f>
        <v/>
      </c>
      <c r="AA662">
        <f>Q662+R662+S662+T662+U662+V662+W662+X662+Y662+Z662</f>
        <v/>
      </c>
      <c r="AB662" t="n">
        <v>99</v>
      </c>
      <c r="AC662" t="n">
        <v>35</v>
      </c>
      <c r="AD662" t="n">
        <v>67</v>
      </c>
      <c r="AE662" t="n">
        <v>115</v>
      </c>
      <c r="AF662" t="n">
        <v>107</v>
      </c>
      <c r="AG662" t="n">
        <v>103</v>
      </c>
      <c r="AH662" t="n">
        <v>97</v>
      </c>
      <c r="AI662" t="n">
        <v>98</v>
      </c>
      <c r="AJ662">
        <f>INDEX($Q$563:$Q$690,AC662+1)</f>
        <v/>
      </c>
      <c r="AK662">
        <f>INDEX($R$563:$R$690,AD662+1)</f>
        <v/>
      </c>
      <c r="AL662">
        <f>INDEX($S$563:$S$690,AE662+1)</f>
        <v/>
      </c>
      <c r="AM662">
        <f>INDEX($T$563:$T$690,AF662+1)</f>
        <v/>
      </c>
      <c r="AN662">
        <f>INDEX($U$563:$U$690,AG662+1)</f>
        <v/>
      </c>
      <c r="AO662">
        <f>INDEX($V$563:$V$690,AH662+1)</f>
        <v/>
      </c>
      <c r="AP662">
        <f>INDEX($W$563:$W$690,AI662+1)</f>
        <v/>
      </c>
      <c r="AQ662">
        <f>IF(Q662&gt;=AJ662-0.01,1,0)</f>
        <v/>
      </c>
      <c r="AR662">
        <f>IF(R662&gt;=AK662-0.01,1,0)</f>
        <v/>
      </c>
      <c r="AS662">
        <f>IF(S662&gt;=AL662-0.01,1,0)</f>
        <v/>
      </c>
      <c r="AT662">
        <f>IF(T662&gt;=AM662-0.01,1,0)</f>
        <v/>
      </c>
      <c r="AU662">
        <f>IF(U662&gt;=AN662-0.01,1,0)</f>
        <v/>
      </c>
      <c r="AV662">
        <f>IF(V662&gt;=AO662-0.01,1,0)</f>
        <v/>
      </c>
      <c r="AW662">
        <f>IF(W662&gt;=AP662-0.01,1,0)</f>
        <v/>
      </c>
      <c r="AX662">
        <f>AQ662*AR662*AS662*AT662*AU662*AV662*AW662</f>
        <v/>
      </c>
      <c r="AY662">
        <f>Assumptions!$B$41</f>
        <v/>
      </c>
      <c r="AZ662">
        <f>Assumptions!$B$33</f>
        <v/>
      </c>
      <c r="BA662">
        <f>Assumptions!$B$32</f>
        <v/>
      </c>
      <c r="BB662">
        <f>Assumptions!$B$31</f>
        <v/>
      </c>
      <c r="BC662">
        <f>Assumptions!$B$30</f>
        <v/>
      </c>
      <c r="BD662">
        <f>Assumptions!$B$29</f>
        <v/>
      </c>
      <c r="BE662">
        <f>Assumptions!$B$28</f>
        <v/>
      </c>
      <c r="BF662">
        <f>P662*Assumptions!$B$141</f>
        <v/>
      </c>
      <c r="BG662">
        <f>P662*Assumptions!$B$128</f>
        <v/>
      </c>
      <c r="BH662">
        <f>P662*Assumptions!$B$129</f>
        <v/>
      </c>
      <c r="BI662">
        <f>P662*Assumptions!$B$14</f>
        <v/>
      </c>
      <c r="BJ662">
        <f>P662*Assumptions!$B$13</f>
        <v/>
      </c>
      <c r="BK662">
        <f>P662*Assumptions!$B$12</f>
        <v/>
      </c>
      <c r="BL662">
        <f>P662*Assumptions!$B$11</f>
        <v/>
      </c>
    </row>
    <row r="663">
      <c r="A663" t="inlineStr">
        <is>
          <t>8000M</t>
        </is>
      </c>
      <c r="B663">
        <f>Assumptions!$B$62</f>
        <v/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>
        <f>(1-C663)*Assumptions!$B$41+(1-D663)*Assumptions!$B$33+(1-E663)*Assumptions!$B$32+(1-F663)*Assumptions!$B$31+(1-G663)*Assumptions!$B$30+(1-H663)*Assumptions!$B$29+(1-I663)*Assumptions!$B$28</f>
        <v/>
      </c>
      <c r="K663">
        <f>C663*Assumptions!$B$141+D663*Assumptions!$B$128+E663*Assumptions!$B$129+F663*Assumptions!$B$14+G663*Assumptions!$B$13+H663*Assumptions!$B$12+I663*Assumptions!$B$11+Assumptions!$B$133+Assumptions!$B$137+Assumptions!$B$9</f>
        <v/>
      </c>
      <c r="L663">
        <f>B663-J663</f>
        <v/>
      </c>
      <c r="M663">
        <f>IF(K663&gt;0,IF(L663/K663&gt;=Assumptions!$B$37,1,0),0)</f>
        <v/>
      </c>
      <c r="N663">
        <f>K663+M663*Assumptions!$B$153</f>
        <v/>
      </c>
      <c r="O663">
        <f>L663+M663*Assumptions!$B$153*Assumptions!$B$37</f>
        <v/>
      </c>
      <c r="P663">
        <f>IF(N663&gt;0,O663/N663,0)</f>
        <v/>
      </c>
      <c r="Q663">
        <f>IF(C663=1,P663*Assumptions!$B$141,Assumptions!$B$41)</f>
        <v/>
      </c>
      <c r="R663">
        <f>IF(D663=1,P663*Assumptions!$B$128,Assumptions!$B$33)</f>
        <v/>
      </c>
      <c r="S663">
        <f>IF(E663=1,P663*Assumptions!$B$129,Assumptions!$B$32)</f>
        <v/>
      </c>
      <c r="T663">
        <f>IF(F663=1,P663*Assumptions!$B$14,Assumptions!$B$31)</f>
        <v/>
      </c>
      <c r="U663">
        <f>IF(G663=1,P663*Assumptions!$B$13,Assumptions!$B$30)</f>
        <v/>
      </c>
      <c r="V663">
        <f>IF(H663=1,P663*Assumptions!$B$12,Assumptions!$B$29)</f>
        <v/>
      </c>
      <c r="W663">
        <f>IF(I663=1,P663*Assumptions!$B$11,Assumptions!$B$28)</f>
        <v/>
      </c>
      <c r="X663">
        <f>P663*(Assumptions!$B$133+Assumptions!$B$137)</f>
        <v/>
      </c>
      <c r="Y663">
        <f>P663*Assumptions!$B$9</f>
        <v/>
      </c>
      <c r="Z663">
        <f>IF(M663=1,(P663-Assumptions!$B$37)*Assumptions!$B$153,0)</f>
        <v/>
      </c>
      <c r="AA663">
        <f>Q663+R663+S663+T663+U663+V663+W663+X663+Y663+Z663</f>
        <v/>
      </c>
      <c r="AB663" t="n">
        <v>100</v>
      </c>
      <c r="AC663" t="n">
        <v>36</v>
      </c>
      <c r="AD663" t="n">
        <v>68</v>
      </c>
      <c r="AE663" t="n">
        <v>116</v>
      </c>
      <c r="AF663" t="n">
        <v>108</v>
      </c>
      <c r="AG663" t="n">
        <v>96</v>
      </c>
      <c r="AH663" t="n">
        <v>102</v>
      </c>
      <c r="AI663" t="n">
        <v>101</v>
      </c>
      <c r="AJ663">
        <f>INDEX($Q$563:$Q$690,AC663+1)</f>
        <v/>
      </c>
      <c r="AK663">
        <f>INDEX($R$563:$R$690,AD663+1)</f>
        <v/>
      </c>
      <c r="AL663">
        <f>INDEX($S$563:$S$690,AE663+1)</f>
        <v/>
      </c>
      <c r="AM663">
        <f>INDEX($T$563:$T$690,AF663+1)</f>
        <v/>
      </c>
      <c r="AN663">
        <f>INDEX($U$563:$U$690,AG663+1)</f>
        <v/>
      </c>
      <c r="AO663">
        <f>INDEX($V$563:$V$690,AH663+1)</f>
        <v/>
      </c>
      <c r="AP663">
        <f>INDEX($W$563:$W$690,AI663+1)</f>
        <v/>
      </c>
      <c r="AQ663">
        <f>IF(Q663&gt;=AJ663-0.01,1,0)</f>
        <v/>
      </c>
      <c r="AR663">
        <f>IF(R663&gt;=AK663-0.01,1,0)</f>
        <v/>
      </c>
      <c r="AS663">
        <f>IF(S663&gt;=AL663-0.01,1,0)</f>
        <v/>
      </c>
      <c r="AT663">
        <f>IF(T663&gt;=AM663-0.01,1,0)</f>
        <v/>
      </c>
      <c r="AU663">
        <f>IF(U663&gt;=AN663-0.01,1,0)</f>
        <v/>
      </c>
      <c r="AV663">
        <f>IF(V663&gt;=AO663-0.01,1,0)</f>
        <v/>
      </c>
      <c r="AW663">
        <f>IF(W663&gt;=AP663-0.01,1,0)</f>
        <v/>
      </c>
      <c r="AX663">
        <f>AQ663*AR663*AS663*AT663*AU663*AV663*AW663</f>
        <v/>
      </c>
      <c r="AY663">
        <f>Assumptions!$B$41</f>
        <v/>
      </c>
      <c r="AZ663">
        <f>Assumptions!$B$33</f>
        <v/>
      </c>
      <c r="BA663">
        <f>Assumptions!$B$32</f>
        <v/>
      </c>
      <c r="BB663">
        <f>Assumptions!$B$31</f>
        <v/>
      </c>
      <c r="BC663">
        <f>Assumptions!$B$30</f>
        <v/>
      </c>
      <c r="BD663">
        <f>Assumptions!$B$29</f>
        <v/>
      </c>
      <c r="BE663">
        <f>Assumptions!$B$28</f>
        <v/>
      </c>
      <c r="BF663">
        <f>P663*Assumptions!$B$141</f>
        <v/>
      </c>
      <c r="BG663">
        <f>P663*Assumptions!$B$128</f>
        <v/>
      </c>
      <c r="BH663">
        <f>P663*Assumptions!$B$129</f>
        <v/>
      </c>
      <c r="BI663">
        <f>P663*Assumptions!$B$14</f>
        <v/>
      </c>
      <c r="BJ663">
        <f>P663*Assumptions!$B$13</f>
        <v/>
      </c>
      <c r="BK663">
        <f>P663*Assumptions!$B$12</f>
        <v/>
      </c>
      <c r="BL663">
        <f>P663*Assumptions!$B$11</f>
        <v/>
      </c>
    </row>
    <row r="664">
      <c r="A664" t="inlineStr">
        <is>
          <t>8000M</t>
        </is>
      </c>
      <c r="B664">
        <f>Assumptions!$B$62</f>
        <v/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>
        <f>(1-C664)*Assumptions!$B$41+(1-D664)*Assumptions!$B$33+(1-E664)*Assumptions!$B$32+(1-F664)*Assumptions!$B$31+(1-G664)*Assumptions!$B$30+(1-H664)*Assumptions!$B$29+(1-I664)*Assumptions!$B$28</f>
        <v/>
      </c>
      <c r="K664">
        <f>C664*Assumptions!$B$141+D664*Assumptions!$B$128+E664*Assumptions!$B$129+F664*Assumptions!$B$14+G664*Assumptions!$B$13+H664*Assumptions!$B$12+I664*Assumptions!$B$11+Assumptions!$B$133+Assumptions!$B$137+Assumptions!$B$9</f>
        <v/>
      </c>
      <c r="L664">
        <f>B664-J664</f>
        <v/>
      </c>
      <c r="M664">
        <f>IF(K664&gt;0,IF(L664/K664&gt;=Assumptions!$B$37,1,0),0)</f>
        <v/>
      </c>
      <c r="N664">
        <f>K664+M664*Assumptions!$B$153</f>
        <v/>
      </c>
      <c r="O664">
        <f>L664+M664*Assumptions!$B$153*Assumptions!$B$37</f>
        <v/>
      </c>
      <c r="P664">
        <f>IF(N664&gt;0,O664/N664,0)</f>
        <v/>
      </c>
      <c r="Q664">
        <f>IF(C664=1,P664*Assumptions!$B$141,Assumptions!$B$41)</f>
        <v/>
      </c>
      <c r="R664">
        <f>IF(D664=1,P664*Assumptions!$B$128,Assumptions!$B$33)</f>
        <v/>
      </c>
      <c r="S664">
        <f>IF(E664=1,P664*Assumptions!$B$129,Assumptions!$B$32)</f>
        <v/>
      </c>
      <c r="T664">
        <f>IF(F664=1,P664*Assumptions!$B$14,Assumptions!$B$31)</f>
        <v/>
      </c>
      <c r="U664">
        <f>IF(G664=1,P664*Assumptions!$B$13,Assumptions!$B$30)</f>
        <v/>
      </c>
      <c r="V664">
        <f>IF(H664=1,P664*Assumptions!$B$12,Assumptions!$B$29)</f>
        <v/>
      </c>
      <c r="W664">
        <f>IF(I664=1,P664*Assumptions!$B$11,Assumptions!$B$28)</f>
        <v/>
      </c>
      <c r="X664">
        <f>P664*(Assumptions!$B$133+Assumptions!$B$137)</f>
        <v/>
      </c>
      <c r="Y664">
        <f>P664*Assumptions!$B$9</f>
        <v/>
      </c>
      <c r="Z664">
        <f>IF(M664=1,(P664-Assumptions!$B$37)*Assumptions!$B$153,0)</f>
        <v/>
      </c>
      <c r="AA664">
        <f>Q664+R664+S664+T664+U664+V664+W664+X664+Y664+Z664</f>
        <v/>
      </c>
      <c r="AB664" t="n">
        <v>101</v>
      </c>
      <c r="AC664" t="n">
        <v>37</v>
      </c>
      <c r="AD664" t="n">
        <v>69</v>
      </c>
      <c r="AE664" t="n">
        <v>117</v>
      </c>
      <c r="AF664" t="n">
        <v>109</v>
      </c>
      <c r="AG664" t="n">
        <v>97</v>
      </c>
      <c r="AH664" t="n">
        <v>103</v>
      </c>
      <c r="AI664" t="n">
        <v>100</v>
      </c>
      <c r="AJ664">
        <f>INDEX($Q$563:$Q$690,AC664+1)</f>
        <v/>
      </c>
      <c r="AK664">
        <f>INDEX($R$563:$R$690,AD664+1)</f>
        <v/>
      </c>
      <c r="AL664">
        <f>INDEX($S$563:$S$690,AE664+1)</f>
        <v/>
      </c>
      <c r="AM664">
        <f>INDEX($T$563:$T$690,AF664+1)</f>
        <v/>
      </c>
      <c r="AN664">
        <f>INDEX($U$563:$U$690,AG664+1)</f>
        <v/>
      </c>
      <c r="AO664">
        <f>INDEX($V$563:$V$690,AH664+1)</f>
        <v/>
      </c>
      <c r="AP664">
        <f>INDEX($W$563:$W$690,AI664+1)</f>
        <v/>
      </c>
      <c r="AQ664">
        <f>IF(Q664&gt;=AJ664-0.01,1,0)</f>
        <v/>
      </c>
      <c r="AR664">
        <f>IF(R664&gt;=AK664-0.01,1,0)</f>
        <v/>
      </c>
      <c r="AS664">
        <f>IF(S664&gt;=AL664-0.01,1,0)</f>
        <v/>
      </c>
      <c r="AT664">
        <f>IF(T664&gt;=AM664-0.01,1,0)</f>
        <v/>
      </c>
      <c r="AU664">
        <f>IF(U664&gt;=AN664-0.01,1,0)</f>
        <v/>
      </c>
      <c r="AV664">
        <f>IF(V664&gt;=AO664-0.01,1,0)</f>
        <v/>
      </c>
      <c r="AW664">
        <f>IF(W664&gt;=AP664-0.01,1,0)</f>
        <v/>
      </c>
      <c r="AX664">
        <f>AQ664*AR664*AS664*AT664*AU664*AV664*AW664</f>
        <v/>
      </c>
      <c r="AY664">
        <f>Assumptions!$B$41</f>
        <v/>
      </c>
      <c r="AZ664">
        <f>Assumptions!$B$33</f>
        <v/>
      </c>
      <c r="BA664">
        <f>Assumptions!$B$32</f>
        <v/>
      </c>
      <c r="BB664">
        <f>Assumptions!$B$31</f>
        <v/>
      </c>
      <c r="BC664">
        <f>Assumptions!$B$30</f>
        <v/>
      </c>
      <c r="BD664">
        <f>Assumptions!$B$29</f>
        <v/>
      </c>
      <c r="BE664">
        <f>Assumptions!$B$28</f>
        <v/>
      </c>
      <c r="BF664">
        <f>P664*Assumptions!$B$141</f>
        <v/>
      </c>
      <c r="BG664">
        <f>P664*Assumptions!$B$128</f>
        <v/>
      </c>
      <c r="BH664">
        <f>P664*Assumptions!$B$129</f>
        <v/>
      </c>
      <c r="BI664">
        <f>P664*Assumptions!$B$14</f>
        <v/>
      </c>
      <c r="BJ664">
        <f>P664*Assumptions!$B$13</f>
        <v/>
      </c>
      <c r="BK664">
        <f>P664*Assumptions!$B$12</f>
        <v/>
      </c>
      <c r="BL664">
        <f>P664*Assumptions!$B$11</f>
        <v/>
      </c>
    </row>
    <row r="665">
      <c r="A665" t="inlineStr">
        <is>
          <t>8000M</t>
        </is>
      </c>
      <c r="B665">
        <f>Assumptions!$B$62</f>
        <v/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>
        <f>(1-C665)*Assumptions!$B$41+(1-D665)*Assumptions!$B$33+(1-E665)*Assumptions!$B$32+(1-F665)*Assumptions!$B$31+(1-G665)*Assumptions!$B$30+(1-H665)*Assumptions!$B$29+(1-I665)*Assumptions!$B$28</f>
        <v/>
      </c>
      <c r="K665">
        <f>C665*Assumptions!$B$141+D665*Assumptions!$B$128+E665*Assumptions!$B$129+F665*Assumptions!$B$14+G665*Assumptions!$B$13+H665*Assumptions!$B$12+I665*Assumptions!$B$11+Assumptions!$B$133+Assumptions!$B$137+Assumptions!$B$9</f>
        <v/>
      </c>
      <c r="L665">
        <f>B665-J665</f>
        <v/>
      </c>
      <c r="M665">
        <f>IF(K665&gt;0,IF(L665/K665&gt;=Assumptions!$B$37,1,0),0)</f>
        <v/>
      </c>
      <c r="N665">
        <f>K665+M665*Assumptions!$B$153</f>
        <v/>
      </c>
      <c r="O665">
        <f>L665+M665*Assumptions!$B$153*Assumptions!$B$37</f>
        <v/>
      </c>
      <c r="P665">
        <f>IF(N665&gt;0,O665/N665,0)</f>
        <v/>
      </c>
      <c r="Q665">
        <f>IF(C665=1,P665*Assumptions!$B$141,Assumptions!$B$41)</f>
        <v/>
      </c>
      <c r="R665">
        <f>IF(D665=1,P665*Assumptions!$B$128,Assumptions!$B$33)</f>
        <v/>
      </c>
      <c r="S665">
        <f>IF(E665=1,P665*Assumptions!$B$129,Assumptions!$B$32)</f>
        <v/>
      </c>
      <c r="T665">
        <f>IF(F665=1,P665*Assumptions!$B$14,Assumptions!$B$31)</f>
        <v/>
      </c>
      <c r="U665">
        <f>IF(G665=1,P665*Assumptions!$B$13,Assumptions!$B$30)</f>
        <v/>
      </c>
      <c r="V665">
        <f>IF(H665=1,P665*Assumptions!$B$12,Assumptions!$B$29)</f>
        <v/>
      </c>
      <c r="W665">
        <f>IF(I665=1,P665*Assumptions!$B$11,Assumptions!$B$28)</f>
        <v/>
      </c>
      <c r="X665">
        <f>P665*(Assumptions!$B$133+Assumptions!$B$137)</f>
        <v/>
      </c>
      <c r="Y665">
        <f>P665*Assumptions!$B$9</f>
        <v/>
      </c>
      <c r="Z665">
        <f>IF(M665=1,(P665-Assumptions!$B$37)*Assumptions!$B$153,0)</f>
        <v/>
      </c>
      <c r="AA665">
        <f>Q665+R665+S665+T665+U665+V665+W665+X665+Y665+Z665</f>
        <v/>
      </c>
      <c r="AB665" t="n">
        <v>102</v>
      </c>
      <c r="AC665" t="n">
        <v>38</v>
      </c>
      <c r="AD665" t="n">
        <v>70</v>
      </c>
      <c r="AE665" t="n">
        <v>118</v>
      </c>
      <c r="AF665" t="n">
        <v>110</v>
      </c>
      <c r="AG665" t="n">
        <v>98</v>
      </c>
      <c r="AH665" t="n">
        <v>100</v>
      </c>
      <c r="AI665" t="n">
        <v>103</v>
      </c>
      <c r="AJ665">
        <f>INDEX($Q$563:$Q$690,AC665+1)</f>
        <v/>
      </c>
      <c r="AK665">
        <f>INDEX($R$563:$R$690,AD665+1)</f>
        <v/>
      </c>
      <c r="AL665">
        <f>INDEX($S$563:$S$690,AE665+1)</f>
        <v/>
      </c>
      <c r="AM665">
        <f>INDEX($T$563:$T$690,AF665+1)</f>
        <v/>
      </c>
      <c r="AN665">
        <f>INDEX($U$563:$U$690,AG665+1)</f>
        <v/>
      </c>
      <c r="AO665">
        <f>INDEX($V$563:$V$690,AH665+1)</f>
        <v/>
      </c>
      <c r="AP665">
        <f>INDEX($W$563:$W$690,AI665+1)</f>
        <v/>
      </c>
      <c r="AQ665">
        <f>IF(Q665&gt;=AJ665-0.01,1,0)</f>
        <v/>
      </c>
      <c r="AR665">
        <f>IF(R665&gt;=AK665-0.01,1,0)</f>
        <v/>
      </c>
      <c r="AS665">
        <f>IF(S665&gt;=AL665-0.01,1,0)</f>
        <v/>
      </c>
      <c r="AT665">
        <f>IF(T665&gt;=AM665-0.01,1,0)</f>
        <v/>
      </c>
      <c r="AU665">
        <f>IF(U665&gt;=AN665-0.01,1,0)</f>
        <v/>
      </c>
      <c r="AV665">
        <f>IF(V665&gt;=AO665-0.01,1,0)</f>
        <v/>
      </c>
      <c r="AW665">
        <f>IF(W665&gt;=AP665-0.01,1,0)</f>
        <v/>
      </c>
      <c r="AX665">
        <f>AQ665*AR665*AS665*AT665*AU665*AV665*AW665</f>
        <v/>
      </c>
      <c r="AY665">
        <f>Assumptions!$B$41</f>
        <v/>
      </c>
      <c r="AZ665">
        <f>Assumptions!$B$33</f>
        <v/>
      </c>
      <c r="BA665">
        <f>Assumptions!$B$32</f>
        <v/>
      </c>
      <c r="BB665">
        <f>Assumptions!$B$31</f>
        <v/>
      </c>
      <c r="BC665">
        <f>Assumptions!$B$30</f>
        <v/>
      </c>
      <c r="BD665">
        <f>Assumptions!$B$29</f>
        <v/>
      </c>
      <c r="BE665">
        <f>Assumptions!$B$28</f>
        <v/>
      </c>
      <c r="BF665">
        <f>P665*Assumptions!$B$141</f>
        <v/>
      </c>
      <c r="BG665">
        <f>P665*Assumptions!$B$128</f>
        <v/>
      </c>
      <c r="BH665">
        <f>P665*Assumptions!$B$129</f>
        <v/>
      </c>
      <c r="BI665">
        <f>P665*Assumptions!$B$14</f>
        <v/>
      </c>
      <c r="BJ665">
        <f>P665*Assumptions!$B$13</f>
        <v/>
      </c>
      <c r="BK665">
        <f>P665*Assumptions!$B$12</f>
        <v/>
      </c>
      <c r="BL665">
        <f>P665*Assumptions!$B$11</f>
        <v/>
      </c>
    </row>
    <row r="666">
      <c r="A666" t="inlineStr">
        <is>
          <t>8000M</t>
        </is>
      </c>
      <c r="B666">
        <f>Assumptions!$B$62</f>
        <v/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>
        <f>(1-C666)*Assumptions!$B$41+(1-D666)*Assumptions!$B$33+(1-E666)*Assumptions!$B$32+(1-F666)*Assumptions!$B$31+(1-G666)*Assumptions!$B$30+(1-H666)*Assumptions!$B$29+(1-I666)*Assumptions!$B$28</f>
        <v/>
      </c>
      <c r="K666">
        <f>C666*Assumptions!$B$141+D666*Assumptions!$B$128+E666*Assumptions!$B$129+F666*Assumptions!$B$14+G666*Assumptions!$B$13+H666*Assumptions!$B$12+I666*Assumptions!$B$11+Assumptions!$B$133+Assumptions!$B$137+Assumptions!$B$9</f>
        <v/>
      </c>
      <c r="L666">
        <f>B666-J666</f>
        <v/>
      </c>
      <c r="M666">
        <f>IF(K666&gt;0,IF(L666/K666&gt;=Assumptions!$B$37,1,0),0)</f>
        <v/>
      </c>
      <c r="N666">
        <f>K666+M666*Assumptions!$B$153</f>
        <v/>
      </c>
      <c r="O666">
        <f>L666+M666*Assumptions!$B$153*Assumptions!$B$37</f>
        <v/>
      </c>
      <c r="P666">
        <f>IF(N666&gt;0,O666/N666,0)</f>
        <v/>
      </c>
      <c r="Q666">
        <f>IF(C666=1,P666*Assumptions!$B$141,Assumptions!$B$41)</f>
        <v/>
      </c>
      <c r="R666">
        <f>IF(D666=1,P666*Assumptions!$B$128,Assumptions!$B$33)</f>
        <v/>
      </c>
      <c r="S666">
        <f>IF(E666=1,P666*Assumptions!$B$129,Assumptions!$B$32)</f>
        <v/>
      </c>
      <c r="T666">
        <f>IF(F666=1,P666*Assumptions!$B$14,Assumptions!$B$31)</f>
        <v/>
      </c>
      <c r="U666">
        <f>IF(G666=1,P666*Assumptions!$B$13,Assumptions!$B$30)</f>
        <v/>
      </c>
      <c r="V666">
        <f>IF(H666=1,P666*Assumptions!$B$12,Assumptions!$B$29)</f>
        <v/>
      </c>
      <c r="W666">
        <f>IF(I666=1,P666*Assumptions!$B$11,Assumptions!$B$28)</f>
        <v/>
      </c>
      <c r="X666">
        <f>P666*(Assumptions!$B$133+Assumptions!$B$137)</f>
        <v/>
      </c>
      <c r="Y666">
        <f>P666*Assumptions!$B$9</f>
        <v/>
      </c>
      <c r="Z666">
        <f>IF(M666=1,(P666-Assumptions!$B$37)*Assumptions!$B$153,0)</f>
        <v/>
      </c>
      <c r="AA666">
        <f>Q666+R666+S666+T666+U666+V666+W666+X666+Y666+Z666</f>
        <v/>
      </c>
      <c r="AB666" t="n">
        <v>103</v>
      </c>
      <c r="AC666" t="n">
        <v>39</v>
      </c>
      <c r="AD666" t="n">
        <v>71</v>
      </c>
      <c r="AE666" t="n">
        <v>119</v>
      </c>
      <c r="AF666" t="n">
        <v>111</v>
      </c>
      <c r="AG666" t="n">
        <v>99</v>
      </c>
      <c r="AH666" t="n">
        <v>101</v>
      </c>
      <c r="AI666" t="n">
        <v>102</v>
      </c>
      <c r="AJ666">
        <f>INDEX($Q$563:$Q$690,AC666+1)</f>
        <v/>
      </c>
      <c r="AK666">
        <f>INDEX($R$563:$R$690,AD666+1)</f>
        <v/>
      </c>
      <c r="AL666">
        <f>INDEX($S$563:$S$690,AE666+1)</f>
        <v/>
      </c>
      <c r="AM666">
        <f>INDEX($T$563:$T$690,AF666+1)</f>
        <v/>
      </c>
      <c r="AN666">
        <f>INDEX($U$563:$U$690,AG666+1)</f>
        <v/>
      </c>
      <c r="AO666">
        <f>INDEX($V$563:$V$690,AH666+1)</f>
        <v/>
      </c>
      <c r="AP666">
        <f>INDEX($W$563:$W$690,AI666+1)</f>
        <v/>
      </c>
      <c r="AQ666">
        <f>IF(Q666&gt;=AJ666-0.01,1,0)</f>
        <v/>
      </c>
      <c r="AR666">
        <f>IF(R666&gt;=AK666-0.01,1,0)</f>
        <v/>
      </c>
      <c r="AS666">
        <f>IF(S666&gt;=AL666-0.01,1,0)</f>
        <v/>
      </c>
      <c r="AT666">
        <f>IF(T666&gt;=AM666-0.01,1,0)</f>
        <v/>
      </c>
      <c r="AU666">
        <f>IF(U666&gt;=AN666-0.01,1,0)</f>
        <v/>
      </c>
      <c r="AV666">
        <f>IF(V666&gt;=AO666-0.01,1,0)</f>
        <v/>
      </c>
      <c r="AW666">
        <f>IF(W666&gt;=AP666-0.01,1,0)</f>
        <v/>
      </c>
      <c r="AX666">
        <f>AQ666*AR666*AS666*AT666*AU666*AV666*AW666</f>
        <v/>
      </c>
      <c r="AY666">
        <f>Assumptions!$B$41</f>
        <v/>
      </c>
      <c r="AZ666">
        <f>Assumptions!$B$33</f>
        <v/>
      </c>
      <c r="BA666">
        <f>Assumptions!$B$32</f>
        <v/>
      </c>
      <c r="BB666">
        <f>Assumptions!$B$31</f>
        <v/>
      </c>
      <c r="BC666">
        <f>Assumptions!$B$30</f>
        <v/>
      </c>
      <c r="BD666">
        <f>Assumptions!$B$29</f>
        <v/>
      </c>
      <c r="BE666">
        <f>Assumptions!$B$28</f>
        <v/>
      </c>
      <c r="BF666">
        <f>P666*Assumptions!$B$141</f>
        <v/>
      </c>
      <c r="BG666">
        <f>P666*Assumptions!$B$128</f>
        <v/>
      </c>
      <c r="BH666">
        <f>P666*Assumptions!$B$129</f>
        <v/>
      </c>
      <c r="BI666">
        <f>P666*Assumptions!$B$14</f>
        <v/>
      </c>
      <c r="BJ666">
        <f>P666*Assumptions!$B$13</f>
        <v/>
      </c>
      <c r="BK666">
        <f>P666*Assumptions!$B$12</f>
        <v/>
      </c>
      <c r="BL666">
        <f>P666*Assumptions!$B$11</f>
        <v/>
      </c>
    </row>
    <row r="667">
      <c r="A667" t="inlineStr">
        <is>
          <t>8000M</t>
        </is>
      </c>
      <c r="B667">
        <f>Assumptions!$B$62</f>
        <v/>
      </c>
      <c r="C667" t="n">
        <v>1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>
        <f>(1-C667)*Assumptions!$B$41+(1-D667)*Assumptions!$B$33+(1-E667)*Assumptions!$B$32+(1-F667)*Assumptions!$B$31+(1-G667)*Assumptions!$B$30+(1-H667)*Assumptions!$B$29+(1-I667)*Assumptions!$B$28</f>
        <v/>
      </c>
      <c r="K667">
        <f>C667*Assumptions!$B$141+D667*Assumptions!$B$128+E667*Assumptions!$B$129+F667*Assumptions!$B$14+G667*Assumptions!$B$13+H667*Assumptions!$B$12+I667*Assumptions!$B$11+Assumptions!$B$133+Assumptions!$B$137+Assumptions!$B$9</f>
        <v/>
      </c>
      <c r="L667">
        <f>B667-J667</f>
        <v/>
      </c>
      <c r="M667">
        <f>IF(K667&gt;0,IF(L667/K667&gt;=Assumptions!$B$37,1,0),0)</f>
        <v/>
      </c>
      <c r="N667">
        <f>K667+M667*Assumptions!$B$153</f>
        <v/>
      </c>
      <c r="O667">
        <f>L667+M667*Assumptions!$B$153*Assumptions!$B$37</f>
        <v/>
      </c>
      <c r="P667">
        <f>IF(N667&gt;0,O667/N667,0)</f>
        <v/>
      </c>
      <c r="Q667">
        <f>IF(C667=1,P667*Assumptions!$B$141,Assumptions!$B$41)</f>
        <v/>
      </c>
      <c r="R667">
        <f>IF(D667=1,P667*Assumptions!$B$128,Assumptions!$B$33)</f>
        <v/>
      </c>
      <c r="S667">
        <f>IF(E667=1,P667*Assumptions!$B$129,Assumptions!$B$32)</f>
        <v/>
      </c>
      <c r="T667">
        <f>IF(F667=1,P667*Assumptions!$B$14,Assumptions!$B$31)</f>
        <v/>
      </c>
      <c r="U667">
        <f>IF(G667=1,P667*Assumptions!$B$13,Assumptions!$B$30)</f>
        <v/>
      </c>
      <c r="V667">
        <f>IF(H667=1,P667*Assumptions!$B$12,Assumptions!$B$29)</f>
        <v/>
      </c>
      <c r="W667">
        <f>IF(I667=1,P667*Assumptions!$B$11,Assumptions!$B$28)</f>
        <v/>
      </c>
      <c r="X667">
        <f>P667*(Assumptions!$B$133+Assumptions!$B$137)</f>
        <v/>
      </c>
      <c r="Y667">
        <f>P667*Assumptions!$B$9</f>
        <v/>
      </c>
      <c r="Z667">
        <f>IF(M667=1,(P667-Assumptions!$B$37)*Assumptions!$B$153,0)</f>
        <v/>
      </c>
      <c r="AA667">
        <f>Q667+R667+S667+T667+U667+V667+W667+X667+Y667+Z667</f>
        <v/>
      </c>
      <c r="AB667" t="n">
        <v>104</v>
      </c>
      <c r="AC667" t="n">
        <v>40</v>
      </c>
      <c r="AD667" t="n">
        <v>72</v>
      </c>
      <c r="AE667" t="n">
        <v>120</v>
      </c>
      <c r="AF667" t="n">
        <v>96</v>
      </c>
      <c r="AG667" t="n">
        <v>108</v>
      </c>
      <c r="AH667" t="n">
        <v>106</v>
      </c>
      <c r="AI667" t="n">
        <v>105</v>
      </c>
      <c r="AJ667">
        <f>INDEX($Q$563:$Q$690,AC667+1)</f>
        <v/>
      </c>
      <c r="AK667">
        <f>INDEX($R$563:$R$690,AD667+1)</f>
        <v/>
      </c>
      <c r="AL667">
        <f>INDEX($S$563:$S$690,AE667+1)</f>
        <v/>
      </c>
      <c r="AM667">
        <f>INDEX($T$563:$T$690,AF667+1)</f>
        <v/>
      </c>
      <c r="AN667">
        <f>INDEX($U$563:$U$690,AG667+1)</f>
        <v/>
      </c>
      <c r="AO667">
        <f>INDEX($V$563:$V$690,AH667+1)</f>
        <v/>
      </c>
      <c r="AP667">
        <f>INDEX($W$563:$W$690,AI667+1)</f>
        <v/>
      </c>
      <c r="AQ667">
        <f>IF(Q667&gt;=AJ667-0.01,1,0)</f>
        <v/>
      </c>
      <c r="AR667">
        <f>IF(R667&gt;=AK667-0.01,1,0)</f>
        <v/>
      </c>
      <c r="AS667">
        <f>IF(S667&gt;=AL667-0.01,1,0)</f>
        <v/>
      </c>
      <c r="AT667">
        <f>IF(T667&gt;=AM667-0.01,1,0)</f>
        <v/>
      </c>
      <c r="AU667">
        <f>IF(U667&gt;=AN667-0.01,1,0)</f>
        <v/>
      </c>
      <c r="AV667">
        <f>IF(V667&gt;=AO667-0.01,1,0)</f>
        <v/>
      </c>
      <c r="AW667">
        <f>IF(W667&gt;=AP667-0.01,1,0)</f>
        <v/>
      </c>
      <c r="AX667">
        <f>AQ667*AR667*AS667*AT667*AU667*AV667*AW667</f>
        <v/>
      </c>
      <c r="AY667">
        <f>Assumptions!$B$41</f>
        <v/>
      </c>
      <c r="AZ667">
        <f>Assumptions!$B$33</f>
        <v/>
      </c>
      <c r="BA667">
        <f>Assumptions!$B$32</f>
        <v/>
      </c>
      <c r="BB667">
        <f>Assumptions!$B$31</f>
        <v/>
      </c>
      <c r="BC667">
        <f>Assumptions!$B$30</f>
        <v/>
      </c>
      <c r="BD667">
        <f>Assumptions!$B$29</f>
        <v/>
      </c>
      <c r="BE667">
        <f>Assumptions!$B$28</f>
        <v/>
      </c>
      <c r="BF667">
        <f>P667*Assumptions!$B$141</f>
        <v/>
      </c>
      <c r="BG667">
        <f>P667*Assumptions!$B$128</f>
        <v/>
      </c>
      <c r="BH667">
        <f>P667*Assumptions!$B$129</f>
        <v/>
      </c>
      <c r="BI667">
        <f>P667*Assumptions!$B$14</f>
        <v/>
      </c>
      <c r="BJ667">
        <f>P667*Assumptions!$B$13</f>
        <v/>
      </c>
      <c r="BK667">
        <f>P667*Assumptions!$B$12</f>
        <v/>
      </c>
      <c r="BL667">
        <f>P667*Assumptions!$B$11</f>
        <v/>
      </c>
    </row>
    <row r="668">
      <c r="A668" t="inlineStr">
        <is>
          <t>8000M</t>
        </is>
      </c>
      <c r="B668">
        <f>Assumptions!$B$62</f>
        <v/>
      </c>
      <c r="C668" t="n">
        <v>1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>
        <f>(1-C668)*Assumptions!$B$41+(1-D668)*Assumptions!$B$33+(1-E668)*Assumptions!$B$32+(1-F668)*Assumptions!$B$31+(1-G668)*Assumptions!$B$30+(1-H668)*Assumptions!$B$29+(1-I668)*Assumptions!$B$28</f>
        <v/>
      </c>
      <c r="K668">
        <f>C668*Assumptions!$B$141+D668*Assumptions!$B$128+E668*Assumptions!$B$129+F668*Assumptions!$B$14+G668*Assumptions!$B$13+H668*Assumptions!$B$12+I668*Assumptions!$B$11+Assumptions!$B$133+Assumptions!$B$137+Assumptions!$B$9</f>
        <v/>
      </c>
      <c r="L668">
        <f>B668-J668</f>
        <v/>
      </c>
      <c r="M668">
        <f>IF(K668&gt;0,IF(L668/K668&gt;=Assumptions!$B$37,1,0),0)</f>
        <v/>
      </c>
      <c r="N668">
        <f>K668+M668*Assumptions!$B$153</f>
        <v/>
      </c>
      <c r="O668">
        <f>L668+M668*Assumptions!$B$153*Assumptions!$B$37</f>
        <v/>
      </c>
      <c r="P668">
        <f>IF(N668&gt;0,O668/N668,0)</f>
        <v/>
      </c>
      <c r="Q668">
        <f>IF(C668=1,P668*Assumptions!$B$141,Assumptions!$B$41)</f>
        <v/>
      </c>
      <c r="R668">
        <f>IF(D668=1,P668*Assumptions!$B$128,Assumptions!$B$33)</f>
        <v/>
      </c>
      <c r="S668">
        <f>IF(E668=1,P668*Assumptions!$B$129,Assumptions!$B$32)</f>
        <v/>
      </c>
      <c r="T668">
        <f>IF(F668=1,P668*Assumptions!$B$14,Assumptions!$B$31)</f>
        <v/>
      </c>
      <c r="U668">
        <f>IF(G668=1,P668*Assumptions!$B$13,Assumptions!$B$30)</f>
        <v/>
      </c>
      <c r="V668">
        <f>IF(H668=1,P668*Assumptions!$B$12,Assumptions!$B$29)</f>
        <v/>
      </c>
      <c r="W668">
        <f>IF(I668=1,P668*Assumptions!$B$11,Assumptions!$B$28)</f>
        <v/>
      </c>
      <c r="X668">
        <f>P668*(Assumptions!$B$133+Assumptions!$B$137)</f>
        <v/>
      </c>
      <c r="Y668">
        <f>P668*Assumptions!$B$9</f>
        <v/>
      </c>
      <c r="Z668">
        <f>IF(M668=1,(P668-Assumptions!$B$37)*Assumptions!$B$153,0)</f>
        <v/>
      </c>
      <c r="AA668">
        <f>Q668+R668+S668+T668+U668+V668+W668+X668+Y668+Z668</f>
        <v/>
      </c>
      <c r="AB668" t="n">
        <v>105</v>
      </c>
      <c r="AC668" t="n">
        <v>41</v>
      </c>
      <c r="AD668" t="n">
        <v>73</v>
      </c>
      <c r="AE668" t="n">
        <v>121</v>
      </c>
      <c r="AF668" t="n">
        <v>97</v>
      </c>
      <c r="AG668" t="n">
        <v>109</v>
      </c>
      <c r="AH668" t="n">
        <v>107</v>
      </c>
      <c r="AI668" t="n">
        <v>104</v>
      </c>
      <c r="AJ668">
        <f>INDEX($Q$563:$Q$690,AC668+1)</f>
        <v/>
      </c>
      <c r="AK668">
        <f>INDEX($R$563:$R$690,AD668+1)</f>
        <v/>
      </c>
      <c r="AL668">
        <f>INDEX($S$563:$S$690,AE668+1)</f>
        <v/>
      </c>
      <c r="AM668">
        <f>INDEX($T$563:$T$690,AF668+1)</f>
        <v/>
      </c>
      <c r="AN668">
        <f>INDEX($U$563:$U$690,AG668+1)</f>
        <v/>
      </c>
      <c r="AO668">
        <f>INDEX($V$563:$V$690,AH668+1)</f>
        <v/>
      </c>
      <c r="AP668">
        <f>INDEX($W$563:$W$690,AI668+1)</f>
        <v/>
      </c>
      <c r="AQ668">
        <f>IF(Q668&gt;=AJ668-0.01,1,0)</f>
        <v/>
      </c>
      <c r="AR668">
        <f>IF(R668&gt;=AK668-0.01,1,0)</f>
        <v/>
      </c>
      <c r="AS668">
        <f>IF(S668&gt;=AL668-0.01,1,0)</f>
        <v/>
      </c>
      <c r="AT668">
        <f>IF(T668&gt;=AM668-0.01,1,0)</f>
        <v/>
      </c>
      <c r="AU668">
        <f>IF(U668&gt;=AN668-0.01,1,0)</f>
        <v/>
      </c>
      <c r="AV668">
        <f>IF(V668&gt;=AO668-0.01,1,0)</f>
        <v/>
      </c>
      <c r="AW668">
        <f>IF(W668&gt;=AP668-0.01,1,0)</f>
        <v/>
      </c>
      <c r="AX668">
        <f>AQ668*AR668*AS668*AT668*AU668*AV668*AW668</f>
        <v/>
      </c>
      <c r="AY668">
        <f>Assumptions!$B$41</f>
        <v/>
      </c>
      <c r="AZ668">
        <f>Assumptions!$B$33</f>
        <v/>
      </c>
      <c r="BA668">
        <f>Assumptions!$B$32</f>
        <v/>
      </c>
      <c r="BB668">
        <f>Assumptions!$B$31</f>
        <v/>
      </c>
      <c r="BC668">
        <f>Assumptions!$B$30</f>
        <v/>
      </c>
      <c r="BD668">
        <f>Assumptions!$B$29</f>
        <v/>
      </c>
      <c r="BE668">
        <f>Assumptions!$B$28</f>
        <v/>
      </c>
      <c r="BF668">
        <f>P668*Assumptions!$B$141</f>
        <v/>
      </c>
      <c r="BG668">
        <f>P668*Assumptions!$B$128</f>
        <v/>
      </c>
      <c r="BH668">
        <f>P668*Assumptions!$B$129</f>
        <v/>
      </c>
      <c r="BI668">
        <f>P668*Assumptions!$B$14</f>
        <v/>
      </c>
      <c r="BJ668">
        <f>P668*Assumptions!$B$13</f>
        <v/>
      </c>
      <c r="BK668">
        <f>P668*Assumptions!$B$12</f>
        <v/>
      </c>
      <c r="BL668">
        <f>P668*Assumptions!$B$11</f>
        <v/>
      </c>
    </row>
    <row r="669">
      <c r="A669" t="inlineStr">
        <is>
          <t>8000M</t>
        </is>
      </c>
      <c r="B669">
        <f>Assumptions!$B$62</f>
        <v/>
      </c>
      <c r="C669" t="n">
        <v>1</v>
      </c>
      <c r="D669" t="n">
        <v>1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>
        <f>(1-C669)*Assumptions!$B$41+(1-D669)*Assumptions!$B$33+(1-E669)*Assumptions!$B$32+(1-F669)*Assumptions!$B$31+(1-G669)*Assumptions!$B$30+(1-H669)*Assumptions!$B$29+(1-I669)*Assumptions!$B$28</f>
        <v/>
      </c>
      <c r="K669">
        <f>C669*Assumptions!$B$141+D669*Assumptions!$B$128+E669*Assumptions!$B$129+F669*Assumptions!$B$14+G669*Assumptions!$B$13+H669*Assumptions!$B$12+I669*Assumptions!$B$11+Assumptions!$B$133+Assumptions!$B$137+Assumptions!$B$9</f>
        <v/>
      </c>
      <c r="L669">
        <f>B669-J669</f>
        <v/>
      </c>
      <c r="M669">
        <f>IF(K669&gt;0,IF(L669/K669&gt;=Assumptions!$B$37,1,0),0)</f>
        <v/>
      </c>
      <c r="N669">
        <f>K669+M669*Assumptions!$B$153</f>
        <v/>
      </c>
      <c r="O669">
        <f>L669+M669*Assumptions!$B$153*Assumptions!$B$37</f>
        <v/>
      </c>
      <c r="P669">
        <f>IF(N669&gt;0,O669/N669,0)</f>
        <v/>
      </c>
      <c r="Q669">
        <f>IF(C669=1,P669*Assumptions!$B$141,Assumptions!$B$41)</f>
        <v/>
      </c>
      <c r="R669">
        <f>IF(D669=1,P669*Assumptions!$B$128,Assumptions!$B$33)</f>
        <v/>
      </c>
      <c r="S669">
        <f>IF(E669=1,P669*Assumptions!$B$129,Assumptions!$B$32)</f>
        <v/>
      </c>
      <c r="T669">
        <f>IF(F669=1,P669*Assumptions!$B$14,Assumptions!$B$31)</f>
        <v/>
      </c>
      <c r="U669">
        <f>IF(G669=1,P669*Assumptions!$B$13,Assumptions!$B$30)</f>
        <v/>
      </c>
      <c r="V669">
        <f>IF(H669=1,P669*Assumptions!$B$12,Assumptions!$B$29)</f>
        <v/>
      </c>
      <c r="W669">
        <f>IF(I669=1,P669*Assumptions!$B$11,Assumptions!$B$28)</f>
        <v/>
      </c>
      <c r="X669">
        <f>P669*(Assumptions!$B$133+Assumptions!$B$137)</f>
        <v/>
      </c>
      <c r="Y669">
        <f>P669*Assumptions!$B$9</f>
        <v/>
      </c>
      <c r="Z669">
        <f>IF(M669=1,(P669-Assumptions!$B$37)*Assumptions!$B$153,0)</f>
        <v/>
      </c>
      <c r="AA669">
        <f>Q669+R669+S669+T669+U669+V669+W669+X669+Y669+Z669</f>
        <v/>
      </c>
      <c r="AB669" t="n">
        <v>106</v>
      </c>
      <c r="AC669" t="n">
        <v>42</v>
      </c>
      <c r="AD669" t="n">
        <v>74</v>
      </c>
      <c r="AE669" t="n">
        <v>122</v>
      </c>
      <c r="AF669" t="n">
        <v>98</v>
      </c>
      <c r="AG669" t="n">
        <v>110</v>
      </c>
      <c r="AH669" t="n">
        <v>104</v>
      </c>
      <c r="AI669" t="n">
        <v>107</v>
      </c>
      <c r="AJ669">
        <f>INDEX($Q$563:$Q$690,AC669+1)</f>
        <v/>
      </c>
      <c r="AK669">
        <f>INDEX($R$563:$R$690,AD669+1)</f>
        <v/>
      </c>
      <c r="AL669">
        <f>INDEX($S$563:$S$690,AE669+1)</f>
        <v/>
      </c>
      <c r="AM669">
        <f>INDEX($T$563:$T$690,AF669+1)</f>
        <v/>
      </c>
      <c r="AN669">
        <f>INDEX($U$563:$U$690,AG669+1)</f>
        <v/>
      </c>
      <c r="AO669">
        <f>INDEX($V$563:$V$690,AH669+1)</f>
        <v/>
      </c>
      <c r="AP669">
        <f>INDEX($W$563:$W$690,AI669+1)</f>
        <v/>
      </c>
      <c r="AQ669">
        <f>IF(Q669&gt;=AJ669-0.01,1,0)</f>
        <v/>
      </c>
      <c r="AR669">
        <f>IF(R669&gt;=AK669-0.01,1,0)</f>
        <v/>
      </c>
      <c r="AS669">
        <f>IF(S669&gt;=AL669-0.01,1,0)</f>
        <v/>
      </c>
      <c r="AT669">
        <f>IF(T669&gt;=AM669-0.01,1,0)</f>
        <v/>
      </c>
      <c r="AU669">
        <f>IF(U669&gt;=AN669-0.01,1,0)</f>
        <v/>
      </c>
      <c r="AV669">
        <f>IF(V669&gt;=AO669-0.01,1,0)</f>
        <v/>
      </c>
      <c r="AW669">
        <f>IF(W669&gt;=AP669-0.01,1,0)</f>
        <v/>
      </c>
      <c r="AX669">
        <f>AQ669*AR669*AS669*AT669*AU669*AV669*AW669</f>
        <v/>
      </c>
      <c r="AY669">
        <f>Assumptions!$B$41</f>
        <v/>
      </c>
      <c r="AZ669">
        <f>Assumptions!$B$33</f>
        <v/>
      </c>
      <c r="BA669">
        <f>Assumptions!$B$32</f>
        <v/>
      </c>
      <c r="BB669">
        <f>Assumptions!$B$31</f>
        <v/>
      </c>
      <c r="BC669">
        <f>Assumptions!$B$30</f>
        <v/>
      </c>
      <c r="BD669">
        <f>Assumptions!$B$29</f>
        <v/>
      </c>
      <c r="BE669">
        <f>Assumptions!$B$28</f>
        <v/>
      </c>
      <c r="BF669">
        <f>P669*Assumptions!$B$141</f>
        <v/>
      </c>
      <c r="BG669">
        <f>P669*Assumptions!$B$128</f>
        <v/>
      </c>
      <c r="BH669">
        <f>P669*Assumptions!$B$129</f>
        <v/>
      </c>
      <c r="BI669">
        <f>P669*Assumptions!$B$14</f>
        <v/>
      </c>
      <c r="BJ669">
        <f>P669*Assumptions!$B$13</f>
        <v/>
      </c>
      <c r="BK669">
        <f>P669*Assumptions!$B$12</f>
        <v/>
      </c>
      <c r="BL669">
        <f>P669*Assumptions!$B$11</f>
        <v/>
      </c>
    </row>
    <row r="670">
      <c r="A670" t="inlineStr">
        <is>
          <t>8000M</t>
        </is>
      </c>
      <c r="B670">
        <f>Assumptions!$B$62</f>
        <v/>
      </c>
      <c r="C670" t="n">
        <v>1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1</v>
      </c>
      <c r="J670">
        <f>(1-C670)*Assumptions!$B$41+(1-D670)*Assumptions!$B$33+(1-E670)*Assumptions!$B$32+(1-F670)*Assumptions!$B$31+(1-G670)*Assumptions!$B$30+(1-H670)*Assumptions!$B$29+(1-I670)*Assumptions!$B$28</f>
        <v/>
      </c>
      <c r="K670">
        <f>C670*Assumptions!$B$141+D670*Assumptions!$B$128+E670*Assumptions!$B$129+F670*Assumptions!$B$14+G670*Assumptions!$B$13+H670*Assumptions!$B$12+I670*Assumptions!$B$11+Assumptions!$B$133+Assumptions!$B$137+Assumptions!$B$9</f>
        <v/>
      </c>
      <c r="L670">
        <f>B670-J670</f>
        <v/>
      </c>
      <c r="M670">
        <f>IF(K670&gt;0,IF(L670/K670&gt;=Assumptions!$B$37,1,0),0)</f>
        <v/>
      </c>
      <c r="N670">
        <f>K670+M670*Assumptions!$B$153</f>
        <v/>
      </c>
      <c r="O670">
        <f>L670+M670*Assumptions!$B$153*Assumptions!$B$37</f>
        <v/>
      </c>
      <c r="P670">
        <f>IF(N670&gt;0,O670/N670,0)</f>
        <v/>
      </c>
      <c r="Q670">
        <f>IF(C670=1,P670*Assumptions!$B$141,Assumptions!$B$41)</f>
        <v/>
      </c>
      <c r="R670">
        <f>IF(D670=1,P670*Assumptions!$B$128,Assumptions!$B$33)</f>
        <v/>
      </c>
      <c r="S670">
        <f>IF(E670=1,P670*Assumptions!$B$129,Assumptions!$B$32)</f>
        <v/>
      </c>
      <c r="T670">
        <f>IF(F670=1,P670*Assumptions!$B$14,Assumptions!$B$31)</f>
        <v/>
      </c>
      <c r="U670">
        <f>IF(G670=1,P670*Assumptions!$B$13,Assumptions!$B$30)</f>
        <v/>
      </c>
      <c r="V670">
        <f>IF(H670=1,P670*Assumptions!$B$12,Assumptions!$B$29)</f>
        <v/>
      </c>
      <c r="W670">
        <f>IF(I670=1,P670*Assumptions!$B$11,Assumptions!$B$28)</f>
        <v/>
      </c>
      <c r="X670">
        <f>P670*(Assumptions!$B$133+Assumptions!$B$137)</f>
        <v/>
      </c>
      <c r="Y670">
        <f>P670*Assumptions!$B$9</f>
        <v/>
      </c>
      <c r="Z670">
        <f>IF(M670=1,(P670-Assumptions!$B$37)*Assumptions!$B$153,0)</f>
        <v/>
      </c>
      <c r="AA670">
        <f>Q670+R670+S670+T670+U670+V670+W670+X670+Y670+Z670</f>
        <v/>
      </c>
      <c r="AB670" t="n">
        <v>107</v>
      </c>
      <c r="AC670" t="n">
        <v>43</v>
      </c>
      <c r="AD670" t="n">
        <v>75</v>
      </c>
      <c r="AE670" t="n">
        <v>123</v>
      </c>
      <c r="AF670" t="n">
        <v>99</v>
      </c>
      <c r="AG670" t="n">
        <v>111</v>
      </c>
      <c r="AH670" t="n">
        <v>105</v>
      </c>
      <c r="AI670" t="n">
        <v>106</v>
      </c>
      <c r="AJ670">
        <f>INDEX($Q$563:$Q$690,AC670+1)</f>
        <v/>
      </c>
      <c r="AK670">
        <f>INDEX($R$563:$R$690,AD670+1)</f>
        <v/>
      </c>
      <c r="AL670">
        <f>INDEX($S$563:$S$690,AE670+1)</f>
        <v/>
      </c>
      <c r="AM670">
        <f>INDEX($T$563:$T$690,AF670+1)</f>
        <v/>
      </c>
      <c r="AN670">
        <f>INDEX($U$563:$U$690,AG670+1)</f>
        <v/>
      </c>
      <c r="AO670">
        <f>INDEX($V$563:$V$690,AH670+1)</f>
        <v/>
      </c>
      <c r="AP670">
        <f>INDEX($W$563:$W$690,AI670+1)</f>
        <v/>
      </c>
      <c r="AQ670">
        <f>IF(Q670&gt;=AJ670-0.01,1,0)</f>
        <v/>
      </c>
      <c r="AR670">
        <f>IF(R670&gt;=AK670-0.01,1,0)</f>
        <v/>
      </c>
      <c r="AS670">
        <f>IF(S670&gt;=AL670-0.01,1,0)</f>
        <v/>
      </c>
      <c r="AT670">
        <f>IF(T670&gt;=AM670-0.01,1,0)</f>
        <v/>
      </c>
      <c r="AU670">
        <f>IF(U670&gt;=AN670-0.01,1,0)</f>
        <v/>
      </c>
      <c r="AV670">
        <f>IF(V670&gt;=AO670-0.01,1,0)</f>
        <v/>
      </c>
      <c r="AW670">
        <f>IF(W670&gt;=AP670-0.01,1,0)</f>
        <v/>
      </c>
      <c r="AX670">
        <f>AQ670*AR670*AS670*AT670*AU670*AV670*AW670</f>
        <v/>
      </c>
      <c r="AY670">
        <f>Assumptions!$B$41</f>
        <v/>
      </c>
      <c r="AZ670">
        <f>Assumptions!$B$33</f>
        <v/>
      </c>
      <c r="BA670">
        <f>Assumptions!$B$32</f>
        <v/>
      </c>
      <c r="BB670">
        <f>Assumptions!$B$31</f>
        <v/>
      </c>
      <c r="BC670">
        <f>Assumptions!$B$30</f>
        <v/>
      </c>
      <c r="BD670">
        <f>Assumptions!$B$29</f>
        <v/>
      </c>
      <c r="BE670">
        <f>Assumptions!$B$28</f>
        <v/>
      </c>
      <c r="BF670">
        <f>P670*Assumptions!$B$141</f>
        <v/>
      </c>
      <c r="BG670">
        <f>P670*Assumptions!$B$128</f>
        <v/>
      </c>
      <c r="BH670">
        <f>P670*Assumptions!$B$129</f>
        <v/>
      </c>
      <c r="BI670">
        <f>P670*Assumptions!$B$14</f>
        <v/>
      </c>
      <c r="BJ670">
        <f>P670*Assumptions!$B$13</f>
        <v/>
      </c>
      <c r="BK670">
        <f>P670*Assumptions!$B$12</f>
        <v/>
      </c>
      <c r="BL670">
        <f>P670*Assumptions!$B$11</f>
        <v/>
      </c>
    </row>
    <row r="671">
      <c r="A671" t="inlineStr">
        <is>
          <t>8000M</t>
        </is>
      </c>
      <c r="B671">
        <f>Assumptions!$B$62</f>
        <v/>
      </c>
      <c r="C671" t="n">
        <v>1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>
        <f>(1-C671)*Assumptions!$B$41+(1-D671)*Assumptions!$B$33+(1-E671)*Assumptions!$B$32+(1-F671)*Assumptions!$B$31+(1-G671)*Assumptions!$B$30+(1-H671)*Assumptions!$B$29+(1-I671)*Assumptions!$B$28</f>
        <v/>
      </c>
      <c r="K671">
        <f>C671*Assumptions!$B$141+D671*Assumptions!$B$128+E671*Assumptions!$B$129+F671*Assumptions!$B$14+G671*Assumptions!$B$13+H671*Assumptions!$B$12+I671*Assumptions!$B$11+Assumptions!$B$133+Assumptions!$B$137+Assumptions!$B$9</f>
        <v/>
      </c>
      <c r="L671">
        <f>B671-J671</f>
        <v/>
      </c>
      <c r="M671">
        <f>IF(K671&gt;0,IF(L671/K671&gt;=Assumptions!$B$37,1,0),0)</f>
        <v/>
      </c>
      <c r="N671">
        <f>K671+M671*Assumptions!$B$153</f>
        <v/>
      </c>
      <c r="O671">
        <f>L671+M671*Assumptions!$B$153*Assumptions!$B$37</f>
        <v/>
      </c>
      <c r="P671">
        <f>IF(N671&gt;0,O671/N671,0)</f>
        <v/>
      </c>
      <c r="Q671">
        <f>IF(C671=1,P671*Assumptions!$B$141,Assumptions!$B$41)</f>
        <v/>
      </c>
      <c r="R671">
        <f>IF(D671=1,P671*Assumptions!$B$128,Assumptions!$B$33)</f>
        <v/>
      </c>
      <c r="S671">
        <f>IF(E671=1,P671*Assumptions!$B$129,Assumptions!$B$32)</f>
        <v/>
      </c>
      <c r="T671">
        <f>IF(F671=1,P671*Assumptions!$B$14,Assumptions!$B$31)</f>
        <v/>
      </c>
      <c r="U671">
        <f>IF(G671=1,P671*Assumptions!$B$13,Assumptions!$B$30)</f>
        <v/>
      </c>
      <c r="V671">
        <f>IF(H671=1,P671*Assumptions!$B$12,Assumptions!$B$29)</f>
        <v/>
      </c>
      <c r="W671">
        <f>IF(I671=1,P671*Assumptions!$B$11,Assumptions!$B$28)</f>
        <v/>
      </c>
      <c r="X671">
        <f>P671*(Assumptions!$B$133+Assumptions!$B$137)</f>
        <v/>
      </c>
      <c r="Y671">
        <f>P671*Assumptions!$B$9</f>
        <v/>
      </c>
      <c r="Z671">
        <f>IF(M671=1,(P671-Assumptions!$B$37)*Assumptions!$B$153,0)</f>
        <v/>
      </c>
      <c r="AA671">
        <f>Q671+R671+S671+T671+U671+V671+W671+X671+Y671+Z671</f>
        <v/>
      </c>
      <c r="AB671" t="n">
        <v>108</v>
      </c>
      <c r="AC671" t="n">
        <v>44</v>
      </c>
      <c r="AD671" t="n">
        <v>76</v>
      </c>
      <c r="AE671" t="n">
        <v>124</v>
      </c>
      <c r="AF671" t="n">
        <v>100</v>
      </c>
      <c r="AG671" t="n">
        <v>104</v>
      </c>
      <c r="AH671" t="n">
        <v>110</v>
      </c>
      <c r="AI671" t="n">
        <v>109</v>
      </c>
      <c r="AJ671">
        <f>INDEX($Q$563:$Q$690,AC671+1)</f>
        <v/>
      </c>
      <c r="AK671">
        <f>INDEX($R$563:$R$690,AD671+1)</f>
        <v/>
      </c>
      <c r="AL671">
        <f>INDEX($S$563:$S$690,AE671+1)</f>
        <v/>
      </c>
      <c r="AM671">
        <f>INDEX($T$563:$T$690,AF671+1)</f>
        <v/>
      </c>
      <c r="AN671">
        <f>INDEX($U$563:$U$690,AG671+1)</f>
        <v/>
      </c>
      <c r="AO671">
        <f>INDEX($V$563:$V$690,AH671+1)</f>
        <v/>
      </c>
      <c r="AP671">
        <f>INDEX($W$563:$W$690,AI671+1)</f>
        <v/>
      </c>
      <c r="AQ671">
        <f>IF(Q671&gt;=AJ671-0.01,1,0)</f>
        <v/>
      </c>
      <c r="AR671">
        <f>IF(R671&gt;=AK671-0.01,1,0)</f>
        <v/>
      </c>
      <c r="AS671">
        <f>IF(S671&gt;=AL671-0.01,1,0)</f>
        <v/>
      </c>
      <c r="AT671">
        <f>IF(T671&gt;=AM671-0.01,1,0)</f>
        <v/>
      </c>
      <c r="AU671">
        <f>IF(U671&gt;=AN671-0.01,1,0)</f>
        <v/>
      </c>
      <c r="AV671">
        <f>IF(V671&gt;=AO671-0.01,1,0)</f>
        <v/>
      </c>
      <c r="AW671">
        <f>IF(W671&gt;=AP671-0.01,1,0)</f>
        <v/>
      </c>
      <c r="AX671">
        <f>AQ671*AR671*AS671*AT671*AU671*AV671*AW671</f>
        <v/>
      </c>
      <c r="AY671">
        <f>Assumptions!$B$41</f>
        <v/>
      </c>
      <c r="AZ671">
        <f>Assumptions!$B$33</f>
        <v/>
      </c>
      <c r="BA671">
        <f>Assumptions!$B$32</f>
        <v/>
      </c>
      <c r="BB671">
        <f>Assumptions!$B$31</f>
        <v/>
      </c>
      <c r="BC671">
        <f>Assumptions!$B$30</f>
        <v/>
      </c>
      <c r="BD671">
        <f>Assumptions!$B$29</f>
        <v/>
      </c>
      <c r="BE671">
        <f>Assumptions!$B$28</f>
        <v/>
      </c>
      <c r="BF671">
        <f>P671*Assumptions!$B$141</f>
        <v/>
      </c>
      <c r="BG671">
        <f>P671*Assumptions!$B$128</f>
        <v/>
      </c>
      <c r="BH671">
        <f>P671*Assumptions!$B$129</f>
        <v/>
      </c>
      <c r="BI671">
        <f>P671*Assumptions!$B$14</f>
        <v/>
      </c>
      <c r="BJ671">
        <f>P671*Assumptions!$B$13</f>
        <v/>
      </c>
      <c r="BK671">
        <f>P671*Assumptions!$B$12</f>
        <v/>
      </c>
      <c r="BL671">
        <f>P671*Assumptions!$B$11</f>
        <v/>
      </c>
    </row>
    <row r="672">
      <c r="A672" t="inlineStr">
        <is>
          <t>8000M</t>
        </is>
      </c>
      <c r="B672">
        <f>Assumptions!$B$62</f>
        <v/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>
        <f>(1-C672)*Assumptions!$B$41+(1-D672)*Assumptions!$B$33+(1-E672)*Assumptions!$B$32+(1-F672)*Assumptions!$B$31+(1-G672)*Assumptions!$B$30+(1-H672)*Assumptions!$B$29+(1-I672)*Assumptions!$B$28</f>
        <v/>
      </c>
      <c r="K672">
        <f>C672*Assumptions!$B$141+D672*Assumptions!$B$128+E672*Assumptions!$B$129+F672*Assumptions!$B$14+G672*Assumptions!$B$13+H672*Assumptions!$B$12+I672*Assumptions!$B$11+Assumptions!$B$133+Assumptions!$B$137+Assumptions!$B$9</f>
        <v/>
      </c>
      <c r="L672">
        <f>B672-J672</f>
        <v/>
      </c>
      <c r="M672">
        <f>IF(K672&gt;0,IF(L672/K672&gt;=Assumptions!$B$37,1,0),0)</f>
        <v/>
      </c>
      <c r="N672">
        <f>K672+M672*Assumptions!$B$153</f>
        <v/>
      </c>
      <c r="O672">
        <f>L672+M672*Assumptions!$B$153*Assumptions!$B$37</f>
        <v/>
      </c>
      <c r="P672">
        <f>IF(N672&gt;0,O672/N672,0)</f>
        <v/>
      </c>
      <c r="Q672">
        <f>IF(C672=1,P672*Assumptions!$B$141,Assumptions!$B$41)</f>
        <v/>
      </c>
      <c r="R672">
        <f>IF(D672=1,P672*Assumptions!$B$128,Assumptions!$B$33)</f>
        <v/>
      </c>
      <c r="S672">
        <f>IF(E672=1,P672*Assumptions!$B$129,Assumptions!$B$32)</f>
        <v/>
      </c>
      <c r="T672">
        <f>IF(F672=1,P672*Assumptions!$B$14,Assumptions!$B$31)</f>
        <v/>
      </c>
      <c r="U672">
        <f>IF(G672=1,P672*Assumptions!$B$13,Assumptions!$B$30)</f>
        <v/>
      </c>
      <c r="V672">
        <f>IF(H672=1,P672*Assumptions!$B$12,Assumptions!$B$29)</f>
        <v/>
      </c>
      <c r="W672">
        <f>IF(I672=1,P672*Assumptions!$B$11,Assumptions!$B$28)</f>
        <v/>
      </c>
      <c r="X672">
        <f>P672*(Assumptions!$B$133+Assumptions!$B$137)</f>
        <v/>
      </c>
      <c r="Y672">
        <f>P672*Assumptions!$B$9</f>
        <v/>
      </c>
      <c r="Z672">
        <f>IF(M672=1,(P672-Assumptions!$B$37)*Assumptions!$B$153,0)</f>
        <v/>
      </c>
      <c r="AA672">
        <f>Q672+R672+S672+T672+U672+V672+W672+X672+Y672+Z672</f>
        <v/>
      </c>
      <c r="AB672" t="n">
        <v>109</v>
      </c>
      <c r="AC672" t="n">
        <v>45</v>
      </c>
      <c r="AD672" t="n">
        <v>77</v>
      </c>
      <c r="AE672" t="n">
        <v>125</v>
      </c>
      <c r="AF672" t="n">
        <v>101</v>
      </c>
      <c r="AG672" t="n">
        <v>105</v>
      </c>
      <c r="AH672" t="n">
        <v>111</v>
      </c>
      <c r="AI672" t="n">
        <v>108</v>
      </c>
      <c r="AJ672">
        <f>INDEX($Q$563:$Q$690,AC672+1)</f>
        <v/>
      </c>
      <c r="AK672">
        <f>INDEX($R$563:$R$690,AD672+1)</f>
        <v/>
      </c>
      <c r="AL672">
        <f>INDEX($S$563:$S$690,AE672+1)</f>
        <v/>
      </c>
      <c r="AM672">
        <f>INDEX($T$563:$T$690,AF672+1)</f>
        <v/>
      </c>
      <c r="AN672">
        <f>INDEX($U$563:$U$690,AG672+1)</f>
        <v/>
      </c>
      <c r="AO672">
        <f>INDEX($V$563:$V$690,AH672+1)</f>
        <v/>
      </c>
      <c r="AP672">
        <f>INDEX($W$563:$W$690,AI672+1)</f>
        <v/>
      </c>
      <c r="AQ672">
        <f>IF(Q672&gt;=AJ672-0.01,1,0)</f>
        <v/>
      </c>
      <c r="AR672">
        <f>IF(R672&gt;=AK672-0.01,1,0)</f>
        <v/>
      </c>
      <c r="AS672">
        <f>IF(S672&gt;=AL672-0.01,1,0)</f>
        <v/>
      </c>
      <c r="AT672">
        <f>IF(T672&gt;=AM672-0.01,1,0)</f>
        <v/>
      </c>
      <c r="AU672">
        <f>IF(U672&gt;=AN672-0.01,1,0)</f>
        <v/>
      </c>
      <c r="AV672">
        <f>IF(V672&gt;=AO672-0.01,1,0)</f>
        <v/>
      </c>
      <c r="AW672">
        <f>IF(W672&gt;=AP672-0.01,1,0)</f>
        <v/>
      </c>
      <c r="AX672">
        <f>AQ672*AR672*AS672*AT672*AU672*AV672*AW672</f>
        <v/>
      </c>
      <c r="AY672">
        <f>Assumptions!$B$41</f>
        <v/>
      </c>
      <c r="AZ672">
        <f>Assumptions!$B$33</f>
        <v/>
      </c>
      <c r="BA672">
        <f>Assumptions!$B$32</f>
        <v/>
      </c>
      <c r="BB672">
        <f>Assumptions!$B$31</f>
        <v/>
      </c>
      <c r="BC672">
        <f>Assumptions!$B$30</f>
        <v/>
      </c>
      <c r="BD672">
        <f>Assumptions!$B$29</f>
        <v/>
      </c>
      <c r="BE672">
        <f>Assumptions!$B$28</f>
        <v/>
      </c>
      <c r="BF672">
        <f>P672*Assumptions!$B$141</f>
        <v/>
      </c>
      <c r="BG672">
        <f>P672*Assumptions!$B$128</f>
        <v/>
      </c>
      <c r="BH672">
        <f>P672*Assumptions!$B$129</f>
        <v/>
      </c>
      <c r="BI672">
        <f>P672*Assumptions!$B$14</f>
        <v/>
      </c>
      <c r="BJ672">
        <f>P672*Assumptions!$B$13</f>
        <v/>
      </c>
      <c r="BK672">
        <f>P672*Assumptions!$B$12</f>
        <v/>
      </c>
      <c r="BL672">
        <f>P672*Assumptions!$B$11</f>
        <v/>
      </c>
    </row>
    <row r="673">
      <c r="A673" t="inlineStr">
        <is>
          <t>8000M</t>
        </is>
      </c>
      <c r="B673">
        <f>Assumptions!$B$62</f>
        <v/>
      </c>
      <c r="C673" t="n">
        <v>1</v>
      </c>
      <c r="D673" t="n">
        <v>1</v>
      </c>
      <c r="E673" t="n">
        <v>0</v>
      </c>
      <c r="F673" t="n">
        <v>1</v>
      </c>
      <c r="G673" t="n">
        <v>1</v>
      </c>
      <c r="H673" t="n">
        <v>1</v>
      </c>
      <c r="I673" t="n">
        <v>0</v>
      </c>
      <c r="J673">
        <f>(1-C673)*Assumptions!$B$41+(1-D673)*Assumptions!$B$33+(1-E673)*Assumptions!$B$32+(1-F673)*Assumptions!$B$31+(1-G673)*Assumptions!$B$30+(1-H673)*Assumptions!$B$29+(1-I673)*Assumptions!$B$28</f>
        <v/>
      </c>
      <c r="K673">
        <f>C673*Assumptions!$B$141+D673*Assumptions!$B$128+E673*Assumptions!$B$129+F673*Assumptions!$B$14+G673*Assumptions!$B$13+H673*Assumptions!$B$12+I673*Assumptions!$B$11+Assumptions!$B$133+Assumptions!$B$137+Assumptions!$B$9</f>
        <v/>
      </c>
      <c r="L673">
        <f>B673-J673</f>
        <v/>
      </c>
      <c r="M673">
        <f>IF(K673&gt;0,IF(L673/K673&gt;=Assumptions!$B$37,1,0),0)</f>
        <v/>
      </c>
      <c r="N673">
        <f>K673+M673*Assumptions!$B$153</f>
        <v/>
      </c>
      <c r="O673">
        <f>L673+M673*Assumptions!$B$153*Assumptions!$B$37</f>
        <v/>
      </c>
      <c r="P673">
        <f>IF(N673&gt;0,O673/N673,0)</f>
        <v/>
      </c>
      <c r="Q673">
        <f>IF(C673=1,P673*Assumptions!$B$141,Assumptions!$B$41)</f>
        <v/>
      </c>
      <c r="R673">
        <f>IF(D673=1,P673*Assumptions!$B$128,Assumptions!$B$33)</f>
        <v/>
      </c>
      <c r="S673">
        <f>IF(E673=1,P673*Assumptions!$B$129,Assumptions!$B$32)</f>
        <v/>
      </c>
      <c r="T673">
        <f>IF(F673=1,P673*Assumptions!$B$14,Assumptions!$B$31)</f>
        <v/>
      </c>
      <c r="U673">
        <f>IF(G673=1,P673*Assumptions!$B$13,Assumptions!$B$30)</f>
        <v/>
      </c>
      <c r="V673">
        <f>IF(H673=1,P673*Assumptions!$B$12,Assumptions!$B$29)</f>
        <v/>
      </c>
      <c r="W673">
        <f>IF(I673=1,P673*Assumptions!$B$11,Assumptions!$B$28)</f>
        <v/>
      </c>
      <c r="X673">
        <f>P673*(Assumptions!$B$133+Assumptions!$B$137)</f>
        <v/>
      </c>
      <c r="Y673">
        <f>P673*Assumptions!$B$9</f>
        <v/>
      </c>
      <c r="Z673">
        <f>IF(M673=1,(P673-Assumptions!$B$37)*Assumptions!$B$153,0)</f>
        <v/>
      </c>
      <c r="AA673">
        <f>Q673+R673+S673+T673+U673+V673+W673+X673+Y673+Z673</f>
        <v/>
      </c>
      <c r="AB673" t="n">
        <v>110</v>
      </c>
      <c r="AC673" t="n">
        <v>46</v>
      </c>
      <c r="AD673" t="n">
        <v>78</v>
      </c>
      <c r="AE673" t="n">
        <v>126</v>
      </c>
      <c r="AF673" t="n">
        <v>102</v>
      </c>
      <c r="AG673" t="n">
        <v>106</v>
      </c>
      <c r="AH673" t="n">
        <v>108</v>
      </c>
      <c r="AI673" t="n">
        <v>111</v>
      </c>
      <c r="AJ673">
        <f>INDEX($Q$563:$Q$690,AC673+1)</f>
        <v/>
      </c>
      <c r="AK673">
        <f>INDEX($R$563:$R$690,AD673+1)</f>
        <v/>
      </c>
      <c r="AL673">
        <f>INDEX($S$563:$S$690,AE673+1)</f>
        <v/>
      </c>
      <c r="AM673">
        <f>INDEX($T$563:$T$690,AF673+1)</f>
        <v/>
      </c>
      <c r="AN673">
        <f>INDEX($U$563:$U$690,AG673+1)</f>
        <v/>
      </c>
      <c r="AO673">
        <f>INDEX($V$563:$V$690,AH673+1)</f>
        <v/>
      </c>
      <c r="AP673">
        <f>INDEX($W$563:$W$690,AI673+1)</f>
        <v/>
      </c>
      <c r="AQ673">
        <f>IF(Q673&gt;=AJ673-0.01,1,0)</f>
        <v/>
      </c>
      <c r="AR673">
        <f>IF(R673&gt;=AK673-0.01,1,0)</f>
        <v/>
      </c>
      <c r="AS673">
        <f>IF(S673&gt;=AL673-0.01,1,0)</f>
        <v/>
      </c>
      <c r="AT673">
        <f>IF(T673&gt;=AM673-0.01,1,0)</f>
        <v/>
      </c>
      <c r="AU673">
        <f>IF(U673&gt;=AN673-0.01,1,0)</f>
        <v/>
      </c>
      <c r="AV673">
        <f>IF(V673&gt;=AO673-0.01,1,0)</f>
        <v/>
      </c>
      <c r="AW673">
        <f>IF(W673&gt;=AP673-0.01,1,0)</f>
        <v/>
      </c>
      <c r="AX673">
        <f>AQ673*AR673*AS673*AT673*AU673*AV673*AW673</f>
        <v/>
      </c>
      <c r="AY673">
        <f>Assumptions!$B$41</f>
        <v/>
      </c>
      <c r="AZ673">
        <f>Assumptions!$B$33</f>
        <v/>
      </c>
      <c r="BA673">
        <f>Assumptions!$B$32</f>
        <v/>
      </c>
      <c r="BB673">
        <f>Assumptions!$B$31</f>
        <v/>
      </c>
      <c r="BC673">
        <f>Assumptions!$B$30</f>
        <v/>
      </c>
      <c r="BD673">
        <f>Assumptions!$B$29</f>
        <v/>
      </c>
      <c r="BE673">
        <f>Assumptions!$B$28</f>
        <v/>
      </c>
      <c r="BF673">
        <f>P673*Assumptions!$B$141</f>
        <v/>
      </c>
      <c r="BG673">
        <f>P673*Assumptions!$B$128</f>
        <v/>
      </c>
      <c r="BH673">
        <f>P673*Assumptions!$B$129</f>
        <v/>
      </c>
      <c r="BI673">
        <f>P673*Assumptions!$B$14</f>
        <v/>
      </c>
      <c r="BJ673">
        <f>P673*Assumptions!$B$13</f>
        <v/>
      </c>
      <c r="BK673">
        <f>P673*Assumptions!$B$12</f>
        <v/>
      </c>
      <c r="BL673">
        <f>P673*Assumptions!$B$11</f>
        <v/>
      </c>
    </row>
    <row r="674">
      <c r="A674" t="inlineStr">
        <is>
          <t>8000M</t>
        </is>
      </c>
      <c r="B674">
        <f>Assumptions!$B$62</f>
        <v/>
      </c>
      <c r="C674" t="n">
        <v>1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>
        <f>(1-C674)*Assumptions!$B$41+(1-D674)*Assumptions!$B$33+(1-E674)*Assumptions!$B$32+(1-F674)*Assumptions!$B$31+(1-G674)*Assumptions!$B$30+(1-H674)*Assumptions!$B$29+(1-I674)*Assumptions!$B$28</f>
        <v/>
      </c>
      <c r="K674">
        <f>C674*Assumptions!$B$141+D674*Assumptions!$B$128+E674*Assumptions!$B$129+F674*Assumptions!$B$14+G674*Assumptions!$B$13+H674*Assumptions!$B$12+I674*Assumptions!$B$11+Assumptions!$B$133+Assumptions!$B$137+Assumptions!$B$9</f>
        <v/>
      </c>
      <c r="L674">
        <f>B674-J674</f>
        <v/>
      </c>
      <c r="M674">
        <f>IF(K674&gt;0,IF(L674/K674&gt;=Assumptions!$B$37,1,0),0)</f>
        <v/>
      </c>
      <c r="N674">
        <f>K674+M674*Assumptions!$B$153</f>
        <v/>
      </c>
      <c r="O674">
        <f>L674+M674*Assumptions!$B$153*Assumptions!$B$37</f>
        <v/>
      </c>
      <c r="P674">
        <f>IF(N674&gt;0,O674/N674,0)</f>
        <v/>
      </c>
      <c r="Q674">
        <f>IF(C674=1,P674*Assumptions!$B$141,Assumptions!$B$41)</f>
        <v/>
      </c>
      <c r="R674">
        <f>IF(D674=1,P674*Assumptions!$B$128,Assumptions!$B$33)</f>
        <v/>
      </c>
      <c r="S674">
        <f>IF(E674=1,P674*Assumptions!$B$129,Assumptions!$B$32)</f>
        <v/>
      </c>
      <c r="T674">
        <f>IF(F674=1,P674*Assumptions!$B$14,Assumptions!$B$31)</f>
        <v/>
      </c>
      <c r="U674">
        <f>IF(G674=1,P674*Assumptions!$B$13,Assumptions!$B$30)</f>
        <v/>
      </c>
      <c r="V674">
        <f>IF(H674=1,P674*Assumptions!$B$12,Assumptions!$B$29)</f>
        <v/>
      </c>
      <c r="W674">
        <f>IF(I674=1,P674*Assumptions!$B$11,Assumptions!$B$28)</f>
        <v/>
      </c>
      <c r="X674">
        <f>P674*(Assumptions!$B$133+Assumptions!$B$137)</f>
        <v/>
      </c>
      <c r="Y674">
        <f>P674*Assumptions!$B$9</f>
        <v/>
      </c>
      <c r="Z674">
        <f>IF(M674=1,(P674-Assumptions!$B$37)*Assumptions!$B$153,0)</f>
        <v/>
      </c>
      <c r="AA674">
        <f>Q674+R674+S674+T674+U674+V674+W674+X674+Y674+Z674</f>
        <v/>
      </c>
      <c r="AB674" t="n">
        <v>111</v>
      </c>
      <c r="AC674" t="n">
        <v>47</v>
      </c>
      <c r="AD674" t="n">
        <v>79</v>
      </c>
      <c r="AE674" t="n">
        <v>127</v>
      </c>
      <c r="AF674" t="n">
        <v>103</v>
      </c>
      <c r="AG674" t="n">
        <v>107</v>
      </c>
      <c r="AH674" t="n">
        <v>109</v>
      </c>
      <c r="AI674" t="n">
        <v>110</v>
      </c>
      <c r="AJ674">
        <f>INDEX($Q$563:$Q$690,AC674+1)</f>
        <v/>
      </c>
      <c r="AK674">
        <f>INDEX($R$563:$R$690,AD674+1)</f>
        <v/>
      </c>
      <c r="AL674">
        <f>INDEX($S$563:$S$690,AE674+1)</f>
        <v/>
      </c>
      <c r="AM674">
        <f>INDEX($T$563:$T$690,AF674+1)</f>
        <v/>
      </c>
      <c r="AN674">
        <f>INDEX($U$563:$U$690,AG674+1)</f>
        <v/>
      </c>
      <c r="AO674">
        <f>INDEX($V$563:$V$690,AH674+1)</f>
        <v/>
      </c>
      <c r="AP674">
        <f>INDEX($W$563:$W$690,AI674+1)</f>
        <v/>
      </c>
      <c r="AQ674">
        <f>IF(Q674&gt;=AJ674-0.01,1,0)</f>
        <v/>
      </c>
      <c r="AR674">
        <f>IF(R674&gt;=AK674-0.01,1,0)</f>
        <v/>
      </c>
      <c r="AS674">
        <f>IF(S674&gt;=AL674-0.01,1,0)</f>
        <v/>
      </c>
      <c r="AT674">
        <f>IF(T674&gt;=AM674-0.01,1,0)</f>
        <v/>
      </c>
      <c r="AU674">
        <f>IF(U674&gt;=AN674-0.01,1,0)</f>
        <v/>
      </c>
      <c r="AV674">
        <f>IF(V674&gt;=AO674-0.01,1,0)</f>
        <v/>
      </c>
      <c r="AW674">
        <f>IF(W674&gt;=AP674-0.01,1,0)</f>
        <v/>
      </c>
      <c r="AX674">
        <f>AQ674*AR674*AS674*AT674*AU674*AV674*AW674</f>
        <v/>
      </c>
      <c r="AY674">
        <f>Assumptions!$B$41</f>
        <v/>
      </c>
      <c r="AZ674">
        <f>Assumptions!$B$33</f>
        <v/>
      </c>
      <c r="BA674">
        <f>Assumptions!$B$32</f>
        <v/>
      </c>
      <c r="BB674">
        <f>Assumptions!$B$31</f>
        <v/>
      </c>
      <c r="BC674">
        <f>Assumptions!$B$30</f>
        <v/>
      </c>
      <c r="BD674">
        <f>Assumptions!$B$29</f>
        <v/>
      </c>
      <c r="BE674">
        <f>Assumptions!$B$28</f>
        <v/>
      </c>
      <c r="BF674">
        <f>P674*Assumptions!$B$141</f>
        <v/>
      </c>
      <c r="BG674">
        <f>P674*Assumptions!$B$128</f>
        <v/>
      </c>
      <c r="BH674">
        <f>P674*Assumptions!$B$129</f>
        <v/>
      </c>
      <c r="BI674">
        <f>P674*Assumptions!$B$14</f>
        <v/>
      </c>
      <c r="BJ674">
        <f>P674*Assumptions!$B$13</f>
        <v/>
      </c>
      <c r="BK674">
        <f>P674*Assumptions!$B$12</f>
        <v/>
      </c>
      <c r="BL674">
        <f>P674*Assumptions!$B$11</f>
        <v/>
      </c>
    </row>
    <row r="675">
      <c r="A675" t="inlineStr">
        <is>
          <t>8000M</t>
        </is>
      </c>
      <c r="B675">
        <f>Assumptions!$B$62</f>
        <v/>
      </c>
      <c r="C675" t="n">
        <v>1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>
        <f>(1-C675)*Assumptions!$B$41+(1-D675)*Assumptions!$B$33+(1-E675)*Assumptions!$B$32+(1-F675)*Assumptions!$B$31+(1-G675)*Assumptions!$B$30+(1-H675)*Assumptions!$B$29+(1-I675)*Assumptions!$B$28</f>
        <v/>
      </c>
      <c r="K675">
        <f>C675*Assumptions!$B$141+D675*Assumptions!$B$128+E675*Assumptions!$B$129+F675*Assumptions!$B$14+G675*Assumptions!$B$13+H675*Assumptions!$B$12+I675*Assumptions!$B$11+Assumptions!$B$133+Assumptions!$B$137+Assumptions!$B$9</f>
        <v/>
      </c>
      <c r="L675">
        <f>B675-J675</f>
        <v/>
      </c>
      <c r="M675">
        <f>IF(K675&gt;0,IF(L675/K675&gt;=Assumptions!$B$37,1,0),0)</f>
        <v/>
      </c>
      <c r="N675">
        <f>K675+M675*Assumptions!$B$153</f>
        <v/>
      </c>
      <c r="O675">
        <f>L675+M675*Assumptions!$B$153*Assumptions!$B$37</f>
        <v/>
      </c>
      <c r="P675">
        <f>IF(N675&gt;0,O675/N675,0)</f>
        <v/>
      </c>
      <c r="Q675">
        <f>IF(C675=1,P675*Assumptions!$B$141,Assumptions!$B$41)</f>
        <v/>
      </c>
      <c r="R675">
        <f>IF(D675=1,P675*Assumptions!$B$128,Assumptions!$B$33)</f>
        <v/>
      </c>
      <c r="S675">
        <f>IF(E675=1,P675*Assumptions!$B$129,Assumptions!$B$32)</f>
        <v/>
      </c>
      <c r="T675">
        <f>IF(F675=1,P675*Assumptions!$B$14,Assumptions!$B$31)</f>
        <v/>
      </c>
      <c r="U675">
        <f>IF(G675=1,P675*Assumptions!$B$13,Assumptions!$B$30)</f>
        <v/>
      </c>
      <c r="V675">
        <f>IF(H675=1,P675*Assumptions!$B$12,Assumptions!$B$29)</f>
        <v/>
      </c>
      <c r="W675">
        <f>IF(I675=1,P675*Assumptions!$B$11,Assumptions!$B$28)</f>
        <v/>
      </c>
      <c r="X675">
        <f>P675*(Assumptions!$B$133+Assumptions!$B$137)</f>
        <v/>
      </c>
      <c r="Y675">
        <f>P675*Assumptions!$B$9</f>
        <v/>
      </c>
      <c r="Z675">
        <f>IF(M675=1,(P675-Assumptions!$B$37)*Assumptions!$B$153,0)</f>
        <v/>
      </c>
      <c r="AA675">
        <f>Q675+R675+S675+T675+U675+V675+W675+X675+Y675+Z675</f>
        <v/>
      </c>
      <c r="AB675" t="n">
        <v>112</v>
      </c>
      <c r="AC675" t="n">
        <v>48</v>
      </c>
      <c r="AD675" t="n">
        <v>80</v>
      </c>
      <c r="AE675" t="n">
        <v>96</v>
      </c>
      <c r="AF675" t="n">
        <v>120</v>
      </c>
      <c r="AG675" t="n">
        <v>116</v>
      </c>
      <c r="AH675" t="n">
        <v>114</v>
      </c>
      <c r="AI675" t="n">
        <v>113</v>
      </c>
      <c r="AJ675">
        <f>INDEX($Q$563:$Q$690,AC675+1)</f>
        <v/>
      </c>
      <c r="AK675">
        <f>INDEX($R$563:$R$690,AD675+1)</f>
        <v/>
      </c>
      <c r="AL675">
        <f>INDEX($S$563:$S$690,AE675+1)</f>
        <v/>
      </c>
      <c r="AM675">
        <f>INDEX($T$563:$T$690,AF675+1)</f>
        <v/>
      </c>
      <c r="AN675">
        <f>INDEX($U$563:$U$690,AG675+1)</f>
        <v/>
      </c>
      <c r="AO675">
        <f>INDEX($V$563:$V$690,AH675+1)</f>
        <v/>
      </c>
      <c r="AP675">
        <f>INDEX($W$563:$W$690,AI675+1)</f>
        <v/>
      </c>
      <c r="AQ675">
        <f>IF(Q675&gt;=AJ675-0.01,1,0)</f>
        <v/>
      </c>
      <c r="AR675">
        <f>IF(R675&gt;=AK675-0.01,1,0)</f>
        <v/>
      </c>
      <c r="AS675">
        <f>IF(S675&gt;=AL675-0.01,1,0)</f>
        <v/>
      </c>
      <c r="AT675">
        <f>IF(T675&gt;=AM675-0.01,1,0)</f>
        <v/>
      </c>
      <c r="AU675">
        <f>IF(U675&gt;=AN675-0.01,1,0)</f>
        <v/>
      </c>
      <c r="AV675">
        <f>IF(V675&gt;=AO675-0.01,1,0)</f>
        <v/>
      </c>
      <c r="AW675">
        <f>IF(W675&gt;=AP675-0.01,1,0)</f>
        <v/>
      </c>
      <c r="AX675">
        <f>AQ675*AR675*AS675*AT675*AU675*AV675*AW675</f>
        <v/>
      </c>
      <c r="AY675">
        <f>Assumptions!$B$41</f>
        <v/>
      </c>
      <c r="AZ675">
        <f>Assumptions!$B$33</f>
        <v/>
      </c>
      <c r="BA675">
        <f>Assumptions!$B$32</f>
        <v/>
      </c>
      <c r="BB675">
        <f>Assumptions!$B$31</f>
        <v/>
      </c>
      <c r="BC675">
        <f>Assumptions!$B$30</f>
        <v/>
      </c>
      <c r="BD675">
        <f>Assumptions!$B$29</f>
        <v/>
      </c>
      <c r="BE675">
        <f>Assumptions!$B$28</f>
        <v/>
      </c>
      <c r="BF675">
        <f>P675*Assumptions!$B$141</f>
        <v/>
      </c>
      <c r="BG675">
        <f>P675*Assumptions!$B$128</f>
        <v/>
      </c>
      <c r="BH675">
        <f>P675*Assumptions!$B$129</f>
        <v/>
      </c>
      <c r="BI675">
        <f>P675*Assumptions!$B$14</f>
        <v/>
      </c>
      <c r="BJ675">
        <f>P675*Assumptions!$B$13</f>
        <v/>
      </c>
      <c r="BK675">
        <f>P675*Assumptions!$B$12</f>
        <v/>
      </c>
      <c r="BL675">
        <f>P675*Assumptions!$B$11</f>
        <v/>
      </c>
    </row>
    <row r="676">
      <c r="A676" t="inlineStr">
        <is>
          <t>8000M</t>
        </is>
      </c>
      <c r="B676">
        <f>Assumptions!$B$62</f>
        <v/>
      </c>
      <c r="C676" t="n">
        <v>1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>
        <f>(1-C676)*Assumptions!$B$41+(1-D676)*Assumptions!$B$33+(1-E676)*Assumptions!$B$32+(1-F676)*Assumptions!$B$31+(1-G676)*Assumptions!$B$30+(1-H676)*Assumptions!$B$29+(1-I676)*Assumptions!$B$28</f>
        <v/>
      </c>
      <c r="K676">
        <f>C676*Assumptions!$B$141+D676*Assumptions!$B$128+E676*Assumptions!$B$129+F676*Assumptions!$B$14+G676*Assumptions!$B$13+H676*Assumptions!$B$12+I676*Assumptions!$B$11+Assumptions!$B$133+Assumptions!$B$137+Assumptions!$B$9</f>
        <v/>
      </c>
      <c r="L676">
        <f>B676-J676</f>
        <v/>
      </c>
      <c r="M676">
        <f>IF(K676&gt;0,IF(L676/K676&gt;=Assumptions!$B$37,1,0),0)</f>
        <v/>
      </c>
      <c r="N676">
        <f>K676+M676*Assumptions!$B$153</f>
        <v/>
      </c>
      <c r="O676">
        <f>L676+M676*Assumptions!$B$153*Assumptions!$B$37</f>
        <v/>
      </c>
      <c r="P676">
        <f>IF(N676&gt;0,O676/N676,0)</f>
        <v/>
      </c>
      <c r="Q676">
        <f>IF(C676=1,P676*Assumptions!$B$141,Assumptions!$B$41)</f>
        <v/>
      </c>
      <c r="R676">
        <f>IF(D676=1,P676*Assumptions!$B$128,Assumptions!$B$33)</f>
        <v/>
      </c>
      <c r="S676">
        <f>IF(E676=1,P676*Assumptions!$B$129,Assumptions!$B$32)</f>
        <v/>
      </c>
      <c r="T676">
        <f>IF(F676=1,P676*Assumptions!$B$14,Assumptions!$B$31)</f>
        <v/>
      </c>
      <c r="U676">
        <f>IF(G676=1,P676*Assumptions!$B$13,Assumptions!$B$30)</f>
        <v/>
      </c>
      <c r="V676">
        <f>IF(H676=1,P676*Assumptions!$B$12,Assumptions!$B$29)</f>
        <v/>
      </c>
      <c r="W676">
        <f>IF(I676=1,P676*Assumptions!$B$11,Assumptions!$B$28)</f>
        <v/>
      </c>
      <c r="X676">
        <f>P676*(Assumptions!$B$133+Assumptions!$B$137)</f>
        <v/>
      </c>
      <c r="Y676">
        <f>P676*Assumptions!$B$9</f>
        <v/>
      </c>
      <c r="Z676">
        <f>IF(M676=1,(P676-Assumptions!$B$37)*Assumptions!$B$153,0)</f>
        <v/>
      </c>
      <c r="AA676">
        <f>Q676+R676+S676+T676+U676+V676+W676+X676+Y676+Z676</f>
        <v/>
      </c>
      <c r="AB676" t="n">
        <v>113</v>
      </c>
      <c r="AC676" t="n">
        <v>49</v>
      </c>
      <c r="AD676" t="n">
        <v>81</v>
      </c>
      <c r="AE676" t="n">
        <v>97</v>
      </c>
      <c r="AF676" t="n">
        <v>121</v>
      </c>
      <c r="AG676" t="n">
        <v>117</v>
      </c>
      <c r="AH676" t="n">
        <v>115</v>
      </c>
      <c r="AI676" t="n">
        <v>112</v>
      </c>
      <c r="AJ676">
        <f>INDEX($Q$563:$Q$690,AC676+1)</f>
        <v/>
      </c>
      <c r="AK676">
        <f>INDEX($R$563:$R$690,AD676+1)</f>
        <v/>
      </c>
      <c r="AL676">
        <f>INDEX($S$563:$S$690,AE676+1)</f>
        <v/>
      </c>
      <c r="AM676">
        <f>INDEX($T$563:$T$690,AF676+1)</f>
        <v/>
      </c>
      <c r="AN676">
        <f>INDEX($U$563:$U$690,AG676+1)</f>
        <v/>
      </c>
      <c r="AO676">
        <f>INDEX($V$563:$V$690,AH676+1)</f>
        <v/>
      </c>
      <c r="AP676">
        <f>INDEX($W$563:$W$690,AI676+1)</f>
        <v/>
      </c>
      <c r="AQ676">
        <f>IF(Q676&gt;=AJ676-0.01,1,0)</f>
        <v/>
      </c>
      <c r="AR676">
        <f>IF(R676&gt;=AK676-0.01,1,0)</f>
        <v/>
      </c>
      <c r="AS676">
        <f>IF(S676&gt;=AL676-0.01,1,0)</f>
        <v/>
      </c>
      <c r="AT676">
        <f>IF(T676&gt;=AM676-0.01,1,0)</f>
        <v/>
      </c>
      <c r="AU676">
        <f>IF(U676&gt;=AN676-0.01,1,0)</f>
        <v/>
      </c>
      <c r="AV676">
        <f>IF(V676&gt;=AO676-0.01,1,0)</f>
        <v/>
      </c>
      <c r="AW676">
        <f>IF(W676&gt;=AP676-0.01,1,0)</f>
        <v/>
      </c>
      <c r="AX676">
        <f>AQ676*AR676*AS676*AT676*AU676*AV676*AW676</f>
        <v/>
      </c>
      <c r="AY676">
        <f>Assumptions!$B$41</f>
        <v/>
      </c>
      <c r="AZ676">
        <f>Assumptions!$B$33</f>
        <v/>
      </c>
      <c r="BA676">
        <f>Assumptions!$B$32</f>
        <v/>
      </c>
      <c r="BB676">
        <f>Assumptions!$B$31</f>
        <v/>
      </c>
      <c r="BC676">
        <f>Assumptions!$B$30</f>
        <v/>
      </c>
      <c r="BD676">
        <f>Assumptions!$B$29</f>
        <v/>
      </c>
      <c r="BE676">
        <f>Assumptions!$B$28</f>
        <v/>
      </c>
      <c r="BF676">
        <f>P676*Assumptions!$B$141</f>
        <v/>
      </c>
      <c r="BG676">
        <f>P676*Assumptions!$B$128</f>
        <v/>
      </c>
      <c r="BH676">
        <f>P676*Assumptions!$B$129</f>
        <v/>
      </c>
      <c r="BI676">
        <f>P676*Assumptions!$B$14</f>
        <v/>
      </c>
      <c r="BJ676">
        <f>P676*Assumptions!$B$13</f>
        <v/>
      </c>
      <c r="BK676">
        <f>P676*Assumptions!$B$12</f>
        <v/>
      </c>
      <c r="BL676">
        <f>P676*Assumptions!$B$11</f>
        <v/>
      </c>
    </row>
    <row r="677">
      <c r="A677" t="inlineStr">
        <is>
          <t>8000M</t>
        </is>
      </c>
      <c r="B677">
        <f>Assumptions!$B$62</f>
        <v/>
      </c>
      <c r="C677" t="n">
        <v>1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>
        <f>(1-C677)*Assumptions!$B$41+(1-D677)*Assumptions!$B$33+(1-E677)*Assumptions!$B$32+(1-F677)*Assumptions!$B$31+(1-G677)*Assumptions!$B$30+(1-H677)*Assumptions!$B$29+(1-I677)*Assumptions!$B$28</f>
        <v/>
      </c>
      <c r="K677">
        <f>C677*Assumptions!$B$141+D677*Assumptions!$B$128+E677*Assumptions!$B$129+F677*Assumptions!$B$14+G677*Assumptions!$B$13+H677*Assumptions!$B$12+I677*Assumptions!$B$11+Assumptions!$B$133+Assumptions!$B$137+Assumptions!$B$9</f>
        <v/>
      </c>
      <c r="L677">
        <f>B677-J677</f>
        <v/>
      </c>
      <c r="M677">
        <f>IF(K677&gt;0,IF(L677/K677&gt;=Assumptions!$B$37,1,0),0)</f>
        <v/>
      </c>
      <c r="N677">
        <f>K677+M677*Assumptions!$B$153</f>
        <v/>
      </c>
      <c r="O677">
        <f>L677+M677*Assumptions!$B$153*Assumptions!$B$37</f>
        <v/>
      </c>
      <c r="P677">
        <f>IF(N677&gt;0,O677/N677,0)</f>
        <v/>
      </c>
      <c r="Q677">
        <f>IF(C677=1,P677*Assumptions!$B$141,Assumptions!$B$41)</f>
        <v/>
      </c>
      <c r="R677">
        <f>IF(D677=1,P677*Assumptions!$B$128,Assumptions!$B$33)</f>
        <v/>
      </c>
      <c r="S677">
        <f>IF(E677=1,P677*Assumptions!$B$129,Assumptions!$B$32)</f>
        <v/>
      </c>
      <c r="T677">
        <f>IF(F677=1,P677*Assumptions!$B$14,Assumptions!$B$31)</f>
        <v/>
      </c>
      <c r="U677">
        <f>IF(G677=1,P677*Assumptions!$B$13,Assumptions!$B$30)</f>
        <v/>
      </c>
      <c r="V677">
        <f>IF(H677=1,P677*Assumptions!$B$12,Assumptions!$B$29)</f>
        <v/>
      </c>
      <c r="W677">
        <f>IF(I677=1,P677*Assumptions!$B$11,Assumptions!$B$28)</f>
        <v/>
      </c>
      <c r="X677">
        <f>P677*(Assumptions!$B$133+Assumptions!$B$137)</f>
        <v/>
      </c>
      <c r="Y677">
        <f>P677*Assumptions!$B$9</f>
        <v/>
      </c>
      <c r="Z677">
        <f>IF(M677=1,(P677-Assumptions!$B$37)*Assumptions!$B$153,0)</f>
        <v/>
      </c>
      <c r="AA677">
        <f>Q677+R677+S677+T677+U677+V677+W677+X677+Y677+Z677</f>
        <v/>
      </c>
      <c r="AB677" t="n">
        <v>114</v>
      </c>
      <c r="AC677" t="n">
        <v>50</v>
      </c>
      <c r="AD677" t="n">
        <v>82</v>
      </c>
      <c r="AE677" t="n">
        <v>98</v>
      </c>
      <c r="AF677" t="n">
        <v>122</v>
      </c>
      <c r="AG677" t="n">
        <v>118</v>
      </c>
      <c r="AH677" t="n">
        <v>112</v>
      </c>
      <c r="AI677" t="n">
        <v>115</v>
      </c>
      <c r="AJ677">
        <f>INDEX($Q$563:$Q$690,AC677+1)</f>
        <v/>
      </c>
      <c r="AK677">
        <f>INDEX($R$563:$R$690,AD677+1)</f>
        <v/>
      </c>
      <c r="AL677">
        <f>INDEX($S$563:$S$690,AE677+1)</f>
        <v/>
      </c>
      <c r="AM677">
        <f>INDEX($T$563:$T$690,AF677+1)</f>
        <v/>
      </c>
      <c r="AN677">
        <f>INDEX($U$563:$U$690,AG677+1)</f>
        <v/>
      </c>
      <c r="AO677">
        <f>INDEX($V$563:$V$690,AH677+1)</f>
        <v/>
      </c>
      <c r="AP677">
        <f>INDEX($W$563:$W$690,AI677+1)</f>
        <v/>
      </c>
      <c r="AQ677">
        <f>IF(Q677&gt;=AJ677-0.01,1,0)</f>
        <v/>
      </c>
      <c r="AR677">
        <f>IF(R677&gt;=AK677-0.01,1,0)</f>
        <v/>
      </c>
      <c r="AS677">
        <f>IF(S677&gt;=AL677-0.01,1,0)</f>
        <v/>
      </c>
      <c r="AT677">
        <f>IF(T677&gt;=AM677-0.01,1,0)</f>
        <v/>
      </c>
      <c r="AU677">
        <f>IF(U677&gt;=AN677-0.01,1,0)</f>
        <v/>
      </c>
      <c r="AV677">
        <f>IF(V677&gt;=AO677-0.01,1,0)</f>
        <v/>
      </c>
      <c r="AW677">
        <f>IF(W677&gt;=AP677-0.01,1,0)</f>
        <v/>
      </c>
      <c r="AX677">
        <f>AQ677*AR677*AS677*AT677*AU677*AV677*AW677</f>
        <v/>
      </c>
      <c r="AY677">
        <f>Assumptions!$B$41</f>
        <v/>
      </c>
      <c r="AZ677">
        <f>Assumptions!$B$33</f>
        <v/>
      </c>
      <c r="BA677">
        <f>Assumptions!$B$32</f>
        <v/>
      </c>
      <c r="BB677">
        <f>Assumptions!$B$31</f>
        <v/>
      </c>
      <c r="BC677">
        <f>Assumptions!$B$30</f>
        <v/>
      </c>
      <c r="BD677">
        <f>Assumptions!$B$29</f>
        <v/>
      </c>
      <c r="BE677">
        <f>Assumptions!$B$28</f>
        <v/>
      </c>
      <c r="BF677">
        <f>P677*Assumptions!$B$141</f>
        <v/>
      </c>
      <c r="BG677">
        <f>P677*Assumptions!$B$128</f>
        <v/>
      </c>
      <c r="BH677">
        <f>P677*Assumptions!$B$129</f>
        <v/>
      </c>
      <c r="BI677">
        <f>P677*Assumptions!$B$14</f>
        <v/>
      </c>
      <c r="BJ677">
        <f>P677*Assumptions!$B$13</f>
        <v/>
      </c>
      <c r="BK677">
        <f>P677*Assumptions!$B$12</f>
        <v/>
      </c>
      <c r="BL677">
        <f>P677*Assumptions!$B$11</f>
        <v/>
      </c>
    </row>
    <row r="678">
      <c r="A678" t="inlineStr">
        <is>
          <t>8000M</t>
        </is>
      </c>
      <c r="B678">
        <f>Assumptions!$B$62</f>
        <v/>
      </c>
      <c r="C678" t="n">
        <v>1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>
        <f>(1-C678)*Assumptions!$B$41+(1-D678)*Assumptions!$B$33+(1-E678)*Assumptions!$B$32+(1-F678)*Assumptions!$B$31+(1-G678)*Assumptions!$B$30+(1-H678)*Assumptions!$B$29+(1-I678)*Assumptions!$B$28</f>
        <v/>
      </c>
      <c r="K678">
        <f>C678*Assumptions!$B$141+D678*Assumptions!$B$128+E678*Assumptions!$B$129+F678*Assumptions!$B$14+G678*Assumptions!$B$13+H678*Assumptions!$B$12+I678*Assumptions!$B$11+Assumptions!$B$133+Assumptions!$B$137+Assumptions!$B$9</f>
        <v/>
      </c>
      <c r="L678">
        <f>B678-J678</f>
        <v/>
      </c>
      <c r="M678">
        <f>IF(K678&gt;0,IF(L678/K678&gt;=Assumptions!$B$37,1,0),0)</f>
        <v/>
      </c>
      <c r="N678">
        <f>K678+M678*Assumptions!$B$153</f>
        <v/>
      </c>
      <c r="O678">
        <f>L678+M678*Assumptions!$B$153*Assumptions!$B$37</f>
        <v/>
      </c>
      <c r="P678">
        <f>IF(N678&gt;0,O678/N678,0)</f>
        <v/>
      </c>
      <c r="Q678">
        <f>IF(C678=1,P678*Assumptions!$B$141,Assumptions!$B$41)</f>
        <v/>
      </c>
      <c r="R678">
        <f>IF(D678=1,P678*Assumptions!$B$128,Assumptions!$B$33)</f>
        <v/>
      </c>
      <c r="S678">
        <f>IF(E678=1,P678*Assumptions!$B$129,Assumptions!$B$32)</f>
        <v/>
      </c>
      <c r="T678">
        <f>IF(F678=1,P678*Assumptions!$B$14,Assumptions!$B$31)</f>
        <v/>
      </c>
      <c r="U678">
        <f>IF(G678=1,P678*Assumptions!$B$13,Assumptions!$B$30)</f>
        <v/>
      </c>
      <c r="V678">
        <f>IF(H678=1,P678*Assumptions!$B$12,Assumptions!$B$29)</f>
        <v/>
      </c>
      <c r="W678">
        <f>IF(I678=1,P678*Assumptions!$B$11,Assumptions!$B$28)</f>
        <v/>
      </c>
      <c r="X678">
        <f>P678*(Assumptions!$B$133+Assumptions!$B$137)</f>
        <v/>
      </c>
      <c r="Y678">
        <f>P678*Assumptions!$B$9</f>
        <v/>
      </c>
      <c r="Z678">
        <f>IF(M678=1,(P678-Assumptions!$B$37)*Assumptions!$B$153,0)</f>
        <v/>
      </c>
      <c r="AA678">
        <f>Q678+R678+S678+T678+U678+V678+W678+X678+Y678+Z678</f>
        <v/>
      </c>
      <c r="AB678" t="n">
        <v>115</v>
      </c>
      <c r="AC678" t="n">
        <v>51</v>
      </c>
      <c r="AD678" t="n">
        <v>83</v>
      </c>
      <c r="AE678" t="n">
        <v>99</v>
      </c>
      <c r="AF678" t="n">
        <v>123</v>
      </c>
      <c r="AG678" t="n">
        <v>119</v>
      </c>
      <c r="AH678" t="n">
        <v>113</v>
      </c>
      <c r="AI678" t="n">
        <v>114</v>
      </c>
      <c r="AJ678">
        <f>INDEX($Q$563:$Q$690,AC678+1)</f>
        <v/>
      </c>
      <c r="AK678">
        <f>INDEX($R$563:$R$690,AD678+1)</f>
        <v/>
      </c>
      <c r="AL678">
        <f>INDEX($S$563:$S$690,AE678+1)</f>
        <v/>
      </c>
      <c r="AM678">
        <f>INDEX($T$563:$T$690,AF678+1)</f>
        <v/>
      </c>
      <c r="AN678">
        <f>INDEX($U$563:$U$690,AG678+1)</f>
        <v/>
      </c>
      <c r="AO678">
        <f>INDEX($V$563:$V$690,AH678+1)</f>
        <v/>
      </c>
      <c r="AP678">
        <f>INDEX($W$563:$W$690,AI678+1)</f>
        <v/>
      </c>
      <c r="AQ678">
        <f>IF(Q678&gt;=AJ678-0.01,1,0)</f>
        <v/>
      </c>
      <c r="AR678">
        <f>IF(R678&gt;=AK678-0.01,1,0)</f>
        <v/>
      </c>
      <c r="AS678">
        <f>IF(S678&gt;=AL678-0.01,1,0)</f>
        <v/>
      </c>
      <c r="AT678">
        <f>IF(T678&gt;=AM678-0.01,1,0)</f>
        <v/>
      </c>
      <c r="AU678">
        <f>IF(U678&gt;=AN678-0.01,1,0)</f>
        <v/>
      </c>
      <c r="AV678">
        <f>IF(V678&gt;=AO678-0.01,1,0)</f>
        <v/>
      </c>
      <c r="AW678">
        <f>IF(W678&gt;=AP678-0.01,1,0)</f>
        <v/>
      </c>
      <c r="AX678">
        <f>AQ678*AR678*AS678*AT678*AU678*AV678*AW678</f>
        <v/>
      </c>
      <c r="AY678">
        <f>Assumptions!$B$41</f>
        <v/>
      </c>
      <c r="AZ678">
        <f>Assumptions!$B$33</f>
        <v/>
      </c>
      <c r="BA678">
        <f>Assumptions!$B$32</f>
        <v/>
      </c>
      <c r="BB678">
        <f>Assumptions!$B$31</f>
        <v/>
      </c>
      <c r="BC678">
        <f>Assumptions!$B$30</f>
        <v/>
      </c>
      <c r="BD678">
        <f>Assumptions!$B$29</f>
        <v/>
      </c>
      <c r="BE678">
        <f>Assumptions!$B$28</f>
        <v/>
      </c>
      <c r="BF678">
        <f>P678*Assumptions!$B$141</f>
        <v/>
      </c>
      <c r="BG678">
        <f>P678*Assumptions!$B$128</f>
        <v/>
      </c>
      <c r="BH678">
        <f>P678*Assumptions!$B$129</f>
        <v/>
      </c>
      <c r="BI678">
        <f>P678*Assumptions!$B$14</f>
        <v/>
      </c>
      <c r="BJ678">
        <f>P678*Assumptions!$B$13</f>
        <v/>
      </c>
      <c r="BK678">
        <f>P678*Assumptions!$B$12</f>
        <v/>
      </c>
      <c r="BL678">
        <f>P678*Assumptions!$B$11</f>
        <v/>
      </c>
    </row>
    <row r="679">
      <c r="A679" t="inlineStr">
        <is>
          <t>8000M</t>
        </is>
      </c>
      <c r="B679">
        <f>Assumptions!$B$62</f>
        <v/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>
        <f>(1-C679)*Assumptions!$B$41+(1-D679)*Assumptions!$B$33+(1-E679)*Assumptions!$B$32+(1-F679)*Assumptions!$B$31+(1-G679)*Assumptions!$B$30+(1-H679)*Assumptions!$B$29+(1-I679)*Assumptions!$B$28</f>
        <v/>
      </c>
      <c r="K679">
        <f>C679*Assumptions!$B$141+D679*Assumptions!$B$128+E679*Assumptions!$B$129+F679*Assumptions!$B$14+G679*Assumptions!$B$13+H679*Assumptions!$B$12+I679*Assumptions!$B$11+Assumptions!$B$133+Assumptions!$B$137+Assumptions!$B$9</f>
        <v/>
      </c>
      <c r="L679">
        <f>B679-J679</f>
        <v/>
      </c>
      <c r="M679">
        <f>IF(K679&gt;0,IF(L679/K679&gt;=Assumptions!$B$37,1,0),0)</f>
        <v/>
      </c>
      <c r="N679">
        <f>K679+M679*Assumptions!$B$153</f>
        <v/>
      </c>
      <c r="O679">
        <f>L679+M679*Assumptions!$B$153*Assumptions!$B$37</f>
        <v/>
      </c>
      <c r="P679">
        <f>IF(N679&gt;0,O679/N679,0)</f>
        <v/>
      </c>
      <c r="Q679">
        <f>IF(C679=1,P679*Assumptions!$B$141,Assumptions!$B$41)</f>
        <v/>
      </c>
      <c r="R679">
        <f>IF(D679=1,P679*Assumptions!$B$128,Assumptions!$B$33)</f>
        <v/>
      </c>
      <c r="S679">
        <f>IF(E679=1,P679*Assumptions!$B$129,Assumptions!$B$32)</f>
        <v/>
      </c>
      <c r="T679">
        <f>IF(F679=1,P679*Assumptions!$B$14,Assumptions!$B$31)</f>
        <v/>
      </c>
      <c r="U679">
        <f>IF(G679=1,P679*Assumptions!$B$13,Assumptions!$B$30)</f>
        <v/>
      </c>
      <c r="V679">
        <f>IF(H679=1,P679*Assumptions!$B$12,Assumptions!$B$29)</f>
        <v/>
      </c>
      <c r="W679">
        <f>IF(I679=1,P679*Assumptions!$B$11,Assumptions!$B$28)</f>
        <v/>
      </c>
      <c r="X679">
        <f>P679*(Assumptions!$B$133+Assumptions!$B$137)</f>
        <v/>
      </c>
      <c r="Y679">
        <f>P679*Assumptions!$B$9</f>
        <v/>
      </c>
      <c r="Z679">
        <f>IF(M679=1,(P679-Assumptions!$B$37)*Assumptions!$B$153,0)</f>
        <v/>
      </c>
      <c r="AA679">
        <f>Q679+R679+S679+T679+U679+V679+W679+X679+Y679+Z679</f>
        <v/>
      </c>
      <c r="AB679" t="n">
        <v>116</v>
      </c>
      <c r="AC679" t="n">
        <v>52</v>
      </c>
      <c r="AD679" t="n">
        <v>84</v>
      </c>
      <c r="AE679" t="n">
        <v>100</v>
      </c>
      <c r="AF679" t="n">
        <v>124</v>
      </c>
      <c r="AG679" t="n">
        <v>112</v>
      </c>
      <c r="AH679" t="n">
        <v>118</v>
      </c>
      <c r="AI679" t="n">
        <v>117</v>
      </c>
      <c r="AJ679">
        <f>INDEX($Q$563:$Q$690,AC679+1)</f>
        <v/>
      </c>
      <c r="AK679">
        <f>INDEX($R$563:$R$690,AD679+1)</f>
        <v/>
      </c>
      <c r="AL679">
        <f>INDEX($S$563:$S$690,AE679+1)</f>
        <v/>
      </c>
      <c r="AM679">
        <f>INDEX($T$563:$T$690,AF679+1)</f>
        <v/>
      </c>
      <c r="AN679">
        <f>INDEX($U$563:$U$690,AG679+1)</f>
        <v/>
      </c>
      <c r="AO679">
        <f>INDEX($V$563:$V$690,AH679+1)</f>
        <v/>
      </c>
      <c r="AP679">
        <f>INDEX($W$563:$W$690,AI679+1)</f>
        <v/>
      </c>
      <c r="AQ679">
        <f>IF(Q679&gt;=AJ679-0.01,1,0)</f>
        <v/>
      </c>
      <c r="AR679">
        <f>IF(R679&gt;=AK679-0.01,1,0)</f>
        <v/>
      </c>
      <c r="AS679">
        <f>IF(S679&gt;=AL679-0.01,1,0)</f>
        <v/>
      </c>
      <c r="AT679">
        <f>IF(T679&gt;=AM679-0.01,1,0)</f>
        <v/>
      </c>
      <c r="AU679">
        <f>IF(U679&gt;=AN679-0.01,1,0)</f>
        <v/>
      </c>
      <c r="AV679">
        <f>IF(V679&gt;=AO679-0.01,1,0)</f>
        <v/>
      </c>
      <c r="AW679">
        <f>IF(W679&gt;=AP679-0.01,1,0)</f>
        <v/>
      </c>
      <c r="AX679">
        <f>AQ679*AR679*AS679*AT679*AU679*AV679*AW679</f>
        <v/>
      </c>
      <c r="AY679">
        <f>Assumptions!$B$41</f>
        <v/>
      </c>
      <c r="AZ679">
        <f>Assumptions!$B$33</f>
        <v/>
      </c>
      <c r="BA679">
        <f>Assumptions!$B$32</f>
        <v/>
      </c>
      <c r="BB679">
        <f>Assumptions!$B$31</f>
        <v/>
      </c>
      <c r="BC679">
        <f>Assumptions!$B$30</f>
        <v/>
      </c>
      <c r="BD679">
        <f>Assumptions!$B$29</f>
        <v/>
      </c>
      <c r="BE679">
        <f>Assumptions!$B$28</f>
        <v/>
      </c>
      <c r="BF679">
        <f>P679*Assumptions!$B$141</f>
        <v/>
      </c>
      <c r="BG679">
        <f>P679*Assumptions!$B$128</f>
        <v/>
      </c>
      <c r="BH679">
        <f>P679*Assumptions!$B$129</f>
        <v/>
      </c>
      <c r="BI679">
        <f>P679*Assumptions!$B$14</f>
        <v/>
      </c>
      <c r="BJ679">
        <f>P679*Assumptions!$B$13</f>
        <v/>
      </c>
      <c r="BK679">
        <f>P679*Assumptions!$B$12</f>
        <v/>
      </c>
      <c r="BL679">
        <f>P679*Assumptions!$B$11</f>
        <v/>
      </c>
    </row>
    <row r="680">
      <c r="A680" t="inlineStr">
        <is>
          <t>8000M</t>
        </is>
      </c>
      <c r="B680">
        <f>Assumptions!$B$62</f>
        <v/>
      </c>
      <c r="C680" t="n">
        <v>1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n">
        <v>1</v>
      </c>
      <c r="J680">
        <f>(1-C680)*Assumptions!$B$41+(1-D680)*Assumptions!$B$33+(1-E680)*Assumptions!$B$32+(1-F680)*Assumptions!$B$31+(1-G680)*Assumptions!$B$30+(1-H680)*Assumptions!$B$29+(1-I680)*Assumptions!$B$28</f>
        <v/>
      </c>
      <c r="K680">
        <f>C680*Assumptions!$B$141+D680*Assumptions!$B$128+E680*Assumptions!$B$129+F680*Assumptions!$B$14+G680*Assumptions!$B$13+H680*Assumptions!$B$12+I680*Assumptions!$B$11+Assumptions!$B$133+Assumptions!$B$137+Assumptions!$B$9</f>
        <v/>
      </c>
      <c r="L680">
        <f>B680-J680</f>
        <v/>
      </c>
      <c r="M680">
        <f>IF(K680&gt;0,IF(L680/K680&gt;=Assumptions!$B$37,1,0),0)</f>
        <v/>
      </c>
      <c r="N680">
        <f>K680+M680*Assumptions!$B$153</f>
        <v/>
      </c>
      <c r="O680">
        <f>L680+M680*Assumptions!$B$153*Assumptions!$B$37</f>
        <v/>
      </c>
      <c r="P680">
        <f>IF(N680&gt;0,O680/N680,0)</f>
        <v/>
      </c>
      <c r="Q680">
        <f>IF(C680=1,P680*Assumptions!$B$141,Assumptions!$B$41)</f>
        <v/>
      </c>
      <c r="R680">
        <f>IF(D680=1,P680*Assumptions!$B$128,Assumptions!$B$33)</f>
        <v/>
      </c>
      <c r="S680">
        <f>IF(E680=1,P680*Assumptions!$B$129,Assumptions!$B$32)</f>
        <v/>
      </c>
      <c r="T680">
        <f>IF(F680=1,P680*Assumptions!$B$14,Assumptions!$B$31)</f>
        <v/>
      </c>
      <c r="U680">
        <f>IF(G680=1,P680*Assumptions!$B$13,Assumptions!$B$30)</f>
        <v/>
      </c>
      <c r="V680">
        <f>IF(H680=1,P680*Assumptions!$B$12,Assumptions!$B$29)</f>
        <v/>
      </c>
      <c r="W680">
        <f>IF(I680=1,P680*Assumptions!$B$11,Assumptions!$B$28)</f>
        <v/>
      </c>
      <c r="X680">
        <f>P680*(Assumptions!$B$133+Assumptions!$B$137)</f>
        <v/>
      </c>
      <c r="Y680">
        <f>P680*Assumptions!$B$9</f>
        <v/>
      </c>
      <c r="Z680">
        <f>IF(M680=1,(P680-Assumptions!$B$37)*Assumptions!$B$153,0)</f>
        <v/>
      </c>
      <c r="AA680">
        <f>Q680+R680+S680+T680+U680+V680+W680+X680+Y680+Z680</f>
        <v/>
      </c>
      <c r="AB680" t="n">
        <v>117</v>
      </c>
      <c r="AC680" t="n">
        <v>53</v>
      </c>
      <c r="AD680" t="n">
        <v>85</v>
      </c>
      <c r="AE680" t="n">
        <v>101</v>
      </c>
      <c r="AF680" t="n">
        <v>125</v>
      </c>
      <c r="AG680" t="n">
        <v>113</v>
      </c>
      <c r="AH680" t="n">
        <v>119</v>
      </c>
      <c r="AI680" t="n">
        <v>116</v>
      </c>
      <c r="AJ680">
        <f>INDEX($Q$563:$Q$690,AC680+1)</f>
        <v/>
      </c>
      <c r="AK680">
        <f>INDEX($R$563:$R$690,AD680+1)</f>
        <v/>
      </c>
      <c r="AL680">
        <f>INDEX($S$563:$S$690,AE680+1)</f>
        <v/>
      </c>
      <c r="AM680">
        <f>INDEX($T$563:$T$690,AF680+1)</f>
        <v/>
      </c>
      <c r="AN680">
        <f>INDEX($U$563:$U$690,AG680+1)</f>
        <v/>
      </c>
      <c r="AO680">
        <f>INDEX($V$563:$V$690,AH680+1)</f>
        <v/>
      </c>
      <c r="AP680">
        <f>INDEX($W$563:$W$690,AI680+1)</f>
        <v/>
      </c>
      <c r="AQ680">
        <f>IF(Q680&gt;=AJ680-0.01,1,0)</f>
        <v/>
      </c>
      <c r="AR680">
        <f>IF(R680&gt;=AK680-0.01,1,0)</f>
        <v/>
      </c>
      <c r="AS680">
        <f>IF(S680&gt;=AL680-0.01,1,0)</f>
        <v/>
      </c>
      <c r="AT680">
        <f>IF(T680&gt;=AM680-0.01,1,0)</f>
        <v/>
      </c>
      <c r="AU680">
        <f>IF(U680&gt;=AN680-0.01,1,0)</f>
        <v/>
      </c>
      <c r="AV680">
        <f>IF(V680&gt;=AO680-0.01,1,0)</f>
        <v/>
      </c>
      <c r="AW680">
        <f>IF(W680&gt;=AP680-0.01,1,0)</f>
        <v/>
      </c>
      <c r="AX680">
        <f>AQ680*AR680*AS680*AT680*AU680*AV680*AW680</f>
        <v/>
      </c>
      <c r="AY680">
        <f>Assumptions!$B$41</f>
        <v/>
      </c>
      <c r="AZ680">
        <f>Assumptions!$B$33</f>
        <v/>
      </c>
      <c r="BA680">
        <f>Assumptions!$B$32</f>
        <v/>
      </c>
      <c r="BB680">
        <f>Assumptions!$B$31</f>
        <v/>
      </c>
      <c r="BC680">
        <f>Assumptions!$B$30</f>
        <v/>
      </c>
      <c r="BD680">
        <f>Assumptions!$B$29</f>
        <v/>
      </c>
      <c r="BE680">
        <f>Assumptions!$B$28</f>
        <v/>
      </c>
      <c r="BF680">
        <f>P680*Assumptions!$B$141</f>
        <v/>
      </c>
      <c r="BG680">
        <f>P680*Assumptions!$B$128</f>
        <v/>
      </c>
      <c r="BH680">
        <f>P680*Assumptions!$B$129</f>
        <v/>
      </c>
      <c r="BI680">
        <f>P680*Assumptions!$B$14</f>
        <v/>
      </c>
      <c r="BJ680">
        <f>P680*Assumptions!$B$13</f>
        <v/>
      </c>
      <c r="BK680">
        <f>P680*Assumptions!$B$12</f>
        <v/>
      </c>
      <c r="BL680">
        <f>P680*Assumptions!$B$11</f>
        <v/>
      </c>
    </row>
    <row r="681">
      <c r="A681" t="inlineStr">
        <is>
          <t>8000M</t>
        </is>
      </c>
      <c r="B681">
        <f>Assumptions!$B$62</f>
        <v/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0</v>
      </c>
      <c r="J681">
        <f>(1-C681)*Assumptions!$B$41+(1-D681)*Assumptions!$B$33+(1-E681)*Assumptions!$B$32+(1-F681)*Assumptions!$B$31+(1-G681)*Assumptions!$B$30+(1-H681)*Assumptions!$B$29+(1-I681)*Assumptions!$B$28</f>
        <v/>
      </c>
      <c r="K681">
        <f>C681*Assumptions!$B$141+D681*Assumptions!$B$128+E681*Assumptions!$B$129+F681*Assumptions!$B$14+G681*Assumptions!$B$13+H681*Assumptions!$B$12+I681*Assumptions!$B$11+Assumptions!$B$133+Assumptions!$B$137+Assumptions!$B$9</f>
        <v/>
      </c>
      <c r="L681">
        <f>B681-J681</f>
        <v/>
      </c>
      <c r="M681">
        <f>IF(K681&gt;0,IF(L681/K681&gt;=Assumptions!$B$37,1,0),0)</f>
        <v/>
      </c>
      <c r="N681">
        <f>K681+M681*Assumptions!$B$153</f>
        <v/>
      </c>
      <c r="O681">
        <f>L681+M681*Assumptions!$B$153*Assumptions!$B$37</f>
        <v/>
      </c>
      <c r="P681">
        <f>IF(N681&gt;0,O681/N681,0)</f>
        <v/>
      </c>
      <c r="Q681">
        <f>IF(C681=1,P681*Assumptions!$B$141,Assumptions!$B$41)</f>
        <v/>
      </c>
      <c r="R681">
        <f>IF(D681=1,P681*Assumptions!$B$128,Assumptions!$B$33)</f>
        <v/>
      </c>
      <c r="S681">
        <f>IF(E681=1,P681*Assumptions!$B$129,Assumptions!$B$32)</f>
        <v/>
      </c>
      <c r="T681">
        <f>IF(F681=1,P681*Assumptions!$B$14,Assumptions!$B$31)</f>
        <v/>
      </c>
      <c r="U681">
        <f>IF(G681=1,P681*Assumptions!$B$13,Assumptions!$B$30)</f>
        <v/>
      </c>
      <c r="V681">
        <f>IF(H681=1,P681*Assumptions!$B$12,Assumptions!$B$29)</f>
        <v/>
      </c>
      <c r="W681">
        <f>IF(I681=1,P681*Assumptions!$B$11,Assumptions!$B$28)</f>
        <v/>
      </c>
      <c r="X681">
        <f>P681*(Assumptions!$B$133+Assumptions!$B$137)</f>
        <v/>
      </c>
      <c r="Y681">
        <f>P681*Assumptions!$B$9</f>
        <v/>
      </c>
      <c r="Z681">
        <f>IF(M681=1,(P681-Assumptions!$B$37)*Assumptions!$B$153,0)</f>
        <v/>
      </c>
      <c r="AA681">
        <f>Q681+R681+S681+T681+U681+V681+W681+X681+Y681+Z681</f>
        <v/>
      </c>
      <c r="AB681" t="n">
        <v>118</v>
      </c>
      <c r="AC681" t="n">
        <v>54</v>
      </c>
      <c r="AD681" t="n">
        <v>86</v>
      </c>
      <c r="AE681" t="n">
        <v>102</v>
      </c>
      <c r="AF681" t="n">
        <v>126</v>
      </c>
      <c r="AG681" t="n">
        <v>114</v>
      </c>
      <c r="AH681" t="n">
        <v>116</v>
      </c>
      <c r="AI681" t="n">
        <v>119</v>
      </c>
      <c r="AJ681">
        <f>INDEX($Q$563:$Q$690,AC681+1)</f>
        <v/>
      </c>
      <c r="AK681">
        <f>INDEX($R$563:$R$690,AD681+1)</f>
        <v/>
      </c>
      <c r="AL681">
        <f>INDEX($S$563:$S$690,AE681+1)</f>
        <v/>
      </c>
      <c r="AM681">
        <f>INDEX($T$563:$T$690,AF681+1)</f>
        <v/>
      </c>
      <c r="AN681">
        <f>INDEX($U$563:$U$690,AG681+1)</f>
        <v/>
      </c>
      <c r="AO681">
        <f>INDEX($V$563:$V$690,AH681+1)</f>
        <v/>
      </c>
      <c r="AP681">
        <f>INDEX($W$563:$W$690,AI681+1)</f>
        <v/>
      </c>
      <c r="AQ681">
        <f>IF(Q681&gt;=AJ681-0.01,1,0)</f>
        <v/>
      </c>
      <c r="AR681">
        <f>IF(R681&gt;=AK681-0.01,1,0)</f>
        <v/>
      </c>
      <c r="AS681">
        <f>IF(S681&gt;=AL681-0.01,1,0)</f>
        <v/>
      </c>
      <c r="AT681">
        <f>IF(T681&gt;=AM681-0.01,1,0)</f>
        <v/>
      </c>
      <c r="AU681">
        <f>IF(U681&gt;=AN681-0.01,1,0)</f>
        <v/>
      </c>
      <c r="AV681">
        <f>IF(V681&gt;=AO681-0.01,1,0)</f>
        <v/>
      </c>
      <c r="AW681">
        <f>IF(W681&gt;=AP681-0.01,1,0)</f>
        <v/>
      </c>
      <c r="AX681">
        <f>AQ681*AR681*AS681*AT681*AU681*AV681*AW681</f>
        <v/>
      </c>
      <c r="AY681">
        <f>Assumptions!$B$41</f>
        <v/>
      </c>
      <c r="AZ681">
        <f>Assumptions!$B$33</f>
        <v/>
      </c>
      <c r="BA681">
        <f>Assumptions!$B$32</f>
        <v/>
      </c>
      <c r="BB681">
        <f>Assumptions!$B$31</f>
        <v/>
      </c>
      <c r="BC681">
        <f>Assumptions!$B$30</f>
        <v/>
      </c>
      <c r="BD681">
        <f>Assumptions!$B$29</f>
        <v/>
      </c>
      <c r="BE681">
        <f>Assumptions!$B$28</f>
        <v/>
      </c>
      <c r="BF681">
        <f>P681*Assumptions!$B$141</f>
        <v/>
      </c>
      <c r="BG681">
        <f>P681*Assumptions!$B$128</f>
        <v/>
      </c>
      <c r="BH681">
        <f>P681*Assumptions!$B$129</f>
        <v/>
      </c>
      <c r="BI681">
        <f>P681*Assumptions!$B$14</f>
        <v/>
      </c>
      <c r="BJ681">
        <f>P681*Assumptions!$B$13</f>
        <v/>
      </c>
      <c r="BK681">
        <f>P681*Assumptions!$B$12</f>
        <v/>
      </c>
      <c r="BL681">
        <f>P681*Assumptions!$B$11</f>
        <v/>
      </c>
    </row>
    <row r="682">
      <c r="A682" t="inlineStr">
        <is>
          <t>8000M</t>
        </is>
      </c>
      <c r="B682">
        <f>Assumptions!$B$62</f>
        <v/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>
        <f>(1-C682)*Assumptions!$B$41+(1-D682)*Assumptions!$B$33+(1-E682)*Assumptions!$B$32+(1-F682)*Assumptions!$B$31+(1-G682)*Assumptions!$B$30+(1-H682)*Assumptions!$B$29+(1-I682)*Assumptions!$B$28</f>
        <v/>
      </c>
      <c r="K682">
        <f>C682*Assumptions!$B$141+D682*Assumptions!$B$128+E682*Assumptions!$B$129+F682*Assumptions!$B$14+G682*Assumptions!$B$13+H682*Assumptions!$B$12+I682*Assumptions!$B$11+Assumptions!$B$133+Assumptions!$B$137+Assumptions!$B$9</f>
        <v/>
      </c>
      <c r="L682">
        <f>B682-J682</f>
        <v/>
      </c>
      <c r="M682">
        <f>IF(K682&gt;0,IF(L682/K682&gt;=Assumptions!$B$37,1,0),0)</f>
        <v/>
      </c>
      <c r="N682">
        <f>K682+M682*Assumptions!$B$153</f>
        <v/>
      </c>
      <c r="O682">
        <f>L682+M682*Assumptions!$B$153*Assumptions!$B$37</f>
        <v/>
      </c>
      <c r="P682">
        <f>IF(N682&gt;0,O682/N682,0)</f>
        <v/>
      </c>
      <c r="Q682">
        <f>IF(C682=1,P682*Assumptions!$B$141,Assumptions!$B$41)</f>
        <v/>
      </c>
      <c r="R682">
        <f>IF(D682=1,P682*Assumptions!$B$128,Assumptions!$B$33)</f>
        <v/>
      </c>
      <c r="S682">
        <f>IF(E682=1,P682*Assumptions!$B$129,Assumptions!$B$32)</f>
        <v/>
      </c>
      <c r="T682">
        <f>IF(F682=1,P682*Assumptions!$B$14,Assumptions!$B$31)</f>
        <v/>
      </c>
      <c r="U682">
        <f>IF(G682=1,P682*Assumptions!$B$13,Assumptions!$B$30)</f>
        <v/>
      </c>
      <c r="V682">
        <f>IF(H682=1,P682*Assumptions!$B$12,Assumptions!$B$29)</f>
        <v/>
      </c>
      <c r="W682">
        <f>IF(I682=1,P682*Assumptions!$B$11,Assumptions!$B$28)</f>
        <v/>
      </c>
      <c r="X682">
        <f>P682*(Assumptions!$B$133+Assumptions!$B$137)</f>
        <v/>
      </c>
      <c r="Y682">
        <f>P682*Assumptions!$B$9</f>
        <v/>
      </c>
      <c r="Z682">
        <f>IF(M682=1,(P682-Assumptions!$B$37)*Assumptions!$B$153,0)</f>
        <v/>
      </c>
      <c r="AA682">
        <f>Q682+R682+S682+T682+U682+V682+W682+X682+Y682+Z682</f>
        <v/>
      </c>
      <c r="AB682" t="n">
        <v>119</v>
      </c>
      <c r="AC682" t="n">
        <v>55</v>
      </c>
      <c r="AD682" t="n">
        <v>87</v>
      </c>
      <c r="AE682" t="n">
        <v>103</v>
      </c>
      <c r="AF682" t="n">
        <v>127</v>
      </c>
      <c r="AG682" t="n">
        <v>115</v>
      </c>
      <c r="AH682" t="n">
        <v>117</v>
      </c>
      <c r="AI682" t="n">
        <v>118</v>
      </c>
      <c r="AJ682">
        <f>INDEX($Q$563:$Q$690,AC682+1)</f>
        <v/>
      </c>
      <c r="AK682">
        <f>INDEX($R$563:$R$690,AD682+1)</f>
        <v/>
      </c>
      <c r="AL682">
        <f>INDEX($S$563:$S$690,AE682+1)</f>
        <v/>
      </c>
      <c r="AM682">
        <f>INDEX($T$563:$T$690,AF682+1)</f>
        <v/>
      </c>
      <c r="AN682">
        <f>INDEX($U$563:$U$690,AG682+1)</f>
        <v/>
      </c>
      <c r="AO682">
        <f>INDEX($V$563:$V$690,AH682+1)</f>
        <v/>
      </c>
      <c r="AP682">
        <f>INDEX($W$563:$W$690,AI682+1)</f>
        <v/>
      </c>
      <c r="AQ682">
        <f>IF(Q682&gt;=AJ682-0.01,1,0)</f>
        <v/>
      </c>
      <c r="AR682">
        <f>IF(R682&gt;=AK682-0.01,1,0)</f>
        <v/>
      </c>
      <c r="AS682">
        <f>IF(S682&gt;=AL682-0.01,1,0)</f>
        <v/>
      </c>
      <c r="AT682">
        <f>IF(T682&gt;=AM682-0.01,1,0)</f>
        <v/>
      </c>
      <c r="AU682">
        <f>IF(U682&gt;=AN682-0.01,1,0)</f>
        <v/>
      </c>
      <c r="AV682">
        <f>IF(V682&gt;=AO682-0.01,1,0)</f>
        <v/>
      </c>
      <c r="AW682">
        <f>IF(W682&gt;=AP682-0.01,1,0)</f>
        <v/>
      </c>
      <c r="AX682">
        <f>AQ682*AR682*AS682*AT682*AU682*AV682*AW682</f>
        <v/>
      </c>
      <c r="AY682">
        <f>Assumptions!$B$41</f>
        <v/>
      </c>
      <c r="AZ682">
        <f>Assumptions!$B$33</f>
        <v/>
      </c>
      <c r="BA682">
        <f>Assumptions!$B$32</f>
        <v/>
      </c>
      <c r="BB682">
        <f>Assumptions!$B$31</f>
        <v/>
      </c>
      <c r="BC682">
        <f>Assumptions!$B$30</f>
        <v/>
      </c>
      <c r="BD682">
        <f>Assumptions!$B$29</f>
        <v/>
      </c>
      <c r="BE682">
        <f>Assumptions!$B$28</f>
        <v/>
      </c>
      <c r="BF682">
        <f>P682*Assumptions!$B$141</f>
        <v/>
      </c>
      <c r="BG682">
        <f>P682*Assumptions!$B$128</f>
        <v/>
      </c>
      <c r="BH682">
        <f>P682*Assumptions!$B$129</f>
        <v/>
      </c>
      <c r="BI682">
        <f>P682*Assumptions!$B$14</f>
        <v/>
      </c>
      <c r="BJ682">
        <f>P682*Assumptions!$B$13</f>
        <v/>
      </c>
      <c r="BK682">
        <f>P682*Assumptions!$B$12</f>
        <v/>
      </c>
      <c r="BL682">
        <f>P682*Assumptions!$B$11</f>
        <v/>
      </c>
    </row>
    <row r="683">
      <c r="A683" t="inlineStr">
        <is>
          <t>8000M</t>
        </is>
      </c>
      <c r="B683">
        <f>Assumptions!$B$62</f>
        <v/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>
        <f>(1-C683)*Assumptions!$B$41+(1-D683)*Assumptions!$B$33+(1-E683)*Assumptions!$B$32+(1-F683)*Assumptions!$B$31+(1-G683)*Assumptions!$B$30+(1-H683)*Assumptions!$B$29+(1-I683)*Assumptions!$B$28</f>
        <v/>
      </c>
      <c r="K683">
        <f>C683*Assumptions!$B$141+D683*Assumptions!$B$128+E683*Assumptions!$B$129+F683*Assumptions!$B$14+G683*Assumptions!$B$13+H683*Assumptions!$B$12+I683*Assumptions!$B$11+Assumptions!$B$133+Assumptions!$B$137+Assumptions!$B$9</f>
        <v/>
      </c>
      <c r="L683">
        <f>B683-J683</f>
        <v/>
      </c>
      <c r="M683">
        <f>IF(K683&gt;0,IF(L683/K683&gt;=Assumptions!$B$37,1,0),0)</f>
        <v/>
      </c>
      <c r="N683">
        <f>K683+M683*Assumptions!$B$153</f>
        <v/>
      </c>
      <c r="O683">
        <f>L683+M683*Assumptions!$B$153*Assumptions!$B$37</f>
        <v/>
      </c>
      <c r="P683">
        <f>IF(N683&gt;0,O683/N683,0)</f>
        <v/>
      </c>
      <c r="Q683">
        <f>IF(C683=1,P683*Assumptions!$B$141,Assumptions!$B$41)</f>
        <v/>
      </c>
      <c r="R683">
        <f>IF(D683=1,P683*Assumptions!$B$128,Assumptions!$B$33)</f>
        <v/>
      </c>
      <c r="S683">
        <f>IF(E683=1,P683*Assumptions!$B$129,Assumptions!$B$32)</f>
        <v/>
      </c>
      <c r="T683">
        <f>IF(F683=1,P683*Assumptions!$B$14,Assumptions!$B$31)</f>
        <v/>
      </c>
      <c r="U683">
        <f>IF(G683=1,P683*Assumptions!$B$13,Assumptions!$B$30)</f>
        <v/>
      </c>
      <c r="V683">
        <f>IF(H683=1,P683*Assumptions!$B$12,Assumptions!$B$29)</f>
        <v/>
      </c>
      <c r="W683">
        <f>IF(I683=1,P683*Assumptions!$B$11,Assumptions!$B$28)</f>
        <v/>
      </c>
      <c r="X683">
        <f>P683*(Assumptions!$B$133+Assumptions!$B$137)</f>
        <v/>
      </c>
      <c r="Y683">
        <f>P683*Assumptions!$B$9</f>
        <v/>
      </c>
      <c r="Z683">
        <f>IF(M683=1,(P683-Assumptions!$B$37)*Assumptions!$B$153,0)</f>
        <v/>
      </c>
      <c r="AA683">
        <f>Q683+R683+S683+T683+U683+V683+W683+X683+Y683+Z683</f>
        <v/>
      </c>
      <c r="AB683" t="n">
        <v>120</v>
      </c>
      <c r="AC683" t="n">
        <v>56</v>
      </c>
      <c r="AD683" t="n">
        <v>88</v>
      </c>
      <c r="AE683" t="n">
        <v>104</v>
      </c>
      <c r="AF683" t="n">
        <v>112</v>
      </c>
      <c r="AG683" t="n">
        <v>124</v>
      </c>
      <c r="AH683" t="n">
        <v>122</v>
      </c>
      <c r="AI683" t="n">
        <v>121</v>
      </c>
      <c r="AJ683">
        <f>INDEX($Q$563:$Q$690,AC683+1)</f>
        <v/>
      </c>
      <c r="AK683">
        <f>INDEX($R$563:$R$690,AD683+1)</f>
        <v/>
      </c>
      <c r="AL683">
        <f>INDEX($S$563:$S$690,AE683+1)</f>
        <v/>
      </c>
      <c r="AM683">
        <f>INDEX($T$563:$T$690,AF683+1)</f>
        <v/>
      </c>
      <c r="AN683">
        <f>INDEX($U$563:$U$690,AG683+1)</f>
        <v/>
      </c>
      <c r="AO683">
        <f>INDEX($V$563:$V$690,AH683+1)</f>
        <v/>
      </c>
      <c r="AP683">
        <f>INDEX($W$563:$W$690,AI683+1)</f>
        <v/>
      </c>
      <c r="AQ683">
        <f>IF(Q683&gt;=AJ683-0.01,1,0)</f>
        <v/>
      </c>
      <c r="AR683">
        <f>IF(R683&gt;=AK683-0.01,1,0)</f>
        <v/>
      </c>
      <c r="AS683">
        <f>IF(S683&gt;=AL683-0.01,1,0)</f>
        <v/>
      </c>
      <c r="AT683">
        <f>IF(T683&gt;=AM683-0.01,1,0)</f>
        <v/>
      </c>
      <c r="AU683">
        <f>IF(U683&gt;=AN683-0.01,1,0)</f>
        <v/>
      </c>
      <c r="AV683">
        <f>IF(V683&gt;=AO683-0.01,1,0)</f>
        <v/>
      </c>
      <c r="AW683">
        <f>IF(W683&gt;=AP683-0.01,1,0)</f>
        <v/>
      </c>
      <c r="AX683">
        <f>AQ683*AR683*AS683*AT683*AU683*AV683*AW683</f>
        <v/>
      </c>
      <c r="AY683">
        <f>Assumptions!$B$41</f>
        <v/>
      </c>
      <c r="AZ683">
        <f>Assumptions!$B$33</f>
        <v/>
      </c>
      <c r="BA683">
        <f>Assumptions!$B$32</f>
        <v/>
      </c>
      <c r="BB683">
        <f>Assumptions!$B$31</f>
        <v/>
      </c>
      <c r="BC683">
        <f>Assumptions!$B$30</f>
        <v/>
      </c>
      <c r="BD683">
        <f>Assumptions!$B$29</f>
        <v/>
      </c>
      <c r="BE683">
        <f>Assumptions!$B$28</f>
        <v/>
      </c>
      <c r="BF683">
        <f>P683*Assumptions!$B$141</f>
        <v/>
      </c>
      <c r="BG683">
        <f>P683*Assumptions!$B$128</f>
        <v/>
      </c>
      <c r="BH683">
        <f>P683*Assumptions!$B$129</f>
        <v/>
      </c>
      <c r="BI683">
        <f>P683*Assumptions!$B$14</f>
        <v/>
      </c>
      <c r="BJ683">
        <f>P683*Assumptions!$B$13</f>
        <v/>
      </c>
      <c r="BK683">
        <f>P683*Assumptions!$B$12</f>
        <v/>
      </c>
      <c r="BL683">
        <f>P683*Assumptions!$B$11</f>
        <v/>
      </c>
    </row>
    <row r="684">
      <c r="A684" t="inlineStr">
        <is>
          <t>8000M</t>
        </is>
      </c>
      <c r="B684">
        <f>Assumptions!$B$62</f>
        <v/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>
        <f>(1-C684)*Assumptions!$B$41+(1-D684)*Assumptions!$B$33+(1-E684)*Assumptions!$B$32+(1-F684)*Assumptions!$B$31+(1-G684)*Assumptions!$B$30+(1-H684)*Assumptions!$B$29+(1-I684)*Assumptions!$B$28</f>
        <v/>
      </c>
      <c r="K684">
        <f>C684*Assumptions!$B$141+D684*Assumptions!$B$128+E684*Assumptions!$B$129+F684*Assumptions!$B$14+G684*Assumptions!$B$13+H684*Assumptions!$B$12+I684*Assumptions!$B$11+Assumptions!$B$133+Assumptions!$B$137+Assumptions!$B$9</f>
        <v/>
      </c>
      <c r="L684">
        <f>B684-J684</f>
        <v/>
      </c>
      <c r="M684">
        <f>IF(K684&gt;0,IF(L684/K684&gt;=Assumptions!$B$37,1,0),0)</f>
        <v/>
      </c>
      <c r="N684">
        <f>K684+M684*Assumptions!$B$153</f>
        <v/>
      </c>
      <c r="O684">
        <f>L684+M684*Assumptions!$B$153*Assumptions!$B$37</f>
        <v/>
      </c>
      <c r="P684">
        <f>IF(N684&gt;0,O684/N684,0)</f>
        <v/>
      </c>
      <c r="Q684">
        <f>IF(C684=1,P684*Assumptions!$B$141,Assumptions!$B$41)</f>
        <v/>
      </c>
      <c r="R684">
        <f>IF(D684=1,P684*Assumptions!$B$128,Assumptions!$B$33)</f>
        <v/>
      </c>
      <c r="S684">
        <f>IF(E684=1,P684*Assumptions!$B$129,Assumptions!$B$32)</f>
        <v/>
      </c>
      <c r="T684">
        <f>IF(F684=1,P684*Assumptions!$B$14,Assumptions!$B$31)</f>
        <v/>
      </c>
      <c r="U684">
        <f>IF(G684=1,P684*Assumptions!$B$13,Assumptions!$B$30)</f>
        <v/>
      </c>
      <c r="V684">
        <f>IF(H684=1,P684*Assumptions!$B$12,Assumptions!$B$29)</f>
        <v/>
      </c>
      <c r="W684">
        <f>IF(I684=1,P684*Assumptions!$B$11,Assumptions!$B$28)</f>
        <v/>
      </c>
      <c r="X684">
        <f>P684*(Assumptions!$B$133+Assumptions!$B$137)</f>
        <v/>
      </c>
      <c r="Y684">
        <f>P684*Assumptions!$B$9</f>
        <v/>
      </c>
      <c r="Z684">
        <f>IF(M684=1,(P684-Assumptions!$B$37)*Assumptions!$B$153,0)</f>
        <v/>
      </c>
      <c r="AA684">
        <f>Q684+R684+S684+T684+U684+V684+W684+X684+Y684+Z684</f>
        <v/>
      </c>
      <c r="AB684" t="n">
        <v>121</v>
      </c>
      <c r="AC684" t="n">
        <v>57</v>
      </c>
      <c r="AD684" t="n">
        <v>89</v>
      </c>
      <c r="AE684" t="n">
        <v>105</v>
      </c>
      <c r="AF684" t="n">
        <v>113</v>
      </c>
      <c r="AG684" t="n">
        <v>125</v>
      </c>
      <c r="AH684" t="n">
        <v>123</v>
      </c>
      <c r="AI684" t="n">
        <v>120</v>
      </c>
      <c r="AJ684">
        <f>INDEX($Q$563:$Q$690,AC684+1)</f>
        <v/>
      </c>
      <c r="AK684">
        <f>INDEX($R$563:$R$690,AD684+1)</f>
        <v/>
      </c>
      <c r="AL684">
        <f>INDEX($S$563:$S$690,AE684+1)</f>
        <v/>
      </c>
      <c r="AM684">
        <f>INDEX($T$563:$T$690,AF684+1)</f>
        <v/>
      </c>
      <c r="AN684">
        <f>INDEX($U$563:$U$690,AG684+1)</f>
        <v/>
      </c>
      <c r="AO684">
        <f>INDEX($V$563:$V$690,AH684+1)</f>
        <v/>
      </c>
      <c r="AP684">
        <f>INDEX($W$563:$W$690,AI684+1)</f>
        <v/>
      </c>
      <c r="AQ684">
        <f>IF(Q684&gt;=AJ684-0.01,1,0)</f>
        <v/>
      </c>
      <c r="AR684">
        <f>IF(R684&gt;=AK684-0.01,1,0)</f>
        <v/>
      </c>
      <c r="AS684">
        <f>IF(S684&gt;=AL684-0.01,1,0)</f>
        <v/>
      </c>
      <c r="AT684">
        <f>IF(T684&gt;=AM684-0.01,1,0)</f>
        <v/>
      </c>
      <c r="AU684">
        <f>IF(U684&gt;=AN684-0.01,1,0)</f>
        <v/>
      </c>
      <c r="AV684">
        <f>IF(V684&gt;=AO684-0.01,1,0)</f>
        <v/>
      </c>
      <c r="AW684">
        <f>IF(W684&gt;=AP684-0.01,1,0)</f>
        <v/>
      </c>
      <c r="AX684">
        <f>AQ684*AR684*AS684*AT684*AU684*AV684*AW684</f>
        <v/>
      </c>
      <c r="AY684">
        <f>Assumptions!$B$41</f>
        <v/>
      </c>
      <c r="AZ684">
        <f>Assumptions!$B$33</f>
        <v/>
      </c>
      <c r="BA684">
        <f>Assumptions!$B$32</f>
        <v/>
      </c>
      <c r="BB684">
        <f>Assumptions!$B$31</f>
        <v/>
      </c>
      <c r="BC684">
        <f>Assumptions!$B$30</f>
        <v/>
      </c>
      <c r="BD684">
        <f>Assumptions!$B$29</f>
        <v/>
      </c>
      <c r="BE684">
        <f>Assumptions!$B$28</f>
        <v/>
      </c>
      <c r="BF684">
        <f>P684*Assumptions!$B$141</f>
        <v/>
      </c>
      <c r="BG684">
        <f>P684*Assumptions!$B$128</f>
        <v/>
      </c>
      <c r="BH684">
        <f>P684*Assumptions!$B$129</f>
        <v/>
      </c>
      <c r="BI684">
        <f>P684*Assumptions!$B$14</f>
        <v/>
      </c>
      <c r="BJ684">
        <f>P684*Assumptions!$B$13</f>
        <v/>
      </c>
      <c r="BK684">
        <f>P684*Assumptions!$B$12</f>
        <v/>
      </c>
      <c r="BL684">
        <f>P684*Assumptions!$B$11</f>
        <v/>
      </c>
    </row>
    <row r="685">
      <c r="A685" t="inlineStr">
        <is>
          <t>8000M</t>
        </is>
      </c>
      <c r="B685">
        <f>Assumptions!$B$62</f>
        <v/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>
        <f>(1-C685)*Assumptions!$B$41+(1-D685)*Assumptions!$B$33+(1-E685)*Assumptions!$B$32+(1-F685)*Assumptions!$B$31+(1-G685)*Assumptions!$B$30+(1-H685)*Assumptions!$B$29+(1-I685)*Assumptions!$B$28</f>
        <v/>
      </c>
      <c r="K685">
        <f>C685*Assumptions!$B$141+D685*Assumptions!$B$128+E685*Assumptions!$B$129+F685*Assumptions!$B$14+G685*Assumptions!$B$13+H685*Assumptions!$B$12+I685*Assumptions!$B$11+Assumptions!$B$133+Assumptions!$B$137+Assumptions!$B$9</f>
        <v/>
      </c>
      <c r="L685">
        <f>B685-J685</f>
        <v/>
      </c>
      <c r="M685">
        <f>IF(K685&gt;0,IF(L685/K685&gt;=Assumptions!$B$37,1,0),0)</f>
        <v/>
      </c>
      <c r="N685">
        <f>K685+M685*Assumptions!$B$153</f>
        <v/>
      </c>
      <c r="O685">
        <f>L685+M685*Assumptions!$B$153*Assumptions!$B$37</f>
        <v/>
      </c>
      <c r="P685">
        <f>IF(N685&gt;0,O685/N685,0)</f>
        <v/>
      </c>
      <c r="Q685">
        <f>IF(C685=1,P685*Assumptions!$B$141,Assumptions!$B$41)</f>
        <v/>
      </c>
      <c r="R685">
        <f>IF(D685=1,P685*Assumptions!$B$128,Assumptions!$B$33)</f>
        <v/>
      </c>
      <c r="S685">
        <f>IF(E685=1,P685*Assumptions!$B$129,Assumptions!$B$32)</f>
        <v/>
      </c>
      <c r="T685">
        <f>IF(F685=1,P685*Assumptions!$B$14,Assumptions!$B$31)</f>
        <v/>
      </c>
      <c r="U685">
        <f>IF(G685=1,P685*Assumptions!$B$13,Assumptions!$B$30)</f>
        <v/>
      </c>
      <c r="V685">
        <f>IF(H685=1,P685*Assumptions!$B$12,Assumptions!$B$29)</f>
        <v/>
      </c>
      <c r="W685">
        <f>IF(I685=1,P685*Assumptions!$B$11,Assumptions!$B$28)</f>
        <v/>
      </c>
      <c r="X685">
        <f>P685*(Assumptions!$B$133+Assumptions!$B$137)</f>
        <v/>
      </c>
      <c r="Y685">
        <f>P685*Assumptions!$B$9</f>
        <v/>
      </c>
      <c r="Z685">
        <f>IF(M685=1,(P685-Assumptions!$B$37)*Assumptions!$B$153,0)</f>
        <v/>
      </c>
      <c r="AA685">
        <f>Q685+R685+S685+T685+U685+V685+W685+X685+Y685+Z685</f>
        <v/>
      </c>
      <c r="AB685" t="n">
        <v>122</v>
      </c>
      <c r="AC685" t="n">
        <v>58</v>
      </c>
      <c r="AD685" t="n">
        <v>90</v>
      </c>
      <c r="AE685" t="n">
        <v>106</v>
      </c>
      <c r="AF685" t="n">
        <v>114</v>
      </c>
      <c r="AG685" t="n">
        <v>126</v>
      </c>
      <c r="AH685" t="n">
        <v>120</v>
      </c>
      <c r="AI685" t="n">
        <v>123</v>
      </c>
      <c r="AJ685">
        <f>INDEX($Q$563:$Q$690,AC685+1)</f>
        <v/>
      </c>
      <c r="AK685">
        <f>INDEX($R$563:$R$690,AD685+1)</f>
        <v/>
      </c>
      <c r="AL685">
        <f>INDEX($S$563:$S$690,AE685+1)</f>
        <v/>
      </c>
      <c r="AM685">
        <f>INDEX($T$563:$T$690,AF685+1)</f>
        <v/>
      </c>
      <c r="AN685">
        <f>INDEX($U$563:$U$690,AG685+1)</f>
        <v/>
      </c>
      <c r="AO685">
        <f>INDEX($V$563:$V$690,AH685+1)</f>
        <v/>
      </c>
      <c r="AP685">
        <f>INDEX($W$563:$W$690,AI685+1)</f>
        <v/>
      </c>
      <c r="AQ685">
        <f>IF(Q685&gt;=AJ685-0.01,1,0)</f>
        <v/>
      </c>
      <c r="AR685">
        <f>IF(R685&gt;=AK685-0.01,1,0)</f>
        <v/>
      </c>
      <c r="AS685">
        <f>IF(S685&gt;=AL685-0.01,1,0)</f>
        <v/>
      </c>
      <c r="AT685">
        <f>IF(T685&gt;=AM685-0.01,1,0)</f>
        <v/>
      </c>
      <c r="AU685">
        <f>IF(U685&gt;=AN685-0.01,1,0)</f>
        <v/>
      </c>
      <c r="AV685">
        <f>IF(V685&gt;=AO685-0.01,1,0)</f>
        <v/>
      </c>
      <c r="AW685">
        <f>IF(W685&gt;=AP685-0.01,1,0)</f>
        <v/>
      </c>
      <c r="AX685">
        <f>AQ685*AR685*AS685*AT685*AU685*AV685*AW685</f>
        <v/>
      </c>
      <c r="AY685">
        <f>Assumptions!$B$41</f>
        <v/>
      </c>
      <c r="AZ685">
        <f>Assumptions!$B$33</f>
        <v/>
      </c>
      <c r="BA685">
        <f>Assumptions!$B$32</f>
        <v/>
      </c>
      <c r="BB685">
        <f>Assumptions!$B$31</f>
        <v/>
      </c>
      <c r="BC685">
        <f>Assumptions!$B$30</f>
        <v/>
      </c>
      <c r="BD685">
        <f>Assumptions!$B$29</f>
        <v/>
      </c>
      <c r="BE685">
        <f>Assumptions!$B$28</f>
        <v/>
      </c>
      <c r="BF685">
        <f>P685*Assumptions!$B$141</f>
        <v/>
      </c>
      <c r="BG685">
        <f>P685*Assumptions!$B$128</f>
        <v/>
      </c>
      <c r="BH685">
        <f>P685*Assumptions!$B$129</f>
        <v/>
      </c>
      <c r="BI685">
        <f>P685*Assumptions!$B$14</f>
        <v/>
      </c>
      <c r="BJ685">
        <f>P685*Assumptions!$B$13</f>
        <v/>
      </c>
      <c r="BK685">
        <f>P685*Assumptions!$B$12</f>
        <v/>
      </c>
      <c r="BL685">
        <f>P685*Assumptions!$B$11</f>
        <v/>
      </c>
    </row>
    <row r="686">
      <c r="A686" t="inlineStr">
        <is>
          <t>8000M</t>
        </is>
      </c>
      <c r="B686">
        <f>Assumptions!$B$62</f>
        <v/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>
        <f>(1-C686)*Assumptions!$B$41+(1-D686)*Assumptions!$B$33+(1-E686)*Assumptions!$B$32+(1-F686)*Assumptions!$B$31+(1-G686)*Assumptions!$B$30+(1-H686)*Assumptions!$B$29+(1-I686)*Assumptions!$B$28</f>
        <v/>
      </c>
      <c r="K686">
        <f>C686*Assumptions!$B$141+D686*Assumptions!$B$128+E686*Assumptions!$B$129+F686*Assumptions!$B$14+G686*Assumptions!$B$13+H686*Assumptions!$B$12+I686*Assumptions!$B$11+Assumptions!$B$133+Assumptions!$B$137+Assumptions!$B$9</f>
        <v/>
      </c>
      <c r="L686">
        <f>B686-J686</f>
        <v/>
      </c>
      <c r="M686">
        <f>IF(K686&gt;0,IF(L686/K686&gt;=Assumptions!$B$37,1,0),0)</f>
        <v/>
      </c>
      <c r="N686">
        <f>K686+M686*Assumptions!$B$153</f>
        <v/>
      </c>
      <c r="O686">
        <f>L686+M686*Assumptions!$B$153*Assumptions!$B$37</f>
        <v/>
      </c>
      <c r="P686">
        <f>IF(N686&gt;0,O686/N686,0)</f>
        <v/>
      </c>
      <c r="Q686">
        <f>IF(C686=1,P686*Assumptions!$B$141,Assumptions!$B$41)</f>
        <v/>
      </c>
      <c r="R686">
        <f>IF(D686=1,P686*Assumptions!$B$128,Assumptions!$B$33)</f>
        <v/>
      </c>
      <c r="S686">
        <f>IF(E686=1,P686*Assumptions!$B$129,Assumptions!$B$32)</f>
        <v/>
      </c>
      <c r="T686">
        <f>IF(F686=1,P686*Assumptions!$B$14,Assumptions!$B$31)</f>
        <v/>
      </c>
      <c r="U686">
        <f>IF(G686=1,P686*Assumptions!$B$13,Assumptions!$B$30)</f>
        <v/>
      </c>
      <c r="V686">
        <f>IF(H686=1,P686*Assumptions!$B$12,Assumptions!$B$29)</f>
        <v/>
      </c>
      <c r="W686">
        <f>IF(I686=1,P686*Assumptions!$B$11,Assumptions!$B$28)</f>
        <v/>
      </c>
      <c r="X686">
        <f>P686*(Assumptions!$B$133+Assumptions!$B$137)</f>
        <v/>
      </c>
      <c r="Y686">
        <f>P686*Assumptions!$B$9</f>
        <v/>
      </c>
      <c r="Z686">
        <f>IF(M686=1,(P686-Assumptions!$B$37)*Assumptions!$B$153,0)</f>
        <v/>
      </c>
      <c r="AA686">
        <f>Q686+R686+S686+T686+U686+V686+W686+X686+Y686+Z686</f>
        <v/>
      </c>
      <c r="AB686" t="n">
        <v>123</v>
      </c>
      <c r="AC686" t="n">
        <v>59</v>
      </c>
      <c r="AD686" t="n">
        <v>91</v>
      </c>
      <c r="AE686" t="n">
        <v>107</v>
      </c>
      <c r="AF686" t="n">
        <v>115</v>
      </c>
      <c r="AG686" t="n">
        <v>127</v>
      </c>
      <c r="AH686" t="n">
        <v>121</v>
      </c>
      <c r="AI686" t="n">
        <v>122</v>
      </c>
      <c r="AJ686">
        <f>INDEX($Q$563:$Q$690,AC686+1)</f>
        <v/>
      </c>
      <c r="AK686">
        <f>INDEX($R$563:$R$690,AD686+1)</f>
        <v/>
      </c>
      <c r="AL686">
        <f>INDEX($S$563:$S$690,AE686+1)</f>
        <v/>
      </c>
      <c r="AM686">
        <f>INDEX($T$563:$T$690,AF686+1)</f>
        <v/>
      </c>
      <c r="AN686">
        <f>INDEX($U$563:$U$690,AG686+1)</f>
        <v/>
      </c>
      <c r="AO686">
        <f>INDEX($V$563:$V$690,AH686+1)</f>
        <v/>
      </c>
      <c r="AP686">
        <f>INDEX($W$563:$W$690,AI686+1)</f>
        <v/>
      </c>
      <c r="AQ686">
        <f>IF(Q686&gt;=AJ686-0.01,1,0)</f>
        <v/>
      </c>
      <c r="AR686">
        <f>IF(R686&gt;=AK686-0.01,1,0)</f>
        <v/>
      </c>
      <c r="AS686">
        <f>IF(S686&gt;=AL686-0.01,1,0)</f>
        <v/>
      </c>
      <c r="AT686">
        <f>IF(T686&gt;=AM686-0.01,1,0)</f>
        <v/>
      </c>
      <c r="AU686">
        <f>IF(U686&gt;=AN686-0.01,1,0)</f>
        <v/>
      </c>
      <c r="AV686">
        <f>IF(V686&gt;=AO686-0.01,1,0)</f>
        <v/>
      </c>
      <c r="AW686">
        <f>IF(W686&gt;=AP686-0.01,1,0)</f>
        <v/>
      </c>
      <c r="AX686">
        <f>AQ686*AR686*AS686*AT686*AU686*AV686*AW686</f>
        <v/>
      </c>
      <c r="AY686">
        <f>Assumptions!$B$41</f>
        <v/>
      </c>
      <c r="AZ686">
        <f>Assumptions!$B$33</f>
        <v/>
      </c>
      <c r="BA686">
        <f>Assumptions!$B$32</f>
        <v/>
      </c>
      <c r="BB686">
        <f>Assumptions!$B$31</f>
        <v/>
      </c>
      <c r="BC686">
        <f>Assumptions!$B$30</f>
        <v/>
      </c>
      <c r="BD686">
        <f>Assumptions!$B$29</f>
        <v/>
      </c>
      <c r="BE686">
        <f>Assumptions!$B$28</f>
        <v/>
      </c>
      <c r="BF686">
        <f>P686*Assumptions!$B$141</f>
        <v/>
      </c>
      <c r="BG686">
        <f>P686*Assumptions!$B$128</f>
        <v/>
      </c>
      <c r="BH686">
        <f>P686*Assumptions!$B$129</f>
        <v/>
      </c>
      <c r="BI686">
        <f>P686*Assumptions!$B$14</f>
        <v/>
      </c>
      <c r="BJ686">
        <f>P686*Assumptions!$B$13</f>
        <v/>
      </c>
      <c r="BK686">
        <f>P686*Assumptions!$B$12</f>
        <v/>
      </c>
      <c r="BL686">
        <f>P686*Assumptions!$B$11</f>
        <v/>
      </c>
    </row>
    <row r="687">
      <c r="A687" t="inlineStr">
        <is>
          <t>8000M</t>
        </is>
      </c>
      <c r="B687">
        <f>Assumptions!$B$62</f>
        <v/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>
        <f>(1-C687)*Assumptions!$B$41+(1-D687)*Assumptions!$B$33+(1-E687)*Assumptions!$B$32+(1-F687)*Assumptions!$B$31+(1-G687)*Assumptions!$B$30+(1-H687)*Assumptions!$B$29+(1-I687)*Assumptions!$B$28</f>
        <v/>
      </c>
      <c r="K687">
        <f>C687*Assumptions!$B$141+D687*Assumptions!$B$128+E687*Assumptions!$B$129+F687*Assumptions!$B$14+G687*Assumptions!$B$13+H687*Assumptions!$B$12+I687*Assumptions!$B$11+Assumptions!$B$133+Assumptions!$B$137+Assumptions!$B$9</f>
        <v/>
      </c>
      <c r="L687">
        <f>B687-J687</f>
        <v/>
      </c>
      <c r="M687">
        <f>IF(K687&gt;0,IF(L687/K687&gt;=Assumptions!$B$37,1,0),0)</f>
        <v/>
      </c>
      <c r="N687">
        <f>K687+M687*Assumptions!$B$153</f>
        <v/>
      </c>
      <c r="O687">
        <f>L687+M687*Assumptions!$B$153*Assumptions!$B$37</f>
        <v/>
      </c>
      <c r="P687">
        <f>IF(N687&gt;0,O687/N687,0)</f>
        <v/>
      </c>
      <c r="Q687">
        <f>IF(C687=1,P687*Assumptions!$B$141,Assumptions!$B$41)</f>
        <v/>
      </c>
      <c r="R687">
        <f>IF(D687=1,P687*Assumptions!$B$128,Assumptions!$B$33)</f>
        <v/>
      </c>
      <c r="S687">
        <f>IF(E687=1,P687*Assumptions!$B$129,Assumptions!$B$32)</f>
        <v/>
      </c>
      <c r="T687">
        <f>IF(F687=1,P687*Assumptions!$B$14,Assumptions!$B$31)</f>
        <v/>
      </c>
      <c r="U687">
        <f>IF(G687=1,P687*Assumptions!$B$13,Assumptions!$B$30)</f>
        <v/>
      </c>
      <c r="V687">
        <f>IF(H687=1,P687*Assumptions!$B$12,Assumptions!$B$29)</f>
        <v/>
      </c>
      <c r="W687">
        <f>IF(I687=1,P687*Assumptions!$B$11,Assumptions!$B$28)</f>
        <v/>
      </c>
      <c r="X687">
        <f>P687*(Assumptions!$B$133+Assumptions!$B$137)</f>
        <v/>
      </c>
      <c r="Y687">
        <f>P687*Assumptions!$B$9</f>
        <v/>
      </c>
      <c r="Z687">
        <f>IF(M687=1,(P687-Assumptions!$B$37)*Assumptions!$B$153,0)</f>
        <v/>
      </c>
      <c r="AA687">
        <f>Q687+R687+S687+T687+U687+V687+W687+X687+Y687+Z687</f>
        <v/>
      </c>
      <c r="AB687" t="n">
        <v>124</v>
      </c>
      <c r="AC687" t="n">
        <v>60</v>
      </c>
      <c r="AD687" t="n">
        <v>92</v>
      </c>
      <c r="AE687" t="n">
        <v>108</v>
      </c>
      <c r="AF687" t="n">
        <v>116</v>
      </c>
      <c r="AG687" t="n">
        <v>120</v>
      </c>
      <c r="AH687" t="n">
        <v>126</v>
      </c>
      <c r="AI687" t="n">
        <v>125</v>
      </c>
      <c r="AJ687">
        <f>INDEX($Q$563:$Q$690,AC687+1)</f>
        <v/>
      </c>
      <c r="AK687">
        <f>INDEX($R$563:$R$690,AD687+1)</f>
        <v/>
      </c>
      <c r="AL687">
        <f>INDEX($S$563:$S$690,AE687+1)</f>
        <v/>
      </c>
      <c r="AM687">
        <f>INDEX($T$563:$T$690,AF687+1)</f>
        <v/>
      </c>
      <c r="AN687">
        <f>INDEX($U$563:$U$690,AG687+1)</f>
        <v/>
      </c>
      <c r="AO687">
        <f>INDEX($V$563:$V$690,AH687+1)</f>
        <v/>
      </c>
      <c r="AP687">
        <f>INDEX($W$563:$W$690,AI687+1)</f>
        <v/>
      </c>
      <c r="AQ687">
        <f>IF(Q687&gt;=AJ687-0.01,1,0)</f>
        <v/>
      </c>
      <c r="AR687">
        <f>IF(R687&gt;=AK687-0.01,1,0)</f>
        <v/>
      </c>
      <c r="AS687">
        <f>IF(S687&gt;=AL687-0.01,1,0)</f>
        <v/>
      </c>
      <c r="AT687">
        <f>IF(T687&gt;=AM687-0.01,1,0)</f>
        <v/>
      </c>
      <c r="AU687">
        <f>IF(U687&gt;=AN687-0.01,1,0)</f>
        <v/>
      </c>
      <c r="AV687">
        <f>IF(V687&gt;=AO687-0.01,1,0)</f>
        <v/>
      </c>
      <c r="AW687">
        <f>IF(W687&gt;=AP687-0.01,1,0)</f>
        <v/>
      </c>
      <c r="AX687">
        <f>AQ687*AR687*AS687*AT687*AU687*AV687*AW687</f>
        <v/>
      </c>
      <c r="AY687">
        <f>Assumptions!$B$41</f>
        <v/>
      </c>
      <c r="AZ687">
        <f>Assumptions!$B$33</f>
        <v/>
      </c>
      <c r="BA687">
        <f>Assumptions!$B$32</f>
        <v/>
      </c>
      <c r="BB687">
        <f>Assumptions!$B$31</f>
        <v/>
      </c>
      <c r="BC687">
        <f>Assumptions!$B$30</f>
        <v/>
      </c>
      <c r="BD687">
        <f>Assumptions!$B$29</f>
        <v/>
      </c>
      <c r="BE687">
        <f>Assumptions!$B$28</f>
        <v/>
      </c>
      <c r="BF687">
        <f>P687*Assumptions!$B$141</f>
        <v/>
      </c>
      <c r="BG687">
        <f>P687*Assumptions!$B$128</f>
        <v/>
      </c>
      <c r="BH687">
        <f>P687*Assumptions!$B$129</f>
        <v/>
      </c>
      <c r="BI687">
        <f>P687*Assumptions!$B$14</f>
        <v/>
      </c>
      <c r="BJ687">
        <f>P687*Assumptions!$B$13</f>
        <v/>
      </c>
      <c r="BK687">
        <f>P687*Assumptions!$B$12</f>
        <v/>
      </c>
      <c r="BL687">
        <f>P687*Assumptions!$B$11</f>
        <v/>
      </c>
    </row>
    <row r="688">
      <c r="A688" t="inlineStr">
        <is>
          <t>8000M</t>
        </is>
      </c>
      <c r="B688">
        <f>Assumptions!$B$62</f>
        <v/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0</v>
      </c>
      <c r="I688" t="n">
        <v>1</v>
      </c>
      <c r="J688">
        <f>(1-C688)*Assumptions!$B$41+(1-D688)*Assumptions!$B$33+(1-E688)*Assumptions!$B$32+(1-F688)*Assumptions!$B$31+(1-G688)*Assumptions!$B$30+(1-H688)*Assumptions!$B$29+(1-I688)*Assumptions!$B$28</f>
        <v/>
      </c>
      <c r="K688">
        <f>C688*Assumptions!$B$141+D688*Assumptions!$B$128+E688*Assumptions!$B$129+F688*Assumptions!$B$14+G688*Assumptions!$B$13+H688*Assumptions!$B$12+I688*Assumptions!$B$11+Assumptions!$B$133+Assumptions!$B$137+Assumptions!$B$9</f>
        <v/>
      </c>
      <c r="L688">
        <f>B688-J688</f>
        <v/>
      </c>
      <c r="M688">
        <f>IF(K688&gt;0,IF(L688/K688&gt;=Assumptions!$B$37,1,0),0)</f>
        <v/>
      </c>
      <c r="N688">
        <f>K688+M688*Assumptions!$B$153</f>
        <v/>
      </c>
      <c r="O688">
        <f>L688+M688*Assumptions!$B$153*Assumptions!$B$37</f>
        <v/>
      </c>
      <c r="P688">
        <f>IF(N688&gt;0,O688/N688,0)</f>
        <v/>
      </c>
      <c r="Q688">
        <f>IF(C688=1,P688*Assumptions!$B$141,Assumptions!$B$41)</f>
        <v/>
      </c>
      <c r="R688">
        <f>IF(D688=1,P688*Assumptions!$B$128,Assumptions!$B$33)</f>
        <v/>
      </c>
      <c r="S688">
        <f>IF(E688=1,P688*Assumptions!$B$129,Assumptions!$B$32)</f>
        <v/>
      </c>
      <c r="T688">
        <f>IF(F688=1,P688*Assumptions!$B$14,Assumptions!$B$31)</f>
        <v/>
      </c>
      <c r="U688">
        <f>IF(G688=1,P688*Assumptions!$B$13,Assumptions!$B$30)</f>
        <v/>
      </c>
      <c r="V688">
        <f>IF(H688=1,P688*Assumptions!$B$12,Assumptions!$B$29)</f>
        <v/>
      </c>
      <c r="W688">
        <f>IF(I688=1,P688*Assumptions!$B$11,Assumptions!$B$28)</f>
        <v/>
      </c>
      <c r="X688">
        <f>P688*(Assumptions!$B$133+Assumptions!$B$137)</f>
        <v/>
      </c>
      <c r="Y688">
        <f>P688*Assumptions!$B$9</f>
        <v/>
      </c>
      <c r="Z688">
        <f>IF(M688=1,(P688-Assumptions!$B$37)*Assumptions!$B$153,0)</f>
        <v/>
      </c>
      <c r="AA688">
        <f>Q688+R688+S688+T688+U688+V688+W688+X688+Y688+Z688</f>
        <v/>
      </c>
      <c r="AB688" t="n">
        <v>125</v>
      </c>
      <c r="AC688" t="n">
        <v>61</v>
      </c>
      <c r="AD688" t="n">
        <v>93</v>
      </c>
      <c r="AE688" t="n">
        <v>109</v>
      </c>
      <c r="AF688" t="n">
        <v>117</v>
      </c>
      <c r="AG688" t="n">
        <v>121</v>
      </c>
      <c r="AH688" t="n">
        <v>127</v>
      </c>
      <c r="AI688" t="n">
        <v>124</v>
      </c>
      <c r="AJ688">
        <f>INDEX($Q$563:$Q$690,AC688+1)</f>
        <v/>
      </c>
      <c r="AK688">
        <f>INDEX($R$563:$R$690,AD688+1)</f>
        <v/>
      </c>
      <c r="AL688">
        <f>INDEX($S$563:$S$690,AE688+1)</f>
        <v/>
      </c>
      <c r="AM688">
        <f>INDEX($T$563:$T$690,AF688+1)</f>
        <v/>
      </c>
      <c r="AN688">
        <f>INDEX($U$563:$U$690,AG688+1)</f>
        <v/>
      </c>
      <c r="AO688">
        <f>INDEX($V$563:$V$690,AH688+1)</f>
        <v/>
      </c>
      <c r="AP688">
        <f>INDEX($W$563:$W$690,AI688+1)</f>
        <v/>
      </c>
      <c r="AQ688">
        <f>IF(Q688&gt;=AJ688-0.01,1,0)</f>
        <v/>
      </c>
      <c r="AR688">
        <f>IF(R688&gt;=AK688-0.01,1,0)</f>
        <v/>
      </c>
      <c r="AS688">
        <f>IF(S688&gt;=AL688-0.01,1,0)</f>
        <v/>
      </c>
      <c r="AT688">
        <f>IF(T688&gt;=AM688-0.01,1,0)</f>
        <v/>
      </c>
      <c r="AU688">
        <f>IF(U688&gt;=AN688-0.01,1,0)</f>
        <v/>
      </c>
      <c r="AV688">
        <f>IF(V688&gt;=AO688-0.01,1,0)</f>
        <v/>
      </c>
      <c r="AW688">
        <f>IF(W688&gt;=AP688-0.01,1,0)</f>
        <v/>
      </c>
      <c r="AX688">
        <f>AQ688*AR688*AS688*AT688*AU688*AV688*AW688</f>
        <v/>
      </c>
      <c r="AY688">
        <f>Assumptions!$B$41</f>
        <v/>
      </c>
      <c r="AZ688">
        <f>Assumptions!$B$33</f>
        <v/>
      </c>
      <c r="BA688">
        <f>Assumptions!$B$32</f>
        <v/>
      </c>
      <c r="BB688">
        <f>Assumptions!$B$31</f>
        <v/>
      </c>
      <c r="BC688">
        <f>Assumptions!$B$30</f>
        <v/>
      </c>
      <c r="BD688">
        <f>Assumptions!$B$29</f>
        <v/>
      </c>
      <c r="BE688">
        <f>Assumptions!$B$28</f>
        <v/>
      </c>
      <c r="BF688">
        <f>P688*Assumptions!$B$141</f>
        <v/>
      </c>
      <c r="BG688">
        <f>P688*Assumptions!$B$128</f>
        <v/>
      </c>
      <c r="BH688">
        <f>P688*Assumptions!$B$129</f>
        <v/>
      </c>
      <c r="BI688">
        <f>P688*Assumptions!$B$14</f>
        <v/>
      </c>
      <c r="BJ688">
        <f>P688*Assumptions!$B$13</f>
        <v/>
      </c>
      <c r="BK688">
        <f>P688*Assumptions!$B$12</f>
        <v/>
      </c>
      <c r="BL688">
        <f>P688*Assumptions!$B$11</f>
        <v/>
      </c>
    </row>
    <row r="689">
      <c r="A689" t="inlineStr">
        <is>
          <t>8000M</t>
        </is>
      </c>
      <c r="B689">
        <f>Assumptions!$B$62</f>
        <v/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>
        <f>(1-C689)*Assumptions!$B$41+(1-D689)*Assumptions!$B$33+(1-E689)*Assumptions!$B$32+(1-F689)*Assumptions!$B$31+(1-G689)*Assumptions!$B$30+(1-H689)*Assumptions!$B$29+(1-I689)*Assumptions!$B$28</f>
        <v/>
      </c>
      <c r="K689">
        <f>C689*Assumptions!$B$141+D689*Assumptions!$B$128+E689*Assumptions!$B$129+F689*Assumptions!$B$14+G689*Assumptions!$B$13+H689*Assumptions!$B$12+I689*Assumptions!$B$11+Assumptions!$B$133+Assumptions!$B$137+Assumptions!$B$9</f>
        <v/>
      </c>
      <c r="L689">
        <f>B689-J689</f>
        <v/>
      </c>
      <c r="M689">
        <f>IF(K689&gt;0,IF(L689/K689&gt;=Assumptions!$B$37,1,0),0)</f>
        <v/>
      </c>
      <c r="N689">
        <f>K689+M689*Assumptions!$B$153</f>
        <v/>
      </c>
      <c r="O689">
        <f>L689+M689*Assumptions!$B$153*Assumptions!$B$37</f>
        <v/>
      </c>
      <c r="P689">
        <f>IF(N689&gt;0,O689/N689,0)</f>
        <v/>
      </c>
      <c r="Q689">
        <f>IF(C689=1,P689*Assumptions!$B$141,Assumptions!$B$41)</f>
        <v/>
      </c>
      <c r="R689">
        <f>IF(D689=1,P689*Assumptions!$B$128,Assumptions!$B$33)</f>
        <v/>
      </c>
      <c r="S689">
        <f>IF(E689=1,P689*Assumptions!$B$129,Assumptions!$B$32)</f>
        <v/>
      </c>
      <c r="T689">
        <f>IF(F689=1,P689*Assumptions!$B$14,Assumptions!$B$31)</f>
        <v/>
      </c>
      <c r="U689">
        <f>IF(G689=1,P689*Assumptions!$B$13,Assumptions!$B$30)</f>
        <v/>
      </c>
      <c r="V689">
        <f>IF(H689=1,P689*Assumptions!$B$12,Assumptions!$B$29)</f>
        <v/>
      </c>
      <c r="W689">
        <f>IF(I689=1,P689*Assumptions!$B$11,Assumptions!$B$28)</f>
        <v/>
      </c>
      <c r="X689">
        <f>P689*(Assumptions!$B$133+Assumptions!$B$137)</f>
        <v/>
      </c>
      <c r="Y689">
        <f>P689*Assumptions!$B$9</f>
        <v/>
      </c>
      <c r="Z689">
        <f>IF(M689=1,(P689-Assumptions!$B$37)*Assumptions!$B$153,0)</f>
        <v/>
      </c>
      <c r="AA689">
        <f>Q689+R689+S689+T689+U689+V689+W689+X689+Y689+Z689</f>
        <v/>
      </c>
      <c r="AB689" t="n">
        <v>126</v>
      </c>
      <c r="AC689" t="n">
        <v>62</v>
      </c>
      <c r="AD689" t="n">
        <v>94</v>
      </c>
      <c r="AE689" t="n">
        <v>110</v>
      </c>
      <c r="AF689" t="n">
        <v>118</v>
      </c>
      <c r="AG689" t="n">
        <v>122</v>
      </c>
      <c r="AH689" t="n">
        <v>124</v>
      </c>
      <c r="AI689" t="n">
        <v>127</v>
      </c>
      <c r="AJ689">
        <f>INDEX($Q$563:$Q$690,AC689+1)</f>
        <v/>
      </c>
      <c r="AK689">
        <f>INDEX($R$563:$R$690,AD689+1)</f>
        <v/>
      </c>
      <c r="AL689">
        <f>INDEX($S$563:$S$690,AE689+1)</f>
        <v/>
      </c>
      <c r="AM689">
        <f>INDEX($T$563:$T$690,AF689+1)</f>
        <v/>
      </c>
      <c r="AN689">
        <f>INDEX($U$563:$U$690,AG689+1)</f>
        <v/>
      </c>
      <c r="AO689">
        <f>INDEX($V$563:$V$690,AH689+1)</f>
        <v/>
      </c>
      <c r="AP689">
        <f>INDEX($W$563:$W$690,AI689+1)</f>
        <v/>
      </c>
      <c r="AQ689">
        <f>IF(Q689&gt;=AJ689-0.01,1,0)</f>
        <v/>
      </c>
      <c r="AR689">
        <f>IF(R689&gt;=AK689-0.01,1,0)</f>
        <v/>
      </c>
      <c r="AS689">
        <f>IF(S689&gt;=AL689-0.01,1,0)</f>
        <v/>
      </c>
      <c r="AT689">
        <f>IF(T689&gt;=AM689-0.01,1,0)</f>
        <v/>
      </c>
      <c r="AU689">
        <f>IF(U689&gt;=AN689-0.01,1,0)</f>
        <v/>
      </c>
      <c r="AV689">
        <f>IF(V689&gt;=AO689-0.01,1,0)</f>
        <v/>
      </c>
      <c r="AW689">
        <f>IF(W689&gt;=AP689-0.01,1,0)</f>
        <v/>
      </c>
      <c r="AX689">
        <f>AQ689*AR689*AS689*AT689*AU689*AV689*AW689</f>
        <v/>
      </c>
      <c r="AY689">
        <f>Assumptions!$B$41</f>
        <v/>
      </c>
      <c r="AZ689">
        <f>Assumptions!$B$33</f>
        <v/>
      </c>
      <c r="BA689">
        <f>Assumptions!$B$32</f>
        <v/>
      </c>
      <c r="BB689">
        <f>Assumptions!$B$31</f>
        <v/>
      </c>
      <c r="BC689">
        <f>Assumptions!$B$30</f>
        <v/>
      </c>
      <c r="BD689">
        <f>Assumptions!$B$29</f>
        <v/>
      </c>
      <c r="BE689">
        <f>Assumptions!$B$28</f>
        <v/>
      </c>
      <c r="BF689">
        <f>P689*Assumptions!$B$141</f>
        <v/>
      </c>
      <c r="BG689">
        <f>P689*Assumptions!$B$128</f>
        <v/>
      </c>
      <c r="BH689">
        <f>P689*Assumptions!$B$129</f>
        <v/>
      </c>
      <c r="BI689">
        <f>P689*Assumptions!$B$14</f>
        <v/>
      </c>
      <c r="BJ689">
        <f>P689*Assumptions!$B$13</f>
        <v/>
      </c>
      <c r="BK689">
        <f>P689*Assumptions!$B$12</f>
        <v/>
      </c>
      <c r="BL689">
        <f>P689*Assumptions!$B$11</f>
        <v/>
      </c>
    </row>
    <row r="690">
      <c r="A690" t="inlineStr">
        <is>
          <t>8000M</t>
        </is>
      </c>
      <c r="B690">
        <f>Assumptions!$B$62</f>
        <v/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>
        <f>(1-C690)*Assumptions!$B$41+(1-D690)*Assumptions!$B$33+(1-E690)*Assumptions!$B$32+(1-F690)*Assumptions!$B$31+(1-G690)*Assumptions!$B$30+(1-H690)*Assumptions!$B$29+(1-I690)*Assumptions!$B$28</f>
        <v/>
      </c>
      <c r="K690">
        <f>C690*Assumptions!$B$141+D690*Assumptions!$B$128+E690*Assumptions!$B$129+F690*Assumptions!$B$14+G690*Assumptions!$B$13+H690*Assumptions!$B$12+I690*Assumptions!$B$11+Assumptions!$B$133+Assumptions!$B$137+Assumptions!$B$9</f>
        <v/>
      </c>
      <c r="L690">
        <f>B690-J690</f>
        <v/>
      </c>
      <c r="M690">
        <f>IF(K690&gt;0,IF(L690/K690&gt;=Assumptions!$B$37,1,0),0)</f>
        <v/>
      </c>
      <c r="N690">
        <f>K690+M690*Assumptions!$B$153</f>
        <v/>
      </c>
      <c r="O690">
        <f>L690+M690*Assumptions!$B$153*Assumptions!$B$37</f>
        <v/>
      </c>
      <c r="P690">
        <f>IF(N690&gt;0,O690/N690,0)</f>
        <v/>
      </c>
      <c r="Q690">
        <f>IF(C690=1,P690*Assumptions!$B$141,Assumptions!$B$41)</f>
        <v/>
      </c>
      <c r="R690">
        <f>IF(D690=1,P690*Assumptions!$B$128,Assumptions!$B$33)</f>
        <v/>
      </c>
      <c r="S690">
        <f>IF(E690=1,P690*Assumptions!$B$129,Assumptions!$B$32)</f>
        <v/>
      </c>
      <c r="T690">
        <f>IF(F690=1,P690*Assumptions!$B$14,Assumptions!$B$31)</f>
        <v/>
      </c>
      <c r="U690">
        <f>IF(G690=1,P690*Assumptions!$B$13,Assumptions!$B$30)</f>
        <v/>
      </c>
      <c r="V690">
        <f>IF(H690=1,P690*Assumptions!$B$12,Assumptions!$B$29)</f>
        <v/>
      </c>
      <c r="W690">
        <f>IF(I690=1,P690*Assumptions!$B$11,Assumptions!$B$28)</f>
        <v/>
      </c>
      <c r="X690">
        <f>P690*(Assumptions!$B$133+Assumptions!$B$137)</f>
        <v/>
      </c>
      <c r="Y690">
        <f>P690*Assumptions!$B$9</f>
        <v/>
      </c>
      <c r="Z690">
        <f>IF(M690=1,(P690-Assumptions!$B$37)*Assumptions!$B$153,0)</f>
        <v/>
      </c>
      <c r="AA690">
        <f>Q690+R690+S690+T690+U690+V690+W690+X690+Y690+Z690</f>
        <v/>
      </c>
      <c r="AB690" t="n">
        <v>127</v>
      </c>
      <c r="AC690" t="n">
        <v>63</v>
      </c>
      <c r="AD690" t="n">
        <v>95</v>
      </c>
      <c r="AE690" t="n">
        <v>111</v>
      </c>
      <c r="AF690" t="n">
        <v>119</v>
      </c>
      <c r="AG690" t="n">
        <v>123</v>
      </c>
      <c r="AH690" t="n">
        <v>125</v>
      </c>
      <c r="AI690" t="n">
        <v>126</v>
      </c>
      <c r="AJ690">
        <f>INDEX($Q$563:$Q$690,AC690+1)</f>
        <v/>
      </c>
      <c r="AK690">
        <f>INDEX($R$563:$R$690,AD690+1)</f>
        <v/>
      </c>
      <c r="AL690">
        <f>INDEX($S$563:$S$690,AE690+1)</f>
        <v/>
      </c>
      <c r="AM690">
        <f>INDEX($T$563:$T$690,AF690+1)</f>
        <v/>
      </c>
      <c r="AN690">
        <f>INDEX($U$563:$U$690,AG690+1)</f>
        <v/>
      </c>
      <c r="AO690">
        <f>INDEX($V$563:$V$690,AH690+1)</f>
        <v/>
      </c>
      <c r="AP690">
        <f>INDEX($W$563:$W$690,AI690+1)</f>
        <v/>
      </c>
      <c r="AQ690">
        <f>IF(Q690&gt;=AJ690-0.01,1,0)</f>
        <v/>
      </c>
      <c r="AR690">
        <f>IF(R690&gt;=AK690-0.01,1,0)</f>
        <v/>
      </c>
      <c r="AS690">
        <f>IF(S690&gt;=AL690-0.01,1,0)</f>
        <v/>
      </c>
      <c r="AT690">
        <f>IF(T690&gt;=AM690-0.01,1,0)</f>
        <v/>
      </c>
      <c r="AU690">
        <f>IF(U690&gt;=AN690-0.01,1,0)</f>
        <v/>
      </c>
      <c r="AV690">
        <f>IF(V690&gt;=AO690-0.01,1,0)</f>
        <v/>
      </c>
      <c r="AW690">
        <f>IF(W690&gt;=AP690-0.01,1,0)</f>
        <v/>
      </c>
      <c r="AX690">
        <f>AQ690*AR690*AS690*AT690*AU690*AV690*AW690</f>
        <v/>
      </c>
      <c r="AY690">
        <f>Assumptions!$B$41</f>
        <v/>
      </c>
      <c r="AZ690">
        <f>Assumptions!$B$33</f>
        <v/>
      </c>
      <c r="BA690">
        <f>Assumptions!$B$32</f>
        <v/>
      </c>
      <c r="BB690">
        <f>Assumptions!$B$31</f>
        <v/>
      </c>
      <c r="BC690">
        <f>Assumptions!$B$30</f>
        <v/>
      </c>
      <c r="BD690">
        <f>Assumptions!$B$29</f>
        <v/>
      </c>
      <c r="BE690">
        <f>Assumptions!$B$28</f>
        <v/>
      </c>
      <c r="BF690">
        <f>P690*Assumptions!$B$141</f>
        <v/>
      </c>
      <c r="BG690">
        <f>P690*Assumptions!$B$128</f>
        <v/>
      </c>
      <c r="BH690">
        <f>P690*Assumptions!$B$129</f>
        <v/>
      </c>
      <c r="BI690">
        <f>P690*Assumptions!$B$14</f>
        <v/>
      </c>
      <c r="BJ690">
        <f>P690*Assumptions!$B$13</f>
        <v/>
      </c>
      <c r="BK690">
        <f>P690*Assumptions!$B$12</f>
        <v/>
      </c>
      <c r="BL690">
        <f>P690*Assumptions!$B$11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(3x3 grid: ESOP refresh x pre-money F)</t>
        </is>
      </c>
    </row>
    <row r="3">
      <c r="A3" t="inlineStr">
        <is>
          <t>label</t>
        </is>
      </c>
      <c r="B3" t="inlineStr">
        <is>
          <t>esop</t>
        </is>
      </c>
      <c r="C3" t="inlineStr">
        <is>
          <t>pre_M</t>
        </is>
      </c>
      <c r="D3" t="inlineStr">
        <is>
          <t>our_pct</t>
        </is>
      </c>
      <c r="E3" t="inlineStr">
        <is>
          <t>dollars_at_2000M_exit</t>
        </is>
      </c>
    </row>
    <row r="4">
      <c r="A4" t="inlineStr">
        <is>
          <t>esop_11_pre_1200M</t>
        </is>
      </c>
      <c r="B4" t="n">
        <v>0.11</v>
      </c>
      <c r="C4" t="n">
        <v>1200</v>
      </c>
      <c r="D4">
        <f>(Assumptions!$B$47/H157)/I157</f>
        <v/>
      </c>
      <c r="E4">
        <f>INDEX($Q$5000:$Q$5127,MATCH(1,$AX$5000:$AX$5127,0))*Assumptions!$B$47/Assumptions!$B$41</f>
        <v/>
      </c>
    </row>
    <row r="5">
      <c r="A5" t="inlineStr">
        <is>
          <t>esop_11_pre_1400M</t>
        </is>
      </c>
      <c r="B5" t="n">
        <v>0.11</v>
      </c>
      <c r="C5" t="n">
        <v>1400</v>
      </c>
      <c r="D5">
        <f>(Assumptions!$B$47/H232)/I232</f>
        <v/>
      </c>
      <c r="E5">
        <f>INDEX($Q$5128:$Q$5255,MATCH(1,$AX$5128:$AX$5255,0))*Assumptions!$B$47/Assumptions!$B$41</f>
        <v/>
      </c>
    </row>
    <row r="6">
      <c r="A6" t="inlineStr">
        <is>
          <t>esop_11_pre_1800M</t>
        </is>
      </c>
      <c r="B6" t="n">
        <v>0.11</v>
      </c>
      <c r="C6" t="n">
        <v>1800</v>
      </c>
      <c r="D6">
        <f>(Assumptions!$B$47/H307)/I307</f>
        <v/>
      </c>
      <c r="E6">
        <f>INDEX($Q$5256:$Q$5383,MATCH(1,$AX$5256:$AX$5383,0))*Assumptions!$B$47/Assumptions!$B$41</f>
        <v/>
      </c>
    </row>
    <row r="7">
      <c r="A7" t="inlineStr">
        <is>
          <t>esop_13_pre_1200M</t>
        </is>
      </c>
      <c r="B7" t="n">
        <v>0.13</v>
      </c>
      <c r="C7" t="n">
        <v>1200</v>
      </c>
      <c r="D7">
        <f>(Assumptions!$B$47/H382)/I382</f>
        <v/>
      </c>
      <c r="E7">
        <f>INDEX($Q$5384:$Q$5511,MATCH(1,$AX$5384:$AX$5511,0))*Assumptions!$B$47/Assumptions!$B$41</f>
        <v/>
      </c>
    </row>
    <row r="8">
      <c r="A8" t="inlineStr">
        <is>
          <t>esop_13_pre_1400M</t>
        </is>
      </c>
      <c r="B8" t="n">
        <v>0.13</v>
      </c>
      <c r="C8" t="n">
        <v>1400</v>
      </c>
      <c r="D8">
        <f>(Assumptions!$B$47/H457)/I457</f>
        <v/>
      </c>
      <c r="E8">
        <f>INDEX($Q$5512:$Q$5639,MATCH(1,$AX$5512:$AX$5639,0))*Assumptions!$B$47/Assumptions!$B$41</f>
        <v/>
      </c>
    </row>
    <row r="9">
      <c r="A9" t="inlineStr">
        <is>
          <t>esop_13_pre_1800M</t>
        </is>
      </c>
      <c r="B9" t="n">
        <v>0.13</v>
      </c>
      <c r="C9" t="n">
        <v>1800</v>
      </c>
      <c r="D9">
        <f>(Assumptions!$B$47/H532)/I532</f>
        <v/>
      </c>
      <c r="E9">
        <f>INDEX($Q$5640:$Q$5767,MATCH(1,$AX$5640:$AX$5767,0))*Assumptions!$B$47/Assumptions!$B$41</f>
        <v/>
      </c>
    </row>
    <row r="10">
      <c r="A10" t="inlineStr">
        <is>
          <t>esop_15_pre_1200M</t>
        </is>
      </c>
      <c r="B10" t="n">
        <v>0.15</v>
      </c>
      <c r="C10" t="n">
        <v>1200</v>
      </c>
      <c r="D10">
        <f>(Assumptions!$B$47/H607)/I607</f>
        <v/>
      </c>
      <c r="E10">
        <f>INDEX($Q$5768:$Q$5895,MATCH(1,$AX$5768:$AX$5895,0))*Assumptions!$B$47/Assumptions!$B$41</f>
        <v/>
      </c>
    </row>
    <row r="11">
      <c r="A11" t="inlineStr">
        <is>
          <t>esop_15_pre_1400M</t>
        </is>
      </c>
      <c r="B11" t="n">
        <v>0.15</v>
      </c>
      <c r="C11" t="n">
        <v>1400</v>
      </c>
      <c r="D11">
        <f>(Assumptions!$B$47/H682)/I682</f>
        <v/>
      </c>
      <c r="E11">
        <f>INDEX($Q$5896:$Q$6023,MATCH(1,$AX$5896:$AX$6023,0))*Assumptions!$B$47/Assumptions!$B$41</f>
        <v/>
      </c>
    </row>
    <row r="12">
      <c r="A12" t="inlineStr">
        <is>
          <t>esop_15_pre_1800M</t>
        </is>
      </c>
      <c r="B12" t="n">
        <v>0.15</v>
      </c>
      <c r="C12" t="n">
        <v>1800</v>
      </c>
      <c r="D12">
        <f>(Assumptions!$B$47/H757)/I757</f>
        <v/>
      </c>
      <c r="E12">
        <f>INDEX($Q$6024:$Q$6151,MATCH(1,$AX$6024:$AX$6151,0))*Assumptions!$B$47/Assumptions!$B$41</f>
        <v/>
      </c>
    </row>
    <row r="100">
      <c r="A100" t="inlineStr">
        <is>
          <t>Cell esop_11_pre_1200M</t>
        </is>
      </c>
    </row>
    <row r="101">
      <c r="A101" t="inlineStr">
        <is>
          <t>esop</t>
        </is>
      </c>
      <c r="B101" t="n">
        <v>0.11</v>
      </c>
    </row>
    <row r="102">
      <c r="A102" t="inlineStr">
        <is>
          <t>pre_M ($M)</t>
        </is>
      </c>
      <c r="B102" t="n">
        <v>1200</v>
      </c>
    </row>
    <row r="103">
      <c r="A103" t="inlineStr">
        <is>
          <t>pre_money $</t>
        </is>
      </c>
      <c r="B103">
        <f>B102*1000000</f>
        <v/>
      </c>
    </row>
    <row r="104">
      <c r="A104" t="inlineStr">
        <is>
          <t>post_money $</t>
        </is>
      </c>
      <c r="B104">
        <f>B103+Assumptions!$B$41</f>
        <v/>
      </c>
    </row>
    <row r="105">
      <c r="A105" t="inlineStr">
        <is>
          <t>primary raise $</t>
        </is>
      </c>
      <c r="B105">
        <f>Assumptions!$B$41</f>
        <v/>
      </c>
    </row>
    <row r="107">
      <c r="A107" t="inlineStr">
        <is>
          <t>iter</t>
        </is>
      </c>
      <c r="B107" t="inlineStr">
        <is>
          <t>r_E_p</t>
        </is>
      </c>
      <c r="C107" t="inlineStr">
        <is>
          <t>r_D_p</t>
        </is>
      </c>
      <c r="D107" t="inlineStr">
        <is>
          <t>N_A_p</t>
        </is>
      </c>
      <c r="E107" t="inlineStr">
        <is>
          <t>N_B_p</t>
        </is>
      </c>
      <c r="F107" t="inlineStr">
        <is>
          <t>E_adj</t>
        </is>
      </c>
      <c r="G107" t="inlineStr">
        <is>
          <t>D_adj</t>
        </is>
      </c>
      <c r="H107" t="inlineStr">
        <is>
          <t>F_PPS</t>
        </is>
      </c>
      <c r="I107" t="inlineStr">
        <is>
          <t>T_F</t>
        </is>
      </c>
      <c r="J107" t="inlineStr">
        <is>
          <t>new_F</t>
        </is>
      </c>
      <c r="K107" t="inlineStr">
        <is>
          <t>pre_FD</t>
        </is>
      </c>
      <c r="L107" t="inlineStr">
        <is>
          <t>capA</t>
        </is>
      </c>
      <c r="M107" t="inlineStr">
        <is>
          <t>discA</t>
        </is>
      </c>
      <c r="N107" t="inlineStr">
        <is>
          <t>cpA</t>
        </is>
      </c>
      <c r="O107" t="inlineStr">
        <is>
          <t>NA</t>
        </is>
      </c>
      <c r="P107" t="inlineStr">
        <is>
          <t>capB</t>
        </is>
      </c>
      <c r="Q107" t="inlineStr">
        <is>
          <t>discB</t>
        </is>
      </c>
      <c r="R107" t="inlineStr">
        <is>
          <t>cpB</t>
        </is>
      </c>
      <c r="S107" t="inlineStr">
        <is>
          <t>NB</t>
        </is>
      </c>
      <c r="T107" t="inlineStr">
        <is>
          <t>NCP_E</t>
        </is>
      </c>
      <c r="U107" t="inlineStr">
        <is>
          <t>r_E_n</t>
        </is>
      </c>
      <c r="V107" t="inlineStr">
        <is>
          <t>NCP_D</t>
        </is>
      </c>
      <c r="W107" t="inlineStr">
        <is>
          <t>r_D_n</t>
        </is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>
        <f>Assumptions!$B$16*B108</f>
        <v/>
      </c>
      <c r="G108">
        <f>Assumptions!$B$15*C108</f>
        <v/>
      </c>
      <c r="H108">
        <f>IF($B$101*($B$104/(($B$104*(1-$B$101)-$B$105)/((Assumptions!$B$9+Assumptions!$B$11+Assumptions!$B$12+Assumptions!$B$13+Assumptions!$B$14)+G108+F108+D108+E108)))&lt;Assumptions!$B$65,($B$104-$B$105)/(((Assumptions!$B$9+Assumptions!$B$11+Assumptions!$B$12+Assumptions!$B$13+Assumptions!$B$14)+G108+F108+D108+E108)+Assumptions!$B$65),($B$104*(1-$B$101)-$B$105)/((Assumptions!$B$9+Assumptions!$B$11+Assumptions!$B$12+Assumptions!$B$13+Assumptions!$B$14)+G108+F108+D108+E108))</f>
        <v/>
      </c>
      <c r="I108">
        <f>$B$104/H108</f>
        <v/>
      </c>
      <c r="J108">
        <f>$B$105/H108</f>
        <v/>
      </c>
      <c r="K108">
        <f>I108-J108</f>
        <v/>
      </c>
      <c r="L108">
        <f>Assumptions!$B$51/K108</f>
        <v/>
      </c>
      <c r="M108">
        <f>H108*(1-Assumptions!$B$52)</f>
        <v/>
      </c>
      <c r="N108">
        <f>MIN(L108,M108)</f>
        <v/>
      </c>
      <c r="O108">
        <f>Assumptions!$B$50/N108</f>
        <v/>
      </c>
      <c r="P108">
        <f>Assumptions!$B$54/K108</f>
        <v/>
      </c>
      <c r="Q108">
        <f>H108*(1-Assumptions!$B$55)</f>
        <v/>
      </c>
      <c r="R108">
        <f>MIN(P108,Q108)</f>
        <v/>
      </c>
      <c r="S108">
        <f>Assumptions!$B$53/R108</f>
        <v/>
      </c>
      <c r="T108">
        <f>Assumptions!$B$27*(Assumptions!$B$64+$B$105/Assumptions!$B$27)/(Assumptions!$B$64+J108)</f>
        <v/>
      </c>
      <c r="U108">
        <f>IF(H108&lt;Assumptions!$B$27,Assumptions!$B$27/T108,1)</f>
        <v/>
      </c>
      <c r="V108">
        <f>Assumptions!$B$26*(Assumptions!$B$64+$B$105/Assumptions!$B$26)/(Assumptions!$B$64+J108)</f>
        <v/>
      </c>
      <c r="W108">
        <f>IF(H108&lt;Assumptions!$B$26,Assumptions!$B$26/V108,1)</f>
        <v/>
      </c>
    </row>
    <row r="109">
      <c r="A109" t="n">
        <v>1</v>
      </c>
      <c r="B109">
        <f>U108</f>
        <v/>
      </c>
      <c r="C109">
        <f>W108</f>
        <v/>
      </c>
      <c r="D109">
        <f>O108</f>
        <v/>
      </c>
      <c r="E109">
        <f>S108</f>
        <v/>
      </c>
      <c r="F109">
        <f>Assumptions!$B$16*B109</f>
        <v/>
      </c>
      <c r="G109">
        <f>Assumptions!$B$15*C109</f>
        <v/>
      </c>
      <c r="H109">
        <f>IF($B$101*($B$104/(($B$104*(1-$B$101)-$B$105)/((Assumptions!$B$9+Assumptions!$B$11+Assumptions!$B$12+Assumptions!$B$13+Assumptions!$B$14)+G109+F109+D109+E109)))&lt;Assumptions!$B$65,($B$104-$B$105)/(((Assumptions!$B$9+Assumptions!$B$11+Assumptions!$B$12+Assumptions!$B$13+Assumptions!$B$14)+G109+F109+D109+E109)+Assumptions!$B$65),($B$104*(1-$B$101)-$B$105)/((Assumptions!$B$9+Assumptions!$B$11+Assumptions!$B$12+Assumptions!$B$13+Assumptions!$B$14)+G109+F109+D109+E109))</f>
        <v/>
      </c>
      <c r="I109">
        <f>$B$104/H109</f>
        <v/>
      </c>
      <c r="J109">
        <f>$B$105/H109</f>
        <v/>
      </c>
      <c r="K109">
        <f>I109-J109</f>
        <v/>
      </c>
      <c r="L109">
        <f>Assumptions!$B$51/K109</f>
        <v/>
      </c>
      <c r="M109">
        <f>H109*(1-Assumptions!$B$52)</f>
        <v/>
      </c>
      <c r="N109">
        <f>MIN(L109,M109)</f>
        <v/>
      </c>
      <c r="O109">
        <f>Assumptions!$B$50/N109</f>
        <v/>
      </c>
      <c r="P109">
        <f>Assumptions!$B$54/K109</f>
        <v/>
      </c>
      <c r="Q109">
        <f>H109*(1-Assumptions!$B$55)</f>
        <v/>
      </c>
      <c r="R109">
        <f>MIN(P109,Q109)</f>
        <v/>
      </c>
      <c r="S109">
        <f>Assumptions!$B$53/R109</f>
        <v/>
      </c>
      <c r="T109">
        <f>Assumptions!$B$27*(Assumptions!$B$64+$B$105/Assumptions!$B$27)/(Assumptions!$B$64+J109)</f>
        <v/>
      </c>
      <c r="U109">
        <f>IF(H109&lt;Assumptions!$B$27,Assumptions!$B$27/T109,1)</f>
        <v/>
      </c>
      <c r="V109">
        <f>Assumptions!$B$26*(Assumptions!$B$64+$B$105/Assumptions!$B$26)/(Assumptions!$B$64+J109)</f>
        <v/>
      </c>
      <c r="W109">
        <f>IF(H109&lt;Assumptions!$B$26,Assumptions!$B$26/V109,1)</f>
        <v/>
      </c>
    </row>
    <row r="110">
      <c r="A110" t="n">
        <v>2</v>
      </c>
      <c r="B110">
        <f>U109</f>
        <v/>
      </c>
      <c r="C110">
        <f>W109</f>
        <v/>
      </c>
      <c r="D110">
        <f>O109</f>
        <v/>
      </c>
      <c r="E110">
        <f>S109</f>
        <v/>
      </c>
      <c r="F110">
        <f>Assumptions!$B$16*B110</f>
        <v/>
      </c>
      <c r="G110">
        <f>Assumptions!$B$15*C110</f>
        <v/>
      </c>
      <c r="H110">
        <f>IF($B$101*($B$104/(($B$104*(1-$B$101)-$B$105)/((Assumptions!$B$9+Assumptions!$B$11+Assumptions!$B$12+Assumptions!$B$13+Assumptions!$B$14)+G110+F110+D110+E110)))&lt;Assumptions!$B$65,($B$104-$B$105)/(((Assumptions!$B$9+Assumptions!$B$11+Assumptions!$B$12+Assumptions!$B$13+Assumptions!$B$14)+G110+F110+D110+E110)+Assumptions!$B$65),($B$104*(1-$B$101)-$B$105)/((Assumptions!$B$9+Assumptions!$B$11+Assumptions!$B$12+Assumptions!$B$13+Assumptions!$B$14)+G110+F110+D110+E110))</f>
        <v/>
      </c>
      <c r="I110">
        <f>$B$104/H110</f>
        <v/>
      </c>
      <c r="J110">
        <f>$B$105/H110</f>
        <v/>
      </c>
      <c r="K110">
        <f>I110-J110</f>
        <v/>
      </c>
      <c r="L110">
        <f>Assumptions!$B$51/K110</f>
        <v/>
      </c>
      <c r="M110">
        <f>H110*(1-Assumptions!$B$52)</f>
        <v/>
      </c>
      <c r="N110">
        <f>MIN(L110,M110)</f>
        <v/>
      </c>
      <c r="O110">
        <f>Assumptions!$B$50/N110</f>
        <v/>
      </c>
      <c r="P110">
        <f>Assumptions!$B$54/K110</f>
        <v/>
      </c>
      <c r="Q110">
        <f>H110*(1-Assumptions!$B$55)</f>
        <v/>
      </c>
      <c r="R110">
        <f>MIN(P110,Q110)</f>
        <v/>
      </c>
      <c r="S110">
        <f>Assumptions!$B$53/R110</f>
        <v/>
      </c>
      <c r="T110">
        <f>Assumptions!$B$27*(Assumptions!$B$64+$B$105/Assumptions!$B$27)/(Assumptions!$B$64+J110)</f>
        <v/>
      </c>
      <c r="U110">
        <f>IF(H110&lt;Assumptions!$B$27,Assumptions!$B$27/T110,1)</f>
        <v/>
      </c>
      <c r="V110">
        <f>Assumptions!$B$26*(Assumptions!$B$64+$B$105/Assumptions!$B$26)/(Assumptions!$B$64+J110)</f>
        <v/>
      </c>
      <c r="W110">
        <f>IF(H110&lt;Assumptions!$B$26,Assumptions!$B$26/V110,1)</f>
        <v/>
      </c>
    </row>
    <row r="111">
      <c r="A111" t="n">
        <v>3</v>
      </c>
      <c r="B111">
        <f>U110</f>
        <v/>
      </c>
      <c r="C111">
        <f>W110</f>
        <v/>
      </c>
      <c r="D111">
        <f>O110</f>
        <v/>
      </c>
      <c r="E111">
        <f>S110</f>
        <v/>
      </c>
      <c r="F111">
        <f>Assumptions!$B$16*B111</f>
        <v/>
      </c>
      <c r="G111">
        <f>Assumptions!$B$15*C111</f>
        <v/>
      </c>
      <c r="H111">
        <f>IF($B$101*($B$104/(($B$104*(1-$B$101)-$B$105)/((Assumptions!$B$9+Assumptions!$B$11+Assumptions!$B$12+Assumptions!$B$13+Assumptions!$B$14)+G111+F111+D111+E111)))&lt;Assumptions!$B$65,($B$104-$B$105)/(((Assumptions!$B$9+Assumptions!$B$11+Assumptions!$B$12+Assumptions!$B$13+Assumptions!$B$14)+G111+F111+D111+E111)+Assumptions!$B$65),($B$104*(1-$B$101)-$B$105)/((Assumptions!$B$9+Assumptions!$B$11+Assumptions!$B$12+Assumptions!$B$13+Assumptions!$B$14)+G111+F111+D111+E111))</f>
        <v/>
      </c>
      <c r="I111">
        <f>$B$104/H111</f>
        <v/>
      </c>
      <c r="J111">
        <f>$B$105/H111</f>
        <v/>
      </c>
      <c r="K111">
        <f>I111-J111</f>
        <v/>
      </c>
      <c r="L111">
        <f>Assumptions!$B$51/K111</f>
        <v/>
      </c>
      <c r="M111">
        <f>H111*(1-Assumptions!$B$52)</f>
        <v/>
      </c>
      <c r="N111">
        <f>MIN(L111,M111)</f>
        <v/>
      </c>
      <c r="O111">
        <f>Assumptions!$B$50/N111</f>
        <v/>
      </c>
      <c r="P111">
        <f>Assumptions!$B$54/K111</f>
        <v/>
      </c>
      <c r="Q111">
        <f>H111*(1-Assumptions!$B$55)</f>
        <v/>
      </c>
      <c r="R111">
        <f>MIN(P111,Q111)</f>
        <v/>
      </c>
      <c r="S111">
        <f>Assumptions!$B$53/R111</f>
        <v/>
      </c>
      <c r="T111">
        <f>Assumptions!$B$27*(Assumptions!$B$64+$B$105/Assumptions!$B$27)/(Assumptions!$B$64+J111)</f>
        <v/>
      </c>
      <c r="U111">
        <f>IF(H111&lt;Assumptions!$B$27,Assumptions!$B$27/T111,1)</f>
        <v/>
      </c>
      <c r="V111">
        <f>Assumptions!$B$26*(Assumptions!$B$64+$B$105/Assumptions!$B$26)/(Assumptions!$B$64+J111)</f>
        <v/>
      </c>
      <c r="W111">
        <f>IF(H111&lt;Assumptions!$B$26,Assumptions!$B$26/V111,1)</f>
        <v/>
      </c>
    </row>
    <row r="112">
      <c r="A112" t="n">
        <v>4</v>
      </c>
      <c r="B112">
        <f>U111</f>
        <v/>
      </c>
      <c r="C112">
        <f>W111</f>
        <v/>
      </c>
      <c r="D112">
        <f>O111</f>
        <v/>
      </c>
      <c r="E112">
        <f>S111</f>
        <v/>
      </c>
      <c r="F112">
        <f>Assumptions!$B$16*B112</f>
        <v/>
      </c>
      <c r="G112">
        <f>Assumptions!$B$15*C112</f>
        <v/>
      </c>
      <c r="H112">
        <f>IF($B$101*($B$104/(($B$104*(1-$B$101)-$B$105)/((Assumptions!$B$9+Assumptions!$B$11+Assumptions!$B$12+Assumptions!$B$13+Assumptions!$B$14)+G112+F112+D112+E112)))&lt;Assumptions!$B$65,($B$104-$B$105)/(((Assumptions!$B$9+Assumptions!$B$11+Assumptions!$B$12+Assumptions!$B$13+Assumptions!$B$14)+G112+F112+D112+E112)+Assumptions!$B$65),($B$104*(1-$B$101)-$B$105)/((Assumptions!$B$9+Assumptions!$B$11+Assumptions!$B$12+Assumptions!$B$13+Assumptions!$B$14)+G112+F112+D112+E112))</f>
        <v/>
      </c>
      <c r="I112">
        <f>$B$104/H112</f>
        <v/>
      </c>
      <c r="J112">
        <f>$B$105/H112</f>
        <v/>
      </c>
      <c r="K112">
        <f>I112-J112</f>
        <v/>
      </c>
      <c r="L112">
        <f>Assumptions!$B$51/K112</f>
        <v/>
      </c>
      <c r="M112">
        <f>H112*(1-Assumptions!$B$52)</f>
        <v/>
      </c>
      <c r="N112">
        <f>MIN(L112,M112)</f>
        <v/>
      </c>
      <c r="O112">
        <f>Assumptions!$B$50/N112</f>
        <v/>
      </c>
      <c r="P112">
        <f>Assumptions!$B$54/K112</f>
        <v/>
      </c>
      <c r="Q112">
        <f>H112*(1-Assumptions!$B$55)</f>
        <v/>
      </c>
      <c r="R112">
        <f>MIN(P112,Q112)</f>
        <v/>
      </c>
      <c r="S112">
        <f>Assumptions!$B$53/R112</f>
        <v/>
      </c>
      <c r="T112">
        <f>Assumptions!$B$27*(Assumptions!$B$64+$B$105/Assumptions!$B$27)/(Assumptions!$B$64+J112)</f>
        <v/>
      </c>
      <c r="U112">
        <f>IF(H112&lt;Assumptions!$B$27,Assumptions!$B$27/T112,1)</f>
        <v/>
      </c>
      <c r="V112">
        <f>Assumptions!$B$26*(Assumptions!$B$64+$B$105/Assumptions!$B$26)/(Assumptions!$B$64+J112)</f>
        <v/>
      </c>
      <c r="W112">
        <f>IF(H112&lt;Assumptions!$B$26,Assumptions!$B$26/V112,1)</f>
        <v/>
      </c>
    </row>
    <row r="113">
      <c r="A113" t="n">
        <v>5</v>
      </c>
      <c r="B113">
        <f>U112</f>
        <v/>
      </c>
      <c r="C113">
        <f>W112</f>
        <v/>
      </c>
      <c r="D113">
        <f>O112</f>
        <v/>
      </c>
      <c r="E113">
        <f>S112</f>
        <v/>
      </c>
      <c r="F113">
        <f>Assumptions!$B$16*B113</f>
        <v/>
      </c>
      <c r="G113">
        <f>Assumptions!$B$15*C113</f>
        <v/>
      </c>
      <c r="H113">
        <f>IF($B$101*($B$104/(($B$104*(1-$B$101)-$B$105)/((Assumptions!$B$9+Assumptions!$B$11+Assumptions!$B$12+Assumptions!$B$13+Assumptions!$B$14)+G113+F113+D113+E113)))&lt;Assumptions!$B$65,($B$104-$B$105)/(((Assumptions!$B$9+Assumptions!$B$11+Assumptions!$B$12+Assumptions!$B$13+Assumptions!$B$14)+G113+F113+D113+E113)+Assumptions!$B$65),($B$104*(1-$B$101)-$B$105)/((Assumptions!$B$9+Assumptions!$B$11+Assumptions!$B$12+Assumptions!$B$13+Assumptions!$B$14)+G113+F113+D113+E113))</f>
        <v/>
      </c>
      <c r="I113">
        <f>$B$104/H113</f>
        <v/>
      </c>
      <c r="J113">
        <f>$B$105/H113</f>
        <v/>
      </c>
      <c r="K113">
        <f>I113-J113</f>
        <v/>
      </c>
      <c r="L113">
        <f>Assumptions!$B$51/K113</f>
        <v/>
      </c>
      <c r="M113">
        <f>H113*(1-Assumptions!$B$52)</f>
        <v/>
      </c>
      <c r="N113">
        <f>MIN(L113,M113)</f>
        <v/>
      </c>
      <c r="O113">
        <f>Assumptions!$B$50/N113</f>
        <v/>
      </c>
      <c r="P113">
        <f>Assumptions!$B$54/K113</f>
        <v/>
      </c>
      <c r="Q113">
        <f>H113*(1-Assumptions!$B$55)</f>
        <v/>
      </c>
      <c r="R113">
        <f>MIN(P113,Q113)</f>
        <v/>
      </c>
      <c r="S113">
        <f>Assumptions!$B$53/R113</f>
        <v/>
      </c>
      <c r="T113">
        <f>Assumptions!$B$27*(Assumptions!$B$64+$B$105/Assumptions!$B$27)/(Assumptions!$B$64+J113)</f>
        <v/>
      </c>
      <c r="U113">
        <f>IF(H113&lt;Assumptions!$B$27,Assumptions!$B$27/T113,1)</f>
        <v/>
      </c>
      <c r="V113">
        <f>Assumptions!$B$26*(Assumptions!$B$64+$B$105/Assumptions!$B$26)/(Assumptions!$B$64+J113)</f>
        <v/>
      </c>
      <c r="W113">
        <f>IF(H113&lt;Assumptions!$B$26,Assumptions!$B$26/V113,1)</f>
        <v/>
      </c>
    </row>
    <row r="114">
      <c r="A114" t="n">
        <v>6</v>
      </c>
      <c r="B114">
        <f>U113</f>
        <v/>
      </c>
      <c r="C114">
        <f>W113</f>
        <v/>
      </c>
      <c r="D114">
        <f>O113</f>
        <v/>
      </c>
      <c r="E114">
        <f>S113</f>
        <v/>
      </c>
      <c r="F114">
        <f>Assumptions!$B$16*B114</f>
        <v/>
      </c>
      <c r="G114">
        <f>Assumptions!$B$15*C114</f>
        <v/>
      </c>
      <c r="H114">
        <f>IF($B$101*($B$104/(($B$104*(1-$B$101)-$B$105)/((Assumptions!$B$9+Assumptions!$B$11+Assumptions!$B$12+Assumptions!$B$13+Assumptions!$B$14)+G114+F114+D114+E114)))&lt;Assumptions!$B$65,($B$104-$B$105)/(((Assumptions!$B$9+Assumptions!$B$11+Assumptions!$B$12+Assumptions!$B$13+Assumptions!$B$14)+G114+F114+D114+E114)+Assumptions!$B$65),($B$104*(1-$B$101)-$B$105)/((Assumptions!$B$9+Assumptions!$B$11+Assumptions!$B$12+Assumptions!$B$13+Assumptions!$B$14)+G114+F114+D114+E114))</f>
        <v/>
      </c>
      <c r="I114">
        <f>$B$104/H114</f>
        <v/>
      </c>
      <c r="J114">
        <f>$B$105/H114</f>
        <v/>
      </c>
      <c r="K114">
        <f>I114-J114</f>
        <v/>
      </c>
      <c r="L114">
        <f>Assumptions!$B$51/K114</f>
        <v/>
      </c>
      <c r="M114">
        <f>H114*(1-Assumptions!$B$52)</f>
        <v/>
      </c>
      <c r="N114">
        <f>MIN(L114,M114)</f>
        <v/>
      </c>
      <c r="O114">
        <f>Assumptions!$B$50/N114</f>
        <v/>
      </c>
      <c r="P114">
        <f>Assumptions!$B$54/K114</f>
        <v/>
      </c>
      <c r="Q114">
        <f>H114*(1-Assumptions!$B$55)</f>
        <v/>
      </c>
      <c r="R114">
        <f>MIN(P114,Q114)</f>
        <v/>
      </c>
      <c r="S114">
        <f>Assumptions!$B$53/R114</f>
        <v/>
      </c>
      <c r="T114">
        <f>Assumptions!$B$27*(Assumptions!$B$64+$B$105/Assumptions!$B$27)/(Assumptions!$B$64+J114)</f>
        <v/>
      </c>
      <c r="U114">
        <f>IF(H114&lt;Assumptions!$B$27,Assumptions!$B$27/T114,1)</f>
        <v/>
      </c>
      <c r="V114">
        <f>Assumptions!$B$26*(Assumptions!$B$64+$B$105/Assumptions!$B$26)/(Assumptions!$B$64+J114)</f>
        <v/>
      </c>
      <c r="W114">
        <f>IF(H114&lt;Assumptions!$B$26,Assumptions!$B$26/V114,1)</f>
        <v/>
      </c>
    </row>
    <row r="115">
      <c r="A115" t="n">
        <v>7</v>
      </c>
      <c r="B115">
        <f>U114</f>
        <v/>
      </c>
      <c r="C115">
        <f>W114</f>
        <v/>
      </c>
      <c r="D115">
        <f>O114</f>
        <v/>
      </c>
      <c r="E115">
        <f>S114</f>
        <v/>
      </c>
      <c r="F115">
        <f>Assumptions!$B$16*B115</f>
        <v/>
      </c>
      <c r="G115">
        <f>Assumptions!$B$15*C115</f>
        <v/>
      </c>
      <c r="H115">
        <f>IF($B$101*($B$104/(($B$104*(1-$B$101)-$B$105)/((Assumptions!$B$9+Assumptions!$B$11+Assumptions!$B$12+Assumptions!$B$13+Assumptions!$B$14)+G115+F115+D115+E115)))&lt;Assumptions!$B$65,($B$104-$B$105)/(((Assumptions!$B$9+Assumptions!$B$11+Assumptions!$B$12+Assumptions!$B$13+Assumptions!$B$14)+G115+F115+D115+E115)+Assumptions!$B$65),($B$104*(1-$B$101)-$B$105)/((Assumptions!$B$9+Assumptions!$B$11+Assumptions!$B$12+Assumptions!$B$13+Assumptions!$B$14)+G115+F115+D115+E115))</f>
        <v/>
      </c>
      <c r="I115">
        <f>$B$104/H115</f>
        <v/>
      </c>
      <c r="J115">
        <f>$B$105/H115</f>
        <v/>
      </c>
      <c r="K115">
        <f>I115-J115</f>
        <v/>
      </c>
      <c r="L115">
        <f>Assumptions!$B$51/K115</f>
        <v/>
      </c>
      <c r="M115">
        <f>H115*(1-Assumptions!$B$52)</f>
        <v/>
      </c>
      <c r="N115">
        <f>MIN(L115,M115)</f>
        <v/>
      </c>
      <c r="O115">
        <f>Assumptions!$B$50/N115</f>
        <v/>
      </c>
      <c r="P115">
        <f>Assumptions!$B$54/K115</f>
        <v/>
      </c>
      <c r="Q115">
        <f>H115*(1-Assumptions!$B$55)</f>
        <v/>
      </c>
      <c r="R115">
        <f>MIN(P115,Q115)</f>
        <v/>
      </c>
      <c r="S115">
        <f>Assumptions!$B$53/R115</f>
        <v/>
      </c>
      <c r="T115">
        <f>Assumptions!$B$27*(Assumptions!$B$64+$B$105/Assumptions!$B$27)/(Assumptions!$B$64+J115)</f>
        <v/>
      </c>
      <c r="U115">
        <f>IF(H115&lt;Assumptions!$B$27,Assumptions!$B$27/T115,1)</f>
        <v/>
      </c>
      <c r="V115">
        <f>Assumptions!$B$26*(Assumptions!$B$64+$B$105/Assumptions!$B$26)/(Assumptions!$B$64+J115)</f>
        <v/>
      </c>
      <c r="W115">
        <f>IF(H115&lt;Assumptions!$B$26,Assumptions!$B$26/V115,1)</f>
        <v/>
      </c>
    </row>
    <row r="116">
      <c r="A116" t="n">
        <v>8</v>
      </c>
      <c r="B116">
        <f>U115</f>
        <v/>
      </c>
      <c r="C116">
        <f>W115</f>
        <v/>
      </c>
      <c r="D116">
        <f>O115</f>
        <v/>
      </c>
      <c r="E116">
        <f>S115</f>
        <v/>
      </c>
      <c r="F116">
        <f>Assumptions!$B$16*B116</f>
        <v/>
      </c>
      <c r="G116">
        <f>Assumptions!$B$15*C116</f>
        <v/>
      </c>
      <c r="H116">
        <f>IF($B$101*($B$104/(($B$104*(1-$B$101)-$B$105)/((Assumptions!$B$9+Assumptions!$B$11+Assumptions!$B$12+Assumptions!$B$13+Assumptions!$B$14)+G116+F116+D116+E116)))&lt;Assumptions!$B$65,($B$104-$B$105)/(((Assumptions!$B$9+Assumptions!$B$11+Assumptions!$B$12+Assumptions!$B$13+Assumptions!$B$14)+G116+F116+D116+E116)+Assumptions!$B$65),($B$104*(1-$B$101)-$B$105)/((Assumptions!$B$9+Assumptions!$B$11+Assumptions!$B$12+Assumptions!$B$13+Assumptions!$B$14)+G116+F116+D116+E116))</f>
        <v/>
      </c>
      <c r="I116">
        <f>$B$104/H116</f>
        <v/>
      </c>
      <c r="J116">
        <f>$B$105/H116</f>
        <v/>
      </c>
      <c r="K116">
        <f>I116-J116</f>
        <v/>
      </c>
      <c r="L116">
        <f>Assumptions!$B$51/K116</f>
        <v/>
      </c>
      <c r="M116">
        <f>H116*(1-Assumptions!$B$52)</f>
        <v/>
      </c>
      <c r="N116">
        <f>MIN(L116,M116)</f>
        <v/>
      </c>
      <c r="O116">
        <f>Assumptions!$B$50/N116</f>
        <v/>
      </c>
      <c r="P116">
        <f>Assumptions!$B$54/K116</f>
        <v/>
      </c>
      <c r="Q116">
        <f>H116*(1-Assumptions!$B$55)</f>
        <v/>
      </c>
      <c r="R116">
        <f>MIN(P116,Q116)</f>
        <v/>
      </c>
      <c r="S116">
        <f>Assumptions!$B$53/R116</f>
        <v/>
      </c>
      <c r="T116">
        <f>Assumptions!$B$27*(Assumptions!$B$64+$B$105/Assumptions!$B$27)/(Assumptions!$B$64+J116)</f>
        <v/>
      </c>
      <c r="U116">
        <f>IF(H116&lt;Assumptions!$B$27,Assumptions!$B$27/T116,1)</f>
        <v/>
      </c>
      <c r="V116">
        <f>Assumptions!$B$26*(Assumptions!$B$64+$B$105/Assumptions!$B$26)/(Assumptions!$B$64+J116)</f>
        <v/>
      </c>
      <c r="W116">
        <f>IF(H116&lt;Assumptions!$B$26,Assumptions!$B$26/V116,1)</f>
        <v/>
      </c>
    </row>
    <row r="117">
      <c r="A117" t="n">
        <v>9</v>
      </c>
      <c r="B117">
        <f>U116</f>
        <v/>
      </c>
      <c r="C117">
        <f>W116</f>
        <v/>
      </c>
      <c r="D117">
        <f>O116</f>
        <v/>
      </c>
      <c r="E117">
        <f>S116</f>
        <v/>
      </c>
      <c r="F117">
        <f>Assumptions!$B$16*B117</f>
        <v/>
      </c>
      <c r="G117">
        <f>Assumptions!$B$15*C117</f>
        <v/>
      </c>
      <c r="H117">
        <f>IF($B$101*($B$104/(($B$104*(1-$B$101)-$B$105)/((Assumptions!$B$9+Assumptions!$B$11+Assumptions!$B$12+Assumptions!$B$13+Assumptions!$B$14)+G117+F117+D117+E117)))&lt;Assumptions!$B$65,($B$104-$B$105)/(((Assumptions!$B$9+Assumptions!$B$11+Assumptions!$B$12+Assumptions!$B$13+Assumptions!$B$14)+G117+F117+D117+E117)+Assumptions!$B$65),($B$104*(1-$B$101)-$B$105)/((Assumptions!$B$9+Assumptions!$B$11+Assumptions!$B$12+Assumptions!$B$13+Assumptions!$B$14)+G117+F117+D117+E117))</f>
        <v/>
      </c>
      <c r="I117">
        <f>$B$104/H117</f>
        <v/>
      </c>
      <c r="J117">
        <f>$B$105/H117</f>
        <v/>
      </c>
      <c r="K117">
        <f>I117-J117</f>
        <v/>
      </c>
      <c r="L117">
        <f>Assumptions!$B$51/K117</f>
        <v/>
      </c>
      <c r="M117">
        <f>H117*(1-Assumptions!$B$52)</f>
        <v/>
      </c>
      <c r="N117">
        <f>MIN(L117,M117)</f>
        <v/>
      </c>
      <c r="O117">
        <f>Assumptions!$B$50/N117</f>
        <v/>
      </c>
      <c r="P117">
        <f>Assumptions!$B$54/K117</f>
        <v/>
      </c>
      <c r="Q117">
        <f>H117*(1-Assumptions!$B$55)</f>
        <v/>
      </c>
      <c r="R117">
        <f>MIN(P117,Q117)</f>
        <v/>
      </c>
      <c r="S117">
        <f>Assumptions!$B$53/R117</f>
        <v/>
      </c>
      <c r="T117">
        <f>Assumptions!$B$27*(Assumptions!$B$64+$B$105/Assumptions!$B$27)/(Assumptions!$B$64+J117)</f>
        <v/>
      </c>
      <c r="U117">
        <f>IF(H117&lt;Assumptions!$B$27,Assumptions!$B$27/T117,1)</f>
        <v/>
      </c>
      <c r="V117">
        <f>Assumptions!$B$26*(Assumptions!$B$64+$B$105/Assumptions!$B$26)/(Assumptions!$B$64+J117)</f>
        <v/>
      </c>
      <c r="W117">
        <f>IF(H117&lt;Assumptions!$B$26,Assumptions!$B$26/V117,1)</f>
        <v/>
      </c>
    </row>
    <row r="118">
      <c r="A118" t="n">
        <v>10</v>
      </c>
      <c r="B118">
        <f>U117</f>
        <v/>
      </c>
      <c r="C118">
        <f>W117</f>
        <v/>
      </c>
      <c r="D118">
        <f>O117</f>
        <v/>
      </c>
      <c r="E118">
        <f>S117</f>
        <v/>
      </c>
      <c r="F118">
        <f>Assumptions!$B$16*B118</f>
        <v/>
      </c>
      <c r="G118">
        <f>Assumptions!$B$15*C118</f>
        <v/>
      </c>
      <c r="H118">
        <f>IF($B$101*($B$104/(($B$104*(1-$B$101)-$B$105)/((Assumptions!$B$9+Assumptions!$B$11+Assumptions!$B$12+Assumptions!$B$13+Assumptions!$B$14)+G118+F118+D118+E118)))&lt;Assumptions!$B$65,($B$104-$B$105)/(((Assumptions!$B$9+Assumptions!$B$11+Assumptions!$B$12+Assumptions!$B$13+Assumptions!$B$14)+G118+F118+D118+E118)+Assumptions!$B$65),($B$104*(1-$B$101)-$B$105)/((Assumptions!$B$9+Assumptions!$B$11+Assumptions!$B$12+Assumptions!$B$13+Assumptions!$B$14)+G118+F118+D118+E118))</f>
        <v/>
      </c>
      <c r="I118">
        <f>$B$104/H118</f>
        <v/>
      </c>
      <c r="J118">
        <f>$B$105/H118</f>
        <v/>
      </c>
      <c r="K118">
        <f>I118-J118</f>
        <v/>
      </c>
      <c r="L118">
        <f>Assumptions!$B$51/K118</f>
        <v/>
      </c>
      <c r="M118">
        <f>H118*(1-Assumptions!$B$52)</f>
        <v/>
      </c>
      <c r="N118">
        <f>MIN(L118,M118)</f>
        <v/>
      </c>
      <c r="O118">
        <f>Assumptions!$B$50/N118</f>
        <v/>
      </c>
      <c r="P118">
        <f>Assumptions!$B$54/K118</f>
        <v/>
      </c>
      <c r="Q118">
        <f>H118*(1-Assumptions!$B$55)</f>
        <v/>
      </c>
      <c r="R118">
        <f>MIN(P118,Q118)</f>
        <v/>
      </c>
      <c r="S118">
        <f>Assumptions!$B$53/R118</f>
        <v/>
      </c>
      <c r="T118">
        <f>Assumptions!$B$27*(Assumptions!$B$64+$B$105/Assumptions!$B$27)/(Assumptions!$B$64+J118)</f>
        <v/>
      </c>
      <c r="U118">
        <f>IF(H118&lt;Assumptions!$B$27,Assumptions!$B$27/T118,1)</f>
        <v/>
      </c>
      <c r="V118">
        <f>Assumptions!$B$26*(Assumptions!$B$64+$B$105/Assumptions!$B$26)/(Assumptions!$B$64+J118)</f>
        <v/>
      </c>
      <c r="W118">
        <f>IF(H118&lt;Assumptions!$B$26,Assumptions!$B$26/V118,1)</f>
        <v/>
      </c>
    </row>
    <row r="119">
      <c r="A119" t="n">
        <v>11</v>
      </c>
      <c r="B119">
        <f>U118</f>
        <v/>
      </c>
      <c r="C119">
        <f>W118</f>
        <v/>
      </c>
      <c r="D119">
        <f>O118</f>
        <v/>
      </c>
      <c r="E119">
        <f>S118</f>
        <v/>
      </c>
      <c r="F119">
        <f>Assumptions!$B$16*B119</f>
        <v/>
      </c>
      <c r="G119">
        <f>Assumptions!$B$15*C119</f>
        <v/>
      </c>
      <c r="H119">
        <f>IF($B$101*($B$104/(($B$104*(1-$B$101)-$B$105)/((Assumptions!$B$9+Assumptions!$B$11+Assumptions!$B$12+Assumptions!$B$13+Assumptions!$B$14)+G119+F119+D119+E119)))&lt;Assumptions!$B$65,($B$104-$B$105)/(((Assumptions!$B$9+Assumptions!$B$11+Assumptions!$B$12+Assumptions!$B$13+Assumptions!$B$14)+G119+F119+D119+E119)+Assumptions!$B$65),($B$104*(1-$B$101)-$B$105)/((Assumptions!$B$9+Assumptions!$B$11+Assumptions!$B$12+Assumptions!$B$13+Assumptions!$B$14)+G119+F119+D119+E119))</f>
        <v/>
      </c>
      <c r="I119">
        <f>$B$104/H119</f>
        <v/>
      </c>
      <c r="J119">
        <f>$B$105/H119</f>
        <v/>
      </c>
      <c r="K119">
        <f>I119-J119</f>
        <v/>
      </c>
      <c r="L119">
        <f>Assumptions!$B$51/K119</f>
        <v/>
      </c>
      <c r="M119">
        <f>H119*(1-Assumptions!$B$52)</f>
        <v/>
      </c>
      <c r="N119">
        <f>MIN(L119,M119)</f>
        <v/>
      </c>
      <c r="O119">
        <f>Assumptions!$B$50/N119</f>
        <v/>
      </c>
      <c r="P119">
        <f>Assumptions!$B$54/K119</f>
        <v/>
      </c>
      <c r="Q119">
        <f>H119*(1-Assumptions!$B$55)</f>
        <v/>
      </c>
      <c r="R119">
        <f>MIN(P119,Q119)</f>
        <v/>
      </c>
      <c r="S119">
        <f>Assumptions!$B$53/R119</f>
        <v/>
      </c>
      <c r="T119">
        <f>Assumptions!$B$27*(Assumptions!$B$64+$B$105/Assumptions!$B$27)/(Assumptions!$B$64+J119)</f>
        <v/>
      </c>
      <c r="U119">
        <f>IF(H119&lt;Assumptions!$B$27,Assumptions!$B$27/T119,1)</f>
        <v/>
      </c>
      <c r="V119">
        <f>Assumptions!$B$26*(Assumptions!$B$64+$B$105/Assumptions!$B$26)/(Assumptions!$B$64+J119)</f>
        <v/>
      </c>
      <c r="W119">
        <f>IF(H119&lt;Assumptions!$B$26,Assumptions!$B$26/V119,1)</f>
        <v/>
      </c>
    </row>
    <row r="120">
      <c r="A120" t="n">
        <v>12</v>
      </c>
      <c r="B120">
        <f>U119</f>
        <v/>
      </c>
      <c r="C120">
        <f>W119</f>
        <v/>
      </c>
      <c r="D120">
        <f>O119</f>
        <v/>
      </c>
      <c r="E120">
        <f>S119</f>
        <v/>
      </c>
      <c r="F120">
        <f>Assumptions!$B$16*B120</f>
        <v/>
      </c>
      <c r="G120">
        <f>Assumptions!$B$15*C120</f>
        <v/>
      </c>
      <c r="H120">
        <f>IF($B$101*($B$104/(($B$104*(1-$B$101)-$B$105)/((Assumptions!$B$9+Assumptions!$B$11+Assumptions!$B$12+Assumptions!$B$13+Assumptions!$B$14)+G120+F120+D120+E120)))&lt;Assumptions!$B$65,($B$104-$B$105)/(((Assumptions!$B$9+Assumptions!$B$11+Assumptions!$B$12+Assumptions!$B$13+Assumptions!$B$14)+G120+F120+D120+E120)+Assumptions!$B$65),($B$104*(1-$B$101)-$B$105)/((Assumptions!$B$9+Assumptions!$B$11+Assumptions!$B$12+Assumptions!$B$13+Assumptions!$B$14)+G120+F120+D120+E120))</f>
        <v/>
      </c>
      <c r="I120">
        <f>$B$104/H120</f>
        <v/>
      </c>
      <c r="J120">
        <f>$B$105/H120</f>
        <v/>
      </c>
      <c r="K120">
        <f>I120-J120</f>
        <v/>
      </c>
      <c r="L120">
        <f>Assumptions!$B$51/K120</f>
        <v/>
      </c>
      <c r="M120">
        <f>H120*(1-Assumptions!$B$52)</f>
        <v/>
      </c>
      <c r="N120">
        <f>MIN(L120,M120)</f>
        <v/>
      </c>
      <c r="O120">
        <f>Assumptions!$B$50/N120</f>
        <v/>
      </c>
      <c r="P120">
        <f>Assumptions!$B$54/K120</f>
        <v/>
      </c>
      <c r="Q120">
        <f>H120*(1-Assumptions!$B$55)</f>
        <v/>
      </c>
      <c r="R120">
        <f>MIN(P120,Q120)</f>
        <v/>
      </c>
      <c r="S120">
        <f>Assumptions!$B$53/R120</f>
        <v/>
      </c>
      <c r="T120">
        <f>Assumptions!$B$27*(Assumptions!$B$64+$B$105/Assumptions!$B$27)/(Assumptions!$B$64+J120)</f>
        <v/>
      </c>
      <c r="U120">
        <f>IF(H120&lt;Assumptions!$B$27,Assumptions!$B$27/T120,1)</f>
        <v/>
      </c>
      <c r="V120">
        <f>Assumptions!$B$26*(Assumptions!$B$64+$B$105/Assumptions!$B$26)/(Assumptions!$B$64+J120)</f>
        <v/>
      </c>
      <c r="W120">
        <f>IF(H120&lt;Assumptions!$B$26,Assumptions!$B$26/V120,1)</f>
        <v/>
      </c>
    </row>
    <row r="121">
      <c r="A121" t="n">
        <v>13</v>
      </c>
      <c r="B121">
        <f>U120</f>
        <v/>
      </c>
      <c r="C121">
        <f>W120</f>
        <v/>
      </c>
      <c r="D121">
        <f>O120</f>
        <v/>
      </c>
      <c r="E121">
        <f>S120</f>
        <v/>
      </c>
      <c r="F121">
        <f>Assumptions!$B$16*B121</f>
        <v/>
      </c>
      <c r="G121">
        <f>Assumptions!$B$15*C121</f>
        <v/>
      </c>
      <c r="H121">
        <f>IF($B$101*($B$104/(($B$104*(1-$B$101)-$B$105)/((Assumptions!$B$9+Assumptions!$B$11+Assumptions!$B$12+Assumptions!$B$13+Assumptions!$B$14)+G121+F121+D121+E121)))&lt;Assumptions!$B$65,($B$104-$B$105)/(((Assumptions!$B$9+Assumptions!$B$11+Assumptions!$B$12+Assumptions!$B$13+Assumptions!$B$14)+G121+F121+D121+E121)+Assumptions!$B$65),($B$104*(1-$B$101)-$B$105)/((Assumptions!$B$9+Assumptions!$B$11+Assumptions!$B$12+Assumptions!$B$13+Assumptions!$B$14)+G121+F121+D121+E121))</f>
        <v/>
      </c>
      <c r="I121">
        <f>$B$104/H121</f>
        <v/>
      </c>
      <c r="J121">
        <f>$B$105/H121</f>
        <v/>
      </c>
      <c r="K121">
        <f>I121-J121</f>
        <v/>
      </c>
      <c r="L121">
        <f>Assumptions!$B$51/K121</f>
        <v/>
      </c>
      <c r="M121">
        <f>H121*(1-Assumptions!$B$52)</f>
        <v/>
      </c>
      <c r="N121">
        <f>MIN(L121,M121)</f>
        <v/>
      </c>
      <c r="O121">
        <f>Assumptions!$B$50/N121</f>
        <v/>
      </c>
      <c r="P121">
        <f>Assumptions!$B$54/K121</f>
        <v/>
      </c>
      <c r="Q121">
        <f>H121*(1-Assumptions!$B$55)</f>
        <v/>
      </c>
      <c r="R121">
        <f>MIN(P121,Q121)</f>
        <v/>
      </c>
      <c r="S121">
        <f>Assumptions!$B$53/R121</f>
        <v/>
      </c>
      <c r="T121">
        <f>Assumptions!$B$27*(Assumptions!$B$64+$B$105/Assumptions!$B$27)/(Assumptions!$B$64+J121)</f>
        <v/>
      </c>
      <c r="U121">
        <f>IF(H121&lt;Assumptions!$B$27,Assumptions!$B$27/T121,1)</f>
        <v/>
      </c>
      <c r="V121">
        <f>Assumptions!$B$26*(Assumptions!$B$64+$B$105/Assumptions!$B$26)/(Assumptions!$B$64+J121)</f>
        <v/>
      </c>
      <c r="W121">
        <f>IF(H121&lt;Assumptions!$B$26,Assumptions!$B$26/V121,1)</f>
        <v/>
      </c>
    </row>
    <row r="122">
      <c r="A122" t="n">
        <v>14</v>
      </c>
      <c r="B122">
        <f>U121</f>
        <v/>
      </c>
      <c r="C122">
        <f>W121</f>
        <v/>
      </c>
      <c r="D122">
        <f>O121</f>
        <v/>
      </c>
      <c r="E122">
        <f>S121</f>
        <v/>
      </c>
      <c r="F122">
        <f>Assumptions!$B$16*B122</f>
        <v/>
      </c>
      <c r="G122">
        <f>Assumptions!$B$15*C122</f>
        <v/>
      </c>
      <c r="H122">
        <f>IF($B$101*($B$104/(($B$104*(1-$B$101)-$B$105)/((Assumptions!$B$9+Assumptions!$B$11+Assumptions!$B$12+Assumptions!$B$13+Assumptions!$B$14)+G122+F122+D122+E122)))&lt;Assumptions!$B$65,($B$104-$B$105)/(((Assumptions!$B$9+Assumptions!$B$11+Assumptions!$B$12+Assumptions!$B$13+Assumptions!$B$14)+G122+F122+D122+E122)+Assumptions!$B$65),($B$104*(1-$B$101)-$B$105)/((Assumptions!$B$9+Assumptions!$B$11+Assumptions!$B$12+Assumptions!$B$13+Assumptions!$B$14)+G122+F122+D122+E122))</f>
        <v/>
      </c>
      <c r="I122">
        <f>$B$104/H122</f>
        <v/>
      </c>
      <c r="J122">
        <f>$B$105/H122</f>
        <v/>
      </c>
      <c r="K122">
        <f>I122-J122</f>
        <v/>
      </c>
      <c r="L122">
        <f>Assumptions!$B$51/K122</f>
        <v/>
      </c>
      <c r="M122">
        <f>H122*(1-Assumptions!$B$52)</f>
        <v/>
      </c>
      <c r="N122">
        <f>MIN(L122,M122)</f>
        <v/>
      </c>
      <c r="O122">
        <f>Assumptions!$B$50/N122</f>
        <v/>
      </c>
      <c r="P122">
        <f>Assumptions!$B$54/K122</f>
        <v/>
      </c>
      <c r="Q122">
        <f>H122*(1-Assumptions!$B$55)</f>
        <v/>
      </c>
      <c r="R122">
        <f>MIN(P122,Q122)</f>
        <v/>
      </c>
      <c r="S122">
        <f>Assumptions!$B$53/R122</f>
        <v/>
      </c>
      <c r="T122">
        <f>Assumptions!$B$27*(Assumptions!$B$64+$B$105/Assumptions!$B$27)/(Assumptions!$B$64+J122)</f>
        <v/>
      </c>
      <c r="U122">
        <f>IF(H122&lt;Assumptions!$B$27,Assumptions!$B$27/T122,1)</f>
        <v/>
      </c>
      <c r="V122">
        <f>Assumptions!$B$26*(Assumptions!$B$64+$B$105/Assumptions!$B$26)/(Assumptions!$B$64+J122)</f>
        <v/>
      </c>
      <c r="W122">
        <f>IF(H122&lt;Assumptions!$B$26,Assumptions!$B$26/V122,1)</f>
        <v/>
      </c>
    </row>
    <row r="123">
      <c r="A123" t="n">
        <v>15</v>
      </c>
      <c r="B123">
        <f>U122</f>
        <v/>
      </c>
      <c r="C123">
        <f>W122</f>
        <v/>
      </c>
      <c r="D123">
        <f>O122</f>
        <v/>
      </c>
      <c r="E123">
        <f>S122</f>
        <v/>
      </c>
      <c r="F123">
        <f>Assumptions!$B$16*B123</f>
        <v/>
      </c>
      <c r="G123">
        <f>Assumptions!$B$15*C123</f>
        <v/>
      </c>
      <c r="H123">
        <f>IF($B$101*($B$104/(($B$104*(1-$B$101)-$B$105)/((Assumptions!$B$9+Assumptions!$B$11+Assumptions!$B$12+Assumptions!$B$13+Assumptions!$B$14)+G123+F123+D123+E123)))&lt;Assumptions!$B$65,($B$104-$B$105)/(((Assumptions!$B$9+Assumptions!$B$11+Assumptions!$B$12+Assumptions!$B$13+Assumptions!$B$14)+G123+F123+D123+E123)+Assumptions!$B$65),($B$104*(1-$B$101)-$B$105)/((Assumptions!$B$9+Assumptions!$B$11+Assumptions!$B$12+Assumptions!$B$13+Assumptions!$B$14)+G123+F123+D123+E123))</f>
        <v/>
      </c>
      <c r="I123">
        <f>$B$104/H123</f>
        <v/>
      </c>
      <c r="J123">
        <f>$B$105/H123</f>
        <v/>
      </c>
      <c r="K123">
        <f>I123-J123</f>
        <v/>
      </c>
      <c r="L123">
        <f>Assumptions!$B$51/K123</f>
        <v/>
      </c>
      <c r="M123">
        <f>H123*(1-Assumptions!$B$52)</f>
        <v/>
      </c>
      <c r="N123">
        <f>MIN(L123,M123)</f>
        <v/>
      </c>
      <c r="O123">
        <f>Assumptions!$B$50/N123</f>
        <v/>
      </c>
      <c r="P123">
        <f>Assumptions!$B$54/K123</f>
        <v/>
      </c>
      <c r="Q123">
        <f>H123*(1-Assumptions!$B$55)</f>
        <v/>
      </c>
      <c r="R123">
        <f>MIN(P123,Q123)</f>
        <v/>
      </c>
      <c r="S123">
        <f>Assumptions!$B$53/R123</f>
        <v/>
      </c>
      <c r="T123">
        <f>Assumptions!$B$27*(Assumptions!$B$64+$B$105/Assumptions!$B$27)/(Assumptions!$B$64+J123)</f>
        <v/>
      </c>
      <c r="U123">
        <f>IF(H123&lt;Assumptions!$B$27,Assumptions!$B$27/T123,1)</f>
        <v/>
      </c>
      <c r="V123">
        <f>Assumptions!$B$26*(Assumptions!$B$64+$B$105/Assumptions!$B$26)/(Assumptions!$B$64+J123)</f>
        <v/>
      </c>
      <c r="W123">
        <f>IF(H123&lt;Assumptions!$B$26,Assumptions!$B$26/V123,1)</f>
        <v/>
      </c>
    </row>
    <row r="124">
      <c r="A124" t="n">
        <v>16</v>
      </c>
      <c r="B124">
        <f>U123</f>
        <v/>
      </c>
      <c r="C124">
        <f>W123</f>
        <v/>
      </c>
      <c r="D124">
        <f>O123</f>
        <v/>
      </c>
      <c r="E124">
        <f>S123</f>
        <v/>
      </c>
      <c r="F124">
        <f>Assumptions!$B$16*B124</f>
        <v/>
      </c>
      <c r="G124">
        <f>Assumptions!$B$15*C124</f>
        <v/>
      </c>
      <c r="H124">
        <f>IF($B$101*($B$104/(($B$104*(1-$B$101)-$B$105)/((Assumptions!$B$9+Assumptions!$B$11+Assumptions!$B$12+Assumptions!$B$13+Assumptions!$B$14)+G124+F124+D124+E124)))&lt;Assumptions!$B$65,($B$104-$B$105)/(((Assumptions!$B$9+Assumptions!$B$11+Assumptions!$B$12+Assumptions!$B$13+Assumptions!$B$14)+G124+F124+D124+E124)+Assumptions!$B$65),($B$104*(1-$B$101)-$B$105)/((Assumptions!$B$9+Assumptions!$B$11+Assumptions!$B$12+Assumptions!$B$13+Assumptions!$B$14)+G124+F124+D124+E124))</f>
        <v/>
      </c>
      <c r="I124">
        <f>$B$104/H124</f>
        <v/>
      </c>
      <c r="J124">
        <f>$B$105/H124</f>
        <v/>
      </c>
      <c r="K124">
        <f>I124-J124</f>
        <v/>
      </c>
      <c r="L124">
        <f>Assumptions!$B$51/K124</f>
        <v/>
      </c>
      <c r="M124">
        <f>H124*(1-Assumptions!$B$52)</f>
        <v/>
      </c>
      <c r="N124">
        <f>MIN(L124,M124)</f>
        <v/>
      </c>
      <c r="O124">
        <f>Assumptions!$B$50/N124</f>
        <v/>
      </c>
      <c r="P124">
        <f>Assumptions!$B$54/K124</f>
        <v/>
      </c>
      <c r="Q124">
        <f>H124*(1-Assumptions!$B$55)</f>
        <v/>
      </c>
      <c r="R124">
        <f>MIN(P124,Q124)</f>
        <v/>
      </c>
      <c r="S124">
        <f>Assumptions!$B$53/R124</f>
        <v/>
      </c>
      <c r="T124">
        <f>Assumptions!$B$27*(Assumptions!$B$64+$B$105/Assumptions!$B$27)/(Assumptions!$B$64+J124)</f>
        <v/>
      </c>
      <c r="U124">
        <f>IF(H124&lt;Assumptions!$B$27,Assumptions!$B$27/T124,1)</f>
        <v/>
      </c>
      <c r="V124">
        <f>Assumptions!$B$26*(Assumptions!$B$64+$B$105/Assumptions!$B$26)/(Assumptions!$B$64+J124)</f>
        <v/>
      </c>
      <c r="W124">
        <f>IF(H124&lt;Assumptions!$B$26,Assumptions!$B$26/V124,1)</f>
        <v/>
      </c>
    </row>
    <row r="125">
      <c r="A125" t="n">
        <v>17</v>
      </c>
      <c r="B125">
        <f>U124</f>
        <v/>
      </c>
      <c r="C125">
        <f>W124</f>
        <v/>
      </c>
      <c r="D125">
        <f>O124</f>
        <v/>
      </c>
      <c r="E125">
        <f>S124</f>
        <v/>
      </c>
      <c r="F125">
        <f>Assumptions!$B$16*B125</f>
        <v/>
      </c>
      <c r="G125">
        <f>Assumptions!$B$15*C125</f>
        <v/>
      </c>
      <c r="H125">
        <f>IF($B$101*($B$104/(($B$104*(1-$B$101)-$B$105)/((Assumptions!$B$9+Assumptions!$B$11+Assumptions!$B$12+Assumptions!$B$13+Assumptions!$B$14)+G125+F125+D125+E125)))&lt;Assumptions!$B$65,($B$104-$B$105)/(((Assumptions!$B$9+Assumptions!$B$11+Assumptions!$B$12+Assumptions!$B$13+Assumptions!$B$14)+G125+F125+D125+E125)+Assumptions!$B$65),($B$104*(1-$B$101)-$B$105)/((Assumptions!$B$9+Assumptions!$B$11+Assumptions!$B$12+Assumptions!$B$13+Assumptions!$B$14)+G125+F125+D125+E125))</f>
        <v/>
      </c>
      <c r="I125">
        <f>$B$104/H125</f>
        <v/>
      </c>
      <c r="J125">
        <f>$B$105/H125</f>
        <v/>
      </c>
      <c r="K125">
        <f>I125-J125</f>
        <v/>
      </c>
      <c r="L125">
        <f>Assumptions!$B$51/K125</f>
        <v/>
      </c>
      <c r="M125">
        <f>H125*(1-Assumptions!$B$52)</f>
        <v/>
      </c>
      <c r="N125">
        <f>MIN(L125,M125)</f>
        <v/>
      </c>
      <c r="O125">
        <f>Assumptions!$B$50/N125</f>
        <v/>
      </c>
      <c r="P125">
        <f>Assumptions!$B$54/K125</f>
        <v/>
      </c>
      <c r="Q125">
        <f>H125*(1-Assumptions!$B$55)</f>
        <v/>
      </c>
      <c r="R125">
        <f>MIN(P125,Q125)</f>
        <v/>
      </c>
      <c r="S125">
        <f>Assumptions!$B$53/R125</f>
        <v/>
      </c>
      <c r="T125">
        <f>Assumptions!$B$27*(Assumptions!$B$64+$B$105/Assumptions!$B$27)/(Assumptions!$B$64+J125)</f>
        <v/>
      </c>
      <c r="U125">
        <f>IF(H125&lt;Assumptions!$B$27,Assumptions!$B$27/T125,1)</f>
        <v/>
      </c>
      <c r="V125">
        <f>Assumptions!$B$26*(Assumptions!$B$64+$B$105/Assumptions!$B$26)/(Assumptions!$B$64+J125)</f>
        <v/>
      </c>
      <c r="W125">
        <f>IF(H125&lt;Assumptions!$B$26,Assumptions!$B$26/V125,1)</f>
        <v/>
      </c>
    </row>
    <row r="126">
      <c r="A126" t="n">
        <v>18</v>
      </c>
      <c r="B126">
        <f>U125</f>
        <v/>
      </c>
      <c r="C126">
        <f>W125</f>
        <v/>
      </c>
      <c r="D126">
        <f>O125</f>
        <v/>
      </c>
      <c r="E126">
        <f>S125</f>
        <v/>
      </c>
      <c r="F126">
        <f>Assumptions!$B$16*B126</f>
        <v/>
      </c>
      <c r="G126">
        <f>Assumptions!$B$15*C126</f>
        <v/>
      </c>
      <c r="H126">
        <f>IF($B$101*($B$104/(($B$104*(1-$B$101)-$B$105)/((Assumptions!$B$9+Assumptions!$B$11+Assumptions!$B$12+Assumptions!$B$13+Assumptions!$B$14)+G126+F126+D126+E126)))&lt;Assumptions!$B$65,($B$104-$B$105)/(((Assumptions!$B$9+Assumptions!$B$11+Assumptions!$B$12+Assumptions!$B$13+Assumptions!$B$14)+G126+F126+D126+E126)+Assumptions!$B$65),($B$104*(1-$B$101)-$B$105)/((Assumptions!$B$9+Assumptions!$B$11+Assumptions!$B$12+Assumptions!$B$13+Assumptions!$B$14)+G126+F126+D126+E126))</f>
        <v/>
      </c>
      <c r="I126">
        <f>$B$104/H126</f>
        <v/>
      </c>
      <c r="J126">
        <f>$B$105/H126</f>
        <v/>
      </c>
      <c r="K126">
        <f>I126-J126</f>
        <v/>
      </c>
      <c r="L126">
        <f>Assumptions!$B$51/K126</f>
        <v/>
      </c>
      <c r="M126">
        <f>H126*(1-Assumptions!$B$52)</f>
        <v/>
      </c>
      <c r="N126">
        <f>MIN(L126,M126)</f>
        <v/>
      </c>
      <c r="O126">
        <f>Assumptions!$B$50/N126</f>
        <v/>
      </c>
      <c r="P126">
        <f>Assumptions!$B$54/K126</f>
        <v/>
      </c>
      <c r="Q126">
        <f>H126*(1-Assumptions!$B$55)</f>
        <v/>
      </c>
      <c r="R126">
        <f>MIN(P126,Q126)</f>
        <v/>
      </c>
      <c r="S126">
        <f>Assumptions!$B$53/R126</f>
        <v/>
      </c>
      <c r="T126">
        <f>Assumptions!$B$27*(Assumptions!$B$64+$B$105/Assumptions!$B$27)/(Assumptions!$B$64+J126)</f>
        <v/>
      </c>
      <c r="U126">
        <f>IF(H126&lt;Assumptions!$B$27,Assumptions!$B$27/T126,1)</f>
        <v/>
      </c>
      <c r="V126">
        <f>Assumptions!$B$26*(Assumptions!$B$64+$B$105/Assumptions!$B$26)/(Assumptions!$B$64+J126)</f>
        <v/>
      </c>
      <c r="W126">
        <f>IF(H126&lt;Assumptions!$B$26,Assumptions!$B$26/V126,1)</f>
        <v/>
      </c>
    </row>
    <row r="127">
      <c r="A127" t="n">
        <v>19</v>
      </c>
      <c r="B127">
        <f>U126</f>
        <v/>
      </c>
      <c r="C127">
        <f>W126</f>
        <v/>
      </c>
      <c r="D127">
        <f>O126</f>
        <v/>
      </c>
      <c r="E127">
        <f>S126</f>
        <v/>
      </c>
      <c r="F127">
        <f>Assumptions!$B$16*B127</f>
        <v/>
      </c>
      <c r="G127">
        <f>Assumptions!$B$15*C127</f>
        <v/>
      </c>
      <c r="H127">
        <f>IF($B$101*($B$104/(($B$104*(1-$B$101)-$B$105)/((Assumptions!$B$9+Assumptions!$B$11+Assumptions!$B$12+Assumptions!$B$13+Assumptions!$B$14)+G127+F127+D127+E127)))&lt;Assumptions!$B$65,($B$104-$B$105)/(((Assumptions!$B$9+Assumptions!$B$11+Assumptions!$B$12+Assumptions!$B$13+Assumptions!$B$14)+G127+F127+D127+E127)+Assumptions!$B$65),($B$104*(1-$B$101)-$B$105)/((Assumptions!$B$9+Assumptions!$B$11+Assumptions!$B$12+Assumptions!$B$13+Assumptions!$B$14)+G127+F127+D127+E127))</f>
        <v/>
      </c>
      <c r="I127">
        <f>$B$104/H127</f>
        <v/>
      </c>
      <c r="J127">
        <f>$B$105/H127</f>
        <v/>
      </c>
      <c r="K127">
        <f>I127-J127</f>
        <v/>
      </c>
      <c r="L127">
        <f>Assumptions!$B$51/K127</f>
        <v/>
      </c>
      <c r="M127">
        <f>H127*(1-Assumptions!$B$52)</f>
        <v/>
      </c>
      <c r="N127">
        <f>MIN(L127,M127)</f>
        <v/>
      </c>
      <c r="O127">
        <f>Assumptions!$B$50/N127</f>
        <v/>
      </c>
      <c r="P127">
        <f>Assumptions!$B$54/K127</f>
        <v/>
      </c>
      <c r="Q127">
        <f>H127*(1-Assumptions!$B$55)</f>
        <v/>
      </c>
      <c r="R127">
        <f>MIN(P127,Q127)</f>
        <v/>
      </c>
      <c r="S127">
        <f>Assumptions!$B$53/R127</f>
        <v/>
      </c>
      <c r="T127">
        <f>Assumptions!$B$27*(Assumptions!$B$64+$B$105/Assumptions!$B$27)/(Assumptions!$B$64+J127)</f>
        <v/>
      </c>
      <c r="U127">
        <f>IF(H127&lt;Assumptions!$B$27,Assumptions!$B$27/T127,1)</f>
        <v/>
      </c>
      <c r="V127">
        <f>Assumptions!$B$26*(Assumptions!$B$64+$B$105/Assumptions!$B$26)/(Assumptions!$B$64+J127)</f>
        <v/>
      </c>
      <c r="W127">
        <f>IF(H127&lt;Assumptions!$B$26,Assumptions!$B$26/V127,1)</f>
        <v/>
      </c>
    </row>
    <row r="128">
      <c r="A128" t="n">
        <v>20</v>
      </c>
      <c r="B128">
        <f>U127</f>
        <v/>
      </c>
      <c r="C128">
        <f>W127</f>
        <v/>
      </c>
      <c r="D128">
        <f>O127</f>
        <v/>
      </c>
      <c r="E128">
        <f>S127</f>
        <v/>
      </c>
      <c r="F128">
        <f>Assumptions!$B$16*B128</f>
        <v/>
      </c>
      <c r="G128">
        <f>Assumptions!$B$15*C128</f>
        <v/>
      </c>
      <c r="H128">
        <f>IF($B$101*($B$104/(($B$104*(1-$B$101)-$B$105)/((Assumptions!$B$9+Assumptions!$B$11+Assumptions!$B$12+Assumptions!$B$13+Assumptions!$B$14)+G128+F128+D128+E128)))&lt;Assumptions!$B$65,($B$104-$B$105)/(((Assumptions!$B$9+Assumptions!$B$11+Assumptions!$B$12+Assumptions!$B$13+Assumptions!$B$14)+G128+F128+D128+E128)+Assumptions!$B$65),($B$104*(1-$B$101)-$B$105)/((Assumptions!$B$9+Assumptions!$B$11+Assumptions!$B$12+Assumptions!$B$13+Assumptions!$B$14)+G128+F128+D128+E128))</f>
        <v/>
      </c>
      <c r="I128">
        <f>$B$104/H128</f>
        <v/>
      </c>
      <c r="J128">
        <f>$B$105/H128</f>
        <v/>
      </c>
      <c r="K128">
        <f>I128-J128</f>
        <v/>
      </c>
      <c r="L128">
        <f>Assumptions!$B$51/K128</f>
        <v/>
      </c>
      <c r="M128">
        <f>H128*(1-Assumptions!$B$52)</f>
        <v/>
      </c>
      <c r="N128">
        <f>MIN(L128,M128)</f>
        <v/>
      </c>
      <c r="O128">
        <f>Assumptions!$B$50/N128</f>
        <v/>
      </c>
      <c r="P128">
        <f>Assumptions!$B$54/K128</f>
        <v/>
      </c>
      <c r="Q128">
        <f>H128*(1-Assumptions!$B$55)</f>
        <v/>
      </c>
      <c r="R128">
        <f>MIN(P128,Q128)</f>
        <v/>
      </c>
      <c r="S128">
        <f>Assumptions!$B$53/R128</f>
        <v/>
      </c>
      <c r="T128">
        <f>Assumptions!$B$27*(Assumptions!$B$64+$B$105/Assumptions!$B$27)/(Assumptions!$B$64+J128)</f>
        <v/>
      </c>
      <c r="U128">
        <f>IF(H128&lt;Assumptions!$B$27,Assumptions!$B$27/T128,1)</f>
        <v/>
      </c>
      <c r="V128">
        <f>Assumptions!$B$26*(Assumptions!$B$64+$B$105/Assumptions!$B$26)/(Assumptions!$B$64+J128)</f>
        <v/>
      </c>
      <c r="W128">
        <f>IF(H128&lt;Assumptions!$B$26,Assumptions!$B$26/V128,1)</f>
        <v/>
      </c>
    </row>
    <row r="129">
      <c r="A129" t="n">
        <v>21</v>
      </c>
      <c r="B129">
        <f>U128</f>
        <v/>
      </c>
      <c r="C129">
        <f>W128</f>
        <v/>
      </c>
      <c r="D129">
        <f>O128</f>
        <v/>
      </c>
      <c r="E129">
        <f>S128</f>
        <v/>
      </c>
      <c r="F129">
        <f>Assumptions!$B$16*B129</f>
        <v/>
      </c>
      <c r="G129">
        <f>Assumptions!$B$15*C129</f>
        <v/>
      </c>
      <c r="H129">
        <f>IF($B$101*($B$104/(($B$104*(1-$B$101)-$B$105)/((Assumptions!$B$9+Assumptions!$B$11+Assumptions!$B$12+Assumptions!$B$13+Assumptions!$B$14)+G129+F129+D129+E129)))&lt;Assumptions!$B$65,($B$104-$B$105)/(((Assumptions!$B$9+Assumptions!$B$11+Assumptions!$B$12+Assumptions!$B$13+Assumptions!$B$14)+G129+F129+D129+E129)+Assumptions!$B$65),($B$104*(1-$B$101)-$B$105)/((Assumptions!$B$9+Assumptions!$B$11+Assumptions!$B$12+Assumptions!$B$13+Assumptions!$B$14)+G129+F129+D129+E129))</f>
        <v/>
      </c>
      <c r="I129">
        <f>$B$104/H129</f>
        <v/>
      </c>
      <c r="J129">
        <f>$B$105/H129</f>
        <v/>
      </c>
      <c r="K129">
        <f>I129-J129</f>
        <v/>
      </c>
      <c r="L129">
        <f>Assumptions!$B$51/K129</f>
        <v/>
      </c>
      <c r="M129">
        <f>H129*(1-Assumptions!$B$52)</f>
        <v/>
      </c>
      <c r="N129">
        <f>MIN(L129,M129)</f>
        <v/>
      </c>
      <c r="O129">
        <f>Assumptions!$B$50/N129</f>
        <v/>
      </c>
      <c r="P129">
        <f>Assumptions!$B$54/K129</f>
        <v/>
      </c>
      <c r="Q129">
        <f>H129*(1-Assumptions!$B$55)</f>
        <v/>
      </c>
      <c r="R129">
        <f>MIN(P129,Q129)</f>
        <v/>
      </c>
      <c r="S129">
        <f>Assumptions!$B$53/R129</f>
        <v/>
      </c>
      <c r="T129">
        <f>Assumptions!$B$27*(Assumptions!$B$64+$B$105/Assumptions!$B$27)/(Assumptions!$B$64+J129)</f>
        <v/>
      </c>
      <c r="U129">
        <f>IF(H129&lt;Assumptions!$B$27,Assumptions!$B$27/T129,1)</f>
        <v/>
      </c>
      <c r="V129">
        <f>Assumptions!$B$26*(Assumptions!$B$64+$B$105/Assumptions!$B$26)/(Assumptions!$B$64+J129)</f>
        <v/>
      </c>
      <c r="W129">
        <f>IF(H129&lt;Assumptions!$B$26,Assumptions!$B$26/V129,1)</f>
        <v/>
      </c>
    </row>
    <row r="130">
      <c r="A130" t="n">
        <v>22</v>
      </c>
      <c r="B130">
        <f>U129</f>
        <v/>
      </c>
      <c r="C130">
        <f>W129</f>
        <v/>
      </c>
      <c r="D130">
        <f>O129</f>
        <v/>
      </c>
      <c r="E130">
        <f>S129</f>
        <v/>
      </c>
      <c r="F130">
        <f>Assumptions!$B$16*B130</f>
        <v/>
      </c>
      <c r="G130">
        <f>Assumptions!$B$15*C130</f>
        <v/>
      </c>
      <c r="H130">
        <f>IF($B$101*($B$104/(($B$104*(1-$B$101)-$B$105)/((Assumptions!$B$9+Assumptions!$B$11+Assumptions!$B$12+Assumptions!$B$13+Assumptions!$B$14)+G130+F130+D130+E130)))&lt;Assumptions!$B$65,($B$104-$B$105)/(((Assumptions!$B$9+Assumptions!$B$11+Assumptions!$B$12+Assumptions!$B$13+Assumptions!$B$14)+G130+F130+D130+E130)+Assumptions!$B$65),($B$104*(1-$B$101)-$B$105)/((Assumptions!$B$9+Assumptions!$B$11+Assumptions!$B$12+Assumptions!$B$13+Assumptions!$B$14)+G130+F130+D130+E130))</f>
        <v/>
      </c>
      <c r="I130">
        <f>$B$104/H130</f>
        <v/>
      </c>
      <c r="J130">
        <f>$B$105/H130</f>
        <v/>
      </c>
      <c r="K130">
        <f>I130-J130</f>
        <v/>
      </c>
      <c r="L130">
        <f>Assumptions!$B$51/K130</f>
        <v/>
      </c>
      <c r="M130">
        <f>H130*(1-Assumptions!$B$52)</f>
        <v/>
      </c>
      <c r="N130">
        <f>MIN(L130,M130)</f>
        <v/>
      </c>
      <c r="O130">
        <f>Assumptions!$B$50/N130</f>
        <v/>
      </c>
      <c r="P130">
        <f>Assumptions!$B$54/K130</f>
        <v/>
      </c>
      <c r="Q130">
        <f>H130*(1-Assumptions!$B$55)</f>
        <v/>
      </c>
      <c r="R130">
        <f>MIN(P130,Q130)</f>
        <v/>
      </c>
      <c r="S130">
        <f>Assumptions!$B$53/R130</f>
        <v/>
      </c>
      <c r="T130">
        <f>Assumptions!$B$27*(Assumptions!$B$64+$B$105/Assumptions!$B$27)/(Assumptions!$B$64+J130)</f>
        <v/>
      </c>
      <c r="U130">
        <f>IF(H130&lt;Assumptions!$B$27,Assumptions!$B$27/T130,1)</f>
        <v/>
      </c>
      <c r="V130">
        <f>Assumptions!$B$26*(Assumptions!$B$64+$B$105/Assumptions!$B$26)/(Assumptions!$B$64+J130)</f>
        <v/>
      </c>
      <c r="W130">
        <f>IF(H130&lt;Assumptions!$B$26,Assumptions!$B$26/V130,1)</f>
        <v/>
      </c>
    </row>
    <row r="131">
      <c r="A131" t="n">
        <v>23</v>
      </c>
      <c r="B131">
        <f>U130</f>
        <v/>
      </c>
      <c r="C131">
        <f>W130</f>
        <v/>
      </c>
      <c r="D131">
        <f>O130</f>
        <v/>
      </c>
      <c r="E131">
        <f>S130</f>
        <v/>
      </c>
      <c r="F131">
        <f>Assumptions!$B$16*B131</f>
        <v/>
      </c>
      <c r="G131">
        <f>Assumptions!$B$15*C131</f>
        <v/>
      </c>
      <c r="H131">
        <f>IF($B$101*($B$104/(($B$104*(1-$B$101)-$B$105)/((Assumptions!$B$9+Assumptions!$B$11+Assumptions!$B$12+Assumptions!$B$13+Assumptions!$B$14)+G131+F131+D131+E131)))&lt;Assumptions!$B$65,($B$104-$B$105)/(((Assumptions!$B$9+Assumptions!$B$11+Assumptions!$B$12+Assumptions!$B$13+Assumptions!$B$14)+G131+F131+D131+E131)+Assumptions!$B$65),($B$104*(1-$B$101)-$B$105)/((Assumptions!$B$9+Assumptions!$B$11+Assumptions!$B$12+Assumptions!$B$13+Assumptions!$B$14)+G131+F131+D131+E131))</f>
        <v/>
      </c>
      <c r="I131">
        <f>$B$104/H131</f>
        <v/>
      </c>
      <c r="J131">
        <f>$B$105/H131</f>
        <v/>
      </c>
      <c r="K131">
        <f>I131-J131</f>
        <v/>
      </c>
      <c r="L131">
        <f>Assumptions!$B$51/K131</f>
        <v/>
      </c>
      <c r="M131">
        <f>H131*(1-Assumptions!$B$52)</f>
        <v/>
      </c>
      <c r="N131">
        <f>MIN(L131,M131)</f>
        <v/>
      </c>
      <c r="O131">
        <f>Assumptions!$B$50/N131</f>
        <v/>
      </c>
      <c r="P131">
        <f>Assumptions!$B$54/K131</f>
        <v/>
      </c>
      <c r="Q131">
        <f>H131*(1-Assumptions!$B$55)</f>
        <v/>
      </c>
      <c r="R131">
        <f>MIN(P131,Q131)</f>
        <v/>
      </c>
      <c r="S131">
        <f>Assumptions!$B$53/R131</f>
        <v/>
      </c>
      <c r="T131">
        <f>Assumptions!$B$27*(Assumptions!$B$64+$B$105/Assumptions!$B$27)/(Assumptions!$B$64+J131)</f>
        <v/>
      </c>
      <c r="U131">
        <f>IF(H131&lt;Assumptions!$B$27,Assumptions!$B$27/T131,1)</f>
        <v/>
      </c>
      <c r="V131">
        <f>Assumptions!$B$26*(Assumptions!$B$64+$B$105/Assumptions!$B$26)/(Assumptions!$B$64+J131)</f>
        <v/>
      </c>
      <c r="W131">
        <f>IF(H131&lt;Assumptions!$B$26,Assumptions!$B$26/V131,1)</f>
        <v/>
      </c>
    </row>
    <row r="132">
      <c r="A132" t="n">
        <v>24</v>
      </c>
      <c r="B132">
        <f>U131</f>
        <v/>
      </c>
      <c r="C132">
        <f>W131</f>
        <v/>
      </c>
      <c r="D132">
        <f>O131</f>
        <v/>
      </c>
      <c r="E132">
        <f>S131</f>
        <v/>
      </c>
      <c r="F132">
        <f>Assumptions!$B$16*B132</f>
        <v/>
      </c>
      <c r="G132">
        <f>Assumptions!$B$15*C132</f>
        <v/>
      </c>
      <c r="H132">
        <f>IF($B$101*($B$104/(($B$104*(1-$B$101)-$B$105)/((Assumptions!$B$9+Assumptions!$B$11+Assumptions!$B$12+Assumptions!$B$13+Assumptions!$B$14)+G132+F132+D132+E132)))&lt;Assumptions!$B$65,($B$104-$B$105)/(((Assumptions!$B$9+Assumptions!$B$11+Assumptions!$B$12+Assumptions!$B$13+Assumptions!$B$14)+G132+F132+D132+E132)+Assumptions!$B$65),($B$104*(1-$B$101)-$B$105)/((Assumptions!$B$9+Assumptions!$B$11+Assumptions!$B$12+Assumptions!$B$13+Assumptions!$B$14)+G132+F132+D132+E132))</f>
        <v/>
      </c>
      <c r="I132">
        <f>$B$104/H132</f>
        <v/>
      </c>
      <c r="J132">
        <f>$B$105/H132</f>
        <v/>
      </c>
      <c r="K132">
        <f>I132-J132</f>
        <v/>
      </c>
      <c r="L132">
        <f>Assumptions!$B$51/K132</f>
        <v/>
      </c>
      <c r="M132">
        <f>H132*(1-Assumptions!$B$52)</f>
        <v/>
      </c>
      <c r="N132">
        <f>MIN(L132,M132)</f>
        <v/>
      </c>
      <c r="O132">
        <f>Assumptions!$B$50/N132</f>
        <v/>
      </c>
      <c r="P132">
        <f>Assumptions!$B$54/K132</f>
        <v/>
      </c>
      <c r="Q132">
        <f>H132*(1-Assumptions!$B$55)</f>
        <v/>
      </c>
      <c r="R132">
        <f>MIN(P132,Q132)</f>
        <v/>
      </c>
      <c r="S132">
        <f>Assumptions!$B$53/R132</f>
        <v/>
      </c>
      <c r="T132">
        <f>Assumptions!$B$27*(Assumptions!$B$64+$B$105/Assumptions!$B$27)/(Assumptions!$B$64+J132)</f>
        <v/>
      </c>
      <c r="U132">
        <f>IF(H132&lt;Assumptions!$B$27,Assumptions!$B$27/T132,1)</f>
        <v/>
      </c>
      <c r="V132">
        <f>Assumptions!$B$26*(Assumptions!$B$64+$B$105/Assumptions!$B$26)/(Assumptions!$B$64+J132)</f>
        <v/>
      </c>
      <c r="W132">
        <f>IF(H132&lt;Assumptions!$B$26,Assumptions!$B$26/V132,1)</f>
        <v/>
      </c>
    </row>
    <row r="133">
      <c r="A133" t="n">
        <v>25</v>
      </c>
      <c r="B133">
        <f>U132</f>
        <v/>
      </c>
      <c r="C133">
        <f>W132</f>
        <v/>
      </c>
      <c r="D133">
        <f>O132</f>
        <v/>
      </c>
      <c r="E133">
        <f>S132</f>
        <v/>
      </c>
      <c r="F133">
        <f>Assumptions!$B$16*B133</f>
        <v/>
      </c>
      <c r="G133">
        <f>Assumptions!$B$15*C133</f>
        <v/>
      </c>
      <c r="H133">
        <f>IF($B$101*($B$104/(($B$104*(1-$B$101)-$B$105)/((Assumptions!$B$9+Assumptions!$B$11+Assumptions!$B$12+Assumptions!$B$13+Assumptions!$B$14)+G133+F133+D133+E133)))&lt;Assumptions!$B$65,($B$104-$B$105)/(((Assumptions!$B$9+Assumptions!$B$11+Assumptions!$B$12+Assumptions!$B$13+Assumptions!$B$14)+G133+F133+D133+E133)+Assumptions!$B$65),($B$104*(1-$B$101)-$B$105)/((Assumptions!$B$9+Assumptions!$B$11+Assumptions!$B$12+Assumptions!$B$13+Assumptions!$B$14)+G133+F133+D133+E133))</f>
        <v/>
      </c>
      <c r="I133">
        <f>$B$104/H133</f>
        <v/>
      </c>
      <c r="J133">
        <f>$B$105/H133</f>
        <v/>
      </c>
      <c r="K133">
        <f>I133-J133</f>
        <v/>
      </c>
      <c r="L133">
        <f>Assumptions!$B$51/K133</f>
        <v/>
      </c>
      <c r="M133">
        <f>H133*(1-Assumptions!$B$52)</f>
        <v/>
      </c>
      <c r="N133">
        <f>MIN(L133,M133)</f>
        <v/>
      </c>
      <c r="O133">
        <f>Assumptions!$B$50/N133</f>
        <v/>
      </c>
      <c r="P133">
        <f>Assumptions!$B$54/K133</f>
        <v/>
      </c>
      <c r="Q133">
        <f>H133*(1-Assumptions!$B$55)</f>
        <v/>
      </c>
      <c r="R133">
        <f>MIN(P133,Q133)</f>
        <v/>
      </c>
      <c r="S133">
        <f>Assumptions!$B$53/R133</f>
        <v/>
      </c>
      <c r="T133">
        <f>Assumptions!$B$27*(Assumptions!$B$64+$B$105/Assumptions!$B$27)/(Assumptions!$B$64+J133)</f>
        <v/>
      </c>
      <c r="U133">
        <f>IF(H133&lt;Assumptions!$B$27,Assumptions!$B$27/T133,1)</f>
        <v/>
      </c>
      <c r="V133">
        <f>Assumptions!$B$26*(Assumptions!$B$64+$B$105/Assumptions!$B$26)/(Assumptions!$B$64+J133)</f>
        <v/>
      </c>
      <c r="W133">
        <f>IF(H133&lt;Assumptions!$B$26,Assumptions!$B$26/V133,1)</f>
        <v/>
      </c>
    </row>
    <row r="134">
      <c r="A134" t="n">
        <v>26</v>
      </c>
      <c r="B134">
        <f>U133</f>
        <v/>
      </c>
      <c r="C134">
        <f>W133</f>
        <v/>
      </c>
      <c r="D134">
        <f>O133</f>
        <v/>
      </c>
      <c r="E134">
        <f>S133</f>
        <v/>
      </c>
      <c r="F134">
        <f>Assumptions!$B$16*B134</f>
        <v/>
      </c>
      <c r="G134">
        <f>Assumptions!$B$15*C134</f>
        <v/>
      </c>
      <c r="H134">
        <f>IF($B$101*($B$104/(($B$104*(1-$B$101)-$B$105)/((Assumptions!$B$9+Assumptions!$B$11+Assumptions!$B$12+Assumptions!$B$13+Assumptions!$B$14)+G134+F134+D134+E134)))&lt;Assumptions!$B$65,($B$104-$B$105)/(((Assumptions!$B$9+Assumptions!$B$11+Assumptions!$B$12+Assumptions!$B$13+Assumptions!$B$14)+G134+F134+D134+E134)+Assumptions!$B$65),($B$104*(1-$B$101)-$B$105)/((Assumptions!$B$9+Assumptions!$B$11+Assumptions!$B$12+Assumptions!$B$13+Assumptions!$B$14)+G134+F134+D134+E134))</f>
        <v/>
      </c>
      <c r="I134">
        <f>$B$104/H134</f>
        <v/>
      </c>
      <c r="J134">
        <f>$B$105/H134</f>
        <v/>
      </c>
      <c r="K134">
        <f>I134-J134</f>
        <v/>
      </c>
      <c r="L134">
        <f>Assumptions!$B$51/K134</f>
        <v/>
      </c>
      <c r="M134">
        <f>H134*(1-Assumptions!$B$52)</f>
        <v/>
      </c>
      <c r="N134">
        <f>MIN(L134,M134)</f>
        <v/>
      </c>
      <c r="O134">
        <f>Assumptions!$B$50/N134</f>
        <v/>
      </c>
      <c r="P134">
        <f>Assumptions!$B$54/K134</f>
        <v/>
      </c>
      <c r="Q134">
        <f>H134*(1-Assumptions!$B$55)</f>
        <v/>
      </c>
      <c r="R134">
        <f>MIN(P134,Q134)</f>
        <v/>
      </c>
      <c r="S134">
        <f>Assumptions!$B$53/R134</f>
        <v/>
      </c>
      <c r="T134">
        <f>Assumptions!$B$27*(Assumptions!$B$64+$B$105/Assumptions!$B$27)/(Assumptions!$B$64+J134)</f>
        <v/>
      </c>
      <c r="U134">
        <f>IF(H134&lt;Assumptions!$B$27,Assumptions!$B$27/T134,1)</f>
        <v/>
      </c>
      <c r="V134">
        <f>Assumptions!$B$26*(Assumptions!$B$64+$B$105/Assumptions!$B$26)/(Assumptions!$B$64+J134)</f>
        <v/>
      </c>
      <c r="W134">
        <f>IF(H134&lt;Assumptions!$B$26,Assumptions!$B$26/V134,1)</f>
        <v/>
      </c>
    </row>
    <row r="135">
      <c r="A135" t="n">
        <v>27</v>
      </c>
      <c r="B135">
        <f>U134</f>
        <v/>
      </c>
      <c r="C135">
        <f>W134</f>
        <v/>
      </c>
      <c r="D135">
        <f>O134</f>
        <v/>
      </c>
      <c r="E135">
        <f>S134</f>
        <v/>
      </c>
      <c r="F135">
        <f>Assumptions!$B$16*B135</f>
        <v/>
      </c>
      <c r="G135">
        <f>Assumptions!$B$15*C135</f>
        <v/>
      </c>
      <c r="H135">
        <f>IF($B$101*($B$104/(($B$104*(1-$B$101)-$B$105)/((Assumptions!$B$9+Assumptions!$B$11+Assumptions!$B$12+Assumptions!$B$13+Assumptions!$B$14)+G135+F135+D135+E135)))&lt;Assumptions!$B$65,($B$104-$B$105)/(((Assumptions!$B$9+Assumptions!$B$11+Assumptions!$B$12+Assumptions!$B$13+Assumptions!$B$14)+G135+F135+D135+E135)+Assumptions!$B$65),($B$104*(1-$B$101)-$B$105)/((Assumptions!$B$9+Assumptions!$B$11+Assumptions!$B$12+Assumptions!$B$13+Assumptions!$B$14)+G135+F135+D135+E135))</f>
        <v/>
      </c>
      <c r="I135">
        <f>$B$104/H135</f>
        <v/>
      </c>
      <c r="J135">
        <f>$B$105/H135</f>
        <v/>
      </c>
      <c r="K135">
        <f>I135-J135</f>
        <v/>
      </c>
      <c r="L135">
        <f>Assumptions!$B$51/K135</f>
        <v/>
      </c>
      <c r="M135">
        <f>H135*(1-Assumptions!$B$52)</f>
        <v/>
      </c>
      <c r="N135">
        <f>MIN(L135,M135)</f>
        <v/>
      </c>
      <c r="O135">
        <f>Assumptions!$B$50/N135</f>
        <v/>
      </c>
      <c r="P135">
        <f>Assumptions!$B$54/K135</f>
        <v/>
      </c>
      <c r="Q135">
        <f>H135*(1-Assumptions!$B$55)</f>
        <v/>
      </c>
      <c r="R135">
        <f>MIN(P135,Q135)</f>
        <v/>
      </c>
      <c r="S135">
        <f>Assumptions!$B$53/R135</f>
        <v/>
      </c>
      <c r="T135">
        <f>Assumptions!$B$27*(Assumptions!$B$64+$B$105/Assumptions!$B$27)/(Assumptions!$B$64+J135)</f>
        <v/>
      </c>
      <c r="U135">
        <f>IF(H135&lt;Assumptions!$B$27,Assumptions!$B$27/T135,1)</f>
        <v/>
      </c>
      <c r="V135">
        <f>Assumptions!$B$26*(Assumptions!$B$64+$B$105/Assumptions!$B$26)/(Assumptions!$B$64+J135)</f>
        <v/>
      </c>
      <c r="W135">
        <f>IF(H135&lt;Assumptions!$B$26,Assumptions!$B$26/V135,1)</f>
        <v/>
      </c>
    </row>
    <row r="136">
      <c r="A136" t="n">
        <v>28</v>
      </c>
      <c r="B136">
        <f>U135</f>
        <v/>
      </c>
      <c r="C136">
        <f>W135</f>
        <v/>
      </c>
      <c r="D136">
        <f>O135</f>
        <v/>
      </c>
      <c r="E136">
        <f>S135</f>
        <v/>
      </c>
      <c r="F136">
        <f>Assumptions!$B$16*B136</f>
        <v/>
      </c>
      <c r="G136">
        <f>Assumptions!$B$15*C136</f>
        <v/>
      </c>
      <c r="H136">
        <f>IF($B$101*($B$104/(($B$104*(1-$B$101)-$B$105)/((Assumptions!$B$9+Assumptions!$B$11+Assumptions!$B$12+Assumptions!$B$13+Assumptions!$B$14)+G136+F136+D136+E136)))&lt;Assumptions!$B$65,($B$104-$B$105)/(((Assumptions!$B$9+Assumptions!$B$11+Assumptions!$B$12+Assumptions!$B$13+Assumptions!$B$14)+G136+F136+D136+E136)+Assumptions!$B$65),($B$104*(1-$B$101)-$B$105)/((Assumptions!$B$9+Assumptions!$B$11+Assumptions!$B$12+Assumptions!$B$13+Assumptions!$B$14)+G136+F136+D136+E136))</f>
        <v/>
      </c>
      <c r="I136">
        <f>$B$104/H136</f>
        <v/>
      </c>
      <c r="J136">
        <f>$B$105/H136</f>
        <v/>
      </c>
      <c r="K136">
        <f>I136-J136</f>
        <v/>
      </c>
      <c r="L136">
        <f>Assumptions!$B$51/K136</f>
        <v/>
      </c>
      <c r="M136">
        <f>H136*(1-Assumptions!$B$52)</f>
        <v/>
      </c>
      <c r="N136">
        <f>MIN(L136,M136)</f>
        <v/>
      </c>
      <c r="O136">
        <f>Assumptions!$B$50/N136</f>
        <v/>
      </c>
      <c r="P136">
        <f>Assumptions!$B$54/K136</f>
        <v/>
      </c>
      <c r="Q136">
        <f>H136*(1-Assumptions!$B$55)</f>
        <v/>
      </c>
      <c r="R136">
        <f>MIN(P136,Q136)</f>
        <v/>
      </c>
      <c r="S136">
        <f>Assumptions!$B$53/R136</f>
        <v/>
      </c>
      <c r="T136">
        <f>Assumptions!$B$27*(Assumptions!$B$64+$B$105/Assumptions!$B$27)/(Assumptions!$B$64+J136)</f>
        <v/>
      </c>
      <c r="U136">
        <f>IF(H136&lt;Assumptions!$B$27,Assumptions!$B$27/T136,1)</f>
        <v/>
      </c>
      <c r="V136">
        <f>Assumptions!$B$26*(Assumptions!$B$64+$B$105/Assumptions!$B$26)/(Assumptions!$B$64+J136)</f>
        <v/>
      </c>
      <c r="W136">
        <f>IF(H136&lt;Assumptions!$B$26,Assumptions!$B$26/V136,1)</f>
        <v/>
      </c>
    </row>
    <row r="137">
      <c r="A137" t="n">
        <v>29</v>
      </c>
      <c r="B137">
        <f>U136</f>
        <v/>
      </c>
      <c r="C137">
        <f>W136</f>
        <v/>
      </c>
      <c r="D137">
        <f>O136</f>
        <v/>
      </c>
      <c r="E137">
        <f>S136</f>
        <v/>
      </c>
      <c r="F137">
        <f>Assumptions!$B$16*B137</f>
        <v/>
      </c>
      <c r="G137">
        <f>Assumptions!$B$15*C137</f>
        <v/>
      </c>
      <c r="H137">
        <f>IF($B$101*($B$104/(($B$104*(1-$B$101)-$B$105)/((Assumptions!$B$9+Assumptions!$B$11+Assumptions!$B$12+Assumptions!$B$13+Assumptions!$B$14)+G137+F137+D137+E137)))&lt;Assumptions!$B$65,($B$104-$B$105)/(((Assumptions!$B$9+Assumptions!$B$11+Assumptions!$B$12+Assumptions!$B$13+Assumptions!$B$14)+G137+F137+D137+E137)+Assumptions!$B$65),($B$104*(1-$B$101)-$B$105)/((Assumptions!$B$9+Assumptions!$B$11+Assumptions!$B$12+Assumptions!$B$13+Assumptions!$B$14)+G137+F137+D137+E137))</f>
        <v/>
      </c>
      <c r="I137">
        <f>$B$104/H137</f>
        <v/>
      </c>
      <c r="J137">
        <f>$B$105/H137</f>
        <v/>
      </c>
      <c r="K137">
        <f>I137-J137</f>
        <v/>
      </c>
      <c r="L137">
        <f>Assumptions!$B$51/K137</f>
        <v/>
      </c>
      <c r="M137">
        <f>H137*(1-Assumptions!$B$52)</f>
        <v/>
      </c>
      <c r="N137">
        <f>MIN(L137,M137)</f>
        <v/>
      </c>
      <c r="O137">
        <f>Assumptions!$B$50/N137</f>
        <v/>
      </c>
      <c r="P137">
        <f>Assumptions!$B$54/K137</f>
        <v/>
      </c>
      <c r="Q137">
        <f>H137*(1-Assumptions!$B$55)</f>
        <v/>
      </c>
      <c r="R137">
        <f>MIN(P137,Q137)</f>
        <v/>
      </c>
      <c r="S137">
        <f>Assumptions!$B$53/R137</f>
        <v/>
      </c>
      <c r="T137">
        <f>Assumptions!$B$27*(Assumptions!$B$64+$B$105/Assumptions!$B$27)/(Assumptions!$B$64+J137)</f>
        <v/>
      </c>
      <c r="U137">
        <f>IF(H137&lt;Assumptions!$B$27,Assumptions!$B$27/T137,1)</f>
        <v/>
      </c>
      <c r="V137">
        <f>Assumptions!$B$26*(Assumptions!$B$64+$B$105/Assumptions!$B$26)/(Assumptions!$B$64+J137)</f>
        <v/>
      </c>
      <c r="W137">
        <f>IF(H137&lt;Assumptions!$B$26,Assumptions!$B$26/V137,1)</f>
        <v/>
      </c>
    </row>
    <row r="138">
      <c r="A138" t="n">
        <v>30</v>
      </c>
      <c r="B138">
        <f>U137</f>
        <v/>
      </c>
      <c r="C138">
        <f>W137</f>
        <v/>
      </c>
      <c r="D138">
        <f>O137</f>
        <v/>
      </c>
      <c r="E138">
        <f>S137</f>
        <v/>
      </c>
      <c r="F138">
        <f>Assumptions!$B$16*B138</f>
        <v/>
      </c>
      <c r="G138">
        <f>Assumptions!$B$15*C138</f>
        <v/>
      </c>
      <c r="H138">
        <f>IF($B$101*($B$104/(($B$104*(1-$B$101)-$B$105)/((Assumptions!$B$9+Assumptions!$B$11+Assumptions!$B$12+Assumptions!$B$13+Assumptions!$B$14)+G138+F138+D138+E138)))&lt;Assumptions!$B$65,($B$104-$B$105)/(((Assumptions!$B$9+Assumptions!$B$11+Assumptions!$B$12+Assumptions!$B$13+Assumptions!$B$14)+G138+F138+D138+E138)+Assumptions!$B$65),($B$104*(1-$B$101)-$B$105)/((Assumptions!$B$9+Assumptions!$B$11+Assumptions!$B$12+Assumptions!$B$13+Assumptions!$B$14)+G138+F138+D138+E138))</f>
        <v/>
      </c>
      <c r="I138">
        <f>$B$104/H138</f>
        <v/>
      </c>
      <c r="J138">
        <f>$B$105/H138</f>
        <v/>
      </c>
      <c r="K138">
        <f>I138-J138</f>
        <v/>
      </c>
      <c r="L138">
        <f>Assumptions!$B$51/K138</f>
        <v/>
      </c>
      <c r="M138">
        <f>H138*(1-Assumptions!$B$52)</f>
        <v/>
      </c>
      <c r="N138">
        <f>MIN(L138,M138)</f>
        <v/>
      </c>
      <c r="O138">
        <f>Assumptions!$B$50/N138</f>
        <v/>
      </c>
      <c r="P138">
        <f>Assumptions!$B$54/K138</f>
        <v/>
      </c>
      <c r="Q138">
        <f>H138*(1-Assumptions!$B$55)</f>
        <v/>
      </c>
      <c r="R138">
        <f>MIN(P138,Q138)</f>
        <v/>
      </c>
      <c r="S138">
        <f>Assumptions!$B$53/R138</f>
        <v/>
      </c>
      <c r="T138">
        <f>Assumptions!$B$27*(Assumptions!$B$64+$B$105/Assumptions!$B$27)/(Assumptions!$B$64+J138)</f>
        <v/>
      </c>
      <c r="U138">
        <f>IF(H138&lt;Assumptions!$B$27,Assumptions!$B$27/T138,1)</f>
        <v/>
      </c>
      <c r="V138">
        <f>Assumptions!$B$26*(Assumptions!$B$64+$B$105/Assumptions!$B$26)/(Assumptions!$B$64+J138)</f>
        <v/>
      </c>
      <c r="W138">
        <f>IF(H138&lt;Assumptions!$B$26,Assumptions!$B$26/V138,1)</f>
        <v/>
      </c>
    </row>
    <row r="139">
      <c r="A139" t="n">
        <v>31</v>
      </c>
      <c r="B139">
        <f>U138</f>
        <v/>
      </c>
      <c r="C139">
        <f>W138</f>
        <v/>
      </c>
      <c r="D139">
        <f>O138</f>
        <v/>
      </c>
      <c r="E139">
        <f>S138</f>
        <v/>
      </c>
      <c r="F139">
        <f>Assumptions!$B$16*B139</f>
        <v/>
      </c>
      <c r="G139">
        <f>Assumptions!$B$15*C139</f>
        <v/>
      </c>
      <c r="H139">
        <f>IF($B$101*($B$104/(($B$104*(1-$B$101)-$B$105)/((Assumptions!$B$9+Assumptions!$B$11+Assumptions!$B$12+Assumptions!$B$13+Assumptions!$B$14)+G139+F139+D139+E139)))&lt;Assumptions!$B$65,($B$104-$B$105)/(((Assumptions!$B$9+Assumptions!$B$11+Assumptions!$B$12+Assumptions!$B$13+Assumptions!$B$14)+G139+F139+D139+E139)+Assumptions!$B$65),($B$104*(1-$B$101)-$B$105)/((Assumptions!$B$9+Assumptions!$B$11+Assumptions!$B$12+Assumptions!$B$13+Assumptions!$B$14)+G139+F139+D139+E139))</f>
        <v/>
      </c>
      <c r="I139">
        <f>$B$104/H139</f>
        <v/>
      </c>
      <c r="J139">
        <f>$B$105/H139</f>
        <v/>
      </c>
      <c r="K139">
        <f>I139-J139</f>
        <v/>
      </c>
      <c r="L139">
        <f>Assumptions!$B$51/K139</f>
        <v/>
      </c>
      <c r="M139">
        <f>H139*(1-Assumptions!$B$52)</f>
        <v/>
      </c>
      <c r="N139">
        <f>MIN(L139,M139)</f>
        <v/>
      </c>
      <c r="O139">
        <f>Assumptions!$B$50/N139</f>
        <v/>
      </c>
      <c r="P139">
        <f>Assumptions!$B$54/K139</f>
        <v/>
      </c>
      <c r="Q139">
        <f>H139*(1-Assumptions!$B$55)</f>
        <v/>
      </c>
      <c r="R139">
        <f>MIN(P139,Q139)</f>
        <v/>
      </c>
      <c r="S139">
        <f>Assumptions!$B$53/R139</f>
        <v/>
      </c>
      <c r="T139">
        <f>Assumptions!$B$27*(Assumptions!$B$64+$B$105/Assumptions!$B$27)/(Assumptions!$B$64+J139)</f>
        <v/>
      </c>
      <c r="U139">
        <f>IF(H139&lt;Assumptions!$B$27,Assumptions!$B$27/T139,1)</f>
        <v/>
      </c>
      <c r="V139">
        <f>Assumptions!$B$26*(Assumptions!$B$64+$B$105/Assumptions!$B$26)/(Assumptions!$B$64+J139)</f>
        <v/>
      </c>
      <c r="W139">
        <f>IF(H139&lt;Assumptions!$B$26,Assumptions!$B$26/V139,1)</f>
        <v/>
      </c>
    </row>
    <row r="140">
      <c r="A140" t="n">
        <v>32</v>
      </c>
      <c r="B140">
        <f>U139</f>
        <v/>
      </c>
      <c r="C140">
        <f>W139</f>
        <v/>
      </c>
      <c r="D140">
        <f>O139</f>
        <v/>
      </c>
      <c r="E140">
        <f>S139</f>
        <v/>
      </c>
      <c r="F140">
        <f>Assumptions!$B$16*B140</f>
        <v/>
      </c>
      <c r="G140">
        <f>Assumptions!$B$15*C140</f>
        <v/>
      </c>
      <c r="H140">
        <f>IF($B$101*($B$104/(($B$104*(1-$B$101)-$B$105)/((Assumptions!$B$9+Assumptions!$B$11+Assumptions!$B$12+Assumptions!$B$13+Assumptions!$B$14)+G140+F140+D140+E140)))&lt;Assumptions!$B$65,($B$104-$B$105)/(((Assumptions!$B$9+Assumptions!$B$11+Assumptions!$B$12+Assumptions!$B$13+Assumptions!$B$14)+G140+F140+D140+E140)+Assumptions!$B$65),($B$104*(1-$B$101)-$B$105)/((Assumptions!$B$9+Assumptions!$B$11+Assumptions!$B$12+Assumptions!$B$13+Assumptions!$B$14)+G140+F140+D140+E140))</f>
        <v/>
      </c>
      <c r="I140">
        <f>$B$104/H140</f>
        <v/>
      </c>
      <c r="J140">
        <f>$B$105/H140</f>
        <v/>
      </c>
      <c r="K140">
        <f>I140-J140</f>
        <v/>
      </c>
      <c r="L140">
        <f>Assumptions!$B$51/K140</f>
        <v/>
      </c>
      <c r="M140">
        <f>H140*(1-Assumptions!$B$52)</f>
        <v/>
      </c>
      <c r="N140">
        <f>MIN(L140,M140)</f>
        <v/>
      </c>
      <c r="O140">
        <f>Assumptions!$B$50/N140</f>
        <v/>
      </c>
      <c r="P140">
        <f>Assumptions!$B$54/K140</f>
        <v/>
      </c>
      <c r="Q140">
        <f>H140*(1-Assumptions!$B$55)</f>
        <v/>
      </c>
      <c r="R140">
        <f>MIN(P140,Q140)</f>
        <v/>
      </c>
      <c r="S140">
        <f>Assumptions!$B$53/R140</f>
        <v/>
      </c>
      <c r="T140">
        <f>Assumptions!$B$27*(Assumptions!$B$64+$B$105/Assumptions!$B$27)/(Assumptions!$B$64+J140)</f>
        <v/>
      </c>
      <c r="U140">
        <f>IF(H140&lt;Assumptions!$B$27,Assumptions!$B$27/T140,1)</f>
        <v/>
      </c>
      <c r="V140">
        <f>Assumptions!$B$26*(Assumptions!$B$64+$B$105/Assumptions!$B$26)/(Assumptions!$B$64+J140)</f>
        <v/>
      </c>
      <c r="W140">
        <f>IF(H140&lt;Assumptions!$B$26,Assumptions!$B$26/V140,1)</f>
        <v/>
      </c>
    </row>
    <row r="141">
      <c r="A141" t="n">
        <v>33</v>
      </c>
      <c r="B141">
        <f>U140</f>
        <v/>
      </c>
      <c r="C141">
        <f>W140</f>
        <v/>
      </c>
      <c r="D141">
        <f>O140</f>
        <v/>
      </c>
      <c r="E141">
        <f>S140</f>
        <v/>
      </c>
      <c r="F141">
        <f>Assumptions!$B$16*B141</f>
        <v/>
      </c>
      <c r="G141">
        <f>Assumptions!$B$15*C141</f>
        <v/>
      </c>
      <c r="H141">
        <f>IF($B$101*($B$104/(($B$104*(1-$B$101)-$B$105)/((Assumptions!$B$9+Assumptions!$B$11+Assumptions!$B$12+Assumptions!$B$13+Assumptions!$B$14)+G141+F141+D141+E141)))&lt;Assumptions!$B$65,($B$104-$B$105)/(((Assumptions!$B$9+Assumptions!$B$11+Assumptions!$B$12+Assumptions!$B$13+Assumptions!$B$14)+G141+F141+D141+E141)+Assumptions!$B$65),($B$104*(1-$B$101)-$B$105)/((Assumptions!$B$9+Assumptions!$B$11+Assumptions!$B$12+Assumptions!$B$13+Assumptions!$B$14)+G141+F141+D141+E141))</f>
        <v/>
      </c>
      <c r="I141">
        <f>$B$104/H141</f>
        <v/>
      </c>
      <c r="J141">
        <f>$B$105/H141</f>
        <v/>
      </c>
      <c r="K141">
        <f>I141-J141</f>
        <v/>
      </c>
      <c r="L141">
        <f>Assumptions!$B$51/K141</f>
        <v/>
      </c>
      <c r="M141">
        <f>H141*(1-Assumptions!$B$52)</f>
        <v/>
      </c>
      <c r="N141">
        <f>MIN(L141,M141)</f>
        <v/>
      </c>
      <c r="O141">
        <f>Assumptions!$B$50/N141</f>
        <v/>
      </c>
      <c r="P141">
        <f>Assumptions!$B$54/K141</f>
        <v/>
      </c>
      <c r="Q141">
        <f>H141*(1-Assumptions!$B$55)</f>
        <v/>
      </c>
      <c r="R141">
        <f>MIN(P141,Q141)</f>
        <v/>
      </c>
      <c r="S141">
        <f>Assumptions!$B$53/R141</f>
        <v/>
      </c>
      <c r="T141">
        <f>Assumptions!$B$27*(Assumptions!$B$64+$B$105/Assumptions!$B$27)/(Assumptions!$B$64+J141)</f>
        <v/>
      </c>
      <c r="U141">
        <f>IF(H141&lt;Assumptions!$B$27,Assumptions!$B$27/T141,1)</f>
        <v/>
      </c>
      <c r="V141">
        <f>Assumptions!$B$26*(Assumptions!$B$64+$B$105/Assumptions!$B$26)/(Assumptions!$B$64+J141)</f>
        <v/>
      </c>
      <c r="W141">
        <f>IF(H141&lt;Assumptions!$B$26,Assumptions!$B$26/V141,1)</f>
        <v/>
      </c>
    </row>
    <row r="142">
      <c r="A142" t="n">
        <v>34</v>
      </c>
      <c r="B142">
        <f>U141</f>
        <v/>
      </c>
      <c r="C142">
        <f>W141</f>
        <v/>
      </c>
      <c r="D142">
        <f>O141</f>
        <v/>
      </c>
      <c r="E142">
        <f>S141</f>
        <v/>
      </c>
      <c r="F142">
        <f>Assumptions!$B$16*B142</f>
        <v/>
      </c>
      <c r="G142">
        <f>Assumptions!$B$15*C142</f>
        <v/>
      </c>
      <c r="H142">
        <f>IF($B$101*($B$104/(($B$104*(1-$B$101)-$B$105)/((Assumptions!$B$9+Assumptions!$B$11+Assumptions!$B$12+Assumptions!$B$13+Assumptions!$B$14)+G142+F142+D142+E142)))&lt;Assumptions!$B$65,($B$104-$B$105)/(((Assumptions!$B$9+Assumptions!$B$11+Assumptions!$B$12+Assumptions!$B$13+Assumptions!$B$14)+G142+F142+D142+E142)+Assumptions!$B$65),($B$104*(1-$B$101)-$B$105)/((Assumptions!$B$9+Assumptions!$B$11+Assumptions!$B$12+Assumptions!$B$13+Assumptions!$B$14)+G142+F142+D142+E142))</f>
        <v/>
      </c>
      <c r="I142">
        <f>$B$104/H142</f>
        <v/>
      </c>
      <c r="J142">
        <f>$B$105/H142</f>
        <v/>
      </c>
      <c r="K142">
        <f>I142-J142</f>
        <v/>
      </c>
      <c r="L142">
        <f>Assumptions!$B$51/K142</f>
        <v/>
      </c>
      <c r="M142">
        <f>H142*(1-Assumptions!$B$52)</f>
        <v/>
      </c>
      <c r="N142">
        <f>MIN(L142,M142)</f>
        <v/>
      </c>
      <c r="O142">
        <f>Assumptions!$B$50/N142</f>
        <v/>
      </c>
      <c r="P142">
        <f>Assumptions!$B$54/K142</f>
        <v/>
      </c>
      <c r="Q142">
        <f>H142*(1-Assumptions!$B$55)</f>
        <v/>
      </c>
      <c r="R142">
        <f>MIN(P142,Q142)</f>
        <v/>
      </c>
      <c r="S142">
        <f>Assumptions!$B$53/R142</f>
        <v/>
      </c>
      <c r="T142">
        <f>Assumptions!$B$27*(Assumptions!$B$64+$B$105/Assumptions!$B$27)/(Assumptions!$B$64+J142)</f>
        <v/>
      </c>
      <c r="U142">
        <f>IF(H142&lt;Assumptions!$B$27,Assumptions!$B$27/T142,1)</f>
        <v/>
      </c>
      <c r="V142">
        <f>Assumptions!$B$26*(Assumptions!$B$64+$B$105/Assumptions!$B$26)/(Assumptions!$B$64+J142)</f>
        <v/>
      </c>
      <c r="W142">
        <f>IF(H142&lt;Assumptions!$B$26,Assumptions!$B$26/V142,1)</f>
        <v/>
      </c>
    </row>
    <row r="143">
      <c r="A143" t="n">
        <v>35</v>
      </c>
      <c r="B143">
        <f>U142</f>
        <v/>
      </c>
      <c r="C143">
        <f>W142</f>
        <v/>
      </c>
      <c r="D143">
        <f>O142</f>
        <v/>
      </c>
      <c r="E143">
        <f>S142</f>
        <v/>
      </c>
      <c r="F143">
        <f>Assumptions!$B$16*B143</f>
        <v/>
      </c>
      <c r="G143">
        <f>Assumptions!$B$15*C143</f>
        <v/>
      </c>
      <c r="H143">
        <f>IF($B$101*($B$104/(($B$104*(1-$B$101)-$B$105)/((Assumptions!$B$9+Assumptions!$B$11+Assumptions!$B$12+Assumptions!$B$13+Assumptions!$B$14)+G143+F143+D143+E143)))&lt;Assumptions!$B$65,($B$104-$B$105)/(((Assumptions!$B$9+Assumptions!$B$11+Assumptions!$B$12+Assumptions!$B$13+Assumptions!$B$14)+G143+F143+D143+E143)+Assumptions!$B$65),($B$104*(1-$B$101)-$B$105)/((Assumptions!$B$9+Assumptions!$B$11+Assumptions!$B$12+Assumptions!$B$13+Assumptions!$B$14)+G143+F143+D143+E143))</f>
        <v/>
      </c>
      <c r="I143">
        <f>$B$104/H143</f>
        <v/>
      </c>
      <c r="J143">
        <f>$B$105/H143</f>
        <v/>
      </c>
      <c r="K143">
        <f>I143-J143</f>
        <v/>
      </c>
      <c r="L143">
        <f>Assumptions!$B$51/K143</f>
        <v/>
      </c>
      <c r="M143">
        <f>H143*(1-Assumptions!$B$52)</f>
        <v/>
      </c>
      <c r="N143">
        <f>MIN(L143,M143)</f>
        <v/>
      </c>
      <c r="O143">
        <f>Assumptions!$B$50/N143</f>
        <v/>
      </c>
      <c r="P143">
        <f>Assumptions!$B$54/K143</f>
        <v/>
      </c>
      <c r="Q143">
        <f>H143*(1-Assumptions!$B$55)</f>
        <v/>
      </c>
      <c r="R143">
        <f>MIN(P143,Q143)</f>
        <v/>
      </c>
      <c r="S143">
        <f>Assumptions!$B$53/R143</f>
        <v/>
      </c>
      <c r="T143">
        <f>Assumptions!$B$27*(Assumptions!$B$64+$B$105/Assumptions!$B$27)/(Assumptions!$B$64+J143)</f>
        <v/>
      </c>
      <c r="U143">
        <f>IF(H143&lt;Assumptions!$B$27,Assumptions!$B$27/T143,1)</f>
        <v/>
      </c>
      <c r="V143">
        <f>Assumptions!$B$26*(Assumptions!$B$64+$B$105/Assumptions!$B$26)/(Assumptions!$B$64+J143)</f>
        <v/>
      </c>
      <c r="W143">
        <f>IF(H143&lt;Assumptions!$B$26,Assumptions!$B$26/V143,1)</f>
        <v/>
      </c>
    </row>
    <row r="144">
      <c r="A144" t="n">
        <v>36</v>
      </c>
      <c r="B144">
        <f>U143</f>
        <v/>
      </c>
      <c r="C144">
        <f>W143</f>
        <v/>
      </c>
      <c r="D144">
        <f>O143</f>
        <v/>
      </c>
      <c r="E144">
        <f>S143</f>
        <v/>
      </c>
      <c r="F144">
        <f>Assumptions!$B$16*B144</f>
        <v/>
      </c>
      <c r="G144">
        <f>Assumptions!$B$15*C144</f>
        <v/>
      </c>
      <c r="H144">
        <f>IF($B$101*($B$104/(($B$104*(1-$B$101)-$B$105)/((Assumptions!$B$9+Assumptions!$B$11+Assumptions!$B$12+Assumptions!$B$13+Assumptions!$B$14)+G144+F144+D144+E144)))&lt;Assumptions!$B$65,($B$104-$B$105)/(((Assumptions!$B$9+Assumptions!$B$11+Assumptions!$B$12+Assumptions!$B$13+Assumptions!$B$14)+G144+F144+D144+E144)+Assumptions!$B$65),($B$104*(1-$B$101)-$B$105)/((Assumptions!$B$9+Assumptions!$B$11+Assumptions!$B$12+Assumptions!$B$13+Assumptions!$B$14)+G144+F144+D144+E144))</f>
        <v/>
      </c>
      <c r="I144">
        <f>$B$104/H144</f>
        <v/>
      </c>
      <c r="J144">
        <f>$B$105/H144</f>
        <v/>
      </c>
      <c r="K144">
        <f>I144-J144</f>
        <v/>
      </c>
      <c r="L144">
        <f>Assumptions!$B$51/K144</f>
        <v/>
      </c>
      <c r="M144">
        <f>H144*(1-Assumptions!$B$52)</f>
        <v/>
      </c>
      <c r="N144">
        <f>MIN(L144,M144)</f>
        <v/>
      </c>
      <c r="O144">
        <f>Assumptions!$B$50/N144</f>
        <v/>
      </c>
      <c r="P144">
        <f>Assumptions!$B$54/K144</f>
        <v/>
      </c>
      <c r="Q144">
        <f>H144*(1-Assumptions!$B$55)</f>
        <v/>
      </c>
      <c r="R144">
        <f>MIN(P144,Q144)</f>
        <v/>
      </c>
      <c r="S144">
        <f>Assumptions!$B$53/R144</f>
        <v/>
      </c>
      <c r="T144">
        <f>Assumptions!$B$27*(Assumptions!$B$64+$B$105/Assumptions!$B$27)/(Assumptions!$B$64+J144)</f>
        <v/>
      </c>
      <c r="U144">
        <f>IF(H144&lt;Assumptions!$B$27,Assumptions!$B$27/T144,1)</f>
        <v/>
      </c>
      <c r="V144">
        <f>Assumptions!$B$26*(Assumptions!$B$64+$B$105/Assumptions!$B$26)/(Assumptions!$B$64+J144)</f>
        <v/>
      </c>
      <c r="W144">
        <f>IF(H144&lt;Assumptions!$B$26,Assumptions!$B$26/V144,1)</f>
        <v/>
      </c>
    </row>
    <row r="145">
      <c r="A145" t="n">
        <v>37</v>
      </c>
      <c r="B145">
        <f>U144</f>
        <v/>
      </c>
      <c r="C145">
        <f>W144</f>
        <v/>
      </c>
      <c r="D145">
        <f>O144</f>
        <v/>
      </c>
      <c r="E145">
        <f>S144</f>
        <v/>
      </c>
      <c r="F145">
        <f>Assumptions!$B$16*B145</f>
        <v/>
      </c>
      <c r="G145">
        <f>Assumptions!$B$15*C145</f>
        <v/>
      </c>
      <c r="H145">
        <f>IF($B$101*($B$104/(($B$104*(1-$B$101)-$B$105)/((Assumptions!$B$9+Assumptions!$B$11+Assumptions!$B$12+Assumptions!$B$13+Assumptions!$B$14)+G145+F145+D145+E145)))&lt;Assumptions!$B$65,($B$104-$B$105)/(((Assumptions!$B$9+Assumptions!$B$11+Assumptions!$B$12+Assumptions!$B$13+Assumptions!$B$14)+G145+F145+D145+E145)+Assumptions!$B$65),($B$104*(1-$B$101)-$B$105)/((Assumptions!$B$9+Assumptions!$B$11+Assumptions!$B$12+Assumptions!$B$13+Assumptions!$B$14)+G145+F145+D145+E145))</f>
        <v/>
      </c>
      <c r="I145">
        <f>$B$104/H145</f>
        <v/>
      </c>
      <c r="J145">
        <f>$B$105/H145</f>
        <v/>
      </c>
      <c r="K145">
        <f>I145-J145</f>
        <v/>
      </c>
      <c r="L145">
        <f>Assumptions!$B$51/K145</f>
        <v/>
      </c>
      <c r="M145">
        <f>H145*(1-Assumptions!$B$52)</f>
        <v/>
      </c>
      <c r="N145">
        <f>MIN(L145,M145)</f>
        <v/>
      </c>
      <c r="O145">
        <f>Assumptions!$B$50/N145</f>
        <v/>
      </c>
      <c r="P145">
        <f>Assumptions!$B$54/K145</f>
        <v/>
      </c>
      <c r="Q145">
        <f>H145*(1-Assumptions!$B$55)</f>
        <v/>
      </c>
      <c r="R145">
        <f>MIN(P145,Q145)</f>
        <v/>
      </c>
      <c r="S145">
        <f>Assumptions!$B$53/R145</f>
        <v/>
      </c>
      <c r="T145">
        <f>Assumptions!$B$27*(Assumptions!$B$64+$B$105/Assumptions!$B$27)/(Assumptions!$B$64+J145)</f>
        <v/>
      </c>
      <c r="U145">
        <f>IF(H145&lt;Assumptions!$B$27,Assumptions!$B$27/T145,1)</f>
        <v/>
      </c>
      <c r="V145">
        <f>Assumptions!$B$26*(Assumptions!$B$64+$B$105/Assumptions!$B$26)/(Assumptions!$B$64+J145)</f>
        <v/>
      </c>
      <c r="W145">
        <f>IF(H145&lt;Assumptions!$B$26,Assumptions!$B$26/V145,1)</f>
        <v/>
      </c>
    </row>
    <row r="146">
      <c r="A146" t="n">
        <v>38</v>
      </c>
      <c r="B146">
        <f>U145</f>
        <v/>
      </c>
      <c r="C146">
        <f>W145</f>
        <v/>
      </c>
      <c r="D146">
        <f>O145</f>
        <v/>
      </c>
      <c r="E146">
        <f>S145</f>
        <v/>
      </c>
      <c r="F146">
        <f>Assumptions!$B$16*B146</f>
        <v/>
      </c>
      <c r="G146">
        <f>Assumptions!$B$15*C146</f>
        <v/>
      </c>
      <c r="H146">
        <f>IF($B$101*($B$104/(($B$104*(1-$B$101)-$B$105)/((Assumptions!$B$9+Assumptions!$B$11+Assumptions!$B$12+Assumptions!$B$13+Assumptions!$B$14)+G146+F146+D146+E146)))&lt;Assumptions!$B$65,($B$104-$B$105)/(((Assumptions!$B$9+Assumptions!$B$11+Assumptions!$B$12+Assumptions!$B$13+Assumptions!$B$14)+G146+F146+D146+E146)+Assumptions!$B$65),($B$104*(1-$B$101)-$B$105)/((Assumptions!$B$9+Assumptions!$B$11+Assumptions!$B$12+Assumptions!$B$13+Assumptions!$B$14)+G146+F146+D146+E146))</f>
        <v/>
      </c>
      <c r="I146">
        <f>$B$104/H146</f>
        <v/>
      </c>
      <c r="J146">
        <f>$B$105/H146</f>
        <v/>
      </c>
      <c r="K146">
        <f>I146-J146</f>
        <v/>
      </c>
      <c r="L146">
        <f>Assumptions!$B$51/K146</f>
        <v/>
      </c>
      <c r="M146">
        <f>H146*(1-Assumptions!$B$52)</f>
        <v/>
      </c>
      <c r="N146">
        <f>MIN(L146,M146)</f>
        <v/>
      </c>
      <c r="O146">
        <f>Assumptions!$B$50/N146</f>
        <v/>
      </c>
      <c r="P146">
        <f>Assumptions!$B$54/K146</f>
        <v/>
      </c>
      <c r="Q146">
        <f>H146*(1-Assumptions!$B$55)</f>
        <v/>
      </c>
      <c r="R146">
        <f>MIN(P146,Q146)</f>
        <v/>
      </c>
      <c r="S146">
        <f>Assumptions!$B$53/R146</f>
        <v/>
      </c>
      <c r="T146">
        <f>Assumptions!$B$27*(Assumptions!$B$64+$B$105/Assumptions!$B$27)/(Assumptions!$B$64+J146)</f>
        <v/>
      </c>
      <c r="U146">
        <f>IF(H146&lt;Assumptions!$B$27,Assumptions!$B$27/T146,1)</f>
        <v/>
      </c>
      <c r="V146">
        <f>Assumptions!$B$26*(Assumptions!$B$64+$B$105/Assumptions!$B$26)/(Assumptions!$B$64+J146)</f>
        <v/>
      </c>
      <c r="W146">
        <f>IF(H146&lt;Assumptions!$B$26,Assumptions!$B$26/V146,1)</f>
        <v/>
      </c>
    </row>
    <row r="147">
      <c r="A147" t="n">
        <v>39</v>
      </c>
      <c r="B147">
        <f>U146</f>
        <v/>
      </c>
      <c r="C147">
        <f>W146</f>
        <v/>
      </c>
      <c r="D147">
        <f>O146</f>
        <v/>
      </c>
      <c r="E147">
        <f>S146</f>
        <v/>
      </c>
      <c r="F147">
        <f>Assumptions!$B$16*B147</f>
        <v/>
      </c>
      <c r="G147">
        <f>Assumptions!$B$15*C147</f>
        <v/>
      </c>
      <c r="H147">
        <f>IF($B$101*($B$104/(($B$104*(1-$B$101)-$B$105)/((Assumptions!$B$9+Assumptions!$B$11+Assumptions!$B$12+Assumptions!$B$13+Assumptions!$B$14)+G147+F147+D147+E147)))&lt;Assumptions!$B$65,($B$104-$B$105)/(((Assumptions!$B$9+Assumptions!$B$11+Assumptions!$B$12+Assumptions!$B$13+Assumptions!$B$14)+G147+F147+D147+E147)+Assumptions!$B$65),($B$104*(1-$B$101)-$B$105)/((Assumptions!$B$9+Assumptions!$B$11+Assumptions!$B$12+Assumptions!$B$13+Assumptions!$B$14)+G147+F147+D147+E147))</f>
        <v/>
      </c>
      <c r="I147">
        <f>$B$104/H147</f>
        <v/>
      </c>
      <c r="J147">
        <f>$B$105/H147</f>
        <v/>
      </c>
      <c r="K147">
        <f>I147-J147</f>
        <v/>
      </c>
      <c r="L147">
        <f>Assumptions!$B$51/K147</f>
        <v/>
      </c>
      <c r="M147">
        <f>H147*(1-Assumptions!$B$52)</f>
        <v/>
      </c>
      <c r="N147">
        <f>MIN(L147,M147)</f>
        <v/>
      </c>
      <c r="O147">
        <f>Assumptions!$B$50/N147</f>
        <v/>
      </c>
      <c r="P147">
        <f>Assumptions!$B$54/K147</f>
        <v/>
      </c>
      <c r="Q147">
        <f>H147*(1-Assumptions!$B$55)</f>
        <v/>
      </c>
      <c r="R147">
        <f>MIN(P147,Q147)</f>
        <v/>
      </c>
      <c r="S147">
        <f>Assumptions!$B$53/R147</f>
        <v/>
      </c>
      <c r="T147">
        <f>Assumptions!$B$27*(Assumptions!$B$64+$B$105/Assumptions!$B$27)/(Assumptions!$B$64+J147)</f>
        <v/>
      </c>
      <c r="U147">
        <f>IF(H147&lt;Assumptions!$B$27,Assumptions!$B$27/T147,1)</f>
        <v/>
      </c>
      <c r="V147">
        <f>Assumptions!$B$26*(Assumptions!$B$64+$B$105/Assumptions!$B$26)/(Assumptions!$B$64+J147)</f>
        <v/>
      </c>
      <c r="W147">
        <f>IF(H147&lt;Assumptions!$B$26,Assumptions!$B$26/V147,1)</f>
        <v/>
      </c>
    </row>
    <row r="148">
      <c r="A148" t="n">
        <v>40</v>
      </c>
      <c r="B148">
        <f>U147</f>
        <v/>
      </c>
      <c r="C148">
        <f>W147</f>
        <v/>
      </c>
      <c r="D148">
        <f>O147</f>
        <v/>
      </c>
      <c r="E148">
        <f>S147</f>
        <v/>
      </c>
      <c r="F148">
        <f>Assumptions!$B$16*B148</f>
        <v/>
      </c>
      <c r="G148">
        <f>Assumptions!$B$15*C148</f>
        <v/>
      </c>
      <c r="H148">
        <f>IF($B$101*($B$104/(($B$104*(1-$B$101)-$B$105)/((Assumptions!$B$9+Assumptions!$B$11+Assumptions!$B$12+Assumptions!$B$13+Assumptions!$B$14)+G148+F148+D148+E148)))&lt;Assumptions!$B$65,($B$104-$B$105)/(((Assumptions!$B$9+Assumptions!$B$11+Assumptions!$B$12+Assumptions!$B$13+Assumptions!$B$14)+G148+F148+D148+E148)+Assumptions!$B$65),($B$104*(1-$B$101)-$B$105)/((Assumptions!$B$9+Assumptions!$B$11+Assumptions!$B$12+Assumptions!$B$13+Assumptions!$B$14)+G148+F148+D148+E148))</f>
        <v/>
      </c>
      <c r="I148">
        <f>$B$104/H148</f>
        <v/>
      </c>
      <c r="J148">
        <f>$B$105/H148</f>
        <v/>
      </c>
      <c r="K148">
        <f>I148-J148</f>
        <v/>
      </c>
      <c r="L148">
        <f>Assumptions!$B$51/K148</f>
        <v/>
      </c>
      <c r="M148">
        <f>H148*(1-Assumptions!$B$52)</f>
        <v/>
      </c>
      <c r="N148">
        <f>MIN(L148,M148)</f>
        <v/>
      </c>
      <c r="O148">
        <f>Assumptions!$B$50/N148</f>
        <v/>
      </c>
      <c r="P148">
        <f>Assumptions!$B$54/K148</f>
        <v/>
      </c>
      <c r="Q148">
        <f>H148*(1-Assumptions!$B$55)</f>
        <v/>
      </c>
      <c r="R148">
        <f>MIN(P148,Q148)</f>
        <v/>
      </c>
      <c r="S148">
        <f>Assumptions!$B$53/R148</f>
        <v/>
      </c>
      <c r="T148">
        <f>Assumptions!$B$27*(Assumptions!$B$64+$B$105/Assumptions!$B$27)/(Assumptions!$B$64+J148)</f>
        <v/>
      </c>
      <c r="U148">
        <f>IF(H148&lt;Assumptions!$B$27,Assumptions!$B$27/T148,1)</f>
        <v/>
      </c>
      <c r="V148">
        <f>Assumptions!$B$26*(Assumptions!$B$64+$B$105/Assumptions!$B$26)/(Assumptions!$B$64+J148)</f>
        <v/>
      </c>
      <c r="W148">
        <f>IF(H148&lt;Assumptions!$B$26,Assumptions!$B$26/V148,1)</f>
        <v/>
      </c>
    </row>
    <row r="149">
      <c r="A149" t="n">
        <v>41</v>
      </c>
      <c r="B149">
        <f>U148</f>
        <v/>
      </c>
      <c r="C149">
        <f>W148</f>
        <v/>
      </c>
      <c r="D149">
        <f>O148</f>
        <v/>
      </c>
      <c r="E149">
        <f>S148</f>
        <v/>
      </c>
      <c r="F149">
        <f>Assumptions!$B$16*B149</f>
        <v/>
      </c>
      <c r="G149">
        <f>Assumptions!$B$15*C149</f>
        <v/>
      </c>
      <c r="H149">
        <f>IF($B$101*($B$104/(($B$104*(1-$B$101)-$B$105)/((Assumptions!$B$9+Assumptions!$B$11+Assumptions!$B$12+Assumptions!$B$13+Assumptions!$B$14)+G149+F149+D149+E149)))&lt;Assumptions!$B$65,($B$104-$B$105)/(((Assumptions!$B$9+Assumptions!$B$11+Assumptions!$B$12+Assumptions!$B$13+Assumptions!$B$14)+G149+F149+D149+E149)+Assumptions!$B$65),($B$104*(1-$B$101)-$B$105)/((Assumptions!$B$9+Assumptions!$B$11+Assumptions!$B$12+Assumptions!$B$13+Assumptions!$B$14)+G149+F149+D149+E149))</f>
        <v/>
      </c>
      <c r="I149">
        <f>$B$104/H149</f>
        <v/>
      </c>
      <c r="J149">
        <f>$B$105/H149</f>
        <v/>
      </c>
      <c r="K149">
        <f>I149-J149</f>
        <v/>
      </c>
      <c r="L149">
        <f>Assumptions!$B$51/K149</f>
        <v/>
      </c>
      <c r="M149">
        <f>H149*(1-Assumptions!$B$52)</f>
        <v/>
      </c>
      <c r="N149">
        <f>MIN(L149,M149)</f>
        <v/>
      </c>
      <c r="O149">
        <f>Assumptions!$B$50/N149</f>
        <v/>
      </c>
      <c r="P149">
        <f>Assumptions!$B$54/K149</f>
        <v/>
      </c>
      <c r="Q149">
        <f>H149*(1-Assumptions!$B$55)</f>
        <v/>
      </c>
      <c r="R149">
        <f>MIN(P149,Q149)</f>
        <v/>
      </c>
      <c r="S149">
        <f>Assumptions!$B$53/R149</f>
        <v/>
      </c>
      <c r="T149">
        <f>Assumptions!$B$27*(Assumptions!$B$64+$B$105/Assumptions!$B$27)/(Assumptions!$B$64+J149)</f>
        <v/>
      </c>
      <c r="U149">
        <f>IF(H149&lt;Assumptions!$B$27,Assumptions!$B$27/T149,1)</f>
        <v/>
      </c>
      <c r="V149">
        <f>Assumptions!$B$26*(Assumptions!$B$64+$B$105/Assumptions!$B$26)/(Assumptions!$B$64+J149)</f>
        <v/>
      </c>
      <c r="W149">
        <f>IF(H149&lt;Assumptions!$B$26,Assumptions!$B$26/V149,1)</f>
        <v/>
      </c>
    </row>
    <row r="150">
      <c r="A150" t="n">
        <v>42</v>
      </c>
      <c r="B150">
        <f>U149</f>
        <v/>
      </c>
      <c r="C150">
        <f>W149</f>
        <v/>
      </c>
      <c r="D150">
        <f>O149</f>
        <v/>
      </c>
      <c r="E150">
        <f>S149</f>
        <v/>
      </c>
      <c r="F150">
        <f>Assumptions!$B$16*B150</f>
        <v/>
      </c>
      <c r="G150">
        <f>Assumptions!$B$15*C150</f>
        <v/>
      </c>
      <c r="H150">
        <f>IF($B$101*($B$104/(($B$104*(1-$B$101)-$B$105)/((Assumptions!$B$9+Assumptions!$B$11+Assumptions!$B$12+Assumptions!$B$13+Assumptions!$B$14)+G150+F150+D150+E150)))&lt;Assumptions!$B$65,($B$104-$B$105)/(((Assumptions!$B$9+Assumptions!$B$11+Assumptions!$B$12+Assumptions!$B$13+Assumptions!$B$14)+G150+F150+D150+E150)+Assumptions!$B$65),($B$104*(1-$B$101)-$B$105)/((Assumptions!$B$9+Assumptions!$B$11+Assumptions!$B$12+Assumptions!$B$13+Assumptions!$B$14)+G150+F150+D150+E150))</f>
        <v/>
      </c>
      <c r="I150">
        <f>$B$104/H150</f>
        <v/>
      </c>
      <c r="J150">
        <f>$B$105/H150</f>
        <v/>
      </c>
      <c r="K150">
        <f>I150-J150</f>
        <v/>
      </c>
      <c r="L150">
        <f>Assumptions!$B$51/K150</f>
        <v/>
      </c>
      <c r="M150">
        <f>H150*(1-Assumptions!$B$52)</f>
        <v/>
      </c>
      <c r="N150">
        <f>MIN(L150,M150)</f>
        <v/>
      </c>
      <c r="O150">
        <f>Assumptions!$B$50/N150</f>
        <v/>
      </c>
      <c r="P150">
        <f>Assumptions!$B$54/K150</f>
        <v/>
      </c>
      <c r="Q150">
        <f>H150*(1-Assumptions!$B$55)</f>
        <v/>
      </c>
      <c r="R150">
        <f>MIN(P150,Q150)</f>
        <v/>
      </c>
      <c r="S150">
        <f>Assumptions!$B$53/R150</f>
        <v/>
      </c>
      <c r="T150">
        <f>Assumptions!$B$27*(Assumptions!$B$64+$B$105/Assumptions!$B$27)/(Assumptions!$B$64+J150)</f>
        <v/>
      </c>
      <c r="U150">
        <f>IF(H150&lt;Assumptions!$B$27,Assumptions!$B$27/T150,1)</f>
        <v/>
      </c>
      <c r="V150">
        <f>Assumptions!$B$26*(Assumptions!$B$64+$B$105/Assumptions!$B$26)/(Assumptions!$B$64+J150)</f>
        <v/>
      </c>
      <c r="W150">
        <f>IF(H150&lt;Assumptions!$B$26,Assumptions!$B$26/V150,1)</f>
        <v/>
      </c>
    </row>
    <row r="151">
      <c r="A151" t="n">
        <v>43</v>
      </c>
      <c r="B151">
        <f>U150</f>
        <v/>
      </c>
      <c r="C151">
        <f>W150</f>
        <v/>
      </c>
      <c r="D151">
        <f>O150</f>
        <v/>
      </c>
      <c r="E151">
        <f>S150</f>
        <v/>
      </c>
      <c r="F151">
        <f>Assumptions!$B$16*B151</f>
        <v/>
      </c>
      <c r="G151">
        <f>Assumptions!$B$15*C151</f>
        <v/>
      </c>
      <c r="H151">
        <f>IF($B$101*($B$104/(($B$104*(1-$B$101)-$B$105)/((Assumptions!$B$9+Assumptions!$B$11+Assumptions!$B$12+Assumptions!$B$13+Assumptions!$B$14)+G151+F151+D151+E151)))&lt;Assumptions!$B$65,($B$104-$B$105)/(((Assumptions!$B$9+Assumptions!$B$11+Assumptions!$B$12+Assumptions!$B$13+Assumptions!$B$14)+G151+F151+D151+E151)+Assumptions!$B$65),($B$104*(1-$B$101)-$B$105)/((Assumptions!$B$9+Assumptions!$B$11+Assumptions!$B$12+Assumptions!$B$13+Assumptions!$B$14)+G151+F151+D151+E151))</f>
        <v/>
      </c>
      <c r="I151">
        <f>$B$104/H151</f>
        <v/>
      </c>
      <c r="J151">
        <f>$B$105/H151</f>
        <v/>
      </c>
      <c r="K151">
        <f>I151-J151</f>
        <v/>
      </c>
      <c r="L151">
        <f>Assumptions!$B$51/K151</f>
        <v/>
      </c>
      <c r="M151">
        <f>H151*(1-Assumptions!$B$52)</f>
        <v/>
      </c>
      <c r="N151">
        <f>MIN(L151,M151)</f>
        <v/>
      </c>
      <c r="O151">
        <f>Assumptions!$B$50/N151</f>
        <v/>
      </c>
      <c r="P151">
        <f>Assumptions!$B$54/K151</f>
        <v/>
      </c>
      <c r="Q151">
        <f>H151*(1-Assumptions!$B$55)</f>
        <v/>
      </c>
      <c r="R151">
        <f>MIN(P151,Q151)</f>
        <v/>
      </c>
      <c r="S151">
        <f>Assumptions!$B$53/R151</f>
        <v/>
      </c>
      <c r="T151">
        <f>Assumptions!$B$27*(Assumptions!$B$64+$B$105/Assumptions!$B$27)/(Assumptions!$B$64+J151)</f>
        <v/>
      </c>
      <c r="U151">
        <f>IF(H151&lt;Assumptions!$B$27,Assumptions!$B$27/T151,1)</f>
        <v/>
      </c>
      <c r="V151">
        <f>Assumptions!$B$26*(Assumptions!$B$64+$B$105/Assumptions!$B$26)/(Assumptions!$B$64+J151)</f>
        <v/>
      </c>
      <c r="W151">
        <f>IF(H151&lt;Assumptions!$B$26,Assumptions!$B$26/V151,1)</f>
        <v/>
      </c>
    </row>
    <row r="152">
      <c r="A152" t="n">
        <v>44</v>
      </c>
      <c r="B152">
        <f>U151</f>
        <v/>
      </c>
      <c r="C152">
        <f>W151</f>
        <v/>
      </c>
      <c r="D152">
        <f>O151</f>
        <v/>
      </c>
      <c r="E152">
        <f>S151</f>
        <v/>
      </c>
      <c r="F152">
        <f>Assumptions!$B$16*B152</f>
        <v/>
      </c>
      <c r="G152">
        <f>Assumptions!$B$15*C152</f>
        <v/>
      </c>
      <c r="H152">
        <f>IF($B$101*($B$104/(($B$104*(1-$B$101)-$B$105)/((Assumptions!$B$9+Assumptions!$B$11+Assumptions!$B$12+Assumptions!$B$13+Assumptions!$B$14)+G152+F152+D152+E152)))&lt;Assumptions!$B$65,($B$104-$B$105)/(((Assumptions!$B$9+Assumptions!$B$11+Assumptions!$B$12+Assumptions!$B$13+Assumptions!$B$14)+G152+F152+D152+E152)+Assumptions!$B$65),($B$104*(1-$B$101)-$B$105)/((Assumptions!$B$9+Assumptions!$B$11+Assumptions!$B$12+Assumptions!$B$13+Assumptions!$B$14)+G152+F152+D152+E152))</f>
        <v/>
      </c>
      <c r="I152">
        <f>$B$104/H152</f>
        <v/>
      </c>
      <c r="J152">
        <f>$B$105/H152</f>
        <v/>
      </c>
      <c r="K152">
        <f>I152-J152</f>
        <v/>
      </c>
      <c r="L152">
        <f>Assumptions!$B$51/K152</f>
        <v/>
      </c>
      <c r="M152">
        <f>H152*(1-Assumptions!$B$52)</f>
        <v/>
      </c>
      <c r="N152">
        <f>MIN(L152,M152)</f>
        <v/>
      </c>
      <c r="O152">
        <f>Assumptions!$B$50/N152</f>
        <v/>
      </c>
      <c r="P152">
        <f>Assumptions!$B$54/K152</f>
        <v/>
      </c>
      <c r="Q152">
        <f>H152*(1-Assumptions!$B$55)</f>
        <v/>
      </c>
      <c r="R152">
        <f>MIN(P152,Q152)</f>
        <v/>
      </c>
      <c r="S152">
        <f>Assumptions!$B$53/R152</f>
        <v/>
      </c>
      <c r="T152">
        <f>Assumptions!$B$27*(Assumptions!$B$64+$B$105/Assumptions!$B$27)/(Assumptions!$B$64+J152)</f>
        <v/>
      </c>
      <c r="U152">
        <f>IF(H152&lt;Assumptions!$B$27,Assumptions!$B$27/T152,1)</f>
        <v/>
      </c>
      <c r="V152">
        <f>Assumptions!$B$26*(Assumptions!$B$64+$B$105/Assumptions!$B$26)/(Assumptions!$B$64+J152)</f>
        <v/>
      </c>
      <c r="W152">
        <f>IF(H152&lt;Assumptions!$B$26,Assumptions!$B$26/V152,1)</f>
        <v/>
      </c>
    </row>
    <row r="153">
      <c r="A153" t="n">
        <v>45</v>
      </c>
      <c r="B153">
        <f>U152</f>
        <v/>
      </c>
      <c r="C153">
        <f>W152</f>
        <v/>
      </c>
      <c r="D153">
        <f>O152</f>
        <v/>
      </c>
      <c r="E153">
        <f>S152</f>
        <v/>
      </c>
      <c r="F153">
        <f>Assumptions!$B$16*B153</f>
        <v/>
      </c>
      <c r="G153">
        <f>Assumptions!$B$15*C153</f>
        <v/>
      </c>
      <c r="H153">
        <f>IF($B$101*($B$104/(($B$104*(1-$B$101)-$B$105)/((Assumptions!$B$9+Assumptions!$B$11+Assumptions!$B$12+Assumptions!$B$13+Assumptions!$B$14)+G153+F153+D153+E153)))&lt;Assumptions!$B$65,($B$104-$B$105)/(((Assumptions!$B$9+Assumptions!$B$11+Assumptions!$B$12+Assumptions!$B$13+Assumptions!$B$14)+G153+F153+D153+E153)+Assumptions!$B$65),($B$104*(1-$B$101)-$B$105)/((Assumptions!$B$9+Assumptions!$B$11+Assumptions!$B$12+Assumptions!$B$13+Assumptions!$B$14)+G153+F153+D153+E153))</f>
        <v/>
      </c>
      <c r="I153">
        <f>$B$104/H153</f>
        <v/>
      </c>
      <c r="J153">
        <f>$B$105/H153</f>
        <v/>
      </c>
      <c r="K153">
        <f>I153-J153</f>
        <v/>
      </c>
      <c r="L153">
        <f>Assumptions!$B$51/K153</f>
        <v/>
      </c>
      <c r="M153">
        <f>H153*(1-Assumptions!$B$52)</f>
        <v/>
      </c>
      <c r="N153">
        <f>MIN(L153,M153)</f>
        <v/>
      </c>
      <c r="O153">
        <f>Assumptions!$B$50/N153</f>
        <v/>
      </c>
      <c r="P153">
        <f>Assumptions!$B$54/K153</f>
        <v/>
      </c>
      <c r="Q153">
        <f>H153*(1-Assumptions!$B$55)</f>
        <v/>
      </c>
      <c r="R153">
        <f>MIN(P153,Q153)</f>
        <v/>
      </c>
      <c r="S153">
        <f>Assumptions!$B$53/R153</f>
        <v/>
      </c>
      <c r="T153">
        <f>Assumptions!$B$27*(Assumptions!$B$64+$B$105/Assumptions!$B$27)/(Assumptions!$B$64+J153)</f>
        <v/>
      </c>
      <c r="U153">
        <f>IF(H153&lt;Assumptions!$B$27,Assumptions!$B$27/T153,1)</f>
        <v/>
      </c>
      <c r="V153">
        <f>Assumptions!$B$26*(Assumptions!$B$64+$B$105/Assumptions!$B$26)/(Assumptions!$B$64+J153)</f>
        <v/>
      </c>
      <c r="W153">
        <f>IF(H153&lt;Assumptions!$B$26,Assumptions!$B$26/V153,1)</f>
        <v/>
      </c>
    </row>
    <row r="154">
      <c r="A154" t="n">
        <v>46</v>
      </c>
      <c r="B154">
        <f>U153</f>
        <v/>
      </c>
      <c r="C154">
        <f>W153</f>
        <v/>
      </c>
      <c r="D154">
        <f>O153</f>
        <v/>
      </c>
      <c r="E154">
        <f>S153</f>
        <v/>
      </c>
      <c r="F154">
        <f>Assumptions!$B$16*B154</f>
        <v/>
      </c>
      <c r="G154">
        <f>Assumptions!$B$15*C154</f>
        <v/>
      </c>
      <c r="H154">
        <f>IF($B$101*($B$104/(($B$104*(1-$B$101)-$B$105)/((Assumptions!$B$9+Assumptions!$B$11+Assumptions!$B$12+Assumptions!$B$13+Assumptions!$B$14)+G154+F154+D154+E154)))&lt;Assumptions!$B$65,($B$104-$B$105)/(((Assumptions!$B$9+Assumptions!$B$11+Assumptions!$B$12+Assumptions!$B$13+Assumptions!$B$14)+G154+F154+D154+E154)+Assumptions!$B$65),($B$104*(1-$B$101)-$B$105)/((Assumptions!$B$9+Assumptions!$B$11+Assumptions!$B$12+Assumptions!$B$13+Assumptions!$B$14)+G154+F154+D154+E154))</f>
        <v/>
      </c>
      <c r="I154">
        <f>$B$104/H154</f>
        <v/>
      </c>
      <c r="J154">
        <f>$B$105/H154</f>
        <v/>
      </c>
      <c r="K154">
        <f>I154-J154</f>
        <v/>
      </c>
      <c r="L154">
        <f>Assumptions!$B$51/K154</f>
        <v/>
      </c>
      <c r="M154">
        <f>H154*(1-Assumptions!$B$52)</f>
        <v/>
      </c>
      <c r="N154">
        <f>MIN(L154,M154)</f>
        <v/>
      </c>
      <c r="O154">
        <f>Assumptions!$B$50/N154</f>
        <v/>
      </c>
      <c r="P154">
        <f>Assumptions!$B$54/K154</f>
        <v/>
      </c>
      <c r="Q154">
        <f>H154*(1-Assumptions!$B$55)</f>
        <v/>
      </c>
      <c r="R154">
        <f>MIN(P154,Q154)</f>
        <v/>
      </c>
      <c r="S154">
        <f>Assumptions!$B$53/R154</f>
        <v/>
      </c>
      <c r="T154">
        <f>Assumptions!$B$27*(Assumptions!$B$64+$B$105/Assumptions!$B$27)/(Assumptions!$B$64+J154)</f>
        <v/>
      </c>
      <c r="U154">
        <f>IF(H154&lt;Assumptions!$B$27,Assumptions!$B$27/T154,1)</f>
        <v/>
      </c>
      <c r="V154">
        <f>Assumptions!$B$26*(Assumptions!$B$64+$B$105/Assumptions!$B$26)/(Assumptions!$B$64+J154)</f>
        <v/>
      </c>
      <c r="W154">
        <f>IF(H154&lt;Assumptions!$B$26,Assumptions!$B$26/V154,1)</f>
        <v/>
      </c>
    </row>
    <row r="155">
      <c r="A155" t="n">
        <v>47</v>
      </c>
      <c r="B155">
        <f>U154</f>
        <v/>
      </c>
      <c r="C155">
        <f>W154</f>
        <v/>
      </c>
      <c r="D155">
        <f>O154</f>
        <v/>
      </c>
      <c r="E155">
        <f>S154</f>
        <v/>
      </c>
      <c r="F155">
        <f>Assumptions!$B$16*B155</f>
        <v/>
      </c>
      <c r="G155">
        <f>Assumptions!$B$15*C155</f>
        <v/>
      </c>
      <c r="H155">
        <f>IF($B$101*($B$104/(($B$104*(1-$B$101)-$B$105)/((Assumptions!$B$9+Assumptions!$B$11+Assumptions!$B$12+Assumptions!$B$13+Assumptions!$B$14)+G155+F155+D155+E155)))&lt;Assumptions!$B$65,($B$104-$B$105)/(((Assumptions!$B$9+Assumptions!$B$11+Assumptions!$B$12+Assumptions!$B$13+Assumptions!$B$14)+G155+F155+D155+E155)+Assumptions!$B$65),($B$104*(1-$B$101)-$B$105)/((Assumptions!$B$9+Assumptions!$B$11+Assumptions!$B$12+Assumptions!$B$13+Assumptions!$B$14)+G155+F155+D155+E155))</f>
        <v/>
      </c>
      <c r="I155">
        <f>$B$104/H155</f>
        <v/>
      </c>
      <c r="J155">
        <f>$B$105/H155</f>
        <v/>
      </c>
      <c r="K155">
        <f>I155-J155</f>
        <v/>
      </c>
      <c r="L155">
        <f>Assumptions!$B$51/K155</f>
        <v/>
      </c>
      <c r="M155">
        <f>H155*(1-Assumptions!$B$52)</f>
        <v/>
      </c>
      <c r="N155">
        <f>MIN(L155,M155)</f>
        <v/>
      </c>
      <c r="O155">
        <f>Assumptions!$B$50/N155</f>
        <v/>
      </c>
      <c r="P155">
        <f>Assumptions!$B$54/K155</f>
        <v/>
      </c>
      <c r="Q155">
        <f>H155*(1-Assumptions!$B$55)</f>
        <v/>
      </c>
      <c r="R155">
        <f>MIN(P155,Q155)</f>
        <v/>
      </c>
      <c r="S155">
        <f>Assumptions!$B$53/R155</f>
        <v/>
      </c>
      <c r="T155">
        <f>Assumptions!$B$27*(Assumptions!$B$64+$B$105/Assumptions!$B$27)/(Assumptions!$B$64+J155)</f>
        <v/>
      </c>
      <c r="U155">
        <f>IF(H155&lt;Assumptions!$B$27,Assumptions!$B$27/T155,1)</f>
        <v/>
      </c>
      <c r="V155">
        <f>Assumptions!$B$26*(Assumptions!$B$64+$B$105/Assumptions!$B$26)/(Assumptions!$B$64+J155)</f>
        <v/>
      </c>
      <c r="W155">
        <f>IF(H155&lt;Assumptions!$B$26,Assumptions!$B$26/V155,1)</f>
        <v/>
      </c>
    </row>
    <row r="156">
      <c r="A156" t="n">
        <v>48</v>
      </c>
      <c r="B156">
        <f>U155</f>
        <v/>
      </c>
      <c r="C156">
        <f>W155</f>
        <v/>
      </c>
      <c r="D156">
        <f>O155</f>
        <v/>
      </c>
      <c r="E156">
        <f>S155</f>
        <v/>
      </c>
      <c r="F156">
        <f>Assumptions!$B$16*B156</f>
        <v/>
      </c>
      <c r="G156">
        <f>Assumptions!$B$15*C156</f>
        <v/>
      </c>
      <c r="H156">
        <f>IF($B$101*($B$104/(($B$104*(1-$B$101)-$B$105)/((Assumptions!$B$9+Assumptions!$B$11+Assumptions!$B$12+Assumptions!$B$13+Assumptions!$B$14)+G156+F156+D156+E156)))&lt;Assumptions!$B$65,($B$104-$B$105)/(((Assumptions!$B$9+Assumptions!$B$11+Assumptions!$B$12+Assumptions!$B$13+Assumptions!$B$14)+G156+F156+D156+E156)+Assumptions!$B$65),($B$104*(1-$B$101)-$B$105)/((Assumptions!$B$9+Assumptions!$B$11+Assumptions!$B$12+Assumptions!$B$13+Assumptions!$B$14)+G156+F156+D156+E156))</f>
        <v/>
      </c>
      <c r="I156">
        <f>$B$104/H156</f>
        <v/>
      </c>
      <c r="J156">
        <f>$B$105/H156</f>
        <v/>
      </c>
      <c r="K156">
        <f>I156-J156</f>
        <v/>
      </c>
      <c r="L156">
        <f>Assumptions!$B$51/K156</f>
        <v/>
      </c>
      <c r="M156">
        <f>H156*(1-Assumptions!$B$52)</f>
        <v/>
      </c>
      <c r="N156">
        <f>MIN(L156,M156)</f>
        <v/>
      </c>
      <c r="O156">
        <f>Assumptions!$B$50/N156</f>
        <v/>
      </c>
      <c r="P156">
        <f>Assumptions!$B$54/K156</f>
        <v/>
      </c>
      <c r="Q156">
        <f>H156*(1-Assumptions!$B$55)</f>
        <v/>
      </c>
      <c r="R156">
        <f>MIN(P156,Q156)</f>
        <v/>
      </c>
      <c r="S156">
        <f>Assumptions!$B$53/R156</f>
        <v/>
      </c>
      <c r="T156">
        <f>Assumptions!$B$27*(Assumptions!$B$64+$B$105/Assumptions!$B$27)/(Assumptions!$B$64+J156)</f>
        <v/>
      </c>
      <c r="U156">
        <f>IF(H156&lt;Assumptions!$B$27,Assumptions!$B$27/T156,1)</f>
        <v/>
      </c>
      <c r="V156">
        <f>Assumptions!$B$26*(Assumptions!$B$64+$B$105/Assumptions!$B$26)/(Assumptions!$B$64+J156)</f>
        <v/>
      </c>
      <c r="W156">
        <f>IF(H156&lt;Assumptions!$B$26,Assumptions!$B$26/V156,1)</f>
        <v/>
      </c>
    </row>
    <row r="157">
      <c r="A157" t="n">
        <v>49</v>
      </c>
      <c r="B157">
        <f>U156</f>
        <v/>
      </c>
      <c r="C157">
        <f>W156</f>
        <v/>
      </c>
      <c r="D157">
        <f>O156</f>
        <v/>
      </c>
      <c r="E157">
        <f>S156</f>
        <v/>
      </c>
      <c r="F157">
        <f>Assumptions!$B$16*B157</f>
        <v/>
      </c>
      <c r="G157">
        <f>Assumptions!$B$15*C157</f>
        <v/>
      </c>
      <c r="H157">
        <f>IF($B$101*($B$104/(($B$104*(1-$B$101)-$B$105)/((Assumptions!$B$9+Assumptions!$B$11+Assumptions!$B$12+Assumptions!$B$13+Assumptions!$B$14)+G157+F157+D157+E157)))&lt;Assumptions!$B$65,($B$104-$B$105)/(((Assumptions!$B$9+Assumptions!$B$11+Assumptions!$B$12+Assumptions!$B$13+Assumptions!$B$14)+G157+F157+D157+E157)+Assumptions!$B$65),($B$104*(1-$B$101)-$B$105)/((Assumptions!$B$9+Assumptions!$B$11+Assumptions!$B$12+Assumptions!$B$13+Assumptions!$B$14)+G157+F157+D157+E157))</f>
        <v/>
      </c>
      <c r="I157">
        <f>$B$104/H157</f>
        <v/>
      </c>
      <c r="J157">
        <f>$B$105/H157</f>
        <v/>
      </c>
      <c r="K157">
        <f>I157-J157</f>
        <v/>
      </c>
      <c r="L157">
        <f>Assumptions!$B$51/K157</f>
        <v/>
      </c>
      <c r="M157">
        <f>H157*(1-Assumptions!$B$52)</f>
        <v/>
      </c>
      <c r="N157">
        <f>MIN(L157,M157)</f>
        <v/>
      </c>
      <c r="O157">
        <f>Assumptions!$B$50/N157</f>
        <v/>
      </c>
      <c r="P157">
        <f>Assumptions!$B$54/K157</f>
        <v/>
      </c>
      <c r="Q157">
        <f>H157*(1-Assumptions!$B$55)</f>
        <v/>
      </c>
      <c r="R157">
        <f>MIN(P157,Q157)</f>
        <v/>
      </c>
      <c r="S157">
        <f>Assumptions!$B$53/R157</f>
        <v/>
      </c>
      <c r="T157">
        <f>Assumptions!$B$27*(Assumptions!$B$64+$B$105/Assumptions!$B$27)/(Assumptions!$B$64+J157)</f>
        <v/>
      </c>
      <c r="U157">
        <f>IF(H157&lt;Assumptions!$B$27,Assumptions!$B$27/T157,1)</f>
        <v/>
      </c>
      <c r="V157">
        <f>Assumptions!$B$26*(Assumptions!$B$64+$B$105/Assumptions!$B$26)/(Assumptions!$B$64+J157)</f>
        <v/>
      </c>
      <c r="W157">
        <f>IF(H157&lt;Assumptions!$B$26,Assumptions!$B$26/V157,1)</f>
        <v/>
      </c>
    </row>
    <row r="175">
      <c r="A175" t="inlineStr">
        <is>
          <t>Cell esop_11_pre_1400M</t>
        </is>
      </c>
    </row>
    <row r="176">
      <c r="A176" t="inlineStr">
        <is>
          <t>esop</t>
        </is>
      </c>
      <c r="B176" t="n">
        <v>0.11</v>
      </c>
    </row>
    <row r="177">
      <c r="A177" t="inlineStr">
        <is>
          <t>pre_M ($M)</t>
        </is>
      </c>
      <c r="B177" t="n">
        <v>1400</v>
      </c>
    </row>
    <row r="178">
      <c r="A178" t="inlineStr">
        <is>
          <t>pre_money $</t>
        </is>
      </c>
      <c r="B178">
        <f>B177*1000000</f>
        <v/>
      </c>
    </row>
    <row r="179">
      <c r="A179" t="inlineStr">
        <is>
          <t>post_money $</t>
        </is>
      </c>
      <c r="B179">
        <f>B178+Assumptions!$B$41</f>
        <v/>
      </c>
    </row>
    <row r="180">
      <c r="A180" t="inlineStr">
        <is>
          <t>primary raise $</t>
        </is>
      </c>
      <c r="B180">
        <f>Assumptions!$B$41</f>
        <v/>
      </c>
    </row>
    <row r="182">
      <c r="A182" t="inlineStr">
        <is>
          <t>iter</t>
        </is>
      </c>
      <c r="B182" t="inlineStr">
        <is>
          <t>r_E_p</t>
        </is>
      </c>
      <c r="C182" t="inlineStr">
        <is>
          <t>r_D_p</t>
        </is>
      </c>
      <c r="D182" t="inlineStr">
        <is>
          <t>N_A_p</t>
        </is>
      </c>
      <c r="E182" t="inlineStr">
        <is>
          <t>N_B_p</t>
        </is>
      </c>
      <c r="F182" t="inlineStr">
        <is>
          <t>E_adj</t>
        </is>
      </c>
      <c r="G182" t="inlineStr">
        <is>
          <t>D_adj</t>
        </is>
      </c>
      <c r="H182" t="inlineStr">
        <is>
          <t>F_PPS</t>
        </is>
      </c>
      <c r="I182" t="inlineStr">
        <is>
          <t>T_F</t>
        </is>
      </c>
      <c r="J182" t="inlineStr">
        <is>
          <t>new_F</t>
        </is>
      </c>
      <c r="K182" t="inlineStr">
        <is>
          <t>pre_FD</t>
        </is>
      </c>
      <c r="L182" t="inlineStr">
        <is>
          <t>capA</t>
        </is>
      </c>
      <c r="M182" t="inlineStr">
        <is>
          <t>discA</t>
        </is>
      </c>
      <c r="N182" t="inlineStr">
        <is>
          <t>cpA</t>
        </is>
      </c>
      <c r="O182" t="inlineStr">
        <is>
          <t>NA</t>
        </is>
      </c>
      <c r="P182" t="inlineStr">
        <is>
          <t>capB</t>
        </is>
      </c>
      <c r="Q182" t="inlineStr">
        <is>
          <t>discB</t>
        </is>
      </c>
      <c r="R182" t="inlineStr">
        <is>
          <t>cpB</t>
        </is>
      </c>
      <c r="S182" t="inlineStr">
        <is>
          <t>NB</t>
        </is>
      </c>
      <c r="T182" t="inlineStr">
        <is>
          <t>NCP_E</t>
        </is>
      </c>
      <c r="U182" t="inlineStr">
        <is>
          <t>r_E_n</t>
        </is>
      </c>
      <c r="V182" t="inlineStr">
        <is>
          <t>NCP_D</t>
        </is>
      </c>
      <c r="W182" t="inlineStr">
        <is>
          <t>r_D_n</t>
        </is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>
        <f>Assumptions!$B$16*B183</f>
        <v/>
      </c>
      <c r="G183">
        <f>Assumptions!$B$15*C183</f>
        <v/>
      </c>
      <c r="H183">
        <f>IF($B$176*($B$179/(($B$179*(1-$B$176)-$B$180)/((Assumptions!$B$9+Assumptions!$B$11+Assumptions!$B$12+Assumptions!$B$13+Assumptions!$B$14)+G183+F183+D183+E183)))&lt;Assumptions!$B$65,($B$179-$B$180)/(((Assumptions!$B$9+Assumptions!$B$11+Assumptions!$B$12+Assumptions!$B$13+Assumptions!$B$14)+G183+F183+D183+E183)+Assumptions!$B$65),($B$179*(1-$B$176)-$B$180)/((Assumptions!$B$9+Assumptions!$B$11+Assumptions!$B$12+Assumptions!$B$13+Assumptions!$B$14)+G183+F183+D183+E183))</f>
        <v/>
      </c>
      <c r="I183">
        <f>$B$179/H183</f>
        <v/>
      </c>
      <c r="J183">
        <f>$B$180/H183</f>
        <v/>
      </c>
      <c r="K183">
        <f>I183-J183</f>
        <v/>
      </c>
      <c r="L183">
        <f>Assumptions!$B$51/K183</f>
        <v/>
      </c>
      <c r="M183">
        <f>H183*(1-Assumptions!$B$52)</f>
        <v/>
      </c>
      <c r="N183">
        <f>MIN(L183,M183)</f>
        <v/>
      </c>
      <c r="O183">
        <f>Assumptions!$B$50/N183</f>
        <v/>
      </c>
      <c r="P183">
        <f>Assumptions!$B$54/K183</f>
        <v/>
      </c>
      <c r="Q183">
        <f>H183*(1-Assumptions!$B$55)</f>
        <v/>
      </c>
      <c r="R183">
        <f>MIN(P183,Q183)</f>
        <v/>
      </c>
      <c r="S183">
        <f>Assumptions!$B$53/R183</f>
        <v/>
      </c>
      <c r="T183">
        <f>Assumptions!$B$27*(Assumptions!$B$64+$B$180/Assumptions!$B$27)/(Assumptions!$B$64+J183)</f>
        <v/>
      </c>
      <c r="U183">
        <f>IF(H183&lt;Assumptions!$B$27,Assumptions!$B$27/T183,1)</f>
        <v/>
      </c>
      <c r="V183">
        <f>Assumptions!$B$26*(Assumptions!$B$64+$B$180/Assumptions!$B$26)/(Assumptions!$B$64+J183)</f>
        <v/>
      </c>
      <c r="W183">
        <f>IF(H183&lt;Assumptions!$B$26,Assumptions!$B$26/V183,1)</f>
        <v/>
      </c>
    </row>
    <row r="184">
      <c r="A184" t="n">
        <v>1</v>
      </c>
      <c r="B184">
        <f>U183</f>
        <v/>
      </c>
      <c r="C184">
        <f>W183</f>
        <v/>
      </c>
      <c r="D184">
        <f>O183</f>
        <v/>
      </c>
      <c r="E184">
        <f>S183</f>
        <v/>
      </c>
      <c r="F184">
        <f>Assumptions!$B$16*B184</f>
        <v/>
      </c>
      <c r="G184">
        <f>Assumptions!$B$15*C184</f>
        <v/>
      </c>
      <c r="H184">
        <f>IF($B$176*($B$179/(($B$179*(1-$B$176)-$B$180)/((Assumptions!$B$9+Assumptions!$B$11+Assumptions!$B$12+Assumptions!$B$13+Assumptions!$B$14)+G184+F184+D184+E184)))&lt;Assumptions!$B$65,($B$179-$B$180)/(((Assumptions!$B$9+Assumptions!$B$11+Assumptions!$B$12+Assumptions!$B$13+Assumptions!$B$14)+G184+F184+D184+E184)+Assumptions!$B$65),($B$179*(1-$B$176)-$B$180)/((Assumptions!$B$9+Assumptions!$B$11+Assumptions!$B$12+Assumptions!$B$13+Assumptions!$B$14)+G184+F184+D184+E184))</f>
        <v/>
      </c>
      <c r="I184">
        <f>$B$179/H184</f>
        <v/>
      </c>
      <c r="J184">
        <f>$B$180/H184</f>
        <v/>
      </c>
      <c r="K184">
        <f>I184-J184</f>
        <v/>
      </c>
      <c r="L184">
        <f>Assumptions!$B$51/K184</f>
        <v/>
      </c>
      <c r="M184">
        <f>H184*(1-Assumptions!$B$52)</f>
        <v/>
      </c>
      <c r="N184">
        <f>MIN(L184,M184)</f>
        <v/>
      </c>
      <c r="O184">
        <f>Assumptions!$B$50/N184</f>
        <v/>
      </c>
      <c r="P184">
        <f>Assumptions!$B$54/K184</f>
        <v/>
      </c>
      <c r="Q184">
        <f>H184*(1-Assumptions!$B$55)</f>
        <v/>
      </c>
      <c r="R184">
        <f>MIN(P184,Q184)</f>
        <v/>
      </c>
      <c r="S184">
        <f>Assumptions!$B$53/R184</f>
        <v/>
      </c>
      <c r="T184">
        <f>Assumptions!$B$27*(Assumptions!$B$64+$B$180/Assumptions!$B$27)/(Assumptions!$B$64+J184)</f>
        <v/>
      </c>
      <c r="U184">
        <f>IF(H184&lt;Assumptions!$B$27,Assumptions!$B$27/T184,1)</f>
        <v/>
      </c>
      <c r="V184">
        <f>Assumptions!$B$26*(Assumptions!$B$64+$B$180/Assumptions!$B$26)/(Assumptions!$B$64+J184)</f>
        <v/>
      </c>
      <c r="W184">
        <f>IF(H184&lt;Assumptions!$B$26,Assumptions!$B$26/V184,1)</f>
        <v/>
      </c>
    </row>
    <row r="185">
      <c r="A185" t="n">
        <v>2</v>
      </c>
      <c r="B185">
        <f>U184</f>
        <v/>
      </c>
      <c r="C185">
        <f>W184</f>
        <v/>
      </c>
      <c r="D185">
        <f>O184</f>
        <v/>
      </c>
      <c r="E185">
        <f>S184</f>
        <v/>
      </c>
      <c r="F185">
        <f>Assumptions!$B$16*B185</f>
        <v/>
      </c>
      <c r="G185">
        <f>Assumptions!$B$15*C185</f>
        <v/>
      </c>
      <c r="H185">
        <f>IF($B$176*($B$179/(($B$179*(1-$B$176)-$B$180)/((Assumptions!$B$9+Assumptions!$B$11+Assumptions!$B$12+Assumptions!$B$13+Assumptions!$B$14)+G185+F185+D185+E185)))&lt;Assumptions!$B$65,($B$179-$B$180)/(((Assumptions!$B$9+Assumptions!$B$11+Assumptions!$B$12+Assumptions!$B$13+Assumptions!$B$14)+G185+F185+D185+E185)+Assumptions!$B$65),($B$179*(1-$B$176)-$B$180)/((Assumptions!$B$9+Assumptions!$B$11+Assumptions!$B$12+Assumptions!$B$13+Assumptions!$B$14)+G185+F185+D185+E185))</f>
        <v/>
      </c>
      <c r="I185">
        <f>$B$179/H185</f>
        <v/>
      </c>
      <c r="J185">
        <f>$B$180/H185</f>
        <v/>
      </c>
      <c r="K185">
        <f>I185-J185</f>
        <v/>
      </c>
      <c r="L185">
        <f>Assumptions!$B$51/K185</f>
        <v/>
      </c>
      <c r="M185">
        <f>H185*(1-Assumptions!$B$52)</f>
        <v/>
      </c>
      <c r="N185">
        <f>MIN(L185,M185)</f>
        <v/>
      </c>
      <c r="O185">
        <f>Assumptions!$B$50/N185</f>
        <v/>
      </c>
      <c r="P185">
        <f>Assumptions!$B$54/K185</f>
        <v/>
      </c>
      <c r="Q185">
        <f>H185*(1-Assumptions!$B$55)</f>
        <v/>
      </c>
      <c r="R185">
        <f>MIN(P185,Q185)</f>
        <v/>
      </c>
      <c r="S185">
        <f>Assumptions!$B$53/R185</f>
        <v/>
      </c>
      <c r="T185">
        <f>Assumptions!$B$27*(Assumptions!$B$64+$B$180/Assumptions!$B$27)/(Assumptions!$B$64+J185)</f>
        <v/>
      </c>
      <c r="U185">
        <f>IF(H185&lt;Assumptions!$B$27,Assumptions!$B$27/T185,1)</f>
        <v/>
      </c>
      <c r="V185">
        <f>Assumptions!$B$26*(Assumptions!$B$64+$B$180/Assumptions!$B$26)/(Assumptions!$B$64+J185)</f>
        <v/>
      </c>
      <c r="W185">
        <f>IF(H185&lt;Assumptions!$B$26,Assumptions!$B$26/V185,1)</f>
        <v/>
      </c>
    </row>
    <row r="186">
      <c r="A186" t="n">
        <v>3</v>
      </c>
      <c r="B186">
        <f>U185</f>
        <v/>
      </c>
      <c r="C186">
        <f>W185</f>
        <v/>
      </c>
      <c r="D186">
        <f>O185</f>
        <v/>
      </c>
      <c r="E186">
        <f>S185</f>
        <v/>
      </c>
      <c r="F186">
        <f>Assumptions!$B$16*B186</f>
        <v/>
      </c>
      <c r="G186">
        <f>Assumptions!$B$15*C186</f>
        <v/>
      </c>
      <c r="H186">
        <f>IF($B$176*($B$179/(($B$179*(1-$B$176)-$B$180)/((Assumptions!$B$9+Assumptions!$B$11+Assumptions!$B$12+Assumptions!$B$13+Assumptions!$B$14)+G186+F186+D186+E186)))&lt;Assumptions!$B$65,($B$179-$B$180)/(((Assumptions!$B$9+Assumptions!$B$11+Assumptions!$B$12+Assumptions!$B$13+Assumptions!$B$14)+G186+F186+D186+E186)+Assumptions!$B$65),($B$179*(1-$B$176)-$B$180)/((Assumptions!$B$9+Assumptions!$B$11+Assumptions!$B$12+Assumptions!$B$13+Assumptions!$B$14)+G186+F186+D186+E186))</f>
        <v/>
      </c>
      <c r="I186">
        <f>$B$179/H186</f>
        <v/>
      </c>
      <c r="J186">
        <f>$B$180/H186</f>
        <v/>
      </c>
      <c r="K186">
        <f>I186-J186</f>
        <v/>
      </c>
      <c r="L186">
        <f>Assumptions!$B$51/K186</f>
        <v/>
      </c>
      <c r="M186">
        <f>H186*(1-Assumptions!$B$52)</f>
        <v/>
      </c>
      <c r="N186">
        <f>MIN(L186,M186)</f>
        <v/>
      </c>
      <c r="O186">
        <f>Assumptions!$B$50/N186</f>
        <v/>
      </c>
      <c r="P186">
        <f>Assumptions!$B$54/K186</f>
        <v/>
      </c>
      <c r="Q186">
        <f>H186*(1-Assumptions!$B$55)</f>
        <v/>
      </c>
      <c r="R186">
        <f>MIN(P186,Q186)</f>
        <v/>
      </c>
      <c r="S186">
        <f>Assumptions!$B$53/R186</f>
        <v/>
      </c>
      <c r="T186">
        <f>Assumptions!$B$27*(Assumptions!$B$64+$B$180/Assumptions!$B$27)/(Assumptions!$B$64+J186)</f>
        <v/>
      </c>
      <c r="U186">
        <f>IF(H186&lt;Assumptions!$B$27,Assumptions!$B$27/T186,1)</f>
        <v/>
      </c>
      <c r="V186">
        <f>Assumptions!$B$26*(Assumptions!$B$64+$B$180/Assumptions!$B$26)/(Assumptions!$B$64+J186)</f>
        <v/>
      </c>
      <c r="W186">
        <f>IF(H186&lt;Assumptions!$B$26,Assumptions!$B$26/V186,1)</f>
        <v/>
      </c>
    </row>
    <row r="187">
      <c r="A187" t="n">
        <v>4</v>
      </c>
      <c r="B187">
        <f>U186</f>
        <v/>
      </c>
      <c r="C187">
        <f>W186</f>
        <v/>
      </c>
      <c r="D187">
        <f>O186</f>
        <v/>
      </c>
      <c r="E187">
        <f>S186</f>
        <v/>
      </c>
      <c r="F187">
        <f>Assumptions!$B$16*B187</f>
        <v/>
      </c>
      <c r="G187">
        <f>Assumptions!$B$15*C187</f>
        <v/>
      </c>
      <c r="H187">
        <f>IF($B$176*($B$179/(($B$179*(1-$B$176)-$B$180)/((Assumptions!$B$9+Assumptions!$B$11+Assumptions!$B$12+Assumptions!$B$13+Assumptions!$B$14)+G187+F187+D187+E187)))&lt;Assumptions!$B$65,($B$179-$B$180)/(((Assumptions!$B$9+Assumptions!$B$11+Assumptions!$B$12+Assumptions!$B$13+Assumptions!$B$14)+G187+F187+D187+E187)+Assumptions!$B$65),($B$179*(1-$B$176)-$B$180)/((Assumptions!$B$9+Assumptions!$B$11+Assumptions!$B$12+Assumptions!$B$13+Assumptions!$B$14)+G187+F187+D187+E187))</f>
        <v/>
      </c>
      <c r="I187">
        <f>$B$179/H187</f>
        <v/>
      </c>
      <c r="J187">
        <f>$B$180/H187</f>
        <v/>
      </c>
      <c r="K187">
        <f>I187-J187</f>
        <v/>
      </c>
      <c r="L187">
        <f>Assumptions!$B$51/K187</f>
        <v/>
      </c>
      <c r="M187">
        <f>H187*(1-Assumptions!$B$52)</f>
        <v/>
      </c>
      <c r="N187">
        <f>MIN(L187,M187)</f>
        <v/>
      </c>
      <c r="O187">
        <f>Assumptions!$B$50/N187</f>
        <v/>
      </c>
      <c r="P187">
        <f>Assumptions!$B$54/K187</f>
        <v/>
      </c>
      <c r="Q187">
        <f>H187*(1-Assumptions!$B$55)</f>
        <v/>
      </c>
      <c r="R187">
        <f>MIN(P187,Q187)</f>
        <v/>
      </c>
      <c r="S187">
        <f>Assumptions!$B$53/R187</f>
        <v/>
      </c>
      <c r="T187">
        <f>Assumptions!$B$27*(Assumptions!$B$64+$B$180/Assumptions!$B$27)/(Assumptions!$B$64+J187)</f>
        <v/>
      </c>
      <c r="U187">
        <f>IF(H187&lt;Assumptions!$B$27,Assumptions!$B$27/T187,1)</f>
        <v/>
      </c>
      <c r="V187">
        <f>Assumptions!$B$26*(Assumptions!$B$64+$B$180/Assumptions!$B$26)/(Assumptions!$B$64+J187)</f>
        <v/>
      </c>
      <c r="W187">
        <f>IF(H187&lt;Assumptions!$B$26,Assumptions!$B$26/V187,1)</f>
        <v/>
      </c>
    </row>
    <row r="188">
      <c r="A188" t="n">
        <v>5</v>
      </c>
      <c r="B188">
        <f>U187</f>
        <v/>
      </c>
      <c r="C188">
        <f>W187</f>
        <v/>
      </c>
      <c r="D188">
        <f>O187</f>
        <v/>
      </c>
      <c r="E188">
        <f>S187</f>
        <v/>
      </c>
      <c r="F188">
        <f>Assumptions!$B$16*B188</f>
        <v/>
      </c>
      <c r="G188">
        <f>Assumptions!$B$15*C188</f>
        <v/>
      </c>
      <c r="H188">
        <f>IF($B$176*($B$179/(($B$179*(1-$B$176)-$B$180)/((Assumptions!$B$9+Assumptions!$B$11+Assumptions!$B$12+Assumptions!$B$13+Assumptions!$B$14)+G188+F188+D188+E188)))&lt;Assumptions!$B$65,($B$179-$B$180)/(((Assumptions!$B$9+Assumptions!$B$11+Assumptions!$B$12+Assumptions!$B$13+Assumptions!$B$14)+G188+F188+D188+E188)+Assumptions!$B$65),($B$179*(1-$B$176)-$B$180)/((Assumptions!$B$9+Assumptions!$B$11+Assumptions!$B$12+Assumptions!$B$13+Assumptions!$B$14)+G188+F188+D188+E188))</f>
        <v/>
      </c>
      <c r="I188">
        <f>$B$179/H188</f>
        <v/>
      </c>
      <c r="J188">
        <f>$B$180/H188</f>
        <v/>
      </c>
      <c r="K188">
        <f>I188-J188</f>
        <v/>
      </c>
      <c r="L188">
        <f>Assumptions!$B$51/K188</f>
        <v/>
      </c>
      <c r="M188">
        <f>H188*(1-Assumptions!$B$52)</f>
        <v/>
      </c>
      <c r="N188">
        <f>MIN(L188,M188)</f>
        <v/>
      </c>
      <c r="O188">
        <f>Assumptions!$B$50/N188</f>
        <v/>
      </c>
      <c r="P188">
        <f>Assumptions!$B$54/K188</f>
        <v/>
      </c>
      <c r="Q188">
        <f>H188*(1-Assumptions!$B$55)</f>
        <v/>
      </c>
      <c r="R188">
        <f>MIN(P188,Q188)</f>
        <v/>
      </c>
      <c r="S188">
        <f>Assumptions!$B$53/R188</f>
        <v/>
      </c>
      <c r="T188">
        <f>Assumptions!$B$27*(Assumptions!$B$64+$B$180/Assumptions!$B$27)/(Assumptions!$B$64+J188)</f>
        <v/>
      </c>
      <c r="U188">
        <f>IF(H188&lt;Assumptions!$B$27,Assumptions!$B$27/T188,1)</f>
        <v/>
      </c>
      <c r="V188">
        <f>Assumptions!$B$26*(Assumptions!$B$64+$B$180/Assumptions!$B$26)/(Assumptions!$B$64+J188)</f>
        <v/>
      </c>
      <c r="W188">
        <f>IF(H188&lt;Assumptions!$B$26,Assumptions!$B$26/V188,1)</f>
        <v/>
      </c>
    </row>
    <row r="189">
      <c r="A189" t="n">
        <v>6</v>
      </c>
      <c r="B189">
        <f>U188</f>
        <v/>
      </c>
      <c r="C189">
        <f>W188</f>
        <v/>
      </c>
      <c r="D189">
        <f>O188</f>
        <v/>
      </c>
      <c r="E189">
        <f>S188</f>
        <v/>
      </c>
      <c r="F189">
        <f>Assumptions!$B$16*B189</f>
        <v/>
      </c>
      <c r="G189">
        <f>Assumptions!$B$15*C189</f>
        <v/>
      </c>
      <c r="H189">
        <f>IF($B$176*($B$179/(($B$179*(1-$B$176)-$B$180)/((Assumptions!$B$9+Assumptions!$B$11+Assumptions!$B$12+Assumptions!$B$13+Assumptions!$B$14)+G189+F189+D189+E189)))&lt;Assumptions!$B$65,($B$179-$B$180)/(((Assumptions!$B$9+Assumptions!$B$11+Assumptions!$B$12+Assumptions!$B$13+Assumptions!$B$14)+G189+F189+D189+E189)+Assumptions!$B$65),($B$179*(1-$B$176)-$B$180)/((Assumptions!$B$9+Assumptions!$B$11+Assumptions!$B$12+Assumptions!$B$13+Assumptions!$B$14)+G189+F189+D189+E189))</f>
        <v/>
      </c>
      <c r="I189">
        <f>$B$179/H189</f>
        <v/>
      </c>
      <c r="J189">
        <f>$B$180/H189</f>
        <v/>
      </c>
      <c r="K189">
        <f>I189-J189</f>
        <v/>
      </c>
      <c r="L189">
        <f>Assumptions!$B$51/K189</f>
        <v/>
      </c>
      <c r="M189">
        <f>H189*(1-Assumptions!$B$52)</f>
        <v/>
      </c>
      <c r="N189">
        <f>MIN(L189,M189)</f>
        <v/>
      </c>
      <c r="O189">
        <f>Assumptions!$B$50/N189</f>
        <v/>
      </c>
      <c r="P189">
        <f>Assumptions!$B$54/K189</f>
        <v/>
      </c>
      <c r="Q189">
        <f>H189*(1-Assumptions!$B$55)</f>
        <v/>
      </c>
      <c r="R189">
        <f>MIN(P189,Q189)</f>
        <v/>
      </c>
      <c r="S189">
        <f>Assumptions!$B$53/R189</f>
        <v/>
      </c>
      <c r="T189">
        <f>Assumptions!$B$27*(Assumptions!$B$64+$B$180/Assumptions!$B$27)/(Assumptions!$B$64+J189)</f>
        <v/>
      </c>
      <c r="U189">
        <f>IF(H189&lt;Assumptions!$B$27,Assumptions!$B$27/T189,1)</f>
        <v/>
      </c>
      <c r="V189">
        <f>Assumptions!$B$26*(Assumptions!$B$64+$B$180/Assumptions!$B$26)/(Assumptions!$B$64+J189)</f>
        <v/>
      </c>
      <c r="W189">
        <f>IF(H189&lt;Assumptions!$B$26,Assumptions!$B$26/V189,1)</f>
        <v/>
      </c>
    </row>
    <row r="190">
      <c r="A190" t="n">
        <v>7</v>
      </c>
      <c r="B190">
        <f>U189</f>
        <v/>
      </c>
      <c r="C190">
        <f>W189</f>
        <v/>
      </c>
      <c r="D190">
        <f>O189</f>
        <v/>
      </c>
      <c r="E190">
        <f>S189</f>
        <v/>
      </c>
      <c r="F190">
        <f>Assumptions!$B$16*B190</f>
        <v/>
      </c>
      <c r="G190">
        <f>Assumptions!$B$15*C190</f>
        <v/>
      </c>
      <c r="H190">
        <f>IF($B$176*($B$179/(($B$179*(1-$B$176)-$B$180)/((Assumptions!$B$9+Assumptions!$B$11+Assumptions!$B$12+Assumptions!$B$13+Assumptions!$B$14)+G190+F190+D190+E190)))&lt;Assumptions!$B$65,($B$179-$B$180)/(((Assumptions!$B$9+Assumptions!$B$11+Assumptions!$B$12+Assumptions!$B$13+Assumptions!$B$14)+G190+F190+D190+E190)+Assumptions!$B$65),($B$179*(1-$B$176)-$B$180)/((Assumptions!$B$9+Assumptions!$B$11+Assumptions!$B$12+Assumptions!$B$13+Assumptions!$B$14)+G190+F190+D190+E190))</f>
        <v/>
      </c>
      <c r="I190">
        <f>$B$179/H190</f>
        <v/>
      </c>
      <c r="J190">
        <f>$B$180/H190</f>
        <v/>
      </c>
      <c r="K190">
        <f>I190-J190</f>
        <v/>
      </c>
      <c r="L190">
        <f>Assumptions!$B$51/K190</f>
        <v/>
      </c>
      <c r="M190">
        <f>H190*(1-Assumptions!$B$52)</f>
        <v/>
      </c>
      <c r="N190">
        <f>MIN(L190,M190)</f>
        <v/>
      </c>
      <c r="O190">
        <f>Assumptions!$B$50/N190</f>
        <v/>
      </c>
      <c r="P190">
        <f>Assumptions!$B$54/K190</f>
        <v/>
      </c>
      <c r="Q190">
        <f>H190*(1-Assumptions!$B$55)</f>
        <v/>
      </c>
      <c r="R190">
        <f>MIN(P190,Q190)</f>
        <v/>
      </c>
      <c r="S190">
        <f>Assumptions!$B$53/R190</f>
        <v/>
      </c>
      <c r="T190">
        <f>Assumptions!$B$27*(Assumptions!$B$64+$B$180/Assumptions!$B$27)/(Assumptions!$B$64+J190)</f>
        <v/>
      </c>
      <c r="U190">
        <f>IF(H190&lt;Assumptions!$B$27,Assumptions!$B$27/T190,1)</f>
        <v/>
      </c>
      <c r="V190">
        <f>Assumptions!$B$26*(Assumptions!$B$64+$B$180/Assumptions!$B$26)/(Assumptions!$B$64+J190)</f>
        <v/>
      </c>
      <c r="W190">
        <f>IF(H190&lt;Assumptions!$B$26,Assumptions!$B$26/V190,1)</f>
        <v/>
      </c>
    </row>
    <row r="191">
      <c r="A191" t="n">
        <v>8</v>
      </c>
      <c r="B191">
        <f>U190</f>
        <v/>
      </c>
      <c r="C191">
        <f>W190</f>
        <v/>
      </c>
      <c r="D191">
        <f>O190</f>
        <v/>
      </c>
      <c r="E191">
        <f>S190</f>
        <v/>
      </c>
      <c r="F191">
        <f>Assumptions!$B$16*B191</f>
        <v/>
      </c>
      <c r="G191">
        <f>Assumptions!$B$15*C191</f>
        <v/>
      </c>
      <c r="H191">
        <f>IF($B$176*($B$179/(($B$179*(1-$B$176)-$B$180)/((Assumptions!$B$9+Assumptions!$B$11+Assumptions!$B$12+Assumptions!$B$13+Assumptions!$B$14)+G191+F191+D191+E191)))&lt;Assumptions!$B$65,($B$179-$B$180)/(((Assumptions!$B$9+Assumptions!$B$11+Assumptions!$B$12+Assumptions!$B$13+Assumptions!$B$14)+G191+F191+D191+E191)+Assumptions!$B$65),($B$179*(1-$B$176)-$B$180)/((Assumptions!$B$9+Assumptions!$B$11+Assumptions!$B$12+Assumptions!$B$13+Assumptions!$B$14)+G191+F191+D191+E191))</f>
        <v/>
      </c>
      <c r="I191">
        <f>$B$179/H191</f>
        <v/>
      </c>
      <c r="J191">
        <f>$B$180/H191</f>
        <v/>
      </c>
      <c r="K191">
        <f>I191-J191</f>
        <v/>
      </c>
      <c r="L191">
        <f>Assumptions!$B$51/K191</f>
        <v/>
      </c>
      <c r="M191">
        <f>H191*(1-Assumptions!$B$52)</f>
        <v/>
      </c>
      <c r="N191">
        <f>MIN(L191,M191)</f>
        <v/>
      </c>
      <c r="O191">
        <f>Assumptions!$B$50/N191</f>
        <v/>
      </c>
      <c r="P191">
        <f>Assumptions!$B$54/K191</f>
        <v/>
      </c>
      <c r="Q191">
        <f>H191*(1-Assumptions!$B$55)</f>
        <v/>
      </c>
      <c r="R191">
        <f>MIN(P191,Q191)</f>
        <v/>
      </c>
      <c r="S191">
        <f>Assumptions!$B$53/R191</f>
        <v/>
      </c>
      <c r="T191">
        <f>Assumptions!$B$27*(Assumptions!$B$64+$B$180/Assumptions!$B$27)/(Assumptions!$B$64+J191)</f>
        <v/>
      </c>
      <c r="U191">
        <f>IF(H191&lt;Assumptions!$B$27,Assumptions!$B$27/T191,1)</f>
        <v/>
      </c>
      <c r="V191">
        <f>Assumptions!$B$26*(Assumptions!$B$64+$B$180/Assumptions!$B$26)/(Assumptions!$B$64+J191)</f>
        <v/>
      </c>
      <c r="W191">
        <f>IF(H191&lt;Assumptions!$B$26,Assumptions!$B$26/V191,1)</f>
        <v/>
      </c>
    </row>
    <row r="192">
      <c r="A192" t="n">
        <v>9</v>
      </c>
      <c r="B192">
        <f>U191</f>
        <v/>
      </c>
      <c r="C192">
        <f>W191</f>
        <v/>
      </c>
      <c r="D192">
        <f>O191</f>
        <v/>
      </c>
      <c r="E192">
        <f>S191</f>
        <v/>
      </c>
      <c r="F192">
        <f>Assumptions!$B$16*B192</f>
        <v/>
      </c>
      <c r="G192">
        <f>Assumptions!$B$15*C192</f>
        <v/>
      </c>
      <c r="H192">
        <f>IF($B$176*($B$179/(($B$179*(1-$B$176)-$B$180)/((Assumptions!$B$9+Assumptions!$B$11+Assumptions!$B$12+Assumptions!$B$13+Assumptions!$B$14)+G192+F192+D192+E192)))&lt;Assumptions!$B$65,($B$179-$B$180)/(((Assumptions!$B$9+Assumptions!$B$11+Assumptions!$B$12+Assumptions!$B$13+Assumptions!$B$14)+G192+F192+D192+E192)+Assumptions!$B$65),($B$179*(1-$B$176)-$B$180)/((Assumptions!$B$9+Assumptions!$B$11+Assumptions!$B$12+Assumptions!$B$13+Assumptions!$B$14)+G192+F192+D192+E192))</f>
        <v/>
      </c>
      <c r="I192">
        <f>$B$179/H192</f>
        <v/>
      </c>
      <c r="J192">
        <f>$B$180/H192</f>
        <v/>
      </c>
      <c r="K192">
        <f>I192-J192</f>
        <v/>
      </c>
      <c r="L192">
        <f>Assumptions!$B$51/K192</f>
        <v/>
      </c>
      <c r="M192">
        <f>H192*(1-Assumptions!$B$52)</f>
        <v/>
      </c>
      <c r="N192">
        <f>MIN(L192,M192)</f>
        <v/>
      </c>
      <c r="O192">
        <f>Assumptions!$B$50/N192</f>
        <v/>
      </c>
      <c r="P192">
        <f>Assumptions!$B$54/K192</f>
        <v/>
      </c>
      <c r="Q192">
        <f>H192*(1-Assumptions!$B$55)</f>
        <v/>
      </c>
      <c r="R192">
        <f>MIN(P192,Q192)</f>
        <v/>
      </c>
      <c r="S192">
        <f>Assumptions!$B$53/R192</f>
        <v/>
      </c>
      <c r="T192">
        <f>Assumptions!$B$27*(Assumptions!$B$64+$B$180/Assumptions!$B$27)/(Assumptions!$B$64+J192)</f>
        <v/>
      </c>
      <c r="U192">
        <f>IF(H192&lt;Assumptions!$B$27,Assumptions!$B$27/T192,1)</f>
        <v/>
      </c>
      <c r="V192">
        <f>Assumptions!$B$26*(Assumptions!$B$64+$B$180/Assumptions!$B$26)/(Assumptions!$B$64+J192)</f>
        <v/>
      </c>
      <c r="W192">
        <f>IF(H192&lt;Assumptions!$B$26,Assumptions!$B$26/V192,1)</f>
        <v/>
      </c>
    </row>
    <row r="193">
      <c r="A193" t="n">
        <v>10</v>
      </c>
      <c r="B193">
        <f>U192</f>
        <v/>
      </c>
      <c r="C193">
        <f>W192</f>
        <v/>
      </c>
      <c r="D193">
        <f>O192</f>
        <v/>
      </c>
      <c r="E193">
        <f>S192</f>
        <v/>
      </c>
      <c r="F193">
        <f>Assumptions!$B$16*B193</f>
        <v/>
      </c>
      <c r="G193">
        <f>Assumptions!$B$15*C193</f>
        <v/>
      </c>
      <c r="H193">
        <f>IF($B$176*($B$179/(($B$179*(1-$B$176)-$B$180)/((Assumptions!$B$9+Assumptions!$B$11+Assumptions!$B$12+Assumptions!$B$13+Assumptions!$B$14)+G193+F193+D193+E193)))&lt;Assumptions!$B$65,($B$179-$B$180)/(((Assumptions!$B$9+Assumptions!$B$11+Assumptions!$B$12+Assumptions!$B$13+Assumptions!$B$14)+G193+F193+D193+E193)+Assumptions!$B$65),($B$179*(1-$B$176)-$B$180)/((Assumptions!$B$9+Assumptions!$B$11+Assumptions!$B$12+Assumptions!$B$13+Assumptions!$B$14)+G193+F193+D193+E193))</f>
        <v/>
      </c>
      <c r="I193">
        <f>$B$179/H193</f>
        <v/>
      </c>
      <c r="J193">
        <f>$B$180/H193</f>
        <v/>
      </c>
      <c r="K193">
        <f>I193-J193</f>
        <v/>
      </c>
      <c r="L193">
        <f>Assumptions!$B$51/K193</f>
        <v/>
      </c>
      <c r="M193">
        <f>H193*(1-Assumptions!$B$52)</f>
        <v/>
      </c>
      <c r="N193">
        <f>MIN(L193,M193)</f>
        <v/>
      </c>
      <c r="O193">
        <f>Assumptions!$B$50/N193</f>
        <v/>
      </c>
      <c r="P193">
        <f>Assumptions!$B$54/K193</f>
        <v/>
      </c>
      <c r="Q193">
        <f>H193*(1-Assumptions!$B$55)</f>
        <v/>
      </c>
      <c r="R193">
        <f>MIN(P193,Q193)</f>
        <v/>
      </c>
      <c r="S193">
        <f>Assumptions!$B$53/R193</f>
        <v/>
      </c>
      <c r="T193">
        <f>Assumptions!$B$27*(Assumptions!$B$64+$B$180/Assumptions!$B$27)/(Assumptions!$B$64+J193)</f>
        <v/>
      </c>
      <c r="U193">
        <f>IF(H193&lt;Assumptions!$B$27,Assumptions!$B$27/T193,1)</f>
        <v/>
      </c>
      <c r="V193">
        <f>Assumptions!$B$26*(Assumptions!$B$64+$B$180/Assumptions!$B$26)/(Assumptions!$B$64+J193)</f>
        <v/>
      </c>
      <c r="W193">
        <f>IF(H193&lt;Assumptions!$B$26,Assumptions!$B$26/V193,1)</f>
        <v/>
      </c>
    </row>
    <row r="194">
      <c r="A194" t="n">
        <v>11</v>
      </c>
      <c r="B194">
        <f>U193</f>
        <v/>
      </c>
      <c r="C194">
        <f>W193</f>
        <v/>
      </c>
      <c r="D194">
        <f>O193</f>
        <v/>
      </c>
      <c r="E194">
        <f>S193</f>
        <v/>
      </c>
      <c r="F194">
        <f>Assumptions!$B$16*B194</f>
        <v/>
      </c>
      <c r="G194">
        <f>Assumptions!$B$15*C194</f>
        <v/>
      </c>
      <c r="H194">
        <f>IF($B$176*($B$179/(($B$179*(1-$B$176)-$B$180)/((Assumptions!$B$9+Assumptions!$B$11+Assumptions!$B$12+Assumptions!$B$13+Assumptions!$B$14)+G194+F194+D194+E194)))&lt;Assumptions!$B$65,($B$179-$B$180)/(((Assumptions!$B$9+Assumptions!$B$11+Assumptions!$B$12+Assumptions!$B$13+Assumptions!$B$14)+G194+F194+D194+E194)+Assumptions!$B$65),($B$179*(1-$B$176)-$B$180)/((Assumptions!$B$9+Assumptions!$B$11+Assumptions!$B$12+Assumptions!$B$13+Assumptions!$B$14)+G194+F194+D194+E194))</f>
        <v/>
      </c>
      <c r="I194">
        <f>$B$179/H194</f>
        <v/>
      </c>
      <c r="J194">
        <f>$B$180/H194</f>
        <v/>
      </c>
      <c r="K194">
        <f>I194-J194</f>
        <v/>
      </c>
      <c r="L194">
        <f>Assumptions!$B$51/K194</f>
        <v/>
      </c>
      <c r="M194">
        <f>H194*(1-Assumptions!$B$52)</f>
        <v/>
      </c>
      <c r="N194">
        <f>MIN(L194,M194)</f>
        <v/>
      </c>
      <c r="O194">
        <f>Assumptions!$B$50/N194</f>
        <v/>
      </c>
      <c r="P194">
        <f>Assumptions!$B$54/K194</f>
        <v/>
      </c>
      <c r="Q194">
        <f>H194*(1-Assumptions!$B$55)</f>
        <v/>
      </c>
      <c r="R194">
        <f>MIN(P194,Q194)</f>
        <v/>
      </c>
      <c r="S194">
        <f>Assumptions!$B$53/R194</f>
        <v/>
      </c>
      <c r="T194">
        <f>Assumptions!$B$27*(Assumptions!$B$64+$B$180/Assumptions!$B$27)/(Assumptions!$B$64+J194)</f>
        <v/>
      </c>
      <c r="U194">
        <f>IF(H194&lt;Assumptions!$B$27,Assumptions!$B$27/T194,1)</f>
        <v/>
      </c>
      <c r="V194">
        <f>Assumptions!$B$26*(Assumptions!$B$64+$B$180/Assumptions!$B$26)/(Assumptions!$B$64+J194)</f>
        <v/>
      </c>
      <c r="W194">
        <f>IF(H194&lt;Assumptions!$B$26,Assumptions!$B$26/V194,1)</f>
        <v/>
      </c>
    </row>
    <row r="195">
      <c r="A195" t="n">
        <v>12</v>
      </c>
      <c r="B195">
        <f>U194</f>
        <v/>
      </c>
      <c r="C195">
        <f>W194</f>
        <v/>
      </c>
      <c r="D195">
        <f>O194</f>
        <v/>
      </c>
      <c r="E195">
        <f>S194</f>
        <v/>
      </c>
      <c r="F195">
        <f>Assumptions!$B$16*B195</f>
        <v/>
      </c>
      <c r="G195">
        <f>Assumptions!$B$15*C195</f>
        <v/>
      </c>
      <c r="H195">
        <f>IF($B$176*($B$179/(($B$179*(1-$B$176)-$B$180)/((Assumptions!$B$9+Assumptions!$B$11+Assumptions!$B$12+Assumptions!$B$13+Assumptions!$B$14)+G195+F195+D195+E195)))&lt;Assumptions!$B$65,($B$179-$B$180)/(((Assumptions!$B$9+Assumptions!$B$11+Assumptions!$B$12+Assumptions!$B$13+Assumptions!$B$14)+G195+F195+D195+E195)+Assumptions!$B$65),($B$179*(1-$B$176)-$B$180)/((Assumptions!$B$9+Assumptions!$B$11+Assumptions!$B$12+Assumptions!$B$13+Assumptions!$B$14)+G195+F195+D195+E195))</f>
        <v/>
      </c>
      <c r="I195">
        <f>$B$179/H195</f>
        <v/>
      </c>
      <c r="J195">
        <f>$B$180/H195</f>
        <v/>
      </c>
      <c r="K195">
        <f>I195-J195</f>
        <v/>
      </c>
      <c r="L195">
        <f>Assumptions!$B$51/K195</f>
        <v/>
      </c>
      <c r="M195">
        <f>H195*(1-Assumptions!$B$52)</f>
        <v/>
      </c>
      <c r="N195">
        <f>MIN(L195,M195)</f>
        <v/>
      </c>
      <c r="O195">
        <f>Assumptions!$B$50/N195</f>
        <v/>
      </c>
      <c r="P195">
        <f>Assumptions!$B$54/K195</f>
        <v/>
      </c>
      <c r="Q195">
        <f>H195*(1-Assumptions!$B$55)</f>
        <v/>
      </c>
      <c r="R195">
        <f>MIN(P195,Q195)</f>
        <v/>
      </c>
      <c r="S195">
        <f>Assumptions!$B$53/R195</f>
        <v/>
      </c>
      <c r="T195">
        <f>Assumptions!$B$27*(Assumptions!$B$64+$B$180/Assumptions!$B$27)/(Assumptions!$B$64+J195)</f>
        <v/>
      </c>
      <c r="U195">
        <f>IF(H195&lt;Assumptions!$B$27,Assumptions!$B$27/T195,1)</f>
        <v/>
      </c>
      <c r="V195">
        <f>Assumptions!$B$26*(Assumptions!$B$64+$B$180/Assumptions!$B$26)/(Assumptions!$B$64+J195)</f>
        <v/>
      </c>
      <c r="W195">
        <f>IF(H195&lt;Assumptions!$B$26,Assumptions!$B$26/V195,1)</f>
        <v/>
      </c>
    </row>
    <row r="196">
      <c r="A196" t="n">
        <v>13</v>
      </c>
      <c r="B196">
        <f>U195</f>
        <v/>
      </c>
      <c r="C196">
        <f>W195</f>
        <v/>
      </c>
      <c r="D196">
        <f>O195</f>
        <v/>
      </c>
      <c r="E196">
        <f>S195</f>
        <v/>
      </c>
      <c r="F196">
        <f>Assumptions!$B$16*B196</f>
        <v/>
      </c>
      <c r="G196">
        <f>Assumptions!$B$15*C196</f>
        <v/>
      </c>
      <c r="H196">
        <f>IF($B$176*($B$179/(($B$179*(1-$B$176)-$B$180)/((Assumptions!$B$9+Assumptions!$B$11+Assumptions!$B$12+Assumptions!$B$13+Assumptions!$B$14)+G196+F196+D196+E196)))&lt;Assumptions!$B$65,($B$179-$B$180)/(((Assumptions!$B$9+Assumptions!$B$11+Assumptions!$B$12+Assumptions!$B$13+Assumptions!$B$14)+G196+F196+D196+E196)+Assumptions!$B$65),($B$179*(1-$B$176)-$B$180)/((Assumptions!$B$9+Assumptions!$B$11+Assumptions!$B$12+Assumptions!$B$13+Assumptions!$B$14)+G196+F196+D196+E196))</f>
        <v/>
      </c>
      <c r="I196">
        <f>$B$179/H196</f>
        <v/>
      </c>
      <c r="J196">
        <f>$B$180/H196</f>
        <v/>
      </c>
      <c r="K196">
        <f>I196-J196</f>
        <v/>
      </c>
      <c r="L196">
        <f>Assumptions!$B$51/K196</f>
        <v/>
      </c>
      <c r="M196">
        <f>H196*(1-Assumptions!$B$52)</f>
        <v/>
      </c>
      <c r="N196">
        <f>MIN(L196,M196)</f>
        <v/>
      </c>
      <c r="O196">
        <f>Assumptions!$B$50/N196</f>
        <v/>
      </c>
      <c r="P196">
        <f>Assumptions!$B$54/K196</f>
        <v/>
      </c>
      <c r="Q196">
        <f>H196*(1-Assumptions!$B$55)</f>
        <v/>
      </c>
      <c r="R196">
        <f>MIN(P196,Q196)</f>
        <v/>
      </c>
      <c r="S196">
        <f>Assumptions!$B$53/R196</f>
        <v/>
      </c>
      <c r="T196">
        <f>Assumptions!$B$27*(Assumptions!$B$64+$B$180/Assumptions!$B$27)/(Assumptions!$B$64+J196)</f>
        <v/>
      </c>
      <c r="U196">
        <f>IF(H196&lt;Assumptions!$B$27,Assumptions!$B$27/T196,1)</f>
        <v/>
      </c>
      <c r="V196">
        <f>Assumptions!$B$26*(Assumptions!$B$64+$B$180/Assumptions!$B$26)/(Assumptions!$B$64+J196)</f>
        <v/>
      </c>
      <c r="W196">
        <f>IF(H196&lt;Assumptions!$B$26,Assumptions!$B$26/V196,1)</f>
        <v/>
      </c>
    </row>
    <row r="197">
      <c r="A197" t="n">
        <v>14</v>
      </c>
      <c r="B197">
        <f>U196</f>
        <v/>
      </c>
      <c r="C197">
        <f>W196</f>
        <v/>
      </c>
      <c r="D197">
        <f>O196</f>
        <v/>
      </c>
      <c r="E197">
        <f>S196</f>
        <v/>
      </c>
      <c r="F197">
        <f>Assumptions!$B$16*B197</f>
        <v/>
      </c>
      <c r="G197">
        <f>Assumptions!$B$15*C197</f>
        <v/>
      </c>
      <c r="H197">
        <f>IF($B$176*($B$179/(($B$179*(1-$B$176)-$B$180)/((Assumptions!$B$9+Assumptions!$B$11+Assumptions!$B$12+Assumptions!$B$13+Assumptions!$B$14)+G197+F197+D197+E197)))&lt;Assumptions!$B$65,($B$179-$B$180)/(((Assumptions!$B$9+Assumptions!$B$11+Assumptions!$B$12+Assumptions!$B$13+Assumptions!$B$14)+G197+F197+D197+E197)+Assumptions!$B$65),($B$179*(1-$B$176)-$B$180)/((Assumptions!$B$9+Assumptions!$B$11+Assumptions!$B$12+Assumptions!$B$13+Assumptions!$B$14)+G197+F197+D197+E197))</f>
        <v/>
      </c>
      <c r="I197">
        <f>$B$179/H197</f>
        <v/>
      </c>
      <c r="J197">
        <f>$B$180/H197</f>
        <v/>
      </c>
      <c r="K197">
        <f>I197-J197</f>
        <v/>
      </c>
      <c r="L197">
        <f>Assumptions!$B$51/K197</f>
        <v/>
      </c>
      <c r="M197">
        <f>H197*(1-Assumptions!$B$52)</f>
        <v/>
      </c>
      <c r="N197">
        <f>MIN(L197,M197)</f>
        <v/>
      </c>
      <c r="O197">
        <f>Assumptions!$B$50/N197</f>
        <v/>
      </c>
      <c r="P197">
        <f>Assumptions!$B$54/K197</f>
        <v/>
      </c>
      <c r="Q197">
        <f>H197*(1-Assumptions!$B$55)</f>
        <v/>
      </c>
      <c r="R197">
        <f>MIN(P197,Q197)</f>
        <v/>
      </c>
      <c r="S197">
        <f>Assumptions!$B$53/R197</f>
        <v/>
      </c>
      <c r="T197">
        <f>Assumptions!$B$27*(Assumptions!$B$64+$B$180/Assumptions!$B$27)/(Assumptions!$B$64+J197)</f>
        <v/>
      </c>
      <c r="U197">
        <f>IF(H197&lt;Assumptions!$B$27,Assumptions!$B$27/T197,1)</f>
        <v/>
      </c>
      <c r="V197">
        <f>Assumptions!$B$26*(Assumptions!$B$64+$B$180/Assumptions!$B$26)/(Assumptions!$B$64+J197)</f>
        <v/>
      </c>
      <c r="W197">
        <f>IF(H197&lt;Assumptions!$B$26,Assumptions!$B$26/V197,1)</f>
        <v/>
      </c>
    </row>
    <row r="198">
      <c r="A198" t="n">
        <v>15</v>
      </c>
      <c r="B198">
        <f>U197</f>
        <v/>
      </c>
      <c r="C198">
        <f>W197</f>
        <v/>
      </c>
      <c r="D198">
        <f>O197</f>
        <v/>
      </c>
      <c r="E198">
        <f>S197</f>
        <v/>
      </c>
      <c r="F198">
        <f>Assumptions!$B$16*B198</f>
        <v/>
      </c>
      <c r="G198">
        <f>Assumptions!$B$15*C198</f>
        <v/>
      </c>
      <c r="H198">
        <f>IF($B$176*($B$179/(($B$179*(1-$B$176)-$B$180)/((Assumptions!$B$9+Assumptions!$B$11+Assumptions!$B$12+Assumptions!$B$13+Assumptions!$B$14)+G198+F198+D198+E198)))&lt;Assumptions!$B$65,($B$179-$B$180)/(((Assumptions!$B$9+Assumptions!$B$11+Assumptions!$B$12+Assumptions!$B$13+Assumptions!$B$14)+G198+F198+D198+E198)+Assumptions!$B$65),($B$179*(1-$B$176)-$B$180)/((Assumptions!$B$9+Assumptions!$B$11+Assumptions!$B$12+Assumptions!$B$13+Assumptions!$B$14)+G198+F198+D198+E198))</f>
        <v/>
      </c>
      <c r="I198">
        <f>$B$179/H198</f>
        <v/>
      </c>
      <c r="J198">
        <f>$B$180/H198</f>
        <v/>
      </c>
      <c r="K198">
        <f>I198-J198</f>
        <v/>
      </c>
      <c r="L198">
        <f>Assumptions!$B$51/K198</f>
        <v/>
      </c>
      <c r="M198">
        <f>H198*(1-Assumptions!$B$52)</f>
        <v/>
      </c>
      <c r="N198">
        <f>MIN(L198,M198)</f>
        <v/>
      </c>
      <c r="O198">
        <f>Assumptions!$B$50/N198</f>
        <v/>
      </c>
      <c r="P198">
        <f>Assumptions!$B$54/K198</f>
        <v/>
      </c>
      <c r="Q198">
        <f>H198*(1-Assumptions!$B$55)</f>
        <v/>
      </c>
      <c r="R198">
        <f>MIN(P198,Q198)</f>
        <v/>
      </c>
      <c r="S198">
        <f>Assumptions!$B$53/R198</f>
        <v/>
      </c>
      <c r="T198">
        <f>Assumptions!$B$27*(Assumptions!$B$64+$B$180/Assumptions!$B$27)/(Assumptions!$B$64+J198)</f>
        <v/>
      </c>
      <c r="U198">
        <f>IF(H198&lt;Assumptions!$B$27,Assumptions!$B$27/T198,1)</f>
        <v/>
      </c>
      <c r="V198">
        <f>Assumptions!$B$26*(Assumptions!$B$64+$B$180/Assumptions!$B$26)/(Assumptions!$B$64+J198)</f>
        <v/>
      </c>
      <c r="W198">
        <f>IF(H198&lt;Assumptions!$B$26,Assumptions!$B$26/V198,1)</f>
        <v/>
      </c>
    </row>
    <row r="199">
      <c r="A199" t="n">
        <v>16</v>
      </c>
      <c r="B199">
        <f>U198</f>
        <v/>
      </c>
      <c r="C199">
        <f>W198</f>
        <v/>
      </c>
      <c r="D199">
        <f>O198</f>
        <v/>
      </c>
      <c r="E199">
        <f>S198</f>
        <v/>
      </c>
      <c r="F199">
        <f>Assumptions!$B$16*B199</f>
        <v/>
      </c>
      <c r="G199">
        <f>Assumptions!$B$15*C199</f>
        <v/>
      </c>
      <c r="H199">
        <f>IF($B$176*($B$179/(($B$179*(1-$B$176)-$B$180)/((Assumptions!$B$9+Assumptions!$B$11+Assumptions!$B$12+Assumptions!$B$13+Assumptions!$B$14)+G199+F199+D199+E199)))&lt;Assumptions!$B$65,($B$179-$B$180)/(((Assumptions!$B$9+Assumptions!$B$11+Assumptions!$B$12+Assumptions!$B$13+Assumptions!$B$14)+G199+F199+D199+E199)+Assumptions!$B$65),($B$179*(1-$B$176)-$B$180)/((Assumptions!$B$9+Assumptions!$B$11+Assumptions!$B$12+Assumptions!$B$13+Assumptions!$B$14)+G199+F199+D199+E199))</f>
        <v/>
      </c>
      <c r="I199">
        <f>$B$179/H199</f>
        <v/>
      </c>
      <c r="J199">
        <f>$B$180/H199</f>
        <v/>
      </c>
      <c r="K199">
        <f>I199-J199</f>
        <v/>
      </c>
      <c r="L199">
        <f>Assumptions!$B$51/K199</f>
        <v/>
      </c>
      <c r="M199">
        <f>H199*(1-Assumptions!$B$52)</f>
        <v/>
      </c>
      <c r="N199">
        <f>MIN(L199,M199)</f>
        <v/>
      </c>
      <c r="O199">
        <f>Assumptions!$B$50/N199</f>
        <v/>
      </c>
      <c r="P199">
        <f>Assumptions!$B$54/K199</f>
        <v/>
      </c>
      <c r="Q199">
        <f>H199*(1-Assumptions!$B$55)</f>
        <v/>
      </c>
      <c r="R199">
        <f>MIN(P199,Q199)</f>
        <v/>
      </c>
      <c r="S199">
        <f>Assumptions!$B$53/R199</f>
        <v/>
      </c>
      <c r="T199">
        <f>Assumptions!$B$27*(Assumptions!$B$64+$B$180/Assumptions!$B$27)/(Assumptions!$B$64+J199)</f>
        <v/>
      </c>
      <c r="U199">
        <f>IF(H199&lt;Assumptions!$B$27,Assumptions!$B$27/T199,1)</f>
        <v/>
      </c>
      <c r="V199">
        <f>Assumptions!$B$26*(Assumptions!$B$64+$B$180/Assumptions!$B$26)/(Assumptions!$B$64+J199)</f>
        <v/>
      </c>
      <c r="W199">
        <f>IF(H199&lt;Assumptions!$B$26,Assumptions!$B$26/V199,1)</f>
        <v/>
      </c>
    </row>
    <row r="200">
      <c r="A200" t="n">
        <v>17</v>
      </c>
      <c r="B200">
        <f>U199</f>
        <v/>
      </c>
      <c r="C200">
        <f>W199</f>
        <v/>
      </c>
      <c r="D200">
        <f>O199</f>
        <v/>
      </c>
      <c r="E200">
        <f>S199</f>
        <v/>
      </c>
      <c r="F200">
        <f>Assumptions!$B$16*B200</f>
        <v/>
      </c>
      <c r="G200">
        <f>Assumptions!$B$15*C200</f>
        <v/>
      </c>
      <c r="H200">
        <f>IF($B$176*($B$179/(($B$179*(1-$B$176)-$B$180)/((Assumptions!$B$9+Assumptions!$B$11+Assumptions!$B$12+Assumptions!$B$13+Assumptions!$B$14)+G200+F200+D200+E200)))&lt;Assumptions!$B$65,($B$179-$B$180)/(((Assumptions!$B$9+Assumptions!$B$11+Assumptions!$B$12+Assumptions!$B$13+Assumptions!$B$14)+G200+F200+D200+E200)+Assumptions!$B$65),($B$179*(1-$B$176)-$B$180)/((Assumptions!$B$9+Assumptions!$B$11+Assumptions!$B$12+Assumptions!$B$13+Assumptions!$B$14)+G200+F200+D200+E200))</f>
        <v/>
      </c>
      <c r="I200">
        <f>$B$179/H200</f>
        <v/>
      </c>
      <c r="J200">
        <f>$B$180/H200</f>
        <v/>
      </c>
      <c r="K200">
        <f>I200-J200</f>
        <v/>
      </c>
      <c r="L200">
        <f>Assumptions!$B$51/K200</f>
        <v/>
      </c>
      <c r="M200">
        <f>H200*(1-Assumptions!$B$52)</f>
        <v/>
      </c>
      <c r="N200">
        <f>MIN(L200,M200)</f>
        <v/>
      </c>
      <c r="O200">
        <f>Assumptions!$B$50/N200</f>
        <v/>
      </c>
      <c r="P200">
        <f>Assumptions!$B$54/K200</f>
        <v/>
      </c>
      <c r="Q200">
        <f>H200*(1-Assumptions!$B$55)</f>
        <v/>
      </c>
      <c r="R200">
        <f>MIN(P200,Q200)</f>
        <v/>
      </c>
      <c r="S200">
        <f>Assumptions!$B$53/R200</f>
        <v/>
      </c>
      <c r="T200">
        <f>Assumptions!$B$27*(Assumptions!$B$64+$B$180/Assumptions!$B$27)/(Assumptions!$B$64+J200)</f>
        <v/>
      </c>
      <c r="U200">
        <f>IF(H200&lt;Assumptions!$B$27,Assumptions!$B$27/T200,1)</f>
        <v/>
      </c>
      <c r="V200">
        <f>Assumptions!$B$26*(Assumptions!$B$64+$B$180/Assumptions!$B$26)/(Assumptions!$B$64+J200)</f>
        <v/>
      </c>
      <c r="W200">
        <f>IF(H200&lt;Assumptions!$B$26,Assumptions!$B$26/V200,1)</f>
        <v/>
      </c>
    </row>
    <row r="201">
      <c r="A201" t="n">
        <v>18</v>
      </c>
      <c r="B201">
        <f>U200</f>
        <v/>
      </c>
      <c r="C201">
        <f>W200</f>
        <v/>
      </c>
      <c r="D201">
        <f>O200</f>
        <v/>
      </c>
      <c r="E201">
        <f>S200</f>
        <v/>
      </c>
      <c r="F201">
        <f>Assumptions!$B$16*B201</f>
        <v/>
      </c>
      <c r="G201">
        <f>Assumptions!$B$15*C201</f>
        <v/>
      </c>
      <c r="H201">
        <f>IF($B$176*($B$179/(($B$179*(1-$B$176)-$B$180)/((Assumptions!$B$9+Assumptions!$B$11+Assumptions!$B$12+Assumptions!$B$13+Assumptions!$B$14)+G201+F201+D201+E201)))&lt;Assumptions!$B$65,($B$179-$B$180)/(((Assumptions!$B$9+Assumptions!$B$11+Assumptions!$B$12+Assumptions!$B$13+Assumptions!$B$14)+G201+F201+D201+E201)+Assumptions!$B$65),($B$179*(1-$B$176)-$B$180)/((Assumptions!$B$9+Assumptions!$B$11+Assumptions!$B$12+Assumptions!$B$13+Assumptions!$B$14)+G201+F201+D201+E201))</f>
        <v/>
      </c>
      <c r="I201">
        <f>$B$179/H201</f>
        <v/>
      </c>
      <c r="J201">
        <f>$B$180/H201</f>
        <v/>
      </c>
      <c r="K201">
        <f>I201-J201</f>
        <v/>
      </c>
      <c r="L201">
        <f>Assumptions!$B$51/K201</f>
        <v/>
      </c>
      <c r="M201">
        <f>H201*(1-Assumptions!$B$52)</f>
        <v/>
      </c>
      <c r="N201">
        <f>MIN(L201,M201)</f>
        <v/>
      </c>
      <c r="O201">
        <f>Assumptions!$B$50/N201</f>
        <v/>
      </c>
      <c r="P201">
        <f>Assumptions!$B$54/K201</f>
        <v/>
      </c>
      <c r="Q201">
        <f>H201*(1-Assumptions!$B$55)</f>
        <v/>
      </c>
      <c r="R201">
        <f>MIN(P201,Q201)</f>
        <v/>
      </c>
      <c r="S201">
        <f>Assumptions!$B$53/R201</f>
        <v/>
      </c>
      <c r="T201">
        <f>Assumptions!$B$27*(Assumptions!$B$64+$B$180/Assumptions!$B$27)/(Assumptions!$B$64+J201)</f>
        <v/>
      </c>
      <c r="U201">
        <f>IF(H201&lt;Assumptions!$B$27,Assumptions!$B$27/T201,1)</f>
        <v/>
      </c>
      <c r="V201">
        <f>Assumptions!$B$26*(Assumptions!$B$64+$B$180/Assumptions!$B$26)/(Assumptions!$B$64+J201)</f>
        <v/>
      </c>
      <c r="W201">
        <f>IF(H201&lt;Assumptions!$B$26,Assumptions!$B$26/V201,1)</f>
        <v/>
      </c>
    </row>
    <row r="202">
      <c r="A202" t="n">
        <v>19</v>
      </c>
      <c r="B202">
        <f>U201</f>
        <v/>
      </c>
      <c r="C202">
        <f>W201</f>
        <v/>
      </c>
      <c r="D202">
        <f>O201</f>
        <v/>
      </c>
      <c r="E202">
        <f>S201</f>
        <v/>
      </c>
      <c r="F202">
        <f>Assumptions!$B$16*B202</f>
        <v/>
      </c>
      <c r="G202">
        <f>Assumptions!$B$15*C202</f>
        <v/>
      </c>
      <c r="H202">
        <f>IF($B$176*($B$179/(($B$179*(1-$B$176)-$B$180)/((Assumptions!$B$9+Assumptions!$B$11+Assumptions!$B$12+Assumptions!$B$13+Assumptions!$B$14)+G202+F202+D202+E202)))&lt;Assumptions!$B$65,($B$179-$B$180)/(((Assumptions!$B$9+Assumptions!$B$11+Assumptions!$B$12+Assumptions!$B$13+Assumptions!$B$14)+G202+F202+D202+E202)+Assumptions!$B$65),($B$179*(1-$B$176)-$B$180)/((Assumptions!$B$9+Assumptions!$B$11+Assumptions!$B$12+Assumptions!$B$13+Assumptions!$B$14)+G202+F202+D202+E202))</f>
        <v/>
      </c>
      <c r="I202">
        <f>$B$179/H202</f>
        <v/>
      </c>
      <c r="J202">
        <f>$B$180/H202</f>
        <v/>
      </c>
      <c r="K202">
        <f>I202-J202</f>
        <v/>
      </c>
      <c r="L202">
        <f>Assumptions!$B$51/K202</f>
        <v/>
      </c>
      <c r="M202">
        <f>H202*(1-Assumptions!$B$52)</f>
        <v/>
      </c>
      <c r="N202">
        <f>MIN(L202,M202)</f>
        <v/>
      </c>
      <c r="O202">
        <f>Assumptions!$B$50/N202</f>
        <v/>
      </c>
      <c r="P202">
        <f>Assumptions!$B$54/K202</f>
        <v/>
      </c>
      <c r="Q202">
        <f>H202*(1-Assumptions!$B$55)</f>
        <v/>
      </c>
      <c r="R202">
        <f>MIN(P202,Q202)</f>
        <v/>
      </c>
      <c r="S202">
        <f>Assumptions!$B$53/R202</f>
        <v/>
      </c>
      <c r="T202">
        <f>Assumptions!$B$27*(Assumptions!$B$64+$B$180/Assumptions!$B$27)/(Assumptions!$B$64+J202)</f>
        <v/>
      </c>
      <c r="U202">
        <f>IF(H202&lt;Assumptions!$B$27,Assumptions!$B$27/T202,1)</f>
        <v/>
      </c>
      <c r="V202">
        <f>Assumptions!$B$26*(Assumptions!$B$64+$B$180/Assumptions!$B$26)/(Assumptions!$B$64+J202)</f>
        <v/>
      </c>
      <c r="W202">
        <f>IF(H202&lt;Assumptions!$B$26,Assumptions!$B$26/V202,1)</f>
        <v/>
      </c>
    </row>
    <row r="203">
      <c r="A203" t="n">
        <v>20</v>
      </c>
      <c r="B203">
        <f>U202</f>
        <v/>
      </c>
      <c r="C203">
        <f>W202</f>
        <v/>
      </c>
      <c r="D203">
        <f>O202</f>
        <v/>
      </c>
      <c r="E203">
        <f>S202</f>
        <v/>
      </c>
      <c r="F203">
        <f>Assumptions!$B$16*B203</f>
        <v/>
      </c>
      <c r="G203">
        <f>Assumptions!$B$15*C203</f>
        <v/>
      </c>
      <c r="H203">
        <f>IF($B$176*($B$179/(($B$179*(1-$B$176)-$B$180)/((Assumptions!$B$9+Assumptions!$B$11+Assumptions!$B$12+Assumptions!$B$13+Assumptions!$B$14)+G203+F203+D203+E203)))&lt;Assumptions!$B$65,($B$179-$B$180)/(((Assumptions!$B$9+Assumptions!$B$11+Assumptions!$B$12+Assumptions!$B$13+Assumptions!$B$14)+G203+F203+D203+E203)+Assumptions!$B$65),($B$179*(1-$B$176)-$B$180)/((Assumptions!$B$9+Assumptions!$B$11+Assumptions!$B$12+Assumptions!$B$13+Assumptions!$B$14)+G203+F203+D203+E203))</f>
        <v/>
      </c>
      <c r="I203">
        <f>$B$179/H203</f>
        <v/>
      </c>
      <c r="J203">
        <f>$B$180/H203</f>
        <v/>
      </c>
      <c r="K203">
        <f>I203-J203</f>
        <v/>
      </c>
      <c r="L203">
        <f>Assumptions!$B$51/K203</f>
        <v/>
      </c>
      <c r="M203">
        <f>H203*(1-Assumptions!$B$52)</f>
        <v/>
      </c>
      <c r="N203">
        <f>MIN(L203,M203)</f>
        <v/>
      </c>
      <c r="O203">
        <f>Assumptions!$B$50/N203</f>
        <v/>
      </c>
      <c r="P203">
        <f>Assumptions!$B$54/K203</f>
        <v/>
      </c>
      <c r="Q203">
        <f>H203*(1-Assumptions!$B$55)</f>
        <v/>
      </c>
      <c r="R203">
        <f>MIN(P203,Q203)</f>
        <v/>
      </c>
      <c r="S203">
        <f>Assumptions!$B$53/R203</f>
        <v/>
      </c>
      <c r="T203">
        <f>Assumptions!$B$27*(Assumptions!$B$64+$B$180/Assumptions!$B$27)/(Assumptions!$B$64+J203)</f>
        <v/>
      </c>
      <c r="U203">
        <f>IF(H203&lt;Assumptions!$B$27,Assumptions!$B$27/T203,1)</f>
        <v/>
      </c>
      <c r="V203">
        <f>Assumptions!$B$26*(Assumptions!$B$64+$B$180/Assumptions!$B$26)/(Assumptions!$B$64+J203)</f>
        <v/>
      </c>
      <c r="W203">
        <f>IF(H203&lt;Assumptions!$B$26,Assumptions!$B$26/V203,1)</f>
        <v/>
      </c>
    </row>
    <row r="204">
      <c r="A204" t="n">
        <v>21</v>
      </c>
      <c r="B204">
        <f>U203</f>
        <v/>
      </c>
      <c r="C204">
        <f>W203</f>
        <v/>
      </c>
      <c r="D204">
        <f>O203</f>
        <v/>
      </c>
      <c r="E204">
        <f>S203</f>
        <v/>
      </c>
      <c r="F204">
        <f>Assumptions!$B$16*B204</f>
        <v/>
      </c>
      <c r="G204">
        <f>Assumptions!$B$15*C204</f>
        <v/>
      </c>
      <c r="H204">
        <f>IF($B$176*($B$179/(($B$179*(1-$B$176)-$B$180)/((Assumptions!$B$9+Assumptions!$B$11+Assumptions!$B$12+Assumptions!$B$13+Assumptions!$B$14)+G204+F204+D204+E204)))&lt;Assumptions!$B$65,($B$179-$B$180)/(((Assumptions!$B$9+Assumptions!$B$11+Assumptions!$B$12+Assumptions!$B$13+Assumptions!$B$14)+G204+F204+D204+E204)+Assumptions!$B$65),($B$179*(1-$B$176)-$B$180)/((Assumptions!$B$9+Assumptions!$B$11+Assumptions!$B$12+Assumptions!$B$13+Assumptions!$B$14)+G204+F204+D204+E204))</f>
        <v/>
      </c>
      <c r="I204">
        <f>$B$179/H204</f>
        <v/>
      </c>
      <c r="J204">
        <f>$B$180/H204</f>
        <v/>
      </c>
      <c r="K204">
        <f>I204-J204</f>
        <v/>
      </c>
      <c r="L204">
        <f>Assumptions!$B$51/K204</f>
        <v/>
      </c>
      <c r="M204">
        <f>H204*(1-Assumptions!$B$52)</f>
        <v/>
      </c>
      <c r="N204">
        <f>MIN(L204,M204)</f>
        <v/>
      </c>
      <c r="O204">
        <f>Assumptions!$B$50/N204</f>
        <v/>
      </c>
      <c r="P204">
        <f>Assumptions!$B$54/K204</f>
        <v/>
      </c>
      <c r="Q204">
        <f>H204*(1-Assumptions!$B$55)</f>
        <v/>
      </c>
      <c r="R204">
        <f>MIN(P204,Q204)</f>
        <v/>
      </c>
      <c r="S204">
        <f>Assumptions!$B$53/R204</f>
        <v/>
      </c>
      <c r="T204">
        <f>Assumptions!$B$27*(Assumptions!$B$64+$B$180/Assumptions!$B$27)/(Assumptions!$B$64+J204)</f>
        <v/>
      </c>
      <c r="U204">
        <f>IF(H204&lt;Assumptions!$B$27,Assumptions!$B$27/T204,1)</f>
        <v/>
      </c>
      <c r="V204">
        <f>Assumptions!$B$26*(Assumptions!$B$64+$B$180/Assumptions!$B$26)/(Assumptions!$B$64+J204)</f>
        <v/>
      </c>
      <c r="W204">
        <f>IF(H204&lt;Assumptions!$B$26,Assumptions!$B$26/V204,1)</f>
        <v/>
      </c>
    </row>
    <row r="205">
      <c r="A205" t="n">
        <v>22</v>
      </c>
      <c r="B205">
        <f>U204</f>
        <v/>
      </c>
      <c r="C205">
        <f>W204</f>
        <v/>
      </c>
      <c r="D205">
        <f>O204</f>
        <v/>
      </c>
      <c r="E205">
        <f>S204</f>
        <v/>
      </c>
      <c r="F205">
        <f>Assumptions!$B$16*B205</f>
        <v/>
      </c>
      <c r="G205">
        <f>Assumptions!$B$15*C205</f>
        <v/>
      </c>
      <c r="H205">
        <f>IF($B$176*($B$179/(($B$179*(1-$B$176)-$B$180)/((Assumptions!$B$9+Assumptions!$B$11+Assumptions!$B$12+Assumptions!$B$13+Assumptions!$B$14)+G205+F205+D205+E205)))&lt;Assumptions!$B$65,($B$179-$B$180)/(((Assumptions!$B$9+Assumptions!$B$11+Assumptions!$B$12+Assumptions!$B$13+Assumptions!$B$14)+G205+F205+D205+E205)+Assumptions!$B$65),($B$179*(1-$B$176)-$B$180)/((Assumptions!$B$9+Assumptions!$B$11+Assumptions!$B$12+Assumptions!$B$13+Assumptions!$B$14)+G205+F205+D205+E205))</f>
        <v/>
      </c>
      <c r="I205">
        <f>$B$179/H205</f>
        <v/>
      </c>
      <c r="J205">
        <f>$B$180/H205</f>
        <v/>
      </c>
      <c r="K205">
        <f>I205-J205</f>
        <v/>
      </c>
      <c r="L205">
        <f>Assumptions!$B$51/K205</f>
        <v/>
      </c>
      <c r="M205">
        <f>H205*(1-Assumptions!$B$52)</f>
        <v/>
      </c>
      <c r="N205">
        <f>MIN(L205,M205)</f>
        <v/>
      </c>
      <c r="O205">
        <f>Assumptions!$B$50/N205</f>
        <v/>
      </c>
      <c r="P205">
        <f>Assumptions!$B$54/K205</f>
        <v/>
      </c>
      <c r="Q205">
        <f>H205*(1-Assumptions!$B$55)</f>
        <v/>
      </c>
      <c r="R205">
        <f>MIN(P205,Q205)</f>
        <v/>
      </c>
      <c r="S205">
        <f>Assumptions!$B$53/R205</f>
        <v/>
      </c>
      <c r="T205">
        <f>Assumptions!$B$27*(Assumptions!$B$64+$B$180/Assumptions!$B$27)/(Assumptions!$B$64+J205)</f>
        <v/>
      </c>
      <c r="U205">
        <f>IF(H205&lt;Assumptions!$B$27,Assumptions!$B$27/T205,1)</f>
        <v/>
      </c>
      <c r="V205">
        <f>Assumptions!$B$26*(Assumptions!$B$64+$B$180/Assumptions!$B$26)/(Assumptions!$B$64+J205)</f>
        <v/>
      </c>
      <c r="W205">
        <f>IF(H205&lt;Assumptions!$B$26,Assumptions!$B$26/V205,1)</f>
        <v/>
      </c>
    </row>
    <row r="206">
      <c r="A206" t="n">
        <v>23</v>
      </c>
      <c r="B206">
        <f>U205</f>
        <v/>
      </c>
      <c r="C206">
        <f>W205</f>
        <v/>
      </c>
      <c r="D206">
        <f>O205</f>
        <v/>
      </c>
      <c r="E206">
        <f>S205</f>
        <v/>
      </c>
      <c r="F206">
        <f>Assumptions!$B$16*B206</f>
        <v/>
      </c>
      <c r="G206">
        <f>Assumptions!$B$15*C206</f>
        <v/>
      </c>
      <c r="H206">
        <f>IF($B$176*($B$179/(($B$179*(1-$B$176)-$B$180)/((Assumptions!$B$9+Assumptions!$B$11+Assumptions!$B$12+Assumptions!$B$13+Assumptions!$B$14)+G206+F206+D206+E206)))&lt;Assumptions!$B$65,($B$179-$B$180)/(((Assumptions!$B$9+Assumptions!$B$11+Assumptions!$B$12+Assumptions!$B$13+Assumptions!$B$14)+G206+F206+D206+E206)+Assumptions!$B$65),($B$179*(1-$B$176)-$B$180)/((Assumptions!$B$9+Assumptions!$B$11+Assumptions!$B$12+Assumptions!$B$13+Assumptions!$B$14)+G206+F206+D206+E206))</f>
        <v/>
      </c>
      <c r="I206">
        <f>$B$179/H206</f>
        <v/>
      </c>
      <c r="J206">
        <f>$B$180/H206</f>
        <v/>
      </c>
      <c r="K206">
        <f>I206-J206</f>
        <v/>
      </c>
      <c r="L206">
        <f>Assumptions!$B$51/K206</f>
        <v/>
      </c>
      <c r="M206">
        <f>H206*(1-Assumptions!$B$52)</f>
        <v/>
      </c>
      <c r="N206">
        <f>MIN(L206,M206)</f>
        <v/>
      </c>
      <c r="O206">
        <f>Assumptions!$B$50/N206</f>
        <v/>
      </c>
      <c r="P206">
        <f>Assumptions!$B$54/K206</f>
        <v/>
      </c>
      <c r="Q206">
        <f>H206*(1-Assumptions!$B$55)</f>
        <v/>
      </c>
      <c r="R206">
        <f>MIN(P206,Q206)</f>
        <v/>
      </c>
      <c r="S206">
        <f>Assumptions!$B$53/R206</f>
        <v/>
      </c>
      <c r="T206">
        <f>Assumptions!$B$27*(Assumptions!$B$64+$B$180/Assumptions!$B$27)/(Assumptions!$B$64+J206)</f>
        <v/>
      </c>
      <c r="U206">
        <f>IF(H206&lt;Assumptions!$B$27,Assumptions!$B$27/T206,1)</f>
        <v/>
      </c>
      <c r="V206">
        <f>Assumptions!$B$26*(Assumptions!$B$64+$B$180/Assumptions!$B$26)/(Assumptions!$B$64+J206)</f>
        <v/>
      </c>
      <c r="W206">
        <f>IF(H206&lt;Assumptions!$B$26,Assumptions!$B$26/V206,1)</f>
        <v/>
      </c>
    </row>
    <row r="207">
      <c r="A207" t="n">
        <v>24</v>
      </c>
      <c r="B207">
        <f>U206</f>
        <v/>
      </c>
      <c r="C207">
        <f>W206</f>
        <v/>
      </c>
      <c r="D207">
        <f>O206</f>
        <v/>
      </c>
      <c r="E207">
        <f>S206</f>
        <v/>
      </c>
      <c r="F207">
        <f>Assumptions!$B$16*B207</f>
        <v/>
      </c>
      <c r="G207">
        <f>Assumptions!$B$15*C207</f>
        <v/>
      </c>
      <c r="H207">
        <f>IF($B$176*($B$179/(($B$179*(1-$B$176)-$B$180)/((Assumptions!$B$9+Assumptions!$B$11+Assumptions!$B$12+Assumptions!$B$13+Assumptions!$B$14)+G207+F207+D207+E207)))&lt;Assumptions!$B$65,($B$179-$B$180)/(((Assumptions!$B$9+Assumptions!$B$11+Assumptions!$B$12+Assumptions!$B$13+Assumptions!$B$14)+G207+F207+D207+E207)+Assumptions!$B$65),($B$179*(1-$B$176)-$B$180)/((Assumptions!$B$9+Assumptions!$B$11+Assumptions!$B$12+Assumptions!$B$13+Assumptions!$B$14)+G207+F207+D207+E207))</f>
        <v/>
      </c>
      <c r="I207">
        <f>$B$179/H207</f>
        <v/>
      </c>
      <c r="J207">
        <f>$B$180/H207</f>
        <v/>
      </c>
      <c r="K207">
        <f>I207-J207</f>
        <v/>
      </c>
      <c r="L207">
        <f>Assumptions!$B$51/K207</f>
        <v/>
      </c>
      <c r="M207">
        <f>H207*(1-Assumptions!$B$52)</f>
        <v/>
      </c>
      <c r="N207">
        <f>MIN(L207,M207)</f>
        <v/>
      </c>
      <c r="O207">
        <f>Assumptions!$B$50/N207</f>
        <v/>
      </c>
      <c r="P207">
        <f>Assumptions!$B$54/K207</f>
        <v/>
      </c>
      <c r="Q207">
        <f>H207*(1-Assumptions!$B$55)</f>
        <v/>
      </c>
      <c r="R207">
        <f>MIN(P207,Q207)</f>
        <v/>
      </c>
      <c r="S207">
        <f>Assumptions!$B$53/R207</f>
        <v/>
      </c>
      <c r="T207">
        <f>Assumptions!$B$27*(Assumptions!$B$64+$B$180/Assumptions!$B$27)/(Assumptions!$B$64+J207)</f>
        <v/>
      </c>
      <c r="U207">
        <f>IF(H207&lt;Assumptions!$B$27,Assumptions!$B$27/T207,1)</f>
        <v/>
      </c>
      <c r="V207">
        <f>Assumptions!$B$26*(Assumptions!$B$64+$B$180/Assumptions!$B$26)/(Assumptions!$B$64+J207)</f>
        <v/>
      </c>
      <c r="W207">
        <f>IF(H207&lt;Assumptions!$B$26,Assumptions!$B$26/V207,1)</f>
        <v/>
      </c>
    </row>
    <row r="208">
      <c r="A208" t="n">
        <v>25</v>
      </c>
      <c r="B208">
        <f>U207</f>
        <v/>
      </c>
      <c r="C208">
        <f>W207</f>
        <v/>
      </c>
      <c r="D208">
        <f>O207</f>
        <v/>
      </c>
      <c r="E208">
        <f>S207</f>
        <v/>
      </c>
      <c r="F208">
        <f>Assumptions!$B$16*B208</f>
        <v/>
      </c>
      <c r="G208">
        <f>Assumptions!$B$15*C208</f>
        <v/>
      </c>
      <c r="H208">
        <f>IF($B$176*($B$179/(($B$179*(1-$B$176)-$B$180)/((Assumptions!$B$9+Assumptions!$B$11+Assumptions!$B$12+Assumptions!$B$13+Assumptions!$B$14)+G208+F208+D208+E208)))&lt;Assumptions!$B$65,($B$179-$B$180)/(((Assumptions!$B$9+Assumptions!$B$11+Assumptions!$B$12+Assumptions!$B$13+Assumptions!$B$14)+G208+F208+D208+E208)+Assumptions!$B$65),($B$179*(1-$B$176)-$B$180)/((Assumptions!$B$9+Assumptions!$B$11+Assumptions!$B$12+Assumptions!$B$13+Assumptions!$B$14)+G208+F208+D208+E208))</f>
        <v/>
      </c>
      <c r="I208">
        <f>$B$179/H208</f>
        <v/>
      </c>
      <c r="J208">
        <f>$B$180/H208</f>
        <v/>
      </c>
      <c r="K208">
        <f>I208-J208</f>
        <v/>
      </c>
      <c r="L208">
        <f>Assumptions!$B$51/K208</f>
        <v/>
      </c>
      <c r="M208">
        <f>H208*(1-Assumptions!$B$52)</f>
        <v/>
      </c>
      <c r="N208">
        <f>MIN(L208,M208)</f>
        <v/>
      </c>
      <c r="O208">
        <f>Assumptions!$B$50/N208</f>
        <v/>
      </c>
      <c r="P208">
        <f>Assumptions!$B$54/K208</f>
        <v/>
      </c>
      <c r="Q208">
        <f>H208*(1-Assumptions!$B$55)</f>
        <v/>
      </c>
      <c r="R208">
        <f>MIN(P208,Q208)</f>
        <v/>
      </c>
      <c r="S208">
        <f>Assumptions!$B$53/R208</f>
        <v/>
      </c>
      <c r="T208">
        <f>Assumptions!$B$27*(Assumptions!$B$64+$B$180/Assumptions!$B$27)/(Assumptions!$B$64+J208)</f>
        <v/>
      </c>
      <c r="U208">
        <f>IF(H208&lt;Assumptions!$B$27,Assumptions!$B$27/T208,1)</f>
        <v/>
      </c>
      <c r="V208">
        <f>Assumptions!$B$26*(Assumptions!$B$64+$B$180/Assumptions!$B$26)/(Assumptions!$B$64+J208)</f>
        <v/>
      </c>
      <c r="W208">
        <f>IF(H208&lt;Assumptions!$B$26,Assumptions!$B$26/V208,1)</f>
        <v/>
      </c>
    </row>
    <row r="209">
      <c r="A209" t="n">
        <v>26</v>
      </c>
      <c r="B209">
        <f>U208</f>
        <v/>
      </c>
      <c r="C209">
        <f>W208</f>
        <v/>
      </c>
      <c r="D209">
        <f>O208</f>
        <v/>
      </c>
      <c r="E209">
        <f>S208</f>
        <v/>
      </c>
      <c r="F209">
        <f>Assumptions!$B$16*B209</f>
        <v/>
      </c>
      <c r="G209">
        <f>Assumptions!$B$15*C209</f>
        <v/>
      </c>
      <c r="H209">
        <f>IF($B$176*($B$179/(($B$179*(1-$B$176)-$B$180)/((Assumptions!$B$9+Assumptions!$B$11+Assumptions!$B$12+Assumptions!$B$13+Assumptions!$B$14)+G209+F209+D209+E209)))&lt;Assumptions!$B$65,($B$179-$B$180)/(((Assumptions!$B$9+Assumptions!$B$11+Assumptions!$B$12+Assumptions!$B$13+Assumptions!$B$14)+G209+F209+D209+E209)+Assumptions!$B$65),($B$179*(1-$B$176)-$B$180)/((Assumptions!$B$9+Assumptions!$B$11+Assumptions!$B$12+Assumptions!$B$13+Assumptions!$B$14)+G209+F209+D209+E209))</f>
        <v/>
      </c>
      <c r="I209">
        <f>$B$179/H209</f>
        <v/>
      </c>
      <c r="J209">
        <f>$B$180/H209</f>
        <v/>
      </c>
      <c r="K209">
        <f>I209-J209</f>
        <v/>
      </c>
      <c r="L209">
        <f>Assumptions!$B$51/K209</f>
        <v/>
      </c>
      <c r="M209">
        <f>H209*(1-Assumptions!$B$52)</f>
        <v/>
      </c>
      <c r="N209">
        <f>MIN(L209,M209)</f>
        <v/>
      </c>
      <c r="O209">
        <f>Assumptions!$B$50/N209</f>
        <v/>
      </c>
      <c r="P209">
        <f>Assumptions!$B$54/K209</f>
        <v/>
      </c>
      <c r="Q209">
        <f>H209*(1-Assumptions!$B$55)</f>
        <v/>
      </c>
      <c r="R209">
        <f>MIN(P209,Q209)</f>
        <v/>
      </c>
      <c r="S209">
        <f>Assumptions!$B$53/R209</f>
        <v/>
      </c>
      <c r="T209">
        <f>Assumptions!$B$27*(Assumptions!$B$64+$B$180/Assumptions!$B$27)/(Assumptions!$B$64+J209)</f>
        <v/>
      </c>
      <c r="U209">
        <f>IF(H209&lt;Assumptions!$B$27,Assumptions!$B$27/T209,1)</f>
        <v/>
      </c>
      <c r="V209">
        <f>Assumptions!$B$26*(Assumptions!$B$64+$B$180/Assumptions!$B$26)/(Assumptions!$B$64+J209)</f>
        <v/>
      </c>
      <c r="W209">
        <f>IF(H209&lt;Assumptions!$B$26,Assumptions!$B$26/V209,1)</f>
        <v/>
      </c>
    </row>
    <row r="210">
      <c r="A210" t="n">
        <v>27</v>
      </c>
      <c r="B210">
        <f>U209</f>
        <v/>
      </c>
      <c r="C210">
        <f>W209</f>
        <v/>
      </c>
      <c r="D210">
        <f>O209</f>
        <v/>
      </c>
      <c r="E210">
        <f>S209</f>
        <v/>
      </c>
      <c r="F210">
        <f>Assumptions!$B$16*B210</f>
        <v/>
      </c>
      <c r="G210">
        <f>Assumptions!$B$15*C210</f>
        <v/>
      </c>
      <c r="H210">
        <f>IF($B$176*($B$179/(($B$179*(1-$B$176)-$B$180)/((Assumptions!$B$9+Assumptions!$B$11+Assumptions!$B$12+Assumptions!$B$13+Assumptions!$B$14)+G210+F210+D210+E210)))&lt;Assumptions!$B$65,($B$179-$B$180)/(((Assumptions!$B$9+Assumptions!$B$11+Assumptions!$B$12+Assumptions!$B$13+Assumptions!$B$14)+G210+F210+D210+E210)+Assumptions!$B$65),($B$179*(1-$B$176)-$B$180)/((Assumptions!$B$9+Assumptions!$B$11+Assumptions!$B$12+Assumptions!$B$13+Assumptions!$B$14)+G210+F210+D210+E210))</f>
        <v/>
      </c>
      <c r="I210">
        <f>$B$179/H210</f>
        <v/>
      </c>
      <c r="J210">
        <f>$B$180/H210</f>
        <v/>
      </c>
      <c r="K210">
        <f>I210-J210</f>
        <v/>
      </c>
      <c r="L210">
        <f>Assumptions!$B$51/K210</f>
        <v/>
      </c>
      <c r="M210">
        <f>H210*(1-Assumptions!$B$52)</f>
        <v/>
      </c>
      <c r="N210">
        <f>MIN(L210,M210)</f>
        <v/>
      </c>
      <c r="O210">
        <f>Assumptions!$B$50/N210</f>
        <v/>
      </c>
      <c r="P210">
        <f>Assumptions!$B$54/K210</f>
        <v/>
      </c>
      <c r="Q210">
        <f>H210*(1-Assumptions!$B$55)</f>
        <v/>
      </c>
      <c r="R210">
        <f>MIN(P210,Q210)</f>
        <v/>
      </c>
      <c r="S210">
        <f>Assumptions!$B$53/R210</f>
        <v/>
      </c>
      <c r="T210">
        <f>Assumptions!$B$27*(Assumptions!$B$64+$B$180/Assumptions!$B$27)/(Assumptions!$B$64+J210)</f>
        <v/>
      </c>
      <c r="U210">
        <f>IF(H210&lt;Assumptions!$B$27,Assumptions!$B$27/T210,1)</f>
        <v/>
      </c>
      <c r="V210">
        <f>Assumptions!$B$26*(Assumptions!$B$64+$B$180/Assumptions!$B$26)/(Assumptions!$B$64+J210)</f>
        <v/>
      </c>
      <c r="W210">
        <f>IF(H210&lt;Assumptions!$B$26,Assumptions!$B$26/V210,1)</f>
        <v/>
      </c>
    </row>
    <row r="211">
      <c r="A211" t="n">
        <v>28</v>
      </c>
      <c r="B211">
        <f>U210</f>
        <v/>
      </c>
      <c r="C211">
        <f>W210</f>
        <v/>
      </c>
      <c r="D211">
        <f>O210</f>
        <v/>
      </c>
      <c r="E211">
        <f>S210</f>
        <v/>
      </c>
      <c r="F211">
        <f>Assumptions!$B$16*B211</f>
        <v/>
      </c>
      <c r="G211">
        <f>Assumptions!$B$15*C211</f>
        <v/>
      </c>
      <c r="H211">
        <f>IF($B$176*($B$179/(($B$179*(1-$B$176)-$B$180)/((Assumptions!$B$9+Assumptions!$B$11+Assumptions!$B$12+Assumptions!$B$13+Assumptions!$B$14)+G211+F211+D211+E211)))&lt;Assumptions!$B$65,($B$179-$B$180)/(((Assumptions!$B$9+Assumptions!$B$11+Assumptions!$B$12+Assumptions!$B$13+Assumptions!$B$14)+G211+F211+D211+E211)+Assumptions!$B$65),($B$179*(1-$B$176)-$B$180)/((Assumptions!$B$9+Assumptions!$B$11+Assumptions!$B$12+Assumptions!$B$13+Assumptions!$B$14)+G211+F211+D211+E211))</f>
        <v/>
      </c>
      <c r="I211">
        <f>$B$179/H211</f>
        <v/>
      </c>
      <c r="J211">
        <f>$B$180/H211</f>
        <v/>
      </c>
      <c r="K211">
        <f>I211-J211</f>
        <v/>
      </c>
      <c r="L211">
        <f>Assumptions!$B$51/K211</f>
        <v/>
      </c>
      <c r="M211">
        <f>H211*(1-Assumptions!$B$52)</f>
        <v/>
      </c>
      <c r="N211">
        <f>MIN(L211,M211)</f>
        <v/>
      </c>
      <c r="O211">
        <f>Assumptions!$B$50/N211</f>
        <v/>
      </c>
      <c r="P211">
        <f>Assumptions!$B$54/K211</f>
        <v/>
      </c>
      <c r="Q211">
        <f>H211*(1-Assumptions!$B$55)</f>
        <v/>
      </c>
      <c r="R211">
        <f>MIN(P211,Q211)</f>
        <v/>
      </c>
      <c r="S211">
        <f>Assumptions!$B$53/R211</f>
        <v/>
      </c>
      <c r="T211">
        <f>Assumptions!$B$27*(Assumptions!$B$64+$B$180/Assumptions!$B$27)/(Assumptions!$B$64+J211)</f>
        <v/>
      </c>
      <c r="U211">
        <f>IF(H211&lt;Assumptions!$B$27,Assumptions!$B$27/T211,1)</f>
        <v/>
      </c>
      <c r="V211">
        <f>Assumptions!$B$26*(Assumptions!$B$64+$B$180/Assumptions!$B$26)/(Assumptions!$B$64+J211)</f>
        <v/>
      </c>
      <c r="W211">
        <f>IF(H211&lt;Assumptions!$B$26,Assumptions!$B$26/V211,1)</f>
        <v/>
      </c>
    </row>
    <row r="212">
      <c r="A212" t="n">
        <v>29</v>
      </c>
      <c r="B212">
        <f>U211</f>
        <v/>
      </c>
      <c r="C212">
        <f>W211</f>
        <v/>
      </c>
      <c r="D212">
        <f>O211</f>
        <v/>
      </c>
      <c r="E212">
        <f>S211</f>
        <v/>
      </c>
      <c r="F212">
        <f>Assumptions!$B$16*B212</f>
        <v/>
      </c>
      <c r="G212">
        <f>Assumptions!$B$15*C212</f>
        <v/>
      </c>
      <c r="H212">
        <f>IF($B$176*($B$179/(($B$179*(1-$B$176)-$B$180)/((Assumptions!$B$9+Assumptions!$B$11+Assumptions!$B$12+Assumptions!$B$13+Assumptions!$B$14)+G212+F212+D212+E212)))&lt;Assumptions!$B$65,($B$179-$B$180)/(((Assumptions!$B$9+Assumptions!$B$11+Assumptions!$B$12+Assumptions!$B$13+Assumptions!$B$14)+G212+F212+D212+E212)+Assumptions!$B$65),($B$179*(1-$B$176)-$B$180)/((Assumptions!$B$9+Assumptions!$B$11+Assumptions!$B$12+Assumptions!$B$13+Assumptions!$B$14)+G212+F212+D212+E212))</f>
        <v/>
      </c>
      <c r="I212">
        <f>$B$179/H212</f>
        <v/>
      </c>
      <c r="J212">
        <f>$B$180/H212</f>
        <v/>
      </c>
      <c r="K212">
        <f>I212-J212</f>
        <v/>
      </c>
      <c r="L212">
        <f>Assumptions!$B$51/K212</f>
        <v/>
      </c>
      <c r="M212">
        <f>H212*(1-Assumptions!$B$52)</f>
        <v/>
      </c>
      <c r="N212">
        <f>MIN(L212,M212)</f>
        <v/>
      </c>
      <c r="O212">
        <f>Assumptions!$B$50/N212</f>
        <v/>
      </c>
      <c r="P212">
        <f>Assumptions!$B$54/K212</f>
        <v/>
      </c>
      <c r="Q212">
        <f>H212*(1-Assumptions!$B$55)</f>
        <v/>
      </c>
      <c r="R212">
        <f>MIN(P212,Q212)</f>
        <v/>
      </c>
      <c r="S212">
        <f>Assumptions!$B$53/R212</f>
        <v/>
      </c>
      <c r="T212">
        <f>Assumptions!$B$27*(Assumptions!$B$64+$B$180/Assumptions!$B$27)/(Assumptions!$B$64+J212)</f>
        <v/>
      </c>
      <c r="U212">
        <f>IF(H212&lt;Assumptions!$B$27,Assumptions!$B$27/T212,1)</f>
        <v/>
      </c>
      <c r="V212">
        <f>Assumptions!$B$26*(Assumptions!$B$64+$B$180/Assumptions!$B$26)/(Assumptions!$B$64+J212)</f>
        <v/>
      </c>
      <c r="W212">
        <f>IF(H212&lt;Assumptions!$B$26,Assumptions!$B$26/V212,1)</f>
        <v/>
      </c>
    </row>
    <row r="213">
      <c r="A213" t="n">
        <v>30</v>
      </c>
      <c r="B213">
        <f>U212</f>
        <v/>
      </c>
      <c r="C213">
        <f>W212</f>
        <v/>
      </c>
      <c r="D213">
        <f>O212</f>
        <v/>
      </c>
      <c r="E213">
        <f>S212</f>
        <v/>
      </c>
      <c r="F213">
        <f>Assumptions!$B$16*B213</f>
        <v/>
      </c>
      <c r="G213">
        <f>Assumptions!$B$15*C213</f>
        <v/>
      </c>
      <c r="H213">
        <f>IF($B$176*($B$179/(($B$179*(1-$B$176)-$B$180)/((Assumptions!$B$9+Assumptions!$B$11+Assumptions!$B$12+Assumptions!$B$13+Assumptions!$B$14)+G213+F213+D213+E213)))&lt;Assumptions!$B$65,($B$179-$B$180)/(((Assumptions!$B$9+Assumptions!$B$11+Assumptions!$B$12+Assumptions!$B$13+Assumptions!$B$14)+G213+F213+D213+E213)+Assumptions!$B$65),($B$179*(1-$B$176)-$B$180)/((Assumptions!$B$9+Assumptions!$B$11+Assumptions!$B$12+Assumptions!$B$13+Assumptions!$B$14)+G213+F213+D213+E213))</f>
        <v/>
      </c>
      <c r="I213">
        <f>$B$179/H213</f>
        <v/>
      </c>
      <c r="J213">
        <f>$B$180/H213</f>
        <v/>
      </c>
      <c r="K213">
        <f>I213-J213</f>
        <v/>
      </c>
      <c r="L213">
        <f>Assumptions!$B$51/K213</f>
        <v/>
      </c>
      <c r="M213">
        <f>H213*(1-Assumptions!$B$52)</f>
        <v/>
      </c>
      <c r="N213">
        <f>MIN(L213,M213)</f>
        <v/>
      </c>
      <c r="O213">
        <f>Assumptions!$B$50/N213</f>
        <v/>
      </c>
      <c r="P213">
        <f>Assumptions!$B$54/K213</f>
        <v/>
      </c>
      <c r="Q213">
        <f>H213*(1-Assumptions!$B$55)</f>
        <v/>
      </c>
      <c r="R213">
        <f>MIN(P213,Q213)</f>
        <v/>
      </c>
      <c r="S213">
        <f>Assumptions!$B$53/R213</f>
        <v/>
      </c>
      <c r="T213">
        <f>Assumptions!$B$27*(Assumptions!$B$64+$B$180/Assumptions!$B$27)/(Assumptions!$B$64+J213)</f>
        <v/>
      </c>
      <c r="U213">
        <f>IF(H213&lt;Assumptions!$B$27,Assumptions!$B$27/T213,1)</f>
        <v/>
      </c>
      <c r="V213">
        <f>Assumptions!$B$26*(Assumptions!$B$64+$B$180/Assumptions!$B$26)/(Assumptions!$B$64+J213)</f>
        <v/>
      </c>
      <c r="W213">
        <f>IF(H213&lt;Assumptions!$B$26,Assumptions!$B$26/V213,1)</f>
        <v/>
      </c>
    </row>
    <row r="214">
      <c r="A214" t="n">
        <v>31</v>
      </c>
      <c r="B214">
        <f>U213</f>
        <v/>
      </c>
      <c r="C214">
        <f>W213</f>
        <v/>
      </c>
      <c r="D214">
        <f>O213</f>
        <v/>
      </c>
      <c r="E214">
        <f>S213</f>
        <v/>
      </c>
      <c r="F214">
        <f>Assumptions!$B$16*B214</f>
        <v/>
      </c>
      <c r="G214">
        <f>Assumptions!$B$15*C214</f>
        <v/>
      </c>
      <c r="H214">
        <f>IF($B$176*($B$179/(($B$179*(1-$B$176)-$B$180)/((Assumptions!$B$9+Assumptions!$B$11+Assumptions!$B$12+Assumptions!$B$13+Assumptions!$B$14)+G214+F214+D214+E214)))&lt;Assumptions!$B$65,($B$179-$B$180)/(((Assumptions!$B$9+Assumptions!$B$11+Assumptions!$B$12+Assumptions!$B$13+Assumptions!$B$14)+G214+F214+D214+E214)+Assumptions!$B$65),($B$179*(1-$B$176)-$B$180)/((Assumptions!$B$9+Assumptions!$B$11+Assumptions!$B$12+Assumptions!$B$13+Assumptions!$B$14)+G214+F214+D214+E214))</f>
        <v/>
      </c>
      <c r="I214">
        <f>$B$179/H214</f>
        <v/>
      </c>
      <c r="J214">
        <f>$B$180/H214</f>
        <v/>
      </c>
      <c r="K214">
        <f>I214-J214</f>
        <v/>
      </c>
      <c r="L214">
        <f>Assumptions!$B$51/K214</f>
        <v/>
      </c>
      <c r="M214">
        <f>H214*(1-Assumptions!$B$52)</f>
        <v/>
      </c>
      <c r="N214">
        <f>MIN(L214,M214)</f>
        <v/>
      </c>
      <c r="O214">
        <f>Assumptions!$B$50/N214</f>
        <v/>
      </c>
      <c r="P214">
        <f>Assumptions!$B$54/K214</f>
        <v/>
      </c>
      <c r="Q214">
        <f>H214*(1-Assumptions!$B$55)</f>
        <v/>
      </c>
      <c r="R214">
        <f>MIN(P214,Q214)</f>
        <v/>
      </c>
      <c r="S214">
        <f>Assumptions!$B$53/R214</f>
        <v/>
      </c>
      <c r="T214">
        <f>Assumptions!$B$27*(Assumptions!$B$64+$B$180/Assumptions!$B$27)/(Assumptions!$B$64+J214)</f>
        <v/>
      </c>
      <c r="U214">
        <f>IF(H214&lt;Assumptions!$B$27,Assumptions!$B$27/T214,1)</f>
        <v/>
      </c>
      <c r="V214">
        <f>Assumptions!$B$26*(Assumptions!$B$64+$B$180/Assumptions!$B$26)/(Assumptions!$B$64+J214)</f>
        <v/>
      </c>
      <c r="W214">
        <f>IF(H214&lt;Assumptions!$B$26,Assumptions!$B$26/V214,1)</f>
        <v/>
      </c>
    </row>
    <row r="215">
      <c r="A215" t="n">
        <v>32</v>
      </c>
      <c r="B215">
        <f>U214</f>
        <v/>
      </c>
      <c r="C215">
        <f>W214</f>
        <v/>
      </c>
      <c r="D215">
        <f>O214</f>
        <v/>
      </c>
      <c r="E215">
        <f>S214</f>
        <v/>
      </c>
      <c r="F215">
        <f>Assumptions!$B$16*B215</f>
        <v/>
      </c>
      <c r="G215">
        <f>Assumptions!$B$15*C215</f>
        <v/>
      </c>
      <c r="H215">
        <f>IF($B$176*($B$179/(($B$179*(1-$B$176)-$B$180)/((Assumptions!$B$9+Assumptions!$B$11+Assumptions!$B$12+Assumptions!$B$13+Assumptions!$B$14)+G215+F215+D215+E215)))&lt;Assumptions!$B$65,($B$179-$B$180)/(((Assumptions!$B$9+Assumptions!$B$11+Assumptions!$B$12+Assumptions!$B$13+Assumptions!$B$14)+G215+F215+D215+E215)+Assumptions!$B$65),($B$179*(1-$B$176)-$B$180)/((Assumptions!$B$9+Assumptions!$B$11+Assumptions!$B$12+Assumptions!$B$13+Assumptions!$B$14)+G215+F215+D215+E215))</f>
        <v/>
      </c>
      <c r="I215">
        <f>$B$179/H215</f>
        <v/>
      </c>
      <c r="J215">
        <f>$B$180/H215</f>
        <v/>
      </c>
      <c r="K215">
        <f>I215-J215</f>
        <v/>
      </c>
      <c r="L215">
        <f>Assumptions!$B$51/K215</f>
        <v/>
      </c>
      <c r="M215">
        <f>H215*(1-Assumptions!$B$52)</f>
        <v/>
      </c>
      <c r="N215">
        <f>MIN(L215,M215)</f>
        <v/>
      </c>
      <c r="O215">
        <f>Assumptions!$B$50/N215</f>
        <v/>
      </c>
      <c r="P215">
        <f>Assumptions!$B$54/K215</f>
        <v/>
      </c>
      <c r="Q215">
        <f>H215*(1-Assumptions!$B$55)</f>
        <v/>
      </c>
      <c r="R215">
        <f>MIN(P215,Q215)</f>
        <v/>
      </c>
      <c r="S215">
        <f>Assumptions!$B$53/R215</f>
        <v/>
      </c>
      <c r="T215">
        <f>Assumptions!$B$27*(Assumptions!$B$64+$B$180/Assumptions!$B$27)/(Assumptions!$B$64+J215)</f>
        <v/>
      </c>
      <c r="U215">
        <f>IF(H215&lt;Assumptions!$B$27,Assumptions!$B$27/T215,1)</f>
        <v/>
      </c>
      <c r="V215">
        <f>Assumptions!$B$26*(Assumptions!$B$64+$B$180/Assumptions!$B$26)/(Assumptions!$B$64+J215)</f>
        <v/>
      </c>
      <c r="W215">
        <f>IF(H215&lt;Assumptions!$B$26,Assumptions!$B$26/V215,1)</f>
        <v/>
      </c>
    </row>
    <row r="216">
      <c r="A216" t="n">
        <v>33</v>
      </c>
      <c r="B216">
        <f>U215</f>
        <v/>
      </c>
      <c r="C216">
        <f>W215</f>
        <v/>
      </c>
      <c r="D216">
        <f>O215</f>
        <v/>
      </c>
      <c r="E216">
        <f>S215</f>
        <v/>
      </c>
      <c r="F216">
        <f>Assumptions!$B$16*B216</f>
        <v/>
      </c>
      <c r="G216">
        <f>Assumptions!$B$15*C216</f>
        <v/>
      </c>
      <c r="H216">
        <f>IF($B$176*($B$179/(($B$179*(1-$B$176)-$B$180)/((Assumptions!$B$9+Assumptions!$B$11+Assumptions!$B$12+Assumptions!$B$13+Assumptions!$B$14)+G216+F216+D216+E216)))&lt;Assumptions!$B$65,($B$179-$B$180)/(((Assumptions!$B$9+Assumptions!$B$11+Assumptions!$B$12+Assumptions!$B$13+Assumptions!$B$14)+G216+F216+D216+E216)+Assumptions!$B$65),($B$179*(1-$B$176)-$B$180)/((Assumptions!$B$9+Assumptions!$B$11+Assumptions!$B$12+Assumptions!$B$13+Assumptions!$B$14)+G216+F216+D216+E216))</f>
        <v/>
      </c>
      <c r="I216">
        <f>$B$179/H216</f>
        <v/>
      </c>
      <c r="J216">
        <f>$B$180/H216</f>
        <v/>
      </c>
      <c r="K216">
        <f>I216-J216</f>
        <v/>
      </c>
      <c r="L216">
        <f>Assumptions!$B$51/K216</f>
        <v/>
      </c>
      <c r="M216">
        <f>H216*(1-Assumptions!$B$52)</f>
        <v/>
      </c>
      <c r="N216">
        <f>MIN(L216,M216)</f>
        <v/>
      </c>
      <c r="O216">
        <f>Assumptions!$B$50/N216</f>
        <v/>
      </c>
      <c r="P216">
        <f>Assumptions!$B$54/K216</f>
        <v/>
      </c>
      <c r="Q216">
        <f>H216*(1-Assumptions!$B$55)</f>
        <v/>
      </c>
      <c r="R216">
        <f>MIN(P216,Q216)</f>
        <v/>
      </c>
      <c r="S216">
        <f>Assumptions!$B$53/R216</f>
        <v/>
      </c>
      <c r="T216">
        <f>Assumptions!$B$27*(Assumptions!$B$64+$B$180/Assumptions!$B$27)/(Assumptions!$B$64+J216)</f>
        <v/>
      </c>
      <c r="U216">
        <f>IF(H216&lt;Assumptions!$B$27,Assumptions!$B$27/T216,1)</f>
        <v/>
      </c>
      <c r="V216">
        <f>Assumptions!$B$26*(Assumptions!$B$64+$B$180/Assumptions!$B$26)/(Assumptions!$B$64+J216)</f>
        <v/>
      </c>
      <c r="W216">
        <f>IF(H216&lt;Assumptions!$B$26,Assumptions!$B$26/V216,1)</f>
        <v/>
      </c>
    </row>
    <row r="217">
      <c r="A217" t="n">
        <v>34</v>
      </c>
      <c r="B217">
        <f>U216</f>
        <v/>
      </c>
      <c r="C217">
        <f>W216</f>
        <v/>
      </c>
      <c r="D217">
        <f>O216</f>
        <v/>
      </c>
      <c r="E217">
        <f>S216</f>
        <v/>
      </c>
      <c r="F217">
        <f>Assumptions!$B$16*B217</f>
        <v/>
      </c>
      <c r="G217">
        <f>Assumptions!$B$15*C217</f>
        <v/>
      </c>
      <c r="H217">
        <f>IF($B$176*($B$179/(($B$179*(1-$B$176)-$B$180)/((Assumptions!$B$9+Assumptions!$B$11+Assumptions!$B$12+Assumptions!$B$13+Assumptions!$B$14)+G217+F217+D217+E217)))&lt;Assumptions!$B$65,($B$179-$B$180)/(((Assumptions!$B$9+Assumptions!$B$11+Assumptions!$B$12+Assumptions!$B$13+Assumptions!$B$14)+G217+F217+D217+E217)+Assumptions!$B$65),($B$179*(1-$B$176)-$B$180)/((Assumptions!$B$9+Assumptions!$B$11+Assumptions!$B$12+Assumptions!$B$13+Assumptions!$B$14)+G217+F217+D217+E217))</f>
        <v/>
      </c>
      <c r="I217">
        <f>$B$179/H217</f>
        <v/>
      </c>
      <c r="J217">
        <f>$B$180/H217</f>
        <v/>
      </c>
      <c r="K217">
        <f>I217-J217</f>
        <v/>
      </c>
      <c r="L217">
        <f>Assumptions!$B$51/K217</f>
        <v/>
      </c>
      <c r="M217">
        <f>H217*(1-Assumptions!$B$52)</f>
        <v/>
      </c>
      <c r="N217">
        <f>MIN(L217,M217)</f>
        <v/>
      </c>
      <c r="O217">
        <f>Assumptions!$B$50/N217</f>
        <v/>
      </c>
      <c r="P217">
        <f>Assumptions!$B$54/K217</f>
        <v/>
      </c>
      <c r="Q217">
        <f>H217*(1-Assumptions!$B$55)</f>
        <v/>
      </c>
      <c r="R217">
        <f>MIN(P217,Q217)</f>
        <v/>
      </c>
      <c r="S217">
        <f>Assumptions!$B$53/R217</f>
        <v/>
      </c>
      <c r="T217">
        <f>Assumptions!$B$27*(Assumptions!$B$64+$B$180/Assumptions!$B$27)/(Assumptions!$B$64+J217)</f>
        <v/>
      </c>
      <c r="U217">
        <f>IF(H217&lt;Assumptions!$B$27,Assumptions!$B$27/T217,1)</f>
        <v/>
      </c>
      <c r="V217">
        <f>Assumptions!$B$26*(Assumptions!$B$64+$B$180/Assumptions!$B$26)/(Assumptions!$B$64+J217)</f>
        <v/>
      </c>
      <c r="W217">
        <f>IF(H217&lt;Assumptions!$B$26,Assumptions!$B$26/V217,1)</f>
        <v/>
      </c>
    </row>
    <row r="218">
      <c r="A218" t="n">
        <v>35</v>
      </c>
      <c r="B218">
        <f>U217</f>
        <v/>
      </c>
      <c r="C218">
        <f>W217</f>
        <v/>
      </c>
      <c r="D218">
        <f>O217</f>
        <v/>
      </c>
      <c r="E218">
        <f>S217</f>
        <v/>
      </c>
      <c r="F218">
        <f>Assumptions!$B$16*B218</f>
        <v/>
      </c>
      <c r="G218">
        <f>Assumptions!$B$15*C218</f>
        <v/>
      </c>
      <c r="H218">
        <f>IF($B$176*($B$179/(($B$179*(1-$B$176)-$B$180)/((Assumptions!$B$9+Assumptions!$B$11+Assumptions!$B$12+Assumptions!$B$13+Assumptions!$B$14)+G218+F218+D218+E218)))&lt;Assumptions!$B$65,($B$179-$B$180)/(((Assumptions!$B$9+Assumptions!$B$11+Assumptions!$B$12+Assumptions!$B$13+Assumptions!$B$14)+G218+F218+D218+E218)+Assumptions!$B$65),($B$179*(1-$B$176)-$B$180)/((Assumptions!$B$9+Assumptions!$B$11+Assumptions!$B$12+Assumptions!$B$13+Assumptions!$B$14)+G218+F218+D218+E218))</f>
        <v/>
      </c>
      <c r="I218">
        <f>$B$179/H218</f>
        <v/>
      </c>
      <c r="J218">
        <f>$B$180/H218</f>
        <v/>
      </c>
      <c r="K218">
        <f>I218-J218</f>
        <v/>
      </c>
      <c r="L218">
        <f>Assumptions!$B$51/K218</f>
        <v/>
      </c>
      <c r="M218">
        <f>H218*(1-Assumptions!$B$52)</f>
        <v/>
      </c>
      <c r="N218">
        <f>MIN(L218,M218)</f>
        <v/>
      </c>
      <c r="O218">
        <f>Assumptions!$B$50/N218</f>
        <v/>
      </c>
      <c r="P218">
        <f>Assumptions!$B$54/K218</f>
        <v/>
      </c>
      <c r="Q218">
        <f>H218*(1-Assumptions!$B$55)</f>
        <v/>
      </c>
      <c r="R218">
        <f>MIN(P218,Q218)</f>
        <v/>
      </c>
      <c r="S218">
        <f>Assumptions!$B$53/R218</f>
        <v/>
      </c>
      <c r="T218">
        <f>Assumptions!$B$27*(Assumptions!$B$64+$B$180/Assumptions!$B$27)/(Assumptions!$B$64+J218)</f>
        <v/>
      </c>
      <c r="U218">
        <f>IF(H218&lt;Assumptions!$B$27,Assumptions!$B$27/T218,1)</f>
        <v/>
      </c>
      <c r="V218">
        <f>Assumptions!$B$26*(Assumptions!$B$64+$B$180/Assumptions!$B$26)/(Assumptions!$B$64+J218)</f>
        <v/>
      </c>
      <c r="W218">
        <f>IF(H218&lt;Assumptions!$B$26,Assumptions!$B$26/V218,1)</f>
        <v/>
      </c>
    </row>
    <row r="219">
      <c r="A219" t="n">
        <v>36</v>
      </c>
      <c r="B219">
        <f>U218</f>
        <v/>
      </c>
      <c r="C219">
        <f>W218</f>
        <v/>
      </c>
      <c r="D219">
        <f>O218</f>
        <v/>
      </c>
      <c r="E219">
        <f>S218</f>
        <v/>
      </c>
      <c r="F219">
        <f>Assumptions!$B$16*B219</f>
        <v/>
      </c>
      <c r="G219">
        <f>Assumptions!$B$15*C219</f>
        <v/>
      </c>
      <c r="H219">
        <f>IF($B$176*($B$179/(($B$179*(1-$B$176)-$B$180)/((Assumptions!$B$9+Assumptions!$B$11+Assumptions!$B$12+Assumptions!$B$13+Assumptions!$B$14)+G219+F219+D219+E219)))&lt;Assumptions!$B$65,($B$179-$B$180)/(((Assumptions!$B$9+Assumptions!$B$11+Assumptions!$B$12+Assumptions!$B$13+Assumptions!$B$14)+G219+F219+D219+E219)+Assumptions!$B$65),($B$179*(1-$B$176)-$B$180)/((Assumptions!$B$9+Assumptions!$B$11+Assumptions!$B$12+Assumptions!$B$13+Assumptions!$B$14)+G219+F219+D219+E219))</f>
        <v/>
      </c>
      <c r="I219">
        <f>$B$179/H219</f>
        <v/>
      </c>
      <c r="J219">
        <f>$B$180/H219</f>
        <v/>
      </c>
      <c r="K219">
        <f>I219-J219</f>
        <v/>
      </c>
      <c r="L219">
        <f>Assumptions!$B$51/K219</f>
        <v/>
      </c>
      <c r="M219">
        <f>H219*(1-Assumptions!$B$52)</f>
        <v/>
      </c>
      <c r="N219">
        <f>MIN(L219,M219)</f>
        <v/>
      </c>
      <c r="O219">
        <f>Assumptions!$B$50/N219</f>
        <v/>
      </c>
      <c r="P219">
        <f>Assumptions!$B$54/K219</f>
        <v/>
      </c>
      <c r="Q219">
        <f>H219*(1-Assumptions!$B$55)</f>
        <v/>
      </c>
      <c r="R219">
        <f>MIN(P219,Q219)</f>
        <v/>
      </c>
      <c r="S219">
        <f>Assumptions!$B$53/R219</f>
        <v/>
      </c>
      <c r="T219">
        <f>Assumptions!$B$27*(Assumptions!$B$64+$B$180/Assumptions!$B$27)/(Assumptions!$B$64+J219)</f>
        <v/>
      </c>
      <c r="U219">
        <f>IF(H219&lt;Assumptions!$B$27,Assumptions!$B$27/T219,1)</f>
        <v/>
      </c>
      <c r="V219">
        <f>Assumptions!$B$26*(Assumptions!$B$64+$B$180/Assumptions!$B$26)/(Assumptions!$B$64+J219)</f>
        <v/>
      </c>
      <c r="W219">
        <f>IF(H219&lt;Assumptions!$B$26,Assumptions!$B$26/V219,1)</f>
        <v/>
      </c>
    </row>
    <row r="220">
      <c r="A220" t="n">
        <v>37</v>
      </c>
      <c r="B220">
        <f>U219</f>
        <v/>
      </c>
      <c r="C220">
        <f>W219</f>
        <v/>
      </c>
      <c r="D220">
        <f>O219</f>
        <v/>
      </c>
      <c r="E220">
        <f>S219</f>
        <v/>
      </c>
      <c r="F220">
        <f>Assumptions!$B$16*B220</f>
        <v/>
      </c>
      <c r="G220">
        <f>Assumptions!$B$15*C220</f>
        <v/>
      </c>
      <c r="H220">
        <f>IF($B$176*($B$179/(($B$179*(1-$B$176)-$B$180)/((Assumptions!$B$9+Assumptions!$B$11+Assumptions!$B$12+Assumptions!$B$13+Assumptions!$B$14)+G220+F220+D220+E220)))&lt;Assumptions!$B$65,($B$179-$B$180)/(((Assumptions!$B$9+Assumptions!$B$11+Assumptions!$B$12+Assumptions!$B$13+Assumptions!$B$14)+G220+F220+D220+E220)+Assumptions!$B$65),($B$179*(1-$B$176)-$B$180)/((Assumptions!$B$9+Assumptions!$B$11+Assumptions!$B$12+Assumptions!$B$13+Assumptions!$B$14)+G220+F220+D220+E220))</f>
        <v/>
      </c>
      <c r="I220">
        <f>$B$179/H220</f>
        <v/>
      </c>
      <c r="J220">
        <f>$B$180/H220</f>
        <v/>
      </c>
      <c r="K220">
        <f>I220-J220</f>
        <v/>
      </c>
      <c r="L220">
        <f>Assumptions!$B$51/K220</f>
        <v/>
      </c>
      <c r="M220">
        <f>H220*(1-Assumptions!$B$52)</f>
        <v/>
      </c>
      <c r="N220">
        <f>MIN(L220,M220)</f>
        <v/>
      </c>
      <c r="O220">
        <f>Assumptions!$B$50/N220</f>
        <v/>
      </c>
      <c r="P220">
        <f>Assumptions!$B$54/K220</f>
        <v/>
      </c>
      <c r="Q220">
        <f>H220*(1-Assumptions!$B$55)</f>
        <v/>
      </c>
      <c r="R220">
        <f>MIN(P220,Q220)</f>
        <v/>
      </c>
      <c r="S220">
        <f>Assumptions!$B$53/R220</f>
        <v/>
      </c>
      <c r="T220">
        <f>Assumptions!$B$27*(Assumptions!$B$64+$B$180/Assumptions!$B$27)/(Assumptions!$B$64+J220)</f>
        <v/>
      </c>
      <c r="U220">
        <f>IF(H220&lt;Assumptions!$B$27,Assumptions!$B$27/T220,1)</f>
        <v/>
      </c>
      <c r="V220">
        <f>Assumptions!$B$26*(Assumptions!$B$64+$B$180/Assumptions!$B$26)/(Assumptions!$B$64+J220)</f>
        <v/>
      </c>
      <c r="W220">
        <f>IF(H220&lt;Assumptions!$B$26,Assumptions!$B$26/V220,1)</f>
        <v/>
      </c>
    </row>
    <row r="221">
      <c r="A221" t="n">
        <v>38</v>
      </c>
      <c r="B221">
        <f>U220</f>
        <v/>
      </c>
      <c r="C221">
        <f>W220</f>
        <v/>
      </c>
      <c r="D221">
        <f>O220</f>
        <v/>
      </c>
      <c r="E221">
        <f>S220</f>
        <v/>
      </c>
      <c r="F221">
        <f>Assumptions!$B$16*B221</f>
        <v/>
      </c>
      <c r="G221">
        <f>Assumptions!$B$15*C221</f>
        <v/>
      </c>
      <c r="H221">
        <f>IF($B$176*($B$179/(($B$179*(1-$B$176)-$B$180)/((Assumptions!$B$9+Assumptions!$B$11+Assumptions!$B$12+Assumptions!$B$13+Assumptions!$B$14)+G221+F221+D221+E221)))&lt;Assumptions!$B$65,($B$179-$B$180)/(((Assumptions!$B$9+Assumptions!$B$11+Assumptions!$B$12+Assumptions!$B$13+Assumptions!$B$14)+G221+F221+D221+E221)+Assumptions!$B$65),($B$179*(1-$B$176)-$B$180)/((Assumptions!$B$9+Assumptions!$B$11+Assumptions!$B$12+Assumptions!$B$13+Assumptions!$B$14)+G221+F221+D221+E221))</f>
        <v/>
      </c>
      <c r="I221">
        <f>$B$179/H221</f>
        <v/>
      </c>
      <c r="J221">
        <f>$B$180/H221</f>
        <v/>
      </c>
      <c r="K221">
        <f>I221-J221</f>
        <v/>
      </c>
      <c r="L221">
        <f>Assumptions!$B$51/K221</f>
        <v/>
      </c>
      <c r="M221">
        <f>H221*(1-Assumptions!$B$52)</f>
        <v/>
      </c>
      <c r="N221">
        <f>MIN(L221,M221)</f>
        <v/>
      </c>
      <c r="O221">
        <f>Assumptions!$B$50/N221</f>
        <v/>
      </c>
      <c r="P221">
        <f>Assumptions!$B$54/K221</f>
        <v/>
      </c>
      <c r="Q221">
        <f>H221*(1-Assumptions!$B$55)</f>
        <v/>
      </c>
      <c r="R221">
        <f>MIN(P221,Q221)</f>
        <v/>
      </c>
      <c r="S221">
        <f>Assumptions!$B$53/R221</f>
        <v/>
      </c>
      <c r="T221">
        <f>Assumptions!$B$27*(Assumptions!$B$64+$B$180/Assumptions!$B$27)/(Assumptions!$B$64+J221)</f>
        <v/>
      </c>
      <c r="U221">
        <f>IF(H221&lt;Assumptions!$B$27,Assumptions!$B$27/T221,1)</f>
        <v/>
      </c>
      <c r="V221">
        <f>Assumptions!$B$26*(Assumptions!$B$64+$B$180/Assumptions!$B$26)/(Assumptions!$B$64+J221)</f>
        <v/>
      </c>
      <c r="W221">
        <f>IF(H221&lt;Assumptions!$B$26,Assumptions!$B$26/V221,1)</f>
        <v/>
      </c>
    </row>
    <row r="222">
      <c r="A222" t="n">
        <v>39</v>
      </c>
      <c r="B222">
        <f>U221</f>
        <v/>
      </c>
      <c r="C222">
        <f>W221</f>
        <v/>
      </c>
      <c r="D222">
        <f>O221</f>
        <v/>
      </c>
      <c r="E222">
        <f>S221</f>
        <v/>
      </c>
      <c r="F222">
        <f>Assumptions!$B$16*B222</f>
        <v/>
      </c>
      <c r="G222">
        <f>Assumptions!$B$15*C222</f>
        <v/>
      </c>
      <c r="H222">
        <f>IF($B$176*($B$179/(($B$179*(1-$B$176)-$B$180)/((Assumptions!$B$9+Assumptions!$B$11+Assumptions!$B$12+Assumptions!$B$13+Assumptions!$B$14)+G222+F222+D222+E222)))&lt;Assumptions!$B$65,($B$179-$B$180)/(((Assumptions!$B$9+Assumptions!$B$11+Assumptions!$B$12+Assumptions!$B$13+Assumptions!$B$14)+G222+F222+D222+E222)+Assumptions!$B$65),($B$179*(1-$B$176)-$B$180)/((Assumptions!$B$9+Assumptions!$B$11+Assumptions!$B$12+Assumptions!$B$13+Assumptions!$B$14)+G222+F222+D222+E222))</f>
        <v/>
      </c>
      <c r="I222">
        <f>$B$179/H222</f>
        <v/>
      </c>
      <c r="J222">
        <f>$B$180/H222</f>
        <v/>
      </c>
      <c r="K222">
        <f>I222-J222</f>
        <v/>
      </c>
      <c r="L222">
        <f>Assumptions!$B$51/K222</f>
        <v/>
      </c>
      <c r="M222">
        <f>H222*(1-Assumptions!$B$52)</f>
        <v/>
      </c>
      <c r="N222">
        <f>MIN(L222,M222)</f>
        <v/>
      </c>
      <c r="O222">
        <f>Assumptions!$B$50/N222</f>
        <v/>
      </c>
      <c r="P222">
        <f>Assumptions!$B$54/K222</f>
        <v/>
      </c>
      <c r="Q222">
        <f>H222*(1-Assumptions!$B$55)</f>
        <v/>
      </c>
      <c r="R222">
        <f>MIN(P222,Q222)</f>
        <v/>
      </c>
      <c r="S222">
        <f>Assumptions!$B$53/R222</f>
        <v/>
      </c>
      <c r="T222">
        <f>Assumptions!$B$27*(Assumptions!$B$64+$B$180/Assumptions!$B$27)/(Assumptions!$B$64+J222)</f>
        <v/>
      </c>
      <c r="U222">
        <f>IF(H222&lt;Assumptions!$B$27,Assumptions!$B$27/T222,1)</f>
        <v/>
      </c>
      <c r="V222">
        <f>Assumptions!$B$26*(Assumptions!$B$64+$B$180/Assumptions!$B$26)/(Assumptions!$B$64+J222)</f>
        <v/>
      </c>
      <c r="W222">
        <f>IF(H222&lt;Assumptions!$B$26,Assumptions!$B$26/V222,1)</f>
        <v/>
      </c>
    </row>
    <row r="223">
      <c r="A223" t="n">
        <v>40</v>
      </c>
      <c r="B223">
        <f>U222</f>
        <v/>
      </c>
      <c r="C223">
        <f>W222</f>
        <v/>
      </c>
      <c r="D223">
        <f>O222</f>
        <v/>
      </c>
      <c r="E223">
        <f>S222</f>
        <v/>
      </c>
      <c r="F223">
        <f>Assumptions!$B$16*B223</f>
        <v/>
      </c>
      <c r="G223">
        <f>Assumptions!$B$15*C223</f>
        <v/>
      </c>
      <c r="H223">
        <f>IF($B$176*($B$179/(($B$179*(1-$B$176)-$B$180)/((Assumptions!$B$9+Assumptions!$B$11+Assumptions!$B$12+Assumptions!$B$13+Assumptions!$B$14)+G223+F223+D223+E223)))&lt;Assumptions!$B$65,($B$179-$B$180)/(((Assumptions!$B$9+Assumptions!$B$11+Assumptions!$B$12+Assumptions!$B$13+Assumptions!$B$14)+G223+F223+D223+E223)+Assumptions!$B$65),($B$179*(1-$B$176)-$B$180)/((Assumptions!$B$9+Assumptions!$B$11+Assumptions!$B$12+Assumptions!$B$13+Assumptions!$B$14)+G223+F223+D223+E223))</f>
        <v/>
      </c>
      <c r="I223">
        <f>$B$179/H223</f>
        <v/>
      </c>
      <c r="J223">
        <f>$B$180/H223</f>
        <v/>
      </c>
      <c r="K223">
        <f>I223-J223</f>
        <v/>
      </c>
      <c r="L223">
        <f>Assumptions!$B$51/K223</f>
        <v/>
      </c>
      <c r="M223">
        <f>H223*(1-Assumptions!$B$52)</f>
        <v/>
      </c>
      <c r="N223">
        <f>MIN(L223,M223)</f>
        <v/>
      </c>
      <c r="O223">
        <f>Assumptions!$B$50/N223</f>
        <v/>
      </c>
      <c r="P223">
        <f>Assumptions!$B$54/K223</f>
        <v/>
      </c>
      <c r="Q223">
        <f>H223*(1-Assumptions!$B$55)</f>
        <v/>
      </c>
      <c r="R223">
        <f>MIN(P223,Q223)</f>
        <v/>
      </c>
      <c r="S223">
        <f>Assumptions!$B$53/R223</f>
        <v/>
      </c>
      <c r="T223">
        <f>Assumptions!$B$27*(Assumptions!$B$64+$B$180/Assumptions!$B$27)/(Assumptions!$B$64+J223)</f>
        <v/>
      </c>
      <c r="U223">
        <f>IF(H223&lt;Assumptions!$B$27,Assumptions!$B$27/T223,1)</f>
        <v/>
      </c>
      <c r="V223">
        <f>Assumptions!$B$26*(Assumptions!$B$64+$B$180/Assumptions!$B$26)/(Assumptions!$B$64+J223)</f>
        <v/>
      </c>
      <c r="W223">
        <f>IF(H223&lt;Assumptions!$B$26,Assumptions!$B$26/V223,1)</f>
        <v/>
      </c>
    </row>
    <row r="224">
      <c r="A224" t="n">
        <v>41</v>
      </c>
      <c r="B224">
        <f>U223</f>
        <v/>
      </c>
      <c r="C224">
        <f>W223</f>
        <v/>
      </c>
      <c r="D224">
        <f>O223</f>
        <v/>
      </c>
      <c r="E224">
        <f>S223</f>
        <v/>
      </c>
      <c r="F224">
        <f>Assumptions!$B$16*B224</f>
        <v/>
      </c>
      <c r="G224">
        <f>Assumptions!$B$15*C224</f>
        <v/>
      </c>
      <c r="H224">
        <f>IF($B$176*($B$179/(($B$179*(1-$B$176)-$B$180)/((Assumptions!$B$9+Assumptions!$B$11+Assumptions!$B$12+Assumptions!$B$13+Assumptions!$B$14)+G224+F224+D224+E224)))&lt;Assumptions!$B$65,($B$179-$B$180)/(((Assumptions!$B$9+Assumptions!$B$11+Assumptions!$B$12+Assumptions!$B$13+Assumptions!$B$14)+G224+F224+D224+E224)+Assumptions!$B$65),($B$179*(1-$B$176)-$B$180)/((Assumptions!$B$9+Assumptions!$B$11+Assumptions!$B$12+Assumptions!$B$13+Assumptions!$B$14)+G224+F224+D224+E224))</f>
        <v/>
      </c>
      <c r="I224">
        <f>$B$179/H224</f>
        <v/>
      </c>
      <c r="J224">
        <f>$B$180/H224</f>
        <v/>
      </c>
      <c r="K224">
        <f>I224-J224</f>
        <v/>
      </c>
      <c r="L224">
        <f>Assumptions!$B$51/K224</f>
        <v/>
      </c>
      <c r="M224">
        <f>H224*(1-Assumptions!$B$52)</f>
        <v/>
      </c>
      <c r="N224">
        <f>MIN(L224,M224)</f>
        <v/>
      </c>
      <c r="O224">
        <f>Assumptions!$B$50/N224</f>
        <v/>
      </c>
      <c r="P224">
        <f>Assumptions!$B$54/K224</f>
        <v/>
      </c>
      <c r="Q224">
        <f>H224*(1-Assumptions!$B$55)</f>
        <v/>
      </c>
      <c r="R224">
        <f>MIN(P224,Q224)</f>
        <v/>
      </c>
      <c r="S224">
        <f>Assumptions!$B$53/R224</f>
        <v/>
      </c>
      <c r="T224">
        <f>Assumptions!$B$27*(Assumptions!$B$64+$B$180/Assumptions!$B$27)/(Assumptions!$B$64+J224)</f>
        <v/>
      </c>
      <c r="U224">
        <f>IF(H224&lt;Assumptions!$B$27,Assumptions!$B$27/T224,1)</f>
        <v/>
      </c>
      <c r="V224">
        <f>Assumptions!$B$26*(Assumptions!$B$64+$B$180/Assumptions!$B$26)/(Assumptions!$B$64+J224)</f>
        <v/>
      </c>
      <c r="W224">
        <f>IF(H224&lt;Assumptions!$B$26,Assumptions!$B$26/V224,1)</f>
        <v/>
      </c>
    </row>
    <row r="225">
      <c r="A225" t="n">
        <v>42</v>
      </c>
      <c r="B225">
        <f>U224</f>
        <v/>
      </c>
      <c r="C225">
        <f>W224</f>
        <v/>
      </c>
      <c r="D225">
        <f>O224</f>
        <v/>
      </c>
      <c r="E225">
        <f>S224</f>
        <v/>
      </c>
      <c r="F225">
        <f>Assumptions!$B$16*B225</f>
        <v/>
      </c>
      <c r="G225">
        <f>Assumptions!$B$15*C225</f>
        <v/>
      </c>
      <c r="H225">
        <f>IF($B$176*($B$179/(($B$179*(1-$B$176)-$B$180)/((Assumptions!$B$9+Assumptions!$B$11+Assumptions!$B$12+Assumptions!$B$13+Assumptions!$B$14)+G225+F225+D225+E225)))&lt;Assumptions!$B$65,($B$179-$B$180)/(((Assumptions!$B$9+Assumptions!$B$11+Assumptions!$B$12+Assumptions!$B$13+Assumptions!$B$14)+G225+F225+D225+E225)+Assumptions!$B$65),($B$179*(1-$B$176)-$B$180)/((Assumptions!$B$9+Assumptions!$B$11+Assumptions!$B$12+Assumptions!$B$13+Assumptions!$B$14)+G225+F225+D225+E225))</f>
        <v/>
      </c>
      <c r="I225">
        <f>$B$179/H225</f>
        <v/>
      </c>
      <c r="J225">
        <f>$B$180/H225</f>
        <v/>
      </c>
      <c r="K225">
        <f>I225-J225</f>
        <v/>
      </c>
      <c r="L225">
        <f>Assumptions!$B$51/K225</f>
        <v/>
      </c>
      <c r="M225">
        <f>H225*(1-Assumptions!$B$52)</f>
        <v/>
      </c>
      <c r="N225">
        <f>MIN(L225,M225)</f>
        <v/>
      </c>
      <c r="O225">
        <f>Assumptions!$B$50/N225</f>
        <v/>
      </c>
      <c r="P225">
        <f>Assumptions!$B$54/K225</f>
        <v/>
      </c>
      <c r="Q225">
        <f>H225*(1-Assumptions!$B$55)</f>
        <v/>
      </c>
      <c r="R225">
        <f>MIN(P225,Q225)</f>
        <v/>
      </c>
      <c r="S225">
        <f>Assumptions!$B$53/R225</f>
        <v/>
      </c>
      <c r="T225">
        <f>Assumptions!$B$27*(Assumptions!$B$64+$B$180/Assumptions!$B$27)/(Assumptions!$B$64+J225)</f>
        <v/>
      </c>
      <c r="U225">
        <f>IF(H225&lt;Assumptions!$B$27,Assumptions!$B$27/T225,1)</f>
        <v/>
      </c>
      <c r="V225">
        <f>Assumptions!$B$26*(Assumptions!$B$64+$B$180/Assumptions!$B$26)/(Assumptions!$B$64+J225)</f>
        <v/>
      </c>
      <c r="W225">
        <f>IF(H225&lt;Assumptions!$B$26,Assumptions!$B$26/V225,1)</f>
        <v/>
      </c>
    </row>
    <row r="226">
      <c r="A226" t="n">
        <v>43</v>
      </c>
      <c r="B226">
        <f>U225</f>
        <v/>
      </c>
      <c r="C226">
        <f>W225</f>
        <v/>
      </c>
      <c r="D226">
        <f>O225</f>
        <v/>
      </c>
      <c r="E226">
        <f>S225</f>
        <v/>
      </c>
      <c r="F226">
        <f>Assumptions!$B$16*B226</f>
        <v/>
      </c>
      <c r="G226">
        <f>Assumptions!$B$15*C226</f>
        <v/>
      </c>
      <c r="H226">
        <f>IF($B$176*($B$179/(($B$179*(1-$B$176)-$B$180)/((Assumptions!$B$9+Assumptions!$B$11+Assumptions!$B$12+Assumptions!$B$13+Assumptions!$B$14)+G226+F226+D226+E226)))&lt;Assumptions!$B$65,($B$179-$B$180)/(((Assumptions!$B$9+Assumptions!$B$11+Assumptions!$B$12+Assumptions!$B$13+Assumptions!$B$14)+G226+F226+D226+E226)+Assumptions!$B$65),($B$179*(1-$B$176)-$B$180)/((Assumptions!$B$9+Assumptions!$B$11+Assumptions!$B$12+Assumptions!$B$13+Assumptions!$B$14)+G226+F226+D226+E226))</f>
        <v/>
      </c>
      <c r="I226">
        <f>$B$179/H226</f>
        <v/>
      </c>
      <c r="J226">
        <f>$B$180/H226</f>
        <v/>
      </c>
      <c r="K226">
        <f>I226-J226</f>
        <v/>
      </c>
      <c r="L226">
        <f>Assumptions!$B$51/K226</f>
        <v/>
      </c>
      <c r="M226">
        <f>H226*(1-Assumptions!$B$52)</f>
        <v/>
      </c>
      <c r="N226">
        <f>MIN(L226,M226)</f>
        <v/>
      </c>
      <c r="O226">
        <f>Assumptions!$B$50/N226</f>
        <v/>
      </c>
      <c r="P226">
        <f>Assumptions!$B$54/K226</f>
        <v/>
      </c>
      <c r="Q226">
        <f>H226*(1-Assumptions!$B$55)</f>
        <v/>
      </c>
      <c r="R226">
        <f>MIN(P226,Q226)</f>
        <v/>
      </c>
      <c r="S226">
        <f>Assumptions!$B$53/R226</f>
        <v/>
      </c>
      <c r="T226">
        <f>Assumptions!$B$27*(Assumptions!$B$64+$B$180/Assumptions!$B$27)/(Assumptions!$B$64+J226)</f>
        <v/>
      </c>
      <c r="U226">
        <f>IF(H226&lt;Assumptions!$B$27,Assumptions!$B$27/T226,1)</f>
        <v/>
      </c>
      <c r="V226">
        <f>Assumptions!$B$26*(Assumptions!$B$64+$B$180/Assumptions!$B$26)/(Assumptions!$B$64+J226)</f>
        <v/>
      </c>
      <c r="W226">
        <f>IF(H226&lt;Assumptions!$B$26,Assumptions!$B$26/V226,1)</f>
        <v/>
      </c>
    </row>
    <row r="227">
      <c r="A227" t="n">
        <v>44</v>
      </c>
      <c r="B227">
        <f>U226</f>
        <v/>
      </c>
      <c r="C227">
        <f>W226</f>
        <v/>
      </c>
      <c r="D227">
        <f>O226</f>
        <v/>
      </c>
      <c r="E227">
        <f>S226</f>
        <v/>
      </c>
      <c r="F227">
        <f>Assumptions!$B$16*B227</f>
        <v/>
      </c>
      <c r="G227">
        <f>Assumptions!$B$15*C227</f>
        <v/>
      </c>
      <c r="H227">
        <f>IF($B$176*($B$179/(($B$179*(1-$B$176)-$B$180)/((Assumptions!$B$9+Assumptions!$B$11+Assumptions!$B$12+Assumptions!$B$13+Assumptions!$B$14)+G227+F227+D227+E227)))&lt;Assumptions!$B$65,($B$179-$B$180)/(((Assumptions!$B$9+Assumptions!$B$11+Assumptions!$B$12+Assumptions!$B$13+Assumptions!$B$14)+G227+F227+D227+E227)+Assumptions!$B$65),($B$179*(1-$B$176)-$B$180)/((Assumptions!$B$9+Assumptions!$B$11+Assumptions!$B$12+Assumptions!$B$13+Assumptions!$B$14)+G227+F227+D227+E227))</f>
        <v/>
      </c>
      <c r="I227">
        <f>$B$179/H227</f>
        <v/>
      </c>
      <c r="J227">
        <f>$B$180/H227</f>
        <v/>
      </c>
      <c r="K227">
        <f>I227-J227</f>
        <v/>
      </c>
      <c r="L227">
        <f>Assumptions!$B$51/K227</f>
        <v/>
      </c>
      <c r="M227">
        <f>H227*(1-Assumptions!$B$52)</f>
        <v/>
      </c>
      <c r="N227">
        <f>MIN(L227,M227)</f>
        <v/>
      </c>
      <c r="O227">
        <f>Assumptions!$B$50/N227</f>
        <v/>
      </c>
      <c r="P227">
        <f>Assumptions!$B$54/K227</f>
        <v/>
      </c>
      <c r="Q227">
        <f>H227*(1-Assumptions!$B$55)</f>
        <v/>
      </c>
      <c r="R227">
        <f>MIN(P227,Q227)</f>
        <v/>
      </c>
      <c r="S227">
        <f>Assumptions!$B$53/R227</f>
        <v/>
      </c>
      <c r="T227">
        <f>Assumptions!$B$27*(Assumptions!$B$64+$B$180/Assumptions!$B$27)/(Assumptions!$B$64+J227)</f>
        <v/>
      </c>
      <c r="U227">
        <f>IF(H227&lt;Assumptions!$B$27,Assumptions!$B$27/T227,1)</f>
        <v/>
      </c>
      <c r="V227">
        <f>Assumptions!$B$26*(Assumptions!$B$64+$B$180/Assumptions!$B$26)/(Assumptions!$B$64+J227)</f>
        <v/>
      </c>
      <c r="W227">
        <f>IF(H227&lt;Assumptions!$B$26,Assumptions!$B$26/V227,1)</f>
        <v/>
      </c>
    </row>
    <row r="228">
      <c r="A228" t="n">
        <v>45</v>
      </c>
      <c r="B228">
        <f>U227</f>
        <v/>
      </c>
      <c r="C228">
        <f>W227</f>
        <v/>
      </c>
      <c r="D228">
        <f>O227</f>
        <v/>
      </c>
      <c r="E228">
        <f>S227</f>
        <v/>
      </c>
      <c r="F228">
        <f>Assumptions!$B$16*B228</f>
        <v/>
      </c>
      <c r="G228">
        <f>Assumptions!$B$15*C228</f>
        <v/>
      </c>
      <c r="H228">
        <f>IF($B$176*($B$179/(($B$179*(1-$B$176)-$B$180)/((Assumptions!$B$9+Assumptions!$B$11+Assumptions!$B$12+Assumptions!$B$13+Assumptions!$B$14)+G228+F228+D228+E228)))&lt;Assumptions!$B$65,($B$179-$B$180)/(((Assumptions!$B$9+Assumptions!$B$11+Assumptions!$B$12+Assumptions!$B$13+Assumptions!$B$14)+G228+F228+D228+E228)+Assumptions!$B$65),($B$179*(1-$B$176)-$B$180)/((Assumptions!$B$9+Assumptions!$B$11+Assumptions!$B$12+Assumptions!$B$13+Assumptions!$B$14)+G228+F228+D228+E228))</f>
        <v/>
      </c>
      <c r="I228">
        <f>$B$179/H228</f>
        <v/>
      </c>
      <c r="J228">
        <f>$B$180/H228</f>
        <v/>
      </c>
      <c r="K228">
        <f>I228-J228</f>
        <v/>
      </c>
      <c r="L228">
        <f>Assumptions!$B$51/K228</f>
        <v/>
      </c>
      <c r="M228">
        <f>H228*(1-Assumptions!$B$52)</f>
        <v/>
      </c>
      <c r="N228">
        <f>MIN(L228,M228)</f>
        <v/>
      </c>
      <c r="O228">
        <f>Assumptions!$B$50/N228</f>
        <v/>
      </c>
      <c r="P228">
        <f>Assumptions!$B$54/K228</f>
        <v/>
      </c>
      <c r="Q228">
        <f>H228*(1-Assumptions!$B$55)</f>
        <v/>
      </c>
      <c r="R228">
        <f>MIN(P228,Q228)</f>
        <v/>
      </c>
      <c r="S228">
        <f>Assumptions!$B$53/R228</f>
        <v/>
      </c>
      <c r="T228">
        <f>Assumptions!$B$27*(Assumptions!$B$64+$B$180/Assumptions!$B$27)/(Assumptions!$B$64+J228)</f>
        <v/>
      </c>
      <c r="U228">
        <f>IF(H228&lt;Assumptions!$B$27,Assumptions!$B$27/T228,1)</f>
        <v/>
      </c>
      <c r="V228">
        <f>Assumptions!$B$26*(Assumptions!$B$64+$B$180/Assumptions!$B$26)/(Assumptions!$B$64+J228)</f>
        <v/>
      </c>
      <c r="W228">
        <f>IF(H228&lt;Assumptions!$B$26,Assumptions!$B$26/V228,1)</f>
        <v/>
      </c>
    </row>
    <row r="229">
      <c r="A229" t="n">
        <v>46</v>
      </c>
      <c r="B229">
        <f>U228</f>
        <v/>
      </c>
      <c r="C229">
        <f>W228</f>
        <v/>
      </c>
      <c r="D229">
        <f>O228</f>
        <v/>
      </c>
      <c r="E229">
        <f>S228</f>
        <v/>
      </c>
      <c r="F229">
        <f>Assumptions!$B$16*B229</f>
        <v/>
      </c>
      <c r="G229">
        <f>Assumptions!$B$15*C229</f>
        <v/>
      </c>
      <c r="H229">
        <f>IF($B$176*($B$179/(($B$179*(1-$B$176)-$B$180)/((Assumptions!$B$9+Assumptions!$B$11+Assumptions!$B$12+Assumptions!$B$13+Assumptions!$B$14)+G229+F229+D229+E229)))&lt;Assumptions!$B$65,($B$179-$B$180)/(((Assumptions!$B$9+Assumptions!$B$11+Assumptions!$B$12+Assumptions!$B$13+Assumptions!$B$14)+G229+F229+D229+E229)+Assumptions!$B$65),($B$179*(1-$B$176)-$B$180)/((Assumptions!$B$9+Assumptions!$B$11+Assumptions!$B$12+Assumptions!$B$13+Assumptions!$B$14)+G229+F229+D229+E229))</f>
        <v/>
      </c>
      <c r="I229">
        <f>$B$179/H229</f>
        <v/>
      </c>
      <c r="J229">
        <f>$B$180/H229</f>
        <v/>
      </c>
      <c r="K229">
        <f>I229-J229</f>
        <v/>
      </c>
      <c r="L229">
        <f>Assumptions!$B$51/K229</f>
        <v/>
      </c>
      <c r="M229">
        <f>H229*(1-Assumptions!$B$52)</f>
        <v/>
      </c>
      <c r="N229">
        <f>MIN(L229,M229)</f>
        <v/>
      </c>
      <c r="O229">
        <f>Assumptions!$B$50/N229</f>
        <v/>
      </c>
      <c r="P229">
        <f>Assumptions!$B$54/K229</f>
        <v/>
      </c>
      <c r="Q229">
        <f>H229*(1-Assumptions!$B$55)</f>
        <v/>
      </c>
      <c r="R229">
        <f>MIN(P229,Q229)</f>
        <v/>
      </c>
      <c r="S229">
        <f>Assumptions!$B$53/R229</f>
        <v/>
      </c>
      <c r="T229">
        <f>Assumptions!$B$27*(Assumptions!$B$64+$B$180/Assumptions!$B$27)/(Assumptions!$B$64+J229)</f>
        <v/>
      </c>
      <c r="U229">
        <f>IF(H229&lt;Assumptions!$B$27,Assumptions!$B$27/T229,1)</f>
        <v/>
      </c>
      <c r="V229">
        <f>Assumptions!$B$26*(Assumptions!$B$64+$B$180/Assumptions!$B$26)/(Assumptions!$B$64+J229)</f>
        <v/>
      </c>
      <c r="W229">
        <f>IF(H229&lt;Assumptions!$B$26,Assumptions!$B$26/V229,1)</f>
        <v/>
      </c>
    </row>
    <row r="230">
      <c r="A230" t="n">
        <v>47</v>
      </c>
      <c r="B230">
        <f>U229</f>
        <v/>
      </c>
      <c r="C230">
        <f>W229</f>
        <v/>
      </c>
      <c r="D230">
        <f>O229</f>
        <v/>
      </c>
      <c r="E230">
        <f>S229</f>
        <v/>
      </c>
      <c r="F230">
        <f>Assumptions!$B$16*B230</f>
        <v/>
      </c>
      <c r="G230">
        <f>Assumptions!$B$15*C230</f>
        <v/>
      </c>
      <c r="H230">
        <f>IF($B$176*($B$179/(($B$179*(1-$B$176)-$B$180)/((Assumptions!$B$9+Assumptions!$B$11+Assumptions!$B$12+Assumptions!$B$13+Assumptions!$B$14)+G230+F230+D230+E230)))&lt;Assumptions!$B$65,($B$179-$B$180)/(((Assumptions!$B$9+Assumptions!$B$11+Assumptions!$B$12+Assumptions!$B$13+Assumptions!$B$14)+G230+F230+D230+E230)+Assumptions!$B$65),($B$179*(1-$B$176)-$B$180)/((Assumptions!$B$9+Assumptions!$B$11+Assumptions!$B$12+Assumptions!$B$13+Assumptions!$B$14)+G230+F230+D230+E230))</f>
        <v/>
      </c>
      <c r="I230">
        <f>$B$179/H230</f>
        <v/>
      </c>
      <c r="J230">
        <f>$B$180/H230</f>
        <v/>
      </c>
      <c r="K230">
        <f>I230-J230</f>
        <v/>
      </c>
      <c r="L230">
        <f>Assumptions!$B$51/K230</f>
        <v/>
      </c>
      <c r="M230">
        <f>H230*(1-Assumptions!$B$52)</f>
        <v/>
      </c>
      <c r="N230">
        <f>MIN(L230,M230)</f>
        <v/>
      </c>
      <c r="O230">
        <f>Assumptions!$B$50/N230</f>
        <v/>
      </c>
      <c r="P230">
        <f>Assumptions!$B$54/K230</f>
        <v/>
      </c>
      <c r="Q230">
        <f>H230*(1-Assumptions!$B$55)</f>
        <v/>
      </c>
      <c r="R230">
        <f>MIN(P230,Q230)</f>
        <v/>
      </c>
      <c r="S230">
        <f>Assumptions!$B$53/R230</f>
        <v/>
      </c>
      <c r="T230">
        <f>Assumptions!$B$27*(Assumptions!$B$64+$B$180/Assumptions!$B$27)/(Assumptions!$B$64+J230)</f>
        <v/>
      </c>
      <c r="U230">
        <f>IF(H230&lt;Assumptions!$B$27,Assumptions!$B$27/T230,1)</f>
        <v/>
      </c>
      <c r="V230">
        <f>Assumptions!$B$26*(Assumptions!$B$64+$B$180/Assumptions!$B$26)/(Assumptions!$B$64+J230)</f>
        <v/>
      </c>
      <c r="W230">
        <f>IF(H230&lt;Assumptions!$B$26,Assumptions!$B$26/V230,1)</f>
        <v/>
      </c>
    </row>
    <row r="231">
      <c r="A231" t="n">
        <v>48</v>
      </c>
      <c r="B231">
        <f>U230</f>
        <v/>
      </c>
      <c r="C231">
        <f>W230</f>
        <v/>
      </c>
      <c r="D231">
        <f>O230</f>
        <v/>
      </c>
      <c r="E231">
        <f>S230</f>
        <v/>
      </c>
      <c r="F231">
        <f>Assumptions!$B$16*B231</f>
        <v/>
      </c>
      <c r="G231">
        <f>Assumptions!$B$15*C231</f>
        <v/>
      </c>
      <c r="H231">
        <f>IF($B$176*($B$179/(($B$179*(1-$B$176)-$B$180)/((Assumptions!$B$9+Assumptions!$B$11+Assumptions!$B$12+Assumptions!$B$13+Assumptions!$B$14)+G231+F231+D231+E231)))&lt;Assumptions!$B$65,($B$179-$B$180)/(((Assumptions!$B$9+Assumptions!$B$11+Assumptions!$B$12+Assumptions!$B$13+Assumptions!$B$14)+G231+F231+D231+E231)+Assumptions!$B$65),($B$179*(1-$B$176)-$B$180)/((Assumptions!$B$9+Assumptions!$B$11+Assumptions!$B$12+Assumptions!$B$13+Assumptions!$B$14)+G231+F231+D231+E231))</f>
        <v/>
      </c>
      <c r="I231">
        <f>$B$179/H231</f>
        <v/>
      </c>
      <c r="J231">
        <f>$B$180/H231</f>
        <v/>
      </c>
      <c r="K231">
        <f>I231-J231</f>
        <v/>
      </c>
      <c r="L231">
        <f>Assumptions!$B$51/K231</f>
        <v/>
      </c>
      <c r="M231">
        <f>H231*(1-Assumptions!$B$52)</f>
        <v/>
      </c>
      <c r="N231">
        <f>MIN(L231,M231)</f>
        <v/>
      </c>
      <c r="O231">
        <f>Assumptions!$B$50/N231</f>
        <v/>
      </c>
      <c r="P231">
        <f>Assumptions!$B$54/K231</f>
        <v/>
      </c>
      <c r="Q231">
        <f>H231*(1-Assumptions!$B$55)</f>
        <v/>
      </c>
      <c r="R231">
        <f>MIN(P231,Q231)</f>
        <v/>
      </c>
      <c r="S231">
        <f>Assumptions!$B$53/R231</f>
        <v/>
      </c>
      <c r="T231">
        <f>Assumptions!$B$27*(Assumptions!$B$64+$B$180/Assumptions!$B$27)/(Assumptions!$B$64+J231)</f>
        <v/>
      </c>
      <c r="U231">
        <f>IF(H231&lt;Assumptions!$B$27,Assumptions!$B$27/T231,1)</f>
        <v/>
      </c>
      <c r="V231">
        <f>Assumptions!$B$26*(Assumptions!$B$64+$B$180/Assumptions!$B$26)/(Assumptions!$B$64+J231)</f>
        <v/>
      </c>
      <c r="W231">
        <f>IF(H231&lt;Assumptions!$B$26,Assumptions!$B$26/V231,1)</f>
        <v/>
      </c>
    </row>
    <row r="232">
      <c r="A232" t="n">
        <v>49</v>
      </c>
      <c r="B232">
        <f>U231</f>
        <v/>
      </c>
      <c r="C232">
        <f>W231</f>
        <v/>
      </c>
      <c r="D232">
        <f>O231</f>
        <v/>
      </c>
      <c r="E232">
        <f>S231</f>
        <v/>
      </c>
      <c r="F232">
        <f>Assumptions!$B$16*B232</f>
        <v/>
      </c>
      <c r="G232">
        <f>Assumptions!$B$15*C232</f>
        <v/>
      </c>
      <c r="H232">
        <f>IF($B$176*($B$179/(($B$179*(1-$B$176)-$B$180)/((Assumptions!$B$9+Assumptions!$B$11+Assumptions!$B$12+Assumptions!$B$13+Assumptions!$B$14)+G232+F232+D232+E232)))&lt;Assumptions!$B$65,($B$179-$B$180)/(((Assumptions!$B$9+Assumptions!$B$11+Assumptions!$B$12+Assumptions!$B$13+Assumptions!$B$14)+G232+F232+D232+E232)+Assumptions!$B$65),($B$179*(1-$B$176)-$B$180)/((Assumptions!$B$9+Assumptions!$B$11+Assumptions!$B$12+Assumptions!$B$13+Assumptions!$B$14)+G232+F232+D232+E232))</f>
        <v/>
      </c>
      <c r="I232">
        <f>$B$179/H232</f>
        <v/>
      </c>
      <c r="J232">
        <f>$B$180/H232</f>
        <v/>
      </c>
      <c r="K232">
        <f>I232-J232</f>
        <v/>
      </c>
      <c r="L232">
        <f>Assumptions!$B$51/K232</f>
        <v/>
      </c>
      <c r="M232">
        <f>H232*(1-Assumptions!$B$52)</f>
        <v/>
      </c>
      <c r="N232">
        <f>MIN(L232,M232)</f>
        <v/>
      </c>
      <c r="O232">
        <f>Assumptions!$B$50/N232</f>
        <v/>
      </c>
      <c r="P232">
        <f>Assumptions!$B$54/K232</f>
        <v/>
      </c>
      <c r="Q232">
        <f>H232*(1-Assumptions!$B$55)</f>
        <v/>
      </c>
      <c r="R232">
        <f>MIN(P232,Q232)</f>
        <v/>
      </c>
      <c r="S232">
        <f>Assumptions!$B$53/R232</f>
        <v/>
      </c>
      <c r="T232">
        <f>Assumptions!$B$27*(Assumptions!$B$64+$B$180/Assumptions!$B$27)/(Assumptions!$B$64+J232)</f>
        <v/>
      </c>
      <c r="U232">
        <f>IF(H232&lt;Assumptions!$B$27,Assumptions!$B$27/T232,1)</f>
        <v/>
      </c>
      <c r="V232">
        <f>Assumptions!$B$26*(Assumptions!$B$64+$B$180/Assumptions!$B$26)/(Assumptions!$B$64+J232)</f>
        <v/>
      </c>
      <c r="W232">
        <f>IF(H232&lt;Assumptions!$B$26,Assumptions!$B$26/V232,1)</f>
        <v/>
      </c>
    </row>
    <row r="250">
      <c r="A250" t="inlineStr">
        <is>
          <t>Cell esop_11_pre_1800M</t>
        </is>
      </c>
    </row>
    <row r="251">
      <c r="A251" t="inlineStr">
        <is>
          <t>esop</t>
        </is>
      </c>
      <c r="B251" t="n">
        <v>0.11</v>
      </c>
    </row>
    <row r="252">
      <c r="A252" t="inlineStr">
        <is>
          <t>pre_M ($M)</t>
        </is>
      </c>
      <c r="B252" t="n">
        <v>1800</v>
      </c>
    </row>
    <row r="253">
      <c r="A253" t="inlineStr">
        <is>
          <t>pre_money $</t>
        </is>
      </c>
      <c r="B253">
        <f>B252*1000000</f>
        <v/>
      </c>
    </row>
    <row r="254">
      <c r="A254" t="inlineStr">
        <is>
          <t>post_money $</t>
        </is>
      </c>
      <c r="B254">
        <f>B253+Assumptions!$B$41</f>
        <v/>
      </c>
    </row>
    <row r="255">
      <c r="A255" t="inlineStr">
        <is>
          <t>primary raise $</t>
        </is>
      </c>
      <c r="B255">
        <f>Assumptions!$B$41</f>
        <v/>
      </c>
    </row>
    <row r="257">
      <c r="A257" t="inlineStr">
        <is>
          <t>iter</t>
        </is>
      </c>
      <c r="B257" t="inlineStr">
        <is>
          <t>r_E_p</t>
        </is>
      </c>
      <c r="C257" t="inlineStr">
        <is>
          <t>r_D_p</t>
        </is>
      </c>
      <c r="D257" t="inlineStr">
        <is>
          <t>N_A_p</t>
        </is>
      </c>
      <c r="E257" t="inlineStr">
        <is>
          <t>N_B_p</t>
        </is>
      </c>
      <c r="F257" t="inlineStr">
        <is>
          <t>E_adj</t>
        </is>
      </c>
      <c r="G257" t="inlineStr">
        <is>
          <t>D_adj</t>
        </is>
      </c>
      <c r="H257" t="inlineStr">
        <is>
          <t>F_PPS</t>
        </is>
      </c>
      <c r="I257" t="inlineStr">
        <is>
          <t>T_F</t>
        </is>
      </c>
      <c r="J257" t="inlineStr">
        <is>
          <t>new_F</t>
        </is>
      </c>
      <c r="K257" t="inlineStr">
        <is>
          <t>pre_FD</t>
        </is>
      </c>
      <c r="L257" t="inlineStr">
        <is>
          <t>capA</t>
        </is>
      </c>
      <c r="M257" t="inlineStr">
        <is>
          <t>discA</t>
        </is>
      </c>
      <c r="N257" t="inlineStr">
        <is>
          <t>cpA</t>
        </is>
      </c>
      <c r="O257" t="inlineStr">
        <is>
          <t>NA</t>
        </is>
      </c>
      <c r="P257" t="inlineStr">
        <is>
          <t>capB</t>
        </is>
      </c>
      <c r="Q257" t="inlineStr">
        <is>
          <t>discB</t>
        </is>
      </c>
      <c r="R257" t="inlineStr">
        <is>
          <t>cpB</t>
        </is>
      </c>
      <c r="S257" t="inlineStr">
        <is>
          <t>NB</t>
        </is>
      </c>
      <c r="T257" t="inlineStr">
        <is>
          <t>NCP_E</t>
        </is>
      </c>
      <c r="U257" t="inlineStr">
        <is>
          <t>r_E_n</t>
        </is>
      </c>
      <c r="V257" t="inlineStr">
        <is>
          <t>NCP_D</t>
        </is>
      </c>
      <c r="W257" t="inlineStr">
        <is>
          <t>r_D_n</t>
        </is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>
        <f>Assumptions!$B$16*B258</f>
        <v/>
      </c>
      <c r="G258">
        <f>Assumptions!$B$15*C258</f>
        <v/>
      </c>
      <c r="H258">
        <f>IF($B$251*($B$254/(($B$254*(1-$B$251)-$B$255)/((Assumptions!$B$9+Assumptions!$B$11+Assumptions!$B$12+Assumptions!$B$13+Assumptions!$B$14)+G258+F258+D258+E258)))&lt;Assumptions!$B$65,($B$254-$B$255)/(((Assumptions!$B$9+Assumptions!$B$11+Assumptions!$B$12+Assumptions!$B$13+Assumptions!$B$14)+G258+F258+D258+E258)+Assumptions!$B$65),($B$254*(1-$B$251)-$B$255)/((Assumptions!$B$9+Assumptions!$B$11+Assumptions!$B$12+Assumptions!$B$13+Assumptions!$B$14)+G258+F258+D258+E258))</f>
        <v/>
      </c>
      <c r="I258">
        <f>$B$254/H258</f>
        <v/>
      </c>
      <c r="J258">
        <f>$B$255/H258</f>
        <v/>
      </c>
      <c r="K258">
        <f>I258-J258</f>
        <v/>
      </c>
      <c r="L258">
        <f>Assumptions!$B$51/K258</f>
        <v/>
      </c>
      <c r="M258">
        <f>H258*(1-Assumptions!$B$52)</f>
        <v/>
      </c>
      <c r="N258">
        <f>MIN(L258,M258)</f>
        <v/>
      </c>
      <c r="O258">
        <f>Assumptions!$B$50/N258</f>
        <v/>
      </c>
      <c r="P258">
        <f>Assumptions!$B$54/K258</f>
        <v/>
      </c>
      <c r="Q258">
        <f>H258*(1-Assumptions!$B$55)</f>
        <v/>
      </c>
      <c r="R258">
        <f>MIN(P258,Q258)</f>
        <v/>
      </c>
      <c r="S258">
        <f>Assumptions!$B$53/R258</f>
        <v/>
      </c>
      <c r="T258">
        <f>Assumptions!$B$27*(Assumptions!$B$64+$B$255/Assumptions!$B$27)/(Assumptions!$B$64+J258)</f>
        <v/>
      </c>
      <c r="U258">
        <f>IF(H258&lt;Assumptions!$B$27,Assumptions!$B$27/T258,1)</f>
        <v/>
      </c>
      <c r="V258">
        <f>Assumptions!$B$26*(Assumptions!$B$64+$B$255/Assumptions!$B$26)/(Assumptions!$B$64+J258)</f>
        <v/>
      </c>
      <c r="W258">
        <f>IF(H258&lt;Assumptions!$B$26,Assumptions!$B$26/V258,1)</f>
        <v/>
      </c>
    </row>
    <row r="259">
      <c r="A259" t="n">
        <v>1</v>
      </c>
      <c r="B259">
        <f>U258</f>
        <v/>
      </c>
      <c r="C259">
        <f>W258</f>
        <v/>
      </c>
      <c r="D259">
        <f>O258</f>
        <v/>
      </c>
      <c r="E259">
        <f>S258</f>
        <v/>
      </c>
      <c r="F259">
        <f>Assumptions!$B$16*B259</f>
        <v/>
      </c>
      <c r="G259">
        <f>Assumptions!$B$15*C259</f>
        <v/>
      </c>
      <c r="H259">
        <f>IF($B$251*($B$254/(($B$254*(1-$B$251)-$B$255)/((Assumptions!$B$9+Assumptions!$B$11+Assumptions!$B$12+Assumptions!$B$13+Assumptions!$B$14)+G259+F259+D259+E259)))&lt;Assumptions!$B$65,($B$254-$B$255)/(((Assumptions!$B$9+Assumptions!$B$11+Assumptions!$B$12+Assumptions!$B$13+Assumptions!$B$14)+G259+F259+D259+E259)+Assumptions!$B$65),($B$254*(1-$B$251)-$B$255)/((Assumptions!$B$9+Assumptions!$B$11+Assumptions!$B$12+Assumptions!$B$13+Assumptions!$B$14)+G259+F259+D259+E259))</f>
        <v/>
      </c>
      <c r="I259">
        <f>$B$254/H259</f>
        <v/>
      </c>
      <c r="J259">
        <f>$B$255/H259</f>
        <v/>
      </c>
      <c r="K259">
        <f>I259-J259</f>
        <v/>
      </c>
      <c r="L259">
        <f>Assumptions!$B$51/K259</f>
        <v/>
      </c>
      <c r="M259">
        <f>H259*(1-Assumptions!$B$52)</f>
        <v/>
      </c>
      <c r="N259">
        <f>MIN(L259,M259)</f>
        <v/>
      </c>
      <c r="O259">
        <f>Assumptions!$B$50/N259</f>
        <v/>
      </c>
      <c r="P259">
        <f>Assumptions!$B$54/K259</f>
        <v/>
      </c>
      <c r="Q259">
        <f>H259*(1-Assumptions!$B$55)</f>
        <v/>
      </c>
      <c r="R259">
        <f>MIN(P259,Q259)</f>
        <v/>
      </c>
      <c r="S259">
        <f>Assumptions!$B$53/R259</f>
        <v/>
      </c>
      <c r="T259">
        <f>Assumptions!$B$27*(Assumptions!$B$64+$B$255/Assumptions!$B$27)/(Assumptions!$B$64+J259)</f>
        <v/>
      </c>
      <c r="U259">
        <f>IF(H259&lt;Assumptions!$B$27,Assumptions!$B$27/T259,1)</f>
        <v/>
      </c>
      <c r="V259">
        <f>Assumptions!$B$26*(Assumptions!$B$64+$B$255/Assumptions!$B$26)/(Assumptions!$B$64+J259)</f>
        <v/>
      </c>
      <c r="W259">
        <f>IF(H259&lt;Assumptions!$B$26,Assumptions!$B$26/V259,1)</f>
        <v/>
      </c>
    </row>
    <row r="260">
      <c r="A260" t="n">
        <v>2</v>
      </c>
      <c r="B260">
        <f>U259</f>
        <v/>
      </c>
      <c r="C260">
        <f>W259</f>
        <v/>
      </c>
      <c r="D260">
        <f>O259</f>
        <v/>
      </c>
      <c r="E260">
        <f>S259</f>
        <v/>
      </c>
      <c r="F260">
        <f>Assumptions!$B$16*B260</f>
        <v/>
      </c>
      <c r="G260">
        <f>Assumptions!$B$15*C260</f>
        <v/>
      </c>
      <c r="H260">
        <f>IF($B$251*($B$254/(($B$254*(1-$B$251)-$B$255)/((Assumptions!$B$9+Assumptions!$B$11+Assumptions!$B$12+Assumptions!$B$13+Assumptions!$B$14)+G260+F260+D260+E260)))&lt;Assumptions!$B$65,($B$254-$B$255)/(((Assumptions!$B$9+Assumptions!$B$11+Assumptions!$B$12+Assumptions!$B$13+Assumptions!$B$14)+G260+F260+D260+E260)+Assumptions!$B$65),($B$254*(1-$B$251)-$B$255)/((Assumptions!$B$9+Assumptions!$B$11+Assumptions!$B$12+Assumptions!$B$13+Assumptions!$B$14)+G260+F260+D260+E260))</f>
        <v/>
      </c>
      <c r="I260">
        <f>$B$254/H260</f>
        <v/>
      </c>
      <c r="J260">
        <f>$B$255/H260</f>
        <v/>
      </c>
      <c r="K260">
        <f>I260-J260</f>
        <v/>
      </c>
      <c r="L260">
        <f>Assumptions!$B$51/K260</f>
        <v/>
      </c>
      <c r="M260">
        <f>H260*(1-Assumptions!$B$52)</f>
        <v/>
      </c>
      <c r="N260">
        <f>MIN(L260,M260)</f>
        <v/>
      </c>
      <c r="O260">
        <f>Assumptions!$B$50/N260</f>
        <v/>
      </c>
      <c r="P260">
        <f>Assumptions!$B$54/K260</f>
        <v/>
      </c>
      <c r="Q260">
        <f>H260*(1-Assumptions!$B$55)</f>
        <v/>
      </c>
      <c r="R260">
        <f>MIN(P260,Q260)</f>
        <v/>
      </c>
      <c r="S260">
        <f>Assumptions!$B$53/R260</f>
        <v/>
      </c>
      <c r="T260">
        <f>Assumptions!$B$27*(Assumptions!$B$64+$B$255/Assumptions!$B$27)/(Assumptions!$B$64+J260)</f>
        <v/>
      </c>
      <c r="U260">
        <f>IF(H260&lt;Assumptions!$B$27,Assumptions!$B$27/T260,1)</f>
        <v/>
      </c>
      <c r="V260">
        <f>Assumptions!$B$26*(Assumptions!$B$64+$B$255/Assumptions!$B$26)/(Assumptions!$B$64+J260)</f>
        <v/>
      </c>
      <c r="W260">
        <f>IF(H260&lt;Assumptions!$B$26,Assumptions!$B$26/V260,1)</f>
        <v/>
      </c>
    </row>
    <row r="261">
      <c r="A261" t="n">
        <v>3</v>
      </c>
      <c r="B261">
        <f>U260</f>
        <v/>
      </c>
      <c r="C261">
        <f>W260</f>
        <v/>
      </c>
      <c r="D261">
        <f>O260</f>
        <v/>
      </c>
      <c r="E261">
        <f>S260</f>
        <v/>
      </c>
      <c r="F261">
        <f>Assumptions!$B$16*B261</f>
        <v/>
      </c>
      <c r="G261">
        <f>Assumptions!$B$15*C261</f>
        <v/>
      </c>
      <c r="H261">
        <f>IF($B$251*($B$254/(($B$254*(1-$B$251)-$B$255)/((Assumptions!$B$9+Assumptions!$B$11+Assumptions!$B$12+Assumptions!$B$13+Assumptions!$B$14)+G261+F261+D261+E261)))&lt;Assumptions!$B$65,($B$254-$B$255)/(((Assumptions!$B$9+Assumptions!$B$11+Assumptions!$B$12+Assumptions!$B$13+Assumptions!$B$14)+G261+F261+D261+E261)+Assumptions!$B$65),($B$254*(1-$B$251)-$B$255)/((Assumptions!$B$9+Assumptions!$B$11+Assumptions!$B$12+Assumptions!$B$13+Assumptions!$B$14)+G261+F261+D261+E261))</f>
        <v/>
      </c>
      <c r="I261">
        <f>$B$254/H261</f>
        <v/>
      </c>
      <c r="J261">
        <f>$B$255/H261</f>
        <v/>
      </c>
      <c r="K261">
        <f>I261-J261</f>
        <v/>
      </c>
      <c r="L261">
        <f>Assumptions!$B$51/K261</f>
        <v/>
      </c>
      <c r="M261">
        <f>H261*(1-Assumptions!$B$52)</f>
        <v/>
      </c>
      <c r="N261">
        <f>MIN(L261,M261)</f>
        <v/>
      </c>
      <c r="O261">
        <f>Assumptions!$B$50/N261</f>
        <v/>
      </c>
      <c r="P261">
        <f>Assumptions!$B$54/K261</f>
        <v/>
      </c>
      <c r="Q261">
        <f>H261*(1-Assumptions!$B$55)</f>
        <v/>
      </c>
      <c r="R261">
        <f>MIN(P261,Q261)</f>
        <v/>
      </c>
      <c r="S261">
        <f>Assumptions!$B$53/R261</f>
        <v/>
      </c>
      <c r="T261">
        <f>Assumptions!$B$27*(Assumptions!$B$64+$B$255/Assumptions!$B$27)/(Assumptions!$B$64+J261)</f>
        <v/>
      </c>
      <c r="U261">
        <f>IF(H261&lt;Assumptions!$B$27,Assumptions!$B$27/T261,1)</f>
        <v/>
      </c>
      <c r="V261">
        <f>Assumptions!$B$26*(Assumptions!$B$64+$B$255/Assumptions!$B$26)/(Assumptions!$B$64+J261)</f>
        <v/>
      </c>
      <c r="W261">
        <f>IF(H261&lt;Assumptions!$B$26,Assumptions!$B$26/V261,1)</f>
        <v/>
      </c>
    </row>
    <row r="262">
      <c r="A262" t="n">
        <v>4</v>
      </c>
      <c r="B262">
        <f>U261</f>
        <v/>
      </c>
      <c r="C262">
        <f>W261</f>
        <v/>
      </c>
      <c r="D262">
        <f>O261</f>
        <v/>
      </c>
      <c r="E262">
        <f>S261</f>
        <v/>
      </c>
      <c r="F262">
        <f>Assumptions!$B$16*B262</f>
        <v/>
      </c>
      <c r="G262">
        <f>Assumptions!$B$15*C262</f>
        <v/>
      </c>
      <c r="H262">
        <f>IF($B$251*($B$254/(($B$254*(1-$B$251)-$B$255)/((Assumptions!$B$9+Assumptions!$B$11+Assumptions!$B$12+Assumptions!$B$13+Assumptions!$B$14)+G262+F262+D262+E262)))&lt;Assumptions!$B$65,($B$254-$B$255)/(((Assumptions!$B$9+Assumptions!$B$11+Assumptions!$B$12+Assumptions!$B$13+Assumptions!$B$14)+G262+F262+D262+E262)+Assumptions!$B$65),($B$254*(1-$B$251)-$B$255)/((Assumptions!$B$9+Assumptions!$B$11+Assumptions!$B$12+Assumptions!$B$13+Assumptions!$B$14)+G262+F262+D262+E262))</f>
        <v/>
      </c>
      <c r="I262">
        <f>$B$254/H262</f>
        <v/>
      </c>
      <c r="J262">
        <f>$B$255/H262</f>
        <v/>
      </c>
      <c r="K262">
        <f>I262-J262</f>
        <v/>
      </c>
      <c r="L262">
        <f>Assumptions!$B$51/K262</f>
        <v/>
      </c>
      <c r="M262">
        <f>H262*(1-Assumptions!$B$52)</f>
        <v/>
      </c>
      <c r="N262">
        <f>MIN(L262,M262)</f>
        <v/>
      </c>
      <c r="O262">
        <f>Assumptions!$B$50/N262</f>
        <v/>
      </c>
      <c r="P262">
        <f>Assumptions!$B$54/K262</f>
        <v/>
      </c>
      <c r="Q262">
        <f>H262*(1-Assumptions!$B$55)</f>
        <v/>
      </c>
      <c r="R262">
        <f>MIN(P262,Q262)</f>
        <v/>
      </c>
      <c r="S262">
        <f>Assumptions!$B$53/R262</f>
        <v/>
      </c>
      <c r="T262">
        <f>Assumptions!$B$27*(Assumptions!$B$64+$B$255/Assumptions!$B$27)/(Assumptions!$B$64+J262)</f>
        <v/>
      </c>
      <c r="U262">
        <f>IF(H262&lt;Assumptions!$B$27,Assumptions!$B$27/T262,1)</f>
        <v/>
      </c>
      <c r="V262">
        <f>Assumptions!$B$26*(Assumptions!$B$64+$B$255/Assumptions!$B$26)/(Assumptions!$B$64+J262)</f>
        <v/>
      </c>
      <c r="W262">
        <f>IF(H262&lt;Assumptions!$B$26,Assumptions!$B$26/V262,1)</f>
        <v/>
      </c>
    </row>
    <row r="263">
      <c r="A263" t="n">
        <v>5</v>
      </c>
      <c r="B263">
        <f>U262</f>
        <v/>
      </c>
      <c r="C263">
        <f>W262</f>
        <v/>
      </c>
      <c r="D263">
        <f>O262</f>
        <v/>
      </c>
      <c r="E263">
        <f>S262</f>
        <v/>
      </c>
      <c r="F263">
        <f>Assumptions!$B$16*B263</f>
        <v/>
      </c>
      <c r="G263">
        <f>Assumptions!$B$15*C263</f>
        <v/>
      </c>
      <c r="H263">
        <f>IF($B$251*($B$254/(($B$254*(1-$B$251)-$B$255)/((Assumptions!$B$9+Assumptions!$B$11+Assumptions!$B$12+Assumptions!$B$13+Assumptions!$B$14)+G263+F263+D263+E263)))&lt;Assumptions!$B$65,($B$254-$B$255)/(((Assumptions!$B$9+Assumptions!$B$11+Assumptions!$B$12+Assumptions!$B$13+Assumptions!$B$14)+G263+F263+D263+E263)+Assumptions!$B$65),($B$254*(1-$B$251)-$B$255)/((Assumptions!$B$9+Assumptions!$B$11+Assumptions!$B$12+Assumptions!$B$13+Assumptions!$B$14)+G263+F263+D263+E263))</f>
        <v/>
      </c>
      <c r="I263">
        <f>$B$254/H263</f>
        <v/>
      </c>
      <c r="J263">
        <f>$B$255/H263</f>
        <v/>
      </c>
      <c r="K263">
        <f>I263-J263</f>
        <v/>
      </c>
      <c r="L263">
        <f>Assumptions!$B$51/K263</f>
        <v/>
      </c>
      <c r="M263">
        <f>H263*(1-Assumptions!$B$52)</f>
        <v/>
      </c>
      <c r="N263">
        <f>MIN(L263,M263)</f>
        <v/>
      </c>
      <c r="O263">
        <f>Assumptions!$B$50/N263</f>
        <v/>
      </c>
      <c r="P263">
        <f>Assumptions!$B$54/K263</f>
        <v/>
      </c>
      <c r="Q263">
        <f>H263*(1-Assumptions!$B$55)</f>
        <v/>
      </c>
      <c r="R263">
        <f>MIN(P263,Q263)</f>
        <v/>
      </c>
      <c r="S263">
        <f>Assumptions!$B$53/R263</f>
        <v/>
      </c>
      <c r="T263">
        <f>Assumptions!$B$27*(Assumptions!$B$64+$B$255/Assumptions!$B$27)/(Assumptions!$B$64+J263)</f>
        <v/>
      </c>
      <c r="U263">
        <f>IF(H263&lt;Assumptions!$B$27,Assumptions!$B$27/T263,1)</f>
        <v/>
      </c>
      <c r="V263">
        <f>Assumptions!$B$26*(Assumptions!$B$64+$B$255/Assumptions!$B$26)/(Assumptions!$B$64+J263)</f>
        <v/>
      </c>
      <c r="W263">
        <f>IF(H263&lt;Assumptions!$B$26,Assumptions!$B$26/V263,1)</f>
        <v/>
      </c>
    </row>
    <row r="264">
      <c r="A264" t="n">
        <v>6</v>
      </c>
      <c r="B264">
        <f>U263</f>
        <v/>
      </c>
      <c r="C264">
        <f>W263</f>
        <v/>
      </c>
      <c r="D264">
        <f>O263</f>
        <v/>
      </c>
      <c r="E264">
        <f>S263</f>
        <v/>
      </c>
      <c r="F264">
        <f>Assumptions!$B$16*B264</f>
        <v/>
      </c>
      <c r="G264">
        <f>Assumptions!$B$15*C264</f>
        <v/>
      </c>
      <c r="H264">
        <f>IF($B$251*($B$254/(($B$254*(1-$B$251)-$B$255)/((Assumptions!$B$9+Assumptions!$B$11+Assumptions!$B$12+Assumptions!$B$13+Assumptions!$B$14)+G264+F264+D264+E264)))&lt;Assumptions!$B$65,($B$254-$B$255)/(((Assumptions!$B$9+Assumptions!$B$11+Assumptions!$B$12+Assumptions!$B$13+Assumptions!$B$14)+G264+F264+D264+E264)+Assumptions!$B$65),($B$254*(1-$B$251)-$B$255)/((Assumptions!$B$9+Assumptions!$B$11+Assumptions!$B$12+Assumptions!$B$13+Assumptions!$B$14)+G264+F264+D264+E264))</f>
        <v/>
      </c>
      <c r="I264">
        <f>$B$254/H264</f>
        <v/>
      </c>
      <c r="J264">
        <f>$B$255/H264</f>
        <v/>
      </c>
      <c r="K264">
        <f>I264-J264</f>
        <v/>
      </c>
      <c r="L264">
        <f>Assumptions!$B$51/K264</f>
        <v/>
      </c>
      <c r="M264">
        <f>H264*(1-Assumptions!$B$52)</f>
        <v/>
      </c>
      <c r="N264">
        <f>MIN(L264,M264)</f>
        <v/>
      </c>
      <c r="O264">
        <f>Assumptions!$B$50/N264</f>
        <v/>
      </c>
      <c r="P264">
        <f>Assumptions!$B$54/K264</f>
        <v/>
      </c>
      <c r="Q264">
        <f>H264*(1-Assumptions!$B$55)</f>
        <v/>
      </c>
      <c r="R264">
        <f>MIN(P264,Q264)</f>
        <v/>
      </c>
      <c r="S264">
        <f>Assumptions!$B$53/R264</f>
        <v/>
      </c>
      <c r="T264">
        <f>Assumptions!$B$27*(Assumptions!$B$64+$B$255/Assumptions!$B$27)/(Assumptions!$B$64+J264)</f>
        <v/>
      </c>
      <c r="U264">
        <f>IF(H264&lt;Assumptions!$B$27,Assumptions!$B$27/T264,1)</f>
        <v/>
      </c>
      <c r="V264">
        <f>Assumptions!$B$26*(Assumptions!$B$64+$B$255/Assumptions!$B$26)/(Assumptions!$B$64+J264)</f>
        <v/>
      </c>
      <c r="W264">
        <f>IF(H264&lt;Assumptions!$B$26,Assumptions!$B$26/V264,1)</f>
        <v/>
      </c>
    </row>
    <row r="265">
      <c r="A265" t="n">
        <v>7</v>
      </c>
      <c r="B265">
        <f>U264</f>
        <v/>
      </c>
      <c r="C265">
        <f>W264</f>
        <v/>
      </c>
      <c r="D265">
        <f>O264</f>
        <v/>
      </c>
      <c r="E265">
        <f>S264</f>
        <v/>
      </c>
      <c r="F265">
        <f>Assumptions!$B$16*B265</f>
        <v/>
      </c>
      <c r="G265">
        <f>Assumptions!$B$15*C265</f>
        <v/>
      </c>
      <c r="H265">
        <f>IF($B$251*($B$254/(($B$254*(1-$B$251)-$B$255)/((Assumptions!$B$9+Assumptions!$B$11+Assumptions!$B$12+Assumptions!$B$13+Assumptions!$B$14)+G265+F265+D265+E265)))&lt;Assumptions!$B$65,($B$254-$B$255)/(((Assumptions!$B$9+Assumptions!$B$11+Assumptions!$B$12+Assumptions!$B$13+Assumptions!$B$14)+G265+F265+D265+E265)+Assumptions!$B$65),($B$254*(1-$B$251)-$B$255)/((Assumptions!$B$9+Assumptions!$B$11+Assumptions!$B$12+Assumptions!$B$13+Assumptions!$B$14)+G265+F265+D265+E265))</f>
        <v/>
      </c>
      <c r="I265">
        <f>$B$254/H265</f>
        <v/>
      </c>
      <c r="J265">
        <f>$B$255/H265</f>
        <v/>
      </c>
      <c r="K265">
        <f>I265-J265</f>
        <v/>
      </c>
      <c r="L265">
        <f>Assumptions!$B$51/K265</f>
        <v/>
      </c>
      <c r="M265">
        <f>H265*(1-Assumptions!$B$52)</f>
        <v/>
      </c>
      <c r="N265">
        <f>MIN(L265,M265)</f>
        <v/>
      </c>
      <c r="O265">
        <f>Assumptions!$B$50/N265</f>
        <v/>
      </c>
      <c r="P265">
        <f>Assumptions!$B$54/K265</f>
        <v/>
      </c>
      <c r="Q265">
        <f>H265*(1-Assumptions!$B$55)</f>
        <v/>
      </c>
      <c r="R265">
        <f>MIN(P265,Q265)</f>
        <v/>
      </c>
      <c r="S265">
        <f>Assumptions!$B$53/R265</f>
        <v/>
      </c>
      <c r="T265">
        <f>Assumptions!$B$27*(Assumptions!$B$64+$B$255/Assumptions!$B$27)/(Assumptions!$B$64+J265)</f>
        <v/>
      </c>
      <c r="U265">
        <f>IF(H265&lt;Assumptions!$B$27,Assumptions!$B$27/T265,1)</f>
        <v/>
      </c>
      <c r="V265">
        <f>Assumptions!$B$26*(Assumptions!$B$64+$B$255/Assumptions!$B$26)/(Assumptions!$B$64+J265)</f>
        <v/>
      </c>
      <c r="W265">
        <f>IF(H265&lt;Assumptions!$B$26,Assumptions!$B$26/V265,1)</f>
        <v/>
      </c>
    </row>
    <row r="266">
      <c r="A266" t="n">
        <v>8</v>
      </c>
      <c r="B266">
        <f>U265</f>
        <v/>
      </c>
      <c r="C266">
        <f>W265</f>
        <v/>
      </c>
      <c r="D266">
        <f>O265</f>
        <v/>
      </c>
      <c r="E266">
        <f>S265</f>
        <v/>
      </c>
      <c r="F266">
        <f>Assumptions!$B$16*B266</f>
        <v/>
      </c>
      <c r="G266">
        <f>Assumptions!$B$15*C266</f>
        <v/>
      </c>
      <c r="H266">
        <f>IF($B$251*($B$254/(($B$254*(1-$B$251)-$B$255)/((Assumptions!$B$9+Assumptions!$B$11+Assumptions!$B$12+Assumptions!$B$13+Assumptions!$B$14)+G266+F266+D266+E266)))&lt;Assumptions!$B$65,($B$254-$B$255)/(((Assumptions!$B$9+Assumptions!$B$11+Assumptions!$B$12+Assumptions!$B$13+Assumptions!$B$14)+G266+F266+D266+E266)+Assumptions!$B$65),($B$254*(1-$B$251)-$B$255)/((Assumptions!$B$9+Assumptions!$B$11+Assumptions!$B$12+Assumptions!$B$13+Assumptions!$B$14)+G266+F266+D266+E266))</f>
        <v/>
      </c>
      <c r="I266">
        <f>$B$254/H266</f>
        <v/>
      </c>
      <c r="J266">
        <f>$B$255/H266</f>
        <v/>
      </c>
      <c r="K266">
        <f>I266-J266</f>
        <v/>
      </c>
      <c r="L266">
        <f>Assumptions!$B$51/K266</f>
        <v/>
      </c>
      <c r="M266">
        <f>H266*(1-Assumptions!$B$52)</f>
        <v/>
      </c>
      <c r="N266">
        <f>MIN(L266,M266)</f>
        <v/>
      </c>
      <c r="O266">
        <f>Assumptions!$B$50/N266</f>
        <v/>
      </c>
      <c r="P266">
        <f>Assumptions!$B$54/K266</f>
        <v/>
      </c>
      <c r="Q266">
        <f>H266*(1-Assumptions!$B$55)</f>
        <v/>
      </c>
      <c r="R266">
        <f>MIN(P266,Q266)</f>
        <v/>
      </c>
      <c r="S266">
        <f>Assumptions!$B$53/R266</f>
        <v/>
      </c>
      <c r="T266">
        <f>Assumptions!$B$27*(Assumptions!$B$64+$B$255/Assumptions!$B$27)/(Assumptions!$B$64+J266)</f>
        <v/>
      </c>
      <c r="U266">
        <f>IF(H266&lt;Assumptions!$B$27,Assumptions!$B$27/T266,1)</f>
        <v/>
      </c>
      <c r="V266">
        <f>Assumptions!$B$26*(Assumptions!$B$64+$B$255/Assumptions!$B$26)/(Assumptions!$B$64+J266)</f>
        <v/>
      </c>
      <c r="W266">
        <f>IF(H266&lt;Assumptions!$B$26,Assumptions!$B$26/V266,1)</f>
        <v/>
      </c>
    </row>
    <row r="267">
      <c r="A267" t="n">
        <v>9</v>
      </c>
      <c r="B267">
        <f>U266</f>
        <v/>
      </c>
      <c r="C267">
        <f>W266</f>
        <v/>
      </c>
      <c r="D267">
        <f>O266</f>
        <v/>
      </c>
      <c r="E267">
        <f>S266</f>
        <v/>
      </c>
      <c r="F267">
        <f>Assumptions!$B$16*B267</f>
        <v/>
      </c>
      <c r="G267">
        <f>Assumptions!$B$15*C267</f>
        <v/>
      </c>
      <c r="H267">
        <f>IF($B$251*($B$254/(($B$254*(1-$B$251)-$B$255)/((Assumptions!$B$9+Assumptions!$B$11+Assumptions!$B$12+Assumptions!$B$13+Assumptions!$B$14)+G267+F267+D267+E267)))&lt;Assumptions!$B$65,($B$254-$B$255)/(((Assumptions!$B$9+Assumptions!$B$11+Assumptions!$B$12+Assumptions!$B$13+Assumptions!$B$14)+G267+F267+D267+E267)+Assumptions!$B$65),($B$254*(1-$B$251)-$B$255)/((Assumptions!$B$9+Assumptions!$B$11+Assumptions!$B$12+Assumptions!$B$13+Assumptions!$B$14)+G267+F267+D267+E267))</f>
        <v/>
      </c>
      <c r="I267">
        <f>$B$254/H267</f>
        <v/>
      </c>
      <c r="J267">
        <f>$B$255/H267</f>
        <v/>
      </c>
      <c r="K267">
        <f>I267-J267</f>
        <v/>
      </c>
      <c r="L267">
        <f>Assumptions!$B$51/K267</f>
        <v/>
      </c>
      <c r="M267">
        <f>H267*(1-Assumptions!$B$52)</f>
        <v/>
      </c>
      <c r="N267">
        <f>MIN(L267,M267)</f>
        <v/>
      </c>
      <c r="O267">
        <f>Assumptions!$B$50/N267</f>
        <v/>
      </c>
      <c r="P267">
        <f>Assumptions!$B$54/K267</f>
        <v/>
      </c>
      <c r="Q267">
        <f>H267*(1-Assumptions!$B$55)</f>
        <v/>
      </c>
      <c r="R267">
        <f>MIN(P267,Q267)</f>
        <v/>
      </c>
      <c r="S267">
        <f>Assumptions!$B$53/R267</f>
        <v/>
      </c>
      <c r="T267">
        <f>Assumptions!$B$27*(Assumptions!$B$64+$B$255/Assumptions!$B$27)/(Assumptions!$B$64+J267)</f>
        <v/>
      </c>
      <c r="U267">
        <f>IF(H267&lt;Assumptions!$B$27,Assumptions!$B$27/T267,1)</f>
        <v/>
      </c>
      <c r="V267">
        <f>Assumptions!$B$26*(Assumptions!$B$64+$B$255/Assumptions!$B$26)/(Assumptions!$B$64+J267)</f>
        <v/>
      </c>
      <c r="W267">
        <f>IF(H267&lt;Assumptions!$B$26,Assumptions!$B$26/V267,1)</f>
        <v/>
      </c>
    </row>
    <row r="268">
      <c r="A268" t="n">
        <v>10</v>
      </c>
      <c r="B268">
        <f>U267</f>
        <v/>
      </c>
      <c r="C268">
        <f>W267</f>
        <v/>
      </c>
      <c r="D268">
        <f>O267</f>
        <v/>
      </c>
      <c r="E268">
        <f>S267</f>
        <v/>
      </c>
      <c r="F268">
        <f>Assumptions!$B$16*B268</f>
        <v/>
      </c>
      <c r="G268">
        <f>Assumptions!$B$15*C268</f>
        <v/>
      </c>
      <c r="H268">
        <f>IF($B$251*($B$254/(($B$254*(1-$B$251)-$B$255)/((Assumptions!$B$9+Assumptions!$B$11+Assumptions!$B$12+Assumptions!$B$13+Assumptions!$B$14)+G268+F268+D268+E268)))&lt;Assumptions!$B$65,($B$254-$B$255)/(((Assumptions!$B$9+Assumptions!$B$11+Assumptions!$B$12+Assumptions!$B$13+Assumptions!$B$14)+G268+F268+D268+E268)+Assumptions!$B$65),($B$254*(1-$B$251)-$B$255)/((Assumptions!$B$9+Assumptions!$B$11+Assumptions!$B$12+Assumptions!$B$13+Assumptions!$B$14)+G268+F268+D268+E268))</f>
        <v/>
      </c>
      <c r="I268">
        <f>$B$254/H268</f>
        <v/>
      </c>
      <c r="J268">
        <f>$B$255/H268</f>
        <v/>
      </c>
      <c r="K268">
        <f>I268-J268</f>
        <v/>
      </c>
      <c r="L268">
        <f>Assumptions!$B$51/K268</f>
        <v/>
      </c>
      <c r="M268">
        <f>H268*(1-Assumptions!$B$52)</f>
        <v/>
      </c>
      <c r="N268">
        <f>MIN(L268,M268)</f>
        <v/>
      </c>
      <c r="O268">
        <f>Assumptions!$B$50/N268</f>
        <v/>
      </c>
      <c r="P268">
        <f>Assumptions!$B$54/K268</f>
        <v/>
      </c>
      <c r="Q268">
        <f>H268*(1-Assumptions!$B$55)</f>
        <v/>
      </c>
      <c r="R268">
        <f>MIN(P268,Q268)</f>
        <v/>
      </c>
      <c r="S268">
        <f>Assumptions!$B$53/R268</f>
        <v/>
      </c>
      <c r="T268">
        <f>Assumptions!$B$27*(Assumptions!$B$64+$B$255/Assumptions!$B$27)/(Assumptions!$B$64+J268)</f>
        <v/>
      </c>
      <c r="U268">
        <f>IF(H268&lt;Assumptions!$B$27,Assumptions!$B$27/T268,1)</f>
        <v/>
      </c>
      <c r="V268">
        <f>Assumptions!$B$26*(Assumptions!$B$64+$B$255/Assumptions!$B$26)/(Assumptions!$B$64+J268)</f>
        <v/>
      </c>
      <c r="W268">
        <f>IF(H268&lt;Assumptions!$B$26,Assumptions!$B$26/V268,1)</f>
        <v/>
      </c>
    </row>
    <row r="269">
      <c r="A269" t="n">
        <v>11</v>
      </c>
      <c r="B269">
        <f>U268</f>
        <v/>
      </c>
      <c r="C269">
        <f>W268</f>
        <v/>
      </c>
      <c r="D269">
        <f>O268</f>
        <v/>
      </c>
      <c r="E269">
        <f>S268</f>
        <v/>
      </c>
      <c r="F269">
        <f>Assumptions!$B$16*B269</f>
        <v/>
      </c>
      <c r="G269">
        <f>Assumptions!$B$15*C269</f>
        <v/>
      </c>
      <c r="H269">
        <f>IF($B$251*($B$254/(($B$254*(1-$B$251)-$B$255)/((Assumptions!$B$9+Assumptions!$B$11+Assumptions!$B$12+Assumptions!$B$13+Assumptions!$B$14)+G269+F269+D269+E269)))&lt;Assumptions!$B$65,($B$254-$B$255)/(((Assumptions!$B$9+Assumptions!$B$11+Assumptions!$B$12+Assumptions!$B$13+Assumptions!$B$14)+G269+F269+D269+E269)+Assumptions!$B$65),($B$254*(1-$B$251)-$B$255)/((Assumptions!$B$9+Assumptions!$B$11+Assumptions!$B$12+Assumptions!$B$13+Assumptions!$B$14)+G269+F269+D269+E269))</f>
        <v/>
      </c>
      <c r="I269">
        <f>$B$254/H269</f>
        <v/>
      </c>
      <c r="J269">
        <f>$B$255/H269</f>
        <v/>
      </c>
      <c r="K269">
        <f>I269-J269</f>
        <v/>
      </c>
      <c r="L269">
        <f>Assumptions!$B$51/K269</f>
        <v/>
      </c>
      <c r="M269">
        <f>H269*(1-Assumptions!$B$52)</f>
        <v/>
      </c>
      <c r="N269">
        <f>MIN(L269,M269)</f>
        <v/>
      </c>
      <c r="O269">
        <f>Assumptions!$B$50/N269</f>
        <v/>
      </c>
      <c r="P269">
        <f>Assumptions!$B$54/K269</f>
        <v/>
      </c>
      <c r="Q269">
        <f>H269*(1-Assumptions!$B$55)</f>
        <v/>
      </c>
      <c r="R269">
        <f>MIN(P269,Q269)</f>
        <v/>
      </c>
      <c r="S269">
        <f>Assumptions!$B$53/R269</f>
        <v/>
      </c>
      <c r="T269">
        <f>Assumptions!$B$27*(Assumptions!$B$64+$B$255/Assumptions!$B$27)/(Assumptions!$B$64+J269)</f>
        <v/>
      </c>
      <c r="U269">
        <f>IF(H269&lt;Assumptions!$B$27,Assumptions!$B$27/T269,1)</f>
        <v/>
      </c>
      <c r="V269">
        <f>Assumptions!$B$26*(Assumptions!$B$64+$B$255/Assumptions!$B$26)/(Assumptions!$B$64+J269)</f>
        <v/>
      </c>
      <c r="W269">
        <f>IF(H269&lt;Assumptions!$B$26,Assumptions!$B$26/V269,1)</f>
        <v/>
      </c>
    </row>
    <row r="270">
      <c r="A270" t="n">
        <v>12</v>
      </c>
      <c r="B270">
        <f>U269</f>
        <v/>
      </c>
      <c r="C270">
        <f>W269</f>
        <v/>
      </c>
      <c r="D270">
        <f>O269</f>
        <v/>
      </c>
      <c r="E270">
        <f>S269</f>
        <v/>
      </c>
      <c r="F270">
        <f>Assumptions!$B$16*B270</f>
        <v/>
      </c>
      <c r="G270">
        <f>Assumptions!$B$15*C270</f>
        <v/>
      </c>
      <c r="H270">
        <f>IF($B$251*($B$254/(($B$254*(1-$B$251)-$B$255)/((Assumptions!$B$9+Assumptions!$B$11+Assumptions!$B$12+Assumptions!$B$13+Assumptions!$B$14)+G270+F270+D270+E270)))&lt;Assumptions!$B$65,($B$254-$B$255)/(((Assumptions!$B$9+Assumptions!$B$11+Assumptions!$B$12+Assumptions!$B$13+Assumptions!$B$14)+G270+F270+D270+E270)+Assumptions!$B$65),($B$254*(1-$B$251)-$B$255)/((Assumptions!$B$9+Assumptions!$B$11+Assumptions!$B$12+Assumptions!$B$13+Assumptions!$B$14)+G270+F270+D270+E270))</f>
        <v/>
      </c>
      <c r="I270">
        <f>$B$254/H270</f>
        <v/>
      </c>
      <c r="J270">
        <f>$B$255/H270</f>
        <v/>
      </c>
      <c r="K270">
        <f>I270-J270</f>
        <v/>
      </c>
      <c r="L270">
        <f>Assumptions!$B$51/K270</f>
        <v/>
      </c>
      <c r="M270">
        <f>H270*(1-Assumptions!$B$52)</f>
        <v/>
      </c>
      <c r="N270">
        <f>MIN(L270,M270)</f>
        <v/>
      </c>
      <c r="O270">
        <f>Assumptions!$B$50/N270</f>
        <v/>
      </c>
      <c r="P270">
        <f>Assumptions!$B$54/K270</f>
        <v/>
      </c>
      <c r="Q270">
        <f>H270*(1-Assumptions!$B$55)</f>
        <v/>
      </c>
      <c r="R270">
        <f>MIN(P270,Q270)</f>
        <v/>
      </c>
      <c r="S270">
        <f>Assumptions!$B$53/R270</f>
        <v/>
      </c>
      <c r="T270">
        <f>Assumptions!$B$27*(Assumptions!$B$64+$B$255/Assumptions!$B$27)/(Assumptions!$B$64+J270)</f>
        <v/>
      </c>
      <c r="U270">
        <f>IF(H270&lt;Assumptions!$B$27,Assumptions!$B$27/T270,1)</f>
        <v/>
      </c>
      <c r="V270">
        <f>Assumptions!$B$26*(Assumptions!$B$64+$B$255/Assumptions!$B$26)/(Assumptions!$B$64+J270)</f>
        <v/>
      </c>
      <c r="W270">
        <f>IF(H270&lt;Assumptions!$B$26,Assumptions!$B$26/V270,1)</f>
        <v/>
      </c>
    </row>
    <row r="271">
      <c r="A271" t="n">
        <v>13</v>
      </c>
      <c r="B271">
        <f>U270</f>
        <v/>
      </c>
      <c r="C271">
        <f>W270</f>
        <v/>
      </c>
      <c r="D271">
        <f>O270</f>
        <v/>
      </c>
      <c r="E271">
        <f>S270</f>
        <v/>
      </c>
      <c r="F271">
        <f>Assumptions!$B$16*B271</f>
        <v/>
      </c>
      <c r="G271">
        <f>Assumptions!$B$15*C271</f>
        <v/>
      </c>
      <c r="H271">
        <f>IF($B$251*($B$254/(($B$254*(1-$B$251)-$B$255)/((Assumptions!$B$9+Assumptions!$B$11+Assumptions!$B$12+Assumptions!$B$13+Assumptions!$B$14)+G271+F271+D271+E271)))&lt;Assumptions!$B$65,($B$254-$B$255)/(((Assumptions!$B$9+Assumptions!$B$11+Assumptions!$B$12+Assumptions!$B$13+Assumptions!$B$14)+G271+F271+D271+E271)+Assumptions!$B$65),($B$254*(1-$B$251)-$B$255)/((Assumptions!$B$9+Assumptions!$B$11+Assumptions!$B$12+Assumptions!$B$13+Assumptions!$B$14)+G271+F271+D271+E271))</f>
        <v/>
      </c>
      <c r="I271">
        <f>$B$254/H271</f>
        <v/>
      </c>
      <c r="J271">
        <f>$B$255/H271</f>
        <v/>
      </c>
      <c r="K271">
        <f>I271-J271</f>
        <v/>
      </c>
      <c r="L271">
        <f>Assumptions!$B$51/K271</f>
        <v/>
      </c>
      <c r="M271">
        <f>H271*(1-Assumptions!$B$52)</f>
        <v/>
      </c>
      <c r="N271">
        <f>MIN(L271,M271)</f>
        <v/>
      </c>
      <c r="O271">
        <f>Assumptions!$B$50/N271</f>
        <v/>
      </c>
      <c r="P271">
        <f>Assumptions!$B$54/K271</f>
        <v/>
      </c>
      <c r="Q271">
        <f>H271*(1-Assumptions!$B$55)</f>
        <v/>
      </c>
      <c r="R271">
        <f>MIN(P271,Q271)</f>
        <v/>
      </c>
      <c r="S271">
        <f>Assumptions!$B$53/R271</f>
        <v/>
      </c>
      <c r="T271">
        <f>Assumptions!$B$27*(Assumptions!$B$64+$B$255/Assumptions!$B$27)/(Assumptions!$B$64+J271)</f>
        <v/>
      </c>
      <c r="U271">
        <f>IF(H271&lt;Assumptions!$B$27,Assumptions!$B$27/T271,1)</f>
        <v/>
      </c>
      <c r="V271">
        <f>Assumptions!$B$26*(Assumptions!$B$64+$B$255/Assumptions!$B$26)/(Assumptions!$B$64+J271)</f>
        <v/>
      </c>
      <c r="W271">
        <f>IF(H271&lt;Assumptions!$B$26,Assumptions!$B$26/V271,1)</f>
        <v/>
      </c>
    </row>
    <row r="272">
      <c r="A272" t="n">
        <v>14</v>
      </c>
      <c r="B272">
        <f>U271</f>
        <v/>
      </c>
      <c r="C272">
        <f>W271</f>
        <v/>
      </c>
      <c r="D272">
        <f>O271</f>
        <v/>
      </c>
      <c r="E272">
        <f>S271</f>
        <v/>
      </c>
      <c r="F272">
        <f>Assumptions!$B$16*B272</f>
        <v/>
      </c>
      <c r="G272">
        <f>Assumptions!$B$15*C272</f>
        <v/>
      </c>
      <c r="H272">
        <f>IF($B$251*($B$254/(($B$254*(1-$B$251)-$B$255)/((Assumptions!$B$9+Assumptions!$B$11+Assumptions!$B$12+Assumptions!$B$13+Assumptions!$B$14)+G272+F272+D272+E272)))&lt;Assumptions!$B$65,($B$254-$B$255)/(((Assumptions!$B$9+Assumptions!$B$11+Assumptions!$B$12+Assumptions!$B$13+Assumptions!$B$14)+G272+F272+D272+E272)+Assumptions!$B$65),($B$254*(1-$B$251)-$B$255)/((Assumptions!$B$9+Assumptions!$B$11+Assumptions!$B$12+Assumptions!$B$13+Assumptions!$B$14)+G272+F272+D272+E272))</f>
        <v/>
      </c>
      <c r="I272">
        <f>$B$254/H272</f>
        <v/>
      </c>
      <c r="J272">
        <f>$B$255/H272</f>
        <v/>
      </c>
      <c r="K272">
        <f>I272-J272</f>
        <v/>
      </c>
      <c r="L272">
        <f>Assumptions!$B$51/K272</f>
        <v/>
      </c>
      <c r="M272">
        <f>H272*(1-Assumptions!$B$52)</f>
        <v/>
      </c>
      <c r="N272">
        <f>MIN(L272,M272)</f>
        <v/>
      </c>
      <c r="O272">
        <f>Assumptions!$B$50/N272</f>
        <v/>
      </c>
      <c r="P272">
        <f>Assumptions!$B$54/K272</f>
        <v/>
      </c>
      <c r="Q272">
        <f>H272*(1-Assumptions!$B$55)</f>
        <v/>
      </c>
      <c r="R272">
        <f>MIN(P272,Q272)</f>
        <v/>
      </c>
      <c r="S272">
        <f>Assumptions!$B$53/R272</f>
        <v/>
      </c>
      <c r="T272">
        <f>Assumptions!$B$27*(Assumptions!$B$64+$B$255/Assumptions!$B$27)/(Assumptions!$B$64+J272)</f>
        <v/>
      </c>
      <c r="U272">
        <f>IF(H272&lt;Assumptions!$B$27,Assumptions!$B$27/T272,1)</f>
        <v/>
      </c>
      <c r="V272">
        <f>Assumptions!$B$26*(Assumptions!$B$64+$B$255/Assumptions!$B$26)/(Assumptions!$B$64+J272)</f>
        <v/>
      </c>
      <c r="W272">
        <f>IF(H272&lt;Assumptions!$B$26,Assumptions!$B$26/V272,1)</f>
        <v/>
      </c>
    </row>
    <row r="273">
      <c r="A273" t="n">
        <v>15</v>
      </c>
      <c r="B273">
        <f>U272</f>
        <v/>
      </c>
      <c r="C273">
        <f>W272</f>
        <v/>
      </c>
      <c r="D273">
        <f>O272</f>
        <v/>
      </c>
      <c r="E273">
        <f>S272</f>
        <v/>
      </c>
      <c r="F273">
        <f>Assumptions!$B$16*B273</f>
        <v/>
      </c>
      <c r="G273">
        <f>Assumptions!$B$15*C273</f>
        <v/>
      </c>
      <c r="H273">
        <f>IF($B$251*($B$254/(($B$254*(1-$B$251)-$B$255)/((Assumptions!$B$9+Assumptions!$B$11+Assumptions!$B$12+Assumptions!$B$13+Assumptions!$B$14)+G273+F273+D273+E273)))&lt;Assumptions!$B$65,($B$254-$B$255)/(((Assumptions!$B$9+Assumptions!$B$11+Assumptions!$B$12+Assumptions!$B$13+Assumptions!$B$14)+G273+F273+D273+E273)+Assumptions!$B$65),($B$254*(1-$B$251)-$B$255)/((Assumptions!$B$9+Assumptions!$B$11+Assumptions!$B$12+Assumptions!$B$13+Assumptions!$B$14)+G273+F273+D273+E273))</f>
        <v/>
      </c>
      <c r="I273">
        <f>$B$254/H273</f>
        <v/>
      </c>
      <c r="J273">
        <f>$B$255/H273</f>
        <v/>
      </c>
      <c r="K273">
        <f>I273-J273</f>
        <v/>
      </c>
      <c r="L273">
        <f>Assumptions!$B$51/K273</f>
        <v/>
      </c>
      <c r="M273">
        <f>H273*(1-Assumptions!$B$52)</f>
        <v/>
      </c>
      <c r="N273">
        <f>MIN(L273,M273)</f>
        <v/>
      </c>
      <c r="O273">
        <f>Assumptions!$B$50/N273</f>
        <v/>
      </c>
      <c r="P273">
        <f>Assumptions!$B$54/K273</f>
        <v/>
      </c>
      <c r="Q273">
        <f>H273*(1-Assumptions!$B$55)</f>
        <v/>
      </c>
      <c r="R273">
        <f>MIN(P273,Q273)</f>
        <v/>
      </c>
      <c r="S273">
        <f>Assumptions!$B$53/R273</f>
        <v/>
      </c>
      <c r="T273">
        <f>Assumptions!$B$27*(Assumptions!$B$64+$B$255/Assumptions!$B$27)/(Assumptions!$B$64+J273)</f>
        <v/>
      </c>
      <c r="U273">
        <f>IF(H273&lt;Assumptions!$B$27,Assumptions!$B$27/T273,1)</f>
        <v/>
      </c>
      <c r="V273">
        <f>Assumptions!$B$26*(Assumptions!$B$64+$B$255/Assumptions!$B$26)/(Assumptions!$B$64+J273)</f>
        <v/>
      </c>
      <c r="W273">
        <f>IF(H273&lt;Assumptions!$B$26,Assumptions!$B$26/V273,1)</f>
        <v/>
      </c>
    </row>
    <row r="274">
      <c r="A274" t="n">
        <v>16</v>
      </c>
      <c r="B274">
        <f>U273</f>
        <v/>
      </c>
      <c r="C274">
        <f>W273</f>
        <v/>
      </c>
      <c r="D274">
        <f>O273</f>
        <v/>
      </c>
      <c r="E274">
        <f>S273</f>
        <v/>
      </c>
      <c r="F274">
        <f>Assumptions!$B$16*B274</f>
        <v/>
      </c>
      <c r="G274">
        <f>Assumptions!$B$15*C274</f>
        <v/>
      </c>
      <c r="H274">
        <f>IF($B$251*($B$254/(($B$254*(1-$B$251)-$B$255)/((Assumptions!$B$9+Assumptions!$B$11+Assumptions!$B$12+Assumptions!$B$13+Assumptions!$B$14)+G274+F274+D274+E274)))&lt;Assumptions!$B$65,($B$254-$B$255)/(((Assumptions!$B$9+Assumptions!$B$11+Assumptions!$B$12+Assumptions!$B$13+Assumptions!$B$14)+G274+F274+D274+E274)+Assumptions!$B$65),($B$254*(1-$B$251)-$B$255)/((Assumptions!$B$9+Assumptions!$B$11+Assumptions!$B$12+Assumptions!$B$13+Assumptions!$B$14)+G274+F274+D274+E274))</f>
        <v/>
      </c>
      <c r="I274">
        <f>$B$254/H274</f>
        <v/>
      </c>
      <c r="J274">
        <f>$B$255/H274</f>
        <v/>
      </c>
      <c r="K274">
        <f>I274-J274</f>
        <v/>
      </c>
      <c r="L274">
        <f>Assumptions!$B$51/K274</f>
        <v/>
      </c>
      <c r="M274">
        <f>H274*(1-Assumptions!$B$52)</f>
        <v/>
      </c>
      <c r="N274">
        <f>MIN(L274,M274)</f>
        <v/>
      </c>
      <c r="O274">
        <f>Assumptions!$B$50/N274</f>
        <v/>
      </c>
      <c r="P274">
        <f>Assumptions!$B$54/K274</f>
        <v/>
      </c>
      <c r="Q274">
        <f>H274*(1-Assumptions!$B$55)</f>
        <v/>
      </c>
      <c r="R274">
        <f>MIN(P274,Q274)</f>
        <v/>
      </c>
      <c r="S274">
        <f>Assumptions!$B$53/R274</f>
        <v/>
      </c>
      <c r="T274">
        <f>Assumptions!$B$27*(Assumptions!$B$64+$B$255/Assumptions!$B$27)/(Assumptions!$B$64+J274)</f>
        <v/>
      </c>
      <c r="U274">
        <f>IF(H274&lt;Assumptions!$B$27,Assumptions!$B$27/T274,1)</f>
        <v/>
      </c>
      <c r="V274">
        <f>Assumptions!$B$26*(Assumptions!$B$64+$B$255/Assumptions!$B$26)/(Assumptions!$B$64+J274)</f>
        <v/>
      </c>
      <c r="W274">
        <f>IF(H274&lt;Assumptions!$B$26,Assumptions!$B$26/V274,1)</f>
        <v/>
      </c>
    </row>
    <row r="275">
      <c r="A275" t="n">
        <v>17</v>
      </c>
      <c r="B275">
        <f>U274</f>
        <v/>
      </c>
      <c r="C275">
        <f>W274</f>
        <v/>
      </c>
      <c r="D275">
        <f>O274</f>
        <v/>
      </c>
      <c r="E275">
        <f>S274</f>
        <v/>
      </c>
      <c r="F275">
        <f>Assumptions!$B$16*B275</f>
        <v/>
      </c>
      <c r="G275">
        <f>Assumptions!$B$15*C275</f>
        <v/>
      </c>
      <c r="H275">
        <f>IF($B$251*($B$254/(($B$254*(1-$B$251)-$B$255)/((Assumptions!$B$9+Assumptions!$B$11+Assumptions!$B$12+Assumptions!$B$13+Assumptions!$B$14)+G275+F275+D275+E275)))&lt;Assumptions!$B$65,($B$254-$B$255)/(((Assumptions!$B$9+Assumptions!$B$11+Assumptions!$B$12+Assumptions!$B$13+Assumptions!$B$14)+G275+F275+D275+E275)+Assumptions!$B$65),($B$254*(1-$B$251)-$B$255)/((Assumptions!$B$9+Assumptions!$B$11+Assumptions!$B$12+Assumptions!$B$13+Assumptions!$B$14)+G275+F275+D275+E275))</f>
        <v/>
      </c>
      <c r="I275">
        <f>$B$254/H275</f>
        <v/>
      </c>
      <c r="J275">
        <f>$B$255/H275</f>
        <v/>
      </c>
      <c r="K275">
        <f>I275-J275</f>
        <v/>
      </c>
      <c r="L275">
        <f>Assumptions!$B$51/K275</f>
        <v/>
      </c>
      <c r="M275">
        <f>H275*(1-Assumptions!$B$52)</f>
        <v/>
      </c>
      <c r="N275">
        <f>MIN(L275,M275)</f>
        <v/>
      </c>
      <c r="O275">
        <f>Assumptions!$B$50/N275</f>
        <v/>
      </c>
      <c r="P275">
        <f>Assumptions!$B$54/K275</f>
        <v/>
      </c>
      <c r="Q275">
        <f>H275*(1-Assumptions!$B$55)</f>
        <v/>
      </c>
      <c r="R275">
        <f>MIN(P275,Q275)</f>
        <v/>
      </c>
      <c r="S275">
        <f>Assumptions!$B$53/R275</f>
        <v/>
      </c>
      <c r="T275">
        <f>Assumptions!$B$27*(Assumptions!$B$64+$B$255/Assumptions!$B$27)/(Assumptions!$B$64+J275)</f>
        <v/>
      </c>
      <c r="U275">
        <f>IF(H275&lt;Assumptions!$B$27,Assumptions!$B$27/T275,1)</f>
        <v/>
      </c>
      <c r="V275">
        <f>Assumptions!$B$26*(Assumptions!$B$64+$B$255/Assumptions!$B$26)/(Assumptions!$B$64+J275)</f>
        <v/>
      </c>
      <c r="W275">
        <f>IF(H275&lt;Assumptions!$B$26,Assumptions!$B$26/V275,1)</f>
        <v/>
      </c>
    </row>
    <row r="276">
      <c r="A276" t="n">
        <v>18</v>
      </c>
      <c r="B276">
        <f>U275</f>
        <v/>
      </c>
      <c r="C276">
        <f>W275</f>
        <v/>
      </c>
      <c r="D276">
        <f>O275</f>
        <v/>
      </c>
      <c r="E276">
        <f>S275</f>
        <v/>
      </c>
      <c r="F276">
        <f>Assumptions!$B$16*B276</f>
        <v/>
      </c>
      <c r="G276">
        <f>Assumptions!$B$15*C276</f>
        <v/>
      </c>
      <c r="H276">
        <f>IF($B$251*($B$254/(($B$254*(1-$B$251)-$B$255)/((Assumptions!$B$9+Assumptions!$B$11+Assumptions!$B$12+Assumptions!$B$13+Assumptions!$B$14)+G276+F276+D276+E276)))&lt;Assumptions!$B$65,($B$254-$B$255)/(((Assumptions!$B$9+Assumptions!$B$11+Assumptions!$B$12+Assumptions!$B$13+Assumptions!$B$14)+G276+F276+D276+E276)+Assumptions!$B$65),($B$254*(1-$B$251)-$B$255)/((Assumptions!$B$9+Assumptions!$B$11+Assumptions!$B$12+Assumptions!$B$13+Assumptions!$B$14)+G276+F276+D276+E276))</f>
        <v/>
      </c>
      <c r="I276">
        <f>$B$254/H276</f>
        <v/>
      </c>
      <c r="J276">
        <f>$B$255/H276</f>
        <v/>
      </c>
      <c r="K276">
        <f>I276-J276</f>
        <v/>
      </c>
      <c r="L276">
        <f>Assumptions!$B$51/K276</f>
        <v/>
      </c>
      <c r="M276">
        <f>H276*(1-Assumptions!$B$52)</f>
        <v/>
      </c>
      <c r="N276">
        <f>MIN(L276,M276)</f>
        <v/>
      </c>
      <c r="O276">
        <f>Assumptions!$B$50/N276</f>
        <v/>
      </c>
      <c r="P276">
        <f>Assumptions!$B$54/K276</f>
        <v/>
      </c>
      <c r="Q276">
        <f>H276*(1-Assumptions!$B$55)</f>
        <v/>
      </c>
      <c r="R276">
        <f>MIN(P276,Q276)</f>
        <v/>
      </c>
      <c r="S276">
        <f>Assumptions!$B$53/R276</f>
        <v/>
      </c>
      <c r="T276">
        <f>Assumptions!$B$27*(Assumptions!$B$64+$B$255/Assumptions!$B$27)/(Assumptions!$B$64+J276)</f>
        <v/>
      </c>
      <c r="U276">
        <f>IF(H276&lt;Assumptions!$B$27,Assumptions!$B$27/T276,1)</f>
        <v/>
      </c>
      <c r="V276">
        <f>Assumptions!$B$26*(Assumptions!$B$64+$B$255/Assumptions!$B$26)/(Assumptions!$B$64+J276)</f>
        <v/>
      </c>
      <c r="W276">
        <f>IF(H276&lt;Assumptions!$B$26,Assumptions!$B$26/V276,1)</f>
        <v/>
      </c>
    </row>
    <row r="277">
      <c r="A277" t="n">
        <v>19</v>
      </c>
      <c r="B277">
        <f>U276</f>
        <v/>
      </c>
      <c r="C277">
        <f>W276</f>
        <v/>
      </c>
      <c r="D277">
        <f>O276</f>
        <v/>
      </c>
      <c r="E277">
        <f>S276</f>
        <v/>
      </c>
      <c r="F277">
        <f>Assumptions!$B$16*B277</f>
        <v/>
      </c>
      <c r="G277">
        <f>Assumptions!$B$15*C277</f>
        <v/>
      </c>
      <c r="H277">
        <f>IF($B$251*($B$254/(($B$254*(1-$B$251)-$B$255)/((Assumptions!$B$9+Assumptions!$B$11+Assumptions!$B$12+Assumptions!$B$13+Assumptions!$B$14)+G277+F277+D277+E277)))&lt;Assumptions!$B$65,($B$254-$B$255)/(((Assumptions!$B$9+Assumptions!$B$11+Assumptions!$B$12+Assumptions!$B$13+Assumptions!$B$14)+G277+F277+D277+E277)+Assumptions!$B$65),($B$254*(1-$B$251)-$B$255)/((Assumptions!$B$9+Assumptions!$B$11+Assumptions!$B$12+Assumptions!$B$13+Assumptions!$B$14)+G277+F277+D277+E277))</f>
        <v/>
      </c>
      <c r="I277">
        <f>$B$254/H277</f>
        <v/>
      </c>
      <c r="J277">
        <f>$B$255/H277</f>
        <v/>
      </c>
      <c r="K277">
        <f>I277-J277</f>
        <v/>
      </c>
      <c r="L277">
        <f>Assumptions!$B$51/K277</f>
        <v/>
      </c>
      <c r="M277">
        <f>H277*(1-Assumptions!$B$52)</f>
        <v/>
      </c>
      <c r="N277">
        <f>MIN(L277,M277)</f>
        <v/>
      </c>
      <c r="O277">
        <f>Assumptions!$B$50/N277</f>
        <v/>
      </c>
      <c r="P277">
        <f>Assumptions!$B$54/K277</f>
        <v/>
      </c>
      <c r="Q277">
        <f>H277*(1-Assumptions!$B$55)</f>
        <v/>
      </c>
      <c r="R277">
        <f>MIN(P277,Q277)</f>
        <v/>
      </c>
      <c r="S277">
        <f>Assumptions!$B$53/R277</f>
        <v/>
      </c>
      <c r="T277">
        <f>Assumptions!$B$27*(Assumptions!$B$64+$B$255/Assumptions!$B$27)/(Assumptions!$B$64+J277)</f>
        <v/>
      </c>
      <c r="U277">
        <f>IF(H277&lt;Assumptions!$B$27,Assumptions!$B$27/T277,1)</f>
        <v/>
      </c>
      <c r="V277">
        <f>Assumptions!$B$26*(Assumptions!$B$64+$B$255/Assumptions!$B$26)/(Assumptions!$B$64+J277)</f>
        <v/>
      </c>
      <c r="W277">
        <f>IF(H277&lt;Assumptions!$B$26,Assumptions!$B$26/V277,1)</f>
        <v/>
      </c>
    </row>
    <row r="278">
      <c r="A278" t="n">
        <v>20</v>
      </c>
      <c r="B278">
        <f>U277</f>
        <v/>
      </c>
      <c r="C278">
        <f>W277</f>
        <v/>
      </c>
      <c r="D278">
        <f>O277</f>
        <v/>
      </c>
      <c r="E278">
        <f>S277</f>
        <v/>
      </c>
      <c r="F278">
        <f>Assumptions!$B$16*B278</f>
        <v/>
      </c>
      <c r="G278">
        <f>Assumptions!$B$15*C278</f>
        <v/>
      </c>
      <c r="H278">
        <f>IF($B$251*($B$254/(($B$254*(1-$B$251)-$B$255)/((Assumptions!$B$9+Assumptions!$B$11+Assumptions!$B$12+Assumptions!$B$13+Assumptions!$B$14)+G278+F278+D278+E278)))&lt;Assumptions!$B$65,($B$254-$B$255)/(((Assumptions!$B$9+Assumptions!$B$11+Assumptions!$B$12+Assumptions!$B$13+Assumptions!$B$14)+G278+F278+D278+E278)+Assumptions!$B$65),($B$254*(1-$B$251)-$B$255)/((Assumptions!$B$9+Assumptions!$B$11+Assumptions!$B$12+Assumptions!$B$13+Assumptions!$B$14)+G278+F278+D278+E278))</f>
        <v/>
      </c>
      <c r="I278">
        <f>$B$254/H278</f>
        <v/>
      </c>
      <c r="J278">
        <f>$B$255/H278</f>
        <v/>
      </c>
      <c r="K278">
        <f>I278-J278</f>
        <v/>
      </c>
      <c r="L278">
        <f>Assumptions!$B$51/K278</f>
        <v/>
      </c>
      <c r="M278">
        <f>H278*(1-Assumptions!$B$52)</f>
        <v/>
      </c>
      <c r="N278">
        <f>MIN(L278,M278)</f>
        <v/>
      </c>
      <c r="O278">
        <f>Assumptions!$B$50/N278</f>
        <v/>
      </c>
      <c r="P278">
        <f>Assumptions!$B$54/K278</f>
        <v/>
      </c>
      <c r="Q278">
        <f>H278*(1-Assumptions!$B$55)</f>
        <v/>
      </c>
      <c r="R278">
        <f>MIN(P278,Q278)</f>
        <v/>
      </c>
      <c r="S278">
        <f>Assumptions!$B$53/R278</f>
        <v/>
      </c>
      <c r="T278">
        <f>Assumptions!$B$27*(Assumptions!$B$64+$B$255/Assumptions!$B$27)/(Assumptions!$B$64+J278)</f>
        <v/>
      </c>
      <c r="U278">
        <f>IF(H278&lt;Assumptions!$B$27,Assumptions!$B$27/T278,1)</f>
        <v/>
      </c>
      <c r="V278">
        <f>Assumptions!$B$26*(Assumptions!$B$64+$B$255/Assumptions!$B$26)/(Assumptions!$B$64+J278)</f>
        <v/>
      </c>
      <c r="W278">
        <f>IF(H278&lt;Assumptions!$B$26,Assumptions!$B$26/V278,1)</f>
        <v/>
      </c>
    </row>
    <row r="279">
      <c r="A279" t="n">
        <v>21</v>
      </c>
      <c r="B279">
        <f>U278</f>
        <v/>
      </c>
      <c r="C279">
        <f>W278</f>
        <v/>
      </c>
      <c r="D279">
        <f>O278</f>
        <v/>
      </c>
      <c r="E279">
        <f>S278</f>
        <v/>
      </c>
      <c r="F279">
        <f>Assumptions!$B$16*B279</f>
        <v/>
      </c>
      <c r="G279">
        <f>Assumptions!$B$15*C279</f>
        <v/>
      </c>
      <c r="H279">
        <f>IF($B$251*($B$254/(($B$254*(1-$B$251)-$B$255)/((Assumptions!$B$9+Assumptions!$B$11+Assumptions!$B$12+Assumptions!$B$13+Assumptions!$B$14)+G279+F279+D279+E279)))&lt;Assumptions!$B$65,($B$254-$B$255)/(((Assumptions!$B$9+Assumptions!$B$11+Assumptions!$B$12+Assumptions!$B$13+Assumptions!$B$14)+G279+F279+D279+E279)+Assumptions!$B$65),($B$254*(1-$B$251)-$B$255)/((Assumptions!$B$9+Assumptions!$B$11+Assumptions!$B$12+Assumptions!$B$13+Assumptions!$B$14)+G279+F279+D279+E279))</f>
        <v/>
      </c>
      <c r="I279">
        <f>$B$254/H279</f>
        <v/>
      </c>
      <c r="J279">
        <f>$B$255/H279</f>
        <v/>
      </c>
      <c r="K279">
        <f>I279-J279</f>
        <v/>
      </c>
      <c r="L279">
        <f>Assumptions!$B$51/K279</f>
        <v/>
      </c>
      <c r="M279">
        <f>H279*(1-Assumptions!$B$52)</f>
        <v/>
      </c>
      <c r="N279">
        <f>MIN(L279,M279)</f>
        <v/>
      </c>
      <c r="O279">
        <f>Assumptions!$B$50/N279</f>
        <v/>
      </c>
      <c r="P279">
        <f>Assumptions!$B$54/K279</f>
        <v/>
      </c>
      <c r="Q279">
        <f>H279*(1-Assumptions!$B$55)</f>
        <v/>
      </c>
      <c r="R279">
        <f>MIN(P279,Q279)</f>
        <v/>
      </c>
      <c r="S279">
        <f>Assumptions!$B$53/R279</f>
        <v/>
      </c>
      <c r="T279">
        <f>Assumptions!$B$27*(Assumptions!$B$64+$B$255/Assumptions!$B$27)/(Assumptions!$B$64+J279)</f>
        <v/>
      </c>
      <c r="U279">
        <f>IF(H279&lt;Assumptions!$B$27,Assumptions!$B$27/T279,1)</f>
        <v/>
      </c>
      <c r="V279">
        <f>Assumptions!$B$26*(Assumptions!$B$64+$B$255/Assumptions!$B$26)/(Assumptions!$B$64+J279)</f>
        <v/>
      </c>
      <c r="W279">
        <f>IF(H279&lt;Assumptions!$B$26,Assumptions!$B$26/V279,1)</f>
        <v/>
      </c>
    </row>
    <row r="280">
      <c r="A280" t="n">
        <v>22</v>
      </c>
      <c r="B280">
        <f>U279</f>
        <v/>
      </c>
      <c r="C280">
        <f>W279</f>
        <v/>
      </c>
      <c r="D280">
        <f>O279</f>
        <v/>
      </c>
      <c r="E280">
        <f>S279</f>
        <v/>
      </c>
      <c r="F280">
        <f>Assumptions!$B$16*B280</f>
        <v/>
      </c>
      <c r="G280">
        <f>Assumptions!$B$15*C280</f>
        <v/>
      </c>
      <c r="H280">
        <f>IF($B$251*($B$254/(($B$254*(1-$B$251)-$B$255)/((Assumptions!$B$9+Assumptions!$B$11+Assumptions!$B$12+Assumptions!$B$13+Assumptions!$B$14)+G280+F280+D280+E280)))&lt;Assumptions!$B$65,($B$254-$B$255)/(((Assumptions!$B$9+Assumptions!$B$11+Assumptions!$B$12+Assumptions!$B$13+Assumptions!$B$14)+G280+F280+D280+E280)+Assumptions!$B$65),($B$254*(1-$B$251)-$B$255)/((Assumptions!$B$9+Assumptions!$B$11+Assumptions!$B$12+Assumptions!$B$13+Assumptions!$B$14)+G280+F280+D280+E280))</f>
        <v/>
      </c>
      <c r="I280">
        <f>$B$254/H280</f>
        <v/>
      </c>
      <c r="J280">
        <f>$B$255/H280</f>
        <v/>
      </c>
      <c r="K280">
        <f>I280-J280</f>
        <v/>
      </c>
      <c r="L280">
        <f>Assumptions!$B$51/K280</f>
        <v/>
      </c>
      <c r="M280">
        <f>H280*(1-Assumptions!$B$52)</f>
        <v/>
      </c>
      <c r="N280">
        <f>MIN(L280,M280)</f>
        <v/>
      </c>
      <c r="O280">
        <f>Assumptions!$B$50/N280</f>
        <v/>
      </c>
      <c r="P280">
        <f>Assumptions!$B$54/K280</f>
        <v/>
      </c>
      <c r="Q280">
        <f>H280*(1-Assumptions!$B$55)</f>
        <v/>
      </c>
      <c r="R280">
        <f>MIN(P280,Q280)</f>
        <v/>
      </c>
      <c r="S280">
        <f>Assumptions!$B$53/R280</f>
        <v/>
      </c>
      <c r="T280">
        <f>Assumptions!$B$27*(Assumptions!$B$64+$B$255/Assumptions!$B$27)/(Assumptions!$B$64+J280)</f>
        <v/>
      </c>
      <c r="U280">
        <f>IF(H280&lt;Assumptions!$B$27,Assumptions!$B$27/T280,1)</f>
        <v/>
      </c>
      <c r="V280">
        <f>Assumptions!$B$26*(Assumptions!$B$64+$B$255/Assumptions!$B$26)/(Assumptions!$B$64+J280)</f>
        <v/>
      </c>
      <c r="W280">
        <f>IF(H280&lt;Assumptions!$B$26,Assumptions!$B$26/V280,1)</f>
        <v/>
      </c>
    </row>
    <row r="281">
      <c r="A281" t="n">
        <v>23</v>
      </c>
      <c r="B281">
        <f>U280</f>
        <v/>
      </c>
      <c r="C281">
        <f>W280</f>
        <v/>
      </c>
      <c r="D281">
        <f>O280</f>
        <v/>
      </c>
      <c r="E281">
        <f>S280</f>
        <v/>
      </c>
      <c r="F281">
        <f>Assumptions!$B$16*B281</f>
        <v/>
      </c>
      <c r="G281">
        <f>Assumptions!$B$15*C281</f>
        <v/>
      </c>
      <c r="H281">
        <f>IF($B$251*($B$254/(($B$254*(1-$B$251)-$B$255)/((Assumptions!$B$9+Assumptions!$B$11+Assumptions!$B$12+Assumptions!$B$13+Assumptions!$B$14)+G281+F281+D281+E281)))&lt;Assumptions!$B$65,($B$254-$B$255)/(((Assumptions!$B$9+Assumptions!$B$11+Assumptions!$B$12+Assumptions!$B$13+Assumptions!$B$14)+G281+F281+D281+E281)+Assumptions!$B$65),($B$254*(1-$B$251)-$B$255)/((Assumptions!$B$9+Assumptions!$B$11+Assumptions!$B$12+Assumptions!$B$13+Assumptions!$B$14)+G281+F281+D281+E281))</f>
        <v/>
      </c>
      <c r="I281">
        <f>$B$254/H281</f>
        <v/>
      </c>
      <c r="J281">
        <f>$B$255/H281</f>
        <v/>
      </c>
      <c r="K281">
        <f>I281-J281</f>
        <v/>
      </c>
      <c r="L281">
        <f>Assumptions!$B$51/K281</f>
        <v/>
      </c>
      <c r="M281">
        <f>H281*(1-Assumptions!$B$52)</f>
        <v/>
      </c>
      <c r="N281">
        <f>MIN(L281,M281)</f>
        <v/>
      </c>
      <c r="O281">
        <f>Assumptions!$B$50/N281</f>
        <v/>
      </c>
      <c r="P281">
        <f>Assumptions!$B$54/K281</f>
        <v/>
      </c>
      <c r="Q281">
        <f>H281*(1-Assumptions!$B$55)</f>
        <v/>
      </c>
      <c r="R281">
        <f>MIN(P281,Q281)</f>
        <v/>
      </c>
      <c r="S281">
        <f>Assumptions!$B$53/R281</f>
        <v/>
      </c>
      <c r="T281">
        <f>Assumptions!$B$27*(Assumptions!$B$64+$B$255/Assumptions!$B$27)/(Assumptions!$B$64+J281)</f>
        <v/>
      </c>
      <c r="U281">
        <f>IF(H281&lt;Assumptions!$B$27,Assumptions!$B$27/T281,1)</f>
        <v/>
      </c>
      <c r="V281">
        <f>Assumptions!$B$26*(Assumptions!$B$64+$B$255/Assumptions!$B$26)/(Assumptions!$B$64+J281)</f>
        <v/>
      </c>
      <c r="W281">
        <f>IF(H281&lt;Assumptions!$B$26,Assumptions!$B$26/V281,1)</f>
        <v/>
      </c>
    </row>
    <row r="282">
      <c r="A282" t="n">
        <v>24</v>
      </c>
      <c r="B282">
        <f>U281</f>
        <v/>
      </c>
      <c r="C282">
        <f>W281</f>
        <v/>
      </c>
      <c r="D282">
        <f>O281</f>
        <v/>
      </c>
      <c r="E282">
        <f>S281</f>
        <v/>
      </c>
      <c r="F282">
        <f>Assumptions!$B$16*B282</f>
        <v/>
      </c>
      <c r="G282">
        <f>Assumptions!$B$15*C282</f>
        <v/>
      </c>
      <c r="H282">
        <f>IF($B$251*($B$254/(($B$254*(1-$B$251)-$B$255)/((Assumptions!$B$9+Assumptions!$B$11+Assumptions!$B$12+Assumptions!$B$13+Assumptions!$B$14)+G282+F282+D282+E282)))&lt;Assumptions!$B$65,($B$254-$B$255)/(((Assumptions!$B$9+Assumptions!$B$11+Assumptions!$B$12+Assumptions!$B$13+Assumptions!$B$14)+G282+F282+D282+E282)+Assumptions!$B$65),($B$254*(1-$B$251)-$B$255)/((Assumptions!$B$9+Assumptions!$B$11+Assumptions!$B$12+Assumptions!$B$13+Assumptions!$B$14)+G282+F282+D282+E282))</f>
        <v/>
      </c>
      <c r="I282">
        <f>$B$254/H282</f>
        <v/>
      </c>
      <c r="J282">
        <f>$B$255/H282</f>
        <v/>
      </c>
      <c r="K282">
        <f>I282-J282</f>
        <v/>
      </c>
      <c r="L282">
        <f>Assumptions!$B$51/K282</f>
        <v/>
      </c>
      <c r="M282">
        <f>H282*(1-Assumptions!$B$52)</f>
        <v/>
      </c>
      <c r="N282">
        <f>MIN(L282,M282)</f>
        <v/>
      </c>
      <c r="O282">
        <f>Assumptions!$B$50/N282</f>
        <v/>
      </c>
      <c r="P282">
        <f>Assumptions!$B$54/K282</f>
        <v/>
      </c>
      <c r="Q282">
        <f>H282*(1-Assumptions!$B$55)</f>
        <v/>
      </c>
      <c r="R282">
        <f>MIN(P282,Q282)</f>
        <v/>
      </c>
      <c r="S282">
        <f>Assumptions!$B$53/R282</f>
        <v/>
      </c>
      <c r="T282">
        <f>Assumptions!$B$27*(Assumptions!$B$64+$B$255/Assumptions!$B$27)/(Assumptions!$B$64+J282)</f>
        <v/>
      </c>
      <c r="U282">
        <f>IF(H282&lt;Assumptions!$B$27,Assumptions!$B$27/T282,1)</f>
        <v/>
      </c>
      <c r="V282">
        <f>Assumptions!$B$26*(Assumptions!$B$64+$B$255/Assumptions!$B$26)/(Assumptions!$B$64+J282)</f>
        <v/>
      </c>
      <c r="W282">
        <f>IF(H282&lt;Assumptions!$B$26,Assumptions!$B$26/V282,1)</f>
        <v/>
      </c>
    </row>
    <row r="283">
      <c r="A283" t="n">
        <v>25</v>
      </c>
      <c r="B283">
        <f>U282</f>
        <v/>
      </c>
      <c r="C283">
        <f>W282</f>
        <v/>
      </c>
      <c r="D283">
        <f>O282</f>
        <v/>
      </c>
      <c r="E283">
        <f>S282</f>
        <v/>
      </c>
      <c r="F283">
        <f>Assumptions!$B$16*B283</f>
        <v/>
      </c>
      <c r="G283">
        <f>Assumptions!$B$15*C283</f>
        <v/>
      </c>
      <c r="H283">
        <f>IF($B$251*($B$254/(($B$254*(1-$B$251)-$B$255)/((Assumptions!$B$9+Assumptions!$B$11+Assumptions!$B$12+Assumptions!$B$13+Assumptions!$B$14)+G283+F283+D283+E283)))&lt;Assumptions!$B$65,($B$254-$B$255)/(((Assumptions!$B$9+Assumptions!$B$11+Assumptions!$B$12+Assumptions!$B$13+Assumptions!$B$14)+G283+F283+D283+E283)+Assumptions!$B$65),($B$254*(1-$B$251)-$B$255)/((Assumptions!$B$9+Assumptions!$B$11+Assumptions!$B$12+Assumptions!$B$13+Assumptions!$B$14)+G283+F283+D283+E283))</f>
        <v/>
      </c>
      <c r="I283">
        <f>$B$254/H283</f>
        <v/>
      </c>
      <c r="J283">
        <f>$B$255/H283</f>
        <v/>
      </c>
      <c r="K283">
        <f>I283-J283</f>
        <v/>
      </c>
      <c r="L283">
        <f>Assumptions!$B$51/K283</f>
        <v/>
      </c>
      <c r="M283">
        <f>H283*(1-Assumptions!$B$52)</f>
        <v/>
      </c>
      <c r="N283">
        <f>MIN(L283,M283)</f>
        <v/>
      </c>
      <c r="O283">
        <f>Assumptions!$B$50/N283</f>
        <v/>
      </c>
      <c r="P283">
        <f>Assumptions!$B$54/K283</f>
        <v/>
      </c>
      <c r="Q283">
        <f>H283*(1-Assumptions!$B$55)</f>
        <v/>
      </c>
      <c r="R283">
        <f>MIN(P283,Q283)</f>
        <v/>
      </c>
      <c r="S283">
        <f>Assumptions!$B$53/R283</f>
        <v/>
      </c>
      <c r="T283">
        <f>Assumptions!$B$27*(Assumptions!$B$64+$B$255/Assumptions!$B$27)/(Assumptions!$B$64+J283)</f>
        <v/>
      </c>
      <c r="U283">
        <f>IF(H283&lt;Assumptions!$B$27,Assumptions!$B$27/T283,1)</f>
        <v/>
      </c>
      <c r="V283">
        <f>Assumptions!$B$26*(Assumptions!$B$64+$B$255/Assumptions!$B$26)/(Assumptions!$B$64+J283)</f>
        <v/>
      </c>
      <c r="W283">
        <f>IF(H283&lt;Assumptions!$B$26,Assumptions!$B$26/V283,1)</f>
        <v/>
      </c>
    </row>
    <row r="284">
      <c r="A284" t="n">
        <v>26</v>
      </c>
      <c r="B284">
        <f>U283</f>
        <v/>
      </c>
      <c r="C284">
        <f>W283</f>
        <v/>
      </c>
      <c r="D284">
        <f>O283</f>
        <v/>
      </c>
      <c r="E284">
        <f>S283</f>
        <v/>
      </c>
      <c r="F284">
        <f>Assumptions!$B$16*B284</f>
        <v/>
      </c>
      <c r="G284">
        <f>Assumptions!$B$15*C284</f>
        <v/>
      </c>
      <c r="H284">
        <f>IF($B$251*($B$254/(($B$254*(1-$B$251)-$B$255)/((Assumptions!$B$9+Assumptions!$B$11+Assumptions!$B$12+Assumptions!$B$13+Assumptions!$B$14)+G284+F284+D284+E284)))&lt;Assumptions!$B$65,($B$254-$B$255)/(((Assumptions!$B$9+Assumptions!$B$11+Assumptions!$B$12+Assumptions!$B$13+Assumptions!$B$14)+G284+F284+D284+E284)+Assumptions!$B$65),($B$254*(1-$B$251)-$B$255)/((Assumptions!$B$9+Assumptions!$B$11+Assumptions!$B$12+Assumptions!$B$13+Assumptions!$B$14)+G284+F284+D284+E284))</f>
        <v/>
      </c>
      <c r="I284">
        <f>$B$254/H284</f>
        <v/>
      </c>
      <c r="J284">
        <f>$B$255/H284</f>
        <v/>
      </c>
      <c r="K284">
        <f>I284-J284</f>
        <v/>
      </c>
      <c r="L284">
        <f>Assumptions!$B$51/K284</f>
        <v/>
      </c>
      <c r="M284">
        <f>H284*(1-Assumptions!$B$52)</f>
        <v/>
      </c>
      <c r="N284">
        <f>MIN(L284,M284)</f>
        <v/>
      </c>
      <c r="O284">
        <f>Assumptions!$B$50/N284</f>
        <v/>
      </c>
      <c r="P284">
        <f>Assumptions!$B$54/K284</f>
        <v/>
      </c>
      <c r="Q284">
        <f>H284*(1-Assumptions!$B$55)</f>
        <v/>
      </c>
      <c r="R284">
        <f>MIN(P284,Q284)</f>
        <v/>
      </c>
      <c r="S284">
        <f>Assumptions!$B$53/R284</f>
        <v/>
      </c>
      <c r="T284">
        <f>Assumptions!$B$27*(Assumptions!$B$64+$B$255/Assumptions!$B$27)/(Assumptions!$B$64+J284)</f>
        <v/>
      </c>
      <c r="U284">
        <f>IF(H284&lt;Assumptions!$B$27,Assumptions!$B$27/T284,1)</f>
        <v/>
      </c>
      <c r="V284">
        <f>Assumptions!$B$26*(Assumptions!$B$64+$B$255/Assumptions!$B$26)/(Assumptions!$B$64+J284)</f>
        <v/>
      </c>
      <c r="W284">
        <f>IF(H284&lt;Assumptions!$B$26,Assumptions!$B$26/V284,1)</f>
        <v/>
      </c>
    </row>
    <row r="285">
      <c r="A285" t="n">
        <v>27</v>
      </c>
      <c r="B285">
        <f>U284</f>
        <v/>
      </c>
      <c r="C285">
        <f>W284</f>
        <v/>
      </c>
      <c r="D285">
        <f>O284</f>
        <v/>
      </c>
      <c r="E285">
        <f>S284</f>
        <v/>
      </c>
      <c r="F285">
        <f>Assumptions!$B$16*B285</f>
        <v/>
      </c>
      <c r="G285">
        <f>Assumptions!$B$15*C285</f>
        <v/>
      </c>
      <c r="H285">
        <f>IF($B$251*($B$254/(($B$254*(1-$B$251)-$B$255)/((Assumptions!$B$9+Assumptions!$B$11+Assumptions!$B$12+Assumptions!$B$13+Assumptions!$B$14)+G285+F285+D285+E285)))&lt;Assumptions!$B$65,($B$254-$B$255)/(((Assumptions!$B$9+Assumptions!$B$11+Assumptions!$B$12+Assumptions!$B$13+Assumptions!$B$14)+G285+F285+D285+E285)+Assumptions!$B$65),($B$254*(1-$B$251)-$B$255)/((Assumptions!$B$9+Assumptions!$B$11+Assumptions!$B$12+Assumptions!$B$13+Assumptions!$B$14)+G285+F285+D285+E285))</f>
        <v/>
      </c>
      <c r="I285">
        <f>$B$254/H285</f>
        <v/>
      </c>
      <c r="J285">
        <f>$B$255/H285</f>
        <v/>
      </c>
      <c r="K285">
        <f>I285-J285</f>
        <v/>
      </c>
      <c r="L285">
        <f>Assumptions!$B$51/K285</f>
        <v/>
      </c>
      <c r="M285">
        <f>H285*(1-Assumptions!$B$52)</f>
        <v/>
      </c>
      <c r="N285">
        <f>MIN(L285,M285)</f>
        <v/>
      </c>
      <c r="O285">
        <f>Assumptions!$B$50/N285</f>
        <v/>
      </c>
      <c r="P285">
        <f>Assumptions!$B$54/K285</f>
        <v/>
      </c>
      <c r="Q285">
        <f>H285*(1-Assumptions!$B$55)</f>
        <v/>
      </c>
      <c r="R285">
        <f>MIN(P285,Q285)</f>
        <v/>
      </c>
      <c r="S285">
        <f>Assumptions!$B$53/R285</f>
        <v/>
      </c>
      <c r="T285">
        <f>Assumptions!$B$27*(Assumptions!$B$64+$B$255/Assumptions!$B$27)/(Assumptions!$B$64+J285)</f>
        <v/>
      </c>
      <c r="U285">
        <f>IF(H285&lt;Assumptions!$B$27,Assumptions!$B$27/T285,1)</f>
        <v/>
      </c>
      <c r="V285">
        <f>Assumptions!$B$26*(Assumptions!$B$64+$B$255/Assumptions!$B$26)/(Assumptions!$B$64+J285)</f>
        <v/>
      </c>
      <c r="W285">
        <f>IF(H285&lt;Assumptions!$B$26,Assumptions!$B$26/V285,1)</f>
        <v/>
      </c>
    </row>
    <row r="286">
      <c r="A286" t="n">
        <v>28</v>
      </c>
      <c r="B286">
        <f>U285</f>
        <v/>
      </c>
      <c r="C286">
        <f>W285</f>
        <v/>
      </c>
      <c r="D286">
        <f>O285</f>
        <v/>
      </c>
      <c r="E286">
        <f>S285</f>
        <v/>
      </c>
      <c r="F286">
        <f>Assumptions!$B$16*B286</f>
        <v/>
      </c>
      <c r="G286">
        <f>Assumptions!$B$15*C286</f>
        <v/>
      </c>
      <c r="H286">
        <f>IF($B$251*($B$254/(($B$254*(1-$B$251)-$B$255)/((Assumptions!$B$9+Assumptions!$B$11+Assumptions!$B$12+Assumptions!$B$13+Assumptions!$B$14)+G286+F286+D286+E286)))&lt;Assumptions!$B$65,($B$254-$B$255)/(((Assumptions!$B$9+Assumptions!$B$11+Assumptions!$B$12+Assumptions!$B$13+Assumptions!$B$14)+G286+F286+D286+E286)+Assumptions!$B$65),($B$254*(1-$B$251)-$B$255)/((Assumptions!$B$9+Assumptions!$B$11+Assumptions!$B$12+Assumptions!$B$13+Assumptions!$B$14)+G286+F286+D286+E286))</f>
        <v/>
      </c>
      <c r="I286">
        <f>$B$254/H286</f>
        <v/>
      </c>
      <c r="J286">
        <f>$B$255/H286</f>
        <v/>
      </c>
      <c r="K286">
        <f>I286-J286</f>
        <v/>
      </c>
      <c r="L286">
        <f>Assumptions!$B$51/K286</f>
        <v/>
      </c>
      <c r="M286">
        <f>H286*(1-Assumptions!$B$52)</f>
        <v/>
      </c>
      <c r="N286">
        <f>MIN(L286,M286)</f>
        <v/>
      </c>
      <c r="O286">
        <f>Assumptions!$B$50/N286</f>
        <v/>
      </c>
      <c r="P286">
        <f>Assumptions!$B$54/K286</f>
        <v/>
      </c>
      <c r="Q286">
        <f>H286*(1-Assumptions!$B$55)</f>
        <v/>
      </c>
      <c r="R286">
        <f>MIN(P286,Q286)</f>
        <v/>
      </c>
      <c r="S286">
        <f>Assumptions!$B$53/R286</f>
        <v/>
      </c>
      <c r="T286">
        <f>Assumptions!$B$27*(Assumptions!$B$64+$B$255/Assumptions!$B$27)/(Assumptions!$B$64+J286)</f>
        <v/>
      </c>
      <c r="U286">
        <f>IF(H286&lt;Assumptions!$B$27,Assumptions!$B$27/T286,1)</f>
        <v/>
      </c>
      <c r="V286">
        <f>Assumptions!$B$26*(Assumptions!$B$64+$B$255/Assumptions!$B$26)/(Assumptions!$B$64+J286)</f>
        <v/>
      </c>
      <c r="W286">
        <f>IF(H286&lt;Assumptions!$B$26,Assumptions!$B$26/V286,1)</f>
        <v/>
      </c>
    </row>
    <row r="287">
      <c r="A287" t="n">
        <v>29</v>
      </c>
      <c r="B287">
        <f>U286</f>
        <v/>
      </c>
      <c r="C287">
        <f>W286</f>
        <v/>
      </c>
      <c r="D287">
        <f>O286</f>
        <v/>
      </c>
      <c r="E287">
        <f>S286</f>
        <v/>
      </c>
      <c r="F287">
        <f>Assumptions!$B$16*B287</f>
        <v/>
      </c>
      <c r="G287">
        <f>Assumptions!$B$15*C287</f>
        <v/>
      </c>
      <c r="H287">
        <f>IF($B$251*($B$254/(($B$254*(1-$B$251)-$B$255)/((Assumptions!$B$9+Assumptions!$B$11+Assumptions!$B$12+Assumptions!$B$13+Assumptions!$B$14)+G287+F287+D287+E287)))&lt;Assumptions!$B$65,($B$254-$B$255)/(((Assumptions!$B$9+Assumptions!$B$11+Assumptions!$B$12+Assumptions!$B$13+Assumptions!$B$14)+G287+F287+D287+E287)+Assumptions!$B$65),($B$254*(1-$B$251)-$B$255)/((Assumptions!$B$9+Assumptions!$B$11+Assumptions!$B$12+Assumptions!$B$13+Assumptions!$B$14)+G287+F287+D287+E287))</f>
        <v/>
      </c>
      <c r="I287">
        <f>$B$254/H287</f>
        <v/>
      </c>
      <c r="J287">
        <f>$B$255/H287</f>
        <v/>
      </c>
      <c r="K287">
        <f>I287-J287</f>
        <v/>
      </c>
      <c r="L287">
        <f>Assumptions!$B$51/K287</f>
        <v/>
      </c>
      <c r="M287">
        <f>H287*(1-Assumptions!$B$52)</f>
        <v/>
      </c>
      <c r="N287">
        <f>MIN(L287,M287)</f>
        <v/>
      </c>
      <c r="O287">
        <f>Assumptions!$B$50/N287</f>
        <v/>
      </c>
      <c r="P287">
        <f>Assumptions!$B$54/K287</f>
        <v/>
      </c>
      <c r="Q287">
        <f>H287*(1-Assumptions!$B$55)</f>
        <v/>
      </c>
      <c r="R287">
        <f>MIN(P287,Q287)</f>
        <v/>
      </c>
      <c r="S287">
        <f>Assumptions!$B$53/R287</f>
        <v/>
      </c>
      <c r="T287">
        <f>Assumptions!$B$27*(Assumptions!$B$64+$B$255/Assumptions!$B$27)/(Assumptions!$B$64+J287)</f>
        <v/>
      </c>
      <c r="U287">
        <f>IF(H287&lt;Assumptions!$B$27,Assumptions!$B$27/T287,1)</f>
        <v/>
      </c>
      <c r="V287">
        <f>Assumptions!$B$26*(Assumptions!$B$64+$B$255/Assumptions!$B$26)/(Assumptions!$B$64+J287)</f>
        <v/>
      </c>
      <c r="W287">
        <f>IF(H287&lt;Assumptions!$B$26,Assumptions!$B$26/V287,1)</f>
        <v/>
      </c>
    </row>
    <row r="288">
      <c r="A288" t="n">
        <v>30</v>
      </c>
      <c r="B288">
        <f>U287</f>
        <v/>
      </c>
      <c r="C288">
        <f>W287</f>
        <v/>
      </c>
      <c r="D288">
        <f>O287</f>
        <v/>
      </c>
      <c r="E288">
        <f>S287</f>
        <v/>
      </c>
      <c r="F288">
        <f>Assumptions!$B$16*B288</f>
        <v/>
      </c>
      <c r="G288">
        <f>Assumptions!$B$15*C288</f>
        <v/>
      </c>
      <c r="H288">
        <f>IF($B$251*($B$254/(($B$254*(1-$B$251)-$B$255)/((Assumptions!$B$9+Assumptions!$B$11+Assumptions!$B$12+Assumptions!$B$13+Assumptions!$B$14)+G288+F288+D288+E288)))&lt;Assumptions!$B$65,($B$254-$B$255)/(((Assumptions!$B$9+Assumptions!$B$11+Assumptions!$B$12+Assumptions!$B$13+Assumptions!$B$14)+G288+F288+D288+E288)+Assumptions!$B$65),($B$254*(1-$B$251)-$B$255)/((Assumptions!$B$9+Assumptions!$B$11+Assumptions!$B$12+Assumptions!$B$13+Assumptions!$B$14)+G288+F288+D288+E288))</f>
        <v/>
      </c>
      <c r="I288">
        <f>$B$254/H288</f>
        <v/>
      </c>
      <c r="J288">
        <f>$B$255/H288</f>
        <v/>
      </c>
      <c r="K288">
        <f>I288-J288</f>
        <v/>
      </c>
      <c r="L288">
        <f>Assumptions!$B$51/K288</f>
        <v/>
      </c>
      <c r="M288">
        <f>H288*(1-Assumptions!$B$52)</f>
        <v/>
      </c>
      <c r="N288">
        <f>MIN(L288,M288)</f>
        <v/>
      </c>
      <c r="O288">
        <f>Assumptions!$B$50/N288</f>
        <v/>
      </c>
      <c r="P288">
        <f>Assumptions!$B$54/K288</f>
        <v/>
      </c>
      <c r="Q288">
        <f>H288*(1-Assumptions!$B$55)</f>
        <v/>
      </c>
      <c r="R288">
        <f>MIN(P288,Q288)</f>
        <v/>
      </c>
      <c r="S288">
        <f>Assumptions!$B$53/R288</f>
        <v/>
      </c>
      <c r="T288">
        <f>Assumptions!$B$27*(Assumptions!$B$64+$B$255/Assumptions!$B$27)/(Assumptions!$B$64+J288)</f>
        <v/>
      </c>
      <c r="U288">
        <f>IF(H288&lt;Assumptions!$B$27,Assumptions!$B$27/T288,1)</f>
        <v/>
      </c>
      <c r="V288">
        <f>Assumptions!$B$26*(Assumptions!$B$64+$B$255/Assumptions!$B$26)/(Assumptions!$B$64+J288)</f>
        <v/>
      </c>
      <c r="W288">
        <f>IF(H288&lt;Assumptions!$B$26,Assumptions!$B$26/V288,1)</f>
        <v/>
      </c>
    </row>
    <row r="289">
      <c r="A289" t="n">
        <v>31</v>
      </c>
      <c r="B289">
        <f>U288</f>
        <v/>
      </c>
      <c r="C289">
        <f>W288</f>
        <v/>
      </c>
      <c r="D289">
        <f>O288</f>
        <v/>
      </c>
      <c r="E289">
        <f>S288</f>
        <v/>
      </c>
      <c r="F289">
        <f>Assumptions!$B$16*B289</f>
        <v/>
      </c>
      <c r="G289">
        <f>Assumptions!$B$15*C289</f>
        <v/>
      </c>
      <c r="H289">
        <f>IF($B$251*($B$254/(($B$254*(1-$B$251)-$B$255)/((Assumptions!$B$9+Assumptions!$B$11+Assumptions!$B$12+Assumptions!$B$13+Assumptions!$B$14)+G289+F289+D289+E289)))&lt;Assumptions!$B$65,($B$254-$B$255)/(((Assumptions!$B$9+Assumptions!$B$11+Assumptions!$B$12+Assumptions!$B$13+Assumptions!$B$14)+G289+F289+D289+E289)+Assumptions!$B$65),($B$254*(1-$B$251)-$B$255)/((Assumptions!$B$9+Assumptions!$B$11+Assumptions!$B$12+Assumptions!$B$13+Assumptions!$B$14)+G289+F289+D289+E289))</f>
        <v/>
      </c>
      <c r="I289">
        <f>$B$254/H289</f>
        <v/>
      </c>
      <c r="J289">
        <f>$B$255/H289</f>
        <v/>
      </c>
      <c r="K289">
        <f>I289-J289</f>
        <v/>
      </c>
      <c r="L289">
        <f>Assumptions!$B$51/K289</f>
        <v/>
      </c>
      <c r="M289">
        <f>H289*(1-Assumptions!$B$52)</f>
        <v/>
      </c>
      <c r="N289">
        <f>MIN(L289,M289)</f>
        <v/>
      </c>
      <c r="O289">
        <f>Assumptions!$B$50/N289</f>
        <v/>
      </c>
      <c r="P289">
        <f>Assumptions!$B$54/K289</f>
        <v/>
      </c>
      <c r="Q289">
        <f>H289*(1-Assumptions!$B$55)</f>
        <v/>
      </c>
      <c r="R289">
        <f>MIN(P289,Q289)</f>
        <v/>
      </c>
      <c r="S289">
        <f>Assumptions!$B$53/R289</f>
        <v/>
      </c>
      <c r="T289">
        <f>Assumptions!$B$27*(Assumptions!$B$64+$B$255/Assumptions!$B$27)/(Assumptions!$B$64+J289)</f>
        <v/>
      </c>
      <c r="U289">
        <f>IF(H289&lt;Assumptions!$B$27,Assumptions!$B$27/T289,1)</f>
        <v/>
      </c>
      <c r="V289">
        <f>Assumptions!$B$26*(Assumptions!$B$64+$B$255/Assumptions!$B$26)/(Assumptions!$B$64+J289)</f>
        <v/>
      </c>
      <c r="W289">
        <f>IF(H289&lt;Assumptions!$B$26,Assumptions!$B$26/V289,1)</f>
        <v/>
      </c>
    </row>
    <row r="290">
      <c r="A290" t="n">
        <v>32</v>
      </c>
      <c r="B290">
        <f>U289</f>
        <v/>
      </c>
      <c r="C290">
        <f>W289</f>
        <v/>
      </c>
      <c r="D290">
        <f>O289</f>
        <v/>
      </c>
      <c r="E290">
        <f>S289</f>
        <v/>
      </c>
      <c r="F290">
        <f>Assumptions!$B$16*B290</f>
        <v/>
      </c>
      <c r="G290">
        <f>Assumptions!$B$15*C290</f>
        <v/>
      </c>
      <c r="H290">
        <f>IF($B$251*($B$254/(($B$254*(1-$B$251)-$B$255)/((Assumptions!$B$9+Assumptions!$B$11+Assumptions!$B$12+Assumptions!$B$13+Assumptions!$B$14)+G290+F290+D290+E290)))&lt;Assumptions!$B$65,($B$254-$B$255)/(((Assumptions!$B$9+Assumptions!$B$11+Assumptions!$B$12+Assumptions!$B$13+Assumptions!$B$14)+G290+F290+D290+E290)+Assumptions!$B$65),($B$254*(1-$B$251)-$B$255)/((Assumptions!$B$9+Assumptions!$B$11+Assumptions!$B$12+Assumptions!$B$13+Assumptions!$B$14)+G290+F290+D290+E290))</f>
        <v/>
      </c>
      <c r="I290">
        <f>$B$254/H290</f>
        <v/>
      </c>
      <c r="J290">
        <f>$B$255/H290</f>
        <v/>
      </c>
      <c r="K290">
        <f>I290-J290</f>
        <v/>
      </c>
      <c r="L290">
        <f>Assumptions!$B$51/K290</f>
        <v/>
      </c>
      <c r="M290">
        <f>H290*(1-Assumptions!$B$52)</f>
        <v/>
      </c>
      <c r="N290">
        <f>MIN(L290,M290)</f>
        <v/>
      </c>
      <c r="O290">
        <f>Assumptions!$B$50/N290</f>
        <v/>
      </c>
      <c r="P290">
        <f>Assumptions!$B$54/K290</f>
        <v/>
      </c>
      <c r="Q290">
        <f>H290*(1-Assumptions!$B$55)</f>
        <v/>
      </c>
      <c r="R290">
        <f>MIN(P290,Q290)</f>
        <v/>
      </c>
      <c r="S290">
        <f>Assumptions!$B$53/R290</f>
        <v/>
      </c>
      <c r="T290">
        <f>Assumptions!$B$27*(Assumptions!$B$64+$B$255/Assumptions!$B$27)/(Assumptions!$B$64+J290)</f>
        <v/>
      </c>
      <c r="U290">
        <f>IF(H290&lt;Assumptions!$B$27,Assumptions!$B$27/T290,1)</f>
        <v/>
      </c>
      <c r="V290">
        <f>Assumptions!$B$26*(Assumptions!$B$64+$B$255/Assumptions!$B$26)/(Assumptions!$B$64+J290)</f>
        <v/>
      </c>
      <c r="W290">
        <f>IF(H290&lt;Assumptions!$B$26,Assumptions!$B$26/V290,1)</f>
        <v/>
      </c>
    </row>
    <row r="291">
      <c r="A291" t="n">
        <v>33</v>
      </c>
      <c r="B291">
        <f>U290</f>
        <v/>
      </c>
      <c r="C291">
        <f>W290</f>
        <v/>
      </c>
      <c r="D291">
        <f>O290</f>
        <v/>
      </c>
      <c r="E291">
        <f>S290</f>
        <v/>
      </c>
      <c r="F291">
        <f>Assumptions!$B$16*B291</f>
        <v/>
      </c>
      <c r="G291">
        <f>Assumptions!$B$15*C291</f>
        <v/>
      </c>
      <c r="H291">
        <f>IF($B$251*($B$254/(($B$254*(1-$B$251)-$B$255)/((Assumptions!$B$9+Assumptions!$B$11+Assumptions!$B$12+Assumptions!$B$13+Assumptions!$B$14)+G291+F291+D291+E291)))&lt;Assumptions!$B$65,($B$254-$B$255)/(((Assumptions!$B$9+Assumptions!$B$11+Assumptions!$B$12+Assumptions!$B$13+Assumptions!$B$14)+G291+F291+D291+E291)+Assumptions!$B$65),($B$254*(1-$B$251)-$B$255)/((Assumptions!$B$9+Assumptions!$B$11+Assumptions!$B$12+Assumptions!$B$13+Assumptions!$B$14)+G291+F291+D291+E291))</f>
        <v/>
      </c>
      <c r="I291">
        <f>$B$254/H291</f>
        <v/>
      </c>
      <c r="J291">
        <f>$B$255/H291</f>
        <v/>
      </c>
      <c r="K291">
        <f>I291-J291</f>
        <v/>
      </c>
      <c r="L291">
        <f>Assumptions!$B$51/K291</f>
        <v/>
      </c>
      <c r="M291">
        <f>H291*(1-Assumptions!$B$52)</f>
        <v/>
      </c>
      <c r="N291">
        <f>MIN(L291,M291)</f>
        <v/>
      </c>
      <c r="O291">
        <f>Assumptions!$B$50/N291</f>
        <v/>
      </c>
      <c r="P291">
        <f>Assumptions!$B$54/K291</f>
        <v/>
      </c>
      <c r="Q291">
        <f>H291*(1-Assumptions!$B$55)</f>
        <v/>
      </c>
      <c r="R291">
        <f>MIN(P291,Q291)</f>
        <v/>
      </c>
      <c r="S291">
        <f>Assumptions!$B$53/R291</f>
        <v/>
      </c>
      <c r="T291">
        <f>Assumptions!$B$27*(Assumptions!$B$64+$B$255/Assumptions!$B$27)/(Assumptions!$B$64+J291)</f>
        <v/>
      </c>
      <c r="U291">
        <f>IF(H291&lt;Assumptions!$B$27,Assumptions!$B$27/T291,1)</f>
        <v/>
      </c>
      <c r="V291">
        <f>Assumptions!$B$26*(Assumptions!$B$64+$B$255/Assumptions!$B$26)/(Assumptions!$B$64+J291)</f>
        <v/>
      </c>
      <c r="W291">
        <f>IF(H291&lt;Assumptions!$B$26,Assumptions!$B$26/V291,1)</f>
        <v/>
      </c>
    </row>
    <row r="292">
      <c r="A292" t="n">
        <v>34</v>
      </c>
      <c r="B292">
        <f>U291</f>
        <v/>
      </c>
      <c r="C292">
        <f>W291</f>
        <v/>
      </c>
      <c r="D292">
        <f>O291</f>
        <v/>
      </c>
      <c r="E292">
        <f>S291</f>
        <v/>
      </c>
      <c r="F292">
        <f>Assumptions!$B$16*B292</f>
        <v/>
      </c>
      <c r="G292">
        <f>Assumptions!$B$15*C292</f>
        <v/>
      </c>
      <c r="H292">
        <f>IF($B$251*($B$254/(($B$254*(1-$B$251)-$B$255)/((Assumptions!$B$9+Assumptions!$B$11+Assumptions!$B$12+Assumptions!$B$13+Assumptions!$B$14)+G292+F292+D292+E292)))&lt;Assumptions!$B$65,($B$254-$B$255)/(((Assumptions!$B$9+Assumptions!$B$11+Assumptions!$B$12+Assumptions!$B$13+Assumptions!$B$14)+G292+F292+D292+E292)+Assumptions!$B$65),($B$254*(1-$B$251)-$B$255)/((Assumptions!$B$9+Assumptions!$B$11+Assumptions!$B$12+Assumptions!$B$13+Assumptions!$B$14)+G292+F292+D292+E292))</f>
        <v/>
      </c>
      <c r="I292">
        <f>$B$254/H292</f>
        <v/>
      </c>
      <c r="J292">
        <f>$B$255/H292</f>
        <v/>
      </c>
      <c r="K292">
        <f>I292-J292</f>
        <v/>
      </c>
      <c r="L292">
        <f>Assumptions!$B$51/K292</f>
        <v/>
      </c>
      <c r="M292">
        <f>H292*(1-Assumptions!$B$52)</f>
        <v/>
      </c>
      <c r="N292">
        <f>MIN(L292,M292)</f>
        <v/>
      </c>
      <c r="O292">
        <f>Assumptions!$B$50/N292</f>
        <v/>
      </c>
      <c r="P292">
        <f>Assumptions!$B$54/K292</f>
        <v/>
      </c>
      <c r="Q292">
        <f>H292*(1-Assumptions!$B$55)</f>
        <v/>
      </c>
      <c r="R292">
        <f>MIN(P292,Q292)</f>
        <v/>
      </c>
      <c r="S292">
        <f>Assumptions!$B$53/R292</f>
        <v/>
      </c>
      <c r="T292">
        <f>Assumptions!$B$27*(Assumptions!$B$64+$B$255/Assumptions!$B$27)/(Assumptions!$B$64+J292)</f>
        <v/>
      </c>
      <c r="U292">
        <f>IF(H292&lt;Assumptions!$B$27,Assumptions!$B$27/T292,1)</f>
        <v/>
      </c>
      <c r="V292">
        <f>Assumptions!$B$26*(Assumptions!$B$64+$B$255/Assumptions!$B$26)/(Assumptions!$B$64+J292)</f>
        <v/>
      </c>
      <c r="W292">
        <f>IF(H292&lt;Assumptions!$B$26,Assumptions!$B$26/V292,1)</f>
        <v/>
      </c>
    </row>
    <row r="293">
      <c r="A293" t="n">
        <v>35</v>
      </c>
      <c r="B293">
        <f>U292</f>
        <v/>
      </c>
      <c r="C293">
        <f>W292</f>
        <v/>
      </c>
      <c r="D293">
        <f>O292</f>
        <v/>
      </c>
      <c r="E293">
        <f>S292</f>
        <v/>
      </c>
      <c r="F293">
        <f>Assumptions!$B$16*B293</f>
        <v/>
      </c>
      <c r="G293">
        <f>Assumptions!$B$15*C293</f>
        <v/>
      </c>
      <c r="H293">
        <f>IF($B$251*($B$254/(($B$254*(1-$B$251)-$B$255)/((Assumptions!$B$9+Assumptions!$B$11+Assumptions!$B$12+Assumptions!$B$13+Assumptions!$B$14)+G293+F293+D293+E293)))&lt;Assumptions!$B$65,($B$254-$B$255)/(((Assumptions!$B$9+Assumptions!$B$11+Assumptions!$B$12+Assumptions!$B$13+Assumptions!$B$14)+G293+F293+D293+E293)+Assumptions!$B$65),($B$254*(1-$B$251)-$B$255)/((Assumptions!$B$9+Assumptions!$B$11+Assumptions!$B$12+Assumptions!$B$13+Assumptions!$B$14)+G293+F293+D293+E293))</f>
        <v/>
      </c>
      <c r="I293">
        <f>$B$254/H293</f>
        <v/>
      </c>
      <c r="J293">
        <f>$B$255/H293</f>
        <v/>
      </c>
      <c r="K293">
        <f>I293-J293</f>
        <v/>
      </c>
      <c r="L293">
        <f>Assumptions!$B$51/K293</f>
        <v/>
      </c>
      <c r="M293">
        <f>H293*(1-Assumptions!$B$52)</f>
        <v/>
      </c>
      <c r="N293">
        <f>MIN(L293,M293)</f>
        <v/>
      </c>
      <c r="O293">
        <f>Assumptions!$B$50/N293</f>
        <v/>
      </c>
      <c r="P293">
        <f>Assumptions!$B$54/K293</f>
        <v/>
      </c>
      <c r="Q293">
        <f>H293*(1-Assumptions!$B$55)</f>
        <v/>
      </c>
      <c r="R293">
        <f>MIN(P293,Q293)</f>
        <v/>
      </c>
      <c r="S293">
        <f>Assumptions!$B$53/R293</f>
        <v/>
      </c>
      <c r="T293">
        <f>Assumptions!$B$27*(Assumptions!$B$64+$B$255/Assumptions!$B$27)/(Assumptions!$B$64+J293)</f>
        <v/>
      </c>
      <c r="U293">
        <f>IF(H293&lt;Assumptions!$B$27,Assumptions!$B$27/T293,1)</f>
        <v/>
      </c>
      <c r="V293">
        <f>Assumptions!$B$26*(Assumptions!$B$64+$B$255/Assumptions!$B$26)/(Assumptions!$B$64+J293)</f>
        <v/>
      </c>
      <c r="W293">
        <f>IF(H293&lt;Assumptions!$B$26,Assumptions!$B$26/V293,1)</f>
        <v/>
      </c>
    </row>
    <row r="294">
      <c r="A294" t="n">
        <v>36</v>
      </c>
      <c r="B294">
        <f>U293</f>
        <v/>
      </c>
      <c r="C294">
        <f>W293</f>
        <v/>
      </c>
      <c r="D294">
        <f>O293</f>
        <v/>
      </c>
      <c r="E294">
        <f>S293</f>
        <v/>
      </c>
      <c r="F294">
        <f>Assumptions!$B$16*B294</f>
        <v/>
      </c>
      <c r="G294">
        <f>Assumptions!$B$15*C294</f>
        <v/>
      </c>
      <c r="H294">
        <f>IF($B$251*($B$254/(($B$254*(1-$B$251)-$B$255)/((Assumptions!$B$9+Assumptions!$B$11+Assumptions!$B$12+Assumptions!$B$13+Assumptions!$B$14)+G294+F294+D294+E294)))&lt;Assumptions!$B$65,($B$254-$B$255)/(((Assumptions!$B$9+Assumptions!$B$11+Assumptions!$B$12+Assumptions!$B$13+Assumptions!$B$14)+G294+F294+D294+E294)+Assumptions!$B$65),($B$254*(1-$B$251)-$B$255)/((Assumptions!$B$9+Assumptions!$B$11+Assumptions!$B$12+Assumptions!$B$13+Assumptions!$B$14)+G294+F294+D294+E294))</f>
        <v/>
      </c>
      <c r="I294">
        <f>$B$254/H294</f>
        <v/>
      </c>
      <c r="J294">
        <f>$B$255/H294</f>
        <v/>
      </c>
      <c r="K294">
        <f>I294-J294</f>
        <v/>
      </c>
      <c r="L294">
        <f>Assumptions!$B$51/K294</f>
        <v/>
      </c>
      <c r="M294">
        <f>H294*(1-Assumptions!$B$52)</f>
        <v/>
      </c>
      <c r="N294">
        <f>MIN(L294,M294)</f>
        <v/>
      </c>
      <c r="O294">
        <f>Assumptions!$B$50/N294</f>
        <v/>
      </c>
      <c r="P294">
        <f>Assumptions!$B$54/K294</f>
        <v/>
      </c>
      <c r="Q294">
        <f>H294*(1-Assumptions!$B$55)</f>
        <v/>
      </c>
      <c r="R294">
        <f>MIN(P294,Q294)</f>
        <v/>
      </c>
      <c r="S294">
        <f>Assumptions!$B$53/R294</f>
        <v/>
      </c>
      <c r="T294">
        <f>Assumptions!$B$27*(Assumptions!$B$64+$B$255/Assumptions!$B$27)/(Assumptions!$B$64+J294)</f>
        <v/>
      </c>
      <c r="U294">
        <f>IF(H294&lt;Assumptions!$B$27,Assumptions!$B$27/T294,1)</f>
        <v/>
      </c>
      <c r="V294">
        <f>Assumptions!$B$26*(Assumptions!$B$64+$B$255/Assumptions!$B$26)/(Assumptions!$B$64+J294)</f>
        <v/>
      </c>
      <c r="W294">
        <f>IF(H294&lt;Assumptions!$B$26,Assumptions!$B$26/V294,1)</f>
        <v/>
      </c>
    </row>
    <row r="295">
      <c r="A295" t="n">
        <v>37</v>
      </c>
      <c r="B295">
        <f>U294</f>
        <v/>
      </c>
      <c r="C295">
        <f>W294</f>
        <v/>
      </c>
      <c r="D295">
        <f>O294</f>
        <v/>
      </c>
      <c r="E295">
        <f>S294</f>
        <v/>
      </c>
      <c r="F295">
        <f>Assumptions!$B$16*B295</f>
        <v/>
      </c>
      <c r="G295">
        <f>Assumptions!$B$15*C295</f>
        <v/>
      </c>
      <c r="H295">
        <f>IF($B$251*($B$254/(($B$254*(1-$B$251)-$B$255)/((Assumptions!$B$9+Assumptions!$B$11+Assumptions!$B$12+Assumptions!$B$13+Assumptions!$B$14)+G295+F295+D295+E295)))&lt;Assumptions!$B$65,($B$254-$B$255)/(((Assumptions!$B$9+Assumptions!$B$11+Assumptions!$B$12+Assumptions!$B$13+Assumptions!$B$14)+G295+F295+D295+E295)+Assumptions!$B$65),($B$254*(1-$B$251)-$B$255)/((Assumptions!$B$9+Assumptions!$B$11+Assumptions!$B$12+Assumptions!$B$13+Assumptions!$B$14)+G295+F295+D295+E295))</f>
        <v/>
      </c>
      <c r="I295">
        <f>$B$254/H295</f>
        <v/>
      </c>
      <c r="J295">
        <f>$B$255/H295</f>
        <v/>
      </c>
      <c r="K295">
        <f>I295-J295</f>
        <v/>
      </c>
      <c r="L295">
        <f>Assumptions!$B$51/K295</f>
        <v/>
      </c>
      <c r="M295">
        <f>H295*(1-Assumptions!$B$52)</f>
        <v/>
      </c>
      <c r="N295">
        <f>MIN(L295,M295)</f>
        <v/>
      </c>
      <c r="O295">
        <f>Assumptions!$B$50/N295</f>
        <v/>
      </c>
      <c r="P295">
        <f>Assumptions!$B$54/K295</f>
        <v/>
      </c>
      <c r="Q295">
        <f>H295*(1-Assumptions!$B$55)</f>
        <v/>
      </c>
      <c r="R295">
        <f>MIN(P295,Q295)</f>
        <v/>
      </c>
      <c r="S295">
        <f>Assumptions!$B$53/R295</f>
        <v/>
      </c>
      <c r="T295">
        <f>Assumptions!$B$27*(Assumptions!$B$64+$B$255/Assumptions!$B$27)/(Assumptions!$B$64+J295)</f>
        <v/>
      </c>
      <c r="U295">
        <f>IF(H295&lt;Assumptions!$B$27,Assumptions!$B$27/T295,1)</f>
        <v/>
      </c>
      <c r="V295">
        <f>Assumptions!$B$26*(Assumptions!$B$64+$B$255/Assumptions!$B$26)/(Assumptions!$B$64+J295)</f>
        <v/>
      </c>
      <c r="W295">
        <f>IF(H295&lt;Assumptions!$B$26,Assumptions!$B$26/V295,1)</f>
        <v/>
      </c>
    </row>
    <row r="296">
      <c r="A296" t="n">
        <v>38</v>
      </c>
      <c r="B296">
        <f>U295</f>
        <v/>
      </c>
      <c r="C296">
        <f>W295</f>
        <v/>
      </c>
      <c r="D296">
        <f>O295</f>
        <v/>
      </c>
      <c r="E296">
        <f>S295</f>
        <v/>
      </c>
      <c r="F296">
        <f>Assumptions!$B$16*B296</f>
        <v/>
      </c>
      <c r="G296">
        <f>Assumptions!$B$15*C296</f>
        <v/>
      </c>
      <c r="H296">
        <f>IF($B$251*($B$254/(($B$254*(1-$B$251)-$B$255)/((Assumptions!$B$9+Assumptions!$B$11+Assumptions!$B$12+Assumptions!$B$13+Assumptions!$B$14)+G296+F296+D296+E296)))&lt;Assumptions!$B$65,($B$254-$B$255)/(((Assumptions!$B$9+Assumptions!$B$11+Assumptions!$B$12+Assumptions!$B$13+Assumptions!$B$14)+G296+F296+D296+E296)+Assumptions!$B$65),($B$254*(1-$B$251)-$B$255)/((Assumptions!$B$9+Assumptions!$B$11+Assumptions!$B$12+Assumptions!$B$13+Assumptions!$B$14)+G296+F296+D296+E296))</f>
        <v/>
      </c>
      <c r="I296">
        <f>$B$254/H296</f>
        <v/>
      </c>
      <c r="J296">
        <f>$B$255/H296</f>
        <v/>
      </c>
      <c r="K296">
        <f>I296-J296</f>
        <v/>
      </c>
      <c r="L296">
        <f>Assumptions!$B$51/K296</f>
        <v/>
      </c>
      <c r="M296">
        <f>H296*(1-Assumptions!$B$52)</f>
        <v/>
      </c>
      <c r="N296">
        <f>MIN(L296,M296)</f>
        <v/>
      </c>
      <c r="O296">
        <f>Assumptions!$B$50/N296</f>
        <v/>
      </c>
      <c r="P296">
        <f>Assumptions!$B$54/K296</f>
        <v/>
      </c>
      <c r="Q296">
        <f>H296*(1-Assumptions!$B$55)</f>
        <v/>
      </c>
      <c r="R296">
        <f>MIN(P296,Q296)</f>
        <v/>
      </c>
      <c r="S296">
        <f>Assumptions!$B$53/R296</f>
        <v/>
      </c>
      <c r="T296">
        <f>Assumptions!$B$27*(Assumptions!$B$64+$B$255/Assumptions!$B$27)/(Assumptions!$B$64+J296)</f>
        <v/>
      </c>
      <c r="U296">
        <f>IF(H296&lt;Assumptions!$B$27,Assumptions!$B$27/T296,1)</f>
        <v/>
      </c>
      <c r="V296">
        <f>Assumptions!$B$26*(Assumptions!$B$64+$B$255/Assumptions!$B$26)/(Assumptions!$B$64+J296)</f>
        <v/>
      </c>
      <c r="W296">
        <f>IF(H296&lt;Assumptions!$B$26,Assumptions!$B$26/V296,1)</f>
        <v/>
      </c>
    </row>
    <row r="297">
      <c r="A297" t="n">
        <v>39</v>
      </c>
      <c r="B297">
        <f>U296</f>
        <v/>
      </c>
      <c r="C297">
        <f>W296</f>
        <v/>
      </c>
      <c r="D297">
        <f>O296</f>
        <v/>
      </c>
      <c r="E297">
        <f>S296</f>
        <v/>
      </c>
      <c r="F297">
        <f>Assumptions!$B$16*B297</f>
        <v/>
      </c>
      <c r="G297">
        <f>Assumptions!$B$15*C297</f>
        <v/>
      </c>
      <c r="H297">
        <f>IF($B$251*($B$254/(($B$254*(1-$B$251)-$B$255)/((Assumptions!$B$9+Assumptions!$B$11+Assumptions!$B$12+Assumptions!$B$13+Assumptions!$B$14)+G297+F297+D297+E297)))&lt;Assumptions!$B$65,($B$254-$B$255)/(((Assumptions!$B$9+Assumptions!$B$11+Assumptions!$B$12+Assumptions!$B$13+Assumptions!$B$14)+G297+F297+D297+E297)+Assumptions!$B$65),($B$254*(1-$B$251)-$B$255)/((Assumptions!$B$9+Assumptions!$B$11+Assumptions!$B$12+Assumptions!$B$13+Assumptions!$B$14)+G297+F297+D297+E297))</f>
        <v/>
      </c>
      <c r="I297">
        <f>$B$254/H297</f>
        <v/>
      </c>
      <c r="J297">
        <f>$B$255/H297</f>
        <v/>
      </c>
      <c r="K297">
        <f>I297-J297</f>
        <v/>
      </c>
      <c r="L297">
        <f>Assumptions!$B$51/K297</f>
        <v/>
      </c>
      <c r="M297">
        <f>H297*(1-Assumptions!$B$52)</f>
        <v/>
      </c>
      <c r="N297">
        <f>MIN(L297,M297)</f>
        <v/>
      </c>
      <c r="O297">
        <f>Assumptions!$B$50/N297</f>
        <v/>
      </c>
      <c r="P297">
        <f>Assumptions!$B$54/K297</f>
        <v/>
      </c>
      <c r="Q297">
        <f>H297*(1-Assumptions!$B$55)</f>
        <v/>
      </c>
      <c r="R297">
        <f>MIN(P297,Q297)</f>
        <v/>
      </c>
      <c r="S297">
        <f>Assumptions!$B$53/R297</f>
        <v/>
      </c>
      <c r="T297">
        <f>Assumptions!$B$27*(Assumptions!$B$64+$B$255/Assumptions!$B$27)/(Assumptions!$B$64+J297)</f>
        <v/>
      </c>
      <c r="U297">
        <f>IF(H297&lt;Assumptions!$B$27,Assumptions!$B$27/T297,1)</f>
        <v/>
      </c>
      <c r="V297">
        <f>Assumptions!$B$26*(Assumptions!$B$64+$B$255/Assumptions!$B$26)/(Assumptions!$B$64+J297)</f>
        <v/>
      </c>
      <c r="W297">
        <f>IF(H297&lt;Assumptions!$B$26,Assumptions!$B$26/V297,1)</f>
        <v/>
      </c>
    </row>
    <row r="298">
      <c r="A298" t="n">
        <v>40</v>
      </c>
      <c r="B298">
        <f>U297</f>
        <v/>
      </c>
      <c r="C298">
        <f>W297</f>
        <v/>
      </c>
      <c r="D298">
        <f>O297</f>
        <v/>
      </c>
      <c r="E298">
        <f>S297</f>
        <v/>
      </c>
      <c r="F298">
        <f>Assumptions!$B$16*B298</f>
        <v/>
      </c>
      <c r="G298">
        <f>Assumptions!$B$15*C298</f>
        <v/>
      </c>
      <c r="H298">
        <f>IF($B$251*($B$254/(($B$254*(1-$B$251)-$B$255)/((Assumptions!$B$9+Assumptions!$B$11+Assumptions!$B$12+Assumptions!$B$13+Assumptions!$B$14)+G298+F298+D298+E298)))&lt;Assumptions!$B$65,($B$254-$B$255)/(((Assumptions!$B$9+Assumptions!$B$11+Assumptions!$B$12+Assumptions!$B$13+Assumptions!$B$14)+G298+F298+D298+E298)+Assumptions!$B$65),($B$254*(1-$B$251)-$B$255)/((Assumptions!$B$9+Assumptions!$B$11+Assumptions!$B$12+Assumptions!$B$13+Assumptions!$B$14)+G298+F298+D298+E298))</f>
        <v/>
      </c>
      <c r="I298">
        <f>$B$254/H298</f>
        <v/>
      </c>
      <c r="J298">
        <f>$B$255/H298</f>
        <v/>
      </c>
      <c r="K298">
        <f>I298-J298</f>
        <v/>
      </c>
      <c r="L298">
        <f>Assumptions!$B$51/K298</f>
        <v/>
      </c>
      <c r="M298">
        <f>H298*(1-Assumptions!$B$52)</f>
        <v/>
      </c>
      <c r="N298">
        <f>MIN(L298,M298)</f>
        <v/>
      </c>
      <c r="O298">
        <f>Assumptions!$B$50/N298</f>
        <v/>
      </c>
      <c r="P298">
        <f>Assumptions!$B$54/K298</f>
        <v/>
      </c>
      <c r="Q298">
        <f>H298*(1-Assumptions!$B$55)</f>
        <v/>
      </c>
      <c r="R298">
        <f>MIN(P298,Q298)</f>
        <v/>
      </c>
      <c r="S298">
        <f>Assumptions!$B$53/R298</f>
        <v/>
      </c>
      <c r="T298">
        <f>Assumptions!$B$27*(Assumptions!$B$64+$B$255/Assumptions!$B$27)/(Assumptions!$B$64+J298)</f>
        <v/>
      </c>
      <c r="U298">
        <f>IF(H298&lt;Assumptions!$B$27,Assumptions!$B$27/T298,1)</f>
        <v/>
      </c>
      <c r="V298">
        <f>Assumptions!$B$26*(Assumptions!$B$64+$B$255/Assumptions!$B$26)/(Assumptions!$B$64+J298)</f>
        <v/>
      </c>
      <c r="W298">
        <f>IF(H298&lt;Assumptions!$B$26,Assumptions!$B$26/V298,1)</f>
        <v/>
      </c>
    </row>
    <row r="299">
      <c r="A299" t="n">
        <v>41</v>
      </c>
      <c r="B299">
        <f>U298</f>
        <v/>
      </c>
      <c r="C299">
        <f>W298</f>
        <v/>
      </c>
      <c r="D299">
        <f>O298</f>
        <v/>
      </c>
      <c r="E299">
        <f>S298</f>
        <v/>
      </c>
      <c r="F299">
        <f>Assumptions!$B$16*B299</f>
        <v/>
      </c>
      <c r="G299">
        <f>Assumptions!$B$15*C299</f>
        <v/>
      </c>
      <c r="H299">
        <f>IF($B$251*($B$254/(($B$254*(1-$B$251)-$B$255)/((Assumptions!$B$9+Assumptions!$B$11+Assumptions!$B$12+Assumptions!$B$13+Assumptions!$B$14)+G299+F299+D299+E299)))&lt;Assumptions!$B$65,($B$254-$B$255)/(((Assumptions!$B$9+Assumptions!$B$11+Assumptions!$B$12+Assumptions!$B$13+Assumptions!$B$14)+G299+F299+D299+E299)+Assumptions!$B$65),($B$254*(1-$B$251)-$B$255)/((Assumptions!$B$9+Assumptions!$B$11+Assumptions!$B$12+Assumptions!$B$13+Assumptions!$B$14)+G299+F299+D299+E299))</f>
        <v/>
      </c>
      <c r="I299">
        <f>$B$254/H299</f>
        <v/>
      </c>
      <c r="J299">
        <f>$B$255/H299</f>
        <v/>
      </c>
      <c r="K299">
        <f>I299-J299</f>
        <v/>
      </c>
      <c r="L299">
        <f>Assumptions!$B$51/K299</f>
        <v/>
      </c>
      <c r="M299">
        <f>H299*(1-Assumptions!$B$52)</f>
        <v/>
      </c>
      <c r="N299">
        <f>MIN(L299,M299)</f>
        <v/>
      </c>
      <c r="O299">
        <f>Assumptions!$B$50/N299</f>
        <v/>
      </c>
      <c r="P299">
        <f>Assumptions!$B$54/K299</f>
        <v/>
      </c>
      <c r="Q299">
        <f>H299*(1-Assumptions!$B$55)</f>
        <v/>
      </c>
      <c r="R299">
        <f>MIN(P299,Q299)</f>
        <v/>
      </c>
      <c r="S299">
        <f>Assumptions!$B$53/R299</f>
        <v/>
      </c>
      <c r="T299">
        <f>Assumptions!$B$27*(Assumptions!$B$64+$B$255/Assumptions!$B$27)/(Assumptions!$B$64+J299)</f>
        <v/>
      </c>
      <c r="U299">
        <f>IF(H299&lt;Assumptions!$B$27,Assumptions!$B$27/T299,1)</f>
        <v/>
      </c>
      <c r="V299">
        <f>Assumptions!$B$26*(Assumptions!$B$64+$B$255/Assumptions!$B$26)/(Assumptions!$B$64+J299)</f>
        <v/>
      </c>
      <c r="W299">
        <f>IF(H299&lt;Assumptions!$B$26,Assumptions!$B$26/V299,1)</f>
        <v/>
      </c>
    </row>
    <row r="300">
      <c r="A300" t="n">
        <v>42</v>
      </c>
      <c r="B300">
        <f>U299</f>
        <v/>
      </c>
      <c r="C300">
        <f>W299</f>
        <v/>
      </c>
      <c r="D300">
        <f>O299</f>
        <v/>
      </c>
      <c r="E300">
        <f>S299</f>
        <v/>
      </c>
      <c r="F300">
        <f>Assumptions!$B$16*B300</f>
        <v/>
      </c>
      <c r="G300">
        <f>Assumptions!$B$15*C300</f>
        <v/>
      </c>
      <c r="H300">
        <f>IF($B$251*($B$254/(($B$254*(1-$B$251)-$B$255)/((Assumptions!$B$9+Assumptions!$B$11+Assumptions!$B$12+Assumptions!$B$13+Assumptions!$B$14)+G300+F300+D300+E300)))&lt;Assumptions!$B$65,($B$254-$B$255)/(((Assumptions!$B$9+Assumptions!$B$11+Assumptions!$B$12+Assumptions!$B$13+Assumptions!$B$14)+G300+F300+D300+E300)+Assumptions!$B$65),($B$254*(1-$B$251)-$B$255)/((Assumptions!$B$9+Assumptions!$B$11+Assumptions!$B$12+Assumptions!$B$13+Assumptions!$B$14)+G300+F300+D300+E300))</f>
        <v/>
      </c>
      <c r="I300">
        <f>$B$254/H300</f>
        <v/>
      </c>
      <c r="J300">
        <f>$B$255/H300</f>
        <v/>
      </c>
      <c r="K300">
        <f>I300-J300</f>
        <v/>
      </c>
      <c r="L300">
        <f>Assumptions!$B$51/K300</f>
        <v/>
      </c>
      <c r="M300">
        <f>H300*(1-Assumptions!$B$52)</f>
        <v/>
      </c>
      <c r="N300">
        <f>MIN(L300,M300)</f>
        <v/>
      </c>
      <c r="O300">
        <f>Assumptions!$B$50/N300</f>
        <v/>
      </c>
      <c r="P300">
        <f>Assumptions!$B$54/K300</f>
        <v/>
      </c>
      <c r="Q300">
        <f>H300*(1-Assumptions!$B$55)</f>
        <v/>
      </c>
      <c r="R300">
        <f>MIN(P300,Q300)</f>
        <v/>
      </c>
      <c r="S300">
        <f>Assumptions!$B$53/R300</f>
        <v/>
      </c>
      <c r="T300">
        <f>Assumptions!$B$27*(Assumptions!$B$64+$B$255/Assumptions!$B$27)/(Assumptions!$B$64+J300)</f>
        <v/>
      </c>
      <c r="U300">
        <f>IF(H300&lt;Assumptions!$B$27,Assumptions!$B$27/T300,1)</f>
        <v/>
      </c>
      <c r="V300">
        <f>Assumptions!$B$26*(Assumptions!$B$64+$B$255/Assumptions!$B$26)/(Assumptions!$B$64+J300)</f>
        <v/>
      </c>
      <c r="W300">
        <f>IF(H300&lt;Assumptions!$B$26,Assumptions!$B$26/V300,1)</f>
        <v/>
      </c>
    </row>
    <row r="301">
      <c r="A301" t="n">
        <v>43</v>
      </c>
      <c r="B301">
        <f>U300</f>
        <v/>
      </c>
      <c r="C301">
        <f>W300</f>
        <v/>
      </c>
      <c r="D301">
        <f>O300</f>
        <v/>
      </c>
      <c r="E301">
        <f>S300</f>
        <v/>
      </c>
      <c r="F301">
        <f>Assumptions!$B$16*B301</f>
        <v/>
      </c>
      <c r="G301">
        <f>Assumptions!$B$15*C301</f>
        <v/>
      </c>
      <c r="H301">
        <f>IF($B$251*($B$254/(($B$254*(1-$B$251)-$B$255)/((Assumptions!$B$9+Assumptions!$B$11+Assumptions!$B$12+Assumptions!$B$13+Assumptions!$B$14)+G301+F301+D301+E301)))&lt;Assumptions!$B$65,($B$254-$B$255)/(((Assumptions!$B$9+Assumptions!$B$11+Assumptions!$B$12+Assumptions!$B$13+Assumptions!$B$14)+G301+F301+D301+E301)+Assumptions!$B$65),($B$254*(1-$B$251)-$B$255)/((Assumptions!$B$9+Assumptions!$B$11+Assumptions!$B$12+Assumptions!$B$13+Assumptions!$B$14)+G301+F301+D301+E301))</f>
        <v/>
      </c>
      <c r="I301">
        <f>$B$254/H301</f>
        <v/>
      </c>
      <c r="J301">
        <f>$B$255/H301</f>
        <v/>
      </c>
      <c r="K301">
        <f>I301-J301</f>
        <v/>
      </c>
      <c r="L301">
        <f>Assumptions!$B$51/K301</f>
        <v/>
      </c>
      <c r="M301">
        <f>H301*(1-Assumptions!$B$52)</f>
        <v/>
      </c>
      <c r="N301">
        <f>MIN(L301,M301)</f>
        <v/>
      </c>
      <c r="O301">
        <f>Assumptions!$B$50/N301</f>
        <v/>
      </c>
      <c r="P301">
        <f>Assumptions!$B$54/K301</f>
        <v/>
      </c>
      <c r="Q301">
        <f>H301*(1-Assumptions!$B$55)</f>
        <v/>
      </c>
      <c r="R301">
        <f>MIN(P301,Q301)</f>
        <v/>
      </c>
      <c r="S301">
        <f>Assumptions!$B$53/R301</f>
        <v/>
      </c>
      <c r="T301">
        <f>Assumptions!$B$27*(Assumptions!$B$64+$B$255/Assumptions!$B$27)/(Assumptions!$B$64+J301)</f>
        <v/>
      </c>
      <c r="U301">
        <f>IF(H301&lt;Assumptions!$B$27,Assumptions!$B$27/T301,1)</f>
        <v/>
      </c>
      <c r="V301">
        <f>Assumptions!$B$26*(Assumptions!$B$64+$B$255/Assumptions!$B$26)/(Assumptions!$B$64+J301)</f>
        <v/>
      </c>
      <c r="W301">
        <f>IF(H301&lt;Assumptions!$B$26,Assumptions!$B$26/V301,1)</f>
        <v/>
      </c>
    </row>
    <row r="302">
      <c r="A302" t="n">
        <v>44</v>
      </c>
      <c r="B302">
        <f>U301</f>
        <v/>
      </c>
      <c r="C302">
        <f>W301</f>
        <v/>
      </c>
      <c r="D302">
        <f>O301</f>
        <v/>
      </c>
      <c r="E302">
        <f>S301</f>
        <v/>
      </c>
      <c r="F302">
        <f>Assumptions!$B$16*B302</f>
        <v/>
      </c>
      <c r="G302">
        <f>Assumptions!$B$15*C302</f>
        <v/>
      </c>
      <c r="H302">
        <f>IF($B$251*($B$254/(($B$254*(1-$B$251)-$B$255)/((Assumptions!$B$9+Assumptions!$B$11+Assumptions!$B$12+Assumptions!$B$13+Assumptions!$B$14)+G302+F302+D302+E302)))&lt;Assumptions!$B$65,($B$254-$B$255)/(((Assumptions!$B$9+Assumptions!$B$11+Assumptions!$B$12+Assumptions!$B$13+Assumptions!$B$14)+G302+F302+D302+E302)+Assumptions!$B$65),($B$254*(1-$B$251)-$B$255)/((Assumptions!$B$9+Assumptions!$B$11+Assumptions!$B$12+Assumptions!$B$13+Assumptions!$B$14)+G302+F302+D302+E302))</f>
        <v/>
      </c>
      <c r="I302">
        <f>$B$254/H302</f>
        <v/>
      </c>
      <c r="J302">
        <f>$B$255/H302</f>
        <v/>
      </c>
      <c r="K302">
        <f>I302-J302</f>
        <v/>
      </c>
      <c r="L302">
        <f>Assumptions!$B$51/K302</f>
        <v/>
      </c>
      <c r="M302">
        <f>H302*(1-Assumptions!$B$52)</f>
        <v/>
      </c>
      <c r="N302">
        <f>MIN(L302,M302)</f>
        <v/>
      </c>
      <c r="O302">
        <f>Assumptions!$B$50/N302</f>
        <v/>
      </c>
      <c r="P302">
        <f>Assumptions!$B$54/K302</f>
        <v/>
      </c>
      <c r="Q302">
        <f>H302*(1-Assumptions!$B$55)</f>
        <v/>
      </c>
      <c r="R302">
        <f>MIN(P302,Q302)</f>
        <v/>
      </c>
      <c r="S302">
        <f>Assumptions!$B$53/R302</f>
        <v/>
      </c>
      <c r="T302">
        <f>Assumptions!$B$27*(Assumptions!$B$64+$B$255/Assumptions!$B$27)/(Assumptions!$B$64+J302)</f>
        <v/>
      </c>
      <c r="U302">
        <f>IF(H302&lt;Assumptions!$B$27,Assumptions!$B$27/T302,1)</f>
        <v/>
      </c>
      <c r="V302">
        <f>Assumptions!$B$26*(Assumptions!$B$64+$B$255/Assumptions!$B$26)/(Assumptions!$B$64+J302)</f>
        <v/>
      </c>
      <c r="W302">
        <f>IF(H302&lt;Assumptions!$B$26,Assumptions!$B$26/V302,1)</f>
        <v/>
      </c>
    </row>
    <row r="303">
      <c r="A303" t="n">
        <v>45</v>
      </c>
      <c r="B303">
        <f>U302</f>
        <v/>
      </c>
      <c r="C303">
        <f>W302</f>
        <v/>
      </c>
      <c r="D303">
        <f>O302</f>
        <v/>
      </c>
      <c r="E303">
        <f>S302</f>
        <v/>
      </c>
      <c r="F303">
        <f>Assumptions!$B$16*B303</f>
        <v/>
      </c>
      <c r="G303">
        <f>Assumptions!$B$15*C303</f>
        <v/>
      </c>
      <c r="H303">
        <f>IF($B$251*($B$254/(($B$254*(1-$B$251)-$B$255)/((Assumptions!$B$9+Assumptions!$B$11+Assumptions!$B$12+Assumptions!$B$13+Assumptions!$B$14)+G303+F303+D303+E303)))&lt;Assumptions!$B$65,($B$254-$B$255)/(((Assumptions!$B$9+Assumptions!$B$11+Assumptions!$B$12+Assumptions!$B$13+Assumptions!$B$14)+G303+F303+D303+E303)+Assumptions!$B$65),($B$254*(1-$B$251)-$B$255)/((Assumptions!$B$9+Assumptions!$B$11+Assumptions!$B$12+Assumptions!$B$13+Assumptions!$B$14)+G303+F303+D303+E303))</f>
        <v/>
      </c>
      <c r="I303">
        <f>$B$254/H303</f>
        <v/>
      </c>
      <c r="J303">
        <f>$B$255/H303</f>
        <v/>
      </c>
      <c r="K303">
        <f>I303-J303</f>
        <v/>
      </c>
      <c r="L303">
        <f>Assumptions!$B$51/K303</f>
        <v/>
      </c>
      <c r="M303">
        <f>H303*(1-Assumptions!$B$52)</f>
        <v/>
      </c>
      <c r="N303">
        <f>MIN(L303,M303)</f>
        <v/>
      </c>
      <c r="O303">
        <f>Assumptions!$B$50/N303</f>
        <v/>
      </c>
      <c r="P303">
        <f>Assumptions!$B$54/K303</f>
        <v/>
      </c>
      <c r="Q303">
        <f>H303*(1-Assumptions!$B$55)</f>
        <v/>
      </c>
      <c r="R303">
        <f>MIN(P303,Q303)</f>
        <v/>
      </c>
      <c r="S303">
        <f>Assumptions!$B$53/R303</f>
        <v/>
      </c>
      <c r="T303">
        <f>Assumptions!$B$27*(Assumptions!$B$64+$B$255/Assumptions!$B$27)/(Assumptions!$B$64+J303)</f>
        <v/>
      </c>
      <c r="U303">
        <f>IF(H303&lt;Assumptions!$B$27,Assumptions!$B$27/T303,1)</f>
        <v/>
      </c>
      <c r="V303">
        <f>Assumptions!$B$26*(Assumptions!$B$64+$B$255/Assumptions!$B$26)/(Assumptions!$B$64+J303)</f>
        <v/>
      </c>
      <c r="W303">
        <f>IF(H303&lt;Assumptions!$B$26,Assumptions!$B$26/V303,1)</f>
        <v/>
      </c>
    </row>
    <row r="304">
      <c r="A304" t="n">
        <v>46</v>
      </c>
      <c r="B304">
        <f>U303</f>
        <v/>
      </c>
      <c r="C304">
        <f>W303</f>
        <v/>
      </c>
      <c r="D304">
        <f>O303</f>
        <v/>
      </c>
      <c r="E304">
        <f>S303</f>
        <v/>
      </c>
      <c r="F304">
        <f>Assumptions!$B$16*B304</f>
        <v/>
      </c>
      <c r="G304">
        <f>Assumptions!$B$15*C304</f>
        <v/>
      </c>
      <c r="H304">
        <f>IF($B$251*($B$254/(($B$254*(1-$B$251)-$B$255)/((Assumptions!$B$9+Assumptions!$B$11+Assumptions!$B$12+Assumptions!$B$13+Assumptions!$B$14)+G304+F304+D304+E304)))&lt;Assumptions!$B$65,($B$254-$B$255)/(((Assumptions!$B$9+Assumptions!$B$11+Assumptions!$B$12+Assumptions!$B$13+Assumptions!$B$14)+G304+F304+D304+E304)+Assumptions!$B$65),($B$254*(1-$B$251)-$B$255)/((Assumptions!$B$9+Assumptions!$B$11+Assumptions!$B$12+Assumptions!$B$13+Assumptions!$B$14)+G304+F304+D304+E304))</f>
        <v/>
      </c>
      <c r="I304">
        <f>$B$254/H304</f>
        <v/>
      </c>
      <c r="J304">
        <f>$B$255/H304</f>
        <v/>
      </c>
      <c r="K304">
        <f>I304-J304</f>
        <v/>
      </c>
      <c r="L304">
        <f>Assumptions!$B$51/K304</f>
        <v/>
      </c>
      <c r="M304">
        <f>H304*(1-Assumptions!$B$52)</f>
        <v/>
      </c>
      <c r="N304">
        <f>MIN(L304,M304)</f>
        <v/>
      </c>
      <c r="O304">
        <f>Assumptions!$B$50/N304</f>
        <v/>
      </c>
      <c r="P304">
        <f>Assumptions!$B$54/K304</f>
        <v/>
      </c>
      <c r="Q304">
        <f>H304*(1-Assumptions!$B$55)</f>
        <v/>
      </c>
      <c r="R304">
        <f>MIN(P304,Q304)</f>
        <v/>
      </c>
      <c r="S304">
        <f>Assumptions!$B$53/R304</f>
        <v/>
      </c>
      <c r="T304">
        <f>Assumptions!$B$27*(Assumptions!$B$64+$B$255/Assumptions!$B$27)/(Assumptions!$B$64+J304)</f>
        <v/>
      </c>
      <c r="U304">
        <f>IF(H304&lt;Assumptions!$B$27,Assumptions!$B$27/T304,1)</f>
        <v/>
      </c>
      <c r="V304">
        <f>Assumptions!$B$26*(Assumptions!$B$64+$B$255/Assumptions!$B$26)/(Assumptions!$B$64+J304)</f>
        <v/>
      </c>
      <c r="W304">
        <f>IF(H304&lt;Assumptions!$B$26,Assumptions!$B$26/V304,1)</f>
        <v/>
      </c>
    </row>
    <row r="305">
      <c r="A305" t="n">
        <v>47</v>
      </c>
      <c r="B305">
        <f>U304</f>
        <v/>
      </c>
      <c r="C305">
        <f>W304</f>
        <v/>
      </c>
      <c r="D305">
        <f>O304</f>
        <v/>
      </c>
      <c r="E305">
        <f>S304</f>
        <v/>
      </c>
      <c r="F305">
        <f>Assumptions!$B$16*B305</f>
        <v/>
      </c>
      <c r="G305">
        <f>Assumptions!$B$15*C305</f>
        <v/>
      </c>
      <c r="H305">
        <f>IF($B$251*($B$254/(($B$254*(1-$B$251)-$B$255)/((Assumptions!$B$9+Assumptions!$B$11+Assumptions!$B$12+Assumptions!$B$13+Assumptions!$B$14)+G305+F305+D305+E305)))&lt;Assumptions!$B$65,($B$254-$B$255)/(((Assumptions!$B$9+Assumptions!$B$11+Assumptions!$B$12+Assumptions!$B$13+Assumptions!$B$14)+G305+F305+D305+E305)+Assumptions!$B$65),($B$254*(1-$B$251)-$B$255)/((Assumptions!$B$9+Assumptions!$B$11+Assumptions!$B$12+Assumptions!$B$13+Assumptions!$B$14)+G305+F305+D305+E305))</f>
        <v/>
      </c>
      <c r="I305">
        <f>$B$254/H305</f>
        <v/>
      </c>
      <c r="J305">
        <f>$B$255/H305</f>
        <v/>
      </c>
      <c r="K305">
        <f>I305-J305</f>
        <v/>
      </c>
      <c r="L305">
        <f>Assumptions!$B$51/K305</f>
        <v/>
      </c>
      <c r="M305">
        <f>H305*(1-Assumptions!$B$52)</f>
        <v/>
      </c>
      <c r="N305">
        <f>MIN(L305,M305)</f>
        <v/>
      </c>
      <c r="O305">
        <f>Assumptions!$B$50/N305</f>
        <v/>
      </c>
      <c r="P305">
        <f>Assumptions!$B$54/K305</f>
        <v/>
      </c>
      <c r="Q305">
        <f>H305*(1-Assumptions!$B$55)</f>
        <v/>
      </c>
      <c r="R305">
        <f>MIN(P305,Q305)</f>
        <v/>
      </c>
      <c r="S305">
        <f>Assumptions!$B$53/R305</f>
        <v/>
      </c>
      <c r="T305">
        <f>Assumptions!$B$27*(Assumptions!$B$64+$B$255/Assumptions!$B$27)/(Assumptions!$B$64+J305)</f>
        <v/>
      </c>
      <c r="U305">
        <f>IF(H305&lt;Assumptions!$B$27,Assumptions!$B$27/T305,1)</f>
        <v/>
      </c>
      <c r="V305">
        <f>Assumptions!$B$26*(Assumptions!$B$64+$B$255/Assumptions!$B$26)/(Assumptions!$B$64+J305)</f>
        <v/>
      </c>
      <c r="W305">
        <f>IF(H305&lt;Assumptions!$B$26,Assumptions!$B$26/V305,1)</f>
        <v/>
      </c>
    </row>
    <row r="306">
      <c r="A306" t="n">
        <v>48</v>
      </c>
      <c r="B306">
        <f>U305</f>
        <v/>
      </c>
      <c r="C306">
        <f>W305</f>
        <v/>
      </c>
      <c r="D306">
        <f>O305</f>
        <v/>
      </c>
      <c r="E306">
        <f>S305</f>
        <v/>
      </c>
      <c r="F306">
        <f>Assumptions!$B$16*B306</f>
        <v/>
      </c>
      <c r="G306">
        <f>Assumptions!$B$15*C306</f>
        <v/>
      </c>
      <c r="H306">
        <f>IF($B$251*($B$254/(($B$254*(1-$B$251)-$B$255)/((Assumptions!$B$9+Assumptions!$B$11+Assumptions!$B$12+Assumptions!$B$13+Assumptions!$B$14)+G306+F306+D306+E306)))&lt;Assumptions!$B$65,($B$254-$B$255)/(((Assumptions!$B$9+Assumptions!$B$11+Assumptions!$B$12+Assumptions!$B$13+Assumptions!$B$14)+G306+F306+D306+E306)+Assumptions!$B$65),($B$254*(1-$B$251)-$B$255)/((Assumptions!$B$9+Assumptions!$B$11+Assumptions!$B$12+Assumptions!$B$13+Assumptions!$B$14)+G306+F306+D306+E306))</f>
        <v/>
      </c>
      <c r="I306">
        <f>$B$254/H306</f>
        <v/>
      </c>
      <c r="J306">
        <f>$B$255/H306</f>
        <v/>
      </c>
      <c r="K306">
        <f>I306-J306</f>
        <v/>
      </c>
      <c r="L306">
        <f>Assumptions!$B$51/K306</f>
        <v/>
      </c>
      <c r="M306">
        <f>H306*(1-Assumptions!$B$52)</f>
        <v/>
      </c>
      <c r="N306">
        <f>MIN(L306,M306)</f>
        <v/>
      </c>
      <c r="O306">
        <f>Assumptions!$B$50/N306</f>
        <v/>
      </c>
      <c r="P306">
        <f>Assumptions!$B$54/K306</f>
        <v/>
      </c>
      <c r="Q306">
        <f>H306*(1-Assumptions!$B$55)</f>
        <v/>
      </c>
      <c r="R306">
        <f>MIN(P306,Q306)</f>
        <v/>
      </c>
      <c r="S306">
        <f>Assumptions!$B$53/R306</f>
        <v/>
      </c>
      <c r="T306">
        <f>Assumptions!$B$27*(Assumptions!$B$64+$B$255/Assumptions!$B$27)/(Assumptions!$B$64+J306)</f>
        <v/>
      </c>
      <c r="U306">
        <f>IF(H306&lt;Assumptions!$B$27,Assumptions!$B$27/T306,1)</f>
        <v/>
      </c>
      <c r="V306">
        <f>Assumptions!$B$26*(Assumptions!$B$64+$B$255/Assumptions!$B$26)/(Assumptions!$B$64+J306)</f>
        <v/>
      </c>
      <c r="W306">
        <f>IF(H306&lt;Assumptions!$B$26,Assumptions!$B$26/V306,1)</f>
        <v/>
      </c>
    </row>
    <row r="307">
      <c r="A307" t="n">
        <v>49</v>
      </c>
      <c r="B307">
        <f>U306</f>
        <v/>
      </c>
      <c r="C307">
        <f>W306</f>
        <v/>
      </c>
      <c r="D307">
        <f>O306</f>
        <v/>
      </c>
      <c r="E307">
        <f>S306</f>
        <v/>
      </c>
      <c r="F307">
        <f>Assumptions!$B$16*B307</f>
        <v/>
      </c>
      <c r="G307">
        <f>Assumptions!$B$15*C307</f>
        <v/>
      </c>
      <c r="H307">
        <f>IF($B$251*($B$254/(($B$254*(1-$B$251)-$B$255)/((Assumptions!$B$9+Assumptions!$B$11+Assumptions!$B$12+Assumptions!$B$13+Assumptions!$B$14)+G307+F307+D307+E307)))&lt;Assumptions!$B$65,($B$254-$B$255)/(((Assumptions!$B$9+Assumptions!$B$11+Assumptions!$B$12+Assumptions!$B$13+Assumptions!$B$14)+G307+F307+D307+E307)+Assumptions!$B$65),($B$254*(1-$B$251)-$B$255)/((Assumptions!$B$9+Assumptions!$B$11+Assumptions!$B$12+Assumptions!$B$13+Assumptions!$B$14)+G307+F307+D307+E307))</f>
        <v/>
      </c>
      <c r="I307">
        <f>$B$254/H307</f>
        <v/>
      </c>
      <c r="J307">
        <f>$B$255/H307</f>
        <v/>
      </c>
      <c r="K307">
        <f>I307-J307</f>
        <v/>
      </c>
      <c r="L307">
        <f>Assumptions!$B$51/K307</f>
        <v/>
      </c>
      <c r="M307">
        <f>H307*(1-Assumptions!$B$52)</f>
        <v/>
      </c>
      <c r="N307">
        <f>MIN(L307,M307)</f>
        <v/>
      </c>
      <c r="O307">
        <f>Assumptions!$B$50/N307</f>
        <v/>
      </c>
      <c r="P307">
        <f>Assumptions!$B$54/K307</f>
        <v/>
      </c>
      <c r="Q307">
        <f>H307*(1-Assumptions!$B$55)</f>
        <v/>
      </c>
      <c r="R307">
        <f>MIN(P307,Q307)</f>
        <v/>
      </c>
      <c r="S307">
        <f>Assumptions!$B$53/R307</f>
        <v/>
      </c>
      <c r="T307">
        <f>Assumptions!$B$27*(Assumptions!$B$64+$B$255/Assumptions!$B$27)/(Assumptions!$B$64+J307)</f>
        <v/>
      </c>
      <c r="U307">
        <f>IF(H307&lt;Assumptions!$B$27,Assumptions!$B$27/T307,1)</f>
        <v/>
      </c>
      <c r="V307">
        <f>Assumptions!$B$26*(Assumptions!$B$64+$B$255/Assumptions!$B$26)/(Assumptions!$B$64+J307)</f>
        <v/>
      </c>
      <c r="W307">
        <f>IF(H307&lt;Assumptions!$B$26,Assumptions!$B$26/V307,1)</f>
        <v/>
      </c>
    </row>
    <row r="325">
      <c r="A325" t="inlineStr">
        <is>
          <t>Cell esop_13_pre_1200M</t>
        </is>
      </c>
    </row>
    <row r="326">
      <c r="A326" t="inlineStr">
        <is>
          <t>esop</t>
        </is>
      </c>
      <c r="B326" t="n">
        <v>0.13</v>
      </c>
    </row>
    <row r="327">
      <c r="A327" t="inlineStr">
        <is>
          <t>pre_M ($M)</t>
        </is>
      </c>
      <c r="B327" t="n">
        <v>1200</v>
      </c>
    </row>
    <row r="328">
      <c r="A328" t="inlineStr">
        <is>
          <t>pre_money $</t>
        </is>
      </c>
      <c r="B328">
        <f>B327*1000000</f>
        <v/>
      </c>
    </row>
    <row r="329">
      <c r="A329" t="inlineStr">
        <is>
          <t>post_money $</t>
        </is>
      </c>
      <c r="B329">
        <f>B328+Assumptions!$B$41</f>
        <v/>
      </c>
    </row>
    <row r="330">
      <c r="A330" t="inlineStr">
        <is>
          <t>primary raise $</t>
        </is>
      </c>
      <c r="B330">
        <f>Assumptions!$B$41</f>
        <v/>
      </c>
    </row>
    <row r="332">
      <c r="A332" t="inlineStr">
        <is>
          <t>iter</t>
        </is>
      </c>
      <c r="B332" t="inlineStr">
        <is>
          <t>r_E_p</t>
        </is>
      </c>
      <c r="C332" t="inlineStr">
        <is>
          <t>r_D_p</t>
        </is>
      </c>
      <c r="D332" t="inlineStr">
        <is>
          <t>N_A_p</t>
        </is>
      </c>
      <c r="E332" t="inlineStr">
        <is>
          <t>N_B_p</t>
        </is>
      </c>
      <c r="F332" t="inlineStr">
        <is>
          <t>E_adj</t>
        </is>
      </c>
      <c r="G332" t="inlineStr">
        <is>
          <t>D_adj</t>
        </is>
      </c>
      <c r="H332" t="inlineStr">
        <is>
          <t>F_PPS</t>
        </is>
      </c>
      <c r="I332" t="inlineStr">
        <is>
          <t>T_F</t>
        </is>
      </c>
      <c r="J332" t="inlineStr">
        <is>
          <t>new_F</t>
        </is>
      </c>
      <c r="K332" t="inlineStr">
        <is>
          <t>pre_FD</t>
        </is>
      </c>
      <c r="L332" t="inlineStr">
        <is>
          <t>capA</t>
        </is>
      </c>
      <c r="M332" t="inlineStr">
        <is>
          <t>discA</t>
        </is>
      </c>
      <c r="N332" t="inlineStr">
        <is>
          <t>cpA</t>
        </is>
      </c>
      <c r="O332" t="inlineStr">
        <is>
          <t>NA</t>
        </is>
      </c>
      <c r="P332" t="inlineStr">
        <is>
          <t>capB</t>
        </is>
      </c>
      <c r="Q332" t="inlineStr">
        <is>
          <t>discB</t>
        </is>
      </c>
      <c r="R332" t="inlineStr">
        <is>
          <t>cpB</t>
        </is>
      </c>
      <c r="S332" t="inlineStr">
        <is>
          <t>NB</t>
        </is>
      </c>
      <c r="T332" t="inlineStr">
        <is>
          <t>NCP_E</t>
        </is>
      </c>
      <c r="U332" t="inlineStr">
        <is>
          <t>r_E_n</t>
        </is>
      </c>
      <c r="V332" t="inlineStr">
        <is>
          <t>NCP_D</t>
        </is>
      </c>
      <c r="W332" t="inlineStr">
        <is>
          <t>r_D_n</t>
        </is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>
        <f>Assumptions!$B$16*B333</f>
        <v/>
      </c>
      <c r="G333">
        <f>Assumptions!$B$15*C333</f>
        <v/>
      </c>
      <c r="H333">
        <f>IF($B$326*($B$329/(($B$329*(1-$B$326)-$B$330)/((Assumptions!$B$9+Assumptions!$B$11+Assumptions!$B$12+Assumptions!$B$13+Assumptions!$B$14)+G333+F333+D333+E333)))&lt;Assumptions!$B$65,($B$329-$B$330)/(((Assumptions!$B$9+Assumptions!$B$11+Assumptions!$B$12+Assumptions!$B$13+Assumptions!$B$14)+G333+F333+D333+E333)+Assumptions!$B$65),($B$329*(1-$B$326)-$B$330)/((Assumptions!$B$9+Assumptions!$B$11+Assumptions!$B$12+Assumptions!$B$13+Assumptions!$B$14)+G333+F333+D333+E333))</f>
        <v/>
      </c>
      <c r="I333">
        <f>$B$329/H333</f>
        <v/>
      </c>
      <c r="J333">
        <f>$B$330/H333</f>
        <v/>
      </c>
      <c r="K333">
        <f>I333-J333</f>
        <v/>
      </c>
      <c r="L333">
        <f>Assumptions!$B$51/K333</f>
        <v/>
      </c>
      <c r="M333">
        <f>H333*(1-Assumptions!$B$52)</f>
        <v/>
      </c>
      <c r="N333">
        <f>MIN(L333,M333)</f>
        <v/>
      </c>
      <c r="O333">
        <f>Assumptions!$B$50/N333</f>
        <v/>
      </c>
      <c r="P333">
        <f>Assumptions!$B$54/K333</f>
        <v/>
      </c>
      <c r="Q333">
        <f>H333*(1-Assumptions!$B$55)</f>
        <v/>
      </c>
      <c r="R333">
        <f>MIN(P333,Q333)</f>
        <v/>
      </c>
      <c r="S333">
        <f>Assumptions!$B$53/R333</f>
        <v/>
      </c>
      <c r="T333">
        <f>Assumptions!$B$27*(Assumptions!$B$64+$B$330/Assumptions!$B$27)/(Assumptions!$B$64+J333)</f>
        <v/>
      </c>
      <c r="U333">
        <f>IF(H333&lt;Assumptions!$B$27,Assumptions!$B$27/T333,1)</f>
        <v/>
      </c>
      <c r="V333">
        <f>Assumptions!$B$26*(Assumptions!$B$64+$B$330/Assumptions!$B$26)/(Assumptions!$B$64+J333)</f>
        <v/>
      </c>
      <c r="W333">
        <f>IF(H333&lt;Assumptions!$B$26,Assumptions!$B$26/V333,1)</f>
        <v/>
      </c>
    </row>
    <row r="334">
      <c r="A334" t="n">
        <v>1</v>
      </c>
      <c r="B334">
        <f>U333</f>
        <v/>
      </c>
      <c r="C334">
        <f>W333</f>
        <v/>
      </c>
      <c r="D334">
        <f>O333</f>
        <v/>
      </c>
      <c r="E334">
        <f>S333</f>
        <v/>
      </c>
      <c r="F334">
        <f>Assumptions!$B$16*B334</f>
        <v/>
      </c>
      <c r="G334">
        <f>Assumptions!$B$15*C334</f>
        <v/>
      </c>
      <c r="H334">
        <f>IF($B$326*($B$329/(($B$329*(1-$B$326)-$B$330)/((Assumptions!$B$9+Assumptions!$B$11+Assumptions!$B$12+Assumptions!$B$13+Assumptions!$B$14)+G334+F334+D334+E334)))&lt;Assumptions!$B$65,($B$329-$B$330)/(((Assumptions!$B$9+Assumptions!$B$11+Assumptions!$B$12+Assumptions!$B$13+Assumptions!$B$14)+G334+F334+D334+E334)+Assumptions!$B$65),($B$329*(1-$B$326)-$B$330)/((Assumptions!$B$9+Assumptions!$B$11+Assumptions!$B$12+Assumptions!$B$13+Assumptions!$B$14)+G334+F334+D334+E334))</f>
        <v/>
      </c>
      <c r="I334">
        <f>$B$329/H334</f>
        <v/>
      </c>
      <c r="J334">
        <f>$B$330/H334</f>
        <v/>
      </c>
      <c r="K334">
        <f>I334-J334</f>
        <v/>
      </c>
      <c r="L334">
        <f>Assumptions!$B$51/K334</f>
        <v/>
      </c>
      <c r="M334">
        <f>H334*(1-Assumptions!$B$52)</f>
        <v/>
      </c>
      <c r="N334">
        <f>MIN(L334,M334)</f>
        <v/>
      </c>
      <c r="O334">
        <f>Assumptions!$B$50/N334</f>
        <v/>
      </c>
      <c r="P334">
        <f>Assumptions!$B$54/K334</f>
        <v/>
      </c>
      <c r="Q334">
        <f>H334*(1-Assumptions!$B$55)</f>
        <v/>
      </c>
      <c r="R334">
        <f>MIN(P334,Q334)</f>
        <v/>
      </c>
      <c r="S334">
        <f>Assumptions!$B$53/R334</f>
        <v/>
      </c>
      <c r="T334">
        <f>Assumptions!$B$27*(Assumptions!$B$64+$B$330/Assumptions!$B$27)/(Assumptions!$B$64+J334)</f>
        <v/>
      </c>
      <c r="U334">
        <f>IF(H334&lt;Assumptions!$B$27,Assumptions!$B$27/T334,1)</f>
        <v/>
      </c>
      <c r="V334">
        <f>Assumptions!$B$26*(Assumptions!$B$64+$B$330/Assumptions!$B$26)/(Assumptions!$B$64+J334)</f>
        <v/>
      </c>
      <c r="W334">
        <f>IF(H334&lt;Assumptions!$B$26,Assumptions!$B$26/V334,1)</f>
        <v/>
      </c>
    </row>
    <row r="335">
      <c r="A335" t="n">
        <v>2</v>
      </c>
      <c r="B335">
        <f>U334</f>
        <v/>
      </c>
      <c r="C335">
        <f>W334</f>
        <v/>
      </c>
      <c r="D335">
        <f>O334</f>
        <v/>
      </c>
      <c r="E335">
        <f>S334</f>
        <v/>
      </c>
      <c r="F335">
        <f>Assumptions!$B$16*B335</f>
        <v/>
      </c>
      <c r="G335">
        <f>Assumptions!$B$15*C335</f>
        <v/>
      </c>
      <c r="H335">
        <f>IF($B$326*($B$329/(($B$329*(1-$B$326)-$B$330)/((Assumptions!$B$9+Assumptions!$B$11+Assumptions!$B$12+Assumptions!$B$13+Assumptions!$B$14)+G335+F335+D335+E335)))&lt;Assumptions!$B$65,($B$329-$B$330)/(((Assumptions!$B$9+Assumptions!$B$11+Assumptions!$B$12+Assumptions!$B$13+Assumptions!$B$14)+G335+F335+D335+E335)+Assumptions!$B$65),($B$329*(1-$B$326)-$B$330)/((Assumptions!$B$9+Assumptions!$B$11+Assumptions!$B$12+Assumptions!$B$13+Assumptions!$B$14)+G335+F335+D335+E335))</f>
        <v/>
      </c>
      <c r="I335">
        <f>$B$329/H335</f>
        <v/>
      </c>
      <c r="J335">
        <f>$B$330/H335</f>
        <v/>
      </c>
      <c r="K335">
        <f>I335-J335</f>
        <v/>
      </c>
      <c r="L335">
        <f>Assumptions!$B$51/K335</f>
        <v/>
      </c>
      <c r="M335">
        <f>H335*(1-Assumptions!$B$52)</f>
        <v/>
      </c>
      <c r="N335">
        <f>MIN(L335,M335)</f>
        <v/>
      </c>
      <c r="O335">
        <f>Assumptions!$B$50/N335</f>
        <v/>
      </c>
      <c r="P335">
        <f>Assumptions!$B$54/K335</f>
        <v/>
      </c>
      <c r="Q335">
        <f>H335*(1-Assumptions!$B$55)</f>
        <v/>
      </c>
      <c r="R335">
        <f>MIN(P335,Q335)</f>
        <v/>
      </c>
      <c r="S335">
        <f>Assumptions!$B$53/R335</f>
        <v/>
      </c>
      <c r="T335">
        <f>Assumptions!$B$27*(Assumptions!$B$64+$B$330/Assumptions!$B$27)/(Assumptions!$B$64+J335)</f>
        <v/>
      </c>
      <c r="U335">
        <f>IF(H335&lt;Assumptions!$B$27,Assumptions!$B$27/T335,1)</f>
        <v/>
      </c>
      <c r="V335">
        <f>Assumptions!$B$26*(Assumptions!$B$64+$B$330/Assumptions!$B$26)/(Assumptions!$B$64+J335)</f>
        <v/>
      </c>
      <c r="W335">
        <f>IF(H335&lt;Assumptions!$B$26,Assumptions!$B$26/V335,1)</f>
        <v/>
      </c>
    </row>
    <row r="336">
      <c r="A336" t="n">
        <v>3</v>
      </c>
      <c r="B336">
        <f>U335</f>
        <v/>
      </c>
      <c r="C336">
        <f>W335</f>
        <v/>
      </c>
      <c r="D336">
        <f>O335</f>
        <v/>
      </c>
      <c r="E336">
        <f>S335</f>
        <v/>
      </c>
      <c r="F336">
        <f>Assumptions!$B$16*B336</f>
        <v/>
      </c>
      <c r="G336">
        <f>Assumptions!$B$15*C336</f>
        <v/>
      </c>
      <c r="H336">
        <f>IF($B$326*($B$329/(($B$329*(1-$B$326)-$B$330)/((Assumptions!$B$9+Assumptions!$B$11+Assumptions!$B$12+Assumptions!$B$13+Assumptions!$B$14)+G336+F336+D336+E336)))&lt;Assumptions!$B$65,($B$329-$B$330)/(((Assumptions!$B$9+Assumptions!$B$11+Assumptions!$B$12+Assumptions!$B$13+Assumptions!$B$14)+G336+F336+D336+E336)+Assumptions!$B$65),($B$329*(1-$B$326)-$B$330)/((Assumptions!$B$9+Assumptions!$B$11+Assumptions!$B$12+Assumptions!$B$13+Assumptions!$B$14)+G336+F336+D336+E336))</f>
        <v/>
      </c>
      <c r="I336">
        <f>$B$329/H336</f>
        <v/>
      </c>
      <c r="J336">
        <f>$B$330/H336</f>
        <v/>
      </c>
      <c r="K336">
        <f>I336-J336</f>
        <v/>
      </c>
      <c r="L336">
        <f>Assumptions!$B$51/K336</f>
        <v/>
      </c>
      <c r="M336">
        <f>H336*(1-Assumptions!$B$52)</f>
        <v/>
      </c>
      <c r="N336">
        <f>MIN(L336,M336)</f>
        <v/>
      </c>
      <c r="O336">
        <f>Assumptions!$B$50/N336</f>
        <v/>
      </c>
      <c r="P336">
        <f>Assumptions!$B$54/K336</f>
        <v/>
      </c>
      <c r="Q336">
        <f>H336*(1-Assumptions!$B$55)</f>
        <v/>
      </c>
      <c r="R336">
        <f>MIN(P336,Q336)</f>
        <v/>
      </c>
      <c r="S336">
        <f>Assumptions!$B$53/R336</f>
        <v/>
      </c>
      <c r="T336">
        <f>Assumptions!$B$27*(Assumptions!$B$64+$B$330/Assumptions!$B$27)/(Assumptions!$B$64+J336)</f>
        <v/>
      </c>
      <c r="U336">
        <f>IF(H336&lt;Assumptions!$B$27,Assumptions!$B$27/T336,1)</f>
        <v/>
      </c>
      <c r="V336">
        <f>Assumptions!$B$26*(Assumptions!$B$64+$B$330/Assumptions!$B$26)/(Assumptions!$B$64+J336)</f>
        <v/>
      </c>
      <c r="W336">
        <f>IF(H336&lt;Assumptions!$B$26,Assumptions!$B$26/V336,1)</f>
        <v/>
      </c>
    </row>
    <row r="337">
      <c r="A337" t="n">
        <v>4</v>
      </c>
      <c r="B337">
        <f>U336</f>
        <v/>
      </c>
      <c r="C337">
        <f>W336</f>
        <v/>
      </c>
      <c r="D337">
        <f>O336</f>
        <v/>
      </c>
      <c r="E337">
        <f>S336</f>
        <v/>
      </c>
      <c r="F337">
        <f>Assumptions!$B$16*B337</f>
        <v/>
      </c>
      <c r="G337">
        <f>Assumptions!$B$15*C337</f>
        <v/>
      </c>
      <c r="H337">
        <f>IF($B$326*($B$329/(($B$329*(1-$B$326)-$B$330)/((Assumptions!$B$9+Assumptions!$B$11+Assumptions!$B$12+Assumptions!$B$13+Assumptions!$B$14)+G337+F337+D337+E337)))&lt;Assumptions!$B$65,($B$329-$B$330)/(((Assumptions!$B$9+Assumptions!$B$11+Assumptions!$B$12+Assumptions!$B$13+Assumptions!$B$14)+G337+F337+D337+E337)+Assumptions!$B$65),($B$329*(1-$B$326)-$B$330)/((Assumptions!$B$9+Assumptions!$B$11+Assumptions!$B$12+Assumptions!$B$13+Assumptions!$B$14)+G337+F337+D337+E337))</f>
        <v/>
      </c>
      <c r="I337">
        <f>$B$329/H337</f>
        <v/>
      </c>
      <c r="J337">
        <f>$B$330/H337</f>
        <v/>
      </c>
      <c r="K337">
        <f>I337-J337</f>
        <v/>
      </c>
      <c r="L337">
        <f>Assumptions!$B$51/K337</f>
        <v/>
      </c>
      <c r="M337">
        <f>H337*(1-Assumptions!$B$52)</f>
        <v/>
      </c>
      <c r="N337">
        <f>MIN(L337,M337)</f>
        <v/>
      </c>
      <c r="O337">
        <f>Assumptions!$B$50/N337</f>
        <v/>
      </c>
      <c r="P337">
        <f>Assumptions!$B$54/K337</f>
        <v/>
      </c>
      <c r="Q337">
        <f>H337*(1-Assumptions!$B$55)</f>
        <v/>
      </c>
      <c r="R337">
        <f>MIN(P337,Q337)</f>
        <v/>
      </c>
      <c r="S337">
        <f>Assumptions!$B$53/R337</f>
        <v/>
      </c>
      <c r="T337">
        <f>Assumptions!$B$27*(Assumptions!$B$64+$B$330/Assumptions!$B$27)/(Assumptions!$B$64+J337)</f>
        <v/>
      </c>
      <c r="U337">
        <f>IF(H337&lt;Assumptions!$B$27,Assumptions!$B$27/T337,1)</f>
        <v/>
      </c>
      <c r="V337">
        <f>Assumptions!$B$26*(Assumptions!$B$64+$B$330/Assumptions!$B$26)/(Assumptions!$B$64+J337)</f>
        <v/>
      </c>
      <c r="W337">
        <f>IF(H337&lt;Assumptions!$B$26,Assumptions!$B$26/V337,1)</f>
        <v/>
      </c>
    </row>
    <row r="338">
      <c r="A338" t="n">
        <v>5</v>
      </c>
      <c r="B338">
        <f>U337</f>
        <v/>
      </c>
      <c r="C338">
        <f>W337</f>
        <v/>
      </c>
      <c r="D338">
        <f>O337</f>
        <v/>
      </c>
      <c r="E338">
        <f>S337</f>
        <v/>
      </c>
      <c r="F338">
        <f>Assumptions!$B$16*B338</f>
        <v/>
      </c>
      <c r="G338">
        <f>Assumptions!$B$15*C338</f>
        <v/>
      </c>
      <c r="H338">
        <f>IF($B$326*($B$329/(($B$329*(1-$B$326)-$B$330)/((Assumptions!$B$9+Assumptions!$B$11+Assumptions!$B$12+Assumptions!$B$13+Assumptions!$B$14)+G338+F338+D338+E338)))&lt;Assumptions!$B$65,($B$329-$B$330)/(((Assumptions!$B$9+Assumptions!$B$11+Assumptions!$B$12+Assumptions!$B$13+Assumptions!$B$14)+G338+F338+D338+E338)+Assumptions!$B$65),($B$329*(1-$B$326)-$B$330)/((Assumptions!$B$9+Assumptions!$B$11+Assumptions!$B$12+Assumptions!$B$13+Assumptions!$B$14)+G338+F338+D338+E338))</f>
        <v/>
      </c>
      <c r="I338">
        <f>$B$329/H338</f>
        <v/>
      </c>
      <c r="J338">
        <f>$B$330/H338</f>
        <v/>
      </c>
      <c r="K338">
        <f>I338-J338</f>
        <v/>
      </c>
      <c r="L338">
        <f>Assumptions!$B$51/K338</f>
        <v/>
      </c>
      <c r="M338">
        <f>H338*(1-Assumptions!$B$52)</f>
        <v/>
      </c>
      <c r="N338">
        <f>MIN(L338,M338)</f>
        <v/>
      </c>
      <c r="O338">
        <f>Assumptions!$B$50/N338</f>
        <v/>
      </c>
      <c r="P338">
        <f>Assumptions!$B$54/K338</f>
        <v/>
      </c>
      <c r="Q338">
        <f>H338*(1-Assumptions!$B$55)</f>
        <v/>
      </c>
      <c r="R338">
        <f>MIN(P338,Q338)</f>
        <v/>
      </c>
      <c r="S338">
        <f>Assumptions!$B$53/R338</f>
        <v/>
      </c>
      <c r="T338">
        <f>Assumptions!$B$27*(Assumptions!$B$64+$B$330/Assumptions!$B$27)/(Assumptions!$B$64+J338)</f>
        <v/>
      </c>
      <c r="U338">
        <f>IF(H338&lt;Assumptions!$B$27,Assumptions!$B$27/T338,1)</f>
        <v/>
      </c>
      <c r="V338">
        <f>Assumptions!$B$26*(Assumptions!$B$64+$B$330/Assumptions!$B$26)/(Assumptions!$B$64+J338)</f>
        <v/>
      </c>
      <c r="W338">
        <f>IF(H338&lt;Assumptions!$B$26,Assumptions!$B$26/V338,1)</f>
        <v/>
      </c>
    </row>
    <row r="339">
      <c r="A339" t="n">
        <v>6</v>
      </c>
      <c r="B339">
        <f>U338</f>
        <v/>
      </c>
      <c r="C339">
        <f>W338</f>
        <v/>
      </c>
      <c r="D339">
        <f>O338</f>
        <v/>
      </c>
      <c r="E339">
        <f>S338</f>
        <v/>
      </c>
      <c r="F339">
        <f>Assumptions!$B$16*B339</f>
        <v/>
      </c>
      <c r="G339">
        <f>Assumptions!$B$15*C339</f>
        <v/>
      </c>
      <c r="H339">
        <f>IF($B$326*($B$329/(($B$329*(1-$B$326)-$B$330)/((Assumptions!$B$9+Assumptions!$B$11+Assumptions!$B$12+Assumptions!$B$13+Assumptions!$B$14)+G339+F339+D339+E339)))&lt;Assumptions!$B$65,($B$329-$B$330)/(((Assumptions!$B$9+Assumptions!$B$11+Assumptions!$B$12+Assumptions!$B$13+Assumptions!$B$14)+G339+F339+D339+E339)+Assumptions!$B$65),($B$329*(1-$B$326)-$B$330)/((Assumptions!$B$9+Assumptions!$B$11+Assumptions!$B$12+Assumptions!$B$13+Assumptions!$B$14)+G339+F339+D339+E339))</f>
        <v/>
      </c>
      <c r="I339">
        <f>$B$329/H339</f>
        <v/>
      </c>
      <c r="J339">
        <f>$B$330/H339</f>
        <v/>
      </c>
      <c r="K339">
        <f>I339-J339</f>
        <v/>
      </c>
      <c r="L339">
        <f>Assumptions!$B$51/K339</f>
        <v/>
      </c>
      <c r="M339">
        <f>H339*(1-Assumptions!$B$52)</f>
        <v/>
      </c>
      <c r="N339">
        <f>MIN(L339,M339)</f>
        <v/>
      </c>
      <c r="O339">
        <f>Assumptions!$B$50/N339</f>
        <v/>
      </c>
      <c r="P339">
        <f>Assumptions!$B$54/K339</f>
        <v/>
      </c>
      <c r="Q339">
        <f>H339*(1-Assumptions!$B$55)</f>
        <v/>
      </c>
      <c r="R339">
        <f>MIN(P339,Q339)</f>
        <v/>
      </c>
      <c r="S339">
        <f>Assumptions!$B$53/R339</f>
        <v/>
      </c>
      <c r="T339">
        <f>Assumptions!$B$27*(Assumptions!$B$64+$B$330/Assumptions!$B$27)/(Assumptions!$B$64+J339)</f>
        <v/>
      </c>
      <c r="U339">
        <f>IF(H339&lt;Assumptions!$B$27,Assumptions!$B$27/T339,1)</f>
        <v/>
      </c>
      <c r="V339">
        <f>Assumptions!$B$26*(Assumptions!$B$64+$B$330/Assumptions!$B$26)/(Assumptions!$B$64+J339)</f>
        <v/>
      </c>
      <c r="W339">
        <f>IF(H339&lt;Assumptions!$B$26,Assumptions!$B$26/V339,1)</f>
        <v/>
      </c>
    </row>
    <row r="340">
      <c r="A340" t="n">
        <v>7</v>
      </c>
      <c r="B340">
        <f>U339</f>
        <v/>
      </c>
      <c r="C340">
        <f>W339</f>
        <v/>
      </c>
      <c r="D340">
        <f>O339</f>
        <v/>
      </c>
      <c r="E340">
        <f>S339</f>
        <v/>
      </c>
      <c r="F340">
        <f>Assumptions!$B$16*B340</f>
        <v/>
      </c>
      <c r="G340">
        <f>Assumptions!$B$15*C340</f>
        <v/>
      </c>
      <c r="H340">
        <f>IF($B$326*($B$329/(($B$329*(1-$B$326)-$B$330)/((Assumptions!$B$9+Assumptions!$B$11+Assumptions!$B$12+Assumptions!$B$13+Assumptions!$B$14)+G340+F340+D340+E340)))&lt;Assumptions!$B$65,($B$329-$B$330)/(((Assumptions!$B$9+Assumptions!$B$11+Assumptions!$B$12+Assumptions!$B$13+Assumptions!$B$14)+G340+F340+D340+E340)+Assumptions!$B$65),($B$329*(1-$B$326)-$B$330)/((Assumptions!$B$9+Assumptions!$B$11+Assumptions!$B$12+Assumptions!$B$13+Assumptions!$B$14)+G340+F340+D340+E340))</f>
        <v/>
      </c>
      <c r="I340">
        <f>$B$329/H340</f>
        <v/>
      </c>
      <c r="J340">
        <f>$B$330/H340</f>
        <v/>
      </c>
      <c r="K340">
        <f>I340-J340</f>
        <v/>
      </c>
      <c r="L340">
        <f>Assumptions!$B$51/K340</f>
        <v/>
      </c>
      <c r="M340">
        <f>H340*(1-Assumptions!$B$52)</f>
        <v/>
      </c>
      <c r="N340">
        <f>MIN(L340,M340)</f>
        <v/>
      </c>
      <c r="O340">
        <f>Assumptions!$B$50/N340</f>
        <v/>
      </c>
      <c r="P340">
        <f>Assumptions!$B$54/K340</f>
        <v/>
      </c>
      <c r="Q340">
        <f>H340*(1-Assumptions!$B$55)</f>
        <v/>
      </c>
      <c r="R340">
        <f>MIN(P340,Q340)</f>
        <v/>
      </c>
      <c r="S340">
        <f>Assumptions!$B$53/R340</f>
        <v/>
      </c>
      <c r="T340">
        <f>Assumptions!$B$27*(Assumptions!$B$64+$B$330/Assumptions!$B$27)/(Assumptions!$B$64+J340)</f>
        <v/>
      </c>
      <c r="U340">
        <f>IF(H340&lt;Assumptions!$B$27,Assumptions!$B$27/T340,1)</f>
        <v/>
      </c>
      <c r="V340">
        <f>Assumptions!$B$26*(Assumptions!$B$64+$B$330/Assumptions!$B$26)/(Assumptions!$B$64+J340)</f>
        <v/>
      </c>
      <c r="W340">
        <f>IF(H340&lt;Assumptions!$B$26,Assumptions!$B$26/V340,1)</f>
        <v/>
      </c>
    </row>
    <row r="341">
      <c r="A341" t="n">
        <v>8</v>
      </c>
      <c r="B341">
        <f>U340</f>
        <v/>
      </c>
      <c r="C341">
        <f>W340</f>
        <v/>
      </c>
      <c r="D341">
        <f>O340</f>
        <v/>
      </c>
      <c r="E341">
        <f>S340</f>
        <v/>
      </c>
      <c r="F341">
        <f>Assumptions!$B$16*B341</f>
        <v/>
      </c>
      <c r="G341">
        <f>Assumptions!$B$15*C341</f>
        <v/>
      </c>
      <c r="H341">
        <f>IF($B$326*($B$329/(($B$329*(1-$B$326)-$B$330)/((Assumptions!$B$9+Assumptions!$B$11+Assumptions!$B$12+Assumptions!$B$13+Assumptions!$B$14)+G341+F341+D341+E341)))&lt;Assumptions!$B$65,($B$329-$B$330)/(((Assumptions!$B$9+Assumptions!$B$11+Assumptions!$B$12+Assumptions!$B$13+Assumptions!$B$14)+G341+F341+D341+E341)+Assumptions!$B$65),($B$329*(1-$B$326)-$B$330)/((Assumptions!$B$9+Assumptions!$B$11+Assumptions!$B$12+Assumptions!$B$13+Assumptions!$B$14)+G341+F341+D341+E341))</f>
        <v/>
      </c>
      <c r="I341">
        <f>$B$329/H341</f>
        <v/>
      </c>
      <c r="J341">
        <f>$B$330/H341</f>
        <v/>
      </c>
      <c r="K341">
        <f>I341-J341</f>
        <v/>
      </c>
      <c r="L341">
        <f>Assumptions!$B$51/K341</f>
        <v/>
      </c>
      <c r="M341">
        <f>H341*(1-Assumptions!$B$52)</f>
        <v/>
      </c>
      <c r="N341">
        <f>MIN(L341,M341)</f>
        <v/>
      </c>
      <c r="O341">
        <f>Assumptions!$B$50/N341</f>
        <v/>
      </c>
      <c r="P341">
        <f>Assumptions!$B$54/K341</f>
        <v/>
      </c>
      <c r="Q341">
        <f>H341*(1-Assumptions!$B$55)</f>
        <v/>
      </c>
      <c r="R341">
        <f>MIN(P341,Q341)</f>
        <v/>
      </c>
      <c r="S341">
        <f>Assumptions!$B$53/R341</f>
        <v/>
      </c>
      <c r="T341">
        <f>Assumptions!$B$27*(Assumptions!$B$64+$B$330/Assumptions!$B$27)/(Assumptions!$B$64+J341)</f>
        <v/>
      </c>
      <c r="U341">
        <f>IF(H341&lt;Assumptions!$B$27,Assumptions!$B$27/T341,1)</f>
        <v/>
      </c>
      <c r="V341">
        <f>Assumptions!$B$26*(Assumptions!$B$64+$B$330/Assumptions!$B$26)/(Assumptions!$B$64+J341)</f>
        <v/>
      </c>
      <c r="W341">
        <f>IF(H341&lt;Assumptions!$B$26,Assumptions!$B$26/V341,1)</f>
        <v/>
      </c>
    </row>
    <row r="342">
      <c r="A342" t="n">
        <v>9</v>
      </c>
      <c r="B342">
        <f>U341</f>
        <v/>
      </c>
      <c r="C342">
        <f>W341</f>
        <v/>
      </c>
      <c r="D342">
        <f>O341</f>
        <v/>
      </c>
      <c r="E342">
        <f>S341</f>
        <v/>
      </c>
      <c r="F342">
        <f>Assumptions!$B$16*B342</f>
        <v/>
      </c>
      <c r="G342">
        <f>Assumptions!$B$15*C342</f>
        <v/>
      </c>
      <c r="H342">
        <f>IF($B$326*($B$329/(($B$329*(1-$B$326)-$B$330)/((Assumptions!$B$9+Assumptions!$B$11+Assumptions!$B$12+Assumptions!$B$13+Assumptions!$B$14)+G342+F342+D342+E342)))&lt;Assumptions!$B$65,($B$329-$B$330)/(((Assumptions!$B$9+Assumptions!$B$11+Assumptions!$B$12+Assumptions!$B$13+Assumptions!$B$14)+G342+F342+D342+E342)+Assumptions!$B$65),($B$329*(1-$B$326)-$B$330)/((Assumptions!$B$9+Assumptions!$B$11+Assumptions!$B$12+Assumptions!$B$13+Assumptions!$B$14)+G342+F342+D342+E342))</f>
        <v/>
      </c>
      <c r="I342">
        <f>$B$329/H342</f>
        <v/>
      </c>
      <c r="J342">
        <f>$B$330/H342</f>
        <v/>
      </c>
      <c r="K342">
        <f>I342-J342</f>
        <v/>
      </c>
      <c r="L342">
        <f>Assumptions!$B$51/K342</f>
        <v/>
      </c>
      <c r="M342">
        <f>H342*(1-Assumptions!$B$52)</f>
        <v/>
      </c>
      <c r="N342">
        <f>MIN(L342,M342)</f>
        <v/>
      </c>
      <c r="O342">
        <f>Assumptions!$B$50/N342</f>
        <v/>
      </c>
      <c r="P342">
        <f>Assumptions!$B$54/K342</f>
        <v/>
      </c>
      <c r="Q342">
        <f>H342*(1-Assumptions!$B$55)</f>
        <v/>
      </c>
      <c r="R342">
        <f>MIN(P342,Q342)</f>
        <v/>
      </c>
      <c r="S342">
        <f>Assumptions!$B$53/R342</f>
        <v/>
      </c>
      <c r="T342">
        <f>Assumptions!$B$27*(Assumptions!$B$64+$B$330/Assumptions!$B$27)/(Assumptions!$B$64+J342)</f>
        <v/>
      </c>
      <c r="U342">
        <f>IF(H342&lt;Assumptions!$B$27,Assumptions!$B$27/T342,1)</f>
        <v/>
      </c>
      <c r="V342">
        <f>Assumptions!$B$26*(Assumptions!$B$64+$B$330/Assumptions!$B$26)/(Assumptions!$B$64+J342)</f>
        <v/>
      </c>
      <c r="W342">
        <f>IF(H342&lt;Assumptions!$B$26,Assumptions!$B$26/V342,1)</f>
        <v/>
      </c>
    </row>
    <row r="343">
      <c r="A343" t="n">
        <v>10</v>
      </c>
      <c r="B343">
        <f>U342</f>
        <v/>
      </c>
      <c r="C343">
        <f>W342</f>
        <v/>
      </c>
      <c r="D343">
        <f>O342</f>
        <v/>
      </c>
      <c r="E343">
        <f>S342</f>
        <v/>
      </c>
      <c r="F343">
        <f>Assumptions!$B$16*B343</f>
        <v/>
      </c>
      <c r="G343">
        <f>Assumptions!$B$15*C343</f>
        <v/>
      </c>
      <c r="H343">
        <f>IF($B$326*($B$329/(($B$329*(1-$B$326)-$B$330)/((Assumptions!$B$9+Assumptions!$B$11+Assumptions!$B$12+Assumptions!$B$13+Assumptions!$B$14)+G343+F343+D343+E343)))&lt;Assumptions!$B$65,($B$329-$B$330)/(((Assumptions!$B$9+Assumptions!$B$11+Assumptions!$B$12+Assumptions!$B$13+Assumptions!$B$14)+G343+F343+D343+E343)+Assumptions!$B$65),($B$329*(1-$B$326)-$B$330)/((Assumptions!$B$9+Assumptions!$B$11+Assumptions!$B$12+Assumptions!$B$13+Assumptions!$B$14)+G343+F343+D343+E343))</f>
        <v/>
      </c>
      <c r="I343">
        <f>$B$329/H343</f>
        <v/>
      </c>
      <c r="J343">
        <f>$B$330/H343</f>
        <v/>
      </c>
      <c r="K343">
        <f>I343-J343</f>
        <v/>
      </c>
      <c r="L343">
        <f>Assumptions!$B$51/K343</f>
        <v/>
      </c>
      <c r="M343">
        <f>H343*(1-Assumptions!$B$52)</f>
        <v/>
      </c>
      <c r="N343">
        <f>MIN(L343,M343)</f>
        <v/>
      </c>
      <c r="O343">
        <f>Assumptions!$B$50/N343</f>
        <v/>
      </c>
      <c r="P343">
        <f>Assumptions!$B$54/K343</f>
        <v/>
      </c>
      <c r="Q343">
        <f>H343*(1-Assumptions!$B$55)</f>
        <v/>
      </c>
      <c r="R343">
        <f>MIN(P343,Q343)</f>
        <v/>
      </c>
      <c r="S343">
        <f>Assumptions!$B$53/R343</f>
        <v/>
      </c>
      <c r="T343">
        <f>Assumptions!$B$27*(Assumptions!$B$64+$B$330/Assumptions!$B$27)/(Assumptions!$B$64+J343)</f>
        <v/>
      </c>
      <c r="U343">
        <f>IF(H343&lt;Assumptions!$B$27,Assumptions!$B$27/T343,1)</f>
        <v/>
      </c>
      <c r="V343">
        <f>Assumptions!$B$26*(Assumptions!$B$64+$B$330/Assumptions!$B$26)/(Assumptions!$B$64+J343)</f>
        <v/>
      </c>
      <c r="W343">
        <f>IF(H343&lt;Assumptions!$B$26,Assumptions!$B$26/V343,1)</f>
        <v/>
      </c>
    </row>
    <row r="344">
      <c r="A344" t="n">
        <v>11</v>
      </c>
      <c r="B344">
        <f>U343</f>
        <v/>
      </c>
      <c r="C344">
        <f>W343</f>
        <v/>
      </c>
      <c r="D344">
        <f>O343</f>
        <v/>
      </c>
      <c r="E344">
        <f>S343</f>
        <v/>
      </c>
      <c r="F344">
        <f>Assumptions!$B$16*B344</f>
        <v/>
      </c>
      <c r="G344">
        <f>Assumptions!$B$15*C344</f>
        <v/>
      </c>
      <c r="H344">
        <f>IF($B$326*($B$329/(($B$329*(1-$B$326)-$B$330)/((Assumptions!$B$9+Assumptions!$B$11+Assumptions!$B$12+Assumptions!$B$13+Assumptions!$B$14)+G344+F344+D344+E344)))&lt;Assumptions!$B$65,($B$329-$B$330)/(((Assumptions!$B$9+Assumptions!$B$11+Assumptions!$B$12+Assumptions!$B$13+Assumptions!$B$14)+G344+F344+D344+E344)+Assumptions!$B$65),($B$329*(1-$B$326)-$B$330)/((Assumptions!$B$9+Assumptions!$B$11+Assumptions!$B$12+Assumptions!$B$13+Assumptions!$B$14)+G344+F344+D344+E344))</f>
        <v/>
      </c>
      <c r="I344">
        <f>$B$329/H344</f>
        <v/>
      </c>
      <c r="J344">
        <f>$B$330/H344</f>
        <v/>
      </c>
      <c r="K344">
        <f>I344-J344</f>
        <v/>
      </c>
      <c r="L344">
        <f>Assumptions!$B$51/K344</f>
        <v/>
      </c>
      <c r="M344">
        <f>H344*(1-Assumptions!$B$52)</f>
        <v/>
      </c>
      <c r="N344">
        <f>MIN(L344,M344)</f>
        <v/>
      </c>
      <c r="O344">
        <f>Assumptions!$B$50/N344</f>
        <v/>
      </c>
      <c r="P344">
        <f>Assumptions!$B$54/K344</f>
        <v/>
      </c>
      <c r="Q344">
        <f>H344*(1-Assumptions!$B$55)</f>
        <v/>
      </c>
      <c r="R344">
        <f>MIN(P344,Q344)</f>
        <v/>
      </c>
      <c r="S344">
        <f>Assumptions!$B$53/R344</f>
        <v/>
      </c>
      <c r="T344">
        <f>Assumptions!$B$27*(Assumptions!$B$64+$B$330/Assumptions!$B$27)/(Assumptions!$B$64+J344)</f>
        <v/>
      </c>
      <c r="U344">
        <f>IF(H344&lt;Assumptions!$B$27,Assumptions!$B$27/T344,1)</f>
        <v/>
      </c>
      <c r="V344">
        <f>Assumptions!$B$26*(Assumptions!$B$64+$B$330/Assumptions!$B$26)/(Assumptions!$B$64+J344)</f>
        <v/>
      </c>
      <c r="W344">
        <f>IF(H344&lt;Assumptions!$B$26,Assumptions!$B$26/V344,1)</f>
        <v/>
      </c>
    </row>
    <row r="345">
      <c r="A345" t="n">
        <v>12</v>
      </c>
      <c r="B345">
        <f>U344</f>
        <v/>
      </c>
      <c r="C345">
        <f>W344</f>
        <v/>
      </c>
      <c r="D345">
        <f>O344</f>
        <v/>
      </c>
      <c r="E345">
        <f>S344</f>
        <v/>
      </c>
      <c r="F345">
        <f>Assumptions!$B$16*B345</f>
        <v/>
      </c>
      <c r="G345">
        <f>Assumptions!$B$15*C345</f>
        <v/>
      </c>
      <c r="H345">
        <f>IF($B$326*($B$329/(($B$329*(1-$B$326)-$B$330)/((Assumptions!$B$9+Assumptions!$B$11+Assumptions!$B$12+Assumptions!$B$13+Assumptions!$B$14)+G345+F345+D345+E345)))&lt;Assumptions!$B$65,($B$329-$B$330)/(((Assumptions!$B$9+Assumptions!$B$11+Assumptions!$B$12+Assumptions!$B$13+Assumptions!$B$14)+G345+F345+D345+E345)+Assumptions!$B$65),($B$329*(1-$B$326)-$B$330)/((Assumptions!$B$9+Assumptions!$B$11+Assumptions!$B$12+Assumptions!$B$13+Assumptions!$B$14)+G345+F345+D345+E345))</f>
        <v/>
      </c>
      <c r="I345">
        <f>$B$329/H345</f>
        <v/>
      </c>
      <c r="J345">
        <f>$B$330/H345</f>
        <v/>
      </c>
      <c r="K345">
        <f>I345-J345</f>
        <v/>
      </c>
      <c r="L345">
        <f>Assumptions!$B$51/K345</f>
        <v/>
      </c>
      <c r="M345">
        <f>H345*(1-Assumptions!$B$52)</f>
        <v/>
      </c>
      <c r="N345">
        <f>MIN(L345,M345)</f>
        <v/>
      </c>
      <c r="O345">
        <f>Assumptions!$B$50/N345</f>
        <v/>
      </c>
      <c r="P345">
        <f>Assumptions!$B$54/K345</f>
        <v/>
      </c>
      <c r="Q345">
        <f>H345*(1-Assumptions!$B$55)</f>
        <v/>
      </c>
      <c r="R345">
        <f>MIN(P345,Q345)</f>
        <v/>
      </c>
      <c r="S345">
        <f>Assumptions!$B$53/R345</f>
        <v/>
      </c>
      <c r="T345">
        <f>Assumptions!$B$27*(Assumptions!$B$64+$B$330/Assumptions!$B$27)/(Assumptions!$B$64+J345)</f>
        <v/>
      </c>
      <c r="U345">
        <f>IF(H345&lt;Assumptions!$B$27,Assumptions!$B$27/T345,1)</f>
        <v/>
      </c>
      <c r="V345">
        <f>Assumptions!$B$26*(Assumptions!$B$64+$B$330/Assumptions!$B$26)/(Assumptions!$B$64+J345)</f>
        <v/>
      </c>
      <c r="W345">
        <f>IF(H345&lt;Assumptions!$B$26,Assumptions!$B$26/V345,1)</f>
        <v/>
      </c>
    </row>
    <row r="346">
      <c r="A346" t="n">
        <v>13</v>
      </c>
      <c r="B346">
        <f>U345</f>
        <v/>
      </c>
      <c r="C346">
        <f>W345</f>
        <v/>
      </c>
      <c r="D346">
        <f>O345</f>
        <v/>
      </c>
      <c r="E346">
        <f>S345</f>
        <v/>
      </c>
      <c r="F346">
        <f>Assumptions!$B$16*B346</f>
        <v/>
      </c>
      <c r="G346">
        <f>Assumptions!$B$15*C346</f>
        <v/>
      </c>
      <c r="H346">
        <f>IF($B$326*($B$329/(($B$329*(1-$B$326)-$B$330)/((Assumptions!$B$9+Assumptions!$B$11+Assumptions!$B$12+Assumptions!$B$13+Assumptions!$B$14)+G346+F346+D346+E346)))&lt;Assumptions!$B$65,($B$329-$B$330)/(((Assumptions!$B$9+Assumptions!$B$11+Assumptions!$B$12+Assumptions!$B$13+Assumptions!$B$14)+G346+F346+D346+E346)+Assumptions!$B$65),($B$329*(1-$B$326)-$B$330)/((Assumptions!$B$9+Assumptions!$B$11+Assumptions!$B$12+Assumptions!$B$13+Assumptions!$B$14)+G346+F346+D346+E346))</f>
        <v/>
      </c>
      <c r="I346">
        <f>$B$329/H346</f>
        <v/>
      </c>
      <c r="J346">
        <f>$B$330/H346</f>
        <v/>
      </c>
      <c r="K346">
        <f>I346-J346</f>
        <v/>
      </c>
      <c r="L346">
        <f>Assumptions!$B$51/K346</f>
        <v/>
      </c>
      <c r="M346">
        <f>H346*(1-Assumptions!$B$52)</f>
        <v/>
      </c>
      <c r="N346">
        <f>MIN(L346,M346)</f>
        <v/>
      </c>
      <c r="O346">
        <f>Assumptions!$B$50/N346</f>
        <v/>
      </c>
      <c r="P346">
        <f>Assumptions!$B$54/K346</f>
        <v/>
      </c>
      <c r="Q346">
        <f>H346*(1-Assumptions!$B$55)</f>
        <v/>
      </c>
      <c r="R346">
        <f>MIN(P346,Q346)</f>
        <v/>
      </c>
      <c r="S346">
        <f>Assumptions!$B$53/R346</f>
        <v/>
      </c>
      <c r="T346">
        <f>Assumptions!$B$27*(Assumptions!$B$64+$B$330/Assumptions!$B$27)/(Assumptions!$B$64+J346)</f>
        <v/>
      </c>
      <c r="U346">
        <f>IF(H346&lt;Assumptions!$B$27,Assumptions!$B$27/T346,1)</f>
        <v/>
      </c>
      <c r="V346">
        <f>Assumptions!$B$26*(Assumptions!$B$64+$B$330/Assumptions!$B$26)/(Assumptions!$B$64+J346)</f>
        <v/>
      </c>
      <c r="W346">
        <f>IF(H346&lt;Assumptions!$B$26,Assumptions!$B$26/V346,1)</f>
        <v/>
      </c>
    </row>
    <row r="347">
      <c r="A347" t="n">
        <v>14</v>
      </c>
      <c r="B347">
        <f>U346</f>
        <v/>
      </c>
      <c r="C347">
        <f>W346</f>
        <v/>
      </c>
      <c r="D347">
        <f>O346</f>
        <v/>
      </c>
      <c r="E347">
        <f>S346</f>
        <v/>
      </c>
      <c r="F347">
        <f>Assumptions!$B$16*B347</f>
        <v/>
      </c>
      <c r="G347">
        <f>Assumptions!$B$15*C347</f>
        <v/>
      </c>
      <c r="H347">
        <f>IF($B$326*($B$329/(($B$329*(1-$B$326)-$B$330)/((Assumptions!$B$9+Assumptions!$B$11+Assumptions!$B$12+Assumptions!$B$13+Assumptions!$B$14)+G347+F347+D347+E347)))&lt;Assumptions!$B$65,($B$329-$B$330)/(((Assumptions!$B$9+Assumptions!$B$11+Assumptions!$B$12+Assumptions!$B$13+Assumptions!$B$14)+G347+F347+D347+E347)+Assumptions!$B$65),($B$329*(1-$B$326)-$B$330)/((Assumptions!$B$9+Assumptions!$B$11+Assumptions!$B$12+Assumptions!$B$13+Assumptions!$B$14)+G347+F347+D347+E347))</f>
        <v/>
      </c>
      <c r="I347">
        <f>$B$329/H347</f>
        <v/>
      </c>
      <c r="J347">
        <f>$B$330/H347</f>
        <v/>
      </c>
      <c r="K347">
        <f>I347-J347</f>
        <v/>
      </c>
      <c r="L347">
        <f>Assumptions!$B$51/K347</f>
        <v/>
      </c>
      <c r="M347">
        <f>H347*(1-Assumptions!$B$52)</f>
        <v/>
      </c>
      <c r="N347">
        <f>MIN(L347,M347)</f>
        <v/>
      </c>
      <c r="O347">
        <f>Assumptions!$B$50/N347</f>
        <v/>
      </c>
      <c r="P347">
        <f>Assumptions!$B$54/K347</f>
        <v/>
      </c>
      <c r="Q347">
        <f>H347*(1-Assumptions!$B$55)</f>
        <v/>
      </c>
      <c r="R347">
        <f>MIN(P347,Q347)</f>
        <v/>
      </c>
      <c r="S347">
        <f>Assumptions!$B$53/R347</f>
        <v/>
      </c>
      <c r="T347">
        <f>Assumptions!$B$27*(Assumptions!$B$64+$B$330/Assumptions!$B$27)/(Assumptions!$B$64+J347)</f>
        <v/>
      </c>
      <c r="U347">
        <f>IF(H347&lt;Assumptions!$B$27,Assumptions!$B$27/T347,1)</f>
        <v/>
      </c>
      <c r="V347">
        <f>Assumptions!$B$26*(Assumptions!$B$64+$B$330/Assumptions!$B$26)/(Assumptions!$B$64+J347)</f>
        <v/>
      </c>
      <c r="W347">
        <f>IF(H347&lt;Assumptions!$B$26,Assumptions!$B$26/V347,1)</f>
        <v/>
      </c>
    </row>
    <row r="348">
      <c r="A348" t="n">
        <v>15</v>
      </c>
      <c r="B348">
        <f>U347</f>
        <v/>
      </c>
      <c r="C348">
        <f>W347</f>
        <v/>
      </c>
      <c r="D348">
        <f>O347</f>
        <v/>
      </c>
      <c r="E348">
        <f>S347</f>
        <v/>
      </c>
      <c r="F348">
        <f>Assumptions!$B$16*B348</f>
        <v/>
      </c>
      <c r="G348">
        <f>Assumptions!$B$15*C348</f>
        <v/>
      </c>
      <c r="H348">
        <f>IF($B$326*($B$329/(($B$329*(1-$B$326)-$B$330)/((Assumptions!$B$9+Assumptions!$B$11+Assumptions!$B$12+Assumptions!$B$13+Assumptions!$B$14)+G348+F348+D348+E348)))&lt;Assumptions!$B$65,($B$329-$B$330)/(((Assumptions!$B$9+Assumptions!$B$11+Assumptions!$B$12+Assumptions!$B$13+Assumptions!$B$14)+G348+F348+D348+E348)+Assumptions!$B$65),($B$329*(1-$B$326)-$B$330)/((Assumptions!$B$9+Assumptions!$B$11+Assumptions!$B$12+Assumptions!$B$13+Assumptions!$B$14)+G348+F348+D348+E348))</f>
        <v/>
      </c>
      <c r="I348">
        <f>$B$329/H348</f>
        <v/>
      </c>
      <c r="J348">
        <f>$B$330/H348</f>
        <v/>
      </c>
      <c r="K348">
        <f>I348-J348</f>
        <v/>
      </c>
      <c r="L348">
        <f>Assumptions!$B$51/K348</f>
        <v/>
      </c>
      <c r="M348">
        <f>H348*(1-Assumptions!$B$52)</f>
        <v/>
      </c>
      <c r="N348">
        <f>MIN(L348,M348)</f>
        <v/>
      </c>
      <c r="O348">
        <f>Assumptions!$B$50/N348</f>
        <v/>
      </c>
      <c r="P348">
        <f>Assumptions!$B$54/K348</f>
        <v/>
      </c>
      <c r="Q348">
        <f>H348*(1-Assumptions!$B$55)</f>
        <v/>
      </c>
      <c r="R348">
        <f>MIN(P348,Q348)</f>
        <v/>
      </c>
      <c r="S348">
        <f>Assumptions!$B$53/R348</f>
        <v/>
      </c>
      <c r="T348">
        <f>Assumptions!$B$27*(Assumptions!$B$64+$B$330/Assumptions!$B$27)/(Assumptions!$B$64+J348)</f>
        <v/>
      </c>
      <c r="U348">
        <f>IF(H348&lt;Assumptions!$B$27,Assumptions!$B$27/T348,1)</f>
        <v/>
      </c>
      <c r="V348">
        <f>Assumptions!$B$26*(Assumptions!$B$64+$B$330/Assumptions!$B$26)/(Assumptions!$B$64+J348)</f>
        <v/>
      </c>
      <c r="W348">
        <f>IF(H348&lt;Assumptions!$B$26,Assumptions!$B$26/V348,1)</f>
        <v/>
      </c>
    </row>
    <row r="349">
      <c r="A349" t="n">
        <v>16</v>
      </c>
      <c r="B349">
        <f>U348</f>
        <v/>
      </c>
      <c r="C349">
        <f>W348</f>
        <v/>
      </c>
      <c r="D349">
        <f>O348</f>
        <v/>
      </c>
      <c r="E349">
        <f>S348</f>
        <v/>
      </c>
      <c r="F349">
        <f>Assumptions!$B$16*B349</f>
        <v/>
      </c>
      <c r="G349">
        <f>Assumptions!$B$15*C349</f>
        <v/>
      </c>
      <c r="H349">
        <f>IF($B$326*($B$329/(($B$329*(1-$B$326)-$B$330)/((Assumptions!$B$9+Assumptions!$B$11+Assumptions!$B$12+Assumptions!$B$13+Assumptions!$B$14)+G349+F349+D349+E349)))&lt;Assumptions!$B$65,($B$329-$B$330)/(((Assumptions!$B$9+Assumptions!$B$11+Assumptions!$B$12+Assumptions!$B$13+Assumptions!$B$14)+G349+F349+D349+E349)+Assumptions!$B$65),($B$329*(1-$B$326)-$B$330)/((Assumptions!$B$9+Assumptions!$B$11+Assumptions!$B$12+Assumptions!$B$13+Assumptions!$B$14)+G349+F349+D349+E349))</f>
        <v/>
      </c>
      <c r="I349">
        <f>$B$329/H349</f>
        <v/>
      </c>
      <c r="J349">
        <f>$B$330/H349</f>
        <v/>
      </c>
      <c r="K349">
        <f>I349-J349</f>
        <v/>
      </c>
      <c r="L349">
        <f>Assumptions!$B$51/K349</f>
        <v/>
      </c>
      <c r="M349">
        <f>H349*(1-Assumptions!$B$52)</f>
        <v/>
      </c>
      <c r="N349">
        <f>MIN(L349,M349)</f>
        <v/>
      </c>
      <c r="O349">
        <f>Assumptions!$B$50/N349</f>
        <v/>
      </c>
      <c r="P349">
        <f>Assumptions!$B$54/K349</f>
        <v/>
      </c>
      <c r="Q349">
        <f>H349*(1-Assumptions!$B$55)</f>
        <v/>
      </c>
      <c r="R349">
        <f>MIN(P349,Q349)</f>
        <v/>
      </c>
      <c r="S349">
        <f>Assumptions!$B$53/R349</f>
        <v/>
      </c>
      <c r="T349">
        <f>Assumptions!$B$27*(Assumptions!$B$64+$B$330/Assumptions!$B$27)/(Assumptions!$B$64+J349)</f>
        <v/>
      </c>
      <c r="U349">
        <f>IF(H349&lt;Assumptions!$B$27,Assumptions!$B$27/T349,1)</f>
        <v/>
      </c>
      <c r="V349">
        <f>Assumptions!$B$26*(Assumptions!$B$64+$B$330/Assumptions!$B$26)/(Assumptions!$B$64+J349)</f>
        <v/>
      </c>
      <c r="W349">
        <f>IF(H349&lt;Assumptions!$B$26,Assumptions!$B$26/V349,1)</f>
        <v/>
      </c>
    </row>
    <row r="350">
      <c r="A350" t="n">
        <v>17</v>
      </c>
      <c r="B350">
        <f>U349</f>
        <v/>
      </c>
      <c r="C350">
        <f>W349</f>
        <v/>
      </c>
      <c r="D350">
        <f>O349</f>
        <v/>
      </c>
      <c r="E350">
        <f>S349</f>
        <v/>
      </c>
      <c r="F350">
        <f>Assumptions!$B$16*B350</f>
        <v/>
      </c>
      <c r="G350">
        <f>Assumptions!$B$15*C350</f>
        <v/>
      </c>
      <c r="H350">
        <f>IF($B$326*($B$329/(($B$329*(1-$B$326)-$B$330)/((Assumptions!$B$9+Assumptions!$B$11+Assumptions!$B$12+Assumptions!$B$13+Assumptions!$B$14)+G350+F350+D350+E350)))&lt;Assumptions!$B$65,($B$329-$B$330)/(((Assumptions!$B$9+Assumptions!$B$11+Assumptions!$B$12+Assumptions!$B$13+Assumptions!$B$14)+G350+F350+D350+E350)+Assumptions!$B$65),($B$329*(1-$B$326)-$B$330)/((Assumptions!$B$9+Assumptions!$B$11+Assumptions!$B$12+Assumptions!$B$13+Assumptions!$B$14)+G350+F350+D350+E350))</f>
        <v/>
      </c>
      <c r="I350">
        <f>$B$329/H350</f>
        <v/>
      </c>
      <c r="J350">
        <f>$B$330/H350</f>
        <v/>
      </c>
      <c r="K350">
        <f>I350-J350</f>
        <v/>
      </c>
      <c r="L350">
        <f>Assumptions!$B$51/K350</f>
        <v/>
      </c>
      <c r="M350">
        <f>H350*(1-Assumptions!$B$52)</f>
        <v/>
      </c>
      <c r="N350">
        <f>MIN(L350,M350)</f>
        <v/>
      </c>
      <c r="O350">
        <f>Assumptions!$B$50/N350</f>
        <v/>
      </c>
      <c r="P350">
        <f>Assumptions!$B$54/K350</f>
        <v/>
      </c>
      <c r="Q350">
        <f>H350*(1-Assumptions!$B$55)</f>
        <v/>
      </c>
      <c r="R350">
        <f>MIN(P350,Q350)</f>
        <v/>
      </c>
      <c r="S350">
        <f>Assumptions!$B$53/R350</f>
        <v/>
      </c>
      <c r="T350">
        <f>Assumptions!$B$27*(Assumptions!$B$64+$B$330/Assumptions!$B$27)/(Assumptions!$B$64+J350)</f>
        <v/>
      </c>
      <c r="U350">
        <f>IF(H350&lt;Assumptions!$B$27,Assumptions!$B$27/T350,1)</f>
        <v/>
      </c>
      <c r="V350">
        <f>Assumptions!$B$26*(Assumptions!$B$64+$B$330/Assumptions!$B$26)/(Assumptions!$B$64+J350)</f>
        <v/>
      </c>
      <c r="W350">
        <f>IF(H350&lt;Assumptions!$B$26,Assumptions!$B$26/V350,1)</f>
        <v/>
      </c>
    </row>
    <row r="351">
      <c r="A351" t="n">
        <v>18</v>
      </c>
      <c r="B351">
        <f>U350</f>
        <v/>
      </c>
      <c r="C351">
        <f>W350</f>
        <v/>
      </c>
      <c r="D351">
        <f>O350</f>
        <v/>
      </c>
      <c r="E351">
        <f>S350</f>
        <v/>
      </c>
      <c r="F351">
        <f>Assumptions!$B$16*B351</f>
        <v/>
      </c>
      <c r="G351">
        <f>Assumptions!$B$15*C351</f>
        <v/>
      </c>
      <c r="H351">
        <f>IF($B$326*($B$329/(($B$329*(1-$B$326)-$B$330)/((Assumptions!$B$9+Assumptions!$B$11+Assumptions!$B$12+Assumptions!$B$13+Assumptions!$B$14)+G351+F351+D351+E351)))&lt;Assumptions!$B$65,($B$329-$B$330)/(((Assumptions!$B$9+Assumptions!$B$11+Assumptions!$B$12+Assumptions!$B$13+Assumptions!$B$14)+G351+F351+D351+E351)+Assumptions!$B$65),($B$329*(1-$B$326)-$B$330)/((Assumptions!$B$9+Assumptions!$B$11+Assumptions!$B$12+Assumptions!$B$13+Assumptions!$B$14)+G351+F351+D351+E351))</f>
        <v/>
      </c>
      <c r="I351">
        <f>$B$329/H351</f>
        <v/>
      </c>
      <c r="J351">
        <f>$B$330/H351</f>
        <v/>
      </c>
      <c r="K351">
        <f>I351-J351</f>
        <v/>
      </c>
      <c r="L351">
        <f>Assumptions!$B$51/K351</f>
        <v/>
      </c>
      <c r="M351">
        <f>H351*(1-Assumptions!$B$52)</f>
        <v/>
      </c>
      <c r="N351">
        <f>MIN(L351,M351)</f>
        <v/>
      </c>
      <c r="O351">
        <f>Assumptions!$B$50/N351</f>
        <v/>
      </c>
      <c r="P351">
        <f>Assumptions!$B$54/K351</f>
        <v/>
      </c>
      <c r="Q351">
        <f>H351*(1-Assumptions!$B$55)</f>
        <v/>
      </c>
      <c r="R351">
        <f>MIN(P351,Q351)</f>
        <v/>
      </c>
      <c r="S351">
        <f>Assumptions!$B$53/R351</f>
        <v/>
      </c>
      <c r="T351">
        <f>Assumptions!$B$27*(Assumptions!$B$64+$B$330/Assumptions!$B$27)/(Assumptions!$B$64+J351)</f>
        <v/>
      </c>
      <c r="U351">
        <f>IF(H351&lt;Assumptions!$B$27,Assumptions!$B$27/T351,1)</f>
        <v/>
      </c>
      <c r="V351">
        <f>Assumptions!$B$26*(Assumptions!$B$64+$B$330/Assumptions!$B$26)/(Assumptions!$B$64+J351)</f>
        <v/>
      </c>
      <c r="W351">
        <f>IF(H351&lt;Assumptions!$B$26,Assumptions!$B$26/V351,1)</f>
        <v/>
      </c>
    </row>
    <row r="352">
      <c r="A352" t="n">
        <v>19</v>
      </c>
      <c r="B352">
        <f>U351</f>
        <v/>
      </c>
      <c r="C352">
        <f>W351</f>
        <v/>
      </c>
      <c r="D352">
        <f>O351</f>
        <v/>
      </c>
      <c r="E352">
        <f>S351</f>
        <v/>
      </c>
      <c r="F352">
        <f>Assumptions!$B$16*B352</f>
        <v/>
      </c>
      <c r="G352">
        <f>Assumptions!$B$15*C352</f>
        <v/>
      </c>
      <c r="H352">
        <f>IF($B$326*($B$329/(($B$329*(1-$B$326)-$B$330)/((Assumptions!$B$9+Assumptions!$B$11+Assumptions!$B$12+Assumptions!$B$13+Assumptions!$B$14)+G352+F352+D352+E352)))&lt;Assumptions!$B$65,($B$329-$B$330)/(((Assumptions!$B$9+Assumptions!$B$11+Assumptions!$B$12+Assumptions!$B$13+Assumptions!$B$14)+G352+F352+D352+E352)+Assumptions!$B$65),($B$329*(1-$B$326)-$B$330)/((Assumptions!$B$9+Assumptions!$B$11+Assumptions!$B$12+Assumptions!$B$13+Assumptions!$B$14)+G352+F352+D352+E352))</f>
        <v/>
      </c>
      <c r="I352">
        <f>$B$329/H352</f>
        <v/>
      </c>
      <c r="J352">
        <f>$B$330/H352</f>
        <v/>
      </c>
      <c r="K352">
        <f>I352-J352</f>
        <v/>
      </c>
      <c r="L352">
        <f>Assumptions!$B$51/K352</f>
        <v/>
      </c>
      <c r="M352">
        <f>H352*(1-Assumptions!$B$52)</f>
        <v/>
      </c>
      <c r="N352">
        <f>MIN(L352,M352)</f>
        <v/>
      </c>
      <c r="O352">
        <f>Assumptions!$B$50/N352</f>
        <v/>
      </c>
      <c r="P352">
        <f>Assumptions!$B$54/K352</f>
        <v/>
      </c>
      <c r="Q352">
        <f>H352*(1-Assumptions!$B$55)</f>
        <v/>
      </c>
      <c r="R352">
        <f>MIN(P352,Q352)</f>
        <v/>
      </c>
      <c r="S352">
        <f>Assumptions!$B$53/R352</f>
        <v/>
      </c>
      <c r="T352">
        <f>Assumptions!$B$27*(Assumptions!$B$64+$B$330/Assumptions!$B$27)/(Assumptions!$B$64+J352)</f>
        <v/>
      </c>
      <c r="U352">
        <f>IF(H352&lt;Assumptions!$B$27,Assumptions!$B$27/T352,1)</f>
        <v/>
      </c>
      <c r="V352">
        <f>Assumptions!$B$26*(Assumptions!$B$64+$B$330/Assumptions!$B$26)/(Assumptions!$B$64+J352)</f>
        <v/>
      </c>
      <c r="W352">
        <f>IF(H352&lt;Assumptions!$B$26,Assumptions!$B$26/V352,1)</f>
        <v/>
      </c>
    </row>
    <row r="353">
      <c r="A353" t="n">
        <v>20</v>
      </c>
      <c r="B353">
        <f>U352</f>
        <v/>
      </c>
      <c r="C353">
        <f>W352</f>
        <v/>
      </c>
      <c r="D353">
        <f>O352</f>
        <v/>
      </c>
      <c r="E353">
        <f>S352</f>
        <v/>
      </c>
      <c r="F353">
        <f>Assumptions!$B$16*B353</f>
        <v/>
      </c>
      <c r="G353">
        <f>Assumptions!$B$15*C353</f>
        <v/>
      </c>
      <c r="H353">
        <f>IF($B$326*($B$329/(($B$329*(1-$B$326)-$B$330)/((Assumptions!$B$9+Assumptions!$B$11+Assumptions!$B$12+Assumptions!$B$13+Assumptions!$B$14)+G353+F353+D353+E353)))&lt;Assumptions!$B$65,($B$329-$B$330)/(((Assumptions!$B$9+Assumptions!$B$11+Assumptions!$B$12+Assumptions!$B$13+Assumptions!$B$14)+G353+F353+D353+E353)+Assumptions!$B$65),($B$329*(1-$B$326)-$B$330)/((Assumptions!$B$9+Assumptions!$B$11+Assumptions!$B$12+Assumptions!$B$13+Assumptions!$B$14)+G353+F353+D353+E353))</f>
        <v/>
      </c>
      <c r="I353">
        <f>$B$329/H353</f>
        <v/>
      </c>
      <c r="J353">
        <f>$B$330/H353</f>
        <v/>
      </c>
      <c r="K353">
        <f>I353-J353</f>
        <v/>
      </c>
      <c r="L353">
        <f>Assumptions!$B$51/K353</f>
        <v/>
      </c>
      <c r="M353">
        <f>H353*(1-Assumptions!$B$52)</f>
        <v/>
      </c>
      <c r="N353">
        <f>MIN(L353,M353)</f>
        <v/>
      </c>
      <c r="O353">
        <f>Assumptions!$B$50/N353</f>
        <v/>
      </c>
      <c r="P353">
        <f>Assumptions!$B$54/K353</f>
        <v/>
      </c>
      <c r="Q353">
        <f>H353*(1-Assumptions!$B$55)</f>
        <v/>
      </c>
      <c r="R353">
        <f>MIN(P353,Q353)</f>
        <v/>
      </c>
      <c r="S353">
        <f>Assumptions!$B$53/R353</f>
        <v/>
      </c>
      <c r="T353">
        <f>Assumptions!$B$27*(Assumptions!$B$64+$B$330/Assumptions!$B$27)/(Assumptions!$B$64+J353)</f>
        <v/>
      </c>
      <c r="U353">
        <f>IF(H353&lt;Assumptions!$B$27,Assumptions!$B$27/T353,1)</f>
        <v/>
      </c>
      <c r="V353">
        <f>Assumptions!$B$26*(Assumptions!$B$64+$B$330/Assumptions!$B$26)/(Assumptions!$B$64+J353)</f>
        <v/>
      </c>
      <c r="W353">
        <f>IF(H353&lt;Assumptions!$B$26,Assumptions!$B$26/V353,1)</f>
        <v/>
      </c>
    </row>
    <row r="354">
      <c r="A354" t="n">
        <v>21</v>
      </c>
      <c r="B354">
        <f>U353</f>
        <v/>
      </c>
      <c r="C354">
        <f>W353</f>
        <v/>
      </c>
      <c r="D354">
        <f>O353</f>
        <v/>
      </c>
      <c r="E354">
        <f>S353</f>
        <v/>
      </c>
      <c r="F354">
        <f>Assumptions!$B$16*B354</f>
        <v/>
      </c>
      <c r="G354">
        <f>Assumptions!$B$15*C354</f>
        <v/>
      </c>
      <c r="H354">
        <f>IF($B$326*($B$329/(($B$329*(1-$B$326)-$B$330)/((Assumptions!$B$9+Assumptions!$B$11+Assumptions!$B$12+Assumptions!$B$13+Assumptions!$B$14)+G354+F354+D354+E354)))&lt;Assumptions!$B$65,($B$329-$B$330)/(((Assumptions!$B$9+Assumptions!$B$11+Assumptions!$B$12+Assumptions!$B$13+Assumptions!$B$14)+G354+F354+D354+E354)+Assumptions!$B$65),($B$329*(1-$B$326)-$B$330)/((Assumptions!$B$9+Assumptions!$B$11+Assumptions!$B$12+Assumptions!$B$13+Assumptions!$B$14)+G354+F354+D354+E354))</f>
        <v/>
      </c>
      <c r="I354">
        <f>$B$329/H354</f>
        <v/>
      </c>
      <c r="J354">
        <f>$B$330/H354</f>
        <v/>
      </c>
      <c r="K354">
        <f>I354-J354</f>
        <v/>
      </c>
      <c r="L354">
        <f>Assumptions!$B$51/K354</f>
        <v/>
      </c>
      <c r="M354">
        <f>H354*(1-Assumptions!$B$52)</f>
        <v/>
      </c>
      <c r="N354">
        <f>MIN(L354,M354)</f>
        <v/>
      </c>
      <c r="O354">
        <f>Assumptions!$B$50/N354</f>
        <v/>
      </c>
      <c r="P354">
        <f>Assumptions!$B$54/K354</f>
        <v/>
      </c>
      <c r="Q354">
        <f>H354*(1-Assumptions!$B$55)</f>
        <v/>
      </c>
      <c r="R354">
        <f>MIN(P354,Q354)</f>
        <v/>
      </c>
      <c r="S354">
        <f>Assumptions!$B$53/R354</f>
        <v/>
      </c>
      <c r="T354">
        <f>Assumptions!$B$27*(Assumptions!$B$64+$B$330/Assumptions!$B$27)/(Assumptions!$B$64+J354)</f>
        <v/>
      </c>
      <c r="U354">
        <f>IF(H354&lt;Assumptions!$B$27,Assumptions!$B$27/T354,1)</f>
        <v/>
      </c>
      <c r="V354">
        <f>Assumptions!$B$26*(Assumptions!$B$64+$B$330/Assumptions!$B$26)/(Assumptions!$B$64+J354)</f>
        <v/>
      </c>
      <c r="W354">
        <f>IF(H354&lt;Assumptions!$B$26,Assumptions!$B$26/V354,1)</f>
        <v/>
      </c>
    </row>
    <row r="355">
      <c r="A355" t="n">
        <v>22</v>
      </c>
      <c r="B355">
        <f>U354</f>
        <v/>
      </c>
      <c r="C355">
        <f>W354</f>
        <v/>
      </c>
      <c r="D355">
        <f>O354</f>
        <v/>
      </c>
      <c r="E355">
        <f>S354</f>
        <v/>
      </c>
      <c r="F355">
        <f>Assumptions!$B$16*B355</f>
        <v/>
      </c>
      <c r="G355">
        <f>Assumptions!$B$15*C355</f>
        <v/>
      </c>
      <c r="H355">
        <f>IF($B$326*($B$329/(($B$329*(1-$B$326)-$B$330)/((Assumptions!$B$9+Assumptions!$B$11+Assumptions!$B$12+Assumptions!$B$13+Assumptions!$B$14)+G355+F355+D355+E355)))&lt;Assumptions!$B$65,($B$329-$B$330)/(((Assumptions!$B$9+Assumptions!$B$11+Assumptions!$B$12+Assumptions!$B$13+Assumptions!$B$14)+G355+F355+D355+E355)+Assumptions!$B$65),($B$329*(1-$B$326)-$B$330)/((Assumptions!$B$9+Assumptions!$B$11+Assumptions!$B$12+Assumptions!$B$13+Assumptions!$B$14)+G355+F355+D355+E355))</f>
        <v/>
      </c>
      <c r="I355">
        <f>$B$329/H355</f>
        <v/>
      </c>
      <c r="J355">
        <f>$B$330/H355</f>
        <v/>
      </c>
      <c r="K355">
        <f>I355-J355</f>
        <v/>
      </c>
      <c r="L355">
        <f>Assumptions!$B$51/K355</f>
        <v/>
      </c>
      <c r="M355">
        <f>H355*(1-Assumptions!$B$52)</f>
        <v/>
      </c>
      <c r="N355">
        <f>MIN(L355,M355)</f>
        <v/>
      </c>
      <c r="O355">
        <f>Assumptions!$B$50/N355</f>
        <v/>
      </c>
      <c r="P355">
        <f>Assumptions!$B$54/K355</f>
        <v/>
      </c>
      <c r="Q355">
        <f>H355*(1-Assumptions!$B$55)</f>
        <v/>
      </c>
      <c r="R355">
        <f>MIN(P355,Q355)</f>
        <v/>
      </c>
      <c r="S355">
        <f>Assumptions!$B$53/R355</f>
        <v/>
      </c>
      <c r="T355">
        <f>Assumptions!$B$27*(Assumptions!$B$64+$B$330/Assumptions!$B$27)/(Assumptions!$B$64+J355)</f>
        <v/>
      </c>
      <c r="U355">
        <f>IF(H355&lt;Assumptions!$B$27,Assumptions!$B$27/T355,1)</f>
        <v/>
      </c>
      <c r="V355">
        <f>Assumptions!$B$26*(Assumptions!$B$64+$B$330/Assumptions!$B$26)/(Assumptions!$B$64+J355)</f>
        <v/>
      </c>
      <c r="W355">
        <f>IF(H355&lt;Assumptions!$B$26,Assumptions!$B$26/V355,1)</f>
        <v/>
      </c>
    </row>
    <row r="356">
      <c r="A356" t="n">
        <v>23</v>
      </c>
      <c r="B356">
        <f>U355</f>
        <v/>
      </c>
      <c r="C356">
        <f>W355</f>
        <v/>
      </c>
      <c r="D356">
        <f>O355</f>
        <v/>
      </c>
      <c r="E356">
        <f>S355</f>
        <v/>
      </c>
      <c r="F356">
        <f>Assumptions!$B$16*B356</f>
        <v/>
      </c>
      <c r="G356">
        <f>Assumptions!$B$15*C356</f>
        <v/>
      </c>
      <c r="H356">
        <f>IF($B$326*($B$329/(($B$329*(1-$B$326)-$B$330)/((Assumptions!$B$9+Assumptions!$B$11+Assumptions!$B$12+Assumptions!$B$13+Assumptions!$B$14)+G356+F356+D356+E356)))&lt;Assumptions!$B$65,($B$329-$B$330)/(((Assumptions!$B$9+Assumptions!$B$11+Assumptions!$B$12+Assumptions!$B$13+Assumptions!$B$14)+G356+F356+D356+E356)+Assumptions!$B$65),($B$329*(1-$B$326)-$B$330)/((Assumptions!$B$9+Assumptions!$B$11+Assumptions!$B$12+Assumptions!$B$13+Assumptions!$B$14)+G356+F356+D356+E356))</f>
        <v/>
      </c>
      <c r="I356">
        <f>$B$329/H356</f>
        <v/>
      </c>
      <c r="J356">
        <f>$B$330/H356</f>
        <v/>
      </c>
      <c r="K356">
        <f>I356-J356</f>
        <v/>
      </c>
      <c r="L356">
        <f>Assumptions!$B$51/K356</f>
        <v/>
      </c>
      <c r="M356">
        <f>H356*(1-Assumptions!$B$52)</f>
        <v/>
      </c>
      <c r="N356">
        <f>MIN(L356,M356)</f>
        <v/>
      </c>
      <c r="O356">
        <f>Assumptions!$B$50/N356</f>
        <v/>
      </c>
      <c r="P356">
        <f>Assumptions!$B$54/K356</f>
        <v/>
      </c>
      <c r="Q356">
        <f>H356*(1-Assumptions!$B$55)</f>
        <v/>
      </c>
      <c r="R356">
        <f>MIN(P356,Q356)</f>
        <v/>
      </c>
      <c r="S356">
        <f>Assumptions!$B$53/R356</f>
        <v/>
      </c>
      <c r="T356">
        <f>Assumptions!$B$27*(Assumptions!$B$64+$B$330/Assumptions!$B$27)/(Assumptions!$B$64+J356)</f>
        <v/>
      </c>
      <c r="U356">
        <f>IF(H356&lt;Assumptions!$B$27,Assumptions!$B$27/T356,1)</f>
        <v/>
      </c>
      <c r="V356">
        <f>Assumptions!$B$26*(Assumptions!$B$64+$B$330/Assumptions!$B$26)/(Assumptions!$B$64+J356)</f>
        <v/>
      </c>
      <c r="W356">
        <f>IF(H356&lt;Assumptions!$B$26,Assumptions!$B$26/V356,1)</f>
        <v/>
      </c>
    </row>
    <row r="357">
      <c r="A357" t="n">
        <v>24</v>
      </c>
      <c r="B357">
        <f>U356</f>
        <v/>
      </c>
      <c r="C357">
        <f>W356</f>
        <v/>
      </c>
      <c r="D357">
        <f>O356</f>
        <v/>
      </c>
      <c r="E357">
        <f>S356</f>
        <v/>
      </c>
      <c r="F357">
        <f>Assumptions!$B$16*B357</f>
        <v/>
      </c>
      <c r="G357">
        <f>Assumptions!$B$15*C357</f>
        <v/>
      </c>
      <c r="H357">
        <f>IF($B$326*($B$329/(($B$329*(1-$B$326)-$B$330)/((Assumptions!$B$9+Assumptions!$B$11+Assumptions!$B$12+Assumptions!$B$13+Assumptions!$B$14)+G357+F357+D357+E357)))&lt;Assumptions!$B$65,($B$329-$B$330)/(((Assumptions!$B$9+Assumptions!$B$11+Assumptions!$B$12+Assumptions!$B$13+Assumptions!$B$14)+G357+F357+D357+E357)+Assumptions!$B$65),($B$329*(1-$B$326)-$B$330)/((Assumptions!$B$9+Assumptions!$B$11+Assumptions!$B$12+Assumptions!$B$13+Assumptions!$B$14)+G357+F357+D357+E357))</f>
        <v/>
      </c>
      <c r="I357">
        <f>$B$329/H357</f>
        <v/>
      </c>
      <c r="J357">
        <f>$B$330/H357</f>
        <v/>
      </c>
      <c r="K357">
        <f>I357-J357</f>
        <v/>
      </c>
      <c r="L357">
        <f>Assumptions!$B$51/K357</f>
        <v/>
      </c>
      <c r="M357">
        <f>H357*(1-Assumptions!$B$52)</f>
        <v/>
      </c>
      <c r="N357">
        <f>MIN(L357,M357)</f>
        <v/>
      </c>
      <c r="O357">
        <f>Assumptions!$B$50/N357</f>
        <v/>
      </c>
      <c r="P357">
        <f>Assumptions!$B$54/K357</f>
        <v/>
      </c>
      <c r="Q357">
        <f>H357*(1-Assumptions!$B$55)</f>
        <v/>
      </c>
      <c r="R357">
        <f>MIN(P357,Q357)</f>
        <v/>
      </c>
      <c r="S357">
        <f>Assumptions!$B$53/R357</f>
        <v/>
      </c>
      <c r="T357">
        <f>Assumptions!$B$27*(Assumptions!$B$64+$B$330/Assumptions!$B$27)/(Assumptions!$B$64+J357)</f>
        <v/>
      </c>
      <c r="U357">
        <f>IF(H357&lt;Assumptions!$B$27,Assumptions!$B$27/T357,1)</f>
        <v/>
      </c>
      <c r="V357">
        <f>Assumptions!$B$26*(Assumptions!$B$64+$B$330/Assumptions!$B$26)/(Assumptions!$B$64+J357)</f>
        <v/>
      </c>
      <c r="W357">
        <f>IF(H357&lt;Assumptions!$B$26,Assumptions!$B$26/V357,1)</f>
        <v/>
      </c>
    </row>
    <row r="358">
      <c r="A358" t="n">
        <v>25</v>
      </c>
      <c r="B358">
        <f>U357</f>
        <v/>
      </c>
      <c r="C358">
        <f>W357</f>
        <v/>
      </c>
      <c r="D358">
        <f>O357</f>
        <v/>
      </c>
      <c r="E358">
        <f>S357</f>
        <v/>
      </c>
      <c r="F358">
        <f>Assumptions!$B$16*B358</f>
        <v/>
      </c>
      <c r="G358">
        <f>Assumptions!$B$15*C358</f>
        <v/>
      </c>
      <c r="H358">
        <f>IF($B$326*($B$329/(($B$329*(1-$B$326)-$B$330)/((Assumptions!$B$9+Assumptions!$B$11+Assumptions!$B$12+Assumptions!$B$13+Assumptions!$B$14)+G358+F358+D358+E358)))&lt;Assumptions!$B$65,($B$329-$B$330)/(((Assumptions!$B$9+Assumptions!$B$11+Assumptions!$B$12+Assumptions!$B$13+Assumptions!$B$14)+G358+F358+D358+E358)+Assumptions!$B$65),($B$329*(1-$B$326)-$B$330)/((Assumptions!$B$9+Assumptions!$B$11+Assumptions!$B$12+Assumptions!$B$13+Assumptions!$B$14)+G358+F358+D358+E358))</f>
        <v/>
      </c>
      <c r="I358">
        <f>$B$329/H358</f>
        <v/>
      </c>
      <c r="J358">
        <f>$B$330/H358</f>
        <v/>
      </c>
      <c r="K358">
        <f>I358-J358</f>
        <v/>
      </c>
      <c r="L358">
        <f>Assumptions!$B$51/K358</f>
        <v/>
      </c>
      <c r="M358">
        <f>H358*(1-Assumptions!$B$52)</f>
        <v/>
      </c>
      <c r="N358">
        <f>MIN(L358,M358)</f>
        <v/>
      </c>
      <c r="O358">
        <f>Assumptions!$B$50/N358</f>
        <v/>
      </c>
      <c r="P358">
        <f>Assumptions!$B$54/K358</f>
        <v/>
      </c>
      <c r="Q358">
        <f>H358*(1-Assumptions!$B$55)</f>
        <v/>
      </c>
      <c r="R358">
        <f>MIN(P358,Q358)</f>
        <v/>
      </c>
      <c r="S358">
        <f>Assumptions!$B$53/R358</f>
        <v/>
      </c>
      <c r="T358">
        <f>Assumptions!$B$27*(Assumptions!$B$64+$B$330/Assumptions!$B$27)/(Assumptions!$B$64+J358)</f>
        <v/>
      </c>
      <c r="U358">
        <f>IF(H358&lt;Assumptions!$B$27,Assumptions!$B$27/T358,1)</f>
        <v/>
      </c>
      <c r="V358">
        <f>Assumptions!$B$26*(Assumptions!$B$64+$B$330/Assumptions!$B$26)/(Assumptions!$B$64+J358)</f>
        <v/>
      </c>
      <c r="W358">
        <f>IF(H358&lt;Assumptions!$B$26,Assumptions!$B$26/V358,1)</f>
        <v/>
      </c>
    </row>
    <row r="359">
      <c r="A359" t="n">
        <v>26</v>
      </c>
      <c r="B359">
        <f>U358</f>
        <v/>
      </c>
      <c r="C359">
        <f>W358</f>
        <v/>
      </c>
      <c r="D359">
        <f>O358</f>
        <v/>
      </c>
      <c r="E359">
        <f>S358</f>
        <v/>
      </c>
      <c r="F359">
        <f>Assumptions!$B$16*B359</f>
        <v/>
      </c>
      <c r="G359">
        <f>Assumptions!$B$15*C359</f>
        <v/>
      </c>
      <c r="H359">
        <f>IF($B$326*($B$329/(($B$329*(1-$B$326)-$B$330)/((Assumptions!$B$9+Assumptions!$B$11+Assumptions!$B$12+Assumptions!$B$13+Assumptions!$B$14)+G359+F359+D359+E359)))&lt;Assumptions!$B$65,($B$329-$B$330)/(((Assumptions!$B$9+Assumptions!$B$11+Assumptions!$B$12+Assumptions!$B$13+Assumptions!$B$14)+G359+F359+D359+E359)+Assumptions!$B$65),($B$329*(1-$B$326)-$B$330)/((Assumptions!$B$9+Assumptions!$B$11+Assumptions!$B$12+Assumptions!$B$13+Assumptions!$B$14)+G359+F359+D359+E359))</f>
        <v/>
      </c>
      <c r="I359">
        <f>$B$329/H359</f>
        <v/>
      </c>
      <c r="J359">
        <f>$B$330/H359</f>
        <v/>
      </c>
      <c r="K359">
        <f>I359-J359</f>
        <v/>
      </c>
      <c r="L359">
        <f>Assumptions!$B$51/K359</f>
        <v/>
      </c>
      <c r="M359">
        <f>H359*(1-Assumptions!$B$52)</f>
        <v/>
      </c>
      <c r="N359">
        <f>MIN(L359,M359)</f>
        <v/>
      </c>
      <c r="O359">
        <f>Assumptions!$B$50/N359</f>
        <v/>
      </c>
      <c r="P359">
        <f>Assumptions!$B$54/K359</f>
        <v/>
      </c>
      <c r="Q359">
        <f>H359*(1-Assumptions!$B$55)</f>
        <v/>
      </c>
      <c r="R359">
        <f>MIN(P359,Q359)</f>
        <v/>
      </c>
      <c r="S359">
        <f>Assumptions!$B$53/R359</f>
        <v/>
      </c>
      <c r="T359">
        <f>Assumptions!$B$27*(Assumptions!$B$64+$B$330/Assumptions!$B$27)/(Assumptions!$B$64+J359)</f>
        <v/>
      </c>
      <c r="U359">
        <f>IF(H359&lt;Assumptions!$B$27,Assumptions!$B$27/T359,1)</f>
        <v/>
      </c>
      <c r="V359">
        <f>Assumptions!$B$26*(Assumptions!$B$64+$B$330/Assumptions!$B$26)/(Assumptions!$B$64+J359)</f>
        <v/>
      </c>
      <c r="W359">
        <f>IF(H359&lt;Assumptions!$B$26,Assumptions!$B$26/V359,1)</f>
        <v/>
      </c>
    </row>
    <row r="360">
      <c r="A360" t="n">
        <v>27</v>
      </c>
      <c r="B360">
        <f>U359</f>
        <v/>
      </c>
      <c r="C360">
        <f>W359</f>
        <v/>
      </c>
      <c r="D360">
        <f>O359</f>
        <v/>
      </c>
      <c r="E360">
        <f>S359</f>
        <v/>
      </c>
      <c r="F360">
        <f>Assumptions!$B$16*B360</f>
        <v/>
      </c>
      <c r="G360">
        <f>Assumptions!$B$15*C360</f>
        <v/>
      </c>
      <c r="H360">
        <f>IF($B$326*($B$329/(($B$329*(1-$B$326)-$B$330)/((Assumptions!$B$9+Assumptions!$B$11+Assumptions!$B$12+Assumptions!$B$13+Assumptions!$B$14)+G360+F360+D360+E360)))&lt;Assumptions!$B$65,($B$329-$B$330)/(((Assumptions!$B$9+Assumptions!$B$11+Assumptions!$B$12+Assumptions!$B$13+Assumptions!$B$14)+G360+F360+D360+E360)+Assumptions!$B$65),($B$329*(1-$B$326)-$B$330)/((Assumptions!$B$9+Assumptions!$B$11+Assumptions!$B$12+Assumptions!$B$13+Assumptions!$B$14)+G360+F360+D360+E360))</f>
        <v/>
      </c>
      <c r="I360">
        <f>$B$329/H360</f>
        <v/>
      </c>
      <c r="J360">
        <f>$B$330/H360</f>
        <v/>
      </c>
      <c r="K360">
        <f>I360-J360</f>
        <v/>
      </c>
      <c r="L360">
        <f>Assumptions!$B$51/K360</f>
        <v/>
      </c>
      <c r="M360">
        <f>H360*(1-Assumptions!$B$52)</f>
        <v/>
      </c>
      <c r="N360">
        <f>MIN(L360,M360)</f>
        <v/>
      </c>
      <c r="O360">
        <f>Assumptions!$B$50/N360</f>
        <v/>
      </c>
      <c r="P360">
        <f>Assumptions!$B$54/K360</f>
        <v/>
      </c>
      <c r="Q360">
        <f>H360*(1-Assumptions!$B$55)</f>
        <v/>
      </c>
      <c r="R360">
        <f>MIN(P360,Q360)</f>
        <v/>
      </c>
      <c r="S360">
        <f>Assumptions!$B$53/R360</f>
        <v/>
      </c>
      <c r="T360">
        <f>Assumptions!$B$27*(Assumptions!$B$64+$B$330/Assumptions!$B$27)/(Assumptions!$B$64+J360)</f>
        <v/>
      </c>
      <c r="U360">
        <f>IF(H360&lt;Assumptions!$B$27,Assumptions!$B$27/T360,1)</f>
        <v/>
      </c>
      <c r="V360">
        <f>Assumptions!$B$26*(Assumptions!$B$64+$B$330/Assumptions!$B$26)/(Assumptions!$B$64+J360)</f>
        <v/>
      </c>
      <c r="W360">
        <f>IF(H360&lt;Assumptions!$B$26,Assumptions!$B$26/V360,1)</f>
        <v/>
      </c>
    </row>
    <row r="361">
      <c r="A361" t="n">
        <v>28</v>
      </c>
      <c r="B361">
        <f>U360</f>
        <v/>
      </c>
      <c r="C361">
        <f>W360</f>
        <v/>
      </c>
      <c r="D361">
        <f>O360</f>
        <v/>
      </c>
      <c r="E361">
        <f>S360</f>
        <v/>
      </c>
      <c r="F361">
        <f>Assumptions!$B$16*B361</f>
        <v/>
      </c>
      <c r="G361">
        <f>Assumptions!$B$15*C361</f>
        <v/>
      </c>
      <c r="H361">
        <f>IF($B$326*($B$329/(($B$329*(1-$B$326)-$B$330)/((Assumptions!$B$9+Assumptions!$B$11+Assumptions!$B$12+Assumptions!$B$13+Assumptions!$B$14)+G361+F361+D361+E361)))&lt;Assumptions!$B$65,($B$329-$B$330)/(((Assumptions!$B$9+Assumptions!$B$11+Assumptions!$B$12+Assumptions!$B$13+Assumptions!$B$14)+G361+F361+D361+E361)+Assumptions!$B$65),($B$329*(1-$B$326)-$B$330)/((Assumptions!$B$9+Assumptions!$B$11+Assumptions!$B$12+Assumptions!$B$13+Assumptions!$B$14)+G361+F361+D361+E361))</f>
        <v/>
      </c>
      <c r="I361">
        <f>$B$329/H361</f>
        <v/>
      </c>
      <c r="J361">
        <f>$B$330/H361</f>
        <v/>
      </c>
      <c r="K361">
        <f>I361-J361</f>
        <v/>
      </c>
      <c r="L361">
        <f>Assumptions!$B$51/K361</f>
        <v/>
      </c>
      <c r="M361">
        <f>H361*(1-Assumptions!$B$52)</f>
        <v/>
      </c>
      <c r="N361">
        <f>MIN(L361,M361)</f>
        <v/>
      </c>
      <c r="O361">
        <f>Assumptions!$B$50/N361</f>
        <v/>
      </c>
      <c r="P361">
        <f>Assumptions!$B$54/K361</f>
        <v/>
      </c>
      <c r="Q361">
        <f>H361*(1-Assumptions!$B$55)</f>
        <v/>
      </c>
      <c r="R361">
        <f>MIN(P361,Q361)</f>
        <v/>
      </c>
      <c r="S361">
        <f>Assumptions!$B$53/R361</f>
        <v/>
      </c>
      <c r="T361">
        <f>Assumptions!$B$27*(Assumptions!$B$64+$B$330/Assumptions!$B$27)/(Assumptions!$B$64+J361)</f>
        <v/>
      </c>
      <c r="U361">
        <f>IF(H361&lt;Assumptions!$B$27,Assumptions!$B$27/T361,1)</f>
        <v/>
      </c>
      <c r="V361">
        <f>Assumptions!$B$26*(Assumptions!$B$64+$B$330/Assumptions!$B$26)/(Assumptions!$B$64+J361)</f>
        <v/>
      </c>
      <c r="W361">
        <f>IF(H361&lt;Assumptions!$B$26,Assumptions!$B$26/V361,1)</f>
        <v/>
      </c>
    </row>
    <row r="362">
      <c r="A362" t="n">
        <v>29</v>
      </c>
      <c r="B362">
        <f>U361</f>
        <v/>
      </c>
      <c r="C362">
        <f>W361</f>
        <v/>
      </c>
      <c r="D362">
        <f>O361</f>
        <v/>
      </c>
      <c r="E362">
        <f>S361</f>
        <v/>
      </c>
      <c r="F362">
        <f>Assumptions!$B$16*B362</f>
        <v/>
      </c>
      <c r="G362">
        <f>Assumptions!$B$15*C362</f>
        <v/>
      </c>
      <c r="H362">
        <f>IF($B$326*($B$329/(($B$329*(1-$B$326)-$B$330)/((Assumptions!$B$9+Assumptions!$B$11+Assumptions!$B$12+Assumptions!$B$13+Assumptions!$B$14)+G362+F362+D362+E362)))&lt;Assumptions!$B$65,($B$329-$B$330)/(((Assumptions!$B$9+Assumptions!$B$11+Assumptions!$B$12+Assumptions!$B$13+Assumptions!$B$14)+G362+F362+D362+E362)+Assumptions!$B$65),($B$329*(1-$B$326)-$B$330)/((Assumptions!$B$9+Assumptions!$B$11+Assumptions!$B$12+Assumptions!$B$13+Assumptions!$B$14)+G362+F362+D362+E362))</f>
        <v/>
      </c>
      <c r="I362">
        <f>$B$329/H362</f>
        <v/>
      </c>
      <c r="J362">
        <f>$B$330/H362</f>
        <v/>
      </c>
      <c r="K362">
        <f>I362-J362</f>
        <v/>
      </c>
      <c r="L362">
        <f>Assumptions!$B$51/K362</f>
        <v/>
      </c>
      <c r="M362">
        <f>H362*(1-Assumptions!$B$52)</f>
        <v/>
      </c>
      <c r="N362">
        <f>MIN(L362,M362)</f>
        <v/>
      </c>
      <c r="O362">
        <f>Assumptions!$B$50/N362</f>
        <v/>
      </c>
      <c r="P362">
        <f>Assumptions!$B$54/K362</f>
        <v/>
      </c>
      <c r="Q362">
        <f>H362*(1-Assumptions!$B$55)</f>
        <v/>
      </c>
      <c r="R362">
        <f>MIN(P362,Q362)</f>
        <v/>
      </c>
      <c r="S362">
        <f>Assumptions!$B$53/R362</f>
        <v/>
      </c>
      <c r="T362">
        <f>Assumptions!$B$27*(Assumptions!$B$64+$B$330/Assumptions!$B$27)/(Assumptions!$B$64+J362)</f>
        <v/>
      </c>
      <c r="U362">
        <f>IF(H362&lt;Assumptions!$B$27,Assumptions!$B$27/T362,1)</f>
        <v/>
      </c>
      <c r="V362">
        <f>Assumptions!$B$26*(Assumptions!$B$64+$B$330/Assumptions!$B$26)/(Assumptions!$B$64+J362)</f>
        <v/>
      </c>
      <c r="W362">
        <f>IF(H362&lt;Assumptions!$B$26,Assumptions!$B$26/V362,1)</f>
        <v/>
      </c>
    </row>
    <row r="363">
      <c r="A363" t="n">
        <v>30</v>
      </c>
      <c r="B363">
        <f>U362</f>
        <v/>
      </c>
      <c r="C363">
        <f>W362</f>
        <v/>
      </c>
      <c r="D363">
        <f>O362</f>
        <v/>
      </c>
      <c r="E363">
        <f>S362</f>
        <v/>
      </c>
      <c r="F363">
        <f>Assumptions!$B$16*B363</f>
        <v/>
      </c>
      <c r="G363">
        <f>Assumptions!$B$15*C363</f>
        <v/>
      </c>
      <c r="H363">
        <f>IF($B$326*($B$329/(($B$329*(1-$B$326)-$B$330)/((Assumptions!$B$9+Assumptions!$B$11+Assumptions!$B$12+Assumptions!$B$13+Assumptions!$B$14)+G363+F363+D363+E363)))&lt;Assumptions!$B$65,($B$329-$B$330)/(((Assumptions!$B$9+Assumptions!$B$11+Assumptions!$B$12+Assumptions!$B$13+Assumptions!$B$14)+G363+F363+D363+E363)+Assumptions!$B$65),($B$329*(1-$B$326)-$B$330)/((Assumptions!$B$9+Assumptions!$B$11+Assumptions!$B$12+Assumptions!$B$13+Assumptions!$B$14)+G363+F363+D363+E363))</f>
        <v/>
      </c>
      <c r="I363">
        <f>$B$329/H363</f>
        <v/>
      </c>
      <c r="J363">
        <f>$B$330/H363</f>
        <v/>
      </c>
      <c r="K363">
        <f>I363-J363</f>
        <v/>
      </c>
      <c r="L363">
        <f>Assumptions!$B$51/K363</f>
        <v/>
      </c>
      <c r="M363">
        <f>H363*(1-Assumptions!$B$52)</f>
        <v/>
      </c>
      <c r="N363">
        <f>MIN(L363,M363)</f>
        <v/>
      </c>
      <c r="O363">
        <f>Assumptions!$B$50/N363</f>
        <v/>
      </c>
      <c r="P363">
        <f>Assumptions!$B$54/K363</f>
        <v/>
      </c>
      <c r="Q363">
        <f>H363*(1-Assumptions!$B$55)</f>
        <v/>
      </c>
      <c r="R363">
        <f>MIN(P363,Q363)</f>
        <v/>
      </c>
      <c r="S363">
        <f>Assumptions!$B$53/R363</f>
        <v/>
      </c>
      <c r="T363">
        <f>Assumptions!$B$27*(Assumptions!$B$64+$B$330/Assumptions!$B$27)/(Assumptions!$B$64+J363)</f>
        <v/>
      </c>
      <c r="U363">
        <f>IF(H363&lt;Assumptions!$B$27,Assumptions!$B$27/T363,1)</f>
        <v/>
      </c>
      <c r="V363">
        <f>Assumptions!$B$26*(Assumptions!$B$64+$B$330/Assumptions!$B$26)/(Assumptions!$B$64+J363)</f>
        <v/>
      </c>
      <c r="W363">
        <f>IF(H363&lt;Assumptions!$B$26,Assumptions!$B$26/V363,1)</f>
        <v/>
      </c>
    </row>
    <row r="364">
      <c r="A364" t="n">
        <v>31</v>
      </c>
      <c r="B364">
        <f>U363</f>
        <v/>
      </c>
      <c r="C364">
        <f>W363</f>
        <v/>
      </c>
      <c r="D364">
        <f>O363</f>
        <v/>
      </c>
      <c r="E364">
        <f>S363</f>
        <v/>
      </c>
      <c r="F364">
        <f>Assumptions!$B$16*B364</f>
        <v/>
      </c>
      <c r="G364">
        <f>Assumptions!$B$15*C364</f>
        <v/>
      </c>
      <c r="H364">
        <f>IF($B$326*($B$329/(($B$329*(1-$B$326)-$B$330)/((Assumptions!$B$9+Assumptions!$B$11+Assumptions!$B$12+Assumptions!$B$13+Assumptions!$B$14)+G364+F364+D364+E364)))&lt;Assumptions!$B$65,($B$329-$B$330)/(((Assumptions!$B$9+Assumptions!$B$11+Assumptions!$B$12+Assumptions!$B$13+Assumptions!$B$14)+G364+F364+D364+E364)+Assumptions!$B$65),($B$329*(1-$B$326)-$B$330)/((Assumptions!$B$9+Assumptions!$B$11+Assumptions!$B$12+Assumptions!$B$13+Assumptions!$B$14)+G364+F364+D364+E364))</f>
        <v/>
      </c>
      <c r="I364">
        <f>$B$329/H364</f>
        <v/>
      </c>
      <c r="J364">
        <f>$B$330/H364</f>
        <v/>
      </c>
      <c r="K364">
        <f>I364-J364</f>
        <v/>
      </c>
      <c r="L364">
        <f>Assumptions!$B$51/K364</f>
        <v/>
      </c>
      <c r="M364">
        <f>H364*(1-Assumptions!$B$52)</f>
        <v/>
      </c>
      <c r="N364">
        <f>MIN(L364,M364)</f>
        <v/>
      </c>
      <c r="O364">
        <f>Assumptions!$B$50/N364</f>
        <v/>
      </c>
      <c r="P364">
        <f>Assumptions!$B$54/K364</f>
        <v/>
      </c>
      <c r="Q364">
        <f>H364*(1-Assumptions!$B$55)</f>
        <v/>
      </c>
      <c r="R364">
        <f>MIN(P364,Q364)</f>
        <v/>
      </c>
      <c r="S364">
        <f>Assumptions!$B$53/R364</f>
        <v/>
      </c>
      <c r="T364">
        <f>Assumptions!$B$27*(Assumptions!$B$64+$B$330/Assumptions!$B$27)/(Assumptions!$B$64+J364)</f>
        <v/>
      </c>
      <c r="U364">
        <f>IF(H364&lt;Assumptions!$B$27,Assumptions!$B$27/T364,1)</f>
        <v/>
      </c>
      <c r="V364">
        <f>Assumptions!$B$26*(Assumptions!$B$64+$B$330/Assumptions!$B$26)/(Assumptions!$B$64+J364)</f>
        <v/>
      </c>
      <c r="W364">
        <f>IF(H364&lt;Assumptions!$B$26,Assumptions!$B$26/V364,1)</f>
        <v/>
      </c>
    </row>
    <row r="365">
      <c r="A365" t="n">
        <v>32</v>
      </c>
      <c r="B365">
        <f>U364</f>
        <v/>
      </c>
      <c r="C365">
        <f>W364</f>
        <v/>
      </c>
      <c r="D365">
        <f>O364</f>
        <v/>
      </c>
      <c r="E365">
        <f>S364</f>
        <v/>
      </c>
      <c r="F365">
        <f>Assumptions!$B$16*B365</f>
        <v/>
      </c>
      <c r="G365">
        <f>Assumptions!$B$15*C365</f>
        <v/>
      </c>
      <c r="H365">
        <f>IF($B$326*($B$329/(($B$329*(1-$B$326)-$B$330)/((Assumptions!$B$9+Assumptions!$B$11+Assumptions!$B$12+Assumptions!$B$13+Assumptions!$B$14)+G365+F365+D365+E365)))&lt;Assumptions!$B$65,($B$329-$B$330)/(((Assumptions!$B$9+Assumptions!$B$11+Assumptions!$B$12+Assumptions!$B$13+Assumptions!$B$14)+G365+F365+D365+E365)+Assumptions!$B$65),($B$329*(1-$B$326)-$B$330)/((Assumptions!$B$9+Assumptions!$B$11+Assumptions!$B$12+Assumptions!$B$13+Assumptions!$B$14)+G365+F365+D365+E365))</f>
        <v/>
      </c>
      <c r="I365">
        <f>$B$329/H365</f>
        <v/>
      </c>
      <c r="J365">
        <f>$B$330/H365</f>
        <v/>
      </c>
      <c r="K365">
        <f>I365-J365</f>
        <v/>
      </c>
      <c r="L365">
        <f>Assumptions!$B$51/K365</f>
        <v/>
      </c>
      <c r="M365">
        <f>H365*(1-Assumptions!$B$52)</f>
        <v/>
      </c>
      <c r="N365">
        <f>MIN(L365,M365)</f>
        <v/>
      </c>
      <c r="O365">
        <f>Assumptions!$B$50/N365</f>
        <v/>
      </c>
      <c r="P365">
        <f>Assumptions!$B$54/K365</f>
        <v/>
      </c>
      <c r="Q365">
        <f>H365*(1-Assumptions!$B$55)</f>
        <v/>
      </c>
      <c r="R365">
        <f>MIN(P365,Q365)</f>
        <v/>
      </c>
      <c r="S365">
        <f>Assumptions!$B$53/R365</f>
        <v/>
      </c>
      <c r="T365">
        <f>Assumptions!$B$27*(Assumptions!$B$64+$B$330/Assumptions!$B$27)/(Assumptions!$B$64+J365)</f>
        <v/>
      </c>
      <c r="U365">
        <f>IF(H365&lt;Assumptions!$B$27,Assumptions!$B$27/T365,1)</f>
        <v/>
      </c>
      <c r="V365">
        <f>Assumptions!$B$26*(Assumptions!$B$64+$B$330/Assumptions!$B$26)/(Assumptions!$B$64+J365)</f>
        <v/>
      </c>
      <c r="W365">
        <f>IF(H365&lt;Assumptions!$B$26,Assumptions!$B$26/V365,1)</f>
        <v/>
      </c>
    </row>
    <row r="366">
      <c r="A366" t="n">
        <v>33</v>
      </c>
      <c r="B366">
        <f>U365</f>
        <v/>
      </c>
      <c r="C366">
        <f>W365</f>
        <v/>
      </c>
      <c r="D366">
        <f>O365</f>
        <v/>
      </c>
      <c r="E366">
        <f>S365</f>
        <v/>
      </c>
      <c r="F366">
        <f>Assumptions!$B$16*B366</f>
        <v/>
      </c>
      <c r="G366">
        <f>Assumptions!$B$15*C366</f>
        <v/>
      </c>
      <c r="H366">
        <f>IF($B$326*($B$329/(($B$329*(1-$B$326)-$B$330)/((Assumptions!$B$9+Assumptions!$B$11+Assumptions!$B$12+Assumptions!$B$13+Assumptions!$B$14)+G366+F366+D366+E366)))&lt;Assumptions!$B$65,($B$329-$B$330)/(((Assumptions!$B$9+Assumptions!$B$11+Assumptions!$B$12+Assumptions!$B$13+Assumptions!$B$14)+G366+F366+D366+E366)+Assumptions!$B$65),($B$329*(1-$B$326)-$B$330)/((Assumptions!$B$9+Assumptions!$B$11+Assumptions!$B$12+Assumptions!$B$13+Assumptions!$B$14)+G366+F366+D366+E366))</f>
        <v/>
      </c>
      <c r="I366">
        <f>$B$329/H366</f>
        <v/>
      </c>
      <c r="J366">
        <f>$B$330/H366</f>
        <v/>
      </c>
      <c r="K366">
        <f>I366-J366</f>
        <v/>
      </c>
      <c r="L366">
        <f>Assumptions!$B$51/K366</f>
        <v/>
      </c>
      <c r="M366">
        <f>H366*(1-Assumptions!$B$52)</f>
        <v/>
      </c>
      <c r="N366">
        <f>MIN(L366,M366)</f>
        <v/>
      </c>
      <c r="O366">
        <f>Assumptions!$B$50/N366</f>
        <v/>
      </c>
      <c r="P366">
        <f>Assumptions!$B$54/K366</f>
        <v/>
      </c>
      <c r="Q366">
        <f>H366*(1-Assumptions!$B$55)</f>
        <v/>
      </c>
      <c r="R366">
        <f>MIN(P366,Q366)</f>
        <v/>
      </c>
      <c r="S366">
        <f>Assumptions!$B$53/R366</f>
        <v/>
      </c>
      <c r="T366">
        <f>Assumptions!$B$27*(Assumptions!$B$64+$B$330/Assumptions!$B$27)/(Assumptions!$B$64+J366)</f>
        <v/>
      </c>
      <c r="U366">
        <f>IF(H366&lt;Assumptions!$B$27,Assumptions!$B$27/T366,1)</f>
        <v/>
      </c>
      <c r="V366">
        <f>Assumptions!$B$26*(Assumptions!$B$64+$B$330/Assumptions!$B$26)/(Assumptions!$B$64+J366)</f>
        <v/>
      </c>
      <c r="W366">
        <f>IF(H366&lt;Assumptions!$B$26,Assumptions!$B$26/V366,1)</f>
        <v/>
      </c>
    </row>
    <row r="367">
      <c r="A367" t="n">
        <v>34</v>
      </c>
      <c r="B367">
        <f>U366</f>
        <v/>
      </c>
      <c r="C367">
        <f>W366</f>
        <v/>
      </c>
      <c r="D367">
        <f>O366</f>
        <v/>
      </c>
      <c r="E367">
        <f>S366</f>
        <v/>
      </c>
      <c r="F367">
        <f>Assumptions!$B$16*B367</f>
        <v/>
      </c>
      <c r="G367">
        <f>Assumptions!$B$15*C367</f>
        <v/>
      </c>
      <c r="H367">
        <f>IF($B$326*($B$329/(($B$329*(1-$B$326)-$B$330)/((Assumptions!$B$9+Assumptions!$B$11+Assumptions!$B$12+Assumptions!$B$13+Assumptions!$B$14)+G367+F367+D367+E367)))&lt;Assumptions!$B$65,($B$329-$B$330)/(((Assumptions!$B$9+Assumptions!$B$11+Assumptions!$B$12+Assumptions!$B$13+Assumptions!$B$14)+G367+F367+D367+E367)+Assumptions!$B$65),($B$329*(1-$B$326)-$B$330)/((Assumptions!$B$9+Assumptions!$B$11+Assumptions!$B$12+Assumptions!$B$13+Assumptions!$B$14)+G367+F367+D367+E367))</f>
        <v/>
      </c>
      <c r="I367">
        <f>$B$329/H367</f>
        <v/>
      </c>
      <c r="J367">
        <f>$B$330/H367</f>
        <v/>
      </c>
      <c r="K367">
        <f>I367-J367</f>
        <v/>
      </c>
      <c r="L367">
        <f>Assumptions!$B$51/K367</f>
        <v/>
      </c>
      <c r="M367">
        <f>H367*(1-Assumptions!$B$52)</f>
        <v/>
      </c>
      <c r="N367">
        <f>MIN(L367,M367)</f>
        <v/>
      </c>
      <c r="O367">
        <f>Assumptions!$B$50/N367</f>
        <v/>
      </c>
      <c r="P367">
        <f>Assumptions!$B$54/K367</f>
        <v/>
      </c>
      <c r="Q367">
        <f>H367*(1-Assumptions!$B$55)</f>
        <v/>
      </c>
      <c r="R367">
        <f>MIN(P367,Q367)</f>
        <v/>
      </c>
      <c r="S367">
        <f>Assumptions!$B$53/R367</f>
        <v/>
      </c>
      <c r="T367">
        <f>Assumptions!$B$27*(Assumptions!$B$64+$B$330/Assumptions!$B$27)/(Assumptions!$B$64+J367)</f>
        <v/>
      </c>
      <c r="U367">
        <f>IF(H367&lt;Assumptions!$B$27,Assumptions!$B$27/T367,1)</f>
        <v/>
      </c>
      <c r="V367">
        <f>Assumptions!$B$26*(Assumptions!$B$64+$B$330/Assumptions!$B$26)/(Assumptions!$B$64+J367)</f>
        <v/>
      </c>
      <c r="W367">
        <f>IF(H367&lt;Assumptions!$B$26,Assumptions!$B$26/V367,1)</f>
        <v/>
      </c>
    </row>
    <row r="368">
      <c r="A368" t="n">
        <v>35</v>
      </c>
      <c r="B368">
        <f>U367</f>
        <v/>
      </c>
      <c r="C368">
        <f>W367</f>
        <v/>
      </c>
      <c r="D368">
        <f>O367</f>
        <v/>
      </c>
      <c r="E368">
        <f>S367</f>
        <v/>
      </c>
      <c r="F368">
        <f>Assumptions!$B$16*B368</f>
        <v/>
      </c>
      <c r="G368">
        <f>Assumptions!$B$15*C368</f>
        <v/>
      </c>
      <c r="H368">
        <f>IF($B$326*($B$329/(($B$329*(1-$B$326)-$B$330)/((Assumptions!$B$9+Assumptions!$B$11+Assumptions!$B$12+Assumptions!$B$13+Assumptions!$B$14)+G368+F368+D368+E368)))&lt;Assumptions!$B$65,($B$329-$B$330)/(((Assumptions!$B$9+Assumptions!$B$11+Assumptions!$B$12+Assumptions!$B$13+Assumptions!$B$14)+G368+F368+D368+E368)+Assumptions!$B$65),($B$329*(1-$B$326)-$B$330)/((Assumptions!$B$9+Assumptions!$B$11+Assumptions!$B$12+Assumptions!$B$13+Assumptions!$B$14)+G368+F368+D368+E368))</f>
        <v/>
      </c>
      <c r="I368">
        <f>$B$329/H368</f>
        <v/>
      </c>
      <c r="J368">
        <f>$B$330/H368</f>
        <v/>
      </c>
      <c r="K368">
        <f>I368-J368</f>
        <v/>
      </c>
      <c r="L368">
        <f>Assumptions!$B$51/K368</f>
        <v/>
      </c>
      <c r="M368">
        <f>H368*(1-Assumptions!$B$52)</f>
        <v/>
      </c>
      <c r="N368">
        <f>MIN(L368,M368)</f>
        <v/>
      </c>
      <c r="O368">
        <f>Assumptions!$B$50/N368</f>
        <v/>
      </c>
      <c r="P368">
        <f>Assumptions!$B$54/K368</f>
        <v/>
      </c>
      <c r="Q368">
        <f>H368*(1-Assumptions!$B$55)</f>
        <v/>
      </c>
      <c r="R368">
        <f>MIN(P368,Q368)</f>
        <v/>
      </c>
      <c r="S368">
        <f>Assumptions!$B$53/R368</f>
        <v/>
      </c>
      <c r="T368">
        <f>Assumptions!$B$27*(Assumptions!$B$64+$B$330/Assumptions!$B$27)/(Assumptions!$B$64+J368)</f>
        <v/>
      </c>
      <c r="U368">
        <f>IF(H368&lt;Assumptions!$B$27,Assumptions!$B$27/T368,1)</f>
        <v/>
      </c>
      <c r="V368">
        <f>Assumptions!$B$26*(Assumptions!$B$64+$B$330/Assumptions!$B$26)/(Assumptions!$B$64+J368)</f>
        <v/>
      </c>
      <c r="W368">
        <f>IF(H368&lt;Assumptions!$B$26,Assumptions!$B$26/V368,1)</f>
        <v/>
      </c>
    </row>
    <row r="369">
      <c r="A369" t="n">
        <v>36</v>
      </c>
      <c r="B369">
        <f>U368</f>
        <v/>
      </c>
      <c r="C369">
        <f>W368</f>
        <v/>
      </c>
      <c r="D369">
        <f>O368</f>
        <v/>
      </c>
      <c r="E369">
        <f>S368</f>
        <v/>
      </c>
      <c r="F369">
        <f>Assumptions!$B$16*B369</f>
        <v/>
      </c>
      <c r="G369">
        <f>Assumptions!$B$15*C369</f>
        <v/>
      </c>
      <c r="H369">
        <f>IF($B$326*($B$329/(($B$329*(1-$B$326)-$B$330)/((Assumptions!$B$9+Assumptions!$B$11+Assumptions!$B$12+Assumptions!$B$13+Assumptions!$B$14)+G369+F369+D369+E369)))&lt;Assumptions!$B$65,($B$329-$B$330)/(((Assumptions!$B$9+Assumptions!$B$11+Assumptions!$B$12+Assumptions!$B$13+Assumptions!$B$14)+G369+F369+D369+E369)+Assumptions!$B$65),($B$329*(1-$B$326)-$B$330)/((Assumptions!$B$9+Assumptions!$B$11+Assumptions!$B$12+Assumptions!$B$13+Assumptions!$B$14)+G369+F369+D369+E369))</f>
        <v/>
      </c>
      <c r="I369">
        <f>$B$329/H369</f>
        <v/>
      </c>
      <c r="J369">
        <f>$B$330/H369</f>
        <v/>
      </c>
      <c r="K369">
        <f>I369-J369</f>
        <v/>
      </c>
      <c r="L369">
        <f>Assumptions!$B$51/K369</f>
        <v/>
      </c>
      <c r="M369">
        <f>H369*(1-Assumptions!$B$52)</f>
        <v/>
      </c>
      <c r="N369">
        <f>MIN(L369,M369)</f>
        <v/>
      </c>
      <c r="O369">
        <f>Assumptions!$B$50/N369</f>
        <v/>
      </c>
      <c r="P369">
        <f>Assumptions!$B$54/K369</f>
        <v/>
      </c>
      <c r="Q369">
        <f>H369*(1-Assumptions!$B$55)</f>
        <v/>
      </c>
      <c r="R369">
        <f>MIN(P369,Q369)</f>
        <v/>
      </c>
      <c r="S369">
        <f>Assumptions!$B$53/R369</f>
        <v/>
      </c>
      <c r="T369">
        <f>Assumptions!$B$27*(Assumptions!$B$64+$B$330/Assumptions!$B$27)/(Assumptions!$B$64+J369)</f>
        <v/>
      </c>
      <c r="U369">
        <f>IF(H369&lt;Assumptions!$B$27,Assumptions!$B$27/T369,1)</f>
        <v/>
      </c>
      <c r="V369">
        <f>Assumptions!$B$26*(Assumptions!$B$64+$B$330/Assumptions!$B$26)/(Assumptions!$B$64+J369)</f>
        <v/>
      </c>
      <c r="W369">
        <f>IF(H369&lt;Assumptions!$B$26,Assumptions!$B$26/V369,1)</f>
        <v/>
      </c>
    </row>
    <row r="370">
      <c r="A370" t="n">
        <v>37</v>
      </c>
      <c r="B370">
        <f>U369</f>
        <v/>
      </c>
      <c r="C370">
        <f>W369</f>
        <v/>
      </c>
      <c r="D370">
        <f>O369</f>
        <v/>
      </c>
      <c r="E370">
        <f>S369</f>
        <v/>
      </c>
      <c r="F370">
        <f>Assumptions!$B$16*B370</f>
        <v/>
      </c>
      <c r="G370">
        <f>Assumptions!$B$15*C370</f>
        <v/>
      </c>
      <c r="H370">
        <f>IF($B$326*($B$329/(($B$329*(1-$B$326)-$B$330)/((Assumptions!$B$9+Assumptions!$B$11+Assumptions!$B$12+Assumptions!$B$13+Assumptions!$B$14)+G370+F370+D370+E370)))&lt;Assumptions!$B$65,($B$329-$B$330)/(((Assumptions!$B$9+Assumptions!$B$11+Assumptions!$B$12+Assumptions!$B$13+Assumptions!$B$14)+G370+F370+D370+E370)+Assumptions!$B$65),($B$329*(1-$B$326)-$B$330)/((Assumptions!$B$9+Assumptions!$B$11+Assumptions!$B$12+Assumptions!$B$13+Assumptions!$B$14)+G370+F370+D370+E370))</f>
        <v/>
      </c>
      <c r="I370">
        <f>$B$329/H370</f>
        <v/>
      </c>
      <c r="J370">
        <f>$B$330/H370</f>
        <v/>
      </c>
      <c r="K370">
        <f>I370-J370</f>
        <v/>
      </c>
      <c r="L370">
        <f>Assumptions!$B$51/K370</f>
        <v/>
      </c>
      <c r="M370">
        <f>H370*(1-Assumptions!$B$52)</f>
        <v/>
      </c>
      <c r="N370">
        <f>MIN(L370,M370)</f>
        <v/>
      </c>
      <c r="O370">
        <f>Assumptions!$B$50/N370</f>
        <v/>
      </c>
      <c r="P370">
        <f>Assumptions!$B$54/K370</f>
        <v/>
      </c>
      <c r="Q370">
        <f>H370*(1-Assumptions!$B$55)</f>
        <v/>
      </c>
      <c r="R370">
        <f>MIN(P370,Q370)</f>
        <v/>
      </c>
      <c r="S370">
        <f>Assumptions!$B$53/R370</f>
        <v/>
      </c>
      <c r="T370">
        <f>Assumptions!$B$27*(Assumptions!$B$64+$B$330/Assumptions!$B$27)/(Assumptions!$B$64+J370)</f>
        <v/>
      </c>
      <c r="U370">
        <f>IF(H370&lt;Assumptions!$B$27,Assumptions!$B$27/T370,1)</f>
        <v/>
      </c>
      <c r="V370">
        <f>Assumptions!$B$26*(Assumptions!$B$64+$B$330/Assumptions!$B$26)/(Assumptions!$B$64+J370)</f>
        <v/>
      </c>
      <c r="W370">
        <f>IF(H370&lt;Assumptions!$B$26,Assumptions!$B$26/V370,1)</f>
        <v/>
      </c>
    </row>
    <row r="371">
      <c r="A371" t="n">
        <v>38</v>
      </c>
      <c r="B371">
        <f>U370</f>
        <v/>
      </c>
      <c r="C371">
        <f>W370</f>
        <v/>
      </c>
      <c r="D371">
        <f>O370</f>
        <v/>
      </c>
      <c r="E371">
        <f>S370</f>
        <v/>
      </c>
      <c r="F371">
        <f>Assumptions!$B$16*B371</f>
        <v/>
      </c>
      <c r="G371">
        <f>Assumptions!$B$15*C371</f>
        <v/>
      </c>
      <c r="H371">
        <f>IF($B$326*($B$329/(($B$329*(1-$B$326)-$B$330)/((Assumptions!$B$9+Assumptions!$B$11+Assumptions!$B$12+Assumptions!$B$13+Assumptions!$B$14)+G371+F371+D371+E371)))&lt;Assumptions!$B$65,($B$329-$B$330)/(((Assumptions!$B$9+Assumptions!$B$11+Assumptions!$B$12+Assumptions!$B$13+Assumptions!$B$14)+G371+F371+D371+E371)+Assumptions!$B$65),($B$329*(1-$B$326)-$B$330)/((Assumptions!$B$9+Assumptions!$B$11+Assumptions!$B$12+Assumptions!$B$13+Assumptions!$B$14)+G371+F371+D371+E371))</f>
        <v/>
      </c>
      <c r="I371">
        <f>$B$329/H371</f>
        <v/>
      </c>
      <c r="J371">
        <f>$B$330/H371</f>
        <v/>
      </c>
      <c r="K371">
        <f>I371-J371</f>
        <v/>
      </c>
      <c r="L371">
        <f>Assumptions!$B$51/K371</f>
        <v/>
      </c>
      <c r="M371">
        <f>H371*(1-Assumptions!$B$52)</f>
        <v/>
      </c>
      <c r="N371">
        <f>MIN(L371,M371)</f>
        <v/>
      </c>
      <c r="O371">
        <f>Assumptions!$B$50/N371</f>
        <v/>
      </c>
      <c r="P371">
        <f>Assumptions!$B$54/K371</f>
        <v/>
      </c>
      <c r="Q371">
        <f>H371*(1-Assumptions!$B$55)</f>
        <v/>
      </c>
      <c r="R371">
        <f>MIN(P371,Q371)</f>
        <v/>
      </c>
      <c r="S371">
        <f>Assumptions!$B$53/R371</f>
        <v/>
      </c>
      <c r="T371">
        <f>Assumptions!$B$27*(Assumptions!$B$64+$B$330/Assumptions!$B$27)/(Assumptions!$B$64+J371)</f>
        <v/>
      </c>
      <c r="U371">
        <f>IF(H371&lt;Assumptions!$B$27,Assumptions!$B$27/T371,1)</f>
        <v/>
      </c>
      <c r="V371">
        <f>Assumptions!$B$26*(Assumptions!$B$64+$B$330/Assumptions!$B$26)/(Assumptions!$B$64+J371)</f>
        <v/>
      </c>
      <c r="W371">
        <f>IF(H371&lt;Assumptions!$B$26,Assumptions!$B$26/V371,1)</f>
        <v/>
      </c>
    </row>
    <row r="372">
      <c r="A372" t="n">
        <v>39</v>
      </c>
      <c r="B372">
        <f>U371</f>
        <v/>
      </c>
      <c r="C372">
        <f>W371</f>
        <v/>
      </c>
      <c r="D372">
        <f>O371</f>
        <v/>
      </c>
      <c r="E372">
        <f>S371</f>
        <v/>
      </c>
      <c r="F372">
        <f>Assumptions!$B$16*B372</f>
        <v/>
      </c>
      <c r="G372">
        <f>Assumptions!$B$15*C372</f>
        <v/>
      </c>
      <c r="H372">
        <f>IF($B$326*($B$329/(($B$329*(1-$B$326)-$B$330)/((Assumptions!$B$9+Assumptions!$B$11+Assumptions!$B$12+Assumptions!$B$13+Assumptions!$B$14)+G372+F372+D372+E372)))&lt;Assumptions!$B$65,($B$329-$B$330)/(((Assumptions!$B$9+Assumptions!$B$11+Assumptions!$B$12+Assumptions!$B$13+Assumptions!$B$14)+G372+F372+D372+E372)+Assumptions!$B$65),($B$329*(1-$B$326)-$B$330)/((Assumptions!$B$9+Assumptions!$B$11+Assumptions!$B$12+Assumptions!$B$13+Assumptions!$B$14)+G372+F372+D372+E372))</f>
        <v/>
      </c>
      <c r="I372">
        <f>$B$329/H372</f>
        <v/>
      </c>
      <c r="J372">
        <f>$B$330/H372</f>
        <v/>
      </c>
      <c r="K372">
        <f>I372-J372</f>
        <v/>
      </c>
      <c r="L372">
        <f>Assumptions!$B$51/K372</f>
        <v/>
      </c>
      <c r="M372">
        <f>H372*(1-Assumptions!$B$52)</f>
        <v/>
      </c>
      <c r="N372">
        <f>MIN(L372,M372)</f>
        <v/>
      </c>
      <c r="O372">
        <f>Assumptions!$B$50/N372</f>
        <v/>
      </c>
      <c r="P372">
        <f>Assumptions!$B$54/K372</f>
        <v/>
      </c>
      <c r="Q372">
        <f>H372*(1-Assumptions!$B$55)</f>
        <v/>
      </c>
      <c r="R372">
        <f>MIN(P372,Q372)</f>
        <v/>
      </c>
      <c r="S372">
        <f>Assumptions!$B$53/R372</f>
        <v/>
      </c>
      <c r="T372">
        <f>Assumptions!$B$27*(Assumptions!$B$64+$B$330/Assumptions!$B$27)/(Assumptions!$B$64+J372)</f>
        <v/>
      </c>
      <c r="U372">
        <f>IF(H372&lt;Assumptions!$B$27,Assumptions!$B$27/T372,1)</f>
        <v/>
      </c>
      <c r="V372">
        <f>Assumptions!$B$26*(Assumptions!$B$64+$B$330/Assumptions!$B$26)/(Assumptions!$B$64+J372)</f>
        <v/>
      </c>
      <c r="W372">
        <f>IF(H372&lt;Assumptions!$B$26,Assumptions!$B$26/V372,1)</f>
        <v/>
      </c>
    </row>
    <row r="373">
      <c r="A373" t="n">
        <v>40</v>
      </c>
      <c r="B373">
        <f>U372</f>
        <v/>
      </c>
      <c r="C373">
        <f>W372</f>
        <v/>
      </c>
      <c r="D373">
        <f>O372</f>
        <v/>
      </c>
      <c r="E373">
        <f>S372</f>
        <v/>
      </c>
      <c r="F373">
        <f>Assumptions!$B$16*B373</f>
        <v/>
      </c>
      <c r="G373">
        <f>Assumptions!$B$15*C373</f>
        <v/>
      </c>
      <c r="H373">
        <f>IF($B$326*($B$329/(($B$329*(1-$B$326)-$B$330)/((Assumptions!$B$9+Assumptions!$B$11+Assumptions!$B$12+Assumptions!$B$13+Assumptions!$B$14)+G373+F373+D373+E373)))&lt;Assumptions!$B$65,($B$329-$B$330)/(((Assumptions!$B$9+Assumptions!$B$11+Assumptions!$B$12+Assumptions!$B$13+Assumptions!$B$14)+G373+F373+D373+E373)+Assumptions!$B$65),($B$329*(1-$B$326)-$B$330)/((Assumptions!$B$9+Assumptions!$B$11+Assumptions!$B$12+Assumptions!$B$13+Assumptions!$B$14)+G373+F373+D373+E373))</f>
        <v/>
      </c>
      <c r="I373">
        <f>$B$329/H373</f>
        <v/>
      </c>
      <c r="J373">
        <f>$B$330/H373</f>
        <v/>
      </c>
      <c r="K373">
        <f>I373-J373</f>
        <v/>
      </c>
      <c r="L373">
        <f>Assumptions!$B$51/K373</f>
        <v/>
      </c>
      <c r="M373">
        <f>H373*(1-Assumptions!$B$52)</f>
        <v/>
      </c>
      <c r="N373">
        <f>MIN(L373,M373)</f>
        <v/>
      </c>
      <c r="O373">
        <f>Assumptions!$B$50/N373</f>
        <v/>
      </c>
      <c r="P373">
        <f>Assumptions!$B$54/K373</f>
        <v/>
      </c>
      <c r="Q373">
        <f>H373*(1-Assumptions!$B$55)</f>
        <v/>
      </c>
      <c r="R373">
        <f>MIN(P373,Q373)</f>
        <v/>
      </c>
      <c r="S373">
        <f>Assumptions!$B$53/R373</f>
        <v/>
      </c>
      <c r="T373">
        <f>Assumptions!$B$27*(Assumptions!$B$64+$B$330/Assumptions!$B$27)/(Assumptions!$B$64+J373)</f>
        <v/>
      </c>
      <c r="U373">
        <f>IF(H373&lt;Assumptions!$B$27,Assumptions!$B$27/T373,1)</f>
        <v/>
      </c>
      <c r="V373">
        <f>Assumptions!$B$26*(Assumptions!$B$64+$B$330/Assumptions!$B$26)/(Assumptions!$B$64+J373)</f>
        <v/>
      </c>
      <c r="W373">
        <f>IF(H373&lt;Assumptions!$B$26,Assumptions!$B$26/V373,1)</f>
        <v/>
      </c>
    </row>
    <row r="374">
      <c r="A374" t="n">
        <v>41</v>
      </c>
      <c r="B374">
        <f>U373</f>
        <v/>
      </c>
      <c r="C374">
        <f>W373</f>
        <v/>
      </c>
      <c r="D374">
        <f>O373</f>
        <v/>
      </c>
      <c r="E374">
        <f>S373</f>
        <v/>
      </c>
      <c r="F374">
        <f>Assumptions!$B$16*B374</f>
        <v/>
      </c>
      <c r="G374">
        <f>Assumptions!$B$15*C374</f>
        <v/>
      </c>
      <c r="H374">
        <f>IF($B$326*($B$329/(($B$329*(1-$B$326)-$B$330)/((Assumptions!$B$9+Assumptions!$B$11+Assumptions!$B$12+Assumptions!$B$13+Assumptions!$B$14)+G374+F374+D374+E374)))&lt;Assumptions!$B$65,($B$329-$B$330)/(((Assumptions!$B$9+Assumptions!$B$11+Assumptions!$B$12+Assumptions!$B$13+Assumptions!$B$14)+G374+F374+D374+E374)+Assumptions!$B$65),($B$329*(1-$B$326)-$B$330)/((Assumptions!$B$9+Assumptions!$B$11+Assumptions!$B$12+Assumptions!$B$13+Assumptions!$B$14)+G374+F374+D374+E374))</f>
        <v/>
      </c>
      <c r="I374">
        <f>$B$329/H374</f>
        <v/>
      </c>
      <c r="J374">
        <f>$B$330/H374</f>
        <v/>
      </c>
      <c r="K374">
        <f>I374-J374</f>
        <v/>
      </c>
      <c r="L374">
        <f>Assumptions!$B$51/K374</f>
        <v/>
      </c>
      <c r="M374">
        <f>H374*(1-Assumptions!$B$52)</f>
        <v/>
      </c>
      <c r="N374">
        <f>MIN(L374,M374)</f>
        <v/>
      </c>
      <c r="O374">
        <f>Assumptions!$B$50/N374</f>
        <v/>
      </c>
      <c r="P374">
        <f>Assumptions!$B$54/K374</f>
        <v/>
      </c>
      <c r="Q374">
        <f>H374*(1-Assumptions!$B$55)</f>
        <v/>
      </c>
      <c r="R374">
        <f>MIN(P374,Q374)</f>
        <v/>
      </c>
      <c r="S374">
        <f>Assumptions!$B$53/R374</f>
        <v/>
      </c>
      <c r="T374">
        <f>Assumptions!$B$27*(Assumptions!$B$64+$B$330/Assumptions!$B$27)/(Assumptions!$B$64+J374)</f>
        <v/>
      </c>
      <c r="U374">
        <f>IF(H374&lt;Assumptions!$B$27,Assumptions!$B$27/T374,1)</f>
        <v/>
      </c>
      <c r="V374">
        <f>Assumptions!$B$26*(Assumptions!$B$64+$B$330/Assumptions!$B$26)/(Assumptions!$B$64+J374)</f>
        <v/>
      </c>
      <c r="W374">
        <f>IF(H374&lt;Assumptions!$B$26,Assumptions!$B$26/V374,1)</f>
        <v/>
      </c>
    </row>
    <row r="375">
      <c r="A375" t="n">
        <v>42</v>
      </c>
      <c r="B375">
        <f>U374</f>
        <v/>
      </c>
      <c r="C375">
        <f>W374</f>
        <v/>
      </c>
      <c r="D375">
        <f>O374</f>
        <v/>
      </c>
      <c r="E375">
        <f>S374</f>
        <v/>
      </c>
      <c r="F375">
        <f>Assumptions!$B$16*B375</f>
        <v/>
      </c>
      <c r="G375">
        <f>Assumptions!$B$15*C375</f>
        <v/>
      </c>
      <c r="H375">
        <f>IF($B$326*($B$329/(($B$329*(1-$B$326)-$B$330)/((Assumptions!$B$9+Assumptions!$B$11+Assumptions!$B$12+Assumptions!$B$13+Assumptions!$B$14)+G375+F375+D375+E375)))&lt;Assumptions!$B$65,($B$329-$B$330)/(((Assumptions!$B$9+Assumptions!$B$11+Assumptions!$B$12+Assumptions!$B$13+Assumptions!$B$14)+G375+F375+D375+E375)+Assumptions!$B$65),($B$329*(1-$B$326)-$B$330)/((Assumptions!$B$9+Assumptions!$B$11+Assumptions!$B$12+Assumptions!$B$13+Assumptions!$B$14)+G375+F375+D375+E375))</f>
        <v/>
      </c>
      <c r="I375">
        <f>$B$329/H375</f>
        <v/>
      </c>
      <c r="J375">
        <f>$B$330/H375</f>
        <v/>
      </c>
      <c r="K375">
        <f>I375-J375</f>
        <v/>
      </c>
      <c r="L375">
        <f>Assumptions!$B$51/K375</f>
        <v/>
      </c>
      <c r="M375">
        <f>H375*(1-Assumptions!$B$52)</f>
        <v/>
      </c>
      <c r="N375">
        <f>MIN(L375,M375)</f>
        <v/>
      </c>
      <c r="O375">
        <f>Assumptions!$B$50/N375</f>
        <v/>
      </c>
      <c r="P375">
        <f>Assumptions!$B$54/K375</f>
        <v/>
      </c>
      <c r="Q375">
        <f>H375*(1-Assumptions!$B$55)</f>
        <v/>
      </c>
      <c r="R375">
        <f>MIN(P375,Q375)</f>
        <v/>
      </c>
      <c r="S375">
        <f>Assumptions!$B$53/R375</f>
        <v/>
      </c>
      <c r="T375">
        <f>Assumptions!$B$27*(Assumptions!$B$64+$B$330/Assumptions!$B$27)/(Assumptions!$B$64+J375)</f>
        <v/>
      </c>
      <c r="U375">
        <f>IF(H375&lt;Assumptions!$B$27,Assumptions!$B$27/T375,1)</f>
        <v/>
      </c>
      <c r="V375">
        <f>Assumptions!$B$26*(Assumptions!$B$64+$B$330/Assumptions!$B$26)/(Assumptions!$B$64+J375)</f>
        <v/>
      </c>
      <c r="W375">
        <f>IF(H375&lt;Assumptions!$B$26,Assumptions!$B$26/V375,1)</f>
        <v/>
      </c>
    </row>
    <row r="376">
      <c r="A376" t="n">
        <v>43</v>
      </c>
      <c r="B376">
        <f>U375</f>
        <v/>
      </c>
      <c r="C376">
        <f>W375</f>
        <v/>
      </c>
      <c r="D376">
        <f>O375</f>
        <v/>
      </c>
      <c r="E376">
        <f>S375</f>
        <v/>
      </c>
      <c r="F376">
        <f>Assumptions!$B$16*B376</f>
        <v/>
      </c>
      <c r="G376">
        <f>Assumptions!$B$15*C376</f>
        <v/>
      </c>
      <c r="H376">
        <f>IF($B$326*($B$329/(($B$329*(1-$B$326)-$B$330)/((Assumptions!$B$9+Assumptions!$B$11+Assumptions!$B$12+Assumptions!$B$13+Assumptions!$B$14)+G376+F376+D376+E376)))&lt;Assumptions!$B$65,($B$329-$B$330)/(((Assumptions!$B$9+Assumptions!$B$11+Assumptions!$B$12+Assumptions!$B$13+Assumptions!$B$14)+G376+F376+D376+E376)+Assumptions!$B$65),($B$329*(1-$B$326)-$B$330)/((Assumptions!$B$9+Assumptions!$B$11+Assumptions!$B$12+Assumptions!$B$13+Assumptions!$B$14)+G376+F376+D376+E376))</f>
        <v/>
      </c>
      <c r="I376">
        <f>$B$329/H376</f>
        <v/>
      </c>
      <c r="J376">
        <f>$B$330/H376</f>
        <v/>
      </c>
      <c r="K376">
        <f>I376-J376</f>
        <v/>
      </c>
      <c r="L376">
        <f>Assumptions!$B$51/K376</f>
        <v/>
      </c>
      <c r="M376">
        <f>H376*(1-Assumptions!$B$52)</f>
        <v/>
      </c>
      <c r="N376">
        <f>MIN(L376,M376)</f>
        <v/>
      </c>
      <c r="O376">
        <f>Assumptions!$B$50/N376</f>
        <v/>
      </c>
      <c r="P376">
        <f>Assumptions!$B$54/K376</f>
        <v/>
      </c>
      <c r="Q376">
        <f>H376*(1-Assumptions!$B$55)</f>
        <v/>
      </c>
      <c r="R376">
        <f>MIN(P376,Q376)</f>
        <v/>
      </c>
      <c r="S376">
        <f>Assumptions!$B$53/R376</f>
        <v/>
      </c>
      <c r="T376">
        <f>Assumptions!$B$27*(Assumptions!$B$64+$B$330/Assumptions!$B$27)/(Assumptions!$B$64+J376)</f>
        <v/>
      </c>
      <c r="U376">
        <f>IF(H376&lt;Assumptions!$B$27,Assumptions!$B$27/T376,1)</f>
        <v/>
      </c>
      <c r="V376">
        <f>Assumptions!$B$26*(Assumptions!$B$64+$B$330/Assumptions!$B$26)/(Assumptions!$B$64+J376)</f>
        <v/>
      </c>
      <c r="W376">
        <f>IF(H376&lt;Assumptions!$B$26,Assumptions!$B$26/V376,1)</f>
        <v/>
      </c>
    </row>
    <row r="377">
      <c r="A377" t="n">
        <v>44</v>
      </c>
      <c r="B377">
        <f>U376</f>
        <v/>
      </c>
      <c r="C377">
        <f>W376</f>
        <v/>
      </c>
      <c r="D377">
        <f>O376</f>
        <v/>
      </c>
      <c r="E377">
        <f>S376</f>
        <v/>
      </c>
      <c r="F377">
        <f>Assumptions!$B$16*B377</f>
        <v/>
      </c>
      <c r="G377">
        <f>Assumptions!$B$15*C377</f>
        <v/>
      </c>
      <c r="H377">
        <f>IF($B$326*($B$329/(($B$329*(1-$B$326)-$B$330)/((Assumptions!$B$9+Assumptions!$B$11+Assumptions!$B$12+Assumptions!$B$13+Assumptions!$B$14)+G377+F377+D377+E377)))&lt;Assumptions!$B$65,($B$329-$B$330)/(((Assumptions!$B$9+Assumptions!$B$11+Assumptions!$B$12+Assumptions!$B$13+Assumptions!$B$14)+G377+F377+D377+E377)+Assumptions!$B$65),($B$329*(1-$B$326)-$B$330)/((Assumptions!$B$9+Assumptions!$B$11+Assumptions!$B$12+Assumptions!$B$13+Assumptions!$B$14)+G377+F377+D377+E377))</f>
        <v/>
      </c>
      <c r="I377">
        <f>$B$329/H377</f>
        <v/>
      </c>
      <c r="J377">
        <f>$B$330/H377</f>
        <v/>
      </c>
      <c r="K377">
        <f>I377-J377</f>
        <v/>
      </c>
      <c r="L377">
        <f>Assumptions!$B$51/K377</f>
        <v/>
      </c>
      <c r="M377">
        <f>H377*(1-Assumptions!$B$52)</f>
        <v/>
      </c>
      <c r="N377">
        <f>MIN(L377,M377)</f>
        <v/>
      </c>
      <c r="O377">
        <f>Assumptions!$B$50/N377</f>
        <v/>
      </c>
      <c r="P377">
        <f>Assumptions!$B$54/K377</f>
        <v/>
      </c>
      <c r="Q377">
        <f>H377*(1-Assumptions!$B$55)</f>
        <v/>
      </c>
      <c r="R377">
        <f>MIN(P377,Q377)</f>
        <v/>
      </c>
      <c r="S377">
        <f>Assumptions!$B$53/R377</f>
        <v/>
      </c>
      <c r="T377">
        <f>Assumptions!$B$27*(Assumptions!$B$64+$B$330/Assumptions!$B$27)/(Assumptions!$B$64+J377)</f>
        <v/>
      </c>
      <c r="U377">
        <f>IF(H377&lt;Assumptions!$B$27,Assumptions!$B$27/T377,1)</f>
        <v/>
      </c>
      <c r="V377">
        <f>Assumptions!$B$26*(Assumptions!$B$64+$B$330/Assumptions!$B$26)/(Assumptions!$B$64+J377)</f>
        <v/>
      </c>
      <c r="W377">
        <f>IF(H377&lt;Assumptions!$B$26,Assumptions!$B$26/V377,1)</f>
        <v/>
      </c>
    </row>
    <row r="378">
      <c r="A378" t="n">
        <v>45</v>
      </c>
      <c r="B378">
        <f>U377</f>
        <v/>
      </c>
      <c r="C378">
        <f>W377</f>
        <v/>
      </c>
      <c r="D378">
        <f>O377</f>
        <v/>
      </c>
      <c r="E378">
        <f>S377</f>
        <v/>
      </c>
      <c r="F378">
        <f>Assumptions!$B$16*B378</f>
        <v/>
      </c>
      <c r="G378">
        <f>Assumptions!$B$15*C378</f>
        <v/>
      </c>
      <c r="H378">
        <f>IF($B$326*($B$329/(($B$329*(1-$B$326)-$B$330)/((Assumptions!$B$9+Assumptions!$B$11+Assumptions!$B$12+Assumptions!$B$13+Assumptions!$B$14)+G378+F378+D378+E378)))&lt;Assumptions!$B$65,($B$329-$B$330)/(((Assumptions!$B$9+Assumptions!$B$11+Assumptions!$B$12+Assumptions!$B$13+Assumptions!$B$14)+G378+F378+D378+E378)+Assumptions!$B$65),($B$329*(1-$B$326)-$B$330)/((Assumptions!$B$9+Assumptions!$B$11+Assumptions!$B$12+Assumptions!$B$13+Assumptions!$B$14)+G378+F378+D378+E378))</f>
        <v/>
      </c>
      <c r="I378">
        <f>$B$329/H378</f>
        <v/>
      </c>
      <c r="J378">
        <f>$B$330/H378</f>
        <v/>
      </c>
      <c r="K378">
        <f>I378-J378</f>
        <v/>
      </c>
      <c r="L378">
        <f>Assumptions!$B$51/K378</f>
        <v/>
      </c>
      <c r="M378">
        <f>H378*(1-Assumptions!$B$52)</f>
        <v/>
      </c>
      <c r="N378">
        <f>MIN(L378,M378)</f>
        <v/>
      </c>
      <c r="O378">
        <f>Assumptions!$B$50/N378</f>
        <v/>
      </c>
      <c r="P378">
        <f>Assumptions!$B$54/K378</f>
        <v/>
      </c>
      <c r="Q378">
        <f>H378*(1-Assumptions!$B$55)</f>
        <v/>
      </c>
      <c r="R378">
        <f>MIN(P378,Q378)</f>
        <v/>
      </c>
      <c r="S378">
        <f>Assumptions!$B$53/R378</f>
        <v/>
      </c>
      <c r="T378">
        <f>Assumptions!$B$27*(Assumptions!$B$64+$B$330/Assumptions!$B$27)/(Assumptions!$B$64+J378)</f>
        <v/>
      </c>
      <c r="U378">
        <f>IF(H378&lt;Assumptions!$B$27,Assumptions!$B$27/T378,1)</f>
        <v/>
      </c>
      <c r="V378">
        <f>Assumptions!$B$26*(Assumptions!$B$64+$B$330/Assumptions!$B$26)/(Assumptions!$B$64+J378)</f>
        <v/>
      </c>
      <c r="W378">
        <f>IF(H378&lt;Assumptions!$B$26,Assumptions!$B$26/V378,1)</f>
        <v/>
      </c>
    </row>
    <row r="379">
      <c r="A379" t="n">
        <v>46</v>
      </c>
      <c r="B379">
        <f>U378</f>
        <v/>
      </c>
      <c r="C379">
        <f>W378</f>
        <v/>
      </c>
      <c r="D379">
        <f>O378</f>
        <v/>
      </c>
      <c r="E379">
        <f>S378</f>
        <v/>
      </c>
      <c r="F379">
        <f>Assumptions!$B$16*B379</f>
        <v/>
      </c>
      <c r="G379">
        <f>Assumptions!$B$15*C379</f>
        <v/>
      </c>
      <c r="H379">
        <f>IF($B$326*($B$329/(($B$329*(1-$B$326)-$B$330)/((Assumptions!$B$9+Assumptions!$B$11+Assumptions!$B$12+Assumptions!$B$13+Assumptions!$B$14)+G379+F379+D379+E379)))&lt;Assumptions!$B$65,($B$329-$B$330)/(((Assumptions!$B$9+Assumptions!$B$11+Assumptions!$B$12+Assumptions!$B$13+Assumptions!$B$14)+G379+F379+D379+E379)+Assumptions!$B$65),($B$329*(1-$B$326)-$B$330)/((Assumptions!$B$9+Assumptions!$B$11+Assumptions!$B$12+Assumptions!$B$13+Assumptions!$B$14)+G379+F379+D379+E379))</f>
        <v/>
      </c>
      <c r="I379">
        <f>$B$329/H379</f>
        <v/>
      </c>
      <c r="J379">
        <f>$B$330/H379</f>
        <v/>
      </c>
      <c r="K379">
        <f>I379-J379</f>
        <v/>
      </c>
      <c r="L379">
        <f>Assumptions!$B$51/K379</f>
        <v/>
      </c>
      <c r="M379">
        <f>H379*(1-Assumptions!$B$52)</f>
        <v/>
      </c>
      <c r="N379">
        <f>MIN(L379,M379)</f>
        <v/>
      </c>
      <c r="O379">
        <f>Assumptions!$B$50/N379</f>
        <v/>
      </c>
      <c r="P379">
        <f>Assumptions!$B$54/K379</f>
        <v/>
      </c>
      <c r="Q379">
        <f>H379*(1-Assumptions!$B$55)</f>
        <v/>
      </c>
      <c r="R379">
        <f>MIN(P379,Q379)</f>
        <v/>
      </c>
      <c r="S379">
        <f>Assumptions!$B$53/R379</f>
        <v/>
      </c>
      <c r="T379">
        <f>Assumptions!$B$27*(Assumptions!$B$64+$B$330/Assumptions!$B$27)/(Assumptions!$B$64+J379)</f>
        <v/>
      </c>
      <c r="U379">
        <f>IF(H379&lt;Assumptions!$B$27,Assumptions!$B$27/T379,1)</f>
        <v/>
      </c>
      <c r="V379">
        <f>Assumptions!$B$26*(Assumptions!$B$64+$B$330/Assumptions!$B$26)/(Assumptions!$B$64+J379)</f>
        <v/>
      </c>
      <c r="W379">
        <f>IF(H379&lt;Assumptions!$B$26,Assumptions!$B$26/V379,1)</f>
        <v/>
      </c>
    </row>
    <row r="380">
      <c r="A380" t="n">
        <v>47</v>
      </c>
      <c r="B380">
        <f>U379</f>
        <v/>
      </c>
      <c r="C380">
        <f>W379</f>
        <v/>
      </c>
      <c r="D380">
        <f>O379</f>
        <v/>
      </c>
      <c r="E380">
        <f>S379</f>
        <v/>
      </c>
      <c r="F380">
        <f>Assumptions!$B$16*B380</f>
        <v/>
      </c>
      <c r="G380">
        <f>Assumptions!$B$15*C380</f>
        <v/>
      </c>
      <c r="H380">
        <f>IF($B$326*($B$329/(($B$329*(1-$B$326)-$B$330)/((Assumptions!$B$9+Assumptions!$B$11+Assumptions!$B$12+Assumptions!$B$13+Assumptions!$B$14)+G380+F380+D380+E380)))&lt;Assumptions!$B$65,($B$329-$B$330)/(((Assumptions!$B$9+Assumptions!$B$11+Assumptions!$B$12+Assumptions!$B$13+Assumptions!$B$14)+G380+F380+D380+E380)+Assumptions!$B$65),($B$329*(1-$B$326)-$B$330)/((Assumptions!$B$9+Assumptions!$B$11+Assumptions!$B$12+Assumptions!$B$13+Assumptions!$B$14)+G380+F380+D380+E380))</f>
        <v/>
      </c>
      <c r="I380">
        <f>$B$329/H380</f>
        <v/>
      </c>
      <c r="J380">
        <f>$B$330/H380</f>
        <v/>
      </c>
      <c r="K380">
        <f>I380-J380</f>
        <v/>
      </c>
      <c r="L380">
        <f>Assumptions!$B$51/K380</f>
        <v/>
      </c>
      <c r="M380">
        <f>H380*(1-Assumptions!$B$52)</f>
        <v/>
      </c>
      <c r="N380">
        <f>MIN(L380,M380)</f>
        <v/>
      </c>
      <c r="O380">
        <f>Assumptions!$B$50/N380</f>
        <v/>
      </c>
      <c r="P380">
        <f>Assumptions!$B$54/K380</f>
        <v/>
      </c>
      <c r="Q380">
        <f>H380*(1-Assumptions!$B$55)</f>
        <v/>
      </c>
      <c r="R380">
        <f>MIN(P380,Q380)</f>
        <v/>
      </c>
      <c r="S380">
        <f>Assumptions!$B$53/R380</f>
        <v/>
      </c>
      <c r="T380">
        <f>Assumptions!$B$27*(Assumptions!$B$64+$B$330/Assumptions!$B$27)/(Assumptions!$B$64+J380)</f>
        <v/>
      </c>
      <c r="U380">
        <f>IF(H380&lt;Assumptions!$B$27,Assumptions!$B$27/T380,1)</f>
        <v/>
      </c>
      <c r="V380">
        <f>Assumptions!$B$26*(Assumptions!$B$64+$B$330/Assumptions!$B$26)/(Assumptions!$B$64+J380)</f>
        <v/>
      </c>
      <c r="W380">
        <f>IF(H380&lt;Assumptions!$B$26,Assumptions!$B$26/V380,1)</f>
        <v/>
      </c>
    </row>
    <row r="381">
      <c r="A381" t="n">
        <v>48</v>
      </c>
      <c r="B381">
        <f>U380</f>
        <v/>
      </c>
      <c r="C381">
        <f>W380</f>
        <v/>
      </c>
      <c r="D381">
        <f>O380</f>
        <v/>
      </c>
      <c r="E381">
        <f>S380</f>
        <v/>
      </c>
      <c r="F381">
        <f>Assumptions!$B$16*B381</f>
        <v/>
      </c>
      <c r="G381">
        <f>Assumptions!$B$15*C381</f>
        <v/>
      </c>
      <c r="H381">
        <f>IF($B$326*($B$329/(($B$329*(1-$B$326)-$B$330)/((Assumptions!$B$9+Assumptions!$B$11+Assumptions!$B$12+Assumptions!$B$13+Assumptions!$B$14)+G381+F381+D381+E381)))&lt;Assumptions!$B$65,($B$329-$B$330)/(((Assumptions!$B$9+Assumptions!$B$11+Assumptions!$B$12+Assumptions!$B$13+Assumptions!$B$14)+G381+F381+D381+E381)+Assumptions!$B$65),($B$329*(1-$B$326)-$B$330)/((Assumptions!$B$9+Assumptions!$B$11+Assumptions!$B$12+Assumptions!$B$13+Assumptions!$B$14)+G381+F381+D381+E381))</f>
        <v/>
      </c>
      <c r="I381">
        <f>$B$329/H381</f>
        <v/>
      </c>
      <c r="J381">
        <f>$B$330/H381</f>
        <v/>
      </c>
      <c r="K381">
        <f>I381-J381</f>
        <v/>
      </c>
      <c r="L381">
        <f>Assumptions!$B$51/K381</f>
        <v/>
      </c>
      <c r="M381">
        <f>H381*(1-Assumptions!$B$52)</f>
        <v/>
      </c>
      <c r="N381">
        <f>MIN(L381,M381)</f>
        <v/>
      </c>
      <c r="O381">
        <f>Assumptions!$B$50/N381</f>
        <v/>
      </c>
      <c r="P381">
        <f>Assumptions!$B$54/K381</f>
        <v/>
      </c>
      <c r="Q381">
        <f>H381*(1-Assumptions!$B$55)</f>
        <v/>
      </c>
      <c r="R381">
        <f>MIN(P381,Q381)</f>
        <v/>
      </c>
      <c r="S381">
        <f>Assumptions!$B$53/R381</f>
        <v/>
      </c>
      <c r="T381">
        <f>Assumptions!$B$27*(Assumptions!$B$64+$B$330/Assumptions!$B$27)/(Assumptions!$B$64+J381)</f>
        <v/>
      </c>
      <c r="U381">
        <f>IF(H381&lt;Assumptions!$B$27,Assumptions!$B$27/T381,1)</f>
        <v/>
      </c>
      <c r="V381">
        <f>Assumptions!$B$26*(Assumptions!$B$64+$B$330/Assumptions!$B$26)/(Assumptions!$B$64+J381)</f>
        <v/>
      </c>
      <c r="W381">
        <f>IF(H381&lt;Assumptions!$B$26,Assumptions!$B$26/V381,1)</f>
        <v/>
      </c>
    </row>
    <row r="382">
      <c r="A382" t="n">
        <v>49</v>
      </c>
      <c r="B382">
        <f>U381</f>
        <v/>
      </c>
      <c r="C382">
        <f>W381</f>
        <v/>
      </c>
      <c r="D382">
        <f>O381</f>
        <v/>
      </c>
      <c r="E382">
        <f>S381</f>
        <v/>
      </c>
      <c r="F382">
        <f>Assumptions!$B$16*B382</f>
        <v/>
      </c>
      <c r="G382">
        <f>Assumptions!$B$15*C382</f>
        <v/>
      </c>
      <c r="H382">
        <f>IF($B$326*($B$329/(($B$329*(1-$B$326)-$B$330)/((Assumptions!$B$9+Assumptions!$B$11+Assumptions!$B$12+Assumptions!$B$13+Assumptions!$B$14)+G382+F382+D382+E382)))&lt;Assumptions!$B$65,($B$329-$B$330)/(((Assumptions!$B$9+Assumptions!$B$11+Assumptions!$B$12+Assumptions!$B$13+Assumptions!$B$14)+G382+F382+D382+E382)+Assumptions!$B$65),($B$329*(1-$B$326)-$B$330)/((Assumptions!$B$9+Assumptions!$B$11+Assumptions!$B$12+Assumptions!$B$13+Assumptions!$B$14)+G382+F382+D382+E382))</f>
        <v/>
      </c>
      <c r="I382">
        <f>$B$329/H382</f>
        <v/>
      </c>
      <c r="J382">
        <f>$B$330/H382</f>
        <v/>
      </c>
      <c r="K382">
        <f>I382-J382</f>
        <v/>
      </c>
      <c r="L382">
        <f>Assumptions!$B$51/K382</f>
        <v/>
      </c>
      <c r="M382">
        <f>H382*(1-Assumptions!$B$52)</f>
        <v/>
      </c>
      <c r="N382">
        <f>MIN(L382,M382)</f>
        <v/>
      </c>
      <c r="O382">
        <f>Assumptions!$B$50/N382</f>
        <v/>
      </c>
      <c r="P382">
        <f>Assumptions!$B$54/K382</f>
        <v/>
      </c>
      <c r="Q382">
        <f>H382*(1-Assumptions!$B$55)</f>
        <v/>
      </c>
      <c r="R382">
        <f>MIN(P382,Q382)</f>
        <v/>
      </c>
      <c r="S382">
        <f>Assumptions!$B$53/R382</f>
        <v/>
      </c>
      <c r="T382">
        <f>Assumptions!$B$27*(Assumptions!$B$64+$B$330/Assumptions!$B$27)/(Assumptions!$B$64+J382)</f>
        <v/>
      </c>
      <c r="U382">
        <f>IF(H382&lt;Assumptions!$B$27,Assumptions!$B$27/T382,1)</f>
        <v/>
      </c>
      <c r="V382">
        <f>Assumptions!$B$26*(Assumptions!$B$64+$B$330/Assumptions!$B$26)/(Assumptions!$B$64+J382)</f>
        <v/>
      </c>
      <c r="W382">
        <f>IF(H382&lt;Assumptions!$B$26,Assumptions!$B$26/V382,1)</f>
        <v/>
      </c>
    </row>
    <row r="400">
      <c r="A400" t="inlineStr">
        <is>
          <t>Cell esop_13_pre_1400M</t>
        </is>
      </c>
    </row>
    <row r="401">
      <c r="A401" t="inlineStr">
        <is>
          <t>esop</t>
        </is>
      </c>
      <c r="B401" t="n">
        <v>0.13</v>
      </c>
    </row>
    <row r="402">
      <c r="A402" t="inlineStr">
        <is>
          <t>pre_M ($M)</t>
        </is>
      </c>
      <c r="B402" t="n">
        <v>1400</v>
      </c>
    </row>
    <row r="403">
      <c r="A403" t="inlineStr">
        <is>
          <t>pre_money $</t>
        </is>
      </c>
      <c r="B403">
        <f>B402*1000000</f>
        <v/>
      </c>
    </row>
    <row r="404">
      <c r="A404" t="inlineStr">
        <is>
          <t>post_money $</t>
        </is>
      </c>
      <c r="B404">
        <f>B403+Assumptions!$B$41</f>
        <v/>
      </c>
    </row>
    <row r="405">
      <c r="A405" t="inlineStr">
        <is>
          <t>primary raise $</t>
        </is>
      </c>
      <c r="B405">
        <f>Assumptions!$B$41</f>
        <v/>
      </c>
    </row>
    <row r="407">
      <c r="A407" t="inlineStr">
        <is>
          <t>iter</t>
        </is>
      </c>
      <c r="B407" t="inlineStr">
        <is>
          <t>r_E_p</t>
        </is>
      </c>
      <c r="C407" t="inlineStr">
        <is>
          <t>r_D_p</t>
        </is>
      </c>
      <c r="D407" t="inlineStr">
        <is>
          <t>N_A_p</t>
        </is>
      </c>
      <c r="E407" t="inlineStr">
        <is>
          <t>N_B_p</t>
        </is>
      </c>
      <c r="F407" t="inlineStr">
        <is>
          <t>E_adj</t>
        </is>
      </c>
      <c r="G407" t="inlineStr">
        <is>
          <t>D_adj</t>
        </is>
      </c>
      <c r="H407" t="inlineStr">
        <is>
          <t>F_PPS</t>
        </is>
      </c>
      <c r="I407" t="inlineStr">
        <is>
          <t>T_F</t>
        </is>
      </c>
      <c r="J407" t="inlineStr">
        <is>
          <t>new_F</t>
        </is>
      </c>
      <c r="K407" t="inlineStr">
        <is>
          <t>pre_FD</t>
        </is>
      </c>
      <c r="L407" t="inlineStr">
        <is>
          <t>capA</t>
        </is>
      </c>
      <c r="M407" t="inlineStr">
        <is>
          <t>discA</t>
        </is>
      </c>
      <c r="N407" t="inlineStr">
        <is>
          <t>cpA</t>
        </is>
      </c>
      <c r="O407" t="inlineStr">
        <is>
          <t>NA</t>
        </is>
      </c>
      <c r="P407" t="inlineStr">
        <is>
          <t>capB</t>
        </is>
      </c>
      <c r="Q407" t="inlineStr">
        <is>
          <t>discB</t>
        </is>
      </c>
      <c r="R407" t="inlineStr">
        <is>
          <t>cpB</t>
        </is>
      </c>
      <c r="S407" t="inlineStr">
        <is>
          <t>NB</t>
        </is>
      </c>
      <c r="T407" t="inlineStr">
        <is>
          <t>NCP_E</t>
        </is>
      </c>
      <c r="U407" t="inlineStr">
        <is>
          <t>r_E_n</t>
        </is>
      </c>
      <c r="V407" t="inlineStr">
        <is>
          <t>NCP_D</t>
        </is>
      </c>
      <c r="W407" t="inlineStr">
        <is>
          <t>r_D_n</t>
        </is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>
        <f>Assumptions!$B$16*B408</f>
        <v/>
      </c>
      <c r="G408">
        <f>Assumptions!$B$15*C408</f>
        <v/>
      </c>
      <c r="H408">
        <f>IF($B$401*($B$404/(($B$404*(1-$B$401)-$B$405)/((Assumptions!$B$9+Assumptions!$B$11+Assumptions!$B$12+Assumptions!$B$13+Assumptions!$B$14)+G408+F408+D408+E408)))&lt;Assumptions!$B$65,($B$404-$B$405)/(((Assumptions!$B$9+Assumptions!$B$11+Assumptions!$B$12+Assumptions!$B$13+Assumptions!$B$14)+G408+F408+D408+E408)+Assumptions!$B$65),($B$404*(1-$B$401)-$B$405)/((Assumptions!$B$9+Assumptions!$B$11+Assumptions!$B$12+Assumptions!$B$13+Assumptions!$B$14)+G408+F408+D408+E408))</f>
        <v/>
      </c>
      <c r="I408">
        <f>$B$404/H408</f>
        <v/>
      </c>
      <c r="J408">
        <f>$B$405/H408</f>
        <v/>
      </c>
      <c r="K408">
        <f>I408-J408</f>
        <v/>
      </c>
      <c r="L408">
        <f>Assumptions!$B$51/K408</f>
        <v/>
      </c>
      <c r="M408">
        <f>H408*(1-Assumptions!$B$52)</f>
        <v/>
      </c>
      <c r="N408">
        <f>MIN(L408,M408)</f>
        <v/>
      </c>
      <c r="O408">
        <f>Assumptions!$B$50/N408</f>
        <v/>
      </c>
      <c r="P408">
        <f>Assumptions!$B$54/K408</f>
        <v/>
      </c>
      <c r="Q408">
        <f>H408*(1-Assumptions!$B$55)</f>
        <v/>
      </c>
      <c r="R408">
        <f>MIN(P408,Q408)</f>
        <v/>
      </c>
      <c r="S408">
        <f>Assumptions!$B$53/R408</f>
        <v/>
      </c>
      <c r="T408">
        <f>Assumptions!$B$27*(Assumptions!$B$64+$B$405/Assumptions!$B$27)/(Assumptions!$B$64+J408)</f>
        <v/>
      </c>
      <c r="U408">
        <f>IF(H408&lt;Assumptions!$B$27,Assumptions!$B$27/T408,1)</f>
        <v/>
      </c>
      <c r="V408">
        <f>Assumptions!$B$26*(Assumptions!$B$64+$B$405/Assumptions!$B$26)/(Assumptions!$B$64+J408)</f>
        <v/>
      </c>
      <c r="W408">
        <f>IF(H408&lt;Assumptions!$B$26,Assumptions!$B$26/V408,1)</f>
        <v/>
      </c>
    </row>
    <row r="409">
      <c r="A409" t="n">
        <v>1</v>
      </c>
      <c r="B409">
        <f>U408</f>
        <v/>
      </c>
      <c r="C409">
        <f>W408</f>
        <v/>
      </c>
      <c r="D409">
        <f>O408</f>
        <v/>
      </c>
      <c r="E409">
        <f>S408</f>
        <v/>
      </c>
      <c r="F409">
        <f>Assumptions!$B$16*B409</f>
        <v/>
      </c>
      <c r="G409">
        <f>Assumptions!$B$15*C409</f>
        <v/>
      </c>
      <c r="H409">
        <f>IF($B$401*($B$404/(($B$404*(1-$B$401)-$B$405)/((Assumptions!$B$9+Assumptions!$B$11+Assumptions!$B$12+Assumptions!$B$13+Assumptions!$B$14)+G409+F409+D409+E409)))&lt;Assumptions!$B$65,($B$404-$B$405)/(((Assumptions!$B$9+Assumptions!$B$11+Assumptions!$B$12+Assumptions!$B$13+Assumptions!$B$14)+G409+F409+D409+E409)+Assumptions!$B$65),($B$404*(1-$B$401)-$B$405)/((Assumptions!$B$9+Assumptions!$B$11+Assumptions!$B$12+Assumptions!$B$13+Assumptions!$B$14)+G409+F409+D409+E409))</f>
        <v/>
      </c>
      <c r="I409">
        <f>$B$404/H409</f>
        <v/>
      </c>
      <c r="J409">
        <f>$B$405/H409</f>
        <v/>
      </c>
      <c r="K409">
        <f>I409-J409</f>
        <v/>
      </c>
      <c r="L409">
        <f>Assumptions!$B$51/K409</f>
        <v/>
      </c>
      <c r="M409">
        <f>H409*(1-Assumptions!$B$52)</f>
        <v/>
      </c>
      <c r="N409">
        <f>MIN(L409,M409)</f>
        <v/>
      </c>
      <c r="O409">
        <f>Assumptions!$B$50/N409</f>
        <v/>
      </c>
      <c r="P409">
        <f>Assumptions!$B$54/K409</f>
        <v/>
      </c>
      <c r="Q409">
        <f>H409*(1-Assumptions!$B$55)</f>
        <v/>
      </c>
      <c r="R409">
        <f>MIN(P409,Q409)</f>
        <v/>
      </c>
      <c r="S409">
        <f>Assumptions!$B$53/R409</f>
        <v/>
      </c>
      <c r="T409">
        <f>Assumptions!$B$27*(Assumptions!$B$64+$B$405/Assumptions!$B$27)/(Assumptions!$B$64+J409)</f>
        <v/>
      </c>
      <c r="U409">
        <f>IF(H409&lt;Assumptions!$B$27,Assumptions!$B$27/T409,1)</f>
        <v/>
      </c>
      <c r="V409">
        <f>Assumptions!$B$26*(Assumptions!$B$64+$B$405/Assumptions!$B$26)/(Assumptions!$B$64+J409)</f>
        <v/>
      </c>
      <c r="W409">
        <f>IF(H409&lt;Assumptions!$B$26,Assumptions!$B$26/V409,1)</f>
        <v/>
      </c>
    </row>
    <row r="410">
      <c r="A410" t="n">
        <v>2</v>
      </c>
      <c r="B410">
        <f>U409</f>
        <v/>
      </c>
      <c r="C410">
        <f>W409</f>
        <v/>
      </c>
      <c r="D410">
        <f>O409</f>
        <v/>
      </c>
      <c r="E410">
        <f>S409</f>
        <v/>
      </c>
      <c r="F410">
        <f>Assumptions!$B$16*B410</f>
        <v/>
      </c>
      <c r="G410">
        <f>Assumptions!$B$15*C410</f>
        <v/>
      </c>
      <c r="H410">
        <f>IF($B$401*($B$404/(($B$404*(1-$B$401)-$B$405)/((Assumptions!$B$9+Assumptions!$B$11+Assumptions!$B$12+Assumptions!$B$13+Assumptions!$B$14)+G410+F410+D410+E410)))&lt;Assumptions!$B$65,($B$404-$B$405)/(((Assumptions!$B$9+Assumptions!$B$11+Assumptions!$B$12+Assumptions!$B$13+Assumptions!$B$14)+G410+F410+D410+E410)+Assumptions!$B$65),($B$404*(1-$B$401)-$B$405)/((Assumptions!$B$9+Assumptions!$B$11+Assumptions!$B$12+Assumptions!$B$13+Assumptions!$B$14)+G410+F410+D410+E410))</f>
        <v/>
      </c>
      <c r="I410">
        <f>$B$404/H410</f>
        <v/>
      </c>
      <c r="J410">
        <f>$B$405/H410</f>
        <v/>
      </c>
      <c r="K410">
        <f>I410-J410</f>
        <v/>
      </c>
      <c r="L410">
        <f>Assumptions!$B$51/K410</f>
        <v/>
      </c>
      <c r="M410">
        <f>H410*(1-Assumptions!$B$52)</f>
        <v/>
      </c>
      <c r="N410">
        <f>MIN(L410,M410)</f>
        <v/>
      </c>
      <c r="O410">
        <f>Assumptions!$B$50/N410</f>
        <v/>
      </c>
      <c r="P410">
        <f>Assumptions!$B$54/K410</f>
        <v/>
      </c>
      <c r="Q410">
        <f>H410*(1-Assumptions!$B$55)</f>
        <v/>
      </c>
      <c r="R410">
        <f>MIN(P410,Q410)</f>
        <v/>
      </c>
      <c r="S410">
        <f>Assumptions!$B$53/R410</f>
        <v/>
      </c>
      <c r="T410">
        <f>Assumptions!$B$27*(Assumptions!$B$64+$B$405/Assumptions!$B$27)/(Assumptions!$B$64+J410)</f>
        <v/>
      </c>
      <c r="U410">
        <f>IF(H410&lt;Assumptions!$B$27,Assumptions!$B$27/T410,1)</f>
        <v/>
      </c>
      <c r="V410">
        <f>Assumptions!$B$26*(Assumptions!$B$64+$B$405/Assumptions!$B$26)/(Assumptions!$B$64+J410)</f>
        <v/>
      </c>
      <c r="W410">
        <f>IF(H410&lt;Assumptions!$B$26,Assumptions!$B$26/V410,1)</f>
        <v/>
      </c>
    </row>
    <row r="411">
      <c r="A411" t="n">
        <v>3</v>
      </c>
      <c r="B411">
        <f>U410</f>
        <v/>
      </c>
      <c r="C411">
        <f>W410</f>
        <v/>
      </c>
      <c r="D411">
        <f>O410</f>
        <v/>
      </c>
      <c r="E411">
        <f>S410</f>
        <v/>
      </c>
      <c r="F411">
        <f>Assumptions!$B$16*B411</f>
        <v/>
      </c>
      <c r="G411">
        <f>Assumptions!$B$15*C411</f>
        <v/>
      </c>
      <c r="H411">
        <f>IF($B$401*($B$404/(($B$404*(1-$B$401)-$B$405)/((Assumptions!$B$9+Assumptions!$B$11+Assumptions!$B$12+Assumptions!$B$13+Assumptions!$B$14)+G411+F411+D411+E411)))&lt;Assumptions!$B$65,($B$404-$B$405)/(((Assumptions!$B$9+Assumptions!$B$11+Assumptions!$B$12+Assumptions!$B$13+Assumptions!$B$14)+G411+F411+D411+E411)+Assumptions!$B$65),($B$404*(1-$B$401)-$B$405)/((Assumptions!$B$9+Assumptions!$B$11+Assumptions!$B$12+Assumptions!$B$13+Assumptions!$B$14)+G411+F411+D411+E411))</f>
        <v/>
      </c>
      <c r="I411">
        <f>$B$404/H411</f>
        <v/>
      </c>
      <c r="J411">
        <f>$B$405/H411</f>
        <v/>
      </c>
      <c r="K411">
        <f>I411-J411</f>
        <v/>
      </c>
      <c r="L411">
        <f>Assumptions!$B$51/K411</f>
        <v/>
      </c>
      <c r="M411">
        <f>H411*(1-Assumptions!$B$52)</f>
        <v/>
      </c>
      <c r="N411">
        <f>MIN(L411,M411)</f>
        <v/>
      </c>
      <c r="O411">
        <f>Assumptions!$B$50/N411</f>
        <v/>
      </c>
      <c r="P411">
        <f>Assumptions!$B$54/K411</f>
        <v/>
      </c>
      <c r="Q411">
        <f>H411*(1-Assumptions!$B$55)</f>
        <v/>
      </c>
      <c r="R411">
        <f>MIN(P411,Q411)</f>
        <v/>
      </c>
      <c r="S411">
        <f>Assumptions!$B$53/R411</f>
        <v/>
      </c>
      <c r="T411">
        <f>Assumptions!$B$27*(Assumptions!$B$64+$B$405/Assumptions!$B$27)/(Assumptions!$B$64+J411)</f>
        <v/>
      </c>
      <c r="U411">
        <f>IF(H411&lt;Assumptions!$B$27,Assumptions!$B$27/T411,1)</f>
        <v/>
      </c>
      <c r="V411">
        <f>Assumptions!$B$26*(Assumptions!$B$64+$B$405/Assumptions!$B$26)/(Assumptions!$B$64+J411)</f>
        <v/>
      </c>
      <c r="W411">
        <f>IF(H411&lt;Assumptions!$B$26,Assumptions!$B$26/V411,1)</f>
        <v/>
      </c>
    </row>
    <row r="412">
      <c r="A412" t="n">
        <v>4</v>
      </c>
      <c r="B412">
        <f>U411</f>
        <v/>
      </c>
      <c r="C412">
        <f>W411</f>
        <v/>
      </c>
      <c r="D412">
        <f>O411</f>
        <v/>
      </c>
      <c r="E412">
        <f>S411</f>
        <v/>
      </c>
      <c r="F412">
        <f>Assumptions!$B$16*B412</f>
        <v/>
      </c>
      <c r="G412">
        <f>Assumptions!$B$15*C412</f>
        <v/>
      </c>
      <c r="H412">
        <f>IF($B$401*($B$404/(($B$404*(1-$B$401)-$B$405)/((Assumptions!$B$9+Assumptions!$B$11+Assumptions!$B$12+Assumptions!$B$13+Assumptions!$B$14)+G412+F412+D412+E412)))&lt;Assumptions!$B$65,($B$404-$B$405)/(((Assumptions!$B$9+Assumptions!$B$11+Assumptions!$B$12+Assumptions!$B$13+Assumptions!$B$14)+G412+F412+D412+E412)+Assumptions!$B$65),($B$404*(1-$B$401)-$B$405)/((Assumptions!$B$9+Assumptions!$B$11+Assumptions!$B$12+Assumptions!$B$13+Assumptions!$B$14)+G412+F412+D412+E412))</f>
        <v/>
      </c>
      <c r="I412">
        <f>$B$404/H412</f>
        <v/>
      </c>
      <c r="J412">
        <f>$B$405/H412</f>
        <v/>
      </c>
      <c r="K412">
        <f>I412-J412</f>
        <v/>
      </c>
      <c r="L412">
        <f>Assumptions!$B$51/K412</f>
        <v/>
      </c>
      <c r="M412">
        <f>H412*(1-Assumptions!$B$52)</f>
        <v/>
      </c>
      <c r="N412">
        <f>MIN(L412,M412)</f>
        <v/>
      </c>
      <c r="O412">
        <f>Assumptions!$B$50/N412</f>
        <v/>
      </c>
      <c r="P412">
        <f>Assumptions!$B$54/K412</f>
        <v/>
      </c>
      <c r="Q412">
        <f>H412*(1-Assumptions!$B$55)</f>
        <v/>
      </c>
      <c r="R412">
        <f>MIN(P412,Q412)</f>
        <v/>
      </c>
      <c r="S412">
        <f>Assumptions!$B$53/R412</f>
        <v/>
      </c>
      <c r="T412">
        <f>Assumptions!$B$27*(Assumptions!$B$64+$B$405/Assumptions!$B$27)/(Assumptions!$B$64+J412)</f>
        <v/>
      </c>
      <c r="U412">
        <f>IF(H412&lt;Assumptions!$B$27,Assumptions!$B$27/T412,1)</f>
        <v/>
      </c>
      <c r="V412">
        <f>Assumptions!$B$26*(Assumptions!$B$64+$B$405/Assumptions!$B$26)/(Assumptions!$B$64+J412)</f>
        <v/>
      </c>
      <c r="W412">
        <f>IF(H412&lt;Assumptions!$B$26,Assumptions!$B$26/V412,1)</f>
        <v/>
      </c>
    </row>
    <row r="413">
      <c r="A413" t="n">
        <v>5</v>
      </c>
      <c r="B413">
        <f>U412</f>
        <v/>
      </c>
      <c r="C413">
        <f>W412</f>
        <v/>
      </c>
      <c r="D413">
        <f>O412</f>
        <v/>
      </c>
      <c r="E413">
        <f>S412</f>
        <v/>
      </c>
      <c r="F413">
        <f>Assumptions!$B$16*B413</f>
        <v/>
      </c>
      <c r="G413">
        <f>Assumptions!$B$15*C413</f>
        <v/>
      </c>
      <c r="H413">
        <f>IF($B$401*($B$404/(($B$404*(1-$B$401)-$B$405)/((Assumptions!$B$9+Assumptions!$B$11+Assumptions!$B$12+Assumptions!$B$13+Assumptions!$B$14)+G413+F413+D413+E413)))&lt;Assumptions!$B$65,($B$404-$B$405)/(((Assumptions!$B$9+Assumptions!$B$11+Assumptions!$B$12+Assumptions!$B$13+Assumptions!$B$14)+G413+F413+D413+E413)+Assumptions!$B$65),($B$404*(1-$B$401)-$B$405)/((Assumptions!$B$9+Assumptions!$B$11+Assumptions!$B$12+Assumptions!$B$13+Assumptions!$B$14)+G413+F413+D413+E413))</f>
        <v/>
      </c>
      <c r="I413">
        <f>$B$404/H413</f>
        <v/>
      </c>
      <c r="J413">
        <f>$B$405/H413</f>
        <v/>
      </c>
      <c r="K413">
        <f>I413-J413</f>
        <v/>
      </c>
      <c r="L413">
        <f>Assumptions!$B$51/K413</f>
        <v/>
      </c>
      <c r="M413">
        <f>H413*(1-Assumptions!$B$52)</f>
        <v/>
      </c>
      <c r="N413">
        <f>MIN(L413,M413)</f>
        <v/>
      </c>
      <c r="O413">
        <f>Assumptions!$B$50/N413</f>
        <v/>
      </c>
      <c r="P413">
        <f>Assumptions!$B$54/K413</f>
        <v/>
      </c>
      <c r="Q413">
        <f>H413*(1-Assumptions!$B$55)</f>
        <v/>
      </c>
      <c r="R413">
        <f>MIN(P413,Q413)</f>
        <v/>
      </c>
      <c r="S413">
        <f>Assumptions!$B$53/R413</f>
        <v/>
      </c>
      <c r="T413">
        <f>Assumptions!$B$27*(Assumptions!$B$64+$B$405/Assumptions!$B$27)/(Assumptions!$B$64+J413)</f>
        <v/>
      </c>
      <c r="U413">
        <f>IF(H413&lt;Assumptions!$B$27,Assumptions!$B$27/T413,1)</f>
        <v/>
      </c>
      <c r="V413">
        <f>Assumptions!$B$26*(Assumptions!$B$64+$B$405/Assumptions!$B$26)/(Assumptions!$B$64+J413)</f>
        <v/>
      </c>
      <c r="W413">
        <f>IF(H413&lt;Assumptions!$B$26,Assumptions!$B$26/V413,1)</f>
        <v/>
      </c>
    </row>
    <row r="414">
      <c r="A414" t="n">
        <v>6</v>
      </c>
      <c r="B414">
        <f>U413</f>
        <v/>
      </c>
      <c r="C414">
        <f>W413</f>
        <v/>
      </c>
      <c r="D414">
        <f>O413</f>
        <v/>
      </c>
      <c r="E414">
        <f>S413</f>
        <v/>
      </c>
      <c r="F414">
        <f>Assumptions!$B$16*B414</f>
        <v/>
      </c>
      <c r="G414">
        <f>Assumptions!$B$15*C414</f>
        <v/>
      </c>
      <c r="H414">
        <f>IF($B$401*($B$404/(($B$404*(1-$B$401)-$B$405)/((Assumptions!$B$9+Assumptions!$B$11+Assumptions!$B$12+Assumptions!$B$13+Assumptions!$B$14)+G414+F414+D414+E414)))&lt;Assumptions!$B$65,($B$404-$B$405)/(((Assumptions!$B$9+Assumptions!$B$11+Assumptions!$B$12+Assumptions!$B$13+Assumptions!$B$14)+G414+F414+D414+E414)+Assumptions!$B$65),($B$404*(1-$B$401)-$B$405)/((Assumptions!$B$9+Assumptions!$B$11+Assumptions!$B$12+Assumptions!$B$13+Assumptions!$B$14)+G414+F414+D414+E414))</f>
        <v/>
      </c>
      <c r="I414">
        <f>$B$404/H414</f>
        <v/>
      </c>
      <c r="J414">
        <f>$B$405/H414</f>
        <v/>
      </c>
      <c r="K414">
        <f>I414-J414</f>
        <v/>
      </c>
      <c r="L414">
        <f>Assumptions!$B$51/K414</f>
        <v/>
      </c>
      <c r="M414">
        <f>H414*(1-Assumptions!$B$52)</f>
        <v/>
      </c>
      <c r="N414">
        <f>MIN(L414,M414)</f>
        <v/>
      </c>
      <c r="O414">
        <f>Assumptions!$B$50/N414</f>
        <v/>
      </c>
      <c r="P414">
        <f>Assumptions!$B$54/K414</f>
        <v/>
      </c>
      <c r="Q414">
        <f>H414*(1-Assumptions!$B$55)</f>
        <v/>
      </c>
      <c r="R414">
        <f>MIN(P414,Q414)</f>
        <v/>
      </c>
      <c r="S414">
        <f>Assumptions!$B$53/R414</f>
        <v/>
      </c>
      <c r="T414">
        <f>Assumptions!$B$27*(Assumptions!$B$64+$B$405/Assumptions!$B$27)/(Assumptions!$B$64+J414)</f>
        <v/>
      </c>
      <c r="U414">
        <f>IF(H414&lt;Assumptions!$B$27,Assumptions!$B$27/T414,1)</f>
        <v/>
      </c>
      <c r="V414">
        <f>Assumptions!$B$26*(Assumptions!$B$64+$B$405/Assumptions!$B$26)/(Assumptions!$B$64+J414)</f>
        <v/>
      </c>
      <c r="W414">
        <f>IF(H414&lt;Assumptions!$B$26,Assumptions!$B$26/V414,1)</f>
        <v/>
      </c>
    </row>
    <row r="415">
      <c r="A415" t="n">
        <v>7</v>
      </c>
      <c r="B415">
        <f>U414</f>
        <v/>
      </c>
      <c r="C415">
        <f>W414</f>
        <v/>
      </c>
      <c r="D415">
        <f>O414</f>
        <v/>
      </c>
      <c r="E415">
        <f>S414</f>
        <v/>
      </c>
      <c r="F415">
        <f>Assumptions!$B$16*B415</f>
        <v/>
      </c>
      <c r="G415">
        <f>Assumptions!$B$15*C415</f>
        <v/>
      </c>
      <c r="H415">
        <f>IF($B$401*($B$404/(($B$404*(1-$B$401)-$B$405)/((Assumptions!$B$9+Assumptions!$B$11+Assumptions!$B$12+Assumptions!$B$13+Assumptions!$B$14)+G415+F415+D415+E415)))&lt;Assumptions!$B$65,($B$404-$B$405)/(((Assumptions!$B$9+Assumptions!$B$11+Assumptions!$B$12+Assumptions!$B$13+Assumptions!$B$14)+G415+F415+D415+E415)+Assumptions!$B$65),($B$404*(1-$B$401)-$B$405)/((Assumptions!$B$9+Assumptions!$B$11+Assumptions!$B$12+Assumptions!$B$13+Assumptions!$B$14)+G415+F415+D415+E415))</f>
        <v/>
      </c>
      <c r="I415">
        <f>$B$404/H415</f>
        <v/>
      </c>
      <c r="J415">
        <f>$B$405/H415</f>
        <v/>
      </c>
      <c r="K415">
        <f>I415-J415</f>
        <v/>
      </c>
      <c r="L415">
        <f>Assumptions!$B$51/K415</f>
        <v/>
      </c>
      <c r="M415">
        <f>H415*(1-Assumptions!$B$52)</f>
        <v/>
      </c>
      <c r="N415">
        <f>MIN(L415,M415)</f>
        <v/>
      </c>
      <c r="O415">
        <f>Assumptions!$B$50/N415</f>
        <v/>
      </c>
      <c r="P415">
        <f>Assumptions!$B$54/K415</f>
        <v/>
      </c>
      <c r="Q415">
        <f>H415*(1-Assumptions!$B$55)</f>
        <v/>
      </c>
      <c r="R415">
        <f>MIN(P415,Q415)</f>
        <v/>
      </c>
      <c r="S415">
        <f>Assumptions!$B$53/R415</f>
        <v/>
      </c>
      <c r="T415">
        <f>Assumptions!$B$27*(Assumptions!$B$64+$B$405/Assumptions!$B$27)/(Assumptions!$B$64+J415)</f>
        <v/>
      </c>
      <c r="U415">
        <f>IF(H415&lt;Assumptions!$B$27,Assumptions!$B$27/T415,1)</f>
        <v/>
      </c>
      <c r="V415">
        <f>Assumptions!$B$26*(Assumptions!$B$64+$B$405/Assumptions!$B$26)/(Assumptions!$B$64+J415)</f>
        <v/>
      </c>
      <c r="W415">
        <f>IF(H415&lt;Assumptions!$B$26,Assumptions!$B$26/V415,1)</f>
        <v/>
      </c>
    </row>
    <row r="416">
      <c r="A416" t="n">
        <v>8</v>
      </c>
      <c r="B416">
        <f>U415</f>
        <v/>
      </c>
      <c r="C416">
        <f>W415</f>
        <v/>
      </c>
      <c r="D416">
        <f>O415</f>
        <v/>
      </c>
      <c r="E416">
        <f>S415</f>
        <v/>
      </c>
      <c r="F416">
        <f>Assumptions!$B$16*B416</f>
        <v/>
      </c>
      <c r="G416">
        <f>Assumptions!$B$15*C416</f>
        <v/>
      </c>
      <c r="H416">
        <f>IF($B$401*($B$404/(($B$404*(1-$B$401)-$B$405)/((Assumptions!$B$9+Assumptions!$B$11+Assumptions!$B$12+Assumptions!$B$13+Assumptions!$B$14)+G416+F416+D416+E416)))&lt;Assumptions!$B$65,($B$404-$B$405)/(((Assumptions!$B$9+Assumptions!$B$11+Assumptions!$B$12+Assumptions!$B$13+Assumptions!$B$14)+G416+F416+D416+E416)+Assumptions!$B$65),($B$404*(1-$B$401)-$B$405)/((Assumptions!$B$9+Assumptions!$B$11+Assumptions!$B$12+Assumptions!$B$13+Assumptions!$B$14)+G416+F416+D416+E416))</f>
        <v/>
      </c>
      <c r="I416">
        <f>$B$404/H416</f>
        <v/>
      </c>
      <c r="J416">
        <f>$B$405/H416</f>
        <v/>
      </c>
      <c r="K416">
        <f>I416-J416</f>
        <v/>
      </c>
      <c r="L416">
        <f>Assumptions!$B$51/K416</f>
        <v/>
      </c>
      <c r="M416">
        <f>H416*(1-Assumptions!$B$52)</f>
        <v/>
      </c>
      <c r="N416">
        <f>MIN(L416,M416)</f>
        <v/>
      </c>
      <c r="O416">
        <f>Assumptions!$B$50/N416</f>
        <v/>
      </c>
      <c r="P416">
        <f>Assumptions!$B$54/K416</f>
        <v/>
      </c>
      <c r="Q416">
        <f>H416*(1-Assumptions!$B$55)</f>
        <v/>
      </c>
      <c r="R416">
        <f>MIN(P416,Q416)</f>
        <v/>
      </c>
      <c r="S416">
        <f>Assumptions!$B$53/R416</f>
        <v/>
      </c>
      <c r="T416">
        <f>Assumptions!$B$27*(Assumptions!$B$64+$B$405/Assumptions!$B$27)/(Assumptions!$B$64+J416)</f>
        <v/>
      </c>
      <c r="U416">
        <f>IF(H416&lt;Assumptions!$B$27,Assumptions!$B$27/T416,1)</f>
        <v/>
      </c>
      <c r="V416">
        <f>Assumptions!$B$26*(Assumptions!$B$64+$B$405/Assumptions!$B$26)/(Assumptions!$B$64+J416)</f>
        <v/>
      </c>
      <c r="W416">
        <f>IF(H416&lt;Assumptions!$B$26,Assumptions!$B$26/V416,1)</f>
        <v/>
      </c>
    </row>
    <row r="417">
      <c r="A417" t="n">
        <v>9</v>
      </c>
      <c r="B417">
        <f>U416</f>
        <v/>
      </c>
      <c r="C417">
        <f>W416</f>
        <v/>
      </c>
      <c r="D417">
        <f>O416</f>
        <v/>
      </c>
      <c r="E417">
        <f>S416</f>
        <v/>
      </c>
      <c r="F417">
        <f>Assumptions!$B$16*B417</f>
        <v/>
      </c>
      <c r="G417">
        <f>Assumptions!$B$15*C417</f>
        <v/>
      </c>
      <c r="H417">
        <f>IF($B$401*($B$404/(($B$404*(1-$B$401)-$B$405)/((Assumptions!$B$9+Assumptions!$B$11+Assumptions!$B$12+Assumptions!$B$13+Assumptions!$B$14)+G417+F417+D417+E417)))&lt;Assumptions!$B$65,($B$404-$B$405)/(((Assumptions!$B$9+Assumptions!$B$11+Assumptions!$B$12+Assumptions!$B$13+Assumptions!$B$14)+G417+F417+D417+E417)+Assumptions!$B$65),($B$404*(1-$B$401)-$B$405)/((Assumptions!$B$9+Assumptions!$B$11+Assumptions!$B$12+Assumptions!$B$13+Assumptions!$B$14)+G417+F417+D417+E417))</f>
        <v/>
      </c>
      <c r="I417">
        <f>$B$404/H417</f>
        <v/>
      </c>
      <c r="J417">
        <f>$B$405/H417</f>
        <v/>
      </c>
      <c r="K417">
        <f>I417-J417</f>
        <v/>
      </c>
      <c r="L417">
        <f>Assumptions!$B$51/K417</f>
        <v/>
      </c>
      <c r="M417">
        <f>H417*(1-Assumptions!$B$52)</f>
        <v/>
      </c>
      <c r="N417">
        <f>MIN(L417,M417)</f>
        <v/>
      </c>
      <c r="O417">
        <f>Assumptions!$B$50/N417</f>
        <v/>
      </c>
      <c r="P417">
        <f>Assumptions!$B$54/K417</f>
        <v/>
      </c>
      <c r="Q417">
        <f>H417*(1-Assumptions!$B$55)</f>
        <v/>
      </c>
      <c r="R417">
        <f>MIN(P417,Q417)</f>
        <v/>
      </c>
      <c r="S417">
        <f>Assumptions!$B$53/R417</f>
        <v/>
      </c>
      <c r="T417">
        <f>Assumptions!$B$27*(Assumptions!$B$64+$B$405/Assumptions!$B$27)/(Assumptions!$B$64+J417)</f>
        <v/>
      </c>
      <c r="U417">
        <f>IF(H417&lt;Assumptions!$B$27,Assumptions!$B$27/T417,1)</f>
        <v/>
      </c>
      <c r="V417">
        <f>Assumptions!$B$26*(Assumptions!$B$64+$B$405/Assumptions!$B$26)/(Assumptions!$B$64+J417)</f>
        <v/>
      </c>
      <c r="W417">
        <f>IF(H417&lt;Assumptions!$B$26,Assumptions!$B$26/V417,1)</f>
        <v/>
      </c>
    </row>
    <row r="418">
      <c r="A418" t="n">
        <v>10</v>
      </c>
      <c r="B418">
        <f>U417</f>
        <v/>
      </c>
      <c r="C418">
        <f>W417</f>
        <v/>
      </c>
      <c r="D418">
        <f>O417</f>
        <v/>
      </c>
      <c r="E418">
        <f>S417</f>
        <v/>
      </c>
      <c r="F418">
        <f>Assumptions!$B$16*B418</f>
        <v/>
      </c>
      <c r="G418">
        <f>Assumptions!$B$15*C418</f>
        <v/>
      </c>
      <c r="H418">
        <f>IF($B$401*($B$404/(($B$404*(1-$B$401)-$B$405)/((Assumptions!$B$9+Assumptions!$B$11+Assumptions!$B$12+Assumptions!$B$13+Assumptions!$B$14)+G418+F418+D418+E418)))&lt;Assumptions!$B$65,($B$404-$B$405)/(((Assumptions!$B$9+Assumptions!$B$11+Assumptions!$B$12+Assumptions!$B$13+Assumptions!$B$14)+G418+F418+D418+E418)+Assumptions!$B$65),($B$404*(1-$B$401)-$B$405)/((Assumptions!$B$9+Assumptions!$B$11+Assumptions!$B$12+Assumptions!$B$13+Assumptions!$B$14)+G418+F418+D418+E418))</f>
        <v/>
      </c>
      <c r="I418">
        <f>$B$404/H418</f>
        <v/>
      </c>
      <c r="J418">
        <f>$B$405/H418</f>
        <v/>
      </c>
      <c r="K418">
        <f>I418-J418</f>
        <v/>
      </c>
      <c r="L418">
        <f>Assumptions!$B$51/K418</f>
        <v/>
      </c>
      <c r="M418">
        <f>H418*(1-Assumptions!$B$52)</f>
        <v/>
      </c>
      <c r="N418">
        <f>MIN(L418,M418)</f>
        <v/>
      </c>
      <c r="O418">
        <f>Assumptions!$B$50/N418</f>
        <v/>
      </c>
      <c r="P418">
        <f>Assumptions!$B$54/K418</f>
        <v/>
      </c>
      <c r="Q418">
        <f>H418*(1-Assumptions!$B$55)</f>
        <v/>
      </c>
      <c r="R418">
        <f>MIN(P418,Q418)</f>
        <v/>
      </c>
      <c r="S418">
        <f>Assumptions!$B$53/R418</f>
        <v/>
      </c>
      <c r="T418">
        <f>Assumptions!$B$27*(Assumptions!$B$64+$B$405/Assumptions!$B$27)/(Assumptions!$B$64+J418)</f>
        <v/>
      </c>
      <c r="U418">
        <f>IF(H418&lt;Assumptions!$B$27,Assumptions!$B$27/T418,1)</f>
        <v/>
      </c>
      <c r="V418">
        <f>Assumptions!$B$26*(Assumptions!$B$64+$B$405/Assumptions!$B$26)/(Assumptions!$B$64+J418)</f>
        <v/>
      </c>
      <c r="W418">
        <f>IF(H418&lt;Assumptions!$B$26,Assumptions!$B$26/V418,1)</f>
        <v/>
      </c>
    </row>
    <row r="419">
      <c r="A419" t="n">
        <v>11</v>
      </c>
      <c r="B419">
        <f>U418</f>
        <v/>
      </c>
      <c r="C419">
        <f>W418</f>
        <v/>
      </c>
      <c r="D419">
        <f>O418</f>
        <v/>
      </c>
      <c r="E419">
        <f>S418</f>
        <v/>
      </c>
      <c r="F419">
        <f>Assumptions!$B$16*B419</f>
        <v/>
      </c>
      <c r="G419">
        <f>Assumptions!$B$15*C419</f>
        <v/>
      </c>
      <c r="H419">
        <f>IF($B$401*($B$404/(($B$404*(1-$B$401)-$B$405)/((Assumptions!$B$9+Assumptions!$B$11+Assumptions!$B$12+Assumptions!$B$13+Assumptions!$B$14)+G419+F419+D419+E419)))&lt;Assumptions!$B$65,($B$404-$B$405)/(((Assumptions!$B$9+Assumptions!$B$11+Assumptions!$B$12+Assumptions!$B$13+Assumptions!$B$14)+G419+F419+D419+E419)+Assumptions!$B$65),($B$404*(1-$B$401)-$B$405)/((Assumptions!$B$9+Assumptions!$B$11+Assumptions!$B$12+Assumptions!$B$13+Assumptions!$B$14)+G419+F419+D419+E419))</f>
        <v/>
      </c>
      <c r="I419">
        <f>$B$404/H419</f>
        <v/>
      </c>
      <c r="J419">
        <f>$B$405/H419</f>
        <v/>
      </c>
      <c r="K419">
        <f>I419-J419</f>
        <v/>
      </c>
      <c r="L419">
        <f>Assumptions!$B$51/K419</f>
        <v/>
      </c>
      <c r="M419">
        <f>H419*(1-Assumptions!$B$52)</f>
        <v/>
      </c>
      <c r="N419">
        <f>MIN(L419,M419)</f>
        <v/>
      </c>
      <c r="O419">
        <f>Assumptions!$B$50/N419</f>
        <v/>
      </c>
      <c r="P419">
        <f>Assumptions!$B$54/K419</f>
        <v/>
      </c>
      <c r="Q419">
        <f>H419*(1-Assumptions!$B$55)</f>
        <v/>
      </c>
      <c r="R419">
        <f>MIN(P419,Q419)</f>
        <v/>
      </c>
      <c r="S419">
        <f>Assumptions!$B$53/R419</f>
        <v/>
      </c>
      <c r="T419">
        <f>Assumptions!$B$27*(Assumptions!$B$64+$B$405/Assumptions!$B$27)/(Assumptions!$B$64+J419)</f>
        <v/>
      </c>
      <c r="U419">
        <f>IF(H419&lt;Assumptions!$B$27,Assumptions!$B$27/T419,1)</f>
        <v/>
      </c>
      <c r="V419">
        <f>Assumptions!$B$26*(Assumptions!$B$64+$B$405/Assumptions!$B$26)/(Assumptions!$B$64+J419)</f>
        <v/>
      </c>
      <c r="W419">
        <f>IF(H419&lt;Assumptions!$B$26,Assumptions!$B$26/V419,1)</f>
        <v/>
      </c>
    </row>
    <row r="420">
      <c r="A420" t="n">
        <v>12</v>
      </c>
      <c r="B420">
        <f>U419</f>
        <v/>
      </c>
      <c r="C420">
        <f>W419</f>
        <v/>
      </c>
      <c r="D420">
        <f>O419</f>
        <v/>
      </c>
      <c r="E420">
        <f>S419</f>
        <v/>
      </c>
      <c r="F420">
        <f>Assumptions!$B$16*B420</f>
        <v/>
      </c>
      <c r="G420">
        <f>Assumptions!$B$15*C420</f>
        <v/>
      </c>
      <c r="H420">
        <f>IF($B$401*($B$404/(($B$404*(1-$B$401)-$B$405)/((Assumptions!$B$9+Assumptions!$B$11+Assumptions!$B$12+Assumptions!$B$13+Assumptions!$B$14)+G420+F420+D420+E420)))&lt;Assumptions!$B$65,($B$404-$B$405)/(((Assumptions!$B$9+Assumptions!$B$11+Assumptions!$B$12+Assumptions!$B$13+Assumptions!$B$14)+G420+F420+D420+E420)+Assumptions!$B$65),($B$404*(1-$B$401)-$B$405)/((Assumptions!$B$9+Assumptions!$B$11+Assumptions!$B$12+Assumptions!$B$13+Assumptions!$B$14)+G420+F420+D420+E420))</f>
        <v/>
      </c>
      <c r="I420">
        <f>$B$404/H420</f>
        <v/>
      </c>
      <c r="J420">
        <f>$B$405/H420</f>
        <v/>
      </c>
      <c r="K420">
        <f>I420-J420</f>
        <v/>
      </c>
      <c r="L420">
        <f>Assumptions!$B$51/K420</f>
        <v/>
      </c>
      <c r="M420">
        <f>H420*(1-Assumptions!$B$52)</f>
        <v/>
      </c>
      <c r="N420">
        <f>MIN(L420,M420)</f>
        <v/>
      </c>
      <c r="O420">
        <f>Assumptions!$B$50/N420</f>
        <v/>
      </c>
      <c r="P420">
        <f>Assumptions!$B$54/K420</f>
        <v/>
      </c>
      <c r="Q420">
        <f>H420*(1-Assumptions!$B$55)</f>
        <v/>
      </c>
      <c r="R420">
        <f>MIN(P420,Q420)</f>
        <v/>
      </c>
      <c r="S420">
        <f>Assumptions!$B$53/R420</f>
        <v/>
      </c>
      <c r="T420">
        <f>Assumptions!$B$27*(Assumptions!$B$64+$B$405/Assumptions!$B$27)/(Assumptions!$B$64+J420)</f>
        <v/>
      </c>
      <c r="U420">
        <f>IF(H420&lt;Assumptions!$B$27,Assumptions!$B$27/T420,1)</f>
        <v/>
      </c>
      <c r="V420">
        <f>Assumptions!$B$26*(Assumptions!$B$64+$B$405/Assumptions!$B$26)/(Assumptions!$B$64+J420)</f>
        <v/>
      </c>
      <c r="W420">
        <f>IF(H420&lt;Assumptions!$B$26,Assumptions!$B$26/V420,1)</f>
        <v/>
      </c>
    </row>
    <row r="421">
      <c r="A421" t="n">
        <v>13</v>
      </c>
      <c r="B421">
        <f>U420</f>
        <v/>
      </c>
      <c r="C421">
        <f>W420</f>
        <v/>
      </c>
      <c r="D421">
        <f>O420</f>
        <v/>
      </c>
      <c r="E421">
        <f>S420</f>
        <v/>
      </c>
      <c r="F421">
        <f>Assumptions!$B$16*B421</f>
        <v/>
      </c>
      <c r="G421">
        <f>Assumptions!$B$15*C421</f>
        <v/>
      </c>
      <c r="H421">
        <f>IF($B$401*($B$404/(($B$404*(1-$B$401)-$B$405)/((Assumptions!$B$9+Assumptions!$B$11+Assumptions!$B$12+Assumptions!$B$13+Assumptions!$B$14)+G421+F421+D421+E421)))&lt;Assumptions!$B$65,($B$404-$B$405)/(((Assumptions!$B$9+Assumptions!$B$11+Assumptions!$B$12+Assumptions!$B$13+Assumptions!$B$14)+G421+F421+D421+E421)+Assumptions!$B$65),($B$404*(1-$B$401)-$B$405)/((Assumptions!$B$9+Assumptions!$B$11+Assumptions!$B$12+Assumptions!$B$13+Assumptions!$B$14)+G421+F421+D421+E421))</f>
        <v/>
      </c>
      <c r="I421">
        <f>$B$404/H421</f>
        <v/>
      </c>
      <c r="J421">
        <f>$B$405/H421</f>
        <v/>
      </c>
      <c r="K421">
        <f>I421-J421</f>
        <v/>
      </c>
      <c r="L421">
        <f>Assumptions!$B$51/K421</f>
        <v/>
      </c>
      <c r="M421">
        <f>H421*(1-Assumptions!$B$52)</f>
        <v/>
      </c>
      <c r="N421">
        <f>MIN(L421,M421)</f>
        <v/>
      </c>
      <c r="O421">
        <f>Assumptions!$B$50/N421</f>
        <v/>
      </c>
      <c r="P421">
        <f>Assumptions!$B$54/K421</f>
        <v/>
      </c>
      <c r="Q421">
        <f>H421*(1-Assumptions!$B$55)</f>
        <v/>
      </c>
      <c r="R421">
        <f>MIN(P421,Q421)</f>
        <v/>
      </c>
      <c r="S421">
        <f>Assumptions!$B$53/R421</f>
        <v/>
      </c>
      <c r="T421">
        <f>Assumptions!$B$27*(Assumptions!$B$64+$B$405/Assumptions!$B$27)/(Assumptions!$B$64+J421)</f>
        <v/>
      </c>
      <c r="U421">
        <f>IF(H421&lt;Assumptions!$B$27,Assumptions!$B$27/T421,1)</f>
        <v/>
      </c>
      <c r="V421">
        <f>Assumptions!$B$26*(Assumptions!$B$64+$B$405/Assumptions!$B$26)/(Assumptions!$B$64+J421)</f>
        <v/>
      </c>
      <c r="W421">
        <f>IF(H421&lt;Assumptions!$B$26,Assumptions!$B$26/V421,1)</f>
        <v/>
      </c>
    </row>
    <row r="422">
      <c r="A422" t="n">
        <v>14</v>
      </c>
      <c r="B422">
        <f>U421</f>
        <v/>
      </c>
      <c r="C422">
        <f>W421</f>
        <v/>
      </c>
      <c r="D422">
        <f>O421</f>
        <v/>
      </c>
      <c r="E422">
        <f>S421</f>
        <v/>
      </c>
      <c r="F422">
        <f>Assumptions!$B$16*B422</f>
        <v/>
      </c>
      <c r="G422">
        <f>Assumptions!$B$15*C422</f>
        <v/>
      </c>
      <c r="H422">
        <f>IF($B$401*($B$404/(($B$404*(1-$B$401)-$B$405)/((Assumptions!$B$9+Assumptions!$B$11+Assumptions!$B$12+Assumptions!$B$13+Assumptions!$B$14)+G422+F422+D422+E422)))&lt;Assumptions!$B$65,($B$404-$B$405)/(((Assumptions!$B$9+Assumptions!$B$11+Assumptions!$B$12+Assumptions!$B$13+Assumptions!$B$14)+G422+F422+D422+E422)+Assumptions!$B$65),($B$404*(1-$B$401)-$B$405)/((Assumptions!$B$9+Assumptions!$B$11+Assumptions!$B$12+Assumptions!$B$13+Assumptions!$B$14)+G422+F422+D422+E422))</f>
        <v/>
      </c>
      <c r="I422">
        <f>$B$404/H422</f>
        <v/>
      </c>
      <c r="J422">
        <f>$B$405/H422</f>
        <v/>
      </c>
      <c r="K422">
        <f>I422-J422</f>
        <v/>
      </c>
      <c r="L422">
        <f>Assumptions!$B$51/K422</f>
        <v/>
      </c>
      <c r="M422">
        <f>H422*(1-Assumptions!$B$52)</f>
        <v/>
      </c>
      <c r="N422">
        <f>MIN(L422,M422)</f>
        <v/>
      </c>
      <c r="O422">
        <f>Assumptions!$B$50/N422</f>
        <v/>
      </c>
      <c r="P422">
        <f>Assumptions!$B$54/K422</f>
        <v/>
      </c>
      <c r="Q422">
        <f>H422*(1-Assumptions!$B$55)</f>
        <v/>
      </c>
      <c r="R422">
        <f>MIN(P422,Q422)</f>
        <v/>
      </c>
      <c r="S422">
        <f>Assumptions!$B$53/R422</f>
        <v/>
      </c>
      <c r="T422">
        <f>Assumptions!$B$27*(Assumptions!$B$64+$B$405/Assumptions!$B$27)/(Assumptions!$B$64+J422)</f>
        <v/>
      </c>
      <c r="U422">
        <f>IF(H422&lt;Assumptions!$B$27,Assumptions!$B$27/T422,1)</f>
        <v/>
      </c>
      <c r="V422">
        <f>Assumptions!$B$26*(Assumptions!$B$64+$B$405/Assumptions!$B$26)/(Assumptions!$B$64+J422)</f>
        <v/>
      </c>
      <c r="W422">
        <f>IF(H422&lt;Assumptions!$B$26,Assumptions!$B$26/V422,1)</f>
        <v/>
      </c>
    </row>
    <row r="423">
      <c r="A423" t="n">
        <v>15</v>
      </c>
      <c r="B423">
        <f>U422</f>
        <v/>
      </c>
      <c r="C423">
        <f>W422</f>
        <v/>
      </c>
      <c r="D423">
        <f>O422</f>
        <v/>
      </c>
      <c r="E423">
        <f>S422</f>
        <v/>
      </c>
      <c r="F423">
        <f>Assumptions!$B$16*B423</f>
        <v/>
      </c>
      <c r="G423">
        <f>Assumptions!$B$15*C423</f>
        <v/>
      </c>
      <c r="H423">
        <f>IF($B$401*($B$404/(($B$404*(1-$B$401)-$B$405)/((Assumptions!$B$9+Assumptions!$B$11+Assumptions!$B$12+Assumptions!$B$13+Assumptions!$B$14)+G423+F423+D423+E423)))&lt;Assumptions!$B$65,($B$404-$B$405)/(((Assumptions!$B$9+Assumptions!$B$11+Assumptions!$B$12+Assumptions!$B$13+Assumptions!$B$14)+G423+F423+D423+E423)+Assumptions!$B$65),($B$404*(1-$B$401)-$B$405)/((Assumptions!$B$9+Assumptions!$B$11+Assumptions!$B$12+Assumptions!$B$13+Assumptions!$B$14)+G423+F423+D423+E423))</f>
        <v/>
      </c>
      <c r="I423">
        <f>$B$404/H423</f>
        <v/>
      </c>
      <c r="J423">
        <f>$B$405/H423</f>
        <v/>
      </c>
      <c r="K423">
        <f>I423-J423</f>
        <v/>
      </c>
      <c r="L423">
        <f>Assumptions!$B$51/K423</f>
        <v/>
      </c>
      <c r="M423">
        <f>H423*(1-Assumptions!$B$52)</f>
        <v/>
      </c>
      <c r="N423">
        <f>MIN(L423,M423)</f>
        <v/>
      </c>
      <c r="O423">
        <f>Assumptions!$B$50/N423</f>
        <v/>
      </c>
      <c r="P423">
        <f>Assumptions!$B$54/K423</f>
        <v/>
      </c>
      <c r="Q423">
        <f>H423*(1-Assumptions!$B$55)</f>
        <v/>
      </c>
      <c r="R423">
        <f>MIN(P423,Q423)</f>
        <v/>
      </c>
      <c r="S423">
        <f>Assumptions!$B$53/R423</f>
        <v/>
      </c>
      <c r="T423">
        <f>Assumptions!$B$27*(Assumptions!$B$64+$B$405/Assumptions!$B$27)/(Assumptions!$B$64+J423)</f>
        <v/>
      </c>
      <c r="U423">
        <f>IF(H423&lt;Assumptions!$B$27,Assumptions!$B$27/T423,1)</f>
        <v/>
      </c>
      <c r="V423">
        <f>Assumptions!$B$26*(Assumptions!$B$64+$B$405/Assumptions!$B$26)/(Assumptions!$B$64+J423)</f>
        <v/>
      </c>
      <c r="W423">
        <f>IF(H423&lt;Assumptions!$B$26,Assumptions!$B$26/V423,1)</f>
        <v/>
      </c>
    </row>
    <row r="424">
      <c r="A424" t="n">
        <v>16</v>
      </c>
      <c r="B424">
        <f>U423</f>
        <v/>
      </c>
      <c r="C424">
        <f>W423</f>
        <v/>
      </c>
      <c r="D424">
        <f>O423</f>
        <v/>
      </c>
      <c r="E424">
        <f>S423</f>
        <v/>
      </c>
      <c r="F424">
        <f>Assumptions!$B$16*B424</f>
        <v/>
      </c>
      <c r="G424">
        <f>Assumptions!$B$15*C424</f>
        <v/>
      </c>
      <c r="H424">
        <f>IF($B$401*($B$404/(($B$404*(1-$B$401)-$B$405)/((Assumptions!$B$9+Assumptions!$B$11+Assumptions!$B$12+Assumptions!$B$13+Assumptions!$B$14)+G424+F424+D424+E424)))&lt;Assumptions!$B$65,($B$404-$B$405)/(((Assumptions!$B$9+Assumptions!$B$11+Assumptions!$B$12+Assumptions!$B$13+Assumptions!$B$14)+G424+F424+D424+E424)+Assumptions!$B$65),($B$404*(1-$B$401)-$B$405)/((Assumptions!$B$9+Assumptions!$B$11+Assumptions!$B$12+Assumptions!$B$13+Assumptions!$B$14)+G424+F424+D424+E424))</f>
        <v/>
      </c>
      <c r="I424">
        <f>$B$404/H424</f>
        <v/>
      </c>
      <c r="J424">
        <f>$B$405/H424</f>
        <v/>
      </c>
      <c r="K424">
        <f>I424-J424</f>
        <v/>
      </c>
      <c r="L424">
        <f>Assumptions!$B$51/K424</f>
        <v/>
      </c>
      <c r="M424">
        <f>H424*(1-Assumptions!$B$52)</f>
        <v/>
      </c>
      <c r="N424">
        <f>MIN(L424,M424)</f>
        <v/>
      </c>
      <c r="O424">
        <f>Assumptions!$B$50/N424</f>
        <v/>
      </c>
      <c r="P424">
        <f>Assumptions!$B$54/K424</f>
        <v/>
      </c>
      <c r="Q424">
        <f>H424*(1-Assumptions!$B$55)</f>
        <v/>
      </c>
      <c r="R424">
        <f>MIN(P424,Q424)</f>
        <v/>
      </c>
      <c r="S424">
        <f>Assumptions!$B$53/R424</f>
        <v/>
      </c>
      <c r="T424">
        <f>Assumptions!$B$27*(Assumptions!$B$64+$B$405/Assumptions!$B$27)/(Assumptions!$B$64+J424)</f>
        <v/>
      </c>
      <c r="U424">
        <f>IF(H424&lt;Assumptions!$B$27,Assumptions!$B$27/T424,1)</f>
        <v/>
      </c>
      <c r="V424">
        <f>Assumptions!$B$26*(Assumptions!$B$64+$B$405/Assumptions!$B$26)/(Assumptions!$B$64+J424)</f>
        <v/>
      </c>
      <c r="W424">
        <f>IF(H424&lt;Assumptions!$B$26,Assumptions!$B$26/V424,1)</f>
        <v/>
      </c>
    </row>
    <row r="425">
      <c r="A425" t="n">
        <v>17</v>
      </c>
      <c r="B425">
        <f>U424</f>
        <v/>
      </c>
      <c r="C425">
        <f>W424</f>
        <v/>
      </c>
      <c r="D425">
        <f>O424</f>
        <v/>
      </c>
      <c r="E425">
        <f>S424</f>
        <v/>
      </c>
      <c r="F425">
        <f>Assumptions!$B$16*B425</f>
        <v/>
      </c>
      <c r="G425">
        <f>Assumptions!$B$15*C425</f>
        <v/>
      </c>
      <c r="H425">
        <f>IF($B$401*($B$404/(($B$404*(1-$B$401)-$B$405)/((Assumptions!$B$9+Assumptions!$B$11+Assumptions!$B$12+Assumptions!$B$13+Assumptions!$B$14)+G425+F425+D425+E425)))&lt;Assumptions!$B$65,($B$404-$B$405)/(((Assumptions!$B$9+Assumptions!$B$11+Assumptions!$B$12+Assumptions!$B$13+Assumptions!$B$14)+G425+F425+D425+E425)+Assumptions!$B$65),($B$404*(1-$B$401)-$B$405)/((Assumptions!$B$9+Assumptions!$B$11+Assumptions!$B$12+Assumptions!$B$13+Assumptions!$B$14)+G425+F425+D425+E425))</f>
        <v/>
      </c>
      <c r="I425">
        <f>$B$404/H425</f>
        <v/>
      </c>
      <c r="J425">
        <f>$B$405/H425</f>
        <v/>
      </c>
      <c r="K425">
        <f>I425-J425</f>
        <v/>
      </c>
      <c r="L425">
        <f>Assumptions!$B$51/K425</f>
        <v/>
      </c>
      <c r="M425">
        <f>H425*(1-Assumptions!$B$52)</f>
        <v/>
      </c>
      <c r="N425">
        <f>MIN(L425,M425)</f>
        <v/>
      </c>
      <c r="O425">
        <f>Assumptions!$B$50/N425</f>
        <v/>
      </c>
      <c r="P425">
        <f>Assumptions!$B$54/K425</f>
        <v/>
      </c>
      <c r="Q425">
        <f>H425*(1-Assumptions!$B$55)</f>
        <v/>
      </c>
      <c r="R425">
        <f>MIN(P425,Q425)</f>
        <v/>
      </c>
      <c r="S425">
        <f>Assumptions!$B$53/R425</f>
        <v/>
      </c>
      <c r="T425">
        <f>Assumptions!$B$27*(Assumptions!$B$64+$B$405/Assumptions!$B$27)/(Assumptions!$B$64+J425)</f>
        <v/>
      </c>
      <c r="U425">
        <f>IF(H425&lt;Assumptions!$B$27,Assumptions!$B$27/T425,1)</f>
        <v/>
      </c>
      <c r="V425">
        <f>Assumptions!$B$26*(Assumptions!$B$64+$B$405/Assumptions!$B$26)/(Assumptions!$B$64+J425)</f>
        <v/>
      </c>
      <c r="W425">
        <f>IF(H425&lt;Assumptions!$B$26,Assumptions!$B$26/V425,1)</f>
        <v/>
      </c>
    </row>
    <row r="426">
      <c r="A426" t="n">
        <v>18</v>
      </c>
      <c r="B426">
        <f>U425</f>
        <v/>
      </c>
      <c r="C426">
        <f>W425</f>
        <v/>
      </c>
      <c r="D426">
        <f>O425</f>
        <v/>
      </c>
      <c r="E426">
        <f>S425</f>
        <v/>
      </c>
      <c r="F426">
        <f>Assumptions!$B$16*B426</f>
        <v/>
      </c>
      <c r="G426">
        <f>Assumptions!$B$15*C426</f>
        <v/>
      </c>
      <c r="H426">
        <f>IF($B$401*($B$404/(($B$404*(1-$B$401)-$B$405)/((Assumptions!$B$9+Assumptions!$B$11+Assumptions!$B$12+Assumptions!$B$13+Assumptions!$B$14)+G426+F426+D426+E426)))&lt;Assumptions!$B$65,($B$404-$B$405)/(((Assumptions!$B$9+Assumptions!$B$11+Assumptions!$B$12+Assumptions!$B$13+Assumptions!$B$14)+G426+F426+D426+E426)+Assumptions!$B$65),($B$404*(1-$B$401)-$B$405)/((Assumptions!$B$9+Assumptions!$B$11+Assumptions!$B$12+Assumptions!$B$13+Assumptions!$B$14)+G426+F426+D426+E426))</f>
        <v/>
      </c>
      <c r="I426">
        <f>$B$404/H426</f>
        <v/>
      </c>
      <c r="J426">
        <f>$B$405/H426</f>
        <v/>
      </c>
      <c r="K426">
        <f>I426-J426</f>
        <v/>
      </c>
      <c r="L426">
        <f>Assumptions!$B$51/K426</f>
        <v/>
      </c>
      <c r="M426">
        <f>H426*(1-Assumptions!$B$52)</f>
        <v/>
      </c>
      <c r="N426">
        <f>MIN(L426,M426)</f>
        <v/>
      </c>
      <c r="O426">
        <f>Assumptions!$B$50/N426</f>
        <v/>
      </c>
      <c r="P426">
        <f>Assumptions!$B$54/K426</f>
        <v/>
      </c>
      <c r="Q426">
        <f>H426*(1-Assumptions!$B$55)</f>
        <v/>
      </c>
      <c r="R426">
        <f>MIN(P426,Q426)</f>
        <v/>
      </c>
      <c r="S426">
        <f>Assumptions!$B$53/R426</f>
        <v/>
      </c>
      <c r="T426">
        <f>Assumptions!$B$27*(Assumptions!$B$64+$B$405/Assumptions!$B$27)/(Assumptions!$B$64+J426)</f>
        <v/>
      </c>
      <c r="U426">
        <f>IF(H426&lt;Assumptions!$B$27,Assumptions!$B$27/T426,1)</f>
        <v/>
      </c>
      <c r="V426">
        <f>Assumptions!$B$26*(Assumptions!$B$64+$B$405/Assumptions!$B$26)/(Assumptions!$B$64+J426)</f>
        <v/>
      </c>
      <c r="W426">
        <f>IF(H426&lt;Assumptions!$B$26,Assumptions!$B$26/V426,1)</f>
        <v/>
      </c>
    </row>
    <row r="427">
      <c r="A427" t="n">
        <v>19</v>
      </c>
      <c r="B427">
        <f>U426</f>
        <v/>
      </c>
      <c r="C427">
        <f>W426</f>
        <v/>
      </c>
      <c r="D427">
        <f>O426</f>
        <v/>
      </c>
      <c r="E427">
        <f>S426</f>
        <v/>
      </c>
      <c r="F427">
        <f>Assumptions!$B$16*B427</f>
        <v/>
      </c>
      <c r="G427">
        <f>Assumptions!$B$15*C427</f>
        <v/>
      </c>
      <c r="H427">
        <f>IF($B$401*($B$404/(($B$404*(1-$B$401)-$B$405)/((Assumptions!$B$9+Assumptions!$B$11+Assumptions!$B$12+Assumptions!$B$13+Assumptions!$B$14)+G427+F427+D427+E427)))&lt;Assumptions!$B$65,($B$404-$B$405)/(((Assumptions!$B$9+Assumptions!$B$11+Assumptions!$B$12+Assumptions!$B$13+Assumptions!$B$14)+G427+F427+D427+E427)+Assumptions!$B$65),($B$404*(1-$B$401)-$B$405)/((Assumptions!$B$9+Assumptions!$B$11+Assumptions!$B$12+Assumptions!$B$13+Assumptions!$B$14)+G427+F427+D427+E427))</f>
        <v/>
      </c>
      <c r="I427">
        <f>$B$404/H427</f>
        <v/>
      </c>
      <c r="J427">
        <f>$B$405/H427</f>
        <v/>
      </c>
      <c r="K427">
        <f>I427-J427</f>
        <v/>
      </c>
      <c r="L427">
        <f>Assumptions!$B$51/K427</f>
        <v/>
      </c>
      <c r="M427">
        <f>H427*(1-Assumptions!$B$52)</f>
        <v/>
      </c>
      <c r="N427">
        <f>MIN(L427,M427)</f>
        <v/>
      </c>
      <c r="O427">
        <f>Assumptions!$B$50/N427</f>
        <v/>
      </c>
      <c r="P427">
        <f>Assumptions!$B$54/K427</f>
        <v/>
      </c>
      <c r="Q427">
        <f>H427*(1-Assumptions!$B$55)</f>
        <v/>
      </c>
      <c r="R427">
        <f>MIN(P427,Q427)</f>
        <v/>
      </c>
      <c r="S427">
        <f>Assumptions!$B$53/R427</f>
        <v/>
      </c>
      <c r="T427">
        <f>Assumptions!$B$27*(Assumptions!$B$64+$B$405/Assumptions!$B$27)/(Assumptions!$B$64+J427)</f>
        <v/>
      </c>
      <c r="U427">
        <f>IF(H427&lt;Assumptions!$B$27,Assumptions!$B$27/T427,1)</f>
        <v/>
      </c>
      <c r="V427">
        <f>Assumptions!$B$26*(Assumptions!$B$64+$B$405/Assumptions!$B$26)/(Assumptions!$B$64+J427)</f>
        <v/>
      </c>
      <c r="W427">
        <f>IF(H427&lt;Assumptions!$B$26,Assumptions!$B$26/V427,1)</f>
        <v/>
      </c>
    </row>
    <row r="428">
      <c r="A428" t="n">
        <v>20</v>
      </c>
      <c r="B428">
        <f>U427</f>
        <v/>
      </c>
      <c r="C428">
        <f>W427</f>
        <v/>
      </c>
      <c r="D428">
        <f>O427</f>
        <v/>
      </c>
      <c r="E428">
        <f>S427</f>
        <v/>
      </c>
      <c r="F428">
        <f>Assumptions!$B$16*B428</f>
        <v/>
      </c>
      <c r="G428">
        <f>Assumptions!$B$15*C428</f>
        <v/>
      </c>
      <c r="H428">
        <f>IF($B$401*($B$404/(($B$404*(1-$B$401)-$B$405)/((Assumptions!$B$9+Assumptions!$B$11+Assumptions!$B$12+Assumptions!$B$13+Assumptions!$B$14)+G428+F428+D428+E428)))&lt;Assumptions!$B$65,($B$404-$B$405)/(((Assumptions!$B$9+Assumptions!$B$11+Assumptions!$B$12+Assumptions!$B$13+Assumptions!$B$14)+G428+F428+D428+E428)+Assumptions!$B$65),($B$404*(1-$B$401)-$B$405)/((Assumptions!$B$9+Assumptions!$B$11+Assumptions!$B$12+Assumptions!$B$13+Assumptions!$B$14)+G428+F428+D428+E428))</f>
        <v/>
      </c>
      <c r="I428">
        <f>$B$404/H428</f>
        <v/>
      </c>
      <c r="J428">
        <f>$B$405/H428</f>
        <v/>
      </c>
      <c r="K428">
        <f>I428-J428</f>
        <v/>
      </c>
      <c r="L428">
        <f>Assumptions!$B$51/K428</f>
        <v/>
      </c>
      <c r="M428">
        <f>H428*(1-Assumptions!$B$52)</f>
        <v/>
      </c>
      <c r="N428">
        <f>MIN(L428,M428)</f>
        <v/>
      </c>
      <c r="O428">
        <f>Assumptions!$B$50/N428</f>
        <v/>
      </c>
      <c r="P428">
        <f>Assumptions!$B$54/K428</f>
        <v/>
      </c>
      <c r="Q428">
        <f>H428*(1-Assumptions!$B$55)</f>
        <v/>
      </c>
      <c r="R428">
        <f>MIN(P428,Q428)</f>
        <v/>
      </c>
      <c r="S428">
        <f>Assumptions!$B$53/R428</f>
        <v/>
      </c>
      <c r="T428">
        <f>Assumptions!$B$27*(Assumptions!$B$64+$B$405/Assumptions!$B$27)/(Assumptions!$B$64+J428)</f>
        <v/>
      </c>
      <c r="U428">
        <f>IF(H428&lt;Assumptions!$B$27,Assumptions!$B$27/T428,1)</f>
        <v/>
      </c>
      <c r="V428">
        <f>Assumptions!$B$26*(Assumptions!$B$64+$B$405/Assumptions!$B$26)/(Assumptions!$B$64+J428)</f>
        <v/>
      </c>
      <c r="W428">
        <f>IF(H428&lt;Assumptions!$B$26,Assumptions!$B$26/V428,1)</f>
        <v/>
      </c>
    </row>
    <row r="429">
      <c r="A429" t="n">
        <v>21</v>
      </c>
      <c r="B429">
        <f>U428</f>
        <v/>
      </c>
      <c r="C429">
        <f>W428</f>
        <v/>
      </c>
      <c r="D429">
        <f>O428</f>
        <v/>
      </c>
      <c r="E429">
        <f>S428</f>
        <v/>
      </c>
      <c r="F429">
        <f>Assumptions!$B$16*B429</f>
        <v/>
      </c>
      <c r="G429">
        <f>Assumptions!$B$15*C429</f>
        <v/>
      </c>
      <c r="H429">
        <f>IF($B$401*($B$404/(($B$404*(1-$B$401)-$B$405)/((Assumptions!$B$9+Assumptions!$B$11+Assumptions!$B$12+Assumptions!$B$13+Assumptions!$B$14)+G429+F429+D429+E429)))&lt;Assumptions!$B$65,($B$404-$B$405)/(((Assumptions!$B$9+Assumptions!$B$11+Assumptions!$B$12+Assumptions!$B$13+Assumptions!$B$14)+G429+F429+D429+E429)+Assumptions!$B$65),($B$404*(1-$B$401)-$B$405)/((Assumptions!$B$9+Assumptions!$B$11+Assumptions!$B$12+Assumptions!$B$13+Assumptions!$B$14)+G429+F429+D429+E429))</f>
        <v/>
      </c>
      <c r="I429">
        <f>$B$404/H429</f>
        <v/>
      </c>
      <c r="J429">
        <f>$B$405/H429</f>
        <v/>
      </c>
      <c r="K429">
        <f>I429-J429</f>
        <v/>
      </c>
      <c r="L429">
        <f>Assumptions!$B$51/K429</f>
        <v/>
      </c>
      <c r="M429">
        <f>H429*(1-Assumptions!$B$52)</f>
        <v/>
      </c>
      <c r="N429">
        <f>MIN(L429,M429)</f>
        <v/>
      </c>
      <c r="O429">
        <f>Assumptions!$B$50/N429</f>
        <v/>
      </c>
      <c r="P429">
        <f>Assumptions!$B$54/K429</f>
        <v/>
      </c>
      <c r="Q429">
        <f>H429*(1-Assumptions!$B$55)</f>
        <v/>
      </c>
      <c r="R429">
        <f>MIN(P429,Q429)</f>
        <v/>
      </c>
      <c r="S429">
        <f>Assumptions!$B$53/R429</f>
        <v/>
      </c>
      <c r="T429">
        <f>Assumptions!$B$27*(Assumptions!$B$64+$B$405/Assumptions!$B$27)/(Assumptions!$B$64+J429)</f>
        <v/>
      </c>
      <c r="U429">
        <f>IF(H429&lt;Assumptions!$B$27,Assumptions!$B$27/T429,1)</f>
        <v/>
      </c>
      <c r="V429">
        <f>Assumptions!$B$26*(Assumptions!$B$64+$B$405/Assumptions!$B$26)/(Assumptions!$B$64+J429)</f>
        <v/>
      </c>
      <c r="W429">
        <f>IF(H429&lt;Assumptions!$B$26,Assumptions!$B$26/V429,1)</f>
        <v/>
      </c>
    </row>
    <row r="430">
      <c r="A430" t="n">
        <v>22</v>
      </c>
      <c r="B430">
        <f>U429</f>
        <v/>
      </c>
      <c r="C430">
        <f>W429</f>
        <v/>
      </c>
      <c r="D430">
        <f>O429</f>
        <v/>
      </c>
      <c r="E430">
        <f>S429</f>
        <v/>
      </c>
      <c r="F430">
        <f>Assumptions!$B$16*B430</f>
        <v/>
      </c>
      <c r="G430">
        <f>Assumptions!$B$15*C430</f>
        <v/>
      </c>
      <c r="H430">
        <f>IF($B$401*($B$404/(($B$404*(1-$B$401)-$B$405)/((Assumptions!$B$9+Assumptions!$B$11+Assumptions!$B$12+Assumptions!$B$13+Assumptions!$B$14)+G430+F430+D430+E430)))&lt;Assumptions!$B$65,($B$404-$B$405)/(((Assumptions!$B$9+Assumptions!$B$11+Assumptions!$B$12+Assumptions!$B$13+Assumptions!$B$14)+G430+F430+D430+E430)+Assumptions!$B$65),($B$404*(1-$B$401)-$B$405)/((Assumptions!$B$9+Assumptions!$B$11+Assumptions!$B$12+Assumptions!$B$13+Assumptions!$B$14)+G430+F430+D430+E430))</f>
        <v/>
      </c>
      <c r="I430">
        <f>$B$404/H430</f>
        <v/>
      </c>
      <c r="J430">
        <f>$B$405/H430</f>
        <v/>
      </c>
      <c r="K430">
        <f>I430-J430</f>
        <v/>
      </c>
      <c r="L430">
        <f>Assumptions!$B$51/K430</f>
        <v/>
      </c>
      <c r="M430">
        <f>H430*(1-Assumptions!$B$52)</f>
        <v/>
      </c>
      <c r="N430">
        <f>MIN(L430,M430)</f>
        <v/>
      </c>
      <c r="O430">
        <f>Assumptions!$B$50/N430</f>
        <v/>
      </c>
      <c r="P430">
        <f>Assumptions!$B$54/K430</f>
        <v/>
      </c>
      <c r="Q430">
        <f>H430*(1-Assumptions!$B$55)</f>
        <v/>
      </c>
      <c r="R430">
        <f>MIN(P430,Q430)</f>
        <v/>
      </c>
      <c r="S430">
        <f>Assumptions!$B$53/R430</f>
        <v/>
      </c>
      <c r="T430">
        <f>Assumptions!$B$27*(Assumptions!$B$64+$B$405/Assumptions!$B$27)/(Assumptions!$B$64+J430)</f>
        <v/>
      </c>
      <c r="U430">
        <f>IF(H430&lt;Assumptions!$B$27,Assumptions!$B$27/T430,1)</f>
        <v/>
      </c>
      <c r="V430">
        <f>Assumptions!$B$26*(Assumptions!$B$64+$B$405/Assumptions!$B$26)/(Assumptions!$B$64+J430)</f>
        <v/>
      </c>
      <c r="W430">
        <f>IF(H430&lt;Assumptions!$B$26,Assumptions!$B$26/V430,1)</f>
        <v/>
      </c>
    </row>
    <row r="431">
      <c r="A431" t="n">
        <v>23</v>
      </c>
      <c r="B431">
        <f>U430</f>
        <v/>
      </c>
      <c r="C431">
        <f>W430</f>
        <v/>
      </c>
      <c r="D431">
        <f>O430</f>
        <v/>
      </c>
      <c r="E431">
        <f>S430</f>
        <v/>
      </c>
      <c r="F431">
        <f>Assumptions!$B$16*B431</f>
        <v/>
      </c>
      <c r="G431">
        <f>Assumptions!$B$15*C431</f>
        <v/>
      </c>
      <c r="H431">
        <f>IF($B$401*($B$404/(($B$404*(1-$B$401)-$B$405)/((Assumptions!$B$9+Assumptions!$B$11+Assumptions!$B$12+Assumptions!$B$13+Assumptions!$B$14)+G431+F431+D431+E431)))&lt;Assumptions!$B$65,($B$404-$B$405)/(((Assumptions!$B$9+Assumptions!$B$11+Assumptions!$B$12+Assumptions!$B$13+Assumptions!$B$14)+G431+F431+D431+E431)+Assumptions!$B$65),($B$404*(1-$B$401)-$B$405)/((Assumptions!$B$9+Assumptions!$B$11+Assumptions!$B$12+Assumptions!$B$13+Assumptions!$B$14)+G431+F431+D431+E431))</f>
        <v/>
      </c>
      <c r="I431">
        <f>$B$404/H431</f>
        <v/>
      </c>
      <c r="J431">
        <f>$B$405/H431</f>
        <v/>
      </c>
      <c r="K431">
        <f>I431-J431</f>
        <v/>
      </c>
      <c r="L431">
        <f>Assumptions!$B$51/K431</f>
        <v/>
      </c>
      <c r="M431">
        <f>H431*(1-Assumptions!$B$52)</f>
        <v/>
      </c>
      <c r="N431">
        <f>MIN(L431,M431)</f>
        <v/>
      </c>
      <c r="O431">
        <f>Assumptions!$B$50/N431</f>
        <v/>
      </c>
      <c r="P431">
        <f>Assumptions!$B$54/K431</f>
        <v/>
      </c>
      <c r="Q431">
        <f>H431*(1-Assumptions!$B$55)</f>
        <v/>
      </c>
      <c r="R431">
        <f>MIN(P431,Q431)</f>
        <v/>
      </c>
      <c r="S431">
        <f>Assumptions!$B$53/R431</f>
        <v/>
      </c>
      <c r="T431">
        <f>Assumptions!$B$27*(Assumptions!$B$64+$B$405/Assumptions!$B$27)/(Assumptions!$B$64+J431)</f>
        <v/>
      </c>
      <c r="U431">
        <f>IF(H431&lt;Assumptions!$B$27,Assumptions!$B$27/T431,1)</f>
        <v/>
      </c>
      <c r="V431">
        <f>Assumptions!$B$26*(Assumptions!$B$64+$B$405/Assumptions!$B$26)/(Assumptions!$B$64+J431)</f>
        <v/>
      </c>
      <c r="W431">
        <f>IF(H431&lt;Assumptions!$B$26,Assumptions!$B$26/V431,1)</f>
        <v/>
      </c>
    </row>
    <row r="432">
      <c r="A432" t="n">
        <v>24</v>
      </c>
      <c r="B432">
        <f>U431</f>
        <v/>
      </c>
      <c r="C432">
        <f>W431</f>
        <v/>
      </c>
      <c r="D432">
        <f>O431</f>
        <v/>
      </c>
      <c r="E432">
        <f>S431</f>
        <v/>
      </c>
      <c r="F432">
        <f>Assumptions!$B$16*B432</f>
        <v/>
      </c>
      <c r="G432">
        <f>Assumptions!$B$15*C432</f>
        <v/>
      </c>
      <c r="H432">
        <f>IF($B$401*($B$404/(($B$404*(1-$B$401)-$B$405)/((Assumptions!$B$9+Assumptions!$B$11+Assumptions!$B$12+Assumptions!$B$13+Assumptions!$B$14)+G432+F432+D432+E432)))&lt;Assumptions!$B$65,($B$404-$B$405)/(((Assumptions!$B$9+Assumptions!$B$11+Assumptions!$B$12+Assumptions!$B$13+Assumptions!$B$14)+G432+F432+D432+E432)+Assumptions!$B$65),($B$404*(1-$B$401)-$B$405)/((Assumptions!$B$9+Assumptions!$B$11+Assumptions!$B$12+Assumptions!$B$13+Assumptions!$B$14)+G432+F432+D432+E432))</f>
        <v/>
      </c>
      <c r="I432">
        <f>$B$404/H432</f>
        <v/>
      </c>
      <c r="J432">
        <f>$B$405/H432</f>
        <v/>
      </c>
      <c r="K432">
        <f>I432-J432</f>
        <v/>
      </c>
      <c r="L432">
        <f>Assumptions!$B$51/K432</f>
        <v/>
      </c>
      <c r="M432">
        <f>H432*(1-Assumptions!$B$52)</f>
        <v/>
      </c>
      <c r="N432">
        <f>MIN(L432,M432)</f>
        <v/>
      </c>
      <c r="O432">
        <f>Assumptions!$B$50/N432</f>
        <v/>
      </c>
      <c r="P432">
        <f>Assumptions!$B$54/K432</f>
        <v/>
      </c>
      <c r="Q432">
        <f>H432*(1-Assumptions!$B$55)</f>
        <v/>
      </c>
      <c r="R432">
        <f>MIN(P432,Q432)</f>
        <v/>
      </c>
      <c r="S432">
        <f>Assumptions!$B$53/R432</f>
        <v/>
      </c>
      <c r="T432">
        <f>Assumptions!$B$27*(Assumptions!$B$64+$B$405/Assumptions!$B$27)/(Assumptions!$B$64+J432)</f>
        <v/>
      </c>
      <c r="U432">
        <f>IF(H432&lt;Assumptions!$B$27,Assumptions!$B$27/T432,1)</f>
        <v/>
      </c>
      <c r="V432">
        <f>Assumptions!$B$26*(Assumptions!$B$64+$B$405/Assumptions!$B$26)/(Assumptions!$B$64+J432)</f>
        <v/>
      </c>
      <c r="W432">
        <f>IF(H432&lt;Assumptions!$B$26,Assumptions!$B$26/V432,1)</f>
        <v/>
      </c>
    </row>
    <row r="433">
      <c r="A433" t="n">
        <v>25</v>
      </c>
      <c r="B433">
        <f>U432</f>
        <v/>
      </c>
      <c r="C433">
        <f>W432</f>
        <v/>
      </c>
      <c r="D433">
        <f>O432</f>
        <v/>
      </c>
      <c r="E433">
        <f>S432</f>
        <v/>
      </c>
      <c r="F433">
        <f>Assumptions!$B$16*B433</f>
        <v/>
      </c>
      <c r="G433">
        <f>Assumptions!$B$15*C433</f>
        <v/>
      </c>
      <c r="H433">
        <f>IF($B$401*($B$404/(($B$404*(1-$B$401)-$B$405)/((Assumptions!$B$9+Assumptions!$B$11+Assumptions!$B$12+Assumptions!$B$13+Assumptions!$B$14)+G433+F433+D433+E433)))&lt;Assumptions!$B$65,($B$404-$B$405)/(((Assumptions!$B$9+Assumptions!$B$11+Assumptions!$B$12+Assumptions!$B$13+Assumptions!$B$14)+G433+F433+D433+E433)+Assumptions!$B$65),($B$404*(1-$B$401)-$B$405)/((Assumptions!$B$9+Assumptions!$B$11+Assumptions!$B$12+Assumptions!$B$13+Assumptions!$B$14)+G433+F433+D433+E433))</f>
        <v/>
      </c>
      <c r="I433">
        <f>$B$404/H433</f>
        <v/>
      </c>
      <c r="J433">
        <f>$B$405/H433</f>
        <v/>
      </c>
      <c r="K433">
        <f>I433-J433</f>
        <v/>
      </c>
      <c r="L433">
        <f>Assumptions!$B$51/K433</f>
        <v/>
      </c>
      <c r="M433">
        <f>H433*(1-Assumptions!$B$52)</f>
        <v/>
      </c>
      <c r="N433">
        <f>MIN(L433,M433)</f>
        <v/>
      </c>
      <c r="O433">
        <f>Assumptions!$B$50/N433</f>
        <v/>
      </c>
      <c r="P433">
        <f>Assumptions!$B$54/K433</f>
        <v/>
      </c>
      <c r="Q433">
        <f>H433*(1-Assumptions!$B$55)</f>
        <v/>
      </c>
      <c r="R433">
        <f>MIN(P433,Q433)</f>
        <v/>
      </c>
      <c r="S433">
        <f>Assumptions!$B$53/R433</f>
        <v/>
      </c>
      <c r="T433">
        <f>Assumptions!$B$27*(Assumptions!$B$64+$B$405/Assumptions!$B$27)/(Assumptions!$B$64+J433)</f>
        <v/>
      </c>
      <c r="U433">
        <f>IF(H433&lt;Assumptions!$B$27,Assumptions!$B$27/T433,1)</f>
        <v/>
      </c>
      <c r="V433">
        <f>Assumptions!$B$26*(Assumptions!$B$64+$B$405/Assumptions!$B$26)/(Assumptions!$B$64+J433)</f>
        <v/>
      </c>
      <c r="W433">
        <f>IF(H433&lt;Assumptions!$B$26,Assumptions!$B$26/V433,1)</f>
        <v/>
      </c>
    </row>
    <row r="434">
      <c r="A434" t="n">
        <v>26</v>
      </c>
      <c r="B434">
        <f>U433</f>
        <v/>
      </c>
      <c r="C434">
        <f>W433</f>
        <v/>
      </c>
      <c r="D434">
        <f>O433</f>
        <v/>
      </c>
      <c r="E434">
        <f>S433</f>
        <v/>
      </c>
      <c r="F434">
        <f>Assumptions!$B$16*B434</f>
        <v/>
      </c>
      <c r="G434">
        <f>Assumptions!$B$15*C434</f>
        <v/>
      </c>
      <c r="H434">
        <f>IF($B$401*($B$404/(($B$404*(1-$B$401)-$B$405)/((Assumptions!$B$9+Assumptions!$B$11+Assumptions!$B$12+Assumptions!$B$13+Assumptions!$B$14)+G434+F434+D434+E434)))&lt;Assumptions!$B$65,($B$404-$B$405)/(((Assumptions!$B$9+Assumptions!$B$11+Assumptions!$B$12+Assumptions!$B$13+Assumptions!$B$14)+G434+F434+D434+E434)+Assumptions!$B$65),($B$404*(1-$B$401)-$B$405)/((Assumptions!$B$9+Assumptions!$B$11+Assumptions!$B$12+Assumptions!$B$13+Assumptions!$B$14)+G434+F434+D434+E434))</f>
        <v/>
      </c>
      <c r="I434">
        <f>$B$404/H434</f>
        <v/>
      </c>
      <c r="J434">
        <f>$B$405/H434</f>
        <v/>
      </c>
      <c r="K434">
        <f>I434-J434</f>
        <v/>
      </c>
      <c r="L434">
        <f>Assumptions!$B$51/K434</f>
        <v/>
      </c>
      <c r="M434">
        <f>H434*(1-Assumptions!$B$52)</f>
        <v/>
      </c>
      <c r="N434">
        <f>MIN(L434,M434)</f>
        <v/>
      </c>
      <c r="O434">
        <f>Assumptions!$B$50/N434</f>
        <v/>
      </c>
      <c r="P434">
        <f>Assumptions!$B$54/K434</f>
        <v/>
      </c>
      <c r="Q434">
        <f>H434*(1-Assumptions!$B$55)</f>
        <v/>
      </c>
      <c r="R434">
        <f>MIN(P434,Q434)</f>
        <v/>
      </c>
      <c r="S434">
        <f>Assumptions!$B$53/R434</f>
        <v/>
      </c>
      <c r="T434">
        <f>Assumptions!$B$27*(Assumptions!$B$64+$B$405/Assumptions!$B$27)/(Assumptions!$B$64+J434)</f>
        <v/>
      </c>
      <c r="U434">
        <f>IF(H434&lt;Assumptions!$B$27,Assumptions!$B$27/T434,1)</f>
        <v/>
      </c>
      <c r="V434">
        <f>Assumptions!$B$26*(Assumptions!$B$64+$B$405/Assumptions!$B$26)/(Assumptions!$B$64+J434)</f>
        <v/>
      </c>
      <c r="W434">
        <f>IF(H434&lt;Assumptions!$B$26,Assumptions!$B$26/V434,1)</f>
        <v/>
      </c>
    </row>
    <row r="435">
      <c r="A435" t="n">
        <v>27</v>
      </c>
      <c r="B435">
        <f>U434</f>
        <v/>
      </c>
      <c r="C435">
        <f>W434</f>
        <v/>
      </c>
      <c r="D435">
        <f>O434</f>
        <v/>
      </c>
      <c r="E435">
        <f>S434</f>
        <v/>
      </c>
      <c r="F435">
        <f>Assumptions!$B$16*B435</f>
        <v/>
      </c>
      <c r="G435">
        <f>Assumptions!$B$15*C435</f>
        <v/>
      </c>
      <c r="H435">
        <f>IF($B$401*($B$404/(($B$404*(1-$B$401)-$B$405)/((Assumptions!$B$9+Assumptions!$B$11+Assumptions!$B$12+Assumptions!$B$13+Assumptions!$B$14)+G435+F435+D435+E435)))&lt;Assumptions!$B$65,($B$404-$B$405)/(((Assumptions!$B$9+Assumptions!$B$11+Assumptions!$B$12+Assumptions!$B$13+Assumptions!$B$14)+G435+F435+D435+E435)+Assumptions!$B$65),($B$404*(1-$B$401)-$B$405)/((Assumptions!$B$9+Assumptions!$B$11+Assumptions!$B$12+Assumptions!$B$13+Assumptions!$B$14)+G435+F435+D435+E435))</f>
        <v/>
      </c>
      <c r="I435">
        <f>$B$404/H435</f>
        <v/>
      </c>
      <c r="J435">
        <f>$B$405/H435</f>
        <v/>
      </c>
      <c r="K435">
        <f>I435-J435</f>
        <v/>
      </c>
      <c r="L435">
        <f>Assumptions!$B$51/K435</f>
        <v/>
      </c>
      <c r="M435">
        <f>H435*(1-Assumptions!$B$52)</f>
        <v/>
      </c>
      <c r="N435">
        <f>MIN(L435,M435)</f>
        <v/>
      </c>
      <c r="O435">
        <f>Assumptions!$B$50/N435</f>
        <v/>
      </c>
      <c r="P435">
        <f>Assumptions!$B$54/K435</f>
        <v/>
      </c>
      <c r="Q435">
        <f>H435*(1-Assumptions!$B$55)</f>
        <v/>
      </c>
      <c r="R435">
        <f>MIN(P435,Q435)</f>
        <v/>
      </c>
      <c r="S435">
        <f>Assumptions!$B$53/R435</f>
        <v/>
      </c>
      <c r="T435">
        <f>Assumptions!$B$27*(Assumptions!$B$64+$B$405/Assumptions!$B$27)/(Assumptions!$B$64+J435)</f>
        <v/>
      </c>
      <c r="U435">
        <f>IF(H435&lt;Assumptions!$B$27,Assumptions!$B$27/T435,1)</f>
        <v/>
      </c>
      <c r="V435">
        <f>Assumptions!$B$26*(Assumptions!$B$64+$B$405/Assumptions!$B$26)/(Assumptions!$B$64+J435)</f>
        <v/>
      </c>
      <c r="W435">
        <f>IF(H435&lt;Assumptions!$B$26,Assumptions!$B$26/V435,1)</f>
        <v/>
      </c>
    </row>
    <row r="436">
      <c r="A436" t="n">
        <v>28</v>
      </c>
      <c r="B436">
        <f>U435</f>
        <v/>
      </c>
      <c r="C436">
        <f>W435</f>
        <v/>
      </c>
      <c r="D436">
        <f>O435</f>
        <v/>
      </c>
      <c r="E436">
        <f>S435</f>
        <v/>
      </c>
      <c r="F436">
        <f>Assumptions!$B$16*B436</f>
        <v/>
      </c>
      <c r="G436">
        <f>Assumptions!$B$15*C436</f>
        <v/>
      </c>
      <c r="H436">
        <f>IF($B$401*($B$404/(($B$404*(1-$B$401)-$B$405)/((Assumptions!$B$9+Assumptions!$B$11+Assumptions!$B$12+Assumptions!$B$13+Assumptions!$B$14)+G436+F436+D436+E436)))&lt;Assumptions!$B$65,($B$404-$B$405)/(((Assumptions!$B$9+Assumptions!$B$11+Assumptions!$B$12+Assumptions!$B$13+Assumptions!$B$14)+G436+F436+D436+E436)+Assumptions!$B$65),($B$404*(1-$B$401)-$B$405)/((Assumptions!$B$9+Assumptions!$B$11+Assumptions!$B$12+Assumptions!$B$13+Assumptions!$B$14)+G436+F436+D436+E436))</f>
        <v/>
      </c>
      <c r="I436">
        <f>$B$404/H436</f>
        <v/>
      </c>
      <c r="J436">
        <f>$B$405/H436</f>
        <v/>
      </c>
      <c r="K436">
        <f>I436-J436</f>
        <v/>
      </c>
      <c r="L436">
        <f>Assumptions!$B$51/K436</f>
        <v/>
      </c>
      <c r="M436">
        <f>H436*(1-Assumptions!$B$52)</f>
        <v/>
      </c>
      <c r="N436">
        <f>MIN(L436,M436)</f>
        <v/>
      </c>
      <c r="O436">
        <f>Assumptions!$B$50/N436</f>
        <v/>
      </c>
      <c r="P436">
        <f>Assumptions!$B$54/K436</f>
        <v/>
      </c>
      <c r="Q436">
        <f>H436*(1-Assumptions!$B$55)</f>
        <v/>
      </c>
      <c r="R436">
        <f>MIN(P436,Q436)</f>
        <v/>
      </c>
      <c r="S436">
        <f>Assumptions!$B$53/R436</f>
        <v/>
      </c>
      <c r="T436">
        <f>Assumptions!$B$27*(Assumptions!$B$64+$B$405/Assumptions!$B$27)/(Assumptions!$B$64+J436)</f>
        <v/>
      </c>
      <c r="U436">
        <f>IF(H436&lt;Assumptions!$B$27,Assumptions!$B$27/T436,1)</f>
        <v/>
      </c>
      <c r="V436">
        <f>Assumptions!$B$26*(Assumptions!$B$64+$B$405/Assumptions!$B$26)/(Assumptions!$B$64+J436)</f>
        <v/>
      </c>
      <c r="W436">
        <f>IF(H436&lt;Assumptions!$B$26,Assumptions!$B$26/V436,1)</f>
        <v/>
      </c>
    </row>
    <row r="437">
      <c r="A437" t="n">
        <v>29</v>
      </c>
      <c r="B437">
        <f>U436</f>
        <v/>
      </c>
      <c r="C437">
        <f>W436</f>
        <v/>
      </c>
      <c r="D437">
        <f>O436</f>
        <v/>
      </c>
      <c r="E437">
        <f>S436</f>
        <v/>
      </c>
      <c r="F437">
        <f>Assumptions!$B$16*B437</f>
        <v/>
      </c>
      <c r="G437">
        <f>Assumptions!$B$15*C437</f>
        <v/>
      </c>
      <c r="H437">
        <f>IF($B$401*($B$404/(($B$404*(1-$B$401)-$B$405)/((Assumptions!$B$9+Assumptions!$B$11+Assumptions!$B$12+Assumptions!$B$13+Assumptions!$B$14)+G437+F437+D437+E437)))&lt;Assumptions!$B$65,($B$404-$B$405)/(((Assumptions!$B$9+Assumptions!$B$11+Assumptions!$B$12+Assumptions!$B$13+Assumptions!$B$14)+G437+F437+D437+E437)+Assumptions!$B$65),($B$404*(1-$B$401)-$B$405)/((Assumptions!$B$9+Assumptions!$B$11+Assumptions!$B$12+Assumptions!$B$13+Assumptions!$B$14)+G437+F437+D437+E437))</f>
        <v/>
      </c>
      <c r="I437">
        <f>$B$404/H437</f>
        <v/>
      </c>
      <c r="J437">
        <f>$B$405/H437</f>
        <v/>
      </c>
      <c r="K437">
        <f>I437-J437</f>
        <v/>
      </c>
      <c r="L437">
        <f>Assumptions!$B$51/K437</f>
        <v/>
      </c>
      <c r="M437">
        <f>H437*(1-Assumptions!$B$52)</f>
        <v/>
      </c>
      <c r="N437">
        <f>MIN(L437,M437)</f>
        <v/>
      </c>
      <c r="O437">
        <f>Assumptions!$B$50/N437</f>
        <v/>
      </c>
      <c r="P437">
        <f>Assumptions!$B$54/K437</f>
        <v/>
      </c>
      <c r="Q437">
        <f>H437*(1-Assumptions!$B$55)</f>
        <v/>
      </c>
      <c r="R437">
        <f>MIN(P437,Q437)</f>
        <v/>
      </c>
      <c r="S437">
        <f>Assumptions!$B$53/R437</f>
        <v/>
      </c>
      <c r="T437">
        <f>Assumptions!$B$27*(Assumptions!$B$64+$B$405/Assumptions!$B$27)/(Assumptions!$B$64+J437)</f>
        <v/>
      </c>
      <c r="U437">
        <f>IF(H437&lt;Assumptions!$B$27,Assumptions!$B$27/T437,1)</f>
        <v/>
      </c>
      <c r="V437">
        <f>Assumptions!$B$26*(Assumptions!$B$64+$B$405/Assumptions!$B$26)/(Assumptions!$B$64+J437)</f>
        <v/>
      </c>
      <c r="W437">
        <f>IF(H437&lt;Assumptions!$B$26,Assumptions!$B$26/V437,1)</f>
        <v/>
      </c>
    </row>
    <row r="438">
      <c r="A438" t="n">
        <v>30</v>
      </c>
      <c r="B438">
        <f>U437</f>
        <v/>
      </c>
      <c r="C438">
        <f>W437</f>
        <v/>
      </c>
      <c r="D438">
        <f>O437</f>
        <v/>
      </c>
      <c r="E438">
        <f>S437</f>
        <v/>
      </c>
      <c r="F438">
        <f>Assumptions!$B$16*B438</f>
        <v/>
      </c>
      <c r="G438">
        <f>Assumptions!$B$15*C438</f>
        <v/>
      </c>
      <c r="H438">
        <f>IF($B$401*($B$404/(($B$404*(1-$B$401)-$B$405)/((Assumptions!$B$9+Assumptions!$B$11+Assumptions!$B$12+Assumptions!$B$13+Assumptions!$B$14)+G438+F438+D438+E438)))&lt;Assumptions!$B$65,($B$404-$B$405)/(((Assumptions!$B$9+Assumptions!$B$11+Assumptions!$B$12+Assumptions!$B$13+Assumptions!$B$14)+G438+F438+D438+E438)+Assumptions!$B$65),($B$404*(1-$B$401)-$B$405)/((Assumptions!$B$9+Assumptions!$B$11+Assumptions!$B$12+Assumptions!$B$13+Assumptions!$B$14)+G438+F438+D438+E438))</f>
        <v/>
      </c>
      <c r="I438">
        <f>$B$404/H438</f>
        <v/>
      </c>
      <c r="J438">
        <f>$B$405/H438</f>
        <v/>
      </c>
      <c r="K438">
        <f>I438-J438</f>
        <v/>
      </c>
      <c r="L438">
        <f>Assumptions!$B$51/K438</f>
        <v/>
      </c>
      <c r="M438">
        <f>H438*(1-Assumptions!$B$52)</f>
        <v/>
      </c>
      <c r="N438">
        <f>MIN(L438,M438)</f>
        <v/>
      </c>
      <c r="O438">
        <f>Assumptions!$B$50/N438</f>
        <v/>
      </c>
      <c r="P438">
        <f>Assumptions!$B$54/K438</f>
        <v/>
      </c>
      <c r="Q438">
        <f>H438*(1-Assumptions!$B$55)</f>
        <v/>
      </c>
      <c r="R438">
        <f>MIN(P438,Q438)</f>
        <v/>
      </c>
      <c r="S438">
        <f>Assumptions!$B$53/R438</f>
        <v/>
      </c>
      <c r="T438">
        <f>Assumptions!$B$27*(Assumptions!$B$64+$B$405/Assumptions!$B$27)/(Assumptions!$B$64+J438)</f>
        <v/>
      </c>
      <c r="U438">
        <f>IF(H438&lt;Assumptions!$B$27,Assumptions!$B$27/T438,1)</f>
        <v/>
      </c>
      <c r="V438">
        <f>Assumptions!$B$26*(Assumptions!$B$64+$B$405/Assumptions!$B$26)/(Assumptions!$B$64+J438)</f>
        <v/>
      </c>
      <c r="W438">
        <f>IF(H438&lt;Assumptions!$B$26,Assumptions!$B$26/V438,1)</f>
        <v/>
      </c>
    </row>
    <row r="439">
      <c r="A439" t="n">
        <v>31</v>
      </c>
      <c r="B439">
        <f>U438</f>
        <v/>
      </c>
      <c r="C439">
        <f>W438</f>
        <v/>
      </c>
      <c r="D439">
        <f>O438</f>
        <v/>
      </c>
      <c r="E439">
        <f>S438</f>
        <v/>
      </c>
      <c r="F439">
        <f>Assumptions!$B$16*B439</f>
        <v/>
      </c>
      <c r="G439">
        <f>Assumptions!$B$15*C439</f>
        <v/>
      </c>
      <c r="H439">
        <f>IF($B$401*($B$404/(($B$404*(1-$B$401)-$B$405)/((Assumptions!$B$9+Assumptions!$B$11+Assumptions!$B$12+Assumptions!$B$13+Assumptions!$B$14)+G439+F439+D439+E439)))&lt;Assumptions!$B$65,($B$404-$B$405)/(((Assumptions!$B$9+Assumptions!$B$11+Assumptions!$B$12+Assumptions!$B$13+Assumptions!$B$14)+G439+F439+D439+E439)+Assumptions!$B$65),($B$404*(1-$B$401)-$B$405)/((Assumptions!$B$9+Assumptions!$B$11+Assumptions!$B$12+Assumptions!$B$13+Assumptions!$B$14)+G439+F439+D439+E439))</f>
        <v/>
      </c>
      <c r="I439">
        <f>$B$404/H439</f>
        <v/>
      </c>
      <c r="J439">
        <f>$B$405/H439</f>
        <v/>
      </c>
      <c r="K439">
        <f>I439-J439</f>
        <v/>
      </c>
      <c r="L439">
        <f>Assumptions!$B$51/K439</f>
        <v/>
      </c>
      <c r="M439">
        <f>H439*(1-Assumptions!$B$52)</f>
        <v/>
      </c>
      <c r="N439">
        <f>MIN(L439,M439)</f>
        <v/>
      </c>
      <c r="O439">
        <f>Assumptions!$B$50/N439</f>
        <v/>
      </c>
      <c r="P439">
        <f>Assumptions!$B$54/K439</f>
        <v/>
      </c>
      <c r="Q439">
        <f>H439*(1-Assumptions!$B$55)</f>
        <v/>
      </c>
      <c r="R439">
        <f>MIN(P439,Q439)</f>
        <v/>
      </c>
      <c r="S439">
        <f>Assumptions!$B$53/R439</f>
        <v/>
      </c>
      <c r="T439">
        <f>Assumptions!$B$27*(Assumptions!$B$64+$B$405/Assumptions!$B$27)/(Assumptions!$B$64+J439)</f>
        <v/>
      </c>
      <c r="U439">
        <f>IF(H439&lt;Assumptions!$B$27,Assumptions!$B$27/T439,1)</f>
        <v/>
      </c>
      <c r="V439">
        <f>Assumptions!$B$26*(Assumptions!$B$64+$B$405/Assumptions!$B$26)/(Assumptions!$B$64+J439)</f>
        <v/>
      </c>
      <c r="W439">
        <f>IF(H439&lt;Assumptions!$B$26,Assumptions!$B$26/V439,1)</f>
        <v/>
      </c>
    </row>
    <row r="440">
      <c r="A440" t="n">
        <v>32</v>
      </c>
      <c r="B440">
        <f>U439</f>
        <v/>
      </c>
      <c r="C440">
        <f>W439</f>
        <v/>
      </c>
      <c r="D440">
        <f>O439</f>
        <v/>
      </c>
      <c r="E440">
        <f>S439</f>
        <v/>
      </c>
      <c r="F440">
        <f>Assumptions!$B$16*B440</f>
        <v/>
      </c>
      <c r="G440">
        <f>Assumptions!$B$15*C440</f>
        <v/>
      </c>
      <c r="H440">
        <f>IF($B$401*($B$404/(($B$404*(1-$B$401)-$B$405)/((Assumptions!$B$9+Assumptions!$B$11+Assumptions!$B$12+Assumptions!$B$13+Assumptions!$B$14)+G440+F440+D440+E440)))&lt;Assumptions!$B$65,($B$404-$B$405)/(((Assumptions!$B$9+Assumptions!$B$11+Assumptions!$B$12+Assumptions!$B$13+Assumptions!$B$14)+G440+F440+D440+E440)+Assumptions!$B$65),($B$404*(1-$B$401)-$B$405)/((Assumptions!$B$9+Assumptions!$B$11+Assumptions!$B$12+Assumptions!$B$13+Assumptions!$B$14)+G440+F440+D440+E440))</f>
        <v/>
      </c>
      <c r="I440">
        <f>$B$404/H440</f>
        <v/>
      </c>
      <c r="J440">
        <f>$B$405/H440</f>
        <v/>
      </c>
      <c r="K440">
        <f>I440-J440</f>
        <v/>
      </c>
      <c r="L440">
        <f>Assumptions!$B$51/K440</f>
        <v/>
      </c>
      <c r="M440">
        <f>H440*(1-Assumptions!$B$52)</f>
        <v/>
      </c>
      <c r="N440">
        <f>MIN(L440,M440)</f>
        <v/>
      </c>
      <c r="O440">
        <f>Assumptions!$B$50/N440</f>
        <v/>
      </c>
      <c r="P440">
        <f>Assumptions!$B$54/K440</f>
        <v/>
      </c>
      <c r="Q440">
        <f>H440*(1-Assumptions!$B$55)</f>
        <v/>
      </c>
      <c r="R440">
        <f>MIN(P440,Q440)</f>
        <v/>
      </c>
      <c r="S440">
        <f>Assumptions!$B$53/R440</f>
        <v/>
      </c>
      <c r="T440">
        <f>Assumptions!$B$27*(Assumptions!$B$64+$B$405/Assumptions!$B$27)/(Assumptions!$B$64+J440)</f>
        <v/>
      </c>
      <c r="U440">
        <f>IF(H440&lt;Assumptions!$B$27,Assumptions!$B$27/T440,1)</f>
        <v/>
      </c>
      <c r="V440">
        <f>Assumptions!$B$26*(Assumptions!$B$64+$B$405/Assumptions!$B$26)/(Assumptions!$B$64+J440)</f>
        <v/>
      </c>
      <c r="W440">
        <f>IF(H440&lt;Assumptions!$B$26,Assumptions!$B$26/V440,1)</f>
        <v/>
      </c>
    </row>
    <row r="441">
      <c r="A441" t="n">
        <v>33</v>
      </c>
      <c r="B441">
        <f>U440</f>
        <v/>
      </c>
      <c r="C441">
        <f>W440</f>
        <v/>
      </c>
      <c r="D441">
        <f>O440</f>
        <v/>
      </c>
      <c r="E441">
        <f>S440</f>
        <v/>
      </c>
      <c r="F441">
        <f>Assumptions!$B$16*B441</f>
        <v/>
      </c>
      <c r="G441">
        <f>Assumptions!$B$15*C441</f>
        <v/>
      </c>
      <c r="H441">
        <f>IF($B$401*($B$404/(($B$404*(1-$B$401)-$B$405)/((Assumptions!$B$9+Assumptions!$B$11+Assumptions!$B$12+Assumptions!$B$13+Assumptions!$B$14)+G441+F441+D441+E441)))&lt;Assumptions!$B$65,($B$404-$B$405)/(((Assumptions!$B$9+Assumptions!$B$11+Assumptions!$B$12+Assumptions!$B$13+Assumptions!$B$14)+G441+F441+D441+E441)+Assumptions!$B$65),($B$404*(1-$B$401)-$B$405)/((Assumptions!$B$9+Assumptions!$B$11+Assumptions!$B$12+Assumptions!$B$13+Assumptions!$B$14)+G441+F441+D441+E441))</f>
        <v/>
      </c>
      <c r="I441">
        <f>$B$404/H441</f>
        <v/>
      </c>
      <c r="J441">
        <f>$B$405/H441</f>
        <v/>
      </c>
      <c r="K441">
        <f>I441-J441</f>
        <v/>
      </c>
      <c r="L441">
        <f>Assumptions!$B$51/K441</f>
        <v/>
      </c>
      <c r="M441">
        <f>H441*(1-Assumptions!$B$52)</f>
        <v/>
      </c>
      <c r="N441">
        <f>MIN(L441,M441)</f>
        <v/>
      </c>
      <c r="O441">
        <f>Assumptions!$B$50/N441</f>
        <v/>
      </c>
      <c r="P441">
        <f>Assumptions!$B$54/K441</f>
        <v/>
      </c>
      <c r="Q441">
        <f>H441*(1-Assumptions!$B$55)</f>
        <v/>
      </c>
      <c r="R441">
        <f>MIN(P441,Q441)</f>
        <v/>
      </c>
      <c r="S441">
        <f>Assumptions!$B$53/R441</f>
        <v/>
      </c>
      <c r="T441">
        <f>Assumptions!$B$27*(Assumptions!$B$64+$B$405/Assumptions!$B$27)/(Assumptions!$B$64+J441)</f>
        <v/>
      </c>
      <c r="U441">
        <f>IF(H441&lt;Assumptions!$B$27,Assumptions!$B$27/T441,1)</f>
        <v/>
      </c>
      <c r="V441">
        <f>Assumptions!$B$26*(Assumptions!$B$64+$B$405/Assumptions!$B$26)/(Assumptions!$B$64+J441)</f>
        <v/>
      </c>
      <c r="W441">
        <f>IF(H441&lt;Assumptions!$B$26,Assumptions!$B$26/V441,1)</f>
        <v/>
      </c>
    </row>
    <row r="442">
      <c r="A442" t="n">
        <v>34</v>
      </c>
      <c r="B442">
        <f>U441</f>
        <v/>
      </c>
      <c r="C442">
        <f>W441</f>
        <v/>
      </c>
      <c r="D442">
        <f>O441</f>
        <v/>
      </c>
      <c r="E442">
        <f>S441</f>
        <v/>
      </c>
      <c r="F442">
        <f>Assumptions!$B$16*B442</f>
        <v/>
      </c>
      <c r="G442">
        <f>Assumptions!$B$15*C442</f>
        <v/>
      </c>
      <c r="H442">
        <f>IF($B$401*($B$404/(($B$404*(1-$B$401)-$B$405)/((Assumptions!$B$9+Assumptions!$B$11+Assumptions!$B$12+Assumptions!$B$13+Assumptions!$B$14)+G442+F442+D442+E442)))&lt;Assumptions!$B$65,($B$404-$B$405)/(((Assumptions!$B$9+Assumptions!$B$11+Assumptions!$B$12+Assumptions!$B$13+Assumptions!$B$14)+G442+F442+D442+E442)+Assumptions!$B$65),($B$404*(1-$B$401)-$B$405)/((Assumptions!$B$9+Assumptions!$B$11+Assumptions!$B$12+Assumptions!$B$13+Assumptions!$B$14)+G442+F442+D442+E442))</f>
        <v/>
      </c>
      <c r="I442">
        <f>$B$404/H442</f>
        <v/>
      </c>
      <c r="J442">
        <f>$B$405/H442</f>
        <v/>
      </c>
      <c r="K442">
        <f>I442-J442</f>
        <v/>
      </c>
      <c r="L442">
        <f>Assumptions!$B$51/K442</f>
        <v/>
      </c>
      <c r="M442">
        <f>H442*(1-Assumptions!$B$52)</f>
        <v/>
      </c>
      <c r="N442">
        <f>MIN(L442,M442)</f>
        <v/>
      </c>
      <c r="O442">
        <f>Assumptions!$B$50/N442</f>
        <v/>
      </c>
      <c r="P442">
        <f>Assumptions!$B$54/K442</f>
        <v/>
      </c>
      <c r="Q442">
        <f>H442*(1-Assumptions!$B$55)</f>
        <v/>
      </c>
      <c r="R442">
        <f>MIN(P442,Q442)</f>
        <v/>
      </c>
      <c r="S442">
        <f>Assumptions!$B$53/R442</f>
        <v/>
      </c>
      <c r="T442">
        <f>Assumptions!$B$27*(Assumptions!$B$64+$B$405/Assumptions!$B$27)/(Assumptions!$B$64+J442)</f>
        <v/>
      </c>
      <c r="U442">
        <f>IF(H442&lt;Assumptions!$B$27,Assumptions!$B$27/T442,1)</f>
        <v/>
      </c>
      <c r="V442">
        <f>Assumptions!$B$26*(Assumptions!$B$64+$B$405/Assumptions!$B$26)/(Assumptions!$B$64+J442)</f>
        <v/>
      </c>
      <c r="W442">
        <f>IF(H442&lt;Assumptions!$B$26,Assumptions!$B$26/V442,1)</f>
        <v/>
      </c>
    </row>
    <row r="443">
      <c r="A443" t="n">
        <v>35</v>
      </c>
      <c r="B443">
        <f>U442</f>
        <v/>
      </c>
      <c r="C443">
        <f>W442</f>
        <v/>
      </c>
      <c r="D443">
        <f>O442</f>
        <v/>
      </c>
      <c r="E443">
        <f>S442</f>
        <v/>
      </c>
      <c r="F443">
        <f>Assumptions!$B$16*B443</f>
        <v/>
      </c>
      <c r="G443">
        <f>Assumptions!$B$15*C443</f>
        <v/>
      </c>
      <c r="H443">
        <f>IF($B$401*($B$404/(($B$404*(1-$B$401)-$B$405)/((Assumptions!$B$9+Assumptions!$B$11+Assumptions!$B$12+Assumptions!$B$13+Assumptions!$B$14)+G443+F443+D443+E443)))&lt;Assumptions!$B$65,($B$404-$B$405)/(((Assumptions!$B$9+Assumptions!$B$11+Assumptions!$B$12+Assumptions!$B$13+Assumptions!$B$14)+G443+F443+D443+E443)+Assumptions!$B$65),($B$404*(1-$B$401)-$B$405)/((Assumptions!$B$9+Assumptions!$B$11+Assumptions!$B$12+Assumptions!$B$13+Assumptions!$B$14)+G443+F443+D443+E443))</f>
        <v/>
      </c>
      <c r="I443">
        <f>$B$404/H443</f>
        <v/>
      </c>
      <c r="J443">
        <f>$B$405/H443</f>
        <v/>
      </c>
      <c r="K443">
        <f>I443-J443</f>
        <v/>
      </c>
      <c r="L443">
        <f>Assumptions!$B$51/K443</f>
        <v/>
      </c>
      <c r="M443">
        <f>H443*(1-Assumptions!$B$52)</f>
        <v/>
      </c>
      <c r="N443">
        <f>MIN(L443,M443)</f>
        <v/>
      </c>
      <c r="O443">
        <f>Assumptions!$B$50/N443</f>
        <v/>
      </c>
      <c r="P443">
        <f>Assumptions!$B$54/K443</f>
        <v/>
      </c>
      <c r="Q443">
        <f>H443*(1-Assumptions!$B$55)</f>
        <v/>
      </c>
      <c r="R443">
        <f>MIN(P443,Q443)</f>
        <v/>
      </c>
      <c r="S443">
        <f>Assumptions!$B$53/R443</f>
        <v/>
      </c>
      <c r="T443">
        <f>Assumptions!$B$27*(Assumptions!$B$64+$B$405/Assumptions!$B$27)/(Assumptions!$B$64+J443)</f>
        <v/>
      </c>
      <c r="U443">
        <f>IF(H443&lt;Assumptions!$B$27,Assumptions!$B$27/T443,1)</f>
        <v/>
      </c>
      <c r="V443">
        <f>Assumptions!$B$26*(Assumptions!$B$64+$B$405/Assumptions!$B$26)/(Assumptions!$B$64+J443)</f>
        <v/>
      </c>
      <c r="W443">
        <f>IF(H443&lt;Assumptions!$B$26,Assumptions!$B$26/V443,1)</f>
        <v/>
      </c>
    </row>
    <row r="444">
      <c r="A444" t="n">
        <v>36</v>
      </c>
      <c r="B444">
        <f>U443</f>
        <v/>
      </c>
      <c r="C444">
        <f>W443</f>
        <v/>
      </c>
      <c r="D444">
        <f>O443</f>
        <v/>
      </c>
      <c r="E444">
        <f>S443</f>
        <v/>
      </c>
      <c r="F444">
        <f>Assumptions!$B$16*B444</f>
        <v/>
      </c>
      <c r="G444">
        <f>Assumptions!$B$15*C444</f>
        <v/>
      </c>
      <c r="H444">
        <f>IF($B$401*($B$404/(($B$404*(1-$B$401)-$B$405)/((Assumptions!$B$9+Assumptions!$B$11+Assumptions!$B$12+Assumptions!$B$13+Assumptions!$B$14)+G444+F444+D444+E444)))&lt;Assumptions!$B$65,($B$404-$B$405)/(((Assumptions!$B$9+Assumptions!$B$11+Assumptions!$B$12+Assumptions!$B$13+Assumptions!$B$14)+G444+F444+D444+E444)+Assumptions!$B$65),($B$404*(1-$B$401)-$B$405)/((Assumptions!$B$9+Assumptions!$B$11+Assumptions!$B$12+Assumptions!$B$13+Assumptions!$B$14)+G444+F444+D444+E444))</f>
        <v/>
      </c>
      <c r="I444">
        <f>$B$404/H444</f>
        <v/>
      </c>
      <c r="J444">
        <f>$B$405/H444</f>
        <v/>
      </c>
      <c r="K444">
        <f>I444-J444</f>
        <v/>
      </c>
      <c r="L444">
        <f>Assumptions!$B$51/K444</f>
        <v/>
      </c>
      <c r="M444">
        <f>H444*(1-Assumptions!$B$52)</f>
        <v/>
      </c>
      <c r="N444">
        <f>MIN(L444,M444)</f>
        <v/>
      </c>
      <c r="O444">
        <f>Assumptions!$B$50/N444</f>
        <v/>
      </c>
      <c r="P444">
        <f>Assumptions!$B$54/K444</f>
        <v/>
      </c>
      <c r="Q444">
        <f>H444*(1-Assumptions!$B$55)</f>
        <v/>
      </c>
      <c r="R444">
        <f>MIN(P444,Q444)</f>
        <v/>
      </c>
      <c r="S444">
        <f>Assumptions!$B$53/R444</f>
        <v/>
      </c>
      <c r="T444">
        <f>Assumptions!$B$27*(Assumptions!$B$64+$B$405/Assumptions!$B$27)/(Assumptions!$B$64+J444)</f>
        <v/>
      </c>
      <c r="U444">
        <f>IF(H444&lt;Assumptions!$B$27,Assumptions!$B$27/T444,1)</f>
        <v/>
      </c>
      <c r="V444">
        <f>Assumptions!$B$26*(Assumptions!$B$64+$B$405/Assumptions!$B$26)/(Assumptions!$B$64+J444)</f>
        <v/>
      </c>
      <c r="W444">
        <f>IF(H444&lt;Assumptions!$B$26,Assumptions!$B$26/V444,1)</f>
        <v/>
      </c>
    </row>
    <row r="445">
      <c r="A445" t="n">
        <v>37</v>
      </c>
      <c r="B445">
        <f>U444</f>
        <v/>
      </c>
      <c r="C445">
        <f>W444</f>
        <v/>
      </c>
      <c r="D445">
        <f>O444</f>
        <v/>
      </c>
      <c r="E445">
        <f>S444</f>
        <v/>
      </c>
      <c r="F445">
        <f>Assumptions!$B$16*B445</f>
        <v/>
      </c>
      <c r="G445">
        <f>Assumptions!$B$15*C445</f>
        <v/>
      </c>
      <c r="H445">
        <f>IF($B$401*($B$404/(($B$404*(1-$B$401)-$B$405)/((Assumptions!$B$9+Assumptions!$B$11+Assumptions!$B$12+Assumptions!$B$13+Assumptions!$B$14)+G445+F445+D445+E445)))&lt;Assumptions!$B$65,($B$404-$B$405)/(((Assumptions!$B$9+Assumptions!$B$11+Assumptions!$B$12+Assumptions!$B$13+Assumptions!$B$14)+G445+F445+D445+E445)+Assumptions!$B$65),($B$404*(1-$B$401)-$B$405)/((Assumptions!$B$9+Assumptions!$B$11+Assumptions!$B$12+Assumptions!$B$13+Assumptions!$B$14)+G445+F445+D445+E445))</f>
        <v/>
      </c>
      <c r="I445">
        <f>$B$404/H445</f>
        <v/>
      </c>
      <c r="J445">
        <f>$B$405/H445</f>
        <v/>
      </c>
      <c r="K445">
        <f>I445-J445</f>
        <v/>
      </c>
      <c r="L445">
        <f>Assumptions!$B$51/K445</f>
        <v/>
      </c>
      <c r="M445">
        <f>H445*(1-Assumptions!$B$52)</f>
        <v/>
      </c>
      <c r="N445">
        <f>MIN(L445,M445)</f>
        <v/>
      </c>
      <c r="O445">
        <f>Assumptions!$B$50/N445</f>
        <v/>
      </c>
      <c r="P445">
        <f>Assumptions!$B$54/K445</f>
        <v/>
      </c>
      <c r="Q445">
        <f>H445*(1-Assumptions!$B$55)</f>
        <v/>
      </c>
      <c r="R445">
        <f>MIN(P445,Q445)</f>
        <v/>
      </c>
      <c r="S445">
        <f>Assumptions!$B$53/R445</f>
        <v/>
      </c>
      <c r="T445">
        <f>Assumptions!$B$27*(Assumptions!$B$64+$B$405/Assumptions!$B$27)/(Assumptions!$B$64+J445)</f>
        <v/>
      </c>
      <c r="U445">
        <f>IF(H445&lt;Assumptions!$B$27,Assumptions!$B$27/T445,1)</f>
        <v/>
      </c>
      <c r="V445">
        <f>Assumptions!$B$26*(Assumptions!$B$64+$B$405/Assumptions!$B$26)/(Assumptions!$B$64+J445)</f>
        <v/>
      </c>
      <c r="W445">
        <f>IF(H445&lt;Assumptions!$B$26,Assumptions!$B$26/V445,1)</f>
        <v/>
      </c>
    </row>
    <row r="446">
      <c r="A446" t="n">
        <v>38</v>
      </c>
      <c r="B446">
        <f>U445</f>
        <v/>
      </c>
      <c r="C446">
        <f>W445</f>
        <v/>
      </c>
      <c r="D446">
        <f>O445</f>
        <v/>
      </c>
      <c r="E446">
        <f>S445</f>
        <v/>
      </c>
      <c r="F446">
        <f>Assumptions!$B$16*B446</f>
        <v/>
      </c>
      <c r="G446">
        <f>Assumptions!$B$15*C446</f>
        <v/>
      </c>
      <c r="H446">
        <f>IF($B$401*($B$404/(($B$404*(1-$B$401)-$B$405)/((Assumptions!$B$9+Assumptions!$B$11+Assumptions!$B$12+Assumptions!$B$13+Assumptions!$B$14)+G446+F446+D446+E446)))&lt;Assumptions!$B$65,($B$404-$B$405)/(((Assumptions!$B$9+Assumptions!$B$11+Assumptions!$B$12+Assumptions!$B$13+Assumptions!$B$14)+G446+F446+D446+E446)+Assumptions!$B$65),($B$404*(1-$B$401)-$B$405)/((Assumptions!$B$9+Assumptions!$B$11+Assumptions!$B$12+Assumptions!$B$13+Assumptions!$B$14)+G446+F446+D446+E446))</f>
        <v/>
      </c>
      <c r="I446">
        <f>$B$404/H446</f>
        <v/>
      </c>
      <c r="J446">
        <f>$B$405/H446</f>
        <v/>
      </c>
      <c r="K446">
        <f>I446-J446</f>
        <v/>
      </c>
      <c r="L446">
        <f>Assumptions!$B$51/K446</f>
        <v/>
      </c>
      <c r="M446">
        <f>H446*(1-Assumptions!$B$52)</f>
        <v/>
      </c>
      <c r="N446">
        <f>MIN(L446,M446)</f>
        <v/>
      </c>
      <c r="O446">
        <f>Assumptions!$B$50/N446</f>
        <v/>
      </c>
      <c r="P446">
        <f>Assumptions!$B$54/K446</f>
        <v/>
      </c>
      <c r="Q446">
        <f>H446*(1-Assumptions!$B$55)</f>
        <v/>
      </c>
      <c r="R446">
        <f>MIN(P446,Q446)</f>
        <v/>
      </c>
      <c r="S446">
        <f>Assumptions!$B$53/R446</f>
        <v/>
      </c>
      <c r="T446">
        <f>Assumptions!$B$27*(Assumptions!$B$64+$B$405/Assumptions!$B$27)/(Assumptions!$B$64+J446)</f>
        <v/>
      </c>
      <c r="U446">
        <f>IF(H446&lt;Assumptions!$B$27,Assumptions!$B$27/T446,1)</f>
        <v/>
      </c>
      <c r="V446">
        <f>Assumptions!$B$26*(Assumptions!$B$64+$B$405/Assumptions!$B$26)/(Assumptions!$B$64+J446)</f>
        <v/>
      </c>
      <c r="W446">
        <f>IF(H446&lt;Assumptions!$B$26,Assumptions!$B$26/V446,1)</f>
        <v/>
      </c>
    </row>
    <row r="447">
      <c r="A447" t="n">
        <v>39</v>
      </c>
      <c r="B447">
        <f>U446</f>
        <v/>
      </c>
      <c r="C447">
        <f>W446</f>
        <v/>
      </c>
      <c r="D447">
        <f>O446</f>
        <v/>
      </c>
      <c r="E447">
        <f>S446</f>
        <v/>
      </c>
      <c r="F447">
        <f>Assumptions!$B$16*B447</f>
        <v/>
      </c>
      <c r="G447">
        <f>Assumptions!$B$15*C447</f>
        <v/>
      </c>
      <c r="H447">
        <f>IF($B$401*($B$404/(($B$404*(1-$B$401)-$B$405)/((Assumptions!$B$9+Assumptions!$B$11+Assumptions!$B$12+Assumptions!$B$13+Assumptions!$B$14)+G447+F447+D447+E447)))&lt;Assumptions!$B$65,($B$404-$B$405)/(((Assumptions!$B$9+Assumptions!$B$11+Assumptions!$B$12+Assumptions!$B$13+Assumptions!$B$14)+G447+F447+D447+E447)+Assumptions!$B$65),($B$404*(1-$B$401)-$B$405)/((Assumptions!$B$9+Assumptions!$B$11+Assumptions!$B$12+Assumptions!$B$13+Assumptions!$B$14)+G447+F447+D447+E447))</f>
        <v/>
      </c>
      <c r="I447">
        <f>$B$404/H447</f>
        <v/>
      </c>
      <c r="J447">
        <f>$B$405/H447</f>
        <v/>
      </c>
      <c r="K447">
        <f>I447-J447</f>
        <v/>
      </c>
      <c r="L447">
        <f>Assumptions!$B$51/K447</f>
        <v/>
      </c>
      <c r="M447">
        <f>H447*(1-Assumptions!$B$52)</f>
        <v/>
      </c>
      <c r="N447">
        <f>MIN(L447,M447)</f>
        <v/>
      </c>
      <c r="O447">
        <f>Assumptions!$B$50/N447</f>
        <v/>
      </c>
      <c r="P447">
        <f>Assumptions!$B$54/K447</f>
        <v/>
      </c>
      <c r="Q447">
        <f>H447*(1-Assumptions!$B$55)</f>
        <v/>
      </c>
      <c r="R447">
        <f>MIN(P447,Q447)</f>
        <v/>
      </c>
      <c r="S447">
        <f>Assumptions!$B$53/R447</f>
        <v/>
      </c>
      <c r="T447">
        <f>Assumptions!$B$27*(Assumptions!$B$64+$B$405/Assumptions!$B$27)/(Assumptions!$B$64+J447)</f>
        <v/>
      </c>
      <c r="U447">
        <f>IF(H447&lt;Assumptions!$B$27,Assumptions!$B$27/T447,1)</f>
        <v/>
      </c>
      <c r="V447">
        <f>Assumptions!$B$26*(Assumptions!$B$64+$B$405/Assumptions!$B$26)/(Assumptions!$B$64+J447)</f>
        <v/>
      </c>
      <c r="W447">
        <f>IF(H447&lt;Assumptions!$B$26,Assumptions!$B$26/V447,1)</f>
        <v/>
      </c>
    </row>
    <row r="448">
      <c r="A448" t="n">
        <v>40</v>
      </c>
      <c r="B448">
        <f>U447</f>
        <v/>
      </c>
      <c r="C448">
        <f>W447</f>
        <v/>
      </c>
      <c r="D448">
        <f>O447</f>
        <v/>
      </c>
      <c r="E448">
        <f>S447</f>
        <v/>
      </c>
      <c r="F448">
        <f>Assumptions!$B$16*B448</f>
        <v/>
      </c>
      <c r="G448">
        <f>Assumptions!$B$15*C448</f>
        <v/>
      </c>
      <c r="H448">
        <f>IF($B$401*($B$404/(($B$404*(1-$B$401)-$B$405)/((Assumptions!$B$9+Assumptions!$B$11+Assumptions!$B$12+Assumptions!$B$13+Assumptions!$B$14)+G448+F448+D448+E448)))&lt;Assumptions!$B$65,($B$404-$B$405)/(((Assumptions!$B$9+Assumptions!$B$11+Assumptions!$B$12+Assumptions!$B$13+Assumptions!$B$14)+G448+F448+D448+E448)+Assumptions!$B$65),($B$404*(1-$B$401)-$B$405)/((Assumptions!$B$9+Assumptions!$B$11+Assumptions!$B$12+Assumptions!$B$13+Assumptions!$B$14)+G448+F448+D448+E448))</f>
        <v/>
      </c>
      <c r="I448">
        <f>$B$404/H448</f>
        <v/>
      </c>
      <c r="J448">
        <f>$B$405/H448</f>
        <v/>
      </c>
      <c r="K448">
        <f>I448-J448</f>
        <v/>
      </c>
      <c r="L448">
        <f>Assumptions!$B$51/K448</f>
        <v/>
      </c>
      <c r="M448">
        <f>H448*(1-Assumptions!$B$52)</f>
        <v/>
      </c>
      <c r="N448">
        <f>MIN(L448,M448)</f>
        <v/>
      </c>
      <c r="O448">
        <f>Assumptions!$B$50/N448</f>
        <v/>
      </c>
      <c r="P448">
        <f>Assumptions!$B$54/K448</f>
        <v/>
      </c>
      <c r="Q448">
        <f>H448*(1-Assumptions!$B$55)</f>
        <v/>
      </c>
      <c r="R448">
        <f>MIN(P448,Q448)</f>
        <v/>
      </c>
      <c r="S448">
        <f>Assumptions!$B$53/R448</f>
        <v/>
      </c>
      <c r="T448">
        <f>Assumptions!$B$27*(Assumptions!$B$64+$B$405/Assumptions!$B$27)/(Assumptions!$B$64+J448)</f>
        <v/>
      </c>
      <c r="U448">
        <f>IF(H448&lt;Assumptions!$B$27,Assumptions!$B$27/T448,1)</f>
        <v/>
      </c>
      <c r="V448">
        <f>Assumptions!$B$26*(Assumptions!$B$64+$B$405/Assumptions!$B$26)/(Assumptions!$B$64+J448)</f>
        <v/>
      </c>
      <c r="W448">
        <f>IF(H448&lt;Assumptions!$B$26,Assumptions!$B$26/V448,1)</f>
        <v/>
      </c>
    </row>
    <row r="449">
      <c r="A449" t="n">
        <v>41</v>
      </c>
      <c r="B449">
        <f>U448</f>
        <v/>
      </c>
      <c r="C449">
        <f>W448</f>
        <v/>
      </c>
      <c r="D449">
        <f>O448</f>
        <v/>
      </c>
      <c r="E449">
        <f>S448</f>
        <v/>
      </c>
      <c r="F449">
        <f>Assumptions!$B$16*B449</f>
        <v/>
      </c>
      <c r="G449">
        <f>Assumptions!$B$15*C449</f>
        <v/>
      </c>
      <c r="H449">
        <f>IF($B$401*($B$404/(($B$404*(1-$B$401)-$B$405)/((Assumptions!$B$9+Assumptions!$B$11+Assumptions!$B$12+Assumptions!$B$13+Assumptions!$B$14)+G449+F449+D449+E449)))&lt;Assumptions!$B$65,($B$404-$B$405)/(((Assumptions!$B$9+Assumptions!$B$11+Assumptions!$B$12+Assumptions!$B$13+Assumptions!$B$14)+G449+F449+D449+E449)+Assumptions!$B$65),($B$404*(1-$B$401)-$B$405)/((Assumptions!$B$9+Assumptions!$B$11+Assumptions!$B$12+Assumptions!$B$13+Assumptions!$B$14)+G449+F449+D449+E449))</f>
        <v/>
      </c>
      <c r="I449">
        <f>$B$404/H449</f>
        <v/>
      </c>
      <c r="J449">
        <f>$B$405/H449</f>
        <v/>
      </c>
      <c r="K449">
        <f>I449-J449</f>
        <v/>
      </c>
      <c r="L449">
        <f>Assumptions!$B$51/K449</f>
        <v/>
      </c>
      <c r="M449">
        <f>H449*(1-Assumptions!$B$52)</f>
        <v/>
      </c>
      <c r="N449">
        <f>MIN(L449,M449)</f>
        <v/>
      </c>
      <c r="O449">
        <f>Assumptions!$B$50/N449</f>
        <v/>
      </c>
      <c r="P449">
        <f>Assumptions!$B$54/K449</f>
        <v/>
      </c>
      <c r="Q449">
        <f>H449*(1-Assumptions!$B$55)</f>
        <v/>
      </c>
      <c r="R449">
        <f>MIN(P449,Q449)</f>
        <v/>
      </c>
      <c r="S449">
        <f>Assumptions!$B$53/R449</f>
        <v/>
      </c>
      <c r="T449">
        <f>Assumptions!$B$27*(Assumptions!$B$64+$B$405/Assumptions!$B$27)/(Assumptions!$B$64+J449)</f>
        <v/>
      </c>
      <c r="U449">
        <f>IF(H449&lt;Assumptions!$B$27,Assumptions!$B$27/T449,1)</f>
        <v/>
      </c>
      <c r="V449">
        <f>Assumptions!$B$26*(Assumptions!$B$64+$B$405/Assumptions!$B$26)/(Assumptions!$B$64+J449)</f>
        <v/>
      </c>
      <c r="W449">
        <f>IF(H449&lt;Assumptions!$B$26,Assumptions!$B$26/V449,1)</f>
        <v/>
      </c>
    </row>
    <row r="450">
      <c r="A450" t="n">
        <v>42</v>
      </c>
      <c r="B450">
        <f>U449</f>
        <v/>
      </c>
      <c r="C450">
        <f>W449</f>
        <v/>
      </c>
      <c r="D450">
        <f>O449</f>
        <v/>
      </c>
      <c r="E450">
        <f>S449</f>
        <v/>
      </c>
      <c r="F450">
        <f>Assumptions!$B$16*B450</f>
        <v/>
      </c>
      <c r="G450">
        <f>Assumptions!$B$15*C450</f>
        <v/>
      </c>
      <c r="H450">
        <f>IF($B$401*($B$404/(($B$404*(1-$B$401)-$B$405)/((Assumptions!$B$9+Assumptions!$B$11+Assumptions!$B$12+Assumptions!$B$13+Assumptions!$B$14)+G450+F450+D450+E450)))&lt;Assumptions!$B$65,($B$404-$B$405)/(((Assumptions!$B$9+Assumptions!$B$11+Assumptions!$B$12+Assumptions!$B$13+Assumptions!$B$14)+G450+F450+D450+E450)+Assumptions!$B$65),($B$404*(1-$B$401)-$B$405)/((Assumptions!$B$9+Assumptions!$B$11+Assumptions!$B$12+Assumptions!$B$13+Assumptions!$B$14)+G450+F450+D450+E450))</f>
        <v/>
      </c>
      <c r="I450">
        <f>$B$404/H450</f>
        <v/>
      </c>
      <c r="J450">
        <f>$B$405/H450</f>
        <v/>
      </c>
      <c r="K450">
        <f>I450-J450</f>
        <v/>
      </c>
      <c r="L450">
        <f>Assumptions!$B$51/K450</f>
        <v/>
      </c>
      <c r="M450">
        <f>H450*(1-Assumptions!$B$52)</f>
        <v/>
      </c>
      <c r="N450">
        <f>MIN(L450,M450)</f>
        <v/>
      </c>
      <c r="O450">
        <f>Assumptions!$B$50/N450</f>
        <v/>
      </c>
      <c r="P450">
        <f>Assumptions!$B$54/K450</f>
        <v/>
      </c>
      <c r="Q450">
        <f>H450*(1-Assumptions!$B$55)</f>
        <v/>
      </c>
      <c r="R450">
        <f>MIN(P450,Q450)</f>
        <v/>
      </c>
      <c r="S450">
        <f>Assumptions!$B$53/R450</f>
        <v/>
      </c>
      <c r="T450">
        <f>Assumptions!$B$27*(Assumptions!$B$64+$B$405/Assumptions!$B$27)/(Assumptions!$B$64+J450)</f>
        <v/>
      </c>
      <c r="U450">
        <f>IF(H450&lt;Assumptions!$B$27,Assumptions!$B$27/T450,1)</f>
        <v/>
      </c>
      <c r="V450">
        <f>Assumptions!$B$26*(Assumptions!$B$64+$B$405/Assumptions!$B$26)/(Assumptions!$B$64+J450)</f>
        <v/>
      </c>
      <c r="W450">
        <f>IF(H450&lt;Assumptions!$B$26,Assumptions!$B$26/V450,1)</f>
        <v/>
      </c>
    </row>
    <row r="451">
      <c r="A451" t="n">
        <v>43</v>
      </c>
      <c r="B451">
        <f>U450</f>
        <v/>
      </c>
      <c r="C451">
        <f>W450</f>
        <v/>
      </c>
      <c r="D451">
        <f>O450</f>
        <v/>
      </c>
      <c r="E451">
        <f>S450</f>
        <v/>
      </c>
      <c r="F451">
        <f>Assumptions!$B$16*B451</f>
        <v/>
      </c>
      <c r="G451">
        <f>Assumptions!$B$15*C451</f>
        <v/>
      </c>
      <c r="H451">
        <f>IF($B$401*($B$404/(($B$404*(1-$B$401)-$B$405)/((Assumptions!$B$9+Assumptions!$B$11+Assumptions!$B$12+Assumptions!$B$13+Assumptions!$B$14)+G451+F451+D451+E451)))&lt;Assumptions!$B$65,($B$404-$B$405)/(((Assumptions!$B$9+Assumptions!$B$11+Assumptions!$B$12+Assumptions!$B$13+Assumptions!$B$14)+G451+F451+D451+E451)+Assumptions!$B$65),($B$404*(1-$B$401)-$B$405)/((Assumptions!$B$9+Assumptions!$B$11+Assumptions!$B$12+Assumptions!$B$13+Assumptions!$B$14)+G451+F451+D451+E451))</f>
        <v/>
      </c>
      <c r="I451">
        <f>$B$404/H451</f>
        <v/>
      </c>
      <c r="J451">
        <f>$B$405/H451</f>
        <v/>
      </c>
      <c r="K451">
        <f>I451-J451</f>
        <v/>
      </c>
      <c r="L451">
        <f>Assumptions!$B$51/K451</f>
        <v/>
      </c>
      <c r="M451">
        <f>H451*(1-Assumptions!$B$52)</f>
        <v/>
      </c>
      <c r="N451">
        <f>MIN(L451,M451)</f>
        <v/>
      </c>
      <c r="O451">
        <f>Assumptions!$B$50/N451</f>
        <v/>
      </c>
      <c r="P451">
        <f>Assumptions!$B$54/K451</f>
        <v/>
      </c>
      <c r="Q451">
        <f>H451*(1-Assumptions!$B$55)</f>
        <v/>
      </c>
      <c r="R451">
        <f>MIN(P451,Q451)</f>
        <v/>
      </c>
      <c r="S451">
        <f>Assumptions!$B$53/R451</f>
        <v/>
      </c>
      <c r="T451">
        <f>Assumptions!$B$27*(Assumptions!$B$64+$B$405/Assumptions!$B$27)/(Assumptions!$B$64+J451)</f>
        <v/>
      </c>
      <c r="U451">
        <f>IF(H451&lt;Assumptions!$B$27,Assumptions!$B$27/T451,1)</f>
        <v/>
      </c>
      <c r="V451">
        <f>Assumptions!$B$26*(Assumptions!$B$64+$B$405/Assumptions!$B$26)/(Assumptions!$B$64+J451)</f>
        <v/>
      </c>
      <c r="W451">
        <f>IF(H451&lt;Assumptions!$B$26,Assumptions!$B$26/V451,1)</f>
        <v/>
      </c>
    </row>
    <row r="452">
      <c r="A452" t="n">
        <v>44</v>
      </c>
      <c r="B452">
        <f>U451</f>
        <v/>
      </c>
      <c r="C452">
        <f>W451</f>
        <v/>
      </c>
      <c r="D452">
        <f>O451</f>
        <v/>
      </c>
      <c r="E452">
        <f>S451</f>
        <v/>
      </c>
      <c r="F452">
        <f>Assumptions!$B$16*B452</f>
        <v/>
      </c>
      <c r="G452">
        <f>Assumptions!$B$15*C452</f>
        <v/>
      </c>
      <c r="H452">
        <f>IF($B$401*($B$404/(($B$404*(1-$B$401)-$B$405)/((Assumptions!$B$9+Assumptions!$B$11+Assumptions!$B$12+Assumptions!$B$13+Assumptions!$B$14)+G452+F452+D452+E452)))&lt;Assumptions!$B$65,($B$404-$B$405)/(((Assumptions!$B$9+Assumptions!$B$11+Assumptions!$B$12+Assumptions!$B$13+Assumptions!$B$14)+G452+F452+D452+E452)+Assumptions!$B$65),($B$404*(1-$B$401)-$B$405)/((Assumptions!$B$9+Assumptions!$B$11+Assumptions!$B$12+Assumptions!$B$13+Assumptions!$B$14)+G452+F452+D452+E452))</f>
        <v/>
      </c>
      <c r="I452">
        <f>$B$404/H452</f>
        <v/>
      </c>
      <c r="J452">
        <f>$B$405/H452</f>
        <v/>
      </c>
      <c r="K452">
        <f>I452-J452</f>
        <v/>
      </c>
      <c r="L452">
        <f>Assumptions!$B$51/K452</f>
        <v/>
      </c>
      <c r="M452">
        <f>H452*(1-Assumptions!$B$52)</f>
        <v/>
      </c>
      <c r="N452">
        <f>MIN(L452,M452)</f>
        <v/>
      </c>
      <c r="O452">
        <f>Assumptions!$B$50/N452</f>
        <v/>
      </c>
      <c r="P452">
        <f>Assumptions!$B$54/K452</f>
        <v/>
      </c>
      <c r="Q452">
        <f>H452*(1-Assumptions!$B$55)</f>
        <v/>
      </c>
      <c r="R452">
        <f>MIN(P452,Q452)</f>
        <v/>
      </c>
      <c r="S452">
        <f>Assumptions!$B$53/R452</f>
        <v/>
      </c>
      <c r="T452">
        <f>Assumptions!$B$27*(Assumptions!$B$64+$B$405/Assumptions!$B$27)/(Assumptions!$B$64+J452)</f>
        <v/>
      </c>
      <c r="U452">
        <f>IF(H452&lt;Assumptions!$B$27,Assumptions!$B$27/T452,1)</f>
        <v/>
      </c>
      <c r="V452">
        <f>Assumptions!$B$26*(Assumptions!$B$64+$B$405/Assumptions!$B$26)/(Assumptions!$B$64+J452)</f>
        <v/>
      </c>
      <c r="W452">
        <f>IF(H452&lt;Assumptions!$B$26,Assumptions!$B$26/V452,1)</f>
        <v/>
      </c>
    </row>
    <row r="453">
      <c r="A453" t="n">
        <v>45</v>
      </c>
      <c r="B453">
        <f>U452</f>
        <v/>
      </c>
      <c r="C453">
        <f>W452</f>
        <v/>
      </c>
      <c r="D453">
        <f>O452</f>
        <v/>
      </c>
      <c r="E453">
        <f>S452</f>
        <v/>
      </c>
      <c r="F453">
        <f>Assumptions!$B$16*B453</f>
        <v/>
      </c>
      <c r="G453">
        <f>Assumptions!$B$15*C453</f>
        <v/>
      </c>
      <c r="H453">
        <f>IF($B$401*($B$404/(($B$404*(1-$B$401)-$B$405)/((Assumptions!$B$9+Assumptions!$B$11+Assumptions!$B$12+Assumptions!$B$13+Assumptions!$B$14)+G453+F453+D453+E453)))&lt;Assumptions!$B$65,($B$404-$B$405)/(((Assumptions!$B$9+Assumptions!$B$11+Assumptions!$B$12+Assumptions!$B$13+Assumptions!$B$14)+G453+F453+D453+E453)+Assumptions!$B$65),($B$404*(1-$B$401)-$B$405)/((Assumptions!$B$9+Assumptions!$B$11+Assumptions!$B$12+Assumptions!$B$13+Assumptions!$B$14)+G453+F453+D453+E453))</f>
        <v/>
      </c>
      <c r="I453">
        <f>$B$404/H453</f>
        <v/>
      </c>
      <c r="J453">
        <f>$B$405/H453</f>
        <v/>
      </c>
      <c r="K453">
        <f>I453-J453</f>
        <v/>
      </c>
      <c r="L453">
        <f>Assumptions!$B$51/K453</f>
        <v/>
      </c>
      <c r="M453">
        <f>H453*(1-Assumptions!$B$52)</f>
        <v/>
      </c>
      <c r="N453">
        <f>MIN(L453,M453)</f>
        <v/>
      </c>
      <c r="O453">
        <f>Assumptions!$B$50/N453</f>
        <v/>
      </c>
      <c r="P453">
        <f>Assumptions!$B$54/K453</f>
        <v/>
      </c>
      <c r="Q453">
        <f>H453*(1-Assumptions!$B$55)</f>
        <v/>
      </c>
      <c r="R453">
        <f>MIN(P453,Q453)</f>
        <v/>
      </c>
      <c r="S453">
        <f>Assumptions!$B$53/R453</f>
        <v/>
      </c>
      <c r="T453">
        <f>Assumptions!$B$27*(Assumptions!$B$64+$B$405/Assumptions!$B$27)/(Assumptions!$B$64+J453)</f>
        <v/>
      </c>
      <c r="U453">
        <f>IF(H453&lt;Assumptions!$B$27,Assumptions!$B$27/T453,1)</f>
        <v/>
      </c>
      <c r="V453">
        <f>Assumptions!$B$26*(Assumptions!$B$64+$B$405/Assumptions!$B$26)/(Assumptions!$B$64+J453)</f>
        <v/>
      </c>
      <c r="W453">
        <f>IF(H453&lt;Assumptions!$B$26,Assumptions!$B$26/V453,1)</f>
        <v/>
      </c>
    </row>
    <row r="454">
      <c r="A454" t="n">
        <v>46</v>
      </c>
      <c r="B454">
        <f>U453</f>
        <v/>
      </c>
      <c r="C454">
        <f>W453</f>
        <v/>
      </c>
      <c r="D454">
        <f>O453</f>
        <v/>
      </c>
      <c r="E454">
        <f>S453</f>
        <v/>
      </c>
      <c r="F454">
        <f>Assumptions!$B$16*B454</f>
        <v/>
      </c>
      <c r="G454">
        <f>Assumptions!$B$15*C454</f>
        <v/>
      </c>
      <c r="H454">
        <f>IF($B$401*($B$404/(($B$404*(1-$B$401)-$B$405)/((Assumptions!$B$9+Assumptions!$B$11+Assumptions!$B$12+Assumptions!$B$13+Assumptions!$B$14)+G454+F454+D454+E454)))&lt;Assumptions!$B$65,($B$404-$B$405)/(((Assumptions!$B$9+Assumptions!$B$11+Assumptions!$B$12+Assumptions!$B$13+Assumptions!$B$14)+G454+F454+D454+E454)+Assumptions!$B$65),($B$404*(1-$B$401)-$B$405)/((Assumptions!$B$9+Assumptions!$B$11+Assumptions!$B$12+Assumptions!$B$13+Assumptions!$B$14)+G454+F454+D454+E454))</f>
        <v/>
      </c>
      <c r="I454">
        <f>$B$404/H454</f>
        <v/>
      </c>
      <c r="J454">
        <f>$B$405/H454</f>
        <v/>
      </c>
      <c r="K454">
        <f>I454-J454</f>
        <v/>
      </c>
      <c r="L454">
        <f>Assumptions!$B$51/K454</f>
        <v/>
      </c>
      <c r="M454">
        <f>H454*(1-Assumptions!$B$52)</f>
        <v/>
      </c>
      <c r="N454">
        <f>MIN(L454,M454)</f>
        <v/>
      </c>
      <c r="O454">
        <f>Assumptions!$B$50/N454</f>
        <v/>
      </c>
      <c r="P454">
        <f>Assumptions!$B$54/K454</f>
        <v/>
      </c>
      <c r="Q454">
        <f>H454*(1-Assumptions!$B$55)</f>
        <v/>
      </c>
      <c r="R454">
        <f>MIN(P454,Q454)</f>
        <v/>
      </c>
      <c r="S454">
        <f>Assumptions!$B$53/R454</f>
        <v/>
      </c>
      <c r="T454">
        <f>Assumptions!$B$27*(Assumptions!$B$64+$B$405/Assumptions!$B$27)/(Assumptions!$B$64+J454)</f>
        <v/>
      </c>
      <c r="U454">
        <f>IF(H454&lt;Assumptions!$B$27,Assumptions!$B$27/T454,1)</f>
        <v/>
      </c>
      <c r="V454">
        <f>Assumptions!$B$26*(Assumptions!$B$64+$B$405/Assumptions!$B$26)/(Assumptions!$B$64+J454)</f>
        <v/>
      </c>
      <c r="W454">
        <f>IF(H454&lt;Assumptions!$B$26,Assumptions!$B$26/V454,1)</f>
        <v/>
      </c>
    </row>
    <row r="455">
      <c r="A455" t="n">
        <v>47</v>
      </c>
      <c r="B455">
        <f>U454</f>
        <v/>
      </c>
      <c r="C455">
        <f>W454</f>
        <v/>
      </c>
      <c r="D455">
        <f>O454</f>
        <v/>
      </c>
      <c r="E455">
        <f>S454</f>
        <v/>
      </c>
      <c r="F455">
        <f>Assumptions!$B$16*B455</f>
        <v/>
      </c>
      <c r="G455">
        <f>Assumptions!$B$15*C455</f>
        <v/>
      </c>
      <c r="H455">
        <f>IF($B$401*($B$404/(($B$404*(1-$B$401)-$B$405)/((Assumptions!$B$9+Assumptions!$B$11+Assumptions!$B$12+Assumptions!$B$13+Assumptions!$B$14)+G455+F455+D455+E455)))&lt;Assumptions!$B$65,($B$404-$B$405)/(((Assumptions!$B$9+Assumptions!$B$11+Assumptions!$B$12+Assumptions!$B$13+Assumptions!$B$14)+G455+F455+D455+E455)+Assumptions!$B$65),($B$404*(1-$B$401)-$B$405)/((Assumptions!$B$9+Assumptions!$B$11+Assumptions!$B$12+Assumptions!$B$13+Assumptions!$B$14)+G455+F455+D455+E455))</f>
        <v/>
      </c>
      <c r="I455">
        <f>$B$404/H455</f>
        <v/>
      </c>
      <c r="J455">
        <f>$B$405/H455</f>
        <v/>
      </c>
      <c r="K455">
        <f>I455-J455</f>
        <v/>
      </c>
      <c r="L455">
        <f>Assumptions!$B$51/K455</f>
        <v/>
      </c>
      <c r="M455">
        <f>H455*(1-Assumptions!$B$52)</f>
        <v/>
      </c>
      <c r="N455">
        <f>MIN(L455,M455)</f>
        <v/>
      </c>
      <c r="O455">
        <f>Assumptions!$B$50/N455</f>
        <v/>
      </c>
      <c r="P455">
        <f>Assumptions!$B$54/K455</f>
        <v/>
      </c>
      <c r="Q455">
        <f>H455*(1-Assumptions!$B$55)</f>
        <v/>
      </c>
      <c r="R455">
        <f>MIN(P455,Q455)</f>
        <v/>
      </c>
      <c r="S455">
        <f>Assumptions!$B$53/R455</f>
        <v/>
      </c>
      <c r="T455">
        <f>Assumptions!$B$27*(Assumptions!$B$64+$B$405/Assumptions!$B$27)/(Assumptions!$B$64+J455)</f>
        <v/>
      </c>
      <c r="U455">
        <f>IF(H455&lt;Assumptions!$B$27,Assumptions!$B$27/T455,1)</f>
        <v/>
      </c>
      <c r="V455">
        <f>Assumptions!$B$26*(Assumptions!$B$64+$B$405/Assumptions!$B$26)/(Assumptions!$B$64+J455)</f>
        <v/>
      </c>
      <c r="W455">
        <f>IF(H455&lt;Assumptions!$B$26,Assumptions!$B$26/V455,1)</f>
        <v/>
      </c>
    </row>
    <row r="456">
      <c r="A456" t="n">
        <v>48</v>
      </c>
      <c r="B456">
        <f>U455</f>
        <v/>
      </c>
      <c r="C456">
        <f>W455</f>
        <v/>
      </c>
      <c r="D456">
        <f>O455</f>
        <v/>
      </c>
      <c r="E456">
        <f>S455</f>
        <v/>
      </c>
      <c r="F456">
        <f>Assumptions!$B$16*B456</f>
        <v/>
      </c>
      <c r="G456">
        <f>Assumptions!$B$15*C456</f>
        <v/>
      </c>
      <c r="H456">
        <f>IF($B$401*($B$404/(($B$404*(1-$B$401)-$B$405)/((Assumptions!$B$9+Assumptions!$B$11+Assumptions!$B$12+Assumptions!$B$13+Assumptions!$B$14)+G456+F456+D456+E456)))&lt;Assumptions!$B$65,($B$404-$B$405)/(((Assumptions!$B$9+Assumptions!$B$11+Assumptions!$B$12+Assumptions!$B$13+Assumptions!$B$14)+G456+F456+D456+E456)+Assumptions!$B$65),($B$404*(1-$B$401)-$B$405)/((Assumptions!$B$9+Assumptions!$B$11+Assumptions!$B$12+Assumptions!$B$13+Assumptions!$B$14)+G456+F456+D456+E456))</f>
        <v/>
      </c>
      <c r="I456">
        <f>$B$404/H456</f>
        <v/>
      </c>
      <c r="J456">
        <f>$B$405/H456</f>
        <v/>
      </c>
      <c r="K456">
        <f>I456-J456</f>
        <v/>
      </c>
      <c r="L456">
        <f>Assumptions!$B$51/K456</f>
        <v/>
      </c>
      <c r="M456">
        <f>H456*(1-Assumptions!$B$52)</f>
        <v/>
      </c>
      <c r="N456">
        <f>MIN(L456,M456)</f>
        <v/>
      </c>
      <c r="O456">
        <f>Assumptions!$B$50/N456</f>
        <v/>
      </c>
      <c r="P456">
        <f>Assumptions!$B$54/K456</f>
        <v/>
      </c>
      <c r="Q456">
        <f>H456*(1-Assumptions!$B$55)</f>
        <v/>
      </c>
      <c r="R456">
        <f>MIN(P456,Q456)</f>
        <v/>
      </c>
      <c r="S456">
        <f>Assumptions!$B$53/R456</f>
        <v/>
      </c>
      <c r="T456">
        <f>Assumptions!$B$27*(Assumptions!$B$64+$B$405/Assumptions!$B$27)/(Assumptions!$B$64+J456)</f>
        <v/>
      </c>
      <c r="U456">
        <f>IF(H456&lt;Assumptions!$B$27,Assumptions!$B$27/T456,1)</f>
        <v/>
      </c>
      <c r="V456">
        <f>Assumptions!$B$26*(Assumptions!$B$64+$B$405/Assumptions!$B$26)/(Assumptions!$B$64+J456)</f>
        <v/>
      </c>
      <c r="W456">
        <f>IF(H456&lt;Assumptions!$B$26,Assumptions!$B$26/V456,1)</f>
        <v/>
      </c>
    </row>
    <row r="457">
      <c r="A457" t="n">
        <v>49</v>
      </c>
      <c r="B457">
        <f>U456</f>
        <v/>
      </c>
      <c r="C457">
        <f>W456</f>
        <v/>
      </c>
      <c r="D457">
        <f>O456</f>
        <v/>
      </c>
      <c r="E457">
        <f>S456</f>
        <v/>
      </c>
      <c r="F457">
        <f>Assumptions!$B$16*B457</f>
        <v/>
      </c>
      <c r="G457">
        <f>Assumptions!$B$15*C457</f>
        <v/>
      </c>
      <c r="H457">
        <f>IF($B$401*($B$404/(($B$404*(1-$B$401)-$B$405)/((Assumptions!$B$9+Assumptions!$B$11+Assumptions!$B$12+Assumptions!$B$13+Assumptions!$B$14)+G457+F457+D457+E457)))&lt;Assumptions!$B$65,($B$404-$B$405)/(((Assumptions!$B$9+Assumptions!$B$11+Assumptions!$B$12+Assumptions!$B$13+Assumptions!$B$14)+G457+F457+D457+E457)+Assumptions!$B$65),($B$404*(1-$B$401)-$B$405)/((Assumptions!$B$9+Assumptions!$B$11+Assumptions!$B$12+Assumptions!$B$13+Assumptions!$B$14)+G457+F457+D457+E457))</f>
        <v/>
      </c>
      <c r="I457">
        <f>$B$404/H457</f>
        <v/>
      </c>
      <c r="J457">
        <f>$B$405/H457</f>
        <v/>
      </c>
      <c r="K457">
        <f>I457-J457</f>
        <v/>
      </c>
      <c r="L457">
        <f>Assumptions!$B$51/K457</f>
        <v/>
      </c>
      <c r="M457">
        <f>H457*(1-Assumptions!$B$52)</f>
        <v/>
      </c>
      <c r="N457">
        <f>MIN(L457,M457)</f>
        <v/>
      </c>
      <c r="O457">
        <f>Assumptions!$B$50/N457</f>
        <v/>
      </c>
      <c r="P457">
        <f>Assumptions!$B$54/K457</f>
        <v/>
      </c>
      <c r="Q457">
        <f>H457*(1-Assumptions!$B$55)</f>
        <v/>
      </c>
      <c r="R457">
        <f>MIN(P457,Q457)</f>
        <v/>
      </c>
      <c r="S457">
        <f>Assumptions!$B$53/R457</f>
        <v/>
      </c>
      <c r="T457">
        <f>Assumptions!$B$27*(Assumptions!$B$64+$B$405/Assumptions!$B$27)/(Assumptions!$B$64+J457)</f>
        <v/>
      </c>
      <c r="U457">
        <f>IF(H457&lt;Assumptions!$B$27,Assumptions!$B$27/T457,1)</f>
        <v/>
      </c>
      <c r="V457">
        <f>Assumptions!$B$26*(Assumptions!$B$64+$B$405/Assumptions!$B$26)/(Assumptions!$B$64+J457)</f>
        <v/>
      </c>
      <c r="W457">
        <f>IF(H457&lt;Assumptions!$B$26,Assumptions!$B$26/V457,1)</f>
        <v/>
      </c>
    </row>
    <row r="475">
      <c r="A475" t="inlineStr">
        <is>
          <t>Cell esop_13_pre_1800M</t>
        </is>
      </c>
    </row>
    <row r="476">
      <c r="A476" t="inlineStr">
        <is>
          <t>esop</t>
        </is>
      </c>
      <c r="B476" t="n">
        <v>0.13</v>
      </c>
    </row>
    <row r="477">
      <c r="A477" t="inlineStr">
        <is>
          <t>pre_M ($M)</t>
        </is>
      </c>
      <c r="B477" t="n">
        <v>1800</v>
      </c>
    </row>
    <row r="478">
      <c r="A478" t="inlineStr">
        <is>
          <t>pre_money $</t>
        </is>
      </c>
      <c r="B478">
        <f>B477*1000000</f>
        <v/>
      </c>
    </row>
    <row r="479">
      <c r="A479" t="inlineStr">
        <is>
          <t>post_money $</t>
        </is>
      </c>
      <c r="B479">
        <f>B478+Assumptions!$B$41</f>
        <v/>
      </c>
    </row>
    <row r="480">
      <c r="A480" t="inlineStr">
        <is>
          <t>primary raise $</t>
        </is>
      </c>
      <c r="B480">
        <f>Assumptions!$B$41</f>
        <v/>
      </c>
    </row>
    <row r="482">
      <c r="A482" t="inlineStr">
        <is>
          <t>iter</t>
        </is>
      </c>
      <c r="B482" t="inlineStr">
        <is>
          <t>r_E_p</t>
        </is>
      </c>
      <c r="C482" t="inlineStr">
        <is>
          <t>r_D_p</t>
        </is>
      </c>
      <c r="D482" t="inlineStr">
        <is>
          <t>N_A_p</t>
        </is>
      </c>
      <c r="E482" t="inlineStr">
        <is>
          <t>N_B_p</t>
        </is>
      </c>
      <c r="F482" t="inlineStr">
        <is>
          <t>E_adj</t>
        </is>
      </c>
      <c r="G482" t="inlineStr">
        <is>
          <t>D_adj</t>
        </is>
      </c>
      <c r="H482" t="inlineStr">
        <is>
          <t>F_PPS</t>
        </is>
      </c>
      <c r="I482" t="inlineStr">
        <is>
          <t>T_F</t>
        </is>
      </c>
      <c r="J482" t="inlineStr">
        <is>
          <t>new_F</t>
        </is>
      </c>
      <c r="K482" t="inlineStr">
        <is>
          <t>pre_FD</t>
        </is>
      </c>
      <c r="L482" t="inlineStr">
        <is>
          <t>capA</t>
        </is>
      </c>
      <c r="M482" t="inlineStr">
        <is>
          <t>discA</t>
        </is>
      </c>
      <c r="N482" t="inlineStr">
        <is>
          <t>cpA</t>
        </is>
      </c>
      <c r="O482" t="inlineStr">
        <is>
          <t>NA</t>
        </is>
      </c>
      <c r="P482" t="inlineStr">
        <is>
          <t>capB</t>
        </is>
      </c>
      <c r="Q482" t="inlineStr">
        <is>
          <t>discB</t>
        </is>
      </c>
      <c r="R482" t="inlineStr">
        <is>
          <t>cpB</t>
        </is>
      </c>
      <c r="S482" t="inlineStr">
        <is>
          <t>NB</t>
        </is>
      </c>
      <c r="T482" t="inlineStr">
        <is>
          <t>NCP_E</t>
        </is>
      </c>
      <c r="U482" t="inlineStr">
        <is>
          <t>r_E_n</t>
        </is>
      </c>
      <c r="V482" t="inlineStr">
        <is>
          <t>NCP_D</t>
        </is>
      </c>
      <c r="W482" t="inlineStr">
        <is>
          <t>r_D_n</t>
        </is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>
        <f>Assumptions!$B$16*B483</f>
        <v/>
      </c>
      <c r="G483">
        <f>Assumptions!$B$15*C483</f>
        <v/>
      </c>
      <c r="H483">
        <f>IF($B$476*($B$479/(($B$479*(1-$B$476)-$B$480)/((Assumptions!$B$9+Assumptions!$B$11+Assumptions!$B$12+Assumptions!$B$13+Assumptions!$B$14)+G483+F483+D483+E483)))&lt;Assumptions!$B$65,($B$479-$B$480)/(((Assumptions!$B$9+Assumptions!$B$11+Assumptions!$B$12+Assumptions!$B$13+Assumptions!$B$14)+G483+F483+D483+E483)+Assumptions!$B$65),($B$479*(1-$B$476)-$B$480)/((Assumptions!$B$9+Assumptions!$B$11+Assumptions!$B$12+Assumptions!$B$13+Assumptions!$B$14)+G483+F483+D483+E483))</f>
        <v/>
      </c>
      <c r="I483">
        <f>$B$479/H483</f>
        <v/>
      </c>
      <c r="J483">
        <f>$B$480/H483</f>
        <v/>
      </c>
      <c r="K483">
        <f>I483-J483</f>
        <v/>
      </c>
      <c r="L483">
        <f>Assumptions!$B$51/K483</f>
        <v/>
      </c>
      <c r="M483">
        <f>H483*(1-Assumptions!$B$52)</f>
        <v/>
      </c>
      <c r="N483">
        <f>MIN(L483,M483)</f>
        <v/>
      </c>
      <c r="O483">
        <f>Assumptions!$B$50/N483</f>
        <v/>
      </c>
      <c r="P483">
        <f>Assumptions!$B$54/K483</f>
        <v/>
      </c>
      <c r="Q483">
        <f>H483*(1-Assumptions!$B$55)</f>
        <v/>
      </c>
      <c r="R483">
        <f>MIN(P483,Q483)</f>
        <v/>
      </c>
      <c r="S483">
        <f>Assumptions!$B$53/R483</f>
        <v/>
      </c>
      <c r="T483">
        <f>Assumptions!$B$27*(Assumptions!$B$64+$B$480/Assumptions!$B$27)/(Assumptions!$B$64+J483)</f>
        <v/>
      </c>
      <c r="U483">
        <f>IF(H483&lt;Assumptions!$B$27,Assumptions!$B$27/T483,1)</f>
        <v/>
      </c>
      <c r="V483">
        <f>Assumptions!$B$26*(Assumptions!$B$64+$B$480/Assumptions!$B$26)/(Assumptions!$B$64+J483)</f>
        <v/>
      </c>
      <c r="W483">
        <f>IF(H483&lt;Assumptions!$B$26,Assumptions!$B$26/V483,1)</f>
        <v/>
      </c>
    </row>
    <row r="484">
      <c r="A484" t="n">
        <v>1</v>
      </c>
      <c r="B484">
        <f>U483</f>
        <v/>
      </c>
      <c r="C484">
        <f>W483</f>
        <v/>
      </c>
      <c r="D484">
        <f>O483</f>
        <v/>
      </c>
      <c r="E484">
        <f>S483</f>
        <v/>
      </c>
      <c r="F484">
        <f>Assumptions!$B$16*B484</f>
        <v/>
      </c>
      <c r="G484">
        <f>Assumptions!$B$15*C484</f>
        <v/>
      </c>
      <c r="H484">
        <f>IF($B$476*($B$479/(($B$479*(1-$B$476)-$B$480)/((Assumptions!$B$9+Assumptions!$B$11+Assumptions!$B$12+Assumptions!$B$13+Assumptions!$B$14)+G484+F484+D484+E484)))&lt;Assumptions!$B$65,($B$479-$B$480)/(((Assumptions!$B$9+Assumptions!$B$11+Assumptions!$B$12+Assumptions!$B$13+Assumptions!$B$14)+G484+F484+D484+E484)+Assumptions!$B$65),($B$479*(1-$B$476)-$B$480)/((Assumptions!$B$9+Assumptions!$B$11+Assumptions!$B$12+Assumptions!$B$13+Assumptions!$B$14)+G484+F484+D484+E484))</f>
        <v/>
      </c>
      <c r="I484">
        <f>$B$479/H484</f>
        <v/>
      </c>
      <c r="J484">
        <f>$B$480/H484</f>
        <v/>
      </c>
      <c r="K484">
        <f>I484-J484</f>
        <v/>
      </c>
      <c r="L484">
        <f>Assumptions!$B$51/K484</f>
        <v/>
      </c>
      <c r="M484">
        <f>H484*(1-Assumptions!$B$52)</f>
        <v/>
      </c>
      <c r="N484">
        <f>MIN(L484,M484)</f>
        <v/>
      </c>
      <c r="O484">
        <f>Assumptions!$B$50/N484</f>
        <v/>
      </c>
      <c r="P484">
        <f>Assumptions!$B$54/K484</f>
        <v/>
      </c>
      <c r="Q484">
        <f>H484*(1-Assumptions!$B$55)</f>
        <v/>
      </c>
      <c r="R484">
        <f>MIN(P484,Q484)</f>
        <v/>
      </c>
      <c r="S484">
        <f>Assumptions!$B$53/R484</f>
        <v/>
      </c>
      <c r="T484">
        <f>Assumptions!$B$27*(Assumptions!$B$64+$B$480/Assumptions!$B$27)/(Assumptions!$B$64+J484)</f>
        <v/>
      </c>
      <c r="U484">
        <f>IF(H484&lt;Assumptions!$B$27,Assumptions!$B$27/T484,1)</f>
        <v/>
      </c>
      <c r="V484">
        <f>Assumptions!$B$26*(Assumptions!$B$64+$B$480/Assumptions!$B$26)/(Assumptions!$B$64+J484)</f>
        <v/>
      </c>
      <c r="W484">
        <f>IF(H484&lt;Assumptions!$B$26,Assumptions!$B$26/V484,1)</f>
        <v/>
      </c>
    </row>
    <row r="485">
      <c r="A485" t="n">
        <v>2</v>
      </c>
      <c r="B485">
        <f>U484</f>
        <v/>
      </c>
      <c r="C485">
        <f>W484</f>
        <v/>
      </c>
      <c r="D485">
        <f>O484</f>
        <v/>
      </c>
      <c r="E485">
        <f>S484</f>
        <v/>
      </c>
      <c r="F485">
        <f>Assumptions!$B$16*B485</f>
        <v/>
      </c>
      <c r="G485">
        <f>Assumptions!$B$15*C485</f>
        <v/>
      </c>
      <c r="H485">
        <f>IF($B$476*($B$479/(($B$479*(1-$B$476)-$B$480)/((Assumptions!$B$9+Assumptions!$B$11+Assumptions!$B$12+Assumptions!$B$13+Assumptions!$B$14)+G485+F485+D485+E485)))&lt;Assumptions!$B$65,($B$479-$B$480)/(((Assumptions!$B$9+Assumptions!$B$11+Assumptions!$B$12+Assumptions!$B$13+Assumptions!$B$14)+G485+F485+D485+E485)+Assumptions!$B$65),($B$479*(1-$B$476)-$B$480)/((Assumptions!$B$9+Assumptions!$B$11+Assumptions!$B$12+Assumptions!$B$13+Assumptions!$B$14)+G485+F485+D485+E485))</f>
        <v/>
      </c>
      <c r="I485">
        <f>$B$479/H485</f>
        <v/>
      </c>
      <c r="J485">
        <f>$B$480/H485</f>
        <v/>
      </c>
      <c r="K485">
        <f>I485-J485</f>
        <v/>
      </c>
      <c r="L485">
        <f>Assumptions!$B$51/K485</f>
        <v/>
      </c>
      <c r="M485">
        <f>H485*(1-Assumptions!$B$52)</f>
        <v/>
      </c>
      <c r="N485">
        <f>MIN(L485,M485)</f>
        <v/>
      </c>
      <c r="O485">
        <f>Assumptions!$B$50/N485</f>
        <v/>
      </c>
      <c r="P485">
        <f>Assumptions!$B$54/K485</f>
        <v/>
      </c>
      <c r="Q485">
        <f>H485*(1-Assumptions!$B$55)</f>
        <v/>
      </c>
      <c r="R485">
        <f>MIN(P485,Q485)</f>
        <v/>
      </c>
      <c r="S485">
        <f>Assumptions!$B$53/R485</f>
        <v/>
      </c>
      <c r="T485">
        <f>Assumptions!$B$27*(Assumptions!$B$64+$B$480/Assumptions!$B$27)/(Assumptions!$B$64+J485)</f>
        <v/>
      </c>
      <c r="U485">
        <f>IF(H485&lt;Assumptions!$B$27,Assumptions!$B$27/T485,1)</f>
        <v/>
      </c>
      <c r="V485">
        <f>Assumptions!$B$26*(Assumptions!$B$64+$B$480/Assumptions!$B$26)/(Assumptions!$B$64+J485)</f>
        <v/>
      </c>
      <c r="W485">
        <f>IF(H485&lt;Assumptions!$B$26,Assumptions!$B$26/V485,1)</f>
        <v/>
      </c>
    </row>
    <row r="486">
      <c r="A486" t="n">
        <v>3</v>
      </c>
      <c r="B486">
        <f>U485</f>
        <v/>
      </c>
      <c r="C486">
        <f>W485</f>
        <v/>
      </c>
      <c r="D486">
        <f>O485</f>
        <v/>
      </c>
      <c r="E486">
        <f>S485</f>
        <v/>
      </c>
      <c r="F486">
        <f>Assumptions!$B$16*B486</f>
        <v/>
      </c>
      <c r="G486">
        <f>Assumptions!$B$15*C486</f>
        <v/>
      </c>
      <c r="H486">
        <f>IF($B$476*($B$479/(($B$479*(1-$B$476)-$B$480)/((Assumptions!$B$9+Assumptions!$B$11+Assumptions!$B$12+Assumptions!$B$13+Assumptions!$B$14)+G486+F486+D486+E486)))&lt;Assumptions!$B$65,($B$479-$B$480)/(((Assumptions!$B$9+Assumptions!$B$11+Assumptions!$B$12+Assumptions!$B$13+Assumptions!$B$14)+G486+F486+D486+E486)+Assumptions!$B$65),($B$479*(1-$B$476)-$B$480)/((Assumptions!$B$9+Assumptions!$B$11+Assumptions!$B$12+Assumptions!$B$13+Assumptions!$B$14)+G486+F486+D486+E486))</f>
        <v/>
      </c>
      <c r="I486">
        <f>$B$479/H486</f>
        <v/>
      </c>
      <c r="J486">
        <f>$B$480/H486</f>
        <v/>
      </c>
      <c r="K486">
        <f>I486-J486</f>
        <v/>
      </c>
      <c r="L486">
        <f>Assumptions!$B$51/K486</f>
        <v/>
      </c>
      <c r="M486">
        <f>H486*(1-Assumptions!$B$52)</f>
        <v/>
      </c>
      <c r="N486">
        <f>MIN(L486,M486)</f>
        <v/>
      </c>
      <c r="O486">
        <f>Assumptions!$B$50/N486</f>
        <v/>
      </c>
      <c r="P486">
        <f>Assumptions!$B$54/K486</f>
        <v/>
      </c>
      <c r="Q486">
        <f>H486*(1-Assumptions!$B$55)</f>
        <v/>
      </c>
      <c r="R486">
        <f>MIN(P486,Q486)</f>
        <v/>
      </c>
      <c r="S486">
        <f>Assumptions!$B$53/R486</f>
        <v/>
      </c>
      <c r="T486">
        <f>Assumptions!$B$27*(Assumptions!$B$64+$B$480/Assumptions!$B$27)/(Assumptions!$B$64+J486)</f>
        <v/>
      </c>
      <c r="U486">
        <f>IF(H486&lt;Assumptions!$B$27,Assumptions!$B$27/T486,1)</f>
        <v/>
      </c>
      <c r="V486">
        <f>Assumptions!$B$26*(Assumptions!$B$64+$B$480/Assumptions!$B$26)/(Assumptions!$B$64+J486)</f>
        <v/>
      </c>
      <c r="W486">
        <f>IF(H486&lt;Assumptions!$B$26,Assumptions!$B$26/V486,1)</f>
        <v/>
      </c>
    </row>
    <row r="487">
      <c r="A487" t="n">
        <v>4</v>
      </c>
      <c r="B487">
        <f>U486</f>
        <v/>
      </c>
      <c r="C487">
        <f>W486</f>
        <v/>
      </c>
      <c r="D487">
        <f>O486</f>
        <v/>
      </c>
      <c r="E487">
        <f>S486</f>
        <v/>
      </c>
      <c r="F487">
        <f>Assumptions!$B$16*B487</f>
        <v/>
      </c>
      <c r="G487">
        <f>Assumptions!$B$15*C487</f>
        <v/>
      </c>
      <c r="H487">
        <f>IF($B$476*($B$479/(($B$479*(1-$B$476)-$B$480)/((Assumptions!$B$9+Assumptions!$B$11+Assumptions!$B$12+Assumptions!$B$13+Assumptions!$B$14)+G487+F487+D487+E487)))&lt;Assumptions!$B$65,($B$479-$B$480)/(((Assumptions!$B$9+Assumptions!$B$11+Assumptions!$B$12+Assumptions!$B$13+Assumptions!$B$14)+G487+F487+D487+E487)+Assumptions!$B$65),($B$479*(1-$B$476)-$B$480)/((Assumptions!$B$9+Assumptions!$B$11+Assumptions!$B$12+Assumptions!$B$13+Assumptions!$B$14)+G487+F487+D487+E487))</f>
        <v/>
      </c>
      <c r="I487">
        <f>$B$479/H487</f>
        <v/>
      </c>
      <c r="J487">
        <f>$B$480/H487</f>
        <v/>
      </c>
      <c r="K487">
        <f>I487-J487</f>
        <v/>
      </c>
      <c r="L487">
        <f>Assumptions!$B$51/K487</f>
        <v/>
      </c>
      <c r="M487">
        <f>H487*(1-Assumptions!$B$52)</f>
        <v/>
      </c>
      <c r="N487">
        <f>MIN(L487,M487)</f>
        <v/>
      </c>
      <c r="O487">
        <f>Assumptions!$B$50/N487</f>
        <v/>
      </c>
      <c r="P487">
        <f>Assumptions!$B$54/K487</f>
        <v/>
      </c>
      <c r="Q487">
        <f>H487*(1-Assumptions!$B$55)</f>
        <v/>
      </c>
      <c r="R487">
        <f>MIN(P487,Q487)</f>
        <v/>
      </c>
      <c r="S487">
        <f>Assumptions!$B$53/R487</f>
        <v/>
      </c>
      <c r="T487">
        <f>Assumptions!$B$27*(Assumptions!$B$64+$B$480/Assumptions!$B$27)/(Assumptions!$B$64+J487)</f>
        <v/>
      </c>
      <c r="U487">
        <f>IF(H487&lt;Assumptions!$B$27,Assumptions!$B$27/T487,1)</f>
        <v/>
      </c>
      <c r="V487">
        <f>Assumptions!$B$26*(Assumptions!$B$64+$B$480/Assumptions!$B$26)/(Assumptions!$B$64+J487)</f>
        <v/>
      </c>
      <c r="W487">
        <f>IF(H487&lt;Assumptions!$B$26,Assumptions!$B$26/V487,1)</f>
        <v/>
      </c>
    </row>
    <row r="488">
      <c r="A488" t="n">
        <v>5</v>
      </c>
      <c r="B488">
        <f>U487</f>
        <v/>
      </c>
      <c r="C488">
        <f>W487</f>
        <v/>
      </c>
      <c r="D488">
        <f>O487</f>
        <v/>
      </c>
      <c r="E488">
        <f>S487</f>
        <v/>
      </c>
      <c r="F488">
        <f>Assumptions!$B$16*B488</f>
        <v/>
      </c>
      <c r="G488">
        <f>Assumptions!$B$15*C488</f>
        <v/>
      </c>
      <c r="H488">
        <f>IF($B$476*($B$479/(($B$479*(1-$B$476)-$B$480)/((Assumptions!$B$9+Assumptions!$B$11+Assumptions!$B$12+Assumptions!$B$13+Assumptions!$B$14)+G488+F488+D488+E488)))&lt;Assumptions!$B$65,($B$479-$B$480)/(((Assumptions!$B$9+Assumptions!$B$11+Assumptions!$B$12+Assumptions!$B$13+Assumptions!$B$14)+G488+F488+D488+E488)+Assumptions!$B$65),($B$479*(1-$B$476)-$B$480)/((Assumptions!$B$9+Assumptions!$B$11+Assumptions!$B$12+Assumptions!$B$13+Assumptions!$B$14)+G488+F488+D488+E488))</f>
        <v/>
      </c>
      <c r="I488">
        <f>$B$479/H488</f>
        <v/>
      </c>
      <c r="J488">
        <f>$B$480/H488</f>
        <v/>
      </c>
      <c r="K488">
        <f>I488-J488</f>
        <v/>
      </c>
      <c r="L488">
        <f>Assumptions!$B$51/K488</f>
        <v/>
      </c>
      <c r="M488">
        <f>H488*(1-Assumptions!$B$52)</f>
        <v/>
      </c>
      <c r="N488">
        <f>MIN(L488,M488)</f>
        <v/>
      </c>
      <c r="O488">
        <f>Assumptions!$B$50/N488</f>
        <v/>
      </c>
      <c r="P488">
        <f>Assumptions!$B$54/K488</f>
        <v/>
      </c>
      <c r="Q488">
        <f>H488*(1-Assumptions!$B$55)</f>
        <v/>
      </c>
      <c r="R488">
        <f>MIN(P488,Q488)</f>
        <v/>
      </c>
      <c r="S488">
        <f>Assumptions!$B$53/R488</f>
        <v/>
      </c>
      <c r="T488">
        <f>Assumptions!$B$27*(Assumptions!$B$64+$B$480/Assumptions!$B$27)/(Assumptions!$B$64+J488)</f>
        <v/>
      </c>
      <c r="U488">
        <f>IF(H488&lt;Assumptions!$B$27,Assumptions!$B$27/T488,1)</f>
        <v/>
      </c>
      <c r="V488">
        <f>Assumptions!$B$26*(Assumptions!$B$64+$B$480/Assumptions!$B$26)/(Assumptions!$B$64+J488)</f>
        <v/>
      </c>
      <c r="W488">
        <f>IF(H488&lt;Assumptions!$B$26,Assumptions!$B$26/V488,1)</f>
        <v/>
      </c>
    </row>
    <row r="489">
      <c r="A489" t="n">
        <v>6</v>
      </c>
      <c r="B489">
        <f>U488</f>
        <v/>
      </c>
      <c r="C489">
        <f>W488</f>
        <v/>
      </c>
      <c r="D489">
        <f>O488</f>
        <v/>
      </c>
      <c r="E489">
        <f>S488</f>
        <v/>
      </c>
      <c r="F489">
        <f>Assumptions!$B$16*B489</f>
        <v/>
      </c>
      <c r="G489">
        <f>Assumptions!$B$15*C489</f>
        <v/>
      </c>
      <c r="H489">
        <f>IF($B$476*($B$479/(($B$479*(1-$B$476)-$B$480)/((Assumptions!$B$9+Assumptions!$B$11+Assumptions!$B$12+Assumptions!$B$13+Assumptions!$B$14)+G489+F489+D489+E489)))&lt;Assumptions!$B$65,($B$479-$B$480)/(((Assumptions!$B$9+Assumptions!$B$11+Assumptions!$B$12+Assumptions!$B$13+Assumptions!$B$14)+G489+F489+D489+E489)+Assumptions!$B$65),($B$479*(1-$B$476)-$B$480)/((Assumptions!$B$9+Assumptions!$B$11+Assumptions!$B$12+Assumptions!$B$13+Assumptions!$B$14)+G489+F489+D489+E489))</f>
        <v/>
      </c>
      <c r="I489">
        <f>$B$479/H489</f>
        <v/>
      </c>
      <c r="J489">
        <f>$B$480/H489</f>
        <v/>
      </c>
      <c r="K489">
        <f>I489-J489</f>
        <v/>
      </c>
      <c r="L489">
        <f>Assumptions!$B$51/K489</f>
        <v/>
      </c>
      <c r="M489">
        <f>H489*(1-Assumptions!$B$52)</f>
        <v/>
      </c>
      <c r="N489">
        <f>MIN(L489,M489)</f>
        <v/>
      </c>
      <c r="O489">
        <f>Assumptions!$B$50/N489</f>
        <v/>
      </c>
      <c r="P489">
        <f>Assumptions!$B$54/K489</f>
        <v/>
      </c>
      <c r="Q489">
        <f>H489*(1-Assumptions!$B$55)</f>
        <v/>
      </c>
      <c r="R489">
        <f>MIN(P489,Q489)</f>
        <v/>
      </c>
      <c r="S489">
        <f>Assumptions!$B$53/R489</f>
        <v/>
      </c>
      <c r="T489">
        <f>Assumptions!$B$27*(Assumptions!$B$64+$B$480/Assumptions!$B$27)/(Assumptions!$B$64+J489)</f>
        <v/>
      </c>
      <c r="U489">
        <f>IF(H489&lt;Assumptions!$B$27,Assumptions!$B$27/T489,1)</f>
        <v/>
      </c>
      <c r="V489">
        <f>Assumptions!$B$26*(Assumptions!$B$64+$B$480/Assumptions!$B$26)/(Assumptions!$B$64+J489)</f>
        <v/>
      </c>
      <c r="W489">
        <f>IF(H489&lt;Assumptions!$B$26,Assumptions!$B$26/V489,1)</f>
        <v/>
      </c>
    </row>
    <row r="490">
      <c r="A490" t="n">
        <v>7</v>
      </c>
      <c r="B490">
        <f>U489</f>
        <v/>
      </c>
      <c r="C490">
        <f>W489</f>
        <v/>
      </c>
      <c r="D490">
        <f>O489</f>
        <v/>
      </c>
      <c r="E490">
        <f>S489</f>
        <v/>
      </c>
      <c r="F490">
        <f>Assumptions!$B$16*B490</f>
        <v/>
      </c>
      <c r="G490">
        <f>Assumptions!$B$15*C490</f>
        <v/>
      </c>
      <c r="H490">
        <f>IF($B$476*($B$479/(($B$479*(1-$B$476)-$B$480)/((Assumptions!$B$9+Assumptions!$B$11+Assumptions!$B$12+Assumptions!$B$13+Assumptions!$B$14)+G490+F490+D490+E490)))&lt;Assumptions!$B$65,($B$479-$B$480)/(((Assumptions!$B$9+Assumptions!$B$11+Assumptions!$B$12+Assumptions!$B$13+Assumptions!$B$14)+G490+F490+D490+E490)+Assumptions!$B$65),($B$479*(1-$B$476)-$B$480)/((Assumptions!$B$9+Assumptions!$B$11+Assumptions!$B$12+Assumptions!$B$13+Assumptions!$B$14)+G490+F490+D490+E490))</f>
        <v/>
      </c>
      <c r="I490">
        <f>$B$479/H490</f>
        <v/>
      </c>
      <c r="J490">
        <f>$B$480/H490</f>
        <v/>
      </c>
      <c r="K490">
        <f>I490-J490</f>
        <v/>
      </c>
      <c r="L490">
        <f>Assumptions!$B$51/K490</f>
        <v/>
      </c>
      <c r="M490">
        <f>H490*(1-Assumptions!$B$52)</f>
        <v/>
      </c>
      <c r="N490">
        <f>MIN(L490,M490)</f>
        <v/>
      </c>
      <c r="O490">
        <f>Assumptions!$B$50/N490</f>
        <v/>
      </c>
      <c r="P490">
        <f>Assumptions!$B$54/K490</f>
        <v/>
      </c>
      <c r="Q490">
        <f>H490*(1-Assumptions!$B$55)</f>
        <v/>
      </c>
      <c r="R490">
        <f>MIN(P490,Q490)</f>
        <v/>
      </c>
      <c r="S490">
        <f>Assumptions!$B$53/R490</f>
        <v/>
      </c>
      <c r="T490">
        <f>Assumptions!$B$27*(Assumptions!$B$64+$B$480/Assumptions!$B$27)/(Assumptions!$B$64+J490)</f>
        <v/>
      </c>
      <c r="U490">
        <f>IF(H490&lt;Assumptions!$B$27,Assumptions!$B$27/T490,1)</f>
        <v/>
      </c>
      <c r="V490">
        <f>Assumptions!$B$26*(Assumptions!$B$64+$B$480/Assumptions!$B$26)/(Assumptions!$B$64+J490)</f>
        <v/>
      </c>
      <c r="W490">
        <f>IF(H490&lt;Assumptions!$B$26,Assumptions!$B$26/V490,1)</f>
        <v/>
      </c>
    </row>
    <row r="491">
      <c r="A491" t="n">
        <v>8</v>
      </c>
      <c r="B491">
        <f>U490</f>
        <v/>
      </c>
      <c r="C491">
        <f>W490</f>
        <v/>
      </c>
      <c r="D491">
        <f>O490</f>
        <v/>
      </c>
      <c r="E491">
        <f>S490</f>
        <v/>
      </c>
      <c r="F491">
        <f>Assumptions!$B$16*B491</f>
        <v/>
      </c>
      <c r="G491">
        <f>Assumptions!$B$15*C491</f>
        <v/>
      </c>
      <c r="H491">
        <f>IF($B$476*($B$479/(($B$479*(1-$B$476)-$B$480)/((Assumptions!$B$9+Assumptions!$B$11+Assumptions!$B$12+Assumptions!$B$13+Assumptions!$B$14)+G491+F491+D491+E491)))&lt;Assumptions!$B$65,($B$479-$B$480)/(((Assumptions!$B$9+Assumptions!$B$11+Assumptions!$B$12+Assumptions!$B$13+Assumptions!$B$14)+G491+F491+D491+E491)+Assumptions!$B$65),($B$479*(1-$B$476)-$B$480)/((Assumptions!$B$9+Assumptions!$B$11+Assumptions!$B$12+Assumptions!$B$13+Assumptions!$B$14)+G491+F491+D491+E491))</f>
        <v/>
      </c>
      <c r="I491">
        <f>$B$479/H491</f>
        <v/>
      </c>
      <c r="J491">
        <f>$B$480/H491</f>
        <v/>
      </c>
      <c r="K491">
        <f>I491-J491</f>
        <v/>
      </c>
      <c r="L491">
        <f>Assumptions!$B$51/K491</f>
        <v/>
      </c>
      <c r="M491">
        <f>H491*(1-Assumptions!$B$52)</f>
        <v/>
      </c>
      <c r="N491">
        <f>MIN(L491,M491)</f>
        <v/>
      </c>
      <c r="O491">
        <f>Assumptions!$B$50/N491</f>
        <v/>
      </c>
      <c r="P491">
        <f>Assumptions!$B$54/K491</f>
        <v/>
      </c>
      <c r="Q491">
        <f>H491*(1-Assumptions!$B$55)</f>
        <v/>
      </c>
      <c r="R491">
        <f>MIN(P491,Q491)</f>
        <v/>
      </c>
      <c r="S491">
        <f>Assumptions!$B$53/R491</f>
        <v/>
      </c>
      <c r="T491">
        <f>Assumptions!$B$27*(Assumptions!$B$64+$B$480/Assumptions!$B$27)/(Assumptions!$B$64+J491)</f>
        <v/>
      </c>
      <c r="U491">
        <f>IF(H491&lt;Assumptions!$B$27,Assumptions!$B$27/T491,1)</f>
        <v/>
      </c>
      <c r="V491">
        <f>Assumptions!$B$26*(Assumptions!$B$64+$B$480/Assumptions!$B$26)/(Assumptions!$B$64+J491)</f>
        <v/>
      </c>
      <c r="W491">
        <f>IF(H491&lt;Assumptions!$B$26,Assumptions!$B$26/V491,1)</f>
        <v/>
      </c>
    </row>
    <row r="492">
      <c r="A492" t="n">
        <v>9</v>
      </c>
      <c r="B492">
        <f>U491</f>
        <v/>
      </c>
      <c r="C492">
        <f>W491</f>
        <v/>
      </c>
      <c r="D492">
        <f>O491</f>
        <v/>
      </c>
      <c r="E492">
        <f>S491</f>
        <v/>
      </c>
      <c r="F492">
        <f>Assumptions!$B$16*B492</f>
        <v/>
      </c>
      <c r="G492">
        <f>Assumptions!$B$15*C492</f>
        <v/>
      </c>
      <c r="H492">
        <f>IF($B$476*($B$479/(($B$479*(1-$B$476)-$B$480)/((Assumptions!$B$9+Assumptions!$B$11+Assumptions!$B$12+Assumptions!$B$13+Assumptions!$B$14)+G492+F492+D492+E492)))&lt;Assumptions!$B$65,($B$479-$B$480)/(((Assumptions!$B$9+Assumptions!$B$11+Assumptions!$B$12+Assumptions!$B$13+Assumptions!$B$14)+G492+F492+D492+E492)+Assumptions!$B$65),($B$479*(1-$B$476)-$B$480)/((Assumptions!$B$9+Assumptions!$B$11+Assumptions!$B$12+Assumptions!$B$13+Assumptions!$B$14)+G492+F492+D492+E492))</f>
        <v/>
      </c>
      <c r="I492">
        <f>$B$479/H492</f>
        <v/>
      </c>
      <c r="J492">
        <f>$B$480/H492</f>
        <v/>
      </c>
      <c r="K492">
        <f>I492-J492</f>
        <v/>
      </c>
      <c r="L492">
        <f>Assumptions!$B$51/K492</f>
        <v/>
      </c>
      <c r="M492">
        <f>H492*(1-Assumptions!$B$52)</f>
        <v/>
      </c>
      <c r="N492">
        <f>MIN(L492,M492)</f>
        <v/>
      </c>
      <c r="O492">
        <f>Assumptions!$B$50/N492</f>
        <v/>
      </c>
      <c r="P492">
        <f>Assumptions!$B$54/K492</f>
        <v/>
      </c>
      <c r="Q492">
        <f>H492*(1-Assumptions!$B$55)</f>
        <v/>
      </c>
      <c r="R492">
        <f>MIN(P492,Q492)</f>
        <v/>
      </c>
      <c r="S492">
        <f>Assumptions!$B$53/R492</f>
        <v/>
      </c>
      <c r="T492">
        <f>Assumptions!$B$27*(Assumptions!$B$64+$B$480/Assumptions!$B$27)/(Assumptions!$B$64+J492)</f>
        <v/>
      </c>
      <c r="U492">
        <f>IF(H492&lt;Assumptions!$B$27,Assumptions!$B$27/T492,1)</f>
        <v/>
      </c>
      <c r="V492">
        <f>Assumptions!$B$26*(Assumptions!$B$64+$B$480/Assumptions!$B$26)/(Assumptions!$B$64+J492)</f>
        <v/>
      </c>
      <c r="W492">
        <f>IF(H492&lt;Assumptions!$B$26,Assumptions!$B$26/V492,1)</f>
        <v/>
      </c>
    </row>
    <row r="493">
      <c r="A493" t="n">
        <v>10</v>
      </c>
      <c r="B493">
        <f>U492</f>
        <v/>
      </c>
      <c r="C493">
        <f>W492</f>
        <v/>
      </c>
      <c r="D493">
        <f>O492</f>
        <v/>
      </c>
      <c r="E493">
        <f>S492</f>
        <v/>
      </c>
      <c r="F493">
        <f>Assumptions!$B$16*B493</f>
        <v/>
      </c>
      <c r="G493">
        <f>Assumptions!$B$15*C493</f>
        <v/>
      </c>
      <c r="H493">
        <f>IF($B$476*($B$479/(($B$479*(1-$B$476)-$B$480)/((Assumptions!$B$9+Assumptions!$B$11+Assumptions!$B$12+Assumptions!$B$13+Assumptions!$B$14)+G493+F493+D493+E493)))&lt;Assumptions!$B$65,($B$479-$B$480)/(((Assumptions!$B$9+Assumptions!$B$11+Assumptions!$B$12+Assumptions!$B$13+Assumptions!$B$14)+G493+F493+D493+E493)+Assumptions!$B$65),($B$479*(1-$B$476)-$B$480)/((Assumptions!$B$9+Assumptions!$B$11+Assumptions!$B$12+Assumptions!$B$13+Assumptions!$B$14)+G493+F493+D493+E493))</f>
        <v/>
      </c>
      <c r="I493">
        <f>$B$479/H493</f>
        <v/>
      </c>
      <c r="J493">
        <f>$B$480/H493</f>
        <v/>
      </c>
      <c r="K493">
        <f>I493-J493</f>
        <v/>
      </c>
      <c r="L493">
        <f>Assumptions!$B$51/K493</f>
        <v/>
      </c>
      <c r="M493">
        <f>H493*(1-Assumptions!$B$52)</f>
        <v/>
      </c>
      <c r="N493">
        <f>MIN(L493,M493)</f>
        <v/>
      </c>
      <c r="O493">
        <f>Assumptions!$B$50/N493</f>
        <v/>
      </c>
      <c r="P493">
        <f>Assumptions!$B$54/K493</f>
        <v/>
      </c>
      <c r="Q493">
        <f>H493*(1-Assumptions!$B$55)</f>
        <v/>
      </c>
      <c r="R493">
        <f>MIN(P493,Q493)</f>
        <v/>
      </c>
      <c r="S493">
        <f>Assumptions!$B$53/R493</f>
        <v/>
      </c>
      <c r="T493">
        <f>Assumptions!$B$27*(Assumptions!$B$64+$B$480/Assumptions!$B$27)/(Assumptions!$B$64+J493)</f>
        <v/>
      </c>
      <c r="U493">
        <f>IF(H493&lt;Assumptions!$B$27,Assumptions!$B$27/T493,1)</f>
        <v/>
      </c>
      <c r="V493">
        <f>Assumptions!$B$26*(Assumptions!$B$64+$B$480/Assumptions!$B$26)/(Assumptions!$B$64+J493)</f>
        <v/>
      </c>
      <c r="W493">
        <f>IF(H493&lt;Assumptions!$B$26,Assumptions!$B$26/V493,1)</f>
        <v/>
      </c>
    </row>
    <row r="494">
      <c r="A494" t="n">
        <v>11</v>
      </c>
      <c r="B494">
        <f>U493</f>
        <v/>
      </c>
      <c r="C494">
        <f>W493</f>
        <v/>
      </c>
      <c r="D494">
        <f>O493</f>
        <v/>
      </c>
      <c r="E494">
        <f>S493</f>
        <v/>
      </c>
      <c r="F494">
        <f>Assumptions!$B$16*B494</f>
        <v/>
      </c>
      <c r="G494">
        <f>Assumptions!$B$15*C494</f>
        <v/>
      </c>
      <c r="H494">
        <f>IF($B$476*($B$479/(($B$479*(1-$B$476)-$B$480)/((Assumptions!$B$9+Assumptions!$B$11+Assumptions!$B$12+Assumptions!$B$13+Assumptions!$B$14)+G494+F494+D494+E494)))&lt;Assumptions!$B$65,($B$479-$B$480)/(((Assumptions!$B$9+Assumptions!$B$11+Assumptions!$B$12+Assumptions!$B$13+Assumptions!$B$14)+G494+F494+D494+E494)+Assumptions!$B$65),($B$479*(1-$B$476)-$B$480)/((Assumptions!$B$9+Assumptions!$B$11+Assumptions!$B$12+Assumptions!$B$13+Assumptions!$B$14)+G494+F494+D494+E494))</f>
        <v/>
      </c>
      <c r="I494">
        <f>$B$479/H494</f>
        <v/>
      </c>
      <c r="J494">
        <f>$B$480/H494</f>
        <v/>
      </c>
      <c r="K494">
        <f>I494-J494</f>
        <v/>
      </c>
      <c r="L494">
        <f>Assumptions!$B$51/K494</f>
        <v/>
      </c>
      <c r="M494">
        <f>H494*(1-Assumptions!$B$52)</f>
        <v/>
      </c>
      <c r="N494">
        <f>MIN(L494,M494)</f>
        <v/>
      </c>
      <c r="O494">
        <f>Assumptions!$B$50/N494</f>
        <v/>
      </c>
      <c r="P494">
        <f>Assumptions!$B$54/K494</f>
        <v/>
      </c>
      <c r="Q494">
        <f>H494*(1-Assumptions!$B$55)</f>
        <v/>
      </c>
      <c r="R494">
        <f>MIN(P494,Q494)</f>
        <v/>
      </c>
      <c r="S494">
        <f>Assumptions!$B$53/R494</f>
        <v/>
      </c>
      <c r="T494">
        <f>Assumptions!$B$27*(Assumptions!$B$64+$B$480/Assumptions!$B$27)/(Assumptions!$B$64+J494)</f>
        <v/>
      </c>
      <c r="U494">
        <f>IF(H494&lt;Assumptions!$B$27,Assumptions!$B$27/T494,1)</f>
        <v/>
      </c>
      <c r="V494">
        <f>Assumptions!$B$26*(Assumptions!$B$64+$B$480/Assumptions!$B$26)/(Assumptions!$B$64+J494)</f>
        <v/>
      </c>
      <c r="W494">
        <f>IF(H494&lt;Assumptions!$B$26,Assumptions!$B$26/V494,1)</f>
        <v/>
      </c>
    </row>
    <row r="495">
      <c r="A495" t="n">
        <v>12</v>
      </c>
      <c r="B495">
        <f>U494</f>
        <v/>
      </c>
      <c r="C495">
        <f>W494</f>
        <v/>
      </c>
      <c r="D495">
        <f>O494</f>
        <v/>
      </c>
      <c r="E495">
        <f>S494</f>
        <v/>
      </c>
      <c r="F495">
        <f>Assumptions!$B$16*B495</f>
        <v/>
      </c>
      <c r="G495">
        <f>Assumptions!$B$15*C495</f>
        <v/>
      </c>
      <c r="H495">
        <f>IF($B$476*($B$479/(($B$479*(1-$B$476)-$B$480)/((Assumptions!$B$9+Assumptions!$B$11+Assumptions!$B$12+Assumptions!$B$13+Assumptions!$B$14)+G495+F495+D495+E495)))&lt;Assumptions!$B$65,($B$479-$B$480)/(((Assumptions!$B$9+Assumptions!$B$11+Assumptions!$B$12+Assumptions!$B$13+Assumptions!$B$14)+G495+F495+D495+E495)+Assumptions!$B$65),($B$479*(1-$B$476)-$B$480)/((Assumptions!$B$9+Assumptions!$B$11+Assumptions!$B$12+Assumptions!$B$13+Assumptions!$B$14)+G495+F495+D495+E495))</f>
        <v/>
      </c>
      <c r="I495">
        <f>$B$479/H495</f>
        <v/>
      </c>
      <c r="J495">
        <f>$B$480/H495</f>
        <v/>
      </c>
      <c r="K495">
        <f>I495-J495</f>
        <v/>
      </c>
      <c r="L495">
        <f>Assumptions!$B$51/K495</f>
        <v/>
      </c>
      <c r="M495">
        <f>H495*(1-Assumptions!$B$52)</f>
        <v/>
      </c>
      <c r="N495">
        <f>MIN(L495,M495)</f>
        <v/>
      </c>
      <c r="O495">
        <f>Assumptions!$B$50/N495</f>
        <v/>
      </c>
      <c r="P495">
        <f>Assumptions!$B$54/K495</f>
        <v/>
      </c>
      <c r="Q495">
        <f>H495*(1-Assumptions!$B$55)</f>
        <v/>
      </c>
      <c r="R495">
        <f>MIN(P495,Q495)</f>
        <v/>
      </c>
      <c r="S495">
        <f>Assumptions!$B$53/R495</f>
        <v/>
      </c>
      <c r="T495">
        <f>Assumptions!$B$27*(Assumptions!$B$64+$B$480/Assumptions!$B$27)/(Assumptions!$B$64+J495)</f>
        <v/>
      </c>
      <c r="U495">
        <f>IF(H495&lt;Assumptions!$B$27,Assumptions!$B$27/T495,1)</f>
        <v/>
      </c>
      <c r="V495">
        <f>Assumptions!$B$26*(Assumptions!$B$64+$B$480/Assumptions!$B$26)/(Assumptions!$B$64+J495)</f>
        <v/>
      </c>
      <c r="W495">
        <f>IF(H495&lt;Assumptions!$B$26,Assumptions!$B$26/V495,1)</f>
        <v/>
      </c>
    </row>
    <row r="496">
      <c r="A496" t="n">
        <v>13</v>
      </c>
      <c r="B496">
        <f>U495</f>
        <v/>
      </c>
      <c r="C496">
        <f>W495</f>
        <v/>
      </c>
      <c r="D496">
        <f>O495</f>
        <v/>
      </c>
      <c r="E496">
        <f>S495</f>
        <v/>
      </c>
      <c r="F496">
        <f>Assumptions!$B$16*B496</f>
        <v/>
      </c>
      <c r="G496">
        <f>Assumptions!$B$15*C496</f>
        <v/>
      </c>
      <c r="H496">
        <f>IF($B$476*($B$479/(($B$479*(1-$B$476)-$B$480)/((Assumptions!$B$9+Assumptions!$B$11+Assumptions!$B$12+Assumptions!$B$13+Assumptions!$B$14)+G496+F496+D496+E496)))&lt;Assumptions!$B$65,($B$479-$B$480)/(((Assumptions!$B$9+Assumptions!$B$11+Assumptions!$B$12+Assumptions!$B$13+Assumptions!$B$14)+G496+F496+D496+E496)+Assumptions!$B$65),($B$479*(1-$B$476)-$B$480)/((Assumptions!$B$9+Assumptions!$B$11+Assumptions!$B$12+Assumptions!$B$13+Assumptions!$B$14)+G496+F496+D496+E496))</f>
        <v/>
      </c>
      <c r="I496">
        <f>$B$479/H496</f>
        <v/>
      </c>
      <c r="J496">
        <f>$B$480/H496</f>
        <v/>
      </c>
      <c r="K496">
        <f>I496-J496</f>
        <v/>
      </c>
      <c r="L496">
        <f>Assumptions!$B$51/K496</f>
        <v/>
      </c>
      <c r="M496">
        <f>H496*(1-Assumptions!$B$52)</f>
        <v/>
      </c>
      <c r="N496">
        <f>MIN(L496,M496)</f>
        <v/>
      </c>
      <c r="O496">
        <f>Assumptions!$B$50/N496</f>
        <v/>
      </c>
      <c r="P496">
        <f>Assumptions!$B$54/K496</f>
        <v/>
      </c>
      <c r="Q496">
        <f>H496*(1-Assumptions!$B$55)</f>
        <v/>
      </c>
      <c r="R496">
        <f>MIN(P496,Q496)</f>
        <v/>
      </c>
      <c r="S496">
        <f>Assumptions!$B$53/R496</f>
        <v/>
      </c>
      <c r="T496">
        <f>Assumptions!$B$27*(Assumptions!$B$64+$B$480/Assumptions!$B$27)/(Assumptions!$B$64+J496)</f>
        <v/>
      </c>
      <c r="U496">
        <f>IF(H496&lt;Assumptions!$B$27,Assumptions!$B$27/T496,1)</f>
        <v/>
      </c>
      <c r="V496">
        <f>Assumptions!$B$26*(Assumptions!$B$64+$B$480/Assumptions!$B$26)/(Assumptions!$B$64+J496)</f>
        <v/>
      </c>
      <c r="W496">
        <f>IF(H496&lt;Assumptions!$B$26,Assumptions!$B$26/V496,1)</f>
        <v/>
      </c>
    </row>
    <row r="497">
      <c r="A497" t="n">
        <v>14</v>
      </c>
      <c r="B497">
        <f>U496</f>
        <v/>
      </c>
      <c r="C497">
        <f>W496</f>
        <v/>
      </c>
      <c r="D497">
        <f>O496</f>
        <v/>
      </c>
      <c r="E497">
        <f>S496</f>
        <v/>
      </c>
      <c r="F497">
        <f>Assumptions!$B$16*B497</f>
        <v/>
      </c>
      <c r="G497">
        <f>Assumptions!$B$15*C497</f>
        <v/>
      </c>
      <c r="H497">
        <f>IF($B$476*($B$479/(($B$479*(1-$B$476)-$B$480)/((Assumptions!$B$9+Assumptions!$B$11+Assumptions!$B$12+Assumptions!$B$13+Assumptions!$B$14)+G497+F497+D497+E497)))&lt;Assumptions!$B$65,($B$479-$B$480)/(((Assumptions!$B$9+Assumptions!$B$11+Assumptions!$B$12+Assumptions!$B$13+Assumptions!$B$14)+G497+F497+D497+E497)+Assumptions!$B$65),($B$479*(1-$B$476)-$B$480)/((Assumptions!$B$9+Assumptions!$B$11+Assumptions!$B$12+Assumptions!$B$13+Assumptions!$B$14)+G497+F497+D497+E497))</f>
        <v/>
      </c>
      <c r="I497">
        <f>$B$479/H497</f>
        <v/>
      </c>
      <c r="J497">
        <f>$B$480/H497</f>
        <v/>
      </c>
      <c r="K497">
        <f>I497-J497</f>
        <v/>
      </c>
      <c r="L497">
        <f>Assumptions!$B$51/K497</f>
        <v/>
      </c>
      <c r="M497">
        <f>H497*(1-Assumptions!$B$52)</f>
        <v/>
      </c>
      <c r="N497">
        <f>MIN(L497,M497)</f>
        <v/>
      </c>
      <c r="O497">
        <f>Assumptions!$B$50/N497</f>
        <v/>
      </c>
      <c r="P497">
        <f>Assumptions!$B$54/K497</f>
        <v/>
      </c>
      <c r="Q497">
        <f>H497*(1-Assumptions!$B$55)</f>
        <v/>
      </c>
      <c r="R497">
        <f>MIN(P497,Q497)</f>
        <v/>
      </c>
      <c r="S497">
        <f>Assumptions!$B$53/R497</f>
        <v/>
      </c>
      <c r="T497">
        <f>Assumptions!$B$27*(Assumptions!$B$64+$B$480/Assumptions!$B$27)/(Assumptions!$B$64+J497)</f>
        <v/>
      </c>
      <c r="U497">
        <f>IF(H497&lt;Assumptions!$B$27,Assumptions!$B$27/T497,1)</f>
        <v/>
      </c>
      <c r="V497">
        <f>Assumptions!$B$26*(Assumptions!$B$64+$B$480/Assumptions!$B$26)/(Assumptions!$B$64+J497)</f>
        <v/>
      </c>
      <c r="W497">
        <f>IF(H497&lt;Assumptions!$B$26,Assumptions!$B$26/V497,1)</f>
        <v/>
      </c>
    </row>
    <row r="498">
      <c r="A498" t="n">
        <v>15</v>
      </c>
      <c r="B498">
        <f>U497</f>
        <v/>
      </c>
      <c r="C498">
        <f>W497</f>
        <v/>
      </c>
      <c r="D498">
        <f>O497</f>
        <v/>
      </c>
      <c r="E498">
        <f>S497</f>
        <v/>
      </c>
      <c r="F498">
        <f>Assumptions!$B$16*B498</f>
        <v/>
      </c>
      <c r="G498">
        <f>Assumptions!$B$15*C498</f>
        <v/>
      </c>
      <c r="H498">
        <f>IF($B$476*($B$479/(($B$479*(1-$B$476)-$B$480)/((Assumptions!$B$9+Assumptions!$B$11+Assumptions!$B$12+Assumptions!$B$13+Assumptions!$B$14)+G498+F498+D498+E498)))&lt;Assumptions!$B$65,($B$479-$B$480)/(((Assumptions!$B$9+Assumptions!$B$11+Assumptions!$B$12+Assumptions!$B$13+Assumptions!$B$14)+G498+F498+D498+E498)+Assumptions!$B$65),($B$479*(1-$B$476)-$B$480)/((Assumptions!$B$9+Assumptions!$B$11+Assumptions!$B$12+Assumptions!$B$13+Assumptions!$B$14)+G498+F498+D498+E498))</f>
        <v/>
      </c>
      <c r="I498">
        <f>$B$479/H498</f>
        <v/>
      </c>
      <c r="J498">
        <f>$B$480/H498</f>
        <v/>
      </c>
      <c r="K498">
        <f>I498-J498</f>
        <v/>
      </c>
      <c r="L498">
        <f>Assumptions!$B$51/K498</f>
        <v/>
      </c>
      <c r="M498">
        <f>H498*(1-Assumptions!$B$52)</f>
        <v/>
      </c>
      <c r="N498">
        <f>MIN(L498,M498)</f>
        <v/>
      </c>
      <c r="O498">
        <f>Assumptions!$B$50/N498</f>
        <v/>
      </c>
      <c r="P498">
        <f>Assumptions!$B$54/K498</f>
        <v/>
      </c>
      <c r="Q498">
        <f>H498*(1-Assumptions!$B$55)</f>
        <v/>
      </c>
      <c r="R498">
        <f>MIN(P498,Q498)</f>
        <v/>
      </c>
      <c r="S498">
        <f>Assumptions!$B$53/R498</f>
        <v/>
      </c>
      <c r="T498">
        <f>Assumptions!$B$27*(Assumptions!$B$64+$B$480/Assumptions!$B$27)/(Assumptions!$B$64+J498)</f>
        <v/>
      </c>
      <c r="U498">
        <f>IF(H498&lt;Assumptions!$B$27,Assumptions!$B$27/T498,1)</f>
        <v/>
      </c>
      <c r="V498">
        <f>Assumptions!$B$26*(Assumptions!$B$64+$B$480/Assumptions!$B$26)/(Assumptions!$B$64+J498)</f>
        <v/>
      </c>
      <c r="W498">
        <f>IF(H498&lt;Assumptions!$B$26,Assumptions!$B$26/V498,1)</f>
        <v/>
      </c>
    </row>
    <row r="499">
      <c r="A499" t="n">
        <v>16</v>
      </c>
      <c r="B499">
        <f>U498</f>
        <v/>
      </c>
      <c r="C499">
        <f>W498</f>
        <v/>
      </c>
      <c r="D499">
        <f>O498</f>
        <v/>
      </c>
      <c r="E499">
        <f>S498</f>
        <v/>
      </c>
      <c r="F499">
        <f>Assumptions!$B$16*B499</f>
        <v/>
      </c>
      <c r="G499">
        <f>Assumptions!$B$15*C499</f>
        <v/>
      </c>
      <c r="H499">
        <f>IF($B$476*($B$479/(($B$479*(1-$B$476)-$B$480)/((Assumptions!$B$9+Assumptions!$B$11+Assumptions!$B$12+Assumptions!$B$13+Assumptions!$B$14)+G499+F499+D499+E499)))&lt;Assumptions!$B$65,($B$479-$B$480)/(((Assumptions!$B$9+Assumptions!$B$11+Assumptions!$B$12+Assumptions!$B$13+Assumptions!$B$14)+G499+F499+D499+E499)+Assumptions!$B$65),($B$479*(1-$B$476)-$B$480)/((Assumptions!$B$9+Assumptions!$B$11+Assumptions!$B$12+Assumptions!$B$13+Assumptions!$B$14)+G499+F499+D499+E499))</f>
        <v/>
      </c>
      <c r="I499">
        <f>$B$479/H499</f>
        <v/>
      </c>
      <c r="J499">
        <f>$B$480/H499</f>
        <v/>
      </c>
      <c r="K499">
        <f>I499-J499</f>
        <v/>
      </c>
      <c r="L499">
        <f>Assumptions!$B$51/K499</f>
        <v/>
      </c>
      <c r="M499">
        <f>H499*(1-Assumptions!$B$52)</f>
        <v/>
      </c>
      <c r="N499">
        <f>MIN(L499,M499)</f>
        <v/>
      </c>
      <c r="O499">
        <f>Assumptions!$B$50/N499</f>
        <v/>
      </c>
      <c r="P499">
        <f>Assumptions!$B$54/K499</f>
        <v/>
      </c>
      <c r="Q499">
        <f>H499*(1-Assumptions!$B$55)</f>
        <v/>
      </c>
      <c r="R499">
        <f>MIN(P499,Q499)</f>
        <v/>
      </c>
      <c r="S499">
        <f>Assumptions!$B$53/R499</f>
        <v/>
      </c>
      <c r="T499">
        <f>Assumptions!$B$27*(Assumptions!$B$64+$B$480/Assumptions!$B$27)/(Assumptions!$B$64+J499)</f>
        <v/>
      </c>
      <c r="U499">
        <f>IF(H499&lt;Assumptions!$B$27,Assumptions!$B$27/T499,1)</f>
        <v/>
      </c>
      <c r="V499">
        <f>Assumptions!$B$26*(Assumptions!$B$64+$B$480/Assumptions!$B$26)/(Assumptions!$B$64+J499)</f>
        <v/>
      </c>
      <c r="W499">
        <f>IF(H499&lt;Assumptions!$B$26,Assumptions!$B$26/V499,1)</f>
        <v/>
      </c>
    </row>
    <row r="500">
      <c r="A500" t="n">
        <v>17</v>
      </c>
      <c r="B500">
        <f>U499</f>
        <v/>
      </c>
      <c r="C500">
        <f>W499</f>
        <v/>
      </c>
      <c r="D500">
        <f>O499</f>
        <v/>
      </c>
      <c r="E500">
        <f>S499</f>
        <v/>
      </c>
      <c r="F500">
        <f>Assumptions!$B$16*B500</f>
        <v/>
      </c>
      <c r="G500">
        <f>Assumptions!$B$15*C500</f>
        <v/>
      </c>
      <c r="H500">
        <f>IF($B$476*($B$479/(($B$479*(1-$B$476)-$B$480)/((Assumptions!$B$9+Assumptions!$B$11+Assumptions!$B$12+Assumptions!$B$13+Assumptions!$B$14)+G500+F500+D500+E500)))&lt;Assumptions!$B$65,($B$479-$B$480)/(((Assumptions!$B$9+Assumptions!$B$11+Assumptions!$B$12+Assumptions!$B$13+Assumptions!$B$14)+G500+F500+D500+E500)+Assumptions!$B$65),($B$479*(1-$B$476)-$B$480)/((Assumptions!$B$9+Assumptions!$B$11+Assumptions!$B$12+Assumptions!$B$13+Assumptions!$B$14)+G500+F500+D500+E500))</f>
        <v/>
      </c>
      <c r="I500">
        <f>$B$479/H500</f>
        <v/>
      </c>
      <c r="J500">
        <f>$B$480/H500</f>
        <v/>
      </c>
      <c r="K500">
        <f>I500-J500</f>
        <v/>
      </c>
      <c r="L500">
        <f>Assumptions!$B$51/K500</f>
        <v/>
      </c>
      <c r="M500">
        <f>H500*(1-Assumptions!$B$52)</f>
        <v/>
      </c>
      <c r="N500">
        <f>MIN(L500,M500)</f>
        <v/>
      </c>
      <c r="O500">
        <f>Assumptions!$B$50/N500</f>
        <v/>
      </c>
      <c r="P500">
        <f>Assumptions!$B$54/K500</f>
        <v/>
      </c>
      <c r="Q500">
        <f>H500*(1-Assumptions!$B$55)</f>
        <v/>
      </c>
      <c r="R500">
        <f>MIN(P500,Q500)</f>
        <v/>
      </c>
      <c r="S500">
        <f>Assumptions!$B$53/R500</f>
        <v/>
      </c>
      <c r="T500">
        <f>Assumptions!$B$27*(Assumptions!$B$64+$B$480/Assumptions!$B$27)/(Assumptions!$B$64+J500)</f>
        <v/>
      </c>
      <c r="U500">
        <f>IF(H500&lt;Assumptions!$B$27,Assumptions!$B$27/T500,1)</f>
        <v/>
      </c>
      <c r="V500">
        <f>Assumptions!$B$26*(Assumptions!$B$64+$B$480/Assumptions!$B$26)/(Assumptions!$B$64+J500)</f>
        <v/>
      </c>
      <c r="W500">
        <f>IF(H500&lt;Assumptions!$B$26,Assumptions!$B$26/V500,1)</f>
        <v/>
      </c>
    </row>
    <row r="501">
      <c r="A501" t="n">
        <v>18</v>
      </c>
      <c r="B501">
        <f>U500</f>
        <v/>
      </c>
      <c r="C501">
        <f>W500</f>
        <v/>
      </c>
      <c r="D501">
        <f>O500</f>
        <v/>
      </c>
      <c r="E501">
        <f>S500</f>
        <v/>
      </c>
      <c r="F501">
        <f>Assumptions!$B$16*B501</f>
        <v/>
      </c>
      <c r="G501">
        <f>Assumptions!$B$15*C501</f>
        <v/>
      </c>
      <c r="H501">
        <f>IF($B$476*($B$479/(($B$479*(1-$B$476)-$B$480)/((Assumptions!$B$9+Assumptions!$B$11+Assumptions!$B$12+Assumptions!$B$13+Assumptions!$B$14)+G501+F501+D501+E501)))&lt;Assumptions!$B$65,($B$479-$B$480)/(((Assumptions!$B$9+Assumptions!$B$11+Assumptions!$B$12+Assumptions!$B$13+Assumptions!$B$14)+G501+F501+D501+E501)+Assumptions!$B$65),($B$479*(1-$B$476)-$B$480)/((Assumptions!$B$9+Assumptions!$B$11+Assumptions!$B$12+Assumptions!$B$13+Assumptions!$B$14)+G501+F501+D501+E501))</f>
        <v/>
      </c>
      <c r="I501">
        <f>$B$479/H501</f>
        <v/>
      </c>
      <c r="J501">
        <f>$B$480/H501</f>
        <v/>
      </c>
      <c r="K501">
        <f>I501-J501</f>
        <v/>
      </c>
      <c r="L501">
        <f>Assumptions!$B$51/K501</f>
        <v/>
      </c>
      <c r="M501">
        <f>H501*(1-Assumptions!$B$52)</f>
        <v/>
      </c>
      <c r="N501">
        <f>MIN(L501,M501)</f>
        <v/>
      </c>
      <c r="O501">
        <f>Assumptions!$B$50/N501</f>
        <v/>
      </c>
      <c r="P501">
        <f>Assumptions!$B$54/K501</f>
        <v/>
      </c>
      <c r="Q501">
        <f>H501*(1-Assumptions!$B$55)</f>
        <v/>
      </c>
      <c r="R501">
        <f>MIN(P501,Q501)</f>
        <v/>
      </c>
      <c r="S501">
        <f>Assumptions!$B$53/R501</f>
        <v/>
      </c>
      <c r="T501">
        <f>Assumptions!$B$27*(Assumptions!$B$64+$B$480/Assumptions!$B$27)/(Assumptions!$B$64+J501)</f>
        <v/>
      </c>
      <c r="U501">
        <f>IF(H501&lt;Assumptions!$B$27,Assumptions!$B$27/T501,1)</f>
        <v/>
      </c>
      <c r="V501">
        <f>Assumptions!$B$26*(Assumptions!$B$64+$B$480/Assumptions!$B$26)/(Assumptions!$B$64+J501)</f>
        <v/>
      </c>
      <c r="W501">
        <f>IF(H501&lt;Assumptions!$B$26,Assumptions!$B$26/V501,1)</f>
        <v/>
      </c>
    </row>
    <row r="502">
      <c r="A502" t="n">
        <v>19</v>
      </c>
      <c r="B502">
        <f>U501</f>
        <v/>
      </c>
      <c r="C502">
        <f>W501</f>
        <v/>
      </c>
      <c r="D502">
        <f>O501</f>
        <v/>
      </c>
      <c r="E502">
        <f>S501</f>
        <v/>
      </c>
      <c r="F502">
        <f>Assumptions!$B$16*B502</f>
        <v/>
      </c>
      <c r="G502">
        <f>Assumptions!$B$15*C502</f>
        <v/>
      </c>
      <c r="H502">
        <f>IF($B$476*($B$479/(($B$479*(1-$B$476)-$B$480)/((Assumptions!$B$9+Assumptions!$B$11+Assumptions!$B$12+Assumptions!$B$13+Assumptions!$B$14)+G502+F502+D502+E502)))&lt;Assumptions!$B$65,($B$479-$B$480)/(((Assumptions!$B$9+Assumptions!$B$11+Assumptions!$B$12+Assumptions!$B$13+Assumptions!$B$14)+G502+F502+D502+E502)+Assumptions!$B$65),($B$479*(1-$B$476)-$B$480)/((Assumptions!$B$9+Assumptions!$B$11+Assumptions!$B$12+Assumptions!$B$13+Assumptions!$B$14)+G502+F502+D502+E502))</f>
        <v/>
      </c>
      <c r="I502">
        <f>$B$479/H502</f>
        <v/>
      </c>
      <c r="J502">
        <f>$B$480/H502</f>
        <v/>
      </c>
      <c r="K502">
        <f>I502-J502</f>
        <v/>
      </c>
      <c r="L502">
        <f>Assumptions!$B$51/K502</f>
        <v/>
      </c>
      <c r="M502">
        <f>H502*(1-Assumptions!$B$52)</f>
        <v/>
      </c>
      <c r="N502">
        <f>MIN(L502,M502)</f>
        <v/>
      </c>
      <c r="O502">
        <f>Assumptions!$B$50/N502</f>
        <v/>
      </c>
      <c r="P502">
        <f>Assumptions!$B$54/K502</f>
        <v/>
      </c>
      <c r="Q502">
        <f>H502*(1-Assumptions!$B$55)</f>
        <v/>
      </c>
      <c r="R502">
        <f>MIN(P502,Q502)</f>
        <v/>
      </c>
      <c r="S502">
        <f>Assumptions!$B$53/R502</f>
        <v/>
      </c>
      <c r="T502">
        <f>Assumptions!$B$27*(Assumptions!$B$64+$B$480/Assumptions!$B$27)/(Assumptions!$B$64+J502)</f>
        <v/>
      </c>
      <c r="U502">
        <f>IF(H502&lt;Assumptions!$B$27,Assumptions!$B$27/T502,1)</f>
        <v/>
      </c>
      <c r="V502">
        <f>Assumptions!$B$26*(Assumptions!$B$64+$B$480/Assumptions!$B$26)/(Assumptions!$B$64+J502)</f>
        <v/>
      </c>
      <c r="W502">
        <f>IF(H502&lt;Assumptions!$B$26,Assumptions!$B$26/V502,1)</f>
        <v/>
      </c>
    </row>
    <row r="503">
      <c r="A503" t="n">
        <v>20</v>
      </c>
      <c r="B503">
        <f>U502</f>
        <v/>
      </c>
      <c r="C503">
        <f>W502</f>
        <v/>
      </c>
      <c r="D503">
        <f>O502</f>
        <v/>
      </c>
      <c r="E503">
        <f>S502</f>
        <v/>
      </c>
      <c r="F503">
        <f>Assumptions!$B$16*B503</f>
        <v/>
      </c>
      <c r="G503">
        <f>Assumptions!$B$15*C503</f>
        <v/>
      </c>
      <c r="H503">
        <f>IF($B$476*($B$479/(($B$479*(1-$B$476)-$B$480)/((Assumptions!$B$9+Assumptions!$B$11+Assumptions!$B$12+Assumptions!$B$13+Assumptions!$B$14)+G503+F503+D503+E503)))&lt;Assumptions!$B$65,($B$479-$B$480)/(((Assumptions!$B$9+Assumptions!$B$11+Assumptions!$B$12+Assumptions!$B$13+Assumptions!$B$14)+G503+F503+D503+E503)+Assumptions!$B$65),($B$479*(1-$B$476)-$B$480)/((Assumptions!$B$9+Assumptions!$B$11+Assumptions!$B$12+Assumptions!$B$13+Assumptions!$B$14)+G503+F503+D503+E503))</f>
        <v/>
      </c>
      <c r="I503">
        <f>$B$479/H503</f>
        <v/>
      </c>
      <c r="J503">
        <f>$B$480/H503</f>
        <v/>
      </c>
      <c r="K503">
        <f>I503-J503</f>
        <v/>
      </c>
      <c r="L503">
        <f>Assumptions!$B$51/K503</f>
        <v/>
      </c>
      <c r="M503">
        <f>H503*(1-Assumptions!$B$52)</f>
        <v/>
      </c>
      <c r="N503">
        <f>MIN(L503,M503)</f>
        <v/>
      </c>
      <c r="O503">
        <f>Assumptions!$B$50/N503</f>
        <v/>
      </c>
      <c r="P503">
        <f>Assumptions!$B$54/K503</f>
        <v/>
      </c>
      <c r="Q503">
        <f>H503*(1-Assumptions!$B$55)</f>
        <v/>
      </c>
      <c r="R503">
        <f>MIN(P503,Q503)</f>
        <v/>
      </c>
      <c r="S503">
        <f>Assumptions!$B$53/R503</f>
        <v/>
      </c>
      <c r="T503">
        <f>Assumptions!$B$27*(Assumptions!$B$64+$B$480/Assumptions!$B$27)/(Assumptions!$B$64+J503)</f>
        <v/>
      </c>
      <c r="U503">
        <f>IF(H503&lt;Assumptions!$B$27,Assumptions!$B$27/T503,1)</f>
        <v/>
      </c>
      <c r="V503">
        <f>Assumptions!$B$26*(Assumptions!$B$64+$B$480/Assumptions!$B$26)/(Assumptions!$B$64+J503)</f>
        <v/>
      </c>
      <c r="W503">
        <f>IF(H503&lt;Assumptions!$B$26,Assumptions!$B$26/V503,1)</f>
        <v/>
      </c>
    </row>
    <row r="504">
      <c r="A504" t="n">
        <v>21</v>
      </c>
      <c r="B504">
        <f>U503</f>
        <v/>
      </c>
      <c r="C504">
        <f>W503</f>
        <v/>
      </c>
      <c r="D504">
        <f>O503</f>
        <v/>
      </c>
      <c r="E504">
        <f>S503</f>
        <v/>
      </c>
      <c r="F504">
        <f>Assumptions!$B$16*B504</f>
        <v/>
      </c>
      <c r="G504">
        <f>Assumptions!$B$15*C504</f>
        <v/>
      </c>
      <c r="H504">
        <f>IF($B$476*($B$479/(($B$479*(1-$B$476)-$B$480)/((Assumptions!$B$9+Assumptions!$B$11+Assumptions!$B$12+Assumptions!$B$13+Assumptions!$B$14)+G504+F504+D504+E504)))&lt;Assumptions!$B$65,($B$479-$B$480)/(((Assumptions!$B$9+Assumptions!$B$11+Assumptions!$B$12+Assumptions!$B$13+Assumptions!$B$14)+G504+F504+D504+E504)+Assumptions!$B$65),($B$479*(1-$B$476)-$B$480)/((Assumptions!$B$9+Assumptions!$B$11+Assumptions!$B$12+Assumptions!$B$13+Assumptions!$B$14)+G504+F504+D504+E504))</f>
        <v/>
      </c>
      <c r="I504">
        <f>$B$479/H504</f>
        <v/>
      </c>
      <c r="J504">
        <f>$B$480/H504</f>
        <v/>
      </c>
      <c r="K504">
        <f>I504-J504</f>
        <v/>
      </c>
      <c r="L504">
        <f>Assumptions!$B$51/K504</f>
        <v/>
      </c>
      <c r="M504">
        <f>H504*(1-Assumptions!$B$52)</f>
        <v/>
      </c>
      <c r="N504">
        <f>MIN(L504,M504)</f>
        <v/>
      </c>
      <c r="O504">
        <f>Assumptions!$B$50/N504</f>
        <v/>
      </c>
      <c r="P504">
        <f>Assumptions!$B$54/K504</f>
        <v/>
      </c>
      <c r="Q504">
        <f>H504*(1-Assumptions!$B$55)</f>
        <v/>
      </c>
      <c r="R504">
        <f>MIN(P504,Q504)</f>
        <v/>
      </c>
      <c r="S504">
        <f>Assumptions!$B$53/R504</f>
        <v/>
      </c>
      <c r="T504">
        <f>Assumptions!$B$27*(Assumptions!$B$64+$B$480/Assumptions!$B$27)/(Assumptions!$B$64+J504)</f>
        <v/>
      </c>
      <c r="U504">
        <f>IF(H504&lt;Assumptions!$B$27,Assumptions!$B$27/T504,1)</f>
        <v/>
      </c>
      <c r="V504">
        <f>Assumptions!$B$26*(Assumptions!$B$64+$B$480/Assumptions!$B$26)/(Assumptions!$B$64+J504)</f>
        <v/>
      </c>
      <c r="W504">
        <f>IF(H504&lt;Assumptions!$B$26,Assumptions!$B$26/V504,1)</f>
        <v/>
      </c>
    </row>
    <row r="505">
      <c r="A505" t="n">
        <v>22</v>
      </c>
      <c r="B505">
        <f>U504</f>
        <v/>
      </c>
      <c r="C505">
        <f>W504</f>
        <v/>
      </c>
      <c r="D505">
        <f>O504</f>
        <v/>
      </c>
      <c r="E505">
        <f>S504</f>
        <v/>
      </c>
      <c r="F505">
        <f>Assumptions!$B$16*B505</f>
        <v/>
      </c>
      <c r="G505">
        <f>Assumptions!$B$15*C505</f>
        <v/>
      </c>
      <c r="H505">
        <f>IF($B$476*($B$479/(($B$479*(1-$B$476)-$B$480)/((Assumptions!$B$9+Assumptions!$B$11+Assumptions!$B$12+Assumptions!$B$13+Assumptions!$B$14)+G505+F505+D505+E505)))&lt;Assumptions!$B$65,($B$479-$B$480)/(((Assumptions!$B$9+Assumptions!$B$11+Assumptions!$B$12+Assumptions!$B$13+Assumptions!$B$14)+G505+F505+D505+E505)+Assumptions!$B$65),($B$479*(1-$B$476)-$B$480)/((Assumptions!$B$9+Assumptions!$B$11+Assumptions!$B$12+Assumptions!$B$13+Assumptions!$B$14)+G505+F505+D505+E505))</f>
        <v/>
      </c>
      <c r="I505">
        <f>$B$479/H505</f>
        <v/>
      </c>
      <c r="J505">
        <f>$B$480/H505</f>
        <v/>
      </c>
      <c r="K505">
        <f>I505-J505</f>
        <v/>
      </c>
      <c r="L505">
        <f>Assumptions!$B$51/K505</f>
        <v/>
      </c>
      <c r="M505">
        <f>H505*(1-Assumptions!$B$52)</f>
        <v/>
      </c>
      <c r="N505">
        <f>MIN(L505,M505)</f>
        <v/>
      </c>
      <c r="O505">
        <f>Assumptions!$B$50/N505</f>
        <v/>
      </c>
      <c r="P505">
        <f>Assumptions!$B$54/K505</f>
        <v/>
      </c>
      <c r="Q505">
        <f>H505*(1-Assumptions!$B$55)</f>
        <v/>
      </c>
      <c r="R505">
        <f>MIN(P505,Q505)</f>
        <v/>
      </c>
      <c r="S505">
        <f>Assumptions!$B$53/R505</f>
        <v/>
      </c>
      <c r="T505">
        <f>Assumptions!$B$27*(Assumptions!$B$64+$B$480/Assumptions!$B$27)/(Assumptions!$B$64+J505)</f>
        <v/>
      </c>
      <c r="U505">
        <f>IF(H505&lt;Assumptions!$B$27,Assumptions!$B$27/T505,1)</f>
        <v/>
      </c>
      <c r="V505">
        <f>Assumptions!$B$26*(Assumptions!$B$64+$B$480/Assumptions!$B$26)/(Assumptions!$B$64+J505)</f>
        <v/>
      </c>
      <c r="W505">
        <f>IF(H505&lt;Assumptions!$B$26,Assumptions!$B$26/V505,1)</f>
        <v/>
      </c>
    </row>
    <row r="506">
      <c r="A506" t="n">
        <v>23</v>
      </c>
      <c r="B506">
        <f>U505</f>
        <v/>
      </c>
      <c r="C506">
        <f>W505</f>
        <v/>
      </c>
      <c r="D506">
        <f>O505</f>
        <v/>
      </c>
      <c r="E506">
        <f>S505</f>
        <v/>
      </c>
      <c r="F506">
        <f>Assumptions!$B$16*B506</f>
        <v/>
      </c>
      <c r="G506">
        <f>Assumptions!$B$15*C506</f>
        <v/>
      </c>
      <c r="H506">
        <f>IF($B$476*($B$479/(($B$479*(1-$B$476)-$B$480)/((Assumptions!$B$9+Assumptions!$B$11+Assumptions!$B$12+Assumptions!$B$13+Assumptions!$B$14)+G506+F506+D506+E506)))&lt;Assumptions!$B$65,($B$479-$B$480)/(((Assumptions!$B$9+Assumptions!$B$11+Assumptions!$B$12+Assumptions!$B$13+Assumptions!$B$14)+G506+F506+D506+E506)+Assumptions!$B$65),($B$479*(1-$B$476)-$B$480)/((Assumptions!$B$9+Assumptions!$B$11+Assumptions!$B$12+Assumptions!$B$13+Assumptions!$B$14)+G506+F506+D506+E506))</f>
        <v/>
      </c>
      <c r="I506">
        <f>$B$479/H506</f>
        <v/>
      </c>
      <c r="J506">
        <f>$B$480/H506</f>
        <v/>
      </c>
      <c r="K506">
        <f>I506-J506</f>
        <v/>
      </c>
      <c r="L506">
        <f>Assumptions!$B$51/K506</f>
        <v/>
      </c>
      <c r="M506">
        <f>H506*(1-Assumptions!$B$52)</f>
        <v/>
      </c>
      <c r="N506">
        <f>MIN(L506,M506)</f>
        <v/>
      </c>
      <c r="O506">
        <f>Assumptions!$B$50/N506</f>
        <v/>
      </c>
      <c r="P506">
        <f>Assumptions!$B$54/K506</f>
        <v/>
      </c>
      <c r="Q506">
        <f>H506*(1-Assumptions!$B$55)</f>
        <v/>
      </c>
      <c r="R506">
        <f>MIN(P506,Q506)</f>
        <v/>
      </c>
      <c r="S506">
        <f>Assumptions!$B$53/R506</f>
        <v/>
      </c>
      <c r="T506">
        <f>Assumptions!$B$27*(Assumptions!$B$64+$B$480/Assumptions!$B$27)/(Assumptions!$B$64+J506)</f>
        <v/>
      </c>
      <c r="U506">
        <f>IF(H506&lt;Assumptions!$B$27,Assumptions!$B$27/T506,1)</f>
        <v/>
      </c>
      <c r="V506">
        <f>Assumptions!$B$26*(Assumptions!$B$64+$B$480/Assumptions!$B$26)/(Assumptions!$B$64+J506)</f>
        <v/>
      </c>
      <c r="W506">
        <f>IF(H506&lt;Assumptions!$B$26,Assumptions!$B$26/V506,1)</f>
        <v/>
      </c>
    </row>
    <row r="507">
      <c r="A507" t="n">
        <v>24</v>
      </c>
      <c r="B507">
        <f>U506</f>
        <v/>
      </c>
      <c r="C507">
        <f>W506</f>
        <v/>
      </c>
      <c r="D507">
        <f>O506</f>
        <v/>
      </c>
      <c r="E507">
        <f>S506</f>
        <v/>
      </c>
      <c r="F507">
        <f>Assumptions!$B$16*B507</f>
        <v/>
      </c>
      <c r="G507">
        <f>Assumptions!$B$15*C507</f>
        <v/>
      </c>
      <c r="H507">
        <f>IF($B$476*($B$479/(($B$479*(1-$B$476)-$B$480)/((Assumptions!$B$9+Assumptions!$B$11+Assumptions!$B$12+Assumptions!$B$13+Assumptions!$B$14)+G507+F507+D507+E507)))&lt;Assumptions!$B$65,($B$479-$B$480)/(((Assumptions!$B$9+Assumptions!$B$11+Assumptions!$B$12+Assumptions!$B$13+Assumptions!$B$14)+G507+F507+D507+E507)+Assumptions!$B$65),($B$479*(1-$B$476)-$B$480)/((Assumptions!$B$9+Assumptions!$B$11+Assumptions!$B$12+Assumptions!$B$13+Assumptions!$B$14)+G507+F507+D507+E507))</f>
        <v/>
      </c>
      <c r="I507">
        <f>$B$479/H507</f>
        <v/>
      </c>
      <c r="J507">
        <f>$B$480/H507</f>
        <v/>
      </c>
      <c r="K507">
        <f>I507-J507</f>
        <v/>
      </c>
      <c r="L507">
        <f>Assumptions!$B$51/K507</f>
        <v/>
      </c>
      <c r="M507">
        <f>H507*(1-Assumptions!$B$52)</f>
        <v/>
      </c>
      <c r="N507">
        <f>MIN(L507,M507)</f>
        <v/>
      </c>
      <c r="O507">
        <f>Assumptions!$B$50/N507</f>
        <v/>
      </c>
      <c r="P507">
        <f>Assumptions!$B$54/K507</f>
        <v/>
      </c>
      <c r="Q507">
        <f>H507*(1-Assumptions!$B$55)</f>
        <v/>
      </c>
      <c r="R507">
        <f>MIN(P507,Q507)</f>
        <v/>
      </c>
      <c r="S507">
        <f>Assumptions!$B$53/R507</f>
        <v/>
      </c>
      <c r="T507">
        <f>Assumptions!$B$27*(Assumptions!$B$64+$B$480/Assumptions!$B$27)/(Assumptions!$B$64+J507)</f>
        <v/>
      </c>
      <c r="U507">
        <f>IF(H507&lt;Assumptions!$B$27,Assumptions!$B$27/T507,1)</f>
        <v/>
      </c>
      <c r="V507">
        <f>Assumptions!$B$26*(Assumptions!$B$64+$B$480/Assumptions!$B$26)/(Assumptions!$B$64+J507)</f>
        <v/>
      </c>
      <c r="W507">
        <f>IF(H507&lt;Assumptions!$B$26,Assumptions!$B$26/V507,1)</f>
        <v/>
      </c>
    </row>
    <row r="508">
      <c r="A508" t="n">
        <v>25</v>
      </c>
      <c r="B508">
        <f>U507</f>
        <v/>
      </c>
      <c r="C508">
        <f>W507</f>
        <v/>
      </c>
      <c r="D508">
        <f>O507</f>
        <v/>
      </c>
      <c r="E508">
        <f>S507</f>
        <v/>
      </c>
      <c r="F508">
        <f>Assumptions!$B$16*B508</f>
        <v/>
      </c>
      <c r="G508">
        <f>Assumptions!$B$15*C508</f>
        <v/>
      </c>
      <c r="H508">
        <f>IF($B$476*($B$479/(($B$479*(1-$B$476)-$B$480)/((Assumptions!$B$9+Assumptions!$B$11+Assumptions!$B$12+Assumptions!$B$13+Assumptions!$B$14)+G508+F508+D508+E508)))&lt;Assumptions!$B$65,($B$479-$B$480)/(((Assumptions!$B$9+Assumptions!$B$11+Assumptions!$B$12+Assumptions!$B$13+Assumptions!$B$14)+G508+F508+D508+E508)+Assumptions!$B$65),($B$479*(1-$B$476)-$B$480)/((Assumptions!$B$9+Assumptions!$B$11+Assumptions!$B$12+Assumptions!$B$13+Assumptions!$B$14)+G508+F508+D508+E508))</f>
        <v/>
      </c>
      <c r="I508">
        <f>$B$479/H508</f>
        <v/>
      </c>
      <c r="J508">
        <f>$B$480/H508</f>
        <v/>
      </c>
      <c r="K508">
        <f>I508-J508</f>
        <v/>
      </c>
      <c r="L508">
        <f>Assumptions!$B$51/K508</f>
        <v/>
      </c>
      <c r="M508">
        <f>H508*(1-Assumptions!$B$52)</f>
        <v/>
      </c>
      <c r="N508">
        <f>MIN(L508,M508)</f>
        <v/>
      </c>
      <c r="O508">
        <f>Assumptions!$B$50/N508</f>
        <v/>
      </c>
      <c r="P508">
        <f>Assumptions!$B$54/K508</f>
        <v/>
      </c>
      <c r="Q508">
        <f>H508*(1-Assumptions!$B$55)</f>
        <v/>
      </c>
      <c r="R508">
        <f>MIN(P508,Q508)</f>
        <v/>
      </c>
      <c r="S508">
        <f>Assumptions!$B$53/R508</f>
        <v/>
      </c>
      <c r="T508">
        <f>Assumptions!$B$27*(Assumptions!$B$64+$B$480/Assumptions!$B$27)/(Assumptions!$B$64+J508)</f>
        <v/>
      </c>
      <c r="U508">
        <f>IF(H508&lt;Assumptions!$B$27,Assumptions!$B$27/T508,1)</f>
        <v/>
      </c>
      <c r="V508">
        <f>Assumptions!$B$26*(Assumptions!$B$64+$B$480/Assumptions!$B$26)/(Assumptions!$B$64+J508)</f>
        <v/>
      </c>
      <c r="W508">
        <f>IF(H508&lt;Assumptions!$B$26,Assumptions!$B$26/V508,1)</f>
        <v/>
      </c>
    </row>
    <row r="509">
      <c r="A509" t="n">
        <v>26</v>
      </c>
      <c r="B509">
        <f>U508</f>
        <v/>
      </c>
      <c r="C509">
        <f>W508</f>
        <v/>
      </c>
      <c r="D509">
        <f>O508</f>
        <v/>
      </c>
      <c r="E509">
        <f>S508</f>
        <v/>
      </c>
      <c r="F509">
        <f>Assumptions!$B$16*B509</f>
        <v/>
      </c>
      <c r="G509">
        <f>Assumptions!$B$15*C509</f>
        <v/>
      </c>
      <c r="H509">
        <f>IF($B$476*($B$479/(($B$479*(1-$B$476)-$B$480)/((Assumptions!$B$9+Assumptions!$B$11+Assumptions!$B$12+Assumptions!$B$13+Assumptions!$B$14)+G509+F509+D509+E509)))&lt;Assumptions!$B$65,($B$479-$B$480)/(((Assumptions!$B$9+Assumptions!$B$11+Assumptions!$B$12+Assumptions!$B$13+Assumptions!$B$14)+G509+F509+D509+E509)+Assumptions!$B$65),($B$479*(1-$B$476)-$B$480)/((Assumptions!$B$9+Assumptions!$B$11+Assumptions!$B$12+Assumptions!$B$13+Assumptions!$B$14)+G509+F509+D509+E509))</f>
        <v/>
      </c>
      <c r="I509">
        <f>$B$479/H509</f>
        <v/>
      </c>
      <c r="J509">
        <f>$B$480/H509</f>
        <v/>
      </c>
      <c r="K509">
        <f>I509-J509</f>
        <v/>
      </c>
      <c r="L509">
        <f>Assumptions!$B$51/K509</f>
        <v/>
      </c>
      <c r="M509">
        <f>H509*(1-Assumptions!$B$52)</f>
        <v/>
      </c>
      <c r="N509">
        <f>MIN(L509,M509)</f>
        <v/>
      </c>
      <c r="O509">
        <f>Assumptions!$B$50/N509</f>
        <v/>
      </c>
      <c r="P509">
        <f>Assumptions!$B$54/K509</f>
        <v/>
      </c>
      <c r="Q509">
        <f>H509*(1-Assumptions!$B$55)</f>
        <v/>
      </c>
      <c r="R509">
        <f>MIN(P509,Q509)</f>
        <v/>
      </c>
      <c r="S509">
        <f>Assumptions!$B$53/R509</f>
        <v/>
      </c>
      <c r="T509">
        <f>Assumptions!$B$27*(Assumptions!$B$64+$B$480/Assumptions!$B$27)/(Assumptions!$B$64+J509)</f>
        <v/>
      </c>
      <c r="U509">
        <f>IF(H509&lt;Assumptions!$B$27,Assumptions!$B$27/T509,1)</f>
        <v/>
      </c>
      <c r="V509">
        <f>Assumptions!$B$26*(Assumptions!$B$64+$B$480/Assumptions!$B$26)/(Assumptions!$B$64+J509)</f>
        <v/>
      </c>
      <c r="W509">
        <f>IF(H509&lt;Assumptions!$B$26,Assumptions!$B$26/V509,1)</f>
        <v/>
      </c>
    </row>
    <row r="510">
      <c r="A510" t="n">
        <v>27</v>
      </c>
      <c r="B510">
        <f>U509</f>
        <v/>
      </c>
      <c r="C510">
        <f>W509</f>
        <v/>
      </c>
      <c r="D510">
        <f>O509</f>
        <v/>
      </c>
      <c r="E510">
        <f>S509</f>
        <v/>
      </c>
      <c r="F510">
        <f>Assumptions!$B$16*B510</f>
        <v/>
      </c>
      <c r="G510">
        <f>Assumptions!$B$15*C510</f>
        <v/>
      </c>
      <c r="H510">
        <f>IF($B$476*($B$479/(($B$479*(1-$B$476)-$B$480)/((Assumptions!$B$9+Assumptions!$B$11+Assumptions!$B$12+Assumptions!$B$13+Assumptions!$B$14)+G510+F510+D510+E510)))&lt;Assumptions!$B$65,($B$479-$B$480)/(((Assumptions!$B$9+Assumptions!$B$11+Assumptions!$B$12+Assumptions!$B$13+Assumptions!$B$14)+G510+F510+D510+E510)+Assumptions!$B$65),($B$479*(1-$B$476)-$B$480)/((Assumptions!$B$9+Assumptions!$B$11+Assumptions!$B$12+Assumptions!$B$13+Assumptions!$B$14)+G510+F510+D510+E510))</f>
        <v/>
      </c>
      <c r="I510">
        <f>$B$479/H510</f>
        <v/>
      </c>
      <c r="J510">
        <f>$B$480/H510</f>
        <v/>
      </c>
      <c r="K510">
        <f>I510-J510</f>
        <v/>
      </c>
      <c r="L510">
        <f>Assumptions!$B$51/K510</f>
        <v/>
      </c>
      <c r="M510">
        <f>H510*(1-Assumptions!$B$52)</f>
        <v/>
      </c>
      <c r="N510">
        <f>MIN(L510,M510)</f>
        <v/>
      </c>
      <c r="O510">
        <f>Assumptions!$B$50/N510</f>
        <v/>
      </c>
      <c r="P510">
        <f>Assumptions!$B$54/K510</f>
        <v/>
      </c>
      <c r="Q510">
        <f>H510*(1-Assumptions!$B$55)</f>
        <v/>
      </c>
      <c r="R510">
        <f>MIN(P510,Q510)</f>
        <v/>
      </c>
      <c r="S510">
        <f>Assumptions!$B$53/R510</f>
        <v/>
      </c>
      <c r="T510">
        <f>Assumptions!$B$27*(Assumptions!$B$64+$B$480/Assumptions!$B$27)/(Assumptions!$B$64+J510)</f>
        <v/>
      </c>
      <c r="U510">
        <f>IF(H510&lt;Assumptions!$B$27,Assumptions!$B$27/T510,1)</f>
        <v/>
      </c>
      <c r="V510">
        <f>Assumptions!$B$26*(Assumptions!$B$64+$B$480/Assumptions!$B$26)/(Assumptions!$B$64+J510)</f>
        <v/>
      </c>
      <c r="W510">
        <f>IF(H510&lt;Assumptions!$B$26,Assumptions!$B$26/V510,1)</f>
        <v/>
      </c>
    </row>
    <row r="511">
      <c r="A511" t="n">
        <v>28</v>
      </c>
      <c r="B511">
        <f>U510</f>
        <v/>
      </c>
      <c r="C511">
        <f>W510</f>
        <v/>
      </c>
      <c r="D511">
        <f>O510</f>
        <v/>
      </c>
      <c r="E511">
        <f>S510</f>
        <v/>
      </c>
      <c r="F511">
        <f>Assumptions!$B$16*B511</f>
        <v/>
      </c>
      <c r="G511">
        <f>Assumptions!$B$15*C511</f>
        <v/>
      </c>
      <c r="H511">
        <f>IF($B$476*($B$479/(($B$479*(1-$B$476)-$B$480)/((Assumptions!$B$9+Assumptions!$B$11+Assumptions!$B$12+Assumptions!$B$13+Assumptions!$B$14)+G511+F511+D511+E511)))&lt;Assumptions!$B$65,($B$479-$B$480)/(((Assumptions!$B$9+Assumptions!$B$11+Assumptions!$B$12+Assumptions!$B$13+Assumptions!$B$14)+G511+F511+D511+E511)+Assumptions!$B$65),($B$479*(1-$B$476)-$B$480)/((Assumptions!$B$9+Assumptions!$B$11+Assumptions!$B$12+Assumptions!$B$13+Assumptions!$B$14)+G511+F511+D511+E511))</f>
        <v/>
      </c>
      <c r="I511">
        <f>$B$479/H511</f>
        <v/>
      </c>
      <c r="J511">
        <f>$B$480/H511</f>
        <v/>
      </c>
      <c r="K511">
        <f>I511-J511</f>
        <v/>
      </c>
      <c r="L511">
        <f>Assumptions!$B$51/K511</f>
        <v/>
      </c>
      <c r="M511">
        <f>H511*(1-Assumptions!$B$52)</f>
        <v/>
      </c>
      <c r="N511">
        <f>MIN(L511,M511)</f>
        <v/>
      </c>
      <c r="O511">
        <f>Assumptions!$B$50/N511</f>
        <v/>
      </c>
      <c r="P511">
        <f>Assumptions!$B$54/K511</f>
        <v/>
      </c>
      <c r="Q511">
        <f>H511*(1-Assumptions!$B$55)</f>
        <v/>
      </c>
      <c r="R511">
        <f>MIN(P511,Q511)</f>
        <v/>
      </c>
      <c r="S511">
        <f>Assumptions!$B$53/R511</f>
        <v/>
      </c>
      <c r="T511">
        <f>Assumptions!$B$27*(Assumptions!$B$64+$B$480/Assumptions!$B$27)/(Assumptions!$B$64+J511)</f>
        <v/>
      </c>
      <c r="U511">
        <f>IF(H511&lt;Assumptions!$B$27,Assumptions!$B$27/T511,1)</f>
        <v/>
      </c>
      <c r="V511">
        <f>Assumptions!$B$26*(Assumptions!$B$64+$B$480/Assumptions!$B$26)/(Assumptions!$B$64+J511)</f>
        <v/>
      </c>
      <c r="W511">
        <f>IF(H511&lt;Assumptions!$B$26,Assumptions!$B$26/V511,1)</f>
        <v/>
      </c>
    </row>
    <row r="512">
      <c r="A512" t="n">
        <v>29</v>
      </c>
      <c r="B512">
        <f>U511</f>
        <v/>
      </c>
      <c r="C512">
        <f>W511</f>
        <v/>
      </c>
      <c r="D512">
        <f>O511</f>
        <v/>
      </c>
      <c r="E512">
        <f>S511</f>
        <v/>
      </c>
      <c r="F512">
        <f>Assumptions!$B$16*B512</f>
        <v/>
      </c>
      <c r="G512">
        <f>Assumptions!$B$15*C512</f>
        <v/>
      </c>
      <c r="H512">
        <f>IF($B$476*($B$479/(($B$479*(1-$B$476)-$B$480)/((Assumptions!$B$9+Assumptions!$B$11+Assumptions!$B$12+Assumptions!$B$13+Assumptions!$B$14)+G512+F512+D512+E512)))&lt;Assumptions!$B$65,($B$479-$B$480)/(((Assumptions!$B$9+Assumptions!$B$11+Assumptions!$B$12+Assumptions!$B$13+Assumptions!$B$14)+G512+F512+D512+E512)+Assumptions!$B$65),($B$479*(1-$B$476)-$B$480)/((Assumptions!$B$9+Assumptions!$B$11+Assumptions!$B$12+Assumptions!$B$13+Assumptions!$B$14)+G512+F512+D512+E512))</f>
        <v/>
      </c>
      <c r="I512">
        <f>$B$479/H512</f>
        <v/>
      </c>
      <c r="J512">
        <f>$B$480/H512</f>
        <v/>
      </c>
      <c r="K512">
        <f>I512-J512</f>
        <v/>
      </c>
      <c r="L512">
        <f>Assumptions!$B$51/K512</f>
        <v/>
      </c>
      <c r="M512">
        <f>H512*(1-Assumptions!$B$52)</f>
        <v/>
      </c>
      <c r="N512">
        <f>MIN(L512,M512)</f>
        <v/>
      </c>
      <c r="O512">
        <f>Assumptions!$B$50/N512</f>
        <v/>
      </c>
      <c r="P512">
        <f>Assumptions!$B$54/K512</f>
        <v/>
      </c>
      <c r="Q512">
        <f>H512*(1-Assumptions!$B$55)</f>
        <v/>
      </c>
      <c r="R512">
        <f>MIN(P512,Q512)</f>
        <v/>
      </c>
      <c r="S512">
        <f>Assumptions!$B$53/R512</f>
        <v/>
      </c>
      <c r="T512">
        <f>Assumptions!$B$27*(Assumptions!$B$64+$B$480/Assumptions!$B$27)/(Assumptions!$B$64+J512)</f>
        <v/>
      </c>
      <c r="U512">
        <f>IF(H512&lt;Assumptions!$B$27,Assumptions!$B$27/T512,1)</f>
        <v/>
      </c>
      <c r="V512">
        <f>Assumptions!$B$26*(Assumptions!$B$64+$B$480/Assumptions!$B$26)/(Assumptions!$B$64+J512)</f>
        <v/>
      </c>
      <c r="W512">
        <f>IF(H512&lt;Assumptions!$B$26,Assumptions!$B$26/V512,1)</f>
        <v/>
      </c>
    </row>
    <row r="513">
      <c r="A513" t="n">
        <v>30</v>
      </c>
      <c r="B513">
        <f>U512</f>
        <v/>
      </c>
      <c r="C513">
        <f>W512</f>
        <v/>
      </c>
      <c r="D513">
        <f>O512</f>
        <v/>
      </c>
      <c r="E513">
        <f>S512</f>
        <v/>
      </c>
      <c r="F513">
        <f>Assumptions!$B$16*B513</f>
        <v/>
      </c>
      <c r="G513">
        <f>Assumptions!$B$15*C513</f>
        <v/>
      </c>
      <c r="H513">
        <f>IF($B$476*($B$479/(($B$479*(1-$B$476)-$B$480)/((Assumptions!$B$9+Assumptions!$B$11+Assumptions!$B$12+Assumptions!$B$13+Assumptions!$B$14)+G513+F513+D513+E513)))&lt;Assumptions!$B$65,($B$479-$B$480)/(((Assumptions!$B$9+Assumptions!$B$11+Assumptions!$B$12+Assumptions!$B$13+Assumptions!$B$14)+G513+F513+D513+E513)+Assumptions!$B$65),($B$479*(1-$B$476)-$B$480)/((Assumptions!$B$9+Assumptions!$B$11+Assumptions!$B$12+Assumptions!$B$13+Assumptions!$B$14)+G513+F513+D513+E513))</f>
        <v/>
      </c>
      <c r="I513">
        <f>$B$479/H513</f>
        <v/>
      </c>
      <c r="J513">
        <f>$B$480/H513</f>
        <v/>
      </c>
      <c r="K513">
        <f>I513-J513</f>
        <v/>
      </c>
      <c r="L513">
        <f>Assumptions!$B$51/K513</f>
        <v/>
      </c>
      <c r="M513">
        <f>H513*(1-Assumptions!$B$52)</f>
        <v/>
      </c>
      <c r="N513">
        <f>MIN(L513,M513)</f>
        <v/>
      </c>
      <c r="O513">
        <f>Assumptions!$B$50/N513</f>
        <v/>
      </c>
      <c r="P513">
        <f>Assumptions!$B$54/K513</f>
        <v/>
      </c>
      <c r="Q513">
        <f>H513*(1-Assumptions!$B$55)</f>
        <v/>
      </c>
      <c r="R513">
        <f>MIN(P513,Q513)</f>
        <v/>
      </c>
      <c r="S513">
        <f>Assumptions!$B$53/R513</f>
        <v/>
      </c>
      <c r="T513">
        <f>Assumptions!$B$27*(Assumptions!$B$64+$B$480/Assumptions!$B$27)/(Assumptions!$B$64+J513)</f>
        <v/>
      </c>
      <c r="U513">
        <f>IF(H513&lt;Assumptions!$B$27,Assumptions!$B$27/T513,1)</f>
        <v/>
      </c>
      <c r="V513">
        <f>Assumptions!$B$26*(Assumptions!$B$64+$B$480/Assumptions!$B$26)/(Assumptions!$B$64+J513)</f>
        <v/>
      </c>
      <c r="W513">
        <f>IF(H513&lt;Assumptions!$B$26,Assumptions!$B$26/V513,1)</f>
        <v/>
      </c>
    </row>
    <row r="514">
      <c r="A514" t="n">
        <v>31</v>
      </c>
      <c r="B514">
        <f>U513</f>
        <v/>
      </c>
      <c r="C514">
        <f>W513</f>
        <v/>
      </c>
      <c r="D514">
        <f>O513</f>
        <v/>
      </c>
      <c r="E514">
        <f>S513</f>
        <v/>
      </c>
      <c r="F514">
        <f>Assumptions!$B$16*B514</f>
        <v/>
      </c>
      <c r="G514">
        <f>Assumptions!$B$15*C514</f>
        <v/>
      </c>
      <c r="H514">
        <f>IF($B$476*($B$479/(($B$479*(1-$B$476)-$B$480)/((Assumptions!$B$9+Assumptions!$B$11+Assumptions!$B$12+Assumptions!$B$13+Assumptions!$B$14)+G514+F514+D514+E514)))&lt;Assumptions!$B$65,($B$479-$B$480)/(((Assumptions!$B$9+Assumptions!$B$11+Assumptions!$B$12+Assumptions!$B$13+Assumptions!$B$14)+G514+F514+D514+E514)+Assumptions!$B$65),($B$479*(1-$B$476)-$B$480)/((Assumptions!$B$9+Assumptions!$B$11+Assumptions!$B$12+Assumptions!$B$13+Assumptions!$B$14)+G514+F514+D514+E514))</f>
        <v/>
      </c>
      <c r="I514">
        <f>$B$479/H514</f>
        <v/>
      </c>
      <c r="J514">
        <f>$B$480/H514</f>
        <v/>
      </c>
      <c r="K514">
        <f>I514-J514</f>
        <v/>
      </c>
      <c r="L514">
        <f>Assumptions!$B$51/K514</f>
        <v/>
      </c>
      <c r="M514">
        <f>H514*(1-Assumptions!$B$52)</f>
        <v/>
      </c>
      <c r="N514">
        <f>MIN(L514,M514)</f>
        <v/>
      </c>
      <c r="O514">
        <f>Assumptions!$B$50/N514</f>
        <v/>
      </c>
      <c r="P514">
        <f>Assumptions!$B$54/K514</f>
        <v/>
      </c>
      <c r="Q514">
        <f>H514*(1-Assumptions!$B$55)</f>
        <v/>
      </c>
      <c r="R514">
        <f>MIN(P514,Q514)</f>
        <v/>
      </c>
      <c r="S514">
        <f>Assumptions!$B$53/R514</f>
        <v/>
      </c>
      <c r="T514">
        <f>Assumptions!$B$27*(Assumptions!$B$64+$B$480/Assumptions!$B$27)/(Assumptions!$B$64+J514)</f>
        <v/>
      </c>
      <c r="U514">
        <f>IF(H514&lt;Assumptions!$B$27,Assumptions!$B$27/T514,1)</f>
        <v/>
      </c>
      <c r="V514">
        <f>Assumptions!$B$26*(Assumptions!$B$64+$B$480/Assumptions!$B$26)/(Assumptions!$B$64+J514)</f>
        <v/>
      </c>
      <c r="W514">
        <f>IF(H514&lt;Assumptions!$B$26,Assumptions!$B$26/V514,1)</f>
        <v/>
      </c>
    </row>
    <row r="515">
      <c r="A515" t="n">
        <v>32</v>
      </c>
      <c r="B515">
        <f>U514</f>
        <v/>
      </c>
      <c r="C515">
        <f>W514</f>
        <v/>
      </c>
      <c r="D515">
        <f>O514</f>
        <v/>
      </c>
      <c r="E515">
        <f>S514</f>
        <v/>
      </c>
      <c r="F515">
        <f>Assumptions!$B$16*B515</f>
        <v/>
      </c>
      <c r="G515">
        <f>Assumptions!$B$15*C515</f>
        <v/>
      </c>
      <c r="H515">
        <f>IF($B$476*($B$479/(($B$479*(1-$B$476)-$B$480)/((Assumptions!$B$9+Assumptions!$B$11+Assumptions!$B$12+Assumptions!$B$13+Assumptions!$B$14)+G515+F515+D515+E515)))&lt;Assumptions!$B$65,($B$479-$B$480)/(((Assumptions!$B$9+Assumptions!$B$11+Assumptions!$B$12+Assumptions!$B$13+Assumptions!$B$14)+G515+F515+D515+E515)+Assumptions!$B$65),($B$479*(1-$B$476)-$B$480)/((Assumptions!$B$9+Assumptions!$B$11+Assumptions!$B$12+Assumptions!$B$13+Assumptions!$B$14)+G515+F515+D515+E515))</f>
        <v/>
      </c>
      <c r="I515">
        <f>$B$479/H515</f>
        <v/>
      </c>
      <c r="J515">
        <f>$B$480/H515</f>
        <v/>
      </c>
      <c r="K515">
        <f>I515-J515</f>
        <v/>
      </c>
      <c r="L515">
        <f>Assumptions!$B$51/K515</f>
        <v/>
      </c>
      <c r="M515">
        <f>H515*(1-Assumptions!$B$52)</f>
        <v/>
      </c>
      <c r="N515">
        <f>MIN(L515,M515)</f>
        <v/>
      </c>
      <c r="O515">
        <f>Assumptions!$B$50/N515</f>
        <v/>
      </c>
      <c r="P515">
        <f>Assumptions!$B$54/K515</f>
        <v/>
      </c>
      <c r="Q515">
        <f>H515*(1-Assumptions!$B$55)</f>
        <v/>
      </c>
      <c r="R515">
        <f>MIN(P515,Q515)</f>
        <v/>
      </c>
      <c r="S515">
        <f>Assumptions!$B$53/R515</f>
        <v/>
      </c>
      <c r="T515">
        <f>Assumptions!$B$27*(Assumptions!$B$64+$B$480/Assumptions!$B$27)/(Assumptions!$B$64+J515)</f>
        <v/>
      </c>
      <c r="U515">
        <f>IF(H515&lt;Assumptions!$B$27,Assumptions!$B$27/T515,1)</f>
        <v/>
      </c>
      <c r="V515">
        <f>Assumptions!$B$26*(Assumptions!$B$64+$B$480/Assumptions!$B$26)/(Assumptions!$B$64+J515)</f>
        <v/>
      </c>
      <c r="W515">
        <f>IF(H515&lt;Assumptions!$B$26,Assumptions!$B$26/V515,1)</f>
        <v/>
      </c>
    </row>
    <row r="516">
      <c r="A516" t="n">
        <v>33</v>
      </c>
      <c r="B516">
        <f>U515</f>
        <v/>
      </c>
      <c r="C516">
        <f>W515</f>
        <v/>
      </c>
      <c r="D516">
        <f>O515</f>
        <v/>
      </c>
      <c r="E516">
        <f>S515</f>
        <v/>
      </c>
      <c r="F516">
        <f>Assumptions!$B$16*B516</f>
        <v/>
      </c>
      <c r="G516">
        <f>Assumptions!$B$15*C516</f>
        <v/>
      </c>
      <c r="H516">
        <f>IF($B$476*($B$479/(($B$479*(1-$B$476)-$B$480)/((Assumptions!$B$9+Assumptions!$B$11+Assumptions!$B$12+Assumptions!$B$13+Assumptions!$B$14)+G516+F516+D516+E516)))&lt;Assumptions!$B$65,($B$479-$B$480)/(((Assumptions!$B$9+Assumptions!$B$11+Assumptions!$B$12+Assumptions!$B$13+Assumptions!$B$14)+G516+F516+D516+E516)+Assumptions!$B$65),($B$479*(1-$B$476)-$B$480)/((Assumptions!$B$9+Assumptions!$B$11+Assumptions!$B$12+Assumptions!$B$13+Assumptions!$B$14)+G516+F516+D516+E516))</f>
        <v/>
      </c>
      <c r="I516">
        <f>$B$479/H516</f>
        <v/>
      </c>
      <c r="J516">
        <f>$B$480/H516</f>
        <v/>
      </c>
      <c r="K516">
        <f>I516-J516</f>
        <v/>
      </c>
      <c r="L516">
        <f>Assumptions!$B$51/K516</f>
        <v/>
      </c>
      <c r="M516">
        <f>H516*(1-Assumptions!$B$52)</f>
        <v/>
      </c>
      <c r="N516">
        <f>MIN(L516,M516)</f>
        <v/>
      </c>
      <c r="O516">
        <f>Assumptions!$B$50/N516</f>
        <v/>
      </c>
      <c r="P516">
        <f>Assumptions!$B$54/K516</f>
        <v/>
      </c>
      <c r="Q516">
        <f>H516*(1-Assumptions!$B$55)</f>
        <v/>
      </c>
      <c r="R516">
        <f>MIN(P516,Q516)</f>
        <v/>
      </c>
      <c r="S516">
        <f>Assumptions!$B$53/R516</f>
        <v/>
      </c>
      <c r="T516">
        <f>Assumptions!$B$27*(Assumptions!$B$64+$B$480/Assumptions!$B$27)/(Assumptions!$B$64+J516)</f>
        <v/>
      </c>
      <c r="U516">
        <f>IF(H516&lt;Assumptions!$B$27,Assumptions!$B$27/T516,1)</f>
        <v/>
      </c>
      <c r="V516">
        <f>Assumptions!$B$26*(Assumptions!$B$64+$B$480/Assumptions!$B$26)/(Assumptions!$B$64+J516)</f>
        <v/>
      </c>
      <c r="W516">
        <f>IF(H516&lt;Assumptions!$B$26,Assumptions!$B$26/V516,1)</f>
        <v/>
      </c>
    </row>
    <row r="517">
      <c r="A517" t="n">
        <v>34</v>
      </c>
      <c r="B517">
        <f>U516</f>
        <v/>
      </c>
      <c r="C517">
        <f>W516</f>
        <v/>
      </c>
      <c r="D517">
        <f>O516</f>
        <v/>
      </c>
      <c r="E517">
        <f>S516</f>
        <v/>
      </c>
      <c r="F517">
        <f>Assumptions!$B$16*B517</f>
        <v/>
      </c>
      <c r="G517">
        <f>Assumptions!$B$15*C517</f>
        <v/>
      </c>
      <c r="H517">
        <f>IF($B$476*($B$479/(($B$479*(1-$B$476)-$B$480)/((Assumptions!$B$9+Assumptions!$B$11+Assumptions!$B$12+Assumptions!$B$13+Assumptions!$B$14)+G517+F517+D517+E517)))&lt;Assumptions!$B$65,($B$479-$B$480)/(((Assumptions!$B$9+Assumptions!$B$11+Assumptions!$B$12+Assumptions!$B$13+Assumptions!$B$14)+G517+F517+D517+E517)+Assumptions!$B$65),($B$479*(1-$B$476)-$B$480)/((Assumptions!$B$9+Assumptions!$B$11+Assumptions!$B$12+Assumptions!$B$13+Assumptions!$B$14)+G517+F517+D517+E517))</f>
        <v/>
      </c>
      <c r="I517">
        <f>$B$479/H517</f>
        <v/>
      </c>
      <c r="J517">
        <f>$B$480/H517</f>
        <v/>
      </c>
      <c r="K517">
        <f>I517-J517</f>
        <v/>
      </c>
      <c r="L517">
        <f>Assumptions!$B$51/K517</f>
        <v/>
      </c>
      <c r="M517">
        <f>H517*(1-Assumptions!$B$52)</f>
        <v/>
      </c>
      <c r="N517">
        <f>MIN(L517,M517)</f>
        <v/>
      </c>
      <c r="O517">
        <f>Assumptions!$B$50/N517</f>
        <v/>
      </c>
      <c r="P517">
        <f>Assumptions!$B$54/K517</f>
        <v/>
      </c>
      <c r="Q517">
        <f>H517*(1-Assumptions!$B$55)</f>
        <v/>
      </c>
      <c r="R517">
        <f>MIN(P517,Q517)</f>
        <v/>
      </c>
      <c r="S517">
        <f>Assumptions!$B$53/R517</f>
        <v/>
      </c>
      <c r="T517">
        <f>Assumptions!$B$27*(Assumptions!$B$64+$B$480/Assumptions!$B$27)/(Assumptions!$B$64+J517)</f>
        <v/>
      </c>
      <c r="U517">
        <f>IF(H517&lt;Assumptions!$B$27,Assumptions!$B$27/T517,1)</f>
        <v/>
      </c>
      <c r="V517">
        <f>Assumptions!$B$26*(Assumptions!$B$64+$B$480/Assumptions!$B$26)/(Assumptions!$B$64+J517)</f>
        <v/>
      </c>
      <c r="W517">
        <f>IF(H517&lt;Assumptions!$B$26,Assumptions!$B$26/V517,1)</f>
        <v/>
      </c>
    </row>
    <row r="518">
      <c r="A518" t="n">
        <v>35</v>
      </c>
      <c r="B518">
        <f>U517</f>
        <v/>
      </c>
      <c r="C518">
        <f>W517</f>
        <v/>
      </c>
      <c r="D518">
        <f>O517</f>
        <v/>
      </c>
      <c r="E518">
        <f>S517</f>
        <v/>
      </c>
      <c r="F518">
        <f>Assumptions!$B$16*B518</f>
        <v/>
      </c>
      <c r="G518">
        <f>Assumptions!$B$15*C518</f>
        <v/>
      </c>
      <c r="H518">
        <f>IF($B$476*($B$479/(($B$479*(1-$B$476)-$B$480)/((Assumptions!$B$9+Assumptions!$B$11+Assumptions!$B$12+Assumptions!$B$13+Assumptions!$B$14)+G518+F518+D518+E518)))&lt;Assumptions!$B$65,($B$479-$B$480)/(((Assumptions!$B$9+Assumptions!$B$11+Assumptions!$B$12+Assumptions!$B$13+Assumptions!$B$14)+G518+F518+D518+E518)+Assumptions!$B$65),($B$479*(1-$B$476)-$B$480)/((Assumptions!$B$9+Assumptions!$B$11+Assumptions!$B$12+Assumptions!$B$13+Assumptions!$B$14)+G518+F518+D518+E518))</f>
        <v/>
      </c>
      <c r="I518">
        <f>$B$479/H518</f>
        <v/>
      </c>
      <c r="J518">
        <f>$B$480/H518</f>
        <v/>
      </c>
      <c r="K518">
        <f>I518-J518</f>
        <v/>
      </c>
      <c r="L518">
        <f>Assumptions!$B$51/K518</f>
        <v/>
      </c>
      <c r="M518">
        <f>H518*(1-Assumptions!$B$52)</f>
        <v/>
      </c>
      <c r="N518">
        <f>MIN(L518,M518)</f>
        <v/>
      </c>
      <c r="O518">
        <f>Assumptions!$B$50/N518</f>
        <v/>
      </c>
      <c r="P518">
        <f>Assumptions!$B$54/K518</f>
        <v/>
      </c>
      <c r="Q518">
        <f>H518*(1-Assumptions!$B$55)</f>
        <v/>
      </c>
      <c r="R518">
        <f>MIN(P518,Q518)</f>
        <v/>
      </c>
      <c r="S518">
        <f>Assumptions!$B$53/R518</f>
        <v/>
      </c>
      <c r="T518">
        <f>Assumptions!$B$27*(Assumptions!$B$64+$B$480/Assumptions!$B$27)/(Assumptions!$B$64+J518)</f>
        <v/>
      </c>
      <c r="U518">
        <f>IF(H518&lt;Assumptions!$B$27,Assumptions!$B$27/T518,1)</f>
        <v/>
      </c>
      <c r="V518">
        <f>Assumptions!$B$26*(Assumptions!$B$64+$B$480/Assumptions!$B$26)/(Assumptions!$B$64+J518)</f>
        <v/>
      </c>
      <c r="W518">
        <f>IF(H518&lt;Assumptions!$B$26,Assumptions!$B$26/V518,1)</f>
        <v/>
      </c>
    </row>
    <row r="519">
      <c r="A519" t="n">
        <v>36</v>
      </c>
      <c r="B519">
        <f>U518</f>
        <v/>
      </c>
      <c r="C519">
        <f>W518</f>
        <v/>
      </c>
      <c r="D519">
        <f>O518</f>
        <v/>
      </c>
      <c r="E519">
        <f>S518</f>
        <v/>
      </c>
      <c r="F519">
        <f>Assumptions!$B$16*B519</f>
        <v/>
      </c>
      <c r="G519">
        <f>Assumptions!$B$15*C519</f>
        <v/>
      </c>
      <c r="H519">
        <f>IF($B$476*($B$479/(($B$479*(1-$B$476)-$B$480)/((Assumptions!$B$9+Assumptions!$B$11+Assumptions!$B$12+Assumptions!$B$13+Assumptions!$B$14)+G519+F519+D519+E519)))&lt;Assumptions!$B$65,($B$479-$B$480)/(((Assumptions!$B$9+Assumptions!$B$11+Assumptions!$B$12+Assumptions!$B$13+Assumptions!$B$14)+G519+F519+D519+E519)+Assumptions!$B$65),($B$479*(1-$B$476)-$B$480)/((Assumptions!$B$9+Assumptions!$B$11+Assumptions!$B$12+Assumptions!$B$13+Assumptions!$B$14)+G519+F519+D519+E519))</f>
        <v/>
      </c>
      <c r="I519">
        <f>$B$479/H519</f>
        <v/>
      </c>
      <c r="J519">
        <f>$B$480/H519</f>
        <v/>
      </c>
      <c r="K519">
        <f>I519-J519</f>
        <v/>
      </c>
      <c r="L519">
        <f>Assumptions!$B$51/K519</f>
        <v/>
      </c>
      <c r="M519">
        <f>H519*(1-Assumptions!$B$52)</f>
        <v/>
      </c>
      <c r="N519">
        <f>MIN(L519,M519)</f>
        <v/>
      </c>
      <c r="O519">
        <f>Assumptions!$B$50/N519</f>
        <v/>
      </c>
      <c r="P519">
        <f>Assumptions!$B$54/K519</f>
        <v/>
      </c>
      <c r="Q519">
        <f>H519*(1-Assumptions!$B$55)</f>
        <v/>
      </c>
      <c r="R519">
        <f>MIN(P519,Q519)</f>
        <v/>
      </c>
      <c r="S519">
        <f>Assumptions!$B$53/R519</f>
        <v/>
      </c>
      <c r="T519">
        <f>Assumptions!$B$27*(Assumptions!$B$64+$B$480/Assumptions!$B$27)/(Assumptions!$B$64+J519)</f>
        <v/>
      </c>
      <c r="U519">
        <f>IF(H519&lt;Assumptions!$B$27,Assumptions!$B$27/T519,1)</f>
        <v/>
      </c>
      <c r="V519">
        <f>Assumptions!$B$26*(Assumptions!$B$64+$B$480/Assumptions!$B$26)/(Assumptions!$B$64+J519)</f>
        <v/>
      </c>
      <c r="W519">
        <f>IF(H519&lt;Assumptions!$B$26,Assumptions!$B$26/V519,1)</f>
        <v/>
      </c>
    </row>
    <row r="520">
      <c r="A520" t="n">
        <v>37</v>
      </c>
      <c r="B520">
        <f>U519</f>
        <v/>
      </c>
      <c r="C520">
        <f>W519</f>
        <v/>
      </c>
      <c r="D520">
        <f>O519</f>
        <v/>
      </c>
      <c r="E520">
        <f>S519</f>
        <v/>
      </c>
      <c r="F520">
        <f>Assumptions!$B$16*B520</f>
        <v/>
      </c>
      <c r="G520">
        <f>Assumptions!$B$15*C520</f>
        <v/>
      </c>
      <c r="H520">
        <f>IF($B$476*($B$479/(($B$479*(1-$B$476)-$B$480)/((Assumptions!$B$9+Assumptions!$B$11+Assumptions!$B$12+Assumptions!$B$13+Assumptions!$B$14)+G520+F520+D520+E520)))&lt;Assumptions!$B$65,($B$479-$B$480)/(((Assumptions!$B$9+Assumptions!$B$11+Assumptions!$B$12+Assumptions!$B$13+Assumptions!$B$14)+G520+F520+D520+E520)+Assumptions!$B$65),($B$479*(1-$B$476)-$B$480)/((Assumptions!$B$9+Assumptions!$B$11+Assumptions!$B$12+Assumptions!$B$13+Assumptions!$B$14)+G520+F520+D520+E520))</f>
        <v/>
      </c>
      <c r="I520">
        <f>$B$479/H520</f>
        <v/>
      </c>
      <c r="J520">
        <f>$B$480/H520</f>
        <v/>
      </c>
      <c r="K520">
        <f>I520-J520</f>
        <v/>
      </c>
      <c r="L520">
        <f>Assumptions!$B$51/K520</f>
        <v/>
      </c>
      <c r="M520">
        <f>H520*(1-Assumptions!$B$52)</f>
        <v/>
      </c>
      <c r="N520">
        <f>MIN(L520,M520)</f>
        <v/>
      </c>
      <c r="O520">
        <f>Assumptions!$B$50/N520</f>
        <v/>
      </c>
      <c r="P520">
        <f>Assumptions!$B$54/K520</f>
        <v/>
      </c>
      <c r="Q520">
        <f>H520*(1-Assumptions!$B$55)</f>
        <v/>
      </c>
      <c r="R520">
        <f>MIN(P520,Q520)</f>
        <v/>
      </c>
      <c r="S520">
        <f>Assumptions!$B$53/R520</f>
        <v/>
      </c>
      <c r="T520">
        <f>Assumptions!$B$27*(Assumptions!$B$64+$B$480/Assumptions!$B$27)/(Assumptions!$B$64+J520)</f>
        <v/>
      </c>
      <c r="U520">
        <f>IF(H520&lt;Assumptions!$B$27,Assumptions!$B$27/T520,1)</f>
        <v/>
      </c>
      <c r="V520">
        <f>Assumptions!$B$26*(Assumptions!$B$64+$B$480/Assumptions!$B$26)/(Assumptions!$B$64+J520)</f>
        <v/>
      </c>
      <c r="W520">
        <f>IF(H520&lt;Assumptions!$B$26,Assumptions!$B$26/V520,1)</f>
        <v/>
      </c>
    </row>
    <row r="521">
      <c r="A521" t="n">
        <v>38</v>
      </c>
      <c r="B521">
        <f>U520</f>
        <v/>
      </c>
      <c r="C521">
        <f>W520</f>
        <v/>
      </c>
      <c r="D521">
        <f>O520</f>
        <v/>
      </c>
      <c r="E521">
        <f>S520</f>
        <v/>
      </c>
      <c r="F521">
        <f>Assumptions!$B$16*B521</f>
        <v/>
      </c>
      <c r="G521">
        <f>Assumptions!$B$15*C521</f>
        <v/>
      </c>
      <c r="H521">
        <f>IF($B$476*($B$479/(($B$479*(1-$B$476)-$B$480)/((Assumptions!$B$9+Assumptions!$B$11+Assumptions!$B$12+Assumptions!$B$13+Assumptions!$B$14)+G521+F521+D521+E521)))&lt;Assumptions!$B$65,($B$479-$B$480)/(((Assumptions!$B$9+Assumptions!$B$11+Assumptions!$B$12+Assumptions!$B$13+Assumptions!$B$14)+G521+F521+D521+E521)+Assumptions!$B$65),($B$479*(1-$B$476)-$B$480)/((Assumptions!$B$9+Assumptions!$B$11+Assumptions!$B$12+Assumptions!$B$13+Assumptions!$B$14)+G521+F521+D521+E521))</f>
        <v/>
      </c>
      <c r="I521">
        <f>$B$479/H521</f>
        <v/>
      </c>
      <c r="J521">
        <f>$B$480/H521</f>
        <v/>
      </c>
      <c r="K521">
        <f>I521-J521</f>
        <v/>
      </c>
      <c r="L521">
        <f>Assumptions!$B$51/K521</f>
        <v/>
      </c>
      <c r="M521">
        <f>H521*(1-Assumptions!$B$52)</f>
        <v/>
      </c>
      <c r="N521">
        <f>MIN(L521,M521)</f>
        <v/>
      </c>
      <c r="O521">
        <f>Assumptions!$B$50/N521</f>
        <v/>
      </c>
      <c r="P521">
        <f>Assumptions!$B$54/K521</f>
        <v/>
      </c>
      <c r="Q521">
        <f>H521*(1-Assumptions!$B$55)</f>
        <v/>
      </c>
      <c r="R521">
        <f>MIN(P521,Q521)</f>
        <v/>
      </c>
      <c r="S521">
        <f>Assumptions!$B$53/R521</f>
        <v/>
      </c>
      <c r="T521">
        <f>Assumptions!$B$27*(Assumptions!$B$64+$B$480/Assumptions!$B$27)/(Assumptions!$B$64+J521)</f>
        <v/>
      </c>
      <c r="U521">
        <f>IF(H521&lt;Assumptions!$B$27,Assumptions!$B$27/T521,1)</f>
        <v/>
      </c>
      <c r="V521">
        <f>Assumptions!$B$26*(Assumptions!$B$64+$B$480/Assumptions!$B$26)/(Assumptions!$B$64+J521)</f>
        <v/>
      </c>
      <c r="W521">
        <f>IF(H521&lt;Assumptions!$B$26,Assumptions!$B$26/V521,1)</f>
        <v/>
      </c>
    </row>
    <row r="522">
      <c r="A522" t="n">
        <v>39</v>
      </c>
      <c r="B522">
        <f>U521</f>
        <v/>
      </c>
      <c r="C522">
        <f>W521</f>
        <v/>
      </c>
      <c r="D522">
        <f>O521</f>
        <v/>
      </c>
      <c r="E522">
        <f>S521</f>
        <v/>
      </c>
      <c r="F522">
        <f>Assumptions!$B$16*B522</f>
        <v/>
      </c>
      <c r="G522">
        <f>Assumptions!$B$15*C522</f>
        <v/>
      </c>
      <c r="H522">
        <f>IF($B$476*($B$479/(($B$479*(1-$B$476)-$B$480)/((Assumptions!$B$9+Assumptions!$B$11+Assumptions!$B$12+Assumptions!$B$13+Assumptions!$B$14)+G522+F522+D522+E522)))&lt;Assumptions!$B$65,($B$479-$B$480)/(((Assumptions!$B$9+Assumptions!$B$11+Assumptions!$B$12+Assumptions!$B$13+Assumptions!$B$14)+G522+F522+D522+E522)+Assumptions!$B$65),($B$479*(1-$B$476)-$B$480)/((Assumptions!$B$9+Assumptions!$B$11+Assumptions!$B$12+Assumptions!$B$13+Assumptions!$B$14)+G522+F522+D522+E522))</f>
        <v/>
      </c>
      <c r="I522">
        <f>$B$479/H522</f>
        <v/>
      </c>
      <c r="J522">
        <f>$B$480/H522</f>
        <v/>
      </c>
      <c r="K522">
        <f>I522-J522</f>
        <v/>
      </c>
      <c r="L522">
        <f>Assumptions!$B$51/K522</f>
        <v/>
      </c>
      <c r="M522">
        <f>H522*(1-Assumptions!$B$52)</f>
        <v/>
      </c>
      <c r="N522">
        <f>MIN(L522,M522)</f>
        <v/>
      </c>
      <c r="O522">
        <f>Assumptions!$B$50/N522</f>
        <v/>
      </c>
      <c r="P522">
        <f>Assumptions!$B$54/K522</f>
        <v/>
      </c>
      <c r="Q522">
        <f>H522*(1-Assumptions!$B$55)</f>
        <v/>
      </c>
      <c r="R522">
        <f>MIN(P522,Q522)</f>
        <v/>
      </c>
      <c r="S522">
        <f>Assumptions!$B$53/R522</f>
        <v/>
      </c>
      <c r="T522">
        <f>Assumptions!$B$27*(Assumptions!$B$64+$B$480/Assumptions!$B$27)/(Assumptions!$B$64+J522)</f>
        <v/>
      </c>
      <c r="U522">
        <f>IF(H522&lt;Assumptions!$B$27,Assumptions!$B$27/T522,1)</f>
        <v/>
      </c>
      <c r="V522">
        <f>Assumptions!$B$26*(Assumptions!$B$64+$B$480/Assumptions!$B$26)/(Assumptions!$B$64+J522)</f>
        <v/>
      </c>
      <c r="W522">
        <f>IF(H522&lt;Assumptions!$B$26,Assumptions!$B$26/V522,1)</f>
        <v/>
      </c>
    </row>
    <row r="523">
      <c r="A523" t="n">
        <v>40</v>
      </c>
      <c r="B523">
        <f>U522</f>
        <v/>
      </c>
      <c r="C523">
        <f>W522</f>
        <v/>
      </c>
      <c r="D523">
        <f>O522</f>
        <v/>
      </c>
      <c r="E523">
        <f>S522</f>
        <v/>
      </c>
      <c r="F523">
        <f>Assumptions!$B$16*B523</f>
        <v/>
      </c>
      <c r="G523">
        <f>Assumptions!$B$15*C523</f>
        <v/>
      </c>
      <c r="H523">
        <f>IF($B$476*($B$479/(($B$479*(1-$B$476)-$B$480)/((Assumptions!$B$9+Assumptions!$B$11+Assumptions!$B$12+Assumptions!$B$13+Assumptions!$B$14)+G523+F523+D523+E523)))&lt;Assumptions!$B$65,($B$479-$B$480)/(((Assumptions!$B$9+Assumptions!$B$11+Assumptions!$B$12+Assumptions!$B$13+Assumptions!$B$14)+G523+F523+D523+E523)+Assumptions!$B$65),($B$479*(1-$B$476)-$B$480)/((Assumptions!$B$9+Assumptions!$B$11+Assumptions!$B$12+Assumptions!$B$13+Assumptions!$B$14)+G523+F523+D523+E523))</f>
        <v/>
      </c>
      <c r="I523">
        <f>$B$479/H523</f>
        <v/>
      </c>
      <c r="J523">
        <f>$B$480/H523</f>
        <v/>
      </c>
      <c r="K523">
        <f>I523-J523</f>
        <v/>
      </c>
      <c r="L523">
        <f>Assumptions!$B$51/K523</f>
        <v/>
      </c>
      <c r="M523">
        <f>H523*(1-Assumptions!$B$52)</f>
        <v/>
      </c>
      <c r="N523">
        <f>MIN(L523,M523)</f>
        <v/>
      </c>
      <c r="O523">
        <f>Assumptions!$B$50/N523</f>
        <v/>
      </c>
      <c r="P523">
        <f>Assumptions!$B$54/K523</f>
        <v/>
      </c>
      <c r="Q523">
        <f>H523*(1-Assumptions!$B$55)</f>
        <v/>
      </c>
      <c r="R523">
        <f>MIN(P523,Q523)</f>
        <v/>
      </c>
      <c r="S523">
        <f>Assumptions!$B$53/R523</f>
        <v/>
      </c>
      <c r="T523">
        <f>Assumptions!$B$27*(Assumptions!$B$64+$B$480/Assumptions!$B$27)/(Assumptions!$B$64+J523)</f>
        <v/>
      </c>
      <c r="U523">
        <f>IF(H523&lt;Assumptions!$B$27,Assumptions!$B$27/T523,1)</f>
        <v/>
      </c>
      <c r="V523">
        <f>Assumptions!$B$26*(Assumptions!$B$64+$B$480/Assumptions!$B$26)/(Assumptions!$B$64+J523)</f>
        <v/>
      </c>
      <c r="W523">
        <f>IF(H523&lt;Assumptions!$B$26,Assumptions!$B$26/V523,1)</f>
        <v/>
      </c>
    </row>
    <row r="524">
      <c r="A524" t="n">
        <v>41</v>
      </c>
      <c r="B524">
        <f>U523</f>
        <v/>
      </c>
      <c r="C524">
        <f>W523</f>
        <v/>
      </c>
      <c r="D524">
        <f>O523</f>
        <v/>
      </c>
      <c r="E524">
        <f>S523</f>
        <v/>
      </c>
      <c r="F524">
        <f>Assumptions!$B$16*B524</f>
        <v/>
      </c>
      <c r="G524">
        <f>Assumptions!$B$15*C524</f>
        <v/>
      </c>
      <c r="H524">
        <f>IF($B$476*($B$479/(($B$479*(1-$B$476)-$B$480)/((Assumptions!$B$9+Assumptions!$B$11+Assumptions!$B$12+Assumptions!$B$13+Assumptions!$B$14)+G524+F524+D524+E524)))&lt;Assumptions!$B$65,($B$479-$B$480)/(((Assumptions!$B$9+Assumptions!$B$11+Assumptions!$B$12+Assumptions!$B$13+Assumptions!$B$14)+G524+F524+D524+E524)+Assumptions!$B$65),($B$479*(1-$B$476)-$B$480)/((Assumptions!$B$9+Assumptions!$B$11+Assumptions!$B$12+Assumptions!$B$13+Assumptions!$B$14)+G524+F524+D524+E524))</f>
        <v/>
      </c>
      <c r="I524">
        <f>$B$479/H524</f>
        <v/>
      </c>
      <c r="J524">
        <f>$B$480/H524</f>
        <v/>
      </c>
      <c r="K524">
        <f>I524-J524</f>
        <v/>
      </c>
      <c r="L524">
        <f>Assumptions!$B$51/K524</f>
        <v/>
      </c>
      <c r="M524">
        <f>H524*(1-Assumptions!$B$52)</f>
        <v/>
      </c>
      <c r="N524">
        <f>MIN(L524,M524)</f>
        <v/>
      </c>
      <c r="O524">
        <f>Assumptions!$B$50/N524</f>
        <v/>
      </c>
      <c r="P524">
        <f>Assumptions!$B$54/K524</f>
        <v/>
      </c>
      <c r="Q524">
        <f>H524*(1-Assumptions!$B$55)</f>
        <v/>
      </c>
      <c r="R524">
        <f>MIN(P524,Q524)</f>
        <v/>
      </c>
      <c r="S524">
        <f>Assumptions!$B$53/R524</f>
        <v/>
      </c>
      <c r="T524">
        <f>Assumptions!$B$27*(Assumptions!$B$64+$B$480/Assumptions!$B$27)/(Assumptions!$B$64+J524)</f>
        <v/>
      </c>
      <c r="U524">
        <f>IF(H524&lt;Assumptions!$B$27,Assumptions!$B$27/T524,1)</f>
        <v/>
      </c>
      <c r="V524">
        <f>Assumptions!$B$26*(Assumptions!$B$64+$B$480/Assumptions!$B$26)/(Assumptions!$B$64+J524)</f>
        <v/>
      </c>
      <c r="W524">
        <f>IF(H524&lt;Assumptions!$B$26,Assumptions!$B$26/V524,1)</f>
        <v/>
      </c>
    </row>
    <row r="525">
      <c r="A525" t="n">
        <v>42</v>
      </c>
      <c r="B525">
        <f>U524</f>
        <v/>
      </c>
      <c r="C525">
        <f>W524</f>
        <v/>
      </c>
      <c r="D525">
        <f>O524</f>
        <v/>
      </c>
      <c r="E525">
        <f>S524</f>
        <v/>
      </c>
      <c r="F525">
        <f>Assumptions!$B$16*B525</f>
        <v/>
      </c>
      <c r="G525">
        <f>Assumptions!$B$15*C525</f>
        <v/>
      </c>
      <c r="H525">
        <f>IF($B$476*($B$479/(($B$479*(1-$B$476)-$B$480)/((Assumptions!$B$9+Assumptions!$B$11+Assumptions!$B$12+Assumptions!$B$13+Assumptions!$B$14)+G525+F525+D525+E525)))&lt;Assumptions!$B$65,($B$479-$B$480)/(((Assumptions!$B$9+Assumptions!$B$11+Assumptions!$B$12+Assumptions!$B$13+Assumptions!$B$14)+G525+F525+D525+E525)+Assumptions!$B$65),($B$479*(1-$B$476)-$B$480)/((Assumptions!$B$9+Assumptions!$B$11+Assumptions!$B$12+Assumptions!$B$13+Assumptions!$B$14)+G525+F525+D525+E525))</f>
        <v/>
      </c>
      <c r="I525">
        <f>$B$479/H525</f>
        <v/>
      </c>
      <c r="J525">
        <f>$B$480/H525</f>
        <v/>
      </c>
      <c r="K525">
        <f>I525-J525</f>
        <v/>
      </c>
      <c r="L525">
        <f>Assumptions!$B$51/K525</f>
        <v/>
      </c>
      <c r="M525">
        <f>H525*(1-Assumptions!$B$52)</f>
        <v/>
      </c>
      <c r="N525">
        <f>MIN(L525,M525)</f>
        <v/>
      </c>
      <c r="O525">
        <f>Assumptions!$B$50/N525</f>
        <v/>
      </c>
      <c r="P525">
        <f>Assumptions!$B$54/K525</f>
        <v/>
      </c>
      <c r="Q525">
        <f>H525*(1-Assumptions!$B$55)</f>
        <v/>
      </c>
      <c r="R525">
        <f>MIN(P525,Q525)</f>
        <v/>
      </c>
      <c r="S525">
        <f>Assumptions!$B$53/R525</f>
        <v/>
      </c>
      <c r="T525">
        <f>Assumptions!$B$27*(Assumptions!$B$64+$B$480/Assumptions!$B$27)/(Assumptions!$B$64+J525)</f>
        <v/>
      </c>
      <c r="U525">
        <f>IF(H525&lt;Assumptions!$B$27,Assumptions!$B$27/T525,1)</f>
        <v/>
      </c>
      <c r="V525">
        <f>Assumptions!$B$26*(Assumptions!$B$64+$B$480/Assumptions!$B$26)/(Assumptions!$B$64+J525)</f>
        <v/>
      </c>
      <c r="W525">
        <f>IF(H525&lt;Assumptions!$B$26,Assumptions!$B$26/V525,1)</f>
        <v/>
      </c>
    </row>
    <row r="526">
      <c r="A526" t="n">
        <v>43</v>
      </c>
      <c r="B526">
        <f>U525</f>
        <v/>
      </c>
      <c r="C526">
        <f>W525</f>
        <v/>
      </c>
      <c r="D526">
        <f>O525</f>
        <v/>
      </c>
      <c r="E526">
        <f>S525</f>
        <v/>
      </c>
      <c r="F526">
        <f>Assumptions!$B$16*B526</f>
        <v/>
      </c>
      <c r="G526">
        <f>Assumptions!$B$15*C526</f>
        <v/>
      </c>
      <c r="H526">
        <f>IF($B$476*($B$479/(($B$479*(1-$B$476)-$B$480)/((Assumptions!$B$9+Assumptions!$B$11+Assumptions!$B$12+Assumptions!$B$13+Assumptions!$B$14)+G526+F526+D526+E526)))&lt;Assumptions!$B$65,($B$479-$B$480)/(((Assumptions!$B$9+Assumptions!$B$11+Assumptions!$B$12+Assumptions!$B$13+Assumptions!$B$14)+G526+F526+D526+E526)+Assumptions!$B$65),($B$479*(1-$B$476)-$B$480)/((Assumptions!$B$9+Assumptions!$B$11+Assumptions!$B$12+Assumptions!$B$13+Assumptions!$B$14)+G526+F526+D526+E526))</f>
        <v/>
      </c>
      <c r="I526">
        <f>$B$479/H526</f>
        <v/>
      </c>
      <c r="J526">
        <f>$B$480/H526</f>
        <v/>
      </c>
      <c r="K526">
        <f>I526-J526</f>
        <v/>
      </c>
      <c r="L526">
        <f>Assumptions!$B$51/K526</f>
        <v/>
      </c>
      <c r="M526">
        <f>H526*(1-Assumptions!$B$52)</f>
        <v/>
      </c>
      <c r="N526">
        <f>MIN(L526,M526)</f>
        <v/>
      </c>
      <c r="O526">
        <f>Assumptions!$B$50/N526</f>
        <v/>
      </c>
      <c r="P526">
        <f>Assumptions!$B$54/K526</f>
        <v/>
      </c>
      <c r="Q526">
        <f>H526*(1-Assumptions!$B$55)</f>
        <v/>
      </c>
      <c r="R526">
        <f>MIN(P526,Q526)</f>
        <v/>
      </c>
      <c r="S526">
        <f>Assumptions!$B$53/R526</f>
        <v/>
      </c>
      <c r="T526">
        <f>Assumptions!$B$27*(Assumptions!$B$64+$B$480/Assumptions!$B$27)/(Assumptions!$B$64+J526)</f>
        <v/>
      </c>
      <c r="U526">
        <f>IF(H526&lt;Assumptions!$B$27,Assumptions!$B$27/T526,1)</f>
        <v/>
      </c>
      <c r="V526">
        <f>Assumptions!$B$26*(Assumptions!$B$64+$B$480/Assumptions!$B$26)/(Assumptions!$B$64+J526)</f>
        <v/>
      </c>
      <c r="W526">
        <f>IF(H526&lt;Assumptions!$B$26,Assumptions!$B$26/V526,1)</f>
        <v/>
      </c>
    </row>
    <row r="527">
      <c r="A527" t="n">
        <v>44</v>
      </c>
      <c r="B527">
        <f>U526</f>
        <v/>
      </c>
      <c r="C527">
        <f>W526</f>
        <v/>
      </c>
      <c r="D527">
        <f>O526</f>
        <v/>
      </c>
      <c r="E527">
        <f>S526</f>
        <v/>
      </c>
      <c r="F527">
        <f>Assumptions!$B$16*B527</f>
        <v/>
      </c>
      <c r="G527">
        <f>Assumptions!$B$15*C527</f>
        <v/>
      </c>
      <c r="H527">
        <f>IF($B$476*($B$479/(($B$479*(1-$B$476)-$B$480)/((Assumptions!$B$9+Assumptions!$B$11+Assumptions!$B$12+Assumptions!$B$13+Assumptions!$B$14)+G527+F527+D527+E527)))&lt;Assumptions!$B$65,($B$479-$B$480)/(((Assumptions!$B$9+Assumptions!$B$11+Assumptions!$B$12+Assumptions!$B$13+Assumptions!$B$14)+G527+F527+D527+E527)+Assumptions!$B$65),($B$479*(1-$B$476)-$B$480)/((Assumptions!$B$9+Assumptions!$B$11+Assumptions!$B$12+Assumptions!$B$13+Assumptions!$B$14)+G527+F527+D527+E527))</f>
        <v/>
      </c>
      <c r="I527">
        <f>$B$479/H527</f>
        <v/>
      </c>
      <c r="J527">
        <f>$B$480/H527</f>
        <v/>
      </c>
      <c r="K527">
        <f>I527-J527</f>
        <v/>
      </c>
      <c r="L527">
        <f>Assumptions!$B$51/K527</f>
        <v/>
      </c>
      <c r="M527">
        <f>H527*(1-Assumptions!$B$52)</f>
        <v/>
      </c>
      <c r="N527">
        <f>MIN(L527,M527)</f>
        <v/>
      </c>
      <c r="O527">
        <f>Assumptions!$B$50/N527</f>
        <v/>
      </c>
      <c r="P527">
        <f>Assumptions!$B$54/K527</f>
        <v/>
      </c>
      <c r="Q527">
        <f>H527*(1-Assumptions!$B$55)</f>
        <v/>
      </c>
      <c r="R527">
        <f>MIN(P527,Q527)</f>
        <v/>
      </c>
      <c r="S527">
        <f>Assumptions!$B$53/R527</f>
        <v/>
      </c>
      <c r="T527">
        <f>Assumptions!$B$27*(Assumptions!$B$64+$B$480/Assumptions!$B$27)/(Assumptions!$B$64+J527)</f>
        <v/>
      </c>
      <c r="U527">
        <f>IF(H527&lt;Assumptions!$B$27,Assumptions!$B$27/T527,1)</f>
        <v/>
      </c>
      <c r="V527">
        <f>Assumptions!$B$26*(Assumptions!$B$64+$B$480/Assumptions!$B$26)/(Assumptions!$B$64+J527)</f>
        <v/>
      </c>
      <c r="W527">
        <f>IF(H527&lt;Assumptions!$B$26,Assumptions!$B$26/V527,1)</f>
        <v/>
      </c>
    </row>
    <row r="528">
      <c r="A528" t="n">
        <v>45</v>
      </c>
      <c r="B528">
        <f>U527</f>
        <v/>
      </c>
      <c r="C528">
        <f>W527</f>
        <v/>
      </c>
      <c r="D528">
        <f>O527</f>
        <v/>
      </c>
      <c r="E528">
        <f>S527</f>
        <v/>
      </c>
      <c r="F528">
        <f>Assumptions!$B$16*B528</f>
        <v/>
      </c>
      <c r="G528">
        <f>Assumptions!$B$15*C528</f>
        <v/>
      </c>
      <c r="H528">
        <f>IF($B$476*($B$479/(($B$479*(1-$B$476)-$B$480)/((Assumptions!$B$9+Assumptions!$B$11+Assumptions!$B$12+Assumptions!$B$13+Assumptions!$B$14)+G528+F528+D528+E528)))&lt;Assumptions!$B$65,($B$479-$B$480)/(((Assumptions!$B$9+Assumptions!$B$11+Assumptions!$B$12+Assumptions!$B$13+Assumptions!$B$14)+G528+F528+D528+E528)+Assumptions!$B$65),($B$479*(1-$B$476)-$B$480)/((Assumptions!$B$9+Assumptions!$B$11+Assumptions!$B$12+Assumptions!$B$13+Assumptions!$B$14)+G528+F528+D528+E528))</f>
        <v/>
      </c>
      <c r="I528">
        <f>$B$479/H528</f>
        <v/>
      </c>
      <c r="J528">
        <f>$B$480/H528</f>
        <v/>
      </c>
      <c r="K528">
        <f>I528-J528</f>
        <v/>
      </c>
      <c r="L528">
        <f>Assumptions!$B$51/K528</f>
        <v/>
      </c>
      <c r="M528">
        <f>H528*(1-Assumptions!$B$52)</f>
        <v/>
      </c>
      <c r="N528">
        <f>MIN(L528,M528)</f>
        <v/>
      </c>
      <c r="O528">
        <f>Assumptions!$B$50/N528</f>
        <v/>
      </c>
      <c r="P528">
        <f>Assumptions!$B$54/K528</f>
        <v/>
      </c>
      <c r="Q528">
        <f>H528*(1-Assumptions!$B$55)</f>
        <v/>
      </c>
      <c r="R528">
        <f>MIN(P528,Q528)</f>
        <v/>
      </c>
      <c r="S528">
        <f>Assumptions!$B$53/R528</f>
        <v/>
      </c>
      <c r="T528">
        <f>Assumptions!$B$27*(Assumptions!$B$64+$B$480/Assumptions!$B$27)/(Assumptions!$B$64+J528)</f>
        <v/>
      </c>
      <c r="U528">
        <f>IF(H528&lt;Assumptions!$B$27,Assumptions!$B$27/T528,1)</f>
        <v/>
      </c>
      <c r="V528">
        <f>Assumptions!$B$26*(Assumptions!$B$64+$B$480/Assumptions!$B$26)/(Assumptions!$B$64+J528)</f>
        <v/>
      </c>
      <c r="W528">
        <f>IF(H528&lt;Assumptions!$B$26,Assumptions!$B$26/V528,1)</f>
        <v/>
      </c>
    </row>
    <row r="529">
      <c r="A529" t="n">
        <v>46</v>
      </c>
      <c r="B529">
        <f>U528</f>
        <v/>
      </c>
      <c r="C529">
        <f>W528</f>
        <v/>
      </c>
      <c r="D529">
        <f>O528</f>
        <v/>
      </c>
      <c r="E529">
        <f>S528</f>
        <v/>
      </c>
      <c r="F529">
        <f>Assumptions!$B$16*B529</f>
        <v/>
      </c>
      <c r="G529">
        <f>Assumptions!$B$15*C529</f>
        <v/>
      </c>
      <c r="H529">
        <f>IF($B$476*($B$479/(($B$479*(1-$B$476)-$B$480)/((Assumptions!$B$9+Assumptions!$B$11+Assumptions!$B$12+Assumptions!$B$13+Assumptions!$B$14)+G529+F529+D529+E529)))&lt;Assumptions!$B$65,($B$479-$B$480)/(((Assumptions!$B$9+Assumptions!$B$11+Assumptions!$B$12+Assumptions!$B$13+Assumptions!$B$14)+G529+F529+D529+E529)+Assumptions!$B$65),($B$479*(1-$B$476)-$B$480)/((Assumptions!$B$9+Assumptions!$B$11+Assumptions!$B$12+Assumptions!$B$13+Assumptions!$B$14)+G529+F529+D529+E529))</f>
        <v/>
      </c>
      <c r="I529">
        <f>$B$479/H529</f>
        <v/>
      </c>
      <c r="J529">
        <f>$B$480/H529</f>
        <v/>
      </c>
      <c r="K529">
        <f>I529-J529</f>
        <v/>
      </c>
      <c r="L529">
        <f>Assumptions!$B$51/K529</f>
        <v/>
      </c>
      <c r="M529">
        <f>H529*(1-Assumptions!$B$52)</f>
        <v/>
      </c>
      <c r="N529">
        <f>MIN(L529,M529)</f>
        <v/>
      </c>
      <c r="O529">
        <f>Assumptions!$B$50/N529</f>
        <v/>
      </c>
      <c r="P529">
        <f>Assumptions!$B$54/K529</f>
        <v/>
      </c>
      <c r="Q529">
        <f>H529*(1-Assumptions!$B$55)</f>
        <v/>
      </c>
      <c r="R529">
        <f>MIN(P529,Q529)</f>
        <v/>
      </c>
      <c r="S529">
        <f>Assumptions!$B$53/R529</f>
        <v/>
      </c>
      <c r="T529">
        <f>Assumptions!$B$27*(Assumptions!$B$64+$B$480/Assumptions!$B$27)/(Assumptions!$B$64+J529)</f>
        <v/>
      </c>
      <c r="U529">
        <f>IF(H529&lt;Assumptions!$B$27,Assumptions!$B$27/T529,1)</f>
        <v/>
      </c>
      <c r="V529">
        <f>Assumptions!$B$26*(Assumptions!$B$64+$B$480/Assumptions!$B$26)/(Assumptions!$B$64+J529)</f>
        <v/>
      </c>
      <c r="W529">
        <f>IF(H529&lt;Assumptions!$B$26,Assumptions!$B$26/V529,1)</f>
        <v/>
      </c>
    </row>
    <row r="530">
      <c r="A530" t="n">
        <v>47</v>
      </c>
      <c r="B530">
        <f>U529</f>
        <v/>
      </c>
      <c r="C530">
        <f>W529</f>
        <v/>
      </c>
      <c r="D530">
        <f>O529</f>
        <v/>
      </c>
      <c r="E530">
        <f>S529</f>
        <v/>
      </c>
      <c r="F530">
        <f>Assumptions!$B$16*B530</f>
        <v/>
      </c>
      <c r="G530">
        <f>Assumptions!$B$15*C530</f>
        <v/>
      </c>
      <c r="H530">
        <f>IF($B$476*($B$479/(($B$479*(1-$B$476)-$B$480)/((Assumptions!$B$9+Assumptions!$B$11+Assumptions!$B$12+Assumptions!$B$13+Assumptions!$B$14)+G530+F530+D530+E530)))&lt;Assumptions!$B$65,($B$479-$B$480)/(((Assumptions!$B$9+Assumptions!$B$11+Assumptions!$B$12+Assumptions!$B$13+Assumptions!$B$14)+G530+F530+D530+E530)+Assumptions!$B$65),($B$479*(1-$B$476)-$B$480)/((Assumptions!$B$9+Assumptions!$B$11+Assumptions!$B$12+Assumptions!$B$13+Assumptions!$B$14)+G530+F530+D530+E530))</f>
        <v/>
      </c>
      <c r="I530">
        <f>$B$479/H530</f>
        <v/>
      </c>
      <c r="J530">
        <f>$B$480/H530</f>
        <v/>
      </c>
      <c r="K530">
        <f>I530-J530</f>
        <v/>
      </c>
      <c r="L530">
        <f>Assumptions!$B$51/K530</f>
        <v/>
      </c>
      <c r="M530">
        <f>H530*(1-Assumptions!$B$52)</f>
        <v/>
      </c>
      <c r="N530">
        <f>MIN(L530,M530)</f>
        <v/>
      </c>
      <c r="O530">
        <f>Assumptions!$B$50/N530</f>
        <v/>
      </c>
      <c r="P530">
        <f>Assumptions!$B$54/K530</f>
        <v/>
      </c>
      <c r="Q530">
        <f>H530*(1-Assumptions!$B$55)</f>
        <v/>
      </c>
      <c r="R530">
        <f>MIN(P530,Q530)</f>
        <v/>
      </c>
      <c r="S530">
        <f>Assumptions!$B$53/R530</f>
        <v/>
      </c>
      <c r="T530">
        <f>Assumptions!$B$27*(Assumptions!$B$64+$B$480/Assumptions!$B$27)/(Assumptions!$B$64+J530)</f>
        <v/>
      </c>
      <c r="U530">
        <f>IF(H530&lt;Assumptions!$B$27,Assumptions!$B$27/T530,1)</f>
        <v/>
      </c>
      <c r="V530">
        <f>Assumptions!$B$26*(Assumptions!$B$64+$B$480/Assumptions!$B$26)/(Assumptions!$B$64+J530)</f>
        <v/>
      </c>
      <c r="W530">
        <f>IF(H530&lt;Assumptions!$B$26,Assumptions!$B$26/V530,1)</f>
        <v/>
      </c>
    </row>
    <row r="531">
      <c r="A531" t="n">
        <v>48</v>
      </c>
      <c r="B531">
        <f>U530</f>
        <v/>
      </c>
      <c r="C531">
        <f>W530</f>
        <v/>
      </c>
      <c r="D531">
        <f>O530</f>
        <v/>
      </c>
      <c r="E531">
        <f>S530</f>
        <v/>
      </c>
      <c r="F531">
        <f>Assumptions!$B$16*B531</f>
        <v/>
      </c>
      <c r="G531">
        <f>Assumptions!$B$15*C531</f>
        <v/>
      </c>
      <c r="H531">
        <f>IF($B$476*($B$479/(($B$479*(1-$B$476)-$B$480)/((Assumptions!$B$9+Assumptions!$B$11+Assumptions!$B$12+Assumptions!$B$13+Assumptions!$B$14)+G531+F531+D531+E531)))&lt;Assumptions!$B$65,($B$479-$B$480)/(((Assumptions!$B$9+Assumptions!$B$11+Assumptions!$B$12+Assumptions!$B$13+Assumptions!$B$14)+G531+F531+D531+E531)+Assumptions!$B$65),($B$479*(1-$B$476)-$B$480)/((Assumptions!$B$9+Assumptions!$B$11+Assumptions!$B$12+Assumptions!$B$13+Assumptions!$B$14)+G531+F531+D531+E531))</f>
        <v/>
      </c>
      <c r="I531">
        <f>$B$479/H531</f>
        <v/>
      </c>
      <c r="J531">
        <f>$B$480/H531</f>
        <v/>
      </c>
      <c r="K531">
        <f>I531-J531</f>
        <v/>
      </c>
      <c r="L531">
        <f>Assumptions!$B$51/K531</f>
        <v/>
      </c>
      <c r="M531">
        <f>H531*(1-Assumptions!$B$52)</f>
        <v/>
      </c>
      <c r="N531">
        <f>MIN(L531,M531)</f>
        <v/>
      </c>
      <c r="O531">
        <f>Assumptions!$B$50/N531</f>
        <v/>
      </c>
      <c r="P531">
        <f>Assumptions!$B$54/K531</f>
        <v/>
      </c>
      <c r="Q531">
        <f>H531*(1-Assumptions!$B$55)</f>
        <v/>
      </c>
      <c r="R531">
        <f>MIN(P531,Q531)</f>
        <v/>
      </c>
      <c r="S531">
        <f>Assumptions!$B$53/R531</f>
        <v/>
      </c>
      <c r="T531">
        <f>Assumptions!$B$27*(Assumptions!$B$64+$B$480/Assumptions!$B$27)/(Assumptions!$B$64+J531)</f>
        <v/>
      </c>
      <c r="U531">
        <f>IF(H531&lt;Assumptions!$B$27,Assumptions!$B$27/T531,1)</f>
        <v/>
      </c>
      <c r="V531">
        <f>Assumptions!$B$26*(Assumptions!$B$64+$B$480/Assumptions!$B$26)/(Assumptions!$B$64+J531)</f>
        <v/>
      </c>
      <c r="W531">
        <f>IF(H531&lt;Assumptions!$B$26,Assumptions!$B$26/V531,1)</f>
        <v/>
      </c>
    </row>
    <row r="532">
      <c r="A532" t="n">
        <v>49</v>
      </c>
      <c r="B532">
        <f>U531</f>
        <v/>
      </c>
      <c r="C532">
        <f>W531</f>
        <v/>
      </c>
      <c r="D532">
        <f>O531</f>
        <v/>
      </c>
      <c r="E532">
        <f>S531</f>
        <v/>
      </c>
      <c r="F532">
        <f>Assumptions!$B$16*B532</f>
        <v/>
      </c>
      <c r="G532">
        <f>Assumptions!$B$15*C532</f>
        <v/>
      </c>
      <c r="H532">
        <f>IF($B$476*($B$479/(($B$479*(1-$B$476)-$B$480)/((Assumptions!$B$9+Assumptions!$B$11+Assumptions!$B$12+Assumptions!$B$13+Assumptions!$B$14)+G532+F532+D532+E532)))&lt;Assumptions!$B$65,($B$479-$B$480)/(((Assumptions!$B$9+Assumptions!$B$11+Assumptions!$B$12+Assumptions!$B$13+Assumptions!$B$14)+G532+F532+D532+E532)+Assumptions!$B$65),($B$479*(1-$B$476)-$B$480)/((Assumptions!$B$9+Assumptions!$B$11+Assumptions!$B$12+Assumptions!$B$13+Assumptions!$B$14)+G532+F532+D532+E532))</f>
        <v/>
      </c>
      <c r="I532">
        <f>$B$479/H532</f>
        <v/>
      </c>
      <c r="J532">
        <f>$B$480/H532</f>
        <v/>
      </c>
      <c r="K532">
        <f>I532-J532</f>
        <v/>
      </c>
      <c r="L532">
        <f>Assumptions!$B$51/K532</f>
        <v/>
      </c>
      <c r="M532">
        <f>H532*(1-Assumptions!$B$52)</f>
        <v/>
      </c>
      <c r="N532">
        <f>MIN(L532,M532)</f>
        <v/>
      </c>
      <c r="O532">
        <f>Assumptions!$B$50/N532</f>
        <v/>
      </c>
      <c r="P532">
        <f>Assumptions!$B$54/K532</f>
        <v/>
      </c>
      <c r="Q532">
        <f>H532*(1-Assumptions!$B$55)</f>
        <v/>
      </c>
      <c r="R532">
        <f>MIN(P532,Q532)</f>
        <v/>
      </c>
      <c r="S532">
        <f>Assumptions!$B$53/R532</f>
        <v/>
      </c>
      <c r="T532">
        <f>Assumptions!$B$27*(Assumptions!$B$64+$B$480/Assumptions!$B$27)/(Assumptions!$B$64+J532)</f>
        <v/>
      </c>
      <c r="U532">
        <f>IF(H532&lt;Assumptions!$B$27,Assumptions!$B$27/T532,1)</f>
        <v/>
      </c>
      <c r="V532">
        <f>Assumptions!$B$26*(Assumptions!$B$64+$B$480/Assumptions!$B$26)/(Assumptions!$B$64+J532)</f>
        <v/>
      </c>
      <c r="W532">
        <f>IF(H532&lt;Assumptions!$B$26,Assumptions!$B$26/V532,1)</f>
        <v/>
      </c>
    </row>
    <row r="550">
      <c r="A550" t="inlineStr">
        <is>
          <t>Cell esop_15_pre_1200M</t>
        </is>
      </c>
    </row>
    <row r="551">
      <c r="A551" t="inlineStr">
        <is>
          <t>esop</t>
        </is>
      </c>
      <c r="B551" t="n">
        <v>0.15</v>
      </c>
    </row>
    <row r="552">
      <c r="A552" t="inlineStr">
        <is>
          <t>pre_M ($M)</t>
        </is>
      </c>
      <c r="B552" t="n">
        <v>1200</v>
      </c>
    </row>
    <row r="553">
      <c r="A553" t="inlineStr">
        <is>
          <t>pre_money $</t>
        </is>
      </c>
      <c r="B553">
        <f>B552*1000000</f>
        <v/>
      </c>
    </row>
    <row r="554">
      <c r="A554" t="inlineStr">
        <is>
          <t>post_money $</t>
        </is>
      </c>
      <c r="B554">
        <f>B553+Assumptions!$B$41</f>
        <v/>
      </c>
    </row>
    <row r="555">
      <c r="A555" t="inlineStr">
        <is>
          <t>primary raise $</t>
        </is>
      </c>
      <c r="B555">
        <f>Assumptions!$B$41</f>
        <v/>
      </c>
    </row>
    <row r="557">
      <c r="A557" t="inlineStr">
        <is>
          <t>iter</t>
        </is>
      </c>
      <c r="B557" t="inlineStr">
        <is>
          <t>r_E_p</t>
        </is>
      </c>
      <c r="C557" t="inlineStr">
        <is>
          <t>r_D_p</t>
        </is>
      </c>
      <c r="D557" t="inlineStr">
        <is>
          <t>N_A_p</t>
        </is>
      </c>
      <c r="E557" t="inlineStr">
        <is>
          <t>N_B_p</t>
        </is>
      </c>
      <c r="F557" t="inlineStr">
        <is>
          <t>E_adj</t>
        </is>
      </c>
      <c r="G557" t="inlineStr">
        <is>
          <t>D_adj</t>
        </is>
      </c>
      <c r="H557" t="inlineStr">
        <is>
          <t>F_PPS</t>
        </is>
      </c>
      <c r="I557" t="inlineStr">
        <is>
          <t>T_F</t>
        </is>
      </c>
      <c r="J557" t="inlineStr">
        <is>
          <t>new_F</t>
        </is>
      </c>
      <c r="K557" t="inlineStr">
        <is>
          <t>pre_FD</t>
        </is>
      </c>
      <c r="L557" t="inlineStr">
        <is>
          <t>capA</t>
        </is>
      </c>
      <c r="M557" t="inlineStr">
        <is>
          <t>discA</t>
        </is>
      </c>
      <c r="N557" t="inlineStr">
        <is>
          <t>cpA</t>
        </is>
      </c>
      <c r="O557" t="inlineStr">
        <is>
          <t>NA</t>
        </is>
      </c>
      <c r="P557" t="inlineStr">
        <is>
          <t>capB</t>
        </is>
      </c>
      <c r="Q557" t="inlineStr">
        <is>
          <t>discB</t>
        </is>
      </c>
      <c r="R557" t="inlineStr">
        <is>
          <t>cpB</t>
        </is>
      </c>
      <c r="S557" t="inlineStr">
        <is>
          <t>NB</t>
        </is>
      </c>
      <c r="T557" t="inlineStr">
        <is>
          <t>NCP_E</t>
        </is>
      </c>
      <c r="U557" t="inlineStr">
        <is>
          <t>r_E_n</t>
        </is>
      </c>
      <c r="V557" t="inlineStr">
        <is>
          <t>NCP_D</t>
        </is>
      </c>
      <c r="W557" t="inlineStr">
        <is>
          <t>r_D_n</t>
        </is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>
        <f>Assumptions!$B$16*B558</f>
        <v/>
      </c>
      <c r="G558">
        <f>Assumptions!$B$15*C558</f>
        <v/>
      </c>
      <c r="H558">
        <f>IF($B$551*($B$554/(($B$554*(1-$B$551)-$B$555)/((Assumptions!$B$9+Assumptions!$B$11+Assumptions!$B$12+Assumptions!$B$13+Assumptions!$B$14)+G558+F558+D558+E558)))&lt;Assumptions!$B$65,($B$554-$B$555)/(((Assumptions!$B$9+Assumptions!$B$11+Assumptions!$B$12+Assumptions!$B$13+Assumptions!$B$14)+G558+F558+D558+E558)+Assumptions!$B$65),($B$554*(1-$B$551)-$B$555)/((Assumptions!$B$9+Assumptions!$B$11+Assumptions!$B$12+Assumptions!$B$13+Assumptions!$B$14)+G558+F558+D558+E558))</f>
        <v/>
      </c>
      <c r="I558">
        <f>$B$554/H558</f>
        <v/>
      </c>
      <c r="J558">
        <f>$B$555/H558</f>
        <v/>
      </c>
      <c r="K558">
        <f>I558-J558</f>
        <v/>
      </c>
      <c r="L558">
        <f>Assumptions!$B$51/K558</f>
        <v/>
      </c>
      <c r="M558">
        <f>H558*(1-Assumptions!$B$52)</f>
        <v/>
      </c>
      <c r="N558">
        <f>MIN(L558,M558)</f>
        <v/>
      </c>
      <c r="O558">
        <f>Assumptions!$B$50/N558</f>
        <v/>
      </c>
      <c r="P558">
        <f>Assumptions!$B$54/K558</f>
        <v/>
      </c>
      <c r="Q558">
        <f>H558*(1-Assumptions!$B$55)</f>
        <v/>
      </c>
      <c r="R558">
        <f>MIN(P558,Q558)</f>
        <v/>
      </c>
      <c r="S558">
        <f>Assumptions!$B$53/R558</f>
        <v/>
      </c>
      <c r="T558">
        <f>Assumptions!$B$27*(Assumptions!$B$64+$B$555/Assumptions!$B$27)/(Assumptions!$B$64+J558)</f>
        <v/>
      </c>
      <c r="U558">
        <f>IF(H558&lt;Assumptions!$B$27,Assumptions!$B$27/T558,1)</f>
        <v/>
      </c>
      <c r="V558">
        <f>Assumptions!$B$26*(Assumptions!$B$64+$B$555/Assumptions!$B$26)/(Assumptions!$B$64+J558)</f>
        <v/>
      </c>
      <c r="W558">
        <f>IF(H558&lt;Assumptions!$B$26,Assumptions!$B$26/V558,1)</f>
        <v/>
      </c>
    </row>
    <row r="559">
      <c r="A559" t="n">
        <v>1</v>
      </c>
      <c r="B559">
        <f>U558</f>
        <v/>
      </c>
      <c r="C559">
        <f>W558</f>
        <v/>
      </c>
      <c r="D559">
        <f>O558</f>
        <v/>
      </c>
      <c r="E559">
        <f>S558</f>
        <v/>
      </c>
      <c r="F559">
        <f>Assumptions!$B$16*B559</f>
        <v/>
      </c>
      <c r="G559">
        <f>Assumptions!$B$15*C559</f>
        <v/>
      </c>
      <c r="H559">
        <f>IF($B$551*($B$554/(($B$554*(1-$B$551)-$B$555)/((Assumptions!$B$9+Assumptions!$B$11+Assumptions!$B$12+Assumptions!$B$13+Assumptions!$B$14)+G559+F559+D559+E559)))&lt;Assumptions!$B$65,($B$554-$B$555)/(((Assumptions!$B$9+Assumptions!$B$11+Assumptions!$B$12+Assumptions!$B$13+Assumptions!$B$14)+G559+F559+D559+E559)+Assumptions!$B$65),($B$554*(1-$B$551)-$B$555)/((Assumptions!$B$9+Assumptions!$B$11+Assumptions!$B$12+Assumptions!$B$13+Assumptions!$B$14)+G559+F559+D559+E559))</f>
        <v/>
      </c>
      <c r="I559">
        <f>$B$554/H559</f>
        <v/>
      </c>
      <c r="J559">
        <f>$B$555/H559</f>
        <v/>
      </c>
      <c r="K559">
        <f>I559-J559</f>
        <v/>
      </c>
      <c r="L559">
        <f>Assumptions!$B$51/K559</f>
        <v/>
      </c>
      <c r="M559">
        <f>H559*(1-Assumptions!$B$52)</f>
        <v/>
      </c>
      <c r="N559">
        <f>MIN(L559,M559)</f>
        <v/>
      </c>
      <c r="O559">
        <f>Assumptions!$B$50/N559</f>
        <v/>
      </c>
      <c r="P559">
        <f>Assumptions!$B$54/K559</f>
        <v/>
      </c>
      <c r="Q559">
        <f>H559*(1-Assumptions!$B$55)</f>
        <v/>
      </c>
      <c r="R559">
        <f>MIN(P559,Q559)</f>
        <v/>
      </c>
      <c r="S559">
        <f>Assumptions!$B$53/R559</f>
        <v/>
      </c>
      <c r="T559">
        <f>Assumptions!$B$27*(Assumptions!$B$64+$B$555/Assumptions!$B$27)/(Assumptions!$B$64+J559)</f>
        <v/>
      </c>
      <c r="U559">
        <f>IF(H559&lt;Assumptions!$B$27,Assumptions!$B$27/T559,1)</f>
        <v/>
      </c>
      <c r="V559">
        <f>Assumptions!$B$26*(Assumptions!$B$64+$B$555/Assumptions!$B$26)/(Assumptions!$B$64+J559)</f>
        <v/>
      </c>
      <c r="W559">
        <f>IF(H559&lt;Assumptions!$B$26,Assumptions!$B$26/V559,1)</f>
        <v/>
      </c>
    </row>
    <row r="560">
      <c r="A560" t="n">
        <v>2</v>
      </c>
      <c r="B560">
        <f>U559</f>
        <v/>
      </c>
      <c r="C560">
        <f>W559</f>
        <v/>
      </c>
      <c r="D560">
        <f>O559</f>
        <v/>
      </c>
      <c r="E560">
        <f>S559</f>
        <v/>
      </c>
      <c r="F560">
        <f>Assumptions!$B$16*B560</f>
        <v/>
      </c>
      <c r="G560">
        <f>Assumptions!$B$15*C560</f>
        <v/>
      </c>
      <c r="H560">
        <f>IF($B$551*($B$554/(($B$554*(1-$B$551)-$B$555)/((Assumptions!$B$9+Assumptions!$B$11+Assumptions!$B$12+Assumptions!$B$13+Assumptions!$B$14)+G560+F560+D560+E560)))&lt;Assumptions!$B$65,($B$554-$B$555)/(((Assumptions!$B$9+Assumptions!$B$11+Assumptions!$B$12+Assumptions!$B$13+Assumptions!$B$14)+G560+F560+D560+E560)+Assumptions!$B$65),($B$554*(1-$B$551)-$B$555)/((Assumptions!$B$9+Assumptions!$B$11+Assumptions!$B$12+Assumptions!$B$13+Assumptions!$B$14)+G560+F560+D560+E560))</f>
        <v/>
      </c>
      <c r="I560">
        <f>$B$554/H560</f>
        <v/>
      </c>
      <c r="J560">
        <f>$B$555/H560</f>
        <v/>
      </c>
      <c r="K560">
        <f>I560-J560</f>
        <v/>
      </c>
      <c r="L560">
        <f>Assumptions!$B$51/K560</f>
        <v/>
      </c>
      <c r="M560">
        <f>H560*(1-Assumptions!$B$52)</f>
        <v/>
      </c>
      <c r="N560">
        <f>MIN(L560,M560)</f>
        <v/>
      </c>
      <c r="O560">
        <f>Assumptions!$B$50/N560</f>
        <v/>
      </c>
      <c r="P560">
        <f>Assumptions!$B$54/K560</f>
        <v/>
      </c>
      <c r="Q560">
        <f>H560*(1-Assumptions!$B$55)</f>
        <v/>
      </c>
      <c r="R560">
        <f>MIN(P560,Q560)</f>
        <v/>
      </c>
      <c r="S560">
        <f>Assumptions!$B$53/R560</f>
        <v/>
      </c>
      <c r="T560">
        <f>Assumptions!$B$27*(Assumptions!$B$64+$B$555/Assumptions!$B$27)/(Assumptions!$B$64+J560)</f>
        <v/>
      </c>
      <c r="U560">
        <f>IF(H560&lt;Assumptions!$B$27,Assumptions!$B$27/T560,1)</f>
        <v/>
      </c>
      <c r="V560">
        <f>Assumptions!$B$26*(Assumptions!$B$64+$B$555/Assumptions!$B$26)/(Assumptions!$B$64+J560)</f>
        <v/>
      </c>
      <c r="W560">
        <f>IF(H560&lt;Assumptions!$B$26,Assumptions!$B$26/V560,1)</f>
        <v/>
      </c>
    </row>
    <row r="561">
      <c r="A561" t="n">
        <v>3</v>
      </c>
      <c r="B561">
        <f>U560</f>
        <v/>
      </c>
      <c r="C561">
        <f>W560</f>
        <v/>
      </c>
      <c r="D561">
        <f>O560</f>
        <v/>
      </c>
      <c r="E561">
        <f>S560</f>
        <v/>
      </c>
      <c r="F561">
        <f>Assumptions!$B$16*B561</f>
        <v/>
      </c>
      <c r="G561">
        <f>Assumptions!$B$15*C561</f>
        <v/>
      </c>
      <c r="H561">
        <f>IF($B$551*($B$554/(($B$554*(1-$B$551)-$B$555)/((Assumptions!$B$9+Assumptions!$B$11+Assumptions!$B$12+Assumptions!$B$13+Assumptions!$B$14)+G561+F561+D561+E561)))&lt;Assumptions!$B$65,($B$554-$B$555)/(((Assumptions!$B$9+Assumptions!$B$11+Assumptions!$B$12+Assumptions!$B$13+Assumptions!$B$14)+G561+F561+D561+E561)+Assumptions!$B$65),($B$554*(1-$B$551)-$B$555)/((Assumptions!$B$9+Assumptions!$B$11+Assumptions!$B$12+Assumptions!$B$13+Assumptions!$B$14)+G561+F561+D561+E561))</f>
        <v/>
      </c>
      <c r="I561">
        <f>$B$554/H561</f>
        <v/>
      </c>
      <c r="J561">
        <f>$B$555/H561</f>
        <v/>
      </c>
      <c r="K561">
        <f>I561-J561</f>
        <v/>
      </c>
      <c r="L561">
        <f>Assumptions!$B$51/K561</f>
        <v/>
      </c>
      <c r="M561">
        <f>H561*(1-Assumptions!$B$52)</f>
        <v/>
      </c>
      <c r="N561">
        <f>MIN(L561,M561)</f>
        <v/>
      </c>
      <c r="O561">
        <f>Assumptions!$B$50/N561</f>
        <v/>
      </c>
      <c r="P561">
        <f>Assumptions!$B$54/K561</f>
        <v/>
      </c>
      <c r="Q561">
        <f>H561*(1-Assumptions!$B$55)</f>
        <v/>
      </c>
      <c r="R561">
        <f>MIN(P561,Q561)</f>
        <v/>
      </c>
      <c r="S561">
        <f>Assumptions!$B$53/R561</f>
        <v/>
      </c>
      <c r="T561">
        <f>Assumptions!$B$27*(Assumptions!$B$64+$B$555/Assumptions!$B$27)/(Assumptions!$B$64+J561)</f>
        <v/>
      </c>
      <c r="U561">
        <f>IF(H561&lt;Assumptions!$B$27,Assumptions!$B$27/T561,1)</f>
        <v/>
      </c>
      <c r="V561">
        <f>Assumptions!$B$26*(Assumptions!$B$64+$B$555/Assumptions!$B$26)/(Assumptions!$B$64+J561)</f>
        <v/>
      </c>
      <c r="W561">
        <f>IF(H561&lt;Assumptions!$B$26,Assumptions!$B$26/V561,1)</f>
        <v/>
      </c>
    </row>
    <row r="562">
      <c r="A562" t="n">
        <v>4</v>
      </c>
      <c r="B562">
        <f>U561</f>
        <v/>
      </c>
      <c r="C562">
        <f>W561</f>
        <v/>
      </c>
      <c r="D562">
        <f>O561</f>
        <v/>
      </c>
      <c r="E562">
        <f>S561</f>
        <v/>
      </c>
      <c r="F562">
        <f>Assumptions!$B$16*B562</f>
        <v/>
      </c>
      <c r="G562">
        <f>Assumptions!$B$15*C562</f>
        <v/>
      </c>
      <c r="H562">
        <f>IF($B$551*($B$554/(($B$554*(1-$B$551)-$B$555)/((Assumptions!$B$9+Assumptions!$B$11+Assumptions!$B$12+Assumptions!$B$13+Assumptions!$B$14)+G562+F562+D562+E562)))&lt;Assumptions!$B$65,($B$554-$B$555)/(((Assumptions!$B$9+Assumptions!$B$11+Assumptions!$B$12+Assumptions!$B$13+Assumptions!$B$14)+G562+F562+D562+E562)+Assumptions!$B$65),($B$554*(1-$B$551)-$B$555)/((Assumptions!$B$9+Assumptions!$B$11+Assumptions!$B$12+Assumptions!$B$13+Assumptions!$B$14)+G562+F562+D562+E562))</f>
        <v/>
      </c>
      <c r="I562">
        <f>$B$554/H562</f>
        <v/>
      </c>
      <c r="J562">
        <f>$B$555/H562</f>
        <v/>
      </c>
      <c r="K562">
        <f>I562-J562</f>
        <v/>
      </c>
      <c r="L562">
        <f>Assumptions!$B$51/K562</f>
        <v/>
      </c>
      <c r="M562">
        <f>H562*(1-Assumptions!$B$52)</f>
        <v/>
      </c>
      <c r="N562">
        <f>MIN(L562,M562)</f>
        <v/>
      </c>
      <c r="O562">
        <f>Assumptions!$B$50/N562</f>
        <v/>
      </c>
      <c r="P562">
        <f>Assumptions!$B$54/K562</f>
        <v/>
      </c>
      <c r="Q562">
        <f>H562*(1-Assumptions!$B$55)</f>
        <v/>
      </c>
      <c r="R562">
        <f>MIN(P562,Q562)</f>
        <v/>
      </c>
      <c r="S562">
        <f>Assumptions!$B$53/R562</f>
        <v/>
      </c>
      <c r="T562">
        <f>Assumptions!$B$27*(Assumptions!$B$64+$B$555/Assumptions!$B$27)/(Assumptions!$B$64+J562)</f>
        <v/>
      </c>
      <c r="U562">
        <f>IF(H562&lt;Assumptions!$B$27,Assumptions!$B$27/T562,1)</f>
        <v/>
      </c>
      <c r="V562">
        <f>Assumptions!$B$26*(Assumptions!$B$64+$B$555/Assumptions!$B$26)/(Assumptions!$B$64+J562)</f>
        <v/>
      </c>
      <c r="W562">
        <f>IF(H562&lt;Assumptions!$B$26,Assumptions!$B$26/V562,1)</f>
        <v/>
      </c>
    </row>
    <row r="563">
      <c r="A563" t="n">
        <v>5</v>
      </c>
      <c r="B563">
        <f>U562</f>
        <v/>
      </c>
      <c r="C563">
        <f>W562</f>
        <v/>
      </c>
      <c r="D563">
        <f>O562</f>
        <v/>
      </c>
      <c r="E563">
        <f>S562</f>
        <v/>
      </c>
      <c r="F563">
        <f>Assumptions!$B$16*B563</f>
        <v/>
      </c>
      <c r="G563">
        <f>Assumptions!$B$15*C563</f>
        <v/>
      </c>
      <c r="H563">
        <f>IF($B$551*($B$554/(($B$554*(1-$B$551)-$B$555)/((Assumptions!$B$9+Assumptions!$B$11+Assumptions!$B$12+Assumptions!$B$13+Assumptions!$B$14)+G563+F563+D563+E563)))&lt;Assumptions!$B$65,($B$554-$B$555)/(((Assumptions!$B$9+Assumptions!$B$11+Assumptions!$B$12+Assumptions!$B$13+Assumptions!$B$14)+G563+F563+D563+E563)+Assumptions!$B$65),($B$554*(1-$B$551)-$B$555)/((Assumptions!$B$9+Assumptions!$B$11+Assumptions!$B$12+Assumptions!$B$13+Assumptions!$B$14)+G563+F563+D563+E563))</f>
        <v/>
      </c>
      <c r="I563">
        <f>$B$554/H563</f>
        <v/>
      </c>
      <c r="J563">
        <f>$B$555/H563</f>
        <v/>
      </c>
      <c r="K563">
        <f>I563-J563</f>
        <v/>
      </c>
      <c r="L563">
        <f>Assumptions!$B$51/K563</f>
        <v/>
      </c>
      <c r="M563">
        <f>H563*(1-Assumptions!$B$52)</f>
        <v/>
      </c>
      <c r="N563">
        <f>MIN(L563,M563)</f>
        <v/>
      </c>
      <c r="O563">
        <f>Assumptions!$B$50/N563</f>
        <v/>
      </c>
      <c r="P563">
        <f>Assumptions!$B$54/K563</f>
        <v/>
      </c>
      <c r="Q563">
        <f>H563*(1-Assumptions!$B$55)</f>
        <v/>
      </c>
      <c r="R563">
        <f>MIN(P563,Q563)</f>
        <v/>
      </c>
      <c r="S563">
        <f>Assumptions!$B$53/R563</f>
        <v/>
      </c>
      <c r="T563">
        <f>Assumptions!$B$27*(Assumptions!$B$64+$B$555/Assumptions!$B$27)/(Assumptions!$B$64+J563)</f>
        <v/>
      </c>
      <c r="U563">
        <f>IF(H563&lt;Assumptions!$B$27,Assumptions!$B$27/T563,1)</f>
        <v/>
      </c>
      <c r="V563">
        <f>Assumptions!$B$26*(Assumptions!$B$64+$B$555/Assumptions!$B$26)/(Assumptions!$B$64+J563)</f>
        <v/>
      </c>
      <c r="W563">
        <f>IF(H563&lt;Assumptions!$B$26,Assumptions!$B$26/V563,1)</f>
        <v/>
      </c>
    </row>
    <row r="564">
      <c r="A564" t="n">
        <v>6</v>
      </c>
      <c r="B564">
        <f>U563</f>
        <v/>
      </c>
      <c r="C564">
        <f>W563</f>
        <v/>
      </c>
      <c r="D564">
        <f>O563</f>
        <v/>
      </c>
      <c r="E564">
        <f>S563</f>
        <v/>
      </c>
      <c r="F564">
        <f>Assumptions!$B$16*B564</f>
        <v/>
      </c>
      <c r="G564">
        <f>Assumptions!$B$15*C564</f>
        <v/>
      </c>
      <c r="H564">
        <f>IF($B$551*($B$554/(($B$554*(1-$B$551)-$B$555)/((Assumptions!$B$9+Assumptions!$B$11+Assumptions!$B$12+Assumptions!$B$13+Assumptions!$B$14)+G564+F564+D564+E564)))&lt;Assumptions!$B$65,($B$554-$B$555)/(((Assumptions!$B$9+Assumptions!$B$11+Assumptions!$B$12+Assumptions!$B$13+Assumptions!$B$14)+G564+F564+D564+E564)+Assumptions!$B$65),($B$554*(1-$B$551)-$B$555)/((Assumptions!$B$9+Assumptions!$B$11+Assumptions!$B$12+Assumptions!$B$13+Assumptions!$B$14)+G564+F564+D564+E564))</f>
        <v/>
      </c>
      <c r="I564">
        <f>$B$554/H564</f>
        <v/>
      </c>
      <c r="J564">
        <f>$B$555/H564</f>
        <v/>
      </c>
      <c r="K564">
        <f>I564-J564</f>
        <v/>
      </c>
      <c r="L564">
        <f>Assumptions!$B$51/K564</f>
        <v/>
      </c>
      <c r="M564">
        <f>H564*(1-Assumptions!$B$52)</f>
        <v/>
      </c>
      <c r="N564">
        <f>MIN(L564,M564)</f>
        <v/>
      </c>
      <c r="O564">
        <f>Assumptions!$B$50/N564</f>
        <v/>
      </c>
      <c r="P564">
        <f>Assumptions!$B$54/K564</f>
        <v/>
      </c>
      <c r="Q564">
        <f>H564*(1-Assumptions!$B$55)</f>
        <v/>
      </c>
      <c r="R564">
        <f>MIN(P564,Q564)</f>
        <v/>
      </c>
      <c r="S564">
        <f>Assumptions!$B$53/R564</f>
        <v/>
      </c>
      <c r="T564">
        <f>Assumptions!$B$27*(Assumptions!$B$64+$B$555/Assumptions!$B$27)/(Assumptions!$B$64+J564)</f>
        <v/>
      </c>
      <c r="U564">
        <f>IF(H564&lt;Assumptions!$B$27,Assumptions!$B$27/T564,1)</f>
        <v/>
      </c>
      <c r="V564">
        <f>Assumptions!$B$26*(Assumptions!$B$64+$B$555/Assumptions!$B$26)/(Assumptions!$B$64+J564)</f>
        <v/>
      </c>
      <c r="W564">
        <f>IF(H564&lt;Assumptions!$B$26,Assumptions!$B$26/V564,1)</f>
        <v/>
      </c>
    </row>
    <row r="565">
      <c r="A565" t="n">
        <v>7</v>
      </c>
      <c r="B565">
        <f>U564</f>
        <v/>
      </c>
      <c r="C565">
        <f>W564</f>
        <v/>
      </c>
      <c r="D565">
        <f>O564</f>
        <v/>
      </c>
      <c r="E565">
        <f>S564</f>
        <v/>
      </c>
      <c r="F565">
        <f>Assumptions!$B$16*B565</f>
        <v/>
      </c>
      <c r="G565">
        <f>Assumptions!$B$15*C565</f>
        <v/>
      </c>
      <c r="H565">
        <f>IF($B$551*($B$554/(($B$554*(1-$B$551)-$B$555)/((Assumptions!$B$9+Assumptions!$B$11+Assumptions!$B$12+Assumptions!$B$13+Assumptions!$B$14)+G565+F565+D565+E565)))&lt;Assumptions!$B$65,($B$554-$B$555)/(((Assumptions!$B$9+Assumptions!$B$11+Assumptions!$B$12+Assumptions!$B$13+Assumptions!$B$14)+G565+F565+D565+E565)+Assumptions!$B$65),($B$554*(1-$B$551)-$B$555)/((Assumptions!$B$9+Assumptions!$B$11+Assumptions!$B$12+Assumptions!$B$13+Assumptions!$B$14)+G565+F565+D565+E565))</f>
        <v/>
      </c>
      <c r="I565">
        <f>$B$554/H565</f>
        <v/>
      </c>
      <c r="J565">
        <f>$B$555/H565</f>
        <v/>
      </c>
      <c r="K565">
        <f>I565-J565</f>
        <v/>
      </c>
      <c r="L565">
        <f>Assumptions!$B$51/K565</f>
        <v/>
      </c>
      <c r="M565">
        <f>H565*(1-Assumptions!$B$52)</f>
        <v/>
      </c>
      <c r="N565">
        <f>MIN(L565,M565)</f>
        <v/>
      </c>
      <c r="O565">
        <f>Assumptions!$B$50/N565</f>
        <v/>
      </c>
      <c r="P565">
        <f>Assumptions!$B$54/K565</f>
        <v/>
      </c>
      <c r="Q565">
        <f>H565*(1-Assumptions!$B$55)</f>
        <v/>
      </c>
      <c r="R565">
        <f>MIN(P565,Q565)</f>
        <v/>
      </c>
      <c r="S565">
        <f>Assumptions!$B$53/R565</f>
        <v/>
      </c>
      <c r="T565">
        <f>Assumptions!$B$27*(Assumptions!$B$64+$B$555/Assumptions!$B$27)/(Assumptions!$B$64+J565)</f>
        <v/>
      </c>
      <c r="U565">
        <f>IF(H565&lt;Assumptions!$B$27,Assumptions!$B$27/T565,1)</f>
        <v/>
      </c>
      <c r="V565">
        <f>Assumptions!$B$26*(Assumptions!$B$64+$B$555/Assumptions!$B$26)/(Assumptions!$B$64+J565)</f>
        <v/>
      </c>
      <c r="W565">
        <f>IF(H565&lt;Assumptions!$B$26,Assumptions!$B$26/V565,1)</f>
        <v/>
      </c>
    </row>
    <row r="566">
      <c r="A566" t="n">
        <v>8</v>
      </c>
      <c r="B566">
        <f>U565</f>
        <v/>
      </c>
      <c r="C566">
        <f>W565</f>
        <v/>
      </c>
      <c r="D566">
        <f>O565</f>
        <v/>
      </c>
      <c r="E566">
        <f>S565</f>
        <v/>
      </c>
      <c r="F566">
        <f>Assumptions!$B$16*B566</f>
        <v/>
      </c>
      <c r="G566">
        <f>Assumptions!$B$15*C566</f>
        <v/>
      </c>
      <c r="H566">
        <f>IF($B$551*($B$554/(($B$554*(1-$B$551)-$B$555)/((Assumptions!$B$9+Assumptions!$B$11+Assumptions!$B$12+Assumptions!$B$13+Assumptions!$B$14)+G566+F566+D566+E566)))&lt;Assumptions!$B$65,($B$554-$B$555)/(((Assumptions!$B$9+Assumptions!$B$11+Assumptions!$B$12+Assumptions!$B$13+Assumptions!$B$14)+G566+F566+D566+E566)+Assumptions!$B$65),($B$554*(1-$B$551)-$B$555)/((Assumptions!$B$9+Assumptions!$B$11+Assumptions!$B$12+Assumptions!$B$13+Assumptions!$B$14)+G566+F566+D566+E566))</f>
        <v/>
      </c>
      <c r="I566">
        <f>$B$554/H566</f>
        <v/>
      </c>
      <c r="J566">
        <f>$B$555/H566</f>
        <v/>
      </c>
      <c r="K566">
        <f>I566-J566</f>
        <v/>
      </c>
      <c r="L566">
        <f>Assumptions!$B$51/K566</f>
        <v/>
      </c>
      <c r="M566">
        <f>H566*(1-Assumptions!$B$52)</f>
        <v/>
      </c>
      <c r="N566">
        <f>MIN(L566,M566)</f>
        <v/>
      </c>
      <c r="O566">
        <f>Assumptions!$B$50/N566</f>
        <v/>
      </c>
      <c r="P566">
        <f>Assumptions!$B$54/K566</f>
        <v/>
      </c>
      <c r="Q566">
        <f>H566*(1-Assumptions!$B$55)</f>
        <v/>
      </c>
      <c r="R566">
        <f>MIN(P566,Q566)</f>
        <v/>
      </c>
      <c r="S566">
        <f>Assumptions!$B$53/R566</f>
        <v/>
      </c>
      <c r="T566">
        <f>Assumptions!$B$27*(Assumptions!$B$64+$B$555/Assumptions!$B$27)/(Assumptions!$B$64+J566)</f>
        <v/>
      </c>
      <c r="U566">
        <f>IF(H566&lt;Assumptions!$B$27,Assumptions!$B$27/T566,1)</f>
        <v/>
      </c>
      <c r="V566">
        <f>Assumptions!$B$26*(Assumptions!$B$64+$B$555/Assumptions!$B$26)/(Assumptions!$B$64+J566)</f>
        <v/>
      </c>
      <c r="W566">
        <f>IF(H566&lt;Assumptions!$B$26,Assumptions!$B$26/V566,1)</f>
        <v/>
      </c>
    </row>
    <row r="567">
      <c r="A567" t="n">
        <v>9</v>
      </c>
      <c r="B567">
        <f>U566</f>
        <v/>
      </c>
      <c r="C567">
        <f>W566</f>
        <v/>
      </c>
      <c r="D567">
        <f>O566</f>
        <v/>
      </c>
      <c r="E567">
        <f>S566</f>
        <v/>
      </c>
      <c r="F567">
        <f>Assumptions!$B$16*B567</f>
        <v/>
      </c>
      <c r="G567">
        <f>Assumptions!$B$15*C567</f>
        <v/>
      </c>
      <c r="H567">
        <f>IF($B$551*($B$554/(($B$554*(1-$B$551)-$B$555)/((Assumptions!$B$9+Assumptions!$B$11+Assumptions!$B$12+Assumptions!$B$13+Assumptions!$B$14)+G567+F567+D567+E567)))&lt;Assumptions!$B$65,($B$554-$B$555)/(((Assumptions!$B$9+Assumptions!$B$11+Assumptions!$B$12+Assumptions!$B$13+Assumptions!$B$14)+G567+F567+D567+E567)+Assumptions!$B$65),($B$554*(1-$B$551)-$B$555)/((Assumptions!$B$9+Assumptions!$B$11+Assumptions!$B$12+Assumptions!$B$13+Assumptions!$B$14)+G567+F567+D567+E567))</f>
        <v/>
      </c>
      <c r="I567">
        <f>$B$554/H567</f>
        <v/>
      </c>
      <c r="J567">
        <f>$B$555/H567</f>
        <v/>
      </c>
      <c r="K567">
        <f>I567-J567</f>
        <v/>
      </c>
      <c r="L567">
        <f>Assumptions!$B$51/K567</f>
        <v/>
      </c>
      <c r="M567">
        <f>H567*(1-Assumptions!$B$52)</f>
        <v/>
      </c>
      <c r="N567">
        <f>MIN(L567,M567)</f>
        <v/>
      </c>
      <c r="O567">
        <f>Assumptions!$B$50/N567</f>
        <v/>
      </c>
      <c r="P567">
        <f>Assumptions!$B$54/K567</f>
        <v/>
      </c>
      <c r="Q567">
        <f>H567*(1-Assumptions!$B$55)</f>
        <v/>
      </c>
      <c r="R567">
        <f>MIN(P567,Q567)</f>
        <v/>
      </c>
      <c r="S567">
        <f>Assumptions!$B$53/R567</f>
        <v/>
      </c>
      <c r="T567">
        <f>Assumptions!$B$27*(Assumptions!$B$64+$B$555/Assumptions!$B$27)/(Assumptions!$B$64+J567)</f>
        <v/>
      </c>
      <c r="U567">
        <f>IF(H567&lt;Assumptions!$B$27,Assumptions!$B$27/T567,1)</f>
        <v/>
      </c>
      <c r="V567">
        <f>Assumptions!$B$26*(Assumptions!$B$64+$B$555/Assumptions!$B$26)/(Assumptions!$B$64+J567)</f>
        <v/>
      </c>
      <c r="W567">
        <f>IF(H567&lt;Assumptions!$B$26,Assumptions!$B$26/V567,1)</f>
        <v/>
      </c>
    </row>
    <row r="568">
      <c r="A568" t="n">
        <v>10</v>
      </c>
      <c r="B568">
        <f>U567</f>
        <v/>
      </c>
      <c r="C568">
        <f>W567</f>
        <v/>
      </c>
      <c r="D568">
        <f>O567</f>
        <v/>
      </c>
      <c r="E568">
        <f>S567</f>
        <v/>
      </c>
      <c r="F568">
        <f>Assumptions!$B$16*B568</f>
        <v/>
      </c>
      <c r="G568">
        <f>Assumptions!$B$15*C568</f>
        <v/>
      </c>
      <c r="H568">
        <f>IF($B$551*($B$554/(($B$554*(1-$B$551)-$B$555)/((Assumptions!$B$9+Assumptions!$B$11+Assumptions!$B$12+Assumptions!$B$13+Assumptions!$B$14)+G568+F568+D568+E568)))&lt;Assumptions!$B$65,($B$554-$B$555)/(((Assumptions!$B$9+Assumptions!$B$11+Assumptions!$B$12+Assumptions!$B$13+Assumptions!$B$14)+G568+F568+D568+E568)+Assumptions!$B$65),($B$554*(1-$B$551)-$B$555)/((Assumptions!$B$9+Assumptions!$B$11+Assumptions!$B$12+Assumptions!$B$13+Assumptions!$B$14)+G568+F568+D568+E568))</f>
        <v/>
      </c>
      <c r="I568">
        <f>$B$554/H568</f>
        <v/>
      </c>
      <c r="J568">
        <f>$B$555/H568</f>
        <v/>
      </c>
      <c r="K568">
        <f>I568-J568</f>
        <v/>
      </c>
      <c r="L568">
        <f>Assumptions!$B$51/K568</f>
        <v/>
      </c>
      <c r="M568">
        <f>H568*(1-Assumptions!$B$52)</f>
        <v/>
      </c>
      <c r="N568">
        <f>MIN(L568,M568)</f>
        <v/>
      </c>
      <c r="O568">
        <f>Assumptions!$B$50/N568</f>
        <v/>
      </c>
      <c r="P568">
        <f>Assumptions!$B$54/K568</f>
        <v/>
      </c>
      <c r="Q568">
        <f>H568*(1-Assumptions!$B$55)</f>
        <v/>
      </c>
      <c r="R568">
        <f>MIN(P568,Q568)</f>
        <v/>
      </c>
      <c r="S568">
        <f>Assumptions!$B$53/R568</f>
        <v/>
      </c>
      <c r="T568">
        <f>Assumptions!$B$27*(Assumptions!$B$64+$B$555/Assumptions!$B$27)/(Assumptions!$B$64+J568)</f>
        <v/>
      </c>
      <c r="U568">
        <f>IF(H568&lt;Assumptions!$B$27,Assumptions!$B$27/T568,1)</f>
        <v/>
      </c>
      <c r="V568">
        <f>Assumptions!$B$26*(Assumptions!$B$64+$B$555/Assumptions!$B$26)/(Assumptions!$B$64+J568)</f>
        <v/>
      </c>
      <c r="W568">
        <f>IF(H568&lt;Assumptions!$B$26,Assumptions!$B$26/V568,1)</f>
        <v/>
      </c>
    </row>
    <row r="569">
      <c r="A569" t="n">
        <v>11</v>
      </c>
      <c r="B569">
        <f>U568</f>
        <v/>
      </c>
      <c r="C569">
        <f>W568</f>
        <v/>
      </c>
      <c r="D569">
        <f>O568</f>
        <v/>
      </c>
      <c r="E569">
        <f>S568</f>
        <v/>
      </c>
      <c r="F569">
        <f>Assumptions!$B$16*B569</f>
        <v/>
      </c>
      <c r="G569">
        <f>Assumptions!$B$15*C569</f>
        <v/>
      </c>
      <c r="H569">
        <f>IF($B$551*($B$554/(($B$554*(1-$B$551)-$B$555)/((Assumptions!$B$9+Assumptions!$B$11+Assumptions!$B$12+Assumptions!$B$13+Assumptions!$B$14)+G569+F569+D569+E569)))&lt;Assumptions!$B$65,($B$554-$B$555)/(((Assumptions!$B$9+Assumptions!$B$11+Assumptions!$B$12+Assumptions!$B$13+Assumptions!$B$14)+G569+F569+D569+E569)+Assumptions!$B$65),($B$554*(1-$B$551)-$B$555)/((Assumptions!$B$9+Assumptions!$B$11+Assumptions!$B$12+Assumptions!$B$13+Assumptions!$B$14)+G569+F569+D569+E569))</f>
        <v/>
      </c>
      <c r="I569">
        <f>$B$554/H569</f>
        <v/>
      </c>
      <c r="J569">
        <f>$B$555/H569</f>
        <v/>
      </c>
      <c r="K569">
        <f>I569-J569</f>
        <v/>
      </c>
      <c r="L569">
        <f>Assumptions!$B$51/K569</f>
        <v/>
      </c>
      <c r="M569">
        <f>H569*(1-Assumptions!$B$52)</f>
        <v/>
      </c>
      <c r="N569">
        <f>MIN(L569,M569)</f>
        <v/>
      </c>
      <c r="O569">
        <f>Assumptions!$B$50/N569</f>
        <v/>
      </c>
      <c r="P569">
        <f>Assumptions!$B$54/K569</f>
        <v/>
      </c>
      <c r="Q569">
        <f>H569*(1-Assumptions!$B$55)</f>
        <v/>
      </c>
      <c r="R569">
        <f>MIN(P569,Q569)</f>
        <v/>
      </c>
      <c r="S569">
        <f>Assumptions!$B$53/R569</f>
        <v/>
      </c>
      <c r="T569">
        <f>Assumptions!$B$27*(Assumptions!$B$64+$B$555/Assumptions!$B$27)/(Assumptions!$B$64+J569)</f>
        <v/>
      </c>
      <c r="U569">
        <f>IF(H569&lt;Assumptions!$B$27,Assumptions!$B$27/T569,1)</f>
        <v/>
      </c>
      <c r="V569">
        <f>Assumptions!$B$26*(Assumptions!$B$64+$B$555/Assumptions!$B$26)/(Assumptions!$B$64+J569)</f>
        <v/>
      </c>
      <c r="W569">
        <f>IF(H569&lt;Assumptions!$B$26,Assumptions!$B$26/V569,1)</f>
        <v/>
      </c>
    </row>
    <row r="570">
      <c r="A570" t="n">
        <v>12</v>
      </c>
      <c r="B570">
        <f>U569</f>
        <v/>
      </c>
      <c r="C570">
        <f>W569</f>
        <v/>
      </c>
      <c r="D570">
        <f>O569</f>
        <v/>
      </c>
      <c r="E570">
        <f>S569</f>
        <v/>
      </c>
      <c r="F570">
        <f>Assumptions!$B$16*B570</f>
        <v/>
      </c>
      <c r="G570">
        <f>Assumptions!$B$15*C570</f>
        <v/>
      </c>
      <c r="H570">
        <f>IF($B$551*($B$554/(($B$554*(1-$B$551)-$B$555)/((Assumptions!$B$9+Assumptions!$B$11+Assumptions!$B$12+Assumptions!$B$13+Assumptions!$B$14)+G570+F570+D570+E570)))&lt;Assumptions!$B$65,($B$554-$B$555)/(((Assumptions!$B$9+Assumptions!$B$11+Assumptions!$B$12+Assumptions!$B$13+Assumptions!$B$14)+G570+F570+D570+E570)+Assumptions!$B$65),($B$554*(1-$B$551)-$B$555)/((Assumptions!$B$9+Assumptions!$B$11+Assumptions!$B$12+Assumptions!$B$13+Assumptions!$B$14)+G570+F570+D570+E570))</f>
        <v/>
      </c>
      <c r="I570">
        <f>$B$554/H570</f>
        <v/>
      </c>
      <c r="J570">
        <f>$B$555/H570</f>
        <v/>
      </c>
      <c r="K570">
        <f>I570-J570</f>
        <v/>
      </c>
      <c r="L570">
        <f>Assumptions!$B$51/K570</f>
        <v/>
      </c>
      <c r="M570">
        <f>H570*(1-Assumptions!$B$52)</f>
        <v/>
      </c>
      <c r="N570">
        <f>MIN(L570,M570)</f>
        <v/>
      </c>
      <c r="O570">
        <f>Assumptions!$B$50/N570</f>
        <v/>
      </c>
      <c r="P570">
        <f>Assumptions!$B$54/K570</f>
        <v/>
      </c>
      <c r="Q570">
        <f>H570*(1-Assumptions!$B$55)</f>
        <v/>
      </c>
      <c r="R570">
        <f>MIN(P570,Q570)</f>
        <v/>
      </c>
      <c r="S570">
        <f>Assumptions!$B$53/R570</f>
        <v/>
      </c>
      <c r="T570">
        <f>Assumptions!$B$27*(Assumptions!$B$64+$B$555/Assumptions!$B$27)/(Assumptions!$B$64+J570)</f>
        <v/>
      </c>
      <c r="U570">
        <f>IF(H570&lt;Assumptions!$B$27,Assumptions!$B$27/T570,1)</f>
        <v/>
      </c>
      <c r="V570">
        <f>Assumptions!$B$26*(Assumptions!$B$64+$B$555/Assumptions!$B$26)/(Assumptions!$B$64+J570)</f>
        <v/>
      </c>
      <c r="W570">
        <f>IF(H570&lt;Assumptions!$B$26,Assumptions!$B$26/V570,1)</f>
        <v/>
      </c>
    </row>
    <row r="571">
      <c r="A571" t="n">
        <v>13</v>
      </c>
      <c r="B571">
        <f>U570</f>
        <v/>
      </c>
      <c r="C571">
        <f>W570</f>
        <v/>
      </c>
      <c r="D571">
        <f>O570</f>
        <v/>
      </c>
      <c r="E571">
        <f>S570</f>
        <v/>
      </c>
      <c r="F571">
        <f>Assumptions!$B$16*B571</f>
        <v/>
      </c>
      <c r="G571">
        <f>Assumptions!$B$15*C571</f>
        <v/>
      </c>
      <c r="H571">
        <f>IF($B$551*($B$554/(($B$554*(1-$B$551)-$B$555)/((Assumptions!$B$9+Assumptions!$B$11+Assumptions!$B$12+Assumptions!$B$13+Assumptions!$B$14)+G571+F571+D571+E571)))&lt;Assumptions!$B$65,($B$554-$B$555)/(((Assumptions!$B$9+Assumptions!$B$11+Assumptions!$B$12+Assumptions!$B$13+Assumptions!$B$14)+G571+F571+D571+E571)+Assumptions!$B$65),($B$554*(1-$B$551)-$B$555)/((Assumptions!$B$9+Assumptions!$B$11+Assumptions!$B$12+Assumptions!$B$13+Assumptions!$B$14)+G571+F571+D571+E571))</f>
        <v/>
      </c>
      <c r="I571">
        <f>$B$554/H571</f>
        <v/>
      </c>
      <c r="J571">
        <f>$B$555/H571</f>
        <v/>
      </c>
      <c r="K571">
        <f>I571-J571</f>
        <v/>
      </c>
      <c r="L571">
        <f>Assumptions!$B$51/K571</f>
        <v/>
      </c>
      <c r="M571">
        <f>H571*(1-Assumptions!$B$52)</f>
        <v/>
      </c>
      <c r="N571">
        <f>MIN(L571,M571)</f>
        <v/>
      </c>
      <c r="O571">
        <f>Assumptions!$B$50/N571</f>
        <v/>
      </c>
      <c r="P571">
        <f>Assumptions!$B$54/K571</f>
        <v/>
      </c>
      <c r="Q571">
        <f>H571*(1-Assumptions!$B$55)</f>
        <v/>
      </c>
      <c r="R571">
        <f>MIN(P571,Q571)</f>
        <v/>
      </c>
      <c r="S571">
        <f>Assumptions!$B$53/R571</f>
        <v/>
      </c>
      <c r="T571">
        <f>Assumptions!$B$27*(Assumptions!$B$64+$B$555/Assumptions!$B$27)/(Assumptions!$B$64+J571)</f>
        <v/>
      </c>
      <c r="U571">
        <f>IF(H571&lt;Assumptions!$B$27,Assumptions!$B$27/T571,1)</f>
        <v/>
      </c>
      <c r="V571">
        <f>Assumptions!$B$26*(Assumptions!$B$64+$B$555/Assumptions!$B$26)/(Assumptions!$B$64+J571)</f>
        <v/>
      </c>
      <c r="W571">
        <f>IF(H571&lt;Assumptions!$B$26,Assumptions!$B$26/V571,1)</f>
        <v/>
      </c>
    </row>
    <row r="572">
      <c r="A572" t="n">
        <v>14</v>
      </c>
      <c r="B572">
        <f>U571</f>
        <v/>
      </c>
      <c r="C572">
        <f>W571</f>
        <v/>
      </c>
      <c r="D572">
        <f>O571</f>
        <v/>
      </c>
      <c r="E572">
        <f>S571</f>
        <v/>
      </c>
      <c r="F572">
        <f>Assumptions!$B$16*B572</f>
        <v/>
      </c>
      <c r="G572">
        <f>Assumptions!$B$15*C572</f>
        <v/>
      </c>
      <c r="H572">
        <f>IF($B$551*($B$554/(($B$554*(1-$B$551)-$B$555)/((Assumptions!$B$9+Assumptions!$B$11+Assumptions!$B$12+Assumptions!$B$13+Assumptions!$B$14)+G572+F572+D572+E572)))&lt;Assumptions!$B$65,($B$554-$B$555)/(((Assumptions!$B$9+Assumptions!$B$11+Assumptions!$B$12+Assumptions!$B$13+Assumptions!$B$14)+G572+F572+D572+E572)+Assumptions!$B$65),($B$554*(1-$B$551)-$B$555)/((Assumptions!$B$9+Assumptions!$B$11+Assumptions!$B$12+Assumptions!$B$13+Assumptions!$B$14)+G572+F572+D572+E572))</f>
        <v/>
      </c>
      <c r="I572">
        <f>$B$554/H572</f>
        <v/>
      </c>
      <c r="J572">
        <f>$B$555/H572</f>
        <v/>
      </c>
      <c r="K572">
        <f>I572-J572</f>
        <v/>
      </c>
      <c r="L572">
        <f>Assumptions!$B$51/K572</f>
        <v/>
      </c>
      <c r="M572">
        <f>H572*(1-Assumptions!$B$52)</f>
        <v/>
      </c>
      <c r="N572">
        <f>MIN(L572,M572)</f>
        <v/>
      </c>
      <c r="O572">
        <f>Assumptions!$B$50/N572</f>
        <v/>
      </c>
      <c r="P572">
        <f>Assumptions!$B$54/K572</f>
        <v/>
      </c>
      <c r="Q572">
        <f>H572*(1-Assumptions!$B$55)</f>
        <v/>
      </c>
      <c r="R572">
        <f>MIN(P572,Q572)</f>
        <v/>
      </c>
      <c r="S572">
        <f>Assumptions!$B$53/R572</f>
        <v/>
      </c>
      <c r="T572">
        <f>Assumptions!$B$27*(Assumptions!$B$64+$B$555/Assumptions!$B$27)/(Assumptions!$B$64+J572)</f>
        <v/>
      </c>
      <c r="U572">
        <f>IF(H572&lt;Assumptions!$B$27,Assumptions!$B$27/T572,1)</f>
        <v/>
      </c>
      <c r="V572">
        <f>Assumptions!$B$26*(Assumptions!$B$64+$B$555/Assumptions!$B$26)/(Assumptions!$B$64+J572)</f>
        <v/>
      </c>
      <c r="W572">
        <f>IF(H572&lt;Assumptions!$B$26,Assumptions!$B$26/V572,1)</f>
        <v/>
      </c>
    </row>
    <row r="573">
      <c r="A573" t="n">
        <v>15</v>
      </c>
      <c r="B573">
        <f>U572</f>
        <v/>
      </c>
      <c r="C573">
        <f>W572</f>
        <v/>
      </c>
      <c r="D573">
        <f>O572</f>
        <v/>
      </c>
      <c r="E573">
        <f>S572</f>
        <v/>
      </c>
      <c r="F573">
        <f>Assumptions!$B$16*B573</f>
        <v/>
      </c>
      <c r="G573">
        <f>Assumptions!$B$15*C573</f>
        <v/>
      </c>
      <c r="H573">
        <f>IF($B$551*($B$554/(($B$554*(1-$B$551)-$B$555)/((Assumptions!$B$9+Assumptions!$B$11+Assumptions!$B$12+Assumptions!$B$13+Assumptions!$B$14)+G573+F573+D573+E573)))&lt;Assumptions!$B$65,($B$554-$B$555)/(((Assumptions!$B$9+Assumptions!$B$11+Assumptions!$B$12+Assumptions!$B$13+Assumptions!$B$14)+G573+F573+D573+E573)+Assumptions!$B$65),($B$554*(1-$B$551)-$B$555)/((Assumptions!$B$9+Assumptions!$B$11+Assumptions!$B$12+Assumptions!$B$13+Assumptions!$B$14)+G573+F573+D573+E573))</f>
        <v/>
      </c>
      <c r="I573">
        <f>$B$554/H573</f>
        <v/>
      </c>
      <c r="J573">
        <f>$B$555/H573</f>
        <v/>
      </c>
      <c r="K573">
        <f>I573-J573</f>
        <v/>
      </c>
      <c r="L573">
        <f>Assumptions!$B$51/K573</f>
        <v/>
      </c>
      <c r="M573">
        <f>H573*(1-Assumptions!$B$52)</f>
        <v/>
      </c>
      <c r="N573">
        <f>MIN(L573,M573)</f>
        <v/>
      </c>
      <c r="O573">
        <f>Assumptions!$B$50/N573</f>
        <v/>
      </c>
      <c r="P573">
        <f>Assumptions!$B$54/K573</f>
        <v/>
      </c>
      <c r="Q573">
        <f>H573*(1-Assumptions!$B$55)</f>
        <v/>
      </c>
      <c r="R573">
        <f>MIN(P573,Q573)</f>
        <v/>
      </c>
      <c r="S573">
        <f>Assumptions!$B$53/R573</f>
        <v/>
      </c>
      <c r="T573">
        <f>Assumptions!$B$27*(Assumptions!$B$64+$B$555/Assumptions!$B$27)/(Assumptions!$B$64+J573)</f>
        <v/>
      </c>
      <c r="U573">
        <f>IF(H573&lt;Assumptions!$B$27,Assumptions!$B$27/T573,1)</f>
        <v/>
      </c>
      <c r="V573">
        <f>Assumptions!$B$26*(Assumptions!$B$64+$B$555/Assumptions!$B$26)/(Assumptions!$B$64+J573)</f>
        <v/>
      </c>
      <c r="W573">
        <f>IF(H573&lt;Assumptions!$B$26,Assumptions!$B$26/V573,1)</f>
        <v/>
      </c>
    </row>
    <row r="574">
      <c r="A574" t="n">
        <v>16</v>
      </c>
      <c r="B574">
        <f>U573</f>
        <v/>
      </c>
      <c r="C574">
        <f>W573</f>
        <v/>
      </c>
      <c r="D574">
        <f>O573</f>
        <v/>
      </c>
      <c r="E574">
        <f>S573</f>
        <v/>
      </c>
      <c r="F574">
        <f>Assumptions!$B$16*B574</f>
        <v/>
      </c>
      <c r="G574">
        <f>Assumptions!$B$15*C574</f>
        <v/>
      </c>
      <c r="H574">
        <f>IF($B$551*($B$554/(($B$554*(1-$B$551)-$B$555)/((Assumptions!$B$9+Assumptions!$B$11+Assumptions!$B$12+Assumptions!$B$13+Assumptions!$B$14)+G574+F574+D574+E574)))&lt;Assumptions!$B$65,($B$554-$B$555)/(((Assumptions!$B$9+Assumptions!$B$11+Assumptions!$B$12+Assumptions!$B$13+Assumptions!$B$14)+G574+F574+D574+E574)+Assumptions!$B$65),($B$554*(1-$B$551)-$B$555)/((Assumptions!$B$9+Assumptions!$B$11+Assumptions!$B$12+Assumptions!$B$13+Assumptions!$B$14)+G574+F574+D574+E574))</f>
        <v/>
      </c>
      <c r="I574">
        <f>$B$554/H574</f>
        <v/>
      </c>
      <c r="J574">
        <f>$B$555/H574</f>
        <v/>
      </c>
      <c r="K574">
        <f>I574-J574</f>
        <v/>
      </c>
      <c r="L574">
        <f>Assumptions!$B$51/K574</f>
        <v/>
      </c>
      <c r="M574">
        <f>H574*(1-Assumptions!$B$52)</f>
        <v/>
      </c>
      <c r="N574">
        <f>MIN(L574,M574)</f>
        <v/>
      </c>
      <c r="O574">
        <f>Assumptions!$B$50/N574</f>
        <v/>
      </c>
      <c r="P574">
        <f>Assumptions!$B$54/K574</f>
        <v/>
      </c>
      <c r="Q574">
        <f>H574*(1-Assumptions!$B$55)</f>
        <v/>
      </c>
      <c r="R574">
        <f>MIN(P574,Q574)</f>
        <v/>
      </c>
      <c r="S574">
        <f>Assumptions!$B$53/R574</f>
        <v/>
      </c>
      <c r="T574">
        <f>Assumptions!$B$27*(Assumptions!$B$64+$B$555/Assumptions!$B$27)/(Assumptions!$B$64+J574)</f>
        <v/>
      </c>
      <c r="U574">
        <f>IF(H574&lt;Assumptions!$B$27,Assumptions!$B$27/T574,1)</f>
        <v/>
      </c>
      <c r="V574">
        <f>Assumptions!$B$26*(Assumptions!$B$64+$B$555/Assumptions!$B$26)/(Assumptions!$B$64+J574)</f>
        <v/>
      </c>
      <c r="W574">
        <f>IF(H574&lt;Assumptions!$B$26,Assumptions!$B$26/V574,1)</f>
        <v/>
      </c>
    </row>
    <row r="575">
      <c r="A575" t="n">
        <v>17</v>
      </c>
      <c r="B575">
        <f>U574</f>
        <v/>
      </c>
      <c r="C575">
        <f>W574</f>
        <v/>
      </c>
      <c r="D575">
        <f>O574</f>
        <v/>
      </c>
      <c r="E575">
        <f>S574</f>
        <v/>
      </c>
      <c r="F575">
        <f>Assumptions!$B$16*B575</f>
        <v/>
      </c>
      <c r="G575">
        <f>Assumptions!$B$15*C575</f>
        <v/>
      </c>
      <c r="H575">
        <f>IF($B$551*($B$554/(($B$554*(1-$B$551)-$B$555)/((Assumptions!$B$9+Assumptions!$B$11+Assumptions!$B$12+Assumptions!$B$13+Assumptions!$B$14)+G575+F575+D575+E575)))&lt;Assumptions!$B$65,($B$554-$B$555)/(((Assumptions!$B$9+Assumptions!$B$11+Assumptions!$B$12+Assumptions!$B$13+Assumptions!$B$14)+G575+F575+D575+E575)+Assumptions!$B$65),($B$554*(1-$B$551)-$B$555)/((Assumptions!$B$9+Assumptions!$B$11+Assumptions!$B$12+Assumptions!$B$13+Assumptions!$B$14)+G575+F575+D575+E575))</f>
        <v/>
      </c>
      <c r="I575">
        <f>$B$554/H575</f>
        <v/>
      </c>
      <c r="J575">
        <f>$B$555/H575</f>
        <v/>
      </c>
      <c r="K575">
        <f>I575-J575</f>
        <v/>
      </c>
      <c r="L575">
        <f>Assumptions!$B$51/K575</f>
        <v/>
      </c>
      <c r="M575">
        <f>H575*(1-Assumptions!$B$52)</f>
        <v/>
      </c>
      <c r="N575">
        <f>MIN(L575,M575)</f>
        <v/>
      </c>
      <c r="O575">
        <f>Assumptions!$B$50/N575</f>
        <v/>
      </c>
      <c r="P575">
        <f>Assumptions!$B$54/K575</f>
        <v/>
      </c>
      <c r="Q575">
        <f>H575*(1-Assumptions!$B$55)</f>
        <v/>
      </c>
      <c r="R575">
        <f>MIN(P575,Q575)</f>
        <v/>
      </c>
      <c r="S575">
        <f>Assumptions!$B$53/R575</f>
        <v/>
      </c>
      <c r="T575">
        <f>Assumptions!$B$27*(Assumptions!$B$64+$B$555/Assumptions!$B$27)/(Assumptions!$B$64+J575)</f>
        <v/>
      </c>
      <c r="U575">
        <f>IF(H575&lt;Assumptions!$B$27,Assumptions!$B$27/T575,1)</f>
        <v/>
      </c>
      <c r="V575">
        <f>Assumptions!$B$26*(Assumptions!$B$64+$B$555/Assumptions!$B$26)/(Assumptions!$B$64+J575)</f>
        <v/>
      </c>
      <c r="W575">
        <f>IF(H575&lt;Assumptions!$B$26,Assumptions!$B$26/V575,1)</f>
        <v/>
      </c>
    </row>
    <row r="576">
      <c r="A576" t="n">
        <v>18</v>
      </c>
      <c r="B576">
        <f>U575</f>
        <v/>
      </c>
      <c r="C576">
        <f>W575</f>
        <v/>
      </c>
      <c r="D576">
        <f>O575</f>
        <v/>
      </c>
      <c r="E576">
        <f>S575</f>
        <v/>
      </c>
      <c r="F576">
        <f>Assumptions!$B$16*B576</f>
        <v/>
      </c>
      <c r="G576">
        <f>Assumptions!$B$15*C576</f>
        <v/>
      </c>
      <c r="H576">
        <f>IF($B$551*($B$554/(($B$554*(1-$B$551)-$B$555)/((Assumptions!$B$9+Assumptions!$B$11+Assumptions!$B$12+Assumptions!$B$13+Assumptions!$B$14)+G576+F576+D576+E576)))&lt;Assumptions!$B$65,($B$554-$B$555)/(((Assumptions!$B$9+Assumptions!$B$11+Assumptions!$B$12+Assumptions!$B$13+Assumptions!$B$14)+G576+F576+D576+E576)+Assumptions!$B$65),($B$554*(1-$B$551)-$B$555)/((Assumptions!$B$9+Assumptions!$B$11+Assumptions!$B$12+Assumptions!$B$13+Assumptions!$B$14)+G576+F576+D576+E576))</f>
        <v/>
      </c>
      <c r="I576">
        <f>$B$554/H576</f>
        <v/>
      </c>
      <c r="J576">
        <f>$B$555/H576</f>
        <v/>
      </c>
      <c r="K576">
        <f>I576-J576</f>
        <v/>
      </c>
      <c r="L576">
        <f>Assumptions!$B$51/K576</f>
        <v/>
      </c>
      <c r="M576">
        <f>H576*(1-Assumptions!$B$52)</f>
        <v/>
      </c>
      <c r="N576">
        <f>MIN(L576,M576)</f>
        <v/>
      </c>
      <c r="O576">
        <f>Assumptions!$B$50/N576</f>
        <v/>
      </c>
      <c r="P576">
        <f>Assumptions!$B$54/K576</f>
        <v/>
      </c>
      <c r="Q576">
        <f>H576*(1-Assumptions!$B$55)</f>
        <v/>
      </c>
      <c r="R576">
        <f>MIN(P576,Q576)</f>
        <v/>
      </c>
      <c r="S576">
        <f>Assumptions!$B$53/R576</f>
        <v/>
      </c>
      <c r="T576">
        <f>Assumptions!$B$27*(Assumptions!$B$64+$B$555/Assumptions!$B$27)/(Assumptions!$B$64+J576)</f>
        <v/>
      </c>
      <c r="U576">
        <f>IF(H576&lt;Assumptions!$B$27,Assumptions!$B$27/T576,1)</f>
        <v/>
      </c>
      <c r="V576">
        <f>Assumptions!$B$26*(Assumptions!$B$64+$B$555/Assumptions!$B$26)/(Assumptions!$B$64+J576)</f>
        <v/>
      </c>
      <c r="W576">
        <f>IF(H576&lt;Assumptions!$B$26,Assumptions!$B$26/V576,1)</f>
        <v/>
      </c>
    </row>
    <row r="577">
      <c r="A577" t="n">
        <v>19</v>
      </c>
      <c r="B577">
        <f>U576</f>
        <v/>
      </c>
      <c r="C577">
        <f>W576</f>
        <v/>
      </c>
      <c r="D577">
        <f>O576</f>
        <v/>
      </c>
      <c r="E577">
        <f>S576</f>
        <v/>
      </c>
      <c r="F577">
        <f>Assumptions!$B$16*B577</f>
        <v/>
      </c>
      <c r="G577">
        <f>Assumptions!$B$15*C577</f>
        <v/>
      </c>
      <c r="H577">
        <f>IF($B$551*($B$554/(($B$554*(1-$B$551)-$B$555)/((Assumptions!$B$9+Assumptions!$B$11+Assumptions!$B$12+Assumptions!$B$13+Assumptions!$B$14)+G577+F577+D577+E577)))&lt;Assumptions!$B$65,($B$554-$B$555)/(((Assumptions!$B$9+Assumptions!$B$11+Assumptions!$B$12+Assumptions!$B$13+Assumptions!$B$14)+G577+F577+D577+E577)+Assumptions!$B$65),($B$554*(1-$B$551)-$B$555)/((Assumptions!$B$9+Assumptions!$B$11+Assumptions!$B$12+Assumptions!$B$13+Assumptions!$B$14)+G577+F577+D577+E577))</f>
        <v/>
      </c>
      <c r="I577">
        <f>$B$554/H577</f>
        <v/>
      </c>
      <c r="J577">
        <f>$B$555/H577</f>
        <v/>
      </c>
      <c r="K577">
        <f>I577-J577</f>
        <v/>
      </c>
      <c r="L577">
        <f>Assumptions!$B$51/K577</f>
        <v/>
      </c>
      <c r="M577">
        <f>H577*(1-Assumptions!$B$52)</f>
        <v/>
      </c>
      <c r="N577">
        <f>MIN(L577,M577)</f>
        <v/>
      </c>
      <c r="O577">
        <f>Assumptions!$B$50/N577</f>
        <v/>
      </c>
      <c r="P577">
        <f>Assumptions!$B$54/K577</f>
        <v/>
      </c>
      <c r="Q577">
        <f>H577*(1-Assumptions!$B$55)</f>
        <v/>
      </c>
      <c r="R577">
        <f>MIN(P577,Q577)</f>
        <v/>
      </c>
      <c r="S577">
        <f>Assumptions!$B$53/R577</f>
        <v/>
      </c>
      <c r="T577">
        <f>Assumptions!$B$27*(Assumptions!$B$64+$B$555/Assumptions!$B$27)/(Assumptions!$B$64+J577)</f>
        <v/>
      </c>
      <c r="U577">
        <f>IF(H577&lt;Assumptions!$B$27,Assumptions!$B$27/T577,1)</f>
        <v/>
      </c>
      <c r="V577">
        <f>Assumptions!$B$26*(Assumptions!$B$64+$B$555/Assumptions!$B$26)/(Assumptions!$B$64+J577)</f>
        <v/>
      </c>
      <c r="W577">
        <f>IF(H577&lt;Assumptions!$B$26,Assumptions!$B$26/V577,1)</f>
        <v/>
      </c>
    </row>
    <row r="578">
      <c r="A578" t="n">
        <v>20</v>
      </c>
      <c r="B578">
        <f>U577</f>
        <v/>
      </c>
      <c r="C578">
        <f>W577</f>
        <v/>
      </c>
      <c r="D578">
        <f>O577</f>
        <v/>
      </c>
      <c r="E578">
        <f>S577</f>
        <v/>
      </c>
      <c r="F578">
        <f>Assumptions!$B$16*B578</f>
        <v/>
      </c>
      <c r="G578">
        <f>Assumptions!$B$15*C578</f>
        <v/>
      </c>
      <c r="H578">
        <f>IF($B$551*($B$554/(($B$554*(1-$B$551)-$B$555)/((Assumptions!$B$9+Assumptions!$B$11+Assumptions!$B$12+Assumptions!$B$13+Assumptions!$B$14)+G578+F578+D578+E578)))&lt;Assumptions!$B$65,($B$554-$B$555)/(((Assumptions!$B$9+Assumptions!$B$11+Assumptions!$B$12+Assumptions!$B$13+Assumptions!$B$14)+G578+F578+D578+E578)+Assumptions!$B$65),($B$554*(1-$B$551)-$B$555)/((Assumptions!$B$9+Assumptions!$B$11+Assumptions!$B$12+Assumptions!$B$13+Assumptions!$B$14)+G578+F578+D578+E578))</f>
        <v/>
      </c>
      <c r="I578">
        <f>$B$554/H578</f>
        <v/>
      </c>
      <c r="J578">
        <f>$B$555/H578</f>
        <v/>
      </c>
      <c r="K578">
        <f>I578-J578</f>
        <v/>
      </c>
      <c r="L578">
        <f>Assumptions!$B$51/K578</f>
        <v/>
      </c>
      <c r="M578">
        <f>H578*(1-Assumptions!$B$52)</f>
        <v/>
      </c>
      <c r="N578">
        <f>MIN(L578,M578)</f>
        <v/>
      </c>
      <c r="O578">
        <f>Assumptions!$B$50/N578</f>
        <v/>
      </c>
      <c r="P578">
        <f>Assumptions!$B$54/K578</f>
        <v/>
      </c>
      <c r="Q578">
        <f>H578*(1-Assumptions!$B$55)</f>
        <v/>
      </c>
      <c r="R578">
        <f>MIN(P578,Q578)</f>
        <v/>
      </c>
      <c r="S578">
        <f>Assumptions!$B$53/R578</f>
        <v/>
      </c>
      <c r="T578">
        <f>Assumptions!$B$27*(Assumptions!$B$64+$B$555/Assumptions!$B$27)/(Assumptions!$B$64+J578)</f>
        <v/>
      </c>
      <c r="U578">
        <f>IF(H578&lt;Assumptions!$B$27,Assumptions!$B$27/T578,1)</f>
        <v/>
      </c>
      <c r="V578">
        <f>Assumptions!$B$26*(Assumptions!$B$64+$B$555/Assumptions!$B$26)/(Assumptions!$B$64+J578)</f>
        <v/>
      </c>
      <c r="W578">
        <f>IF(H578&lt;Assumptions!$B$26,Assumptions!$B$26/V578,1)</f>
        <v/>
      </c>
    </row>
    <row r="579">
      <c r="A579" t="n">
        <v>21</v>
      </c>
      <c r="B579">
        <f>U578</f>
        <v/>
      </c>
      <c r="C579">
        <f>W578</f>
        <v/>
      </c>
      <c r="D579">
        <f>O578</f>
        <v/>
      </c>
      <c r="E579">
        <f>S578</f>
        <v/>
      </c>
      <c r="F579">
        <f>Assumptions!$B$16*B579</f>
        <v/>
      </c>
      <c r="G579">
        <f>Assumptions!$B$15*C579</f>
        <v/>
      </c>
      <c r="H579">
        <f>IF($B$551*($B$554/(($B$554*(1-$B$551)-$B$555)/((Assumptions!$B$9+Assumptions!$B$11+Assumptions!$B$12+Assumptions!$B$13+Assumptions!$B$14)+G579+F579+D579+E579)))&lt;Assumptions!$B$65,($B$554-$B$555)/(((Assumptions!$B$9+Assumptions!$B$11+Assumptions!$B$12+Assumptions!$B$13+Assumptions!$B$14)+G579+F579+D579+E579)+Assumptions!$B$65),($B$554*(1-$B$551)-$B$555)/((Assumptions!$B$9+Assumptions!$B$11+Assumptions!$B$12+Assumptions!$B$13+Assumptions!$B$14)+G579+F579+D579+E579))</f>
        <v/>
      </c>
      <c r="I579">
        <f>$B$554/H579</f>
        <v/>
      </c>
      <c r="J579">
        <f>$B$555/H579</f>
        <v/>
      </c>
      <c r="K579">
        <f>I579-J579</f>
        <v/>
      </c>
      <c r="L579">
        <f>Assumptions!$B$51/K579</f>
        <v/>
      </c>
      <c r="M579">
        <f>H579*(1-Assumptions!$B$52)</f>
        <v/>
      </c>
      <c r="N579">
        <f>MIN(L579,M579)</f>
        <v/>
      </c>
      <c r="O579">
        <f>Assumptions!$B$50/N579</f>
        <v/>
      </c>
      <c r="P579">
        <f>Assumptions!$B$54/K579</f>
        <v/>
      </c>
      <c r="Q579">
        <f>H579*(1-Assumptions!$B$55)</f>
        <v/>
      </c>
      <c r="R579">
        <f>MIN(P579,Q579)</f>
        <v/>
      </c>
      <c r="S579">
        <f>Assumptions!$B$53/R579</f>
        <v/>
      </c>
      <c r="T579">
        <f>Assumptions!$B$27*(Assumptions!$B$64+$B$555/Assumptions!$B$27)/(Assumptions!$B$64+J579)</f>
        <v/>
      </c>
      <c r="U579">
        <f>IF(H579&lt;Assumptions!$B$27,Assumptions!$B$27/T579,1)</f>
        <v/>
      </c>
      <c r="V579">
        <f>Assumptions!$B$26*(Assumptions!$B$64+$B$555/Assumptions!$B$26)/(Assumptions!$B$64+J579)</f>
        <v/>
      </c>
      <c r="W579">
        <f>IF(H579&lt;Assumptions!$B$26,Assumptions!$B$26/V579,1)</f>
        <v/>
      </c>
    </row>
    <row r="580">
      <c r="A580" t="n">
        <v>22</v>
      </c>
      <c r="B580">
        <f>U579</f>
        <v/>
      </c>
      <c r="C580">
        <f>W579</f>
        <v/>
      </c>
      <c r="D580">
        <f>O579</f>
        <v/>
      </c>
      <c r="E580">
        <f>S579</f>
        <v/>
      </c>
      <c r="F580">
        <f>Assumptions!$B$16*B580</f>
        <v/>
      </c>
      <c r="G580">
        <f>Assumptions!$B$15*C580</f>
        <v/>
      </c>
      <c r="H580">
        <f>IF($B$551*($B$554/(($B$554*(1-$B$551)-$B$555)/((Assumptions!$B$9+Assumptions!$B$11+Assumptions!$B$12+Assumptions!$B$13+Assumptions!$B$14)+G580+F580+D580+E580)))&lt;Assumptions!$B$65,($B$554-$B$555)/(((Assumptions!$B$9+Assumptions!$B$11+Assumptions!$B$12+Assumptions!$B$13+Assumptions!$B$14)+G580+F580+D580+E580)+Assumptions!$B$65),($B$554*(1-$B$551)-$B$555)/((Assumptions!$B$9+Assumptions!$B$11+Assumptions!$B$12+Assumptions!$B$13+Assumptions!$B$14)+G580+F580+D580+E580))</f>
        <v/>
      </c>
      <c r="I580">
        <f>$B$554/H580</f>
        <v/>
      </c>
      <c r="J580">
        <f>$B$555/H580</f>
        <v/>
      </c>
      <c r="K580">
        <f>I580-J580</f>
        <v/>
      </c>
      <c r="L580">
        <f>Assumptions!$B$51/K580</f>
        <v/>
      </c>
      <c r="M580">
        <f>H580*(1-Assumptions!$B$52)</f>
        <v/>
      </c>
      <c r="N580">
        <f>MIN(L580,M580)</f>
        <v/>
      </c>
      <c r="O580">
        <f>Assumptions!$B$50/N580</f>
        <v/>
      </c>
      <c r="P580">
        <f>Assumptions!$B$54/K580</f>
        <v/>
      </c>
      <c r="Q580">
        <f>H580*(1-Assumptions!$B$55)</f>
        <v/>
      </c>
      <c r="R580">
        <f>MIN(P580,Q580)</f>
        <v/>
      </c>
      <c r="S580">
        <f>Assumptions!$B$53/R580</f>
        <v/>
      </c>
      <c r="T580">
        <f>Assumptions!$B$27*(Assumptions!$B$64+$B$555/Assumptions!$B$27)/(Assumptions!$B$64+J580)</f>
        <v/>
      </c>
      <c r="U580">
        <f>IF(H580&lt;Assumptions!$B$27,Assumptions!$B$27/T580,1)</f>
        <v/>
      </c>
      <c r="V580">
        <f>Assumptions!$B$26*(Assumptions!$B$64+$B$555/Assumptions!$B$26)/(Assumptions!$B$64+J580)</f>
        <v/>
      </c>
      <c r="W580">
        <f>IF(H580&lt;Assumptions!$B$26,Assumptions!$B$26/V580,1)</f>
        <v/>
      </c>
    </row>
    <row r="581">
      <c r="A581" t="n">
        <v>23</v>
      </c>
      <c r="B581">
        <f>U580</f>
        <v/>
      </c>
      <c r="C581">
        <f>W580</f>
        <v/>
      </c>
      <c r="D581">
        <f>O580</f>
        <v/>
      </c>
      <c r="E581">
        <f>S580</f>
        <v/>
      </c>
      <c r="F581">
        <f>Assumptions!$B$16*B581</f>
        <v/>
      </c>
      <c r="G581">
        <f>Assumptions!$B$15*C581</f>
        <v/>
      </c>
      <c r="H581">
        <f>IF($B$551*($B$554/(($B$554*(1-$B$551)-$B$555)/((Assumptions!$B$9+Assumptions!$B$11+Assumptions!$B$12+Assumptions!$B$13+Assumptions!$B$14)+G581+F581+D581+E581)))&lt;Assumptions!$B$65,($B$554-$B$555)/(((Assumptions!$B$9+Assumptions!$B$11+Assumptions!$B$12+Assumptions!$B$13+Assumptions!$B$14)+G581+F581+D581+E581)+Assumptions!$B$65),($B$554*(1-$B$551)-$B$555)/((Assumptions!$B$9+Assumptions!$B$11+Assumptions!$B$12+Assumptions!$B$13+Assumptions!$B$14)+G581+F581+D581+E581))</f>
        <v/>
      </c>
      <c r="I581">
        <f>$B$554/H581</f>
        <v/>
      </c>
      <c r="J581">
        <f>$B$555/H581</f>
        <v/>
      </c>
      <c r="K581">
        <f>I581-J581</f>
        <v/>
      </c>
      <c r="L581">
        <f>Assumptions!$B$51/K581</f>
        <v/>
      </c>
      <c r="M581">
        <f>H581*(1-Assumptions!$B$52)</f>
        <v/>
      </c>
      <c r="N581">
        <f>MIN(L581,M581)</f>
        <v/>
      </c>
      <c r="O581">
        <f>Assumptions!$B$50/N581</f>
        <v/>
      </c>
      <c r="P581">
        <f>Assumptions!$B$54/K581</f>
        <v/>
      </c>
      <c r="Q581">
        <f>H581*(1-Assumptions!$B$55)</f>
        <v/>
      </c>
      <c r="R581">
        <f>MIN(P581,Q581)</f>
        <v/>
      </c>
      <c r="S581">
        <f>Assumptions!$B$53/R581</f>
        <v/>
      </c>
      <c r="T581">
        <f>Assumptions!$B$27*(Assumptions!$B$64+$B$555/Assumptions!$B$27)/(Assumptions!$B$64+J581)</f>
        <v/>
      </c>
      <c r="U581">
        <f>IF(H581&lt;Assumptions!$B$27,Assumptions!$B$27/T581,1)</f>
        <v/>
      </c>
      <c r="V581">
        <f>Assumptions!$B$26*(Assumptions!$B$64+$B$555/Assumptions!$B$26)/(Assumptions!$B$64+J581)</f>
        <v/>
      </c>
      <c r="W581">
        <f>IF(H581&lt;Assumptions!$B$26,Assumptions!$B$26/V581,1)</f>
        <v/>
      </c>
    </row>
    <row r="582">
      <c r="A582" t="n">
        <v>24</v>
      </c>
      <c r="B582">
        <f>U581</f>
        <v/>
      </c>
      <c r="C582">
        <f>W581</f>
        <v/>
      </c>
      <c r="D582">
        <f>O581</f>
        <v/>
      </c>
      <c r="E582">
        <f>S581</f>
        <v/>
      </c>
      <c r="F582">
        <f>Assumptions!$B$16*B582</f>
        <v/>
      </c>
      <c r="G582">
        <f>Assumptions!$B$15*C582</f>
        <v/>
      </c>
      <c r="H582">
        <f>IF($B$551*($B$554/(($B$554*(1-$B$551)-$B$555)/((Assumptions!$B$9+Assumptions!$B$11+Assumptions!$B$12+Assumptions!$B$13+Assumptions!$B$14)+G582+F582+D582+E582)))&lt;Assumptions!$B$65,($B$554-$B$555)/(((Assumptions!$B$9+Assumptions!$B$11+Assumptions!$B$12+Assumptions!$B$13+Assumptions!$B$14)+G582+F582+D582+E582)+Assumptions!$B$65),($B$554*(1-$B$551)-$B$555)/((Assumptions!$B$9+Assumptions!$B$11+Assumptions!$B$12+Assumptions!$B$13+Assumptions!$B$14)+G582+F582+D582+E582))</f>
        <v/>
      </c>
      <c r="I582">
        <f>$B$554/H582</f>
        <v/>
      </c>
      <c r="J582">
        <f>$B$555/H582</f>
        <v/>
      </c>
      <c r="K582">
        <f>I582-J582</f>
        <v/>
      </c>
      <c r="L582">
        <f>Assumptions!$B$51/K582</f>
        <v/>
      </c>
      <c r="M582">
        <f>H582*(1-Assumptions!$B$52)</f>
        <v/>
      </c>
      <c r="N582">
        <f>MIN(L582,M582)</f>
        <v/>
      </c>
      <c r="O582">
        <f>Assumptions!$B$50/N582</f>
        <v/>
      </c>
      <c r="P582">
        <f>Assumptions!$B$54/K582</f>
        <v/>
      </c>
      <c r="Q582">
        <f>H582*(1-Assumptions!$B$55)</f>
        <v/>
      </c>
      <c r="R582">
        <f>MIN(P582,Q582)</f>
        <v/>
      </c>
      <c r="S582">
        <f>Assumptions!$B$53/R582</f>
        <v/>
      </c>
      <c r="T582">
        <f>Assumptions!$B$27*(Assumptions!$B$64+$B$555/Assumptions!$B$27)/(Assumptions!$B$64+J582)</f>
        <v/>
      </c>
      <c r="U582">
        <f>IF(H582&lt;Assumptions!$B$27,Assumptions!$B$27/T582,1)</f>
        <v/>
      </c>
      <c r="V582">
        <f>Assumptions!$B$26*(Assumptions!$B$64+$B$555/Assumptions!$B$26)/(Assumptions!$B$64+J582)</f>
        <v/>
      </c>
      <c r="W582">
        <f>IF(H582&lt;Assumptions!$B$26,Assumptions!$B$26/V582,1)</f>
        <v/>
      </c>
    </row>
    <row r="583">
      <c r="A583" t="n">
        <v>25</v>
      </c>
      <c r="B583">
        <f>U582</f>
        <v/>
      </c>
      <c r="C583">
        <f>W582</f>
        <v/>
      </c>
      <c r="D583">
        <f>O582</f>
        <v/>
      </c>
      <c r="E583">
        <f>S582</f>
        <v/>
      </c>
      <c r="F583">
        <f>Assumptions!$B$16*B583</f>
        <v/>
      </c>
      <c r="G583">
        <f>Assumptions!$B$15*C583</f>
        <v/>
      </c>
      <c r="H583">
        <f>IF($B$551*($B$554/(($B$554*(1-$B$551)-$B$555)/((Assumptions!$B$9+Assumptions!$B$11+Assumptions!$B$12+Assumptions!$B$13+Assumptions!$B$14)+G583+F583+D583+E583)))&lt;Assumptions!$B$65,($B$554-$B$555)/(((Assumptions!$B$9+Assumptions!$B$11+Assumptions!$B$12+Assumptions!$B$13+Assumptions!$B$14)+G583+F583+D583+E583)+Assumptions!$B$65),($B$554*(1-$B$551)-$B$555)/((Assumptions!$B$9+Assumptions!$B$11+Assumptions!$B$12+Assumptions!$B$13+Assumptions!$B$14)+G583+F583+D583+E583))</f>
        <v/>
      </c>
      <c r="I583">
        <f>$B$554/H583</f>
        <v/>
      </c>
      <c r="J583">
        <f>$B$555/H583</f>
        <v/>
      </c>
      <c r="K583">
        <f>I583-J583</f>
        <v/>
      </c>
      <c r="L583">
        <f>Assumptions!$B$51/K583</f>
        <v/>
      </c>
      <c r="M583">
        <f>H583*(1-Assumptions!$B$52)</f>
        <v/>
      </c>
      <c r="N583">
        <f>MIN(L583,M583)</f>
        <v/>
      </c>
      <c r="O583">
        <f>Assumptions!$B$50/N583</f>
        <v/>
      </c>
      <c r="P583">
        <f>Assumptions!$B$54/K583</f>
        <v/>
      </c>
      <c r="Q583">
        <f>H583*(1-Assumptions!$B$55)</f>
        <v/>
      </c>
      <c r="R583">
        <f>MIN(P583,Q583)</f>
        <v/>
      </c>
      <c r="S583">
        <f>Assumptions!$B$53/R583</f>
        <v/>
      </c>
      <c r="T583">
        <f>Assumptions!$B$27*(Assumptions!$B$64+$B$555/Assumptions!$B$27)/(Assumptions!$B$64+J583)</f>
        <v/>
      </c>
      <c r="U583">
        <f>IF(H583&lt;Assumptions!$B$27,Assumptions!$B$27/T583,1)</f>
        <v/>
      </c>
      <c r="V583">
        <f>Assumptions!$B$26*(Assumptions!$B$64+$B$555/Assumptions!$B$26)/(Assumptions!$B$64+J583)</f>
        <v/>
      </c>
      <c r="W583">
        <f>IF(H583&lt;Assumptions!$B$26,Assumptions!$B$26/V583,1)</f>
        <v/>
      </c>
    </row>
    <row r="584">
      <c r="A584" t="n">
        <v>26</v>
      </c>
      <c r="B584">
        <f>U583</f>
        <v/>
      </c>
      <c r="C584">
        <f>W583</f>
        <v/>
      </c>
      <c r="D584">
        <f>O583</f>
        <v/>
      </c>
      <c r="E584">
        <f>S583</f>
        <v/>
      </c>
      <c r="F584">
        <f>Assumptions!$B$16*B584</f>
        <v/>
      </c>
      <c r="G584">
        <f>Assumptions!$B$15*C584</f>
        <v/>
      </c>
      <c r="H584">
        <f>IF($B$551*($B$554/(($B$554*(1-$B$551)-$B$555)/((Assumptions!$B$9+Assumptions!$B$11+Assumptions!$B$12+Assumptions!$B$13+Assumptions!$B$14)+G584+F584+D584+E584)))&lt;Assumptions!$B$65,($B$554-$B$555)/(((Assumptions!$B$9+Assumptions!$B$11+Assumptions!$B$12+Assumptions!$B$13+Assumptions!$B$14)+G584+F584+D584+E584)+Assumptions!$B$65),($B$554*(1-$B$551)-$B$555)/((Assumptions!$B$9+Assumptions!$B$11+Assumptions!$B$12+Assumptions!$B$13+Assumptions!$B$14)+G584+F584+D584+E584))</f>
        <v/>
      </c>
      <c r="I584">
        <f>$B$554/H584</f>
        <v/>
      </c>
      <c r="J584">
        <f>$B$555/H584</f>
        <v/>
      </c>
      <c r="K584">
        <f>I584-J584</f>
        <v/>
      </c>
      <c r="L584">
        <f>Assumptions!$B$51/K584</f>
        <v/>
      </c>
      <c r="M584">
        <f>H584*(1-Assumptions!$B$52)</f>
        <v/>
      </c>
      <c r="N584">
        <f>MIN(L584,M584)</f>
        <v/>
      </c>
      <c r="O584">
        <f>Assumptions!$B$50/N584</f>
        <v/>
      </c>
      <c r="P584">
        <f>Assumptions!$B$54/K584</f>
        <v/>
      </c>
      <c r="Q584">
        <f>H584*(1-Assumptions!$B$55)</f>
        <v/>
      </c>
      <c r="R584">
        <f>MIN(P584,Q584)</f>
        <v/>
      </c>
      <c r="S584">
        <f>Assumptions!$B$53/R584</f>
        <v/>
      </c>
      <c r="T584">
        <f>Assumptions!$B$27*(Assumptions!$B$64+$B$555/Assumptions!$B$27)/(Assumptions!$B$64+J584)</f>
        <v/>
      </c>
      <c r="U584">
        <f>IF(H584&lt;Assumptions!$B$27,Assumptions!$B$27/T584,1)</f>
        <v/>
      </c>
      <c r="V584">
        <f>Assumptions!$B$26*(Assumptions!$B$64+$B$555/Assumptions!$B$26)/(Assumptions!$B$64+J584)</f>
        <v/>
      </c>
      <c r="W584">
        <f>IF(H584&lt;Assumptions!$B$26,Assumptions!$B$26/V584,1)</f>
        <v/>
      </c>
    </row>
    <row r="585">
      <c r="A585" t="n">
        <v>27</v>
      </c>
      <c r="B585">
        <f>U584</f>
        <v/>
      </c>
      <c r="C585">
        <f>W584</f>
        <v/>
      </c>
      <c r="D585">
        <f>O584</f>
        <v/>
      </c>
      <c r="E585">
        <f>S584</f>
        <v/>
      </c>
      <c r="F585">
        <f>Assumptions!$B$16*B585</f>
        <v/>
      </c>
      <c r="G585">
        <f>Assumptions!$B$15*C585</f>
        <v/>
      </c>
      <c r="H585">
        <f>IF($B$551*($B$554/(($B$554*(1-$B$551)-$B$555)/((Assumptions!$B$9+Assumptions!$B$11+Assumptions!$B$12+Assumptions!$B$13+Assumptions!$B$14)+G585+F585+D585+E585)))&lt;Assumptions!$B$65,($B$554-$B$555)/(((Assumptions!$B$9+Assumptions!$B$11+Assumptions!$B$12+Assumptions!$B$13+Assumptions!$B$14)+G585+F585+D585+E585)+Assumptions!$B$65),($B$554*(1-$B$551)-$B$555)/((Assumptions!$B$9+Assumptions!$B$11+Assumptions!$B$12+Assumptions!$B$13+Assumptions!$B$14)+G585+F585+D585+E585))</f>
        <v/>
      </c>
      <c r="I585">
        <f>$B$554/H585</f>
        <v/>
      </c>
      <c r="J585">
        <f>$B$555/H585</f>
        <v/>
      </c>
      <c r="K585">
        <f>I585-J585</f>
        <v/>
      </c>
      <c r="L585">
        <f>Assumptions!$B$51/K585</f>
        <v/>
      </c>
      <c r="M585">
        <f>H585*(1-Assumptions!$B$52)</f>
        <v/>
      </c>
      <c r="N585">
        <f>MIN(L585,M585)</f>
        <v/>
      </c>
      <c r="O585">
        <f>Assumptions!$B$50/N585</f>
        <v/>
      </c>
      <c r="P585">
        <f>Assumptions!$B$54/K585</f>
        <v/>
      </c>
      <c r="Q585">
        <f>H585*(1-Assumptions!$B$55)</f>
        <v/>
      </c>
      <c r="R585">
        <f>MIN(P585,Q585)</f>
        <v/>
      </c>
      <c r="S585">
        <f>Assumptions!$B$53/R585</f>
        <v/>
      </c>
      <c r="T585">
        <f>Assumptions!$B$27*(Assumptions!$B$64+$B$555/Assumptions!$B$27)/(Assumptions!$B$64+J585)</f>
        <v/>
      </c>
      <c r="U585">
        <f>IF(H585&lt;Assumptions!$B$27,Assumptions!$B$27/T585,1)</f>
        <v/>
      </c>
      <c r="V585">
        <f>Assumptions!$B$26*(Assumptions!$B$64+$B$555/Assumptions!$B$26)/(Assumptions!$B$64+J585)</f>
        <v/>
      </c>
      <c r="W585">
        <f>IF(H585&lt;Assumptions!$B$26,Assumptions!$B$26/V585,1)</f>
        <v/>
      </c>
    </row>
    <row r="586">
      <c r="A586" t="n">
        <v>28</v>
      </c>
      <c r="B586">
        <f>U585</f>
        <v/>
      </c>
      <c r="C586">
        <f>W585</f>
        <v/>
      </c>
      <c r="D586">
        <f>O585</f>
        <v/>
      </c>
      <c r="E586">
        <f>S585</f>
        <v/>
      </c>
      <c r="F586">
        <f>Assumptions!$B$16*B586</f>
        <v/>
      </c>
      <c r="G586">
        <f>Assumptions!$B$15*C586</f>
        <v/>
      </c>
      <c r="H586">
        <f>IF($B$551*($B$554/(($B$554*(1-$B$551)-$B$555)/((Assumptions!$B$9+Assumptions!$B$11+Assumptions!$B$12+Assumptions!$B$13+Assumptions!$B$14)+G586+F586+D586+E586)))&lt;Assumptions!$B$65,($B$554-$B$555)/(((Assumptions!$B$9+Assumptions!$B$11+Assumptions!$B$12+Assumptions!$B$13+Assumptions!$B$14)+G586+F586+D586+E586)+Assumptions!$B$65),($B$554*(1-$B$551)-$B$555)/((Assumptions!$B$9+Assumptions!$B$11+Assumptions!$B$12+Assumptions!$B$13+Assumptions!$B$14)+G586+F586+D586+E586))</f>
        <v/>
      </c>
      <c r="I586">
        <f>$B$554/H586</f>
        <v/>
      </c>
      <c r="J586">
        <f>$B$555/H586</f>
        <v/>
      </c>
      <c r="K586">
        <f>I586-J586</f>
        <v/>
      </c>
      <c r="L586">
        <f>Assumptions!$B$51/K586</f>
        <v/>
      </c>
      <c r="M586">
        <f>H586*(1-Assumptions!$B$52)</f>
        <v/>
      </c>
      <c r="N586">
        <f>MIN(L586,M586)</f>
        <v/>
      </c>
      <c r="O586">
        <f>Assumptions!$B$50/N586</f>
        <v/>
      </c>
      <c r="P586">
        <f>Assumptions!$B$54/K586</f>
        <v/>
      </c>
      <c r="Q586">
        <f>H586*(1-Assumptions!$B$55)</f>
        <v/>
      </c>
      <c r="R586">
        <f>MIN(P586,Q586)</f>
        <v/>
      </c>
      <c r="S586">
        <f>Assumptions!$B$53/R586</f>
        <v/>
      </c>
      <c r="T586">
        <f>Assumptions!$B$27*(Assumptions!$B$64+$B$555/Assumptions!$B$27)/(Assumptions!$B$64+J586)</f>
        <v/>
      </c>
      <c r="U586">
        <f>IF(H586&lt;Assumptions!$B$27,Assumptions!$B$27/T586,1)</f>
        <v/>
      </c>
      <c r="V586">
        <f>Assumptions!$B$26*(Assumptions!$B$64+$B$555/Assumptions!$B$26)/(Assumptions!$B$64+J586)</f>
        <v/>
      </c>
      <c r="W586">
        <f>IF(H586&lt;Assumptions!$B$26,Assumptions!$B$26/V586,1)</f>
        <v/>
      </c>
    </row>
    <row r="587">
      <c r="A587" t="n">
        <v>29</v>
      </c>
      <c r="B587">
        <f>U586</f>
        <v/>
      </c>
      <c r="C587">
        <f>W586</f>
        <v/>
      </c>
      <c r="D587">
        <f>O586</f>
        <v/>
      </c>
      <c r="E587">
        <f>S586</f>
        <v/>
      </c>
      <c r="F587">
        <f>Assumptions!$B$16*B587</f>
        <v/>
      </c>
      <c r="G587">
        <f>Assumptions!$B$15*C587</f>
        <v/>
      </c>
      <c r="H587">
        <f>IF($B$551*($B$554/(($B$554*(1-$B$551)-$B$555)/((Assumptions!$B$9+Assumptions!$B$11+Assumptions!$B$12+Assumptions!$B$13+Assumptions!$B$14)+G587+F587+D587+E587)))&lt;Assumptions!$B$65,($B$554-$B$555)/(((Assumptions!$B$9+Assumptions!$B$11+Assumptions!$B$12+Assumptions!$B$13+Assumptions!$B$14)+G587+F587+D587+E587)+Assumptions!$B$65),($B$554*(1-$B$551)-$B$555)/((Assumptions!$B$9+Assumptions!$B$11+Assumptions!$B$12+Assumptions!$B$13+Assumptions!$B$14)+G587+F587+D587+E587))</f>
        <v/>
      </c>
      <c r="I587">
        <f>$B$554/H587</f>
        <v/>
      </c>
      <c r="J587">
        <f>$B$555/H587</f>
        <v/>
      </c>
      <c r="K587">
        <f>I587-J587</f>
        <v/>
      </c>
      <c r="L587">
        <f>Assumptions!$B$51/K587</f>
        <v/>
      </c>
      <c r="M587">
        <f>H587*(1-Assumptions!$B$52)</f>
        <v/>
      </c>
      <c r="N587">
        <f>MIN(L587,M587)</f>
        <v/>
      </c>
      <c r="O587">
        <f>Assumptions!$B$50/N587</f>
        <v/>
      </c>
      <c r="P587">
        <f>Assumptions!$B$54/K587</f>
        <v/>
      </c>
      <c r="Q587">
        <f>H587*(1-Assumptions!$B$55)</f>
        <v/>
      </c>
      <c r="R587">
        <f>MIN(P587,Q587)</f>
        <v/>
      </c>
      <c r="S587">
        <f>Assumptions!$B$53/R587</f>
        <v/>
      </c>
      <c r="T587">
        <f>Assumptions!$B$27*(Assumptions!$B$64+$B$555/Assumptions!$B$27)/(Assumptions!$B$64+J587)</f>
        <v/>
      </c>
      <c r="U587">
        <f>IF(H587&lt;Assumptions!$B$27,Assumptions!$B$27/T587,1)</f>
        <v/>
      </c>
      <c r="V587">
        <f>Assumptions!$B$26*(Assumptions!$B$64+$B$555/Assumptions!$B$26)/(Assumptions!$B$64+J587)</f>
        <v/>
      </c>
      <c r="W587">
        <f>IF(H587&lt;Assumptions!$B$26,Assumptions!$B$26/V587,1)</f>
        <v/>
      </c>
    </row>
    <row r="588">
      <c r="A588" t="n">
        <v>30</v>
      </c>
      <c r="B588">
        <f>U587</f>
        <v/>
      </c>
      <c r="C588">
        <f>W587</f>
        <v/>
      </c>
      <c r="D588">
        <f>O587</f>
        <v/>
      </c>
      <c r="E588">
        <f>S587</f>
        <v/>
      </c>
      <c r="F588">
        <f>Assumptions!$B$16*B588</f>
        <v/>
      </c>
      <c r="G588">
        <f>Assumptions!$B$15*C588</f>
        <v/>
      </c>
      <c r="H588">
        <f>IF($B$551*($B$554/(($B$554*(1-$B$551)-$B$555)/((Assumptions!$B$9+Assumptions!$B$11+Assumptions!$B$12+Assumptions!$B$13+Assumptions!$B$14)+G588+F588+D588+E588)))&lt;Assumptions!$B$65,($B$554-$B$555)/(((Assumptions!$B$9+Assumptions!$B$11+Assumptions!$B$12+Assumptions!$B$13+Assumptions!$B$14)+G588+F588+D588+E588)+Assumptions!$B$65),($B$554*(1-$B$551)-$B$555)/((Assumptions!$B$9+Assumptions!$B$11+Assumptions!$B$12+Assumptions!$B$13+Assumptions!$B$14)+G588+F588+D588+E588))</f>
        <v/>
      </c>
      <c r="I588">
        <f>$B$554/H588</f>
        <v/>
      </c>
      <c r="J588">
        <f>$B$555/H588</f>
        <v/>
      </c>
      <c r="K588">
        <f>I588-J588</f>
        <v/>
      </c>
      <c r="L588">
        <f>Assumptions!$B$51/K588</f>
        <v/>
      </c>
      <c r="M588">
        <f>H588*(1-Assumptions!$B$52)</f>
        <v/>
      </c>
      <c r="N588">
        <f>MIN(L588,M588)</f>
        <v/>
      </c>
      <c r="O588">
        <f>Assumptions!$B$50/N588</f>
        <v/>
      </c>
      <c r="P588">
        <f>Assumptions!$B$54/K588</f>
        <v/>
      </c>
      <c r="Q588">
        <f>H588*(1-Assumptions!$B$55)</f>
        <v/>
      </c>
      <c r="R588">
        <f>MIN(P588,Q588)</f>
        <v/>
      </c>
      <c r="S588">
        <f>Assumptions!$B$53/R588</f>
        <v/>
      </c>
      <c r="T588">
        <f>Assumptions!$B$27*(Assumptions!$B$64+$B$555/Assumptions!$B$27)/(Assumptions!$B$64+J588)</f>
        <v/>
      </c>
      <c r="U588">
        <f>IF(H588&lt;Assumptions!$B$27,Assumptions!$B$27/T588,1)</f>
        <v/>
      </c>
      <c r="V588">
        <f>Assumptions!$B$26*(Assumptions!$B$64+$B$555/Assumptions!$B$26)/(Assumptions!$B$64+J588)</f>
        <v/>
      </c>
      <c r="W588">
        <f>IF(H588&lt;Assumptions!$B$26,Assumptions!$B$26/V588,1)</f>
        <v/>
      </c>
    </row>
    <row r="589">
      <c r="A589" t="n">
        <v>31</v>
      </c>
      <c r="B589">
        <f>U588</f>
        <v/>
      </c>
      <c r="C589">
        <f>W588</f>
        <v/>
      </c>
      <c r="D589">
        <f>O588</f>
        <v/>
      </c>
      <c r="E589">
        <f>S588</f>
        <v/>
      </c>
      <c r="F589">
        <f>Assumptions!$B$16*B589</f>
        <v/>
      </c>
      <c r="G589">
        <f>Assumptions!$B$15*C589</f>
        <v/>
      </c>
      <c r="H589">
        <f>IF($B$551*($B$554/(($B$554*(1-$B$551)-$B$555)/((Assumptions!$B$9+Assumptions!$B$11+Assumptions!$B$12+Assumptions!$B$13+Assumptions!$B$14)+G589+F589+D589+E589)))&lt;Assumptions!$B$65,($B$554-$B$555)/(((Assumptions!$B$9+Assumptions!$B$11+Assumptions!$B$12+Assumptions!$B$13+Assumptions!$B$14)+G589+F589+D589+E589)+Assumptions!$B$65),($B$554*(1-$B$551)-$B$555)/((Assumptions!$B$9+Assumptions!$B$11+Assumptions!$B$12+Assumptions!$B$13+Assumptions!$B$14)+G589+F589+D589+E589))</f>
        <v/>
      </c>
      <c r="I589">
        <f>$B$554/H589</f>
        <v/>
      </c>
      <c r="J589">
        <f>$B$555/H589</f>
        <v/>
      </c>
      <c r="K589">
        <f>I589-J589</f>
        <v/>
      </c>
      <c r="L589">
        <f>Assumptions!$B$51/K589</f>
        <v/>
      </c>
      <c r="M589">
        <f>H589*(1-Assumptions!$B$52)</f>
        <v/>
      </c>
      <c r="N589">
        <f>MIN(L589,M589)</f>
        <v/>
      </c>
      <c r="O589">
        <f>Assumptions!$B$50/N589</f>
        <v/>
      </c>
      <c r="P589">
        <f>Assumptions!$B$54/K589</f>
        <v/>
      </c>
      <c r="Q589">
        <f>H589*(1-Assumptions!$B$55)</f>
        <v/>
      </c>
      <c r="R589">
        <f>MIN(P589,Q589)</f>
        <v/>
      </c>
      <c r="S589">
        <f>Assumptions!$B$53/R589</f>
        <v/>
      </c>
      <c r="T589">
        <f>Assumptions!$B$27*(Assumptions!$B$64+$B$555/Assumptions!$B$27)/(Assumptions!$B$64+J589)</f>
        <v/>
      </c>
      <c r="U589">
        <f>IF(H589&lt;Assumptions!$B$27,Assumptions!$B$27/T589,1)</f>
        <v/>
      </c>
      <c r="V589">
        <f>Assumptions!$B$26*(Assumptions!$B$64+$B$555/Assumptions!$B$26)/(Assumptions!$B$64+J589)</f>
        <v/>
      </c>
      <c r="W589">
        <f>IF(H589&lt;Assumptions!$B$26,Assumptions!$B$26/V589,1)</f>
        <v/>
      </c>
    </row>
    <row r="590">
      <c r="A590" t="n">
        <v>32</v>
      </c>
      <c r="B590">
        <f>U589</f>
        <v/>
      </c>
      <c r="C590">
        <f>W589</f>
        <v/>
      </c>
      <c r="D590">
        <f>O589</f>
        <v/>
      </c>
      <c r="E590">
        <f>S589</f>
        <v/>
      </c>
      <c r="F590">
        <f>Assumptions!$B$16*B590</f>
        <v/>
      </c>
      <c r="G590">
        <f>Assumptions!$B$15*C590</f>
        <v/>
      </c>
      <c r="H590">
        <f>IF($B$551*($B$554/(($B$554*(1-$B$551)-$B$555)/((Assumptions!$B$9+Assumptions!$B$11+Assumptions!$B$12+Assumptions!$B$13+Assumptions!$B$14)+G590+F590+D590+E590)))&lt;Assumptions!$B$65,($B$554-$B$555)/(((Assumptions!$B$9+Assumptions!$B$11+Assumptions!$B$12+Assumptions!$B$13+Assumptions!$B$14)+G590+F590+D590+E590)+Assumptions!$B$65),($B$554*(1-$B$551)-$B$555)/((Assumptions!$B$9+Assumptions!$B$11+Assumptions!$B$12+Assumptions!$B$13+Assumptions!$B$14)+G590+F590+D590+E590))</f>
        <v/>
      </c>
      <c r="I590">
        <f>$B$554/H590</f>
        <v/>
      </c>
      <c r="J590">
        <f>$B$555/H590</f>
        <v/>
      </c>
      <c r="K590">
        <f>I590-J590</f>
        <v/>
      </c>
      <c r="L590">
        <f>Assumptions!$B$51/K590</f>
        <v/>
      </c>
      <c r="M590">
        <f>H590*(1-Assumptions!$B$52)</f>
        <v/>
      </c>
      <c r="N590">
        <f>MIN(L590,M590)</f>
        <v/>
      </c>
      <c r="O590">
        <f>Assumptions!$B$50/N590</f>
        <v/>
      </c>
      <c r="P590">
        <f>Assumptions!$B$54/K590</f>
        <v/>
      </c>
      <c r="Q590">
        <f>H590*(1-Assumptions!$B$55)</f>
        <v/>
      </c>
      <c r="R590">
        <f>MIN(P590,Q590)</f>
        <v/>
      </c>
      <c r="S590">
        <f>Assumptions!$B$53/R590</f>
        <v/>
      </c>
      <c r="T590">
        <f>Assumptions!$B$27*(Assumptions!$B$64+$B$555/Assumptions!$B$27)/(Assumptions!$B$64+J590)</f>
        <v/>
      </c>
      <c r="U590">
        <f>IF(H590&lt;Assumptions!$B$27,Assumptions!$B$27/T590,1)</f>
        <v/>
      </c>
      <c r="V590">
        <f>Assumptions!$B$26*(Assumptions!$B$64+$B$555/Assumptions!$B$26)/(Assumptions!$B$64+J590)</f>
        <v/>
      </c>
      <c r="W590">
        <f>IF(H590&lt;Assumptions!$B$26,Assumptions!$B$26/V590,1)</f>
        <v/>
      </c>
    </row>
    <row r="591">
      <c r="A591" t="n">
        <v>33</v>
      </c>
      <c r="B591">
        <f>U590</f>
        <v/>
      </c>
      <c r="C591">
        <f>W590</f>
        <v/>
      </c>
      <c r="D591">
        <f>O590</f>
        <v/>
      </c>
      <c r="E591">
        <f>S590</f>
        <v/>
      </c>
      <c r="F591">
        <f>Assumptions!$B$16*B591</f>
        <v/>
      </c>
      <c r="G591">
        <f>Assumptions!$B$15*C591</f>
        <v/>
      </c>
      <c r="H591">
        <f>IF($B$551*($B$554/(($B$554*(1-$B$551)-$B$555)/((Assumptions!$B$9+Assumptions!$B$11+Assumptions!$B$12+Assumptions!$B$13+Assumptions!$B$14)+G591+F591+D591+E591)))&lt;Assumptions!$B$65,($B$554-$B$555)/(((Assumptions!$B$9+Assumptions!$B$11+Assumptions!$B$12+Assumptions!$B$13+Assumptions!$B$14)+G591+F591+D591+E591)+Assumptions!$B$65),($B$554*(1-$B$551)-$B$555)/((Assumptions!$B$9+Assumptions!$B$11+Assumptions!$B$12+Assumptions!$B$13+Assumptions!$B$14)+G591+F591+D591+E591))</f>
        <v/>
      </c>
      <c r="I591">
        <f>$B$554/H591</f>
        <v/>
      </c>
      <c r="J591">
        <f>$B$555/H591</f>
        <v/>
      </c>
      <c r="K591">
        <f>I591-J591</f>
        <v/>
      </c>
      <c r="L591">
        <f>Assumptions!$B$51/K591</f>
        <v/>
      </c>
      <c r="M591">
        <f>H591*(1-Assumptions!$B$52)</f>
        <v/>
      </c>
      <c r="N591">
        <f>MIN(L591,M591)</f>
        <v/>
      </c>
      <c r="O591">
        <f>Assumptions!$B$50/N591</f>
        <v/>
      </c>
      <c r="P591">
        <f>Assumptions!$B$54/K591</f>
        <v/>
      </c>
      <c r="Q591">
        <f>H591*(1-Assumptions!$B$55)</f>
        <v/>
      </c>
      <c r="R591">
        <f>MIN(P591,Q591)</f>
        <v/>
      </c>
      <c r="S591">
        <f>Assumptions!$B$53/R591</f>
        <v/>
      </c>
      <c r="T591">
        <f>Assumptions!$B$27*(Assumptions!$B$64+$B$555/Assumptions!$B$27)/(Assumptions!$B$64+J591)</f>
        <v/>
      </c>
      <c r="U591">
        <f>IF(H591&lt;Assumptions!$B$27,Assumptions!$B$27/T591,1)</f>
        <v/>
      </c>
      <c r="V591">
        <f>Assumptions!$B$26*(Assumptions!$B$64+$B$555/Assumptions!$B$26)/(Assumptions!$B$64+J591)</f>
        <v/>
      </c>
      <c r="W591">
        <f>IF(H591&lt;Assumptions!$B$26,Assumptions!$B$26/V591,1)</f>
        <v/>
      </c>
    </row>
    <row r="592">
      <c r="A592" t="n">
        <v>34</v>
      </c>
      <c r="B592">
        <f>U591</f>
        <v/>
      </c>
      <c r="C592">
        <f>W591</f>
        <v/>
      </c>
      <c r="D592">
        <f>O591</f>
        <v/>
      </c>
      <c r="E592">
        <f>S591</f>
        <v/>
      </c>
      <c r="F592">
        <f>Assumptions!$B$16*B592</f>
        <v/>
      </c>
      <c r="G592">
        <f>Assumptions!$B$15*C592</f>
        <v/>
      </c>
      <c r="H592">
        <f>IF($B$551*($B$554/(($B$554*(1-$B$551)-$B$555)/((Assumptions!$B$9+Assumptions!$B$11+Assumptions!$B$12+Assumptions!$B$13+Assumptions!$B$14)+G592+F592+D592+E592)))&lt;Assumptions!$B$65,($B$554-$B$555)/(((Assumptions!$B$9+Assumptions!$B$11+Assumptions!$B$12+Assumptions!$B$13+Assumptions!$B$14)+G592+F592+D592+E592)+Assumptions!$B$65),($B$554*(1-$B$551)-$B$555)/((Assumptions!$B$9+Assumptions!$B$11+Assumptions!$B$12+Assumptions!$B$13+Assumptions!$B$14)+G592+F592+D592+E592))</f>
        <v/>
      </c>
      <c r="I592">
        <f>$B$554/H592</f>
        <v/>
      </c>
      <c r="J592">
        <f>$B$555/H592</f>
        <v/>
      </c>
      <c r="K592">
        <f>I592-J592</f>
        <v/>
      </c>
      <c r="L592">
        <f>Assumptions!$B$51/K592</f>
        <v/>
      </c>
      <c r="M592">
        <f>H592*(1-Assumptions!$B$52)</f>
        <v/>
      </c>
      <c r="N592">
        <f>MIN(L592,M592)</f>
        <v/>
      </c>
      <c r="O592">
        <f>Assumptions!$B$50/N592</f>
        <v/>
      </c>
      <c r="P592">
        <f>Assumptions!$B$54/K592</f>
        <v/>
      </c>
      <c r="Q592">
        <f>H592*(1-Assumptions!$B$55)</f>
        <v/>
      </c>
      <c r="R592">
        <f>MIN(P592,Q592)</f>
        <v/>
      </c>
      <c r="S592">
        <f>Assumptions!$B$53/R592</f>
        <v/>
      </c>
      <c r="T592">
        <f>Assumptions!$B$27*(Assumptions!$B$64+$B$555/Assumptions!$B$27)/(Assumptions!$B$64+J592)</f>
        <v/>
      </c>
      <c r="U592">
        <f>IF(H592&lt;Assumptions!$B$27,Assumptions!$B$27/T592,1)</f>
        <v/>
      </c>
      <c r="V592">
        <f>Assumptions!$B$26*(Assumptions!$B$64+$B$555/Assumptions!$B$26)/(Assumptions!$B$64+J592)</f>
        <v/>
      </c>
      <c r="W592">
        <f>IF(H592&lt;Assumptions!$B$26,Assumptions!$B$26/V592,1)</f>
        <v/>
      </c>
    </row>
    <row r="593">
      <c r="A593" t="n">
        <v>35</v>
      </c>
      <c r="B593">
        <f>U592</f>
        <v/>
      </c>
      <c r="C593">
        <f>W592</f>
        <v/>
      </c>
      <c r="D593">
        <f>O592</f>
        <v/>
      </c>
      <c r="E593">
        <f>S592</f>
        <v/>
      </c>
      <c r="F593">
        <f>Assumptions!$B$16*B593</f>
        <v/>
      </c>
      <c r="G593">
        <f>Assumptions!$B$15*C593</f>
        <v/>
      </c>
      <c r="H593">
        <f>IF($B$551*($B$554/(($B$554*(1-$B$551)-$B$555)/((Assumptions!$B$9+Assumptions!$B$11+Assumptions!$B$12+Assumptions!$B$13+Assumptions!$B$14)+G593+F593+D593+E593)))&lt;Assumptions!$B$65,($B$554-$B$555)/(((Assumptions!$B$9+Assumptions!$B$11+Assumptions!$B$12+Assumptions!$B$13+Assumptions!$B$14)+G593+F593+D593+E593)+Assumptions!$B$65),($B$554*(1-$B$551)-$B$555)/((Assumptions!$B$9+Assumptions!$B$11+Assumptions!$B$12+Assumptions!$B$13+Assumptions!$B$14)+G593+F593+D593+E593))</f>
        <v/>
      </c>
      <c r="I593">
        <f>$B$554/H593</f>
        <v/>
      </c>
      <c r="J593">
        <f>$B$555/H593</f>
        <v/>
      </c>
      <c r="K593">
        <f>I593-J593</f>
        <v/>
      </c>
      <c r="L593">
        <f>Assumptions!$B$51/K593</f>
        <v/>
      </c>
      <c r="M593">
        <f>H593*(1-Assumptions!$B$52)</f>
        <v/>
      </c>
      <c r="N593">
        <f>MIN(L593,M593)</f>
        <v/>
      </c>
      <c r="O593">
        <f>Assumptions!$B$50/N593</f>
        <v/>
      </c>
      <c r="P593">
        <f>Assumptions!$B$54/K593</f>
        <v/>
      </c>
      <c r="Q593">
        <f>H593*(1-Assumptions!$B$55)</f>
        <v/>
      </c>
      <c r="R593">
        <f>MIN(P593,Q593)</f>
        <v/>
      </c>
      <c r="S593">
        <f>Assumptions!$B$53/R593</f>
        <v/>
      </c>
      <c r="T593">
        <f>Assumptions!$B$27*(Assumptions!$B$64+$B$555/Assumptions!$B$27)/(Assumptions!$B$64+J593)</f>
        <v/>
      </c>
      <c r="U593">
        <f>IF(H593&lt;Assumptions!$B$27,Assumptions!$B$27/T593,1)</f>
        <v/>
      </c>
      <c r="V593">
        <f>Assumptions!$B$26*(Assumptions!$B$64+$B$555/Assumptions!$B$26)/(Assumptions!$B$64+J593)</f>
        <v/>
      </c>
      <c r="W593">
        <f>IF(H593&lt;Assumptions!$B$26,Assumptions!$B$26/V593,1)</f>
        <v/>
      </c>
    </row>
    <row r="594">
      <c r="A594" t="n">
        <v>36</v>
      </c>
      <c r="B594">
        <f>U593</f>
        <v/>
      </c>
      <c r="C594">
        <f>W593</f>
        <v/>
      </c>
      <c r="D594">
        <f>O593</f>
        <v/>
      </c>
      <c r="E594">
        <f>S593</f>
        <v/>
      </c>
      <c r="F594">
        <f>Assumptions!$B$16*B594</f>
        <v/>
      </c>
      <c r="G594">
        <f>Assumptions!$B$15*C594</f>
        <v/>
      </c>
      <c r="H594">
        <f>IF($B$551*($B$554/(($B$554*(1-$B$551)-$B$555)/((Assumptions!$B$9+Assumptions!$B$11+Assumptions!$B$12+Assumptions!$B$13+Assumptions!$B$14)+G594+F594+D594+E594)))&lt;Assumptions!$B$65,($B$554-$B$555)/(((Assumptions!$B$9+Assumptions!$B$11+Assumptions!$B$12+Assumptions!$B$13+Assumptions!$B$14)+G594+F594+D594+E594)+Assumptions!$B$65),($B$554*(1-$B$551)-$B$555)/((Assumptions!$B$9+Assumptions!$B$11+Assumptions!$B$12+Assumptions!$B$13+Assumptions!$B$14)+G594+F594+D594+E594))</f>
        <v/>
      </c>
      <c r="I594">
        <f>$B$554/H594</f>
        <v/>
      </c>
      <c r="J594">
        <f>$B$555/H594</f>
        <v/>
      </c>
      <c r="K594">
        <f>I594-J594</f>
        <v/>
      </c>
      <c r="L594">
        <f>Assumptions!$B$51/K594</f>
        <v/>
      </c>
      <c r="M594">
        <f>H594*(1-Assumptions!$B$52)</f>
        <v/>
      </c>
      <c r="N594">
        <f>MIN(L594,M594)</f>
        <v/>
      </c>
      <c r="O594">
        <f>Assumptions!$B$50/N594</f>
        <v/>
      </c>
      <c r="P594">
        <f>Assumptions!$B$54/K594</f>
        <v/>
      </c>
      <c r="Q594">
        <f>H594*(1-Assumptions!$B$55)</f>
        <v/>
      </c>
      <c r="R594">
        <f>MIN(P594,Q594)</f>
        <v/>
      </c>
      <c r="S594">
        <f>Assumptions!$B$53/R594</f>
        <v/>
      </c>
      <c r="T594">
        <f>Assumptions!$B$27*(Assumptions!$B$64+$B$555/Assumptions!$B$27)/(Assumptions!$B$64+J594)</f>
        <v/>
      </c>
      <c r="U594">
        <f>IF(H594&lt;Assumptions!$B$27,Assumptions!$B$27/T594,1)</f>
        <v/>
      </c>
      <c r="V594">
        <f>Assumptions!$B$26*(Assumptions!$B$64+$B$555/Assumptions!$B$26)/(Assumptions!$B$64+J594)</f>
        <v/>
      </c>
      <c r="W594">
        <f>IF(H594&lt;Assumptions!$B$26,Assumptions!$B$26/V594,1)</f>
        <v/>
      </c>
    </row>
    <row r="595">
      <c r="A595" t="n">
        <v>37</v>
      </c>
      <c r="B595">
        <f>U594</f>
        <v/>
      </c>
      <c r="C595">
        <f>W594</f>
        <v/>
      </c>
      <c r="D595">
        <f>O594</f>
        <v/>
      </c>
      <c r="E595">
        <f>S594</f>
        <v/>
      </c>
      <c r="F595">
        <f>Assumptions!$B$16*B595</f>
        <v/>
      </c>
      <c r="G595">
        <f>Assumptions!$B$15*C595</f>
        <v/>
      </c>
      <c r="H595">
        <f>IF($B$551*($B$554/(($B$554*(1-$B$551)-$B$555)/((Assumptions!$B$9+Assumptions!$B$11+Assumptions!$B$12+Assumptions!$B$13+Assumptions!$B$14)+G595+F595+D595+E595)))&lt;Assumptions!$B$65,($B$554-$B$555)/(((Assumptions!$B$9+Assumptions!$B$11+Assumptions!$B$12+Assumptions!$B$13+Assumptions!$B$14)+G595+F595+D595+E595)+Assumptions!$B$65),($B$554*(1-$B$551)-$B$555)/((Assumptions!$B$9+Assumptions!$B$11+Assumptions!$B$12+Assumptions!$B$13+Assumptions!$B$14)+G595+F595+D595+E595))</f>
        <v/>
      </c>
      <c r="I595">
        <f>$B$554/H595</f>
        <v/>
      </c>
      <c r="J595">
        <f>$B$555/H595</f>
        <v/>
      </c>
      <c r="K595">
        <f>I595-J595</f>
        <v/>
      </c>
      <c r="L595">
        <f>Assumptions!$B$51/K595</f>
        <v/>
      </c>
      <c r="M595">
        <f>H595*(1-Assumptions!$B$52)</f>
        <v/>
      </c>
      <c r="N595">
        <f>MIN(L595,M595)</f>
        <v/>
      </c>
      <c r="O595">
        <f>Assumptions!$B$50/N595</f>
        <v/>
      </c>
      <c r="P595">
        <f>Assumptions!$B$54/K595</f>
        <v/>
      </c>
      <c r="Q595">
        <f>H595*(1-Assumptions!$B$55)</f>
        <v/>
      </c>
      <c r="R595">
        <f>MIN(P595,Q595)</f>
        <v/>
      </c>
      <c r="S595">
        <f>Assumptions!$B$53/R595</f>
        <v/>
      </c>
      <c r="T595">
        <f>Assumptions!$B$27*(Assumptions!$B$64+$B$555/Assumptions!$B$27)/(Assumptions!$B$64+J595)</f>
        <v/>
      </c>
      <c r="U595">
        <f>IF(H595&lt;Assumptions!$B$27,Assumptions!$B$27/T595,1)</f>
        <v/>
      </c>
      <c r="V595">
        <f>Assumptions!$B$26*(Assumptions!$B$64+$B$555/Assumptions!$B$26)/(Assumptions!$B$64+J595)</f>
        <v/>
      </c>
      <c r="W595">
        <f>IF(H595&lt;Assumptions!$B$26,Assumptions!$B$26/V595,1)</f>
        <v/>
      </c>
    </row>
    <row r="596">
      <c r="A596" t="n">
        <v>38</v>
      </c>
      <c r="B596">
        <f>U595</f>
        <v/>
      </c>
      <c r="C596">
        <f>W595</f>
        <v/>
      </c>
      <c r="D596">
        <f>O595</f>
        <v/>
      </c>
      <c r="E596">
        <f>S595</f>
        <v/>
      </c>
      <c r="F596">
        <f>Assumptions!$B$16*B596</f>
        <v/>
      </c>
      <c r="G596">
        <f>Assumptions!$B$15*C596</f>
        <v/>
      </c>
      <c r="H596">
        <f>IF($B$551*($B$554/(($B$554*(1-$B$551)-$B$555)/((Assumptions!$B$9+Assumptions!$B$11+Assumptions!$B$12+Assumptions!$B$13+Assumptions!$B$14)+G596+F596+D596+E596)))&lt;Assumptions!$B$65,($B$554-$B$555)/(((Assumptions!$B$9+Assumptions!$B$11+Assumptions!$B$12+Assumptions!$B$13+Assumptions!$B$14)+G596+F596+D596+E596)+Assumptions!$B$65),($B$554*(1-$B$551)-$B$555)/((Assumptions!$B$9+Assumptions!$B$11+Assumptions!$B$12+Assumptions!$B$13+Assumptions!$B$14)+G596+F596+D596+E596))</f>
        <v/>
      </c>
      <c r="I596">
        <f>$B$554/H596</f>
        <v/>
      </c>
      <c r="J596">
        <f>$B$555/H596</f>
        <v/>
      </c>
      <c r="K596">
        <f>I596-J596</f>
        <v/>
      </c>
      <c r="L596">
        <f>Assumptions!$B$51/K596</f>
        <v/>
      </c>
      <c r="M596">
        <f>H596*(1-Assumptions!$B$52)</f>
        <v/>
      </c>
      <c r="N596">
        <f>MIN(L596,M596)</f>
        <v/>
      </c>
      <c r="O596">
        <f>Assumptions!$B$50/N596</f>
        <v/>
      </c>
      <c r="P596">
        <f>Assumptions!$B$54/K596</f>
        <v/>
      </c>
      <c r="Q596">
        <f>H596*(1-Assumptions!$B$55)</f>
        <v/>
      </c>
      <c r="R596">
        <f>MIN(P596,Q596)</f>
        <v/>
      </c>
      <c r="S596">
        <f>Assumptions!$B$53/R596</f>
        <v/>
      </c>
      <c r="T596">
        <f>Assumptions!$B$27*(Assumptions!$B$64+$B$555/Assumptions!$B$27)/(Assumptions!$B$64+J596)</f>
        <v/>
      </c>
      <c r="U596">
        <f>IF(H596&lt;Assumptions!$B$27,Assumptions!$B$27/T596,1)</f>
        <v/>
      </c>
      <c r="V596">
        <f>Assumptions!$B$26*(Assumptions!$B$64+$B$555/Assumptions!$B$26)/(Assumptions!$B$64+J596)</f>
        <v/>
      </c>
      <c r="W596">
        <f>IF(H596&lt;Assumptions!$B$26,Assumptions!$B$26/V596,1)</f>
        <v/>
      </c>
    </row>
    <row r="597">
      <c r="A597" t="n">
        <v>39</v>
      </c>
      <c r="B597">
        <f>U596</f>
        <v/>
      </c>
      <c r="C597">
        <f>W596</f>
        <v/>
      </c>
      <c r="D597">
        <f>O596</f>
        <v/>
      </c>
      <c r="E597">
        <f>S596</f>
        <v/>
      </c>
      <c r="F597">
        <f>Assumptions!$B$16*B597</f>
        <v/>
      </c>
      <c r="G597">
        <f>Assumptions!$B$15*C597</f>
        <v/>
      </c>
      <c r="H597">
        <f>IF($B$551*($B$554/(($B$554*(1-$B$551)-$B$555)/((Assumptions!$B$9+Assumptions!$B$11+Assumptions!$B$12+Assumptions!$B$13+Assumptions!$B$14)+G597+F597+D597+E597)))&lt;Assumptions!$B$65,($B$554-$B$555)/(((Assumptions!$B$9+Assumptions!$B$11+Assumptions!$B$12+Assumptions!$B$13+Assumptions!$B$14)+G597+F597+D597+E597)+Assumptions!$B$65),($B$554*(1-$B$551)-$B$555)/((Assumptions!$B$9+Assumptions!$B$11+Assumptions!$B$12+Assumptions!$B$13+Assumptions!$B$14)+G597+F597+D597+E597))</f>
        <v/>
      </c>
      <c r="I597">
        <f>$B$554/H597</f>
        <v/>
      </c>
      <c r="J597">
        <f>$B$555/H597</f>
        <v/>
      </c>
      <c r="K597">
        <f>I597-J597</f>
        <v/>
      </c>
      <c r="L597">
        <f>Assumptions!$B$51/K597</f>
        <v/>
      </c>
      <c r="M597">
        <f>H597*(1-Assumptions!$B$52)</f>
        <v/>
      </c>
      <c r="N597">
        <f>MIN(L597,M597)</f>
        <v/>
      </c>
      <c r="O597">
        <f>Assumptions!$B$50/N597</f>
        <v/>
      </c>
      <c r="P597">
        <f>Assumptions!$B$54/K597</f>
        <v/>
      </c>
      <c r="Q597">
        <f>H597*(1-Assumptions!$B$55)</f>
        <v/>
      </c>
      <c r="R597">
        <f>MIN(P597,Q597)</f>
        <v/>
      </c>
      <c r="S597">
        <f>Assumptions!$B$53/R597</f>
        <v/>
      </c>
      <c r="T597">
        <f>Assumptions!$B$27*(Assumptions!$B$64+$B$555/Assumptions!$B$27)/(Assumptions!$B$64+J597)</f>
        <v/>
      </c>
      <c r="U597">
        <f>IF(H597&lt;Assumptions!$B$27,Assumptions!$B$27/T597,1)</f>
        <v/>
      </c>
      <c r="V597">
        <f>Assumptions!$B$26*(Assumptions!$B$64+$B$555/Assumptions!$B$26)/(Assumptions!$B$64+J597)</f>
        <v/>
      </c>
      <c r="W597">
        <f>IF(H597&lt;Assumptions!$B$26,Assumptions!$B$26/V597,1)</f>
        <v/>
      </c>
    </row>
    <row r="598">
      <c r="A598" t="n">
        <v>40</v>
      </c>
      <c r="B598">
        <f>U597</f>
        <v/>
      </c>
      <c r="C598">
        <f>W597</f>
        <v/>
      </c>
      <c r="D598">
        <f>O597</f>
        <v/>
      </c>
      <c r="E598">
        <f>S597</f>
        <v/>
      </c>
      <c r="F598">
        <f>Assumptions!$B$16*B598</f>
        <v/>
      </c>
      <c r="G598">
        <f>Assumptions!$B$15*C598</f>
        <v/>
      </c>
      <c r="H598">
        <f>IF($B$551*($B$554/(($B$554*(1-$B$551)-$B$555)/((Assumptions!$B$9+Assumptions!$B$11+Assumptions!$B$12+Assumptions!$B$13+Assumptions!$B$14)+G598+F598+D598+E598)))&lt;Assumptions!$B$65,($B$554-$B$555)/(((Assumptions!$B$9+Assumptions!$B$11+Assumptions!$B$12+Assumptions!$B$13+Assumptions!$B$14)+G598+F598+D598+E598)+Assumptions!$B$65),($B$554*(1-$B$551)-$B$555)/((Assumptions!$B$9+Assumptions!$B$11+Assumptions!$B$12+Assumptions!$B$13+Assumptions!$B$14)+G598+F598+D598+E598))</f>
        <v/>
      </c>
      <c r="I598">
        <f>$B$554/H598</f>
        <v/>
      </c>
      <c r="J598">
        <f>$B$555/H598</f>
        <v/>
      </c>
      <c r="K598">
        <f>I598-J598</f>
        <v/>
      </c>
      <c r="L598">
        <f>Assumptions!$B$51/K598</f>
        <v/>
      </c>
      <c r="M598">
        <f>H598*(1-Assumptions!$B$52)</f>
        <v/>
      </c>
      <c r="N598">
        <f>MIN(L598,M598)</f>
        <v/>
      </c>
      <c r="O598">
        <f>Assumptions!$B$50/N598</f>
        <v/>
      </c>
      <c r="P598">
        <f>Assumptions!$B$54/K598</f>
        <v/>
      </c>
      <c r="Q598">
        <f>H598*(1-Assumptions!$B$55)</f>
        <v/>
      </c>
      <c r="R598">
        <f>MIN(P598,Q598)</f>
        <v/>
      </c>
      <c r="S598">
        <f>Assumptions!$B$53/R598</f>
        <v/>
      </c>
      <c r="T598">
        <f>Assumptions!$B$27*(Assumptions!$B$64+$B$555/Assumptions!$B$27)/(Assumptions!$B$64+J598)</f>
        <v/>
      </c>
      <c r="U598">
        <f>IF(H598&lt;Assumptions!$B$27,Assumptions!$B$27/T598,1)</f>
        <v/>
      </c>
      <c r="V598">
        <f>Assumptions!$B$26*(Assumptions!$B$64+$B$555/Assumptions!$B$26)/(Assumptions!$B$64+J598)</f>
        <v/>
      </c>
      <c r="W598">
        <f>IF(H598&lt;Assumptions!$B$26,Assumptions!$B$26/V598,1)</f>
        <v/>
      </c>
    </row>
    <row r="599">
      <c r="A599" t="n">
        <v>41</v>
      </c>
      <c r="B599">
        <f>U598</f>
        <v/>
      </c>
      <c r="C599">
        <f>W598</f>
        <v/>
      </c>
      <c r="D599">
        <f>O598</f>
        <v/>
      </c>
      <c r="E599">
        <f>S598</f>
        <v/>
      </c>
      <c r="F599">
        <f>Assumptions!$B$16*B599</f>
        <v/>
      </c>
      <c r="G599">
        <f>Assumptions!$B$15*C599</f>
        <v/>
      </c>
      <c r="H599">
        <f>IF($B$551*($B$554/(($B$554*(1-$B$551)-$B$555)/((Assumptions!$B$9+Assumptions!$B$11+Assumptions!$B$12+Assumptions!$B$13+Assumptions!$B$14)+G599+F599+D599+E599)))&lt;Assumptions!$B$65,($B$554-$B$555)/(((Assumptions!$B$9+Assumptions!$B$11+Assumptions!$B$12+Assumptions!$B$13+Assumptions!$B$14)+G599+F599+D599+E599)+Assumptions!$B$65),($B$554*(1-$B$551)-$B$555)/((Assumptions!$B$9+Assumptions!$B$11+Assumptions!$B$12+Assumptions!$B$13+Assumptions!$B$14)+G599+F599+D599+E599))</f>
        <v/>
      </c>
      <c r="I599">
        <f>$B$554/H599</f>
        <v/>
      </c>
      <c r="J599">
        <f>$B$555/H599</f>
        <v/>
      </c>
      <c r="K599">
        <f>I599-J599</f>
        <v/>
      </c>
      <c r="L599">
        <f>Assumptions!$B$51/K599</f>
        <v/>
      </c>
      <c r="M599">
        <f>H599*(1-Assumptions!$B$52)</f>
        <v/>
      </c>
      <c r="N599">
        <f>MIN(L599,M599)</f>
        <v/>
      </c>
      <c r="O599">
        <f>Assumptions!$B$50/N599</f>
        <v/>
      </c>
      <c r="P599">
        <f>Assumptions!$B$54/K599</f>
        <v/>
      </c>
      <c r="Q599">
        <f>H599*(1-Assumptions!$B$55)</f>
        <v/>
      </c>
      <c r="R599">
        <f>MIN(P599,Q599)</f>
        <v/>
      </c>
      <c r="S599">
        <f>Assumptions!$B$53/R599</f>
        <v/>
      </c>
      <c r="T599">
        <f>Assumptions!$B$27*(Assumptions!$B$64+$B$555/Assumptions!$B$27)/(Assumptions!$B$64+J599)</f>
        <v/>
      </c>
      <c r="U599">
        <f>IF(H599&lt;Assumptions!$B$27,Assumptions!$B$27/T599,1)</f>
        <v/>
      </c>
      <c r="V599">
        <f>Assumptions!$B$26*(Assumptions!$B$64+$B$555/Assumptions!$B$26)/(Assumptions!$B$64+J599)</f>
        <v/>
      </c>
      <c r="W599">
        <f>IF(H599&lt;Assumptions!$B$26,Assumptions!$B$26/V599,1)</f>
        <v/>
      </c>
    </row>
    <row r="600">
      <c r="A600" t="n">
        <v>42</v>
      </c>
      <c r="B600">
        <f>U599</f>
        <v/>
      </c>
      <c r="C600">
        <f>W599</f>
        <v/>
      </c>
      <c r="D600">
        <f>O599</f>
        <v/>
      </c>
      <c r="E600">
        <f>S599</f>
        <v/>
      </c>
      <c r="F600">
        <f>Assumptions!$B$16*B600</f>
        <v/>
      </c>
      <c r="G600">
        <f>Assumptions!$B$15*C600</f>
        <v/>
      </c>
      <c r="H600">
        <f>IF($B$551*($B$554/(($B$554*(1-$B$551)-$B$555)/((Assumptions!$B$9+Assumptions!$B$11+Assumptions!$B$12+Assumptions!$B$13+Assumptions!$B$14)+G600+F600+D600+E600)))&lt;Assumptions!$B$65,($B$554-$B$555)/(((Assumptions!$B$9+Assumptions!$B$11+Assumptions!$B$12+Assumptions!$B$13+Assumptions!$B$14)+G600+F600+D600+E600)+Assumptions!$B$65),($B$554*(1-$B$551)-$B$555)/((Assumptions!$B$9+Assumptions!$B$11+Assumptions!$B$12+Assumptions!$B$13+Assumptions!$B$14)+G600+F600+D600+E600))</f>
        <v/>
      </c>
      <c r="I600">
        <f>$B$554/H600</f>
        <v/>
      </c>
      <c r="J600">
        <f>$B$555/H600</f>
        <v/>
      </c>
      <c r="K600">
        <f>I600-J600</f>
        <v/>
      </c>
      <c r="L600">
        <f>Assumptions!$B$51/K600</f>
        <v/>
      </c>
      <c r="M600">
        <f>H600*(1-Assumptions!$B$52)</f>
        <v/>
      </c>
      <c r="N600">
        <f>MIN(L600,M600)</f>
        <v/>
      </c>
      <c r="O600">
        <f>Assumptions!$B$50/N600</f>
        <v/>
      </c>
      <c r="P600">
        <f>Assumptions!$B$54/K600</f>
        <v/>
      </c>
      <c r="Q600">
        <f>H600*(1-Assumptions!$B$55)</f>
        <v/>
      </c>
      <c r="R600">
        <f>MIN(P600,Q600)</f>
        <v/>
      </c>
      <c r="S600">
        <f>Assumptions!$B$53/R600</f>
        <v/>
      </c>
      <c r="T600">
        <f>Assumptions!$B$27*(Assumptions!$B$64+$B$555/Assumptions!$B$27)/(Assumptions!$B$64+J600)</f>
        <v/>
      </c>
      <c r="U600">
        <f>IF(H600&lt;Assumptions!$B$27,Assumptions!$B$27/T600,1)</f>
        <v/>
      </c>
      <c r="V600">
        <f>Assumptions!$B$26*(Assumptions!$B$64+$B$555/Assumptions!$B$26)/(Assumptions!$B$64+J600)</f>
        <v/>
      </c>
      <c r="W600">
        <f>IF(H600&lt;Assumptions!$B$26,Assumptions!$B$26/V600,1)</f>
        <v/>
      </c>
    </row>
    <row r="601">
      <c r="A601" t="n">
        <v>43</v>
      </c>
      <c r="B601">
        <f>U600</f>
        <v/>
      </c>
      <c r="C601">
        <f>W600</f>
        <v/>
      </c>
      <c r="D601">
        <f>O600</f>
        <v/>
      </c>
      <c r="E601">
        <f>S600</f>
        <v/>
      </c>
      <c r="F601">
        <f>Assumptions!$B$16*B601</f>
        <v/>
      </c>
      <c r="G601">
        <f>Assumptions!$B$15*C601</f>
        <v/>
      </c>
      <c r="H601">
        <f>IF($B$551*($B$554/(($B$554*(1-$B$551)-$B$555)/((Assumptions!$B$9+Assumptions!$B$11+Assumptions!$B$12+Assumptions!$B$13+Assumptions!$B$14)+G601+F601+D601+E601)))&lt;Assumptions!$B$65,($B$554-$B$555)/(((Assumptions!$B$9+Assumptions!$B$11+Assumptions!$B$12+Assumptions!$B$13+Assumptions!$B$14)+G601+F601+D601+E601)+Assumptions!$B$65),($B$554*(1-$B$551)-$B$555)/((Assumptions!$B$9+Assumptions!$B$11+Assumptions!$B$12+Assumptions!$B$13+Assumptions!$B$14)+G601+F601+D601+E601))</f>
        <v/>
      </c>
      <c r="I601">
        <f>$B$554/H601</f>
        <v/>
      </c>
      <c r="J601">
        <f>$B$555/H601</f>
        <v/>
      </c>
      <c r="K601">
        <f>I601-J601</f>
        <v/>
      </c>
      <c r="L601">
        <f>Assumptions!$B$51/K601</f>
        <v/>
      </c>
      <c r="M601">
        <f>H601*(1-Assumptions!$B$52)</f>
        <v/>
      </c>
      <c r="N601">
        <f>MIN(L601,M601)</f>
        <v/>
      </c>
      <c r="O601">
        <f>Assumptions!$B$50/N601</f>
        <v/>
      </c>
      <c r="P601">
        <f>Assumptions!$B$54/K601</f>
        <v/>
      </c>
      <c r="Q601">
        <f>H601*(1-Assumptions!$B$55)</f>
        <v/>
      </c>
      <c r="R601">
        <f>MIN(P601,Q601)</f>
        <v/>
      </c>
      <c r="S601">
        <f>Assumptions!$B$53/R601</f>
        <v/>
      </c>
      <c r="T601">
        <f>Assumptions!$B$27*(Assumptions!$B$64+$B$555/Assumptions!$B$27)/(Assumptions!$B$64+J601)</f>
        <v/>
      </c>
      <c r="U601">
        <f>IF(H601&lt;Assumptions!$B$27,Assumptions!$B$27/T601,1)</f>
        <v/>
      </c>
      <c r="V601">
        <f>Assumptions!$B$26*(Assumptions!$B$64+$B$555/Assumptions!$B$26)/(Assumptions!$B$64+J601)</f>
        <v/>
      </c>
      <c r="W601">
        <f>IF(H601&lt;Assumptions!$B$26,Assumptions!$B$26/V601,1)</f>
        <v/>
      </c>
    </row>
    <row r="602">
      <c r="A602" t="n">
        <v>44</v>
      </c>
      <c r="B602">
        <f>U601</f>
        <v/>
      </c>
      <c r="C602">
        <f>W601</f>
        <v/>
      </c>
      <c r="D602">
        <f>O601</f>
        <v/>
      </c>
      <c r="E602">
        <f>S601</f>
        <v/>
      </c>
      <c r="F602">
        <f>Assumptions!$B$16*B602</f>
        <v/>
      </c>
      <c r="G602">
        <f>Assumptions!$B$15*C602</f>
        <v/>
      </c>
      <c r="H602">
        <f>IF($B$551*($B$554/(($B$554*(1-$B$551)-$B$555)/((Assumptions!$B$9+Assumptions!$B$11+Assumptions!$B$12+Assumptions!$B$13+Assumptions!$B$14)+G602+F602+D602+E602)))&lt;Assumptions!$B$65,($B$554-$B$555)/(((Assumptions!$B$9+Assumptions!$B$11+Assumptions!$B$12+Assumptions!$B$13+Assumptions!$B$14)+G602+F602+D602+E602)+Assumptions!$B$65),($B$554*(1-$B$551)-$B$555)/((Assumptions!$B$9+Assumptions!$B$11+Assumptions!$B$12+Assumptions!$B$13+Assumptions!$B$14)+G602+F602+D602+E602))</f>
        <v/>
      </c>
      <c r="I602">
        <f>$B$554/H602</f>
        <v/>
      </c>
      <c r="J602">
        <f>$B$555/H602</f>
        <v/>
      </c>
      <c r="K602">
        <f>I602-J602</f>
        <v/>
      </c>
      <c r="L602">
        <f>Assumptions!$B$51/K602</f>
        <v/>
      </c>
      <c r="M602">
        <f>H602*(1-Assumptions!$B$52)</f>
        <v/>
      </c>
      <c r="N602">
        <f>MIN(L602,M602)</f>
        <v/>
      </c>
      <c r="O602">
        <f>Assumptions!$B$50/N602</f>
        <v/>
      </c>
      <c r="P602">
        <f>Assumptions!$B$54/K602</f>
        <v/>
      </c>
      <c r="Q602">
        <f>H602*(1-Assumptions!$B$55)</f>
        <v/>
      </c>
      <c r="R602">
        <f>MIN(P602,Q602)</f>
        <v/>
      </c>
      <c r="S602">
        <f>Assumptions!$B$53/R602</f>
        <v/>
      </c>
      <c r="T602">
        <f>Assumptions!$B$27*(Assumptions!$B$64+$B$555/Assumptions!$B$27)/(Assumptions!$B$64+J602)</f>
        <v/>
      </c>
      <c r="U602">
        <f>IF(H602&lt;Assumptions!$B$27,Assumptions!$B$27/T602,1)</f>
        <v/>
      </c>
      <c r="V602">
        <f>Assumptions!$B$26*(Assumptions!$B$64+$B$555/Assumptions!$B$26)/(Assumptions!$B$64+J602)</f>
        <v/>
      </c>
      <c r="W602">
        <f>IF(H602&lt;Assumptions!$B$26,Assumptions!$B$26/V602,1)</f>
        <v/>
      </c>
    </row>
    <row r="603">
      <c r="A603" t="n">
        <v>45</v>
      </c>
      <c r="B603">
        <f>U602</f>
        <v/>
      </c>
      <c r="C603">
        <f>W602</f>
        <v/>
      </c>
      <c r="D603">
        <f>O602</f>
        <v/>
      </c>
      <c r="E603">
        <f>S602</f>
        <v/>
      </c>
      <c r="F603">
        <f>Assumptions!$B$16*B603</f>
        <v/>
      </c>
      <c r="G603">
        <f>Assumptions!$B$15*C603</f>
        <v/>
      </c>
      <c r="H603">
        <f>IF($B$551*($B$554/(($B$554*(1-$B$551)-$B$555)/((Assumptions!$B$9+Assumptions!$B$11+Assumptions!$B$12+Assumptions!$B$13+Assumptions!$B$14)+G603+F603+D603+E603)))&lt;Assumptions!$B$65,($B$554-$B$555)/(((Assumptions!$B$9+Assumptions!$B$11+Assumptions!$B$12+Assumptions!$B$13+Assumptions!$B$14)+G603+F603+D603+E603)+Assumptions!$B$65),($B$554*(1-$B$551)-$B$555)/((Assumptions!$B$9+Assumptions!$B$11+Assumptions!$B$12+Assumptions!$B$13+Assumptions!$B$14)+G603+F603+D603+E603))</f>
        <v/>
      </c>
      <c r="I603">
        <f>$B$554/H603</f>
        <v/>
      </c>
      <c r="J603">
        <f>$B$555/H603</f>
        <v/>
      </c>
      <c r="K603">
        <f>I603-J603</f>
        <v/>
      </c>
      <c r="L603">
        <f>Assumptions!$B$51/K603</f>
        <v/>
      </c>
      <c r="M603">
        <f>H603*(1-Assumptions!$B$52)</f>
        <v/>
      </c>
      <c r="N603">
        <f>MIN(L603,M603)</f>
        <v/>
      </c>
      <c r="O603">
        <f>Assumptions!$B$50/N603</f>
        <v/>
      </c>
      <c r="P603">
        <f>Assumptions!$B$54/K603</f>
        <v/>
      </c>
      <c r="Q603">
        <f>H603*(1-Assumptions!$B$55)</f>
        <v/>
      </c>
      <c r="R603">
        <f>MIN(P603,Q603)</f>
        <v/>
      </c>
      <c r="S603">
        <f>Assumptions!$B$53/R603</f>
        <v/>
      </c>
      <c r="T603">
        <f>Assumptions!$B$27*(Assumptions!$B$64+$B$555/Assumptions!$B$27)/(Assumptions!$B$64+J603)</f>
        <v/>
      </c>
      <c r="U603">
        <f>IF(H603&lt;Assumptions!$B$27,Assumptions!$B$27/T603,1)</f>
        <v/>
      </c>
      <c r="V603">
        <f>Assumptions!$B$26*(Assumptions!$B$64+$B$555/Assumptions!$B$26)/(Assumptions!$B$64+J603)</f>
        <v/>
      </c>
      <c r="W603">
        <f>IF(H603&lt;Assumptions!$B$26,Assumptions!$B$26/V603,1)</f>
        <v/>
      </c>
    </row>
    <row r="604">
      <c r="A604" t="n">
        <v>46</v>
      </c>
      <c r="B604">
        <f>U603</f>
        <v/>
      </c>
      <c r="C604">
        <f>W603</f>
        <v/>
      </c>
      <c r="D604">
        <f>O603</f>
        <v/>
      </c>
      <c r="E604">
        <f>S603</f>
        <v/>
      </c>
      <c r="F604">
        <f>Assumptions!$B$16*B604</f>
        <v/>
      </c>
      <c r="G604">
        <f>Assumptions!$B$15*C604</f>
        <v/>
      </c>
      <c r="H604">
        <f>IF($B$551*($B$554/(($B$554*(1-$B$551)-$B$555)/((Assumptions!$B$9+Assumptions!$B$11+Assumptions!$B$12+Assumptions!$B$13+Assumptions!$B$14)+G604+F604+D604+E604)))&lt;Assumptions!$B$65,($B$554-$B$555)/(((Assumptions!$B$9+Assumptions!$B$11+Assumptions!$B$12+Assumptions!$B$13+Assumptions!$B$14)+G604+F604+D604+E604)+Assumptions!$B$65),($B$554*(1-$B$551)-$B$555)/((Assumptions!$B$9+Assumptions!$B$11+Assumptions!$B$12+Assumptions!$B$13+Assumptions!$B$14)+G604+F604+D604+E604))</f>
        <v/>
      </c>
      <c r="I604">
        <f>$B$554/H604</f>
        <v/>
      </c>
      <c r="J604">
        <f>$B$555/H604</f>
        <v/>
      </c>
      <c r="K604">
        <f>I604-J604</f>
        <v/>
      </c>
      <c r="L604">
        <f>Assumptions!$B$51/K604</f>
        <v/>
      </c>
      <c r="M604">
        <f>H604*(1-Assumptions!$B$52)</f>
        <v/>
      </c>
      <c r="N604">
        <f>MIN(L604,M604)</f>
        <v/>
      </c>
      <c r="O604">
        <f>Assumptions!$B$50/N604</f>
        <v/>
      </c>
      <c r="P604">
        <f>Assumptions!$B$54/K604</f>
        <v/>
      </c>
      <c r="Q604">
        <f>H604*(1-Assumptions!$B$55)</f>
        <v/>
      </c>
      <c r="R604">
        <f>MIN(P604,Q604)</f>
        <v/>
      </c>
      <c r="S604">
        <f>Assumptions!$B$53/R604</f>
        <v/>
      </c>
      <c r="T604">
        <f>Assumptions!$B$27*(Assumptions!$B$64+$B$555/Assumptions!$B$27)/(Assumptions!$B$64+J604)</f>
        <v/>
      </c>
      <c r="U604">
        <f>IF(H604&lt;Assumptions!$B$27,Assumptions!$B$27/T604,1)</f>
        <v/>
      </c>
      <c r="V604">
        <f>Assumptions!$B$26*(Assumptions!$B$64+$B$555/Assumptions!$B$26)/(Assumptions!$B$64+J604)</f>
        <v/>
      </c>
      <c r="W604">
        <f>IF(H604&lt;Assumptions!$B$26,Assumptions!$B$26/V604,1)</f>
        <v/>
      </c>
    </row>
    <row r="605">
      <c r="A605" t="n">
        <v>47</v>
      </c>
      <c r="B605">
        <f>U604</f>
        <v/>
      </c>
      <c r="C605">
        <f>W604</f>
        <v/>
      </c>
      <c r="D605">
        <f>O604</f>
        <v/>
      </c>
      <c r="E605">
        <f>S604</f>
        <v/>
      </c>
      <c r="F605">
        <f>Assumptions!$B$16*B605</f>
        <v/>
      </c>
      <c r="G605">
        <f>Assumptions!$B$15*C605</f>
        <v/>
      </c>
      <c r="H605">
        <f>IF($B$551*($B$554/(($B$554*(1-$B$551)-$B$555)/((Assumptions!$B$9+Assumptions!$B$11+Assumptions!$B$12+Assumptions!$B$13+Assumptions!$B$14)+G605+F605+D605+E605)))&lt;Assumptions!$B$65,($B$554-$B$555)/(((Assumptions!$B$9+Assumptions!$B$11+Assumptions!$B$12+Assumptions!$B$13+Assumptions!$B$14)+G605+F605+D605+E605)+Assumptions!$B$65),($B$554*(1-$B$551)-$B$555)/((Assumptions!$B$9+Assumptions!$B$11+Assumptions!$B$12+Assumptions!$B$13+Assumptions!$B$14)+G605+F605+D605+E605))</f>
        <v/>
      </c>
      <c r="I605">
        <f>$B$554/H605</f>
        <v/>
      </c>
      <c r="J605">
        <f>$B$555/H605</f>
        <v/>
      </c>
      <c r="K605">
        <f>I605-J605</f>
        <v/>
      </c>
      <c r="L605">
        <f>Assumptions!$B$51/K605</f>
        <v/>
      </c>
      <c r="M605">
        <f>H605*(1-Assumptions!$B$52)</f>
        <v/>
      </c>
      <c r="N605">
        <f>MIN(L605,M605)</f>
        <v/>
      </c>
      <c r="O605">
        <f>Assumptions!$B$50/N605</f>
        <v/>
      </c>
      <c r="P605">
        <f>Assumptions!$B$54/K605</f>
        <v/>
      </c>
      <c r="Q605">
        <f>H605*(1-Assumptions!$B$55)</f>
        <v/>
      </c>
      <c r="R605">
        <f>MIN(P605,Q605)</f>
        <v/>
      </c>
      <c r="S605">
        <f>Assumptions!$B$53/R605</f>
        <v/>
      </c>
      <c r="T605">
        <f>Assumptions!$B$27*(Assumptions!$B$64+$B$555/Assumptions!$B$27)/(Assumptions!$B$64+J605)</f>
        <v/>
      </c>
      <c r="U605">
        <f>IF(H605&lt;Assumptions!$B$27,Assumptions!$B$27/T605,1)</f>
        <v/>
      </c>
      <c r="V605">
        <f>Assumptions!$B$26*(Assumptions!$B$64+$B$555/Assumptions!$B$26)/(Assumptions!$B$64+J605)</f>
        <v/>
      </c>
      <c r="W605">
        <f>IF(H605&lt;Assumptions!$B$26,Assumptions!$B$26/V605,1)</f>
        <v/>
      </c>
    </row>
    <row r="606">
      <c r="A606" t="n">
        <v>48</v>
      </c>
      <c r="B606">
        <f>U605</f>
        <v/>
      </c>
      <c r="C606">
        <f>W605</f>
        <v/>
      </c>
      <c r="D606">
        <f>O605</f>
        <v/>
      </c>
      <c r="E606">
        <f>S605</f>
        <v/>
      </c>
      <c r="F606">
        <f>Assumptions!$B$16*B606</f>
        <v/>
      </c>
      <c r="G606">
        <f>Assumptions!$B$15*C606</f>
        <v/>
      </c>
      <c r="H606">
        <f>IF($B$551*($B$554/(($B$554*(1-$B$551)-$B$555)/((Assumptions!$B$9+Assumptions!$B$11+Assumptions!$B$12+Assumptions!$B$13+Assumptions!$B$14)+G606+F606+D606+E606)))&lt;Assumptions!$B$65,($B$554-$B$555)/(((Assumptions!$B$9+Assumptions!$B$11+Assumptions!$B$12+Assumptions!$B$13+Assumptions!$B$14)+G606+F606+D606+E606)+Assumptions!$B$65),($B$554*(1-$B$551)-$B$555)/((Assumptions!$B$9+Assumptions!$B$11+Assumptions!$B$12+Assumptions!$B$13+Assumptions!$B$14)+G606+F606+D606+E606))</f>
        <v/>
      </c>
      <c r="I606">
        <f>$B$554/H606</f>
        <v/>
      </c>
      <c r="J606">
        <f>$B$555/H606</f>
        <v/>
      </c>
      <c r="K606">
        <f>I606-J606</f>
        <v/>
      </c>
      <c r="L606">
        <f>Assumptions!$B$51/K606</f>
        <v/>
      </c>
      <c r="M606">
        <f>H606*(1-Assumptions!$B$52)</f>
        <v/>
      </c>
      <c r="N606">
        <f>MIN(L606,M606)</f>
        <v/>
      </c>
      <c r="O606">
        <f>Assumptions!$B$50/N606</f>
        <v/>
      </c>
      <c r="P606">
        <f>Assumptions!$B$54/K606</f>
        <v/>
      </c>
      <c r="Q606">
        <f>H606*(1-Assumptions!$B$55)</f>
        <v/>
      </c>
      <c r="R606">
        <f>MIN(P606,Q606)</f>
        <v/>
      </c>
      <c r="S606">
        <f>Assumptions!$B$53/R606</f>
        <v/>
      </c>
      <c r="T606">
        <f>Assumptions!$B$27*(Assumptions!$B$64+$B$555/Assumptions!$B$27)/(Assumptions!$B$64+J606)</f>
        <v/>
      </c>
      <c r="U606">
        <f>IF(H606&lt;Assumptions!$B$27,Assumptions!$B$27/T606,1)</f>
        <v/>
      </c>
      <c r="V606">
        <f>Assumptions!$B$26*(Assumptions!$B$64+$B$555/Assumptions!$B$26)/(Assumptions!$B$64+J606)</f>
        <v/>
      </c>
      <c r="W606">
        <f>IF(H606&lt;Assumptions!$B$26,Assumptions!$B$26/V606,1)</f>
        <v/>
      </c>
    </row>
    <row r="607">
      <c r="A607" t="n">
        <v>49</v>
      </c>
      <c r="B607">
        <f>U606</f>
        <v/>
      </c>
      <c r="C607">
        <f>W606</f>
        <v/>
      </c>
      <c r="D607">
        <f>O606</f>
        <v/>
      </c>
      <c r="E607">
        <f>S606</f>
        <v/>
      </c>
      <c r="F607">
        <f>Assumptions!$B$16*B607</f>
        <v/>
      </c>
      <c r="G607">
        <f>Assumptions!$B$15*C607</f>
        <v/>
      </c>
      <c r="H607">
        <f>IF($B$551*($B$554/(($B$554*(1-$B$551)-$B$555)/((Assumptions!$B$9+Assumptions!$B$11+Assumptions!$B$12+Assumptions!$B$13+Assumptions!$B$14)+G607+F607+D607+E607)))&lt;Assumptions!$B$65,($B$554-$B$555)/(((Assumptions!$B$9+Assumptions!$B$11+Assumptions!$B$12+Assumptions!$B$13+Assumptions!$B$14)+G607+F607+D607+E607)+Assumptions!$B$65),($B$554*(1-$B$551)-$B$555)/((Assumptions!$B$9+Assumptions!$B$11+Assumptions!$B$12+Assumptions!$B$13+Assumptions!$B$14)+G607+F607+D607+E607))</f>
        <v/>
      </c>
      <c r="I607">
        <f>$B$554/H607</f>
        <v/>
      </c>
      <c r="J607">
        <f>$B$555/H607</f>
        <v/>
      </c>
      <c r="K607">
        <f>I607-J607</f>
        <v/>
      </c>
      <c r="L607">
        <f>Assumptions!$B$51/K607</f>
        <v/>
      </c>
      <c r="M607">
        <f>H607*(1-Assumptions!$B$52)</f>
        <v/>
      </c>
      <c r="N607">
        <f>MIN(L607,M607)</f>
        <v/>
      </c>
      <c r="O607">
        <f>Assumptions!$B$50/N607</f>
        <v/>
      </c>
      <c r="P607">
        <f>Assumptions!$B$54/K607</f>
        <v/>
      </c>
      <c r="Q607">
        <f>H607*(1-Assumptions!$B$55)</f>
        <v/>
      </c>
      <c r="R607">
        <f>MIN(P607,Q607)</f>
        <v/>
      </c>
      <c r="S607">
        <f>Assumptions!$B$53/R607</f>
        <v/>
      </c>
      <c r="T607">
        <f>Assumptions!$B$27*(Assumptions!$B$64+$B$555/Assumptions!$B$27)/(Assumptions!$B$64+J607)</f>
        <v/>
      </c>
      <c r="U607">
        <f>IF(H607&lt;Assumptions!$B$27,Assumptions!$B$27/T607,1)</f>
        <v/>
      </c>
      <c r="V607">
        <f>Assumptions!$B$26*(Assumptions!$B$64+$B$555/Assumptions!$B$26)/(Assumptions!$B$64+J607)</f>
        <v/>
      </c>
      <c r="W607">
        <f>IF(H607&lt;Assumptions!$B$26,Assumptions!$B$26/V607,1)</f>
        <v/>
      </c>
    </row>
    <row r="625">
      <c r="A625" t="inlineStr">
        <is>
          <t>Cell esop_15_pre_1400M</t>
        </is>
      </c>
    </row>
    <row r="626">
      <c r="A626" t="inlineStr">
        <is>
          <t>esop</t>
        </is>
      </c>
      <c r="B626" t="n">
        <v>0.15</v>
      </c>
    </row>
    <row r="627">
      <c r="A627" t="inlineStr">
        <is>
          <t>pre_M ($M)</t>
        </is>
      </c>
      <c r="B627" t="n">
        <v>1400</v>
      </c>
    </row>
    <row r="628">
      <c r="A628" t="inlineStr">
        <is>
          <t>pre_money $</t>
        </is>
      </c>
      <c r="B628">
        <f>B627*1000000</f>
        <v/>
      </c>
    </row>
    <row r="629">
      <c r="A629" t="inlineStr">
        <is>
          <t>post_money $</t>
        </is>
      </c>
      <c r="B629">
        <f>B628+Assumptions!$B$41</f>
        <v/>
      </c>
    </row>
    <row r="630">
      <c r="A630" t="inlineStr">
        <is>
          <t>primary raise $</t>
        </is>
      </c>
      <c r="B630">
        <f>Assumptions!$B$41</f>
        <v/>
      </c>
    </row>
    <row r="632">
      <c r="A632" t="inlineStr">
        <is>
          <t>iter</t>
        </is>
      </c>
      <c r="B632" t="inlineStr">
        <is>
          <t>r_E_p</t>
        </is>
      </c>
      <c r="C632" t="inlineStr">
        <is>
          <t>r_D_p</t>
        </is>
      </c>
      <c r="D632" t="inlineStr">
        <is>
          <t>N_A_p</t>
        </is>
      </c>
      <c r="E632" t="inlineStr">
        <is>
          <t>N_B_p</t>
        </is>
      </c>
      <c r="F632" t="inlineStr">
        <is>
          <t>E_adj</t>
        </is>
      </c>
      <c r="G632" t="inlineStr">
        <is>
          <t>D_adj</t>
        </is>
      </c>
      <c r="H632" t="inlineStr">
        <is>
          <t>F_PPS</t>
        </is>
      </c>
      <c r="I632" t="inlineStr">
        <is>
          <t>T_F</t>
        </is>
      </c>
      <c r="J632" t="inlineStr">
        <is>
          <t>new_F</t>
        </is>
      </c>
      <c r="K632" t="inlineStr">
        <is>
          <t>pre_FD</t>
        </is>
      </c>
      <c r="L632" t="inlineStr">
        <is>
          <t>capA</t>
        </is>
      </c>
      <c r="M632" t="inlineStr">
        <is>
          <t>discA</t>
        </is>
      </c>
      <c r="N632" t="inlineStr">
        <is>
          <t>cpA</t>
        </is>
      </c>
      <c r="O632" t="inlineStr">
        <is>
          <t>NA</t>
        </is>
      </c>
      <c r="P632" t="inlineStr">
        <is>
          <t>capB</t>
        </is>
      </c>
      <c r="Q632" t="inlineStr">
        <is>
          <t>discB</t>
        </is>
      </c>
      <c r="R632" t="inlineStr">
        <is>
          <t>cpB</t>
        </is>
      </c>
      <c r="S632" t="inlineStr">
        <is>
          <t>NB</t>
        </is>
      </c>
      <c r="T632" t="inlineStr">
        <is>
          <t>NCP_E</t>
        </is>
      </c>
      <c r="U632" t="inlineStr">
        <is>
          <t>r_E_n</t>
        </is>
      </c>
      <c r="V632" t="inlineStr">
        <is>
          <t>NCP_D</t>
        </is>
      </c>
      <c r="W632" t="inlineStr">
        <is>
          <t>r_D_n</t>
        </is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0</v>
      </c>
      <c r="F633">
        <f>Assumptions!$B$16*B633</f>
        <v/>
      </c>
      <c r="G633">
        <f>Assumptions!$B$15*C633</f>
        <v/>
      </c>
      <c r="H633">
        <f>IF($B$626*($B$629/(($B$629*(1-$B$626)-$B$630)/((Assumptions!$B$9+Assumptions!$B$11+Assumptions!$B$12+Assumptions!$B$13+Assumptions!$B$14)+G633+F633+D633+E633)))&lt;Assumptions!$B$65,($B$629-$B$630)/(((Assumptions!$B$9+Assumptions!$B$11+Assumptions!$B$12+Assumptions!$B$13+Assumptions!$B$14)+G633+F633+D633+E633)+Assumptions!$B$65),($B$629*(1-$B$626)-$B$630)/((Assumptions!$B$9+Assumptions!$B$11+Assumptions!$B$12+Assumptions!$B$13+Assumptions!$B$14)+G633+F633+D633+E633))</f>
        <v/>
      </c>
      <c r="I633">
        <f>$B$629/H633</f>
        <v/>
      </c>
      <c r="J633">
        <f>$B$630/H633</f>
        <v/>
      </c>
      <c r="K633">
        <f>I633-J633</f>
        <v/>
      </c>
      <c r="L633">
        <f>Assumptions!$B$51/K633</f>
        <v/>
      </c>
      <c r="M633">
        <f>H633*(1-Assumptions!$B$52)</f>
        <v/>
      </c>
      <c r="N633">
        <f>MIN(L633,M633)</f>
        <v/>
      </c>
      <c r="O633">
        <f>Assumptions!$B$50/N633</f>
        <v/>
      </c>
      <c r="P633">
        <f>Assumptions!$B$54/K633</f>
        <v/>
      </c>
      <c r="Q633">
        <f>H633*(1-Assumptions!$B$55)</f>
        <v/>
      </c>
      <c r="R633">
        <f>MIN(P633,Q633)</f>
        <v/>
      </c>
      <c r="S633">
        <f>Assumptions!$B$53/R633</f>
        <v/>
      </c>
      <c r="T633">
        <f>Assumptions!$B$27*(Assumptions!$B$64+$B$630/Assumptions!$B$27)/(Assumptions!$B$64+J633)</f>
        <v/>
      </c>
      <c r="U633">
        <f>IF(H633&lt;Assumptions!$B$27,Assumptions!$B$27/T633,1)</f>
        <v/>
      </c>
      <c r="V633">
        <f>Assumptions!$B$26*(Assumptions!$B$64+$B$630/Assumptions!$B$26)/(Assumptions!$B$64+J633)</f>
        <v/>
      </c>
      <c r="W633">
        <f>IF(H633&lt;Assumptions!$B$26,Assumptions!$B$26/V633,1)</f>
        <v/>
      </c>
    </row>
    <row r="634">
      <c r="A634" t="n">
        <v>1</v>
      </c>
      <c r="B634">
        <f>U633</f>
        <v/>
      </c>
      <c r="C634">
        <f>W633</f>
        <v/>
      </c>
      <c r="D634">
        <f>O633</f>
        <v/>
      </c>
      <c r="E634">
        <f>S633</f>
        <v/>
      </c>
      <c r="F634">
        <f>Assumptions!$B$16*B634</f>
        <v/>
      </c>
      <c r="G634">
        <f>Assumptions!$B$15*C634</f>
        <v/>
      </c>
      <c r="H634">
        <f>IF($B$626*($B$629/(($B$629*(1-$B$626)-$B$630)/((Assumptions!$B$9+Assumptions!$B$11+Assumptions!$B$12+Assumptions!$B$13+Assumptions!$B$14)+G634+F634+D634+E634)))&lt;Assumptions!$B$65,($B$629-$B$630)/(((Assumptions!$B$9+Assumptions!$B$11+Assumptions!$B$12+Assumptions!$B$13+Assumptions!$B$14)+G634+F634+D634+E634)+Assumptions!$B$65),($B$629*(1-$B$626)-$B$630)/((Assumptions!$B$9+Assumptions!$B$11+Assumptions!$B$12+Assumptions!$B$13+Assumptions!$B$14)+G634+F634+D634+E634))</f>
        <v/>
      </c>
      <c r="I634">
        <f>$B$629/H634</f>
        <v/>
      </c>
      <c r="J634">
        <f>$B$630/H634</f>
        <v/>
      </c>
      <c r="K634">
        <f>I634-J634</f>
        <v/>
      </c>
      <c r="L634">
        <f>Assumptions!$B$51/K634</f>
        <v/>
      </c>
      <c r="M634">
        <f>H634*(1-Assumptions!$B$52)</f>
        <v/>
      </c>
      <c r="N634">
        <f>MIN(L634,M634)</f>
        <v/>
      </c>
      <c r="O634">
        <f>Assumptions!$B$50/N634</f>
        <v/>
      </c>
      <c r="P634">
        <f>Assumptions!$B$54/K634</f>
        <v/>
      </c>
      <c r="Q634">
        <f>H634*(1-Assumptions!$B$55)</f>
        <v/>
      </c>
      <c r="R634">
        <f>MIN(P634,Q634)</f>
        <v/>
      </c>
      <c r="S634">
        <f>Assumptions!$B$53/R634</f>
        <v/>
      </c>
      <c r="T634">
        <f>Assumptions!$B$27*(Assumptions!$B$64+$B$630/Assumptions!$B$27)/(Assumptions!$B$64+J634)</f>
        <v/>
      </c>
      <c r="U634">
        <f>IF(H634&lt;Assumptions!$B$27,Assumptions!$B$27/T634,1)</f>
        <v/>
      </c>
      <c r="V634">
        <f>Assumptions!$B$26*(Assumptions!$B$64+$B$630/Assumptions!$B$26)/(Assumptions!$B$64+J634)</f>
        <v/>
      </c>
      <c r="W634">
        <f>IF(H634&lt;Assumptions!$B$26,Assumptions!$B$26/V634,1)</f>
        <v/>
      </c>
    </row>
    <row r="635">
      <c r="A635" t="n">
        <v>2</v>
      </c>
      <c r="B635">
        <f>U634</f>
        <v/>
      </c>
      <c r="C635">
        <f>W634</f>
        <v/>
      </c>
      <c r="D635">
        <f>O634</f>
        <v/>
      </c>
      <c r="E635">
        <f>S634</f>
        <v/>
      </c>
      <c r="F635">
        <f>Assumptions!$B$16*B635</f>
        <v/>
      </c>
      <c r="G635">
        <f>Assumptions!$B$15*C635</f>
        <v/>
      </c>
      <c r="H635">
        <f>IF($B$626*($B$629/(($B$629*(1-$B$626)-$B$630)/((Assumptions!$B$9+Assumptions!$B$11+Assumptions!$B$12+Assumptions!$B$13+Assumptions!$B$14)+G635+F635+D635+E635)))&lt;Assumptions!$B$65,($B$629-$B$630)/(((Assumptions!$B$9+Assumptions!$B$11+Assumptions!$B$12+Assumptions!$B$13+Assumptions!$B$14)+G635+F635+D635+E635)+Assumptions!$B$65),($B$629*(1-$B$626)-$B$630)/((Assumptions!$B$9+Assumptions!$B$11+Assumptions!$B$12+Assumptions!$B$13+Assumptions!$B$14)+G635+F635+D635+E635))</f>
        <v/>
      </c>
      <c r="I635">
        <f>$B$629/H635</f>
        <v/>
      </c>
      <c r="J635">
        <f>$B$630/H635</f>
        <v/>
      </c>
      <c r="K635">
        <f>I635-J635</f>
        <v/>
      </c>
      <c r="L635">
        <f>Assumptions!$B$51/K635</f>
        <v/>
      </c>
      <c r="M635">
        <f>H635*(1-Assumptions!$B$52)</f>
        <v/>
      </c>
      <c r="N635">
        <f>MIN(L635,M635)</f>
        <v/>
      </c>
      <c r="O635">
        <f>Assumptions!$B$50/N635</f>
        <v/>
      </c>
      <c r="P635">
        <f>Assumptions!$B$54/K635</f>
        <v/>
      </c>
      <c r="Q635">
        <f>H635*(1-Assumptions!$B$55)</f>
        <v/>
      </c>
      <c r="R635">
        <f>MIN(P635,Q635)</f>
        <v/>
      </c>
      <c r="S635">
        <f>Assumptions!$B$53/R635</f>
        <v/>
      </c>
      <c r="T635">
        <f>Assumptions!$B$27*(Assumptions!$B$64+$B$630/Assumptions!$B$27)/(Assumptions!$B$64+J635)</f>
        <v/>
      </c>
      <c r="U635">
        <f>IF(H635&lt;Assumptions!$B$27,Assumptions!$B$27/T635,1)</f>
        <v/>
      </c>
      <c r="V635">
        <f>Assumptions!$B$26*(Assumptions!$B$64+$B$630/Assumptions!$B$26)/(Assumptions!$B$64+J635)</f>
        <v/>
      </c>
      <c r="W635">
        <f>IF(H635&lt;Assumptions!$B$26,Assumptions!$B$26/V635,1)</f>
        <v/>
      </c>
    </row>
    <row r="636">
      <c r="A636" t="n">
        <v>3</v>
      </c>
      <c r="B636">
        <f>U635</f>
        <v/>
      </c>
      <c r="C636">
        <f>W635</f>
        <v/>
      </c>
      <c r="D636">
        <f>O635</f>
        <v/>
      </c>
      <c r="E636">
        <f>S635</f>
        <v/>
      </c>
      <c r="F636">
        <f>Assumptions!$B$16*B636</f>
        <v/>
      </c>
      <c r="G636">
        <f>Assumptions!$B$15*C636</f>
        <v/>
      </c>
      <c r="H636">
        <f>IF($B$626*($B$629/(($B$629*(1-$B$626)-$B$630)/((Assumptions!$B$9+Assumptions!$B$11+Assumptions!$B$12+Assumptions!$B$13+Assumptions!$B$14)+G636+F636+D636+E636)))&lt;Assumptions!$B$65,($B$629-$B$630)/(((Assumptions!$B$9+Assumptions!$B$11+Assumptions!$B$12+Assumptions!$B$13+Assumptions!$B$14)+G636+F636+D636+E636)+Assumptions!$B$65),($B$629*(1-$B$626)-$B$630)/((Assumptions!$B$9+Assumptions!$B$11+Assumptions!$B$12+Assumptions!$B$13+Assumptions!$B$14)+G636+F636+D636+E636))</f>
        <v/>
      </c>
      <c r="I636">
        <f>$B$629/H636</f>
        <v/>
      </c>
      <c r="J636">
        <f>$B$630/H636</f>
        <v/>
      </c>
      <c r="K636">
        <f>I636-J636</f>
        <v/>
      </c>
      <c r="L636">
        <f>Assumptions!$B$51/K636</f>
        <v/>
      </c>
      <c r="M636">
        <f>H636*(1-Assumptions!$B$52)</f>
        <v/>
      </c>
      <c r="N636">
        <f>MIN(L636,M636)</f>
        <v/>
      </c>
      <c r="O636">
        <f>Assumptions!$B$50/N636</f>
        <v/>
      </c>
      <c r="P636">
        <f>Assumptions!$B$54/K636</f>
        <v/>
      </c>
      <c r="Q636">
        <f>H636*(1-Assumptions!$B$55)</f>
        <v/>
      </c>
      <c r="R636">
        <f>MIN(P636,Q636)</f>
        <v/>
      </c>
      <c r="S636">
        <f>Assumptions!$B$53/R636</f>
        <v/>
      </c>
      <c r="T636">
        <f>Assumptions!$B$27*(Assumptions!$B$64+$B$630/Assumptions!$B$27)/(Assumptions!$B$64+J636)</f>
        <v/>
      </c>
      <c r="U636">
        <f>IF(H636&lt;Assumptions!$B$27,Assumptions!$B$27/T636,1)</f>
        <v/>
      </c>
      <c r="V636">
        <f>Assumptions!$B$26*(Assumptions!$B$64+$B$630/Assumptions!$B$26)/(Assumptions!$B$64+J636)</f>
        <v/>
      </c>
      <c r="W636">
        <f>IF(H636&lt;Assumptions!$B$26,Assumptions!$B$26/V636,1)</f>
        <v/>
      </c>
    </row>
    <row r="637">
      <c r="A637" t="n">
        <v>4</v>
      </c>
      <c r="B637">
        <f>U636</f>
        <v/>
      </c>
      <c r="C637">
        <f>W636</f>
        <v/>
      </c>
      <c r="D637">
        <f>O636</f>
        <v/>
      </c>
      <c r="E637">
        <f>S636</f>
        <v/>
      </c>
      <c r="F637">
        <f>Assumptions!$B$16*B637</f>
        <v/>
      </c>
      <c r="G637">
        <f>Assumptions!$B$15*C637</f>
        <v/>
      </c>
      <c r="H637">
        <f>IF($B$626*($B$629/(($B$629*(1-$B$626)-$B$630)/((Assumptions!$B$9+Assumptions!$B$11+Assumptions!$B$12+Assumptions!$B$13+Assumptions!$B$14)+G637+F637+D637+E637)))&lt;Assumptions!$B$65,($B$629-$B$630)/(((Assumptions!$B$9+Assumptions!$B$11+Assumptions!$B$12+Assumptions!$B$13+Assumptions!$B$14)+G637+F637+D637+E637)+Assumptions!$B$65),($B$629*(1-$B$626)-$B$630)/((Assumptions!$B$9+Assumptions!$B$11+Assumptions!$B$12+Assumptions!$B$13+Assumptions!$B$14)+G637+F637+D637+E637))</f>
        <v/>
      </c>
      <c r="I637">
        <f>$B$629/H637</f>
        <v/>
      </c>
      <c r="J637">
        <f>$B$630/H637</f>
        <v/>
      </c>
      <c r="K637">
        <f>I637-J637</f>
        <v/>
      </c>
      <c r="L637">
        <f>Assumptions!$B$51/K637</f>
        <v/>
      </c>
      <c r="M637">
        <f>H637*(1-Assumptions!$B$52)</f>
        <v/>
      </c>
      <c r="N637">
        <f>MIN(L637,M637)</f>
        <v/>
      </c>
      <c r="O637">
        <f>Assumptions!$B$50/N637</f>
        <v/>
      </c>
      <c r="P637">
        <f>Assumptions!$B$54/K637</f>
        <v/>
      </c>
      <c r="Q637">
        <f>H637*(1-Assumptions!$B$55)</f>
        <v/>
      </c>
      <c r="R637">
        <f>MIN(P637,Q637)</f>
        <v/>
      </c>
      <c r="S637">
        <f>Assumptions!$B$53/R637</f>
        <v/>
      </c>
      <c r="T637">
        <f>Assumptions!$B$27*(Assumptions!$B$64+$B$630/Assumptions!$B$27)/(Assumptions!$B$64+J637)</f>
        <v/>
      </c>
      <c r="U637">
        <f>IF(H637&lt;Assumptions!$B$27,Assumptions!$B$27/T637,1)</f>
        <v/>
      </c>
      <c r="V637">
        <f>Assumptions!$B$26*(Assumptions!$B$64+$B$630/Assumptions!$B$26)/(Assumptions!$B$64+J637)</f>
        <v/>
      </c>
      <c r="W637">
        <f>IF(H637&lt;Assumptions!$B$26,Assumptions!$B$26/V637,1)</f>
        <v/>
      </c>
    </row>
    <row r="638">
      <c r="A638" t="n">
        <v>5</v>
      </c>
      <c r="B638">
        <f>U637</f>
        <v/>
      </c>
      <c r="C638">
        <f>W637</f>
        <v/>
      </c>
      <c r="D638">
        <f>O637</f>
        <v/>
      </c>
      <c r="E638">
        <f>S637</f>
        <v/>
      </c>
      <c r="F638">
        <f>Assumptions!$B$16*B638</f>
        <v/>
      </c>
      <c r="G638">
        <f>Assumptions!$B$15*C638</f>
        <v/>
      </c>
      <c r="H638">
        <f>IF($B$626*($B$629/(($B$629*(1-$B$626)-$B$630)/((Assumptions!$B$9+Assumptions!$B$11+Assumptions!$B$12+Assumptions!$B$13+Assumptions!$B$14)+G638+F638+D638+E638)))&lt;Assumptions!$B$65,($B$629-$B$630)/(((Assumptions!$B$9+Assumptions!$B$11+Assumptions!$B$12+Assumptions!$B$13+Assumptions!$B$14)+G638+F638+D638+E638)+Assumptions!$B$65),($B$629*(1-$B$626)-$B$630)/((Assumptions!$B$9+Assumptions!$B$11+Assumptions!$B$12+Assumptions!$B$13+Assumptions!$B$14)+G638+F638+D638+E638))</f>
        <v/>
      </c>
      <c r="I638">
        <f>$B$629/H638</f>
        <v/>
      </c>
      <c r="J638">
        <f>$B$630/H638</f>
        <v/>
      </c>
      <c r="K638">
        <f>I638-J638</f>
        <v/>
      </c>
      <c r="L638">
        <f>Assumptions!$B$51/K638</f>
        <v/>
      </c>
      <c r="M638">
        <f>H638*(1-Assumptions!$B$52)</f>
        <v/>
      </c>
      <c r="N638">
        <f>MIN(L638,M638)</f>
        <v/>
      </c>
      <c r="O638">
        <f>Assumptions!$B$50/N638</f>
        <v/>
      </c>
      <c r="P638">
        <f>Assumptions!$B$54/K638</f>
        <v/>
      </c>
      <c r="Q638">
        <f>H638*(1-Assumptions!$B$55)</f>
        <v/>
      </c>
      <c r="R638">
        <f>MIN(P638,Q638)</f>
        <v/>
      </c>
      <c r="S638">
        <f>Assumptions!$B$53/R638</f>
        <v/>
      </c>
      <c r="T638">
        <f>Assumptions!$B$27*(Assumptions!$B$64+$B$630/Assumptions!$B$27)/(Assumptions!$B$64+J638)</f>
        <v/>
      </c>
      <c r="U638">
        <f>IF(H638&lt;Assumptions!$B$27,Assumptions!$B$27/T638,1)</f>
        <v/>
      </c>
      <c r="V638">
        <f>Assumptions!$B$26*(Assumptions!$B$64+$B$630/Assumptions!$B$26)/(Assumptions!$B$64+J638)</f>
        <v/>
      </c>
      <c r="W638">
        <f>IF(H638&lt;Assumptions!$B$26,Assumptions!$B$26/V638,1)</f>
        <v/>
      </c>
    </row>
    <row r="639">
      <c r="A639" t="n">
        <v>6</v>
      </c>
      <c r="B639">
        <f>U638</f>
        <v/>
      </c>
      <c r="C639">
        <f>W638</f>
        <v/>
      </c>
      <c r="D639">
        <f>O638</f>
        <v/>
      </c>
      <c r="E639">
        <f>S638</f>
        <v/>
      </c>
      <c r="F639">
        <f>Assumptions!$B$16*B639</f>
        <v/>
      </c>
      <c r="G639">
        <f>Assumptions!$B$15*C639</f>
        <v/>
      </c>
      <c r="H639">
        <f>IF($B$626*($B$629/(($B$629*(1-$B$626)-$B$630)/((Assumptions!$B$9+Assumptions!$B$11+Assumptions!$B$12+Assumptions!$B$13+Assumptions!$B$14)+G639+F639+D639+E639)))&lt;Assumptions!$B$65,($B$629-$B$630)/(((Assumptions!$B$9+Assumptions!$B$11+Assumptions!$B$12+Assumptions!$B$13+Assumptions!$B$14)+G639+F639+D639+E639)+Assumptions!$B$65),($B$629*(1-$B$626)-$B$630)/((Assumptions!$B$9+Assumptions!$B$11+Assumptions!$B$12+Assumptions!$B$13+Assumptions!$B$14)+G639+F639+D639+E639))</f>
        <v/>
      </c>
      <c r="I639">
        <f>$B$629/H639</f>
        <v/>
      </c>
      <c r="J639">
        <f>$B$630/H639</f>
        <v/>
      </c>
      <c r="K639">
        <f>I639-J639</f>
        <v/>
      </c>
      <c r="L639">
        <f>Assumptions!$B$51/K639</f>
        <v/>
      </c>
      <c r="M639">
        <f>H639*(1-Assumptions!$B$52)</f>
        <v/>
      </c>
      <c r="N639">
        <f>MIN(L639,M639)</f>
        <v/>
      </c>
      <c r="O639">
        <f>Assumptions!$B$50/N639</f>
        <v/>
      </c>
      <c r="P639">
        <f>Assumptions!$B$54/K639</f>
        <v/>
      </c>
      <c r="Q639">
        <f>H639*(1-Assumptions!$B$55)</f>
        <v/>
      </c>
      <c r="R639">
        <f>MIN(P639,Q639)</f>
        <v/>
      </c>
      <c r="S639">
        <f>Assumptions!$B$53/R639</f>
        <v/>
      </c>
      <c r="T639">
        <f>Assumptions!$B$27*(Assumptions!$B$64+$B$630/Assumptions!$B$27)/(Assumptions!$B$64+J639)</f>
        <v/>
      </c>
      <c r="U639">
        <f>IF(H639&lt;Assumptions!$B$27,Assumptions!$B$27/T639,1)</f>
        <v/>
      </c>
      <c r="V639">
        <f>Assumptions!$B$26*(Assumptions!$B$64+$B$630/Assumptions!$B$26)/(Assumptions!$B$64+J639)</f>
        <v/>
      </c>
      <c r="W639">
        <f>IF(H639&lt;Assumptions!$B$26,Assumptions!$B$26/V639,1)</f>
        <v/>
      </c>
    </row>
    <row r="640">
      <c r="A640" t="n">
        <v>7</v>
      </c>
      <c r="B640">
        <f>U639</f>
        <v/>
      </c>
      <c r="C640">
        <f>W639</f>
        <v/>
      </c>
      <c r="D640">
        <f>O639</f>
        <v/>
      </c>
      <c r="E640">
        <f>S639</f>
        <v/>
      </c>
      <c r="F640">
        <f>Assumptions!$B$16*B640</f>
        <v/>
      </c>
      <c r="G640">
        <f>Assumptions!$B$15*C640</f>
        <v/>
      </c>
      <c r="H640">
        <f>IF($B$626*($B$629/(($B$629*(1-$B$626)-$B$630)/((Assumptions!$B$9+Assumptions!$B$11+Assumptions!$B$12+Assumptions!$B$13+Assumptions!$B$14)+G640+F640+D640+E640)))&lt;Assumptions!$B$65,($B$629-$B$630)/(((Assumptions!$B$9+Assumptions!$B$11+Assumptions!$B$12+Assumptions!$B$13+Assumptions!$B$14)+G640+F640+D640+E640)+Assumptions!$B$65),($B$629*(1-$B$626)-$B$630)/((Assumptions!$B$9+Assumptions!$B$11+Assumptions!$B$12+Assumptions!$B$13+Assumptions!$B$14)+G640+F640+D640+E640))</f>
        <v/>
      </c>
      <c r="I640">
        <f>$B$629/H640</f>
        <v/>
      </c>
      <c r="J640">
        <f>$B$630/H640</f>
        <v/>
      </c>
      <c r="K640">
        <f>I640-J640</f>
        <v/>
      </c>
      <c r="L640">
        <f>Assumptions!$B$51/K640</f>
        <v/>
      </c>
      <c r="M640">
        <f>H640*(1-Assumptions!$B$52)</f>
        <v/>
      </c>
      <c r="N640">
        <f>MIN(L640,M640)</f>
        <v/>
      </c>
      <c r="O640">
        <f>Assumptions!$B$50/N640</f>
        <v/>
      </c>
      <c r="P640">
        <f>Assumptions!$B$54/K640</f>
        <v/>
      </c>
      <c r="Q640">
        <f>H640*(1-Assumptions!$B$55)</f>
        <v/>
      </c>
      <c r="R640">
        <f>MIN(P640,Q640)</f>
        <v/>
      </c>
      <c r="S640">
        <f>Assumptions!$B$53/R640</f>
        <v/>
      </c>
      <c r="T640">
        <f>Assumptions!$B$27*(Assumptions!$B$64+$B$630/Assumptions!$B$27)/(Assumptions!$B$64+J640)</f>
        <v/>
      </c>
      <c r="U640">
        <f>IF(H640&lt;Assumptions!$B$27,Assumptions!$B$27/T640,1)</f>
        <v/>
      </c>
      <c r="V640">
        <f>Assumptions!$B$26*(Assumptions!$B$64+$B$630/Assumptions!$B$26)/(Assumptions!$B$64+J640)</f>
        <v/>
      </c>
      <c r="W640">
        <f>IF(H640&lt;Assumptions!$B$26,Assumptions!$B$26/V640,1)</f>
        <v/>
      </c>
    </row>
    <row r="641">
      <c r="A641" t="n">
        <v>8</v>
      </c>
      <c r="B641">
        <f>U640</f>
        <v/>
      </c>
      <c r="C641">
        <f>W640</f>
        <v/>
      </c>
      <c r="D641">
        <f>O640</f>
        <v/>
      </c>
      <c r="E641">
        <f>S640</f>
        <v/>
      </c>
      <c r="F641">
        <f>Assumptions!$B$16*B641</f>
        <v/>
      </c>
      <c r="G641">
        <f>Assumptions!$B$15*C641</f>
        <v/>
      </c>
      <c r="H641">
        <f>IF($B$626*($B$629/(($B$629*(1-$B$626)-$B$630)/((Assumptions!$B$9+Assumptions!$B$11+Assumptions!$B$12+Assumptions!$B$13+Assumptions!$B$14)+G641+F641+D641+E641)))&lt;Assumptions!$B$65,($B$629-$B$630)/(((Assumptions!$B$9+Assumptions!$B$11+Assumptions!$B$12+Assumptions!$B$13+Assumptions!$B$14)+G641+F641+D641+E641)+Assumptions!$B$65),($B$629*(1-$B$626)-$B$630)/((Assumptions!$B$9+Assumptions!$B$11+Assumptions!$B$12+Assumptions!$B$13+Assumptions!$B$14)+G641+F641+D641+E641))</f>
        <v/>
      </c>
      <c r="I641">
        <f>$B$629/H641</f>
        <v/>
      </c>
      <c r="J641">
        <f>$B$630/H641</f>
        <v/>
      </c>
      <c r="K641">
        <f>I641-J641</f>
        <v/>
      </c>
      <c r="L641">
        <f>Assumptions!$B$51/K641</f>
        <v/>
      </c>
      <c r="M641">
        <f>H641*(1-Assumptions!$B$52)</f>
        <v/>
      </c>
      <c r="N641">
        <f>MIN(L641,M641)</f>
        <v/>
      </c>
      <c r="O641">
        <f>Assumptions!$B$50/N641</f>
        <v/>
      </c>
      <c r="P641">
        <f>Assumptions!$B$54/K641</f>
        <v/>
      </c>
      <c r="Q641">
        <f>H641*(1-Assumptions!$B$55)</f>
        <v/>
      </c>
      <c r="R641">
        <f>MIN(P641,Q641)</f>
        <v/>
      </c>
      <c r="S641">
        <f>Assumptions!$B$53/R641</f>
        <v/>
      </c>
      <c r="T641">
        <f>Assumptions!$B$27*(Assumptions!$B$64+$B$630/Assumptions!$B$27)/(Assumptions!$B$64+J641)</f>
        <v/>
      </c>
      <c r="U641">
        <f>IF(H641&lt;Assumptions!$B$27,Assumptions!$B$27/T641,1)</f>
        <v/>
      </c>
      <c r="V641">
        <f>Assumptions!$B$26*(Assumptions!$B$64+$B$630/Assumptions!$B$26)/(Assumptions!$B$64+J641)</f>
        <v/>
      </c>
      <c r="W641">
        <f>IF(H641&lt;Assumptions!$B$26,Assumptions!$B$26/V641,1)</f>
        <v/>
      </c>
    </row>
    <row r="642">
      <c r="A642" t="n">
        <v>9</v>
      </c>
      <c r="B642">
        <f>U641</f>
        <v/>
      </c>
      <c r="C642">
        <f>W641</f>
        <v/>
      </c>
      <c r="D642">
        <f>O641</f>
        <v/>
      </c>
      <c r="E642">
        <f>S641</f>
        <v/>
      </c>
      <c r="F642">
        <f>Assumptions!$B$16*B642</f>
        <v/>
      </c>
      <c r="G642">
        <f>Assumptions!$B$15*C642</f>
        <v/>
      </c>
      <c r="H642">
        <f>IF($B$626*($B$629/(($B$629*(1-$B$626)-$B$630)/((Assumptions!$B$9+Assumptions!$B$11+Assumptions!$B$12+Assumptions!$B$13+Assumptions!$B$14)+G642+F642+D642+E642)))&lt;Assumptions!$B$65,($B$629-$B$630)/(((Assumptions!$B$9+Assumptions!$B$11+Assumptions!$B$12+Assumptions!$B$13+Assumptions!$B$14)+G642+F642+D642+E642)+Assumptions!$B$65),($B$629*(1-$B$626)-$B$630)/((Assumptions!$B$9+Assumptions!$B$11+Assumptions!$B$12+Assumptions!$B$13+Assumptions!$B$14)+G642+F642+D642+E642))</f>
        <v/>
      </c>
      <c r="I642">
        <f>$B$629/H642</f>
        <v/>
      </c>
      <c r="J642">
        <f>$B$630/H642</f>
        <v/>
      </c>
      <c r="K642">
        <f>I642-J642</f>
        <v/>
      </c>
      <c r="L642">
        <f>Assumptions!$B$51/K642</f>
        <v/>
      </c>
      <c r="M642">
        <f>H642*(1-Assumptions!$B$52)</f>
        <v/>
      </c>
      <c r="N642">
        <f>MIN(L642,M642)</f>
        <v/>
      </c>
      <c r="O642">
        <f>Assumptions!$B$50/N642</f>
        <v/>
      </c>
      <c r="P642">
        <f>Assumptions!$B$54/K642</f>
        <v/>
      </c>
      <c r="Q642">
        <f>H642*(1-Assumptions!$B$55)</f>
        <v/>
      </c>
      <c r="R642">
        <f>MIN(P642,Q642)</f>
        <v/>
      </c>
      <c r="S642">
        <f>Assumptions!$B$53/R642</f>
        <v/>
      </c>
      <c r="T642">
        <f>Assumptions!$B$27*(Assumptions!$B$64+$B$630/Assumptions!$B$27)/(Assumptions!$B$64+J642)</f>
        <v/>
      </c>
      <c r="U642">
        <f>IF(H642&lt;Assumptions!$B$27,Assumptions!$B$27/T642,1)</f>
        <v/>
      </c>
      <c r="V642">
        <f>Assumptions!$B$26*(Assumptions!$B$64+$B$630/Assumptions!$B$26)/(Assumptions!$B$64+J642)</f>
        <v/>
      </c>
      <c r="W642">
        <f>IF(H642&lt;Assumptions!$B$26,Assumptions!$B$26/V642,1)</f>
        <v/>
      </c>
    </row>
    <row r="643">
      <c r="A643" t="n">
        <v>10</v>
      </c>
      <c r="B643">
        <f>U642</f>
        <v/>
      </c>
      <c r="C643">
        <f>W642</f>
        <v/>
      </c>
      <c r="D643">
        <f>O642</f>
        <v/>
      </c>
      <c r="E643">
        <f>S642</f>
        <v/>
      </c>
      <c r="F643">
        <f>Assumptions!$B$16*B643</f>
        <v/>
      </c>
      <c r="G643">
        <f>Assumptions!$B$15*C643</f>
        <v/>
      </c>
      <c r="H643">
        <f>IF($B$626*($B$629/(($B$629*(1-$B$626)-$B$630)/((Assumptions!$B$9+Assumptions!$B$11+Assumptions!$B$12+Assumptions!$B$13+Assumptions!$B$14)+G643+F643+D643+E643)))&lt;Assumptions!$B$65,($B$629-$B$630)/(((Assumptions!$B$9+Assumptions!$B$11+Assumptions!$B$12+Assumptions!$B$13+Assumptions!$B$14)+G643+F643+D643+E643)+Assumptions!$B$65),($B$629*(1-$B$626)-$B$630)/((Assumptions!$B$9+Assumptions!$B$11+Assumptions!$B$12+Assumptions!$B$13+Assumptions!$B$14)+G643+F643+D643+E643))</f>
        <v/>
      </c>
      <c r="I643">
        <f>$B$629/H643</f>
        <v/>
      </c>
      <c r="J643">
        <f>$B$630/H643</f>
        <v/>
      </c>
      <c r="K643">
        <f>I643-J643</f>
        <v/>
      </c>
      <c r="L643">
        <f>Assumptions!$B$51/K643</f>
        <v/>
      </c>
      <c r="M643">
        <f>H643*(1-Assumptions!$B$52)</f>
        <v/>
      </c>
      <c r="N643">
        <f>MIN(L643,M643)</f>
        <v/>
      </c>
      <c r="O643">
        <f>Assumptions!$B$50/N643</f>
        <v/>
      </c>
      <c r="P643">
        <f>Assumptions!$B$54/K643</f>
        <v/>
      </c>
      <c r="Q643">
        <f>H643*(1-Assumptions!$B$55)</f>
        <v/>
      </c>
      <c r="R643">
        <f>MIN(P643,Q643)</f>
        <v/>
      </c>
      <c r="S643">
        <f>Assumptions!$B$53/R643</f>
        <v/>
      </c>
      <c r="T643">
        <f>Assumptions!$B$27*(Assumptions!$B$64+$B$630/Assumptions!$B$27)/(Assumptions!$B$64+J643)</f>
        <v/>
      </c>
      <c r="U643">
        <f>IF(H643&lt;Assumptions!$B$27,Assumptions!$B$27/T643,1)</f>
        <v/>
      </c>
      <c r="V643">
        <f>Assumptions!$B$26*(Assumptions!$B$64+$B$630/Assumptions!$B$26)/(Assumptions!$B$64+J643)</f>
        <v/>
      </c>
      <c r="W643">
        <f>IF(H643&lt;Assumptions!$B$26,Assumptions!$B$26/V643,1)</f>
        <v/>
      </c>
    </row>
    <row r="644">
      <c r="A644" t="n">
        <v>11</v>
      </c>
      <c r="B644">
        <f>U643</f>
        <v/>
      </c>
      <c r="C644">
        <f>W643</f>
        <v/>
      </c>
      <c r="D644">
        <f>O643</f>
        <v/>
      </c>
      <c r="E644">
        <f>S643</f>
        <v/>
      </c>
      <c r="F644">
        <f>Assumptions!$B$16*B644</f>
        <v/>
      </c>
      <c r="G644">
        <f>Assumptions!$B$15*C644</f>
        <v/>
      </c>
      <c r="H644">
        <f>IF($B$626*($B$629/(($B$629*(1-$B$626)-$B$630)/((Assumptions!$B$9+Assumptions!$B$11+Assumptions!$B$12+Assumptions!$B$13+Assumptions!$B$14)+G644+F644+D644+E644)))&lt;Assumptions!$B$65,($B$629-$B$630)/(((Assumptions!$B$9+Assumptions!$B$11+Assumptions!$B$12+Assumptions!$B$13+Assumptions!$B$14)+G644+F644+D644+E644)+Assumptions!$B$65),($B$629*(1-$B$626)-$B$630)/((Assumptions!$B$9+Assumptions!$B$11+Assumptions!$B$12+Assumptions!$B$13+Assumptions!$B$14)+G644+F644+D644+E644))</f>
        <v/>
      </c>
      <c r="I644">
        <f>$B$629/H644</f>
        <v/>
      </c>
      <c r="J644">
        <f>$B$630/H644</f>
        <v/>
      </c>
      <c r="K644">
        <f>I644-J644</f>
        <v/>
      </c>
      <c r="L644">
        <f>Assumptions!$B$51/K644</f>
        <v/>
      </c>
      <c r="M644">
        <f>H644*(1-Assumptions!$B$52)</f>
        <v/>
      </c>
      <c r="N644">
        <f>MIN(L644,M644)</f>
        <v/>
      </c>
      <c r="O644">
        <f>Assumptions!$B$50/N644</f>
        <v/>
      </c>
      <c r="P644">
        <f>Assumptions!$B$54/K644</f>
        <v/>
      </c>
      <c r="Q644">
        <f>H644*(1-Assumptions!$B$55)</f>
        <v/>
      </c>
      <c r="R644">
        <f>MIN(P644,Q644)</f>
        <v/>
      </c>
      <c r="S644">
        <f>Assumptions!$B$53/R644</f>
        <v/>
      </c>
      <c r="T644">
        <f>Assumptions!$B$27*(Assumptions!$B$64+$B$630/Assumptions!$B$27)/(Assumptions!$B$64+J644)</f>
        <v/>
      </c>
      <c r="U644">
        <f>IF(H644&lt;Assumptions!$B$27,Assumptions!$B$27/T644,1)</f>
        <v/>
      </c>
      <c r="V644">
        <f>Assumptions!$B$26*(Assumptions!$B$64+$B$630/Assumptions!$B$26)/(Assumptions!$B$64+J644)</f>
        <v/>
      </c>
      <c r="W644">
        <f>IF(H644&lt;Assumptions!$B$26,Assumptions!$B$26/V644,1)</f>
        <v/>
      </c>
    </row>
    <row r="645">
      <c r="A645" t="n">
        <v>12</v>
      </c>
      <c r="B645">
        <f>U644</f>
        <v/>
      </c>
      <c r="C645">
        <f>W644</f>
        <v/>
      </c>
      <c r="D645">
        <f>O644</f>
        <v/>
      </c>
      <c r="E645">
        <f>S644</f>
        <v/>
      </c>
      <c r="F645">
        <f>Assumptions!$B$16*B645</f>
        <v/>
      </c>
      <c r="G645">
        <f>Assumptions!$B$15*C645</f>
        <v/>
      </c>
      <c r="H645">
        <f>IF($B$626*($B$629/(($B$629*(1-$B$626)-$B$630)/((Assumptions!$B$9+Assumptions!$B$11+Assumptions!$B$12+Assumptions!$B$13+Assumptions!$B$14)+G645+F645+D645+E645)))&lt;Assumptions!$B$65,($B$629-$B$630)/(((Assumptions!$B$9+Assumptions!$B$11+Assumptions!$B$12+Assumptions!$B$13+Assumptions!$B$14)+G645+F645+D645+E645)+Assumptions!$B$65),($B$629*(1-$B$626)-$B$630)/((Assumptions!$B$9+Assumptions!$B$11+Assumptions!$B$12+Assumptions!$B$13+Assumptions!$B$14)+G645+F645+D645+E645))</f>
        <v/>
      </c>
      <c r="I645">
        <f>$B$629/H645</f>
        <v/>
      </c>
      <c r="J645">
        <f>$B$630/H645</f>
        <v/>
      </c>
      <c r="K645">
        <f>I645-J645</f>
        <v/>
      </c>
      <c r="L645">
        <f>Assumptions!$B$51/K645</f>
        <v/>
      </c>
      <c r="M645">
        <f>H645*(1-Assumptions!$B$52)</f>
        <v/>
      </c>
      <c r="N645">
        <f>MIN(L645,M645)</f>
        <v/>
      </c>
      <c r="O645">
        <f>Assumptions!$B$50/N645</f>
        <v/>
      </c>
      <c r="P645">
        <f>Assumptions!$B$54/K645</f>
        <v/>
      </c>
      <c r="Q645">
        <f>H645*(1-Assumptions!$B$55)</f>
        <v/>
      </c>
      <c r="R645">
        <f>MIN(P645,Q645)</f>
        <v/>
      </c>
      <c r="S645">
        <f>Assumptions!$B$53/R645</f>
        <v/>
      </c>
      <c r="T645">
        <f>Assumptions!$B$27*(Assumptions!$B$64+$B$630/Assumptions!$B$27)/(Assumptions!$B$64+J645)</f>
        <v/>
      </c>
      <c r="U645">
        <f>IF(H645&lt;Assumptions!$B$27,Assumptions!$B$27/T645,1)</f>
        <v/>
      </c>
      <c r="V645">
        <f>Assumptions!$B$26*(Assumptions!$B$64+$B$630/Assumptions!$B$26)/(Assumptions!$B$64+J645)</f>
        <v/>
      </c>
      <c r="W645">
        <f>IF(H645&lt;Assumptions!$B$26,Assumptions!$B$26/V645,1)</f>
        <v/>
      </c>
    </row>
    <row r="646">
      <c r="A646" t="n">
        <v>13</v>
      </c>
      <c r="B646">
        <f>U645</f>
        <v/>
      </c>
      <c r="C646">
        <f>W645</f>
        <v/>
      </c>
      <c r="D646">
        <f>O645</f>
        <v/>
      </c>
      <c r="E646">
        <f>S645</f>
        <v/>
      </c>
      <c r="F646">
        <f>Assumptions!$B$16*B646</f>
        <v/>
      </c>
      <c r="G646">
        <f>Assumptions!$B$15*C646</f>
        <v/>
      </c>
      <c r="H646">
        <f>IF($B$626*($B$629/(($B$629*(1-$B$626)-$B$630)/((Assumptions!$B$9+Assumptions!$B$11+Assumptions!$B$12+Assumptions!$B$13+Assumptions!$B$14)+G646+F646+D646+E646)))&lt;Assumptions!$B$65,($B$629-$B$630)/(((Assumptions!$B$9+Assumptions!$B$11+Assumptions!$B$12+Assumptions!$B$13+Assumptions!$B$14)+G646+F646+D646+E646)+Assumptions!$B$65),($B$629*(1-$B$626)-$B$630)/((Assumptions!$B$9+Assumptions!$B$11+Assumptions!$B$12+Assumptions!$B$13+Assumptions!$B$14)+G646+F646+D646+E646))</f>
        <v/>
      </c>
      <c r="I646">
        <f>$B$629/H646</f>
        <v/>
      </c>
      <c r="J646">
        <f>$B$630/H646</f>
        <v/>
      </c>
      <c r="K646">
        <f>I646-J646</f>
        <v/>
      </c>
      <c r="L646">
        <f>Assumptions!$B$51/K646</f>
        <v/>
      </c>
      <c r="M646">
        <f>H646*(1-Assumptions!$B$52)</f>
        <v/>
      </c>
      <c r="N646">
        <f>MIN(L646,M646)</f>
        <v/>
      </c>
      <c r="O646">
        <f>Assumptions!$B$50/N646</f>
        <v/>
      </c>
      <c r="P646">
        <f>Assumptions!$B$54/K646</f>
        <v/>
      </c>
      <c r="Q646">
        <f>H646*(1-Assumptions!$B$55)</f>
        <v/>
      </c>
      <c r="R646">
        <f>MIN(P646,Q646)</f>
        <v/>
      </c>
      <c r="S646">
        <f>Assumptions!$B$53/R646</f>
        <v/>
      </c>
      <c r="T646">
        <f>Assumptions!$B$27*(Assumptions!$B$64+$B$630/Assumptions!$B$27)/(Assumptions!$B$64+J646)</f>
        <v/>
      </c>
      <c r="U646">
        <f>IF(H646&lt;Assumptions!$B$27,Assumptions!$B$27/T646,1)</f>
        <v/>
      </c>
      <c r="V646">
        <f>Assumptions!$B$26*(Assumptions!$B$64+$B$630/Assumptions!$B$26)/(Assumptions!$B$64+J646)</f>
        <v/>
      </c>
      <c r="W646">
        <f>IF(H646&lt;Assumptions!$B$26,Assumptions!$B$26/V646,1)</f>
        <v/>
      </c>
    </row>
    <row r="647">
      <c r="A647" t="n">
        <v>14</v>
      </c>
      <c r="B647">
        <f>U646</f>
        <v/>
      </c>
      <c r="C647">
        <f>W646</f>
        <v/>
      </c>
      <c r="D647">
        <f>O646</f>
        <v/>
      </c>
      <c r="E647">
        <f>S646</f>
        <v/>
      </c>
      <c r="F647">
        <f>Assumptions!$B$16*B647</f>
        <v/>
      </c>
      <c r="G647">
        <f>Assumptions!$B$15*C647</f>
        <v/>
      </c>
      <c r="H647">
        <f>IF($B$626*($B$629/(($B$629*(1-$B$626)-$B$630)/((Assumptions!$B$9+Assumptions!$B$11+Assumptions!$B$12+Assumptions!$B$13+Assumptions!$B$14)+G647+F647+D647+E647)))&lt;Assumptions!$B$65,($B$629-$B$630)/(((Assumptions!$B$9+Assumptions!$B$11+Assumptions!$B$12+Assumptions!$B$13+Assumptions!$B$14)+G647+F647+D647+E647)+Assumptions!$B$65),($B$629*(1-$B$626)-$B$630)/((Assumptions!$B$9+Assumptions!$B$11+Assumptions!$B$12+Assumptions!$B$13+Assumptions!$B$14)+G647+F647+D647+E647))</f>
        <v/>
      </c>
      <c r="I647">
        <f>$B$629/H647</f>
        <v/>
      </c>
      <c r="J647">
        <f>$B$630/H647</f>
        <v/>
      </c>
      <c r="K647">
        <f>I647-J647</f>
        <v/>
      </c>
      <c r="L647">
        <f>Assumptions!$B$51/K647</f>
        <v/>
      </c>
      <c r="M647">
        <f>H647*(1-Assumptions!$B$52)</f>
        <v/>
      </c>
      <c r="N647">
        <f>MIN(L647,M647)</f>
        <v/>
      </c>
      <c r="O647">
        <f>Assumptions!$B$50/N647</f>
        <v/>
      </c>
      <c r="P647">
        <f>Assumptions!$B$54/K647</f>
        <v/>
      </c>
      <c r="Q647">
        <f>H647*(1-Assumptions!$B$55)</f>
        <v/>
      </c>
      <c r="R647">
        <f>MIN(P647,Q647)</f>
        <v/>
      </c>
      <c r="S647">
        <f>Assumptions!$B$53/R647</f>
        <v/>
      </c>
      <c r="T647">
        <f>Assumptions!$B$27*(Assumptions!$B$64+$B$630/Assumptions!$B$27)/(Assumptions!$B$64+J647)</f>
        <v/>
      </c>
      <c r="U647">
        <f>IF(H647&lt;Assumptions!$B$27,Assumptions!$B$27/T647,1)</f>
        <v/>
      </c>
      <c r="V647">
        <f>Assumptions!$B$26*(Assumptions!$B$64+$B$630/Assumptions!$B$26)/(Assumptions!$B$64+J647)</f>
        <v/>
      </c>
      <c r="W647">
        <f>IF(H647&lt;Assumptions!$B$26,Assumptions!$B$26/V647,1)</f>
        <v/>
      </c>
    </row>
    <row r="648">
      <c r="A648" t="n">
        <v>15</v>
      </c>
      <c r="B648">
        <f>U647</f>
        <v/>
      </c>
      <c r="C648">
        <f>W647</f>
        <v/>
      </c>
      <c r="D648">
        <f>O647</f>
        <v/>
      </c>
      <c r="E648">
        <f>S647</f>
        <v/>
      </c>
      <c r="F648">
        <f>Assumptions!$B$16*B648</f>
        <v/>
      </c>
      <c r="G648">
        <f>Assumptions!$B$15*C648</f>
        <v/>
      </c>
      <c r="H648">
        <f>IF($B$626*($B$629/(($B$629*(1-$B$626)-$B$630)/((Assumptions!$B$9+Assumptions!$B$11+Assumptions!$B$12+Assumptions!$B$13+Assumptions!$B$14)+G648+F648+D648+E648)))&lt;Assumptions!$B$65,($B$629-$B$630)/(((Assumptions!$B$9+Assumptions!$B$11+Assumptions!$B$12+Assumptions!$B$13+Assumptions!$B$14)+G648+F648+D648+E648)+Assumptions!$B$65),($B$629*(1-$B$626)-$B$630)/((Assumptions!$B$9+Assumptions!$B$11+Assumptions!$B$12+Assumptions!$B$13+Assumptions!$B$14)+G648+F648+D648+E648))</f>
        <v/>
      </c>
      <c r="I648">
        <f>$B$629/H648</f>
        <v/>
      </c>
      <c r="J648">
        <f>$B$630/H648</f>
        <v/>
      </c>
      <c r="K648">
        <f>I648-J648</f>
        <v/>
      </c>
      <c r="L648">
        <f>Assumptions!$B$51/K648</f>
        <v/>
      </c>
      <c r="M648">
        <f>H648*(1-Assumptions!$B$52)</f>
        <v/>
      </c>
      <c r="N648">
        <f>MIN(L648,M648)</f>
        <v/>
      </c>
      <c r="O648">
        <f>Assumptions!$B$50/N648</f>
        <v/>
      </c>
      <c r="P648">
        <f>Assumptions!$B$54/K648</f>
        <v/>
      </c>
      <c r="Q648">
        <f>H648*(1-Assumptions!$B$55)</f>
        <v/>
      </c>
      <c r="R648">
        <f>MIN(P648,Q648)</f>
        <v/>
      </c>
      <c r="S648">
        <f>Assumptions!$B$53/R648</f>
        <v/>
      </c>
      <c r="T648">
        <f>Assumptions!$B$27*(Assumptions!$B$64+$B$630/Assumptions!$B$27)/(Assumptions!$B$64+J648)</f>
        <v/>
      </c>
      <c r="U648">
        <f>IF(H648&lt;Assumptions!$B$27,Assumptions!$B$27/T648,1)</f>
        <v/>
      </c>
      <c r="V648">
        <f>Assumptions!$B$26*(Assumptions!$B$64+$B$630/Assumptions!$B$26)/(Assumptions!$B$64+J648)</f>
        <v/>
      </c>
      <c r="W648">
        <f>IF(H648&lt;Assumptions!$B$26,Assumptions!$B$26/V648,1)</f>
        <v/>
      </c>
    </row>
    <row r="649">
      <c r="A649" t="n">
        <v>16</v>
      </c>
      <c r="B649">
        <f>U648</f>
        <v/>
      </c>
      <c r="C649">
        <f>W648</f>
        <v/>
      </c>
      <c r="D649">
        <f>O648</f>
        <v/>
      </c>
      <c r="E649">
        <f>S648</f>
        <v/>
      </c>
      <c r="F649">
        <f>Assumptions!$B$16*B649</f>
        <v/>
      </c>
      <c r="G649">
        <f>Assumptions!$B$15*C649</f>
        <v/>
      </c>
      <c r="H649">
        <f>IF($B$626*($B$629/(($B$629*(1-$B$626)-$B$630)/((Assumptions!$B$9+Assumptions!$B$11+Assumptions!$B$12+Assumptions!$B$13+Assumptions!$B$14)+G649+F649+D649+E649)))&lt;Assumptions!$B$65,($B$629-$B$630)/(((Assumptions!$B$9+Assumptions!$B$11+Assumptions!$B$12+Assumptions!$B$13+Assumptions!$B$14)+G649+F649+D649+E649)+Assumptions!$B$65),($B$629*(1-$B$626)-$B$630)/((Assumptions!$B$9+Assumptions!$B$11+Assumptions!$B$12+Assumptions!$B$13+Assumptions!$B$14)+G649+F649+D649+E649))</f>
        <v/>
      </c>
      <c r="I649">
        <f>$B$629/H649</f>
        <v/>
      </c>
      <c r="J649">
        <f>$B$630/H649</f>
        <v/>
      </c>
      <c r="K649">
        <f>I649-J649</f>
        <v/>
      </c>
      <c r="L649">
        <f>Assumptions!$B$51/K649</f>
        <v/>
      </c>
      <c r="M649">
        <f>H649*(1-Assumptions!$B$52)</f>
        <v/>
      </c>
      <c r="N649">
        <f>MIN(L649,M649)</f>
        <v/>
      </c>
      <c r="O649">
        <f>Assumptions!$B$50/N649</f>
        <v/>
      </c>
      <c r="P649">
        <f>Assumptions!$B$54/K649</f>
        <v/>
      </c>
      <c r="Q649">
        <f>H649*(1-Assumptions!$B$55)</f>
        <v/>
      </c>
      <c r="R649">
        <f>MIN(P649,Q649)</f>
        <v/>
      </c>
      <c r="S649">
        <f>Assumptions!$B$53/R649</f>
        <v/>
      </c>
      <c r="T649">
        <f>Assumptions!$B$27*(Assumptions!$B$64+$B$630/Assumptions!$B$27)/(Assumptions!$B$64+J649)</f>
        <v/>
      </c>
      <c r="U649">
        <f>IF(H649&lt;Assumptions!$B$27,Assumptions!$B$27/T649,1)</f>
        <v/>
      </c>
      <c r="V649">
        <f>Assumptions!$B$26*(Assumptions!$B$64+$B$630/Assumptions!$B$26)/(Assumptions!$B$64+J649)</f>
        <v/>
      </c>
      <c r="W649">
        <f>IF(H649&lt;Assumptions!$B$26,Assumptions!$B$26/V649,1)</f>
        <v/>
      </c>
    </row>
    <row r="650">
      <c r="A650" t="n">
        <v>17</v>
      </c>
      <c r="B650">
        <f>U649</f>
        <v/>
      </c>
      <c r="C650">
        <f>W649</f>
        <v/>
      </c>
      <c r="D650">
        <f>O649</f>
        <v/>
      </c>
      <c r="E650">
        <f>S649</f>
        <v/>
      </c>
      <c r="F650">
        <f>Assumptions!$B$16*B650</f>
        <v/>
      </c>
      <c r="G650">
        <f>Assumptions!$B$15*C650</f>
        <v/>
      </c>
      <c r="H650">
        <f>IF($B$626*($B$629/(($B$629*(1-$B$626)-$B$630)/((Assumptions!$B$9+Assumptions!$B$11+Assumptions!$B$12+Assumptions!$B$13+Assumptions!$B$14)+G650+F650+D650+E650)))&lt;Assumptions!$B$65,($B$629-$B$630)/(((Assumptions!$B$9+Assumptions!$B$11+Assumptions!$B$12+Assumptions!$B$13+Assumptions!$B$14)+G650+F650+D650+E650)+Assumptions!$B$65),($B$629*(1-$B$626)-$B$630)/((Assumptions!$B$9+Assumptions!$B$11+Assumptions!$B$12+Assumptions!$B$13+Assumptions!$B$14)+G650+F650+D650+E650))</f>
        <v/>
      </c>
      <c r="I650">
        <f>$B$629/H650</f>
        <v/>
      </c>
      <c r="J650">
        <f>$B$630/H650</f>
        <v/>
      </c>
      <c r="K650">
        <f>I650-J650</f>
        <v/>
      </c>
      <c r="L650">
        <f>Assumptions!$B$51/K650</f>
        <v/>
      </c>
      <c r="M650">
        <f>H650*(1-Assumptions!$B$52)</f>
        <v/>
      </c>
      <c r="N650">
        <f>MIN(L650,M650)</f>
        <v/>
      </c>
      <c r="O650">
        <f>Assumptions!$B$50/N650</f>
        <v/>
      </c>
      <c r="P650">
        <f>Assumptions!$B$54/K650</f>
        <v/>
      </c>
      <c r="Q650">
        <f>H650*(1-Assumptions!$B$55)</f>
        <v/>
      </c>
      <c r="R650">
        <f>MIN(P650,Q650)</f>
        <v/>
      </c>
      <c r="S650">
        <f>Assumptions!$B$53/R650</f>
        <v/>
      </c>
      <c r="T650">
        <f>Assumptions!$B$27*(Assumptions!$B$64+$B$630/Assumptions!$B$27)/(Assumptions!$B$64+J650)</f>
        <v/>
      </c>
      <c r="U650">
        <f>IF(H650&lt;Assumptions!$B$27,Assumptions!$B$27/T650,1)</f>
        <v/>
      </c>
      <c r="V650">
        <f>Assumptions!$B$26*(Assumptions!$B$64+$B$630/Assumptions!$B$26)/(Assumptions!$B$64+J650)</f>
        <v/>
      </c>
      <c r="W650">
        <f>IF(H650&lt;Assumptions!$B$26,Assumptions!$B$26/V650,1)</f>
        <v/>
      </c>
    </row>
    <row r="651">
      <c r="A651" t="n">
        <v>18</v>
      </c>
      <c r="B651">
        <f>U650</f>
        <v/>
      </c>
      <c r="C651">
        <f>W650</f>
        <v/>
      </c>
      <c r="D651">
        <f>O650</f>
        <v/>
      </c>
      <c r="E651">
        <f>S650</f>
        <v/>
      </c>
      <c r="F651">
        <f>Assumptions!$B$16*B651</f>
        <v/>
      </c>
      <c r="G651">
        <f>Assumptions!$B$15*C651</f>
        <v/>
      </c>
      <c r="H651">
        <f>IF($B$626*($B$629/(($B$629*(1-$B$626)-$B$630)/((Assumptions!$B$9+Assumptions!$B$11+Assumptions!$B$12+Assumptions!$B$13+Assumptions!$B$14)+G651+F651+D651+E651)))&lt;Assumptions!$B$65,($B$629-$B$630)/(((Assumptions!$B$9+Assumptions!$B$11+Assumptions!$B$12+Assumptions!$B$13+Assumptions!$B$14)+G651+F651+D651+E651)+Assumptions!$B$65),($B$629*(1-$B$626)-$B$630)/((Assumptions!$B$9+Assumptions!$B$11+Assumptions!$B$12+Assumptions!$B$13+Assumptions!$B$14)+G651+F651+D651+E651))</f>
        <v/>
      </c>
      <c r="I651">
        <f>$B$629/H651</f>
        <v/>
      </c>
      <c r="J651">
        <f>$B$630/H651</f>
        <v/>
      </c>
      <c r="K651">
        <f>I651-J651</f>
        <v/>
      </c>
      <c r="L651">
        <f>Assumptions!$B$51/K651</f>
        <v/>
      </c>
      <c r="M651">
        <f>H651*(1-Assumptions!$B$52)</f>
        <v/>
      </c>
      <c r="N651">
        <f>MIN(L651,M651)</f>
        <v/>
      </c>
      <c r="O651">
        <f>Assumptions!$B$50/N651</f>
        <v/>
      </c>
      <c r="P651">
        <f>Assumptions!$B$54/K651</f>
        <v/>
      </c>
      <c r="Q651">
        <f>H651*(1-Assumptions!$B$55)</f>
        <v/>
      </c>
      <c r="R651">
        <f>MIN(P651,Q651)</f>
        <v/>
      </c>
      <c r="S651">
        <f>Assumptions!$B$53/R651</f>
        <v/>
      </c>
      <c r="T651">
        <f>Assumptions!$B$27*(Assumptions!$B$64+$B$630/Assumptions!$B$27)/(Assumptions!$B$64+J651)</f>
        <v/>
      </c>
      <c r="U651">
        <f>IF(H651&lt;Assumptions!$B$27,Assumptions!$B$27/T651,1)</f>
        <v/>
      </c>
      <c r="V651">
        <f>Assumptions!$B$26*(Assumptions!$B$64+$B$630/Assumptions!$B$26)/(Assumptions!$B$64+J651)</f>
        <v/>
      </c>
      <c r="W651">
        <f>IF(H651&lt;Assumptions!$B$26,Assumptions!$B$26/V651,1)</f>
        <v/>
      </c>
    </row>
    <row r="652">
      <c r="A652" t="n">
        <v>19</v>
      </c>
      <c r="B652">
        <f>U651</f>
        <v/>
      </c>
      <c r="C652">
        <f>W651</f>
        <v/>
      </c>
      <c r="D652">
        <f>O651</f>
        <v/>
      </c>
      <c r="E652">
        <f>S651</f>
        <v/>
      </c>
      <c r="F652">
        <f>Assumptions!$B$16*B652</f>
        <v/>
      </c>
      <c r="G652">
        <f>Assumptions!$B$15*C652</f>
        <v/>
      </c>
      <c r="H652">
        <f>IF($B$626*($B$629/(($B$629*(1-$B$626)-$B$630)/((Assumptions!$B$9+Assumptions!$B$11+Assumptions!$B$12+Assumptions!$B$13+Assumptions!$B$14)+G652+F652+D652+E652)))&lt;Assumptions!$B$65,($B$629-$B$630)/(((Assumptions!$B$9+Assumptions!$B$11+Assumptions!$B$12+Assumptions!$B$13+Assumptions!$B$14)+G652+F652+D652+E652)+Assumptions!$B$65),($B$629*(1-$B$626)-$B$630)/((Assumptions!$B$9+Assumptions!$B$11+Assumptions!$B$12+Assumptions!$B$13+Assumptions!$B$14)+G652+F652+D652+E652))</f>
        <v/>
      </c>
      <c r="I652">
        <f>$B$629/H652</f>
        <v/>
      </c>
      <c r="J652">
        <f>$B$630/H652</f>
        <v/>
      </c>
      <c r="K652">
        <f>I652-J652</f>
        <v/>
      </c>
      <c r="L652">
        <f>Assumptions!$B$51/K652</f>
        <v/>
      </c>
      <c r="M652">
        <f>H652*(1-Assumptions!$B$52)</f>
        <v/>
      </c>
      <c r="N652">
        <f>MIN(L652,M652)</f>
        <v/>
      </c>
      <c r="O652">
        <f>Assumptions!$B$50/N652</f>
        <v/>
      </c>
      <c r="P652">
        <f>Assumptions!$B$54/K652</f>
        <v/>
      </c>
      <c r="Q652">
        <f>H652*(1-Assumptions!$B$55)</f>
        <v/>
      </c>
      <c r="R652">
        <f>MIN(P652,Q652)</f>
        <v/>
      </c>
      <c r="S652">
        <f>Assumptions!$B$53/R652</f>
        <v/>
      </c>
      <c r="T652">
        <f>Assumptions!$B$27*(Assumptions!$B$64+$B$630/Assumptions!$B$27)/(Assumptions!$B$64+J652)</f>
        <v/>
      </c>
      <c r="U652">
        <f>IF(H652&lt;Assumptions!$B$27,Assumptions!$B$27/T652,1)</f>
        <v/>
      </c>
      <c r="V652">
        <f>Assumptions!$B$26*(Assumptions!$B$64+$B$630/Assumptions!$B$26)/(Assumptions!$B$64+J652)</f>
        <v/>
      </c>
      <c r="W652">
        <f>IF(H652&lt;Assumptions!$B$26,Assumptions!$B$26/V652,1)</f>
        <v/>
      </c>
    </row>
    <row r="653">
      <c r="A653" t="n">
        <v>20</v>
      </c>
      <c r="B653">
        <f>U652</f>
        <v/>
      </c>
      <c r="C653">
        <f>W652</f>
        <v/>
      </c>
      <c r="D653">
        <f>O652</f>
        <v/>
      </c>
      <c r="E653">
        <f>S652</f>
        <v/>
      </c>
      <c r="F653">
        <f>Assumptions!$B$16*B653</f>
        <v/>
      </c>
      <c r="G653">
        <f>Assumptions!$B$15*C653</f>
        <v/>
      </c>
      <c r="H653">
        <f>IF($B$626*($B$629/(($B$629*(1-$B$626)-$B$630)/((Assumptions!$B$9+Assumptions!$B$11+Assumptions!$B$12+Assumptions!$B$13+Assumptions!$B$14)+G653+F653+D653+E653)))&lt;Assumptions!$B$65,($B$629-$B$630)/(((Assumptions!$B$9+Assumptions!$B$11+Assumptions!$B$12+Assumptions!$B$13+Assumptions!$B$14)+G653+F653+D653+E653)+Assumptions!$B$65),($B$629*(1-$B$626)-$B$630)/((Assumptions!$B$9+Assumptions!$B$11+Assumptions!$B$12+Assumptions!$B$13+Assumptions!$B$14)+G653+F653+D653+E653))</f>
        <v/>
      </c>
      <c r="I653">
        <f>$B$629/H653</f>
        <v/>
      </c>
      <c r="J653">
        <f>$B$630/H653</f>
        <v/>
      </c>
      <c r="K653">
        <f>I653-J653</f>
        <v/>
      </c>
      <c r="L653">
        <f>Assumptions!$B$51/K653</f>
        <v/>
      </c>
      <c r="M653">
        <f>H653*(1-Assumptions!$B$52)</f>
        <v/>
      </c>
      <c r="N653">
        <f>MIN(L653,M653)</f>
        <v/>
      </c>
      <c r="O653">
        <f>Assumptions!$B$50/N653</f>
        <v/>
      </c>
      <c r="P653">
        <f>Assumptions!$B$54/K653</f>
        <v/>
      </c>
      <c r="Q653">
        <f>H653*(1-Assumptions!$B$55)</f>
        <v/>
      </c>
      <c r="R653">
        <f>MIN(P653,Q653)</f>
        <v/>
      </c>
      <c r="S653">
        <f>Assumptions!$B$53/R653</f>
        <v/>
      </c>
      <c r="T653">
        <f>Assumptions!$B$27*(Assumptions!$B$64+$B$630/Assumptions!$B$27)/(Assumptions!$B$64+J653)</f>
        <v/>
      </c>
      <c r="U653">
        <f>IF(H653&lt;Assumptions!$B$27,Assumptions!$B$27/T653,1)</f>
        <v/>
      </c>
      <c r="V653">
        <f>Assumptions!$B$26*(Assumptions!$B$64+$B$630/Assumptions!$B$26)/(Assumptions!$B$64+J653)</f>
        <v/>
      </c>
      <c r="W653">
        <f>IF(H653&lt;Assumptions!$B$26,Assumptions!$B$26/V653,1)</f>
        <v/>
      </c>
    </row>
    <row r="654">
      <c r="A654" t="n">
        <v>21</v>
      </c>
      <c r="B654">
        <f>U653</f>
        <v/>
      </c>
      <c r="C654">
        <f>W653</f>
        <v/>
      </c>
      <c r="D654">
        <f>O653</f>
        <v/>
      </c>
      <c r="E654">
        <f>S653</f>
        <v/>
      </c>
      <c r="F654">
        <f>Assumptions!$B$16*B654</f>
        <v/>
      </c>
      <c r="G654">
        <f>Assumptions!$B$15*C654</f>
        <v/>
      </c>
      <c r="H654">
        <f>IF($B$626*($B$629/(($B$629*(1-$B$626)-$B$630)/((Assumptions!$B$9+Assumptions!$B$11+Assumptions!$B$12+Assumptions!$B$13+Assumptions!$B$14)+G654+F654+D654+E654)))&lt;Assumptions!$B$65,($B$629-$B$630)/(((Assumptions!$B$9+Assumptions!$B$11+Assumptions!$B$12+Assumptions!$B$13+Assumptions!$B$14)+G654+F654+D654+E654)+Assumptions!$B$65),($B$629*(1-$B$626)-$B$630)/((Assumptions!$B$9+Assumptions!$B$11+Assumptions!$B$12+Assumptions!$B$13+Assumptions!$B$14)+G654+F654+D654+E654))</f>
        <v/>
      </c>
      <c r="I654">
        <f>$B$629/H654</f>
        <v/>
      </c>
      <c r="J654">
        <f>$B$630/H654</f>
        <v/>
      </c>
      <c r="K654">
        <f>I654-J654</f>
        <v/>
      </c>
      <c r="L654">
        <f>Assumptions!$B$51/K654</f>
        <v/>
      </c>
      <c r="M654">
        <f>H654*(1-Assumptions!$B$52)</f>
        <v/>
      </c>
      <c r="N654">
        <f>MIN(L654,M654)</f>
        <v/>
      </c>
      <c r="O654">
        <f>Assumptions!$B$50/N654</f>
        <v/>
      </c>
      <c r="P654">
        <f>Assumptions!$B$54/K654</f>
        <v/>
      </c>
      <c r="Q654">
        <f>H654*(1-Assumptions!$B$55)</f>
        <v/>
      </c>
      <c r="R654">
        <f>MIN(P654,Q654)</f>
        <v/>
      </c>
      <c r="S654">
        <f>Assumptions!$B$53/R654</f>
        <v/>
      </c>
      <c r="T654">
        <f>Assumptions!$B$27*(Assumptions!$B$64+$B$630/Assumptions!$B$27)/(Assumptions!$B$64+J654)</f>
        <v/>
      </c>
      <c r="U654">
        <f>IF(H654&lt;Assumptions!$B$27,Assumptions!$B$27/T654,1)</f>
        <v/>
      </c>
      <c r="V654">
        <f>Assumptions!$B$26*(Assumptions!$B$64+$B$630/Assumptions!$B$26)/(Assumptions!$B$64+J654)</f>
        <v/>
      </c>
      <c r="W654">
        <f>IF(H654&lt;Assumptions!$B$26,Assumptions!$B$26/V654,1)</f>
        <v/>
      </c>
    </row>
    <row r="655">
      <c r="A655" t="n">
        <v>22</v>
      </c>
      <c r="B655">
        <f>U654</f>
        <v/>
      </c>
      <c r="C655">
        <f>W654</f>
        <v/>
      </c>
      <c r="D655">
        <f>O654</f>
        <v/>
      </c>
      <c r="E655">
        <f>S654</f>
        <v/>
      </c>
      <c r="F655">
        <f>Assumptions!$B$16*B655</f>
        <v/>
      </c>
      <c r="G655">
        <f>Assumptions!$B$15*C655</f>
        <v/>
      </c>
      <c r="H655">
        <f>IF($B$626*($B$629/(($B$629*(1-$B$626)-$B$630)/((Assumptions!$B$9+Assumptions!$B$11+Assumptions!$B$12+Assumptions!$B$13+Assumptions!$B$14)+G655+F655+D655+E655)))&lt;Assumptions!$B$65,($B$629-$B$630)/(((Assumptions!$B$9+Assumptions!$B$11+Assumptions!$B$12+Assumptions!$B$13+Assumptions!$B$14)+G655+F655+D655+E655)+Assumptions!$B$65),($B$629*(1-$B$626)-$B$630)/((Assumptions!$B$9+Assumptions!$B$11+Assumptions!$B$12+Assumptions!$B$13+Assumptions!$B$14)+G655+F655+D655+E655))</f>
        <v/>
      </c>
      <c r="I655">
        <f>$B$629/H655</f>
        <v/>
      </c>
      <c r="J655">
        <f>$B$630/H655</f>
        <v/>
      </c>
      <c r="K655">
        <f>I655-J655</f>
        <v/>
      </c>
      <c r="L655">
        <f>Assumptions!$B$51/K655</f>
        <v/>
      </c>
      <c r="M655">
        <f>H655*(1-Assumptions!$B$52)</f>
        <v/>
      </c>
      <c r="N655">
        <f>MIN(L655,M655)</f>
        <v/>
      </c>
      <c r="O655">
        <f>Assumptions!$B$50/N655</f>
        <v/>
      </c>
      <c r="P655">
        <f>Assumptions!$B$54/K655</f>
        <v/>
      </c>
      <c r="Q655">
        <f>H655*(1-Assumptions!$B$55)</f>
        <v/>
      </c>
      <c r="R655">
        <f>MIN(P655,Q655)</f>
        <v/>
      </c>
      <c r="S655">
        <f>Assumptions!$B$53/R655</f>
        <v/>
      </c>
      <c r="T655">
        <f>Assumptions!$B$27*(Assumptions!$B$64+$B$630/Assumptions!$B$27)/(Assumptions!$B$64+J655)</f>
        <v/>
      </c>
      <c r="U655">
        <f>IF(H655&lt;Assumptions!$B$27,Assumptions!$B$27/T655,1)</f>
        <v/>
      </c>
      <c r="V655">
        <f>Assumptions!$B$26*(Assumptions!$B$64+$B$630/Assumptions!$B$26)/(Assumptions!$B$64+J655)</f>
        <v/>
      </c>
      <c r="W655">
        <f>IF(H655&lt;Assumptions!$B$26,Assumptions!$B$26/V655,1)</f>
        <v/>
      </c>
    </row>
    <row r="656">
      <c r="A656" t="n">
        <v>23</v>
      </c>
      <c r="B656">
        <f>U655</f>
        <v/>
      </c>
      <c r="C656">
        <f>W655</f>
        <v/>
      </c>
      <c r="D656">
        <f>O655</f>
        <v/>
      </c>
      <c r="E656">
        <f>S655</f>
        <v/>
      </c>
      <c r="F656">
        <f>Assumptions!$B$16*B656</f>
        <v/>
      </c>
      <c r="G656">
        <f>Assumptions!$B$15*C656</f>
        <v/>
      </c>
      <c r="H656">
        <f>IF($B$626*($B$629/(($B$629*(1-$B$626)-$B$630)/((Assumptions!$B$9+Assumptions!$B$11+Assumptions!$B$12+Assumptions!$B$13+Assumptions!$B$14)+G656+F656+D656+E656)))&lt;Assumptions!$B$65,($B$629-$B$630)/(((Assumptions!$B$9+Assumptions!$B$11+Assumptions!$B$12+Assumptions!$B$13+Assumptions!$B$14)+G656+F656+D656+E656)+Assumptions!$B$65),($B$629*(1-$B$626)-$B$630)/((Assumptions!$B$9+Assumptions!$B$11+Assumptions!$B$12+Assumptions!$B$13+Assumptions!$B$14)+G656+F656+D656+E656))</f>
        <v/>
      </c>
      <c r="I656">
        <f>$B$629/H656</f>
        <v/>
      </c>
      <c r="J656">
        <f>$B$630/H656</f>
        <v/>
      </c>
      <c r="K656">
        <f>I656-J656</f>
        <v/>
      </c>
      <c r="L656">
        <f>Assumptions!$B$51/K656</f>
        <v/>
      </c>
      <c r="M656">
        <f>H656*(1-Assumptions!$B$52)</f>
        <v/>
      </c>
      <c r="N656">
        <f>MIN(L656,M656)</f>
        <v/>
      </c>
      <c r="O656">
        <f>Assumptions!$B$50/N656</f>
        <v/>
      </c>
      <c r="P656">
        <f>Assumptions!$B$54/K656</f>
        <v/>
      </c>
      <c r="Q656">
        <f>H656*(1-Assumptions!$B$55)</f>
        <v/>
      </c>
      <c r="R656">
        <f>MIN(P656,Q656)</f>
        <v/>
      </c>
      <c r="S656">
        <f>Assumptions!$B$53/R656</f>
        <v/>
      </c>
      <c r="T656">
        <f>Assumptions!$B$27*(Assumptions!$B$64+$B$630/Assumptions!$B$27)/(Assumptions!$B$64+J656)</f>
        <v/>
      </c>
      <c r="U656">
        <f>IF(H656&lt;Assumptions!$B$27,Assumptions!$B$27/T656,1)</f>
        <v/>
      </c>
      <c r="V656">
        <f>Assumptions!$B$26*(Assumptions!$B$64+$B$630/Assumptions!$B$26)/(Assumptions!$B$64+J656)</f>
        <v/>
      </c>
      <c r="W656">
        <f>IF(H656&lt;Assumptions!$B$26,Assumptions!$B$26/V656,1)</f>
        <v/>
      </c>
    </row>
    <row r="657">
      <c r="A657" t="n">
        <v>24</v>
      </c>
      <c r="B657">
        <f>U656</f>
        <v/>
      </c>
      <c r="C657">
        <f>W656</f>
        <v/>
      </c>
      <c r="D657">
        <f>O656</f>
        <v/>
      </c>
      <c r="E657">
        <f>S656</f>
        <v/>
      </c>
      <c r="F657">
        <f>Assumptions!$B$16*B657</f>
        <v/>
      </c>
      <c r="G657">
        <f>Assumptions!$B$15*C657</f>
        <v/>
      </c>
      <c r="H657">
        <f>IF($B$626*($B$629/(($B$629*(1-$B$626)-$B$630)/((Assumptions!$B$9+Assumptions!$B$11+Assumptions!$B$12+Assumptions!$B$13+Assumptions!$B$14)+G657+F657+D657+E657)))&lt;Assumptions!$B$65,($B$629-$B$630)/(((Assumptions!$B$9+Assumptions!$B$11+Assumptions!$B$12+Assumptions!$B$13+Assumptions!$B$14)+G657+F657+D657+E657)+Assumptions!$B$65),($B$629*(1-$B$626)-$B$630)/((Assumptions!$B$9+Assumptions!$B$11+Assumptions!$B$12+Assumptions!$B$13+Assumptions!$B$14)+G657+F657+D657+E657))</f>
        <v/>
      </c>
      <c r="I657">
        <f>$B$629/H657</f>
        <v/>
      </c>
      <c r="J657">
        <f>$B$630/H657</f>
        <v/>
      </c>
      <c r="K657">
        <f>I657-J657</f>
        <v/>
      </c>
      <c r="L657">
        <f>Assumptions!$B$51/K657</f>
        <v/>
      </c>
      <c r="M657">
        <f>H657*(1-Assumptions!$B$52)</f>
        <v/>
      </c>
      <c r="N657">
        <f>MIN(L657,M657)</f>
        <v/>
      </c>
      <c r="O657">
        <f>Assumptions!$B$50/N657</f>
        <v/>
      </c>
      <c r="P657">
        <f>Assumptions!$B$54/K657</f>
        <v/>
      </c>
      <c r="Q657">
        <f>H657*(1-Assumptions!$B$55)</f>
        <v/>
      </c>
      <c r="R657">
        <f>MIN(P657,Q657)</f>
        <v/>
      </c>
      <c r="S657">
        <f>Assumptions!$B$53/R657</f>
        <v/>
      </c>
      <c r="T657">
        <f>Assumptions!$B$27*(Assumptions!$B$64+$B$630/Assumptions!$B$27)/(Assumptions!$B$64+J657)</f>
        <v/>
      </c>
      <c r="U657">
        <f>IF(H657&lt;Assumptions!$B$27,Assumptions!$B$27/T657,1)</f>
        <v/>
      </c>
      <c r="V657">
        <f>Assumptions!$B$26*(Assumptions!$B$64+$B$630/Assumptions!$B$26)/(Assumptions!$B$64+J657)</f>
        <v/>
      </c>
      <c r="W657">
        <f>IF(H657&lt;Assumptions!$B$26,Assumptions!$B$26/V657,1)</f>
        <v/>
      </c>
    </row>
    <row r="658">
      <c r="A658" t="n">
        <v>25</v>
      </c>
      <c r="B658">
        <f>U657</f>
        <v/>
      </c>
      <c r="C658">
        <f>W657</f>
        <v/>
      </c>
      <c r="D658">
        <f>O657</f>
        <v/>
      </c>
      <c r="E658">
        <f>S657</f>
        <v/>
      </c>
      <c r="F658">
        <f>Assumptions!$B$16*B658</f>
        <v/>
      </c>
      <c r="G658">
        <f>Assumptions!$B$15*C658</f>
        <v/>
      </c>
      <c r="H658">
        <f>IF($B$626*($B$629/(($B$629*(1-$B$626)-$B$630)/((Assumptions!$B$9+Assumptions!$B$11+Assumptions!$B$12+Assumptions!$B$13+Assumptions!$B$14)+G658+F658+D658+E658)))&lt;Assumptions!$B$65,($B$629-$B$630)/(((Assumptions!$B$9+Assumptions!$B$11+Assumptions!$B$12+Assumptions!$B$13+Assumptions!$B$14)+G658+F658+D658+E658)+Assumptions!$B$65),($B$629*(1-$B$626)-$B$630)/((Assumptions!$B$9+Assumptions!$B$11+Assumptions!$B$12+Assumptions!$B$13+Assumptions!$B$14)+G658+F658+D658+E658))</f>
        <v/>
      </c>
      <c r="I658">
        <f>$B$629/H658</f>
        <v/>
      </c>
      <c r="J658">
        <f>$B$630/H658</f>
        <v/>
      </c>
      <c r="K658">
        <f>I658-J658</f>
        <v/>
      </c>
      <c r="L658">
        <f>Assumptions!$B$51/K658</f>
        <v/>
      </c>
      <c r="M658">
        <f>H658*(1-Assumptions!$B$52)</f>
        <v/>
      </c>
      <c r="N658">
        <f>MIN(L658,M658)</f>
        <v/>
      </c>
      <c r="O658">
        <f>Assumptions!$B$50/N658</f>
        <v/>
      </c>
      <c r="P658">
        <f>Assumptions!$B$54/K658</f>
        <v/>
      </c>
      <c r="Q658">
        <f>H658*(1-Assumptions!$B$55)</f>
        <v/>
      </c>
      <c r="R658">
        <f>MIN(P658,Q658)</f>
        <v/>
      </c>
      <c r="S658">
        <f>Assumptions!$B$53/R658</f>
        <v/>
      </c>
      <c r="T658">
        <f>Assumptions!$B$27*(Assumptions!$B$64+$B$630/Assumptions!$B$27)/(Assumptions!$B$64+J658)</f>
        <v/>
      </c>
      <c r="U658">
        <f>IF(H658&lt;Assumptions!$B$27,Assumptions!$B$27/T658,1)</f>
        <v/>
      </c>
      <c r="V658">
        <f>Assumptions!$B$26*(Assumptions!$B$64+$B$630/Assumptions!$B$26)/(Assumptions!$B$64+J658)</f>
        <v/>
      </c>
      <c r="W658">
        <f>IF(H658&lt;Assumptions!$B$26,Assumptions!$B$26/V658,1)</f>
        <v/>
      </c>
    </row>
    <row r="659">
      <c r="A659" t="n">
        <v>26</v>
      </c>
      <c r="B659">
        <f>U658</f>
        <v/>
      </c>
      <c r="C659">
        <f>W658</f>
        <v/>
      </c>
      <c r="D659">
        <f>O658</f>
        <v/>
      </c>
      <c r="E659">
        <f>S658</f>
        <v/>
      </c>
      <c r="F659">
        <f>Assumptions!$B$16*B659</f>
        <v/>
      </c>
      <c r="G659">
        <f>Assumptions!$B$15*C659</f>
        <v/>
      </c>
      <c r="H659">
        <f>IF($B$626*($B$629/(($B$629*(1-$B$626)-$B$630)/((Assumptions!$B$9+Assumptions!$B$11+Assumptions!$B$12+Assumptions!$B$13+Assumptions!$B$14)+G659+F659+D659+E659)))&lt;Assumptions!$B$65,($B$629-$B$630)/(((Assumptions!$B$9+Assumptions!$B$11+Assumptions!$B$12+Assumptions!$B$13+Assumptions!$B$14)+G659+F659+D659+E659)+Assumptions!$B$65),($B$629*(1-$B$626)-$B$630)/((Assumptions!$B$9+Assumptions!$B$11+Assumptions!$B$12+Assumptions!$B$13+Assumptions!$B$14)+G659+F659+D659+E659))</f>
        <v/>
      </c>
      <c r="I659">
        <f>$B$629/H659</f>
        <v/>
      </c>
      <c r="J659">
        <f>$B$630/H659</f>
        <v/>
      </c>
      <c r="K659">
        <f>I659-J659</f>
        <v/>
      </c>
      <c r="L659">
        <f>Assumptions!$B$51/K659</f>
        <v/>
      </c>
      <c r="M659">
        <f>H659*(1-Assumptions!$B$52)</f>
        <v/>
      </c>
      <c r="N659">
        <f>MIN(L659,M659)</f>
        <v/>
      </c>
      <c r="O659">
        <f>Assumptions!$B$50/N659</f>
        <v/>
      </c>
      <c r="P659">
        <f>Assumptions!$B$54/K659</f>
        <v/>
      </c>
      <c r="Q659">
        <f>H659*(1-Assumptions!$B$55)</f>
        <v/>
      </c>
      <c r="R659">
        <f>MIN(P659,Q659)</f>
        <v/>
      </c>
      <c r="S659">
        <f>Assumptions!$B$53/R659</f>
        <v/>
      </c>
      <c r="T659">
        <f>Assumptions!$B$27*(Assumptions!$B$64+$B$630/Assumptions!$B$27)/(Assumptions!$B$64+J659)</f>
        <v/>
      </c>
      <c r="U659">
        <f>IF(H659&lt;Assumptions!$B$27,Assumptions!$B$27/T659,1)</f>
        <v/>
      </c>
      <c r="V659">
        <f>Assumptions!$B$26*(Assumptions!$B$64+$B$630/Assumptions!$B$26)/(Assumptions!$B$64+J659)</f>
        <v/>
      </c>
      <c r="W659">
        <f>IF(H659&lt;Assumptions!$B$26,Assumptions!$B$26/V659,1)</f>
        <v/>
      </c>
    </row>
    <row r="660">
      <c r="A660" t="n">
        <v>27</v>
      </c>
      <c r="B660">
        <f>U659</f>
        <v/>
      </c>
      <c r="C660">
        <f>W659</f>
        <v/>
      </c>
      <c r="D660">
        <f>O659</f>
        <v/>
      </c>
      <c r="E660">
        <f>S659</f>
        <v/>
      </c>
      <c r="F660">
        <f>Assumptions!$B$16*B660</f>
        <v/>
      </c>
      <c r="G660">
        <f>Assumptions!$B$15*C660</f>
        <v/>
      </c>
      <c r="H660">
        <f>IF($B$626*($B$629/(($B$629*(1-$B$626)-$B$630)/((Assumptions!$B$9+Assumptions!$B$11+Assumptions!$B$12+Assumptions!$B$13+Assumptions!$B$14)+G660+F660+D660+E660)))&lt;Assumptions!$B$65,($B$629-$B$630)/(((Assumptions!$B$9+Assumptions!$B$11+Assumptions!$B$12+Assumptions!$B$13+Assumptions!$B$14)+G660+F660+D660+E660)+Assumptions!$B$65),($B$629*(1-$B$626)-$B$630)/((Assumptions!$B$9+Assumptions!$B$11+Assumptions!$B$12+Assumptions!$B$13+Assumptions!$B$14)+G660+F660+D660+E660))</f>
        <v/>
      </c>
      <c r="I660">
        <f>$B$629/H660</f>
        <v/>
      </c>
      <c r="J660">
        <f>$B$630/H660</f>
        <v/>
      </c>
      <c r="K660">
        <f>I660-J660</f>
        <v/>
      </c>
      <c r="L660">
        <f>Assumptions!$B$51/K660</f>
        <v/>
      </c>
      <c r="M660">
        <f>H660*(1-Assumptions!$B$52)</f>
        <v/>
      </c>
      <c r="N660">
        <f>MIN(L660,M660)</f>
        <v/>
      </c>
      <c r="O660">
        <f>Assumptions!$B$50/N660</f>
        <v/>
      </c>
      <c r="P660">
        <f>Assumptions!$B$54/K660</f>
        <v/>
      </c>
      <c r="Q660">
        <f>H660*(1-Assumptions!$B$55)</f>
        <v/>
      </c>
      <c r="R660">
        <f>MIN(P660,Q660)</f>
        <v/>
      </c>
      <c r="S660">
        <f>Assumptions!$B$53/R660</f>
        <v/>
      </c>
      <c r="T660">
        <f>Assumptions!$B$27*(Assumptions!$B$64+$B$630/Assumptions!$B$27)/(Assumptions!$B$64+J660)</f>
        <v/>
      </c>
      <c r="U660">
        <f>IF(H660&lt;Assumptions!$B$27,Assumptions!$B$27/T660,1)</f>
        <v/>
      </c>
      <c r="V660">
        <f>Assumptions!$B$26*(Assumptions!$B$64+$B$630/Assumptions!$B$26)/(Assumptions!$B$64+J660)</f>
        <v/>
      </c>
      <c r="W660">
        <f>IF(H660&lt;Assumptions!$B$26,Assumptions!$B$26/V660,1)</f>
        <v/>
      </c>
    </row>
    <row r="661">
      <c r="A661" t="n">
        <v>28</v>
      </c>
      <c r="B661">
        <f>U660</f>
        <v/>
      </c>
      <c r="C661">
        <f>W660</f>
        <v/>
      </c>
      <c r="D661">
        <f>O660</f>
        <v/>
      </c>
      <c r="E661">
        <f>S660</f>
        <v/>
      </c>
      <c r="F661">
        <f>Assumptions!$B$16*B661</f>
        <v/>
      </c>
      <c r="G661">
        <f>Assumptions!$B$15*C661</f>
        <v/>
      </c>
      <c r="H661">
        <f>IF($B$626*($B$629/(($B$629*(1-$B$626)-$B$630)/((Assumptions!$B$9+Assumptions!$B$11+Assumptions!$B$12+Assumptions!$B$13+Assumptions!$B$14)+G661+F661+D661+E661)))&lt;Assumptions!$B$65,($B$629-$B$630)/(((Assumptions!$B$9+Assumptions!$B$11+Assumptions!$B$12+Assumptions!$B$13+Assumptions!$B$14)+G661+F661+D661+E661)+Assumptions!$B$65),($B$629*(1-$B$626)-$B$630)/((Assumptions!$B$9+Assumptions!$B$11+Assumptions!$B$12+Assumptions!$B$13+Assumptions!$B$14)+G661+F661+D661+E661))</f>
        <v/>
      </c>
      <c r="I661">
        <f>$B$629/H661</f>
        <v/>
      </c>
      <c r="J661">
        <f>$B$630/H661</f>
        <v/>
      </c>
      <c r="K661">
        <f>I661-J661</f>
        <v/>
      </c>
      <c r="L661">
        <f>Assumptions!$B$51/K661</f>
        <v/>
      </c>
      <c r="M661">
        <f>H661*(1-Assumptions!$B$52)</f>
        <v/>
      </c>
      <c r="N661">
        <f>MIN(L661,M661)</f>
        <v/>
      </c>
      <c r="O661">
        <f>Assumptions!$B$50/N661</f>
        <v/>
      </c>
      <c r="P661">
        <f>Assumptions!$B$54/K661</f>
        <v/>
      </c>
      <c r="Q661">
        <f>H661*(1-Assumptions!$B$55)</f>
        <v/>
      </c>
      <c r="R661">
        <f>MIN(P661,Q661)</f>
        <v/>
      </c>
      <c r="S661">
        <f>Assumptions!$B$53/R661</f>
        <v/>
      </c>
      <c r="T661">
        <f>Assumptions!$B$27*(Assumptions!$B$64+$B$630/Assumptions!$B$27)/(Assumptions!$B$64+J661)</f>
        <v/>
      </c>
      <c r="U661">
        <f>IF(H661&lt;Assumptions!$B$27,Assumptions!$B$27/T661,1)</f>
        <v/>
      </c>
      <c r="V661">
        <f>Assumptions!$B$26*(Assumptions!$B$64+$B$630/Assumptions!$B$26)/(Assumptions!$B$64+J661)</f>
        <v/>
      </c>
      <c r="W661">
        <f>IF(H661&lt;Assumptions!$B$26,Assumptions!$B$26/V661,1)</f>
        <v/>
      </c>
    </row>
    <row r="662">
      <c r="A662" t="n">
        <v>29</v>
      </c>
      <c r="B662">
        <f>U661</f>
        <v/>
      </c>
      <c r="C662">
        <f>W661</f>
        <v/>
      </c>
      <c r="D662">
        <f>O661</f>
        <v/>
      </c>
      <c r="E662">
        <f>S661</f>
        <v/>
      </c>
      <c r="F662">
        <f>Assumptions!$B$16*B662</f>
        <v/>
      </c>
      <c r="G662">
        <f>Assumptions!$B$15*C662</f>
        <v/>
      </c>
      <c r="H662">
        <f>IF($B$626*($B$629/(($B$629*(1-$B$626)-$B$630)/((Assumptions!$B$9+Assumptions!$B$11+Assumptions!$B$12+Assumptions!$B$13+Assumptions!$B$14)+G662+F662+D662+E662)))&lt;Assumptions!$B$65,($B$629-$B$630)/(((Assumptions!$B$9+Assumptions!$B$11+Assumptions!$B$12+Assumptions!$B$13+Assumptions!$B$14)+G662+F662+D662+E662)+Assumptions!$B$65),($B$629*(1-$B$626)-$B$630)/((Assumptions!$B$9+Assumptions!$B$11+Assumptions!$B$12+Assumptions!$B$13+Assumptions!$B$14)+G662+F662+D662+E662))</f>
        <v/>
      </c>
      <c r="I662">
        <f>$B$629/H662</f>
        <v/>
      </c>
      <c r="J662">
        <f>$B$630/H662</f>
        <v/>
      </c>
      <c r="K662">
        <f>I662-J662</f>
        <v/>
      </c>
      <c r="L662">
        <f>Assumptions!$B$51/K662</f>
        <v/>
      </c>
      <c r="M662">
        <f>H662*(1-Assumptions!$B$52)</f>
        <v/>
      </c>
      <c r="N662">
        <f>MIN(L662,M662)</f>
        <v/>
      </c>
      <c r="O662">
        <f>Assumptions!$B$50/N662</f>
        <v/>
      </c>
      <c r="P662">
        <f>Assumptions!$B$54/K662</f>
        <v/>
      </c>
      <c r="Q662">
        <f>H662*(1-Assumptions!$B$55)</f>
        <v/>
      </c>
      <c r="R662">
        <f>MIN(P662,Q662)</f>
        <v/>
      </c>
      <c r="S662">
        <f>Assumptions!$B$53/R662</f>
        <v/>
      </c>
      <c r="T662">
        <f>Assumptions!$B$27*(Assumptions!$B$64+$B$630/Assumptions!$B$27)/(Assumptions!$B$64+J662)</f>
        <v/>
      </c>
      <c r="U662">
        <f>IF(H662&lt;Assumptions!$B$27,Assumptions!$B$27/T662,1)</f>
        <v/>
      </c>
      <c r="V662">
        <f>Assumptions!$B$26*(Assumptions!$B$64+$B$630/Assumptions!$B$26)/(Assumptions!$B$64+J662)</f>
        <v/>
      </c>
      <c r="W662">
        <f>IF(H662&lt;Assumptions!$B$26,Assumptions!$B$26/V662,1)</f>
        <v/>
      </c>
    </row>
    <row r="663">
      <c r="A663" t="n">
        <v>30</v>
      </c>
      <c r="B663">
        <f>U662</f>
        <v/>
      </c>
      <c r="C663">
        <f>W662</f>
        <v/>
      </c>
      <c r="D663">
        <f>O662</f>
        <v/>
      </c>
      <c r="E663">
        <f>S662</f>
        <v/>
      </c>
      <c r="F663">
        <f>Assumptions!$B$16*B663</f>
        <v/>
      </c>
      <c r="G663">
        <f>Assumptions!$B$15*C663</f>
        <v/>
      </c>
      <c r="H663">
        <f>IF($B$626*($B$629/(($B$629*(1-$B$626)-$B$630)/((Assumptions!$B$9+Assumptions!$B$11+Assumptions!$B$12+Assumptions!$B$13+Assumptions!$B$14)+G663+F663+D663+E663)))&lt;Assumptions!$B$65,($B$629-$B$630)/(((Assumptions!$B$9+Assumptions!$B$11+Assumptions!$B$12+Assumptions!$B$13+Assumptions!$B$14)+G663+F663+D663+E663)+Assumptions!$B$65),($B$629*(1-$B$626)-$B$630)/((Assumptions!$B$9+Assumptions!$B$11+Assumptions!$B$12+Assumptions!$B$13+Assumptions!$B$14)+G663+F663+D663+E663))</f>
        <v/>
      </c>
      <c r="I663">
        <f>$B$629/H663</f>
        <v/>
      </c>
      <c r="J663">
        <f>$B$630/H663</f>
        <v/>
      </c>
      <c r="K663">
        <f>I663-J663</f>
        <v/>
      </c>
      <c r="L663">
        <f>Assumptions!$B$51/K663</f>
        <v/>
      </c>
      <c r="M663">
        <f>H663*(1-Assumptions!$B$52)</f>
        <v/>
      </c>
      <c r="N663">
        <f>MIN(L663,M663)</f>
        <v/>
      </c>
      <c r="O663">
        <f>Assumptions!$B$50/N663</f>
        <v/>
      </c>
      <c r="P663">
        <f>Assumptions!$B$54/K663</f>
        <v/>
      </c>
      <c r="Q663">
        <f>H663*(1-Assumptions!$B$55)</f>
        <v/>
      </c>
      <c r="R663">
        <f>MIN(P663,Q663)</f>
        <v/>
      </c>
      <c r="S663">
        <f>Assumptions!$B$53/R663</f>
        <v/>
      </c>
      <c r="T663">
        <f>Assumptions!$B$27*(Assumptions!$B$64+$B$630/Assumptions!$B$27)/(Assumptions!$B$64+J663)</f>
        <v/>
      </c>
      <c r="U663">
        <f>IF(H663&lt;Assumptions!$B$27,Assumptions!$B$27/T663,1)</f>
        <v/>
      </c>
      <c r="V663">
        <f>Assumptions!$B$26*(Assumptions!$B$64+$B$630/Assumptions!$B$26)/(Assumptions!$B$64+J663)</f>
        <v/>
      </c>
      <c r="W663">
        <f>IF(H663&lt;Assumptions!$B$26,Assumptions!$B$26/V663,1)</f>
        <v/>
      </c>
    </row>
    <row r="664">
      <c r="A664" t="n">
        <v>31</v>
      </c>
      <c r="B664">
        <f>U663</f>
        <v/>
      </c>
      <c r="C664">
        <f>W663</f>
        <v/>
      </c>
      <c r="D664">
        <f>O663</f>
        <v/>
      </c>
      <c r="E664">
        <f>S663</f>
        <v/>
      </c>
      <c r="F664">
        <f>Assumptions!$B$16*B664</f>
        <v/>
      </c>
      <c r="G664">
        <f>Assumptions!$B$15*C664</f>
        <v/>
      </c>
      <c r="H664">
        <f>IF($B$626*($B$629/(($B$629*(1-$B$626)-$B$630)/((Assumptions!$B$9+Assumptions!$B$11+Assumptions!$B$12+Assumptions!$B$13+Assumptions!$B$14)+G664+F664+D664+E664)))&lt;Assumptions!$B$65,($B$629-$B$630)/(((Assumptions!$B$9+Assumptions!$B$11+Assumptions!$B$12+Assumptions!$B$13+Assumptions!$B$14)+G664+F664+D664+E664)+Assumptions!$B$65),($B$629*(1-$B$626)-$B$630)/((Assumptions!$B$9+Assumptions!$B$11+Assumptions!$B$12+Assumptions!$B$13+Assumptions!$B$14)+G664+F664+D664+E664))</f>
        <v/>
      </c>
      <c r="I664">
        <f>$B$629/H664</f>
        <v/>
      </c>
      <c r="J664">
        <f>$B$630/H664</f>
        <v/>
      </c>
      <c r="K664">
        <f>I664-J664</f>
        <v/>
      </c>
      <c r="L664">
        <f>Assumptions!$B$51/K664</f>
        <v/>
      </c>
      <c r="M664">
        <f>H664*(1-Assumptions!$B$52)</f>
        <v/>
      </c>
      <c r="N664">
        <f>MIN(L664,M664)</f>
        <v/>
      </c>
      <c r="O664">
        <f>Assumptions!$B$50/N664</f>
        <v/>
      </c>
      <c r="P664">
        <f>Assumptions!$B$54/K664</f>
        <v/>
      </c>
      <c r="Q664">
        <f>H664*(1-Assumptions!$B$55)</f>
        <v/>
      </c>
      <c r="R664">
        <f>MIN(P664,Q664)</f>
        <v/>
      </c>
      <c r="S664">
        <f>Assumptions!$B$53/R664</f>
        <v/>
      </c>
      <c r="T664">
        <f>Assumptions!$B$27*(Assumptions!$B$64+$B$630/Assumptions!$B$27)/(Assumptions!$B$64+J664)</f>
        <v/>
      </c>
      <c r="U664">
        <f>IF(H664&lt;Assumptions!$B$27,Assumptions!$B$27/T664,1)</f>
        <v/>
      </c>
      <c r="V664">
        <f>Assumptions!$B$26*(Assumptions!$B$64+$B$630/Assumptions!$B$26)/(Assumptions!$B$64+J664)</f>
        <v/>
      </c>
      <c r="W664">
        <f>IF(H664&lt;Assumptions!$B$26,Assumptions!$B$26/V664,1)</f>
        <v/>
      </c>
    </row>
    <row r="665">
      <c r="A665" t="n">
        <v>32</v>
      </c>
      <c r="B665">
        <f>U664</f>
        <v/>
      </c>
      <c r="C665">
        <f>W664</f>
        <v/>
      </c>
      <c r="D665">
        <f>O664</f>
        <v/>
      </c>
      <c r="E665">
        <f>S664</f>
        <v/>
      </c>
      <c r="F665">
        <f>Assumptions!$B$16*B665</f>
        <v/>
      </c>
      <c r="G665">
        <f>Assumptions!$B$15*C665</f>
        <v/>
      </c>
      <c r="H665">
        <f>IF($B$626*($B$629/(($B$629*(1-$B$626)-$B$630)/((Assumptions!$B$9+Assumptions!$B$11+Assumptions!$B$12+Assumptions!$B$13+Assumptions!$B$14)+G665+F665+D665+E665)))&lt;Assumptions!$B$65,($B$629-$B$630)/(((Assumptions!$B$9+Assumptions!$B$11+Assumptions!$B$12+Assumptions!$B$13+Assumptions!$B$14)+G665+F665+D665+E665)+Assumptions!$B$65),($B$629*(1-$B$626)-$B$630)/((Assumptions!$B$9+Assumptions!$B$11+Assumptions!$B$12+Assumptions!$B$13+Assumptions!$B$14)+G665+F665+D665+E665))</f>
        <v/>
      </c>
      <c r="I665">
        <f>$B$629/H665</f>
        <v/>
      </c>
      <c r="J665">
        <f>$B$630/H665</f>
        <v/>
      </c>
      <c r="K665">
        <f>I665-J665</f>
        <v/>
      </c>
      <c r="L665">
        <f>Assumptions!$B$51/K665</f>
        <v/>
      </c>
      <c r="M665">
        <f>H665*(1-Assumptions!$B$52)</f>
        <v/>
      </c>
      <c r="N665">
        <f>MIN(L665,M665)</f>
        <v/>
      </c>
      <c r="O665">
        <f>Assumptions!$B$50/N665</f>
        <v/>
      </c>
      <c r="P665">
        <f>Assumptions!$B$54/K665</f>
        <v/>
      </c>
      <c r="Q665">
        <f>H665*(1-Assumptions!$B$55)</f>
        <v/>
      </c>
      <c r="R665">
        <f>MIN(P665,Q665)</f>
        <v/>
      </c>
      <c r="S665">
        <f>Assumptions!$B$53/R665</f>
        <v/>
      </c>
      <c r="T665">
        <f>Assumptions!$B$27*(Assumptions!$B$64+$B$630/Assumptions!$B$27)/(Assumptions!$B$64+J665)</f>
        <v/>
      </c>
      <c r="U665">
        <f>IF(H665&lt;Assumptions!$B$27,Assumptions!$B$27/T665,1)</f>
        <v/>
      </c>
      <c r="V665">
        <f>Assumptions!$B$26*(Assumptions!$B$64+$B$630/Assumptions!$B$26)/(Assumptions!$B$64+J665)</f>
        <v/>
      </c>
      <c r="W665">
        <f>IF(H665&lt;Assumptions!$B$26,Assumptions!$B$26/V665,1)</f>
        <v/>
      </c>
    </row>
    <row r="666">
      <c r="A666" t="n">
        <v>33</v>
      </c>
      <c r="B666">
        <f>U665</f>
        <v/>
      </c>
      <c r="C666">
        <f>W665</f>
        <v/>
      </c>
      <c r="D666">
        <f>O665</f>
        <v/>
      </c>
      <c r="E666">
        <f>S665</f>
        <v/>
      </c>
      <c r="F666">
        <f>Assumptions!$B$16*B666</f>
        <v/>
      </c>
      <c r="G666">
        <f>Assumptions!$B$15*C666</f>
        <v/>
      </c>
      <c r="H666">
        <f>IF($B$626*($B$629/(($B$629*(1-$B$626)-$B$630)/((Assumptions!$B$9+Assumptions!$B$11+Assumptions!$B$12+Assumptions!$B$13+Assumptions!$B$14)+G666+F666+D666+E666)))&lt;Assumptions!$B$65,($B$629-$B$630)/(((Assumptions!$B$9+Assumptions!$B$11+Assumptions!$B$12+Assumptions!$B$13+Assumptions!$B$14)+G666+F666+D666+E666)+Assumptions!$B$65),($B$629*(1-$B$626)-$B$630)/((Assumptions!$B$9+Assumptions!$B$11+Assumptions!$B$12+Assumptions!$B$13+Assumptions!$B$14)+G666+F666+D666+E666))</f>
        <v/>
      </c>
      <c r="I666">
        <f>$B$629/H666</f>
        <v/>
      </c>
      <c r="J666">
        <f>$B$630/H666</f>
        <v/>
      </c>
      <c r="K666">
        <f>I666-J666</f>
        <v/>
      </c>
      <c r="L666">
        <f>Assumptions!$B$51/K666</f>
        <v/>
      </c>
      <c r="M666">
        <f>H666*(1-Assumptions!$B$52)</f>
        <v/>
      </c>
      <c r="N666">
        <f>MIN(L666,M666)</f>
        <v/>
      </c>
      <c r="O666">
        <f>Assumptions!$B$50/N666</f>
        <v/>
      </c>
      <c r="P666">
        <f>Assumptions!$B$54/K666</f>
        <v/>
      </c>
      <c r="Q666">
        <f>H666*(1-Assumptions!$B$55)</f>
        <v/>
      </c>
      <c r="R666">
        <f>MIN(P666,Q666)</f>
        <v/>
      </c>
      <c r="S666">
        <f>Assumptions!$B$53/R666</f>
        <v/>
      </c>
      <c r="T666">
        <f>Assumptions!$B$27*(Assumptions!$B$64+$B$630/Assumptions!$B$27)/(Assumptions!$B$64+J666)</f>
        <v/>
      </c>
      <c r="U666">
        <f>IF(H666&lt;Assumptions!$B$27,Assumptions!$B$27/T666,1)</f>
        <v/>
      </c>
      <c r="V666">
        <f>Assumptions!$B$26*(Assumptions!$B$64+$B$630/Assumptions!$B$26)/(Assumptions!$B$64+J666)</f>
        <v/>
      </c>
      <c r="W666">
        <f>IF(H666&lt;Assumptions!$B$26,Assumptions!$B$26/V666,1)</f>
        <v/>
      </c>
    </row>
    <row r="667">
      <c r="A667" t="n">
        <v>34</v>
      </c>
      <c r="B667">
        <f>U666</f>
        <v/>
      </c>
      <c r="C667">
        <f>W666</f>
        <v/>
      </c>
      <c r="D667">
        <f>O666</f>
        <v/>
      </c>
      <c r="E667">
        <f>S666</f>
        <v/>
      </c>
      <c r="F667">
        <f>Assumptions!$B$16*B667</f>
        <v/>
      </c>
      <c r="G667">
        <f>Assumptions!$B$15*C667</f>
        <v/>
      </c>
      <c r="H667">
        <f>IF($B$626*($B$629/(($B$629*(1-$B$626)-$B$630)/((Assumptions!$B$9+Assumptions!$B$11+Assumptions!$B$12+Assumptions!$B$13+Assumptions!$B$14)+G667+F667+D667+E667)))&lt;Assumptions!$B$65,($B$629-$B$630)/(((Assumptions!$B$9+Assumptions!$B$11+Assumptions!$B$12+Assumptions!$B$13+Assumptions!$B$14)+G667+F667+D667+E667)+Assumptions!$B$65),($B$629*(1-$B$626)-$B$630)/((Assumptions!$B$9+Assumptions!$B$11+Assumptions!$B$12+Assumptions!$B$13+Assumptions!$B$14)+G667+F667+D667+E667))</f>
        <v/>
      </c>
      <c r="I667">
        <f>$B$629/H667</f>
        <v/>
      </c>
      <c r="J667">
        <f>$B$630/H667</f>
        <v/>
      </c>
      <c r="K667">
        <f>I667-J667</f>
        <v/>
      </c>
      <c r="L667">
        <f>Assumptions!$B$51/K667</f>
        <v/>
      </c>
      <c r="M667">
        <f>H667*(1-Assumptions!$B$52)</f>
        <v/>
      </c>
      <c r="N667">
        <f>MIN(L667,M667)</f>
        <v/>
      </c>
      <c r="O667">
        <f>Assumptions!$B$50/N667</f>
        <v/>
      </c>
      <c r="P667">
        <f>Assumptions!$B$54/K667</f>
        <v/>
      </c>
      <c r="Q667">
        <f>H667*(1-Assumptions!$B$55)</f>
        <v/>
      </c>
      <c r="R667">
        <f>MIN(P667,Q667)</f>
        <v/>
      </c>
      <c r="S667">
        <f>Assumptions!$B$53/R667</f>
        <v/>
      </c>
      <c r="T667">
        <f>Assumptions!$B$27*(Assumptions!$B$64+$B$630/Assumptions!$B$27)/(Assumptions!$B$64+J667)</f>
        <v/>
      </c>
      <c r="U667">
        <f>IF(H667&lt;Assumptions!$B$27,Assumptions!$B$27/T667,1)</f>
        <v/>
      </c>
      <c r="V667">
        <f>Assumptions!$B$26*(Assumptions!$B$64+$B$630/Assumptions!$B$26)/(Assumptions!$B$64+J667)</f>
        <v/>
      </c>
      <c r="W667">
        <f>IF(H667&lt;Assumptions!$B$26,Assumptions!$B$26/V667,1)</f>
        <v/>
      </c>
    </row>
    <row r="668">
      <c r="A668" t="n">
        <v>35</v>
      </c>
      <c r="B668">
        <f>U667</f>
        <v/>
      </c>
      <c r="C668">
        <f>W667</f>
        <v/>
      </c>
      <c r="D668">
        <f>O667</f>
        <v/>
      </c>
      <c r="E668">
        <f>S667</f>
        <v/>
      </c>
      <c r="F668">
        <f>Assumptions!$B$16*B668</f>
        <v/>
      </c>
      <c r="G668">
        <f>Assumptions!$B$15*C668</f>
        <v/>
      </c>
      <c r="H668">
        <f>IF($B$626*($B$629/(($B$629*(1-$B$626)-$B$630)/((Assumptions!$B$9+Assumptions!$B$11+Assumptions!$B$12+Assumptions!$B$13+Assumptions!$B$14)+G668+F668+D668+E668)))&lt;Assumptions!$B$65,($B$629-$B$630)/(((Assumptions!$B$9+Assumptions!$B$11+Assumptions!$B$12+Assumptions!$B$13+Assumptions!$B$14)+G668+F668+D668+E668)+Assumptions!$B$65),($B$629*(1-$B$626)-$B$630)/((Assumptions!$B$9+Assumptions!$B$11+Assumptions!$B$12+Assumptions!$B$13+Assumptions!$B$14)+G668+F668+D668+E668))</f>
        <v/>
      </c>
      <c r="I668">
        <f>$B$629/H668</f>
        <v/>
      </c>
      <c r="J668">
        <f>$B$630/H668</f>
        <v/>
      </c>
      <c r="K668">
        <f>I668-J668</f>
        <v/>
      </c>
      <c r="L668">
        <f>Assumptions!$B$51/K668</f>
        <v/>
      </c>
      <c r="M668">
        <f>H668*(1-Assumptions!$B$52)</f>
        <v/>
      </c>
      <c r="N668">
        <f>MIN(L668,M668)</f>
        <v/>
      </c>
      <c r="O668">
        <f>Assumptions!$B$50/N668</f>
        <v/>
      </c>
      <c r="P668">
        <f>Assumptions!$B$54/K668</f>
        <v/>
      </c>
      <c r="Q668">
        <f>H668*(1-Assumptions!$B$55)</f>
        <v/>
      </c>
      <c r="R668">
        <f>MIN(P668,Q668)</f>
        <v/>
      </c>
      <c r="S668">
        <f>Assumptions!$B$53/R668</f>
        <v/>
      </c>
      <c r="T668">
        <f>Assumptions!$B$27*(Assumptions!$B$64+$B$630/Assumptions!$B$27)/(Assumptions!$B$64+J668)</f>
        <v/>
      </c>
      <c r="U668">
        <f>IF(H668&lt;Assumptions!$B$27,Assumptions!$B$27/T668,1)</f>
        <v/>
      </c>
      <c r="V668">
        <f>Assumptions!$B$26*(Assumptions!$B$64+$B$630/Assumptions!$B$26)/(Assumptions!$B$64+J668)</f>
        <v/>
      </c>
      <c r="W668">
        <f>IF(H668&lt;Assumptions!$B$26,Assumptions!$B$26/V668,1)</f>
        <v/>
      </c>
    </row>
    <row r="669">
      <c r="A669" t="n">
        <v>36</v>
      </c>
      <c r="B669">
        <f>U668</f>
        <v/>
      </c>
      <c r="C669">
        <f>W668</f>
        <v/>
      </c>
      <c r="D669">
        <f>O668</f>
        <v/>
      </c>
      <c r="E669">
        <f>S668</f>
        <v/>
      </c>
      <c r="F669">
        <f>Assumptions!$B$16*B669</f>
        <v/>
      </c>
      <c r="G669">
        <f>Assumptions!$B$15*C669</f>
        <v/>
      </c>
      <c r="H669">
        <f>IF($B$626*($B$629/(($B$629*(1-$B$626)-$B$630)/((Assumptions!$B$9+Assumptions!$B$11+Assumptions!$B$12+Assumptions!$B$13+Assumptions!$B$14)+G669+F669+D669+E669)))&lt;Assumptions!$B$65,($B$629-$B$630)/(((Assumptions!$B$9+Assumptions!$B$11+Assumptions!$B$12+Assumptions!$B$13+Assumptions!$B$14)+G669+F669+D669+E669)+Assumptions!$B$65),($B$629*(1-$B$626)-$B$630)/((Assumptions!$B$9+Assumptions!$B$11+Assumptions!$B$12+Assumptions!$B$13+Assumptions!$B$14)+G669+F669+D669+E669))</f>
        <v/>
      </c>
      <c r="I669">
        <f>$B$629/H669</f>
        <v/>
      </c>
      <c r="J669">
        <f>$B$630/H669</f>
        <v/>
      </c>
      <c r="K669">
        <f>I669-J669</f>
        <v/>
      </c>
      <c r="L669">
        <f>Assumptions!$B$51/K669</f>
        <v/>
      </c>
      <c r="M669">
        <f>H669*(1-Assumptions!$B$52)</f>
        <v/>
      </c>
      <c r="N669">
        <f>MIN(L669,M669)</f>
        <v/>
      </c>
      <c r="O669">
        <f>Assumptions!$B$50/N669</f>
        <v/>
      </c>
      <c r="P669">
        <f>Assumptions!$B$54/K669</f>
        <v/>
      </c>
      <c r="Q669">
        <f>H669*(1-Assumptions!$B$55)</f>
        <v/>
      </c>
      <c r="R669">
        <f>MIN(P669,Q669)</f>
        <v/>
      </c>
      <c r="S669">
        <f>Assumptions!$B$53/R669</f>
        <v/>
      </c>
      <c r="T669">
        <f>Assumptions!$B$27*(Assumptions!$B$64+$B$630/Assumptions!$B$27)/(Assumptions!$B$64+J669)</f>
        <v/>
      </c>
      <c r="U669">
        <f>IF(H669&lt;Assumptions!$B$27,Assumptions!$B$27/T669,1)</f>
        <v/>
      </c>
      <c r="V669">
        <f>Assumptions!$B$26*(Assumptions!$B$64+$B$630/Assumptions!$B$26)/(Assumptions!$B$64+J669)</f>
        <v/>
      </c>
      <c r="W669">
        <f>IF(H669&lt;Assumptions!$B$26,Assumptions!$B$26/V669,1)</f>
        <v/>
      </c>
    </row>
    <row r="670">
      <c r="A670" t="n">
        <v>37</v>
      </c>
      <c r="B670">
        <f>U669</f>
        <v/>
      </c>
      <c r="C670">
        <f>W669</f>
        <v/>
      </c>
      <c r="D670">
        <f>O669</f>
        <v/>
      </c>
      <c r="E670">
        <f>S669</f>
        <v/>
      </c>
      <c r="F670">
        <f>Assumptions!$B$16*B670</f>
        <v/>
      </c>
      <c r="G670">
        <f>Assumptions!$B$15*C670</f>
        <v/>
      </c>
      <c r="H670">
        <f>IF($B$626*($B$629/(($B$629*(1-$B$626)-$B$630)/((Assumptions!$B$9+Assumptions!$B$11+Assumptions!$B$12+Assumptions!$B$13+Assumptions!$B$14)+G670+F670+D670+E670)))&lt;Assumptions!$B$65,($B$629-$B$630)/(((Assumptions!$B$9+Assumptions!$B$11+Assumptions!$B$12+Assumptions!$B$13+Assumptions!$B$14)+G670+F670+D670+E670)+Assumptions!$B$65),($B$629*(1-$B$626)-$B$630)/((Assumptions!$B$9+Assumptions!$B$11+Assumptions!$B$12+Assumptions!$B$13+Assumptions!$B$14)+G670+F670+D670+E670))</f>
        <v/>
      </c>
      <c r="I670">
        <f>$B$629/H670</f>
        <v/>
      </c>
      <c r="J670">
        <f>$B$630/H670</f>
        <v/>
      </c>
      <c r="K670">
        <f>I670-J670</f>
        <v/>
      </c>
      <c r="L670">
        <f>Assumptions!$B$51/K670</f>
        <v/>
      </c>
      <c r="M670">
        <f>H670*(1-Assumptions!$B$52)</f>
        <v/>
      </c>
      <c r="N670">
        <f>MIN(L670,M670)</f>
        <v/>
      </c>
      <c r="O670">
        <f>Assumptions!$B$50/N670</f>
        <v/>
      </c>
      <c r="P670">
        <f>Assumptions!$B$54/K670</f>
        <v/>
      </c>
      <c r="Q670">
        <f>H670*(1-Assumptions!$B$55)</f>
        <v/>
      </c>
      <c r="R670">
        <f>MIN(P670,Q670)</f>
        <v/>
      </c>
      <c r="S670">
        <f>Assumptions!$B$53/R670</f>
        <v/>
      </c>
      <c r="T670">
        <f>Assumptions!$B$27*(Assumptions!$B$64+$B$630/Assumptions!$B$27)/(Assumptions!$B$64+J670)</f>
        <v/>
      </c>
      <c r="U670">
        <f>IF(H670&lt;Assumptions!$B$27,Assumptions!$B$27/T670,1)</f>
        <v/>
      </c>
      <c r="V670">
        <f>Assumptions!$B$26*(Assumptions!$B$64+$B$630/Assumptions!$B$26)/(Assumptions!$B$64+J670)</f>
        <v/>
      </c>
      <c r="W670">
        <f>IF(H670&lt;Assumptions!$B$26,Assumptions!$B$26/V670,1)</f>
        <v/>
      </c>
    </row>
    <row r="671">
      <c r="A671" t="n">
        <v>38</v>
      </c>
      <c r="B671">
        <f>U670</f>
        <v/>
      </c>
      <c r="C671">
        <f>W670</f>
        <v/>
      </c>
      <c r="D671">
        <f>O670</f>
        <v/>
      </c>
      <c r="E671">
        <f>S670</f>
        <v/>
      </c>
      <c r="F671">
        <f>Assumptions!$B$16*B671</f>
        <v/>
      </c>
      <c r="G671">
        <f>Assumptions!$B$15*C671</f>
        <v/>
      </c>
      <c r="H671">
        <f>IF($B$626*($B$629/(($B$629*(1-$B$626)-$B$630)/((Assumptions!$B$9+Assumptions!$B$11+Assumptions!$B$12+Assumptions!$B$13+Assumptions!$B$14)+G671+F671+D671+E671)))&lt;Assumptions!$B$65,($B$629-$B$630)/(((Assumptions!$B$9+Assumptions!$B$11+Assumptions!$B$12+Assumptions!$B$13+Assumptions!$B$14)+G671+F671+D671+E671)+Assumptions!$B$65),($B$629*(1-$B$626)-$B$630)/((Assumptions!$B$9+Assumptions!$B$11+Assumptions!$B$12+Assumptions!$B$13+Assumptions!$B$14)+G671+F671+D671+E671))</f>
        <v/>
      </c>
      <c r="I671">
        <f>$B$629/H671</f>
        <v/>
      </c>
      <c r="J671">
        <f>$B$630/H671</f>
        <v/>
      </c>
      <c r="K671">
        <f>I671-J671</f>
        <v/>
      </c>
      <c r="L671">
        <f>Assumptions!$B$51/K671</f>
        <v/>
      </c>
      <c r="M671">
        <f>H671*(1-Assumptions!$B$52)</f>
        <v/>
      </c>
      <c r="N671">
        <f>MIN(L671,M671)</f>
        <v/>
      </c>
      <c r="O671">
        <f>Assumptions!$B$50/N671</f>
        <v/>
      </c>
      <c r="P671">
        <f>Assumptions!$B$54/K671</f>
        <v/>
      </c>
      <c r="Q671">
        <f>H671*(1-Assumptions!$B$55)</f>
        <v/>
      </c>
      <c r="R671">
        <f>MIN(P671,Q671)</f>
        <v/>
      </c>
      <c r="S671">
        <f>Assumptions!$B$53/R671</f>
        <v/>
      </c>
      <c r="T671">
        <f>Assumptions!$B$27*(Assumptions!$B$64+$B$630/Assumptions!$B$27)/(Assumptions!$B$64+J671)</f>
        <v/>
      </c>
      <c r="U671">
        <f>IF(H671&lt;Assumptions!$B$27,Assumptions!$B$27/T671,1)</f>
        <v/>
      </c>
      <c r="V671">
        <f>Assumptions!$B$26*(Assumptions!$B$64+$B$630/Assumptions!$B$26)/(Assumptions!$B$64+J671)</f>
        <v/>
      </c>
      <c r="W671">
        <f>IF(H671&lt;Assumptions!$B$26,Assumptions!$B$26/V671,1)</f>
        <v/>
      </c>
    </row>
    <row r="672">
      <c r="A672" t="n">
        <v>39</v>
      </c>
      <c r="B672">
        <f>U671</f>
        <v/>
      </c>
      <c r="C672">
        <f>W671</f>
        <v/>
      </c>
      <c r="D672">
        <f>O671</f>
        <v/>
      </c>
      <c r="E672">
        <f>S671</f>
        <v/>
      </c>
      <c r="F672">
        <f>Assumptions!$B$16*B672</f>
        <v/>
      </c>
      <c r="G672">
        <f>Assumptions!$B$15*C672</f>
        <v/>
      </c>
      <c r="H672">
        <f>IF($B$626*($B$629/(($B$629*(1-$B$626)-$B$630)/((Assumptions!$B$9+Assumptions!$B$11+Assumptions!$B$12+Assumptions!$B$13+Assumptions!$B$14)+G672+F672+D672+E672)))&lt;Assumptions!$B$65,($B$629-$B$630)/(((Assumptions!$B$9+Assumptions!$B$11+Assumptions!$B$12+Assumptions!$B$13+Assumptions!$B$14)+G672+F672+D672+E672)+Assumptions!$B$65),($B$629*(1-$B$626)-$B$630)/((Assumptions!$B$9+Assumptions!$B$11+Assumptions!$B$12+Assumptions!$B$13+Assumptions!$B$14)+G672+F672+D672+E672))</f>
        <v/>
      </c>
      <c r="I672">
        <f>$B$629/H672</f>
        <v/>
      </c>
      <c r="J672">
        <f>$B$630/H672</f>
        <v/>
      </c>
      <c r="K672">
        <f>I672-J672</f>
        <v/>
      </c>
      <c r="L672">
        <f>Assumptions!$B$51/K672</f>
        <v/>
      </c>
      <c r="M672">
        <f>H672*(1-Assumptions!$B$52)</f>
        <v/>
      </c>
      <c r="N672">
        <f>MIN(L672,M672)</f>
        <v/>
      </c>
      <c r="O672">
        <f>Assumptions!$B$50/N672</f>
        <v/>
      </c>
      <c r="P672">
        <f>Assumptions!$B$54/K672</f>
        <v/>
      </c>
      <c r="Q672">
        <f>H672*(1-Assumptions!$B$55)</f>
        <v/>
      </c>
      <c r="R672">
        <f>MIN(P672,Q672)</f>
        <v/>
      </c>
      <c r="S672">
        <f>Assumptions!$B$53/R672</f>
        <v/>
      </c>
      <c r="T672">
        <f>Assumptions!$B$27*(Assumptions!$B$64+$B$630/Assumptions!$B$27)/(Assumptions!$B$64+J672)</f>
        <v/>
      </c>
      <c r="U672">
        <f>IF(H672&lt;Assumptions!$B$27,Assumptions!$B$27/T672,1)</f>
        <v/>
      </c>
      <c r="V672">
        <f>Assumptions!$B$26*(Assumptions!$B$64+$B$630/Assumptions!$B$26)/(Assumptions!$B$64+J672)</f>
        <v/>
      </c>
      <c r="W672">
        <f>IF(H672&lt;Assumptions!$B$26,Assumptions!$B$26/V672,1)</f>
        <v/>
      </c>
    </row>
    <row r="673">
      <c r="A673" t="n">
        <v>40</v>
      </c>
      <c r="B673">
        <f>U672</f>
        <v/>
      </c>
      <c r="C673">
        <f>W672</f>
        <v/>
      </c>
      <c r="D673">
        <f>O672</f>
        <v/>
      </c>
      <c r="E673">
        <f>S672</f>
        <v/>
      </c>
      <c r="F673">
        <f>Assumptions!$B$16*B673</f>
        <v/>
      </c>
      <c r="G673">
        <f>Assumptions!$B$15*C673</f>
        <v/>
      </c>
      <c r="H673">
        <f>IF($B$626*($B$629/(($B$629*(1-$B$626)-$B$630)/((Assumptions!$B$9+Assumptions!$B$11+Assumptions!$B$12+Assumptions!$B$13+Assumptions!$B$14)+G673+F673+D673+E673)))&lt;Assumptions!$B$65,($B$629-$B$630)/(((Assumptions!$B$9+Assumptions!$B$11+Assumptions!$B$12+Assumptions!$B$13+Assumptions!$B$14)+G673+F673+D673+E673)+Assumptions!$B$65),($B$629*(1-$B$626)-$B$630)/((Assumptions!$B$9+Assumptions!$B$11+Assumptions!$B$12+Assumptions!$B$13+Assumptions!$B$14)+G673+F673+D673+E673))</f>
        <v/>
      </c>
      <c r="I673">
        <f>$B$629/H673</f>
        <v/>
      </c>
      <c r="J673">
        <f>$B$630/H673</f>
        <v/>
      </c>
      <c r="K673">
        <f>I673-J673</f>
        <v/>
      </c>
      <c r="L673">
        <f>Assumptions!$B$51/K673</f>
        <v/>
      </c>
      <c r="M673">
        <f>H673*(1-Assumptions!$B$52)</f>
        <v/>
      </c>
      <c r="N673">
        <f>MIN(L673,M673)</f>
        <v/>
      </c>
      <c r="O673">
        <f>Assumptions!$B$50/N673</f>
        <v/>
      </c>
      <c r="P673">
        <f>Assumptions!$B$54/K673</f>
        <v/>
      </c>
      <c r="Q673">
        <f>H673*(1-Assumptions!$B$55)</f>
        <v/>
      </c>
      <c r="R673">
        <f>MIN(P673,Q673)</f>
        <v/>
      </c>
      <c r="S673">
        <f>Assumptions!$B$53/R673</f>
        <v/>
      </c>
      <c r="T673">
        <f>Assumptions!$B$27*(Assumptions!$B$64+$B$630/Assumptions!$B$27)/(Assumptions!$B$64+J673)</f>
        <v/>
      </c>
      <c r="U673">
        <f>IF(H673&lt;Assumptions!$B$27,Assumptions!$B$27/T673,1)</f>
        <v/>
      </c>
      <c r="V673">
        <f>Assumptions!$B$26*(Assumptions!$B$64+$B$630/Assumptions!$B$26)/(Assumptions!$B$64+J673)</f>
        <v/>
      </c>
      <c r="W673">
        <f>IF(H673&lt;Assumptions!$B$26,Assumptions!$B$26/V673,1)</f>
        <v/>
      </c>
    </row>
    <row r="674">
      <c r="A674" t="n">
        <v>41</v>
      </c>
      <c r="B674">
        <f>U673</f>
        <v/>
      </c>
      <c r="C674">
        <f>W673</f>
        <v/>
      </c>
      <c r="D674">
        <f>O673</f>
        <v/>
      </c>
      <c r="E674">
        <f>S673</f>
        <v/>
      </c>
      <c r="F674">
        <f>Assumptions!$B$16*B674</f>
        <v/>
      </c>
      <c r="G674">
        <f>Assumptions!$B$15*C674</f>
        <v/>
      </c>
      <c r="H674">
        <f>IF($B$626*($B$629/(($B$629*(1-$B$626)-$B$630)/((Assumptions!$B$9+Assumptions!$B$11+Assumptions!$B$12+Assumptions!$B$13+Assumptions!$B$14)+G674+F674+D674+E674)))&lt;Assumptions!$B$65,($B$629-$B$630)/(((Assumptions!$B$9+Assumptions!$B$11+Assumptions!$B$12+Assumptions!$B$13+Assumptions!$B$14)+G674+F674+D674+E674)+Assumptions!$B$65),($B$629*(1-$B$626)-$B$630)/((Assumptions!$B$9+Assumptions!$B$11+Assumptions!$B$12+Assumptions!$B$13+Assumptions!$B$14)+G674+F674+D674+E674))</f>
        <v/>
      </c>
      <c r="I674">
        <f>$B$629/H674</f>
        <v/>
      </c>
      <c r="J674">
        <f>$B$630/H674</f>
        <v/>
      </c>
      <c r="K674">
        <f>I674-J674</f>
        <v/>
      </c>
      <c r="L674">
        <f>Assumptions!$B$51/K674</f>
        <v/>
      </c>
      <c r="M674">
        <f>H674*(1-Assumptions!$B$52)</f>
        <v/>
      </c>
      <c r="N674">
        <f>MIN(L674,M674)</f>
        <v/>
      </c>
      <c r="O674">
        <f>Assumptions!$B$50/N674</f>
        <v/>
      </c>
      <c r="P674">
        <f>Assumptions!$B$54/K674</f>
        <v/>
      </c>
      <c r="Q674">
        <f>H674*(1-Assumptions!$B$55)</f>
        <v/>
      </c>
      <c r="R674">
        <f>MIN(P674,Q674)</f>
        <v/>
      </c>
      <c r="S674">
        <f>Assumptions!$B$53/R674</f>
        <v/>
      </c>
      <c r="T674">
        <f>Assumptions!$B$27*(Assumptions!$B$64+$B$630/Assumptions!$B$27)/(Assumptions!$B$64+J674)</f>
        <v/>
      </c>
      <c r="U674">
        <f>IF(H674&lt;Assumptions!$B$27,Assumptions!$B$27/T674,1)</f>
        <v/>
      </c>
      <c r="V674">
        <f>Assumptions!$B$26*(Assumptions!$B$64+$B$630/Assumptions!$B$26)/(Assumptions!$B$64+J674)</f>
        <v/>
      </c>
      <c r="W674">
        <f>IF(H674&lt;Assumptions!$B$26,Assumptions!$B$26/V674,1)</f>
        <v/>
      </c>
    </row>
    <row r="675">
      <c r="A675" t="n">
        <v>42</v>
      </c>
      <c r="B675">
        <f>U674</f>
        <v/>
      </c>
      <c r="C675">
        <f>W674</f>
        <v/>
      </c>
      <c r="D675">
        <f>O674</f>
        <v/>
      </c>
      <c r="E675">
        <f>S674</f>
        <v/>
      </c>
      <c r="F675">
        <f>Assumptions!$B$16*B675</f>
        <v/>
      </c>
      <c r="G675">
        <f>Assumptions!$B$15*C675</f>
        <v/>
      </c>
      <c r="H675">
        <f>IF($B$626*($B$629/(($B$629*(1-$B$626)-$B$630)/((Assumptions!$B$9+Assumptions!$B$11+Assumptions!$B$12+Assumptions!$B$13+Assumptions!$B$14)+G675+F675+D675+E675)))&lt;Assumptions!$B$65,($B$629-$B$630)/(((Assumptions!$B$9+Assumptions!$B$11+Assumptions!$B$12+Assumptions!$B$13+Assumptions!$B$14)+G675+F675+D675+E675)+Assumptions!$B$65),($B$629*(1-$B$626)-$B$630)/((Assumptions!$B$9+Assumptions!$B$11+Assumptions!$B$12+Assumptions!$B$13+Assumptions!$B$14)+G675+F675+D675+E675))</f>
        <v/>
      </c>
      <c r="I675">
        <f>$B$629/H675</f>
        <v/>
      </c>
      <c r="J675">
        <f>$B$630/H675</f>
        <v/>
      </c>
      <c r="K675">
        <f>I675-J675</f>
        <v/>
      </c>
      <c r="L675">
        <f>Assumptions!$B$51/K675</f>
        <v/>
      </c>
      <c r="M675">
        <f>H675*(1-Assumptions!$B$52)</f>
        <v/>
      </c>
      <c r="N675">
        <f>MIN(L675,M675)</f>
        <v/>
      </c>
      <c r="O675">
        <f>Assumptions!$B$50/N675</f>
        <v/>
      </c>
      <c r="P675">
        <f>Assumptions!$B$54/K675</f>
        <v/>
      </c>
      <c r="Q675">
        <f>H675*(1-Assumptions!$B$55)</f>
        <v/>
      </c>
      <c r="R675">
        <f>MIN(P675,Q675)</f>
        <v/>
      </c>
      <c r="S675">
        <f>Assumptions!$B$53/R675</f>
        <v/>
      </c>
      <c r="T675">
        <f>Assumptions!$B$27*(Assumptions!$B$64+$B$630/Assumptions!$B$27)/(Assumptions!$B$64+J675)</f>
        <v/>
      </c>
      <c r="U675">
        <f>IF(H675&lt;Assumptions!$B$27,Assumptions!$B$27/T675,1)</f>
        <v/>
      </c>
      <c r="V675">
        <f>Assumptions!$B$26*(Assumptions!$B$64+$B$630/Assumptions!$B$26)/(Assumptions!$B$64+J675)</f>
        <v/>
      </c>
      <c r="W675">
        <f>IF(H675&lt;Assumptions!$B$26,Assumptions!$B$26/V675,1)</f>
        <v/>
      </c>
    </row>
    <row r="676">
      <c r="A676" t="n">
        <v>43</v>
      </c>
      <c r="B676">
        <f>U675</f>
        <v/>
      </c>
      <c r="C676">
        <f>W675</f>
        <v/>
      </c>
      <c r="D676">
        <f>O675</f>
        <v/>
      </c>
      <c r="E676">
        <f>S675</f>
        <v/>
      </c>
      <c r="F676">
        <f>Assumptions!$B$16*B676</f>
        <v/>
      </c>
      <c r="G676">
        <f>Assumptions!$B$15*C676</f>
        <v/>
      </c>
      <c r="H676">
        <f>IF($B$626*($B$629/(($B$629*(1-$B$626)-$B$630)/((Assumptions!$B$9+Assumptions!$B$11+Assumptions!$B$12+Assumptions!$B$13+Assumptions!$B$14)+G676+F676+D676+E676)))&lt;Assumptions!$B$65,($B$629-$B$630)/(((Assumptions!$B$9+Assumptions!$B$11+Assumptions!$B$12+Assumptions!$B$13+Assumptions!$B$14)+G676+F676+D676+E676)+Assumptions!$B$65),($B$629*(1-$B$626)-$B$630)/((Assumptions!$B$9+Assumptions!$B$11+Assumptions!$B$12+Assumptions!$B$13+Assumptions!$B$14)+G676+F676+D676+E676))</f>
        <v/>
      </c>
      <c r="I676">
        <f>$B$629/H676</f>
        <v/>
      </c>
      <c r="J676">
        <f>$B$630/H676</f>
        <v/>
      </c>
      <c r="K676">
        <f>I676-J676</f>
        <v/>
      </c>
      <c r="L676">
        <f>Assumptions!$B$51/K676</f>
        <v/>
      </c>
      <c r="M676">
        <f>H676*(1-Assumptions!$B$52)</f>
        <v/>
      </c>
      <c r="N676">
        <f>MIN(L676,M676)</f>
        <v/>
      </c>
      <c r="O676">
        <f>Assumptions!$B$50/N676</f>
        <v/>
      </c>
      <c r="P676">
        <f>Assumptions!$B$54/K676</f>
        <v/>
      </c>
      <c r="Q676">
        <f>H676*(1-Assumptions!$B$55)</f>
        <v/>
      </c>
      <c r="R676">
        <f>MIN(P676,Q676)</f>
        <v/>
      </c>
      <c r="S676">
        <f>Assumptions!$B$53/R676</f>
        <v/>
      </c>
      <c r="T676">
        <f>Assumptions!$B$27*(Assumptions!$B$64+$B$630/Assumptions!$B$27)/(Assumptions!$B$64+J676)</f>
        <v/>
      </c>
      <c r="U676">
        <f>IF(H676&lt;Assumptions!$B$27,Assumptions!$B$27/T676,1)</f>
        <v/>
      </c>
      <c r="V676">
        <f>Assumptions!$B$26*(Assumptions!$B$64+$B$630/Assumptions!$B$26)/(Assumptions!$B$64+J676)</f>
        <v/>
      </c>
      <c r="W676">
        <f>IF(H676&lt;Assumptions!$B$26,Assumptions!$B$26/V676,1)</f>
        <v/>
      </c>
    </row>
    <row r="677">
      <c r="A677" t="n">
        <v>44</v>
      </c>
      <c r="B677">
        <f>U676</f>
        <v/>
      </c>
      <c r="C677">
        <f>W676</f>
        <v/>
      </c>
      <c r="D677">
        <f>O676</f>
        <v/>
      </c>
      <c r="E677">
        <f>S676</f>
        <v/>
      </c>
      <c r="F677">
        <f>Assumptions!$B$16*B677</f>
        <v/>
      </c>
      <c r="G677">
        <f>Assumptions!$B$15*C677</f>
        <v/>
      </c>
      <c r="H677">
        <f>IF($B$626*($B$629/(($B$629*(1-$B$626)-$B$630)/((Assumptions!$B$9+Assumptions!$B$11+Assumptions!$B$12+Assumptions!$B$13+Assumptions!$B$14)+G677+F677+D677+E677)))&lt;Assumptions!$B$65,($B$629-$B$630)/(((Assumptions!$B$9+Assumptions!$B$11+Assumptions!$B$12+Assumptions!$B$13+Assumptions!$B$14)+G677+F677+D677+E677)+Assumptions!$B$65),($B$629*(1-$B$626)-$B$630)/((Assumptions!$B$9+Assumptions!$B$11+Assumptions!$B$12+Assumptions!$B$13+Assumptions!$B$14)+G677+F677+D677+E677))</f>
        <v/>
      </c>
      <c r="I677">
        <f>$B$629/H677</f>
        <v/>
      </c>
      <c r="J677">
        <f>$B$630/H677</f>
        <v/>
      </c>
      <c r="K677">
        <f>I677-J677</f>
        <v/>
      </c>
      <c r="L677">
        <f>Assumptions!$B$51/K677</f>
        <v/>
      </c>
      <c r="M677">
        <f>H677*(1-Assumptions!$B$52)</f>
        <v/>
      </c>
      <c r="N677">
        <f>MIN(L677,M677)</f>
        <v/>
      </c>
      <c r="O677">
        <f>Assumptions!$B$50/N677</f>
        <v/>
      </c>
      <c r="P677">
        <f>Assumptions!$B$54/K677</f>
        <v/>
      </c>
      <c r="Q677">
        <f>H677*(1-Assumptions!$B$55)</f>
        <v/>
      </c>
      <c r="R677">
        <f>MIN(P677,Q677)</f>
        <v/>
      </c>
      <c r="S677">
        <f>Assumptions!$B$53/R677</f>
        <v/>
      </c>
      <c r="T677">
        <f>Assumptions!$B$27*(Assumptions!$B$64+$B$630/Assumptions!$B$27)/(Assumptions!$B$64+J677)</f>
        <v/>
      </c>
      <c r="U677">
        <f>IF(H677&lt;Assumptions!$B$27,Assumptions!$B$27/T677,1)</f>
        <v/>
      </c>
      <c r="V677">
        <f>Assumptions!$B$26*(Assumptions!$B$64+$B$630/Assumptions!$B$26)/(Assumptions!$B$64+J677)</f>
        <v/>
      </c>
      <c r="W677">
        <f>IF(H677&lt;Assumptions!$B$26,Assumptions!$B$26/V677,1)</f>
        <v/>
      </c>
    </row>
    <row r="678">
      <c r="A678" t="n">
        <v>45</v>
      </c>
      <c r="B678">
        <f>U677</f>
        <v/>
      </c>
      <c r="C678">
        <f>W677</f>
        <v/>
      </c>
      <c r="D678">
        <f>O677</f>
        <v/>
      </c>
      <c r="E678">
        <f>S677</f>
        <v/>
      </c>
      <c r="F678">
        <f>Assumptions!$B$16*B678</f>
        <v/>
      </c>
      <c r="G678">
        <f>Assumptions!$B$15*C678</f>
        <v/>
      </c>
      <c r="H678">
        <f>IF($B$626*($B$629/(($B$629*(1-$B$626)-$B$630)/((Assumptions!$B$9+Assumptions!$B$11+Assumptions!$B$12+Assumptions!$B$13+Assumptions!$B$14)+G678+F678+D678+E678)))&lt;Assumptions!$B$65,($B$629-$B$630)/(((Assumptions!$B$9+Assumptions!$B$11+Assumptions!$B$12+Assumptions!$B$13+Assumptions!$B$14)+G678+F678+D678+E678)+Assumptions!$B$65),($B$629*(1-$B$626)-$B$630)/((Assumptions!$B$9+Assumptions!$B$11+Assumptions!$B$12+Assumptions!$B$13+Assumptions!$B$14)+G678+F678+D678+E678))</f>
        <v/>
      </c>
      <c r="I678">
        <f>$B$629/H678</f>
        <v/>
      </c>
      <c r="J678">
        <f>$B$630/H678</f>
        <v/>
      </c>
      <c r="K678">
        <f>I678-J678</f>
        <v/>
      </c>
      <c r="L678">
        <f>Assumptions!$B$51/K678</f>
        <v/>
      </c>
      <c r="M678">
        <f>H678*(1-Assumptions!$B$52)</f>
        <v/>
      </c>
      <c r="N678">
        <f>MIN(L678,M678)</f>
        <v/>
      </c>
      <c r="O678">
        <f>Assumptions!$B$50/N678</f>
        <v/>
      </c>
      <c r="P678">
        <f>Assumptions!$B$54/K678</f>
        <v/>
      </c>
      <c r="Q678">
        <f>H678*(1-Assumptions!$B$55)</f>
        <v/>
      </c>
      <c r="R678">
        <f>MIN(P678,Q678)</f>
        <v/>
      </c>
      <c r="S678">
        <f>Assumptions!$B$53/R678</f>
        <v/>
      </c>
      <c r="T678">
        <f>Assumptions!$B$27*(Assumptions!$B$64+$B$630/Assumptions!$B$27)/(Assumptions!$B$64+J678)</f>
        <v/>
      </c>
      <c r="U678">
        <f>IF(H678&lt;Assumptions!$B$27,Assumptions!$B$27/T678,1)</f>
        <v/>
      </c>
      <c r="V678">
        <f>Assumptions!$B$26*(Assumptions!$B$64+$B$630/Assumptions!$B$26)/(Assumptions!$B$64+J678)</f>
        <v/>
      </c>
      <c r="W678">
        <f>IF(H678&lt;Assumptions!$B$26,Assumptions!$B$26/V678,1)</f>
        <v/>
      </c>
    </row>
    <row r="679">
      <c r="A679" t="n">
        <v>46</v>
      </c>
      <c r="B679">
        <f>U678</f>
        <v/>
      </c>
      <c r="C679">
        <f>W678</f>
        <v/>
      </c>
      <c r="D679">
        <f>O678</f>
        <v/>
      </c>
      <c r="E679">
        <f>S678</f>
        <v/>
      </c>
      <c r="F679">
        <f>Assumptions!$B$16*B679</f>
        <v/>
      </c>
      <c r="G679">
        <f>Assumptions!$B$15*C679</f>
        <v/>
      </c>
      <c r="H679">
        <f>IF($B$626*($B$629/(($B$629*(1-$B$626)-$B$630)/((Assumptions!$B$9+Assumptions!$B$11+Assumptions!$B$12+Assumptions!$B$13+Assumptions!$B$14)+G679+F679+D679+E679)))&lt;Assumptions!$B$65,($B$629-$B$630)/(((Assumptions!$B$9+Assumptions!$B$11+Assumptions!$B$12+Assumptions!$B$13+Assumptions!$B$14)+G679+F679+D679+E679)+Assumptions!$B$65),($B$629*(1-$B$626)-$B$630)/((Assumptions!$B$9+Assumptions!$B$11+Assumptions!$B$12+Assumptions!$B$13+Assumptions!$B$14)+G679+F679+D679+E679))</f>
        <v/>
      </c>
      <c r="I679">
        <f>$B$629/H679</f>
        <v/>
      </c>
      <c r="J679">
        <f>$B$630/H679</f>
        <v/>
      </c>
      <c r="K679">
        <f>I679-J679</f>
        <v/>
      </c>
      <c r="L679">
        <f>Assumptions!$B$51/K679</f>
        <v/>
      </c>
      <c r="M679">
        <f>H679*(1-Assumptions!$B$52)</f>
        <v/>
      </c>
      <c r="N679">
        <f>MIN(L679,M679)</f>
        <v/>
      </c>
      <c r="O679">
        <f>Assumptions!$B$50/N679</f>
        <v/>
      </c>
      <c r="P679">
        <f>Assumptions!$B$54/K679</f>
        <v/>
      </c>
      <c r="Q679">
        <f>H679*(1-Assumptions!$B$55)</f>
        <v/>
      </c>
      <c r="R679">
        <f>MIN(P679,Q679)</f>
        <v/>
      </c>
      <c r="S679">
        <f>Assumptions!$B$53/R679</f>
        <v/>
      </c>
      <c r="T679">
        <f>Assumptions!$B$27*(Assumptions!$B$64+$B$630/Assumptions!$B$27)/(Assumptions!$B$64+J679)</f>
        <v/>
      </c>
      <c r="U679">
        <f>IF(H679&lt;Assumptions!$B$27,Assumptions!$B$27/T679,1)</f>
        <v/>
      </c>
      <c r="V679">
        <f>Assumptions!$B$26*(Assumptions!$B$64+$B$630/Assumptions!$B$26)/(Assumptions!$B$64+J679)</f>
        <v/>
      </c>
      <c r="W679">
        <f>IF(H679&lt;Assumptions!$B$26,Assumptions!$B$26/V679,1)</f>
        <v/>
      </c>
    </row>
    <row r="680">
      <c r="A680" t="n">
        <v>47</v>
      </c>
      <c r="B680">
        <f>U679</f>
        <v/>
      </c>
      <c r="C680">
        <f>W679</f>
        <v/>
      </c>
      <c r="D680">
        <f>O679</f>
        <v/>
      </c>
      <c r="E680">
        <f>S679</f>
        <v/>
      </c>
      <c r="F680">
        <f>Assumptions!$B$16*B680</f>
        <v/>
      </c>
      <c r="G680">
        <f>Assumptions!$B$15*C680</f>
        <v/>
      </c>
      <c r="H680">
        <f>IF($B$626*($B$629/(($B$629*(1-$B$626)-$B$630)/((Assumptions!$B$9+Assumptions!$B$11+Assumptions!$B$12+Assumptions!$B$13+Assumptions!$B$14)+G680+F680+D680+E680)))&lt;Assumptions!$B$65,($B$629-$B$630)/(((Assumptions!$B$9+Assumptions!$B$11+Assumptions!$B$12+Assumptions!$B$13+Assumptions!$B$14)+G680+F680+D680+E680)+Assumptions!$B$65),($B$629*(1-$B$626)-$B$630)/((Assumptions!$B$9+Assumptions!$B$11+Assumptions!$B$12+Assumptions!$B$13+Assumptions!$B$14)+G680+F680+D680+E680))</f>
        <v/>
      </c>
      <c r="I680">
        <f>$B$629/H680</f>
        <v/>
      </c>
      <c r="J680">
        <f>$B$630/H680</f>
        <v/>
      </c>
      <c r="K680">
        <f>I680-J680</f>
        <v/>
      </c>
      <c r="L680">
        <f>Assumptions!$B$51/K680</f>
        <v/>
      </c>
      <c r="M680">
        <f>H680*(1-Assumptions!$B$52)</f>
        <v/>
      </c>
      <c r="N680">
        <f>MIN(L680,M680)</f>
        <v/>
      </c>
      <c r="O680">
        <f>Assumptions!$B$50/N680</f>
        <v/>
      </c>
      <c r="P680">
        <f>Assumptions!$B$54/K680</f>
        <v/>
      </c>
      <c r="Q680">
        <f>H680*(1-Assumptions!$B$55)</f>
        <v/>
      </c>
      <c r="R680">
        <f>MIN(P680,Q680)</f>
        <v/>
      </c>
      <c r="S680">
        <f>Assumptions!$B$53/R680</f>
        <v/>
      </c>
      <c r="T680">
        <f>Assumptions!$B$27*(Assumptions!$B$64+$B$630/Assumptions!$B$27)/(Assumptions!$B$64+J680)</f>
        <v/>
      </c>
      <c r="U680">
        <f>IF(H680&lt;Assumptions!$B$27,Assumptions!$B$27/T680,1)</f>
        <v/>
      </c>
      <c r="V680">
        <f>Assumptions!$B$26*(Assumptions!$B$64+$B$630/Assumptions!$B$26)/(Assumptions!$B$64+J680)</f>
        <v/>
      </c>
      <c r="W680">
        <f>IF(H680&lt;Assumptions!$B$26,Assumptions!$B$26/V680,1)</f>
        <v/>
      </c>
    </row>
    <row r="681">
      <c r="A681" t="n">
        <v>48</v>
      </c>
      <c r="B681">
        <f>U680</f>
        <v/>
      </c>
      <c r="C681">
        <f>W680</f>
        <v/>
      </c>
      <c r="D681">
        <f>O680</f>
        <v/>
      </c>
      <c r="E681">
        <f>S680</f>
        <v/>
      </c>
      <c r="F681">
        <f>Assumptions!$B$16*B681</f>
        <v/>
      </c>
      <c r="G681">
        <f>Assumptions!$B$15*C681</f>
        <v/>
      </c>
      <c r="H681">
        <f>IF($B$626*($B$629/(($B$629*(1-$B$626)-$B$630)/((Assumptions!$B$9+Assumptions!$B$11+Assumptions!$B$12+Assumptions!$B$13+Assumptions!$B$14)+G681+F681+D681+E681)))&lt;Assumptions!$B$65,($B$629-$B$630)/(((Assumptions!$B$9+Assumptions!$B$11+Assumptions!$B$12+Assumptions!$B$13+Assumptions!$B$14)+G681+F681+D681+E681)+Assumptions!$B$65),($B$629*(1-$B$626)-$B$630)/((Assumptions!$B$9+Assumptions!$B$11+Assumptions!$B$12+Assumptions!$B$13+Assumptions!$B$14)+G681+F681+D681+E681))</f>
        <v/>
      </c>
      <c r="I681">
        <f>$B$629/H681</f>
        <v/>
      </c>
      <c r="J681">
        <f>$B$630/H681</f>
        <v/>
      </c>
      <c r="K681">
        <f>I681-J681</f>
        <v/>
      </c>
      <c r="L681">
        <f>Assumptions!$B$51/K681</f>
        <v/>
      </c>
      <c r="M681">
        <f>H681*(1-Assumptions!$B$52)</f>
        <v/>
      </c>
      <c r="N681">
        <f>MIN(L681,M681)</f>
        <v/>
      </c>
      <c r="O681">
        <f>Assumptions!$B$50/N681</f>
        <v/>
      </c>
      <c r="P681">
        <f>Assumptions!$B$54/K681</f>
        <v/>
      </c>
      <c r="Q681">
        <f>H681*(1-Assumptions!$B$55)</f>
        <v/>
      </c>
      <c r="R681">
        <f>MIN(P681,Q681)</f>
        <v/>
      </c>
      <c r="S681">
        <f>Assumptions!$B$53/R681</f>
        <v/>
      </c>
      <c r="T681">
        <f>Assumptions!$B$27*(Assumptions!$B$64+$B$630/Assumptions!$B$27)/(Assumptions!$B$64+J681)</f>
        <v/>
      </c>
      <c r="U681">
        <f>IF(H681&lt;Assumptions!$B$27,Assumptions!$B$27/T681,1)</f>
        <v/>
      </c>
      <c r="V681">
        <f>Assumptions!$B$26*(Assumptions!$B$64+$B$630/Assumptions!$B$26)/(Assumptions!$B$64+J681)</f>
        <v/>
      </c>
      <c r="W681">
        <f>IF(H681&lt;Assumptions!$B$26,Assumptions!$B$26/V681,1)</f>
        <v/>
      </c>
    </row>
    <row r="682">
      <c r="A682" t="n">
        <v>49</v>
      </c>
      <c r="B682">
        <f>U681</f>
        <v/>
      </c>
      <c r="C682">
        <f>W681</f>
        <v/>
      </c>
      <c r="D682">
        <f>O681</f>
        <v/>
      </c>
      <c r="E682">
        <f>S681</f>
        <v/>
      </c>
      <c r="F682">
        <f>Assumptions!$B$16*B682</f>
        <v/>
      </c>
      <c r="G682">
        <f>Assumptions!$B$15*C682</f>
        <v/>
      </c>
      <c r="H682">
        <f>IF($B$626*($B$629/(($B$629*(1-$B$626)-$B$630)/((Assumptions!$B$9+Assumptions!$B$11+Assumptions!$B$12+Assumptions!$B$13+Assumptions!$B$14)+G682+F682+D682+E682)))&lt;Assumptions!$B$65,($B$629-$B$630)/(((Assumptions!$B$9+Assumptions!$B$11+Assumptions!$B$12+Assumptions!$B$13+Assumptions!$B$14)+G682+F682+D682+E682)+Assumptions!$B$65),($B$629*(1-$B$626)-$B$630)/((Assumptions!$B$9+Assumptions!$B$11+Assumptions!$B$12+Assumptions!$B$13+Assumptions!$B$14)+G682+F682+D682+E682))</f>
        <v/>
      </c>
      <c r="I682">
        <f>$B$629/H682</f>
        <v/>
      </c>
      <c r="J682">
        <f>$B$630/H682</f>
        <v/>
      </c>
      <c r="K682">
        <f>I682-J682</f>
        <v/>
      </c>
      <c r="L682">
        <f>Assumptions!$B$51/K682</f>
        <v/>
      </c>
      <c r="M682">
        <f>H682*(1-Assumptions!$B$52)</f>
        <v/>
      </c>
      <c r="N682">
        <f>MIN(L682,M682)</f>
        <v/>
      </c>
      <c r="O682">
        <f>Assumptions!$B$50/N682</f>
        <v/>
      </c>
      <c r="P682">
        <f>Assumptions!$B$54/K682</f>
        <v/>
      </c>
      <c r="Q682">
        <f>H682*(1-Assumptions!$B$55)</f>
        <v/>
      </c>
      <c r="R682">
        <f>MIN(P682,Q682)</f>
        <v/>
      </c>
      <c r="S682">
        <f>Assumptions!$B$53/R682</f>
        <v/>
      </c>
      <c r="T682">
        <f>Assumptions!$B$27*(Assumptions!$B$64+$B$630/Assumptions!$B$27)/(Assumptions!$B$64+J682)</f>
        <v/>
      </c>
      <c r="U682">
        <f>IF(H682&lt;Assumptions!$B$27,Assumptions!$B$27/T682,1)</f>
        <v/>
      </c>
      <c r="V682">
        <f>Assumptions!$B$26*(Assumptions!$B$64+$B$630/Assumptions!$B$26)/(Assumptions!$B$64+J682)</f>
        <v/>
      </c>
      <c r="W682">
        <f>IF(H682&lt;Assumptions!$B$26,Assumptions!$B$26/V682,1)</f>
        <v/>
      </c>
    </row>
    <row r="700">
      <c r="A700" t="inlineStr">
        <is>
          <t>Cell esop_15_pre_1800M</t>
        </is>
      </c>
    </row>
    <row r="701">
      <c r="A701" t="inlineStr">
        <is>
          <t>esop</t>
        </is>
      </c>
      <c r="B701" t="n">
        <v>0.15</v>
      </c>
    </row>
    <row r="702">
      <c r="A702" t="inlineStr">
        <is>
          <t>pre_M ($M)</t>
        </is>
      </c>
      <c r="B702" t="n">
        <v>1800</v>
      </c>
    </row>
    <row r="703">
      <c r="A703" t="inlineStr">
        <is>
          <t>pre_money $</t>
        </is>
      </c>
      <c r="B703">
        <f>B702*1000000</f>
        <v/>
      </c>
    </row>
    <row r="704">
      <c r="A704" t="inlineStr">
        <is>
          <t>post_money $</t>
        </is>
      </c>
      <c r="B704">
        <f>B703+Assumptions!$B$41</f>
        <v/>
      </c>
    </row>
    <row r="705">
      <c r="A705" t="inlineStr">
        <is>
          <t>primary raise $</t>
        </is>
      </c>
      <c r="B705">
        <f>Assumptions!$B$41</f>
        <v/>
      </c>
    </row>
    <row r="707">
      <c r="A707" t="inlineStr">
        <is>
          <t>iter</t>
        </is>
      </c>
      <c r="B707" t="inlineStr">
        <is>
          <t>r_E_p</t>
        </is>
      </c>
      <c r="C707" t="inlineStr">
        <is>
          <t>r_D_p</t>
        </is>
      </c>
      <c r="D707" t="inlineStr">
        <is>
          <t>N_A_p</t>
        </is>
      </c>
      <c r="E707" t="inlineStr">
        <is>
          <t>N_B_p</t>
        </is>
      </c>
      <c r="F707" t="inlineStr">
        <is>
          <t>E_adj</t>
        </is>
      </c>
      <c r="G707" t="inlineStr">
        <is>
          <t>D_adj</t>
        </is>
      </c>
      <c r="H707" t="inlineStr">
        <is>
          <t>F_PPS</t>
        </is>
      </c>
      <c r="I707" t="inlineStr">
        <is>
          <t>T_F</t>
        </is>
      </c>
      <c r="J707" t="inlineStr">
        <is>
          <t>new_F</t>
        </is>
      </c>
      <c r="K707" t="inlineStr">
        <is>
          <t>pre_FD</t>
        </is>
      </c>
      <c r="L707" t="inlineStr">
        <is>
          <t>capA</t>
        </is>
      </c>
      <c r="M707" t="inlineStr">
        <is>
          <t>discA</t>
        </is>
      </c>
      <c r="N707" t="inlineStr">
        <is>
          <t>cpA</t>
        </is>
      </c>
      <c r="O707" t="inlineStr">
        <is>
          <t>NA</t>
        </is>
      </c>
      <c r="P707" t="inlineStr">
        <is>
          <t>capB</t>
        </is>
      </c>
      <c r="Q707" t="inlineStr">
        <is>
          <t>discB</t>
        </is>
      </c>
      <c r="R707" t="inlineStr">
        <is>
          <t>cpB</t>
        </is>
      </c>
      <c r="S707" t="inlineStr">
        <is>
          <t>NB</t>
        </is>
      </c>
      <c r="T707" t="inlineStr">
        <is>
          <t>NCP_E</t>
        </is>
      </c>
      <c r="U707" t="inlineStr">
        <is>
          <t>r_E_n</t>
        </is>
      </c>
      <c r="V707" t="inlineStr">
        <is>
          <t>NCP_D</t>
        </is>
      </c>
      <c r="W707" t="inlineStr">
        <is>
          <t>r_D_n</t>
        </is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>
        <f>Assumptions!$B$16*B708</f>
        <v/>
      </c>
      <c r="G708">
        <f>Assumptions!$B$15*C708</f>
        <v/>
      </c>
      <c r="H708">
        <f>IF($B$701*($B$704/(($B$704*(1-$B$701)-$B$705)/((Assumptions!$B$9+Assumptions!$B$11+Assumptions!$B$12+Assumptions!$B$13+Assumptions!$B$14)+G708+F708+D708+E708)))&lt;Assumptions!$B$65,($B$704-$B$705)/(((Assumptions!$B$9+Assumptions!$B$11+Assumptions!$B$12+Assumptions!$B$13+Assumptions!$B$14)+G708+F708+D708+E708)+Assumptions!$B$65),($B$704*(1-$B$701)-$B$705)/((Assumptions!$B$9+Assumptions!$B$11+Assumptions!$B$12+Assumptions!$B$13+Assumptions!$B$14)+G708+F708+D708+E708))</f>
        <v/>
      </c>
      <c r="I708">
        <f>$B$704/H708</f>
        <v/>
      </c>
      <c r="J708">
        <f>$B$705/H708</f>
        <v/>
      </c>
      <c r="K708">
        <f>I708-J708</f>
        <v/>
      </c>
      <c r="L708">
        <f>Assumptions!$B$51/K708</f>
        <v/>
      </c>
      <c r="M708">
        <f>H708*(1-Assumptions!$B$52)</f>
        <v/>
      </c>
      <c r="N708">
        <f>MIN(L708,M708)</f>
        <v/>
      </c>
      <c r="O708">
        <f>Assumptions!$B$50/N708</f>
        <v/>
      </c>
      <c r="P708">
        <f>Assumptions!$B$54/K708</f>
        <v/>
      </c>
      <c r="Q708">
        <f>H708*(1-Assumptions!$B$55)</f>
        <v/>
      </c>
      <c r="R708">
        <f>MIN(P708,Q708)</f>
        <v/>
      </c>
      <c r="S708">
        <f>Assumptions!$B$53/R708</f>
        <v/>
      </c>
      <c r="T708">
        <f>Assumptions!$B$27*(Assumptions!$B$64+$B$705/Assumptions!$B$27)/(Assumptions!$B$64+J708)</f>
        <v/>
      </c>
      <c r="U708">
        <f>IF(H708&lt;Assumptions!$B$27,Assumptions!$B$27/T708,1)</f>
        <v/>
      </c>
      <c r="V708">
        <f>Assumptions!$B$26*(Assumptions!$B$64+$B$705/Assumptions!$B$26)/(Assumptions!$B$64+J708)</f>
        <v/>
      </c>
      <c r="W708">
        <f>IF(H708&lt;Assumptions!$B$26,Assumptions!$B$26/V708,1)</f>
        <v/>
      </c>
    </row>
    <row r="709">
      <c r="A709" t="n">
        <v>1</v>
      </c>
      <c r="B709">
        <f>U708</f>
        <v/>
      </c>
      <c r="C709">
        <f>W708</f>
        <v/>
      </c>
      <c r="D709">
        <f>O708</f>
        <v/>
      </c>
      <c r="E709">
        <f>S708</f>
        <v/>
      </c>
      <c r="F709">
        <f>Assumptions!$B$16*B709</f>
        <v/>
      </c>
      <c r="G709">
        <f>Assumptions!$B$15*C709</f>
        <v/>
      </c>
      <c r="H709">
        <f>IF($B$701*($B$704/(($B$704*(1-$B$701)-$B$705)/((Assumptions!$B$9+Assumptions!$B$11+Assumptions!$B$12+Assumptions!$B$13+Assumptions!$B$14)+G709+F709+D709+E709)))&lt;Assumptions!$B$65,($B$704-$B$705)/(((Assumptions!$B$9+Assumptions!$B$11+Assumptions!$B$12+Assumptions!$B$13+Assumptions!$B$14)+G709+F709+D709+E709)+Assumptions!$B$65),($B$704*(1-$B$701)-$B$705)/((Assumptions!$B$9+Assumptions!$B$11+Assumptions!$B$12+Assumptions!$B$13+Assumptions!$B$14)+G709+F709+D709+E709))</f>
        <v/>
      </c>
      <c r="I709">
        <f>$B$704/H709</f>
        <v/>
      </c>
      <c r="J709">
        <f>$B$705/H709</f>
        <v/>
      </c>
      <c r="K709">
        <f>I709-J709</f>
        <v/>
      </c>
      <c r="L709">
        <f>Assumptions!$B$51/K709</f>
        <v/>
      </c>
      <c r="M709">
        <f>H709*(1-Assumptions!$B$52)</f>
        <v/>
      </c>
      <c r="N709">
        <f>MIN(L709,M709)</f>
        <v/>
      </c>
      <c r="O709">
        <f>Assumptions!$B$50/N709</f>
        <v/>
      </c>
      <c r="P709">
        <f>Assumptions!$B$54/K709</f>
        <v/>
      </c>
      <c r="Q709">
        <f>H709*(1-Assumptions!$B$55)</f>
        <v/>
      </c>
      <c r="R709">
        <f>MIN(P709,Q709)</f>
        <v/>
      </c>
      <c r="S709">
        <f>Assumptions!$B$53/R709</f>
        <v/>
      </c>
      <c r="T709">
        <f>Assumptions!$B$27*(Assumptions!$B$64+$B$705/Assumptions!$B$27)/(Assumptions!$B$64+J709)</f>
        <v/>
      </c>
      <c r="U709">
        <f>IF(H709&lt;Assumptions!$B$27,Assumptions!$B$27/T709,1)</f>
        <v/>
      </c>
      <c r="V709">
        <f>Assumptions!$B$26*(Assumptions!$B$64+$B$705/Assumptions!$B$26)/(Assumptions!$B$64+J709)</f>
        <v/>
      </c>
      <c r="W709">
        <f>IF(H709&lt;Assumptions!$B$26,Assumptions!$B$26/V709,1)</f>
        <v/>
      </c>
    </row>
    <row r="710">
      <c r="A710" t="n">
        <v>2</v>
      </c>
      <c r="B710">
        <f>U709</f>
        <v/>
      </c>
      <c r="C710">
        <f>W709</f>
        <v/>
      </c>
      <c r="D710">
        <f>O709</f>
        <v/>
      </c>
      <c r="E710">
        <f>S709</f>
        <v/>
      </c>
      <c r="F710">
        <f>Assumptions!$B$16*B710</f>
        <v/>
      </c>
      <c r="G710">
        <f>Assumptions!$B$15*C710</f>
        <v/>
      </c>
      <c r="H710">
        <f>IF($B$701*($B$704/(($B$704*(1-$B$701)-$B$705)/((Assumptions!$B$9+Assumptions!$B$11+Assumptions!$B$12+Assumptions!$B$13+Assumptions!$B$14)+G710+F710+D710+E710)))&lt;Assumptions!$B$65,($B$704-$B$705)/(((Assumptions!$B$9+Assumptions!$B$11+Assumptions!$B$12+Assumptions!$B$13+Assumptions!$B$14)+G710+F710+D710+E710)+Assumptions!$B$65),($B$704*(1-$B$701)-$B$705)/((Assumptions!$B$9+Assumptions!$B$11+Assumptions!$B$12+Assumptions!$B$13+Assumptions!$B$14)+G710+F710+D710+E710))</f>
        <v/>
      </c>
      <c r="I710">
        <f>$B$704/H710</f>
        <v/>
      </c>
      <c r="J710">
        <f>$B$705/H710</f>
        <v/>
      </c>
      <c r="K710">
        <f>I710-J710</f>
        <v/>
      </c>
      <c r="L710">
        <f>Assumptions!$B$51/K710</f>
        <v/>
      </c>
      <c r="M710">
        <f>H710*(1-Assumptions!$B$52)</f>
        <v/>
      </c>
      <c r="N710">
        <f>MIN(L710,M710)</f>
        <v/>
      </c>
      <c r="O710">
        <f>Assumptions!$B$50/N710</f>
        <v/>
      </c>
      <c r="P710">
        <f>Assumptions!$B$54/K710</f>
        <v/>
      </c>
      <c r="Q710">
        <f>H710*(1-Assumptions!$B$55)</f>
        <v/>
      </c>
      <c r="R710">
        <f>MIN(P710,Q710)</f>
        <v/>
      </c>
      <c r="S710">
        <f>Assumptions!$B$53/R710</f>
        <v/>
      </c>
      <c r="T710">
        <f>Assumptions!$B$27*(Assumptions!$B$64+$B$705/Assumptions!$B$27)/(Assumptions!$B$64+J710)</f>
        <v/>
      </c>
      <c r="U710">
        <f>IF(H710&lt;Assumptions!$B$27,Assumptions!$B$27/T710,1)</f>
        <v/>
      </c>
      <c r="V710">
        <f>Assumptions!$B$26*(Assumptions!$B$64+$B$705/Assumptions!$B$26)/(Assumptions!$B$64+J710)</f>
        <v/>
      </c>
      <c r="W710">
        <f>IF(H710&lt;Assumptions!$B$26,Assumptions!$B$26/V710,1)</f>
        <v/>
      </c>
    </row>
    <row r="711">
      <c r="A711" t="n">
        <v>3</v>
      </c>
      <c r="B711">
        <f>U710</f>
        <v/>
      </c>
      <c r="C711">
        <f>W710</f>
        <v/>
      </c>
      <c r="D711">
        <f>O710</f>
        <v/>
      </c>
      <c r="E711">
        <f>S710</f>
        <v/>
      </c>
      <c r="F711">
        <f>Assumptions!$B$16*B711</f>
        <v/>
      </c>
      <c r="G711">
        <f>Assumptions!$B$15*C711</f>
        <v/>
      </c>
      <c r="H711">
        <f>IF($B$701*($B$704/(($B$704*(1-$B$701)-$B$705)/((Assumptions!$B$9+Assumptions!$B$11+Assumptions!$B$12+Assumptions!$B$13+Assumptions!$B$14)+G711+F711+D711+E711)))&lt;Assumptions!$B$65,($B$704-$B$705)/(((Assumptions!$B$9+Assumptions!$B$11+Assumptions!$B$12+Assumptions!$B$13+Assumptions!$B$14)+G711+F711+D711+E711)+Assumptions!$B$65),($B$704*(1-$B$701)-$B$705)/((Assumptions!$B$9+Assumptions!$B$11+Assumptions!$B$12+Assumptions!$B$13+Assumptions!$B$14)+G711+F711+D711+E711))</f>
        <v/>
      </c>
      <c r="I711">
        <f>$B$704/H711</f>
        <v/>
      </c>
      <c r="J711">
        <f>$B$705/H711</f>
        <v/>
      </c>
      <c r="K711">
        <f>I711-J711</f>
        <v/>
      </c>
      <c r="L711">
        <f>Assumptions!$B$51/K711</f>
        <v/>
      </c>
      <c r="M711">
        <f>H711*(1-Assumptions!$B$52)</f>
        <v/>
      </c>
      <c r="N711">
        <f>MIN(L711,M711)</f>
        <v/>
      </c>
      <c r="O711">
        <f>Assumptions!$B$50/N711</f>
        <v/>
      </c>
      <c r="P711">
        <f>Assumptions!$B$54/K711</f>
        <v/>
      </c>
      <c r="Q711">
        <f>H711*(1-Assumptions!$B$55)</f>
        <v/>
      </c>
      <c r="R711">
        <f>MIN(P711,Q711)</f>
        <v/>
      </c>
      <c r="S711">
        <f>Assumptions!$B$53/R711</f>
        <v/>
      </c>
      <c r="T711">
        <f>Assumptions!$B$27*(Assumptions!$B$64+$B$705/Assumptions!$B$27)/(Assumptions!$B$64+J711)</f>
        <v/>
      </c>
      <c r="U711">
        <f>IF(H711&lt;Assumptions!$B$27,Assumptions!$B$27/T711,1)</f>
        <v/>
      </c>
      <c r="V711">
        <f>Assumptions!$B$26*(Assumptions!$B$64+$B$705/Assumptions!$B$26)/(Assumptions!$B$64+J711)</f>
        <v/>
      </c>
      <c r="W711">
        <f>IF(H711&lt;Assumptions!$B$26,Assumptions!$B$26/V711,1)</f>
        <v/>
      </c>
    </row>
    <row r="712">
      <c r="A712" t="n">
        <v>4</v>
      </c>
      <c r="B712">
        <f>U711</f>
        <v/>
      </c>
      <c r="C712">
        <f>W711</f>
        <v/>
      </c>
      <c r="D712">
        <f>O711</f>
        <v/>
      </c>
      <c r="E712">
        <f>S711</f>
        <v/>
      </c>
      <c r="F712">
        <f>Assumptions!$B$16*B712</f>
        <v/>
      </c>
      <c r="G712">
        <f>Assumptions!$B$15*C712</f>
        <v/>
      </c>
      <c r="H712">
        <f>IF($B$701*($B$704/(($B$704*(1-$B$701)-$B$705)/((Assumptions!$B$9+Assumptions!$B$11+Assumptions!$B$12+Assumptions!$B$13+Assumptions!$B$14)+G712+F712+D712+E712)))&lt;Assumptions!$B$65,($B$704-$B$705)/(((Assumptions!$B$9+Assumptions!$B$11+Assumptions!$B$12+Assumptions!$B$13+Assumptions!$B$14)+G712+F712+D712+E712)+Assumptions!$B$65),($B$704*(1-$B$701)-$B$705)/((Assumptions!$B$9+Assumptions!$B$11+Assumptions!$B$12+Assumptions!$B$13+Assumptions!$B$14)+G712+F712+D712+E712))</f>
        <v/>
      </c>
      <c r="I712">
        <f>$B$704/H712</f>
        <v/>
      </c>
      <c r="J712">
        <f>$B$705/H712</f>
        <v/>
      </c>
      <c r="K712">
        <f>I712-J712</f>
        <v/>
      </c>
      <c r="L712">
        <f>Assumptions!$B$51/K712</f>
        <v/>
      </c>
      <c r="M712">
        <f>H712*(1-Assumptions!$B$52)</f>
        <v/>
      </c>
      <c r="N712">
        <f>MIN(L712,M712)</f>
        <v/>
      </c>
      <c r="O712">
        <f>Assumptions!$B$50/N712</f>
        <v/>
      </c>
      <c r="P712">
        <f>Assumptions!$B$54/K712</f>
        <v/>
      </c>
      <c r="Q712">
        <f>H712*(1-Assumptions!$B$55)</f>
        <v/>
      </c>
      <c r="R712">
        <f>MIN(P712,Q712)</f>
        <v/>
      </c>
      <c r="S712">
        <f>Assumptions!$B$53/R712</f>
        <v/>
      </c>
      <c r="T712">
        <f>Assumptions!$B$27*(Assumptions!$B$64+$B$705/Assumptions!$B$27)/(Assumptions!$B$64+J712)</f>
        <v/>
      </c>
      <c r="U712">
        <f>IF(H712&lt;Assumptions!$B$27,Assumptions!$B$27/T712,1)</f>
        <v/>
      </c>
      <c r="V712">
        <f>Assumptions!$B$26*(Assumptions!$B$64+$B$705/Assumptions!$B$26)/(Assumptions!$B$64+J712)</f>
        <v/>
      </c>
      <c r="W712">
        <f>IF(H712&lt;Assumptions!$B$26,Assumptions!$B$26/V712,1)</f>
        <v/>
      </c>
    </row>
    <row r="713">
      <c r="A713" t="n">
        <v>5</v>
      </c>
      <c r="B713">
        <f>U712</f>
        <v/>
      </c>
      <c r="C713">
        <f>W712</f>
        <v/>
      </c>
      <c r="D713">
        <f>O712</f>
        <v/>
      </c>
      <c r="E713">
        <f>S712</f>
        <v/>
      </c>
      <c r="F713">
        <f>Assumptions!$B$16*B713</f>
        <v/>
      </c>
      <c r="G713">
        <f>Assumptions!$B$15*C713</f>
        <v/>
      </c>
      <c r="H713">
        <f>IF($B$701*($B$704/(($B$704*(1-$B$701)-$B$705)/((Assumptions!$B$9+Assumptions!$B$11+Assumptions!$B$12+Assumptions!$B$13+Assumptions!$B$14)+G713+F713+D713+E713)))&lt;Assumptions!$B$65,($B$704-$B$705)/(((Assumptions!$B$9+Assumptions!$B$11+Assumptions!$B$12+Assumptions!$B$13+Assumptions!$B$14)+G713+F713+D713+E713)+Assumptions!$B$65),($B$704*(1-$B$701)-$B$705)/((Assumptions!$B$9+Assumptions!$B$11+Assumptions!$B$12+Assumptions!$B$13+Assumptions!$B$14)+G713+F713+D713+E713))</f>
        <v/>
      </c>
      <c r="I713">
        <f>$B$704/H713</f>
        <v/>
      </c>
      <c r="J713">
        <f>$B$705/H713</f>
        <v/>
      </c>
      <c r="K713">
        <f>I713-J713</f>
        <v/>
      </c>
      <c r="L713">
        <f>Assumptions!$B$51/K713</f>
        <v/>
      </c>
      <c r="M713">
        <f>H713*(1-Assumptions!$B$52)</f>
        <v/>
      </c>
      <c r="N713">
        <f>MIN(L713,M713)</f>
        <v/>
      </c>
      <c r="O713">
        <f>Assumptions!$B$50/N713</f>
        <v/>
      </c>
      <c r="P713">
        <f>Assumptions!$B$54/K713</f>
        <v/>
      </c>
      <c r="Q713">
        <f>H713*(1-Assumptions!$B$55)</f>
        <v/>
      </c>
      <c r="R713">
        <f>MIN(P713,Q713)</f>
        <v/>
      </c>
      <c r="S713">
        <f>Assumptions!$B$53/R713</f>
        <v/>
      </c>
      <c r="T713">
        <f>Assumptions!$B$27*(Assumptions!$B$64+$B$705/Assumptions!$B$27)/(Assumptions!$B$64+J713)</f>
        <v/>
      </c>
      <c r="U713">
        <f>IF(H713&lt;Assumptions!$B$27,Assumptions!$B$27/T713,1)</f>
        <v/>
      </c>
      <c r="V713">
        <f>Assumptions!$B$26*(Assumptions!$B$64+$B$705/Assumptions!$B$26)/(Assumptions!$B$64+J713)</f>
        <v/>
      </c>
      <c r="W713">
        <f>IF(H713&lt;Assumptions!$B$26,Assumptions!$B$26/V713,1)</f>
        <v/>
      </c>
    </row>
    <row r="714">
      <c r="A714" t="n">
        <v>6</v>
      </c>
      <c r="B714">
        <f>U713</f>
        <v/>
      </c>
      <c r="C714">
        <f>W713</f>
        <v/>
      </c>
      <c r="D714">
        <f>O713</f>
        <v/>
      </c>
      <c r="E714">
        <f>S713</f>
        <v/>
      </c>
      <c r="F714">
        <f>Assumptions!$B$16*B714</f>
        <v/>
      </c>
      <c r="G714">
        <f>Assumptions!$B$15*C714</f>
        <v/>
      </c>
      <c r="H714">
        <f>IF($B$701*($B$704/(($B$704*(1-$B$701)-$B$705)/((Assumptions!$B$9+Assumptions!$B$11+Assumptions!$B$12+Assumptions!$B$13+Assumptions!$B$14)+G714+F714+D714+E714)))&lt;Assumptions!$B$65,($B$704-$B$705)/(((Assumptions!$B$9+Assumptions!$B$11+Assumptions!$B$12+Assumptions!$B$13+Assumptions!$B$14)+G714+F714+D714+E714)+Assumptions!$B$65),($B$704*(1-$B$701)-$B$705)/((Assumptions!$B$9+Assumptions!$B$11+Assumptions!$B$12+Assumptions!$B$13+Assumptions!$B$14)+G714+F714+D714+E714))</f>
        <v/>
      </c>
      <c r="I714">
        <f>$B$704/H714</f>
        <v/>
      </c>
      <c r="J714">
        <f>$B$705/H714</f>
        <v/>
      </c>
      <c r="K714">
        <f>I714-J714</f>
        <v/>
      </c>
      <c r="L714">
        <f>Assumptions!$B$51/K714</f>
        <v/>
      </c>
      <c r="M714">
        <f>H714*(1-Assumptions!$B$52)</f>
        <v/>
      </c>
      <c r="N714">
        <f>MIN(L714,M714)</f>
        <v/>
      </c>
      <c r="O714">
        <f>Assumptions!$B$50/N714</f>
        <v/>
      </c>
      <c r="P714">
        <f>Assumptions!$B$54/K714</f>
        <v/>
      </c>
      <c r="Q714">
        <f>H714*(1-Assumptions!$B$55)</f>
        <v/>
      </c>
      <c r="R714">
        <f>MIN(P714,Q714)</f>
        <v/>
      </c>
      <c r="S714">
        <f>Assumptions!$B$53/R714</f>
        <v/>
      </c>
      <c r="T714">
        <f>Assumptions!$B$27*(Assumptions!$B$64+$B$705/Assumptions!$B$27)/(Assumptions!$B$64+J714)</f>
        <v/>
      </c>
      <c r="U714">
        <f>IF(H714&lt;Assumptions!$B$27,Assumptions!$B$27/T714,1)</f>
        <v/>
      </c>
      <c r="V714">
        <f>Assumptions!$B$26*(Assumptions!$B$64+$B$705/Assumptions!$B$26)/(Assumptions!$B$64+J714)</f>
        <v/>
      </c>
      <c r="W714">
        <f>IF(H714&lt;Assumptions!$B$26,Assumptions!$B$26/V714,1)</f>
        <v/>
      </c>
    </row>
    <row r="715">
      <c r="A715" t="n">
        <v>7</v>
      </c>
      <c r="B715">
        <f>U714</f>
        <v/>
      </c>
      <c r="C715">
        <f>W714</f>
        <v/>
      </c>
      <c r="D715">
        <f>O714</f>
        <v/>
      </c>
      <c r="E715">
        <f>S714</f>
        <v/>
      </c>
      <c r="F715">
        <f>Assumptions!$B$16*B715</f>
        <v/>
      </c>
      <c r="G715">
        <f>Assumptions!$B$15*C715</f>
        <v/>
      </c>
      <c r="H715">
        <f>IF($B$701*($B$704/(($B$704*(1-$B$701)-$B$705)/((Assumptions!$B$9+Assumptions!$B$11+Assumptions!$B$12+Assumptions!$B$13+Assumptions!$B$14)+G715+F715+D715+E715)))&lt;Assumptions!$B$65,($B$704-$B$705)/(((Assumptions!$B$9+Assumptions!$B$11+Assumptions!$B$12+Assumptions!$B$13+Assumptions!$B$14)+G715+F715+D715+E715)+Assumptions!$B$65),($B$704*(1-$B$701)-$B$705)/((Assumptions!$B$9+Assumptions!$B$11+Assumptions!$B$12+Assumptions!$B$13+Assumptions!$B$14)+G715+F715+D715+E715))</f>
        <v/>
      </c>
      <c r="I715">
        <f>$B$704/H715</f>
        <v/>
      </c>
      <c r="J715">
        <f>$B$705/H715</f>
        <v/>
      </c>
      <c r="K715">
        <f>I715-J715</f>
        <v/>
      </c>
      <c r="L715">
        <f>Assumptions!$B$51/K715</f>
        <v/>
      </c>
      <c r="M715">
        <f>H715*(1-Assumptions!$B$52)</f>
        <v/>
      </c>
      <c r="N715">
        <f>MIN(L715,M715)</f>
        <v/>
      </c>
      <c r="O715">
        <f>Assumptions!$B$50/N715</f>
        <v/>
      </c>
      <c r="P715">
        <f>Assumptions!$B$54/K715</f>
        <v/>
      </c>
      <c r="Q715">
        <f>H715*(1-Assumptions!$B$55)</f>
        <v/>
      </c>
      <c r="R715">
        <f>MIN(P715,Q715)</f>
        <v/>
      </c>
      <c r="S715">
        <f>Assumptions!$B$53/R715</f>
        <v/>
      </c>
      <c r="T715">
        <f>Assumptions!$B$27*(Assumptions!$B$64+$B$705/Assumptions!$B$27)/(Assumptions!$B$64+J715)</f>
        <v/>
      </c>
      <c r="U715">
        <f>IF(H715&lt;Assumptions!$B$27,Assumptions!$B$27/T715,1)</f>
        <v/>
      </c>
      <c r="V715">
        <f>Assumptions!$B$26*(Assumptions!$B$64+$B$705/Assumptions!$B$26)/(Assumptions!$B$64+J715)</f>
        <v/>
      </c>
      <c r="W715">
        <f>IF(H715&lt;Assumptions!$B$26,Assumptions!$B$26/V715,1)</f>
        <v/>
      </c>
    </row>
    <row r="716">
      <c r="A716" t="n">
        <v>8</v>
      </c>
      <c r="B716">
        <f>U715</f>
        <v/>
      </c>
      <c r="C716">
        <f>W715</f>
        <v/>
      </c>
      <c r="D716">
        <f>O715</f>
        <v/>
      </c>
      <c r="E716">
        <f>S715</f>
        <v/>
      </c>
      <c r="F716">
        <f>Assumptions!$B$16*B716</f>
        <v/>
      </c>
      <c r="G716">
        <f>Assumptions!$B$15*C716</f>
        <v/>
      </c>
      <c r="H716">
        <f>IF($B$701*($B$704/(($B$704*(1-$B$701)-$B$705)/((Assumptions!$B$9+Assumptions!$B$11+Assumptions!$B$12+Assumptions!$B$13+Assumptions!$B$14)+G716+F716+D716+E716)))&lt;Assumptions!$B$65,($B$704-$B$705)/(((Assumptions!$B$9+Assumptions!$B$11+Assumptions!$B$12+Assumptions!$B$13+Assumptions!$B$14)+G716+F716+D716+E716)+Assumptions!$B$65),($B$704*(1-$B$701)-$B$705)/((Assumptions!$B$9+Assumptions!$B$11+Assumptions!$B$12+Assumptions!$B$13+Assumptions!$B$14)+G716+F716+D716+E716))</f>
        <v/>
      </c>
      <c r="I716">
        <f>$B$704/H716</f>
        <v/>
      </c>
      <c r="J716">
        <f>$B$705/H716</f>
        <v/>
      </c>
      <c r="K716">
        <f>I716-J716</f>
        <v/>
      </c>
      <c r="L716">
        <f>Assumptions!$B$51/K716</f>
        <v/>
      </c>
      <c r="M716">
        <f>H716*(1-Assumptions!$B$52)</f>
        <v/>
      </c>
      <c r="N716">
        <f>MIN(L716,M716)</f>
        <v/>
      </c>
      <c r="O716">
        <f>Assumptions!$B$50/N716</f>
        <v/>
      </c>
      <c r="P716">
        <f>Assumptions!$B$54/K716</f>
        <v/>
      </c>
      <c r="Q716">
        <f>H716*(1-Assumptions!$B$55)</f>
        <v/>
      </c>
      <c r="R716">
        <f>MIN(P716,Q716)</f>
        <v/>
      </c>
      <c r="S716">
        <f>Assumptions!$B$53/R716</f>
        <v/>
      </c>
      <c r="T716">
        <f>Assumptions!$B$27*(Assumptions!$B$64+$B$705/Assumptions!$B$27)/(Assumptions!$B$64+J716)</f>
        <v/>
      </c>
      <c r="U716">
        <f>IF(H716&lt;Assumptions!$B$27,Assumptions!$B$27/T716,1)</f>
        <v/>
      </c>
      <c r="V716">
        <f>Assumptions!$B$26*(Assumptions!$B$64+$B$705/Assumptions!$B$26)/(Assumptions!$B$64+J716)</f>
        <v/>
      </c>
      <c r="W716">
        <f>IF(H716&lt;Assumptions!$B$26,Assumptions!$B$26/V716,1)</f>
        <v/>
      </c>
    </row>
    <row r="717">
      <c r="A717" t="n">
        <v>9</v>
      </c>
      <c r="B717">
        <f>U716</f>
        <v/>
      </c>
      <c r="C717">
        <f>W716</f>
        <v/>
      </c>
      <c r="D717">
        <f>O716</f>
        <v/>
      </c>
      <c r="E717">
        <f>S716</f>
        <v/>
      </c>
      <c r="F717">
        <f>Assumptions!$B$16*B717</f>
        <v/>
      </c>
      <c r="G717">
        <f>Assumptions!$B$15*C717</f>
        <v/>
      </c>
      <c r="H717">
        <f>IF($B$701*($B$704/(($B$704*(1-$B$701)-$B$705)/((Assumptions!$B$9+Assumptions!$B$11+Assumptions!$B$12+Assumptions!$B$13+Assumptions!$B$14)+G717+F717+D717+E717)))&lt;Assumptions!$B$65,($B$704-$B$705)/(((Assumptions!$B$9+Assumptions!$B$11+Assumptions!$B$12+Assumptions!$B$13+Assumptions!$B$14)+G717+F717+D717+E717)+Assumptions!$B$65),($B$704*(1-$B$701)-$B$705)/((Assumptions!$B$9+Assumptions!$B$11+Assumptions!$B$12+Assumptions!$B$13+Assumptions!$B$14)+G717+F717+D717+E717))</f>
        <v/>
      </c>
      <c r="I717">
        <f>$B$704/H717</f>
        <v/>
      </c>
      <c r="J717">
        <f>$B$705/H717</f>
        <v/>
      </c>
      <c r="K717">
        <f>I717-J717</f>
        <v/>
      </c>
      <c r="L717">
        <f>Assumptions!$B$51/K717</f>
        <v/>
      </c>
      <c r="M717">
        <f>H717*(1-Assumptions!$B$52)</f>
        <v/>
      </c>
      <c r="N717">
        <f>MIN(L717,M717)</f>
        <v/>
      </c>
      <c r="O717">
        <f>Assumptions!$B$50/N717</f>
        <v/>
      </c>
      <c r="P717">
        <f>Assumptions!$B$54/K717</f>
        <v/>
      </c>
      <c r="Q717">
        <f>H717*(1-Assumptions!$B$55)</f>
        <v/>
      </c>
      <c r="R717">
        <f>MIN(P717,Q717)</f>
        <v/>
      </c>
      <c r="S717">
        <f>Assumptions!$B$53/R717</f>
        <v/>
      </c>
      <c r="T717">
        <f>Assumptions!$B$27*(Assumptions!$B$64+$B$705/Assumptions!$B$27)/(Assumptions!$B$64+J717)</f>
        <v/>
      </c>
      <c r="U717">
        <f>IF(H717&lt;Assumptions!$B$27,Assumptions!$B$27/T717,1)</f>
        <v/>
      </c>
      <c r="V717">
        <f>Assumptions!$B$26*(Assumptions!$B$64+$B$705/Assumptions!$B$26)/(Assumptions!$B$64+J717)</f>
        <v/>
      </c>
      <c r="W717">
        <f>IF(H717&lt;Assumptions!$B$26,Assumptions!$B$26/V717,1)</f>
        <v/>
      </c>
    </row>
    <row r="718">
      <c r="A718" t="n">
        <v>10</v>
      </c>
      <c r="B718">
        <f>U717</f>
        <v/>
      </c>
      <c r="C718">
        <f>W717</f>
        <v/>
      </c>
      <c r="D718">
        <f>O717</f>
        <v/>
      </c>
      <c r="E718">
        <f>S717</f>
        <v/>
      </c>
      <c r="F718">
        <f>Assumptions!$B$16*B718</f>
        <v/>
      </c>
      <c r="G718">
        <f>Assumptions!$B$15*C718</f>
        <v/>
      </c>
      <c r="H718">
        <f>IF($B$701*($B$704/(($B$704*(1-$B$701)-$B$705)/((Assumptions!$B$9+Assumptions!$B$11+Assumptions!$B$12+Assumptions!$B$13+Assumptions!$B$14)+G718+F718+D718+E718)))&lt;Assumptions!$B$65,($B$704-$B$705)/(((Assumptions!$B$9+Assumptions!$B$11+Assumptions!$B$12+Assumptions!$B$13+Assumptions!$B$14)+G718+F718+D718+E718)+Assumptions!$B$65),($B$704*(1-$B$701)-$B$705)/((Assumptions!$B$9+Assumptions!$B$11+Assumptions!$B$12+Assumptions!$B$13+Assumptions!$B$14)+G718+F718+D718+E718))</f>
        <v/>
      </c>
      <c r="I718">
        <f>$B$704/H718</f>
        <v/>
      </c>
      <c r="J718">
        <f>$B$705/H718</f>
        <v/>
      </c>
      <c r="K718">
        <f>I718-J718</f>
        <v/>
      </c>
      <c r="L718">
        <f>Assumptions!$B$51/K718</f>
        <v/>
      </c>
      <c r="M718">
        <f>H718*(1-Assumptions!$B$52)</f>
        <v/>
      </c>
      <c r="N718">
        <f>MIN(L718,M718)</f>
        <v/>
      </c>
      <c r="O718">
        <f>Assumptions!$B$50/N718</f>
        <v/>
      </c>
      <c r="P718">
        <f>Assumptions!$B$54/K718</f>
        <v/>
      </c>
      <c r="Q718">
        <f>H718*(1-Assumptions!$B$55)</f>
        <v/>
      </c>
      <c r="R718">
        <f>MIN(P718,Q718)</f>
        <v/>
      </c>
      <c r="S718">
        <f>Assumptions!$B$53/R718</f>
        <v/>
      </c>
      <c r="T718">
        <f>Assumptions!$B$27*(Assumptions!$B$64+$B$705/Assumptions!$B$27)/(Assumptions!$B$64+J718)</f>
        <v/>
      </c>
      <c r="U718">
        <f>IF(H718&lt;Assumptions!$B$27,Assumptions!$B$27/T718,1)</f>
        <v/>
      </c>
      <c r="V718">
        <f>Assumptions!$B$26*(Assumptions!$B$64+$B$705/Assumptions!$B$26)/(Assumptions!$B$64+J718)</f>
        <v/>
      </c>
      <c r="W718">
        <f>IF(H718&lt;Assumptions!$B$26,Assumptions!$B$26/V718,1)</f>
        <v/>
      </c>
    </row>
    <row r="719">
      <c r="A719" t="n">
        <v>11</v>
      </c>
      <c r="B719">
        <f>U718</f>
        <v/>
      </c>
      <c r="C719">
        <f>W718</f>
        <v/>
      </c>
      <c r="D719">
        <f>O718</f>
        <v/>
      </c>
      <c r="E719">
        <f>S718</f>
        <v/>
      </c>
      <c r="F719">
        <f>Assumptions!$B$16*B719</f>
        <v/>
      </c>
      <c r="G719">
        <f>Assumptions!$B$15*C719</f>
        <v/>
      </c>
      <c r="H719">
        <f>IF($B$701*($B$704/(($B$704*(1-$B$701)-$B$705)/((Assumptions!$B$9+Assumptions!$B$11+Assumptions!$B$12+Assumptions!$B$13+Assumptions!$B$14)+G719+F719+D719+E719)))&lt;Assumptions!$B$65,($B$704-$B$705)/(((Assumptions!$B$9+Assumptions!$B$11+Assumptions!$B$12+Assumptions!$B$13+Assumptions!$B$14)+G719+F719+D719+E719)+Assumptions!$B$65),($B$704*(1-$B$701)-$B$705)/((Assumptions!$B$9+Assumptions!$B$11+Assumptions!$B$12+Assumptions!$B$13+Assumptions!$B$14)+G719+F719+D719+E719))</f>
        <v/>
      </c>
      <c r="I719">
        <f>$B$704/H719</f>
        <v/>
      </c>
      <c r="J719">
        <f>$B$705/H719</f>
        <v/>
      </c>
      <c r="K719">
        <f>I719-J719</f>
        <v/>
      </c>
      <c r="L719">
        <f>Assumptions!$B$51/K719</f>
        <v/>
      </c>
      <c r="M719">
        <f>H719*(1-Assumptions!$B$52)</f>
        <v/>
      </c>
      <c r="N719">
        <f>MIN(L719,M719)</f>
        <v/>
      </c>
      <c r="O719">
        <f>Assumptions!$B$50/N719</f>
        <v/>
      </c>
      <c r="P719">
        <f>Assumptions!$B$54/K719</f>
        <v/>
      </c>
      <c r="Q719">
        <f>H719*(1-Assumptions!$B$55)</f>
        <v/>
      </c>
      <c r="R719">
        <f>MIN(P719,Q719)</f>
        <v/>
      </c>
      <c r="S719">
        <f>Assumptions!$B$53/R719</f>
        <v/>
      </c>
      <c r="T719">
        <f>Assumptions!$B$27*(Assumptions!$B$64+$B$705/Assumptions!$B$27)/(Assumptions!$B$64+J719)</f>
        <v/>
      </c>
      <c r="U719">
        <f>IF(H719&lt;Assumptions!$B$27,Assumptions!$B$27/T719,1)</f>
        <v/>
      </c>
      <c r="V719">
        <f>Assumptions!$B$26*(Assumptions!$B$64+$B$705/Assumptions!$B$26)/(Assumptions!$B$64+J719)</f>
        <v/>
      </c>
      <c r="W719">
        <f>IF(H719&lt;Assumptions!$B$26,Assumptions!$B$26/V719,1)</f>
        <v/>
      </c>
    </row>
    <row r="720">
      <c r="A720" t="n">
        <v>12</v>
      </c>
      <c r="B720">
        <f>U719</f>
        <v/>
      </c>
      <c r="C720">
        <f>W719</f>
        <v/>
      </c>
      <c r="D720">
        <f>O719</f>
        <v/>
      </c>
      <c r="E720">
        <f>S719</f>
        <v/>
      </c>
      <c r="F720">
        <f>Assumptions!$B$16*B720</f>
        <v/>
      </c>
      <c r="G720">
        <f>Assumptions!$B$15*C720</f>
        <v/>
      </c>
      <c r="H720">
        <f>IF($B$701*($B$704/(($B$704*(1-$B$701)-$B$705)/((Assumptions!$B$9+Assumptions!$B$11+Assumptions!$B$12+Assumptions!$B$13+Assumptions!$B$14)+G720+F720+D720+E720)))&lt;Assumptions!$B$65,($B$704-$B$705)/(((Assumptions!$B$9+Assumptions!$B$11+Assumptions!$B$12+Assumptions!$B$13+Assumptions!$B$14)+G720+F720+D720+E720)+Assumptions!$B$65),($B$704*(1-$B$701)-$B$705)/((Assumptions!$B$9+Assumptions!$B$11+Assumptions!$B$12+Assumptions!$B$13+Assumptions!$B$14)+G720+F720+D720+E720))</f>
        <v/>
      </c>
      <c r="I720">
        <f>$B$704/H720</f>
        <v/>
      </c>
      <c r="J720">
        <f>$B$705/H720</f>
        <v/>
      </c>
      <c r="K720">
        <f>I720-J720</f>
        <v/>
      </c>
      <c r="L720">
        <f>Assumptions!$B$51/K720</f>
        <v/>
      </c>
      <c r="M720">
        <f>H720*(1-Assumptions!$B$52)</f>
        <v/>
      </c>
      <c r="N720">
        <f>MIN(L720,M720)</f>
        <v/>
      </c>
      <c r="O720">
        <f>Assumptions!$B$50/N720</f>
        <v/>
      </c>
      <c r="P720">
        <f>Assumptions!$B$54/K720</f>
        <v/>
      </c>
      <c r="Q720">
        <f>H720*(1-Assumptions!$B$55)</f>
        <v/>
      </c>
      <c r="R720">
        <f>MIN(P720,Q720)</f>
        <v/>
      </c>
      <c r="S720">
        <f>Assumptions!$B$53/R720</f>
        <v/>
      </c>
      <c r="T720">
        <f>Assumptions!$B$27*(Assumptions!$B$64+$B$705/Assumptions!$B$27)/(Assumptions!$B$64+J720)</f>
        <v/>
      </c>
      <c r="U720">
        <f>IF(H720&lt;Assumptions!$B$27,Assumptions!$B$27/T720,1)</f>
        <v/>
      </c>
      <c r="V720">
        <f>Assumptions!$B$26*(Assumptions!$B$64+$B$705/Assumptions!$B$26)/(Assumptions!$B$64+J720)</f>
        <v/>
      </c>
      <c r="W720">
        <f>IF(H720&lt;Assumptions!$B$26,Assumptions!$B$26/V720,1)</f>
        <v/>
      </c>
    </row>
    <row r="721">
      <c r="A721" t="n">
        <v>13</v>
      </c>
      <c r="B721">
        <f>U720</f>
        <v/>
      </c>
      <c r="C721">
        <f>W720</f>
        <v/>
      </c>
      <c r="D721">
        <f>O720</f>
        <v/>
      </c>
      <c r="E721">
        <f>S720</f>
        <v/>
      </c>
      <c r="F721">
        <f>Assumptions!$B$16*B721</f>
        <v/>
      </c>
      <c r="G721">
        <f>Assumptions!$B$15*C721</f>
        <v/>
      </c>
      <c r="H721">
        <f>IF($B$701*($B$704/(($B$704*(1-$B$701)-$B$705)/((Assumptions!$B$9+Assumptions!$B$11+Assumptions!$B$12+Assumptions!$B$13+Assumptions!$B$14)+G721+F721+D721+E721)))&lt;Assumptions!$B$65,($B$704-$B$705)/(((Assumptions!$B$9+Assumptions!$B$11+Assumptions!$B$12+Assumptions!$B$13+Assumptions!$B$14)+G721+F721+D721+E721)+Assumptions!$B$65),($B$704*(1-$B$701)-$B$705)/((Assumptions!$B$9+Assumptions!$B$11+Assumptions!$B$12+Assumptions!$B$13+Assumptions!$B$14)+G721+F721+D721+E721))</f>
        <v/>
      </c>
      <c r="I721">
        <f>$B$704/H721</f>
        <v/>
      </c>
      <c r="J721">
        <f>$B$705/H721</f>
        <v/>
      </c>
      <c r="K721">
        <f>I721-J721</f>
        <v/>
      </c>
      <c r="L721">
        <f>Assumptions!$B$51/K721</f>
        <v/>
      </c>
      <c r="M721">
        <f>H721*(1-Assumptions!$B$52)</f>
        <v/>
      </c>
      <c r="N721">
        <f>MIN(L721,M721)</f>
        <v/>
      </c>
      <c r="O721">
        <f>Assumptions!$B$50/N721</f>
        <v/>
      </c>
      <c r="P721">
        <f>Assumptions!$B$54/K721</f>
        <v/>
      </c>
      <c r="Q721">
        <f>H721*(1-Assumptions!$B$55)</f>
        <v/>
      </c>
      <c r="R721">
        <f>MIN(P721,Q721)</f>
        <v/>
      </c>
      <c r="S721">
        <f>Assumptions!$B$53/R721</f>
        <v/>
      </c>
      <c r="T721">
        <f>Assumptions!$B$27*(Assumptions!$B$64+$B$705/Assumptions!$B$27)/(Assumptions!$B$64+J721)</f>
        <v/>
      </c>
      <c r="U721">
        <f>IF(H721&lt;Assumptions!$B$27,Assumptions!$B$27/T721,1)</f>
        <v/>
      </c>
      <c r="V721">
        <f>Assumptions!$B$26*(Assumptions!$B$64+$B$705/Assumptions!$B$26)/(Assumptions!$B$64+J721)</f>
        <v/>
      </c>
      <c r="W721">
        <f>IF(H721&lt;Assumptions!$B$26,Assumptions!$B$26/V721,1)</f>
        <v/>
      </c>
    </row>
    <row r="722">
      <c r="A722" t="n">
        <v>14</v>
      </c>
      <c r="B722">
        <f>U721</f>
        <v/>
      </c>
      <c r="C722">
        <f>W721</f>
        <v/>
      </c>
      <c r="D722">
        <f>O721</f>
        <v/>
      </c>
      <c r="E722">
        <f>S721</f>
        <v/>
      </c>
      <c r="F722">
        <f>Assumptions!$B$16*B722</f>
        <v/>
      </c>
      <c r="G722">
        <f>Assumptions!$B$15*C722</f>
        <v/>
      </c>
      <c r="H722">
        <f>IF($B$701*($B$704/(($B$704*(1-$B$701)-$B$705)/((Assumptions!$B$9+Assumptions!$B$11+Assumptions!$B$12+Assumptions!$B$13+Assumptions!$B$14)+G722+F722+D722+E722)))&lt;Assumptions!$B$65,($B$704-$B$705)/(((Assumptions!$B$9+Assumptions!$B$11+Assumptions!$B$12+Assumptions!$B$13+Assumptions!$B$14)+G722+F722+D722+E722)+Assumptions!$B$65),($B$704*(1-$B$701)-$B$705)/((Assumptions!$B$9+Assumptions!$B$11+Assumptions!$B$12+Assumptions!$B$13+Assumptions!$B$14)+G722+F722+D722+E722))</f>
        <v/>
      </c>
      <c r="I722">
        <f>$B$704/H722</f>
        <v/>
      </c>
      <c r="J722">
        <f>$B$705/H722</f>
        <v/>
      </c>
      <c r="K722">
        <f>I722-J722</f>
        <v/>
      </c>
      <c r="L722">
        <f>Assumptions!$B$51/K722</f>
        <v/>
      </c>
      <c r="M722">
        <f>H722*(1-Assumptions!$B$52)</f>
        <v/>
      </c>
      <c r="N722">
        <f>MIN(L722,M722)</f>
        <v/>
      </c>
      <c r="O722">
        <f>Assumptions!$B$50/N722</f>
        <v/>
      </c>
      <c r="P722">
        <f>Assumptions!$B$54/K722</f>
        <v/>
      </c>
      <c r="Q722">
        <f>H722*(1-Assumptions!$B$55)</f>
        <v/>
      </c>
      <c r="R722">
        <f>MIN(P722,Q722)</f>
        <v/>
      </c>
      <c r="S722">
        <f>Assumptions!$B$53/R722</f>
        <v/>
      </c>
      <c r="T722">
        <f>Assumptions!$B$27*(Assumptions!$B$64+$B$705/Assumptions!$B$27)/(Assumptions!$B$64+J722)</f>
        <v/>
      </c>
      <c r="U722">
        <f>IF(H722&lt;Assumptions!$B$27,Assumptions!$B$27/T722,1)</f>
        <v/>
      </c>
      <c r="V722">
        <f>Assumptions!$B$26*(Assumptions!$B$64+$B$705/Assumptions!$B$26)/(Assumptions!$B$64+J722)</f>
        <v/>
      </c>
      <c r="W722">
        <f>IF(H722&lt;Assumptions!$B$26,Assumptions!$B$26/V722,1)</f>
        <v/>
      </c>
    </row>
    <row r="723">
      <c r="A723" t="n">
        <v>15</v>
      </c>
      <c r="B723">
        <f>U722</f>
        <v/>
      </c>
      <c r="C723">
        <f>W722</f>
        <v/>
      </c>
      <c r="D723">
        <f>O722</f>
        <v/>
      </c>
      <c r="E723">
        <f>S722</f>
        <v/>
      </c>
      <c r="F723">
        <f>Assumptions!$B$16*B723</f>
        <v/>
      </c>
      <c r="G723">
        <f>Assumptions!$B$15*C723</f>
        <v/>
      </c>
      <c r="H723">
        <f>IF($B$701*($B$704/(($B$704*(1-$B$701)-$B$705)/((Assumptions!$B$9+Assumptions!$B$11+Assumptions!$B$12+Assumptions!$B$13+Assumptions!$B$14)+G723+F723+D723+E723)))&lt;Assumptions!$B$65,($B$704-$B$705)/(((Assumptions!$B$9+Assumptions!$B$11+Assumptions!$B$12+Assumptions!$B$13+Assumptions!$B$14)+G723+F723+D723+E723)+Assumptions!$B$65),($B$704*(1-$B$701)-$B$705)/((Assumptions!$B$9+Assumptions!$B$11+Assumptions!$B$12+Assumptions!$B$13+Assumptions!$B$14)+G723+F723+D723+E723))</f>
        <v/>
      </c>
      <c r="I723">
        <f>$B$704/H723</f>
        <v/>
      </c>
      <c r="J723">
        <f>$B$705/H723</f>
        <v/>
      </c>
      <c r="K723">
        <f>I723-J723</f>
        <v/>
      </c>
      <c r="L723">
        <f>Assumptions!$B$51/K723</f>
        <v/>
      </c>
      <c r="M723">
        <f>H723*(1-Assumptions!$B$52)</f>
        <v/>
      </c>
      <c r="N723">
        <f>MIN(L723,M723)</f>
        <v/>
      </c>
      <c r="O723">
        <f>Assumptions!$B$50/N723</f>
        <v/>
      </c>
      <c r="P723">
        <f>Assumptions!$B$54/K723</f>
        <v/>
      </c>
      <c r="Q723">
        <f>H723*(1-Assumptions!$B$55)</f>
        <v/>
      </c>
      <c r="R723">
        <f>MIN(P723,Q723)</f>
        <v/>
      </c>
      <c r="S723">
        <f>Assumptions!$B$53/R723</f>
        <v/>
      </c>
      <c r="T723">
        <f>Assumptions!$B$27*(Assumptions!$B$64+$B$705/Assumptions!$B$27)/(Assumptions!$B$64+J723)</f>
        <v/>
      </c>
      <c r="U723">
        <f>IF(H723&lt;Assumptions!$B$27,Assumptions!$B$27/T723,1)</f>
        <v/>
      </c>
      <c r="V723">
        <f>Assumptions!$B$26*(Assumptions!$B$64+$B$705/Assumptions!$B$26)/(Assumptions!$B$64+J723)</f>
        <v/>
      </c>
      <c r="W723">
        <f>IF(H723&lt;Assumptions!$B$26,Assumptions!$B$26/V723,1)</f>
        <v/>
      </c>
    </row>
    <row r="724">
      <c r="A724" t="n">
        <v>16</v>
      </c>
      <c r="B724">
        <f>U723</f>
        <v/>
      </c>
      <c r="C724">
        <f>W723</f>
        <v/>
      </c>
      <c r="D724">
        <f>O723</f>
        <v/>
      </c>
      <c r="E724">
        <f>S723</f>
        <v/>
      </c>
      <c r="F724">
        <f>Assumptions!$B$16*B724</f>
        <v/>
      </c>
      <c r="G724">
        <f>Assumptions!$B$15*C724</f>
        <v/>
      </c>
      <c r="H724">
        <f>IF($B$701*($B$704/(($B$704*(1-$B$701)-$B$705)/((Assumptions!$B$9+Assumptions!$B$11+Assumptions!$B$12+Assumptions!$B$13+Assumptions!$B$14)+G724+F724+D724+E724)))&lt;Assumptions!$B$65,($B$704-$B$705)/(((Assumptions!$B$9+Assumptions!$B$11+Assumptions!$B$12+Assumptions!$B$13+Assumptions!$B$14)+G724+F724+D724+E724)+Assumptions!$B$65),($B$704*(1-$B$701)-$B$705)/((Assumptions!$B$9+Assumptions!$B$11+Assumptions!$B$12+Assumptions!$B$13+Assumptions!$B$14)+G724+F724+D724+E724))</f>
        <v/>
      </c>
      <c r="I724">
        <f>$B$704/H724</f>
        <v/>
      </c>
      <c r="J724">
        <f>$B$705/H724</f>
        <v/>
      </c>
      <c r="K724">
        <f>I724-J724</f>
        <v/>
      </c>
      <c r="L724">
        <f>Assumptions!$B$51/K724</f>
        <v/>
      </c>
      <c r="M724">
        <f>H724*(1-Assumptions!$B$52)</f>
        <v/>
      </c>
      <c r="N724">
        <f>MIN(L724,M724)</f>
        <v/>
      </c>
      <c r="O724">
        <f>Assumptions!$B$50/N724</f>
        <v/>
      </c>
      <c r="P724">
        <f>Assumptions!$B$54/K724</f>
        <v/>
      </c>
      <c r="Q724">
        <f>H724*(1-Assumptions!$B$55)</f>
        <v/>
      </c>
      <c r="R724">
        <f>MIN(P724,Q724)</f>
        <v/>
      </c>
      <c r="S724">
        <f>Assumptions!$B$53/R724</f>
        <v/>
      </c>
      <c r="T724">
        <f>Assumptions!$B$27*(Assumptions!$B$64+$B$705/Assumptions!$B$27)/(Assumptions!$B$64+J724)</f>
        <v/>
      </c>
      <c r="U724">
        <f>IF(H724&lt;Assumptions!$B$27,Assumptions!$B$27/T724,1)</f>
        <v/>
      </c>
      <c r="V724">
        <f>Assumptions!$B$26*(Assumptions!$B$64+$B$705/Assumptions!$B$26)/(Assumptions!$B$64+J724)</f>
        <v/>
      </c>
      <c r="W724">
        <f>IF(H724&lt;Assumptions!$B$26,Assumptions!$B$26/V724,1)</f>
        <v/>
      </c>
    </row>
    <row r="725">
      <c r="A725" t="n">
        <v>17</v>
      </c>
      <c r="B725">
        <f>U724</f>
        <v/>
      </c>
      <c r="C725">
        <f>W724</f>
        <v/>
      </c>
      <c r="D725">
        <f>O724</f>
        <v/>
      </c>
      <c r="E725">
        <f>S724</f>
        <v/>
      </c>
      <c r="F725">
        <f>Assumptions!$B$16*B725</f>
        <v/>
      </c>
      <c r="G725">
        <f>Assumptions!$B$15*C725</f>
        <v/>
      </c>
      <c r="H725">
        <f>IF($B$701*($B$704/(($B$704*(1-$B$701)-$B$705)/((Assumptions!$B$9+Assumptions!$B$11+Assumptions!$B$12+Assumptions!$B$13+Assumptions!$B$14)+G725+F725+D725+E725)))&lt;Assumptions!$B$65,($B$704-$B$705)/(((Assumptions!$B$9+Assumptions!$B$11+Assumptions!$B$12+Assumptions!$B$13+Assumptions!$B$14)+G725+F725+D725+E725)+Assumptions!$B$65),($B$704*(1-$B$701)-$B$705)/((Assumptions!$B$9+Assumptions!$B$11+Assumptions!$B$12+Assumptions!$B$13+Assumptions!$B$14)+G725+F725+D725+E725))</f>
        <v/>
      </c>
      <c r="I725">
        <f>$B$704/H725</f>
        <v/>
      </c>
      <c r="J725">
        <f>$B$705/H725</f>
        <v/>
      </c>
      <c r="K725">
        <f>I725-J725</f>
        <v/>
      </c>
      <c r="L725">
        <f>Assumptions!$B$51/K725</f>
        <v/>
      </c>
      <c r="M725">
        <f>H725*(1-Assumptions!$B$52)</f>
        <v/>
      </c>
      <c r="N725">
        <f>MIN(L725,M725)</f>
        <v/>
      </c>
      <c r="O725">
        <f>Assumptions!$B$50/N725</f>
        <v/>
      </c>
      <c r="P725">
        <f>Assumptions!$B$54/K725</f>
        <v/>
      </c>
      <c r="Q725">
        <f>H725*(1-Assumptions!$B$55)</f>
        <v/>
      </c>
      <c r="R725">
        <f>MIN(P725,Q725)</f>
        <v/>
      </c>
      <c r="S725">
        <f>Assumptions!$B$53/R725</f>
        <v/>
      </c>
      <c r="T725">
        <f>Assumptions!$B$27*(Assumptions!$B$64+$B$705/Assumptions!$B$27)/(Assumptions!$B$64+J725)</f>
        <v/>
      </c>
      <c r="U725">
        <f>IF(H725&lt;Assumptions!$B$27,Assumptions!$B$27/T725,1)</f>
        <v/>
      </c>
      <c r="V725">
        <f>Assumptions!$B$26*(Assumptions!$B$64+$B$705/Assumptions!$B$26)/(Assumptions!$B$64+J725)</f>
        <v/>
      </c>
      <c r="W725">
        <f>IF(H725&lt;Assumptions!$B$26,Assumptions!$B$26/V725,1)</f>
        <v/>
      </c>
    </row>
    <row r="726">
      <c r="A726" t="n">
        <v>18</v>
      </c>
      <c r="B726">
        <f>U725</f>
        <v/>
      </c>
      <c r="C726">
        <f>W725</f>
        <v/>
      </c>
      <c r="D726">
        <f>O725</f>
        <v/>
      </c>
      <c r="E726">
        <f>S725</f>
        <v/>
      </c>
      <c r="F726">
        <f>Assumptions!$B$16*B726</f>
        <v/>
      </c>
      <c r="G726">
        <f>Assumptions!$B$15*C726</f>
        <v/>
      </c>
      <c r="H726">
        <f>IF($B$701*($B$704/(($B$704*(1-$B$701)-$B$705)/((Assumptions!$B$9+Assumptions!$B$11+Assumptions!$B$12+Assumptions!$B$13+Assumptions!$B$14)+G726+F726+D726+E726)))&lt;Assumptions!$B$65,($B$704-$B$705)/(((Assumptions!$B$9+Assumptions!$B$11+Assumptions!$B$12+Assumptions!$B$13+Assumptions!$B$14)+G726+F726+D726+E726)+Assumptions!$B$65),($B$704*(1-$B$701)-$B$705)/((Assumptions!$B$9+Assumptions!$B$11+Assumptions!$B$12+Assumptions!$B$13+Assumptions!$B$14)+G726+F726+D726+E726))</f>
        <v/>
      </c>
      <c r="I726">
        <f>$B$704/H726</f>
        <v/>
      </c>
      <c r="J726">
        <f>$B$705/H726</f>
        <v/>
      </c>
      <c r="K726">
        <f>I726-J726</f>
        <v/>
      </c>
      <c r="L726">
        <f>Assumptions!$B$51/K726</f>
        <v/>
      </c>
      <c r="M726">
        <f>H726*(1-Assumptions!$B$52)</f>
        <v/>
      </c>
      <c r="N726">
        <f>MIN(L726,M726)</f>
        <v/>
      </c>
      <c r="O726">
        <f>Assumptions!$B$50/N726</f>
        <v/>
      </c>
      <c r="P726">
        <f>Assumptions!$B$54/K726</f>
        <v/>
      </c>
      <c r="Q726">
        <f>H726*(1-Assumptions!$B$55)</f>
        <v/>
      </c>
      <c r="R726">
        <f>MIN(P726,Q726)</f>
        <v/>
      </c>
      <c r="S726">
        <f>Assumptions!$B$53/R726</f>
        <v/>
      </c>
      <c r="T726">
        <f>Assumptions!$B$27*(Assumptions!$B$64+$B$705/Assumptions!$B$27)/(Assumptions!$B$64+J726)</f>
        <v/>
      </c>
      <c r="U726">
        <f>IF(H726&lt;Assumptions!$B$27,Assumptions!$B$27/T726,1)</f>
        <v/>
      </c>
      <c r="V726">
        <f>Assumptions!$B$26*(Assumptions!$B$64+$B$705/Assumptions!$B$26)/(Assumptions!$B$64+J726)</f>
        <v/>
      </c>
      <c r="W726">
        <f>IF(H726&lt;Assumptions!$B$26,Assumptions!$B$26/V726,1)</f>
        <v/>
      </c>
    </row>
    <row r="727">
      <c r="A727" t="n">
        <v>19</v>
      </c>
      <c r="B727">
        <f>U726</f>
        <v/>
      </c>
      <c r="C727">
        <f>W726</f>
        <v/>
      </c>
      <c r="D727">
        <f>O726</f>
        <v/>
      </c>
      <c r="E727">
        <f>S726</f>
        <v/>
      </c>
      <c r="F727">
        <f>Assumptions!$B$16*B727</f>
        <v/>
      </c>
      <c r="G727">
        <f>Assumptions!$B$15*C727</f>
        <v/>
      </c>
      <c r="H727">
        <f>IF($B$701*($B$704/(($B$704*(1-$B$701)-$B$705)/((Assumptions!$B$9+Assumptions!$B$11+Assumptions!$B$12+Assumptions!$B$13+Assumptions!$B$14)+G727+F727+D727+E727)))&lt;Assumptions!$B$65,($B$704-$B$705)/(((Assumptions!$B$9+Assumptions!$B$11+Assumptions!$B$12+Assumptions!$B$13+Assumptions!$B$14)+G727+F727+D727+E727)+Assumptions!$B$65),($B$704*(1-$B$701)-$B$705)/((Assumptions!$B$9+Assumptions!$B$11+Assumptions!$B$12+Assumptions!$B$13+Assumptions!$B$14)+G727+F727+D727+E727))</f>
        <v/>
      </c>
      <c r="I727">
        <f>$B$704/H727</f>
        <v/>
      </c>
      <c r="J727">
        <f>$B$705/H727</f>
        <v/>
      </c>
      <c r="K727">
        <f>I727-J727</f>
        <v/>
      </c>
      <c r="L727">
        <f>Assumptions!$B$51/K727</f>
        <v/>
      </c>
      <c r="M727">
        <f>H727*(1-Assumptions!$B$52)</f>
        <v/>
      </c>
      <c r="N727">
        <f>MIN(L727,M727)</f>
        <v/>
      </c>
      <c r="O727">
        <f>Assumptions!$B$50/N727</f>
        <v/>
      </c>
      <c r="P727">
        <f>Assumptions!$B$54/K727</f>
        <v/>
      </c>
      <c r="Q727">
        <f>H727*(1-Assumptions!$B$55)</f>
        <v/>
      </c>
      <c r="R727">
        <f>MIN(P727,Q727)</f>
        <v/>
      </c>
      <c r="S727">
        <f>Assumptions!$B$53/R727</f>
        <v/>
      </c>
      <c r="T727">
        <f>Assumptions!$B$27*(Assumptions!$B$64+$B$705/Assumptions!$B$27)/(Assumptions!$B$64+J727)</f>
        <v/>
      </c>
      <c r="U727">
        <f>IF(H727&lt;Assumptions!$B$27,Assumptions!$B$27/T727,1)</f>
        <v/>
      </c>
      <c r="V727">
        <f>Assumptions!$B$26*(Assumptions!$B$64+$B$705/Assumptions!$B$26)/(Assumptions!$B$64+J727)</f>
        <v/>
      </c>
      <c r="W727">
        <f>IF(H727&lt;Assumptions!$B$26,Assumptions!$B$26/V727,1)</f>
        <v/>
      </c>
    </row>
    <row r="728">
      <c r="A728" t="n">
        <v>20</v>
      </c>
      <c r="B728">
        <f>U727</f>
        <v/>
      </c>
      <c r="C728">
        <f>W727</f>
        <v/>
      </c>
      <c r="D728">
        <f>O727</f>
        <v/>
      </c>
      <c r="E728">
        <f>S727</f>
        <v/>
      </c>
      <c r="F728">
        <f>Assumptions!$B$16*B728</f>
        <v/>
      </c>
      <c r="G728">
        <f>Assumptions!$B$15*C728</f>
        <v/>
      </c>
      <c r="H728">
        <f>IF($B$701*($B$704/(($B$704*(1-$B$701)-$B$705)/((Assumptions!$B$9+Assumptions!$B$11+Assumptions!$B$12+Assumptions!$B$13+Assumptions!$B$14)+G728+F728+D728+E728)))&lt;Assumptions!$B$65,($B$704-$B$705)/(((Assumptions!$B$9+Assumptions!$B$11+Assumptions!$B$12+Assumptions!$B$13+Assumptions!$B$14)+G728+F728+D728+E728)+Assumptions!$B$65),($B$704*(1-$B$701)-$B$705)/((Assumptions!$B$9+Assumptions!$B$11+Assumptions!$B$12+Assumptions!$B$13+Assumptions!$B$14)+G728+F728+D728+E728))</f>
        <v/>
      </c>
      <c r="I728">
        <f>$B$704/H728</f>
        <v/>
      </c>
      <c r="J728">
        <f>$B$705/H728</f>
        <v/>
      </c>
      <c r="K728">
        <f>I728-J728</f>
        <v/>
      </c>
      <c r="L728">
        <f>Assumptions!$B$51/K728</f>
        <v/>
      </c>
      <c r="M728">
        <f>H728*(1-Assumptions!$B$52)</f>
        <v/>
      </c>
      <c r="N728">
        <f>MIN(L728,M728)</f>
        <v/>
      </c>
      <c r="O728">
        <f>Assumptions!$B$50/N728</f>
        <v/>
      </c>
      <c r="P728">
        <f>Assumptions!$B$54/K728</f>
        <v/>
      </c>
      <c r="Q728">
        <f>H728*(1-Assumptions!$B$55)</f>
        <v/>
      </c>
      <c r="R728">
        <f>MIN(P728,Q728)</f>
        <v/>
      </c>
      <c r="S728">
        <f>Assumptions!$B$53/R728</f>
        <v/>
      </c>
      <c r="T728">
        <f>Assumptions!$B$27*(Assumptions!$B$64+$B$705/Assumptions!$B$27)/(Assumptions!$B$64+J728)</f>
        <v/>
      </c>
      <c r="U728">
        <f>IF(H728&lt;Assumptions!$B$27,Assumptions!$B$27/T728,1)</f>
        <v/>
      </c>
      <c r="V728">
        <f>Assumptions!$B$26*(Assumptions!$B$64+$B$705/Assumptions!$B$26)/(Assumptions!$B$64+J728)</f>
        <v/>
      </c>
      <c r="W728">
        <f>IF(H728&lt;Assumptions!$B$26,Assumptions!$B$26/V728,1)</f>
        <v/>
      </c>
    </row>
    <row r="729">
      <c r="A729" t="n">
        <v>21</v>
      </c>
      <c r="B729">
        <f>U728</f>
        <v/>
      </c>
      <c r="C729">
        <f>W728</f>
        <v/>
      </c>
      <c r="D729">
        <f>O728</f>
        <v/>
      </c>
      <c r="E729">
        <f>S728</f>
        <v/>
      </c>
      <c r="F729">
        <f>Assumptions!$B$16*B729</f>
        <v/>
      </c>
      <c r="G729">
        <f>Assumptions!$B$15*C729</f>
        <v/>
      </c>
      <c r="H729">
        <f>IF($B$701*($B$704/(($B$704*(1-$B$701)-$B$705)/((Assumptions!$B$9+Assumptions!$B$11+Assumptions!$B$12+Assumptions!$B$13+Assumptions!$B$14)+G729+F729+D729+E729)))&lt;Assumptions!$B$65,($B$704-$B$705)/(((Assumptions!$B$9+Assumptions!$B$11+Assumptions!$B$12+Assumptions!$B$13+Assumptions!$B$14)+G729+F729+D729+E729)+Assumptions!$B$65),($B$704*(1-$B$701)-$B$705)/((Assumptions!$B$9+Assumptions!$B$11+Assumptions!$B$12+Assumptions!$B$13+Assumptions!$B$14)+G729+F729+D729+E729))</f>
        <v/>
      </c>
      <c r="I729">
        <f>$B$704/H729</f>
        <v/>
      </c>
      <c r="J729">
        <f>$B$705/H729</f>
        <v/>
      </c>
      <c r="K729">
        <f>I729-J729</f>
        <v/>
      </c>
      <c r="L729">
        <f>Assumptions!$B$51/K729</f>
        <v/>
      </c>
      <c r="M729">
        <f>H729*(1-Assumptions!$B$52)</f>
        <v/>
      </c>
      <c r="N729">
        <f>MIN(L729,M729)</f>
        <v/>
      </c>
      <c r="O729">
        <f>Assumptions!$B$50/N729</f>
        <v/>
      </c>
      <c r="P729">
        <f>Assumptions!$B$54/K729</f>
        <v/>
      </c>
      <c r="Q729">
        <f>H729*(1-Assumptions!$B$55)</f>
        <v/>
      </c>
      <c r="R729">
        <f>MIN(P729,Q729)</f>
        <v/>
      </c>
      <c r="S729">
        <f>Assumptions!$B$53/R729</f>
        <v/>
      </c>
      <c r="T729">
        <f>Assumptions!$B$27*(Assumptions!$B$64+$B$705/Assumptions!$B$27)/(Assumptions!$B$64+J729)</f>
        <v/>
      </c>
      <c r="U729">
        <f>IF(H729&lt;Assumptions!$B$27,Assumptions!$B$27/T729,1)</f>
        <v/>
      </c>
      <c r="V729">
        <f>Assumptions!$B$26*(Assumptions!$B$64+$B$705/Assumptions!$B$26)/(Assumptions!$B$64+J729)</f>
        <v/>
      </c>
      <c r="W729">
        <f>IF(H729&lt;Assumptions!$B$26,Assumptions!$B$26/V729,1)</f>
        <v/>
      </c>
    </row>
    <row r="730">
      <c r="A730" t="n">
        <v>22</v>
      </c>
      <c r="B730">
        <f>U729</f>
        <v/>
      </c>
      <c r="C730">
        <f>W729</f>
        <v/>
      </c>
      <c r="D730">
        <f>O729</f>
        <v/>
      </c>
      <c r="E730">
        <f>S729</f>
        <v/>
      </c>
      <c r="F730">
        <f>Assumptions!$B$16*B730</f>
        <v/>
      </c>
      <c r="G730">
        <f>Assumptions!$B$15*C730</f>
        <v/>
      </c>
      <c r="H730">
        <f>IF($B$701*($B$704/(($B$704*(1-$B$701)-$B$705)/((Assumptions!$B$9+Assumptions!$B$11+Assumptions!$B$12+Assumptions!$B$13+Assumptions!$B$14)+G730+F730+D730+E730)))&lt;Assumptions!$B$65,($B$704-$B$705)/(((Assumptions!$B$9+Assumptions!$B$11+Assumptions!$B$12+Assumptions!$B$13+Assumptions!$B$14)+G730+F730+D730+E730)+Assumptions!$B$65),($B$704*(1-$B$701)-$B$705)/((Assumptions!$B$9+Assumptions!$B$11+Assumptions!$B$12+Assumptions!$B$13+Assumptions!$B$14)+G730+F730+D730+E730))</f>
        <v/>
      </c>
      <c r="I730">
        <f>$B$704/H730</f>
        <v/>
      </c>
      <c r="J730">
        <f>$B$705/H730</f>
        <v/>
      </c>
      <c r="K730">
        <f>I730-J730</f>
        <v/>
      </c>
      <c r="L730">
        <f>Assumptions!$B$51/K730</f>
        <v/>
      </c>
      <c r="M730">
        <f>H730*(1-Assumptions!$B$52)</f>
        <v/>
      </c>
      <c r="N730">
        <f>MIN(L730,M730)</f>
        <v/>
      </c>
      <c r="O730">
        <f>Assumptions!$B$50/N730</f>
        <v/>
      </c>
      <c r="P730">
        <f>Assumptions!$B$54/K730</f>
        <v/>
      </c>
      <c r="Q730">
        <f>H730*(1-Assumptions!$B$55)</f>
        <v/>
      </c>
      <c r="R730">
        <f>MIN(P730,Q730)</f>
        <v/>
      </c>
      <c r="S730">
        <f>Assumptions!$B$53/R730</f>
        <v/>
      </c>
      <c r="T730">
        <f>Assumptions!$B$27*(Assumptions!$B$64+$B$705/Assumptions!$B$27)/(Assumptions!$B$64+J730)</f>
        <v/>
      </c>
      <c r="U730">
        <f>IF(H730&lt;Assumptions!$B$27,Assumptions!$B$27/T730,1)</f>
        <v/>
      </c>
      <c r="V730">
        <f>Assumptions!$B$26*(Assumptions!$B$64+$B$705/Assumptions!$B$26)/(Assumptions!$B$64+J730)</f>
        <v/>
      </c>
      <c r="W730">
        <f>IF(H730&lt;Assumptions!$B$26,Assumptions!$B$26/V730,1)</f>
        <v/>
      </c>
    </row>
    <row r="731">
      <c r="A731" t="n">
        <v>23</v>
      </c>
      <c r="B731">
        <f>U730</f>
        <v/>
      </c>
      <c r="C731">
        <f>W730</f>
        <v/>
      </c>
      <c r="D731">
        <f>O730</f>
        <v/>
      </c>
      <c r="E731">
        <f>S730</f>
        <v/>
      </c>
      <c r="F731">
        <f>Assumptions!$B$16*B731</f>
        <v/>
      </c>
      <c r="G731">
        <f>Assumptions!$B$15*C731</f>
        <v/>
      </c>
      <c r="H731">
        <f>IF($B$701*($B$704/(($B$704*(1-$B$701)-$B$705)/((Assumptions!$B$9+Assumptions!$B$11+Assumptions!$B$12+Assumptions!$B$13+Assumptions!$B$14)+G731+F731+D731+E731)))&lt;Assumptions!$B$65,($B$704-$B$705)/(((Assumptions!$B$9+Assumptions!$B$11+Assumptions!$B$12+Assumptions!$B$13+Assumptions!$B$14)+G731+F731+D731+E731)+Assumptions!$B$65),($B$704*(1-$B$701)-$B$705)/((Assumptions!$B$9+Assumptions!$B$11+Assumptions!$B$12+Assumptions!$B$13+Assumptions!$B$14)+G731+F731+D731+E731))</f>
        <v/>
      </c>
      <c r="I731">
        <f>$B$704/H731</f>
        <v/>
      </c>
      <c r="J731">
        <f>$B$705/H731</f>
        <v/>
      </c>
      <c r="K731">
        <f>I731-J731</f>
        <v/>
      </c>
      <c r="L731">
        <f>Assumptions!$B$51/K731</f>
        <v/>
      </c>
      <c r="M731">
        <f>H731*(1-Assumptions!$B$52)</f>
        <v/>
      </c>
      <c r="N731">
        <f>MIN(L731,M731)</f>
        <v/>
      </c>
      <c r="O731">
        <f>Assumptions!$B$50/N731</f>
        <v/>
      </c>
      <c r="P731">
        <f>Assumptions!$B$54/K731</f>
        <v/>
      </c>
      <c r="Q731">
        <f>H731*(1-Assumptions!$B$55)</f>
        <v/>
      </c>
      <c r="R731">
        <f>MIN(P731,Q731)</f>
        <v/>
      </c>
      <c r="S731">
        <f>Assumptions!$B$53/R731</f>
        <v/>
      </c>
      <c r="T731">
        <f>Assumptions!$B$27*(Assumptions!$B$64+$B$705/Assumptions!$B$27)/(Assumptions!$B$64+J731)</f>
        <v/>
      </c>
      <c r="U731">
        <f>IF(H731&lt;Assumptions!$B$27,Assumptions!$B$27/T731,1)</f>
        <v/>
      </c>
      <c r="V731">
        <f>Assumptions!$B$26*(Assumptions!$B$64+$B$705/Assumptions!$B$26)/(Assumptions!$B$64+J731)</f>
        <v/>
      </c>
      <c r="W731">
        <f>IF(H731&lt;Assumptions!$B$26,Assumptions!$B$26/V731,1)</f>
        <v/>
      </c>
    </row>
    <row r="732">
      <c r="A732" t="n">
        <v>24</v>
      </c>
      <c r="B732">
        <f>U731</f>
        <v/>
      </c>
      <c r="C732">
        <f>W731</f>
        <v/>
      </c>
      <c r="D732">
        <f>O731</f>
        <v/>
      </c>
      <c r="E732">
        <f>S731</f>
        <v/>
      </c>
      <c r="F732">
        <f>Assumptions!$B$16*B732</f>
        <v/>
      </c>
      <c r="G732">
        <f>Assumptions!$B$15*C732</f>
        <v/>
      </c>
      <c r="H732">
        <f>IF($B$701*($B$704/(($B$704*(1-$B$701)-$B$705)/((Assumptions!$B$9+Assumptions!$B$11+Assumptions!$B$12+Assumptions!$B$13+Assumptions!$B$14)+G732+F732+D732+E732)))&lt;Assumptions!$B$65,($B$704-$B$705)/(((Assumptions!$B$9+Assumptions!$B$11+Assumptions!$B$12+Assumptions!$B$13+Assumptions!$B$14)+G732+F732+D732+E732)+Assumptions!$B$65),($B$704*(1-$B$701)-$B$705)/((Assumptions!$B$9+Assumptions!$B$11+Assumptions!$B$12+Assumptions!$B$13+Assumptions!$B$14)+G732+F732+D732+E732))</f>
        <v/>
      </c>
      <c r="I732">
        <f>$B$704/H732</f>
        <v/>
      </c>
      <c r="J732">
        <f>$B$705/H732</f>
        <v/>
      </c>
      <c r="K732">
        <f>I732-J732</f>
        <v/>
      </c>
      <c r="L732">
        <f>Assumptions!$B$51/K732</f>
        <v/>
      </c>
      <c r="M732">
        <f>H732*(1-Assumptions!$B$52)</f>
        <v/>
      </c>
      <c r="N732">
        <f>MIN(L732,M732)</f>
        <v/>
      </c>
      <c r="O732">
        <f>Assumptions!$B$50/N732</f>
        <v/>
      </c>
      <c r="P732">
        <f>Assumptions!$B$54/K732</f>
        <v/>
      </c>
      <c r="Q732">
        <f>H732*(1-Assumptions!$B$55)</f>
        <v/>
      </c>
      <c r="R732">
        <f>MIN(P732,Q732)</f>
        <v/>
      </c>
      <c r="S732">
        <f>Assumptions!$B$53/R732</f>
        <v/>
      </c>
      <c r="T732">
        <f>Assumptions!$B$27*(Assumptions!$B$64+$B$705/Assumptions!$B$27)/(Assumptions!$B$64+J732)</f>
        <v/>
      </c>
      <c r="U732">
        <f>IF(H732&lt;Assumptions!$B$27,Assumptions!$B$27/T732,1)</f>
        <v/>
      </c>
      <c r="V732">
        <f>Assumptions!$B$26*(Assumptions!$B$64+$B$705/Assumptions!$B$26)/(Assumptions!$B$64+J732)</f>
        <v/>
      </c>
      <c r="W732">
        <f>IF(H732&lt;Assumptions!$B$26,Assumptions!$B$26/V732,1)</f>
        <v/>
      </c>
    </row>
    <row r="733">
      <c r="A733" t="n">
        <v>25</v>
      </c>
      <c r="B733">
        <f>U732</f>
        <v/>
      </c>
      <c r="C733">
        <f>W732</f>
        <v/>
      </c>
      <c r="D733">
        <f>O732</f>
        <v/>
      </c>
      <c r="E733">
        <f>S732</f>
        <v/>
      </c>
      <c r="F733">
        <f>Assumptions!$B$16*B733</f>
        <v/>
      </c>
      <c r="G733">
        <f>Assumptions!$B$15*C733</f>
        <v/>
      </c>
      <c r="H733">
        <f>IF($B$701*($B$704/(($B$704*(1-$B$701)-$B$705)/((Assumptions!$B$9+Assumptions!$B$11+Assumptions!$B$12+Assumptions!$B$13+Assumptions!$B$14)+G733+F733+D733+E733)))&lt;Assumptions!$B$65,($B$704-$B$705)/(((Assumptions!$B$9+Assumptions!$B$11+Assumptions!$B$12+Assumptions!$B$13+Assumptions!$B$14)+G733+F733+D733+E733)+Assumptions!$B$65),($B$704*(1-$B$701)-$B$705)/((Assumptions!$B$9+Assumptions!$B$11+Assumptions!$B$12+Assumptions!$B$13+Assumptions!$B$14)+G733+F733+D733+E733))</f>
        <v/>
      </c>
      <c r="I733">
        <f>$B$704/H733</f>
        <v/>
      </c>
      <c r="J733">
        <f>$B$705/H733</f>
        <v/>
      </c>
      <c r="K733">
        <f>I733-J733</f>
        <v/>
      </c>
      <c r="L733">
        <f>Assumptions!$B$51/K733</f>
        <v/>
      </c>
      <c r="M733">
        <f>H733*(1-Assumptions!$B$52)</f>
        <v/>
      </c>
      <c r="N733">
        <f>MIN(L733,M733)</f>
        <v/>
      </c>
      <c r="O733">
        <f>Assumptions!$B$50/N733</f>
        <v/>
      </c>
      <c r="P733">
        <f>Assumptions!$B$54/K733</f>
        <v/>
      </c>
      <c r="Q733">
        <f>H733*(1-Assumptions!$B$55)</f>
        <v/>
      </c>
      <c r="R733">
        <f>MIN(P733,Q733)</f>
        <v/>
      </c>
      <c r="S733">
        <f>Assumptions!$B$53/R733</f>
        <v/>
      </c>
      <c r="T733">
        <f>Assumptions!$B$27*(Assumptions!$B$64+$B$705/Assumptions!$B$27)/(Assumptions!$B$64+J733)</f>
        <v/>
      </c>
      <c r="U733">
        <f>IF(H733&lt;Assumptions!$B$27,Assumptions!$B$27/T733,1)</f>
        <v/>
      </c>
      <c r="V733">
        <f>Assumptions!$B$26*(Assumptions!$B$64+$B$705/Assumptions!$B$26)/(Assumptions!$B$64+J733)</f>
        <v/>
      </c>
      <c r="W733">
        <f>IF(H733&lt;Assumptions!$B$26,Assumptions!$B$26/V733,1)</f>
        <v/>
      </c>
    </row>
    <row r="734">
      <c r="A734" t="n">
        <v>26</v>
      </c>
      <c r="B734">
        <f>U733</f>
        <v/>
      </c>
      <c r="C734">
        <f>W733</f>
        <v/>
      </c>
      <c r="D734">
        <f>O733</f>
        <v/>
      </c>
      <c r="E734">
        <f>S733</f>
        <v/>
      </c>
      <c r="F734">
        <f>Assumptions!$B$16*B734</f>
        <v/>
      </c>
      <c r="G734">
        <f>Assumptions!$B$15*C734</f>
        <v/>
      </c>
      <c r="H734">
        <f>IF($B$701*($B$704/(($B$704*(1-$B$701)-$B$705)/((Assumptions!$B$9+Assumptions!$B$11+Assumptions!$B$12+Assumptions!$B$13+Assumptions!$B$14)+G734+F734+D734+E734)))&lt;Assumptions!$B$65,($B$704-$B$705)/(((Assumptions!$B$9+Assumptions!$B$11+Assumptions!$B$12+Assumptions!$B$13+Assumptions!$B$14)+G734+F734+D734+E734)+Assumptions!$B$65),($B$704*(1-$B$701)-$B$705)/((Assumptions!$B$9+Assumptions!$B$11+Assumptions!$B$12+Assumptions!$B$13+Assumptions!$B$14)+G734+F734+D734+E734))</f>
        <v/>
      </c>
      <c r="I734">
        <f>$B$704/H734</f>
        <v/>
      </c>
      <c r="J734">
        <f>$B$705/H734</f>
        <v/>
      </c>
      <c r="K734">
        <f>I734-J734</f>
        <v/>
      </c>
      <c r="L734">
        <f>Assumptions!$B$51/K734</f>
        <v/>
      </c>
      <c r="M734">
        <f>H734*(1-Assumptions!$B$52)</f>
        <v/>
      </c>
      <c r="N734">
        <f>MIN(L734,M734)</f>
        <v/>
      </c>
      <c r="O734">
        <f>Assumptions!$B$50/N734</f>
        <v/>
      </c>
      <c r="P734">
        <f>Assumptions!$B$54/K734</f>
        <v/>
      </c>
      <c r="Q734">
        <f>H734*(1-Assumptions!$B$55)</f>
        <v/>
      </c>
      <c r="R734">
        <f>MIN(P734,Q734)</f>
        <v/>
      </c>
      <c r="S734">
        <f>Assumptions!$B$53/R734</f>
        <v/>
      </c>
      <c r="T734">
        <f>Assumptions!$B$27*(Assumptions!$B$64+$B$705/Assumptions!$B$27)/(Assumptions!$B$64+J734)</f>
        <v/>
      </c>
      <c r="U734">
        <f>IF(H734&lt;Assumptions!$B$27,Assumptions!$B$27/T734,1)</f>
        <v/>
      </c>
      <c r="V734">
        <f>Assumptions!$B$26*(Assumptions!$B$64+$B$705/Assumptions!$B$26)/(Assumptions!$B$64+J734)</f>
        <v/>
      </c>
      <c r="W734">
        <f>IF(H734&lt;Assumptions!$B$26,Assumptions!$B$26/V734,1)</f>
        <v/>
      </c>
    </row>
    <row r="735">
      <c r="A735" t="n">
        <v>27</v>
      </c>
      <c r="B735">
        <f>U734</f>
        <v/>
      </c>
      <c r="C735">
        <f>W734</f>
        <v/>
      </c>
      <c r="D735">
        <f>O734</f>
        <v/>
      </c>
      <c r="E735">
        <f>S734</f>
        <v/>
      </c>
      <c r="F735">
        <f>Assumptions!$B$16*B735</f>
        <v/>
      </c>
      <c r="G735">
        <f>Assumptions!$B$15*C735</f>
        <v/>
      </c>
      <c r="H735">
        <f>IF($B$701*($B$704/(($B$704*(1-$B$701)-$B$705)/((Assumptions!$B$9+Assumptions!$B$11+Assumptions!$B$12+Assumptions!$B$13+Assumptions!$B$14)+G735+F735+D735+E735)))&lt;Assumptions!$B$65,($B$704-$B$705)/(((Assumptions!$B$9+Assumptions!$B$11+Assumptions!$B$12+Assumptions!$B$13+Assumptions!$B$14)+G735+F735+D735+E735)+Assumptions!$B$65),($B$704*(1-$B$701)-$B$705)/((Assumptions!$B$9+Assumptions!$B$11+Assumptions!$B$12+Assumptions!$B$13+Assumptions!$B$14)+G735+F735+D735+E735))</f>
        <v/>
      </c>
      <c r="I735">
        <f>$B$704/H735</f>
        <v/>
      </c>
      <c r="J735">
        <f>$B$705/H735</f>
        <v/>
      </c>
      <c r="K735">
        <f>I735-J735</f>
        <v/>
      </c>
      <c r="L735">
        <f>Assumptions!$B$51/K735</f>
        <v/>
      </c>
      <c r="M735">
        <f>H735*(1-Assumptions!$B$52)</f>
        <v/>
      </c>
      <c r="N735">
        <f>MIN(L735,M735)</f>
        <v/>
      </c>
      <c r="O735">
        <f>Assumptions!$B$50/N735</f>
        <v/>
      </c>
      <c r="P735">
        <f>Assumptions!$B$54/K735</f>
        <v/>
      </c>
      <c r="Q735">
        <f>H735*(1-Assumptions!$B$55)</f>
        <v/>
      </c>
      <c r="R735">
        <f>MIN(P735,Q735)</f>
        <v/>
      </c>
      <c r="S735">
        <f>Assumptions!$B$53/R735</f>
        <v/>
      </c>
      <c r="T735">
        <f>Assumptions!$B$27*(Assumptions!$B$64+$B$705/Assumptions!$B$27)/(Assumptions!$B$64+J735)</f>
        <v/>
      </c>
      <c r="U735">
        <f>IF(H735&lt;Assumptions!$B$27,Assumptions!$B$27/T735,1)</f>
        <v/>
      </c>
      <c r="V735">
        <f>Assumptions!$B$26*(Assumptions!$B$64+$B$705/Assumptions!$B$26)/(Assumptions!$B$64+J735)</f>
        <v/>
      </c>
      <c r="W735">
        <f>IF(H735&lt;Assumptions!$B$26,Assumptions!$B$26/V735,1)</f>
        <v/>
      </c>
    </row>
    <row r="736">
      <c r="A736" t="n">
        <v>28</v>
      </c>
      <c r="B736">
        <f>U735</f>
        <v/>
      </c>
      <c r="C736">
        <f>W735</f>
        <v/>
      </c>
      <c r="D736">
        <f>O735</f>
        <v/>
      </c>
      <c r="E736">
        <f>S735</f>
        <v/>
      </c>
      <c r="F736">
        <f>Assumptions!$B$16*B736</f>
        <v/>
      </c>
      <c r="G736">
        <f>Assumptions!$B$15*C736</f>
        <v/>
      </c>
      <c r="H736">
        <f>IF($B$701*($B$704/(($B$704*(1-$B$701)-$B$705)/((Assumptions!$B$9+Assumptions!$B$11+Assumptions!$B$12+Assumptions!$B$13+Assumptions!$B$14)+G736+F736+D736+E736)))&lt;Assumptions!$B$65,($B$704-$B$705)/(((Assumptions!$B$9+Assumptions!$B$11+Assumptions!$B$12+Assumptions!$B$13+Assumptions!$B$14)+G736+F736+D736+E736)+Assumptions!$B$65),($B$704*(1-$B$701)-$B$705)/((Assumptions!$B$9+Assumptions!$B$11+Assumptions!$B$12+Assumptions!$B$13+Assumptions!$B$14)+G736+F736+D736+E736))</f>
        <v/>
      </c>
      <c r="I736">
        <f>$B$704/H736</f>
        <v/>
      </c>
      <c r="J736">
        <f>$B$705/H736</f>
        <v/>
      </c>
      <c r="K736">
        <f>I736-J736</f>
        <v/>
      </c>
      <c r="L736">
        <f>Assumptions!$B$51/K736</f>
        <v/>
      </c>
      <c r="M736">
        <f>H736*(1-Assumptions!$B$52)</f>
        <v/>
      </c>
      <c r="N736">
        <f>MIN(L736,M736)</f>
        <v/>
      </c>
      <c r="O736">
        <f>Assumptions!$B$50/N736</f>
        <v/>
      </c>
      <c r="P736">
        <f>Assumptions!$B$54/K736</f>
        <v/>
      </c>
      <c r="Q736">
        <f>H736*(1-Assumptions!$B$55)</f>
        <v/>
      </c>
      <c r="R736">
        <f>MIN(P736,Q736)</f>
        <v/>
      </c>
      <c r="S736">
        <f>Assumptions!$B$53/R736</f>
        <v/>
      </c>
      <c r="T736">
        <f>Assumptions!$B$27*(Assumptions!$B$64+$B$705/Assumptions!$B$27)/(Assumptions!$B$64+J736)</f>
        <v/>
      </c>
      <c r="U736">
        <f>IF(H736&lt;Assumptions!$B$27,Assumptions!$B$27/T736,1)</f>
        <v/>
      </c>
      <c r="V736">
        <f>Assumptions!$B$26*(Assumptions!$B$64+$B$705/Assumptions!$B$26)/(Assumptions!$B$64+J736)</f>
        <v/>
      </c>
      <c r="W736">
        <f>IF(H736&lt;Assumptions!$B$26,Assumptions!$B$26/V736,1)</f>
        <v/>
      </c>
    </row>
    <row r="737">
      <c r="A737" t="n">
        <v>29</v>
      </c>
      <c r="B737">
        <f>U736</f>
        <v/>
      </c>
      <c r="C737">
        <f>W736</f>
        <v/>
      </c>
      <c r="D737">
        <f>O736</f>
        <v/>
      </c>
      <c r="E737">
        <f>S736</f>
        <v/>
      </c>
      <c r="F737">
        <f>Assumptions!$B$16*B737</f>
        <v/>
      </c>
      <c r="G737">
        <f>Assumptions!$B$15*C737</f>
        <v/>
      </c>
      <c r="H737">
        <f>IF($B$701*($B$704/(($B$704*(1-$B$701)-$B$705)/((Assumptions!$B$9+Assumptions!$B$11+Assumptions!$B$12+Assumptions!$B$13+Assumptions!$B$14)+G737+F737+D737+E737)))&lt;Assumptions!$B$65,($B$704-$B$705)/(((Assumptions!$B$9+Assumptions!$B$11+Assumptions!$B$12+Assumptions!$B$13+Assumptions!$B$14)+G737+F737+D737+E737)+Assumptions!$B$65),($B$704*(1-$B$701)-$B$705)/((Assumptions!$B$9+Assumptions!$B$11+Assumptions!$B$12+Assumptions!$B$13+Assumptions!$B$14)+G737+F737+D737+E737))</f>
        <v/>
      </c>
      <c r="I737">
        <f>$B$704/H737</f>
        <v/>
      </c>
      <c r="J737">
        <f>$B$705/H737</f>
        <v/>
      </c>
      <c r="K737">
        <f>I737-J737</f>
        <v/>
      </c>
      <c r="L737">
        <f>Assumptions!$B$51/K737</f>
        <v/>
      </c>
      <c r="M737">
        <f>H737*(1-Assumptions!$B$52)</f>
        <v/>
      </c>
      <c r="N737">
        <f>MIN(L737,M737)</f>
        <v/>
      </c>
      <c r="O737">
        <f>Assumptions!$B$50/N737</f>
        <v/>
      </c>
      <c r="P737">
        <f>Assumptions!$B$54/K737</f>
        <v/>
      </c>
      <c r="Q737">
        <f>H737*(1-Assumptions!$B$55)</f>
        <v/>
      </c>
      <c r="R737">
        <f>MIN(P737,Q737)</f>
        <v/>
      </c>
      <c r="S737">
        <f>Assumptions!$B$53/R737</f>
        <v/>
      </c>
      <c r="T737">
        <f>Assumptions!$B$27*(Assumptions!$B$64+$B$705/Assumptions!$B$27)/(Assumptions!$B$64+J737)</f>
        <v/>
      </c>
      <c r="U737">
        <f>IF(H737&lt;Assumptions!$B$27,Assumptions!$B$27/T737,1)</f>
        <v/>
      </c>
      <c r="V737">
        <f>Assumptions!$B$26*(Assumptions!$B$64+$B$705/Assumptions!$B$26)/(Assumptions!$B$64+J737)</f>
        <v/>
      </c>
      <c r="W737">
        <f>IF(H737&lt;Assumptions!$B$26,Assumptions!$B$26/V737,1)</f>
        <v/>
      </c>
    </row>
    <row r="738">
      <c r="A738" t="n">
        <v>30</v>
      </c>
      <c r="B738">
        <f>U737</f>
        <v/>
      </c>
      <c r="C738">
        <f>W737</f>
        <v/>
      </c>
      <c r="D738">
        <f>O737</f>
        <v/>
      </c>
      <c r="E738">
        <f>S737</f>
        <v/>
      </c>
      <c r="F738">
        <f>Assumptions!$B$16*B738</f>
        <v/>
      </c>
      <c r="G738">
        <f>Assumptions!$B$15*C738</f>
        <v/>
      </c>
      <c r="H738">
        <f>IF($B$701*($B$704/(($B$704*(1-$B$701)-$B$705)/((Assumptions!$B$9+Assumptions!$B$11+Assumptions!$B$12+Assumptions!$B$13+Assumptions!$B$14)+G738+F738+D738+E738)))&lt;Assumptions!$B$65,($B$704-$B$705)/(((Assumptions!$B$9+Assumptions!$B$11+Assumptions!$B$12+Assumptions!$B$13+Assumptions!$B$14)+G738+F738+D738+E738)+Assumptions!$B$65),($B$704*(1-$B$701)-$B$705)/((Assumptions!$B$9+Assumptions!$B$11+Assumptions!$B$12+Assumptions!$B$13+Assumptions!$B$14)+G738+F738+D738+E738))</f>
        <v/>
      </c>
      <c r="I738">
        <f>$B$704/H738</f>
        <v/>
      </c>
      <c r="J738">
        <f>$B$705/H738</f>
        <v/>
      </c>
      <c r="K738">
        <f>I738-J738</f>
        <v/>
      </c>
      <c r="L738">
        <f>Assumptions!$B$51/K738</f>
        <v/>
      </c>
      <c r="M738">
        <f>H738*(1-Assumptions!$B$52)</f>
        <v/>
      </c>
      <c r="N738">
        <f>MIN(L738,M738)</f>
        <v/>
      </c>
      <c r="O738">
        <f>Assumptions!$B$50/N738</f>
        <v/>
      </c>
      <c r="P738">
        <f>Assumptions!$B$54/K738</f>
        <v/>
      </c>
      <c r="Q738">
        <f>H738*(1-Assumptions!$B$55)</f>
        <v/>
      </c>
      <c r="R738">
        <f>MIN(P738,Q738)</f>
        <v/>
      </c>
      <c r="S738">
        <f>Assumptions!$B$53/R738</f>
        <v/>
      </c>
      <c r="T738">
        <f>Assumptions!$B$27*(Assumptions!$B$64+$B$705/Assumptions!$B$27)/(Assumptions!$B$64+J738)</f>
        <v/>
      </c>
      <c r="U738">
        <f>IF(H738&lt;Assumptions!$B$27,Assumptions!$B$27/T738,1)</f>
        <v/>
      </c>
      <c r="V738">
        <f>Assumptions!$B$26*(Assumptions!$B$64+$B$705/Assumptions!$B$26)/(Assumptions!$B$64+J738)</f>
        <v/>
      </c>
      <c r="W738">
        <f>IF(H738&lt;Assumptions!$B$26,Assumptions!$B$26/V738,1)</f>
        <v/>
      </c>
    </row>
    <row r="739">
      <c r="A739" t="n">
        <v>31</v>
      </c>
      <c r="B739">
        <f>U738</f>
        <v/>
      </c>
      <c r="C739">
        <f>W738</f>
        <v/>
      </c>
      <c r="D739">
        <f>O738</f>
        <v/>
      </c>
      <c r="E739">
        <f>S738</f>
        <v/>
      </c>
      <c r="F739">
        <f>Assumptions!$B$16*B739</f>
        <v/>
      </c>
      <c r="G739">
        <f>Assumptions!$B$15*C739</f>
        <v/>
      </c>
      <c r="H739">
        <f>IF($B$701*($B$704/(($B$704*(1-$B$701)-$B$705)/((Assumptions!$B$9+Assumptions!$B$11+Assumptions!$B$12+Assumptions!$B$13+Assumptions!$B$14)+G739+F739+D739+E739)))&lt;Assumptions!$B$65,($B$704-$B$705)/(((Assumptions!$B$9+Assumptions!$B$11+Assumptions!$B$12+Assumptions!$B$13+Assumptions!$B$14)+G739+F739+D739+E739)+Assumptions!$B$65),($B$704*(1-$B$701)-$B$705)/((Assumptions!$B$9+Assumptions!$B$11+Assumptions!$B$12+Assumptions!$B$13+Assumptions!$B$14)+G739+F739+D739+E739))</f>
        <v/>
      </c>
      <c r="I739">
        <f>$B$704/H739</f>
        <v/>
      </c>
      <c r="J739">
        <f>$B$705/H739</f>
        <v/>
      </c>
      <c r="K739">
        <f>I739-J739</f>
        <v/>
      </c>
      <c r="L739">
        <f>Assumptions!$B$51/K739</f>
        <v/>
      </c>
      <c r="M739">
        <f>H739*(1-Assumptions!$B$52)</f>
        <v/>
      </c>
      <c r="N739">
        <f>MIN(L739,M739)</f>
        <v/>
      </c>
      <c r="O739">
        <f>Assumptions!$B$50/N739</f>
        <v/>
      </c>
      <c r="P739">
        <f>Assumptions!$B$54/K739</f>
        <v/>
      </c>
      <c r="Q739">
        <f>H739*(1-Assumptions!$B$55)</f>
        <v/>
      </c>
      <c r="R739">
        <f>MIN(P739,Q739)</f>
        <v/>
      </c>
      <c r="S739">
        <f>Assumptions!$B$53/R739</f>
        <v/>
      </c>
      <c r="T739">
        <f>Assumptions!$B$27*(Assumptions!$B$64+$B$705/Assumptions!$B$27)/(Assumptions!$B$64+J739)</f>
        <v/>
      </c>
      <c r="U739">
        <f>IF(H739&lt;Assumptions!$B$27,Assumptions!$B$27/T739,1)</f>
        <v/>
      </c>
      <c r="V739">
        <f>Assumptions!$B$26*(Assumptions!$B$64+$B$705/Assumptions!$B$26)/(Assumptions!$B$64+J739)</f>
        <v/>
      </c>
      <c r="W739">
        <f>IF(H739&lt;Assumptions!$B$26,Assumptions!$B$26/V739,1)</f>
        <v/>
      </c>
    </row>
    <row r="740">
      <c r="A740" t="n">
        <v>32</v>
      </c>
      <c r="B740">
        <f>U739</f>
        <v/>
      </c>
      <c r="C740">
        <f>W739</f>
        <v/>
      </c>
      <c r="D740">
        <f>O739</f>
        <v/>
      </c>
      <c r="E740">
        <f>S739</f>
        <v/>
      </c>
      <c r="F740">
        <f>Assumptions!$B$16*B740</f>
        <v/>
      </c>
      <c r="G740">
        <f>Assumptions!$B$15*C740</f>
        <v/>
      </c>
      <c r="H740">
        <f>IF($B$701*($B$704/(($B$704*(1-$B$701)-$B$705)/((Assumptions!$B$9+Assumptions!$B$11+Assumptions!$B$12+Assumptions!$B$13+Assumptions!$B$14)+G740+F740+D740+E740)))&lt;Assumptions!$B$65,($B$704-$B$705)/(((Assumptions!$B$9+Assumptions!$B$11+Assumptions!$B$12+Assumptions!$B$13+Assumptions!$B$14)+G740+F740+D740+E740)+Assumptions!$B$65),($B$704*(1-$B$701)-$B$705)/((Assumptions!$B$9+Assumptions!$B$11+Assumptions!$B$12+Assumptions!$B$13+Assumptions!$B$14)+G740+F740+D740+E740))</f>
        <v/>
      </c>
      <c r="I740">
        <f>$B$704/H740</f>
        <v/>
      </c>
      <c r="J740">
        <f>$B$705/H740</f>
        <v/>
      </c>
      <c r="K740">
        <f>I740-J740</f>
        <v/>
      </c>
      <c r="L740">
        <f>Assumptions!$B$51/K740</f>
        <v/>
      </c>
      <c r="M740">
        <f>H740*(1-Assumptions!$B$52)</f>
        <v/>
      </c>
      <c r="N740">
        <f>MIN(L740,M740)</f>
        <v/>
      </c>
      <c r="O740">
        <f>Assumptions!$B$50/N740</f>
        <v/>
      </c>
      <c r="P740">
        <f>Assumptions!$B$54/K740</f>
        <v/>
      </c>
      <c r="Q740">
        <f>H740*(1-Assumptions!$B$55)</f>
        <v/>
      </c>
      <c r="R740">
        <f>MIN(P740,Q740)</f>
        <v/>
      </c>
      <c r="S740">
        <f>Assumptions!$B$53/R740</f>
        <v/>
      </c>
      <c r="T740">
        <f>Assumptions!$B$27*(Assumptions!$B$64+$B$705/Assumptions!$B$27)/(Assumptions!$B$64+J740)</f>
        <v/>
      </c>
      <c r="U740">
        <f>IF(H740&lt;Assumptions!$B$27,Assumptions!$B$27/T740,1)</f>
        <v/>
      </c>
      <c r="V740">
        <f>Assumptions!$B$26*(Assumptions!$B$64+$B$705/Assumptions!$B$26)/(Assumptions!$B$64+J740)</f>
        <v/>
      </c>
      <c r="W740">
        <f>IF(H740&lt;Assumptions!$B$26,Assumptions!$B$26/V740,1)</f>
        <v/>
      </c>
    </row>
    <row r="741">
      <c r="A741" t="n">
        <v>33</v>
      </c>
      <c r="B741">
        <f>U740</f>
        <v/>
      </c>
      <c r="C741">
        <f>W740</f>
        <v/>
      </c>
      <c r="D741">
        <f>O740</f>
        <v/>
      </c>
      <c r="E741">
        <f>S740</f>
        <v/>
      </c>
      <c r="F741">
        <f>Assumptions!$B$16*B741</f>
        <v/>
      </c>
      <c r="G741">
        <f>Assumptions!$B$15*C741</f>
        <v/>
      </c>
      <c r="H741">
        <f>IF($B$701*($B$704/(($B$704*(1-$B$701)-$B$705)/((Assumptions!$B$9+Assumptions!$B$11+Assumptions!$B$12+Assumptions!$B$13+Assumptions!$B$14)+G741+F741+D741+E741)))&lt;Assumptions!$B$65,($B$704-$B$705)/(((Assumptions!$B$9+Assumptions!$B$11+Assumptions!$B$12+Assumptions!$B$13+Assumptions!$B$14)+G741+F741+D741+E741)+Assumptions!$B$65),($B$704*(1-$B$701)-$B$705)/((Assumptions!$B$9+Assumptions!$B$11+Assumptions!$B$12+Assumptions!$B$13+Assumptions!$B$14)+G741+F741+D741+E741))</f>
        <v/>
      </c>
      <c r="I741">
        <f>$B$704/H741</f>
        <v/>
      </c>
      <c r="J741">
        <f>$B$705/H741</f>
        <v/>
      </c>
      <c r="K741">
        <f>I741-J741</f>
        <v/>
      </c>
      <c r="L741">
        <f>Assumptions!$B$51/K741</f>
        <v/>
      </c>
      <c r="M741">
        <f>H741*(1-Assumptions!$B$52)</f>
        <v/>
      </c>
      <c r="N741">
        <f>MIN(L741,M741)</f>
        <v/>
      </c>
      <c r="O741">
        <f>Assumptions!$B$50/N741</f>
        <v/>
      </c>
      <c r="P741">
        <f>Assumptions!$B$54/K741</f>
        <v/>
      </c>
      <c r="Q741">
        <f>H741*(1-Assumptions!$B$55)</f>
        <v/>
      </c>
      <c r="R741">
        <f>MIN(P741,Q741)</f>
        <v/>
      </c>
      <c r="S741">
        <f>Assumptions!$B$53/R741</f>
        <v/>
      </c>
      <c r="T741">
        <f>Assumptions!$B$27*(Assumptions!$B$64+$B$705/Assumptions!$B$27)/(Assumptions!$B$64+J741)</f>
        <v/>
      </c>
      <c r="U741">
        <f>IF(H741&lt;Assumptions!$B$27,Assumptions!$B$27/T741,1)</f>
        <v/>
      </c>
      <c r="V741">
        <f>Assumptions!$B$26*(Assumptions!$B$64+$B$705/Assumptions!$B$26)/(Assumptions!$B$64+J741)</f>
        <v/>
      </c>
      <c r="W741">
        <f>IF(H741&lt;Assumptions!$B$26,Assumptions!$B$26/V741,1)</f>
        <v/>
      </c>
    </row>
    <row r="742">
      <c r="A742" t="n">
        <v>34</v>
      </c>
      <c r="B742">
        <f>U741</f>
        <v/>
      </c>
      <c r="C742">
        <f>W741</f>
        <v/>
      </c>
      <c r="D742">
        <f>O741</f>
        <v/>
      </c>
      <c r="E742">
        <f>S741</f>
        <v/>
      </c>
      <c r="F742">
        <f>Assumptions!$B$16*B742</f>
        <v/>
      </c>
      <c r="G742">
        <f>Assumptions!$B$15*C742</f>
        <v/>
      </c>
      <c r="H742">
        <f>IF($B$701*($B$704/(($B$704*(1-$B$701)-$B$705)/((Assumptions!$B$9+Assumptions!$B$11+Assumptions!$B$12+Assumptions!$B$13+Assumptions!$B$14)+G742+F742+D742+E742)))&lt;Assumptions!$B$65,($B$704-$B$705)/(((Assumptions!$B$9+Assumptions!$B$11+Assumptions!$B$12+Assumptions!$B$13+Assumptions!$B$14)+G742+F742+D742+E742)+Assumptions!$B$65),($B$704*(1-$B$701)-$B$705)/((Assumptions!$B$9+Assumptions!$B$11+Assumptions!$B$12+Assumptions!$B$13+Assumptions!$B$14)+G742+F742+D742+E742))</f>
        <v/>
      </c>
      <c r="I742">
        <f>$B$704/H742</f>
        <v/>
      </c>
      <c r="J742">
        <f>$B$705/H742</f>
        <v/>
      </c>
      <c r="K742">
        <f>I742-J742</f>
        <v/>
      </c>
      <c r="L742">
        <f>Assumptions!$B$51/K742</f>
        <v/>
      </c>
      <c r="M742">
        <f>H742*(1-Assumptions!$B$52)</f>
        <v/>
      </c>
      <c r="N742">
        <f>MIN(L742,M742)</f>
        <v/>
      </c>
      <c r="O742">
        <f>Assumptions!$B$50/N742</f>
        <v/>
      </c>
      <c r="P742">
        <f>Assumptions!$B$54/K742</f>
        <v/>
      </c>
      <c r="Q742">
        <f>H742*(1-Assumptions!$B$55)</f>
        <v/>
      </c>
      <c r="R742">
        <f>MIN(P742,Q742)</f>
        <v/>
      </c>
      <c r="S742">
        <f>Assumptions!$B$53/R742</f>
        <v/>
      </c>
      <c r="T742">
        <f>Assumptions!$B$27*(Assumptions!$B$64+$B$705/Assumptions!$B$27)/(Assumptions!$B$64+J742)</f>
        <v/>
      </c>
      <c r="U742">
        <f>IF(H742&lt;Assumptions!$B$27,Assumptions!$B$27/T742,1)</f>
        <v/>
      </c>
      <c r="V742">
        <f>Assumptions!$B$26*(Assumptions!$B$64+$B$705/Assumptions!$B$26)/(Assumptions!$B$64+J742)</f>
        <v/>
      </c>
      <c r="W742">
        <f>IF(H742&lt;Assumptions!$B$26,Assumptions!$B$26/V742,1)</f>
        <v/>
      </c>
    </row>
    <row r="743">
      <c r="A743" t="n">
        <v>35</v>
      </c>
      <c r="B743">
        <f>U742</f>
        <v/>
      </c>
      <c r="C743">
        <f>W742</f>
        <v/>
      </c>
      <c r="D743">
        <f>O742</f>
        <v/>
      </c>
      <c r="E743">
        <f>S742</f>
        <v/>
      </c>
      <c r="F743">
        <f>Assumptions!$B$16*B743</f>
        <v/>
      </c>
      <c r="G743">
        <f>Assumptions!$B$15*C743</f>
        <v/>
      </c>
      <c r="H743">
        <f>IF($B$701*($B$704/(($B$704*(1-$B$701)-$B$705)/((Assumptions!$B$9+Assumptions!$B$11+Assumptions!$B$12+Assumptions!$B$13+Assumptions!$B$14)+G743+F743+D743+E743)))&lt;Assumptions!$B$65,($B$704-$B$705)/(((Assumptions!$B$9+Assumptions!$B$11+Assumptions!$B$12+Assumptions!$B$13+Assumptions!$B$14)+G743+F743+D743+E743)+Assumptions!$B$65),($B$704*(1-$B$701)-$B$705)/((Assumptions!$B$9+Assumptions!$B$11+Assumptions!$B$12+Assumptions!$B$13+Assumptions!$B$14)+G743+F743+D743+E743))</f>
        <v/>
      </c>
      <c r="I743">
        <f>$B$704/H743</f>
        <v/>
      </c>
      <c r="J743">
        <f>$B$705/H743</f>
        <v/>
      </c>
      <c r="K743">
        <f>I743-J743</f>
        <v/>
      </c>
      <c r="L743">
        <f>Assumptions!$B$51/K743</f>
        <v/>
      </c>
      <c r="M743">
        <f>H743*(1-Assumptions!$B$52)</f>
        <v/>
      </c>
      <c r="N743">
        <f>MIN(L743,M743)</f>
        <v/>
      </c>
      <c r="O743">
        <f>Assumptions!$B$50/N743</f>
        <v/>
      </c>
      <c r="P743">
        <f>Assumptions!$B$54/K743</f>
        <v/>
      </c>
      <c r="Q743">
        <f>H743*(1-Assumptions!$B$55)</f>
        <v/>
      </c>
      <c r="R743">
        <f>MIN(P743,Q743)</f>
        <v/>
      </c>
      <c r="S743">
        <f>Assumptions!$B$53/R743</f>
        <v/>
      </c>
      <c r="T743">
        <f>Assumptions!$B$27*(Assumptions!$B$64+$B$705/Assumptions!$B$27)/(Assumptions!$B$64+J743)</f>
        <v/>
      </c>
      <c r="U743">
        <f>IF(H743&lt;Assumptions!$B$27,Assumptions!$B$27/T743,1)</f>
        <v/>
      </c>
      <c r="V743">
        <f>Assumptions!$B$26*(Assumptions!$B$64+$B$705/Assumptions!$B$26)/(Assumptions!$B$64+J743)</f>
        <v/>
      </c>
      <c r="W743">
        <f>IF(H743&lt;Assumptions!$B$26,Assumptions!$B$26/V743,1)</f>
        <v/>
      </c>
    </row>
    <row r="744">
      <c r="A744" t="n">
        <v>36</v>
      </c>
      <c r="B744">
        <f>U743</f>
        <v/>
      </c>
      <c r="C744">
        <f>W743</f>
        <v/>
      </c>
      <c r="D744">
        <f>O743</f>
        <v/>
      </c>
      <c r="E744">
        <f>S743</f>
        <v/>
      </c>
      <c r="F744">
        <f>Assumptions!$B$16*B744</f>
        <v/>
      </c>
      <c r="G744">
        <f>Assumptions!$B$15*C744</f>
        <v/>
      </c>
      <c r="H744">
        <f>IF($B$701*($B$704/(($B$704*(1-$B$701)-$B$705)/((Assumptions!$B$9+Assumptions!$B$11+Assumptions!$B$12+Assumptions!$B$13+Assumptions!$B$14)+G744+F744+D744+E744)))&lt;Assumptions!$B$65,($B$704-$B$705)/(((Assumptions!$B$9+Assumptions!$B$11+Assumptions!$B$12+Assumptions!$B$13+Assumptions!$B$14)+G744+F744+D744+E744)+Assumptions!$B$65),($B$704*(1-$B$701)-$B$705)/((Assumptions!$B$9+Assumptions!$B$11+Assumptions!$B$12+Assumptions!$B$13+Assumptions!$B$14)+G744+F744+D744+E744))</f>
        <v/>
      </c>
      <c r="I744">
        <f>$B$704/H744</f>
        <v/>
      </c>
      <c r="J744">
        <f>$B$705/H744</f>
        <v/>
      </c>
      <c r="K744">
        <f>I744-J744</f>
        <v/>
      </c>
      <c r="L744">
        <f>Assumptions!$B$51/K744</f>
        <v/>
      </c>
      <c r="M744">
        <f>H744*(1-Assumptions!$B$52)</f>
        <v/>
      </c>
      <c r="N744">
        <f>MIN(L744,M744)</f>
        <v/>
      </c>
      <c r="O744">
        <f>Assumptions!$B$50/N744</f>
        <v/>
      </c>
      <c r="P744">
        <f>Assumptions!$B$54/K744</f>
        <v/>
      </c>
      <c r="Q744">
        <f>H744*(1-Assumptions!$B$55)</f>
        <v/>
      </c>
      <c r="R744">
        <f>MIN(P744,Q744)</f>
        <v/>
      </c>
      <c r="S744">
        <f>Assumptions!$B$53/R744</f>
        <v/>
      </c>
      <c r="T744">
        <f>Assumptions!$B$27*(Assumptions!$B$64+$B$705/Assumptions!$B$27)/(Assumptions!$B$64+J744)</f>
        <v/>
      </c>
      <c r="U744">
        <f>IF(H744&lt;Assumptions!$B$27,Assumptions!$B$27/T744,1)</f>
        <v/>
      </c>
      <c r="V744">
        <f>Assumptions!$B$26*(Assumptions!$B$64+$B$705/Assumptions!$B$26)/(Assumptions!$B$64+J744)</f>
        <v/>
      </c>
      <c r="W744">
        <f>IF(H744&lt;Assumptions!$B$26,Assumptions!$B$26/V744,1)</f>
        <v/>
      </c>
    </row>
    <row r="745">
      <c r="A745" t="n">
        <v>37</v>
      </c>
      <c r="B745">
        <f>U744</f>
        <v/>
      </c>
      <c r="C745">
        <f>W744</f>
        <v/>
      </c>
      <c r="D745">
        <f>O744</f>
        <v/>
      </c>
      <c r="E745">
        <f>S744</f>
        <v/>
      </c>
      <c r="F745">
        <f>Assumptions!$B$16*B745</f>
        <v/>
      </c>
      <c r="G745">
        <f>Assumptions!$B$15*C745</f>
        <v/>
      </c>
      <c r="H745">
        <f>IF($B$701*($B$704/(($B$704*(1-$B$701)-$B$705)/((Assumptions!$B$9+Assumptions!$B$11+Assumptions!$B$12+Assumptions!$B$13+Assumptions!$B$14)+G745+F745+D745+E745)))&lt;Assumptions!$B$65,($B$704-$B$705)/(((Assumptions!$B$9+Assumptions!$B$11+Assumptions!$B$12+Assumptions!$B$13+Assumptions!$B$14)+G745+F745+D745+E745)+Assumptions!$B$65),($B$704*(1-$B$701)-$B$705)/((Assumptions!$B$9+Assumptions!$B$11+Assumptions!$B$12+Assumptions!$B$13+Assumptions!$B$14)+G745+F745+D745+E745))</f>
        <v/>
      </c>
      <c r="I745">
        <f>$B$704/H745</f>
        <v/>
      </c>
      <c r="J745">
        <f>$B$705/H745</f>
        <v/>
      </c>
      <c r="K745">
        <f>I745-J745</f>
        <v/>
      </c>
      <c r="L745">
        <f>Assumptions!$B$51/K745</f>
        <v/>
      </c>
      <c r="M745">
        <f>H745*(1-Assumptions!$B$52)</f>
        <v/>
      </c>
      <c r="N745">
        <f>MIN(L745,M745)</f>
        <v/>
      </c>
      <c r="O745">
        <f>Assumptions!$B$50/N745</f>
        <v/>
      </c>
      <c r="P745">
        <f>Assumptions!$B$54/K745</f>
        <v/>
      </c>
      <c r="Q745">
        <f>H745*(1-Assumptions!$B$55)</f>
        <v/>
      </c>
      <c r="R745">
        <f>MIN(P745,Q745)</f>
        <v/>
      </c>
      <c r="S745">
        <f>Assumptions!$B$53/R745</f>
        <v/>
      </c>
      <c r="T745">
        <f>Assumptions!$B$27*(Assumptions!$B$64+$B$705/Assumptions!$B$27)/(Assumptions!$B$64+J745)</f>
        <v/>
      </c>
      <c r="U745">
        <f>IF(H745&lt;Assumptions!$B$27,Assumptions!$B$27/T745,1)</f>
        <v/>
      </c>
      <c r="V745">
        <f>Assumptions!$B$26*(Assumptions!$B$64+$B$705/Assumptions!$B$26)/(Assumptions!$B$64+J745)</f>
        <v/>
      </c>
      <c r="W745">
        <f>IF(H745&lt;Assumptions!$B$26,Assumptions!$B$26/V745,1)</f>
        <v/>
      </c>
    </row>
    <row r="746">
      <c r="A746" t="n">
        <v>38</v>
      </c>
      <c r="B746">
        <f>U745</f>
        <v/>
      </c>
      <c r="C746">
        <f>W745</f>
        <v/>
      </c>
      <c r="D746">
        <f>O745</f>
        <v/>
      </c>
      <c r="E746">
        <f>S745</f>
        <v/>
      </c>
      <c r="F746">
        <f>Assumptions!$B$16*B746</f>
        <v/>
      </c>
      <c r="G746">
        <f>Assumptions!$B$15*C746</f>
        <v/>
      </c>
      <c r="H746">
        <f>IF($B$701*($B$704/(($B$704*(1-$B$701)-$B$705)/((Assumptions!$B$9+Assumptions!$B$11+Assumptions!$B$12+Assumptions!$B$13+Assumptions!$B$14)+G746+F746+D746+E746)))&lt;Assumptions!$B$65,($B$704-$B$705)/(((Assumptions!$B$9+Assumptions!$B$11+Assumptions!$B$12+Assumptions!$B$13+Assumptions!$B$14)+G746+F746+D746+E746)+Assumptions!$B$65),($B$704*(1-$B$701)-$B$705)/((Assumptions!$B$9+Assumptions!$B$11+Assumptions!$B$12+Assumptions!$B$13+Assumptions!$B$14)+G746+F746+D746+E746))</f>
        <v/>
      </c>
      <c r="I746">
        <f>$B$704/H746</f>
        <v/>
      </c>
      <c r="J746">
        <f>$B$705/H746</f>
        <v/>
      </c>
      <c r="K746">
        <f>I746-J746</f>
        <v/>
      </c>
      <c r="L746">
        <f>Assumptions!$B$51/K746</f>
        <v/>
      </c>
      <c r="M746">
        <f>H746*(1-Assumptions!$B$52)</f>
        <v/>
      </c>
      <c r="N746">
        <f>MIN(L746,M746)</f>
        <v/>
      </c>
      <c r="O746">
        <f>Assumptions!$B$50/N746</f>
        <v/>
      </c>
      <c r="P746">
        <f>Assumptions!$B$54/K746</f>
        <v/>
      </c>
      <c r="Q746">
        <f>H746*(1-Assumptions!$B$55)</f>
        <v/>
      </c>
      <c r="R746">
        <f>MIN(P746,Q746)</f>
        <v/>
      </c>
      <c r="S746">
        <f>Assumptions!$B$53/R746</f>
        <v/>
      </c>
      <c r="T746">
        <f>Assumptions!$B$27*(Assumptions!$B$64+$B$705/Assumptions!$B$27)/(Assumptions!$B$64+J746)</f>
        <v/>
      </c>
      <c r="U746">
        <f>IF(H746&lt;Assumptions!$B$27,Assumptions!$B$27/T746,1)</f>
        <v/>
      </c>
      <c r="V746">
        <f>Assumptions!$B$26*(Assumptions!$B$64+$B$705/Assumptions!$B$26)/(Assumptions!$B$64+J746)</f>
        <v/>
      </c>
      <c r="W746">
        <f>IF(H746&lt;Assumptions!$B$26,Assumptions!$B$26/V746,1)</f>
        <v/>
      </c>
    </row>
    <row r="747">
      <c r="A747" t="n">
        <v>39</v>
      </c>
      <c r="B747">
        <f>U746</f>
        <v/>
      </c>
      <c r="C747">
        <f>W746</f>
        <v/>
      </c>
      <c r="D747">
        <f>O746</f>
        <v/>
      </c>
      <c r="E747">
        <f>S746</f>
        <v/>
      </c>
      <c r="F747">
        <f>Assumptions!$B$16*B747</f>
        <v/>
      </c>
      <c r="G747">
        <f>Assumptions!$B$15*C747</f>
        <v/>
      </c>
      <c r="H747">
        <f>IF($B$701*($B$704/(($B$704*(1-$B$701)-$B$705)/((Assumptions!$B$9+Assumptions!$B$11+Assumptions!$B$12+Assumptions!$B$13+Assumptions!$B$14)+G747+F747+D747+E747)))&lt;Assumptions!$B$65,($B$704-$B$705)/(((Assumptions!$B$9+Assumptions!$B$11+Assumptions!$B$12+Assumptions!$B$13+Assumptions!$B$14)+G747+F747+D747+E747)+Assumptions!$B$65),($B$704*(1-$B$701)-$B$705)/((Assumptions!$B$9+Assumptions!$B$11+Assumptions!$B$12+Assumptions!$B$13+Assumptions!$B$14)+G747+F747+D747+E747))</f>
        <v/>
      </c>
      <c r="I747">
        <f>$B$704/H747</f>
        <v/>
      </c>
      <c r="J747">
        <f>$B$705/H747</f>
        <v/>
      </c>
      <c r="K747">
        <f>I747-J747</f>
        <v/>
      </c>
      <c r="L747">
        <f>Assumptions!$B$51/K747</f>
        <v/>
      </c>
      <c r="M747">
        <f>H747*(1-Assumptions!$B$52)</f>
        <v/>
      </c>
      <c r="N747">
        <f>MIN(L747,M747)</f>
        <v/>
      </c>
      <c r="O747">
        <f>Assumptions!$B$50/N747</f>
        <v/>
      </c>
      <c r="P747">
        <f>Assumptions!$B$54/K747</f>
        <v/>
      </c>
      <c r="Q747">
        <f>H747*(1-Assumptions!$B$55)</f>
        <v/>
      </c>
      <c r="R747">
        <f>MIN(P747,Q747)</f>
        <v/>
      </c>
      <c r="S747">
        <f>Assumptions!$B$53/R747</f>
        <v/>
      </c>
      <c r="T747">
        <f>Assumptions!$B$27*(Assumptions!$B$64+$B$705/Assumptions!$B$27)/(Assumptions!$B$64+J747)</f>
        <v/>
      </c>
      <c r="U747">
        <f>IF(H747&lt;Assumptions!$B$27,Assumptions!$B$27/T747,1)</f>
        <v/>
      </c>
      <c r="V747">
        <f>Assumptions!$B$26*(Assumptions!$B$64+$B$705/Assumptions!$B$26)/(Assumptions!$B$64+J747)</f>
        <v/>
      </c>
      <c r="W747">
        <f>IF(H747&lt;Assumptions!$B$26,Assumptions!$B$26/V747,1)</f>
        <v/>
      </c>
    </row>
    <row r="748">
      <c r="A748" t="n">
        <v>40</v>
      </c>
      <c r="B748">
        <f>U747</f>
        <v/>
      </c>
      <c r="C748">
        <f>W747</f>
        <v/>
      </c>
      <c r="D748">
        <f>O747</f>
        <v/>
      </c>
      <c r="E748">
        <f>S747</f>
        <v/>
      </c>
      <c r="F748">
        <f>Assumptions!$B$16*B748</f>
        <v/>
      </c>
      <c r="G748">
        <f>Assumptions!$B$15*C748</f>
        <v/>
      </c>
      <c r="H748">
        <f>IF($B$701*($B$704/(($B$704*(1-$B$701)-$B$705)/((Assumptions!$B$9+Assumptions!$B$11+Assumptions!$B$12+Assumptions!$B$13+Assumptions!$B$14)+G748+F748+D748+E748)))&lt;Assumptions!$B$65,($B$704-$B$705)/(((Assumptions!$B$9+Assumptions!$B$11+Assumptions!$B$12+Assumptions!$B$13+Assumptions!$B$14)+G748+F748+D748+E748)+Assumptions!$B$65),($B$704*(1-$B$701)-$B$705)/((Assumptions!$B$9+Assumptions!$B$11+Assumptions!$B$12+Assumptions!$B$13+Assumptions!$B$14)+G748+F748+D748+E748))</f>
        <v/>
      </c>
      <c r="I748">
        <f>$B$704/H748</f>
        <v/>
      </c>
      <c r="J748">
        <f>$B$705/H748</f>
        <v/>
      </c>
      <c r="K748">
        <f>I748-J748</f>
        <v/>
      </c>
      <c r="L748">
        <f>Assumptions!$B$51/K748</f>
        <v/>
      </c>
      <c r="M748">
        <f>H748*(1-Assumptions!$B$52)</f>
        <v/>
      </c>
      <c r="N748">
        <f>MIN(L748,M748)</f>
        <v/>
      </c>
      <c r="O748">
        <f>Assumptions!$B$50/N748</f>
        <v/>
      </c>
      <c r="P748">
        <f>Assumptions!$B$54/K748</f>
        <v/>
      </c>
      <c r="Q748">
        <f>H748*(1-Assumptions!$B$55)</f>
        <v/>
      </c>
      <c r="R748">
        <f>MIN(P748,Q748)</f>
        <v/>
      </c>
      <c r="S748">
        <f>Assumptions!$B$53/R748</f>
        <v/>
      </c>
      <c r="T748">
        <f>Assumptions!$B$27*(Assumptions!$B$64+$B$705/Assumptions!$B$27)/(Assumptions!$B$64+J748)</f>
        <v/>
      </c>
      <c r="U748">
        <f>IF(H748&lt;Assumptions!$B$27,Assumptions!$B$27/T748,1)</f>
        <v/>
      </c>
      <c r="V748">
        <f>Assumptions!$B$26*(Assumptions!$B$64+$B$705/Assumptions!$B$26)/(Assumptions!$B$64+J748)</f>
        <v/>
      </c>
      <c r="W748">
        <f>IF(H748&lt;Assumptions!$B$26,Assumptions!$B$26/V748,1)</f>
        <v/>
      </c>
    </row>
    <row r="749">
      <c r="A749" t="n">
        <v>41</v>
      </c>
      <c r="B749">
        <f>U748</f>
        <v/>
      </c>
      <c r="C749">
        <f>W748</f>
        <v/>
      </c>
      <c r="D749">
        <f>O748</f>
        <v/>
      </c>
      <c r="E749">
        <f>S748</f>
        <v/>
      </c>
      <c r="F749">
        <f>Assumptions!$B$16*B749</f>
        <v/>
      </c>
      <c r="G749">
        <f>Assumptions!$B$15*C749</f>
        <v/>
      </c>
      <c r="H749">
        <f>IF($B$701*($B$704/(($B$704*(1-$B$701)-$B$705)/((Assumptions!$B$9+Assumptions!$B$11+Assumptions!$B$12+Assumptions!$B$13+Assumptions!$B$14)+G749+F749+D749+E749)))&lt;Assumptions!$B$65,($B$704-$B$705)/(((Assumptions!$B$9+Assumptions!$B$11+Assumptions!$B$12+Assumptions!$B$13+Assumptions!$B$14)+G749+F749+D749+E749)+Assumptions!$B$65),($B$704*(1-$B$701)-$B$705)/((Assumptions!$B$9+Assumptions!$B$11+Assumptions!$B$12+Assumptions!$B$13+Assumptions!$B$14)+G749+F749+D749+E749))</f>
        <v/>
      </c>
      <c r="I749">
        <f>$B$704/H749</f>
        <v/>
      </c>
      <c r="J749">
        <f>$B$705/H749</f>
        <v/>
      </c>
      <c r="K749">
        <f>I749-J749</f>
        <v/>
      </c>
      <c r="L749">
        <f>Assumptions!$B$51/K749</f>
        <v/>
      </c>
      <c r="M749">
        <f>H749*(1-Assumptions!$B$52)</f>
        <v/>
      </c>
      <c r="N749">
        <f>MIN(L749,M749)</f>
        <v/>
      </c>
      <c r="O749">
        <f>Assumptions!$B$50/N749</f>
        <v/>
      </c>
      <c r="P749">
        <f>Assumptions!$B$54/K749</f>
        <v/>
      </c>
      <c r="Q749">
        <f>H749*(1-Assumptions!$B$55)</f>
        <v/>
      </c>
      <c r="R749">
        <f>MIN(P749,Q749)</f>
        <v/>
      </c>
      <c r="S749">
        <f>Assumptions!$B$53/R749</f>
        <v/>
      </c>
      <c r="T749">
        <f>Assumptions!$B$27*(Assumptions!$B$64+$B$705/Assumptions!$B$27)/(Assumptions!$B$64+J749)</f>
        <v/>
      </c>
      <c r="U749">
        <f>IF(H749&lt;Assumptions!$B$27,Assumptions!$B$27/T749,1)</f>
        <v/>
      </c>
      <c r="V749">
        <f>Assumptions!$B$26*(Assumptions!$B$64+$B$705/Assumptions!$B$26)/(Assumptions!$B$64+J749)</f>
        <v/>
      </c>
      <c r="W749">
        <f>IF(H749&lt;Assumptions!$B$26,Assumptions!$B$26/V749,1)</f>
        <v/>
      </c>
    </row>
    <row r="750">
      <c r="A750" t="n">
        <v>42</v>
      </c>
      <c r="B750">
        <f>U749</f>
        <v/>
      </c>
      <c r="C750">
        <f>W749</f>
        <v/>
      </c>
      <c r="D750">
        <f>O749</f>
        <v/>
      </c>
      <c r="E750">
        <f>S749</f>
        <v/>
      </c>
      <c r="F750">
        <f>Assumptions!$B$16*B750</f>
        <v/>
      </c>
      <c r="G750">
        <f>Assumptions!$B$15*C750</f>
        <v/>
      </c>
      <c r="H750">
        <f>IF($B$701*($B$704/(($B$704*(1-$B$701)-$B$705)/((Assumptions!$B$9+Assumptions!$B$11+Assumptions!$B$12+Assumptions!$B$13+Assumptions!$B$14)+G750+F750+D750+E750)))&lt;Assumptions!$B$65,($B$704-$B$705)/(((Assumptions!$B$9+Assumptions!$B$11+Assumptions!$B$12+Assumptions!$B$13+Assumptions!$B$14)+G750+F750+D750+E750)+Assumptions!$B$65),($B$704*(1-$B$701)-$B$705)/((Assumptions!$B$9+Assumptions!$B$11+Assumptions!$B$12+Assumptions!$B$13+Assumptions!$B$14)+G750+F750+D750+E750))</f>
        <v/>
      </c>
      <c r="I750">
        <f>$B$704/H750</f>
        <v/>
      </c>
      <c r="J750">
        <f>$B$705/H750</f>
        <v/>
      </c>
      <c r="K750">
        <f>I750-J750</f>
        <v/>
      </c>
      <c r="L750">
        <f>Assumptions!$B$51/K750</f>
        <v/>
      </c>
      <c r="M750">
        <f>H750*(1-Assumptions!$B$52)</f>
        <v/>
      </c>
      <c r="N750">
        <f>MIN(L750,M750)</f>
        <v/>
      </c>
      <c r="O750">
        <f>Assumptions!$B$50/N750</f>
        <v/>
      </c>
      <c r="P750">
        <f>Assumptions!$B$54/K750</f>
        <v/>
      </c>
      <c r="Q750">
        <f>H750*(1-Assumptions!$B$55)</f>
        <v/>
      </c>
      <c r="R750">
        <f>MIN(P750,Q750)</f>
        <v/>
      </c>
      <c r="S750">
        <f>Assumptions!$B$53/R750</f>
        <v/>
      </c>
      <c r="T750">
        <f>Assumptions!$B$27*(Assumptions!$B$64+$B$705/Assumptions!$B$27)/(Assumptions!$B$64+J750)</f>
        <v/>
      </c>
      <c r="U750">
        <f>IF(H750&lt;Assumptions!$B$27,Assumptions!$B$27/T750,1)</f>
        <v/>
      </c>
      <c r="V750">
        <f>Assumptions!$B$26*(Assumptions!$B$64+$B$705/Assumptions!$B$26)/(Assumptions!$B$64+J750)</f>
        <v/>
      </c>
      <c r="W750">
        <f>IF(H750&lt;Assumptions!$B$26,Assumptions!$B$26/V750,1)</f>
        <v/>
      </c>
    </row>
    <row r="751">
      <c r="A751" t="n">
        <v>43</v>
      </c>
      <c r="B751">
        <f>U750</f>
        <v/>
      </c>
      <c r="C751">
        <f>W750</f>
        <v/>
      </c>
      <c r="D751">
        <f>O750</f>
        <v/>
      </c>
      <c r="E751">
        <f>S750</f>
        <v/>
      </c>
      <c r="F751">
        <f>Assumptions!$B$16*B751</f>
        <v/>
      </c>
      <c r="G751">
        <f>Assumptions!$B$15*C751</f>
        <v/>
      </c>
      <c r="H751">
        <f>IF($B$701*($B$704/(($B$704*(1-$B$701)-$B$705)/((Assumptions!$B$9+Assumptions!$B$11+Assumptions!$B$12+Assumptions!$B$13+Assumptions!$B$14)+G751+F751+D751+E751)))&lt;Assumptions!$B$65,($B$704-$B$705)/(((Assumptions!$B$9+Assumptions!$B$11+Assumptions!$B$12+Assumptions!$B$13+Assumptions!$B$14)+G751+F751+D751+E751)+Assumptions!$B$65),($B$704*(1-$B$701)-$B$705)/((Assumptions!$B$9+Assumptions!$B$11+Assumptions!$B$12+Assumptions!$B$13+Assumptions!$B$14)+G751+F751+D751+E751))</f>
        <v/>
      </c>
      <c r="I751">
        <f>$B$704/H751</f>
        <v/>
      </c>
      <c r="J751">
        <f>$B$705/H751</f>
        <v/>
      </c>
      <c r="K751">
        <f>I751-J751</f>
        <v/>
      </c>
      <c r="L751">
        <f>Assumptions!$B$51/K751</f>
        <v/>
      </c>
      <c r="M751">
        <f>H751*(1-Assumptions!$B$52)</f>
        <v/>
      </c>
      <c r="N751">
        <f>MIN(L751,M751)</f>
        <v/>
      </c>
      <c r="O751">
        <f>Assumptions!$B$50/N751</f>
        <v/>
      </c>
      <c r="P751">
        <f>Assumptions!$B$54/K751</f>
        <v/>
      </c>
      <c r="Q751">
        <f>H751*(1-Assumptions!$B$55)</f>
        <v/>
      </c>
      <c r="R751">
        <f>MIN(P751,Q751)</f>
        <v/>
      </c>
      <c r="S751">
        <f>Assumptions!$B$53/R751</f>
        <v/>
      </c>
      <c r="T751">
        <f>Assumptions!$B$27*(Assumptions!$B$64+$B$705/Assumptions!$B$27)/(Assumptions!$B$64+J751)</f>
        <v/>
      </c>
      <c r="U751">
        <f>IF(H751&lt;Assumptions!$B$27,Assumptions!$B$27/T751,1)</f>
        <v/>
      </c>
      <c r="V751">
        <f>Assumptions!$B$26*(Assumptions!$B$64+$B$705/Assumptions!$B$26)/(Assumptions!$B$64+J751)</f>
        <v/>
      </c>
      <c r="W751">
        <f>IF(H751&lt;Assumptions!$B$26,Assumptions!$B$26/V751,1)</f>
        <v/>
      </c>
    </row>
    <row r="752">
      <c r="A752" t="n">
        <v>44</v>
      </c>
      <c r="B752">
        <f>U751</f>
        <v/>
      </c>
      <c r="C752">
        <f>W751</f>
        <v/>
      </c>
      <c r="D752">
        <f>O751</f>
        <v/>
      </c>
      <c r="E752">
        <f>S751</f>
        <v/>
      </c>
      <c r="F752">
        <f>Assumptions!$B$16*B752</f>
        <v/>
      </c>
      <c r="G752">
        <f>Assumptions!$B$15*C752</f>
        <v/>
      </c>
      <c r="H752">
        <f>IF($B$701*($B$704/(($B$704*(1-$B$701)-$B$705)/((Assumptions!$B$9+Assumptions!$B$11+Assumptions!$B$12+Assumptions!$B$13+Assumptions!$B$14)+G752+F752+D752+E752)))&lt;Assumptions!$B$65,($B$704-$B$705)/(((Assumptions!$B$9+Assumptions!$B$11+Assumptions!$B$12+Assumptions!$B$13+Assumptions!$B$14)+G752+F752+D752+E752)+Assumptions!$B$65),($B$704*(1-$B$701)-$B$705)/((Assumptions!$B$9+Assumptions!$B$11+Assumptions!$B$12+Assumptions!$B$13+Assumptions!$B$14)+G752+F752+D752+E752))</f>
        <v/>
      </c>
      <c r="I752">
        <f>$B$704/H752</f>
        <v/>
      </c>
      <c r="J752">
        <f>$B$705/H752</f>
        <v/>
      </c>
      <c r="K752">
        <f>I752-J752</f>
        <v/>
      </c>
      <c r="L752">
        <f>Assumptions!$B$51/K752</f>
        <v/>
      </c>
      <c r="M752">
        <f>H752*(1-Assumptions!$B$52)</f>
        <v/>
      </c>
      <c r="N752">
        <f>MIN(L752,M752)</f>
        <v/>
      </c>
      <c r="O752">
        <f>Assumptions!$B$50/N752</f>
        <v/>
      </c>
      <c r="P752">
        <f>Assumptions!$B$54/K752</f>
        <v/>
      </c>
      <c r="Q752">
        <f>H752*(1-Assumptions!$B$55)</f>
        <v/>
      </c>
      <c r="R752">
        <f>MIN(P752,Q752)</f>
        <v/>
      </c>
      <c r="S752">
        <f>Assumptions!$B$53/R752</f>
        <v/>
      </c>
      <c r="T752">
        <f>Assumptions!$B$27*(Assumptions!$B$64+$B$705/Assumptions!$B$27)/(Assumptions!$B$64+J752)</f>
        <v/>
      </c>
      <c r="U752">
        <f>IF(H752&lt;Assumptions!$B$27,Assumptions!$B$27/T752,1)</f>
        <v/>
      </c>
      <c r="V752">
        <f>Assumptions!$B$26*(Assumptions!$B$64+$B$705/Assumptions!$B$26)/(Assumptions!$B$64+J752)</f>
        <v/>
      </c>
      <c r="W752">
        <f>IF(H752&lt;Assumptions!$B$26,Assumptions!$B$26/V752,1)</f>
        <v/>
      </c>
    </row>
    <row r="753">
      <c r="A753" t="n">
        <v>45</v>
      </c>
      <c r="B753">
        <f>U752</f>
        <v/>
      </c>
      <c r="C753">
        <f>W752</f>
        <v/>
      </c>
      <c r="D753">
        <f>O752</f>
        <v/>
      </c>
      <c r="E753">
        <f>S752</f>
        <v/>
      </c>
      <c r="F753">
        <f>Assumptions!$B$16*B753</f>
        <v/>
      </c>
      <c r="G753">
        <f>Assumptions!$B$15*C753</f>
        <v/>
      </c>
      <c r="H753">
        <f>IF($B$701*($B$704/(($B$704*(1-$B$701)-$B$705)/((Assumptions!$B$9+Assumptions!$B$11+Assumptions!$B$12+Assumptions!$B$13+Assumptions!$B$14)+G753+F753+D753+E753)))&lt;Assumptions!$B$65,($B$704-$B$705)/(((Assumptions!$B$9+Assumptions!$B$11+Assumptions!$B$12+Assumptions!$B$13+Assumptions!$B$14)+G753+F753+D753+E753)+Assumptions!$B$65),($B$704*(1-$B$701)-$B$705)/((Assumptions!$B$9+Assumptions!$B$11+Assumptions!$B$12+Assumptions!$B$13+Assumptions!$B$14)+G753+F753+D753+E753))</f>
        <v/>
      </c>
      <c r="I753">
        <f>$B$704/H753</f>
        <v/>
      </c>
      <c r="J753">
        <f>$B$705/H753</f>
        <v/>
      </c>
      <c r="K753">
        <f>I753-J753</f>
        <v/>
      </c>
      <c r="L753">
        <f>Assumptions!$B$51/K753</f>
        <v/>
      </c>
      <c r="M753">
        <f>H753*(1-Assumptions!$B$52)</f>
        <v/>
      </c>
      <c r="N753">
        <f>MIN(L753,M753)</f>
        <v/>
      </c>
      <c r="O753">
        <f>Assumptions!$B$50/N753</f>
        <v/>
      </c>
      <c r="P753">
        <f>Assumptions!$B$54/K753</f>
        <v/>
      </c>
      <c r="Q753">
        <f>H753*(1-Assumptions!$B$55)</f>
        <v/>
      </c>
      <c r="R753">
        <f>MIN(P753,Q753)</f>
        <v/>
      </c>
      <c r="S753">
        <f>Assumptions!$B$53/R753</f>
        <v/>
      </c>
      <c r="T753">
        <f>Assumptions!$B$27*(Assumptions!$B$64+$B$705/Assumptions!$B$27)/(Assumptions!$B$64+J753)</f>
        <v/>
      </c>
      <c r="U753">
        <f>IF(H753&lt;Assumptions!$B$27,Assumptions!$B$27/T753,1)</f>
        <v/>
      </c>
      <c r="V753">
        <f>Assumptions!$B$26*(Assumptions!$B$64+$B$705/Assumptions!$B$26)/(Assumptions!$B$64+J753)</f>
        <v/>
      </c>
      <c r="W753">
        <f>IF(H753&lt;Assumptions!$B$26,Assumptions!$B$26/V753,1)</f>
        <v/>
      </c>
    </row>
    <row r="754">
      <c r="A754" t="n">
        <v>46</v>
      </c>
      <c r="B754">
        <f>U753</f>
        <v/>
      </c>
      <c r="C754">
        <f>W753</f>
        <v/>
      </c>
      <c r="D754">
        <f>O753</f>
        <v/>
      </c>
      <c r="E754">
        <f>S753</f>
        <v/>
      </c>
      <c r="F754">
        <f>Assumptions!$B$16*B754</f>
        <v/>
      </c>
      <c r="G754">
        <f>Assumptions!$B$15*C754</f>
        <v/>
      </c>
      <c r="H754">
        <f>IF($B$701*($B$704/(($B$704*(1-$B$701)-$B$705)/((Assumptions!$B$9+Assumptions!$B$11+Assumptions!$B$12+Assumptions!$B$13+Assumptions!$B$14)+G754+F754+D754+E754)))&lt;Assumptions!$B$65,($B$704-$B$705)/(((Assumptions!$B$9+Assumptions!$B$11+Assumptions!$B$12+Assumptions!$B$13+Assumptions!$B$14)+G754+F754+D754+E754)+Assumptions!$B$65),($B$704*(1-$B$701)-$B$705)/((Assumptions!$B$9+Assumptions!$B$11+Assumptions!$B$12+Assumptions!$B$13+Assumptions!$B$14)+G754+F754+D754+E754))</f>
        <v/>
      </c>
      <c r="I754">
        <f>$B$704/H754</f>
        <v/>
      </c>
      <c r="J754">
        <f>$B$705/H754</f>
        <v/>
      </c>
      <c r="K754">
        <f>I754-J754</f>
        <v/>
      </c>
      <c r="L754">
        <f>Assumptions!$B$51/K754</f>
        <v/>
      </c>
      <c r="M754">
        <f>H754*(1-Assumptions!$B$52)</f>
        <v/>
      </c>
      <c r="N754">
        <f>MIN(L754,M754)</f>
        <v/>
      </c>
      <c r="O754">
        <f>Assumptions!$B$50/N754</f>
        <v/>
      </c>
      <c r="P754">
        <f>Assumptions!$B$54/K754</f>
        <v/>
      </c>
      <c r="Q754">
        <f>H754*(1-Assumptions!$B$55)</f>
        <v/>
      </c>
      <c r="R754">
        <f>MIN(P754,Q754)</f>
        <v/>
      </c>
      <c r="S754">
        <f>Assumptions!$B$53/R754</f>
        <v/>
      </c>
      <c r="T754">
        <f>Assumptions!$B$27*(Assumptions!$B$64+$B$705/Assumptions!$B$27)/(Assumptions!$B$64+J754)</f>
        <v/>
      </c>
      <c r="U754">
        <f>IF(H754&lt;Assumptions!$B$27,Assumptions!$B$27/T754,1)</f>
        <v/>
      </c>
      <c r="V754">
        <f>Assumptions!$B$26*(Assumptions!$B$64+$B$705/Assumptions!$B$26)/(Assumptions!$B$64+J754)</f>
        <v/>
      </c>
      <c r="W754">
        <f>IF(H754&lt;Assumptions!$B$26,Assumptions!$B$26/V754,1)</f>
        <v/>
      </c>
    </row>
    <row r="755">
      <c r="A755" t="n">
        <v>47</v>
      </c>
      <c r="B755">
        <f>U754</f>
        <v/>
      </c>
      <c r="C755">
        <f>W754</f>
        <v/>
      </c>
      <c r="D755">
        <f>O754</f>
        <v/>
      </c>
      <c r="E755">
        <f>S754</f>
        <v/>
      </c>
      <c r="F755">
        <f>Assumptions!$B$16*B755</f>
        <v/>
      </c>
      <c r="G755">
        <f>Assumptions!$B$15*C755</f>
        <v/>
      </c>
      <c r="H755">
        <f>IF($B$701*($B$704/(($B$704*(1-$B$701)-$B$705)/((Assumptions!$B$9+Assumptions!$B$11+Assumptions!$B$12+Assumptions!$B$13+Assumptions!$B$14)+G755+F755+D755+E755)))&lt;Assumptions!$B$65,($B$704-$B$705)/(((Assumptions!$B$9+Assumptions!$B$11+Assumptions!$B$12+Assumptions!$B$13+Assumptions!$B$14)+G755+F755+D755+E755)+Assumptions!$B$65),($B$704*(1-$B$701)-$B$705)/((Assumptions!$B$9+Assumptions!$B$11+Assumptions!$B$12+Assumptions!$B$13+Assumptions!$B$14)+G755+F755+D755+E755))</f>
        <v/>
      </c>
      <c r="I755">
        <f>$B$704/H755</f>
        <v/>
      </c>
      <c r="J755">
        <f>$B$705/H755</f>
        <v/>
      </c>
      <c r="K755">
        <f>I755-J755</f>
        <v/>
      </c>
      <c r="L755">
        <f>Assumptions!$B$51/K755</f>
        <v/>
      </c>
      <c r="M755">
        <f>H755*(1-Assumptions!$B$52)</f>
        <v/>
      </c>
      <c r="N755">
        <f>MIN(L755,M755)</f>
        <v/>
      </c>
      <c r="O755">
        <f>Assumptions!$B$50/N755</f>
        <v/>
      </c>
      <c r="P755">
        <f>Assumptions!$B$54/K755</f>
        <v/>
      </c>
      <c r="Q755">
        <f>H755*(1-Assumptions!$B$55)</f>
        <v/>
      </c>
      <c r="R755">
        <f>MIN(P755,Q755)</f>
        <v/>
      </c>
      <c r="S755">
        <f>Assumptions!$B$53/R755</f>
        <v/>
      </c>
      <c r="T755">
        <f>Assumptions!$B$27*(Assumptions!$B$64+$B$705/Assumptions!$B$27)/(Assumptions!$B$64+J755)</f>
        <v/>
      </c>
      <c r="U755">
        <f>IF(H755&lt;Assumptions!$B$27,Assumptions!$B$27/T755,1)</f>
        <v/>
      </c>
      <c r="V755">
        <f>Assumptions!$B$26*(Assumptions!$B$64+$B$705/Assumptions!$B$26)/(Assumptions!$B$64+J755)</f>
        <v/>
      </c>
      <c r="W755">
        <f>IF(H755&lt;Assumptions!$B$26,Assumptions!$B$26/V755,1)</f>
        <v/>
      </c>
    </row>
    <row r="756">
      <c r="A756" t="n">
        <v>48</v>
      </c>
      <c r="B756">
        <f>U755</f>
        <v/>
      </c>
      <c r="C756">
        <f>W755</f>
        <v/>
      </c>
      <c r="D756">
        <f>O755</f>
        <v/>
      </c>
      <c r="E756">
        <f>S755</f>
        <v/>
      </c>
      <c r="F756">
        <f>Assumptions!$B$16*B756</f>
        <v/>
      </c>
      <c r="G756">
        <f>Assumptions!$B$15*C756</f>
        <v/>
      </c>
      <c r="H756">
        <f>IF($B$701*($B$704/(($B$704*(1-$B$701)-$B$705)/((Assumptions!$B$9+Assumptions!$B$11+Assumptions!$B$12+Assumptions!$B$13+Assumptions!$B$14)+G756+F756+D756+E756)))&lt;Assumptions!$B$65,($B$704-$B$705)/(((Assumptions!$B$9+Assumptions!$B$11+Assumptions!$B$12+Assumptions!$B$13+Assumptions!$B$14)+G756+F756+D756+E756)+Assumptions!$B$65),($B$704*(1-$B$701)-$B$705)/((Assumptions!$B$9+Assumptions!$B$11+Assumptions!$B$12+Assumptions!$B$13+Assumptions!$B$14)+G756+F756+D756+E756))</f>
        <v/>
      </c>
      <c r="I756">
        <f>$B$704/H756</f>
        <v/>
      </c>
      <c r="J756">
        <f>$B$705/H756</f>
        <v/>
      </c>
      <c r="K756">
        <f>I756-J756</f>
        <v/>
      </c>
      <c r="L756">
        <f>Assumptions!$B$51/K756</f>
        <v/>
      </c>
      <c r="M756">
        <f>H756*(1-Assumptions!$B$52)</f>
        <v/>
      </c>
      <c r="N756">
        <f>MIN(L756,M756)</f>
        <v/>
      </c>
      <c r="O756">
        <f>Assumptions!$B$50/N756</f>
        <v/>
      </c>
      <c r="P756">
        <f>Assumptions!$B$54/K756</f>
        <v/>
      </c>
      <c r="Q756">
        <f>H756*(1-Assumptions!$B$55)</f>
        <v/>
      </c>
      <c r="R756">
        <f>MIN(P756,Q756)</f>
        <v/>
      </c>
      <c r="S756">
        <f>Assumptions!$B$53/R756</f>
        <v/>
      </c>
      <c r="T756">
        <f>Assumptions!$B$27*(Assumptions!$B$64+$B$705/Assumptions!$B$27)/(Assumptions!$B$64+J756)</f>
        <v/>
      </c>
      <c r="U756">
        <f>IF(H756&lt;Assumptions!$B$27,Assumptions!$B$27/T756,1)</f>
        <v/>
      </c>
      <c r="V756">
        <f>Assumptions!$B$26*(Assumptions!$B$64+$B$705/Assumptions!$B$26)/(Assumptions!$B$64+J756)</f>
        <v/>
      </c>
      <c r="W756">
        <f>IF(H756&lt;Assumptions!$B$26,Assumptions!$B$26/V756,1)</f>
        <v/>
      </c>
    </row>
    <row r="757">
      <c r="A757" t="n">
        <v>49</v>
      </c>
      <c r="B757">
        <f>U756</f>
        <v/>
      </c>
      <c r="C757">
        <f>W756</f>
        <v/>
      </c>
      <c r="D757">
        <f>O756</f>
        <v/>
      </c>
      <c r="E757">
        <f>S756</f>
        <v/>
      </c>
      <c r="F757">
        <f>Assumptions!$B$16*B757</f>
        <v/>
      </c>
      <c r="G757">
        <f>Assumptions!$B$15*C757</f>
        <v/>
      </c>
      <c r="H757">
        <f>IF($B$701*($B$704/(($B$704*(1-$B$701)-$B$705)/((Assumptions!$B$9+Assumptions!$B$11+Assumptions!$B$12+Assumptions!$B$13+Assumptions!$B$14)+G757+F757+D757+E757)))&lt;Assumptions!$B$65,($B$704-$B$705)/(((Assumptions!$B$9+Assumptions!$B$11+Assumptions!$B$12+Assumptions!$B$13+Assumptions!$B$14)+G757+F757+D757+E757)+Assumptions!$B$65),($B$704*(1-$B$701)-$B$705)/((Assumptions!$B$9+Assumptions!$B$11+Assumptions!$B$12+Assumptions!$B$13+Assumptions!$B$14)+G757+F757+D757+E757))</f>
        <v/>
      </c>
      <c r="I757">
        <f>$B$704/H757</f>
        <v/>
      </c>
      <c r="J757">
        <f>$B$705/H757</f>
        <v/>
      </c>
      <c r="K757">
        <f>I757-J757</f>
        <v/>
      </c>
      <c r="L757">
        <f>Assumptions!$B$51/K757</f>
        <v/>
      </c>
      <c r="M757">
        <f>H757*(1-Assumptions!$B$52)</f>
        <v/>
      </c>
      <c r="N757">
        <f>MIN(L757,M757)</f>
        <v/>
      </c>
      <c r="O757">
        <f>Assumptions!$B$50/N757</f>
        <v/>
      </c>
      <c r="P757">
        <f>Assumptions!$B$54/K757</f>
        <v/>
      </c>
      <c r="Q757">
        <f>H757*(1-Assumptions!$B$55)</f>
        <v/>
      </c>
      <c r="R757">
        <f>MIN(P757,Q757)</f>
        <v/>
      </c>
      <c r="S757">
        <f>Assumptions!$B$53/R757</f>
        <v/>
      </c>
      <c r="T757">
        <f>Assumptions!$B$27*(Assumptions!$B$64+$B$705/Assumptions!$B$27)/(Assumptions!$B$64+J757)</f>
        <v/>
      </c>
      <c r="U757">
        <f>IF(H757&lt;Assumptions!$B$27,Assumptions!$B$27/T757,1)</f>
        <v/>
      </c>
      <c r="V757">
        <f>Assumptions!$B$26*(Assumptions!$B$64+$B$705/Assumptions!$B$26)/(Assumptions!$B$64+J757)</f>
        <v/>
      </c>
      <c r="W757">
        <f>IF(H757&lt;Assumptions!$B$26,Assumptions!$B$26/V757,1)</f>
        <v/>
      </c>
    </row>
    <row r="4999">
      <c r="A4999" t="inlineStr">
        <is>
          <t>cell</t>
        </is>
      </c>
      <c r="B4999" t="inlineStr">
        <is>
          <t>exit</t>
        </is>
      </c>
      <c r="C4999" t="inlineStr">
        <is>
          <t>eF</t>
        </is>
      </c>
      <c r="D4999" t="inlineStr">
        <is>
          <t>eE</t>
        </is>
      </c>
      <c r="E4999" t="inlineStr">
        <is>
          <t>eD</t>
        </is>
      </c>
      <c r="F4999" t="inlineStr">
        <is>
          <t>eC</t>
        </is>
      </c>
      <c r="G4999" t="inlineStr">
        <is>
          <t>eB</t>
        </is>
      </c>
      <c r="H4999" t="inlineStr">
        <is>
          <t>eA</t>
        </is>
      </c>
      <c r="I4999" t="inlineStr">
        <is>
          <t>eS</t>
        </is>
      </c>
      <c r="J4999" t="inlineStr">
        <is>
          <t>pref_pool</t>
        </is>
      </c>
      <c r="K4999" t="inlineStr">
        <is>
          <t>conv_sh</t>
        </is>
      </c>
      <c r="L4999" t="inlineStr">
        <is>
          <t>pool_pref</t>
        </is>
      </c>
      <c r="M4999" t="inlineStr">
        <is>
          <t>opts_itm</t>
        </is>
      </c>
      <c r="N4999" t="inlineStr">
        <is>
          <t>denom</t>
        </is>
      </c>
      <c r="O4999" t="inlineStr">
        <is>
          <t>pool_adj</t>
        </is>
      </c>
      <c r="P4999" t="inlineStr">
        <is>
          <t>pps</t>
        </is>
      </c>
      <c r="Q4999" t="inlineStr">
        <is>
          <t>F_usd</t>
        </is>
      </c>
      <c r="R4999" t="inlineStr">
        <is>
          <t>E_usd</t>
        </is>
      </c>
      <c r="S4999" t="inlineStr">
        <is>
          <t>D_usd</t>
        </is>
      </c>
      <c r="T4999" t="inlineStr">
        <is>
          <t>C_usd</t>
        </is>
      </c>
      <c r="U4999" t="inlineStr">
        <is>
          <t>B_usd</t>
        </is>
      </c>
      <c r="V4999" t="inlineStr">
        <is>
          <t>A_usd</t>
        </is>
      </c>
      <c r="W4999" t="inlineStr">
        <is>
          <t>S_usd</t>
        </is>
      </c>
      <c r="X4999" t="inlineStr">
        <is>
          <t>notes_usd</t>
        </is>
      </c>
      <c r="Y4999" t="inlineStr">
        <is>
          <t>common_usd</t>
        </is>
      </c>
      <c r="Z4999" t="inlineStr">
        <is>
          <t>opt_usd</t>
        </is>
      </c>
      <c r="AA4999" t="inlineStr">
        <is>
          <t>total</t>
        </is>
      </c>
      <c r="AB4999" t="inlineStr">
        <is>
          <t>row_idx</t>
        </is>
      </c>
      <c r="AC4999" t="inlineStr">
        <is>
          <t>fF</t>
        </is>
      </c>
      <c r="AD4999" t="inlineStr">
        <is>
          <t>fE</t>
        </is>
      </c>
      <c r="AE4999" t="inlineStr">
        <is>
          <t>fD</t>
        </is>
      </c>
      <c r="AF4999" t="inlineStr">
        <is>
          <t>fC</t>
        </is>
      </c>
      <c r="AG4999" t="inlineStr">
        <is>
          <t>fB</t>
        </is>
      </c>
      <c r="AH4999" t="inlineStr">
        <is>
          <t>fA</t>
        </is>
      </c>
      <c r="AI4999" t="inlineStr">
        <is>
          <t>fS</t>
        </is>
      </c>
      <c r="AJ4999" t="inlineStr">
        <is>
          <t>aF</t>
        </is>
      </c>
      <c r="AK4999" t="inlineStr">
        <is>
          <t>aE</t>
        </is>
      </c>
      <c r="AL4999" t="inlineStr">
        <is>
          <t>aD</t>
        </is>
      </c>
      <c r="AM4999" t="inlineStr">
        <is>
          <t>aC</t>
        </is>
      </c>
      <c r="AN4999" t="inlineStr">
        <is>
          <t>aB</t>
        </is>
      </c>
      <c r="AO4999" t="inlineStr">
        <is>
          <t>aA</t>
        </is>
      </c>
      <c r="AP4999" t="inlineStr">
        <is>
          <t>aS</t>
        </is>
      </c>
      <c r="AQ4999" t="inlineStr">
        <is>
          <t>okF</t>
        </is>
      </c>
      <c r="AR4999" t="inlineStr">
        <is>
          <t>okE</t>
        </is>
      </c>
      <c r="AS4999" t="inlineStr">
        <is>
          <t>okD</t>
        </is>
      </c>
      <c r="AT4999" t="inlineStr">
        <is>
          <t>okC</t>
        </is>
      </c>
      <c r="AU4999" t="inlineStr">
        <is>
          <t>okB</t>
        </is>
      </c>
      <c r="AV4999" t="inlineStr">
        <is>
          <t>okA</t>
        </is>
      </c>
      <c r="AW4999" t="inlineStr">
        <is>
          <t>okS</t>
        </is>
      </c>
      <c r="AX4999" t="inlineStr">
        <is>
          <t>all_ok</t>
        </is>
      </c>
    </row>
    <row r="5000">
      <c r="A5000" t="inlineStr">
        <is>
          <t>esop_11_pre_1200M</t>
        </is>
      </c>
      <c r="B5000">
        <f>Assumptions!$B$60</f>
        <v/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>
        <f>(1-C5000)*Assumptions!$B$41+(1-D5000)*Assumptions!$B$33+(1-E5000)*Assumptions!$B$32+(1-F5000)*Assumptions!$B$31+(1-G5000)*Assumptions!$B$30+(1-H5000)*Assumptions!$B$29+(1-I5000)*Assumptions!$B$28</f>
        <v/>
      </c>
      <c r="K5000">
        <f>C5000*$J$157+D5000*$F$157+E5000*$G$157+F5000*Assumptions!$B$14+G5000*Assumptions!$B$13+H5000*Assumptions!$B$12+I5000*Assumptions!$B$11+$O$157+$S$157+Assumptions!$B$9</f>
        <v/>
      </c>
      <c r="L5000">
        <f>B5000-J5000</f>
        <v/>
      </c>
      <c r="M5000">
        <f>IF(K5000&gt;0,IF(L5000/K5000&gt;=Assumptions!$B$37,1,0),0)</f>
        <v/>
      </c>
      <c r="N5000">
        <f>K5000+M5000*Assumptions!$B$153</f>
        <v/>
      </c>
      <c r="O5000">
        <f>L5000+M5000*Assumptions!$B$153*Assumptions!$B$37</f>
        <v/>
      </c>
      <c r="P5000">
        <f>IF(N5000&gt;0,O5000/N5000,0)</f>
        <v/>
      </c>
      <c r="Q5000">
        <f>IF(C5000=1,P5000*$J$157,Assumptions!$B$41)</f>
        <v/>
      </c>
      <c r="R5000">
        <f>IF(D5000=1,P5000*$F$157,Assumptions!$B$33)</f>
        <v/>
      </c>
      <c r="S5000">
        <f>IF(E5000=1,P5000*$G$157,Assumptions!$B$32)</f>
        <v/>
      </c>
      <c r="T5000">
        <f>IF(F5000=1,P5000*Assumptions!$B$14,Assumptions!$B$31)</f>
        <v/>
      </c>
      <c r="U5000">
        <f>IF(G5000=1,P5000*Assumptions!$B$13,Assumptions!$B$30)</f>
        <v/>
      </c>
      <c r="V5000">
        <f>IF(H5000=1,P5000*Assumptions!$B$12,Assumptions!$B$29)</f>
        <v/>
      </c>
      <c r="W5000">
        <f>IF(I5000=1,P5000*Assumptions!$B$11,Assumptions!$B$28)</f>
        <v/>
      </c>
      <c r="X5000">
        <f>P5000*($O$157+$S$157)</f>
        <v/>
      </c>
      <c r="Y5000">
        <f>P5000*Assumptions!$B$9</f>
        <v/>
      </c>
      <c r="Z5000">
        <f>IF(M5000=1,(P5000-Assumptions!$B$37)*Assumptions!$B$153,0)</f>
        <v/>
      </c>
      <c r="AA5000">
        <f>Q5000+R5000+S5000+T5000+U5000+V5000+W5000+X5000+Y5000+Z5000</f>
        <v/>
      </c>
      <c r="AB5000" t="n">
        <v>0</v>
      </c>
      <c r="AC5000" t="n">
        <v>64</v>
      </c>
      <c r="AD5000" t="n">
        <v>32</v>
      </c>
      <c r="AE5000" t="n">
        <v>16</v>
      </c>
      <c r="AF5000" t="n">
        <v>8</v>
      </c>
      <c r="AG5000" t="n">
        <v>4</v>
      </c>
      <c r="AH5000" t="n">
        <v>2</v>
      </c>
      <c r="AI5000" t="n">
        <v>1</v>
      </c>
      <c r="AJ5000">
        <f>INDEX($Q$5000:$Q$5127,AC5000+1)</f>
        <v/>
      </c>
      <c r="AK5000">
        <f>INDEX($R$5000:$R$5127,AD5000+1)</f>
        <v/>
      </c>
      <c r="AL5000">
        <f>INDEX($S$5000:$S$5127,AE5000+1)</f>
        <v/>
      </c>
      <c r="AM5000">
        <f>INDEX($T$5000:$T$5127,AF5000+1)</f>
        <v/>
      </c>
      <c r="AN5000">
        <f>INDEX($U$5000:$U$5127,AG5000+1)</f>
        <v/>
      </c>
      <c r="AO5000">
        <f>INDEX($V$5000:$V$5127,AH5000+1)</f>
        <v/>
      </c>
      <c r="AP5000">
        <f>INDEX($W$5000:$W$5127,AI5000+1)</f>
        <v/>
      </c>
      <c r="AQ5000">
        <f>IF(Q5000&gt;=AJ5000-0.01,1,0)</f>
        <v/>
      </c>
      <c r="AR5000">
        <f>IF(R5000&gt;=AK5000-0.01,1,0)</f>
        <v/>
      </c>
      <c r="AS5000">
        <f>IF(S5000&gt;=AL5000-0.01,1,0)</f>
        <v/>
      </c>
      <c r="AT5000">
        <f>IF(T5000&gt;=AM5000-0.01,1,0)</f>
        <v/>
      </c>
      <c r="AU5000">
        <f>IF(U5000&gt;=AN5000-0.01,1,0)</f>
        <v/>
      </c>
      <c r="AV5000">
        <f>IF(V5000&gt;=AO5000-0.01,1,0)</f>
        <v/>
      </c>
      <c r="AW5000">
        <f>IF(W5000&gt;=AP5000-0.01,1,0)</f>
        <v/>
      </c>
      <c r="AX5000">
        <f>AQ5000*AR5000*AS5000*AT5000*AU5000*AV5000*AW5000</f>
        <v/>
      </c>
    </row>
    <row r="5001">
      <c r="A5001" t="inlineStr"/>
      <c r="B5001">
        <f>Assumptions!$B$60</f>
        <v/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>
        <f>(1-C5001)*Assumptions!$B$41+(1-D5001)*Assumptions!$B$33+(1-E5001)*Assumptions!$B$32+(1-F5001)*Assumptions!$B$31+(1-G5001)*Assumptions!$B$30+(1-H5001)*Assumptions!$B$29+(1-I5001)*Assumptions!$B$28</f>
        <v/>
      </c>
      <c r="K5001">
        <f>C5001*$J$157+D5001*$F$157+E5001*$G$157+F5001*Assumptions!$B$14+G5001*Assumptions!$B$13+H5001*Assumptions!$B$12+I5001*Assumptions!$B$11+$O$157+$S$157+Assumptions!$B$9</f>
        <v/>
      </c>
      <c r="L5001">
        <f>B5001-J5001</f>
        <v/>
      </c>
      <c r="M5001">
        <f>IF(K5001&gt;0,IF(L5001/K5001&gt;=Assumptions!$B$37,1,0),0)</f>
        <v/>
      </c>
      <c r="N5001">
        <f>K5001+M5001*Assumptions!$B$153</f>
        <v/>
      </c>
      <c r="O5001">
        <f>L5001+M5001*Assumptions!$B$153*Assumptions!$B$37</f>
        <v/>
      </c>
      <c r="P5001">
        <f>IF(N5001&gt;0,O5001/N5001,0)</f>
        <v/>
      </c>
      <c r="Q5001">
        <f>IF(C5001=1,P5001*$J$157,Assumptions!$B$41)</f>
        <v/>
      </c>
      <c r="R5001">
        <f>IF(D5001=1,P5001*$F$157,Assumptions!$B$33)</f>
        <v/>
      </c>
      <c r="S5001">
        <f>IF(E5001=1,P5001*$G$157,Assumptions!$B$32)</f>
        <v/>
      </c>
      <c r="T5001">
        <f>IF(F5001=1,P5001*Assumptions!$B$14,Assumptions!$B$31)</f>
        <v/>
      </c>
      <c r="U5001">
        <f>IF(G5001=1,P5001*Assumptions!$B$13,Assumptions!$B$30)</f>
        <v/>
      </c>
      <c r="V5001">
        <f>IF(H5001=1,P5001*Assumptions!$B$12,Assumptions!$B$29)</f>
        <v/>
      </c>
      <c r="W5001">
        <f>IF(I5001=1,P5001*Assumptions!$B$11,Assumptions!$B$28)</f>
        <v/>
      </c>
      <c r="X5001">
        <f>P5001*($O$157+$S$157)</f>
        <v/>
      </c>
      <c r="Y5001">
        <f>P5001*Assumptions!$B$9</f>
        <v/>
      </c>
      <c r="Z5001">
        <f>IF(M5001=1,(P5001-Assumptions!$B$37)*Assumptions!$B$153,0)</f>
        <v/>
      </c>
      <c r="AA5001">
        <f>Q5001+R5001+S5001+T5001+U5001+V5001+W5001+X5001+Y5001+Z5001</f>
        <v/>
      </c>
      <c r="AB5001" t="n">
        <v>1</v>
      </c>
      <c r="AC5001" t="n">
        <v>65</v>
      </c>
      <c r="AD5001" t="n">
        <v>33</v>
      </c>
      <c r="AE5001" t="n">
        <v>17</v>
      </c>
      <c r="AF5001" t="n">
        <v>9</v>
      </c>
      <c r="AG5001" t="n">
        <v>5</v>
      </c>
      <c r="AH5001" t="n">
        <v>3</v>
      </c>
      <c r="AI5001" t="n">
        <v>0</v>
      </c>
      <c r="AJ5001">
        <f>INDEX($Q$5000:$Q$5127,AC5001+1)</f>
        <v/>
      </c>
      <c r="AK5001">
        <f>INDEX($R$5000:$R$5127,AD5001+1)</f>
        <v/>
      </c>
      <c r="AL5001">
        <f>INDEX($S$5000:$S$5127,AE5001+1)</f>
        <v/>
      </c>
      <c r="AM5001">
        <f>INDEX($T$5000:$T$5127,AF5001+1)</f>
        <v/>
      </c>
      <c r="AN5001">
        <f>INDEX($U$5000:$U$5127,AG5001+1)</f>
        <v/>
      </c>
      <c r="AO5001">
        <f>INDEX($V$5000:$V$5127,AH5001+1)</f>
        <v/>
      </c>
      <c r="AP5001">
        <f>INDEX($W$5000:$W$5127,AI5001+1)</f>
        <v/>
      </c>
      <c r="AQ5001">
        <f>IF(Q5001&gt;=AJ5001-0.01,1,0)</f>
        <v/>
      </c>
      <c r="AR5001">
        <f>IF(R5001&gt;=AK5001-0.01,1,0)</f>
        <v/>
      </c>
      <c r="AS5001">
        <f>IF(S5001&gt;=AL5001-0.01,1,0)</f>
        <v/>
      </c>
      <c r="AT5001">
        <f>IF(T5001&gt;=AM5001-0.01,1,0)</f>
        <v/>
      </c>
      <c r="AU5001">
        <f>IF(U5001&gt;=AN5001-0.01,1,0)</f>
        <v/>
      </c>
      <c r="AV5001">
        <f>IF(V5001&gt;=AO5001-0.01,1,0)</f>
        <v/>
      </c>
      <c r="AW5001">
        <f>IF(W5001&gt;=AP5001-0.01,1,0)</f>
        <v/>
      </c>
      <c r="AX5001">
        <f>AQ5001*AR5001*AS5001*AT5001*AU5001*AV5001*AW5001</f>
        <v/>
      </c>
    </row>
    <row r="5002">
      <c r="A5002" t="inlineStr"/>
      <c r="B5002">
        <f>Assumptions!$B$60</f>
        <v/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>
        <f>(1-C5002)*Assumptions!$B$41+(1-D5002)*Assumptions!$B$33+(1-E5002)*Assumptions!$B$32+(1-F5002)*Assumptions!$B$31+(1-G5002)*Assumptions!$B$30+(1-H5002)*Assumptions!$B$29+(1-I5002)*Assumptions!$B$28</f>
        <v/>
      </c>
      <c r="K5002">
        <f>C5002*$J$157+D5002*$F$157+E5002*$G$157+F5002*Assumptions!$B$14+G5002*Assumptions!$B$13+H5002*Assumptions!$B$12+I5002*Assumptions!$B$11+$O$157+$S$157+Assumptions!$B$9</f>
        <v/>
      </c>
      <c r="L5002">
        <f>B5002-J5002</f>
        <v/>
      </c>
      <c r="M5002">
        <f>IF(K5002&gt;0,IF(L5002/K5002&gt;=Assumptions!$B$37,1,0),0)</f>
        <v/>
      </c>
      <c r="N5002">
        <f>K5002+M5002*Assumptions!$B$153</f>
        <v/>
      </c>
      <c r="O5002">
        <f>L5002+M5002*Assumptions!$B$153*Assumptions!$B$37</f>
        <v/>
      </c>
      <c r="P5002">
        <f>IF(N5002&gt;0,O5002/N5002,0)</f>
        <v/>
      </c>
      <c r="Q5002">
        <f>IF(C5002=1,P5002*$J$157,Assumptions!$B$41)</f>
        <v/>
      </c>
      <c r="R5002">
        <f>IF(D5002=1,P5002*$F$157,Assumptions!$B$33)</f>
        <v/>
      </c>
      <c r="S5002">
        <f>IF(E5002=1,P5002*$G$157,Assumptions!$B$32)</f>
        <v/>
      </c>
      <c r="T5002">
        <f>IF(F5002=1,P5002*Assumptions!$B$14,Assumptions!$B$31)</f>
        <v/>
      </c>
      <c r="U5002">
        <f>IF(G5002=1,P5002*Assumptions!$B$13,Assumptions!$B$30)</f>
        <v/>
      </c>
      <c r="V5002">
        <f>IF(H5002=1,P5002*Assumptions!$B$12,Assumptions!$B$29)</f>
        <v/>
      </c>
      <c r="W5002">
        <f>IF(I5002=1,P5002*Assumptions!$B$11,Assumptions!$B$28)</f>
        <v/>
      </c>
      <c r="X5002">
        <f>P5002*($O$157+$S$157)</f>
        <v/>
      </c>
      <c r="Y5002">
        <f>P5002*Assumptions!$B$9</f>
        <v/>
      </c>
      <c r="Z5002">
        <f>IF(M5002=1,(P5002-Assumptions!$B$37)*Assumptions!$B$153,0)</f>
        <v/>
      </c>
      <c r="AA5002">
        <f>Q5002+R5002+S5002+T5002+U5002+V5002+W5002+X5002+Y5002+Z5002</f>
        <v/>
      </c>
      <c r="AB5002" t="n">
        <v>2</v>
      </c>
      <c r="AC5002" t="n">
        <v>66</v>
      </c>
      <c r="AD5002" t="n">
        <v>34</v>
      </c>
      <c r="AE5002" t="n">
        <v>18</v>
      </c>
      <c r="AF5002" t="n">
        <v>10</v>
      </c>
      <c r="AG5002" t="n">
        <v>6</v>
      </c>
      <c r="AH5002" t="n">
        <v>0</v>
      </c>
      <c r="AI5002" t="n">
        <v>3</v>
      </c>
      <c r="AJ5002">
        <f>INDEX($Q$5000:$Q$5127,AC5002+1)</f>
        <v/>
      </c>
      <c r="AK5002">
        <f>INDEX($R$5000:$R$5127,AD5002+1)</f>
        <v/>
      </c>
      <c r="AL5002">
        <f>INDEX($S$5000:$S$5127,AE5002+1)</f>
        <v/>
      </c>
      <c r="AM5002">
        <f>INDEX($T$5000:$T$5127,AF5002+1)</f>
        <v/>
      </c>
      <c r="AN5002">
        <f>INDEX($U$5000:$U$5127,AG5002+1)</f>
        <v/>
      </c>
      <c r="AO5002">
        <f>INDEX($V$5000:$V$5127,AH5002+1)</f>
        <v/>
      </c>
      <c r="AP5002">
        <f>INDEX($W$5000:$W$5127,AI5002+1)</f>
        <v/>
      </c>
      <c r="AQ5002">
        <f>IF(Q5002&gt;=AJ5002-0.01,1,0)</f>
        <v/>
      </c>
      <c r="AR5002">
        <f>IF(R5002&gt;=AK5002-0.01,1,0)</f>
        <v/>
      </c>
      <c r="AS5002">
        <f>IF(S5002&gt;=AL5002-0.01,1,0)</f>
        <v/>
      </c>
      <c r="AT5002">
        <f>IF(T5002&gt;=AM5002-0.01,1,0)</f>
        <v/>
      </c>
      <c r="AU5002">
        <f>IF(U5002&gt;=AN5002-0.01,1,0)</f>
        <v/>
      </c>
      <c r="AV5002">
        <f>IF(V5002&gt;=AO5002-0.01,1,0)</f>
        <v/>
      </c>
      <c r="AW5002">
        <f>IF(W5002&gt;=AP5002-0.01,1,0)</f>
        <v/>
      </c>
      <c r="AX5002">
        <f>AQ5002*AR5002*AS5002*AT5002*AU5002*AV5002*AW5002</f>
        <v/>
      </c>
    </row>
    <row r="5003">
      <c r="A5003" t="inlineStr"/>
      <c r="B5003">
        <f>Assumptions!$B$60</f>
        <v/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</v>
      </c>
      <c r="J5003">
        <f>(1-C5003)*Assumptions!$B$41+(1-D5003)*Assumptions!$B$33+(1-E5003)*Assumptions!$B$32+(1-F5003)*Assumptions!$B$31+(1-G5003)*Assumptions!$B$30+(1-H5003)*Assumptions!$B$29+(1-I5003)*Assumptions!$B$28</f>
        <v/>
      </c>
      <c r="K5003">
        <f>C5003*$J$157+D5003*$F$157+E5003*$G$157+F5003*Assumptions!$B$14+G5003*Assumptions!$B$13+H5003*Assumptions!$B$12+I5003*Assumptions!$B$11+$O$157+$S$157+Assumptions!$B$9</f>
        <v/>
      </c>
      <c r="L5003">
        <f>B5003-J5003</f>
        <v/>
      </c>
      <c r="M5003">
        <f>IF(K5003&gt;0,IF(L5003/K5003&gt;=Assumptions!$B$37,1,0),0)</f>
        <v/>
      </c>
      <c r="N5003">
        <f>K5003+M5003*Assumptions!$B$153</f>
        <v/>
      </c>
      <c r="O5003">
        <f>L5003+M5003*Assumptions!$B$153*Assumptions!$B$37</f>
        <v/>
      </c>
      <c r="P5003">
        <f>IF(N5003&gt;0,O5003/N5003,0)</f>
        <v/>
      </c>
      <c r="Q5003">
        <f>IF(C5003=1,P5003*$J$157,Assumptions!$B$41)</f>
        <v/>
      </c>
      <c r="R5003">
        <f>IF(D5003=1,P5003*$F$157,Assumptions!$B$33)</f>
        <v/>
      </c>
      <c r="S5003">
        <f>IF(E5003=1,P5003*$G$157,Assumptions!$B$32)</f>
        <v/>
      </c>
      <c r="T5003">
        <f>IF(F5003=1,P5003*Assumptions!$B$14,Assumptions!$B$31)</f>
        <v/>
      </c>
      <c r="U5003">
        <f>IF(G5003=1,P5003*Assumptions!$B$13,Assumptions!$B$30)</f>
        <v/>
      </c>
      <c r="V5003">
        <f>IF(H5003=1,P5003*Assumptions!$B$12,Assumptions!$B$29)</f>
        <v/>
      </c>
      <c r="W5003">
        <f>IF(I5003=1,P5003*Assumptions!$B$11,Assumptions!$B$28)</f>
        <v/>
      </c>
      <c r="X5003">
        <f>P5003*($O$157+$S$157)</f>
        <v/>
      </c>
      <c r="Y5003">
        <f>P5003*Assumptions!$B$9</f>
        <v/>
      </c>
      <c r="Z5003">
        <f>IF(M5003=1,(P5003-Assumptions!$B$37)*Assumptions!$B$153,0)</f>
        <v/>
      </c>
      <c r="AA5003">
        <f>Q5003+R5003+S5003+T5003+U5003+V5003+W5003+X5003+Y5003+Z5003</f>
        <v/>
      </c>
      <c r="AB5003" t="n">
        <v>3</v>
      </c>
      <c r="AC5003" t="n">
        <v>67</v>
      </c>
      <c r="AD5003" t="n">
        <v>35</v>
      </c>
      <c r="AE5003" t="n">
        <v>19</v>
      </c>
      <c r="AF5003" t="n">
        <v>11</v>
      </c>
      <c r="AG5003" t="n">
        <v>7</v>
      </c>
      <c r="AH5003" t="n">
        <v>1</v>
      </c>
      <c r="AI5003" t="n">
        <v>2</v>
      </c>
      <c r="AJ5003">
        <f>INDEX($Q$5000:$Q$5127,AC5003+1)</f>
        <v/>
      </c>
      <c r="AK5003">
        <f>INDEX($R$5000:$R$5127,AD5003+1)</f>
        <v/>
      </c>
      <c r="AL5003">
        <f>INDEX($S$5000:$S$5127,AE5003+1)</f>
        <v/>
      </c>
      <c r="AM5003">
        <f>INDEX($T$5000:$T$5127,AF5003+1)</f>
        <v/>
      </c>
      <c r="AN5003">
        <f>INDEX($U$5000:$U$5127,AG5003+1)</f>
        <v/>
      </c>
      <c r="AO5003">
        <f>INDEX($V$5000:$V$5127,AH5003+1)</f>
        <v/>
      </c>
      <c r="AP5003">
        <f>INDEX($W$5000:$W$5127,AI5003+1)</f>
        <v/>
      </c>
      <c r="AQ5003">
        <f>IF(Q5003&gt;=AJ5003-0.01,1,0)</f>
        <v/>
      </c>
      <c r="AR5003">
        <f>IF(R5003&gt;=AK5003-0.01,1,0)</f>
        <v/>
      </c>
      <c r="AS5003">
        <f>IF(S5003&gt;=AL5003-0.01,1,0)</f>
        <v/>
      </c>
      <c r="AT5003">
        <f>IF(T5003&gt;=AM5003-0.01,1,0)</f>
        <v/>
      </c>
      <c r="AU5003">
        <f>IF(U5003&gt;=AN5003-0.01,1,0)</f>
        <v/>
      </c>
      <c r="AV5003">
        <f>IF(V5003&gt;=AO5003-0.01,1,0)</f>
        <v/>
      </c>
      <c r="AW5003">
        <f>IF(W5003&gt;=AP5003-0.01,1,0)</f>
        <v/>
      </c>
      <c r="AX5003">
        <f>AQ5003*AR5003*AS5003*AT5003*AU5003*AV5003*AW5003</f>
        <v/>
      </c>
    </row>
    <row r="5004">
      <c r="A5004" t="inlineStr"/>
      <c r="B5004">
        <f>Assumptions!$B$60</f>
        <v/>
      </c>
      <c r="C5004" t="n">
        <v>0</v>
      </c>
      <c r="D5004" t="n">
        <v>0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>
        <f>(1-C5004)*Assumptions!$B$41+(1-D5004)*Assumptions!$B$33+(1-E5004)*Assumptions!$B$32+(1-F5004)*Assumptions!$B$31+(1-G5004)*Assumptions!$B$30+(1-H5004)*Assumptions!$B$29+(1-I5004)*Assumptions!$B$28</f>
        <v/>
      </c>
      <c r="K5004">
        <f>C5004*$J$157+D5004*$F$157+E5004*$G$157+F5004*Assumptions!$B$14+G5004*Assumptions!$B$13+H5004*Assumptions!$B$12+I5004*Assumptions!$B$11+$O$157+$S$157+Assumptions!$B$9</f>
        <v/>
      </c>
      <c r="L5004">
        <f>B5004-J5004</f>
        <v/>
      </c>
      <c r="M5004">
        <f>IF(K5004&gt;0,IF(L5004/K5004&gt;=Assumptions!$B$37,1,0),0)</f>
        <v/>
      </c>
      <c r="N5004">
        <f>K5004+M5004*Assumptions!$B$153</f>
        <v/>
      </c>
      <c r="O5004">
        <f>L5004+M5004*Assumptions!$B$153*Assumptions!$B$37</f>
        <v/>
      </c>
      <c r="P5004">
        <f>IF(N5004&gt;0,O5004/N5004,0)</f>
        <v/>
      </c>
      <c r="Q5004">
        <f>IF(C5004=1,P5004*$J$157,Assumptions!$B$41)</f>
        <v/>
      </c>
      <c r="R5004">
        <f>IF(D5004=1,P5004*$F$157,Assumptions!$B$33)</f>
        <v/>
      </c>
      <c r="S5004">
        <f>IF(E5004=1,P5004*$G$157,Assumptions!$B$32)</f>
        <v/>
      </c>
      <c r="T5004">
        <f>IF(F5004=1,P5004*Assumptions!$B$14,Assumptions!$B$31)</f>
        <v/>
      </c>
      <c r="U5004">
        <f>IF(G5004=1,P5004*Assumptions!$B$13,Assumptions!$B$30)</f>
        <v/>
      </c>
      <c r="V5004">
        <f>IF(H5004=1,P5004*Assumptions!$B$12,Assumptions!$B$29)</f>
        <v/>
      </c>
      <c r="W5004">
        <f>IF(I5004=1,P5004*Assumptions!$B$11,Assumptions!$B$28)</f>
        <v/>
      </c>
      <c r="X5004">
        <f>P5004*($O$157+$S$157)</f>
        <v/>
      </c>
      <c r="Y5004">
        <f>P5004*Assumptions!$B$9</f>
        <v/>
      </c>
      <c r="Z5004">
        <f>IF(M5004=1,(P5004-Assumptions!$B$37)*Assumptions!$B$153,0)</f>
        <v/>
      </c>
      <c r="AA5004">
        <f>Q5004+R5004+S5004+T5004+U5004+V5004+W5004+X5004+Y5004+Z5004</f>
        <v/>
      </c>
      <c r="AB5004" t="n">
        <v>4</v>
      </c>
      <c r="AC5004" t="n">
        <v>68</v>
      </c>
      <c r="AD5004" t="n">
        <v>36</v>
      </c>
      <c r="AE5004" t="n">
        <v>20</v>
      </c>
      <c r="AF5004" t="n">
        <v>12</v>
      </c>
      <c r="AG5004" t="n">
        <v>0</v>
      </c>
      <c r="AH5004" t="n">
        <v>6</v>
      </c>
      <c r="AI5004" t="n">
        <v>5</v>
      </c>
      <c r="AJ5004">
        <f>INDEX($Q$5000:$Q$5127,AC5004+1)</f>
        <v/>
      </c>
      <c r="AK5004">
        <f>INDEX($R$5000:$R$5127,AD5004+1)</f>
        <v/>
      </c>
      <c r="AL5004">
        <f>INDEX($S$5000:$S$5127,AE5004+1)</f>
        <v/>
      </c>
      <c r="AM5004">
        <f>INDEX($T$5000:$T$5127,AF5004+1)</f>
        <v/>
      </c>
      <c r="AN5004">
        <f>INDEX($U$5000:$U$5127,AG5004+1)</f>
        <v/>
      </c>
      <c r="AO5004">
        <f>INDEX($V$5000:$V$5127,AH5004+1)</f>
        <v/>
      </c>
      <c r="AP5004">
        <f>INDEX($W$5000:$W$5127,AI5004+1)</f>
        <v/>
      </c>
      <c r="AQ5004">
        <f>IF(Q5004&gt;=AJ5004-0.01,1,0)</f>
        <v/>
      </c>
      <c r="AR5004">
        <f>IF(R5004&gt;=AK5004-0.01,1,0)</f>
        <v/>
      </c>
      <c r="AS5004">
        <f>IF(S5004&gt;=AL5004-0.01,1,0)</f>
        <v/>
      </c>
      <c r="AT5004">
        <f>IF(T5004&gt;=AM5004-0.01,1,0)</f>
        <v/>
      </c>
      <c r="AU5004">
        <f>IF(U5004&gt;=AN5004-0.01,1,0)</f>
        <v/>
      </c>
      <c r="AV5004">
        <f>IF(V5004&gt;=AO5004-0.01,1,0)</f>
        <v/>
      </c>
      <c r="AW5004">
        <f>IF(W5004&gt;=AP5004-0.01,1,0)</f>
        <v/>
      </c>
      <c r="AX5004">
        <f>AQ5004*AR5004*AS5004*AT5004*AU5004*AV5004*AW5004</f>
        <v/>
      </c>
    </row>
    <row r="5005">
      <c r="A5005" t="inlineStr"/>
      <c r="B5005">
        <f>Assumptions!$B$60</f>
        <v/>
      </c>
      <c r="C5005" t="n">
        <v>0</v>
      </c>
      <c r="D5005" t="n">
        <v>0</v>
      </c>
      <c r="E5005" t="n">
        <v>0</v>
      </c>
      <c r="F5005" t="n">
        <v>0</v>
      </c>
      <c r="G5005" t="n">
        <v>1</v>
      </c>
      <c r="H5005" t="n">
        <v>0</v>
      </c>
      <c r="I5005" t="n">
        <v>1</v>
      </c>
      <c r="J5005">
        <f>(1-C5005)*Assumptions!$B$41+(1-D5005)*Assumptions!$B$33+(1-E5005)*Assumptions!$B$32+(1-F5005)*Assumptions!$B$31+(1-G5005)*Assumptions!$B$30+(1-H5005)*Assumptions!$B$29+(1-I5005)*Assumptions!$B$28</f>
        <v/>
      </c>
      <c r="K5005">
        <f>C5005*$J$157+D5005*$F$157+E5005*$G$157+F5005*Assumptions!$B$14+G5005*Assumptions!$B$13+H5005*Assumptions!$B$12+I5005*Assumptions!$B$11+$O$157+$S$157+Assumptions!$B$9</f>
        <v/>
      </c>
      <c r="L5005">
        <f>B5005-J5005</f>
        <v/>
      </c>
      <c r="M5005">
        <f>IF(K5005&gt;0,IF(L5005/K5005&gt;=Assumptions!$B$37,1,0),0)</f>
        <v/>
      </c>
      <c r="N5005">
        <f>K5005+M5005*Assumptions!$B$153</f>
        <v/>
      </c>
      <c r="O5005">
        <f>L5005+M5005*Assumptions!$B$153*Assumptions!$B$37</f>
        <v/>
      </c>
      <c r="P5005">
        <f>IF(N5005&gt;0,O5005/N5005,0)</f>
        <v/>
      </c>
      <c r="Q5005">
        <f>IF(C5005=1,P5005*$J$157,Assumptions!$B$41)</f>
        <v/>
      </c>
      <c r="R5005">
        <f>IF(D5005=1,P5005*$F$157,Assumptions!$B$33)</f>
        <v/>
      </c>
      <c r="S5005">
        <f>IF(E5005=1,P5005*$G$157,Assumptions!$B$32)</f>
        <v/>
      </c>
      <c r="T5005">
        <f>IF(F5005=1,P5005*Assumptions!$B$14,Assumptions!$B$31)</f>
        <v/>
      </c>
      <c r="U5005">
        <f>IF(G5005=1,P5005*Assumptions!$B$13,Assumptions!$B$30)</f>
        <v/>
      </c>
      <c r="V5005">
        <f>IF(H5005=1,P5005*Assumptions!$B$12,Assumptions!$B$29)</f>
        <v/>
      </c>
      <c r="W5005">
        <f>IF(I5005=1,P5005*Assumptions!$B$11,Assumptions!$B$28)</f>
        <v/>
      </c>
      <c r="X5005">
        <f>P5005*($O$157+$S$157)</f>
        <v/>
      </c>
      <c r="Y5005">
        <f>P5005*Assumptions!$B$9</f>
        <v/>
      </c>
      <c r="Z5005">
        <f>IF(M5005=1,(P5005-Assumptions!$B$37)*Assumptions!$B$153,0)</f>
        <v/>
      </c>
      <c r="AA5005">
        <f>Q5005+R5005+S5005+T5005+U5005+V5005+W5005+X5005+Y5005+Z5005</f>
        <v/>
      </c>
      <c r="AB5005" t="n">
        <v>5</v>
      </c>
      <c r="AC5005" t="n">
        <v>69</v>
      </c>
      <c r="AD5005" t="n">
        <v>37</v>
      </c>
      <c r="AE5005" t="n">
        <v>21</v>
      </c>
      <c r="AF5005" t="n">
        <v>13</v>
      </c>
      <c r="AG5005" t="n">
        <v>1</v>
      </c>
      <c r="AH5005" t="n">
        <v>7</v>
      </c>
      <c r="AI5005" t="n">
        <v>4</v>
      </c>
      <c r="AJ5005">
        <f>INDEX($Q$5000:$Q$5127,AC5005+1)</f>
        <v/>
      </c>
      <c r="AK5005">
        <f>INDEX($R$5000:$R$5127,AD5005+1)</f>
        <v/>
      </c>
      <c r="AL5005">
        <f>INDEX($S$5000:$S$5127,AE5005+1)</f>
        <v/>
      </c>
      <c r="AM5005">
        <f>INDEX($T$5000:$T$5127,AF5005+1)</f>
        <v/>
      </c>
      <c r="AN5005">
        <f>INDEX($U$5000:$U$5127,AG5005+1)</f>
        <v/>
      </c>
      <c r="AO5005">
        <f>INDEX($V$5000:$V$5127,AH5005+1)</f>
        <v/>
      </c>
      <c r="AP5005">
        <f>INDEX($W$5000:$W$5127,AI5005+1)</f>
        <v/>
      </c>
      <c r="AQ5005">
        <f>IF(Q5005&gt;=AJ5005-0.01,1,0)</f>
        <v/>
      </c>
      <c r="AR5005">
        <f>IF(R5005&gt;=AK5005-0.01,1,0)</f>
        <v/>
      </c>
      <c r="AS5005">
        <f>IF(S5005&gt;=AL5005-0.01,1,0)</f>
        <v/>
      </c>
      <c r="AT5005">
        <f>IF(T5005&gt;=AM5005-0.01,1,0)</f>
        <v/>
      </c>
      <c r="AU5005">
        <f>IF(U5005&gt;=AN5005-0.01,1,0)</f>
        <v/>
      </c>
      <c r="AV5005">
        <f>IF(V5005&gt;=AO5005-0.01,1,0)</f>
        <v/>
      </c>
      <c r="AW5005">
        <f>IF(W5005&gt;=AP5005-0.01,1,0)</f>
        <v/>
      </c>
      <c r="AX5005">
        <f>AQ5005*AR5005*AS5005*AT5005*AU5005*AV5005*AW5005</f>
        <v/>
      </c>
    </row>
    <row r="5006">
      <c r="A5006" t="inlineStr"/>
      <c r="B5006">
        <f>Assumptions!$B$60</f>
        <v/>
      </c>
      <c r="C5006" t="n">
        <v>0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  <c r="I5006" t="n">
        <v>0</v>
      </c>
      <c r="J5006">
        <f>(1-C5006)*Assumptions!$B$41+(1-D5006)*Assumptions!$B$33+(1-E5006)*Assumptions!$B$32+(1-F5006)*Assumptions!$B$31+(1-G5006)*Assumptions!$B$30+(1-H5006)*Assumptions!$B$29+(1-I5006)*Assumptions!$B$28</f>
        <v/>
      </c>
      <c r="K5006">
        <f>C5006*$J$157+D5006*$F$157+E5006*$G$157+F5006*Assumptions!$B$14+G5006*Assumptions!$B$13+H5006*Assumptions!$B$12+I5006*Assumptions!$B$11+$O$157+$S$157+Assumptions!$B$9</f>
        <v/>
      </c>
      <c r="L5006">
        <f>B5006-J5006</f>
        <v/>
      </c>
      <c r="M5006">
        <f>IF(K5006&gt;0,IF(L5006/K5006&gt;=Assumptions!$B$37,1,0),0)</f>
        <v/>
      </c>
      <c r="N5006">
        <f>K5006+M5006*Assumptions!$B$153</f>
        <v/>
      </c>
      <c r="O5006">
        <f>L5006+M5006*Assumptions!$B$153*Assumptions!$B$37</f>
        <v/>
      </c>
      <c r="P5006">
        <f>IF(N5006&gt;0,O5006/N5006,0)</f>
        <v/>
      </c>
      <c r="Q5006">
        <f>IF(C5006=1,P5006*$J$157,Assumptions!$B$41)</f>
        <v/>
      </c>
      <c r="R5006">
        <f>IF(D5006=1,P5006*$F$157,Assumptions!$B$33)</f>
        <v/>
      </c>
      <c r="S5006">
        <f>IF(E5006=1,P5006*$G$157,Assumptions!$B$32)</f>
        <v/>
      </c>
      <c r="T5006">
        <f>IF(F5006=1,P5006*Assumptions!$B$14,Assumptions!$B$31)</f>
        <v/>
      </c>
      <c r="U5006">
        <f>IF(G5006=1,P5006*Assumptions!$B$13,Assumptions!$B$30)</f>
        <v/>
      </c>
      <c r="V5006">
        <f>IF(H5006=1,P5006*Assumptions!$B$12,Assumptions!$B$29)</f>
        <v/>
      </c>
      <c r="W5006">
        <f>IF(I5006=1,P5006*Assumptions!$B$11,Assumptions!$B$28)</f>
        <v/>
      </c>
      <c r="X5006">
        <f>P5006*($O$157+$S$157)</f>
        <v/>
      </c>
      <c r="Y5006">
        <f>P5006*Assumptions!$B$9</f>
        <v/>
      </c>
      <c r="Z5006">
        <f>IF(M5006=1,(P5006-Assumptions!$B$37)*Assumptions!$B$153,0)</f>
        <v/>
      </c>
      <c r="AA5006">
        <f>Q5006+R5006+S5006+T5006+U5006+V5006+W5006+X5006+Y5006+Z5006</f>
        <v/>
      </c>
      <c r="AB5006" t="n">
        <v>6</v>
      </c>
      <c r="AC5006" t="n">
        <v>70</v>
      </c>
      <c r="AD5006" t="n">
        <v>38</v>
      </c>
      <c r="AE5006" t="n">
        <v>22</v>
      </c>
      <c r="AF5006" t="n">
        <v>14</v>
      </c>
      <c r="AG5006" t="n">
        <v>2</v>
      </c>
      <c r="AH5006" t="n">
        <v>4</v>
      </c>
      <c r="AI5006" t="n">
        <v>7</v>
      </c>
      <c r="AJ5006">
        <f>INDEX($Q$5000:$Q$5127,AC5006+1)</f>
        <v/>
      </c>
      <c r="AK5006">
        <f>INDEX($R$5000:$R$5127,AD5006+1)</f>
        <v/>
      </c>
      <c r="AL5006">
        <f>INDEX($S$5000:$S$5127,AE5006+1)</f>
        <v/>
      </c>
      <c r="AM5006">
        <f>INDEX($T$5000:$T$5127,AF5006+1)</f>
        <v/>
      </c>
      <c r="AN5006">
        <f>INDEX($U$5000:$U$5127,AG5006+1)</f>
        <v/>
      </c>
      <c r="AO5006">
        <f>INDEX($V$5000:$V$5127,AH5006+1)</f>
        <v/>
      </c>
      <c r="AP5006">
        <f>INDEX($W$5000:$W$5127,AI5006+1)</f>
        <v/>
      </c>
      <c r="AQ5006">
        <f>IF(Q5006&gt;=AJ5006-0.01,1,0)</f>
        <v/>
      </c>
      <c r="AR5006">
        <f>IF(R5006&gt;=AK5006-0.01,1,0)</f>
        <v/>
      </c>
      <c r="AS5006">
        <f>IF(S5006&gt;=AL5006-0.01,1,0)</f>
        <v/>
      </c>
      <c r="AT5006">
        <f>IF(T5006&gt;=AM5006-0.01,1,0)</f>
        <v/>
      </c>
      <c r="AU5006">
        <f>IF(U5006&gt;=AN5006-0.01,1,0)</f>
        <v/>
      </c>
      <c r="AV5006">
        <f>IF(V5006&gt;=AO5006-0.01,1,0)</f>
        <v/>
      </c>
      <c r="AW5006">
        <f>IF(W5006&gt;=AP5006-0.01,1,0)</f>
        <v/>
      </c>
      <c r="AX5006">
        <f>AQ5006*AR5006*AS5006*AT5006*AU5006*AV5006*AW5006</f>
        <v/>
      </c>
    </row>
    <row r="5007">
      <c r="A5007" t="inlineStr"/>
      <c r="B5007">
        <f>Assumptions!$B$60</f>
        <v/>
      </c>
      <c r="C5007" t="n">
        <v>0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  <c r="I5007" t="n">
        <v>1</v>
      </c>
      <c r="J5007">
        <f>(1-C5007)*Assumptions!$B$41+(1-D5007)*Assumptions!$B$33+(1-E5007)*Assumptions!$B$32+(1-F5007)*Assumptions!$B$31+(1-G5007)*Assumptions!$B$30+(1-H5007)*Assumptions!$B$29+(1-I5007)*Assumptions!$B$28</f>
        <v/>
      </c>
      <c r="K5007">
        <f>C5007*$J$157+D5007*$F$157+E5007*$G$157+F5007*Assumptions!$B$14+G5007*Assumptions!$B$13+H5007*Assumptions!$B$12+I5007*Assumptions!$B$11+$O$157+$S$157+Assumptions!$B$9</f>
        <v/>
      </c>
      <c r="L5007">
        <f>B5007-J5007</f>
        <v/>
      </c>
      <c r="M5007">
        <f>IF(K5007&gt;0,IF(L5007/K5007&gt;=Assumptions!$B$37,1,0),0)</f>
        <v/>
      </c>
      <c r="N5007">
        <f>K5007+M5007*Assumptions!$B$153</f>
        <v/>
      </c>
      <c r="O5007">
        <f>L5007+M5007*Assumptions!$B$153*Assumptions!$B$37</f>
        <v/>
      </c>
      <c r="P5007">
        <f>IF(N5007&gt;0,O5007/N5007,0)</f>
        <v/>
      </c>
      <c r="Q5007">
        <f>IF(C5007=1,P5007*$J$157,Assumptions!$B$41)</f>
        <v/>
      </c>
      <c r="R5007">
        <f>IF(D5007=1,P5007*$F$157,Assumptions!$B$33)</f>
        <v/>
      </c>
      <c r="S5007">
        <f>IF(E5007=1,P5007*$G$157,Assumptions!$B$32)</f>
        <v/>
      </c>
      <c r="T5007">
        <f>IF(F5007=1,P5007*Assumptions!$B$14,Assumptions!$B$31)</f>
        <v/>
      </c>
      <c r="U5007">
        <f>IF(G5007=1,P5007*Assumptions!$B$13,Assumptions!$B$30)</f>
        <v/>
      </c>
      <c r="V5007">
        <f>IF(H5007=1,P5007*Assumptions!$B$12,Assumptions!$B$29)</f>
        <v/>
      </c>
      <c r="W5007">
        <f>IF(I5007=1,P5007*Assumptions!$B$11,Assumptions!$B$28)</f>
        <v/>
      </c>
      <c r="X5007">
        <f>P5007*($O$157+$S$157)</f>
        <v/>
      </c>
      <c r="Y5007">
        <f>P5007*Assumptions!$B$9</f>
        <v/>
      </c>
      <c r="Z5007">
        <f>IF(M5007=1,(P5007-Assumptions!$B$37)*Assumptions!$B$153,0)</f>
        <v/>
      </c>
      <c r="AA5007">
        <f>Q5007+R5007+S5007+T5007+U5007+V5007+W5007+X5007+Y5007+Z5007</f>
        <v/>
      </c>
      <c r="AB5007" t="n">
        <v>7</v>
      </c>
      <c r="AC5007" t="n">
        <v>71</v>
      </c>
      <c r="AD5007" t="n">
        <v>39</v>
      </c>
      <c r="AE5007" t="n">
        <v>23</v>
      </c>
      <c r="AF5007" t="n">
        <v>15</v>
      </c>
      <c r="AG5007" t="n">
        <v>3</v>
      </c>
      <c r="AH5007" t="n">
        <v>5</v>
      </c>
      <c r="AI5007" t="n">
        <v>6</v>
      </c>
      <c r="AJ5007">
        <f>INDEX($Q$5000:$Q$5127,AC5007+1)</f>
        <v/>
      </c>
      <c r="AK5007">
        <f>INDEX($R$5000:$R$5127,AD5007+1)</f>
        <v/>
      </c>
      <c r="AL5007">
        <f>INDEX($S$5000:$S$5127,AE5007+1)</f>
        <v/>
      </c>
      <c r="AM5007">
        <f>INDEX($T$5000:$T$5127,AF5007+1)</f>
        <v/>
      </c>
      <c r="AN5007">
        <f>INDEX($U$5000:$U$5127,AG5007+1)</f>
        <v/>
      </c>
      <c r="AO5007">
        <f>INDEX($V$5000:$V$5127,AH5007+1)</f>
        <v/>
      </c>
      <c r="AP5007">
        <f>INDEX($W$5000:$W$5127,AI5007+1)</f>
        <v/>
      </c>
      <c r="AQ5007">
        <f>IF(Q5007&gt;=AJ5007-0.01,1,0)</f>
        <v/>
      </c>
      <c r="AR5007">
        <f>IF(R5007&gt;=AK5007-0.01,1,0)</f>
        <v/>
      </c>
      <c r="AS5007">
        <f>IF(S5007&gt;=AL5007-0.01,1,0)</f>
        <v/>
      </c>
      <c r="AT5007">
        <f>IF(T5007&gt;=AM5007-0.01,1,0)</f>
        <v/>
      </c>
      <c r="AU5007">
        <f>IF(U5007&gt;=AN5007-0.01,1,0)</f>
        <v/>
      </c>
      <c r="AV5007">
        <f>IF(V5007&gt;=AO5007-0.01,1,0)</f>
        <v/>
      </c>
      <c r="AW5007">
        <f>IF(W5007&gt;=AP5007-0.01,1,0)</f>
        <v/>
      </c>
      <c r="AX5007">
        <f>AQ5007*AR5007*AS5007*AT5007*AU5007*AV5007*AW5007</f>
        <v/>
      </c>
    </row>
    <row r="5008">
      <c r="A5008" t="inlineStr"/>
      <c r="B5008">
        <f>Assumptions!$B$60</f>
        <v/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>
        <f>(1-C5008)*Assumptions!$B$41+(1-D5008)*Assumptions!$B$33+(1-E5008)*Assumptions!$B$32+(1-F5008)*Assumptions!$B$31+(1-G5008)*Assumptions!$B$30+(1-H5008)*Assumptions!$B$29+(1-I5008)*Assumptions!$B$28</f>
        <v/>
      </c>
      <c r="K5008">
        <f>C5008*$J$157+D5008*$F$157+E5008*$G$157+F5008*Assumptions!$B$14+G5008*Assumptions!$B$13+H5008*Assumptions!$B$12+I5008*Assumptions!$B$11+$O$157+$S$157+Assumptions!$B$9</f>
        <v/>
      </c>
      <c r="L5008">
        <f>B5008-J5008</f>
        <v/>
      </c>
      <c r="M5008">
        <f>IF(K5008&gt;0,IF(L5008/K5008&gt;=Assumptions!$B$37,1,0),0)</f>
        <v/>
      </c>
      <c r="N5008">
        <f>K5008+M5008*Assumptions!$B$153</f>
        <v/>
      </c>
      <c r="O5008">
        <f>L5008+M5008*Assumptions!$B$153*Assumptions!$B$37</f>
        <v/>
      </c>
      <c r="P5008">
        <f>IF(N5008&gt;0,O5008/N5008,0)</f>
        <v/>
      </c>
      <c r="Q5008">
        <f>IF(C5008=1,P5008*$J$157,Assumptions!$B$41)</f>
        <v/>
      </c>
      <c r="R5008">
        <f>IF(D5008=1,P5008*$F$157,Assumptions!$B$33)</f>
        <v/>
      </c>
      <c r="S5008">
        <f>IF(E5008=1,P5008*$G$157,Assumptions!$B$32)</f>
        <v/>
      </c>
      <c r="T5008">
        <f>IF(F5008=1,P5008*Assumptions!$B$14,Assumptions!$B$31)</f>
        <v/>
      </c>
      <c r="U5008">
        <f>IF(G5008=1,P5008*Assumptions!$B$13,Assumptions!$B$30)</f>
        <v/>
      </c>
      <c r="V5008">
        <f>IF(H5008=1,P5008*Assumptions!$B$12,Assumptions!$B$29)</f>
        <v/>
      </c>
      <c r="W5008">
        <f>IF(I5008=1,P5008*Assumptions!$B$11,Assumptions!$B$28)</f>
        <v/>
      </c>
      <c r="X5008">
        <f>P5008*($O$157+$S$157)</f>
        <v/>
      </c>
      <c r="Y5008">
        <f>P5008*Assumptions!$B$9</f>
        <v/>
      </c>
      <c r="Z5008">
        <f>IF(M5008=1,(P5008-Assumptions!$B$37)*Assumptions!$B$153,0)</f>
        <v/>
      </c>
      <c r="AA5008">
        <f>Q5008+R5008+S5008+T5008+U5008+V5008+W5008+X5008+Y5008+Z5008</f>
        <v/>
      </c>
      <c r="AB5008" t="n">
        <v>8</v>
      </c>
      <c r="AC5008" t="n">
        <v>72</v>
      </c>
      <c r="AD5008" t="n">
        <v>40</v>
      </c>
      <c r="AE5008" t="n">
        <v>24</v>
      </c>
      <c r="AF5008" t="n">
        <v>0</v>
      </c>
      <c r="AG5008" t="n">
        <v>12</v>
      </c>
      <c r="AH5008" t="n">
        <v>10</v>
      </c>
      <c r="AI5008" t="n">
        <v>9</v>
      </c>
      <c r="AJ5008">
        <f>INDEX($Q$5000:$Q$5127,AC5008+1)</f>
        <v/>
      </c>
      <c r="AK5008">
        <f>INDEX($R$5000:$R$5127,AD5008+1)</f>
        <v/>
      </c>
      <c r="AL5008">
        <f>INDEX($S$5000:$S$5127,AE5008+1)</f>
        <v/>
      </c>
      <c r="AM5008">
        <f>INDEX($T$5000:$T$5127,AF5008+1)</f>
        <v/>
      </c>
      <c r="AN5008">
        <f>INDEX($U$5000:$U$5127,AG5008+1)</f>
        <v/>
      </c>
      <c r="AO5008">
        <f>INDEX($V$5000:$V$5127,AH5008+1)</f>
        <v/>
      </c>
      <c r="AP5008">
        <f>INDEX($W$5000:$W$5127,AI5008+1)</f>
        <v/>
      </c>
      <c r="AQ5008">
        <f>IF(Q5008&gt;=AJ5008-0.01,1,0)</f>
        <v/>
      </c>
      <c r="AR5008">
        <f>IF(R5008&gt;=AK5008-0.01,1,0)</f>
        <v/>
      </c>
      <c r="AS5008">
        <f>IF(S5008&gt;=AL5008-0.01,1,0)</f>
        <v/>
      </c>
      <c r="AT5008">
        <f>IF(T5008&gt;=AM5008-0.01,1,0)</f>
        <v/>
      </c>
      <c r="AU5008">
        <f>IF(U5008&gt;=AN5008-0.01,1,0)</f>
        <v/>
      </c>
      <c r="AV5008">
        <f>IF(V5008&gt;=AO5008-0.01,1,0)</f>
        <v/>
      </c>
      <c r="AW5008">
        <f>IF(W5008&gt;=AP5008-0.01,1,0)</f>
        <v/>
      </c>
      <c r="AX5008">
        <f>AQ5008*AR5008*AS5008*AT5008*AU5008*AV5008*AW5008</f>
        <v/>
      </c>
    </row>
    <row r="5009">
      <c r="A5009" t="inlineStr"/>
      <c r="B5009">
        <f>Assumptions!$B$60</f>
        <v/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1</v>
      </c>
      <c r="J5009">
        <f>(1-C5009)*Assumptions!$B$41+(1-D5009)*Assumptions!$B$33+(1-E5009)*Assumptions!$B$32+(1-F5009)*Assumptions!$B$31+(1-G5009)*Assumptions!$B$30+(1-H5009)*Assumptions!$B$29+(1-I5009)*Assumptions!$B$28</f>
        <v/>
      </c>
      <c r="K5009">
        <f>C5009*$J$157+D5009*$F$157+E5009*$G$157+F5009*Assumptions!$B$14+G5009*Assumptions!$B$13+H5009*Assumptions!$B$12+I5009*Assumptions!$B$11+$O$157+$S$157+Assumptions!$B$9</f>
        <v/>
      </c>
      <c r="L5009">
        <f>B5009-J5009</f>
        <v/>
      </c>
      <c r="M5009">
        <f>IF(K5009&gt;0,IF(L5009/K5009&gt;=Assumptions!$B$37,1,0),0)</f>
        <v/>
      </c>
      <c r="N5009">
        <f>K5009+M5009*Assumptions!$B$153</f>
        <v/>
      </c>
      <c r="O5009">
        <f>L5009+M5009*Assumptions!$B$153*Assumptions!$B$37</f>
        <v/>
      </c>
      <c r="P5009">
        <f>IF(N5009&gt;0,O5009/N5009,0)</f>
        <v/>
      </c>
      <c r="Q5009">
        <f>IF(C5009=1,P5009*$J$157,Assumptions!$B$41)</f>
        <v/>
      </c>
      <c r="R5009">
        <f>IF(D5009=1,P5009*$F$157,Assumptions!$B$33)</f>
        <v/>
      </c>
      <c r="S5009">
        <f>IF(E5009=1,P5009*$G$157,Assumptions!$B$32)</f>
        <v/>
      </c>
      <c r="T5009">
        <f>IF(F5009=1,P5009*Assumptions!$B$14,Assumptions!$B$31)</f>
        <v/>
      </c>
      <c r="U5009">
        <f>IF(G5009=1,P5009*Assumptions!$B$13,Assumptions!$B$30)</f>
        <v/>
      </c>
      <c r="V5009">
        <f>IF(H5009=1,P5009*Assumptions!$B$12,Assumptions!$B$29)</f>
        <v/>
      </c>
      <c r="W5009">
        <f>IF(I5009=1,P5009*Assumptions!$B$11,Assumptions!$B$28)</f>
        <v/>
      </c>
      <c r="X5009">
        <f>P5009*($O$157+$S$157)</f>
        <v/>
      </c>
      <c r="Y5009">
        <f>P5009*Assumptions!$B$9</f>
        <v/>
      </c>
      <c r="Z5009">
        <f>IF(M5009=1,(P5009-Assumptions!$B$37)*Assumptions!$B$153,0)</f>
        <v/>
      </c>
      <c r="AA5009">
        <f>Q5009+R5009+S5009+T5009+U5009+V5009+W5009+X5009+Y5009+Z5009</f>
        <v/>
      </c>
      <c r="AB5009" t="n">
        <v>9</v>
      </c>
      <c r="AC5009" t="n">
        <v>73</v>
      </c>
      <c r="AD5009" t="n">
        <v>41</v>
      </c>
      <c r="AE5009" t="n">
        <v>25</v>
      </c>
      <c r="AF5009" t="n">
        <v>1</v>
      </c>
      <c r="AG5009" t="n">
        <v>13</v>
      </c>
      <c r="AH5009" t="n">
        <v>11</v>
      </c>
      <c r="AI5009" t="n">
        <v>8</v>
      </c>
      <c r="AJ5009">
        <f>INDEX($Q$5000:$Q$5127,AC5009+1)</f>
        <v/>
      </c>
      <c r="AK5009">
        <f>INDEX($R$5000:$R$5127,AD5009+1)</f>
        <v/>
      </c>
      <c r="AL5009">
        <f>INDEX($S$5000:$S$5127,AE5009+1)</f>
        <v/>
      </c>
      <c r="AM5009">
        <f>INDEX($T$5000:$T$5127,AF5009+1)</f>
        <v/>
      </c>
      <c r="AN5009">
        <f>INDEX($U$5000:$U$5127,AG5009+1)</f>
        <v/>
      </c>
      <c r="AO5009">
        <f>INDEX($V$5000:$V$5127,AH5009+1)</f>
        <v/>
      </c>
      <c r="AP5009">
        <f>INDEX($W$5000:$W$5127,AI5009+1)</f>
        <v/>
      </c>
      <c r="AQ5009">
        <f>IF(Q5009&gt;=AJ5009-0.01,1,0)</f>
        <v/>
      </c>
      <c r="AR5009">
        <f>IF(R5009&gt;=AK5009-0.01,1,0)</f>
        <v/>
      </c>
      <c r="AS5009">
        <f>IF(S5009&gt;=AL5009-0.01,1,0)</f>
        <v/>
      </c>
      <c r="AT5009">
        <f>IF(T5009&gt;=AM5009-0.01,1,0)</f>
        <v/>
      </c>
      <c r="AU5009">
        <f>IF(U5009&gt;=AN5009-0.01,1,0)</f>
        <v/>
      </c>
      <c r="AV5009">
        <f>IF(V5009&gt;=AO5009-0.01,1,0)</f>
        <v/>
      </c>
      <c r="AW5009">
        <f>IF(W5009&gt;=AP5009-0.01,1,0)</f>
        <v/>
      </c>
      <c r="AX5009">
        <f>AQ5009*AR5009*AS5009*AT5009*AU5009*AV5009*AW5009</f>
        <v/>
      </c>
    </row>
    <row r="5010">
      <c r="A5010" t="inlineStr"/>
      <c r="B5010">
        <f>Assumptions!$B$60</f>
        <v/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1</v>
      </c>
      <c r="I5010" t="n">
        <v>0</v>
      </c>
      <c r="J5010">
        <f>(1-C5010)*Assumptions!$B$41+(1-D5010)*Assumptions!$B$33+(1-E5010)*Assumptions!$B$32+(1-F5010)*Assumptions!$B$31+(1-G5010)*Assumptions!$B$30+(1-H5010)*Assumptions!$B$29+(1-I5010)*Assumptions!$B$28</f>
        <v/>
      </c>
      <c r="K5010">
        <f>C5010*$J$157+D5010*$F$157+E5010*$G$157+F5010*Assumptions!$B$14+G5010*Assumptions!$B$13+H5010*Assumptions!$B$12+I5010*Assumptions!$B$11+$O$157+$S$157+Assumptions!$B$9</f>
        <v/>
      </c>
      <c r="L5010">
        <f>B5010-J5010</f>
        <v/>
      </c>
      <c r="M5010">
        <f>IF(K5010&gt;0,IF(L5010/K5010&gt;=Assumptions!$B$37,1,0),0)</f>
        <v/>
      </c>
      <c r="N5010">
        <f>K5010+M5010*Assumptions!$B$153</f>
        <v/>
      </c>
      <c r="O5010">
        <f>L5010+M5010*Assumptions!$B$153*Assumptions!$B$37</f>
        <v/>
      </c>
      <c r="P5010">
        <f>IF(N5010&gt;0,O5010/N5010,0)</f>
        <v/>
      </c>
      <c r="Q5010">
        <f>IF(C5010=1,P5010*$J$157,Assumptions!$B$41)</f>
        <v/>
      </c>
      <c r="R5010">
        <f>IF(D5010=1,P5010*$F$157,Assumptions!$B$33)</f>
        <v/>
      </c>
      <c r="S5010">
        <f>IF(E5010=1,P5010*$G$157,Assumptions!$B$32)</f>
        <v/>
      </c>
      <c r="T5010">
        <f>IF(F5010=1,P5010*Assumptions!$B$14,Assumptions!$B$31)</f>
        <v/>
      </c>
      <c r="U5010">
        <f>IF(G5010=1,P5010*Assumptions!$B$13,Assumptions!$B$30)</f>
        <v/>
      </c>
      <c r="V5010">
        <f>IF(H5010=1,P5010*Assumptions!$B$12,Assumptions!$B$29)</f>
        <v/>
      </c>
      <c r="W5010">
        <f>IF(I5010=1,P5010*Assumptions!$B$11,Assumptions!$B$28)</f>
        <v/>
      </c>
      <c r="X5010">
        <f>P5010*($O$157+$S$157)</f>
        <v/>
      </c>
      <c r="Y5010">
        <f>P5010*Assumptions!$B$9</f>
        <v/>
      </c>
      <c r="Z5010">
        <f>IF(M5010=1,(P5010-Assumptions!$B$37)*Assumptions!$B$153,0)</f>
        <v/>
      </c>
      <c r="AA5010">
        <f>Q5010+R5010+S5010+T5010+U5010+V5010+W5010+X5010+Y5010+Z5010</f>
        <v/>
      </c>
      <c r="AB5010" t="n">
        <v>10</v>
      </c>
      <c r="AC5010" t="n">
        <v>74</v>
      </c>
      <c r="AD5010" t="n">
        <v>42</v>
      </c>
      <c r="AE5010" t="n">
        <v>26</v>
      </c>
      <c r="AF5010" t="n">
        <v>2</v>
      </c>
      <c r="AG5010" t="n">
        <v>14</v>
      </c>
      <c r="AH5010" t="n">
        <v>8</v>
      </c>
      <c r="AI5010" t="n">
        <v>11</v>
      </c>
      <c r="AJ5010">
        <f>INDEX($Q$5000:$Q$5127,AC5010+1)</f>
        <v/>
      </c>
      <c r="AK5010">
        <f>INDEX($R$5000:$R$5127,AD5010+1)</f>
        <v/>
      </c>
      <c r="AL5010">
        <f>INDEX($S$5000:$S$5127,AE5010+1)</f>
        <v/>
      </c>
      <c r="AM5010">
        <f>INDEX($T$5000:$T$5127,AF5010+1)</f>
        <v/>
      </c>
      <c r="AN5010">
        <f>INDEX($U$5000:$U$5127,AG5010+1)</f>
        <v/>
      </c>
      <c r="AO5010">
        <f>INDEX($V$5000:$V$5127,AH5010+1)</f>
        <v/>
      </c>
      <c r="AP5010">
        <f>INDEX($W$5000:$W$5127,AI5010+1)</f>
        <v/>
      </c>
      <c r="AQ5010">
        <f>IF(Q5010&gt;=AJ5010-0.01,1,0)</f>
        <v/>
      </c>
      <c r="AR5010">
        <f>IF(R5010&gt;=AK5010-0.01,1,0)</f>
        <v/>
      </c>
      <c r="AS5010">
        <f>IF(S5010&gt;=AL5010-0.01,1,0)</f>
        <v/>
      </c>
      <c r="AT5010">
        <f>IF(T5010&gt;=AM5010-0.01,1,0)</f>
        <v/>
      </c>
      <c r="AU5010">
        <f>IF(U5010&gt;=AN5010-0.01,1,0)</f>
        <v/>
      </c>
      <c r="AV5010">
        <f>IF(V5010&gt;=AO5010-0.01,1,0)</f>
        <v/>
      </c>
      <c r="AW5010">
        <f>IF(W5010&gt;=AP5010-0.01,1,0)</f>
        <v/>
      </c>
      <c r="AX5010">
        <f>AQ5010*AR5010*AS5010*AT5010*AU5010*AV5010*AW5010</f>
        <v/>
      </c>
    </row>
    <row r="5011">
      <c r="A5011" t="inlineStr"/>
      <c r="B5011">
        <f>Assumptions!$B$60</f>
        <v/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1</v>
      </c>
      <c r="J5011">
        <f>(1-C5011)*Assumptions!$B$41+(1-D5011)*Assumptions!$B$33+(1-E5011)*Assumptions!$B$32+(1-F5011)*Assumptions!$B$31+(1-G5011)*Assumptions!$B$30+(1-H5011)*Assumptions!$B$29+(1-I5011)*Assumptions!$B$28</f>
        <v/>
      </c>
      <c r="K5011">
        <f>C5011*$J$157+D5011*$F$157+E5011*$G$157+F5011*Assumptions!$B$14+G5011*Assumptions!$B$13+H5011*Assumptions!$B$12+I5011*Assumptions!$B$11+$O$157+$S$157+Assumptions!$B$9</f>
        <v/>
      </c>
      <c r="L5011">
        <f>B5011-J5011</f>
        <v/>
      </c>
      <c r="M5011">
        <f>IF(K5011&gt;0,IF(L5011/K5011&gt;=Assumptions!$B$37,1,0),0)</f>
        <v/>
      </c>
      <c r="N5011">
        <f>K5011+M5011*Assumptions!$B$153</f>
        <v/>
      </c>
      <c r="O5011">
        <f>L5011+M5011*Assumptions!$B$153*Assumptions!$B$37</f>
        <v/>
      </c>
      <c r="P5011">
        <f>IF(N5011&gt;0,O5011/N5011,0)</f>
        <v/>
      </c>
      <c r="Q5011">
        <f>IF(C5011=1,P5011*$J$157,Assumptions!$B$41)</f>
        <v/>
      </c>
      <c r="R5011">
        <f>IF(D5011=1,P5011*$F$157,Assumptions!$B$33)</f>
        <v/>
      </c>
      <c r="S5011">
        <f>IF(E5011=1,P5011*$G$157,Assumptions!$B$32)</f>
        <v/>
      </c>
      <c r="T5011">
        <f>IF(F5011=1,P5011*Assumptions!$B$14,Assumptions!$B$31)</f>
        <v/>
      </c>
      <c r="U5011">
        <f>IF(G5011=1,P5011*Assumptions!$B$13,Assumptions!$B$30)</f>
        <v/>
      </c>
      <c r="V5011">
        <f>IF(H5011=1,P5011*Assumptions!$B$12,Assumptions!$B$29)</f>
        <v/>
      </c>
      <c r="W5011">
        <f>IF(I5011=1,P5011*Assumptions!$B$11,Assumptions!$B$28)</f>
        <v/>
      </c>
      <c r="X5011">
        <f>P5011*($O$157+$S$157)</f>
        <v/>
      </c>
      <c r="Y5011">
        <f>P5011*Assumptions!$B$9</f>
        <v/>
      </c>
      <c r="Z5011">
        <f>IF(M5011=1,(P5011-Assumptions!$B$37)*Assumptions!$B$153,0)</f>
        <v/>
      </c>
      <c r="AA5011">
        <f>Q5011+R5011+S5011+T5011+U5011+V5011+W5011+X5011+Y5011+Z5011</f>
        <v/>
      </c>
      <c r="AB5011" t="n">
        <v>11</v>
      </c>
      <c r="AC5011" t="n">
        <v>75</v>
      </c>
      <c r="AD5011" t="n">
        <v>43</v>
      </c>
      <c r="AE5011" t="n">
        <v>27</v>
      </c>
      <c r="AF5011" t="n">
        <v>3</v>
      </c>
      <c r="AG5011" t="n">
        <v>15</v>
      </c>
      <c r="AH5011" t="n">
        <v>9</v>
      </c>
      <c r="AI5011" t="n">
        <v>10</v>
      </c>
      <c r="AJ5011">
        <f>INDEX($Q$5000:$Q$5127,AC5011+1)</f>
        <v/>
      </c>
      <c r="AK5011">
        <f>INDEX($R$5000:$R$5127,AD5011+1)</f>
        <v/>
      </c>
      <c r="AL5011">
        <f>INDEX($S$5000:$S$5127,AE5011+1)</f>
        <v/>
      </c>
      <c r="AM5011">
        <f>INDEX($T$5000:$T$5127,AF5011+1)</f>
        <v/>
      </c>
      <c r="AN5011">
        <f>INDEX($U$5000:$U$5127,AG5011+1)</f>
        <v/>
      </c>
      <c r="AO5011">
        <f>INDEX($V$5000:$V$5127,AH5011+1)</f>
        <v/>
      </c>
      <c r="AP5011">
        <f>INDEX($W$5000:$W$5127,AI5011+1)</f>
        <v/>
      </c>
      <c r="AQ5011">
        <f>IF(Q5011&gt;=AJ5011-0.01,1,0)</f>
        <v/>
      </c>
      <c r="AR5011">
        <f>IF(R5011&gt;=AK5011-0.01,1,0)</f>
        <v/>
      </c>
      <c r="AS5011">
        <f>IF(S5011&gt;=AL5011-0.01,1,0)</f>
        <v/>
      </c>
      <c r="AT5011">
        <f>IF(T5011&gt;=AM5011-0.01,1,0)</f>
        <v/>
      </c>
      <c r="AU5011">
        <f>IF(U5011&gt;=AN5011-0.01,1,0)</f>
        <v/>
      </c>
      <c r="AV5011">
        <f>IF(V5011&gt;=AO5011-0.01,1,0)</f>
        <v/>
      </c>
      <c r="AW5011">
        <f>IF(W5011&gt;=AP5011-0.01,1,0)</f>
        <v/>
      </c>
      <c r="AX5011">
        <f>AQ5011*AR5011*AS5011*AT5011*AU5011*AV5011*AW5011</f>
        <v/>
      </c>
    </row>
    <row r="5012">
      <c r="A5012" t="inlineStr"/>
      <c r="B5012">
        <f>Assumptions!$B$60</f>
        <v/>
      </c>
      <c r="C5012" t="n">
        <v>0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>
        <f>(1-C5012)*Assumptions!$B$41+(1-D5012)*Assumptions!$B$33+(1-E5012)*Assumptions!$B$32+(1-F5012)*Assumptions!$B$31+(1-G5012)*Assumptions!$B$30+(1-H5012)*Assumptions!$B$29+(1-I5012)*Assumptions!$B$28</f>
        <v/>
      </c>
      <c r="K5012">
        <f>C5012*$J$157+D5012*$F$157+E5012*$G$157+F5012*Assumptions!$B$14+G5012*Assumptions!$B$13+H5012*Assumptions!$B$12+I5012*Assumptions!$B$11+$O$157+$S$157+Assumptions!$B$9</f>
        <v/>
      </c>
      <c r="L5012">
        <f>B5012-J5012</f>
        <v/>
      </c>
      <c r="M5012">
        <f>IF(K5012&gt;0,IF(L5012/K5012&gt;=Assumptions!$B$37,1,0),0)</f>
        <v/>
      </c>
      <c r="N5012">
        <f>K5012+M5012*Assumptions!$B$153</f>
        <v/>
      </c>
      <c r="O5012">
        <f>L5012+M5012*Assumptions!$B$153*Assumptions!$B$37</f>
        <v/>
      </c>
      <c r="P5012">
        <f>IF(N5012&gt;0,O5012/N5012,0)</f>
        <v/>
      </c>
      <c r="Q5012">
        <f>IF(C5012=1,P5012*$J$157,Assumptions!$B$41)</f>
        <v/>
      </c>
      <c r="R5012">
        <f>IF(D5012=1,P5012*$F$157,Assumptions!$B$33)</f>
        <v/>
      </c>
      <c r="S5012">
        <f>IF(E5012=1,P5012*$G$157,Assumptions!$B$32)</f>
        <v/>
      </c>
      <c r="T5012">
        <f>IF(F5012=1,P5012*Assumptions!$B$14,Assumptions!$B$31)</f>
        <v/>
      </c>
      <c r="U5012">
        <f>IF(G5012=1,P5012*Assumptions!$B$13,Assumptions!$B$30)</f>
        <v/>
      </c>
      <c r="V5012">
        <f>IF(H5012=1,P5012*Assumptions!$B$12,Assumptions!$B$29)</f>
        <v/>
      </c>
      <c r="W5012">
        <f>IF(I5012=1,P5012*Assumptions!$B$11,Assumptions!$B$28)</f>
        <v/>
      </c>
      <c r="X5012">
        <f>P5012*($O$157+$S$157)</f>
        <v/>
      </c>
      <c r="Y5012">
        <f>P5012*Assumptions!$B$9</f>
        <v/>
      </c>
      <c r="Z5012">
        <f>IF(M5012=1,(P5012-Assumptions!$B$37)*Assumptions!$B$153,0)</f>
        <v/>
      </c>
      <c r="AA5012">
        <f>Q5012+R5012+S5012+T5012+U5012+V5012+W5012+X5012+Y5012+Z5012</f>
        <v/>
      </c>
      <c r="AB5012" t="n">
        <v>12</v>
      </c>
      <c r="AC5012" t="n">
        <v>76</v>
      </c>
      <c r="AD5012" t="n">
        <v>44</v>
      </c>
      <c r="AE5012" t="n">
        <v>28</v>
      </c>
      <c r="AF5012" t="n">
        <v>4</v>
      </c>
      <c r="AG5012" t="n">
        <v>8</v>
      </c>
      <c r="AH5012" t="n">
        <v>14</v>
      </c>
      <c r="AI5012" t="n">
        <v>13</v>
      </c>
      <c r="AJ5012">
        <f>INDEX($Q$5000:$Q$5127,AC5012+1)</f>
        <v/>
      </c>
      <c r="AK5012">
        <f>INDEX($R$5000:$R$5127,AD5012+1)</f>
        <v/>
      </c>
      <c r="AL5012">
        <f>INDEX($S$5000:$S$5127,AE5012+1)</f>
        <v/>
      </c>
      <c r="AM5012">
        <f>INDEX($T$5000:$T$5127,AF5012+1)</f>
        <v/>
      </c>
      <c r="AN5012">
        <f>INDEX($U$5000:$U$5127,AG5012+1)</f>
        <v/>
      </c>
      <c r="AO5012">
        <f>INDEX($V$5000:$V$5127,AH5012+1)</f>
        <v/>
      </c>
      <c r="AP5012">
        <f>INDEX($W$5000:$W$5127,AI5012+1)</f>
        <v/>
      </c>
      <c r="AQ5012">
        <f>IF(Q5012&gt;=AJ5012-0.01,1,0)</f>
        <v/>
      </c>
      <c r="AR5012">
        <f>IF(R5012&gt;=AK5012-0.01,1,0)</f>
        <v/>
      </c>
      <c r="AS5012">
        <f>IF(S5012&gt;=AL5012-0.01,1,0)</f>
        <v/>
      </c>
      <c r="AT5012">
        <f>IF(T5012&gt;=AM5012-0.01,1,0)</f>
        <v/>
      </c>
      <c r="AU5012">
        <f>IF(U5012&gt;=AN5012-0.01,1,0)</f>
        <v/>
      </c>
      <c r="AV5012">
        <f>IF(V5012&gt;=AO5012-0.01,1,0)</f>
        <v/>
      </c>
      <c r="AW5012">
        <f>IF(W5012&gt;=AP5012-0.01,1,0)</f>
        <v/>
      </c>
      <c r="AX5012">
        <f>AQ5012*AR5012*AS5012*AT5012*AU5012*AV5012*AW5012</f>
        <v/>
      </c>
    </row>
    <row r="5013">
      <c r="A5013" t="inlineStr"/>
      <c r="B5013">
        <f>Assumptions!$B$60</f>
        <v/>
      </c>
      <c r="C5013" t="n">
        <v>0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1</v>
      </c>
      <c r="J5013">
        <f>(1-C5013)*Assumptions!$B$41+(1-D5013)*Assumptions!$B$33+(1-E5013)*Assumptions!$B$32+(1-F5013)*Assumptions!$B$31+(1-G5013)*Assumptions!$B$30+(1-H5013)*Assumptions!$B$29+(1-I5013)*Assumptions!$B$28</f>
        <v/>
      </c>
      <c r="K5013">
        <f>C5013*$J$157+D5013*$F$157+E5013*$G$157+F5013*Assumptions!$B$14+G5013*Assumptions!$B$13+H5013*Assumptions!$B$12+I5013*Assumptions!$B$11+$O$157+$S$157+Assumptions!$B$9</f>
        <v/>
      </c>
      <c r="L5013">
        <f>B5013-J5013</f>
        <v/>
      </c>
      <c r="M5013">
        <f>IF(K5013&gt;0,IF(L5013/K5013&gt;=Assumptions!$B$37,1,0),0)</f>
        <v/>
      </c>
      <c r="N5013">
        <f>K5013+M5013*Assumptions!$B$153</f>
        <v/>
      </c>
      <c r="O5013">
        <f>L5013+M5013*Assumptions!$B$153*Assumptions!$B$37</f>
        <v/>
      </c>
      <c r="P5013">
        <f>IF(N5013&gt;0,O5013/N5013,0)</f>
        <v/>
      </c>
      <c r="Q5013">
        <f>IF(C5013=1,P5013*$J$157,Assumptions!$B$41)</f>
        <v/>
      </c>
      <c r="R5013">
        <f>IF(D5013=1,P5013*$F$157,Assumptions!$B$33)</f>
        <v/>
      </c>
      <c r="S5013">
        <f>IF(E5013=1,P5013*$G$157,Assumptions!$B$32)</f>
        <v/>
      </c>
      <c r="T5013">
        <f>IF(F5013=1,P5013*Assumptions!$B$14,Assumptions!$B$31)</f>
        <v/>
      </c>
      <c r="U5013">
        <f>IF(G5013=1,P5013*Assumptions!$B$13,Assumptions!$B$30)</f>
        <v/>
      </c>
      <c r="V5013">
        <f>IF(H5013=1,P5013*Assumptions!$B$12,Assumptions!$B$29)</f>
        <v/>
      </c>
      <c r="W5013">
        <f>IF(I5013=1,P5013*Assumptions!$B$11,Assumptions!$B$28)</f>
        <v/>
      </c>
      <c r="X5013">
        <f>P5013*($O$157+$S$157)</f>
        <v/>
      </c>
      <c r="Y5013">
        <f>P5013*Assumptions!$B$9</f>
        <v/>
      </c>
      <c r="Z5013">
        <f>IF(M5013=1,(P5013-Assumptions!$B$37)*Assumptions!$B$153,0)</f>
        <v/>
      </c>
      <c r="AA5013">
        <f>Q5013+R5013+S5013+T5013+U5013+V5013+W5013+X5013+Y5013+Z5013</f>
        <v/>
      </c>
      <c r="AB5013" t="n">
        <v>13</v>
      </c>
      <c r="AC5013" t="n">
        <v>77</v>
      </c>
      <c r="AD5013" t="n">
        <v>45</v>
      </c>
      <c r="AE5013" t="n">
        <v>29</v>
      </c>
      <c r="AF5013" t="n">
        <v>5</v>
      </c>
      <c r="AG5013" t="n">
        <v>9</v>
      </c>
      <c r="AH5013" t="n">
        <v>15</v>
      </c>
      <c r="AI5013" t="n">
        <v>12</v>
      </c>
      <c r="AJ5013">
        <f>INDEX($Q$5000:$Q$5127,AC5013+1)</f>
        <v/>
      </c>
      <c r="AK5013">
        <f>INDEX($R$5000:$R$5127,AD5013+1)</f>
        <v/>
      </c>
      <c r="AL5013">
        <f>INDEX($S$5000:$S$5127,AE5013+1)</f>
        <v/>
      </c>
      <c r="AM5013">
        <f>INDEX($T$5000:$T$5127,AF5013+1)</f>
        <v/>
      </c>
      <c r="AN5013">
        <f>INDEX($U$5000:$U$5127,AG5013+1)</f>
        <v/>
      </c>
      <c r="AO5013">
        <f>INDEX($V$5000:$V$5127,AH5013+1)</f>
        <v/>
      </c>
      <c r="AP5013">
        <f>INDEX($W$5000:$W$5127,AI5013+1)</f>
        <v/>
      </c>
      <c r="AQ5013">
        <f>IF(Q5013&gt;=AJ5013-0.01,1,0)</f>
        <v/>
      </c>
      <c r="AR5013">
        <f>IF(R5013&gt;=AK5013-0.01,1,0)</f>
        <v/>
      </c>
      <c r="AS5013">
        <f>IF(S5013&gt;=AL5013-0.01,1,0)</f>
        <v/>
      </c>
      <c r="AT5013">
        <f>IF(T5013&gt;=AM5013-0.01,1,0)</f>
        <v/>
      </c>
      <c r="AU5013">
        <f>IF(U5013&gt;=AN5013-0.01,1,0)</f>
        <v/>
      </c>
      <c r="AV5013">
        <f>IF(V5013&gt;=AO5013-0.01,1,0)</f>
        <v/>
      </c>
      <c r="AW5013">
        <f>IF(W5013&gt;=AP5013-0.01,1,0)</f>
        <v/>
      </c>
      <c r="AX5013">
        <f>AQ5013*AR5013*AS5013*AT5013*AU5013*AV5013*AW5013</f>
        <v/>
      </c>
    </row>
    <row r="5014">
      <c r="A5014" t="inlineStr"/>
      <c r="B5014">
        <f>Assumptions!$B$60</f>
        <v/>
      </c>
      <c r="C5014" t="n">
        <v>0</v>
      </c>
      <c r="D5014" t="n">
        <v>0</v>
      </c>
      <c r="E5014" t="n">
        <v>0</v>
      </c>
      <c r="F5014" t="n">
        <v>1</v>
      </c>
      <c r="G5014" t="n">
        <v>1</v>
      </c>
      <c r="H5014" t="n">
        <v>1</v>
      </c>
      <c r="I5014" t="n">
        <v>0</v>
      </c>
      <c r="J5014">
        <f>(1-C5014)*Assumptions!$B$41+(1-D5014)*Assumptions!$B$33+(1-E5014)*Assumptions!$B$32+(1-F5014)*Assumptions!$B$31+(1-G5014)*Assumptions!$B$30+(1-H5014)*Assumptions!$B$29+(1-I5014)*Assumptions!$B$28</f>
        <v/>
      </c>
      <c r="K5014">
        <f>C5014*$J$157+D5014*$F$157+E5014*$G$157+F5014*Assumptions!$B$14+G5014*Assumptions!$B$13+H5014*Assumptions!$B$12+I5014*Assumptions!$B$11+$O$157+$S$157+Assumptions!$B$9</f>
        <v/>
      </c>
      <c r="L5014">
        <f>B5014-J5014</f>
        <v/>
      </c>
      <c r="M5014">
        <f>IF(K5014&gt;0,IF(L5014/K5014&gt;=Assumptions!$B$37,1,0),0)</f>
        <v/>
      </c>
      <c r="N5014">
        <f>K5014+M5014*Assumptions!$B$153</f>
        <v/>
      </c>
      <c r="O5014">
        <f>L5014+M5014*Assumptions!$B$153*Assumptions!$B$37</f>
        <v/>
      </c>
      <c r="P5014">
        <f>IF(N5014&gt;0,O5014/N5014,0)</f>
        <v/>
      </c>
      <c r="Q5014">
        <f>IF(C5014=1,P5014*$J$157,Assumptions!$B$41)</f>
        <v/>
      </c>
      <c r="R5014">
        <f>IF(D5014=1,P5014*$F$157,Assumptions!$B$33)</f>
        <v/>
      </c>
      <c r="S5014">
        <f>IF(E5014=1,P5014*$G$157,Assumptions!$B$32)</f>
        <v/>
      </c>
      <c r="T5014">
        <f>IF(F5014=1,P5014*Assumptions!$B$14,Assumptions!$B$31)</f>
        <v/>
      </c>
      <c r="U5014">
        <f>IF(G5014=1,P5014*Assumptions!$B$13,Assumptions!$B$30)</f>
        <v/>
      </c>
      <c r="V5014">
        <f>IF(H5014=1,P5014*Assumptions!$B$12,Assumptions!$B$29)</f>
        <v/>
      </c>
      <c r="W5014">
        <f>IF(I5014=1,P5014*Assumptions!$B$11,Assumptions!$B$28)</f>
        <v/>
      </c>
      <c r="X5014">
        <f>P5014*($O$157+$S$157)</f>
        <v/>
      </c>
      <c r="Y5014">
        <f>P5014*Assumptions!$B$9</f>
        <v/>
      </c>
      <c r="Z5014">
        <f>IF(M5014=1,(P5014-Assumptions!$B$37)*Assumptions!$B$153,0)</f>
        <v/>
      </c>
      <c r="AA5014">
        <f>Q5014+R5014+S5014+T5014+U5014+V5014+W5014+X5014+Y5014+Z5014</f>
        <v/>
      </c>
      <c r="AB5014" t="n">
        <v>14</v>
      </c>
      <c r="AC5014" t="n">
        <v>78</v>
      </c>
      <c r="AD5014" t="n">
        <v>46</v>
      </c>
      <c r="AE5014" t="n">
        <v>30</v>
      </c>
      <c r="AF5014" t="n">
        <v>6</v>
      </c>
      <c r="AG5014" t="n">
        <v>10</v>
      </c>
      <c r="AH5014" t="n">
        <v>12</v>
      </c>
      <c r="AI5014" t="n">
        <v>15</v>
      </c>
      <c r="AJ5014">
        <f>INDEX($Q$5000:$Q$5127,AC5014+1)</f>
        <v/>
      </c>
      <c r="AK5014">
        <f>INDEX($R$5000:$R$5127,AD5014+1)</f>
        <v/>
      </c>
      <c r="AL5014">
        <f>INDEX($S$5000:$S$5127,AE5014+1)</f>
        <v/>
      </c>
      <c r="AM5014">
        <f>INDEX($T$5000:$T$5127,AF5014+1)</f>
        <v/>
      </c>
      <c r="AN5014">
        <f>INDEX($U$5000:$U$5127,AG5014+1)</f>
        <v/>
      </c>
      <c r="AO5014">
        <f>INDEX($V$5000:$V$5127,AH5014+1)</f>
        <v/>
      </c>
      <c r="AP5014">
        <f>INDEX($W$5000:$W$5127,AI5014+1)</f>
        <v/>
      </c>
      <c r="AQ5014">
        <f>IF(Q5014&gt;=AJ5014-0.01,1,0)</f>
        <v/>
      </c>
      <c r="AR5014">
        <f>IF(R5014&gt;=AK5014-0.01,1,0)</f>
        <v/>
      </c>
      <c r="AS5014">
        <f>IF(S5014&gt;=AL5014-0.01,1,0)</f>
        <v/>
      </c>
      <c r="AT5014">
        <f>IF(T5014&gt;=AM5014-0.01,1,0)</f>
        <v/>
      </c>
      <c r="AU5014">
        <f>IF(U5014&gt;=AN5014-0.01,1,0)</f>
        <v/>
      </c>
      <c r="AV5014">
        <f>IF(V5014&gt;=AO5014-0.01,1,0)</f>
        <v/>
      </c>
      <c r="AW5014">
        <f>IF(W5014&gt;=AP5014-0.01,1,0)</f>
        <v/>
      </c>
      <c r="AX5014">
        <f>AQ5014*AR5014*AS5014*AT5014*AU5014*AV5014*AW5014</f>
        <v/>
      </c>
    </row>
    <row r="5015">
      <c r="A5015" t="inlineStr"/>
      <c r="B5015">
        <f>Assumptions!$B$60</f>
        <v/>
      </c>
      <c r="C5015" t="n">
        <v>0</v>
      </c>
      <c r="D5015" t="n">
        <v>0</v>
      </c>
      <c r="E5015" t="n">
        <v>0</v>
      </c>
      <c r="F5015" t="n">
        <v>1</v>
      </c>
      <c r="G5015" t="n">
        <v>1</v>
      </c>
      <c r="H5015" t="n">
        <v>1</v>
      </c>
      <c r="I5015" t="n">
        <v>1</v>
      </c>
      <c r="J5015">
        <f>(1-C5015)*Assumptions!$B$41+(1-D5015)*Assumptions!$B$33+(1-E5015)*Assumptions!$B$32+(1-F5015)*Assumptions!$B$31+(1-G5015)*Assumptions!$B$30+(1-H5015)*Assumptions!$B$29+(1-I5015)*Assumptions!$B$28</f>
        <v/>
      </c>
      <c r="K5015">
        <f>C5015*$J$157+D5015*$F$157+E5015*$G$157+F5015*Assumptions!$B$14+G5015*Assumptions!$B$13+H5015*Assumptions!$B$12+I5015*Assumptions!$B$11+$O$157+$S$157+Assumptions!$B$9</f>
        <v/>
      </c>
      <c r="L5015">
        <f>B5015-J5015</f>
        <v/>
      </c>
      <c r="M5015">
        <f>IF(K5015&gt;0,IF(L5015/K5015&gt;=Assumptions!$B$37,1,0),0)</f>
        <v/>
      </c>
      <c r="N5015">
        <f>K5015+M5015*Assumptions!$B$153</f>
        <v/>
      </c>
      <c r="O5015">
        <f>L5015+M5015*Assumptions!$B$153*Assumptions!$B$37</f>
        <v/>
      </c>
      <c r="P5015">
        <f>IF(N5015&gt;0,O5015/N5015,0)</f>
        <v/>
      </c>
      <c r="Q5015">
        <f>IF(C5015=1,P5015*$J$157,Assumptions!$B$41)</f>
        <v/>
      </c>
      <c r="R5015">
        <f>IF(D5015=1,P5015*$F$157,Assumptions!$B$33)</f>
        <v/>
      </c>
      <c r="S5015">
        <f>IF(E5015=1,P5015*$G$157,Assumptions!$B$32)</f>
        <v/>
      </c>
      <c r="T5015">
        <f>IF(F5015=1,P5015*Assumptions!$B$14,Assumptions!$B$31)</f>
        <v/>
      </c>
      <c r="U5015">
        <f>IF(G5015=1,P5015*Assumptions!$B$13,Assumptions!$B$30)</f>
        <v/>
      </c>
      <c r="V5015">
        <f>IF(H5015=1,P5015*Assumptions!$B$12,Assumptions!$B$29)</f>
        <v/>
      </c>
      <c r="W5015">
        <f>IF(I5015=1,P5015*Assumptions!$B$11,Assumptions!$B$28)</f>
        <v/>
      </c>
      <c r="X5015">
        <f>P5015*($O$157+$S$157)</f>
        <v/>
      </c>
      <c r="Y5015">
        <f>P5015*Assumptions!$B$9</f>
        <v/>
      </c>
      <c r="Z5015">
        <f>IF(M5015=1,(P5015-Assumptions!$B$37)*Assumptions!$B$153,0)</f>
        <v/>
      </c>
      <c r="AA5015">
        <f>Q5015+R5015+S5015+T5015+U5015+V5015+W5015+X5015+Y5015+Z5015</f>
        <v/>
      </c>
      <c r="AB5015" t="n">
        <v>15</v>
      </c>
      <c r="AC5015" t="n">
        <v>79</v>
      </c>
      <c r="AD5015" t="n">
        <v>47</v>
      </c>
      <c r="AE5015" t="n">
        <v>31</v>
      </c>
      <c r="AF5015" t="n">
        <v>7</v>
      </c>
      <c r="AG5015" t="n">
        <v>11</v>
      </c>
      <c r="AH5015" t="n">
        <v>13</v>
      </c>
      <c r="AI5015" t="n">
        <v>14</v>
      </c>
      <c r="AJ5015">
        <f>INDEX($Q$5000:$Q$5127,AC5015+1)</f>
        <v/>
      </c>
      <c r="AK5015">
        <f>INDEX($R$5000:$R$5127,AD5015+1)</f>
        <v/>
      </c>
      <c r="AL5015">
        <f>INDEX($S$5000:$S$5127,AE5015+1)</f>
        <v/>
      </c>
      <c r="AM5015">
        <f>INDEX($T$5000:$T$5127,AF5015+1)</f>
        <v/>
      </c>
      <c r="AN5015">
        <f>INDEX($U$5000:$U$5127,AG5015+1)</f>
        <v/>
      </c>
      <c r="AO5015">
        <f>INDEX($V$5000:$V$5127,AH5015+1)</f>
        <v/>
      </c>
      <c r="AP5015">
        <f>INDEX($W$5000:$W$5127,AI5015+1)</f>
        <v/>
      </c>
      <c r="AQ5015">
        <f>IF(Q5015&gt;=AJ5015-0.01,1,0)</f>
        <v/>
      </c>
      <c r="AR5015">
        <f>IF(R5015&gt;=AK5015-0.01,1,0)</f>
        <v/>
      </c>
      <c r="AS5015">
        <f>IF(S5015&gt;=AL5015-0.01,1,0)</f>
        <v/>
      </c>
      <c r="AT5015">
        <f>IF(T5015&gt;=AM5015-0.01,1,0)</f>
        <v/>
      </c>
      <c r="AU5015">
        <f>IF(U5015&gt;=AN5015-0.01,1,0)</f>
        <v/>
      </c>
      <c r="AV5015">
        <f>IF(V5015&gt;=AO5015-0.01,1,0)</f>
        <v/>
      </c>
      <c r="AW5015">
        <f>IF(W5015&gt;=AP5015-0.01,1,0)</f>
        <v/>
      </c>
      <c r="AX5015">
        <f>AQ5015*AR5015*AS5015*AT5015*AU5015*AV5015*AW5015</f>
        <v/>
      </c>
    </row>
    <row r="5016">
      <c r="A5016" t="inlineStr"/>
      <c r="B5016">
        <f>Assumptions!$B$60</f>
        <v/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0</v>
      </c>
      <c r="J5016">
        <f>(1-C5016)*Assumptions!$B$41+(1-D5016)*Assumptions!$B$33+(1-E5016)*Assumptions!$B$32+(1-F5016)*Assumptions!$B$31+(1-G5016)*Assumptions!$B$30+(1-H5016)*Assumptions!$B$29+(1-I5016)*Assumptions!$B$28</f>
        <v/>
      </c>
      <c r="K5016">
        <f>C5016*$J$157+D5016*$F$157+E5016*$G$157+F5016*Assumptions!$B$14+G5016*Assumptions!$B$13+H5016*Assumptions!$B$12+I5016*Assumptions!$B$11+$O$157+$S$157+Assumptions!$B$9</f>
        <v/>
      </c>
      <c r="L5016">
        <f>B5016-J5016</f>
        <v/>
      </c>
      <c r="M5016">
        <f>IF(K5016&gt;0,IF(L5016/K5016&gt;=Assumptions!$B$37,1,0),0)</f>
        <v/>
      </c>
      <c r="N5016">
        <f>K5016+M5016*Assumptions!$B$153</f>
        <v/>
      </c>
      <c r="O5016">
        <f>L5016+M5016*Assumptions!$B$153*Assumptions!$B$37</f>
        <v/>
      </c>
      <c r="P5016">
        <f>IF(N5016&gt;0,O5016/N5016,0)</f>
        <v/>
      </c>
      <c r="Q5016">
        <f>IF(C5016=1,P5016*$J$157,Assumptions!$B$41)</f>
        <v/>
      </c>
      <c r="R5016">
        <f>IF(D5016=1,P5016*$F$157,Assumptions!$B$33)</f>
        <v/>
      </c>
      <c r="S5016">
        <f>IF(E5016=1,P5016*$G$157,Assumptions!$B$32)</f>
        <v/>
      </c>
      <c r="T5016">
        <f>IF(F5016=1,P5016*Assumptions!$B$14,Assumptions!$B$31)</f>
        <v/>
      </c>
      <c r="U5016">
        <f>IF(G5016=1,P5016*Assumptions!$B$13,Assumptions!$B$30)</f>
        <v/>
      </c>
      <c r="V5016">
        <f>IF(H5016=1,P5016*Assumptions!$B$12,Assumptions!$B$29)</f>
        <v/>
      </c>
      <c r="W5016">
        <f>IF(I5016=1,P5016*Assumptions!$B$11,Assumptions!$B$28)</f>
        <v/>
      </c>
      <c r="X5016">
        <f>P5016*($O$157+$S$157)</f>
        <v/>
      </c>
      <c r="Y5016">
        <f>P5016*Assumptions!$B$9</f>
        <v/>
      </c>
      <c r="Z5016">
        <f>IF(M5016=1,(P5016-Assumptions!$B$37)*Assumptions!$B$153,0)</f>
        <v/>
      </c>
      <c r="AA5016">
        <f>Q5016+R5016+S5016+T5016+U5016+V5016+W5016+X5016+Y5016+Z5016</f>
        <v/>
      </c>
      <c r="AB5016" t="n">
        <v>16</v>
      </c>
      <c r="AC5016" t="n">
        <v>80</v>
      </c>
      <c r="AD5016" t="n">
        <v>48</v>
      </c>
      <c r="AE5016" t="n">
        <v>0</v>
      </c>
      <c r="AF5016" t="n">
        <v>24</v>
      </c>
      <c r="AG5016" t="n">
        <v>20</v>
      </c>
      <c r="AH5016" t="n">
        <v>18</v>
      </c>
      <c r="AI5016" t="n">
        <v>17</v>
      </c>
      <c r="AJ5016">
        <f>INDEX($Q$5000:$Q$5127,AC5016+1)</f>
        <v/>
      </c>
      <c r="AK5016">
        <f>INDEX($R$5000:$R$5127,AD5016+1)</f>
        <v/>
      </c>
      <c r="AL5016">
        <f>INDEX($S$5000:$S$5127,AE5016+1)</f>
        <v/>
      </c>
      <c r="AM5016">
        <f>INDEX($T$5000:$T$5127,AF5016+1)</f>
        <v/>
      </c>
      <c r="AN5016">
        <f>INDEX($U$5000:$U$5127,AG5016+1)</f>
        <v/>
      </c>
      <c r="AO5016">
        <f>INDEX($V$5000:$V$5127,AH5016+1)</f>
        <v/>
      </c>
      <c r="AP5016">
        <f>INDEX($W$5000:$W$5127,AI5016+1)</f>
        <v/>
      </c>
      <c r="AQ5016">
        <f>IF(Q5016&gt;=AJ5016-0.01,1,0)</f>
        <v/>
      </c>
      <c r="AR5016">
        <f>IF(R5016&gt;=AK5016-0.01,1,0)</f>
        <v/>
      </c>
      <c r="AS5016">
        <f>IF(S5016&gt;=AL5016-0.01,1,0)</f>
        <v/>
      </c>
      <c r="AT5016">
        <f>IF(T5016&gt;=AM5016-0.01,1,0)</f>
        <v/>
      </c>
      <c r="AU5016">
        <f>IF(U5016&gt;=AN5016-0.01,1,0)</f>
        <v/>
      </c>
      <c r="AV5016">
        <f>IF(V5016&gt;=AO5016-0.01,1,0)</f>
        <v/>
      </c>
      <c r="AW5016">
        <f>IF(W5016&gt;=AP5016-0.01,1,0)</f>
        <v/>
      </c>
      <c r="AX5016">
        <f>AQ5016*AR5016*AS5016*AT5016*AU5016*AV5016*AW5016</f>
        <v/>
      </c>
    </row>
    <row r="5017">
      <c r="A5017" t="inlineStr"/>
      <c r="B5017">
        <f>Assumptions!$B$60</f>
        <v/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>
        <f>(1-C5017)*Assumptions!$B$41+(1-D5017)*Assumptions!$B$33+(1-E5017)*Assumptions!$B$32+(1-F5017)*Assumptions!$B$31+(1-G5017)*Assumptions!$B$30+(1-H5017)*Assumptions!$B$29+(1-I5017)*Assumptions!$B$28</f>
        <v/>
      </c>
      <c r="K5017">
        <f>C5017*$J$157+D5017*$F$157+E5017*$G$157+F5017*Assumptions!$B$14+G5017*Assumptions!$B$13+H5017*Assumptions!$B$12+I5017*Assumptions!$B$11+$O$157+$S$157+Assumptions!$B$9</f>
        <v/>
      </c>
      <c r="L5017">
        <f>B5017-J5017</f>
        <v/>
      </c>
      <c r="M5017">
        <f>IF(K5017&gt;0,IF(L5017/K5017&gt;=Assumptions!$B$37,1,0),0)</f>
        <v/>
      </c>
      <c r="N5017">
        <f>K5017+M5017*Assumptions!$B$153</f>
        <v/>
      </c>
      <c r="O5017">
        <f>L5017+M5017*Assumptions!$B$153*Assumptions!$B$37</f>
        <v/>
      </c>
      <c r="P5017">
        <f>IF(N5017&gt;0,O5017/N5017,0)</f>
        <v/>
      </c>
      <c r="Q5017">
        <f>IF(C5017=1,P5017*$J$157,Assumptions!$B$41)</f>
        <v/>
      </c>
      <c r="R5017">
        <f>IF(D5017=1,P5017*$F$157,Assumptions!$B$33)</f>
        <v/>
      </c>
      <c r="S5017">
        <f>IF(E5017=1,P5017*$G$157,Assumptions!$B$32)</f>
        <v/>
      </c>
      <c r="T5017">
        <f>IF(F5017=1,P5017*Assumptions!$B$14,Assumptions!$B$31)</f>
        <v/>
      </c>
      <c r="U5017">
        <f>IF(G5017=1,P5017*Assumptions!$B$13,Assumptions!$B$30)</f>
        <v/>
      </c>
      <c r="V5017">
        <f>IF(H5017=1,P5017*Assumptions!$B$12,Assumptions!$B$29)</f>
        <v/>
      </c>
      <c r="W5017">
        <f>IF(I5017=1,P5017*Assumptions!$B$11,Assumptions!$B$28)</f>
        <v/>
      </c>
      <c r="X5017">
        <f>P5017*($O$157+$S$157)</f>
        <v/>
      </c>
      <c r="Y5017">
        <f>P5017*Assumptions!$B$9</f>
        <v/>
      </c>
      <c r="Z5017">
        <f>IF(M5017=1,(P5017-Assumptions!$B$37)*Assumptions!$B$153,0)</f>
        <v/>
      </c>
      <c r="AA5017">
        <f>Q5017+R5017+S5017+T5017+U5017+V5017+W5017+X5017+Y5017+Z5017</f>
        <v/>
      </c>
      <c r="AB5017" t="n">
        <v>17</v>
      </c>
      <c r="AC5017" t="n">
        <v>81</v>
      </c>
      <c r="AD5017" t="n">
        <v>49</v>
      </c>
      <c r="AE5017" t="n">
        <v>1</v>
      </c>
      <c r="AF5017" t="n">
        <v>25</v>
      </c>
      <c r="AG5017" t="n">
        <v>21</v>
      </c>
      <c r="AH5017" t="n">
        <v>19</v>
      </c>
      <c r="AI5017" t="n">
        <v>16</v>
      </c>
      <c r="AJ5017">
        <f>INDEX($Q$5000:$Q$5127,AC5017+1)</f>
        <v/>
      </c>
      <c r="AK5017">
        <f>INDEX($R$5000:$R$5127,AD5017+1)</f>
        <v/>
      </c>
      <c r="AL5017">
        <f>INDEX($S$5000:$S$5127,AE5017+1)</f>
        <v/>
      </c>
      <c r="AM5017">
        <f>INDEX($T$5000:$T$5127,AF5017+1)</f>
        <v/>
      </c>
      <c r="AN5017">
        <f>INDEX($U$5000:$U$5127,AG5017+1)</f>
        <v/>
      </c>
      <c r="AO5017">
        <f>INDEX($V$5000:$V$5127,AH5017+1)</f>
        <v/>
      </c>
      <c r="AP5017">
        <f>INDEX($W$5000:$W$5127,AI5017+1)</f>
        <v/>
      </c>
      <c r="AQ5017">
        <f>IF(Q5017&gt;=AJ5017-0.01,1,0)</f>
        <v/>
      </c>
      <c r="AR5017">
        <f>IF(R5017&gt;=AK5017-0.01,1,0)</f>
        <v/>
      </c>
      <c r="AS5017">
        <f>IF(S5017&gt;=AL5017-0.01,1,0)</f>
        <v/>
      </c>
      <c r="AT5017">
        <f>IF(T5017&gt;=AM5017-0.01,1,0)</f>
        <v/>
      </c>
      <c r="AU5017">
        <f>IF(U5017&gt;=AN5017-0.01,1,0)</f>
        <v/>
      </c>
      <c r="AV5017">
        <f>IF(V5017&gt;=AO5017-0.01,1,0)</f>
        <v/>
      </c>
      <c r="AW5017">
        <f>IF(W5017&gt;=AP5017-0.01,1,0)</f>
        <v/>
      </c>
      <c r="AX5017">
        <f>AQ5017*AR5017*AS5017*AT5017*AU5017*AV5017*AW5017</f>
        <v/>
      </c>
    </row>
    <row r="5018">
      <c r="A5018" t="inlineStr"/>
      <c r="B5018">
        <f>Assumptions!$B$60</f>
        <v/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  <c r="I5018" t="n">
        <v>0</v>
      </c>
      <c r="J5018">
        <f>(1-C5018)*Assumptions!$B$41+(1-D5018)*Assumptions!$B$33+(1-E5018)*Assumptions!$B$32+(1-F5018)*Assumptions!$B$31+(1-G5018)*Assumptions!$B$30+(1-H5018)*Assumptions!$B$29+(1-I5018)*Assumptions!$B$28</f>
        <v/>
      </c>
      <c r="K5018">
        <f>C5018*$J$157+D5018*$F$157+E5018*$G$157+F5018*Assumptions!$B$14+G5018*Assumptions!$B$13+H5018*Assumptions!$B$12+I5018*Assumptions!$B$11+$O$157+$S$157+Assumptions!$B$9</f>
        <v/>
      </c>
      <c r="L5018">
        <f>B5018-J5018</f>
        <v/>
      </c>
      <c r="M5018">
        <f>IF(K5018&gt;0,IF(L5018/K5018&gt;=Assumptions!$B$37,1,0),0)</f>
        <v/>
      </c>
      <c r="N5018">
        <f>K5018+M5018*Assumptions!$B$153</f>
        <v/>
      </c>
      <c r="O5018">
        <f>L5018+M5018*Assumptions!$B$153*Assumptions!$B$37</f>
        <v/>
      </c>
      <c r="P5018">
        <f>IF(N5018&gt;0,O5018/N5018,0)</f>
        <v/>
      </c>
      <c r="Q5018">
        <f>IF(C5018=1,P5018*$J$157,Assumptions!$B$41)</f>
        <v/>
      </c>
      <c r="R5018">
        <f>IF(D5018=1,P5018*$F$157,Assumptions!$B$33)</f>
        <v/>
      </c>
      <c r="S5018">
        <f>IF(E5018=1,P5018*$G$157,Assumptions!$B$32)</f>
        <v/>
      </c>
      <c r="T5018">
        <f>IF(F5018=1,P5018*Assumptions!$B$14,Assumptions!$B$31)</f>
        <v/>
      </c>
      <c r="U5018">
        <f>IF(G5018=1,P5018*Assumptions!$B$13,Assumptions!$B$30)</f>
        <v/>
      </c>
      <c r="V5018">
        <f>IF(H5018=1,P5018*Assumptions!$B$12,Assumptions!$B$29)</f>
        <v/>
      </c>
      <c r="W5018">
        <f>IF(I5018=1,P5018*Assumptions!$B$11,Assumptions!$B$28)</f>
        <v/>
      </c>
      <c r="X5018">
        <f>P5018*($O$157+$S$157)</f>
        <v/>
      </c>
      <c r="Y5018">
        <f>P5018*Assumptions!$B$9</f>
        <v/>
      </c>
      <c r="Z5018">
        <f>IF(M5018=1,(P5018-Assumptions!$B$37)*Assumptions!$B$153,0)</f>
        <v/>
      </c>
      <c r="AA5018">
        <f>Q5018+R5018+S5018+T5018+U5018+V5018+W5018+X5018+Y5018+Z5018</f>
        <v/>
      </c>
      <c r="AB5018" t="n">
        <v>18</v>
      </c>
      <c r="AC5018" t="n">
        <v>82</v>
      </c>
      <c r="AD5018" t="n">
        <v>50</v>
      </c>
      <c r="AE5018" t="n">
        <v>2</v>
      </c>
      <c r="AF5018" t="n">
        <v>26</v>
      </c>
      <c r="AG5018" t="n">
        <v>22</v>
      </c>
      <c r="AH5018" t="n">
        <v>16</v>
      </c>
      <c r="AI5018" t="n">
        <v>19</v>
      </c>
      <c r="AJ5018">
        <f>INDEX($Q$5000:$Q$5127,AC5018+1)</f>
        <v/>
      </c>
      <c r="AK5018">
        <f>INDEX($R$5000:$R$5127,AD5018+1)</f>
        <v/>
      </c>
      <c r="AL5018">
        <f>INDEX($S$5000:$S$5127,AE5018+1)</f>
        <v/>
      </c>
      <c r="AM5018">
        <f>INDEX($T$5000:$T$5127,AF5018+1)</f>
        <v/>
      </c>
      <c r="AN5018">
        <f>INDEX($U$5000:$U$5127,AG5018+1)</f>
        <v/>
      </c>
      <c r="AO5018">
        <f>INDEX($V$5000:$V$5127,AH5018+1)</f>
        <v/>
      </c>
      <c r="AP5018">
        <f>INDEX($W$5000:$W$5127,AI5018+1)</f>
        <v/>
      </c>
      <c r="AQ5018">
        <f>IF(Q5018&gt;=AJ5018-0.01,1,0)</f>
        <v/>
      </c>
      <c r="AR5018">
        <f>IF(R5018&gt;=AK5018-0.01,1,0)</f>
        <v/>
      </c>
      <c r="AS5018">
        <f>IF(S5018&gt;=AL5018-0.01,1,0)</f>
        <v/>
      </c>
      <c r="AT5018">
        <f>IF(T5018&gt;=AM5018-0.01,1,0)</f>
        <v/>
      </c>
      <c r="AU5018">
        <f>IF(U5018&gt;=AN5018-0.01,1,0)</f>
        <v/>
      </c>
      <c r="AV5018">
        <f>IF(V5018&gt;=AO5018-0.01,1,0)</f>
        <v/>
      </c>
      <c r="AW5018">
        <f>IF(W5018&gt;=AP5018-0.01,1,0)</f>
        <v/>
      </c>
      <c r="AX5018">
        <f>AQ5018*AR5018*AS5018*AT5018*AU5018*AV5018*AW5018</f>
        <v/>
      </c>
    </row>
    <row r="5019">
      <c r="A5019" t="inlineStr"/>
      <c r="B5019">
        <f>Assumptions!$B$60</f>
        <v/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  <c r="I5019" t="n">
        <v>1</v>
      </c>
      <c r="J5019">
        <f>(1-C5019)*Assumptions!$B$41+(1-D5019)*Assumptions!$B$33+(1-E5019)*Assumptions!$B$32+(1-F5019)*Assumptions!$B$31+(1-G5019)*Assumptions!$B$30+(1-H5019)*Assumptions!$B$29+(1-I5019)*Assumptions!$B$28</f>
        <v/>
      </c>
      <c r="K5019">
        <f>C5019*$J$157+D5019*$F$157+E5019*$G$157+F5019*Assumptions!$B$14+G5019*Assumptions!$B$13+H5019*Assumptions!$B$12+I5019*Assumptions!$B$11+$O$157+$S$157+Assumptions!$B$9</f>
        <v/>
      </c>
      <c r="L5019">
        <f>B5019-J5019</f>
        <v/>
      </c>
      <c r="M5019">
        <f>IF(K5019&gt;0,IF(L5019/K5019&gt;=Assumptions!$B$37,1,0),0)</f>
        <v/>
      </c>
      <c r="N5019">
        <f>K5019+M5019*Assumptions!$B$153</f>
        <v/>
      </c>
      <c r="O5019">
        <f>L5019+M5019*Assumptions!$B$153*Assumptions!$B$37</f>
        <v/>
      </c>
      <c r="P5019">
        <f>IF(N5019&gt;0,O5019/N5019,0)</f>
        <v/>
      </c>
      <c r="Q5019">
        <f>IF(C5019=1,P5019*$J$157,Assumptions!$B$41)</f>
        <v/>
      </c>
      <c r="R5019">
        <f>IF(D5019=1,P5019*$F$157,Assumptions!$B$33)</f>
        <v/>
      </c>
      <c r="S5019">
        <f>IF(E5019=1,P5019*$G$157,Assumptions!$B$32)</f>
        <v/>
      </c>
      <c r="T5019">
        <f>IF(F5019=1,P5019*Assumptions!$B$14,Assumptions!$B$31)</f>
        <v/>
      </c>
      <c r="U5019">
        <f>IF(G5019=1,P5019*Assumptions!$B$13,Assumptions!$B$30)</f>
        <v/>
      </c>
      <c r="V5019">
        <f>IF(H5019=1,P5019*Assumptions!$B$12,Assumptions!$B$29)</f>
        <v/>
      </c>
      <c r="W5019">
        <f>IF(I5019=1,P5019*Assumptions!$B$11,Assumptions!$B$28)</f>
        <v/>
      </c>
      <c r="X5019">
        <f>P5019*($O$157+$S$157)</f>
        <v/>
      </c>
      <c r="Y5019">
        <f>P5019*Assumptions!$B$9</f>
        <v/>
      </c>
      <c r="Z5019">
        <f>IF(M5019=1,(P5019-Assumptions!$B$37)*Assumptions!$B$153,0)</f>
        <v/>
      </c>
      <c r="AA5019">
        <f>Q5019+R5019+S5019+T5019+U5019+V5019+W5019+X5019+Y5019+Z5019</f>
        <v/>
      </c>
      <c r="AB5019" t="n">
        <v>19</v>
      </c>
      <c r="AC5019" t="n">
        <v>83</v>
      </c>
      <c r="AD5019" t="n">
        <v>51</v>
      </c>
      <c r="AE5019" t="n">
        <v>3</v>
      </c>
      <c r="AF5019" t="n">
        <v>27</v>
      </c>
      <c r="AG5019" t="n">
        <v>23</v>
      </c>
      <c r="AH5019" t="n">
        <v>17</v>
      </c>
      <c r="AI5019" t="n">
        <v>18</v>
      </c>
      <c r="AJ5019">
        <f>INDEX($Q$5000:$Q$5127,AC5019+1)</f>
        <v/>
      </c>
      <c r="AK5019">
        <f>INDEX($R$5000:$R$5127,AD5019+1)</f>
        <v/>
      </c>
      <c r="AL5019">
        <f>INDEX($S$5000:$S$5127,AE5019+1)</f>
        <v/>
      </c>
      <c r="AM5019">
        <f>INDEX($T$5000:$T$5127,AF5019+1)</f>
        <v/>
      </c>
      <c r="AN5019">
        <f>INDEX($U$5000:$U$5127,AG5019+1)</f>
        <v/>
      </c>
      <c r="AO5019">
        <f>INDEX($V$5000:$V$5127,AH5019+1)</f>
        <v/>
      </c>
      <c r="AP5019">
        <f>INDEX($W$5000:$W$5127,AI5019+1)</f>
        <v/>
      </c>
      <c r="AQ5019">
        <f>IF(Q5019&gt;=AJ5019-0.01,1,0)</f>
        <v/>
      </c>
      <c r="AR5019">
        <f>IF(R5019&gt;=AK5019-0.01,1,0)</f>
        <v/>
      </c>
      <c r="AS5019">
        <f>IF(S5019&gt;=AL5019-0.01,1,0)</f>
        <v/>
      </c>
      <c r="AT5019">
        <f>IF(T5019&gt;=AM5019-0.01,1,0)</f>
        <v/>
      </c>
      <c r="AU5019">
        <f>IF(U5019&gt;=AN5019-0.01,1,0)</f>
        <v/>
      </c>
      <c r="AV5019">
        <f>IF(V5019&gt;=AO5019-0.01,1,0)</f>
        <v/>
      </c>
      <c r="AW5019">
        <f>IF(W5019&gt;=AP5019-0.01,1,0)</f>
        <v/>
      </c>
      <c r="AX5019">
        <f>AQ5019*AR5019*AS5019*AT5019*AU5019*AV5019*AW5019</f>
        <v/>
      </c>
    </row>
    <row r="5020">
      <c r="A5020" t="inlineStr"/>
      <c r="B5020">
        <f>Assumptions!$B$60</f>
        <v/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>
        <f>(1-C5020)*Assumptions!$B$41+(1-D5020)*Assumptions!$B$33+(1-E5020)*Assumptions!$B$32+(1-F5020)*Assumptions!$B$31+(1-G5020)*Assumptions!$B$30+(1-H5020)*Assumptions!$B$29+(1-I5020)*Assumptions!$B$28</f>
        <v/>
      </c>
      <c r="K5020">
        <f>C5020*$J$157+D5020*$F$157+E5020*$G$157+F5020*Assumptions!$B$14+G5020*Assumptions!$B$13+H5020*Assumptions!$B$12+I5020*Assumptions!$B$11+$O$157+$S$157+Assumptions!$B$9</f>
        <v/>
      </c>
      <c r="L5020">
        <f>B5020-J5020</f>
        <v/>
      </c>
      <c r="M5020">
        <f>IF(K5020&gt;0,IF(L5020/K5020&gt;=Assumptions!$B$37,1,0),0)</f>
        <v/>
      </c>
      <c r="N5020">
        <f>K5020+M5020*Assumptions!$B$153</f>
        <v/>
      </c>
      <c r="O5020">
        <f>L5020+M5020*Assumptions!$B$153*Assumptions!$B$37</f>
        <v/>
      </c>
      <c r="P5020">
        <f>IF(N5020&gt;0,O5020/N5020,0)</f>
        <v/>
      </c>
      <c r="Q5020">
        <f>IF(C5020=1,P5020*$J$157,Assumptions!$B$41)</f>
        <v/>
      </c>
      <c r="R5020">
        <f>IF(D5020=1,P5020*$F$157,Assumptions!$B$33)</f>
        <v/>
      </c>
      <c r="S5020">
        <f>IF(E5020=1,P5020*$G$157,Assumptions!$B$32)</f>
        <v/>
      </c>
      <c r="T5020">
        <f>IF(F5020=1,P5020*Assumptions!$B$14,Assumptions!$B$31)</f>
        <v/>
      </c>
      <c r="U5020">
        <f>IF(G5020=1,P5020*Assumptions!$B$13,Assumptions!$B$30)</f>
        <v/>
      </c>
      <c r="V5020">
        <f>IF(H5020=1,P5020*Assumptions!$B$12,Assumptions!$B$29)</f>
        <v/>
      </c>
      <c r="W5020">
        <f>IF(I5020=1,P5020*Assumptions!$B$11,Assumptions!$B$28)</f>
        <v/>
      </c>
      <c r="X5020">
        <f>P5020*($O$157+$S$157)</f>
        <v/>
      </c>
      <c r="Y5020">
        <f>P5020*Assumptions!$B$9</f>
        <v/>
      </c>
      <c r="Z5020">
        <f>IF(M5020=1,(P5020-Assumptions!$B$37)*Assumptions!$B$153,0)</f>
        <v/>
      </c>
      <c r="AA5020">
        <f>Q5020+R5020+S5020+T5020+U5020+V5020+W5020+X5020+Y5020+Z5020</f>
        <v/>
      </c>
      <c r="AB5020" t="n">
        <v>20</v>
      </c>
      <c r="AC5020" t="n">
        <v>84</v>
      </c>
      <c r="AD5020" t="n">
        <v>52</v>
      </c>
      <c r="AE5020" t="n">
        <v>4</v>
      </c>
      <c r="AF5020" t="n">
        <v>28</v>
      </c>
      <c r="AG5020" t="n">
        <v>16</v>
      </c>
      <c r="AH5020" t="n">
        <v>22</v>
      </c>
      <c r="AI5020" t="n">
        <v>21</v>
      </c>
      <c r="AJ5020">
        <f>INDEX($Q$5000:$Q$5127,AC5020+1)</f>
        <v/>
      </c>
      <c r="AK5020">
        <f>INDEX($R$5000:$R$5127,AD5020+1)</f>
        <v/>
      </c>
      <c r="AL5020">
        <f>INDEX($S$5000:$S$5127,AE5020+1)</f>
        <v/>
      </c>
      <c r="AM5020">
        <f>INDEX($T$5000:$T$5127,AF5020+1)</f>
        <v/>
      </c>
      <c r="AN5020">
        <f>INDEX($U$5000:$U$5127,AG5020+1)</f>
        <v/>
      </c>
      <c r="AO5020">
        <f>INDEX($V$5000:$V$5127,AH5020+1)</f>
        <v/>
      </c>
      <c r="AP5020">
        <f>INDEX($W$5000:$W$5127,AI5020+1)</f>
        <v/>
      </c>
      <c r="AQ5020">
        <f>IF(Q5020&gt;=AJ5020-0.01,1,0)</f>
        <v/>
      </c>
      <c r="AR5020">
        <f>IF(R5020&gt;=AK5020-0.01,1,0)</f>
        <v/>
      </c>
      <c r="AS5020">
        <f>IF(S5020&gt;=AL5020-0.01,1,0)</f>
        <v/>
      </c>
      <c r="AT5020">
        <f>IF(T5020&gt;=AM5020-0.01,1,0)</f>
        <v/>
      </c>
      <c r="AU5020">
        <f>IF(U5020&gt;=AN5020-0.01,1,0)</f>
        <v/>
      </c>
      <c r="AV5020">
        <f>IF(V5020&gt;=AO5020-0.01,1,0)</f>
        <v/>
      </c>
      <c r="AW5020">
        <f>IF(W5020&gt;=AP5020-0.01,1,0)</f>
        <v/>
      </c>
      <c r="AX5020">
        <f>AQ5020*AR5020*AS5020*AT5020*AU5020*AV5020*AW5020</f>
        <v/>
      </c>
    </row>
    <row r="5021">
      <c r="A5021" t="inlineStr"/>
      <c r="B5021">
        <f>Assumptions!$B$60</f>
        <v/>
      </c>
      <c r="C5021" t="n">
        <v>0</v>
      </c>
      <c r="D5021" t="n">
        <v>0</v>
      </c>
      <c r="E5021" t="n">
        <v>1</v>
      </c>
      <c r="F5021" t="n">
        <v>0</v>
      </c>
      <c r="G5021" t="n">
        <v>1</v>
      </c>
      <c r="H5021" t="n">
        <v>0</v>
      </c>
      <c r="I5021" t="n">
        <v>1</v>
      </c>
      <c r="J5021">
        <f>(1-C5021)*Assumptions!$B$41+(1-D5021)*Assumptions!$B$33+(1-E5021)*Assumptions!$B$32+(1-F5021)*Assumptions!$B$31+(1-G5021)*Assumptions!$B$30+(1-H5021)*Assumptions!$B$29+(1-I5021)*Assumptions!$B$28</f>
        <v/>
      </c>
      <c r="K5021">
        <f>C5021*$J$157+D5021*$F$157+E5021*$G$157+F5021*Assumptions!$B$14+G5021*Assumptions!$B$13+H5021*Assumptions!$B$12+I5021*Assumptions!$B$11+$O$157+$S$157+Assumptions!$B$9</f>
        <v/>
      </c>
      <c r="L5021">
        <f>B5021-J5021</f>
        <v/>
      </c>
      <c r="M5021">
        <f>IF(K5021&gt;0,IF(L5021/K5021&gt;=Assumptions!$B$37,1,0),0)</f>
        <v/>
      </c>
      <c r="N5021">
        <f>K5021+M5021*Assumptions!$B$153</f>
        <v/>
      </c>
      <c r="O5021">
        <f>L5021+M5021*Assumptions!$B$153*Assumptions!$B$37</f>
        <v/>
      </c>
      <c r="P5021">
        <f>IF(N5021&gt;0,O5021/N5021,0)</f>
        <v/>
      </c>
      <c r="Q5021">
        <f>IF(C5021=1,P5021*$J$157,Assumptions!$B$41)</f>
        <v/>
      </c>
      <c r="R5021">
        <f>IF(D5021=1,P5021*$F$157,Assumptions!$B$33)</f>
        <v/>
      </c>
      <c r="S5021">
        <f>IF(E5021=1,P5021*$G$157,Assumptions!$B$32)</f>
        <v/>
      </c>
      <c r="T5021">
        <f>IF(F5021=1,P5021*Assumptions!$B$14,Assumptions!$B$31)</f>
        <v/>
      </c>
      <c r="U5021">
        <f>IF(G5021=1,P5021*Assumptions!$B$13,Assumptions!$B$30)</f>
        <v/>
      </c>
      <c r="V5021">
        <f>IF(H5021=1,P5021*Assumptions!$B$12,Assumptions!$B$29)</f>
        <v/>
      </c>
      <c r="W5021">
        <f>IF(I5021=1,P5021*Assumptions!$B$11,Assumptions!$B$28)</f>
        <v/>
      </c>
      <c r="X5021">
        <f>P5021*($O$157+$S$157)</f>
        <v/>
      </c>
      <c r="Y5021">
        <f>P5021*Assumptions!$B$9</f>
        <v/>
      </c>
      <c r="Z5021">
        <f>IF(M5021=1,(P5021-Assumptions!$B$37)*Assumptions!$B$153,0)</f>
        <v/>
      </c>
      <c r="AA5021">
        <f>Q5021+R5021+S5021+T5021+U5021+V5021+W5021+X5021+Y5021+Z5021</f>
        <v/>
      </c>
      <c r="AB5021" t="n">
        <v>21</v>
      </c>
      <c r="AC5021" t="n">
        <v>85</v>
      </c>
      <c r="AD5021" t="n">
        <v>53</v>
      </c>
      <c r="AE5021" t="n">
        <v>5</v>
      </c>
      <c r="AF5021" t="n">
        <v>29</v>
      </c>
      <c r="AG5021" t="n">
        <v>17</v>
      </c>
      <c r="AH5021" t="n">
        <v>23</v>
      </c>
      <c r="AI5021" t="n">
        <v>20</v>
      </c>
      <c r="AJ5021">
        <f>INDEX($Q$5000:$Q$5127,AC5021+1)</f>
        <v/>
      </c>
      <c r="AK5021">
        <f>INDEX($R$5000:$R$5127,AD5021+1)</f>
        <v/>
      </c>
      <c r="AL5021">
        <f>INDEX($S$5000:$S$5127,AE5021+1)</f>
        <v/>
      </c>
      <c r="AM5021">
        <f>INDEX($T$5000:$T$5127,AF5021+1)</f>
        <v/>
      </c>
      <c r="AN5021">
        <f>INDEX($U$5000:$U$5127,AG5021+1)</f>
        <v/>
      </c>
      <c r="AO5021">
        <f>INDEX($V$5000:$V$5127,AH5021+1)</f>
        <v/>
      </c>
      <c r="AP5021">
        <f>INDEX($W$5000:$W$5127,AI5021+1)</f>
        <v/>
      </c>
      <c r="AQ5021">
        <f>IF(Q5021&gt;=AJ5021-0.01,1,0)</f>
        <v/>
      </c>
      <c r="AR5021">
        <f>IF(R5021&gt;=AK5021-0.01,1,0)</f>
        <v/>
      </c>
      <c r="AS5021">
        <f>IF(S5021&gt;=AL5021-0.01,1,0)</f>
        <v/>
      </c>
      <c r="AT5021">
        <f>IF(T5021&gt;=AM5021-0.01,1,0)</f>
        <v/>
      </c>
      <c r="AU5021">
        <f>IF(U5021&gt;=AN5021-0.01,1,0)</f>
        <v/>
      </c>
      <c r="AV5021">
        <f>IF(V5021&gt;=AO5021-0.01,1,0)</f>
        <v/>
      </c>
      <c r="AW5021">
        <f>IF(W5021&gt;=AP5021-0.01,1,0)</f>
        <v/>
      </c>
      <c r="AX5021">
        <f>AQ5021*AR5021*AS5021*AT5021*AU5021*AV5021*AW5021</f>
        <v/>
      </c>
    </row>
    <row r="5022">
      <c r="A5022" t="inlineStr"/>
      <c r="B5022">
        <f>Assumptions!$B$60</f>
        <v/>
      </c>
      <c r="C5022" t="n">
        <v>0</v>
      </c>
      <c r="D5022" t="n">
        <v>0</v>
      </c>
      <c r="E5022" t="n">
        <v>1</v>
      </c>
      <c r="F5022" t="n">
        <v>0</v>
      </c>
      <c r="G5022" t="n">
        <v>1</v>
      </c>
      <c r="H5022" t="n">
        <v>1</v>
      </c>
      <c r="I5022" t="n">
        <v>0</v>
      </c>
      <c r="J5022">
        <f>(1-C5022)*Assumptions!$B$41+(1-D5022)*Assumptions!$B$33+(1-E5022)*Assumptions!$B$32+(1-F5022)*Assumptions!$B$31+(1-G5022)*Assumptions!$B$30+(1-H5022)*Assumptions!$B$29+(1-I5022)*Assumptions!$B$28</f>
        <v/>
      </c>
      <c r="K5022">
        <f>C5022*$J$157+D5022*$F$157+E5022*$G$157+F5022*Assumptions!$B$14+G5022*Assumptions!$B$13+H5022*Assumptions!$B$12+I5022*Assumptions!$B$11+$O$157+$S$157+Assumptions!$B$9</f>
        <v/>
      </c>
      <c r="L5022">
        <f>B5022-J5022</f>
        <v/>
      </c>
      <c r="M5022">
        <f>IF(K5022&gt;0,IF(L5022/K5022&gt;=Assumptions!$B$37,1,0),0)</f>
        <v/>
      </c>
      <c r="N5022">
        <f>K5022+M5022*Assumptions!$B$153</f>
        <v/>
      </c>
      <c r="O5022">
        <f>L5022+M5022*Assumptions!$B$153*Assumptions!$B$37</f>
        <v/>
      </c>
      <c r="P5022">
        <f>IF(N5022&gt;0,O5022/N5022,0)</f>
        <v/>
      </c>
      <c r="Q5022">
        <f>IF(C5022=1,P5022*$J$157,Assumptions!$B$41)</f>
        <v/>
      </c>
      <c r="R5022">
        <f>IF(D5022=1,P5022*$F$157,Assumptions!$B$33)</f>
        <v/>
      </c>
      <c r="S5022">
        <f>IF(E5022=1,P5022*$G$157,Assumptions!$B$32)</f>
        <v/>
      </c>
      <c r="T5022">
        <f>IF(F5022=1,P5022*Assumptions!$B$14,Assumptions!$B$31)</f>
        <v/>
      </c>
      <c r="U5022">
        <f>IF(G5022=1,P5022*Assumptions!$B$13,Assumptions!$B$30)</f>
        <v/>
      </c>
      <c r="V5022">
        <f>IF(H5022=1,P5022*Assumptions!$B$12,Assumptions!$B$29)</f>
        <v/>
      </c>
      <c r="W5022">
        <f>IF(I5022=1,P5022*Assumptions!$B$11,Assumptions!$B$28)</f>
        <v/>
      </c>
      <c r="X5022">
        <f>P5022*($O$157+$S$157)</f>
        <v/>
      </c>
      <c r="Y5022">
        <f>P5022*Assumptions!$B$9</f>
        <v/>
      </c>
      <c r="Z5022">
        <f>IF(M5022=1,(P5022-Assumptions!$B$37)*Assumptions!$B$153,0)</f>
        <v/>
      </c>
      <c r="AA5022">
        <f>Q5022+R5022+S5022+T5022+U5022+V5022+W5022+X5022+Y5022+Z5022</f>
        <v/>
      </c>
      <c r="AB5022" t="n">
        <v>22</v>
      </c>
      <c r="AC5022" t="n">
        <v>86</v>
      </c>
      <c r="AD5022" t="n">
        <v>54</v>
      </c>
      <c r="AE5022" t="n">
        <v>6</v>
      </c>
      <c r="AF5022" t="n">
        <v>30</v>
      </c>
      <c r="AG5022" t="n">
        <v>18</v>
      </c>
      <c r="AH5022" t="n">
        <v>20</v>
      </c>
      <c r="AI5022" t="n">
        <v>23</v>
      </c>
      <c r="AJ5022">
        <f>INDEX($Q$5000:$Q$5127,AC5022+1)</f>
        <v/>
      </c>
      <c r="AK5022">
        <f>INDEX($R$5000:$R$5127,AD5022+1)</f>
        <v/>
      </c>
      <c r="AL5022">
        <f>INDEX($S$5000:$S$5127,AE5022+1)</f>
        <v/>
      </c>
      <c r="AM5022">
        <f>INDEX($T$5000:$T$5127,AF5022+1)</f>
        <v/>
      </c>
      <c r="AN5022">
        <f>INDEX($U$5000:$U$5127,AG5022+1)</f>
        <v/>
      </c>
      <c r="AO5022">
        <f>INDEX($V$5000:$V$5127,AH5022+1)</f>
        <v/>
      </c>
      <c r="AP5022">
        <f>INDEX($W$5000:$W$5127,AI5022+1)</f>
        <v/>
      </c>
      <c r="AQ5022">
        <f>IF(Q5022&gt;=AJ5022-0.01,1,0)</f>
        <v/>
      </c>
      <c r="AR5022">
        <f>IF(R5022&gt;=AK5022-0.01,1,0)</f>
        <v/>
      </c>
      <c r="AS5022">
        <f>IF(S5022&gt;=AL5022-0.01,1,0)</f>
        <v/>
      </c>
      <c r="AT5022">
        <f>IF(T5022&gt;=AM5022-0.01,1,0)</f>
        <v/>
      </c>
      <c r="AU5022">
        <f>IF(U5022&gt;=AN5022-0.01,1,0)</f>
        <v/>
      </c>
      <c r="AV5022">
        <f>IF(V5022&gt;=AO5022-0.01,1,0)</f>
        <v/>
      </c>
      <c r="AW5022">
        <f>IF(W5022&gt;=AP5022-0.01,1,0)</f>
        <v/>
      </c>
      <c r="AX5022">
        <f>AQ5022*AR5022*AS5022*AT5022*AU5022*AV5022*AW5022</f>
        <v/>
      </c>
    </row>
    <row r="5023">
      <c r="A5023" t="inlineStr"/>
      <c r="B5023">
        <f>Assumptions!$B$60</f>
        <v/>
      </c>
      <c r="C5023" t="n">
        <v>0</v>
      </c>
      <c r="D5023" t="n">
        <v>0</v>
      </c>
      <c r="E5023" t="n">
        <v>1</v>
      </c>
      <c r="F5023" t="n">
        <v>0</v>
      </c>
      <c r="G5023" t="n">
        <v>1</v>
      </c>
      <c r="H5023" t="n">
        <v>1</v>
      </c>
      <c r="I5023" t="n">
        <v>1</v>
      </c>
      <c r="J5023">
        <f>(1-C5023)*Assumptions!$B$41+(1-D5023)*Assumptions!$B$33+(1-E5023)*Assumptions!$B$32+(1-F5023)*Assumptions!$B$31+(1-G5023)*Assumptions!$B$30+(1-H5023)*Assumptions!$B$29+(1-I5023)*Assumptions!$B$28</f>
        <v/>
      </c>
      <c r="K5023">
        <f>C5023*$J$157+D5023*$F$157+E5023*$G$157+F5023*Assumptions!$B$14+G5023*Assumptions!$B$13+H5023*Assumptions!$B$12+I5023*Assumptions!$B$11+$O$157+$S$157+Assumptions!$B$9</f>
        <v/>
      </c>
      <c r="L5023">
        <f>B5023-J5023</f>
        <v/>
      </c>
      <c r="M5023">
        <f>IF(K5023&gt;0,IF(L5023/K5023&gt;=Assumptions!$B$37,1,0),0)</f>
        <v/>
      </c>
      <c r="N5023">
        <f>K5023+M5023*Assumptions!$B$153</f>
        <v/>
      </c>
      <c r="O5023">
        <f>L5023+M5023*Assumptions!$B$153*Assumptions!$B$37</f>
        <v/>
      </c>
      <c r="P5023">
        <f>IF(N5023&gt;0,O5023/N5023,0)</f>
        <v/>
      </c>
      <c r="Q5023">
        <f>IF(C5023=1,P5023*$J$157,Assumptions!$B$41)</f>
        <v/>
      </c>
      <c r="R5023">
        <f>IF(D5023=1,P5023*$F$157,Assumptions!$B$33)</f>
        <v/>
      </c>
      <c r="S5023">
        <f>IF(E5023=1,P5023*$G$157,Assumptions!$B$32)</f>
        <v/>
      </c>
      <c r="T5023">
        <f>IF(F5023=1,P5023*Assumptions!$B$14,Assumptions!$B$31)</f>
        <v/>
      </c>
      <c r="U5023">
        <f>IF(G5023=1,P5023*Assumptions!$B$13,Assumptions!$B$30)</f>
        <v/>
      </c>
      <c r="V5023">
        <f>IF(H5023=1,P5023*Assumptions!$B$12,Assumptions!$B$29)</f>
        <v/>
      </c>
      <c r="W5023">
        <f>IF(I5023=1,P5023*Assumptions!$B$11,Assumptions!$B$28)</f>
        <v/>
      </c>
      <c r="X5023">
        <f>P5023*($O$157+$S$157)</f>
        <v/>
      </c>
      <c r="Y5023">
        <f>P5023*Assumptions!$B$9</f>
        <v/>
      </c>
      <c r="Z5023">
        <f>IF(M5023=1,(P5023-Assumptions!$B$37)*Assumptions!$B$153,0)</f>
        <v/>
      </c>
      <c r="AA5023">
        <f>Q5023+R5023+S5023+T5023+U5023+V5023+W5023+X5023+Y5023+Z5023</f>
        <v/>
      </c>
      <c r="AB5023" t="n">
        <v>23</v>
      </c>
      <c r="AC5023" t="n">
        <v>87</v>
      </c>
      <c r="AD5023" t="n">
        <v>55</v>
      </c>
      <c r="AE5023" t="n">
        <v>7</v>
      </c>
      <c r="AF5023" t="n">
        <v>31</v>
      </c>
      <c r="AG5023" t="n">
        <v>19</v>
      </c>
      <c r="AH5023" t="n">
        <v>21</v>
      </c>
      <c r="AI5023" t="n">
        <v>22</v>
      </c>
      <c r="AJ5023">
        <f>INDEX($Q$5000:$Q$5127,AC5023+1)</f>
        <v/>
      </c>
      <c r="AK5023">
        <f>INDEX($R$5000:$R$5127,AD5023+1)</f>
        <v/>
      </c>
      <c r="AL5023">
        <f>INDEX($S$5000:$S$5127,AE5023+1)</f>
        <v/>
      </c>
      <c r="AM5023">
        <f>INDEX($T$5000:$T$5127,AF5023+1)</f>
        <v/>
      </c>
      <c r="AN5023">
        <f>INDEX($U$5000:$U$5127,AG5023+1)</f>
        <v/>
      </c>
      <c r="AO5023">
        <f>INDEX($V$5000:$V$5127,AH5023+1)</f>
        <v/>
      </c>
      <c r="AP5023">
        <f>INDEX($W$5000:$W$5127,AI5023+1)</f>
        <v/>
      </c>
      <c r="AQ5023">
        <f>IF(Q5023&gt;=AJ5023-0.01,1,0)</f>
        <v/>
      </c>
      <c r="AR5023">
        <f>IF(R5023&gt;=AK5023-0.01,1,0)</f>
        <v/>
      </c>
      <c r="AS5023">
        <f>IF(S5023&gt;=AL5023-0.01,1,0)</f>
        <v/>
      </c>
      <c r="AT5023">
        <f>IF(T5023&gt;=AM5023-0.01,1,0)</f>
        <v/>
      </c>
      <c r="AU5023">
        <f>IF(U5023&gt;=AN5023-0.01,1,0)</f>
        <v/>
      </c>
      <c r="AV5023">
        <f>IF(V5023&gt;=AO5023-0.01,1,0)</f>
        <v/>
      </c>
      <c r="AW5023">
        <f>IF(W5023&gt;=AP5023-0.01,1,0)</f>
        <v/>
      </c>
      <c r="AX5023">
        <f>AQ5023*AR5023*AS5023*AT5023*AU5023*AV5023*AW5023</f>
        <v/>
      </c>
    </row>
    <row r="5024">
      <c r="A5024" t="inlineStr"/>
      <c r="B5024">
        <f>Assumptions!$B$60</f>
        <v/>
      </c>
      <c r="C5024" t="n">
        <v>0</v>
      </c>
      <c r="D5024" t="n">
        <v>0</v>
      </c>
      <c r="E5024" t="n">
        <v>1</v>
      </c>
      <c r="F5024" t="n">
        <v>1</v>
      </c>
      <c r="G5024" t="n">
        <v>0</v>
      </c>
      <c r="H5024" t="n">
        <v>0</v>
      </c>
      <c r="I5024" t="n">
        <v>0</v>
      </c>
      <c r="J5024">
        <f>(1-C5024)*Assumptions!$B$41+(1-D5024)*Assumptions!$B$33+(1-E5024)*Assumptions!$B$32+(1-F5024)*Assumptions!$B$31+(1-G5024)*Assumptions!$B$30+(1-H5024)*Assumptions!$B$29+(1-I5024)*Assumptions!$B$28</f>
        <v/>
      </c>
      <c r="K5024">
        <f>C5024*$J$157+D5024*$F$157+E5024*$G$157+F5024*Assumptions!$B$14+G5024*Assumptions!$B$13+H5024*Assumptions!$B$12+I5024*Assumptions!$B$11+$O$157+$S$157+Assumptions!$B$9</f>
        <v/>
      </c>
      <c r="L5024">
        <f>B5024-J5024</f>
        <v/>
      </c>
      <c r="M5024">
        <f>IF(K5024&gt;0,IF(L5024/K5024&gt;=Assumptions!$B$37,1,0),0)</f>
        <v/>
      </c>
      <c r="N5024">
        <f>K5024+M5024*Assumptions!$B$153</f>
        <v/>
      </c>
      <c r="O5024">
        <f>L5024+M5024*Assumptions!$B$153*Assumptions!$B$37</f>
        <v/>
      </c>
      <c r="P5024">
        <f>IF(N5024&gt;0,O5024/N5024,0)</f>
        <v/>
      </c>
      <c r="Q5024">
        <f>IF(C5024=1,P5024*$J$157,Assumptions!$B$41)</f>
        <v/>
      </c>
      <c r="R5024">
        <f>IF(D5024=1,P5024*$F$157,Assumptions!$B$33)</f>
        <v/>
      </c>
      <c r="S5024">
        <f>IF(E5024=1,P5024*$G$157,Assumptions!$B$32)</f>
        <v/>
      </c>
      <c r="T5024">
        <f>IF(F5024=1,P5024*Assumptions!$B$14,Assumptions!$B$31)</f>
        <v/>
      </c>
      <c r="U5024">
        <f>IF(G5024=1,P5024*Assumptions!$B$13,Assumptions!$B$30)</f>
        <v/>
      </c>
      <c r="V5024">
        <f>IF(H5024=1,P5024*Assumptions!$B$12,Assumptions!$B$29)</f>
        <v/>
      </c>
      <c r="W5024">
        <f>IF(I5024=1,P5024*Assumptions!$B$11,Assumptions!$B$28)</f>
        <v/>
      </c>
      <c r="X5024">
        <f>P5024*($O$157+$S$157)</f>
        <v/>
      </c>
      <c r="Y5024">
        <f>P5024*Assumptions!$B$9</f>
        <v/>
      </c>
      <c r="Z5024">
        <f>IF(M5024=1,(P5024-Assumptions!$B$37)*Assumptions!$B$153,0)</f>
        <v/>
      </c>
      <c r="AA5024">
        <f>Q5024+R5024+S5024+T5024+U5024+V5024+W5024+X5024+Y5024+Z5024</f>
        <v/>
      </c>
      <c r="AB5024" t="n">
        <v>24</v>
      </c>
      <c r="AC5024" t="n">
        <v>88</v>
      </c>
      <c r="AD5024" t="n">
        <v>56</v>
      </c>
      <c r="AE5024" t="n">
        <v>8</v>
      </c>
      <c r="AF5024" t="n">
        <v>16</v>
      </c>
      <c r="AG5024" t="n">
        <v>28</v>
      </c>
      <c r="AH5024" t="n">
        <v>26</v>
      </c>
      <c r="AI5024" t="n">
        <v>25</v>
      </c>
      <c r="AJ5024">
        <f>INDEX($Q$5000:$Q$5127,AC5024+1)</f>
        <v/>
      </c>
      <c r="AK5024">
        <f>INDEX($R$5000:$R$5127,AD5024+1)</f>
        <v/>
      </c>
      <c r="AL5024">
        <f>INDEX($S$5000:$S$5127,AE5024+1)</f>
        <v/>
      </c>
      <c r="AM5024">
        <f>INDEX($T$5000:$T$5127,AF5024+1)</f>
        <v/>
      </c>
      <c r="AN5024">
        <f>INDEX($U$5000:$U$5127,AG5024+1)</f>
        <v/>
      </c>
      <c r="AO5024">
        <f>INDEX($V$5000:$V$5127,AH5024+1)</f>
        <v/>
      </c>
      <c r="AP5024">
        <f>INDEX($W$5000:$W$5127,AI5024+1)</f>
        <v/>
      </c>
      <c r="AQ5024">
        <f>IF(Q5024&gt;=AJ5024-0.01,1,0)</f>
        <v/>
      </c>
      <c r="AR5024">
        <f>IF(R5024&gt;=AK5024-0.01,1,0)</f>
        <v/>
      </c>
      <c r="AS5024">
        <f>IF(S5024&gt;=AL5024-0.01,1,0)</f>
        <v/>
      </c>
      <c r="AT5024">
        <f>IF(T5024&gt;=AM5024-0.01,1,0)</f>
        <v/>
      </c>
      <c r="AU5024">
        <f>IF(U5024&gt;=AN5024-0.01,1,0)</f>
        <v/>
      </c>
      <c r="AV5024">
        <f>IF(V5024&gt;=AO5024-0.01,1,0)</f>
        <v/>
      </c>
      <c r="AW5024">
        <f>IF(W5024&gt;=AP5024-0.01,1,0)</f>
        <v/>
      </c>
      <c r="AX5024">
        <f>AQ5024*AR5024*AS5024*AT5024*AU5024*AV5024*AW5024</f>
        <v/>
      </c>
    </row>
    <row r="5025">
      <c r="A5025" t="inlineStr"/>
      <c r="B5025">
        <f>Assumptions!$B$60</f>
        <v/>
      </c>
      <c r="C5025" t="n">
        <v>0</v>
      </c>
      <c r="D5025" t="n">
        <v>0</v>
      </c>
      <c r="E5025" t="n">
        <v>1</v>
      </c>
      <c r="F5025" t="n">
        <v>1</v>
      </c>
      <c r="G5025" t="n">
        <v>0</v>
      </c>
      <c r="H5025" t="n">
        <v>0</v>
      </c>
      <c r="I5025" t="n">
        <v>1</v>
      </c>
      <c r="J5025">
        <f>(1-C5025)*Assumptions!$B$41+(1-D5025)*Assumptions!$B$33+(1-E5025)*Assumptions!$B$32+(1-F5025)*Assumptions!$B$31+(1-G5025)*Assumptions!$B$30+(1-H5025)*Assumptions!$B$29+(1-I5025)*Assumptions!$B$28</f>
        <v/>
      </c>
      <c r="K5025">
        <f>C5025*$J$157+D5025*$F$157+E5025*$G$157+F5025*Assumptions!$B$14+G5025*Assumptions!$B$13+H5025*Assumptions!$B$12+I5025*Assumptions!$B$11+$O$157+$S$157+Assumptions!$B$9</f>
        <v/>
      </c>
      <c r="L5025">
        <f>B5025-J5025</f>
        <v/>
      </c>
      <c r="M5025">
        <f>IF(K5025&gt;0,IF(L5025/K5025&gt;=Assumptions!$B$37,1,0),0)</f>
        <v/>
      </c>
      <c r="N5025">
        <f>K5025+M5025*Assumptions!$B$153</f>
        <v/>
      </c>
      <c r="O5025">
        <f>L5025+M5025*Assumptions!$B$153*Assumptions!$B$37</f>
        <v/>
      </c>
      <c r="P5025">
        <f>IF(N5025&gt;0,O5025/N5025,0)</f>
        <v/>
      </c>
      <c r="Q5025">
        <f>IF(C5025=1,P5025*$J$157,Assumptions!$B$41)</f>
        <v/>
      </c>
      <c r="R5025">
        <f>IF(D5025=1,P5025*$F$157,Assumptions!$B$33)</f>
        <v/>
      </c>
      <c r="S5025">
        <f>IF(E5025=1,P5025*$G$157,Assumptions!$B$32)</f>
        <v/>
      </c>
      <c r="T5025">
        <f>IF(F5025=1,P5025*Assumptions!$B$14,Assumptions!$B$31)</f>
        <v/>
      </c>
      <c r="U5025">
        <f>IF(G5025=1,P5025*Assumptions!$B$13,Assumptions!$B$30)</f>
        <v/>
      </c>
      <c r="V5025">
        <f>IF(H5025=1,P5025*Assumptions!$B$12,Assumptions!$B$29)</f>
        <v/>
      </c>
      <c r="W5025">
        <f>IF(I5025=1,P5025*Assumptions!$B$11,Assumptions!$B$28)</f>
        <v/>
      </c>
      <c r="X5025">
        <f>P5025*($O$157+$S$157)</f>
        <v/>
      </c>
      <c r="Y5025">
        <f>P5025*Assumptions!$B$9</f>
        <v/>
      </c>
      <c r="Z5025">
        <f>IF(M5025=1,(P5025-Assumptions!$B$37)*Assumptions!$B$153,0)</f>
        <v/>
      </c>
      <c r="AA5025">
        <f>Q5025+R5025+S5025+T5025+U5025+V5025+W5025+X5025+Y5025+Z5025</f>
        <v/>
      </c>
      <c r="AB5025" t="n">
        <v>25</v>
      </c>
      <c r="AC5025" t="n">
        <v>89</v>
      </c>
      <c r="AD5025" t="n">
        <v>57</v>
      </c>
      <c r="AE5025" t="n">
        <v>9</v>
      </c>
      <c r="AF5025" t="n">
        <v>17</v>
      </c>
      <c r="AG5025" t="n">
        <v>29</v>
      </c>
      <c r="AH5025" t="n">
        <v>27</v>
      </c>
      <c r="AI5025" t="n">
        <v>24</v>
      </c>
      <c r="AJ5025">
        <f>INDEX($Q$5000:$Q$5127,AC5025+1)</f>
        <v/>
      </c>
      <c r="AK5025">
        <f>INDEX($R$5000:$R$5127,AD5025+1)</f>
        <v/>
      </c>
      <c r="AL5025">
        <f>INDEX($S$5000:$S$5127,AE5025+1)</f>
        <v/>
      </c>
      <c r="AM5025">
        <f>INDEX($T$5000:$T$5127,AF5025+1)</f>
        <v/>
      </c>
      <c r="AN5025">
        <f>INDEX($U$5000:$U$5127,AG5025+1)</f>
        <v/>
      </c>
      <c r="AO5025">
        <f>INDEX($V$5000:$V$5127,AH5025+1)</f>
        <v/>
      </c>
      <c r="AP5025">
        <f>INDEX($W$5000:$W$5127,AI5025+1)</f>
        <v/>
      </c>
      <c r="AQ5025">
        <f>IF(Q5025&gt;=AJ5025-0.01,1,0)</f>
        <v/>
      </c>
      <c r="AR5025">
        <f>IF(R5025&gt;=AK5025-0.01,1,0)</f>
        <v/>
      </c>
      <c r="AS5025">
        <f>IF(S5025&gt;=AL5025-0.01,1,0)</f>
        <v/>
      </c>
      <c r="AT5025">
        <f>IF(T5025&gt;=AM5025-0.01,1,0)</f>
        <v/>
      </c>
      <c r="AU5025">
        <f>IF(U5025&gt;=AN5025-0.01,1,0)</f>
        <v/>
      </c>
      <c r="AV5025">
        <f>IF(V5025&gt;=AO5025-0.01,1,0)</f>
        <v/>
      </c>
      <c r="AW5025">
        <f>IF(W5025&gt;=AP5025-0.01,1,0)</f>
        <v/>
      </c>
      <c r="AX5025">
        <f>AQ5025*AR5025*AS5025*AT5025*AU5025*AV5025*AW5025</f>
        <v/>
      </c>
    </row>
    <row r="5026">
      <c r="A5026" t="inlineStr"/>
      <c r="B5026">
        <f>Assumptions!$B$60</f>
        <v/>
      </c>
      <c r="C5026" t="n">
        <v>0</v>
      </c>
      <c r="D5026" t="n">
        <v>0</v>
      </c>
      <c r="E5026" t="n">
        <v>1</v>
      </c>
      <c r="F5026" t="n">
        <v>1</v>
      </c>
      <c r="G5026" t="n">
        <v>0</v>
      </c>
      <c r="H5026" t="n">
        <v>1</v>
      </c>
      <c r="I5026" t="n">
        <v>0</v>
      </c>
      <c r="J5026">
        <f>(1-C5026)*Assumptions!$B$41+(1-D5026)*Assumptions!$B$33+(1-E5026)*Assumptions!$B$32+(1-F5026)*Assumptions!$B$31+(1-G5026)*Assumptions!$B$30+(1-H5026)*Assumptions!$B$29+(1-I5026)*Assumptions!$B$28</f>
        <v/>
      </c>
      <c r="K5026">
        <f>C5026*$J$157+D5026*$F$157+E5026*$G$157+F5026*Assumptions!$B$14+G5026*Assumptions!$B$13+H5026*Assumptions!$B$12+I5026*Assumptions!$B$11+$O$157+$S$157+Assumptions!$B$9</f>
        <v/>
      </c>
      <c r="L5026">
        <f>B5026-J5026</f>
        <v/>
      </c>
      <c r="M5026">
        <f>IF(K5026&gt;0,IF(L5026/K5026&gt;=Assumptions!$B$37,1,0),0)</f>
        <v/>
      </c>
      <c r="N5026">
        <f>K5026+M5026*Assumptions!$B$153</f>
        <v/>
      </c>
      <c r="O5026">
        <f>L5026+M5026*Assumptions!$B$153*Assumptions!$B$37</f>
        <v/>
      </c>
      <c r="P5026">
        <f>IF(N5026&gt;0,O5026/N5026,0)</f>
        <v/>
      </c>
      <c r="Q5026">
        <f>IF(C5026=1,P5026*$J$157,Assumptions!$B$41)</f>
        <v/>
      </c>
      <c r="R5026">
        <f>IF(D5026=1,P5026*$F$157,Assumptions!$B$33)</f>
        <v/>
      </c>
      <c r="S5026">
        <f>IF(E5026=1,P5026*$G$157,Assumptions!$B$32)</f>
        <v/>
      </c>
      <c r="T5026">
        <f>IF(F5026=1,P5026*Assumptions!$B$14,Assumptions!$B$31)</f>
        <v/>
      </c>
      <c r="U5026">
        <f>IF(G5026=1,P5026*Assumptions!$B$13,Assumptions!$B$30)</f>
        <v/>
      </c>
      <c r="V5026">
        <f>IF(H5026=1,P5026*Assumptions!$B$12,Assumptions!$B$29)</f>
        <v/>
      </c>
      <c r="W5026">
        <f>IF(I5026=1,P5026*Assumptions!$B$11,Assumptions!$B$28)</f>
        <v/>
      </c>
      <c r="X5026">
        <f>P5026*($O$157+$S$157)</f>
        <v/>
      </c>
      <c r="Y5026">
        <f>P5026*Assumptions!$B$9</f>
        <v/>
      </c>
      <c r="Z5026">
        <f>IF(M5026=1,(P5026-Assumptions!$B$37)*Assumptions!$B$153,0)</f>
        <v/>
      </c>
      <c r="AA5026">
        <f>Q5026+R5026+S5026+T5026+U5026+V5026+W5026+X5026+Y5026+Z5026</f>
        <v/>
      </c>
      <c r="AB5026" t="n">
        <v>26</v>
      </c>
      <c r="AC5026" t="n">
        <v>90</v>
      </c>
      <c r="AD5026" t="n">
        <v>58</v>
      </c>
      <c r="AE5026" t="n">
        <v>10</v>
      </c>
      <c r="AF5026" t="n">
        <v>18</v>
      </c>
      <c r="AG5026" t="n">
        <v>30</v>
      </c>
      <c r="AH5026" t="n">
        <v>24</v>
      </c>
      <c r="AI5026" t="n">
        <v>27</v>
      </c>
      <c r="AJ5026">
        <f>INDEX($Q$5000:$Q$5127,AC5026+1)</f>
        <v/>
      </c>
      <c r="AK5026">
        <f>INDEX($R$5000:$R$5127,AD5026+1)</f>
        <v/>
      </c>
      <c r="AL5026">
        <f>INDEX($S$5000:$S$5127,AE5026+1)</f>
        <v/>
      </c>
      <c r="AM5026">
        <f>INDEX($T$5000:$T$5127,AF5026+1)</f>
        <v/>
      </c>
      <c r="AN5026">
        <f>INDEX($U$5000:$U$5127,AG5026+1)</f>
        <v/>
      </c>
      <c r="AO5026">
        <f>INDEX($V$5000:$V$5127,AH5026+1)</f>
        <v/>
      </c>
      <c r="AP5026">
        <f>INDEX($W$5000:$W$5127,AI5026+1)</f>
        <v/>
      </c>
      <c r="AQ5026">
        <f>IF(Q5026&gt;=AJ5026-0.01,1,0)</f>
        <v/>
      </c>
      <c r="AR5026">
        <f>IF(R5026&gt;=AK5026-0.01,1,0)</f>
        <v/>
      </c>
      <c r="AS5026">
        <f>IF(S5026&gt;=AL5026-0.01,1,0)</f>
        <v/>
      </c>
      <c r="AT5026">
        <f>IF(T5026&gt;=AM5026-0.01,1,0)</f>
        <v/>
      </c>
      <c r="AU5026">
        <f>IF(U5026&gt;=AN5026-0.01,1,0)</f>
        <v/>
      </c>
      <c r="AV5026">
        <f>IF(V5026&gt;=AO5026-0.01,1,0)</f>
        <v/>
      </c>
      <c r="AW5026">
        <f>IF(W5026&gt;=AP5026-0.01,1,0)</f>
        <v/>
      </c>
      <c r="AX5026">
        <f>AQ5026*AR5026*AS5026*AT5026*AU5026*AV5026*AW5026</f>
        <v/>
      </c>
    </row>
    <row r="5027">
      <c r="A5027" t="inlineStr"/>
      <c r="B5027">
        <f>Assumptions!$B$60</f>
        <v/>
      </c>
      <c r="C5027" t="n">
        <v>0</v>
      </c>
      <c r="D5027" t="n">
        <v>0</v>
      </c>
      <c r="E5027" t="n">
        <v>1</v>
      </c>
      <c r="F5027" t="n">
        <v>1</v>
      </c>
      <c r="G5027" t="n">
        <v>0</v>
      </c>
      <c r="H5027" t="n">
        <v>1</v>
      </c>
      <c r="I5027" t="n">
        <v>1</v>
      </c>
      <c r="J5027">
        <f>(1-C5027)*Assumptions!$B$41+(1-D5027)*Assumptions!$B$33+(1-E5027)*Assumptions!$B$32+(1-F5027)*Assumptions!$B$31+(1-G5027)*Assumptions!$B$30+(1-H5027)*Assumptions!$B$29+(1-I5027)*Assumptions!$B$28</f>
        <v/>
      </c>
      <c r="K5027">
        <f>C5027*$J$157+D5027*$F$157+E5027*$G$157+F5027*Assumptions!$B$14+G5027*Assumptions!$B$13+H5027*Assumptions!$B$12+I5027*Assumptions!$B$11+$O$157+$S$157+Assumptions!$B$9</f>
        <v/>
      </c>
      <c r="L5027">
        <f>B5027-J5027</f>
        <v/>
      </c>
      <c r="M5027">
        <f>IF(K5027&gt;0,IF(L5027/K5027&gt;=Assumptions!$B$37,1,0),0)</f>
        <v/>
      </c>
      <c r="N5027">
        <f>K5027+M5027*Assumptions!$B$153</f>
        <v/>
      </c>
      <c r="O5027">
        <f>L5027+M5027*Assumptions!$B$153*Assumptions!$B$37</f>
        <v/>
      </c>
      <c r="P5027">
        <f>IF(N5027&gt;0,O5027/N5027,0)</f>
        <v/>
      </c>
      <c r="Q5027">
        <f>IF(C5027=1,P5027*$J$157,Assumptions!$B$41)</f>
        <v/>
      </c>
      <c r="R5027">
        <f>IF(D5027=1,P5027*$F$157,Assumptions!$B$33)</f>
        <v/>
      </c>
      <c r="S5027">
        <f>IF(E5027=1,P5027*$G$157,Assumptions!$B$32)</f>
        <v/>
      </c>
      <c r="T5027">
        <f>IF(F5027=1,P5027*Assumptions!$B$14,Assumptions!$B$31)</f>
        <v/>
      </c>
      <c r="U5027">
        <f>IF(G5027=1,P5027*Assumptions!$B$13,Assumptions!$B$30)</f>
        <v/>
      </c>
      <c r="V5027">
        <f>IF(H5027=1,P5027*Assumptions!$B$12,Assumptions!$B$29)</f>
        <v/>
      </c>
      <c r="W5027">
        <f>IF(I5027=1,P5027*Assumptions!$B$11,Assumptions!$B$28)</f>
        <v/>
      </c>
      <c r="X5027">
        <f>P5027*($O$157+$S$157)</f>
        <v/>
      </c>
      <c r="Y5027">
        <f>P5027*Assumptions!$B$9</f>
        <v/>
      </c>
      <c r="Z5027">
        <f>IF(M5027=1,(P5027-Assumptions!$B$37)*Assumptions!$B$153,0)</f>
        <v/>
      </c>
      <c r="AA5027">
        <f>Q5027+R5027+S5027+T5027+U5027+V5027+W5027+X5027+Y5027+Z5027</f>
        <v/>
      </c>
      <c r="AB5027" t="n">
        <v>27</v>
      </c>
      <c r="AC5027" t="n">
        <v>91</v>
      </c>
      <c r="AD5027" t="n">
        <v>59</v>
      </c>
      <c r="AE5027" t="n">
        <v>11</v>
      </c>
      <c r="AF5027" t="n">
        <v>19</v>
      </c>
      <c r="AG5027" t="n">
        <v>31</v>
      </c>
      <c r="AH5027" t="n">
        <v>25</v>
      </c>
      <c r="AI5027" t="n">
        <v>26</v>
      </c>
      <c r="AJ5027">
        <f>INDEX($Q$5000:$Q$5127,AC5027+1)</f>
        <v/>
      </c>
      <c r="AK5027">
        <f>INDEX($R$5000:$R$5127,AD5027+1)</f>
        <v/>
      </c>
      <c r="AL5027">
        <f>INDEX($S$5000:$S$5127,AE5027+1)</f>
        <v/>
      </c>
      <c r="AM5027">
        <f>INDEX($T$5000:$T$5127,AF5027+1)</f>
        <v/>
      </c>
      <c r="AN5027">
        <f>INDEX($U$5000:$U$5127,AG5027+1)</f>
        <v/>
      </c>
      <c r="AO5027">
        <f>INDEX($V$5000:$V$5127,AH5027+1)</f>
        <v/>
      </c>
      <c r="AP5027">
        <f>INDEX($W$5000:$W$5127,AI5027+1)</f>
        <v/>
      </c>
      <c r="AQ5027">
        <f>IF(Q5027&gt;=AJ5027-0.01,1,0)</f>
        <v/>
      </c>
      <c r="AR5027">
        <f>IF(R5027&gt;=AK5027-0.01,1,0)</f>
        <v/>
      </c>
      <c r="AS5027">
        <f>IF(S5027&gt;=AL5027-0.01,1,0)</f>
        <v/>
      </c>
      <c r="AT5027">
        <f>IF(T5027&gt;=AM5027-0.01,1,0)</f>
        <v/>
      </c>
      <c r="AU5027">
        <f>IF(U5027&gt;=AN5027-0.01,1,0)</f>
        <v/>
      </c>
      <c r="AV5027">
        <f>IF(V5027&gt;=AO5027-0.01,1,0)</f>
        <v/>
      </c>
      <c r="AW5027">
        <f>IF(W5027&gt;=AP5027-0.01,1,0)</f>
        <v/>
      </c>
      <c r="AX5027">
        <f>AQ5027*AR5027*AS5027*AT5027*AU5027*AV5027*AW5027</f>
        <v/>
      </c>
    </row>
    <row r="5028">
      <c r="A5028" t="inlineStr"/>
      <c r="B5028">
        <f>Assumptions!$B$60</f>
        <v/>
      </c>
      <c r="C5028" t="n">
        <v>0</v>
      </c>
      <c r="D5028" t="n">
        <v>0</v>
      </c>
      <c r="E5028" t="n">
        <v>1</v>
      </c>
      <c r="F5028" t="n">
        <v>1</v>
      </c>
      <c r="G5028" t="n">
        <v>1</v>
      </c>
      <c r="H5028" t="n">
        <v>0</v>
      </c>
      <c r="I5028" t="n">
        <v>0</v>
      </c>
      <c r="J5028">
        <f>(1-C5028)*Assumptions!$B$41+(1-D5028)*Assumptions!$B$33+(1-E5028)*Assumptions!$B$32+(1-F5028)*Assumptions!$B$31+(1-G5028)*Assumptions!$B$30+(1-H5028)*Assumptions!$B$29+(1-I5028)*Assumptions!$B$28</f>
        <v/>
      </c>
      <c r="K5028">
        <f>C5028*$J$157+D5028*$F$157+E5028*$G$157+F5028*Assumptions!$B$14+G5028*Assumptions!$B$13+H5028*Assumptions!$B$12+I5028*Assumptions!$B$11+$O$157+$S$157+Assumptions!$B$9</f>
        <v/>
      </c>
      <c r="L5028">
        <f>B5028-J5028</f>
        <v/>
      </c>
      <c r="M5028">
        <f>IF(K5028&gt;0,IF(L5028/K5028&gt;=Assumptions!$B$37,1,0),0)</f>
        <v/>
      </c>
      <c r="N5028">
        <f>K5028+M5028*Assumptions!$B$153</f>
        <v/>
      </c>
      <c r="O5028">
        <f>L5028+M5028*Assumptions!$B$153*Assumptions!$B$37</f>
        <v/>
      </c>
      <c r="P5028">
        <f>IF(N5028&gt;0,O5028/N5028,0)</f>
        <v/>
      </c>
      <c r="Q5028">
        <f>IF(C5028=1,P5028*$J$157,Assumptions!$B$41)</f>
        <v/>
      </c>
      <c r="R5028">
        <f>IF(D5028=1,P5028*$F$157,Assumptions!$B$33)</f>
        <v/>
      </c>
      <c r="S5028">
        <f>IF(E5028=1,P5028*$G$157,Assumptions!$B$32)</f>
        <v/>
      </c>
      <c r="T5028">
        <f>IF(F5028=1,P5028*Assumptions!$B$14,Assumptions!$B$31)</f>
        <v/>
      </c>
      <c r="U5028">
        <f>IF(G5028=1,P5028*Assumptions!$B$13,Assumptions!$B$30)</f>
        <v/>
      </c>
      <c r="V5028">
        <f>IF(H5028=1,P5028*Assumptions!$B$12,Assumptions!$B$29)</f>
        <v/>
      </c>
      <c r="W5028">
        <f>IF(I5028=1,P5028*Assumptions!$B$11,Assumptions!$B$28)</f>
        <v/>
      </c>
      <c r="X5028">
        <f>P5028*($O$157+$S$157)</f>
        <v/>
      </c>
      <c r="Y5028">
        <f>P5028*Assumptions!$B$9</f>
        <v/>
      </c>
      <c r="Z5028">
        <f>IF(M5028=1,(P5028-Assumptions!$B$37)*Assumptions!$B$153,0)</f>
        <v/>
      </c>
      <c r="AA5028">
        <f>Q5028+R5028+S5028+T5028+U5028+V5028+W5028+X5028+Y5028+Z5028</f>
        <v/>
      </c>
      <c r="AB5028" t="n">
        <v>28</v>
      </c>
      <c r="AC5028" t="n">
        <v>92</v>
      </c>
      <c r="AD5028" t="n">
        <v>60</v>
      </c>
      <c r="AE5028" t="n">
        <v>12</v>
      </c>
      <c r="AF5028" t="n">
        <v>20</v>
      </c>
      <c r="AG5028" t="n">
        <v>24</v>
      </c>
      <c r="AH5028" t="n">
        <v>30</v>
      </c>
      <c r="AI5028" t="n">
        <v>29</v>
      </c>
      <c r="AJ5028">
        <f>INDEX($Q$5000:$Q$5127,AC5028+1)</f>
        <v/>
      </c>
      <c r="AK5028">
        <f>INDEX($R$5000:$R$5127,AD5028+1)</f>
        <v/>
      </c>
      <c r="AL5028">
        <f>INDEX($S$5000:$S$5127,AE5028+1)</f>
        <v/>
      </c>
      <c r="AM5028">
        <f>INDEX($T$5000:$T$5127,AF5028+1)</f>
        <v/>
      </c>
      <c r="AN5028">
        <f>INDEX($U$5000:$U$5127,AG5028+1)</f>
        <v/>
      </c>
      <c r="AO5028">
        <f>INDEX($V$5000:$V$5127,AH5028+1)</f>
        <v/>
      </c>
      <c r="AP5028">
        <f>INDEX($W$5000:$W$5127,AI5028+1)</f>
        <v/>
      </c>
      <c r="AQ5028">
        <f>IF(Q5028&gt;=AJ5028-0.01,1,0)</f>
        <v/>
      </c>
      <c r="AR5028">
        <f>IF(R5028&gt;=AK5028-0.01,1,0)</f>
        <v/>
      </c>
      <c r="AS5028">
        <f>IF(S5028&gt;=AL5028-0.01,1,0)</f>
        <v/>
      </c>
      <c r="AT5028">
        <f>IF(T5028&gt;=AM5028-0.01,1,0)</f>
        <v/>
      </c>
      <c r="AU5028">
        <f>IF(U5028&gt;=AN5028-0.01,1,0)</f>
        <v/>
      </c>
      <c r="AV5028">
        <f>IF(V5028&gt;=AO5028-0.01,1,0)</f>
        <v/>
      </c>
      <c r="AW5028">
        <f>IF(W5028&gt;=AP5028-0.01,1,0)</f>
        <v/>
      </c>
      <c r="AX5028">
        <f>AQ5028*AR5028*AS5028*AT5028*AU5028*AV5028*AW5028</f>
        <v/>
      </c>
    </row>
    <row r="5029">
      <c r="A5029" t="inlineStr"/>
      <c r="B5029">
        <f>Assumptions!$B$60</f>
        <v/>
      </c>
      <c r="C5029" t="n">
        <v>0</v>
      </c>
      <c r="D5029" t="n">
        <v>0</v>
      </c>
      <c r="E5029" t="n">
        <v>1</v>
      </c>
      <c r="F5029" t="n">
        <v>1</v>
      </c>
      <c r="G5029" t="n">
        <v>1</v>
      </c>
      <c r="H5029" t="n">
        <v>0</v>
      </c>
      <c r="I5029" t="n">
        <v>1</v>
      </c>
      <c r="J5029">
        <f>(1-C5029)*Assumptions!$B$41+(1-D5029)*Assumptions!$B$33+(1-E5029)*Assumptions!$B$32+(1-F5029)*Assumptions!$B$31+(1-G5029)*Assumptions!$B$30+(1-H5029)*Assumptions!$B$29+(1-I5029)*Assumptions!$B$28</f>
        <v/>
      </c>
      <c r="K5029">
        <f>C5029*$J$157+D5029*$F$157+E5029*$G$157+F5029*Assumptions!$B$14+G5029*Assumptions!$B$13+H5029*Assumptions!$B$12+I5029*Assumptions!$B$11+$O$157+$S$157+Assumptions!$B$9</f>
        <v/>
      </c>
      <c r="L5029">
        <f>B5029-J5029</f>
        <v/>
      </c>
      <c r="M5029">
        <f>IF(K5029&gt;0,IF(L5029/K5029&gt;=Assumptions!$B$37,1,0),0)</f>
        <v/>
      </c>
      <c r="N5029">
        <f>K5029+M5029*Assumptions!$B$153</f>
        <v/>
      </c>
      <c r="O5029">
        <f>L5029+M5029*Assumptions!$B$153*Assumptions!$B$37</f>
        <v/>
      </c>
      <c r="P5029">
        <f>IF(N5029&gt;0,O5029/N5029,0)</f>
        <v/>
      </c>
      <c r="Q5029">
        <f>IF(C5029=1,P5029*$J$157,Assumptions!$B$41)</f>
        <v/>
      </c>
      <c r="R5029">
        <f>IF(D5029=1,P5029*$F$157,Assumptions!$B$33)</f>
        <v/>
      </c>
      <c r="S5029">
        <f>IF(E5029=1,P5029*$G$157,Assumptions!$B$32)</f>
        <v/>
      </c>
      <c r="T5029">
        <f>IF(F5029=1,P5029*Assumptions!$B$14,Assumptions!$B$31)</f>
        <v/>
      </c>
      <c r="U5029">
        <f>IF(G5029=1,P5029*Assumptions!$B$13,Assumptions!$B$30)</f>
        <v/>
      </c>
      <c r="V5029">
        <f>IF(H5029=1,P5029*Assumptions!$B$12,Assumptions!$B$29)</f>
        <v/>
      </c>
      <c r="W5029">
        <f>IF(I5029=1,P5029*Assumptions!$B$11,Assumptions!$B$28)</f>
        <v/>
      </c>
      <c r="X5029">
        <f>P5029*($O$157+$S$157)</f>
        <v/>
      </c>
      <c r="Y5029">
        <f>P5029*Assumptions!$B$9</f>
        <v/>
      </c>
      <c r="Z5029">
        <f>IF(M5029=1,(P5029-Assumptions!$B$37)*Assumptions!$B$153,0)</f>
        <v/>
      </c>
      <c r="AA5029">
        <f>Q5029+R5029+S5029+T5029+U5029+V5029+W5029+X5029+Y5029+Z5029</f>
        <v/>
      </c>
      <c r="AB5029" t="n">
        <v>29</v>
      </c>
      <c r="AC5029" t="n">
        <v>93</v>
      </c>
      <c r="AD5029" t="n">
        <v>61</v>
      </c>
      <c r="AE5029" t="n">
        <v>13</v>
      </c>
      <c r="AF5029" t="n">
        <v>21</v>
      </c>
      <c r="AG5029" t="n">
        <v>25</v>
      </c>
      <c r="AH5029" t="n">
        <v>31</v>
      </c>
      <c r="AI5029" t="n">
        <v>28</v>
      </c>
      <c r="AJ5029">
        <f>INDEX($Q$5000:$Q$5127,AC5029+1)</f>
        <v/>
      </c>
      <c r="AK5029">
        <f>INDEX($R$5000:$R$5127,AD5029+1)</f>
        <v/>
      </c>
      <c r="AL5029">
        <f>INDEX($S$5000:$S$5127,AE5029+1)</f>
        <v/>
      </c>
      <c r="AM5029">
        <f>INDEX($T$5000:$T$5127,AF5029+1)</f>
        <v/>
      </c>
      <c r="AN5029">
        <f>INDEX($U$5000:$U$5127,AG5029+1)</f>
        <v/>
      </c>
      <c r="AO5029">
        <f>INDEX($V$5000:$V$5127,AH5029+1)</f>
        <v/>
      </c>
      <c r="AP5029">
        <f>INDEX($W$5000:$W$5127,AI5029+1)</f>
        <v/>
      </c>
      <c r="AQ5029">
        <f>IF(Q5029&gt;=AJ5029-0.01,1,0)</f>
        <v/>
      </c>
      <c r="AR5029">
        <f>IF(R5029&gt;=AK5029-0.01,1,0)</f>
        <v/>
      </c>
      <c r="AS5029">
        <f>IF(S5029&gt;=AL5029-0.01,1,0)</f>
        <v/>
      </c>
      <c r="AT5029">
        <f>IF(T5029&gt;=AM5029-0.01,1,0)</f>
        <v/>
      </c>
      <c r="AU5029">
        <f>IF(U5029&gt;=AN5029-0.01,1,0)</f>
        <v/>
      </c>
      <c r="AV5029">
        <f>IF(V5029&gt;=AO5029-0.01,1,0)</f>
        <v/>
      </c>
      <c r="AW5029">
        <f>IF(W5029&gt;=AP5029-0.01,1,0)</f>
        <v/>
      </c>
      <c r="AX5029">
        <f>AQ5029*AR5029*AS5029*AT5029*AU5029*AV5029*AW5029</f>
        <v/>
      </c>
    </row>
    <row r="5030">
      <c r="A5030" t="inlineStr"/>
      <c r="B5030">
        <f>Assumptions!$B$60</f>
        <v/>
      </c>
      <c r="C5030" t="n">
        <v>0</v>
      </c>
      <c r="D5030" t="n">
        <v>0</v>
      </c>
      <c r="E5030" t="n">
        <v>1</v>
      </c>
      <c r="F5030" t="n">
        <v>1</v>
      </c>
      <c r="G5030" t="n">
        <v>1</v>
      </c>
      <c r="H5030" t="n">
        <v>1</v>
      </c>
      <c r="I5030" t="n">
        <v>0</v>
      </c>
      <c r="J5030">
        <f>(1-C5030)*Assumptions!$B$41+(1-D5030)*Assumptions!$B$33+(1-E5030)*Assumptions!$B$32+(1-F5030)*Assumptions!$B$31+(1-G5030)*Assumptions!$B$30+(1-H5030)*Assumptions!$B$29+(1-I5030)*Assumptions!$B$28</f>
        <v/>
      </c>
      <c r="K5030">
        <f>C5030*$J$157+D5030*$F$157+E5030*$G$157+F5030*Assumptions!$B$14+G5030*Assumptions!$B$13+H5030*Assumptions!$B$12+I5030*Assumptions!$B$11+$O$157+$S$157+Assumptions!$B$9</f>
        <v/>
      </c>
      <c r="L5030">
        <f>B5030-J5030</f>
        <v/>
      </c>
      <c r="M5030">
        <f>IF(K5030&gt;0,IF(L5030/K5030&gt;=Assumptions!$B$37,1,0),0)</f>
        <v/>
      </c>
      <c r="N5030">
        <f>K5030+M5030*Assumptions!$B$153</f>
        <v/>
      </c>
      <c r="O5030">
        <f>L5030+M5030*Assumptions!$B$153*Assumptions!$B$37</f>
        <v/>
      </c>
      <c r="P5030">
        <f>IF(N5030&gt;0,O5030/N5030,0)</f>
        <v/>
      </c>
      <c r="Q5030">
        <f>IF(C5030=1,P5030*$J$157,Assumptions!$B$41)</f>
        <v/>
      </c>
      <c r="R5030">
        <f>IF(D5030=1,P5030*$F$157,Assumptions!$B$33)</f>
        <v/>
      </c>
      <c r="S5030">
        <f>IF(E5030=1,P5030*$G$157,Assumptions!$B$32)</f>
        <v/>
      </c>
      <c r="T5030">
        <f>IF(F5030=1,P5030*Assumptions!$B$14,Assumptions!$B$31)</f>
        <v/>
      </c>
      <c r="U5030">
        <f>IF(G5030=1,P5030*Assumptions!$B$13,Assumptions!$B$30)</f>
        <v/>
      </c>
      <c r="V5030">
        <f>IF(H5030=1,P5030*Assumptions!$B$12,Assumptions!$B$29)</f>
        <v/>
      </c>
      <c r="W5030">
        <f>IF(I5030=1,P5030*Assumptions!$B$11,Assumptions!$B$28)</f>
        <v/>
      </c>
      <c r="X5030">
        <f>P5030*($O$157+$S$157)</f>
        <v/>
      </c>
      <c r="Y5030">
        <f>P5030*Assumptions!$B$9</f>
        <v/>
      </c>
      <c r="Z5030">
        <f>IF(M5030=1,(P5030-Assumptions!$B$37)*Assumptions!$B$153,0)</f>
        <v/>
      </c>
      <c r="AA5030">
        <f>Q5030+R5030+S5030+T5030+U5030+V5030+W5030+X5030+Y5030+Z5030</f>
        <v/>
      </c>
      <c r="AB5030" t="n">
        <v>30</v>
      </c>
      <c r="AC5030" t="n">
        <v>94</v>
      </c>
      <c r="AD5030" t="n">
        <v>62</v>
      </c>
      <c r="AE5030" t="n">
        <v>14</v>
      </c>
      <c r="AF5030" t="n">
        <v>22</v>
      </c>
      <c r="AG5030" t="n">
        <v>26</v>
      </c>
      <c r="AH5030" t="n">
        <v>28</v>
      </c>
      <c r="AI5030" t="n">
        <v>31</v>
      </c>
      <c r="AJ5030">
        <f>INDEX($Q$5000:$Q$5127,AC5030+1)</f>
        <v/>
      </c>
      <c r="AK5030">
        <f>INDEX($R$5000:$R$5127,AD5030+1)</f>
        <v/>
      </c>
      <c r="AL5030">
        <f>INDEX($S$5000:$S$5127,AE5030+1)</f>
        <v/>
      </c>
      <c r="AM5030">
        <f>INDEX($T$5000:$T$5127,AF5030+1)</f>
        <v/>
      </c>
      <c r="AN5030">
        <f>INDEX($U$5000:$U$5127,AG5030+1)</f>
        <v/>
      </c>
      <c r="AO5030">
        <f>INDEX($V$5000:$V$5127,AH5030+1)</f>
        <v/>
      </c>
      <c r="AP5030">
        <f>INDEX($W$5000:$W$5127,AI5030+1)</f>
        <v/>
      </c>
      <c r="AQ5030">
        <f>IF(Q5030&gt;=AJ5030-0.01,1,0)</f>
        <v/>
      </c>
      <c r="AR5030">
        <f>IF(R5030&gt;=AK5030-0.01,1,0)</f>
        <v/>
      </c>
      <c r="AS5030">
        <f>IF(S5030&gt;=AL5030-0.01,1,0)</f>
        <v/>
      </c>
      <c r="AT5030">
        <f>IF(T5030&gt;=AM5030-0.01,1,0)</f>
        <v/>
      </c>
      <c r="AU5030">
        <f>IF(U5030&gt;=AN5030-0.01,1,0)</f>
        <v/>
      </c>
      <c r="AV5030">
        <f>IF(V5030&gt;=AO5030-0.01,1,0)</f>
        <v/>
      </c>
      <c r="AW5030">
        <f>IF(W5030&gt;=AP5030-0.01,1,0)</f>
        <v/>
      </c>
      <c r="AX5030">
        <f>AQ5030*AR5030*AS5030*AT5030*AU5030*AV5030*AW5030</f>
        <v/>
      </c>
    </row>
    <row r="5031">
      <c r="A5031" t="inlineStr"/>
      <c r="B5031">
        <f>Assumptions!$B$60</f>
        <v/>
      </c>
      <c r="C5031" t="n">
        <v>0</v>
      </c>
      <c r="D5031" t="n">
        <v>0</v>
      </c>
      <c r="E5031" t="n">
        <v>1</v>
      </c>
      <c r="F5031" t="n">
        <v>1</v>
      </c>
      <c r="G5031" t="n">
        <v>1</v>
      </c>
      <c r="H5031" t="n">
        <v>1</v>
      </c>
      <c r="I5031" t="n">
        <v>1</v>
      </c>
      <c r="J5031">
        <f>(1-C5031)*Assumptions!$B$41+(1-D5031)*Assumptions!$B$33+(1-E5031)*Assumptions!$B$32+(1-F5031)*Assumptions!$B$31+(1-G5031)*Assumptions!$B$30+(1-H5031)*Assumptions!$B$29+(1-I5031)*Assumptions!$B$28</f>
        <v/>
      </c>
      <c r="K5031">
        <f>C5031*$J$157+D5031*$F$157+E5031*$G$157+F5031*Assumptions!$B$14+G5031*Assumptions!$B$13+H5031*Assumptions!$B$12+I5031*Assumptions!$B$11+$O$157+$S$157+Assumptions!$B$9</f>
        <v/>
      </c>
      <c r="L5031">
        <f>B5031-J5031</f>
        <v/>
      </c>
      <c r="M5031">
        <f>IF(K5031&gt;0,IF(L5031/K5031&gt;=Assumptions!$B$37,1,0),0)</f>
        <v/>
      </c>
      <c r="N5031">
        <f>K5031+M5031*Assumptions!$B$153</f>
        <v/>
      </c>
      <c r="O5031">
        <f>L5031+M5031*Assumptions!$B$153*Assumptions!$B$37</f>
        <v/>
      </c>
      <c r="P5031">
        <f>IF(N5031&gt;0,O5031/N5031,0)</f>
        <v/>
      </c>
      <c r="Q5031">
        <f>IF(C5031=1,P5031*$J$157,Assumptions!$B$41)</f>
        <v/>
      </c>
      <c r="R5031">
        <f>IF(D5031=1,P5031*$F$157,Assumptions!$B$33)</f>
        <v/>
      </c>
      <c r="S5031">
        <f>IF(E5031=1,P5031*$G$157,Assumptions!$B$32)</f>
        <v/>
      </c>
      <c r="T5031">
        <f>IF(F5031=1,P5031*Assumptions!$B$14,Assumptions!$B$31)</f>
        <v/>
      </c>
      <c r="U5031">
        <f>IF(G5031=1,P5031*Assumptions!$B$13,Assumptions!$B$30)</f>
        <v/>
      </c>
      <c r="V5031">
        <f>IF(H5031=1,P5031*Assumptions!$B$12,Assumptions!$B$29)</f>
        <v/>
      </c>
      <c r="W5031">
        <f>IF(I5031=1,P5031*Assumptions!$B$11,Assumptions!$B$28)</f>
        <v/>
      </c>
      <c r="X5031">
        <f>P5031*($O$157+$S$157)</f>
        <v/>
      </c>
      <c r="Y5031">
        <f>P5031*Assumptions!$B$9</f>
        <v/>
      </c>
      <c r="Z5031">
        <f>IF(M5031=1,(P5031-Assumptions!$B$37)*Assumptions!$B$153,0)</f>
        <v/>
      </c>
      <c r="AA5031">
        <f>Q5031+R5031+S5031+T5031+U5031+V5031+W5031+X5031+Y5031+Z5031</f>
        <v/>
      </c>
      <c r="AB5031" t="n">
        <v>31</v>
      </c>
      <c r="AC5031" t="n">
        <v>95</v>
      </c>
      <c r="AD5031" t="n">
        <v>63</v>
      </c>
      <c r="AE5031" t="n">
        <v>15</v>
      </c>
      <c r="AF5031" t="n">
        <v>23</v>
      </c>
      <c r="AG5031" t="n">
        <v>27</v>
      </c>
      <c r="AH5031" t="n">
        <v>29</v>
      </c>
      <c r="AI5031" t="n">
        <v>30</v>
      </c>
      <c r="AJ5031">
        <f>INDEX($Q$5000:$Q$5127,AC5031+1)</f>
        <v/>
      </c>
      <c r="AK5031">
        <f>INDEX($R$5000:$R$5127,AD5031+1)</f>
        <v/>
      </c>
      <c r="AL5031">
        <f>INDEX($S$5000:$S$5127,AE5031+1)</f>
        <v/>
      </c>
      <c r="AM5031">
        <f>INDEX($T$5000:$T$5127,AF5031+1)</f>
        <v/>
      </c>
      <c r="AN5031">
        <f>INDEX($U$5000:$U$5127,AG5031+1)</f>
        <v/>
      </c>
      <c r="AO5031">
        <f>INDEX($V$5000:$V$5127,AH5031+1)</f>
        <v/>
      </c>
      <c r="AP5031">
        <f>INDEX($W$5000:$W$5127,AI5031+1)</f>
        <v/>
      </c>
      <c r="AQ5031">
        <f>IF(Q5031&gt;=AJ5031-0.01,1,0)</f>
        <v/>
      </c>
      <c r="AR5031">
        <f>IF(R5031&gt;=AK5031-0.01,1,0)</f>
        <v/>
      </c>
      <c r="AS5031">
        <f>IF(S5031&gt;=AL5031-0.01,1,0)</f>
        <v/>
      </c>
      <c r="AT5031">
        <f>IF(T5031&gt;=AM5031-0.01,1,0)</f>
        <v/>
      </c>
      <c r="AU5031">
        <f>IF(U5031&gt;=AN5031-0.01,1,0)</f>
        <v/>
      </c>
      <c r="AV5031">
        <f>IF(V5031&gt;=AO5031-0.01,1,0)</f>
        <v/>
      </c>
      <c r="AW5031">
        <f>IF(W5031&gt;=AP5031-0.01,1,0)</f>
        <v/>
      </c>
      <c r="AX5031">
        <f>AQ5031*AR5031*AS5031*AT5031*AU5031*AV5031*AW5031</f>
        <v/>
      </c>
    </row>
    <row r="5032">
      <c r="A5032" t="inlineStr"/>
      <c r="B5032">
        <f>Assumptions!$B$60</f>
        <v/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>
        <f>(1-C5032)*Assumptions!$B$41+(1-D5032)*Assumptions!$B$33+(1-E5032)*Assumptions!$B$32+(1-F5032)*Assumptions!$B$31+(1-G5032)*Assumptions!$B$30+(1-H5032)*Assumptions!$B$29+(1-I5032)*Assumptions!$B$28</f>
        <v/>
      </c>
      <c r="K5032">
        <f>C5032*$J$157+D5032*$F$157+E5032*$G$157+F5032*Assumptions!$B$14+G5032*Assumptions!$B$13+H5032*Assumptions!$B$12+I5032*Assumptions!$B$11+$O$157+$S$157+Assumptions!$B$9</f>
        <v/>
      </c>
      <c r="L5032">
        <f>B5032-J5032</f>
        <v/>
      </c>
      <c r="M5032">
        <f>IF(K5032&gt;0,IF(L5032/K5032&gt;=Assumptions!$B$37,1,0),0)</f>
        <v/>
      </c>
      <c r="N5032">
        <f>K5032+M5032*Assumptions!$B$153</f>
        <v/>
      </c>
      <c r="O5032">
        <f>L5032+M5032*Assumptions!$B$153*Assumptions!$B$37</f>
        <v/>
      </c>
      <c r="P5032">
        <f>IF(N5032&gt;0,O5032/N5032,0)</f>
        <v/>
      </c>
      <c r="Q5032">
        <f>IF(C5032=1,P5032*$J$157,Assumptions!$B$41)</f>
        <v/>
      </c>
      <c r="R5032">
        <f>IF(D5032=1,P5032*$F$157,Assumptions!$B$33)</f>
        <v/>
      </c>
      <c r="S5032">
        <f>IF(E5032=1,P5032*$G$157,Assumptions!$B$32)</f>
        <v/>
      </c>
      <c r="T5032">
        <f>IF(F5032=1,P5032*Assumptions!$B$14,Assumptions!$B$31)</f>
        <v/>
      </c>
      <c r="U5032">
        <f>IF(G5032=1,P5032*Assumptions!$B$13,Assumptions!$B$30)</f>
        <v/>
      </c>
      <c r="V5032">
        <f>IF(H5032=1,P5032*Assumptions!$B$12,Assumptions!$B$29)</f>
        <v/>
      </c>
      <c r="W5032">
        <f>IF(I5032=1,P5032*Assumptions!$B$11,Assumptions!$B$28)</f>
        <v/>
      </c>
      <c r="X5032">
        <f>P5032*($O$157+$S$157)</f>
        <v/>
      </c>
      <c r="Y5032">
        <f>P5032*Assumptions!$B$9</f>
        <v/>
      </c>
      <c r="Z5032">
        <f>IF(M5032=1,(P5032-Assumptions!$B$37)*Assumptions!$B$153,0)</f>
        <v/>
      </c>
      <c r="AA5032">
        <f>Q5032+R5032+S5032+T5032+U5032+V5032+W5032+X5032+Y5032+Z5032</f>
        <v/>
      </c>
      <c r="AB5032" t="n">
        <v>32</v>
      </c>
      <c r="AC5032" t="n">
        <v>96</v>
      </c>
      <c r="AD5032" t="n">
        <v>0</v>
      </c>
      <c r="AE5032" t="n">
        <v>48</v>
      </c>
      <c r="AF5032" t="n">
        <v>40</v>
      </c>
      <c r="AG5032" t="n">
        <v>36</v>
      </c>
      <c r="AH5032" t="n">
        <v>34</v>
      </c>
      <c r="AI5032" t="n">
        <v>33</v>
      </c>
      <c r="AJ5032">
        <f>INDEX($Q$5000:$Q$5127,AC5032+1)</f>
        <v/>
      </c>
      <c r="AK5032">
        <f>INDEX($R$5000:$R$5127,AD5032+1)</f>
        <v/>
      </c>
      <c r="AL5032">
        <f>INDEX($S$5000:$S$5127,AE5032+1)</f>
        <v/>
      </c>
      <c r="AM5032">
        <f>INDEX($T$5000:$T$5127,AF5032+1)</f>
        <v/>
      </c>
      <c r="AN5032">
        <f>INDEX($U$5000:$U$5127,AG5032+1)</f>
        <v/>
      </c>
      <c r="AO5032">
        <f>INDEX($V$5000:$V$5127,AH5032+1)</f>
        <v/>
      </c>
      <c r="AP5032">
        <f>INDEX($W$5000:$W$5127,AI5032+1)</f>
        <v/>
      </c>
      <c r="AQ5032">
        <f>IF(Q5032&gt;=AJ5032-0.01,1,0)</f>
        <v/>
      </c>
      <c r="AR5032">
        <f>IF(R5032&gt;=AK5032-0.01,1,0)</f>
        <v/>
      </c>
      <c r="AS5032">
        <f>IF(S5032&gt;=AL5032-0.01,1,0)</f>
        <v/>
      </c>
      <c r="AT5032">
        <f>IF(T5032&gt;=AM5032-0.01,1,0)</f>
        <v/>
      </c>
      <c r="AU5032">
        <f>IF(U5032&gt;=AN5032-0.01,1,0)</f>
        <v/>
      </c>
      <c r="AV5032">
        <f>IF(V5032&gt;=AO5032-0.01,1,0)</f>
        <v/>
      </c>
      <c r="AW5032">
        <f>IF(W5032&gt;=AP5032-0.01,1,0)</f>
        <v/>
      </c>
      <c r="AX5032">
        <f>AQ5032*AR5032*AS5032*AT5032*AU5032*AV5032*AW5032</f>
        <v/>
      </c>
    </row>
    <row r="5033">
      <c r="A5033" t="inlineStr"/>
      <c r="B5033">
        <f>Assumptions!$B$60</f>
        <v/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>
        <f>(1-C5033)*Assumptions!$B$41+(1-D5033)*Assumptions!$B$33+(1-E5033)*Assumptions!$B$32+(1-F5033)*Assumptions!$B$31+(1-G5033)*Assumptions!$B$30+(1-H5033)*Assumptions!$B$29+(1-I5033)*Assumptions!$B$28</f>
        <v/>
      </c>
      <c r="K5033">
        <f>C5033*$J$157+D5033*$F$157+E5033*$G$157+F5033*Assumptions!$B$14+G5033*Assumptions!$B$13+H5033*Assumptions!$B$12+I5033*Assumptions!$B$11+$O$157+$S$157+Assumptions!$B$9</f>
        <v/>
      </c>
      <c r="L5033">
        <f>B5033-J5033</f>
        <v/>
      </c>
      <c r="M5033">
        <f>IF(K5033&gt;0,IF(L5033/K5033&gt;=Assumptions!$B$37,1,0),0)</f>
        <v/>
      </c>
      <c r="N5033">
        <f>K5033+M5033*Assumptions!$B$153</f>
        <v/>
      </c>
      <c r="O5033">
        <f>L5033+M5033*Assumptions!$B$153*Assumptions!$B$37</f>
        <v/>
      </c>
      <c r="P5033">
        <f>IF(N5033&gt;0,O5033/N5033,0)</f>
        <v/>
      </c>
      <c r="Q5033">
        <f>IF(C5033=1,P5033*$J$157,Assumptions!$B$41)</f>
        <v/>
      </c>
      <c r="R5033">
        <f>IF(D5033=1,P5033*$F$157,Assumptions!$B$33)</f>
        <v/>
      </c>
      <c r="S5033">
        <f>IF(E5033=1,P5033*$G$157,Assumptions!$B$32)</f>
        <v/>
      </c>
      <c r="T5033">
        <f>IF(F5033=1,P5033*Assumptions!$B$14,Assumptions!$B$31)</f>
        <v/>
      </c>
      <c r="U5033">
        <f>IF(G5033=1,P5033*Assumptions!$B$13,Assumptions!$B$30)</f>
        <v/>
      </c>
      <c r="V5033">
        <f>IF(H5033=1,P5033*Assumptions!$B$12,Assumptions!$B$29)</f>
        <v/>
      </c>
      <c r="W5033">
        <f>IF(I5033=1,P5033*Assumptions!$B$11,Assumptions!$B$28)</f>
        <v/>
      </c>
      <c r="X5033">
        <f>P5033*($O$157+$S$157)</f>
        <v/>
      </c>
      <c r="Y5033">
        <f>P5033*Assumptions!$B$9</f>
        <v/>
      </c>
      <c r="Z5033">
        <f>IF(M5033=1,(P5033-Assumptions!$B$37)*Assumptions!$B$153,0)</f>
        <v/>
      </c>
      <c r="AA5033">
        <f>Q5033+R5033+S5033+T5033+U5033+V5033+W5033+X5033+Y5033+Z5033</f>
        <v/>
      </c>
      <c r="AB5033" t="n">
        <v>33</v>
      </c>
      <c r="AC5033" t="n">
        <v>97</v>
      </c>
      <c r="AD5033" t="n">
        <v>1</v>
      </c>
      <c r="AE5033" t="n">
        <v>49</v>
      </c>
      <c r="AF5033" t="n">
        <v>41</v>
      </c>
      <c r="AG5033" t="n">
        <v>37</v>
      </c>
      <c r="AH5033" t="n">
        <v>35</v>
      </c>
      <c r="AI5033" t="n">
        <v>32</v>
      </c>
      <c r="AJ5033">
        <f>INDEX($Q$5000:$Q$5127,AC5033+1)</f>
        <v/>
      </c>
      <c r="AK5033">
        <f>INDEX($R$5000:$R$5127,AD5033+1)</f>
        <v/>
      </c>
      <c r="AL5033">
        <f>INDEX($S$5000:$S$5127,AE5033+1)</f>
        <v/>
      </c>
      <c r="AM5033">
        <f>INDEX($T$5000:$T$5127,AF5033+1)</f>
        <v/>
      </c>
      <c r="AN5033">
        <f>INDEX($U$5000:$U$5127,AG5033+1)</f>
        <v/>
      </c>
      <c r="AO5033">
        <f>INDEX($V$5000:$V$5127,AH5033+1)</f>
        <v/>
      </c>
      <c r="AP5033">
        <f>INDEX($W$5000:$W$5127,AI5033+1)</f>
        <v/>
      </c>
      <c r="AQ5033">
        <f>IF(Q5033&gt;=AJ5033-0.01,1,0)</f>
        <v/>
      </c>
      <c r="AR5033">
        <f>IF(R5033&gt;=AK5033-0.01,1,0)</f>
        <v/>
      </c>
      <c r="AS5033">
        <f>IF(S5033&gt;=AL5033-0.01,1,0)</f>
        <v/>
      </c>
      <c r="AT5033">
        <f>IF(T5033&gt;=AM5033-0.01,1,0)</f>
        <v/>
      </c>
      <c r="AU5033">
        <f>IF(U5033&gt;=AN5033-0.01,1,0)</f>
        <v/>
      </c>
      <c r="AV5033">
        <f>IF(V5033&gt;=AO5033-0.01,1,0)</f>
        <v/>
      </c>
      <c r="AW5033">
        <f>IF(W5033&gt;=AP5033-0.01,1,0)</f>
        <v/>
      </c>
      <c r="AX5033">
        <f>AQ5033*AR5033*AS5033*AT5033*AU5033*AV5033*AW5033</f>
        <v/>
      </c>
    </row>
    <row r="5034">
      <c r="A5034" t="inlineStr"/>
      <c r="B5034">
        <f>Assumptions!$B$60</f>
        <v/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>
        <f>(1-C5034)*Assumptions!$B$41+(1-D5034)*Assumptions!$B$33+(1-E5034)*Assumptions!$B$32+(1-F5034)*Assumptions!$B$31+(1-G5034)*Assumptions!$B$30+(1-H5034)*Assumptions!$B$29+(1-I5034)*Assumptions!$B$28</f>
        <v/>
      </c>
      <c r="K5034">
        <f>C5034*$J$157+D5034*$F$157+E5034*$G$157+F5034*Assumptions!$B$14+G5034*Assumptions!$B$13+H5034*Assumptions!$B$12+I5034*Assumptions!$B$11+$O$157+$S$157+Assumptions!$B$9</f>
        <v/>
      </c>
      <c r="L5034">
        <f>B5034-J5034</f>
        <v/>
      </c>
      <c r="M5034">
        <f>IF(K5034&gt;0,IF(L5034/K5034&gt;=Assumptions!$B$37,1,0),0)</f>
        <v/>
      </c>
      <c r="N5034">
        <f>K5034+M5034*Assumptions!$B$153</f>
        <v/>
      </c>
      <c r="O5034">
        <f>L5034+M5034*Assumptions!$B$153*Assumptions!$B$37</f>
        <v/>
      </c>
      <c r="P5034">
        <f>IF(N5034&gt;0,O5034/N5034,0)</f>
        <v/>
      </c>
      <c r="Q5034">
        <f>IF(C5034=1,P5034*$J$157,Assumptions!$B$41)</f>
        <v/>
      </c>
      <c r="R5034">
        <f>IF(D5034=1,P5034*$F$157,Assumptions!$B$33)</f>
        <v/>
      </c>
      <c r="S5034">
        <f>IF(E5034=1,P5034*$G$157,Assumptions!$B$32)</f>
        <v/>
      </c>
      <c r="T5034">
        <f>IF(F5034=1,P5034*Assumptions!$B$14,Assumptions!$B$31)</f>
        <v/>
      </c>
      <c r="U5034">
        <f>IF(G5034=1,P5034*Assumptions!$B$13,Assumptions!$B$30)</f>
        <v/>
      </c>
      <c r="V5034">
        <f>IF(H5034=1,P5034*Assumptions!$B$12,Assumptions!$B$29)</f>
        <v/>
      </c>
      <c r="W5034">
        <f>IF(I5034=1,P5034*Assumptions!$B$11,Assumptions!$B$28)</f>
        <v/>
      </c>
      <c r="X5034">
        <f>P5034*($O$157+$S$157)</f>
        <v/>
      </c>
      <c r="Y5034">
        <f>P5034*Assumptions!$B$9</f>
        <v/>
      </c>
      <c r="Z5034">
        <f>IF(M5034=1,(P5034-Assumptions!$B$37)*Assumptions!$B$153,0)</f>
        <v/>
      </c>
      <c r="AA5034">
        <f>Q5034+R5034+S5034+T5034+U5034+V5034+W5034+X5034+Y5034+Z5034</f>
        <v/>
      </c>
      <c r="AB5034" t="n">
        <v>34</v>
      </c>
      <c r="AC5034" t="n">
        <v>98</v>
      </c>
      <c r="AD5034" t="n">
        <v>2</v>
      </c>
      <c r="AE5034" t="n">
        <v>50</v>
      </c>
      <c r="AF5034" t="n">
        <v>42</v>
      </c>
      <c r="AG5034" t="n">
        <v>38</v>
      </c>
      <c r="AH5034" t="n">
        <v>32</v>
      </c>
      <c r="AI5034" t="n">
        <v>35</v>
      </c>
      <c r="AJ5034">
        <f>INDEX($Q$5000:$Q$5127,AC5034+1)</f>
        <v/>
      </c>
      <c r="AK5034">
        <f>INDEX($R$5000:$R$5127,AD5034+1)</f>
        <v/>
      </c>
      <c r="AL5034">
        <f>INDEX($S$5000:$S$5127,AE5034+1)</f>
        <v/>
      </c>
      <c r="AM5034">
        <f>INDEX($T$5000:$T$5127,AF5034+1)</f>
        <v/>
      </c>
      <c r="AN5034">
        <f>INDEX($U$5000:$U$5127,AG5034+1)</f>
        <v/>
      </c>
      <c r="AO5034">
        <f>INDEX($V$5000:$V$5127,AH5034+1)</f>
        <v/>
      </c>
      <c r="AP5034">
        <f>INDEX($W$5000:$W$5127,AI5034+1)</f>
        <v/>
      </c>
      <c r="AQ5034">
        <f>IF(Q5034&gt;=AJ5034-0.01,1,0)</f>
        <v/>
      </c>
      <c r="AR5034">
        <f>IF(R5034&gt;=AK5034-0.01,1,0)</f>
        <v/>
      </c>
      <c r="AS5034">
        <f>IF(S5034&gt;=AL5034-0.01,1,0)</f>
        <v/>
      </c>
      <c r="AT5034">
        <f>IF(T5034&gt;=AM5034-0.01,1,0)</f>
        <v/>
      </c>
      <c r="AU5034">
        <f>IF(U5034&gt;=AN5034-0.01,1,0)</f>
        <v/>
      </c>
      <c r="AV5034">
        <f>IF(V5034&gt;=AO5034-0.01,1,0)</f>
        <v/>
      </c>
      <c r="AW5034">
        <f>IF(W5034&gt;=AP5034-0.01,1,0)</f>
        <v/>
      </c>
      <c r="AX5034">
        <f>AQ5034*AR5034*AS5034*AT5034*AU5034*AV5034*AW5034</f>
        <v/>
      </c>
    </row>
    <row r="5035">
      <c r="A5035" t="inlineStr"/>
      <c r="B5035">
        <f>Assumptions!$B$60</f>
        <v/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1</v>
      </c>
      <c r="I5035" t="n">
        <v>1</v>
      </c>
      <c r="J5035">
        <f>(1-C5035)*Assumptions!$B$41+(1-D5035)*Assumptions!$B$33+(1-E5035)*Assumptions!$B$32+(1-F5035)*Assumptions!$B$31+(1-G5035)*Assumptions!$B$30+(1-H5035)*Assumptions!$B$29+(1-I5035)*Assumptions!$B$28</f>
        <v/>
      </c>
      <c r="K5035">
        <f>C5035*$J$157+D5035*$F$157+E5035*$G$157+F5035*Assumptions!$B$14+G5035*Assumptions!$B$13+H5035*Assumptions!$B$12+I5035*Assumptions!$B$11+$O$157+$S$157+Assumptions!$B$9</f>
        <v/>
      </c>
      <c r="L5035">
        <f>B5035-J5035</f>
        <v/>
      </c>
      <c r="M5035">
        <f>IF(K5035&gt;0,IF(L5035/K5035&gt;=Assumptions!$B$37,1,0),0)</f>
        <v/>
      </c>
      <c r="N5035">
        <f>K5035+M5035*Assumptions!$B$153</f>
        <v/>
      </c>
      <c r="O5035">
        <f>L5035+M5035*Assumptions!$B$153*Assumptions!$B$37</f>
        <v/>
      </c>
      <c r="P5035">
        <f>IF(N5035&gt;0,O5035/N5035,0)</f>
        <v/>
      </c>
      <c r="Q5035">
        <f>IF(C5035=1,P5035*$J$157,Assumptions!$B$41)</f>
        <v/>
      </c>
      <c r="R5035">
        <f>IF(D5035=1,P5035*$F$157,Assumptions!$B$33)</f>
        <v/>
      </c>
      <c r="S5035">
        <f>IF(E5035=1,P5035*$G$157,Assumptions!$B$32)</f>
        <v/>
      </c>
      <c r="T5035">
        <f>IF(F5035=1,P5035*Assumptions!$B$14,Assumptions!$B$31)</f>
        <v/>
      </c>
      <c r="U5035">
        <f>IF(G5035=1,P5035*Assumptions!$B$13,Assumptions!$B$30)</f>
        <v/>
      </c>
      <c r="V5035">
        <f>IF(H5035=1,P5035*Assumptions!$B$12,Assumptions!$B$29)</f>
        <v/>
      </c>
      <c r="W5035">
        <f>IF(I5035=1,P5035*Assumptions!$B$11,Assumptions!$B$28)</f>
        <v/>
      </c>
      <c r="X5035">
        <f>P5035*($O$157+$S$157)</f>
        <v/>
      </c>
      <c r="Y5035">
        <f>P5035*Assumptions!$B$9</f>
        <v/>
      </c>
      <c r="Z5035">
        <f>IF(M5035=1,(P5035-Assumptions!$B$37)*Assumptions!$B$153,0)</f>
        <v/>
      </c>
      <c r="AA5035">
        <f>Q5035+R5035+S5035+T5035+U5035+V5035+W5035+X5035+Y5035+Z5035</f>
        <v/>
      </c>
      <c r="AB5035" t="n">
        <v>35</v>
      </c>
      <c r="AC5035" t="n">
        <v>99</v>
      </c>
      <c r="AD5035" t="n">
        <v>3</v>
      </c>
      <c r="AE5035" t="n">
        <v>51</v>
      </c>
      <c r="AF5035" t="n">
        <v>43</v>
      </c>
      <c r="AG5035" t="n">
        <v>39</v>
      </c>
      <c r="AH5035" t="n">
        <v>33</v>
      </c>
      <c r="AI5035" t="n">
        <v>34</v>
      </c>
      <c r="AJ5035">
        <f>INDEX($Q$5000:$Q$5127,AC5035+1)</f>
        <v/>
      </c>
      <c r="AK5035">
        <f>INDEX($R$5000:$R$5127,AD5035+1)</f>
        <v/>
      </c>
      <c r="AL5035">
        <f>INDEX($S$5000:$S$5127,AE5035+1)</f>
        <v/>
      </c>
      <c r="AM5035">
        <f>INDEX($T$5000:$T$5127,AF5035+1)</f>
        <v/>
      </c>
      <c r="AN5035">
        <f>INDEX($U$5000:$U$5127,AG5035+1)</f>
        <v/>
      </c>
      <c r="AO5035">
        <f>INDEX($V$5000:$V$5127,AH5035+1)</f>
        <v/>
      </c>
      <c r="AP5035">
        <f>INDEX($W$5000:$W$5127,AI5035+1)</f>
        <v/>
      </c>
      <c r="AQ5035">
        <f>IF(Q5035&gt;=AJ5035-0.01,1,0)</f>
        <v/>
      </c>
      <c r="AR5035">
        <f>IF(R5035&gt;=AK5035-0.01,1,0)</f>
        <v/>
      </c>
      <c r="AS5035">
        <f>IF(S5035&gt;=AL5035-0.01,1,0)</f>
        <v/>
      </c>
      <c r="AT5035">
        <f>IF(T5035&gt;=AM5035-0.01,1,0)</f>
        <v/>
      </c>
      <c r="AU5035">
        <f>IF(U5035&gt;=AN5035-0.01,1,0)</f>
        <v/>
      </c>
      <c r="AV5035">
        <f>IF(V5035&gt;=AO5035-0.01,1,0)</f>
        <v/>
      </c>
      <c r="AW5035">
        <f>IF(W5035&gt;=AP5035-0.01,1,0)</f>
        <v/>
      </c>
      <c r="AX5035">
        <f>AQ5035*AR5035*AS5035*AT5035*AU5035*AV5035*AW5035</f>
        <v/>
      </c>
    </row>
    <row r="5036">
      <c r="A5036" t="inlineStr"/>
      <c r="B5036">
        <f>Assumptions!$B$60</f>
        <v/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>
        <f>(1-C5036)*Assumptions!$B$41+(1-D5036)*Assumptions!$B$33+(1-E5036)*Assumptions!$B$32+(1-F5036)*Assumptions!$B$31+(1-G5036)*Assumptions!$B$30+(1-H5036)*Assumptions!$B$29+(1-I5036)*Assumptions!$B$28</f>
        <v/>
      </c>
      <c r="K5036">
        <f>C5036*$J$157+D5036*$F$157+E5036*$G$157+F5036*Assumptions!$B$14+G5036*Assumptions!$B$13+H5036*Assumptions!$B$12+I5036*Assumptions!$B$11+$O$157+$S$157+Assumptions!$B$9</f>
        <v/>
      </c>
      <c r="L5036">
        <f>B5036-J5036</f>
        <v/>
      </c>
      <c r="M5036">
        <f>IF(K5036&gt;0,IF(L5036/K5036&gt;=Assumptions!$B$37,1,0),0)</f>
        <v/>
      </c>
      <c r="N5036">
        <f>K5036+M5036*Assumptions!$B$153</f>
        <v/>
      </c>
      <c r="O5036">
        <f>L5036+M5036*Assumptions!$B$153*Assumptions!$B$37</f>
        <v/>
      </c>
      <c r="P5036">
        <f>IF(N5036&gt;0,O5036/N5036,0)</f>
        <v/>
      </c>
      <c r="Q5036">
        <f>IF(C5036=1,P5036*$J$157,Assumptions!$B$41)</f>
        <v/>
      </c>
      <c r="R5036">
        <f>IF(D5036=1,P5036*$F$157,Assumptions!$B$33)</f>
        <v/>
      </c>
      <c r="S5036">
        <f>IF(E5036=1,P5036*$G$157,Assumptions!$B$32)</f>
        <v/>
      </c>
      <c r="T5036">
        <f>IF(F5036=1,P5036*Assumptions!$B$14,Assumptions!$B$31)</f>
        <v/>
      </c>
      <c r="U5036">
        <f>IF(G5036=1,P5036*Assumptions!$B$13,Assumptions!$B$30)</f>
        <v/>
      </c>
      <c r="V5036">
        <f>IF(H5036=1,P5036*Assumptions!$B$12,Assumptions!$B$29)</f>
        <v/>
      </c>
      <c r="W5036">
        <f>IF(I5036=1,P5036*Assumptions!$B$11,Assumptions!$B$28)</f>
        <v/>
      </c>
      <c r="X5036">
        <f>P5036*($O$157+$S$157)</f>
        <v/>
      </c>
      <c r="Y5036">
        <f>P5036*Assumptions!$B$9</f>
        <v/>
      </c>
      <c r="Z5036">
        <f>IF(M5036=1,(P5036-Assumptions!$B$37)*Assumptions!$B$153,0)</f>
        <v/>
      </c>
      <c r="AA5036">
        <f>Q5036+R5036+S5036+T5036+U5036+V5036+W5036+X5036+Y5036+Z5036</f>
        <v/>
      </c>
      <c r="AB5036" t="n">
        <v>36</v>
      </c>
      <c r="AC5036" t="n">
        <v>100</v>
      </c>
      <c r="AD5036" t="n">
        <v>4</v>
      </c>
      <c r="AE5036" t="n">
        <v>52</v>
      </c>
      <c r="AF5036" t="n">
        <v>44</v>
      </c>
      <c r="AG5036" t="n">
        <v>32</v>
      </c>
      <c r="AH5036" t="n">
        <v>38</v>
      </c>
      <c r="AI5036" t="n">
        <v>37</v>
      </c>
      <c r="AJ5036">
        <f>INDEX($Q$5000:$Q$5127,AC5036+1)</f>
        <v/>
      </c>
      <c r="AK5036">
        <f>INDEX($R$5000:$R$5127,AD5036+1)</f>
        <v/>
      </c>
      <c r="AL5036">
        <f>INDEX($S$5000:$S$5127,AE5036+1)</f>
        <v/>
      </c>
      <c r="AM5036">
        <f>INDEX($T$5000:$T$5127,AF5036+1)</f>
        <v/>
      </c>
      <c r="AN5036">
        <f>INDEX($U$5000:$U$5127,AG5036+1)</f>
        <v/>
      </c>
      <c r="AO5036">
        <f>INDEX($V$5000:$V$5127,AH5036+1)</f>
        <v/>
      </c>
      <c r="AP5036">
        <f>INDEX($W$5000:$W$5127,AI5036+1)</f>
        <v/>
      </c>
      <c r="AQ5036">
        <f>IF(Q5036&gt;=AJ5036-0.01,1,0)</f>
        <v/>
      </c>
      <c r="AR5036">
        <f>IF(R5036&gt;=AK5036-0.01,1,0)</f>
        <v/>
      </c>
      <c r="AS5036">
        <f>IF(S5036&gt;=AL5036-0.01,1,0)</f>
        <v/>
      </c>
      <c r="AT5036">
        <f>IF(T5036&gt;=AM5036-0.01,1,0)</f>
        <v/>
      </c>
      <c r="AU5036">
        <f>IF(U5036&gt;=AN5036-0.01,1,0)</f>
        <v/>
      </c>
      <c r="AV5036">
        <f>IF(V5036&gt;=AO5036-0.01,1,0)</f>
        <v/>
      </c>
      <c r="AW5036">
        <f>IF(W5036&gt;=AP5036-0.01,1,0)</f>
        <v/>
      </c>
      <c r="AX5036">
        <f>AQ5036*AR5036*AS5036*AT5036*AU5036*AV5036*AW5036</f>
        <v/>
      </c>
    </row>
    <row r="5037">
      <c r="A5037" t="inlineStr"/>
      <c r="B5037">
        <f>Assumptions!$B$60</f>
        <v/>
      </c>
      <c r="C5037" t="n">
        <v>0</v>
      </c>
      <c r="D5037" t="n">
        <v>1</v>
      </c>
      <c r="E5037" t="n">
        <v>0</v>
      </c>
      <c r="F5037" t="n">
        <v>0</v>
      </c>
      <c r="G5037" t="n">
        <v>1</v>
      </c>
      <c r="H5037" t="n">
        <v>0</v>
      </c>
      <c r="I5037" t="n">
        <v>1</v>
      </c>
      <c r="J5037">
        <f>(1-C5037)*Assumptions!$B$41+(1-D5037)*Assumptions!$B$33+(1-E5037)*Assumptions!$B$32+(1-F5037)*Assumptions!$B$31+(1-G5037)*Assumptions!$B$30+(1-H5037)*Assumptions!$B$29+(1-I5037)*Assumptions!$B$28</f>
        <v/>
      </c>
      <c r="K5037">
        <f>C5037*$J$157+D5037*$F$157+E5037*$G$157+F5037*Assumptions!$B$14+G5037*Assumptions!$B$13+H5037*Assumptions!$B$12+I5037*Assumptions!$B$11+$O$157+$S$157+Assumptions!$B$9</f>
        <v/>
      </c>
      <c r="L5037">
        <f>B5037-J5037</f>
        <v/>
      </c>
      <c r="M5037">
        <f>IF(K5037&gt;0,IF(L5037/K5037&gt;=Assumptions!$B$37,1,0),0)</f>
        <v/>
      </c>
      <c r="N5037">
        <f>K5037+M5037*Assumptions!$B$153</f>
        <v/>
      </c>
      <c r="O5037">
        <f>L5037+M5037*Assumptions!$B$153*Assumptions!$B$37</f>
        <v/>
      </c>
      <c r="P5037">
        <f>IF(N5037&gt;0,O5037/N5037,0)</f>
        <v/>
      </c>
      <c r="Q5037">
        <f>IF(C5037=1,P5037*$J$157,Assumptions!$B$41)</f>
        <v/>
      </c>
      <c r="R5037">
        <f>IF(D5037=1,P5037*$F$157,Assumptions!$B$33)</f>
        <v/>
      </c>
      <c r="S5037">
        <f>IF(E5037=1,P5037*$G$157,Assumptions!$B$32)</f>
        <v/>
      </c>
      <c r="T5037">
        <f>IF(F5037=1,P5037*Assumptions!$B$14,Assumptions!$B$31)</f>
        <v/>
      </c>
      <c r="U5037">
        <f>IF(G5037=1,P5037*Assumptions!$B$13,Assumptions!$B$30)</f>
        <v/>
      </c>
      <c r="V5037">
        <f>IF(H5037=1,P5037*Assumptions!$B$12,Assumptions!$B$29)</f>
        <v/>
      </c>
      <c r="W5037">
        <f>IF(I5037=1,P5037*Assumptions!$B$11,Assumptions!$B$28)</f>
        <v/>
      </c>
      <c r="X5037">
        <f>P5037*($O$157+$S$157)</f>
        <v/>
      </c>
      <c r="Y5037">
        <f>P5037*Assumptions!$B$9</f>
        <v/>
      </c>
      <c r="Z5037">
        <f>IF(M5037=1,(P5037-Assumptions!$B$37)*Assumptions!$B$153,0)</f>
        <v/>
      </c>
      <c r="AA5037">
        <f>Q5037+R5037+S5037+T5037+U5037+V5037+W5037+X5037+Y5037+Z5037</f>
        <v/>
      </c>
      <c r="AB5037" t="n">
        <v>37</v>
      </c>
      <c r="AC5037" t="n">
        <v>101</v>
      </c>
      <c r="AD5037" t="n">
        <v>5</v>
      </c>
      <c r="AE5037" t="n">
        <v>53</v>
      </c>
      <c r="AF5037" t="n">
        <v>45</v>
      </c>
      <c r="AG5037" t="n">
        <v>33</v>
      </c>
      <c r="AH5037" t="n">
        <v>39</v>
      </c>
      <c r="AI5037" t="n">
        <v>36</v>
      </c>
      <c r="AJ5037">
        <f>INDEX($Q$5000:$Q$5127,AC5037+1)</f>
        <v/>
      </c>
      <c r="AK5037">
        <f>INDEX($R$5000:$R$5127,AD5037+1)</f>
        <v/>
      </c>
      <c r="AL5037">
        <f>INDEX($S$5000:$S$5127,AE5037+1)</f>
        <v/>
      </c>
      <c r="AM5037">
        <f>INDEX($T$5000:$T$5127,AF5037+1)</f>
        <v/>
      </c>
      <c r="AN5037">
        <f>INDEX($U$5000:$U$5127,AG5037+1)</f>
        <v/>
      </c>
      <c r="AO5037">
        <f>INDEX($V$5000:$V$5127,AH5037+1)</f>
        <v/>
      </c>
      <c r="AP5037">
        <f>INDEX($W$5000:$W$5127,AI5037+1)</f>
        <v/>
      </c>
      <c r="AQ5037">
        <f>IF(Q5037&gt;=AJ5037-0.01,1,0)</f>
        <v/>
      </c>
      <c r="AR5037">
        <f>IF(R5037&gt;=AK5037-0.01,1,0)</f>
        <v/>
      </c>
      <c r="AS5037">
        <f>IF(S5037&gt;=AL5037-0.01,1,0)</f>
        <v/>
      </c>
      <c r="AT5037">
        <f>IF(T5037&gt;=AM5037-0.01,1,0)</f>
        <v/>
      </c>
      <c r="AU5037">
        <f>IF(U5037&gt;=AN5037-0.01,1,0)</f>
        <v/>
      </c>
      <c r="AV5037">
        <f>IF(V5037&gt;=AO5037-0.01,1,0)</f>
        <v/>
      </c>
      <c r="AW5037">
        <f>IF(W5037&gt;=AP5037-0.01,1,0)</f>
        <v/>
      </c>
      <c r="AX5037">
        <f>AQ5037*AR5037*AS5037*AT5037*AU5037*AV5037*AW5037</f>
        <v/>
      </c>
    </row>
    <row r="5038">
      <c r="A5038" t="inlineStr"/>
      <c r="B5038">
        <f>Assumptions!$B$60</f>
        <v/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1</v>
      </c>
      <c r="I5038" t="n">
        <v>0</v>
      </c>
      <c r="J5038">
        <f>(1-C5038)*Assumptions!$B$41+(1-D5038)*Assumptions!$B$33+(1-E5038)*Assumptions!$B$32+(1-F5038)*Assumptions!$B$31+(1-G5038)*Assumptions!$B$30+(1-H5038)*Assumptions!$B$29+(1-I5038)*Assumptions!$B$28</f>
        <v/>
      </c>
      <c r="K5038">
        <f>C5038*$J$157+D5038*$F$157+E5038*$G$157+F5038*Assumptions!$B$14+G5038*Assumptions!$B$13+H5038*Assumptions!$B$12+I5038*Assumptions!$B$11+$O$157+$S$157+Assumptions!$B$9</f>
        <v/>
      </c>
      <c r="L5038">
        <f>B5038-J5038</f>
        <v/>
      </c>
      <c r="M5038">
        <f>IF(K5038&gt;0,IF(L5038/K5038&gt;=Assumptions!$B$37,1,0),0)</f>
        <v/>
      </c>
      <c r="N5038">
        <f>K5038+M5038*Assumptions!$B$153</f>
        <v/>
      </c>
      <c r="O5038">
        <f>L5038+M5038*Assumptions!$B$153*Assumptions!$B$37</f>
        <v/>
      </c>
      <c r="P5038">
        <f>IF(N5038&gt;0,O5038/N5038,0)</f>
        <v/>
      </c>
      <c r="Q5038">
        <f>IF(C5038=1,P5038*$J$157,Assumptions!$B$41)</f>
        <v/>
      </c>
      <c r="R5038">
        <f>IF(D5038=1,P5038*$F$157,Assumptions!$B$33)</f>
        <v/>
      </c>
      <c r="S5038">
        <f>IF(E5038=1,P5038*$G$157,Assumptions!$B$32)</f>
        <v/>
      </c>
      <c r="T5038">
        <f>IF(F5038=1,P5038*Assumptions!$B$14,Assumptions!$B$31)</f>
        <v/>
      </c>
      <c r="U5038">
        <f>IF(G5038=1,P5038*Assumptions!$B$13,Assumptions!$B$30)</f>
        <v/>
      </c>
      <c r="V5038">
        <f>IF(H5038=1,P5038*Assumptions!$B$12,Assumptions!$B$29)</f>
        <v/>
      </c>
      <c r="W5038">
        <f>IF(I5038=1,P5038*Assumptions!$B$11,Assumptions!$B$28)</f>
        <v/>
      </c>
      <c r="X5038">
        <f>P5038*($O$157+$S$157)</f>
        <v/>
      </c>
      <c r="Y5038">
        <f>P5038*Assumptions!$B$9</f>
        <v/>
      </c>
      <c r="Z5038">
        <f>IF(M5038=1,(P5038-Assumptions!$B$37)*Assumptions!$B$153,0)</f>
        <v/>
      </c>
      <c r="AA5038">
        <f>Q5038+R5038+S5038+T5038+U5038+V5038+W5038+X5038+Y5038+Z5038</f>
        <v/>
      </c>
      <c r="AB5038" t="n">
        <v>38</v>
      </c>
      <c r="AC5038" t="n">
        <v>102</v>
      </c>
      <c r="AD5038" t="n">
        <v>6</v>
      </c>
      <c r="AE5038" t="n">
        <v>54</v>
      </c>
      <c r="AF5038" t="n">
        <v>46</v>
      </c>
      <c r="AG5038" t="n">
        <v>34</v>
      </c>
      <c r="AH5038" t="n">
        <v>36</v>
      </c>
      <c r="AI5038" t="n">
        <v>39</v>
      </c>
      <c r="AJ5038">
        <f>INDEX($Q$5000:$Q$5127,AC5038+1)</f>
        <v/>
      </c>
      <c r="AK5038">
        <f>INDEX($R$5000:$R$5127,AD5038+1)</f>
        <v/>
      </c>
      <c r="AL5038">
        <f>INDEX($S$5000:$S$5127,AE5038+1)</f>
        <v/>
      </c>
      <c r="AM5038">
        <f>INDEX($T$5000:$T$5127,AF5038+1)</f>
        <v/>
      </c>
      <c r="AN5038">
        <f>INDEX($U$5000:$U$5127,AG5038+1)</f>
        <v/>
      </c>
      <c r="AO5038">
        <f>INDEX($V$5000:$V$5127,AH5038+1)</f>
        <v/>
      </c>
      <c r="AP5038">
        <f>INDEX($W$5000:$W$5127,AI5038+1)</f>
        <v/>
      </c>
      <c r="AQ5038">
        <f>IF(Q5038&gt;=AJ5038-0.01,1,0)</f>
        <v/>
      </c>
      <c r="AR5038">
        <f>IF(R5038&gt;=AK5038-0.01,1,0)</f>
        <v/>
      </c>
      <c r="AS5038">
        <f>IF(S5038&gt;=AL5038-0.01,1,0)</f>
        <v/>
      </c>
      <c r="AT5038">
        <f>IF(T5038&gt;=AM5038-0.01,1,0)</f>
        <v/>
      </c>
      <c r="AU5038">
        <f>IF(U5038&gt;=AN5038-0.01,1,0)</f>
        <v/>
      </c>
      <c r="AV5038">
        <f>IF(V5038&gt;=AO5038-0.01,1,0)</f>
        <v/>
      </c>
      <c r="AW5038">
        <f>IF(W5038&gt;=AP5038-0.01,1,0)</f>
        <v/>
      </c>
      <c r="AX5038">
        <f>AQ5038*AR5038*AS5038*AT5038*AU5038*AV5038*AW5038</f>
        <v/>
      </c>
    </row>
    <row r="5039">
      <c r="A5039" t="inlineStr"/>
      <c r="B5039">
        <f>Assumptions!$B$60</f>
        <v/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1</v>
      </c>
      <c r="I5039" t="n">
        <v>1</v>
      </c>
      <c r="J5039">
        <f>(1-C5039)*Assumptions!$B$41+(1-D5039)*Assumptions!$B$33+(1-E5039)*Assumptions!$B$32+(1-F5039)*Assumptions!$B$31+(1-G5039)*Assumptions!$B$30+(1-H5039)*Assumptions!$B$29+(1-I5039)*Assumptions!$B$28</f>
        <v/>
      </c>
      <c r="K5039">
        <f>C5039*$J$157+D5039*$F$157+E5039*$G$157+F5039*Assumptions!$B$14+G5039*Assumptions!$B$13+H5039*Assumptions!$B$12+I5039*Assumptions!$B$11+$O$157+$S$157+Assumptions!$B$9</f>
        <v/>
      </c>
      <c r="L5039">
        <f>B5039-J5039</f>
        <v/>
      </c>
      <c r="M5039">
        <f>IF(K5039&gt;0,IF(L5039/K5039&gt;=Assumptions!$B$37,1,0),0)</f>
        <v/>
      </c>
      <c r="N5039">
        <f>K5039+M5039*Assumptions!$B$153</f>
        <v/>
      </c>
      <c r="O5039">
        <f>L5039+M5039*Assumptions!$B$153*Assumptions!$B$37</f>
        <v/>
      </c>
      <c r="P5039">
        <f>IF(N5039&gt;0,O5039/N5039,0)</f>
        <v/>
      </c>
      <c r="Q5039">
        <f>IF(C5039=1,P5039*$J$157,Assumptions!$B$41)</f>
        <v/>
      </c>
      <c r="R5039">
        <f>IF(D5039=1,P5039*$F$157,Assumptions!$B$33)</f>
        <v/>
      </c>
      <c r="S5039">
        <f>IF(E5039=1,P5039*$G$157,Assumptions!$B$32)</f>
        <v/>
      </c>
      <c r="T5039">
        <f>IF(F5039=1,P5039*Assumptions!$B$14,Assumptions!$B$31)</f>
        <v/>
      </c>
      <c r="U5039">
        <f>IF(G5039=1,P5039*Assumptions!$B$13,Assumptions!$B$30)</f>
        <v/>
      </c>
      <c r="V5039">
        <f>IF(H5039=1,P5039*Assumptions!$B$12,Assumptions!$B$29)</f>
        <v/>
      </c>
      <c r="W5039">
        <f>IF(I5039=1,P5039*Assumptions!$B$11,Assumptions!$B$28)</f>
        <v/>
      </c>
      <c r="X5039">
        <f>P5039*($O$157+$S$157)</f>
        <v/>
      </c>
      <c r="Y5039">
        <f>P5039*Assumptions!$B$9</f>
        <v/>
      </c>
      <c r="Z5039">
        <f>IF(M5039=1,(P5039-Assumptions!$B$37)*Assumptions!$B$153,0)</f>
        <v/>
      </c>
      <c r="AA5039">
        <f>Q5039+R5039+S5039+T5039+U5039+V5039+W5039+X5039+Y5039+Z5039</f>
        <v/>
      </c>
      <c r="AB5039" t="n">
        <v>39</v>
      </c>
      <c r="AC5039" t="n">
        <v>103</v>
      </c>
      <c r="AD5039" t="n">
        <v>7</v>
      </c>
      <c r="AE5039" t="n">
        <v>55</v>
      </c>
      <c r="AF5039" t="n">
        <v>47</v>
      </c>
      <c r="AG5039" t="n">
        <v>35</v>
      </c>
      <c r="AH5039" t="n">
        <v>37</v>
      </c>
      <c r="AI5039" t="n">
        <v>38</v>
      </c>
      <c r="AJ5039">
        <f>INDEX($Q$5000:$Q$5127,AC5039+1)</f>
        <v/>
      </c>
      <c r="AK5039">
        <f>INDEX($R$5000:$R$5127,AD5039+1)</f>
        <v/>
      </c>
      <c r="AL5039">
        <f>INDEX($S$5000:$S$5127,AE5039+1)</f>
        <v/>
      </c>
      <c r="AM5039">
        <f>INDEX($T$5000:$T$5127,AF5039+1)</f>
        <v/>
      </c>
      <c r="AN5039">
        <f>INDEX($U$5000:$U$5127,AG5039+1)</f>
        <v/>
      </c>
      <c r="AO5039">
        <f>INDEX($V$5000:$V$5127,AH5039+1)</f>
        <v/>
      </c>
      <c r="AP5039">
        <f>INDEX($W$5000:$W$5127,AI5039+1)</f>
        <v/>
      </c>
      <c r="AQ5039">
        <f>IF(Q5039&gt;=AJ5039-0.01,1,0)</f>
        <v/>
      </c>
      <c r="AR5039">
        <f>IF(R5039&gt;=AK5039-0.01,1,0)</f>
        <v/>
      </c>
      <c r="AS5039">
        <f>IF(S5039&gt;=AL5039-0.01,1,0)</f>
        <v/>
      </c>
      <c r="AT5039">
        <f>IF(T5039&gt;=AM5039-0.01,1,0)</f>
        <v/>
      </c>
      <c r="AU5039">
        <f>IF(U5039&gt;=AN5039-0.01,1,0)</f>
        <v/>
      </c>
      <c r="AV5039">
        <f>IF(V5039&gt;=AO5039-0.01,1,0)</f>
        <v/>
      </c>
      <c r="AW5039">
        <f>IF(W5039&gt;=AP5039-0.01,1,0)</f>
        <v/>
      </c>
      <c r="AX5039">
        <f>AQ5039*AR5039*AS5039*AT5039*AU5039*AV5039*AW5039</f>
        <v/>
      </c>
    </row>
    <row r="5040">
      <c r="A5040" t="inlineStr"/>
      <c r="B5040">
        <f>Assumptions!$B$60</f>
        <v/>
      </c>
      <c r="C5040" t="n">
        <v>0</v>
      </c>
      <c r="D5040" t="n">
        <v>1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>
        <f>(1-C5040)*Assumptions!$B$41+(1-D5040)*Assumptions!$B$33+(1-E5040)*Assumptions!$B$32+(1-F5040)*Assumptions!$B$31+(1-G5040)*Assumptions!$B$30+(1-H5040)*Assumptions!$B$29+(1-I5040)*Assumptions!$B$28</f>
        <v/>
      </c>
      <c r="K5040">
        <f>C5040*$J$157+D5040*$F$157+E5040*$G$157+F5040*Assumptions!$B$14+G5040*Assumptions!$B$13+H5040*Assumptions!$B$12+I5040*Assumptions!$B$11+$O$157+$S$157+Assumptions!$B$9</f>
        <v/>
      </c>
      <c r="L5040">
        <f>B5040-J5040</f>
        <v/>
      </c>
      <c r="M5040">
        <f>IF(K5040&gt;0,IF(L5040/K5040&gt;=Assumptions!$B$37,1,0),0)</f>
        <v/>
      </c>
      <c r="N5040">
        <f>K5040+M5040*Assumptions!$B$153</f>
        <v/>
      </c>
      <c r="O5040">
        <f>L5040+M5040*Assumptions!$B$153*Assumptions!$B$37</f>
        <v/>
      </c>
      <c r="P5040">
        <f>IF(N5040&gt;0,O5040/N5040,0)</f>
        <v/>
      </c>
      <c r="Q5040">
        <f>IF(C5040=1,P5040*$J$157,Assumptions!$B$41)</f>
        <v/>
      </c>
      <c r="R5040">
        <f>IF(D5040=1,P5040*$F$157,Assumptions!$B$33)</f>
        <v/>
      </c>
      <c r="S5040">
        <f>IF(E5040=1,P5040*$G$157,Assumptions!$B$32)</f>
        <v/>
      </c>
      <c r="T5040">
        <f>IF(F5040=1,P5040*Assumptions!$B$14,Assumptions!$B$31)</f>
        <v/>
      </c>
      <c r="U5040">
        <f>IF(G5040=1,P5040*Assumptions!$B$13,Assumptions!$B$30)</f>
        <v/>
      </c>
      <c r="V5040">
        <f>IF(H5040=1,P5040*Assumptions!$B$12,Assumptions!$B$29)</f>
        <v/>
      </c>
      <c r="W5040">
        <f>IF(I5040=1,P5040*Assumptions!$B$11,Assumptions!$B$28)</f>
        <v/>
      </c>
      <c r="X5040">
        <f>P5040*($O$157+$S$157)</f>
        <v/>
      </c>
      <c r="Y5040">
        <f>P5040*Assumptions!$B$9</f>
        <v/>
      </c>
      <c r="Z5040">
        <f>IF(M5040=1,(P5040-Assumptions!$B$37)*Assumptions!$B$153,0)</f>
        <v/>
      </c>
      <c r="AA5040">
        <f>Q5040+R5040+S5040+T5040+U5040+V5040+W5040+X5040+Y5040+Z5040</f>
        <v/>
      </c>
      <c r="AB5040" t="n">
        <v>40</v>
      </c>
      <c r="AC5040" t="n">
        <v>104</v>
      </c>
      <c r="AD5040" t="n">
        <v>8</v>
      </c>
      <c r="AE5040" t="n">
        <v>56</v>
      </c>
      <c r="AF5040" t="n">
        <v>32</v>
      </c>
      <c r="AG5040" t="n">
        <v>44</v>
      </c>
      <c r="AH5040" t="n">
        <v>42</v>
      </c>
      <c r="AI5040" t="n">
        <v>41</v>
      </c>
      <c r="AJ5040">
        <f>INDEX($Q$5000:$Q$5127,AC5040+1)</f>
        <v/>
      </c>
      <c r="AK5040">
        <f>INDEX($R$5000:$R$5127,AD5040+1)</f>
        <v/>
      </c>
      <c r="AL5040">
        <f>INDEX($S$5000:$S$5127,AE5040+1)</f>
        <v/>
      </c>
      <c r="AM5040">
        <f>INDEX($T$5000:$T$5127,AF5040+1)</f>
        <v/>
      </c>
      <c r="AN5040">
        <f>INDEX($U$5000:$U$5127,AG5040+1)</f>
        <v/>
      </c>
      <c r="AO5040">
        <f>INDEX($V$5000:$V$5127,AH5040+1)</f>
        <v/>
      </c>
      <c r="AP5040">
        <f>INDEX($W$5000:$W$5127,AI5040+1)</f>
        <v/>
      </c>
      <c r="AQ5040">
        <f>IF(Q5040&gt;=AJ5040-0.01,1,0)</f>
        <v/>
      </c>
      <c r="AR5040">
        <f>IF(R5040&gt;=AK5040-0.01,1,0)</f>
        <v/>
      </c>
      <c r="AS5040">
        <f>IF(S5040&gt;=AL5040-0.01,1,0)</f>
        <v/>
      </c>
      <c r="AT5040">
        <f>IF(T5040&gt;=AM5040-0.01,1,0)</f>
        <v/>
      </c>
      <c r="AU5040">
        <f>IF(U5040&gt;=AN5040-0.01,1,0)</f>
        <v/>
      </c>
      <c r="AV5040">
        <f>IF(V5040&gt;=AO5040-0.01,1,0)</f>
        <v/>
      </c>
      <c r="AW5040">
        <f>IF(W5040&gt;=AP5040-0.01,1,0)</f>
        <v/>
      </c>
      <c r="AX5040">
        <f>AQ5040*AR5040*AS5040*AT5040*AU5040*AV5040*AW5040</f>
        <v/>
      </c>
    </row>
    <row r="5041">
      <c r="A5041" t="inlineStr"/>
      <c r="B5041">
        <f>Assumptions!$B$60</f>
        <v/>
      </c>
      <c r="C5041" t="n">
        <v>0</v>
      </c>
      <c r="D5041" t="n">
        <v>1</v>
      </c>
      <c r="E5041" t="n">
        <v>0</v>
      </c>
      <c r="F5041" t="n">
        <v>1</v>
      </c>
      <c r="G5041" t="n">
        <v>0</v>
      </c>
      <c r="H5041" t="n">
        <v>0</v>
      </c>
      <c r="I5041" t="n">
        <v>1</v>
      </c>
      <c r="J5041">
        <f>(1-C5041)*Assumptions!$B$41+(1-D5041)*Assumptions!$B$33+(1-E5041)*Assumptions!$B$32+(1-F5041)*Assumptions!$B$31+(1-G5041)*Assumptions!$B$30+(1-H5041)*Assumptions!$B$29+(1-I5041)*Assumptions!$B$28</f>
        <v/>
      </c>
      <c r="K5041">
        <f>C5041*$J$157+D5041*$F$157+E5041*$G$157+F5041*Assumptions!$B$14+G5041*Assumptions!$B$13+H5041*Assumptions!$B$12+I5041*Assumptions!$B$11+$O$157+$S$157+Assumptions!$B$9</f>
        <v/>
      </c>
      <c r="L5041">
        <f>B5041-J5041</f>
        <v/>
      </c>
      <c r="M5041">
        <f>IF(K5041&gt;0,IF(L5041/K5041&gt;=Assumptions!$B$37,1,0),0)</f>
        <v/>
      </c>
      <c r="N5041">
        <f>K5041+M5041*Assumptions!$B$153</f>
        <v/>
      </c>
      <c r="O5041">
        <f>L5041+M5041*Assumptions!$B$153*Assumptions!$B$37</f>
        <v/>
      </c>
      <c r="P5041">
        <f>IF(N5041&gt;0,O5041/N5041,0)</f>
        <v/>
      </c>
      <c r="Q5041">
        <f>IF(C5041=1,P5041*$J$157,Assumptions!$B$41)</f>
        <v/>
      </c>
      <c r="R5041">
        <f>IF(D5041=1,P5041*$F$157,Assumptions!$B$33)</f>
        <v/>
      </c>
      <c r="S5041">
        <f>IF(E5041=1,P5041*$G$157,Assumptions!$B$32)</f>
        <v/>
      </c>
      <c r="T5041">
        <f>IF(F5041=1,P5041*Assumptions!$B$14,Assumptions!$B$31)</f>
        <v/>
      </c>
      <c r="U5041">
        <f>IF(G5041=1,P5041*Assumptions!$B$13,Assumptions!$B$30)</f>
        <v/>
      </c>
      <c r="V5041">
        <f>IF(H5041=1,P5041*Assumptions!$B$12,Assumptions!$B$29)</f>
        <v/>
      </c>
      <c r="W5041">
        <f>IF(I5041=1,P5041*Assumptions!$B$11,Assumptions!$B$28)</f>
        <v/>
      </c>
      <c r="X5041">
        <f>P5041*($O$157+$S$157)</f>
        <v/>
      </c>
      <c r="Y5041">
        <f>P5041*Assumptions!$B$9</f>
        <v/>
      </c>
      <c r="Z5041">
        <f>IF(M5041=1,(P5041-Assumptions!$B$37)*Assumptions!$B$153,0)</f>
        <v/>
      </c>
      <c r="AA5041">
        <f>Q5041+R5041+S5041+T5041+U5041+V5041+W5041+X5041+Y5041+Z5041</f>
        <v/>
      </c>
      <c r="AB5041" t="n">
        <v>41</v>
      </c>
      <c r="AC5041" t="n">
        <v>105</v>
      </c>
      <c r="AD5041" t="n">
        <v>9</v>
      </c>
      <c r="AE5041" t="n">
        <v>57</v>
      </c>
      <c r="AF5041" t="n">
        <v>33</v>
      </c>
      <c r="AG5041" t="n">
        <v>45</v>
      </c>
      <c r="AH5041" t="n">
        <v>43</v>
      </c>
      <c r="AI5041" t="n">
        <v>40</v>
      </c>
      <c r="AJ5041">
        <f>INDEX($Q$5000:$Q$5127,AC5041+1)</f>
        <v/>
      </c>
      <c r="AK5041">
        <f>INDEX($R$5000:$R$5127,AD5041+1)</f>
        <v/>
      </c>
      <c r="AL5041">
        <f>INDEX($S$5000:$S$5127,AE5041+1)</f>
        <v/>
      </c>
      <c r="AM5041">
        <f>INDEX($T$5000:$T$5127,AF5041+1)</f>
        <v/>
      </c>
      <c r="AN5041">
        <f>INDEX($U$5000:$U$5127,AG5041+1)</f>
        <v/>
      </c>
      <c r="AO5041">
        <f>INDEX($V$5000:$V$5127,AH5041+1)</f>
        <v/>
      </c>
      <c r="AP5041">
        <f>INDEX($W$5000:$W$5127,AI5041+1)</f>
        <v/>
      </c>
      <c r="AQ5041">
        <f>IF(Q5041&gt;=AJ5041-0.01,1,0)</f>
        <v/>
      </c>
      <c r="AR5041">
        <f>IF(R5041&gt;=AK5041-0.01,1,0)</f>
        <v/>
      </c>
      <c r="AS5041">
        <f>IF(S5041&gt;=AL5041-0.01,1,0)</f>
        <v/>
      </c>
      <c r="AT5041">
        <f>IF(T5041&gt;=AM5041-0.01,1,0)</f>
        <v/>
      </c>
      <c r="AU5041">
        <f>IF(U5041&gt;=AN5041-0.01,1,0)</f>
        <v/>
      </c>
      <c r="AV5041">
        <f>IF(V5041&gt;=AO5041-0.01,1,0)</f>
        <v/>
      </c>
      <c r="AW5041">
        <f>IF(W5041&gt;=AP5041-0.01,1,0)</f>
        <v/>
      </c>
      <c r="AX5041">
        <f>AQ5041*AR5041*AS5041*AT5041*AU5041*AV5041*AW5041</f>
        <v/>
      </c>
    </row>
    <row r="5042">
      <c r="A5042" t="inlineStr"/>
      <c r="B5042">
        <f>Assumptions!$B$60</f>
        <v/>
      </c>
      <c r="C5042" t="n">
        <v>0</v>
      </c>
      <c r="D5042" t="n">
        <v>1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>
        <f>(1-C5042)*Assumptions!$B$41+(1-D5042)*Assumptions!$B$33+(1-E5042)*Assumptions!$B$32+(1-F5042)*Assumptions!$B$31+(1-G5042)*Assumptions!$B$30+(1-H5042)*Assumptions!$B$29+(1-I5042)*Assumptions!$B$28</f>
        <v/>
      </c>
      <c r="K5042">
        <f>C5042*$J$157+D5042*$F$157+E5042*$G$157+F5042*Assumptions!$B$14+G5042*Assumptions!$B$13+H5042*Assumptions!$B$12+I5042*Assumptions!$B$11+$O$157+$S$157+Assumptions!$B$9</f>
        <v/>
      </c>
      <c r="L5042">
        <f>B5042-J5042</f>
        <v/>
      </c>
      <c r="M5042">
        <f>IF(K5042&gt;0,IF(L5042/K5042&gt;=Assumptions!$B$37,1,0),0)</f>
        <v/>
      </c>
      <c r="N5042">
        <f>K5042+M5042*Assumptions!$B$153</f>
        <v/>
      </c>
      <c r="O5042">
        <f>L5042+M5042*Assumptions!$B$153*Assumptions!$B$37</f>
        <v/>
      </c>
      <c r="P5042">
        <f>IF(N5042&gt;0,O5042/N5042,0)</f>
        <v/>
      </c>
      <c r="Q5042">
        <f>IF(C5042=1,P5042*$J$157,Assumptions!$B$41)</f>
        <v/>
      </c>
      <c r="R5042">
        <f>IF(D5042=1,P5042*$F$157,Assumptions!$B$33)</f>
        <v/>
      </c>
      <c r="S5042">
        <f>IF(E5042=1,P5042*$G$157,Assumptions!$B$32)</f>
        <v/>
      </c>
      <c r="T5042">
        <f>IF(F5042=1,P5042*Assumptions!$B$14,Assumptions!$B$31)</f>
        <v/>
      </c>
      <c r="U5042">
        <f>IF(G5042=1,P5042*Assumptions!$B$13,Assumptions!$B$30)</f>
        <v/>
      </c>
      <c r="V5042">
        <f>IF(H5042=1,P5042*Assumptions!$B$12,Assumptions!$B$29)</f>
        <v/>
      </c>
      <c r="W5042">
        <f>IF(I5042=1,P5042*Assumptions!$B$11,Assumptions!$B$28)</f>
        <v/>
      </c>
      <c r="X5042">
        <f>P5042*($O$157+$S$157)</f>
        <v/>
      </c>
      <c r="Y5042">
        <f>P5042*Assumptions!$B$9</f>
        <v/>
      </c>
      <c r="Z5042">
        <f>IF(M5042=1,(P5042-Assumptions!$B$37)*Assumptions!$B$153,0)</f>
        <v/>
      </c>
      <c r="AA5042">
        <f>Q5042+R5042+S5042+T5042+U5042+V5042+W5042+X5042+Y5042+Z5042</f>
        <v/>
      </c>
      <c r="AB5042" t="n">
        <v>42</v>
      </c>
      <c r="AC5042" t="n">
        <v>106</v>
      </c>
      <c r="AD5042" t="n">
        <v>10</v>
      </c>
      <c r="AE5042" t="n">
        <v>58</v>
      </c>
      <c r="AF5042" t="n">
        <v>34</v>
      </c>
      <c r="AG5042" t="n">
        <v>46</v>
      </c>
      <c r="AH5042" t="n">
        <v>40</v>
      </c>
      <c r="AI5042" t="n">
        <v>43</v>
      </c>
      <c r="AJ5042">
        <f>INDEX($Q$5000:$Q$5127,AC5042+1)</f>
        <v/>
      </c>
      <c r="AK5042">
        <f>INDEX($R$5000:$R$5127,AD5042+1)</f>
        <v/>
      </c>
      <c r="AL5042">
        <f>INDEX($S$5000:$S$5127,AE5042+1)</f>
        <v/>
      </c>
      <c r="AM5042">
        <f>INDEX($T$5000:$T$5127,AF5042+1)</f>
        <v/>
      </c>
      <c r="AN5042">
        <f>INDEX($U$5000:$U$5127,AG5042+1)</f>
        <v/>
      </c>
      <c r="AO5042">
        <f>INDEX($V$5000:$V$5127,AH5042+1)</f>
        <v/>
      </c>
      <c r="AP5042">
        <f>INDEX($W$5000:$W$5127,AI5042+1)</f>
        <v/>
      </c>
      <c r="AQ5042">
        <f>IF(Q5042&gt;=AJ5042-0.01,1,0)</f>
        <v/>
      </c>
      <c r="AR5042">
        <f>IF(R5042&gt;=AK5042-0.01,1,0)</f>
        <v/>
      </c>
      <c r="AS5042">
        <f>IF(S5042&gt;=AL5042-0.01,1,0)</f>
        <v/>
      </c>
      <c r="AT5042">
        <f>IF(T5042&gt;=AM5042-0.01,1,0)</f>
        <v/>
      </c>
      <c r="AU5042">
        <f>IF(U5042&gt;=AN5042-0.01,1,0)</f>
        <v/>
      </c>
      <c r="AV5042">
        <f>IF(V5042&gt;=AO5042-0.01,1,0)</f>
        <v/>
      </c>
      <c r="AW5042">
        <f>IF(W5042&gt;=AP5042-0.01,1,0)</f>
        <v/>
      </c>
      <c r="AX5042">
        <f>AQ5042*AR5042*AS5042*AT5042*AU5042*AV5042*AW5042</f>
        <v/>
      </c>
    </row>
    <row r="5043">
      <c r="A5043" t="inlineStr"/>
      <c r="B5043">
        <f>Assumptions!$B$60</f>
        <v/>
      </c>
      <c r="C5043" t="n">
        <v>0</v>
      </c>
      <c r="D5043" t="n">
        <v>1</v>
      </c>
      <c r="E5043" t="n">
        <v>0</v>
      </c>
      <c r="F5043" t="n">
        <v>1</v>
      </c>
      <c r="G5043" t="n">
        <v>0</v>
      </c>
      <c r="H5043" t="n">
        <v>1</v>
      </c>
      <c r="I5043" t="n">
        <v>1</v>
      </c>
      <c r="J5043">
        <f>(1-C5043)*Assumptions!$B$41+(1-D5043)*Assumptions!$B$33+(1-E5043)*Assumptions!$B$32+(1-F5043)*Assumptions!$B$31+(1-G5043)*Assumptions!$B$30+(1-H5043)*Assumptions!$B$29+(1-I5043)*Assumptions!$B$28</f>
        <v/>
      </c>
      <c r="K5043">
        <f>C5043*$J$157+D5043*$F$157+E5043*$G$157+F5043*Assumptions!$B$14+G5043*Assumptions!$B$13+H5043*Assumptions!$B$12+I5043*Assumptions!$B$11+$O$157+$S$157+Assumptions!$B$9</f>
        <v/>
      </c>
      <c r="L5043">
        <f>B5043-J5043</f>
        <v/>
      </c>
      <c r="M5043">
        <f>IF(K5043&gt;0,IF(L5043/K5043&gt;=Assumptions!$B$37,1,0),0)</f>
        <v/>
      </c>
      <c r="N5043">
        <f>K5043+M5043*Assumptions!$B$153</f>
        <v/>
      </c>
      <c r="O5043">
        <f>L5043+M5043*Assumptions!$B$153*Assumptions!$B$37</f>
        <v/>
      </c>
      <c r="P5043">
        <f>IF(N5043&gt;0,O5043/N5043,0)</f>
        <v/>
      </c>
      <c r="Q5043">
        <f>IF(C5043=1,P5043*$J$157,Assumptions!$B$41)</f>
        <v/>
      </c>
      <c r="R5043">
        <f>IF(D5043=1,P5043*$F$157,Assumptions!$B$33)</f>
        <v/>
      </c>
      <c r="S5043">
        <f>IF(E5043=1,P5043*$G$157,Assumptions!$B$32)</f>
        <v/>
      </c>
      <c r="T5043">
        <f>IF(F5043=1,P5043*Assumptions!$B$14,Assumptions!$B$31)</f>
        <v/>
      </c>
      <c r="U5043">
        <f>IF(G5043=1,P5043*Assumptions!$B$13,Assumptions!$B$30)</f>
        <v/>
      </c>
      <c r="V5043">
        <f>IF(H5043=1,P5043*Assumptions!$B$12,Assumptions!$B$29)</f>
        <v/>
      </c>
      <c r="W5043">
        <f>IF(I5043=1,P5043*Assumptions!$B$11,Assumptions!$B$28)</f>
        <v/>
      </c>
      <c r="X5043">
        <f>P5043*($O$157+$S$157)</f>
        <v/>
      </c>
      <c r="Y5043">
        <f>P5043*Assumptions!$B$9</f>
        <v/>
      </c>
      <c r="Z5043">
        <f>IF(M5043=1,(P5043-Assumptions!$B$37)*Assumptions!$B$153,0)</f>
        <v/>
      </c>
      <c r="AA5043">
        <f>Q5043+R5043+S5043+T5043+U5043+V5043+W5043+X5043+Y5043+Z5043</f>
        <v/>
      </c>
      <c r="AB5043" t="n">
        <v>43</v>
      </c>
      <c r="AC5043" t="n">
        <v>107</v>
      </c>
      <c r="AD5043" t="n">
        <v>11</v>
      </c>
      <c r="AE5043" t="n">
        <v>59</v>
      </c>
      <c r="AF5043" t="n">
        <v>35</v>
      </c>
      <c r="AG5043" t="n">
        <v>47</v>
      </c>
      <c r="AH5043" t="n">
        <v>41</v>
      </c>
      <c r="AI5043" t="n">
        <v>42</v>
      </c>
      <c r="AJ5043">
        <f>INDEX($Q$5000:$Q$5127,AC5043+1)</f>
        <v/>
      </c>
      <c r="AK5043">
        <f>INDEX($R$5000:$R$5127,AD5043+1)</f>
        <v/>
      </c>
      <c r="AL5043">
        <f>INDEX($S$5000:$S$5127,AE5043+1)</f>
        <v/>
      </c>
      <c r="AM5043">
        <f>INDEX($T$5000:$T$5127,AF5043+1)</f>
        <v/>
      </c>
      <c r="AN5043">
        <f>INDEX($U$5000:$U$5127,AG5043+1)</f>
        <v/>
      </c>
      <c r="AO5043">
        <f>INDEX($V$5000:$V$5127,AH5043+1)</f>
        <v/>
      </c>
      <c r="AP5043">
        <f>INDEX($W$5000:$W$5127,AI5043+1)</f>
        <v/>
      </c>
      <c r="AQ5043">
        <f>IF(Q5043&gt;=AJ5043-0.01,1,0)</f>
        <v/>
      </c>
      <c r="AR5043">
        <f>IF(R5043&gt;=AK5043-0.01,1,0)</f>
        <v/>
      </c>
      <c r="AS5043">
        <f>IF(S5043&gt;=AL5043-0.01,1,0)</f>
        <v/>
      </c>
      <c r="AT5043">
        <f>IF(T5043&gt;=AM5043-0.01,1,0)</f>
        <v/>
      </c>
      <c r="AU5043">
        <f>IF(U5043&gt;=AN5043-0.01,1,0)</f>
        <v/>
      </c>
      <c r="AV5043">
        <f>IF(V5043&gt;=AO5043-0.01,1,0)</f>
        <v/>
      </c>
      <c r="AW5043">
        <f>IF(W5043&gt;=AP5043-0.01,1,0)</f>
        <v/>
      </c>
      <c r="AX5043">
        <f>AQ5043*AR5043*AS5043*AT5043*AU5043*AV5043*AW5043</f>
        <v/>
      </c>
    </row>
    <row r="5044">
      <c r="A5044" t="inlineStr"/>
      <c r="B5044">
        <f>Assumptions!$B$60</f>
        <v/>
      </c>
      <c r="C5044" t="n">
        <v>0</v>
      </c>
      <c r="D5044" t="n">
        <v>1</v>
      </c>
      <c r="E5044" t="n">
        <v>0</v>
      </c>
      <c r="F5044" t="n">
        <v>1</v>
      </c>
      <c r="G5044" t="n">
        <v>1</v>
      </c>
      <c r="H5044" t="n">
        <v>0</v>
      </c>
      <c r="I5044" t="n">
        <v>0</v>
      </c>
      <c r="J5044">
        <f>(1-C5044)*Assumptions!$B$41+(1-D5044)*Assumptions!$B$33+(1-E5044)*Assumptions!$B$32+(1-F5044)*Assumptions!$B$31+(1-G5044)*Assumptions!$B$30+(1-H5044)*Assumptions!$B$29+(1-I5044)*Assumptions!$B$28</f>
        <v/>
      </c>
      <c r="K5044">
        <f>C5044*$J$157+D5044*$F$157+E5044*$G$157+F5044*Assumptions!$B$14+G5044*Assumptions!$B$13+H5044*Assumptions!$B$12+I5044*Assumptions!$B$11+$O$157+$S$157+Assumptions!$B$9</f>
        <v/>
      </c>
      <c r="L5044">
        <f>B5044-J5044</f>
        <v/>
      </c>
      <c r="M5044">
        <f>IF(K5044&gt;0,IF(L5044/K5044&gt;=Assumptions!$B$37,1,0),0)</f>
        <v/>
      </c>
      <c r="N5044">
        <f>K5044+M5044*Assumptions!$B$153</f>
        <v/>
      </c>
      <c r="O5044">
        <f>L5044+M5044*Assumptions!$B$153*Assumptions!$B$37</f>
        <v/>
      </c>
      <c r="P5044">
        <f>IF(N5044&gt;0,O5044/N5044,0)</f>
        <v/>
      </c>
      <c r="Q5044">
        <f>IF(C5044=1,P5044*$J$157,Assumptions!$B$41)</f>
        <v/>
      </c>
      <c r="R5044">
        <f>IF(D5044=1,P5044*$F$157,Assumptions!$B$33)</f>
        <v/>
      </c>
      <c r="S5044">
        <f>IF(E5044=1,P5044*$G$157,Assumptions!$B$32)</f>
        <v/>
      </c>
      <c r="T5044">
        <f>IF(F5044=1,P5044*Assumptions!$B$14,Assumptions!$B$31)</f>
        <v/>
      </c>
      <c r="U5044">
        <f>IF(G5044=1,P5044*Assumptions!$B$13,Assumptions!$B$30)</f>
        <v/>
      </c>
      <c r="V5044">
        <f>IF(H5044=1,P5044*Assumptions!$B$12,Assumptions!$B$29)</f>
        <v/>
      </c>
      <c r="W5044">
        <f>IF(I5044=1,P5044*Assumptions!$B$11,Assumptions!$B$28)</f>
        <v/>
      </c>
      <c r="X5044">
        <f>P5044*($O$157+$S$157)</f>
        <v/>
      </c>
      <c r="Y5044">
        <f>P5044*Assumptions!$B$9</f>
        <v/>
      </c>
      <c r="Z5044">
        <f>IF(M5044=1,(P5044-Assumptions!$B$37)*Assumptions!$B$153,0)</f>
        <v/>
      </c>
      <c r="AA5044">
        <f>Q5044+R5044+S5044+T5044+U5044+V5044+W5044+X5044+Y5044+Z5044</f>
        <v/>
      </c>
      <c r="AB5044" t="n">
        <v>44</v>
      </c>
      <c r="AC5044" t="n">
        <v>108</v>
      </c>
      <c r="AD5044" t="n">
        <v>12</v>
      </c>
      <c r="AE5044" t="n">
        <v>60</v>
      </c>
      <c r="AF5044" t="n">
        <v>36</v>
      </c>
      <c r="AG5044" t="n">
        <v>40</v>
      </c>
      <c r="AH5044" t="n">
        <v>46</v>
      </c>
      <c r="AI5044" t="n">
        <v>45</v>
      </c>
      <c r="AJ5044">
        <f>INDEX($Q$5000:$Q$5127,AC5044+1)</f>
        <v/>
      </c>
      <c r="AK5044">
        <f>INDEX($R$5000:$R$5127,AD5044+1)</f>
        <v/>
      </c>
      <c r="AL5044">
        <f>INDEX($S$5000:$S$5127,AE5044+1)</f>
        <v/>
      </c>
      <c r="AM5044">
        <f>INDEX($T$5000:$T$5127,AF5044+1)</f>
        <v/>
      </c>
      <c r="AN5044">
        <f>INDEX($U$5000:$U$5127,AG5044+1)</f>
        <v/>
      </c>
      <c r="AO5044">
        <f>INDEX($V$5000:$V$5127,AH5044+1)</f>
        <v/>
      </c>
      <c r="AP5044">
        <f>INDEX($W$5000:$W$5127,AI5044+1)</f>
        <v/>
      </c>
      <c r="AQ5044">
        <f>IF(Q5044&gt;=AJ5044-0.01,1,0)</f>
        <v/>
      </c>
      <c r="AR5044">
        <f>IF(R5044&gt;=AK5044-0.01,1,0)</f>
        <v/>
      </c>
      <c r="AS5044">
        <f>IF(S5044&gt;=AL5044-0.01,1,0)</f>
        <v/>
      </c>
      <c r="AT5044">
        <f>IF(T5044&gt;=AM5044-0.01,1,0)</f>
        <v/>
      </c>
      <c r="AU5044">
        <f>IF(U5044&gt;=AN5044-0.01,1,0)</f>
        <v/>
      </c>
      <c r="AV5044">
        <f>IF(V5044&gt;=AO5044-0.01,1,0)</f>
        <v/>
      </c>
      <c r="AW5044">
        <f>IF(W5044&gt;=AP5044-0.01,1,0)</f>
        <v/>
      </c>
      <c r="AX5044">
        <f>AQ5044*AR5044*AS5044*AT5044*AU5044*AV5044*AW5044</f>
        <v/>
      </c>
    </row>
    <row r="5045">
      <c r="A5045" t="inlineStr"/>
      <c r="B5045">
        <f>Assumptions!$B$60</f>
        <v/>
      </c>
      <c r="C5045" t="n">
        <v>0</v>
      </c>
      <c r="D5045" t="n">
        <v>1</v>
      </c>
      <c r="E5045" t="n">
        <v>0</v>
      </c>
      <c r="F5045" t="n">
        <v>1</v>
      </c>
      <c r="G5045" t="n">
        <v>1</v>
      </c>
      <c r="H5045" t="n">
        <v>0</v>
      </c>
      <c r="I5045" t="n">
        <v>1</v>
      </c>
      <c r="J5045">
        <f>(1-C5045)*Assumptions!$B$41+(1-D5045)*Assumptions!$B$33+(1-E5045)*Assumptions!$B$32+(1-F5045)*Assumptions!$B$31+(1-G5045)*Assumptions!$B$30+(1-H5045)*Assumptions!$B$29+(1-I5045)*Assumptions!$B$28</f>
        <v/>
      </c>
      <c r="K5045">
        <f>C5045*$J$157+D5045*$F$157+E5045*$G$157+F5045*Assumptions!$B$14+G5045*Assumptions!$B$13+H5045*Assumptions!$B$12+I5045*Assumptions!$B$11+$O$157+$S$157+Assumptions!$B$9</f>
        <v/>
      </c>
      <c r="L5045">
        <f>B5045-J5045</f>
        <v/>
      </c>
      <c r="M5045">
        <f>IF(K5045&gt;0,IF(L5045/K5045&gt;=Assumptions!$B$37,1,0),0)</f>
        <v/>
      </c>
      <c r="N5045">
        <f>K5045+M5045*Assumptions!$B$153</f>
        <v/>
      </c>
      <c r="O5045">
        <f>L5045+M5045*Assumptions!$B$153*Assumptions!$B$37</f>
        <v/>
      </c>
      <c r="P5045">
        <f>IF(N5045&gt;0,O5045/N5045,0)</f>
        <v/>
      </c>
      <c r="Q5045">
        <f>IF(C5045=1,P5045*$J$157,Assumptions!$B$41)</f>
        <v/>
      </c>
      <c r="R5045">
        <f>IF(D5045=1,P5045*$F$157,Assumptions!$B$33)</f>
        <v/>
      </c>
      <c r="S5045">
        <f>IF(E5045=1,P5045*$G$157,Assumptions!$B$32)</f>
        <v/>
      </c>
      <c r="T5045">
        <f>IF(F5045=1,P5045*Assumptions!$B$14,Assumptions!$B$31)</f>
        <v/>
      </c>
      <c r="U5045">
        <f>IF(G5045=1,P5045*Assumptions!$B$13,Assumptions!$B$30)</f>
        <v/>
      </c>
      <c r="V5045">
        <f>IF(H5045=1,P5045*Assumptions!$B$12,Assumptions!$B$29)</f>
        <v/>
      </c>
      <c r="W5045">
        <f>IF(I5045=1,P5045*Assumptions!$B$11,Assumptions!$B$28)</f>
        <v/>
      </c>
      <c r="X5045">
        <f>P5045*($O$157+$S$157)</f>
        <v/>
      </c>
      <c r="Y5045">
        <f>P5045*Assumptions!$B$9</f>
        <v/>
      </c>
      <c r="Z5045">
        <f>IF(M5045=1,(P5045-Assumptions!$B$37)*Assumptions!$B$153,0)</f>
        <v/>
      </c>
      <c r="AA5045">
        <f>Q5045+R5045+S5045+T5045+U5045+V5045+W5045+X5045+Y5045+Z5045</f>
        <v/>
      </c>
      <c r="AB5045" t="n">
        <v>45</v>
      </c>
      <c r="AC5045" t="n">
        <v>109</v>
      </c>
      <c r="AD5045" t="n">
        <v>13</v>
      </c>
      <c r="AE5045" t="n">
        <v>61</v>
      </c>
      <c r="AF5045" t="n">
        <v>37</v>
      </c>
      <c r="AG5045" t="n">
        <v>41</v>
      </c>
      <c r="AH5045" t="n">
        <v>47</v>
      </c>
      <c r="AI5045" t="n">
        <v>44</v>
      </c>
      <c r="AJ5045">
        <f>INDEX($Q$5000:$Q$5127,AC5045+1)</f>
        <v/>
      </c>
      <c r="AK5045">
        <f>INDEX($R$5000:$R$5127,AD5045+1)</f>
        <v/>
      </c>
      <c r="AL5045">
        <f>INDEX($S$5000:$S$5127,AE5045+1)</f>
        <v/>
      </c>
      <c r="AM5045">
        <f>INDEX($T$5000:$T$5127,AF5045+1)</f>
        <v/>
      </c>
      <c r="AN5045">
        <f>INDEX($U$5000:$U$5127,AG5045+1)</f>
        <v/>
      </c>
      <c r="AO5045">
        <f>INDEX($V$5000:$V$5127,AH5045+1)</f>
        <v/>
      </c>
      <c r="AP5045">
        <f>INDEX($W$5000:$W$5127,AI5045+1)</f>
        <v/>
      </c>
      <c r="AQ5045">
        <f>IF(Q5045&gt;=AJ5045-0.01,1,0)</f>
        <v/>
      </c>
      <c r="AR5045">
        <f>IF(R5045&gt;=AK5045-0.01,1,0)</f>
        <v/>
      </c>
      <c r="AS5045">
        <f>IF(S5045&gt;=AL5045-0.01,1,0)</f>
        <v/>
      </c>
      <c r="AT5045">
        <f>IF(T5045&gt;=AM5045-0.01,1,0)</f>
        <v/>
      </c>
      <c r="AU5045">
        <f>IF(U5045&gt;=AN5045-0.01,1,0)</f>
        <v/>
      </c>
      <c r="AV5045">
        <f>IF(V5045&gt;=AO5045-0.01,1,0)</f>
        <v/>
      </c>
      <c r="AW5045">
        <f>IF(W5045&gt;=AP5045-0.01,1,0)</f>
        <v/>
      </c>
      <c r="AX5045">
        <f>AQ5045*AR5045*AS5045*AT5045*AU5045*AV5045*AW5045</f>
        <v/>
      </c>
    </row>
    <row r="5046">
      <c r="A5046" t="inlineStr"/>
      <c r="B5046">
        <f>Assumptions!$B$60</f>
        <v/>
      </c>
      <c r="C5046" t="n">
        <v>0</v>
      </c>
      <c r="D5046" t="n">
        <v>1</v>
      </c>
      <c r="E5046" t="n">
        <v>0</v>
      </c>
      <c r="F5046" t="n">
        <v>1</v>
      </c>
      <c r="G5046" t="n">
        <v>1</v>
      </c>
      <c r="H5046" t="n">
        <v>1</v>
      </c>
      <c r="I5046" t="n">
        <v>0</v>
      </c>
      <c r="J5046">
        <f>(1-C5046)*Assumptions!$B$41+(1-D5046)*Assumptions!$B$33+(1-E5046)*Assumptions!$B$32+(1-F5046)*Assumptions!$B$31+(1-G5046)*Assumptions!$B$30+(1-H5046)*Assumptions!$B$29+(1-I5046)*Assumptions!$B$28</f>
        <v/>
      </c>
      <c r="K5046">
        <f>C5046*$J$157+D5046*$F$157+E5046*$G$157+F5046*Assumptions!$B$14+G5046*Assumptions!$B$13+H5046*Assumptions!$B$12+I5046*Assumptions!$B$11+$O$157+$S$157+Assumptions!$B$9</f>
        <v/>
      </c>
      <c r="L5046">
        <f>B5046-J5046</f>
        <v/>
      </c>
      <c r="M5046">
        <f>IF(K5046&gt;0,IF(L5046/K5046&gt;=Assumptions!$B$37,1,0),0)</f>
        <v/>
      </c>
      <c r="N5046">
        <f>K5046+M5046*Assumptions!$B$153</f>
        <v/>
      </c>
      <c r="O5046">
        <f>L5046+M5046*Assumptions!$B$153*Assumptions!$B$37</f>
        <v/>
      </c>
      <c r="P5046">
        <f>IF(N5046&gt;0,O5046/N5046,0)</f>
        <v/>
      </c>
      <c r="Q5046">
        <f>IF(C5046=1,P5046*$J$157,Assumptions!$B$41)</f>
        <v/>
      </c>
      <c r="R5046">
        <f>IF(D5046=1,P5046*$F$157,Assumptions!$B$33)</f>
        <v/>
      </c>
      <c r="S5046">
        <f>IF(E5046=1,P5046*$G$157,Assumptions!$B$32)</f>
        <v/>
      </c>
      <c r="T5046">
        <f>IF(F5046=1,P5046*Assumptions!$B$14,Assumptions!$B$31)</f>
        <v/>
      </c>
      <c r="U5046">
        <f>IF(G5046=1,P5046*Assumptions!$B$13,Assumptions!$B$30)</f>
        <v/>
      </c>
      <c r="V5046">
        <f>IF(H5046=1,P5046*Assumptions!$B$12,Assumptions!$B$29)</f>
        <v/>
      </c>
      <c r="W5046">
        <f>IF(I5046=1,P5046*Assumptions!$B$11,Assumptions!$B$28)</f>
        <v/>
      </c>
      <c r="X5046">
        <f>P5046*($O$157+$S$157)</f>
        <v/>
      </c>
      <c r="Y5046">
        <f>P5046*Assumptions!$B$9</f>
        <v/>
      </c>
      <c r="Z5046">
        <f>IF(M5046=1,(P5046-Assumptions!$B$37)*Assumptions!$B$153,0)</f>
        <v/>
      </c>
      <c r="AA5046">
        <f>Q5046+R5046+S5046+T5046+U5046+V5046+W5046+X5046+Y5046+Z5046</f>
        <v/>
      </c>
      <c r="AB5046" t="n">
        <v>46</v>
      </c>
      <c r="AC5046" t="n">
        <v>110</v>
      </c>
      <c r="AD5046" t="n">
        <v>14</v>
      </c>
      <c r="AE5046" t="n">
        <v>62</v>
      </c>
      <c r="AF5046" t="n">
        <v>38</v>
      </c>
      <c r="AG5046" t="n">
        <v>42</v>
      </c>
      <c r="AH5046" t="n">
        <v>44</v>
      </c>
      <c r="AI5046" t="n">
        <v>47</v>
      </c>
      <c r="AJ5046">
        <f>INDEX($Q$5000:$Q$5127,AC5046+1)</f>
        <v/>
      </c>
      <c r="AK5046">
        <f>INDEX($R$5000:$R$5127,AD5046+1)</f>
        <v/>
      </c>
      <c r="AL5046">
        <f>INDEX($S$5000:$S$5127,AE5046+1)</f>
        <v/>
      </c>
      <c r="AM5046">
        <f>INDEX($T$5000:$T$5127,AF5046+1)</f>
        <v/>
      </c>
      <c r="AN5046">
        <f>INDEX($U$5000:$U$5127,AG5046+1)</f>
        <v/>
      </c>
      <c r="AO5046">
        <f>INDEX($V$5000:$V$5127,AH5046+1)</f>
        <v/>
      </c>
      <c r="AP5046">
        <f>INDEX($W$5000:$W$5127,AI5046+1)</f>
        <v/>
      </c>
      <c r="AQ5046">
        <f>IF(Q5046&gt;=AJ5046-0.01,1,0)</f>
        <v/>
      </c>
      <c r="AR5046">
        <f>IF(R5046&gt;=AK5046-0.01,1,0)</f>
        <v/>
      </c>
      <c r="AS5046">
        <f>IF(S5046&gt;=AL5046-0.01,1,0)</f>
        <v/>
      </c>
      <c r="AT5046">
        <f>IF(T5046&gt;=AM5046-0.01,1,0)</f>
        <v/>
      </c>
      <c r="AU5046">
        <f>IF(U5046&gt;=AN5046-0.01,1,0)</f>
        <v/>
      </c>
      <c r="AV5046">
        <f>IF(V5046&gt;=AO5046-0.01,1,0)</f>
        <v/>
      </c>
      <c r="AW5046">
        <f>IF(W5046&gt;=AP5046-0.01,1,0)</f>
        <v/>
      </c>
      <c r="AX5046">
        <f>AQ5046*AR5046*AS5046*AT5046*AU5046*AV5046*AW5046</f>
        <v/>
      </c>
    </row>
    <row r="5047">
      <c r="A5047" t="inlineStr"/>
      <c r="B5047">
        <f>Assumptions!$B$60</f>
        <v/>
      </c>
      <c r="C5047" t="n">
        <v>0</v>
      </c>
      <c r="D5047" t="n">
        <v>1</v>
      </c>
      <c r="E5047" t="n">
        <v>0</v>
      </c>
      <c r="F5047" t="n">
        <v>1</v>
      </c>
      <c r="G5047" t="n">
        <v>1</v>
      </c>
      <c r="H5047" t="n">
        <v>1</v>
      </c>
      <c r="I5047" t="n">
        <v>1</v>
      </c>
      <c r="J5047">
        <f>(1-C5047)*Assumptions!$B$41+(1-D5047)*Assumptions!$B$33+(1-E5047)*Assumptions!$B$32+(1-F5047)*Assumptions!$B$31+(1-G5047)*Assumptions!$B$30+(1-H5047)*Assumptions!$B$29+(1-I5047)*Assumptions!$B$28</f>
        <v/>
      </c>
      <c r="K5047">
        <f>C5047*$J$157+D5047*$F$157+E5047*$G$157+F5047*Assumptions!$B$14+G5047*Assumptions!$B$13+H5047*Assumptions!$B$12+I5047*Assumptions!$B$11+$O$157+$S$157+Assumptions!$B$9</f>
        <v/>
      </c>
      <c r="L5047">
        <f>B5047-J5047</f>
        <v/>
      </c>
      <c r="M5047">
        <f>IF(K5047&gt;0,IF(L5047/K5047&gt;=Assumptions!$B$37,1,0),0)</f>
        <v/>
      </c>
      <c r="N5047">
        <f>K5047+M5047*Assumptions!$B$153</f>
        <v/>
      </c>
      <c r="O5047">
        <f>L5047+M5047*Assumptions!$B$153*Assumptions!$B$37</f>
        <v/>
      </c>
      <c r="P5047">
        <f>IF(N5047&gt;0,O5047/N5047,0)</f>
        <v/>
      </c>
      <c r="Q5047">
        <f>IF(C5047=1,P5047*$J$157,Assumptions!$B$41)</f>
        <v/>
      </c>
      <c r="R5047">
        <f>IF(D5047=1,P5047*$F$157,Assumptions!$B$33)</f>
        <v/>
      </c>
      <c r="S5047">
        <f>IF(E5047=1,P5047*$G$157,Assumptions!$B$32)</f>
        <v/>
      </c>
      <c r="T5047">
        <f>IF(F5047=1,P5047*Assumptions!$B$14,Assumptions!$B$31)</f>
        <v/>
      </c>
      <c r="U5047">
        <f>IF(G5047=1,P5047*Assumptions!$B$13,Assumptions!$B$30)</f>
        <v/>
      </c>
      <c r="V5047">
        <f>IF(H5047=1,P5047*Assumptions!$B$12,Assumptions!$B$29)</f>
        <v/>
      </c>
      <c r="W5047">
        <f>IF(I5047=1,P5047*Assumptions!$B$11,Assumptions!$B$28)</f>
        <v/>
      </c>
      <c r="X5047">
        <f>P5047*($O$157+$S$157)</f>
        <v/>
      </c>
      <c r="Y5047">
        <f>P5047*Assumptions!$B$9</f>
        <v/>
      </c>
      <c r="Z5047">
        <f>IF(M5047=1,(P5047-Assumptions!$B$37)*Assumptions!$B$153,0)</f>
        <v/>
      </c>
      <c r="AA5047">
        <f>Q5047+R5047+S5047+T5047+U5047+V5047+W5047+X5047+Y5047+Z5047</f>
        <v/>
      </c>
      <c r="AB5047" t="n">
        <v>47</v>
      </c>
      <c r="AC5047" t="n">
        <v>111</v>
      </c>
      <c r="AD5047" t="n">
        <v>15</v>
      </c>
      <c r="AE5047" t="n">
        <v>63</v>
      </c>
      <c r="AF5047" t="n">
        <v>39</v>
      </c>
      <c r="AG5047" t="n">
        <v>43</v>
      </c>
      <c r="AH5047" t="n">
        <v>45</v>
      </c>
      <c r="AI5047" t="n">
        <v>46</v>
      </c>
      <c r="AJ5047">
        <f>INDEX($Q$5000:$Q$5127,AC5047+1)</f>
        <v/>
      </c>
      <c r="AK5047">
        <f>INDEX($R$5000:$R$5127,AD5047+1)</f>
        <v/>
      </c>
      <c r="AL5047">
        <f>INDEX($S$5000:$S$5127,AE5047+1)</f>
        <v/>
      </c>
      <c r="AM5047">
        <f>INDEX($T$5000:$T$5127,AF5047+1)</f>
        <v/>
      </c>
      <c r="AN5047">
        <f>INDEX($U$5000:$U$5127,AG5047+1)</f>
        <v/>
      </c>
      <c r="AO5047">
        <f>INDEX($V$5000:$V$5127,AH5047+1)</f>
        <v/>
      </c>
      <c r="AP5047">
        <f>INDEX($W$5000:$W$5127,AI5047+1)</f>
        <v/>
      </c>
      <c r="AQ5047">
        <f>IF(Q5047&gt;=AJ5047-0.01,1,0)</f>
        <v/>
      </c>
      <c r="AR5047">
        <f>IF(R5047&gt;=AK5047-0.01,1,0)</f>
        <v/>
      </c>
      <c r="AS5047">
        <f>IF(S5047&gt;=AL5047-0.01,1,0)</f>
        <v/>
      </c>
      <c r="AT5047">
        <f>IF(T5047&gt;=AM5047-0.01,1,0)</f>
        <v/>
      </c>
      <c r="AU5047">
        <f>IF(U5047&gt;=AN5047-0.01,1,0)</f>
        <v/>
      </c>
      <c r="AV5047">
        <f>IF(V5047&gt;=AO5047-0.01,1,0)</f>
        <v/>
      </c>
      <c r="AW5047">
        <f>IF(W5047&gt;=AP5047-0.01,1,0)</f>
        <v/>
      </c>
      <c r="AX5047">
        <f>AQ5047*AR5047*AS5047*AT5047*AU5047*AV5047*AW5047</f>
        <v/>
      </c>
    </row>
    <row r="5048">
      <c r="A5048" t="inlineStr"/>
      <c r="B5048">
        <f>Assumptions!$B$60</f>
        <v/>
      </c>
      <c r="C5048" t="n">
        <v>0</v>
      </c>
      <c r="D5048" t="n">
        <v>1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>
        <f>(1-C5048)*Assumptions!$B$41+(1-D5048)*Assumptions!$B$33+(1-E5048)*Assumptions!$B$32+(1-F5048)*Assumptions!$B$31+(1-G5048)*Assumptions!$B$30+(1-H5048)*Assumptions!$B$29+(1-I5048)*Assumptions!$B$28</f>
        <v/>
      </c>
      <c r="K5048">
        <f>C5048*$J$157+D5048*$F$157+E5048*$G$157+F5048*Assumptions!$B$14+G5048*Assumptions!$B$13+H5048*Assumptions!$B$12+I5048*Assumptions!$B$11+$O$157+$S$157+Assumptions!$B$9</f>
        <v/>
      </c>
      <c r="L5048">
        <f>B5048-J5048</f>
        <v/>
      </c>
      <c r="M5048">
        <f>IF(K5048&gt;0,IF(L5048/K5048&gt;=Assumptions!$B$37,1,0),0)</f>
        <v/>
      </c>
      <c r="N5048">
        <f>K5048+M5048*Assumptions!$B$153</f>
        <v/>
      </c>
      <c r="O5048">
        <f>L5048+M5048*Assumptions!$B$153*Assumptions!$B$37</f>
        <v/>
      </c>
      <c r="P5048">
        <f>IF(N5048&gt;0,O5048/N5048,0)</f>
        <v/>
      </c>
      <c r="Q5048">
        <f>IF(C5048=1,P5048*$J$157,Assumptions!$B$41)</f>
        <v/>
      </c>
      <c r="R5048">
        <f>IF(D5048=1,P5048*$F$157,Assumptions!$B$33)</f>
        <v/>
      </c>
      <c r="S5048">
        <f>IF(E5048=1,P5048*$G$157,Assumptions!$B$32)</f>
        <v/>
      </c>
      <c r="T5048">
        <f>IF(F5048=1,P5048*Assumptions!$B$14,Assumptions!$B$31)</f>
        <v/>
      </c>
      <c r="U5048">
        <f>IF(G5048=1,P5048*Assumptions!$B$13,Assumptions!$B$30)</f>
        <v/>
      </c>
      <c r="V5048">
        <f>IF(H5048=1,P5048*Assumptions!$B$12,Assumptions!$B$29)</f>
        <v/>
      </c>
      <c r="W5048">
        <f>IF(I5048=1,P5048*Assumptions!$B$11,Assumptions!$B$28)</f>
        <v/>
      </c>
      <c r="X5048">
        <f>P5048*($O$157+$S$157)</f>
        <v/>
      </c>
      <c r="Y5048">
        <f>P5048*Assumptions!$B$9</f>
        <v/>
      </c>
      <c r="Z5048">
        <f>IF(M5048=1,(P5048-Assumptions!$B$37)*Assumptions!$B$153,0)</f>
        <v/>
      </c>
      <c r="AA5048">
        <f>Q5048+R5048+S5048+T5048+U5048+V5048+W5048+X5048+Y5048+Z5048</f>
        <v/>
      </c>
      <c r="AB5048" t="n">
        <v>48</v>
      </c>
      <c r="AC5048" t="n">
        <v>112</v>
      </c>
      <c r="AD5048" t="n">
        <v>16</v>
      </c>
      <c r="AE5048" t="n">
        <v>32</v>
      </c>
      <c r="AF5048" t="n">
        <v>56</v>
      </c>
      <c r="AG5048" t="n">
        <v>52</v>
      </c>
      <c r="AH5048" t="n">
        <v>50</v>
      </c>
      <c r="AI5048" t="n">
        <v>49</v>
      </c>
      <c r="AJ5048">
        <f>INDEX($Q$5000:$Q$5127,AC5048+1)</f>
        <v/>
      </c>
      <c r="AK5048">
        <f>INDEX($R$5000:$R$5127,AD5048+1)</f>
        <v/>
      </c>
      <c r="AL5048">
        <f>INDEX($S$5000:$S$5127,AE5048+1)</f>
        <v/>
      </c>
      <c r="AM5048">
        <f>INDEX($T$5000:$T$5127,AF5048+1)</f>
        <v/>
      </c>
      <c r="AN5048">
        <f>INDEX($U$5000:$U$5127,AG5048+1)</f>
        <v/>
      </c>
      <c r="AO5048">
        <f>INDEX($V$5000:$V$5127,AH5048+1)</f>
        <v/>
      </c>
      <c r="AP5048">
        <f>INDEX($W$5000:$W$5127,AI5048+1)</f>
        <v/>
      </c>
      <c r="AQ5048">
        <f>IF(Q5048&gt;=AJ5048-0.01,1,0)</f>
        <v/>
      </c>
      <c r="AR5048">
        <f>IF(R5048&gt;=AK5048-0.01,1,0)</f>
        <v/>
      </c>
      <c r="AS5048">
        <f>IF(S5048&gt;=AL5048-0.01,1,0)</f>
        <v/>
      </c>
      <c r="AT5048">
        <f>IF(T5048&gt;=AM5048-0.01,1,0)</f>
        <v/>
      </c>
      <c r="AU5048">
        <f>IF(U5048&gt;=AN5048-0.01,1,0)</f>
        <v/>
      </c>
      <c r="AV5048">
        <f>IF(V5048&gt;=AO5048-0.01,1,0)</f>
        <v/>
      </c>
      <c r="AW5048">
        <f>IF(W5048&gt;=AP5048-0.01,1,0)</f>
        <v/>
      </c>
      <c r="AX5048">
        <f>AQ5048*AR5048*AS5048*AT5048*AU5048*AV5048*AW5048</f>
        <v/>
      </c>
    </row>
    <row r="5049">
      <c r="A5049" t="inlineStr"/>
      <c r="B5049">
        <f>Assumptions!$B$60</f>
        <v/>
      </c>
      <c r="C5049" t="n">
        <v>0</v>
      </c>
      <c r="D5049" t="n">
        <v>1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>
        <f>(1-C5049)*Assumptions!$B$41+(1-D5049)*Assumptions!$B$33+(1-E5049)*Assumptions!$B$32+(1-F5049)*Assumptions!$B$31+(1-G5049)*Assumptions!$B$30+(1-H5049)*Assumptions!$B$29+(1-I5049)*Assumptions!$B$28</f>
        <v/>
      </c>
      <c r="K5049">
        <f>C5049*$J$157+D5049*$F$157+E5049*$G$157+F5049*Assumptions!$B$14+G5049*Assumptions!$B$13+H5049*Assumptions!$B$12+I5049*Assumptions!$B$11+$O$157+$S$157+Assumptions!$B$9</f>
        <v/>
      </c>
      <c r="L5049">
        <f>B5049-J5049</f>
        <v/>
      </c>
      <c r="M5049">
        <f>IF(K5049&gt;0,IF(L5049/K5049&gt;=Assumptions!$B$37,1,0),0)</f>
        <v/>
      </c>
      <c r="N5049">
        <f>K5049+M5049*Assumptions!$B$153</f>
        <v/>
      </c>
      <c r="O5049">
        <f>L5049+M5049*Assumptions!$B$153*Assumptions!$B$37</f>
        <v/>
      </c>
      <c r="P5049">
        <f>IF(N5049&gt;0,O5049/N5049,0)</f>
        <v/>
      </c>
      <c r="Q5049">
        <f>IF(C5049=1,P5049*$J$157,Assumptions!$B$41)</f>
        <v/>
      </c>
      <c r="R5049">
        <f>IF(D5049=1,P5049*$F$157,Assumptions!$B$33)</f>
        <v/>
      </c>
      <c r="S5049">
        <f>IF(E5049=1,P5049*$G$157,Assumptions!$B$32)</f>
        <v/>
      </c>
      <c r="T5049">
        <f>IF(F5049=1,P5049*Assumptions!$B$14,Assumptions!$B$31)</f>
        <v/>
      </c>
      <c r="U5049">
        <f>IF(G5049=1,P5049*Assumptions!$B$13,Assumptions!$B$30)</f>
        <v/>
      </c>
      <c r="V5049">
        <f>IF(H5049=1,P5049*Assumptions!$B$12,Assumptions!$B$29)</f>
        <v/>
      </c>
      <c r="W5049">
        <f>IF(I5049=1,P5049*Assumptions!$B$11,Assumptions!$B$28)</f>
        <v/>
      </c>
      <c r="X5049">
        <f>P5049*($O$157+$S$157)</f>
        <v/>
      </c>
      <c r="Y5049">
        <f>P5049*Assumptions!$B$9</f>
        <v/>
      </c>
      <c r="Z5049">
        <f>IF(M5049=1,(P5049-Assumptions!$B$37)*Assumptions!$B$153,0)</f>
        <v/>
      </c>
      <c r="AA5049">
        <f>Q5049+R5049+S5049+T5049+U5049+V5049+W5049+X5049+Y5049+Z5049</f>
        <v/>
      </c>
      <c r="AB5049" t="n">
        <v>49</v>
      </c>
      <c r="AC5049" t="n">
        <v>113</v>
      </c>
      <c r="AD5049" t="n">
        <v>17</v>
      </c>
      <c r="AE5049" t="n">
        <v>33</v>
      </c>
      <c r="AF5049" t="n">
        <v>57</v>
      </c>
      <c r="AG5049" t="n">
        <v>53</v>
      </c>
      <c r="AH5049" t="n">
        <v>51</v>
      </c>
      <c r="AI5049" t="n">
        <v>48</v>
      </c>
      <c r="AJ5049">
        <f>INDEX($Q$5000:$Q$5127,AC5049+1)</f>
        <v/>
      </c>
      <c r="AK5049">
        <f>INDEX($R$5000:$R$5127,AD5049+1)</f>
        <v/>
      </c>
      <c r="AL5049">
        <f>INDEX($S$5000:$S$5127,AE5049+1)</f>
        <v/>
      </c>
      <c r="AM5049">
        <f>INDEX($T$5000:$T$5127,AF5049+1)</f>
        <v/>
      </c>
      <c r="AN5049">
        <f>INDEX($U$5000:$U$5127,AG5049+1)</f>
        <v/>
      </c>
      <c r="AO5049">
        <f>INDEX($V$5000:$V$5127,AH5049+1)</f>
        <v/>
      </c>
      <c r="AP5049">
        <f>INDEX($W$5000:$W$5127,AI5049+1)</f>
        <v/>
      </c>
      <c r="AQ5049">
        <f>IF(Q5049&gt;=AJ5049-0.01,1,0)</f>
        <v/>
      </c>
      <c r="AR5049">
        <f>IF(R5049&gt;=AK5049-0.01,1,0)</f>
        <v/>
      </c>
      <c r="AS5049">
        <f>IF(S5049&gt;=AL5049-0.01,1,0)</f>
        <v/>
      </c>
      <c r="AT5049">
        <f>IF(T5049&gt;=AM5049-0.01,1,0)</f>
        <v/>
      </c>
      <c r="AU5049">
        <f>IF(U5049&gt;=AN5049-0.01,1,0)</f>
        <v/>
      </c>
      <c r="AV5049">
        <f>IF(V5049&gt;=AO5049-0.01,1,0)</f>
        <v/>
      </c>
      <c r="AW5049">
        <f>IF(W5049&gt;=AP5049-0.01,1,0)</f>
        <v/>
      </c>
      <c r="AX5049">
        <f>AQ5049*AR5049*AS5049*AT5049*AU5049*AV5049*AW5049</f>
        <v/>
      </c>
    </row>
    <row r="5050">
      <c r="A5050" t="inlineStr"/>
      <c r="B5050">
        <f>Assumptions!$B$60</f>
        <v/>
      </c>
      <c r="C5050" t="n">
        <v>0</v>
      </c>
      <c r="D5050" t="n">
        <v>1</v>
      </c>
      <c r="E5050" t="n">
        <v>1</v>
      </c>
      <c r="F5050" t="n">
        <v>0</v>
      </c>
      <c r="G5050" t="n">
        <v>0</v>
      </c>
      <c r="H5050" t="n">
        <v>1</v>
      </c>
      <c r="I5050" t="n">
        <v>0</v>
      </c>
      <c r="J5050">
        <f>(1-C5050)*Assumptions!$B$41+(1-D5050)*Assumptions!$B$33+(1-E5050)*Assumptions!$B$32+(1-F5050)*Assumptions!$B$31+(1-G5050)*Assumptions!$B$30+(1-H5050)*Assumptions!$B$29+(1-I5050)*Assumptions!$B$28</f>
        <v/>
      </c>
      <c r="K5050">
        <f>C5050*$J$157+D5050*$F$157+E5050*$G$157+F5050*Assumptions!$B$14+G5050*Assumptions!$B$13+H5050*Assumptions!$B$12+I5050*Assumptions!$B$11+$O$157+$S$157+Assumptions!$B$9</f>
        <v/>
      </c>
      <c r="L5050">
        <f>B5050-J5050</f>
        <v/>
      </c>
      <c r="M5050">
        <f>IF(K5050&gt;0,IF(L5050/K5050&gt;=Assumptions!$B$37,1,0),0)</f>
        <v/>
      </c>
      <c r="N5050">
        <f>K5050+M5050*Assumptions!$B$153</f>
        <v/>
      </c>
      <c r="O5050">
        <f>L5050+M5050*Assumptions!$B$153*Assumptions!$B$37</f>
        <v/>
      </c>
      <c r="P5050">
        <f>IF(N5050&gt;0,O5050/N5050,0)</f>
        <v/>
      </c>
      <c r="Q5050">
        <f>IF(C5050=1,P5050*$J$157,Assumptions!$B$41)</f>
        <v/>
      </c>
      <c r="R5050">
        <f>IF(D5050=1,P5050*$F$157,Assumptions!$B$33)</f>
        <v/>
      </c>
      <c r="S5050">
        <f>IF(E5050=1,P5050*$G$157,Assumptions!$B$32)</f>
        <v/>
      </c>
      <c r="T5050">
        <f>IF(F5050=1,P5050*Assumptions!$B$14,Assumptions!$B$31)</f>
        <v/>
      </c>
      <c r="U5050">
        <f>IF(G5050=1,P5050*Assumptions!$B$13,Assumptions!$B$30)</f>
        <v/>
      </c>
      <c r="V5050">
        <f>IF(H5050=1,P5050*Assumptions!$B$12,Assumptions!$B$29)</f>
        <v/>
      </c>
      <c r="W5050">
        <f>IF(I5050=1,P5050*Assumptions!$B$11,Assumptions!$B$28)</f>
        <v/>
      </c>
      <c r="X5050">
        <f>P5050*($O$157+$S$157)</f>
        <v/>
      </c>
      <c r="Y5050">
        <f>P5050*Assumptions!$B$9</f>
        <v/>
      </c>
      <c r="Z5050">
        <f>IF(M5050=1,(P5050-Assumptions!$B$37)*Assumptions!$B$153,0)</f>
        <v/>
      </c>
      <c r="AA5050">
        <f>Q5050+R5050+S5050+T5050+U5050+V5050+W5050+X5050+Y5050+Z5050</f>
        <v/>
      </c>
      <c r="AB5050" t="n">
        <v>50</v>
      </c>
      <c r="AC5050" t="n">
        <v>114</v>
      </c>
      <c r="AD5050" t="n">
        <v>18</v>
      </c>
      <c r="AE5050" t="n">
        <v>34</v>
      </c>
      <c r="AF5050" t="n">
        <v>58</v>
      </c>
      <c r="AG5050" t="n">
        <v>54</v>
      </c>
      <c r="AH5050" t="n">
        <v>48</v>
      </c>
      <c r="AI5050" t="n">
        <v>51</v>
      </c>
      <c r="AJ5050">
        <f>INDEX($Q$5000:$Q$5127,AC5050+1)</f>
        <v/>
      </c>
      <c r="AK5050">
        <f>INDEX($R$5000:$R$5127,AD5050+1)</f>
        <v/>
      </c>
      <c r="AL5050">
        <f>INDEX($S$5000:$S$5127,AE5050+1)</f>
        <v/>
      </c>
      <c r="AM5050">
        <f>INDEX($T$5000:$T$5127,AF5050+1)</f>
        <v/>
      </c>
      <c r="AN5050">
        <f>INDEX($U$5000:$U$5127,AG5050+1)</f>
        <v/>
      </c>
      <c r="AO5050">
        <f>INDEX($V$5000:$V$5127,AH5050+1)</f>
        <v/>
      </c>
      <c r="AP5050">
        <f>INDEX($W$5000:$W$5127,AI5050+1)</f>
        <v/>
      </c>
      <c r="AQ5050">
        <f>IF(Q5050&gt;=AJ5050-0.01,1,0)</f>
        <v/>
      </c>
      <c r="AR5050">
        <f>IF(R5050&gt;=AK5050-0.01,1,0)</f>
        <v/>
      </c>
      <c r="AS5050">
        <f>IF(S5050&gt;=AL5050-0.01,1,0)</f>
        <v/>
      </c>
      <c r="AT5050">
        <f>IF(T5050&gt;=AM5050-0.01,1,0)</f>
        <v/>
      </c>
      <c r="AU5050">
        <f>IF(U5050&gt;=AN5050-0.01,1,0)</f>
        <v/>
      </c>
      <c r="AV5050">
        <f>IF(V5050&gt;=AO5050-0.01,1,0)</f>
        <v/>
      </c>
      <c r="AW5050">
        <f>IF(W5050&gt;=AP5050-0.01,1,0)</f>
        <v/>
      </c>
      <c r="AX5050">
        <f>AQ5050*AR5050*AS5050*AT5050*AU5050*AV5050*AW5050</f>
        <v/>
      </c>
    </row>
    <row r="5051">
      <c r="A5051" t="inlineStr"/>
      <c r="B5051">
        <f>Assumptions!$B$60</f>
        <v/>
      </c>
      <c r="C5051" t="n">
        <v>0</v>
      </c>
      <c r="D5051" t="n">
        <v>1</v>
      </c>
      <c r="E5051" t="n">
        <v>1</v>
      </c>
      <c r="F5051" t="n">
        <v>0</v>
      </c>
      <c r="G5051" t="n">
        <v>0</v>
      </c>
      <c r="H5051" t="n">
        <v>1</v>
      </c>
      <c r="I5051" t="n">
        <v>1</v>
      </c>
      <c r="J5051">
        <f>(1-C5051)*Assumptions!$B$41+(1-D5051)*Assumptions!$B$33+(1-E5051)*Assumptions!$B$32+(1-F5051)*Assumptions!$B$31+(1-G5051)*Assumptions!$B$30+(1-H5051)*Assumptions!$B$29+(1-I5051)*Assumptions!$B$28</f>
        <v/>
      </c>
      <c r="K5051">
        <f>C5051*$J$157+D5051*$F$157+E5051*$G$157+F5051*Assumptions!$B$14+G5051*Assumptions!$B$13+H5051*Assumptions!$B$12+I5051*Assumptions!$B$11+$O$157+$S$157+Assumptions!$B$9</f>
        <v/>
      </c>
      <c r="L5051">
        <f>B5051-J5051</f>
        <v/>
      </c>
      <c r="M5051">
        <f>IF(K5051&gt;0,IF(L5051/K5051&gt;=Assumptions!$B$37,1,0),0)</f>
        <v/>
      </c>
      <c r="N5051">
        <f>K5051+M5051*Assumptions!$B$153</f>
        <v/>
      </c>
      <c r="O5051">
        <f>L5051+M5051*Assumptions!$B$153*Assumptions!$B$37</f>
        <v/>
      </c>
      <c r="P5051">
        <f>IF(N5051&gt;0,O5051/N5051,0)</f>
        <v/>
      </c>
      <c r="Q5051">
        <f>IF(C5051=1,P5051*$J$157,Assumptions!$B$41)</f>
        <v/>
      </c>
      <c r="R5051">
        <f>IF(D5051=1,P5051*$F$157,Assumptions!$B$33)</f>
        <v/>
      </c>
      <c r="S5051">
        <f>IF(E5051=1,P5051*$G$157,Assumptions!$B$32)</f>
        <v/>
      </c>
      <c r="T5051">
        <f>IF(F5051=1,P5051*Assumptions!$B$14,Assumptions!$B$31)</f>
        <v/>
      </c>
      <c r="U5051">
        <f>IF(G5051=1,P5051*Assumptions!$B$13,Assumptions!$B$30)</f>
        <v/>
      </c>
      <c r="V5051">
        <f>IF(H5051=1,P5051*Assumptions!$B$12,Assumptions!$B$29)</f>
        <v/>
      </c>
      <c r="W5051">
        <f>IF(I5051=1,P5051*Assumptions!$B$11,Assumptions!$B$28)</f>
        <v/>
      </c>
      <c r="X5051">
        <f>P5051*($O$157+$S$157)</f>
        <v/>
      </c>
      <c r="Y5051">
        <f>P5051*Assumptions!$B$9</f>
        <v/>
      </c>
      <c r="Z5051">
        <f>IF(M5051=1,(P5051-Assumptions!$B$37)*Assumptions!$B$153,0)</f>
        <v/>
      </c>
      <c r="AA5051">
        <f>Q5051+R5051+S5051+T5051+U5051+V5051+W5051+X5051+Y5051+Z5051</f>
        <v/>
      </c>
      <c r="AB5051" t="n">
        <v>51</v>
      </c>
      <c r="AC5051" t="n">
        <v>115</v>
      </c>
      <c r="AD5051" t="n">
        <v>19</v>
      </c>
      <c r="AE5051" t="n">
        <v>35</v>
      </c>
      <c r="AF5051" t="n">
        <v>59</v>
      </c>
      <c r="AG5051" t="n">
        <v>55</v>
      </c>
      <c r="AH5051" t="n">
        <v>49</v>
      </c>
      <c r="AI5051" t="n">
        <v>50</v>
      </c>
      <c r="AJ5051">
        <f>INDEX($Q$5000:$Q$5127,AC5051+1)</f>
        <v/>
      </c>
      <c r="AK5051">
        <f>INDEX($R$5000:$R$5127,AD5051+1)</f>
        <v/>
      </c>
      <c r="AL5051">
        <f>INDEX($S$5000:$S$5127,AE5051+1)</f>
        <v/>
      </c>
      <c r="AM5051">
        <f>INDEX($T$5000:$T$5127,AF5051+1)</f>
        <v/>
      </c>
      <c r="AN5051">
        <f>INDEX($U$5000:$U$5127,AG5051+1)</f>
        <v/>
      </c>
      <c r="AO5051">
        <f>INDEX($V$5000:$V$5127,AH5051+1)</f>
        <v/>
      </c>
      <c r="AP5051">
        <f>INDEX($W$5000:$W$5127,AI5051+1)</f>
        <v/>
      </c>
      <c r="AQ5051">
        <f>IF(Q5051&gt;=AJ5051-0.01,1,0)</f>
        <v/>
      </c>
      <c r="AR5051">
        <f>IF(R5051&gt;=AK5051-0.01,1,0)</f>
        <v/>
      </c>
      <c r="AS5051">
        <f>IF(S5051&gt;=AL5051-0.01,1,0)</f>
        <v/>
      </c>
      <c r="AT5051">
        <f>IF(T5051&gt;=AM5051-0.01,1,0)</f>
        <v/>
      </c>
      <c r="AU5051">
        <f>IF(U5051&gt;=AN5051-0.01,1,0)</f>
        <v/>
      </c>
      <c r="AV5051">
        <f>IF(V5051&gt;=AO5051-0.01,1,0)</f>
        <v/>
      </c>
      <c r="AW5051">
        <f>IF(W5051&gt;=AP5051-0.01,1,0)</f>
        <v/>
      </c>
      <c r="AX5051">
        <f>AQ5051*AR5051*AS5051*AT5051*AU5051*AV5051*AW5051</f>
        <v/>
      </c>
    </row>
    <row r="5052">
      <c r="A5052" t="inlineStr"/>
      <c r="B5052">
        <f>Assumptions!$B$60</f>
        <v/>
      </c>
      <c r="C5052" t="n">
        <v>0</v>
      </c>
      <c r="D5052" t="n">
        <v>1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>
        <f>(1-C5052)*Assumptions!$B$41+(1-D5052)*Assumptions!$B$33+(1-E5052)*Assumptions!$B$32+(1-F5052)*Assumptions!$B$31+(1-G5052)*Assumptions!$B$30+(1-H5052)*Assumptions!$B$29+(1-I5052)*Assumptions!$B$28</f>
        <v/>
      </c>
      <c r="K5052">
        <f>C5052*$J$157+D5052*$F$157+E5052*$G$157+F5052*Assumptions!$B$14+G5052*Assumptions!$B$13+H5052*Assumptions!$B$12+I5052*Assumptions!$B$11+$O$157+$S$157+Assumptions!$B$9</f>
        <v/>
      </c>
      <c r="L5052">
        <f>B5052-J5052</f>
        <v/>
      </c>
      <c r="M5052">
        <f>IF(K5052&gt;0,IF(L5052/K5052&gt;=Assumptions!$B$37,1,0),0)</f>
        <v/>
      </c>
      <c r="N5052">
        <f>K5052+M5052*Assumptions!$B$153</f>
        <v/>
      </c>
      <c r="O5052">
        <f>L5052+M5052*Assumptions!$B$153*Assumptions!$B$37</f>
        <v/>
      </c>
      <c r="P5052">
        <f>IF(N5052&gt;0,O5052/N5052,0)</f>
        <v/>
      </c>
      <c r="Q5052">
        <f>IF(C5052=1,P5052*$J$157,Assumptions!$B$41)</f>
        <v/>
      </c>
      <c r="R5052">
        <f>IF(D5052=1,P5052*$F$157,Assumptions!$B$33)</f>
        <v/>
      </c>
      <c r="S5052">
        <f>IF(E5052=1,P5052*$G$157,Assumptions!$B$32)</f>
        <v/>
      </c>
      <c r="T5052">
        <f>IF(F5052=1,P5052*Assumptions!$B$14,Assumptions!$B$31)</f>
        <v/>
      </c>
      <c r="U5052">
        <f>IF(G5052=1,P5052*Assumptions!$B$13,Assumptions!$B$30)</f>
        <v/>
      </c>
      <c r="V5052">
        <f>IF(H5052=1,P5052*Assumptions!$B$12,Assumptions!$B$29)</f>
        <v/>
      </c>
      <c r="W5052">
        <f>IF(I5052=1,P5052*Assumptions!$B$11,Assumptions!$B$28)</f>
        <v/>
      </c>
      <c r="X5052">
        <f>P5052*($O$157+$S$157)</f>
        <v/>
      </c>
      <c r="Y5052">
        <f>P5052*Assumptions!$B$9</f>
        <v/>
      </c>
      <c r="Z5052">
        <f>IF(M5052=1,(P5052-Assumptions!$B$37)*Assumptions!$B$153,0)</f>
        <v/>
      </c>
      <c r="AA5052">
        <f>Q5052+R5052+S5052+T5052+U5052+V5052+W5052+X5052+Y5052+Z5052</f>
        <v/>
      </c>
      <c r="AB5052" t="n">
        <v>52</v>
      </c>
      <c r="AC5052" t="n">
        <v>116</v>
      </c>
      <c r="AD5052" t="n">
        <v>20</v>
      </c>
      <c r="AE5052" t="n">
        <v>36</v>
      </c>
      <c r="AF5052" t="n">
        <v>60</v>
      </c>
      <c r="AG5052" t="n">
        <v>48</v>
      </c>
      <c r="AH5052" t="n">
        <v>54</v>
      </c>
      <c r="AI5052" t="n">
        <v>53</v>
      </c>
      <c r="AJ5052">
        <f>INDEX($Q$5000:$Q$5127,AC5052+1)</f>
        <v/>
      </c>
      <c r="AK5052">
        <f>INDEX($R$5000:$R$5127,AD5052+1)</f>
        <v/>
      </c>
      <c r="AL5052">
        <f>INDEX($S$5000:$S$5127,AE5052+1)</f>
        <v/>
      </c>
      <c r="AM5052">
        <f>INDEX($T$5000:$T$5127,AF5052+1)</f>
        <v/>
      </c>
      <c r="AN5052">
        <f>INDEX($U$5000:$U$5127,AG5052+1)</f>
        <v/>
      </c>
      <c r="AO5052">
        <f>INDEX($V$5000:$V$5127,AH5052+1)</f>
        <v/>
      </c>
      <c r="AP5052">
        <f>INDEX($W$5000:$W$5127,AI5052+1)</f>
        <v/>
      </c>
      <c r="AQ5052">
        <f>IF(Q5052&gt;=AJ5052-0.01,1,0)</f>
        <v/>
      </c>
      <c r="AR5052">
        <f>IF(R5052&gt;=AK5052-0.01,1,0)</f>
        <v/>
      </c>
      <c r="AS5052">
        <f>IF(S5052&gt;=AL5052-0.01,1,0)</f>
        <v/>
      </c>
      <c r="AT5052">
        <f>IF(T5052&gt;=AM5052-0.01,1,0)</f>
        <v/>
      </c>
      <c r="AU5052">
        <f>IF(U5052&gt;=AN5052-0.01,1,0)</f>
        <v/>
      </c>
      <c r="AV5052">
        <f>IF(V5052&gt;=AO5052-0.01,1,0)</f>
        <v/>
      </c>
      <c r="AW5052">
        <f>IF(W5052&gt;=AP5052-0.01,1,0)</f>
        <v/>
      </c>
      <c r="AX5052">
        <f>AQ5052*AR5052*AS5052*AT5052*AU5052*AV5052*AW5052</f>
        <v/>
      </c>
    </row>
    <row r="5053">
      <c r="A5053" t="inlineStr"/>
      <c r="B5053">
        <f>Assumptions!$B$60</f>
        <v/>
      </c>
      <c r="C5053" t="n">
        <v>0</v>
      </c>
      <c r="D5053" t="n">
        <v>1</v>
      </c>
      <c r="E5053" t="n">
        <v>1</v>
      </c>
      <c r="F5053" t="n">
        <v>0</v>
      </c>
      <c r="G5053" t="n">
        <v>1</v>
      </c>
      <c r="H5053" t="n">
        <v>0</v>
      </c>
      <c r="I5053" t="n">
        <v>1</v>
      </c>
      <c r="J5053">
        <f>(1-C5053)*Assumptions!$B$41+(1-D5053)*Assumptions!$B$33+(1-E5053)*Assumptions!$B$32+(1-F5053)*Assumptions!$B$31+(1-G5053)*Assumptions!$B$30+(1-H5053)*Assumptions!$B$29+(1-I5053)*Assumptions!$B$28</f>
        <v/>
      </c>
      <c r="K5053">
        <f>C5053*$J$157+D5053*$F$157+E5053*$G$157+F5053*Assumptions!$B$14+G5053*Assumptions!$B$13+H5053*Assumptions!$B$12+I5053*Assumptions!$B$11+$O$157+$S$157+Assumptions!$B$9</f>
        <v/>
      </c>
      <c r="L5053">
        <f>B5053-J5053</f>
        <v/>
      </c>
      <c r="M5053">
        <f>IF(K5053&gt;0,IF(L5053/K5053&gt;=Assumptions!$B$37,1,0),0)</f>
        <v/>
      </c>
      <c r="N5053">
        <f>K5053+M5053*Assumptions!$B$153</f>
        <v/>
      </c>
      <c r="O5053">
        <f>L5053+M5053*Assumptions!$B$153*Assumptions!$B$37</f>
        <v/>
      </c>
      <c r="P5053">
        <f>IF(N5053&gt;0,O5053/N5053,0)</f>
        <v/>
      </c>
      <c r="Q5053">
        <f>IF(C5053=1,P5053*$J$157,Assumptions!$B$41)</f>
        <v/>
      </c>
      <c r="R5053">
        <f>IF(D5053=1,P5053*$F$157,Assumptions!$B$33)</f>
        <v/>
      </c>
      <c r="S5053">
        <f>IF(E5053=1,P5053*$G$157,Assumptions!$B$32)</f>
        <v/>
      </c>
      <c r="T5053">
        <f>IF(F5053=1,P5053*Assumptions!$B$14,Assumptions!$B$31)</f>
        <v/>
      </c>
      <c r="U5053">
        <f>IF(G5053=1,P5053*Assumptions!$B$13,Assumptions!$B$30)</f>
        <v/>
      </c>
      <c r="V5053">
        <f>IF(H5053=1,P5053*Assumptions!$B$12,Assumptions!$B$29)</f>
        <v/>
      </c>
      <c r="W5053">
        <f>IF(I5053=1,P5053*Assumptions!$B$11,Assumptions!$B$28)</f>
        <v/>
      </c>
      <c r="X5053">
        <f>P5053*($O$157+$S$157)</f>
        <v/>
      </c>
      <c r="Y5053">
        <f>P5053*Assumptions!$B$9</f>
        <v/>
      </c>
      <c r="Z5053">
        <f>IF(M5053=1,(P5053-Assumptions!$B$37)*Assumptions!$B$153,0)</f>
        <v/>
      </c>
      <c r="AA5053">
        <f>Q5053+R5053+S5053+T5053+U5053+V5053+W5053+X5053+Y5053+Z5053</f>
        <v/>
      </c>
      <c r="AB5053" t="n">
        <v>53</v>
      </c>
      <c r="AC5053" t="n">
        <v>117</v>
      </c>
      <c r="AD5053" t="n">
        <v>21</v>
      </c>
      <c r="AE5053" t="n">
        <v>37</v>
      </c>
      <c r="AF5053" t="n">
        <v>61</v>
      </c>
      <c r="AG5053" t="n">
        <v>49</v>
      </c>
      <c r="AH5053" t="n">
        <v>55</v>
      </c>
      <c r="AI5053" t="n">
        <v>52</v>
      </c>
      <c r="AJ5053">
        <f>INDEX($Q$5000:$Q$5127,AC5053+1)</f>
        <v/>
      </c>
      <c r="AK5053">
        <f>INDEX($R$5000:$R$5127,AD5053+1)</f>
        <v/>
      </c>
      <c r="AL5053">
        <f>INDEX($S$5000:$S$5127,AE5053+1)</f>
        <v/>
      </c>
      <c r="AM5053">
        <f>INDEX($T$5000:$T$5127,AF5053+1)</f>
        <v/>
      </c>
      <c r="AN5053">
        <f>INDEX($U$5000:$U$5127,AG5053+1)</f>
        <v/>
      </c>
      <c r="AO5053">
        <f>INDEX($V$5000:$V$5127,AH5053+1)</f>
        <v/>
      </c>
      <c r="AP5053">
        <f>INDEX($W$5000:$W$5127,AI5053+1)</f>
        <v/>
      </c>
      <c r="AQ5053">
        <f>IF(Q5053&gt;=AJ5053-0.01,1,0)</f>
        <v/>
      </c>
      <c r="AR5053">
        <f>IF(R5053&gt;=AK5053-0.01,1,0)</f>
        <v/>
      </c>
      <c r="AS5053">
        <f>IF(S5053&gt;=AL5053-0.01,1,0)</f>
        <v/>
      </c>
      <c r="AT5053">
        <f>IF(T5053&gt;=AM5053-0.01,1,0)</f>
        <v/>
      </c>
      <c r="AU5053">
        <f>IF(U5053&gt;=AN5053-0.01,1,0)</f>
        <v/>
      </c>
      <c r="AV5053">
        <f>IF(V5053&gt;=AO5053-0.01,1,0)</f>
        <v/>
      </c>
      <c r="AW5053">
        <f>IF(W5053&gt;=AP5053-0.01,1,0)</f>
        <v/>
      </c>
      <c r="AX5053">
        <f>AQ5053*AR5053*AS5053*AT5053*AU5053*AV5053*AW5053</f>
        <v/>
      </c>
    </row>
    <row r="5054">
      <c r="A5054" t="inlineStr"/>
      <c r="B5054">
        <f>Assumptions!$B$60</f>
        <v/>
      </c>
      <c r="C5054" t="n">
        <v>0</v>
      </c>
      <c r="D5054" t="n">
        <v>1</v>
      </c>
      <c r="E5054" t="n">
        <v>1</v>
      </c>
      <c r="F5054" t="n">
        <v>0</v>
      </c>
      <c r="G5054" t="n">
        <v>1</v>
      </c>
      <c r="H5054" t="n">
        <v>1</v>
      </c>
      <c r="I5054" t="n">
        <v>0</v>
      </c>
      <c r="J5054">
        <f>(1-C5054)*Assumptions!$B$41+(1-D5054)*Assumptions!$B$33+(1-E5054)*Assumptions!$B$32+(1-F5054)*Assumptions!$B$31+(1-G5054)*Assumptions!$B$30+(1-H5054)*Assumptions!$B$29+(1-I5054)*Assumptions!$B$28</f>
        <v/>
      </c>
      <c r="K5054">
        <f>C5054*$J$157+D5054*$F$157+E5054*$G$157+F5054*Assumptions!$B$14+G5054*Assumptions!$B$13+H5054*Assumptions!$B$12+I5054*Assumptions!$B$11+$O$157+$S$157+Assumptions!$B$9</f>
        <v/>
      </c>
      <c r="L5054">
        <f>B5054-J5054</f>
        <v/>
      </c>
      <c r="M5054">
        <f>IF(K5054&gt;0,IF(L5054/K5054&gt;=Assumptions!$B$37,1,0),0)</f>
        <v/>
      </c>
      <c r="N5054">
        <f>K5054+M5054*Assumptions!$B$153</f>
        <v/>
      </c>
      <c r="O5054">
        <f>L5054+M5054*Assumptions!$B$153*Assumptions!$B$37</f>
        <v/>
      </c>
      <c r="P5054">
        <f>IF(N5054&gt;0,O5054/N5054,0)</f>
        <v/>
      </c>
      <c r="Q5054">
        <f>IF(C5054=1,P5054*$J$157,Assumptions!$B$41)</f>
        <v/>
      </c>
      <c r="R5054">
        <f>IF(D5054=1,P5054*$F$157,Assumptions!$B$33)</f>
        <v/>
      </c>
      <c r="S5054">
        <f>IF(E5054=1,P5054*$G$157,Assumptions!$B$32)</f>
        <v/>
      </c>
      <c r="T5054">
        <f>IF(F5054=1,P5054*Assumptions!$B$14,Assumptions!$B$31)</f>
        <v/>
      </c>
      <c r="U5054">
        <f>IF(G5054=1,P5054*Assumptions!$B$13,Assumptions!$B$30)</f>
        <v/>
      </c>
      <c r="V5054">
        <f>IF(H5054=1,P5054*Assumptions!$B$12,Assumptions!$B$29)</f>
        <v/>
      </c>
      <c r="W5054">
        <f>IF(I5054=1,P5054*Assumptions!$B$11,Assumptions!$B$28)</f>
        <v/>
      </c>
      <c r="X5054">
        <f>P5054*($O$157+$S$157)</f>
        <v/>
      </c>
      <c r="Y5054">
        <f>P5054*Assumptions!$B$9</f>
        <v/>
      </c>
      <c r="Z5054">
        <f>IF(M5054=1,(P5054-Assumptions!$B$37)*Assumptions!$B$153,0)</f>
        <v/>
      </c>
      <c r="AA5054">
        <f>Q5054+R5054+S5054+T5054+U5054+V5054+W5054+X5054+Y5054+Z5054</f>
        <v/>
      </c>
      <c r="AB5054" t="n">
        <v>54</v>
      </c>
      <c r="AC5054" t="n">
        <v>118</v>
      </c>
      <c r="AD5054" t="n">
        <v>22</v>
      </c>
      <c r="AE5054" t="n">
        <v>38</v>
      </c>
      <c r="AF5054" t="n">
        <v>62</v>
      </c>
      <c r="AG5054" t="n">
        <v>50</v>
      </c>
      <c r="AH5054" t="n">
        <v>52</v>
      </c>
      <c r="AI5054" t="n">
        <v>55</v>
      </c>
      <c r="AJ5054">
        <f>INDEX($Q$5000:$Q$5127,AC5054+1)</f>
        <v/>
      </c>
      <c r="AK5054">
        <f>INDEX($R$5000:$R$5127,AD5054+1)</f>
        <v/>
      </c>
      <c r="AL5054">
        <f>INDEX($S$5000:$S$5127,AE5054+1)</f>
        <v/>
      </c>
      <c r="AM5054">
        <f>INDEX($T$5000:$T$5127,AF5054+1)</f>
        <v/>
      </c>
      <c r="AN5054">
        <f>INDEX($U$5000:$U$5127,AG5054+1)</f>
        <v/>
      </c>
      <c r="AO5054">
        <f>INDEX($V$5000:$V$5127,AH5054+1)</f>
        <v/>
      </c>
      <c r="AP5054">
        <f>INDEX($W$5000:$W$5127,AI5054+1)</f>
        <v/>
      </c>
      <c r="AQ5054">
        <f>IF(Q5054&gt;=AJ5054-0.01,1,0)</f>
        <v/>
      </c>
      <c r="AR5054">
        <f>IF(R5054&gt;=AK5054-0.01,1,0)</f>
        <v/>
      </c>
      <c r="AS5054">
        <f>IF(S5054&gt;=AL5054-0.01,1,0)</f>
        <v/>
      </c>
      <c r="AT5054">
        <f>IF(T5054&gt;=AM5054-0.01,1,0)</f>
        <v/>
      </c>
      <c r="AU5054">
        <f>IF(U5054&gt;=AN5054-0.01,1,0)</f>
        <v/>
      </c>
      <c r="AV5054">
        <f>IF(V5054&gt;=AO5054-0.01,1,0)</f>
        <v/>
      </c>
      <c r="AW5054">
        <f>IF(W5054&gt;=AP5054-0.01,1,0)</f>
        <v/>
      </c>
      <c r="AX5054">
        <f>AQ5054*AR5054*AS5054*AT5054*AU5054*AV5054*AW5054</f>
        <v/>
      </c>
    </row>
    <row r="5055">
      <c r="A5055" t="inlineStr"/>
      <c r="B5055">
        <f>Assumptions!$B$60</f>
        <v/>
      </c>
      <c r="C5055" t="n">
        <v>0</v>
      </c>
      <c r="D5055" t="n">
        <v>1</v>
      </c>
      <c r="E5055" t="n">
        <v>1</v>
      </c>
      <c r="F5055" t="n">
        <v>0</v>
      </c>
      <c r="G5055" t="n">
        <v>1</v>
      </c>
      <c r="H5055" t="n">
        <v>1</v>
      </c>
      <c r="I5055" t="n">
        <v>1</v>
      </c>
      <c r="J5055">
        <f>(1-C5055)*Assumptions!$B$41+(1-D5055)*Assumptions!$B$33+(1-E5055)*Assumptions!$B$32+(1-F5055)*Assumptions!$B$31+(1-G5055)*Assumptions!$B$30+(1-H5055)*Assumptions!$B$29+(1-I5055)*Assumptions!$B$28</f>
        <v/>
      </c>
      <c r="K5055">
        <f>C5055*$J$157+D5055*$F$157+E5055*$G$157+F5055*Assumptions!$B$14+G5055*Assumptions!$B$13+H5055*Assumptions!$B$12+I5055*Assumptions!$B$11+$O$157+$S$157+Assumptions!$B$9</f>
        <v/>
      </c>
      <c r="L5055">
        <f>B5055-J5055</f>
        <v/>
      </c>
      <c r="M5055">
        <f>IF(K5055&gt;0,IF(L5055/K5055&gt;=Assumptions!$B$37,1,0),0)</f>
        <v/>
      </c>
      <c r="N5055">
        <f>K5055+M5055*Assumptions!$B$153</f>
        <v/>
      </c>
      <c r="O5055">
        <f>L5055+M5055*Assumptions!$B$153*Assumptions!$B$37</f>
        <v/>
      </c>
      <c r="P5055">
        <f>IF(N5055&gt;0,O5055/N5055,0)</f>
        <v/>
      </c>
      <c r="Q5055">
        <f>IF(C5055=1,P5055*$J$157,Assumptions!$B$41)</f>
        <v/>
      </c>
      <c r="R5055">
        <f>IF(D5055=1,P5055*$F$157,Assumptions!$B$33)</f>
        <v/>
      </c>
      <c r="S5055">
        <f>IF(E5055=1,P5055*$G$157,Assumptions!$B$32)</f>
        <v/>
      </c>
      <c r="T5055">
        <f>IF(F5055=1,P5055*Assumptions!$B$14,Assumptions!$B$31)</f>
        <v/>
      </c>
      <c r="U5055">
        <f>IF(G5055=1,P5055*Assumptions!$B$13,Assumptions!$B$30)</f>
        <v/>
      </c>
      <c r="V5055">
        <f>IF(H5055=1,P5055*Assumptions!$B$12,Assumptions!$B$29)</f>
        <v/>
      </c>
      <c r="W5055">
        <f>IF(I5055=1,P5055*Assumptions!$B$11,Assumptions!$B$28)</f>
        <v/>
      </c>
      <c r="X5055">
        <f>P5055*($O$157+$S$157)</f>
        <v/>
      </c>
      <c r="Y5055">
        <f>P5055*Assumptions!$B$9</f>
        <v/>
      </c>
      <c r="Z5055">
        <f>IF(M5055=1,(P5055-Assumptions!$B$37)*Assumptions!$B$153,0)</f>
        <v/>
      </c>
      <c r="AA5055">
        <f>Q5055+R5055+S5055+T5055+U5055+V5055+W5055+X5055+Y5055+Z5055</f>
        <v/>
      </c>
      <c r="AB5055" t="n">
        <v>55</v>
      </c>
      <c r="AC5055" t="n">
        <v>119</v>
      </c>
      <c r="AD5055" t="n">
        <v>23</v>
      </c>
      <c r="AE5055" t="n">
        <v>39</v>
      </c>
      <c r="AF5055" t="n">
        <v>63</v>
      </c>
      <c r="AG5055" t="n">
        <v>51</v>
      </c>
      <c r="AH5055" t="n">
        <v>53</v>
      </c>
      <c r="AI5055" t="n">
        <v>54</v>
      </c>
      <c r="AJ5055">
        <f>INDEX($Q$5000:$Q$5127,AC5055+1)</f>
        <v/>
      </c>
      <c r="AK5055">
        <f>INDEX($R$5000:$R$5127,AD5055+1)</f>
        <v/>
      </c>
      <c r="AL5055">
        <f>INDEX($S$5000:$S$5127,AE5055+1)</f>
        <v/>
      </c>
      <c r="AM5055">
        <f>INDEX($T$5000:$T$5127,AF5055+1)</f>
        <v/>
      </c>
      <c r="AN5055">
        <f>INDEX($U$5000:$U$5127,AG5055+1)</f>
        <v/>
      </c>
      <c r="AO5055">
        <f>INDEX($V$5000:$V$5127,AH5055+1)</f>
        <v/>
      </c>
      <c r="AP5055">
        <f>INDEX($W$5000:$W$5127,AI5055+1)</f>
        <v/>
      </c>
      <c r="AQ5055">
        <f>IF(Q5055&gt;=AJ5055-0.01,1,0)</f>
        <v/>
      </c>
      <c r="AR5055">
        <f>IF(R5055&gt;=AK5055-0.01,1,0)</f>
        <v/>
      </c>
      <c r="AS5055">
        <f>IF(S5055&gt;=AL5055-0.01,1,0)</f>
        <v/>
      </c>
      <c r="AT5055">
        <f>IF(T5055&gt;=AM5055-0.01,1,0)</f>
        <v/>
      </c>
      <c r="AU5055">
        <f>IF(U5055&gt;=AN5055-0.01,1,0)</f>
        <v/>
      </c>
      <c r="AV5055">
        <f>IF(V5055&gt;=AO5055-0.01,1,0)</f>
        <v/>
      </c>
      <c r="AW5055">
        <f>IF(W5055&gt;=AP5055-0.01,1,0)</f>
        <v/>
      </c>
      <c r="AX5055">
        <f>AQ5055*AR5055*AS5055*AT5055*AU5055*AV5055*AW5055</f>
        <v/>
      </c>
    </row>
    <row r="5056">
      <c r="A5056" t="inlineStr"/>
      <c r="B5056">
        <f>Assumptions!$B$60</f>
        <v/>
      </c>
      <c r="C5056" t="n">
        <v>0</v>
      </c>
      <c r="D5056" t="n">
        <v>1</v>
      </c>
      <c r="E5056" t="n">
        <v>1</v>
      </c>
      <c r="F5056" t="n">
        <v>1</v>
      </c>
      <c r="G5056" t="n">
        <v>0</v>
      </c>
      <c r="H5056" t="n">
        <v>0</v>
      </c>
      <c r="I5056" t="n">
        <v>0</v>
      </c>
      <c r="J5056">
        <f>(1-C5056)*Assumptions!$B$41+(1-D5056)*Assumptions!$B$33+(1-E5056)*Assumptions!$B$32+(1-F5056)*Assumptions!$B$31+(1-G5056)*Assumptions!$B$30+(1-H5056)*Assumptions!$B$29+(1-I5056)*Assumptions!$B$28</f>
        <v/>
      </c>
      <c r="K5056">
        <f>C5056*$J$157+D5056*$F$157+E5056*$G$157+F5056*Assumptions!$B$14+G5056*Assumptions!$B$13+H5056*Assumptions!$B$12+I5056*Assumptions!$B$11+$O$157+$S$157+Assumptions!$B$9</f>
        <v/>
      </c>
      <c r="L5056">
        <f>B5056-J5056</f>
        <v/>
      </c>
      <c r="M5056">
        <f>IF(K5056&gt;0,IF(L5056/K5056&gt;=Assumptions!$B$37,1,0),0)</f>
        <v/>
      </c>
      <c r="N5056">
        <f>K5056+M5056*Assumptions!$B$153</f>
        <v/>
      </c>
      <c r="O5056">
        <f>L5056+M5056*Assumptions!$B$153*Assumptions!$B$37</f>
        <v/>
      </c>
      <c r="P5056">
        <f>IF(N5056&gt;0,O5056/N5056,0)</f>
        <v/>
      </c>
      <c r="Q5056">
        <f>IF(C5056=1,P5056*$J$157,Assumptions!$B$41)</f>
        <v/>
      </c>
      <c r="R5056">
        <f>IF(D5056=1,P5056*$F$157,Assumptions!$B$33)</f>
        <v/>
      </c>
      <c r="S5056">
        <f>IF(E5056=1,P5056*$G$157,Assumptions!$B$32)</f>
        <v/>
      </c>
      <c r="T5056">
        <f>IF(F5056=1,P5056*Assumptions!$B$14,Assumptions!$B$31)</f>
        <v/>
      </c>
      <c r="U5056">
        <f>IF(G5056=1,P5056*Assumptions!$B$13,Assumptions!$B$30)</f>
        <v/>
      </c>
      <c r="V5056">
        <f>IF(H5056=1,P5056*Assumptions!$B$12,Assumptions!$B$29)</f>
        <v/>
      </c>
      <c r="W5056">
        <f>IF(I5056=1,P5056*Assumptions!$B$11,Assumptions!$B$28)</f>
        <v/>
      </c>
      <c r="X5056">
        <f>P5056*($O$157+$S$157)</f>
        <v/>
      </c>
      <c r="Y5056">
        <f>P5056*Assumptions!$B$9</f>
        <v/>
      </c>
      <c r="Z5056">
        <f>IF(M5056=1,(P5056-Assumptions!$B$37)*Assumptions!$B$153,0)</f>
        <v/>
      </c>
      <c r="AA5056">
        <f>Q5056+R5056+S5056+T5056+U5056+V5056+W5056+X5056+Y5056+Z5056</f>
        <v/>
      </c>
      <c r="AB5056" t="n">
        <v>56</v>
      </c>
      <c r="AC5056" t="n">
        <v>120</v>
      </c>
      <c r="AD5056" t="n">
        <v>24</v>
      </c>
      <c r="AE5056" t="n">
        <v>40</v>
      </c>
      <c r="AF5056" t="n">
        <v>48</v>
      </c>
      <c r="AG5056" t="n">
        <v>60</v>
      </c>
      <c r="AH5056" t="n">
        <v>58</v>
      </c>
      <c r="AI5056" t="n">
        <v>57</v>
      </c>
      <c r="AJ5056">
        <f>INDEX($Q$5000:$Q$5127,AC5056+1)</f>
        <v/>
      </c>
      <c r="AK5056">
        <f>INDEX($R$5000:$R$5127,AD5056+1)</f>
        <v/>
      </c>
      <c r="AL5056">
        <f>INDEX($S$5000:$S$5127,AE5056+1)</f>
        <v/>
      </c>
      <c r="AM5056">
        <f>INDEX($T$5000:$T$5127,AF5056+1)</f>
        <v/>
      </c>
      <c r="AN5056">
        <f>INDEX($U$5000:$U$5127,AG5056+1)</f>
        <v/>
      </c>
      <c r="AO5056">
        <f>INDEX($V$5000:$V$5127,AH5056+1)</f>
        <v/>
      </c>
      <c r="AP5056">
        <f>INDEX($W$5000:$W$5127,AI5056+1)</f>
        <v/>
      </c>
      <c r="AQ5056">
        <f>IF(Q5056&gt;=AJ5056-0.01,1,0)</f>
        <v/>
      </c>
      <c r="AR5056">
        <f>IF(R5056&gt;=AK5056-0.01,1,0)</f>
        <v/>
      </c>
      <c r="AS5056">
        <f>IF(S5056&gt;=AL5056-0.01,1,0)</f>
        <v/>
      </c>
      <c r="AT5056">
        <f>IF(T5056&gt;=AM5056-0.01,1,0)</f>
        <v/>
      </c>
      <c r="AU5056">
        <f>IF(U5056&gt;=AN5056-0.01,1,0)</f>
        <v/>
      </c>
      <c r="AV5056">
        <f>IF(V5056&gt;=AO5056-0.01,1,0)</f>
        <v/>
      </c>
      <c r="AW5056">
        <f>IF(W5056&gt;=AP5056-0.01,1,0)</f>
        <v/>
      </c>
      <c r="AX5056">
        <f>AQ5056*AR5056*AS5056*AT5056*AU5056*AV5056*AW5056</f>
        <v/>
      </c>
    </row>
    <row r="5057">
      <c r="A5057" t="inlineStr"/>
      <c r="B5057">
        <f>Assumptions!$B$60</f>
        <v/>
      </c>
      <c r="C5057" t="n">
        <v>0</v>
      </c>
      <c r="D5057" t="n">
        <v>1</v>
      </c>
      <c r="E5057" t="n">
        <v>1</v>
      </c>
      <c r="F5057" t="n">
        <v>1</v>
      </c>
      <c r="G5057" t="n">
        <v>0</v>
      </c>
      <c r="H5057" t="n">
        <v>0</v>
      </c>
      <c r="I5057" t="n">
        <v>1</v>
      </c>
      <c r="J5057">
        <f>(1-C5057)*Assumptions!$B$41+(1-D5057)*Assumptions!$B$33+(1-E5057)*Assumptions!$B$32+(1-F5057)*Assumptions!$B$31+(1-G5057)*Assumptions!$B$30+(1-H5057)*Assumptions!$B$29+(1-I5057)*Assumptions!$B$28</f>
        <v/>
      </c>
      <c r="K5057">
        <f>C5057*$J$157+D5057*$F$157+E5057*$G$157+F5057*Assumptions!$B$14+G5057*Assumptions!$B$13+H5057*Assumptions!$B$12+I5057*Assumptions!$B$11+$O$157+$S$157+Assumptions!$B$9</f>
        <v/>
      </c>
      <c r="L5057">
        <f>B5057-J5057</f>
        <v/>
      </c>
      <c r="M5057">
        <f>IF(K5057&gt;0,IF(L5057/K5057&gt;=Assumptions!$B$37,1,0),0)</f>
        <v/>
      </c>
      <c r="N5057">
        <f>K5057+M5057*Assumptions!$B$153</f>
        <v/>
      </c>
      <c r="O5057">
        <f>L5057+M5057*Assumptions!$B$153*Assumptions!$B$37</f>
        <v/>
      </c>
      <c r="P5057">
        <f>IF(N5057&gt;0,O5057/N5057,0)</f>
        <v/>
      </c>
      <c r="Q5057">
        <f>IF(C5057=1,P5057*$J$157,Assumptions!$B$41)</f>
        <v/>
      </c>
      <c r="R5057">
        <f>IF(D5057=1,P5057*$F$157,Assumptions!$B$33)</f>
        <v/>
      </c>
      <c r="S5057">
        <f>IF(E5057=1,P5057*$G$157,Assumptions!$B$32)</f>
        <v/>
      </c>
      <c r="T5057">
        <f>IF(F5057=1,P5057*Assumptions!$B$14,Assumptions!$B$31)</f>
        <v/>
      </c>
      <c r="U5057">
        <f>IF(G5057=1,P5057*Assumptions!$B$13,Assumptions!$B$30)</f>
        <v/>
      </c>
      <c r="V5057">
        <f>IF(H5057=1,P5057*Assumptions!$B$12,Assumptions!$B$29)</f>
        <v/>
      </c>
      <c r="W5057">
        <f>IF(I5057=1,P5057*Assumptions!$B$11,Assumptions!$B$28)</f>
        <v/>
      </c>
      <c r="X5057">
        <f>P5057*($O$157+$S$157)</f>
        <v/>
      </c>
      <c r="Y5057">
        <f>P5057*Assumptions!$B$9</f>
        <v/>
      </c>
      <c r="Z5057">
        <f>IF(M5057=1,(P5057-Assumptions!$B$37)*Assumptions!$B$153,0)</f>
        <v/>
      </c>
      <c r="AA5057">
        <f>Q5057+R5057+S5057+T5057+U5057+V5057+W5057+X5057+Y5057+Z5057</f>
        <v/>
      </c>
      <c r="AB5057" t="n">
        <v>57</v>
      </c>
      <c r="AC5057" t="n">
        <v>121</v>
      </c>
      <c r="AD5057" t="n">
        <v>25</v>
      </c>
      <c r="AE5057" t="n">
        <v>41</v>
      </c>
      <c r="AF5057" t="n">
        <v>49</v>
      </c>
      <c r="AG5057" t="n">
        <v>61</v>
      </c>
      <c r="AH5057" t="n">
        <v>59</v>
      </c>
      <c r="AI5057" t="n">
        <v>56</v>
      </c>
      <c r="AJ5057">
        <f>INDEX($Q$5000:$Q$5127,AC5057+1)</f>
        <v/>
      </c>
      <c r="AK5057">
        <f>INDEX($R$5000:$R$5127,AD5057+1)</f>
        <v/>
      </c>
      <c r="AL5057">
        <f>INDEX($S$5000:$S$5127,AE5057+1)</f>
        <v/>
      </c>
      <c r="AM5057">
        <f>INDEX($T$5000:$T$5127,AF5057+1)</f>
        <v/>
      </c>
      <c r="AN5057">
        <f>INDEX($U$5000:$U$5127,AG5057+1)</f>
        <v/>
      </c>
      <c r="AO5057">
        <f>INDEX($V$5000:$V$5127,AH5057+1)</f>
        <v/>
      </c>
      <c r="AP5057">
        <f>INDEX($W$5000:$W$5127,AI5057+1)</f>
        <v/>
      </c>
      <c r="AQ5057">
        <f>IF(Q5057&gt;=AJ5057-0.01,1,0)</f>
        <v/>
      </c>
      <c r="AR5057">
        <f>IF(R5057&gt;=AK5057-0.01,1,0)</f>
        <v/>
      </c>
      <c r="AS5057">
        <f>IF(S5057&gt;=AL5057-0.01,1,0)</f>
        <v/>
      </c>
      <c r="AT5057">
        <f>IF(T5057&gt;=AM5057-0.01,1,0)</f>
        <v/>
      </c>
      <c r="AU5057">
        <f>IF(U5057&gt;=AN5057-0.01,1,0)</f>
        <v/>
      </c>
      <c r="AV5057">
        <f>IF(V5057&gt;=AO5057-0.01,1,0)</f>
        <v/>
      </c>
      <c r="AW5057">
        <f>IF(W5057&gt;=AP5057-0.01,1,0)</f>
        <v/>
      </c>
      <c r="AX5057">
        <f>AQ5057*AR5057*AS5057*AT5057*AU5057*AV5057*AW5057</f>
        <v/>
      </c>
    </row>
    <row r="5058">
      <c r="A5058" t="inlineStr"/>
      <c r="B5058">
        <f>Assumptions!$B$60</f>
        <v/>
      </c>
      <c r="C5058" t="n">
        <v>0</v>
      </c>
      <c r="D5058" t="n">
        <v>1</v>
      </c>
      <c r="E5058" t="n">
        <v>1</v>
      </c>
      <c r="F5058" t="n">
        <v>1</v>
      </c>
      <c r="G5058" t="n">
        <v>0</v>
      </c>
      <c r="H5058" t="n">
        <v>1</v>
      </c>
      <c r="I5058" t="n">
        <v>0</v>
      </c>
      <c r="J5058">
        <f>(1-C5058)*Assumptions!$B$41+(1-D5058)*Assumptions!$B$33+(1-E5058)*Assumptions!$B$32+(1-F5058)*Assumptions!$B$31+(1-G5058)*Assumptions!$B$30+(1-H5058)*Assumptions!$B$29+(1-I5058)*Assumptions!$B$28</f>
        <v/>
      </c>
      <c r="K5058">
        <f>C5058*$J$157+D5058*$F$157+E5058*$G$157+F5058*Assumptions!$B$14+G5058*Assumptions!$B$13+H5058*Assumptions!$B$12+I5058*Assumptions!$B$11+$O$157+$S$157+Assumptions!$B$9</f>
        <v/>
      </c>
      <c r="L5058">
        <f>B5058-J5058</f>
        <v/>
      </c>
      <c r="M5058">
        <f>IF(K5058&gt;0,IF(L5058/K5058&gt;=Assumptions!$B$37,1,0),0)</f>
        <v/>
      </c>
      <c r="N5058">
        <f>K5058+M5058*Assumptions!$B$153</f>
        <v/>
      </c>
      <c r="O5058">
        <f>L5058+M5058*Assumptions!$B$153*Assumptions!$B$37</f>
        <v/>
      </c>
      <c r="P5058">
        <f>IF(N5058&gt;0,O5058/N5058,0)</f>
        <v/>
      </c>
      <c r="Q5058">
        <f>IF(C5058=1,P5058*$J$157,Assumptions!$B$41)</f>
        <v/>
      </c>
      <c r="R5058">
        <f>IF(D5058=1,P5058*$F$157,Assumptions!$B$33)</f>
        <v/>
      </c>
      <c r="S5058">
        <f>IF(E5058=1,P5058*$G$157,Assumptions!$B$32)</f>
        <v/>
      </c>
      <c r="T5058">
        <f>IF(F5058=1,P5058*Assumptions!$B$14,Assumptions!$B$31)</f>
        <v/>
      </c>
      <c r="U5058">
        <f>IF(G5058=1,P5058*Assumptions!$B$13,Assumptions!$B$30)</f>
        <v/>
      </c>
      <c r="V5058">
        <f>IF(H5058=1,P5058*Assumptions!$B$12,Assumptions!$B$29)</f>
        <v/>
      </c>
      <c r="W5058">
        <f>IF(I5058=1,P5058*Assumptions!$B$11,Assumptions!$B$28)</f>
        <v/>
      </c>
      <c r="X5058">
        <f>P5058*($O$157+$S$157)</f>
        <v/>
      </c>
      <c r="Y5058">
        <f>P5058*Assumptions!$B$9</f>
        <v/>
      </c>
      <c r="Z5058">
        <f>IF(M5058=1,(P5058-Assumptions!$B$37)*Assumptions!$B$153,0)</f>
        <v/>
      </c>
      <c r="AA5058">
        <f>Q5058+R5058+S5058+T5058+U5058+V5058+W5058+X5058+Y5058+Z5058</f>
        <v/>
      </c>
      <c r="AB5058" t="n">
        <v>58</v>
      </c>
      <c r="AC5058" t="n">
        <v>122</v>
      </c>
      <c r="AD5058" t="n">
        <v>26</v>
      </c>
      <c r="AE5058" t="n">
        <v>42</v>
      </c>
      <c r="AF5058" t="n">
        <v>50</v>
      </c>
      <c r="AG5058" t="n">
        <v>62</v>
      </c>
      <c r="AH5058" t="n">
        <v>56</v>
      </c>
      <c r="AI5058" t="n">
        <v>59</v>
      </c>
      <c r="AJ5058">
        <f>INDEX($Q$5000:$Q$5127,AC5058+1)</f>
        <v/>
      </c>
      <c r="AK5058">
        <f>INDEX($R$5000:$R$5127,AD5058+1)</f>
        <v/>
      </c>
      <c r="AL5058">
        <f>INDEX($S$5000:$S$5127,AE5058+1)</f>
        <v/>
      </c>
      <c r="AM5058">
        <f>INDEX($T$5000:$T$5127,AF5058+1)</f>
        <v/>
      </c>
      <c r="AN5058">
        <f>INDEX($U$5000:$U$5127,AG5058+1)</f>
        <v/>
      </c>
      <c r="AO5058">
        <f>INDEX($V$5000:$V$5127,AH5058+1)</f>
        <v/>
      </c>
      <c r="AP5058">
        <f>INDEX($W$5000:$W$5127,AI5058+1)</f>
        <v/>
      </c>
      <c r="AQ5058">
        <f>IF(Q5058&gt;=AJ5058-0.01,1,0)</f>
        <v/>
      </c>
      <c r="AR5058">
        <f>IF(R5058&gt;=AK5058-0.01,1,0)</f>
        <v/>
      </c>
      <c r="AS5058">
        <f>IF(S5058&gt;=AL5058-0.01,1,0)</f>
        <v/>
      </c>
      <c r="AT5058">
        <f>IF(T5058&gt;=AM5058-0.01,1,0)</f>
        <v/>
      </c>
      <c r="AU5058">
        <f>IF(U5058&gt;=AN5058-0.01,1,0)</f>
        <v/>
      </c>
      <c r="AV5058">
        <f>IF(V5058&gt;=AO5058-0.01,1,0)</f>
        <v/>
      </c>
      <c r="AW5058">
        <f>IF(W5058&gt;=AP5058-0.01,1,0)</f>
        <v/>
      </c>
      <c r="AX5058">
        <f>AQ5058*AR5058*AS5058*AT5058*AU5058*AV5058*AW5058</f>
        <v/>
      </c>
    </row>
    <row r="5059">
      <c r="A5059" t="inlineStr"/>
      <c r="B5059">
        <f>Assumptions!$B$60</f>
        <v/>
      </c>
      <c r="C5059" t="n">
        <v>0</v>
      </c>
      <c r="D5059" t="n">
        <v>1</v>
      </c>
      <c r="E5059" t="n">
        <v>1</v>
      </c>
      <c r="F5059" t="n">
        <v>1</v>
      </c>
      <c r="G5059" t="n">
        <v>0</v>
      </c>
      <c r="H5059" t="n">
        <v>1</v>
      </c>
      <c r="I5059" t="n">
        <v>1</v>
      </c>
      <c r="J5059">
        <f>(1-C5059)*Assumptions!$B$41+(1-D5059)*Assumptions!$B$33+(1-E5059)*Assumptions!$B$32+(1-F5059)*Assumptions!$B$31+(1-G5059)*Assumptions!$B$30+(1-H5059)*Assumptions!$B$29+(1-I5059)*Assumptions!$B$28</f>
        <v/>
      </c>
      <c r="K5059">
        <f>C5059*$J$157+D5059*$F$157+E5059*$G$157+F5059*Assumptions!$B$14+G5059*Assumptions!$B$13+H5059*Assumptions!$B$12+I5059*Assumptions!$B$11+$O$157+$S$157+Assumptions!$B$9</f>
        <v/>
      </c>
      <c r="L5059">
        <f>B5059-J5059</f>
        <v/>
      </c>
      <c r="M5059">
        <f>IF(K5059&gt;0,IF(L5059/K5059&gt;=Assumptions!$B$37,1,0),0)</f>
        <v/>
      </c>
      <c r="N5059">
        <f>K5059+M5059*Assumptions!$B$153</f>
        <v/>
      </c>
      <c r="O5059">
        <f>L5059+M5059*Assumptions!$B$153*Assumptions!$B$37</f>
        <v/>
      </c>
      <c r="P5059">
        <f>IF(N5059&gt;0,O5059/N5059,0)</f>
        <v/>
      </c>
      <c r="Q5059">
        <f>IF(C5059=1,P5059*$J$157,Assumptions!$B$41)</f>
        <v/>
      </c>
      <c r="R5059">
        <f>IF(D5059=1,P5059*$F$157,Assumptions!$B$33)</f>
        <v/>
      </c>
      <c r="S5059">
        <f>IF(E5059=1,P5059*$G$157,Assumptions!$B$32)</f>
        <v/>
      </c>
      <c r="T5059">
        <f>IF(F5059=1,P5059*Assumptions!$B$14,Assumptions!$B$31)</f>
        <v/>
      </c>
      <c r="U5059">
        <f>IF(G5059=1,P5059*Assumptions!$B$13,Assumptions!$B$30)</f>
        <v/>
      </c>
      <c r="V5059">
        <f>IF(H5059=1,P5059*Assumptions!$B$12,Assumptions!$B$29)</f>
        <v/>
      </c>
      <c r="W5059">
        <f>IF(I5059=1,P5059*Assumptions!$B$11,Assumptions!$B$28)</f>
        <v/>
      </c>
      <c r="X5059">
        <f>P5059*($O$157+$S$157)</f>
        <v/>
      </c>
      <c r="Y5059">
        <f>P5059*Assumptions!$B$9</f>
        <v/>
      </c>
      <c r="Z5059">
        <f>IF(M5059=1,(P5059-Assumptions!$B$37)*Assumptions!$B$153,0)</f>
        <v/>
      </c>
      <c r="AA5059">
        <f>Q5059+R5059+S5059+T5059+U5059+V5059+W5059+X5059+Y5059+Z5059</f>
        <v/>
      </c>
      <c r="AB5059" t="n">
        <v>59</v>
      </c>
      <c r="AC5059" t="n">
        <v>123</v>
      </c>
      <c r="AD5059" t="n">
        <v>27</v>
      </c>
      <c r="AE5059" t="n">
        <v>43</v>
      </c>
      <c r="AF5059" t="n">
        <v>51</v>
      </c>
      <c r="AG5059" t="n">
        <v>63</v>
      </c>
      <c r="AH5059" t="n">
        <v>57</v>
      </c>
      <c r="AI5059" t="n">
        <v>58</v>
      </c>
      <c r="AJ5059">
        <f>INDEX($Q$5000:$Q$5127,AC5059+1)</f>
        <v/>
      </c>
      <c r="AK5059">
        <f>INDEX($R$5000:$R$5127,AD5059+1)</f>
        <v/>
      </c>
      <c r="AL5059">
        <f>INDEX($S$5000:$S$5127,AE5059+1)</f>
        <v/>
      </c>
      <c r="AM5059">
        <f>INDEX($T$5000:$T$5127,AF5059+1)</f>
        <v/>
      </c>
      <c r="AN5059">
        <f>INDEX($U$5000:$U$5127,AG5059+1)</f>
        <v/>
      </c>
      <c r="AO5059">
        <f>INDEX($V$5000:$V$5127,AH5059+1)</f>
        <v/>
      </c>
      <c r="AP5059">
        <f>INDEX($W$5000:$W$5127,AI5059+1)</f>
        <v/>
      </c>
      <c r="AQ5059">
        <f>IF(Q5059&gt;=AJ5059-0.01,1,0)</f>
        <v/>
      </c>
      <c r="AR5059">
        <f>IF(R5059&gt;=AK5059-0.01,1,0)</f>
        <v/>
      </c>
      <c r="AS5059">
        <f>IF(S5059&gt;=AL5059-0.01,1,0)</f>
        <v/>
      </c>
      <c r="AT5059">
        <f>IF(T5059&gt;=AM5059-0.01,1,0)</f>
        <v/>
      </c>
      <c r="AU5059">
        <f>IF(U5059&gt;=AN5059-0.01,1,0)</f>
        <v/>
      </c>
      <c r="AV5059">
        <f>IF(V5059&gt;=AO5059-0.01,1,0)</f>
        <v/>
      </c>
      <c r="AW5059">
        <f>IF(W5059&gt;=AP5059-0.01,1,0)</f>
        <v/>
      </c>
      <c r="AX5059">
        <f>AQ5059*AR5059*AS5059*AT5059*AU5059*AV5059*AW5059</f>
        <v/>
      </c>
    </row>
    <row r="5060">
      <c r="A5060" t="inlineStr"/>
      <c r="B5060">
        <f>Assumptions!$B$60</f>
        <v/>
      </c>
      <c r="C5060" t="n">
        <v>0</v>
      </c>
      <c r="D5060" t="n">
        <v>1</v>
      </c>
      <c r="E5060" t="n">
        <v>1</v>
      </c>
      <c r="F5060" t="n">
        <v>1</v>
      </c>
      <c r="G5060" t="n">
        <v>1</v>
      </c>
      <c r="H5060" t="n">
        <v>0</v>
      </c>
      <c r="I5060" t="n">
        <v>0</v>
      </c>
      <c r="J5060">
        <f>(1-C5060)*Assumptions!$B$41+(1-D5060)*Assumptions!$B$33+(1-E5060)*Assumptions!$B$32+(1-F5060)*Assumptions!$B$31+(1-G5060)*Assumptions!$B$30+(1-H5060)*Assumptions!$B$29+(1-I5060)*Assumptions!$B$28</f>
        <v/>
      </c>
      <c r="K5060">
        <f>C5060*$J$157+D5060*$F$157+E5060*$G$157+F5060*Assumptions!$B$14+G5060*Assumptions!$B$13+H5060*Assumptions!$B$12+I5060*Assumptions!$B$11+$O$157+$S$157+Assumptions!$B$9</f>
        <v/>
      </c>
      <c r="L5060">
        <f>B5060-J5060</f>
        <v/>
      </c>
      <c r="M5060">
        <f>IF(K5060&gt;0,IF(L5060/K5060&gt;=Assumptions!$B$37,1,0),0)</f>
        <v/>
      </c>
      <c r="N5060">
        <f>K5060+M5060*Assumptions!$B$153</f>
        <v/>
      </c>
      <c r="O5060">
        <f>L5060+M5060*Assumptions!$B$153*Assumptions!$B$37</f>
        <v/>
      </c>
      <c r="P5060">
        <f>IF(N5060&gt;0,O5060/N5060,0)</f>
        <v/>
      </c>
      <c r="Q5060">
        <f>IF(C5060=1,P5060*$J$157,Assumptions!$B$41)</f>
        <v/>
      </c>
      <c r="R5060">
        <f>IF(D5060=1,P5060*$F$157,Assumptions!$B$33)</f>
        <v/>
      </c>
      <c r="S5060">
        <f>IF(E5060=1,P5060*$G$157,Assumptions!$B$32)</f>
        <v/>
      </c>
      <c r="T5060">
        <f>IF(F5060=1,P5060*Assumptions!$B$14,Assumptions!$B$31)</f>
        <v/>
      </c>
      <c r="U5060">
        <f>IF(G5060=1,P5060*Assumptions!$B$13,Assumptions!$B$30)</f>
        <v/>
      </c>
      <c r="V5060">
        <f>IF(H5060=1,P5060*Assumptions!$B$12,Assumptions!$B$29)</f>
        <v/>
      </c>
      <c r="W5060">
        <f>IF(I5060=1,P5060*Assumptions!$B$11,Assumptions!$B$28)</f>
        <v/>
      </c>
      <c r="X5060">
        <f>P5060*($O$157+$S$157)</f>
        <v/>
      </c>
      <c r="Y5060">
        <f>P5060*Assumptions!$B$9</f>
        <v/>
      </c>
      <c r="Z5060">
        <f>IF(M5060=1,(P5060-Assumptions!$B$37)*Assumptions!$B$153,0)</f>
        <v/>
      </c>
      <c r="AA5060">
        <f>Q5060+R5060+S5060+T5060+U5060+V5060+W5060+X5060+Y5060+Z5060</f>
        <v/>
      </c>
      <c r="AB5060" t="n">
        <v>60</v>
      </c>
      <c r="AC5060" t="n">
        <v>124</v>
      </c>
      <c r="AD5060" t="n">
        <v>28</v>
      </c>
      <c r="AE5060" t="n">
        <v>44</v>
      </c>
      <c r="AF5060" t="n">
        <v>52</v>
      </c>
      <c r="AG5060" t="n">
        <v>56</v>
      </c>
      <c r="AH5060" t="n">
        <v>62</v>
      </c>
      <c r="AI5060" t="n">
        <v>61</v>
      </c>
      <c r="AJ5060">
        <f>INDEX($Q$5000:$Q$5127,AC5060+1)</f>
        <v/>
      </c>
      <c r="AK5060">
        <f>INDEX($R$5000:$R$5127,AD5060+1)</f>
        <v/>
      </c>
      <c r="AL5060">
        <f>INDEX($S$5000:$S$5127,AE5060+1)</f>
        <v/>
      </c>
      <c r="AM5060">
        <f>INDEX($T$5000:$T$5127,AF5060+1)</f>
        <v/>
      </c>
      <c r="AN5060">
        <f>INDEX($U$5000:$U$5127,AG5060+1)</f>
        <v/>
      </c>
      <c r="AO5060">
        <f>INDEX($V$5000:$V$5127,AH5060+1)</f>
        <v/>
      </c>
      <c r="AP5060">
        <f>INDEX($W$5000:$W$5127,AI5060+1)</f>
        <v/>
      </c>
      <c r="AQ5060">
        <f>IF(Q5060&gt;=AJ5060-0.01,1,0)</f>
        <v/>
      </c>
      <c r="AR5060">
        <f>IF(R5060&gt;=AK5060-0.01,1,0)</f>
        <v/>
      </c>
      <c r="AS5060">
        <f>IF(S5060&gt;=AL5060-0.01,1,0)</f>
        <v/>
      </c>
      <c r="AT5060">
        <f>IF(T5060&gt;=AM5060-0.01,1,0)</f>
        <v/>
      </c>
      <c r="AU5060">
        <f>IF(U5060&gt;=AN5060-0.01,1,0)</f>
        <v/>
      </c>
      <c r="AV5060">
        <f>IF(V5060&gt;=AO5060-0.01,1,0)</f>
        <v/>
      </c>
      <c r="AW5060">
        <f>IF(W5060&gt;=AP5060-0.01,1,0)</f>
        <v/>
      </c>
      <c r="AX5060">
        <f>AQ5060*AR5060*AS5060*AT5060*AU5060*AV5060*AW5060</f>
        <v/>
      </c>
    </row>
    <row r="5061">
      <c r="A5061" t="inlineStr"/>
      <c r="B5061">
        <f>Assumptions!$B$60</f>
        <v/>
      </c>
      <c r="C5061" t="n">
        <v>0</v>
      </c>
      <c r="D5061" t="n">
        <v>1</v>
      </c>
      <c r="E5061" t="n">
        <v>1</v>
      </c>
      <c r="F5061" t="n">
        <v>1</v>
      </c>
      <c r="G5061" t="n">
        <v>1</v>
      </c>
      <c r="H5061" t="n">
        <v>0</v>
      </c>
      <c r="I5061" t="n">
        <v>1</v>
      </c>
      <c r="J5061">
        <f>(1-C5061)*Assumptions!$B$41+(1-D5061)*Assumptions!$B$33+(1-E5061)*Assumptions!$B$32+(1-F5061)*Assumptions!$B$31+(1-G5061)*Assumptions!$B$30+(1-H5061)*Assumptions!$B$29+(1-I5061)*Assumptions!$B$28</f>
        <v/>
      </c>
      <c r="K5061">
        <f>C5061*$J$157+D5061*$F$157+E5061*$G$157+F5061*Assumptions!$B$14+G5061*Assumptions!$B$13+H5061*Assumptions!$B$12+I5061*Assumptions!$B$11+$O$157+$S$157+Assumptions!$B$9</f>
        <v/>
      </c>
      <c r="L5061">
        <f>B5061-J5061</f>
        <v/>
      </c>
      <c r="M5061">
        <f>IF(K5061&gt;0,IF(L5061/K5061&gt;=Assumptions!$B$37,1,0),0)</f>
        <v/>
      </c>
      <c r="N5061">
        <f>K5061+M5061*Assumptions!$B$153</f>
        <v/>
      </c>
      <c r="O5061">
        <f>L5061+M5061*Assumptions!$B$153*Assumptions!$B$37</f>
        <v/>
      </c>
      <c r="P5061">
        <f>IF(N5061&gt;0,O5061/N5061,0)</f>
        <v/>
      </c>
      <c r="Q5061">
        <f>IF(C5061=1,P5061*$J$157,Assumptions!$B$41)</f>
        <v/>
      </c>
      <c r="R5061">
        <f>IF(D5061=1,P5061*$F$157,Assumptions!$B$33)</f>
        <v/>
      </c>
      <c r="S5061">
        <f>IF(E5061=1,P5061*$G$157,Assumptions!$B$32)</f>
        <v/>
      </c>
      <c r="T5061">
        <f>IF(F5061=1,P5061*Assumptions!$B$14,Assumptions!$B$31)</f>
        <v/>
      </c>
      <c r="U5061">
        <f>IF(G5061=1,P5061*Assumptions!$B$13,Assumptions!$B$30)</f>
        <v/>
      </c>
      <c r="V5061">
        <f>IF(H5061=1,P5061*Assumptions!$B$12,Assumptions!$B$29)</f>
        <v/>
      </c>
      <c r="W5061">
        <f>IF(I5061=1,P5061*Assumptions!$B$11,Assumptions!$B$28)</f>
        <v/>
      </c>
      <c r="X5061">
        <f>P5061*($O$157+$S$157)</f>
        <v/>
      </c>
      <c r="Y5061">
        <f>P5061*Assumptions!$B$9</f>
        <v/>
      </c>
      <c r="Z5061">
        <f>IF(M5061=1,(P5061-Assumptions!$B$37)*Assumptions!$B$153,0)</f>
        <v/>
      </c>
      <c r="AA5061">
        <f>Q5061+R5061+S5061+T5061+U5061+V5061+W5061+X5061+Y5061+Z5061</f>
        <v/>
      </c>
      <c r="AB5061" t="n">
        <v>61</v>
      </c>
      <c r="AC5061" t="n">
        <v>125</v>
      </c>
      <c r="AD5061" t="n">
        <v>29</v>
      </c>
      <c r="AE5061" t="n">
        <v>45</v>
      </c>
      <c r="AF5061" t="n">
        <v>53</v>
      </c>
      <c r="AG5061" t="n">
        <v>57</v>
      </c>
      <c r="AH5061" t="n">
        <v>63</v>
      </c>
      <c r="AI5061" t="n">
        <v>60</v>
      </c>
      <c r="AJ5061">
        <f>INDEX($Q$5000:$Q$5127,AC5061+1)</f>
        <v/>
      </c>
      <c r="AK5061">
        <f>INDEX($R$5000:$R$5127,AD5061+1)</f>
        <v/>
      </c>
      <c r="AL5061">
        <f>INDEX($S$5000:$S$5127,AE5061+1)</f>
        <v/>
      </c>
      <c r="AM5061">
        <f>INDEX($T$5000:$T$5127,AF5061+1)</f>
        <v/>
      </c>
      <c r="AN5061">
        <f>INDEX($U$5000:$U$5127,AG5061+1)</f>
        <v/>
      </c>
      <c r="AO5061">
        <f>INDEX($V$5000:$V$5127,AH5061+1)</f>
        <v/>
      </c>
      <c r="AP5061">
        <f>INDEX($W$5000:$W$5127,AI5061+1)</f>
        <v/>
      </c>
      <c r="AQ5061">
        <f>IF(Q5061&gt;=AJ5061-0.01,1,0)</f>
        <v/>
      </c>
      <c r="AR5061">
        <f>IF(R5061&gt;=AK5061-0.01,1,0)</f>
        <v/>
      </c>
      <c r="AS5061">
        <f>IF(S5061&gt;=AL5061-0.01,1,0)</f>
        <v/>
      </c>
      <c r="AT5061">
        <f>IF(T5061&gt;=AM5061-0.01,1,0)</f>
        <v/>
      </c>
      <c r="AU5061">
        <f>IF(U5061&gt;=AN5061-0.01,1,0)</f>
        <v/>
      </c>
      <c r="AV5061">
        <f>IF(V5061&gt;=AO5061-0.01,1,0)</f>
        <v/>
      </c>
      <c r="AW5061">
        <f>IF(W5061&gt;=AP5061-0.01,1,0)</f>
        <v/>
      </c>
      <c r="AX5061">
        <f>AQ5061*AR5061*AS5061*AT5061*AU5061*AV5061*AW5061</f>
        <v/>
      </c>
    </row>
    <row r="5062">
      <c r="A5062" t="inlineStr"/>
      <c r="B5062">
        <f>Assumptions!$B$60</f>
        <v/>
      </c>
      <c r="C5062" t="n">
        <v>0</v>
      </c>
      <c r="D5062" t="n">
        <v>1</v>
      </c>
      <c r="E5062" t="n">
        <v>1</v>
      </c>
      <c r="F5062" t="n">
        <v>1</v>
      </c>
      <c r="G5062" t="n">
        <v>1</v>
      </c>
      <c r="H5062" t="n">
        <v>1</v>
      </c>
      <c r="I5062" t="n">
        <v>0</v>
      </c>
      <c r="J5062">
        <f>(1-C5062)*Assumptions!$B$41+(1-D5062)*Assumptions!$B$33+(1-E5062)*Assumptions!$B$32+(1-F5062)*Assumptions!$B$31+(1-G5062)*Assumptions!$B$30+(1-H5062)*Assumptions!$B$29+(1-I5062)*Assumptions!$B$28</f>
        <v/>
      </c>
      <c r="K5062">
        <f>C5062*$J$157+D5062*$F$157+E5062*$G$157+F5062*Assumptions!$B$14+G5062*Assumptions!$B$13+H5062*Assumptions!$B$12+I5062*Assumptions!$B$11+$O$157+$S$157+Assumptions!$B$9</f>
        <v/>
      </c>
      <c r="L5062">
        <f>B5062-J5062</f>
        <v/>
      </c>
      <c r="M5062">
        <f>IF(K5062&gt;0,IF(L5062/K5062&gt;=Assumptions!$B$37,1,0),0)</f>
        <v/>
      </c>
      <c r="N5062">
        <f>K5062+M5062*Assumptions!$B$153</f>
        <v/>
      </c>
      <c r="O5062">
        <f>L5062+M5062*Assumptions!$B$153*Assumptions!$B$37</f>
        <v/>
      </c>
      <c r="P5062">
        <f>IF(N5062&gt;0,O5062/N5062,0)</f>
        <v/>
      </c>
      <c r="Q5062">
        <f>IF(C5062=1,P5062*$J$157,Assumptions!$B$41)</f>
        <v/>
      </c>
      <c r="R5062">
        <f>IF(D5062=1,P5062*$F$157,Assumptions!$B$33)</f>
        <v/>
      </c>
      <c r="S5062">
        <f>IF(E5062=1,P5062*$G$157,Assumptions!$B$32)</f>
        <v/>
      </c>
      <c r="T5062">
        <f>IF(F5062=1,P5062*Assumptions!$B$14,Assumptions!$B$31)</f>
        <v/>
      </c>
      <c r="U5062">
        <f>IF(G5062=1,P5062*Assumptions!$B$13,Assumptions!$B$30)</f>
        <v/>
      </c>
      <c r="V5062">
        <f>IF(H5062=1,P5062*Assumptions!$B$12,Assumptions!$B$29)</f>
        <v/>
      </c>
      <c r="W5062">
        <f>IF(I5062=1,P5062*Assumptions!$B$11,Assumptions!$B$28)</f>
        <v/>
      </c>
      <c r="X5062">
        <f>P5062*($O$157+$S$157)</f>
        <v/>
      </c>
      <c r="Y5062">
        <f>P5062*Assumptions!$B$9</f>
        <v/>
      </c>
      <c r="Z5062">
        <f>IF(M5062=1,(P5062-Assumptions!$B$37)*Assumptions!$B$153,0)</f>
        <v/>
      </c>
      <c r="AA5062">
        <f>Q5062+R5062+S5062+T5062+U5062+V5062+W5062+X5062+Y5062+Z5062</f>
        <v/>
      </c>
      <c r="AB5062" t="n">
        <v>62</v>
      </c>
      <c r="AC5062" t="n">
        <v>126</v>
      </c>
      <c r="AD5062" t="n">
        <v>30</v>
      </c>
      <c r="AE5062" t="n">
        <v>46</v>
      </c>
      <c r="AF5062" t="n">
        <v>54</v>
      </c>
      <c r="AG5062" t="n">
        <v>58</v>
      </c>
      <c r="AH5062" t="n">
        <v>60</v>
      </c>
      <c r="AI5062" t="n">
        <v>63</v>
      </c>
      <c r="AJ5062">
        <f>INDEX($Q$5000:$Q$5127,AC5062+1)</f>
        <v/>
      </c>
      <c r="AK5062">
        <f>INDEX($R$5000:$R$5127,AD5062+1)</f>
        <v/>
      </c>
      <c r="AL5062">
        <f>INDEX($S$5000:$S$5127,AE5062+1)</f>
        <v/>
      </c>
      <c r="AM5062">
        <f>INDEX($T$5000:$T$5127,AF5062+1)</f>
        <v/>
      </c>
      <c r="AN5062">
        <f>INDEX($U$5000:$U$5127,AG5062+1)</f>
        <v/>
      </c>
      <c r="AO5062">
        <f>INDEX($V$5000:$V$5127,AH5062+1)</f>
        <v/>
      </c>
      <c r="AP5062">
        <f>INDEX($W$5000:$W$5127,AI5062+1)</f>
        <v/>
      </c>
      <c r="AQ5062">
        <f>IF(Q5062&gt;=AJ5062-0.01,1,0)</f>
        <v/>
      </c>
      <c r="AR5062">
        <f>IF(R5062&gt;=AK5062-0.01,1,0)</f>
        <v/>
      </c>
      <c r="AS5062">
        <f>IF(S5062&gt;=AL5062-0.01,1,0)</f>
        <v/>
      </c>
      <c r="AT5062">
        <f>IF(T5062&gt;=AM5062-0.01,1,0)</f>
        <v/>
      </c>
      <c r="AU5062">
        <f>IF(U5062&gt;=AN5062-0.01,1,0)</f>
        <v/>
      </c>
      <c r="AV5062">
        <f>IF(V5062&gt;=AO5062-0.01,1,0)</f>
        <v/>
      </c>
      <c r="AW5062">
        <f>IF(W5062&gt;=AP5062-0.01,1,0)</f>
        <v/>
      </c>
      <c r="AX5062">
        <f>AQ5062*AR5062*AS5062*AT5062*AU5062*AV5062*AW5062</f>
        <v/>
      </c>
    </row>
    <row r="5063">
      <c r="A5063" t="inlineStr"/>
      <c r="B5063">
        <f>Assumptions!$B$60</f>
        <v/>
      </c>
      <c r="C5063" t="n">
        <v>0</v>
      </c>
      <c r="D5063" t="n">
        <v>1</v>
      </c>
      <c r="E5063" t="n">
        <v>1</v>
      </c>
      <c r="F5063" t="n">
        <v>1</v>
      </c>
      <c r="G5063" t="n">
        <v>1</v>
      </c>
      <c r="H5063" t="n">
        <v>1</v>
      </c>
      <c r="I5063" t="n">
        <v>1</v>
      </c>
      <c r="J5063">
        <f>(1-C5063)*Assumptions!$B$41+(1-D5063)*Assumptions!$B$33+(1-E5063)*Assumptions!$B$32+(1-F5063)*Assumptions!$B$31+(1-G5063)*Assumptions!$B$30+(1-H5063)*Assumptions!$B$29+(1-I5063)*Assumptions!$B$28</f>
        <v/>
      </c>
      <c r="K5063">
        <f>C5063*$J$157+D5063*$F$157+E5063*$G$157+F5063*Assumptions!$B$14+G5063*Assumptions!$B$13+H5063*Assumptions!$B$12+I5063*Assumptions!$B$11+$O$157+$S$157+Assumptions!$B$9</f>
        <v/>
      </c>
      <c r="L5063">
        <f>B5063-J5063</f>
        <v/>
      </c>
      <c r="M5063">
        <f>IF(K5063&gt;0,IF(L5063/K5063&gt;=Assumptions!$B$37,1,0),0)</f>
        <v/>
      </c>
      <c r="N5063">
        <f>K5063+M5063*Assumptions!$B$153</f>
        <v/>
      </c>
      <c r="O5063">
        <f>L5063+M5063*Assumptions!$B$153*Assumptions!$B$37</f>
        <v/>
      </c>
      <c r="P5063">
        <f>IF(N5063&gt;0,O5063/N5063,0)</f>
        <v/>
      </c>
      <c r="Q5063">
        <f>IF(C5063=1,P5063*$J$157,Assumptions!$B$41)</f>
        <v/>
      </c>
      <c r="R5063">
        <f>IF(D5063=1,P5063*$F$157,Assumptions!$B$33)</f>
        <v/>
      </c>
      <c r="S5063">
        <f>IF(E5063=1,P5063*$G$157,Assumptions!$B$32)</f>
        <v/>
      </c>
      <c r="T5063">
        <f>IF(F5063=1,P5063*Assumptions!$B$14,Assumptions!$B$31)</f>
        <v/>
      </c>
      <c r="U5063">
        <f>IF(G5063=1,P5063*Assumptions!$B$13,Assumptions!$B$30)</f>
        <v/>
      </c>
      <c r="V5063">
        <f>IF(H5063=1,P5063*Assumptions!$B$12,Assumptions!$B$29)</f>
        <v/>
      </c>
      <c r="W5063">
        <f>IF(I5063=1,P5063*Assumptions!$B$11,Assumptions!$B$28)</f>
        <v/>
      </c>
      <c r="X5063">
        <f>P5063*($O$157+$S$157)</f>
        <v/>
      </c>
      <c r="Y5063">
        <f>P5063*Assumptions!$B$9</f>
        <v/>
      </c>
      <c r="Z5063">
        <f>IF(M5063=1,(P5063-Assumptions!$B$37)*Assumptions!$B$153,0)</f>
        <v/>
      </c>
      <c r="AA5063">
        <f>Q5063+R5063+S5063+T5063+U5063+V5063+W5063+X5063+Y5063+Z5063</f>
        <v/>
      </c>
      <c r="AB5063" t="n">
        <v>63</v>
      </c>
      <c r="AC5063" t="n">
        <v>127</v>
      </c>
      <c r="AD5063" t="n">
        <v>31</v>
      </c>
      <c r="AE5063" t="n">
        <v>47</v>
      </c>
      <c r="AF5063" t="n">
        <v>55</v>
      </c>
      <c r="AG5063" t="n">
        <v>59</v>
      </c>
      <c r="AH5063" t="n">
        <v>61</v>
      </c>
      <c r="AI5063" t="n">
        <v>62</v>
      </c>
      <c r="AJ5063">
        <f>INDEX($Q$5000:$Q$5127,AC5063+1)</f>
        <v/>
      </c>
      <c r="AK5063">
        <f>INDEX($R$5000:$R$5127,AD5063+1)</f>
        <v/>
      </c>
      <c r="AL5063">
        <f>INDEX($S$5000:$S$5127,AE5063+1)</f>
        <v/>
      </c>
      <c r="AM5063">
        <f>INDEX($T$5000:$T$5127,AF5063+1)</f>
        <v/>
      </c>
      <c r="AN5063">
        <f>INDEX($U$5000:$U$5127,AG5063+1)</f>
        <v/>
      </c>
      <c r="AO5063">
        <f>INDEX($V$5000:$V$5127,AH5063+1)</f>
        <v/>
      </c>
      <c r="AP5063">
        <f>INDEX($W$5000:$W$5127,AI5063+1)</f>
        <v/>
      </c>
      <c r="AQ5063">
        <f>IF(Q5063&gt;=AJ5063-0.01,1,0)</f>
        <v/>
      </c>
      <c r="AR5063">
        <f>IF(R5063&gt;=AK5063-0.01,1,0)</f>
        <v/>
      </c>
      <c r="AS5063">
        <f>IF(S5063&gt;=AL5063-0.01,1,0)</f>
        <v/>
      </c>
      <c r="AT5063">
        <f>IF(T5063&gt;=AM5063-0.01,1,0)</f>
        <v/>
      </c>
      <c r="AU5063">
        <f>IF(U5063&gt;=AN5063-0.01,1,0)</f>
        <v/>
      </c>
      <c r="AV5063">
        <f>IF(V5063&gt;=AO5063-0.01,1,0)</f>
        <v/>
      </c>
      <c r="AW5063">
        <f>IF(W5063&gt;=AP5063-0.01,1,0)</f>
        <v/>
      </c>
      <c r="AX5063">
        <f>AQ5063*AR5063*AS5063*AT5063*AU5063*AV5063*AW5063</f>
        <v/>
      </c>
    </row>
    <row r="5064">
      <c r="A5064" t="inlineStr"/>
      <c r="B5064">
        <f>Assumptions!$B$60</f>
        <v/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>
        <f>(1-C5064)*Assumptions!$B$41+(1-D5064)*Assumptions!$B$33+(1-E5064)*Assumptions!$B$32+(1-F5064)*Assumptions!$B$31+(1-G5064)*Assumptions!$B$30+(1-H5064)*Assumptions!$B$29+(1-I5064)*Assumptions!$B$28</f>
        <v/>
      </c>
      <c r="K5064">
        <f>C5064*$J$157+D5064*$F$157+E5064*$G$157+F5064*Assumptions!$B$14+G5064*Assumptions!$B$13+H5064*Assumptions!$B$12+I5064*Assumptions!$B$11+$O$157+$S$157+Assumptions!$B$9</f>
        <v/>
      </c>
      <c r="L5064">
        <f>B5064-J5064</f>
        <v/>
      </c>
      <c r="M5064">
        <f>IF(K5064&gt;0,IF(L5064/K5064&gt;=Assumptions!$B$37,1,0),0)</f>
        <v/>
      </c>
      <c r="N5064">
        <f>K5064+M5064*Assumptions!$B$153</f>
        <v/>
      </c>
      <c r="O5064">
        <f>L5064+M5064*Assumptions!$B$153*Assumptions!$B$37</f>
        <v/>
      </c>
      <c r="P5064">
        <f>IF(N5064&gt;0,O5064/N5064,0)</f>
        <v/>
      </c>
      <c r="Q5064">
        <f>IF(C5064=1,P5064*$J$157,Assumptions!$B$41)</f>
        <v/>
      </c>
      <c r="R5064">
        <f>IF(D5064=1,P5064*$F$157,Assumptions!$B$33)</f>
        <v/>
      </c>
      <c r="S5064">
        <f>IF(E5064=1,P5064*$G$157,Assumptions!$B$32)</f>
        <v/>
      </c>
      <c r="T5064">
        <f>IF(F5064=1,P5064*Assumptions!$B$14,Assumptions!$B$31)</f>
        <v/>
      </c>
      <c r="U5064">
        <f>IF(G5064=1,P5064*Assumptions!$B$13,Assumptions!$B$30)</f>
        <v/>
      </c>
      <c r="V5064">
        <f>IF(H5064=1,P5064*Assumptions!$B$12,Assumptions!$B$29)</f>
        <v/>
      </c>
      <c r="W5064">
        <f>IF(I5064=1,P5064*Assumptions!$B$11,Assumptions!$B$28)</f>
        <v/>
      </c>
      <c r="X5064">
        <f>P5064*($O$157+$S$157)</f>
        <v/>
      </c>
      <c r="Y5064">
        <f>P5064*Assumptions!$B$9</f>
        <v/>
      </c>
      <c r="Z5064">
        <f>IF(M5064=1,(P5064-Assumptions!$B$37)*Assumptions!$B$153,0)</f>
        <v/>
      </c>
      <c r="AA5064">
        <f>Q5064+R5064+S5064+T5064+U5064+V5064+W5064+X5064+Y5064+Z5064</f>
        <v/>
      </c>
      <c r="AB5064" t="n">
        <v>64</v>
      </c>
      <c r="AC5064" t="n">
        <v>0</v>
      </c>
      <c r="AD5064" t="n">
        <v>96</v>
      </c>
      <c r="AE5064" t="n">
        <v>80</v>
      </c>
      <c r="AF5064" t="n">
        <v>72</v>
      </c>
      <c r="AG5064" t="n">
        <v>68</v>
      </c>
      <c r="AH5064" t="n">
        <v>66</v>
      </c>
      <c r="AI5064" t="n">
        <v>65</v>
      </c>
      <c r="AJ5064">
        <f>INDEX($Q$5000:$Q$5127,AC5064+1)</f>
        <v/>
      </c>
      <c r="AK5064">
        <f>INDEX($R$5000:$R$5127,AD5064+1)</f>
        <v/>
      </c>
      <c r="AL5064">
        <f>INDEX($S$5000:$S$5127,AE5064+1)</f>
        <v/>
      </c>
      <c r="AM5064">
        <f>INDEX($T$5000:$T$5127,AF5064+1)</f>
        <v/>
      </c>
      <c r="AN5064">
        <f>INDEX($U$5000:$U$5127,AG5064+1)</f>
        <v/>
      </c>
      <c r="AO5064">
        <f>INDEX($V$5000:$V$5127,AH5064+1)</f>
        <v/>
      </c>
      <c r="AP5064">
        <f>INDEX($W$5000:$W$5127,AI5064+1)</f>
        <v/>
      </c>
      <c r="AQ5064">
        <f>IF(Q5064&gt;=AJ5064-0.01,1,0)</f>
        <v/>
      </c>
      <c r="AR5064">
        <f>IF(R5064&gt;=AK5064-0.01,1,0)</f>
        <v/>
      </c>
      <c r="AS5064">
        <f>IF(S5064&gt;=AL5064-0.01,1,0)</f>
        <v/>
      </c>
      <c r="AT5064">
        <f>IF(T5064&gt;=AM5064-0.01,1,0)</f>
        <v/>
      </c>
      <c r="AU5064">
        <f>IF(U5064&gt;=AN5064-0.01,1,0)</f>
        <v/>
      </c>
      <c r="AV5064">
        <f>IF(V5064&gt;=AO5064-0.01,1,0)</f>
        <v/>
      </c>
      <c r="AW5064">
        <f>IF(W5064&gt;=AP5064-0.01,1,0)</f>
        <v/>
      </c>
      <c r="AX5064">
        <f>AQ5064*AR5064*AS5064*AT5064*AU5064*AV5064*AW5064</f>
        <v/>
      </c>
    </row>
    <row r="5065">
      <c r="A5065" t="inlineStr"/>
      <c r="B5065">
        <f>Assumptions!$B$60</f>
        <v/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>
        <f>(1-C5065)*Assumptions!$B$41+(1-D5065)*Assumptions!$B$33+(1-E5065)*Assumptions!$B$32+(1-F5065)*Assumptions!$B$31+(1-G5065)*Assumptions!$B$30+(1-H5065)*Assumptions!$B$29+(1-I5065)*Assumptions!$B$28</f>
        <v/>
      </c>
      <c r="K5065">
        <f>C5065*$J$157+D5065*$F$157+E5065*$G$157+F5065*Assumptions!$B$14+G5065*Assumptions!$B$13+H5065*Assumptions!$B$12+I5065*Assumptions!$B$11+$O$157+$S$157+Assumptions!$B$9</f>
        <v/>
      </c>
      <c r="L5065">
        <f>B5065-J5065</f>
        <v/>
      </c>
      <c r="M5065">
        <f>IF(K5065&gt;0,IF(L5065/K5065&gt;=Assumptions!$B$37,1,0),0)</f>
        <v/>
      </c>
      <c r="N5065">
        <f>K5065+M5065*Assumptions!$B$153</f>
        <v/>
      </c>
      <c r="O5065">
        <f>L5065+M5065*Assumptions!$B$153*Assumptions!$B$37</f>
        <v/>
      </c>
      <c r="P5065">
        <f>IF(N5065&gt;0,O5065/N5065,0)</f>
        <v/>
      </c>
      <c r="Q5065">
        <f>IF(C5065=1,P5065*$J$157,Assumptions!$B$41)</f>
        <v/>
      </c>
      <c r="R5065">
        <f>IF(D5065=1,P5065*$F$157,Assumptions!$B$33)</f>
        <v/>
      </c>
      <c r="S5065">
        <f>IF(E5065=1,P5065*$G$157,Assumptions!$B$32)</f>
        <v/>
      </c>
      <c r="T5065">
        <f>IF(F5065=1,P5065*Assumptions!$B$14,Assumptions!$B$31)</f>
        <v/>
      </c>
      <c r="U5065">
        <f>IF(G5065=1,P5065*Assumptions!$B$13,Assumptions!$B$30)</f>
        <v/>
      </c>
      <c r="V5065">
        <f>IF(H5065=1,P5065*Assumptions!$B$12,Assumptions!$B$29)</f>
        <v/>
      </c>
      <c r="W5065">
        <f>IF(I5065=1,P5065*Assumptions!$B$11,Assumptions!$B$28)</f>
        <v/>
      </c>
      <c r="X5065">
        <f>P5065*($O$157+$S$157)</f>
        <v/>
      </c>
      <c r="Y5065">
        <f>P5065*Assumptions!$B$9</f>
        <v/>
      </c>
      <c r="Z5065">
        <f>IF(M5065=1,(P5065-Assumptions!$B$37)*Assumptions!$B$153,0)</f>
        <v/>
      </c>
      <c r="AA5065">
        <f>Q5065+R5065+S5065+T5065+U5065+V5065+W5065+X5065+Y5065+Z5065</f>
        <v/>
      </c>
      <c r="AB5065" t="n">
        <v>65</v>
      </c>
      <c r="AC5065" t="n">
        <v>1</v>
      </c>
      <c r="AD5065" t="n">
        <v>97</v>
      </c>
      <c r="AE5065" t="n">
        <v>81</v>
      </c>
      <c r="AF5065" t="n">
        <v>73</v>
      </c>
      <c r="AG5065" t="n">
        <v>69</v>
      </c>
      <c r="AH5065" t="n">
        <v>67</v>
      </c>
      <c r="AI5065" t="n">
        <v>64</v>
      </c>
      <c r="AJ5065">
        <f>INDEX($Q$5000:$Q$5127,AC5065+1)</f>
        <v/>
      </c>
      <c r="AK5065">
        <f>INDEX($R$5000:$R$5127,AD5065+1)</f>
        <v/>
      </c>
      <c r="AL5065">
        <f>INDEX($S$5000:$S$5127,AE5065+1)</f>
        <v/>
      </c>
      <c r="AM5065">
        <f>INDEX($T$5000:$T$5127,AF5065+1)</f>
        <v/>
      </c>
      <c r="AN5065">
        <f>INDEX($U$5000:$U$5127,AG5065+1)</f>
        <v/>
      </c>
      <c r="AO5065">
        <f>INDEX($V$5000:$V$5127,AH5065+1)</f>
        <v/>
      </c>
      <c r="AP5065">
        <f>INDEX($W$5000:$W$5127,AI5065+1)</f>
        <v/>
      </c>
      <c r="AQ5065">
        <f>IF(Q5065&gt;=AJ5065-0.01,1,0)</f>
        <v/>
      </c>
      <c r="AR5065">
        <f>IF(R5065&gt;=AK5065-0.01,1,0)</f>
        <v/>
      </c>
      <c r="AS5065">
        <f>IF(S5065&gt;=AL5065-0.01,1,0)</f>
        <v/>
      </c>
      <c r="AT5065">
        <f>IF(T5065&gt;=AM5065-0.01,1,0)</f>
        <v/>
      </c>
      <c r="AU5065">
        <f>IF(U5065&gt;=AN5065-0.01,1,0)</f>
        <v/>
      </c>
      <c r="AV5065">
        <f>IF(V5065&gt;=AO5065-0.01,1,0)</f>
        <v/>
      </c>
      <c r="AW5065">
        <f>IF(W5065&gt;=AP5065-0.01,1,0)</f>
        <v/>
      </c>
      <c r="AX5065">
        <f>AQ5065*AR5065*AS5065*AT5065*AU5065*AV5065*AW5065</f>
        <v/>
      </c>
    </row>
    <row r="5066">
      <c r="A5066" t="inlineStr"/>
      <c r="B5066">
        <f>Assumptions!$B$60</f>
        <v/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>
        <f>(1-C5066)*Assumptions!$B$41+(1-D5066)*Assumptions!$B$33+(1-E5066)*Assumptions!$B$32+(1-F5066)*Assumptions!$B$31+(1-G5066)*Assumptions!$B$30+(1-H5066)*Assumptions!$B$29+(1-I5066)*Assumptions!$B$28</f>
        <v/>
      </c>
      <c r="K5066">
        <f>C5066*$J$157+D5066*$F$157+E5066*$G$157+F5066*Assumptions!$B$14+G5066*Assumptions!$B$13+H5066*Assumptions!$B$12+I5066*Assumptions!$B$11+$O$157+$S$157+Assumptions!$B$9</f>
        <v/>
      </c>
      <c r="L5066">
        <f>B5066-J5066</f>
        <v/>
      </c>
      <c r="M5066">
        <f>IF(K5066&gt;0,IF(L5066/K5066&gt;=Assumptions!$B$37,1,0),0)</f>
        <v/>
      </c>
      <c r="N5066">
        <f>K5066+M5066*Assumptions!$B$153</f>
        <v/>
      </c>
      <c r="O5066">
        <f>L5066+M5066*Assumptions!$B$153*Assumptions!$B$37</f>
        <v/>
      </c>
      <c r="P5066">
        <f>IF(N5066&gt;0,O5066/N5066,0)</f>
        <v/>
      </c>
      <c r="Q5066">
        <f>IF(C5066=1,P5066*$J$157,Assumptions!$B$41)</f>
        <v/>
      </c>
      <c r="R5066">
        <f>IF(D5066=1,P5066*$F$157,Assumptions!$B$33)</f>
        <v/>
      </c>
      <c r="S5066">
        <f>IF(E5066=1,P5066*$G$157,Assumptions!$B$32)</f>
        <v/>
      </c>
      <c r="T5066">
        <f>IF(F5066=1,P5066*Assumptions!$B$14,Assumptions!$B$31)</f>
        <v/>
      </c>
      <c r="U5066">
        <f>IF(G5066=1,P5066*Assumptions!$B$13,Assumptions!$B$30)</f>
        <v/>
      </c>
      <c r="V5066">
        <f>IF(H5066=1,P5066*Assumptions!$B$12,Assumptions!$B$29)</f>
        <v/>
      </c>
      <c r="W5066">
        <f>IF(I5066=1,P5066*Assumptions!$B$11,Assumptions!$B$28)</f>
        <v/>
      </c>
      <c r="X5066">
        <f>P5066*($O$157+$S$157)</f>
        <v/>
      </c>
      <c r="Y5066">
        <f>P5066*Assumptions!$B$9</f>
        <v/>
      </c>
      <c r="Z5066">
        <f>IF(M5066=1,(P5066-Assumptions!$B$37)*Assumptions!$B$153,0)</f>
        <v/>
      </c>
      <c r="AA5066">
        <f>Q5066+R5066+S5066+T5066+U5066+V5066+W5066+X5066+Y5066+Z5066</f>
        <v/>
      </c>
      <c r="AB5066" t="n">
        <v>66</v>
      </c>
      <c r="AC5066" t="n">
        <v>2</v>
      </c>
      <c r="AD5066" t="n">
        <v>98</v>
      </c>
      <c r="AE5066" t="n">
        <v>82</v>
      </c>
      <c r="AF5066" t="n">
        <v>74</v>
      </c>
      <c r="AG5066" t="n">
        <v>70</v>
      </c>
      <c r="AH5066" t="n">
        <v>64</v>
      </c>
      <c r="AI5066" t="n">
        <v>67</v>
      </c>
      <c r="AJ5066">
        <f>INDEX($Q$5000:$Q$5127,AC5066+1)</f>
        <v/>
      </c>
      <c r="AK5066">
        <f>INDEX($R$5000:$R$5127,AD5066+1)</f>
        <v/>
      </c>
      <c r="AL5066">
        <f>INDEX($S$5000:$S$5127,AE5066+1)</f>
        <v/>
      </c>
      <c r="AM5066">
        <f>INDEX($T$5000:$T$5127,AF5066+1)</f>
        <v/>
      </c>
      <c r="AN5066">
        <f>INDEX($U$5000:$U$5127,AG5066+1)</f>
        <v/>
      </c>
      <c r="AO5066">
        <f>INDEX($V$5000:$V$5127,AH5066+1)</f>
        <v/>
      </c>
      <c r="AP5066">
        <f>INDEX($W$5000:$W$5127,AI5066+1)</f>
        <v/>
      </c>
      <c r="AQ5066">
        <f>IF(Q5066&gt;=AJ5066-0.01,1,0)</f>
        <v/>
      </c>
      <c r="AR5066">
        <f>IF(R5066&gt;=AK5066-0.01,1,0)</f>
        <v/>
      </c>
      <c r="AS5066">
        <f>IF(S5066&gt;=AL5066-0.01,1,0)</f>
        <v/>
      </c>
      <c r="AT5066">
        <f>IF(T5066&gt;=AM5066-0.01,1,0)</f>
        <v/>
      </c>
      <c r="AU5066">
        <f>IF(U5066&gt;=AN5066-0.01,1,0)</f>
        <v/>
      </c>
      <c r="AV5066">
        <f>IF(V5066&gt;=AO5066-0.01,1,0)</f>
        <v/>
      </c>
      <c r="AW5066">
        <f>IF(W5066&gt;=AP5066-0.01,1,0)</f>
        <v/>
      </c>
      <c r="AX5066">
        <f>AQ5066*AR5066*AS5066*AT5066*AU5066*AV5066*AW5066</f>
        <v/>
      </c>
    </row>
    <row r="5067">
      <c r="A5067" t="inlineStr"/>
      <c r="B5067">
        <f>Assumptions!$B$60</f>
        <v/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</v>
      </c>
      <c r="J5067">
        <f>(1-C5067)*Assumptions!$B$41+(1-D5067)*Assumptions!$B$33+(1-E5067)*Assumptions!$B$32+(1-F5067)*Assumptions!$B$31+(1-G5067)*Assumptions!$B$30+(1-H5067)*Assumptions!$B$29+(1-I5067)*Assumptions!$B$28</f>
        <v/>
      </c>
      <c r="K5067">
        <f>C5067*$J$157+D5067*$F$157+E5067*$G$157+F5067*Assumptions!$B$14+G5067*Assumptions!$B$13+H5067*Assumptions!$B$12+I5067*Assumptions!$B$11+$O$157+$S$157+Assumptions!$B$9</f>
        <v/>
      </c>
      <c r="L5067">
        <f>B5067-J5067</f>
        <v/>
      </c>
      <c r="M5067">
        <f>IF(K5067&gt;0,IF(L5067/K5067&gt;=Assumptions!$B$37,1,0),0)</f>
        <v/>
      </c>
      <c r="N5067">
        <f>K5067+M5067*Assumptions!$B$153</f>
        <v/>
      </c>
      <c r="O5067">
        <f>L5067+M5067*Assumptions!$B$153*Assumptions!$B$37</f>
        <v/>
      </c>
      <c r="P5067">
        <f>IF(N5067&gt;0,O5067/N5067,0)</f>
        <v/>
      </c>
      <c r="Q5067">
        <f>IF(C5067=1,P5067*$J$157,Assumptions!$B$41)</f>
        <v/>
      </c>
      <c r="R5067">
        <f>IF(D5067=1,P5067*$F$157,Assumptions!$B$33)</f>
        <v/>
      </c>
      <c r="S5067">
        <f>IF(E5067=1,P5067*$G$157,Assumptions!$B$32)</f>
        <v/>
      </c>
      <c r="T5067">
        <f>IF(F5067=1,P5067*Assumptions!$B$14,Assumptions!$B$31)</f>
        <v/>
      </c>
      <c r="U5067">
        <f>IF(G5067=1,P5067*Assumptions!$B$13,Assumptions!$B$30)</f>
        <v/>
      </c>
      <c r="V5067">
        <f>IF(H5067=1,P5067*Assumptions!$B$12,Assumptions!$B$29)</f>
        <v/>
      </c>
      <c r="W5067">
        <f>IF(I5067=1,P5067*Assumptions!$B$11,Assumptions!$B$28)</f>
        <v/>
      </c>
      <c r="X5067">
        <f>P5067*($O$157+$S$157)</f>
        <v/>
      </c>
      <c r="Y5067">
        <f>P5067*Assumptions!$B$9</f>
        <v/>
      </c>
      <c r="Z5067">
        <f>IF(M5067=1,(P5067-Assumptions!$B$37)*Assumptions!$B$153,0)</f>
        <v/>
      </c>
      <c r="AA5067">
        <f>Q5067+R5067+S5067+T5067+U5067+V5067+W5067+X5067+Y5067+Z5067</f>
        <v/>
      </c>
      <c r="AB5067" t="n">
        <v>67</v>
      </c>
      <c r="AC5067" t="n">
        <v>3</v>
      </c>
      <c r="AD5067" t="n">
        <v>99</v>
      </c>
      <c r="AE5067" t="n">
        <v>83</v>
      </c>
      <c r="AF5067" t="n">
        <v>75</v>
      </c>
      <c r="AG5067" t="n">
        <v>71</v>
      </c>
      <c r="AH5067" t="n">
        <v>65</v>
      </c>
      <c r="AI5067" t="n">
        <v>66</v>
      </c>
      <c r="AJ5067">
        <f>INDEX($Q$5000:$Q$5127,AC5067+1)</f>
        <v/>
      </c>
      <c r="AK5067">
        <f>INDEX($R$5000:$R$5127,AD5067+1)</f>
        <v/>
      </c>
      <c r="AL5067">
        <f>INDEX($S$5000:$S$5127,AE5067+1)</f>
        <v/>
      </c>
      <c r="AM5067">
        <f>INDEX($T$5000:$T$5127,AF5067+1)</f>
        <v/>
      </c>
      <c r="AN5067">
        <f>INDEX($U$5000:$U$5127,AG5067+1)</f>
        <v/>
      </c>
      <c r="AO5067">
        <f>INDEX($V$5000:$V$5127,AH5067+1)</f>
        <v/>
      </c>
      <c r="AP5067">
        <f>INDEX($W$5000:$W$5127,AI5067+1)</f>
        <v/>
      </c>
      <c r="AQ5067">
        <f>IF(Q5067&gt;=AJ5067-0.01,1,0)</f>
        <v/>
      </c>
      <c r="AR5067">
        <f>IF(R5067&gt;=AK5067-0.01,1,0)</f>
        <v/>
      </c>
      <c r="AS5067">
        <f>IF(S5067&gt;=AL5067-0.01,1,0)</f>
        <v/>
      </c>
      <c r="AT5067">
        <f>IF(T5067&gt;=AM5067-0.01,1,0)</f>
        <v/>
      </c>
      <c r="AU5067">
        <f>IF(U5067&gt;=AN5067-0.01,1,0)</f>
        <v/>
      </c>
      <c r="AV5067">
        <f>IF(V5067&gt;=AO5067-0.01,1,0)</f>
        <v/>
      </c>
      <c r="AW5067">
        <f>IF(W5067&gt;=AP5067-0.01,1,0)</f>
        <v/>
      </c>
      <c r="AX5067">
        <f>AQ5067*AR5067*AS5067*AT5067*AU5067*AV5067*AW5067</f>
        <v/>
      </c>
    </row>
    <row r="5068">
      <c r="A5068" t="inlineStr"/>
      <c r="B5068">
        <f>Assumptions!$B$60</f>
        <v/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>
        <f>(1-C5068)*Assumptions!$B$41+(1-D5068)*Assumptions!$B$33+(1-E5068)*Assumptions!$B$32+(1-F5068)*Assumptions!$B$31+(1-G5068)*Assumptions!$B$30+(1-H5068)*Assumptions!$B$29+(1-I5068)*Assumptions!$B$28</f>
        <v/>
      </c>
      <c r="K5068">
        <f>C5068*$J$157+D5068*$F$157+E5068*$G$157+F5068*Assumptions!$B$14+G5068*Assumptions!$B$13+H5068*Assumptions!$B$12+I5068*Assumptions!$B$11+$O$157+$S$157+Assumptions!$B$9</f>
        <v/>
      </c>
      <c r="L5068">
        <f>B5068-J5068</f>
        <v/>
      </c>
      <c r="M5068">
        <f>IF(K5068&gt;0,IF(L5068/K5068&gt;=Assumptions!$B$37,1,0),0)</f>
        <v/>
      </c>
      <c r="N5068">
        <f>K5068+M5068*Assumptions!$B$153</f>
        <v/>
      </c>
      <c r="O5068">
        <f>L5068+M5068*Assumptions!$B$153*Assumptions!$B$37</f>
        <v/>
      </c>
      <c r="P5068">
        <f>IF(N5068&gt;0,O5068/N5068,0)</f>
        <v/>
      </c>
      <c r="Q5068">
        <f>IF(C5068=1,P5068*$J$157,Assumptions!$B$41)</f>
        <v/>
      </c>
      <c r="R5068">
        <f>IF(D5068=1,P5068*$F$157,Assumptions!$B$33)</f>
        <v/>
      </c>
      <c r="S5068">
        <f>IF(E5068=1,P5068*$G$157,Assumptions!$B$32)</f>
        <v/>
      </c>
      <c r="T5068">
        <f>IF(F5068=1,P5068*Assumptions!$B$14,Assumptions!$B$31)</f>
        <v/>
      </c>
      <c r="U5068">
        <f>IF(G5068=1,P5068*Assumptions!$B$13,Assumptions!$B$30)</f>
        <v/>
      </c>
      <c r="V5068">
        <f>IF(H5068=1,P5068*Assumptions!$B$12,Assumptions!$B$29)</f>
        <v/>
      </c>
      <c r="W5068">
        <f>IF(I5068=1,P5068*Assumptions!$B$11,Assumptions!$B$28)</f>
        <v/>
      </c>
      <c r="X5068">
        <f>P5068*($O$157+$S$157)</f>
        <v/>
      </c>
      <c r="Y5068">
        <f>P5068*Assumptions!$B$9</f>
        <v/>
      </c>
      <c r="Z5068">
        <f>IF(M5068=1,(P5068-Assumptions!$B$37)*Assumptions!$B$153,0)</f>
        <v/>
      </c>
      <c r="AA5068">
        <f>Q5068+R5068+S5068+T5068+U5068+V5068+W5068+X5068+Y5068+Z5068</f>
        <v/>
      </c>
      <c r="AB5068" t="n">
        <v>68</v>
      </c>
      <c r="AC5068" t="n">
        <v>4</v>
      </c>
      <c r="AD5068" t="n">
        <v>100</v>
      </c>
      <c r="AE5068" t="n">
        <v>84</v>
      </c>
      <c r="AF5068" t="n">
        <v>76</v>
      </c>
      <c r="AG5068" t="n">
        <v>64</v>
      </c>
      <c r="AH5068" t="n">
        <v>70</v>
      </c>
      <c r="AI5068" t="n">
        <v>69</v>
      </c>
      <c r="AJ5068">
        <f>INDEX($Q$5000:$Q$5127,AC5068+1)</f>
        <v/>
      </c>
      <c r="AK5068">
        <f>INDEX($R$5000:$R$5127,AD5068+1)</f>
        <v/>
      </c>
      <c r="AL5068">
        <f>INDEX($S$5000:$S$5127,AE5068+1)</f>
        <v/>
      </c>
      <c r="AM5068">
        <f>INDEX($T$5000:$T$5127,AF5068+1)</f>
        <v/>
      </c>
      <c r="AN5068">
        <f>INDEX($U$5000:$U$5127,AG5068+1)</f>
        <v/>
      </c>
      <c r="AO5068">
        <f>INDEX($V$5000:$V$5127,AH5068+1)</f>
        <v/>
      </c>
      <c r="AP5068">
        <f>INDEX($W$5000:$W$5127,AI5068+1)</f>
        <v/>
      </c>
      <c r="AQ5068">
        <f>IF(Q5068&gt;=AJ5068-0.01,1,0)</f>
        <v/>
      </c>
      <c r="AR5068">
        <f>IF(R5068&gt;=AK5068-0.01,1,0)</f>
        <v/>
      </c>
      <c r="AS5068">
        <f>IF(S5068&gt;=AL5068-0.01,1,0)</f>
        <v/>
      </c>
      <c r="AT5068">
        <f>IF(T5068&gt;=AM5068-0.01,1,0)</f>
        <v/>
      </c>
      <c r="AU5068">
        <f>IF(U5068&gt;=AN5068-0.01,1,0)</f>
        <v/>
      </c>
      <c r="AV5068">
        <f>IF(V5068&gt;=AO5068-0.01,1,0)</f>
        <v/>
      </c>
      <c r="AW5068">
        <f>IF(W5068&gt;=AP5068-0.01,1,0)</f>
        <v/>
      </c>
      <c r="AX5068">
        <f>AQ5068*AR5068*AS5068*AT5068*AU5068*AV5068*AW5068</f>
        <v/>
      </c>
    </row>
    <row r="5069">
      <c r="A5069" t="inlineStr"/>
      <c r="B5069">
        <f>Assumptions!$B$60</f>
        <v/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0</v>
      </c>
      <c r="I5069" t="n">
        <v>1</v>
      </c>
      <c r="J5069">
        <f>(1-C5069)*Assumptions!$B$41+(1-D5069)*Assumptions!$B$33+(1-E5069)*Assumptions!$B$32+(1-F5069)*Assumptions!$B$31+(1-G5069)*Assumptions!$B$30+(1-H5069)*Assumptions!$B$29+(1-I5069)*Assumptions!$B$28</f>
        <v/>
      </c>
      <c r="K5069">
        <f>C5069*$J$157+D5069*$F$157+E5069*$G$157+F5069*Assumptions!$B$14+G5069*Assumptions!$B$13+H5069*Assumptions!$B$12+I5069*Assumptions!$B$11+$O$157+$S$157+Assumptions!$B$9</f>
        <v/>
      </c>
      <c r="L5069">
        <f>B5069-J5069</f>
        <v/>
      </c>
      <c r="M5069">
        <f>IF(K5069&gt;0,IF(L5069/K5069&gt;=Assumptions!$B$37,1,0),0)</f>
        <v/>
      </c>
      <c r="N5069">
        <f>K5069+M5069*Assumptions!$B$153</f>
        <v/>
      </c>
      <c r="O5069">
        <f>L5069+M5069*Assumptions!$B$153*Assumptions!$B$37</f>
        <v/>
      </c>
      <c r="P5069">
        <f>IF(N5069&gt;0,O5069/N5069,0)</f>
        <v/>
      </c>
      <c r="Q5069">
        <f>IF(C5069=1,P5069*$J$157,Assumptions!$B$41)</f>
        <v/>
      </c>
      <c r="R5069">
        <f>IF(D5069=1,P5069*$F$157,Assumptions!$B$33)</f>
        <v/>
      </c>
      <c r="S5069">
        <f>IF(E5069=1,P5069*$G$157,Assumptions!$B$32)</f>
        <v/>
      </c>
      <c r="T5069">
        <f>IF(F5069=1,P5069*Assumptions!$B$14,Assumptions!$B$31)</f>
        <v/>
      </c>
      <c r="U5069">
        <f>IF(G5069=1,P5069*Assumptions!$B$13,Assumptions!$B$30)</f>
        <v/>
      </c>
      <c r="V5069">
        <f>IF(H5069=1,P5069*Assumptions!$B$12,Assumptions!$B$29)</f>
        <v/>
      </c>
      <c r="W5069">
        <f>IF(I5069=1,P5069*Assumptions!$B$11,Assumptions!$B$28)</f>
        <v/>
      </c>
      <c r="X5069">
        <f>P5069*($O$157+$S$157)</f>
        <v/>
      </c>
      <c r="Y5069">
        <f>P5069*Assumptions!$B$9</f>
        <v/>
      </c>
      <c r="Z5069">
        <f>IF(M5069=1,(P5069-Assumptions!$B$37)*Assumptions!$B$153,0)</f>
        <v/>
      </c>
      <c r="AA5069">
        <f>Q5069+R5069+S5069+T5069+U5069+V5069+W5069+X5069+Y5069+Z5069</f>
        <v/>
      </c>
      <c r="AB5069" t="n">
        <v>69</v>
      </c>
      <c r="AC5069" t="n">
        <v>5</v>
      </c>
      <c r="AD5069" t="n">
        <v>101</v>
      </c>
      <c r="AE5069" t="n">
        <v>85</v>
      </c>
      <c r="AF5069" t="n">
        <v>77</v>
      </c>
      <c r="AG5069" t="n">
        <v>65</v>
      </c>
      <c r="AH5069" t="n">
        <v>71</v>
      </c>
      <c r="AI5069" t="n">
        <v>68</v>
      </c>
      <c r="AJ5069">
        <f>INDEX($Q$5000:$Q$5127,AC5069+1)</f>
        <v/>
      </c>
      <c r="AK5069">
        <f>INDEX($R$5000:$R$5127,AD5069+1)</f>
        <v/>
      </c>
      <c r="AL5069">
        <f>INDEX($S$5000:$S$5127,AE5069+1)</f>
        <v/>
      </c>
      <c r="AM5069">
        <f>INDEX($T$5000:$T$5127,AF5069+1)</f>
        <v/>
      </c>
      <c r="AN5069">
        <f>INDEX($U$5000:$U$5127,AG5069+1)</f>
        <v/>
      </c>
      <c r="AO5069">
        <f>INDEX($V$5000:$V$5127,AH5069+1)</f>
        <v/>
      </c>
      <c r="AP5069">
        <f>INDEX($W$5000:$W$5127,AI5069+1)</f>
        <v/>
      </c>
      <c r="AQ5069">
        <f>IF(Q5069&gt;=AJ5069-0.01,1,0)</f>
        <v/>
      </c>
      <c r="AR5069">
        <f>IF(R5069&gt;=AK5069-0.01,1,0)</f>
        <v/>
      </c>
      <c r="AS5069">
        <f>IF(S5069&gt;=AL5069-0.01,1,0)</f>
        <v/>
      </c>
      <c r="AT5069">
        <f>IF(T5069&gt;=AM5069-0.01,1,0)</f>
        <v/>
      </c>
      <c r="AU5069">
        <f>IF(U5069&gt;=AN5069-0.01,1,0)</f>
        <v/>
      </c>
      <c r="AV5069">
        <f>IF(V5069&gt;=AO5069-0.01,1,0)</f>
        <v/>
      </c>
      <c r="AW5069">
        <f>IF(W5069&gt;=AP5069-0.01,1,0)</f>
        <v/>
      </c>
      <c r="AX5069">
        <f>AQ5069*AR5069*AS5069*AT5069*AU5069*AV5069*AW5069</f>
        <v/>
      </c>
    </row>
    <row r="5070">
      <c r="A5070" t="inlineStr"/>
      <c r="B5070">
        <f>Assumptions!$B$60</f>
        <v/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  <c r="I5070" t="n">
        <v>0</v>
      </c>
      <c r="J5070">
        <f>(1-C5070)*Assumptions!$B$41+(1-D5070)*Assumptions!$B$33+(1-E5070)*Assumptions!$B$32+(1-F5070)*Assumptions!$B$31+(1-G5070)*Assumptions!$B$30+(1-H5070)*Assumptions!$B$29+(1-I5070)*Assumptions!$B$28</f>
        <v/>
      </c>
      <c r="K5070">
        <f>C5070*$J$157+D5070*$F$157+E5070*$G$157+F5070*Assumptions!$B$14+G5070*Assumptions!$B$13+H5070*Assumptions!$B$12+I5070*Assumptions!$B$11+$O$157+$S$157+Assumptions!$B$9</f>
        <v/>
      </c>
      <c r="L5070">
        <f>B5070-J5070</f>
        <v/>
      </c>
      <c r="M5070">
        <f>IF(K5070&gt;0,IF(L5070/K5070&gt;=Assumptions!$B$37,1,0),0)</f>
        <v/>
      </c>
      <c r="N5070">
        <f>K5070+M5070*Assumptions!$B$153</f>
        <v/>
      </c>
      <c r="O5070">
        <f>L5070+M5070*Assumptions!$B$153*Assumptions!$B$37</f>
        <v/>
      </c>
      <c r="P5070">
        <f>IF(N5070&gt;0,O5070/N5070,0)</f>
        <v/>
      </c>
      <c r="Q5070">
        <f>IF(C5070=1,P5070*$J$157,Assumptions!$B$41)</f>
        <v/>
      </c>
      <c r="R5070">
        <f>IF(D5070=1,P5070*$F$157,Assumptions!$B$33)</f>
        <v/>
      </c>
      <c r="S5070">
        <f>IF(E5070=1,P5070*$G$157,Assumptions!$B$32)</f>
        <v/>
      </c>
      <c r="T5070">
        <f>IF(F5070=1,P5070*Assumptions!$B$14,Assumptions!$B$31)</f>
        <v/>
      </c>
      <c r="U5070">
        <f>IF(G5070=1,P5070*Assumptions!$B$13,Assumptions!$B$30)</f>
        <v/>
      </c>
      <c r="V5070">
        <f>IF(H5070=1,P5070*Assumptions!$B$12,Assumptions!$B$29)</f>
        <v/>
      </c>
      <c r="W5070">
        <f>IF(I5070=1,P5070*Assumptions!$B$11,Assumptions!$B$28)</f>
        <v/>
      </c>
      <c r="X5070">
        <f>P5070*($O$157+$S$157)</f>
        <v/>
      </c>
      <c r="Y5070">
        <f>P5070*Assumptions!$B$9</f>
        <v/>
      </c>
      <c r="Z5070">
        <f>IF(M5070=1,(P5070-Assumptions!$B$37)*Assumptions!$B$153,0)</f>
        <v/>
      </c>
      <c r="AA5070">
        <f>Q5070+R5070+S5070+T5070+U5070+V5070+W5070+X5070+Y5070+Z5070</f>
        <v/>
      </c>
      <c r="AB5070" t="n">
        <v>70</v>
      </c>
      <c r="AC5070" t="n">
        <v>6</v>
      </c>
      <c r="AD5070" t="n">
        <v>102</v>
      </c>
      <c r="AE5070" t="n">
        <v>86</v>
      </c>
      <c r="AF5070" t="n">
        <v>78</v>
      </c>
      <c r="AG5070" t="n">
        <v>66</v>
      </c>
      <c r="AH5070" t="n">
        <v>68</v>
      </c>
      <c r="AI5070" t="n">
        <v>71</v>
      </c>
      <c r="AJ5070">
        <f>INDEX($Q$5000:$Q$5127,AC5070+1)</f>
        <v/>
      </c>
      <c r="AK5070">
        <f>INDEX($R$5000:$R$5127,AD5070+1)</f>
        <v/>
      </c>
      <c r="AL5070">
        <f>INDEX($S$5000:$S$5127,AE5070+1)</f>
        <v/>
      </c>
      <c r="AM5070">
        <f>INDEX($T$5000:$T$5127,AF5070+1)</f>
        <v/>
      </c>
      <c r="AN5070">
        <f>INDEX($U$5000:$U$5127,AG5070+1)</f>
        <v/>
      </c>
      <c r="AO5070">
        <f>INDEX($V$5000:$V$5127,AH5070+1)</f>
        <v/>
      </c>
      <c r="AP5070">
        <f>INDEX($W$5000:$W$5127,AI5070+1)</f>
        <v/>
      </c>
      <c r="AQ5070">
        <f>IF(Q5070&gt;=AJ5070-0.01,1,0)</f>
        <v/>
      </c>
      <c r="AR5070">
        <f>IF(R5070&gt;=AK5070-0.01,1,0)</f>
        <v/>
      </c>
      <c r="AS5070">
        <f>IF(S5070&gt;=AL5070-0.01,1,0)</f>
        <v/>
      </c>
      <c r="AT5070">
        <f>IF(T5070&gt;=AM5070-0.01,1,0)</f>
        <v/>
      </c>
      <c r="AU5070">
        <f>IF(U5070&gt;=AN5070-0.01,1,0)</f>
        <v/>
      </c>
      <c r="AV5070">
        <f>IF(V5070&gt;=AO5070-0.01,1,0)</f>
        <v/>
      </c>
      <c r="AW5070">
        <f>IF(W5070&gt;=AP5070-0.01,1,0)</f>
        <v/>
      </c>
      <c r="AX5070">
        <f>AQ5070*AR5070*AS5070*AT5070*AU5070*AV5070*AW5070</f>
        <v/>
      </c>
    </row>
    <row r="5071">
      <c r="A5071" t="inlineStr"/>
      <c r="B5071">
        <f>Assumptions!$B$60</f>
        <v/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  <c r="I5071" t="n">
        <v>1</v>
      </c>
      <c r="J5071">
        <f>(1-C5071)*Assumptions!$B$41+(1-D5071)*Assumptions!$B$33+(1-E5071)*Assumptions!$B$32+(1-F5071)*Assumptions!$B$31+(1-G5071)*Assumptions!$B$30+(1-H5071)*Assumptions!$B$29+(1-I5071)*Assumptions!$B$28</f>
        <v/>
      </c>
      <c r="K5071">
        <f>C5071*$J$157+D5071*$F$157+E5071*$G$157+F5071*Assumptions!$B$14+G5071*Assumptions!$B$13+H5071*Assumptions!$B$12+I5071*Assumptions!$B$11+$O$157+$S$157+Assumptions!$B$9</f>
        <v/>
      </c>
      <c r="L5071">
        <f>B5071-J5071</f>
        <v/>
      </c>
      <c r="M5071">
        <f>IF(K5071&gt;0,IF(L5071/K5071&gt;=Assumptions!$B$37,1,0),0)</f>
        <v/>
      </c>
      <c r="N5071">
        <f>K5071+M5071*Assumptions!$B$153</f>
        <v/>
      </c>
      <c r="O5071">
        <f>L5071+M5071*Assumptions!$B$153*Assumptions!$B$37</f>
        <v/>
      </c>
      <c r="P5071">
        <f>IF(N5071&gt;0,O5071/N5071,0)</f>
        <v/>
      </c>
      <c r="Q5071">
        <f>IF(C5071=1,P5071*$J$157,Assumptions!$B$41)</f>
        <v/>
      </c>
      <c r="R5071">
        <f>IF(D5071=1,P5071*$F$157,Assumptions!$B$33)</f>
        <v/>
      </c>
      <c r="S5071">
        <f>IF(E5071=1,P5071*$G$157,Assumptions!$B$32)</f>
        <v/>
      </c>
      <c r="T5071">
        <f>IF(F5071=1,P5071*Assumptions!$B$14,Assumptions!$B$31)</f>
        <v/>
      </c>
      <c r="U5071">
        <f>IF(G5071=1,P5071*Assumptions!$B$13,Assumptions!$B$30)</f>
        <v/>
      </c>
      <c r="V5071">
        <f>IF(H5071=1,P5071*Assumptions!$B$12,Assumptions!$B$29)</f>
        <v/>
      </c>
      <c r="W5071">
        <f>IF(I5071=1,P5071*Assumptions!$B$11,Assumptions!$B$28)</f>
        <v/>
      </c>
      <c r="X5071">
        <f>P5071*($O$157+$S$157)</f>
        <v/>
      </c>
      <c r="Y5071">
        <f>P5071*Assumptions!$B$9</f>
        <v/>
      </c>
      <c r="Z5071">
        <f>IF(M5071=1,(P5071-Assumptions!$B$37)*Assumptions!$B$153,0)</f>
        <v/>
      </c>
      <c r="AA5071">
        <f>Q5071+R5071+S5071+T5071+U5071+V5071+W5071+X5071+Y5071+Z5071</f>
        <v/>
      </c>
      <c r="AB5071" t="n">
        <v>71</v>
      </c>
      <c r="AC5071" t="n">
        <v>7</v>
      </c>
      <c r="AD5071" t="n">
        <v>103</v>
      </c>
      <c r="AE5071" t="n">
        <v>87</v>
      </c>
      <c r="AF5071" t="n">
        <v>79</v>
      </c>
      <c r="AG5071" t="n">
        <v>67</v>
      </c>
      <c r="AH5071" t="n">
        <v>69</v>
      </c>
      <c r="AI5071" t="n">
        <v>70</v>
      </c>
      <c r="AJ5071">
        <f>INDEX($Q$5000:$Q$5127,AC5071+1)</f>
        <v/>
      </c>
      <c r="AK5071">
        <f>INDEX($R$5000:$R$5127,AD5071+1)</f>
        <v/>
      </c>
      <c r="AL5071">
        <f>INDEX($S$5000:$S$5127,AE5071+1)</f>
        <v/>
      </c>
      <c r="AM5071">
        <f>INDEX($T$5000:$T$5127,AF5071+1)</f>
        <v/>
      </c>
      <c r="AN5071">
        <f>INDEX($U$5000:$U$5127,AG5071+1)</f>
        <v/>
      </c>
      <c r="AO5071">
        <f>INDEX($V$5000:$V$5127,AH5071+1)</f>
        <v/>
      </c>
      <c r="AP5071">
        <f>INDEX($W$5000:$W$5127,AI5071+1)</f>
        <v/>
      </c>
      <c r="AQ5071">
        <f>IF(Q5071&gt;=AJ5071-0.01,1,0)</f>
        <v/>
      </c>
      <c r="AR5071">
        <f>IF(R5071&gt;=AK5071-0.01,1,0)</f>
        <v/>
      </c>
      <c r="AS5071">
        <f>IF(S5071&gt;=AL5071-0.01,1,0)</f>
        <v/>
      </c>
      <c r="AT5071">
        <f>IF(T5071&gt;=AM5071-0.01,1,0)</f>
        <v/>
      </c>
      <c r="AU5071">
        <f>IF(U5071&gt;=AN5071-0.01,1,0)</f>
        <v/>
      </c>
      <c r="AV5071">
        <f>IF(V5071&gt;=AO5071-0.01,1,0)</f>
        <v/>
      </c>
      <c r="AW5071">
        <f>IF(W5071&gt;=AP5071-0.01,1,0)</f>
        <v/>
      </c>
      <c r="AX5071">
        <f>AQ5071*AR5071*AS5071*AT5071*AU5071*AV5071*AW5071</f>
        <v/>
      </c>
    </row>
    <row r="5072">
      <c r="A5072" t="inlineStr"/>
      <c r="B5072">
        <f>Assumptions!$B$60</f>
        <v/>
      </c>
      <c r="C5072" t="n">
        <v>1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0</v>
      </c>
      <c r="J5072">
        <f>(1-C5072)*Assumptions!$B$41+(1-D5072)*Assumptions!$B$33+(1-E5072)*Assumptions!$B$32+(1-F5072)*Assumptions!$B$31+(1-G5072)*Assumptions!$B$30+(1-H5072)*Assumptions!$B$29+(1-I5072)*Assumptions!$B$28</f>
        <v/>
      </c>
      <c r="K5072">
        <f>C5072*$J$157+D5072*$F$157+E5072*$G$157+F5072*Assumptions!$B$14+G5072*Assumptions!$B$13+H5072*Assumptions!$B$12+I5072*Assumptions!$B$11+$O$157+$S$157+Assumptions!$B$9</f>
        <v/>
      </c>
      <c r="L5072">
        <f>B5072-J5072</f>
        <v/>
      </c>
      <c r="M5072">
        <f>IF(K5072&gt;0,IF(L5072/K5072&gt;=Assumptions!$B$37,1,0),0)</f>
        <v/>
      </c>
      <c r="N5072">
        <f>K5072+M5072*Assumptions!$B$153</f>
        <v/>
      </c>
      <c r="O5072">
        <f>L5072+M5072*Assumptions!$B$153*Assumptions!$B$37</f>
        <v/>
      </c>
      <c r="P5072">
        <f>IF(N5072&gt;0,O5072/N5072,0)</f>
        <v/>
      </c>
      <c r="Q5072">
        <f>IF(C5072=1,P5072*$J$157,Assumptions!$B$41)</f>
        <v/>
      </c>
      <c r="R5072">
        <f>IF(D5072=1,P5072*$F$157,Assumptions!$B$33)</f>
        <v/>
      </c>
      <c r="S5072">
        <f>IF(E5072=1,P5072*$G$157,Assumptions!$B$32)</f>
        <v/>
      </c>
      <c r="T5072">
        <f>IF(F5072=1,P5072*Assumptions!$B$14,Assumptions!$B$31)</f>
        <v/>
      </c>
      <c r="U5072">
        <f>IF(G5072=1,P5072*Assumptions!$B$13,Assumptions!$B$30)</f>
        <v/>
      </c>
      <c r="V5072">
        <f>IF(H5072=1,P5072*Assumptions!$B$12,Assumptions!$B$29)</f>
        <v/>
      </c>
      <c r="W5072">
        <f>IF(I5072=1,P5072*Assumptions!$B$11,Assumptions!$B$28)</f>
        <v/>
      </c>
      <c r="X5072">
        <f>P5072*($O$157+$S$157)</f>
        <v/>
      </c>
      <c r="Y5072">
        <f>P5072*Assumptions!$B$9</f>
        <v/>
      </c>
      <c r="Z5072">
        <f>IF(M5072=1,(P5072-Assumptions!$B$37)*Assumptions!$B$153,0)</f>
        <v/>
      </c>
      <c r="AA5072">
        <f>Q5072+R5072+S5072+T5072+U5072+V5072+W5072+X5072+Y5072+Z5072</f>
        <v/>
      </c>
      <c r="AB5072" t="n">
        <v>72</v>
      </c>
      <c r="AC5072" t="n">
        <v>8</v>
      </c>
      <c r="AD5072" t="n">
        <v>104</v>
      </c>
      <c r="AE5072" t="n">
        <v>88</v>
      </c>
      <c r="AF5072" t="n">
        <v>64</v>
      </c>
      <c r="AG5072" t="n">
        <v>76</v>
      </c>
      <c r="AH5072" t="n">
        <v>74</v>
      </c>
      <c r="AI5072" t="n">
        <v>73</v>
      </c>
      <c r="AJ5072">
        <f>INDEX($Q$5000:$Q$5127,AC5072+1)</f>
        <v/>
      </c>
      <c r="AK5072">
        <f>INDEX($R$5000:$R$5127,AD5072+1)</f>
        <v/>
      </c>
      <c r="AL5072">
        <f>INDEX($S$5000:$S$5127,AE5072+1)</f>
        <v/>
      </c>
      <c r="AM5072">
        <f>INDEX($T$5000:$T$5127,AF5072+1)</f>
        <v/>
      </c>
      <c r="AN5072">
        <f>INDEX($U$5000:$U$5127,AG5072+1)</f>
        <v/>
      </c>
      <c r="AO5072">
        <f>INDEX($V$5000:$V$5127,AH5072+1)</f>
        <v/>
      </c>
      <c r="AP5072">
        <f>INDEX($W$5000:$W$5127,AI5072+1)</f>
        <v/>
      </c>
      <c r="AQ5072">
        <f>IF(Q5072&gt;=AJ5072-0.01,1,0)</f>
        <v/>
      </c>
      <c r="AR5072">
        <f>IF(R5072&gt;=AK5072-0.01,1,0)</f>
        <v/>
      </c>
      <c r="AS5072">
        <f>IF(S5072&gt;=AL5072-0.01,1,0)</f>
        <v/>
      </c>
      <c r="AT5072">
        <f>IF(T5072&gt;=AM5072-0.01,1,0)</f>
        <v/>
      </c>
      <c r="AU5072">
        <f>IF(U5072&gt;=AN5072-0.01,1,0)</f>
        <v/>
      </c>
      <c r="AV5072">
        <f>IF(V5072&gt;=AO5072-0.01,1,0)</f>
        <v/>
      </c>
      <c r="AW5072">
        <f>IF(W5072&gt;=AP5072-0.01,1,0)</f>
        <v/>
      </c>
      <c r="AX5072">
        <f>AQ5072*AR5072*AS5072*AT5072*AU5072*AV5072*AW5072</f>
        <v/>
      </c>
    </row>
    <row r="5073">
      <c r="A5073" t="inlineStr"/>
      <c r="B5073">
        <f>Assumptions!$B$60</f>
        <v/>
      </c>
      <c r="C5073" t="n">
        <v>1</v>
      </c>
      <c r="D5073" t="n">
        <v>0</v>
      </c>
      <c r="E5073" t="n">
        <v>0</v>
      </c>
      <c r="F5073" t="n">
        <v>1</v>
      </c>
      <c r="G5073" t="n">
        <v>0</v>
      </c>
      <c r="H5073" t="n">
        <v>0</v>
      </c>
      <c r="I5073" t="n">
        <v>1</v>
      </c>
      <c r="J5073">
        <f>(1-C5073)*Assumptions!$B$41+(1-D5073)*Assumptions!$B$33+(1-E5073)*Assumptions!$B$32+(1-F5073)*Assumptions!$B$31+(1-G5073)*Assumptions!$B$30+(1-H5073)*Assumptions!$B$29+(1-I5073)*Assumptions!$B$28</f>
        <v/>
      </c>
      <c r="K5073">
        <f>C5073*$J$157+D5073*$F$157+E5073*$G$157+F5073*Assumptions!$B$14+G5073*Assumptions!$B$13+H5073*Assumptions!$B$12+I5073*Assumptions!$B$11+$O$157+$S$157+Assumptions!$B$9</f>
        <v/>
      </c>
      <c r="L5073">
        <f>B5073-J5073</f>
        <v/>
      </c>
      <c r="M5073">
        <f>IF(K5073&gt;0,IF(L5073/K5073&gt;=Assumptions!$B$37,1,0),0)</f>
        <v/>
      </c>
      <c r="N5073">
        <f>K5073+M5073*Assumptions!$B$153</f>
        <v/>
      </c>
      <c r="O5073">
        <f>L5073+M5073*Assumptions!$B$153*Assumptions!$B$37</f>
        <v/>
      </c>
      <c r="P5073">
        <f>IF(N5073&gt;0,O5073/N5073,0)</f>
        <v/>
      </c>
      <c r="Q5073">
        <f>IF(C5073=1,P5073*$J$157,Assumptions!$B$41)</f>
        <v/>
      </c>
      <c r="R5073">
        <f>IF(D5073=1,P5073*$F$157,Assumptions!$B$33)</f>
        <v/>
      </c>
      <c r="S5073">
        <f>IF(E5073=1,P5073*$G$157,Assumptions!$B$32)</f>
        <v/>
      </c>
      <c r="T5073">
        <f>IF(F5073=1,P5073*Assumptions!$B$14,Assumptions!$B$31)</f>
        <v/>
      </c>
      <c r="U5073">
        <f>IF(G5073=1,P5073*Assumptions!$B$13,Assumptions!$B$30)</f>
        <v/>
      </c>
      <c r="V5073">
        <f>IF(H5073=1,P5073*Assumptions!$B$12,Assumptions!$B$29)</f>
        <v/>
      </c>
      <c r="W5073">
        <f>IF(I5073=1,P5073*Assumptions!$B$11,Assumptions!$B$28)</f>
        <v/>
      </c>
      <c r="X5073">
        <f>P5073*($O$157+$S$157)</f>
        <v/>
      </c>
      <c r="Y5073">
        <f>P5073*Assumptions!$B$9</f>
        <v/>
      </c>
      <c r="Z5073">
        <f>IF(M5073=1,(P5073-Assumptions!$B$37)*Assumptions!$B$153,0)</f>
        <v/>
      </c>
      <c r="AA5073">
        <f>Q5073+R5073+S5073+T5073+U5073+V5073+W5073+X5073+Y5073+Z5073</f>
        <v/>
      </c>
      <c r="AB5073" t="n">
        <v>73</v>
      </c>
      <c r="AC5073" t="n">
        <v>9</v>
      </c>
      <c r="AD5073" t="n">
        <v>105</v>
      </c>
      <c r="AE5073" t="n">
        <v>89</v>
      </c>
      <c r="AF5073" t="n">
        <v>65</v>
      </c>
      <c r="AG5073" t="n">
        <v>77</v>
      </c>
      <c r="AH5073" t="n">
        <v>75</v>
      </c>
      <c r="AI5073" t="n">
        <v>72</v>
      </c>
      <c r="AJ5073">
        <f>INDEX($Q$5000:$Q$5127,AC5073+1)</f>
        <v/>
      </c>
      <c r="AK5073">
        <f>INDEX($R$5000:$R$5127,AD5073+1)</f>
        <v/>
      </c>
      <c r="AL5073">
        <f>INDEX($S$5000:$S$5127,AE5073+1)</f>
        <v/>
      </c>
      <c r="AM5073">
        <f>INDEX($T$5000:$T$5127,AF5073+1)</f>
        <v/>
      </c>
      <c r="AN5073">
        <f>INDEX($U$5000:$U$5127,AG5073+1)</f>
        <v/>
      </c>
      <c r="AO5073">
        <f>INDEX($V$5000:$V$5127,AH5073+1)</f>
        <v/>
      </c>
      <c r="AP5073">
        <f>INDEX($W$5000:$W$5127,AI5073+1)</f>
        <v/>
      </c>
      <c r="AQ5073">
        <f>IF(Q5073&gt;=AJ5073-0.01,1,0)</f>
        <v/>
      </c>
      <c r="AR5073">
        <f>IF(R5073&gt;=AK5073-0.01,1,0)</f>
        <v/>
      </c>
      <c r="AS5073">
        <f>IF(S5073&gt;=AL5073-0.01,1,0)</f>
        <v/>
      </c>
      <c r="AT5073">
        <f>IF(T5073&gt;=AM5073-0.01,1,0)</f>
        <v/>
      </c>
      <c r="AU5073">
        <f>IF(U5073&gt;=AN5073-0.01,1,0)</f>
        <v/>
      </c>
      <c r="AV5073">
        <f>IF(V5073&gt;=AO5073-0.01,1,0)</f>
        <v/>
      </c>
      <c r="AW5073">
        <f>IF(W5073&gt;=AP5073-0.01,1,0)</f>
        <v/>
      </c>
      <c r="AX5073">
        <f>AQ5073*AR5073*AS5073*AT5073*AU5073*AV5073*AW5073</f>
        <v/>
      </c>
    </row>
    <row r="5074">
      <c r="A5074" t="inlineStr"/>
      <c r="B5074">
        <f>Assumptions!$B$60</f>
        <v/>
      </c>
      <c r="C5074" t="n">
        <v>1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0</v>
      </c>
      <c r="J5074">
        <f>(1-C5074)*Assumptions!$B$41+(1-D5074)*Assumptions!$B$33+(1-E5074)*Assumptions!$B$32+(1-F5074)*Assumptions!$B$31+(1-G5074)*Assumptions!$B$30+(1-H5074)*Assumptions!$B$29+(1-I5074)*Assumptions!$B$28</f>
        <v/>
      </c>
      <c r="K5074">
        <f>C5074*$J$157+D5074*$F$157+E5074*$G$157+F5074*Assumptions!$B$14+G5074*Assumptions!$B$13+H5074*Assumptions!$B$12+I5074*Assumptions!$B$11+$O$157+$S$157+Assumptions!$B$9</f>
        <v/>
      </c>
      <c r="L5074">
        <f>B5074-J5074</f>
        <v/>
      </c>
      <c r="M5074">
        <f>IF(K5074&gt;0,IF(L5074/K5074&gt;=Assumptions!$B$37,1,0),0)</f>
        <v/>
      </c>
      <c r="N5074">
        <f>K5074+M5074*Assumptions!$B$153</f>
        <v/>
      </c>
      <c r="O5074">
        <f>L5074+M5074*Assumptions!$B$153*Assumptions!$B$37</f>
        <v/>
      </c>
      <c r="P5074">
        <f>IF(N5074&gt;0,O5074/N5074,0)</f>
        <v/>
      </c>
      <c r="Q5074">
        <f>IF(C5074=1,P5074*$J$157,Assumptions!$B$41)</f>
        <v/>
      </c>
      <c r="R5074">
        <f>IF(D5074=1,P5074*$F$157,Assumptions!$B$33)</f>
        <v/>
      </c>
      <c r="S5074">
        <f>IF(E5074=1,P5074*$G$157,Assumptions!$B$32)</f>
        <v/>
      </c>
      <c r="T5074">
        <f>IF(F5074=1,P5074*Assumptions!$B$14,Assumptions!$B$31)</f>
        <v/>
      </c>
      <c r="U5074">
        <f>IF(G5074=1,P5074*Assumptions!$B$13,Assumptions!$B$30)</f>
        <v/>
      </c>
      <c r="V5074">
        <f>IF(H5074=1,P5074*Assumptions!$B$12,Assumptions!$B$29)</f>
        <v/>
      </c>
      <c r="W5074">
        <f>IF(I5074=1,P5074*Assumptions!$B$11,Assumptions!$B$28)</f>
        <v/>
      </c>
      <c r="X5074">
        <f>P5074*($O$157+$S$157)</f>
        <v/>
      </c>
      <c r="Y5074">
        <f>P5074*Assumptions!$B$9</f>
        <v/>
      </c>
      <c r="Z5074">
        <f>IF(M5074=1,(P5074-Assumptions!$B$37)*Assumptions!$B$153,0)</f>
        <v/>
      </c>
      <c r="AA5074">
        <f>Q5074+R5074+S5074+T5074+U5074+V5074+W5074+X5074+Y5074+Z5074</f>
        <v/>
      </c>
      <c r="AB5074" t="n">
        <v>74</v>
      </c>
      <c r="AC5074" t="n">
        <v>10</v>
      </c>
      <c r="AD5074" t="n">
        <v>106</v>
      </c>
      <c r="AE5074" t="n">
        <v>90</v>
      </c>
      <c r="AF5074" t="n">
        <v>66</v>
      </c>
      <c r="AG5074" t="n">
        <v>78</v>
      </c>
      <c r="AH5074" t="n">
        <v>72</v>
      </c>
      <c r="AI5074" t="n">
        <v>75</v>
      </c>
      <c r="AJ5074">
        <f>INDEX($Q$5000:$Q$5127,AC5074+1)</f>
        <v/>
      </c>
      <c r="AK5074">
        <f>INDEX($R$5000:$R$5127,AD5074+1)</f>
        <v/>
      </c>
      <c r="AL5074">
        <f>INDEX($S$5000:$S$5127,AE5074+1)</f>
        <v/>
      </c>
      <c r="AM5074">
        <f>INDEX($T$5000:$T$5127,AF5074+1)</f>
        <v/>
      </c>
      <c r="AN5074">
        <f>INDEX($U$5000:$U$5127,AG5074+1)</f>
        <v/>
      </c>
      <c r="AO5074">
        <f>INDEX($V$5000:$V$5127,AH5074+1)</f>
        <v/>
      </c>
      <c r="AP5074">
        <f>INDEX($W$5000:$W$5127,AI5074+1)</f>
        <v/>
      </c>
      <c r="AQ5074">
        <f>IF(Q5074&gt;=AJ5074-0.01,1,0)</f>
        <v/>
      </c>
      <c r="AR5074">
        <f>IF(R5074&gt;=AK5074-0.01,1,0)</f>
        <v/>
      </c>
      <c r="AS5074">
        <f>IF(S5074&gt;=AL5074-0.01,1,0)</f>
        <v/>
      </c>
      <c r="AT5074">
        <f>IF(T5074&gt;=AM5074-0.01,1,0)</f>
        <v/>
      </c>
      <c r="AU5074">
        <f>IF(U5074&gt;=AN5074-0.01,1,0)</f>
        <v/>
      </c>
      <c r="AV5074">
        <f>IF(V5074&gt;=AO5074-0.01,1,0)</f>
        <v/>
      </c>
      <c r="AW5074">
        <f>IF(W5074&gt;=AP5074-0.01,1,0)</f>
        <v/>
      </c>
      <c r="AX5074">
        <f>AQ5074*AR5074*AS5074*AT5074*AU5074*AV5074*AW5074</f>
        <v/>
      </c>
    </row>
    <row r="5075">
      <c r="A5075" t="inlineStr"/>
      <c r="B5075">
        <f>Assumptions!$B$60</f>
        <v/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1</v>
      </c>
      <c r="J5075">
        <f>(1-C5075)*Assumptions!$B$41+(1-D5075)*Assumptions!$B$33+(1-E5075)*Assumptions!$B$32+(1-F5075)*Assumptions!$B$31+(1-G5075)*Assumptions!$B$30+(1-H5075)*Assumptions!$B$29+(1-I5075)*Assumptions!$B$28</f>
        <v/>
      </c>
      <c r="K5075">
        <f>C5075*$J$157+D5075*$F$157+E5075*$G$157+F5075*Assumptions!$B$14+G5075*Assumptions!$B$13+H5075*Assumptions!$B$12+I5075*Assumptions!$B$11+$O$157+$S$157+Assumptions!$B$9</f>
        <v/>
      </c>
      <c r="L5075">
        <f>B5075-J5075</f>
        <v/>
      </c>
      <c r="M5075">
        <f>IF(K5075&gt;0,IF(L5075/K5075&gt;=Assumptions!$B$37,1,0),0)</f>
        <v/>
      </c>
      <c r="N5075">
        <f>K5075+M5075*Assumptions!$B$153</f>
        <v/>
      </c>
      <c r="O5075">
        <f>L5075+M5075*Assumptions!$B$153*Assumptions!$B$37</f>
        <v/>
      </c>
      <c r="P5075">
        <f>IF(N5075&gt;0,O5075/N5075,0)</f>
        <v/>
      </c>
      <c r="Q5075">
        <f>IF(C5075=1,P5075*$J$157,Assumptions!$B$41)</f>
        <v/>
      </c>
      <c r="R5075">
        <f>IF(D5075=1,P5075*$F$157,Assumptions!$B$33)</f>
        <v/>
      </c>
      <c r="S5075">
        <f>IF(E5075=1,P5075*$G$157,Assumptions!$B$32)</f>
        <v/>
      </c>
      <c r="T5075">
        <f>IF(F5075=1,P5075*Assumptions!$B$14,Assumptions!$B$31)</f>
        <v/>
      </c>
      <c r="U5075">
        <f>IF(G5075=1,P5075*Assumptions!$B$13,Assumptions!$B$30)</f>
        <v/>
      </c>
      <c r="V5075">
        <f>IF(H5075=1,P5075*Assumptions!$B$12,Assumptions!$B$29)</f>
        <v/>
      </c>
      <c r="W5075">
        <f>IF(I5075=1,P5075*Assumptions!$B$11,Assumptions!$B$28)</f>
        <v/>
      </c>
      <c r="X5075">
        <f>P5075*($O$157+$S$157)</f>
        <v/>
      </c>
      <c r="Y5075">
        <f>P5075*Assumptions!$B$9</f>
        <v/>
      </c>
      <c r="Z5075">
        <f>IF(M5075=1,(P5075-Assumptions!$B$37)*Assumptions!$B$153,0)</f>
        <v/>
      </c>
      <c r="AA5075">
        <f>Q5075+R5075+S5075+T5075+U5075+V5075+W5075+X5075+Y5075+Z5075</f>
        <v/>
      </c>
      <c r="AB5075" t="n">
        <v>75</v>
      </c>
      <c r="AC5075" t="n">
        <v>11</v>
      </c>
      <c r="AD5075" t="n">
        <v>107</v>
      </c>
      <c r="AE5075" t="n">
        <v>91</v>
      </c>
      <c r="AF5075" t="n">
        <v>67</v>
      </c>
      <c r="AG5075" t="n">
        <v>79</v>
      </c>
      <c r="AH5075" t="n">
        <v>73</v>
      </c>
      <c r="AI5075" t="n">
        <v>74</v>
      </c>
      <c r="AJ5075">
        <f>INDEX($Q$5000:$Q$5127,AC5075+1)</f>
        <v/>
      </c>
      <c r="AK5075">
        <f>INDEX($R$5000:$R$5127,AD5075+1)</f>
        <v/>
      </c>
      <c r="AL5075">
        <f>INDEX($S$5000:$S$5127,AE5075+1)</f>
        <v/>
      </c>
      <c r="AM5075">
        <f>INDEX($T$5000:$T$5127,AF5075+1)</f>
        <v/>
      </c>
      <c r="AN5075">
        <f>INDEX($U$5000:$U$5127,AG5075+1)</f>
        <v/>
      </c>
      <c r="AO5075">
        <f>INDEX($V$5000:$V$5127,AH5075+1)</f>
        <v/>
      </c>
      <c r="AP5075">
        <f>INDEX($W$5000:$W$5127,AI5075+1)</f>
        <v/>
      </c>
      <c r="AQ5075">
        <f>IF(Q5075&gt;=AJ5075-0.01,1,0)</f>
        <v/>
      </c>
      <c r="AR5075">
        <f>IF(R5075&gt;=AK5075-0.01,1,0)</f>
        <v/>
      </c>
      <c r="AS5075">
        <f>IF(S5075&gt;=AL5075-0.01,1,0)</f>
        <v/>
      </c>
      <c r="AT5075">
        <f>IF(T5075&gt;=AM5075-0.01,1,0)</f>
        <v/>
      </c>
      <c r="AU5075">
        <f>IF(U5075&gt;=AN5075-0.01,1,0)</f>
        <v/>
      </c>
      <c r="AV5075">
        <f>IF(V5075&gt;=AO5075-0.01,1,0)</f>
        <v/>
      </c>
      <c r="AW5075">
        <f>IF(W5075&gt;=AP5075-0.01,1,0)</f>
        <v/>
      </c>
      <c r="AX5075">
        <f>AQ5075*AR5075*AS5075*AT5075*AU5075*AV5075*AW5075</f>
        <v/>
      </c>
    </row>
    <row r="5076">
      <c r="A5076" t="inlineStr"/>
      <c r="B5076">
        <f>Assumptions!$B$60</f>
        <v/>
      </c>
      <c r="C5076" t="n">
        <v>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  <c r="J5076">
        <f>(1-C5076)*Assumptions!$B$41+(1-D5076)*Assumptions!$B$33+(1-E5076)*Assumptions!$B$32+(1-F5076)*Assumptions!$B$31+(1-G5076)*Assumptions!$B$30+(1-H5076)*Assumptions!$B$29+(1-I5076)*Assumptions!$B$28</f>
        <v/>
      </c>
      <c r="K5076">
        <f>C5076*$J$157+D5076*$F$157+E5076*$G$157+F5076*Assumptions!$B$14+G5076*Assumptions!$B$13+H5076*Assumptions!$B$12+I5076*Assumptions!$B$11+$O$157+$S$157+Assumptions!$B$9</f>
        <v/>
      </c>
      <c r="L5076">
        <f>B5076-J5076</f>
        <v/>
      </c>
      <c r="M5076">
        <f>IF(K5076&gt;0,IF(L5076/K5076&gt;=Assumptions!$B$37,1,0),0)</f>
        <v/>
      </c>
      <c r="N5076">
        <f>K5076+M5076*Assumptions!$B$153</f>
        <v/>
      </c>
      <c r="O5076">
        <f>L5076+M5076*Assumptions!$B$153*Assumptions!$B$37</f>
        <v/>
      </c>
      <c r="P5076">
        <f>IF(N5076&gt;0,O5076/N5076,0)</f>
        <v/>
      </c>
      <c r="Q5076">
        <f>IF(C5076=1,P5076*$J$157,Assumptions!$B$41)</f>
        <v/>
      </c>
      <c r="R5076">
        <f>IF(D5076=1,P5076*$F$157,Assumptions!$B$33)</f>
        <v/>
      </c>
      <c r="S5076">
        <f>IF(E5076=1,P5076*$G$157,Assumptions!$B$32)</f>
        <v/>
      </c>
      <c r="T5076">
        <f>IF(F5076=1,P5076*Assumptions!$B$14,Assumptions!$B$31)</f>
        <v/>
      </c>
      <c r="U5076">
        <f>IF(G5076=1,P5076*Assumptions!$B$13,Assumptions!$B$30)</f>
        <v/>
      </c>
      <c r="V5076">
        <f>IF(H5076=1,P5076*Assumptions!$B$12,Assumptions!$B$29)</f>
        <v/>
      </c>
      <c r="W5076">
        <f>IF(I5076=1,P5076*Assumptions!$B$11,Assumptions!$B$28)</f>
        <v/>
      </c>
      <c r="X5076">
        <f>P5076*($O$157+$S$157)</f>
        <v/>
      </c>
      <c r="Y5076">
        <f>P5076*Assumptions!$B$9</f>
        <v/>
      </c>
      <c r="Z5076">
        <f>IF(M5076=1,(P5076-Assumptions!$B$37)*Assumptions!$B$153,0)</f>
        <v/>
      </c>
      <c r="AA5076">
        <f>Q5076+R5076+S5076+T5076+U5076+V5076+W5076+X5076+Y5076+Z5076</f>
        <v/>
      </c>
      <c r="AB5076" t="n">
        <v>76</v>
      </c>
      <c r="AC5076" t="n">
        <v>12</v>
      </c>
      <c r="AD5076" t="n">
        <v>108</v>
      </c>
      <c r="AE5076" t="n">
        <v>92</v>
      </c>
      <c r="AF5076" t="n">
        <v>68</v>
      </c>
      <c r="AG5076" t="n">
        <v>72</v>
      </c>
      <c r="AH5076" t="n">
        <v>78</v>
      </c>
      <c r="AI5076" t="n">
        <v>77</v>
      </c>
      <c r="AJ5076">
        <f>INDEX($Q$5000:$Q$5127,AC5076+1)</f>
        <v/>
      </c>
      <c r="AK5076">
        <f>INDEX($R$5000:$R$5127,AD5076+1)</f>
        <v/>
      </c>
      <c r="AL5076">
        <f>INDEX($S$5000:$S$5127,AE5076+1)</f>
        <v/>
      </c>
      <c r="AM5076">
        <f>INDEX($T$5000:$T$5127,AF5076+1)</f>
        <v/>
      </c>
      <c r="AN5076">
        <f>INDEX($U$5000:$U$5127,AG5076+1)</f>
        <v/>
      </c>
      <c r="AO5076">
        <f>INDEX($V$5000:$V$5127,AH5076+1)</f>
        <v/>
      </c>
      <c r="AP5076">
        <f>INDEX($W$5000:$W$5127,AI5076+1)</f>
        <v/>
      </c>
      <c r="AQ5076">
        <f>IF(Q5076&gt;=AJ5076-0.01,1,0)</f>
        <v/>
      </c>
      <c r="AR5076">
        <f>IF(R5076&gt;=AK5076-0.01,1,0)</f>
        <v/>
      </c>
      <c r="AS5076">
        <f>IF(S5076&gt;=AL5076-0.01,1,0)</f>
        <v/>
      </c>
      <c r="AT5076">
        <f>IF(T5076&gt;=AM5076-0.01,1,0)</f>
        <v/>
      </c>
      <c r="AU5076">
        <f>IF(U5076&gt;=AN5076-0.01,1,0)</f>
        <v/>
      </c>
      <c r="AV5076">
        <f>IF(V5076&gt;=AO5076-0.01,1,0)</f>
        <v/>
      </c>
      <c r="AW5076">
        <f>IF(W5076&gt;=AP5076-0.01,1,0)</f>
        <v/>
      </c>
      <c r="AX5076">
        <f>AQ5076*AR5076*AS5076*AT5076*AU5076*AV5076*AW5076</f>
        <v/>
      </c>
    </row>
    <row r="5077">
      <c r="A5077" t="inlineStr"/>
      <c r="B5077">
        <f>Assumptions!$B$60</f>
        <v/>
      </c>
      <c r="C5077" t="n">
        <v>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1</v>
      </c>
      <c r="J5077">
        <f>(1-C5077)*Assumptions!$B$41+(1-D5077)*Assumptions!$B$33+(1-E5077)*Assumptions!$B$32+(1-F5077)*Assumptions!$B$31+(1-G5077)*Assumptions!$B$30+(1-H5077)*Assumptions!$B$29+(1-I5077)*Assumptions!$B$28</f>
        <v/>
      </c>
      <c r="K5077">
        <f>C5077*$J$157+D5077*$F$157+E5077*$G$157+F5077*Assumptions!$B$14+G5077*Assumptions!$B$13+H5077*Assumptions!$B$12+I5077*Assumptions!$B$11+$O$157+$S$157+Assumptions!$B$9</f>
        <v/>
      </c>
      <c r="L5077">
        <f>B5077-J5077</f>
        <v/>
      </c>
      <c r="M5077">
        <f>IF(K5077&gt;0,IF(L5077/K5077&gt;=Assumptions!$B$37,1,0),0)</f>
        <v/>
      </c>
      <c r="N5077">
        <f>K5077+M5077*Assumptions!$B$153</f>
        <v/>
      </c>
      <c r="O5077">
        <f>L5077+M5077*Assumptions!$B$153*Assumptions!$B$37</f>
        <v/>
      </c>
      <c r="P5077">
        <f>IF(N5077&gt;0,O5077/N5077,0)</f>
        <v/>
      </c>
      <c r="Q5077">
        <f>IF(C5077=1,P5077*$J$157,Assumptions!$B$41)</f>
        <v/>
      </c>
      <c r="R5077">
        <f>IF(D5077=1,P5077*$F$157,Assumptions!$B$33)</f>
        <v/>
      </c>
      <c r="S5077">
        <f>IF(E5077=1,P5077*$G$157,Assumptions!$B$32)</f>
        <v/>
      </c>
      <c r="T5077">
        <f>IF(F5077=1,P5077*Assumptions!$B$14,Assumptions!$B$31)</f>
        <v/>
      </c>
      <c r="U5077">
        <f>IF(G5077=1,P5077*Assumptions!$B$13,Assumptions!$B$30)</f>
        <v/>
      </c>
      <c r="V5077">
        <f>IF(H5077=1,P5077*Assumptions!$B$12,Assumptions!$B$29)</f>
        <v/>
      </c>
      <c r="W5077">
        <f>IF(I5077=1,P5077*Assumptions!$B$11,Assumptions!$B$28)</f>
        <v/>
      </c>
      <c r="X5077">
        <f>P5077*($O$157+$S$157)</f>
        <v/>
      </c>
      <c r="Y5077">
        <f>P5077*Assumptions!$B$9</f>
        <v/>
      </c>
      <c r="Z5077">
        <f>IF(M5077=1,(P5077-Assumptions!$B$37)*Assumptions!$B$153,0)</f>
        <v/>
      </c>
      <c r="AA5077">
        <f>Q5077+R5077+S5077+T5077+U5077+V5077+W5077+X5077+Y5077+Z5077</f>
        <v/>
      </c>
      <c r="AB5077" t="n">
        <v>77</v>
      </c>
      <c r="AC5077" t="n">
        <v>13</v>
      </c>
      <c r="AD5077" t="n">
        <v>109</v>
      </c>
      <c r="AE5077" t="n">
        <v>93</v>
      </c>
      <c r="AF5077" t="n">
        <v>69</v>
      </c>
      <c r="AG5077" t="n">
        <v>73</v>
      </c>
      <c r="AH5077" t="n">
        <v>79</v>
      </c>
      <c r="AI5077" t="n">
        <v>76</v>
      </c>
      <c r="AJ5077">
        <f>INDEX($Q$5000:$Q$5127,AC5077+1)</f>
        <v/>
      </c>
      <c r="AK5077">
        <f>INDEX($R$5000:$R$5127,AD5077+1)</f>
        <v/>
      </c>
      <c r="AL5077">
        <f>INDEX($S$5000:$S$5127,AE5077+1)</f>
        <v/>
      </c>
      <c r="AM5077">
        <f>INDEX($T$5000:$T$5127,AF5077+1)</f>
        <v/>
      </c>
      <c r="AN5077">
        <f>INDEX($U$5000:$U$5127,AG5077+1)</f>
        <v/>
      </c>
      <c r="AO5077">
        <f>INDEX($V$5000:$V$5127,AH5077+1)</f>
        <v/>
      </c>
      <c r="AP5077">
        <f>INDEX($W$5000:$W$5127,AI5077+1)</f>
        <v/>
      </c>
      <c r="AQ5077">
        <f>IF(Q5077&gt;=AJ5077-0.01,1,0)</f>
        <v/>
      </c>
      <c r="AR5077">
        <f>IF(R5077&gt;=AK5077-0.01,1,0)</f>
        <v/>
      </c>
      <c r="AS5077">
        <f>IF(S5077&gt;=AL5077-0.01,1,0)</f>
        <v/>
      </c>
      <c r="AT5077">
        <f>IF(T5077&gt;=AM5077-0.01,1,0)</f>
        <v/>
      </c>
      <c r="AU5077">
        <f>IF(U5077&gt;=AN5077-0.01,1,0)</f>
        <v/>
      </c>
      <c r="AV5077">
        <f>IF(V5077&gt;=AO5077-0.01,1,0)</f>
        <v/>
      </c>
      <c r="AW5077">
        <f>IF(W5077&gt;=AP5077-0.01,1,0)</f>
        <v/>
      </c>
      <c r="AX5077">
        <f>AQ5077*AR5077*AS5077*AT5077*AU5077*AV5077*AW5077</f>
        <v/>
      </c>
    </row>
    <row r="5078">
      <c r="A5078" t="inlineStr"/>
      <c r="B5078">
        <f>Assumptions!$B$60</f>
        <v/>
      </c>
      <c r="C5078" t="n">
        <v>1</v>
      </c>
      <c r="D5078" t="n">
        <v>0</v>
      </c>
      <c r="E5078" t="n">
        <v>0</v>
      </c>
      <c r="F5078" t="n">
        <v>1</v>
      </c>
      <c r="G5078" t="n">
        <v>1</v>
      </c>
      <c r="H5078" t="n">
        <v>1</v>
      </c>
      <c r="I5078" t="n">
        <v>0</v>
      </c>
      <c r="J5078">
        <f>(1-C5078)*Assumptions!$B$41+(1-D5078)*Assumptions!$B$33+(1-E5078)*Assumptions!$B$32+(1-F5078)*Assumptions!$B$31+(1-G5078)*Assumptions!$B$30+(1-H5078)*Assumptions!$B$29+(1-I5078)*Assumptions!$B$28</f>
        <v/>
      </c>
      <c r="K5078">
        <f>C5078*$J$157+D5078*$F$157+E5078*$G$157+F5078*Assumptions!$B$14+G5078*Assumptions!$B$13+H5078*Assumptions!$B$12+I5078*Assumptions!$B$11+$O$157+$S$157+Assumptions!$B$9</f>
        <v/>
      </c>
      <c r="L5078">
        <f>B5078-J5078</f>
        <v/>
      </c>
      <c r="M5078">
        <f>IF(K5078&gt;0,IF(L5078/K5078&gt;=Assumptions!$B$37,1,0),0)</f>
        <v/>
      </c>
      <c r="N5078">
        <f>K5078+M5078*Assumptions!$B$153</f>
        <v/>
      </c>
      <c r="O5078">
        <f>L5078+M5078*Assumptions!$B$153*Assumptions!$B$37</f>
        <v/>
      </c>
      <c r="P5078">
        <f>IF(N5078&gt;0,O5078/N5078,0)</f>
        <v/>
      </c>
      <c r="Q5078">
        <f>IF(C5078=1,P5078*$J$157,Assumptions!$B$41)</f>
        <v/>
      </c>
      <c r="R5078">
        <f>IF(D5078=1,P5078*$F$157,Assumptions!$B$33)</f>
        <v/>
      </c>
      <c r="S5078">
        <f>IF(E5078=1,P5078*$G$157,Assumptions!$B$32)</f>
        <v/>
      </c>
      <c r="T5078">
        <f>IF(F5078=1,P5078*Assumptions!$B$14,Assumptions!$B$31)</f>
        <v/>
      </c>
      <c r="U5078">
        <f>IF(G5078=1,P5078*Assumptions!$B$13,Assumptions!$B$30)</f>
        <v/>
      </c>
      <c r="V5078">
        <f>IF(H5078=1,P5078*Assumptions!$B$12,Assumptions!$B$29)</f>
        <v/>
      </c>
      <c r="W5078">
        <f>IF(I5078=1,P5078*Assumptions!$B$11,Assumptions!$B$28)</f>
        <v/>
      </c>
      <c r="X5078">
        <f>P5078*($O$157+$S$157)</f>
        <v/>
      </c>
      <c r="Y5078">
        <f>P5078*Assumptions!$B$9</f>
        <v/>
      </c>
      <c r="Z5078">
        <f>IF(M5078=1,(P5078-Assumptions!$B$37)*Assumptions!$B$153,0)</f>
        <v/>
      </c>
      <c r="AA5078">
        <f>Q5078+R5078+S5078+T5078+U5078+V5078+W5078+X5078+Y5078+Z5078</f>
        <v/>
      </c>
      <c r="AB5078" t="n">
        <v>78</v>
      </c>
      <c r="AC5078" t="n">
        <v>14</v>
      </c>
      <c r="AD5078" t="n">
        <v>110</v>
      </c>
      <c r="AE5078" t="n">
        <v>94</v>
      </c>
      <c r="AF5078" t="n">
        <v>70</v>
      </c>
      <c r="AG5078" t="n">
        <v>74</v>
      </c>
      <c r="AH5078" t="n">
        <v>76</v>
      </c>
      <c r="AI5078" t="n">
        <v>79</v>
      </c>
      <c r="AJ5078">
        <f>INDEX($Q$5000:$Q$5127,AC5078+1)</f>
        <v/>
      </c>
      <c r="AK5078">
        <f>INDEX($R$5000:$R$5127,AD5078+1)</f>
        <v/>
      </c>
      <c r="AL5078">
        <f>INDEX($S$5000:$S$5127,AE5078+1)</f>
        <v/>
      </c>
      <c r="AM5078">
        <f>INDEX($T$5000:$T$5127,AF5078+1)</f>
        <v/>
      </c>
      <c r="AN5078">
        <f>INDEX($U$5000:$U$5127,AG5078+1)</f>
        <v/>
      </c>
      <c r="AO5078">
        <f>INDEX($V$5000:$V$5127,AH5078+1)</f>
        <v/>
      </c>
      <c r="AP5078">
        <f>INDEX($W$5000:$W$5127,AI5078+1)</f>
        <v/>
      </c>
      <c r="AQ5078">
        <f>IF(Q5078&gt;=AJ5078-0.01,1,0)</f>
        <v/>
      </c>
      <c r="AR5078">
        <f>IF(R5078&gt;=AK5078-0.01,1,0)</f>
        <v/>
      </c>
      <c r="AS5078">
        <f>IF(S5078&gt;=AL5078-0.01,1,0)</f>
        <v/>
      </c>
      <c r="AT5078">
        <f>IF(T5078&gt;=AM5078-0.01,1,0)</f>
        <v/>
      </c>
      <c r="AU5078">
        <f>IF(U5078&gt;=AN5078-0.01,1,0)</f>
        <v/>
      </c>
      <c r="AV5078">
        <f>IF(V5078&gt;=AO5078-0.01,1,0)</f>
        <v/>
      </c>
      <c r="AW5078">
        <f>IF(W5078&gt;=AP5078-0.01,1,0)</f>
        <v/>
      </c>
      <c r="AX5078">
        <f>AQ5078*AR5078*AS5078*AT5078*AU5078*AV5078*AW5078</f>
        <v/>
      </c>
    </row>
    <row r="5079">
      <c r="A5079" t="inlineStr"/>
      <c r="B5079">
        <f>Assumptions!$B$60</f>
        <v/>
      </c>
      <c r="C5079" t="n">
        <v>1</v>
      </c>
      <c r="D5079" t="n">
        <v>0</v>
      </c>
      <c r="E5079" t="n">
        <v>0</v>
      </c>
      <c r="F5079" t="n">
        <v>1</v>
      </c>
      <c r="G5079" t="n">
        <v>1</v>
      </c>
      <c r="H5079" t="n">
        <v>1</v>
      </c>
      <c r="I5079" t="n">
        <v>1</v>
      </c>
      <c r="J5079">
        <f>(1-C5079)*Assumptions!$B$41+(1-D5079)*Assumptions!$B$33+(1-E5079)*Assumptions!$B$32+(1-F5079)*Assumptions!$B$31+(1-G5079)*Assumptions!$B$30+(1-H5079)*Assumptions!$B$29+(1-I5079)*Assumptions!$B$28</f>
        <v/>
      </c>
      <c r="K5079">
        <f>C5079*$J$157+D5079*$F$157+E5079*$G$157+F5079*Assumptions!$B$14+G5079*Assumptions!$B$13+H5079*Assumptions!$B$12+I5079*Assumptions!$B$11+$O$157+$S$157+Assumptions!$B$9</f>
        <v/>
      </c>
      <c r="L5079">
        <f>B5079-J5079</f>
        <v/>
      </c>
      <c r="M5079">
        <f>IF(K5079&gt;0,IF(L5079/K5079&gt;=Assumptions!$B$37,1,0),0)</f>
        <v/>
      </c>
      <c r="N5079">
        <f>K5079+M5079*Assumptions!$B$153</f>
        <v/>
      </c>
      <c r="O5079">
        <f>L5079+M5079*Assumptions!$B$153*Assumptions!$B$37</f>
        <v/>
      </c>
      <c r="P5079">
        <f>IF(N5079&gt;0,O5079/N5079,0)</f>
        <v/>
      </c>
      <c r="Q5079">
        <f>IF(C5079=1,P5079*$J$157,Assumptions!$B$41)</f>
        <v/>
      </c>
      <c r="R5079">
        <f>IF(D5079=1,P5079*$F$157,Assumptions!$B$33)</f>
        <v/>
      </c>
      <c r="S5079">
        <f>IF(E5079=1,P5079*$G$157,Assumptions!$B$32)</f>
        <v/>
      </c>
      <c r="T5079">
        <f>IF(F5079=1,P5079*Assumptions!$B$14,Assumptions!$B$31)</f>
        <v/>
      </c>
      <c r="U5079">
        <f>IF(G5079=1,P5079*Assumptions!$B$13,Assumptions!$B$30)</f>
        <v/>
      </c>
      <c r="V5079">
        <f>IF(H5079=1,P5079*Assumptions!$B$12,Assumptions!$B$29)</f>
        <v/>
      </c>
      <c r="W5079">
        <f>IF(I5079=1,P5079*Assumptions!$B$11,Assumptions!$B$28)</f>
        <v/>
      </c>
      <c r="X5079">
        <f>P5079*($O$157+$S$157)</f>
        <v/>
      </c>
      <c r="Y5079">
        <f>P5079*Assumptions!$B$9</f>
        <v/>
      </c>
      <c r="Z5079">
        <f>IF(M5079=1,(P5079-Assumptions!$B$37)*Assumptions!$B$153,0)</f>
        <v/>
      </c>
      <c r="AA5079">
        <f>Q5079+R5079+S5079+T5079+U5079+V5079+W5079+X5079+Y5079+Z5079</f>
        <v/>
      </c>
      <c r="AB5079" t="n">
        <v>79</v>
      </c>
      <c r="AC5079" t="n">
        <v>15</v>
      </c>
      <c r="AD5079" t="n">
        <v>111</v>
      </c>
      <c r="AE5079" t="n">
        <v>95</v>
      </c>
      <c r="AF5079" t="n">
        <v>71</v>
      </c>
      <c r="AG5079" t="n">
        <v>75</v>
      </c>
      <c r="AH5079" t="n">
        <v>77</v>
      </c>
      <c r="AI5079" t="n">
        <v>78</v>
      </c>
      <c r="AJ5079">
        <f>INDEX($Q$5000:$Q$5127,AC5079+1)</f>
        <v/>
      </c>
      <c r="AK5079">
        <f>INDEX($R$5000:$R$5127,AD5079+1)</f>
        <v/>
      </c>
      <c r="AL5079">
        <f>INDEX($S$5000:$S$5127,AE5079+1)</f>
        <v/>
      </c>
      <c r="AM5079">
        <f>INDEX($T$5000:$T$5127,AF5079+1)</f>
        <v/>
      </c>
      <c r="AN5079">
        <f>INDEX($U$5000:$U$5127,AG5079+1)</f>
        <v/>
      </c>
      <c r="AO5079">
        <f>INDEX($V$5000:$V$5127,AH5079+1)</f>
        <v/>
      </c>
      <c r="AP5079">
        <f>INDEX($W$5000:$W$5127,AI5079+1)</f>
        <v/>
      </c>
      <c r="AQ5079">
        <f>IF(Q5079&gt;=AJ5079-0.01,1,0)</f>
        <v/>
      </c>
      <c r="AR5079">
        <f>IF(R5079&gt;=AK5079-0.01,1,0)</f>
        <v/>
      </c>
      <c r="AS5079">
        <f>IF(S5079&gt;=AL5079-0.01,1,0)</f>
        <v/>
      </c>
      <c r="AT5079">
        <f>IF(T5079&gt;=AM5079-0.01,1,0)</f>
        <v/>
      </c>
      <c r="AU5079">
        <f>IF(U5079&gt;=AN5079-0.01,1,0)</f>
        <v/>
      </c>
      <c r="AV5079">
        <f>IF(V5079&gt;=AO5079-0.01,1,0)</f>
        <v/>
      </c>
      <c r="AW5079">
        <f>IF(W5079&gt;=AP5079-0.01,1,0)</f>
        <v/>
      </c>
      <c r="AX5079">
        <f>AQ5079*AR5079*AS5079*AT5079*AU5079*AV5079*AW5079</f>
        <v/>
      </c>
    </row>
    <row r="5080">
      <c r="A5080" t="inlineStr"/>
      <c r="B5080">
        <f>Assumptions!$B$60</f>
        <v/>
      </c>
      <c r="C5080" t="n">
        <v>1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  <c r="J5080">
        <f>(1-C5080)*Assumptions!$B$41+(1-D5080)*Assumptions!$B$33+(1-E5080)*Assumptions!$B$32+(1-F5080)*Assumptions!$B$31+(1-G5080)*Assumptions!$B$30+(1-H5080)*Assumptions!$B$29+(1-I5080)*Assumptions!$B$28</f>
        <v/>
      </c>
      <c r="K5080">
        <f>C5080*$J$157+D5080*$F$157+E5080*$G$157+F5080*Assumptions!$B$14+G5080*Assumptions!$B$13+H5080*Assumptions!$B$12+I5080*Assumptions!$B$11+$O$157+$S$157+Assumptions!$B$9</f>
        <v/>
      </c>
      <c r="L5080">
        <f>B5080-J5080</f>
        <v/>
      </c>
      <c r="M5080">
        <f>IF(K5080&gt;0,IF(L5080/K5080&gt;=Assumptions!$B$37,1,0),0)</f>
        <v/>
      </c>
      <c r="N5080">
        <f>K5080+M5080*Assumptions!$B$153</f>
        <v/>
      </c>
      <c r="O5080">
        <f>L5080+M5080*Assumptions!$B$153*Assumptions!$B$37</f>
        <v/>
      </c>
      <c r="P5080">
        <f>IF(N5080&gt;0,O5080/N5080,0)</f>
        <v/>
      </c>
      <c r="Q5080">
        <f>IF(C5080=1,P5080*$J$157,Assumptions!$B$41)</f>
        <v/>
      </c>
      <c r="R5080">
        <f>IF(D5080=1,P5080*$F$157,Assumptions!$B$33)</f>
        <v/>
      </c>
      <c r="S5080">
        <f>IF(E5080=1,P5080*$G$157,Assumptions!$B$32)</f>
        <v/>
      </c>
      <c r="T5080">
        <f>IF(F5080=1,P5080*Assumptions!$B$14,Assumptions!$B$31)</f>
        <v/>
      </c>
      <c r="U5080">
        <f>IF(G5080=1,P5080*Assumptions!$B$13,Assumptions!$B$30)</f>
        <v/>
      </c>
      <c r="V5080">
        <f>IF(H5080=1,P5080*Assumptions!$B$12,Assumptions!$B$29)</f>
        <v/>
      </c>
      <c r="W5080">
        <f>IF(I5080=1,P5080*Assumptions!$B$11,Assumptions!$B$28)</f>
        <v/>
      </c>
      <c r="X5080">
        <f>P5080*($O$157+$S$157)</f>
        <v/>
      </c>
      <c r="Y5080">
        <f>P5080*Assumptions!$B$9</f>
        <v/>
      </c>
      <c r="Z5080">
        <f>IF(M5080=1,(P5080-Assumptions!$B$37)*Assumptions!$B$153,0)</f>
        <v/>
      </c>
      <c r="AA5080">
        <f>Q5080+R5080+S5080+T5080+U5080+V5080+W5080+X5080+Y5080+Z5080</f>
        <v/>
      </c>
      <c r="AB5080" t="n">
        <v>80</v>
      </c>
      <c r="AC5080" t="n">
        <v>16</v>
      </c>
      <c r="AD5080" t="n">
        <v>112</v>
      </c>
      <c r="AE5080" t="n">
        <v>64</v>
      </c>
      <c r="AF5080" t="n">
        <v>88</v>
      </c>
      <c r="AG5080" t="n">
        <v>84</v>
      </c>
      <c r="AH5080" t="n">
        <v>82</v>
      </c>
      <c r="AI5080" t="n">
        <v>81</v>
      </c>
      <c r="AJ5080">
        <f>INDEX($Q$5000:$Q$5127,AC5080+1)</f>
        <v/>
      </c>
      <c r="AK5080">
        <f>INDEX($R$5000:$R$5127,AD5080+1)</f>
        <v/>
      </c>
      <c r="AL5080">
        <f>INDEX($S$5000:$S$5127,AE5080+1)</f>
        <v/>
      </c>
      <c r="AM5080">
        <f>INDEX($T$5000:$T$5127,AF5080+1)</f>
        <v/>
      </c>
      <c r="AN5080">
        <f>INDEX($U$5000:$U$5127,AG5080+1)</f>
        <v/>
      </c>
      <c r="AO5080">
        <f>INDEX($V$5000:$V$5127,AH5080+1)</f>
        <v/>
      </c>
      <c r="AP5080">
        <f>INDEX($W$5000:$W$5127,AI5080+1)</f>
        <v/>
      </c>
      <c r="AQ5080">
        <f>IF(Q5080&gt;=AJ5080-0.01,1,0)</f>
        <v/>
      </c>
      <c r="AR5080">
        <f>IF(R5080&gt;=AK5080-0.01,1,0)</f>
        <v/>
      </c>
      <c r="AS5080">
        <f>IF(S5080&gt;=AL5080-0.01,1,0)</f>
        <v/>
      </c>
      <c r="AT5080">
        <f>IF(T5080&gt;=AM5080-0.01,1,0)</f>
        <v/>
      </c>
      <c r="AU5080">
        <f>IF(U5080&gt;=AN5080-0.01,1,0)</f>
        <v/>
      </c>
      <c r="AV5080">
        <f>IF(V5080&gt;=AO5080-0.01,1,0)</f>
        <v/>
      </c>
      <c r="AW5080">
        <f>IF(W5080&gt;=AP5080-0.01,1,0)</f>
        <v/>
      </c>
      <c r="AX5080">
        <f>AQ5080*AR5080*AS5080*AT5080*AU5080*AV5080*AW5080</f>
        <v/>
      </c>
    </row>
    <row r="5081">
      <c r="A5081" t="inlineStr"/>
      <c r="B5081">
        <f>Assumptions!$B$60</f>
        <v/>
      </c>
      <c r="C5081" t="n">
        <v>1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  <c r="J5081">
        <f>(1-C5081)*Assumptions!$B$41+(1-D5081)*Assumptions!$B$33+(1-E5081)*Assumptions!$B$32+(1-F5081)*Assumptions!$B$31+(1-G5081)*Assumptions!$B$30+(1-H5081)*Assumptions!$B$29+(1-I5081)*Assumptions!$B$28</f>
        <v/>
      </c>
      <c r="K5081">
        <f>C5081*$J$157+D5081*$F$157+E5081*$G$157+F5081*Assumptions!$B$14+G5081*Assumptions!$B$13+H5081*Assumptions!$B$12+I5081*Assumptions!$B$11+$O$157+$S$157+Assumptions!$B$9</f>
        <v/>
      </c>
      <c r="L5081">
        <f>B5081-J5081</f>
        <v/>
      </c>
      <c r="M5081">
        <f>IF(K5081&gt;0,IF(L5081/K5081&gt;=Assumptions!$B$37,1,0),0)</f>
        <v/>
      </c>
      <c r="N5081">
        <f>K5081+M5081*Assumptions!$B$153</f>
        <v/>
      </c>
      <c r="O5081">
        <f>L5081+M5081*Assumptions!$B$153*Assumptions!$B$37</f>
        <v/>
      </c>
      <c r="P5081">
        <f>IF(N5081&gt;0,O5081/N5081,0)</f>
        <v/>
      </c>
      <c r="Q5081">
        <f>IF(C5081=1,P5081*$J$157,Assumptions!$B$41)</f>
        <v/>
      </c>
      <c r="R5081">
        <f>IF(D5081=1,P5081*$F$157,Assumptions!$B$33)</f>
        <v/>
      </c>
      <c r="S5081">
        <f>IF(E5081=1,P5081*$G$157,Assumptions!$B$32)</f>
        <v/>
      </c>
      <c r="T5081">
        <f>IF(F5081=1,P5081*Assumptions!$B$14,Assumptions!$B$31)</f>
        <v/>
      </c>
      <c r="U5081">
        <f>IF(G5081=1,P5081*Assumptions!$B$13,Assumptions!$B$30)</f>
        <v/>
      </c>
      <c r="V5081">
        <f>IF(H5081=1,P5081*Assumptions!$B$12,Assumptions!$B$29)</f>
        <v/>
      </c>
      <c r="W5081">
        <f>IF(I5081=1,P5081*Assumptions!$B$11,Assumptions!$B$28)</f>
        <v/>
      </c>
      <c r="X5081">
        <f>P5081*($O$157+$S$157)</f>
        <v/>
      </c>
      <c r="Y5081">
        <f>P5081*Assumptions!$B$9</f>
        <v/>
      </c>
      <c r="Z5081">
        <f>IF(M5081=1,(P5081-Assumptions!$B$37)*Assumptions!$B$153,0)</f>
        <v/>
      </c>
      <c r="AA5081">
        <f>Q5081+R5081+S5081+T5081+U5081+V5081+W5081+X5081+Y5081+Z5081</f>
        <v/>
      </c>
      <c r="AB5081" t="n">
        <v>81</v>
      </c>
      <c r="AC5081" t="n">
        <v>17</v>
      </c>
      <c r="AD5081" t="n">
        <v>113</v>
      </c>
      <c r="AE5081" t="n">
        <v>65</v>
      </c>
      <c r="AF5081" t="n">
        <v>89</v>
      </c>
      <c r="AG5081" t="n">
        <v>85</v>
      </c>
      <c r="AH5081" t="n">
        <v>83</v>
      </c>
      <c r="AI5081" t="n">
        <v>80</v>
      </c>
      <c r="AJ5081">
        <f>INDEX($Q$5000:$Q$5127,AC5081+1)</f>
        <v/>
      </c>
      <c r="AK5081">
        <f>INDEX($R$5000:$R$5127,AD5081+1)</f>
        <v/>
      </c>
      <c r="AL5081">
        <f>INDEX($S$5000:$S$5127,AE5081+1)</f>
        <v/>
      </c>
      <c r="AM5081">
        <f>INDEX($T$5000:$T$5127,AF5081+1)</f>
        <v/>
      </c>
      <c r="AN5081">
        <f>INDEX($U$5000:$U$5127,AG5081+1)</f>
        <v/>
      </c>
      <c r="AO5081">
        <f>INDEX($V$5000:$V$5127,AH5081+1)</f>
        <v/>
      </c>
      <c r="AP5081">
        <f>INDEX($W$5000:$W$5127,AI5081+1)</f>
        <v/>
      </c>
      <c r="AQ5081">
        <f>IF(Q5081&gt;=AJ5081-0.01,1,0)</f>
        <v/>
      </c>
      <c r="AR5081">
        <f>IF(R5081&gt;=AK5081-0.01,1,0)</f>
        <v/>
      </c>
      <c r="AS5081">
        <f>IF(S5081&gt;=AL5081-0.01,1,0)</f>
        <v/>
      </c>
      <c r="AT5081">
        <f>IF(T5081&gt;=AM5081-0.01,1,0)</f>
        <v/>
      </c>
      <c r="AU5081">
        <f>IF(U5081&gt;=AN5081-0.01,1,0)</f>
        <v/>
      </c>
      <c r="AV5081">
        <f>IF(V5081&gt;=AO5081-0.01,1,0)</f>
        <v/>
      </c>
      <c r="AW5081">
        <f>IF(W5081&gt;=AP5081-0.01,1,0)</f>
        <v/>
      </c>
      <c r="AX5081">
        <f>AQ5081*AR5081*AS5081*AT5081*AU5081*AV5081*AW5081</f>
        <v/>
      </c>
    </row>
    <row r="5082">
      <c r="A5082" t="inlineStr"/>
      <c r="B5082">
        <f>Assumptions!$B$60</f>
        <v/>
      </c>
      <c r="C5082" t="n">
        <v>1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  <c r="I5082" t="n">
        <v>0</v>
      </c>
      <c r="J5082">
        <f>(1-C5082)*Assumptions!$B$41+(1-D5082)*Assumptions!$B$33+(1-E5082)*Assumptions!$B$32+(1-F5082)*Assumptions!$B$31+(1-G5082)*Assumptions!$B$30+(1-H5082)*Assumptions!$B$29+(1-I5082)*Assumptions!$B$28</f>
        <v/>
      </c>
      <c r="K5082">
        <f>C5082*$J$157+D5082*$F$157+E5082*$G$157+F5082*Assumptions!$B$14+G5082*Assumptions!$B$13+H5082*Assumptions!$B$12+I5082*Assumptions!$B$11+$O$157+$S$157+Assumptions!$B$9</f>
        <v/>
      </c>
      <c r="L5082">
        <f>B5082-J5082</f>
        <v/>
      </c>
      <c r="M5082">
        <f>IF(K5082&gt;0,IF(L5082/K5082&gt;=Assumptions!$B$37,1,0),0)</f>
        <v/>
      </c>
      <c r="N5082">
        <f>K5082+M5082*Assumptions!$B$153</f>
        <v/>
      </c>
      <c r="O5082">
        <f>L5082+M5082*Assumptions!$B$153*Assumptions!$B$37</f>
        <v/>
      </c>
      <c r="P5082">
        <f>IF(N5082&gt;0,O5082/N5082,0)</f>
        <v/>
      </c>
      <c r="Q5082">
        <f>IF(C5082=1,P5082*$J$157,Assumptions!$B$41)</f>
        <v/>
      </c>
      <c r="R5082">
        <f>IF(D5082=1,P5082*$F$157,Assumptions!$B$33)</f>
        <v/>
      </c>
      <c r="S5082">
        <f>IF(E5082=1,P5082*$G$157,Assumptions!$B$32)</f>
        <v/>
      </c>
      <c r="T5082">
        <f>IF(F5082=1,P5082*Assumptions!$B$14,Assumptions!$B$31)</f>
        <v/>
      </c>
      <c r="U5082">
        <f>IF(G5082=1,P5082*Assumptions!$B$13,Assumptions!$B$30)</f>
        <v/>
      </c>
      <c r="V5082">
        <f>IF(H5082=1,P5082*Assumptions!$B$12,Assumptions!$B$29)</f>
        <v/>
      </c>
      <c r="W5082">
        <f>IF(I5082=1,P5082*Assumptions!$B$11,Assumptions!$B$28)</f>
        <v/>
      </c>
      <c r="X5082">
        <f>P5082*($O$157+$S$157)</f>
        <v/>
      </c>
      <c r="Y5082">
        <f>P5082*Assumptions!$B$9</f>
        <v/>
      </c>
      <c r="Z5082">
        <f>IF(M5082=1,(P5082-Assumptions!$B$37)*Assumptions!$B$153,0)</f>
        <v/>
      </c>
      <c r="AA5082">
        <f>Q5082+R5082+S5082+T5082+U5082+V5082+W5082+X5082+Y5082+Z5082</f>
        <v/>
      </c>
      <c r="AB5082" t="n">
        <v>82</v>
      </c>
      <c r="AC5082" t="n">
        <v>18</v>
      </c>
      <c r="AD5082" t="n">
        <v>114</v>
      </c>
      <c r="AE5082" t="n">
        <v>66</v>
      </c>
      <c r="AF5082" t="n">
        <v>90</v>
      </c>
      <c r="AG5082" t="n">
        <v>86</v>
      </c>
      <c r="AH5082" t="n">
        <v>80</v>
      </c>
      <c r="AI5082" t="n">
        <v>83</v>
      </c>
      <c r="AJ5082">
        <f>INDEX($Q$5000:$Q$5127,AC5082+1)</f>
        <v/>
      </c>
      <c r="AK5082">
        <f>INDEX($R$5000:$R$5127,AD5082+1)</f>
        <v/>
      </c>
      <c r="AL5082">
        <f>INDEX($S$5000:$S$5127,AE5082+1)</f>
        <v/>
      </c>
      <c r="AM5082">
        <f>INDEX($T$5000:$T$5127,AF5082+1)</f>
        <v/>
      </c>
      <c r="AN5082">
        <f>INDEX($U$5000:$U$5127,AG5082+1)</f>
        <v/>
      </c>
      <c r="AO5082">
        <f>INDEX($V$5000:$V$5127,AH5082+1)</f>
        <v/>
      </c>
      <c r="AP5082">
        <f>INDEX($W$5000:$W$5127,AI5082+1)</f>
        <v/>
      </c>
      <c r="AQ5082">
        <f>IF(Q5082&gt;=AJ5082-0.01,1,0)</f>
        <v/>
      </c>
      <c r="AR5082">
        <f>IF(R5082&gt;=AK5082-0.01,1,0)</f>
        <v/>
      </c>
      <c r="AS5082">
        <f>IF(S5082&gt;=AL5082-0.01,1,0)</f>
        <v/>
      </c>
      <c r="AT5082">
        <f>IF(T5082&gt;=AM5082-0.01,1,0)</f>
        <v/>
      </c>
      <c r="AU5082">
        <f>IF(U5082&gt;=AN5082-0.01,1,0)</f>
        <v/>
      </c>
      <c r="AV5082">
        <f>IF(V5082&gt;=AO5082-0.01,1,0)</f>
        <v/>
      </c>
      <c r="AW5082">
        <f>IF(W5082&gt;=AP5082-0.01,1,0)</f>
        <v/>
      </c>
      <c r="AX5082">
        <f>AQ5082*AR5082*AS5082*AT5082*AU5082*AV5082*AW5082</f>
        <v/>
      </c>
    </row>
    <row r="5083">
      <c r="A5083" t="inlineStr"/>
      <c r="B5083">
        <f>Assumptions!$B$60</f>
        <v/>
      </c>
      <c r="C5083" t="n">
        <v>1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  <c r="I5083" t="n">
        <v>1</v>
      </c>
      <c r="J5083">
        <f>(1-C5083)*Assumptions!$B$41+(1-D5083)*Assumptions!$B$33+(1-E5083)*Assumptions!$B$32+(1-F5083)*Assumptions!$B$31+(1-G5083)*Assumptions!$B$30+(1-H5083)*Assumptions!$B$29+(1-I5083)*Assumptions!$B$28</f>
        <v/>
      </c>
      <c r="K5083">
        <f>C5083*$J$157+D5083*$F$157+E5083*$G$157+F5083*Assumptions!$B$14+G5083*Assumptions!$B$13+H5083*Assumptions!$B$12+I5083*Assumptions!$B$11+$O$157+$S$157+Assumptions!$B$9</f>
        <v/>
      </c>
      <c r="L5083">
        <f>B5083-J5083</f>
        <v/>
      </c>
      <c r="M5083">
        <f>IF(K5083&gt;0,IF(L5083/K5083&gt;=Assumptions!$B$37,1,0),0)</f>
        <v/>
      </c>
      <c r="N5083">
        <f>K5083+M5083*Assumptions!$B$153</f>
        <v/>
      </c>
      <c r="O5083">
        <f>L5083+M5083*Assumptions!$B$153*Assumptions!$B$37</f>
        <v/>
      </c>
      <c r="P5083">
        <f>IF(N5083&gt;0,O5083/N5083,0)</f>
        <v/>
      </c>
      <c r="Q5083">
        <f>IF(C5083=1,P5083*$J$157,Assumptions!$B$41)</f>
        <v/>
      </c>
      <c r="R5083">
        <f>IF(D5083=1,P5083*$F$157,Assumptions!$B$33)</f>
        <v/>
      </c>
      <c r="S5083">
        <f>IF(E5083=1,P5083*$G$157,Assumptions!$B$32)</f>
        <v/>
      </c>
      <c r="T5083">
        <f>IF(F5083=1,P5083*Assumptions!$B$14,Assumptions!$B$31)</f>
        <v/>
      </c>
      <c r="U5083">
        <f>IF(G5083=1,P5083*Assumptions!$B$13,Assumptions!$B$30)</f>
        <v/>
      </c>
      <c r="V5083">
        <f>IF(H5083=1,P5083*Assumptions!$B$12,Assumptions!$B$29)</f>
        <v/>
      </c>
      <c r="W5083">
        <f>IF(I5083=1,P5083*Assumptions!$B$11,Assumptions!$B$28)</f>
        <v/>
      </c>
      <c r="X5083">
        <f>P5083*($O$157+$S$157)</f>
        <v/>
      </c>
      <c r="Y5083">
        <f>P5083*Assumptions!$B$9</f>
        <v/>
      </c>
      <c r="Z5083">
        <f>IF(M5083=1,(P5083-Assumptions!$B$37)*Assumptions!$B$153,0)</f>
        <v/>
      </c>
      <c r="AA5083">
        <f>Q5083+R5083+S5083+T5083+U5083+V5083+W5083+X5083+Y5083+Z5083</f>
        <v/>
      </c>
      <c r="AB5083" t="n">
        <v>83</v>
      </c>
      <c r="AC5083" t="n">
        <v>19</v>
      </c>
      <c r="AD5083" t="n">
        <v>115</v>
      </c>
      <c r="AE5083" t="n">
        <v>67</v>
      </c>
      <c r="AF5083" t="n">
        <v>91</v>
      </c>
      <c r="AG5083" t="n">
        <v>87</v>
      </c>
      <c r="AH5083" t="n">
        <v>81</v>
      </c>
      <c r="AI5083" t="n">
        <v>82</v>
      </c>
      <c r="AJ5083">
        <f>INDEX($Q$5000:$Q$5127,AC5083+1)</f>
        <v/>
      </c>
      <c r="AK5083">
        <f>INDEX($R$5000:$R$5127,AD5083+1)</f>
        <v/>
      </c>
      <c r="AL5083">
        <f>INDEX($S$5000:$S$5127,AE5083+1)</f>
        <v/>
      </c>
      <c r="AM5083">
        <f>INDEX($T$5000:$T$5127,AF5083+1)</f>
        <v/>
      </c>
      <c r="AN5083">
        <f>INDEX($U$5000:$U$5127,AG5083+1)</f>
        <v/>
      </c>
      <c r="AO5083">
        <f>INDEX($V$5000:$V$5127,AH5083+1)</f>
        <v/>
      </c>
      <c r="AP5083">
        <f>INDEX($W$5000:$W$5127,AI5083+1)</f>
        <v/>
      </c>
      <c r="AQ5083">
        <f>IF(Q5083&gt;=AJ5083-0.01,1,0)</f>
        <v/>
      </c>
      <c r="AR5083">
        <f>IF(R5083&gt;=AK5083-0.01,1,0)</f>
        <v/>
      </c>
      <c r="AS5083">
        <f>IF(S5083&gt;=AL5083-0.01,1,0)</f>
        <v/>
      </c>
      <c r="AT5083">
        <f>IF(T5083&gt;=AM5083-0.01,1,0)</f>
        <v/>
      </c>
      <c r="AU5083">
        <f>IF(U5083&gt;=AN5083-0.01,1,0)</f>
        <v/>
      </c>
      <c r="AV5083">
        <f>IF(V5083&gt;=AO5083-0.01,1,0)</f>
        <v/>
      </c>
      <c r="AW5083">
        <f>IF(W5083&gt;=AP5083-0.01,1,0)</f>
        <v/>
      </c>
      <c r="AX5083">
        <f>AQ5083*AR5083*AS5083*AT5083*AU5083*AV5083*AW5083</f>
        <v/>
      </c>
    </row>
    <row r="5084">
      <c r="A5084" t="inlineStr"/>
      <c r="B5084">
        <f>Assumptions!$B$60</f>
        <v/>
      </c>
      <c r="C5084" t="n">
        <v>1</v>
      </c>
      <c r="D5084" t="n">
        <v>0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>
        <f>(1-C5084)*Assumptions!$B$41+(1-D5084)*Assumptions!$B$33+(1-E5084)*Assumptions!$B$32+(1-F5084)*Assumptions!$B$31+(1-G5084)*Assumptions!$B$30+(1-H5084)*Assumptions!$B$29+(1-I5084)*Assumptions!$B$28</f>
        <v/>
      </c>
      <c r="K5084">
        <f>C5084*$J$157+D5084*$F$157+E5084*$G$157+F5084*Assumptions!$B$14+G5084*Assumptions!$B$13+H5084*Assumptions!$B$12+I5084*Assumptions!$B$11+$O$157+$S$157+Assumptions!$B$9</f>
        <v/>
      </c>
      <c r="L5084">
        <f>B5084-J5084</f>
        <v/>
      </c>
      <c r="M5084">
        <f>IF(K5084&gt;0,IF(L5084/K5084&gt;=Assumptions!$B$37,1,0),0)</f>
        <v/>
      </c>
      <c r="N5084">
        <f>K5084+M5084*Assumptions!$B$153</f>
        <v/>
      </c>
      <c r="O5084">
        <f>L5084+M5084*Assumptions!$B$153*Assumptions!$B$37</f>
        <v/>
      </c>
      <c r="P5084">
        <f>IF(N5084&gt;0,O5084/N5084,0)</f>
        <v/>
      </c>
      <c r="Q5084">
        <f>IF(C5084=1,P5084*$J$157,Assumptions!$B$41)</f>
        <v/>
      </c>
      <c r="R5084">
        <f>IF(D5084=1,P5084*$F$157,Assumptions!$B$33)</f>
        <v/>
      </c>
      <c r="S5084">
        <f>IF(E5084=1,P5084*$G$157,Assumptions!$B$32)</f>
        <v/>
      </c>
      <c r="T5084">
        <f>IF(F5084=1,P5084*Assumptions!$B$14,Assumptions!$B$31)</f>
        <v/>
      </c>
      <c r="U5084">
        <f>IF(G5084=1,P5084*Assumptions!$B$13,Assumptions!$B$30)</f>
        <v/>
      </c>
      <c r="V5084">
        <f>IF(H5084=1,P5084*Assumptions!$B$12,Assumptions!$B$29)</f>
        <v/>
      </c>
      <c r="W5084">
        <f>IF(I5084=1,P5084*Assumptions!$B$11,Assumptions!$B$28)</f>
        <v/>
      </c>
      <c r="X5084">
        <f>P5084*($O$157+$S$157)</f>
        <v/>
      </c>
      <c r="Y5084">
        <f>P5084*Assumptions!$B$9</f>
        <v/>
      </c>
      <c r="Z5084">
        <f>IF(M5084=1,(P5084-Assumptions!$B$37)*Assumptions!$B$153,0)</f>
        <v/>
      </c>
      <c r="AA5084">
        <f>Q5084+R5084+S5084+T5084+U5084+V5084+W5084+X5084+Y5084+Z5084</f>
        <v/>
      </c>
      <c r="AB5084" t="n">
        <v>84</v>
      </c>
      <c r="AC5084" t="n">
        <v>20</v>
      </c>
      <c r="AD5084" t="n">
        <v>116</v>
      </c>
      <c r="AE5084" t="n">
        <v>68</v>
      </c>
      <c r="AF5084" t="n">
        <v>92</v>
      </c>
      <c r="AG5084" t="n">
        <v>80</v>
      </c>
      <c r="AH5084" t="n">
        <v>86</v>
      </c>
      <c r="AI5084" t="n">
        <v>85</v>
      </c>
      <c r="AJ5084">
        <f>INDEX($Q$5000:$Q$5127,AC5084+1)</f>
        <v/>
      </c>
      <c r="AK5084">
        <f>INDEX($R$5000:$R$5127,AD5084+1)</f>
        <v/>
      </c>
      <c r="AL5084">
        <f>INDEX($S$5000:$S$5127,AE5084+1)</f>
        <v/>
      </c>
      <c r="AM5084">
        <f>INDEX($T$5000:$T$5127,AF5084+1)</f>
        <v/>
      </c>
      <c r="AN5084">
        <f>INDEX($U$5000:$U$5127,AG5084+1)</f>
        <v/>
      </c>
      <c r="AO5084">
        <f>INDEX($V$5000:$V$5127,AH5084+1)</f>
        <v/>
      </c>
      <c r="AP5084">
        <f>INDEX($W$5000:$W$5127,AI5084+1)</f>
        <v/>
      </c>
      <c r="AQ5084">
        <f>IF(Q5084&gt;=AJ5084-0.01,1,0)</f>
        <v/>
      </c>
      <c r="AR5084">
        <f>IF(R5084&gt;=AK5084-0.01,1,0)</f>
        <v/>
      </c>
      <c r="AS5084">
        <f>IF(S5084&gt;=AL5084-0.01,1,0)</f>
        <v/>
      </c>
      <c r="AT5084">
        <f>IF(T5084&gt;=AM5084-0.01,1,0)</f>
        <v/>
      </c>
      <c r="AU5084">
        <f>IF(U5084&gt;=AN5084-0.01,1,0)</f>
        <v/>
      </c>
      <c r="AV5084">
        <f>IF(V5084&gt;=AO5084-0.01,1,0)</f>
        <v/>
      </c>
      <c r="AW5084">
        <f>IF(W5084&gt;=AP5084-0.01,1,0)</f>
        <v/>
      </c>
      <c r="AX5084">
        <f>AQ5084*AR5084*AS5084*AT5084*AU5084*AV5084*AW5084</f>
        <v/>
      </c>
    </row>
    <row r="5085">
      <c r="A5085" t="inlineStr"/>
      <c r="B5085">
        <f>Assumptions!$B$60</f>
        <v/>
      </c>
      <c r="C5085" t="n">
        <v>1</v>
      </c>
      <c r="D5085" t="n">
        <v>0</v>
      </c>
      <c r="E5085" t="n">
        <v>1</v>
      </c>
      <c r="F5085" t="n">
        <v>0</v>
      </c>
      <c r="G5085" t="n">
        <v>1</v>
      </c>
      <c r="H5085" t="n">
        <v>0</v>
      </c>
      <c r="I5085" t="n">
        <v>1</v>
      </c>
      <c r="J5085">
        <f>(1-C5085)*Assumptions!$B$41+(1-D5085)*Assumptions!$B$33+(1-E5085)*Assumptions!$B$32+(1-F5085)*Assumptions!$B$31+(1-G5085)*Assumptions!$B$30+(1-H5085)*Assumptions!$B$29+(1-I5085)*Assumptions!$B$28</f>
        <v/>
      </c>
      <c r="K5085">
        <f>C5085*$J$157+D5085*$F$157+E5085*$G$157+F5085*Assumptions!$B$14+G5085*Assumptions!$B$13+H5085*Assumptions!$B$12+I5085*Assumptions!$B$11+$O$157+$S$157+Assumptions!$B$9</f>
        <v/>
      </c>
      <c r="L5085">
        <f>B5085-J5085</f>
        <v/>
      </c>
      <c r="M5085">
        <f>IF(K5085&gt;0,IF(L5085/K5085&gt;=Assumptions!$B$37,1,0),0)</f>
        <v/>
      </c>
      <c r="N5085">
        <f>K5085+M5085*Assumptions!$B$153</f>
        <v/>
      </c>
      <c r="O5085">
        <f>L5085+M5085*Assumptions!$B$153*Assumptions!$B$37</f>
        <v/>
      </c>
      <c r="P5085">
        <f>IF(N5085&gt;0,O5085/N5085,0)</f>
        <v/>
      </c>
      <c r="Q5085">
        <f>IF(C5085=1,P5085*$J$157,Assumptions!$B$41)</f>
        <v/>
      </c>
      <c r="R5085">
        <f>IF(D5085=1,P5085*$F$157,Assumptions!$B$33)</f>
        <v/>
      </c>
      <c r="S5085">
        <f>IF(E5085=1,P5085*$G$157,Assumptions!$B$32)</f>
        <v/>
      </c>
      <c r="T5085">
        <f>IF(F5085=1,P5085*Assumptions!$B$14,Assumptions!$B$31)</f>
        <v/>
      </c>
      <c r="U5085">
        <f>IF(G5085=1,P5085*Assumptions!$B$13,Assumptions!$B$30)</f>
        <v/>
      </c>
      <c r="V5085">
        <f>IF(H5085=1,P5085*Assumptions!$B$12,Assumptions!$B$29)</f>
        <v/>
      </c>
      <c r="W5085">
        <f>IF(I5085=1,P5085*Assumptions!$B$11,Assumptions!$B$28)</f>
        <v/>
      </c>
      <c r="X5085">
        <f>P5085*($O$157+$S$157)</f>
        <v/>
      </c>
      <c r="Y5085">
        <f>P5085*Assumptions!$B$9</f>
        <v/>
      </c>
      <c r="Z5085">
        <f>IF(M5085=1,(P5085-Assumptions!$B$37)*Assumptions!$B$153,0)</f>
        <v/>
      </c>
      <c r="AA5085">
        <f>Q5085+R5085+S5085+T5085+U5085+V5085+W5085+X5085+Y5085+Z5085</f>
        <v/>
      </c>
      <c r="AB5085" t="n">
        <v>85</v>
      </c>
      <c r="AC5085" t="n">
        <v>21</v>
      </c>
      <c r="AD5085" t="n">
        <v>117</v>
      </c>
      <c r="AE5085" t="n">
        <v>69</v>
      </c>
      <c r="AF5085" t="n">
        <v>93</v>
      </c>
      <c r="AG5085" t="n">
        <v>81</v>
      </c>
      <c r="AH5085" t="n">
        <v>87</v>
      </c>
      <c r="AI5085" t="n">
        <v>84</v>
      </c>
      <c r="AJ5085">
        <f>INDEX($Q$5000:$Q$5127,AC5085+1)</f>
        <v/>
      </c>
      <c r="AK5085">
        <f>INDEX($R$5000:$R$5127,AD5085+1)</f>
        <v/>
      </c>
      <c r="AL5085">
        <f>INDEX($S$5000:$S$5127,AE5085+1)</f>
        <v/>
      </c>
      <c r="AM5085">
        <f>INDEX($T$5000:$T$5127,AF5085+1)</f>
        <v/>
      </c>
      <c r="AN5085">
        <f>INDEX($U$5000:$U$5127,AG5085+1)</f>
        <v/>
      </c>
      <c r="AO5085">
        <f>INDEX($V$5000:$V$5127,AH5085+1)</f>
        <v/>
      </c>
      <c r="AP5085">
        <f>INDEX($W$5000:$W$5127,AI5085+1)</f>
        <v/>
      </c>
      <c r="AQ5085">
        <f>IF(Q5085&gt;=AJ5085-0.01,1,0)</f>
        <v/>
      </c>
      <c r="AR5085">
        <f>IF(R5085&gt;=AK5085-0.01,1,0)</f>
        <v/>
      </c>
      <c r="AS5085">
        <f>IF(S5085&gt;=AL5085-0.01,1,0)</f>
        <v/>
      </c>
      <c r="AT5085">
        <f>IF(T5085&gt;=AM5085-0.01,1,0)</f>
        <v/>
      </c>
      <c r="AU5085">
        <f>IF(U5085&gt;=AN5085-0.01,1,0)</f>
        <v/>
      </c>
      <c r="AV5085">
        <f>IF(V5085&gt;=AO5085-0.01,1,0)</f>
        <v/>
      </c>
      <c r="AW5085">
        <f>IF(W5085&gt;=AP5085-0.01,1,0)</f>
        <v/>
      </c>
      <c r="AX5085">
        <f>AQ5085*AR5085*AS5085*AT5085*AU5085*AV5085*AW5085</f>
        <v/>
      </c>
    </row>
    <row r="5086">
      <c r="A5086" t="inlineStr"/>
      <c r="B5086">
        <f>Assumptions!$B$60</f>
        <v/>
      </c>
      <c r="C5086" t="n">
        <v>1</v>
      </c>
      <c r="D5086" t="n">
        <v>0</v>
      </c>
      <c r="E5086" t="n">
        <v>1</v>
      </c>
      <c r="F5086" t="n">
        <v>0</v>
      </c>
      <c r="G5086" t="n">
        <v>1</v>
      </c>
      <c r="H5086" t="n">
        <v>1</v>
      </c>
      <c r="I5086" t="n">
        <v>0</v>
      </c>
      <c r="J5086">
        <f>(1-C5086)*Assumptions!$B$41+(1-D5086)*Assumptions!$B$33+(1-E5086)*Assumptions!$B$32+(1-F5086)*Assumptions!$B$31+(1-G5086)*Assumptions!$B$30+(1-H5086)*Assumptions!$B$29+(1-I5086)*Assumptions!$B$28</f>
        <v/>
      </c>
      <c r="K5086">
        <f>C5086*$J$157+D5086*$F$157+E5086*$G$157+F5086*Assumptions!$B$14+G5086*Assumptions!$B$13+H5086*Assumptions!$B$12+I5086*Assumptions!$B$11+$O$157+$S$157+Assumptions!$B$9</f>
        <v/>
      </c>
      <c r="L5086">
        <f>B5086-J5086</f>
        <v/>
      </c>
      <c r="M5086">
        <f>IF(K5086&gt;0,IF(L5086/K5086&gt;=Assumptions!$B$37,1,0),0)</f>
        <v/>
      </c>
      <c r="N5086">
        <f>K5086+M5086*Assumptions!$B$153</f>
        <v/>
      </c>
      <c r="O5086">
        <f>L5086+M5086*Assumptions!$B$153*Assumptions!$B$37</f>
        <v/>
      </c>
      <c r="P5086">
        <f>IF(N5086&gt;0,O5086/N5086,0)</f>
        <v/>
      </c>
      <c r="Q5086">
        <f>IF(C5086=1,P5086*$J$157,Assumptions!$B$41)</f>
        <v/>
      </c>
      <c r="R5086">
        <f>IF(D5086=1,P5086*$F$157,Assumptions!$B$33)</f>
        <v/>
      </c>
      <c r="S5086">
        <f>IF(E5086=1,P5086*$G$157,Assumptions!$B$32)</f>
        <v/>
      </c>
      <c r="T5086">
        <f>IF(F5086=1,P5086*Assumptions!$B$14,Assumptions!$B$31)</f>
        <v/>
      </c>
      <c r="U5086">
        <f>IF(G5086=1,P5086*Assumptions!$B$13,Assumptions!$B$30)</f>
        <v/>
      </c>
      <c r="V5086">
        <f>IF(H5086=1,P5086*Assumptions!$B$12,Assumptions!$B$29)</f>
        <v/>
      </c>
      <c r="W5086">
        <f>IF(I5086=1,P5086*Assumptions!$B$11,Assumptions!$B$28)</f>
        <v/>
      </c>
      <c r="X5086">
        <f>P5086*($O$157+$S$157)</f>
        <v/>
      </c>
      <c r="Y5086">
        <f>P5086*Assumptions!$B$9</f>
        <v/>
      </c>
      <c r="Z5086">
        <f>IF(M5086=1,(P5086-Assumptions!$B$37)*Assumptions!$B$153,0)</f>
        <v/>
      </c>
      <c r="AA5086">
        <f>Q5086+R5086+S5086+T5086+U5086+V5086+W5086+X5086+Y5086+Z5086</f>
        <v/>
      </c>
      <c r="AB5086" t="n">
        <v>86</v>
      </c>
      <c r="AC5086" t="n">
        <v>22</v>
      </c>
      <c r="AD5086" t="n">
        <v>118</v>
      </c>
      <c r="AE5086" t="n">
        <v>70</v>
      </c>
      <c r="AF5086" t="n">
        <v>94</v>
      </c>
      <c r="AG5086" t="n">
        <v>82</v>
      </c>
      <c r="AH5086" t="n">
        <v>84</v>
      </c>
      <c r="AI5086" t="n">
        <v>87</v>
      </c>
      <c r="AJ5086">
        <f>INDEX($Q$5000:$Q$5127,AC5086+1)</f>
        <v/>
      </c>
      <c r="AK5086">
        <f>INDEX($R$5000:$R$5127,AD5086+1)</f>
        <v/>
      </c>
      <c r="AL5086">
        <f>INDEX($S$5000:$S$5127,AE5086+1)</f>
        <v/>
      </c>
      <c r="AM5086">
        <f>INDEX($T$5000:$T$5127,AF5086+1)</f>
        <v/>
      </c>
      <c r="AN5086">
        <f>INDEX($U$5000:$U$5127,AG5086+1)</f>
        <v/>
      </c>
      <c r="AO5086">
        <f>INDEX($V$5000:$V$5127,AH5086+1)</f>
        <v/>
      </c>
      <c r="AP5086">
        <f>INDEX($W$5000:$W$5127,AI5086+1)</f>
        <v/>
      </c>
      <c r="AQ5086">
        <f>IF(Q5086&gt;=AJ5086-0.01,1,0)</f>
        <v/>
      </c>
      <c r="AR5086">
        <f>IF(R5086&gt;=AK5086-0.01,1,0)</f>
        <v/>
      </c>
      <c r="AS5086">
        <f>IF(S5086&gt;=AL5086-0.01,1,0)</f>
        <v/>
      </c>
      <c r="AT5086">
        <f>IF(T5086&gt;=AM5086-0.01,1,0)</f>
        <v/>
      </c>
      <c r="AU5086">
        <f>IF(U5086&gt;=AN5086-0.01,1,0)</f>
        <v/>
      </c>
      <c r="AV5086">
        <f>IF(V5086&gt;=AO5086-0.01,1,0)</f>
        <v/>
      </c>
      <c r="AW5086">
        <f>IF(W5086&gt;=AP5086-0.01,1,0)</f>
        <v/>
      </c>
      <c r="AX5086">
        <f>AQ5086*AR5086*AS5086*AT5086*AU5086*AV5086*AW5086</f>
        <v/>
      </c>
    </row>
    <row r="5087">
      <c r="A5087" t="inlineStr"/>
      <c r="B5087">
        <f>Assumptions!$B$60</f>
        <v/>
      </c>
      <c r="C5087" t="n">
        <v>1</v>
      </c>
      <c r="D5087" t="n">
        <v>0</v>
      </c>
      <c r="E5087" t="n">
        <v>1</v>
      </c>
      <c r="F5087" t="n">
        <v>0</v>
      </c>
      <c r="G5087" t="n">
        <v>1</v>
      </c>
      <c r="H5087" t="n">
        <v>1</v>
      </c>
      <c r="I5087" t="n">
        <v>1</v>
      </c>
      <c r="J5087">
        <f>(1-C5087)*Assumptions!$B$41+(1-D5087)*Assumptions!$B$33+(1-E5087)*Assumptions!$B$32+(1-F5087)*Assumptions!$B$31+(1-G5087)*Assumptions!$B$30+(1-H5087)*Assumptions!$B$29+(1-I5087)*Assumptions!$B$28</f>
        <v/>
      </c>
      <c r="K5087">
        <f>C5087*$J$157+D5087*$F$157+E5087*$G$157+F5087*Assumptions!$B$14+G5087*Assumptions!$B$13+H5087*Assumptions!$B$12+I5087*Assumptions!$B$11+$O$157+$S$157+Assumptions!$B$9</f>
        <v/>
      </c>
      <c r="L5087">
        <f>B5087-J5087</f>
        <v/>
      </c>
      <c r="M5087">
        <f>IF(K5087&gt;0,IF(L5087/K5087&gt;=Assumptions!$B$37,1,0),0)</f>
        <v/>
      </c>
      <c r="N5087">
        <f>K5087+M5087*Assumptions!$B$153</f>
        <v/>
      </c>
      <c r="O5087">
        <f>L5087+M5087*Assumptions!$B$153*Assumptions!$B$37</f>
        <v/>
      </c>
      <c r="P5087">
        <f>IF(N5087&gt;0,O5087/N5087,0)</f>
        <v/>
      </c>
      <c r="Q5087">
        <f>IF(C5087=1,P5087*$J$157,Assumptions!$B$41)</f>
        <v/>
      </c>
      <c r="R5087">
        <f>IF(D5087=1,P5087*$F$157,Assumptions!$B$33)</f>
        <v/>
      </c>
      <c r="S5087">
        <f>IF(E5087=1,P5087*$G$157,Assumptions!$B$32)</f>
        <v/>
      </c>
      <c r="T5087">
        <f>IF(F5087=1,P5087*Assumptions!$B$14,Assumptions!$B$31)</f>
        <v/>
      </c>
      <c r="U5087">
        <f>IF(G5087=1,P5087*Assumptions!$B$13,Assumptions!$B$30)</f>
        <v/>
      </c>
      <c r="V5087">
        <f>IF(H5087=1,P5087*Assumptions!$B$12,Assumptions!$B$29)</f>
        <v/>
      </c>
      <c r="W5087">
        <f>IF(I5087=1,P5087*Assumptions!$B$11,Assumptions!$B$28)</f>
        <v/>
      </c>
      <c r="X5087">
        <f>P5087*($O$157+$S$157)</f>
        <v/>
      </c>
      <c r="Y5087">
        <f>P5087*Assumptions!$B$9</f>
        <v/>
      </c>
      <c r="Z5087">
        <f>IF(M5087=1,(P5087-Assumptions!$B$37)*Assumptions!$B$153,0)</f>
        <v/>
      </c>
      <c r="AA5087">
        <f>Q5087+R5087+S5087+T5087+U5087+V5087+W5087+X5087+Y5087+Z5087</f>
        <v/>
      </c>
      <c r="AB5087" t="n">
        <v>87</v>
      </c>
      <c r="AC5087" t="n">
        <v>23</v>
      </c>
      <c r="AD5087" t="n">
        <v>119</v>
      </c>
      <c r="AE5087" t="n">
        <v>71</v>
      </c>
      <c r="AF5087" t="n">
        <v>95</v>
      </c>
      <c r="AG5087" t="n">
        <v>83</v>
      </c>
      <c r="AH5087" t="n">
        <v>85</v>
      </c>
      <c r="AI5087" t="n">
        <v>86</v>
      </c>
      <c r="AJ5087">
        <f>INDEX($Q$5000:$Q$5127,AC5087+1)</f>
        <v/>
      </c>
      <c r="AK5087">
        <f>INDEX($R$5000:$R$5127,AD5087+1)</f>
        <v/>
      </c>
      <c r="AL5087">
        <f>INDEX($S$5000:$S$5127,AE5087+1)</f>
        <v/>
      </c>
      <c r="AM5087">
        <f>INDEX($T$5000:$T$5127,AF5087+1)</f>
        <v/>
      </c>
      <c r="AN5087">
        <f>INDEX($U$5000:$U$5127,AG5087+1)</f>
        <v/>
      </c>
      <c r="AO5087">
        <f>INDEX($V$5000:$V$5127,AH5087+1)</f>
        <v/>
      </c>
      <c r="AP5087">
        <f>INDEX($W$5000:$W$5127,AI5087+1)</f>
        <v/>
      </c>
      <c r="AQ5087">
        <f>IF(Q5087&gt;=AJ5087-0.01,1,0)</f>
        <v/>
      </c>
      <c r="AR5087">
        <f>IF(R5087&gt;=AK5087-0.01,1,0)</f>
        <v/>
      </c>
      <c r="AS5087">
        <f>IF(S5087&gt;=AL5087-0.01,1,0)</f>
        <v/>
      </c>
      <c r="AT5087">
        <f>IF(T5087&gt;=AM5087-0.01,1,0)</f>
        <v/>
      </c>
      <c r="AU5087">
        <f>IF(U5087&gt;=AN5087-0.01,1,0)</f>
        <v/>
      </c>
      <c r="AV5087">
        <f>IF(V5087&gt;=AO5087-0.01,1,0)</f>
        <v/>
      </c>
      <c r="AW5087">
        <f>IF(W5087&gt;=AP5087-0.01,1,0)</f>
        <v/>
      </c>
      <c r="AX5087">
        <f>AQ5087*AR5087*AS5087*AT5087*AU5087*AV5087*AW5087</f>
        <v/>
      </c>
    </row>
    <row r="5088">
      <c r="A5088" t="inlineStr"/>
      <c r="B5088">
        <f>Assumptions!$B$60</f>
        <v/>
      </c>
      <c r="C5088" t="n">
        <v>1</v>
      </c>
      <c r="D5088" t="n">
        <v>0</v>
      </c>
      <c r="E5088" t="n">
        <v>1</v>
      </c>
      <c r="F5088" t="n">
        <v>1</v>
      </c>
      <c r="G5088" t="n">
        <v>0</v>
      </c>
      <c r="H5088" t="n">
        <v>0</v>
      </c>
      <c r="I5088" t="n">
        <v>0</v>
      </c>
      <c r="J5088">
        <f>(1-C5088)*Assumptions!$B$41+(1-D5088)*Assumptions!$B$33+(1-E5088)*Assumptions!$B$32+(1-F5088)*Assumptions!$B$31+(1-G5088)*Assumptions!$B$30+(1-H5088)*Assumptions!$B$29+(1-I5088)*Assumptions!$B$28</f>
        <v/>
      </c>
      <c r="K5088">
        <f>C5088*$J$157+D5088*$F$157+E5088*$G$157+F5088*Assumptions!$B$14+G5088*Assumptions!$B$13+H5088*Assumptions!$B$12+I5088*Assumptions!$B$11+$O$157+$S$157+Assumptions!$B$9</f>
        <v/>
      </c>
      <c r="L5088">
        <f>B5088-J5088</f>
        <v/>
      </c>
      <c r="M5088">
        <f>IF(K5088&gt;0,IF(L5088/K5088&gt;=Assumptions!$B$37,1,0),0)</f>
        <v/>
      </c>
      <c r="N5088">
        <f>K5088+M5088*Assumptions!$B$153</f>
        <v/>
      </c>
      <c r="O5088">
        <f>L5088+M5088*Assumptions!$B$153*Assumptions!$B$37</f>
        <v/>
      </c>
      <c r="P5088">
        <f>IF(N5088&gt;0,O5088/N5088,0)</f>
        <v/>
      </c>
      <c r="Q5088">
        <f>IF(C5088=1,P5088*$J$157,Assumptions!$B$41)</f>
        <v/>
      </c>
      <c r="R5088">
        <f>IF(D5088=1,P5088*$F$157,Assumptions!$B$33)</f>
        <v/>
      </c>
      <c r="S5088">
        <f>IF(E5088=1,P5088*$G$157,Assumptions!$B$32)</f>
        <v/>
      </c>
      <c r="T5088">
        <f>IF(F5088=1,P5088*Assumptions!$B$14,Assumptions!$B$31)</f>
        <v/>
      </c>
      <c r="U5088">
        <f>IF(G5088=1,P5088*Assumptions!$B$13,Assumptions!$B$30)</f>
        <v/>
      </c>
      <c r="V5088">
        <f>IF(H5088=1,P5088*Assumptions!$B$12,Assumptions!$B$29)</f>
        <v/>
      </c>
      <c r="W5088">
        <f>IF(I5088=1,P5088*Assumptions!$B$11,Assumptions!$B$28)</f>
        <v/>
      </c>
      <c r="X5088">
        <f>P5088*($O$157+$S$157)</f>
        <v/>
      </c>
      <c r="Y5088">
        <f>P5088*Assumptions!$B$9</f>
        <v/>
      </c>
      <c r="Z5088">
        <f>IF(M5088=1,(P5088-Assumptions!$B$37)*Assumptions!$B$153,0)</f>
        <v/>
      </c>
      <c r="AA5088">
        <f>Q5088+R5088+S5088+T5088+U5088+V5088+W5088+X5088+Y5088+Z5088</f>
        <v/>
      </c>
      <c r="AB5088" t="n">
        <v>88</v>
      </c>
      <c r="AC5088" t="n">
        <v>24</v>
      </c>
      <c r="AD5088" t="n">
        <v>120</v>
      </c>
      <c r="AE5088" t="n">
        <v>72</v>
      </c>
      <c r="AF5088" t="n">
        <v>80</v>
      </c>
      <c r="AG5088" t="n">
        <v>92</v>
      </c>
      <c r="AH5088" t="n">
        <v>90</v>
      </c>
      <c r="AI5088" t="n">
        <v>89</v>
      </c>
      <c r="AJ5088">
        <f>INDEX($Q$5000:$Q$5127,AC5088+1)</f>
        <v/>
      </c>
      <c r="AK5088">
        <f>INDEX($R$5000:$R$5127,AD5088+1)</f>
        <v/>
      </c>
      <c r="AL5088">
        <f>INDEX($S$5000:$S$5127,AE5088+1)</f>
        <v/>
      </c>
      <c r="AM5088">
        <f>INDEX($T$5000:$T$5127,AF5088+1)</f>
        <v/>
      </c>
      <c r="AN5088">
        <f>INDEX($U$5000:$U$5127,AG5088+1)</f>
        <v/>
      </c>
      <c r="AO5088">
        <f>INDEX($V$5000:$V$5127,AH5088+1)</f>
        <v/>
      </c>
      <c r="AP5088">
        <f>INDEX($W$5000:$W$5127,AI5088+1)</f>
        <v/>
      </c>
      <c r="AQ5088">
        <f>IF(Q5088&gt;=AJ5088-0.01,1,0)</f>
        <v/>
      </c>
      <c r="AR5088">
        <f>IF(R5088&gt;=AK5088-0.01,1,0)</f>
        <v/>
      </c>
      <c r="AS5088">
        <f>IF(S5088&gt;=AL5088-0.01,1,0)</f>
        <v/>
      </c>
      <c r="AT5088">
        <f>IF(T5088&gt;=AM5088-0.01,1,0)</f>
        <v/>
      </c>
      <c r="AU5088">
        <f>IF(U5088&gt;=AN5088-0.01,1,0)</f>
        <v/>
      </c>
      <c r="AV5088">
        <f>IF(V5088&gt;=AO5088-0.01,1,0)</f>
        <v/>
      </c>
      <c r="AW5088">
        <f>IF(W5088&gt;=AP5088-0.01,1,0)</f>
        <v/>
      </c>
      <c r="AX5088">
        <f>AQ5088*AR5088*AS5088*AT5088*AU5088*AV5088*AW5088</f>
        <v/>
      </c>
    </row>
    <row r="5089">
      <c r="A5089" t="inlineStr"/>
      <c r="B5089">
        <f>Assumptions!$B$60</f>
        <v/>
      </c>
      <c r="C5089" t="n">
        <v>1</v>
      </c>
      <c r="D5089" t="n">
        <v>0</v>
      </c>
      <c r="E5089" t="n">
        <v>1</v>
      </c>
      <c r="F5089" t="n">
        <v>1</v>
      </c>
      <c r="G5089" t="n">
        <v>0</v>
      </c>
      <c r="H5089" t="n">
        <v>0</v>
      </c>
      <c r="I5089" t="n">
        <v>1</v>
      </c>
      <c r="J5089">
        <f>(1-C5089)*Assumptions!$B$41+(1-D5089)*Assumptions!$B$33+(1-E5089)*Assumptions!$B$32+(1-F5089)*Assumptions!$B$31+(1-G5089)*Assumptions!$B$30+(1-H5089)*Assumptions!$B$29+(1-I5089)*Assumptions!$B$28</f>
        <v/>
      </c>
      <c r="K5089">
        <f>C5089*$J$157+D5089*$F$157+E5089*$G$157+F5089*Assumptions!$B$14+G5089*Assumptions!$B$13+H5089*Assumptions!$B$12+I5089*Assumptions!$B$11+$O$157+$S$157+Assumptions!$B$9</f>
        <v/>
      </c>
      <c r="L5089">
        <f>B5089-J5089</f>
        <v/>
      </c>
      <c r="M5089">
        <f>IF(K5089&gt;0,IF(L5089/K5089&gt;=Assumptions!$B$37,1,0),0)</f>
        <v/>
      </c>
      <c r="N5089">
        <f>K5089+M5089*Assumptions!$B$153</f>
        <v/>
      </c>
      <c r="O5089">
        <f>L5089+M5089*Assumptions!$B$153*Assumptions!$B$37</f>
        <v/>
      </c>
      <c r="P5089">
        <f>IF(N5089&gt;0,O5089/N5089,0)</f>
        <v/>
      </c>
      <c r="Q5089">
        <f>IF(C5089=1,P5089*$J$157,Assumptions!$B$41)</f>
        <v/>
      </c>
      <c r="R5089">
        <f>IF(D5089=1,P5089*$F$157,Assumptions!$B$33)</f>
        <v/>
      </c>
      <c r="S5089">
        <f>IF(E5089=1,P5089*$G$157,Assumptions!$B$32)</f>
        <v/>
      </c>
      <c r="T5089">
        <f>IF(F5089=1,P5089*Assumptions!$B$14,Assumptions!$B$31)</f>
        <v/>
      </c>
      <c r="U5089">
        <f>IF(G5089=1,P5089*Assumptions!$B$13,Assumptions!$B$30)</f>
        <v/>
      </c>
      <c r="V5089">
        <f>IF(H5089=1,P5089*Assumptions!$B$12,Assumptions!$B$29)</f>
        <v/>
      </c>
      <c r="W5089">
        <f>IF(I5089=1,P5089*Assumptions!$B$11,Assumptions!$B$28)</f>
        <v/>
      </c>
      <c r="X5089">
        <f>P5089*($O$157+$S$157)</f>
        <v/>
      </c>
      <c r="Y5089">
        <f>P5089*Assumptions!$B$9</f>
        <v/>
      </c>
      <c r="Z5089">
        <f>IF(M5089=1,(P5089-Assumptions!$B$37)*Assumptions!$B$153,0)</f>
        <v/>
      </c>
      <c r="AA5089">
        <f>Q5089+R5089+S5089+T5089+U5089+V5089+W5089+X5089+Y5089+Z5089</f>
        <v/>
      </c>
      <c r="AB5089" t="n">
        <v>89</v>
      </c>
      <c r="AC5089" t="n">
        <v>25</v>
      </c>
      <c r="AD5089" t="n">
        <v>121</v>
      </c>
      <c r="AE5089" t="n">
        <v>73</v>
      </c>
      <c r="AF5089" t="n">
        <v>81</v>
      </c>
      <c r="AG5089" t="n">
        <v>93</v>
      </c>
      <c r="AH5089" t="n">
        <v>91</v>
      </c>
      <c r="AI5089" t="n">
        <v>88</v>
      </c>
      <c r="AJ5089">
        <f>INDEX($Q$5000:$Q$5127,AC5089+1)</f>
        <v/>
      </c>
      <c r="AK5089">
        <f>INDEX($R$5000:$R$5127,AD5089+1)</f>
        <v/>
      </c>
      <c r="AL5089">
        <f>INDEX($S$5000:$S$5127,AE5089+1)</f>
        <v/>
      </c>
      <c r="AM5089">
        <f>INDEX($T$5000:$T$5127,AF5089+1)</f>
        <v/>
      </c>
      <c r="AN5089">
        <f>INDEX($U$5000:$U$5127,AG5089+1)</f>
        <v/>
      </c>
      <c r="AO5089">
        <f>INDEX($V$5000:$V$5127,AH5089+1)</f>
        <v/>
      </c>
      <c r="AP5089">
        <f>INDEX($W$5000:$W$5127,AI5089+1)</f>
        <v/>
      </c>
      <c r="AQ5089">
        <f>IF(Q5089&gt;=AJ5089-0.01,1,0)</f>
        <v/>
      </c>
      <c r="AR5089">
        <f>IF(R5089&gt;=AK5089-0.01,1,0)</f>
        <v/>
      </c>
      <c r="AS5089">
        <f>IF(S5089&gt;=AL5089-0.01,1,0)</f>
        <v/>
      </c>
      <c r="AT5089">
        <f>IF(T5089&gt;=AM5089-0.01,1,0)</f>
        <v/>
      </c>
      <c r="AU5089">
        <f>IF(U5089&gt;=AN5089-0.01,1,0)</f>
        <v/>
      </c>
      <c r="AV5089">
        <f>IF(V5089&gt;=AO5089-0.01,1,0)</f>
        <v/>
      </c>
      <c r="AW5089">
        <f>IF(W5089&gt;=AP5089-0.01,1,0)</f>
        <v/>
      </c>
      <c r="AX5089">
        <f>AQ5089*AR5089*AS5089*AT5089*AU5089*AV5089*AW5089</f>
        <v/>
      </c>
    </row>
    <row r="5090">
      <c r="A5090" t="inlineStr"/>
      <c r="B5090">
        <f>Assumptions!$B$60</f>
        <v/>
      </c>
      <c r="C5090" t="n">
        <v>1</v>
      </c>
      <c r="D5090" t="n">
        <v>0</v>
      </c>
      <c r="E5090" t="n">
        <v>1</v>
      </c>
      <c r="F5090" t="n">
        <v>1</v>
      </c>
      <c r="G5090" t="n">
        <v>0</v>
      </c>
      <c r="H5090" t="n">
        <v>1</v>
      </c>
      <c r="I5090" t="n">
        <v>0</v>
      </c>
      <c r="J5090">
        <f>(1-C5090)*Assumptions!$B$41+(1-D5090)*Assumptions!$B$33+(1-E5090)*Assumptions!$B$32+(1-F5090)*Assumptions!$B$31+(1-G5090)*Assumptions!$B$30+(1-H5090)*Assumptions!$B$29+(1-I5090)*Assumptions!$B$28</f>
        <v/>
      </c>
      <c r="K5090">
        <f>C5090*$J$157+D5090*$F$157+E5090*$G$157+F5090*Assumptions!$B$14+G5090*Assumptions!$B$13+H5090*Assumptions!$B$12+I5090*Assumptions!$B$11+$O$157+$S$157+Assumptions!$B$9</f>
        <v/>
      </c>
      <c r="L5090">
        <f>B5090-J5090</f>
        <v/>
      </c>
      <c r="M5090">
        <f>IF(K5090&gt;0,IF(L5090/K5090&gt;=Assumptions!$B$37,1,0),0)</f>
        <v/>
      </c>
      <c r="N5090">
        <f>K5090+M5090*Assumptions!$B$153</f>
        <v/>
      </c>
      <c r="O5090">
        <f>L5090+M5090*Assumptions!$B$153*Assumptions!$B$37</f>
        <v/>
      </c>
      <c r="P5090">
        <f>IF(N5090&gt;0,O5090/N5090,0)</f>
        <v/>
      </c>
      <c r="Q5090">
        <f>IF(C5090=1,P5090*$J$157,Assumptions!$B$41)</f>
        <v/>
      </c>
      <c r="R5090">
        <f>IF(D5090=1,P5090*$F$157,Assumptions!$B$33)</f>
        <v/>
      </c>
      <c r="S5090">
        <f>IF(E5090=1,P5090*$G$157,Assumptions!$B$32)</f>
        <v/>
      </c>
      <c r="T5090">
        <f>IF(F5090=1,P5090*Assumptions!$B$14,Assumptions!$B$31)</f>
        <v/>
      </c>
      <c r="U5090">
        <f>IF(G5090=1,P5090*Assumptions!$B$13,Assumptions!$B$30)</f>
        <v/>
      </c>
      <c r="V5090">
        <f>IF(H5090=1,P5090*Assumptions!$B$12,Assumptions!$B$29)</f>
        <v/>
      </c>
      <c r="W5090">
        <f>IF(I5090=1,P5090*Assumptions!$B$11,Assumptions!$B$28)</f>
        <v/>
      </c>
      <c r="X5090">
        <f>P5090*($O$157+$S$157)</f>
        <v/>
      </c>
      <c r="Y5090">
        <f>P5090*Assumptions!$B$9</f>
        <v/>
      </c>
      <c r="Z5090">
        <f>IF(M5090=1,(P5090-Assumptions!$B$37)*Assumptions!$B$153,0)</f>
        <v/>
      </c>
      <c r="AA5090">
        <f>Q5090+R5090+S5090+T5090+U5090+V5090+W5090+X5090+Y5090+Z5090</f>
        <v/>
      </c>
      <c r="AB5090" t="n">
        <v>90</v>
      </c>
      <c r="AC5090" t="n">
        <v>26</v>
      </c>
      <c r="AD5090" t="n">
        <v>122</v>
      </c>
      <c r="AE5090" t="n">
        <v>74</v>
      </c>
      <c r="AF5090" t="n">
        <v>82</v>
      </c>
      <c r="AG5090" t="n">
        <v>94</v>
      </c>
      <c r="AH5090" t="n">
        <v>88</v>
      </c>
      <c r="AI5090" t="n">
        <v>91</v>
      </c>
      <c r="AJ5090">
        <f>INDEX($Q$5000:$Q$5127,AC5090+1)</f>
        <v/>
      </c>
      <c r="AK5090">
        <f>INDEX($R$5000:$R$5127,AD5090+1)</f>
        <v/>
      </c>
      <c r="AL5090">
        <f>INDEX($S$5000:$S$5127,AE5090+1)</f>
        <v/>
      </c>
      <c r="AM5090">
        <f>INDEX($T$5000:$T$5127,AF5090+1)</f>
        <v/>
      </c>
      <c r="AN5090">
        <f>INDEX($U$5000:$U$5127,AG5090+1)</f>
        <v/>
      </c>
      <c r="AO5090">
        <f>INDEX($V$5000:$V$5127,AH5090+1)</f>
        <v/>
      </c>
      <c r="AP5090">
        <f>INDEX($W$5000:$W$5127,AI5090+1)</f>
        <v/>
      </c>
      <c r="AQ5090">
        <f>IF(Q5090&gt;=AJ5090-0.01,1,0)</f>
        <v/>
      </c>
      <c r="AR5090">
        <f>IF(R5090&gt;=AK5090-0.01,1,0)</f>
        <v/>
      </c>
      <c r="AS5090">
        <f>IF(S5090&gt;=AL5090-0.01,1,0)</f>
        <v/>
      </c>
      <c r="AT5090">
        <f>IF(T5090&gt;=AM5090-0.01,1,0)</f>
        <v/>
      </c>
      <c r="AU5090">
        <f>IF(U5090&gt;=AN5090-0.01,1,0)</f>
        <v/>
      </c>
      <c r="AV5090">
        <f>IF(V5090&gt;=AO5090-0.01,1,0)</f>
        <v/>
      </c>
      <c r="AW5090">
        <f>IF(W5090&gt;=AP5090-0.01,1,0)</f>
        <v/>
      </c>
      <c r="AX5090">
        <f>AQ5090*AR5090*AS5090*AT5090*AU5090*AV5090*AW5090</f>
        <v/>
      </c>
    </row>
    <row r="5091">
      <c r="A5091" t="inlineStr"/>
      <c r="B5091">
        <f>Assumptions!$B$60</f>
        <v/>
      </c>
      <c r="C5091" t="n">
        <v>1</v>
      </c>
      <c r="D5091" t="n">
        <v>0</v>
      </c>
      <c r="E5091" t="n">
        <v>1</v>
      </c>
      <c r="F5091" t="n">
        <v>1</v>
      </c>
      <c r="G5091" t="n">
        <v>0</v>
      </c>
      <c r="H5091" t="n">
        <v>1</v>
      </c>
      <c r="I5091" t="n">
        <v>1</v>
      </c>
      <c r="J5091">
        <f>(1-C5091)*Assumptions!$B$41+(1-D5091)*Assumptions!$B$33+(1-E5091)*Assumptions!$B$32+(1-F5091)*Assumptions!$B$31+(1-G5091)*Assumptions!$B$30+(1-H5091)*Assumptions!$B$29+(1-I5091)*Assumptions!$B$28</f>
        <v/>
      </c>
      <c r="K5091">
        <f>C5091*$J$157+D5091*$F$157+E5091*$G$157+F5091*Assumptions!$B$14+G5091*Assumptions!$B$13+H5091*Assumptions!$B$12+I5091*Assumptions!$B$11+$O$157+$S$157+Assumptions!$B$9</f>
        <v/>
      </c>
      <c r="L5091">
        <f>B5091-J5091</f>
        <v/>
      </c>
      <c r="M5091">
        <f>IF(K5091&gt;0,IF(L5091/K5091&gt;=Assumptions!$B$37,1,0),0)</f>
        <v/>
      </c>
      <c r="N5091">
        <f>K5091+M5091*Assumptions!$B$153</f>
        <v/>
      </c>
      <c r="O5091">
        <f>L5091+M5091*Assumptions!$B$153*Assumptions!$B$37</f>
        <v/>
      </c>
      <c r="P5091">
        <f>IF(N5091&gt;0,O5091/N5091,0)</f>
        <v/>
      </c>
      <c r="Q5091">
        <f>IF(C5091=1,P5091*$J$157,Assumptions!$B$41)</f>
        <v/>
      </c>
      <c r="R5091">
        <f>IF(D5091=1,P5091*$F$157,Assumptions!$B$33)</f>
        <v/>
      </c>
      <c r="S5091">
        <f>IF(E5091=1,P5091*$G$157,Assumptions!$B$32)</f>
        <v/>
      </c>
      <c r="T5091">
        <f>IF(F5091=1,P5091*Assumptions!$B$14,Assumptions!$B$31)</f>
        <v/>
      </c>
      <c r="U5091">
        <f>IF(G5091=1,P5091*Assumptions!$B$13,Assumptions!$B$30)</f>
        <v/>
      </c>
      <c r="V5091">
        <f>IF(H5091=1,P5091*Assumptions!$B$12,Assumptions!$B$29)</f>
        <v/>
      </c>
      <c r="W5091">
        <f>IF(I5091=1,P5091*Assumptions!$B$11,Assumptions!$B$28)</f>
        <v/>
      </c>
      <c r="X5091">
        <f>P5091*($O$157+$S$157)</f>
        <v/>
      </c>
      <c r="Y5091">
        <f>P5091*Assumptions!$B$9</f>
        <v/>
      </c>
      <c r="Z5091">
        <f>IF(M5091=1,(P5091-Assumptions!$B$37)*Assumptions!$B$153,0)</f>
        <v/>
      </c>
      <c r="AA5091">
        <f>Q5091+R5091+S5091+T5091+U5091+V5091+W5091+X5091+Y5091+Z5091</f>
        <v/>
      </c>
      <c r="AB5091" t="n">
        <v>91</v>
      </c>
      <c r="AC5091" t="n">
        <v>27</v>
      </c>
      <c r="AD5091" t="n">
        <v>123</v>
      </c>
      <c r="AE5091" t="n">
        <v>75</v>
      </c>
      <c r="AF5091" t="n">
        <v>83</v>
      </c>
      <c r="AG5091" t="n">
        <v>95</v>
      </c>
      <c r="AH5091" t="n">
        <v>89</v>
      </c>
      <c r="AI5091" t="n">
        <v>90</v>
      </c>
      <c r="AJ5091">
        <f>INDEX($Q$5000:$Q$5127,AC5091+1)</f>
        <v/>
      </c>
      <c r="AK5091">
        <f>INDEX($R$5000:$R$5127,AD5091+1)</f>
        <v/>
      </c>
      <c r="AL5091">
        <f>INDEX($S$5000:$S$5127,AE5091+1)</f>
        <v/>
      </c>
      <c r="AM5091">
        <f>INDEX($T$5000:$T$5127,AF5091+1)</f>
        <v/>
      </c>
      <c r="AN5091">
        <f>INDEX($U$5000:$U$5127,AG5091+1)</f>
        <v/>
      </c>
      <c r="AO5091">
        <f>INDEX($V$5000:$V$5127,AH5091+1)</f>
        <v/>
      </c>
      <c r="AP5091">
        <f>INDEX($W$5000:$W$5127,AI5091+1)</f>
        <v/>
      </c>
      <c r="AQ5091">
        <f>IF(Q5091&gt;=AJ5091-0.01,1,0)</f>
        <v/>
      </c>
      <c r="AR5091">
        <f>IF(R5091&gt;=AK5091-0.01,1,0)</f>
        <v/>
      </c>
      <c r="AS5091">
        <f>IF(S5091&gt;=AL5091-0.01,1,0)</f>
        <v/>
      </c>
      <c r="AT5091">
        <f>IF(T5091&gt;=AM5091-0.01,1,0)</f>
        <v/>
      </c>
      <c r="AU5091">
        <f>IF(U5091&gt;=AN5091-0.01,1,0)</f>
        <v/>
      </c>
      <c r="AV5091">
        <f>IF(V5091&gt;=AO5091-0.01,1,0)</f>
        <v/>
      </c>
      <c r="AW5091">
        <f>IF(W5091&gt;=AP5091-0.01,1,0)</f>
        <v/>
      </c>
      <c r="AX5091">
        <f>AQ5091*AR5091*AS5091*AT5091*AU5091*AV5091*AW5091</f>
        <v/>
      </c>
    </row>
    <row r="5092">
      <c r="A5092" t="inlineStr"/>
      <c r="B5092">
        <f>Assumptions!$B$60</f>
        <v/>
      </c>
      <c r="C5092" t="n">
        <v>1</v>
      </c>
      <c r="D5092" t="n">
        <v>0</v>
      </c>
      <c r="E5092" t="n">
        <v>1</v>
      </c>
      <c r="F5092" t="n">
        <v>1</v>
      </c>
      <c r="G5092" t="n">
        <v>1</v>
      </c>
      <c r="H5092" t="n">
        <v>0</v>
      </c>
      <c r="I5092" t="n">
        <v>0</v>
      </c>
      <c r="J5092">
        <f>(1-C5092)*Assumptions!$B$41+(1-D5092)*Assumptions!$B$33+(1-E5092)*Assumptions!$B$32+(1-F5092)*Assumptions!$B$31+(1-G5092)*Assumptions!$B$30+(1-H5092)*Assumptions!$B$29+(1-I5092)*Assumptions!$B$28</f>
        <v/>
      </c>
      <c r="K5092">
        <f>C5092*$J$157+D5092*$F$157+E5092*$G$157+F5092*Assumptions!$B$14+G5092*Assumptions!$B$13+H5092*Assumptions!$B$12+I5092*Assumptions!$B$11+$O$157+$S$157+Assumptions!$B$9</f>
        <v/>
      </c>
      <c r="L5092">
        <f>B5092-J5092</f>
        <v/>
      </c>
      <c r="M5092">
        <f>IF(K5092&gt;0,IF(L5092/K5092&gt;=Assumptions!$B$37,1,0),0)</f>
        <v/>
      </c>
      <c r="N5092">
        <f>K5092+M5092*Assumptions!$B$153</f>
        <v/>
      </c>
      <c r="O5092">
        <f>L5092+M5092*Assumptions!$B$153*Assumptions!$B$37</f>
        <v/>
      </c>
      <c r="P5092">
        <f>IF(N5092&gt;0,O5092/N5092,0)</f>
        <v/>
      </c>
      <c r="Q5092">
        <f>IF(C5092=1,P5092*$J$157,Assumptions!$B$41)</f>
        <v/>
      </c>
      <c r="R5092">
        <f>IF(D5092=1,P5092*$F$157,Assumptions!$B$33)</f>
        <v/>
      </c>
      <c r="S5092">
        <f>IF(E5092=1,P5092*$G$157,Assumptions!$B$32)</f>
        <v/>
      </c>
      <c r="T5092">
        <f>IF(F5092=1,P5092*Assumptions!$B$14,Assumptions!$B$31)</f>
        <v/>
      </c>
      <c r="U5092">
        <f>IF(G5092=1,P5092*Assumptions!$B$13,Assumptions!$B$30)</f>
        <v/>
      </c>
      <c r="V5092">
        <f>IF(H5092=1,P5092*Assumptions!$B$12,Assumptions!$B$29)</f>
        <v/>
      </c>
      <c r="W5092">
        <f>IF(I5092=1,P5092*Assumptions!$B$11,Assumptions!$B$28)</f>
        <v/>
      </c>
      <c r="X5092">
        <f>P5092*($O$157+$S$157)</f>
        <v/>
      </c>
      <c r="Y5092">
        <f>P5092*Assumptions!$B$9</f>
        <v/>
      </c>
      <c r="Z5092">
        <f>IF(M5092=1,(P5092-Assumptions!$B$37)*Assumptions!$B$153,0)</f>
        <v/>
      </c>
      <c r="AA5092">
        <f>Q5092+R5092+S5092+T5092+U5092+V5092+W5092+X5092+Y5092+Z5092</f>
        <v/>
      </c>
      <c r="AB5092" t="n">
        <v>92</v>
      </c>
      <c r="AC5092" t="n">
        <v>28</v>
      </c>
      <c r="AD5092" t="n">
        <v>124</v>
      </c>
      <c r="AE5092" t="n">
        <v>76</v>
      </c>
      <c r="AF5092" t="n">
        <v>84</v>
      </c>
      <c r="AG5092" t="n">
        <v>88</v>
      </c>
      <c r="AH5092" t="n">
        <v>94</v>
      </c>
      <c r="AI5092" t="n">
        <v>93</v>
      </c>
      <c r="AJ5092">
        <f>INDEX($Q$5000:$Q$5127,AC5092+1)</f>
        <v/>
      </c>
      <c r="AK5092">
        <f>INDEX($R$5000:$R$5127,AD5092+1)</f>
        <v/>
      </c>
      <c r="AL5092">
        <f>INDEX($S$5000:$S$5127,AE5092+1)</f>
        <v/>
      </c>
      <c r="AM5092">
        <f>INDEX($T$5000:$T$5127,AF5092+1)</f>
        <v/>
      </c>
      <c r="AN5092">
        <f>INDEX($U$5000:$U$5127,AG5092+1)</f>
        <v/>
      </c>
      <c r="AO5092">
        <f>INDEX($V$5000:$V$5127,AH5092+1)</f>
        <v/>
      </c>
      <c r="AP5092">
        <f>INDEX($W$5000:$W$5127,AI5092+1)</f>
        <v/>
      </c>
      <c r="AQ5092">
        <f>IF(Q5092&gt;=AJ5092-0.01,1,0)</f>
        <v/>
      </c>
      <c r="AR5092">
        <f>IF(R5092&gt;=AK5092-0.01,1,0)</f>
        <v/>
      </c>
      <c r="AS5092">
        <f>IF(S5092&gt;=AL5092-0.01,1,0)</f>
        <v/>
      </c>
      <c r="AT5092">
        <f>IF(T5092&gt;=AM5092-0.01,1,0)</f>
        <v/>
      </c>
      <c r="AU5092">
        <f>IF(U5092&gt;=AN5092-0.01,1,0)</f>
        <v/>
      </c>
      <c r="AV5092">
        <f>IF(V5092&gt;=AO5092-0.01,1,0)</f>
        <v/>
      </c>
      <c r="AW5092">
        <f>IF(W5092&gt;=AP5092-0.01,1,0)</f>
        <v/>
      </c>
      <c r="AX5092">
        <f>AQ5092*AR5092*AS5092*AT5092*AU5092*AV5092*AW5092</f>
        <v/>
      </c>
    </row>
    <row r="5093">
      <c r="A5093" t="inlineStr"/>
      <c r="B5093">
        <f>Assumptions!$B$60</f>
        <v/>
      </c>
      <c r="C5093" t="n">
        <v>1</v>
      </c>
      <c r="D5093" t="n">
        <v>0</v>
      </c>
      <c r="E5093" t="n">
        <v>1</v>
      </c>
      <c r="F5093" t="n">
        <v>1</v>
      </c>
      <c r="G5093" t="n">
        <v>1</v>
      </c>
      <c r="H5093" t="n">
        <v>0</v>
      </c>
      <c r="I5093" t="n">
        <v>1</v>
      </c>
      <c r="J5093">
        <f>(1-C5093)*Assumptions!$B$41+(1-D5093)*Assumptions!$B$33+(1-E5093)*Assumptions!$B$32+(1-F5093)*Assumptions!$B$31+(1-G5093)*Assumptions!$B$30+(1-H5093)*Assumptions!$B$29+(1-I5093)*Assumptions!$B$28</f>
        <v/>
      </c>
      <c r="K5093">
        <f>C5093*$J$157+D5093*$F$157+E5093*$G$157+F5093*Assumptions!$B$14+G5093*Assumptions!$B$13+H5093*Assumptions!$B$12+I5093*Assumptions!$B$11+$O$157+$S$157+Assumptions!$B$9</f>
        <v/>
      </c>
      <c r="L5093">
        <f>B5093-J5093</f>
        <v/>
      </c>
      <c r="M5093">
        <f>IF(K5093&gt;0,IF(L5093/K5093&gt;=Assumptions!$B$37,1,0),0)</f>
        <v/>
      </c>
      <c r="N5093">
        <f>K5093+M5093*Assumptions!$B$153</f>
        <v/>
      </c>
      <c r="O5093">
        <f>L5093+M5093*Assumptions!$B$153*Assumptions!$B$37</f>
        <v/>
      </c>
      <c r="P5093">
        <f>IF(N5093&gt;0,O5093/N5093,0)</f>
        <v/>
      </c>
      <c r="Q5093">
        <f>IF(C5093=1,P5093*$J$157,Assumptions!$B$41)</f>
        <v/>
      </c>
      <c r="R5093">
        <f>IF(D5093=1,P5093*$F$157,Assumptions!$B$33)</f>
        <v/>
      </c>
      <c r="S5093">
        <f>IF(E5093=1,P5093*$G$157,Assumptions!$B$32)</f>
        <v/>
      </c>
      <c r="T5093">
        <f>IF(F5093=1,P5093*Assumptions!$B$14,Assumptions!$B$31)</f>
        <v/>
      </c>
      <c r="U5093">
        <f>IF(G5093=1,P5093*Assumptions!$B$13,Assumptions!$B$30)</f>
        <v/>
      </c>
      <c r="V5093">
        <f>IF(H5093=1,P5093*Assumptions!$B$12,Assumptions!$B$29)</f>
        <v/>
      </c>
      <c r="W5093">
        <f>IF(I5093=1,P5093*Assumptions!$B$11,Assumptions!$B$28)</f>
        <v/>
      </c>
      <c r="X5093">
        <f>P5093*($O$157+$S$157)</f>
        <v/>
      </c>
      <c r="Y5093">
        <f>P5093*Assumptions!$B$9</f>
        <v/>
      </c>
      <c r="Z5093">
        <f>IF(M5093=1,(P5093-Assumptions!$B$37)*Assumptions!$B$153,0)</f>
        <v/>
      </c>
      <c r="AA5093">
        <f>Q5093+R5093+S5093+T5093+U5093+V5093+W5093+X5093+Y5093+Z5093</f>
        <v/>
      </c>
      <c r="AB5093" t="n">
        <v>93</v>
      </c>
      <c r="AC5093" t="n">
        <v>29</v>
      </c>
      <c r="AD5093" t="n">
        <v>125</v>
      </c>
      <c r="AE5093" t="n">
        <v>77</v>
      </c>
      <c r="AF5093" t="n">
        <v>85</v>
      </c>
      <c r="AG5093" t="n">
        <v>89</v>
      </c>
      <c r="AH5093" t="n">
        <v>95</v>
      </c>
      <c r="AI5093" t="n">
        <v>92</v>
      </c>
      <c r="AJ5093">
        <f>INDEX($Q$5000:$Q$5127,AC5093+1)</f>
        <v/>
      </c>
      <c r="AK5093">
        <f>INDEX($R$5000:$R$5127,AD5093+1)</f>
        <v/>
      </c>
      <c r="AL5093">
        <f>INDEX($S$5000:$S$5127,AE5093+1)</f>
        <v/>
      </c>
      <c r="AM5093">
        <f>INDEX($T$5000:$T$5127,AF5093+1)</f>
        <v/>
      </c>
      <c r="AN5093">
        <f>INDEX($U$5000:$U$5127,AG5093+1)</f>
        <v/>
      </c>
      <c r="AO5093">
        <f>INDEX($V$5000:$V$5127,AH5093+1)</f>
        <v/>
      </c>
      <c r="AP5093">
        <f>INDEX($W$5000:$W$5127,AI5093+1)</f>
        <v/>
      </c>
      <c r="AQ5093">
        <f>IF(Q5093&gt;=AJ5093-0.01,1,0)</f>
        <v/>
      </c>
      <c r="AR5093">
        <f>IF(R5093&gt;=AK5093-0.01,1,0)</f>
        <v/>
      </c>
      <c r="AS5093">
        <f>IF(S5093&gt;=AL5093-0.01,1,0)</f>
        <v/>
      </c>
      <c r="AT5093">
        <f>IF(T5093&gt;=AM5093-0.01,1,0)</f>
        <v/>
      </c>
      <c r="AU5093">
        <f>IF(U5093&gt;=AN5093-0.01,1,0)</f>
        <v/>
      </c>
      <c r="AV5093">
        <f>IF(V5093&gt;=AO5093-0.01,1,0)</f>
        <v/>
      </c>
      <c r="AW5093">
        <f>IF(W5093&gt;=AP5093-0.01,1,0)</f>
        <v/>
      </c>
      <c r="AX5093">
        <f>AQ5093*AR5093*AS5093*AT5093*AU5093*AV5093*AW5093</f>
        <v/>
      </c>
    </row>
    <row r="5094">
      <c r="A5094" t="inlineStr"/>
      <c r="B5094">
        <f>Assumptions!$B$60</f>
        <v/>
      </c>
      <c r="C5094" t="n">
        <v>1</v>
      </c>
      <c r="D5094" t="n">
        <v>0</v>
      </c>
      <c r="E5094" t="n">
        <v>1</v>
      </c>
      <c r="F5094" t="n">
        <v>1</v>
      </c>
      <c r="G5094" t="n">
        <v>1</v>
      </c>
      <c r="H5094" t="n">
        <v>1</v>
      </c>
      <c r="I5094" t="n">
        <v>0</v>
      </c>
      <c r="J5094">
        <f>(1-C5094)*Assumptions!$B$41+(1-D5094)*Assumptions!$B$33+(1-E5094)*Assumptions!$B$32+(1-F5094)*Assumptions!$B$31+(1-G5094)*Assumptions!$B$30+(1-H5094)*Assumptions!$B$29+(1-I5094)*Assumptions!$B$28</f>
        <v/>
      </c>
      <c r="K5094">
        <f>C5094*$J$157+D5094*$F$157+E5094*$G$157+F5094*Assumptions!$B$14+G5094*Assumptions!$B$13+H5094*Assumptions!$B$12+I5094*Assumptions!$B$11+$O$157+$S$157+Assumptions!$B$9</f>
        <v/>
      </c>
      <c r="L5094">
        <f>B5094-J5094</f>
        <v/>
      </c>
      <c r="M5094">
        <f>IF(K5094&gt;0,IF(L5094/K5094&gt;=Assumptions!$B$37,1,0),0)</f>
        <v/>
      </c>
      <c r="N5094">
        <f>K5094+M5094*Assumptions!$B$153</f>
        <v/>
      </c>
      <c r="O5094">
        <f>L5094+M5094*Assumptions!$B$153*Assumptions!$B$37</f>
        <v/>
      </c>
      <c r="P5094">
        <f>IF(N5094&gt;0,O5094/N5094,0)</f>
        <v/>
      </c>
      <c r="Q5094">
        <f>IF(C5094=1,P5094*$J$157,Assumptions!$B$41)</f>
        <v/>
      </c>
      <c r="R5094">
        <f>IF(D5094=1,P5094*$F$157,Assumptions!$B$33)</f>
        <v/>
      </c>
      <c r="S5094">
        <f>IF(E5094=1,P5094*$G$157,Assumptions!$B$32)</f>
        <v/>
      </c>
      <c r="T5094">
        <f>IF(F5094=1,P5094*Assumptions!$B$14,Assumptions!$B$31)</f>
        <v/>
      </c>
      <c r="U5094">
        <f>IF(G5094=1,P5094*Assumptions!$B$13,Assumptions!$B$30)</f>
        <v/>
      </c>
      <c r="V5094">
        <f>IF(H5094=1,P5094*Assumptions!$B$12,Assumptions!$B$29)</f>
        <v/>
      </c>
      <c r="W5094">
        <f>IF(I5094=1,P5094*Assumptions!$B$11,Assumptions!$B$28)</f>
        <v/>
      </c>
      <c r="X5094">
        <f>P5094*($O$157+$S$157)</f>
        <v/>
      </c>
      <c r="Y5094">
        <f>P5094*Assumptions!$B$9</f>
        <v/>
      </c>
      <c r="Z5094">
        <f>IF(M5094=1,(P5094-Assumptions!$B$37)*Assumptions!$B$153,0)</f>
        <v/>
      </c>
      <c r="AA5094">
        <f>Q5094+R5094+S5094+T5094+U5094+V5094+W5094+X5094+Y5094+Z5094</f>
        <v/>
      </c>
      <c r="AB5094" t="n">
        <v>94</v>
      </c>
      <c r="AC5094" t="n">
        <v>30</v>
      </c>
      <c r="AD5094" t="n">
        <v>126</v>
      </c>
      <c r="AE5094" t="n">
        <v>78</v>
      </c>
      <c r="AF5094" t="n">
        <v>86</v>
      </c>
      <c r="AG5094" t="n">
        <v>90</v>
      </c>
      <c r="AH5094" t="n">
        <v>92</v>
      </c>
      <c r="AI5094" t="n">
        <v>95</v>
      </c>
      <c r="AJ5094">
        <f>INDEX($Q$5000:$Q$5127,AC5094+1)</f>
        <v/>
      </c>
      <c r="AK5094">
        <f>INDEX($R$5000:$R$5127,AD5094+1)</f>
        <v/>
      </c>
      <c r="AL5094">
        <f>INDEX($S$5000:$S$5127,AE5094+1)</f>
        <v/>
      </c>
      <c r="AM5094">
        <f>INDEX($T$5000:$T$5127,AF5094+1)</f>
        <v/>
      </c>
      <c r="AN5094">
        <f>INDEX($U$5000:$U$5127,AG5094+1)</f>
        <v/>
      </c>
      <c r="AO5094">
        <f>INDEX($V$5000:$V$5127,AH5094+1)</f>
        <v/>
      </c>
      <c r="AP5094">
        <f>INDEX($W$5000:$W$5127,AI5094+1)</f>
        <v/>
      </c>
      <c r="AQ5094">
        <f>IF(Q5094&gt;=AJ5094-0.01,1,0)</f>
        <v/>
      </c>
      <c r="AR5094">
        <f>IF(R5094&gt;=AK5094-0.01,1,0)</f>
        <v/>
      </c>
      <c r="AS5094">
        <f>IF(S5094&gt;=AL5094-0.01,1,0)</f>
        <v/>
      </c>
      <c r="AT5094">
        <f>IF(T5094&gt;=AM5094-0.01,1,0)</f>
        <v/>
      </c>
      <c r="AU5094">
        <f>IF(U5094&gt;=AN5094-0.01,1,0)</f>
        <v/>
      </c>
      <c r="AV5094">
        <f>IF(V5094&gt;=AO5094-0.01,1,0)</f>
        <v/>
      </c>
      <c r="AW5094">
        <f>IF(W5094&gt;=AP5094-0.01,1,0)</f>
        <v/>
      </c>
      <c r="AX5094">
        <f>AQ5094*AR5094*AS5094*AT5094*AU5094*AV5094*AW5094</f>
        <v/>
      </c>
    </row>
    <row r="5095">
      <c r="A5095" t="inlineStr"/>
      <c r="B5095">
        <f>Assumptions!$B$60</f>
        <v/>
      </c>
      <c r="C5095" t="n">
        <v>1</v>
      </c>
      <c r="D5095" t="n">
        <v>0</v>
      </c>
      <c r="E5095" t="n">
        <v>1</v>
      </c>
      <c r="F5095" t="n">
        <v>1</v>
      </c>
      <c r="G5095" t="n">
        <v>1</v>
      </c>
      <c r="H5095" t="n">
        <v>1</v>
      </c>
      <c r="I5095" t="n">
        <v>1</v>
      </c>
      <c r="J5095">
        <f>(1-C5095)*Assumptions!$B$41+(1-D5095)*Assumptions!$B$33+(1-E5095)*Assumptions!$B$32+(1-F5095)*Assumptions!$B$31+(1-G5095)*Assumptions!$B$30+(1-H5095)*Assumptions!$B$29+(1-I5095)*Assumptions!$B$28</f>
        <v/>
      </c>
      <c r="K5095">
        <f>C5095*$J$157+D5095*$F$157+E5095*$G$157+F5095*Assumptions!$B$14+G5095*Assumptions!$B$13+H5095*Assumptions!$B$12+I5095*Assumptions!$B$11+$O$157+$S$157+Assumptions!$B$9</f>
        <v/>
      </c>
      <c r="L5095">
        <f>B5095-J5095</f>
        <v/>
      </c>
      <c r="M5095">
        <f>IF(K5095&gt;0,IF(L5095/K5095&gt;=Assumptions!$B$37,1,0),0)</f>
        <v/>
      </c>
      <c r="N5095">
        <f>K5095+M5095*Assumptions!$B$153</f>
        <v/>
      </c>
      <c r="O5095">
        <f>L5095+M5095*Assumptions!$B$153*Assumptions!$B$37</f>
        <v/>
      </c>
      <c r="P5095">
        <f>IF(N5095&gt;0,O5095/N5095,0)</f>
        <v/>
      </c>
      <c r="Q5095">
        <f>IF(C5095=1,P5095*$J$157,Assumptions!$B$41)</f>
        <v/>
      </c>
      <c r="R5095">
        <f>IF(D5095=1,P5095*$F$157,Assumptions!$B$33)</f>
        <v/>
      </c>
      <c r="S5095">
        <f>IF(E5095=1,P5095*$G$157,Assumptions!$B$32)</f>
        <v/>
      </c>
      <c r="T5095">
        <f>IF(F5095=1,P5095*Assumptions!$B$14,Assumptions!$B$31)</f>
        <v/>
      </c>
      <c r="U5095">
        <f>IF(G5095=1,P5095*Assumptions!$B$13,Assumptions!$B$30)</f>
        <v/>
      </c>
      <c r="V5095">
        <f>IF(H5095=1,P5095*Assumptions!$B$12,Assumptions!$B$29)</f>
        <v/>
      </c>
      <c r="W5095">
        <f>IF(I5095=1,P5095*Assumptions!$B$11,Assumptions!$B$28)</f>
        <v/>
      </c>
      <c r="X5095">
        <f>P5095*($O$157+$S$157)</f>
        <v/>
      </c>
      <c r="Y5095">
        <f>P5095*Assumptions!$B$9</f>
        <v/>
      </c>
      <c r="Z5095">
        <f>IF(M5095=1,(P5095-Assumptions!$B$37)*Assumptions!$B$153,0)</f>
        <v/>
      </c>
      <c r="AA5095">
        <f>Q5095+R5095+S5095+T5095+U5095+V5095+W5095+X5095+Y5095+Z5095</f>
        <v/>
      </c>
      <c r="AB5095" t="n">
        <v>95</v>
      </c>
      <c r="AC5095" t="n">
        <v>31</v>
      </c>
      <c r="AD5095" t="n">
        <v>127</v>
      </c>
      <c r="AE5095" t="n">
        <v>79</v>
      </c>
      <c r="AF5095" t="n">
        <v>87</v>
      </c>
      <c r="AG5095" t="n">
        <v>91</v>
      </c>
      <c r="AH5095" t="n">
        <v>93</v>
      </c>
      <c r="AI5095" t="n">
        <v>94</v>
      </c>
      <c r="AJ5095">
        <f>INDEX($Q$5000:$Q$5127,AC5095+1)</f>
        <v/>
      </c>
      <c r="AK5095">
        <f>INDEX($R$5000:$R$5127,AD5095+1)</f>
        <v/>
      </c>
      <c r="AL5095">
        <f>INDEX($S$5000:$S$5127,AE5095+1)</f>
        <v/>
      </c>
      <c r="AM5095">
        <f>INDEX($T$5000:$T$5127,AF5095+1)</f>
        <v/>
      </c>
      <c r="AN5095">
        <f>INDEX($U$5000:$U$5127,AG5095+1)</f>
        <v/>
      </c>
      <c r="AO5095">
        <f>INDEX($V$5000:$V$5127,AH5095+1)</f>
        <v/>
      </c>
      <c r="AP5095">
        <f>INDEX($W$5000:$W$5127,AI5095+1)</f>
        <v/>
      </c>
      <c r="AQ5095">
        <f>IF(Q5095&gt;=AJ5095-0.01,1,0)</f>
        <v/>
      </c>
      <c r="AR5095">
        <f>IF(R5095&gt;=AK5095-0.01,1,0)</f>
        <v/>
      </c>
      <c r="AS5095">
        <f>IF(S5095&gt;=AL5095-0.01,1,0)</f>
        <v/>
      </c>
      <c r="AT5095">
        <f>IF(T5095&gt;=AM5095-0.01,1,0)</f>
        <v/>
      </c>
      <c r="AU5095">
        <f>IF(U5095&gt;=AN5095-0.01,1,0)</f>
        <v/>
      </c>
      <c r="AV5095">
        <f>IF(V5095&gt;=AO5095-0.01,1,0)</f>
        <v/>
      </c>
      <c r="AW5095">
        <f>IF(W5095&gt;=AP5095-0.01,1,0)</f>
        <v/>
      </c>
      <c r="AX5095">
        <f>AQ5095*AR5095*AS5095*AT5095*AU5095*AV5095*AW5095</f>
        <v/>
      </c>
    </row>
    <row r="5096">
      <c r="A5096" t="inlineStr"/>
      <c r="B5096">
        <f>Assumptions!$B$60</f>
        <v/>
      </c>
      <c r="C5096" t="n">
        <v>1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>
        <f>(1-C5096)*Assumptions!$B$41+(1-D5096)*Assumptions!$B$33+(1-E5096)*Assumptions!$B$32+(1-F5096)*Assumptions!$B$31+(1-G5096)*Assumptions!$B$30+(1-H5096)*Assumptions!$B$29+(1-I5096)*Assumptions!$B$28</f>
        <v/>
      </c>
      <c r="K5096">
        <f>C5096*$J$157+D5096*$F$157+E5096*$G$157+F5096*Assumptions!$B$14+G5096*Assumptions!$B$13+H5096*Assumptions!$B$12+I5096*Assumptions!$B$11+$O$157+$S$157+Assumptions!$B$9</f>
        <v/>
      </c>
      <c r="L5096">
        <f>B5096-J5096</f>
        <v/>
      </c>
      <c r="M5096">
        <f>IF(K5096&gt;0,IF(L5096/K5096&gt;=Assumptions!$B$37,1,0),0)</f>
        <v/>
      </c>
      <c r="N5096">
        <f>K5096+M5096*Assumptions!$B$153</f>
        <v/>
      </c>
      <c r="O5096">
        <f>L5096+M5096*Assumptions!$B$153*Assumptions!$B$37</f>
        <v/>
      </c>
      <c r="P5096">
        <f>IF(N5096&gt;0,O5096/N5096,0)</f>
        <v/>
      </c>
      <c r="Q5096">
        <f>IF(C5096=1,P5096*$J$157,Assumptions!$B$41)</f>
        <v/>
      </c>
      <c r="R5096">
        <f>IF(D5096=1,P5096*$F$157,Assumptions!$B$33)</f>
        <v/>
      </c>
      <c r="S5096">
        <f>IF(E5096=1,P5096*$G$157,Assumptions!$B$32)</f>
        <v/>
      </c>
      <c r="T5096">
        <f>IF(F5096=1,P5096*Assumptions!$B$14,Assumptions!$B$31)</f>
        <v/>
      </c>
      <c r="U5096">
        <f>IF(G5096=1,P5096*Assumptions!$B$13,Assumptions!$B$30)</f>
        <v/>
      </c>
      <c r="V5096">
        <f>IF(H5096=1,P5096*Assumptions!$B$12,Assumptions!$B$29)</f>
        <v/>
      </c>
      <c r="W5096">
        <f>IF(I5096=1,P5096*Assumptions!$B$11,Assumptions!$B$28)</f>
        <v/>
      </c>
      <c r="X5096">
        <f>P5096*($O$157+$S$157)</f>
        <v/>
      </c>
      <c r="Y5096">
        <f>P5096*Assumptions!$B$9</f>
        <v/>
      </c>
      <c r="Z5096">
        <f>IF(M5096=1,(P5096-Assumptions!$B$37)*Assumptions!$B$153,0)</f>
        <v/>
      </c>
      <c r="AA5096">
        <f>Q5096+R5096+S5096+T5096+U5096+V5096+W5096+X5096+Y5096+Z5096</f>
        <v/>
      </c>
      <c r="AB5096" t="n">
        <v>96</v>
      </c>
      <c r="AC5096" t="n">
        <v>32</v>
      </c>
      <c r="AD5096" t="n">
        <v>64</v>
      </c>
      <c r="AE5096" t="n">
        <v>112</v>
      </c>
      <c r="AF5096" t="n">
        <v>104</v>
      </c>
      <c r="AG5096" t="n">
        <v>100</v>
      </c>
      <c r="AH5096" t="n">
        <v>98</v>
      </c>
      <c r="AI5096" t="n">
        <v>97</v>
      </c>
      <c r="AJ5096">
        <f>INDEX($Q$5000:$Q$5127,AC5096+1)</f>
        <v/>
      </c>
      <c r="AK5096">
        <f>INDEX($R$5000:$R$5127,AD5096+1)</f>
        <v/>
      </c>
      <c r="AL5096">
        <f>INDEX($S$5000:$S$5127,AE5096+1)</f>
        <v/>
      </c>
      <c r="AM5096">
        <f>INDEX($T$5000:$T$5127,AF5096+1)</f>
        <v/>
      </c>
      <c r="AN5096">
        <f>INDEX($U$5000:$U$5127,AG5096+1)</f>
        <v/>
      </c>
      <c r="AO5096">
        <f>INDEX($V$5000:$V$5127,AH5096+1)</f>
        <v/>
      </c>
      <c r="AP5096">
        <f>INDEX($W$5000:$W$5127,AI5096+1)</f>
        <v/>
      </c>
      <c r="AQ5096">
        <f>IF(Q5096&gt;=AJ5096-0.01,1,0)</f>
        <v/>
      </c>
      <c r="AR5096">
        <f>IF(R5096&gt;=AK5096-0.01,1,0)</f>
        <v/>
      </c>
      <c r="AS5096">
        <f>IF(S5096&gt;=AL5096-0.01,1,0)</f>
        <v/>
      </c>
      <c r="AT5096">
        <f>IF(T5096&gt;=AM5096-0.01,1,0)</f>
        <v/>
      </c>
      <c r="AU5096">
        <f>IF(U5096&gt;=AN5096-0.01,1,0)</f>
        <v/>
      </c>
      <c r="AV5096">
        <f>IF(V5096&gt;=AO5096-0.01,1,0)</f>
        <v/>
      </c>
      <c r="AW5096">
        <f>IF(W5096&gt;=AP5096-0.01,1,0)</f>
        <v/>
      </c>
      <c r="AX5096">
        <f>AQ5096*AR5096*AS5096*AT5096*AU5096*AV5096*AW5096</f>
        <v/>
      </c>
    </row>
    <row r="5097">
      <c r="A5097" t="inlineStr"/>
      <c r="B5097">
        <f>Assumptions!$B$60</f>
        <v/>
      </c>
      <c r="C5097" t="n">
        <v>1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>
        <f>(1-C5097)*Assumptions!$B$41+(1-D5097)*Assumptions!$B$33+(1-E5097)*Assumptions!$B$32+(1-F5097)*Assumptions!$B$31+(1-G5097)*Assumptions!$B$30+(1-H5097)*Assumptions!$B$29+(1-I5097)*Assumptions!$B$28</f>
        <v/>
      </c>
      <c r="K5097">
        <f>C5097*$J$157+D5097*$F$157+E5097*$G$157+F5097*Assumptions!$B$14+G5097*Assumptions!$B$13+H5097*Assumptions!$B$12+I5097*Assumptions!$B$11+$O$157+$S$157+Assumptions!$B$9</f>
        <v/>
      </c>
      <c r="L5097">
        <f>B5097-J5097</f>
        <v/>
      </c>
      <c r="M5097">
        <f>IF(K5097&gt;0,IF(L5097/K5097&gt;=Assumptions!$B$37,1,0),0)</f>
        <v/>
      </c>
      <c r="N5097">
        <f>K5097+M5097*Assumptions!$B$153</f>
        <v/>
      </c>
      <c r="O5097">
        <f>L5097+M5097*Assumptions!$B$153*Assumptions!$B$37</f>
        <v/>
      </c>
      <c r="P5097">
        <f>IF(N5097&gt;0,O5097/N5097,0)</f>
        <v/>
      </c>
      <c r="Q5097">
        <f>IF(C5097=1,P5097*$J$157,Assumptions!$B$41)</f>
        <v/>
      </c>
      <c r="R5097">
        <f>IF(D5097=1,P5097*$F$157,Assumptions!$B$33)</f>
        <v/>
      </c>
      <c r="S5097">
        <f>IF(E5097=1,P5097*$G$157,Assumptions!$B$32)</f>
        <v/>
      </c>
      <c r="T5097">
        <f>IF(F5097=1,P5097*Assumptions!$B$14,Assumptions!$B$31)</f>
        <v/>
      </c>
      <c r="U5097">
        <f>IF(G5097=1,P5097*Assumptions!$B$13,Assumptions!$B$30)</f>
        <v/>
      </c>
      <c r="V5097">
        <f>IF(H5097=1,P5097*Assumptions!$B$12,Assumptions!$B$29)</f>
        <v/>
      </c>
      <c r="W5097">
        <f>IF(I5097=1,P5097*Assumptions!$B$11,Assumptions!$B$28)</f>
        <v/>
      </c>
      <c r="X5097">
        <f>P5097*($O$157+$S$157)</f>
        <v/>
      </c>
      <c r="Y5097">
        <f>P5097*Assumptions!$B$9</f>
        <v/>
      </c>
      <c r="Z5097">
        <f>IF(M5097=1,(P5097-Assumptions!$B$37)*Assumptions!$B$153,0)</f>
        <v/>
      </c>
      <c r="AA5097">
        <f>Q5097+R5097+S5097+T5097+U5097+V5097+W5097+X5097+Y5097+Z5097</f>
        <v/>
      </c>
      <c r="AB5097" t="n">
        <v>97</v>
      </c>
      <c r="AC5097" t="n">
        <v>33</v>
      </c>
      <c r="AD5097" t="n">
        <v>65</v>
      </c>
      <c r="AE5097" t="n">
        <v>113</v>
      </c>
      <c r="AF5097" t="n">
        <v>105</v>
      </c>
      <c r="AG5097" t="n">
        <v>101</v>
      </c>
      <c r="AH5097" t="n">
        <v>99</v>
      </c>
      <c r="AI5097" t="n">
        <v>96</v>
      </c>
      <c r="AJ5097">
        <f>INDEX($Q$5000:$Q$5127,AC5097+1)</f>
        <v/>
      </c>
      <c r="AK5097">
        <f>INDEX($R$5000:$R$5127,AD5097+1)</f>
        <v/>
      </c>
      <c r="AL5097">
        <f>INDEX($S$5000:$S$5127,AE5097+1)</f>
        <v/>
      </c>
      <c r="AM5097">
        <f>INDEX($T$5000:$T$5127,AF5097+1)</f>
        <v/>
      </c>
      <c r="AN5097">
        <f>INDEX($U$5000:$U$5127,AG5097+1)</f>
        <v/>
      </c>
      <c r="AO5097">
        <f>INDEX($V$5000:$V$5127,AH5097+1)</f>
        <v/>
      </c>
      <c r="AP5097">
        <f>INDEX($W$5000:$W$5127,AI5097+1)</f>
        <v/>
      </c>
      <c r="AQ5097">
        <f>IF(Q5097&gt;=AJ5097-0.01,1,0)</f>
        <v/>
      </c>
      <c r="AR5097">
        <f>IF(R5097&gt;=AK5097-0.01,1,0)</f>
        <v/>
      </c>
      <c r="AS5097">
        <f>IF(S5097&gt;=AL5097-0.01,1,0)</f>
        <v/>
      </c>
      <c r="AT5097">
        <f>IF(T5097&gt;=AM5097-0.01,1,0)</f>
        <v/>
      </c>
      <c r="AU5097">
        <f>IF(U5097&gt;=AN5097-0.01,1,0)</f>
        <v/>
      </c>
      <c r="AV5097">
        <f>IF(V5097&gt;=AO5097-0.01,1,0)</f>
        <v/>
      </c>
      <c r="AW5097">
        <f>IF(W5097&gt;=AP5097-0.01,1,0)</f>
        <v/>
      </c>
      <c r="AX5097">
        <f>AQ5097*AR5097*AS5097*AT5097*AU5097*AV5097*AW5097</f>
        <v/>
      </c>
    </row>
    <row r="5098">
      <c r="A5098" t="inlineStr"/>
      <c r="B5098">
        <f>Assumptions!$B$60</f>
        <v/>
      </c>
      <c r="C5098" t="n">
        <v>1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>
        <f>(1-C5098)*Assumptions!$B$41+(1-D5098)*Assumptions!$B$33+(1-E5098)*Assumptions!$B$32+(1-F5098)*Assumptions!$B$31+(1-G5098)*Assumptions!$B$30+(1-H5098)*Assumptions!$B$29+(1-I5098)*Assumptions!$B$28</f>
        <v/>
      </c>
      <c r="K5098">
        <f>C5098*$J$157+D5098*$F$157+E5098*$G$157+F5098*Assumptions!$B$14+G5098*Assumptions!$B$13+H5098*Assumptions!$B$12+I5098*Assumptions!$B$11+$O$157+$S$157+Assumptions!$B$9</f>
        <v/>
      </c>
      <c r="L5098">
        <f>B5098-J5098</f>
        <v/>
      </c>
      <c r="M5098">
        <f>IF(K5098&gt;0,IF(L5098/K5098&gt;=Assumptions!$B$37,1,0),0)</f>
        <v/>
      </c>
      <c r="N5098">
        <f>K5098+M5098*Assumptions!$B$153</f>
        <v/>
      </c>
      <c r="O5098">
        <f>L5098+M5098*Assumptions!$B$153*Assumptions!$B$37</f>
        <v/>
      </c>
      <c r="P5098">
        <f>IF(N5098&gt;0,O5098/N5098,0)</f>
        <v/>
      </c>
      <c r="Q5098">
        <f>IF(C5098=1,P5098*$J$157,Assumptions!$B$41)</f>
        <v/>
      </c>
      <c r="R5098">
        <f>IF(D5098=1,P5098*$F$157,Assumptions!$B$33)</f>
        <v/>
      </c>
      <c r="S5098">
        <f>IF(E5098=1,P5098*$G$157,Assumptions!$B$32)</f>
        <v/>
      </c>
      <c r="T5098">
        <f>IF(F5098=1,P5098*Assumptions!$B$14,Assumptions!$B$31)</f>
        <v/>
      </c>
      <c r="U5098">
        <f>IF(G5098=1,P5098*Assumptions!$B$13,Assumptions!$B$30)</f>
        <v/>
      </c>
      <c r="V5098">
        <f>IF(H5098=1,P5098*Assumptions!$B$12,Assumptions!$B$29)</f>
        <v/>
      </c>
      <c r="W5098">
        <f>IF(I5098=1,P5098*Assumptions!$B$11,Assumptions!$B$28)</f>
        <v/>
      </c>
      <c r="X5098">
        <f>P5098*($O$157+$S$157)</f>
        <v/>
      </c>
      <c r="Y5098">
        <f>P5098*Assumptions!$B$9</f>
        <v/>
      </c>
      <c r="Z5098">
        <f>IF(M5098=1,(P5098-Assumptions!$B$37)*Assumptions!$B$153,0)</f>
        <v/>
      </c>
      <c r="AA5098">
        <f>Q5098+R5098+S5098+T5098+U5098+V5098+W5098+X5098+Y5098+Z5098</f>
        <v/>
      </c>
      <c r="AB5098" t="n">
        <v>98</v>
      </c>
      <c r="AC5098" t="n">
        <v>34</v>
      </c>
      <c r="AD5098" t="n">
        <v>66</v>
      </c>
      <c r="AE5098" t="n">
        <v>114</v>
      </c>
      <c r="AF5098" t="n">
        <v>106</v>
      </c>
      <c r="AG5098" t="n">
        <v>102</v>
      </c>
      <c r="AH5098" t="n">
        <v>96</v>
      </c>
      <c r="AI5098" t="n">
        <v>99</v>
      </c>
      <c r="AJ5098">
        <f>INDEX($Q$5000:$Q$5127,AC5098+1)</f>
        <v/>
      </c>
      <c r="AK5098">
        <f>INDEX($R$5000:$R$5127,AD5098+1)</f>
        <v/>
      </c>
      <c r="AL5098">
        <f>INDEX($S$5000:$S$5127,AE5098+1)</f>
        <v/>
      </c>
      <c r="AM5098">
        <f>INDEX($T$5000:$T$5127,AF5098+1)</f>
        <v/>
      </c>
      <c r="AN5098">
        <f>INDEX($U$5000:$U$5127,AG5098+1)</f>
        <v/>
      </c>
      <c r="AO5098">
        <f>INDEX($V$5000:$V$5127,AH5098+1)</f>
        <v/>
      </c>
      <c r="AP5098">
        <f>INDEX($W$5000:$W$5127,AI5098+1)</f>
        <v/>
      </c>
      <c r="AQ5098">
        <f>IF(Q5098&gt;=AJ5098-0.01,1,0)</f>
        <v/>
      </c>
      <c r="AR5098">
        <f>IF(R5098&gt;=AK5098-0.01,1,0)</f>
        <v/>
      </c>
      <c r="AS5098">
        <f>IF(S5098&gt;=AL5098-0.01,1,0)</f>
        <v/>
      </c>
      <c r="AT5098">
        <f>IF(T5098&gt;=AM5098-0.01,1,0)</f>
        <v/>
      </c>
      <c r="AU5098">
        <f>IF(U5098&gt;=AN5098-0.01,1,0)</f>
        <v/>
      </c>
      <c r="AV5098">
        <f>IF(V5098&gt;=AO5098-0.01,1,0)</f>
        <v/>
      </c>
      <c r="AW5098">
        <f>IF(W5098&gt;=AP5098-0.01,1,0)</f>
        <v/>
      </c>
      <c r="AX5098">
        <f>AQ5098*AR5098*AS5098*AT5098*AU5098*AV5098*AW5098</f>
        <v/>
      </c>
    </row>
    <row r="5099">
      <c r="A5099" t="inlineStr"/>
      <c r="B5099">
        <f>Assumptions!$B$60</f>
        <v/>
      </c>
      <c r="C5099" t="n">
        <v>1</v>
      </c>
      <c r="D5099" t="n">
        <v>1</v>
      </c>
      <c r="E5099" t="n">
        <v>0</v>
      </c>
      <c r="F5099" t="n">
        <v>0</v>
      </c>
      <c r="G5099" t="n">
        <v>0</v>
      </c>
      <c r="H5099" t="n">
        <v>1</v>
      </c>
      <c r="I5099" t="n">
        <v>1</v>
      </c>
      <c r="J5099">
        <f>(1-C5099)*Assumptions!$B$41+(1-D5099)*Assumptions!$B$33+(1-E5099)*Assumptions!$B$32+(1-F5099)*Assumptions!$B$31+(1-G5099)*Assumptions!$B$30+(1-H5099)*Assumptions!$B$29+(1-I5099)*Assumptions!$B$28</f>
        <v/>
      </c>
      <c r="K5099">
        <f>C5099*$J$157+D5099*$F$157+E5099*$G$157+F5099*Assumptions!$B$14+G5099*Assumptions!$B$13+H5099*Assumptions!$B$12+I5099*Assumptions!$B$11+$O$157+$S$157+Assumptions!$B$9</f>
        <v/>
      </c>
      <c r="L5099">
        <f>B5099-J5099</f>
        <v/>
      </c>
      <c r="M5099">
        <f>IF(K5099&gt;0,IF(L5099/K5099&gt;=Assumptions!$B$37,1,0),0)</f>
        <v/>
      </c>
      <c r="N5099">
        <f>K5099+M5099*Assumptions!$B$153</f>
        <v/>
      </c>
      <c r="O5099">
        <f>L5099+M5099*Assumptions!$B$153*Assumptions!$B$37</f>
        <v/>
      </c>
      <c r="P5099">
        <f>IF(N5099&gt;0,O5099/N5099,0)</f>
        <v/>
      </c>
      <c r="Q5099">
        <f>IF(C5099=1,P5099*$J$157,Assumptions!$B$41)</f>
        <v/>
      </c>
      <c r="R5099">
        <f>IF(D5099=1,P5099*$F$157,Assumptions!$B$33)</f>
        <v/>
      </c>
      <c r="S5099">
        <f>IF(E5099=1,P5099*$G$157,Assumptions!$B$32)</f>
        <v/>
      </c>
      <c r="T5099">
        <f>IF(F5099=1,P5099*Assumptions!$B$14,Assumptions!$B$31)</f>
        <v/>
      </c>
      <c r="U5099">
        <f>IF(G5099=1,P5099*Assumptions!$B$13,Assumptions!$B$30)</f>
        <v/>
      </c>
      <c r="V5099">
        <f>IF(H5099=1,P5099*Assumptions!$B$12,Assumptions!$B$29)</f>
        <v/>
      </c>
      <c r="W5099">
        <f>IF(I5099=1,P5099*Assumptions!$B$11,Assumptions!$B$28)</f>
        <v/>
      </c>
      <c r="X5099">
        <f>P5099*($O$157+$S$157)</f>
        <v/>
      </c>
      <c r="Y5099">
        <f>P5099*Assumptions!$B$9</f>
        <v/>
      </c>
      <c r="Z5099">
        <f>IF(M5099=1,(P5099-Assumptions!$B$37)*Assumptions!$B$153,0)</f>
        <v/>
      </c>
      <c r="AA5099">
        <f>Q5099+R5099+S5099+T5099+U5099+V5099+W5099+X5099+Y5099+Z5099</f>
        <v/>
      </c>
      <c r="AB5099" t="n">
        <v>99</v>
      </c>
      <c r="AC5099" t="n">
        <v>35</v>
      </c>
      <c r="AD5099" t="n">
        <v>67</v>
      </c>
      <c r="AE5099" t="n">
        <v>115</v>
      </c>
      <c r="AF5099" t="n">
        <v>107</v>
      </c>
      <c r="AG5099" t="n">
        <v>103</v>
      </c>
      <c r="AH5099" t="n">
        <v>97</v>
      </c>
      <c r="AI5099" t="n">
        <v>98</v>
      </c>
      <c r="AJ5099">
        <f>INDEX($Q$5000:$Q$5127,AC5099+1)</f>
        <v/>
      </c>
      <c r="AK5099">
        <f>INDEX($R$5000:$R$5127,AD5099+1)</f>
        <v/>
      </c>
      <c r="AL5099">
        <f>INDEX($S$5000:$S$5127,AE5099+1)</f>
        <v/>
      </c>
      <c r="AM5099">
        <f>INDEX($T$5000:$T$5127,AF5099+1)</f>
        <v/>
      </c>
      <c r="AN5099">
        <f>INDEX($U$5000:$U$5127,AG5099+1)</f>
        <v/>
      </c>
      <c r="AO5099">
        <f>INDEX($V$5000:$V$5127,AH5099+1)</f>
        <v/>
      </c>
      <c r="AP5099">
        <f>INDEX($W$5000:$W$5127,AI5099+1)</f>
        <v/>
      </c>
      <c r="AQ5099">
        <f>IF(Q5099&gt;=AJ5099-0.01,1,0)</f>
        <v/>
      </c>
      <c r="AR5099">
        <f>IF(R5099&gt;=AK5099-0.01,1,0)</f>
        <v/>
      </c>
      <c r="AS5099">
        <f>IF(S5099&gt;=AL5099-0.01,1,0)</f>
        <v/>
      </c>
      <c r="AT5099">
        <f>IF(T5099&gt;=AM5099-0.01,1,0)</f>
        <v/>
      </c>
      <c r="AU5099">
        <f>IF(U5099&gt;=AN5099-0.01,1,0)</f>
        <v/>
      </c>
      <c r="AV5099">
        <f>IF(V5099&gt;=AO5099-0.01,1,0)</f>
        <v/>
      </c>
      <c r="AW5099">
        <f>IF(W5099&gt;=AP5099-0.01,1,0)</f>
        <v/>
      </c>
      <c r="AX5099">
        <f>AQ5099*AR5099*AS5099*AT5099*AU5099*AV5099*AW5099</f>
        <v/>
      </c>
    </row>
    <row r="5100">
      <c r="A5100" t="inlineStr"/>
      <c r="B5100">
        <f>Assumptions!$B$60</f>
        <v/>
      </c>
      <c r="C5100" t="n">
        <v>1</v>
      </c>
      <c r="D5100" t="n">
        <v>1</v>
      </c>
      <c r="E5100" t="n">
        <v>0</v>
      </c>
      <c r="F5100" t="n">
        <v>0</v>
      </c>
      <c r="G5100" t="n">
        <v>1</v>
      </c>
      <c r="H5100" t="n">
        <v>0</v>
      </c>
      <c r="I5100" t="n">
        <v>0</v>
      </c>
      <c r="J5100">
        <f>(1-C5100)*Assumptions!$B$41+(1-D5100)*Assumptions!$B$33+(1-E5100)*Assumptions!$B$32+(1-F5100)*Assumptions!$B$31+(1-G5100)*Assumptions!$B$30+(1-H5100)*Assumptions!$B$29+(1-I5100)*Assumptions!$B$28</f>
        <v/>
      </c>
      <c r="K5100">
        <f>C5100*$J$157+D5100*$F$157+E5100*$G$157+F5100*Assumptions!$B$14+G5100*Assumptions!$B$13+H5100*Assumptions!$B$12+I5100*Assumptions!$B$11+$O$157+$S$157+Assumptions!$B$9</f>
        <v/>
      </c>
      <c r="L5100">
        <f>B5100-J5100</f>
        <v/>
      </c>
      <c r="M5100">
        <f>IF(K5100&gt;0,IF(L5100/K5100&gt;=Assumptions!$B$37,1,0),0)</f>
        <v/>
      </c>
      <c r="N5100">
        <f>K5100+M5100*Assumptions!$B$153</f>
        <v/>
      </c>
      <c r="O5100">
        <f>L5100+M5100*Assumptions!$B$153*Assumptions!$B$37</f>
        <v/>
      </c>
      <c r="P5100">
        <f>IF(N5100&gt;0,O5100/N5100,0)</f>
        <v/>
      </c>
      <c r="Q5100">
        <f>IF(C5100=1,P5100*$J$157,Assumptions!$B$41)</f>
        <v/>
      </c>
      <c r="R5100">
        <f>IF(D5100=1,P5100*$F$157,Assumptions!$B$33)</f>
        <v/>
      </c>
      <c r="S5100">
        <f>IF(E5100=1,P5100*$G$157,Assumptions!$B$32)</f>
        <v/>
      </c>
      <c r="T5100">
        <f>IF(F5100=1,P5100*Assumptions!$B$14,Assumptions!$B$31)</f>
        <v/>
      </c>
      <c r="U5100">
        <f>IF(G5100=1,P5100*Assumptions!$B$13,Assumptions!$B$30)</f>
        <v/>
      </c>
      <c r="V5100">
        <f>IF(H5100=1,P5100*Assumptions!$B$12,Assumptions!$B$29)</f>
        <v/>
      </c>
      <c r="W5100">
        <f>IF(I5100=1,P5100*Assumptions!$B$11,Assumptions!$B$28)</f>
        <v/>
      </c>
      <c r="X5100">
        <f>P5100*($O$157+$S$157)</f>
        <v/>
      </c>
      <c r="Y5100">
        <f>P5100*Assumptions!$B$9</f>
        <v/>
      </c>
      <c r="Z5100">
        <f>IF(M5100=1,(P5100-Assumptions!$B$37)*Assumptions!$B$153,0)</f>
        <v/>
      </c>
      <c r="AA5100">
        <f>Q5100+R5100+S5100+T5100+U5100+V5100+W5100+X5100+Y5100+Z5100</f>
        <v/>
      </c>
      <c r="AB5100" t="n">
        <v>100</v>
      </c>
      <c r="AC5100" t="n">
        <v>36</v>
      </c>
      <c r="AD5100" t="n">
        <v>68</v>
      </c>
      <c r="AE5100" t="n">
        <v>116</v>
      </c>
      <c r="AF5100" t="n">
        <v>108</v>
      </c>
      <c r="AG5100" t="n">
        <v>96</v>
      </c>
      <c r="AH5100" t="n">
        <v>102</v>
      </c>
      <c r="AI5100" t="n">
        <v>101</v>
      </c>
      <c r="AJ5100">
        <f>INDEX($Q$5000:$Q$5127,AC5100+1)</f>
        <v/>
      </c>
      <c r="AK5100">
        <f>INDEX($R$5000:$R$5127,AD5100+1)</f>
        <v/>
      </c>
      <c r="AL5100">
        <f>INDEX($S$5000:$S$5127,AE5100+1)</f>
        <v/>
      </c>
      <c r="AM5100">
        <f>INDEX($T$5000:$T$5127,AF5100+1)</f>
        <v/>
      </c>
      <c r="AN5100">
        <f>INDEX($U$5000:$U$5127,AG5100+1)</f>
        <v/>
      </c>
      <c r="AO5100">
        <f>INDEX($V$5000:$V$5127,AH5100+1)</f>
        <v/>
      </c>
      <c r="AP5100">
        <f>INDEX($W$5000:$W$5127,AI5100+1)</f>
        <v/>
      </c>
      <c r="AQ5100">
        <f>IF(Q5100&gt;=AJ5100-0.01,1,0)</f>
        <v/>
      </c>
      <c r="AR5100">
        <f>IF(R5100&gt;=AK5100-0.01,1,0)</f>
        <v/>
      </c>
      <c r="AS5100">
        <f>IF(S5100&gt;=AL5100-0.01,1,0)</f>
        <v/>
      </c>
      <c r="AT5100">
        <f>IF(T5100&gt;=AM5100-0.01,1,0)</f>
        <v/>
      </c>
      <c r="AU5100">
        <f>IF(U5100&gt;=AN5100-0.01,1,0)</f>
        <v/>
      </c>
      <c r="AV5100">
        <f>IF(V5100&gt;=AO5100-0.01,1,0)</f>
        <v/>
      </c>
      <c r="AW5100">
        <f>IF(W5100&gt;=AP5100-0.01,1,0)</f>
        <v/>
      </c>
      <c r="AX5100">
        <f>AQ5100*AR5100*AS5100*AT5100*AU5100*AV5100*AW5100</f>
        <v/>
      </c>
    </row>
    <row r="5101">
      <c r="A5101" t="inlineStr"/>
      <c r="B5101">
        <f>Assumptions!$B$60</f>
        <v/>
      </c>
      <c r="C5101" t="n">
        <v>1</v>
      </c>
      <c r="D5101" t="n">
        <v>1</v>
      </c>
      <c r="E5101" t="n">
        <v>0</v>
      </c>
      <c r="F5101" t="n">
        <v>0</v>
      </c>
      <c r="G5101" t="n">
        <v>1</v>
      </c>
      <c r="H5101" t="n">
        <v>0</v>
      </c>
      <c r="I5101" t="n">
        <v>1</v>
      </c>
      <c r="J5101">
        <f>(1-C5101)*Assumptions!$B$41+(1-D5101)*Assumptions!$B$33+(1-E5101)*Assumptions!$B$32+(1-F5101)*Assumptions!$B$31+(1-G5101)*Assumptions!$B$30+(1-H5101)*Assumptions!$B$29+(1-I5101)*Assumptions!$B$28</f>
        <v/>
      </c>
      <c r="K5101">
        <f>C5101*$J$157+D5101*$F$157+E5101*$G$157+F5101*Assumptions!$B$14+G5101*Assumptions!$B$13+H5101*Assumptions!$B$12+I5101*Assumptions!$B$11+$O$157+$S$157+Assumptions!$B$9</f>
        <v/>
      </c>
      <c r="L5101">
        <f>B5101-J5101</f>
        <v/>
      </c>
      <c r="M5101">
        <f>IF(K5101&gt;0,IF(L5101/K5101&gt;=Assumptions!$B$37,1,0),0)</f>
        <v/>
      </c>
      <c r="N5101">
        <f>K5101+M5101*Assumptions!$B$153</f>
        <v/>
      </c>
      <c r="O5101">
        <f>L5101+M5101*Assumptions!$B$153*Assumptions!$B$37</f>
        <v/>
      </c>
      <c r="P5101">
        <f>IF(N5101&gt;0,O5101/N5101,0)</f>
        <v/>
      </c>
      <c r="Q5101">
        <f>IF(C5101=1,P5101*$J$157,Assumptions!$B$41)</f>
        <v/>
      </c>
      <c r="R5101">
        <f>IF(D5101=1,P5101*$F$157,Assumptions!$B$33)</f>
        <v/>
      </c>
      <c r="S5101">
        <f>IF(E5101=1,P5101*$G$157,Assumptions!$B$32)</f>
        <v/>
      </c>
      <c r="T5101">
        <f>IF(F5101=1,P5101*Assumptions!$B$14,Assumptions!$B$31)</f>
        <v/>
      </c>
      <c r="U5101">
        <f>IF(G5101=1,P5101*Assumptions!$B$13,Assumptions!$B$30)</f>
        <v/>
      </c>
      <c r="V5101">
        <f>IF(H5101=1,P5101*Assumptions!$B$12,Assumptions!$B$29)</f>
        <v/>
      </c>
      <c r="W5101">
        <f>IF(I5101=1,P5101*Assumptions!$B$11,Assumptions!$B$28)</f>
        <v/>
      </c>
      <c r="X5101">
        <f>P5101*($O$157+$S$157)</f>
        <v/>
      </c>
      <c r="Y5101">
        <f>P5101*Assumptions!$B$9</f>
        <v/>
      </c>
      <c r="Z5101">
        <f>IF(M5101=1,(P5101-Assumptions!$B$37)*Assumptions!$B$153,0)</f>
        <v/>
      </c>
      <c r="AA5101">
        <f>Q5101+R5101+S5101+T5101+U5101+V5101+W5101+X5101+Y5101+Z5101</f>
        <v/>
      </c>
      <c r="AB5101" t="n">
        <v>101</v>
      </c>
      <c r="AC5101" t="n">
        <v>37</v>
      </c>
      <c r="AD5101" t="n">
        <v>69</v>
      </c>
      <c r="AE5101" t="n">
        <v>117</v>
      </c>
      <c r="AF5101" t="n">
        <v>109</v>
      </c>
      <c r="AG5101" t="n">
        <v>97</v>
      </c>
      <c r="AH5101" t="n">
        <v>103</v>
      </c>
      <c r="AI5101" t="n">
        <v>100</v>
      </c>
      <c r="AJ5101">
        <f>INDEX($Q$5000:$Q$5127,AC5101+1)</f>
        <v/>
      </c>
      <c r="AK5101">
        <f>INDEX($R$5000:$R$5127,AD5101+1)</f>
        <v/>
      </c>
      <c r="AL5101">
        <f>INDEX($S$5000:$S$5127,AE5101+1)</f>
        <v/>
      </c>
      <c r="AM5101">
        <f>INDEX($T$5000:$T$5127,AF5101+1)</f>
        <v/>
      </c>
      <c r="AN5101">
        <f>INDEX($U$5000:$U$5127,AG5101+1)</f>
        <v/>
      </c>
      <c r="AO5101">
        <f>INDEX($V$5000:$V$5127,AH5101+1)</f>
        <v/>
      </c>
      <c r="AP5101">
        <f>INDEX($W$5000:$W$5127,AI5101+1)</f>
        <v/>
      </c>
      <c r="AQ5101">
        <f>IF(Q5101&gt;=AJ5101-0.01,1,0)</f>
        <v/>
      </c>
      <c r="AR5101">
        <f>IF(R5101&gt;=AK5101-0.01,1,0)</f>
        <v/>
      </c>
      <c r="AS5101">
        <f>IF(S5101&gt;=AL5101-0.01,1,0)</f>
        <v/>
      </c>
      <c r="AT5101">
        <f>IF(T5101&gt;=AM5101-0.01,1,0)</f>
        <v/>
      </c>
      <c r="AU5101">
        <f>IF(U5101&gt;=AN5101-0.01,1,0)</f>
        <v/>
      </c>
      <c r="AV5101">
        <f>IF(V5101&gt;=AO5101-0.01,1,0)</f>
        <v/>
      </c>
      <c r="AW5101">
        <f>IF(W5101&gt;=AP5101-0.01,1,0)</f>
        <v/>
      </c>
      <c r="AX5101">
        <f>AQ5101*AR5101*AS5101*AT5101*AU5101*AV5101*AW5101</f>
        <v/>
      </c>
    </row>
    <row r="5102">
      <c r="A5102" t="inlineStr"/>
      <c r="B5102">
        <f>Assumptions!$B$60</f>
        <v/>
      </c>
      <c r="C5102" t="n">
        <v>1</v>
      </c>
      <c r="D5102" t="n">
        <v>1</v>
      </c>
      <c r="E5102" t="n">
        <v>0</v>
      </c>
      <c r="F5102" t="n">
        <v>0</v>
      </c>
      <c r="G5102" t="n">
        <v>1</v>
      </c>
      <c r="H5102" t="n">
        <v>1</v>
      </c>
      <c r="I5102" t="n">
        <v>0</v>
      </c>
      <c r="J5102">
        <f>(1-C5102)*Assumptions!$B$41+(1-D5102)*Assumptions!$B$33+(1-E5102)*Assumptions!$B$32+(1-F5102)*Assumptions!$B$31+(1-G5102)*Assumptions!$B$30+(1-H5102)*Assumptions!$B$29+(1-I5102)*Assumptions!$B$28</f>
        <v/>
      </c>
      <c r="K5102">
        <f>C5102*$J$157+D5102*$F$157+E5102*$G$157+F5102*Assumptions!$B$14+G5102*Assumptions!$B$13+H5102*Assumptions!$B$12+I5102*Assumptions!$B$11+$O$157+$S$157+Assumptions!$B$9</f>
        <v/>
      </c>
      <c r="L5102">
        <f>B5102-J5102</f>
        <v/>
      </c>
      <c r="M5102">
        <f>IF(K5102&gt;0,IF(L5102/K5102&gt;=Assumptions!$B$37,1,0),0)</f>
        <v/>
      </c>
      <c r="N5102">
        <f>K5102+M5102*Assumptions!$B$153</f>
        <v/>
      </c>
      <c r="O5102">
        <f>L5102+M5102*Assumptions!$B$153*Assumptions!$B$37</f>
        <v/>
      </c>
      <c r="P5102">
        <f>IF(N5102&gt;0,O5102/N5102,0)</f>
        <v/>
      </c>
      <c r="Q5102">
        <f>IF(C5102=1,P5102*$J$157,Assumptions!$B$41)</f>
        <v/>
      </c>
      <c r="R5102">
        <f>IF(D5102=1,P5102*$F$157,Assumptions!$B$33)</f>
        <v/>
      </c>
      <c r="S5102">
        <f>IF(E5102=1,P5102*$G$157,Assumptions!$B$32)</f>
        <v/>
      </c>
      <c r="T5102">
        <f>IF(F5102=1,P5102*Assumptions!$B$14,Assumptions!$B$31)</f>
        <v/>
      </c>
      <c r="U5102">
        <f>IF(G5102=1,P5102*Assumptions!$B$13,Assumptions!$B$30)</f>
        <v/>
      </c>
      <c r="V5102">
        <f>IF(H5102=1,P5102*Assumptions!$B$12,Assumptions!$B$29)</f>
        <v/>
      </c>
      <c r="W5102">
        <f>IF(I5102=1,P5102*Assumptions!$B$11,Assumptions!$B$28)</f>
        <v/>
      </c>
      <c r="X5102">
        <f>P5102*($O$157+$S$157)</f>
        <v/>
      </c>
      <c r="Y5102">
        <f>P5102*Assumptions!$B$9</f>
        <v/>
      </c>
      <c r="Z5102">
        <f>IF(M5102=1,(P5102-Assumptions!$B$37)*Assumptions!$B$153,0)</f>
        <v/>
      </c>
      <c r="AA5102">
        <f>Q5102+R5102+S5102+T5102+U5102+V5102+W5102+X5102+Y5102+Z5102</f>
        <v/>
      </c>
      <c r="AB5102" t="n">
        <v>102</v>
      </c>
      <c r="AC5102" t="n">
        <v>38</v>
      </c>
      <c r="AD5102" t="n">
        <v>70</v>
      </c>
      <c r="AE5102" t="n">
        <v>118</v>
      </c>
      <c r="AF5102" t="n">
        <v>110</v>
      </c>
      <c r="AG5102" t="n">
        <v>98</v>
      </c>
      <c r="AH5102" t="n">
        <v>100</v>
      </c>
      <c r="AI5102" t="n">
        <v>103</v>
      </c>
      <c r="AJ5102">
        <f>INDEX($Q$5000:$Q$5127,AC5102+1)</f>
        <v/>
      </c>
      <c r="AK5102">
        <f>INDEX($R$5000:$R$5127,AD5102+1)</f>
        <v/>
      </c>
      <c r="AL5102">
        <f>INDEX($S$5000:$S$5127,AE5102+1)</f>
        <v/>
      </c>
      <c r="AM5102">
        <f>INDEX($T$5000:$T$5127,AF5102+1)</f>
        <v/>
      </c>
      <c r="AN5102">
        <f>INDEX($U$5000:$U$5127,AG5102+1)</f>
        <v/>
      </c>
      <c r="AO5102">
        <f>INDEX($V$5000:$V$5127,AH5102+1)</f>
        <v/>
      </c>
      <c r="AP5102">
        <f>INDEX($W$5000:$W$5127,AI5102+1)</f>
        <v/>
      </c>
      <c r="AQ5102">
        <f>IF(Q5102&gt;=AJ5102-0.01,1,0)</f>
        <v/>
      </c>
      <c r="AR5102">
        <f>IF(R5102&gt;=AK5102-0.01,1,0)</f>
        <v/>
      </c>
      <c r="AS5102">
        <f>IF(S5102&gt;=AL5102-0.01,1,0)</f>
        <v/>
      </c>
      <c r="AT5102">
        <f>IF(T5102&gt;=AM5102-0.01,1,0)</f>
        <v/>
      </c>
      <c r="AU5102">
        <f>IF(U5102&gt;=AN5102-0.01,1,0)</f>
        <v/>
      </c>
      <c r="AV5102">
        <f>IF(V5102&gt;=AO5102-0.01,1,0)</f>
        <v/>
      </c>
      <c r="AW5102">
        <f>IF(W5102&gt;=AP5102-0.01,1,0)</f>
        <v/>
      </c>
      <c r="AX5102">
        <f>AQ5102*AR5102*AS5102*AT5102*AU5102*AV5102*AW5102</f>
        <v/>
      </c>
    </row>
    <row r="5103">
      <c r="A5103" t="inlineStr"/>
      <c r="B5103">
        <f>Assumptions!$B$60</f>
        <v/>
      </c>
      <c r="C5103" t="n">
        <v>1</v>
      </c>
      <c r="D5103" t="n">
        <v>1</v>
      </c>
      <c r="E5103" t="n">
        <v>0</v>
      </c>
      <c r="F5103" t="n">
        <v>0</v>
      </c>
      <c r="G5103" t="n">
        <v>1</v>
      </c>
      <c r="H5103" t="n">
        <v>1</v>
      </c>
      <c r="I5103" t="n">
        <v>1</v>
      </c>
      <c r="J5103">
        <f>(1-C5103)*Assumptions!$B$41+(1-D5103)*Assumptions!$B$33+(1-E5103)*Assumptions!$B$32+(1-F5103)*Assumptions!$B$31+(1-G5103)*Assumptions!$B$30+(1-H5103)*Assumptions!$B$29+(1-I5103)*Assumptions!$B$28</f>
        <v/>
      </c>
      <c r="K5103">
        <f>C5103*$J$157+D5103*$F$157+E5103*$G$157+F5103*Assumptions!$B$14+G5103*Assumptions!$B$13+H5103*Assumptions!$B$12+I5103*Assumptions!$B$11+$O$157+$S$157+Assumptions!$B$9</f>
        <v/>
      </c>
      <c r="L5103">
        <f>B5103-J5103</f>
        <v/>
      </c>
      <c r="M5103">
        <f>IF(K5103&gt;0,IF(L5103/K5103&gt;=Assumptions!$B$37,1,0),0)</f>
        <v/>
      </c>
      <c r="N5103">
        <f>K5103+M5103*Assumptions!$B$153</f>
        <v/>
      </c>
      <c r="O5103">
        <f>L5103+M5103*Assumptions!$B$153*Assumptions!$B$37</f>
        <v/>
      </c>
      <c r="P5103">
        <f>IF(N5103&gt;0,O5103/N5103,0)</f>
        <v/>
      </c>
      <c r="Q5103">
        <f>IF(C5103=1,P5103*$J$157,Assumptions!$B$41)</f>
        <v/>
      </c>
      <c r="R5103">
        <f>IF(D5103=1,P5103*$F$157,Assumptions!$B$33)</f>
        <v/>
      </c>
      <c r="S5103">
        <f>IF(E5103=1,P5103*$G$157,Assumptions!$B$32)</f>
        <v/>
      </c>
      <c r="T5103">
        <f>IF(F5103=1,P5103*Assumptions!$B$14,Assumptions!$B$31)</f>
        <v/>
      </c>
      <c r="U5103">
        <f>IF(G5103=1,P5103*Assumptions!$B$13,Assumptions!$B$30)</f>
        <v/>
      </c>
      <c r="V5103">
        <f>IF(H5103=1,P5103*Assumptions!$B$12,Assumptions!$B$29)</f>
        <v/>
      </c>
      <c r="W5103">
        <f>IF(I5103=1,P5103*Assumptions!$B$11,Assumptions!$B$28)</f>
        <v/>
      </c>
      <c r="X5103">
        <f>P5103*($O$157+$S$157)</f>
        <v/>
      </c>
      <c r="Y5103">
        <f>P5103*Assumptions!$B$9</f>
        <v/>
      </c>
      <c r="Z5103">
        <f>IF(M5103=1,(P5103-Assumptions!$B$37)*Assumptions!$B$153,0)</f>
        <v/>
      </c>
      <c r="AA5103">
        <f>Q5103+R5103+S5103+T5103+U5103+V5103+W5103+X5103+Y5103+Z5103</f>
        <v/>
      </c>
      <c r="AB5103" t="n">
        <v>103</v>
      </c>
      <c r="AC5103" t="n">
        <v>39</v>
      </c>
      <c r="AD5103" t="n">
        <v>71</v>
      </c>
      <c r="AE5103" t="n">
        <v>119</v>
      </c>
      <c r="AF5103" t="n">
        <v>111</v>
      </c>
      <c r="AG5103" t="n">
        <v>99</v>
      </c>
      <c r="AH5103" t="n">
        <v>101</v>
      </c>
      <c r="AI5103" t="n">
        <v>102</v>
      </c>
      <c r="AJ5103">
        <f>INDEX($Q$5000:$Q$5127,AC5103+1)</f>
        <v/>
      </c>
      <c r="AK5103">
        <f>INDEX($R$5000:$R$5127,AD5103+1)</f>
        <v/>
      </c>
      <c r="AL5103">
        <f>INDEX($S$5000:$S$5127,AE5103+1)</f>
        <v/>
      </c>
      <c r="AM5103">
        <f>INDEX($T$5000:$T$5127,AF5103+1)</f>
        <v/>
      </c>
      <c r="AN5103">
        <f>INDEX($U$5000:$U$5127,AG5103+1)</f>
        <v/>
      </c>
      <c r="AO5103">
        <f>INDEX($V$5000:$V$5127,AH5103+1)</f>
        <v/>
      </c>
      <c r="AP5103">
        <f>INDEX($W$5000:$W$5127,AI5103+1)</f>
        <v/>
      </c>
      <c r="AQ5103">
        <f>IF(Q5103&gt;=AJ5103-0.01,1,0)</f>
        <v/>
      </c>
      <c r="AR5103">
        <f>IF(R5103&gt;=AK5103-0.01,1,0)</f>
        <v/>
      </c>
      <c r="AS5103">
        <f>IF(S5103&gt;=AL5103-0.01,1,0)</f>
        <v/>
      </c>
      <c r="AT5103">
        <f>IF(T5103&gt;=AM5103-0.01,1,0)</f>
        <v/>
      </c>
      <c r="AU5103">
        <f>IF(U5103&gt;=AN5103-0.01,1,0)</f>
        <v/>
      </c>
      <c r="AV5103">
        <f>IF(V5103&gt;=AO5103-0.01,1,0)</f>
        <v/>
      </c>
      <c r="AW5103">
        <f>IF(W5103&gt;=AP5103-0.01,1,0)</f>
        <v/>
      </c>
      <c r="AX5103">
        <f>AQ5103*AR5103*AS5103*AT5103*AU5103*AV5103*AW5103</f>
        <v/>
      </c>
    </row>
    <row r="5104">
      <c r="A5104" t="inlineStr"/>
      <c r="B5104">
        <f>Assumptions!$B$60</f>
        <v/>
      </c>
      <c r="C5104" t="n">
        <v>1</v>
      </c>
      <c r="D5104" t="n">
        <v>1</v>
      </c>
      <c r="E5104" t="n">
        <v>0</v>
      </c>
      <c r="F5104" t="n">
        <v>1</v>
      </c>
      <c r="G5104" t="n">
        <v>0</v>
      </c>
      <c r="H5104" t="n">
        <v>0</v>
      </c>
      <c r="I5104" t="n">
        <v>0</v>
      </c>
      <c r="J5104">
        <f>(1-C5104)*Assumptions!$B$41+(1-D5104)*Assumptions!$B$33+(1-E5104)*Assumptions!$B$32+(1-F5104)*Assumptions!$B$31+(1-G5104)*Assumptions!$B$30+(1-H5104)*Assumptions!$B$29+(1-I5104)*Assumptions!$B$28</f>
        <v/>
      </c>
      <c r="K5104">
        <f>C5104*$J$157+D5104*$F$157+E5104*$G$157+F5104*Assumptions!$B$14+G5104*Assumptions!$B$13+H5104*Assumptions!$B$12+I5104*Assumptions!$B$11+$O$157+$S$157+Assumptions!$B$9</f>
        <v/>
      </c>
      <c r="L5104">
        <f>B5104-J5104</f>
        <v/>
      </c>
      <c r="M5104">
        <f>IF(K5104&gt;0,IF(L5104/K5104&gt;=Assumptions!$B$37,1,0),0)</f>
        <v/>
      </c>
      <c r="N5104">
        <f>K5104+M5104*Assumptions!$B$153</f>
        <v/>
      </c>
      <c r="O5104">
        <f>L5104+M5104*Assumptions!$B$153*Assumptions!$B$37</f>
        <v/>
      </c>
      <c r="P5104">
        <f>IF(N5104&gt;0,O5104/N5104,0)</f>
        <v/>
      </c>
      <c r="Q5104">
        <f>IF(C5104=1,P5104*$J$157,Assumptions!$B$41)</f>
        <v/>
      </c>
      <c r="R5104">
        <f>IF(D5104=1,P5104*$F$157,Assumptions!$B$33)</f>
        <v/>
      </c>
      <c r="S5104">
        <f>IF(E5104=1,P5104*$G$157,Assumptions!$B$32)</f>
        <v/>
      </c>
      <c r="T5104">
        <f>IF(F5104=1,P5104*Assumptions!$B$14,Assumptions!$B$31)</f>
        <v/>
      </c>
      <c r="U5104">
        <f>IF(G5104=1,P5104*Assumptions!$B$13,Assumptions!$B$30)</f>
        <v/>
      </c>
      <c r="V5104">
        <f>IF(H5104=1,P5104*Assumptions!$B$12,Assumptions!$B$29)</f>
        <v/>
      </c>
      <c r="W5104">
        <f>IF(I5104=1,P5104*Assumptions!$B$11,Assumptions!$B$28)</f>
        <v/>
      </c>
      <c r="X5104">
        <f>P5104*($O$157+$S$157)</f>
        <v/>
      </c>
      <c r="Y5104">
        <f>P5104*Assumptions!$B$9</f>
        <v/>
      </c>
      <c r="Z5104">
        <f>IF(M5104=1,(P5104-Assumptions!$B$37)*Assumptions!$B$153,0)</f>
        <v/>
      </c>
      <c r="AA5104">
        <f>Q5104+R5104+S5104+T5104+U5104+V5104+W5104+X5104+Y5104+Z5104</f>
        <v/>
      </c>
      <c r="AB5104" t="n">
        <v>104</v>
      </c>
      <c r="AC5104" t="n">
        <v>40</v>
      </c>
      <c r="AD5104" t="n">
        <v>72</v>
      </c>
      <c r="AE5104" t="n">
        <v>120</v>
      </c>
      <c r="AF5104" t="n">
        <v>96</v>
      </c>
      <c r="AG5104" t="n">
        <v>108</v>
      </c>
      <c r="AH5104" t="n">
        <v>106</v>
      </c>
      <c r="AI5104" t="n">
        <v>105</v>
      </c>
      <c r="AJ5104">
        <f>INDEX($Q$5000:$Q$5127,AC5104+1)</f>
        <v/>
      </c>
      <c r="AK5104">
        <f>INDEX($R$5000:$R$5127,AD5104+1)</f>
        <v/>
      </c>
      <c r="AL5104">
        <f>INDEX($S$5000:$S$5127,AE5104+1)</f>
        <v/>
      </c>
      <c r="AM5104">
        <f>INDEX($T$5000:$T$5127,AF5104+1)</f>
        <v/>
      </c>
      <c r="AN5104">
        <f>INDEX($U$5000:$U$5127,AG5104+1)</f>
        <v/>
      </c>
      <c r="AO5104">
        <f>INDEX($V$5000:$V$5127,AH5104+1)</f>
        <v/>
      </c>
      <c r="AP5104">
        <f>INDEX($W$5000:$W$5127,AI5104+1)</f>
        <v/>
      </c>
      <c r="AQ5104">
        <f>IF(Q5104&gt;=AJ5104-0.01,1,0)</f>
        <v/>
      </c>
      <c r="AR5104">
        <f>IF(R5104&gt;=AK5104-0.01,1,0)</f>
        <v/>
      </c>
      <c r="AS5104">
        <f>IF(S5104&gt;=AL5104-0.01,1,0)</f>
        <v/>
      </c>
      <c r="AT5104">
        <f>IF(T5104&gt;=AM5104-0.01,1,0)</f>
        <v/>
      </c>
      <c r="AU5104">
        <f>IF(U5104&gt;=AN5104-0.01,1,0)</f>
        <v/>
      </c>
      <c r="AV5104">
        <f>IF(V5104&gt;=AO5104-0.01,1,0)</f>
        <v/>
      </c>
      <c r="AW5104">
        <f>IF(W5104&gt;=AP5104-0.01,1,0)</f>
        <v/>
      </c>
      <c r="AX5104">
        <f>AQ5104*AR5104*AS5104*AT5104*AU5104*AV5104*AW5104</f>
        <v/>
      </c>
    </row>
    <row r="5105">
      <c r="A5105" t="inlineStr"/>
      <c r="B5105">
        <f>Assumptions!$B$60</f>
        <v/>
      </c>
      <c r="C5105" t="n">
        <v>1</v>
      </c>
      <c r="D5105" t="n">
        <v>1</v>
      </c>
      <c r="E5105" t="n">
        <v>0</v>
      </c>
      <c r="F5105" t="n">
        <v>1</v>
      </c>
      <c r="G5105" t="n">
        <v>0</v>
      </c>
      <c r="H5105" t="n">
        <v>0</v>
      </c>
      <c r="I5105" t="n">
        <v>1</v>
      </c>
      <c r="J5105">
        <f>(1-C5105)*Assumptions!$B$41+(1-D5105)*Assumptions!$B$33+(1-E5105)*Assumptions!$B$32+(1-F5105)*Assumptions!$B$31+(1-G5105)*Assumptions!$B$30+(1-H5105)*Assumptions!$B$29+(1-I5105)*Assumptions!$B$28</f>
        <v/>
      </c>
      <c r="K5105">
        <f>C5105*$J$157+D5105*$F$157+E5105*$G$157+F5105*Assumptions!$B$14+G5105*Assumptions!$B$13+H5105*Assumptions!$B$12+I5105*Assumptions!$B$11+$O$157+$S$157+Assumptions!$B$9</f>
        <v/>
      </c>
      <c r="L5105">
        <f>B5105-J5105</f>
        <v/>
      </c>
      <c r="M5105">
        <f>IF(K5105&gt;0,IF(L5105/K5105&gt;=Assumptions!$B$37,1,0),0)</f>
        <v/>
      </c>
      <c r="N5105">
        <f>K5105+M5105*Assumptions!$B$153</f>
        <v/>
      </c>
      <c r="O5105">
        <f>L5105+M5105*Assumptions!$B$153*Assumptions!$B$37</f>
        <v/>
      </c>
      <c r="P5105">
        <f>IF(N5105&gt;0,O5105/N5105,0)</f>
        <v/>
      </c>
      <c r="Q5105">
        <f>IF(C5105=1,P5105*$J$157,Assumptions!$B$41)</f>
        <v/>
      </c>
      <c r="R5105">
        <f>IF(D5105=1,P5105*$F$157,Assumptions!$B$33)</f>
        <v/>
      </c>
      <c r="S5105">
        <f>IF(E5105=1,P5105*$G$157,Assumptions!$B$32)</f>
        <v/>
      </c>
      <c r="T5105">
        <f>IF(F5105=1,P5105*Assumptions!$B$14,Assumptions!$B$31)</f>
        <v/>
      </c>
      <c r="U5105">
        <f>IF(G5105=1,P5105*Assumptions!$B$13,Assumptions!$B$30)</f>
        <v/>
      </c>
      <c r="V5105">
        <f>IF(H5105=1,P5105*Assumptions!$B$12,Assumptions!$B$29)</f>
        <v/>
      </c>
      <c r="W5105">
        <f>IF(I5105=1,P5105*Assumptions!$B$11,Assumptions!$B$28)</f>
        <v/>
      </c>
      <c r="X5105">
        <f>P5105*($O$157+$S$157)</f>
        <v/>
      </c>
      <c r="Y5105">
        <f>P5105*Assumptions!$B$9</f>
        <v/>
      </c>
      <c r="Z5105">
        <f>IF(M5105=1,(P5105-Assumptions!$B$37)*Assumptions!$B$153,0)</f>
        <v/>
      </c>
      <c r="AA5105">
        <f>Q5105+R5105+S5105+T5105+U5105+V5105+W5105+X5105+Y5105+Z5105</f>
        <v/>
      </c>
      <c r="AB5105" t="n">
        <v>105</v>
      </c>
      <c r="AC5105" t="n">
        <v>41</v>
      </c>
      <c r="AD5105" t="n">
        <v>73</v>
      </c>
      <c r="AE5105" t="n">
        <v>121</v>
      </c>
      <c r="AF5105" t="n">
        <v>97</v>
      </c>
      <c r="AG5105" t="n">
        <v>109</v>
      </c>
      <c r="AH5105" t="n">
        <v>107</v>
      </c>
      <c r="AI5105" t="n">
        <v>104</v>
      </c>
      <c r="AJ5105">
        <f>INDEX($Q$5000:$Q$5127,AC5105+1)</f>
        <v/>
      </c>
      <c r="AK5105">
        <f>INDEX($R$5000:$R$5127,AD5105+1)</f>
        <v/>
      </c>
      <c r="AL5105">
        <f>INDEX($S$5000:$S$5127,AE5105+1)</f>
        <v/>
      </c>
      <c r="AM5105">
        <f>INDEX($T$5000:$T$5127,AF5105+1)</f>
        <v/>
      </c>
      <c r="AN5105">
        <f>INDEX($U$5000:$U$5127,AG5105+1)</f>
        <v/>
      </c>
      <c r="AO5105">
        <f>INDEX($V$5000:$V$5127,AH5105+1)</f>
        <v/>
      </c>
      <c r="AP5105">
        <f>INDEX($W$5000:$W$5127,AI5105+1)</f>
        <v/>
      </c>
      <c r="AQ5105">
        <f>IF(Q5105&gt;=AJ5105-0.01,1,0)</f>
        <v/>
      </c>
      <c r="AR5105">
        <f>IF(R5105&gt;=AK5105-0.01,1,0)</f>
        <v/>
      </c>
      <c r="AS5105">
        <f>IF(S5105&gt;=AL5105-0.01,1,0)</f>
        <v/>
      </c>
      <c r="AT5105">
        <f>IF(T5105&gt;=AM5105-0.01,1,0)</f>
        <v/>
      </c>
      <c r="AU5105">
        <f>IF(U5105&gt;=AN5105-0.01,1,0)</f>
        <v/>
      </c>
      <c r="AV5105">
        <f>IF(V5105&gt;=AO5105-0.01,1,0)</f>
        <v/>
      </c>
      <c r="AW5105">
        <f>IF(W5105&gt;=AP5105-0.01,1,0)</f>
        <v/>
      </c>
      <c r="AX5105">
        <f>AQ5105*AR5105*AS5105*AT5105*AU5105*AV5105*AW5105</f>
        <v/>
      </c>
    </row>
    <row r="5106">
      <c r="A5106" t="inlineStr"/>
      <c r="B5106">
        <f>Assumptions!$B$60</f>
        <v/>
      </c>
      <c r="C5106" t="n">
        <v>1</v>
      </c>
      <c r="D5106" t="n">
        <v>1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>
        <f>(1-C5106)*Assumptions!$B$41+(1-D5106)*Assumptions!$B$33+(1-E5106)*Assumptions!$B$32+(1-F5106)*Assumptions!$B$31+(1-G5106)*Assumptions!$B$30+(1-H5106)*Assumptions!$B$29+(1-I5106)*Assumptions!$B$28</f>
        <v/>
      </c>
      <c r="K5106">
        <f>C5106*$J$157+D5106*$F$157+E5106*$G$157+F5106*Assumptions!$B$14+G5106*Assumptions!$B$13+H5106*Assumptions!$B$12+I5106*Assumptions!$B$11+$O$157+$S$157+Assumptions!$B$9</f>
        <v/>
      </c>
      <c r="L5106">
        <f>B5106-J5106</f>
        <v/>
      </c>
      <c r="M5106">
        <f>IF(K5106&gt;0,IF(L5106/K5106&gt;=Assumptions!$B$37,1,0),0)</f>
        <v/>
      </c>
      <c r="N5106">
        <f>K5106+M5106*Assumptions!$B$153</f>
        <v/>
      </c>
      <c r="O5106">
        <f>L5106+M5106*Assumptions!$B$153*Assumptions!$B$37</f>
        <v/>
      </c>
      <c r="P5106">
        <f>IF(N5106&gt;0,O5106/N5106,0)</f>
        <v/>
      </c>
      <c r="Q5106">
        <f>IF(C5106=1,P5106*$J$157,Assumptions!$B$41)</f>
        <v/>
      </c>
      <c r="R5106">
        <f>IF(D5106=1,P5106*$F$157,Assumptions!$B$33)</f>
        <v/>
      </c>
      <c r="S5106">
        <f>IF(E5106=1,P5106*$G$157,Assumptions!$B$32)</f>
        <v/>
      </c>
      <c r="T5106">
        <f>IF(F5106=1,P5106*Assumptions!$B$14,Assumptions!$B$31)</f>
        <v/>
      </c>
      <c r="U5106">
        <f>IF(G5106=1,P5106*Assumptions!$B$13,Assumptions!$B$30)</f>
        <v/>
      </c>
      <c r="V5106">
        <f>IF(H5106=1,P5106*Assumptions!$B$12,Assumptions!$B$29)</f>
        <v/>
      </c>
      <c r="W5106">
        <f>IF(I5106=1,P5106*Assumptions!$B$11,Assumptions!$B$28)</f>
        <v/>
      </c>
      <c r="X5106">
        <f>P5106*($O$157+$S$157)</f>
        <v/>
      </c>
      <c r="Y5106">
        <f>P5106*Assumptions!$B$9</f>
        <v/>
      </c>
      <c r="Z5106">
        <f>IF(M5106=1,(P5106-Assumptions!$B$37)*Assumptions!$B$153,0)</f>
        <v/>
      </c>
      <c r="AA5106">
        <f>Q5106+R5106+S5106+T5106+U5106+V5106+W5106+X5106+Y5106+Z5106</f>
        <v/>
      </c>
      <c r="AB5106" t="n">
        <v>106</v>
      </c>
      <c r="AC5106" t="n">
        <v>42</v>
      </c>
      <c r="AD5106" t="n">
        <v>74</v>
      </c>
      <c r="AE5106" t="n">
        <v>122</v>
      </c>
      <c r="AF5106" t="n">
        <v>98</v>
      </c>
      <c r="AG5106" t="n">
        <v>110</v>
      </c>
      <c r="AH5106" t="n">
        <v>104</v>
      </c>
      <c r="AI5106" t="n">
        <v>107</v>
      </c>
      <c r="AJ5106">
        <f>INDEX($Q$5000:$Q$5127,AC5106+1)</f>
        <v/>
      </c>
      <c r="AK5106">
        <f>INDEX($R$5000:$R$5127,AD5106+1)</f>
        <v/>
      </c>
      <c r="AL5106">
        <f>INDEX($S$5000:$S$5127,AE5106+1)</f>
        <v/>
      </c>
      <c r="AM5106">
        <f>INDEX($T$5000:$T$5127,AF5106+1)</f>
        <v/>
      </c>
      <c r="AN5106">
        <f>INDEX($U$5000:$U$5127,AG5106+1)</f>
        <v/>
      </c>
      <c r="AO5106">
        <f>INDEX($V$5000:$V$5127,AH5106+1)</f>
        <v/>
      </c>
      <c r="AP5106">
        <f>INDEX($W$5000:$W$5127,AI5106+1)</f>
        <v/>
      </c>
      <c r="AQ5106">
        <f>IF(Q5106&gt;=AJ5106-0.01,1,0)</f>
        <v/>
      </c>
      <c r="AR5106">
        <f>IF(R5106&gt;=AK5106-0.01,1,0)</f>
        <v/>
      </c>
      <c r="AS5106">
        <f>IF(S5106&gt;=AL5106-0.01,1,0)</f>
        <v/>
      </c>
      <c r="AT5106">
        <f>IF(T5106&gt;=AM5106-0.01,1,0)</f>
        <v/>
      </c>
      <c r="AU5106">
        <f>IF(U5106&gt;=AN5106-0.01,1,0)</f>
        <v/>
      </c>
      <c r="AV5106">
        <f>IF(V5106&gt;=AO5106-0.01,1,0)</f>
        <v/>
      </c>
      <c r="AW5106">
        <f>IF(W5106&gt;=AP5106-0.01,1,0)</f>
        <v/>
      </c>
      <c r="AX5106">
        <f>AQ5106*AR5106*AS5106*AT5106*AU5106*AV5106*AW5106</f>
        <v/>
      </c>
    </row>
    <row r="5107">
      <c r="A5107" t="inlineStr"/>
      <c r="B5107">
        <f>Assumptions!$B$60</f>
        <v/>
      </c>
      <c r="C5107" t="n">
        <v>1</v>
      </c>
      <c r="D5107" t="n">
        <v>1</v>
      </c>
      <c r="E5107" t="n">
        <v>0</v>
      </c>
      <c r="F5107" t="n">
        <v>1</v>
      </c>
      <c r="G5107" t="n">
        <v>0</v>
      </c>
      <c r="H5107" t="n">
        <v>1</v>
      </c>
      <c r="I5107" t="n">
        <v>1</v>
      </c>
      <c r="J5107">
        <f>(1-C5107)*Assumptions!$B$41+(1-D5107)*Assumptions!$B$33+(1-E5107)*Assumptions!$B$32+(1-F5107)*Assumptions!$B$31+(1-G5107)*Assumptions!$B$30+(1-H5107)*Assumptions!$B$29+(1-I5107)*Assumptions!$B$28</f>
        <v/>
      </c>
      <c r="K5107">
        <f>C5107*$J$157+D5107*$F$157+E5107*$G$157+F5107*Assumptions!$B$14+G5107*Assumptions!$B$13+H5107*Assumptions!$B$12+I5107*Assumptions!$B$11+$O$157+$S$157+Assumptions!$B$9</f>
        <v/>
      </c>
      <c r="L5107">
        <f>B5107-J5107</f>
        <v/>
      </c>
      <c r="M5107">
        <f>IF(K5107&gt;0,IF(L5107/K5107&gt;=Assumptions!$B$37,1,0),0)</f>
        <v/>
      </c>
      <c r="N5107">
        <f>K5107+M5107*Assumptions!$B$153</f>
        <v/>
      </c>
      <c r="O5107">
        <f>L5107+M5107*Assumptions!$B$153*Assumptions!$B$37</f>
        <v/>
      </c>
      <c r="P5107">
        <f>IF(N5107&gt;0,O5107/N5107,0)</f>
        <v/>
      </c>
      <c r="Q5107">
        <f>IF(C5107=1,P5107*$J$157,Assumptions!$B$41)</f>
        <v/>
      </c>
      <c r="R5107">
        <f>IF(D5107=1,P5107*$F$157,Assumptions!$B$33)</f>
        <v/>
      </c>
      <c r="S5107">
        <f>IF(E5107=1,P5107*$G$157,Assumptions!$B$32)</f>
        <v/>
      </c>
      <c r="T5107">
        <f>IF(F5107=1,P5107*Assumptions!$B$14,Assumptions!$B$31)</f>
        <v/>
      </c>
      <c r="U5107">
        <f>IF(G5107=1,P5107*Assumptions!$B$13,Assumptions!$B$30)</f>
        <v/>
      </c>
      <c r="V5107">
        <f>IF(H5107=1,P5107*Assumptions!$B$12,Assumptions!$B$29)</f>
        <v/>
      </c>
      <c r="W5107">
        <f>IF(I5107=1,P5107*Assumptions!$B$11,Assumptions!$B$28)</f>
        <v/>
      </c>
      <c r="X5107">
        <f>P5107*($O$157+$S$157)</f>
        <v/>
      </c>
      <c r="Y5107">
        <f>P5107*Assumptions!$B$9</f>
        <v/>
      </c>
      <c r="Z5107">
        <f>IF(M5107=1,(P5107-Assumptions!$B$37)*Assumptions!$B$153,0)</f>
        <v/>
      </c>
      <c r="AA5107">
        <f>Q5107+R5107+S5107+T5107+U5107+V5107+W5107+X5107+Y5107+Z5107</f>
        <v/>
      </c>
      <c r="AB5107" t="n">
        <v>107</v>
      </c>
      <c r="AC5107" t="n">
        <v>43</v>
      </c>
      <c r="AD5107" t="n">
        <v>75</v>
      </c>
      <c r="AE5107" t="n">
        <v>123</v>
      </c>
      <c r="AF5107" t="n">
        <v>99</v>
      </c>
      <c r="AG5107" t="n">
        <v>111</v>
      </c>
      <c r="AH5107" t="n">
        <v>105</v>
      </c>
      <c r="AI5107" t="n">
        <v>106</v>
      </c>
      <c r="AJ5107">
        <f>INDEX($Q$5000:$Q$5127,AC5107+1)</f>
        <v/>
      </c>
      <c r="AK5107">
        <f>INDEX($R$5000:$R$5127,AD5107+1)</f>
        <v/>
      </c>
      <c r="AL5107">
        <f>INDEX($S$5000:$S$5127,AE5107+1)</f>
        <v/>
      </c>
      <c r="AM5107">
        <f>INDEX($T$5000:$T$5127,AF5107+1)</f>
        <v/>
      </c>
      <c r="AN5107">
        <f>INDEX($U$5000:$U$5127,AG5107+1)</f>
        <v/>
      </c>
      <c r="AO5107">
        <f>INDEX($V$5000:$V$5127,AH5107+1)</f>
        <v/>
      </c>
      <c r="AP5107">
        <f>INDEX($W$5000:$W$5127,AI5107+1)</f>
        <v/>
      </c>
      <c r="AQ5107">
        <f>IF(Q5107&gt;=AJ5107-0.01,1,0)</f>
        <v/>
      </c>
      <c r="AR5107">
        <f>IF(R5107&gt;=AK5107-0.01,1,0)</f>
        <v/>
      </c>
      <c r="AS5107">
        <f>IF(S5107&gt;=AL5107-0.01,1,0)</f>
        <v/>
      </c>
      <c r="AT5107">
        <f>IF(T5107&gt;=AM5107-0.01,1,0)</f>
        <v/>
      </c>
      <c r="AU5107">
        <f>IF(U5107&gt;=AN5107-0.01,1,0)</f>
        <v/>
      </c>
      <c r="AV5107">
        <f>IF(V5107&gt;=AO5107-0.01,1,0)</f>
        <v/>
      </c>
      <c r="AW5107">
        <f>IF(W5107&gt;=AP5107-0.01,1,0)</f>
        <v/>
      </c>
      <c r="AX5107">
        <f>AQ5107*AR5107*AS5107*AT5107*AU5107*AV5107*AW5107</f>
        <v/>
      </c>
    </row>
    <row r="5108">
      <c r="A5108" t="inlineStr"/>
      <c r="B5108">
        <f>Assumptions!$B$60</f>
        <v/>
      </c>
      <c r="C5108" t="n">
        <v>1</v>
      </c>
      <c r="D5108" t="n">
        <v>1</v>
      </c>
      <c r="E5108" t="n">
        <v>0</v>
      </c>
      <c r="F5108" t="n">
        <v>1</v>
      </c>
      <c r="G5108" t="n">
        <v>1</v>
      </c>
      <c r="H5108" t="n">
        <v>0</v>
      </c>
      <c r="I5108" t="n">
        <v>0</v>
      </c>
      <c r="J5108">
        <f>(1-C5108)*Assumptions!$B$41+(1-D5108)*Assumptions!$B$33+(1-E5108)*Assumptions!$B$32+(1-F5108)*Assumptions!$B$31+(1-G5108)*Assumptions!$B$30+(1-H5108)*Assumptions!$B$29+(1-I5108)*Assumptions!$B$28</f>
        <v/>
      </c>
      <c r="K5108">
        <f>C5108*$J$157+D5108*$F$157+E5108*$G$157+F5108*Assumptions!$B$14+G5108*Assumptions!$B$13+H5108*Assumptions!$B$12+I5108*Assumptions!$B$11+$O$157+$S$157+Assumptions!$B$9</f>
        <v/>
      </c>
      <c r="L5108">
        <f>B5108-J5108</f>
        <v/>
      </c>
      <c r="M5108">
        <f>IF(K5108&gt;0,IF(L5108/K5108&gt;=Assumptions!$B$37,1,0),0)</f>
        <v/>
      </c>
      <c r="N5108">
        <f>K5108+M5108*Assumptions!$B$153</f>
        <v/>
      </c>
      <c r="O5108">
        <f>L5108+M5108*Assumptions!$B$153*Assumptions!$B$37</f>
        <v/>
      </c>
      <c r="P5108">
        <f>IF(N5108&gt;0,O5108/N5108,0)</f>
        <v/>
      </c>
      <c r="Q5108">
        <f>IF(C5108=1,P5108*$J$157,Assumptions!$B$41)</f>
        <v/>
      </c>
      <c r="R5108">
        <f>IF(D5108=1,P5108*$F$157,Assumptions!$B$33)</f>
        <v/>
      </c>
      <c r="S5108">
        <f>IF(E5108=1,P5108*$G$157,Assumptions!$B$32)</f>
        <v/>
      </c>
      <c r="T5108">
        <f>IF(F5108=1,P5108*Assumptions!$B$14,Assumptions!$B$31)</f>
        <v/>
      </c>
      <c r="U5108">
        <f>IF(G5108=1,P5108*Assumptions!$B$13,Assumptions!$B$30)</f>
        <v/>
      </c>
      <c r="V5108">
        <f>IF(H5108=1,P5108*Assumptions!$B$12,Assumptions!$B$29)</f>
        <v/>
      </c>
      <c r="W5108">
        <f>IF(I5108=1,P5108*Assumptions!$B$11,Assumptions!$B$28)</f>
        <v/>
      </c>
      <c r="X5108">
        <f>P5108*($O$157+$S$157)</f>
        <v/>
      </c>
      <c r="Y5108">
        <f>P5108*Assumptions!$B$9</f>
        <v/>
      </c>
      <c r="Z5108">
        <f>IF(M5108=1,(P5108-Assumptions!$B$37)*Assumptions!$B$153,0)</f>
        <v/>
      </c>
      <c r="AA5108">
        <f>Q5108+R5108+S5108+T5108+U5108+V5108+W5108+X5108+Y5108+Z5108</f>
        <v/>
      </c>
      <c r="AB5108" t="n">
        <v>108</v>
      </c>
      <c r="AC5108" t="n">
        <v>44</v>
      </c>
      <c r="AD5108" t="n">
        <v>76</v>
      </c>
      <c r="AE5108" t="n">
        <v>124</v>
      </c>
      <c r="AF5108" t="n">
        <v>100</v>
      </c>
      <c r="AG5108" t="n">
        <v>104</v>
      </c>
      <c r="AH5108" t="n">
        <v>110</v>
      </c>
      <c r="AI5108" t="n">
        <v>109</v>
      </c>
      <c r="AJ5108">
        <f>INDEX($Q$5000:$Q$5127,AC5108+1)</f>
        <v/>
      </c>
      <c r="AK5108">
        <f>INDEX($R$5000:$R$5127,AD5108+1)</f>
        <v/>
      </c>
      <c r="AL5108">
        <f>INDEX($S$5000:$S$5127,AE5108+1)</f>
        <v/>
      </c>
      <c r="AM5108">
        <f>INDEX($T$5000:$T$5127,AF5108+1)</f>
        <v/>
      </c>
      <c r="AN5108">
        <f>INDEX($U$5000:$U$5127,AG5108+1)</f>
        <v/>
      </c>
      <c r="AO5108">
        <f>INDEX($V$5000:$V$5127,AH5108+1)</f>
        <v/>
      </c>
      <c r="AP5108">
        <f>INDEX($W$5000:$W$5127,AI5108+1)</f>
        <v/>
      </c>
      <c r="AQ5108">
        <f>IF(Q5108&gt;=AJ5108-0.01,1,0)</f>
        <v/>
      </c>
      <c r="AR5108">
        <f>IF(R5108&gt;=AK5108-0.01,1,0)</f>
        <v/>
      </c>
      <c r="AS5108">
        <f>IF(S5108&gt;=AL5108-0.01,1,0)</f>
        <v/>
      </c>
      <c r="AT5108">
        <f>IF(T5108&gt;=AM5108-0.01,1,0)</f>
        <v/>
      </c>
      <c r="AU5108">
        <f>IF(U5108&gt;=AN5108-0.01,1,0)</f>
        <v/>
      </c>
      <c r="AV5108">
        <f>IF(V5108&gt;=AO5108-0.01,1,0)</f>
        <v/>
      </c>
      <c r="AW5108">
        <f>IF(W5108&gt;=AP5108-0.01,1,0)</f>
        <v/>
      </c>
      <c r="AX5108">
        <f>AQ5108*AR5108*AS5108*AT5108*AU5108*AV5108*AW5108</f>
        <v/>
      </c>
    </row>
    <row r="5109">
      <c r="A5109" t="inlineStr"/>
      <c r="B5109">
        <f>Assumptions!$B$60</f>
        <v/>
      </c>
      <c r="C5109" t="n">
        <v>1</v>
      </c>
      <c r="D5109" t="n">
        <v>1</v>
      </c>
      <c r="E5109" t="n">
        <v>0</v>
      </c>
      <c r="F5109" t="n">
        <v>1</v>
      </c>
      <c r="G5109" t="n">
        <v>1</v>
      </c>
      <c r="H5109" t="n">
        <v>0</v>
      </c>
      <c r="I5109" t="n">
        <v>1</v>
      </c>
      <c r="J5109">
        <f>(1-C5109)*Assumptions!$B$41+(1-D5109)*Assumptions!$B$33+(1-E5109)*Assumptions!$B$32+(1-F5109)*Assumptions!$B$31+(1-G5109)*Assumptions!$B$30+(1-H5109)*Assumptions!$B$29+(1-I5109)*Assumptions!$B$28</f>
        <v/>
      </c>
      <c r="K5109">
        <f>C5109*$J$157+D5109*$F$157+E5109*$G$157+F5109*Assumptions!$B$14+G5109*Assumptions!$B$13+H5109*Assumptions!$B$12+I5109*Assumptions!$B$11+$O$157+$S$157+Assumptions!$B$9</f>
        <v/>
      </c>
      <c r="L5109">
        <f>B5109-J5109</f>
        <v/>
      </c>
      <c r="M5109">
        <f>IF(K5109&gt;0,IF(L5109/K5109&gt;=Assumptions!$B$37,1,0),0)</f>
        <v/>
      </c>
      <c r="N5109">
        <f>K5109+M5109*Assumptions!$B$153</f>
        <v/>
      </c>
      <c r="O5109">
        <f>L5109+M5109*Assumptions!$B$153*Assumptions!$B$37</f>
        <v/>
      </c>
      <c r="P5109">
        <f>IF(N5109&gt;0,O5109/N5109,0)</f>
        <v/>
      </c>
      <c r="Q5109">
        <f>IF(C5109=1,P5109*$J$157,Assumptions!$B$41)</f>
        <v/>
      </c>
      <c r="R5109">
        <f>IF(D5109=1,P5109*$F$157,Assumptions!$B$33)</f>
        <v/>
      </c>
      <c r="S5109">
        <f>IF(E5109=1,P5109*$G$157,Assumptions!$B$32)</f>
        <v/>
      </c>
      <c r="T5109">
        <f>IF(F5109=1,P5109*Assumptions!$B$14,Assumptions!$B$31)</f>
        <v/>
      </c>
      <c r="U5109">
        <f>IF(G5109=1,P5109*Assumptions!$B$13,Assumptions!$B$30)</f>
        <v/>
      </c>
      <c r="V5109">
        <f>IF(H5109=1,P5109*Assumptions!$B$12,Assumptions!$B$29)</f>
        <v/>
      </c>
      <c r="W5109">
        <f>IF(I5109=1,P5109*Assumptions!$B$11,Assumptions!$B$28)</f>
        <v/>
      </c>
      <c r="X5109">
        <f>P5109*($O$157+$S$157)</f>
        <v/>
      </c>
      <c r="Y5109">
        <f>P5109*Assumptions!$B$9</f>
        <v/>
      </c>
      <c r="Z5109">
        <f>IF(M5109=1,(P5109-Assumptions!$B$37)*Assumptions!$B$153,0)</f>
        <v/>
      </c>
      <c r="AA5109">
        <f>Q5109+R5109+S5109+T5109+U5109+V5109+W5109+X5109+Y5109+Z5109</f>
        <v/>
      </c>
      <c r="AB5109" t="n">
        <v>109</v>
      </c>
      <c r="AC5109" t="n">
        <v>45</v>
      </c>
      <c r="AD5109" t="n">
        <v>77</v>
      </c>
      <c r="AE5109" t="n">
        <v>125</v>
      </c>
      <c r="AF5109" t="n">
        <v>101</v>
      </c>
      <c r="AG5109" t="n">
        <v>105</v>
      </c>
      <c r="AH5109" t="n">
        <v>111</v>
      </c>
      <c r="AI5109" t="n">
        <v>108</v>
      </c>
      <c r="AJ5109">
        <f>INDEX($Q$5000:$Q$5127,AC5109+1)</f>
        <v/>
      </c>
      <c r="AK5109">
        <f>INDEX($R$5000:$R$5127,AD5109+1)</f>
        <v/>
      </c>
      <c r="AL5109">
        <f>INDEX($S$5000:$S$5127,AE5109+1)</f>
        <v/>
      </c>
      <c r="AM5109">
        <f>INDEX($T$5000:$T$5127,AF5109+1)</f>
        <v/>
      </c>
      <c r="AN5109">
        <f>INDEX($U$5000:$U$5127,AG5109+1)</f>
        <v/>
      </c>
      <c r="AO5109">
        <f>INDEX($V$5000:$V$5127,AH5109+1)</f>
        <v/>
      </c>
      <c r="AP5109">
        <f>INDEX($W$5000:$W$5127,AI5109+1)</f>
        <v/>
      </c>
      <c r="AQ5109">
        <f>IF(Q5109&gt;=AJ5109-0.01,1,0)</f>
        <v/>
      </c>
      <c r="AR5109">
        <f>IF(R5109&gt;=AK5109-0.01,1,0)</f>
        <v/>
      </c>
      <c r="AS5109">
        <f>IF(S5109&gt;=AL5109-0.01,1,0)</f>
        <v/>
      </c>
      <c r="AT5109">
        <f>IF(T5109&gt;=AM5109-0.01,1,0)</f>
        <v/>
      </c>
      <c r="AU5109">
        <f>IF(U5109&gt;=AN5109-0.01,1,0)</f>
        <v/>
      </c>
      <c r="AV5109">
        <f>IF(V5109&gt;=AO5109-0.01,1,0)</f>
        <v/>
      </c>
      <c r="AW5109">
        <f>IF(W5109&gt;=AP5109-0.01,1,0)</f>
        <v/>
      </c>
      <c r="AX5109">
        <f>AQ5109*AR5109*AS5109*AT5109*AU5109*AV5109*AW5109</f>
        <v/>
      </c>
    </row>
    <row r="5110">
      <c r="A5110" t="inlineStr"/>
      <c r="B5110">
        <f>Assumptions!$B$60</f>
        <v/>
      </c>
      <c r="C5110" t="n">
        <v>1</v>
      </c>
      <c r="D5110" t="n">
        <v>1</v>
      </c>
      <c r="E5110" t="n">
        <v>0</v>
      </c>
      <c r="F5110" t="n">
        <v>1</v>
      </c>
      <c r="G5110" t="n">
        <v>1</v>
      </c>
      <c r="H5110" t="n">
        <v>1</v>
      </c>
      <c r="I5110" t="n">
        <v>0</v>
      </c>
      <c r="J5110">
        <f>(1-C5110)*Assumptions!$B$41+(1-D5110)*Assumptions!$B$33+(1-E5110)*Assumptions!$B$32+(1-F5110)*Assumptions!$B$31+(1-G5110)*Assumptions!$B$30+(1-H5110)*Assumptions!$B$29+(1-I5110)*Assumptions!$B$28</f>
        <v/>
      </c>
      <c r="K5110">
        <f>C5110*$J$157+D5110*$F$157+E5110*$G$157+F5110*Assumptions!$B$14+G5110*Assumptions!$B$13+H5110*Assumptions!$B$12+I5110*Assumptions!$B$11+$O$157+$S$157+Assumptions!$B$9</f>
        <v/>
      </c>
      <c r="L5110">
        <f>B5110-J5110</f>
        <v/>
      </c>
      <c r="M5110">
        <f>IF(K5110&gt;0,IF(L5110/K5110&gt;=Assumptions!$B$37,1,0),0)</f>
        <v/>
      </c>
      <c r="N5110">
        <f>K5110+M5110*Assumptions!$B$153</f>
        <v/>
      </c>
      <c r="O5110">
        <f>L5110+M5110*Assumptions!$B$153*Assumptions!$B$37</f>
        <v/>
      </c>
      <c r="P5110">
        <f>IF(N5110&gt;0,O5110/N5110,0)</f>
        <v/>
      </c>
      <c r="Q5110">
        <f>IF(C5110=1,P5110*$J$157,Assumptions!$B$41)</f>
        <v/>
      </c>
      <c r="R5110">
        <f>IF(D5110=1,P5110*$F$157,Assumptions!$B$33)</f>
        <v/>
      </c>
      <c r="S5110">
        <f>IF(E5110=1,P5110*$G$157,Assumptions!$B$32)</f>
        <v/>
      </c>
      <c r="T5110">
        <f>IF(F5110=1,P5110*Assumptions!$B$14,Assumptions!$B$31)</f>
        <v/>
      </c>
      <c r="U5110">
        <f>IF(G5110=1,P5110*Assumptions!$B$13,Assumptions!$B$30)</f>
        <v/>
      </c>
      <c r="V5110">
        <f>IF(H5110=1,P5110*Assumptions!$B$12,Assumptions!$B$29)</f>
        <v/>
      </c>
      <c r="W5110">
        <f>IF(I5110=1,P5110*Assumptions!$B$11,Assumptions!$B$28)</f>
        <v/>
      </c>
      <c r="X5110">
        <f>P5110*($O$157+$S$157)</f>
        <v/>
      </c>
      <c r="Y5110">
        <f>P5110*Assumptions!$B$9</f>
        <v/>
      </c>
      <c r="Z5110">
        <f>IF(M5110=1,(P5110-Assumptions!$B$37)*Assumptions!$B$153,0)</f>
        <v/>
      </c>
      <c r="AA5110">
        <f>Q5110+R5110+S5110+T5110+U5110+V5110+W5110+X5110+Y5110+Z5110</f>
        <v/>
      </c>
      <c r="AB5110" t="n">
        <v>110</v>
      </c>
      <c r="AC5110" t="n">
        <v>46</v>
      </c>
      <c r="AD5110" t="n">
        <v>78</v>
      </c>
      <c r="AE5110" t="n">
        <v>126</v>
      </c>
      <c r="AF5110" t="n">
        <v>102</v>
      </c>
      <c r="AG5110" t="n">
        <v>106</v>
      </c>
      <c r="AH5110" t="n">
        <v>108</v>
      </c>
      <c r="AI5110" t="n">
        <v>111</v>
      </c>
      <c r="AJ5110">
        <f>INDEX($Q$5000:$Q$5127,AC5110+1)</f>
        <v/>
      </c>
      <c r="AK5110">
        <f>INDEX($R$5000:$R$5127,AD5110+1)</f>
        <v/>
      </c>
      <c r="AL5110">
        <f>INDEX($S$5000:$S$5127,AE5110+1)</f>
        <v/>
      </c>
      <c r="AM5110">
        <f>INDEX($T$5000:$T$5127,AF5110+1)</f>
        <v/>
      </c>
      <c r="AN5110">
        <f>INDEX($U$5000:$U$5127,AG5110+1)</f>
        <v/>
      </c>
      <c r="AO5110">
        <f>INDEX($V$5000:$V$5127,AH5110+1)</f>
        <v/>
      </c>
      <c r="AP5110">
        <f>INDEX($W$5000:$W$5127,AI5110+1)</f>
        <v/>
      </c>
      <c r="AQ5110">
        <f>IF(Q5110&gt;=AJ5110-0.01,1,0)</f>
        <v/>
      </c>
      <c r="AR5110">
        <f>IF(R5110&gt;=AK5110-0.01,1,0)</f>
        <v/>
      </c>
      <c r="AS5110">
        <f>IF(S5110&gt;=AL5110-0.01,1,0)</f>
        <v/>
      </c>
      <c r="AT5110">
        <f>IF(T5110&gt;=AM5110-0.01,1,0)</f>
        <v/>
      </c>
      <c r="AU5110">
        <f>IF(U5110&gt;=AN5110-0.01,1,0)</f>
        <v/>
      </c>
      <c r="AV5110">
        <f>IF(V5110&gt;=AO5110-0.01,1,0)</f>
        <v/>
      </c>
      <c r="AW5110">
        <f>IF(W5110&gt;=AP5110-0.01,1,0)</f>
        <v/>
      </c>
      <c r="AX5110">
        <f>AQ5110*AR5110*AS5110*AT5110*AU5110*AV5110*AW5110</f>
        <v/>
      </c>
    </row>
    <row r="5111">
      <c r="A5111" t="inlineStr"/>
      <c r="B5111">
        <f>Assumptions!$B$60</f>
        <v/>
      </c>
      <c r="C5111" t="n">
        <v>1</v>
      </c>
      <c r="D5111" t="n">
        <v>1</v>
      </c>
      <c r="E5111" t="n">
        <v>0</v>
      </c>
      <c r="F5111" t="n">
        <v>1</v>
      </c>
      <c r="G5111" t="n">
        <v>1</v>
      </c>
      <c r="H5111" t="n">
        <v>1</v>
      </c>
      <c r="I5111" t="n">
        <v>1</v>
      </c>
      <c r="J5111">
        <f>(1-C5111)*Assumptions!$B$41+(1-D5111)*Assumptions!$B$33+(1-E5111)*Assumptions!$B$32+(1-F5111)*Assumptions!$B$31+(1-G5111)*Assumptions!$B$30+(1-H5111)*Assumptions!$B$29+(1-I5111)*Assumptions!$B$28</f>
        <v/>
      </c>
      <c r="K5111">
        <f>C5111*$J$157+D5111*$F$157+E5111*$G$157+F5111*Assumptions!$B$14+G5111*Assumptions!$B$13+H5111*Assumptions!$B$12+I5111*Assumptions!$B$11+$O$157+$S$157+Assumptions!$B$9</f>
        <v/>
      </c>
      <c r="L5111">
        <f>B5111-J5111</f>
        <v/>
      </c>
      <c r="M5111">
        <f>IF(K5111&gt;0,IF(L5111/K5111&gt;=Assumptions!$B$37,1,0),0)</f>
        <v/>
      </c>
      <c r="N5111">
        <f>K5111+M5111*Assumptions!$B$153</f>
        <v/>
      </c>
      <c r="O5111">
        <f>L5111+M5111*Assumptions!$B$153*Assumptions!$B$37</f>
        <v/>
      </c>
      <c r="P5111">
        <f>IF(N5111&gt;0,O5111/N5111,0)</f>
        <v/>
      </c>
      <c r="Q5111">
        <f>IF(C5111=1,P5111*$J$157,Assumptions!$B$41)</f>
        <v/>
      </c>
      <c r="R5111">
        <f>IF(D5111=1,P5111*$F$157,Assumptions!$B$33)</f>
        <v/>
      </c>
      <c r="S5111">
        <f>IF(E5111=1,P5111*$G$157,Assumptions!$B$32)</f>
        <v/>
      </c>
      <c r="T5111">
        <f>IF(F5111=1,P5111*Assumptions!$B$14,Assumptions!$B$31)</f>
        <v/>
      </c>
      <c r="U5111">
        <f>IF(G5111=1,P5111*Assumptions!$B$13,Assumptions!$B$30)</f>
        <v/>
      </c>
      <c r="V5111">
        <f>IF(H5111=1,P5111*Assumptions!$B$12,Assumptions!$B$29)</f>
        <v/>
      </c>
      <c r="W5111">
        <f>IF(I5111=1,P5111*Assumptions!$B$11,Assumptions!$B$28)</f>
        <v/>
      </c>
      <c r="X5111">
        <f>P5111*($O$157+$S$157)</f>
        <v/>
      </c>
      <c r="Y5111">
        <f>P5111*Assumptions!$B$9</f>
        <v/>
      </c>
      <c r="Z5111">
        <f>IF(M5111=1,(P5111-Assumptions!$B$37)*Assumptions!$B$153,0)</f>
        <v/>
      </c>
      <c r="AA5111">
        <f>Q5111+R5111+S5111+T5111+U5111+V5111+W5111+X5111+Y5111+Z5111</f>
        <v/>
      </c>
      <c r="AB5111" t="n">
        <v>111</v>
      </c>
      <c r="AC5111" t="n">
        <v>47</v>
      </c>
      <c r="AD5111" t="n">
        <v>79</v>
      </c>
      <c r="AE5111" t="n">
        <v>127</v>
      </c>
      <c r="AF5111" t="n">
        <v>103</v>
      </c>
      <c r="AG5111" t="n">
        <v>107</v>
      </c>
      <c r="AH5111" t="n">
        <v>109</v>
      </c>
      <c r="AI5111" t="n">
        <v>110</v>
      </c>
      <c r="AJ5111">
        <f>INDEX($Q$5000:$Q$5127,AC5111+1)</f>
        <v/>
      </c>
      <c r="AK5111">
        <f>INDEX($R$5000:$R$5127,AD5111+1)</f>
        <v/>
      </c>
      <c r="AL5111">
        <f>INDEX($S$5000:$S$5127,AE5111+1)</f>
        <v/>
      </c>
      <c r="AM5111">
        <f>INDEX($T$5000:$T$5127,AF5111+1)</f>
        <v/>
      </c>
      <c r="AN5111">
        <f>INDEX($U$5000:$U$5127,AG5111+1)</f>
        <v/>
      </c>
      <c r="AO5111">
        <f>INDEX($V$5000:$V$5127,AH5111+1)</f>
        <v/>
      </c>
      <c r="AP5111">
        <f>INDEX($W$5000:$W$5127,AI5111+1)</f>
        <v/>
      </c>
      <c r="AQ5111">
        <f>IF(Q5111&gt;=AJ5111-0.01,1,0)</f>
        <v/>
      </c>
      <c r="AR5111">
        <f>IF(R5111&gt;=AK5111-0.01,1,0)</f>
        <v/>
      </c>
      <c r="AS5111">
        <f>IF(S5111&gt;=AL5111-0.01,1,0)</f>
        <v/>
      </c>
      <c r="AT5111">
        <f>IF(T5111&gt;=AM5111-0.01,1,0)</f>
        <v/>
      </c>
      <c r="AU5111">
        <f>IF(U5111&gt;=AN5111-0.01,1,0)</f>
        <v/>
      </c>
      <c r="AV5111">
        <f>IF(V5111&gt;=AO5111-0.01,1,0)</f>
        <v/>
      </c>
      <c r="AW5111">
        <f>IF(W5111&gt;=AP5111-0.01,1,0)</f>
        <v/>
      </c>
      <c r="AX5111">
        <f>AQ5111*AR5111*AS5111*AT5111*AU5111*AV5111*AW5111</f>
        <v/>
      </c>
    </row>
    <row r="5112">
      <c r="A5112" t="inlineStr"/>
      <c r="B5112">
        <f>Assumptions!$B$60</f>
        <v/>
      </c>
      <c r="C5112" t="n">
        <v>1</v>
      </c>
      <c r="D5112" t="n">
        <v>1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>
        <f>(1-C5112)*Assumptions!$B$41+(1-D5112)*Assumptions!$B$33+(1-E5112)*Assumptions!$B$32+(1-F5112)*Assumptions!$B$31+(1-G5112)*Assumptions!$B$30+(1-H5112)*Assumptions!$B$29+(1-I5112)*Assumptions!$B$28</f>
        <v/>
      </c>
      <c r="K5112">
        <f>C5112*$J$157+D5112*$F$157+E5112*$G$157+F5112*Assumptions!$B$14+G5112*Assumptions!$B$13+H5112*Assumptions!$B$12+I5112*Assumptions!$B$11+$O$157+$S$157+Assumptions!$B$9</f>
        <v/>
      </c>
      <c r="L5112">
        <f>B5112-J5112</f>
        <v/>
      </c>
      <c r="M5112">
        <f>IF(K5112&gt;0,IF(L5112/K5112&gt;=Assumptions!$B$37,1,0),0)</f>
        <v/>
      </c>
      <c r="N5112">
        <f>K5112+M5112*Assumptions!$B$153</f>
        <v/>
      </c>
      <c r="O5112">
        <f>L5112+M5112*Assumptions!$B$153*Assumptions!$B$37</f>
        <v/>
      </c>
      <c r="P5112">
        <f>IF(N5112&gt;0,O5112/N5112,0)</f>
        <v/>
      </c>
      <c r="Q5112">
        <f>IF(C5112=1,P5112*$J$157,Assumptions!$B$41)</f>
        <v/>
      </c>
      <c r="R5112">
        <f>IF(D5112=1,P5112*$F$157,Assumptions!$B$33)</f>
        <v/>
      </c>
      <c r="S5112">
        <f>IF(E5112=1,P5112*$G$157,Assumptions!$B$32)</f>
        <v/>
      </c>
      <c r="T5112">
        <f>IF(F5112=1,P5112*Assumptions!$B$14,Assumptions!$B$31)</f>
        <v/>
      </c>
      <c r="U5112">
        <f>IF(G5112=1,P5112*Assumptions!$B$13,Assumptions!$B$30)</f>
        <v/>
      </c>
      <c r="V5112">
        <f>IF(H5112=1,P5112*Assumptions!$B$12,Assumptions!$B$29)</f>
        <v/>
      </c>
      <c r="W5112">
        <f>IF(I5112=1,P5112*Assumptions!$B$11,Assumptions!$B$28)</f>
        <v/>
      </c>
      <c r="X5112">
        <f>P5112*($O$157+$S$157)</f>
        <v/>
      </c>
      <c r="Y5112">
        <f>P5112*Assumptions!$B$9</f>
        <v/>
      </c>
      <c r="Z5112">
        <f>IF(M5112=1,(P5112-Assumptions!$B$37)*Assumptions!$B$153,0)</f>
        <v/>
      </c>
      <c r="AA5112">
        <f>Q5112+R5112+S5112+T5112+U5112+V5112+W5112+X5112+Y5112+Z5112</f>
        <v/>
      </c>
      <c r="AB5112" t="n">
        <v>112</v>
      </c>
      <c r="AC5112" t="n">
        <v>48</v>
      </c>
      <c r="AD5112" t="n">
        <v>80</v>
      </c>
      <c r="AE5112" t="n">
        <v>96</v>
      </c>
      <c r="AF5112" t="n">
        <v>120</v>
      </c>
      <c r="AG5112" t="n">
        <v>116</v>
      </c>
      <c r="AH5112" t="n">
        <v>114</v>
      </c>
      <c r="AI5112" t="n">
        <v>113</v>
      </c>
      <c r="AJ5112">
        <f>INDEX($Q$5000:$Q$5127,AC5112+1)</f>
        <v/>
      </c>
      <c r="AK5112">
        <f>INDEX($R$5000:$R$5127,AD5112+1)</f>
        <v/>
      </c>
      <c r="AL5112">
        <f>INDEX($S$5000:$S$5127,AE5112+1)</f>
        <v/>
      </c>
      <c r="AM5112">
        <f>INDEX($T$5000:$T$5127,AF5112+1)</f>
        <v/>
      </c>
      <c r="AN5112">
        <f>INDEX($U$5000:$U$5127,AG5112+1)</f>
        <v/>
      </c>
      <c r="AO5112">
        <f>INDEX($V$5000:$V$5127,AH5112+1)</f>
        <v/>
      </c>
      <c r="AP5112">
        <f>INDEX($W$5000:$W$5127,AI5112+1)</f>
        <v/>
      </c>
      <c r="AQ5112">
        <f>IF(Q5112&gt;=AJ5112-0.01,1,0)</f>
        <v/>
      </c>
      <c r="AR5112">
        <f>IF(R5112&gt;=AK5112-0.01,1,0)</f>
        <v/>
      </c>
      <c r="AS5112">
        <f>IF(S5112&gt;=AL5112-0.01,1,0)</f>
        <v/>
      </c>
      <c r="AT5112">
        <f>IF(T5112&gt;=AM5112-0.01,1,0)</f>
        <v/>
      </c>
      <c r="AU5112">
        <f>IF(U5112&gt;=AN5112-0.01,1,0)</f>
        <v/>
      </c>
      <c r="AV5112">
        <f>IF(V5112&gt;=AO5112-0.01,1,0)</f>
        <v/>
      </c>
      <c r="AW5112">
        <f>IF(W5112&gt;=AP5112-0.01,1,0)</f>
        <v/>
      </c>
      <c r="AX5112">
        <f>AQ5112*AR5112*AS5112*AT5112*AU5112*AV5112*AW5112</f>
        <v/>
      </c>
    </row>
    <row r="5113">
      <c r="A5113" t="inlineStr"/>
      <c r="B5113">
        <f>Assumptions!$B$60</f>
        <v/>
      </c>
      <c r="C5113" t="n">
        <v>1</v>
      </c>
      <c r="D5113" t="n">
        <v>1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>
        <f>(1-C5113)*Assumptions!$B$41+(1-D5113)*Assumptions!$B$33+(1-E5113)*Assumptions!$B$32+(1-F5113)*Assumptions!$B$31+(1-G5113)*Assumptions!$B$30+(1-H5113)*Assumptions!$B$29+(1-I5113)*Assumptions!$B$28</f>
        <v/>
      </c>
      <c r="K5113">
        <f>C5113*$J$157+D5113*$F$157+E5113*$G$157+F5113*Assumptions!$B$14+G5113*Assumptions!$B$13+H5113*Assumptions!$B$12+I5113*Assumptions!$B$11+$O$157+$S$157+Assumptions!$B$9</f>
        <v/>
      </c>
      <c r="L5113">
        <f>B5113-J5113</f>
        <v/>
      </c>
      <c r="M5113">
        <f>IF(K5113&gt;0,IF(L5113/K5113&gt;=Assumptions!$B$37,1,0),0)</f>
        <v/>
      </c>
      <c r="N5113">
        <f>K5113+M5113*Assumptions!$B$153</f>
        <v/>
      </c>
      <c r="O5113">
        <f>L5113+M5113*Assumptions!$B$153*Assumptions!$B$37</f>
        <v/>
      </c>
      <c r="P5113">
        <f>IF(N5113&gt;0,O5113/N5113,0)</f>
        <v/>
      </c>
      <c r="Q5113">
        <f>IF(C5113=1,P5113*$J$157,Assumptions!$B$41)</f>
        <v/>
      </c>
      <c r="R5113">
        <f>IF(D5113=1,P5113*$F$157,Assumptions!$B$33)</f>
        <v/>
      </c>
      <c r="S5113">
        <f>IF(E5113=1,P5113*$G$157,Assumptions!$B$32)</f>
        <v/>
      </c>
      <c r="T5113">
        <f>IF(F5113=1,P5113*Assumptions!$B$14,Assumptions!$B$31)</f>
        <v/>
      </c>
      <c r="U5113">
        <f>IF(G5113=1,P5113*Assumptions!$B$13,Assumptions!$B$30)</f>
        <v/>
      </c>
      <c r="V5113">
        <f>IF(H5113=1,P5113*Assumptions!$B$12,Assumptions!$B$29)</f>
        <v/>
      </c>
      <c r="W5113">
        <f>IF(I5113=1,P5113*Assumptions!$B$11,Assumptions!$B$28)</f>
        <v/>
      </c>
      <c r="X5113">
        <f>P5113*($O$157+$S$157)</f>
        <v/>
      </c>
      <c r="Y5113">
        <f>P5113*Assumptions!$B$9</f>
        <v/>
      </c>
      <c r="Z5113">
        <f>IF(M5113=1,(P5113-Assumptions!$B$37)*Assumptions!$B$153,0)</f>
        <v/>
      </c>
      <c r="AA5113">
        <f>Q5113+R5113+S5113+T5113+U5113+V5113+W5113+X5113+Y5113+Z5113</f>
        <v/>
      </c>
      <c r="AB5113" t="n">
        <v>113</v>
      </c>
      <c r="AC5113" t="n">
        <v>49</v>
      </c>
      <c r="AD5113" t="n">
        <v>81</v>
      </c>
      <c r="AE5113" t="n">
        <v>97</v>
      </c>
      <c r="AF5113" t="n">
        <v>121</v>
      </c>
      <c r="AG5113" t="n">
        <v>117</v>
      </c>
      <c r="AH5113" t="n">
        <v>115</v>
      </c>
      <c r="AI5113" t="n">
        <v>112</v>
      </c>
      <c r="AJ5113">
        <f>INDEX($Q$5000:$Q$5127,AC5113+1)</f>
        <v/>
      </c>
      <c r="AK5113">
        <f>INDEX($R$5000:$R$5127,AD5113+1)</f>
        <v/>
      </c>
      <c r="AL5113">
        <f>INDEX($S$5000:$S$5127,AE5113+1)</f>
        <v/>
      </c>
      <c r="AM5113">
        <f>INDEX($T$5000:$T$5127,AF5113+1)</f>
        <v/>
      </c>
      <c r="AN5113">
        <f>INDEX($U$5000:$U$5127,AG5113+1)</f>
        <v/>
      </c>
      <c r="AO5113">
        <f>INDEX($V$5000:$V$5127,AH5113+1)</f>
        <v/>
      </c>
      <c r="AP5113">
        <f>INDEX($W$5000:$W$5127,AI5113+1)</f>
        <v/>
      </c>
      <c r="AQ5113">
        <f>IF(Q5113&gt;=AJ5113-0.01,1,0)</f>
        <v/>
      </c>
      <c r="AR5113">
        <f>IF(R5113&gt;=AK5113-0.01,1,0)</f>
        <v/>
      </c>
      <c r="AS5113">
        <f>IF(S5113&gt;=AL5113-0.01,1,0)</f>
        <v/>
      </c>
      <c r="AT5113">
        <f>IF(T5113&gt;=AM5113-0.01,1,0)</f>
        <v/>
      </c>
      <c r="AU5113">
        <f>IF(U5113&gt;=AN5113-0.01,1,0)</f>
        <v/>
      </c>
      <c r="AV5113">
        <f>IF(V5113&gt;=AO5113-0.01,1,0)</f>
        <v/>
      </c>
      <c r="AW5113">
        <f>IF(W5113&gt;=AP5113-0.01,1,0)</f>
        <v/>
      </c>
      <c r="AX5113">
        <f>AQ5113*AR5113*AS5113*AT5113*AU5113*AV5113*AW5113</f>
        <v/>
      </c>
    </row>
    <row r="5114">
      <c r="A5114" t="inlineStr"/>
      <c r="B5114">
        <f>Assumptions!$B$60</f>
        <v/>
      </c>
      <c r="C5114" t="n">
        <v>1</v>
      </c>
      <c r="D5114" t="n">
        <v>1</v>
      </c>
      <c r="E5114" t="n">
        <v>1</v>
      </c>
      <c r="F5114" t="n">
        <v>0</v>
      </c>
      <c r="G5114" t="n">
        <v>0</v>
      </c>
      <c r="H5114" t="n">
        <v>1</v>
      </c>
      <c r="I5114" t="n">
        <v>0</v>
      </c>
      <c r="J5114">
        <f>(1-C5114)*Assumptions!$B$41+(1-D5114)*Assumptions!$B$33+(1-E5114)*Assumptions!$B$32+(1-F5114)*Assumptions!$B$31+(1-G5114)*Assumptions!$B$30+(1-H5114)*Assumptions!$B$29+(1-I5114)*Assumptions!$B$28</f>
        <v/>
      </c>
      <c r="K5114">
        <f>C5114*$J$157+D5114*$F$157+E5114*$G$157+F5114*Assumptions!$B$14+G5114*Assumptions!$B$13+H5114*Assumptions!$B$12+I5114*Assumptions!$B$11+$O$157+$S$157+Assumptions!$B$9</f>
        <v/>
      </c>
      <c r="L5114">
        <f>B5114-J5114</f>
        <v/>
      </c>
      <c r="M5114">
        <f>IF(K5114&gt;0,IF(L5114/K5114&gt;=Assumptions!$B$37,1,0),0)</f>
        <v/>
      </c>
      <c r="N5114">
        <f>K5114+M5114*Assumptions!$B$153</f>
        <v/>
      </c>
      <c r="O5114">
        <f>L5114+M5114*Assumptions!$B$153*Assumptions!$B$37</f>
        <v/>
      </c>
      <c r="P5114">
        <f>IF(N5114&gt;0,O5114/N5114,0)</f>
        <v/>
      </c>
      <c r="Q5114">
        <f>IF(C5114=1,P5114*$J$157,Assumptions!$B$41)</f>
        <v/>
      </c>
      <c r="R5114">
        <f>IF(D5114=1,P5114*$F$157,Assumptions!$B$33)</f>
        <v/>
      </c>
      <c r="S5114">
        <f>IF(E5114=1,P5114*$G$157,Assumptions!$B$32)</f>
        <v/>
      </c>
      <c r="T5114">
        <f>IF(F5114=1,P5114*Assumptions!$B$14,Assumptions!$B$31)</f>
        <v/>
      </c>
      <c r="U5114">
        <f>IF(G5114=1,P5114*Assumptions!$B$13,Assumptions!$B$30)</f>
        <v/>
      </c>
      <c r="V5114">
        <f>IF(H5114=1,P5114*Assumptions!$B$12,Assumptions!$B$29)</f>
        <v/>
      </c>
      <c r="W5114">
        <f>IF(I5114=1,P5114*Assumptions!$B$11,Assumptions!$B$28)</f>
        <v/>
      </c>
      <c r="X5114">
        <f>P5114*($O$157+$S$157)</f>
        <v/>
      </c>
      <c r="Y5114">
        <f>P5114*Assumptions!$B$9</f>
        <v/>
      </c>
      <c r="Z5114">
        <f>IF(M5114=1,(P5114-Assumptions!$B$37)*Assumptions!$B$153,0)</f>
        <v/>
      </c>
      <c r="AA5114">
        <f>Q5114+R5114+S5114+T5114+U5114+V5114+W5114+X5114+Y5114+Z5114</f>
        <v/>
      </c>
      <c r="AB5114" t="n">
        <v>114</v>
      </c>
      <c r="AC5114" t="n">
        <v>50</v>
      </c>
      <c r="AD5114" t="n">
        <v>82</v>
      </c>
      <c r="AE5114" t="n">
        <v>98</v>
      </c>
      <c r="AF5114" t="n">
        <v>122</v>
      </c>
      <c r="AG5114" t="n">
        <v>118</v>
      </c>
      <c r="AH5114" t="n">
        <v>112</v>
      </c>
      <c r="AI5114" t="n">
        <v>115</v>
      </c>
      <c r="AJ5114">
        <f>INDEX($Q$5000:$Q$5127,AC5114+1)</f>
        <v/>
      </c>
      <c r="AK5114">
        <f>INDEX($R$5000:$R$5127,AD5114+1)</f>
        <v/>
      </c>
      <c r="AL5114">
        <f>INDEX($S$5000:$S$5127,AE5114+1)</f>
        <v/>
      </c>
      <c r="AM5114">
        <f>INDEX($T$5000:$T$5127,AF5114+1)</f>
        <v/>
      </c>
      <c r="AN5114">
        <f>INDEX($U$5000:$U$5127,AG5114+1)</f>
        <v/>
      </c>
      <c r="AO5114">
        <f>INDEX($V$5000:$V$5127,AH5114+1)</f>
        <v/>
      </c>
      <c r="AP5114">
        <f>INDEX($W$5000:$W$5127,AI5114+1)</f>
        <v/>
      </c>
      <c r="AQ5114">
        <f>IF(Q5114&gt;=AJ5114-0.01,1,0)</f>
        <v/>
      </c>
      <c r="AR5114">
        <f>IF(R5114&gt;=AK5114-0.01,1,0)</f>
        <v/>
      </c>
      <c r="AS5114">
        <f>IF(S5114&gt;=AL5114-0.01,1,0)</f>
        <v/>
      </c>
      <c r="AT5114">
        <f>IF(T5114&gt;=AM5114-0.01,1,0)</f>
        <v/>
      </c>
      <c r="AU5114">
        <f>IF(U5114&gt;=AN5114-0.01,1,0)</f>
        <v/>
      </c>
      <c r="AV5114">
        <f>IF(V5114&gt;=AO5114-0.01,1,0)</f>
        <v/>
      </c>
      <c r="AW5114">
        <f>IF(W5114&gt;=AP5114-0.01,1,0)</f>
        <v/>
      </c>
      <c r="AX5114">
        <f>AQ5114*AR5114*AS5114*AT5114*AU5114*AV5114*AW5114</f>
        <v/>
      </c>
    </row>
    <row r="5115">
      <c r="A5115" t="inlineStr"/>
      <c r="B5115">
        <f>Assumptions!$B$60</f>
        <v/>
      </c>
      <c r="C5115" t="n">
        <v>1</v>
      </c>
      <c r="D5115" t="n">
        <v>1</v>
      </c>
      <c r="E5115" t="n">
        <v>1</v>
      </c>
      <c r="F5115" t="n">
        <v>0</v>
      </c>
      <c r="G5115" t="n">
        <v>0</v>
      </c>
      <c r="H5115" t="n">
        <v>1</v>
      </c>
      <c r="I5115" t="n">
        <v>1</v>
      </c>
      <c r="J5115">
        <f>(1-C5115)*Assumptions!$B$41+(1-D5115)*Assumptions!$B$33+(1-E5115)*Assumptions!$B$32+(1-F5115)*Assumptions!$B$31+(1-G5115)*Assumptions!$B$30+(1-H5115)*Assumptions!$B$29+(1-I5115)*Assumptions!$B$28</f>
        <v/>
      </c>
      <c r="K5115">
        <f>C5115*$J$157+D5115*$F$157+E5115*$G$157+F5115*Assumptions!$B$14+G5115*Assumptions!$B$13+H5115*Assumptions!$B$12+I5115*Assumptions!$B$11+$O$157+$S$157+Assumptions!$B$9</f>
        <v/>
      </c>
      <c r="L5115">
        <f>B5115-J5115</f>
        <v/>
      </c>
      <c r="M5115">
        <f>IF(K5115&gt;0,IF(L5115/K5115&gt;=Assumptions!$B$37,1,0),0)</f>
        <v/>
      </c>
      <c r="N5115">
        <f>K5115+M5115*Assumptions!$B$153</f>
        <v/>
      </c>
      <c r="O5115">
        <f>L5115+M5115*Assumptions!$B$153*Assumptions!$B$37</f>
        <v/>
      </c>
      <c r="P5115">
        <f>IF(N5115&gt;0,O5115/N5115,0)</f>
        <v/>
      </c>
      <c r="Q5115">
        <f>IF(C5115=1,P5115*$J$157,Assumptions!$B$41)</f>
        <v/>
      </c>
      <c r="R5115">
        <f>IF(D5115=1,P5115*$F$157,Assumptions!$B$33)</f>
        <v/>
      </c>
      <c r="S5115">
        <f>IF(E5115=1,P5115*$G$157,Assumptions!$B$32)</f>
        <v/>
      </c>
      <c r="T5115">
        <f>IF(F5115=1,P5115*Assumptions!$B$14,Assumptions!$B$31)</f>
        <v/>
      </c>
      <c r="U5115">
        <f>IF(G5115=1,P5115*Assumptions!$B$13,Assumptions!$B$30)</f>
        <v/>
      </c>
      <c r="V5115">
        <f>IF(H5115=1,P5115*Assumptions!$B$12,Assumptions!$B$29)</f>
        <v/>
      </c>
      <c r="W5115">
        <f>IF(I5115=1,P5115*Assumptions!$B$11,Assumptions!$B$28)</f>
        <v/>
      </c>
      <c r="X5115">
        <f>P5115*($O$157+$S$157)</f>
        <v/>
      </c>
      <c r="Y5115">
        <f>P5115*Assumptions!$B$9</f>
        <v/>
      </c>
      <c r="Z5115">
        <f>IF(M5115=1,(P5115-Assumptions!$B$37)*Assumptions!$B$153,0)</f>
        <v/>
      </c>
      <c r="AA5115">
        <f>Q5115+R5115+S5115+T5115+U5115+V5115+W5115+X5115+Y5115+Z5115</f>
        <v/>
      </c>
      <c r="AB5115" t="n">
        <v>115</v>
      </c>
      <c r="AC5115" t="n">
        <v>51</v>
      </c>
      <c r="AD5115" t="n">
        <v>83</v>
      </c>
      <c r="AE5115" t="n">
        <v>99</v>
      </c>
      <c r="AF5115" t="n">
        <v>123</v>
      </c>
      <c r="AG5115" t="n">
        <v>119</v>
      </c>
      <c r="AH5115" t="n">
        <v>113</v>
      </c>
      <c r="AI5115" t="n">
        <v>114</v>
      </c>
      <c r="AJ5115">
        <f>INDEX($Q$5000:$Q$5127,AC5115+1)</f>
        <v/>
      </c>
      <c r="AK5115">
        <f>INDEX($R$5000:$R$5127,AD5115+1)</f>
        <v/>
      </c>
      <c r="AL5115">
        <f>INDEX($S$5000:$S$5127,AE5115+1)</f>
        <v/>
      </c>
      <c r="AM5115">
        <f>INDEX($T$5000:$T$5127,AF5115+1)</f>
        <v/>
      </c>
      <c r="AN5115">
        <f>INDEX($U$5000:$U$5127,AG5115+1)</f>
        <v/>
      </c>
      <c r="AO5115">
        <f>INDEX($V$5000:$V$5127,AH5115+1)</f>
        <v/>
      </c>
      <c r="AP5115">
        <f>INDEX($W$5000:$W$5127,AI5115+1)</f>
        <v/>
      </c>
      <c r="AQ5115">
        <f>IF(Q5115&gt;=AJ5115-0.01,1,0)</f>
        <v/>
      </c>
      <c r="AR5115">
        <f>IF(R5115&gt;=AK5115-0.01,1,0)</f>
        <v/>
      </c>
      <c r="AS5115">
        <f>IF(S5115&gt;=AL5115-0.01,1,0)</f>
        <v/>
      </c>
      <c r="AT5115">
        <f>IF(T5115&gt;=AM5115-0.01,1,0)</f>
        <v/>
      </c>
      <c r="AU5115">
        <f>IF(U5115&gt;=AN5115-0.01,1,0)</f>
        <v/>
      </c>
      <c r="AV5115">
        <f>IF(V5115&gt;=AO5115-0.01,1,0)</f>
        <v/>
      </c>
      <c r="AW5115">
        <f>IF(W5115&gt;=AP5115-0.01,1,0)</f>
        <v/>
      </c>
      <c r="AX5115">
        <f>AQ5115*AR5115*AS5115*AT5115*AU5115*AV5115*AW5115</f>
        <v/>
      </c>
    </row>
    <row r="5116">
      <c r="A5116" t="inlineStr"/>
      <c r="B5116">
        <f>Assumptions!$B$60</f>
        <v/>
      </c>
      <c r="C5116" t="n">
        <v>1</v>
      </c>
      <c r="D5116" t="n">
        <v>1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>
        <f>(1-C5116)*Assumptions!$B$41+(1-D5116)*Assumptions!$B$33+(1-E5116)*Assumptions!$B$32+(1-F5116)*Assumptions!$B$31+(1-G5116)*Assumptions!$B$30+(1-H5116)*Assumptions!$B$29+(1-I5116)*Assumptions!$B$28</f>
        <v/>
      </c>
      <c r="K5116">
        <f>C5116*$J$157+D5116*$F$157+E5116*$G$157+F5116*Assumptions!$B$14+G5116*Assumptions!$B$13+H5116*Assumptions!$B$12+I5116*Assumptions!$B$11+$O$157+$S$157+Assumptions!$B$9</f>
        <v/>
      </c>
      <c r="L5116">
        <f>B5116-J5116</f>
        <v/>
      </c>
      <c r="M5116">
        <f>IF(K5116&gt;0,IF(L5116/K5116&gt;=Assumptions!$B$37,1,0),0)</f>
        <v/>
      </c>
      <c r="N5116">
        <f>K5116+M5116*Assumptions!$B$153</f>
        <v/>
      </c>
      <c r="O5116">
        <f>L5116+M5116*Assumptions!$B$153*Assumptions!$B$37</f>
        <v/>
      </c>
      <c r="P5116">
        <f>IF(N5116&gt;0,O5116/N5116,0)</f>
        <v/>
      </c>
      <c r="Q5116">
        <f>IF(C5116=1,P5116*$J$157,Assumptions!$B$41)</f>
        <v/>
      </c>
      <c r="R5116">
        <f>IF(D5116=1,P5116*$F$157,Assumptions!$B$33)</f>
        <v/>
      </c>
      <c r="S5116">
        <f>IF(E5116=1,P5116*$G$157,Assumptions!$B$32)</f>
        <v/>
      </c>
      <c r="T5116">
        <f>IF(F5116=1,P5116*Assumptions!$B$14,Assumptions!$B$31)</f>
        <v/>
      </c>
      <c r="U5116">
        <f>IF(G5116=1,P5116*Assumptions!$B$13,Assumptions!$B$30)</f>
        <v/>
      </c>
      <c r="V5116">
        <f>IF(H5116=1,P5116*Assumptions!$B$12,Assumptions!$B$29)</f>
        <v/>
      </c>
      <c r="W5116">
        <f>IF(I5116=1,P5116*Assumptions!$B$11,Assumptions!$B$28)</f>
        <v/>
      </c>
      <c r="X5116">
        <f>P5116*($O$157+$S$157)</f>
        <v/>
      </c>
      <c r="Y5116">
        <f>P5116*Assumptions!$B$9</f>
        <v/>
      </c>
      <c r="Z5116">
        <f>IF(M5116=1,(P5116-Assumptions!$B$37)*Assumptions!$B$153,0)</f>
        <v/>
      </c>
      <c r="AA5116">
        <f>Q5116+R5116+S5116+T5116+U5116+V5116+W5116+X5116+Y5116+Z5116</f>
        <v/>
      </c>
      <c r="AB5116" t="n">
        <v>116</v>
      </c>
      <c r="AC5116" t="n">
        <v>52</v>
      </c>
      <c r="AD5116" t="n">
        <v>84</v>
      </c>
      <c r="AE5116" t="n">
        <v>100</v>
      </c>
      <c r="AF5116" t="n">
        <v>124</v>
      </c>
      <c r="AG5116" t="n">
        <v>112</v>
      </c>
      <c r="AH5116" t="n">
        <v>118</v>
      </c>
      <c r="AI5116" t="n">
        <v>117</v>
      </c>
      <c r="AJ5116">
        <f>INDEX($Q$5000:$Q$5127,AC5116+1)</f>
        <v/>
      </c>
      <c r="AK5116">
        <f>INDEX($R$5000:$R$5127,AD5116+1)</f>
        <v/>
      </c>
      <c r="AL5116">
        <f>INDEX($S$5000:$S$5127,AE5116+1)</f>
        <v/>
      </c>
      <c r="AM5116">
        <f>INDEX($T$5000:$T$5127,AF5116+1)</f>
        <v/>
      </c>
      <c r="AN5116">
        <f>INDEX($U$5000:$U$5127,AG5116+1)</f>
        <v/>
      </c>
      <c r="AO5116">
        <f>INDEX($V$5000:$V$5127,AH5116+1)</f>
        <v/>
      </c>
      <c r="AP5116">
        <f>INDEX($W$5000:$W$5127,AI5116+1)</f>
        <v/>
      </c>
      <c r="AQ5116">
        <f>IF(Q5116&gt;=AJ5116-0.01,1,0)</f>
        <v/>
      </c>
      <c r="AR5116">
        <f>IF(R5116&gt;=AK5116-0.01,1,0)</f>
        <v/>
      </c>
      <c r="AS5116">
        <f>IF(S5116&gt;=AL5116-0.01,1,0)</f>
        <v/>
      </c>
      <c r="AT5116">
        <f>IF(T5116&gt;=AM5116-0.01,1,0)</f>
        <v/>
      </c>
      <c r="AU5116">
        <f>IF(U5116&gt;=AN5116-0.01,1,0)</f>
        <v/>
      </c>
      <c r="AV5116">
        <f>IF(V5116&gt;=AO5116-0.01,1,0)</f>
        <v/>
      </c>
      <c r="AW5116">
        <f>IF(W5116&gt;=AP5116-0.01,1,0)</f>
        <v/>
      </c>
      <c r="AX5116">
        <f>AQ5116*AR5116*AS5116*AT5116*AU5116*AV5116*AW5116</f>
        <v/>
      </c>
    </row>
    <row r="5117">
      <c r="A5117" t="inlineStr"/>
      <c r="B5117">
        <f>Assumptions!$B$60</f>
        <v/>
      </c>
      <c r="C5117" t="n">
        <v>1</v>
      </c>
      <c r="D5117" t="n">
        <v>1</v>
      </c>
      <c r="E5117" t="n">
        <v>1</v>
      </c>
      <c r="F5117" t="n">
        <v>0</v>
      </c>
      <c r="G5117" t="n">
        <v>1</v>
      </c>
      <c r="H5117" t="n">
        <v>0</v>
      </c>
      <c r="I5117" t="n">
        <v>1</v>
      </c>
      <c r="J5117">
        <f>(1-C5117)*Assumptions!$B$41+(1-D5117)*Assumptions!$B$33+(1-E5117)*Assumptions!$B$32+(1-F5117)*Assumptions!$B$31+(1-G5117)*Assumptions!$B$30+(1-H5117)*Assumptions!$B$29+(1-I5117)*Assumptions!$B$28</f>
        <v/>
      </c>
      <c r="K5117">
        <f>C5117*$J$157+D5117*$F$157+E5117*$G$157+F5117*Assumptions!$B$14+G5117*Assumptions!$B$13+H5117*Assumptions!$B$12+I5117*Assumptions!$B$11+$O$157+$S$157+Assumptions!$B$9</f>
        <v/>
      </c>
      <c r="L5117">
        <f>B5117-J5117</f>
        <v/>
      </c>
      <c r="M5117">
        <f>IF(K5117&gt;0,IF(L5117/K5117&gt;=Assumptions!$B$37,1,0),0)</f>
        <v/>
      </c>
      <c r="N5117">
        <f>K5117+M5117*Assumptions!$B$153</f>
        <v/>
      </c>
      <c r="O5117">
        <f>L5117+M5117*Assumptions!$B$153*Assumptions!$B$37</f>
        <v/>
      </c>
      <c r="P5117">
        <f>IF(N5117&gt;0,O5117/N5117,0)</f>
        <v/>
      </c>
      <c r="Q5117">
        <f>IF(C5117=1,P5117*$J$157,Assumptions!$B$41)</f>
        <v/>
      </c>
      <c r="R5117">
        <f>IF(D5117=1,P5117*$F$157,Assumptions!$B$33)</f>
        <v/>
      </c>
      <c r="S5117">
        <f>IF(E5117=1,P5117*$G$157,Assumptions!$B$32)</f>
        <v/>
      </c>
      <c r="T5117">
        <f>IF(F5117=1,P5117*Assumptions!$B$14,Assumptions!$B$31)</f>
        <v/>
      </c>
      <c r="U5117">
        <f>IF(G5117=1,P5117*Assumptions!$B$13,Assumptions!$B$30)</f>
        <v/>
      </c>
      <c r="V5117">
        <f>IF(H5117=1,P5117*Assumptions!$B$12,Assumptions!$B$29)</f>
        <v/>
      </c>
      <c r="W5117">
        <f>IF(I5117=1,P5117*Assumptions!$B$11,Assumptions!$B$28)</f>
        <v/>
      </c>
      <c r="X5117">
        <f>P5117*($O$157+$S$157)</f>
        <v/>
      </c>
      <c r="Y5117">
        <f>P5117*Assumptions!$B$9</f>
        <v/>
      </c>
      <c r="Z5117">
        <f>IF(M5117=1,(P5117-Assumptions!$B$37)*Assumptions!$B$153,0)</f>
        <v/>
      </c>
      <c r="AA5117">
        <f>Q5117+R5117+S5117+T5117+U5117+V5117+W5117+X5117+Y5117+Z5117</f>
        <v/>
      </c>
      <c r="AB5117" t="n">
        <v>117</v>
      </c>
      <c r="AC5117" t="n">
        <v>53</v>
      </c>
      <c r="AD5117" t="n">
        <v>85</v>
      </c>
      <c r="AE5117" t="n">
        <v>101</v>
      </c>
      <c r="AF5117" t="n">
        <v>125</v>
      </c>
      <c r="AG5117" t="n">
        <v>113</v>
      </c>
      <c r="AH5117" t="n">
        <v>119</v>
      </c>
      <c r="AI5117" t="n">
        <v>116</v>
      </c>
      <c r="AJ5117">
        <f>INDEX($Q$5000:$Q$5127,AC5117+1)</f>
        <v/>
      </c>
      <c r="AK5117">
        <f>INDEX($R$5000:$R$5127,AD5117+1)</f>
        <v/>
      </c>
      <c r="AL5117">
        <f>INDEX($S$5000:$S$5127,AE5117+1)</f>
        <v/>
      </c>
      <c r="AM5117">
        <f>INDEX($T$5000:$T$5127,AF5117+1)</f>
        <v/>
      </c>
      <c r="AN5117">
        <f>INDEX($U$5000:$U$5127,AG5117+1)</f>
        <v/>
      </c>
      <c r="AO5117">
        <f>INDEX($V$5000:$V$5127,AH5117+1)</f>
        <v/>
      </c>
      <c r="AP5117">
        <f>INDEX($W$5000:$W$5127,AI5117+1)</f>
        <v/>
      </c>
      <c r="AQ5117">
        <f>IF(Q5117&gt;=AJ5117-0.01,1,0)</f>
        <v/>
      </c>
      <c r="AR5117">
        <f>IF(R5117&gt;=AK5117-0.01,1,0)</f>
        <v/>
      </c>
      <c r="AS5117">
        <f>IF(S5117&gt;=AL5117-0.01,1,0)</f>
        <v/>
      </c>
      <c r="AT5117">
        <f>IF(T5117&gt;=AM5117-0.01,1,0)</f>
        <v/>
      </c>
      <c r="AU5117">
        <f>IF(U5117&gt;=AN5117-0.01,1,0)</f>
        <v/>
      </c>
      <c r="AV5117">
        <f>IF(V5117&gt;=AO5117-0.01,1,0)</f>
        <v/>
      </c>
      <c r="AW5117">
        <f>IF(W5117&gt;=AP5117-0.01,1,0)</f>
        <v/>
      </c>
      <c r="AX5117">
        <f>AQ5117*AR5117*AS5117*AT5117*AU5117*AV5117*AW5117</f>
        <v/>
      </c>
    </row>
    <row r="5118">
      <c r="A5118" t="inlineStr"/>
      <c r="B5118">
        <f>Assumptions!$B$60</f>
        <v/>
      </c>
      <c r="C5118" t="n">
        <v>1</v>
      </c>
      <c r="D5118" t="n">
        <v>1</v>
      </c>
      <c r="E5118" t="n">
        <v>1</v>
      </c>
      <c r="F5118" t="n">
        <v>0</v>
      </c>
      <c r="G5118" t="n">
        <v>1</v>
      </c>
      <c r="H5118" t="n">
        <v>1</v>
      </c>
      <c r="I5118" t="n">
        <v>0</v>
      </c>
      <c r="J5118">
        <f>(1-C5118)*Assumptions!$B$41+(1-D5118)*Assumptions!$B$33+(1-E5118)*Assumptions!$B$32+(1-F5118)*Assumptions!$B$31+(1-G5118)*Assumptions!$B$30+(1-H5118)*Assumptions!$B$29+(1-I5118)*Assumptions!$B$28</f>
        <v/>
      </c>
      <c r="K5118">
        <f>C5118*$J$157+D5118*$F$157+E5118*$G$157+F5118*Assumptions!$B$14+G5118*Assumptions!$B$13+H5118*Assumptions!$B$12+I5118*Assumptions!$B$11+$O$157+$S$157+Assumptions!$B$9</f>
        <v/>
      </c>
      <c r="L5118">
        <f>B5118-J5118</f>
        <v/>
      </c>
      <c r="M5118">
        <f>IF(K5118&gt;0,IF(L5118/K5118&gt;=Assumptions!$B$37,1,0),0)</f>
        <v/>
      </c>
      <c r="N5118">
        <f>K5118+M5118*Assumptions!$B$153</f>
        <v/>
      </c>
      <c r="O5118">
        <f>L5118+M5118*Assumptions!$B$153*Assumptions!$B$37</f>
        <v/>
      </c>
      <c r="P5118">
        <f>IF(N5118&gt;0,O5118/N5118,0)</f>
        <v/>
      </c>
      <c r="Q5118">
        <f>IF(C5118=1,P5118*$J$157,Assumptions!$B$41)</f>
        <v/>
      </c>
      <c r="R5118">
        <f>IF(D5118=1,P5118*$F$157,Assumptions!$B$33)</f>
        <v/>
      </c>
      <c r="S5118">
        <f>IF(E5118=1,P5118*$G$157,Assumptions!$B$32)</f>
        <v/>
      </c>
      <c r="T5118">
        <f>IF(F5118=1,P5118*Assumptions!$B$14,Assumptions!$B$31)</f>
        <v/>
      </c>
      <c r="U5118">
        <f>IF(G5118=1,P5118*Assumptions!$B$13,Assumptions!$B$30)</f>
        <v/>
      </c>
      <c r="V5118">
        <f>IF(H5118=1,P5118*Assumptions!$B$12,Assumptions!$B$29)</f>
        <v/>
      </c>
      <c r="W5118">
        <f>IF(I5118=1,P5118*Assumptions!$B$11,Assumptions!$B$28)</f>
        <v/>
      </c>
      <c r="X5118">
        <f>P5118*($O$157+$S$157)</f>
        <v/>
      </c>
      <c r="Y5118">
        <f>P5118*Assumptions!$B$9</f>
        <v/>
      </c>
      <c r="Z5118">
        <f>IF(M5118=1,(P5118-Assumptions!$B$37)*Assumptions!$B$153,0)</f>
        <v/>
      </c>
      <c r="AA5118">
        <f>Q5118+R5118+S5118+T5118+U5118+V5118+W5118+X5118+Y5118+Z5118</f>
        <v/>
      </c>
      <c r="AB5118" t="n">
        <v>118</v>
      </c>
      <c r="AC5118" t="n">
        <v>54</v>
      </c>
      <c r="AD5118" t="n">
        <v>86</v>
      </c>
      <c r="AE5118" t="n">
        <v>102</v>
      </c>
      <c r="AF5118" t="n">
        <v>126</v>
      </c>
      <c r="AG5118" t="n">
        <v>114</v>
      </c>
      <c r="AH5118" t="n">
        <v>116</v>
      </c>
      <c r="AI5118" t="n">
        <v>119</v>
      </c>
      <c r="AJ5118">
        <f>INDEX($Q$5000:$Q$5127,AC5118+1)</f>
        <v/>
      </c>
      <c r="AK5118">
        <f>INDEX($R$5000:$R$5127,AD5118+1)</f>
        <v/>
      </c>
      <c r="AL5118">
        <f>INDEX($S$5000:$S$5127,AE5118+1)</f>
        <v/>
      </c>
      <c r="AM5118">
        <f>INDEX($T$5000:$T$5127,AF5118+1)</f>
        <v/>
      </c>
      <c r="AN5118">
        <f>INDEX($U$5000:$U$5127,AG5118+1)</f>
        <v/>
      </c>
      <c r="AO5118">
        <f>INDEX($V$5000:$V$5127,AH5118+1)</f>
        <v/>
      </c>
      <c r="AP5118">
        <f>INDEX($W$5000:$W$5127,AI5118+1)</f>
        <v/>
      </c>
      <c r="AQ5118">
        <f>IF(Q5118&gt;=AJ5118-0.01,1,0)</f>
        <v/>
      </c>
      <c r="AR5118">
        <f>IF(R5118&gt;=AK5118-0.01,1,0)</f>
        <v/>
      </c>
      <c r="AS5118">
        <f>IF(S5118&gt;=AL5118-0.01,1,0)</f>
        <v/>
      </c>
      <c r="AT5118">
        <f>IF(T5118&gt;=AM5118-0.01,1,0)</f>
        <v/>
      </c>
      <c r="AU5118">
        <f>IF(U5118&gt;=AN5118-0.01,1,0)</f>
        <v/>
      </c>
      <c r="AV5118">
        <f>IF(V5118&gt;=AO5118-0.01,1,0)</f>
        <v/>
      </c>
      <c r="AW5118">
        <f>IF(W5118&gt;=AP5118-0.01,1,0)</f>
        <v/>
      </c>
      <c r="AX5118">
        <f>AQ5118*AR5118*AS5118*AT5118*AU5118*AV5118*AW5118</f>
        <v/>
      </c>
    </row>
    <row r="5119">
      <c r="A5119" t="inlineStr"/>
      <c r="B5119">
        <f>Assumptions!$B$60</f>
        <v/>
      </c>
      <c r="C5119" t="n">
        <v>1</v>
      </c>
      <c r="D5119" t="n">
        <v>1</v>
      </c>
      <c r="E5119" t="n">
        <v>1</v>
      </c>
      <c r="F5119" t="n">
        <v>0</v>
      </c>
      <c r="G5119" t="n">
        <v>1</v>
      </c>
      <c r="H5119" t="n">
        <v>1</v>
      </c>
      <c r="I5119" t="n">
        <v>1</v>
      </c>
      <c r="J5119">
        <f>(1-C5119)*Assumptions!$B$41+(1-D5119)*Assumptions!$B$33+(1-E5119)*Assumptions!$B$32+(1-F5119)*Assumptions!$B$31+(1-G5119)*Assumptions!$B$30+(1-H5119)*Assumptions!$B$29+(1-I5119)*Assumptions!$B$28</f>
        <v/>
      </c>
      <c r="K5119">
        <f>C5119*$J$157+D5119*$F$157+E5119*$G$157+F5119*Assumptions!$B$14+G5119*Assumptions!$B$13+H5119*Assumptions!$B$12+I5119*Assumptions!$B$11+$O$157+$S$157+Assumptions!$B$9</f>
        <v/>
      </c>
      <c r="L5119">
        <f>B5119-J5119</f>
        <v/>
      </c>
      <c r="M5119">
        <f>IF(K5119&gt;0,IF(L5119/K5119&gt;=Assumptions!$B$37,1,0),0)</f>
        <v/>
      </c>
      <c r="N5119">
        <f>K5119+M5119*Assumptions!$B$153</f>
        <v/>
      </c>
      <c r="O5119">
        <f>L5119+M5119*Assumptions!$B$153*Assumptions!$B$37</f>
        <v/>
      </c>
      <c r="P5119">
        <f>IF(N5119&gt;0,O5119/N5119,0)</f>
        <v/>
      </c>
      <c r="Q5119">
        <f>IF(C5119=1,P5119*$J$157,Assumptions!$B$41)</f>
        <v/>
      </c>
      <c r="R5119">
        <f>IF(D5119=1,P5119*$F$157,Assumptions!$B$33)</f>
        <v/>
      </c>
      <c r="S5119">
        <f>IF(E5119=1,P5119*$G$157,Assumptions!$B$32)</f>
        <v/>
      </c>
      <c r="T5119">
        <f>IF(F5119=1,P5119*Assumptions!$B$14,Assumptions!$B$31)</f>
        <v/>
      </c>
      <c r="U5119">
        <f>IF(G5119=1,P5119*Assumptions!$B$13,Assumptions!$B$30)</f>
        <v/>
      </c>
      <c r="V5119">
        <f>IF(H5119=1,P5119*Assumptions!$B$12,Assumptions!$B$29)</f>
        <v/>
      </c>
      <c r="W5119">
        <f>IF(I5119=1,P5119*Assumptions!$B$11,Assumptions!$B$28)</f>
        <v/>
      </c>
      <c r="X5119">
        <f>P5119*($O$157+$S$157)</f>
        <v/>
      </c>
      <c r="Y5119">
        <f>P5119*Assumptions!$B$9</f>
        <v/>
      </c>
      <c r="Z5119">
        <f>IF(M5119=1,(P5119-Assumptions!$B$37)*Assumptions!$B$153,0)</f>
        <v/>
      </c>
      <c r="AA5119">
        <f>Q5119+R5119+S5119+T5119+U5119+V5119+W5119+X5119+Y5119+Z5119</f>
        <v/>
      </c>
      <c r="AB5119" t="n">
        <v>119</v>
      </c>
      <c r="AC5119" t="n">
        <v>55</v>
      </c>
      <c r="AD5119" t="n">
        <v>87</v>
      </c>
      <c r="AE5119" t="n">
        <v>103</v>
      </c>
      <c r="AF5119" t="n">
        <v>127</v>
      </c>
      <c r="AG5119" t="n">
        <v>115</v>
      </c>
      <c r="AH5119" t="n">
        <v>117</v>
      </c>
      <c r="AI5119" t="n">
        <v>118</v>
      </c>
      <c r="AJ5119">
        <f>INDEX($Q$5000:$Q$5127,AC5119+1)</f>
        <v/>
      </c>
      <c r="AK5119">
        <f>INDEX($R$5000:$R$5127,AD5119+1)</f>
        <v/>
      </c>
      <c r="AL5119">
        <f>INDEX($S$5000:$S$5127,AE5119+1)</f>
        <v/>
      </c>
      <c r="AM5119">
        <f>INDEX($T$5000:$T$5127,AF5119+1)</f>
        <v/>
      </c>
      <c r="AN5119">
        <f>INDEX($U$5000:$U$5127,AG5119+1)</f>
        <v/>
      </c>
      <c r="AO5119">
        <f>INDEX($V$5000:$V$5127,AH5119+1)</f>
        <v/>
      </c>
      <c r="AP5119">
        <f>INDEX($W$5000:$W$5127,AI5119+1)</f>
        <v/>
      </c>
      <c r="AQ5119">
        <f>IF(Q5119&gt;=AJ5119-0.01,1,0)</f>
        <v/>
      </c>
      <c r="AR5119">
        <f>IF(R5119&gt;=AK5119-0.01,1,0)</f>
        <v/>
      </c>
      <c r="AS5119">
        <f>IF(S5119&gt;=AL5119-0.01,1,0)</f>
        <v/>
      </c>
      <c r="AT5119">
        <f>IF(T5119&gt;=AM5119-0.01,1,0)</f>
        <v/>
      </c>
      <c r="AU5119">
        <f>IF(U5119&gt;=AN5119-0.01,1,0)</f>
        <v/>
      </c>
      <c r="AV5119">
        <f>IF(V5119&gt;=AO5119-0.01,1,0)</f>
        <v/>
      </c>
      <c r="AW5119">
        <f>IF(W5119&gt;=AP5119-0.01,1,0)</f>
        <v/>
      </c>
      <c r="AX5119">
        <f>AQ5119*AR5119*AS5119*AT5119*AU5119*AV5119*AW5119</f>
        <v/>
      </c>
    </row>
    <row r="5120">
      <c r="A5120" t="inlineStr"/>
      <c r="B5120">
        <f>Assumptions!$B$60</f>
        <v/>
      </c>
      <c r="C5120" t="n">
        <v>1</v>
      </c>
      <c r="D5120" t="n">
        <v>1</v>
      </c>
      <c r="E5120" t="n">
        <v>1</v>
      </c>
      <c r="F5120" t="n">
        <v>1</v>
      </c>
      <c r="G5120" t="n">
        <v>0</v>
      </c>
      <c r="H5120" t="n">
        <v>0</v>
      </c>
      <c r="I5120" t="n">
        <v>0</v>
      </c>
      <c r="J5120">
        <f>(1-C5120)*Assumptions!$B$41+(1-D5120)*Assumptions!$B$33+(1-E5120)*Assumptions!$B$32+(1-F5120)*Assumptions!$B$31+(1-G5120)*Assumptions!$B$30+(1-H5120)*Assumptions!$B$29+(1-I5120)*Assumptions!$B$28</f>
        <v/>
      </c>
      <c r="K5120">
        <f>C5120*$J$157+D5120*$F$157+E5120*$G$157+F5120*Assumptions!$B$14+G5120*Assumptions!$B$13+H5120*Assumptions!$B$12+I5120*Assumptions!$B$11+$O$157+$S$157+Assumptions!$B$9</f>
        <v/>
      </c>
      <c r="L5120">
        <f>B5120-J5120</f>
        <v/>
      </c>
      <c r="M5120">
        <f>IF(K5120&gt;0,IF(L5120/K5120&gt;=Assumptions!$B$37,1,0),0)</f>
        <v/>
      </c>
      <c r="N5120">
        <f>K5120+M5120*Assumptions!$B$153</f>
        <v/>
      </c>
      <c r="O5120">
        <f>L5120+M5120*Assumptions!$B$153*Assumptions!$B$37</f>
        <v/>
      </c>
      <c r="P5120">
        <f>IF(N5120&gt;0,O5120/N5120,0)</f>
        <v/>
      </c>
      <c r="Q5120">
        <f>IF(C5120=1,P5120*$J$157,Assumptions!$B$41)</f>
        <v/>
      </c>
      <c r="R5120">
        <f>IF(D5120=1,P5120*$F$157,Assumptions!$B$33)</f>
        <v/>
      </c>
      <c r="S5120">
        <f>IF(E5120=1,P5120*$G$157,Assumptions!$B$32)</f>
        <v/>
      </c>
      <c r="T5120">
        <f>IF(F5120=1,P5120*Assumptions!$B$14,Assumptions!$B$31)</f>
        <v/>
      </c>
      <c r="U5120">
        <f>IF(G5120=1,P5120*Assumptions!$B$13,Assumptions!$B$30)</f>
        <v/>
      </c>
      <c r="V5120">
        <f>IF(H5120=1,P5120*Assumptions!$B$12,Assumptions!$B$29)</f>
        <v/>
      </c>
      <c r="W5120">
        <f>IF(I5120=1,P5120*Assumptions!$B$11,Assumptions!$B$28)</f>
        <v/>
      </c>
      <c r="X5120">
        <f>P5120*($O$157+$S$157)</f>
        <v/>
      </c>
      <c r="Y5120">
        <f>P5120*Assumptions!$B$9</f>
        <v/>
      </c>
      <c r="Z5120">
        <f>IF(M5120=1,(P5120-Assumptions!$B$37)*Assumptions!$B$153,0)</f>
        <v/>
      </c>
      <c r="AA5120">
        <f>Q5120+R5120+S5120+T5120+U5120+V5120+W5120+X5120+Y5120+Z5120</f>
        <v/>
      </c>
      <c r="AB5120" t="n">
        <v>120</v>
      </c>
      <c r="AC5120" t="n">
        <v>56</v>
      </c>
      <c r="AD5120" t="n">
        <v>88</v>
      </c>
      <c r="AE5120" t="n">
        <v>104</v>
      </c>
      <c r="AF5120" t="n">
        <v>112</v>
      </c>
      <c r="AG5120" t="n">
        <v>124</v>
      </c>
      <c r="AH5120" t="n">
        <v>122</v>
      </c>
      <c r="AI5120" t="n">
        <v>121</v>
      </c>
      <c r="AJ5120">
        <f>INDEX($Q$5000:$Q$5127,AC5120+1)</f>
        <v/>
      </c>
      <c r="AK5120">
        <f>INDEX($R$5000:$R$5127,AD5120+1)</f>
        <v/>
      </c>
      <c r="AL5120">
        <f>INDEX($S$5000:$S$5127,AE5120+1)</f>
        <v/>
      </c>
      <c r="AM5120">
        <f>INDEX($T$5000:$T$5127,AF5120+1)</f>
        <v/>
      </c>
      <c r="AN5120">
        <f>INDEX($U$5000:$U$5127,AG5120+1)</f>
        <v/>
      </c>
      <c r="AO5120">
        <f>INDEX($V$5000:$V$5127,AH5120+1)</f>
        <v/>
      </c>
      <c r="AP5120">
        <f>INDEX($W$5000:$W$5127,AI5120+1)</f>
        <v/>
      </c>
      <c r="AQ5120">
        <f>IF(Q5120&gt;=AJ5120-0.01,1,0)</f>
        <v/>
      </c>
      <c r="AR5120">
        <f>IF(R5120&gt;=AK5120-0.01,1,0)</f>
        <v/>
      </c>
      <c r="AS5120">
        <f>IF(S5120&gt;=AL5120-0.01,1,0)</f>
        <v/>
      </c>
      <c r="AT5120">
        <f>IF(T5120&gt;=AM5120-0.01,1,0)</f>
        <v/>
      </c>
      <c r="AU5120">
        <f>IF(U5120&gt;=AN5120-0.01,1,0)</f>
        <v/>
      </c>
      <c r="AV5120">
        <f>IF(V5120&gt;=AO5120-0.01,1,0)</f>
        <v/>
      </c>
      <c r="AW5120">
        <f>IF(W5120&gt;=AP5120-0.01,1,0)</f>
        <v/>
      </c>
      <c r="AX5120">
        <f>AQ5120*AR5120*AS5120*AT5120*AU5120*AV5120*AW5120</f>
        <v/>
      </c>
    </row>
    <row r="5121">
      <c r="A5121" t="inlineStr"/>
      <c r="B5121">
        <f>Assumptions!$B$60</f>
        <v/>
      </c>
      <c r="C5121" t="n">
        <v>1</v>
      </c>
      <c r="D5121" t="n">
        <v>1</v>
      </c>
      <c r="E5121" t="n">
        <v>1</v>
      </c>
      <c r="F5121" t="n">
        <v>1</v>
      </c>
      <c r="G5121" t="n">
        <v>0</v>
      </c>
      <c r="H5121" t="n">
        <v>0</v>
      </c>
      <c r="I5121" t="n">
        <v>1</v>
      </c>
      <c r="J5121">
        <f>(1-C5121)*Assumptions!$B$41+(1-D5121)*Assumptions!$B$33+(1-E5121)*Assumptions!$B$32+(1-F5121)*Assumptions!$B$31+(1-G5121)*Assumptions!$B$30+(1-H5121)*Assumptions!$B$29+(1-I5121)*Assumptions!$B$28</f>
        <v/>
      </c>
      <c r="K5121">
        <f>C5121*$J$157+D5121*$F$157+E5121*$G$157+F5121*Assumptions!$B$14+G5121*Assumptions!$B$13+H5121*Assumptions!$B$12+I5121*Assumptions!$B$11+$O$157+$S$157+Assumptions!$B$9</f>
        <v/>
      </c>
      <c r="L5121">
        <f>B5121-J5121</f>
        <v/>
      </c>
      <c r="M5121">
        <f>IF(K5121&gt;0,IF(L5121/K5121&gt;=Assumptions!$B$37,1,0),0)</f>
        <v/>
      </c>
      <c r="N5121">
        <f>K5121+M5121*Assumptions!$B$153</f>
        <v/>
      </c>
      <c r="O5121">
        <f>L5121+M5121*Assumptions!$B$153*Assumptions!$B$37</f>
        <v/>
      </c>
      <c r="P5121">
        <f>IF(N5121&gt;0,O5121/N5121,0)</f>
        <v/>
      </c>
      <c r="Q5121">
        <f>IF(C5121=1,P5121*$J$157,Assumptions!$B$41)</f>
        <v/>
      </c>
      <c r="R5121">
        <f>IF(D5121=1,P5121*$F$157,Assumptions!$B$33)</f>
        <v/>
      </c>
      <c r="S5121">
        <f>IF(E5121=1,P5121*$G$157,Assumptions!$B$32)</f>
        <v/>
      </c>
      <c r="T5121">
        <f>IF(F5121=1,P5121*Assumptions!$B$14,Assumptions!$B$31)</f>
        <v/>
      </c>
      <c r="U5121">
        <f>IF(G5121=1,P5121*Assumptions!$B$13,Assumptions!$B$30)</f>
        <v/>
      </c>
      <c r="V5121">
        <f>IF(H5121=1,P5121*Assumptions!$B$12,Assumptions!$B$29)</f>
        <v/>
      </c>
      <c r="W5121">
        <f>IF(I5121=1,P5121*Assumptions!$B$11,Assumptions!$B$28)</f>
        <v/>
      </c>
      <c r="X5121">
        <f>P5121*($O$157+$S$157)</f>
        <v/>
      </c>
      <c r="Y5121">
        <f>P5121*Assumptions!$B$9</f>
        <v/>
      </c>
      <c r="Z5121">
        <f>IF(M5121=1,(P5121-Assumptions!$B$37)*Assumptions!$B$153,0)</f>
        <v/>
      </c>
      <c r="AA5121">
        <f>Q5121+R5121+S5121+T5121+U5121+V5121+W5121+X5121+Y5121+Z5121</f>
        <v/>
      </c>
      <c r="AB5121" t="n">
        <v>121</v>
      </c>
      <c r="AC5121" t="n">
        <v>57</v>
      </c>
      <c r="AD5121" t="n">
        <v>89</v>
      </c>
      <c r="AE5121" t="n">
        <v>105</v>
      </c>
      <c r="AF5121" t="n">
        <v>113</v>
      </c>
      <c r="AG5121" t="n">
        <v>125</v>
      </c>
      <c r="AH5121" t="n">
        <v>123</v>
      </c>
      <c r="AI5121" t="n">
        <v>120</v>
      </c>
      <c r="AJ5121">
        <f>INDEX($Q$5000:$Q$5127,AC5121+1)</f>
        <v/>
      </c>
      <c r="AK5121">
        <f>INDEX($R$5000:$R$5127,AD5121+1)</f>
        <v/>
      </c>
      <c r="AL5121">
        <f>INDEX($S$5000:$S$5127,AE5121+1)</f>
        <v/>
      </c>
      <c r="AM5121">
        <f>INDEX($T$5000:$T$5127,AF5121+1)</f>
        <v/>
      </c>
      <c r="AN5121">
        <f>INDEX($U$5000:$U$5127,AG5121+1)</f>
        <v/>
      </c>
      <c r="AO5121">
        <f>INDEX($V$5000:$V$5127,AH5121+1)</f>
        <v/>
      </c>
      <c r="AP5121">
        <f>INDEX($W$5000:$W$5127,AI5121+1)</f>
        <v/>
      </c>
      <c r="AQ5121">
        <f>IF(Q5121&gt;=AJ5121-0.01,1,0)</f>
        <v/>
      </c>
      <c r="AR5121">
        <f>IF(R5121&gt;=AK5121-0.01,1,0)</f>
        <v/>
      </c>
      <c r="AS5121">
        <f>IF(S5121&gt;=AL5121-0.01,1,0)</f>
        <v/>
      </c>
      <c r="AT5121">
        <f>IF(T5121&gt;=AM5121-0.01,1,0)</f>
        <v/>
      </c>
      <c r="AU5121">
        <f>IF(U5121&gt;=AN5121-0.01,1,0)</f>
        <v/>
      </c>
      <c r="AV5121">
        <f>IF(V5121&gt;=AO5121-0.01,1,0)</f>
        <v/>
      </c>
      <c r="AW5121">
        <f>IF(W5121&gt;=AP5121-0.01,1,0)</f>
        <v/>
      </c>
      <c r="AX5121">
        <f>AQ5121*AR5121*AS5121*AT5121*AU5121*AV5121*AW5121</f>
        <v/>
      </c>
    </row>
    <row r="5122">
      <c r="A5122" t="inlineStr"/>
      <c r="B5122">
        <f>Assumptions!$B$60</f>
        <v/>
      </c>
      <c r="C5122" t="n">
        <v>1</v>
      </c>
      <c r="D5122" t="n">
        <v>1</v>
      </c>
      <c r="E5122" t="n">
        <v>1</v>
      </c>
      <c r="F5122" t="n">
        <v>1</v>
      </c>
      <c r="G5122" t="n">
        <v>0</v>
      </c>
      <c r="H5122" t="n">
        <v>1</v>
      </c>
      <c r="I5122" t="n">
        <v>0</v>
      </c>
      <c r="J5122">
        <f>(1-C5122)*Assumptions!$B$41+(1-D5122)*Assumptions!$B$33+(1-E5122)*Assumptions!$B$32+(1-F5122)*Assumptions!$B$31+(1-G5122)*Assumptions!$B$30+(1-H5122)*Assumptions!$B$29+(1-I5122)*Assumptions!$B$28</f>
        <v/>
      </c>
      <c r="K5122">
        <f>C5122*$J$157+D5122*$F$157+E5122*$G$157+F5122*Assumptions!$B$14+G5122*Assumptions!$B$13+H5122*Assumptions!$B$12+I5122*Assumptions!$B$11+$O$157+$S$157+Assumptions!$B$9</f>
        <v/>
      </c>
      <c r="L5122">
        <f>B5122-J5122</f>
        <v/>
      </c>
      <c r="M5122">
        <f>IF(K5122&gt;0,IF(L5122/K5122&gt;=Assumptions!$B$37,1,0),0)</f>
        <v/>
      </c>
      <c r="N5122">
        <f>K5122+M5122*Assumptions!$B$153</f>
        <v/>
      </c>
      <c r="O5122">
        <f>L5122+M5122*Assumptions!$B$153*Assumptions!$B$37</f>
        <v/>
      </c>
      <c r="P5122">
        <f>IF(N5122&gt;0,O5122/N5122,0)</f>
        <v/>
      </c>
      <c r="Q5122">
        <f>IF(C5122=1,P5122*$J$157,Assumptions!$B$41)</f>
        <v/>
      </c>
      <c r="R5122">
        <f>IF(D5122=1,P5122*$F$157,Assumptions!$B$33)</f>
        <v/>
      </c>
      <c r="S5122">
        <f>IF(E5122=1,P5122*$G$157,Assumptions!$B$32)</f>
        <v/>
      </c>
      <c r="T5122">
        <f>IF(F5122=1,P5122*Assumptions!$B$14,Assumptions!$B$31)</f>
        <v/>
      </c>
      <c r="U5122">
        <f>IF(G5122=1,P5122*Assumptions!$B$13,Assumptions!$B$30)</f>
        <v/>
      </c>
      <c r="V5122">
        <f>IF(H5122=1,P5122*Assumptions!$B$12,Assumptions!$B$29)</f>
        <v/>
      </c>
      <c r="W5122">
        <f>IF(I5122=1,P5122*Assumptions!$B$11,Assumptions!$B$28)</f>
        <v/>
      </c>
      <c r="X5122">
        <f>P5122*($O$157+$S$157)</f>
        <v/>
      </c>
      <c r="Y5122">
        <f>P5122*Assumptions!$B$9</f>
        <v/>
      </c>
      <c r="Z5122">
        <f>IF(M5122=1,(P5122-Assumptions!$B$37)*Assumptions!$B$153,0)</f>
        <v/>
      </c>
      <c r="AA5122">
        <f>Q5122+R5122+S5122+T5122+U5122+V5122+W5122+X5122+Y5122+Z5122</f>
        <v/>
      </c>
      <c r="AB5122" t="n">
        <v>122</v>
      </c>
      <c r="AC5122" t="n">
        <v>58</v>
      </c>
      <c r="AD5122" t="n">
        <v>90</v>
      </c>
      <c r="AE5122" t="n">
        <v>106</v>
      </c>
      <c r="AF5122" t="n">
        <v>114</v>
      </c>
      <c r="AG5122" t="n">
        <v>126</v>
      </c>
      <c r="AH5122" t="n">
        <v>120</v>
      </c>
      <c r="AI5122" t="n">
        <v>123</v>
      </c>
      <c r="AJ5122">
        <f>INDEX($Q$5000:$Q$5127,AC5122+1)</f>
        <v/>
      </c>
      <c r="AK5122">
        <f>INDEX($R$5000:$R$5127,AD5122+1)</f>
        <v/>
      </c>
      <c r="AL5122">
        <f>INDEX($S$5000:$S$5127,AE5122+1)</f>
        <v/>
      </c>
      <c r="AM5122">
        <f>INDEX($T$5000:$T$5127,AF5122+1)</f>
        <v/>
      </c>
      <c r="AN5122">
        <f>INDEX($U$5000:$U$5127,AG5122+1)</f>
        <v/>
      </c>
      <c r="AO5122">
        <f>INDEX($V$5000:$V$5127,AH5122+1)</f>
        <v/>
      </c>
      <c r="AP5122">
        <f>INDEX($W$5000:$W$5127,AI5122+1)</f>
        <v/>
      </c>
      <c r="AQ5122">
        <f>IF(Q5122&gt;=AJ5122-0.01,1,0)</f>
        <v/>
      </c>
      <c r="AR5122">
        <f>IF(R5122&gt;=AK5122-0.01,1,0)</f>
        <v/>
      </c>
      <c r="AS5122">
        <f>IF(S5122&gt;=AL5122-0.01,1,0)</f>
        <v/>
      </c>
      <c r="AT5122">
        <f>IF(T5122&gt;=AM5122-0.01,1,0)</f>
        <v/>
      </c>
      <c r="AU5122">
        <f>IF(U5122&gt;=AN5122-0.01,1,0)</f>
        <v/>
      </c>
      <c r="AV5122">
        <f>IF(V5122&gt;=AO5122-0.01,1,0)</f>
        <v/>
      </c>
      <c r="AW5122">
        <f>IF(W5122&gt;=AP5122-0.01,1,0)</f>
        <v/>
      </c>
      <c r="AX5122">
        <f>AQ5122*AR5122*AS5122*AT5122*AU5122*AV5122*AW5122</f>
        <v/>
      </c>
    </row>
    <row r="5123">
      <c r="A5123" t="inlineStr"/>
      <c r="B5123">
        <f>Assumptions!$B$60</f>
        <v/>
      </c>
      <c r="C5123" t="n">
        <v>1</v>
      </c>
      <c r="D5123" t="n">
        <v>1</v>
      </c>
      <c r="E5123" t="n">
        <v>1</v>
      </c>
      <c r="F5123" t="n">
        <v>1</v>
      </c>
      <c r="G5123" t="n">
        <v>0</v>
      </c>
      <c r="H5123" t="n">
        <v>1</v>
      </c>
      <c r="I5123" t="n">
        <v>1</v>
      </c>
      <c r="J5123">
        <f>(1-C5123)*Assumptions!$B$41+(1-D5123)*Assumptions!$B$33+(1-E5123)*Assumptions!$B$32+(1-F5123)*Assumptions!$B$31+(1-G5123)*Assumptions!$B$30+(1-H5123)*Assumptions!$B$29+(1-I5123)*Assumptions!$B$28</f>
        <v/>
      </c>
      <c r="K5123">
        <f>C5123*$J$157+D5123*$F$157+E5123*$G$157+F5123*Assumptions!$B$14+G5123*Assumptions!$B$13+H5123*Assumptions!$B$12+I5123*Assumptions!$B$11+$O$157+$S$157+Assumptions!$B$9</f>
        <v/>
      </c>
      <c r="L5123">
        <f>B5123-J5123</f>
        <v/>
      </c>
      <c r="M5123">
        <f>IF(K5123&gt;0,IF(L5123/K5123&gt;=Assumptions!$B$37,1,0),0)</f>
        <v/>
      </c>
      <c r="N5123">
        <f>K5123+M5123*Assumptions!$B$153</f>
        <v/>
      </c>
      <c r="O5123">
        <f>L5123+M5123*Assumptions!$B$153*Assumptions!$B$37</f>
        <v/>
      </c>
      <c r="P5123">
        <f>IF(N5123&gt;0,O5123/N5123,0)</f>
        <v/>
      </c>
      <c r="Q5123">
        <f>IF(C5123=1,P5123*$J$157,Assumptions!$B$41)</f>
        <v/>
      </c>
      <c r="R5123">
        <f>IF(D5123=1,P5123*$F$157,Assumptions!$B$33)</f>
        <v/>
      </c>
      <c r="S5123">
        <f>IF(E5123=1,P5123*$G$157,Assumptions!$B$32)</f>
        <v/>
      </c>
      <c r="T5123">
        <f>IF(F5123=1,P5123*Assumptions!$B$14,Assumptions!$B$31)</f>
        <v/>
      </c>
      <c r="U5123">
        <f>IF(G5123=1,P5123*Assumptions!$B$13,Assumptions!$B$30)</f>
        <v/>
      </c>
      <c r="V5123">
        <f>IF(H5123=1,P5123*Assumptions!$B$12,Assumptions!$B$29)</f>
        <v/>
      </c>
      <c r="W5123">
        <f>IF(I5123=1,P5123*Assumptions!$B$11,Assumptions!$B$28)</f>
        <v/>
      </c>
      <c r="X5123">
        <f>P5123*($O$157+$S$157)</f>
        <v/>
      </c>
      <c r="Y5123">
        <f>P5123*Assumptions!$B$9</f>
        <v/>
      </c>
      <c r="Z5123">
        <f>IF(M5123=1,(P5123-Assumptions!$B$37)*Assumptions!$B$153,0)</f>
        <v/>
      </c>
      <c r="AA5123">
        <f>Q5123+R5123+S5123+T5123+U5123+V5123+W5123+X5123+Y5123+Z5123</f>
        <v/>
      </c>
      <c r="AB5123" t="n">
        <v>123</v>
      </c>
      <c r="AC5123" t="n">
        <v>59</v>
      </c>
      <c r="AD5123" t="n">
        <v>91</v>
      </c>
      <c r="AE5123" t="n">
        <v>107</v>
      </c>
      <c r="AF5123" t="n">
        <v>115</v>
      </c>
      <c r="AG5123" t="n">
        <v>127</v>
      </c>
      <c r="AH5123" t="n">
        <v>121</v>
      </c>
      <c r="AI5123" t="n">
        <v>122</v>
      </c>
      <c r="AJ5123">
        <f>INDEX($Q$5000:$Q$5127,AC5123+1)</f>
        <v/>
      </c>
      <c r="AK5123">
        <f>INDEX($R$5000:$R$5127,AD5123+1)</f>
        <v/>
      </c>
      <c r="AL5123">
        <f>INDEX($S$5000:$S$5127,AE5123+1)</f>
        <v/>
      </c>
      <c r="AM5123">
        <f>INDEX($T$5000:$T$5127,AF5123+1)</f>
        <v/>
      </c>
      <c r="AN5123">
        <f>INDEX($U$5000:$U$5127,AG5123+1)</f>
        <v/>
      </c>
      <c r="AO5123">
        <f>INDEX($V$5000:$V$5127,AH5123+1)</f>
        <v/>
      </c>
      <c r="AP5123">
        <f>INDEX($W$5000:$W$5127,AI5123+1)</f>
        <v/>
      </c>
      <c r="AQ5123">
        <f>IF(Q5123&gt;=AJ5123-0.01,1,0)</f>
        <v/>
      </c>
      <c r="AR5123">
        <f>IF(R5123&gt;=AK5123-0.01,1,0)</f>
        <v/>
      </c>
      <c r="AS5123">
        <f>IF(S5123&gt;=AL5123-0.01,1,0)</f>
        <v/>
      </c>
      <c r="AT5123">
        <f>IF(T5123&gt;=AM5123-0.01,1,0)</f>
        <v/>
      </c>
      <c r="AU5123">
        <f>IF(U5123&gt;=AN5123-0.01,1,0)</f>
        <v/>
      </c>
      <c r="AV5123">
        <f>IF(V5123&gt;=AO5123-0.01,1,0)</f>
        <v/>
      </c>
      <c r="AW5123">
        <f>IF(W5123&gt;=AP5123-0.01,1,0)</f>
        <v/>
      </c>
      <c r="AX5123">
        <f>AQ5123*AR5123*AS5123*AT5123*AU5123*AV5123*AW5123</f>
        <v/>
      </c>
    </row>
    <row r="5124">
      <c r="A5124" t="inlineStr"/>
      <c r="B5124">
        <f>Assumptions!$B$60</f>
        <v/>
      </c>
      <c r="C5124" t="n">
        <v>1</v>
      </c>
      <c r="D5124" t="n">
        <v>1</v>
      </c>
      <c r="E5124" t="n">
        <v>1</v>
      </c>
      <c r="F5124" t="n">
        <v>1</v>
      </c>
      <c r="G5124" t="n">
        <v>1</v>
      </c>
      <c r="H5124" t="n">
        <v>0</v>
      </c>
      <c r="I5124" t="n">
        <v>0</v>
      </c>
      <c r="J5124">
        <f>(1-C5124)*Assumptions!$B$41+(1-D5124)*Assumptions!$B$33+(1-E5124)*Assumptions!$B$32+(1-F5124)*Assumptions!$B$31+(1-G5124)*Assumptions!$B$30+(1-H5124)*Assumptions!$B$29+(1-I5124)*Assumptions!$B$28</f>
        <v/>
      </c>
      <c r="K5124">
        <f>C5124*$J$157+D5124*$F$157+E5124*$G$157+F5124*Assumptions!$B$14+G5124*Assumptions!$B$13+H5124*Assumptions!$B$12+I5124*Assumptions!$B$11+$O$157+$S$157+Assumptions!$B$9</f>
        <v/>
      </c>
      <c r="L5124">
        <f>B5124-J5124</f>
        <v/>
      </c>
      <c r="M5124">
        <f>IF(K5124&gt;0,IF(L5124/K5124&gt;=Assumptions!$B$37,1,0),0)</f>
        <v/>
      </c>
      <c r="N5124">
        <f>K5124+M5124*Assumptions!$B$153</f>
        <v/>
      </c>
      <c r="O5124">
        <f>L5124+M5124*Assumptions!$B$153*Assumptions!$B$37</f>
        <v/>
      </c>
      <c r="P5124">
        <f>IF(N5124&gt;0,O5124/N5124,0)</f>
        <v/>
      </c>
      <c r="Q5124">
        <f>IF(C5124=1,P5124*$J$157,Assumptions!$B$41)</f>
        <v/>
      </c>
      <c r="R5124">
        <f>IF(D5124=1,P5124*$F$157,Assumptions!$B$33)</f>
        <v/>
      </c>
      <c r="S5124">
        <f>IF(E5124=1,P5124*$G$157,Assumptions!$B$32)</f>
        <v/>
      </c>
      <c r="T5124">
        <f>IF(F5124=1,P5124*Assumptions!$B$14,Assumptions!$B$31)</f>
        <v/>
      </c>
      <c r="U5124">
        <f>IF(G5124=1,P5124*Assumptions!$B$13,Assumptions!$B$30)</f>
        <v/>
      </c>
      <c r="V5124">
        <f>IF(H5124=1,P5124*Assumptions!$B$12,Assumptions!$B$29)</f>
        <v/>
      </c>
      <c r="W5124">
        <f>IF(I5124=1,P5124*Assumptions!$B$11,Assumptions!$B$28)</f>
        <v/>
      </c>
      <c r="X5124">
        <f>P5124*($O$157+$S$157)</f>
        <v/>
      </c>
      <c r="Y5124">
        <f>P5124*Assumptions!$B$9</f>
        <v/>
      </c>
      <c r="Z5124">
        <f>IF(M5124=1,(P5124-Assumptions!$B$37)*Assumptions!$B$153,0)</f>
        <v/>
      </c>
      <c r="AA5124">
        <f>Q5124+R5124+S5124+T5124+U5124+V5124+W5124+X5124+Y5124+Z5124</f>
        <v/>
      </c>
      <c r="AB5124" t="n">
        <v>124</v>
      </c>
      <c r="AC5124" t="n">
        <v>60</v>
      </c>
      <c r="AD5124" t="n">
        <v>92</v>
      </c>
      <c r="AE5124" t="n">
        <v>108</v>
      </c>
      <c r="AF5124" t="n">
        <v>116</v>
      </c>
      <c r="AG5124" t="n">
        <v>120</v>
      </c>
      <c r="AH5124" t="n">
        <v>126</v>
      </c>
      <c r="AI5124" t="n">
        <v>125</v>
      </c>
      <c r="AJ5124">
        <f>INDEX($Q$5000:$Q$5127,AC5124+1)</f>
        <v/>
      </c>
      <c r="AK5124">
        <f>INDEX($R$5000:$R$5127,AD5124+1)</f>
        <v/>
      </c>
      <c r="AL5124">
        <f>INDEX($S$5000:$S$5127,AE5124+1)</f>
        <v/>
      </c>
      <c r="AM5124">
        <f>INDEX($T$5000:$T$5127,AF5124+1)</f>
        <v/>
      </c>
      <c r="AN5124">
        <f>INDEX($U$5000:$U$5127,AG5124+1)</f>
        <v/>
      </c>
      <c r="AO5124">
        <f>INDEX($V$5000:$V$5127,AH5124+1)</f>
        <v/>
      </c>
      <c r="AP5124">
        <f>INDEX($W$5000:$W$5127,AI5124+1)</f>
        <v/>
      </c>
      <c r="AQ5124">
        <f>IF(Q5124&gt;=AJ5124-0.01,1,0)</f>
        <v/>
      </c>
      <c r="AR5124">
        <f>IF(R5124&gt;=AK5124-0.01,1,0)</f>
        <v/>
      </c>
      <c r="AS5124">
        <f>IF(S5124&gt;=AL5124-0.01,1,0)</f>
        <v/>
      </c>
      <c r="AT5124">
        <f>IF(T5124&gt;=AM5124-0.01,1,0)</f>
        <v/>
      </c>
      <c r="AU5124">
        <f>IF(U5124&gt;=AN5124-0.01,1,0)</f>
        <v/>
      </c>
      <c r="AV5124">
        <f>IF(V5124&gt;=AO5124-0.01,1,0)</f>
        <v/>
      </c>
      <c r="AW5124">
        <f>IF(W5124&gt;=AP5124-0.01,1,0)</f>
        <v/>
      </c>
      <c r="AX5124">
        <f>AQ5124*AR5124*AS5124*AT5124*AU5124*AV5124*AW5124</f>
        <v/>
      </c>
    </row>
    <row r="5125">
      <c r="A5125" t="inlineStr"/>
      <c r="B5125">
        <f>Assumptions!$B$60</f>
        <v/>
      </c>
      <c r="C5125" t="n">
        <v>1</v>
      </c>
      <c r="D5125" t="n">
        <v>1</v>
      </c>
      <c r="E5125" t="n">
        <v>1</v>
      </c>
      <c r="F5125" t="n">
        <v>1</v>
      </c>
      <c r="G5125" t="n">
        <v>1</v>
      </c>
      <c r="H5125" t="n">
        <v>0</v>
      </c>
      <c r="I5125" t="n">
        <v>1</v>
      </c>
      <c r="J5125">
        <f>(1-C5125)*Assumptions!$B$41+(1-D5125)*Assumptions!$B$33+(1-E5125)*Assumptions!$B$32+(1-F5125)*Assumptions!$B$31+(1-G5125)*Assumptions!$B$30+(1-H5125)*Assumptions!$B$29+(1-I5125)*Assumptions!$B$28</f>
        <v/>
      </c>
      <c r="K5125">
        <f>C5125*$J$157+D5125*$F$157+E5125*$G$157+F5125*Assumptions!$B$14+G5125*Assumptions!$B$13+H5125*Assumptions!$B$12+I5125*Assumptions!$B$11+$O$157+$S$157+Assumptions!$B$9</f>
        <v/>
      </c>
      <c r="L5125">
        <f>B5125-J5125</f>
        <v/>
      </c>
      <c r="M5125">
        <f>IF(K5125&gt;0,IF(L5125/K5125&gt;=Assumptions!$B$37,1,0),0)</f>
        <v/>
      </c>
      <c r="N5125">
        <f>K5125+M5125*Assumptions!$B$153</f>
        <v/>
      </c>
      <c r="O5125">
        <f>L5125+M5125*Assumptions!$B$153*Assumptions!$B$37</f>
        <v/>
      </c>
      <c r="P5125">
        <f>IF(N5125&gt;0,O5125/N5125,0)</f>
        <v/>
      </c>
      <c r="Q5125">
        <f>IF(C5125=1,P5125*$J$157,Assumptions!$B$41)</f>
        <v/>
      </c>
      <c r="R5125">
        <f>IF(D5125=1,P5125*$F$157,Assumptions!$B$33)</f>
        <v/>
      </c>
      <c r="S5125">
        <f>IF(E5125=1,P5125*$G$157,Assumptions!$B$32)</f>
        <v/>
      </c>
      <c r="T5125">
        <f>IF(F5125=1,P5125*Assumptions!$B$14,Assumptions!$B$31)</f>
        <v/>
      </c>
      <c r="U5125">
        <f>IF(G5125=1,P5125*Assumptions!$B$13,Assumptions!$B$30)</f>
        <v/>
      </c>
      <c r="V5125">
        <f>IF(H5125=1,P5125*Assumptions!$B$12,Assumptions!$B$29)</f>
        <v/>
      </c>
      <c r="W5125">
        <f>IF(I5125=1,P5125*Assumptions!$B$11,Assumptions!$B$28)</f>
        <v/>
      </c>
      <c r="X5125">
        <f>P5125*($O$157+$S$157)</f>
        <v/>
      </c>
      <c r="Y5125">
        <f>P5125*Assumptions!$B$9</f>
        <v/>
      </c>
      <c r="Z5125">
        <f>IF(M5125=1,(P5125-Assumptions!$B$37)*Assumptions!$B$153,0)</f>
        <v/>
      </c>
      <c r="AA5125">
        <f>Q5125+R5125+S5125+T5125+U5125+V5125+W5125+X5125+Y5125+Z5125</f>
        <v/>
      </c>
      <c r="AB5125" t="n">
        <v>125</v>
      </c>
      <c r="AC5125" t="n">
        <v>61</v>
      </c>
      <c r="AD5125" t="n">
        <v>93</v>
      </c>
      <c r="AE5125" t="n">
        <v>109</v>
      </c>
      <c r="AF5125" t="n">
        <v>117</v>
      </c>
      <c r="AG5125" t="n">
        <v>121</v>
      </c>
      <c r="AH5125" t="n">
        <v>127</v>
      </c>
      <c r="AI5125" t="n">
        <v>124</v>
      </c>
      <c r="AJ5125">
        <f>INDEX($Q$5000:$Q$5127,AC5125+1)</f>
        <v/>
      </c>
      <c r="AK5125">
        <f>INDEX($R$5000:$R$5127,AD5125+1)</f>
        <v/>
      </c>
      <c r="AL5125">
        <f>INDEX($S$5000:$S$5127,AE5125+1)</f>
        <v/>
      </c>
      <c r="AM5125">
        <f>INDEX($T$5000:$T$5127,AF5125+1)</f>
        <v/>
      </c>
      <c r="AN5125">
        <f>INDEX($U$5000:$U$5127,AG5125+1)</f>
        <v/>
      </c>
      <c r="AO5125">
        <f>INDEX($V$5000:$V$5127,AH5125+1)</f>
        <v/>
      </c>
      <c r="AP5125">
        <f>INDEX($W$5000:$W$5127,AI5125+1)</f>
        <v/>
      </c>
      <c r="AQ5125">
        <f>IF(Q5125&gt;=AJ5125-0.01,1,0)</f>
        <v/>
      </c>
      <c r="AR5125">
        <f>IF(R5125&gt;=AK5125-0.01,1,0)</f>
        <v/>
      </c>
      <c r="AS5125">
        <f>IF(S5125&gt;=AL5125-0.01,1,0)</f>
        <v/>
      </c>
      <c r="AT5125">
        <f>IF(T5125&gt;=AM5125-0.01,1,0)</f>
        <v/>
      </c>
      <c r="AU5125">
        <f>IF(U5125&gt;=AN5125-0.01,1,0)</f>
        <v/>
      </c>
      <c r="AV5125">
        <f>IF(V5125&gt;=AO5125-0.01,1,0)</f>
        <v/>
      </c>
      <c r="AW5125">
        <f>IF(W5125&gt;=AP5125-0.01,1,0)</f>
        <v/>
      </c>
      <c r="AX5125">
        <f>AQ5125*AR5125*AS5125*AT5125*AU5125*AV5125*AW5125</f>
        <v/>
      </c>
    </row>
    <row r="5126">
      <c r="A5126" t="inlineStr"/>
      <c r="B5126">
        <f>Assumptions!$B$60</f>
        <v/>
      </c>
      <c r="C5126" t="n">
        <v>1</v>
      </c>
      <c r="D5126" t="n">
        <v>1</v>
      </c>
      <c r="E5126" t="n">
        <v>1</v>
      </c>
      <c r="F5126" t="n">
        <v>1</v>
      </c>
      <c r="G5126" t="n">
        <v>1</v>
      </c>
      <c r="H5126" t="n">
        <v>1</v>
      </c>
      <c r="I5126" t="n">
        <v>0</v>
      </c>
      <c r="J5126">
        <f>(1-C5126)*Assumptions!$B$41+(1-D5126)*Assumptions!$B$33+(1-E5126)*Assumptions!$B$32+(1-F5126)*Assumptions!$B$31+(1-G5126)*Assumptions!$B$30+(1-H5126)*Assumptions!$B$29+(1-I5126)*Assumptions!$B$28</f>
        <v/>
      </c>
      <c r="K5126">
        <f>C5126*$J$157+D5126*$F$157+E5126*$G$157+F5126*Assumptions!$B$14+G5126*Assumptions!$B$13+H5126*Assumptions!$B$12+I5126*Assumptions!$B$11+$O$157+$S$157+Assumptions!$B$9</f>
        <v/>
      </c>
      <c r="L5126">
        <f>B5126-J5126</f>
        <v/>
      </c>
      <c r="M5126">
        <f>IF(K5126&gt;0,IF(L5126/K5126&gt;=Assumptions!$B$37,1,0),0)</f>
        <v/>
      </c>
      <c r="N5126">
        <f>K5126+M5126*Assumptions!$B$153</f>
        <v/>
      </c>
      <c r="O5126">
        <f>L5126+M5126*Assumptions!$B$153*Assumptions!$B$37</f>
        <v/>
      </c>
      <c r="P5126">
        <f>IF(N5126&gt;0,O5126/N5126,0)</f>
        <v/>
      </c>
      <c r="Q5126">
        <f>IF(C5126=1,P5126*$J$157,Assumptions!$B$41)</f>
        <v/>
      </c>
      <c r="R5126">
        <f>IF(D5126=1,P5126*$F$157,Assumptions!$B$33)</f>
        <v/>
      </c>
      <c r="S5126">
        <f>IF(E5126=1,P5126*$G$157,Assumptions!$B$32)</f>
        <v/>
      </c>
      <c r="T5126">
        <f>IF(F5126=1,P5126*Assumptions!$B$14,Assumptions!$B$31)</f>
        <v/>
      </c>
      <c r="U5126">
        <f>IF(G5126=1,P5126*Assumptions!$B$13,Assumptions!$B$30)</f>
        <v/>
      </c>
      <c r="V5126">
        <f>IF(H5126=1,P5126*Assumptions!$B$12,Assumptions!$B$29)</f>
        <v/>
      </c>
      <c r="W5126">
        <f>IF(I5126=1,P5126*Assumptions!$B$11,Assumptions!$B$28)</f>
        <v/>
      </c>
      <c r="X5126">
        <f>P5126*($O$157+$S$157)</f>
        <v/>
      </c>
      <c r="Y5126">
        <f>P5126*Assumptions!$B$9</f>
        <v/>
      </c>
      <c r="Z5126">
        <f>IF(M5126=1,(P5126-Assumptions!$B$37)*Assumptions!$B$153,0)</f>
        <v/>
      </c>
      <c r="AA5126">
        <f>Q5126+R5126+S5126+T5126+U5126+V5126+W5126+X5126+Y5126+Z5126</f>
        <v/>
      </c>
      <c r="AB5126" t="n">
        <v>126</v>
      </c>
      <c r="AC5126" t="n">
        <v>62</v>
      </c>
      <c r="AD5126" t="n">
        <v>94</v>
      </c>
      <c r="AE5126" t="n">
        <v>110</v>
      </c>
      <c r="AF5126" t="n">
        <v>118</v>
      </c>
      <c r="AG5126" t="n">
        <v>122</v>
      </c>
      <c r="AH5126" t="n">
        <v>124</v>
      </c>
      <c r="AI5126" t="n">
        <v>127</v>
      </c>
      <c r="AJ5126">
        <f>INDEX($Q$5000:$Q$5127,AC5126+1)</f>
        <v/>
      </c>
      <c r="AK5126">
        <f>INDEX($R$5000:$R$5127,AD5126+1)</f>
        <v/>
      </c>
      <c r="AL5126">
        <f>INDEX($S$5000:$S$5127,AE5126+1)</f>
        <v/>
      </c>
      <c r="AM5126">
        <f>INDEX($T$5000:$T$5127,AF5126+1)</f>
        <v/>
      </c>
      <c r="AN5126">
        <f>INDEX($U$5000:$U$5127,AG5126+1)</f>
        <v/>
      </c>
      <c r="AO5126">
        <f>INDEX($V$5000:$V$5127,AH5126+1)</f>
        <v/>
      </c>
      <c r="AP5126">
        <f>INDEX($W$5000:$W$5127,AI5126+1)</f>
        <v/>
      </c>
      <c r="AQ5126">
        <f>IF(Q5126&gt;=AJ5126-0.01,1,0)</f>
        <v/>
      </c>
      <c r="AR5126">
        <f>IF(R5126&gt;=AK5126-0.01,1,0)</f>
        <v/>
      </c>
      <c r="AS5126">
        <f>IF(S5126&gt;=AL5126-0.01,1,0)</f>
        <v/>
      </c>
      <c r="AT5126">
        <f>IF(T5126&gt;=AM5126-0.01,1,0)</f>
        <v/>
      </c>
      <c r="AU5126">
        <f>IF(U5126&gt;=AN5126-0.01,1,0)</f>
        <v/>
      </c>
      <c r="AV5126">
        <f>IF(V5126&gt;=AO5126-0.01,1,0)</f>
        <v/>
      </c>
      <c r="AW5126">
        <f>IF(W5126&gt;=AP5126-0.01,1,0)</f>
        <v/>
      </c>
      <c r="AX5126">
        <f>AQ5126*AR5126*AS5126*AT5126*AU5126*AV5126*AW5126</f>
        <v/>
      </c>
    </row>
    <row r="5127">
      <c r="A5127" t="inlineStr"/>
      <c r="B5127">
        <f>Assumptions!$B$60</f>
        <v/>
      </c>
      <c r="C5127" t="n">
        <v>1</v>
      </c>
      <c r="D5127" t="n">
        <v>1</v>
      </c>
      <c r="E5127" t="n">
        <v>1</v>
      </c>
      <c r="F5127" t="n">
        <v>1</v>
      </c>
      <c r="G5127" t="n">
        <v>1</v>
      </c>
      <c r="H5127" t="n">
        <v>1</v>
      </c>
      <c r="I5127" t="n">
        <v>1</v>
      </c>
      <c r="J5127">
        <f>(1-C5127)*Assumptions!$B$41+(1-D5127)*Assumptions!$B$33+(1-E5127)*Assumptions!$B$32+(1-F5127)*Assumptions!$B$31+(1-G5127)*Assumptions!$B$30+(1-H5127)*Assumptions!$B$29+(1-I5127)*Assumptions!$B$28</f>
        <v/>
      </c>
      <c r="K5127">
        <f>C5127*$J$157+D5127*$F$157+E5127*$G$157+F5127*Assumptions!$B$14+G5127*Assumptions!$B$13+H5127*Assumptions!$B$12+I5127*Assumptions!$B$11+$O$157+$S$157+Assumptions!$B$9</f>
        <v/>
      </c>
      <c r="L5127">
        <f>B5127-J5127</f>
        <v/>
      </c>
      <c r="M5127">
        <f>IF(K5127&gt;0,IF(L5127/K5127&gt;=Assumptions!$B$37,1,0),0)</f>
        <v/>
      </c>
      <c r="N5127">
        <f>K5127+M5127*Assumptions!$B$153</f>
        <v/>
      </c>
      <c r="O5127">
        <f>L5127+M5127*Assumptions!$B$153*Assumptions!$B$37</f>
        <v/>
      </c>
      <c r="P5127">
        <f>IF(N5127&gt;0,O5127/N5127,0)</f>
        <v/>
      </c>
      <c r="Q5127">
        <f>IF(C5127=1,P5127*$J$157,Assumptions!$B$41)</f>
        <v/>
      </c>
      <c r="R5127">
        <f>IF(D5127=1,P5127*$F$157,Assumptions!$B$33)</f>
        <v/>
      </c>
      <c r="S5127">
        <f>IF(E5127=1,P5127*$G$157,Assumptions!$B$32)</f>
        <v/>
      </c>
      <c r="T5127">
        <f>IF(F5127=1,P5127*Assumptions!$B$14,Assumptions!$B$31)</f>
        <v/>
      </c>
      <c r="U5127">
        <f>IF(G5127=1,P5127*Assumptions!$B$13,Assumptions!$B$30)</f>
        <v/>
      </c>
      <c r="V5127">
        <f>IF(H5127=1,P5127*Assumptions!$B$12,Assumptions!$B$29)</f>
        <v/>
      </c>
      <c r="W5127">
        <f>IF(I5127=1,P5127*Assumptions!$B$11,Assumptions!$B$28)</f>
        <v/>
      </c>
      <c r="X5127">
        <f>P5127*($O$157+$S$157)</f>
        <v/>
      </c>
      <c r="Y5127">
        <f>P5127*Assumptions!$B$9</f>
        <v/>
      </c>
      <c r="Z5127">
        <f>IF(M5127=1,(P5127-Assumptions!$B$37)*Assumptions!$B$153,0)</f>
        <v/>
      </c>
      <c r="AA5127">
        <f>Q5127+R5127+S5127+T5127+U5127+V5127+W5127+X5127+Y5127+Z5127</f>
        <v/>
      </c>
      <c r="AB5127" t="n">
        <v>127</v>
      </c>
      <c r="AC5127" t="n">
        <v>63</v>
      </c>
      <c r="AD5127" t="n">
        <v>95</v>
      </c>
      <c r="AE5127" t="n">
        <v>111</v>
      </c>
      <c r="AF5127" t="n">
        <v>119</v>
      </c>
      <c r="AG5127" t="n">
        <v>123</v>
      </c>
      <c r="AH5127" t="n">
        <v>125</v>
      </c>
      <c r="AI5127" t="n">
        <v>126</v>
      </c>
      <c r="AJ5127">
        <f>INDEX($Q$5000:$Q$5127,AC5127+1)</f>
        <v/>
      </c>
      <c r="AK5127">
        <f>INDEX($R$5000:$R$5127,AD5127+1)</f>
        <v/>
      </c>
      <c r="AL5127">
        <f>INDEX($S$5000:$S$5127,AE5127+1)</f>
        <v/>
      </c>
      <c r="AM5127">
        <f>INDEX($T$5000:$T$5127,AF5127+1)</f>
        <v/>
      </c>
      <c r="AN5127">
        <f>INDEX($U$5000:$U$5127,AG5127+1)</f>
        <v/>
      </c>
      <c r="AO5127">
        <f>INDEX($V$5000:$V$5127,AH5127+1)</f>
        <v/>
      </c>
      <c r="AP5127">
        <f>INDEX($W$5000:$W$5127,AI5127+1)</f>
        <v/>
      </c>
      <c r="AQ5127">
        <f>IF(Q5127&gt;=AJ5127-0.01,1,0)</f>
        <v/>
      </c>
      <c r="AR5127">
        <f>IF(R5127&gt;=AK5127-0.01,1,0)</f>
        <v/>
      </c>
      <c r="AS5127">
        <f>IF(S5127&gt;=AL5127-0.01,1,0)</f>
        <v/>
      </c>
      <c r="AT5127">
        <f>IF(T5127&gt;=AM5127-0.01,1,0)</f>
        <v/>
      </c>
      <c r="AU5127">
        <f>IF(U5127&gt;=AN5127-0.01,1,0)</f>
        <v/>
      </c>
      <c r="AV5127">
        <f>IF(V5127&gt;=AO5127-0.01,1,0)</f>
        <v/>
      </c>
      <c r="AW5127">
        <f>IF(W5127&gt;=AP5127-0.01,1,0)</f>
        <v/>
      </c>
      <c r="AX5127">
        <f>AQ5127*AR5127*AS5127*AT5127*AU5127*AV5127*AW5127</f>
        <v/>
      </c>
    </row>
    <row r="5128">
      <c r="A5128" t="inlineStr">
        <is>
          <t>esop_11_pre_1400M</t>
        </is>
      </c>
      <c r="B5128">
        <f>Assumptions!$B$60</f>
        <v/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>
        <f>(1-C5128)*Assumptions!$B$41+(1-D5128)*Assumptions!$B$33+(1-E5128)*Assumptions!$B$32+(1-F5128)*Assumptions!$B$31+(1-G5128)*Assumptions!$B$30+(1-H5128)*Assumptions!$B$29+(1-I5128)*Assumptions!$B$28</f>
        <v/>
      </c>
      <c r="K5128">
        <f>C5128*$J$232+D5128*$F$232+E5128*$G$232+F5128*Assumptions!$B$14+G5128*Assumptions!$B$13+H5128*Assumptions!$B$12+I5128*Assumptions!$B$11+$O$232+$S$232+Assumptions!$B$9</f>
        <v/>
      </c>
      <c r="L5128">
        <f>B5128-J5128</f>
        <v/>
      </c>
      <c r="M5128">
        <f>IF(K5128&gt;0,IF(L5128/K5128&gt;=Assumptions!$B$37,1,0),0)</f>
        <v/>
      </c>
      <c r="N5128">
        <f>K5128+M5128*Assumptions!$B$153</f>
        <v/>
      </c>
      <c r="O5128">
        <f>L5128+M5128*Assumptions!$B$153*Assumptions!$B$37</f>
        <v/>
      </c>
      <c r="P5128">
        <f>IF(N5128&gt;0,O5128/N5128,0)</f>
        <v/>
      </c>
      <c r="Q5128">
        <f>IF(C5128=1,P5128*$J$232,Assumptions!$B$41)</f>
        <v/>
      </c>
      <c r="R5128">
        <f>IF(D5128=1,P5128*$F$232,Assumptions!$B$33)</f>
        <v/>
      </c>
      <c r="S5128">
        <f>IF(E5128=1,P5128*$G$232,Assumptions!$B$32)</f>
        <v/>
      </c>
      <c r="T5128">
        <f>IF(F5128=1,P5128*Assumptions!$B$14,Assumptions!$B$31)</f>
        <v/>
      </c>
      <c r="U5128">
        <f>IF(G5128=1,P5128*Assumptions!$B$13,Assumptions!$B$30)</f>
        <v/>
      </c>
      <c r="V5128">
        <f>IF(H5128=1,P5128*Assumptions!$B$12,Assumptions!$B$29)</f>
        <v/>
      </c>
      <c r="W5128">
        <f>IF(I5128=1,P5128*Assumptions!$B$11,Assumptions!$B$28)</f>
        <v/>
      </c>
      <c r="X5128">
        <f>P5128*($O$232+$S$232)</f>
        <v/>
      </c>
      <c r="Y5128">
        <f>P5128*Assumptions!$B$9</f>
        <v/>
      </c>
      <c r="Z5128">
        <f>IF(M5128=1,(P5128-Assumptions!$B$37)*Assumptions!$B$153,0)</f>
        <v/>
      </c>
      <c r="AA5128">
        <f>Q5128+R5128+S5128+T5128+U5128+V5128+W5128+X5128+Y5128+Z5128</f>
        <v/>
      </c>
      <c r="AB5128" t="n">
        <v>0</v>
      </c>
      <c r="AC5128" t="n">
        <v>64</v>
      </c>
      <c r="AD5128" t="n">
        <v>32</v>
      </c>
      <c r="AE5128" t="n">
        <v>16</v>
      </c>
      <c r="AF5128" t="n">
        <v>8</v>
      </c>
      <c r="AG5128" t="n">
        <v>4</v>
      </c>
      <c r="AH5128" t="n">
        <v>2</v>
      </c>
      <c r="AI5128" t="n">
        <v>1</v>
      </c>
      <c r="AJ5128">
        <f>INDEX($Q$5128:$Q$5255,AC5128+1)</f>
        <v/>
      </c>
      <c r="AK5128">
        <f>INDEX($R$5128:$R$5255,AD5128+1)</f>
        <v/>
      </c>
      <c r="AL5128">
        <f>INDEX($S$5128:$S$5255,AE5128+1)</f>
        <v/>
      </c>
      <c r="AM5128">
        <f>INDEX($T$5128:$T$5255,AF5128+1)</f>
        <v/>
      </c>
      <c r="AN5128">
        <f>INDEX($U$5128:$U$5255,AG5128+1)</f>
        <v/>
      </c>
      <c r="AO5128">
        <f>INDEX($V$5128:$V$5255,AH5128+1)</f>
        <v/>
      </c>
      <c r="AP5128">
        <f>INDEX($W$5128:$W$5255,AI5128+1)</f>
        <v/>
      </c>
      <c r="AQ5128">
        <f>IF(Q5128&gt;=AJ5128-0.01,1,0)</f>
        <v/>
      </c>
      <c r="AR5128">
        <f>IF(R5128&gt;=AK5128-0.01,1,0)</f>
        <v/>
      </c>
      <c r="AS5128">
        <f>IF(S5128&gt;=AL5128-0.01,1,0)</f>
        <v/>
      </c>
      <c r="AT5128">
        <f>IF(T5128&gt;=AM5128-0.01,1,0)</f>
        <v/>
      </c>
      <c r="AU5128">
        <f>IF(U5128&gt;=AN5128-0.01,1,0)</f>
        <v/>
      </c>
      <c r="AV5128">
        <f>IF(V5128&gt;=AO5128-0.01,1,0)</f>
        <v/>
      </c>
      <c r="AW5128">
        <f>IF(W5128&gt;=AP5128-0.01,1,0)</f>
        <v/>
      </c>
      <c r="AX5128">
        <f>AQ5128*AR5128*AS5128*AT5128*AU5128*AV5128*AW5128</f>
        <v/>
      </c>
    </row>
    <row r="5129">
      <c r="A5129" t="inlineStr"/>
      <c r="B5129">
        <f>Assumptions!$B$60</f>
        <v/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>
        <f>(1-C5129)*Assumptions!$B$41+(1-D5129)*Assumptions!$B$33+(1-E5129)*Assumptions!$B$32+(1-F5129)*Assumptions!$B$31+(1-G5129)*Assumptions!$B$30+(1-H5129)*Assumptions!$B$29+(1-I5129)*Assumptions!$B$28</f>
        <v/>
      </c>
      <c r="K5129">
        <f>C5129*$J$232+D5129*$F$232+E5129*$G$232+F5129*Assumptions!$B$14+G5129*Assumptions!$B$13+H5129*Assumptions!$B$12+I5129*Assumptions!$B$11+$O$232+$S$232+Assumptions!$B$9</f>
        <v/>
      </c>
      <c r="L5129">
        <f>B5129-J5129</f>
        <v/>
      </c>
      <c r="M5129">
        <f>IF(K5129&gt;0,IF(L5129/K5129&gt;=Assumptions!$B$37,1,0),0)</f>
        <v/>
      </c>
      <c r="N5129">
        <f>K5129+M5129*Assumptions!$B$153</f>
        <v/>
      </c>
      <c r="O5129">
        <f>L5129+M5129*Assumptions!$B$153*Assumptions!$B$37</f>
        <v/>
      </c>
      <c r="P5129">
        <f>IF(N5129&gt;0,O5129/N5129,0)</f>
        <v/>
      </c>
      <c r="Q5129">
        <f>IF(C5129=1,P5129*$J$232,Assumptions!$B$41)</f>
        <v/>
      </c>
      <c r="R5129">
        <f>IF(D5129=1,P5129*$F$232,Assumptions!$B$33)</f>
        <v/>
      </c>
      <c r="S5129">
        <f>IF(E5129=1,P5129*$G$232,Assumptions!$B$32)</f>
        <v/>
      </c>
      <c r="T5129">
        <f>IF(F5129=1,P5129*Assumptions!$B$14,Assumptions!$B$31)</f>
        <v/>
      </c>
      <c r="U5129">
        <f>IF(G5129=1,P5129*Assumptions!$B$13,Assumptions!$B$30)</f>
        <v/>
      </c>
      <c r="V5129">
        <f>IF(H5129=1,P5129*Assumptions!$B$12,Assumptions!$B$29)</f>
        <v/>
      </c>
      <c r="W5129">
        <f>IF(I5129=1,P5129*Assumptions!$B$11,Assumptions!$B$28)</f>
        <v/>
      </c>
      <c r="X5129">
        <f>P5129*($O$232+$S$232)</f>
        <v/>
      </c>
      <c r="Y5129">
        <f>P5129*Assumptions!$B$9</f>
        <v/>
      </c>
      <c r="Z5129">
        <f>IF(M5129=1,(P5129-Assumptions!$B$37)*Assumptions!$B$153,0)</f>
        <v/>
      </c>
      <c r="AA5129">
        <f>Q5129+R5129+S5129+T5129+U5129+V5129+W5129+X5129+Y5129+Z5129</f>
        <v/>
      </c>
      <c r="AB5129" t="n">
        <v>1</v>
      </c>
      <c r="AC5129" t="n">
        <v>65</v>
      </c>
      <c r="AD5129" t="n">
        <v>33</v>
      </c>
      <c r="AE5129" t="n">
        <v>17</v>
      </c>
      <c r="AF5129" t="n">
        <v>9</v>
      </c>
      <c r="AG5129" t="n">
        <v>5</v>
      </c>
      <c r="AH5129" t="n">
        <v>3</v>
      </c>
      <c r="AI5129" t="n">
        <v>0</v>
      </c>
      <c r="AJ5129">
        <f>INDEX($Q$5128:$Q$5255,AC5129+1)</f>
        <v/>
      </c>
      <c r="AK5129">
        <f>INDEX($R$5128:$R$5255,AD5129+1)</f>
        <v/>
      </c>
      <c r="AL5129">
        <f>INDEX($S$5128:$S$5255,AE5129+1)</f>
        <v/>
      </c>
      <c r="AM5129">
        <f>INDEX($T$5128:$T$5255,AF5129+1)</f>
        <v/>
      </c>
      <c r="AN5129">
        <f>INDEX($U$5128:$U$5255,AG5129+1)</f>
        <v/>
      </c>
      <c r="AO5129">
        <f>INDEX($V$5128:$V$5255,AH5129+1)</f>
        <v/>
      </c>
      <c r="AP5129">
        <f>INDEX($W$5128:$W$5255,AI5129+1)</f>
        <v/>
      </c>
      <c r="AQ5129">
        <f>IF(Q5129&gt;=AJ5129-0.01,1,0)</f>
        <v/>
      </c>
      <c r="AR5129">
        <f>IF(R5129&gt;=AK5129-0.01,1,0)</f>
        <v/>
      </c>
      <c r="AS5129">
        <f>IF(S5129&gt;=AL5129-0.01,1,0)</f>
        <v/>
      </c>
      <c r="AT5129">
        <f>IF(T5129&gt;=AM5129-0.01,1,0)</f>
        <v/>
      </c>
      <c r="AU5129">
        <f>IF(U5129&gt;=AN5129-0.01,1,0)</f>
        <v/>
      </c>
      <c r="AV5129">
        <f>IF(V5129&gt;=AO5129-0.01,1,0)</f>
        <v/>
      </c>
      <c r="AW5129">
        <f>IF(W5129&gt;=AP5129-0.01,1,0)</f>
        <v/>
      </c>
      <c r="AX5129">
        <f>AQ5129*AR5129*AS5129*AT5129*AU5129*AV5129*AW5129</f>
        <v/>
      </c>
    </row>
    <row r="5130">
      <c r="A5130" t="inlineStr"/>
      <c r="B5130">
        <f>Assumptions!$B$60</f>
        <v/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>
        <f>(1-C5130)*Assumptions!$B$41+(1-D5130)*Assumptions!$B$33+(1-E5130)*Assumptions!$B$32+(1-F5130)*Assumptions!$B$31+(1-G5130)*Assumptions!$B$30+(1-H5130)*Assumptions!$B$29+(1-I5130)*Assumptions!$B$28</f>
        <v/>
      </c>
      <c r="K5130">
        <f>C5130*$J$232+D5130*$F$232+E5130*$G$232+F5130*Assumptions!$B$14+G5130*Assumptions!$B$13+H5130*Assumptions!$B$12+I5130*Assumptions!$B$11+$O$232+$S$232+Assumptions!$B$9</f>
        <v/>
      </c>
      <c r="L5130">
        <f>B5130-J5130</f>
        <v/>
      </c>
      <c r="M5130">
        <f>IF(K5130&gt;0,IF(L5130/K5130&gt;=Assumptions!$B$37,1,0),0)</f>
        <v/>
      </c>
      <c r="N5130">
        <f>K5130+M5130*Assumptions!$B$153</f>
        <v/>
      </c>
      <c r="O5130">
        <f>L5130+M5130*Assumptions!$B$153*Assumptions!$B$37</f>
        <v/>
      </c>
      <c r="P5130">
        <f>IF(N5130&gt;0,O5130/N5130,0)</f>
        <v/>
      </c>
      <c r="Q5130">
        <f>IF(C5130=1,P5130*$J$232,Assumptions!$B$41)</f>
        <v/>
      </c>
      <c r="R5130">
        <f>IF(D5130=1,P5130*$F$232,Assumptions!$B$33)</f>
        <v/>
      </c>
      <c r="S5130">
        <f>IF(E5130=1,P5130*$G$232,Assumptions!$B$32)</f>
        <v/>
      </c>
      <c r="T5130">
        <f>IF(F5130=1,P5130*Assumptions!$B$14,Assumptions!$B$31)</f>
        <v/>
      </c>
      <c r="U5130">
        <f>IF(G5130=1,P5130*Assumptions!$B$13,Assumptions!$B$30)</f>
        <v/>
      </c>
      <c r="V5130">
        <f>IF(H5130=1,P5130*Assumptions!$B$12,Assumptions!$B$29)</f>
        <v/>
      </c>
      <c r="W5130">
        <f>IF(I5130=1,P5130*Assumptions!$B$11,Assumptions!$B$28)</f>
        <v/>
      </c>
      <c r="X5130">
        <f>P5130*($O$232+$S$232)</f>
        <v/>
      </c>
      <c r="Y5130">
        <f>P5130*Assumptions!$B$9</f>
        <v/>
      </c>
      <c r="Z5130">
        <f>IF(M5130=1,(P5130-Assumptions!$B$37)*Assumptions!$B$153,0)</f>
        <v/>
      </c>
      <c r="AA5130">
        <f>Q5130+R5130+S5130+T5130+U5130+V5130+W5130+X5130+Y5130+Z5130</f>
        <v/>
      </c>
      <c r="AB5130" t="n">
        <v>2</v>
      </c>
      <c r="AC5130" t="n">
        <v>66</v>
      </c>
      <c r="AD5130" t="n">
        <v>34</v>
      </c>
      <c r="AE5130" t="n">
        <v>18</v>
      </c>
      <c r="AF5130" t="n">
        <v>10</v>
      </c>
      <c r="AG5130" t="n">
        <v>6</v>
      </c>
      <c r="AH5130" t="n">
        <v>0</v>
      </c>
      <c r="AI5130" t="n">
        <v>3</v>
      </c>
      <c r="AJ5130">
        <f>INDEX($Q$5128:$Q$5255,AC5130+1)</f>
        <v/>
      </c>
      <c r="AK5130">
        <f>INDEX($R$5128:$R$5255,AD5130+1)</f>
        <v/>
      </c>
      <c r="AL5130">
        <f>INDEX($S$5128:$S$5255,AE5130+1)</f>
        <v/>
      </c>
      <c r="AM5130">
        <f>INDEX($T$5128:$T$5255,AF5130+1)</f>
        <v/>
      </c>
      <c r="AN5130">
        <f>INDEX($U$5128:$U$5255,AG5130+1)</f>
        <v/>
      </c>
      <c r="AO5130">
        <f>INDEX($V$5128:$V$5255,AH5130+1)</f>
        <v/>
      </c>
      <c r="AP5130">
        <f>INDEX($W$5128:$W$5255,AI5130+1)</f>
        <v/>
      </c>
      <c r="AQ5130">
        <f>IF(Q5130&gt;=AJ5130-0.01,1,0)</f>
        <v/>
      </c>
      <c r="AR5130">
        <f>IF(R5130&gt;=AK5130-0.01,1,0)</f>
        <v/>
      </c>
      <c r="AS5130">
        <f>IF(S5130&gt;=AL5130-0.01,1,0)</f>
        <v/>
      </c>
      <c r="AT5130">
        <f>IF(T5130&gt;=AM5130-0.01,1,0)</f>
        <v/>
      </c>
      <c r="AU5130">
        <f>IF(U5130&gt;=AN5130-0.01,1,0)</f>
        <v/>
      </c>
      <c r="AV5130">
        <f>IF(V5130&gt;=AO5130-0.01,1,0)</f>
        <v/>
      </c>
      <c r="AW5130">
        <f>IF(W5130&gt;=AP5130-0.01,1,0)</f>
        <v/>
      </c>
      <c r="AX5130">
        <f>AQ5130*AR5130*AS5130*AT5130*AU5130*AV5130*AW5130</f>
        <v/>
      </c>
    </row>
    <row r="5131">
      <c r="A5131" t="inlineStr"/>
      <c r="B5131">
        <f>Assumptions!$B$60</f>
        <v/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</v>
      </c>
      <c r="J5131">
        <f>(1-C5131)*Assumptions!$B$41+(1-D5131)*Assumptions!$B$33+(1-E5131)*Assumptions!$B$32+(1-F5131)*Assumptions!$B$31+(1-G5131)*Assumptions!$B$30+(1-H5131)*Assumptions!$B$29+(1-I5131)*Assumptions!$B$28</f>
        <v/>
      </c>
      <c r="K5131">
        <f>C5131*$J$232+D5131*$F$232+E5131*$G$232+F5131*Assumptions!$B$14+G5131*Assumptions!$B$13+H5131*Assumptions!$B$12+I5131*Assumptions!$B$11+$O$232+$S$232+Assumptions!$B$9</f>
        <v/>
      </c>
      <c r="L5131">
        <f>B5131-J5131</f>
        <v/>
      </c>
      <c r="M5131">
        <f>IF(K5131&gt;0,IF(L5131/K5131&gt;=Assumptions!$B$37,1,0),0)</f>
        <v/>
      </c>
      <c r="N5131">
        <f>K5131+M5131*Assumptions!$B$153</f>
        <v/>
      </c>
      <c r="O5131">
        <f>L5131+M5131*Assumptions!$B$153*Assumptions!$B$37</f>
        <v/>
      </c>
      <c r="P5131">
        <f>IF(N5131&gt;0,O5131/N5131,0)</f>
        <v/>
      </c>
      <c r="Q5131">
        <f>IF(C5131=1,P5131*$J$232,Assumptions!$B$41)</f>
        <v/>
      </c>
      <c r="R5131">
        <f>IF(D5131=1,P5131*$F$232,Assumptions!$B$33)</f>
        <v/>
      </c>
      <c r="S5131">
        <f>IF(E5131=1,P5131*$G$232,Assumptions!$B$32)</f>
        <v/>
      </c>
      <c r="T5131">
        <f>IF(F5131=1,P5131*Assumptions!$B$14,Assumptions!$B$31)</f>
        <v/>
      </c>
      <c r="U5131">
        <f>IF(G5131=1,P5131*Assumptions!$B$13,Assumptions!$B$30)</f>
        <v/>
      </c>
      <c r="V5131">
        <f>IF(H5131=1,P5131*Assumptions!$B$12,Assumptions!$B$29)</f>
        <v/>
      </c>
      <c r="W5131">
        <f>IF(I5131=1,P5131*Assumptions!$B$11,Assumptions!$B$28)</f>
        <v/>
      </c>
      <c r="X5131">
        <f>P5131*($O$232+$S$232)</f>
        <v/>
      </c>
      <c r="Y5131">
        <f>P5131*Assumptions!$B$9</f>
        <v/>
      </c>
      <c r="Z5131">
        <f>IF(M5131=1,(P5131-Assumptions!$B$37)*Assumptions!$B$153,0)</f>
        <v/>
      </c>
      <c r="AA5131">
        <f>Q5131+R5131+S5131+T5131+U5131+V5131+W5131+X5131+Y5131+Z5131</f>
        <v/>
      </c>
      <c r="AB5131" t="n">
        <v>3</v>
      </c>
      <c r="AC5131" t="n">
        <v>67</v>
      </c>
      <c r="AD5131" t="n">
        <v>35</v>
      </c>
      <c r="AE5131" t="n">
        <v>19</v>
      </c>
      <c r="AF5131" t="n">
        <v>11</v>
      </c>
      <c r="AG5131" t="n">
        <v>7</v>
      </c>
      <c r="AH5131" t="n">
        <v>1</v>
      </c>
      <c r="AI5131" t="n">
        <v>2</v>
      </c>
      <c r="AJ5131">
        <f>INDEX($Q$5128:$Q$5255,AC5131+1)</f>
        <v/>
      </c>
      <c r="AK5131">
        <f>INDEX($R$5128:$R$5255,AD5131+1)</f>
        <v/>
      </c>
      <c r="AL5131">
        <f>INDEX($S$5128:$S$5255,AE5131+1)</f>
        <v/>
      </c>
      <c r="AM5131">
        <f>INDEX($T$5128:$T$5255,AF5131+1)</f>
        <v/>
      </c>
      <c r="AN5131">
        <f>INDEX($U$5128:$U$5255,AG5131+1)</f>
        <v/>
      </c>
      <c r="AO5131">
        <f>INDEX($V$5128:$V$5255,AH5131+1)</f>
        <v/>
      </c>
      <c r="AP5131">
        <f>INDEX($W$5128:$W$5255,AI5131+1)</f>
        <v/>
      </c>
      <c r="AQ5131">
        <f>IF(Q5131&gt;=AJ5131-0.01,1,0)</f>
        <v/>
      </c>
      <c r="AR5131">
        <f>IF(R5131&gt;=AK5131-0.01,1,0)</f>
        <v/>
      </c>
      <c r="AS5131">
        <f>IF(S5131&gt;=AL5131-0.01,1,0)</f>
        <v/>
      </c>
      <c r="AT5131">
        <f>IF(T5131&gt;=AM5131-0.01,1,0)</f>
        <v/>
      </c>
      <c r="AU5131">
        <f>IF(U5131&gt;=AN5131-0.01,1,0)</f>
        <v/>
      </c>
      <c r="AV5131">
        <f>IF(V5131&gt;=AO5131-0.01,1,0)</f>
        <v/>
      </c>
      <c r="AW5131">
        <f>IF(W5131&gt;=AP5131-0.01,1,0)</f>
        <v/>
      </c>
      <c r="AX5131">
        <f>AQ5131*AR5131*AS5131*AT5131*AU5131*AV5131*AW5131</f>
        <v/>
      </c>
    </row>
    <row r="5132">
      <c r="A5132" t="inlineStr"/>
      <c r="B5132">
        <f>Assumptions!$B$60</f>
        <v/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>
        <f>(1-C5132)*Assumptions!$B$41+(1-D5132)*Assumptions!$B$33+(1-E5132)*Assumptions!$B$32+(1-F5132)*Assumptions!$B$31+(1-G5132)*Assumptions!$B$30+(1-H5132)*Assumptions!$B$29+(1-I5132)*Assumptions!$B$28</f>
        <v/>
      </c>
      <c r="K5132">
        <f>C5132*$J$232+D5132*$F$232+E5132*$G$232+F5132*Assumptions!$B$14+G5132*Assumptions!$B$13+H5132*Assumptions!$B$12+I5132*Assumptions!$B$11+$O$232+$S$232+Assumptions!$B$9</f>
        <v/>
      </c>
      <c r="L5132">
        <f>B5132-J5132</f>
        <v/>
      </c>
      <c r="M5132">
        <f>IF(K5132&gt;0,IF(L5132/K5132&gt;=Assumptions!$B$37,1,0),0)</f>
        <v/>
      </c>
      <c r="N5132">
        <f>K5132+M5132*Assumptions!$B$153</f>
        <v/>
      </c>
      <c r="O5132">
        <f>L5132+M5132*Assumptions!$B$153*Assumptions!$B$37</f>
        <v/>
      </c>
      <c r="P5132">
        <f>IF(N5132&gt;0,O5132/N5132,0)</f>
        <v/>
      </c>
      <c r="Q5132">
        <f>IF(C5132=1,P5132*$J$232,Assumptions!$B$41)</f>
        <v/>
      </c>
      <c r="R5132">
        <f>IF(D5132=1,P5132*$F$232,Assumptions!$B$33)</f>
        <v/>
      </c>
      <c r="S5132">
        <f>IF(E5132=1,P5132*$G$232,Assumptions!$B$32)</f>
        <v/>
      </c>
      <c r="T5132">
        <f>IF(F5132=1,P5132*Assumptions!$B$14,Assumptions!$B$31)</f>
        <v/>
      </c>
      <c r="U5132">
        <f>IF(G5132=1,P5132*Assumptions!$B$13,Assumptions!$B$30)</f>
        <v/>
      </c>
      <c r="V5132">
        <f>IF(H5132=1,P5132*Assumptions!$B$12,Assumptions!$B$29)</f>
        <v/>
      </c>
      <c r="W5132">
        <f>IF(I5132=1,P5132*Assumptions!$B$11,Assumptions!$B$28)</f>
        <v/>
      </c>
      <c r="X5132">
        <f>P5132*($O$232+$S$232)</f>
        <v/>
      </c>
      <c r="Y5132">
        <f>P5132*Assumptions!$B$9</f>
        <v/>
      </c>
      <c r="Z5132">
        <f>IF(M5132=1,(P5132-Assumptions!$B$37)*Assumptions!$B$153,0)</f>
        <v/>
      </c>
      <c r="AA5132">
        <f>Q5132+R5132+S5132+T5132+U5132+V5132+W5132+X5132+Y5132+Z5132</f>
        <v/>
      </c>
      <c r="AB5132" t="n">
        <v>4</v>
      </c>
      <c r="AC5132" t="n">
        <v>68</v>
      </c>
      <c r="AD5132" t="n">
        <v>36</v>
      </c>
      <c r="AE5132" t="n">
        <v>20</v>
      </c>
      <c r="AF5132" t="n">
        <v>12</v>
      </c>
      <c r="AG5132" t="n">
        <v>0</v>
      </c>
      <c r="AH5132" t="n">
        <v>6</v>
      </c>
      <c r="AI5132" t="n">
        <v>5</v>
      </c>
      <c r="AJ5132">
        <f>INDEX($Q$5128:$Q$5255,AC5132+1)</f>
        <v/>
      </c>
      <c r="AK5132">
        <f>INDEX($R$5128:$R$5255,AD5132+1)</f>
        <v/>
      </c>
      <c r="AL5132">
        <f>INDEX($S$5128:$S$5255,AE5132+1)</f>
        <v/>
      </c>
      <c r="AM5132">
        <f>INDEX($T$5128:$T$5255,AF5132+1)</f>
        <v/>
      </c>
      <c r="AN5132">
        <f>INDEX($U$5128:$U$5255,AG5132+1)</f>
        <v/>
      </c>
      <c r="AO5132">
        <f>INDEX($V$5128:$V$5255,AH5132+1)</f>
        <v/>
      </c>
      <c r="AP5132">
        <f>INDEX($W$5128:$W$5255,AI5132+1)</f>
        <v/>
      </c>
      <c r="AQ5132">
        <f>IF(Q5132&gt;=AJ5132-0.01,1,0)</f>
        <v/>
      </c>
      <c r="AR5132">
        <f>IF(R5132&gt;=AK5132-0.01,1,0)</f>
        <v/>
      </c>
      <c r="AS5132">
        <f>IF(S5132&gt;=AL5132-0.01,1,0)</f>
        <v/>
      </c>
      <c r="AT5132">
        <f>IF(T5132&gt;=AM5132-0.01,1,0)</f>
        <v/>
      </c>
      <c r="AU5132">
        <f>IF(U5132&gt;=AN5132-0.01,1,0)</f>
        <v/>
      </c>
      <c r="AV5132">
        <f>IF(V5132&gt;=AO5132-0.01,1,0)</f>
        <v/>
      </c>
      <c r="AW5132">
        <f>IF(W5132&gt;=AP5132-0.01,1,0)</f>
        <v/>
      </c>
      <c r="AX5132">
        <f>AQ5132*AR5132*AS5132*AT5132*AU5132*AV5132*AW5132</f>
        <v/>
      </c>
    </row>
    <row r="5133">
      <c r="A5133" t="inlineStr"/>
      <c r="B5133">
        <f>Assumptions!$B$60</f>
        <v/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1</v>
      </c>
      <c r="J5133">
        <f>(1-C5133)*Assumptions!$B$41+(1-D5133)*Assumptions!$B$33+(1-E5133)*Assumptions!$B$32+(1-F5133)*Assumptions!$B$31+(1-G5133)*Assumptions!$B$30+(1-H5133)*Assumptions!$B$29+(1-I5133)*Assumptions!$B$28</f>
        <v/>
      </c>
      <c r="K5133">
        <f>C5133*$J$232+D5133*$F$232+E5133*$G$232+F5133*Assumptions!$B$14+G5133*Assumptions!$B$13+H5133*Assumptions!$B$12+I5133*Assumptions!$B$11+$O$232+$S$232+Assumptions!$B$9</f>
        <v/>
      </c>
      <c r="L5133">
        <f>B5133-J5133</f>
        <v/>
      </c>
      <c r="M5133">
        <f>IF(K5133&gt;0,IF(L5133/K5133&gt;=Assumptions!$B$37,1,0),0)</f>
        <v/>
      </c>
      <c r="N5133">
        <f>K5133+M5133*Assumptions!$B$153</f>
        <v/>
      </c>
      <c r="O5133">
        <f>L5133+M5133*Assumptions!$B$153*Assumptions!$B$37</f>
        <v/>
      </c>
      <c r="P5133">
        <f>IF(N5133&gt;0,O5133/N5133,0)</f>
        <v/>
      </c>
      <c r="Q5133">
        <f>IF(C5133=1,P5133*$J$232,Assumptions!$B$41)</f>
        <v/>
      </c>
      <c r="R5133">
        <f>IF(D5133=1,P5133*$F$232,Assumptions!$B$33)</f>
        <v/>
      </c>
      <c r="S5133">
        <f>IF(E5133=1,P5133*$G$232,Assumptions!$B$32)</f>
        <v/>
      </c>
      <c r="T5133">
        <f>IF(F5133=1,P5133*Assumptions!$B$14,Assumptions!$B$31)</f>
        <v/>
      </c>
      <c r="U5133">
        <f>IF(G5133=1,P5133*Assumptions!$B$13,Assumptions!$B$30)</f>
        <v/>
      </c>
      <c r="V5133">
        <f>IF(H5133=1,P5133*Assumptions!$B$12,Assumptions!$B$29)</f>
        <v/>
      </c>
      <c r="W5133">
        <f>IF(I5133=1,P5133*Assumptions!$B$11,Assumptions!$B$28)</f>
        <v/>
      </c>
      <c r="X5133">
        <f>P5133*($O$232+$S$232)</f>
        <v/>
      </c>
      <c r="Y5133">
        <f>P5133*Assumptions!$B$9</f>
        <v/>
      </c>
      <c r="Z5133">
        <f>IF(M5133=1,(P5133-Assumptions!$B$37)*Assumptions!$B$153,0)</f>
        <v/>
      </c>
      <c r="AA5133">
        <f>Q5133+R5133+S5133+T5133+U5133+V5133+W5133+X5133+Y5133+Z5133</f>
        <v/>
      </c>
      <c r="AB5133" t="n">
        <v>5</v>
      </c>
      <c r="AC5133" t="n">
        <v>69</v>
      </c>
      <c r="AD5133" t="n">
        <v>37</v>
      </c>
      <c r="AE5133" t="n">
        <v>21</v>
      </c>
      <c r="AF5133" t="n">
        <v>13</v>
      </c>
      <c r="AG5133" t="n">
        <v>1</v>
      </c>
      <c r="AH5133" t="n">
        <v>7</v>
      </c>
      <c r="AI5133" t="n">
        <v>4</v>
      </c>
      <c r="AJ5133">
        <f>INDEX($Q$5128:$Q$5255,AC5133+1)</f>
        <v/>
      </c>
      <c r="AK5133">
        <f>INDEX($R$5128:$R$5255,AD5133+1)</f>
        <v/>
      </c>
      <c r="AL5133">
        <f>INDEX($S$5128:$S$5255,AE5133+1)</f>
        <v/>
      </c>
      <c r="AM5133">
        <f>INDEX($T$5128:$T$5255,AF5133+1)</f>
        <v/>
      </c>
      <c r="AN5133">
        <f>INDEX($U$5128:$U$5255,AG5133+1)</f>
        <v/>
      </c>
      <c r="AO5133">
        <f>INDEX($V$5128:$V$5255,AH5133+1)</f>
        <v/>
      </c>
      <c r="AP5133">
        <f>INDEX($W$5128:$W$5255,AI5133+1)</f>
        <v/>
      </c>
      <c r="AQ5133">
        <f>IF(Q5133&gt;=AJ5133-0.01,1,0)</f>
        <v/>
      </c>
      <c r="AR5133">
        <f>IF(R5133&gt;=AK5133-0.01,1,0)</f>
        <v/>
      </c>
      <c r="AS5133">
        <f>IF(S5133&gt;=AL5133-0.01,1,0)</f>
        <v/>
      </c>
      <c r="AT5133">
        <f>IF(T5133&gt;=AM5133-0.01,1,0)</f>
        <v/>
      </c>
      <c r="AU5133">
        <f>IF(U5133&gt;=AN5133-0.01,1,0)</f>
        <v/>
      </c>
      <c r="AV5133">
        <f>IF(V5133&gt;=AO5133-0.01,1,0)</f>
        <v/>
      </c>
      <c r="AW5133">
        <f>IF(W5133&gt;=AP5133-0.01,1,0)</f>
        <v/>
      </c>
      <c r="AX5133">
        <f>AQ5133*AR5133*AS5133*AT5133*AU5133*AV5133*AW5133</f>
        <v/>
      </c>
    </row>
    <row r="5134">
      <c r="A5134" t="inlineStr"/>
      <c r="B5134">
        <f>Assumptions!$B$60</f>
        <v/>
      </c>
      <c r="C5134" t="n">
        <v>0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  <c r="I5134" t="n">
        <v>0</v>
      </c>
      <c r="J5134">
        <f>(1-C5134)*Assumptions!$B$41+(1-D5134)*Assumptions!$B$33+(1-E5134)*Assumptions!$B$32+(1-F5134)*Assumptions!$B$31+(1-G5134)*Assumptions!$B$30+(1-H5134)*Assumptions!$B$29+(1-I5134)*Assumptions!$B$28</f>
        <v/>
      </c>
      <c r="K5134">
        <f>C5134*$J$232+D5134*$F$232+E5134*$G$232+F5134*Assumptions!$B$14+G5134*Assumptions!$B$13+H5134*Assumptions!$B$12+I5134*Assumptions!$B$11+$O$232+$S$232+Assumptions!$B$9</f>
        <v/>
      </c>
      <c r="L5134">
        <f>B5134-J5134</f>
        <v/>
      </c>
      <c r="M5134">
        <f>IF(K5134&gt;0,IF(L5134/K5134&gt;=Assumptions!$B$37,1,0),0)</f>
        <v/>
      </c>
      <c r="N5134">
        <f>K5134+M5134*Assumptions!$B$153</f>
        <v/>
      </c>
      <c r="O5134">
        <f>L5134+M5134*Assumptions!$B$153*Assumptions!$B$37</f>
        <v/>
      </c>
      <c r="P5134">
        <f>IF(N5134&gt;0,O5134/N5134,0)</f>
        <v/>
      </c>
      <c r="Q5134">
        <f>IF(C5134=1,P5134*$J$232,Assumptions!$B$41)</f>
        <v/>
      </c>
      <c r="R5134">
        <f>IF(D5134=1,P5134*$F$232,Assumptions!$B$33)</f>
        <v/>
      </c>
      <c r="S5134">
        <f>IF(E5134=1,P5134*$G$232,Assumptions!$B$32)</f>
        <v/>
      </c>
      <c r="T5134">
        <f>IF(F5134=1,P5134*Assumptions!$B$14,Assumptions!$B$31)</f>
        <v/>
      </c>
      <c r="U5134">
        <f>IF(G5134=1,P5134*Assumptions!$B$13,Assumptions!$B$30)</f>
        <v/>
      </c>
      <c r="V5134">
        <f>IF(H5134=1,P5134*Assumptions!$B$12,Assumptions!$B$29)</f>
        <v/>
      </c>
      <c r="W5134">
        <f>IF(I5134=1,P5134*Assumptions!$B$11,Assumptions!$B$28)</f>
        <v/>
      </c>
      <c r="X5134">
        <f>P5134*($O$232+$S$232)</f>
        <v/>
      </c>
      <c r="Y5134">
        <f>P5134*Assumptions!$B$9</f>
        <v/>
      </c>
      <c r="Z5134">
        <f>IF(M5134=1,(P5134-Assumptions!$B$37)*Assumptions!$B$153,0)</f>
        <v/>
      </c>
      <c r="AA5134">
        <f>Q5134+R5134+S5134+T5134+U5134+V5134+W5134+X5134+Y5134+Z5134</f>
        <v/>
      </c>
      <c r="AB5134" t="n">
        <v>6</v>
      </c>
      <c r="AC5134" t="n">
        <v>70</v>
      </c>
      <c r="AD5134" t="n">
        <v>38</v>
      </c>
      <c r="AE5134" t="n">
        <v>22</v>
      </c>
      <c r="AF5134" t="n">
        <v>14</v>
      </c>
      <c r="AG5134" t="n">
        <v>2</v>
      </c>
      <c r="AH5134" t="n">
        <v>4</v>
      </c>
      <c r="AI5134" t="n">
        <v>7</v>
      </c>
      <c r="AJ5134">
        <f>INDEX($Q$5128:$Q$5255,AC5134+1)</f>
        <v/>
      </c>
      <c r="AK5134">
        <f>INDEX($R$5128:$R$5255,AD5134+1)</f>
        <v/>
      </c>
      <c r="AL5134">
        <f>INDEX($S$5128:$S$5255,AE5134+1)</f>
        <v/>
      </c>
      <c r="AM5134">
        <f>INDEX($T$5128:$T$5255,AF5134+1)</f>
        <v/>
      </c>
      <c r="AN5134">
        <f>INDEX($U$5128:$U$5255,AG5134+1)</f>
        <v/>
      </c>
      <c r="AO5134">
        <f>INDEX($V$5128:$V$5255,AH5134+1)</f>
        <v/>
      </c>
      <c r="AP5134">
        <f>INDEX($W$5128:$W$5255,AI5134+1)</f>
        <v/>
      </c>
      <c r="AQ5134">
        <f>IF(Q5134&gt;=AJ5134-0.01,1,0)</f>
        <v/>
      </c>
      <c r="AR5134">
        <f>IF(R5134&gt;=AK5134-0.01,1,0)</f>
        <v/>
      </c>
      <c r="AS5134">
        <f>IF(S5134&gt;=AL5134-0.01,1,0)</f>
        <v/>
      </c>
      <c r="AT5134">
        <f>IF(T5134&gt;=AM5134-0.01,1,0)</f>
        <v/>
      </c>
      <c r="AU5134">
        <f>IF(U5134&gt;=AN5134-0.01,1,0)</f>
        <v/>
      </c>
      <c r="AV5134">
        <f>IF(V5134&gt;=AO5134-0.01,1,0)</f>
        <v/>
      </c>
      <c r="AW5134">
        <f>IF(W5134&gt;=AP5134-0.01,1,0)</f>
        <v/>
      </c>
      <c r="AX5134">
        <f>AQ5134*AR5134*AS5134*AT5134*AU5134*AV5134*AW5134</f>
        <v/>
      </c>
    </row>
    <row r="5135">
      <c r="A5135" t="inlineStr"/>
      <c r="B5135">
        <f>Assumptions!$B$60</f>
        <v/>
      </c>
      <c r="C5135" t="n">
        <v>0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  <c r="I5135" t="n">
        <v>1</v>
      </c>
      <c r="J5135">
        <f>(1-C5135)*Assumptions!$B$41+(1-D5135)*Assumptions!$B$33+(1-E5135)*Assumptions!$B$32+(1-F5135)*Assumptions!$B$31+(1-G5135)*Assumptions!$B$30+(1-H5135)*Assumptions!$B$29+(1-I5135)*Assumptions!$B$28</f>
        <v/>
      </c>
      <c r="K5135">
        <f>C5135*$J$232+D5135*$F$232+E5135*$G$232+F5135*Assumptions!$B$14+G5135*Assumptions!$B$13+H5135*Assumptions!$B$12+I5135*Assumptions!$B$11+$O$232+$S$232+Assumptions!$B$9</f>
        <v/>
      </c>
      <c r="L5135">
        <f>B5135-J5135</f>
        <v/>
      </c>
      <c r="M5135">
        <f>IF(K5135&gt;0,IF(L5135/K5135&gt;=Assumptions!$B$37,1,0),0)</f>
        <v/>
      </c>
      <c r="N5135">
        <f>K5135+M5135*Assumptions!$B$153</f>
        <v/>
      </c>
      <c r="O5135">
        <f>L5135+M5135*Assumptions!$B$153*Assumptions!$B$37</f>
        <v/>
      </c>
      <c r="P5135">
        <f>IF(N5135&gt;0,O5135/N5135,0)</f>
        <v/>
      </c>
      <c r="Q5135">
        <f>IF(C5135=1,P5135*$J$232,Assumptions!$B$41)</f>
        <v/>
      </c>
      <c r="R5135">
        <f>IF(D5135=1,P5135*$F$232,Assumptions!$B$33)</f>
        <v/>
      </c>
      <c r="S5135">
        <f>IF(E5135=1,P5135*$G$232,Assumptions!$B$32)</f>
        <v/>
      </c>
      <c r="T5135">
        <f>IF(F5135=1,P5135*Assumptions!$B$14,Assumptions!$B$31)</f>
        <v/>
      </c>
      <c r="U5135">
        <f>IF(G5135=1,P5135*Assumptions!$B$13,Assumptions!$B$30)</f>
        <v/>
      </c>
      <c r="V5135">
        <f>IF(H5135=1,P5135*Assumptions!$B$12,Assumptions!$B$29)</f>
        <v/>
      </c>
      <c r="W5135">
        <f>IF(I5135=1,P5135*Assumptions!$B$11,Assumptions!$B$28)</f>
        <v/>
      </c>
      <c r="X5135">
        <f>P5135*($O$232+$S$232)</f>
        <v/>
      </c>
      <c r="Y5135">
        <f>P5135*Assumptions!$B$9</f>
        <v/>
      </c>
      <c r="Z5135">
        <f>IF(M5135=1,(P5135-Assumptions!$B$37)*Assumptions!$B$153,0)</f>
        <v/>
      </c>
      <c r="AA5135">
        <f>Q5135+R5135+S5135+T5135+U5135+V5135+W5135+X5135+Y5135+Z5135</f>
        <v/>
      </c>
      <c r="AB5135" t="n">
        <v>7</v>
      </c>
      <c r="AC5135" t="n">
        <v>71</v>
      </c>
      <c r="AD5135" t="n">
        <v>39</v>
      </c>
      <c r="AE5135" t="n">
        <v>23</v>
      </c>
      <c r="AF5135" t="n">
        <v>15</v>
      </c>
      <c r="AG5135" t="n">
        <v>3</v>
      </c>
      <c r="AH5135" t="n">
        <v>5</v>
      </c>
      <c r="AI5135" t="n">
        <v>6</v>
      </c>
      <c r="AJ5135">
        <f>INDEX($Q$5128:$Q$5255,AC5135+1)</f>
        <v/>
      </c>
      <c r="AK5135">
        <f>INDEX($R$5128:$R$5255,AD5135+1)</f>
        <v/>
      </c>
      <c r="AL5135">
        <f>INDEX($S$5128:$S$5255,AE5135+1)</f>
        <v/>
      </c>
      <c r="AM5135">
        <f>INDEX($T$5128:$T$5255,AF5135+1)</f>
        <v/>
      </c>
      <c r="AN5135">
        <f>INDEX($U$5128:$U$5255,AG5135+1)</f>
        <v/>
      </c>
      <c r="AO5135">
        <f>INDEX($V$5128:$V$5255,AH5135+1)</f>
        <v/>
      </c>
      <c r="AP5135">
        <f>INDEX($W$5128:$W$5255,AI5135+1)</f>
        <v/>
      </c>
      <c r="AQ5135">
        <f>IF(Q5135&gt;=AJ5135-0.01,1,0)</f>
        <v/>
      </c>
      <c r="AR5135">
        <f>IF(R5135&gt;=AK5135-0.01,1,0)</f>
        <v/>
      </c>
      <c r="AS5135">
        <f>IF(S5135&gt;=AL5135-0.01,1,0)</f>
        <v/>
      </c>
      <c r="AT5135">
        <f>IF(T5135&gt;=AM5135-0.01,1,0)</f>
        <v/>
      </c>
      <c r="AU5135">
        <f>IF(U5135&gt;=AN5135-0.01,1,0)</f>
        <v/>
      </c>
      <c r="AV5135">
        <f>IF(V5135&gt;=AO5135-0.01,1,0)</f>
        <v/>
      </c>
      <c r="AW5135">
        <f>IF(W5135&gt;=AP5135-0.01,1,0)</f>
        <v/>
      </c>
      <c r="AX5135">
        <f>AQ5135*AR5135*AS5135*AT5135*AU5135*AV5135*AW5135</f>
        <v/>
      </c>
    </row>
    <row r="5136">
      <c r="A5136" t="inlineStr"/>
      <c r="B5136">
        <f>Assumptions!$B$60</f>
        <v/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>
        <f>(1-C5136)*Assumptions!$B$41+(1-D5136)*Assumptions!$B$33+(1-E5136)*Assumptions!$B$32+(1-F5136)*Assumptions!$B$31+(1-G5136)*Assumptions!$B$30+(1-H5136)*Assumptions!$B$29+(1-I5136)*Assumptions!$B$28</f>
        <v/>
      </c>
      <c r="K5136">
        <f>C5136*$J$232+D5136*$F$232+E5136*$G$232+F5136*Assumptions!$B$14+G5136*Assumptions!$B$13+H5136*Assumptions!$B$12+I5136*Assumptions!$B$11+$O$232+$S$232+Assumptions!$B$9</f>
        <v/>
      </c>
      <c r="L5136">
        <f>B5136-J5136</f>
        <v/>
      </c>
      <c r="M5136">
        <f>IF(K5136&gt;0,IF(L5136/K5136&gt;=Assumptions!$B$37,1,0),0)</f>
        <v/>
      </c>
      <c r="N5136">
        <f>K5136+M5136*Assumptions!$B$153</f>
        <v/>
      </c>
      <c r="O5136">
        <f>L5136+M5136*Assumptions!$B$153*Assumptions!$B$37</f>
        <v/>
      </c>
      <c r="P5136">
        <f>IF(N5136&gt;0,O5136/N5136,0)</f>
        <v/>
      </c>
      <c r="Q5136">
        <f>IF(C5136=1,P5136*$J$232,Assumptions!$B$41)</f>
        <v/>
      </c>
      <c r="R5136">
        <f>IF(D5136=1,P5136*$F$232,Assumptions!$B$33)</f>
        <v/>
      </c>
      <c r="S5136">
        <f>IF(E5136=1,P5136*$G$232,Assumptions!$B$32)</f>
        <v/>
      </c>
      <c r="T5136">
        <f>IF(F5136=1,P5136*Assumptions!$B$14,Assumptions!$B$31)</f>
        <v/>
      </c>
      <c r="U5136">
        <f>IF(G5136=1,P5136*Assumptions!$B$13,Assumptions!$B$30)</f>
        <v/>
      </c>
      <c r="V5136">
        <f>IF(H5136=1,P5136*Assumptions!$B$12,Assumptions!$B$29)</f>
        <v/>
      </c>
      <c r="W5136">
        <f>IF(I5136=1,P5136*Assumptions!$B$11,Assumptions!$B$28)</f>
        <v/>
      </c>
      <c r="X5136">
        <f>P5136*($O$232+$S$232)</f>
        <v/>
      </c>
      <c r="Y5136">
        <f>P5136*Assumptions!$B$9</f>
        <v/>
      </c>
      <c r="Z5136">
        <f>IF(M5136=1,(P5136-Assumptions!$B$37)*Assumptions!$B$153,0)</f>
        <v/>
      </c>
      <c r="AA5136">
        <f>Q5136+R5136+S5136+T5136+U5136+V5136+W5136+X5136+Y5136+Z5136</f>
        <v/>
      </c>
      <c r="AB5136" t="n">
        <v>8</v>
      </c>
      <c r="AC5136" t="n">
        <v>72</v>
      </c>
      <c r="AD5136" t="n">
        <v>40</v>
      </c>
      <c r="AE5136" t="n">
        <v>24</v>
      </c>
      <c r="AF5136" t="n">
        <v>0</v>
      </c>
      <c r="AG5136" t="n">
        <v>12</v>
      </c>
      <c r="AH5136" t="n">
        <v>10</v>
      </c>
      <c r="AI5136" t="n">
        <v>9</v>
      </c>
      <c r="AJ5136">
        <f>INDEX($Q$5128:$Q$5255,AC5136+1)</f>
        <v/>
      </c>
      <c r="AK5136">
        <f>INDEX($R$5128:$R$5255,AD5136+1)</f>
        <v/>
      </c>
      <c r="AL5136">
        <f>INDEX($S$5128:$S$5255,AE5136+1)</f>
        <v/>
      </c>
      <c r="AM5136">
        <f>INDEX($T$5128:$T$5255,AF5136+1)</f>
        <v/>
      </c>
      <c r="AN5136">
        <f>INDEX($U$5128:$U$5255,AG5136+1)</f>
        <v/>
      </c>
      <c r="AO5136">
        <f>INDEX($V$5128:$V$5255,AH5136+1)</f>
        <v/>
      </c>
      <c r="AP5136">
        <f>INDEX($W$5128:$W$5255,AI5136+1)</f>
        <v/>
      </c>
      <c r="AQ5136">
        <f>IF(Q5136&gt;=AJ5136-0.01,1,0)</f>
        <v/>
      </c>
      <c r="AR5136">
        <f>IF(R5136&gt;=AK5136-0.01,1,0)</f>
        <v/>
      </c>
      <c r="AS5136">
        <f>IF(S5136&gt;=AL5136-0.01,1,0)</f>
        <v/>
      </c>
      <c r="AT5136">
        <f>IF(T5136&gt;=AM5136-0.01,1,0)</f>
        <v/>
      </c>
      <c r="AU5136">
        <f>IF(U5136&gt;=AN5136-0.01,1,0)</f>
        <v/>
      </c>
      <c r="AV5136">
        <f>IF(V5136&gt;=AO5136-0.01,1,0)</f>
        <v/>
      </c>
      <c r="AW5136">
        <f>IF(W5136&gt;=AP5136-0.01,1,0)</f>
        <v/>
      </c>
      <c r="AX5136">
        <f>AQ5136*AR5136*AS5136*AT5136*AU5136*AV5136*AW5136</f>
        <v/>
      </c>
    </row>
    <row r="5137">
      <c r="A5137" t="inlineStr"/>
      <c r="B5137">
        <f>Assumptions!$B$60</f>
        <v/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0</v>
      </c>
      <c r="I5137" t="n">
        <v>1</v>
      </c>
      <c r="J5137">
        <f>(1-C5137)*Assumptions!$B$41+(1-D5137)*Assumptions!$B$33+(1-E5137)*Assumptions!$B$32+(1-F5137)*Assumptions!$B$31+(1-G5137)*Assumptions!$B$30+(1-H5137)*Assumptions!$B$29+(1-I5137)*Assumptions!$B$28</f>
        <v/>
      </c>
      <c r="K5137">
        <f>C5137*$J$232+D5137*$F$232+E5137*$G$232+F5137*Assumptions!$B$14+G5137*Assumptions!$B$13+H5137*Assumptions!$B$12+I5137*Assumptions!$B$11+$O$232+$S$232+Assumptions!$B$9</f>
        <v/>
      </c>
      <c r="L5137">
        <f>B5137-J5137</f>
        <v/>
      </c>
      <c r="M5137">
        <f>IF(K5137&gt;0,IF(L5137/K5137&gt;=Assumptions!$B$37,1,0),0)</f>
        <v/>
      </c>
      <c r="N5137">
        <f>K5137+M5137*Assumptions!$B$153</f>
        <v/>
      </c>
      <c r="O5137">
        <f>L5137+M5137*Assumptions!$B$153*Assumptions!$B$37</f>
        <v/>
      </c>
      <c r="P5137">
        <f>IF(N5137&gt;0,O5137/N5137,0)</f>
        <v/>
      </c>
      <c r="Q5137">
        <f>IF(C5137=1,P5137*$J$232,Assumptions!$B$41)</f>
        <v/>
      </c>
      <c r="R5137">
        <f>IF(D5137=1,P5137*$F$232,Assumptions!$B$33)</f>
        <v/>
      </c>
      <c r="S5137">
        <f>IF(E5137=1,P5137*$G$232,Assumptions!$B$32)</f>
        <v/>
      </c>
      <c r="T5137">
        <f>IF(F5137=1,P5137*Assumptions!$B$14,Assumptions!$B$31)</f>
        <v/>
      </c>
      <c r="U5137">
        <f>IF(G5137=1,P5137*Assumptions!$B$13,Assumptions!$B$30)</f>
        <v/>
      </c>
      <c r="V5137">
        <f>IF(H5137=1,P5137*Assumptions!$B$12,Assumptions!$B$29)</f>
        <v/>
      </c>
      <c r="W5137">
        <f>IF(I5137=1,P5137*Assumptions!$B$11,Assumptions!$B$28)</f>
        <v/>
      </c>
      <c r="X5137">
        <f>P5137*($O$232+$S$232)</f>
        <v/>
      </c>
      <c r="Y5137">
        <f>P5137*Assumptions!$B$9</f>
        <v/>
      </c>
      <c r="Z5137">
        <f>IF(M5137=1,(P5137-Assumptions!$B$37)*Assumptions!$B$153,0)</f>
        <v/>
      </c>
      <c r="AA5137">
        <f>Q5137+R5137+S5137+T5137+U5137+V5137+W5137+X5137+Y5137+Z5137</f>
        <v/>
      </c>
      <c r="AB5137" t="n">
        <v>9</v>
      </c>
      <c r="AC5137" t="n">
        <v>73</v>
      </c>
      <c r="AD5137" t="n">
        <v>41</v>
      </c>
      <c r="AE5137" t="n">
        <v>25</v>
      </c>
      <c r="AF5137" t="n">
        <v>1</v>
      </c>
      <c r="AG5137" t="n">
        <v>13</v>
      </c>
      <c r="AH5137" t="n">
        <v>11</v>
      </c>
      <c r="AI5137" t="n">
        <v>8</v>
      </c>
      <c r="AJ5137">
        <f>INDEX($Q$5128:$Q$5255,AC5137+1)</f>
        <v/>
      </c>
      <c r="AK5137">
        <f>INDEX($R$5128:$R$5255,AD5137+1)</f>
        <v/>
      </c>
      <c r="AL5137">
        <f>INDEX($S$5128:$S$5255,AE5137+1)</f>
        <v/>
      </c>
      <c r="AM5137">
        <f>INDEX($T$5128:$T$5255,AF5137+1)</f>
        <v/>
      </c>
      <c r="AN5137">
        <f>INDEX($U$5128:$U$5255,AG5137+1)</f>
        <v/>
      </c>
      <c r="AO5137">
        <f>INDEX($V$5128:$V$5255,AH5137+1)</f>
        <v/>
      </c>
      <c r="AP5137">
        <f>INDEX($W$5128:$W$5255,AI5137+1)</f>
        <v/>
      </c>
      <c r="AQ5137">
        <f>IF(Q5137&gt;=AJ5137-0.01,1,0)</f>
        <v/>
      </c>
      <c r="AR5137">
        <f>IF(R5137&gt;=AK5137-0.01,1,0)</f>
        <v/>
      </c>
      <c r="AS5137">
        <f>IF(S5137&gt;=AL5137-0.01,1,0)</f>
        <v/>
      </c>
      <c r="AT5137">
        <f>IF(T5137&gt;=AM5137-0.01,1,0)</f>
        <v/>
      </c>
      <c r="AU5137">
        <f>IF(U5137&gt;=AN5137-0.01,1,0)</f>
        <v/>
      </c>
      <c r="AV5137">
        <f>IF(V5137&gt;=AO5137-0.01,1,0)</f>
        <v/>
      </c>
      <c r="AW5137">
        <f>IF(W5137&gt;=AP5137-0.01,1,0)</f>
        <v/>
      </c>
      <c r="AX5137">
        <f>AQ5137*AR5137*AS5137*AT5137*AU5137*AV5137*AW5137</f>
        <v/>
      </c>
    </row>
    <row r="5138">
      <c r="A5138" t="inlineStr"/>
      <c r="B5138">
        <f>Assumptions!$B$60</f>
        <v/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>
        <f>(1-C5138)*Assumptions!$B$41+(1-D5138)*Assumptions!$B$33+(1-E5138)*Assumptions!$B$32+(1-F5138)*Assumptions!$B$31+(1-G5138)*Assumptions!$B$30+(1-H5138)*Assumptions!$B$29+(1-I5138)*Assumptions!$B$28</f>
        <v/>
      </c>
      <c r="K5138">
        <f>C5138*$J$232+D5138*$F$232+E5138*$G$232+F5138*Assumptions!$B$14+G5138*Assumptions!$B$13+H5138*Assumptions!$B$12+I5138*Assumptions!$B$11+$O$232+$S$232+Assumptions!$B$9</f>
        <v/>
      </c>
      <c r="L5138">
        <f>B5138-J5138</f>
        <v/>
      </c>
      <c r="M5138">
        <f>IF(K5138&gt;0,IF(L5138/K5138&gt;=Assumptions!$B$37,1,0),0)</f>
        <v/>
      </c>
      <c r="N5138">
        <f>K5138+M5138*Assumptions!$B$153</f>
        <v/>
      </c>
      <c r="O5138">
        <f>L5138+M5138*Assumptions!$B$153*Assumptions!$B$37</f>
        <v/>
      </c>
      <c r="P5138">
        <f>IF(N5138&gt;0,O5138/N5138,0)</f>
        <v/>
      </c>
      <c r="Q5138">
        <f>IF(C5138=1,P5138*$J$232,Assumptions!$B$41)</f>
        <v/>
      </c>
      <c r="R5138">
        <f>IF(D5138=1,P5138*$F$232,Assumptions!$B$33)</f>
        <v/>
      </c>
      <c r="S5138">
        <f>IF(E5138=1,P5138*$G$232,Assumptions!$B$32)</f>
        <v/>
      </c>
      <c r="T5138">
        <f>IF(F5138=1,P5138*Assumptions!$B$14,Assumptions!$B$31)</f>
        <v/>
      </c>
      <c r="U5138">
        <f>IF(G5138=1,P5138*Assumptions!$B$13,Assumptions!$B$30)</f>
        <v/>
      </c>
      <c r="V5138">
        <f>IF(H5138=1,P5138*Assumptions!$B$12,Assumptions!$B$29)</f>
        <v/>
      </c>
      <c r="W5138">
        <f>IF(I5138=1,P5138*Assumptions!$B$11,Assumptions!$B$28)</f>
        <v/>
      </c>
      <c r="X5138">
        <f>P5138*($O$232+$S$232)</f>
        <v/>
      </c>
      <c r="Y5138">
        <f>P5138*Assumptions!$B$9</f>
        <v/>
      </c>
      <c r="Z5138">
        <f>IF(M5138=1,(P5138-Assumptions!$B$37)*Assumptions!$B$153,0)</f>
        <v/>
      </c>
      <c r="AA5138">
        <f>Q5138+R5138+S5138+T5138+U5138+V5138+W5138+X5138+Y5138+Z5138</f>
        <v/>
      </c>
      <c r="AB5138" t="n">
        <v>10</v>
      </c>
      <c r="AC5138" t="n">
        <v>74</v>
      </c>
      <c r="AD5138" t="n">
        <v>42</v>
      </c>
      <c r="AE5138" t="n">
        <v>26</v>
      </c>
      <c r="AF5138" t="n">
        <v>2</v>
      </c>
      <c r="AG5138" t="n">
        <v>14</v>
      </c>
      <c r="AH5138" t="n">
        <v>8</v>
      </c>
      <c r="AI5138" t="n">
        <v>11</v>
      </c>
      <c r="AJ5138">
        <f>INDEX($Q$5128:$Q$5255,AC5138+1)</f>
        <v/>
      </c>
      <c r="AK5138">
        <f>INDEX($R$5128:$R$5255,AD5138+1)</f>
        <v/>
      </c>
      <c r="AL5138">
        <f>INDEX($S$5128:$S$5255,AE5138+1)</f>
        <v/>
      </c>
      <c r="AM5138">
        <f>INDEX($T$5128:$T$5255,AF5138+1)</f>
        <v/>
      </c>
      <c r="AN5138">
        <f>INDEX($U$5128:$U$5255,AG5138+1)</f>
        <v/>
      </c>
      <c r="AO5138">
        <f>INDEX($V$5128:$V$5255,AH5138+1)</f>
        <v/>
      </c>
      <c r="AP5138">
        <f>INDEX($W$5128:$W$5255,AI5138+1)</f>
        <v/>
      </c>
      <c r="AQ5138">
        <f>IF(Q5138&gt;=AJ5138-0.01,1,0)</f>
        <v/>
      </c>
      <c r="AR5138">
        <f>IF(R5138&gt;=AK5138-0.01,1,0)</f>
        <v/>
      </c>
      <c r="AS5138">
        <f>IF(S5138&gt;=AL5138-0.01,1,0)</f>
        <v/>
      </c>
      <c r="AT5138">
        <f>IF(T5138&gt;=AM5138-0.01,1,0)</f>
        <v/>
      </c>
      <c r="AU5138">
        <f>IF(U5138&gt;=AN5138-0.01,1,0)</f>
        <v/>
      </c>
      <c r="AV5138">
        <f>IF(V5138&gt;=AO5138-0.01,1,0)</f>
        <v/>
      </c>
      <c r="AW5138">
        <f>IF(W5138&gt;=AP5138-0.01,1,0)</f>
        <v/>
      </c>
      <c r="AX5138">
        <f>AQ5138*AR5138*AS5138*AT5138*AU5138*AV5138*AW5138</f>
        <v/>
      </c>
    </row>
    <row r="5139">
      <c r="A5139" t="inlineStr"/>
      <c r="B5139">
        <f>Assumptions!$B$60</f>
        <v/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1</v>
      </c>
      <c r="J5139">
        <f>(1-C5139)*Assumptions!$B$41+(1-D5139)*Assumptions!$B$33+(1-E5139)*Assumptions!$B$32+(1-F5139)*Assumptions!$B$31+(1-G5139)*Assumptions!$B$30+(1-H5139)*Assumptions!$B$29+(1-I5139)*Assumptions!$B$28</f>
        <v/>
      </c>
      <c r="K5139">
        <f>C5139*$J$232+D5139*$F$232+E5139*$G$232+F5139*Assumptions!$B$14+G5139*Assumptions!$B$13+H5139*Assumptions!$B$12+I5139*Assumptions!$B$11+$O$232+$S$232+Assumptions!$B$9</f>
        <v/>
      </c>
      <c r="L5139">
        <f>B5139-J5139</f>
        <v/>
      </c>
      <c r="M5139">
        <f>IF(K5139&gt;0,IF(L5139/K5139&gt;=Assumptions!$B$37,1,0),0)</f>
        <v/>
      </c>
      <c r="N5139">
        <f>K5139+M5139*Assumptions!$B$153</f>
        <v/>
      </c>
      <c r="O5139">
        <f>L5139+M5139*Assumptions!$B$153*Assumptions!$B$37</f>
        <v/>
      </c>
      <c r="P5139">
        <f>IF(N5139&gt;0,O5139/N5139,0)</f>
        <v/>
      </c>
      <c r="Q5139">
        <f>IF(C5139=1,P5139*$J$232,Assumptions!$B$41)</f>
        <v/>
      </c>
      <c r="R5139">
        <f>IF(D5139=1,P5139*$F$232,Assumptions!$B$33)</f>
        <v/>
      </c>
      <c r="S5139">
        <f>IF(E5139=1,P5139*$G$232,Assumptions!$B$32)</f>
        <v/>
      </c>
      <c r="T5139">
        <f>IF(F5139=1,P5139*Assumptions!$B$14,Assumptions!$B$31)</f>
        <v/>
      </c>
      <c r="U5139">
        <f>IF(G5139=1,P5139*Assumptions!$B$13,Assumptions!$B$30)</f>
        <v/>
      </c>
      <c r="V5139">
        <f>IF(H5139=1,P5139*Assumptions!$B$12,Assumptions!$B$29)</f>
        <v/>
      </c>
      <c r="W5139">
        <f>IF(I5139=1,P5139*Assumptions!$B$11,Assumptions!$B$28)</f>
        <v/>
      </c>
      <c r="X5139">
        <f>P5139*($O$232+$S$232)</f>
        <v/>
      </c>
      <c r="Y5139">
        <f>P5139*Assumptions!$B$9</f>
        <v/>
      </c>
      <c r="Z5139">
        <f>IF(M5139=1,(P5139-Assumptions!$B$37)*Assumptions!$B$153,0)</f>
        <v/>
      </c>
      <c r="AA5139">
        <f>Q5139+R5139+S5139+T5139+U5139+V5139+W5139+X5139+Y5139+Z5139</f>
        <v/>
      </c>
      <c r="AB5139" t="n">
        <v>11</v>
      </c>
      <c r="AC5139" t="n">
        <v>75</v>
      </c>
      <c r="AD5139" t="n">
        <v>43</v>
      </c>
      <c r="AE5139" t="n">
        <v>27</v>
      </c>
      <c r="AF5139" t="n">
        <v>3</v>
      </c>
      <c r="AG5139" t="n">
        <v>15</v>
      </c>
      <c r="AH5139" t="n">
        <v>9</v>
      </c>
      <c r="AI5139" t="n">
        <v>10</v>
      </c>
      <c r="AJ5139">
        <f>INDEX($Q$5128:$Q$5255,AC5139+1)</f>
        <v/>
      </c>
      <c r="AK5139">
        <f>INDEX($R$5128:$R$5255,AD5139+1)</f>
        <v/>
      </c>
      <c r="AL5139">
        <f>INDEX($S$5128:$S$5255,AE5139+1)</f>
        <v/>
      </c>
      <c r="AM5139">
        <f>INDEX($T$5128:$T$5255,AF5139+1)</f>
        <v/>
      </c>
      <c r="AN5139">
        <f>INDEX($U$5128:$U$5255,AG5139+1)</f>
        <v/>
      </c>
      <c r="AO5139">
        <f>INDEX($V$5128:$V$5255,AH5139+1)</f>
        <v/>
      </c>
      <c r="AP5139">
        <f>INDEX($W$5128:$W$5255,AI5139+1)</f>
        <v/>
      </c>
      <c r="AQ5139">
        <f>IF(Q5139&gt;=AJ5139-0.01,1,0)</f>
        <v/>
      </c>
      <c r="AR5139">
        <f>IF(R5139&gt;=AK5139-0.01,1,0)</f>
        <v/>
      </c>
      <c r="AS5139">
        <f>IF(S5139&gt;=AL5139-0.01,1,0)</f>
        <v/>
      </c>
      <c r="AT5139">
        <f>IF(T5139&gt;=AM5139-0.01,1,0)</f>
        <v/>
      </c>
      <c r="AU5139">
        <f>IF(U5139&gt;=AN5139-0.01,1,0)</f>
        <v/>
      </c>
      <c r="AV5139">
        <f>IF(V5139&gt;=AO5139-0.01,1,0)</f>
        <v/>
      </c>
      <c r="AW5139">
        <f>IF(W5139&gt;=AP5139-0.01,1,0)</f>
        <v/>
      </c>
      <c r="AX5139">
        <f>AQ5139*AR5139*AS5139*AT5139*AU5139*AV5139*AW5139</f>
        <v/>
      </c>
    </row>
    <row r="5140">
      <c r="A5140" t="inlineStr"/>
      <c r="B5140">
        <f>Assumptions!$B$60</f>
        <v/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>
        <f>(1-C5140)*Assumptions!$B$41+(1-D5140)*Assumptions!$B$33+(1-E5140)*Assumptions!$B$32+(1-F5140)*Assumptions!$B$31+(1-G5140)*Assumptions!$B$30+(1-H5140)*Assumptions!$B$29+(1-I5140)*Assumptions!$B$28</f>
        <v/>
      </c>
      <c r="K5140">
        <f>C5140*$J$232+D5140*$F$232+E5140*$G$232+F5140*Assumptions!$B$14+G5140*Assumptions!$B$13+H5140*Assumptions!$B$12+I5140*Assumptions!$B$11+$O$232+$S$232+Assumptions!$B$9</f>
        <v/>
      </c>
      <c r="L5140">
        <f>B5140-J5140</f>
        <v/>
      </c>
      <c r="M5140">
        <f>IF(K5140&gt;0,IF(L5140/K5140&gt;=Assumptions!$B$37,1,0),0)</f>
        <v/>
      </c>
      <c r="N5140">
        <f>K5140+M5140*Assumptions!$B$153</f>
        <v/>
      </c>
      <c r="O5140">
        <f>L5140+M5140*Assumptions!$B$153*Assumptions!$B$37</f>
        <v/>
      </c>
      <c r="P5140">
        <f>IF(N5140&gt;0,O5140/N5140,0)</f>
        <v/>
      </c>
      <c r="Q5140">
        <f>IF(C5140=1,P5140*$J$232,Assumptions!$B$41)</f>
        <v/>
      </c>
      <c r="R5140">
        <f>IF(D5140=1,P5140*$F$232,Assumptions!$B$33)</f>
        <v/>
      </c>
      <c r="S5140">
        <f>IF(E5140=1,P5140*$G$232,Assumptions!$B$32)</f>
        <v/>
      </c>
      <c r="T5140">
        <f>IF(F5140=1,P5140*Assumptions!$B$14,Assumptions!$B$31)</f>
        <v/>
      </c>
      <c r="U5140">
        <f>IF(G5140=1,P5140*Assumptions!$B$13,Assumptions!$B$30)</f>
        <v/>
      </c>
      <c r="V5140">
        <f>IF(H5140=1,P5140*Assumptions!$B$12,Assumptions!$B$29)</f>
        <v/>
      </c>
      <c r="W5140">
        <f>IF(I5140=1,P5140*Assumptions!$B$11,Assumptions!$B$28)</f>
        <v/>
      </c>
      <c r="X5140">
        <f>P5140*($O$232+$S$232)</f>
        <v/>
      </c>
      <c r="Y5140">
        <f>P5140*Assumptions!$B$9</f>
        <v/>
      </c>
      <c r="Z5140">
        <f>IF(M5140=1,(P5140-Assumptions!$B$37)*Assumptions!$B$153,0)</f>
        <v/>
      </c>
      <c r="AA5140">
        <f>Q5140+R5140+S5140+T5140+U5140+V5140+W5140+X5140+Y5140+Z5140</f>
        <v/>
      </c>
      <c r="AB5140" t="n">
        <v>12</v>
      </c>
      <c r="AC5140" t="n">
        <v>76</v>
      </c>
      <c r="AD5140" t="n">
        <v>44</v>
      </c>
      <c r="AE5140" t="n">
        <v>28</v>
      </c>
      <c r="AF5140" t="n">
        <v>4</v>
      </c>
      <c r="AG5140" t="n">
        <v>8</v>
      </c>
      <c r="AH5140" t="n">
        <v>14</v>
      </c>
      <c r="AI5140" t="n">
        <v>13</v>
      </c>
      <c r="AJ5140">
        <f>INDEX($Q$5128:$Q$5255,AC5140+1)</f>
        <v/>
      </c>
      <c r="AK5140">
        <f>INDEX($R$5128:$R$5255,AD5140+1)</f>
        <v/>
      </c>
      <c r="AL5140">
        <f>INDEX($S$5128:$S$5255,AE5140+1)</f>
        <v/>
      </c>
      <c r="AM5140">
        <f>INDEX($T$5128:$T$5255,AF5140+1)</f>
        <v/>
      </c>
      <c r="AN5140">
        <f>INDEX($U$5128:$U$5255,AG5140+1)</f>
        <v/>
      </c>
      <c r="AO5140">
        <f>INDEX($V$5128:$V$5255,AH5140+1)</f>
        <v/>
      </c>
      <c r="AP5140">
        <f>INDEX($W$5128:$W$5255,AI5140+1)</f>
        <v/>
      </c>
      <c r="AQ5140">
        <f>IF(Q5140&gt;=AJ5140-0.01,1,0)</f>
        <v/>
      </c>
      <c r="AR5140">
        <f>IF(R5140&gt;=AK5140-0.01,1,0)</f>
        <v/>
      </c>
      <c r="AS5140">
        <f>IF(S5140&gt;=AL5140-0.01,1,0)</f>
        <v/>
      </c>
      <c r="AT5140">
        <f>IF(T5140&gt;=AM5140-0.01,1,0)</f>
        <v/>
      </c>
      <c r="AU5140">
        <f>IF(U5140&gt;=AN5140-0.01,1,0)</f>
        <v/>
      </c>
      <c r="AV5140">
        <f>IF(V5140&gt;=AO5140-0.01,1,0)</f>
        <v/>
      </c>
      <c r="AW5140">
        <f>IF(W5140&gt;=AP5140-0.01,1,0)</f>
        <v/>
      </c>
      <c r="AX5140">
        <f>AQ5140*AR5140*AS5140*AT5140*AU5140*AV5140*AW5140</f>
        <v/>
      </c>
    </row>
    <row r="5141">
      <c r="A5141" t="inlineStr"/>
      <c r="B5141">
        <f>Assumptions!$B$60</f>
        <v/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1</v>
      </c>
      <c r="J5141">
        <f>(1-C5141)*Assumptions!$B$41+(1-D5141)*Assumptions!$B$33+(1-E5141)*Assumptions!$B$32+(1-F5141)*Assumptions!$B$31+(1-G5141)*Assumptions!$B$30+(1-H5141)*Assumptions!$B$29+(1-I5141)*Assumptions!$B$28</f>
        <v/>
      </c>
      <c r="K5141">
        <f>C5141*$J$232+D5141*$F$232+E5141*$G$232+F5141*Assumptions!$B$14+G5141*Assumptions!$B$13+H5141*Assumptions!$B$12+I5141*Assumptions!$B$11+$O$232+$S$232+Assumptions!$B$9</f>
        <v/>
      </c>
      <c r="L5141">
        <f>B5141-J5141</f>
        <v/>
      </c>
      <c r="M5141">
        <f>IF(K5141&gt;0,IF(L5141/K5141&gt;=Assumptions!$B$37,1,0),0)</f>
        <v/>
      </c>
      <c r="N5141">
        <f>K5141+M5141*Assumptions!$B$153</f>
        <v/>
      </c>
      <c r="O5141">
        <f>L5141+M5141*Assumptions!$B$153*Assumptions!$B$37</f>
        <v/>
      </c>
      <c r="P5141">
        <f>IF(N5141&gt;0,O5141/N5141,0)</f>
        <v/>
      </c>
      <c r="Q5141">
        <f>IF(C5141=1,P5141*$J$232,Assumptions!$B$41)</f>
        <v/>
      </c>
      <c r="R5141">
        <f>IF(D5141=1,P5141*$F$232,Assumptions!$B$33)</f>
        <v/>
      </c>
      <c r="S5141">
        <f>IF(E5141=1,P5141*$G$232,Assumptions!$B$32)</f>
        <v/>
      </c>
      <c r="T5141">
        <f>IF(F5141=1,P5141*Assumptions!$B$14,Assumptions!$B$31)</f>
        <v/>
      </c>
      <c r="U5141">
        <f>IF(G5141=1,P5141*Assumptions!$B$13,Assumptions!$B$30)</f>
        <v/>
      </c>
      <c r="V5141">
        <f>IF(H5141=1,P5141*Assumptions!$B$12,Assumptions!$B$29)</f>
        <v/>
      </c>
      <c r="W5141">
        <f>IF(I5141=1,P5141*Assumptions!$B$11,Assumptions!$B$28)</f>
        <v/>
      </c>
      <c r="X5141">
        <f>P5141*($O$232+$S$232)</f>
        <v/>
      </c>
      <c r="Y5141">
        <f>P5141*Assumptions!$B$9</f>
        <v/>
      </c>
      <c r="Z5141">
        <f>IF(M5141=1,(P5141-Assumptions!$B$37)*Assumptions!$B$153,0)</f>
        <v/>
      </c>
      <c r="AA5141">
        <f>Q5141+R5141+S5141+T5141+U5141+V5141+W5141+X5141+Y5141+Z5141</f>
        <v/>
      </c>
      <c r="AB5141" t="n">
        <v>13</v>
      </c>
      <c r="AC5141" t="n">
        <v>77</v>
      </c>
      <c r="AD5141" t="n">
        <v>45</v>
      </c>
      <c r="AE5141" t="n">
        <v>29</v>
      </c>
      <c r="AF5141" t="n">
        <v>5</v>
      </c>
      <c r="AG5141" t="n">
        <v>9</v>
      </c>
      <c r="AH5141" t="n">
        <v>15</v>
      </c>
      <c r="AI5141" t="n">
        <v>12</v>
      </c>
      <c r="AJ5141">
        <f>INDEX($Q$5128:$Q$5255,AC5141+1)</f>
        <v/>
      </c>
      <c r="AK5141">
        <f>INDEX($R$5128:$R$5255,AD5141+1)</f>
        <v/>
      </c>
      <c r="AL5141">
        <f>INDEX($S$5128:$S$5255,AE5141+1)</f>
        <v/>
      </c>
      <c r="AM5141">
        <f>INDEX($T$5128:$T$5255,AF5141+1)</f>
        <v/>
      </c>
      <c r="AN5141">
        <f>INDEX($U$5128:$U$5255,AG5141+1)</f>
        <v/>
      </c>
      <c r="AO5141">
        <f>INDEX($V$5128:$V$5255,AH5141+1)</f>
        <v/>
      </c>
      <c r="AP5141">
        <f>INDEX($W$5128:$W$5255,AI5141+1)</f>
        <v/>
      </c>
      <c r="AQ5141">
        <f>IF(Q5141&gt;=AJ5141-0.01,1,0)</f>
        <v/>
      </c>
      <c r="AR5141">
        <f>IF(R5141&gt;=AK5141-0.01,1,0)</f>
        <v/>
      </c>
      <c r="AS5141">
        <f>IF(S5141&gt;=AL5141-0.01,1,0)</f>
        <v/>
      </c>
      <c r="AT5141">
        <f>IF(T5141&gt;=AM5141-0.01,1,0)</f>
        <v/>
      </c>
      <c r="AU5141">
        <f>IF(U5141&gt;=AN5141-0.01,1,0)</f>
        <v/>
      </c>
      <c r="AV5141">
        <f>IF(V5141&gt;=AO5141-0.01,1,0)</f>
        <v/>
      </c>
      <c r="AW5141">
        <f>IF(W5141&gt;=AP5141-0.01,1,0)</f>
        <v/>
      </c>
      <c r="AX5141">
        <f>AQ5141*AR5141*AS5141*AT5141*AU5141*AV5141*AW5141</f>
        <v/>
      </c>
    </row>
    <row r="5142">
      <c r="A5142" t="inlineStr"/>
      <c r="B5142">
        <f>Assumptions!$B$60</f>
        <v/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1</v>
      </c>
      <c r="I5142" t="n">
        <v>0</v>
      </c>
      <c r="J5142">
        <f>(1-C5142)*Assumptions!$B$41+(1-D5142)*Assumptions!$B$33+(1-E5142)*Assumptions!$B$32+(1-F5142)*Assumptions!$B$31+(1-G5142)*Assumptions!$B$30+(1-H5142)*Assumptions!$B$29+(1-I5142)*Assumptions!$B$28</f>
        <v/>
      </c>
      <c r="K5142">
        <f>C5142*$J$232+D5142*$F$232+E5142*$G$232+F5142*Assumptions!$B$14+G5142*Assumptions!$B$13+H5142*Assumptions!$B$12+I5142*Assumptions!$B$11+$O$232+$S$232+Assumptions!$B$9</f>
        <v/>
      </c>
      <c r="L5142">
        <f>B5142-J5142</f>
        <v/>
      </c>
      <c r="M5142">
        <f>IF(K5142&gt;0,IF(L5142/K5142&gt;=Assumptions!$B$37,1,0),0)</f>
        <v/>
      </c>
      <c r="N5142">
        <f>K5142+M5142*Assumptions!$B$153</f>
        <v/>
      </c>
      <c r="O5142">
        <f>L5142+M5142*Assumptions!$B$153*Assumptions!$B$37</f>
        <v/>
      </c>
      <c r="P5142">
        <f>IF(N5142&gt;0,O5142/N5142,0)</f>
        <v/>
      </c>
      <c r="Q5142">
        <f>IF(C5142=1,P5142*$J$232,Assumptions!$B$41)</f>
        <v/>
      </c>
      <c r="R5142">
        <f>IF(D5142=1,P5142*$F$232,Assumptions!$B$33)</f>
        <v/>
      </c>
      <c r="S5142">
        <f>IF(E5142=1,P5142*$G$232,Assumptions!$B$32)</f>
        <v/>
      </c>
      <c r="T5142">
        <f>IF(F5142=1,P5142*Assumptions!$B$14,Assumptions!$B$31)</f>
        <v/>
      </c>
      <c r="U5142">
        <f>IF(G5142=1,P5142*Assumptions!$B$13,Assumptions!$B$30)</f>
        <v/>
      </c>
      <c r="V5142">
        <f>IF(H5142=1,P5142*Assumptions!$B$12,Assumptions!$B$29)</f>
        <v/>
      </c>
      <c r="W5142">
        <f>IF(I5142=1,P5142*Assumptions!$B$11,Assumptions!$B$28)</f>
        <v/>
      </c>
      <c r="X5142">
        <f>P5142*($O$232+$S$232)</f>
        <v/>
      </c>
      <c r="Y5142">
        <f>P5142*Assumptions!$B$9</f>
        <v/>
      </c>
      <c r="Z5142">
        <f>IF(M5142=1,(P5142-Assumptions!$B$37)*Assumptions!$B$153,0)</f>
        <v/>
      </c>
      <c r="AA5142">
        <f>Q5142+R5142+S5142+T5142+U5142+V5142+W5142+X5142+Y5142+Z5142</f>
        <v/>
      </c>
      <c r="AB5142" t="n">
        <v>14</v>
      </c>
      <c r="AC5142" t="n">
        <v>78</v>
      </c>
      <c r="AD5142" t="n">
        <v>46</v>
      </c>
      <c r="AE5142" t="n">
        <v>30</v>
      </c>
      <c r="AF5142" t="n">
        <v>6</v>
      </c>
      <c r="AG5142" t="n">
        <v>10</v>
      </c>
      <c r="AH5142" t="n">
        <v>12</v>
      </c>
      <c r="AI5142" t="n">
        <v>15</v>
      </c>
      <c r="AJ5142">
        <f>INDEX($Q$5128:$Q$5255,AC5142+1)</f>
        <v/>
      </c>
      <c r="AK5142">
        <f>INDEX($R$5128:$R$5255,AD5142+1)</f>
        <v/>
      </c>
      <c r="AL5142">
        <f>INDEX($S$5128:$S$5255,AE5142+1)</f>
        <v/>
      </c>
      <c r="AM5142">
        <f>INDEX($T$5128:$T$5255,AF5142+1)</f>
        <v/>
      </c>
      <c r="AN5142">
        <f>INDEX($U$5128:$U$5255,AG5142+1)</f>
        <v/>
      </c>
      <c r="AO5142">
        <f>INDEX($V$5128:$V$5255,AH5142+1)</f>
        <v/>
      </c>
      <c r="AP5142">
        <f>INDEX($W$5128:$W$5255,AI5142+1)</f>
        <v/>
      </c>
      <c r="AQ5142">
        <f>IF(Q5142&gt;=AJ5142-0.01,1,0)</f>
        <v/>
      </c>
      <c r="AR5142">
        <f>IF(R5142&gt;=AK5142-0.01,1,0)</f>
        <v/>
      </c>
      <c r="AS5142">
        <f>IF(S5142&gt;=AL5142-0.01,1,0)</f>
        <v/>
      </c>
      <c r="AT5142">
        <f>IF(T5142&gt;=AM5142-0.01,1,0)</f>
        <v/>
      </c>
      <c r="AU5142">
        <f>IF(U5142&gt;=AN5142-0.01,1,0)</f>
        <v/>
      </c>
      <c r="AV5142">
        <f>IF(V5142&gt;=AO5142-0.01,1,0)</f>
        <v/>
      </c>
      <c r="AW5142">
        <f>IF(W5142&gt;=AP5142-0.01,1,0)</f>
        <v/>
      </c>
      <c r="AX5142">
        <f>AQ5142*AR5142*AS5142*AT5142*AU5142*AV5142*AW5142</f>
        <v/>
      </c>
    </row>
    <row r="5143">
      <c r="A5143" t="inlineStr"/>
      <c r="B5143">
        <f>Assumptions!$B$60</f>
        <v/>
      </c>
      <c r="C5143" t="n">
        <v>0</v>
      </c>
      <c r="D5143" t="n">
        <v>0</v>
      </c>
      <c r="E5143" t="n">
        <v>0</v>
      </c>
      <c r="F5143" t="n">
        <v>1</v>
      </c>
      <c r="G5143" t="n">
        <v>1</v>
      </c>
      <c r="H5143" t="n">
        <v>1</v>
      </c>
      <c r="I5143" t="n">
        <v>1</v>
      </c>
      <c r="J5143">
        <f>(1-C5143)*Assumptions!$B$41+(1-D5143)*Assumptions!$B$33+(1-E5143)*Assumptions!$B$32+(1-F5143)*Assumptions!$B$31+(1-G5143)*Assumptions!$B$30+(1-H5143)*Assumptions!$B$29+(1-I5143)*Assumptions!$B$28</f>
        <v/>
      </c>
      <c r="K5143">
        <f>C5143*$J$232+D5143*$F$232+E5143*$G$232+F5143*Assumptions!$B$14+G5143*Assumptions!$B$13+H5143*Assumptions!$B$12+I5143*Assumptions!$B$11+$O$232+$S$232+Assumptions!$B$9</f>
        <v/>
      </c>
      <c r="L5143">
        <f>B5143-J5143</f>
        <v/>
      </c>
      <c r="M5143">
        <f>IF(K5143&gt;0,IF(L5143/K5143&gt;=Assumptions!$B$37,1,0),0)</f>
        <v/>
      </c>
      <c r="N5143">
        <f>K5143+M5143*Assumptions!$B$153</f>
        <v/>
      </c>
      <c r="O5143">
        <f>L5143+M5143*Assumptions!$B$153*Assumptions!$B$37</f>
        <v/>
      </c>
      <c r="P5143">
        <f>IF(N5143&gt;0,O5143/N5143,0)</f>
        <v/>
      </c>
      <c r="Q5143">
        <f>IF(C5143=1,P5143*$J$232,Assumptions!$B$41)</f>
        <v/>
      </c>
      <c r="R5143">
        <f>IF(D5143=1,P5143*$F$232,Assumptions!$B$33)</f>
        <v/>
      </c>
      <c r="S5143">
        <f>IF(E5143=1,P5143*$G$232,Assumptions!$B$32)</f>
        <v/>
      </c>
      <c r="T5143">
        <f>IF(F5143=1,P5143*Assumptions!$B$14,Assumptions!$B$31)</f>
        <v/>
      </c>
      <c r="U5143">
        <f>IF(G5143=1,P5143*Assumptions!$B$13,Assumptions!$B$30)</f>
        <v/>
      </c>
      <c r="V5143">
        <f>IF(H5143=1,P5143*Assumptions!$B$12,Assumptions!$B$29)</f>
        <v/>
      </c>
      <c r="W5143">
        <f>IF(I5143=1,P5143*Assumptions!$B$11,Assumptions!$B$28)</f>
        <v/>
      </c>
      <c r="X5143">
        <f>P5143*($O$232+$S$232)</f>
        <v/>
      </c>
      <c r="Y5143">
        <f>P5143*Assumptions!$B$9</f>
        <v/>
      </c>
      <c r="Z5143">
        <f>IF(M5143=1,(P5143-Assumptions!$B$37)*Assumptions!$B$153,0)</f>
        <v/>
      </c>
      <c r="AA5143">
        <f>Q5143+R5143+S5143+T5143+U5143+V5143+W5143+X5143+Y5143+Z5143</f>
        <v/>
      </c>
      <c r="AB5143" t="n">
        <v>15</v>
      </c>
      <c r="AC5143" t="n">
        <v>79</v>
      </c>
      <c r="AD5143" t="n">
        <v>47</v>
      </c>
      <c r="AE5143" t="n">
        <v>31</v>
      </c>
      <c r="AF5143" t="n">
        <v>7</v>
      </c>
      <c r="AG5143" t="n">
        <v>11</v>
      </c>
      <c r="AH5143" t="n">
        <v>13</v>
      </c>
      <c r="AI5143" t="n">
        <v>14</v>
      </c>
      <c r="AJ5143">
        <f>INDEX($Q$5128:$Q$5255,AC5143+1)</f>
        <v/>
      </c>
      <c r="AK5143">
        <f>INDEX($R$5128:$R$5255,AD5143+1)</f>
        <v/>
      </c>
      <c r="AL5143">
        <f>INDEX($S$5128:$S$5255,AE5143+1)</f>
        <v/>
      </c>
      <c r="AM5143">
        <f>INDEX($T$5128:$T$5255,AF5143+1)</f>
        <v/>
      </c>
      <c r="AN5143">
        <f>INDEX($U$5128:$U$5255,AG5143+1)</f>
        <v/>
      </c>
      <c r="AO5143">
        <f>INDEX($V$5128:$V$5255,AH5143+1)</f>
        <v/>
      </c>
      <c r="AP5143">
        <f>INDEX($W$5128:$W$5255,AI5143+1)</f>
        <v/>
      </c>
      <c r="AQ5143">
        <f>IF(Q5143&gt;=AJ5143-0.01,1,0)</f>
        <v/>
      </c>
      <c r="AR5143">
        <f>IF(R5143&gt;=AK5143-0.01,1,0)</f>
        <v/>
      </c>
      <c r="AS5143">
        <f>IF(S5143&gt;=AL5143-0.01,1,0)</f>
        <v/>
      </c>
      <c r="AT5143">
        <f>IF(T5143&gt;=AM5143-0.01,1,0)</f>
        <v/>
      </c>
      <c r="AU5143">
        <f>IF(U5143&gt;=AN5143-0.01,1,0)</f>
        <v/>
      </c>
      <c r="AV5143">
        <f>IF(V5143&gt;=AO5143-0.01,1,0)</f>
        <v/>
      </c>
      <c r="AW5143">
        <f>IF(W5143&gt;=AP5143-0.01,1,0)</f>
        <v/>
      </c>
      <c r="AX5143">
        <f>AQ5143*AR5143*AS5143*AT5143*AU5143*AV5143*AW5143</f>
        <v/>
      </c>
    </row>
    <row r="5144">
      <c r="A5144" t="inlineStr"/>
      <c r="B5144">
        <f>Assumptions!$B$60</f>
        <v/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0</v>
      </c>
      <c r="J5144">
        <f>(1-C5144)*Assumptions!$B$41+(1-D5144)*Assumptions!$B$33+(1-E5144)*Assumptions!$B$32+(1-F5144)*Assumptions!$B$31+(1-G5144)*Assumptions!$B$30+(1-H5144)*Assumptions!$B$29+(1-I5144)*Assumptions!$B$28</f>
        <v/>
      </c>
      <c r="K5144">
        <f>C5144*$J$232+D5144*$F$232+E5144*$G$232+F5144*Assumptions!$B$14+G5144*Assumptions!$B$13+H5144*Assumptions!$B$12+I5144*Assumptions!$B$11+$O$232+$S$232+Assumptions!$B$9</f>
        <v/>
      </c>
      <c r="L5144">
        <f>B5144-J5144</f>
        <v/>
      </c>
      <c r="M5144">
        <f>IF(K5144&gt;0,IF(L5144/K5144&gt;=Assumptions!$B$37,1,0),0)</f>
        <v/>
      </c>
      <c r="N5144">
        <f>K5144+M5144*Assumptions!$B$153</f>
        <v/>
      </c>
      <c r="O5144">
        <f>L5144+M5144*Assumptions!$B$153*Assumptions!$B$37</f>
        <v/>
      </c>
      <c r="P5144">
        <f>IF(N5144&gt;0,O5144/N5144,0)</f>
        <v/>
      </c>
      <c r="Q5144">
        <f>IF(C5144=1,P5144*$J$232,Assumptions!$B$41)</f>
        <v/>
      </c>
      <c r="R5144">
        <f>IF(D5144=1,P5144*$F$232,Assumptions!$B$33)</f>
        <v/>
      </c>
      <c r="S5144">
        <f>IF(E5144=1,P5144*$G$232,Assumptions!$B$32)</f>
        <v/>
      </c>
      <c r="T5144">
        <f>IF(F5144=1,P5144*Assumptions!$B$14,Assumptions!$B$31)</f>
        <v/>
      </c>
      <c r="U5144">
        <f>IF(G5144=1,P5144*Assumptions!$B$13,Assumptions!$B$30)</f>
        <v/>
      </c>
      <c r="V5144">
        <f>IF(H5144=1,P5144*Assumptions!$B$12,Assumptions!$B$29)</f>
        <v/>
      </c>
      <c r="W5144">
        <f>IF(I5144=1,P5144*Assumptions!$B$11,Assumptions!$B$28)</f>
        <v/>
      </c>
      <c r="X5144">
        <f>P5144*($O$232+$S$232)</f>
        <v/>
      </c>
      <c r="Y5144">
        <f>P5144*Assumptions!$B$9</f>
        <v/>
      </c>
      <c r="Z5144">
        <f>IF(M5144=1,(P5144-Assumptions!$B$37)*Assumptions!$B$153,0)</f>
        <v/>
      </c>
      <c r="AA5144">
        <f>Q5144+R5144+S5144+T5144+U5144+V5144+W5144+X5144+Y5144+Z5144</f>
        <v/>
      </c>
      <c r="AB5144" t="n">
        <v>16</v>
      </c>
      <c r="AC5144" t="n">
        <v>80</v>
      </c>
      <c r="AD5144" t="n">
        <v>48</v>
      </c>
      <c r="AE5144" t="n">
        <v>0</v>
      </c>
      <c r="AF5144" t="n">
        <v>24</v>
      </c>
      <c r="AG5144" t="n">
        <v>20</v>
      </c>
      <c r="AH5144" t="n">
        <v>18</v>
      </c>
      <c r="AI5144" t="n">
        <v>17</v>
      </c>
      <c r="AJ5144">
        <f>INDEX($Q$5128:$Q$5255,AC5144+1)</f>
        <v/>
      </c>
      <c r="AK5144">
        <f>INDEX($R$5128:$R$5255,AD5144+1)</f>
        <v/>
      </c>
      <c r="AL5144">
        <f>INDEX($S$5128:$S$5255,AE5144+1)</f>
        <v/>
      </c>
      <c r="AM5144">
        <f>INDEX($T$5128:$T$5255,AF5144+1)</f>
        <v/>
      </c>
      <c r="AN5144">
        <f>INDEX($U$5128:$U$5255,AG5144+1)</f>
        <v/>
      </c>
      <c r="AO5144">
        <f>INDEX($V$5128:$V$5255,AH5144+1)</f>
        <v/>
      </c>
      <c r="AP5144">
        <f>INDEX($W$5128:$W$5255,AI5144+1)</f>
        <v/>
      </c>
      <c r="AQ5144">
        <f>IF(Q5144&gt;=AJ5144-0.01,1,0)</f>
        <v/>
      </c>
      <c r="AR5144">
        <f>IF(R5144&gt;=AK5144-0.01,1,0)</f>
        <v/>
      </c>
      <c r="AS5144">
        <f>IF(S5144&gt;=AL5144-0.01,1,0)</f>
        <v/>
      </c>
      <c r="AT5144">
        <f>IF(T5144&gt;=AM5144-0.01,1,0)</f>
        <v/>
      </c>
      <c r="AU5144">
        <f>IF(U5144&gt;=AN5144-0.01,1,0)</f>
        <v/>
      </c>
      <c r="AV5144">
        <f>IF(V5144&gt;=AO5144-0.01,1,0)</f>
        <v/>
      </c>
      <c r="AW5144">
        <f>IF(W5144&gt;=AP5144-0.01,1,0)</f>
        <v/>
      </c>
      <c r="AX5144">
        <f>AQ5144*AR5144*AS5144*AT5144*AU5144*AV5144*AW5144</f>
        <v/>
      </c>
    </row>
    <row r="5145">
      <c r="A5145" t="inlineStr"/>
      <c r="B5145">
        <f>Assumptions!$B$60</f>
        <v/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>
        <f>(1-C5145)*Assumptions!$B$41+(1-D5145)*Assumptions!$B$33+(1-E5145)*Assumptions!$B$32+(1-F5145)*Assumptions!$B$31+(1-G5145)*Assumptions!$B$30+(1-H5145)*Assumptions!$B$29+(1-I5145)*Assumptions!$B$28</f>
        <v/>
      </c>
      <c r="K5145">
        <f>C5145*$J$232+D5145*$F$232+E5145*$G$232+F5145*Assumptions!$B$14+G5145*Assumptions!$B$13+H5145*Assumptions!$B$12+I5145*Assumptions!$B$11+$O$232+$S$232+Assumptions!$B$9</f>
        <v/>
      </c>
      <c r="L5145">
        <f>B5145-J5145</f>
        <v/>
      </c>
      <c r="M5145">
        <f>IF(K5145&gt;0,IF(L5145/K5145&gt;=Assumptions!$B$37,1,0),0)</f>
        <v/>
      </c>
      <c r="N5145">
        <f>K5145+M5145*Assumptions!$B$153</f>
        <v/>
      </c>
      <c r="O5145">
        <f>L5145+M5145*Assumptions!$B$153*Assumptions!$B$37</f>
        <v/>
      </c>
      <c r="P5145">
        <f>IF(N5145&gt;0,O5145/N5145,0)</f>
        <v/>
      </c>
      <c r="Q5145">
        <f>IF(C5145=1,P5145*$J$232,Assumptions!$B$41)</f>
        <v/>
      </c>
      <c r="R5145">
        <f>IF(D5145=1,P5145*$F$232,Assumptions!$B$33)</f>
        <v/>
      </c>
      <c r="S5145">
        <f>IF(E5145=1,P5145*$G$232,Assumptions!$B$32)</f>
        <v/>
      </c>
      <c r="T5145">
        <f>IF(F5145=1,P5145*Assumptions!$B$14,Assumptions!$B$31)</f>
        <v/>
      </c>
      <c r="U5145">
        <f>IF(G5145=1,P5145*Assumptions!$B$13,Assumptions!$B$30)</f>
        <v/>
      </c>
      <c r="V5145">
        <f>IF(H5145=1,P5145*Assumptions!$B$12,Assumptions!$B$29)</f>
        <v/>
      </c>
      <c r="W5145">
        <f>IF(I5145=1,P5145*Assumptions!$B$11,Assumptions!$B$28)</f>
        <v/>
      </c>
      <c r="X5145">
        <f>P5145*($O$232+$S$232)</f>
        <v/>
      </c>
      <c r="Y5145">
        <f>P5145*Assumptions!$B$9</f>
        <v/>
      </c>
      <c r="Z5145">
        <f>IF(M5145=1,(P5145-Assumptions!$B$37)*Assumptions!$B$153,0)</f>
        <v/>
      </c>
      <c r="AA5145">
        <f>Q5145+R5145+S5145+T5145+U5145+V5145+W5145+X5145+Y5145+Z5145</f>
        <v/>
      </c>
      <c r="AB5145" t="n">
        <v>17</v>
      </c>
      <c r="AC5145" t="n">
        <v>81</v>
      </c>
      <c r="AD5145" t="n">
        <v>49</v>
      </c>
      <c r="AE5145" t="n">
        <v>1</v>
      </c>
      <c r="AF5145" t="n">
        <v>25</v>
      </c>
      <c r="AG5145" t="n">
        <v>21</v>
      </c>
      <c r="AH5145" t="n">
        <v>19</v>
      </c>
      <c r="AI5145" t="n">
        <v>16</v>
      </c>
      <c r="AJ5145">
        <f>INDEX($Q$5128:$Q$5255,AC5145+1)</f>
        <v/>
      </c>
      <c r="AK5145">
        <f>INDEX($R$5128:$R$5255,AD5145+1)</f>
        <v/>
      </c>
      <c r="AL5145">
        <f>INDEX($S$5128:$S$5255,AE5145+1)</f>
        <v/>
      </c>
      <c r="AM5145">
        <f>INDEX($T$5128:$T$5255,AF5145+1)</f>
        <v/>
      </c>
      <c r="AN5145">
        <f>INDEX($U$5128:$U$5255,AG5145+1)</f>
        <v/>
      </c>
      <c r="AO5145">
        <f>INDEX($V$5128:$V$5255,AH5145+1)</f>
        <v/>
      </c>
      <c r="AP5145">
        <f>INDEX($W$5128:$W$5255,AI5145+1)</f>
        <v/>
      </c>
      <c r="AQ5145">
        <f>IF(Q5145&gt;=AJ5145-0.01,1,0)</f>
        <v/>
      </c>
      <c r="AR5145">
        <f>IF(R5145&gt;=AK5145-0.01,1,0)</f>
        <v/>
      </c>
      <c r="AS5145">
        <f>IF(S5145&gt;=AL5145-0.01,1,0)</f>
        <v/>
      </c>
      <c r="AT5145">
        <f>IF(T5145&gt;=AM5145-0.01,1,0)</f>
        <v/>
      </c>
      <c r="AU5145">
        <f>IF(U5145&gt;=AN5145-0.01,1,0)</f>
        <v/>
      </c>
      <c r="AV5145">
        <f>IF(V5145&gt;=AO5145-0.01,1,0)</f>
        <v/>
      </c>
      <c r="AW5145">
        <f>IF(W5145&gt;=AP5145-0.01,1,0)</f>
        <v/>
      </c>
      <c r="AX5145">
        <f>AQ5145*AR5145*AS5145*AT5145*AU5145*AV5145*AW5145</f>
        <v/>
      </c>
    </row>
    <row r="5146">
      <c r="A5146" t="inlineStr"/>
      <c r="B5146">
        <f>Assumptions!$B$60</f>
        <v/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  <c r="I5146" t="n">
        <v>0</v>
      </c>
      <c r="J5146">
        <f>(1-C5146)*Assumptions!$B$41+(1-D5146)*Assumptions!$B$33+(1-E5146)*Assumptions!$B$32+(1-F5146)*Assumptions!$B$31+(1-G5146)*Assumptions!$B$30+(1-H5146)*Assumptions!$B$29+(1-I5146)*Assumptions!$B$28</f>
        <v/>
      </c>
      <c r="K5146">
        <f>C5146*$J$232+D5146*$F$232+E5146*$G$232+F5146*Assumptions!$B$14+G5146*Assumptions!$B$13+H5146*Assumptions!$B$12+I5146*Assumptions!$B$11+$O$232+$S$232+Assumptions!$B$9</f>
        <v/>
      </c>
      <c r="L5146">
        <f>B5146-J5146</f>
        <v/>
      </c>
      <c r="M5146">
        <f>IF(K5146&gt;0,IF(L5146/K5146&gt;=Assumptions!$B$37,1,0),0)</f>
        <v/>
      </c>
      <c r="N5146">
        <f>K5146+M5146*Assumptions!$B$153</f>
        <v/>
      </c>
      <c r="O5146">
        <f>L5146+M5146*Assumptions!$B$153*Assumptions!$B$37</f>
        <v/>
      </c>
      <c r="P5146">
        <f>IF(N5146&gt;0,O5146/N5146,0)</f>
        <v/>
      </c>
      <c r="Q5146">
        <f>IF(C5146=1,P5146*$J$232,Assumptions!$B$41)</f>
        <v/>
      </c>
      <c r="R5146">
        <f>IF(D5146=1,P5146*$F$232,Assumptions!$B$33)</f>
        <v/>
      </c>
      <c r="S5146">
        <f>IF(E5146=1,P5146*$G$232,Assumptions!$B$32)</f>
        <v/>
      </c>
      <c r="T5146">
        <f>IF(F5146=1,P5146*Assumptions!$B$14,Assumptions!$B$31)</f>
        <v/>
      </c>
      <c r="U5146">
        <f>IF(G5146=1,P5146*Assumptions!$B$13,Assumptions!$B$30)</f>
        <v/>
      </c>
      <c r="V5146">
        <f>IF(H5146=1,P5146*Assumptions!$B$12,Assumptions!$B$29)</f>
        <v/>
      </c>
      <c r="W5146">
        <f>IF(I5146=1,P5146*Assumptions!$B$11,Assumptions!$B$28)</f>
        <v/>
      </c>
      <c r="X5146">
        <f>P5146*($O$232+$S$232)</f>
        <v/>
      </c>
      <c r="Y5146">
        <f>P5146*Assumptions!$B$9</f>
        <v/>
      </c>
      <c r="Z5146">
        <f>IF(M5146=1,(P5146-Assumptions!$B$37)*Assumptions!$B$153,0)</f>
        <v/>
      </c>
      <c r="AA5146">
        <f>Q5146+R5146+S5146+T5146+U5146+V5146+W5146+X5146+Y5146+Z5146</f>
        <v/>
      </c>
      <c r="AB5146" t="n">
        <v>18</v>
      </c>
      <c r="AC5146" t="n">
        <v>82</v>
      </c>
      <c r="AD5146" t="n">
        <v>50</v>
      </c>
      <c r="AE5146" t="n">
        <v>2</v>
      </c>
      <c r="AF5146" t="n">
        <v>26</v>
      </c>
      <c r="AG5146" t="n">
        <v>22</v>
      </c>
      <c r="AH5146" t="n">
        <v>16</v>
      </c>
      <c r="AI5146" t="n">
        <v>19</v>
      </c>
      <c r="AJ5146">
        <f>INDEX($Q$5128:$Q$5255,AC5146+1)</f>
        <v/>
      </c>
      <c r="AK5146">
        <f>INDEX($R$5128:$R$5255,AD5146+1)</f>
        <v/>
      </c>
      <c r="AL5146">
        <f>INDEX($S$5128:$S$5255,AE5146+1)</f>
        <v/>
      </c>
      <c r="AM5146">
        <f>INDEX($T$5128:$T$5255,AF5146+1)</f>
        <v/>
      </c>
      <c r="AN5146">
        <f>INDEX($U$5128:$U$5255,AG5146+1)</f>
        <v/>
      </c>
      <c r="AO5146">
        <f>INDEX($V$5128:$V$5255,AH5146+1)</f>
        <v/>
      </c>
      <c r="AP5146">
        <f>INDEX($W$5128:$W$5255,AI5146+1)</f>
        <v/>
      </c>
      <c r="AQ5146">
        <f>IF(Q5146&gt;=AJ5146-0.01,1,0)</f>
        <v/>
      </c>
      <c r="AR5146">
        <f>IF(R5146&gt;=AK5146-0.01,1,0)</f>
        <v/>
      </c>
      <c r="AS5146">
        <f>IF(S5146&gt;=AL5146-0.01,1,0)</f>
        <v/>
      </c>
      <c r="AT5146">
        <f>IF(T5146&gt;=AM5146-0.01,1,0)</f>
        <v/>
      </c>
      <c r="AU5146">
        <f>IF(U5146&gt;=AN5146-0.01,1,0)</f>
        <v/>
      </c>
      <c r="AV5146">
        <f>IF(V5146&gt;=AO5146-0.01,1,0)</f>
        <v/>
      </c>
      <c r="AW5146">
        <f>IF(W5146&gt;=AP5146-0.01,1,0)</f>
        <v/>
      </c>
      <c r="AX5146">
        <f>AQ5146*AR5146*AS5146*AT5146*AU5146*AV5146*AW5146</f>
        <v/>
      </c>
    </row>
    <row r="5147">
      <c r="A5147" t="inlineStr"/>
      <c r="B5147">
        <f>Assumptions!$B$60</f>
        <v/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  <c r="I5147" t="n">
        <v>1</v>
      </c>
      <c r="J5147">
        <f>(1-C5147)*Assumptions!$B$41+(1-D5147)*Assumptions!$B$33+(1-E5147)*Assumptions!$B$32+(1-F5147)*Assumptions!$B$31+(1-G5147)*Assumptions!$B$30+(1-H5147)*Assumptions!$B$29+(1-I5147)*Assumptions!$B$28</f>
        <v/>
      </c>
      <c r="K5147">
        <f>C5147*$J$232+D5147*$F$232+E5147*$G$232+F5147*Assumptions!$B$14+G5147*Assumptions!$B$13+H5147*Assumptions!$B$12+I5147*Assumptions!$B$11+$O$232+$S$232+Assumptions!$B$9</f>
        <v/>
      </c>
      <c r="L5147">
        <f>B5147-J5147</f>
        <v/>
      </c>
      <c r="M5147">
        <f>IF(K5147&gt;0,IF(L5147/K5147&gt;=Assumptions!$B$37,1,0),0)</f>
        <v/>
      </c>
      <c r="N5147">
        <f>K5147+M5147*Assumptions!$B$153</f>
        <v/>
      </c>
      <c r="O5147">
        <f>L5147+M5147*Assumptions!$B$153*Assumptions!$B$37</f>
        <v/>
      </c>
      <c r="P5147">
        <f>IF(N5147&gt;0,O5147/N5147,0)</f>
        <v/>
      </c>
      <c r="Q5147">
        <f>IF(C5147=1,P5147*$J$232,Assumptions!$B$41)</f>
        <v/>
      </c>
      <c r="R5147">
        <f>IF(D5147=1,P5147*$F$232,Assumptions!$B$33)</f>
        <v/>
      </c>
      <c r="S5147">
        <f>IF(E5147=1,P5147*$G$232,Assumptions!$B$32)</f>
        <v/>
      </c>
      <c r="T5147">
        <f>IF(F5147=1,P5147*Assumptions!$B$14,Assumptions!$B$31)</f>
        <v/>
      </c>
      <c r="U5147">
        <f>IF(G5147=1,P5147*Assumptions!$B$13,Assumptions!$B$30)</f>
        <v/>
      </c>
      <c r="V5147">
        <f>IF(H5147=1,P5147*Assumptions!$B$12,Assumptions!$B$29)</f>
        <v/>
      </c>
      <c r="W5147">
        <f>IF(I5147=1,P5147*Assumptions!$B$11,Assumptions!$B$28)</f>
        <v/>
      </c>
      <c r="X5147">
        <f>P5147*($O$232+$S$232)</f>
        <v/>
      </c>
      <c r="Y5147">
        <f>P5147*Assumptions!$B$9</f>
        <v/>
      </c>
      <c r="Z5147">
        <f>IF(M5147=1,(P5147-Assumptions!$B$37)*Assumptions!$B$153,0)</f>
        <v/>
      </c>
      <c r="AA5147">
        <f>Q5147+R5147+S5147+T5147+U5147+V5147+W5147+X5147+Y5147+Z5147</f>
        <v/>
      </c>
      <c r="AB5147" t="n">
        <v>19</v>
      </c>
      <c r="AC5147" t="n">
        <v>83</v>
      </c>
      <c r="AD5147" t="n">
        <v>51</v>
      </c>
      <c r="AE5147" t="n">
        <v>3</v>
      </c>
      <c r="AF5147" t="n">
        <v>27</v>
      </c>
      <c r="AG5147" t="n">
        <v>23</v>
      </c>
      <c r="AH5147" t="n">
        <v>17</v>
      </c>
      <c r="AI5147" t="n">
        <v>18</v>
      </c>
      <c r="AJ5147">
        <f>INDEX($Q$5128:$Q$5255,AC5147+1)</f>
        <v/>
      </c>
      <c r="AK5147">
        <f>INDEX($R$5128:$R$5255,AD5147+1)</f>
        <v/>
      </c>
      <c r="AL5147">
        <f>INDEX($S$5128:$S$5255,AE5147+1)</f>
        <v/>
      </c>
      <c r="AM5147">
        <f>INDEX($T$5128:$T$5255,AF5147+1)</f>
        <v/>
      </c>
      <c r="AN5147">
        <f>INDEX($U$5128:$U$5255,AG5147+1)</f>
        <v/>
      </c>
      <c r="AO5147">
        <f>INDEX($V$5128:$V$5255,AH5147+1)</f>
        <v/>
      </c>
      <c r="AP5147">
        <f>INDEX($W$5128:$W$5255,AI5147+1)</f>
        <v/>
      </c>
      <c r="AQ5147">
        <f>IF(Q5147&gt;=AJ5147-0.01,1,0)</f>
        <v/>
      </c>
      <c r="AR5147">
        <f>IF(R5147&gt;=AK5147-0.01,1,0)</f>
        <v/>
      </c>
      <c r="AS5147">
        <f>IF(S5147&gt;=AL5147-0.01,1,0)</f>
        <v/>
      </c>
      <c r="AT5147">
        <f>IF(T5147&gt;=AM5147-0.01,1,0)</f>
        <v/>
      </c>
      <c r="AU5147">
        <f>IF(U5147&gt;=AN5147-0.01,1,0)</f>
        <v/>
      </c>
      <c r="AV5147">
        <f>IF(V5147&gt;=AO5147-0.01,1,0)</f>
        <v/>
      </c>
      <c r="AW5147">
        <f>IF(W5147&gt;=AP5147-0.01,1,0)</f>
        <v/>
      </c>
      <c r="AX5147">
        <f>AQ5147*AR5147*AS5147*AT5147*AU5147*AV5147*AW5147</f>
        <v/>
      </c>
    </row>
    <row r="5148">
      <c r="A5148" t="inlineStr"/>
      <c r="B5148">
        <f>Assumptions!$B$60</f>
        <v/>
      </c>
      <c r="C5148" t="n">
        <v>0</v>
      </c>
      <c r="D5148" t="n">
        <v>0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>
        <f>(1-C5148)*Assumptions!$B$41+(1-D5148)*Assumptions!$B$33+(1-E5148)*Assumptions!$B$32+(1-F5148)*Assumptions!$B$31+(1-G5148)*Assumptions!$B$30+(1-H5148)*Assumptions!$B$29+(1-I5148)*Assumptions!$B$28</f>
        <v/>
      </c>
      <c r="K5148">
        <f>C5148*$J$232+D5148*$F$232+E5148*$G$232+F5148*Assumptions!$B$14+G5148*Assumptions!$B$13+H5148*Assumptions!$B$12+I5148*Assumptions!$B$11+$O$232+$S$232+Assumptions!$B$9</f>
        <v/>
      </c>
      <c r="L5148">
        <f>B5148-J5148</f>
        <v/>
      </c>
      <c r="M5148">
        <f>IF(K5148&gt;0,IF(L5148/K5148&gt;=Assumptions!$B$37,1,0),0)</f>
        <v/>
      </c>
      <c r="N5148">
        <f>K5148+M5148*Assumptions!$B$153</f>
        <v/>
      </c>
      <c r="O5148">
        <f>L5148+M5148*Assumptions!$B$153*Assumptions!$B$37</f>
        <v/>
      </c>
      <c r="P5148">
        <f>IF(N5148&gt;0,O5148/N5148,0)</f>
        <v/>
      </c>
      <c r="Q5148">
        <f>IF(C5148=1,P5148*$J$232,Assumptions!$B$41)</f>
        <v/>
      </c>
      <c r="R5148">
        <f>IF(D5148=1,P5148*$F$232,Assumptions!$B$33)</f>
        <v/>
      </c>
      <c r="S5148">
        <f>IF(E5148=1,P5148*$G$232,Assumptions!$B$32)</f>
        <v/>
      </c>
      <c r="T5148">
        <f>IF(F5148=1,P5148*Assumptions!$B$14,Assumptions!$B$31)</f>
        <v/>
      </c>
      <c r="U5148">
        <f>IF(G5148=1,P5148*Assumptions!$B$13,Assumptions!$B$30)</f>
        <v/>
      </c>
      <c r="V5148">
        <f>IF(H5148=1,P5148*Assumptions!$B$12,Assumptions!$B$29)</f>
        <v/>
      </c>
      <c r="W5148">
        <f>IF(I5148=1,P5148*Assumptions!$B$11,Assumptions!$B$28)</f>
        <v/>
      </c>
      <c r="X5148">
        <f>P5148*($O$232+$S$232)</f>
        <v/>
      </c>
      <c r="Y5148">
        <f>P5148*Assumptions!$B$9</f>
        <v/>
      </c>
      <c r="Z5148">
        <f>IF(M5148=1,(P5148-Assumptions!$B$37)*Assumptions!$B$153,0)</f>
        <v/>
      </c>
      <c r="AA5148">
        <f>Q5148+R5148+S5148+T5148+U5148+V5148+W5148+X5148+Y5148+Z5148</f>
        <v/>
      </c>
      <c r="AB5148" t="n">
        <v>20</v>
      </c>
      <c r="AC5148" t="n">
        <v>84</v>
      </c>
      <c r="AD5148" t="n">
        <v>52</v>
      </c>
      <c r="AE5148" t="n">
        <v>4</v>
      </c>
      <c r="AF5148" t="n">
        <v>28</v>
      </c>
      <c r="AG5148" t="n">
        <v>16</v>
      </c>
      <c r="AH5148" t="n">
        <v>22</v>
      </c>
      <c r="AI5148" t="n">
        <v>21</v>
      </c>
      <c r="AJ5148">
        <f>INDEX($Q$5128:$Q$5255,AC5148+1)</f>
        <v/>
      </c>
      <c r="AK5148">
        <f>INDEX($R$5128:$R$5255,AD5148+1)</f>
        <v/>
      </c>
      <c r="AL5148">
        <f>INDEX($S$5128:$S$5255,AE5148+1)</f>
        <v/>
      </c>
      <c r="AM5148">
        <f>INDEX($T$5128:$T$5255,AF5148+1)</f>
        <v/>
      </c>
      <c r="AN5148">
        <f>INDEX($U$5128:$U$5255,AG5148+1)</f>
        <v/>
      </c>
      <c r="AO5148">
        <f>INDEX($V$5128:$V$5255,AH5148+1)</f>
        <v/>
      </c>
      <c r="AP5148">
        <f>INDEX($W$5128:$W$5255,AI5148+1)</f>
        <v/>
      </c>
      <c r="AQ5148">
        <f>IF(Q5148&gt;=AJ5148-0.01,1,0)</f>
        <v/>
      </c>
      <c r="AR5148">
        <f>IF(R5148&gt;=AK5148-0.01,1,0)</f>
        <v/>
      </c>
      <c r="AS5148">
        <f>IF(S5148&gt;=AL5148-0.01,1,0)</f>
        <v/>
      </c>
      <c r="AT5148">
        <f>IF(T5148&gt;=AM5148-0.01,1,0)</f>
        <v/>
      </c>
      <c r="AU5148">
        <f>IF(U5148&gt;=AN5148-0.01,1,0)</f>
        <v/>
      </c>
      <c r="AV5148">
        <f>IF(V5148&gt;=AO5148-0.01,1,0)</f>
        <v/>
      </c>
      <c r="AW5148">
        <f>IF(W5148&gt;=AP5148-0.01,1,0)</f>
        <v/>
      </c>
      <c r="AX5148">
        <f>AQ5148*AR5148*AS5148*AT5148*AU5148*AV5148*AW5148</f>
        <v/>
      </c>
    </row>
    <row r="5149">
      <c r="A5149" t="inlineStr"/>
      <c r="B5149">
        <f>Assumptions!$B$60</f>
        <v/>
      </c>
      <c r="C5149" t="n">
        <v>0</v>
      </c>
      <c r="D5149" t="n">
        <v>0</v>
      </c>
      <c r="E5149" t="n">
        <v>1</v>
      </c>
      <c r="F5149" t="n">
        <v>0</v>
      </c>
      <c r="G5149" t="n">
        <v>1</v>
      </c>
      <c r="H5149" t="n">
        <v>0</v>
      </c>
      <c r="I5149" t="n">
        <v>1</v>
      </c>
      <c r="J5149">
        <f>(1-C5149)*Assumptions!$B$41+(1-D5149)*Assumptions!$B$33+(1-E5149)*Assumptions!$B$32+(1-F5149)*Assumptions!$B$31+(1-G5149)*Assumptions!$B$30+(1-H5149)*Assumptions!$B$29+(1-I5149)*Assumptions!$B$28</f>
        <v/>
      </c>
      <c r="K5149">
        <f>C5149*$J$232+D5149*$F$232+E5149*$G$232+F5149*Assumptions!$B$14+G5149*Assumptions!$B$13+H5149*Assumptions!$B$12+I5149*Assumptions!$B$11+$O$232+$S$232+Assumptions!$B$9</f>
        <v/>
      </c>
      <c r="L5149">
        <f>B5149-J5149</f>
        <v/>
      </c>
      <c r="M5149">
        <f>IF(K5149&gt;0,IF(L5149/K5149&gt;=Assumptions!$B$37,1,0),0)</f>
        <v/>
      </c>
      <c r="N5149">
        <f>K5149+M5149*Assumptions!$B$153</f>
        <v/>
      </c>
      <c r="O5149">
        <f>L5149+M5149*Assumptions!$B$153*Assumptions!$B$37</f>
        <v/>
      </c>
      <c r="P5149">
        <f>IF(N5149&gt;0,O5149/N5149,0)</f>
        <v/>
      </c>
      <c r="Q5149">
        <f>IF(C5149=1,P5149*$J$232,Assumptions!$B$41)</f>
        <v/>
      </c>
      <c r="R5149">
        <f>IF(D5149=1,P5149*$F$232,Assumptions!$B$33)</f>
        <v/>
      </c>
      <c r="S5149">
        <f>IF(E5149=1,P5149*$G$232,Assumptions!$B$32)</f>
        <v/>
      </c>
      <c r="T5149">
        <f>IF(F5149=1,P5149*Assumptions!$B$14,Assumptions!$B$31)</f>
        <v/>
      </c>
      <c r="U5149">
        <f>IF(G5149=1,P5149*Assumptions!$B$13,Assumptions!$B$30)</f>
        <v/>
      </c>
      <c r="V5149">
        <f>IF(H5149=1,P5149*Assumptions!$B$12,Assumptions!$B$29)</f>
        <v/>
      </c>
      <c r="W5149">
        <f>IF(I5149=1,P5149*Assumptions!$B$11,Assumptions!$B$28)</f>
        <v/>
      </c>
      <c r="X5149">
        <f>P5149*($O$232+$S$232)</f>
        <v/>
      </c>
      <c r="Y5149">
        <f>P5149*Assumptions!$B$9</f>
        <v/>
      </c>
      <c r="Z5149">
        <f>IF(M5149=1,(P5149-Assumptions!$B$37)*Assumptions!$B$153,0)</f>
        <v/>
      </c>
      <c r="AA5149">
        <f>Q5149+R5149+S5149+T5149+U5149+V5149+W5149+X5149+Y5149+Z5149</f>
        <v/>
      </c>
      <c r="AB5149" t="n">
        <v>21</v>
      </c>
      <c r="AC5149" t="n">
        <v>85</v>
      </c>
      <c r="AD5149" t="n">
        <v>53</v>
      </c>
      <c r="AE5149" t="n">
        <v>5</v>
      </c>
      <c r="AF5149" t="n">
        <v>29</v>
      </c>
      <c r="AG5149" t="n">
        <v>17</v>
      </c>
      <c r="AH5149" t="n">
        <v>23</v>
      </c>
      <c r="AI5149" t="n">
        <v>20</v>
      </c>
      <c r="AJ5149">
        <f>INDEX($Q$5128:$Q$5255,AC5149+1)</f>
        <v/>
      </c>
      <c r="AK5149">
        <f>INDEX($R$5128:$R$5255,AD5149+1)</f>
        <v/>
      </c>
      <c r="AL5149">
        <f>INDEX($S$5128:$S$5255,AE5149+1)</f>
        <v/>
      </c>
      <c r="AM5149">
        <f>INDEX($T$5128:$T$5255,AF5149+1)</f>
        <v/>
      </c>
      <c r="AN5149">
        <f>INDEX($U$5128:$U$5255,AG5149+1)</f>
        <v/>
      </c>
      <c r="AO5149">
        <f>INDEX($V$5128:$V$5255,AH5149+1)</f>
        <v/>
      </c>
      <c r="AP5149">
        <f>INDEX($W$5128:$W$5255,AI5149+1)</f>
        <v/>
      </c>
      <c r="AQ5149">
        <f>IF(Q5149&gt;=AJ5149-0.01,1,0)</f>
        <v/>
      </c>
      <c r="AR5149">
        <f>IF(R5149&gt;=AK5149-0.01,1,0)</f>
        <v/>
      </c>
      <c r="AS5149">
        <f>IF(S5149&gt;=AL5149-0.01,1,0)</f>
        <v/>
      </c>
      <c r="AT5149">
        <f>IF(T5149&gt;=AM5149-0.01,1,0)</f>
        <v/>
      </c>
      <c r="AU5149">
        <f>IF(U5149&gt;=AN5149-0.01,1,0)</f>
        <v/>
      </c>
      <c r="AV5149">
        <f>IF(V5149&gt;=AO5149-0.01,1,0)</f>
        <v/>
      </c>
      <c r="AW5149">
        <f>IF(W5149&gt;=AP5149-0.01,1,0)</f>
        <v/>
      </c>
      <c r="AX5149">
        <f>AQ5149*AR5149*AS5149*AT5149*AU5149*AV5149*AW5149</f>
        <v/>
      </c>
    </row>
    <row r="5150">
      <c r="A5150" t="inlineStr"/>
      <c r="B5150">
        <f>Assumptions!$B$60</f>
        <v/>
      </c>
      <c r="C5150" t="n">
        <v>0</v>
      </c>
      <c r="D5150" t="n">
        <v>0</v>
      </c>
      <c r="E5150" t="n">
        <v>1</v>
      </c>
      <c r="F5150" t="n">
        <v>0</v>
      </c>
      <c r="G5150" t="n">
        <v>1</v>
      </c>
      <c r="H5150" t="n">
        <v>1</v>
      </c>
      <c r="I5150" t="n">
        <v>0</v>
      </c>
      <c r="J5150">
        <f>(1-C5150)*Assumptions!$B$41+(1-D5150)*Assumptions!$B$33+(1-E5150)*Assumptions!$B$32+(1-F5150)*Assumptions!$B$31+(1-G5150)*Assumptions!$B$30+(1-H5150)*Assumptions!$B$29+(1-I5150)*Assumptions!$B$28</f>
        <v/>
      </c>
      <c r="K5150">
        <f>C5150*$J$232+D5150*$F$232+E5150*$G$232+F5150*Assumptions!$B$14+G5150*Assumptions!$B$13+H5150*Assumptions!$B$12+I5150*Assumptions!$B$11+$O$232+$S$232+Assumptions!$B$9</f>
        <v/>
      </c>
      <c r="L5150">
        <f>B5150-J5150</f>
        <v/>
      </c>
      <c r="M5150">
        <f>IF(K5150&gt;0,IF(L5150/K5150&gt;=Assumptions!$B$37,1,0),0)</f>
        <v/>
      </c>
      <c r="N5150">
        <f>K5150+M5150*Assumptions!$B$153</f>
        <v/>
      </c>
      <c r="O5150">
        <f>L5150+M5150*Assumptions!$B$153*Assumptions!$B$37</f>
        <v/>
      </c>
      <c r="P5150">
        <f>IF(N5150&gt;0,O5150/N5150,0)</f>
        <v/>
      </c>
      <c r="Q5150">
        <f>IF(C5150=1,P5150*$J$232,Assumptions!$B$41)</f>
        <v/>
      </c>
      <c r="R5150">
        <f>IF(D5150=1,P5150*$F$232,Assumptions!$B$33)</f>
        <v/>
      </c>
      <c r="S5150">
        <f>IF(E5150=1,P5150*$G$232,Assumptions!$B$32)</f>
        <v/>
      </c>
      <c r="T5150">
        <f>IF(F5150=1,P5150*Assumptions!$B$14,Assumptions!$B$31)</f>
        <v/>
      </c>
      <c r="U5150">
        <f>IF(G5150=1,P5150*Assumptions!$B$13,Assumptions!$B$30)</f>
        <v/>
      </c>
      <c r="V5150">
        <f>IF(H5150=1,P5150*Assumptions!$B$12,Assumptions!$B$29)</f>
        <v/>
      </c>
      <c r="W5150">
        <f>IF(I5150=1,P5150*Assumptions!$B$11,Assumptions!$B$28)</f>
        <v/>
      </c>
      <c r="X5150">
        <f>P5150*($O$232+$S$232)</f>
        <v/>
      </c>
      <c r="Y5150">
        <f>P5150*Assumptions!$B$9</f>
        <v/>
      </c>
      <c r="Z5150">
        <f>IF(M5150=1,(P5150-Assumptions!$B$37)*Assumptions!$B$153,0)</f>
        <v/>
      </c>
      <c r="AA5150">
        <f>Q5150+R5150+S5150+T5150+U5150+V5150+W5150+X5150+Y5150+Z5150</f>
        <v/>
      </c>
      <c r="AB5150" t="n">
        <v>22</v>
      </c>
      <c r="AC5150" t="n">
        <v>86</v>
      </c>
      <c r="AD5150" t="n">
        <v>54</v>
      </c>
      <c r="AE5150" t="n">
        <v>6</v>
      </c>
      <c r="AF5150" t="n">
        <v>30</v>
      </c>
      <c r="AG5150" t="n">
        <v>18</v>
      </c>
      <c r="AH5150" t="n">
        <v>20</v>
      </c>
      <c r="AI5150" t="n">
        <v>23</v>
      </c>
      <c r="AJ5150">
        <f>INDEX($Q$5128:$Q$5255,AC5150+1)</f>
        <v/>
      </c>
      <c r="AK5150">
        <f>INDEX($R$5128:$R$5255,AD5150+1)</f>
        <v/>
      </c>
      <c r="AL5150">
        <f>INDEX($S$5128:$S$5255,AE5150+1)</f>
        <v/>
      </c>
      <c r="AM5150">
        <f>INDEX($T$5128:$T$5255,AF5150+1)</f>
        <v/>
      </c>
      <c r="AN5150">
        <f>INDEX($U$5128:$U$5255,AG5150+1)</f>
        <v/>
      </c>
      <c r="AO5150">
        <f>INDEX($V$5128:$V$5255,AH5150+1)</f>
        <v/>
      </c>
      <c r="AP5150">
        <f>INDEX($W$5128:$W$5255,AI5150+1)</f>
        <v/>
      </c>
      <c r="AQ5150">
        <f>IF(Q5150&gt;=AJ5150-0.01,1,0)</f>
        <v/>
      </c>
      <c r="AR5150">
        <f>IF(R5150&gt;=AK5150-0.01,1,0)</f>
        <v/>
      </c>
      <c r="AS5150">
        <f>IF(S5150&gt;=AL5150-0.01,1,0)</f>
        <v/>
      </c>
      <c r="AT5150">
        <f>IF(T5150&gt;=AM5150-0.01,1,0)</f>
        <v/>
      </c>
      <c r="AU5150">
        <f>IF(U5150&gt;=AN5150-0.01,1,0)</f>
        <v/>
      </c>
      <c r="AV5150">
        <f>IF(V5150&gt;=AO5150-0.01,1,0)</f>
        <v/>
      </c>
      <c r="AW5150">
        <f>IF(W5150&gt;=AP5150-0.01,1,0)</f>
        <v/>
      </c>
      <c r="AX5150">
        <f>AQ5150*AR5150*AS5150*AT5150*AU5150*AV5150*AW5150</f>
        <v/>
      </c>
    </row>
    <row r="5151">
      <c r="A5151" t="inlineStr"/>
      <c r="B5151">
        <f>Assumptions!$B$60</f>
        <v/>
      </c>
      <c r="C5151" t="n">
        <v>0</v>
      </c>
      <c r="D5151" t="n">
        <v>0</v>
      </c>
      <c r="E5151" t="n">
        <v>1</v>
      </c>
      <c r="F5151" t="n">
        <v>0</v>
      </c>
      <c r="G5151" t="n">
        <v>1</v>
      </c>
      <c r="H5151" t="n">
        <v>1</v>
      </c>
      <c r="I5151" t="n">
        <v>1</v>
      </c>
      <c r="J5151">
        <f>(1-C5151)*Assumptions!$B$41+(1-D5151)*Assumptions!$B$33+(1-E5151)*Assumptions!$B$32+(1-F5151)*Assumptions!$B$31+(1-G5151)*Assumptions!$B$30+(1-H5151)*Assumptions!$B$29+(1-I5151)*Assumptions!$B$28</f>
        <v/>
      </c>
      <c r="K5151">
        <f>C5151*$J$232+D5151*$F$232+E5151*$G$232+F5151*Assumptions!$B$14+G5151*Assumptions!$B$13+H5151*Assumptions!$B$12+I5151*Assumptions!$B$11+$O$232+$S$232+Assumptions!$B$9</f>
        <v/>
      </c>
      <c r="L5151">
        <f>B5151-J5151</f>
        <v/>
      </c>
      <c r="M5151">
        <f>IF(K5151&gt;0,IF(L5151/K5151&gt;=Assumptions!$B$37,1,0),0)</f>
        <v/>
      </c>
      <c r="N5151">
        <f>K5151+M5151*Assumptions!$B$153</f>
        <v/>
      </c>
      <c r="O5151">
        <f>L5151+M5151*Assumptions!$B$153*Assumptions!$B$37</f>
        <v/>
      </c>
      <c r="P5151">
        <f>IF(N5151&gt;0,O5151/N5151,0)</f>
        <v/>
      </c>
      <c r="Q5151">
        <f>IF(C5151=1,P5151*$J$232,Assumptions!$B$41)</f>
        <v/>
      </c>
      <c r="R5151">
        <f>IF(D5151=1,P5151*$F$232,Assumptions!$B$33)</f>
        <v/>
      </c>
      <c r="S5151">
        <f>IF(E5151=1,P5151*$G$232,Assumptions!$B$32)</f>
        <v/>
      </c>
      <c r="T5151">
        <f>IF(F5151=1,P5151*Assumptions!$B$14,Assumptions!$B$31)</f>
        <v/>
      </c>
      <c r="U5151">
        <f>IF(G5151=1,P5151*Assumptions!$B$13,Assumptions!$B$30)</f>
        <v/>
      </c>
      <c r="V5151">
        <f>IF(H5151=1,P5151*Assumptions!$B$12,Assumptions!$B$29)</f>
        <v/>
      </c>
      <c r="W5151">
        <f>IF(I5151=1,P5151*Assumptions!$B$11,Assumptions!$B$28)</f>
        <v/>
      </c>
      <c r="X5151">
        <f>P5151*($O$232+$S$232)</f>
        <v/>
      </c>
      <c r="Y5151">
        <f>P5151*Assumptions!$B$9</f>
        <v/>
      </c>
      <c r="Z5151">
        <f>IF(M5151=1,(P5151-Assumptions!$B$37)*Assumptions!$B$153,0)</f>
        <v/>
      </c>
      <c r="AA5151">
        <f>Q5151+R5151+S5151+T5151+U5151+V5151+W5151+X5151+Y5151+Z5151</f>
        <v/>
      </c>
      <c r="AB5151" t="n">
        <v>23</v>
      </c>
      <c r="AC5151" t="n">
        <v>87</v>
      </c>
      <c r="AD5151" t="n">
        <v>55</v>
      </c>
      <c r="AE5151" t="n">
        <v>7</v>
      </c>
      <c r="AF5151" t="n">
        <v>31</v>
      </c>
      <c r="AG5151" t="n">
        <v>19</v>
      </c>
      <c r="AH5151" t="n">
        <v>21</v>
      </c>
      <c r="AI5151" t="n">
        <v>22</v>
      </c>
      <c r="AJ5151">
        <f>INDEX($Q$5128:$Q$5255,AC5151+1)</f>
        <v/>
      </c>
      <c r="AK5151">
        <f>INDEX($R$5128:$R$5255,AD5151+1)</f>
        <v/>
      </c>
      <c r="AL5151">
        <f>INDEX($S$5128:$S$5255,AE5151+1)</f>
        <v/>
      </c>
      <c r="AM5151">
        <f>INDEX($T$5128:$T$5255,AF5151+1)</f>
        <v/>
      </c>
      <c r="AN5151">
        <f>INDEX($U$5128:$U$5255,AG5151+1)</f>
        <v/>
      </c>
      <c r="AO5151">
        <f>INDEX($V$5128:$V$5255,AH5151+1)</f>
        <v/>
      </c>
      <c r="AP5151">
        <f>INDEX($W$5128:$W$5255,AI5151+1)</f>
        <v/>
      </c>
      <c r="AQ5151">
        <f>IF(Q5151&gt;=AJ5151-0.01,1,0)</f>
        <v/>
      </c>
      <c r="AR5151">
        <f>IF(R5151&gt;=AK5151-0.01,1,0)</f>
        <v/>
      </c>
      <c r="AS5151">
        <f>IF(S5151&gt;=AL5151-0.01,1,0)</f>
        <v/>
      </c>
      <c r="AT5151">
        <f>IF(T5151&gt;=AM5151-0.01,1,0)</f>
        <v/>
      </c>
      <c r="AU5151">
        <f>IF(U5151&gt;=AN5151-0.01,1,0)</f>
        <v/>
      </c>
      <c r="AV5151">
        <f>IF(V5151&gt;=AO5151-0.01,1,0)</f>
        <v/>
      </c>
      <c r="AW5151">
        <f>IF(W5151&gt;=AP5151-0.01,1,0)</f>
        <v/>
      </c>
      <c r="AX5151">
        <f>AQ5151*AR5151*AS5151*AT5151*AU5151*AV5151*AW5151</f>
        <v/>
      </c>
    </row>
    <row r="5152">
      <c r="A5152" t="inlineStr"/>
      <c r="B5152">
        <f>Assumptions!$B$60</f>
        <v/>
      </c>
      <c r="C5152" t="n">
        <v>0</v>
      </c>
      <c r="D5152" t="n">
        <v>0</v>
      </c>
      <c r="E5152" t="n">
        <v>1</v>
      </c>
      <c r="F5152" t="n">
        <v>1</v>
      </c>
      <c r="G5152" t="n">
        <v>0</v>
      </c>
      <c r="H5152" t="n">
        <v>0</v>
      </c>
      <c r="I5152" t="n">
        <v>0</v>
      </c>
      <c r="J5152">
        <f>(1-C5152)*Assumptions!$B$41+(1-D5152)*Assumptions!$B$33+(1-E5152)*Assumptions!$B$32+(1-F5152)*Assumptions!$B$31+(1-G5152)*Assumptions!$B$30+(1-H5152)*Assumptions!$B$29+(1-I5152)*Assumptions!$B$28</f>
        <v/>
      </c>
      <c r="K5152">
        <f>C5152*$J$232+D5152*$F$232+E5152*$G$232+F5152*Assumptions!$B$14+G5152*Assumptions!$B$13+H5152*Assumptions!$B$12+I5152*Assumptions!$B$11+$O$232+$S$232+Assumptions!$B$9</f>
        <v/>
      </c>
      <c r="L5152">
        <f>B5152-J5152</f>
        <v/>
      </c>
      <c r="M5152">
        <f>IF(K5152&gt;0,IF(L5152/K5152&gt;=Assumptions!$B$37,1,0),0)</f>
        <v/>
      </c>
      <c r="N5152">
        <f>K5152+M5152*Assumptions!$B$153</f>
        <v/>
      </c>
      <c r="O5152">
        <f>L5152+M5152*Assumptions!$B$153*Assumptions!$B$37</f>
        <v/>
      </c>
      <c r="P5152">
        <f>IF(N5152&gt;0,O5152/N5152,0)</f>
        <v/>
      </c>
      <c r="Q5152">
        <f>IF(C5152=1,P5152*$J$232,Assumptions!$B$41)</f>
        <v/>
      </c>
      <c r="R5152">
        <f>IF(D5152=1,P5152*$F$232,Assumptions!$B$33)</f>
        <v/>
      </c>
      <c r="S5152">
        <f>IF(E5152=1,P5152*$G$232,Assumptions!$B$32)</f>
        <v/>
      </c>
      <c r="T5152">
        <f>IF(F5152=1,P5152*Assumptions!$B$14,Assumptions!$B$31)</f>
        <v/>
      </c>
      <c r="U5152">
        <f>IF(G5152=1,P5152*Assumptions!$B$13,Assumptions!$B$30)</f>
        <v/>
      </c>
      <c r="V5152">
        <f>IF(H5152=1,P5152*Assumptions!$B$12,Assumptions!$B$29)</f>
        <v/>
      </c>
      <c r="W5152">
        <f>IF(I5152=1,P5152*Assumptions!$B$11,Assumptions!$B$28)</f>
        <v/>
      </c>
      <c r="X5152">
        <f>P5152*($O$232+$S$232)</f>
        <v/>
      </c>
      <c r="Y5152">
        <f>P5152*Assumptions!$B$9</f>
        <v/>
      </c>
      <c r="Z5152">
        <f>IF(M5152=1,(P5152-Assumptions!$B$37)*Assumptions!$B$153,0)</f>
        <v/>
      </c>
      <c r="AA5152">
        <f>Q5152+R5152+S5152+T5152+U5152+V5152+W5152+X5152+Y5152+Z5152</f>
        <v/>
      </c>
      <c r="AB5152" t="n">
        <v>24</v>
      </c>
      <c r="AC5152" t="n">
        <v>88</v>
      </c>
      <c r="AD5152" t="n">
        <v>56</v>
      </c>
      <c r="AE5152" t="n">
        <v>8</v>
      </c>
      <c r="AF5152" t="n">
        <v>16</v>
      </c>
      <c r="AG5152" t="n">
        <v>28</v>
      </c>
      <c r="AH5152" t="n">
        <v>26</v>
      </c>
      <c r="AI5152" t="n">
        <v>25</v>
      </c>
      <c r="AJ5152">
        <f>INDEX($Q$5128:$Q$5255,AC5152+1)</f>
        <v/>
      </c>
      <c r="AK5152">
        <f>INDEX($R$5128:$R$5255,AD5152+1)</f>
        <v/>
      </c>
      <c r="AL5152">
        <f>INDEX($S$5128:$S$5255,AE5152+1)</f>
        <v/>
      </c>
      <c r="AM5152">
        <f>INDEX($T$5128:$T$5255,AF5152+1)</f>
        <v/>
      </c>
      <c r="AN5152">
        <f>INDEX($U$5128:$U$5255,AG5152+1)</f>
        <v/>
      </c>
      <c r="AO5152">
        <f>INDEX($V$5128:$V$5255,AH5152+1)</f>
        <v/>
      </c>
      <c r="AP5152">
        <f>INDEX($W$5128:$W$5255,AI5152+1)</f>
        <v/>
      </c>
      <c r="AQ5152">
        <f>IF(Q5152&gt;=AJ5152-0.01,1,0)</f>
        <v/>
      </c>
      <c r="AR5152">
        <f>IF(R5152&gt;=AK5152-0.01,1,0)</f>
        <v/>
      </c>
      <c r="AS5152">
        <f>IF(S5152&gt;=AL5152-0.01,1,0)</f>
        <v/>
      </c>
      <c r="AT5152">
        <f>IF(T5152&gt;=AM5152-0.01,1,0)</f>
        <v/>
      </c>
      <c r="AU5152">
        <f>IF(U5152&gt;=AN5152-0.01,1,0)</f>
        <v/>
      </c>
      <c r="AV5152">
        <f>IF(V5152&gt;=AO5152-0.01,1,0)</f>
        <v/>
      </c>
      <c r="AW5152">
        <f>IF(W5152&gt;=AP5152-0.01,1,0)</f>
        <v/>
      </c>
      <c r="AX5152">
        <f>AQ5152*AR5152*AS5152*AT5152*AU5152*AV5152*AW5152</f>
        <v/>
      </c>
    </row>
    <row r="5153">
      <c r="A5153" t="inlineStr"/>
      <c r="B5153">
        <f>Assumptions!$B$60</f>
        <v/>
      </c>
      <c r="C5153" t="n">
        <v>0</v>
      </c>
      <c r="D5153" t="n">
        <v>0</v>
      </c>
      <c r="E5153" t="n">
        <v>1</v>
      </c>
      <c r="F5153" t="n">
        <v>1</v>
      </c>
      <c r="G5153" t="n">
        <v>0</v>
      </c>
      <c r="H5153" t="n">
        <v>0</v>
      </c>
      <c r="I5153" t="n">
        <v>1</v>
      </c>
      <c r="J5153">
        <f>(1-C5153)*Assumptions!$B$41+(1-D5153)*Assumptions!$B$33+(1-E5153)*Assumptions!$B$32+(1-F5153)*Assumptions!$B$31+(1-G5153)*Assumptions!$B$30+(1-H5153)*Assumptions!$B$29+(1-I5153)*Assumptions!$B$28</f>
        <v/>
      </c>
      <c r="K5153">
        <f>C5153*$J$232+D5153*$F$232+E5153*$G$232+F5153*Assumptions!$B$14+G5153*Assumptions!$B$13+H5153*Assumptions!$B$12+I5153*Assumptions!$B$11+$O$232+$S$232+Assumptions!$B$9</f>
        <v/>
      </c>
      <c r="L5153">
        <f>B5153-J5153</f>
        <v/>
      </c>
      <c r="M5153">
        <f>IF(K5153&gt;0,IF(L5153/K5153&gt;=Assumptions!$B$37,1,0),0)</f>
        <v/>
      </c>
      <c r="N5153">
        <f>K5153+M5153*Assumptions!$B$153</f>
        <v/>
      </c>
      <c r="O5153">
        <f>L5153+M5153*Assumptions!$B$153*Assumptions!$B$37</f>
        <v/>
      </c>
      <c r="P5153">
        <f>IF(N5153&gt;0,O5153/N5153,0)</f>
        <v/>
      </c>
      <c r="Q5153">
        <f>IF(C5153=1,P5153*$J$232,Assumptions!$B$41)</f>
        <v/>
      </c>
      <c r="R5153">
        <f>IF(D5153=1,P5153*$F$232,Assumptions!$B$33)</f>
        <v/>
      </c>
      <c r="S5153">
        <f>IF(E5153=1,P5153*$G$232,Assumptions!$B$32)</f>
        <v/>
      </c>
      <c r="T5153">
        <f>IF(F5153=1,P5153*Assumptions!$B$14,Assumptions!$B$31)</f>
        <v/>
      </c>
      <c r="U5153">
        <f>IF(G5153=1,P5153*Assumptions!$B$13,Assumptions!$B$30)</f>
        <v/>
      </c>
      <c r="V5153">
        <f>IF(H5153=1,P5153*Assumptions!$B$12,Assumptions!$B$29)</f>
        <v/>
      </c>
      <c r="W5153">
        <f>IF(I5153=1,P5153*Assumptions!$B$11,Assumptions!$B$28)</f>
        <v/>
      </c>
      <c r="X5153">
        <f>P5153*($O$232+$S$232)</f>
        <v/>
      </c>
      <c r="Y5153">
        <f>P5153*Assumptions!$B$9</f>
        <v/>
      </c>
      <c r="Z5153">
        <f>IF(M5153=1,(P5153-Assumptions!$B$37)*Assumptions!$B$153,0)</f>
        <v/>
      </c>
      <c r="AA5153">
        <f>Q5153+R5153+S5153+T5153+U5153+V5153+W5153+X5153+Y5153+Z5153</f>
        <v/>
      </c>
      <c r="AB5153" t="n">
        <v>25</v>
      </c>
      <c r="AC5153" t="n">
        <v>89</v>
      </c>
      <c r="AD5153" t="n">
        <v>57</v>
      </c>
      <c r="AE5153" t="n">
        <v>9</v>
      </c>
      <c r="AF5153" t="n">
        <v>17</v>
      </c>
      <c r="AG5153" t="n">
        <v>29</v>
      </c>
      <c r="AH5153" t="n">
        <v>27</v>
      </c>
      <c r="AI5153" t="n">
        <v>24</v>
      </c>
      <c r="AJ5153">
        <f>INDEX($Q$5128:$Q$5255,AC5153+1)</f>
        <v/>
      </c>
      <c r="AK5153">
        <f>INDEX($R$5128:$R$5255,AD5153+1)</f>
        <v/>
      </c>
      <c r="AL5153">
        <f>INDEX($S$5128:$S$5255,AE5153+1)</f>
        <v/>
      </c>
      <c r="AM5153">
        <f>INDEX($T$5128:$T$5255,AF5153+1)</f>
        <v/>
      </c>
      <c r="AN5153">
        <f>INDEX($U$5128:$U$5255,AG5153+1)</f>
        <v/>
      </c>
      <c r="AO5153">
        <f>INDEX($V$5128:$V$5255,AH5153+1)</f>
        <v/>
      </c>
      <c r="AP5153">
        <f>INDEX($W$5128:$W$5255,AI5153+1)</f>
        <v/>
      </c>
      <c r="AQ5153">
        <f>IF(Q5153&gt;=AJ5153-0.01,1,0)</f>
        <v/>
      </c>
      <c r="AR5153">
        <f>IF(R5153&gt;=AK5153-0.01,1,0)</f>
        <v/>
      </c>
      <c r="AS5153">
        <f>IF(S5153&gt;=AL5153-0.01,1,0)</f>
        <v/>
      </c>
      <c r="AT5153">
        <f>IF(T5153&gt;=AM5153-0.01,1,0)</f>
        <v/>
      </c>
      <c r="AU5153">
        <f>IF(U5153&gt;=AN5153-0.01,1,0)</f>
        <v/>
      </c>
      <c r="AV5153">
        <f>IF(V5153&gt;=AO5153-0.01,1,0)</f>
        <v/>
      </c>
      <c r="AW5153">
        <f>IF(W5153&gt;=AP5153-0.01,1,0)</f>
        <v/>
      </c>
      <c r="AX5153">
        <f>AQ5153*AR5153*AS5153*AT5153*AU5153*AV5153*AW5153</f>
        <v/>
      </c>
    </row>
    <row r="5154">
      <c r="A5154" t="inlineStr"/>
      <c r="B5154">
        <f>Assumptions!$B$60</f>
        <v/>
      </c>
      <c r="C5154" t="n">
        <v>0</v>
      </c>
      <c r="D5154" t="n">
        <v>0</v>
      </c>
      <c r="E5154" t="n">
        <v>1</v>
      </c>
      <c r="F5154" t="n">
        <v>1</v>
      </c>
      <c r="G5154" t="n">
        <v>0</v>
      </c>
      <c r="H5154" t="n">
        <v>1</v>
      </c>
      <c r="I5154" t="n">
        <v>0</v>
      </c>
      <c r="J5154">
        <f>(1-C5154)*Assumptions!$B$41+(1-D5154)*Assumptions!$B$33+(1-E5154)*Assumptions!$B$32+(1-F5154)*Assumptions!$B$31+(1-G5154)*Assumptions!$B$30+(1-H5154)*Assumptions!$B$29+(1-I5154)*Assumptions!$B$28</f>
        <v/>
      </c>
      <c r="K5154">
        <f>C5154*$J$232+D5154*$F$232+E5154*$G$232+F5154*Assumptions!$B$14+G5154*Assumptions!$B$13+H5154*Assumptions!$B$12+I5154*Assumptions!$B$11+$O$232+$S$232+Assumptions!$B$9</f>
        <v/>
      </c>
      <c r="L5154">
        <f>B5154-J5154</f>
        <v/>
      </c>
      <c r="M5154">
        <f>IF(K5154&gt;0,IF(L5154/K5154&gt;=Assumptions!$B$37,1,0),0)</f>
        <v/>
      </c>
      <c r="N5154">
        <f>K5154+M5154*Assumptions!$B$153</f>
        <v/>
      </c>
      <c r="O5154">
        <f>L5154+M5154*Assumptions!$B$153*Assumptions!$B$37</f>
        <v/>
      </c>
      <c r="P5154">
        <f>IF(N5154&gt;0,O5154/N5154,0)</f>
        <v/>
      </c>
      <c r="Q5154">
        <f>IF(C5154=1,P5154*$J$232,Assumptions!$B$41)</f>
        <v/>
      </c>
      <c r="R5154">
        <f>IF(D5154=1,P5154*$F$232,Assumptions!$B$33)</f>
        <v/>
      </c>
      <c r="S5154">
        <f>IF(E5154=1,P5154*$G$232,Assumptions!$B$32)</f>
        <v/>
      </c>
      <c r="T5154">
        <f>IF(F5154=1,P5154*Assumptions!$B$14,Assumptions!$B$31)</f>
        <v/>
      </c>
      <c r="U5154">
        <f>IF(G5154=1,P5154*Assumptions!$B$13,Assumptions!$B$30)</f>
        <v/>
      </c>
      <c r="V5154">
        <f>IF(H5154=1,P5154*Assumptions!$B$12,Assumptions!$B$29)</f>
        <v/>
      </c>
      <c r="W5154">
        <f>IF(I5154=1,P5154*Assumptions!$B$11,Assumptions!$B$28)</f>
        <v/>
      </c>
      <c r="X5154">
        <f>P5154*($O$232+$S$232)</f>
        <v/>
      </c>
      <c r="Y5154">
        <f>P5154*Assumptions!$B$9</f>
        <v/>
      </c>
      <c r="Z5154">
        <f>IF(M5154=1,(P5154-Assumptions!$B$37)*Assumptions!$B$153,0)</f>
        <v/>
      </c>
      <c r="AA5154">
        <f>Q5154+R5154+S5154+T5154+U5154+V5154+W5154+X5154+Y5154+Z5154</f>
        <v/>
      </c>
      <c r="AB5154" t="n">
        <v>26</v>
      </c>
      <c r="AC5154" t="n">
        <v>90</v>
      </c>
      <c r="AD5154" t="n">
        <v>58</v>
      </c>
      <c r="AE5154" t="n">
        <v>10</v>
      </c>
      <c r="AF5154" t="n">
        <v>18</v>
      </c>
      <c r="AG5154" t="n">
        <v>30</v>
      </c>
      <c r="AH5154" t="n">
        <v>24</v>
      </c>
      <c r="AI5154" t="n">
        <v>27</v>
      </c>
      <c r="AJ5154">
        <f>INDEX($Q$5128:$Q$5255,AC5154+1)</f>
        <v/>
      </c>
      <c r="AK5154">
        <f>INDEX($R$5128:$R$5255,AD5154+1)</f>
        <v/>
      </c>
      <c r="AL5154">
        <f>INDEX($S$5128:$S$5255,AE5154+1)</f>
        <v/>
      </c>
      <c r="AM5154">
        <f>INDEX($T$5128:$T$5255,AF5154+1)</f>
        <v/>
      </c>
      <c r="AN5154">
        <f>INDEX($U$5128:$U$5255,AG5154+1)</f>
        <v/>
      </c>
      <c r="AO5154">
        <f>INDEX($V$5128:$V$5255,AH5154+1)</f>
        <v/>
      </c>
      <c r="AP5154">
        <f>INDEX($W$5128:$W$5255,AI5154+1)</f>
        <v/>
      </c>
      <c r="AQ5154">
        <f>IF(Q5154&gt;=AJ5154-0.01,1,0)</f>
        <v/>
      </c>
      <c r="AR5154">
        <f>IF(R5154&gt;=AK5154-0.01,1,0)</f>
        <v/>
      </c>
      <c r="AS5154">
        <f>IF(S5154&gt;=AL5154-0.01,1,0)</f>
        <v/>
      </c>
      <c r="AT5154">
        <f>IF(T5154&gt;=AM5154-0.01,1,0)</f>
        <v/>
      </c>
      <c r="AU5154">
        <f>IF(U5154&gt;=AN5154-0.01,1,0)</f>
        <v/>
      </c>
      <c r="AV5154">
        <f>IF(V5154&gt;=AO5154-0.01,1,0)</f>
        <v/>
      </c>
      <c r="AW5154">
        <f>IF(W5154&gt;=AP5154-0.01,1,0)</f>
        <v/>
      </c>
      <c r="AX5154">
        <f>AQ5154*AR5154*AS5154*AT5154*AU5154*AV5154*AW5154</f>
        <v/>
      </c>
    </row>
    <row r="5155">
      <c r="A5155" t="inlineStr"/>
      <c r="B5155">
        <f>Assumptions!$B$60</f>
        <v/>
      </c>
      <c r="C5155" t="n">
        <v>0</v>
      </c>
      <c r="D5155" t="n">
        <v>0</v>
      </c>
      <c r="E5155" t="n">
        <v>1</v>
      </c>
      <c r="F5155" t="n">
        <v>1</v>
      </c>
      <c r="G5155" t="n">
        <v>0</v>
      </c>
      <c r="H5155" t="n">
        <v>1</v>
      </c>
      <c r="I5155" t="n">
        <v>1</v>
      </c>
      <c r="J5155">
        <f>(1-C5155)*Assumptions!$B$41+(1-D5155)*Assumptions!$B$33+(1-E5155)*Assumptions!$B$32+(1-F5155)*Assumptions!$B$31+(1-G5155)*Assumptions!$B$30+(1-H5155)*Assumptions!$B$29+(1-I5155)*Assumptions!$B$28</f>
        <v/>
      </c>
      <c r="K5155">
        <f>C5155*$J$232+D5155*$F$232+E5155*$G$232+F5155*Assumptions!$B$14+G5155*Assumptions!$B$13+H5155*Assumptions!$B$12+I5155*Assumptions!$B$11+$O$232+$S$232+Assumptions!$B$9</f>
        <v/>
      </c>
      <c r="L5155">
        <f>B5155-J5155</f>
        <v/>
      </c>
      <c r="M5155">
        <f>IF(K5155&gt;0,IF(L5155/K5155&gt;=Assumptions!$B$37,1,0),0)</f>
        <v/>
      </c>
      <c r="N5155">
        <f>K5155+M5155*Assumptions!$B$153</f>
        <v/>
      </c>
      <c r="O5155">
        <f>L5155+M5155*Assumptions!$B$153*Assumptions!$B$37</f>
        <v/>
      </c>
      <c r="P5155">
        <f>IF(N5155&gt;0,O5155/N5155,0)</f>
        <v/>
      </c>
      <c r="Q5155">
        <f>IF(C5155=1,P5155*$J$232,Assumptions!$B$41)</f>
        <v/>
      </c>
      <c r="R5155">
        <f>IF(D5155=1,P5155*$F$232,Assumptions!$B$33)</f>
        <v/>
      </c>
      <c r="S5155">
        <f>IF(E5155=1,P5155*$G$232,Assumptions!$B$32)</f>
        <v/>
      </c>
      <c r="T5155">
        <f>IF(F5155=1,P5155*Assumptions!$B$14,Assumptions!$B$31)</f>
        <v/>
      </c>
      <c r="U5155">
        <f>IF(G5155=1,P5155*Assumptions!$B$13,Assumptions!$B$30)</f>
        <v/>
      </c>
      <c r="V5155">
        <f>IF(H5155=1,P5155*Assumptions!$B$12,Assumptions!$B$29)</f>
        <v/>
      </c>
      <c r="W5155">
        <f>IF(I5155=1,P5155*Assumptions!$B$11,Assumptions!$B$28)</f>
        <v/>
      </c>
      <c r="X5155">
        <f>P5155*($O$232+$S$232)</f>
        <v/>
      </c>
      <c r="Y5155">
        <f>P5155*Assumptions!$B$9</f>
        <v/>
      </c>
      <c r="Z5155">
        <f>IF(M5155=1,(P5155-Assumptions!$B$37)*Assumptions!$B$153,0)</f>
        <v/>
      </c>
      <c r="AA5155">
        <f>Q5155+R5155+S5155+T5155+U5155+V5155+W5155+X5155+Y5155+Z5155</f>
        <v/>
      </c>
      <c r="AB5155" t="n">
        <v>27</v>
      </c>
      <c r="AC5155" t="n">
        <v>91</v>
      </c>
      <c r="AD5155" t="n">
        <v>59</v>
      </c>
      <c r="AE5155" t="n">
        <v>11</v>
      </c>
      <c r="AF5155" t="n">
        <v>19</v>
      </c>
      <c r="AG5155" t="n">
        <v>31</v>
      </c>
      <c r="AH5155" t="n">
        <v>25</v>
      </c>
      <c r="AI5155" t="n">
        <v>26</v>
      </c>
      <c r="AJ5155">
        <f>INDEX($Q$5128:$Q$5255,AC5155+1)</f>
        <v/>
      </c>
      <c r="AK5155">
        <f>INDEX($R$5128:$R$5255,AD5155+1)</f>
        <v/>
      </c>
      <c r="AL5155">
        <f>INDEX($S$5128:$S$5255,AE5155+1)</f>
        <v/>
      </c>
      <c r="AM5155">
        <f>INDEX($T$5128:$T$5255,AF5155+1)</f>
        <v/>
      </c>
      <c r="AN5155">
        <f>INDEX($U$5128:$U$5255,AG5155+1)</f>
        <v/>
      </c>
      <c r="AO5155">
        <f>INDEX($V$5128:$V$5255,AH5155+1)</f>
        <v/>
      </c>
      <c r="AP5155">
        <f>INDEX($W$5128:$W$5255,AI5155+1)</f>
        <v/>
      </c>
      <c r="AQ5155">
        <f>IF(Q5155&gt;=AJ5155-0.01,1,0)</f>
        <v/>
      </c>
      <c r="AR5155">
        <f>IF(R5155&gt;=AK5155-0.01,1,0)</f>
        <v/>
      </c>
      <c r="AS5155">
        <f>IF(S5155&gt;=AL5155-0.01,1,0)</f>
        <v/>
      </c>
      <c r="AT5155">
        <f>IF(T5155&gt;=AM5155-0.01,1,0)</f>
        <v/>
      </c>
      <c r="AU5155">
        <f>IF(U5155&gt;=AN5155-0.01,1,0)</f>
        <v/>
      </c>
      <c r="AV5155">
        <f>IF(V5155&gt;=AO5155-0.01,1,0)</f>
        <v/>
      </c>
      <c r="AW5155">
        <f>IF(W5155&gt;=AP5155-0.01,1,0)</f>
        <v/>
      </c>
      <c r="AX5155">
        <f>AQ5155*AR5155*AS5155*AT5155*AU5155*AV5155*AW5155</f>
        <v/>
      </c>
    </row>
    <row r="5156">
      <c r="A5156" t="inlineStr"/>
      <c r="B5156">
        <f>Assumptions!$B$60</f>
        <v/>
      </c>
      <c r="C5156" t="n">
        <v>0</v>
      </c>
      <c r="D5156" t="n">
        <v>0</v>
      </c>
      <c r="E5156" t="n">
        <v>1</v>
      </c>
      <c r="F5156" t="n">
        <v>1</v>
      </c>
      <c r="G5156" t="n">
        <v>1</v>
      </c>
      <c r="H5156" t="n">
        <v>0</v>
      </c>
      <c r="I5156" t="n">
        <v>0</v>
      </c>
      <c r="J5156">
        <f>(1-C5156)*Assumptions!$B$41+(1-D5156)*Assumptions!$B$33+(1-E5156)*Assumptions!$B$32+(1-F5156)*Assumptions!$B$31+(1-G5156)*Assumptions!$B$30+(1-H5156)*Assumptions!$B$29+(1-I5156)*Assumptions!$B$28</f>
        <v/>
      </c>
      <c r="K5156">
        <f>C5156*$J$232+D5156*$F$232+E5156*$G$232+F5156*Assumptions!$B$14+G5156*Assumptions!$B$13+H5156*Assumptions!$B$12+I5156*Assumptions!$B$11+$O$232+$S$232+Assumptions!$B$9</f>
        <v/>
      </c>
      <c r="L5156">
        <f>B5156-J5156</f>
        <v/>
      </c>
      <c r="M5156">
        <f>IF(K5156&gt;0,IF(L5156/K5156&gt;=Assumptions!$B$37,1,0),0)</f>
        <v/>
      </c>
      <c r="N5156">
        <f>K5156+M5156*Assumptions!$B$153</f>
        <v/>
      </c>
      <c r="O5156">
        <f>L5156+M5156*Assumptions!$B$153*Assumptions!$B$37</f>
        <v/>
      </c>
      <c r="P5156">
        <f>IF(N5156&gt;0,O5156/N5156,0)</f>
        <v/>
      </c>
      <c r="Q5156">
        <f>IF(C5156=1,P5156*$J$232,Assumptions!$B$41)</f>
        <v/>
      </c>
      <c r="R5156">
        <f>IF(D5156=1,P5156*$F$232,Assumptions!$B$33)</f>
        <v/>
      </c>
      <c r="S5156">
        <f>IF(E5156=1,P5156*$G$232,Assumptions!$B$32)</f>
        <v/>
      </c>
      <c r="T5156">
        <f>IF(F5156=1,P5156*Assumptions!$B$14,Assumptions!$B$31)</f>
        <v/>
      </c>
      <c r="U5156">
        <f>IF(G5156=1,P5156*Assumptions!$B$13,Assumptions!$B$30)</f>
        <v/>
      </c>
      <c r="V5156">
        <f>IF(H5156=1,P5156*Assumptions!$B$12,Assumptions!$B$29)</f>
        <v/>
      </c>
      <c r="W5156">
        <f>IF(I5156=1,P5156*Assumptions!$B$11,Assumptions!$B$28)</f>
        <v/>
      </c>
      <c r="X5156">
        <f>P5156*($O$232+$S$232)</f>
        <v/>
      </c>
      <c r="Y5156">
        <f>P5156*Assumptions!$B$9</f>
        <v/>
      </c>
      <c r="Z5156">
        <f>IF(M5156=1,(P5156-Assumptions!$B$37)*Assumptions!$B$153,0)</f>
        <v/>
      </c>
      <c r="AA5156">
        <f>Q5156+R5156+S5156+T5156+U5156+V5156+W5156+X5156+Y5156+Z5156</f>
        <v/>
      </c>
      <c r="AB5156" t="n">
        <v>28</v>
      </c>
      <c r="AC5156" t="n">
        <v>92</v>
      </c>
      <c r="AD5156" t="n">
        <v>60</v>
      </c>
      <c r="AE5156" t="n">
        <v>12</v>
      </c>
      <c r="AF5156" t="n">
        <v>20</v>
      </c>
      <c r="AG5156" t="n">
        <v>24</v>
      </c>
      <c r="AH5156" t="n">
        <v>30</v>
      </c>
      <c r="AI5156" t="n">
        <v>29</v>
      </c>
      <c r="AJ5156">
        <f>INDEX($Q$5128:$Q$5255,AC5156+1)</f>
        <v/>
      </c>
      <c r="AK5156">
        <f>INDEX($R$5128:$R$5255,AD5156+1)</f>
        <v/>
      </c>
      <c r="AL5156">
        <f>INDEX($S$5128:$S$5255,AE5156+1)</f>
        <v/>
      </c>
      <c r="AM5156">
        <f>INDEX($T$5128:$T$5255,AF5156+1)</f>
        <v/>
      </c>
      <c r="AN5156">
        <f>INDEX($U$5128:$U$5255,AG5156+1)</f>
        <v/>
      </c>
      <c r="AO5156">
        <f>INDEX($V$5128:$V$5255,AH5156+1)</f>
        <v/>
      </c>
      <c r="AP5156">
        <f>INDEX($W$5128:$W$5255,AI5156+1)</f>
        <v/>
      </c>
      <c r="AQ5156">
        <f>IF(Q5156&gt;=AJ5156-0.01,1,0)</f>
        <v/>
      </c>
      <c r="AR5156">
        <f>IF(R5156&gt;=AK5156-0.01,1,0)</f>
        <v/>
      </c>
      <c r="AS5156">
        <f>IF(S5156&gt;=AL5156-0.01,1,0)</f>
        <v/>
      </c>
      <c r="AT5156">
        <f>IF(T5156&gt;=AM5156-0.01,1,0)</f>
        <v/>
      </c>
      <c r="AU5156">
        <f>IF(U5156&gt;=AN5156-0.01,1,0)</f>
        <v/>
      </c>
      <c r="AV5156">
        <f>IF(V5156&gt;=AO5156-0.01,1,0)</f>
        <v/>
      </c>
      <c r="AW5156">
        <f>IF(W5156&gt;=AP5156-0.01,1,0)</f>
        <v/>
      </c>
      <c r="AX5156">
        <f>AQ5156*AR5156*AS5156*AT5156*AU5156*AV5156*AW5156</f>
        <v/>
      </c>
    </row>
    <row r="5157">
      <c r="A5157" t="inlineStr"/>
      <c r="B5157">
        <f>Assumptions!$B$60</f>
        <v/>
      </c>
      <c r="C5157" t="n">
        <v>0</v>
      </c>
      <c r="D5157" t="n">
        <v>0</v>
      </c>
      <c r="E5157" t="n">
        <v>1</v>
      </c>
      <c r="F5157" t="n">
        <v>1</v>
      </c>
      <c r="G5157" t="n">
        <v>1</v>
      </c>
      <c r="H5157" t="n">
        <v>0</v>
      </c>
      <c r="I5157" t="n">
        <v>1</v>
      </c>
      <c r="J5157">
        <f>(1-C5157)*Assumptions!$B$41+(1-D5157)*Assumptions!$B$33+(1-E5157)*Assumptions!$B$32+(1-F5157)*Assumptions!$B$31+(1-G5157)*Assumptions!$B$30+(1-H5157)*Assumptions!$B$29+(1-I5157)*Assumptions!$B$28</f>
        <v/>
      </c>
      <c r="K5157">
        <f>C5157*$J$232+D5157*$F$232+E5157*$G$232+F5157*Assumptions!$B$14+G5157*Assumptions!$B$13+H5157*Assumptions!$B$12+I5157*Assumptions!$B$11+$O$232+$S$232+Assumptions!$B$9</f>
        <v/>
      </c>
      <c r="L5157">
        <f>B5157-J5157</f>
        <v/>
      </c>
      <c r="M5157">
        <f>IF(K5157&gt;0,IF(L5157/K5157&gt;=Assumptions!$B$37,1,0),0)</f>
        <v/>
      </c>
      <c r="N5157">
        <f>K5157+M5157*Assumptions!$B$153</f>
        <v/>
      </c>
      <c r="O5157">
        <f>L5157+M5157*Assumptions!$B$153*Assumptions!$B$37</f>
        <v/>
      </c>
      <c r="P5157">
        <f>IF(N5157&gt;0,O5157/N5157,0)</f>
        <v/>
      </c>
      <c r="Q5157">
        <f>IF(C5157=1,P5157*$J$232,Assumptions!$B$41)</f>
        <v/>
      </c>
      <c r="R5157">
        <f>IF(D5157=1,P5157*$F$232,Assumptions!$B$33)</f>
        <v/>
      </c>
      <c r="S5157">
        <f>IF(E5157=1,P5157*$G$232,Assumptions!$B$32)</f>
        <v/>
      </c>
      <c r="T5157">
        <f>IF(F5157=1,P5157*Assumptions!$B$14,Assumptions!$B$31)</f>
        <v/>
      </c>
      <c r="U5157">
        <f>IF(G5157=1,P5157*Assumptions!$B$13,Assumptions!$B$30)</f>
        <v/>
      </c>
      <c r="V5157">
        <f>IF(H5157=1,P5157*Assumptions!$B$12,Assumptions!$B$29)</f>
        <v/>
      </c>
      <c r="W5157">
        <f>IF(I5157=1,P5157*Assumptions!$B$11,Assumptions!$B$28)</f>
        <v/>
      </c>
      <c r="X5157">
        <f>P5157*($O$232+$S$232)</f>
        <v/>
      </c>
      <c r="Y5157">
        <f>P5157*Assumptions!$B$9</f>
        <v/>
      </c>
      <c r="Z5157">
        <f>IF(M5157=1,(P5157-Assumptions!$B$37)*Assumptions!$B$153,0)</f>
        <v/>
      </c>
      <c r="AA5157">
        <f>Q5157+R5157+S5157+T5157+U5157+V5157+W5157+X5157+Y5157+Z5157</f>
        <v/>
      </c>
      <c r="AB5157" t="n">
        <v>29</v>
      </c>
      <c r="AC5157" t="n">
        <v>93</v>
      </c>
      <c r="AD5157" t="n">
        <v>61</v>
      </c>
      <c r="AE5157" t="n">
        <v>13</v>
      </c>
      <c r="AF5157" t="n">
        <v>21</v>
      </c>
      <c r="AG5157" t="n">
        <v>25</v>
      </c>
      <c r="AH5157" t="n">
        <v>31</v>
      </c>
      <c r="AI5157" t="n">
        <v>28</v>
      </c>
      <c r="AJ5157">
        <f>INDEX($Q$5128:$Q$5255,AC5157+1)</f>
        <v/>
      </c>
      <c r="AK5157">
        <f>INDEX($R$5128:$R$5255,AD5157+1)</f>
        <v/>
      </c>
      <c r="AL5157">
        <f>INDEX($S$5128:$S$5255,AE5157+1)</f>
        <v/>
      </c>
      <c r="AM5157">
        <f>INDEX($T$5128:$T$5255,AF5157+1)</f>
        <v/>
      </c>
      <c r="AN5157">
        <f>INDEX($U$5128:$U$5255,AG5157+1)</f>
        <v/>
      </c>
      <c r="AO5157">
        <f>INDEX($V$5128:$V$5255,AH5157+1)</f>
        <v/>
      </c>
      <c r="AP5157">
        <f>INDEX($W$5128:$W$5255,AI5157+1)</f>
        <v/>
      </c>
      <c r="AQ5157">
        <f>IF(Q5157&gt;=AJ5157-0.01,1,0)</f>
        <v/>
      </c>
      <c r="AR5157">
        <f>IF(R5157&gt;=AK5157-0.01,1,0)</f>
        <v/>
      </c>
      <c r="AS5157">
        <f>IF(S5157&gt;=AL5157-0.01,1,0)</f>
        <v/>
      </c>
      <c r="AT5157">
        <f>IF(T5157&gt;=AM5157-0.01,1,0)</f>
        <v/>
      </c>
      <c r="AU5157">
        <f>IF(U5157&gt;=AN5157-0.01,1,0)</f>
        <v/>
      </c>
      <c r="AV5157">
        <f>IF(V5157&gt;=AO5157-0.01,1,0)</f>
        <v/>
      </c>
      <c r="AW5157">
        <f>IF(W5157&gt;=AP5157-0.01,1,0)</f>
        <v/>
      </c>
      <c r="AX5157">
        <f>AQ5157*AR5157*AS5157*AT5157*AU5157*AV5157*AW5157</f>
        <v/>
      </c>
    </row>
    <row r="5158">
      <c r="A5158" t="inlineStr"/>
      <c r="B5158">
        <f>Assumptions!$B$60</f>
        <v/>
      </c>
      <c r="C5158" t="n">
        <v>0</v>
      </c>
      <c r="D5158" t="n">
        <v>0</v>
      </c>
      <c r="E5158" t="n">
        <v>1</v>
      </c>
      <c r="F5158" t="n">
        <v>1</v>
      </c>
      <c r="G5158" t="n">
        <v>1</v>
      </c>
      <c r="H5158" t="n">
        <v>1</v>
      </c>
      <c r="I5158" t="n">
        <v>0</v>
      </c>
      <c r="J5158">
        <f>(1-C5158)*Assumptions!$B$41+(1-D5158)*Assumptions!$B$33+(1-E5158)*Assumptions!$B$32+(1-F5158)*Assumptions!$B$31+(1-G5158)*Assumptions!$B$30+(1-H5158)*Assumptions!$B$29+(1-I5158)*Assumptions!$B$28</f>
        <v/>
      </c>
      <c r="K5158">
        <f>C5158*$J$232+D5158*$F$232+E5158*$G$232+F5158*Assumptions!$B$14+G5158*Assumptions!$B$13+H5158*Assumptions!$B$12+I5158*Assumptions!$B$11+$O$232+$S$232+Assumptions!$B$9</f>
        <v/>
      </c>
      <c r="L5158">
        <f>B5158-J5158</f>
        <v/>
      </c>
      <c r="M5158">
        <f>IF(K5158&gt;0,IF(L5158/K5158&gt;=Assumptions!$B$37,1,0),0)</f>
        <v/>
      </c>
      <c r="N5158">
        <f>K5158+M5158*Assumptions!$B$153</f>
        <v/>
      </c>
      <c r="O5158">
        <f>L5158+M5158*Assumptions!$B$153*Assumptions!$B$37</f>
        <v/>
      </c>
      <c r="P5158">
        <f>IF(N5158&gt;0,O5158/N5158,0)</f>
        <v/>
      </c>
      <c r="Q5158">
        <f>IF(C5158=1,P5158*$J$232,Assumptions!$B$41)</f>
        <v/>
      </c>
      <c r="R5158">
        <f>IF(D5158=1,P5158*$F$232,Assumptions!$B$33)</f>
        <v/>
      </c>
      <c r="S5158">
        <f>IF(E5158=1,P5158*$G$232,Assumptions!$B$32)</f>
        <v/>
      </c>
      <c r="T5158">
        <f>IF(F5158=1,P5158*Assumptions!$B$14,Assumptions!$B$31)</f>
        <v/>
      </c>
      <c r="U5158">
        <f>IF(G5158=1,P5158*Assumptions!$B$13,Assumptions!$B$30)</f>
        <v/>
      </c>
      <c r="V5158">
        <f>IF(H5158=1,P5158*Assumptions!$B$12,Assumptions!$B$29)</f>
        <v/>
      </c>
      <c r="W5158">
        <f>IF(I5158=1,P5158*Assumptions!$B$11,Assumptions!$B$28)</f>
        <v/>
      </c>
      <c r="X5158">
        <f>P5158*($O$232+$S$232)</f>
        <v/>
      </c>
      <c r="Y5158">
        <f>P5158*Assumptions!$B$9</f>
        <v/>
      </c>
      <c r="Z5158">
        <f>IF(M5158=1,(P5158-Assumptions!$B$37)*Assumptions!$B$153,0)</f>
        <v/>
      </c>
      <c r="AA5158">
        <f>Q5158+R5158+S5158+T5158+U5158+V5158+W5158+X5158+Y5158+Z5158</f>
        <v/>
      </c>
      <c r="AB5158" t="n">
        <v>30</v>
      </c>
      <c r="AC5158" t="n">
        <v>94</v>
      </c>
      <c r="AD5158" t="n">
        <v>62</v>
      </c>
      <c r="AE5158" t="n">
        <v>14</v>
      </c>
      <c r="AF5158" t="n">
        <v>22</v>
      </c>
      <c r="AG5158" t="n">
        <v>26</v>
      </c>
      <c r="AH5158" t="n">
        <v>28</v>
      </c>
      <c r="AI5158" t="n">
        <v>31</v>
      </c>
      <c r="AJ5158">
        <f>INDEX($Q$5128:$Q$5255,AC5158+1)</f>
        <v/>
      </c>
      <c r="AK5158">
        <f>INDEX($R$5128:$R$5255,AD5158+1)</f>
        <v/>
      </c>
      <c r="AL5158">
        <f>INDEX($S$5128:$S$5255,AE5158+1)</f>
        <v/>
      </c>
      <c r="AM5158">
        <f>INDEX($T$5128:$T$5255,AF5158+1)</f>
        <v/>
      </c>
      <c r="AN5158">
        <f>INDEX($U$5128:$U$5255,AG5158+1)</f>
        <v/>
      </c>
      <c r="AO5158">
        <f>INDEX($V$5128:$V$5255,AH5158+1)</f>
        <v/>
      </c>
      <c r="AP5158">
        <f>INDEX($W$5128:$W$5255,AI5158+1)</f>
        <v/>
      </c>
      <c r="AQ5158">
        <f>IF(Q5158&gt;=AJ5158-0.01,1,0)</f>
        <v/>
      </c>
      <c r="AR5158">
        <f>IF(R5158&gt;=AK5158-0.01,1,0)</f>
        <v/>
      </c>
      <c r="AS5158">
        <f>IF(S5158&gt;=AL5158-0.01,1,0)</f>
        <v/>
      </c>
      <c r="AT5158">
        <f>IF(T5158&gt;=AM5158-0.01,1,0)</f>
        <v/>
      </c>
      <c r="AU5158">
        <f>IF(U5158&gt;=AN5158-0.01,1,0)</f>
        <v/>
      </c>
      <c r="AV5158">
        <f>IF(V5158&gt;=AO5158-0.01,1,0)</f>
        <v/>
      </c>
      <c r="AW5158">
        <f>IF(W5158&gt;=AP5158-0.01,1,0)</f>
        <v/>
      </c>
      <c r="AX5158">
        <f>AQ5158*AR5158*AS5158*AT5158*AU5158*AV5158*AW5158</f>
        <v/>
      </c>
    </row>
    <row r="5159">
      <c r="A5159" t="inlineStr"/>
      <c r="B5159">
        <f>Assumptions!$B$60</f>
        <v/>
      </c>
      <c r="C5159" t="n">
        <v>0</v>
      </c>
      <c r="D5159" t="n">
        <v>0</v>
      </c>
      <c r="E5159" t="n">
        <v>1</v>
      </c>
      <c r="F5159" t="n">
        <v>1</v>
      </c>
      <c r="G5159" t="n">
        <v>1</v>
      </c>
      <c r="H5159" t="n">
        <v>1</v>
      </c>
      <c r="I5159" t="n">
        <v>1</v>
      </c>
      <c r="J5159">
        <f>(1-C5159)*Assumptions!$B$41+(1-D5159)*Assumptions!$B$33+(1-E5159)*Assumptions!$B$32+(1-F5159)*Assumptions!$B$31+(1-G5159)*Assumptions!$B$30+(1-H5159)*Assumptions!$B$29+(1-I5159)*Assumptions!$B$28</f>
        <v/>
      </c>
      <c r="K5159">
        <f>C5159*$J$232+D5159*$F$232+E5159*$G$232+F5159*Assumptions!$B$14+G5159*Assumptions!$B$13+H5159*Assumptions!$B$12+I5159*Assumptions!$B$11+$O$232+$S$232+Assumptions!$B$9</f>
        <v/>
      </c>
      <c r="L5159">
        <f>B5159-J5159</f>
        <v/>
      </c>
      <c r="M5159">
        <f>IF(K5159&gt;0,IF(L5159/K5159&gt;=Assumptions!$B$37,1,0),0)</f>
        <v/>
      </c>
      <c r="N5159">
        <f>K5159+M5159*Assumptions!$B$153</f>
        <v/>
      </c>
      <c r="O5159">
        <f>L5159+M5159*Assumptions!$B$153*Assumptions!$B$37</f>
        <v/>
      </c>
      <c r="P5159">
        <f>IF(N5159&gt;0,O5159/N5159,0)</f>
        <v/>
      </c>
      <c r="Q5159">
        <f>IF(C5159=1,P5159*$J$232,Assumptions!$B$41)</f>
        <v/>
      </c>
      <c r="R5159">
        <f>IF(D5159=1,P5159*$F$232,Assumptions!$B$33)</f>
        <v/>
      </c>
      <c r="S5159">
        <f>IF(E5159=1,P5159*$G$232,Assumptions!$B$32)</f>
        <v/>
      </c>
      <c r="T5159">
        <f>IF(F5159=1,P5159*Assumptions!$B$14,Assumptions!$B$31)</f>
        <v/>
      </c>
      <c r="U5159">
        <f>IF(G5159=1,P5159*Assumptions!$B$13,Assumptions!$B$30)</f>
        <v/>
      </c>
      <c r="V5159">
        <f>IF(H5159=1,P5159*Assumptions!$B$12,Assumptions!$B$29)</f>
        <v/>
      </c>
      <c r="W5159">
        <f>IF(I5159=1,P5159*Assumptions!$B$11,Assumptions!$B$28)</f>
        <v/>
      </c>
      <c r="X5159">
        <f>P5159*($O$232+$S$232)</f>
        <v/>
      </c>
      <c r="Y5159">
        <f>P5159*Assumptions!$B$9</f>
        <v/>
      </c>
      <c r="Z5159">
        <f>IF(M5159=1,(P5159-Assumptions!$B$37)*Assumptions!$B$153,0)</f>
        <v/>
      </c>
      <c r="AA5159">
        <f>Q5159+R5159+S5159+T5159+U5159+V5159+W5159+X5159+Y5159+Z5159</f>
        <v/>
      </c>
      <c r="AB5159" t="n">
        <v>31</v>
      </c>
      <c r="AC5159" t="n">
        <v>95</v>
      </c>
      <c r="AD5159" t="n">
        <v>63</v>
      </c>
      <c r="AE5159" t="n">
        <v>15</v>
      </c>
      <c r="AF5159" t="n">
        <v>23</v>
      </c>
      <c r="AG5159" t="n">
        <v>27</v>
      </c>
      <c r="AH5159" t="n">
        <v>29</v>
      </c>
      <c r="AI5159" t="n">
        <v>30</v>
      </c>
      <c r="AJ5159">
        <f>INDEX($Q$5128:$Q$5255,AC5159+1)</f>
        <v/>
      </c>
      <c r="AK5159">
        <f>INDEX($R$5128:$R$5255,AD5159+1)</f>
        <v/>
      </c>
      <c r="AL5159">
        <f>INDEX($S$5128:$S$5255,AE5159+1)</f>
        <v/>
      </c>
      <c r="AM5159">
        <f>INDEX($T$5128:$T$5255,AF5159+1)</f>
        <v/>
      </c>
      <c r="AN5159">
        <f>INDEX($U$5128:$U$5255,AG5159+1)</f>
        <v/>
      </c>
      <c r="AO5159">
        <f>INDEX($V$5128:$V$5255,AH5159+1)</f>
        <v/>
      </c>
      <c r="AP5159">
        <f>INDEX($W$5128:$W$5255,AI5159+1)</f>
        <v/>
      </c>
      <c r="AQ5159">
        <f>IF(Q5159&gt;=AJ5159-0.01,1,0)</f>
        <v/>
      </c>
      <c r="AR5159">
        <f>IF(R5159&gt;=AK5159-0.01,1,0)</f>
        <v/>
      </c>
      <c r="AS5159">
        <f>IF(S5159&gt;=AL5159-0.01,1,0)</f>
        <v/>
      </c>
      <c r="AT5159">
        <f>IF(T5159&gt;=AM5159-0.01,1,0)</f>
        <v/>
      </c>
      <c r="AU5159">
        <f>IF(U5159&gt;=AN5159-0.01,1,0)</f>
        <v/>
      </c>
      <c r="AV5159">
        <f>IF(V5159&gt;=AO5159-0.01,1,0)</f>
        <v/>
      </c>
      <c r="AW5159">
        <f>IF(W5159&gt;=AP5159-0.01,1,0)</f>
        <v/>
      </c>
      <c r="AX5159">
        <f>AQ5159*AR5159*AS5159*AT5159*AU5159*AV5159*AW5159</f>
        <v/>
      </c>
    </row>
    <row r="5160">
      <c r="A5160" t="inlineStr"/>
      <c r="B5160">
        <f>Assumptions!$B$60</f>
        <v/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>
        <f>(1-C5160)*Assumptions!$B$41+(1-D5160)*Assumptions!$B$33+(1-E5160)*Assumptions!$B$32+(1-F5160)*Assumptions!$B$31+(1-G5160)*Assumptions!$B$30+(1-H5160)*Assumptions!$B$29+(1-I5160)*Assumptions!$B$28</f>
        <v/>
      </c>
      <c r="K5160">
        <f>C5160*$J$232+D5160*$F$232+E5160*$G$232+F5160*Assumptions!$B$14+G5160*Assumptions!$B$13+H5160*Assumptions!$B$12+I5160*Assumptions!$B$11+$O$232+$S$232+Assumptions!$B$9</f>
        <v/>
      </c>
      <c r="L5160">
        <f>B5160-J5160</f>
        <v/>
      </c>
      <c r="M5160">
        <f>IF(K5160&gt;0,IF(L5160/K5160&gt;=Assumptions!$B$37,1,0),0)</f>
        <v/>
      </c>
      <c r="N5160">
        <f>K5160+M5160*Assumptions!$B$153</f>
        <v/>
      </c>
      <c r="O5160">
        <f>L5160+M5160*Assumptions!$B$153*Assumptions!$B$37</f>
        <v/>
      </c>
      <c r="P5160">
        <f>IF(N5160&gt;0,O5160/N5160,0)</f>
        <v/>
      </c>
      <c r="Q5160">
        <f>IF(C5160=1,P5160*$J$232,Assumptions!$B$41)</f>
        <v/>
      </c>
      <c r="R5160">
        <f>IF(D5160=1,P5160*$F$232,Assumptions!$B$33)</f>
        <v/>
      </c>
      <c r="S5160">
        <f>IF(E5160=1,P5160*$G$232,Assumptions!$B$32)</f>
        <v/>
      </c>
      <c r="T5160">
        <f>IF(F5160=1,P5160*Assumptions!$B$14,Assumptions!$B$31)</f>
        <v/>
      </c>
      <c r="U5160">
        <f>IF(G5160=1,P5160*Assumptions!$B$13,Assumptions!$B$30)</f>
        <v/>
      </c>
      <c r="V5160">
        <f>IF(H5160=1,P5160*Assumptions!$B$12,Assumptions!$B$29)</f>
        <v/>
      </c>
      <c r="W5160">
        <f>IF(I5160=1,P5160*Assumptions!$B$11,Assumptions!$B$28)</f>
        <v/>
      </c>
      <c r="X5160">
        <f>P5160*($O$232+$S$232)</f>
        <v/>
      </c>
      <c r="Y5160">
        <f>P5160*Assumptions!$B$9</f>
        <v/>
      </c>
      <c r="Z5160">
        <f>IF(M5160=1,(P5160-Assumptions!$B$37)*Assumptions!$B$153,0)</f>
        <v/>
      </c>
      <c r="AA5160">
        <f>Q5160+R5160+S5160+T5160+U5160+V5160+W5160+X5160+Y5160+Z5160</f>
        <v/>
      </c>
      <c r="AB5160" t="n">
        <v>32</v>
      </c>
      <c r="AC5160" t="n">
        <v>96</v>
      </c>
      <c r="AD5160" t="n">
        <v>0</v>
      </c>
      <c r="AE5160" t="n">
        <v>48</v>
      </c>
      <c r="AF5160" t="n">
        <v>40</v>
      </c>
      <c r="AG5160" t="n">
        <v>36</v>
      </c>
      <c r="AH5160" t="n">
        <v>34</v>
      </c>
      <c r="AI5160" t="n">
        <v>33</v>
      </c>
      <c r="AJ5160">
        <f>INDEX($Q$5128:$Q$5255,AC5160+1)</f>
        <v/>
      </c>
      <c r="AK5160">
        <f>INDEX($R$5128:$R$5255,AD5160+1)</f>
        <v/>
      </c>
      <c r="AL5160">
        <f>INDEX($S$5128:$S$5255,AE5160+1)</f>
        <v/>
      </c>
      <c r="AM5160">
        <f>INDEX($T$5128:$T$5255,AF5160+1)</f>
        <v/>
      </c>
      <c r="AN5160">
        <f>INDEX($U$5128:$U$5255,AG5160+1)</f>
        <v/>
      </c>
      <c r="AO5160">
        <f>INDEX($V$5128:$V$5255,AH5160+1)</f>
        <v/>
      </c>
      <c r="AP5160">
        <f>INDEX($W$5128:$W$5255,AI5160+1)</f>
        <v/>
      </c>
      <c r="AQ5160">
        <f>IF(Q5160&gt;=AJ5160-0.01,1,0)</f>
        <v/>
      </c>
      <c r="AR5160">
        <f>IF(R5160&gt;=AK5160-0.01,1,0)</f>
        <v/>
      </c>
      <c r="AS5160">
        <f>IF(S5160&gt;=AL5160-0.01,1,0)</f>
        <v/>
      </c>
      <c r="AT5160">
        <f>IF(T5160&gt;=AM5160-0.01,1,0)</f>
        <v/>
      </c>
      <c r="AU5160">
        <f>IF(U5160&gt;=AN5160-0.01,1,0)</f>
        <v/>
      </c>
      <c r="AV5160">
        <f>IF(V5160&gt;=AO5160-0.01,1,0)</f>
        <v/>
      </c>
      <c r="AW5160">
        <f>IF(W5160&gt;=AP5160-0.01,1,0)</f>
        <v/>
      </c>
      <c r="AX5160">
        <f>AQ5160*AR5160*AS5160*AT5160*AU5160*AV5160*AW5160</f>
        <v/>
      </c>
    </row>
    <row r="5161">
      <c r="A5161" t="inlineStr"/>
      <c r="B5161">
        <f>Assumptions!$B$60</f>
        <v/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>
        <f>(1-C5161)*Assumptions!$B$41+(1-D5161)*Assumptions!$B$33+(1-E5161)*Assumptions!$B$32+(1-F5161)*Assumptions!$B$31+(1-G5161)*Assumptions!$B$30+(1-H5161)*Assumptions!$B$29+(1-I5161)*Assumptions!$B$28</f>
        <v/>
      </c>
      <c r="K5161">
        <f>C5161*$J$232+D5161*$F$232+E5161*$G$232+F5161*Assumptions!$B$14+G5161*Assumptions!$B$13+H5161*Assumptions!$B$12+I5161*Assumptions!$B$11+$O$232+$S$232+Assumptions!$B$9</f>
        <v/>
      </c>
      <c r="L5161">
        <f>B5161-J5161</f>
        <v/>
      </c>
      <c r="M5161">
        <f>IF(K5161&gt;0,IF(L5161/K5161&gt;=Assumptions!$B$37,1,0),0)</f>
        <v/>
      </c>
      <c r="N5161">
        <f>K5161+M5161*Assumptions!$B$153</f>
        <v/>
      </c>
      <c r="O5161">
        <f>L5161+M5161*Assumptions!$B$153*Assumptions!$B$37</f>
        <v/>
      </c>
      <c r="P5161">
        <f>IF(N5161&gt;0,O5161/N5161,0)</f>
        <v/>
      </c>
      <c r="Q5161">
        <f>IF(C5161=1,P5161*$J$232,Assumptions!$B$41)</f>
        <v/>
      </c>
      <c r="R5161">
        <f>IF(D5161=1,P5161*$F$232,Assumptions!$B$33)</f>
        <v/>
      </c>
      <c r="S5161">
        <f>IF(E5161=1,P5161*$G$232,Assumptions!$B$32)</f>
        <v/>
      </c>
      <c r="T5161">
        <f>IF(F5161=1,P5161*Assumptions!$B$14,Assumptions!$B$31)</f>
        <v/>
      </c>
      <c r="U5161">
        <f>IF(G5161=1,P5161*Assumptions!$B$13,Assumptions!$B$30)</f>
        <v/>
      </c>
      <c r="V5161">
        <f>IF(H5161=1,P5161*Assumptions!$B$12,Assumptions!$B$29)</f>
        <v/>
      </c>
      <c r="W5161">
        <f>IF(I5161=1,P5161*Assumptions!$B$11,Assumptions!$B$28)</f>
        <v/>
      </c>
      <c r="X5161">
        <f>P5161*($O$232+$S$232)</f>
        <v/>
      </c>
      <c r="Y5161">
        <f>P5161*Assumptions!$B$9</f>
        <v/>
      </c>
      <c r="Z5161">
        <f>IF(M5161=1,(P5161-Assumptions!$B$37)*Assumptions!$B$153,0)</f>
        <v/>
      </c>
      <c r="AA5161">
        <f>Q5161+R5161+S5161+T5161+U5161+V5161+W5161+X5161+Y5161+Z5161</f>
        <v/>
      </c>
      <c r="AB5161" t="n">
        <v>33</v>
      </c>
      <c r="AC5161" t="n">
        <v>97</v>
      </c>
      <c r="AD5161" t="n">
        <v>1</v>
      </c>
      <c r="AE5161" t="n">
        <v>49</v>
      </c>
      <c r="AF5161" t="n">
        <v>41</v>
      </c>
      <c r="AG5161" t="n">
        <v>37</v>
      </c>
      <c r="AH5161" t="n">
        <v>35</v>
      </c>
      <c r="AI5161" t="n">
        <v>32</v>
      </c>
      <c r="AJ5161">
        <f>INDEX($Q$5128:$Q$5255,AC5161+1)</f>
        <v/>
      </c>
      <c r="AK5161">
        <f>INDEX($R$5128:$R$5255,AD5161+1)</f>
        <v/>
      </c>
      <c r="AL5161">
        <f>INDEX($S$5128:$S$5255,AE5161+1)</f>
        <v/>
      </c>
      <c r="AM5161">
        <f>INDEX($T$5128:$T$5255,AF5161+1)</f>
        <v/>
      </c>
      <c r="AN5161">
        <f>INDEX($U$5128:$U$5255,AG5161+1)</f>
        <v/>
      </c>
      <c r="AO5161">
        <f>INDEX($V$5128:$V$5255,AH5161+1)</f>
        <v/>
      </c>
      <c r="AP5161">
        <f>INDEX($W$5128:$W$5255,AI5161+1)</f>
        <v/>
      </c>
      <c r="AQ5161">
        <f>IF(Q5161&gt;=AJ5161-0.01,1,0)</f>
        <v/>
      </c>
      <c r="AR5161">
        <f>IF(R5161&gt;=AK5161-0.01,1,0)</f>
        <v/>
      </c>
      <c r="AS5161">
        <f>IF(S5161&gt;=AL5161-0.01,1,0)</f>
        <v/>
      </c>
      <c r="AT5161">
        <f>IF(T5161&gt;=AM5161-0.01,1,0)</f>
        <v/>
      </c>
      <c r="AU5161">
        <f>IF(U5161&gt;=AN5161-0.01,1,0)</f>
        <v/>
      </c>
      <c r="AV5161">
        <f>IF(V5161&gt;=AO5161-0.01,1,0)</f>
        <v/>
      </c>
      <c r="AW5161">
        <f>IF(W5161&gt;=AP5161-0.01,1,0)</f>
        <v/>
      </c>
      <c r="AX5161">
        <f>AQ5161*AR5161*AS5161*AT5161*AU5161*AV5161*AW5161</f>
        <v/>
      </c>
    </row>
    <row r="5162">
      <c r="A5162" t="inlineStr"/>
      <c r="B5162">
        <f>Assumptions!$B$60</f>
        <v/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>
        <f>(1-C5162)*Assumptions!$B$41+(1-D5162)*Assumptions!$B$33+(1-E5162)*Assumptions!$B$32+(1-F5162)*Assumptions!$B$31+(1-G5162)*Assumptions!$B$30+(1-H5162)*Assumptions!$B$29+(1-I5162)*Assumptions!$B$28</f>
        <v/>
      </c>
      <c r="K5162">
        <f>C5162*$J$232+D5162*$F$232+E5162*$G$232+F5162*Assumptions!$B$14+G5162*Assumptions!$B$13+H5162*Assumptions!$B$12+I5162*Assumptions!$B$11+$O$232+$S$232+Assumptions!$B$9</f>
        <v/>
      </c>
      <c r="L5162">
        <f>B5162-J5162</f>
        <v/>
      </c>
      <c r="M5162">
        <f>IF(K5162&gt;0,IF(L5162/K5162&gt;=Assumptions!$B$37,1,0),0)</f>
        <v/>
      </c>
      <c r="N5162">
        <f>K5162+M5162*Assumptions!$B$153</f>
        <v/>
      </c>
      <c r="O5162">
        <f>L5162+M5162*Assumptions!$B$153*Assumptions!$B$37</f>
        <v/>
      </c>
      <c r="P5162">
        <f>IF(N5162&gt;0,O5162/N5162,0)</f>
        <v/>
      </c>
      <c r="Q5162">
        <f>IF(C5162=1,P5162*$J$232,Assumptions!$B$41)</f>
        <v/>
      </c>
      <c r="R5162">
        <f>IF(D5162=1,P5162*$F$232,Assumptions!$B$33)</f>
        <v/>
      </c>
      <c r="S5162">
        <f>IF(E5162=1,P5162*$G$232,Assumptions!$B$32)</f>
        <v/>
      </c>
      <c r="T5162">
        <f>IF(F5162=1,P5162*Assumptions!$B$14,Assumptions!$B$31)</f>
        <v/>
      </c>
      <c r="U5162">
        <f>IF(G5162=1,P5162*Assumptions!$B$13,Assumptions!$B$30)</f>
        <v/>
      </c>
      <c r="V5162">
        <f>IF(H5162=1,P5162*Assumptions!$B$12,Assumptions!$B$29)</f>
        <v/>
      </c>
      <c r="W5162">
        <f>IF(I5162=1,P5162*Assumptions!$B$11,Assumptions!$B$28)</f>
        <v/>
      </c>
      <c r="X5162">
        <f>P5162*($O$232+$S$232)</f>
        <v/>
      </c>
      <c r="Y5162">
        <f>P5162*Assumptions!$B$9</f>
        <v/>
      </c>
      <c r="Z5162">
        <f>IF(M5162=1,(P5162-Assumptions!$B$37)*Assumptions!$B$153,0)</f>
        <v/>
      </c>
      <c r="AA5162">
        <f>Q5162+R5162+S5162+T5162+U5162+V5162+W5162+X5162+Y5162+Z5162</f>
        <v/>
      </c>
      <c r="AB5162" t="n">
        <v>34</v>
      </c>
      <c r="AC5162" t="n">
        <v>98</v>
      </c>
      <c r="AD5162" t="n">
        <v>2</v>
      </c>
      <c r="AE5162" t="n">
        <v>50</v>
      </c>
      <c r="AF5162" t="n">
        <v>42</v>
      </c>
      <c r="AG5162" t="n">
        <v>38</v>
      </c>
      <c r="AH5162" t="n">
        <v>32</v>
      </c>
      <c r="AI5162" t="n">
        <v>35</v>
      </c>
      <c r="AJ5162">
        <f>INDEX($Q$5128:$Q$5255,AC5162+1)</f>
        <v/>
      </c>
      <c r="AK5162">
        <f>INDEX($R$5128:$R$5255,AD5162+1)</f>
        <v/>
      </c>
      <c r="AL5162">
        <f>INDEX($S$5128:$S$5255,AE5162+1)</f>
        <v/>
      </c>
      <c r="AM5162">
        <f>INDEX($T$5128:$T$5255,AF5162+1)</f>
        <v/>
      </c>
      <c r="AN5162">
        <f>INDEX($U$5128:$U$5255,AG5162+1)</f>
        <v/>
      </c>
      <c r="AO5162">
        <f>INDEX($V$5128:$V$5255,AH5162+1)</f>
        <v/>
      </c>
      <c r="AP5162">
        <f>INDEX($W$5128:$W$5255,AI5162+1)</f>
        <v/>
      </c>
      <c r="AQ5162">
        <f>IF(Q5162&gt;=AJ5162-0.01,1,0)</f>
        <v/>
      </c>
      <c r="AR5162">
        <f>IF(R5162&gt;=AK5162-0.01,1,0)</f>
        <v/>
      </c>
      <c r="AS5162">
        <f>IF(S5162&gt;=AL5162-0.01,1,0)</f>
        <v/>
      </c>
      <c r="AT5162">
        <f>IF(T5162&gt;=AM5162-0.01,1,0)</f>
        <v/>
      </c>
      <c r="AU5162">
        <f>IF(U5162&gt;=AN5162-0.01,1,0)</f>
        <v/>
      </c>
      <c r="AV5162">
        <f>IF(V5162&gt;=AO5162-0.01,1,0)</f>
        <v/>
      </c>
      <c r="AW5162">
        <f>IF(W5162&gt;=AP5162-0.01,1,0)</f>
        <v/>
      </c>
      <c r="AX5162">
        <f>AQ5162*AR5162*AS5162*AT5162*AU5162*AV5162*AW5162</f>
        <v/>
      </c>
    </row>
    <row r="5163">
      <c r="A5163" t="inlineStr"/>
      <c r="B5163">
        <f>Assumptions!$B$60</f>
        <v/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1</v>
      </c>
      <c r="I5163" t="n">
        <v>1</v>
      </c>
      <c r="J5163">
        <f>(1-C5163)*Assumptions!$B$41+(1-D5163)*Assumptions!$B$33+(1-E5163)*Assumptions!$B$32+(1-F5163)*Assumptions!$B$31+(1-G5163)*Assumptions!$B$30+(1-H5163)*Assumptions!$B$29+(1-I5163)*Assumptions!$B$28</f>
        <v/>
      </c>
      <c r="K5163">
        <f>C5163*$J$232+D5163*$F$232+E5163*$G$232+F5163*Assumptions!$B$14+G5163*Assumptions!$B$13+H5163*Assumptions!$B$12+I5163*Assumptions!$B$11+$O$232+$S$232+Assumptions!$B$9</f>
        <v/>
      </c>
      <c r="L5163">
        <f>B5163-J5163</f>
        <v/>
      </c>
      <c r="M5163">
        <f>IF(K5163&gt;0,IF(L5163/K5163&gt;=Assumptions!$B$37,1,0),0)</f>
        <v/>
      </c>
      <c r="N5163">
        <f>K5163+M5163*Assumptions!$B$153</f>
        <v/>
      </c>
      <c r="O5163">
        <f>L5163+M5163*Assumptions!$B$153*Assumptions!$B$37</f>
        <v/>
      </c>
      <c r="P5163">
        <f>IF(N5163&gt;0,O5163/N5163,0)</f>
        <v/>
      </c>
      <c r="Q5163">
        <f>IF(C5163=1,P5163*$J$232,Assumptions!$B$41)</f>
        <v/>
      </c>
      <c r="R5163">
        <f>IF(D5163=1,P5163*$F$232,Assumptions!$B$33)</f>
        <v/>
      </c>
      <c r="S5163">
        <f>IF(E5163=1,P5163*$G$232,Assumptions!$B$32)</f>
        <v/>
      </c>
      <c r="T5163">
        <f>IF(F5163=1,P5163*Assumptions!$B$14,Assumptions!$B$31)</f>
        <v/>
      </c>
      <c r="U5163">
        <f>IF(G5163=1,P5163*Assumptions!$B$13,Assumptions!$B$30)</f>
        <v/>
      </c>
      <c r="V5163">
        <f>IF(H5163=1,P5163*Assumptions!$B$12,Assumptions!$B$29)</f>
        <v/>
      </c>
      <c r="W5163">
        <f>IF(I5163=1,P5163*Assumptions!$B$11,Assumptions!$B$28)</f>
        <v/>
      </c>
      <c r="X5163">
        <f>P5163*($O$232+$S$232)</f>
        <v/>
      </c>
      <c r="Y5163">
        <f>P5163*Assumptions!$B$9</f>
        <v/>
      </c>
      <c r="Z5163">
        <f>IF(M5163=1,(P5163-Assumptions!$B$37)*Assumptions!$B$153,0)</f>
        <v/>
      </c>
      <c r="AA5163">
        <f>Q5163+R5163+S5163+T5163+U5163+V5163+W5163+X5163+Y5163+Z5163</f>
        <v/>
      </c>
      <c r="AB5163" t="n">
        <v>35</v>
      </c>
      <c r="AC5163" t="n">
        <v>99</v>
      </c>
      <c r="AD5163" t="n">
        <v>3</v>
      </c>
      <c r="AE5163" t="n">
        <v>51</v>
      </c>
      <c r="AF5163" t="n">
        <v>43</v>
      </c>
      <c r="AG5163" t="n">
        <v>39</v>
      </c>
      <c r="AH5163" t="n">
        <v>33</v>
      </c>
      <c r="AI5163" t="n">
        <v>34</v>
      </c>
      <c r="AJ5163">
        <f>INDEX($Q$5128:$Q$5255,AC5163+1)</f>
        <v/>
      </c>
      <c r="AK5163">
        <f>INDEX($R$5128:$R$5255,AD5163+1)</f>
        <v/>
      </c>
      <c r="AL5163">
        <f>INDEX($S$5128:$S$5255,AE5163+1)</f>
        <v/>
      </c>
      <c r="AM5163">
        <f>INDEX($T$5128:$T$5255,AF5163+1)</f>
        <v/>
      </c>
      <c r="AN5163">
        <f>INDEX($U$5128:$U$5255,AG5163+1)</f>
        <v/>
      </c>
      <c r="AO5163">
        <f>INDEX($V$5128:$V$5255,AH5163+1)</f>
        <v/>
      </c>
      <c r="AP5163">
        <f>INDEX($W$5128:$W$5255,AI5163+1)</f>
        <v/>
      </c>
      <c r="AQ5163">
        <f>IF(Q5163&gt;=AJ5163-0.01,1,0)</f>
        <v/>
      </c>
      <c r="AR5163">
        <f>IF(R5163&gt;=AK5163-0.01,1,0)</f>
        <v/>
      </c>
      <c r="AS5163">
        <f>IF(S5163&gt;=AL5163-0.01,1,0)</f>
        <v/>
      </c>
      <c r="AT5163">
        <f>IF(T5163&gt;=AM5163-0.01,1,0)</f>
        <v/>
      </c>
      <c r="AU5163">
        <f>IF(U5163&gt;=AN5163-0.01,1,0)</f>
        <v/>
      </c>
      <c r="AV5163">
        <f>IF(V5163&gt;=AO5163-0.01,1,0)</f>
        <v/>
      </c>
      <c r="AW5163">
        <f>IF(W5163&gt;=AP5163-0.01,1,0)</f>
        <v/>
      </c>
      <c r="AX5163">
        <f>AQ5163*AR5163*AS5163*AT5163*AU5163*AV5163*AW5163</f>
        <v/>
      </c>
    </row>
    <row r="5164">
      <c r="A5164" t="inlineStr"/>
      <c r="B5164">
        <f>Assumptions!$B$60</f>
        <v/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>
        <f>(1-C5164)*Assumptions!$B$41+(1-D5164)*Assumptions!$B$33+(1-E5164)*Assumptions!$B$32+(1-F5164)*Assumptions!$B$31+(1-G5164)*Assumptions!$B$30+(1-H5164)*Assumptions!$B$29+(1-I5164)*Assumptions!$B$28</f>
        <v/>
      </c>
      <c r="K5164">
        <f>C5164*$J$232+D5164*$F$232+E5164*$G$232+F5164*Assumptions!$B$14+G5164*Assumptions!$B$13+H5164*Assumptions!$B$12+I5164*Assumptions!$B$11+$O$232+$S$232+Assumptions!$B$9</f>
        <v/>
      </c>
      <c r="L5164">
        <f>B5164-J5164</f>
        <v/>
      </c>
      <c r="M5164">
        <f>IF(K5164&gt;0,IF(L5164/K5164&gt;=Assumptions!$B$37,1,0),0)</f>
        <v/>
      </c>
      <c r="N5164">
        <f>K5164+M5164*Assumptions!$B$153</f>
        <v/>
      </c>
      <c r="O5164">
        <f>L5164+M5164*Assumptions!$B$153*Assumptions!$B$37</f>
        <v/>
      </c>
      <c r="P5164">
        <f>IF(N5164&gt;0,O5164/N5164,0)</f>
        <v/>
      </c>
      <c r="Q5164">
        <f>IF(C5164=1,P5164*$J$232,Assumptions!$B$41)</f>
        <v/>
      </c>
      <c r="R5164">
        <f>IF(D5164=1,P5164*$F$232,Assumptions!$B$33)</f>
        <v/>
      </c>
      <c r="S5164">
        <f>IF(E5164=1,P5164*$G$232,Assumptions!$B$32)</f>
        <v/>
      </c>
      <c r="T5164">
        <f>IF(F5164=1,P5164*Assumptions!$B$14,Assumptions!$B$31)</f>
        <v/>
      </c>
      <c r="U5164">
        <f>IF(G5164=1,P5164*Assumptions!$B$13,Assumptions!$B$30)</f>
        <v/>
      </c>
      <c r="V5164">
        <f>IF(H5164=1,P5164*Assumptions!$B$12,Assumptions!$B$29)</f>
        <v/>
      </c>
      <c r="W5164">
        <f>IF(I5164=1,P5164*Assumptions!$B$11,Assumptions!$B$28)</f>
        <v/>
      </c>
      <c r="X5164">
        <f>P5164*($O$232+$S$232)</f>
        <v/>
      </c>
      <c r="Y5164">
        <f>P5164*Assumptions!$B$9</f>
        <v/>
      </c>
      <c r="Z5164">
        <f>IF(M5164=1,(P5164-Assumptions!$B$37)*Assumptions!$B$153,0)</f>
        <v/>
      </c>
      <c r="AA5164">
        <f>Q5164+R5164+S5164+T5164+U5164+V5164+W5164+X5164+Y5164+Z5164</f>
        <v/>
      </c>
      <c r="AB5164" t="n">
        <v>36</v>
      </c>
      <c r="AC5164" t="n">
        <v>100</v>
      </c>
      <c r="AD5164" t="n">
        <v>4</v>
      </c>
      <c r="AE5164" t="n">
        <v>52</v>
      </c>
      <c r="AF5164" t="n">
        <v>44</v>
      </c>
      <c r="AG5164" t="n">
        <v>32</v>
      </c>
      <c r="AH5164" t="n">
        <v>38</v>
      </c>
      <c r="AI5164" t="n">
        <v>37</v>
      </c>
      <c r="AJ5164">
        <f>INDEX($Q$5128:$Q$5255,AC5164+1)</f>
        <v/>
      </c>
      <c r="AK5164">
        <f>INDEX($R$5128:$R$5255,AD5164+1)</f>
        <v/>
      </c>
      <c r="AL5164">
        <f>INDEX($S$5128:$S$5255,AE5164+1)</f>
        <v/>
      </c>
      <c r="AM5164">
        <f>INDEX($T$5128:$T$5255,AF5164+1)</f>
        <v/>
      </c>
      <c r="AN5164">
        <f>INDEX($U$5128:$U$5255,AG5164+1)</f>
        <v/>
      </c>
      <c r="AO5164">
        <f>INDEX($V$5128:$V$5255,AH5164+1)</f>
        <v/>
      </c>
      <c r="AP5164">
        <f>INDEX($W$5128:$W$5255,AI5164+1)</f>
        <v/>
      </c>
      <c r="AQ5164">
        <f>IF(Q5164&gt;=AJ5164-0.01,1,0)</f>
        <v/>
      </c>
      <c r="AR5164">
        <f>IF(R5164&gt;=AK5164-0.01,1,0)</f>
        <v/>
      </c>
      <c r="AS5164">
        <f>IF(S5164&gt;=AL5164-0.01,1,0)</f>
        <v/>
      </c>
      <c r="AT5164">
        <f>IF(T5164&gt;=AM5164-0.01,1,0)</f>
        <v/>
      </c>
      <c r="AU5164">
        <f>IF(U5164&gt;=AN5164-0.01,1,0)</f>
        <v/>
      </c>
      <c r="AV5164">
        <f>IF(V5164&gt;=AO5164-0.01,1,0)</f>
        <v/>
      </c>
      <c r="AW5164">
        <f>IF(W5164&gt;=AP5164-0.01,1,0)</f>
        <v/>
      </c>
      <c r="AX5164">
        <f>AQ5164*AR5164*AS5164*AT5164*AU5164*AV5164*AW5164</f>
        <v/>
      </c>
    </row>
    <row r="5165">
      <c r="A5165" t="inlineStr"/>
      <c r="B5165">
        <f>Assumptions!$B$60</f>
        <v/>
      </c>
      <c r="C5165" t="n">
        <v>0</v>
      </c>
      <c r="D5165" t="n">
        <v>1</v>
      </c>
      <c r="E5165" t="n">
        <v>0</v>
      </c>
      <c r="F5165" t="n">
        <v>0</v>
      </c>
      <c r="G5165" t="n">
        <v>1</v>
      </c>
      <c r="H5165" t="n">
        <v>0</v>
      </c>
      <c r="I5165" t="n">
        <v>1</v>
      </c>
      <c r="J5165">
        <f>(1-C5165)*Assumptions!$B$41+(1-D5165)*Assumptions!$B$33+(1-E5165)*Assumptions!$B$32+(1-F5165)*Assumptions!$B$31+(1-G5165)*Assumptions!$B$30+(1-H5165)*Assumptions!$B$29+(1-I5165)*Assumptions!$B$28</f>
        <v/>
      </c>
      <c r="K5165">
        <f>C5165*$J$232+D5165*$F$232+E5165*$G$232+F5165*Assumptions!$B$14+G5165*Assumptions!$B$13+H5165*Assumptions!$B$12+I5165*Assumptions!$B$11+$O$232+$S$232+Assumptions!$B$9</f>
        <v/>
      </c>
      <c r="L5165">
        <f>B5165-J5165</f>
        <v/>
      </c>
      <c r="M5165">
        <f>IF(K5165&gt;0,IF(L5165/K5165&gt;=Assumptions!$B$37,1,0),0)</f>
        <v/>
      </c>
      <c r="N5165">
        <f>K5165+M5165*Assumptions!$B$153</f>
        <v/>
      </c>
      <c r="O5165">
        <f>L5165+M5165*Assumptions!$B$153*Assumptions!$B$37</f>
        <v/>
      </c>
      <c r="P5165">
        <f>IF(N5165&gt;0,O5165/N5165,0)</f>
        <v/>
      </c>
      <c r="Q5165">
        <f>IF(C5165=1,P5165*$J$232,Assumptions!$B$41)</f>
        <v/>
      </c>
      <c r="R5165">
        <f>IF(D5165=1,P5165*$F$232,Assumptions!$B$33)</f>
        <v/>
      </c>
      <c r="S5165">
        <f>IF(E5165=1,P5165*$G$232,Assumptions!$B$32)</f>
        <v/>
      </c>
      <c r="T5165">
        <f>IF(F5165=1,P5165*Assumptions!$B$14,Assumptions!$B$31)</f>
        <v/>
      </c>
      <c r="U5165">
        <f>IF(G5165=1,P5165*Assumptions!$B$13,Assumptions!$B$30)</f>
        <v/>
      </c>
      <c r="V5165">
        <f>IF(H5165=1,P5165*Assumptions!$B$12,Assumptions!$B$29)</f>
        <v/>
      </c>
      <c r="W5165">
        <f>IF(I5165=1,P5165*Assumptions!$B$11,Assumptions!$B$28)</f>
        <v/>
      </c>
      <c r="X5165">
        <f>P5165*($O$232+$S$232)</f>
        <v/>
      </c>
      <c r="Y5165">
        <f>P5165*Assumptions!$B$9</f>
        <v/>
      </c>
      <c r="Z5165">
        <f>IF(M5165=1,(P5165-Assumptions!$B$37)*Assumptions!$B$153,0)</f>
        <v/>
      </c>
      <c r="AA5165">
        <f>Q5165+R5165+S5165+T5165+U5165+V5165+W5165+X5165+Y5165+Z5165</f>
        <v/>
      </c>
      <c r="AB5165" t="n">
        <v>37</v>
      </c>
      <c r="AC5165" t="n">
        <v>101</v>
      </c>
      <c r="AD5165" t="n">
        <v>5</v>
      </c>
      <c r="AE5165" t="n">
        <v>53</v>
      </c>
      <c r="AF5165" t="n">
        <v>45</v>
      </c>
      <c r="AG5165" t="n">
        <v>33</v>
      </c>
      <c r="AH5165" t="n">
        <v>39</v>
      </c>
      <c r="AI5165" t="n">
        <v>36</v>
      </c>
      <c r="AJ5165">
        <f>INDEX($Q$5128:$Q$5255,AC5165+1)</f>
        <v/>
      </c>
      <c r="AK5165">
        <f>INDEX($R$5128:$R$5255,AD5165+1)</f>
        <v/>
      </c>
      <c r="AL5165">
        <f>INDEX($S$5128:$S$5255,AE5165+1)</f>
        <v/>
      </c>
      <c r="AM5165">
        <f>INDEX($T$5128:$T$5255,AF5165+1)</f>
        <v/>
      </c>
      <c r="AN5165">
        <f>INDEX($U$5128:$U$5255,AG5165+1)</f>
        <v/>
      </c>
      <c r="AO5165">
        <f>INDEX($V$5128:$V$5255,AH5165+1)</f>
        <v/>
      </c>
      <c r="AP5165">
        <f>INDEX($W$5128:$W$5255,AI5165+1)</f>
        <v/>
      </c>
      <c r="AQ5165">
        <f>IF(Q5165&gt;=AJ5165-0.01,1,0)</f>
        <v/>
      </c>
      <c r="AR5165">
        <f>IF(R5165&gt;=AK5165-0.01,1,0)</f>
        <v/>
      </c>
      <c r="AS5165">
        <f>IF(S5165&gt;=AL5165-0.01,1,0)</f>
        <v/>
      </c>
      <c r="AT5165">
        <f>IF(T5165&gt;=AM5165-0.01,1,0)</f>
        <v/>
      </c>
      <c r="AU5165">
        <f>IF(U5165&gt;=AN5165-0.01,1,0)</f>
        <v/>
      </c>
      <c r="AV5165">
        <f>IF(V5165&gt;=AO5165-0.01,1,0)</f>
        <v/>
      </c>
      <c r="AW5165">
        <f>IF(W5165&gt;=AP5165-0.01,1,0)</f>
        <v/>
      </c>
      <c r="AX5165">
        <f>AQ5165*AR5165*AS5165*AT5165*AU5165*AV5165*AW5165</f>
        <v/>
      </c>
    </row>
    <row r="5166">
      <c r="A5166" t="inlineStr"/>
      <c r="B5166">
        <f>Assumptions!$B$60</f>
        <v/>
      </c>
      <c r="C5166" t="n">
        <v>0</v>
      </c>
      <c r="D5166" t="n">
        <v>1</v>
      </c>
      <c r="E5166" t="n">
        <v>0</v>
      </c>
      <c r="F5166" t="n">
        <v>0</v>
      </c>
      <c r="G5166" t="n">
        <v>1</v>
      </c>
      <c r="H5166" t="n">
        <v>1</v>
      </c>
      <c r="I5166" t="n">
        <v>0</v>
      </c>
      <c r="J5166">
        <f>(1-C5166)*Assumptions!$B$41+(1-D5166)*Assumptions!$B$33+(1-E5166)*Assumptions!$B$32+(1-F5166)*Assumptions!$B$31+(1-G5166)*Assumptions!$B$30+(1-H5166)*Assumptions!$B$29+(1-I5166)*Assumptions!$B$28</f>
        <v/>
      </c>
      <c r="K5166">
        <f>C5166*$J$232+D5166*$F$232+E5166*$G$232+F5166*Assumptions!$B$14+G5166*Assumptions!$B$13+H5166*Assumptions!$B$12+I5166*Assumptions!$B$11+$O$232+$S$232+Assumptions!$B$9</f>
        <v/>
      </c>
      <c r="L5166">
        <f>B5166-J5166</f>
        <v/>
      </c>
      <c r="M5166">
        <f>IF(K5166&gt;0,IF(L5166/K5166&gt;=Assumptions!$B$37,1,0),0)</f>
        <v/>
      </c>
      <c r="N5166">
        <f>K5166+M5166*Assumptions!$B$153</f>
        <v/>
      </c>
      <c r="O5166">
        <f>L5166+M5166*Assumptions!$B$153*Assumptions!$B$37</f>
        <v/>
      </c>
      <c r="P5166">
        <f>IF(N5166&gt;0,O5166/N5166,0)</f>
        <v/>
      </c>
      <c r="Q5166">
        <f>IF(C5166=1,P5166*$J$232,Assumptions!$B$41)</f>
        <v/>
      </c>
      <c r="R5166">
        <f>IF(D5166=1,P5166*$F$232,Assumptions!$B$33)</f>
        <v/>
      </c>
      <c r="S5166">
        <f>IF(E5166=1,P5166*$G$232,Assumptions!$B$32)</f>
        <v/>
      </c>
      <c r="T5166">
        <f>IF(F5166=1,P5166*Assumptions!$B$14,Assumptions!$B$31)</f>
        <v/>
      </c>
      <c r="U5166">
        <f>IF(G5166=1,P5166*Assumptions!$B$13,Assumptions!$B$30)</f>
        <v/>
      </c>
      <c r="V5166">
        <f>IF(H5166=1,P5166*Assumptions!$B$12,Assumptions!$B$29)</f>
        <v/>
      </c>
      <c r="W5166">
        <f>IF(I5166=1,P5166*Assumptions!$B$11,Assumptions!$B$28)</f>
        <v/>
      </c>
      <c r="X5166">
        <f>P5166*($O$232+$S$232)</f>
        <v/>
      </c>
      <c r="Y5166">
        <f>P5166*Assumptions!$B$9</f>
        <v/>
      </c>
      <c r="Z5166">
        <f>IF(M5166=1,(P5166-Assumptions!$B$37)*Assumptions!$B$153,0)</f>
        <v/>
      </c>
      <c r="AA5166">
        <f>Q5166+R5166+S5166+T5166+U5166+V5166+W5166+X5166+Y5166+Z5166</f>
        <v/>
      </c>
      <c r="AB5166" t="n">
        <v>38</v>
      </c>
      <c r="AC5166" t="n">
        <v>102</v>
      </c>
      <c r="AD5166" t="n">
        <v>6</v>
      </c>
      <c r="AE5166" t="n">
        <v>54</v>
      </c>
      <c r="AF5166" t="n">
        <v>46</v>
      </c>
      <c r="AG5166" t="n">
        <v>34</v>
      </c>
      <c r="AH5166" t="n">
        <v>36</v>
      </c>
      <c r="AI5166" t="n">
        <v>39</v>
      </c>
      <c r="AJ5166">
        <f>INDEX($Q$5128:$Q$5255,AC5166+1)</f>
        <v/>
      </c>
      <c r="AK5166">
        <f>INDEX($R$5128:$R$5255,AD5166+1)</f>
        <v/>
      </c>
      <c r="AL5166">
        <f>INDEX($S$5128:$S$5255,AE5166+1)</f>
        <v/>
      </c>
      <c r="AM5166">
        <f>INDEX($T$5128:$T$5255,AF5166+1)</f>
        <v/>
      </c>
      <c r="AN5166">
        <f>INDEX($U$5128:$U$5255,AG5166+1)</f>
        <v/>
      </c>
      <c r="AO5166">
        <f>INDEX($V$5128:$V$5255,AH5166+1)</f>
        <v/>
      </c>
      <c r="AP5166">
        <f>INDEX($W$5128:$W$5255,AI5166+1)</f>
        <v/>
      </c>
      <c r="AQ5166">
        <f>IF(Q5166&gt;=AJ5166-0.01,1,0)</f>
        <v/>
      </c>
      <c r="AR5166">
        <f>IF(R5166&gt;=AK5166-0.01,1,0)</f>
        <v/>
      </c>
      <c r="AS5166">
        <f>IF(S5166&gt;=AL5166-0.01,1,0)</f>
        <v/>
      </c>
      <c r="AT5166">
        <f>IF(T5166&gt;=AM5166-0.01,1,0)</f>
        <v/>
      </c>
      <c r="AU5166">
        <f>IF(U5166&gt;=AN5166-0.01,1,0)</f>
        <v/>
      </c>
      <c r="AV5166">
        <f>IF(V5166&gt;=AO5166-0.01,1,0)</f>
        <v/>
      </c>
      <c r="AW5166">
        <f>IF(W5166&gt;=AP5166-0.01,1,0)</f>
        <v/>
      </c>
      <c r="AX5166">
        <f>AQ5166*AR5166*AS5166*AT5166*AU5166*AV5166*AW5166</f>
        <v/>
      </c>
    </row>
    <row r="5167">
      <c r="A5167" t="inlineStr"/>
      <c r="B5167">
        <f>Assumptions!$B$60</f>
        <v/>
      </c>
      <c r="C5167" t="n">
        <v>0</v>
      </c>
      <c r="D5167" t="n">
        <v>1</v>
      </c>
      <c r="E5167" t="n">
        <v>0</v>
      </c>
      <c r="F5167" t="n">
        <v>0</v>
      </c>
      <c r="G5167" t="n">
        <v>1</v>
      </c>
      <c r="H5167" t="n">
        <v>1</v>
      </c>
      <c r="I5167" t="n">
        <v>1</v>
      </c>
      <c r="J5167">
        <f>(1-C5167)*Assumptions!$B$41+(1-D5167)*Assumptions!$B$33+(1-E5167)*Assumptions!$B$32+(1-F5167)*Assumptions!$B$31+(1-G5167)*Assumptions!$B$30+(1-H5167)*Assumptions!$B$29+(1-I5167)*Assumptions!$B$28</f>
        <v/>
      </c>
      <c r="K5167">
        <f>C5167*$J$232+D5167*$F$232+E5167*$G$232+F5167*Assumptions!$B$14+G5167*Assumptions!$B$13+H5167*Assumptions!$B$12+I5167*Assumptions!$B$11+$O$232+$S$232+Assumptions!$B$9</f>
        <v/>
      </c>
      <c r="L5167">
        <f>B5167-J5167</f>
        <v/>
      </c>
      <c r="M5167">
        <f>IF(K5167&gt;0,IF(L5167/K5167&gt;=Assumptions!$B$37,1,0),0)</f>
        <v/>
      </c>
      <c r="N5167">
        <f>K5167+M5167*Assumptions!$B$153</f>
        <v/>
      </c>
      <c r="O5167">
        <f>L5167+M5167*Assumptions!$B$153*Assumptions!$B$37</f>
        <v/>
      </c>
      <c r="P5167">
        <f>IF(N5167&gt;0,O5167/N5167,0)</f>
        <v/>
      </c>
      <c r="Q5167">
        <f>IF(C5167=1,P5167*$J$232,Assumptions!$B$41)</f>
        <v/>
      </c>
      <c r="R5167">
        <f>IF(D5167=1,P5167*$F$232,Assumptions!$B$33)</f>
        <v/>
      </c>
      <c r="S5167">
        <f>IF(E5167=1,P5167*$G$232,Assumptions!$B$32)</f>
        <v/>
      </c>
      <c r="T5167">
        <f>IF(F5167=1,P5167*Assumptions!$B$14,Assumptions!$B$31)</f>
        <v/>
      </c>
      <c r="U5167">
        <f>IF(G5167=1,P5167*Assumptions!$B$13,Assumptions!$B$30)</f>
        <v/>
      </c>
      <c r="V5167">
        <f>IF(H5167=1,P5167*Assumptions!$B$12,Assumptions!$B$29)</f>
        <v/>
      </c>
      <c r="W5167">
        <f>IF(I5167=1,P5167*Assumptions!$B$11,Assumptions!$B$28)</f>
        <v/>
      </c>
      <c r="X5167">
        <f>P5167*($O$232+$S$232)</f>
        <v/>
      </c>
      <c r="Y5167">
        <f>P5167*Assumptions!$B$9</f>
        <v/>
      </c>
      <c r="Z5167">
        <f>IF(M5167=1,(P5167-Assumptions!$B$37)*Assumptions!$B$153,0)</f>
        <v/>
      </c>
      <c r="AA5167">
        <f>Q5167+R5167+S5167+T5167+U5167+V5167+W5167+X5167+Y5167+Z5167</f>
        <v/>
      </c>
      <c r="AB5167" t="n">
        <v>39</v>
      </c>
      <c r="AC5167" t="n">
        <v>103</v>
      </c>
      <c r="AD5167" t="n">
        <v>7</v>
      </c>
      <c r="AE5167" t="n">
        <v>55</v>
      </c>
      <c r="AF5167" t="n">
        <v>47</v>
      </c>
      <c r="AG5167" t="n">
        <v>35</v>
      </c>
      <c r="AH5167" t="n">
        <v>37</v>
      </c>
      <c r="AI5167" t="n">
        <v>38</v>
      </c>
      <c r="AJ5167">
        <f>INDEX($Q$5128:$Q$5255,AC5167+1)</f>
        <v/>
      </c>
      <c r="AK5167">
        <f>INDEX($R$5128:$R$5255,AD5167+1)</f>
        <v/>
      </c>
      <c r="AL5167">
        <f>INDEX($S$5128:$S$5255,AE5167+1)</f>
        <v/>
      </c>
      <c r="AM5167">
        <f>INDEX($T$5128:$T$5255,AF5167+1)</f>
        <v/>
      </c>
      <c r="AN5167">
        <f>INDEX($U$5128:$U$5255,AG5167+1)</f>
        <v/>
      </c>
      <c r="AO5167">
        <f>INDEX($V$5128:$V$5255,AH5167+1)</f>
        <v/>
      </c>
      <c r="AP5167">
        <f>INDEX($W$5128:$W$5255,AI5167+1)</f>
        <v/>
      </c>
      <c r="AQ5167">
        <f>IF(Q5167&gt;=AJ5167-0.01,1,0)</f>
        <v/>
      </c>
      <c r="AR5167">
        <f>IF(R5167&gt;=AK5167-0.01,1,0)</f>
        <v/>
      </c>
      <c r="AS5167">
        <f>IF(S5167&gt;=AL5167-0.01,1,0)</f>
        <v/>
      </c>
      <c r="AT5167">
        <f>IF(T5167&gt;=AM5167-0.01,1,0)</f>
        <v/>
      </c>
      <c r="AU5167">
        <f>IF(U5167&gt;=AN5167-0.01,1,0)</f>
        <v/>
      </c>
      <c r="AV5167">
        <f>IF(V5167&gt;=AO5167-0.01,1,0)</f>
        <v/>
      </c>
      <c r="AW5167">
        <f>IF(W5167&gt;=AP5167-0.01,1,0)</f>
        <v/>
      </c>
      <c r="AX5167">
        <f>AQ5167*AR5167*AS5167*AT5167*AU5167*AV5167*AW5167</f>
        <v/>
      </c>
    </row>
    <row r="5168">
      <c r="A5168" t="inlineStr"/>
      <c r="B5168">
        <f>Assumptions!$B$60</f>
        <v/>
      </c>
      <c r="C5168" t="n">
        <v>0</v>
      </c>
      <c r="D5168" t="n">
        <v>1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>
        <f>(1-C5168)*Assumptions!$B$41+(1-D5168)*Assumptions!$B$33+(1-E5168)*Assumptions!$B$32+(1-F5168)*Assumptions!$B$31+(1-G5168)*Assumptions!$B$30+(1-H5168)*Assumptions!$B$29+(1-I5168)*Assumptions!$B$28</f>
        <v/>
      </c>
      <c r="K5168">
        <f>C5168*$J$232+D5168*$F$232+E5168*$G$232+F5168*Assumptions!$B$14+G5168*Assumptions!$B$13+H5168*Assumptions!$B$12+I5168*Assumptions!$B$11+$O$232+$S$232+Assumptions!$B$9</f>
        <v/>
      </c>
      <c r="L5168">
        <f>B5168-J5168</f>
        <v/>
      </c>
      <c r="M5168">
        <f>IF(K5168&gt;0,IF(L5168/K5168&gt;=Assumptions!$B$37,1,0),0)</f>
        <v/>
      </c>
      <c r="N5168">
        <f>K5168+M5168*Assumptions!$B$153</f>
        <v/>
      </c>
      <c r="O5168">
        <f>L5168+M5168*Assumptions!$B$153*Assumptions!$B$37</f>
        <v/>
      </c>
      <c r="P5168">
        <f>IF(N5168&gt;0,O5168/N5168,0)</f>
        <v/>
      </c>
      <c r="Q5168">
        <f>IF(C5168=1,P5168*$J$232,Assumptions!$B$41)</f>
        <v/>
      </c>
      <c r="R5168">
        <f>IF(D5168=1,P5168*$F$232,Assumptions!$B$33)</f>
        <v/>
      </c>
      <c r="S5168">
        <f>IF(E5168=1,P5168*$G$232,Assumptions!$B$32)</f>
        <v/>
      </c>
      <c r="T5168">
        <f>IF(F5168=1,P5168*Assumptions!$B$14,Assumptions!$B$31)</f>
        <v/>
      </c>
      <c r="U5168">
        <f>IF(G5168=1,P5168*Assumptions!$B$13,Assumptions!$B$30)</f>
        <v/>
      </c>
      <c r="V5168">
        <f>IF(H5168=1,P5168*Assumptions!$B$12,Assumptions!$B$29)</f>
        <v/>
      </c>
      <c r="W5168">
        <f>IF(I5168=1,P5168*Assumptions!$B$11,Assumptions!$B$28)</f>
        <v/>
      </c>
      <c r="X5168">
        <f>P5168*($O$232+$S$232)</f>
        <v/>
      </c>
      <c r="Y5168">
        <f>P5168*Assumptions!$B$9</f>
        <v/>
      </c>
      <c r="Z5168">
        <f>IF(M5168=1,(P5168-Assumptions!$B$37)*Assumptions!$B$153,0)</f>
        <v/>
      </c>
      <c r="AA5168">
        <f>Q5168+R5168+S5168+T5168+U5168+V5168+W5168+X5168+Y5168+Z5168</f>
        <v/>
      </c>
      <c r="AB5168" t="n">
        <v>40</v>
      </c>
      <c r="AC5168" t="n">
        <v>104</v>
      </c>
      <c r="AD5168" t="n">
        <v>8</v>
      </c>
      <c r="AE5168" t="n">
        <v>56</v>
      </c>
      <c r="AF5168" t="n">
        <v>32</v>
      </c>
      <c r="AG5168" t="n">
        <v>44</v>
      </c>
      <c r="AH5168" t="n">
        <v>42</v>
      </c>
      <c r="AI5168" t="n">
        <v>41</v>
      </c>
      <c r="AJ5168">
        <f>INDEX($Q$5128:$Q$5255,AC5168+1)</f>
        <v/>
      </c>
      <c r="AK5168">
        <f>INDEX($R$5128:$R$5255,AD5168+1)</f>
        <v/>
      </c>
      <c r="AL5168">
        <f>INDEX($S$5128:$S$5255,AE5168+1)</f>
        <v/>
      </c>
      <c r="AM5168">
        <f>INDEX($T$5128:$T$5255,AF5168+1)</f>
        <v/>
      </c>
      <c r="AN5168">
        <f>INDEX($U$5128:$U$5255,AG5168+1)</f>
        <v/>
      </c>
      <c r="AO5168">
        <f>INDEX($V$5128:$V$5255,AH5168+1)</f>
        <v/>
      </c>
      <c r="AP5168">
        <f>INDEX($W$5128:$W$5255,AI5168+1)</f>
        <v/>
      </c>
      <c r="AQ5168">
        <f>IF(Q5168&gt;=AJ5168-0.01,1,0)</f>
        <v/>
      </c>
      <c r="AR5168">
        <f>IF(R5168&gt;=AK5168-0.01,1,0)</f>
        <v/>
      </c>
      <c r="AS5168">
        <f>IF(S5168&gt;=AL5168-0.01,1,0)</f>
        <v/>
      </c>
      <c r="AT5168">
        <f>IF(T5168&gt;=AM5168-0.01,1,0)</f>
        <v/>
      </c>
      <c r="AU5168">
        <f>IF(U5168&gt;=AN5168-0.01,1,0)</f>
        <v/>
      </c>
      <c r="AV5168">
        <f>IF(V5168&gt;=AO5168-0.01,1,0)</f>
        <v/>
      </c>
      <c r="AW5168">
        <f>IF(W5168&gt;=AP5168-0.01,1,0)</f>
        <v/>
      </c>
      <c r="AX5168">
        <f>AQ5168*AR5168*AS5168*AT5168*AU5168*AV5168*AW5168</f>
        <v/>
      </c>
    </row>
    <row r="5169">
      <c r="A5169" t="inlineStr"/>
      <c r="B5169">
        <f>Assumptions!$B$60</f>
        <v/>
      </c>
      <c r="C5169" t="n">
        <v>0</v>
      </c>
      <c r="D5169" t="n">
        <v>1</v>
      </c>
      <c r="E5169" t="n">
        <v>0</v>
      </c>
      <c r="F5169" t="n">
        <v>1</v>
      </c>
      <c r="G5169" t="n">
        <v>0</v>
      </c>
      <c r="H5169" t="n">
        <v>0</v>
      </c>
      <c r="I5169" t="n">
        <v>1</v>
      </c>
      <c r="J5169">
        <f>(1-C5169)*Assumptions!$B$41+(1-D5169)*Assumptions!$B$33+(1-E5169)*Assumptions!$B$32+(1-F5169)*Assumptions!$B$31+(1-G5169)*Assumptions!$B$30+(1-H5169)*Assumptions!$B$29+(1-I5169)*Assumptions!$B$28</f>
        <v/>
      </c>
      <c r="K5169">
        <f>C5169*$J$232+D5169*$F$232+E5169*$G$232+F5169*Assumptions!$B$14+G5169*Assumptions!$B$13+H5169*Assumptions!$B$12+I5169*Assumptions!$B$11+$O$232+$S$232+Assumptions!$B$9</f>
        <v/>
      </c>
      <c r="L5169">
        <f>B5169-J5169</f>
        <v/>
      </c>
      <c r="M5169">
        <f>IF(K5169&gt;0,IF(L5169/K5169&gt;=Assumptions!$B$37,1,0),0)</f>
        <v/>
      </c>
      <c r="N5169">
        <f>K5169+M5169*Assumptions!$B$153</f>
        <v/>
      </c>
      <c r="O5169">
        <f>L5169+M5169*Assumptions!$B$153*Assumptions!$B$37</f>
        <v/>
      </c>
      <c r="P5169">
        <f>IF(N5169&gt;0,O5169/N5169,0)</f>
        <v/>
      </c>
      <c r="Q5169">
        <f>IF(C5169=1,P5169*$J$232,Assumptions!$B$41)</f>
        <v/>
      </c>
      <c r="R5169">
        <f>IF(D5169=1,P5169*$F$232,Assumptions!$B$33)</f>
        <v/>
      </c>
      <c r="S5169">
        <f>IF(E5169=1,P5169*$G$232,Assumptions!$B$32)</f>
        <v/>
      </c>
      <c r="T5169">
        <f>IF(F5169=1,P5169*Assumptions!$B$14,Assumptions!$B$31)</f>
        <v/>
      </c>
      <c r="U5169">
        <f>IF(G5169=1,P5169*Assumptions!$B$13,Assumptions!$B$30)</f>
        <v/>
      </c>
      <c r="V5169">
        <f>IF(H5169=1,P5169*Assumptions!$B$12,Assumptions!$B$29)</f>
        <v/>
      </c>
      <c r="W5169">
        <f>IF(I5169=1,P5169*Assumptions!$B$11,Assumptions!$B$28)</f>
        <v/>
      </c>
      <c r="X5169">
        <f>P5169*($O$232+$S$232)</f>
        <v/>
      </c>
      <c r="Y5169">
        <f>P5169*Assumptions!$B$9</f>
        <v/>
      </c>
      <c r="Z5169">
        <f>IF(M5169=1,(P5169-Assumptions!$B$37)*Assumptions!$B$153,0)</f>
        <v/>
      </c>
      <c r="AA5169">
        <f>Q5169+R5169+S5169+T5169+U5169+V5169+W5169+X5169+Y5169+Z5169</f>
        <v/>
      </c>
      <c r="AB5169" t="n">
        <v>41</v>
      </c>
      <c r="AC5169" t="n">
        <v>105</v>
      </c>
      <c r="AD5169" t="n">
        <v>9</v>
      </c>
      <c r="AE5169" t="n">
        <v>57</v>
      </c>
      <c r="AF5169" t="n">
        <v>33</v>
      </c>
      <c r="AG5169" t="n">
        <v>45</v>
      </c>
      <c r="AH5169" t="n">
        <v>43</v>
      </c>
      <c r="AI5169" t="n">
        <v>40</v>
      </c>
      <c r="AJ5169">
        <f>INDEX($Q$5128:$Q$5255,AC5169+1)</f>
        <v/>
      </c>
      <c r="AK5169">
        <f>INDEX($R$5128:$R$5255,AD5169+1)</f>
        <v/>
      </c>
      <c r="AL5169">
        <f>INDEX($S$5128:$S$5255,AE5169+1)</f>
        <v/>
      </c>
      <c r="AM5169">
        <f>INDEX($T$5128:$T$5255,AF5169+1)</f>
        <v/>
      </c>
      <c r="AN5169">
        <f>INDEX($U$5128:$U$5255,AG5169+1)</f>
        <v/>
      </c>
      <c r="AO5169">
        <f>INDEX($V$5128:$V$5255,AH5169+1)</f>
        <v/>
      </c>
      <c r="AP5169">
        <f>INDEX($W$5128:$W$5255,AI5169+1)</f>
        <v/>
      </c>
      <c r="AQ5169">
        <f>IF(Q5169&gt;=AJ5169-0.01,1,0)</f>
        <v/>
      </c>
      <c r="AR5169">
        <f>IF(R5169&gt;=AK5169-0.01,1,0)</f>
        <v/>
      </c>
      <c r="AS5169">
        <f>IF(S5169&gt;=AL5169-0.01,1,0)</f>
        <v/>
      </c>
      <c r="AT5169">
        <f>IF(T5169&gt;=AM5169-0.01,1,0)</f>
        <v/>
      </c>
      <c r="AU5169">
        <f>IF(U5169&gt;=AN5169-0.01,1,0)</f>
        <v/>
      </c>
      <c r="AV5169">
        <f>IF(V5169&gt;=AO5169-0.01,1,0)</f>
        <v/>
      </c>
      <c r="AW5169">
        <f>IF(W5169&gt;=AP5169-0.01,1,0)</f>
        <v/>
      </c>
      <c r="AX5169">
        <f>AQ5169*AR5169*AS5169*AT5169*AU5169*AV5169*AW5169</f>
        <v/>
      </c>
    </row>
    <row r="5170">
      <c r="A5170" t="inlineStr"/>
      <c r="B5170">
        <f>Assumptions!$B$60</f>
        <v/>
      </c>
      <c r="C5170" t="n">
        <v>0</v>
      </c>
      <c r="D5170" t="n">
        <v>1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>
        <f>(1-C5170)*Assumptions!$B$41+(1-D5170)*Assumptions!$B$33+(1-E5170)*Assumptions!$B$32+(1-F5170)*Assumptions!$B$31+(1-G5170)*Assumptions!$B$30+(1-H5170)*Assumptions!$B$29+(1-I5170)*Assumptions!$B$28</f>
        <v/>
      </c>
      <c r="K5170">
        <f>C5170*$J$232+D5170*$F$232+E5170*$G$232+F5170*Assumptions!$B$14+G5170*Assumptions!$B$13+H5170*Assumptions!$B$12+I5170*Assumptions!$B$11+$O$232+$S$232+Assumptions!$B$9</f>
        <v/>
      </c>
      <c r="L5170">
        <f>B5170-J5170</f>
        <v/>
      </c>
      <c r="M5170">
        <f>IF(K5170&gt;0,IF(L5170/K5170&gt;=Assumptions!$B$37,1,0),0)</f>
        <v/>
      </c>
      <c r="N5170">
        <f>K5170+M5170*Assumptions!$B$153</f>
        <v/>
      </c>
      <c r="O5170">
        <f>L5170+M5170*Assumptions!$B$153*Assumptions!$B$37</f>
        <v/>
      </c>
      <c r="P5170">
        <f>IF(N5170&gt;0,O5170/N5170,0)</f>
        <v/>
      </c>
      <c r="Q5170">
        <f>IF(C5170=1,P5170*$J$232,Assumptions!$B$41)</f>
        <v/>
      </c>
      <c r="R5170">
        <f>IF(D5170=1,P5170*$F$232,Assumptions!$B$33)</f>
        <v/>
      </c>
      <c r="S5170">
        <f>IF(E5170=1,P5170*$G$232,Assumptions!$B$32)</f>
        <v/>
      </c>
      <c r="T5170">
        <f>IF(F5170=1,P5170*Assumptions!$B$14,Assumptions!$B$31)</f>
        <v/>
      </c>
      <c r="U5170">
        <f>IF(G5170=1,P5170*Assumptions!$B$13,Assumptions!$B$30)</f>
        <v/>
      </c>
      <c r="V5170">
        <f>IF(H5170=1,P5170*Assumptions!$B$12,Assumptions!$B$29)</f>
        <v/>
      </c>
      <c r="W5170">
        <f>IF(I5170=1,P5170*Assumptions!$B$11,Assumptions!$B$28)</f>
        <v/>
      </c>
      <c r="X5170">
        <f>P5170*($O$232+$S$232)</f>
        <v/>
      </c>
      <c r="Y5170">
        <f>P5170*Assumptions!$B$9</f>
        <v/>
      </c>
      <c r="Z5170">
        <f>IF(M5170=1,(P5170-Assumptions!$B$37)*Assumptions!$B$153,0)</f>
        <v/>
      </c>
      <c r="AA5170">
        <f>Q5170+R5170+S5170+T5170+U5170+V5170+W5170+X5170+Y5170+Z5170</f>
        <v/>
      </c>
      <c r="AB5170" t="n">
        <v>42</v>
      </c>
      <c r="AC5170" t="n">
        <v>106</v>
      </c>
      <c r="AD5170" t="n">
        <v>10</v>
      </c>
      <c r="AE5170" t="n">
        <v>58</v>
      </c>
      <c r="AF5170" t="n">
        <v>34</v>
      </c>
      <c r="AG5170" t="n">
        <v>46</v>
      </c>
      <c r="AH5170" t="n">
        <v>40</v>
      </c>
      <c r="AI5170" t="n">
        <v>43</v>
      </c>
      <c r="AJ5170">
        <f>INDEX($Q$5128:$Q$5255,AC5170+1)</f>
        <v/>
      </c>
      <c r="AK5170">
        <f>INDEX($R$5128:$R$5255,AD5170+1)</f>
        <v/>
      </c>
      <c r="AL5170">
        <f>INDEX($S$5128:$S$5255,AE5170+1)</f>
        <v/>
      </c>
      <c r="AM5170">
        <f>INDEX($T$5128:$T$5255,AF5170+1)</f>
        <v/>
      </c>
      <c r="AN5170">
        <f>INDEX($U$5128:$U$5255,AG5170+1)</f>
        <v/>
      </c>
      <c r="AO5170">
        <f>INDEX($V$5128:$V$5255,AH5170+1)</f>
        <v/>
      </c>
      <c r="AP5170">
        <f>INDEX($W$5128:$W$5255,AI5170+1)</f>
        <v/>
      </c>
      <c r="AQ5170">
        <f>IF(Q5170&gt;=AJ5170-0.01,1,0)</f>
        <v/>
      </c>
      <c r="AR5170">
        <f>IF(R5170&gt;=AK5170-0.01,1,0)</f>
        <v/>
      </c>
      <c r="AS5170">
        <f>IF(S5170&gt;=AL5170-0.01,1,0)</f>
        <v/>
      </c>
      <c r="AT5170">
        <f>IF(T5170&gt;=AM5170-0.01,1,0)</f>
        <v/>
      </c>
      <c r="AU5170">
        <f>IF(U5170&gt;=AN5170-0.01,1,0)</f>
        <v/>
      </c>
      <c r="AV5170">
        <f>IF(V5170&gt;=AO5170-0.01,1,0)</f>
        <v/>
      </c>
      <c r="AW5170">
        <f>IF(W5170&gt;=AP5170-0.01,1,0)</f>
        <v/>
      </c>
      <c r="AX5170">
        <f>AQ5170*AR5170*AS5170*AT5170*AU5170*AV5170*AW5170</f>
        <v/>
      </c>
    </row>
    <row r="5171">
      <c r="A5171" t="inlineStr"/>
      <c r="B5171">
        <f>Assumptions!$B$60</f>
        <v/>
      </c>
      <c r="C5171" t="n">
        <v>0</v>
      </c>
      <c r="D5171" t="n">
        <v>1</v>
      </c>
      <c r="E5171" t="n">
        <v>0</v>
      </c>
      <c r="F5171" t="n">
        <v>1</v>
      </c>
      <c r="G5171" t="n">
        <v>0</v>
      </c>
      <c r="H5171" t="n">
        <v>1</v>
      </c>
      <c r="I5171" t="n">
        <v>1</v>
      </c>
      <c r="J5171">
        <f>(1-C5171)*Assumptions!$B$41+(1-D5171)*Assumptions!$B$33+(1-E5171)*Assumptions!$B$32+(1-F5171)*Assumptions!$B$31+(1-G5171)*Assumptions!$B$30+(1-H5171)*Assumptions!$B$29+(1-I5171)*Assumptions!$B$28</f>
        <v/>
      </c>
      <c r="K5171">
        <f>C5171*$J$232+D5171*$F$232+E5171*$G$232+F5171*Assumptions!$B$14+G5171*Assumptions!$B$13+H5171*Assumptions!$B$12+I5171*Assumptions!$B$11+$O$232+$S$232+Assumptions!$B$9</f>
        <v/>
      </c>
      <c r="L5171">
        <f>B5171-J5171</f>
        <v/>
      </c>
      <c r="M5171">
        <f>IF(K5171&gt;0,IF(L5171/K5171&gt;=Assumptions!$B$37,1,0),0)</f>
        <v/>
      </c>
      <c r="N5171">
        <f>K5171+M5171*Assumptions!$B$153</f>
        <v/>
      </c>
      <c r="O5171">
        <f>L5171+M5171*Assumptions!$B$153*Assumptions!$B$37</f>
        <v/>
      </c>
      <c r="P5171">
        <f>IF(N5171&gt;0,O5171/N5171,0)</f>
        <v/>
      </c>
      <c r="Q5171">
        <f>IF(C5171=1,P5171*$J$232,Assumptions!$B$41)</f>
        <v/>
      </c>
      <c r="R5171">
        <f>IF(D5171=1,P5171*$F$232,Assumptions!$B$33)</f>
        <v/>
      </c>
      <c r="S5171">
        <f>IF(E5171=1,P5171*$G$232,Assumptions!$B$32)</f>
        <v/>
      </c>
      <c r="T5171">
        <f>IF(F5171=1,P5171*Assumptions!$B$14,Assumptions!$B$31)</f>
        <v/>
      </c>
      <c r="U5171">
        <f>IF(G5171=1,P5171*Assumptions!$B$13,Assumptions!$B$30)</f>
        <v/>
      </c>
      <c r="V5171">
        <f>IF(H5171=1,P5171*Assumptions!$B$12,Assumptions!$B$29)</f>
        <v/>
      </c>
      <c r="W5171">
        <f>IF(I5171=1,P5171*Assumptions!$B$11,Assumptions!$B$28)</f>
        <v/>
      </c>
      <c r="X5171">
        <f>P5171*($O$232+$S$232)</f>
        <v/>
      </c>
      <c r="Y5171">
        <f>P5171*Assumptions!$B$9</f>
        <v/>
      </c>
      <c r="Z5171">
        <f>IF(M5171=1,(P5171-Assumptions!$B$37)*Assumptions!$B$153,0)</f>
        <v/>
      </c>
      <c r="AA5171">
        <f>Q5171+R5171+S5171+T5171+U5171+V5171+W5171+X5171+Y5171+Z5171</f>
        <v/>
      </c>
      <c r="AB5171" t="n">
        <v>43</v>
      </c>
      <c r="AC5171" t="n">
        <v>107</v>
      </c>
      <c r="AD5171" t="n">
        <v>11</v>
      </c>
      <c r="AE5171" t="n">
        <v>59</v>
      </c>
      <c r="AF5171" t="n">
        <v>35</v>
      </c>
      <c r="AG5171" t="n">
        <v>47</v>
      </c>
      <c r="AH5171" t="n">
        <v>41</v>
      </c>
      <c r="AI5171" t="n">
        <v>42</v>
      </c>
      <c r="AJ5171">
        <f>INDEX($Q$5128:$Q$5255,AC5171+1)</f>
        <v/>
      </c>
      <c r="AK5171">
        <f>INDEX($R$5128:$R$5255,AD5171+1)</f>
        <v/>
      </c>
      <c r="AL5171">
        <f>INDEX($S$5128:$S$5255,AE5171+1)</f>
        <v/>
      </c>
      <c r="AM5171">
        <f>INDEX($T$5128:$T$5255,AF5171+1)</f>
        <v/>
      </c>
      <c r="AN5171">
        <f>INDEX($U$5128:$U$5255,AG5171+1)</f>
        <v/>
      </c>
      <c r="AO5171">
        <f>INDEX($V$5128:$V$5255,AH5171+1)</f>
        <v/>
      </c>
      <c r="AP5171">
        <f>INDEX($W$5128:$W$5255,AI5171+1)</f>
        <v/>
      </c>
      <c r="AQ5171">
        <f>IF(Q5171&gt;=AJ5171-0.01,1,0)</f>
        <v/>
      </c>
      <c r="AR5171">
        <f>IF(R5171&gt;=AK5171-0.01,1,0)</f>
        <v/>
      </c>
      <c r="AS5171">
        <f>IF(S5171&gt;=AL5171-0.01,1,0)</f>
        <v/>
      </c>
      <c r="AT5171">
        <f>IF(T5171&gt;=AM5171-0.01,1,0)</f>
        <v/>
      </c>
      <c r="AU5171">
        <f>IF(U5171&gt;=AN5171-0.01,1,0)</f>
        <v/>
      </c>
      <c r="AV5171">
        <f>IF(V5171&gt;=AO5171-0.01,1,0)</f>
        <v/>
      </c>
      <c r="AW5171">
        <f>IF(W5171&gt;=AP5171-0.01,1,0)</f>
        <v/>
      </c>
      <c r="AX5171">
        <f>AQ5171*AR5171*AS5171*AT5171*AU5171*AV5171*AW5171</f>
        <v/>
      </c>
    </row>
    <row r="5172">
      <c r="A5172" t="inlineStr"/>
      <c r="B5172">
        <f>Assumptions!$B$60</f>
        <v/>
      </c>
      <c r="C5172" t="n">
        <v>0</v>
      </c>
      <c r="D5172" t="n">
        <v>1</v>
      </c>
      <c r="E5172" t="n">
        <v>0</v>
      </c>
      <c r="F5172" t="n">
        <v>1</v>
      </c>
      <c r="G5172" t="n">
        <v>1</v>
      </c>
      <c r="H5172" t="n">
        <v>0</v>
      </c>
      <c r="I5172" t="n">
        <v>0</v>
      </c>
      <c r="J5172">
        <f>(1-C5172)*Assumptions!$B$41+(1-D5172)*Assumptions!$B$33+(1-E5172)*Assumptions!$B$32+(1-F5172)*Assumptions!$B$31+(1-G5172)*Assumptions!$B$30+(1-H5172)*Assumptions!$B$29+(1-I5172)*Assumptions!$B$28</f>
        <v/>
      </c>
      <c r="K5172">
        <f>C5172*$J$232+D5172*$F$232+E5172*$G$232+F5172*Assumptions!$B$14+G5172*Assumptions!$B$13+H5172*Assumptions!$B$12+I5172*Assumptions!$B$11+$O$232+$S$232+Assumptions!$B$9</f>
        <v/>
      </c>
      <c r="L5172">
        <f>B5172-J5172</f>
        <v/>
      </c>
      <c r="M5172">
        <f>IF(K5172&gt;0,IF(L5172/K5172&gt;=Assumptions!$B$37,1,0),0)</f>
        <v/>
      </c>
      <c r="N5172">
        <f>K5172+M5172*Assumptions!$B$153</f>
        <v/>
      </c>
      <c r="O5172">
        <f>L5172+M5172*Assumptions!$B$153*Assumptions!$B$37</f>
        <v/>
      </c>
      <c r="P5172">
        <f>IF(N5172&gt;0,O5172/N5172,0)</f>
        <v/>
      </c>
      <c r="Q5172">
        <f>IF(C5172=1,P5172*$J$232,Assumptions!$B$41)</f>
        <v/>
      </c>
      <c r="R5172">
        <f>IF(D5172=1,P5172*$F$232,Assumptions!$B$33)</f>
        <v/>
      </c>
      <c r="S5172">
        <f>IF(E5172=1,P5172*$G$232,Assumptions!$B$32)</f>
        <v/>
      </c>
      <c r="T5172">
        <f>IF(F5172=1,P5172*Assumptions!$B$14,Assumptions!$B$31)</f>
        <v/>
      </c>
      <c r="U5172">
        <f>IF(G5172=1,P5172*Assumptions!$B$13,Assumptions!$B$30)</f>
        <v/>
      </c>
      <c r="V5172">
        <f>IF(H5172=1,P5172*Assumptions!$B$12,Assumptions!$B$29)</f>
        <v/>
      </c>
      <c r="W5172">
        <f>IF(I5172=1,P5172*Assumptions!$B$11,Assumptions!$B$28)</f>
        <v/>
      </c>
      <c r="X5172">
        <f>P5172*($O$232+$S$232)</f>
        <v/>
      </c>
      <c r="Y5172">
        <f>P5172*Assumptions!$B$9</f>
        <v/>
      </c>
      <c r="Z5172">
        <f>IF(M5172=1,(P5172-Assumptions!$B$37)*Assumptions!$B$153,0)</f>
        <v/>
      </c>
      <c r="AA5172">
        <f>Q5172+R5172+S5172+T5172+U5172+V5172+W5172+X5172+Y5172+Z5172</f>
        <v/>
      </c>
      <c r="AB5172" t="n">
        <v>44</v>
      </c>
      <c r="AC5172" t="n">
        <v>108</v>
      </c>
      <c r="AD5172" t="n">
        <v>12</v>
      </c>
      <c r="AE5172" t="n">
        <v>60</v>
      </c>
      <c r="AF5172" t="n">
        <v>36</v>
      </c>
      <c r="AG5172" t="n">
        <v>40</v>
      </c>
      <c r="AH5172" t="n">
        <v>46</v>
      </c>
      <c r="AI5172" t="n">
        <v>45</v>
      </c>
      <c r="AJ5172">
        <f>INDEX($Q$5128:$Q$5255,AC5172+1)</f>
        <v/>
      </c>
      <c r="AK5172">
        <f>INDEX($R$5128:$R$5255,AD5172+1)</f>
        <v/>
      </c>
      <c r="AL5172">
        <f>INDEX($S$5128:$S$5255,AE5172+1)</f>
        <v/>
      </c>
      <c r="AM5172">
        <f>INDEX($T$5128:$T$5255,AF5172+1)</f>
        <v/>
      </c>
      <c r="AN5172">
        <f>INDEX($U$5128:$U$5255,AG5172+1)</f>
        <v/>
      </c>
      <c r="AO5172">
        <f>INDEX($V$5128:$V$5255,AH5172+1)</f>
        <v/>
      </c>
      <c r="AP5172">
        <f>INDEX($W$5128:$W$5255,AI5172+1)</f>
        <v/>
      </c>
      <c r="AQ5172">
        <f>IF(Q5172&gt;=AJ5172-0.01,1,0)</f>
        <v/>
      </c>
      <c r="AR5172">
        <f>IF(R5172&gt;=AK5172-0.01,1,0)</f>
        <v/>
      </c>
      <c r="AS5172">
        <f>IF(S5172&gt;=AL5172-0.01,1,0)</f>
        <v/>
      </c>
      <c r="AT5172">
        <f>IF(T5172&gt;=AM5172-0.01,1,0)</f>
        <v/>
      </c>
      <c r="AU5172">
        <f>IF(U5172&gt;=AN5172-0.01,1,0)</f>
        <v/>
      </c>
      <c r="AV5172">
        <f>IF(V5172&gt;=AO5172-0.01,1,0)</f>
        <v/>
      </c>
      <c r="AW5172">
        <f>IF(W5172&gt;=AP5172-0.01,1,0)</f>
        <v/>
      </c>
      <c r="AX5172">
        <f>AQ5172*AR5172*AS5172*AT5172*AU5172*AV5172*AW5172</f>
        <v/>
      </c>
    </row>
    <row r="5173">
      <c r="A5173" t="inlineStr"/>
      <c r="B5173">
        <f>Assumptions!$B$60</f>
        <v/>
      </c>
      <c r="C5173" t="n">
        <v>0</v>
      </c>
      <c r="D5173" t="n">
        <v>1</v>
      </c>
      <c r="E5173" t="n">
        <v>0</v>
      </c>
      <c r="F5173" t="n">
        <v>1</v>
      </c>
      <c r="G5173" t="n">
        <v>1</v>
      </c>
      <c r="H5173" t="n">
        <v>0</v>
      </c>
      <c r="I5173" t="n">
        <v>1</v>
      </c>
      <c r="J5173">
        <f>(1-C5173)*Assumptions!$B$41+(1-D5173)*Assumptions!$B$33+(1-E5173)*Assumptions!$B$32+(1-F5173)*Assumptions!$B$31+(1-G5173)*Assumptions!$B$30+(1-H5173)*Assumptions!$B$29+(1-I5173)*Assumptions!$B$28</f>
        <v/>
      </c>
      <c r="K5173">
        <f>C5173*$J$232+D5173*$F$232+E5173*$G$232+F5173*Assumptions!$B$14+G5173*Assumptions!$B$13+H5173*Assumptions!$B$12+I5173*Assumptions!$B$11+$O$232+$S$232+Assumptions!$B$9</f>
        <v/>
      </c>
      <c r="L5173">
        <f>B5173-J5173</f>
        <v/>
      </c>
      <c r="M5173">
        <f>IF(K5173&gt;0,IF(L5173/K5173&gt;=Assumptions!$B$37,1,0),0)</f>
        <v/>
      </c>
      <c r="N5173">
        <f>K5173+M5173*Assumptions!$B$153</f>
        <v/>
      </c>
      <c r="O5173">
        <f>L5173+M5173*Assumptions!$B$153*Assumptions!$B$37</f>
        <v/>
      </c>
      <c r="P5173">
        <f>IF(N5173&gt;0,O5173/N5173,0)</f>
        <v/>
      </c>
      <c r="Q5173">
        <f>IF(C5173=1,P5173*$J$232,Assumptions!$B$41)</f>
        <v/>
      </c>
      <c r="R5173">
        <f>IF(D5173=1,P5173*$F$232,Assumptions!$B$33)</f>
        <v/>
      </c>
      <c r="S5173">
        <f>IF(E5173=1,P5173*$G$232,Assumptions!$B$32)</f>
        <v/>
      </c>
      <c r="T5173">
        <f>IF(F5173=1,P5173*Assumptions!$B$14,Assumptions!$B$31)</f>
        <v/>
      </c>
      <c r="U5173">
        <f>IF(G5173=1,P5173*Assumptions!$B$13,Assumptions!$B$30)</f>
        <v/>
      </c>
      <c r="V5173">
        <f>IF(H5173=1,P5173*Assumptions!$B$12,Assumptions!$B$29)</f>
        <v/>
      </c>
      <c r="W5173">
        <f>IF(I5173=1,P5173*Assumptions!$B$11,Assumptions!$B$28)</f>
        <v/>
      </c>
      <c r="X5173">
        <f>P5173*($O$232+$S$232)</f>
        <v/>
      </c>
      <c r="Y5173">
        <f>P5173*Assumptions!$B$9</f>
        <v/>
      </c>
      <c r="Z5173">
        <f>IF(M5173=1,(P5173-Assumptions!$B$37)*Assumptions!$B$153,0)</f>
        <v/>
      </c>
      <c r="AA5173">
        <f>Q5173+R5173+S5173+T5173+U5173+V5173+W5173+X5173+Y5173+Z5173</f>
        <v/>
      </c>
      <c r="AB5173" t="n">
        <v>45</v>
      </c>
      <c r="AC5173" t="n">
        <v>109</v>
      </c>
      <c r="AD5173" t="n">
        <v>13</v>
      </c>
      <c r="AE5173" t="n">
        <v>61</v>
      </c>
      <c r="AF5173" t="n">
        <v>37</v>
      </c>
      <c r="AG5173" t="n">
        <v>41</v>
      </c>
      <c r="AH5173" t="n">
        <v>47</v>
      </c>
      <c r="AI5173" t="n">
        <v>44</v>
      </c>
      <c r="AJ5173">
        <f>INDEX($Q$5128:$Q$5255,AC5173+1)</f>
        <v/>
      </c>
      <c r="AK5173">
        <f>INDEX($R$5128:$R$5255,AD5173+1)</f>
        <v/>
      </c>
      <c r="AL5173">
        <f>INDEX($S$5128:$S$5255,AE5173+1)</f>
        <v/>
      </c>
      <c r="AM5173">
        <f>INDEX($T$5128:$T$5255,AF5173+1)</f>
        <v/>
      </c>
      <c r="AN5173">
        <f>INDEX($U$5128:$U$5255,AG5173+1)</f>
        <v/>
      </c>
      <c r="AO5173">
        <f>INDEX($V$5128:$V$5255,AH5173+1)</f>
        <v/>
      </c>
      <c r="AP5173">
        <f>INDEX($W$5128:$W$5255,AI5173+1)</f>
        <v/>
      </c>
      <c r="AQ5173">
        <f>IF(Q5173&gt;=AJ5173-0.01,1,0)</f>
        <v/>
      </c>
      <c r="AR5173">
        <f>IF(R5173&gt;=AK5173-0.01,1,0)</f>
        <v/>
      </c>
      <c r="AS5173">
        <f>IF(S5173&gt;=AL5173-0.01,1,0)</f>
        <v/>
      </c>
      <c r="AT5173">
        <f>IF(T5173&gt;=AM5173-0.01,1,0)</f>
        <v/>
      </c>
      <c r="AU5173">
        <f>IF(U5173&gt;=AN5173-0.01,1,0)</f>
        <v/>
      </c>
      <c r="AV5173">
        <f>IF(V5173&gt;=AO5173-0.01,1,0)</f>
        <v/>
      </c>
      <c r="AW5173">
        <f>IF(W5173&gt;=AP5173-0.01,1,0)</f>
        <v/>
      </c>
      <c r="AX5173">
        <f>AQ5173*AR5173*AS5173*AT5173*AU5173*AV5173*AW5173</f>
        <v/>
      </c>
    </row>
    <row r="5174">
      <c r="A5174" t="inlineStr"/>
      <c r="B5174">
        <f>Assumptions!$B$60</f>
        <v/>
      </c>
      <c r="C5174" t="n">
        <v>0</v>
      </c>
      <c r="D5174" t="n">
        <v>1</v>
      </c>
      <c r="E5174" t="n">
        <v>0</v>
      </c>
      <c r="F5174" t="n">
        <v>1</v>
      </c>
      <c r="G5174" t="n">
        <v>1</v>
      </c>
      <c r="H5174" t="n">
        <v>1</v>
      </c>
      <c r="I5174" t="n">
        <v>0</v>
      </c>
      <c r="J5174">
        <f>(1-C5174)*Assumptions!$B$41+(1-D5174)*Assumptions!$B$33+(1-E5174)*Assumptions!$B$32+(1-F5174)*Assumptions!$B$31+(1-G5174)*Assumptions!$B$30+(1-H5174)*Assumptions!$B$29+(1-I5174)*Assumptions!$B$28</f>
        <v/>
      </c>
      <c r="K5174">
        <f>C5174*$J$232+D5174*$F$232+E5174*$G$232+F5174*Assumptions!$B$14+G5174*Assumptions!$B$13+H5174*Assumptions!$B$12+I5174*Assumptions!$B$11+$O$232+$S$232+Assumptions!$B$9</f>
        <v/>
      </c>
      <c r="L5174">
        <f>B5174-J5174</f>
        <v/>
      </c>
      <c r="M5174">
        <f>IF(K5174&gt;0,IF(L5174/K5174&gt;=Assumptions!$B$37,1,0),0)</f>
        <v/>
      </c>
      <c r="N5174">
        <f>K5174+M5174*Assumptions!$B$153</f>
        <v/>
      </c>
      <c r="O5174">
        <f>L5174+M5174*Assumptions!$B$153*Assumptions!$B$37</f>
        <v/>
      </c>
      <c r="P5174">
        <f>IF(N5174&gt;0,O5174/N5174,0)</f>
        <v/>
      </c>
      <c r="Q5174">
        <f>IF(C5174=1,P5174*$J$232,Assumptions!$B$41)</f>
        <v/>
      </c>
      <c r="R5174">
        <f>IF(D5174=1,P5174*$F$232,Assumptions!$B$33)</f>
        <v/>
      </c>
      <c r="S5174">
        <f>IF(E5174=1,P5174*$G$232,Assumptions!$B$32)</f>
        <v/>
      </c>
      <c r="T5174">
        <f>IF(F5174=1,P5174*Assumptions!$B$14,Assumptions!$B$31)</f>
        <v/>
      </c>
      <c r="U5174">
        <f>IF(G5174=1,P5174*Assumptions!$B$13,Assumptions!$B$30)</f>
        <v/>
      </c>
      <c r="V5174">
        <f>IF(H5174=1,P5174*Assumptions!$B$12,Assumptions!$B$29)</f>
        <v/>
      </c>
      <c r="W5174">
        <f>IF(I5174=1,P5174*Assumptions!$B$11,Assumptions!$B$28)</f>
        <v/>
      </c>
      <c r="X5174">
        <f>P5174*($O$232+$S$232)</f>
        <v/>
      </c>
      <c r="Y5174">
        <f>P5174*Assumptions!$B$9</f>
        <v/>
      </c>
      <c r="Z5174">
        <f>IF(M5174=1,(P5174-Assumptions!$B$37)*Assumptions!$B$153,0)</f>
        <v/>
      </c>
      <c r="AA5174">
        <f>Q5174+R5174+S5174+T5174+U5174+V5174+W5174+X5174+Y5174+Z5174</f>
        <v/>
      </c>
      <c r="AB5174" t="n">
        <v>46</v>
      </c>
      <c r="AC5174" t="n">
        <v>110</v>
      </c>
      <c r="AD5174" t="n">
        <v>14</v>
      </c>
      <c r="AE5174" t="n">
        <v>62</v>
      </c>
      <c r="AF5174" t="n">
        <v>38</v>
      </c>
      <c r="AG5174" t="n">
        <v>42</v>
      </c>
      <c r="AH5174" t="n">
        <v>44</v>
      </c>
      <c r="AI5174" t="n">
        <v>47</v>
      </c>
      <c r="AJ5174">
        <f>INDEX($Q$5128:$Q$5255,AC5174+1)</f>
        <v/>
      </c>
      <c r="AK5174">
        <f>INDEX($R$5128:$R$5255,AD5174+1)</f>
        <v/>
      </c>
      <c r="AL5174">
        <f>INDEX($S$5128:$S$5255,AE5174+1)</f>
        <v/>
      </c>
      <c r="AM5174">
        <f>INDEX($T$5128:$T$5255,AF5174+1)</f>
        <v/>
      </c>
      <c r="AN5174">
        <f>INDEX($U$5128:$U$5255,AG5174+1)</f>
        <v/>
      </c>
      <c r="AO5174">
        <f>INDEX($V$5128:$V$5255,AH5174+1)</f>
        <v/>
      </c>
      <c r="AP5174">
        <f>INDEX($W$5128:$W$5255,AI5174+1)</f>
        <v/>
      </c>
      <c r="AQ5174">
        <f>IF(Q5174&gt;=AJ5174-0.01,1,0)</f>
        <v/>
      </c>
      <c r="AR5174">
        <f>IF(R5174&gt;=AK5174-0.01,1,0)</f>
        <v/>
      </c>
      <c r="AS5174">
        <f>IF(S5174&gt;=AL5174-0.01,1,0)</f>
        <v/>
      </c>
      <c r="AT5174">
        <f>IF(T5174&gt;=AM5174-0.01,1,0)</f>
        <v/>
      </c>
      <c r="AU5174">
        <f>IF(U5174&gt;=AN5174-0.01,1,0)</f>
        <v/>
      </c>
      <c r="AV5174">
        <f>IF(V5174&gt;=AO5174-0.01,1,0)</f>
        <v/>
      </c>
      <c r="AW5174">
        <f>IF(W5174&gt;=AP5174-0.01,1,0)</f>
        <v/>
      </c>
      <c r="AX5174">
        <f>AQ5174*AR5174*AS5174*AT5174*AU5174*AV5174*AW5174</f>
        <v/>
      </c>
    </row>
    <row r="5175">
      <c r="A5175" t="inlineStr"/>
      <c r="B5175">
        <f>Assumptions!$B$60</f>
        <v/>
      </c>
      <c r="C5175" t="n">
        <v>0</v>
      </c>
      <c r="D5175" t="n">
        <v>1</v>
      </c>
      <c r="E5175" t="n">
        <v>0</v>
      </c>
      <c r="F5175" t="n">
        <v>1</v>
      </c>
      <c r="G5175" t="n">
        <v>1</v>
      </c>
      <c r="H5175" t="n">
        <v>1</v>
      </c>
      <c r="I5175" t="n">
        <v>1</v>
      </c>
      <c r="J5175">
        <f>(1-C5175)*Assumptions!$B$41+(1-D5175)*Assumptions!$B$33+(1-E5175)*Assumptions!$B$32+(1-F5175)*Assumptions!$B$31+(1-G5175)*Assumptions!$B$30+(1-H5175)*Assumptions!$B$29+(1-I5175)*Assumptions!$B$28</f>
        <v/>
      </c>
      <c r="K5175">
        <f>C5175*$J$232+D5175*$F$232+E5175*$G$232+F5175*Assumptions!$B$14+G5175*Assumptions!$B$13+H5175*Assumptions!$B$12+I5175*Assumptions!$B$11+$O$232+$S$232+Assumptions!$B$9</f>
        <v/>
      </c>
      <c r="L5175">
        <f>B5175-J5175</f>
        <v/>
      </c>
      <c r="M5175">
        <f>IF(K5175&gt;0,IF(L5175/K5175&gt;=Assumptions!$B$37,1,0),0)</f>
        <v/>
      </c>
      <c r="N5175">
        <f>K5175+M5175*Assumptions!$B$153</f>
        <v/>
      </c>
      <c r="O5175">
        <f>L5175+M5175*Assumptions!$B$153*Assumptions!$B$37</f>
        <v/>
      </c>
      <c r="P5175">
        <f>IF(N5175&gt;0,O5175/N5175,0)</f>
        <v/>
      </c>
      <c r="Q5175">
        <f>IF(C5175=1,P5175*$J$232,Assumptions!$B$41)</f>
        <v/>
      </c>
      <c r="R5175">
        <f>IF(D5175=1,P5175*$F$232,Assumptions!$B$33)</f>
        <v/>
      </c>
      <c r="S5175">
        <f>IF(E5175=1,P5175*$G$232,Assumptions!$B$32)</f>
        <v/>
      </c>
      <c r="T5175">
        <f>IF(F5175=1,P5175*Assumptions!$B$14,Assumptions!$B$31)</f>
        <v/>
      </c>
      <c r="U5175">
        <f>IF(G5175=1,P5175*Assumptions!$B$13,Assumptions!$B$30)</f>
        <v/>
      </c>
      <c r="V5175">
        <f>IF(H5175=1,P5175*Assumptions!$B$12,Assumptions!$B$29)</f>
        <v/>
      </c>
      <c r="W5175">
        <f>IF(I5175=1,P5175*Assumptions!$B$11,Assumptions!$B$28)</f>
        <v/>
      </c>
      <c r="X5175">
        <f>P5175*($O$232+$S$232)</f>
        <v/>
      </c>
      <c r="Y5175">
        <f>P5175*Assumptions!$B$9</f>
        <v/>
      </c>
      <c r="Z5175">
        <f>IF(M5175=1,(P5175-Assumptions!$B$37)*Assumptions!$B$153,0)</f>
        <v/>
      </c>
      <c r="AA5175">
        <f>Q5175+R5175+S5175+T5175+U5175+V5175+W5175+X5175+Y5175+Z5175</f>
        <v/>
      </c>
      <c r="AB5175" t="n">
        <v>47</v>
      </c>
      <c r="AC5175" t="n">
        <v>111</v>
      </c>
      <c r="AD5175" t="n">
        <v>15</v>
      </c>
      <c r="AE5175" t="n">
        <v>63</v>
      </c>
      <c r="AF5175" t="n">
        <v>39</v>
      </c>
      <c r="AG5175" t="n">
        <v>43</v>
      </c>
      <c r="AH5175" t="n">
        <v>45</v>
      </c>
      <c r="AI5175" t="n">
        <v>46</v>
      </c>
      <c r="AJ5175">
        <f>INDEX($Q$5128:$Q$5255,AC5175+1)</f>
        <v/>
      </c>
      <c r="AK5175">
        <f>INDEX($R$5128:$R$5255,AD5175+1)</f>
        <v/>
      </c>
      <c r="AL5175">
        <f>INDEX($S$5128:$S$5255,AE5175+1)</f>
        <v/>
      </c>
      <c r="AM5175">
        <f>INDEX($T$5128:$T$5255,AF5175+1)</f>
        <v/>
      </c>
      <c r="AN5175">
        <f>INDEX($U$5128:$U$5255,AG5175+1)</f>
        <v/>
      </c>
      <c r="AO5175">
        <f>INDEX($V$5128:$V$5255,AH5175+1)</f>
        <v/>
      </c>
      <c r="AP5175">
        <f>INDEX($W$5128:$W$5255,AI5175+1)</f>
        <v/>
      </c>
      <c r="AQ5175">
        <f>IF(Q5175&gt;=AJ5175-0.01,1,0)</f>
        <v/>
      </c>
      <c r="AR5175">
        <f>IF(R5175&gt;=AK5175-0.01,1,0)</f>
        <v/>
      </c>
      <c r="AS5175">
        <f>IF(S5175&gt;=AL5175-0.01,1,0)</f>
        <v/>
      </c>
      <c r="AT5175">
        <f>IF(T5175&gt;=AM5175-0.01,1,0)</f>
        <v/>
      </c>
      <c r="AU5175">
        <f>IF(U5175&gt;=AN5175-0.01,1,0)</f>
        <v/>
      </c>
      <c r="AV5175">
        <f>IF(V5175&gt;=AO5175-0.01,1,0)</f>
        <v/>
      </c>
      <c r="AW5175">
        <f>IF(W5175&gt;=AP5175-0.01,1,0)</f>
        <v/>
      </c>
      <c r="AX5175">
        <f>AQ5175*AR5175*AS5175*AT5175*AU5175*AV5175*AW5175</f>
        <v/>
      </c>
    </row>
    <row r="5176">
      <c r="A5176" t="inlineStr"/>
      <c r="B5176">
        <f>Assumptions!$B$60</f>
        <v/>
      </c>
      <c r="C5176" t="n">
        <v>0</v>
      </c>
      <c r="D5176" t="n">
        <v>1</v>
      </c>
      <c r="E5176" t="n">
        <v>1</v>
      </c>
      <c r="F5176" t="n">
        <v>0</v>
      </c>
      <c r="G5176" t="n">
        <v>0</v>
      </c>
      <c r="H5176" t="n">
        <v>0</v>
      </c>
      <c r="I5176" t="n">
        <v>0</v>
      </c>
      <c r="J5176">
        <f>(1-C5176)*Assumptions!$B$41+(1-D5176)*Assumptions!$B$33+(1-E5176)*Assumptions!$B$32+(1-F5176)*Assumptions!$B$31+(1-G5176)*Assumptions!$B$30+(1-H5176)*Assumptions!$B$29+(1-I5176)*Assumptions!$B$28</f>
        <v/>
      </c>
      <c r="K5176">
        <f>C5176*$J$232+D5176*$F$232+E5176*$G$232+F5176*Assumptions!$B$14+G5176*Assumptions!$B$13+H5176*Assumptions!$B$12+I5176*Assumptions!$B$11+$O$232+$S$232+Assumptions!$B$9</f>
        <v/>
      </c>
      <c r="L5176">
        <f>B5176-J5176</f>
        <v/>
      </c>
      <c r="M5176">
        <f>IF(K5176&gt;0,IF(L5176/K5176&gt;=Assumptions!$B$37,1,0),0)</f>
        <v/>
      </c>
      <c r="N5176">
        <f>K5176+M5176*Assumptions!$B$153</f>
        <v/>
      </c>
      <c r="O5176">
        <f>L5176+M5176*Assumptions!$B$153*Assumptions!$B$37</f>
        <v/>
      </c>
      <c r="P5176">
        <f>IF(N5176&gt;0,O5176/N5176,0)</f>
        <v/>
      </c>
      <c r="Q5176">
        <f>IF(C5176=1,P5176*$J$232,Assumptions!$B$41)</f>
        <v/>
      </c>
      <c r="R5176">
        <f>IF(D5176=1,P5176*$F$232,Assumptions!$B$33)</f>
        <v/>
      </c>
      <c r="S5176">
        <f>IF(E5176=1,P5176*$G$232,Assumptions!$B$32)</f>
        <v/>
      </c>
      <c r="T5176">
        <f>IF(F5176=1,P5176*Assumptions!$B$14,Assumptions!$B$31)</f>
        <v/>
      </c>
      <c r="U5176">
        <f>IF(G5176=1,P5176*Assumptions!$B$13,Assumptions!$B$30)</f>
        <v/>
      </c>
      <c r="V5176">
        <f>IF(H5176=1,P5176*Assumptions!$B$12,Assumptions!$B$29)</f>
        <v/>
      </c>
      <c r="W5176">
        <f>IF(I5176=1,P5176*Assumptions!$B$11,Assumptions!$B$28)</f>
        <v/>
      </c>
      <c r="X5176">
        <f>P5176*($O$232+$S$232)</f>
        <v/>
      </c>
      <c r="Y5176">
        <f>P5176*Assumptions!$B$9</f>
        <v/>
      </c>
      <c r="Z5176">
        <f>IF(M5176=1,(P5176-Assumptions!$B$37)*Assumptions!$B$153,0)</f>
        <v/>
      </c>
      <c r="AA5176">
        <f>Q5176+R5176+S5176+T5176+U5176+V5176+W5176+X5176+Y5176+Z5176</f>
        <v/>
      </c>
      <c r="AB5176" t="n">
        <v>48</v>
      </c>
      <c r="AC5176" t="n">
        <v>112</v>
      </c>
      <c r="AD5176" t="n">
        <v>16</v>
      </c>
      <c r="AE5176" t="n">
        <v>32</v>
      </c>
      <c r="AF5176" t="n">
        <v>56</v>
      </c>
      <c r="AG5176" t="n">
        <v>52</v>
      </c>
      <c r="AH5176" t="n">
        <v>50</v>
      </c>
      <c r="AI5176" t="n">
        <v>49</v>
      </c>
      <c r="AJ5176">
        <f>INDEX($Q$5128:$Q$5255,AC5176+1)</f>
        <v/>
      </c>
      <c r="AK5176">
        <f>INDEX($R$5128:$R$5255,AD5176+1)</f>
        <v/>
      </c>
      <c r="AL5176">
        <f>INDEX($S$5128:$S$5255,AE5176+1)</f>
        <v/>
      </c>
      <c r="AM5176">
        <f>INDEX($T$5128:$T$5255,AF5176+1)</f>
        <v/>
      </c>
      <c r="AN5176">
        <f>INDEX($U$5128:$U$5255,AG5176+1)</f>
        <v/>
      </c>
      <c r="AO5176">
        <f>INDEX($V$5128:$V$5255,AH5176+1)</f>
        <v/>
      </c>
      <c r="AP5176">
        <f>INDEX($W$5128:$W$5255,AI5176+1)</f>
        <v/>
      </c>
      <c r="AQ5176">
        <f>IF(Q5176&gt;=AJ5176-0.01,1,0)</f>
        <v/>
      </c>
      <c r="AR5176">
        <f>IF(R5176&gt;=AK5176-0.01,1,0)</f>
        <v/>
      </c>
      <c r="AS5176">
        <f>IF(S5176&gt;=AL5176-0.01,1,0)</f>
        <v/>
      </c>
      <c r="AT5176">
        <f>IF(T5176&gt;=AM5176-0.01,1,0)</f>
        <v/>
      </c>
      <c r="AU5176">
        <f>IF(U5176&gt;=AN5176-0.01,1,0)</f>
        <v/>
      </c>
      <c r="AV5176">
        <f>IF(V5176&gt;=AO5176-0.01,1,0)</f>
        <v/>
      </c>
      <c r="AW5176">
        <f>IF(W5176&gt;=AP5176-0.01,1,0)</f>
        <v/>
      </c>
      <c r="AX5176">
        <f>AQ5176*AR5176*AS5176*AT5176*AU5176*AV5176*AW5176</f>
        <v/>
      </c>
    </row>
    <row r="5177">
      <c r="A5177" t="inlineStr"/>
      <c r="B5177">
        <f>Assumptions!$B$60</f>
        <v/>
      </c>
      <c r="C5177" t="n">
        <v>0</v>
      </c>
      <c r="D5177" t="n">
        <v>1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  <c r="J5177">
        <f>(1-C5177)*Assumptions!$B$41+(1-D5177)*Assumptions!$B$33+(1-E5177)*Assumptions!$B$32+(1-F5177)*Assumptions!$B$31+(1-G5177)*Assumptions!$B$30+(1-H5177)*Assumptions!$B$29+(1-I5177)*Assumptions!$B$28</f>
        <v/>
      </c>
      <c r="K5177">
        <f>C5177*$J$232+D5177*$F$232+E5177*$G$232+F5177*Assumptions!$B$14+G5177*Assumptions!$B$13+H5177*Assumptions!$B$12+I5177*Assumptions!$B$11+$O$232+$S$232+Assumptions!$B$9</f>
        <v/>
      </c>
      <c r="L5177">
        <f>B5177-J5177</f>
        <v/>
      </c>
      <c r="M5177">
        <f>IF(K5177&gt;0,IF(L5177/K5177&gt;=Assumptions!$B$37,1,0),0)</f>
        <v/>
      </c>
      <c r="N5177">
        <f>K5177+M5177*Assumptions!$B$153</f>
        <v/>
      </c>
      <c r="O5177">
        <f>L5177+M5177*Assumptions!$B$153*Assumptions!$B$37</f>
        <v/>
      </c>
      <c r="P5177">
        <f>IF(N5177&gt;0,O5177/N5177,0)</f>
        <v/>
      </c>
      <c r="Q5177">
        <f>IF(C5177=1,P5177*$J$232,Assumptions!$B$41)</f>
        <v/>
      </c>
      <c r="R5177">
        <f>IF(D5177=1,P5177*$F$232,Assumptions!$B$33)</f>
        <v/>
      </c>
      <c r="S5177">
        <f>IF(E5177=1,P5177*$G$232,Assumptions!$B$32)</f>
        <v/>
      </c>
      <c r="T5177">
        <f>IF(F5177=1,P5177*Assumptions!$B$14,Assumptions!$B$31)</f>
        <v/>
      </c>
      <c r="U5177">
        <f>IF(G5177=1,P5177*Assumptions!$B$13,Assumptions!$B$30)</f>
        <v/>
      </c>
      <c r="V5177">
        <f>IF(H5177=1,P5177*Assumptions!$B$12,Assumptions!$B$29)</f>
        <v/>
      </c>
      <c r="W5177">
        <f>IF(I5177=1,P5177*Assumptions!$B$11,Assumptions!$B$28)</f>
        <v/>
      </c>
      <c r="X5177">
        <f>P5177*($O$232+$S$232)</f>
        <v/>
      </c>
      <c r="Y5177">
        <f>P5177*Assumptions!$B$9</f>
        <v/>
      </c>
      <c r="Z5177">
        <f>IF(M5177=1,(P5177-Assumptions!$B$37)*Assumptions!$B$153,0)</f>
        <v/>
      </c>
      <c r="AA5177">
        <f>Q5177+R5177+S5177+T5177+U5177+V5177+W5177+X5177+Y5177+Z5177</f>
        <v/>
      </c>
      <c r="AB5177" t="n">
        <v>49</v>
      </c>
      <c r="AC5177" t="n">
        <v>113</v>
      </c>
      <c r="AD5177" t="n">
        <v>17</v>
      </c>
      <c r="AE5177" t="n">
        <v>33</v>
      </c>
      <c r="AF5177" t="n">
        <v>57</v>
      </c>
      <c r="AG5177" t="n">
        <v>53</v>
      </c>
      <c r="AH5177" t="n">
        <v>51</v>
      </c>
      <c r="AI5177" t="n">
        <v>48</v>
      </c>
      <c r="AJ5177">
        <f>INDEX($Q$5128:$Q$5255,AC5177+1)</f>
        <v/>
      </c>
      <c r="AK5177">
        <f>INDEX($R$5128:$R$5255,AD5177+1)</f>
        <v/>
      </c>
      <c r="AL5177">
        <f>INDEX($S$5128:$S$5255,AE5177+1)</f>
        <v/>
      </c>
      <c r="AM5177">
        <f>INDEX($T$5128:$T$5255,AF5177+1)</f>
        <v/>
      </c>
      <c r="AN5177">
        <f>INDEX($U$5128:$U$5255,AG5177+1)</f>
        <v/>
      </c>
      <c r="AO5177">
        <f>INDEX($V$5128:$V$5255,AH5177+1)</f>
        <v/>
      </c>
      <c r="AP5177">
        <f>INDEX($W$5128:$W$5255,AI5177+1)</f>
        <v/>
      </c>
      <c r="AQ5177">
        <f>IF(Q5177&gt;=AJ5177-0.01,1,0)</f>
        <v/>
      </c>
      <c r="AR5177">
        <f>IF(R5177&gt;=AK5177-0.01,1,0)</f>
        <v/>
      </c>
      <c r="AS5177">
        <f>IF(S5177&gt;=AL5177-0.01,1,0)</f>
        <v/>
      </c>
      <c r="AT5177">
        <f>IF(T5177&gt;=AM5177-0.01,1,0)</f>
        <v/>
      </c>
      <c r="AU5177">
        <f>IF(U5177&gt;=AN5177-0.01,1,0)</f>
        <v/>
      </c>
      <c r="AV5177">
        <f>IF(V5177&gt;=AO5177-0.01,1,0)</f>
        <v/>
      </c>
      <c r="AW5177">
        <f>IF(W5177&gt;=AP5177-0.01,1,0)</f>
        <v/>
      </c>
      <c r="AX5177">
        <f>AQ5177*AR5177*AS5177*AT5177*AU5177*AV5177*AW5177</f>
        <v/>
      </c>
    </row>
    <row r="5178">
      <c r="A5178" t="inlineStr"/>
      <c r="B5178">
        <f>Assumptions!$B$60</f>
        <v/>
      </c>
      <c r="C5178" t="n">
        <v>0</v>
      </c>
      <c r="D5178" t="n">
        <v>1</v>
      </c>
      <c r="E5178" t="n">
        <v>1</v>
      </c>
      <c r="F5178" t="n">
        <v>0</v>
      </c>
      <c r="G5178" t="n">
        <v>0</v>
      </c>
      <c r="H5178" t="n">
        <v>1</v>
      </c>
      <c r="I5178" t="n">
        <v>0</v>
      </c>
      <c r="J5178">
        <f>(1-C5178)*Assumptions!$B$41+(1-D5178)*Assumptions!$B$33+(1-E5178)*Assumptions!$B$32+(1-F5178)*Assumptions!$B$31+(1-G5178)*Assumptions!$B$30+(1-H5178)*Assumptions!$B$29+(1-I5178)*Assumptions!$B$28</f>
        <v/>
      </c>
      <c r="K5178">
        <f>C5178*$J$232+D5178*$F$232+E5178*$G$232+F5178*Assumptions!$B$14+G5178*Assumptions!$B$13+H5178*Assumptions!$B$12+I5178*Assumptions!$B$11+$O$232+$S$232+Assumptions!$B$9</f>
        <v/>
      </c>
      <c r="L5178">
        <f>B5178-J5178</f>
        <v/>
      </c>
      <c r="M5178">
        <f>IF(K5178&gt;0,IF(L5178/K5178&gt;=Assumptions!$B$37,1,0),0)</f>
        <v/>
      </c>
      <c r="N5178">
        <f>K5178+M5178*Assumptions!$B$153</f>
        <v/>
      </c>
      <c r="O5178">
        <f>L5178+M5178*Assumptions!$B$153*Assumptions!$B$37</f>
        <v/>
      </c>
      <c r="P5178">
        <f>IF(N5178&gt;0,O5178/N5178,0)</f>
        <v/>
      </c>
      <c r="Q5178">
        <f>IF(C5178=1,P5178*$J$232,Assumptions!$B$41)</f>
        <v/>
      </c>
      <c r="R5178">
        <f>IF(D5178=1,P5178*$F$232,Assumptions!$B$33)</f>
        <v/>
      </c>
      <c r="S5178">
        <f>IF(E5178=1,P5178*$G$232,Assumptions!$B$32)</f>
        <v/>
      </c>
      <c r="T5178">
        <f>IF(F5178=1,P5178*Assumptions!$B$14,Assumptions!$B$31)</f>
        <v/>
      </c>
      <c r="U5178">
        <f>IF(G5178=1,P5178*Assumptions!$B$13,Assumptions!$B$30)</f>
        <v/>
      </c>
      <c r="V5178">
        <f>IF(H5178=1,P5178*Assumptions!$B$12,Assumptions!$B$29)</f>
        <v/>
      </c>
      <c r="W5178">
        <f>IF(I5178=1,P5178*Assumptions!$B$11,Assumptions!$B$28)</f>
        <v/>
      </c>
      <c r="X5178">
        <f>P5178*($O$232+$S$232)</f>
        <v/>
      </c>
      <c r="Y5178">
        <f>P5178*Assumptions!$B$9</f>
        <v/>
      </c>
      <c r="Z5178">
        <f>IF(M5178=1,(P5178-Assumptions!$B$37)*Assumptions!$B$153,0)</f>
        <v/>
      </c>
      <c r="AA5178">
        <f>Q5178+R5178+S5178+T5178+U5178+V5178+W5178+X5178+Y5178+Z5178</f>
        <v/>
      </c>
      <c r="AB5178" t="n">
        <v>50</v>
      </c>
      <c r="AC5178" t="n">
        <v>114</v>
      </c>
      <c r="AD5178" t="n">
        <v>18</v>
      </c>
      <c r="AE5178" t="n">
        <v>34</v>
      </c>
      <c r="AF5178" t="n">
        <v>58</v>
      </c>
      <c r="AG5178" t="n">
        <v>54</v>
      </c>
      <c r="AH5178" t="n">
        <v>48</v>
      </c>
      <c r="AI5178" t="n">
        <v>51</v>
      </c>
      <c r="AJ5178">
        <f>INDEX($Q$5128:$Q$5255,AC5178+1)</f>
        <v/>
      </c>
      <c r="AK5178">
        <f>INDEX($R$5128:$R$5255,AD5178+1)</f>
        <v/>
      </c>
      <c r="AL5178">
        <f>INDEX($S$5128:$S$5255,AE5178+1)</f>
        <v/>
      </c>
      <c r="AM5178">
        <f>INDEX($T$5128:$T$5255,AF5178+1)</f>
        <v/>
      </c>
      <c r="AN5178">
        <f>INDEX($U$5128:$U$5255,AG5178+1)</f>
        <v/>
      </c>
      <c r="AO5178">
        <f>INDEX($V$5128:$V$5255,AH5178+1)</f>
        <v/>
      </c>
      <c r="AP5178">
        <f>INDEX($W$5128:$W$5255,AI5178+1)</f>
        <v/>
      </c>
      <c r="AQ5178">
        <f>IF(Q5178&gt;=AJ5178-0.01,1,0)</f>
        <v/>
      </c>
      <c r="AR5178">
        <f>IF(R5178&gt;=AK5178-0.01,1,0)</f>
        <v/>
      </c>
      <c r="AS5178">
        <f>IF(S5178&gt;=AL5178-0.01,1,0)</f>
        <v/>
      </c>
      <c r="AT5178">
        <f>IF(T5178&gt;=AM5178-0.01,1,0)</f>
        <v/>
      </c>
      <c r="AU5178">
        <f>IF(U5178&gt;=AN5178-0.01,1,0)</f>
        <v/>
      </c>
      <c r="AV5178">
        <f>IF(V5178&gt;=AO5178-0.01,1,0)</f>
        <v/>
      </c>
      <c r="AW5178">
        <f>IF(W5178&gt;=AP5178-0.01,1,0)</f>
        <v/>
      </c>
      <c r="AX5178">
        <f>AQ5178*AR5178*AS5178*AT5178*AU5178*AV5178*AW5178</f>
        <v/>
      </c>
    </row>
    <row r="5179">
      <c r="A5179" t="inlineStr"/>
      <c r="B5179">
        <f>Assumptions!$B$60</f>
        <v/>
      </c>
      <c r="C5179" t="n">
        <v>0</v>
      </c>
      <c r="D5179" t="n">
        <v>1</v>
      </c>
      <c r="E5179" t="n">
        <v>1</v>
      </c>
      <c r="F5179" t="n">
        <v>0</v>
      </c>
      <c r="G5179" t="n">
        <v>0</v>
      </c>
      <c r="H5179" t="n">
        <v>1</v>
      </c>
      <c r="I5179" t="n">
        <v>1</v>
      </c>
      <c r="J5179">
        <f>(1-C5179)*Assumptions!$B$41+(1-D5179)*Assumptions!$B$33+(1-E5179)*Assumptions!$B$32+(1-F5179)*Assumptions!$B$31+(1-G5179)*Assumptions!$B$30+(1-H5179)*Assumptions!$B$29+(1-I5179)*Assumptions!$B$28</f>
        <v/>
      </c>
      <c r="K5179">
        <f>C5179*$J$232+D5179*$F$232+E5179*$G$232+F5179*Assumptions!$B$14+G5179*Assumptions!$B$13+H5179*Assumptions!$B$12+I5179*Assumptions!$B$11+$O$232+$S$232+Assumptions!$B$9</f>
        <v/>
      </c>
      <c r="L5179">
        <f>B5179-J5179</f>
        <v/>
      </c>
      <c r="M5179">
        <f>IF(K5179&gt;0,IF(L5179/K5179&gt;=Assumptions!$B$37,1,0),0)</f>
        <v/>
      </c>
      <c r="N5179">
        <f>K5179+M5179*Assumptions!$B$153</f>
        <v/>
      </c>
      <c r="O5179">
        <f>L5179+M5179*Assumptions!$B$153*Assumptions!$B$37</f>
        <v/>
      </c>
      <c r="P5179">
        <f>IF(N5179&gt;0,O5179/N5179,0)</f>
        <v/>
      </c>
      <c r="Q5179">
        <f>IF(C5179=1,P5179*$J$232,Assumptions!$B$41)</f>
        <v/>
      </c>
      <c r="R5179">
        <f>IF(D5179=1,P5179*$F$232,Assumptions!$B$33)</f>
        <v/>
      </c>
      <c r="S5179">
        <f>IF(E5179=1,P5179*$G$232,Assumptions!$B$32)</f>
        <v/>
      </c>
      <c r="T5179">
        <f>IF(F5179=1,P5179*Assumptions!$B$14,Assumptions!$B$31)</f>
        <v/>
      </c>
      <c r="U5179">
        <f>IF(G5179=1,P5179*Assumptions!$B$13,Assumptions!$B$30)</f>
        <v/>
      </c>
      <c r="V5179">
        <f>IF(H5179=1,P5179*Assumptions!$B$12,Assumptions!$B$29)</f>
        <v/>
      </c>
      <c r="W5179">
        <f>IF(I5179=1,P5179*Assumptions!$B$11,Assumptions!$B$28)</f>
        <v/>
      </c>
      <c r="X5179">
        <f>P5179*($O$232+$S$232)</f>
        <v/>
      </c>
      <c r="Y5179">
        <f>P5179*Assumptions!$B$9</f>
        <v/>
      </c>
      <c r="Z5179">
        <f>IF(M5179=1,(P5179-Assumptions!$B$37)*Assumptions!$B$153,0)</f>
        <v/>
      </c>
      <c r="AA5179">
        <f>Q5179+R5179+S5179+T5179+U5179+V5179+W5179+X5179+Y5179+Z5179</f>
        <v/>
      </c>
      <c r="AB5179" t="n">
        <v>51</v>
      </c>
      <c r="AC5179" t="n">
        <v>115</v>
      </c>
      <c r="AD5179" t="n">
        <v>19</v>
      </c>
      <c r="AE5179" t="n">
        <v>35</v>
      </c>
      <c r="AF5179" t="n">
        <v>59</v>
      </c>
      <c r="AG5179" t="n">
        <v>55</v>
      </c>
      <c r="AH5179" t="n">
        <v>49</v>
      </c>
      <c r="AI5179" t="n">
        <v>50</v>
      </c>
      <c r="AJ5179">
        <f>INDEX($Q$5128:$Q$5255,AC5179+1)</f>
        <v/>
      </c>
      <c r="AK5179">
        <f>INDEX($R$5128:$R$5255,AD5179+1)</f>
        <v/>
      </c>
      <c r="AL5179">
        <f>INDEX($S$5128:$S$5255,AE5179+1)</f>
        <v/>
      </c>
      <c r="AM5179">
        <f>INDEX($T$5128:$T$5255,AF5179+1)</f>
        <v/>
      </c>
      <c r="AN5179">
        <f>INDEX($U$5128:$U$5255,AG5179+1)</f>
        <v/>
      </c>
      <c r="AO5179">
        <f>INDEX($V$5128:$V$5255,AH5179+1)</f>
        <v/>
      </c>
      <c r="AP5179">
        <f>INDEX($W$5128:$W$5255,AI5179+1)</f>
        <v/>
      </c>
      <c r="AQ5179">
        <f>IF(Q5179&gt;=AJ5179-0.01,1,0)</f>
        <v/>
      </c>
      <c r="AR5179">
        <f>IF(R5179&gt;=AK5179-0.01,1,0)</f>
        <v/>
      </c>
      <c r="AS5179">
        <f>IF(S5179&gt;=AL5179-0.01,1,0)</f>
        <v/>
      </c>
      <c r="AT5179">
        <f>IF(T5179&gt;=AM5179-0.01,1,0)</f>
        <v/>
      </c>
      <c r="AU5179">
        <f>IF(U5179&gt;=AN5179-0.01,1,0)</f>
        <v/>
      </c>
      <c r="AV5179">
        <f>IF(V5179&gt;=AO5179-0.01,1,0)</f>
        <v/>
      </c>
      <c r="AW5179">
        <f>IF(W5179&gt;=AP5179-0.01,1,0)</f>
        <v/>
      </c>
      <c r="AX5179">
        <f>AQ5179*AR5179*AS5179*AT5179*AU5179*AV5179*AW5179</f>
        <v/>
      </c>
    </row>
    <row r="5180">
      <c r="A5180" t="inlineStr"/>
      <c r="B5180">
        <f>Assumptions!$B$60</f>
        <v/>
      </c>
      <c r="C5180" t="n">
        <v>0</v>
      </c>
      <c r="D5180" t="n">
        <v>1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>
        <f>(1-C5180)*Assumptions!$B$41+(1-D5180)*Assumptions!$B$33+(1-E5180)*Assumptions!$B$32+(1-F5180)*Assumptions!$B$31+(1-G5180)*Assumptions!$B$30+(1-H5180)*Assumptions!$B$29+(1-I5180)*Assumptions!$B$28</f>
        <v/>
      </c>
      <c r="K5180">
        <f>C5180*$J$232+D5180*$F$232+E5180*$G$232+F5180*Assumptions!$B$14+G5180*Assumptions!$B$13+H5180*Assumptions!$B$12+I5180*Assumptions!$B$11+$O$232+$S$232+Assumptions!$B$9</f>
        <v/>
      </c>
      <c r="L5180">
        <f>B5180-J5180</f>
        <v/>
      </c>
      <c r="M5180">
        <f>IF(K5180&gt;0,IF(L5180/K5180&gt;=Assumptions!$B$37,1,0),0)</f>
        <v/>
      </c>
      <c r="N5180">
        <f>K5180+M5180*Assumptions!$B$153</f>
        <v/>
      </c>
      <c r="O5180">
        <f>L5180+M5180*Assumptions!$B$153*Assumptions!$B$37</f>
        <v/>
      </c>
      <c r="P5180">
        <f>IF(N5180&gt;0,O5180/N5180,0)</f>
        <v/>
      </c>
      <c r="Q5180">
        <f>IF(C5180=1,P5180*$J$232,Assumptions!$B$41)</f>
        <v/>
      </c>
      <c r="R5180">
        <f>IF(D5180=1,P5180*$F$232,Assumptions!$B$33)</f>
        <v/>
      </c>
      <c r="S5180">
        <f>IF(E5180=1,P5180*$G$232,Assumptions!$B$32)</f>
        <v/>
      </c>
      <c r="T5180">
        <f>IF(F5180=1,P5180*Assumptions!$B$14,Assumptions!$B$31)</f>
        <v/>
      </c>
      <c r="U5180">
        <f>IF(G5180=1,P5180*Assumptions!$B$13,Assumptions!$B$30)</f>
        <v/>
      </c>
      <c r="V5180">
        <f>IF(H5180=1,P5180*Assumptions!$B$12,Assumptions!$B$29)</f>
        <v/>
      </c>
      <c r="W5180">
        <f>IF(I5180=1,P5180*Assumptions!$B$11,Assumptions!$B$28)</f>
        <v/>
      </c>
      <c r="X5180">
        <f>P5180*($O$232+$S$232)</f>
        <v/>
      </c>
      <c r="Y5180">
        <f>P5180*Assumptions!$B$9</f>
        <v/>
      </c>
      <c r="Z5180">
        <f>IF(M5180=1,(P5180-Assumptions!$B$37)*Assumptions!$B$153,0)</f>
        <v/>
      </c>
      <c r="AA5180">
        <f>Q5180+R5180+S5180+T5180+U5180+V5180+W5180+X5180+Y5180+Z5180</f>
        <v/>
      </c>
      <c r="AB5180" t="n">
        <v>52</v>
      </c>
      <c r="AC5180" t="n">
        <v>116</v>
      </c>
      <c r="AD5180" t="n">
        <v>20</v>
      </c>
      <c r="AE5180" t="n">
        <v>36</v>
      </c>
      <c r="AF5180" t="n">
        <v>60</v>
      </c>
      <c r="AG5180" t="n">
        <v>48</v>
      </c>
      <c r="AH5180" t="n">
        <v>54</v>
      </c>
      <c r="AI5180" t="n">
        <v>53</v>
      </c>
      <c r="AJ5180">
        <f>INDEX($Q$5128:$Q$5255,AC5180+1)</f>
        <v/>
      </c>
      <c r="AK5180">
        <f>INDEX($R$5128:$R$5255,AD5180+1)</f>
        <v/>
      </c>
      <c r="AL5180">
        <f>INDEX($S$5128:$S$5255,AE5180+1)</f>
        <v/>
      </c>
      <c r="AM5180">
        <f>INDEX($T$5128:$T$5255,AF5180+1)</f>
        <v/>
      </c>
      <c r="AN5180">
        <f>INDEX($U$5128:$U$5255,AG5180+1)</f>
        <v/>
      </c>
      <c r="AO5180">
        <f>INDEX($V$5128:$V$5255,AH5180+1)</f>
        <v/>
      </c>
      <c r="AP5180">
        <f>INDEX($W$5128:$W$5255,AI5180+1)</f>
        <v/>
      </c>
      <c r="AQ5180">
        <f>IF(Q5180&gt;=AJ5180-0.01,1,0)</f>
        <v/>
      </c>
      <c r="AR5180">
        <f>IF(R5180&gt;=AK5180-0.01,1,0)</f>
        <v/>
      </c>
      <c r="AS5180">
        <f>IF(S5180&gt;=AL5180-0.01,1,0)</f>
        <v/>
      </c>
      <c r="AT5180">
        <f>IF(T5180&gt;=AM5180-0.01,1,0)</f>
        <v/>
      </c>
      <c r="AU5180">
        <f>IF(U5180&gt;=AN5180-0.01,1,0)</f>
        <v/>
      </c>
      <c r="AV5180">
        <f>IF(V5180&gt;=AO5180-0.01,1,0)</f>
        <v/>
      </c>
      <c r="AW5180">
        <f>IF(W5180&gt;=AP5180-0.01,1,0)</f>
        <v/>
      </c>
      <c r="AX5180">
        <f>AQ5180*AR5180*AS5180*AT5180*AU5180*AV5180*AW5180</f>
        <v/>
      </c>
    </row>
    <row r="5181">
      <c r="A5181" t="inlineStr"/>
      <c r="B5181">
        <f>Assumptions!$B$60</f>
        <v/>
      </c>
      <c r="C5181" t="n">
        <v>0</v>
      </c>
      <c r="D5181" t="n">
        <v>1</v>
      </c>
      <c r="E5181" t="n">
        <v>1</v>
      </c>
      <c r="F5181" t="n">
        <v>0</v>
      </c>
      <c r="G5181" t="n">
        <v>1</v>
      </c>
      <c r="H5181" t="n">
        <v>0</v>
      </c>
      <c r="I5181" t="n">
        <v>1</v>
      </c>
      <c r="J5181">
        <f>(1-C5181)*Assumptions!$B$41+(1-D5181)*Assumptions!$B$33+(1-E5181)*Assumptions!$B$32+(1-F5181)*Assumptions!$B$31+(1-G5181)*Assumptions!$B$30+(1-H5181)*Assumptions!$B$29+(1-I5181)*Assumptions!$B$28</f>
        <v/>
      </c>
      <c r="K5181">
        <f>C5181*$J$232+D5181*$F$232+E5181*$G$232+F5181*Assumptions!$B$14+G5181*Assumptions!$B$13+H5181*Assumptions!$B$12+I5181*Assumptions!$B$11+$O$232+$S$232+Assumptions!$B$9</f>
        <v/>
      </c>
      <c r="L5181">
        <f>B5181-J5181</f>
        <v/>
      </c>
      <c r="M5181">
        <f>IF(K5181&gt;0,IF(L5181/K5181&gt;=Assumptions!$B$37,1,0),0)</f>
        <v/>
      </c>
      <c r="N5181">
        <f>K5181+M5181*Assumptions!$B$153</f>
        <v/>
      </c>
      <c r="O5181">
        <f>L5181+M5181*Assumptions!$B$153*Assumptions!$B$37</f>
        <v/>
      </c>
      <c r="P5181">
        <f>IF(N5181&gt;0,O5181/N5181,0)</f>
        <v/>
      </c>
      <c r="Q5181">
        <f>IF(C5181=1,P5181*$J$232,Assumptions!$B$41)</f>
        <v/>
      </c>
      <c r="R5181">
        <f>IF(D5181=1,P5181*$F$232,Assumptions!$B$33)</f>
        <v/>
      </c>
      <c r="S5181">
        <f>IF(E5181=1,P5181*$G$232,Assumptions!$B$32)</f>
        <v/>
      </c>
      <c r="T5181">
        <f>IF(F5181=1,P5181*Assumptions!$B$14,Assumptions!$B$31)</f>
        <v/>
      </c>
      <c r="U5181">
        <f>IF(G5181=1,P5181*Assumptions!$B$13,Assumptions!$B$30)</f>
        <v/>
      </c>
      <c r="V5181">
        <f>IF(H5181=1,P5181*Assumptions!$B$12,Assumptions!$B$29)</f>
        <v/>
      </c>
      <c r="W5181">
        <f>IF(I5181=1,P5181*Assumptions!$B$11,Assumptions!$B$28)</f>
        <v/>
      </c>
      <c r="X5181">
        <f>P5181*($O$232+$S$232)</f>
        <v/>
      </c>
      <c r="Y5181">
        <f>P5181*Assumptions!$B$9</f>
        <v/>
      </c>
      <c r="Z5181">
        <f>IF(M5181=1,(P5181-Assumptions!$B$37)*Assumptions!$B$153,0)</f>
        <v/>
      </c>
      <c r="AA5181">
        <f>Q5181+R5181+S5181+T5181+U5181+V5181+W5181+X5181+Y5181+Z5181</f>
        <v/>
      </c>
      <c r="AB5181" t="n">
        <v>53</v>
      </c>
      <c r="AC5181" t="n">
        <v>117</v>
      </c>
      <c r="AD5181" t="n">
        <v>21</v>
      </c>
      <c r="AE5181" t="n">
        <v>37</v>
      </c>
      <c r="AF5181" t="n">
        <v>61</v>
      </c>
      <c r="AG5181" t="n">
        <v>49</v>
      </c>
      <c r="AH5181" t="n">
        <v>55</v>
      </c>
      <c r="AI5181" t="n">
        <v>52</v>
      </c>
      <c r="AJ5181">
        <f>INDEX($Q$5128:$Q$5255,AC5181+1)</f>
        <v/>
      </c>
      <c r="AK5181">
        <f>INDEX($R$5128:$R$5255,AD5181+1)</f>
        <v/>
      </c>
      <c r="AL5181">
        <f>INDEX($S$5128:$S$5255,AE5181+1)</f>
        <v/>
      </c>
      <c r="AM5181">
        <f>INDEX($T$5128:$T$5255,AF5181+1)</f>
        <v/>
      </c>
      <c r="AN5181">
        <f>INDEX($U$5128:$U$5255,AG5181+1)</f>
        <v/>
      </c>
      <c r="AO5181">
        <f>INDEX($V$5128:$V$5255,AH5181+1)</f>
        <v/>
      </c>
      <c r="AP5181">
        <f>INDEX($W$5128:$W$5255,AI5181+1)</f>
        <v/>
      </c>
      <c r="AQ5181">
        <f>IF(Q5181&gt;=AJ5181-0.01,1,0)</f>
        <v/>
      </c>
      <c r="AR5181">
        <f>IF(R5181&gt;=AK5181-0.01,1,0)</f>
        <v/>
      </c>
      <c r="AS5181">
        <f>IF(S5181&gt;=AL5181-0.01,1,0)</f>
        <v/>
      </c>
      <c r="AT5181">
        <f>IF(T5181&gt;=AM5181-0.01,1,0)</f>
        <v/>
      </c>
      <c r="AU5181">
        <f>IF(U5181&gt;=AN5181-0.01,1,0)</f>
        <v/>
      </c>
      <c r="AV5181">
        <f>IF(V5181&gt;=AO5181-0.01,1,0)</f>
        <v/>
      </c>
      <c r="AW5181">
        <f>IF(W5181&gt;=AP5181-0.01,1,0)</f>
        <v/>
      </c>
      <c r="AX5181">
        <f>AQ5181*AR5181*AS5181*AT5181*AU5181*AV5181*AW5181</f>
        <v/>
      </c>
    </row>
    <row r="5182">
      <c r="A5182" t="inlineStr"/>
      <c r="B5182">
        <f>Assumptions!$B$60</f>
        <v/>
      </c>
      <c r="C5182" t="n">
        <v>0</v>
      </c>
      <c r="D5182" t="n">
        <v>1</v>
      </c>
      <c r="E5182" t="n">
        <v>1</v>
      </c>
      <c r="F5182" t="n">
        <v>0</v>
      </c>
      <c r="G5182" t="n">
        <v>1</v>
      </c>
      <c r="H5182" t="n">
        <v>1</v>
      </c>
      <c r="I5182" t="n">
        <v>0</v>
      </c>
      <c r="J5182">
        <f>(1-C5182)*Assumptions!$B$41+(1-D5182)*Assumptions!$B$33+(1-E5182)*Assumptions!$B$32+(1-F5182)*Assumptions!$B$31+(1-G5182)*Assumptions!$B$30+(1-H5182)*Assumptions!$B$29+(1-I5182)*Assumptions!$B$28</f>
        <v/>
      </c>
      <c r="K5182">
        <f>C5182*$J$232+D5182*$F$232+E5182*$G$232+F5182*Assumptions!$B$14+G5182*Assumptions!$B$13+H5182*Assumptions!$B$12+I5182*Assumptions!$B$11+$O$232+$S$232+Assumptions!$B$9</f>
        <v/>
      </c>
      <c r="L5182">
        <f>B5182-J5182</f>
        <v/>
      </c>
      <c r="M5182">
        <f>IF(K5182&gt;0,IF(L5182/K5182&gt;=Assumptions!$B$37,1,0),0)</f>
        <v/>
      </c>
      <c r="N5182">
        <f>K5182+M5182*Assumptions!$B$153</f>
        <v/>
      </c>
      <c r="O5182">
        <f>L5182+M5182*Assumptions!$B$153*Assumptions!$B$37</f>
        <v/>
      </c>
      <c r="P5182">
        <f>IF(N5182&gt;0,O5182/N5182,0)</f>
        <v/>
      </c>
      <c r="Q5182">
        <f>IF(C5182=1,P5182*$J$232,Assumptions!$B$41)</f>
        <v/>
      </c>
      <c r="R5182">
        <f>IF(D5182=1,P5182*$F$232,Assumptions!$B$33)</f>
        <v/>
      </c>
      <c r="S5182">
        <f>IF(E5182=1,P5182*$G$232,Assumptions!$B$32)</f>
        <v/>
      </c>
      <c r="T5182">
        <f>IF(F5182=1,P5182*Assumptions!$B$14,Assumptions!$B$31)</f>
        <v/>
      </c>
      <c r="U5182">
        <f>IF(G5182=1,P5182*Assumptions!$B$13,Assumptions!$B$30)</f>
        <v/>
      </c>
      <c r="V5182">
        <f>IF(H5182=1,P5182*Assumptions!$B$12,Assumptions!$B$29)</f>
        <v/>
      </c>
      <c r="W5182">
        <f>IF(I5182=1,P5182*Assumptions!$B$11,Assumptions!$B$28)</f>
        <v/>
      </c>
      <c r="X5182">
        <f>P5182*($O$232+$S$232)</f>
        <v/>
      </c>
      <c r="Y5182">
        <f>P5182*Assumptions!$B$9</f>
        <v/>
      </c>
      <c r="Z5182">
        <f>IF(M5182=1,(P5182-Assumptions!$B$37)*Assumptions!$B$153,0)</f>
        <v/>
      </c>
      <c r="AA5182">
        <f>Q5182+R5182+S5182+T5182+U5182+V5182+W5182+X5182+Y5182+Z5182</f>
        <v/>
      </c>
      <c r="AB5182" t="n">
        <v>54</v>
      </c>
      <c r="AC5182" t="n">
        <v>118</v>
      </c>
      <c r="AD5182" t="n">
        <v>22</v>
      </c>
      <c r="AE5182" t="n">
        <v>38</v>
      </c>
      <c r="AF5182" t="n">
        <v>62</v>
      </c>
      <c r="AG5182" t="n">
        <v>50</v>
      </c>
      <c r="AH5182" t="n">
        <v>52</v>
      </c>
      <c r="AI5182" t="n">
        <v>55</v>
      </c>
      <c r="AJ5182">
        <f>INDEX($Q$5128:$Q$5255,AC5182+1)</f>
        <v/>
      </c>
      <c r="AK5182">
        <f>INDEX($R$5128:$R$5255,AD5182+1)</f>
        <v/>
      </c>
      <c r="AL5182">
        <f>INDEX($S$5128:$S$5255,AE5182+1)</f>
        <v/>
      </c>
      <c r="AM5182">
        <f>INDEX($T$5128:$T$5255,AF5182+1)</f>
        <v/>
      </c>
      <c r="AN5182">
        <f>INDEX($U$5128:$U$5255,AG5182+1)</f>
        <v/>
      </c>
      <c r="AO5182">
        <f>INDEX($V$5128:$V$5255,AH5182+1)</f>
        <v/>
      </c>
      <c r="AP5182">
        <f>INDEX($W$5128:$W$5255,AI5182+1)</f>
        <v/>
      </c>
      <c r="AQ5182">
        <f>IF(Q5182&gt;=AJ5182-0.01,1,0)</f>
        <v/>
      </c>
      <c r="AR5182">
        <f>IF(R5182&gt;=AK5182-0.01,1,0)</f>
        <v/>
      </c>
      <c r="AS5182">
        <f>IF(S5182&gt;=AL5182-0.01,1,0)</f>
        <v/>
      </c>
      <c r="AT5182">
        <f>IF(T5182&gt;=AM5182-0.01,1,0)</f>
        <v/>
      </c>
      <c r="AU5182">
        <f>IF(U5182&gt;=AN5182-0.01,1,0)</f>
        <v/>
      </c>
      <c r="AV5182">
        <f>IF(V5182&gt;=AO5182-0.01,1,0)</f>
        <v/>
      </c>
      <c r="AW5182">
        <f>IF(W5182&gt;=AP5182-0.01,1,0)</f>
        <v/>
      </c>
      <c r="AX5182">
        <f>AQ5182*AR5182*AS5182*AT5182*AU5182*AV5182*AW5182</f>
        <v/>
      </c>
    </row>
    <row r="5183">
      <c r="A5183" t="inlineStr"/>
      <c r="B5183">
        <f>Assumptions!$B$60</f>
        <v/>
      </c>
      <c r="C5183" t="n">
        <v>0</v>
      </c>
      <c r="D5183" t="n">
        <v>1</v>
      </c>
      <c r="E5183" t="n">
        <v>1</v>
      </c>
      <c r="F5183" t="n">
        <v>0</v>
      </c>
      <c r="G5183" t="n">
        <v>1</v>
      </c>
      <c r="H5183" t="n">
        <v>1</v>
      </c>
      <c r="I5183" t="n">
        <v>1</v>
      </c>
      <c r="J5183">
        <f>(1-C5183)*Assumptions!$B$41+(1-D5183)*Assumptions!$B$33+(1-E5183)*Assumptions!$B$32+(1-F5183)*Assumptions!$B$31+(1-G5183)*Assumptions!$B$30+(1-H5183)*Assumptions!$B$29+(1-I5183)*Assumptions!$B$28</f>
        <v/>
      </c>
      <c r="K5183">
        <f>C5183*$J$232+D5183*$F$232+E5183*$G$232+F5183*Assumptions!$B$14+G5183*Assumptions!$B$13+H5183*Assumptions!$B$12+I5183*Assumptions!$B$11+$O$232+$S$232+Assumptions!$B$9</f>
        <v/>
      </c>
      <c r="L5183">
        <f>B5183-J5183</f>
        <v/>
      </c>
      <c r="M5183">
        <f>IF(K5183&gt;0,IF(L5183/K5183&gt;=Assumptions!$B$37,1,0),0)</f>
        <v/>
      </c>
      <c r="N5183">
        <f>K5183+M5183*Assumptions!$B$153</f>
        <v/>
      </c>
      <c r="O5183">
        <f>L5183+M5183*Assumptions!$B$153*Assumptions!$B$37</f>
        <v/>
      </c>
      <c r="P5183">
        <f>IF(N5183&gt;0,O5183/N5183,0)</f>
        <v/>
      </c>
      <c r="Q5183">
        <f>IF(C5183=1,P5183*$J$232,Assumptions!$B$41)</f>
        <v/>
      </c>
      <c r="R5183">
        <f>IF(D5183=1,P5183*$F$232,Assumptions!$B$33)</f>
        <v/>
      </c>
      <c r="S5183">
        <f>IF(E5183=1,P5183*$G$232,Assumptions!$B$32)</f>
        <v/>
      </c>
      <c r="T5183">
        <f>IF(F5183=1,P5183*Assumptions!$B$14,Assumptions!$B$31)</f>
        <v/>
      </c>
      <c r="U5183">
        <f>IF(G5183=1,P5183*Assumptions!$B$13,Assumptions!$B$30)</f>
        <v/>
      </c>
      <c r="V5183">
        <f>IF(H5183=1,P5183*Assumptions!$B$12,Assumptions!$B$29)</f>
        <v/>
      </c>
      <c r="W5183">
        <f>IF(I5183=1,P5183*Assumptions!$B$11,Assumptions!$B$28)</f>
        <v/>
      </c>
      <c r="X5183">
        <f>P5183*($O$232+$S$232)</f>
        <v/>
      </c>
      <c r="Y5183">
        <f>P5183*Assumptions!$B$9</f>
        <v/>
      </c>
      <c r="Z5183">
        <f>IF(M5183=1,(P5183-Assumptions!$B$37)*Assumptions!$B$153,0)</f>
        <v/>
      </c>
      <c r="AA5183">
        <f>Q5183+R5183+S5183+T5183+U5183+V5183+W5183+X5183+Y5183+Z5183</f>
        <v/>
      </c>
      <c r="AB5183" t="n">
        <v>55</v>
      </c>
      <c r="AC5183" t="n">
        <v>119</v>
      </c>
      <c r="AD5183" t="n">
        <v>23</v>
      </c>
      <c r="AE5183" t="n">
        <v>39</v>
      </c>
      <c r="AF5183" t="n">
        <v>63</v>
      </c>
      <c r="AG5183" t="n">
        <v>51</v>
      </c>
      <c r="AH5183" t="n">
        <v>53</v>
      </c>
      <c r="AI5183" t="n">
        <v>54</v>
      </c>
      <c r="AJ5183">
        <f>INDEX($Q$5128:$Q$5255,AC5183+1)</f>
        <v/>
      </c>
      <c r="AK5183">
        <f>INDEX($R$5128:$R$5255,AD5183+1)</f>
        <v/>
      </c>
      <c r="AL5183">
        <f>INDEX($S$5128:$S$5255,AE5183+1)</f>
        <v/>
      </c>
      <c r="AM5183">
        <f>INDEX($T$5128:$T$5255,AF5183+1)</f>
        <v/>
      </c>
      <c r="AN5183">
        <f>INDEX($U$5128:$U$5255,AG5183+1)</f>
        <v/>
      </c>
      <c r="AO5183">
        <f>INDEX($V$5128:$V$5255,AH5183+1)</f>
        <v/>
      </c>
      <c r="AP5183">
        <f>INDEX($W$5128:$W$5255,AI5183+1)</f>
        <v/>
      </c>
      <c r="AQ5183">
        <f>IF(Q5183&gt;=AJ5183-0.01,1,0)</f>
        <v/>
      </c>
      <c r="AR5183">
        <f>IF(R5183&gt;=AK5183-0.01,1,0)</f>
        <v/>
      </c>
      <c r="AS5183">
        <f>IF(S5183&gt;=AL5183-0.01,1,0)</f>
        <v/>
      </c>
      <c r="AT5183">
        <f>IF(T5183&gt;=AM5183-0.01,1,0)</f>
        <v/>
      </c>
      <c r="AU5183">
        <f>IF(U5183&gt;=AN5183-0.01,1,0)</f>
        <v/>
      </c>
      <c r="AV5183">
        <f>IF(V5183&gt;=AO5183-0.01,1,0)</f>
        <v/>
      </c>
      <c r="AW5183">
        <f>IF(W5183&gt;=AP5183-0.01,1,0)</f>
        <v/>
      </c>
      <c r="AX5183">
        <f>AQ5183*AR5183*AS5183*AT5183*AU5183*AV5183*AW5183</f>
        <v/>
      </c>
    </row>
    <row r="5184">
      <c r="A5184" t="inlineStr"/>
      <c r="B5184">
        <f>Assumptions!$B$60</f>
        <v/>
      </c>
      <c r="C5184" t="n">
        <v>0</v>
      </c>
      <c r="D5184" t="n">
        <v>1</v>
      </c>
      <c r="E5184" t="n">
        <v>1</v>
      </c>
      <c r="F5184" t="n">
        <v>1</v>
      </c>
      <c r="G5184" t="n">
        <v>0</v>
      </c>
      <c r="H5184" t="n">
        <v>0</v>
      </c>
      <c r="I5184" t="n">
        <v>0</v>
      </c>
      <c r="J5184">
        <f>(1-C5184)*Assumptions!$B$41+(1-D5184)*Assumptions!$B$33+(1-E5184)*Assumptions!$B$32+(1-F5184)*Assumptions!$B$31+(1-G5184)*Assumptions!$B$30+(1-H5184)*Assumptions!$B$29+(1-I5184)*Assumptions!$B$28</f>
        <v/>
      </c>
      <c r="K5184">
        <f>C5184*$J$232+D5184*$F$232+E5184*$G$232+F5184*Assumptions!$B$14+G5184*Assumptions!$B$13+H5184*Assumptions!$B$12+I5184*Assumptions!$B$11+$O$232+$S$232+Assumptions!$B$9</f>
        <v/>
      </c>
      <c r="L5184">
        <f>B5184-J5184</f>
        <v/>
      </c>
      <c r="M5184">
        <f>IF(K5184&gt;0,IF(L5184/K5184&gt;=Assumptions!$B$37,1,0),0)</f>
        <v/>
      </c>
      <c r="N5184">
        <f>K5184+M5184*Assumptions!$B$153</f>
        <v/>
      </c>
      <c r="O5184">
        <f>L5184+M5184*Assumptions!$B$153*Assumptions!$B$37</f>
        <v/>
      </c>
      <c r="P5184">
        <f>IF(N5184&gt;0,O5184/N5184,0)</f>
        <v/>
      </c>
      <c r="Q5184">
        <f>IF(C5184=1,P5184*$J$232,Assumptions!$B$41)</f>
        <v/>
      </c>
      <c r="R5184">
        <f>IF(D5184=1,P5184*$F$232,Assumptions!$B$33)</f>
        <v/>
      </c>
      <c r="S5184">
        <f>IF(E5184=1,P5184*$G$232,Assumptions!$B$32)</f>
        <v/>
      </c>
      <c r="T5184">
        <f>IF(F5184=1,P5184*Assumptions!$B$14,Assumptions!$B$31)</f>
        <v/>
      </c>
      <c r="U5184">
        <f>IF(G5184=1,P5184*Assumptions!$B$13,Assumptions!$B$30)</f>
        <v/>
      </c>
      <c r="V5184">
        <f>IF(H5184=1,P5184*Assumptions!$B$12,Assumptions!$B$29)</f>
        <v/>
      </c>
      <c r="W5184">
        <f>IF(I5184=1,P5184*Assumptions!$B$11,Assumptions!$B$28)</f>
        <v/>
      </c>
      <c r="X5184">
        <f>P5184*($O$232+$S$232)</f>
        <v/>
      </c>
      <c r="Y5184">
        <f>P5184*Assumptions!$B$9</f>
        <v/>
      </c>
      <c r="Z5184">
        <f>IF(M5184=1,(P5184-Assumptions!$B$37)*Assumptions!$B$153,0)</f>
        <v/>
      </c>
      <c r="AA5184">
        <f>Q5184+R5184+S5184+T5184+U5184+V5184+W5184+X5184+Y5184+Z5184</f>
        <v/>
      </c>
      <c r="AB5184" t="n">
        <v>56</v>
      </c>
      <c r="AC5184" t="n">
        <v>120</v>
      </c>
      <c r="AD5184" t="n">
        <v>24</v>
      </c>
      <c r="AE5184" t="n">
        <v>40</v>
      </c>
      <c r="AF5184" t="n">
        <v>48</v>
      </c>
      <c r="AG5184" t="n">
        <v>60</v>
      </c>
      <c r="AH5184" t="n">
        <v>58</v>
      </c>
      <c r="AI5184" t="n">
        <v>57</v>
      </c>
      <c r="AJ5184">
        <f>INDEX($Q$5128:$Q$5255,AC5184+1)</f>
        <v/>
      </c>
      <c r="AK5184">
        <f>INDEX($R$5128:$R$5255,AD5184+1)</f>
        <v/>
      </c>
      <c r="AL5184">
        <f>INDEX($S$5128:$S$5255,AE5184+1)</f>
        <v/>
      </c>
      <c r="AM5184">
        <f>INDEX($T$5128:$T$5255,AF5184+1)</f>
        <v/>
      </c>
      <c r="AN5184">
        <f>INDEX($U$5128:$U$5255,AG5184+1)</f>
        <v/>
      </c>
      <c r="AO5184">
        <f>INDEX($V$5128:$V$5255,AH5184+1)</f>
        <v/>
      </c>
      <c r="AP5184">
        <f>INDEX($W$5128:$W$5255,AI5184+1)</f>
        <v/>
      </c>
      <c r="AQ5184">
        <f>IF(Q5184&gt;=AJ5184-0.01,1,0)</f>
        <v/>
      </c>
      <c r="AR5184">
        <f>IF(R5184&gt;=AK5184-0.01,1,0)</f>
        <v/>
      </c>
      <c r="AS5184">
        <f>IF(S5184&gt;=AL5184-0.01,1,0)</f>
        <v/>
      </c>
      <c r="AT5184">
        <f>IF(T5184&gt;=AM5184-0.01,1,0)</f>
        <v/>
      </c>
      <c r="AU5184">
        <f>IF(U5184&gt;=AN5184-0.01,1,0)</f>
        <v/>
      </c>
      <c r="AV5184">
        <f>IF(V5184&gt;=AO5184-0.01,1,0)</f>
        <v/>
      </c>
      <c r="AW5184">
        <f>IF(W5184&gt;=AP5184-0.01,1,0)</f>
        <v/>
      </c>
      <c r="AX5184">
        <f>AQ5184*AR5184*AS5184*AT5184*AU5184*AV5184*AW5184</f>
        <v/>
      </c>
    </row>
    <row r="5185">
      <c r="A5185" t="inlineStr"/>
      <c r="B5185">
        <f>Assumptions!$B$60</f>
        <v/>
      </c>
      <c r="C5185" t="n">
        <v>0</v>
      </c>
      <c r="D5185" t="n">
        <v>1</v>
      </c>
      <c r="E5185" t="n">
        <v>1</v>
      </c>
      <c r="F5185" t="n">
        <v>1</v>
      </c>
      <c r="G5185" t="n">
        <v>0</v>
      </c>
      <c r="H5185" t="n">
        <v>0</v>
      </c>
      <c r="I5185" t="n">
        <v>1</v>
      </c>
      <c r="J5185">
        <f>(1-C5185)*Assumptions!$B$41+(1-D5185)*Assumptions!$B$33+(1-E5185)*Assumptions!$B$32+(1-F5185)*Assumptions!$B$31+(1-G5185)*Assumptions!$B$30+(1-H5185)*Assumptions!$B$29+(1-I5185)*Assumptions!$B$28</f>
        <v/>
      </c>
      <c r="K5185">
        <f>C5185*$J$232+D5185*$F$232+E5185*$G$232+F5185*Assumptions!$B$14+G5185*Assumptions!$B$13+H5185*Assumptions!$B$12+I5185*Assumptions!$B$11+$O$232+$S$232+Assumptions!$B$9</f>
        <v/>
      </c>
      <c r="L5185">
        <f>B5185-J5185</f>
        <v/>
      </c>
      <c r="M5185">
        <f>IF(K5185&gt;0,IF(L5185/K5185&gt;=Assumptions!$B$37,1,0),0)</f>
        <v/>
      </c>
      <c r="N5185">
        <f>K5185+M5185*Assumptions!$B$153</f>
        <v/>
      </c>
      <c r="O5185">
        <f>L5185+M5185*Assumptions!$B$153*Assumptions!$B$37</f>
        <v/>
      </c>
      <c r="P5185">
        <f>IF(N5185&gt;0,O5185/N5185,0)</f>
        <v/>
      </c>
      <c r="Q5185">
        <f>IF(C5185=1,P5185*$J$232,Assumptions!$B$41)</f>
        <v/>
      </c>
      <c r="R5185">
        <f>IF(D5185=1,P5185*$F$232,Assumptions!$B$33)</f>
        <v/>
      </c>
      <c r="S5185">
        <f>IF(E5185=1,P5185*$G$232,Assumptions!$B$32)</f>
        <v/>
      </c>
      <c r="T5185">
        <f>IF(F5185=1,P5185*Assumptions!$B$14,Assumptions!$B$31)</f>
        <v/>
      </c>
      <c r="U5185">
        <f>IF(G5185=1,P5185*Assumptions!$B$13,Assumptions!$B$30)</f>
        <v/>
      </c>
      <c r="V5185">
        <f>IF(H5185=1,P5185*Assumptions!$B$12,Assumptions!$B$29)</f>
        <v/>
      </c>
      <c r="W5185">
        <f>IF(I5185=1,P5185*Assumptions!$B$11,Assumptions!$B$28)</f>
        <v/>
      </c>
      <c r="X5185">
        <f>P5185*($O$232+$S$232)</f>
        <v/>
      </c>
      <c r="Y5185">
        <f>P5185*Assumptions!$B$9</f>
        <v/>
      </c>
      <c r="Z5185">
        <f>IF(M5185=1,(P5185-Assumptions!$B$37)*Assumptions!$B$153,0)</f>
        <v/>
      </c>
      <c r="AA5185">
        <f>Q5185+R5185+S5185+T5185+U5185+V5185+W5185+X5185+Y5185+Z5185</f>
        <v/>
      </c>
      <c r="AB5185" t="n">
        <v>57</v>
      </c>
      <c r="AC5185" t="n">
        <v>121</v>
      </c>
      <c r="AD5185" t="n">
        <v>25</v>
      </c>
      <c r="AE5185" t="n">
        <v>41</v>
      </c>
      <c r="AF5185" t="n">
        <v>49</v>
      </c>
      <c r="AG5185" t="n">
        <v>61</v>
      </c>
      <c r="AH5185" t="n">
        <v>59</v>
      </c>
      <c r="AI5185" t="n">
        <v>56</v>
      </c>
      <c r="AJ5185">
        <f>INDEX($Q$5128:$Q$5255,AC5185+1)</f>
        <v/>
      </c>
      <c r="AK5185">
        <f>INDEX($R$5128:$R$5255,AD5185+1)</f>
        <v/>
      </c>
      <c r="AL5185">
        <f>INDEX($S$5128:$S$5255,AE5185+1)</f>
        <v/>
      </c>
      <c r="AM5185">
        <f>INDEX($T$5128:$T$5255,AF5185+1)</f>
        <v/>
      </c>
      <c r="AN5185">
        <f>INDEX($U$5128:$U$5255,AG5185+1)</f>
        <v/>
      </c>
      <c r="AO5185">
        <f>INDEX($V$5128:$V$5255,AH5185+1)</f>
        <v/>
      </c>
      <c r="AP5185">
        <f>INDEX($W$5128:$W$5255,AI5185+1)</f>
        <v/>
      </c>
      <c r="AQ5185">
        <f>IF(Q5185&gt;=AJ5185-0.01,1,0)</f>
        <v/>
      </c>
      <c r="AR5185">
        <f>IF(R5185&gt;=AK5185-0.01,1,0)</f>
        <v/>
      </c>
      <c r="AS5185">
        <f>IF(S5185&gt;=AL5185-0.01,1,0)</f>
        <v/>
      </c>
      <c r="AT5185">
        <f>IF(T5185&gt;=AM5185-0.01,1,0)</f>
        <v/>
      </c>
      <c r="AU5185">
        <f>IF(U5185&gt;=AN5185-0.01,1,0)</f>
        <v/>
      </c>
      <c r="AV5185">
        <f>IF(V5185&gt;=AO5185-0.01,1,0)</f>
        <v/>
      </c>
      <c r="AW5185">
        <f>IF(W5185&gt;=AP5185-0.01,1,0)</f>
        <v/>
      </c>
      <c r="AX5185">
        <f>AQ5185*AR5185*AS5185*AT5185*AU5185*AV5185*AW5185</f>
        <v/>
      </c>
    </row>
    <row r="5186">
      <c r="A5186" t="inlineStr"/>
      <c r="B5186">
        <f>Assumptions!$B$60</f>
        <v/>
      </c>
      <c r="C5186" t="n">
        <v>0</v>
      </c>
      <c r="D5186" t="n">
        <v>1</v>
      </c>
      <c r="E5186" t="n">
        <v>1</v>
      </c>
      <c r="F5186" t="n">
        <v>1</v>
      </c>
      <c r="G5186" t="n">
        <v>0</v>
      </c>
      <c r="H5186" t="n">
        <v>1</v>
      </c>
      <c r="I5186" t="n">
        <v>0</v>
      </c>
      <c r="J5186">
        <f>(1-C5186)*Assumptions!$B$41+(1-D5186)*Assumptions!$B$33+(1-E5186)*Assumptions!$B$32+(1-F5186)*Assumptions!$B$31+(1-G5186)*Assumptions!$B$30+(1-H5186)*Assumptions!$B$29+(1-I5186)*Assumptions!$B$28</f>
        <v/>
      </c>
      <c r="K5186">
        <f>C5186*$J$232+D5186*$F$232+E5186*$G$232+F5186*Assumptions!$B$14+G5186*Assumptions!$B$13+H5186*Assumptions!$B$12+I5186*Assumptions!$B$11+$O$232+$S$232+Assumptions!$B$9</f>
        <v/>
      </c>
      <c r="L5186">
        <f>B5186-J5186</f>
        <v/>
      </c>
      <c r="M5186">
        <f>IF(K5186&gt;0,IF(L5186/K5186&gt;=Assumptions!$B$37,1,0),0)</f>
        <v/>
      </c>
      <c r="N5186">
        <f>K5186+M5186*Assumptions!$B$153</f>
        <v/>
      </c>
      <c r="O5186">
        <f>L5186+M5186*Assumptions!$B$153*Assumptions!$B$37</f>
        <v/>
      </c>
      <c r="P5186">
        <f>IF(N5186&gt;0,O5186/N5186,0)</f>
        <v/>
      </c>
      <c r="Q5186">
        <f>IF(C5186=1,P5186*$J$232,Assumptions!$B$41)</f>
        <v/>
      </c>
      <c r="R5186">
        <f>IF(D5186=1,P5186*$F$232,Assumptions!$B$33)</f>
        <v/>
      </c>
      <c r="S5186">
        <f>IF(E5186=1,P5186*$G$232,Assumptions!$B$32)</f>
        <v/>
      </c>
      <c r="T5186">
        <f>IF(F5186=1,P5186*Assumptions!$B$14,Assumptions!$B$31)</f>
        <v/>
      </c>
      <c r="U5186">
        <f>IF(G5186=1,P5186*Assumptions!$B$13,Assumptions!$B$30)</f>
        <v/>
      </c>
      <c r="V5186">
        <f>IF(H5186=1,P5186*Assumptions!$B$12,Assumptions!$B$29)</f>
        <v/>
      </c>
      <c r="W5186">
        <f>IF(I5186=1,P5186*Assumptions!$B$11,Assumptions!$B$28)</f>
        <v/>
      </c>
      <c r="X5186">
        <f>P5186*($O$232+$S$232)</f>
        <v/>
      </c>
      <c r="Y5186">
        <f>P5186*Assumptions!$B$9</f>
        <v/>
      </c>
      <c r="Z5186">
        <f>IF(M5186=1,(P5186-Assumptions!$B$37)*Assumptions!$B$153,0)</f>
        <v/>
      </c>
      <c r="AA5186">
        <f>Q5186+R5186+S5186+T5186+U5186+V5186+W5186+X5186+Y5186+Z5186</f>
        <v/>
      </c>
      <c r="AB5186" t="n">
        <v>58</v>
      </c>
      <c r="AC5186" t="n">
        <v>122</v>
      </c>
      <c r="AD5186" t="n">
        <v>26</v>
      </c>
      <c r="AE5186" t="n">
        <v>42</v>
      </c>
      <c r="AF5186" t="n">
        <v>50</v>
      </c>
      <c r="AG5186" t="n">
        <v>62</v>
      </c>
      <c r="AH5186" t="n">
        <v>56</v>
      </c>
      <c r="AI5186" t="n">
        <v>59</v>
      </c>
      <c r="AJ5186">
        <f>INDEX($Q$5128:$Q$5255,AC5186+1)</f>
        <v/>
      </c>
      <c r="AK5186">
        <f>INDEX($R$5128:$R$5255,AD5186+1)</f>
        <v/>
      </c>
      <c r="AL5186">
        <f>INDEX($S$5128:$S$5255,AE5186+1)</f>
        <v/>
      </c>
      <c r="AM5186">
        <f>INDEX($T$5128:$T$5255,AF5186+1)</f>
        <v/>
      </c>
      <c r="AN5186">
        <f>INDEX($U$5128:$U$5255,AG5186+1)</f>
        <v/>
      </c>
      <c r="AO5186">
        <f>INDEX($V$5128:$V$5255,AH5186+1)</f>
        <v/>
      </c>
      <c r="AP5186">
        <f>INDEX($W$5128:$W$5255,AI5186+1)</f>
        <v/>
      </c>
      <c r="AQ5186">
        <f>IF(Q5186&gt;=AJ5186-0.01,1,0)</f>
        <v/>
      </c>
      <c r="AR5186">
        <f>IF(R5186&gt;=AK5186-0.01,1,0)</f>
        <v/>
      </c>
      <c r="AS5186">
        <f>IF(S5186&gt;=AL5186-0.01,1,0)</f>
        <v/>
      </c>
      <c r="AT5186">
        <f>IF(T5186&gt;=AM5186-0.01,1,0)</f>
        <v/>
      </c>
      <c r="AU5186">
        <f>IF(U5186&gt;=AN5186-0.01,1,0)</f>
        <v/>
      </c>
      <c r="AV5186">
        <f>IF(V5186&gt;=AO5186-0.01,1,0)</f>
        <v/>
      </c>
      <c r="AW5186">
        <f>IF(W5186&gt;=AP5186-0.01,1,0)</f>
        <v/>
      </c>
      <c r="AX5186">
        <f>AQ5186*AR5186*AS5186*AT5186*AU5186*AV5186*AW5186</f>
        <v/>
      </c>
    </row>
    <row r="5187">
      <c r="A5187" t="inlineStr"/>
      <c r="B5187">
        <f>Assumptions!$B$60</f>
        <v/>
      </c>
      <c r="C5187" t="n">
        <v>0</v>
      </c>
      <c r="D5187" t="n">
        <v>1</v>
      </c>
      <c r="E5187" t="n">
        <v>1</v>
      </c>
      <c r="F5187" t="n">
        <v>1</v>
      </c>
      <c r="G5187" t="n">
        <v>0</v>
      </c>
      <c r="H5187" t="n">
        <v>1</v>
      </c>
      <c r="I5187" t="n">
        <v>1</v>
      </c>
      <c r="J5187">
        <f>(1-C5187)*Assumptions!$B$41+(1-D5187)*Assumptions!$B$33+(1-E5187)*Assumptions!$B$32+(1-F5187)*Assumptions!$B$31+(1-G5187)*Assumptions!$B$30+(1-H5187)*Assumptions!$B$29+(1-I5187)*Assumptions!$B$28</f>
        <v/>
      </c>
      <c r="K5187">
        <f>C5187*$J$232+D5187*$F$232+E5187*$G$232+F5187*Assumptions!$B$14+G5187*Assumptions!$B$13+H5187*Assumptions!$B$12+I5187*Assumptions!$B$11+$O$232+$S$232+Assumptions!$B$9</f>
        <v/>
      </c>
      <c r="L5187">
        <f>B5187-J5187</f>
        <v/>
      </c>
      <c r="M5187">
        <f>IF(K5187&gt;0,IF(L5187/K5187&gt;=Assumptions!$B$37,1,0),0)</f>
        <v/>
      </c>
      <c r="N5187">
        <f>K5187+M5187*Assumptions!$B$153</f>
        <v/>
      </c>
      <c r="O5187">
        <f>L5187+M5187*Assumptions!$B$153*Assumptions!$B$37</f>
        <v/>
      </c>
      <c r="P5187">
        <f>IF(N5187&gt;0,O5187/N5187,0)</f>
        <v/>
      </c>
      <c r="Q5187">
        <f>IF(C5187=1,P5187*$J$232,Assumptions!$B$41)</f>
        <v/>
      </c>
      <c r="R5187">
        <f>IF(D5187=1,P5187*$F$232,Assumptions!$B$33)</f>
        <v/>
      </c>
      <c r="S5187">
        <f>IF(E5187=1,P5187*$G$232,Assumptions!$B$32)</f>
        <v/>
      </c>
      <c r="T5187">
        <f>IF(F5187=1,P5187*Assumptions!$B$14,Assumptions!$B$31)</f>
        <v/>
      </c>
      <c r="U5187">
        <f>IF(G5187=1,P5187*Assumptions!$B$13,Assumptions!$B$30)</f>
        <v/>
      </c>
      <c r="V5187">
        <f>IF(H5187=1,P5187*Assumptions!$B$12,Assumptions!$B$29)</f>
        <v/>
      </c>
      <c r="W5187">
        <f>IF(I5187=1,P5187*Assumptions!$B$11,Assumptions!$B$28)</f>
        <v/>
      </c>
      <c r="X5187">
        <f>P5187*($O$232+$S$232)</f>
        <v/>
      </c>
      <c r="Y5187">
        <f>P5187*Assumptions!$B$9</f>
        <v/>
      </c>
      <c r="Z5187">
        <f>IF(M5187=1,(P5187-Assumptions!$B$37)*Assumptions!$B$153,0)</f>
        <v/>
      </c>
      <c r="AA5187">
        <f>Q5187+R5187+S5187+T5187+U5187+V5187+W5187+X5187+Y5187+Z5187</f>
        <v/>
      </c>
      <c r="AB5187" t="n">
        <v>59</v>
      </c>
      <c r="AC5187" t="n">
        <v>123</v>
      </c>
      <c r="AD5187" t="n">
        <v>27</v>
      </c>
      <c r="AE5187" t="n">
        <v>43</v>
      </c>
      <c r="AF5187" t="n">
        <v>51</v>
      </c>
      <c r="AG5187" t="n">
        <v>63</v>
      </c>
      <c r="AH5187" t="n">
        <v>57</v>
      </c>
      <c r="AI5187" t="n">
        <v>58</v>
      </c>
      <c r="AJ5187">
        <f>INDEX($Q$5128:$Q$5255,AC5187+1)</f>
        <v/>
      </c>
      <c r="AK5187">
        <f>INDEX($R$5128:$R$5255,AD5187+1)</f>
        <v/>
      </c>
      <c r="AL5187">
        <f>INDEX($S$5128:$S$5255,AE5187+1)</f>
        <v/>
      </c>
      <c r="AM5187">
        <f>INDEX($T$5128:$T$5255,AF5187+1)</f>
        <v/>
      </c>
      <c r="AN5187">
        <f>INDEX($U$5128:$U$5255,AG5187+1)</f>
        <v/>
      </c>
      <c r="AO5187">
        <f>INDEX($V$5128:$V$5255,AH5187+1)</f>
        <v/>
      </c>
      <c r="AP5187">
        <f>INDEX($W$5128:$W$5255,AI5187+1)</f>
        <v/>
      </c>
      <c r="AQ5187">
        <f>IF(Q5187&gt;=AJ5187-0.01,1,0)</f>
        <v/>
      </c>
      <c r="AR5187">
        <f>IF(R5187&gt;=AK5187-0.01,1,0)</f>
        <v/>
      </c>
      <c r="AS5187">
        <f>IF(S5187&gt;=AL5187-0.01,1,0)</f>
        <v/>
      </c>
      <c r="AT5187">
        <f>IF(T5187&gt;=AM5187-0.01,1,0)</f>
        <v/>
      </c>
      <c r="AU5187">
        <f>IF(U5187&gt;=AN5187-0.01,1,0)</f>
        <v/>
      </c>
      <c r="AV5187">
        <f>IF(V5187&gt;=AO5187-0.01,1,0)</f>
        <v/>
      </c>
      <c r="AW5187">
        <f>IF(W5187&gt;=AP5187-0.01,1,0)</f>
        <v/>
      </c>
      <c r="AX5187">
        <f>AQ5187*AR5187*AS5187*AT5187*AU5187*AV5187*AW5187</f>
        <v/>
      </c>
    </row>
    <row r="5188">
      <c r="A5188" t="inlineStr"/>
      <c r="B5188">
        <f>Assumptions!$B$60</f>
        <v/>
      </c>
      <c r="C5188" t="n">
        <v>0</v>
      </c>
      <c r="D5188" t="n">
        <v>1</v>
      </c>
      <c r="E5188" t="n">
        <v>1</v>
      </c>
      <c r="F5188" t="n">
        <v>1</v>
      </c>
      <c r="G5188" t="n">
        <v>1</v>
      </c>
      <c r="H5188" t="n">
        <v>0</v>
      </c>
      <c r="I5188" t="n">
        <v>0</v>
      </c>
      <c r="J5188">
        <f>(1-C5188)*Assumptions!$B$41+(1-D5188)*Assumptions!$B$33+(1-E5188)*Assumptions!$B$32+(1-F5188)*Assumptions!$B$31+(1-G5188)*Assumptions!$B$30+(1-H5188)*Assumptions!$B$29+(1-I5188)*Assumptions!$B$28</f>
        <v/>
      </c>
      <c r="K5188">
        <f>C5188*$J$232+D5188*$F$232+E5188*$G$232+F5188*Assumptions!$B$14+G5188*Assumptions!$B$13+H5188*Assumptions!$B$12+I5188*Assumptions!$B$11+$O$232+$S$232+Assumptions!$B$9</f>
        <v/>
      </c>
      <c r="L5188">
        <f>B5188-J5188</f>
        <v/>
      </c>
      <c r="M5188">
        <f>IF(K5188&gt;0,IF(L5188/K5188&gt;=Assumptions!$B$37,1,0),0)</f>
        <v/>
      </c>
      <c r="N5188">
        <f>K5188+M5188*Assumptions!$B$153</f>
        <v/>
      </c>
      <c r="O5188">
        <f>L5188+M5188*Assumptions!$B$153*Assumptions!$B$37</f>
        <v/>
      </c>
      <c r="P5188">
        <f>IF(N5188&gt;0,O5188/N5188,0)</f>
        <v/>
      </c>
      <c r="Q5188">
        <f>IF(C5188=1,P5188*$J$232,Assumptions!$B$41)</f>
        <v/>
      </c>
      <c r="R5188">
        <f>IF(D5188=1,P5188*$F$232,Assumptions!$B$33)</f>
        <v/>
      </c>
      <c r="S5188">
        <f>IF(E5188=1,P5188*$G$232,Assumptions!$B$32)</f>
        <v/>
      </c>
      <c r="T5188">
        <f>IF(F5188=1,P5188*Assumptions!$B$14,Assumptions!$B$31)</f>
        <v/>
      </c>
      <c r="U5188">
        <f>IF(G5188=1,P5188*Assumptions!$B$13,Assumptions!$B$30)</f>
        <v/>
      </c>
      <c r="V5188">
        <f>IF(H5188=1,P5188*Assumptions!$B$12,Assumptions!$B$29)</f>
        <v/>
      </c>
      <c r="W5188">
        <f>IF(I5188=1,P5188*Assumptions!$B$11,Assumptions!$B$28)</f>
        <v/>
      </c>
      <c r="X5188">
        <f>P5188*($O$232+$S$232)</f>
        <v/>
      </c>
      <c r="Y5188">
        <f>P5188*Assumptions!$B$9</f>
        <v/>
      </c>
      <c r="Z5188">
        <f>IF(M5188=1,(P5188-Assumptions!$B$37)*Assumptions!$B$153,0)</f>
        <v/>
      </c>
      <c r="AA5188">
        <f>Q5188+R5188+S5188+T5188+U5188+V5188+W5188+X5188+Y5188+Z5188</f>
        <v/>
      </c>
      <c r="AB5188" t="n">
        <v>60</v>
      </c>
      <c r="AC5188" t="n">
        <v>124</v>
      </c>
      <c r="AD5188" t="n">
        <v>28</v>
      </c>
      <c r="AE5188" t="n">
        <v>44</v>
      </c>
      <c r="AF5188" t="n">
        <v>52</v>
      </c>
      <c r="AG5188" t="n">
        <v>56</v>
      </c>
      <c r="AH5188" t="n">
        <v>62</v>
      </c>
      <c r="AI5188" t="n">
        <v>61</v>
      </c>
      <c r="AJ5188">
        <f>INDEX($Q$5128:$Q$5255,AC5188+1)</f>
        <v/>
      </c>
      <c r="AK5188">
        <f>INDEX($R$5128:$R$5255,AD5188+1)</f>
        <v/>
      </c>
      <c r="AL5188">
        <f>INDEX($S$5128:$S$5255,AE5188+1)</f>
        <v/>
      </c>
      <c r="AM5188">
        <f>INDEX($T$5128:$T$5255,AF5188+1)</f>
        <v/>
      </c>
      <c r="AN5188">
        <f>INDEX($U$5128:$U$5255,AG5188+1)</f>
        <v/>
      </c>
      <c r="AO5188">
        <f>INDEX($V$5128:$V$5255,AH5188+1)</f>
        <v/>
      </c>
      <c r="AP5188">
        <f>INDEX($W$5128:$W$5255,AI5188+1)</f>
        <v/>
      </c>
      <c r="AQ5188">
        <f>IF(Q5188&gt;=AJ5188-0.01,1,0)</f>
        <v/>
      </c>
      <c r="AR5188">
        <f>IF(R5188&gt;=AK5188-0.01,1,0)</f>
        <v/>
      </c>
      <c r="AS5188">
        <f>IF(S5188&gt;=AL5188-0.01,1,0)</f>
        <v/>
      </c>
      <c r="AT5188">
        <f>IF(T5188&gt;=AM5188-0.01,1,0)</f>
        <v/>
      </c>
      <c r="AU5188">
        <f>IF(U5188&gt;=AN5188-0.01,1,0)</f>
        <v/>
      </c>
      <c r="AV5188">
        <f>IF(V5188&gt;=AO5188-0.01,1,0)</f>
        <v/>
      </c>
      <c r="AW5188">
        <f>IF(W5188&gt;=AP5188-0.01,1,0)</f>
        <v/>
      </c>
      <c r="AX5188">
        <f>AQ5188*AR5188*AS5188*AT5188*AU5188*AV5188*AW5188</f>
        <v/>
      </c>
    </row>
    <row r="5189">
      <c r="A5189" t="inlineStr"/>
      <c r="B5189">
        <f>Assumptions!$B$60</f>
        <v/>
      </c>
      <c r="C5189" t="n">
        <v>0</v>
      </c>
      <c r="D5189" t="n">
        <v>1</v>
      </c>
      <c r="E5189" t="n">
        <v>1</v>
      </c>
      <c r="F5189" t="n">
        <v>1</v>
      </c>
      <c r="G5189" t="n">
        <v>1</v>
      </c>
      <c r="H5189" t="n">
        <v>0</v>
      </c>
      <c r="I5189" t="n">
        <v>1</v>
      </c>
      <c r="J5189">
        <f>(1-C5189)*Assumptions!$B$41+(1-D5189)*Assumptions!$B$33+(1-E5189)*Assumptions!$B$32+(1-F5189)*Assumptions!$B$31+(1-G5189)*Assumptions!$B$30+(1-H5189)*Assumptions!$B$29+(1-I5189)*Assumptions!$B$28</f>
        <v/>
      </c>
      <c r="K5189">
        <f>C5189*$J$232+D5189*$F$232+E5189*$G$232+F5189*Assumptions!$B$14+G5189*Assumptions!$B$13+H5189*Assumptions!$B$12+I5189*Assumptions!$B$11+$O$232+$S$232+Assumptions!$B$9</f>
        <v/>
      </c>
      <c r="L5189">
        <f>B5189-J5189</f>
        <v/>
      </c>
      <c r="M5189">
        <f>IF(K5189&gt;0,IF(L5189/K5189&gt;=Assumptions!$B$37,1,0),0)</f>
        <v/>
      </c>
      <c r="N5189">
        <f>K5189+M5189*Assumptions!$B$153</f>
        <v/>
      </c>
      <c r="O5189">
        <f>L5189+M5189*Assumptions!$B$153*Assumptions!$B$37</f>
        <v/>
      </c>
      <c r="P5189">
        <f>IF(N5189&gt;0,O5189/N5189,0)</f>
        <v/>
      </c>
      <c r="Q5189">
        <f>IF(C5189=1,P5189*$J$232,Assumptions!$B$41)</f>
        <v/>
      </c>
      <c r="R5189">
        <f>IF(D5189=1,P5189*$F$232,Assumptions!$B$33)</f>
        <v/>
      </c>
      <c r="S5189">
        <f>IF(E5189=1,P5189*$G$232,Assumptions!$B$32)</f>
        <v/>
      </c>
      <c r="T5189">
        <f>IF(F5189=1,P5189*Assumptions!$B$14,Assumptions!$B$31)</f>
        <v/>
      </c>
      <c r="U5189">
        <f>IF(G5189=1,P5189*Assumptions!$B$13,Assumptions!$B$30)</f>
        <v/>
      </c>
      <c r="V5189">
        <f>IF(H5189=1,P5189*Assumptions!$B$12,Assumptions!$B$29)</f>
        <v/>
      </c>
      <c r="W5189">
        <f>IF(I5189=1,P5189*Assumptions!$B$11,Assumptions!$B$28)</f>
        <v/>
      </c>
      <c r="X5189">
        <f>P5189*($O$232+$S$232)</f>
        <v/>
      </c>
      <c r="Y5189">
        <f>P5189*Assumptions!$B$9</f>
        <v/>
      </c>
      <c r="Z5189">
        <f>IF(M5189=1,(P5189-Assumptions!$B$37)*Assumptions!$B$153,0)</f>
        <v/>
      </c>
      <c r="AA5189">
        <f>Q5189+R5189+S5189+T5189+U5189+V5189+W5189+X5189+Y5189+Z5189</f>
        <v/>
      </c>
      <c r="AB5189" t="n">
        <v>61</v>
      </c>
      <c r="AC5189" t="n">
        <v>125</v>
      </c>
      <c r="AD5189" t="n">
        <v>29</v>
      </c>
      <c r="AE5189" t="n">
        <v>45</v>
      </c>
      <c r="AF5189" t="n">
        <v>53</v>
      </c>
      <c r="AG5189" t="n">
        <v>57</v>
      </c>
      <c r="AH5189" t="n">
        <v>63</v>
      </c>
      <c r="AI5189" t="n">
        <v>60</v>
      </c>
      <c r="AJ5189">
        <f>INDEX($Q$5128:$Q$5255,AC5189+1)</f>
        <v/>
      </c>
      <c r="AK5189">
        <f>INDEX($R$5128:$R$5255,AD5189+1)</f>
        <v/>
      </c>
      <c r="AL5189">
        <f>INDEX($S$5128:$S$5255,AE5189+1)</f>
        <v/>
      </c>
      <c r="AM5189">
        <f>INDEX($T$5128:$T$5255,AF5189+1)</f>
        <v/>
      </c>
      <c r="AN5189">
        <f>INDEX($U$5128:$U$5255,AG5189+1)</f>
        <v/>
      </c>
      <c r="AO5189">
        <f>INDEX($V$5128:$V$5255,AH5189+1)</f>
        <v/>
      </c>
      <c r="AP5189">
        <f>INDEX($W$5128:$W$5255,AI5189+1)</f>
        <v/>
      </c>
      <c r="AQ5189">
        <f>IF(Q5189&gt;=AJ5189-0.01,1,0)</f>
        <v/>
      </c>
      <c r="AR5189">
        <f>IF(R5189&gt;=AK5189-0.01,1,0)</f>
        <v/>
      </c>
      <c r="AS5189">
        <f>IF(S5189&gt;=AL5189-0.01,1,0)</f>
        <v/>
      </c>
      <c r="AT5189">
        <f>IF(T5189&gt;=AM5189-0.01,1,0)</f>
        <v/>
      </c>
      <c r="AU5189">
        <f>IF(U5189&gt;=AN5189-0.01,1,0)</f>
        <v/>
      </c>
      <c r="AV5189">
        <f>IF(V5189&gt;=AO5189-0.01,1,0)</f>
        <v/>
      </c>
      <c r="AW5189">
        <f>IF(W5189&gt;=AP5189-0.01,1,0)</f>
        <v/>
      </c>
      <c r="AX5189">
        <f>AQ5189*AR5189*AS5189*AT5189*AU5189*AV5189*AW5189</f>
        <v/>
      </c>
    </row>
    <row r="5190">
      <c r="A5190" t="inlineStr"/>
      <c r="B5190">
        <f>Assumptions!$B$60</f>
        <v/>
      </c>
      <c r="C5190" t="n">
        <v>0</v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  <c r="I5190" t="n">
        <v>0</v>
      </c>
      <c r="J5190">
        <f>(1-C5190)*Assumptions!$B$41+(1-D5190)*Assumptions!$B$33+(1-E5190)*Assumptions!$B$32+(1-F5190)*Assumptions!$B$31+(1-G5190)*Assumptions!$B$30+(1-H5190)*Assumptions!$B$29+(1-I5190)*Assumptions!$B$28</f>
        <v/>
      </c>
      <c r="K5190">
        <f>C5190*$J$232+D5190*$F$232+E5190*$G$232+F5190*Assumptions!$B$14+G5190*Assumptions!$B$13+H5190*Assumptions!$B$12+I5190*Assumptions!$B$11+$O$232+$S$232+Assumptions!$B$9</f>
        <v/>
      </c>
      <c r="L5190">
        <f>B5190-J5190</f>
        <v/>
      </c>
      <c r="M5190">
        <f>IF(K5190&gt;0,IF(L5190/K5190&gt;=Assumptions!$B$37,1,0),0)</f>
        <v/>
      </c>
      <c r="N5190">
        <f>K5190+M5190*Assumptions!$B$153</f>
        <v/>
      </c>
      <c r="O5190">
        <f>L5190+M5190*Assumptions!$B$153*Assumptions!$B$37</f>
        <v/>
      </c>
      <c r="P5190">
        <f>IF(N5190&gt;0,O5190/N5190,0)</f>
        <v/>
      </c>
      <c r="Q5190">
        <f>IF(C5190=1,P5190*$J$232,Assumptions!$B$41)</f>
        <v/>
      </c>
      <c r="R5190">
        <f>IF(D5190=1,P5190*$F$232,Assumptions!$B$33)</f>
        <v/>
      </c>
      <c r="S5190">
        <f>IF(E5190=1,P5190*$G$232,Assumptions!$B$32)</f>
        <v/>
      </c>
      <c r="T5190">
        <f>IF(F5190=1,P5190*Assumptions!$B$14,Assumptions!$B$31)</f>
        <v/>
      </c>
      <c r="U5190">
        <f>IF(G5190=1,P5190*Assumptions!$B$13,Assumptions!$B$30)</f>
        <v/>
      </c>
      <c r="V5190">
        <f>IF(H5190=1,P5190*Assumptions!$B$12,Assumptions!$B$29)</f>
        <v/>
      </c>
      <c r="W5190">
        <f>IF(I5190=1,P5190*Assumptions!$B$11,Assumptions!$B$28)</f>
        <v/>
      </c>
      <c r="X5190">
        <f>P5190*($O$232+$S$232)</f>
        <v/>
      </c>
      <c r="Y5190">
        <f>P5190*Assumptions!$B$9</f>
        <v/>
      </c>
      <c r="Z5190">
        <f>IF(M5190=1,(P5190-Assumptions!$B$37)*Assumptions!$B$153,0)</f>
        <v/>
      </c>
      <c r="AA5190">
        <f>Q5190+R5190+S5190+T5190+U5190+V5190+W5190+X5190+Y5190+Z5190</f>
        <v/>
      </c>
      <c r="AB5190" t="n">
        <v>62</v>
      </c>
      <c r="AC5190" t="n">
        <v>126</v>
      </c>
      <c r="AD5190" t="n">
        <v>30</v>
      </c>
      <c r="AE5190" t="n">
        <v>46</v>
      </c>
      <c r="AF5190" t="n">
        <v>54</v>
      </c>
      <c r="AG5190" t="n">
        <v>58</v>
      </c>
      <c r="AH5190" t="n">
        <v>60</v>
      </c>
      <c r="AI5190" t="n">
        <v>63</v>
      </c>
      <c r="AJ5190">
        <f>INDEX($Q$5128:$Q$5255,AC5190+1)</f>
        <v/>
      </c>
      <c r="AK5190">
        <f>INDEX($R$5128:$R$5255,AD5190+1)</f>
        <v/>
      </c>
      <c r="AL5190">
        <f>INDEX($S$5128:$S$5255,AE5190+1)</f>
        <v/>
      </c>
      <c r="AM5190">
        <f>INDEX($T$5128:$T$5255,AF5190+1)</f>
        <v/>
      </c>
      <c r="AN5190">
        <f>INDEX($U$5128:$U$5255,AG5190+1)</f>
        <v/>
      </c>
      <c r="AO5190">
        <f>INDEX($V$5128:$V$5255,AH5190+1)</f>
        <v/>
      </c>
      <c r="AP5190">
        <f>INDEX($W$5128:$W$5255,AI5190+1)</f>
        <v/>
      </c>
      <c r="AQ5190">
        <f>IF(Q5190&gt;=AJ5190-0.01,1,0)</f>
        <v/>
      </c>
      <c r="AR5190">
        <f>IF(R5190&gt;=AK5190-0.01,1,0)</f>
        <v/>
      </c>
      <c r="AS5190">
        <f>IF(S5190&gt;=AL5190-0.01,1,0)</f>
        <v/>
      </c>
      <c r="AT5190">
        <f>IF(T5190&gt;=AM5190-0.01,1,0)</f>
        <v/>
      </c>
      <c r="AU5190">
        <f>IF(U5190&gt;=AN5190-0.01,1,0)</f>
        <v/>
      </c>
      <c r="AV5190">
        <f>IF(V5190&gt;=AO5190-0.01,1,0)</f>
        <v/>
      </c>
      <c r="AW5190">
        <f>IF(W5190&gt;=AP5190-0.01,1,0)</f>
        <v/>
      </c>
      <c r="AX5190">
        <f>AQ5190*AR5190*AS5190*AT5190*AU5190*AV5190*AW5190</f>
        <v/>
      </c>
    </row>
    <row r="5191">
      <c r="A5191" t="inlineStr"/>
      <c r="B5191">
        <f>Assumptions!$B$60</f>
        <v/>
      </c>
      <c r="C5191" t="n">
        <v>0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  <c r="J5191">
        <f>(1-C5191)*Assumptions!$B$41+(1-D5191)*Assumptions!$B$33+(1-E5191)*Assumptions!$B$32+(1-F5191)*Assumptions!$B$31+(1-G5191)*Assumptions!$B$30+(1-H5191)*Assumptions!$B$29+(1-I5191)*Assumptions!$B$28</f>
        <v/>
      </c>
      <c r="K5191">
        <f>C5191*$J$232+D5191*$F$232+E5191*$G$232+F5191*Assumptions!$B$14+G5191*Assumptions!$B$13+H5191*Assumptions!$B$12+I5191*Assumptions!$B$11+$O$232+$S$232+Assumptions!$B$9</f>
        <v/>
      </c>
      <c r="L5191">
        <f>B5191-J5191</f>
        <v/>
      </c>
      <c r="M5191">
        <f>IF(K5191&gt;0,IF(L5191/K5191&gt;=Assumptions!$B$37,1,0),0)</f>
        <v/>
      </c>
      <c r="N5191">
        <f>K5191+M5191*Assumptions!$B$153</f>
        <v/>
      </c>
      <c r="O5191">
        <f>L5191+M5191*Assumptions!$B$153*Assumptions!$B$37</f>
        <v/>
      </c>
      <c r="P5191">
        <f>IF(N5191&gt;0,O5191/N5191,0)</f>
        <v/>
      </c>
      <c r="Q5191">
        <f>IF(C5191=1,P5191*$J$232,Assumptions!$B$41)</f>
        <v/>
      </c>
      <c r="R5191">
        <f>IF(D5191=1,P5191*$F$232,Assumptions!$B$33)</f>
        <v/>
      </c>
      <c r="S5191">
        <f>IF(E5191=1,P5191*$G$232,Assumptions!$B$32)</f>
        <v/>
      </c>
      <c r="T5191">
        <f>IF(F5191=1,P5191*Assumptions!$B$14,Assumptions!$B$31)</f>
        <v/>
      </c>
      <c r="U5191">
        <f>IF(G5191=1,P5191*Assumptions!$B$13,Assumptions!$B$30)</f>
        <v/>
      </c>
      <c r="V5191">
        <f>IF(H5191=1,P5191*Assumptions!$B$12,Assumptions!$B$29)</f>
        <v/>
      </c>
      <c r="W5191">
        <f>IF(I5191=1,P5191*Assumptions!$B$11,Assumptions!$B$28)</f>
        <v/>
      </c>
      <c r="X5191">
        <f>P5191*($O$232+$S$232)</f>
        <v/>
      </c>
      <c r="Y5191">
        <f>P5191*Assumptions!$B$9</f>
        <v/>
      </c>
      <c r="Z5191">
        <f>IF(M5191=1,(P5191-Assumptions!$B$37)*Assumptions!$B$153,0)</f>
        <v/>
      </c>
      <c r="AA5191">
        <f>Q5191+R5191+S5191+T5191+U5191+V5191+W5191+X5191+Y5191+Z5191</f>
        <v/>
      </c>
      <c r="AB5191" t="n">
        <v>63</v>
      </c>
      <c r="AC5191" t="n">
        <v>127</v>
      </c>
      <c r="AD5191" t="n">
        <v>31</v>
      </c>
      <c r="AE5191" t="n">
        <v>47</v>
      </c>
      <c r="AF5191" t="n">
        <v>55</v>
      </c>
      <c r="AG5191" t="n">
        <v>59</v>
      </c>
      <c r="AH5191" t="n">
        <v>61</v>
      </c>
      <c r="AI5191" t="n">
        <v>62</v>
      </c>
      <c r="AJ5191">
        <f>INDEX($Q$5128:$Q$5255,AC5191+1)</f>
        <v/>
      </c>
      <c r="AK5191">
        <f>INDEX($R$5128:$R$5255,AD5191+1)</f>
        <v/>
      </c>
      <c r="AL5191">
        <f>INDEX($S$5128:$S$5255,AE5191+1)</f>
        <v/>
      </c>
      <c r="AM5191">
        <f>INDEX($T$5128:$T$5255,AF5191+1)</f>
        <v/>
      </c>
      <c r="AN5191">
        <f>INDEX($U$5128:$U$5255,AG5191+1)</f>
        <v/>
      </c>
      <c r="AO5191">
        <f>INDEX($V$5128:$V$5255,AH5191+1)</f>
        <v/>
      </c>
      <c r="AP5191">
        <f>INDEX($W$5128:$W$5255,AI5191+1)</f>
        <v/>
      </c>
      <c r="AQ5191">
        <f>IF(Q5191&gt;=AJ5191-0.01,1,0)</f>
        <v/>
      </c>
      <c r="AR5191">
        <f>IF(R5191&gt;=AK5191-0.01,1,0)</f>
        <v/>
      </c>
      <c r="AS5191">
        <f>IF(S5191&gt;=AL5191-0.01,1,0)</f>
        <v/>
      </c>
      <c r="AT5191">
        <f>IF(T5191&gt;=AM5191-0.01,1,0)</f>
        <v/>
      </c>
      <c r="AU5191">
        <f>IF(U5191&gt;=AN5191-0.01,1,0)</f>
        <v/>
      </c>
      <c r="AV5191">
        <f>IF(V5191&gt;=AO5191-0.01,1,0)</f>
        <v/>
      </c>
      <c r="AW5191">
        <f>IF(W5191&gt;=AP5191-0.01,1,0)</f>
        <v/>
      </c>
      <c r="AX5191">
        <f>AQ5191*AR5191*AS5191*AT5191*AU5191*AV5191*AW5191</f>
        <v/>
      </c>
    </row>
    <row r="5192">
      <c r="A5192" t="inlineStr"/>
      <c r="B5192">
        <f>Assumptions!$B$60</f>
        <v/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>
        <f>(1-C5192)*Assumptions!$B$41+(1-D5192)*Assumptions!$B$33+(1-E5192)*Assumptions!$B$32+(1-F5192)*Assumptions!$B$31+(1-G5192)*Assumptions!$B$30+(1-H5192)*Assumptions!$B$29+(1-I5192)*Assumptions!$B$28</f>
        <v/>
      </c>
      <c r="K5192">
        <f>C5192*$J$232+D5192*$F$232+E5192*$G$232+F5192*Assumptions!$B$14+G5192*Assumptions!$B$13+H5192*Assumptions!$B$12+I5192*Assumptions!$B$11+$O$232+$S$232+Assumptions!$B$9</f>
        <v/>
      </c>
      <c r="L5192">
        <f>B5192-J5192</f>
        <v/>
      </c>
      <c r="M5192">
        <f>IF(K5192&gt;0,IF(L5192/K5192&gt;=Assumptions!$B$37,1,0),0)</f>
        <v/>
      </c>
      <c r="N5192">
        <f>K5192+M5192*Assumptions!$B$153</f>
        <v/>
      </c>
      <c r="O5192">
        <f>L5192+M5192*Assumptions!$B$153*Assumptions!$B$37</f>
        <v/>
      </c>
      <c r="P5192">
        <f>IF(N5192&gt;0,O5192/N5192,0)</f>
        <v/>
      </c>
      <c r="Q5192">
        <f>IF(C5192=1,P5192*$J$232,Assumptions!$B$41)</f>
        <v/>
      </c>
      <c r="R5192">
        <f>IF(D5192=1,P5192*$F$232,Assumptions!$B$33)</f>
        <v/>
      </c>
      <c r="S5192">
        <f>IF(E5192=1,P5192*$G$232,Assumptions!$B$32)</f>
        <v/>
      </c>
      <c r="T5192">
        <f>IF(F5192=1,P5192*Assumptions!$B$14,Assumptions!$B$31)</f>
        <v/>
      </c>
      <c r="U5192">
        <f>IF(G5192=1,P5192*Assumptions!$B$13,Assumptions!$B$30)</f>
        <v/>
      </c>
      <c r="V5192">
        <f>IF(H5192=1,P5192*Assumptions!$B$12,Assumptions!$B$29)</f>
        <v/>
      </c>
      <c r="W5192">
        <f>IF(I5192=1,P5192*Assumptions!$B$11,Assumptions!$B$28)</f>
        <v/>
      </c>
      <c r="X5192">
        <f>P5192*($O$232+$S$232)</f>
        <v/>
      </c>
      <c r="Y5192">
        <f>P5192*Assumptions!$B$9</f>
        <v/>
      </c>
      <c r="Z5192">
        <f>IF(M5192=1,(P5192-Assumptions!$B$37)*Assumptions!$B$153,0)</f>
        <v/>
      </c>
      <c r="AA5192">
        <f>Q5192+R5192+S5192+T5192+U5192+V5192+W5192+X5192+Y5192+Z5192</f>
        <v/>
      </c>
      <c r="AB5192" t="n">
        <v>64</v>
      </c>
      <c r="AC5192" t="n">
        <v>0</v>
      </c>
      <c r="AD5192" t="n">
        <v>96</v>
      </c>
      <c r="AE5192" t="n">
        <v>80</v>
      </c>
      <c r="AF5192" t="n">
        <v>72</v>
      </c>
      <c r="AG5192" t="n">
        <v>68</v>
      </c>
      <c r="AH5192" t="n">
        <v>66</v>
      </c>
      <c r="AI5192" t="n">
        <v>65</v>
      </c>
      <c r="AJ5192">
        <f>INDEX($Q$5128:$Q$5255,AC5192+1)</f>
        <v/>
      </c>
      <c r="AK5192">
        <f>INDEX($R$5128:$R$5255,AD5192+1)</f>
        <v/>
      </c>
      <c r="AL5192">
        <f>INDEX($S$5128:$S$5255,AE5192+1)</f>
        <v/>
      </c>
      <c r="AM5192">
        <f>INDEX($T$5128:$T$5255,AF5192+1)</f>
        <v/>
      </c>
      <c r="AN5192">
        <f>INDEX($U$5128:$U$5255,AG5192+1)</f>
        <v/>
      </c>
      <c r="AO5192">
        <f>INDEX($V$5128:$V$5255,AH5192+1)</f>
        <v/>
      </c>
      <c r="AP5192">
        <f>INDEX($W$5128:$W$5255,AI5192+1)</f>
        <v/>
      </c>
      <c r="AQ5192">
        <f>IF(Q5192&gt;=AJ5192-0.01,1,0)</f>
        <v/>
      </c>
      <c r="AR5192">
        <f>IF(R5192&gt;=AK5192-0.01,1,0)</f>
        <v/>
      </c>
      <c r="AS5192">
        <f>IF(S5192&gt;=AL5192-0.01,1,0)</f>
        <v/>
      </c>
      <c r="AT5192">
        <f>IF(T5192&gt;=AM5192-0.01,1,0)</f>
        <v/>
      </c>
      <c r="AU5192">
        <f>IF(U5192&gt;=AN5192-0.01,1,0)</f>
        <v/>
      </c>
      <c r="AV5192">
        <f>IF(V5192&gt;=AO5192-0.01,1,0)</f>
        <v/>
      </c>
      <c r="AW5192">
        <f>IF(W5192&gt;=AP5192-0.01,1,0)</f>
        <v/>
      </c>
      <c r="AX5192">
        <f>AQ5192*AR5192*AS5192*AT5192*AU5192*AV5192*AW5192</f>
        <v/>
      </c>
    </row>
    <row r="5193">
      <c r="A5193" t="inlineStr"/>
      <c r="B5193">
        <f>Assumptions!$B$60</f>
        <v/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>
        <f>(1-C5193)*Assumptions!$B$41+(1-D5193)*Assumptions!$B$33+(1-E5193)*Assumptions!$B$32+(1-F5193)*Assumptions!$B$31+(1-G5193)*Assumptions!$B$30+(1-H5193)*Assumptions!$B$29+(1-I5193)*Assumptions!$B$28</f>
        <v/>
      </c>
      <c r="K5193">
        <f>C5193*$J$232+D5193*$F$232+E5193*$G$232+F5193*Assumptions!$B$14+G5193*Assumptions!$B$13+H5193*Assumptions!$B$12+I5193*Assumptions!$B$11+$O$232+$S$232+Assumptions!$B$9</f>
        <v/>
      </c>
      <c r="L5193">
        <f>B5193-J5193</f>
        <v/>
      </c>
      <c r="M5193">
        <f>IF(K5193&gt;0,IF(L5193/K5193&gt;=Assumptions!$B$37,1,0),0)</f>
        <v/>
      </c>
      <c r="N5193">
        <f>K5193+M5193*Assumptions!$B$153</f>
        <v/>
      </c>
      <c r="O5193">
        <f>L5193+M5193*Assumptions!$B$153*Assumptions!$B$37</f>
        <v/>
      </c>
      <c r="P5193">
        <f>IF(N5193&gt;0,O5193/N5193,0)</f>
        <v/>
      </c>
      <c r="Q5193">
        <f>IF(C5193=1,P5193*$J$232,Assumptions!$B$41)</f>
        <v/>
      </c>
      <c r="R5193">
        <f>IF(D5193=1,P5193*$F$232,Assumptions!$B$33)</f>
        <v/>
      </c>
      <c r="S5193">
        <f>IF(E5193=1,P5193*$G$232,Assumptions!$B$32)</f>
        <v/>
      </c>
      <c r="T5193">
        <f>IF(F5193=1,P5193*Assumptions!$B$14,Assumptions!$B$31)</f>
        <v/>
      </c>
      <c r="U5193">
        <f>IF(G5193=1,P5193*Assumptions!$B$13,Assumptions!$B$30)</f>
        <v/>
      </c>
      <c r="V5193">
        <f>IF(H5193=1,P5193*Assumptions!$B$12,Assumptions!$B$29)</f>
        <v/>
      </c>
      <c r="W5193">
        <f>IF(I5193=1,P5193*Assumptions!$B$11,Assumptions!$B$28)</f>
        <v/>
      </c>
      <c r="X5193">
        <f>P5193*($O$232+$S$232)</f>
        <v/>
      </c>
      <c r="Y5193">
        <f>P5193*Assumptions!$B$9</f>
        <v/>
      </c>
      <c r="Z5193">
        <f>IF(M5193=1,(P5193-Assumptions!$B$37)*Assumptions!$B$153,0)</f>
        <v/>
      </c>
      <c r="AA5193">
        <f>Q5193+R5193+S5193+T5193+U5193+V5193+W5193+X5193+Y5193+Z5193</f>
        <v/>
      </c>
      <c r="AB5193" t="n">
        <v>65</v>
      </c>
      <c r="AC5193" t="n">
        <v>1</v>
      </c>
      <c r="AD5193" t="n">
        <v>97</v>
      </c>
      <c r="AE5193" t="n">
        <v>81</v>
      </c>
      <c r="AF5193" t="n">
        <v>73</v>
      </c>
      <c r="AG5193" t="n">
        <v>69</v>
      </c>
      <c r="AH5193" t="n">
        <v>67</v>
      </c>
      <c r="AI5193" t="n">
        <v>64</v>
      </c>
      <c r="AJ5193">
        <f>INDEX($Q$5128:$Q$5255,AC5193+1)</f>
        <v/>
      </c>
      <c r="AK5193">
        <f>INDEX($R$5128:$R$5255,AD5193+1)</f>
        <v/>
      </c>
      <c r="AL5193">
        <f>INDEX($S$5128:$S$5255,AE5193+1)</f>
        <v/>
      </c>
      <c r="AM5193">
        <f>INDEX($T$5128:$T$5255,AF5193+1)</f>
        <v/>
      </c>
      <c r="AN5193">
        <f>INDEX($U$5128:$U$5255,AG5193+1)</f>
        <v/>
      </c>
      <c r="AO5193">
        <f>INDEX($V$5128:$V$5255,AH5193+1)</f>
        <v/>
      </c>
      <c r="AP5193">
        <f>INDEX($W$5128:$W$5255,AI5193+1)</f>
        <v/>
      </c>
      <c r="AQ5193">
        <f>IF(Q5193&gt;=AJ5193-0.01,1,0)</f>
        <v/>
      </c>
      <c r="AR5193">
        <f>IF(R5193&gt;=AK5193-0.01,1,0)</f>
        <v/>
      </c>
      <c r="AS5193">
        <f>IF(S5193&gt;=AL5193-0.01,1,0)</f>
        <v/>
      </c>
      <c r="AT5193">
        <f>IF(T5193&gt;=AM5193-0.01,1,0)</f>
        <v/>
      </c>
      <c r="AU5193">
        <f>IF(U5193&gt;=AN5193-0.01,1,0)</f>
        <v/>
      </c>
      <c r="AV5193">
        <f>IF(V5193&gt;=AO5193-0.01,1,0)</f>
        <v/>
      </c>
      <c r="AW5193">
        <f>IF(W5193&gt;=AP5193-0.01,1,0)</f>
        <v/>
      </c>
      <c r="AX5193">
        <f>AQ5193*AR5193*AS5193*AT5193*AU5193*AV5193*AW5193</f>
        <v/>
      </c>
    </row>
    <row r="5194">
      <c r="A5194" t="inlineStr"/>
      <c r="B5194">
        <f>Assumptions!$B$60</f>
        <v/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>
        <f>(1-C5194)*Assumptions!$B$41+(1-D5194)*Assumptions!$B$33+(1-E5194)*Assumptions!$B$32+(1-F5194)*Assumptions!$B$31+(1-G5194)*Assumptions!$B$30+(1-H5194)*Assumptions!$B$29+(1-I5194)*Assumptions!$B$28</f>
        <v/>
      </c>
      <c r="K5194">
        <f>C5194*$J$232+D5194*$F$232+E5194*$G$232+F5194*Assumptions!$B$14+G5194*Assumptions!$B$13+H5194*Assumptions!$B$12+I5194*Assumptions!$B$11+$O$232+$S$232+Assumptions!$B$9</f>
        <v/>
      </c>
      <c r="L5194">
        <f>B5194-J5194</f>
        <v/>
      </c>
      <c r="M5194">
        <f>IF(K5194&gt;0,IF(L5194/K5194&gt;=Assumptions!$B$37,1,0),0)</f>
        <v/>
      </c>
      <c r="N5194">
        <f>K5194+M5194*Assumptions!$B$153</f>
        <v/>
      </c>
      <c r="O5194">
        <f>L5194+M5194*Assumptions!$B$153*Assumptions!$B$37</f>
        <v/>
      </c>
      <c r="P5194">
        <f>IF(N5194&gt;0,O5194/N5194,0)</f>
        <v/>
      </c>
      <c r="Q5194">
        <f>IF(C5194=1,P5194*$J$232,Assumptions!$B$41)</f>
        <v/>
      </c>
      <c r="R5194">
        <f>IF(D5194=1,P5194*$F$232,Assumptions!$B$33)</f>
        <v/>
      </c>
      <c r="S5194">
        <f>IF(E5194=1,P5194*$G$232,Assumptions!$B$32)</f>
        <v/>
      </c>
      <c r="T5194">
        <f>IF(F5194=1,P5194*Assumptions!$B$14,Assumptions!$B$31)</f>
        <v/>
      </c>
      <c r="U5194">
        <f>IF(G5194=1,P5194*Assumptions!$B$13,Assumptions!$B$30)</f>
        <v/>
      </c>
      <c r="V5194">
        <f>IF(H5194=1,P5194*Assumptions!$B$12,Assumptions!$B$29)</f>
        <v/>
      </c>
      <c r="W5194">
        <f>IF(I5194=1,P5194*Assumptions!$B$11,Assumptions!$B$28)</f>
        <v/>
      </c>
      <c r="X5194">
        <f>P5194*($O$232+$S$232)</f>
        <v/>
      </c>
      <c r="Y5194">
        <f>P5194*Assumptions!$B$9</f>
        <v/>
      </c>
      <c r="Z5194">
        <f>IF(M5194=1,(P5194-Assumptions!$B$37)*Assumptions!$B$153,0)</f>
        <v/>
      </c>
      <c r="AA5194">
        <f>Q5194+R5194+S5194+T5194+U5194+V5194+W5194+X5194+Y5194+Z5194</f>
        <v/>
      </c>
      <c r="AB5194" t="n">
        <v>66</v>
      </c>
      <c r="AC5194" t="n">
        <v>2</v>
      </c>
      <c r="AD5194" t="n">
        <v>98</v>
      </c>
      <c r="AE5194" t="n">
        <v>82</v>
      </c>
      <c r="AF5194" t="n">
        <v>74</v>
      </c>
      <c r="AG5194" t="n">
        <v>70</v>
      </c>
      <c r="AH5194" t="n">
        <v>64</v>
      </c>
      <c r="AI5194" t="n">
        <v>67</v>
      </c>
      <c r="AJ5194">
        <f>INDEX($Q$5128:$Q$5255,AC5194+1)</f>
        <v/>
      </c>
      <c r="AK5194">
        <f>INDEX($R$5128:$R$5255,AD5194+1)</f>
        <v/>
      </c>
      <c r="AL5194">
        <f>INDEX($S$5128:$S$5255,AE5194+1)</f>
        <v/>
      </c>
      <c r="AM5194">
        <f>INDEX($T$5128:$T$5255,AF5194+1)</f>
        <v/>
      </c>
      <c r="AN5194">
        <f>INDEX($U$5128:$U$5255,AG5194+1)</f>
        <v/>
      </c>
      <c r="AO5194">
        <f>INDEX($V$5128:$V$5255,AH5194+1)</f>
        <v/>
      </c>
      <c r="AP5194">
        <f>INDEX($W$5128:$W$5255,AI5194+1)</f>
        <v/>
      </c>
      <c r="AQ5194">
        <f>IF(Q5194&gt;=AJ5194-0.01,1,0)</f>
        <v/>
      </c>
      <c r="AR5194">
        <f>IF(R5194&gt;=AK5194-0.01,1,0)</f>
        <v/>
      </c>
      <c r="AS5194">
        <f>IF(S5194&gt;=AL5194-0.01,1,0)</f>
        <v/>
      </c>
      <c r="AT5194">
        <f>IF(T5194&gt;=AM5194-0.01,1,0)</f>
        <v/>
      </c>
      <c r="AU5194">
        <f>IF(U5194&gt;=AN5194-0.01,1,0)</f>
        <v/>
      </c>
      <c r="AV5194">
        <f>IF(V5194&gt;=AO5194-0.01,1,0)</f>
        <v/>
      </c>
      <c r="AW5194">
        <f>IF(W5194&gt;=AP5194-0.01,1,0)</f>
        <v/>
      </c>
      <c r="AX5194">
        <f>AQ5194*AR5194*AS5194*AT5194*AU5194*AV5194*AW5194</f>
        <v/>
      </c>
    </row>
    <row r="5195">
      <c r="A5195" t="inlineStr"/>
      <c r="B5195">
        <f>Assumptions!$B$60</f>
        <v/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</v>
      </c>
      <c r="J5195">
        <f>(1-C5195)*Assumptions!$B$41+(1-D5195)*Assumptions!$B$33+(1-E5195)*Assumptions!$B$32+(1-F5195)*Assumptions!$B$31+(1-G5195)*Assumptions!$B$30+(1-H5195)*Assumptions!$B$29+(1-I5195)*Assumptions!$B$28</f>
        <v/>
      </c>
      <c r="K5195">
        <f>C5195*$J$232+D5195*$F$232+E5195*$G$232+F5195*Assumptions!$B$14+G5195*Assumptions!$B$13+H5195*Assumptions!$B$12+I5195*Assumptions!$B$11+$O$232+$S$232+Assumptions!$B$9</f>
        <v/>
      </c>
      <c r="L5195">
        <f>B5195-J5195</f>
        <v/>
      </c>
      <c r="M5195">
        <f>IF(K5195&gt;0,IF(L5195/K5195&gt;=Assumptions!$B$37,1,0),0)</f>
        <v/>
      </c>
      <c r="N5195">
        <f>K5195+M5195*Assumptions!$B$153</f>
        <v/>
      </c>
      <c r="O5195">
        <f>L5195+M5195*Assumptions!$B$153*Assumptions!$B$37</f>
        <v/>
      </c>
      <c r="P5195">
        <f>IF(N5195&gt;0,O5195/N5195,0)</f>
        <v/>
      </c>
      <c r="Q5195">
        <f>IF(C5195=1,P5195*$J$232,Assumptions!$B$41)</f>
        <v/>
      </c>
      <c r="R5195">
        <f>IF(D5195=1,P5195*$F$232,Assumptions!$B$33)</f>
        <v/>
      </c>
      <c r="S5195">
        <f>IF(E5195=1,P5195*$G$232,Assumptions!$B$32)</f>
        <v/>
      </c>
      <c r="T5195">
        <f>IF(F5195=1,P5195*Assumptions!$B$14,Assumptions!$B$31)</f>
        <v/>
      </c>
      <c r="U5195">
        <f>IF(G5195=1,P5195*Assumptions!$B$13,Assumptions!$B$30)</f>
        <v/>
      </c>
      <c r="V5195">
        <f>IF(H5195=1,P5195*Assumptions!$B$12,Assumptions!$B$29)</f>
        <v/>
      </c>
      <c r="W5195">
        <f>IF(I5195=1,P5195*Assumptions!$B$11,Assumptions!$B$28)</f>
        <v/>
      </c>
      <c r="X5195">
        <f>P5195*($O$232+$S$232)</f>
        <v/>
      </c>
      <c r="Y5195">
        <f>P5195*Assumptions!$B$9</f>
        <v/>
      </c>
      <c r="Z5195">
        <f>IF(M5195=1,(P5195-Assumptions!$B$37)*Assumptions!$B$153,0)</f>
        <v/>
      </c>
      <c r="AA5195">
        <f>Q5195+R5195+S5195+T5195+U5195+V5195+W5195+X5195+Y5195+Z5195</f>
        <v/>
      </c>
      <c r="AB5195" t="n">
        <v>67</v>
      </c>
      <c r="AC5195" t="n">
        <v>3</v>
      </c>
      <c r="AD5195" t="n">
        <v>99</v>
      </c>
      <c r="AE5195" t="n">
        <v>83</v>
      </c>
      <c r="AF5195" t="n">
        <v>75</v>
      </c>
      <c r="AG5195" t="n">
        <v>71</v>
      </c>
      <c r="AH5195" t="n">
        <v>65</v>
      </c>
      <c r="AI5195" t="n">
        <v>66</v>
      </c>
      <c r="AJ5195">
        <f>INDEX($Q$5128:$Q$5255,AC5195+1)</f>
        <v/>
      </c>
      <c r="AK5195">
        <f>INDEX($R$5128:$R$5255,AD5195+1)</f>
        <v/>
      </c>
      <c r="AL5195">
        <f>INDEX($S$5128:$S$5255,AE5195+1)</f>
        <v/>
      </c>
      <c r="AM5195">
        <f>INDEX($T$5128:$T$5255,AF5195+1)</f>
        <v/>
      </c>
      <c r="AN5195">
        <f>INDEX($U$5128:$U$5255,AG5195+1)</f>
        <v/>
      </c>
      <c r="AO5195">
        <f>INDEX($V$5128:$V$5255,AH5195+1)</f>
        <v/>
      </c>
      <c r="AP5195">
        <f>INDEX($W$5128:$W$5255,AI5195+1)</f>
        <v/>
      </c>
      <c r="AQ5195">
        <f>IF(Q5195&gt;=AJ5195-0.01,1,0)</f>
        <v/>
      </c>
      <c r="AR5195">
        <f>IF(R5195&gt;=AK5195-0.01,1,0)</f>
        <v/>
      </c>
      <c r="AS5195">
        <f>IF(S5195&gt;=AL5195-0.01,1,0)</f>
        <v/>
      </c>
      <c r="AT5195">
        <f>IF(T5195&gt;=AM5195-0.01,1,0)</f>
        <v/>
      </c>
      <c r="AU5195">
        <f>IF(U5195&gt;=AN5195-0.01,1,0)</f>
        <v/>
      </c>
      <c r="AV5195">
        <f>IF(V5195&gt;=AO5195-0.01,1,0)</f>
        <v/>
      </c>
      <c r="AW5195">
        <f>IF(W5195&gt;=AP5195-0.01,1,0)</f>
        <v/>
      </c>
      <c r="AX5195">
        <f>AQ5195*AR5195*AS5195*AT5195*AU5195*AV5195*AW5195</f>
        <v/>
      </c>
    </row>
    <row r="5196">
      <c r="A5196" t="inlineStr"/>
      <c r="B5196">
        <f>Assumptions!$B$60</f>
        <v/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>
        <f>(1-C5196)*Assumptions!$B$41+(1-D5196)*Assumptions!$B$33+(1-E5196)*Assumptions!$B$32+(1-F5196)*Assumptions!$B$31+(1-G5196)*Assumptions!$B$30+(1-H5196)*Assumptions!$B$29+(1-I5196)*Assumptions!$B$28</f>
        <v/>
      </c>
      <c r="K5196">
        <f>C5196*$J$232+D5196*$F$232+E5196*$G$232+F5196*Assumptions!$B$14+G5196*Assumptions!$B$13+H5196*Assumptions!$B$12+I5196*Assumptions!$B$11+$O$232+$S$232+Assumptions!$B$9</f>
        <v/>
      </c>
      <c r="L5196">
        <f>B5196-J5196</f>
        <v/>
      </c>
      <c r="M5196">
        <f>IF(K5196&gt;0,IF(L5196/K5196&gt;=Assumptions!$B$37,1,0),0)</f>
        <v/>
      </c>
      <c r="N5196">
        <f>K5196+M5196*Assumptions!$B$153</f>
        <v/>
      </c>
      <c r="O5196">
        <f>L5196+M5196*Assumptions!$B$153*Assumptions!$B$37</f>
        <v/>
      </c>
      <c r="P5196">
        <f>IF(N5196&gt;0,O5196/N5196,0)</f>
        <v/>
      </c>
      <c r="Q5196">
        <f>IF(C5196=1,P5196*$J$232,Assumptions!$B$41)</f>
        <v/>
      </c>
      <c r="R5196">
        <f>IF(D5196=1,P5196*$F$232,Assumptions!$B$33)</f>
        <v/>
      </c>
      <c r="S5196">
        <f>IF(E5196=1,P5196*$G$232,Assumptions!$B$32)</f>
        <v/>
      </c>
      <c r="T5196">
        <f>IF(F5196=1,P5196*Assumptions!$B$14,Assumptions!$B$31)</f>
        <v/>
      </c>
      <c r="U5196">
        <f>IF(G5196=1,P5196*Assumptions!$B$13,Assumptions!$B$30)</f>
        <v/>
      </c>
      <c r="V5196">
        <f>IF(H5196=1,P5196*Assumptions!$B$12,Assumptions!$B$29)</f>
        <v/>
      </c>
      <c r="W5196">
        <f>IF(I5196=1,P5196*Assumptions!$B$11,Assumptions!$B$28)</f>
        <v/>
      </c>
      <c r="X5196">
        <f>P5196*($O$232+$S$232)</f>
        <v/>
      </c>
      <c r="Y5196">
        <f>P5196*Assumptions!$B$9</f>
        <v/>
      </c>
      <c r="Z5196">
        <f>IF(M5196=1,(P5196-Assumptions!$B$37)*Assumptions!$B$153,0)</f>
        <v/>
      </c>
      <c r="AA5196">
        <f>Q5196+R5196+S5196+T5196+U5196+V5196+W5196+X5196+Y5196+Z5196</f>
        <v/>
      </c>
      <c r="AB5196" t="n">
        <v>68</v>
      </c>
      <c r="AC5196" t="n">
        <v>4</v>
      </c>
      <c r="AD5196" t="n">
        <v>100</v>
      </c>
      <c r="AE5196" t="n">
        <v>84</v>
      </c>
      <c r="AF5196" t="n">
        <v>76</v>
      </c>
      <c r="AG5196" t="n">
        <v>64</v>
      </c>
      <c r="AH5196" t="n">
        <v>70</v>
      </c>
      <c r="AI5196" t="n">
        <v>69</v>
      </c>
      <c r="AJ5196">
        <f>INDEX($Q$5128:$Q$5255,AC5196+1)</f>
        <v/>
      </c>
      <c r="AK5196">
        <f>INDEX($R$5128:$R$5255,AD5196+1)</f>
        <v/>
      </c>
      <c r="AL5196">
        <f>INDEX($S$5128:$S$5255,AE5196+1)</f>
        <v/>
      </c>
      <c r="AM5196">
        <f>INDEX($T$5128:$T$5255,AF5196+1)</f>
        <v/>
      </c>
      <c r="AN5196">
        <f>INDEX($U$5128:$U$5255,AG5196+1)</f>
        <v/>
      </c>
      <c r="AO5196">
        <f>INDEX($V$5128:$V$5255,AH5196+1)</f>
        <v/>
      </c>
      <c r="AP5196">
        <f>INDEX($W$5128:$W$5255,AI5196+1)</f>
        <v/>
      </c>
      <c r="AQ5196">
        <f>IF(Q5196&gt;=AJ5196-0.01,1,0)</f>
        <v/>
      </c>
      <c r="AR5196">
        <f>IF(R5196&gt;=AK5196-0.01,1,0)</f>
        <v/>
      </c>
      <c r="AS5196">
        <f>IF(S5196&gt;=AL5196-0.01,1,0)</f>
        <v/>
      </c>
      <c r="AT5196">
        <f>IF(T5196&gt;=AM5196-0.01,1,0)</f>
        <v/>
      </c>
      <c r="AU5196">
        <f>IF(U5196&gt;=AN5196-0.01,1,0)</f>
        <v/>
      </c>
      <c r="AV5196">
        <f>IF(V5196&gt;=AO5196-0.01,1,0)</f>
        <v/>
      </c>
      <c r="AW5196">
        <f>IF(W5196&gt;=AP5196-0.01,1,0)</f>
        <v/>
      </c>
      <c r="AX5196">
        <f>AQ5196*AR5196*AS5196*AT5196*AU5196*AV5196*AW5196</f>
        <v/>
      </c>
    </row>
    <row r="5197">
      <c r="A5197" t="inlineStr"/>
      <c r="B5197">
        <f>Assumptions!$B$60</f>
        <v/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0</v>
      </c>
      <c r="I5197" t="n">
        <v>1</v>
      </c>
      <c r="J5197">
        <f>(1-C5197)*Assumptions!$B$41+(1-D5197)*Assumptions!$B$33+(1-E5197)*Assumptions!$B$32+(1-F5197)*Assumptions!$B$31+(1-G5197)*Assumptions!$B$30+(1-H5197)*Assumptions!$B$29+(1-I5197)*Assumptions!$B$28</f>
        <v/>
      </c>
      <c r="K5197">
        <f>C5197*$J$232+D5197*$F$232+E5197*$G$232+F5197*Assumptions!$B$14+G5197*Assumptions!$B$13+H5197*Assumptions!$B$12+I5197*Assumptions!$B$11+$O$232+$S$232+Assumptions!$B$9</f>
        <v/>
      </c>
      <c r="L5197">
        <f>B5197-J5197</f>
        <v/>
      </c>
      <c r="M5197">
        <f>IF(K5197&gt;0,IF(L5197/K5197&gt;=Assumptions!$B$37,1,0),0)</f>
        <v/>
      </c>
      <c r="N5197">
        <f>K5197+M5197*Assumptions!$B$153</f>
        <v/>
      </c>
      <c r="O5197">
        <f>L5197+M5197*Assumptions!$B$153*Assumptions!$B$37</f>
        <v/>
      </c>
      <c r="P5197">
        <f>IF(N5197&gt;0,O5197/N5197,0)</f>
        <v/>
      </c>
      <c r="Q5197">
        <f>IF(C5197=1,P5197*$J$232,Assumptions!$B$41)</f>
        <v/>
      </c>
      <c r="R5197">
        <f>IF(D5197=1,P5197*$F$232,Assumptions!$B$33)</f>
        <v/>
      </c>
      <c r="S5197">
        <f>IF(E5197=1,P5197*$G$232,Assumptions!$B$32)</f>
        <v/>
      </c>
      <c r="T5197">
        <f>IF(F5197=1,P5197*Assumptions!$B$14,Assumptions!$B$31)</f>
        <v/>
      </c>
      <c r="U5197">
        <f>IF(G5197=1,P5197*Assumptions!$B$13,Assumptions!$B$30)</f>
        <v/>
      </c>
      <c r="V5197">
        <f>IF(H5197=1,P5197*Assumptions!$B$12,Assumptions!$B$29)</f>
        <v/>
      </c>
      <c r="W5197">
        <f>IF(I5197=1,P5197*Assumptions!$B$11,Assumptions!$B$28)</f>
        <v/>
      </c>
      <c r="X5197">
        <f>P5197*($O$232+$S$232)</f>
        <v/>
      </c>
      <c r="Y5197">
        <f>P5197*Assumptions!$B$9</f>
        <v/>
      </c>
      <c r="Z5197">
        <f>IF(M5197=1,(P5197-Assumptions!$B$37)*Assumptions!$B$153,0)</f>
        <v/>
      </c>
      <c r="AA5197">
        <f>Q5197+R5197+S5197+T5197+U5197+V5197+W5197+X5197+Y5197+Z5197</f>
        <v/>
      </c>
      <c r="AB5197" t="n">
        <v>69</v>
      </c>
      <c r="AC5197" t="n">
        <v>5</v>
      </c>
      <c r="AD5197" t="n">
        <v>101</v>
      </c>
      <c r="AE5197" t="n">
        <v>85</v>
      </c>
      <c r="AF5197" t="n">
        <v>77</v>
      </c>
      <c r="AG5197" t="n">
        <v>65</v>
      </c>
      <c r="AH5197" t="n">
        <v>71</v>
      </c>
      <c r="AI5197" t="n">
        <v>68</v>
      </c>
      <c r="AJ5197">
        <f>INDEX($Q$5128:$Q$5255,AC5197+1)</f>
        <v/>
      </c>
      <c r="AK5197">
        <f>INDEX($R$5128:$R$5255,AD5197+1)</f>
        <v/>
      </c>
      <c r="AL5197">
        <f>INDEX($S$5128:$S$5255,AE5197+1)</f>
        <v/>
      </c>
      <c r="AM5197">
        <f>INDEX($T$5128:$T$5255,AF5197+1)</f>
        <v/>
      </c>
      <c r="AN5197">
        <f>INDEX($U$5128:$U$5255,AG5197+1)</f>
        <v/>
      </c>
      <c r="AO5197">
        <f>INDEX($V$5128:$V$5255,AH5197+1)</f>
        <v/>
      </c>
      <c r="AP5197">
        <f>INDEX($W$5128:$W$5255,AI5197+1)</f>
        <v/>
      </c>
      <c r="AQ5197">
        <f>IF(Q5197&gt;=AJ5197-0.01,1,0)</f>
        <v/>
      </c>
      <c r="AR5197">
        <f>IF(R5197&gt;=AK5197-0.01,1,0)</f>
        <v/>
      </c>
      <c r="AS5197">
        <f>IF(S5197&gt;=AL5197-0.01,1,0)</f>
        <v/>
      </c>
      <c r="AT5197">
        <f>IF(T5197&gt;=AM5197-0.01,1,0)</f>
        <v/>
      </c>
      <c r="AU5197">
        <f>IF(U5197&gt;=AN5197-0.01,1,0)</f>
        <v/>
      </c>
      <c r="AV5197">
        <f>IF(V5197&gt;=AO5197-0.01,1,0)</f>
        <v/>
      </c>
      <c r="AW5197">
        <f>IF(W5197&gt;=AP5197-0.01,1,0)</f>
        <v/>
      </c>
      <c r="AX5197">
        <f>AQ5197*AR5197*AS5197*AT5197*AU5197*AV5197*AW5197</f>
        <v/>
      </c>
    </row>
    <row r="5198">
      <c r="A5198" t="inlineStr"/>
      <c r="B5198">
        <f>Assumptions!$B$60</f>
        <v/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  <c r="I5198" t="n">
        <v>0</v>
      </c>
      <c r="J5198">
        <f>(1-C5198)*Assumptions!$B$41+(1-D5198)*Assumptions!$B$33+(1-E5198)*Assumptions!$B$32+(1-F5198)*Assumptions!$B$31+(1-G5198)*Assumptions!$B$30+(1-H5198)*Assumptions!$B$29+(1-I5198)*Assumptions!$B$28</f>
        <v/>
      </c>
      <c r="K5198">
        <f>C5198*$J$232+D5198*$F$232+E5198*$G$232+F5198*Assumptions!$B$14+G5198*Assumptions!$B$13+H5198*Assumptions!$B$12+I5198*Assumptions!$B$11+$O$232+$S$232+Assumptions!$B$9</f>
        <v/>
      </c>
      <c r="L5198">
        <f>B5198-J5198</f>
        <v/>
      </c>
      <c r="M5198">
        <f>IF(K5198&gt;0,IF(L5198/K5198&gt;=Assumptions!$B$37,1,0),0)</f>
        <v/>
      </c>
      <c r="N5198">
        <f>K5198+M5198*Assumptions!$B$153</f>
        <v/>
      </c>
      <c r="O5198">
        <f>L5198+M5198*Assumptions!$B$153*Assumptions!$B$37</f>
        <v/>
      </c>
      <c r="P5198">
        <f>IF(N5198&gt;0,O5198/N5198,0)</f>
        <v/>
      </c>
      <c r="Q5198">
        <f>IF(C5198=1,P5198*$J$232,Assumptions!$B$41)</f>
        <v/>
      </c>
      <c r="R5198">
        <f>IF(D5198=1,P5198*$F$232,Assumptions!$B$33)</f>
        <v/>
      </c>
      <c r="S5198">
        <f>IF(E5198=1,P5198*$G$232,Assumptions!$B$32)</f>
        <v/>
      </c>
      <c r="T5198">
        <f>IF(F5198=1,P5198*Assumptions!$B$14,Assumptions!$B$31)</f>
        <v/>
      </c>
      <c r="U5198">
        <f>IF(G5198=1,P5198*Assumptions!$B$13,Assumptions!$B$30)</f>
        <v/>
      </c>
      <c r="V5198">
        <f>IF(H5198=1,P5198*Assumptions!$B$12,Assumptions!$B$29)</f>
        <v/>
      </c>
      <c r="W5198">
        <f>IF(I5198=1,P5198*Assumptions!$B$11,Assumptions!$B$28)</f>
        <v/>
      </c>
      <c r="X5198">
        <f>P5198*($O$232+$S$232)</f>
        <v/>
      </c>
      <c r="Y5198">
        <f>P5198*Assumptions!$B$9</f>
        <v/>
      </c>
      <c r="Z5198">
        <f>IF(M5198=1,(P5198-Assumptions!$B$37)*Assumptions!$B$153,0)</f>
        <v/>
      </c>
      <c r="AA5198">
        <f>Q5198+R5198+S5198+T5198+U5198+V5198+W5198+X5198+Y5198+Z5198</f>
        <v/>
      </c>
      <c r="AB5198" t="n">
        <v>70</v>
      </c>
      <c r="AC5198" t="n">
        <v>6</v>
      </c>
      <c r="AD5198" t="n">
        <v>102</v>
      </c>
      <c r="AE5198" t="n">
        <v>86</v>
      </c>
      <c r="AF5198" t="n">
        <v>78</v>
      </c>
      <c r="AG5198" t="n">
        <v>66</v>
      </c>
      <c r="AH5198" t="n">
        <v>68</v>
      </c>
      <c r="AI5198" t="n">
        <v>71</v>
      </c>
      <c r="AJ5198">
        <f>INDEX($Q$5128:$Q$5255,AC5198+1)</f>
        <v/>
      </c>
      <c r="AK5198">
        <f>INDEX($R$5128:$R$5255,AD5198+1)</f>
        <v/>
      </c>
      <c r="AL5198">
        <f>INDEX($S$5128:$S$5255,AE5198+1)</f>
        <v/>
      </c>
      <c r="AM5198">
        <f>INDEX($T$5128:$T$5255,AF5198+1)</f>
        <v/>
      </c>
      <c r="AN5198">
        <f>INDEX($U$5128:$U$5255,AG5198+1)</f>
        <v/>
      </c>
      <c r="AO5198">
        <f>INDEX($V$5128:$V$5255,AH5198+1)</f>
        <v/>
      </c>
      <c r="AP5198">
        <f>INDEX($W$5128:$W$5255,AI5198+1)</f>
        <v/>
      </c>
      <c r="AQ5198">
        <f>IF(Q5198&gt;=AJ5198-0.01,1,0)</f>
        <v/>
      </c>
      <c r="AR5198">
        <f>IF(R5198&gt;=AK5198-0.01,1,0)</f>
        <v/>
      </c>
      <c r="AS5198">
        <f>IF(S5198&gt;=AL5198-0.01,1,0)</f>
        <v/>
      </c>
      <c r="AT5198">
        <f>IF(T5198&gt;=AM5198-0.01,1,0)</f>
        <v/>
      </c>
      <c r="AU5198">
        <f>IF(U5198&gt;=AN5198-0.01,1,0)</f>
        <v/>
      </c>
      <c r="AV5198">
        <f>IF(V5198&gt;=AO5198-0.01,1,0)</f>
        <v/>
      </c>
      <c r="AW5198">
        <f>IF(W5198&gt;=AP5198-0.01,1,0)</f>
        <v/>
      </c>
      <c r="AX5198">
        <f>AQ5198*AR5198*AS5198*AT5198*AU5198*AV5198*AW5198</f>
        <v/>
      </c>
    </row>
    <row r="5199">
      <c r="A5199" t="inlineStr"/>
      <c r="B5199">
        <f>Assumptions!$B$60</f>
        <v/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  <c r="I5199" t="n">
        <v>1</v>
      </c>
      <c r="J5199">
        <f>(1-C5199)*Assumptions!$B$41+(1-D5199)*Assumptions!$B$33+(1-E5199)*Assumptions!$B$32+(1-F5199)*Assumptions!$B$31+(1-G5199)*Assumptions!$B$30+(1-H5199)*Assumptions!$B$29+(1-I5199)*Assumptions!$B$28</f>
        <v/>
      </c>
      <c r="K5199">
        <f>C5199*$J$232+D5199*$F$232+E5199*$G$232+F5199*Assumptions!$B$14+G5199*Assumptions!$B$13+H5199*Assumptions!$B$12+I5199*Assumptions!$B$11+$O$232+$S$232+Assumptions!$B$9</f>
        <v/>
      </c>
      <c r="L5199">
        <f>B5199-J5199</f>
        <v/>
      </c>
      <c r="M5199">
        <f>IF(K5199&gt;0,IF(L5199/K5199&gt;=Assumptions!$B$37,1,0),0)</f>
        <v/>
      </c>
      <c r="N5199">
        <f>K5199+M5199*Assumptions!$B$153</f>
        <v/>
      </c>
      <c r="O5199">
        <f>L5199+M5199*Assumptions!$B$153*Assumptions!$B$37</f>
        <v/>
      </c>
      <c r="P5199">
        <f>IF(N5199&gt;0,O5199/N5199,0)</f>
        <v/>
      </c>
      <c r="Q5199">
        <f>IF(C5199=1,P5199*$J$232,Assumptions!$B$41)</f>
        <v/>
      </c>
      <c r="R5199">
        <f>IF(D5199=1,P5199*$F$232,Assumptions!$B$33)</f>
        <v/>
      </c>
      <c r="S5199">
        <f>IF(E5199=1,P5199*$G$232,Assumptions!$B$32)</f>
        <v/>
      </c>
      <c r="T5199">
        <f>IF(F5199=1,P5199*Assumptions!$B$14,Assumptions!$B$31)</f>
        <v/>
      </c>
      <c r="U5199">
        <f>IF(G5199=1,P5199*Assumptions!$B$13,Assumptions!$B$30)</f>
        <v/>
      </c>
      <c r="V5199">
        <f>IF(H5199=1,P5199*Assumptions!$B$12,Assumptions!$B$29)</f>
        <v/>
      </c>
      <c r="W5199">
        <f>IF(I5199=1,P5199*Assumptions!$B$11,Assumptions!$B$28)</f>
        <v/>
      </c>
      <c r="X5199">
        <f>P5199*($O$232+$S$232)</f>
        <v/>
      </c>
      <c r="Y5199">
        <f>P5199*Assumptions!$B$9</f>
        <v/>
      </c>
      <c r="Z5199">
        <f>IF(M5199=1,(P5199-Assumptions!$B$37)*Assumptions!$B$153,0)</f>
        <v/>
      </c>
      <c r="AA5199">
        <f>Q5199+R5199+S5199+T5199+U5199+V5199+W5199+X5199+Y5199+Z5199</f>
        <v/>
      </c>
      <c r="AB5199" t="n">
        <v>71</v>
      </c>
      <c r="AC5199" t="n">
        <v>7</v>
      </c>
      <c r="AD5199" t="n">
        <v>103</v>
      </c>
      <c r="AE5199" t="n">
        <v>87</v>
      </c>
      <c r="AF5199" t="n">
        <v>79</v>
      </c>
      <c r="AG5199" t="n">
        <v>67</v>
      </c>
      <c r="AH5199" t="n">
        <v>69</v>
      </c>
      <c r="AI5199" t="n">
        <v>70</v>
      </c>
      <c r="AJ5199">
        <f>INDEX($Q$5128:$Q$5255,AC5199+1)</f>
        <v/>
      </c>
      <c r="AK5199">
        <f>INDEX($R$5128:$R$5255,AD5199+1)</f>
        <v/>
      </c>
      <c r="AL5199">
        <f>INDEX($S$5128:$S$5255,AE5199+1)</f>
        <v/>
      </c>
      <c r="AM5199">
        <f>INDEX($T$5128:$T$5255,AF5199+1)</f>
        <v/>
      </c>
      <c r="AN5199">
        <f>INDEX($U$5128:$U$5255,AG5199+1)</f>
        <v/>
      </c>
      <c r="AO5199">
        <f>INDEX($V$5128:$V$5255,AH5199+1)</f>
        <v/>
      </c>
      <c r="AP5199">
        <f>INDEX($W$5128:$W$5255,AI5199+1)</f>
        <v/>
      </c>
      <c r="AQ5199">
        <f>IF(Q5199&gt;=AJ5199-0.01,1,0)</f>
        <v/>
      </c>
      <c r="AR5199">
        <f>IF(R5199&gt;=AK5199-0.01,1,0)</f>
        <v/>
      </c>
      <c r="AS5199">
        <f>IF(S5199&gt;=AL5199-0.01,1,0)</f>
        <v/>
      </c>
      <c r="AT5199">
        <f>IF(T5199&gt;=AM5199-0.01,1,0)</f>
        <v/>
      </c>
      <c r="AU5199">
        <f>IF(U5199&gt;=AN5199-0.01,1,0)</f>
        <v/>
      </c>
      <c r="AV5199">
        <f>IF(V5199&gt;=AO5199-0.01,1,0)</f>
        <v/>
      </c>
      <c r="AW5199">
        <f>IF(W5199&gt;=AP5199-0.01,1,0)</f>
        <v/>
      </c>
      <c r="AX5199">
        <f>AQ5199*AR5199*AS5199*AT5199*AU5199*AV5199*AW5199</f>
        <v/>
      </c>
    </row>
    <row r="5200">
      <c r="A5200" t="inlineStr"/>
      <c r="B5200">
        <f>Assumptions!$B$60</f>
        <v/>
      </c>
      <c r="C5200" t="n">
        <v>1</v>
      </c>
      <c r="D5200" t="n">
        <v>0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>
        <f>(1-C5200)*Assumptions!$B$41+(1-D5200)*Assumptions!$B$33+(1-E5200)*Assumptions!$B$32+(1-F5200)*Assumptions!$B$31+(1-G5200)*Assumptions!$B$30+(1-H5200)*Assumptions!$B$29+(1-I5200)*Assumptions!$B$28</f>
        <v/>
      </c>
      <c r="K5200">
        <f>C5200*$J$232+D5200*$F$232+E5200*$G$232+F5200*Assumptions!$B$14+G5200*Assumptions!$B$13+H5200*Assumptions!$B$12+I5200*Assumptions!$B$11+$O$232+$S$232+Assumptions!$B$9</f>
        <v/>
      </c>
      <c r="L5200">
        <f>B5200-J5200</f>
        <v/>
      </c>
      <c r="M5200">
        <f>IF(K5200&gt;0,IF(L5200/K5200&gt;=Assumptions!$B$37,1,0),0)</f>
        <v/>
      </c>
      <c r="N5200">
        <f>K5200+M5200*Assumptions!$B$153</f>
        <v/>
      </c>
      <c r="O5200">
        <f>L5200+M5200*Assumptions!$B$153*Assumptions!$B$37</f>
        <v/>
      </c>
      <c r="P5200">
        <f>IF(N5200&gt;0,O5200/N5200,0)</f>
        <v/>
      </c>
      <c r="Q5200">
        <f>IF(C5200=1,P5200*$J$232,Assumptions!$B$41)</f>
        <v/>
      </c>
      <c r="R5200">
        <f>IF(D5200=1,P5200*$F$232,Assumptions!$B$33)</f>
        <v/>
      </c>
      <c r="S5200">
        <f>IF(E5200=1,P5200*$G$232,Assumptions!$B$32)</f>
        <v/>
      </c>
      <c r="T5200">
        <f>IF(F5200=1,P5200*Assumptions!$B$14,Assumptions!$B$31)</f>
        <v/>
      </c>
      <c r="U5200">
        <f>IF(G5200=1,P5200*Assumptions!$B$13,Assumptions!$B$30)</f>
        <v/>
      </c>
      <c r="V5200">
        <f>IF(H5200=1,P5200*Assumptions!$B$12,Assumptions!$B$29)</f>
        <v/>
      </c>
      <c r="W5200">
        <f>IF(I5200=1,P5200*Assumptions!$B$11,Assumptions!$B$28)</f>
        <v/>
      </c>
      <c r="X5200">
        <f>P5200*($O$232+$S$232)</f>
        <v/>
      </c>
      <c r="Y5200">
        <f>P5200*Assumptions!$B$9</f>
        <v/>
      </c>
      <c r="Z5200">
        <f>IF(M5200=1,(P5200-Assumptions!$B$37)*Assumptions!$B$153,0)</f>
        <v/>
      </c>
      <c r="AA5200">
        <f>Q5200+R5200+S5200+T5200+U5200+V5200+W5200+X5200+Y5200+Z5200</f>
        <v/>
      </c>
      <c r="AB5200" t="n">
        <v>72</v>
      </c>
      <c r="AC5200" t="n">
        <v>8</v>
      </c>
      <c r="AD5200" t="n">
        <v>104</v>
      </c>
      <c r="AE5200" t="n">
        <v>88</v>
      </c>
      <c r="AF5200" t="n">
        <v>64</v>
      </c>
      <c r="AG5200" t="n">
        <v>76</v>
      </c>
      <c r="AH5200" t="n">
        <v>74</v>
      </c>
      <c r="AI5200" t="n">
        <v>73</v>
      </c>
      <c r="AJ5200">
        <f>INDEX($Q$5128:$Q$5255,AC5200+1)</f>
        <v/>
      </c>
      <c r="AK5200">
        <f>INDEX($R$5128:$R$5255,AD5200+1)</f>
        <v/>
      </c>
      <c r="AL5200">
        <f>INDEX($S$5128:$S$5255,AE5200+1)</f>
        <v/>
      </c>
      <c r="AM5200">
        <f>INDEX($T$5128:$T$5255,AF5200+1)</f>
        <v/>
      </c>
      <c r="AN5200">
        <f>INDEX($U$5128:$U$5255,AG5200+1)</f>
        <v/>
      </c>
      <c r="AO5200">
        <f>INDEX($V$5128:$V$5255,AH5200+1)</f>
        <v/>
      </c>
      <c r="AP5200">
        <f>INDEX($W$5128:$W$5255,AI5200+1)</f>
        <v/>
      </c>
      <c r="AQ5200">
        <f>IF(Q5200&gt;=AJ5200-0.01,1,0)</f>
        <v/>
      </c>
      <c r="AR5200">
        <f>IF(R5200&gt;=AK5200-0.01,1,0)</f>
        <v/>
      </c>
      <c r="AS5200">
        <f>IF(S5200&gt;=AL5200-0.01,1,0)</f>
        <v/>
      </c>
      <c r="AT5200">
        <f>IF(T5200&gt;=AM5200-0.01,1,0)</f>
        <v/>
      </c>
      <c r="AU5200">
        <f>IF(U5200&gt;=AN5200-0.01,1,0)</f>
        <v/>
      </c>
      <c r="AV5200">
        <f>IF(V5200&gt;=AO5200-0.01,1,0)</f>
        <v/>
      </c>
      <c r="AW5200">
        <f>IF(W5200&gt;=AP5200-0.01,1,0)</f>
        <v/>
      </c>
      <c r="AX5200">
        <f>AQ5200*AR5200*AS5200*AT5200*AU5200*AV5200*AW5200</f>
        <v/>
      </c>
    </row>
    <row r="5201">
      <c r="A5201" t="inlineStr"/>
      <c r="B5201">
        <f>Assumptions!$B$60</f>
        <v/>
      </c>
      <c r="C5201" t="n">
        <v>1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1</v>
      </c>
      <c r="J5201">
        <f>(1-C5201)*Assumptions!$B$41+(1-D5201)*Assumptions!$B$33+(1-E5201)*Assumptions!$B$32+(1-F5201)*Assumptions!$B$31+(1-G5201)*Assumptions!$B$30+(1-H5201)*Assumptions!$B$29+(1-I5201)*Assumptions!$B$28</f>
        <v/>
      </c>
      <c r="K5201">
        <f>C5201*$J$232+D5201*$F$232+E5201*$G$232+F5201*Assumptions!$B$14+G5201*Assumptions!$B$13+H5201*Assumptions!$B$12+I5201*Assumptions!$B$11+$O$232+$S$232+Assumptions!$B$9</f>
        <v/>
      </c>
      <c r="L5201">
        <f>B5201-J5201</f>
        <v/>
      </c>
      <c r="M5201">
        <f>IF(K5201&gt;0,IF(L5201/K5201&gt;=Assumptions!$B$37,1,0),0)</f>
        <v/>
      </c>
      <c r="N5201">
        <f>K5201+M5201*Assumptions!$B$153</f>
        <v/>
      </c>
      <c r="O5201">
        <f>L5201+M5201*Assumptions!$B$153*Assumptions!$B$37</f>
        <v/>
      </c>
      <c r="P5201">
        <f>IF(N5201&gt;0,O5201/N5201,0)</f>
        <v/>
      </c>
      <c r="Q5201">
        <f>IF(C5201=1,P5201*$J$232,Assumptions!$B$41)</f>
        <v/>
      </c>
      <c r="R5201">
        <f>IF(D5201=1,P5201*$F$232,Assumptions!$B$33)</f>
        <v/>
      </c>
      <c r="S5201">
        <f>IF(E5201=1,P5201*$G$232,Assumptions!$B$32)</f>
        <v/>
      </c>
      <c r="T5201">
        <f>IF(F5201=1,P5201*Assumptions!$B$14,Assumptions!$B$31)</f>
        <v/>
      </c>
      <c r="U5201">
        <f>IF(G5201=1,P5201*Assumptions!$B$13,Assumptions!$B$30)</f>
        <v/>
      </c>
      <c r="V5201">
        <f>IF(H5201=1,P5201*Assumptions!$B$12,Assumptions!$B$29)</f>
        <v/>
      </c>
      <c r="W5201">
        <f>IF(I5201=1,P5201*Assumptions!$B$11,Assumptions!$B$28)</f>
        <v/>
      </c>
      <c r="X5201">
        <f>P5201*($O$232+$S$232)</f>
        <v/>
      </c>
      <c r="Y5201">
        <f>P5201*Assumptions!$B$9</f>
        <v/>
      </c>
      <c r="Z5201">
        <f>IF(M5201=1,(P5201-Assumptions!$B$37)*Assumptions!$B$153,0)</f>
        <v/>
      </c>
      <c r="AA5201">
        <f>Q5201+R5201+S5201+T5201+U5201+V5201+W5201+X5201+Y5201+Z5201</f>
        <v/>
      </c>
      <c r="AB5201" t="n">
        <v>73</v>
      </c>
      <c r="AC5201" t="n">
        <v>9</v>
      </c>
      <c r="AD5201" t="n">
        <v>105</v>
      </c>
      <c r="AE5201" t="n">
        <v>89</v>
      </c>
      <c r="AF5201" t="n">
        <v>65</v>
      </c>
      <c r="AG5201" t="n">
        <v>77</v>
      </c>
      <c r="AH5201" t="n">
        <v>75</v>
      </c>
      <c r="AI5201" t="n">
        <v>72</v>
      </c>
      <c r="AJ5201">
        <f>INDEX($Q$5128:$Q$5255,AC5201+1)</f>
        <v/>
      </c>
      <c r="AK5201">
        <f>INDEX($R$5128:$R$5255,AD5201+1)</f>
        <v/>
      </c>
      <c r="AL5201">
        <f>INDEX($S$5128:$S$5255,AE5201+1)</f>
        <v/>
      </c>
      <c r="AM5201">
        <f>INDEX($T$5128:$T$5255,AF5201+1)</f>
        <v/>
      </c>
      <c r="AN5201">
        <f>INDEX($U$5128:$U$5255,AG5201+1)</f>
        <v/>
      </c>
      <c r="AO5201">
        <f>INDEX($V$5128:$V$5255,AH5201+1)</f>
        <v/>
      </c>
      <c r="AP5201">
        <f>INDEX($W$5128:$W$5255,AI5201+1)</f>
        <v/>
      </c>
      <c r="AQ5201">
        <f>IF(Q5201&gt;=AJ5201-0.01,1,0)</f>
        <v/>
      </c>
      <c r="AR5201">
        <f>IF(R5201&gt;=AK5201-0.01,1,0)</f>
        <v/>
      </c>
      <c r="AS5201">
        <f>IF(S5201&gt;=AL5201-0.01,1,0)</f>
        <v/>
      </c>
      <c r="AT5201">
        <f>IF(T5201&gt;=AM5201-0.01,1,0)</f>
        <v/>
      </c>
      <c r="AU5201">
        <f>IF(U5201&gt;=AN5201-0.01,1,0)</f>
        <v/>
      </c>
      <c r="AV5201">
        <f>IF(V5201&gt;=AO5201-0.01,1,0)</f>
        <v/>
      </c>
      <c r="AW5201">
        <f>IF(W5201&gt;=AP5201-0.01,1,0)</f>
        <v/>
      </c>
      <c r="AX5201">
        <f>AQ5201*AR5201*AS5201*AT5201*AU5201*AV5201*AW5201</f>
        <v/>
      </c>
    </row>
    <row r="5202">
      <c r="A5202" t="inlineStr"/>
      <c r="B5202">
        <f>Assumptions!$B$60</f>
        <v/>
      </c>
      <c r="C5202" t="n">
        <v>1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>
        <f>(1-C5202)*Assumptions!$B$41+(1-D5202)*Assumptions!$B$33+(1-E5202)*Assumptions!$B$32+(1-F5202)*Assumptions!$B$31+(1-G5202)*Assumptions!$B$30+(1-H5202)*Assumptions!$B$29+(1-I5202)*Assumptions!$B$28</f>
        <v/>
      </c>
      <c r="K5202">
        <f>C5202*$J$232+D5202*$F$232+E5202*$G$232+F5202*Assumptions!$B$14+G5202*Assumptions!$B$13+H5202*Assumptions!$B$12+I5202*Assumptions!$B$11+$O$232+$S$232+Assumptions!$B$9</f>
        <v/>
      </c>
      <c r="L5202">
        <f>B5202-J5202</f>
        <v/>
      </c>
      <c r="M5202">
        <f>IF(K5202&gt;0,IF(L5202/K5202&gt;=Assumptions!$B$37,1,0),0)</f>
        <v/>
      </c>
      <c r="N5202">
        <f>K5202+M5202*Assumptions!$B$153</f>
        <v/>
      </c>
      <c r="O5202">
        <f>L5202+M5202*Assumptions!$B$153*Assumptions!$B$37</f>
        <v/>
      </c>
      <c r="P5202">
        <f>IF(N5202&gt;0,O5202/N5202,0)</f>
        <v/>
      </c>
      <c r="Q5202">
        <f>IF(C5202=1,P5202*$J$232,Assumptions!$B$41)</f>
        <v/>
      </c>
      <c r="R5202">
        <f>IF(D5202=1,P5202*$F$232,Assumptions!$B$33)</f>
        <v/>
      </c>
      <c r="S5202">
        <f>IF(E5202=1,P5202*$G$232,Assumptions!$B$32)</f>
        <v/>
      </c>
      <c r="T5202">
        <f>IF(F5202=1,P5202*Assumptions!$B$14,Assumptions!$B$31)</f>
        <v/>
      </c>
      <c r="U5202">
        <f>IF(G5202=1,P5202*Assumptions!$B$13,Assumptions!$B$30)</f>
        <v/>
      </c>
      <c r="V5202">
        <f>IF(H5202=1,P5202*Assumptions!$B$12,Assumptions!$B$29)</f>
        <v/>
      </c>
      <c r="W5202">
        <f>IF(I5202=1,P5202*Assumptions!$B$11,Assumptions!$B$28)</f>
        <v/>
      </c>
      <c r="X5202">
        <f>P5202*($O$232+$S$232)</f>
        <v/>
      </c>
      <c r="Y5202">
        <f>P5202*Assumptions!$B$9</f>
        <v/>
      </c>
      <c r="Z5202">
        <f>IF(M5202=1,(P5202-Assumptions!$B$37)*Assumptions!$B$153,0)</f>
        <v/>
      </c>
      <c r="AA5202">
        <f>Q5202+R5202+S5202+T5202+U5202+V5202+W5202+X5202+Y5202+Z5202</f>
        <v/>
      </c>
      <c r="AB5202" t="n">
        <v>74</v>
      </c>
      <c r="AC5202" t="n">
        <v>10</v>
      </c>
      <c r="AD5202" t="n">
        <v>106</v>
      </c>
      <c r="AE5202" t="n">
        <v>90</v>
      </c>
      <c r="AF5202" t="n">
        <v>66</v>
      </c>
      <c r="AG5202" t="n">
        <v>78</v>
      </c>
      <c r="AH5202" t="n">
        <v>72</v>
      </c>
      <c r="AI5202" t="n">
        <v>75</v>
      </c>
      <c r="AJ5202">
        <f>INDEX($Q$5128:$Q$5255,AC5202+1)</f>
        <v/>
      </c>
      <c r="AK5202">
        <f>INDEX($R$5128:$R$5255,AD5202+1)</f>
        <v/>
      </c>
      <c r="AL5202">
        <f>INDEX($S$5128:$S$5255,AE5202+1)</f>
        <v/>
      </c>
      <c r="AM5202">
        <f>INDEX($T$5128:$T$5255,AF5202+1)</f>
        <v/>
      </c>
      <c r="AN5202">
        <f>INDEX($U$5128:$U$5255,AG5202+1)</f>
        <v/>
      </c>
      <c r="AO5202">
        <f>INDEX($V$5128:$V$5255,AH5202+1)</f>
        <v/>
      </c>
      <c r="AP5202">
        <f>INDEX($W$5128:$W$5255,AI5202+1)</f>
        <v/>
      </c>
      <c r="AQ5202">
        <f>IF(Q5202&gt;=AJ5202-0.01,1,0)</f>
        <v/>
      </c>
      <c r="AR5202">
        <f>IF(R5202&gt;=AK5202-0.01,1,0)</f>
        <v/>
      </c>
      <c r="AS5202">
        <f>IF(S5202&gt;=AL5202-0.01,1,0)</f>
        <v/>
      </c>
      <c r="AT5202">
        <f>IF(T5202&gt;=AM5202-0.01,1,0)</f>
        <v/>
      </c>
      <c r="AU5202">
        <f>IF(U5202&gt;=AN5202-0.01,1,0)</f>
        <v/>
      </c>
      <c r="AV5202">
        <f>IF(V5202&gt;=AO5202-0.01,1,0)</f>
        <v/>
      </c>
      <c r="AW5202">
        <f>IF(W5202&gt;=AP5202-0.01,1,0)</f>
        <v/>
      </c>
      <c r="AX5202">
        <f>AQ5202*AR5202*AS5202*AT5202*AU5202*AV5202*AW5202</f>
        <v/>
      </c>
    </row>
    <row r="5203">
      <c r="A5203" t="inlineStr"/>
      <c r="B5203">
        <f>Assumptions!$B$60</f>
        <v/>
      </c>
      <c r="C5203" t="n">
        <v>1</v>
      </c>
      <c r="D5203" t="n">
        <v>0</v>
      </c>
      <c r="E5203" t="n">
        <v>0</v>
      </c>
      <c r="F5203" t="n">
        <v>1</v>
      </c>
      <c r="G5203" t="n">
        <v>0</v>
      </c>
      <c r="H5203" t="n">
        <v>1</v>
      </c>
      <c r="I5203" t="n">
        <v>1</v>
      </c>
      <c r="J5203">
        <f>(1-C5203)*Assumptions!$B$41+(1-D5203)*Assumptions!$B$33+(1-E5203)*Assumptions!$B$32+(1-F5203)*Assumptions!$B$31+(1-G5203)*Assumptions!$B$30+(1-H5203)*Assumptions!$B$29+(1-I5203)*Assumptions!$B$28</f>
        <v/>
      </c>
      <c r="K5203">
        <f>C5203*$J$232+D5203*$F$232+E5203*$G$232+F5203*Assumptions!$B$14+G5203*Assumptions!$B$13+H5203*Assumptions!$B$12+I5203*Assumptions!$B$11+$O$232+$S$232+Assumptions!$B$9</f>
        <v/>
      </c>
      <c r="L5203">
        <f>B5203-J5203</f>
        <v/>
      </c>
      <c r="M5203">
        <f>IF(K5203&gt;0,IF(L5203/K5203&gt;=Assumptions!$B$37,1,0),0)</f>
        <v/>
      </c>
      <c r="N5203">
        <f>K5203+M5203*Assumptions!$B$153</f>
        <v/>
      </c>
      <c r="O5203">
        <f>L5203+M5203*Assumptions!$B$153*Assumptions!$B$37</f>
        <v/>
      </c>
      <c r="P5203">
        <f>IF(N5203&gt;0,O5203/N5203,0)</f>
        <v/>
      </c>
      <c r="Q5203">
        <f>IF(C5203=1,P5203*$J$232,Assumptions!$B$41)</f>
        <v/>
      </c>
      <c r="R5203">
        <f>IF(D5203=1,P5203*$F$232,Assumptions!$B$33)</f>
        <v/>
      </c>
      <c r="S5203">
        <f>IF(E5203=1,P5203*$G$232,Assumptions!$B$32)</f>
        <v/>
      </c>
      <c r="T5203">
        <f>IF(F5203=1,P5203*Assumptions!$B$14,Assumptions!$B$31)</f>
        <v/>
      </c>
      <c r="U5203">
        <f>IF(G5203=1,P5203*Assumptions!$B$13,Assumptions!$B$30)</f>
        <v/>
      </c>
      <c r="V5203">
        <f>IF(H5203=1,P5203*Assumptions!$B$12,Assumptions!$B$29)</f>
        <v/>
      </c>
      <c r="W5203">
        <f>IF(I5203=1,P5203*Assumptions!$B$11,Assumptions!$B$28)</f>
        <v/>
      </c>
      <c r="X5203">
        <f>P5203*($O$232+$S$232)</f>
        <v/>
      </c>
      <c r="Y5203">
        <f>P5203*Assumptions!$B$9</f>
        <v/>
      </c>
      <c r="Z5203">
        <f>IF(M5203=1,(P5203-Assumptions!$B$37)*Assumptions!$B$153,0)</f>
        <v/>
      </c>
      <c r="AA5203">
        <f>Q5203+R5203+S5203+T5203+U5203+V5203+W5203+X5203+Y5203+Z5203</f>
        <v/>
      </c>
      <c r="AB5203" t="n">
        <v>75</v>
      </c>
      <c r="AC5203" t="n">
        <v>11</v>
      </c>
      <c r="AD5203" t="n">
        <v>107</v>
      </c>
      <c r="AE5203" t="n">
        <v>91</v>
      </c>
      <c r="AF5203" t="n">
        <v>67</v>
      </c>
      <c r="AG5203" t="n">
        <v>79</v>
      </c>
      <c r="AH5203" t="n">
        <v>73</v>
      </c>
      <c r="AI5203" t="n">
        <v>74</v>
      </c>
      <c r="AJ5203">
        <f>INDEX($Q$5128:$Q$5255,AC5203+1)</f>
        <v/>
      </c>
      <c r="AK5203">
        <f>INDEX($R$5128:$R$5255,AD5203+1)</f>
        <v/>
      </c>
      <c r="AL5203">
        <f>INDEX($S$5128:$S$5255,AE5203+1)</f>
        <v/>
      </c>
      <c r="AM5203">
        <f>INDEX($T$5128:$T$5255,AF5203+1)</f>
        <v/>
      </c>
      <c r="AN5203">
        <f>INDEX($U$5128:$U$5255,AG5203+1)</f>
        <v/>
      </c>
      <c r="AO5203">
        <f>INDEX($V$5128:$V$5255,AH5203+1)</f>
        <v/>
      </c>
      <c r="AP5203">
        <f>INDEX($W$5128:$W$5255,AI5203+1)</f>
        <v/>
      </c>
      <c r="AQ5203">
        <f>IF(Q5203&gt;=AJ5203-0.01,1,0)</f>
        <v/>
      </c>
      <c r="AR5203">
        <f>IF(R5203&gt;=AK5203-0.01,1,0)</f>
        <v/>
      </c>
      <c r="AS5203">
        <f>IF(S5203&gt;=AL5203-0.01,1,0)</f>
        <v/>
      </c>
      <c r="AT5203">
        <f>IF(T5203&gt;=AM5203-0.01,1,0)</f>
        <v/>
      </c>
      <c r="AU5203">
        <f>IF(U5203&gt;=AN5203-0.01,1,0)</f>
        <v/>
      </c>
      <c r="AV5203">
        <f>IF(V5203&gt;=AO5203-0.01,1,0)</f>
        <v/>
      </c>
      <c r="AW5203">
        <f>IF(W5203&gt;=AP5203-0.01,1,0)</f>
        <v/>
      </c>
      <c r="AX5203">
        <f>AQ5203*AR5203*AS5203*AT5203*AU5203*AV5203*AW5203</f>
        <v/>
      </c>
    </row>
    <row r="5204">
      <c r="A5204" t="inlineStr"/>
      <c r="B5204">
        <f>Assumptions!$B$60</f>
        <v/>
      </c>
      <c r="C5204" t="n">
        <v>1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0</v>
      </c>
      <c r="J5204">
        <f>(1-C5204)*Assumptions!$B$41+(1-D5204)*Assumptions!$B$33+(1-E5204)*Assumptions!$B$32+(1-F5204)*Assumptions!$B$31+(1-G5204)*Assumptions!$B$30+(1-H5204)*Assumptions!$B$29+(1-I5204)*Assumptions!$B$28</f>
        <v/>
      </c>
      <c r="K5204">
        <f>C5204*$J$232+D5204*$F$232+E5204*$G$232+F5204*Assumptions!$B$14+G5204*Assumptions!$B$13+H5204*Assumptions!$B$12+I5204*Assumptions!$B$11+$O$232+$S$232+Assumptions!$B$9</f>
        <v/>
      </c>
      <c r="L5204">
        <f>B5204-J5204</f>
        <v/>
      </c>
      <c r="M5204">
        <f>IF(K5204&gt;0,IF(L5204/K5204&gt;=Assumptions!$B$37,1,0),0)</f>
        <v/>
      </c>
      <c r="N5204">
        <f>K5204+M5204*Assumptions!$B$153</f>
        <v/>
      </c>
      <c r="O5204">
        <f>L5204+M5204*Assumptions!$B$153*Assumptions!$B$37</f>
        <v/>
      </c>
      <c r="P5204">
        <f>IF(N5204&gt;0,O5204/N5204,0)</f>
        <v/>
      </c>
      <c r="Q5204">
        <f>IF(C5204=1,P5204*$J$232,Assumptions!$B$41)</f>
        <v/>
      </c>
      <c r="R5204">
        <f>IF(D5204=1,P5204*$F$232,Assumptions!$B$33)</f>
        <v/>
      </c>
      <c r="S5204">
        <f>IF(E5204=1,P5204*$G$232,Assumptions!$B$32)</f>
        <v/>
      </c>
      <c r="T5204">
        <f>IF(F5204=1,P5204*Assumptions!$B$14,Assumptions!$B$31)</f>
        <v/>
      </c>
      <c r="U5204">
        <f>IF(G5204=1,P5204*Assumptions!$B$13,Assumptions!$B$30)</f>
        <v/>
      </c>
      <c r="V5204">
        <f>IF(H5204=1,P5204*Assumptions!$B$12,Assumptions!$B$29)</f>
        <v/>
      </c>
      <c r="W5204">
        <f>IF(I5204=1,P5204*Assumptions!$B$11,Assumptions!$B$28)</f>
        <v/>
      </c>
      <c r="X5204">
        <f>P5204*($O$232+$S$232)</f>
        <v/>
      </c>
      <c r="Y5204">
        <f>P5204*Assumptions!$B$9</f>
        <v/>
      </c>
      <c r="Z5204">
        <f>IF(M5204=1,(P5204-Assumptions!$B$37)*Assumptions!$B$153,0)</f>
        <v/>
      </c>
      <c r="AA5204">
        <f>Q5204+R5204+S5204+T5204+U5204+V5204+W5204+X5204+Y5204+Z5204</f>
        <v/>
      </c>
      <c r="AB5204" t="n">
        <v>76</v>
      </c>
      <c r="AC5204" t="n">
        <v>12</v>
      </c>
      <c r="AD5204" t="n">
        <v>108</v>
      </c>
      <c r="AE5204" t="n">
        <v>92</v>
      </c>
      <c r="AF5204" t="n">
        <v>68</v>
      </c>
      <c r="AG5204" t="n">
        <v>72</v>
      </c>
      <c r="AH5204" t="n">
        <v>78</v>
      </c>
      <c r="AI5204" t="n">
        <v>77</v>
      </c>
      <c r="AJ5204">
        <f>INDEX($Q$5128:$Q$5255,AC5204+1)</f>
        <v/>
      </c>
      <c r="AK5204">
        <f>INDEX($R$5128:$R$5255,AD5204+1)</f>
        <v/>
      </c>
      <c r="AL5204">
        <f>INDEX($S$5128:$S$5255,AE5204+1)</f>
        <v/>
      </c>
      <c r="AM5204">
        <f>INDEX($T$5128:$T$5255,AF5204+1)</f>
        <v/>
      </c>
      <c r="AN5204">
        <f>INDEX($U$5128:$U$5255,AG5204+1)</f>
        <v/>
      </c>
      <c r="AO5204">
        <f>INDEX($V$5128:$V$5255,AH5204+1)</f>
        <v/>
      </c>
      <c r="AP5204">
        <f>INDEX($W$5128:$W$5255,AI5204+1)</f>
        <v/>
      </c>
      <c r="AQ5204">
        <f>IF(Q5204&gt;=AJ5204-0.01,1,0)</f>
        <v/>
      </c>
      <c r="AR5204">
        <f>IF(R5204&gt;=AK5204-0.01,1,0)</f>
        <v/>
      </c>
      <c r="AS5204">
        <f>IF(S5204&gt;=AL5204-0.01,1,0)</f>
        <v/>
      </c>
      <c r="AT5204">
        <f>IF(T5204&gt;=AM5204-0.01,1,0)</f>
        <v/>
      </c>
      <c r="AU5204">
        <f>IF(U5204&gt;=AN5204-0.01,1,0)</f>
        <v/>
      </c>
      <c r="AV5204">
        <f>IF(V5204&gt;=AO5204-0.01,1,0)</f>
        <v/>
      </c>
      <c r="AW5204">
        <f>IF(W5204&gt;=AP5204-0.01,1,0)</f>
        <v/>
      </c>
      <c r="AX5204">
        <f>AQ5204*AR5204*AS5204*AT5204*AU5204*AV5204*AW5204</f>
        <v/>
      </c>
    </row>
    <row r="5205">
      <c r="A5205" t="inlineStr"/>
      <c r="B5205">
        <f>Assumptions!$B$60</f>
        <v/>
      </c>
      <c r="C5205" t="n">
        <v>1</v>
      </c>
      <c r="D5205" t="n">
        <v>0</v>
      </c>
      <c r="E5205" t="n">
        <v>0</v>
      </c>
      <c r="F5205" t="n">
        <v>1</v>
      </c>
      <c r="G5205" t="n">
        <v>1</v>
      </c>
      <c r="H5205" t="n">
        <v>0</v>
      </c>
      <c r="I5205" t="n">
        <v>1</v>
      </c>
      <c r="J5205">
        <f>(1-C5205)*Assumptions!$B$41+(1-D5205)*Assumptions!$B$33+(1-E5205)*Assumptions!$B$32+(1-F5205)*Assumptions!$B$31+(1-G5205)*Assumptions!$B$30+(1-H5205)*Assumptions!$B$29+(1-I5205)*Assumptions!$B$28</f>
        <v/>
      </c>
      <c r="K5205">
        <f>C5205*$J$232+D5205*$F$232+E5205*$G$232+F5205*Assumptions!$B$14+G5205*Assumptions!$B$13+H5205*Assumptions!$B$12+I5205*Assumptions!$B$11+$O$232+$S$232+Assumptions!$B$9</f>
        <v/>
      </c>
      <c r="L5205">
        <f>B5205-J5205</f>
        <v/>
      </c>
      <c r="M5205">
        <f>IF(K5205&gt;0,IF(L5205/K5205&gt;=Assumptions!$B$37,1,0),0)</f>
        <v/>
      </c>
      <c r="N5205">
        <f>K5205+M5205*Assumptions!$B$153</f>
        <v/>
      </c>
      <c r="O5205">
        <f>L5205+M5205*Assumptions!$B$153*Assumptions!$B$37</f>
        <v/>
      </c>
      <c r="P5205">
        <f>IF(N5205&gt;0,O5205/N5205,0)</f>
        <v/>
      </c>
      <c r="Q5205">
        <f>IF(C5205=1,P5205*$J$232,Assumptions!$B$41)</f>
        <v/>
      </c>
      <c r="R5205">
        <f>IF(D5205=1,P5205*$F$232,Assumptions!$B$33)</f>
        <v/>
      </c>
      <c r="S5205">
        <f>IF(E5205=1,P5205*$G$232,Assumptions!$B$32)</f>
        <v/>
      </c>
      <c r="T5205">
        <f>IF(F5205=1,P5205*Assumptions!$B$14,Assumptions!$B$31)</f>
        <v/>
      </c>
      <c r="U5205">
        <f>IF(G5205=1,P5205*Assumptions!$B$13,Assumptions!$B$30)</f>
        <v/>
      </c>
      <c r="V5205">
        <f>IF(H5205=1,P5205*Assumptions!$B$12,Assumptions!$B$29)</f>
        <v/>
      </c>
      <c r="W5205">
        <f>IF(I5205=1,P5205*Assumptions!$B$11,Assumptions!$B$28)</f>
        <v/>
      </c>
      <c r="X5205">
        <f>P5205*($O$232+$S$232)</f>
        <v/>
      </c>
      <c r="Y5205">
        <f>P5205*Assumptions!$B$9</f>
        <v/>
      </c>
      <c r="Z5205">
        <f>IF(M5205=1,(P5205-Assumptions!$B$37)*Assumptions!$B$153,0)</f>
        <v/>
      </c>
      <c r="AA5205">
        <f>Q5205+R5205+S5205+T5205+U5205+V5205+W5205+X5205+Y5205+Z5205</f>
        <v/>
      </c>
      <c r="AB5205" t="n">
        <v>77</v>
      </c>
      <c r="AC5205" t="n">
        <v>13</v>
      </c>
      <c r="AD5205" t="n">
        <v>109</v>
      </c>
      <c r="AE5205" t="n">
        <v>93</v>
      </c>
      <c r="AF5205" t="n">
        <v>69</v>
      </c>
      <c r="AG5205" t="n">
        <v>73</v>
      </c>
      <c r="AH5205" t="n">
        <v>79</v>
      </c>
      <c r="AI5205" t="n">
        <v>76</v>
      </c>
      <c r="AJ5205">
        <f>INDEX($Q$5128:$Q$5255,AC5205+1)</f>
        <v/>
      </c>
      <c r="AK5205">
        <f>INDEX($R$5128:$R$5255,AD5205+1)</f>
        <v/>
      </c>
      <c r="AL5205">
        <f>INDEX($S$5128:$S$5255,AE5205+1)</f>
        <v/>
      </c>
      <c r="AM5205">
        <f>INDEX($T$5128:$T$5255,AF5205+1)</f>
        <v/>
      </c>
      <c r="AN5205">
        <f>INDEX($U$5128:$U$5255,AG5205+1)</f>
        <v/>
      </c>
      <c r="AO5205">
        <f>INDEX($V$5128:$V$5255,AH5205+1)</f>
        <v/>
      </c>
      <c r="AP5205">
        <f>INDEX($W$5128:$W$5255,AI5205+1)</f>
        <v/>
      </c>
      <c r="AQ5205">
        <f>IF(Q5205&gt;=AJ5205-0.01,1,0)</f>
        <v/>
      </c>
      <c r="AR5205">
        <f>IF(R5205&gt;=AK5205-0.01,1,0)</f>
        <v/>
      </c>
      <c r="AS5205">
        <f>IF(S5205&gt;=AL5205-0.01,1,0)</f>
        <v/>
      </c>
      <c r="AT5205">
        <f>IF(T5205&gt;=AM5205-0.01,1,0)</f>
        <v/>
      </c>
      <c r="AU5205">
        <f>IF(U5205&gt;=AN5205-0.01,1,0)</f>
        <v/>
      </c>
      <c r="AV5205">
        <f>IF(V5205&gt;=AO5205-0.01,1,0)</f>
        <v/>
      </c>
      <c r="AW5205">
        <f>IF(W5205&gt;=AP5205-0.01,1,0)</f>
        <v/>
      </c>
      <c r="AX5205">
        <f>AQ5205*AR5205*AS5205*AT5205*AU5205*AV5205*AW5205</f>
        <v/>
      </c>
    </row>
    <row r="5206">
      <c r="A5206" t="inlineStr"/>
      <c r="B5206">
        <f>Assumptions!$B$60</f>
        <v/>
      </c>
      <c r="C5206" t="n">
        <v>1</v>
      </c>
      <c r="D5206" t="n">
        <v>0</v>
      </c>
      <c r="E5206" t="n">
        <v>0</v>
      </c>
      <c r="F5206" t="n">
        <v>1</v>
      </c>
      <c r="G5206" t="n">
        <v>1</v>
      </c>
      <c r="H5206" t="n">
        <v>1</v>
      </c>
      <c r="I5206" t="n">
        <v>0</v>
      </c>
      <c r="J5206">
        <f>(1-C5206)*Assumptions!$B$41+(1-D5206)*Assumptions!$B$33+(1-E5206)*Assumptions!$B$32+(1-F5206)*Assumptions!$B$31+(1-G5206)*Assumptions!$B$30+(1-H5206)*Assumptions!$B$29+(1-I5206)*Assumptions!$B$28</f>
        <v/>
      </c>
      <c r="K5206">
        <f>C5206*$J$232+D5206*$F$232+E5206*$G$232+F5206*Assumptions!$B$14+G5206*Assumptions!$B$13+H5206*Assumptions!$B$12+I5206*Assumptions!$B$11+$O$232+$S$232+Assumptions!$B$9</f>
        <v/>
      </c>
      <c r="L5206">
        <f>B5206-J5206</f>
        <v/>
      </c>
      <c r="M5206">
        <f>IF(K5206&gt;0,IF(L5206/K5206&gt;=Assumptions!$B$37,1,0),0)</f>
        <v/>
      </c>
      <c r="N5206">
        <f>K5206+M5206*Assumptions!$B$153</f>
        <v/>
      </c>
      <c r="O5206">
        <f>L5206+M5206*Assumptions!$B$153*Assumptions!$B$37</f>
        <v/>
      </c>
      <c r="P5206">
        <f>IF(N5206&gt;0,O5206/N5206,0)</f>
        <v/>
      </c>
      <c r="Q5206">
        <f>IF(C5206=1,P5206*$J$232,Assumptions!$B$41)</f>
        <v/>
      </c>
      <c r="R5206">
        <f>IF(D5206=1,P5206*$F$232,Assumptions!$B$33)</f>
        <v/>
      </c>
      <c r="S5206">
        <f>IF(E5206=1,P5206*$G$232,Assumptions!$B$32)</f>
        <v/>
      </c>
      <c r="T5206">
        <f>IF(F5206=1,P5206*Assumptions!$B$14,Assumptions!$B$31)</f>
        <v/>
      </c>
      <c r="U5206">
        <f>IF(G5206=1,P5206*Assumptions!$B$13,Assumptions!$B$30)</f>
        <v/>
      </c>
      <c r="V5206">
        <f>IF(H5206=1,P5206*Assumptions!$B$12,Assumptions!$B$29)</f>
        <v/>
      </c>
      <c r="W5206">
        <f>IF(I5206=1,P5206*Assumptions!$B$11,Assumptions!$B$28)</f>
        <v/>
      </c>
      <c r="X5206">
        <f>P5206*($O$232+$S$232)</f>
        <v/>
      </c>
      <c r="Y5206">
        <f>P5206*Assumptions!$B$9</f>
        <v/>
      </c>
      <c r="Z5206">
        <f>IF(M5206=1,(P5206-Assumptions!$B$37)*Assumptions!$B$153,0)</f>
        <v/>
      </c>
      <c r="AA5206">
        <f>Q5206+R5206+S5206+T5206+U5206+V5206+W5206+X5206+Y5206+Z5206</f>
        <v/>
      </c>
      <c r="AB5206" t="n">
        <v>78</v>
      </c>
      <c r="AC5206" t="n">
        <v>14</v>
      </c>
      <c r="AD5206" t="n">
        <v>110</v>
      </c>
      <c r="AE5206" t="n">
        <v>94</v>
      </c>
      <c r="AF5206" t="n">
        <v>70</v>
      </c>
      <c r="AG5206" t="n">
        <v>74</v>
      </c>
      <c r="AH5206" t="n">
        <v>76</v>
      </c>
      <c r="AI5206" t="n">
        <v>79</v>
      </c>
      <c r="AJ5206">
        <f>INDEX($Q$5128:$Q$5255,AC5206+1)</f>
        <v/>
      </c>
      <c r="AK5206">
        <f>INDEX($R$5128:$R$5255,AD5206+1)</f>
        <v/>
      </c>
      <c r="AL5206">
        <f>INDEX($S$5128:$S$5255,AE5206+1)</f>
        <v/>
      </c>
      <c r="AM5206">
        <f>INDEX($T$5128:$T$5255,AF5206+1)</f>
        <v/>
      </c>
      <c r="AN5206">
        <f>INDEX($U$5128:$U$5255,AG5206+1)</f>
        <v/>
      </c>
      <c r="AO5206">
        <f>INDEX($V$5128:$V$5255,AH5206+1)</f>
        <v/>
      </c>
      <c r="AP5206">
        <f>INDEX($W$5128:$W$5255,AI5206+1)</f>
        <v/>
      </c>
      <c r="AQ5206">
        <f>IF(Q5206&gt;=AJ5206-0.01,1,0)</f>
        <v/>
      </c>
      <c r="AR5206">
        <f>IF(R5206&gt;=AK5206-0.01,1,0)</f>
        <v/>
      </c>
      <c r="AS5206">
        <f>IF(S5206&gt;=AL5206-0.01,1,0)</f>
        <v/>
      </c>
      <c r="AT5206">
        <f>IF(T5206&gt;=AM5206-0.01,1,0)</f>
        <v/>
      </c>
      <c r="AU5206">
        <f>IF(U5206&gt;=AN5206-0.01,1,0)</f>
        <v/>
      </c>
      <c r="AV5206">
        <f>IF(V5206&gt;=AO5206-0.01,1,0)</f>
        <v/>
      </c>
      <c r="AW5206">
        <f>IF(W5206&gt;=AP5206-0.01,1,0)</f>
        <v/>
      </c>
      <c r="AX5206">
        <f>AQ5206*AR5206*AS5206*AT5206*AU5206*AV5206*AW5206</f>
        <v/>
      </c>
    </row>
    <row r="5207">
      <c r="A5207" t="inlineStr"/>
      <c r="B5207">
        <f>Assumptions!$B$60</f>
        <v/>
      </c>
      <c r="C5207" t="n">
        <v>1</v>
      </c>
      <c r="D5207" t="n">
        <v>0</v>
      </c>
      <c r="E5207" t="n">
        <v>0</v>
      </c>
      <c r="F5207" t="n">
        <v>1</v>
      </c>
      <c r="G5207" t="n">
        <v>1</v>
      </c>
      <c r="H5207" t="n">
        <v>1</v>
      </c>
      <c r="I5207" t="n">
        <v>1</v>
      </c>
      <c r="J5207">
        <f>(1-C5207)*Assumptions!$B$41+(1-D5207)*Assumptions!$B$33+(1-E5207)*Assumptions!$B$32+(1-F5207)*Assumptions!$B$31+(1-G5207)*Assumptions!$B$30+(1-H5207)*Assumptions!$B$29+(1-I5207)*Assumptions!$B$28</f>
        <v/>
      </c>
      <c r="K5207">
        <f>C5207*$J$232+D5207*$F$232+E5207*$G$232+F5207*Assumptions!$B$14+G5207*Assumptions!$B$13+H5207*Assumptions!$B$12+I5207*Assumptions!$B$11+$O$232+$S$232+Assumptions!$B$9</f>
        <v/>
      </c>
      <c r="L5207">
        <f>B5207-J5207</f>
        <v/>
      </c>
      <c r="M5207">
        <f>IF(K5207&gt;0,IF(L5207/K5207&gt;=Assumptions!$B$37,1,0),0)</f>
        <v/>
      </c>
      <c r="N5207">
        <f>K5207+M5207*Assumptions!$B$153</f>
        <v/>
      </c>
      <c r="O5207">
        <f>L5207+M5207*Assumptions!$B$153*Assumptions!$B$37</f>
        <v/>
      </c>
      <c r="P5207">
        <f>IF(N5207&gt;0,O5207/N5207,0)</f>
        <v/>
      </c>
      <c r="Q5207">
        <f>IF(C5207=1,P5207*$J$232,Assumptions!$B$41)</f>
        <v/>
      </c>
      <c r="R5207">
        <f>IF(D5207=1,P5207*$F$232,Assumptions!$B$33)</f>
        <v/>
      </c>
      <c r="S5207">
        <f>IF(E5207=1,P5207*$G$232,Assumptions!$B$32)</f>
        <v/>
      </c>
      <c r="T5207">
        <f>IF(F5207=1,P5207*Assumptions!$B$14,Assumptions!$B$31)</f>
        <v/>
      </c>
      <c r="U5207">
        <f>IF(G5207=1,P5207*Assumptions!$B$13,Assumptions!$B$30)</f>
        <v/>
      </c>
      <c r="V5207">
        <f>IF(H5207=1,P5207*Assumptions!$B$12,Assumptions!$B$29)</f>
        <v/>
      </c>
      <c r="W5207">
        <f>IF(I5207=1,P5207*Assumptions!$B$11,Assumptions!$B$28)</f>
        <v/>
      </c>
      <c r="X5207">
        <f>P5207*($O$232+$S$232)</f>
        <v/>
      </c>
      <c r="Y5207">
        <f>P5207*Assumptions!$B$9</f>
        <v/>
      </c>
      <c r="Z5207">
        <f>IF(M5207=1,(P5207-Assumptions!$B$37)*Assumptions!$B$153,0)</f>
        <v/>
      </c>
      <c r="AA5207">
        <f>Q5207+R5207+S5207+T5207+U5207+V5207+W5207+X5207+Y5207+Z5207</f>
        <v/>
      </c>
      <c r="AB5207" t="n">
        <v>79</v>
      </c>
      <c r="AC5207" t="n">
        <v>15</v>
      </c>
      <c r="AD5207" t="n">
        <v>111</v>
      </c>
      <c r="AE5207" t="n">
        <v>95</v>
      </c>
      <c r="AF5207" t="n">
        <v>71</v>
      </c>
      <c r="AG5207" t="n">
        <v>75</v>
      </c>
      <c r="AH5207" t="n">
        <v>77</v>
      </c>
      <c r="AI5207" t="n">
        <v>78</v>
      </c>
      <c r="AJ5207">
        <f>INDEX($Q$5128:$Q$5255,AC5207+1)</f>
        <v/>
      </c>
      <c r="AK5207">
        <f>INDEX($R$5128:$R$5255,AD5207+1)</f>
        <v/>
      </c>
      <c r="AL5207">
        <f>INDEX($S$5128:$S$5255,AE5207+1)</f>
        <v/>
      </c>
      <c r="AM5207">
        <f>INDEX($T$5128:$T$5255,AF5207+1)</f>
        <v/>
      </c>
      <c r="AN5207">
        <f>INDEX($U$5128:$U$5255,AG5207+1)</f>
        <v/>
      </c>
      <c r="AO5207">
        <f>INDEX($V$5128:$V$5255,AH5207+1)</f>
        <v/>
      </c>
      <c r="AP5207">
        <f>INDEX($W$5128:$W$5255,AI5207+1)</f>
        <v/>
      </c>
      <c r="AQ5207">
        <f>IF(Q5207&gt;=AJ5207-0.01,1,0)</f>
        <v/>
      </c>
      <c r="AR5207">
        <f>IF(R5207&gt;=AK5207-0.01,1,0)</f>
        <v/>
      </c>
      <c r="AS5207">
        <f>IF(S5207&gt;=AL5207-0.01,1,0)</f>
        <v/>
      </c>
      <c r="AT5207">
        <f>IF(T5207&gt;=AM5207-0.01,1,0)</f>
        <v/>
      </c>
      <c r="AU5207">
        <f>IF(U5207&gt;=AN5207-0.01,1,0)</f>
        <v/>
      </c>
      <c r="AV5207">
        <f>IF(V5207&gt;=AO5207-0.01,1,0)</f>
        <v/>
      </c>
      <c r="AW5207">
        <f>IF(W5207&gt;=AP5207-0.01,1,0)</f>
        <v/>
      </c>
      <c r="AX5207">
        <f>AQ5207*AR5207*AS5207*AT5207*AU5207*AV5207*AW5207</f>
        <v/>
      </c>
    </row>
    <row r="5208">
      <c r="A5208" t="inlineStr"/>
      <c r="B5208">
        <f>Assumptions!$B$60</f>
        <v/>
      </c>
      <c r="C5208" t="n">
        <v>1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0</v>
      </c>
      <c r="J5208">
        <f>(1-C5208)*Assumptions!$B$41+(1-D5208)*Assumptions!$B$33+(1-E5208)*Assumptions!$B$32+(1-F5208)*Assumptions!$B$31+(1-G5208)*Assumptions!$B$30+(1-H5208)*Assumptions!$B$29+(1-I5208)*Assumptions!$B$28</f>
        <v/>
      </c>
      <c r="K5208">
        <f>C5208*$J$232+D5208*$F$232+E5208*$G$232+F5208*Assumptions!$B$14+G5208*Assumptions!$B$13+H5208*Assumptions!$B$12+I5208*Assumptions!$B$11+$O$232+$S$232+Assumptions!$B$9</f>
        <v/>
      </c>
      <c r="L5208">
        <f>B5208-J5208</f>
        <v/>
      </c>
      <c r="M5208">
        <f>IF(K5208&gt;0,IF(L5208/K5208&gt;=Assumptions!$B$37,1,0),0)</f>
        <v/>
      </c>
      <c r="N5208">
        <f>K5208+M5208*Assumptions!$B$153</f>
        <v/>
      </c>
      <c r="O5208">
        <f>L5208+M5208*Assumptions!$B$153*Assumptions!$B$37</f>
        <v/>
      </c>
      <c r="P5208">
        <f>IF(N5208&gt;0,O5208/N5208,0)</f>
        <v/>
      </c>
      <c r="Q5208">
        <f>IF(C5208=1,P5208*$J$232,Assumptions!$B$41)</f>
        <v/>
      </c>
      <c r="R5208">
        <f>IF(D5208=1,P5208*$F$232,Assumptions!$B$33)</f>
        <v/>
      </c>
      <c r="S5208">
        <f>IF(E5208=1,P5208*$G$232,Assumptions!$B$32)</f>
        <v/>
      </c>
      <c r="T5208">
        <f>IF(F5208=1,P5208*Assumptions!$B$14,Assumptions!$B$31)</f>
        <v/>
      </c>
      <c r="U5208">
        <f>IF(G5208=1,P5208*Assumptions!$B$13,Assumptions!$B$30)</f>
        <v/>
      </c>
      <c r="V5208">
        <f>IF(H5208=1,P5208*Assumptions!$B$12,Assumptions!$B$29)</f>
        <v/>
      </c>
      <c r="W5208">
        <f>IF(I5208=1,P5208*Assumptions!$B$11,Assumptions!$B$28)</f>
        <v/>
      </c>
      <c r="X5208">
        <f>P5208*($O$232+$S$232)</f>
        <v/>
      </c>
      <c r="Y5208">
        <f>P5208*Assumptions!$B$9</f>
        <v/>
      </c>
      <c r="Z5208">
        <f>IF(M5208=1,(P5208-Assumptions!$B$37)*Assumptions!$B$153,0)</f>
        <v/>
      </c>
      <c r="AA5208">
        <f>Q5208+R5208+S5208+T5208+U5208+V5208+W5208+X5208+Y5208+Z5208</f>
        <v/>
      </c>
      <c r="AB5208" t="n">
        <v>80</v>
      </c>
      <c r="AC5208" t="n">
        <v>16</v>
      </c>
      <c r="AD5208" t="n">
        <v>112</v>
      </c>
      <c r="AE5208" t="n">
        <v>64</v>
      </c>
      <c r="AF5208" t="n">
        <v>88</v>
      </c>
      <c r="AG5208" t="n">
        <v>84</v>
      </c>
      <c r="AH5208" t="n">
        <v>82</v>
      </c>
      <c r="AI5208" t="n">
        <v>81</v>
      </c>
      <c r="AJ5208">
        <f>INDEX($Q$5128:$Q$5255,AC5208+1)</f>
        <v/>
      </c>
      <c r="AK5208">
        <f>INDEX($R$5128:$R$5255,AD5208+1)</f>
        <v/>
      </c>
      <c r="AL5208">
        <f>INDEX($S$5128:$S$5255,AE5208+1)</f>
        <v/>
      </c>
      <c r="AM5208">
        <f>INDEX($T$5128:$T$5255,AF5208+1)</f>
        <v/>
      </c>
      <c r="AN5208">
        <f>INDEX($U$5128:$U$5255,AG5208+1)</f>
        <v/>
      </c>
      <c r="AO5208">
        <f>INDEX($V$5128:$V$5255,AH5208+1)</f>
        <v/>
      </c>
      <c r="AP5208">
        <f>INDEX($W$5128:$W$5255,AI5208+1)</f>
        <v/>
      </c>
      <c r="AQ5208">
        <f>IF(Q5208&gt;=AJ5208-0.01,1,0)</f>
        <v/>
      </c>
      <c r="AR5208">
        <f>IF(R5208&gt;=AK5208-0.01,1,0)</f>
        <v/>
      </c>
      <c r="AS5208">
        <f>IF(S5208&gt;=AL5208-0.01,1,0)</f>
        <v/>
      </c>
      <c r="AT5208">
        <f>IF(T5208&gt;=AM5208-0.01,1,0)</f>
        <v/>
      </c>
      <c r="AU5208">
        <f>IF(U5208&gt;=AN5208-0.01,1,0)</f>
        <v/>
      </c>
      <c r="AV5208">
        <f>IF(V5208&gt;=AO5208-0.01,1,0)</f>
        <v/>
      </c>
      <c r="AW5208">
        <f>IF(W5208&gt;=AP5208-0.01,1,0)</f>
        <v/>
      </c>
      <c r="AX5208">
        <f>AQ5208*AR5208*AS5208*AT5208*AU5208*AV5208*AW5208</f>
        <v/>
      </c>
    </row>
    <row r="5209">
      <c r="A5209" t="inlineStr"/>
      <c r="B5209">
        <f>Assumptions!$B$60</f>
        <v/>
      </c>
      <c r="C5209" t="n">
        <v>1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>
        <f>(1-C5209)*Assumptions!$B$41+(1-D5209)*Assumptions!$B$33+(1-E5209)*Assumptions!$B$32+(1-F5209)*Assumptions!$B$31+(1-G5209)*Assumptions!$B$30+(1-H5209)*Assumptions!$B$29+(1-I5209)*Assumptions!$B$28</f>
        <v/>
      </c>
      <c r="K5209">
        <f>C5209*$J$232+D5209*$F$232+E5209*$G$232+F5209*Assumptions!$B$14+G5209*Assumptions!$B$13+H5209*Assumptions!$B$12+I5209*Assumptions!$B$11+$O$232+$S$232+Assumptions!$B$9</f>
        <v/>
      </c>
      <c r="L5209">
        <f>B5209-J5209</f>
        <v/>
      </c>
      <c r="M5209">
        <f>IF(K5209&gt;0,IF(L5209/K5209&gt;=Assumptions!$B$37,1,0),0)</f>
        <v/>
      </c>
      <c r="N5209">
        <f>K5209+M5209*Assumptions!$B$153</f>
        <v/>
      </c>
      <c r="O5209">
        <f>L5209+M5209*Assumptions!$B$153*Assumptions!$B$37</f>
        <v/>
      </c>
      <c r="P5209">
        <f>IF(N5209&gt;0,O5209/N5209,0)</f>
        <v/>
      </c>
      <c r="Q5209">
        <f>IF(C5209=1,P5209*$J$232,Assumptions!$B$41)</f>
        <v/>
      </c>
      <c r="R5209">
        <f>IF(D5209=1,P5209*$F$232,Assumptions!$B$33)</f>
        <v/>
      </c>
      <c r="S5209">
        <f>IF(E5209=1,P5209*$G$232,Assumptions!$B$32)</f>
        <v/>
      </c>
      <c r="T5209">
        <f>IF(F5209=1,P5209*Assumptions!$B$14,Assumptions!$B$31)</f>
        <v/>
      </c>
      <c r="U5209">
        <f>IF(G5209=1,P5209*Assumptions!$B$13,Assumptions!$B$30)</f>
        <v/>
      </c>
      <c r="V5209">
        <f>IF(H5209=1,P5209*Assumptions!$B$12,Assumptions!$B$29)</f>
        <v/>
      </c>
      <c r="W5209">
        <f>IF(I5209=1,P5209*Assumptions!$B$11,Assumptions!$B$28)</f>
        <v/>
      </c>
      <c r="X5209">
        <f>P5209*($O$232+$S$232)</f>
        <v/>
      </c>
      <c r="Y5209">
        <f>P5209*Assumptions!$B$9</f>
        <v/>
      </c>
      <c r="Z5209">
        <f>IF(M5209=1,(P5209-Assumptions!$B$37)*Assumptions!$B$153,0)</f>
        <v/>
      </c>
      <c r="AA5209">
        <f>Q5209+R5209+S5209+T5209+U5209+V5209+W5209+X5209+Y5209+Z5209</f>
        <v/>
      </c>
      <c r="AB5209" t="n">
        <v>81</v>
      </c>
      <c r="AC5209" t="n">
        <v>17</v>
      </c>
      <c r="AD5209" t="n">
        <v>113</v>
      </c>
      <c r="AE5209" t="n">
        <v>65</v>
      </c>
      <c r="AF5209" t="n">
        <v>89</v>
      </c>
      <c r="AG5209" t="n">
        <v>85</v>
      </c>
      <c r="AH5209" t="n">
        <v>83</v>
      </c>
      <c r="AI5209" t="n">
        <v>80</v>
      </c>
      <c r="AJ5209">
        <f>INDEX($Q$5128:$Q$5255,AC5209+1)</f>
        <v/>
      </c>
      <c r="AK5209">
        <f>INDEX($R$5128:$R$5255,AD5209+1)</f>
        <v/>
      </c>
      <c r="AL5209">
        <f>INDEX($S$5128:$S$5255,AE5209+1)</f>
        <v/>
      </c>
      <c r="AM5209">
        <f>INDEX($T$5128:$T$5255,AF5209+1)</f>
        <v/>
      </c>
      <c r="AN5209">
        <f>INDEX($U$5128:$U$5255,AG5209+1)</f>
        <v/>
      </c>
      <c r="AO5209">
        <f>INDEX($V$5128:$V$5255,AH5209+1)</f>
        <v/>
      </c>
      <c r="AP5209">
        <f>INDEX($W$5128:$W$5255,AI5209+1)</f>
        <v/>
      </c>
      <c r="AQ5209">
        <f>IF(Q5209&gt;=AJ5209-0.01,1,0)</f>
        <v/>
      </c>
      <c r="AR5209">
        <f>IF(R5209&gt;=AK5209-0.01,1,0)</f>
        <v/>
      </c>
      <c r="AS5209">
        <f>IF(S5209&gt;=AL5209-0.01,1,0)</f>
        <v/>
      </c>
      <c r="AT5209">
        <f>IF(T5209&gt;=AM5209-0.01,1,0)</f>
        <v/>
      </c>
      <c r="AU5209">
        <f>IF(U5209&gt;=AN5209-0.01,1,0)</f>
        <v/>
      </c>
      <c r="AV5209">
        <f>IF(V5209&gt;=AO5209-0.01,1,0)</f>
        <v/>
      </c>
      <c r="AW5209">
        <f>IF(W5209&gt;=AP5209-0.01,1,0)</f>
        <v/>
      </c>
      <c r="AX5209">
        <f>AQ5209*AR5209*AS5209*AT5209*AU5209*AV5209*AW5209</f>
        <v/>
      </c>
    </row>
    <row r="5210">
      <c r="A5210" t="inlineStr"/>
      <c r="B5210">
        <f>Assumptions!$B$60</f>
        <v/>
      </c>
      <c r="C5210" t="n">
        <v>1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  <c r="I5210" t="n">
        <v>0</v>
      </c>
      <c r="J5210">
        <f>(1-C5210)*Assumptions!$B$41+(1-D5210)*Assumptions!$B$33+(1-E5210)*Assumptions!$B$32+(1-F5210)*Assumptions!$B$31+(1-G5210)*Assumptions!$B$30+(1-H5210)*Assumptions!$B$29+(1-I5210)*Assumptions!$B$28</f>
        <v/>
      </c>
      <c r="K5210">
        <f>C5210*$J$232+D5210*$F$232+E5210*$G$232+F5210*Assumptions!$B$14+G5210*Assumptions!$B$13+H5210*Assumptions!$B$12+I5210*Assumptions!$B$11+$O$232+$S$232+Assumptions!$B$9</f>
        <v/>
      </c>
      <c r="L5210">
        <f>B5210-J5210</f>
        <v/>
      </c>
      <c r="M5210">
        <f>IF(K5210&gt;0,IF(L5210/K5210&gt;=Assumptions!$B$37,1,0),0)</f>
        <v/>
      </c>
      <c r="N5210">
        <f>K5210+M5210*Assumptions!$B$153</f>
        <v/>
      </c>
      <c r="O5210">
        <f>L5210+M5210*Assumptions!$B$153*Assumptions!$B$37</f>
        <v/>
      </c>
      <c r="P5210">
        <f>IF(N5210&gt;0,O5210/N5210,0)</f>
        <v/>
      </c>
      <c r="Q5210">
        <f>IF(C5210=1,P5210*$J$232,Assumptions!$B$41)</f>
        <v/>
      </c>
      <c r="R5210">
        <f>IF(D5210=1,P5210*$F$232,Assumptions!$B$33)</f>
        <v/>
      </c>
      <c r="S5210">
        <f>IF(E5210=1,P5210*$G$232,Assumptions!$B$32)</f>
        <v/>
      </c>
      <c r="T5210">
        <f>IF(F5210=1,P5210*Assumptions!$B$14,Assumptions!$B$31)</f>
        <v/>
      </c>
      <c r="U5210">
        <f>IF(G5210=1,P5210*Assumptions!$B$13,Assumptions!$B$30)</f>
        <v/>
      </c>
      <c r="V5210">
        <f>IF(H5210=1,P5210*Assumptions!$B$12,Assumptions!$B$29)</f>
        <v/>
      </c>
      <c r="W5210">
        <f>IF(I5210=1,P5210*Assumptions!$B$11,Assumptions!$B$28)</f>
        <v/>
      </c>
      <c r="X5210">
        <f>P5210*($O$232+$S$232)</f>
        <v/>
      </c>
      <c r="Y5210">
        <f>P5210*Assumptions!$B$9</f>
        <v/>
      </c>
      <c r="Z5210">
        <f>IF(M5210=1,(P5210-Assumptions!$B$37)*Assumptions!$B$153,0)</f>
        <v/>
      </c>
      <c r="AA5210">
        <f>Q5210+R5210+S5210+T5210+U5210+V5210+W5210+X5210+Y5210+Z5210</f>
        <v/>
      </c>
      <c r="AB5210" t="n">
        <v>82</v>
      </c>
      <c r="AC5210" t="n">
        <v>18</v>
      </c>
      <c r="AD5210" t="n">
        <v>114</v>
      </c>
      <c r="AE5210" t="n">
        <v>66</v>
      </c>
      <c r="AF5210" t="n">
        <v>90</v>
      </c>
      <c r="AG5210" t="n">
        <v>86</v>
      </c>
      <c r="AH5210" t="n">
        <v>80</v>
      </c>
      <c r="AI5210" t="n">
        <v>83</v>
      </c>
      <c r="AJ5210">
        <f>INDEX($Q$5128:$Q$5255,AC5210+1)</f>
        <v/>
      </c>
      <c r="AK5210">
        <f>INDEX($R$5128:$R$5255,AD5210+1)</f>
        <v/>
      </c>
      <c r="AL5210">
        <f>INDEX($S$5128:$S$5255,AE5210+1)</f>
        <v/>
      </c>
      <c r="AM5210">
        <f>INDEX($T$5128:$T$5255,AF5210+1)</f>
        <v/>
      </c>
      <c r="AN5210">
        <f>INDEX($U$5128:$U$5255,AG5210+1)</f>
        <v/>
      </c>
      <c r="AO5210">
        <f>INDEX($V$5128:$V$5255,AH5210+1)</f>
        <v/>
      </c>
      <c r="AP5210">
        <f>INDEX($W$5128:$W$5255,AI5210+1)</f>
        <v/>
      </c>
      <c r="AQ5210">
        <f>IF(Q5210&gt;=AJ5210-0.01,1,0)</f>
        <v/>
      </c>
      <c r="AR5210">
        <f>IF(R5210&gt;=AK5210-0.01,1,0)</f>
        <v/>
      </c>
      <c r="AS5210">
        <f>IF(S5210&gt;=AL5210-0.01,1,0)</f>
        <v/>
      </c>
      <c r="AT5210">
        <f>IF(T5210&gt;=AM5210-0.01,1,0)</f>
        <v/>
      </c>
      <c r="AU5210">
        <f>IF(U5210&gt;=AN5210-0.01,1,0)</f>
        <v/>
      </c>
      <c r="AV5210">
        <f>IF(V5210&gt;=AO5210-0.01,1,0)</f>
        <v/>
      </c>
      <c r="AW5210">
        <f>IF(W5210&gt;=AP5210-0.01,1,0)</f>
        <v/>
      </c>
      <c r="AX5210">
        <f>AQ5210*AR5210*AS5210*AT5210*AU5210*AV5210*AW5210</f>
        <v/>
      </c>
    </row>
    <row r="5211">
      <c r="A5211" t="inlineStr"/>
      <c r="B5211">
        <f>Assumptions!$B$60</f>
        <v/>
      </c>
      <c r="C5211" t="n">
        <v>1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  <c r="I5211" t="n">
        <v>1</v>
      </c>
      <c r="J5211">
        <f>(1-C5211)*Assumptions!$B$41+(1-D5211)*Assumptions!$B$33+(1-E5211)*Assumptions!$B$32+(1-F5211)*Assumptions!$B$31+(1-G5211)*Assumptions!$B$30+(1-H5211)*Assumptions!$B$29+(1-I5211)*Assumptions!$B$28</f>
        <v/>
      </c>
      <c r="K5211">
        <f>C5211*$J$232+D5211*$F$232+E5211*$G$232+F5211*Assumptions!$B$14+G5211*Assumptions!$B$13+H5211*Assumptions!$B$12+I5211*Assumptions!$B$11+$O$232+$S$232+Assumptions!$B$9</f>
        <v/>
      </c>
      <c r="L5211">
        <f>B5211-J5211</f>
        <v/>
      </c>
      <c r="M5211">
        <f>IF(K5211&gt;0,IF(L5211/K5211&gt;=Assumptions!$B$37,1,0),0)</f>
        <v/>
      </c>
      <c r="N5211">
        <f>K5211+M5211*Assumptions!$B$153</f>
        <v/>
      </c>
      <c r="O5211">
        <f>L5211+M5211*Assumptions!$B$153*Assumptions!$B$37</f>
        <v/>
      </c>
      <c r="P5211">
        <f>IF(N5211&gt;0,O5211/N5211,0)</f>
        <v/>
      </c>
      <c r="Q5211">
        <f>IF(C5211=1,P5211*$J$232,Assumptions!$B$41)</f>
        <v/>
      </c>
      <c r="R5211">
        <f>IF(D5211=1,P5211*$F$232,Assumptions!$B$33)</f>
        <v/>
      </c>
      <c r="S5211">
        <f>IF(E5211=1,P5211*$G$232,Assumptions!$B$32)</f>
        <v/>
      </c>
      <c r="T5211">
        <f>IF(F5211=1,P5211*Assumptions!$B$14,Assumptions!$B$31)</f>
        <v/>
      </c>
      <c r="U5211">
        <f>IF(G5211=1,P5211*Assumptions!$B$13,Assumptions!$B$30)</f>
        <v/>
      </c>
      <c r="V5211">
        <f>IF(H5211=1,P5211*Assumptions!$B$12,Assumptions!$B$29)</f>
        <v/>
      </c>
      <c r="W5211">
        <f>IF(I5211=1,P5211*Assumptions!$B$11,Assumptions!$B$28)</f>
        <v/>
      </c>
      <c r="X5211">
        <f>P5211*($O$232+$S$232)</f>
        <v/>
      </c>
      <c r="Y5211">
        <f>P5211*Assumptions!$B$9</f>
        <v/>
      </c>
      <c r="Z5211">
        <f>IF(M5211=1,(P5211-Assumptions!$B$37)*Assumptions!$B$153,0)</f>
        <v/>
      </c>
      <c r="AA5211">
        <f>Q5211+R5211+S5211+T5211+U5211+V5211+W5211+X5211+Y5211+Z5211</f>
        <v/>
      </c>
      <c r="AB5211" t="n">
        <v>83</v>
      </c>
      <c r="AC5211" t="n">
        <v>19</v>
      </c>
      <c r="AD5211" t="n">
        <v>115</v>
      </c>
      <c r="AE5211" t="n">
        <v>67</v>
      </c>
      <c r="AF5211" t="n">
        <v>91</v>
      </c>
      <c r="AG5211" t="n">
        <v>87</v>
      </c>
      <c r="AH5211" t="n">
        <v>81</v>
      </c>
      <c r="AI5211" t="n">
        <v>82</v>
      </c>
      <c r="AJ5211">
        <f>INDEX($Q$5128:$Q$5255,AC5211+1)</f>
        <v/>
      </c>
      <c r="AK5211">
        <f>INDEX($R$5128:$R$5255,AD5211+1)</f>
        <v/>
      </c>
      <c r="AL5211">
        <f>INDEX($S$5128:$S$5255,AE5211+1)</f>
        <v/>
      </c>
      <c r="AM5211">
        <f>INDEX($T$5128:$T$5255,AF5211+1)</f>
        <v/>
      </c>
      <c r="AN5211">
        <f>INDEX($U$5128:$U$5255,AG5211+1)</f>
        <v/>
      </c>
      <c r="AO5211">
        <f>INDEX($V$5128:$V$5255,AH5211+1)</f>
        <v/>
      </c>
      <c r="AP5211">
        <f>INDEX($W$5128:$W$5255,AI5211+1)</f>
        <v/>
      </c>
      <c r="AQ5211">
        <f>IF(Q5211&gt;=AJ5211-0.01,1,0)</f>
        <v/>
      </c>
      <c r="AR5211">
        <f>IF(R5211&gt;=AK5211-0.01,1,0)</f>
        <v/>
      </c>
      <c r="AS5211">
        <f>IF(S5211&gt;=AL5211-0.01,1,0)</f>
        <v/>
      </c>
      <c r="AT5211">
        <f>IF(T5211&gt;=AM5211-0.01,1,0)</f>
        <v/>
      </c>
      <c r="AU5211">
        <f>IF(U5211&gt;=AN5211-0.01,1,0)</f>
        <v/>
      </c>
      <c r="AV5211">
        <f>IF(V5211&gt;=AO5211-0.01,1,0)</f>
        <v/>
      </c>
      <c r="AW5211">
        <f>IF(W5211&gt;=AP5211-0.01,1,0)</f>
        <v/>
      </c>
      <c r="AX5211">
        <f>AQ5211*AR5211*AS5211*AT5211*AU5211*AV5211*AW5211</f>
        <v/>
      </c>
    </row>
    <row r="5212">
      <c r="A5212" t="inlineStr"/>
      <c r="B5212">
        <f>Assumptions!$B$60</f>
        <v/>
      </c>
      <c r="C5212" t="n">
        <v>1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>
        <f>(1-C5212)*Assumptions!$B$41+(1-D5212)*Assumptions!$B$33+(1-E5212)*Assumptions!$B$32+(1-F5212)*Assumptions!$B$31+(1-G5212)*Assumptions!$B$30+(1-H5212)*Assumptions!$B$29+(1-I5212)*Assumptions!$B$28</f>
        <v/>
      </c>
      <c r="K5212">
        <f>C5212*$J$232+D5212*$F$232+E5212*$G$232+F5212*Assumptions!$B$14+G5212*Assumptions!$B$13+H5212*Assumptions!$B$12+I5212*Assumptions!$B$11+$O$232+$S$232+Assumptions!$B$9</f>
        <v/>
      </c>
      <c r="L5212">
        <f>B5212-J5212</f>
        <v/>
      </c>
      <c r="M5212">
        <f>IF(K5212&gt;0,IF(L5212/K5212&gt;=Assumptions!$B$37,1,0),0)</f>
        <v/>
      </c>
      <c r="N5212">
        <f>K5212+M5212*Assumptions!$B$153</f>
        <v/>
      </c>
      <c r="O5212">
        <f>L5212+M5212*Assumptions!$B$153*Assumptions!$B$37</f>
        <v/>
      </c>
      <c r="P5212">
        <f>IF(N5212&gt;0,O5212/N5212,0)</f>
        <v/>
      </c>
      <c r="Q5212">
        <f>IF(C5212=1,P5212*$J$232,Assumptions!$B$41)</f>
        <v/>
      </c>
      <c r="R5212">
        <f>IF(D5212=1,P5212*$F$232,Assumptions!$B$33)</f>
        <v/>
      </c>
      <c r="S5212">
        <f>IF(E5212=1,P5212*$G$232,Assumptions!$B$32)</f>
        <v/>
      </c>
      <c r="T5212">
        <f>IF(F5212=1,P5212*Assumptions!$B$14,Assumptions!$B$31)</f>
        <v/>
      </c>
      <c r="U5212">
        <f>IF(G5212=1,P5212*Assumptions!$B$13,Assumptions!$B$30)</f>
        <v/>
      </c>
      <c r="V5212">
        <f>IF(H5212=1,P5212*Assumptions!$B$12,Assumptions!$B$29)</f>
        <v/>
      </c>
      <c r="W5212">
        <f>IF(I5212=1,P5212*Assumptions!$B$11,Assumptions!$B$28)</f>
        <v/>
      </c>
      <c r="X5212">
        <f>P5212*($O$232+$S$232)</f>
        <v/>
      </c>
      <c r="Y5212">
        <f>P5212*Assumptions!$B$9</f>
        <v/>
      </c>
      <c r="Z5212">
        <f>IF(M5212=1,(P5212-Assumptions!$B$37)*Assumptions!$B$153,0)</f>
        <v/>
      </c>
      <c r="AA5212">
        <f>Q5212+R5212+S5212+T5212+U5212+V5212+W5212+X5212+Y5212+Z5212</f>
        <v/>
      </c>
      <c r="AB5212" t="n">
        <v>84</v>
      </c>
      <c r="AC5212" t="n">
        <v>20</v>
      </c>
      <c r="AD5212" t="n">
        <v>116</v>
      </c>
      <c r="AE5212" t="n">
        <v>68</v>
      </c>
      <c r="AF5212" t="n">
        <v>92</v>
      </c>
      <c r="AG5212" t="n">
        <v>80</v>
      </c>
      <c r="AH5212" t="n">
        <v>86</v>
      </c>
      <c r="AI5212" t="n">
        <v>85</v>
      </c>
      <c r="AJ5212">
        <f>INDEX($Q$5128:$Q$5255,AC5212+1)</f>
        <v/>
      </c>
      <c r="AK5212">
        <f>INDEX($R$5128:$R$5255,AD5212+1)</f>
        <v/>
      </c>
      <c r="AL5212">
        <f>INDEX($S$5128:$S$5255,AE5212+1)</f>
        <v/>
      </c>
      <c r="AM5212">
        <f>INDEX($T$5128:$T$5255,AF5212+1)</f>
        <v/>
      </c>
      <c r="AN5212">
        <f>INDEX($U$5128:$U$5255,AG5212+1)</f>
        <v/>
      </c>
      <c r="AO5212">
        <f>INDEX($V$5128:$V$5255,AH5212+1)</f>
        <v/>
      </c>
      <c r="AP5212">
        <f>INDEX($W$5128:$W$5255,AI5212+1)</f>
        <v/>
      </c>
      <c r="AQ5212">
        <f>IF(Q5212&gt;=AJ5212-0.01,1,0)</f>
        <v/>
      </c>
      <c r="AR5212">
        <f>IF(R5212&gt;=AK5212-0.01,1,0)</f>
        <v/>
      </c>
      <c r="AS5212">
        <f>IF(S5212&gt;=AL5212-0.01,1,0)</f>
        <v/>
      </c>
      <c r="AT5212">
        <f>IF(T5212&gt;=AM5212-0.01,1,0)</f>
        <v/>
      </c>
      <c r="AU5212">
        <f>IF(U5212&gt;=AN5212-0.01,1,0)</f>
        <v/>
      </c>
      <c r="AV5212">
        <f>IF(V5212&gt;=AO5212-0.01,1,0)</f>
        <v/>
      </c>
      <c r="AW5212">
        <f>IF(W5212&gt;=AP5212-0.01,1,0)</f>
        <v/>
      </c>
      <c r="AX5212">
        <f>AQ5212*AR5212*AS5212*AT5212*AU5212*AV5212*AW5212</f>
        <v/>
      </c>
    </row>
    <row r="5213">
      <c r="A5213" t="inlineStr"/>
      <c r="B5213">
        <f>Assumptions!$B$60</f>
        <v/>
      </c>
      <c r="C5213" t="n">
        <v>1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1</v>
      </c>
      <c r="J5213">
        <f>(1-C5213)*Assumptions!$B$41+(1-D5213)*Assumptions!$B$33+(1-E5213)*Assumptions!$B$32+(1-F5213)*Assumptions!$B$31+(1-G5213)*Assumptions!$B$30+(1-H5213)*Assumptions!$B$29+(1-I5213)*Assumptions!$B$28</f>
        <v/>
      </c>
      <c r="K5213">
        <f>C5213*$J$232+D5213*$F$232+E5213*$G$232+F5213*Assumptions!$B$14+G5213*Assumptions!$B$13+H5213*Assumptions!$B$12+I5213*Assumptions!$B$11+$O$232+$S$232+Assumptions!$B$9</f>
        <v/>
      </c>
      <c r="L5213">
        <f>B5213-J5213</f>
        <v/>
      </c>
      <c r="M5213">
        <f>IF(K5213&gt;0,IF(L5213/K5213&gt;=Assumptions!$B$37,1,0),0)</f>
        <v/>
      </c>
      <c r="N5213">
        <f>K5213+M5213*Assumptions!$B$153</f>
        <v/>
      </c>
      <c r="O5213">
        <f>L5213+M5213*Assumptions!$B$153*Assumptions!$B$37</f>
        <v/>
      </c>
      <c r="P5213">
        <f>IF(N5213&gt;0,O5213/N5213,0)</f>
        <v/>
      </c>
      <c r="Q5213">
        <f>IF(C5213=1,P5213*$J$232,Assumptions!$B$41)</f>
        <v/>
      </c>
      <c r="R5213">
        <f>IF(D5213=1,P5213*$F$232,Assumptions!$B$33)</f>
        <v/>
      </c>
      <c r="S5213">
        <f>IF(E5213=1,P5213*$G$232,Assumptions!$B$32)</f>
        <v/>
      </c>
      <c r="T5213">
        <f>IF(F5213=1,P5213*Assumptions!$B$14,Assumptions!$B$31)</f>
        <v/>
      </c>
      <c r="U5213">
        <f>IF(G5213=1,P5213*Assumptions!$B$13,Assumptions!$B$30)</f>
        <v/>
      </c>
      <c r="V5213">
        <f>IF(H5213=1,P5213*Assumptions!$B$12,Assumptions!$B$29)</f>
        <v/>
      </c>
      <c r="W5213">
        <f>IF(I5213=1,P5213*Assumptions!$B$11,Assumptions!$B$28)</f>
        <v/>
      </c>
      <c r="X5213">
        <f>P5213*($O$232+$S$232)</f>
        <v/>
      </c>
      <c r="Y5213">
        <f>P5213*Assumptions!$B$9</f>
        <v/>
      </c>
      <c r="Z5213">
        <f>IF(M5213=1,(P5213-Assumptions!$B$37)*Assumptions!$B$153,0)</f>
        <v/>
      </c>
      <c r="AA5213">
        <f>Q5213+R5213+S5213+T5213+U5213+V5213+W5213+X5213+Y5213+Z5213</f>
        <v/>
      </c>
      <c r="AB5213" t="n">
        <v>85</v>
      </c>
      <c r="AC5213" t="n">
        <v>21</v>
      </c>
      <c r="AD5213" t="n">
        <v>117</v>
      </c>
      <c r="AE5213" t="n">
        <v>69</v>
      </c>
      <c r="AF5213" t="n">
        <v>93</v>
      </c>
      <c r="AG5213" t="n">
        <v>81</v>
      </c>
      <c r="AH5213" t="n">
        <v>87</v>
      </c>
      <c r="AI5213" t="n">
        <v>84</v>
      </c>
      <c r="AJ5213">
        <f>INDEX($Q$5128:$Q$5255,AC5213+1)</f>
        <v/>
      </c>
      <c r="AK5213">
        <f>INDEX($R$5128:$R$5255,AD5213+1)</f>
        <v/>
      </c>
      <c r="AL5213">
        <f>INDEX($S$5128:$S$5255,AE5213+1)</f>
        <v/>
      </c>
      <c r="AM5213">
        <f>INDEX($T$5128:$T$5255,AF5213+1)</f>
        <v/>
      </c>
      <c r="AN5213">
        <f>INDEX($U$5128:$U$5255,AG5213+1)</f>
        <v/>
      </c>
      <c r="AO5213">
        <f>INDEX($V$5128:$V$5255,AH5213+1)</f>
        <v/>
      </c>
      <c r="AP5213">
        <f>INDEX($W$5128:$W$5255,AI5213+1)</f>
        <v/>
      </c>
      <c r="AQ5213">
        <f>IF(Q5213&gt;=AJ5213-0.01,1,0)</f>
        <v/>
      </c>
      <c r="AR5213">
        <f>IF(R5213&gt;=AK5213-0.01,1,0)</f>
        <v/>
      </c>
      <c r="AS5213">
        <f>IF(S5213&gt;=AL5213-0.01,1,0)</f>
        <v/>
      </c>
      <c r="AT5213">
        <f>IF(T5213&gt;=AM5213-0.01,1,0)</f>
        <v/>
      </c>
      <c r="AU5213">
        <f>IF(U5213&gt;=AN5213-0.01,1,0)</f>
        <v/>
      </c>
      <c r="AV5213">
        <f>IF(V5213&gt;=AO5213-0.01,1,0)</f>
        <v/>
      </c>
      <c r="AW5213">
        <f>IF(W5213&gt;=AP5213-0.01,1,0)</f>
        <v/>
      </c>
      <c r="AX5213">
        <f>AQ5213*AR5213*AS5213*AT5213*AU5213*AV5213*AW5213</f>
        <v/>
      </c>
    </row>
    <row r="5214">
      <c r="A5214" t="inlineStr"/>
      <c r="B5214">
        <f>Assumptions!$B$60</f>
        <v/>
      </c>
      <c r="C5214" t="n">
        <v>1</v>
      </c>
      <c r="D5214" t="n">
        <v>0</v>
      </c>
      <c r="E5214" t="n">
        <v>1</v>
      </c>
      <c r="F5214" t="n">
        <v>0</v>
      </c>
      <c r="G5214" t="n">
        <v>1</v>
      </c>
      <c r="H5214" t="n">
        <v>1</v>
      </c>
      <c r="I5214" t="n">
        <v>0</v>
      </c>
      <c r="J5214">
        <f>(1-C5214)*Assumptions!$B$41+(1-D5214)*Assumptions!$B$33+(1-E5214)*Assumptions!$B$32+(1-F5214)*Assumptions!$B$31+(1-G5214)*Assumptions!$B$30+(1-H5214)*Assumptions!$B$29+(1-I5214)*Assumptions!$B$28</f>
        <v/>
      </c>
      <c r="K5214">
        <f>C5214*$J$232+D5214*$F$232+E5214*$G$232+F5214*Assumptions!$B$14+G5214*Assumptions!$B$13+H5214*Assumptions!$B$12+I5214*Assumptions!$B$11+$O$232+$S$232+Assumptions!$B$9</f>
        <v/>
      </c>
      <c r="L5214">
        <f>B5214-J5214</f>
        <v/>
      </c>
      <c r="M5214">
        <f>IF(K5214&gt;0,IF(L5214/K5214&gt;=Assumptions!$B$37,1,0),0)</f>
        <v/>
      </c>
      <c r="N5214">
        <f>K5214+M5214*Assumptions!$B$153</f>
        <v/>
      </c>
      <c r="O5214">
        <f>L5214+M5214*Assumptions!$B$153*Assumptions!$B$37</f>
        <v/>
      </c>
      <c r="P5214">
        <f>IF(N5214&gt;0,O5214/N5214,0)</f>
        <v/>
      </c>
      <c r="Q5214">
        <f>IF(C5214=1,P5214*$J$232,Assumptions!$B$41)</f>
        <v/>
      </c>
      <c r="R5214">
        <f>IF(D5214=1,P5214*$F$232,Assumptions!$B$33)</f>
        <v/>
      </c>
      <c r="S5214">
        <f>IF(E5214=1,P5214*$G$232,Assumptions!$B$32)</f>
        <v/>
      </c>
      <c r="T5214">
        <f>IF(F5214=1,P5214*Assumptions!$B$14,Assumptions!$B$31)</f>
        <v/>
      </c>
      <c r="U5214">
        <f>IF(G5214=1,P5214*Assumptions!$B$13,Assumptions!$B$30)</f>
        <v/>
      </c>
      <c r="V5214">
        <f>IF(H5214=1,P5214*Assumptions!$B$12,Assumptions!$B$29)</f>
        <v/>
      </c>
      <c r="W5214">
        <f>IF(I5214=1,P5214*Assumptions!$B$11,Assumptions!$B$28)</f>
        <v/>
      </c>
      <c r="X5214">
        <f>P5214*($O$232+$S$232)</f>
        <v/>
      </c>
      <c r="Y5214">
        <f>P5214*Assumptions!$B$9</f>
        <v/>
      </c>
      <c r="Z5214">
        <f>IF(M5214=1,(P5214-Assumptions!$B$37)*Assumptions!$B$153,0)</f>
        <v/>
      </c>
      <c r="AA5214">
        <f>Q5214+R5214+S5214+T5214+U5214+V5214+W5214+X5214+Y5214+Z5214</f>
        <v/>
      </c>
      <c r="AB5214" t="n">
        <v>86</v>
      </c>
      <c r="AC5214" t="n">
        <v>22</v>
      </c>
      <c r="AD5214" t="n">
        <v>118</v>
      </c>
      <c r="AE5214" t="n">
        <v>70</v>
      </c>
      <c r="AF5214" t="n">
        <v>94</v>
      </c>
      <c r="AG5214" t="n">
        <v>82</v>
      </c>
      <c r="AH5214" t="n">
        <v>84</v>
      </c>
      <c r="AI5214" t="n">
        <v>87</v>
      </c>
      <c r="AJ5214">
        <f>INDEX($Q$5128:$Q$5255,AC5214+1)</f>
        <v/>
      </c>
      <c r="AK5214">
        <f>INDEX($R$5128:$R$5255,AD5214+1)</f>
        <v/>
      </c>
      <c r="AL5214">
        <f>INDEX($S$5128:$S$5255,AE5214+1)</f>
        <v/>
      </c>
      <c r="AM5214">
        <f>INDEX($T$5128:$T$5255,AF5214+1)</f>
        <v/>
      </c>
      <c r="AN5214">
        <f>INDEX($U$5128:$U$5255,AG5214+1)</f>
        <v/>
      </c>
      <c r="AO5214">
        <f>INDEX($V$5128:$V$5255,AH5214+1)</f>
        <v/>
      </c>
      <c r="AP5214">
        <f>INDEX($W$5128:$W$5255,AI5214+1)</f>
        <v/>
      </c>
      <c r="AQ5214">
        <f>IF(Q5214&gt;=AJ5214-0.01,1,0)</f>
        <v/>
      </c>
      <c r="AR5214">
        <f>IF(R5214&gt;=AK5214-0.01,1,0)</f>
        <v/>
      </c>
      <c r="AS5214">
        <f>IF(S5214&gt;=AL5214-0.01,1,0)</f>
        <v/>
      </c>
      <c r="AT5214">
        <f>IF(T5214&gt;=AM5214-0.01,1,0)</f>
        <v/>
      </c>
      <c r="AU5214">
        <f>IF(U5214&gt;=AN5214-0.01,1,0)</f>
        <v/>
      </c>
      <c r="AV5214">
        <f>IF(V5214&gt;=AO5214-0.01,1,0)</f>
        <v/>
      </c>
      <c r="AW5214">
        <f>IF(W5214&gt;=AP5214-0.01,1,0)</f>
        <v/>
      </c>
      <c r="AX5214">
        <f>AQ5214*AR5214*AS5214*AT5214*AU5214*AV5214*AW5214</f>
        <v/>
      </c>
    </row>
    <row r="5215">
      <c r="A5215" t="inlineStr"/>
      <c r="B5215">
        <f>Assumptions!$B$60</f>
        <v/>
      </c>
      <c r="C5215" t="n">
        <v>1</v>
      </c>
      <c r="D5215" t="n">
        <v>0</v>
      </c>
      <c r="E5215" t="n">
        <v>1</v>
      </c>
      <c r="F5215" t="n">
        <v>0</v>
      </c>
      <c r="G5215" t="n">
        <v>1</v>
      </c>
      <c r="H5215" t="n">
        <v>1</v>
      </c>
      <c r="I5215" t="n">
        <v>1</v>
      </c>
      <c r="J5215">
        <f>(1-C5215)*Assumptions!$B$41+(1-D5215)*Assumptions!$B$33+(1-E5215)*Assumptions!$B$32+(1-F5215)*Assumptions!$B$31+(1-G5215)*Assumptions!$B$30+(1-H5215)*Assumptions!$B$29+(1-I5215)*Assumptions!$B$28</f>
        <v/>
      </c>
      <c r="K5215">
        <f>C5215*$J$232+D5215*$F$232+E5215*$G$232+F5215*Assumptions!$B$14+G5215*Assumptions!$B$13+H5215*Assumptions!$B$12+I5215*Assumptions!$B$11+$O$232+$S$232+Assumptions!$B$9</f>
        <v/>
      </c>
      <c r="L5215">
        <f>B5215-J5215</f>
        <v/>
      </c>
      <c r="M5215">
        <f>IF(K5215&gt;0,IF(L5215/K5215&gt;=Assumptions!$B$37,1,0),0)</f>
        <v/>
      </c>
      <c r="N5215">
        <f>K5215+M5215*Assumptions!$B$153</f>
        <v/>
      </c>
      <c r="O5215">
        <f>L5215+M5215*Assumptions!$B$153*Assumptions!$B$37</f>
        <v/>
      </c>
      <c r="P5215">
        <f>IF(N5215&gt;0,O5215/N5215,0)</f>
        <v/>
      </c>
      <c r="Q5215">
        <f>IF(C5215=1,P5215*$J$232,Assumptions!$B$41)</f>
        <v/>
      </c>
      <c r="R5215">
        <f>IF(D5215=1,P5215*$F$232,Assumptions!$B$33)</f>
        <v/>
      </c>
      <c r="S5215">
        <f>IF(E5215=1,P5215*$G$232,Assumptions!$B$32)</f>
        <v/>
      </c>
      <c r="T5215">
        <f>IF(F5215=1,P5215*Assumptions!$B$14,Assumptions!$B$31)</f>
        <v/>
      </c>
      <c r="U5215">
        <f>IF(G5215=1,P5215*Assumptions!$B$13,Assumptions!$B$30)</f>
        <v/>
      </c>
      <c r="V5215">
        <f>IF(H5215=1,P5215*Assumptions!$B$12,Assumptions!$B$29)</f>
        <v/>
      </c>
      <c r="W5215">
        <f>IF(I5215=1,P5215*Assumptions!$B$11,Assumptions!$B$28)</f>
        <v/>
      </c>
      <c r="X5215">
        <f>P5215*($O$232+$S$232)</f>
        <v/>
      </c>
      <c r="Y5215">
        <f>P5215*Assumptions!$B$9</f>
        <v/>
      </c>
      <c r="Z5215">
        <f>IF(M5215=1,(P5215-Assumptions!$B$37)*Assumptions!$B$153,0)</f>
        <v/>
      </c>
      <c r="AA5215">
        <f>Q5215+R5215+S5215+T5215+U5215+V5215+W5215+X5215+Y5215+Z5215</f>
        <v/>
      </c>
      <c r="AB5215" t="n">
        <v>87</v>
      </c>
      <c r="AC5215" t="n">
        <v>23</v>
      </c>
      <c r="AD5215" t="n">
        <v>119</v>
      </c>
      <c r="AE5215" t="n">
        <v>71</v>
      </c>
      <c r="AF5215" t="n">
        <v>95</v>
      </c>
      <c r="AG5215" t="n">
        <v>83</v>
      </c>
      <c r="AH5215" t="n">
        <v>85</v>
      </c>
      <c r="AI5215" t="n">
        <v>86</v>
      </c>
      <c r="AJ5215">
        <f>INDEX($Q$5128:$Q$5255,AC5215+1)</f>
        <v/>
      </c>
      <c r="AK5215">
        <f>INDEX($R$5128:$R$5255,AD5215+1)</f>
        <v/>
      </c>
      <c r="AL5215">
        <f>INDEX($S$5128:$S$5255,AE5215+1)</f>
        <v/>
      </c>
      <c r="AM5215">
        <f>INDEX($T$5128:$T$5255,AF5215+1)</f>
        <v/>
      </c>
      <c r="AN5215">
        <f>INDEX($U$5128:$U$5255,AG5215+1)</f>
        <v/>
      </c>
      <c r="AO5215">
        <f>INDEX($V$5128:$V$5255,AH5215+1)</f>
        <v/>
      </c>
      <c r="AP5215">
        <f>INDEX($W$5128:$W$5255,AI5215+1)</f>
        <v/>
      </c>
      <c r="AQ5215">
        <f>IF(Q5215&gt;=AJ5215-0.01,1,0)</f>
        <v/>
      </c>
      <c r="AR5215">
        <f>IF(R5215&gt;=AK5215-0.01,1,0)</f>
        <v/>
      </c>
      <c r="AS5215">
        <f>IF(S5215&gt;=AL5215-0.01,1,0)</f>
        <v/>
      </c>
      <c r="AT5215">
        <f>IF(T5215&gt;=AM5215-0.01,1,0)</f>
        <v/>
      </c>
      <c r="AU5215">
        <f>IF(U5215&gt;=AN5215-0.01,1,0)</f>
        <v/>
      </c>
      <c r="AV5215">
        <f>IF(V5215&gt;=AO5215-0.01,1,0)</f>
        <v/>
      </c>
      <c r="AW5215">
        <f>IF(W5215&gt;=AP5215-0.01,1,0)</f>
        <v/>
      </c>
      <c r="AX5215">
        <f>AQ5215*AR5215*AS5215*AT5215*AU5215*AV5215*AW5215</f>
        <v/>
      </c>
    </row>
    <row r="5216">
      <c r="A5216" t="inlineStr"/>
      <c r="B5216">
        <f>Assumptions!$B$60</f>
        <v/>
      </c>
      <c r="C5216" t="n">
        <v>1</v>
      </c>
      <c r="D5216" t="n">
        <v>0</v>
      </c>
      <c r="E5216" t="n">
        <v>1</v>
      </c>
      <c r="F5216" t="n">
        <v>1</v>
      </c>
      <c r="G5216" t="n">
        <v>0</v>
      </c>
      <c r="H5216" t="n">
        <v>0</v>
      </c>
      <c r="I5216" t="n">
        <v>0</v>
      </c>
      <c r="J5216">
        <f>(1-C5216)*Assumptions!$B$41+(1-D5216)*Assumptions!$B$33+(1-E5216)*Assumptions!$B$32+(1-F5216)*Assumptions!$B$31+(1-G5216)*Assumptions!$B$30+(1-H5216)*Assumptions!$B$29+(1-I5216)*Assumptions!$B$28</f>
        <v/>
      </c>
      <c r="K5216">
        <f>C5216*$J$232+D5216*$F$232+E5216*$G$232+F5216*Assumptions!$B$14+G5216*Assumptions!$B$13+H5216*Assumptions!$B$12+I5216*Assumptions!$B$11+$O$232+$S$232+Assumptions!$B$9</f>
        <v/>
      </c>
      <c r="L5216">
        <f>B5216-J5216</f>
        <v/>
      </c>
      <c r="M5216">
        <f>IF(K5216&gt;0,IF(L5216/K5216&gt;=Assumptions!$B$37,1,0),0)</f>
        <v/>
      </c>
      <c r="N5216">
        <f>K5216+M5216*Assumptions!$B$153</f>
        <v/>
      </c>
      <c r="O5216">
        <f>L5216+M5216*Assumptions!$B$153*Assumptions!$B$37</f>
        <v/>
      </c>
      <c r="P5216">
        <f>IF(N5216&gt;0,O5216/N5216,0)</f>
        <v/>
      </c>
      <c r="Q5216">
        <f>IF(C5216=1,P5216*$J$232,Assumptions!$B$41)</f>
        <v/>
      </c>
      <c r="R5216">
        <f>IF(D5216=1,P5216*$F$232,Assumptions!$B$33)</f>
        <v/>
      </c>
      <c r="S5216">
        <f>IF(E5216=1,P5216*$G$232,Assumptions!$B$32)</f>
        <v/>
      </c>
      <c r="T5216">
        <f>IF(F5216=1,P5216*Assumptions!$B$14,Assumptions!$B$31)</f>
        <v/>
      </c>
      <c r="U5216">
        <f>IF(G5216=1,P5216*Assumptions!$B$13,Assumptions!$B$30)</f>
        <v/>
      </c>
      <c r="V5216">
        <f>IF(H5216=1,P5216*Assumptions!$B$12,Assumptions!$B$29)</f>
        <v/>
      </c>
      <c r="W5216">
        <f>IF(I5216=1,P5216*Assumptions!$B$11,Assumptions!$B$28)</f>
        <v/>
      </c>
      <c r="X5216">
        <f>P5216*($O$232+$S$232)</f>
        <v/>
      </c>
      <c r="Y5216">
        <f>P5216*Assumptions!$B$9</f>
        <v/>
      </c>
      <c r="Z5216">
        <f>IF(M5216=1,(P5216-Assumptions!$B$37)*Assumptions!$B$153,0)</f>
        <v/>
      </c>
      <c r="AA5216">
        <f>Q5216+R5216+S5216+T5216+U5216+V5216+W5216+X5216+Y5216+Z5216</f>
        <v/>
      </c>
      <c r="AB5216" t="n">
        <v>88</v>
      </c>
      <c r="AC5216" t="n">
        <v>24</v>
      </c>
      <c r="AD5216" t="n">
        <v>120</v>
      </c>
      <c r="AE5216" t="n">
        <v>72</v>
      </c>
      <c r="AF5216" t="n">
        <v>80</v>
      </c>
      <c r="AG5216" t="n">
        <v>92</v>
      </c>
      <c r="AH5216" t="n">
        <v>90</v>
      </c>
      <c r="AI5216" t="n">
        <v>89</v>
      </c>
      <c r="AJ5216">
        <f>INDEX($Q$5128:$Q$5255,AC5216+1)</f>
        <v/>
      </c>
      <c r="AK5216">
        <f>INDEX($R$5128:$R$5255,AD5216+1)</f>
        <v/>
      </c>
      <c r="AL5216">
        <f>INDEX($S$5128:$S$5255,AE5216+1)</f>
        <v/>
      </c>
      <c r="AM5216">
        <f>INDEX($T$5128:$T$5255,AF5216+1)</f>
        <v/>
      </c>
      <c r="AN5216">
        <f>INDEX($U$5128:$U$5255,AG5216+1)</f>
        <v/>
      </c>
      <c r="AO5216">
        <f>INDEX($V$5128:$V$5255,AH5216+1)</f>
        <v/>
      </c>
      <c r="AP5216">
        <f>INDEX($W$5128:$W$5255,AI5216+1)</f>
        <v/>
      </c>
      <c r="AQ5216">
        <f>IF(Q5216&gt;=AJ5216-0.01,1,0)</f>
        <v/>
      </c>
      <c r="AR5216">
        <f>IF(R5216&gt;=AK5216-0.01,1,0)</f>
        <v/>
      </c>
      <c r="AS5216">
        <f>IF(S5216&gt;=AL5216-0.01,1,0)</f>
        <v/>
      </c>
      <c r="AT5216">
        <f>IF(T5216&gt;=AM5216-0.01,1,0)</f>
        <v/>
      </c>
      <c r="AU5216">
        <f>IF(U5216&gt;=AN5216-0.01,1,0)</f>
        <v/>
      </c>
      <c r="AV5216">
        <f>IF(V5216&gt;=AO5216-0.01,1,0)</f>
        <v/>
      </c>
      <c r="AW5216">
        <f>IF(W5216&gt;=AP5216-0.01,1,0)</f>
        <v/>
      </c>
      <c r="AX5216">
        <f>AQ5216*AR5216*AS5216*AT5216*AU5216*AV5216*AW5216</f>
        <v/>
      </c>
    </row>
    <row r="5217">
      <c r="A5217" t="inlineStr"/>
      <c r="B5217">
        <f>Assumptions!$B$60</f>
        <v/>
      </c>
      <c r="C5217" t="n">
        <v>1</v>
      </c>
      <c r="D5217" t="n">
        <v>0</v>
      </c>
      <c r="E5217" t="n">
        <v>1</v>
      </c>
      <c r="F5217" t="n">
        <v>1</v>
      </c>
      <c r="G5217" t="n">
        <v>0</v>
      </c>
      <c r="H5217" t="n">
        <v>0</v>
      </c>
      <c r="I5217" t="n">
        <v>1</v>
      </c>
      <c r="J5217">
        <f>(1-C5217)*Assumptions!$B$41+(1-D5217)*Assumptions!$B$33+(1-E5217)*Assumptions!$B$32+(1-F5217)*Assumptions!$B$31+(1-G5217)*Assumptions!$B$30+(1-H5217)*Assumptions!$B$29+(1-I5217)*Assumptions!$B$28</f>
        <v/>
      </c>
      <c r="K5217">
        <f>C5217*$J$232+D5217*$F$232+E5217*$G$232+F5217*Assumptions!$B$14+G5217*Assumptions!$B$13+H5217*Assumptions!$B$12+I5217*Assumptions!$B$11+$O$232+$S$232+Assumptions!$B$9</f>
        <v/>
      </c>
      <c r="L5217">
        <f>B5217-J5217</f>
        <v/>
      </c>
      <c r="M5217">
        <f>IF(K5217&gt;0,IF(L5217/K5217&gt;=Assumptions!$B$37,1,0),0)</f>
        <v/>
      </c>
      <c r="N5217">
        <f>K5217+M5217*Assumptions!$B$153</f>
        <v/>
      </c>
      <c r="O5217">
        <f>L5217+M5217*Assumptions!$B$153*Assumptions!$B$37</f>
        <v/>
      </c>
      <c r="P5217">
        <f>IF(N5217&gt;0,O5217/N5217,0)</f>
        <v/>
      </c>
      <c r="Q5217">
        <f>IF(C5217=1,P5217*$J$232,Assumptions!$B$41)</f>
        <v/>
      </c>
      <c r="R5217">
        <f>IF(D5217=1,P5217*$F$232,Assumptions!$B$33)</f>
        <v/>
      </c>
      <c r="S5217">
        <f>IF(E5217=1,P5217*$G$232,Assumptions!$B$32)</f>
        <v/>
      </c>
      <c r="T5217">
        <f>IF(F5217=1,P5217*Assumptions!$B$14,Assumptions!$B$31)</f>
        <v/>
      </c>
      <c r="U5217">
        <f>IF(G5217=1,P5217*Assumptions!$B$13,Assumptions!$B$30)</f>
        <v/>
      </c>
      <c r="V5217">
        <f>IF(H5217=1,P5217*Assumptions!$B$12,Assumptions!$B$29)</f>
        <v/>
      </c>
      <c r="W5217">
        <f>IF(I5217=1,P5217*Assumptions!$B$11,Assumptions!$B$28)</f>
        <v/>
      </c>
      <c r="X5217">
        <f>P5217*($O$232+$S$232)</f>
        <v/>
      </c>
      <c r="Y5217">
        <f>P5217*Assumptions!$B$9</f>
        <v/>
      </c>
      <c r="Z5217">
        <f>IF(M5217=1,(P5217-Assumptions!$B$37)*Assumptions!$B$153,0)</f>
        <v/>
      </c>
      <c r="AA5217">
        <f>Q5217+R5217+S5217+T5217+U5217+V5217+W5217+X5217+Y5217+Z5217</f>
        <v/>
      </c>
      <c r="AB5217" t="n">
        <v>89</v>
      </c>
      <c r="AC5217" t="n">
        <v>25</v>
      </c>
      <c r="AD5217" t="n">
        <v>121</v>
      </c>
      <c r="AE5217" t="n">
        <v>73</v>
      </c>
      <c r="AF5217" t="n">
        <v>81</v>
      </c>
      <c r="AG5217" t="n">
        <v>93</v>
      </c>
      <c r="AH5217" t="n">
        <v>91</v>
      </c>
      <c r="AI5217" t="n">
        <v>88</v>
      </c>
      <c r="AJ5217">
        <f>INDEX($Q$5128:$Q$5255,AC5217+1)</f>
        <v/>
      </c>
      <c r="AK5217">
        <f>INDEX($R$5128:$R$5255,AD5217+1)</f>
        <v/>
      </c>
      <c r="AL5217">
        <f>INDEX($S$5128:$S$5255,AE5217+1)</f>
        <v/>
      </c>
      <c r="AM5217">
        <f>INDEX($T$5128:$T$5255,AF5217+1)</f>
        <v/>
      </c>
      <c r="AN5217">
        <f>INDEX($U$5128:$U$5255,AG5217+1)</f>
        <v/>
      </c>
      <c r="AO5217">
        <f>INDEX($V$5128:$V$5255,AH5217+1)</f>
        <v/>
      </c>
      <c r="AP5217">
        <f>INDEX($W$5128:$W$5255,AI5217+1)</f>
        <v/>
      </c>
      <c r="AQ5217">
        <f>IF(Q5217&gt;=AJ5217-0.01,1,0)</f>
        <v/>
      </c>
      <c r="AR5217">
        <f>IF(R5217&gt;=AK5217-0.01,1,0)</f>
        <v/>
      </c>
      <c r="AS5217">
        <f>IF(S5217&gt;=AL5217-0.01,1,0)</f>
        <v/>
      </c>
      <c r="AT5217">
        <f>IF(T5217&gt;=AM5217-0.01,1,0)</f>
        <v/>
      </c>
      <c r="AU5217">
        <f>IF(U5217&gt;=AN5217-0.01,1,0)</f>
        <v/>
      </c>
      <c r="AV5217">
        <f>IF(V5217&gt;=AO5217-0.01,1,0)</f>
        <v/>
      </c>
      <c r="AW5217">
        <f>IF(W5217&gt;=AP5217-0.01,1,0)</f>
        <v/>
      </c>
      <c r="AX5217">
        <f>AQ5217*AR5217*AS5217*AT5217*AU5217*AV5217*AW5217</f>
        <v/>
      </c>
    </row>
    <row r="5218">
      <c r="A5218" t="inlineStr"/>
      <c r="B5218">
        <f>Assumptions!$B$60</f>
        <v/>
      </c>
      <c r="C5218" t="n">
        <v>1</v>
      </c>
      <c r="D5218" t="n">
        <v>0</v>
      </c>
      <c r="E5218" t="n">
        <v>1</v>
      </c>
      <c r="F5218" t="n">
        <v>1</v>
      </c>
      <c r="G5218" t="n">
        <v>0</v>
      </c>
      <c r="H5218" t="n">
        <v>1</v>
      </c>
      <c r="I5218" t="n">
        <v>0</v>
      </c>
      <c r="J5218">
        <f>(1-C5218)*Assumptions!$B$41+(1-D5218)*Assumptions!$B$33+(1-E5218)*Assumptions!$B$32+(1-F5218)*Assumptions!$B$31+(1-G5218)*Assumptions!$B$30+(1-H5218)*Assumptions!$B$29+(1-I5218)*Assumptions!$B$28</f>
        <v/>
      </c>
      <c r="K5218">
        <f>C5218*$J$232+D5218*$F$232+E5218*$G$232+F5218*Assumptions!$B$14+G5218*Assumptions!$B$13+H5218*Assumptions!$B$12+I5218*Assumptions!$B$11+$O$232+$S$232+Assumptions!$B$9</f>
        <v/>
      </c>
      <c r="L5218">
        <f>B5218-J5218</f>
        <v/>
      </c>
      <c r="M5218">
        <f>IF(K5218&gt;0,IF(L5218/K5218&gt;=Assumptions!$B$37,1,0),0)</f>
        <v/>
      </c>
      <c r="N5218">
        <f>K5218+M5218*Assumptions!$B$153</f>
        <v/>
      </c>
      <c r="O5218">
        <f>L5218+M5218*Assumptions!$B$153*Assumptions!$B$37</f>
        <v/>
      </c>
      <c r="P5218">
        <f>IF(N5218&gt;0,O5218/N5218,0)</f>
        <v/>
      </c>
      <c r="Q5218">
        <f>IF(C5218=1,P5218*$J$232,Assumptions!$B$41)</f>
        <v/>
      </c>
      <c r="R5218">
        <f>IF(D5218=1,P5218*$F$232,Assumptions!$B$33)</f>
        <v/>
      </c>
      <c r="S5218">
        <f>IF(E5218=1,P5218*$G$232,Assumptions!$B$32)</f>
        <v/>
      </c>
      <c r="T5218">
        <f>IF(F5218=1,P5218*Assumptions!$B$14,Assumptions!$B$31)</f>
        <v/>
      </c>
      <c r="U5218">
        <f>IF(G5218=1,P5218*Assumptions!$B$13,Assumptions!$B$30)</f>
        <v/>
      </c>
      <c r="V5218">
        <f>IF(H5218=1,P5218*Assumptions!$B$12,Assumptions!$B$29)</f>
        <v/>
      </c>
      <c r="W5218">
        <f>IF(I5218=1,P5218*Assumptions!$B$11,Assumptions!$B$28)</f>
        <v/>
      </c>
      <c r="X5218">
        <f>P5218*($O$232+$S$232)</f>
        <v/>
      </c>
      <c r="Y5218">
        <f>P5218*Assumptions!$B$9</f>
        <v/>
      </c>
      <c r="Z5218">
        <f>IF(M5218=1,(P5218-Assumptions!$B$37)*Assumptions!$B$153,0)</f>
        <v/>
      </c>
      <c r="AA5218">
        <f>Q5218+R5218+S5218+T5218+U5218+V5218+W5218+X5218+Y5218+Z5218</f>
        <v/>
      </c>
      <c r="AB5218" t="n">
        <v>90</v>
      </c>
      <c r="AC5218" t="n">
        <v>26</v>
      </c>
      <c r="AD5218" t="n">
        <v>122</v>
      </c>
      <c r="AE5218" t="n">
        <v>74</v>
      </c>
      <c r="AF5218" t="n">
        <v>82</v>
      </c>
      <c r="AG5218" t="n">
        <v>94</v>
      </c>
      <c r="AH5218" t="n">
        <v>88</v>
      </c>
      <c r="AI5218" t="n">
        <v>91</v>
      </c>
      <c r="AJ5218">
        <f>INDEX($Q$5128:$Q$5255,AC5218+1)</f>
        <v/>
      </c>
      <c r="AK5218">
        <f>INDEX($R$5128:$R$5255,AD5218+1)</f>
        <v/>
      </c>
      <c r="AL5218">
        <f>INDEX($S$5128:$S$5255,AE5218+1)</f>
        <v/>
      </c>
      <c r="AM5218">
        <f>INDEX($T$5128:$T$5255,AF5218+1)</f>
        <v/>
      </c>
      <c r="AN5218">
        <f>INDEX($U$5128:$U$5255,AG5218+1)</f>
        <v/>
      </c>
      <c r="AO5218">
        <f>INDEX($V$5128:$V$5255,AH5218+1)</f>
        <v/>
      </c>
      <c r="AP5218">
        <f>INDEX($W$5128:$W$5255,AI5218+1)</f>
        <v/>
      </c>
      <c r="AQ5218">
        <f>IF(Q5218&gt;=AJ5218-0.01,1,0)</f>
        <v/>
      </c>
      <c r="AR5218">
        <f>IF(R5218&gt;=AK5218-0.01,1,0)</f>
        <v/>
      </c>
      <c r="AS5218">
        <f>IF(S5218&gt;=AL5218-0.01,1,0)</f>
        <v/>
      </c>
      <c r="AT5218">
        <f>IF(T5218&gt;=AM5218-0.01,1,0)</f>
        <v/>
      </c>
      <c r="AU5218">
        <f>IF(U5218&gt;=AN5218-0.01,1,0)</f>
        <v/>
      </c>
      <c r="AV5218">
        <f>IF(V5218&gt;=AO5218-0.01,1,0)</f>
        <v/>
      </c>
      <c r="AW5218">
        <f>IF(W5218&gt;=AP5218-0.01,1,0)</f>
        <v/>
      </c>
      <c r="AX5218">
        <f>AQ5218*AR5218*AS5218*AT5218*AU5218*AV5218*AW5218</f>
        <v/>
      </c>
    </row>
    <row r="5219">
      <c r="A5219" t="inlineStr"/>
      <c r="B5219">
        <f>Assumptions!$B$60</f>
        <v/>
      </c>
      <c r="C5219" t="n">
        <v>1</v>
      </c>
      <c r="D5219" t="n">
        <v>0</v>
      </c>
      <c r="E5219" t="n">
        <v>1</v>
      </c>
      <c r="F5219" t="n">
        <v>1</v>
      </c>
      <c r="G5219" t="n">
        <v>0</v>
      </c>
      <c r="H5219" t="n">
        <v>1</v>
      </c>
      <c r="I5219" t="n">
        <v>1</v>
      </c>
      <c r="J5219">
        <f>(1-C5219)*Assumptions!$B$41+(1-D5219)*Assumptions!$B$33+(1-E5219)*Assumptions!$B$32+(1-F5219)*Assumptions!$B$31+(1-G5219)*Assumptions!$B$30+(1-H5219)*Assumptions!$B$29+(1-I5219)*Assumptions!$B$28</f>
        <v/>
      </c>
      <c r="K5219">
        <f>C5219*$J$232+D5219*$F$232+E5219*$G$232+F5219*Assumptions!$B$14+G5219*Assumptions!$B$13+H5219*Assumptions!$B$12+I5219*Assumptions!$B$11+$O$232+$S$232+Assumptions!$B$9</f>
        <v/>
      </c>
      <c r="L5219">
        <f>B5219-J5219</f>
        <v/>
      </c>
      <c r="M5219">
        <f>IF(K5219&gt;0,IF(L5219/K5219&gt;=Assumptions!$B$37,1,0),0)</f>
        <v/>
      </c>
      <c r="N5219">
        <f>K5219+M5219*Assumptions!$B$153</f>
        <v/>
      </c>
      <c r="O5219">
        <f>L5219+M5219*Assumptions!$B$153*Assumptions!$B$37</f>
        <v/>
      </c>
      <c r="P5219">
        <f>IF(N5219&gt;0,O5219/N5219,0)</f>
        <v/>
      </c>
      <c r="Q5219">
        <f>IF(C5219=1,P5219*$J$232,Assumptions!$B$41)</f>
        <v/>
      </c>
      <c r="R5219">
        <f>IF(D5219=1,P5219*$F$232,Assumptions!$B$33)</f>
        <v/>
      </c>
      <c r="S5219">
        <f>IF(E5219=1,P5219*$G$232,Assumptions!$B$32)</f>
        <v/>
      </c>
      <c r="T5219">
        <f>IF(F5219=1,P5219*Assumptions!$B$14,Assumptions!$B$31)</f>
        <v/>
      </c>
      <c r="U5219">
        <f>IF(G5219=1,P5219*Assumptions!$B$13,Assumptions!$B$30)</f>
        <v/>
      </c>
      <c r="V5219">
        <f>IF(H5219=1,P5219*Assumptions!$B$12,Assumptions!$B$29)</f>
        <v/>
      </c>
      <c r="W5219">
        <f>IF(I5219=1,P5219*Assumptions!$B$11,Assumptions!$B$28)</f>
        <v/>
      </c>
      <c r="X5219">
        <f>P5219*($O$232+$S$232)</f>
        <v/>
      </c>
      <c r="Y5219">
        <f>P5219*Assumptions!$B$9</f>
        <v/>
      </c>
      <c r="Z5219">
        <f>IF(M5219=1,(P5219-Assumptions!$B$37)*Assumptions!$B$153,0)</f>
        <v/>
      </c>
      <c r="AA5219">
        <f>Q5219+R5219+S5219+T5219+U5219+V5219+W5219+X5219+Y5219+Z5219</f>
        <v/>
      </c>
      <c r="AB5219" t="n">
        <v>91</v>
      </c>
      <c r="AC5219" t="n">
        <v>27</v>
      </c>
      <c r="AD5219" t="n">
        <v>123</v>
      </c>
      <c r="AE5219" t="n">
        <v>75</v>
      </c>
      <c r="AF5219" t="n">
        <v>83</v>
      </c>
      <c r="AG5219" t="n">
        <v>95</v>
      </c>
      <c r="AH5219" t="n">
        <v>89</v>
      </c>
      <c r="AI5219" t="n">
        <v>90</v>
      </c>
      <c r="AJ5219">
        <f>INDEX($Q$5128:$Q$5255,AC5219+1)</f>
        <v/>
      </c>
      <c r="AK5219">
        <f>INDEX($R$5128:$R$5255,AD5219+1)</f>
        <v/>
      </c>
      <c r="AL5219">
        <f>INDEX($S$5128:$S$5255,AE5219+1)</f>
        <v/>
      </c>
      <c r="AM5219">
        <f>INDEX($T$5128:$T$5255,AF5219+1)</f>
        <v/>
      </c>
      <c r="AN5219">
        <f>INDEX($U$5128:$U$5255,AG5219+1)</f>
        <v/>
      </c>
      <c r="AO5219">
        <f>INDEX($V$5128:$V$5255,AH5219+1)</f>
        <v/>
      </c>
      <c r="AP5219">
        <f>INDEX($W$5128:$W$5255,AI5219+1)</f>
        <v/>
      </c>
      <c r="AQ5219">
        <f>IF(Q5219&gt;=AJ5219-0.01,1,0)</f>
        <v/>
      </c>
      <c r="AR5219">
        <f>IF(R5219&gt;=AK5219-0.01,1,0)</f>
        <v/>
      </c>
      <c r="AS5219">
        <f>IF(S5219&gt;=AL5219-0.01,1,0)</f>
        <v/>
      </c>
      <c r="AT5219">
        <f>IF(T5219&gt;=AM5219-0.01,1,0)</f>
        <v/>
      </c>
      <c r="AU5219">
        <f>IF(U5219&gt;=AN5219-0.01,1,0)</f>
        <v/>
      </c>
      <c r="AV5219">
        <f>IF(V5219&gt;=AO5219-0.01,1,0)</f>
        <v/>
      </c>
      <c r="AW5219">
        <f>IF(W5219&gt;=AP5219-0.01,1,0)</f>
        <v/>
      </c>
      <c r="AX5219">
        <f>AQ5219*AR5219*AS5219*AT5219*AU5219*AV5219*AW5219</f>
        <v/>
      </c>
    </row>
    <row r="5220">
      <c r="A5220" t="inlineStr"/>
      <c r="B5220">
        <f>Assumptions!$B$60</f>
        <v/>
      </c>
      <c r="C5220" t="n">
        <v>1</v>
      </c>
      <c r="D5220" t="n">
        <v>0</v>
      </c>
      <c r="E5220" t="n">
        <v>1</v>
      </c>
      <c r="F5220" t="n">
        <v>1</v>
      </c>
      <c r="G5220" t="n">
        <v>1</v>
      </c>
      <c r="H5220" t="n">
        <v>0</v>
      </c>
      <c r="I5220" t="n">
        <v>0</v>
      </c>
      <c r="J5220">
        <f>(1-C5220)*Assumptions!$B$41+(1-D5220)*Assumptions!$B$33+(1-E5220)*Assumptions!$B$32+(1-F5220)*Assumptions!$B$31+(1-G5220)*Assumptions!$B$30+(1-H5220)*Assumptions!$B$29+(1-I5220)*Assumptions!$B$28</f>
        <v/>
      </c>
      <c r="K5220">
        <f>C5220*$J$232+D5220*$F$232+E5220*$G$232+F5220*Assumptions!$B$14+G5220*Assumptions!$B$13+H5220*Assumptions!$B$12+I5220*Assumptions!$B$11+$O$232+$S$232+Assumptions!$B$9</f>
        <v/>
      </c>
      <c r="L5220">
        <f>B5220-J5220</f>
        <v/>
      </c>
      <c r="M5220">
        <f>IF(K5220&gt;0,IF(L5220/K5220&gt;=Assumptions!$B$37,1,0),0)</f>
        <v/>
      </c>
      <c r="N5220">
        <f>K5220+M5220*Assumptions!$B$153</f>
        <v/>
      </c>
      <c r="O5220">
        <f>L5220+M5220*Assumptions!$B$153*Assumptions!$B$37</f>
        <v/>
      </c>
      <c r="P5220">
        <f>IF(N5220&gt;0,O5220/N5220,0)</f>
        <v/>
      </c>
      <c r="Q5220">
        <f>IF(C5220=1,P5220*$J$232,Assumptions!$B$41)</f>
        <v/>
      </c>
      <c r="R5220">
        <f>IF(D5220=1,P5220*$F$232,Assumptions!$B$33)</f>
        <v/>
      </c>
      <c r="S5220">
        <f>IF(E5220=1,P5220*$G$232,Assumptions!$B$32)</f>
        <v/>
      </c>
      <c r="T5220">
        <f>IF(F5220=1,P5220*Assumptions!$B$14,Assumptions!$B$31)</f>
        <v/>
      </c>
      <c r="U5220">
        <f>IF(G5220=1,P5220*Assumptions!$B$13,Assumptions!$B$30)</f>
        <v/>
      </c>
      <c r="V5220">
        <f>IF(H5220=1,P5220*Assumptions!$B$12,Assumptions!$B$29)</f>
        <v/>
      </c>
      <c r="W5220">
        <f>IF(I5220=1,P5220*Assumptions!$B$11,Assumptions!$B$28)</f>
        <v/>
      </c>
      <c r="X5220">
        <f>P5220*($O$232+$S$232)</f>
        <v/>
      </c>
      <c r="Y5220">
        <f>P5220*Assumptions!$B$9</f>
        <v/>
      </c>
      <c r="Z5220">
        <f>IF(M5220=1,(P5220-Assumptions!$B$37)*Assumptions!$B$153,0)</f>
        <v/>
      </c>
      <c r="AA5220">
        <f>Q5220+R5220+S5220+T5220+U5220+V5220+W5220+X5220+Y5220+Z5220</f>
        <v/>
      </c>
      <c r="AB5220" t="n">
        <v>92</v>
      </c>
      <c r="AC5220" t="n">
        <v>28</v>
      </c>
      <c r="AD5220" t="n">
        <v>124</v>
      </c>
      <c r="AE5220" t="n">
        <v>76</v>
      </c>
      <c r="AF5220" t="n">
        <v>84</v>
      </c>
      <c r="AG5220" t="n">
        <v>88</v>
      </c>
      <c r="AH5220" t="n">
        <v>94</v>
      </c>
      <c r="AI5220" t="n">
        <v>93</v>
      </c>
      <c r="AJ5220">
        <f>INDEX($Q$5128:$Q$5255,AC5220+1)</f>
        <v/>
      </c>
      <c r="AK5220">
        <f>INDEX($R$5128:$R$5255,AD5220+1)</f>
        <v/>
      </c>
      <c r="AL5220">
        <f>INDEX($S$5128:$S$5255,AE5220+1)</f>
        <v/>
      </c>
      <c r="AM5220">
        <f>INDEX($T$5128:$T$5255,AF5220+1)</f>
        <v/>
      </c>
      <c r="AN5220">
        <f>INDEX($U$5128:$U$5255,AG5220+1)</f>
        <v/>
      </c>
      <c r="AO5220">
        <f>INDEX($V$5128:$V$5255,AH5220+1)</f>
        <v/>
      </c>
      <c r="AP5220">
        <f>INDEX($W$5128:$W$5255,AI5220+1)</f>
        <v/>
      </c>
      <c r="AQ5220">
        <f>IF(Q5220&gt;=AJ5220-0.01,1,0)</f>
        <v/>
      </c>
      <c r="AR5220">
        <f>IF(R5220&gt;=AK5220-0.01,1,0)</f>
        <v/>
      </c>
      <c r="AS5220">
        <f>IF(S5220&gt;=AL5220-0.01,1,0)</f>
        <v/>
      </c>
      <c r="AT5220">
        <f>IF(T5220&gt;=AM5220-0.01,1,0)</f>
        <v/>
      </c>
      <c r="AU5220">
        <f>IF(U5220&gt;=AN5220-0.01,1,0)</f>
        <v/>
      </c>
      <c r="AV5220">
        <f>IF(V5220&gt;=AO5220-0.01,1,0)</f>
        <v/>
      </c>
      <c r="AW5220">
        <f>IF(W5220&gt;=AP5220-0.01,1,0)</f>
        <v/>
      </c>
      <c r="AX5220">
        <f>AQ5220*AR5220*AS5220*AT5220*AU5220*AV5220*AW5220</f>
        <v/>
      </c>
    </row>
    <row r="5221">
      <c r="A5221" t="inlineStr"/>
      <c r="B5221">
        <f>Assumptions!$B$60</f>
        <v/>
      </c>
      <c r="C5221" t="n">
        <v>1</v>
      </c>
      <c r="D5221" t="n">
        <v>0</v>
      </c>
      <c r="E5221" t="n">
        <v>1</v>
      </c>
      <c r="F5221" t="n">
        <v>1</v>
      </c>
      <c r="G5221" t="n">
        <v>1</v>
      </c>
      <c r="H5221" t="n">
        <v>0</v>
      </c>
      <c r="I5221" t="n">
        <v>1</v>
      </c>
      <c r="J5221">
        <f>(1-C5221)*Assumptions!$B$41+(1-D5221)*Assumptions!$B$33+(1-E5221)*Assumptions!$B$32+(1-F5221)*Assumptions!$B$31+(1-G5221)*Assumptions!$B$30+(1-H5221)*Assumptions!$B$29+(1-I5221)*Assumptions!$B$28</f>
        <v/>
      </c>
      <c r="K5221">
        <f>C5221*$J$232+D5221*$F$232+E5221*$G$232+F5221*Assumptions!$B$14+G5221*Assumptions!$B$13+H5221*Assumptions!$B$12+I5221*Assumptions!$B$11+$O$232+$S$232+Assumptions!$B$9</f>
        <v/>
      </c>
      <c r="L5221">
        <f>B5221-J5221</f>
        <v/>
      </c>
      <c r="M5221">
        <f>IF(K5221&gt;0,IF(L5221/K5221&gt;=Assumptions!$B$37,1,0),0)</f>
        <v/>
      </c>
      <c r="N5221">
        <f>K5221+M5221*Assumptions!$B$153</f>
        <v/>
      </c>
      <c r="O5221">
        <f>L5221+M5221*Assumptions!$B$153*Assumptions!$B$37</f>
        <v/>
      </c>
      <c r="P5221">
        <f>IF(N5221&gt;0,O5221/N5221,0)</f>
        <v/>
      </c>
      <c r="Q5221">
        <f>IF(C5221=1,P5221*$J$232,Assumptions!$B$41)</f>
        <v/>
      </c>
      <c r="R5221">
        <f>IF(D5221=1,P5221*$F$232,Assumptions!$B$33)</f>
        <v/>
      </c>
      <c r="S5221">
        <f>IF(E5221=1,P5221*$G$232,Assumptions!$B$32)</f>
        <v/>
      </c>
      <c r="T5221">
        <f>IF(F5221=1,P5221*Assumptions!$B$14,Assumptions!$B$31)</f>
        <v/>
      </c>
      <c r="U5221">
        <f>IF(G5221=1,P5221*Assumptions!$B$13,Assumptions!$B$30)</f>
        <v/>
      </c>
      <c r="V5221">
        <f>IF(H5221=1,P5221*Assumptions!$B$12,Assumptions!$B$29)</f>
        <v/>
      </c>
      <c r="W5221">
        <f>IF(I5221=1,P5221*Assumptions!$B$11,Assumptions!$B$28)</f>
        <v/>
      </c>
      <c r="X5221">
        <f>P5221*($O$232+$S$232)</f>
        <v/>
      </c>
      <c r="Y5221">
        <f>P5221*Assumptions!$B$9</f>
        <v/>
      </c>
      <c r="Z5221">
        <f>IF(M5221=1,(P5221-Assumptions!$B$37)*Assumptions!$B$153,0)</f>
        <v/>
      </c>
      <c r="AA5221">
        <f>Q5221+R5221+S5221+T5221+U5221+V5221+W5221+X5221+Y5221+Z5221</f>
        <v/>
      </c>
      <c r="AB5221" t="n">
        <v>93</v>
      </c>
      <c r="AC5221" t="n">
        <v>29</v>
      </c>
      <c r="AD5221" t="n">
        <v>125</v>
      </c>
      <c r="AE5221" t="n">
        <v>77</v>
      </c>
      <c r="AF5221" t="n">
        <v>85</v>
      </c>
      <c r="AG5221" t="n">
        <v>89</v>
      </c>
      <c r="AH5221" t="n">
        <v>95</v>
      </c>
      <c r="AI5221" t="n">
        <v>92</v>
      </c>
      <c r="AJ5221">
        <f>INDEX($Q$5128:$Q$5255,AC5221+1)</f>
        <v/>
      </c>
      <c r="AK5221">
        <f>INDEX($R$5128:$R$5255,AD5221+1)</f>
        <v/>
      </c>
      <c r="AL5221">
        <f>INDEX($S$5128:$S$5255,AE5221+1)</f>
        <v/>
      </c>
      <c r="AM5221">
        <f>INDEX($T$5128:$T$5255,AF5221+1)</f>
        <v/>
      </c>
      <c r="AN5221">
        <f>INDEX($U$5128:$U$5255,AG5221+1)</f>
        <v/>
      </c>
      <c r="AO5221">
        <f>INDEX($V$5128:$V$5255,AH5221+1)</f>
        <v/>
      </c>
      <c r="AP5221">
        <f>INDEX($W$5128:$W$5255,AI5221+1)</f>
        <v/>
      </c>
      <c r="AQ5221">
        <f>IF(Q5221&gt;=AJ5221-0.01,1,0)</f>
        <v/>
      </c>
      <c r="AR5221">
        <f>IF(R5221&gt;=AK5221-0.01,1,0)</f>
        <v/>
      </c>
      <c r="AS5221">
        <f>IF(S5221&gt;=AL5221-0.01,1,0)</f>
        <v/>
      </c>
      <c r="AT5221">
        <f>IF(T5221&gt;=AM5221-0.01,1,0)</f>
        <v/>
      </c>
      <c r="AU5221">
        <f>IF(U5221&gt;=AN5221-0.01,1,0)</f>
        <v/>
      </c>
      <c r="AV5221">
        <f>IF(V5221&gt;=AO5221-0.01,1,0)</f>
        <v/>
      </c>
      <c r="AW5221">
        <f>IF(W5221&gt;=AP5221-0.01,1,0)</f>
        <v/>
      </c>
      <c r="AX5221">
        <f>AQ5221*AR5221*AS5221*AT5221*AU5221*AV5221*AW5221</f>
        <v/>
      </c>
    </row>
    <row r="5222">
      <c r="A5222" t="inlineStr"/>
      <c r="B5222">
        <f>Assumptions!$B$60</f>
        <v/>
      </c>
      <c r="C5222" t="n">
        <v>1</v>
      </c>
      <c r="D5222" t="n">
        <v>0</v>
      </c>
      <c r="E5222" t="n">
        <v>1</v>
      </c>
      <c r="F5222" t="n">
        <v>1</v>
      </c>
      <c r="G5222" t="n">
        <v>1</v>
      </c>
      <c r="H5222" t="n">
        <v>1</v>
      </c>
      <c r="I5222" t="n">
        <v>0</v>
      </c>
      <c r="J5222">
        <f>(1-C5222)*Assumptions!$B$41+(1-D5222)*Assumptions!$B$33+(1-E5222)*Assumptions!$B$32+(1-F5222)*Assumptions!$B$31+(1-G5222)*Assumptions!$B$30+(1-H5222)*Assumptions!$B$29+(1-I5222)*Assumptions!$B$28</f>
        <v/>
      </c>
      <c r="K5222">
        <f>C5222*$J$232+D5222*$F$232+E5222*$G$232+F5222*Assumptions!$B$14+G5222*Assumptions!$B$13+H5222*Assumptions!$B$12+I5222*Assumptions!$B$11+$O$232+$S$232+Assumptions!$B$9</f>
        <v/>
      </c>
      <c r="L5222">
        <f>B5222-J5222</f>
        <v/>
      </c>
      <c r="M5222">
        <f>IF(K5222&gt;0,IF(L5222/K5222&gt;=Assumptions!$B$37,1,0),0)</f>
        <v/>
      </c>
      <c r="N5222">
        <f>K5222+M5222*Assumptions!$B$153</f>
        <v/>
      </c>
      <c r="O5222">
        <f>L5222+M5222*Assumptions!$B$153*Assumptions!$B$37</f>
        <v/>
      </c>
      <c r="P5222">
        <f>IF(N5222&gt;0,O5222/N5222,0)</f>
        <v/>
      </c>
      <c r="Q5222">
        <f>IF(C5222=1,P5222*$J$232,Assumptions!$B$41)</f>
        <v/>
      </c>
      <c r="R5222">
        <f>IF(D5222=1,P5222*$F$232,Assumptions!$B$33)</f>
        <v/>
      </c>
      <c r="S5222">
        <f>IF(E5222=1,P5222*$G$232,Assumptions!$B$32)</f>
        <v/>
      </c>
      <c r="T5222">
        <f>IF(F5222=1,P5222*Assumptions!$B$14,Assumptions!$B$31)</f>
        <v/>
      </c>
      <c r="U5222">
        <f>IF(G5222=1,P5222*Assumptions!$B$13,Assumptions!$B$30)</f>
        <v/>
      </c>
      <c r="V5222">
        <f>IF(H5222=1,P5222*Assumptions!$B$12,Assumptions!$B$29)</f>
        <v/>
      </c>
      <c r="W5222">
        <f>IF(I5222=1,P5222*Assumptions!$B$11,Assumptions!$B$28)</f>
        <v/>
      </c>
      <c r="X5222">
        <f>P5222*($O$232+$S$232)</f>
        <v/>
      </c>
      <c r="Y5222">
        <f>P5222*Assumptions!$B$9</f>
        <v/>
      </c>
      <c r="Z5222">
        <f>IF(M5222=1,(P5222-Assumptions!$B$37)*Assumptions!$B$153,0)</f>
        <v/>
      </c>
      <c r="AA5222">
        <f>Q5222+R5222+S5222+T5222+U5222+V5222+W5222+X5222+Y5222+Z5222</f>
        <v/>
      </c>
      <c r="AB5222" t="n">
        <v>94</v>
      </c>
      <c r="AC5222" t="n">
        <v>30</v>
      </c>
      <c r="AD5222" t="n">
        <v>126</v>
      </c>
      <c r="AE5222" t="n">
        <v>78</v>
      </c>
      <c r="AF5222" t="n">
        <v>86</v>
      </c>
      <c r="AG5222" t="n">
        <v>90</v>
      </c>
      <c r="AH5222" t="n">
        <v>92</v>
      </c>
      <c r="AI5222" t="n">
        <v>95</v>
      </c>
      <c r="AJ5222">
        <f>INDEX($Q$5128:$Q$5255,AC5222+1)</f>
        <v/>
      </c>
      <c r="AK5222">
        <f>INDEX($R$5128:$R$5255,AD5222+1)</f>
        <v/>
      </c>
      <c r="AL5222">
        <f>INDEX($S$5128:$S$5255,AE5222+1)</f>
        <v/>
      </c>
      <c r="AM5222">
        <f>INDEX($T$5128:$T$5255,AF5222+1)</f>
        <v/>
      </c>
      <c r="AN5222">
        <f>INDEX($U$5128:$U$5255,AG5222+1)</f>
        <v/>
      </c>
      <c r="AO5222">
        <f>INDEX($V$5128:$V$5255,AH5222+1)</f>
        <v/>
      </c>
      <c r="AP5222">
        <f>INDEX($W$5128:$W$5255,AI5222+1)</f>
        <v/>
      </c>
      <c r="AQ5222">
        <f>IF(Q5222&gt;=AJ5222-0.01,1,0)</f>
        <v/>
      </c>
      <c r="AR5222">
        <f>IF(R5222&gt;=AK5222-0.01,1,0)</f>
        <v/>
      </c>
      <c r="AS5222">
        <f>IF(S5222&gt;=AL5222-0.01,1,0)</f>
        <v/>
      </c>
      <c r="AT5222">
        <f>IF(T5222&gt;=AM5222-0.01,1,0)</f>
        <v/>
      </c>
      <c r="AU5222">
        <f>IF(U5222&gt;=AN5222-0.01,1,0)</f>
        <v/>
      </c>
      <c r="AV5222">
        <f>IF(V5222&gt;=AO5222-0.01,1,0)</f>
        <v/>
      </c>
      <c r="AW5222">
        <f>IF(W5222&gt;=AP5222-0.01,1,0)</f>
        <v/>
      </c>
      <c r="AX5222">
        <f>AQ5222*AR5222*AS5222*AT5222*AU5222*AV5222*AW5222</f>
        <v/>
      </c>
    </row>
    <row r="5223">
      <c r="A5223" t="inlineStr"/>
      <c r="B5223">
        <f>Assumptions!$B$60</f>
        <v/>
      </c>
      <c r="C5223" t="n">
        <v>1</v>
      </c>
      <c r="D5223" t="n">
        <v>0</v>
      </c>
      <c r="E5223" t="n">
        <v>1</v>
      </c>
      <c r="F5223" t="n">
        <v>1</v>
      </c>
      <c r="G5223" t="n">
        <v>1</v>
      </c>
      <c r="H5223" t="n">
        <v>1</v>
      </c>
      <c r="I5223" t="n">
        <v>1</v>
      </c>
      <c r="J5223">
        <f>(1-C5223)*Assumptions!$B$41+(1-D5223)*Assumptions!$B$33+(1-E5223)*Assumptions!$B$32+(1-F5223)*Assumptions!$B$31+(1-G5223)*Assumptions!$B$30+(1-H5223)*Assumptions!$B$29+(1-I5223)*Assumptions!$B$28</f>
        <v/>
      </c>
      <c r="K5223">
        <f>C5223*$J$232+D5223*$F$232+E5223*$G$232+F5223*Assumptions!$B$14+G5223*Assumptions!$B$13+H5223*Assumptions!$B$12+I5223*Assumptions!$B$11+$O$232+$S$232+Assumptions!$B$9</f>
        <v/>
      </c>
      <c r="L5223">
        <f>B5223-J5223</f>
        <v/>
      </c>
      <c r="M5223">
        <f>IF(K5223&gt;0,IF(L5223/K5223&gt;=Assumptions!$B$37,1,0),0)</f>
        <v/>
      </c>
      <c r="N5223">
        <f>K5223+M5223*Assumptions!$B$153</f>
        <v/>
      </c>
      <c r="O5223">
        <f>L5223+M5223*Assumptions!$B$153*Assumptions!$B$37</f>
        <v/>
      </c>
      <c r="P5223">
        <f>IF(N5223&gt;0,O5223/N5223,0)</f>
        <v/>
      </c>
      <c r="Q5223">
        <f>IF(C5223=1,P5223*$J$232,Assumptions!$B$41)</f>
        <v/>
      </c>
      <c r="R5223">
        <f>IF(D5223=1,P5223*$F$232,Assumptions!$B$33)</f>
        <v/>
      </c>
      <c r="S5223">
        <f>IF(E5223=1,P5223*$G$232,Assumptions!$B$32)</f>
        <v/>
      </c>
      <c r="T5223">
        <f>IF(F5223=1,P5223*Assumptions!$B$14,Assumptions!$B$31)</f>
        <v/>
      </c>
      <c r="U5223">
        <f>IF(G5223=1,P5223*Assumptions!$B$13,Assumptions!$B$30)</f>
        <v/>
      </c>
      <c r="V5223">
        <f>IF(H5223=1,P5223*Assumptions!$B$12,Assumptions!$B$29)</f>
        <v/>
      </c>
      <c r="W5223">
        <f>IF(I5223=1,P5223*Assumptions!$B$11,Assumptions!$B$28)</f>
        <v/>
      </c>
      <c r="X5223">
        <f>P5223*($O$232+$S$232)</f>
        <v/>
      </c>
      <c r="Y5223">
        <f>P5223*Assumptions!$B$9</f>
        <v/>
      </c>
      <c r="Z5223">
        <f>IF(M5223=1,(P5223-Assumptions!$B$37)*Assumptions!$B$153,0)</f>
        <v/>
      </c>
      <c r="AA5223">
        <f>Q5223+R5223+S5223+T5223+U5223+V5223+W5223+X5223+Y5223+Z5223</f>
        <v/>
      </c>
      <c r="AB5223" t="n">
        <v>95</v>
      </c>
      <c r="AC5223" t="n">
        <v>31</v>
      </c>
      <c r="AD5223" t="n">
        <v>127</v>
      </c>
      <c r="AE5223" t="n">
        <v>79</v>
      </c>
      <c r="AF5223" t="n">
        <v>87</v>
      </c>
      <c r="AG5223" t="n">
        <v>91</v>
      </c>
      <c r="AH5223" t="n">
        <v>93</v>
      </c>
      <c r="AI5223" t="n">
        <v>94</v>
      </c>
      <c r="AJ5223">
        <f>INDEX($Q$5128:$Q$5255,AC5223+1)</f>
        <v/>
      </c>
      <c r="AK5223">
        <f>INDEX($R$5128:$R$5255,AD5223+1)</f>
        <v/>
      </c>
      <c r="AL5223">
        <f>INDEX($S$5128:$S$5255,AE5223+1)</f>
        <v/>
      </c>
      <c r="AM5223">
        <f>INDEX($T$5128:$T$5255,AF5223+1)</f>
        <v/>
      </c>
      <c r="AN5223">
        <f>INDEX($U$5128:$U$5255,AG5223+1)</f>
        <v/>
      </c>
      <c r="AO5223">
        <f>INDEX($V$5128:$V$5255,AH5223+1)</f>
        <v/>
      </c>
      <c r="AP5223">
        <f>INDEX($W$5128:$W$5255,AI5223+1)</f>
        <v/>
      </c>
      <c r="AQ5223">
        <f>IF(Q5223&gt;=AJ5223-0.01,1,0)</f>
        <v/>
      </c>
      <c r="AR5223">
        <f>IF(R5223&gt;=AK5223-0.01,1,0)</f>
        <v/>
      </c>
      <c r="AS5223">
        <f>IF(S5223&gt;=AL5223-0.01,1,0)</f>
        <v/>
      </c>
      <c r="AT5223">
        <f>IF(T5223&gt;=AM5223-0.01,1,0)</f>
        <v/>
      </c>
      <c r="AU5223">
        <f>IF(U5223&gt;=AN5223-0.01,1,0)</f>
        <v/>
      </c>
      <c r="AV5223">
        <f>IF(V5223&gt;=AO5223-0.01,1,0)</f>
        <v/>
      </c>
      <c r="AW5223">
        <f>IF(W5223&gt;=AP5223-0.01,1,0)</f>
        <v/>
      </c>
      <c r="AX5223">
        <f>AQ5223*AR5223*AS5223*AT5223*AU5223*AV5223*AW5223</f>
        <v/>
      </c>
    </row>
    <row r="5224">
      <c r="A5224" t="inlineStr"/>
      <c r="B5224">
        <f>Assumptions!$B$60</f>
        <v/>
      </c>
      <c r="C5224" t="n">
        <v>1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>
        <f>(1-C5224)*Assumptions!$B$41+(1-D5224)*Assumptions!$B$33+(1-E5224)*Assumptions!$B$32+(1-F5224)*Assumptions!$B$31+(1-G5224)*Assumptions!$B$30+(1-H5224)*Assumptions!$B$29+(1-I5224)*Assumptions!$B$28</f>
        <v/>
      </c>
      <c r="K5224">
        <f>C5224*$J$232+D5224*$F$232+E5224*$G$232+F5224*Assumptions!$B$14+G5224*Assumptions!$B$13+H5224*Assumptions!$B$12+I5224*Assumptions!$B$11+$O$232+$S$232+Assumptions!$B$9</f>
        <v/>
      </c>
      <c r="L5224">
        <f>B5224-J5224</f>
        <v/>
      </c>
      <c r="M5224">
        <f>IF(K5224&gt;0,IF(L5224/K5224&gt;=Assumptions!$B$37,1,0),0)</f>
        <v/>
      </c>
      <c r="N5224">
        <f>K5224+M5224*Assumptions!$B$153</f>
        <v/>
      </c>
      <c r="O5224">
        <f>L5224+M5224*Assumptions!$B$153*Assumptions!$B$37</f>
        <v/>
      </c>
      <c r="P5224">
        <f>IF(N5224&gt;0,O5224/N5224,0)</f>
        <v/>
      </c>
      <c r="Q5224">
        <f>IF(C5224=1,P5224*$J$232,Assumptions!$B$41)</f>
        <v/>
      </c>
      <c r="R5224">
        <f>IF(D5224=1,P5224*$F$232,Assumptions!$B$33)</f>
        <v/>
      </c>
      <c r="S5224">
        <f>IF(E5224=1,P5224*$G$232,Assumptions!$B$32)</f>
        <v/>
      </c>
      <c r="T5224">
        <f>IF(F5224=1,P5224*Assumptions!$B$14,Assumptions!$B$31)</f>
        <v/>
      </c>
      <c r="U5224">
        <f>IF(G5224=1,P5224*Assumptions!$B$13,Assumptions!$B$30)</f>
        <v/>
      </c>
      <c r="V5224">
        <f>IF(H5224=1,P5224*Assumptions!$B$12,Assumptions!$B$29)</f>
        <v/>
      </c>
      <c r="W5224">
        <f>IF(I5224=1,P5224*Assumptions!$B$11,Assumptions!$B$28)</f>
        <v/>
      </c>
      <c r="X5224">
        <f>P5224*($O$232+$S$232)</f>
        <v/>
      </c>
      <c r="Y5224">
        <f>P5224*Assumptions!$B$9</f>
        <v/>
      </c>
      <c r="Z5224">
        <f>IF(M5224=1,(P5224-Assumptions!$B$37)*Assumptions!$B$153,0)</f>
        <v/>
      </c>
      <c r="AA5224">
        <f>Q5224+R5224+S5224+T5224+U5224+V5224+W5224+X5224+Y5224+Z5224</f>
        <v/>
      </c>
      <c r="AB5224" t="n">
        <v>96</v>
      </c>
      <c r="AC5224" t="n">
        <v>32</v>
      </c>
      <c r="AD5224" t="n">
        <v>64</v>
      </c>
      <c r="AE5224" t="n">
        <v>112</v>
      </c>
      <c r="AF5224" t="n">
        <v>104</v>
      </c>
      <c r="AG5224" t="n">
        <v>100</v>
      </c>
      <c r="AH5224" t="n">
        <v>98</v>
      </c>
      <c r="AI5224" t="n">
        <v>97</v>
      </c>
      <c r="AJ5224">
        <f>INDEX($Q$5128:$Q$5255,AC5224+1)</f>
        <v/>
      </c>
      <c r="AK5224">
        <f>INDEX($R$5128:$R$5255,AD5224+1)</f>
        <v/>
      </c>
      <c r="AL5224">
        <f>INDEX($S$5128:$S$5255,AE5224+1)</f>
        <v/>
      </c>
      <c r="AM5224">
        <f>INDEX($T$5128:$T$5255,AF5224+1)</f>
        <v/>
      </c>
      <c r="AN5224">
        <f>INDEX($U$5128:$U$5255,AG5224+1)</f>
        <v/>
      </c>
      <c r="AO5224">
        <f>INDEX($V$5128:$V$5255,AH5224+1)</f>
        <v/>
      </c>
      <c r="AP5224">
        <f>INDEX($W$5128:$W$5255,AI5224+1)</f>
        <v/>
      </c>
      <c r="AQ5224">
        <f>IF(Q5224&gt;=AJ5224-0.01,1,0)</f>
        <v/>
      </c>
      <c r="AR5224">
        <f>IF(R5224&gt;=AK5224-0.01,1,0)</f>
        <v/>
      </c>
      <c r="AS5224">
        <f>IF(S5224&gt;=AL5224-0.01,1,0)</f>
        <v/>
      </c>
      <c r="AT5224">
        <f>IF(T5224&gt;=AM5224-0.01,1,0)</f>
        <v/>
      </c>
      <c r="AU5224">
        <f>IF(U5224&gt;=AN5224-0.01,1,0)</f>
        <v/>
      </c>
      <c r="AV5224">
        <f>IF(V5224&gt;=AO5224-0.01,1,0)</f>
        <v/>
      </c>
      <c r="AW5224">
        <f>IF(W5224&gt;=AP5224-0.01,1,0)</f>
        <v/>
      </c>
      <c r="AX5224">
        <f>AQ5224*AR5224*AS5224*AT5224*AU5224*AV5224*AW5224</f>
        <v/>
      </c>
    </row>
    <row r="5225">
      <c r="A5225" t="inlineStr"/>
      <c r="B5225">
        <f>Assumptions!$B$60</f>
        <v/>
      </c>
      <c r="C5225" t="n">
        <v>1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>
        <f>(1-C5225)*Assumptions!$B$41+(1-D5225)*Assumptions!$B$33+(1-E5225)*Assumptions!$B$32+(1-F5225)*Assumptions!$B$31+(1-G5225)*Assumptions!$B$30+(1-H5225)*Assumptions!$B$29+(1-I5225)*Assumptions!$B$28</f>
        <v/>
      </c>
      <c r="K5225">
        <f>C5225*$J$232+D5225*$F$232+E5225*$G$232+F5225*Assumptions!$B$14+G5225*Assumptions!$B$13+H5225*Assumptions!$B$12+I5225*Assumptions!$B$11+$O$232+$S$232+Assumptions!$B$9</f>
        <v/>
      </c>
      <c r="L5225">
        <f>B5225-J5225</f>
        <v/>
      </c>
      <c r="M5225">
        <f>IF(K5225&gt;0,IF(L5225/K5225&gt;=Assumptions!$B$37,1,0),0)</f>
        <v/>
      </c>
      <c r="N5225">
        <f>K5225+M5225*Assumptions!$B$153</f>
        <v/>
      </c>
      <c r="O5225">
        <f>L5225+M5225*Assumptions!$B$153*Assumptions!$B$37</f>
        <v/>
      </c>
      <c r="P5225">
        <f>IF(N5225&gt;0,O5225/N5225,0)</f>
        <v/>
      </c>
      <c r="Q5225">
        <f>IF(C5225=1,P5225*$J$232,Assumptions!$B$41)</f>
        <v/>
      </c>
      <c r="R5225">
        <f>IF(D5225=1,P5225*$F$232,Assumptions!$B$33)</f>
        <v/>
      </c>
      <c r="S5225">
        <f>IF(E5225=1,P5225*$G$232,Assumptions!$B$32)</f>
        <v/>
      </c>
      <c r="T5225">
        <f>IF(F5225=1,P5225*Assumptions!$B$14,Assumptions!$B$31)</f>
        <v/>
      </c>
      <c r="U5225">
        <f>IF(G5225=1,P5225*Assumptions!$B$13,Assumptions!$B$30)</f>
        <v/>
      </c>
      <c r="V5225">
        <f>IF(H5225=1,P5225*Assumptions!$B$12,Assumptions!$B$29)</f>
        <v/>
      </c>
      <c r="W5225">
        <f>IF(I5225=1,P5225*Assumptions!$B$11,Assumptions!$B$28)</f>
        <v/>
      </c>
      <c r="X5225">
        <f>P5225*($O$232+$S$232)</f>
        <v/>
      </c>
      <c r="Y5225">
        <f>P5225*Assumptions!$B$9</f>
        <v/>
      </c>
      <c r="Z5225">
        <f>IF(M5225=1,(P5225-Assumptions!$B$37)*Assumptions!$B$153,0)</f>
        <v/>
      </c>
      <c r="AA5225">
        <f>Q5225+R5225+S5225+T5225+U5225+V5225+W5225+X5225+Y5225+Z5225</f>
        <v/>
      </c>
      <c r="AB5225" t="n">
        <v>97</v>
      </c>
      <c r="AC5225" t="n">
        <v>33</v>
      </c>
      <c r="AD5225" t="n">
        <v>65</v>
      </c>
      <c r="AE5225" t="n">
        <v>113</v>
      </c>
      <c r="AF5225" t="n">
        <v>105</v>
      </c>
      <c r="AG5225" t="n">
        <v>101</v>
      </c>
      <c r="AH5225" t="n">
        <v>99</v>
      </c>
      <c r="AI5225" t="n">
        <v>96</v>
      </c>
      <c r="AJ5225">
        <f>INDEX($Q$5128:$Q$5255,AC5225+1)</f>
        <v/>
      </c>
      <c r="AK5225">
        <f>INDEX($R$5128:$R$5255,AD5225+1)</f>
        <v/>
      </c>
      <c r="AL5225">
        <f>INDEX($S$5128:$S$5255,AE5225+1)</f>
        <v/>
      </c>
      <c r="AM5225">
        <f>INDEX($T$5128:$T$5255,AF5225+1)</f>
        <v/>
      </c>
      <c r="AN5225">
        <f>INDEX($U$5128:$U$5255,AG5225+1)</f>
        <v/>
      </c>
      <c r="AO5225">
        <f>INDEX($V$5128:$V$5255,AH5225+1)</f>
        <v/>
      </c>
      <c r="AP5225">
        <f>INDEX($W$5128:$W$5255,AI5225+1)</f>
        <v/>
      </c>
      <c r="AQ5225">
        <f>IF(Q5225&gt;=AJ5225-0.01,1,0)</f>
        <v/>
      </c>
      <c r="AR5225">
        <f>IF(R5225&gt;=AK5225-0.01,1,0)</f>
        <v/>
      </c>
      <c r="AS5225">
        <f>IF(S5225&gt;=AL5225-0.01,1,0)</f>
        <v/>
      </c>
      <c r="AT5225">
        <f>IF(T5225&gt;=AM5225-0.01,1,0)</f>
        <v/>
      </c>
      <c r="AU5225">
        <f>IF(U5225&gt;=AN5225-0.01,1,0)</f>
        <v/>
      </c>
      <c r="AV5225">
        <f>IF(V5225&gt;=AO5225-0.01,1,0)</f>
        <v/>
      </c>
      <c r="AW5225">
        <f>IF(W5225&gt;=AP5225-0.01,1,0)</f>
        <v/>
      </c>
      <c r="AX5225">
        <f>AQ5225*AR5225*AS5225*AT5225*AU5225*AV5225*AW5225</f>
        <v/>
      </c>
    </row>
    <row r="5226">
      <c r="A5226" t="inlineStr"/>
      <c r="B5226">
        <f>Assumptions!$B$60</f>
        <v/>
      </c>
      <c r="C5226" t="n">
        <v>1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>
        <f>(1-C5226)*Assumptions!$B$41+(1-D5226)*Assumptions!$B$33+(1-E5226)*Assumptions!$B$32+(1-F5226)*Assumptions!$B$31+(1-G5226)*Assumptions!$B$30+(1-H5226)*Assumptions!$B$29+(1-I5226)*Assumptions!$B$28</f>
        <v/>
      </c>
      <c r="K5226">
        <f>C5226*$J$232+D5226*$F$232+E5226*$G$232+F5226*Assumptions!$B$14+G5226*Assumptions!$B$13+H5226*Assumptions!$B$12+I5226*Assumptions!$B$11+$O$232+$S$232+Assumptions!$B$9</f>
        <v/>
      </c>
      <c r="L5226">
        <f>B5226-J5226</f>
        <v/>
      </c>
      <c r="M5226">
        <f>IF(K5226&gt;0,IF(L5226/K5226&gt;=Assumptions!$B$37,1,0),0)</f>
        <v/>
      </c>
      <c r="N5226">
        <f>K5226+M5226*Assumptions!$B$153</f>
        <v/>
      </c>
      <c r="O5226">
        <f>L5226+M5226*Assumptions!$B$153*Assumptions!$B$37</f>
        <v/>
      </c>
      <c r="P5226">
        <f>IF(N5226&gt;0,O5226/N5226,0)</f>
        <v/>
      </c>
      <c r="Q5226">
        <f>IF(C5226=1,P5226*$J$232,Assumptions!$B$41)</f>
        <v/>
      </c>
      <c r="R5226">
        <f>IF(D5226=1,P5226*$F$232,Assumptions!$B$33)</f>
        <v/>
      </c>
      <c r="S5226">
        <f>IF(E5226=1,P5226*$G$232,Assumptions!$B$32)</f>
        <v/>
      </c>
      <c r="T5226">
        <f>IF(F5226=1,P5226*Assumptions!$B$14,Assumptions!$B$31)</f>
        <v/>
      </c>
      <c r="U5226">
        <f>IF(G5226=1,P5226*Assumptions!$B$13,Assumptions!$B$30)</f>
        <v/>
      </c>
      <c r="V5226">
        <f>IF(H5226=1,P5226*Assumptions!$B$12,Assumptions!$B$29)</f>
        <v/>
      </c>
      <c r="W5226">
        <f>IF(I5226=1,P5226*Assumptions!$B$11,Assumptions!$B$28)</f>
        <v/>
      </c>
      <c r="X5226">
        <f>P5226*($O$232+$S$232)</f>
        <v/>
      </c>
      <c r="Y5226">
        <f>P5226*Assumptions!$B$9</f>
        <v/>
      </c>
      <c r="Z5226">
        <f>IF(M5226=1,(P5226-Assumptions!$B$37)*Assumptions!$B$153,0)</f>
        <v/>
      </c>
      <c r="AA5226">
        <f>Q5226+R5226+S5226+T5226+U5226+V5226+W5226+X5226+Y5226+Z5226</f>
        <v/>
      </c>
      <c r="AB5226" t="n">
        <v>98</v>
      </c>
      <c r="AC5226" t="n">
        <v>34</v>
      </c>
      <c r="AD5226" t="n">
        <v>66</v>
      </c>
      <c r="AE5226" t="n">
        <v>114</v>
      </c>
      <c r="AF5226" t="n">
        <v>106</v>
      </c>
      <c r="AG5226" t="n">
        <v>102</v>
      </c>
      <c r="AH5226" t="n">
        <v>96</v>
      </c>
      <c r="AI5226" t="n">
        <v>99</v>
      </c>
      <c r="AJ5226">
        <f>INDEX($Q$5128:$Q$5255,AC5226+1)</f>
        <v/>
      </c>
      <c r="AK5226">
        <f>INDEX($R$5128:$R$5255,AD5226+1)</f>
        <v/>
      </c>
      <c r="AL5226">
        <f>INDEX($S$5128:$S$5255,AE5226+1)</f>
        <v/>
      </c>
      <c r="AM5226">
        <f>INDEX($T$5128:$T$5255,AF5226+1)</f>
        <v/>
      </c>
      <c r="AN5226">
        <f>INDEX($U$5128:$U$5255,AG5226+1)</f>
        <v/>
      </c>
      <c r="AO5226">
        <f>INDEX($V$5128:$V$5255,AH5226+1)</f>
        <v/>
      </c>
      <c r="AP5226">
        <f>INDEX($W$5128:$W$5255,AI5226+1)</f>
        <v/>
      </c>
      <c r="AQ5226">
        <f>IF(Q5226&gt;=AJ5226-0.01,1,0)</f>
        <v/>
      </c>
      <c r="AR5226">
        <f>IF(R5226&gt;=AK5226-0.01,1,0)</f>
        <v/>
      </c>
      <c r="AS5226">
        <f>IF(S5226&gt;=AL5226-0.01,1,0)</f>
        <v/>
      </c>
      <c r="AT5226">
        <f>IF(T5226&gt;=AM5226-0.01,1,0)</f>
        <v/>
      </c>
      <c r="AU5226">
        <f>IF(U5226&gt;=AN5226-0.01,1,0)</f>
        <v/>
      </c>
      <c r="AV5226">
        <f>IF(V5226&gt;=AO5226-0.01,1,0)</f>
        <v/>
      </c>
      <c r="AW5226">
        <f>IF(W5226&gt;=AP5226-0.01,1,0)</f>
        <v/>
      </c>
      <c r="AX5226">
        <f>AQ5226*AR5226*AS5226*AT5226*AU5226*AV5226*AW5226</f>
        <v/>
      </c>
    </row>
    <row r="5227">
      <c r="A5227" t="inlineStr"/>
      <c r="B5227">
        <f>Assumptions!$B$60</f>
        <v/>
      </c>
      <c r="C5227" t="n">
        <v>1</v>
      </c>
      <c r="D5227" t="n">
        <v>1</v>
      </c>
      <c r="E5227" t="n">
        <v>0</v>
      </c>
      <c r="F5227" t="n">
        <v>0</v>
      </c>
      <c r="G5227" t="n">
        <v>0</v>
      </c>
      <c r="H5227" t="n">
        <v>1</v>
      </c>
      <c r="I5227" t="n">
        <v>1</v>
      </c>
      <c r="J5227">
        <f>(1-C5227)*Assumptions!$B$41+(1-D5227)*Assumptions!$B$33+(1-E5227)*Assumptions!$B$32+(1-F5227)*Assumptions!$B$31+(1-G5227)*Assumptions!$B$30+(1-H5227)*Assumptions!$B$29+(1-I5227)*Assumptions!$B$28</f>
        <v/>
      </c>
      <c r="K5227">
        <f>C5227*$J$232+D5227*$F$232+E5227*$G$232+F5227*Assumptions!$B$14+G5227*Assumptions!$B$13+H5227*Assumptions!$B$12+I5227*Assumptions!$B$11+$O$232+$S$232+Assumptions!$B$9</f>
        <v/>
      </c>
      <c r="L5227">
        <f>B5227-J5227</f>
        <v/>
      </c>
      <c r="M5227">
        <f>IF(K5227&gt;0,IF(L5227/K5227&gt;=Assumptions!$B$37,1,0),0)</f>
        <v/>
      </c>
      <c r="N5227">
        <f>K5227+M5227*Assumptions!$B$153</f>
        <v/>
      </c>
      <c r="O5227">
        <f>L5227+M5227*Assumptions!$B$153*Assumptions!$B$37</f>
        <v/>
      </c>
      <c r="P5227">
        <f>IF(N5227&gt;0,O5227/N5227,0)</f>
        <v/>
      </c>
      <c r="Q5227">
        <f>IF(C5227=1,P5227*$J$232,Assumptions!$B$41)</f>
        <v/>
      </c>
      <c r="R5227">
        <f>IF(D5227=1,P5227*$F$232,Assumptions!$B$33)</f>
        <v/>
      </c>
      <c r="S5227">
        <f>IF(E5227=1,P5227*$G$232,Assumptions!$B$32)</f>
        <v/>
      </c>
      <c r="T5227">
        <f>IF(F5227=1,P5227*Assumptions!$B$14,Assumptions!$B$31)</f>
        <v/>
      </c>
      <c r="U5227">
        <f>IF(G5227=1,P5227*Assumptions!$B$13,Assumptions!$B$30)</f>
        <v/>
      </c>
      <c r="V5227">
        <f>IF(H5227=1,P5227*Assumptions!$B$12,Assumptions!$B$29)</f>
        <v/>
      </c>
      <c r="W5227">
        <f>IF(I5227=1,P5227*Assumptions!$B$11,Assumptions!$B$28)</f>
        <v/>
      </c>
      <c r="X5227">
        <f>P5227*($O$232+$S$232)</f>
        <v/>
      </c>
      <c r="Y5227">
        <f>P5227*Assumptions!$B$9</f>
        <v/>
      </c>
      <c r="Z5227">
        <f>IF(M5227=1,(P5227-Assumptions!$B$37)*Assumptions!$B$153,0)</f>
        <v/>
      </c>
      <c r="AA5227">
        <f>Q5227+R5227+S5227+T5227+U5227+V5227+W5227+X5227+Y5227+Z5227</f>
        <v/>
      </c>
      <c r="AB5227" t="n">
        <v>99</v>
      </c>
      <c r="AC5227" t="n">
        <v>35</v>
      </c>
      <c r="AD5227" t="n">
        <v>67</v>
      </c>
      <c r="AE5227" t="n">
        <v>115</v>
      </c>
      <c r="AF5227" t="n">
        <v>107</v>
      </c>
      <c r="AG5227" t="n">
        <v>103</v>
      </c>
      <c r="AH5227" t="n">
        <v>97</v>
      </c>
      <c r="AI5227" t="n">
        <v>98</v>
      </c>
      <c r="AJ5227">
        <f>INDEX($Q$5128:$Q$5255,AC5227+1)</f>
        <v/>
      </c>
      <c r="AK5227">
        <f>INDEX($R$5128:$R$5255,AD5227+1)</f>
        <v/>
      </c>
      <c r="AL5227">
        <f>INDEX($S$5128:$S$5255,AE5227+1)</f>
        <v/>
      </c>
      <c r="AM5227">
        <f>INDEX($T$5128:$T$5255,AF5227+1)</f>
        <v/>
      </c>
      <c r="AN5227">
        <f>INDEX($U$5128:$U$5255,AG5227+1)</f>
        <v/>
      </c>
      <c r="AO5227">
        <f>INDEX($V$5128:$V$5255,AH5227+1)</f>
        <v/>
      </c>
      <c r="AP5227">
        <f>INDEX($W$5128:$W$5255,AI5227+1)</f>
        <v/>
      </c>
      <c r="AQ5227">
        <f>IF(Q5227&gt;=AJ5227-0.01,1,0)</f>
        <v/>
      </c>
      <c r="AR5227">
        <f>IF(R5227&gt;=AK5227-0.01,1,0)</f>
        <v/>
      </c>
      <c r="AS5227">
        <f>IF(S5227&gt;=AL5227-0.01,1,0)</f>
        <v/>
      </c>
      <c r="AT5227">
        <f>IF(T5227&gt;=AM5227-0.01,1,0)</f>
        <v/>
      </c>
      <c r="AU5227">
        <f>IF(U5227&gt;=AN5227-0.01,1,0)</f>
        <v/>
      </c>
      <c r="AV5227">
        <f>IF(V5227&gt;=AO5227-0.01,1,0)</f>
        <v/>
      </c>
      <c r="AW5227">
        <f>IF(W5227&gt;=AP5227-0.01,1,0)</f>
        <v/>
      </c>
      <c r="AX5227">
        <f>AQ5227*AR5227*AS5227*AT5227*AU5227*AV5227*AW5227</f>
        <v/>
      </c>
    </row>
    <row r="5228">
      <c r="A5228" t="inlineStr"/>
      <c r="B5228">
        <f>Assumptions!$B$60</f>
        <v/>
      </c>
      <c r="C5228" t="n">
        <v>1</v>
      </c>
      <c r="D5228" t="n">
        <v>1</v>
      </c>
      <c r="E5228" t="n">
        <v>0</v>
      </c>
      <c r="F5228" t="n">
        <v>0</v>
      </c>
      <c r="G5228" t="n">
        <v>1</v>
      </c>
      <c r="H5228" t="n">
        <v>0</v>
      </c>
      <c r="I5228" t="n">
        <v>0</v>
      </c>
      <c r="J5228">
        <f>(1-C5228)*Assumptions!$B$41+(1-D5228)*Assumptions!$B$33+(1-E5228)*Assumptions!$B$32+(1-F5228)*Assumptions!$B$31+(1-G5228)*Assumptions!$B$30+(1-H5228)*Assumptions!$B$29+(1-I5228)*Assumptions!$B$28</f>
        <v/>
      </c>
      <c r="K5228">
        <f>C5228*$J$232+D5228*$F$232+E5228*$G$232+F5228*Assumptions!$B$14+G5228*Assumptions!$B$13+H5228*Assumptions!$B$12+I5228*Assumptions!$B$11+$O$232+$S$232+Assumptions!$B$9</f>
        <v/>
      </c>
      <c r="L5228">
        <f>B5228-J5228</f>
        <v/>
      </c>
      <c r="M5228">
        <f>IF(K5228&gt;0,IF(L5228/K5228&gt;=Assumptions!$B$37,1,0),0)</f>
        <v/>
      </c>
      <c r="N5228">
        <f>K5228+M5228*Assumptions!$B$153</f>
        <v/>
      </c>
      <c r="O5228">
        <f>L5228+M5228*Assumptions!$B$153*Assumptions!$B$37</f>
        <v/>
      </c>
      <c r="P5228">
        <f>IF(N5228&gt;0,O5228/N5228,0)</f>
        <v/>
      </c>
      <c r="Q5228">
        <f>IF(C5228=1,P5228*$J$232,Assumptions!$B$41)</f>
        <v/>
      </c>
      <c r="R5228">
        <f>IF(D5228=1,P5228*$F$232,Assumptions!$B$33)</f>
        <v/>
      </c>
      <c r="S5228">
        <f>IF(E5228=1,P5228*$G$232,Assumptions!$B$32)</f>
        <v/>
      </c>
      <c r="T5228">
        <f>IF(F5228=1,P5228*Assumptions!$B$14,Assumptions!$B$31)</f>
        <v/>
      </c>
      <c r="U5228">
        <f>IF(G5228=1,P5228*Assumptions!$B$13,Assumptions!$B$30)</f>
        <v/>
      </c>
      <c r="V5228">
        <f>IF(H5228=1,P5228*Assumptions!$B$12,Assumptions!$B$29)</f>
        <v/>
      </c>
      <c r="W5228">
        <f>IF(I5228=1,P5228*Assumptions!$B$11,Assumptions!$B$28)</f>
        <v/>
      </c>
      <c r="X5228">
        <f>P5228*($O$232+$S$232)</f>
        <v/>
      </c>
      <c r="Y5228">
        <f>P5228*Assumptions!$B$9</f>
        <v/>
      </c>
      <c r="Z5228">
        <f>IF(M5228=1,(P5228-Assumptions!$B$37)*Assumptions!$B$153,0)</f>
        <v/>
      </c>
      <c r="AA5228">
        <f>Q5228+R5228+S5228+T5228+U5228+V5228+W5228+X5228+Y5228+Z5228</f>
        <v/>
      </c>
      <c r="AB5228" t="n">
        <v>100</v>
      </c>
      <c r="AC5228" t="n">
        <v>36</v>
      </c>
      <c r="AD5228" t="n">
        <v>68</v>
      </c>
      <c r="AE5228" t="n">
        <v>116</v>
      </c>
      <c r="AF5228" t="n">
        <v>108</v>
      </c>
      <c r="AG5228" t="n">
        <v>96</v>
      </c>
      <c r="AH5228" t="n">
        <v>102</v>
      </c>
      <c r="AI5228" t="n">
        <v>101</v>
      </c>
      <c r="AJ5228">
        <f>INDEX($Q$5128:$Q$5255,AC5228+1)</f>
        <v/>
      </c>
      <c r="AK5228">
        <f>INDEX($R$5128:$R$5255,AD5228+1)</f>
        <v/>
      </c>
      <c r="AL5228">
        <f>INDEX($S$5128:$S$5255,AE5228+1)</f>
        <v/>
      </c>
      <c r="AM5228">
        <f>INDEX($T$5128:$T$5255,AF5228+1)</f>
        <v/>
      </c>
      <c r="AN5228">
        <f>INDEX($U$5128:$U$5255,AG5228+1)</f>
        <v/>
      </c>
      <c r="AO5228">
        <f>INDEX($V$5128:$V$5255,AH5228+1)</f>
        <v/>
      </c>
      <c r="AP5228">
        <f>INDEX($W$5128:$W$5255,AI5228+1)</f>
        <v/>
      </c>
      <c r="AQ5228">
        <f>IF(Q5228&gt;=AJ5228-0.01,1,0)</f>
        <v/>
      </c>
      <c r="AR5228">
        <f>IF(R5228&gt;=AK5228-0.01,1,0)</f>
        <v/>
      </c>
      <c r="AS5228">
        <f>IF(S5228&gt;=AL5228-0.01,1,0)</f>
        <v/>
      </c>
      <c r="AT5228">
        <f>IF(T5228&gt;=AM5228-0.01,1,0)</f>
        <v/>
      </c>
      <c r="AU5228">
        <f>IF(U5228&gt;=AN5228-0.01,1,0)</f>
        <v/>
      </c>
      <c r="AV5228">
        <f>IF(V5228&gt;=AO5228-0.01,1,0)</f>
        <v/>
      </c>
      <c r="AW5228">
        <f>IF(W5228&gt;=AP5228-0.01,1,0)</f>
        <v/>
      </c>
      <c r="AX5228">
        <f>AQ5228*AR5228*AS5228*AT5228*AU5228*AV5228*AW5228</f>
        <v/>
      </c>
    </row>
    <row r="5229">
      <c r="A5229" t="inlineStr"/>
      <c r="B5229">
        <f>Assumptions!$B$60</f>
        <v/>
      </c>
      <c r="C5229" t="n">
        <v>1</v>
      </c>
      <c r="D5229" t="n">
        <v>1</v>
      </c>
      <c r="E5229" t="n">
        <v>0</v>
      </c>
      <c r="F5229" t="n">
        <v>0</v>
      </c>
      <c r="G5229" t="n">
        <v>1</v>
      </c>
      <c r="H5229" t="n">
        <v>0</v>
      </c>
      <c r="I5229" t="n">
        <v>1</v>
      </c>
      <c r="J5229">
        <f>(1-C5229)*Assumptions!$B$41+(1-D5229)*Assumptions!$B$33+(1-E5229)*Assumptions!$B$32+(1-F5229)*Assumptions!$B$31+(1-G5229)*Assumptions!$B$30+(1-H5229)*Assumptions!$B$29+(1-I5229)*Assumptions!$B$28</f>
        <v/>
      </c>
      <c r="K5229">
        <f>C5229*$J$232+D5229*$F$232+E5229*$G$232+F5229*Assumptions!$B$14+G5229*Assumptions!$B$13+H5229*Assumptions!$B$12+I5229*Assumptions!$B$11+$O$232+$S$232+Assumptions!$B$9</f>
        <v/>
      </c>
      <c r="L5229">
        <f>B5229-J5229</f>
        <v/>
      </c>
      <c r="M5229">
        <f>IF(K5229&gt;0,IF(L5229/K5229&gt;=Assumptions!$B$37,1,0),0)</f>
        <v/>
      </c>
      <c r="N5229">
        <f>K5229+M5229*Assumptions!$B$153</f>
        <v/>
      </c>
      <c r="O5229">
        <f>L5229+M5229*Assumptions!$B$153*Assumptions!$B$37</f>
        <v/>
      </c>
      <c r="P5229">
        <f>IF(N5229&gt;0,O5229/N5229,0)</f>
        <v/>
      </c>
      <c r="Q5229">
        <f>IF(C5229=1,P5229*$J$232,Assumptions!$B$41)</f>
        <v/>
      </c>
      <c r="R5229">
        <f>IF(D5229=1,P5229*$F$232,Assumptions!$B$33)</f>
        <v/>
      </c>
      <c r="S5229">
        <f>IF(E5229=1,P5229*$G$232,Assumptions!$B$32)</f>
        <v/>
      </c>
      <c r="T5229">
        <f>IF(F5229=1,P5229*Assumptions!$B$14,Assumptions!$B$31)</f>
        <v/>
      </c>
      <c r="U5229">
        <f>IF(G5229=1,P5229*Assumptions!$B$13,Assumptions!$B$30)</f>
        <v/>
      </c>
      <c r="V5229">
        <f>IF(H5229=1,P5229*Assumptions!$B$12,Assumptions!$B$29)</f>
        <v/>
      </c>
      <c r="W5229">
        <f>IF(I5229=1,P5229*Assumptions!$B$11,Assumptions!$B$28)</f>
        <v/>
      </c>
      <c r="X5229">
        <f>P5229*($O$232+$S$232)</f>
        <v/>
      </c>
      <c r="Y5229">
        <f>P5229*Assumptions!$B$9</f>
        <v/>
      </c>
      <c r="Z5229">
        <f>IF(M5229=1,(P5229-Assumptions!$B$37)*Assumptions!$B$153,0)</f>
        <v/>
      </c>
      <c r="AA5229">
        <f>Q5229+R5229+S5229+T5229+U5229+V5229+W5229+X5229+Y5229+Z5229</f>
        <v/>
      </c>
      <c r="AB5229" t="n">
        <v>101</v>
      </c>
      <c r="AC5229" t="n">
        <v>37</v>
      </c>
      <c r="AD5229" t="n">
        <v>69</v>
      </c>
      <c r="AE5229" t="n">
        <v>117</v>
      </c>
      <c r="AF5229" t="n">
        <v>109</v>
      </c>
      <c r="AG5229" t="n">
        <v>97</v>
      </c>
      <c r="AH5229" t="n">
        <v>103</v>
      </c>
      <c r="AI5229" t="n">
        <v>100</v>
      </c>
      <c r="AJ5229">
        <f>INDEX($Q$5128:$Q$5255,AC5229+1)</f>
        <v/>
      </c>
      <c r="AK5229">
        <f>INDEX($R$5128:$R$5255,AD5229+1)</f>
        <v/>
      </c>
      <c r="AL5229">
        <f>INDEX($S$5128:$S$5255,AE5229+1)</f>
        <v/>
      </c>
      <c r="AM5229">
        <f>INDEX($T$5128:$T$5255,AF5229+1)</f>
        <v/>
      </c>
      <c r="AN5229">
        <f>INDEX($U$5128:$U$5255,AG5229+1)</f>
        <v/>
      </c>
      <c r="AO5229">
        <f>INDEX($V$5128:$V$5255,AH5229+1)</f>
        <v/>
      </c>
      <c r="AP5229">
        <f>INDEX($W$5128:$W$5255,AI5229+1)</f>
        <v/>
      </c>
      <c r="AQ5229">
        <f>IF(Q5229&gt;=AJ5229-0.01,1,0)</f>
        <v/>
      </c>
      <c r="AR5229">
        <f>IF(R5229&gt;=AK5229-0.01,1,0)</f>
        <v/>
      </c>
      <c r="AS5229">
        <f>IF(S5229&gt;=AL5229-0.01,1,0)</f>
        <v/>
      </c>
      <c r="AT5229">
        <f>IF(T5229&gt;=AM5229-0.01,1,0)</f>
        <v/>
      </c>
      <c r="AU5229">
        <f>IF(U5229&gt;=AN5229-0.01,1,0)</f>
        <v/>
      </c>
      <c r="AV5229">
        <f>IF(V5229&gt;=AO5229-0.01,1,0)</f>
        <v/>
      </c>
      <c r="AW5229">
        <f>IF(W5229&gt;=AP5229-0.01,1,0)</f>
        <v/>
      </c>
      <c r="AX5229">
        <f>AQ5229*AR5229*AS5229*AT5229*AU5229*AV5229*AW5229</f>
        <v/>
      </c>
    </row>
    <row r="5230">
      <c r="A5230" t="inlineStr"/>
      <c r="B5230">
        <f>Assumptions!$B$60</f>
        <v/>
      </c>
      <c r="C5230" t="n">
        <v>1</v>
      </c>
      <c r="D5230" t="n">
        <v>1</v>
      </c>
      <c r="E5230" t="n">
        <v>0</v>
      </c>
      <c r="F5230" t="n">
        <v>0</v>
      </c>
      <c r="G5230" t="n">
        <v>1</v>
      </c>
      <c r="H5230" t="n">
        <v>1</v>
      </c>
      <c r="I5230" t="n">
        <v>0</v>
      </c>
      <c r="J5230">
        <f>(1-C5230)*Assumptions!$B$41+(1-D5230)*Assumptions!$B$33+(1-E5230)*Assumptions!$B$32+(1-F5230)*Assumptions!$B$31+(1-G5230)*Assumptions!$B$30+(1-H5230)*Assumptions!$B$29+(1-I5230)*Assumptions!$B$28</f>
        <v/>
      </c>
      <c r="K5230">
        <f>C5230*$J$232+D5230*$F$232+E5230*$G$232+F5230*Assumptions!$B$14+G5230*Assumptions!$B$13+H5230*Assumptions!$B$12+I5230*Assumptions!$B$11+$O$232+$S$232+Assumptions!$B$9</f>
        <v/>
      </c>
      <c r="L5230">
        <f>B5230-J5230</f>
        <v/>
      </c>
      <c r="M5230">
        <f>IF(K5230&gt;0,IF(L5230/K5230&gt;=Assumptions!$B$37,1,0),0)</f>
        <v/>
      </c>
      <c r="N5230">
        <f>K5230+M5230*Assumptions!$B$153</f>
        <v/>
      </c>
      <c r="O5230">
        <f>L5230+M5230*Assumptions!$B$153*Assumptions!$B$37</f>
        <v/>
      </c>
      <c r="P5230">
        <f>IF(N5230&gt;0,O5230/N5230,0)</f>
        <v/>
      </c>
      <c r="Q5230">
        <f>IF(C5230=1,P5230*$J$232,Assumptions!$B$41)</f>
        <v/>
      </c>
      <c r="R5230">
        <f>IF(D5230=1,P5230*$F$232,Assumptions!$B$33)</f>
        <v/>
      </c>
      <c r="S5230">
        <f>IF(E5230=1,P5230*$G$232,Assumptions!$B$32)</f>
        <v/>
      </c>
      <c r="T5230">
        <f>IF(F5230=1,P5230*Assumptions!$B$14,Assumptions!$B$31)</f>
        <v/>
      </c>
      <c r="U5230">
        <f>IF(G5230=1,P5230*Assumptions!$B$13,Assumptions!$B$30)</f>
        <v/>
      </c>
      <c r="V5230">
        <f>IF(H5230=1,P5230*Assumptions!$B$12,Assumptions!$B$29)</f>
        <v/>
      </c>
      <c r="W5230">
        <f>IF(I5230=1,P5230*Assumptions!$B$11,Assumptions!$B$28)</f>
        <v/>
      </c>
      <c r="X5230">
        <f>P5230*($O$232+$S$232)</f>
        <v/>
      </c>
      <c r="Y5230">
        <f>P5230*Assumptions!$B$9</f>
        <v/>
      </c>
      <c r="Z5230">
        <f>IF(M5230=1,(P5230-Assumptions!$B$37)*Assumptions!$B$153,0)</f>
        <v/>
      </c>
      <c r="AA5230">
        <f>Q5230+R5230+S5230+T5230+U5230+V5230+W5230+X5230+Y5230+Z5230</f>
        <v/>
      </c>
      <c r="AB5230" t="n">
        <v>102</v>
      </c>
      <c r="AC5230" t="n">
        <v>38</v>
      </c>
      <c r="AD5230" t="n">
        <v>70</v>
      </c>
      <c r="AE5230" t="n">
        <v>118</v>
      </c>
      <c r="AF5230" t="n">
        <v>110</v>
      </c>
      <c r="AG5230" t="n">
        <v>98</v>
      </c>
      <c r="AH5230" t="n">
        <v>100</v>
      </c>
      <c r="AI5230" t="n">
        <v>103</v>
      </c>
      <c r="AJ5230">
        <f>INDEX($Q$5128:$Q$5255,AC5230+1)</f>
        <v/>
      </c>
      <c r="AK5230">
        <f>INDEX($R$5128:$R$5255,AD5230+1)</f>
        <v/>
      </c>
      <c r="AL5230">
        <f>INDEX($S$5128:$S$5255,AE5230+1)</f>
        <v/>
      </c>
      <c r="AM5230">
        <f>INDEX($T$5128:$T$5255,AF5230+1)</f>
        <v/>
      </c>
      <c r="AN5230">
        <f>INDEX($U$5128:$U$5255,AG5230+1)</f>
        <v/>
      </c>
      <c r="AO5230">
        <f>INDEX($V$5128:$V$5255,AH5230+1)</f>
        <v/>
      </c>
      <c r="AP5230">
        <f>INDEX($W$5128:$W$5255,AI5230+1)</f>
        <v/>
      </c>
      <c r="AQ5230">
        <f>IF(Q5230&gt;=AJ5230-0.01,1,0)</f>
        <v/>
      </c>
      <c r="AR5230">
        <f>IF(R5230&gt;=AK5230-0.01,1,0)</f>
        <v/>
      </c>
      <c r="AS5230">
        <f>IF(S5230&gt;=AL5230-0.01,1,0)</f>
        <v/>
      </c>
      <c r="AT5230">
        <f>IF(T5230&gt;=AM5230-0.01,1,0)</f>
        <v/>
      </c>
      <c r="AU5230">
        <f>IF(U5230&gt;=AN5230-0.01,1,0)</f>
        <v/>
      </c>
      <c r="AV5230">
        <f>IF(V5230&gt;=AO5230-0.01,1,0)</f>
        <v/>
      </c>
      <c r="AW5230">
        <f>IF(W5230&gt;=AP5230-0.01,1,0)</f>
        <v/>
      </c>
      <c r="AX5230">
        <f>AQ5230*AR5230*AS5230*AT5230*AU5230*AV5230*AW5230</f>
        <v/>
      </c>
    </row>
    <row r="5231">
      <c r="A5231" t="inlineStr"/>
      <c r="B5231">
        <f>Assumptions!$B$60</f>
        <v/>
      </c>
      <c r="C5231" t="n">
        <v>1</v>
      </c>
      <c r="D5231" t="n">
        <v>1</v>
      </c>
      <c r="E5231" t="n">
        <v>0</v>
      </c>
      <c r="F5231" t="n">
        <v>0</v>
      </c>
      <c r="G5231" t="n">
        <v>1</v>
      </c>
      <c r="H5231" t="n">
        <v>1</v>
      </c>
      <c r="I5231" t="n">
        <v>1</v>
      </c>
      <c r="J5231">
        <f>(1-C5231)*Assumptions!$B$41+(1-D5231)*Assumptions!$B$33+(1-E5231)*Assumptions!$B$32+(1-F5231)*Assumptions!$B$31+(1-G5231)*Assumptions!$B$30+(1-H5231)*Assumptions!$B$29+(1-I5231)*Assumptions!$B$28</f>
        <v/>
      </c>
      <c r="K5231">
        <f>C5231*$J$232+D5231*$F$232+E5231*$G$232+F5231*Assumptions!$B$14+G5231*Assumptions!$B$13+H5231*Assumptions!$B$12+I5231*Assumptions!$B$11+$O$232+$S$232+Assumptions!$B$9</f>
        <v/>
      </c>
      <c r="L5231">
        <f>B5231-J5231</f>
        <v/>
      </c>
      <c r="M5231">
        <f>IF(K5231&gt;0,IF(L5231/K5231&gt;=Assumptions!$B$37,1,0),0)</f>
        <v/>
      </c>
      <c r="N5231">
        <f>K5231+M5231*Assumptions!$B$153</f>
        <v/>
      </c>
      <c r="O5231">
        <f>L5231+M5231*Assumptions!$B$153*Assumptions!$B$37</f>
        <v/>
      </c>
      <c r="P5231">
        <f>IF(N5231&gt;0,O5231/N5231,0)</f>
        <v/>
      </c>
      <c r="Q5231">
        <f>IF(C5231=1,P5231*$J$232,Assumptions!$B$41)</f>
        <v/>
      </c>
      <c r="R5231">
        <f>IF(D5231=1,P5231*$F$232,Assumptions!$B$33)</f>
        <v/>
      </c>
      <c r="S5231">
        <f>IF(E5231=1,P5231*$G$232,Assumptions!$B$32)</f>
        <v/>
      </c>
      <c r="T5231">
        <f>IF(F5231=1,P5231*Assumptions!$B$14,Assumptions!$B$31)</f>
        <v/>
      </c>
      <c r="U5231">
        <f>IF(G5231=1,P5231*Assumptions!$B$13,Assumptions!$B$30)</f>
        <v/>
      </c>
      <c r="V5231">
        <f>IF(H5231=1,P5231*Assumptions!$B$12,Assumptions!$B$29)</f>
        <v/>
      </c>
      <c r="W5231">
        <f>IF(I5231=1,P5231*Assumptions!$B$11,Assumptions!$B$28)</f>
        <v/>
      </c>
      <c r="X5231">
        <f>P5231*($O$232+$S$232)</f>
        <v/>
      </c>
      <c r="Y5231">
        <f>P5231*Assumptions!$B$9</f>
        <v/>
      </c>
      <c r="Z5231">
        <f>IF(M5231=1,(P5231-Assumptions!$B$37)*Assumptions!$B$153,0)</f>
        <v/>
      </c>
      <c r="AA5231">
        <f>Q5231+R5231+S5231+T5231+U5231+V5231+W5231+X5231+Y5231+Z5231</f>
        <v/>
      </c>
      <c r="AB5231" t="n">
        <v>103</v>
      </c>
      <c r="AC5231" t="n">
        <v>39</v>
      </c>
      <c r="AD5231" t="n">
        <v>71</v>
      </c>
      <c r="AE5231" t="n">
        <v>119</v>
      </c>
      <c r="AF5231" t="n">
        <v>111</v>
      </c>
      <c r="AG5231" t="n">
        <v>99</v>
      </c>
      <c r="AH5231" t="n">
        <v>101</v>
      </c>
      <c r="AI5231" t="n">
        <v>102</v>
      </c>
      <c r="AJ5231">
        <f>INDEX($Q$5128:$Q$5255,AC5231+1)</f>
        <v/>
      </c>
      <c r="AK5231">
        <f>INDEX($R$5128:$R$5255,AD5231+1)</f>
        <v/>
      </c>
      <c r="AL5231">
        <f>INDEX($S$5128:$S$5255,AE5231+1)</f>
        <v/>
      </c>
      <c r="AM5231">
        <f>INDEX($T$5128:$T$5255,AF5231+1)</f>
        <v/>
      </c>
      <c r="AN5231">
        <f>INDEX($U$5128:$U$5255,AG5231+1)</f>
        <v/>
      </c>
      <c r="AO5231">
        <f>INDEX($V$5128:$V$5255,AH5231+1)</f>
        <v/>
      </c>
      <c r="AP5231">
        <f>INDEX($W$5128:$W$5255,AI5231+1)</f>
        <v/>
      </c>
      <c r="AQ5231">
        <f>IF(Q5231&gt;=AJ5231-0.01,1,0)</f>
        <v/>
      </c>
      <c r="AR5231">
        <f>IF(R5231&gt;=AK5231-0.01,1,0)</f>
        <v/>
      </c>
      <c r="AS5231">
        <f>IF(S5231&gt;=AL5231-0.01,1,0)</f>
        <v/>
      </c>
      <c r="AT5231">
        <f>IF(T5231&gt;=AM5231-0.01,1,0)</f>
        <v/>
      </c>
      <c r="AU5231">
        <f>IF(U5231&gt;=AN5231-0.01,1,0)</f>
        <v/>
      </c>
      <c r="AV5231">
        <f>IF(V5231&gt;=AO5231-0.01,1,0)</f>
        <v/>
      </c>
      <c r="AW5231">
        <f>IF(W5231&gt;=AP5231-0.01,1,0)</f>
        <v/>
      </c>
      <c r="AX5231">
        <f>AQ5231*AR5231*AS5231*AT5231*AU5231*AV5231*AW5231</f>
        <v/>
      </c>
    </row>
    <row r="5232">
      <c r="A5232" t="inlineStr"/>
      <c r="B5232">
        <f>Assumptions!$B$60</f>
        <v/>
      </c>
      <c r="C5232" t="n">
        <v>1</v>
      </c>
      <c r="D5232" t="n">
        <v>1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>
        <f>(1-C5232)*Assumptions!$B$41+(1-D5232)*Assumptions!$B$33+(1-E5232)*Assumptions!$B$32+(1-F5232)*Assumptions!$B$31+(1-G5232)*Assumptions!$B$30+(1-H5232)*Assumptions!$B$29+(1-I5232)*Assumptions!$B$28</f>
        <v/>
      </c>
      <c r="K5232">
        <f>C5232*$J$232+D5232*$F$232+E5232*$G$232+F5232*Assumptions!$B$14+G5232*Assumptions!$B$13+H5232*Assumptions!$B$12+I5232*Assumptions!$B$11+$O$232+$S$232+Assumptions!$B$9</f>
        <v/>
      </c>
      <c r="L5232">
        <f>B5232-J5232</f>
        <v/>
      </c>
      <c r="M5232">
        <f>IF(K5232&gt;0,IF(L5232/K5232&gt;=Assumptions!$B$37,1,0),0)</f>
        <v/>
      </c>
      <c r="N5232">
        <f>K5232+M5232*Assumptions!$B$153</f>
        <v/>
      </c>
      <c r="O5232">
        <f>L5232+M5232*Assumptions!$B$153*Assumptions!$B$37</f>
        <v/>
      </c>
      <c r="P5232">
        <f>IF(N5232&gt;0,O5232/N5232,0)</f>
        <v/>
      </c>
      <c r="Q5232">
        <f>IF(C5232=1,P5232*$J$232,Assumptions!$B$41)</f>
        <v/>
      </c>
      <c r="R5232">
        <f>IF(D5232=1,P5232*$F$232,Assumptions!$B$33)</f>
        <v/>
      </c>
      <c r="S5232">
        <f>IF(E5232=1,P5232*$G$232,Assumptions!$B$32)</f>
        <v/>
      </c>
      <c r="T5232">
        <f>IF(F5232=1,P5232*Assumptions!$B$14,Assumptions!$B$31)</f>
        <v/>
      </c>
      <c r="U5232">
        <f>IF(G5232=1,P5232*Assumptions!$B$13,Assumptions!$B$30)</f>
        <v/>
      </c>
      <c r="V5232">
        <f>IF(H5232=1,P5232*Assumptions!$B$12,Assumptions!$B$29)</f>
        <v/>
      </c>
      <c r="W5232">
        <f>IF(I5232=1,P5232*Assumptions!$B$11,Assumptions!$B$28)</f>
        <v/>
      </c>
      <c r="X5232">
        <f>P5232*($O$232+$S$232)</f>
        <v/>
      </c>
      <c r="Y5232">
        <f>P5232*Assumptions!$B$9</f>
        <v/>
      </c>
      <c r="Z5232">
        <f>IF(M5232=1,(P5232-Assumptions!$B$37)*Assumptions!$B$153,0)</f>
        <v/>
      </c>
      <c r="AA5232">
        <f>Q5232+R5232+S5232+T5232+U5232+V5232+W5232+X5232+Y5232+Z5232</f>
        <v/>
      </c>
      <c r="AB5232" t="n">
        <v>104</v>
      </c>
      <c r="AC5232" t="n">
        <v>40</v>
      </c>
      <c r="AD5232" t="n">
        <v>72</v>
      </c>
      <c r="AE5232" t="n">
        <v>120</v>
      </c>
      <c r="AF5232" t="n">
        <v>96</v>
      </c>
      <c r="AG5232" t="n">
        <v>108</v>
      </c>
      <c r="AH5232" t="n">
        <v>106</v>
      </c>
      <c r="AI5232" t="n">
        <v>105</v>
      </c>
      <c r="AJ5232">
        <f>INDEX($Q$5128:$Q$5255,AC5232+1)</f>
        <v/>
      </c>
      <c r="AK5232">
        <f>INDEX($R$5128:$R$5255,AD5232+1)</f>
        <v/>
      </c>
      <c r="AL5232">
        <f>INDEX($S$5128:$S$5255,AE5232+1)</f>
        <v/>
      </c>
      <c r="AM5232">
        <f>INDEX($T$5128:$T$5255,AF5232+1)</f>
        <v/>
      </c>
      <c r="AN5232">
        <f>INDEX($U$5128:$U$5255,AG5232+1)</f>
        <v/>
      </c>
      <c r="AO5232">
        <f>INDEX($V$5128:$V$5255,AH5232+1)</f>
        <v/>
      </c>
      <c r="AP5232">
        <f>INDEX($W$5128:$W$5255,AI5232+1)</f>
        <v/>
      </c>
      <c r="AQ5232">
        <f>IF(Q5232&gt;=AJ5232-0.01,1,0)</f>
        <v/>
      </c>
      <c r="AR5232">
        <f>IF(R5232&gt;=AK5232-0.01,1,0)</f>
        <v/>
      </c>
      <c r="AS5232">
        <f>IF(S5232&gt;=AL5232-0.01,1,0)</f>
        <v/>
      </c>
      <c r="AT5232">
        <f>IF(T5232&gt;=AM5232-0.01,1,0)</f>
        <v/>
      </c>
      <c r="AU5232">
        <f>IF(U5232&gt;=AN5232-0.01,1,0)</f>
        <v/>
      </c>
      <c r="AV5232">
        <f>IF(V5232&gt;=AO5232-0.01,1,0)</f>
        <v/>
      </c>
      <c r="AW5232">
        <f>IF(W5232&gt;=AP5232-0.01,1,0)</f>
        <v/>
      </c>
      <c r="AX5232">
        <f>AQ5232*AR5232*AS5232*AT5232*AU5232*AV5232*AW5232</f>
        <v/>
      </c>
    </row>
    <row r="5233">
      <c r="A5233" t="inlineStr"/>
      <c r="B5233">
        <f>Assumptions!$B$60</f>
        <v/>
      </c>
      <c r="C5233" t="n">
        <v>1</v>
      </c>
      <c r="D5233" t="n">
        <v>1</v>
      </c>
      <c r="E5233" t="n">
        <v>0</v>
      </c>
      <c r="F5233" t="n">
        <v>1</v>
      </c>
      <c r="G5233" t="n">
        <v>0</v>
      </c>
      <c r="H5233" t="n">
        <v>0</v>
      </c>
      <c r="I5233" t="n">
        <v>1</v>
      </c>
      <c r="J5233">
        <f>(1-C5233)*Assumptions!$B$41+(1-D5233)*Assumptions!$B$33+(1-E5233)*Assumptions!$B$32+(1-F5233)*Assumptions!$B$31+(1-G5233)*Assumptions!$B$30+(1-H5233)*Assumptions!$B$29+(1-I5233)*Assumptions!$B$28</f>
        <v/>
      </c>
      <c r="K5233">
        <f>C5233*$J$232+D5233*$F$232+E5233*$G$232+F5233*Assumptions!$B$14+G5233*Assumptions!$B$13+H5233*Assumptions!$B$12+I5233*Assumptions!$B$11+$O$232+$S$232+Assumptions!$B$9</f>
        <v/>
      </c>
      <c r="L5233">
        <f>B5233-J5233</f>
        <v/>
      </c>
      <c r="M5233">
        <f>IF(K5233&gt;0,IF(L5233/K5233&gt;=Assumptions!$B$37,1,0),0)</f>
        <v/>
      </c>
      <c r="N5233">
        <f>K5233+M5233*Assumptions!$B$153</f>
        <v/>
      </c>
      <c r="O5233">
        <f>L5233+M5233*Assumptions!$B$153*Assumptions!$B$37</f>
        <v/>
      </c>
      <c r="P5233">
        <f>IF(N5233&gt;0,O5233/N5233,0)</f>
        <v/>
      </c>
      <c r="Q5233">
        <f>IF(C5233=1,P5233*$J$232,Assumptions!$B$41)</f>
        <v/>
      </c>
      <c r="R5233">
        <f>IF(D5233=1,P5233*$F$232,Assumptions!$B$33)</f>
        <v/>
      </c>
      <c r="S5233">
        <f>IF(E5233=1,P5233*$G$232,Assumptions!$B$32)</f>
        <v/>
      </c>
      <c r="T5233">
        <f>IF(F5233=1,P5233*Assumptions!$B$14,Assumptions!$B$31)</f>
        <v/>
      </c>
      <c r="U5233">
        <f>IF(G5233=1,P5233*Assumptions!$B$13,Assumptions!$B$30)</f>
        <v/>
      </c>
      <c r="V5233">
        <f>IF(H5233=1,P5233*Assumptions!$B$12,Assumptions!$B$29)</f>
        <v/>
      </c>
      <c r="W5233">
        <f>IF(I5233=1,P5233*Assumptions!$B$11,Assumptions!$B$28)</f>
        <v/>
      </c>
      <c r="X5233">
        <f>P5233*($O$232+$S$232)</f>
        <v/>
      </c>
      <c r="Y5233">
        <f>P5233*Assumptions!$B$9</f>
        <v/>
      </c>
      <c r="Z5233">
        <f>IF(M5233=1,(P5233-Assumptions!$B$37)*Assumptions!$B$153,0)</f>
        <v/>
      </c>
      <c r="AA5233">
        <f>Q5233+R5233+S5233+T5233+U5233+V5233+W5233+X5233+Y5233+Z5233</f>
        <v/>
      </c>
      <c r="AB5233" t="n">
        <v>105</v>
      </c>
      <c r="AC5233" t="n">
        <v>41</v>
      </c>
      <c r="AD5233" t="n">
        <v>73</v>
      </c>
      <c r="AE5233" t="n">
        <v>121</v>
      </c>
      <c r="AF5233" t="n">
        <v>97</v>
      </c>
      <c r="AG5233" t="n">
        <v>109</v>
      </c>
      <c r="AH5233" t="n">
        <v>107</v>
      </c>
      <c r="AI5233" t="n">
        <v>104</v>
      </c>
      <c r="AJ5233">
        <f>INDEX($Q$5128:$Q$5255,AC5233+1)</f>
        <v/>
      </c>
      <c r="AK5233">
        <f>INDEX($R$5128:$R$5255,AD5233+1)</f>
        <v/>
      </c>
      <c r="AL5233">
        <f>INDEX($S$5128:$S$5255,AE5233+1)</f>
        <v/>
      </c>
      <c r="AM5233">
        <f>INDEX($T$5128:$T$5255,AF5233+1)</f>
        <v/>
      </c>
      <c r="AN5233">
        <f>INDEX($U$5128:$U$5255,AG5233+1)</f>
        <v/>
      </c>
      <c r="AO5233">
        <f>INDEX($V$5128:$V$5255,AH5233+1)</f>
        <v/>
      </c>
      <c r="AP5233">
        <f>INDEX($W$5128:$W$5255,AI5233+1)</f>
        <v/>
      </c>
      <c r="AQ5233">
        <f>IF(Q5233&gt;=AJ5233-0.01,1,0)</f>
        <v/>
      </c>
      <c r="AR5233">
        <f>IF(R5233&gt;=AK5233-0.01,1,0)</f>
        <v/>
      </c>
      <c r="AS5233">
        <f>IF(S5233&gt;=AL5233-0.01,1,0)</f>
        <v/>
      </c>
      <c r="AT5233">
        <f>IF(T5233&gt;=AM5233-0.01,1,0)</f>
        <v/>
      </c>
      <c r="AU5233">
        <f>IF(U5233&gt;=AN5233-0.01,1,0)</f>
        <v/>
      </c>
      <c r="AV5233">
        <f>IF(V5233&gt;=AO5233-0.01,1,0)</f>
        <v/>
      </c>
      <c r="AW5233">
        <f>IF(W5233&gt;=AP5233-0.01,1,0)</f>
        <v/>
      </c>
      <c r="AX5233">
        <f>AQ5233*AR5233*AS5233*AT5233*AU5233*AV5233*AW5233</f>
        <v/>
      </c>
    </row>
    <row r="5234">
      <c r="A5234" t="inlineStr"/>
      <c r="B5234">
        <f>Assumptions!$B$60</f>
        <v/>
      </c>
      <c r="C5234" t="n">
        <v>1</v>
      </c>
      <c r="D5234" t="n">
        <v>1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>
        <f>(1-C5234)*Assumptions!$B$41+(1-D5234)*Assumptions!$B$33+(1-E5234)*Assumptions!$B$32+(1-F5234)*Assumptions!$B$31+(1-G5234)*Assumptions!$B$30+(1-H5234)*Assumptions!$B$29+(1-I5234)*Assumptions!$B$28</f>
        <v/>
      </c>
      <c r="K5234">
        <f>C5234*$J$232+D5234*$F$232+E5234*$G$232+F5234*Assumptions!$B$14+G5234*Assumptions!$B$13+H5234*Assumptions!$B$12+I5234*Assumptions!$B$11+$O$232+$S$232+Assumptions!$B$9</f>
        <v/>
      </c>
      <c r="L5234">
        <f>B5234-J5234</f>
        <v/>
      </c>
      <c r="M5234">
        <f>IF(K5234&gt;0,IF(L5234/K5234&gt;=Assumptions!$B$37,1,0),0)</f>
        <v/>
      </c>
      <c r="N5234">
        <f>K5234+M5234*Assumptions!$B$153</f>
        <v/>
      </c>
      <c r="O5234">
        <f>L5234+M5234*Assumptions!$B$153*Assumptions!$B$37</f>
        <v/>
      </c>
      <c r="P5234">
        <f>IF(N5234&gt;0,O5234/N5234,0)</f>
        <v/>
      </c>
      <c r="Q5234">
        <f>IF(C5234=1,P5234*$J$232,Assumptions!$B$41)</f>
        <v/>
      </c>
      <c r="R5234">
        <f>IF(D5234=1,P5234*$F$232,Assumptions!$B$33)</f>
        <v/>
      </c>
      <c r="S5234">
        <f>IF(E5234=1,P5234*$G$232,Assumptions!$B$32)</f>
        <v/>
      </c>
      <c r="T5234">
        <f>IF(F5234=1,P5234*Assumptions!$B$14,Assumptions!$B$31)</f>
        <v/>
      </c>
      <c r="U5234">
        <f>IF(G5234=1,P5234*Assumptions!$B$13,Assumptions!$B$30)</f>
        <v/>
      </c>
      <c r="V5234">
        <f>IF(H5234=1,P5234*Assumptions!$B$12,Assumptions!$B$29)</f>
        <v/>
      </c>
      <c r="W5234">
        <f>IF(I5234=1,P5234*Assumptions!$B$11,Assumptions!$B$28)</f>
        <v/>
      </c>
      <c r="X5234">
        <f>P5234*($O$232+$S$232)</f>
        <v/>
      </c>
      <c r="Y5234">
        <f>P5234*Assumptions!$B$9</f>
        <v/>
      </c>
      <c r="Z5234">
        <f>IF(M5234=1,(P5234-Assumptions!$B$37)*Assumptions!$B$153,0)</f>
        <v/>
      </c>
      <c r="AA5234">
        <f>Q5234+R5234+S5234+T5234+U5234+V5234+W5234+X5234+Y5234+Z5234</f>
        <v/>
      </c>
      <c r="AB5234" t="n">
        <v>106</v>
      </c>
      <c r="AC5234" t="n">
        <v>42</v>
      </c>
      <c r="AD5234" t="n">
        <v>74</v>
      </c>
      <c r="AE5234" t="n">
        <v>122</v>
      </c>
      <c r="AF5234" t="n">
        <v>98</v>
      </c>
      <c r="AG5234" t="n">
        <v>110</v>
      </c>
      <c r="AH5234" t="n">
        <v>104</v>
      </c>
      <c r="AI5234" t="n">
        <v>107</v>
      </c>
      <c r="AJ5234">
        <f>INDEX($Q$5128:$Q$5255,AC5234+1)</f>
        <v/>
      </c>
      <c r="AK5234">
        <f>INDEX($R$5128:$R$5255,AD5234+1)</f>
        <v/>
      </c>
      <c r="AL5234">
        <f>INDEX($S$5128:$S$5255,AE5234+1)</f>
        <v/>
      </c>
      <c r="AM5234">
        <f>INDEX($T$5128:$T$5255,AF5234+1)</f>
        <v/>
      </c>
      <c r="AN5234">
        <f>INDEX($U$5128:$U$5255,AG5234+1)</f>
        <v/>
      </c>
      <c r="AO5234">
        <f>INDEX($V$5128:$V$5255,AH5234+1)</f>
        <v/>
      </c>
      <c r="AP5234">
        <f>INDEX($W$5128:$W$5255,AI5234+1)</f>
        <v/>
      </c>
      <c r="AQ5234">
        <f>IF(Q5234&gt;=AJ5234-0.01,1,0)</f>
        <v/>
      </c>
      <c r="AR5234">
        <f>IF(R5234&gt;=AK5234-0.01,1,0)</f>
        <v/>
      </c>
      <c r="AS5234">
        <f>IF(S5234&gt;=AL5234-0.01,1,0)</f>
        <v/>
      </c>
      <c r="AT5234">
        <f>IF(T5234&gt;=AM5234-0.01,1,0)</f>
        <v/>
      </c>
      <c r="AU5234">
        <f>IF(U5234&gt;=AN5234-0.01,1,0)</f>
        <v/>
      </c>
      <c r="AV5234">
        <f>IF(V5234&gt;=AO5234-0.01,1,0)</f>
        <v/>
      </c>
      <c r="AW5234">
        <f>IF(W5234&gt;=AP5234-0.01,1,0)</f>
        <v/>
      </c>
      <c r="AX5234">
        <f>AQ5234*AR5234*AS5234*AT5234*AU5234*AV5234*AW5234</f>
        <v/>
      </c>
    </row>
    <row r="5235">
      <c r="A5235" t="inlineStr"/>
      <c r="B5235">
        <f>Assumptions!$B$60</f>
        <v/>
      </c>
      <c r="C5235" t="n">
        <v>1</v>
      </c>
      <c r="D5235" t="n">
        <v>1</v>
      </c>
      <c r="E5235" t="n">
        <v>0</v>
      </c>
      <c r="F5235" t="n">
        <v>1</v>
      </c>
      <c r="G5235" t="n">
        <v>0</v>
      </c>
      <c r="H5235" t="n">
        <v>1</v>
      </c>
      <c r="I5235" t="n">
        <v>1</v>
      </c>
      <c r="J5235">
        <f>(1-C5235)*Assumptions!$B$41+(1-D5235)*Assumptions!$B$33+(1-E5235)*Assumptions!$B$32+(1-F5235)*Assumptions!$B$31+(1-G5235)*Assumptions!$B$30+(1-H5235)*Assumptions!$B$29+(1-I5235)*Assumptions!$B$28</f>
        <v/>
      </c>
      <c r="K5235">
        <f>C5235*$J$232+D5235*$F$232+E5235*$G$232+F5235*Assumptions!$B$14+G5235*Assumptions!$B$13+H5235*Assumptions!$B$12+I5235*Assumptions!$B$11+$O$232+$S$232+Assumptions!$B$9</f>
        <v/>
      </c>
      <c r="L5235">
        <f>B5235-J5235</f>
        <v/>
      </c>
      <c r="M5235">
        <f>IF(K5235&gt;0,IF(L5235/K5235&gt;=Assumptions!$B$37,1,0),0)</f>
        <v/>
      </c>
      <c r="N5235">
        <f>K5235+M5235*Assumptions!$B$153</f>
        <v/>
      </c>
      <c r="O5235">
        <f>L5235+M5235*Assumptions!$B$153*Assumptions!$B$37</f>
        <v/>
      </c>
      <c r="P5235">
        <f>IF(N5235&gt;0,O5235/N5235,0)</f>
        <v/>
      </c>
      <c r="Q5235">
        <f>IF(C5235=1,P5235*$J$232,Assumptions!$B$41)</f>
        <v/>
      </c>
      <c r="R5235">
        <f>IF(D5235=1,P5235*$F$232,Assumptions!$B$33)</f>
        <v/>
      </c>
      <c r="S5235">
        <f>IF(E5235=1,P5235*$G$232,Assumptions!$B$32)</f>
        <v/>
      </c>
      <c r="T5235">
        <f>IF(F5235=1,P5235*Assumptions!$B$14,Assumptions!$B$31)</f>
        <v/>
      </c>
      <c r="U5235">
        <f>IF(G5235=1,P5235*Assumptions!$B$13,Assumptions!$B$30)</f>
        <v/>
      </c>
      <c r="V5235">
        <f>IF(H5235=1,P5235*Assumptions!$B$12,Assumptions!$B$29)</f>
        <v/>
      </c>
      <c r="W5235">
        <f>IF(I5235=1,P5235*Assumptions!$B$11,Assumptions!$B$28)</f>
        <v/>
      </c>
      <c r="X5235">
        <f>P5235*($O$232+$S$232)</f>
        <v/>
      </c>
      <c r="Y5235">
        <f>P5235*Assumptions!$B$9</f>
        <v/>
      </c>
      <c r="Z5235">
        <f>IF(M5235=1,(P5235-Assumptions!$B$37)*Assumptions!$B$153,0)</f>
        <v/>
      </c>
      <c r="AA5235">
        <f>Q5235+R5235+S5235+T5235+U5235+V5235+W5235+X5235+Y5235+Z5235</f>
        <v/>
      </c>
      <c r="AB5235" t="n">
        <v>107</v>
      </c>
      <c r="AC5235" t="n">
        <v>43</v>
      </c>
      <c r="AD5235" t="n">
        <v>75</v>
      </c>
      <c r="AE5235" t="n">
        <v>123</v>
      </c>
      <c r="AF5235" t="n">
        <v>99</v>
      </c>
      <c r="AG5235" t="n">
        <v>111</v>
      </c>
      <c r="AH5235" t="n">
        <v>105</v>
      </c>
      <c r="AI5235" t="n">
        <v>106</v>
      </c>
      <c r="AJ5235">
        <f>INDEX($Q$5128:$Q$5255,AC5235+1)</f>
        <v/>
      </c>
      <c r="AK5235">
        <f>INDEX($R$5128:$R$5255,AD5235+1)</f>
        <v/>
      </c>
      <c r="AL5235">
        <f>INDEX($S$5128:$S$5255,AE5235+1)</f>
        <v/>
      </c>
      <c r="AM5235">
        <f>INDEX($T$5128:$T$5255,AF5235+1)</f>
        <v/>
      </c>
      <c r="AN5235">
        <f>INDEX($U$5128:$U$5255,AG5235+1)</f>
        <v/>
      </c>
      <c r="AO5235">
        <f>INDEX($V$5128:$V$5255,AH5235+1)</f>
        <v/>
      </c>
      <c r="AP5235">
        <f>INDEX($W$5128:$W$5255,AI5235+1)</f>
        <v/>
      </c>
      <c r="AQ5235">
        <f>IF(Q5235&gt;=AJ5235-0.01,1,0)</f>
        <v/>
      </c>
      <c r="AR5235">
        <f>IF(R5235&gt;=AK5235-0.01,1,0)</f>
        <v/>
      </c>
      <c r="AS5235">
        <f>IF(S5235&gt;=AL5235-0.01,1,0)</f>
        <v/>
      </c>
      <c r="AT5235">
        <f>IF(T5235&gt;=AM5235-0.01,1,0)</f>
        <v/>
      </c>
      <c r="AU5235">
        <f>IF(U5235&gt;=AN5235-0.01,1,0)</f>
        <v/>
      </c>
      <c r="AV5235">
        <f>IF(V5235&gt;=AO5235-0.01,1,0)</f>
        <v/>
      </c>
      <c r="AW5235">
        <f>IF(W5235&gt;=AP5235-0.01,1,0)</f>
        <v/>
      </c>
      <c r="AX5235">
        <f>AQ5235*AR5235*AS5235*AT5235*AU5235*AV5235*AW5235</f>
        <v/>
      </c>
    </row>
    <row r="5236">
      <c r="A5236" t="inlineStr"/>
      <c r="B5236">
        <f>Assumptions!$B$60</f>
        <v/>
      </c>
      <c r="C5236" t="n">
        <v>1</v>
      </c>
      <c r="D5236" t="n">
        <v>1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>
        <f>(1-C5236)*Assumptions!$B$41+(1-D5236)*Assumptions!$B$33+(1-E5236)*Assumptions!$B$32+(1-F5236)*Assumptions!$B$31+(1-G5236)*Assumptions!$B$30+(1-H5236)*Assumptions!$B$29+(1-I5236)*Assumptions!$B$28</f>
        <v/>
      </c>
      <c r="K5236">
        <f>C5236*$J$232+D5236*$F$232+E5236*$G$232+F5236*Assumptions!$B$14+G5236*Assumptions!$B$13+H5236*Assumptions!$B$12+I5236*Assumptions!$B$11+$O$232+$S$232+Assumptions!$B$9</f>
        <v/>
      </c>
      <c r="L5236">
        <f>B5236-J5236</f>
        <v/>
      </c>
      <c r="M5236">
        <f>IF(K5236&gt;0,IF(L5236/K5236&gt;=Assumptions!$B$37,1,0),0)</f>
        <v/>
      </c>
      <c r="N5236">
        <f>K5236+M5236*Assumptions!$B$153</f>
        <v/>
      </c>
      <c r="O5236">
        <f>L5236+M5236*Assumptions!$B$153*Assumptions!$B$37</f>
        <v/>
      </c>
      <c r="P5236">
        <f>IF(N5236&gt;0,O5236/N5236,0)</f>
        <v/>
      </c>
      <c r="Q5236">
        <f>IF(C5236=1,P5236*$J$232,Assumptions!$B$41)</f>
        <v/>
      </c>
      <c r="R5236">
        <f>IF(D5236=1,P5236*$F$232,Assumptions!$B$33)</f>
        <v/>
      </c>
      <c r="S5236">
        <f>IF(E5236=1,P5236*$G$232,Assumptions!$B$32)</f>
        <v/>
      </c>
      <c r="T5236">
        <f>IF(F5236=1,P5236*Assumptions!$B$14,Assumptions!$B$31)</f>
        <v/>
      </c>
      <c r="U5236">
        <f>IF(G5236=1,P5236*Assumptions!$B$13,Assumptions!$B$30)</f>
        <v/>
      </c>
      <c r="V5236">
        <f>IF(H5236=1,P5236*Assumptions!$B$12,Assumptions!$B$29)</f>
        <v/>
      </c>
      <c r="W5236">
        <f>IF(I5236=1,P5236*Assumptions!$B$11,Assumptions!$B$28)</f>
        <v/>
      </c>
      <c r="X5236">
        <f>P5236*($O$232+$S$232)</f>
        <v/>
      </c>
      <c r="Y5236">
        <f>P5236*Assumptions!$B$9</f>
        <v/>
      </c>
      <c r="Z5236">
        <f>IF(M5236=1,(P5236-Assumptions!$B$37)*Assumptions!$B$153,0)</f>
        <v/>
      </c>
      <c r="AA5236">
        <f>Q5236+R5236+S5236+T5236+U5236+V5236+W5236+X5236+Y5236+Z5236</f>
        <v/>
      </c>
      <c r="AB5236" t="n">
        <v>108</v>
      </c>
      <c r="AC5236" t="n">
        <v>44</v>
      </c>
      <c r="AD5236" t="n">
        <v>76</v>
      </c>
      <c r="AE5236" t="n">
        <v>124</v>
      </c>
      <c r="AF5236" t="n">
        <v>100</v>
      </c>
      <c r="AG5236" t="n">
        <v>104</v>
      </c>
      <c r="AH5236" t="n">
        <v>110</v>
      </c>
      <c r="AI5236" t="n">
        <v>109</v>
      </c>
      <c r="AJ5236">
        <f>INDEX($Q$5128:$Q$5255,AC5236+1)</f>
        <v/>
      </c>
      <c r="AK5236">
        <f>INDEX($R$5128:$R$5255,AD5236+1)</f>
        <v/>
      </c>
      <c r="AL5236">
        <f>INDEX($S$5128:$S$5255,AE5236+1)</f>
        <v/>
      </c>
      <c r="AM5236">
        <f>INDEX($T$5128:$T$5255,AF5236+1)</f>
        <v/>
      </c>
      <c r="AN5236">
        <f>INDEX($U$5128:$U$5255,AG5236+1)</f>
        <v/>
      </c>
      <c r="AO5236">
        <f>INDEX($V$5128:$V$5255,AH5236+1)</f>
        <v/>
      </c>
      <c r="AP5236">
        <f>INDEX($W$5128:$W$5255,AI5236+1)</f>
        <v/>
      </c>
      <c r="AQ5236">
        <f>IF(Q5236&gt;=AJ5236-0.01,1,0)</f>
        <v/>
      </c>
      <c r="AR5236">
        <f>IF(R5236&gt;=AK5236-0.01,1,0)</f>
        <v/>
      </c>
      <c r="AS5236">
        <f>IF(S5236&gt;=AL5236-0.01,1,0)</f>
        <v/>
      </c>
      <c r="AT5236">
        <f>IF(T5236&gt;=AM5236-0.01,1,0)</f>
        <v/>
      </c>
      <c r="AU5236">
        <f>IF(U5236&gt;=AN5236-0.01,1,0)</f>
        <v/>
      </c>
      <c r="AV5236">
        <f>IF(V5236&gt;=AO5236-0.01,1,0)</f>
        <v/>
      </c>
      <c r="AW5236">
        <f>IF(W5236&gt;=AP5236-0.01,1,0)</f>
        <v/>
      </c>
      <c r="AX5236">
        <f>AQ5236*AR5236*AS5236*AT5236*AU5236*AV5236*AW5236</f>
        <v/>
      </c>
    </row>
    <row r="5237">
      <c r="A5237" t="inlineStr"/>
      <c r="B5237">
        <f>Assumptions!$B$60</f>
        <v/>
      </c>
      <c r="C5237" t="n">
        <v>1</v>
      </c>
      <c r="D5237" t="n">
        <v>1</v>
      </c>
      <c r="E5237" t="n">
        <v>0</v>
      </c>
      <c r="F5237" t="n">
        <v>1</v>
      </c>
      <c r="G5237" t="n">
        <v>1</v>
      </c>
      <c r="H5237" t="n">
        <v>0</v>
      </c>
      <c r="I5237" t="n">
        <v>1</v>
      </c>
      <c r="J5237">
        <f>(1-C5237)*Assumptions!$B$41+(1-D5237)*Assumptions!$B$33+(1-E5237)*Assumptions!$B$32+(1-F5237)*Assumptions!$B$31+(1-G5237)*Assumptions!$B$30+(1-H5237)*Assumptions!$B$29+(1-I5237)*Assumptions!$B$28</f>
        <v/>
      </c>
      <c r="K5237">
        <f>C5237*$J$232+D5237*$F$232+E5237*$G$232+F5237*Assumptions!$B$14+G5237*Assumptions!$B$13+H5237*Assumptions!$B$12+I5237*Assumptions!$B$11+$O$232+$S$232+Assumptions!$B$9</f>
        <v/>
      </c>
      <c r="L5237">
        <f>B5237-J5237</f>
        <v/>
      </c>
      <c r="M5237">
        <f>IF(K5237&gt;0,IF(L5237/K5237&gt;=Assumptions!$B$37,1,0),0)</f>
        <v/>
      </c>
      <c r="N5237">
        <f>K5237+M5237*Assumptions!$B$153</f>
        <v/>
      </c>
      <c r="O5237">
        <f>L5237+M5237*Assumptions!$B$153*Assumptions!$B$37</f>
        <v/>
      </c>
      <c r="P5237">
        <f>IF(N5237&gt;0,O5237/N5237,0)</f>
        <v/>
      </c>
      <c r="Q5237">
        <f>IF(C5237=1,P5237*$J$232,Assumptions!$B$41)</f>
        <v/>
      </c>
      <c r="R5237">
        <f>IF(D5237=1,P5237*$F$232,Assumptions!$B$33)</f>
        <v/>
      </c>
      <c r="S5237">
        <f>IF(E5237=1,P5237*$G$232,Assumptions!$B$32)</f>
        <v/>
      </c>
      <c r="T5237">
        <f>IF(F5237=1,P5237*Assumptions!$B$14,Assumptions!$B$31)</f>
        <v/>
      </c>
      <c r="U5237">
        <f>IF(G5237=1,P5237*Assumptions!$B$13,Assumptions!$B$30)</f>
        <v/>
      </c>
      <c r="V5237">
        <f>IF(H5237=1,P5237*Assumptions!$B$12,Assumptions!$B$29)</f>
        <v/>
      </c>
      <c r="W5237">
        <f>IF(I5237=1,P5237*Assumptions!$B$11,Assumptions!$B$28)</f>
        <v/>
      </c>
      <c r="X5237">
        <f>P5237*($O$232+$S$232)</f>
        <v/>
      </c>
      <c r="Y5237">
        <f>P5237*Assumptions!$B$9</f>
        <v/>
      </c>
      <c r="Z5237">
        <f>IF(M5237=1,(P5237-Assumptions!$B$37)*Assumptions!$B$153,0)</f>
        <v/>
      </c>
      <c r="AA5237">
        <f>Q5237+R5237+S5237+T5237+U5237+V5237+W5237+X5237+Y5237+Z5237</f>
        <v/>
      </c>
      <c r="AB5237" t="n">
        <v>109</v>
      </c>
      <c r="AC5237" t="n">
        <v>45</v>
      </c>
      <c r="AD5237" t="n">
        <v>77</v>
      </c>
      <c r="AE5237" t="n">
        <v>125</v>
      </c>
      <c r="AF5237" t="n">
        <v>101</v>
      </c>
      <c r="AG5237" t="n">
        <v>105</v>
      </c>
      <c r="AH5237" t="n">
        <v>111</v>
      </c>
      <c r="AI5237" t="n">
        <v>108</v>
      </c>
      <c r="AJ5237">
        <f>INDEX($Q$5128:$Q$5255,AC5237+1)</f>
        <v/>
      </c>
      <c r="AK5237">
        <f>INDEX($R$5128:$R$5255,AD5237+1)</f>
        <v/>
      </c>
      <c r="AL5237">
        <f>INDEX($S$5128:$S$5255,AE5237+1)</f>
        <v/>
      </c>
      <c r="AM5237">
        <f>INDEX($T$5128:$T$5255,AF5237+1)</f>
        <v/>
      </c>
      <c r="AN5237">
        <f>INDEX($U$5128:$U$5255,AG5237+1)</f>
        <v/>
      </c>
      <c r="AO5237">
        <f>INDEX($V$5128:$V$5255,AH5237+1)</f>
        <v/>
      </c>
      <c r="AP5237">
        <f>INDEX($W$5128:$W$5255,AI5237+1)</f>
        <v/>
      </c>
      <c r="AQ5237">
        <f>IF(Q5237&gt;=AJ5237-0.01,1,0)</f>
        <v/>
      </c>
      <c r="AR5237">
        <f>IF(R5237&gt;=AK5237-0.01,1,0)</f>
        <v/>
      </c>
      <c r="AS5237">
        <f>IF(S5237&gt;=AL5237-0.01,1,0)</f>
        <v/>
      </c>
      <c r="AT5237">
        <f>IF(T5237&gt;=AM5237-0.01,1,0)</f>
        <v/>
      </c>
      <c r="AU5237">
        <f>IF(U5237&gt;=AN5237-0.01,1,0)</f>
        <v/>
      </c>
      <c r="AV5237">
        <f>IF(V5237&gt;=AO5237-0.01,1,0)</f>
        <v/>
      </c>
      <c r="AW5237">
        <f>IF(W5237&gt;=AP5237-0.01,1,0)</f>
        <v/>
      </c>
      <c r="AX5237">
        <f>AQ5237*AR5237*AS5237*AT5237*AU5237*AV5237*AW5237</f>
        <v/>
      </c>
    </row>
    <row r="5238">
      <c r="A5238" t="inlineStr"/>
      <c r="B5238">
        <f>Assumptions!$B$60</f>
        <v/>
      </c>
      <c r="C5238" t="n">
        <v>1</v>
      </c>
      <c r="D5238" t="n">
        <v>1</v>
      </c>
      <c r="E5238" t="n">
        <v>0</v>
      </c>
      <c r="F5238" t="n">
        <v>1</v>
      </c>
      <c r="G5238" t="n">
        <v>1</v>
      </c>
      <c r="H5238" t="n">
        <v>1</v>
      </c>
      <c r="I5238" t="n">
        <v>0</v>
      </c>
      <c r="J5238">
        <f>(1-C5238)*Assumptions!$B$41+(1-D5238)*Assumptions!$B$33+(1-E5238)*Assumptions!$B$32+(1-F5238)*Assumptions!$B$31+(1-G5238)*Assumptions!$B$30+(1-H5238)*Assumptions!$B$29+(1-I5238)*Assumptions!$B$28</f>
        <v/>
      </c>
      <c r="K5238">
        <f>C5238*$J$232+D5238*$F$232+E5238*$G$232+F5238*Assumptions!$B$14+G5238*Assumptions!$B$13+H5238*Assumptions!$B$12+I5238*Assumptions!$B$11+$O$232+$S$232+Assumptions!$B$9</f>
        <v/>
      </c>
      <c r="L5238">
        <f>B5238-J5238</f>
        <v/>
      </c>
      <c r="M5238">
        <f>IF(K5238&gt;0,IF(L5238/K5238&gt;=Assumptions!$B$37,1,0),0)</f>
        <v/>
      </c>
      <c r="N5238">
        <f>K5238+M5238*Assumptions!$B$153</f>
        <v/>
      </c>
      <c r="O5238">
        <f>L5238+M5238*Assumptions!$B$153*Assumptions!$B$37</f>
        <v/>
      </c>
      <c r="P5238">
        <f>IF(N5238&gt;0,O5238/N5238,0)</f>
        <v/>
      </c>
      <c r="Q5238">
        <f>IF(C5238=1,P5238*$J$232,Assumptions!$B$41)</f>
        <v/>
      </c>
      <c r="R5238">
        <f>IF(D5238=1,P5238*$F$232,Assumptions!$B$33)</f>
        <v/>
      </c>
      <c r="S5238">
        <f>IF(E5238=1,P5238*$G$232,Assumptions!$B$32)</f>
        <v/>
      </c>
      <c r="T5238">
        <f>IF(F5238=1,P5238*Assumptions!$B$14,Assumptions!$B$31)</f>
        <v/>
      </c>
      <c r="U5238">
        <f>IF(G5238=1,P5238*Assumptions!$B$13,Assumptions!$B$30)</f>
        <v/>
      </c>
      <c r="V5238">
        <f>IF(H5238=1,P5238*Assumptions!$B$12,Assumptions!$B$29)</f>
        <v/>
      </c>
      <c r="W5238">
        <f>IF(I5238=1,P5238*Assumptions!$B$11,Assumptions!$B$28)</f>
        <v/>
      </c>
      <c r="X5238">
        <f>P5238*($O$232+$S$232)</f>
        <v/>
      </c>
      <c r="Y5238">
        <f>P5238*Assumptions!$B$9</f>
        <v/>
      </c>
      <c r="Z5238">
        <f>IF(M5238=1,(P5238-Assumptions!$B$37)*Assumptions!$B$153,0)</f>
        <v/>
      </c>
      <c r="AA5238">
        <f>Q5238+R5238+S5238+T5238+U5238+V5238+W5238+X5238+Y5238+Z5238</f>
        <v/>
      </c>
      <c r="AB5238" t="n">
        <v>110</v>
      </c>
      <c r="AC5238" t="n">
        <v>46</v>
      </c>
      <c r="AD5238" t="n">
        <v>78</v>
      </c>
      <c r="AE5238" t="n">
        <v>126</v>
      </c>
      <c r="AF5238" t="n">
        <v>102</v>
      </c>
      <c r="AG5238" t="n">
        <v>106</v>
      </c>
      <c r="AH5238" t="n">
        <v>108</v>
      </c>
      <c r="AI5238" t="n">
        <v>111</v>
      </c>
      <c r="AJ5238">
        <f>INDEX($Q$5128:$Q$5255,AC5238+1)</f>
        <v/>
      </c>
      <c r="AK5238">
        <f>INDEX($R$5128:$R$5255,AD5238+1)</f>
        <v/>
      </c>
      <c r="AL5238">
        <f>INDEX($S$5128:$S$5255,AE5238+1)</f>
        <v/>
      </c>
      <c r="AM5238">
        <f>INDEX($T$5128:$T$5255,AF5238+1)</f>
        <v/>
      </c>
      <c r="AN5238">
        <f>INDEX($U$5128:$U$5255,AG5238+1)</f>
        <v/>
      </c>
      <c r="AO5238">
        <f>INDEX($V$5128:$V$5255,AH5238+1)</f>
        <v/>
      </c>
      <c r="AP5238">
        <f>INDEX($W$5128:$W$5255,AI5238+1)</f>
        <v/>
      </c>
      <c r="AQ5238">
        <f>IF(Q5238&gt;=AJ5238-0.01,1,0)</f>
        <v/>
      </c>
      <c r="AR5238">
        <f>IF(R5238&gt;=AK5238-0.01,1,0)</f>
        <v/>
      </c>
      <c r="AS5238">
        <f>IF(S5238&gt;=AL5238-0.01,1,0)</f>
        <v/>
      </c>
      <c r="AT5238">
        <f>IF(T5238&gt;=AM5238-0.01,1,0)</f>
        <v/>
      </c>
      <c r="AU5238">
        <f>IF(U5238&gt;=AN5238-0.01,1,0)</f>
        <v/>
      </c>
      <c r="AV5238">
        <f>IF(V5238&gt;=AO5238-0.01,1,0)</f>
        <v/>
      </c>
      <c r="AW5238">
        <f>IF(W5238&gt;=AP5238-0.01,1,0)</f>
        <v/>
      </c>
      <c r="AX5238">
        <f>AQ5238*AR5238*AS5238*AT5238*AU5238*AV5238*AW5238</f>
        <v/>
      </c>
    </row>
    <row r="5239">
      <c r="A5239" t="inlineStr"/>
      <c r="B5239">
        <f>Assumptions!$B$60</f>
        <v/>
      </c>
      <c r="C5239" t="n">
        <v>1</v>
      </c>
      <c r="D5239" t="n">
        <v>1</v>
      </c>
      <c r="E5239" t="n">
        <v>0</v>
      </c>
      <c r="F5239" t="n">
        <v>1</v>
      </c>
      <c r="G5239" t="n">
        <v>1</v>
      </c>
      <c r="H5239" t="n">
        <v>1</v>
      </c>
      <c r="I5239" t="n">
        <v>1</v>
      </c>
      <c r="J5239">
        <f>(1-C5239)*Assumptions!$B$41+(1-D5239)*Assumptions!$B$33+(1-E5239)*Assumptions!$B$32+(1-F5239)*Assumptions!$B$31+(1-G5239)*Assumptions!$B$30+(1-H5239)*Assumptions!$B$29+(1-I5239)*Assumptions!$B$28</f>
        <v/>
      </c>
      <c r="K5239">
        <f>C5239*$J$232+D5239*$F$232+E5239*$G$232+F5239*Assumptions!$B$14+G5239*Assumptions!$B$13+H5239*Assumptions!$B$12+I5239*Assumptions!$B$11+$O$232+$S$232+Assumptions!$B$9</f>
        <v/>
      </c>
      <c r="L5239">
        <f>B5239-J5239</f>
        <v/>
      </c>
      <c r="M5239">
        <f>IF(K5239&gt;0,IF(L5239/K5239&gt;=Assumptions!$B$37,1,0),0)</f>
        <v/>
      </c>
      <c r="N5239">
        <f>K5239+M5239*Assumptions!$B$153</f>
        <v/>
      </c>
      <c r="O5239">
        <f>L5239+M5239*Assumptions!$B$153*Assumptions!$B$37</f>
        <v/>
      </c>
      <c r="P5239">
        <f>IF(N5239&gt;0,O5239/N5239,0)</f>
        <v/>
      </c>
      <c r="Q5239">
        <f>IF(C5239=1,P5239*$J$232,Assumptions!$B$41)</f>
        <v/>
      </c>
      <c r="R5239">
        <f>IF(D5239=1,P5239*$F$232,Assumptions!$B$33)</f>
        <v/>
      </c>
      <c r="S5239">
        <f>IF(E5239=1,P5239*$G$232,Assumptions!$B$32)</f>
        <v/>
      </c>
      <c r="T5239">
        <f>IF(F5239=1,P5239*Assumptions!$B$14,Assumptions!$B$31)</f>
        <v/>
      </c>
      <c r="U5239">
        <f>IF(G5239=1,P5239*Assumptions!$B$13,Assumptions!$B$30)</f>
        <v/>
      </c>
      <c r="V5239">
        <f>IF(H5239=1,P5239*Assumptions!$B$12,Assumptions!$B$29)</f>
        <v/>
      </c>
      <c r="W5239">
        <f>IF(I5239=1,P5239*Assumptions!$B$11,Assumptions!$B$28)</f>
        <v/>
      </c>
      <c r="X5239">
        <f>P5239*($O$232+$S$232)</f>
        <v/>
      </c>
      <c r="Y5239">
        <f>P5239*Assumptions!$B$9</f>
        <v/>
      </c>
      <c r="Z5239">
        <f>IF(M5239=1,(P5239-Assumptions!$B$37)*Assumptions!$B$153,0)</f>
        <v/>
      </c>
      <c r="AA5239">
        <f>Q5239+R5239+S5239+T5239+U5239+V5239+W5239+X5239+Y5239+Z5239</f>
        <v/>
      </c>
      <c r="AB5239" t="n">
        <v>111</v>
      </c>
      <c r="AC5239" t="n">
        <v>47</v>
      </c>
      <c r="AD5239" t="n">
        <v>79</v>
      </c>
      <c r="AE5239" t="n">
        <v>127</v>
      </c>
      <c r="AF5239" t="n">
        <v>103</v>
      </c>
      <c r="AG5239" t="n">
        <v>107</v>
      </c>
      <c r="AH5239" t="n">
        <v>109</v>
      </c>
      <c r="AI5239" t="n">
        <v>110</v>
      </c>
      <c r="AJ5239">
        <f>INDEX($Q$5128:$Q$5255,AC5239+1)</f>
        <v/>
      </c>
      <c r="AK5239">
        <f>INDEX($R$5128:$R$5255,AD5239+1)</f>
        <v/>
      </c>
      <c r="AL5239">
        <f>INDEX($S$5128:$S$5255,AE5239+1)</f>
        <v/>
      </c>
      <c r="AM5239">
        <f>INDEX($T$5128:$T$5255,AF5239+1)</f>
        <v/>
      </c>
      <c r="AN5239">
        <f>INDEX($U$5128:$U$5255,AG5239+1)</f>
        <v/>
      </c>
      <c r="AO5239">
        <f>INDEX($V$5128:$V$5255,AH5239+1)</f>
        <v/>
      </c>
      <c r="AP5239">
        <f>INDEX($W$5128:$W$5255,AI5239+1)</f>
        <v/>
      </c>
      <c r="AQ5239">
        <f>IF(Q5239&gt;=AJ5239-0.01,1,0)</f>
        <v/>
      </c>
      <c r="AR5239">
        <f>IF(R5239&gt;=AK5239-0.01,1,0)</f>
        <v/>
      </c>
      <c r="AS5239">
        <f>IF(S5239&gt;=AL5239-0.01,1,0)</f>
        <v/>
      </c>
      <c r="AT5239">
        <f>IF(T5239&gt;=AM5239-0.01,1,0)</f>
        <v/>
      </c>
      <c r="AU5239">
        <f>IF(U5239&gt;=AN5239-0.01,1,0)</f>
        <v/>
      </c>
      <c r="AV5239">
        <f>IF(V5239&gt;=AO5239-0.01,1,0)</f>
        <v/>
      </c>
      <c r="AW5239">
        <f>IF(W5239&gt;=AP5239-0.01,1,0)</f>
        <v/>
      </c>
      <c r="AX5239">
        <f>AQ5239*AR5239*AS5239*AT5239*AU5239*AV5239*AW5239</f>
        <v/>
      </c>
    </row>
    <row r="5240">
      <c r="A5240" t="inlineStr"/>
      <c r="B5240">
        <f>Assumptions!$B$60</f>
        <v/>
      </c>
      <c r="C5240" t="n">
        <v>1</v>
      </c>
      <c r="D5240" t="n">
        <v>1</v>
      </c>
      <c r="E5240" t="n">
        <v>1</v>
      </c>
      <c r="F5240" t="n">
        <v>0</v>
      </c>
      <c r="G5240" t="n">
        <v>0</v>
      </c>
      <c r="H5240" t="n">
        <v>0</v>
      </c>
      <c r="I5240" t="n">
        <v>0</v>
      </c>
      <c r="J5240">
        <f>(1-C5240)*Assumptions!$B$41+(1-D5240)*Assumptions!$B$33+(1-E5240)*Assumptions!$B$32+(1-F5240)*Assumptions!$B$31+(1-G5240)*Assumptions!$B$30+(1-H5240)*Assumptions!$B$29+(1-I5240)*Assumptions!$B$28</f>
        <v/>
      </c>
      <c r="K5240">
        <f>C5240*$J$232+D5240*$F$232+E5240*$G$232+F5240*Assumptions!$B$14+G5240*Assumptions!$B$13+H5240*Assumptions!$B$12+I5240*Assumptions!$B$11+$O$232+$S$232+Assumptions!$B$9</f>
        <v/>
      </c>
      <c r="L5240">
        <f>B5240-J5240</f>
        <v/>
      </c>
      <c r="M5240">
        <f>IF(K5240&gt;0,IF(L5240/K5240&gt;=Assumptions!$B$37,1,0),0)</f>
        <v/>
      </c>
      <c r="N5240">
        <f>K5240+M5240*Assumptions!$B$153</f>
        <v/>
      </c>
      <c r="O5240">
        <f>L5240+M5240*Assumptions!$B$153*Assumptions!$B$37</f>
        <v/>
      </c>
      <c r="P5240">
        <f>IF(N5240&gt;0,O5240/N5240,0)</f>
        <v/>
      </c>
      <c r="Q5240">
        <f>IF(C5240=1,P5240*$J$232,Assumptions!$B$41)</f>
        <v/>
      </c>
      <c r="R5240">
        <f>IF(D5240=1,P5240*$F$232,Assumptions!$B$33)</f>
        <v/>
      </c>
      <c r="S5240">
        <f>IF(E5240=1,P5240*$G$232,Assumptions!$B$32)</f>
        <v/>
      </c>
      <c r="T5240">
        <f>IF(F5240=1,P5240*Assumptions!$B$14,Assumptions!$B$31)</f>
        <v/>
      </c>
      <c r="U5240">
        <f>IF(G5240=1,P5240*Assumptions!$B$13,Assumptions!$B$30)</f>
        <v/>
      </c>
      <c r="V5240">
        <f>IF(H5240=1,P5240*Assumptions!$B$12,Assumptions!$B$29)</f>
        <v/>
      </c>
      <c r="W5240">
        <f>IF(I5240=1,P5240*Assumptions!$B$11,Assumptions!$B$28)</f>
        <v/>
      </c>
      <c r="X5240">
        <f>P5240*($O$232+$S$232)</f>
        <v/>
      </c>
      <c r="Y5240">
        <f>P5240*Assumptions!$B$9</f>
        <v/>
      </c>
      <c r="Z5240">
        <f>IF(M5240=1,(P5240-Assumptions!$B$37)*Assumptions!$B$153,0)</f>
        <v/>
      </c>
      <c r="AA5240">
        <f>Q5240+R5240+S5240+T5240+U5240+V5240+W5240+X5240+Y5240+Z5240</f>
        <v/>
      </c>
      <c r="AB5240" t="n">
        <v>112</v>
      </c>
      <c r="AC5240" t="n">
        <v>48</v>
      </c>
      <c r="AD5240" t="n">
        <v>80</v>
      </c>
      <c r="AE5240" t="n">
        <v>96</v>
      </c>
      <c r="AF5240" t="n">
        <v>120</v>
      </c>
      <c r="AG5240" t="n">
        <v>116</v>
      </c>
      <c r="AH5240" t="n">
        <v>114</v>
      </c>
      <c r="AI5240" t="n">
        <v>113</v>
      </c>
      <c r="AJ5240">
        <f>INDEX($Q$5128:$Q$5255,AC5240+1)</f>
        <v/>
      </c>
      <c r="AK5240">
        <f>INDEX($R$5128:$R$5255,AD5240+1)</f>
        <v/>
      </c>
      <c r="AL5240">
        <f>INDEX($S$5128:$S$5255,AE5240+1)</f>
        <v/>
      </c>
      <c r="AM5240">
        <f>INDEX($T$5128:$T$5255,AF5240+1)</f>
        <v/>
      </c>
      <c r="AN5240">
        <f>INDEX($U$5128:$U$5255,AG5240+1)</f>
        <v/>
      </c>
      <c r="AO5240">
        <f>INDEX($V$5128:$V$5255,AH5240+1)</f>
        <v/>
      </c>
      <c r="AP5240">
        <f>INDEX($W$5128:$W$5255,AI5240+1)</f>
        <v/>
      </c>
      <c r="AQ5240">
        <f>IF(Q5240&gt;=AJ5240-0.01,1,0)</f>
        <v/>
      </c>
      <c r="AR5240">
        <f>IF(R5240&gt;=AK5240-0.01,1,0)</f>
        <v/>
      </c>
      <c r="AS5240">
        <f>IF(S5240&gt;=AL5240-0.01,1,0)</f>
        <v/>
      </c>
      <c r="AT5240">
        <f>IF(T5240&gt;=AM5240-0.01,1,0)</f>
        <v/>
      </c>
      <c r="AU5240">
        <f>IF(U5240&gt;=AN5240-0.01,1,0)</f>
        <v/>
      </c>
      <c r="AV5240">
        <f>IF(V5240&gt;=AO5240-0.01,1,0)</f>
        <v/>
      </c>
      <c r="AW5240">
        <f>IF(W5240&gt;=AP5240-0.01,1,0)</f>
        <v/>
      </c>
      <c r="AX5240">
        <f>AQ5240*AR5240*AS5240*AT5240*AU5240*AV5240*AW5240</f>
        <v/>
      </c>
    </row>
    <row r="5241">
      <c r="A5241" t="inlineStr"/>
      <c r="B5241">
        <f>Assumptions!$B$60</f>
        <v/>
      </c>
      <c r="C5241" t="n">
        <v>1</v>
      </c>
      <c r="D5241" t="n">
        <v>1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>
        <f>(1-C5241)*Assumptions!$B$41+(1-D5241)*Assumptions!$B$33+(1-E5241)*Assumptions!$B$32+(1-F5241)*Assumptions!$B$31+(1-G5241)*Assumptions!$B$30+(1-H5241)*Assumptions!$B$29+(1-I5241)*Assumptions!$B$28</f>
        <v/>
      </c>
      <c r="K5241">
        <f>C5241*$J$232+D5241*$F$232+E5241*$G$232+F5241*Assumptions!$B$14+G5241*Assumptions!$B$13+H5241*Assumptions!$B$12+I5241*Assumptions!$B$11+$O$232+$S$232+Assumptions!$B$9</f>
        <v/>
      </c>
      <c r="L5241">
        <f>B5241-J5241</f>
        <v/>
      </c>
      <c r="M5241">
        <f>IF(K5241&gt;0,IF(L5241/K5241&gt;=Assumptions!$B$37,1,0),0)</f>
        <v/>
      </c>
      <c r="N5241">
        <f>K5241+M5241*Assumptions!$B$153</f>
        <v/>
      </c>
      <c r="O5241">
        <f>L5241+M5241*Assumptions!$B$153*Assumptions!$B$37</f>
        <v/>
      </c>
      <c r="P5241">
        <f>IF(N5241&gt;0,O5241/N5241,0)</f>
        <v/>
      </c>
      <c r="Q5241">
        <f>IF(C5241=1,P5241*$J$232,Assumptions!$B$41)</f>
        <v/>
      </c>
      <c r="R5241">
        <f>IF(D5241=1,P5241*$F$232,Assumptions!$B$33)</f>
        <v/>
      </c>
      <c r="S5241">
        <f>IF(E5241=1,P5241*$G$232,Assumptions!$B$32)</f>
        <v/>
      </c>
      <c r="T5241">
        <f>IF(F5241=1,P5241*Assumptions!$B$14,Assumptions!$B$31)</f>
        <v/>
      </c>
      <c r="U5241">
        <f>IF(G5241=1,P5241*Assumptions!$B$13,Assumptions!$B$30)</f>
        <v/>
      </c>
      <c r="V5241">
        <f>IF(H5241=1,P5241*Assumptions!$B$12,Assumptions!$B$29)</f>
        <v/>
      </c>
      <c r="W5241">
        <f>IF(I5241=1,P5241*Assumptions!$B$11,Assumptions!$B$28)</f>
        <v/>
      </c>
      <c r="X5241">
        <f>P5241*($O$232+$S$232)</f>
        <v/>
      </c>
      <c r="Y5241">
        <f>P5241*Assumptions!$B$9</f>
        <v/>
      </c>
      <c r="Z5241">
        <f>IF(M5241=1,(P5241-Assumptions!$B$37)*Assumptions!$B$153,0)</f>
        <v/>
      </c>
      <c r="AA5241">
        <f>Q5241+R5241+S5241+T5241+U5241+V5241+W5241+X5241+Y5241+Z5241</f>
        <v/>
      </c>
      <c r="AB5241" t="n">
        <v>113</v>
      </c>
      <c r="AC5241" t="n">
        <v>49</v>
      </c>
      <c r="AD5241" t="n">
        <v>81</v>
      </c>
      <c r="AE5241" t="n">
        <v>97</v>
      </c>
      <c r="AF5241" t="n">
        <v>121</v>
      </c>
      <c r="AG5241" t="n">
        <v>117</v>
      </c>
      <c r="AH5241" t="n">
        <v>115</v>
      </c>
      <c r="AI5241" t="n">
        <v>112</v>
      </c>
      <c r="AJ5241">
        <f>INDEX($Q$5128:$Q$5255,AC5241+1)</f>
        <v/>
      </c>
      <c r="AK5241">
        <f>INDEX($R$5128:$R$5255,AD5241+1)</f>
        <v/>
      </c>
      <c r="AL5241">
        <f>INDEX($S$5128:$S$5255,AE5241+1)</f>
        <v/>
      </c>
      <c r="AM5241">
        <f>INDEX($T$5128:$T$5255,AF5241+1)</f>
        <v/>
      </c>
      <c r="AN5241">
        <f>INDEX($U$5128:$U$5255,AG5241+1)</f>
        <v/>
      </c>
      <c r="AO5241">
        <f>INDEX($V$5128:$V$5255,AH5241+1)</f>
        <v/>
      </c>
      <c r="AP5241">
        <f>INDEX($W$5128:$W$5255,AI5241+1)</f>
        <v/>
      </c>
      <c r="AQ5241">
        <f>IF(Q5241&gt;=AJ5241-0.01,1,0)</f>
        <v/>
      </c>
      <c r="AR5241">
        <f>IF(R5241&gt;=AK5241-0.01,1,0)</f>
        <v/>
      </c>
      <c r="AS5241">
        <f>IF(S5241&gt;=AL5241-0.01,1,0)</f>
        <v/>
      </c>
      <c r="AT5241">
        <f>IF(T5241&gt;=AM5241-0.01,1,0)</f>
        <v/>
      </c>
      <c r="AU5241">
        <f>IF(U5241&gt;=AN5241-0.01,1,0)</f>
        <v/>
      </c>
      <c r="AV5241">
        <f>IF(V5241&gt;=AO5241-0.01,1,0)</f>
        <v/>
      </c>
      <c r="AW5241">
        <f>IF(W5241&gt;=AP5241-0.01,1,0)</f>
        <v/>
      </c>
      <c r="AX5241">
        <f>AQ5241*AR5241*AS5241*AT5241*AU5241*AV5241*AW5241</f>
        <v/>
      </c>
    </row>
    <row r="5242">
      <c r="A5242" t="inlineStr"/>
      <c r="B5242">
        <f>Assumptions!$B$60</f>
        <v/>
      </c>
      <c r="C5242" t="n">
        <v>1</v>
      </c>
      <c r="D5242" t="n">
        <v>1</v>
      </c>
      <c r="E5242" t="n">
        <v>1</v>
      </c>
      <c r="F5242" t="n">
        <v>0</v>
      </c>
      <c r="G5242" t="n">
        <v>0</v>
      </c>
      <c r="H5242" t="n">
        <v>1</v>
      </c>
      <c r="I5242" t="n">
        <v>0</v>
      </c>
      <c r="J5242">
        <f>(1-C5242)*Assumptions!$B$41+(1-D5242)*Assumptions!$B$33+(1-E5242)*Assumptions!$B$32+(1-F5242)*Assumptions!$B$31+(1-G5242)*Assumptions!$B$30+(1-H5242)*Assumptions!$B$29+(1-I5242)*Assumptions!$B$28</f>
        <v/>
      </c>
      <c r="K5242">
        <f>C5242*$J$232+D5242*$F$232+E5242*$G$232+F5242*Assumptions!$B$14+G5242*Assumptions!$B$13+H5242*Assumptions!$B$12+I5242*Assumptions!$B$11+$O$232+$S$232+Assumptions!$B$9</f>
        <v/>
      </c>
      <c r="L5242">
        <f>B5242-J5242</f>
        <v/>
      </c>
      <c r="M5242">
        <f>IF(K5242&gt;0,IF(L5242/K5242&gt;=Assumptions!$B$37,1,0),0)</f>
        <v/>
      </c>
      <c r="N5242">
        <f>K5242+M5242*Assumptions!$B$153</f>
        <v/>
      </c>
      <c r="O5242">
        <f>L5242+M5242*Assumptions!$B$153*Assumptions!$B$37</f>
        <v/>
      </c>
      <c r="P5242">
        <f>IF(N5242&gt;0,O5242/N5242,0)</f>
        <v/>
      </c>
      <c r="Q5242">
        <f>IF(C5242=1,P5242*$J$232,Assumptions!$B$41)</f>
        <v/>
      </c>
      <c r="R5242">
        <f>IF(D5242=1,P5242*$F$232,Assumptions!$B$33)</f>
        <v/>
      </c>
      <c r="S5242">
        <f>IF(E5242=1,P5242*$G$232,Assumptions!$B$32)</f>
        <v/>
      </c>
      <c r="T5242">
        <f>IF(F5242=1,P5242*Assumptions!$B$14,Assumptions!$B$31)</f>
        <v/>
      </c>
      <c r="U5242">
        <f>IF(G5242=1,P5242*Assumptions!$B$13,Assumptions!$B$30)</f>
        <v/>
      </c>
      <c r="V5242">
        <f>IF(H5242=1,P5242*Assumptions!$B$12,Assumptions!$B$29)</f>
        <v/>
      </c>
      <c r="W5242">
        <f>IF(I5242=1,P5242*Assumptions!$B$11,Assumptions!$B$28)</f>
        <v/>
      </c>
      <c r="X5242">
        <f>P5242*($O$232+$S$232)</f>
        <v/>
      </c>
      <c r="Y5242">
        <f>P5242*Assumptions!$B$9</f>
        <v/>
      </c>
      <c r="Z5242">
        <f>IF(M5242=1,(P5242-Assumptions!$B$37)*Assumptions!$B$153,0)</f>
        <v/>
      </c>
      <c r="AA5242">
        <f>Q5242+R5242+S5242+T5242+U5242+V5242+W5242+X5242+Y5242+Z5242</f>
        <v/>
      </c>
      <c r="AB5242" t="n">
        <v>114</v>
      </c>
      <c r="AC5242" t="n">
        <v>50</v>
      </c>
      <c r="AD5242" t="n">
        <v>82</v>
      </c>
      <c r="AE5242" t="n">
        <v>98</v>
      </c>
      <c r="AF5242" t="n">
        <v>122</v>
      </c>
      <c r="AG5242" t="n">
        <v>118</v>
      </c>
      <c r="AH5242" t="n">
        <v>112</v>
      </c>
      <c r="AI5242" t="n">
        <v>115</v>
      </c>
      <c r="AJ5242">
        <f>INDEX($Q$5128:$Q$5255,AC5242+1)</f>
        <v/>
      </c>
      <c r="AK5242">
        <f>INDEX($R$5128:$R$5255,AD5242+1)</f>
        <v/>
      </c>
      <c r="AL5242">
        <f>INDEX($S$5128:$S$5255,AE5242+1)</f>
        <v/>
      </c>
      <c r="AM5242">
        <f>INDEX($T$5128:$T$5255,AF5242+1)</f>
        <v/>
      </c>
      <c r="AN5242">
        <f>INDEX($U$5128:$U$5255,AG5242+1)</f>
        <v/>
      </c>
      <c r="AO5242">
        <f>INDEX($V$5128:$V$5255,AH5242+1)</f>
        <v/>
      </c>
      <c r="AP5242">
        <f>INDEX($W$5128:$W$5255,AI5242+1)</f>
        <v/>
      </c>
      <c r="AQ5242">
        <f>IF(Q5242&gt;=AJ5242-0.01,1,0)</f>
        <v/>
      </c>
      <c r="AR5242">
        <f>IF(R5242&gt;=AK5242-0.01,1,0)</f>
        <v/>
      </c>
      <c r="AS5242">
        <f>IF(S5242&gt;=AL5242-0.01,1,0)</f>
        <v/>
      </c>
      <c r="AT5242">
        <f>IF(T5242&gt;=AM5242-0.01,1,0)</f>
        <v/>
      </c>
      <c r="AU5242">
        <f>IF(U5242&gt;=AN5242-0.01,1,0)</f>
        <v/>
      </c>
      <c r="AV5242">
        <f>IF(V5242&gt;=AO5242-0.01,1,0)</f>
        <v/>
      </c>
      <c r="AW5242">
        <f>IF(W5242&gt;=AP5242-0.01,1,0)</f>
        <v/>
      </c>
      <c r="AX5242">
        <f>AQ5242*AR5242*AS5242*AT5242*AU5242*AV5242*AW5242</f>
        <v/>
      </c>
    </row>
    <row r="5243">
      <c r="A5243" t="inlineStr"/>
      <c r="B5243">
        <f>Assumptions!$B$60</f>
        <v/>
      </c>
      <c r="C5243" t="n">
        <v>1</v>
      </c>
      <c r="D5243" t="n">
        <v>1</v>
      </c>
      <c r="E5243" t="n">
        <v>1</v>
      </c>
      <c r="F5243" t="n">
        <v>0</v>
      </c>
      <c r="G5243" t="n">
        <v>0</v>
      </c>
      <c r="H5243" t="n">
        <v>1</v>
      </c>
      <c r="I5243" t="n">
        <v>1</v>
      </c>
      <c r="J5243">
        <f>(1-C5243)*Assumptions!$B$41+(1-D5243)*Assumptions!$B$33+(1-E5243)*Assumptions!$B$32+(1-F5243)*Assumptions!$B$31+(1-G5243)*Assumptions!$B$30+(1-H5243)*Assumptions!$B$29+(1-I5243)*Assumptions!$B$28</f>
        <v/>
      </c>
      <c r="K5243">
        <f>C5243*$J$232+D5243*$F$232+E5243*$G$232+F5243*Assumptions!$B$14+G5243*Assumptions!$B$13+H5243*Assumptions!$B$12+I5243*Assumptions!$B$11+$O$232+$S$232+Assumptions!$B$9</f>
        <v/>
      </c>
      <c r="L5243">
        <f>B5243-J5243</f>
        <v/>
      </c>
      <c r="M5243">
        <f>IF(K5243&gt;0,IF(L5243/K5243&gt;=Assumptions!$B$37,1,0),0)</f>
        <v/>
      </c>
      <c r="N5243">
        <f>K5243+M5243*Assumptions!$B$153</f>
        <v/>
      </c>
      <c r="O5243">
        <f>L5243+M5243*Assumptions!$B$153*Assumptions!$B$37</f>
        <v/>
      </c>
      <c r="P5243">
        <f>IF(N5243&gt;0,O5243/N5243,0)</f>
        <v/>
      </c>
      <c r="Q5243">
        <f>IF(C5243=1,P5243*$J$232,Assumptions!$B$41)</f>
        <v/>
      </c>
      <c r="R5243">
        <f>IF(D5243=1,P5243*$F$232,Assumptions!$B$33)</f>
        <v/>
      </c>
      <c r="S5243">
        <f>IF(E5243=1,P5243*$G$232,Assumptions!$B$32)</f>
        <v/>
      </c>
      <c r="T5243">
        <f>IF(F5243=1,P5243*Assumptions!$B$14,Assumptions!$B$31)</f>
        <v/>
      </c>
      <c r="U5243">
        <f>IF(G5243=1,P5243*Assumptions!$B$13,Assumptions!$B$30)</f>
        <v/>
      </c>
      <c r="V5243">
        <f>IF(H5243=1,P5243*Assumptions!$B$12,Assumptions!$B$29)</f>
        <v/>
      </c>
      <c r="W5243">
        <f>IF(I5243=1,P5243*Assumptions!$B$11,Assumptions!$B$28)</f>
        <v/>
      </c>
      <c r="X5243">
        <f>P5243*($O$232+$S$232)</f>
        <v/>
      </c>
      <c r="Y5243">
        <f>P5243*Assumptions!$B$9</f>
        <v/>
      </c>
      <c r="Z5243">
        <f>IF(M5243=1,(P5243-Assumptions!$B$37)*Assumptions!$B$153,0)</f>
        <v/>
      </c>
      <c r="AA5243">
        <f>Q5243+R5243+S5243+T5243+U5243+V5243+W5243+X5243+Y5243+Z5243</f>
        <v/>
      </c>
      <c r="AB5243" t="n">
        <v>115</v>
      </c>
      <c r="AC5243" t="n">
        <v>51</v>
      </c>
      <c r="AD5243" t="n">
        <v>83</v>
      </c>
      <c r="AE5243" t="n">
        <v>99</v>
      </c>
      <c r="AF5243" t="n">
        <v>123</v>
      </c>
      <c r="AG5243" t="n">
        <v>119</v>
      </c>
      <c r="AH5243" t="n">
        <v>113</v>
      </c>
      <c r="AI5243" t="n">
        <v>114</v>
      </c>
      <c r="AJ5243">
        <f>INDEX($Q$5128:$Q$5255,AC5243+1)</f>
        <v/>
      </c>
      <c r="AK5243">
        <f>INDEX($R$5128:$R$5255,AD5243+1)</f>
        <v/>
      </c>
      <c r="AL5243">
        <f>INDEX($S$5128:$S$5255,AE5243+1)</f>
        <v/>
      </c>
      <c r="AM5243">
        <f>INDEX($T$5128:$T$5255,AF5243+1)</f>
        <v/>
      </c>
      <c r="AN5243">
        <f>INDEX($U$5128:$U$5255,AG5243+1)</f>
        <v/>
      </c>
      <c r="AO5243">
        <f>INDEX($V$5128:$V$5255,AH5243+1)</f>
        <v/>
      </c>
      <c r="AP5243">
        <f>INDEX($W$5128:$W$5255,AI5243+1)</f>
        <v/>
      </c>
      <c r="AQ5243">
        <f>IF(Q5243&gt;=AJ5243-0.01,1,0)</f>
        <v/>
      </c>
      <c r="AR5243">
        <f>IF(R5243&gt;=AK5243-0.01,1,0)</f>
        <v/>
      </c>
      <c r="AS5243">
        <f>IF(S5243&gt;=AL5243-0.01,1,0)</f>
        <v/>
      </c>
      <c r="AT5243">
        <f>IF(T5243&gt;=AM5243-0.01,1,0)</f>
        <v/>
      </c>
      <c r="AU5243">
        <f>IF(U5243&gt;=AN5243-0.01,1,0)</f>
        <v/>
      </c>
      <c r="AV5243">
        <f>IF(V5243&gt;=AO5243-0.01,1,0)</f>
        <v/>
      </c>
      <c r="AW5243">
        <f>IF(W5243&gt;=AP5243-0.01,1,0)</f>
        <v/>
      </c>
      <c r="AX5243">
        <f>AQ5243*AR5243*AS5243*AT5243*AU5243*AV5243*AW5243</f>
        <v/>
      </c>
    </row>
    <row r="5244">
      <c r="A5244" t="inlineStr"/>
      <c r="B5244">
        <f>Assumptions!$B$60</f>
        <v/>
      </c>
      <c r="C5244" t="n">
        <v>1</v>
      </c>
      <c r="D5244" t="n">
        <v>1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>
        <f>(1-C5244)*Assumptions!$B$41+(1-D5244)*Assumptions!$B$33+(1-E5244)*Assumptions!$B$32+(1-F5244)*Assumptions!$B$31+(1-G5244)*Assumptions!$B$30+(1-H5244)*Assumptions!$B$29+(1-I5244)*Assumptions!$B$28</f>
        <v/>
      </c>
      <c r="K5244">
        <f>C5244*$J$232+D5244*$F$232+E5244*$G$232+F5244*Assumptions!$B$14+G5244*Assumptions!$B$13+H5244*Assumptions!$B$12+I5244*Assumptions!$B$11+$O$232+$S$232+Assumptions!$B$9</f>
        <v/>
      </c>
      <c r="L5244">
        <f>B5244-J5244</f>
        <v/>
      </c>
      <c r="M5244">
        <f>IF(K5244&gt;0,IF(L5244/K5244&gt;=Assumptions!$B$37,1,0),0)</f>
        <v/>
      </c>
      <c r="N5244">
        <f>K5244+M5244*Assumptions!$B$153</f>
        <v/>
      </c>
      <c r="O5244">
        <f>L5244+M5244*Assumptions!$B$153*Assumptions!$B$37</f>
        <v/>
      </c>
      <c r="P5244">
        <f>IF(N5244&gt;0,O5244/N5244,0)</f>
        <v/>
      </c>
      <c r="Q5244">
        <f>IF(C5244=1,P5244*$J$232,Assumptions!$B$41)</f>
        <v/>
      </c>
      <c r="R5244">
        <f>IF(D5244=1,P5244*$F$232,Assumptions!$B$33)</f>
        <v/>
      </c>
      <c r="S5244">
        <f>IF(E5244=1,P5244*$G$232,Assumptions!$B$32)</f>
        <v/>
      </c>
      <c r="T5244">
        <f>IF(F5244=1,P5244*Assumptions!$B$14,Assumptions!$B$31)</f>
        <v/>
      </c>
      <c r="U5244">
        <f>IF(G5244=1,P5244*Assumptions!$B$13,Assumptions!$B$30)</f>
        <v/>
      </c>
      <c r="V5244">
        <f>IF(H5244=1,P5244*Assumptions!$B$12,Assumptions!$B$29)</f>
        <v/>
      </c>
      <c r="W5244">
        <f>IF(I5244=1,P5244*Assumptions!$B$11,Assumptions!$B$28)</f>
        <v/>
      </c>
      <c r="X5244">
        <f>P5244*($O$232+$S$232)</f>
        <v/>
      </c>
      <c r="Y5244">
        <f>P5244*Assumptions!$B$9</f>
        <v/>
      </c>
      <c r="Z5244">
        <f>IF(M5244=1,(P5244-Assumptions!$B$37)*Assumptions!$B$153,0)</f>
        <v/>
      </c>
      <c r="AA5244">
        <f>Q5244+R5244+S5244+T5244+U5244+V5244+W5244+X5244+Y5244+Z5244</f>
        <v/>
      </c>
      <c r="AB5244" t="n">
        <v>116</v>
      </c>
      <c r="AC5244" t="n">
        <v>52</v>
      </c>
      <c r="AD5244" t="n">
        <v>84</v>
      </c>
      <c r="AE5244" t="n">
        <v>100</v>
      </c>
      <c r="AF5244" t="n">
        <v>124</v>
      </c>
      <c r="AG5244" t="n">
        <v>112</v>
      </c>
      <c r="AH5244" t="n">
        <v>118</v>
      </c>
      <c r="AI5244" t="n">
        <v>117</v>
      </c>
      <c r="AJ5244">
        <f>INDEX($Q$5128:$Q$5255,AC5244+1)</f>
        <v/>
      </c>
      <c r="AK5244">
        <f>INDEX($R$5128:$R$5255,AD5244+1)</f>
        <v/>
      </c>
      <c r="AL5244">
        <f>INDEX($S$5128:$S$5255,AE5244+1)</f>
        <v/>
      </c>
      <c r="AM5244">
        <f>INDEX($T$5128:$T$5255,AF5244+1)</f>
        <v/>
      </c>
      <c r="AN5244">
        <f>INDEX($U$5128:$U$5255,AG5244+1)</f>
        <v/>
      </c>
      <c r="AO5244">
        <f>INDEX($V$5128:$V$5255,AH5244+1)</f>
        <v/>
      </c>
      <c r="AP5244">
        <f>INDEX($W$5128:$W$5255,AI5244+1)</f>
        <v/>
      </c>
      <c r="AQ5244">
        <f>IF(Q5244&gt;=AJ5244-0.01,1,0)</f>
        <v/>
      </c>
      <c r="AR5244">
        <f>IF(R5244&gt;=AK5244-0.01,1,0)</f>
        <v/>
      </c>
      <c r="AS5244">
        <f>IF(S5244&gt;=AL5244-0.01,1,0)</f>
        <v/>
      </c>
      <c r="AT5244">
        <f>IF(T5244&gt;=AM5244-0.01,1,0)</f>
        <v/>
      </c>
      <c r="AU5244">
        <f>IF(U5244&gt;=AN5244-0.01,1,0)</f>
        <v/>
      </c>
      <c r="AV5244">
        <f>IF(V5244&gt;=AO5244-0.01,1,0)</f>
        <v/>
      </c>
      <c r="AW5244">
        <f>IF(W5244&gt;=AP5244-0.01,1,0)</f>
        <v/>
      </c>
      <c r="AX5244">
        <f>AQ5244*AR5244*AS5244*AT5244*AU5244*AV5244*AW5244</f>
        <v/>
      </c>
    </row>
    <row r="5245">
      <c r="A5245" t="inlineStr"/>
      <c r="B5245">
        <f>Assumptions!$B$60</f>
        <v/>
      </c>
      <c r="C5245" t="n">
        <v>1</v>
      </c>
      <c r="D5245" t="n">
        <v>1</v>
      </c>
      <c r="E5245" t="n">
        <v>1</v>
      </c>
      <c r="F5245" t="n">
        <v>0</v>
      </c>
      <c r="G5245" t="n">
        <v>1</v>
      </c>
      <c r="H5245" t="n">
        <v>0</v>
      </c>
      <c r="I5245" t="n">
        <v>1</v>
      </c>
      <c r="J5245">
        <f>(1-C5245)*Assumptions!$B$41+(1-D5245)*Assumptions!$B$33+(1-E5245)*Assumptions!$B$32+(1-F5245)*Assumptions!$B$31+(1-G5245)*Assumptions!$B$30+(1-H5245)*Assumptions!$B$29+(1-I5245)*Assumptions!$B$28</f>
        <v/>
      </c>
      <c r="K5245">
        <f>C5245*$J$232+D5245*$F$232+E5245*$G$232+F5245*Assumptions!$B$14+G5245*Assumptions!$B$13+H5245*Assumptions!$B$12+I5245*Assumptions!$B$11+$O$232+$S$232+Assumptions!$B$9</f>
        <v/>
      </c>
      <c r="L5245">
        <f>B5245-J5245</f>
        <v/>
      </c>
      <c r="M5245">
        <f>IF(K5245&gt;0,IF(L5245/K5245&gt;=Assumptions!$B$37,1,0),0)</f>
        <v/>
      </c>
      <c r="N5245">
        <f>K5245+M5245*Assumptions!$B$153</f>
        <v/>
      </c>
      <c r="O5245">
        <f>L5245+M5245*Assumptions!$B$153*Assumptions!$B$37</f>
        <v/>
      </c>
      <c r="P5245">
        <f>IF(N5245&gt;0,O5245/N5245,0)</f>
        <v/>
      </c>
      <c r="Q5245">
        <f>IF(C5245=1,P5245*$J$232,Assumptions!$B$41)</f>
        <v/>
      </c>
      <c r="R5245">
        <f>IF(D5245=1,P5245*$F$232,Assumptions!$B$33)</f>
        <v/>
      </c>
      <c r="S5245">
        <f>IF(E5245=1,P5245*$G$232,Assumptions!$B$32)</f>
        <v/>
      </c>
      <c r="T5245">
        <f>IF(F5245=1,P5245*Assumptions!$B$14,Assumptions!$B$31)</f>
        <v/>
      </c>
      <c r="U5245">
        <f>IF(G5245=1,P5245*Assumptions!$B$13,Assumptions!$B$30)</f>
        <v/>
      </c>
      <c r="V5245">
        <f>IF(H5245=1,P5245*Assumptions!$B$12,Assumptions!$B$29)</f>
        <v/>
      </c>
      <c r="W5245">
        <f>IF(I5245=1,P5245*Assumptions!$B$11,Assumptions!$B$28)</f>
        <v/>
      </c>
      <c r="X5245">
        <f>P5245*($O$232+$S$232)</f>
        <v/>
      </c>
      <c r="Y5245">
        <f>P5245*Assumptions!$B$9</f>
        <v/>
      </c>
      <c r="Z5245">
        <f>IF(M5245=1,(P5245-Assumptions!$B$37)*Assumptions!$B$153,0)</f>
        <v/>
      </c>
      <c r="AA5245">
        <f>Q5245+R5245+S5245+T5245+U5245+V5245+W5245+X5245+Y5245+Z5245</f>
        <v/>
      </c>
      <c r="AB5245" t="n">
        <v>117</v>
      </c>
      <c r="AC5245" t="n">
        <v>53</v>
      </c>
      <c r="AD5245" t="n">
        <v>85</v>
      </c>
      <c r="AE5245" t="n">
        <v>101</v>
      </c>
      <c r="AF5245" t="n">
        <v>125</v>
      </c>
      <c r="AG5245" t="n">
        <v>113</v>
      </c>
      <c r="AH5245" t="n">
        <v>119</v>
      </c>
      <c r="AI5245" t="n">
        <v>116</v>
      </c>
      <c r="AJ5245">
        <f>INDEX($Q$5128:$Q$5255,AC5245+1)</f>
        <v/>
      </c>
      <c r="AK5245">
        <f>INDEX($R$5128:$R$5255,AD5245+1)</f>
        <v/>
      </c>
      <c r="AL5245">
        <f>INDEX($S$5128:$S$5255,AE5245+1)</f>
        <v/>
      </c>
      <c r="AM5245">
        <f>INDEX($T$5128:$T$5255,AF5245+1)</f>
        <v/>
      </c>
      <c r="AN5245">
        <f>INDEX($U$5128:$U$5255,AG5245+1)</f>
        <v/>
      </c>
      <c r="AO5245">
        <f>INDEX($V$5128:$V$5255,AH5245+1)</f>
        <v/>
      </c>
      <c r="AP5245">
        <f>INDEX($W$5128:$W$5255,AI5245+1)</f>
        <v/>
      </c>
      <c r="AQ5245">
        <f>IF(Q5245&gt;=AJ5245-0.01,1,0)</f>
        <v/>
      </c>
      <c r="AR5245">
        <f>IF(R5245&gt;=AK5245-0.01,1,0)</f>
        <v/>
      </c>
      <c r="AS5245">
        <f>IF(S5245&gt;=AL5245-0.01,1,0)</f>
        <v/>
      </c>
      <c r="AT5245">
        <f>IF(T5245&gt;=AM5245-0.01,1,0)</f>
        <v/>
      </c>
      <c r="AU5245">
        <f>IF(U5245&gt;=AN5245-0.01,1,0)</f>
        <v/>
      </c>
      <c r="AV5245">
        <f>IF(V5245&gt;=AO5245-0.01,1,0)</f>
        <v/>
      </c>
      <c r="AW5245">
        <f>IF(W5245&gt;=AP5245-0.01,1,0)</f>
        <v/>
      </c>
      <c r="AX5245">
        <f>AQ5245*AR5245*AS5245*AT5245*AU5245*AV5245*AW5245</f>
        <v/>
      </c>
    </row>
    <row r="5246">
      <c r="A5246" t="inlineStr"/>
      <c r="B5246">
        <f>Assumptions!$B$60</f>
        <v/>
      </c>
      <c r="C5246" t="n">
        <v>1</v>
      </c>
      <c r="D5246" t="n">
        <v>1</v>
      </c>
      <c r="E5246" t="n">
        <v>1</v>
      </c>
      <c r="F5246" t="n">
        <v>0</v>
      </c>
      <c r="G5246" t="n">
        <v>1</v>
      </c>
      <c r="H5246" t="n">
        <v>1</v>
      </c>
      <c r="I5246" t="n">
        <v>0</v>
      </c>
      <c r="J5246">
        <f>(1-C5246)*Assumptions!$B$41+(1-D5246)*Assumptions!$B$33+(1-E5246)*Assumptions!$B$32+(1-F5246)*Assumptions!$B$31+(1-G5246)*Assumptions!$B$30+(1-H5246)*Assumptions!$B$29+(1-I5246)*Assumptions!$B$28</f>
        <v/>
      </c>
      <c r="K5246">
        <f>C5246*$J$232+D5246*$F$232+E5246*$G$232+F5246*Assumptions!$B$14+G5246*Assumptions!$B$13+H5246*Assumptions!$B$12+I5246*Assumptions!$B$11+$O$232+$S$232+Assumptions!$B$9</f>
        <v/>
      </c>
      <c r="L5246">
        <f>B5246-J5246</f>
        <v/>
      </c>
      <c r="M5246">
        <f>IF(K5246&gt;0,IF(L5246/K5246&gt;=Assumptions!$B$37,1,0),0)</f>
        <v/>
      </c>
      <c r="N5246">
        <f>K5246+M5246*Assumptions!$B$153</f>
        <v/>
      </c>
      <c r="O5246">
        <f>L5246+M5246*Assumptions!$B$153*Assumptions!$B$37</f>
        <v/>
      </c>
      <c r="P5246">
        <f>IF(N5246&gt;0,O5246/N5246,0)</f>
        <v/>
      </c>
      <c r="Q5246">
        <f>IF(C5246=1,P5246*$J$232,Assumptions!$B$41)</f>
        <v/>
      </c>
      <c r="R5246">
        <f>IF(D5246=1,P5246*$F$232,Assumptions!$B$33)</f>
        <v/>
      </c>
      <c r="S5246">
        <f>IF(E5246=1,P5246*$G$232,Assumptions!$B$32)</f>
        <v/>
      </c>
      <c r="T5246">
        <f>IF(F5246=1,P5246*Assumptions!$B$14,Assumptions!$B$31)</f>
        <v/>
      </c>
      <c r="U5246">
        <f>IF(G5246=1,P5246*Assumptions!$B$13,Assumptions!$B$30)</f>
        <v/>
      </c>
      <c r="V5246">
        <f>IF(H5246=1,P5246*Assumptions!$B$12,Assumptions!$B$29)</f>
        <v/>
      </c>
      <c r="W5246">
        <f>IF(I5246=1,P5246*Assumptions!$B$11,Assumptions!$B$28)</f>
        <v/>
      </c>
      <c r="X5246">
        <f>P5246*($O$232+$S$232)</f>
        <v/>
      </c>
      <c r="Y5246">
        <f>P5246*Assumptions!$B$9</f>
        <v/>
      </c>
      <c r="Z5246">
        <f>IF(M5246=1,(P5246-Assumptions!$B$37)*Assumptions!$B$153,0)</f>
        <v/>
      </c>
      <c r="AA5246">
        <f>Q5246+R5246+S5246+T5246+U5246+V5246+W5246+X5246+Y5246+Z5246</f>
        <v/>
      </c>
      <c r="AB5246" t="n">
        <v>118</v>
      </c>
      <c r="AC5246" t="n">
        <v>54</v>
      </c>
      <c r="AD5246" t="n">
        <v>86</v>
      </c>
      <c r="AE5246" t="n">
        <v>102</v>
      </c>
      <c r="AF5246" t="n">
        <v>126</v>
      </c>
      <c r="AG5246" t="n">
        <v>114</v>
      </c>
      <c r="AH5246" t="n">
        <v>116</v>
      </c>
      <c r="AI5246" t="n">
        <v>119</v>
      </c>
      <c r="AJ5246">
        <f>INDEX($Q$5128:$Q$5255,AC5246+1)</f>
        <v/>
      </c>
      <c r="AK5246">
        <f>INDEX($R$5128:$R$5255,AD5246+1)</f>
        <v/>
      </c>
      <c r="AL5246">
        <f>INDEX($S$5128:$S$5255,AE5246+1)</f>
        <v/>
      </c>
      <c r="AM5246">
        <f>INDEX($T$5128:$T$5255,AF5246+1)</f>
        <v/>
      </c>
      <c r="AN5246">
        <f>INDEX($U$5128:$U$5255,AG5246+1)</f>
        <v/>
      </c>
      <c r="AO5246">
        <f>INDEX($V$5128:$V$5255,AH5246+1)</f>
        <v/>
      </c>
      <c r="AP5246">
        <f>INDEX($W$5128:$W$5255,AI5246+1)</f>
        <v/>
      </c>
      <c r="AQ5246">
        <f>IF(Q5246&gt;=AJ5246-0.01,1,0)</f>
        <v/>
      </c>
      <c r="AR5246">
        <f>IF(R5246&gt;=AK5246-0.01,1,0)</f>
        <v/>
      </c>
      <c r="AS5246">
        <f>IF(S5246&gt;=AL5246-0.01,1,0)</f>
        <v/>
      </c>
      <c r="AT5246">
        <f>IF(T5246&gt;=AM5246-0.01,1,0)</f>
        <v/>
      </c>
      <c r="AU5246">
        <f>IF(U5246&gt;=AN5246-0.01,1,0)</f>
        <v/>
      </c>
      <c r="AV5246">
        <f>IF(V5246&gt;=AO5246-0.01,1,0)</f>
        <v/>
      </c>
      <c r="AW5246">
        <f>IF(W5246&gt;=AP5246-0.01,1,0)</f>
        <v/>
      </c>
      <c r="AX5246">
        <f>AQ5246*AR5246*AS5246*AT5246*AU5246*AV5246*AW5246</f>
        <v/>
      </c>
    </row>
    <row r="5247">
      <c r="A5247" t="inlineStr"/>
      <c r="B5247">
        <f>Assumptions!$B$60</f>
        <v/>
      </c>
      <c r="C5247" t="n">
        <v>1</v>
      </c>
      <c r="D5247" t="n">
        <v>1</v>
      </c>
      <c r="E5247" t="n">
        <v>1</v>
      </c>
      <c r="F5247" t="n">
        <v>0</v>
      </c>
      <c r="G5247" t="n">
        <v>1</v>
      </c>
      <c r="H5247" t="n">
        <v>1</v>
      </c>
      <c r="I5247" t="n">
        <v>1</v>
      </c>
      <c r="J5247">
        <f>(1-C5247)*Assumptions!$B$41+(1-D5247)*Assumptions!$B$33+(1-E5247)*Assumptions!$B$32+(1-F5247)*Assumptions!$B$31+(1-G5247)*Assumptions!$B$30+(1-H5247)*Assumptions!$B$29+(1-I5247)*Assumptions!$B$28</f>
        <v/>
      </c>
      <c r="K5247">
        <f>C5247*$J$232+D5247*$F$232+E5247*$G$232+F5247*Assumptions!$B$14+G5247*Assumptions!$B$13+H5247*Assumptions!$B$12+I5247*Assumptions!$B$11+$O$232+$S$232+Assumptions!$B$9</f>
        <v/>
      </c>
      <c r="L5247">
        <f>B5247-J5247</f>
        <v/>
      </c>
      <c r="M5247">
        <f>IF(K5247&gt;0,IF(L5247/K5247&gt;=Assumptions!$B$37,1,0),0)</f>
        <v/>
      </c>
      <c r="N5247">
        <f>K5247+M5247*Assumptions!$B$153</f>
        <v/>
      </c>
      <c r="O5247">
        <f>L5247+M5247*Assumptions!$B$153*Assumptions!$B$37</f>
        <v/>
      </c>
      <c r="P5247">
        <f>IF(N5247&gt;0,O5247/N5247,0)</f>
        <v/>
      </c>
      <c r="Q5247">
        <f>IF(C5247=1,P5247*$J$232,Assumptions!$B$41)</f>
        <v/>
      </c>
      <c r="R5247">
        <f>IF(D5247=1,P5247*$F$232,Assumptions!$B$33)</f>
        <v/>
      </c>
      <c r="S5247">
        <f>IF(E5247=1,P5247*$G$232,Assumptions!$B$32)</f>
        <v/>
      </c>
      <c r="T5247">
        <f>IF(F5247=1,P5247*Assumptions!$B$14,Assumptions!$B$31)</f>
        <v/>
      </c>
      <c r="U5247">
        <f>IF(G5247=1,P5247*Assumptions!$B$13,Assumptions!$B$30)</f>
        <v/>
      </c>
      <c r="V5247">
        <f>IF(H5247=1,P5247*Assumptions!$B$12,Assumptions!$B$29)</f>
        <v/>
      </c>
      <c r="W5247">
        <f>IF(I5247=1,P5247*Assumptions!$B$11,Assumptions!$B$28)</f>
        <v/>
      </c>
      <c r="X5247">
        <f>P5247*($O$232+$S$232)</f>
        <v/>
      </c>
      <c r="Y5247">
        <f>P5247*Assumptions!$B$9</f>
        <v/>
      </c>
      <c r="Z5247">
        <f>IF(M5247=1,(P5247-Assumptions!$B$37)*Assumptions!$B$153,0)</f>
        <v/>
      </c>
      <c r="AA5247">
        <f>Q5247+R5247+S5247+T5247+U5247+V5247+W5247+X5247+Y5247+Z5247</f>
        <v/>
      </c>
      <c r="AB5247" t="n">
        <v>119</v>
      </c>
      <c r="AC5247" t="n">
        <v>55</v>
      </c>
      <c r="AD5247" t="n">
        <v>87</v>
      </c>
      <c r="AE5247" t="n">
        <v>103</v>
      </c>
      <c r="AF5247" t="n">
        <v>127</v>
      </c>
      <c r="AG5247" t="n">
        <v>115</v>
      </c>
      <c r="AH5247" t="n">
        <v>117</v>
      </c>
      <c r="AI5247" t="n">
        <v>118</v>
      </c>
      <c r="AJ5247">
        <f>INDEX($Q$5128:$Q$5255,AC5247+1)</f>
        <v/>
      </c>
      <c r="AK5247">
        <f>INDEX($R$5128:$R$5255,AD5247+1)</f>
        <v/>
      </c>
      <c r="AL5247">
        <f>INDEX($S$5128:$S$5255,AE5247+1)</f>
        <v/>
      </c>
      <c r="AM5247">
        <f>INDEX($T$5128:$T$5255,AF5247+1)</f>
        <v/>
      </c>
      <c r="AN5247">
        <f>INDEX($U$5128:$U$5255,AG5247+1)</f>
        <v/>
      </c>
      <c r="AO5247">
        <f>INDEX($V$5128:$V$5255,AH5247+1)</f>
        <v/>
      </c>
      <c r="AP5247">
        <f>INDEX($W$5128:$W$5255,AI5247+1)</f>
        <v/>
      </c>
      <c r="AQ5247">
        <f>IF(Q5247&gt;=AJ5247-0.01,1,0)</f>
        <v/>
      </c>
      <c r="AR5247">
        <f>IF(R5247&gt;=AK5247-0.01,1,0)</f>
        <v/>
      </c>
      <c r="AS5247">
        <f>IF(S5247&gt;=AL5247-0.01,1,0)</f>
        <v/>
      </c>
      <c r="AT5247">
        <f>IF(T5247&gt;=AM5247-0.01,1,0)</f>
        <v/>
      </c>
      <c r="AU5247">
        <f>IF(U5247&gt;=AN5247-0.01,1,0)</f>
        <v/>
      </c>
      <c r="AV5247">
        <f>IF(V5247&gt;=AO5247-0.01,1,0)</f>
        <v/>
      </c>
      <c r="AW5247">
        <f>IF(W5247&gt;=AP5247-0.01,1,0)</f>
        <v/>
      </c>
      <c r="AX5247">
        <f>AQ5247*AR5247*AS5247*AT5247*AU5247*AV5247*AW5247</f>
        <v/>
      </c>
    </row>
    <row r="5248">
      <c r="A5248" t="inlineStr"/>
      <c r="B5248">
        <f>Assumptions!$B$60</f>
        <v/>
      </c>
      <c r="C5248" t="n">
        <v>1</v>
      </c>
      <c r="D5248" t="n">
        <v>1</v>
      </c>
      <c r="E5248" t="n">
        <v>1</v>
      </c>
      <c r="F5248" t="n">
        <v>1</v>
      </c>
      <c r="G5248" t="n">
        <v>0</v>
      </c>
      <c r="H5248" t="n">
        <v>0</v>
      </c>
      <c r="I5248" t="n">
        <v>0</v>
      </c>
      <c r="J5248">
        <f>(1-C5248)*Assumptions!$B$41+(1-D5248)*Assumptions!$B$33+(1-E5248)*Assumptions!$B$32+(1-F5248)*Assumptions!$B$31+(1-G5248)*Assumptions!$B$30+(1-H5248)*Assumptions!$B$29+(1-I5248)*Assumptions!$B$28</f>
        <v/>
      </c>
      <c r="K5248">
        <f>C5248*$J$232+D5248*$F$232+E5248*$G$232+F5248*Assumptions!$B$14+G5248*Assumptions!$B$13+H5248*Assumptions!$B$12+I5248*Assumptions!$B$11+$O$232+$S$232+Assumptions!$B$9</f>
        <v/>
      </c>
      <c r="L5248">
        <f>B5248-J5248</f>
        <v/>
      </c>
      <c r="M5248">
        <f>IF(K5248&gt;0,IF(L5248/K5248&gt;=Assumptions!$B$37,1,0),0)</f>
        <v/>
      </c>
      <c r="N5248">
        <f>K5248+M5248*Assumptions!$B$153</f>
        <v/>
      </c>
      <c r="O5248">
        <f>L5248+M5248*Assumptions!$B$153*Assumptions!$B$37</f>
        <v/>
      </c>
      <c r="P5248">
        <f>IF(N5248&gt;0,O5248/N5248,0)</f>
        <v/>
      </c>
      <c r="Q5248">
        <f>IF(C5248=1,P5248*$J$232,Assumptions!$B$41)</f>
        <v/>
      </c>
      <c r="R5248">
        <f>IF(D5248=1,P5248*$F$232,Assumptions!$B$33)</f>
        <v/>
      </c>
      <c r="S5248">
        <f>IF(E5248=1,P5248*$G$232,Assumptions!$B$32)</f>
        <v/>
      </c>
      <c r="T5248">
        <f>IF(F5248=1,P5248*Assumptions!$B$14,Assumptions!$B$31)</f>
        <v/>
      </c>
      <c r="U5248">
        <f>IF(G5248=1,P5248*Assumptions!$B$13,Assumptions!$B$30)</f>
        <v/>
      </c>
      <c r="V5248">
        <f>IF(H5248=1,P5248*Assumptions!$B$12,Assumptions!$B$29)</f>
        <v/>
      </c>
      <c r="W5248">
        <f>IF(I5248=1,P5248*Assumptions!$B$11,Assumptions!$B$28)</f>
        <v/>
      </c>
      <c r="X5248">
        <f>P5248*($O$232+$S$232)</f>
        <v/>
      </c>
      <c r="Y5248">
        <f>P5248*Assumptions!$B$9</f>
        <v/>
      </c>
      <c r="Z5248">
        <f>IF(M5248=1,(P5248-Assumptions!$B$37)*Assumptions!$B$153,0)</f>
        <v/>
      </c>
      <c r="AA5248">
        <f>Q5248+R5248+S5248+T5248+U5248+V5248+W5248+X5248+Y5248+Z5248</f>
        <v/>
      </c>
      <c r="AB5248" t="n">
        <v>120</v>
      </c>
      <c r="AC5248" t="n">
        <v>56</v>
      </c>
      <c r="AD5248" t="n">
        <v>88</v>
      </c>
      <c r="AE5248" t="n">
        <v>104</v>
      </c>
      <c r="AF5248" t="n">
        <v>112</v>
      </c>
      <c r="AG5248" t="n">
        <v>124</v>
      </c>
      <c r="AH5248" t="n">
        <v>122</v>
      </c>
      <c r="AI5248" t="n">
        <v>121</v>
      </c>
      <c r="AJ5248">
        <f>INDEX($Q$5128:$Q$5255,AC5248+1)</f>
        <v/>
      </c>
      <c r="AK5248">
        <f>INDEX($R$5128:$R$5255,AD5248+1)</f>
        <v/>
      </c>
      <c r="AL5248">
        <f>INDEX($S$5128:$S$5255,AE5248+1)</f>
        <v/>
      </c>
      <c r="AM5248">
        <f>INDEX($T$5128:$T$5255,AF5248+1)</f>
        <v/>
      </c>
      <c r="AN5248">
        <f>INDEX($U$5128:$U$5255,AG5248+1)</f>
        <v/>
      </c>
      <c r="AO5248">
        <f>INDEX($V$5128:$V$5255,AH5248+1)</f>
        <v/>
      </c>
      <c r="AP5248">
        <f>INDEX($W$5128:$W$5255,AI5248+1)</f>
        <v/>
      </c>
      <c r="AQ5248">
        <f>IF(Q5248&gt;=AJ5248-0.01,1,0)</f>
        <v/>
      </c>
      <c r="AR5248">
        <f>IF(R5248&gt;=AK5248-0.01,1,0)</f>
        <v/>
      </c>
      <c r="AS5248">
        <f>IF(S5248&gt;=AL5248-0.01,1,0)</f>
        <v/>
      </c>
      <c r="AT5248">
        <f>IF(T5248&gt;=AM5248-0.01,1,0)</f>
        <v/>
      </c>
      <c r="AU5248">
        <f>IF(U5248&gt;=AN5248-0.01,1,0)</f>
        <v/>
      </c>
      <c r="AV5248">
        <f>IF(V5248&gt;=AO5248-0.01,1,0)</f>
        <v/>
      </c>
      <c r="AW5248">
        <f>IF(W5248&gt;=AP5248-0.01,1,0)</f>
        <v/>
      </c>
      <c r="AX5248">
        <f>AQ5248*AR5248*AS5248*AT5248*AU5248*AV5248*AW5248</f>
        <v/>
      </c>
    </row>
    <row r="5249">
      <c r="A5249" t="inlineStr"/>
      <c r="B5249">
        <f>Assumptions!$B$60</f>
        <v/>
      </c>
      <c r="C5249" t="n">
        <v>1</v>
      </c>
      <c r="D5249" t="n">
        <v>1</v>
      </c>
      <c r="E5249" t="n">
        <v>1</v>
      </c>
      <c r="F5249" t="n">
        <v>1</v>
      </c>
      <c r="G5249" t="n">
        <v>0</v>
      </c>
      <c r="H5249" t="n">
        <v>0</v>
      </c>
      <c r="I5249" t="n">
        <v>1</v>
      </c>
      <c r="J5249">
        <f>(1-C5249)*Assumptions!$B$41+(1-D5249)*Assumptions!$B$33+(1-E5249)*Assumptions!$B$32+(1-F5249)*Assumptions!$B$31+(1-G5249)*Assumptions!$B$30+(1-H5249)*Assumptions!$B$29+(1-I5249)*Assumptions!$B$28</f>
        <v/>
      </c>
      <c r="K5249">
        <f>C5249*$J$232+D5249*$F$232+E5249*$G$232+F5249*Assumptions!$B$14+G5249*Assumptions!$B$13+H5249*Assumptions!$B$12+I5249*Assumptions!$B$11+$O$232+$S$232+Assumptions!$B$9</f>
        <v/>
      </c>
      <c r="L5249">
        <f>B5249-J5249</f>
        <v/>
      </c>
      <c r="M5249">
        <f>IF(K5249&gt;0,IF(L5249/K5249&gt;=Assumptions!$B$37,1,0),0)</f>
        <v/>
      </c>
      <c r="N5249">
        <f>K5249+M5249*Assumptions!$B$153</f>
        <v/>
      </c>
      <c r="O5249">
        <f>L5249+M5249*Assumptions!$B$153*Assumptions!$B$37</f>
        <v/>
      </c>
      <c r="P5249">
        <f>IF(N5249&gt;0,O5249/N5249,0)</f>
        <v/>
      </c>
      <c r="Q5249">
        <f>IF(C5249=1,P5249*$J$232,Assumptions!$B$41)</f>
        <v/>
      </c>
      <c r="R5249">
        <f>IF(D5249=1,P5249*$F$232,Assumptions!$B$33)</f>
        <v/>
      </c>
      <c r="S5249">
        <f>IF(E5249=1,P5249*$G$232,Assumptions!$B$32)</f>
        <v/>
      </c>
      <c r="T5249">
        <f>IF(F5249=1,P5249*Assumptions!$B$14,Assumptions!$B$31)</f>
        <v/>
      </c>
      <c r="U5249">
        <f>IF(G5249=1,P5249*Assumptions!$B$13,Assumptions!$B$30)</f>
        <v/>
      </c>
      <c r="V5249">
        <f>IF(H5249=1,P5249*Assumptions!$B$12,Assumptions!$B$29)</f>
        <v/>
      </c>
      <c r="W5249">
        <f>IF(I5249=1,P5249*Assumptions!$B$11,Assumptions!$B$28)</f>
        <v/>
      </c>
      <c r="X5249">
        <f>P5249*($O$232+$S$232)</f>
        <v/>
      </c>
      <c r="Y5249">
        <f>P5249*Assumptions!$B$9</f>
        <v/>
      </c>
      <c r="Z5249">
        <f>IF(M5249=1,(P5249-Assumptions!$B$37)*Assumptions!$B$153,0)</f>
        <v/>
      </c>
      <c r="AA5249">
        <f>Q5249+R5249+S5249+T5249+U5249+V5249+W5249+X5249+Y5249+Z5249</f>
        <v/>
      </c>
      <c r="AB5249" t="n">
        <v>121</v>
      </c>
      <c r="AC5249" t="n">
        <v>57</v>
      </c>
      <c r="AD5249" t="n">
        <v>89</v>
      </c>
      <c r="AE5249" t="n">
        <v>105</v>
      </c>
      <c r="AF5249" t="n">
        <v>113</v>
      </c>
      <c r="AG5249" t="n">
        <v>125</v>
      </c>
      <c r="AH5249" t="n">
        <v>123</v>
      </c>
      <c r="AI5249" t="n">
        <v>120</v>
      </c>
      <c r="AJ5249">
        <f>INDEX($Q$5128:$Q$5255,AC5249+1)</f>
        <v/>
      </c>
      <c r="AK5249">
        <f>INDEX($R$5128:$R$5255,AD5249+1)</f>
        <v/>
      </c>
      <c r="AL5249">
        <f>INDEX($S$5128:$S$5255,AE5249+1)</f>
        <v/>
      </c>
      <c r="AM5249">
        <f>INDEX($T$5128:$T$5255,AF5249+1)</f>
        <v/>
      </c>
      <c r="AN5249">
        <f>INDEX($U$5128:$U$5255,AG5249+1)</f>
        <v/>
      </c>
      <c r="AO5249">
        <f>INDEX($V$5128:$V$5255,AH5249+1)</f>
        <v/>
      </c>
      <c r="AP5249">
        <f>INDEX($W$5128:$W$5255,AI5249+1)</f>
        <v/>
      </c>
      <c r="AQ5249">
        <f>IF(Q5249&gt;=AJ5249-0.01,1,0)</f>
        <v/>
      </c>
      <c r="AR5249">
        <f>IF(R5249&gt;=AK5249-0.01,1,0)</f>
        <v/>
      </c>
      <c r="AS5249">
        <f>IF(S5249&gt;=AL5249-0.01,1,0)</f>
        <v/>
      </c>
      <c r="AT5249">
        <f>IF(T5249&gt;=AM5249-0.01,1,0)</f>
        <v/>
      </c>
      <c r="AU5249">
        <f>IF(U5249&gt;=AN5249-0.01,1,0)</f>
        <v/>
      </c>
      <c r="AV5249">
        <f>IF(V5249&gt;=AO5249-0.01,1,0)</f>
        <v/>
      </c>
      <c r="AW5249">
        <f>IF(W5249&gt;=AP5249-0.01,1,0)</f>
        <v/>
      </c>
      <c r="AX5249">
        <f>AQ5249*AR5249*AS5249*AT5249*AU5249*AV5249*AW5249</f>
        <v/>
      </c>
    </row>
    <row r="5250">
      <c r="A5250" t="inlineStr"/>
      <c r="B5250">
        <f>Assumptions!$B$60</f>
        <v/>
      </c>
      <c r="C5250" t="n">
        <v>1</v>
      </c>
      <c r="D5250" t="n">
        <v>1</v>
      </c>
      <c r="E5250" t="n">
        <v>1</v>
      </c>
      <c r="F5250" t="n">
        <v>1</v>
      </c>
      <c r="G5250" t="n">
        <v>0</v>
      </c>
      <c r="H5250" t="n">
        <v>1</v>
      </c>
      <c r="I5250" t="n">
        <v>0</v>
      </c>
      <c r="J5250">
        <f>(1-C5250)*Assumptions!$B$41+(1-D5250)*Assumptions!$B$33+(1-E5250)*Assumptions!$B$32+(1-F5250)*Assumptions!$B$31+(1-G5250)*Assumptions!$B$30+(1-H5250)*Assumptions!$B$29+(1-I5250)*Assumptions!$B$28</f>
        <v/>
      </c>
      <c r="K5250">
        <f>C5250*$J$232+D5250*$F$232+E5250*$G$232+F5250*Assumptions!$B$14+G5250*Assumptions!$B$13+H5250*Assumptions!$B$12+I5250*Assumptions!$B$11+$O$232+$S$232+Assumptions!$B$9</f>
        <v/>
      </c>
      <c r="L5250">
        <f>B5250-J5250</f>
        <v/>
      </c>
      <c r="M5250">
        <f>IF(K5250&gt;0,IF(L5250/K5250&gt;=Assumptions!$B$37,1,0),0)</f>
        <v/>
      </c>
      <c r="N5250">
        <f>K5250+M5250*Assumptions!$B$153</f>
        <v/>
      </c>
      <c r="O5250">
        <f>L5250+M5250*Assumptions!$B$153*Assumptions!$B$37</f>
        <v/>
      </c>
      <c r="P5250">
        <f>IF(N5250&gt;0,O5250/N5250,0)</f>
        <v/>
      </c>
      <c r="Q5250">
        <f>IF(C5250=1,P5250*$J$232,Assumptions!$B$41)</f>
        <v/>
      </c>
      <c r="R5250">
        <f>IF(D5250=1,P5250*$F$232,Assumptions!$B$33)</f>
        <v/>
      </c>
      <c r="S5250">
        <f>IF(E5250=1,P5250*$G$232,Assumptions!$B$32)</f>
        <v/>
      </c>
      <c r="T5250">
        <f>IF(F5250=1,P5250*Assumptions!$B$14,Assumptions!$B$31)</f>
        <v/>
      </c>
      <c r="U5250">
        <f>IF(G5250=1,P5250*Assumptions!$B$13,Assumptions!$B$30)</f>
        <v/>
      </c>
      <c r="V5250">
        <f>IF(H5250=1,P5250*Assumptions!$B$12,Assumptions!$B$29)</f>
        <v/>
      </c>
      <c r="W5250">
        <f>IF(I5250=1,P5250*Assumptions!$B$11,Assumptions!$B$28)</f>
        <v/>
      </c>
      <c r="X5250">
        <f>P5250*($O$232+$S$232)</f>
        <v/>
      </c>
      <c r="Y5250">
        <f>P5250*Assumptions!$B$9</f>
        <v/>
      </c>
      <c r="Z5250">
        <f>IF(M5250=1,(P5250-Assumptions!$B$37)*Assumptions!$B$153,0)</f>
        <v/>
      </c>
      <c r="AA5250">
        <f>Q5250+R5250+S5250+T5250+U5250+V5250+W5250+X5250+Y5250+Z5250</f>
        <v/>
      </c>
      <c r="AB5250" t="n">
        <v>122</v>
      </c>
      <c r="AC5250" t="n">
        <v>58</v>
      </c>
      <c r="AD5250" t="n">
        <v>90</v>
      </c>
      <c r="AE5250" t="n">
        <v>106</v>
      </c>
      <c r="AF5250" t="n">
        <v>114</v>
      </c>
      <c r="AG5250" t="n">
        <v>126</v>
      </c>
      <c r="AH5250" t="n">
        <v>120</v>
      </c>
      <c r="AI5250" t="n">
        <v>123</v>
      </c>
      <c r="AJ5250">
        <f>INDEX($Q$5128:$Q$5255,AC5250+1)</f>
        <v/>
      </c>
      <c r="AK5250">
        <f>INDEX($R$5128:$R$5255,AD5250+1)</f>
        <v/>
      </c>
      <c r="AL5250">
        <f>INDEX($S$5128:$S$5255,AE5250+1)</f>
        <v/>
      </c>
      <c r="AM5250">
        <f>INDEX($T$5128:$T$5255,AF5250+1)</f>
        <v/>
      </c>
      <c r="AN5250">
        <f>INDEX($U$5128:$U$5255,AG5250+1)</f>
        <v/>
      </c>
      <c r="AO5250">
        <f>INDEX($V$5128:$V$5255,AH5250+1)</f>
        <v/>
      </c>
      <c r="AP5250">
        <f>INDEX($W$5128:$W$5255,AI5250+1)</f>
        <v/>
      </c>
      <c r="AQ5250">
        <f>IF(Q5250&gt;=AJ5250-0.01,1,0)</f>
        <v/>
      </c>
      <c r="AR5250">
        <f>IF(R5250&gt;=AK5250-0.01,1,0)</f>
        <v/>
      </c>
      <c r="AS5250">
        <f>IF(S5250&gt;=AL5250-0.01,1,0)</f>
        <v/>
      </c>
      <c r="AT5250">
        <f>IF(T5250&gt;=AM5250-0.01,1,0)</f>
        <v/>
      </c>
      <c r="AU5250">
        <f>IF(U5250&gt;=AN5250-0.01,1,0)</f>
        <v/>
      </c>
      <c r="AV5250">
        <f>IF(V5250&gt;=AO5250-0.01,1,0)</f>
        <v/>
      </c>
      <c r="AW5250">
        <f>IF(W5250&gt;=AP5250-0.01,1,0)</f>
        <v/>
      </c>
      <c r="AX5250">
        <f>AQ5250*AR5250*AS5250*AT5250*AU5250*AV5250*AW5250</f>
        <v/>
      </c>
    </row>
    <row r="5251">
      <c r="A5251" t="inlineStr"/>
      <c r="B5251">
        <f>Assumptions!$B$60</f>
        <v/>
      </c>
      <c r="C5251" t="n">
        <v>1</v>
      </c>
      <c r="D5251" t="n">
        <v>1</v>
      </c>
      <c r="E5251" t="n">
        <v>1</v>
      </c>
      <c r="F5251" t="n">
        <v>1</v>
      </c>
      <c r="G5251" t="n">
        <v>0</v>
      </c>
      <c r="H5251" t="n">
        <v>1</v>
      </c>
      <c r="I5251" t="n">
        <v>1</v>
      </c>
      <c r="J5251">
        <f>(1-C5251)*Assumptions!$B$41+(1-D5251)*Assumptions!$B$33+(1-E5251)*Assumptions!$B$32+(1-F5251)*Assumptions!$B$31+(1-G5251)*Assumptions!$B$30+(1-H5251)*Assumptions!$B$29+(1-I5251)*Assumptions!$B$28</f>
        <v/>
      </c>
      <c r="K5251">
        <f>C5251*$J$232+D5251*$F$232+E5251*$G$232+F5251*Assumptions!$B$14+G5251*Assumptions!$B$13+H5251*Assumptions!$B$12+I5251*Assumptions!$B$11+$O$232+$S$232+Assumptions!$B$9</f>
        <v/>
      </c>
      <c r="L5251">
        <f>B5251-J5251</f>
        <v/>
      </c>
      <c r="M5251">
        <f>IF(K5251&gt;0,IF(L5251/K5251&gt;=Assumptions!$B$37,1,0),0)</f>
        <v/>
      </c>
      <c r="N5251">
        <f>K5251+M5251*Assumptions!$B$153</f>
        <v/>
      </c>
      <c r="O5251">
        <f>L5251+M5251*Assumptions!$B$153*Assumptions!$B$37</f>
        <v/>
      </c>
      <c r="P5251">
        <f>IF(N5251&gt;0,O5251/N5251,0)</f>
        <v/>
      </c>
      <c r="Q5251">
        <f>IF(C5251=1,P5251*$J$232,Assumptions!$B$41)</f>
        <v/>
      </c>
      <c r="R5251">
        <f>IF(D5251=1,P5251*$F$232,Assumptions!$B$33)</f>
        <v/>
      </c>
      <c r="S5251">
        <f>IF(E5251=1,P5251*$G$232,Assumptions!$B$32)</f>
        <v/>
      </c>
      <c r="T5251">
        <f>IF(F5251=1,P5251*Assumptions!$B$14,Assumptions!$B$31)</f>
        <v/>
      </c>
      <c r="U5251">
        <f>IF(G5251=1,P5251*Assumptions!$B$13,Assumptions!$B$30)</f>
        <v/>
      </c>
      <c r="V5251">
        <f>IF(H5251=1,P5251*Assumptions!$B$12,Assumptions!$B$29)</f>
        <v/>
      </c>
      <c r="W5251">
        <f>IF(I5251=1,P5251*Assumptions!$B$11,Assumptions!$B$28)</f>
        <v/>
      </c>
      <c r="X5251">
        <f>P5251*($O$232+$S$232)</f>
        <v/>
      </c>
      <c r="Y5251">
        <f>P5251*Assumptions!$B$9</f>
        <v/>
      </c>
      <c r="Z5251">
        <f>IF(M5251=1,(P5251-Assumptions!$B$37)*Assumptions!$B$153,0)</f>
        <v/>
      </c>
      <c r="AA5251">
        <f>Q5251+R5251+S5251+T5251+U5251+V5251+W5251+X5251+Y5251+Z5251</f>
        <v/>
      </c>
      <c r="AB5251" t="n">
        <v>123</v>
      </c>
      <c r="AC5251" t="n">
        <v>59</v>
      </c>
      <c r="AD5251" t="n">
        <v>91</v>
      </c>
      <c r="AE5251" t="n">
        <v>107</v>
      </c>
      <c r="AF5251" t="n">
        <v>115</v>
      </c>
      <c r="AG5251" t="n">
        <v>127</v>
      </c>
      <c r="AH5251" t="n">
        <v>121</v>
      </c>
      <c r="AI5251" t="n">
        <v>122</v>
      </c>
      <c r="AJ5251">
        <f>INDEX($Q$5128:$Q$5255,AC5251+1)</f>
        <v/>
      </c>
      <c r="AK5251">
        <f>INDEX($R$5128:$R$5255,AD5251+1)</f>
        <v/>
      </c>
      <c r="AL5251">
        <f>INDEX($S$5128:$S$5255,AE5251+1)</f>
        <v/>
      </c>
      <c r="AM5251">
        <f>INDEX($T$5128:$T$5255,AF5251+1)</f>
        <v/>
      </c>
      <c r="AN5251">
        <f>INDEX($U$5128:$U$5255,AG5251+1)</f>
        <v/>
      </c>
      <c r="AO5251">
        <f>INDEX($V$5128:$V$5255,AH5251+1)</f>
        <v/>
      </c>
      <c r="AP5251">
        <f>INDEX($W$5128:$W$5255,AI5251+1)</f>
        <v/>
      </c>
      <c r="AQ5251">
        <f>IF(Q5251&gt;=AJ5251-0.01,1,0)</f>
        <v/>
      </c>
      <c r="AR5251">
        <f>IF(R5251&gt;=AK5251-0.01,1,0)</f>
        <v/>
      </c>
      <c r="AS5251">
        <f>IF(S5251&gt;=AL5251-0.01,1,0)</f>
        <v/>
      </c>
      <c r="AT5251">
        <f>IF(T5251&gt;=AM5251-0.01,1,0)</f>
        <v/>
      </c>
      <c r="AU5251">
        <f>IF(U5251&gt;=AN5251-0.01,1,0)</f>
        <v/>
      </c>
      <c r="AV5251">
        <f>IF(V5251&gt;=AO5251-0.01,1,0)</f>
        <v/>
      </c>
      <c r="AW5251">
        <f>IF(W5251&gt;=AP5251-0.01,1,0)</f>
        <v/>
      </c>
      <c r="AX5251">
        <f>AQ5251*AR5251*AS5251*AT5251*AU5251*AV5251*AW5251</f>
        <v/>
      </c>
    </row>
    <row r="5252">
      <c r="A5252" t="inlineStr"/>
      <c r="B5252">
        <f>Assumptions!$B$60</f>
        <v/>
      </c>
      <c r="C5252" t="n">
        <v>1</v>
      </c>
      <c r="D5252" t="n">
        <v>1</v>
      </c>
      <c r="E5252" t="n">
        <v>1</v>
      </c>
      <c r="F5252" t="n">
        <v>1</v>
      </c>
      <c r="G5252" t="n">
        <v>1</v>
      </c>
      <c r="H5252" t="n">
        <v>0</v>
      </c>
      <c r="I5252" t="n">
        <v>0</v>
      </c>
      <c r="J5252">
        <f>(1-C5252)*Assumptions!$B$41+(1-D5252)*Assumptions!$B$33+(1-E5252)*Assumptions!$B$32+(1-F5252)*Assumptions!$B$31+(1-G5252)*Assumptions!$B$30+(1-H5252)*Assumptions!$B$29+(1-I5252)*Assumptions!$B$28</f>
        <v/>
      </c>
      <c r="K5252">
        <f>C5252*$J$232+D5252*$F$232+E5252*$G$232+F5252*Assumptions!$B$14+G5252*Assumptions!$B$13+H5252*Assumptions!$B$12+I5252*Assumptions!$B$11+$O$232+$S$232+Assumptions!$B$9</f>
        <v/>
      </c>
      <c r="L5252">
        <f>B5252-J5252</f>
        <v/>
      </c>
      <c r="M5252">
        <f>IF(K5252&gt;0,IF(L5252/K5252&gt;=Assumptions!$B$37,1,0),0)</f>
        <v/>
      </c>
      <c r="N5252">
        <f>K5252+M5252*Assumptions!$B$153</f>
        <v/>
      </c>
      <c r="O5252">
        <f>L5252+M5252*Assumptions!$B$153*Assumptions!$B$37</f>
        <v/>
      </c>
      <c r="P5252">
        <f>IF(N5252&gt;0,O5252/N5252,0)</f>
        <v/>
      </c>
      <c r="Q5252">
        <f>IF(C5252=1,P5252*$J$232,Assumptions!$B$41)</f>
        <v/>
      </c>
      <c r="R5252">
        <f>IF(D5252=1,P5252*$F$232,Assumptions!$B$33)</f>
        <v/>
      </c>
      <c r="S5252">
        <f>IF(E5252=1,P5252*$G$232,Assumptions!$B$32)</f>
        <v/>
      </c>
      <c r="T5252">
        <f>IF(F5252=1,P5252*Assumptions!$B$14,Assumptions!$B$31)</f>
        <v/>
      </c>
      <c r="U5252">
        <f>IF(G5252=1,P5252*Assumptions!$B$13,Assumptions!$B$30)</f>
        <v/>
      </c>
      <c r="V5252">
        <f>IF(H5252=1,P5252*Assumptions!$B$12,Assumptions!$B$29)</f>
        <v/>
      </c>
      <c r="W5252">
        <f>IF(I5252=1,P5252*Assumptions!$B$11,Assumptions!$B$28)</f>
        <v/>
      </c>
      <c r="X5252">
        <f>P5252*($O$232+$S$232)</f>
        <v/>
      </c>
      <c r="Y5252">
        <f>P5252*Assumptions!$B$9</f>
        <v/>
      </c>
      <c r="Z5252">
        <f>IF(M5252=1,(P5252-Assumptions!$B$37)*Assumptions!$B$153,0)</f>
        <v/>
      </c>
      <c r="AA5252">
        <f>Q5252+R5252+S5252+T5252+U5252+V5252+W5252+X5252+Y5252+Z5252</f>
        <v/>
      </c>
      <c r="AB5252" t="n">
        <v>124</v>
      </c>
      <c r="AC5252" t="n">
        <v>60</v>
      </c>
      <c r="AD5252" t="n">
        <v>92</v>
      </c>
      <c r="AE5252" t="n">
        <v>108</v>
      </c>
      <c r="AF5252" t="n">
        <v>116</v>
      </c>
      <c r="AG5252" t="n">
        <v>120</v>
      </c>
      <c r="AH5252" t="n">
        <v>126</v>
      </c>
      <c r="AI5252" t="n">
        <v>125</v>
      </c>
      <c r="AJ5252">
        <f>INDEX($Q$5128:$Q$5255,AC5252+1)</f>
        <v/>
      </c>
      <c r="AK5252">
        <f>INDEX($R$5128:$R$5255,AD5252+1)</f>
        <v/>
      </c>
      <c r="AL5252">
        <f>INDEX($S$5128:$S$5255,AE5252+1)</f>
        <v/>
      </c>
      <c r="AM5252">
        <f>INDEX($T$5128:$T$5255,AF5252+1)</f>
        <v/>
      </c>
      <c r="AN5252">
        <f>INDEX($U$5128:$U$5255,AG5252+1)</f>
        <v/>
      </c>
      <c r="AO5252">
        <f>INDEX($V$5128:$V$5255,AH5252+1)</f>
        <v/>
      </c>
      <c r="AP5252">
        <f>INDEX($W$5128:$W$5255,AI5252+1)</f>
        <v/>
      </c>
      <c r="AQ5252">
        <f>IF(Q5252&gt;=AJ5252-0.01,1,0)</f>
        <v/>
      </c>
      <c r="AR5252">
        <f>IF(R5252&gt;=AK5252-0.01,1,0)</f>
        <v/>
      </c>
      <c r="AS5252">
        <f>IF(S5252&gt;=AL5252-0.01,1,0)</f>
        <v/>
      </c>
      <c r="AT5252">
        <f>IF(T5252&gt;=AM5252-0.01,1,0)</f>
        <v/>
      </c>
      <c r="AU5252">
        <f>IF(U5252&gt;=AN5252-0.01,1,0)</f>
        <v/>
      </c>
      <c r="AV5252">
        <f>IF(V5252&gt;=AO5252-0.01,1,0)</f>
        <v/>
      </c>
      <c r="AW5252">
        <f>IF(W5252&gt;=AP5252-0.01,1,0)</f>
        <v/>
      </c>
      <c r="AX5252">
        <f>AQ5252*AR5252*AS5252*AT5252*AU5252*AV5252*AW5252</f>
        <v/>
      </c>
    </row>
    <row r="5253">
      <c r="A5253" t="inlineStr"/>
      <c r="B5253">
        <f>Assumptions!$B$60</f>
        <v/>
      </c>
      <c r="C5253" t="n">
        <v>1</v>
      </c>
      <c r="D5253" t="n">
        <v>1</v>
      </c>
      <c r="E5253" t="n">
        <v>1</v>
      </c>
      <c r="F5253" t="n">
        <v>1</v>
      </c>
      <c r="G5253" t="n">
        <v>1</v>
      </c>
      <c r="H5253" t="n">
        <v>0</v>
      </c>
      <c r="I5253" t="n">
        <v>1</v>
      </c>
      <c r="J5253">
        <f>(1-C5253)*Assumptions!$B$41+(1-D5253)*Assumptions!$B$33+(1-E5253)*Assumptions!$B$32+(1-F5253)*Assumptions!$B$31+(1-G5253)*Assumptions!$B$30+(1-H5253)*Assumptions!$B$29+(1-I5253)*Assumptions!$B$28</f>
        <v/>
      </c>
      <c r="K5253">
        <f>C5253*$J$232+D5253*$F$232+E5253*$G$232+F5253*Assumptions!$B$14+G5253*Assumptions!$B$13+H5253*Assumptions!$B$12+I5253*Assumptions!$B$11+$O$232+$S$232+Assumptions!$B$9</f>
        <v/>
      </c>
      <c r="L5253">
        <f>B5253-J5253</f>
        <v/>
      </c>
      <c r="M5253">
        <f>IF(K5253&gt;0,IF(L5253/K5253&gt;=Assumptions!$B$37,1,0),0)</f>
        <v/>
      </c>
      <c r="N5253">
        <f>K5253+M5253*Assumptions!$B$153</f>
        <v/>
      </c>
      <c r="O5253">
        <f>L5253+M5253*Assumptions!$B$153*Assumptions!$B$37</f>
        <v/>
      </c>
      <c r="P5253">
        <f>IF(N5253&gt;0,O5253/N5253,0)</f>
        <v/>
      </c>
      <c r="Q5253">
        <f>IF(C5253=1,P5253*$J$232,Assumptions!$B$41)</f>
        <v/>
      </c>
      <c r="R5253">
        <f>IF(D5253=1,P5253*$F$232,Assumptions!$B$33)</f>
        <v/>
      </c>
      <c r="S5253">
        <f>IF(E5253=1,P5253*$G$232,Assumptions!$B$32)</f>
        <v/>
      </c>
      <c r="T5253">
        <f>IF(F5253=1,P5253*Assumptions!$B$14,Assumptions!$B$31)</f>
        <v/>
      </c>
      <c r="U5253">
        <f>IF(G5253=1,P5253*Assumptions!$B$13,Assumptions!$B$30)</f>
        <v/>
      </c>
      <c r="V5253">
        <f>IF(H5253=1,P5253*Assumptions!$B$12,Assumptions!$B$29)</f>
        <v/>
      </c>
      <c r="W5253">
        <f>IF(I5253=1,P5253*Assumptions!$B$11,Assumptions!$B$28)</f>
        <v/>
      </c>
      <c r="X5253">
        <f>P5253*($O$232+$S$232)</f>
        <v/>
      </c>
      <c r="Y5253">
        <f>P5253*Assumptions!$B$9</f>
        <v/>
      </c>
      <c r="Z5253">
        <f>IF(M5253=1,(P5253-Assumptions!$B$37)*Assumptions!$B$153,0)</f>
        <v/>
      </c>
      <c r="AA5253">
        <f>Q5253+R5253+S5253+T5253+U5253+V5253+W5253+X5253+Y5253+Z5253</f>
        <v/>
      </c>
      <c r="AB5253" t="n">
        <v>125</v>
      </c>
      <c r="AC5253" t="n">
        <v>61</v>
      </c>
      <c r="AD5253" t="n">
        <v>93</v>
      </c>
      <c r="AE5253" t="n">
        <v>109</v>
      </c>
      <c r="AF5253" t="n">
        <v>117</v>
      </c>
      <c r="AG5253" t="n">
        <v>121</v>
      </c>
      <c r="AH5253" t="n">
        <v>127</v>
      </c>
      <c r="AI5253" t="n">
        <v>124</v>
      </c>
      <c r="AJ5253">
        <f>INDEX($Q$5128:$Q$5255,AC5253+1)</f>
        <v/>
      </c>
      <c r="AK5253">
        <f>INDEX($R$5128:$R$5255,AD5253+1)</f>
        <v/>
      </c>
      <c r="AL5253">
        <f>INDEX($S$5128:$S$5255,AE5253+1)</f>
        <v/>
      </c>
      <c r="AM5253">
        <f>INDEX($T$5128:$T$5255,AF5253+1)</f>
        <v/>
      </c>
      <c r="AN5253">
        <f>INDEX($U$5128:$U$5255,AG5253+1)</f>
        <v/>
      </c>
      <c r="AO5253">
        <f>INDEX($V$5128:$V$5255,AH5253+1)</f>
        <v/>
      </c>
      <c r="AP5253">
        <f>INDEX($W$5128:$W$5255,AI5253+1)</f>
        <v/>
      </c>
      <c r="AQ5253">
        <f>IF(Q5253&gt;=AJ5253-0.01,1,0)</f>
        <v/>
      </c>
      <c r="AR5253">
        <f>IF(R5253&gt;=AK5253-0.01,1,0)</f>
        <v/>
      </c>
      <c r="AS5253">
        <f>IF(S5253&gt;=AL5253-0.01,1,0)</f>
        <v/>
      </c>
      <c r="AT5253">
        <f>IF(T5253&gt;=AM5253-0.01,1,0)</f>
        <v/>
      </c>
      <c r="AU5253">
        <f>IF(U5253&gt;=AN5253-0.01,1,0)</f>
        <v/>
      </c>
      <c r="AV5253">
        <f>IF(V5253&gt;=AO5253-0.01,1,0)</f>
        <v/>
      </c>
      <c r="AW5253">
        <f>IF(W5253&gt;=AP5253-0.01,1,0)</f>
        <v/>
      </c>
      <c r="AX5253">
        <f>AQ5253*AR5253*AS5253*AT5253*AU5253*AV5253*AW5253</f>
        <v/>
      </c>
    </row>
    <row r="5254">
      <c r="A5254" t="inlineStr"/>
      <c r="B5254">
        <f>Assumptions!$B$60</f>
        <v/>
      </c>
      <c r="C5254" t="n">
        <v>1</v>
      </c>
      <c r="D5254" t="n">
        <v>1</v>
      </c>
      <c r="E5254" t="n">
        <v>1</v>
      </c>
      <c r="F5254" t="n">
        <v>1</v>
      </c>
      <c r="G5254" t="n">
        <v>1</v>
      </c>
      <c r="H5254" t="n">
        <v>1</v>
      </c>
      <c r="I5254" t="n">
        <v>0</v>
      </c>
      <c r="J5254">
        <f>(1-C5254)*Assumptions!$B$41+(1-D5254)*Assumptions!$B$33+(1-E5254)*Assumptions!$B$32+(1-F5254)*Assumptions!$B$31+(1-G5254)*Assumptions!$B$30+(1-H5254)*Assumptions!$B$29+(1-I5254)*Assumptions!$B$28</f>
        <v/>
      </c>
      <c r="K5254">
        <f>C5254*$J$232+D5254*$F$232+E5254*$G$232+F5254*Assumptions!$B$14+G5254*Assumptions!$B$13+H5254*Assumptions!$B$12+I5254*Assumptions!$B$11+$O$232+$S$232+Assumptions!$B$9</f>
        <v/>
      </c>
      <c r="L5254">
        <f>B5254-J5254</f>
        <v/>
      </c>
      <c r="M5254">
        <f>IF(K5254&gt;0,IF(L5254/K5254&gt;=Assumptions!$B$37,1,0),0)</f>
        <v/>
      </c>
      <c r="N5254">
        <f>K5254+M5254*Assumptions!$B$153</f>
        <v/>
      </c>
      <c r="O5254">
        <f>L5254+M5254*Assumptions!$B$153*Assumptions!$B$37</f>
        <v/>
      </c>
      <c r="P5254">
        <f>IF(N5254&gt;0,O5254/N5254,0)</f>
        <v/>
      </c>
      <c r="Q5254">
        <f>IF(C5254=1,P5254*$J$232,Assumptions!$B$41)</f>
        <v/>
      </c>
      <c r="R5254">
        <f>IF(D5254=1,P5254*$F$232,Assumptions!$B$33)</f>
        <v/>
      </c>
      <c r="S5254">
        <f>IF(E5254=1,P5254*$G$232,Assumptions!$B$32)</f>
        <v/>
      </c>
      <c r="T5254">
        <f>IF(F5254=1,P5254*Assumptions!$B$14,Assumptions!$B$31)</f>
        <v/>
      </c>
      <c r="U5254">
        <f>IF(G5254=1,P5254*Assumptions!$B$13,Assumptions!$B$30)</f>
        <v/>
      </c>
      <c r="V5254">
        <f>IF(H5254=1,P5254*Assumptions!$B$12,Assumptions!$B$29)</f>
        <v/>
      </c>
      <c r="W5254">
        <f>IF(I5254=1,P5254*Assumptions!$B$11,Assumptions!$B$28)</f>
        <v/>
      </c>
      <c r="X5254">
        <f>P5254*($O$232+$S$232)</f>
        <v/>
      </c>
      <c r="Y5254">
        <f>P5254*Assumptions!$B$9</f>
        <v/>
      </c>
      <c r="Z5254">
        <f>IF(M5254=1,(P5254-Assumptions!$B$37)*Assumptions!$B$153,0)</f>
        <v/>
      </c>
      <c r="AA5254">
        <f>Q5254+R5254+S5254+T5254+U5254+V5254+W5254+X5254+Y5254+Z5254</f>
        <v/>
      </c>
      <c r="AB5254" t="n">
        <v>126</v>
      </c>
      <c r="AC5254" t="n">
        <v>62</v>
      </c>
      <c r="AD5254" t="n">
        <v>94</v>
      </c>
      <c r="AE5254" t="n">
        <v>110</v>
      </c>
      <c r="AF5254" t="n">
        <v>118</v>
      </c>
      <c r="AG5254" t="n">
        <v>122</v>
      </c>
      <c r="AH5254" t="n">
        <v>124</v>
      </c>
      <c r="AI5254" t="n">
        <v>127</v>
      </c>
      <c r="AJ5254">
        <f>INDEX($Q$5128:$Q$5255,AC5254+1)</f>
        <v/>
      </c>
      <c r="AK5254">
        <f>INDEX($R$5128:$R$5255,AD5254+1)</f>
        <v/>
      </c>
      <c r="AL5254">
        <f>INDEX($S$5128:$S$5255,AE5254+1)</f>
        <v/>
      </c>
      <c r="AM5254">
        <f>INDEX($T$5128:$T$5255,AF5254+1)</f>
        <v/>
      </c>
      <c r="AN5254">
        <f>INDEX($U$5128:$U$5255,AG5254+1)</f>
        <v/>
      </c>
      <c r="AO5254">
        <f>INDEX($V$5128:$V$5255,AH5254+1)</f>
        <v/>
      </c>
      <c r="AP5254">
        <f>INDEX($W$5128:$W$5255,AI5254+1)</f>
        <v/>
      </c>
      <c r="AQ5254">
        <f>IF(Q5254&gt;=AJ5254-0.01,1,0)</f>
        <v/>
      </c>
      <c r="AR5254">
        <f>IF(R5254&gt;=AK5254-0.01,1,0)</f>
        <v/>
      </c>
      <c r="AS5254">
        <f>IF(S5254&gt;=AL5254-0.01,1,0)</f>
        <v/>
      </c>
      <c r="AT5254">
        <f>IF(T5254&gt;=AM5254-0.01,1,0)</f>
        <v/>
      </c>
      <c r="AU5254">
        <f>IF(U5254&gt;=AN5254-0.01,1,0)</f>
        <v/>
      </c>
      <c r="AV5254">
        <f>IF(V5254&gt;=AO5254-0.01,1,0)</f>
        <v/>
      </c>
      <c r="AW5254">
        <f>IF(W5254&gt;=AP5254-0.01,1,0)</f>
        <v/>
      </c>
      <c r="AX5254">
        <f>AQ5254*AR5254*AS5254*AT5254*AU5254*AV5254*AW5254</f>
        <v/>
      </c>
    </row>
    <row r="5255">
      <c r="A5255" t="inlineStr"/>
      <c r="B5255">
        <f>Assumptions!$B$60</f>
        <v/>
      </c>
      <c r="C5255" t="n">
        <v>1</v>
      </c>
      <c r="D5255" t="n">
        <v>1</v>
      </c>
      <c r="E5255" t="n">
        <v>1</v>
      </c>
      <c r="F5255" t="n">
        <v>1</v>
      </c>
      <c r="G5255" t="n">
        <v>1</v>
      </c>
      <c r="H5255" t="n">
        <v>1</v>
      </c>
      <c r="I5255" t="n">
        <v>1</v>
      </c>
      <c r="J5255">
        <f>(1-C5255)*Assumptions!$B$41+(1-D5255)*Assumptions!$B$33+(1-E5255)*Assumptions!$B$32+(1-F5255)*Assumptions!$B$31+(1-G5255)*Assumptions!$B$30+(1-H5255)*Assumptions!$B$29+(1-I5255)*Assumptions!$B$28</f>
        <v/>
      </c>
      <c r="K5255">
        <f>C5255*$J$232+D5255*$F$232+E5255*$G$232+F5255*Assumptions!$B$14+G5255*Assumptions!$B$13+H5255*Assumptions!$B$12+I5255*Assumptions!$B$11+$O$232+$S$232+Assumptions!$B$9</f>
        <v/>
      </c>
      <c r="L5255">
        <f>B5255-J5255</f>
        <v/>
      </c>
      <c r="M5255">
        <f>IF(K5255&gt;0,IF(L5255/K5255&gt;=Assumptions!$B$37,1,0),0)</f>
        <v/>
      </c>
      <c r="N5255">
        <f>K5255+M5255*Assumptions!$B$153</f>
        <v/>
      </c>
      <c r="O5255">
        <f>L5255+M5255*Assumptions!$B$153*Assumptions!$B$37</f>
        <v/>
      </c>
      <c r="P5255">
        <f>IF(N5255&gt;0,O5255/N5255,0)</f>
        <v/>
      </c>
      <c r="Q5255">
        <f>IF(C5255=1,P5255*$J$232,Assumptions!$B$41)</f>
        <v/>
      </c>
      <c r="R5255">
        <f>IF(D5255=1,P5255*$F$232,Assumptions!$B$33)</f>
        <v/>
      </c>
      <c r="S5255">
        <f>IF(E5255=1,P5255*$G$232,Assumptions!$B$32)</f>
        <v/>
      </c>
      <c r="T5255">
        <f>IF(F5255=1,P5255*Assumptions!$B$14,Assumptions!$B$31)</f>
        <v/>
      </c>
      <c r="U5255">
        <f>IF(G5255=1,P5255*Assumptions!$B$13,Assumptions!$B$30)</f>
        <v/>
      </c>
      <c r="V5255">
        <f>IF(H5255=1,P5255*Assumptions!$B$12,Assumptions!$B$29)</f>
        <v/>
      </c>
      <c r="W5255">
        <f>IF(I5255=1,P5255*Assumptions!$B$11,Assumptions!$B$28)</f>
        <v/>
      </c>
      <c r="X5255">
        <f>P5255*($O$232+$S$232)</f>
        <v/>
      </c>
      <c r="Y5255">
        <f>P5255*Assumptions!$B$9</f>
        <v/>
      </c>
      <c r="Z5255">
        <f>IF(M5255=1,(P5255-Assumptions!$B$37)*Assumptions!$B$153,0)</f>
        <v/>
      </c>
      <c r="AA5255">
        <f>Q5255+R5255+S5255+T5255+U5255+V5255+W5255+X5255+Y5255+Z5255</f>
        <v/>
      </c>
      <c r="AB5255" t="n">
        <v>127</v>
      </c>
      <c r="AC5255" t="n">
        <v>63</v>
      </c>
      <c r="AD5255" t="n">
        <v>95</v>
      </c>
      <c r="AE5255" t="n">
        <v>111</v>
      </c>
      <c r="AF5255" t="n">
        <v>119</v>
      </c>
      <c r="AG5255" t="n">
        <v>123</v>
      </c>
      <c r="AH5255" t="n">
        <v>125</v>
      </c>
      <c r="AI5255" t="n">
        <v>126</v>
      </c>
      <c r="AJ5255">
        <f>INDEX($Q$5128:$Q$5255,AC5255+1)</f>
        <v/>
      </c>
      <c r="AK5255">
        <f>INDEX($R$5128:$R$5255,AD5255+1)</f>
        <v/>
      </c>
      <c r="AL5255">
        <f>INDEX($S$5128:$S$5255,AE5255+1)</f>
        <v/>
      </c>
      <c r="AM5255">
        <f>INDEX($T$5128:$T$5255,AF5255+1)</f>
        <v/>
      </c>
      <c r="AN5255">
        <f>INDEX($U$5128:$U$5255,AG5255+1)</f>
        <v/>
      </c>
      <c r="AO5255">
        <f>INDEX($V$5128:$V$5255,AH5255+1)</f>
        <v/>
      </c>
      <c r="AP5255">
        <f>INDEX($W$5128:$W$5255,AI5255+1)</f>
        <v/>
      </c>
      <c r="AQ5255">
        <f>IF(Q5255&gt;=AJ5255-0.01,1,0)</f>
        <v/>
      </c>
      <c r="AR5255">
        <f>IF(R5255&gt;=AK5255-0.01,1,0)</f>
        <v/>
      </c>
      <c r="AS5255">
        <f>IF(S5255&gt;=AL5255-0.01,1,0)</f>
        <v/>
      </c>
      <c r="AT5255">
        <f>IF(T5255&gt;=AM5255-0.01,1,0)</f>
        <v/>
      </c>
      <c r="AU5255">
        <f>IF(U5255&gt;=AN5255-0.01,1,0)</f>
        <v/>
      </c>
      <c r="AV5255">
        <f>IF(V5255&gt;=AO5255-0.01,1,0)</f>
        <v/>
      </c>
      <c r="AW5255">
        <f>IF(W5255&gt;=AP5255-0.01,1,0)</f>
        <v/>
      </c>
      <c r="AX5255">
        <f>AQ5255*AR5255*AS5255*AT5255*AU5255*AV5255*AW5255</f>
        <v/>
      </c>
    </row>
    <row r="5256">
      <c r="A5256" t="inlineStr">
        <is>
          <t>esop_11_pre_1800M</t>
        </is>
      </c>
      <c r="B5256">
        <f>Assumptions!$B$60</f>
        <v/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>
        <f>(1-C5256)*Assumptions!$B$41+(1-D5256)*Assumptions!$B$33+(1-E5256)*Assumptions!$B$32+(1-F5256)*Assumptions!$B$31+(1-G5256)*Assumptions!$B$30+(1-H5256)*Assumptions!$B$29+(1-I5256)*Assumptions!$B$28</f>
        <v/>
      </c>
      <c r="K5256">
        <f>C5256*$J$307+D5256*$F$307+E5256*$G$307+F5256*Assumptions!$B$14+G5256*Assumptions!$B$13+H5256*Assumptions!$B$12+I5256*Assumptions!$B$11+$O$307+$S$307+Assumptions!$B$9</f>
        <v/>
      </c>
      <c r="L5256">
        <f>B5256-J5256</f>
        <v/>
      </c>
      <c r="M5256">
        <f>IF(K5256&gt;0,IF(L5256/K5256&gt;=Assumptions!$B$37,1,0),0)</f>
        <v/>
      </c>
      <c r="N5256">
        <f>K5256+M5256*Assumptions!$B$153</f>
        <v/>
      </c>
      <c r="O5256">
        <f>L5256+M5256*Assumptions!$B$153*Assumptions!$B$37</f>
        <v/>
      </c>
      <c r="P5256">
        <f>IF(N5256&gt;0,O5256/N5256,0)</f>
        <v/>
      </c>
      <c r="Q5256">
        <f>IF(C5256=1,P5256*$J$307,Assumptions!$B$41)</f>
        <v/>
      </c>
      <c r="R5256">
        <f>IF(D5256=1,P5256*$F$307,Assumptions!$B$33)</f>
        <v/>
      </c>
      <c r="S5256">
        <f>IF(E5256=1,P5256*$G$307,Assumptions!$B$32)</f>
        <v/>
      </c>
      <c r="T5256">
        <f>IF(F5256=1,P5256*Assumptions!$B$14,Assumptions!$B$31)</f>
        <v/>
      </c>
      <c r="U5256">
        <f>IF(G5256=1,P5256*Assumptions!$B$13,Assumptions!$B$30)</f>
        <v/>
      </c>
      <c r="V5256">
        <f>IF(H5256=1,P5256*Assumptions!$B$12,Assumptions!$B$29)</f>
        <v/>
      </c>
      <c r="W5256">
        <f>IF(I5256=1,P5256*Assumptions!$B$11,Assumptions!$B$28)</f>
        <v/>
      </c>
      <c r="X5256">
        <f>P5256*($O$307+$S$307)</f>
        <v/>
      </c>
      <c r="Y5256">
        <f>P5256*Assumptions!$B$9</f>
        <v/>
      </c>
      <c r="Z5256">
        <f>IF(M5256=1,(P5256-Assumptions!$B$37)*Assumptions!$B$153,0)</f>
        <v/>
      </c>
      <c r="AA5256">
        <f>Q5256+R5256+S5256+T5256+U5256+V5256+W5256+X5256+Y5256+Z5256</f>
        <v/>
      </c>
      <c r="AB5256" t="n">
        <v>0</v>
      </c>
      <c r="AC5256" t="n">
        <v>64</v>
      </c>
      <c r="AD5256" t="n">
        <v>32</v>
      </c>
      <c r="AE5256" t="n">
        <v>16</v>
      </c>
      <c r="AF5256" t="n">
        <v>8</v>
      </c>
      <c r="AG5256" t="n">
        <v>4</v>
      </c>
      <c r="AH5256" t="n">
        <v>2</v>
      </c>
      <c r="AI5256" t="n">
        <v>1</v>
      </c>
      <c r="AJ5256">
        <f>INDEX($Q$5256:$Q$5383,AC5256+1)</f>
        <v/>
      </c>
      <c r="AK5256">
        <f>INDEX($R$5256:$R$5383,AD5256+1)</f>
        <v/>
      </c>
      <c r="AL5256">
        <f>INDEX($S$5256:$S$5383,AE5256+1)</f>
        <v/>
      </c>
      <c r="AM5256">
        <f>INDEX($T$5256:$T$5383,AF5256+1)</f>
        <v/>
      </c>
      <c r="AN5256">
        <f>INDEX($U$5256:$U$5383,AG5256+1)</f>
        <v/>
      </c>
      <c r="AO5256">
        <f>INDEX($V$5256:$V$5383,AH5256+1)</f>
        <v/>
      </c>
      <c r="AP5256">
        <f>INDEX($W$5256:$W$5383,AI5256+1)</f>
        <v/>
      </c>
      <c r="AQ5256">
        <f>IF(Q5256&gt;=AJ5256-0.01,1,0)</f>
        <v/>
      </c>
      <c r="AR5256">
        <f>IF(R5256&gt;=AK5256-0.01,1,0)</f>
        <v/>
      </c>
      <c r="AS5256">
        <f>IF(S5256&gt;=AL5256-0.01,1,0)</f>
        <v/>
      </c>
      <c r="AT5256">
        <f>IF(T5256&gt;=AM5256-0.01,1,0)</f>
        <v/>
      </c>
      <c r="AU5256">
        <f>IF(U5256&gt;=AN5256-0.01,1,0)</f>
        <v/>
      </c>
      <c r="AV5256">
        <f>IF(V5256&gt;=AO5256-0.01,1,0)</f>
        <v/>
      </c>
      <c r="AW5256">
        <f>IF(W5256&gt;=AP5256-0.01,1,0)</f>
        <v/>
      </c>
      <c r="AX5256">
        <f>AQ5256*AR5256*AS5256*AT5256*AU5256*AV5256*AW5256</f>
        <v/>
      </c>
    </row>
    <row r="5257">
      <c r="A5257" t="inlineStr"/>
      <c r="B5257">
        <f>Assumptions!$B$60</f>
        <v/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>
        <f>(1-C5257)*Assumptions!$B$41+(1-D5257)*Assumptions!$B$33+(1-E5257)*Assumptions!$B$32+(1-F5257)*Assumptions!$B$31+(1-G5257)*Assumptions!$B$30+(1-H5257)*Assumptions!$B$29+(1-I5257)*Assumptions!$B$28</f>
        <v/>
      </c>
      <c r="K5257">
        <f>C5257*$J$307+D5257*$F$307+E5257*$G$307+F5257*Assumptions!$B$14+G5257*Assumptions!$B$13+H5257*Assumptions!$B$12+I5257*Assumptions!$B$11+$O$307+$S$307+Assumptions!$B$9</f>
        <v/>
      </c>
      <c r="L5257">
        <f>B5257-J5257</f>
        <v/>
      </c>
      <c r="M5257">
        <f>IF(K5257&gt;0,IF(L5257/K5257&gt;=Assumptions!$B$37,1,0),0)</f>
        <v/>
      </c>
      <c r="N5257">
        <f>K5257+M5257*Assumptions!$B$153</f>
        <v/>
      </c>
      <c r="O5257">
        <f>L5257+M5257*Assumptions!$B$153*Assumptions!$B$37</f>
        <v/>
      </c>
      <c r="P5257">
        <f>IF(N5257&gt;0,O5257/N5257,0)</f>
        <v/>
      </c>
      <c r="Q5257">
        <f>IF(C5257=1,P5257*$J$307,Assumptions!$B$41)</f>
        <v/>
      </c>
      <c r="R5257">
        <f>IF(D5257=1,P5257*$F$307,Assumptions!$B$33)</f>
        <v/>
      </c>
      <c r="S5257">
        <f>IF(E5257=1,P5257*$G$307,Assumptions!$B$32)</f>
        <v/>
      </c>
      <c r="T5257">
        <f>IF(F5257=1,P5257*Assumptions!$B$14,Assumptions!$B$31)</f>
        <v/>
      </c>
      <c r="U5257">
        <f>IF(G5257=1,P5257*Assumptions!$B$13,Assumptions!$B$30)</f>
        <v/>
      </c>
      <c r="V5257">
        <f>IF(H5257=1,P5257*Assumptions!$B$12,Assumptions!$B$29)</f>
        <v/>
      </c>
      <c r="W5257">
        <f>IF(I5257=1,P5257*Assumptions!$B$11,Assumptions!$B$28)</f>
        <v/>
      </c>
      <c r="X5257">
        <f>P5257*($O$307+$S$307)</f>
        <v/>
      </c>
      <c r="Y5257">
        <f>P5257*Assumptions!$B$9</f>
        <v/>
      </c>
      <c r="Z5257">
        <f>IF(M5257=1,(P5257-Assumptions!$B$37)*Assumptions!$B$153,0)</f>
        <v/>
      </c>
      <c r="AA5257">
        <f>Q5257+R5257+S5257+T5257+U5257+V5257+W5257+X5257+Y5257+Z5257</f>
        <v/>
      </c>
      <c r="AB5257" t="n">
        <v>1</v>
      </c>
      <c r="AC5257" t="n">
        <v>65</v>
      </c>
      <c r="AD5257" t="n">
        <v>33</v>
      </c>
      <c r="AE5257" t="n">
        <v>17</v>
      </c>
      <c r="AF5257" t="n">
        <v>9</v>
      </c>
      <c r="AG5257" t="n">
        <v>5</v>
      </c>
      <c r="AH5257" t="n">
        <v>3</v>
      </c>
      <c r="AI5257" t="n">
        <v>0</v>
      </c>
      <c r="AJ5257">
        <f>INDEX($Q$5256:$Q$5383,AC5257+1)</f>
        <v/>
      </c>
      <c r="AK5257">
        <f>INDEX($R$5256:$R$5383,AD5257+1)</f>
        <v/>
      </c>
      <c r="AL5257">
        <f>INDEX($S$5256:$S$5383,AE5257+1)</f>
        <v/>
      </c>
      <c r="AM5257">
        <f>INDEX($T$5256:$T$5383,AF5257+1)</f>
        <v/>
      </c>
      <c r="AN5257">
        <f>INDEX($U$5256:$U$5383,AG5257+1)</f>
        <v/>
      </c>
      <c r="AO5257">
        <f>INDEX($V$5256:$V$5383,AH5257+1)</f>
        <v/>
      </c>
      <c r="AP5257">
        <f>INDEX($W$5256:$W$5383,AI5257+1)</f>
        <v/>
      </c>
      <c r="AQ5257">
        <f>IF(Q5257&gt;=AJ5257-0.01,1,0)</f>
        <v/>
      </c>
      <c r="AR5257">
        <f>IF(R5257&gt;=AK5257-0.01,1,0)</f>
        <v/>
      </c>
      <c r="AS5257">
        <f>IF(S5257&gt;=AL5257-0.01,1,0)</f>
        <v/>
      </c>
      <c r="AT5257">
        <f>IF(T5257&gt;=AM5257-0.01,1,0)</f>
        <v/>
      </c>
      <c r="AU5257">
        <f>IF(U5257&gt;=AN5257-0.01,1,0)</f>
        <v/>
      </c>
      <c r="AV5257">
        <f>IF(V5257&gt;=AO5257-0.01,1,0)</f>
        <v/>
      </c>
      <c r="AW5257">
        <f>IF(W5257&gt;=AP5257-0.01,1,0)</f>
        <v/>
      </c>
      <c r="AX5257">
        <f>AQ5257*AR5257*AS5257*AT5257*AU5257*AV5257*AW5257</f>
        <v/>
      </c>
    </row>
    <row r="5258">
      <c r="A5258" t="inlineStr"/>
      <c r="B5258">
        <f>Assumptions!$B$60</f>
        <v/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>
        <f>(1-C5258)*Assumptions!$B$41+(1-D5258)*Assumptions!$B$33+(1-E5258)*Assumptions!$B$32+(1-F5258)*Assumptions!$B$31+(1-G5258)*Assumptions!$B$30+(1-H5258)*Assumptions!$B$29+(1-I5258)*Assumptions!$B$28</f>
        <v/>
      </c>
      <c r="K5258">
        <f>C5258*$J$307+D5258*$F$307+E5258*$G$307+F5258*Assumptions!$B$14+G5258*Assumptions!$B$13+H5258*Assumptions!$B$12+I5258*Assumptions!$B$11+$O$307+$S$307+Assumptions!$B$9</f>
        <v/>
      </c>
      <c r="L5258">
        <f>B5258-J5258</f>
        <v/>
      </c>
      <c r="M5258">
        <f>IF(K5258&gt;0,IF(L5258/K5258&gt;=Assumptions!$B$37,1,0),0)</f>
        <v/>
      </c>
      <c r="N5258">
        <f>K5258+M5258*Assumptions!$B$153</f>
        <v/>
      </c>
      <c r="O5258">
        <f>L5258+M5258*Assumptions!$B$153*Assumptions!$B$37</f>
        <v/>
      </c>
      <c r="P5258">
        <f>IF(N5258&gt;0,O5258/N5258,0)</f>
        <v/>
      </c>
      <c r="Q5258">
        <f>IF(C5258=1,P5258*$J$307,Assumptions!$B$41)</f>
        <v/>
      </c>
      <c r="R5258">
        <f>IF(D5258=1,P5258*$F$307,Assumptions!$B$33)</f>
        <v/>
      </c>
      <c r="S5258">
        <f>IF(E5258=1,P5258*$G$307,Assumptions!$B$32)</f>
        <v/>
      </c>
      <c r="T5258">
        <f>IF(F5258=1,P5258*Assumptions!$B$14,Assumptions!$B$31)</f>
        <v/>
      </c>
      <c r="U5258">
        <f>IF(G5258=1,P5258*Assumptions!$B$13,Assumptions!$B$30)</f>
        <v/>
      </c>
      <c r="V5258">
        <f>IF(H5258=1,P5258*Assumptions!$B$12,Assumptions!$B$29)</f>
        <v/>
      </c>
      <c r="W5258">
        <f>IF(I5258=1,P5258*Assumptions!$B$11,Assumptions!$B$28)</f>
        <v/>
      </c>
      <c r="X5258">
        <f>P5258*($O$307+$S$307)</f>
        <v/>
      </c>
      <c r="Y5258">
        <f>P5258*Assumptions!$B$9</f>
        <v/>
      </c>
      <c r="Z5258">
        <f>IF(M5258=1,(P5258-Assumptions!$B$37)*Assumptions!$B$153,0)</f>
        <v/>
      </c>
      <c r="AA5258">
        <f>Q5258+R5258+S5258+T5258+U5258+V5258+W5258+X5258+Y5258+Z5258</f>
        <v/>
      </c>
      <c r="AB5258" t="n">
        <v>2</v>
      </c>
      <c r="AC5258" t="n">
        <v>66</v>
      </c>
      <c r="AD5258" t="n">
        <v>34</v>
      </c>
      <c r="AE5258" t="n">
        <v>18</v>
      </c>
      <c r="AF5258" t="n">
        <v>10</v>
      </c>
      <c r="AG5258" t="n">
        <v>6</v>
      </c>
      <c r="AH5258" t="n">
        <v>0</v>
      </c>
      <c r="AI5258" t="n">
        <v>3</v>
      </c>
      <c r="AJ5258">
        <f>INDEX($Q$5256:$Q$5383,AC5258+1)</f>
        <v/>
      </c>
      <c r="AK5258">
        <f>INDEX($R$5256:$R$5383,AD5258+1)</f>
        <v/>
      </c>
      <c r="AL5258">
        <f>INDEX($S$5256:$S$5383,AE5258+1)</f>
        <v/>
      </c>
      <c r="AM5258">
        <f>INDEX($T$5256:$T$5383,AF5258+1)</f>
        <v/>
      </c>
      <c r="AN5258">
        <f>INDEX($U$5256:$U$5383,AG5258+1)</f>
        <v/>
      </c>
      <c r="AO5258">
        <f>INDEX($V$5256:$V$5383,AH5258+1)</f>
        <v/>
      </c>
      <c r="AP5258">
        <f>INDEX($W$5256:$W$5383,AI5258+1)</f>
        <v/>
      </c>
      <c r="AQ5258">
        <f>IF(Q5258&gt;=AJ5258-0.01,1,0)</f>
        <v/>
      </c>
      <c r="AR5258">
        <f>IF(R5258&gt;=AK5258-0.01,1,0)</f>
        <v/>
      </c>
      <c r="AS5258">
        <f>IF(S5258&gt;=AL5258-0.01,1,0)</f>
        <v/>
      </c>
      <c r="AT5258">
        <f>IF(T5258&gt;=AM5258-0.01,1,0)</f>
        <v/>
      </c>
      <c r="AU5258">
        <f>IF(U5258&gt;=AN5258-0.01,1,0)</f>
        <v/>
      </c>
      <c r="AV5258">
        <f>IF(V5258&gt;=AO5258-0.01,1,0)</f>
        <v/>
      </c>
      <c r="AW5258">
        <f>IF(W5258&gt;=AP5258-0.01,1,0)</f>
        <v/>
      </c>
      <c r="AX5258">
        <f>AQ5258*AR5258*AS5258*AT5258*AU5258*AV5258*AW5258</f>
        <v/>
      </c>
    </row>
    <row r="5259">
      <c r="A5259" t="inlineStr"/>
      <c r="B5259">
        <f>Assumptions!$B$60</f>
        <v/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</v>
      </c>
      <c r="J5259">
        <f>(1-C5259)*Assumptions!$B$41+(1-D5259)*Assumptions!$B$33+(1-E5259)*Assumptions!$B$32+(1-F5259)*Assumptions!$B$31+(1-G5259)*Assumptions!$B$30+(1-H5259)*Assumptions!$B$29+(1-I5259)*Assumptions!$B$28</f>
        <v/>
      </c>
      <c r="K5259">
        <f>C5259*$J$307+D5259*$F$307+E5259*$G$307+F5259*Assumptions!$B$14+G5259*Assumptions!$B$13+H5259*Assumptions!$B$12+I5259*Assumptions!$B$11+$O$307+$S$307+Assumptions!$B$9</f>
        <v/>
      </c>
      <c r="L5259">
        <f>B5259-J5259</f>
        <v/>
      </c>
      <c r="M5259">
        <f>IF(K5259&gt;0,IF(L5259/K5259&gt;=Assumptions!$B$37,1,0),0)</f>
        <v/>
      </c>
      <c r="N5259">
        <f>K5259+M5259*Assumptions!$B$153</f>
        <v/>
      </c>
      <c r="O5259">
        <f>L5259+M5259*Assumptions!$B$153*Assumptions!$B$37</f>
        <v/>
      </c>
      <c r="P5259">
        <f>IF(N5259&gt;0,O5259/N5259,0)</f>
        <v/>
      </c>
      <c r="Q5259">
        <f>IF(C5259=1,P5259*$J$307,Assumptions!$B$41)</f>
        <v/>
      </c>
      <c r="R5259">
        <f>IF(D5259=1,P5259*$F$307,Assumptions!$B$33)</f>
        <v/>
      </c>
      <c r="S5259">
        <f>IF(E5259=1,P5259*$G$307,Assumptions!$B$32)</f>
        <v/>
      </c>
      <c r="T5259">
        <f>IF(F5259=1,P5259*Assumptions!$B$14,Assumptions!$B$31)</f>
        <v/>
      </c>
      <c r="U5259">
        <f>IF(G5259=1,P5259*Assumptions!$B$13,Assumptions!$B$30)</f>
        <v/>
      </c>
      <c r="V5259">
        <f>IF(H5259=1,P5259*Assumptions!$B$12,Assumptions!$B$29)</f>
        <v/>
      </c>
      <c r="W5259">
        <f>IF(I5259=1,P5259*Assumptions!$B$11,Assumptions!$B$28)</f>
        <v/>
      </c>
      <c r="X5259">
        <f>P5259*($O$307+$S$307)</f>
        <v/>
      </c>
      <c r="Y5259">
        <f>P5259*Assumptions!$B$9</f>
        <v/>
      </c>
      <c r="Z5259">
        <f>IF(M5259=1,(P5259-Assumptions!$B$37)*Assumptions!$B$153,0)</f>
        <v/>
      </c>
      <c r="AA5259">
        <f>Q5259+R5259+S5259+T5259+U5259+V5259+W5259+X5259+Y5259+Z5259</f>
        <v/>
      </c>
      <c r="AB5259" t="n">
        <v>3</v>
      </c>
      <c r="AC5259" t="n">
        <v>67</v>
      </c>
      <c r="AD5259" t="n">
        <v>35</v>
      </c>
      <c r="AE5259" t="n">
        <v>19</v>
      </c>
      <c r="AF5259" t="n">
        <v>11</v>
      </c>
      <c r="AG5259" t="n">
        <v>7</v>
      </c>
      <c r="AH5259" t="n">
        <v>1</v>
      </c>
      <c r="AI5259" t="n">
        <v>2</v>
      </c>
      <c r="AJ5259">
        <f>INDEX($Q$5256:$Q$5383,AC5259+1)</f>
        <v/>
      </c>
      <c r="AK5259">
        <f>INDEX($R$5256:$R$5383,AD5259+1)</f>
        <v/>
      </c>
      <c r="AL5259">
        <f>INDEX($S$5256:$S$5383,AE5259+1)</f>
        <v/>
      </c>
      <c r="AM5259">
        <f>INDEX($T$5256:$T$5383,AF5259+1)</f>
        <v/>
      </c>
      <c r="AN5259">
        <f>INDEX($U$5256:$U$5383,AG5259+1)</f>
        <v/>
      </c>
      <c r="AO5259">
        <f>INDEX($V$5256:$V$5383,AH5259+1)</f>
        <v/>
      </c>
      <c r="AP5259">
        <f>INDEX($W$5256:$W$5383,AI5259+1)</f>
        <v/>
      </c>
      <c r="AQ5259">
        <f>IF(Q5259&gt;=AJ5259-0.01,1,0)</f>
        <v/>
      </c>
      <c r="AR5259">
        <f>IF(R5259&gt;=AK5259-0.01,1,0)</f>
        <v/>
      </c>
      <c r="AS5259">
        <f>IF(S5259&gt;=AL5259-0.01,1,0)</f>
        <v/>
      </c>
      <c r="AT5259">
        <f>IF(T5259&gt;=AM5259-0.01,1,0)</f>
        <v/>
      </c>
      <c r="AU5259">
        <f>IF(U5259&gt;=AN5259-0.01,1,0)</f>
        <v/>
      </c>
      <c r="AV5259">
        <f>IF(V5259&gt;=AO5259-0.01,1,0)</f>
        <v/>
      </c>
      <c r="AW5259">
        <f>IF(W5259&gt;=AP5259-0.01,1,0)</f>
        <v/>
      </c>
      <c r="AX5259">
        <f>AQ5259*AR5259*AS5259*AT5259*AU5259*AV5259*AW5259</f>
        <v/>
      </c>
    </row>
    <row r="5260">
      <c r="A5260" t="inlineStr"/>
      <c r="B5260">
        <f>Assumptions!$B$60</f>
        <v/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>
        <f>(1-C5260)*Assumptions!$B$41+(1-D5260)*Assumptions!$B$33+(1-E5260)*Assumptions!$B$32+(1-F5260)*Assumptions!$B$31+(1-G5260)*Assumptions!$B$30+(1-H5260)*Assumptions!$B$29+(1-I5260)*Assumptions!$B$28</f>
        <v/>
      </c>
      <c r="K5260">
        <f>C5260*$J$307+D5260*$F$307+E5260*$G$307+F5260*Assumptions!$B$14+G5260*Assumptions!$B$13+H5260*Assumptions!$B$12+I5260*Assumptions!$B$11+$O$307+$S$307+Assumptions!$B$9</f>
        <v/>
      </c>
      <c r="L5260">
        <f>B5260-J5260</f>
        <v/>
      </c>
      <c r="M5260">
        <f>IF(K5260&gt;0,IF(L5260/K5260&gt;=Assumptions!$B$37,1,0),0)</f>
        <v/>
      </c>
      <c r="N5260">
        <f>K5260+M5260*Assumptions!$B$153</f>
        <v/>
      </c>
      <c r="O5260">
        <f>L5260+M5260*Assumptions!$B$153*Assumptions!$B$37</f>
        <v/>
      </c>
      <c r="P5260">
        <f>IF(N5260&gt;0,O5260/N5260,0)</f>
        <v/>
      </c>
      <c r="Q5260">
        <f>IF(C5260=1,P5260*$J$307,Assumptions!$B$41)</f>
        <v/>
      </c>
      <c r="R5260">
        <f>IF(D5260=1,P5260*$F$307,Assumptions!$B$33)</f>
        <v/>
      </c>
      <c r="S5260">
        <f>IF(E5260=1,P5260*$G$307,Assumptions!$B$32)</f>
        <v/>
      </c>
      <c r="T5260">
        <f>IF(F5260=1,P5260*Assumptions!$B$14,Assumptions!$B$31)</f>
        <v/>
      </c>
      <c r="U5260">
        <f>IF(G5260=1,P5260*Assumptions!$B$13,Assumptions!$B$30)</f>
        <v/>
      </c>
      <c r="V5260">
        <f>IF(H5260=1,P5260*Assumptions!$B$12,Assumptions!$B$29)</f>
        <v/>
      </c>
      <c r="W5260">
        <f>IF(I5260=1,P5260*Assumptions!$B$11,Assumptions!$B$28)</f>
        <v/>
      </c>
      <c r="X5260">
        <f>P5260*($O$307+$S$307)</f>
        <v/>
      </c>
      <c r="Y5260">
        <f>P5260*Assumptions!$B$9</f>
        <v/>
      </c>
      <c r="Z5260">
        <f>IF(M5260=1,(P5260-Assumptions!$B$37)*Assumptions!$B$153,0)</f>
        <v/>
      </c>
      <c r="AA5260">
        <f>Q5260+R5260+S5260+T5260+U5260+V5260+W5260+X5260+Y5260+Z5260</f>
        <v/>
      </c>
      <c r="AB5260" t="n">
        <v>4</v>
      </c>
      <c r="AC5260" t="n">
        <v>68</v>
      </c>
      <c r="AD5260" t="n">
        <v>36</v>
      </c>
      <c r="AE5260" t="n">
        <v>20</v>
      </c>
      <c r="AF5260" t="n">
        <v>12</v>
      </c>
      <c r="AG5260" t="n">
        <v>0</v>
      </c>
      <c r="AH5260" t="n">
        <v>6</v>
      </c>
      <c r="AI5260" t="n">
        <v>5</v>
      </c>
      <c r="AJ5260">
        <f>INDEX($Q$5256:$Q$5383,AC5260+1)</f>
        <v/>
      </c>
      <c r="AK5260">
        <f>INDEX($R$5256:$R$5383,AD5260+1)</f>
        <v/>
      </c>
      <c r="AL5260">
        <f>INDEX($S$5256:$S$5383,AE5260+1)</f>
        <v/>
      </c>
      <c r="AM5260">
        <f>INDEX($T$5256:$T$5383,AF5260+1)</f>
        <v/>
      </c>
      <c r="AN5260">
        <f>INDEX($U$5256:$U$5383,AG5260+1)</f>
        <v/>
      </c>
      <c r="AO5260">
        <f>INDEX($V$5256:$V$5383,AH5260+1)</f>
        <v/>
      </c>
      <c r="AP5260">
        <f>INDEX($W$5256:$W$5383,AI5260+1)</f>
        <v/>
      </c>
      <c r="AQ5260">
        <f>IF(Q5260&gt;=AJ5260-0.01,1,0)</f>
        <v/>
      </c>
      <c r="AR5260">
        <f>IF(R5260&gt;=AK5260-0.01,1,0)</f>
        <v/>
      </c>
      <c r="AS5260">
        <f>IF(S5260&gt;=AL5260-0.01,1,0)</f>
        <v/>
      </c>
      <c r="AT5260">
        <f>IF(T5260&gt;=AM5260-0.01,1,0)</f>
        <v/>
      </c>
      <c r="AU5260">
        <f>IF(U5260&gt;=AN5260-0.01,1,0)</f>
        <v/>
      </c>
      <c r="AV5260">
        <f>IF(V5260&gt;=AO5260-0.01,1,0)</f>
        <v/>
      </c>
      <c r="AW5260">
        <f>IF(W5260&gt;=AP5260-0.01,1,0)</f>
        <v/>
      </c>
      <c r="AX5260">
        <f>AQ5260*AR5260*AS5260*AT5260*AU5260*AV5260*AW5260</f>
        <v/>
      </c>
    </row>
    <row r="5261">
      <c r="A5261" t="inlineStr"/>
      <c r="B5261">
        <f>Assumptions!$B$60</f>
        <v/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0</v>
      </c>
      <c r="I5261" t="n">
        <v>1</v>
      </c>
      <c r="J5261">
        <f>(1-C5261)*Assumptions!$B$41+(1-D5261)*Assumptions!$B$33+(1-E5261)*Assumptions!$B$32+(1-F5261)*Assumptions!$B$31+(1-G5261)*Assumptions!$B$30+(1-H5261)*Assumptions!$B$29+(1-I5261)*Assumptions!$B$28</f>
        <v/>
      </c>
      <c r="K5261">
        <f>C5261*$J$307+D5261*$F$307+E5261*$G$307+F5261*Assumptions!$B$14+G5261*Assumptions!$B$13+H5261*Assumptions!$B$12+I5261*Assumptions!$B$11+$O$307+$S$307+Assumptions!$B$9</f>
        <v/>
      </c>
      <c r="L5261">
        <f>B5261-J5261</f>
        <v/>
      </c>
      <c r="M5261">
        <f>IF(K5261&gt;0,IF(L5261/K5261&gt;=Assumptions!$B$37,1,0),0)</f>
        <v/>
      </c>
      <c r="N5261">
        <f>K5261+M5261*Assumptions!$B$153</f>
        <v/>
      </c>
      <c r="O5261">
        <f>L5261+M5261*Assumptions!$B$153*Assumptions!$B$37</f>
        <v/>
      </c>
      <c r="P5261">
        <f>IF(N5261&gt;0,O5261/N5261,0)</f>
        <v/>
      </c>
      <c r="Q5261">
        <f>IF(C5261=1,P5261*$J$307,Assumptions!$B$41)</f>
        <v/>
      </c>
      <c r="R5261">
        <f>IF(D5261=1,P5261*$F$307,Assumptions!$B$33)</f>
        <v/>
      </c>
      <c r="S5261">
        <f>IF(E5261=1,P5261*$G$307,Assumptions!$B$32)</f>
        <v/>
      </c>
      <c r="T5261">
        <f>IF(F5261=1,P5261*Assumptions!$B$14,Assumptions!$B$31)</f>
        <v/>
      </c>
      <c r="U5261">
        <f>IF(G5261=1,P5261*Assumptions!$B$13,Assumptions!$B$30)</f>
        <v/>
      </c>
      <c r="V5261">
        <f>IF(H5261=1,P5261*Assumptions!$B$12,Assumptions!$B$29)</f>
        <v/>
      </c>
      <c r="W5261">
        <f>IF(I5261=1,P5261*Assumptions!$B$11,Assumptions!$B$28)</f>
        <v/>
      </c>
      <c r="X5261">
        <f>P5261*($O$307+$S$307)</f>
        <v/>
      </c>
      <c r="Y5261">
        <f>P5261*Assumptions!$B$9</f>
        <v/>
      </c>
      <c r="Z5261">
        <f>IF(M5261=1,(P5261-Assumptions!$B$37)*Assumptions!$B$153,0)</f>
        <v/>
      </c>
      <c r="AA5261">
        <f>Q5261+R5261+S5261+T5261+U5261+V5261+W5261+X5261+Y5261+Z5261</f>
        <v/>
      </c>
      <c r="AB5261" t="n">
        <v>5</v>
      </c>
      <c r="AC5261" t="n">
        <v>69</v>
      </c>
      <c r="AD5261" t="n">
        <v>37</v>
      </c>
      <c r="AE5261" t="n">
        <v>21</v>
      </c>
      <c r="AF5261" t="n">
        <v>13</v>
      </c>
      <c r="AG5261" t="n">
        <v>1</v>
      </c>
      <c r="AH5261" t="n">
        <v>7</v>
      </c>
      <c r="AI5261" t="n">
        <v>4</v>
      </c>
      <c r="AJ5261">
        <f>INDEX($Q$5256:$Q$5383,AC5261+1)</f>
        <v/>
      </c>
      <c r="AK5261">
        <f>INDEX($R$5256:$R$5383,AD5261+1)</f>
        <v/>
      </c>
      <c r="AL5261">
        <f>INDEX($S$5256:$S$5383,AE5261+1)</f>
        <v/>
      </c>
      <c r="AM5261">
        <f>INDEX($T$5256:$T$5383,AF5261+1)</f>
        <v/>
      </c>
      <c r="AN5261">
        <f>INDEX($U$5256:$U$5383,AG5261+1)</f>
        <v/>
      </c>
      <c r="AO5261">
        <f>INDEX($V$5256:$V$5383,AH5261+1)</f>
        <v/>
      </c>
      <c r="AP5261">
        <f>INDEX($W$5256:$W$5383,AI5261+1)</f>
        <v/>
      </c>
      <c r="AQ5261">
        <f>IF(Q5261&gt;=AJ5261-0.01,1,0)</f>
        <v/>
      </c>
      <c r="AR5261">
        <f>IF(R5261&gt;=AK5261-0.01,1,0)</f>
        <v/>
      </c>
      <c r="AS5261">
        <f>IF(S5261&gt;=AL5261-0.01,1,0)</f>
        <v/>
      </c>
      <c r="AT5261">
        <f>IF(T5261&gt;=AM5261-0.01,1,0)</f>
        <v/>
      </c>
      <c r="AU5261">
        <f>IF(U5261&gt;=AN5261-0.01,1,0)</f>
        <v/>
      </c>
      <c r="AV5261">
        <f>IF(V5261&gt;=AO5261-0.01,1,0)</f>
        <v/>
      </c>
      <c r="AW5261">
        <f>IF(W5261&gt;=AP5261-0.01,1,0)</f>
        <v/>
      </c>
      <c r="AX5261">
        <f>AQ5261*AR5261*AS5261*AT5261*AU5261*AV5261*AW5261</f>
        <v/>
      </c>
    </row>
    <row r="5262">
      <c r="A5262" t="inlineStr"/>
      <c r="B5262">
        <f>Assumptions!$B$60</f>
        <v/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  <c r="I5262" t="n">
        <v>0</v>
      </c>
      <c r="J5262">
        <f>(1-C5262)*Assumptions!$B$41+(1-D5262)*Assumptions!$B$33+(1-E5262)*Assumptions!$B$32+(1-F5262)*Assumptions!$B$31+(1-G5262)*Assumptions!$B$30+(1-H5262)*Assumptions!$B$29+(1-I5262)*Assumptions!$B$28</f>
        <v/>
      </c>
      <c r="K5262">
        <f>C5262*$J$307+D5262*$F$307+E5262*$G$307+F5262*Assumptions!$B$14+G5262*Assumptions!$B$13+H5262*Assumptions!$B$12+I5262*Assumptions!$B$11+$O$307+$S$307+Assumptions!$B$9</f>
        <v/>
      </c>
      <c r="L5262">
        <f>B5262-J5262</f>
        <v/>
      </c>
      <c r="M5262">
        <f>IF(K5262&gt;0,IF(L5262/K5262&gt;=Assumptions!$B$37,1,0),0)</f>
        <v/>
      </c>
      <c r="N5262">
        <f>K5262+M5262*Assumptions!$B$153</f>
        <v/>
      </c>
      <c r="O5262">
        <f>L5262+M5262*Assumptions!$B$153*Assumptions!$B$37</f>
        <v/>
      </c>
      <c r="P5262">
        <f>IF(N5262&gt;0,O5262/N5262,0)</f>
        <v/>
      </c>
      <c r="Q5262">
        <f>IF(C5262=1,P5262*$J$307,Assumptions!$B$41)</f>
        <v/>
      </c>
      <c r="R5262">
        <f>IF(D5262=1,P5262*$F$307,Assumptions!$B$33)</f>
        <v/>
      </c>
      <c r="S5262">
        <f>IF(E5262=1,P5262*$G$307,Assumptions!$B$32)</f>
        <v/>
      </c>
      <c r="T5262">
        <f>IF(F5262=1,P5262*Assumptions!$B$14,Assumptions!$B$31)</f>
        <v/>
      </c>
      <c r="U5262">
        <f>IF(G5262=1,P5262*Assumptions!$B$13,Assumptions!$B$30)</f>
        <v/>
      </c>
      <c r="V5262">
        <f>IF(H5262=1,P5262*Assumptions!$B$12,Assumptions!$B$29)</f>
        <v/>
      </c>
      <c r="W5262">
        <f>IF(I5262=1,P5262*Assumptions!$B$11,Assumptions!$B$28)</f>
        <v/>
      </c>
      <c r="X5262">
        <f>P5262*($O$307+$S$307)</f>
        <v/>
      </c>
      <c r="Y5262">
        <f>P5262*Assumptions!$B$9</f>
        <v/>
      </c>
      <c r="Z5262">
        <f>IF(M5262=1,(P5262-Assumptions!$B$37)*Assumptions!$B$153,0)</f>
        <v/>
      </c>
      <c r="AA5262">
        <f>Q5262+R5262+S5262+T5262+U5262+V5262+W5262+X5262+Y5262+Z5262</f>
        <v/>
      </c>
      <c r="AB5262" t="n">
        <v>6</v>
      </c>
      <c r="AC5262" t="n">
        <v>70</v>
      </c>
      <c r="AD5262" t="n">
        <v>38</v>
      </c>
      <c r="AE5262" t="n">
        <v>22</v>
      </c>
      <c r="AF5262" t="n">
        <v>14</v>
      </c>
      <c r="AG5262" t="n">
        <v>2</v>
      </c>
      <c r="AH5262" t="n">
        <v>4</v>
      </c>
      <c r="AI5262" t="n">
        <v>7</v>
      </c>
      <c r="AJ5262">
        <f>INDEX($Q$5256:$Q$5383,AC5262+1)</f>
        <v/>
      </c>
      <c r="AK5262">
        <f>INDEX($R$5256:$R$5383,AD5262+1)</f>
        <v/>
      </c>
      <c r="AL5262">
        <f>INDEX($S$5256:$S$5383,AE5262+1)</f>
        <v/>
      </c>
      <c r="AM5262">
        <f>INDEX($T$5256:$T$5383,AF5262+1)</f>
        <v/>
      </c>
      <c r="AN5262">
        <f>INDEX($U$5256:$U$5383,AG5262+1)</f>
        <v/>
      </c>
      <c r="AO5262">
        <f>INDEX($V$5256:$V$5383,AH5262+1)</f>
        <v/>
      </c>
      <c r="AP5262">
        <f>INDEX($W$5256:$W$5383,AI5262+1)</f>
        <v/>
      </c>
      <c r="AQ5262">
        <f>IF(Q5262&gt;=AJ5262-0.01,1,0)</f>
        <v/>
      </c>
      <c r="AR5262">
        <f>IF(R5262&gt;=AK5262-0.01,1,0)</f>
        <v/>
      </c>
      <c r="AS5262">
        <f>IF(S5262&gt;=AL5262-0.01,1,0)</f>
        <v/>
      </c>
      <c r="AT5262">
        <f>IF(T5262&gt;=AM5262-0.01,1,0)</f>
        <v/>
      </c>
      <c r="AU5262">
        <f>IF(U5262&gt;=AN5262-0.01,1,0)</f>
        <v/>
      </c>
      <c r="AV5262">
        <f>IF(V5262&gt;=AO5262-0.01,1,0)</f>
        <v/>
      </c>
      <c r="AW5262">
        <f>IF(W5262&gt;=AP5262-0.01,1,0)</f>
        <v/>
      </c>
      <c r="AX5262">
        <f>AQ5262*AR5262*AS5262*AT5262*AU5262*AV5262*AW5262</f>
        <v/>
      </c>
    </row>
    <row r="5263">
      <c r="A5263" t="inlineStr"/>
      <c r="B5263">
        <f>Assumptions!$B$60</f>
        <v/>
      </c>
      <c r="C5263" t="n">
        <v>0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  <c r="I5263" t="n">
        <v>1</v>
      </c>
      <c r="J5263">
        <f>(1-C5263)*Assumptions!$B$41+(1-D5263)*Assumptions!$B$33+(1-E5263)*Assumptions!$B$32+(1-F5263)*Assumptions!$B$31+(1-G5263)*Assumptions!$B$30+(1-H5263)*Assumptions!$B$29+(1-I5263)*Assumptions!$B$28</f>
        <v/>
      </c>
      <c r="K5263">
        <f>C5263*$J$307+D5263*$F$307+E5263*$G$307+F5263*Assumptions!$B$14+G5263*Assumptions!$B$13+H5263*Assumptions!$B$12+I5263*Assumptions!$B$11+$O$307+$S$307+Assumptions!$B$9</f>
        <v/>
      </c>
      <c r="L5263">
        <f>B5263-J5263</f>
        <v/>
      </c>
      <c r="M5263">
        <f>IF(K5263&gt;0,IF(L5263/K5263&gt;=Assumptions!$B$37,1,0),0)</f>
        <v/>
      </c>
      <c r="N5263">
        <f>K5263+M5263*Assumptions!$B$153</f>
        <v/>
      </c>
      <c r="O5263">
        <f>L5263+M5263*Assumptions!$B$153*Assumptions!$B$37</f>
        <v/>
      </c>
      <c r="P5263">
        <f>IF(N5263&gt;0,O5263/N5263,0)</f>
        <v/>
      </c>
      <c r="Q5263">
        <f>IF(C5263=1,P5263*$J$307,Assumptions!$B$41)</f>
        <v/>
      </c>
      <c r="R5263">
        <f>IF(D5263=1,P5263*$F$307,Assumptions!$B$33)</f>
        <v/>
      </c>
      <c r="S5263">
        <f>IF(E5263=1,P5263*$G$307,Assumptions!$B$32)</f>
        <v/>
      </c>
      <c r="T5263">
        <f>IF(F5263=1,P5263*Assumptions!$B$14,Assumptions!$B$31)</f>
        <v/>
      </c>
      <c r="U5263">
        <f>IF(G5263=1,P5263*Assumptions!$B$13,Assumptions!$B$30)</f>
        <v/>
      </c>
      <c r="V5263">
        <f>IF(H5263=1,P5263*Assumptions!$B$12,Assumptions!$B$29)</f>
        <v/>
      </c>
      <c r="W5263">
        <f>IF(I5263=1,P5263*Assumptions!$B$11,Assumptions!$B$28)</f>
        <v/>
      </c>
      <c r="X5263">
        <f>P5263*($O$307+$S$307)</f>
        <v/>
      </c>
      <c r="Y5263">
        <f>P5263*Assumptions!$B$9</f>
        <v/>
      </c>
      <c r="Z5263">
        <f>IF(M5263=1,(P5263-Assumptions!$B$37)*Assumptions!$B$153,0)</f>
        <v/>
      </c>
      <c r="AA5263">
        <f>Q5263+R5263+S5263+T5263+U5263+V5263+W5263+X5263+Y5263+Z5263</f>
        <v/>
      </c>
      <c r="AB5263" t="n">
        <v>7</v>
      </c>
      <c r="AC5263" t="n">
        <v>71</v>
      </c>
      <c r="AD5263" t="n">
        <v>39</v>
      </c>
      <c r="AE5263" t="n">
        <v>23</v>
      </c>
      <c r="AF5263" t="n">
        <v>15</v>
      </c>
      <c r="AG5263" t="n">
        <v>3</v>
      </c>
      <c r="AH5263" t="n">
        <v>5</v>
      </c>
      <c r="AI5263" t="n">
        <v>6</v>
      </c>
      <c r="AJ5263">
        <f>INDEX($Q$5256:$Q$5383,AC5263+1)</f>
        <v/>
      </c>
      <c r="AK5263">
        <f>INDEX($R$5256:$R$5383,AD5263+1)</f>
        <v/>
      </c>
      <c r="AL5263">
        <f>INDEX($S$5256:$S$5383,AE5263+1)</f>
        <v/>
      </c>
      <c r="AM5263">
        <f>INDEX($T$5256:$T$5383,AF5263+1)</f>
        <v/>
      </c>
      <c r="AN5263">
        <f>INDEX($U$5256:$U$5383,AG5263+1)</f>
        <v/>
      </c>
      <c r="AO5263">
        <f>INDEX($V$5256:$V$5383,AH5263+1)</f>
        <v/>
      </c>
      <c r="AP5263">
        <f>INDEX($W$5256:$W$5383,AI5263+1)</f>
        <v/>
      </c>
      <c r="AQ5263">
        <f>IF(Q5263&gt;=AJ5263-0.01,1,0)</f>
        <v/>
      </c>
      <c r="AR5263">
        <f>IF(R5263&gt;=AK5263-0.01,1,0)</f>
        <v/>
      </c>
      <c r="AS5263">
        <f>IF(S5263&gt;=AL5263-0.01,1,0)</f>
        <v/>
      </c>
      <c r="AT5263">
        <f>IF(T5263&gt;=AM5263-0.01,1,0)</f>
        <v/>
      </c>
      <c r="AU5263">
        <f>IF(U5263&gt;=AN5263-0.01,1,0)</f>
        <v/>
      </c>
      <c r="AV5263">
        <f>IF(V5263&gt;=AO5263-0.01,1,0)</f>
        <v/>
      </c>
      <c r="AW5263">
        <f>IF(W5263&gt;=AP5263-0.01,1,0)</f>
        <v/>
      </c>
      <c r="AX5263">
        <f>AQ5263*AR5263*AS5263*AT5263*AU5263*AV5263*AW5263</f>
        <v/>
      </c>
    </row>
    <row r="5264">
      <c r="A5264" t="inlineStr"/>
      <c r="B5264">
        <f>Assumptions!$B$60</f>
        <v/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>
        <f>(1-C5264)*Assumptions!$B$41+(1-D5264)*Assumptions!$B$33+(1-E5264)*Assumptions!$B$32+(1-F5264)*Assumptions!$B$31+(1-G5264)*Assumptions!$B$30+(1-H5264)*Assumptions!$B$29+(1-I5264)*Assumptions!$B$28</f>
        <v/>
      </c>
      <c r="K5264">
        <f>C5264*$J$307+D5264*$F$307+E5264*$G$307+F5264*Assumptions!$B$14+G5264*Assumptions!$B$13+H5264*Assumptions!$B$12+I5264*Assumptions!$B$11+$O$307+$S$307+Assumptions!$B$9</f>
        <v/>
      </c>
      <c r="L5264">
        <f>B5264-J5264</f>
        <v/>
      </c>
      <c r="M5264">
        <f>IF(K5264&gt;0,IF(L5264/K5264&gt;=Assumptions!$B$37,1,0),0)</f>
        <v/>
      </c>
      <c r="N5264">
        <f>K5264+M5264*Assumptions!$B$153</f>
        <v/>
      </c>
      <c r="O5264">
        <f>L5264+M5264*Assumptions!$B$153*Assumptions!$B$37</f>
        <v/>
      </c>
      <c r="P5264">
        <f>IF(N5264&gt;0,O5264/N5264,0)</f>
        <v/>
      </c>
      <c r="Q5264">
        <f>IF(C5264=1,P5264*$J$307,Assumptions!$B$41)</f>
        <v/>
      </c>
      <c r="R5264">
        <f>IF(D5264=1,P5264*$F$307,Assumptions!$B$33)</f>
        <v/>
      </c>
      <c r="S5264">
        <f>IF(E5264=1,P5264*$G$307,Assumptions!$B$32)</f>
        <v/>
      </c>
      <c r="T5264">
        <f>IF(F5264=1,P5264*Assumptions!$B$14,Assumptions!$B$31)</f>
        <v/>
      </c>
      <c r="U5264">
        <f>IF(G5264=1,P5264*Assumptions!$B$13,Assumptions!$B$30)</f>
        <v/>
      </c>
      <c r="V5264">
        <f>IF(H5264=1,P5264*Assumptions!$B$12,Assumptions!$B$29)</f>
        <v/>
      </c>
      <c r="W5264">
        <f>IF(I5264=1,P5264*Assumptions!$B$11,Assumptions!$B$28)</f>
        <v/>
      </c>
      <c r="X5264">
        <f>P5264*($O$307+$S$307)</f>
        <v/>
      </c>
      <c r="Y5264">
        <f>P5264*Assumptions!$B$9</f>
        <v/>
      </c>
      <c r="Z5264">
        <f>IF(M5264=1,(P5264-Assumptions!$B$37)*Assumptions!$B$153,0)</f>
        <v/>
      </c>
      <c r="AA5264">
        <f>Q5264+R5264+S5264+T5264+U5264+V5264+W5264+X5264+Y5264+Z5264</f>
        <v/>
      </c>
      <c r="AB5264" t="n">
        <v>8</v>
      </c>
      <c r="AC5264" t="n">
        <v>72</v>
      </c>
      <c r="AD5264" t="n">
        <v>40</v>
      </c>
      <c r="AE5264" t="n">
        <v>24</v>
      </c>
      <c r="AF5264" t="n">
        <v>0</v>
      </c>
      <c r="AG5264" t="n">
        <v>12</v>
      </c>
      <c r="AH5264" t="n">
        <v>10</v>
      </c>
      <c r="AI5264" t="n">
        <v>9</v>
      </c>
      <c r="AJ5264">
        <f>INDEX($Q$5256:$Q$5383,AC5264+1)</f>
        <v/>
      </c>
      <c r="AK5264">
        <f>INDEX($R$5256:$R$5383,AD5264+1)</f>
        <v/>
      </c>
      <c r="AL5264">
        <f>INDEX($S$5256:$S$5383,AE5264+1)</f>
        <v/>
      </c>
      <c r="AM5264">
        <f>INDEX($T$5256:$T$5383,AF5264+1)</f>
        <v/>
      </c>
      <c r="AN5264">
        <f>INDEX($U$5256:$U$5383,AG5264+1)</f>
        <v/>
      </c>
      <c r="AO5264">
        <f>INDEX($V$5256:$V$5383,AH5264+1)</f>
        <v/>
      </c>
      <c r="AP5264">
        <f>INDEX($W$5256:$W$5383,AI5264+1)</f>
        <v/>
      </c>
      <c r="AQ5264">
        <f>IF(Q5264&gt;=AJ5264-0.01,1,0)</f>
        <v/>
      </c>
      <c r="AR5264">
        <f>IF(R5264&gt;=AK5264-0.01,1,0)</f>
        <v/>
      </c>
      <c r="AS5264">
        <f>IF(S5264&gt;=AL5264-0.01,1,0)</f>
        <v/>
      </c>
      <c r="AT5264">
        <f>IF(T5264&gt;=AM5264-0.01,1,0)</f>
        <v/>
      </c>
      <c r="AU5264">
        <f>IF(U5264&gt;=AN5264-0.01,1,0)</f>
        <v/>
      </c>
      <c r="AV5264">
        <f>IF(V5264&gt;=AO5264-0.01,1,0)</f>
        <v/>
      </c>
      <c r="AW5264">
        <f>IF(W5264&gt;=AP5264-0.01,1,0)</f>
        <v/>
      </c>
      <c r="AX5264">
        <f>AQ5264*AR5264*AS5264*AT5264*AU5264*AV5264*AW5264</f>
        <v/>
      </c>
    </row>
    <row r="5265">
      <c r="A5265" t="inlineStr"/>
      <c r="B5265">
        <f>Assumptions!$B$60</f>
        <v/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>
        <f>(1-C5265)*Assumptions!$B$41+(1-D5265)*Assumptions!$B$33+(1-E5265)*Assumptions!$B$32+(1-F5265)*Assumptions!$B$31+(1-G5265)*Assumptions!$B$30+(1-H5265)*Assumptions!$B$29+(1-I5265)*Assumptions!$B$28</f>
        <v/>
      </c>
      <c r="K5265">
        <f>C5265*$J$307+D5265*$F$307+E5265*$G$307+F5265*Assumptions!$B$14+G5265*Assumptions!$B$13+H5265*Assumptions!$B$12+I5265*Assumptions!$B$11+$O$307+$S$307+Assumptions!$B$9</f>
        <v/>
      </c>
      <c r="L5265">
        <f>B5265-J5265</f>
        <v/>
      </c>
      <c r="M5265">
        <f>IF(K5265&gt;0,IF(L5265/K5265&gt;=Assumptions!$B$37,1,0),0)</f>
        <v/>
      </c>
      <c r="N5265">
        <f>K5265+M5265*Assumptions!$B$153</f>
        <v/>
      </c>
      <c r="O5265">
        <f>L5265+M5265*Assumptions!$B$153*Assumptions!$B$37</f>
        <v/>
      </c>
      <c r="P5265">
        <f>IF(N5265&gt;0,O5265/N5265,0)</f>
        <v/>
      </c>
      <c r="Q5265">
        <f>IF(C5265=1,P5265*$J$307,Assumptions!$B$41)</f>
        <v/>
      </c>
      <c r="R5265">
        <f>IF(D5265=1,P5265*$F$307,Assumptions!$B$33)</f>
        <v/>
      </c>
      <c r="S5265">
        <f>IF(E5265=1,P5265*$G$307,Assumptions!$B$32)</f>
        <v/>
      </c>
      <c r="T5265">
        <f>IF(F5265=1,P5265*Assumptions!$B$14,Assumptions!$B$31)</f>
        <v/>
      </c>
      <c r="U5265">
        <f>IF(G5265=1,P5265*Assumptions!$B$13,Assumptions!$B$30)</f>
        <v/>
      </c>
      <c r="V5265">
        <f>IF(H5265=1,P5265*Assumptions!$B$12,Assumptions!$B$29)</f>
        <v/>
      </c>
      <c r="W5265">
        <f>IF(I5265=1,P5265*Assumptions!$B$11,Assumptions!$B$28)</f>
        <v/>
      </c>
      <c r="X5265">
        <f>P5265*($O$307+$S$307)</f>
        <v/>
      </c>
      <c r="Y5265">
        <f>P5265*Assumptions!$B$9</f>
        <v/>
      </c>
      <c r="Z5265">
        <f>IF(M5265=1,(P5265-Assumptions!$B$37)*Assumptions!$B$153,0)</f>
        <v/>
      </c>
      <c r="AA5265">
        <f>Q5265+R5265+S5265+T5265+U5265+V5265+W5265+X5265+Y5265+Z5265</f>
        <v/>
      </c>
      <c r="AB5265" t="n">
        <v>9</v>
      </c>
      <c r="AC5265" t="n">
        <v>73</v>
      </c>
      <c r="AD5265" t="n">
        <v>41</v>
      </c>
      <c r="AE5265" t="n">
        <v>25</v>
      </c>
      <c r="AF5265" t="n">
        <v>1</v>
      </c>
      <c r="AG5265" t="n">
        <v>13</v>
      </c>
      <c r="AH5265" t="n">
        <v>11</v>
      </c>
      <c r="AI5265" t="n">
        <v>8</v>
      </c>
      <c r="AJ5265">
        <f>INDEX($Q$5256:$Q$5383,AC5265+1)</f>
        <v/>
      </c>
      <c r="AK5265">
        <f>INDEX($R$5256:$R$5383,AD5265+1)</f>
        <v/>
      </c>
      <c r="AL5265">
        <f>INDEX($S$5256:$S$5383,AE5265+1)</f>
        <v/>
      </c>
      <c r="AM5265">
        <f>INDEX($T$5256:$T$5383,AF5265+1)</f>
        <v/>
      </c>
      <c r="AN5265">
        <f>INDEX($U$5256:$U$5383,AG5265+1)</f>
        <v/>
      </c>
      <c r="AO5265">
        <f>INDEX($V$5256:$V$5383,AH5265+1)</f>
        <v/>
      </c>
      <c r="AP5265">
        <f>INDEX($W$5256:$W$5383,AI5265+1)</f>
        <v/>
      </c>
      <c r="AQ5265">
        <f>IF(Q5265&gt;=AJ5265-0.01,1,0)</f>
        <v/>
      </c>
      <c r="AR5265">
        <f>IF(R5265&gt;=AK5265-0.01,1,0)</f>
        <v/>
      </c>
      <c r="AS5265">
        <f>IF(S5265&gt;=AL5265-0.01,1,0)</f>
        <v/>
      </c>
      <c r="AT5265">
        <f>IF(T5265&gt;=AM5265-0.01,1,0)</f>
        <v/>
      </c>
      <c r="AU5265">
        <f>IF(U5265&gt;=AN5265-0.01,1,0)</f>
        <v/>
      </c>
      <c r="AV5265">
        <f>IF(V5265&gt;=AO5265-0.01,1,0)</f>
        <v/>
      </c>
      <c r="AW5265">
        <f>IF(W5265&gt;=AP5265-0.01,1,0)</f>
        <v/>
      </c>
      <c r="AX5265">
        <f>AQ5265*AR5265*AS5265*AT5265*AU5265*AV5265*AW5265</f>
        <v/>
      </c>
    </row>
    <row r="5266">
      <c r="A5266" t="inlineStr"/>
      <c r="B5266">
        <f>Assumptions!$B$60</f>
        <v/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0</v>
      </c>
      <c r="J5266">
        <f>(1-C5266)*Assumptions!$B$41+(1-D5266)*Assumptions!$B$33+(1-E5266)*Assumptions!$B$32+(1-F5266)*Assumptions!$B$31+(1-G5266)*Assumptions!$B$30+(1-H5266)*Assumptions!$B$29+(1-I5266)*Assumptions!$B$28</f>
        <v/>
      </c>
      <c r="K5266">
        <f>C5266*$J$307+D5266*$F$307+E5266*$G$307+F5266*Assumptions!$B$14+G5266*Assumptions!$B$13+H5266*Assumptions!$B$12+I5266*Assumptions!$B$11+$O$307+$S$307+Assumptions!$B$9</f>
        <v/>
      </c>
      <c r="L5266">
        <f>B5266-J5266</f>
        <v/>
      </c>
      <c r="M5266">
        <f>IF(K5266&gt;0,IF(L5266/K5266&gt;=Assumptions!$B$37,1,0),0)</f>
        <v/>
      </c>
      <c r="N5266">
        <f>K5266+M5266*Assumptions!$B$153</f>
        <v/>
      </c>
      <c r="O5266">
        <f>L5266+M5266*Assumptions!$B$153*Assumptions!$B$37</f>
        <v/>
      </c>
      <c r="P5266">
        <f>IF(N5266&gt;0,O5266/N5266,0)</f>
        <v/>
      </c>
      <c r="Q5266">
        <f>IF(C5266=1,P5266*$J$307,Assumptions!$B$41)</f>
        <v/>
      </c>
      <c r="R5266">
        <f>IF(D5266=1,P5266*$F$307,Assumptions!$B$33)</f>
        <v/>
      </c>
      <c r="S5266">
        <f>IF(E5266=1,P5266*$G$307,Assumptions!$B$32)</f>
        <v/>
      </c>
      <c r="T5266">
        <f>IF(F5266=1,P5266*Assumptions!$B$14,Assumptions!$B$31)</f>
        <v/>
      </c>
      <c r="U5266">
        <f>IF(G5266=1,P5266*Assumptions!$B$13,Assumptions!$B$30)</f>
        <v/>
      </c>
      <c r="V5266">
        <f>IF(H5266=1,P5266*Assumptions!$B$12,Assumptions!$B$29)</f>
        <v/>
      </c>
      <c r="W5266">
        <f>IF(I5266=1,P5266*Assumptions!$B$11,Assumptions!$B$28)</f>
        <v/>
      </c>
      <c r="X5266">
        <f>P5266*($O$307+$S$307)</f>
        <v/>
      </c>
      <c r="Y5266">
        <f>P5266*Assumptions!$B$9</f>
        <v/>
      </c>
      <c r="Z5266">
        <f>IF(M5266=1,(P5266-Assumptions!$B$37)*Assumptions!$B$153,0)</f>
        <v/>
      </c>
      <c r="AA5266">
        <f>Q5266+R5266+S5266+T5266+U5266+V5266+W5266+X5266+Y5266+Z5266</f>
        <v/>
      </c>
      <c r="AB5266" t="n">
        <v>10</v>
      </c>
      <c r="AC5266" t="n">
        <v>74</v>
      </c>
      <c r="AD5266" t="n">
        <v>42</v>
      </c>
      <c r="AE5266" t="n">
        <v>26</v>
      </c>
      <c r="AF5266" t="n">
        <v>2</v>
      </c>
      <c r="AG5266" t="n">
        <v>14</v>
      </c>
      <c r="AH5266" t="n">
        <v>8</v>
      </c>
      <c r="AI5266" t="n">
        <v>11</v>
      </c>
      <c r="AJ5266">
        <f>INDEX($Q$5256:$Q$5383,AC5266+1)</f>
        <v/>
      </c>
      <c r="AK5266">
        <f>INDEX($R$5256:$R$5383,AD5266+1)</f>
        <v/>
      </c>
      <c r="AL5266">
        <f>INDEX($S$5256:$S$5383,AE5266+1)</f>
        <v/>
      </c>
      <c r="AM5266">
        <f>INDEX($T$5256:$T$5383,AF5266+1)</f>
        <v/>
      </c>
      <c r="AN5266">
        <f>INDEX($U$5256:$U$5383,AG5266+1)</f>
        <v/>
      </c>
      <c r="AO5266">
        <f>INDEX($V$5256:$V$5383,AH5266+1)</f>
        <v/>
      </c>
      <c r="AP5266">
        <f>INDEX($W$5256:$W$5383,AI5266+1)</f>
        <v/>
      </c>
      <c r="AQ5266">
        <f>IF(Q5266&gt;=AJ5266-0.01,1,0)</f>
        <v/>
      </c>
      <c r="AR5266">
        <f>IF(R5266&gt;=AK5266-0.01,1,0)</f>
        <v/>
      </c>
      <c r="AS5266">
        <f>IF(S5266&gt;=AL5266-0.01,1,0)</f>
        <v/>
      </c>
      <c r="AT5266">
        <f>IF(T5266&gt;=AM5266-0.01,1,0)</f>
        <v/>
      </c>
      <c r="AU5266">
        <f>IF(U5266&gt;=AN5266-0.01,1,0)</f>
        <v/>
      </c>
      <c r="AV5266">
        <f>IF(V5266&gt;=AO5266-0.01,1,0)</f>
        <v/>
      </c>
      <c r="AW5266">
        <f>IF(W5266&gt;=AP5266-0.01,1,0)</f>
        <v/>
      </c>
      <c r="AX5266">
        <f>AQ5266*AR5266*AS5266*AT5266*AU5266*AV5266*AW5266</f>
        <v/>
      </c>
    </row>
    <row r="5267">
      <c r="A5267" t="inlineStr"/>
      <c r="B5267">
        <f>Assumptions!$B$60</f>
        <v/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1</v>
      </c>
      <c r="J5267">
        <f>(1-C5267)*Assumptions!$B$41+(1-D5267)*Assumptions!$B$33+(1-E5267)*Assumptions!$B$32+(1-F5267)*Assumptions!$B$31+(1-G5267)*Assumptions!$B$30+(1-H5267)*Assumptions!$B$29+(1-I5267)*Assumptions!$B$28</f>
        <v/>
      </c>
      <c r="K5267">
        <f>C5267*$J$307+D5267*$F$307+E5267*$G$307+F5267*Assumptions!$B$14+G5267*Assumptions!$B$13+H5267*Assumptions!$B$12+I5267*Assumptions!$B$11+$O$307+$S$307+Assumptions!$B$9</f>
        <v/>
      </c>
      <c r="L5267">
        <f>B5267-J5267</f>
        <v/>
      </c>
      <c r="M5267">
        <f>IF(K5267&gt;0,IF(L5267/K5267&gt;=Assumptions!$B$37,1,0),0)</f>
        <v/>
      </c>
      <c r="N5267">
        <f>K5267+M5267*Assumptions!$B$153</f>
        <v/>
      </c>
      <c r="O5267">
        <f>L5267+M5267*Assumptions!$B$153*Assumptions!$B$37</f>
        <v/>
      </c>
      <c r="P5267">
        <f>IF(N5267&gt;0,O5267/N5267,0)</f>
        <v/>
      </c>
      <c r="Q5267">
        <f>IF(C5267=1,P5267*$J$307,Assumptions!$B$41)</f>
        <v/>
      </c>
      <c r="R5267">
        <f>IF(D5267=1,P5267*$F$307,Assumptions!$B$33)</f>
        <v/>
      </c>
      <c r="S5267">
        <f>IF(E5267=1,P5267*$G$307,Assumptions!$B$32)</f>
        <v/>
      </c>
      <c r="T5267">
        <f>IF(F5267=1,P5267*Assumptions!$B$14,Assumptions!$B$31)</f>
        <v/>
      </c>
      <c r="U5267">
        <f>IF(G5267=1,P5267*Assumptions!$B$13,Assumptions!$B$30)</f>
        <v/>
      </c>
      <c r="V5267">
        <f>IF(H5267=1,P5267*Assumptions!$B$12,Assumptions!$B$29)</f>
        <v/>
      </c>
      <c r="W5267">
        <f>IF(I5267=1,P5267*Assumptions!$B$11,Assumptions!$B$28)</f>
        <v/>
      </c>
      <c r="X5267">
        <f>P5267*($O$307+$S$307)</f>
        <v/>
      </c>
      <c r="Y5267">
        <f>P5267*Assumptions!$B$9</f>
        <v/>
      </c>
      <c r="Z5267">
        <f>IF(M5267=1,(P5267-Assumptions!$B$37)*Assumptions!$B$153,0)</f>
        <v/>
      </c>
      <c r="AA5267">
        <f>Q5267+R5267+S5267+T5267+U5267+V5267+W5267+X5267+Y5267+Z5267</f>
        <v/>
      </c>
      <c r="AB5267" t="n">
        <v>11</v>
      </c>
      <c r="AC5267" t="n">
        <v>75</v>
      </c>
      <c r="AD5267" t="n">
        <v>43</v>
      </c>
      <c r="AE5267" t="n">
        <v>27</v>
      </c>
      <c r="AF5267" t="n">
        <v>3</v>
      </c>
      <c r="AG5267" t="n">
        <v>15</v>
      </c>
      <c r="AH5267" t="n">
        <v>9</v>
      </c>
      <c r="AI5267" t="n">
        <v>10</v>
      </c>
      <c r="AJ5267">
        <f>INDEX($Q$5256:$Q$5383,AC5267+1)</f>
        <v/>
      </c>
      <c r="AK5267">
        <f>INDEX($R$5256:$R$5383,AD5267+1)</f>
        <v/>
      </c>
      <c r="AL5267">
        <f>INDEX($S$5256:$S$5383,AE5267+1)</f>
        <v/>
      </c>
      <c r="AM5267">
        <f>INDEX($T$5256:$T$5383,AF5267+1)</f>
        <v/>
      </c>
      <c r="AN5267">
        <f>INDEX($U$5256:$U$5383,AG5267+1)</f>
        <v/>
      </c>
      <c r="AO5267">
        <f>INDEX($V$5256:$V$5383,AH5267+1)</f>
        <v/>
      </c>
      <c r="AP5267">
        <f>INDEX($W$5256:$W$5383,AI5267+1)</f>
        <v/>
      </c>
      <c r="AQ5267">
        <f>IF(Q5267&gt;=AJ5267-0.01,1,0)</f>
        <v/>
      </c>
      <c r="AR5267">
        <f>IF(R5267&gt;=AK5267-0.01,1,0)</f>
        <v/>
      </c>
      <c r="AS5267">
        <f>IF(S5267&gt;=AL5267-0.01,1,0)</f>
        <v/>
      </c>
      <c r="AT5267">
        <f>IF(T5267&gt;=AM5267-0.01,1,0)</f>
        <v/>
      </c>
      <c r="AU5267">
        <f>IF(U5267&gt;=AN5267-0.01,1,0)</f>
        <v/>
      </c>
      <c r="AV5267">
        <f>IF(V5267&gt;=AO5267-0.01,1,0)</f>
        <v/>
      </c>
      <c r="AW5267">
        <f>IF(W5267&gt;=AP5267-0.01,1,0)</f>
        <v/>
      </c>
      <c r="AX5267">
        <f>AQ5267*AR5267*AS5267*AT5267*AU5267*AV5267*AW5267</f>
        <v/>
      </c>
    </row>
    <row r="5268">
      <c r="A5268" t="inlineStr"/>
      <c r="B5268">
        <f>Assumptions!$B$60</f>
        <v/>
      </c>
      <c r="C5268" t="n">
        <v>0</v>
      </c>
      <c r="D5268" t="n">
        <v>0</v>
      </c>
      <c r="E5268" t="n">
        <v>0</v>
      </c>
      <c r="F5268" t="n">
        <v>1</v>
      </c>
      <c r="G5268" t="n">
        <v>1</v>
      </c>
      <c r="H5268" t="n">
        <v>0</v>
      </c>
      <c r="I5268" t="n">
        <v>0</v>
      </c>
      <c r="J5268">
        <f>(1-C5268)*Assumptions!$B$41+(1-D5268)*Assumptions!$B$33+(1-E5268)*Assumptions!$B$32+(1-F5268)*Assumptions!$B$31+(1-G5268)*Assumptions!$B$30+(1-H5268)*Assumptions!$B$29+(1-I5268)*Assumptions!$B$28</f>
        <v/>
      </c>
      <c r="K5268">
        <f>C5268*$J$307+D5268*$F$307+E5268*$G$307+F5268*Assumptions!$B$14+G5268*Assumptions!$B$13+H5268*Assumptions!$B$12+I5268*Assumptions!$B$11+$O$307+$S$307+Assumptions!$B$9</f>
        <v/>
      </c>
      <c r="L5268">
        <f>B5268-J5268</f>
        <v/>
      </c>
      <c r="M5268">
        <f>IF(K5268&gt;0,IF(L5268/K5268&gt;=Assumptions!$B$37,1,0),0)</f>
        <v/>
      </c>
      <c r="N5268">
        <f>K5268+M5268*Assumptions!$B$153</f>
        <v/>
      </c>
      <c r="O5268">
        <f>L5268+M5268*Assumptions!$B$153*Assumptions!$B$37</f>
        <v/>
      </c>
      <c r="P5268">
        <f>IF(N5268&gt;0,O5268/N5268,0)</f>
        <v/>
      </c>
      <c r="Q5268">
        <f>IF(C5268=1,P5268*$J$307,Assumptions!$B$41)</f>
        <v/>
      </c>
      <c r="R5268">
        <f>IF(D5268=1,P5268*$F$307,Assumptions!$B$33)</f>
        <v/>
      </c>
      <c r="S5268">
        <f>IF(E5268=1,P5268*$G$307,Assumptions!$B$32)</f>
        <v/>
      </c>
      <c r="T5268">
        <f>IF(F5268=1,P5268*Assumptions!$B$14,Assumptions!$B$31)</f>
        <v/>
      </c>
      <c r="U5268">
        <f>IF(G5268=1,P5268*Assumptions!$B$13,Assumptions!$B$30)</f>
        <v/>
      </c>
      <c r="V5268">
        <f>IF(H5268=1,P5268*Assumptions!$B$12,Assumptions!$B$29)</f>
        <v/>
      </c>
      <c r="W5268">
        <f>IF(I5268=1,P5268*Assumptions!$B$11,Assumptions!$B$28)</f>
        <v/>
      </c>
      <c r="X5268">
        <f>P5268*($O$307+$S$307)</f>
        <v/>
      </c>
      <c r="Y5268">
        <f>P5268*Assumptions!$B$9</f>
        <v/>
      </c>
      <c r="Z5268">
        <f>IF(M5268=1,(P5268-Assumptions!$B$37)*Assumptions!$B$153,0)</f>
        <v/>
      </c>
      <c r="AA5268">
        <f>Q5268+R5268+S5268+T5268+U5268+V5268+W5268+X5268+Y5268+Z5268</f>
        <v/>
      </c>
      <c r="AB5268" t="n">
        <v>12</v>
      </c>
      <c r="AC5268" t="n">
        <v>76</v>
      </c>
      <c r="AD5268" t="n">
        <v>44</v>
      </c>
      <c r="AE5268" t="n">
        <v>28</v>
      </c>
      <c r="AF5268" t="n">
        <v>4</v>
      </c>
      <c r="AG5268" t="n">
        <v>8</v>
      </c>
      <c r="AH5268" t="n">
        <v>14</v>
      </c>
      <c r="AI5268" t="n">
        <v>13</v>
      </c>
      <c r="AJ5268">
        <f>INDEX($Q$5256:$Q$5383,AC5268+1)</f>
        <v/>
      </c>
      <c r="AK5268">
        <f>INDEX($R$5256:$R$5383,AD5268+1)</f>
        <v/>
      </c>
      <c r="AL5268">
        <f>INDEX($S$5256:$S$5383,AE5268+1)</f>
        <v/>
      </c>
      <c r="AM5268">
        <f>INDEX($T$5256:$T$5383,AF5268+1)</f>
        <v/>
      </c>
      <c r="AN5268">
        <f>INDEX($U$5256:$U$5383,AG5268+1)</f>
        <v/>
      </c>
      <c r="AO5268">
        <f>INDEX($V$5256:$V$5383,AH5268+1)</f>
        <v/>
      </c>
      <c r="AP5268">
        <f>INDEX($W$5256:$W$5383,AI5268+1)</f>
        <v/>
      </c>
      <c r="AQ5268">
        <f>IF(Q5268&gt;=AJ5268-0.01,1,0)</f>
        <v/>
      </c>
      <c r="AR5268">
        <f>IF(R5268&gt;=AK5268-0.01,1,0)</f>
        <v/>
      </c>
      <c r="AS5268">
        <f>IF(S5268&gt;=AL5268-0.01,1,0)</f>
        <v/>
      </c>
      <c r="AT5268">
        <f>IF(T5268&gt;=AM5268-0.01,1,0)</f>
        <v/>
      </c>
      <c r="AU5268">
        <f>IF(U5268&gt;=AN5268-0.01,1,0)</f>
        <v/>
      </c>
      <c r="AV5268">
        <f>IF(V5268&gt;=AO5268-0.01,1,0)</f>
        <v/>
      </c>
      <c r="AW5268">
        <f>IF(W5268&gt;=AP5268-0.01,1,0)</f>
        <v/>
      </c>
      <c r="AX5268">
        <f>AQ5268*AR5268*AS5268*AT5268*AU5268*AV5268*AW5268</f>
        <v/>
      </c>
    </row>
    <row r="5269">
      <c r="A5269" t="inlineStr"/>
      <c r="B5269">
        <f>Assumptions!$B$60</f>
        <v/>
      </c>
      <c r="C5269" t="n">
        <v>0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1</v>
      </c>
      <c r="J5269">
        <f>(1-C5269)*Assumptions!$B$41+(1-D5269)*Assumptions!$B$33+(1-E5269)*Assumptions!$B$32+(1-F5269)*Assumptions!$B$31+(1-G5269)*Assumptions!$B$30+(1-H5269)*Assumptions!$B$29+(1-I5269)*Assumptions!$B$28</f>
        <v/>
      </c>
      <c r="K5269">
        <f>C5269*$J$307+D5269*$F$307+E5269*$G$307+F5269*Assumptions!$B$14+G5269*Assumptions!$B$13+H5269*Assumptions!$B$12+I5269*Assumptions!$B$11+$O$307+$S$307+Assumptions!$B$9</f>
        <v/>
      </c>
      <c r="L5269">
        <f>B5269-J5269</f>
        <v/>
      </c>
      <c r="M5269">
        <f>IF(K5269&gt;0,IF(L5269/K5269&gt;=Assumptions!$B$37,1,0),0)</f>
        <v/>
      </c>
      <c r="N5269">
        <f>K5269+M5269*Assumptions!$B$153</f>
        <v/>
      </c>
      <c r="O5269">
        <f>L5269+M5269*Assumptions!$B$153*Assumptions!$B$37</f>
        <v/>
      </c>
      <c r="P5269">
        <f>IF(N5269&gt;0,O5269/N5269,0)</f>
        <v/>
      </c>
      <c r="Q5269">
        <f>IF(C5269=1,P5269*$J$307,Assumptions!$B$41)</f>
        <v/>
      </c>
      <c r="R5269">
        <f>IF(D5269=1,P5269*$F$307,Assumptions!$B$33)</f>
        <v/>
      </c>
      <c r="S5269">
        <f>IF(E5269=1,P5269*$G$307,Assumptions!$B$32)</f>
        <v/>
      </c>
      <c r="T5269">
        <f>IF(F5269=1,P5269*Assumptions!$B$14,Assumptions!$B$31)</f>
        <v/>
      </c>
      <c r="U5269">
        <f>IF(G5269=1,P5269*Assumptions!$B$13,Assumptions!$B$30)</f>
        <v/>
      </c>
      <c r="V5269">
        <f>IF(H5269=1,P5269*Assumptions!$B$12,Assumptions!$B$29)</f>
        <v/>
      </c>
      <c r="W5269">
        <f>IF(I5269=1,P5269*Assumptions!$B$11,Assumptions!$B$28)</f>
        <v/>
      </c>
      <c r="X5269">
        <f>P5269*($O$307+$S$307)</f>
        <v/>
      </c>
      <c r="Y5269">
        <f>P5269*Assumptions!$B$9</f>
        <v/>
      </c>
      <c r="Z5269">
        <f>IF(M5269=1,(P5269-Assumptions!$B$37)*Assumptions!$B$153,0)</f>
        <v/>
      </c>
      <c r="AA5269">
        <f>Q5269+R5269+S5269+T5269+U5269+V5269+W5269+X5269+Y5269+Z5269</f>
        <v/>
      </c>
      <c r="AB5269" t="n">
        <v>13</v>
      </c>
      <c r="AC5269" t="n">
        <v>77</v>
      </c>
      <c r="AD5269" t="n">
        <v>45</v>
      </c>
      <c r="AE5269" t="n">
        <v>29</v>
      </c>
      <c r="AF5269" t="n">
        <v>5</v>
      </c>
      <c r="AG5269" t="n">
        <v>9</v>
      </c>
      <c r="AH5269" t="n">
        <v>15</v>
      </c>
      <c r="AI5269" t="n">
        <v>12</v>
      </c>
      <c r="AJ5269">
        <f>INDEX($Q$5256:$Q$5383,AC5269+1)</f>
        <v/>
      </c>
      <c r="AK5269">
        <f>INDEX($R$5256:$R$5383,AD5269+1)</f>
        <v/>
      </c>
      <c r="AL5269">
        <f>INDEX($S$5256:$S$5383,AE5269+1)</f>
        <v/>
      </c>
      <c r="AM5269">
        <f>INDEX($T$5256:$T$5383,AF5269+1)</f>
        <v/>
      </c>
      <c r="AN5269">
        <f>INDEX($U$5256:$U$5383,AG5269+1)</f>
        <v/>
      </c>
      <c r="AO5269">
        <f>INDEX($V$5256:$V$5383,AH5269+1)</f>
        <v/>
      </c>
      <c r="AP5269">
        <f>INDEX($W$5256:$W$5383,AI5269+1)</f>
        <v/>
      </c>
      <c r="AQ5269">
        <f>IF(Q5269&gt;=AJ5269-0.01,1,0)</f>
        <v/>
      </c>
      <c r="AR5269">
        <f>IF(R5269&gt;=AK5269-0.01,1,0)</f>
        <v/>
      </c>
      <c r="AS5269">
        <f>IF(S5269&gt;=AL5269-0.01,1,0)</f>
        <v/>
      </c>
      <c r="AT5269">
        <f>IF(T5269&gt;=AM5269-0.01,1,0)</f>
        <v/>
      </c>
      <c r="AU5269">
        <f>IF(U5269&gt;=AN5269-0.01,1,0)</f>
        <v/>
      </c>
      <c r="AV5269">
        <f>IF(V5269&gt;=AO5269-0.01,1,0)</f>
        <v/>
      </c>
      <c r="AW5269">
        <f>IF(W5269&gt;=AP5269-0.01,1,0)</f>
        <v/>
      </c>
      <c r="AX5269">
        <f>AQ5269*AR5269*AS5269*AT5269*AU5269*AV5269*AW5269</f>
        <v/>
      </c>
    </row>
    <row r="5270">
      <c r="A5270" t="inlineStr"/>
      <c r="B5270">
        <f>Assumptions!$B$60</f>
        <v/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1</v>
      </c>
      <c r="I5270" t="n">
        <v>0</v>
      </c>
      <c r="J5270">
        <f>(1-C5270)*Assumptions!$B$41+(1-D5270)*Assumptions!$B$33+(1-E5270)*Assumptions!$B$32+(1-F5270)*Assumptions!$B$31+(1-G5270)*Assumptions!$B$30+(1-H5270)*Assumptions!$B$29+(1-I5270)*Assumptions!$B$28</f>
        <v/>
      </c>
      <c r="K5270">
        <f>C5270*$J$307+D5270*$F$307+E5270*$G$307+F5270*Assumptions!$B$14+G5270*Assumptions!$B$13+H5270*Assumptions!$B$12+I5270*Assumptions!$B$11+$O$307+$S$307+Assumptions!$B$9</f>
        <v/>
      </c>
      <c r="L5270">
        <f>B5270-J5270</f>
        <v/>
      </c>
      <c r="M5270">
        <f>IF(K5270&gt;0,IF(L5270/K5270&gt;=Assumptions!$B$37,1,0),0)</f>
        <v/>
      </c>
      <c r="N5270">
        <f>K5270+M5270*Assumptions!$B$153</f>
        <v/>
      </c>
      <c r="O5270">
        <f>L5270+M5270*Assumptions!$B$153*Assumptions!$B$37</f>
        <v/>
      </c>
      <c r="P5270">
        <f>IF(N5270&gt;0,O5270/N5270,0)</f>
        <v/>
      </c>
      <c r="Q5270">
        <f>IF(C5270=1,P5270*$J$307,Assumptions!$B$41)</f>
        <v/>
      </c>
      <c r="R5270">
        <f>IF(D5270=1,P5270*$F$307,Assumptions!$B$33)</f>
        <v/>
      </c>
      <c r="S5270">
        <f>IF(E5270=1,P5270*$G$307,Assumptions!$B$32)</f>
        <v/>
      </c>
      <c r="T5270">
        <f>IF(F5270=1,P5270*Assumptions!$B$14,Assumptions!$B$31)</f>
        <v/>
      </c>
      <c r="U5270">
        <f>IF(G5270=1,P5270*Assumptions!$B$13,Assumptions!$B$30)</f>
        <v/>
      </c>
      <c r="V5270">
        <f>IF(H5270=1,P5270*Assumptions!$B$12,Assumptions!$B$29)</f>
        <v/>
      </c>
      <c r="W5270">
        <f>IF(I5270=1,P5270*Assumptions!$B$11,Assumptions!$B$28)</f>
        <v/>
      </c>
      <c r="X5270">
        <f>P5270*($O$307+$S$307)</f>
        <v/>
      </c>
      <c r="Y5270">
        <f>P5270*Assumptions!$B$9</f>
        <v/>
      </c>
      <c r="Z5270">
        <f>IF(M5270=1,(P5270-Assumptions!$B$37)*Assumptions!$B$153,0)</f>
        <v/>
      </c>
      <c r="AA5270">
        <f>Q5270+R5270+S5270+T5270+U5270+V5270+W5270+X5270+Y5270+Z5270</f>
        <v/>
      </c>
      <c r="AB5270" t="n">
        <v>14</v>
      </c>
      <c r="AC5270" t="n">
        <v>78</v>
      </c>
      <c r="AD5270" t="n">
        <v>46</v>
      </c>
      <c r="AE5270" t="n">
        <v>30</v>
      </c>
      <c r="AF5270" t="n">
        <v>6</v>
      </c>
      <c r="AG5270" t="n">
        <v>10</v>
      </c>
      <c r="AH5270" t="n">
        <v>12</v>
      </c>
      <c r="AI5270" t="n">
        <v>15</v>
      </c>
      <c r="AJ5270">
        <f>INDEX($Q$5256:$Q$5383,AC5270+1)</f>
        <v/>
      </c>
      <c r="AK5270">
        <f>INDEX($R$5256:$R$5383,AD5270+1)</f>
        <v/>
      </c>
      <c r="AL5270">
        <f>INDEX($S$5256:$S$5383,AE5270+1)</f>
        <v/>
      </c>
      <c r="AM5270">
        <f>INDEX($T$5256:$T$5383,AF5270+1)</f>
        <v/>
      </c>
      <c r="AN5270">
        <f>INDEX($U$5256:$U$5383,AG5270+1)</f>
        <v/>
      </c>
      <c r="AO5270">
        <f>INDEX($V$5256:$V$5383,AH5270+1)</f>
        <v/>
      </c>
      <c r="AP5270">
        <f>INDEX($W$5256:$W$5383,AI5270+1)</f>
        <v/>
      </c>
      <c r="AQ5270">
        <f>IF(Q5270&gt;=AJ5270-0.01,1,0)</f>
        <v/>
      </c>
      <c r="AR5270">
        <f>IF(R5270&gt;=AK5270-0.01,1,0)</f>
        <v/>
      </c>
      <c r="AS5270">
        <f>IF(S5270&gt;=AL5270-0.01,1,0)</f>
        <v/>
      </c>
      <c r="AT5270">
        <f>IF(T5270&gt;=AM5270-0.01,1,0)</f>
        <v/>
      </c>
      <c r="AU5270">
        <f>IF(U5270&gt;=AN5270-0.01,1,0)</f>
        <v/>
      </c>
      <c r="AV5270">
        <f>IF(V5270&gt;=AO5270-0.01,1,0)</f>
        <v/>
      </c>
      <c r="AW5270">
        <f>IF(W5270&gt;=AP5270-0.01,1,0)</f>
        <v/>
      </c>
      <c r="AX5270">
        <f>AQ5270*AR5270*AS5270*AT5270*AU5270*AV5270*AW5270</f>
        <v/>
      </c>
    </row>
    <row r="5271">
      <c r="A5271" t="inlineStr"/>
      <c r="B5271">
        <f>Assumptions!$B$60</f>
        <v/>
      </c>
      <c r="C5271" t="n">
        <v>0</v>
      </c>
      <c r="D5271" t="n">
        <v>0</v>
      </c>
      <c r="E5271" t="n">
        <v>0</v>
      </c>
      <c r="F5271" t="n">
        <v>1</v>
      </c>
      <c r="G5271" t="n">
        <v>1</v>
      </c>
      <c r="H5271" t="n">
        <v>1</v>
      </c>
      <c r="I5271" t="n">
        <v>1</v>
      </c>
      <c r="J5271">
        <f>(1-C5271)*Assumptions!$B$41+(1-D5271)*Assumptions!$B$33+(1-E5271)*Assumptions!$B$32+(1-F5271)*Assumptions!$B$31+(1-G5271)*Assumptions!$B$30+(1-H5271)*Assumptions!$B$29+(1-I5271)*Assumptions!$B$28</f>
        <v/>
      </c>
      <c r="K5271">
        <f>C5271*$J$307+D5271*$F$307+E5271*$G$307+F5271*Assumptions!$B$14+G5271*Assumptions!$B$13+H5271*Assumptions!$B$12+I5271*Assumptions!$B$11+$O$307+$S$307+Assumptions!$B$9</f>
        <v/>
      </c>
      <c r="L5271">
        <f>B5271-J5271</f>
        <v/>
      </c>
      <c r="M5271">
        <f>IF(K5271&gt;0,IF(L5271/K5271&gt;=Assumptions!$B$37,1,0),0)</f>
        <v/>
      </c>
      <c r="N5271">
        <f>K5271+M5271*Assumptions!$B$153</f>
        <v/>
      </c>
      <c r="O5271">
        <f>L5271+M5271*Assumptions!$B$153*Assumptions!$B$37</f>
        <v/>
      </c>
      <c r="P5271">
        <f>IF(N5271&gt;0,O5271/N5271,0)</f>
        <v/>
      </c>
      <c r="Q5271">
        <f>IF(C5271=1,P5271*$J$307,Assumptions!$B$41)</f>
        <v/>
      </c>
      <c r="R5271">
        <f>IF(D5271=1,P5271*$F$307,Assumptions!$B$33)</f>
        <v/>
      </c>
      <c r="S5271">
        <f>IF(E5271=1,P5271*$G$307,Assumptions!$B$32)</f>
        <v/>
      </c>
      <c r="T5271">
        <f>IF(F5271=1,P5271*Assumptions!$B$14,Assumptions!$B$31)</f>
        <v/>
      </c>
      <c r="U5271">
        <f>IF(G5271=1,P5271*Assumptions!$B$13,Assumptions!$B$30)</f>
        <v/>
      </c>
      <c r="V5271">
        <f>IF(H5271=1,P5271*Assumptions!$B$12,Assumptions!$B$29)</f>
        <v/>
      </c>
      <c r="W5271">
        <f>IF(I5271=1,P5271*Assumptions!$B$11,Assumptions!$B$28)</f>
        <v/>
      </c>
      <c r="X5271">
        <f>P5271*($O$307+$S$307)</f>
        <v/>
      </c>
      <c r="Y5271">
        <f>P5271*Assumptions!$B$9</f>
        <v/>
      </c>
      <c r="Z5271">
        <f>IF(M5271=1,(P5271-Assumptions!$B$37)*Assumptions!$B$153,0)</f>
        <v/>
      </c>
      <c r="AA5271">
        <f>Q5271+R5271+S5271+T5271+U5271+V5271+W5271+X5271+Y5271+Z5271</f>
        <v/>
      </c>
      <c r="AB5271" t="n">
        <v>15</v>
      </c>
      <c r="AC5271" t="n">
        <v>79</v>
      </c>
      <c r="AD5271" t="n">
        <v>47</v>
      </c>
      <c r="AE5271" t="n">
        <v>31</v>
      </c>
      <c r="AF5271" t="n">
        <v>7</v>
      </c>
      <c r="AG5271" t="n">
        <v>11</v>
      </c>
      <c r="AH5271" t="n">
        <v>13</v>
      </c>
      <c r="AI5271" t="n">
        <v>14</v>
      </c>
      <c r="AJ5271">
        <f>INDEX($Q$5256:$Q$5383,AC5271+1)</f>
        <v/>
      </c>
      <c r="AK5271">
        <f>INDEX($R$5256:$R$5383,AD5271+1)</f>
        <v/>
      </c>
      <c r="AL5271">
        <f>INDEX($S$5256:$S$5383,AE5271+1)</f>
        <v/>
      </c>
      <c r="AM5271">
        <f>INDEX($T$5256:$T$5383,AF5271+1)</f>
        <v/>
      </c>
      <c r="AN5271">
        <f>INDEX($U$5256:$U$5383,AG5271+1)</f>
        <v/>
      </c>
      <c r="AO5271">
        <f>INDEX($V$5256:$V$5383,AH5271+1)</f>
        <v/>
      </c>
      <c r="AP5271">
        <f>INDEX($W$5256:$W$5383,AI5271+1)</f>
        <v/>
      </c>
      <c r="AQ5271">
        <f>IF(Q5271&gt;=AJ5271-0.01,1,0)</f>
        <v/>
      </c>
      <c r="AR5271">
        <f>IF(R5271&gt;=AK5271-0.01,1,0)</f>
        <v/>
      </c>
      <c r="AS5271">
        <f>IF(S5271&gt;=AL5271-0.01,1,0)</f>
        <v/>
      </c>
      <c r="AT5271">
        <f>IF(T5271&gt;=AM5271-0.01,1,0)</f>
        <v/>
      </c>
      <c r="AU5271">
        <f>IF(U5271&gt;=AN5271-0.01,1,0)</f>
        <v/>
      </c>
      <c r="AV5271">
        <f>IF(V5271&gt;=AO5271-0.01,1,0)</f>
        <v/>
      </c>
      <c r="AW5271">
        <f>IF(W5271&gt;=AP5271-0.01,1,0)</f>
        <v/>
      </c>
      <c r="AX5271">
        <f>AQ5271*AR5271*AS5271*AT5271*AU5271*AV5271*AW5271</f>
        <v/>
      </c>
    </row>
    <row r="5272">
      <c r="A5272" t="inlineStr"/>
      <c r="B5272">
        <f>Assumptions!$B$60</f>
        <v/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>
        <f>(1-C5272)*Assumptions!$B$41+(1-D5272)*Assumptions!$B$33+(1-E5272)*Assumptions!$B$32+(1-F5272)*Assumptions!$B$31+(1-G5272)*Assumptions!$B$30+(1-H5272)*Assumptions!$B$29+(1-I5272)*Assumptions!$B$28</f>
        <v/>
      </c>
      <c r="K5272">
        <f>C5272*$J$307+D5272*$F$307+E5272*$G$307+F5272*Assumptions!$B$14+G5272*Assumptions!$B$13+H5272*Assumptions!$B$12+I5272*Assumptions!$B$11+$O$307+$S$307+Assumptions!$B$9</f>
        <v/>
      </c>
      <c r="L5272">
        <f>B5272-J5272</f>
        <v/>
      </c>
      <c r="M5272">
        <f>IF(K5272&gt;0,IF(L5272/K5272&gt;=Assumptions!$B$37,1,0),0)</f>
        <v/>
      </c>
      <c r="N5272">
        <f>K5272+M5272*Assumptions!$B$153</f>
        <v/>
      </c>
      <c r="O5272">
        <f>L5272+M5272*Assumptions!$B$153*Assumptions!$B$37</f>
        <v/>
      </c>
      <c r="P5272">
        <f>IF(N5272&gt;0,O5272/N5272,0)</f>
        <v/>
      </c>
      <c r="Q5272">
        <f>IF(C5272=1,P5272*$J$307,Assumptions!$B$41)</f>
        <v/>
      </c>
      <c r="R5272">
        <f>IF(D5272=1,P5272*$F$307,Assumptions!$B$33)</f>
        <v/>
      </c>
      <c r="S5272">
        <f>IF(E5272=1,P5272*$G$307,Assumptions!$B$32)</f>
        <v/>
      </c>
      <c r="T5272">
        <f>IF(F5272=1,P5272*Assumptions!$B$14,Assumptions!$B$31)</f>
        <v/>
      </c>
      <c r="U5272">
        <f>IF(G5272=1,P5272*Assumptions!$B$13,Assumptions!$B$30)</f>
        <v/>
      </c>
      <c r="V5272">
        <f>IF(H5272=1,P5272*Assumptions!$B$12,Assumptions!$B$29)</f>
        <v/>
      </c>
      <c r="W5272">
        <f>IF(I5272=1,P5272*Assumptions!$B$11,Assumptions!$B$28)</f>
        <v/>
      </c>
      <c r="X5272">
        <f>P5272*($O$307+$S$307)</f>
        <v/>
      </c>
      <c r="Y5272">
        <f>P5272*Assumptions!$B$9</f>
        <v/>
      </c>
      <c r="Z5272">
        <f>IF(M5272=1,(P5272-Assumptions!$B$37)*Assumptions!$B$153,0)</f>
        <v/>
      </c>
      <c r="AA5272">
        <f>Q5272+R5272+S5272+T5272+U5272+V5272+W5272+X5272+Y5272+Z5272</f>
        <v/>
      </c>
      <c r="AB5272" t="n">
        <v>16</v>
      </c>
      <c r="AC5272" t="n">
        <v>80</v>
      </c>
      <c r="AD5272" t="n">
        <v>48</v>
      </c>
      <c r="AE5272" t="n">
        <v>0</v>
      </c>
      <c r="AF5272" t="n">
        <v>24</v>
      </c>
      <c r="AG5272" t="n">
        <v>20</v>
      </c>
      <c r="AH5272" t="n">
        <v>18</v>
      </c>
      <c r="AI5272" t="n">
        <v>17</v>
      </c>
      <c r="AJ5272">
        <f>INDEX($Q$5256:$Q$5383,AC5272+1)</f>
        <v/>
      </c>
      <c r="AK5272">
        <f>INDEX($R$5256:$R$5383,AD5272+1)</f>
        <v/>
      </c>
      <c r="AL5272">
        <f>INDEX($S$5256:$S$5383,AE5272+1)</f>
        <v/>
      </c>
      <c r="AM5272">
        <f>INDEX($T$5256:$T$5383,AF5272+1)</f>
        <v/>
      </c>
      <c r="AN5272">
        <f>INDEX($U$5256:$U$5383,AG5272+1)</f>
        <v/>
      </c>
      <c r="AO5272">
        <f>INDEX($V$5256:$V$5383,AH5272+1)</f>
        <v/>
      </c>
      <c r="AP5272">
        <f>INDEX($W$5256:$W$5383,AI5272+1)</f>
        <v/>
      </c>
      <c r="AQ5272">
        <f>IF(Q5272&gt;=AJ5272-0.01,1,0)</f>
        <v/>
      </c>
      <c r="AR5272">
        <f>IF(R5272&gt;=AK5272-0.01,1,0)</f>
        <v/>
      </c>
      <c r="AS5272">
        <f>IF(S5272&gt;=AL5272-0.01,1,0)</f>
        <v/>
      </c>
      <c r="AT5272">
        <f>IF(T5272&gt;=AM5272-0.01,1,0)</f>
        <v/>
      </c>
      <c r="AU5272">
        <f>IF(U5272&gt;=AN5272-0.01,1,0)</f>
        <v/>
      </c>
      <c r="AV5272">
        <f>IF(V5272&gt;=AO5272-0.01,1,0)</f>
        <v/>
      </c>
      <c r="AW5272">
        <f>IF(W5272&gt;=AP5272-0.01,1,0)</f>
        <v/>
      </c>
      <c r="AX5272">
        <f>AQ5272*AR5272*AS5272*AT5272*AU5272*AV5272*AW5272</f>
        <v/>
      </c>
    </row>
    <row r="5273">
      <c r="A5273" t="inlineStr"/>
      <c r="B5273">
        <f>Assumptions!$B$60</f>
        <v/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1</v>
      </c>
      <c r="J5273">
        <f>(1-C5273)*Assumptions!$B$41+(1-D5273)*Assumptions!$B$33+(1-E5273)*Assumptions!$B$32+(1-F5273)*Assumptions!$B$31+(1-G5273)*Assumptions!$B$30+(1-H5273)*Assumptions!$B$29+(1-I5273)*Assumptions!$B$28</f>
        <v/>
      </c>
      <c r="K5273">
        <f>C5273*$J$307+D5273*$F$307+E5273*$G$307+F5273*Assumptions!$B$14+G5273*Assumptions!$B$13+H5273*Assumptions!$B$12+I5273*Assumptions!$B$11+$O$307+$S$307+Assumptions!$B$9</f>
        <v/>
      </c>
      <c r="L5273">
        <f>B5273-J5273</f>
        <v/>
      </c>
      <c r="M5273">
        <f>IF(K5273&gt;0,IF(L5273/K5273&gt;=Assumptions!$B$37,1,0),0)</f>
        <v/>
      </c>
      <c r="N5273">
        <f>K5273+M5273*Assumptions!$B$153</f>
        <v/>
      </c>
      <c r="O5273">
        <f>L5273+M5273*Assumptions!$B$153*Assumptions!$B$37</f>
        <v/>
      </c>
      <c r="P5273">
        <f>IF(N5273&gt;0,O5273/N5273,0)</f>
        <v/>
      </c>
      <c r="Q5273">
        <f>IF(C5273=1,P5273*$J$307,Assumptions!$B$41)</f>
        <v/>
      </c>
      <c r="R5273">
        <f>IF(D5273=1,P5273*$F$307,Assumptions!$B$33)</f>
        <v/>
      </c>
      <c r="S5273">
        <f>IF(E5273=1,P5273*$G$307,Assumptions!$B$32)</f>
        <v/>
      </c>
      <c r="T5273">
        <f>IF(F5273=1,P5273*Assumptions!$B$14,Assumptions!$B$31)</f>
        <v/>
      </c>
      <c r="U5273">
        <f>IF(G5273=1,P5273*Assumptions!$B$13,Assumptions!$B$30)</f>
        <v/>
      </c>
      <c r="V5273">
        <f>IF(H5273=1,P5273*Assumptions!$B$12,Assumptions!$B$29)</f>
        <v/>
      </c>
      <c r="W5273">
        <f>IF(I5273=1,P5273*Assumptions!$B$11,Assumptions!$B$28)</f>
        <v/>
      </c>
      <c r="X5273">
        <f>P5273*($O$307+$S$307)</f>
        <v/>
      </c>
      <c r="Y5273">
        <f>P5273*Assumptions!$B$9</f>
        <v/>
      </c>
      <c r="Z5273">
        <f>IF(M5273=1,(P5273-Assumptions!$B$37)*Assumptions!$B$153,0)</f>
        <v/>
      </c>
      <c r="AA5273">
        <f>Q5273+R5273+S5273+T5273+U5273+V5273+W5273+X5273+Y5273+Z5273</f>
        <v/>
      </c>
      <c r="AB5273" t="n">
        <v>17</v>
      </c>
      <c r="AC5273" t="n">
        <v>81</v>
      </c>
      <c r="AD5273" t="n">
        <v>49</v>
      </c>
      <c r="AE5273" t="n">
        <v>1</v>
      </c>
      <c r="AF5273" t="n">
        <v>25</v>
      </c>
      <c r="AG5273" t="n">
        <v>21</v>
      </c>
      <c r="AH5273" t="n">
        <v>19</v>
      </c>
      <c r="AI5273" t="n">
        <v>16</v>
      </c>
      <c r="AJ5273">
        <f>INDEX($Q$5256:$Q$5383,AC5273+1)</f>
        <v/>
      </c>
      <c r="AK5273">
        <f>INDEX($R$5256:$R$5383,AD5273+1)</f>
        <v/>
      </c>
      <c r="AL5273">
        <f>INDEX($S$5256:$S$5383,AE5273+1)</f>
        <v/>
      </c>
      <c r="AM5273">
        <f>INDEX($T$5256:$T$5383,AF5273+1)</f>
        <v/>
      </c>
      <c r="AN5273">
        <f>INDEX($U$5256:$U$5383,AG5273+1)</f>
        <v/>
      </c>
      <c r="AO5273">
        <f>INDEX($V$5256:$V$5383,AH5273+1)</f>
        <v/>
      </c>
      <c r="AP5273">
        <f>INDEX($W$5256:$W$5383,AI5273+1)</f>
        <v/>
      </c>
      <c r="AQ5273">
        <f>IF(Q5273&gt;=AJ5273-0.01,1,0)</f>
        <v/>
      </c>
      <c r="AR5273">
        <f>IF(R5273&gt;=AK5273-0.01,1,0)</f>
        <v/>
      </c>
      <c r="AS5273">
        <f>IF(S5273&gt;=AL5273-0.01,1,0)</f>
        <v/>
      </c>
      <c r="AT5273">
        <f>IF(T5273&gt;=AM5273-0.01,1,0)</f>
        <v/>
      </c>
      <c r="AU5273">
        <f>IF(U5273&gt;=AN5273-0.01,1,0)</f>
        <v/>
      </c>
      <c r="AV5273">
        <f>IF(V5273&gt;=AO5273-0.01,1,0)</f>
        <v/>
      </c>
      <c r="AW5273">
        <f>IF(W5273&gt;=AP5273-0.01,1,0)</f>
        <v/>
      </c>
      <c r="AX5273">
        <f>AQ5273*AR5273*AS5273*AT5273*AU5273*AV5273*AW5273</f>
        <v/>
      </c>
    </row>
    <row r="5274">
      <c r="A5274" t="inlineStr"/>
      <c r="B5274">
        <f>Assumptions!$B$60</f>
        <v/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  <c r="I5274" t="n">
        <v>0</v>
      </c>
      <c r="J5274">
        <f>(1-C5274)*Assumptions!$B$41+(1-D5274)*Assumptions!$B$33+(1-E5274)*Assumptions!$B$32+(1-F5274)*Assumptions!$B$31+(1-G5274)*Assumptions!$B$30+(1-H5274)*Assumptions!$B$29+(1-I5274)*Assumptions!$B$28</f>
        <v/>
      </c>
      <c r="K5274">
        <f>C5274*$J$307+D5274*$F$307+E5274*$G$307+F5274*Assumptions!$B$14+G5274*Assumptions!$B$13+H5274*Assumptions!$B$12+I5274*Assumptions!$B$11+$O$307+$S$307+Assumptions!$B$9</f>
        <v/>
      </c>
      <c r="L5274">
        <f>B5274-J5274</f>
        <v/>
      </c>
      <c r="M5274">
        <f>IF(K5274&gt;0,IF(L5274/K5274&gt;=Assumptions!$B$37,1,0),0)</f>
        <v/>
      </c>
      <c r="N5274">
        <f>K5274+M5274*Assumptions!$B$153</f>
        <v/>
      </c>
      <c r="O5274">
        <f>L5274+M5274*Assumptions!$B$153*Assumptions!$B$37</f>
        <v/>
      </c>
      <c r="P5274">
        <f>IF(N5274&gt;0,O5274/N5274,0)</f>
        <v/>
      </c>
      <c r="Q5274">
        <f>IF(C5274=1,P5274*$J$307,Assumptions!$B$41)</f>
        <v/>
      </c>
      <c r="R5274">
        <f>IF(D5274=1,P5274*$F$307,Assumptions!$B$33)</f>
        <v/>
      </c>
      <c r="S5274">
        <f>IF(E5274=1,P5274*$G$307,Assumptions!$B$32)</f>
        <v/>
      </c>
      <c r="T5274">
        <f>IF(F5274=1,P5274*Assumptions!$B$14,Assumptions!$B$31)</f>
        <v/>
      </c>
      <c r="U5274">
        <f>IF(G5274=1,P5274*Assumptions!$B$13,Assumptions!$B$30)</f>
        <v/>
      </c>
      <c r="V5274">
        <f>IF(H5274=1,P5274*Assumptions!$B$12,Assumptions!$B$29)</f>
        <v/>
      </c>
      <c r="W5274">
        <f>IF(I5274=1,P5274*Assumptions!$B$11,Assumptions!$B$28)</f>
        <v/>
      </c>
      <c r="X5274">
        <f>P5274*($O$307+$S$307)</f>
        <v/>
      </c>
      <c r="Y5274">
        <f>P5274*Assumptions!$B$9</f>
        <v/>
      </c>
      <c r="Z5274">
        <f>IF(M5274=1,(P5274-Assumptions!$B$37)*Assumptions!$B$153,0)</f>
        <v/>
      </c>
      <c r="AA5274">
        <f>Q5274+R5274+S5274+T5274+U5274+V5274+W5274+X5274+Y5274+Z5274</f>
        <v/>
      </c>
      <c r="AB5274" t="n">
        <v>18</v>
      </c>
      <c r="AC5274" t="n">
        <v>82</v>
      </c>
      <c r="AD5274" t="n">
        <v>50</v>
      </c>
      <c r="AE5274" t="n">
        <v>2</v>
      </c>
      <c r="AF5274" t="n">
        <v>26</v>
      </c>
      <c r="AG5274" t="n">
        <v>22</v>
      </c>
      <c r="AH5274" t="n">
        <v>16</v>
      </c>
      <c r="AI5274" t="n">
        <v>19</v>
      </c>
      <c r="AJ5274">
        <f>INDEX($Q$5256:$Q$5383,AC5274+1)</f>
        <v/>
      </c>
      <c r="AK5274">
        <f>INDEX($R$5256:$R$5383,AD5274+1)</f>
        <v/>
      </c>
      <c r="AL5274">
        <f>INDEX($S$5256:$S$5383,AE5274+1)</f>
        <v/>
      </c>
      <c r="AM5274">
        <f>INDEX($T$5256:$T$5383,AF5274+1)</f>
        <v/>
      </c>
      <c r="AN5274">
        <f>INDEX($U$5256:$U$5383,AG5274+1)</f>
        <v/>
      </c>
      <c r="AO5274">
        <f>INDEX($V$5256:$V$5383,AH5274+1)</f>
        <v/>
      </c>
      <c r="AP5274">
        <f>INDEX($W$5256:$W$5383,AI5274+1)</f>
        <v/>
      </c>
      <c r="AQ5274">
        <f>IF(Q5274&gt;=AJ5274-0.01,1,0)</f>
        <v/>
      </c>
      <c r="AR5274">
        <f>IF(R5274&gt;=AK5274-0.01,1,0)</f>
        <v/>
      </c>
      <c r="AS5274">
        <f>IF(S5274&gt;=AL5274-0.01,1,0)</f>
        <v/>
      </c>
      <c r="AT5274">
        <f>IF(T5274&gt;=AM5274-0.01,1,0)</f>
        <v/>
      </c>
      <c r="AU5274">
        <f>IF(U5274&gt;=AN5274-0.01,1,0)</f>
        <v/>
      </c>
      <c r="AV5274">
        <f>IF(V5274&gt;=AO5274-0.01,1,0)</f>
        <v/>
      </c>
      <c r="AW5274">
        <f>IF(W5274&gt;=AP5274-0.01,1,0)</f>
        <v/>
      </c>
      <c r="AX5274">
        <f>AQ5274*AR5274*AS5274*AT5274*AU5274*AV5274*AW5274</f>
        <v/>
      </c>
    </row>
    <row r="5275">
      <c r="A5275" t="inlineStr"/>
      <c r="B5275">
        <f>Assumptions!$B$60</f>
        <v/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  <c r="I5275" t="n">
        <v>1</v>
      </c>
      <c r="J5275">
        <f>(1-C5275)*Assumptions!$B$41+(1-D5275)*Assumptions!$B$33+(1-E5275)*Assumptions!$B$32+(1-F5275)*Assumptions!$B$31+(1-G5275)*Assumptions!$B$30+(1-H5275)*Assumptions!$B$29+(1-I5275)*Assumptions!$B$28</f>
        <v/>
      </c>
      <c r="K5275">
        <f>C5275*$J$307+D5275*$F$307+E5275*$G$307+F5275*Assumptions!$B$14+G5275*Assumptions!$B$13+H5275*Assumptions!$B$12+I5275*Assumptions!$B$11+$O$307+$S$307+Assumptions!$B$9</f>
        <v/>
      </c>
      <c r="L5275">
        <f>B5275-J5275</f>
        <v/>
      </c>
      <c r="M5275">
        <f>IF(K5275&gt;0,IF(L5275/K5275&gt;=Assumptions!$B$37,1,0),0)</f>
        <v/>
      </c>
      <c r="N5275">
        <f>K5275+M5275*Assumptions!$B$153</f>
        <v/>
      </c>
      <c r="O5275">
        <f>L5275+M5275*Assumptions!$B$153*Assumptions!$B$37</f>
        <v/>
      </c>
      <c r="P5275">
        <f>IF(N5275&gt;0,O5275/N5275,0)</f>
        <v/>
      </c>
      <c r="Q5275">
        <f>IF(C5275=1,P5275*$J$307,Assumptions!$B$41)</f>
        <v/>
      </c>
      <c r="R5275">
        <f>IF(D5275=1,P5275*$F$307,Assumptions!$B$33)</f>
        <v/>
      </c>
      <c r="S5275">
        <f>IF(E5275=1,P5275*$G$307,Assumptions!$B$32)</f>
        <v/>
      </c>
      <c r="T5275">
        <f>IF(F5275=1,P5275*Assumptions!$B$14,Assumptions!$B$31)</f>
        <v/>
      </c>
      <c r="U5275">
        <f>IF(G5275=1,P5275*Assumptions!$B$13,Assumptions!$B$30)</f>
        <v/>
      </c>
      <c r="V5275">
        <f>IF(H5275=1,P5275*Assumptions!$B$12,Assumptions!$B$29)</f>
        <v/>
      </c>
      <c r="W5275">
        <f>IF(I5275=1,P5275*Assumptions!$B$11,Assumptions!$B$28)</f>
        <v/>
      </c>
      <c r="X5275">
        <f>P5275*($O$307+$S$307)</f>
        <v/>
      </c>
      <c r="Y5275">
        <f>P5275*Assumptions!$B$9</f>
        <v/>
      </c>
      <c r="Z5275">
        <f>IF(M5275=1,(P5275-Assumptions!$B$37)*Assumptions!$B$153,0)</f>
        <v/>
      </c>
      <c r="AA5275">
        <f>Q5275+R5275+S5275+T5275+U5275+V5275+W5275+X5275+Y5275+Z5275</f>
        <v/>
      </c>
      <c r="AB5275" t="n">
        <v>19</v>
      </c>
      <c r="AC5275" t="n">
        <v>83</v>
      </c>
      <c r="AD5275" t="n">
        <v>51</v>
      </c>
      <c r="AE5275" t="n">
        <v>3</v>
      </c>
      <c r="AF5275" t="n">
        <v>27</v>
      </c>
      <c r="AG5275" t="n">
        <v>23</v>
      </c>
      <c r="AH5275" t="n">
        <v>17</v>
      </c>
      <c r="AI5275" t="n">
        <v>18</v>
      </c>
      <c r="AJ5275">
        <f>INDEX($Q$5256:$Q$5383,AC5275+1)</f>
        <v/>
      </c>
      <c r="AK5275">
        <f>INDEX($R$5256:$R$5383,AD5275+1)</f>
        <v/>
      </c>
      <c r="AL5275">
        <f>INDEX($S$5256:$S$5383,AE5275+1)</f>
        <v/>
      </c>
      <c r="AM5275">
        <f>INDEX($T$5256:$T$5383,AF5275+1)</f>
        <v/>
      </c>
      <c r="AN5275">
        <f>INDEX($U$5256:$U$5383,AG5275+1)</f>
        <v/>
      </c>
      <c r="AO5275">
        <f>INDEX($V$5256:$V$5383,AH5275+1)</f>
        <v/>
      </c>
      <c r="AP5275">
        <f>INDEX($W$5256:$W$5383,AI5275+1)</f>
        <v/>
      </c>
      <c r="AQ5275">
        <f>IF(Q5275&gt;=AJ5275-0.01,1,0)</f>
        <v/>
      </c>
      <c r="AR5275">
        <f>IF(R5275&gt;=AK5275-0.01,1,0)</f>
        <v/>
      </c>
      <c r="AS5275">
        <f>IF(S5275&gt;=AL5275-0.01,1,0)</f>
        <v/>
      </c>
      <c r="AT5275">
        <f>IF(T5275&gt;=AM5275-0.01,1,0)</f>
        <v/>
      </c>
      <c r="AU5275">
        <f>IF(U5275&gt;=AN5275-0.01,1,0)</f>
        <v/>
      </c>
      <c r="AV5275">
        <f>IF(V5275&gt;=AO5275-0.01,1,0)</f>
        <v/>
      </c>
      <c r="AW5275">
        <f>IF(W5275&gt;=AP5275-0.01,1,0)</f>
        <v/>
      </c>
      <c r="AX5275">
        <f>AQ5275*AR5275*AS5275*AT5275*AU5275*AV5275*AW5275</f>
        <v/>
      </c>
    </row>
    <row r="5276">
      <c r="A5276" t="inlineStr"/>
      <c r="B5276">
        <f>Assumptions!$B$60</f>
        <v/>
      </c>
      <c r="C5276" t="n">
        <v>0</v>
      </c>
      <c r="D5276" t="n">
        <v>0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>
        <f>(1-C5276)*Assumptions!$B$41+(1-D5276)*Assumptions!$B$33+(1-E5276)*Assumptions!$B$32+(1-F5276)*Assumptions!$B$31+(1-G5276)*Assumptions!$B$30+(1-H5276)*Assumptions!$B$29+(1-I5276)*Assumptions!$B$28</f>
        <v/>
      </c>
      <c r="K5276">
        <f>C5276*$J$307+D5276*$F$307+E5276*$G$307+F5276*Assumptions!$B$14+G5276*Assumptions!$B$13+H5276*Assumptions!$B$12+I5276*Assumptions!$B$11+$O$307+$S$307+Assumptions!$B$9</f>
        <v/>
      </c>
      <c r="L5276">
        <f>B5276-J5276</f>
        <v/>
      </c>
      <c r="M5276">
        <f>IF(K5276&gt;0,IF(L5276/K5276&gt;=Assumptions!$B$37,1,0),0)</f>
        <v/>
      </c>
      <c r="N5276">
        <f>K5276+M5276*Assumptions!$B$153</f>
        <v/>
      </c>
      <c r="O5276">
        <f>L5276+M5276*Assumptions!$B$153*Assumptions!$B$37</f>
        <v/>
      </c>
      <c r="P5276">
        <f>IF(N5276&gt;0,O5276/N5276,0)</f>
        <v/>
      </c>
      <c r="Q5276">
        <f>IF(C5276=1,P5276*$J$307,Assumptions!$B$41)</f>
        <v/>
      </c>
      <c r="R5276">
        <f>IF(D5276=1,P5276*$F$307,Assumptions!$B$33)</f>
        <v/>
      </c>
      <c r="S5276">
        <f>IF(E5276=1,P5276*$G$307,Assumptions!$B$32)</f>
        <v/>
      </c>
      <c r="T5276">
        <f>IF(F5276=1,P5276*Assumptions!$B$14,Assumptions!$B$31)</f>
        <v/>
      </c>
      <c r="U5276">
        <f>IF(G5276=1,P5276*Assumptions!$B$13,Assumptions!$B$30)</f>
        <v/>
      </c>
      <c r="V5276">
        <f>IF(H5276=1,P5276*Assumptions!$B$12,Assumptions!$B$29)</f>
        <v/>
      </c>
      <c r="W5276">
        <f>IF(I5276=1,P5276*Assumptions!$B$11,Assumptions!$B$28)</f>
        <v/>
      </c>
      <c r="X5276">
        <f>P5276*($O$307+$S$307)</f>
        <v/>
      </c>
      <c r="Y5276">
        <f>P5276*Assumptions!$B$9</f>
        <v/>
      </c>
      <c r="Z5276">
        <f>IF(M5276=1,(P5276-Assumptions!$B$37)*Assumptions!$B$153,0)</f>
        <v/>
      </c>
      <c r="AA5276">
        <f>Q5276+R5276+S5276+T5276+U5276+V5276+W5276+X5276+Y5276+Z5276</f>
        <v/>
      </c>
      <c r="AB5276" t="n">
        <v>20</v>
      </c>
      <c r="AC5276" t="n">
        <v>84</v>
      </c>
      <c r="AD5276" t="n">
        <v>52</v>
      </c>
      <c r="AE5276" t="n">
        <v>4</v>
      </c>
      <c r="AF5276" t="n">
        <v>28</v>
      </c>
      <c r="AG5276" t="n">
        <v>16</v>
      </c>
      <c r="AH5276" t="n">
        <v>22</v>
      </c>
      <c r="AI5276" t="n">
        <v>21</v>
      </c>
      <c r="AJ5276">
        <f>INDEX($Q$5256:$Q$5383,AC5276+1)</f>
        <v/>
      </c>
      <c r="AK5276">
        <f>INDEX($R$5256:$R$5383,AD5276+1)</f>
        <v/>
      </c>
      <c r="AL5276">
        <f>INDEX($S$5256:$S$5383,AE5276+1)</f>
        <v/>
      </c>
      <c r="AM5276">
        <f>INDEX($T$5256:$T$5383,AF5276+1)</f>
        <v/>
      </c>
      <c r="AN5276">
        <f>INDEX($U$5256:$U$5383,AG5276+1)</f>
        <v/>
      </c>
      <c r="AO5276">
        <f>INDEX($V$5256:$V$5383,AH5276+1)</f>
        <v/>
      </c>
      <c r="AP5276">
        <f>INDEX($W$5256:$W$5383,AI5276+1)</f>
        <v/>
      </c>
      <c r="AQ5276">
        <f>IF(Q5276&gt;=AJ5276-0.01,1,0)</f>
        <v/>
      </c>
      <c r="AR5276">
        <f>IF(R5276&gt;=AK5276-0.01,1,0)</f>
        <v/>
      </c>
      <c r="AS5276">
        <f>IF(S5276&gt;=AL5276-0.01,1,0)</f>
        <v/>
      </c>
      <c r="AT5276">
        <f>IF(T5276&gt;=AM5276-0.01,1,0)</f>
        <v/>
      </c>
      <c r="AU5276">
        <f>IF(U5276&gt;=AN5276-0.01,1,0)</f>
        <v/>
      </c>
      <c r="AV5276">
        <f>IF(V5276&gt;=AO5276-0.01,1,0)</f>
        <v/>
      </c>
      <c r="AW5276">
        <f>IF(W5276&gt;=AP5276-0.01,1,0)</f>
        <v/>
      </c>
      <c r="AX5276">
        <f>AQ5276*AR5276*AS5276*AT5276*AU5276*AV5276*AW5276</f>
        <v/>
      </c>
    </row>
    <row r="5277">
      <c r="A5277" t="inlineStr"/>
      <c r="B5277">
        <f>Assumptions!$B$60</f>
        <v/>
      </c>
      <c r="C5277" t="n">
        <v>0</v>
      </c>
      <c r="D5277" t="n">
        <v>0</v>
      </c>
      <c r="E5277" t="n">
        <v>1</v>
      </c>
      <c r="F5277" t="n">
        <v>0</v>
      </c>
      <c r="G5277" t="n">
        <v>1</v>
      </c>
      <c r="H5277" t="n">
        <v>0</v>
      </c>
      <c r="I5277" t="n">
        <v>1</v>
      </c>
      <c r="J5277">
        <f>(1-C5277)*Assumptions!$B$41+(1-D5277)*Assumptions!$B$33+(1-E5277)*Assumptions!$B$32+(1-F5277)*Assumptions!$B$31+(1-G5277)*Assumptions!$B$30+(1-H5277)*Assumptions!$B$29+(1-I5277)*Assumptions!$B$28</f>
        <v/>
      </c>
      <c r="K5277">
        <f>C5277*$J$307+D5277*$F$307+E5277*$G$307+F5277*Assumptions!$B$14+G5277*Assumptions!$B$13+H5277*Assumptions!$B$12+I5277*Assumptions!$B$11+$O$307+$S$307+Assumptions!$B$9</f>
        <v/>
      </c>
      <c r="L5277">
        <f>B5277-J5277</f>
        <v/>
      </c>
      <c r="M5277">
        <f>IF(K5277&gt;0,IF(L5277/K5277&gt;=Assumptions!$B$37,1,0),0)</f>
        <v/>
      </c>
      <c r="N5277">
        <f>K5277+M5277*Assumptions!$B$153</f>
        <v/>
      </c>
      <c r="O5277">
        <f>L5277+M5277*Assumptions!$B$153*Assumptions!$B$37</f>
        <v/>
      </c>
      <c r="P5277">
        <f>IF(N5277&gt;0,O5277/N5277,0)</f>
        <v/>
      </c>
      <c r="Q5277">
        <f>IF(C5277=1,P5277*$J$307,Assumptions!$B$41)</f>
        <v/>
      </c>
      <c r="R5277">
        <f>IF(D5277=1,P5277*$F$307,Assumptions!$B$33)</f>
        <v/>
      </c>
      <c r="S5277">
        <f>IF(E5277=1,P5277*$G$307,Assumptions!$B$32)</f>
        <v/>
      </c>
      <c r="T5277">
        <f>IF(F5277=1,P5277*Assumptions!$B$14,Assumptions!$B$31)</f>
        <v/>
      </c>
      <c r="U5277">
        <f>IF(G5277=1,P5277*Assumptions!$B$13,Assumptions!$B$30)</f>
        <v/>
      </c>
      <c r="V5277">
        <f>IF(H5277=1,P5277*Assumptions!$B$12,Assumptions!$B$29)</f>
        <v/>
      </c>
      <c r="W5277">
        <f>IF(I5277=1,P5277*Assumptions!$B$11,Assumptions!$B$28)</f>
        <v/>
      </c>
      <c r="X5277">
        <f>P5277*($O$307+$S$307)</f>
        <v/>
      </c>
      <c r="Y5277">
        <f>P5277*Assumptions!$B$9</f>
        <v/>
      </c>
      <c r="Z5277">
        <f>IF(M5277=1,(P5277-Assumptions!$B$37)*Assumptions!$B$153,0)</f>
        <v/>
      </c>
      <c r="AA5277">
        <f>Q5277+R5277+S5277+T5277+U5277+V5277+W5277+X5277+Y5277+Z5277</f>
        <v/>
      </c>
      <c r="AB5277" t="n">
        <v>21</v>
      </c>
      <c r="AC5277" t="n">
        <v>85</v>
      </c>
      <c r="AD5277" t="n">
        <v>53</v>
      </c>
      <c r="AE5277" t="n">
        <v>5</v>
      </c>
      <c r="AF5277" t="n">
        <v>29</v>
      </c>
      <c r="AG5277" t="n">
        <v>17</v>
      </c>
      <c r="AH5277" t="n">
        <v>23</v>
      </c>
      <c r="AI5277" t="n">
        <v>20</v>
      </c>
      <c r="AJ5277">
        <f>INDEX($Q$5256:$Q$5383,AC5277+1)</f>
        <v/>
      </c>
      <c r="AK5277">
        <f>INDEX($R$5256:$R$5383,AD5277+1)</f>
        <v/>
      </c>
      <c r="AL5277">
        <f>INDEX($S$5256:$S$5383,AE5277+1)</f>
        <v/>
      </c>
      <c r="AM5277">
        <f>INDEX($T$5256:$T$5383,AF5277+1)</f>
        <v/>
      </c>
      <c r="AN5277">
        <f>INDEX($U$5256:$U$5383,AG5277+1)</f>
        <v/>
      </c>
      <c r="AO5277">
        <f>INDEX($V$5256:$V$5383,AH5277+1)</f>
        <v/>
      </c>
      <c r="AP5277">
        <f>INDEX($W$5256:$W$5383,AI5277+1)</f>
        <v/>
      </c>
      <c r="AQ5277">
        <f>IF(Q5277&gt;=AJ5277-0.01,1,0)</f>
        <v/>
      </c>
      <c r="AR5277">
        <f>IF(R5277&gt;=AK5277-0.01,1,0)</f>
        <v/>
      </c>
      <c r="AS5277">
        <f>IF(S5277&gt;=AL5277-0.01,1,0)</f>
        <v/>
      </c>
      <c r="AT5277">
        <f>IF(T5277&gt;=AM5277-0.01,1,0)</f>
        <v/>
      </c>
      <c r="AU5277">
        <f>IF(U5277&gt;=AN5277-0.01,1,0)</f>
        <v/>
      </c>
      <c r="AV5277">
        <f>IF(V5277&gt;=AO5277-0.01,1,0)</f>
        <v/>
      </c>
      <c r="AW5277">
        <f>IF(W5277&gt;=AP5277-0.01,1,0)</f>
        <v/>
      </c>
      <c r="AX5277">
        <f>AQ5277*AR5277*AS5277*AT5277*AU5277*AV5277*AW5277</f>
        <v/>
      </c>
    </row>
    <row r="5278">
      <c r="A5278" t="inlineStr"/>
      <c r="B5278">
        <f>Assumptions!$B$60</f>
        <v/>
      </c>
      <c r="C5278" t="n">
        <v>0</v>
      </c>
      <c r="D5278" t="n">
        <v>0</v>
      </c>
      <c r="E5278" t="n">
        <v>1</v>
      </c>
      <c r="F5278" t="n">
        <v>0</v>
      </c>
      <c r="G5278" t="n">
        <v>1</v>
      </c>
      <c r="H5278" t="n">
        <v>1</v>
      </c>
      <c r="I5278" t="n">
        <v>0</v>
      </c>
      <c r="J5278">
        <f>(1-C5278)*Assumptions!$B$41+(1-D5278)*Assumptions!$B$33+(1-E5278)*Assumptions!$B$32+(1-F5278)*Assumptions!$B$31+(1-G5278)*Assumptions!$B$30+(1-H5278)*Assumptions!$B$29+(1-I5278)*Assumptions!$B$28</f>
        <v/>
      </c>
      <c r="K5278">
        <f>C5278*$J$307+D5278*$F$307+E5278*$G$307+F5278*Assumptions!$B$14+G5278*Assumptions!$B$13+H5278*Assumptions!$B$12+I5278*Assumptions!$B$11+$O$307+$S$307+Assumptions!$B$9</f>
        <v/>
      </c>
      <c r="L5278">
        <f>B5278-J5278</f>
        <v/>
      </c>
      <c r="M5278">
        <f>IF(K5278&gt;0,IF(L5278/K5278&gt;=Assumptions!$B$37,1,0),0)</f>
        <v/>
      </c>
      <c r="N5278">
        <f>K5278+M5278*Assumptions!$B$153</f>
        <v/>
      </c>
      <c r="O5278">
        <f>L5278+M5278*Assumptions!$B$153*Assumptions!$B$37</f>
        <v/>
      </c>
      <c r="P5278">
        <f>IF(N5278&gt;0,O5278/N5278,0)</f>
        <v/>
      </c>
      <c r="Q5278">
        <f>IF(C5278=1,P5278*$J$307,Assumptions!$B$41)</f>
        <v/>
      </c>
      <c r="R5278">
        <f>IF(D5278=1,P5278*$F$307,Assumptions!$B$33)</f>
        <v/>
      </c>
      <c r="S5278">
        <f>IF(E5278=1,P5278*$G$307,Assumptions!$B$32)</f>
        <v/>
      </c>
      <c r="T5278">
        <f>IF(F5278=1,P5278*Assumptions!$B$14,Assumptions!$B$31)</f>
        <v/>
      </c>
      <c r="U5278">
        <f>IF(G5278=1,P5278*Assumptions!$B$13,Assumptions!$B$30)</f>
        <v/>
      </c>
      <c r="V5278">
        <f>IF(H5278=1,P5278*Assumptions!$B$12,Assumptions!$B$29)</f>
        <v/>
      </c>
      <c r="W5278">
        <f>IF(I5278=1,P5278*Assumptions!$B$11,Assumptions!$B$28)</f>
        <v/>
      </c>
      <c r="X5278">
        <f>P5278*($O$307+$S$307)</f>
        <v/>
      </c>
      <c r="Y5278">
        <f>P5278*Assumptions!$B$9</f>
        <v/>
      </c>
      <c r="Z5278">
        <f>IF(M5278=1,(P5278-Assumptions!$B$37)*Assumptions!$B$153,0)</f>
        <v/>
      </c>
      <c r="AA5278">
        <f>Q5278+R5278+S5278+T5278+U5278+V5278+W5278+X5278+Y5278+Z5278</f>
        <v/>
      </c>
      <c r="AB5278" t="n">
        <v>22</v>
      </c>
      <c r="AC5278" t="n">
        <v>86</v>
      </c>
      <c r="AD5278" t="n">
        <v>54</v>
      </c>
      <c r="AE5278" t="n">
        <v>6</v>
      </c>
      <c r="AF5278" t="n">
        <v>30</v>
      </c>
      <c r="AG5278" t="n">
        <v>18</v>
      </c>
      <c r="AH5278" t="n">
        <v>20</v>
      </c>
      <c r="AI5278" t="n">
        <v>23</v>
      </c>
      <c r="AJ5278">
        <f>INDEX($Q$5256:$Q$5383,AC5278+1)</f>
        <v/>
      </c>
      <c r="AK5278">
        <f>INDEX($R$5256:$R$5383,AD5278+1)</f>
        <v/>
      </c>
      <c r="AL5278">
        <f>INDEX($S$5256:$S$5383,AE5278+1)</f>
        <v/>
      </c>
      <c r="AM5278">
        <f>INDEX($T$5256:$T$5383,AF5278+1)</f>
        <v/>
      </c>
      <c r="AN5278">
        <f>INDEX($U$5256:$U$5383,AG5278+1)</f>
        <v/>
      </c>
      <c r="AO5278">
        <f>INDEX($V$5256:$V$5383,AH5278+1)</f>
        <v/>
      </c>
      <c r="AP5278">
        <f>INDEX($W$5256:$W$5383,AI5278+1)</f>
        <v/>
      </c>
      <c r="AQ5278">
        <f>IF(Q5278&gt;=AJ5278-0.01,1,0)</f>
        <v/>
      </c>
      <c r="AR5278">
        <f>IF(R5278&gt;=AK5278-0.01,1,0)</f>
        <v/>
      </c>
      <c r="AS5278">
        <f>IF(S5278&gt;=AL5278-0.01,1,0)</f>
        <v/>
      </c>
      <c r="AT5278">
        <f>IF(T5278&gt;=AM5278-0.01,1,0)</f>
        <v/>
      </c>
      <c r="AU5278">
        <f>IF(U5278&gt;=AN5278-0.01,1,0)</f>
        <v/>
      </c>
      <c r="AV5278">
        <f>IF(V5278&gt;=AO5278-0.01,1,0)</f>
        <v/>
      </c>
      <c r="AW5278">
        <f>IF(W5278&gt;=AP5278-0.01,1,0)</f>
        <v/>
      </c>
      <c r="AX5278">
        <f>AQ5278*AR5278*AS5278*AT5278*AU5278*AV5278*AW5278</f>
        <v/>
      </c>
    </row>
    <row r="5279">
      <c r="A5279" t="inlineStr"/>
      <c r="B5279">
        <f>Assumptions!$B$60</f>
        <v/>
      </c>
      <c r="C5279" t="n">
        <v>0</v>
      </c>
      <c r="D5279" t="n">
        <v>0</v>
      </c>
      <c r="E5279" t="n">
        <v>1</v>
      </c>
      <c r="F5279" t="n">
        <v>0</v>
      </c>
      <c r="G5279" t="n">
        <v>1</v>
      </c>
      <c r="H5279" t="n">
        <v>1</v>
      </c>
      <c r="I5279" t="n">
        <v>1</v>
      </c>
      <c r="J5279">
        <f>(1-C5279)*Assumptions!$B$41+(1-D5279)*Assumptions!$B$33+(1-E5279)*Assumptions!$B$32+(1-F5279)*Assumptions!$B$31+(1-G5279)*Assumptions!$B$30+(1-H5279)*Assumptions!$B$29+(1-I5279)*Assumptions!$B$28</f>
        <v/>
      </c>
      <c r="K5279">
        <f>C5279*$J$307+D5279*$F$307+E5279*$G$307+F5279*Assumptions!$B$14+G5279*Assumptions!$B$13+H5279*Assumptions!$B$12+I5279*Assumptions!$B$11+$O$307+$S$307+Assumptions!$B$9</f>
        <v/>
      </c>
      <c r="L5279">
        <f>B5279-J5279</f>
        <v/>
      </c>
      <c r="M5279">
        <f>IF(K5279&gt;0,IF(L5279/K5279&gt;=Assumptions!$B$37,1,0),0)</f>
        <v/>
      </c>
      <c r="N5279">
        <f>K5279+M5279*Assumptions!$B$153</f>
        <v/>
      </c>
      <c r="O5279">
        <f>L5279+M5279*Assumptions!$B$153*Assumptions!$B$37</f>
        <v/>
      </c>
      <c r="P5279">
        <f>IF(N5279&gt;0,O5279/N5279,0)</f>
        <v/>
      </c>
      <c r="Q5279">
        <f>IF(C5279=1,P5279*$J$307,Assumptions!$B$41)</f>
        <v/>
      </c>
      <c r="R5279">
        <f>IF(D5279=1,P5279*$F$307,Assumptions!$B$33)</f>
        <v/>
      </c>
      <c r="S5279">
        <f>IF(E5279=1,P5279*$G$307,Assumptions!$B$32)</f>
        <v/>
      </c>
      <c r="T5279">
        <f>IF(F5279=1,P5279*Assumptions!$B$14,Assumptions!$B$31)</f>
        <v/>
      </c>
      <c r="U5279">
        <f>IF(G5279=1,P5279*Assumptions!$B$13,Assumptions!$B$30)</f>
        <v/>
      </c>
      <c r="V5279">
        <f>IF(H5279=1,P5279*Assumptions!$B$12,Assumptions!$B$29)</f>
        <v/>
      </c>
      <c r="W5279">
        <f>IF(I5279=1,P5279*Assumptions!$B$11,Assumptions!$B$28)</f>
        <v/>
      </c>
      <c r="X5279">
        <f>P5279*($O$307+$S$307)</f>
        <v/>
      </c>
      <c r="Y5279">
        <f>P5279*Assumptions!$B$9</f>
        <v/>
      </c>
      <c r="Z5279">
        <f>IF(M5279=1,(P5279-Assumptions!$B$37)*Assumptions!$B$153,0)</f>
        <v/>
      </c>
      <c r="AA5279">
        <f>Q5279+R5279+S5279+T5279+U5279+V5279+W5279+X5279+Y5279+Z5279</f>
        <v/>
      </c>
      <c r="AB5279" t="n">
        <v>23</v>
      </c>
      <c r="AC5279" t="n">
        <v>87</v>
      </c>
      <c r="AD5279" t="n">
        <v>55</v>
      </c>
      <c r="AE5279" t="n">
        <v>7</v>
      </c>
      <c r="AF5279" t="n">
        <v>31</v>
      </c>
      <c r="AG5279" t="n">
        <v>19</v>
      </c>
      <c r="AH5279" t="n">
        <v>21</v>
      </c>
      <c r="AI5279" t="n">
        <v>22</v>
      </c>
      <c r="AJ5279">
        <f>INDEX($Q$5256:$Q$5383,AC5279+1)</f>
        <v/>
      </c>
      <c r="AK5279">
        <f>INDEX($R$5256:$R$5383,AD5279+1)</f>
        <v/>
      </c>
      <c r="AL5279">
        <f>INDEX($S$5256:$S$5383,AE5279+1)</f>
        <v/>
      </c>
      <c r="AM5279">
        <f>INDEX($T$5256:$T$5383,AF5279+1)</f>
        <v/>
      </c>
      <c r="AN5279">
        <f>INDEX($U$5256:$U$5383,AG5279+1)</f>
        <v/>
      </c>
      <c r="AO5279">
        <f>INDEX($V$5256:$V$5383,AH5279+1)</f>
        <v/>
      </c>
      <c r="AP5279">
        <f>INDEX($W$5256:$W$5383,AI5279+1)</f>
        <v/>
      </c>
      <c r="AQ5279">
        <f>IF(Q5279&gt;=AJ5279-0.01,1,0)</f>
        <v/>
      </c>
      <c r="AR5279">
        <f>IF(R5279&gt;=AK5279-0.01,1,0)</f>
        <v/>
      </c>
      <c r="AS5279">
        <f>IF(S5279&gt;=AL5279-0.01,1,0)</f>
        <v/>
      </c>
      <c r="AT5279">
        <f>IF(T5279&gt;=AM5279-0.01,1,0)</f>
        <v/>
      </c>
      <c r="AU5279">
        <f>IF(U5279&gt;=AN5279-0.01,1,0)</f>
        <v/>
      </c>
      <c r="AV5279">
        <f>IF(V5279&gt;=AO5279-0.01,1,0)</f>
        <v/>
      </c>
      <c r="AW5279">
        <f>IF(W5279&gt;=AP5279-0.01,1,0)</f>
        <v/>
      </c>
      <c r="AX5279">
        <f>AQ5279*AR5279*AS5279*AT5279*AU5279*AV5279*AW5279</f>
        <v/>
      </c>
    </row>
    <row r="5280">
      <c r="A5280" t="inlineStr"/>
      <c r="B5280">
        <f>Assumptions!$B$60</f>
        <v/>
      </c>
      <c r="C5280" t="n">
        <v>0</v>
      </c>
      <c r="D5280" t="n">
        <v>0</v>
      </c>
      <c r="E5280" t="n">
        <v>1</v>
      </c>
      <c r="F5280" t="n">
        <v>1</v>
      </c>
      <c r="G5280" t="n">
        <v>0</v>
      </c>
      <c r="H5280" t="n">
        <v>0</v>
      </c>
      <c r="I5280" t="n">
        <v>0</v>
      </c>
      <c r="J5280">
        <f>(1-C5280)*Assumptions!$B$41+(1-D5280)*Assumptions!$B$33+(1-E5280)*Assumptions!$B$32+(1-F5280)*Assumptions!$B$31+(1-G5280)*Assumptions!$B$30+(1-H5280)*Assumptions!$B$29+(1-I5280)*Assumptions!$B$28</f>
        <v/>
      </c>
      <c r="K5280">
        <f>C5280*$J$307+D5280*$F$307+E5280*$G$307+F5280*Assumptions!$B$14+G5280*Assumptions!$B$13+H5280*Assumptions!$B$12+I5280*Assumptions!$B$11+$O$307+$S$307+Assumptions!$B$9</f>
        <v/>
      </c>
      <c r="L5280">
        <f>B5280-J5280</f>
        <v/>
      </c>
      <c r="M5280">
        <f>IF(K5280&gt;0,IF(L5280/K5280&gt;=Assumptions!$B$37,1,0),0)</f>
        <v/>
      </c>
      <c r="N5280">
        <f>K5280+M5280*Assumptions!$B$153</f>
        <v/>
      </c>
      <c r="O5280">
        <f>L5280+M5280*Assumptions!$B$153*Assumptions!$B$37</f>
        <v/>
      </c>
      <c r="P5280">
        <f>IF(N5280&gt;0,O5280/N5280,0)</f>
        <v/>
      </c>
      <c r="Q5280">
        <f>IF(C5280=1,P5280*$J$307,Assumptions!$B$41)</f>
        <v/>
      </c>
      <c r="R5280">
        <f>IF(D5280=1,P5280*$F$307,Assumptions!$B$33)</f>
        <v/>
      </c>
      <c r="S5280">
        <f>IF(E5280=1,P5280*$G$307,Assumptions!$B$32)</f>
        <v/>
      </c>
      <c r="T5280">
        <f>IF(F5280=1,P5280*Assumptions!$B$14,Assumptions!$B$31)</f>
        <v/>
      </c>
      <c r="U5280">
        <f>IF(G5280=1,P5280*Assumptions!$B$13,Assumptions!$B$30)</f>
        <v/>
      </c>
      <c r="V5280">
        <f>IF(H5280=1,P5280*Assumptions!$B$12,Assumptions!$B$29)</f>
        <v/>
      </c>
      <c r="W5280">
        <f>IF(I5280=1,P5280*Assumptions!$B$11,Assumptions!$B$28)</f>
        <v/>
      </c>
      <c r="X5280">
        <f>P5280*($O$307+$S$307)</f>
        <v/>
      </c>
      <c r="Y5280">
        <f>P5280*Assumptions!$B$9</f>
        <v/>
      </c>
      <c r="Z5280">
        <f>IF(M5280=1,(P5280-Assumptions!$B$37)*Assumptions!$B$153,0)</f>
        <v/>
      </c>
      <c r="AA5280">
        <f>Q5280+R5280+S5280+T5280+U5280+V5280+W5280+X5280+Y5280+Z5280</f>
        <v/>
      </c>
      <c r="AB5280" t="n">
        <v>24</v>
      </c>
      <c r="AC5280" t="n">
        <v>88</v>
      </c>
      <c r="AD5280" t="n">
        <v>56</v>
      </c>
      <c r="AE5280" t="n">
        <v>8</v>
      </c>
      <c r="AF5280" t="n">
        <v>16</v>
      </c>
      <c r="AG5280" t="n">
        <v>28</v>
      </c>
      <c r="AH5280" t="n">
        <v>26</v>
      </c>
      <c r="AI5280" t="n">
        <v>25</v>
      </c>
      <c r="AJ5280">
        <f>INDEX($Q$5256:$Q$5383,AC5280+1)</f>
        <v/>
      </c>
      <c r="AK5280">
        <f>INDEX($R$5256:$R$5383,AD5280+1)</f>
        <v/>
      </c>
      <c r="AL5280">
        <f>INDEX($S$5256:$S$5383,AE5280+1)</f>
        <v/>
      </c>
      <c r="AM5280">
        <f>INDEX($T$5256:$T$5383,AF5280+1)</f>
        <v/>
      </c>
      <c r="AN5280">
        <f>INDEX($U$5256:$U$5383,AG5280+1)</f>
        <v/>
      </c>
      <c r="AO5280">
        <f>INDEX($V$5256:$V$5383,AH5280+1)</f>
        <v/>
      </c>
      <c r="AP5280">
        <f>INDEX($W$5256:$W$5383,AI5280+1)</f>
        <v/>
      </c>
      <c r="AQ5280">
        <f>IF(Q5280&gt;=AJ5280-0.01,1,0)</f>
        <v/>
      </c>
      <c r="AR5280">
        <f>IF(R5280&gt;=AK5280-0.01,1,0)</f>
        <v/>
      </c>
      <c r="AS5280">
        <f>IF(S5280&gt;=AL5280-0.01,1,0)</f>
        <v/>
      </c>
      <c r="AT5280">
        <f>IF(T5280&gt;=AM5280-0.01,1,0)</f>
        <v/>
      </c>
      <c r="AU5280">
        <f>IF(U5280&gt;=AN5280-0.01,1,0)</f>
        <v/>
      </c>
      <c r="AV5280">
        <f>IF(V5280&gt;=AO5280-0.01,1,0)</f>
        <v/>
      </c>
      <c r="AW5280">
        <f>IF(W5280&gt;=AP5280-0.01,1,0)</f>
        <v/>
      </c>
      <c r="AX5280">
        <f>AQ5280*AR5280*AS5280*AT5280*AU5280*AV5280*AW5280</f>
        <v/>
      </c>
    </row>
    <row r="5281">
      <c r="A5281" t="inlineStr"/>
      <c r="B5281">
        <f>Assumptions!$B$60</f>
        <v/>
      </c>
      <c r="C5281" t="n">
        <v>0</v>
      </c>
      <c r="D5281" t="n">
        <v>0</v>
      </c>
      <c r="E5281" t="n">
        <v>1</v>
      </c>
      <c r="F5281" t="n">
        <v>1</v>
      </c>
      <c r="G5281" t="n">
        <v>0</v>
      </c>
      <c r="H5281" t="n">
        <v>0</v>
      </c>
      <c r="I5281" t="n">
        <v>1</v>
      </c>
      <c r="J5281">
        <f>(1-C5281)*Assumptions!$B$41+(1-D5281)*Assumptions!$B$33+(1-E5281)*Assumptions!$B$32+(1-F5281)*Assumptions!$B$31+(1-G5281)*Assumptions!$B$30+(1-H5281)*Assumptions!$B$29+(1-I5281)*Assumptions!$B$28</f>
        <v/>
      </c>
      <c r="K5281">
        <f>C5281*$J$307+D5281*$F$307+E5281*$G$307+F5281*Assumptions!$B$14+G5281*Assumptions!$B$13+H5281*Assumptions!$B$12+I5281*Assumptions!$B$11+$O$307+$S$307+Assumptions!$B$9</f>
        <v/>
      </c>
      <c r="L5281">
        <f>B5281-J5281</f>
        <v/>
      </c>
      <c r="M5281">
        <f>IF(K5281&gt;0,IF(L5281/K5281&gt;=Assumptions!$B$37,1,0),0)</f>
        <v/>
      </c>
      <c r="N5281">
        <f>K5281+M5281*Assumptions!$B$153</f>
        <v/>
      </c>
      <c r="O5281">
        <f>L5281+M5281*Assumptions!$B$153*Assumptions!$B$37</f>
        <v/>
      </c>
      <c r="P5281">
        <f>IF(N5281&gt;0,O5281/N5281,0)</f>
        <v/>
      </c>
      <c r="Q5281">
        <f>IF(C5281=1,P5281*$J$307,Assumptions!$B$41)</f>
        <v/>
      </c>
      <c r="R5281">
        <f>IF(D5281=1,P5281*$F$307,Assumptions!$B$33)</f>
        <v/>
      </c>
      <c r="S5281">
        <f>IF(E5281=1,P5281*$G$307,Assumptions!$B$32)</f>
        <v/>
      </c>
      <c r="T5281">
        <f>IF(F5281=1,P5281*Assumptions!$B$14,Assumptions!$B$31)</f>
        <v/>
      </c>
      <c r="U5281">
        <f>IF(G5281=1,P5281*Assumptions!$B$13,Assumptions!$B$30)</f>
        <v/>
      </c>
      <c r="V5281">
        <f>IF(H5281=1,P5281*Assumptions!$B$12,Assumptions!$B$29)</f>
        <v/>
      </c>
      <c r="W5281">
        <f>IF(I5281=1,P5281*Assumptions!$B$11,Assumptions!$B$28)</f>
        <v/>
      </c>
      <c r="X5281">
        <f>P5281*($O$307+$S$307)</f>
        <v/>
      </c>
      <c r="Y5281">
        <f>P5281*Assumptions!$B$9</f>
        <v/>
      </c>
      <c r="Z5281">
        <f>IF(M5281=1,(P5281-Assumptions!$B$37)*Assumptions!$B$153,0)</f>
        <v/>
      </c>
      <c r="AA5281">
        <f>Q5281+R5281+S5281+T5281+U5281+V5281+W5281+X5281+Y5281+Z5281</f>
        <v/>
      </c>
      <c r="AB5281" t="n">
        <v>25</v>
      </c>
      <c r="AC5281" t="n">
        <v>89</v>
      </c>
      <c r="AD5281" t="n">
        <v>57</v>
      </c>
      <c r="AE5281" t="n">
        <v>9</v>
      </c>
      <c r="AF5281" t="n">
        <v>17</v>
      </c>
      <c r="AG5281" t="n">
        <v>29</v>
      </c>
      <c r="AH5281" t="n">
        <v>27</v>
      </c>
      <c r="AI5281" t="n">
        <v>24</v>
      </c>
      <c r="AJ5281">
        <f>INDEX($Q$5256:$Q$5383,AC5281+1)</f>
        <v/>
      </c>
      <c r="AK5281">
        <f>INDEX($R$5256:$R$5383,AD5281+1)</f>
        <v/>
      </c>
      <c r="AL5281">
        <f>INDEX($S$5256:$S$5383,AE5281+1)</f>
        <v/>
      </c>
      <c r="AM5281">
        <f>INDEX($T$5256:$T$5383,AF5281+1)</f>
        <v/>
      </c>
      <c r="AN5281">
        <f>INDEX($U$5256:$U$5383,AG5281+1)</f>
        <v/>
      </c>
      <c r="AO5281">
        <f>INDEX($V$5256:$V$5383,AH5281+1)</f>
        <v/>
      </c>
      <c r="AP5281">
        <f>INDEX($W$5256:$W$5383,AI5281+1)</f>
        <v/>
      </c>
      <c r="AQ5281">
        <f>IF(Q5281&gt;=AJ5281-0.01,1,0)</f>
        <v/>
      </c>
      <c r="AR5281">
        <f>IF(R5281&gt;=AK5281-0.01,1,0)</f>
        <v/>
      </c>
      <c r="AS5281">
        <f>IF(S5281&gt;=AL5281-0.01,1,0)</f>
        <v/>
      </c>
      <c r="AT5281">
        <f>IF(T5281&gt;=AM5281-0.01,1,0)</f>
        <v/>
      </c>
      <c r="AU5281">
        <f>IF(U5281&gt;=AN5281-0.01,1,0)</f>
        <v/>
      </c>
      <c r="AV5281">
        <f>IF(V5281&gt;=AO5281-0.01,1,0)</f>
        <v/>
      </c>
      <c r="AW5281">
        <f>IF(W5281&gt;=AP5281-0.01,1,0)</f>
        <v/>
      </c>
      <c r="AX5281">
        <f>AQ5281*AR5281*AS5281*AT5281*AU5281*AV5281*AW5281</f>
        <v/>
      </c>
    </row>
    <row r="5282">
      <c r="A5282" t="inlineStr"/>
      <c r="B5282">
        <f>Assumptions!$B$60</f>
        <v/>
      </c>
      <c r="C5282" t="n">
        <v>0</v>
      </c>
      <c r="D5282" t="n">
        <v>0</v>
      </c>
      <c r="E5282" t="n">
        <v>1</v>
      </c>
      <c r="F5282" t="n">
        <v>1</v>
      </c>
      <c r="G5282" t="n">
        <v>0</v>
      </c>
      <c r="H5282" t="n">
        <v>1</v>
      </c>
      <c r="I5282" t="n">
        <v>0</v>
      </c>
      <c r="J5282">
        <f>(1-C5282)*Assumptions!$B$41+(1-D5282)*Assumptions!$B$33+(1-E5282)*Assumptions!$B$32+(1-F5282)*Assumptions!$B$31+(1-G5282)*Assumptions!$B$30+(1-H5282)*Assumptions!$B$29+(1-I5282)*Assumptions!$B$28</f>
        <v/>
      </c>
      <c r="K5282">
        <f>C5282*$J$307+D5282*$F$307+E5282*$G$307+F5282*Assumptions!$B$14+G5282*Assumptions!$B$13+H5282*Assumptions!$B$12+I5282*Assumptions!$B$11+$O$307+$S$307+Assumptions!$B$9</f>
        <v/>
      </c>
      <c r="L5282">
        <f>B5282-J5282</f>
        <v/>
      </c>
      <c r="M5282">
        <f>IF(K5282&gt;0,IF(L5282/K5282&gt;=Assumptions!$B$37,1,0),0)</f>
        <v/>
      </c>
      <c r="N5282">
        <f>K5282+M5282*Assumptions!$B$153</f>
        <v/>
      </c>
      <c r="O5282">
        <f>L5282+M5282*Assumptions!$B$153*Assumptions!$B$37</f>
        <v/>
      </c>
      <c r="P5282">
        <f>IF(N5282&gt;0,O5282/N5282,0)</f>
        <v/>
      </c>
      <c r="Q5282">
        <f>IF(C5282=1,P5282*$J$307,Assumptions!$B$41)</f>
        <v/>
      </c>
      <c r="R5282">
        <f>IF(D5282=1,P5282*$F$307,Assumptions!$B$33)</f>
        <v/>
      </c>
      <c r="S5282">
        <f>IF(E5282=1,P5282*$G$307,Assumptions!$B$32)</f>
        <v/>
      </c>
      <c r="T5282">
        <f>IF(F5282=1,P5282*Assumptions!$B$14,Assumptions!$B$31)</f>
        <v/>
      </c>
      <c r="U5282">
        <f>IF(G5282=1,P5282*Assumptions!$B$13,Assumptions!$B$30)</f>
        <v/>
      </c>
      <c r="V5282">
        <f>IF(H5282=1,P5282*Assumptions!$B$12,Assumptions!$B$29)</f>
        <v/>
      </c>
      <c r="W5282">
        <f>IF(I5282=1,P5282*Assumptions!$B$11,Assumptions!$B$28)</f>
        <v/>
      </c>
      <c r="X5282">
        <f>P5282*($O$307+$S$307)</f>
        <v/>
      </c>
      <c r="Y5282">
        <f>P5282*Assumptions!$B$9</f>
        <v/>
      </c>
      <c r="Z5282">
        <f>IF(M5282=1,(P5282-Assumptions!$B$37)*Assumptions!$B$153,0)</f>
        <v/>
      </c>
      <c r="AA5282">
        <f>Q5282+R5282+S5282+T5282+U5282+V5282+W5282+X5282+Y5282+Z5282</f>
        <v/>
      </c>
      <c r="AB5282" t="n">
        <v>26</v>
      </c>
      <c r="AC5282" t="n">
        <v>90</v>
      </c>
      <c r="AD5282" t="n">
        <v>58</v>
      </c>
      <c r="AE5282" t="n">
        <v>10</v>
      </c>
      <c r="AF5282" t="n">
        <v>18</v>
      </c>
      <c r="AG5282" t="n">
        <v>30</v>
      </c>
      <c r="AH5282" t="n">
        <v>24</v>
      </c>
      <c r="AI5282" t="n">
        <v>27</v>
      </c>
      <c r="AJ5282">
        <f>INDEX($Q$5256:$Q$5383,AC5282+1)</f>
        <v/>
      </c>
      <c r="AK5282">
        <f>INDEX($R$5256:$R$5383,AD5282+1)</f>
        <v/>
      </c>
      <c r="AL5282">
        <f>INDEX($S$5256:$S$5383,AE5282+1)</f>
        <v/>
      </c>
      <c r="AM5282">
        <f>INDEX($T$5256:$T$5383,AF5282+1)</f>
        <v/>
      </c>
      <c r="AN5282">
        <f>INDEX($U$5256:$U$5383,AG5282+1)</f>
        <v/>
      </c>
      <c r="AO5282">
        <f>INDEX($V$5256:$V$5383,AH5282+1)</f>
        <v/>
      </c>
      <c r="AP5282">
        <f>INDEX($W$5256:$W$5383,AI5282+1)</f>
        <v/>
      </c>
      <c r="AQ5282">
        <f>IF(Q5282&gt;=AJ5282-0.01,1,0)</f>
        <v/>
      </c>
      <c r="AR5282">
        <f>IF(R5282&gt;=AK5282-0.01,1,0)</f>
        <v/>
      </c>
      <c r="AS5282">
        <f>IF(S5282&gt;=AL5282-0.01,1,0)</f>
        <v/>
      </c>
      <c r="AT5282">
        <f>IF(T5282&gt;=AM5282-0.01,1,0)</f>
        <v/>
      </c>
      <c r="AU5282">
        <f>IF(U5282&gt;=AN5282-0.01,1,0)</f>
        <v/>
      </c>
      <c r="AV5282">
        <f>IF(V5282&gt;=AO5282-0.01,1,0)</f>
        <v/>
      </c>
      <c r="AW5282">
        <f>IF(W5282&gt;=AP5282-0.01,1,0)</f>
        <v/>
      </c>
      <c r="AX5282">
        <f>AQ5282*AR5282*AS5282*AT5282*AU5282*AV5282*AW5282</f>
        <v/>
      </c>
    </row>
    <row r="5283">
      <c r="A5283" t="inlineStr"/>
      <c r="B5283">
        <f>Assumptions!$B$60</f>
        <v/>
      </c>
      <c r="C5283" t="n">
        <v>0</v>
      </c>
      <c r="D5283" t="n">
        <v>0</v>
      </c>
      <c r="E5283" t="n">
        <v>1</v>
      </c>
      <c r="F5283" t="n">
        <v>1</v>
      </c>
      <c r="G5283" t="n">
        <v>0</v>
      </c>
      <c r="H5283" t="n">
        <v>1</v>
      </c>
      <c r="I5283" t="n">
        <v>1</v>
      </c>
      <c r="J5283">
        <f>(1-C5283)*Assumptions!$B$41+(1-D5283)*Assumptions!$B$33+(1-E5283)*Assumptions!$B$32+(1-F5283)*Assumptions!$B$31+(1-G5283)*Assumptions!$B$30+(1-H5283)*Assumptions!$B$29+(1-I5283)*Assumptions!$B$28</f>
        <v/>
      </c>
      <c r="K5283">
        <f>C5283*$J$307+D5283*$F$307+E5283*$G$307+F5283*Assumptions!$B$14+G5283*Assumptions!$B$13+H5283*Assumptions!$B$12+I5283*Assumptions!$B$11+$O$307+$S$307+Assumptions!$B$9</f>
        <v/>
      </c>
      <c r="L5283">
        <f>B5283-J5283</f>
        <v/>
      </c>
      <c r="M5283">
        <f>IF(K5283&gt;0,IF(L5283/K5283&gt;=Assumptions!$B$37,1,0),0)</f>
        <v/>
      </c>
      <c r="N5283">
        <f>K5283+M5283*Assumptions!$B$153</f>
        <v/>
      </c>
      <c r="O5283">
        <f>L5283+M5283*Assumptions!$B$153*Assumptions!$B$37</f>
        <v/>
      </c>
      <c r="P5283">
        <f>IF(N5283&gt;0,O5283/N5283,0)</f>
        <v/>
      </c>
      <c r="Q5283">
        <f>IF(C5283=1,P5283*$J$307,Assumptions!$B$41)</f>
        <v/>
      </c>
      <c r="R5283">
        <f>IF(D5283=1,P5283*$F$307,Assumptions!$B$33)</f>
        <v/>
      </c>
      <c r="S5283">
        <f>IF(E5283=1,P5283*$G$307,Assumptions!$B$32)</f>
        <v/>
      </c>
      <c r="T5283">
        <f>IF(F5283=1,P5283*Assumptions!$B$14,Assumptions!$B$31)</f>
        <v/>
      </c>
      <c r="U5283">
        <f>IF(G5283=1,P5283*Assumptions!$B$13,Assumptions!$B$30)</f>
        <v/>
      </c>
      <c r="V5283">
        <f>IF(H5283=1,P5283*Assumptions!$B$12,Assumptions!$B$29)</f>
        <v/>
      </c>
      <c r="W5283">
        <f>IF(I5283=1,P5283*Assumptions!$B$11,Assumptions!$B$28)</f>
        <v/>
      </c>
      <c r="X5283">
        <f>P5283*($O$307+$S$307)</f>
        <v/>
      </c>
      <c r="Y5283">
        <f>P5283*Assumptions!$B$9</f>
        <v/>
      </c>
      <c r="Z5283">
        <f>IF(M5283=1,(P5283-Assumptions!$B$37)*Assumptions!$B$153,0)</f>
        <v/>
      </c>
      <c r="AA5283">
        <f>Q5283+R5283+S5283+T5283+U5283+V5283+W5283+X5283+Y5283+Z5283</f>
        <v/>
      </c>
      <c r="AB5283" t="n">
        <v>27</v>
      </c>
      <c r="AC5283" t="n">
        <v>91</v>
      </c>
      <c r="AD5283" t="n">
        <v>59</v>
      </c>
      <c r="AE5283" t="n">
        <v>11</v>
      </c>
      <c r="AF5283" t="n">
        <v>19</v>
      </c>
      <c r="AG5283" t="n">
        <v>31</v>
      </c>
      <c r="AH5283" t="n">
        <v>25</v>
      </c>
      <c r="AI5283" t="n">
        <v>26</v>
      </c>
      <c r="AJ5283">
        <f>INDEX($Q$5256:$Q$5383,AC5283+1)</f>
        <v/>
      </c>
      <c r="AK5283">
        <f>INDEX($R$5256:$R$5383,AD5283+1)</f>
        <v/>
      </c>
      <c r="AL5283">
        <f>INDEX($S$5256:$S$5383,AE5283+1)</f>
        <v/>
      </c>
      <c r="AM5283">
        <f>INDEX($T$5256:$T$5383,AF5283+1)</f>
        <v/>
      </c>
      <c r="AN5283">
        <f>INDEX($U$5256:$U$5383,AG5283+1)</f>
        <v/>
      </c>
      <c r="AO5283">
        <f>INDEX($V$5256:$V$5383,AH5283+1)</f>
        <v/>
      </c>
      <c r="AP5283">
        <f>INDEX($W$5256:$W$5383,AI5283+1)</f>
        <v/>
      </c>
      <c r="AQ5283">
        <f>IF(Q5283&gt;=AJ5283-0.01,1,0)</f>
        <v/>
      </c>
      <c r="AR5283">
        <f>IF(R5283&gt;=AK5283-0.01,1,0)</f>
        <v/>
      </c>
      <c r="AS5283">
        <f>IF(S5283&gt;=AL5283-0.01,1,0)</f>
        <v/>
      </c>
      <c r="AT5283">
        <f>IF(T5283&gt;=AM5283-0.01,1,0)</f>
        <v/>
      </c>
      <c r="AU5283">
        <f>IF(U5283&gt;=AN5283-0.01,1,0)</f>
        <v/>
      </c>
      <c r="AV5283">
        <f>IF(V5283&gt;=AO5283-0.01,1,0)</f>
        <v/>
      </c>
      <c r="AW5283">
        <f>IF(W5283&gt;=AP5283-0.01,1,0)</f>
        <v/>
      </c>
      <c r="AX5283">
        <f>AQ5283*AR5283*AS5283*AT5283*AU5283*AV5283*AW5283</f>
        <v/>
      </c>
    </row>
    <row r="5284">
      <c r="A5284" t="inlineStr"/>
      <c r="B5284">
        <f>Assumptions!$B$60</f>
        <v/>
      </c>
      <c r="C5284" t="n">
        <v>0</v>
      </c>
      <c r="D5284" t="n">
        <v>0</v>
      </c>
      <c r="E5284" t="n">
        <v>1</v>
      </c>
      <c r="F5284" t="n">
        <v>1</v>
      </c>
      <c r="G5284" t="n">
        <v>1</v>
      </c>
      <c r="H5284" t="n">
        <v>0</v>
      </c>
      <c r="I5284" t="n">
        <v>0</v>
      </c>
      <c r="J5284">
        <f>(1-C5284)*Assumptions!$B$41+(1-D5284)*Assumptions!$B$33+(1-E5284)*Assumptions!$B$32+(1-F5284)*Assumptions!$B$31+(1-G5284)*Assumptions!$B$30+(1-H5284)*Assumptions!$B$29+(1-I5284)*Assumptions!$B$28</f>
        <v/>
      </c>
      <c r="K5284">
        <f>C5284*$J$307+D5284*$F$307+E5284*$G$307+F5284*Assumptions!$B$14+G5284*Assumptions!$B$13+H5284*Assumptions!$B$12+I5284*Assumptions!$B$11+$O$307+$S$307+Assumptions!$B$9</f>
        <v/>
      </c>
      <c r="L5284">
        <f>B5284-J5284</f>
        <v/>
      </c>
      <c r="M5284">
        <f>IF(K5284&gt;0,IF(L5284/K5284&gt;=Assumptions!$B$37,1,0),0)</f>
        <v/>
      </c>
      <c r="N5284">
        <f>K5284+M5284*Assumptions!$B$153</f>
        <v/>
      </c>
      <c r="O5284">
        <f>L5284+M5284*Assumptions!$B$153*Assumptions!$B$37</f>
        <v/>
      </c>
      <c r="P5284">
        <f>IF(N5284&gt;0,O5284/N5284,0)</f>
        <v/>
      </c>
      <c r="Q5284">
        <f>IF(C5284=1,P5284*$J$307,Assumptions!$B$41)</f>
        <v/>
      </c>
      <c r="R5284">
        <f>IF(D5284=1,P5284*$F$307,Assumptions!$B$33)</f>
        <v/>
      </c>
      <c r="S5284">
        <f>IF(E5284=1,P5284*$G$307,Assumptions!$B$32)</f>
        <v/>
      </c>
      <c r="T5284">
        <f>IF(F5284=1,P5284*Assumptions!$B$14,Assumptions!$B$31)</f>
        <v/>
      </c>
      <c r="U5284">
        <f>IF(G5284=1,P5284*Assumptions!$B$13,Assumptions!$B$30)</f>
        <v/>
      </c>
      <c r="V5284">
        <f>IF(H5284=1,P5284*Assumptions!$B$12,Assumptions!$B$29)</f>
        <v/>
      </c>
      <c r="W5284">
        <f>IF(I5284=1,P5284*Assumptions!$B$11,Assumptions!$B$28)</f>
        <v/>
      </c>
      <c r="X5284">
        <f>P5284*($O$307+$S$307)</f>
        <v/>
      </c>
      <c r="Y5284">
        <f>P5284*Assumptions!$B$9</f>
        <v/>
      </c>
      <c r="Z5284">
        <f>IF(M5284=1,(P5284-Assumptions!$B$37)*Assumptions!$B$153,0)</f>
        <v/>
      </c>
      <c r="AA5284">
        <f>Q5284+R5284+S5284+T5284+U5284+V5284+W5284+X5284+Y5284+Z5284</f>
        <v/>
      </c>
      <c r="AB5284" t="n">
        <v>28</v>
      </c>
      <c r="AC5284" t="n">
        <v>92</v>
      </c>
      <c r="AD5284" t="n">
        <v>60</v>
      </c>
      <c r="AE5284" t="n">
        <v>12</v>
      </c>
      <c r="AF5284" t="n">
        <v>20</v>
      </c>
      <c r="AG5284" t="n">
        <v>24</v>
      </c>
      <c r="AH5284" t="n">
        <v>30</v>
      </c>
      <c r="AI5284" t="n">
        <v>29</v>
      </c>
      <c r="AJ5284">
        <f>INDEX($Q$5256:$Q$5383,AC5284+1)</f>
        <v/>
      </c>
      <c r="AK5284">
        <f>INDEX($R$5256:$R$5383,AD5284+1)</f>
        <v/>
      </c>
      <c r="AL5284">
        <f>INDEX($S$5256:$S$5383,AE5284+1)</f>
        <v/>
      </c>
      <c r="AM5284">
        <f>INDEX($T$5256:$T$5383,AF5284+1)</f>
        <v/>
      </c>
      <c r="AN5284">
        <f>INDEX($U$5256:$U$5383,AG5284+1)</f>
        <v/>
      </c>
      <c r="AO5284">
        <f>INDEX($V$5256:$V$5383,AH5284+1)</f>
        <v/>
      </c>
      <c r="AP5284">
        <f>INDEX($W$5256:$W$5383,AI5284+1)</f>
        <v/>
      </c>
      <c r="AQ5284">
        <f>IF(Q5284&gt;=AJ5284-0.01,1,0)</f>
        <v/>
      </c>
      <c r="AR5284">
        <f>IF(R5284&gt;=AK5284-0.01,1,0)</f>
        <v/>
      </c>
      <c r="AS5284">
        <f>IF(S5284&gt;=AL5284-0.01,1,0)</f>
        <v/>
      </c>
      <c r="AT5284">
        <f>IF(T5284&gt;=AM5284-0.01,1,0)</f>
        <v/>
      </c>
      <c r="AU5284">
        <f>IF(U5284&gt;=AN5284-0.01,1,0)</f>
        <v/>
      </c>
      <c r="AV5284">
        <f>IF(V5284&gt;=AO5284-0.01,1,0)</f>
        <v/>
      </c>
      <c r="AW5284">
        <f>IF(W5284&gt;=AP5284-0.01,1,0)</f>
        <v/>
      </c>
      <c r="AX5284">
        <f>AQ5284*AR5284*AS5284*AT5284*AU5284*AV5284*AW5284</f>
        <v/>
      </c>
    </row>
    <row r="5285">
      <c r="A5285" t="inlineStr"/>
      <c r="B5285">
        <f>Assumptions!$B$60</f>
        <v/>
      </c>
      <c r="C5285" t="n">
        <v>0</v>
      </c>
      <c r="D5285" t="n">
        <v>0</v>
      </c>
      <c r="E5285" t="n">
        <v>1</v>
      </c>
      <c r="F5285" t="n">
        <v>1</v>
      </c>
      <c r="G5285" t="n">
        <v>1</v>
      </c>
      <c r="H5285" t="n">
        <v>0</v>
      </c>
      <c r="I5285" t="n">
        <v>1</v>
      </c>
      <c r="J5285">
        <f>(1-C5285)*Assumptions!$B$41+(1-D5285)*Assumptions!$B$33+(1-E5285)*Assumptions!$B$32+(1-F5285)*Assumptions!$B$31+(1-G5285)*Assumptions!$B$30+(1-H5285)*Assumptions!$B$29+(1-I5285)*Assumptions!$B$28</f>
        <v/>
      </c>
      <c r="K5285">
        <f>C5285*$J$307+D5285*$F$307+E5285*$G$307+F5285*Assumptions!$B$14+G5285*Assumptions!$B$13+H5285*Assumptions!$B$12+I5285*Assumptions!$B$11+$O$307+$S$307+Assumptions!$B$9</f>
        <v/>
      </c>
      <c r="L5285">
        <f>B5285-J5285</f>
        <v/>
      </c>
      <c r="M5285">
        <f>IF(K5285&gt;0,IF(L5285/K5285&gt;=Assumptions!$B$37,1,0),0)</f>
        <v/>
      </c>
      <c r="N5285">
        <f>K5285+M5285*Assumptions!$B$153</f>
        <v/>
      </c>
      <c r="O5285">
        <f>L5285+M5285*Assumptions!$B$153*Assumptions!$B$37</f>
        <v/>
      </c>
      <c r="P5285">
        <f>IF(N5285&gt;0,O5285/N5285,0)</f>
        <v/>
      </c>
      <c r="Q5285">
        <f>IF(C5285=1,P5285*$J$307,Assumptions!$B$41)</f>
        <v/>
      </c>
      <c r="R5285">
        <f>IF(D5285=1,P5285*$F$307,Assumptions!$B$33)</f>
        <v/>
      </c>
      <c r="S5285">
        <f>IF(E5285=1,P5285*$G$307,Assumptions!$B$32)</f>
        <v/>
      </c>
      <c r="T5285">
        <f>IF(F5285=1,P5285*Assumptions!$B$14,Assumptions!$B$31)</f>
        <v/>
      </c>
      <c r="U5285">
        <f>IF(G5285=1,P5285*Assumptions!$B$13,Assumptions!$B$30)</f>
        <v/>
      </c>
      <c r="V5285">
        <f>IF(H5285=1,P5285*Assumptions!$B$12,Assumptions!$B$29)</f>
        <v/>
      </c>
      <c r="W5285">
        <f>IF(I5285=1,P5285*Assumptions!$B$11,Assumptions!$B$28)</f>
        <v/>
      </c>
      <c r="X5285">
        <f>P5285*($O$307+$S$307)</f>
        <v/>
      </c>
      <c r="Y5285">
        <f>P5285*Assumptions!$B$9</f>
        <v/>
      </c>
      <c r="Z5285">
        <f>IF(M5285=1,(P5285-Assumptions!$B$37)*Assumptions!$B$153,0)</f>
        <v/>
      </c>
      <c r="AA5285">
        <f>Q5285+R5285+S5285+T5285+U5285+V5285+W5285+X5285+Y5285+Z5285</f>
        <v/>
      </c>
      <c r="AB5285" t="n">
        <v>29</v>
      </c>
      <c r="AC5285" t="n">
        <v>93</v>
      </c>
      <c r="AD5285" t="n">
        <v>61</v>
      </c>
      <c r="AE5285" t="n">
        <v>13</v>
      </c>
      <c r="AF5285" t="n">
        <v>21</v>
      </c>
      <c r="AG5285" t="n">
        <v>25</v>
      </c>
      <c r="AH5285" t="n">
        <v>31</v>
      </c>
      <c r="AI5285" t="n">
        <v>28</v>
      </c>
      <c r="AJ5285">
        <f>INDEX($Q$5256:$Q$5383,AC5285+1)</f>
        <v/>
      </c>
      <c r="AK5285">
        <f>INDEX($R$5256:$R$5383,AD5285+1)</f>
        <v/>
      </c>
      <c r="AL5285">
        <f>INDEX($S$5256:$S$5383,AE5285+1)</f>
        <v/>
      </c>
      <c r="AM5285">
        <f>INDEX($T$5256:$T$5383,AF5285+1)</f>
        <v/>
      </c>
      <c r="AN5285">
        <f>INDEX($U$5256:$U$5383,AG5285+1)</f>
        <v/>
      </c>
      <c r="AO5285">
        <f>INDEX($V$5256:$V$5383,AH5285+1)</f>
        <v/>
      </c>
      <c r="AP5285">
        <f>INDEX($W$5256:$W$5383,AI5285+1)</f>
        <v/>
      </c>
      <c r="AQ5285">
        <f>IF(Q5285&gt;=AJ5285-0.01,1,0)</f>
        <v/>
      </c>
      <c r="AR5285">
        <f>IF(R5285&gt;=AK5285-0.01,1,0)</f>
        <v/>
      </c>
      <c r="AS5285">
        <f>IF(S5285&gt;=AL5285-0.01,1,0)</f>
        <v/>
      </c>
      <c r="AT5285">
        <f>IF(T5285&gt;=AM5285-0.01,1,0)</f>
        <v/>
      </c>
      <c r="AU5285">
        <f>IF(U5285&gt;=AN5285-0.01,1,0)</f>
        <v/>
      </c>
      <c r="AV5285">
        <f>IF(V5285&gt;=AO5285-0.01,1,0)</f>
        <v/>
      </c>
      <c r="AW5285">
        <f>IF(W5285&gt;=AP5285-0.01,1,0)</f>
        <v/>
      </c>
      <c r="AX5285">
        <f>AQ5285*AR5285*AS5285*AT5285*AU5285*AV5285*AW5285</f>
        <v/>
      </c>
    </row>
    <row r="5286">
      <c r="A5286" t="inlineStr"/>
      <c r="B5286">
        <f>Assumptions!$B$60</f>
        <v/>
      </c>
      <c r="C5286" t="n">
        <v>0</v>
      </c>
      <c r="D5286" t="n">
        <v>0</v>
      </c>
      <c r="E5286" t="n">
        <v>1</v>
      </c>
      <c r="F5286" t="n">
        <v>1</v>
      </c>
      <c r="G5286" t="n">
        <v>1</v>
      </c>
      <c r="H5286" t="n">
        <v>1</v>
      </c>
      <c r="I5286" t="n">
        <v>0</v>
      </c>
      <c r="J5286">
        <f>(1-C5286)*Assumptions!$B$41+(1-D5286)*Assumptions!$B$33+(1-E5286)*Assumptions!$B$32+(1-F5286)*Assumptions!$B$31+(1-G5286)*Assumptions!$B$30+(1-H5286)*Assumptions!$B$29+(1-I5286)*Assumptions!$B$28</f>
        <v/>
      </c>
      <c r="K5286">
        <f>C5286*$J$307+D5286*$F$307+E5286*$G$307+F5286*Assumptions!$B$14+G5286*Assumptions!$B$13+H5286*Assumptions!$B$12+I5286*Assumptions!$B$11+$O$307+$S$307+Assumptions!$B$9</f>
        <v/>
      </c>
      <c r="L5286">
        <f>B5286-J5286</f>
        <v/>
      </c>
      <c r="M5286">
        <f>IF(K5286&gt;0,IF(L5286/K5286&gt;=Assumptions!$B$37,1,0),0)</f>
        <v/>
      </c>
      <c r="N5286">
        <f>K5286+M5286*Assumptions!$B$153</f>
        <v/>
      </c>
      <c r="O5286">
        <f>L5286+M5286*Assumptions!$B$153*Assumptions!$B$37</f>
        <v/>
      </c>
      <c r="P5286">
        <f>IF(N5286&gt;0,O5286/N5286,0)</f>
        <v/>
      </c>
      <c r="Q5286">
        <f>IF(C5286=1,P5286*$J$307,Assumptions!$B$41)</f>
        <v/>
      </c>
      <c r="R5286">
        <f>IF(D5286=1,P5286*$F$307,Assumptions!$B$33)</f>
        <v/>
      </c>
      <c r="S5286">
        <f>IF(E5286=1,P5286*$G$307,Assumptions!$B$32)</f>
        <v/>
      </c>
      <c r="T5286">
        <f>IF(F5286=1,P5286*Assumptions!$B$14,Assumptions!$B$31)</f>
        <v/>
      </c>
      <c r="U5286">
        <f>IF(G5286=1,P5286*Assumptions!$B$13,Assumptions!$B$30)</f>
        <v/>
      </c>
      <c r="V5286">
        <f>IF(H5286=1,P5286*Assumptions!$B$12,Assumptions!$B$29)</f>
        <v/>
      </c>
      <c r="W5286">
        <f>IF(I5286=1,P5286*Assumptions!$B$11,Assumptions!$B$28)</f>
        <v/>
      </c>
      <c r="X5286">
        <f>P5286*($O$307+$S$307)</f>
        <v/>
      </c>
      <c r="Y5286">
        <f>P5286*Assumptions!$B$9</f>
        <v/>
      </c>
      <c r="Z5286">
        <f>IF(M5286=1,(P5286-Assumptions!$B$37)*Assumptions!$B$153,0)</f>
        <v/>
      </c>
      <c r="AA5286">
        <f>Q5286+R5286+S5286+T5286+U5286+V5286+W5286+X5286+Y5286+Z5286</f>
        <v/>
      </c>
      <c r="AB5286" t="n">
        <v>30</v>
      </c>
      <c r="AC5286" t="n">
        <v>94</v>
      </c>
      <c r="AD5286" t="n">
        <v>62</v>
      </c>
      <c r="AE5286" t="n">
        <v>14</v>
      </c>
      <c r="AF5286" t="n">
        <v>22</v>
      </c>
      <c r="AG5286" t="n">
        <v>26</v>
      </c>
      <c r="AH5286" t="n">
        <v>28</v>
      </c>
      <c r="AI5286" t="n">
        <v>31</v>
      </c>
      <c r="AJ5286">
        <f>INDEX($Q$5256:$Q$5383,AC5286+1)</f>
        <v/>
      </c>
      <c r="AK5286">
        <f>INDEX($R$5256:$R$5383,AD5286+1)</f>
        <v/>
      </c>
      <c r="AL5286">
        <f>INDEX($S$5256:$S$5383,AE5286+1)</f>
        <v/>
      </c>
      <c r="AM5286">
        <f>INDEX($T$5256:$T$5383,AF5286+1)</f>
        <v/>
      </c>
      <c r="AN5286">
        <f>INDEX($U$5256:$U$5383,AG5286+1)</f>
        <v/>
      </c>
      <c r="AO5286">
        <f>INDEX($V$5256:$V$5383,AH5286+1)</f>
        <v/>
      </c>
      <c r="AP5286">
        <f>INDEX($W$5256:$W$5383,AI5286+1)</f>
        <v/>
      </c>
      <c r="AQ5286">
        <f>IF(Q5286&gt;=AJ5286-0.01,1,0)</f>
        <v/>
      </c>
      <c r="AR5286">
        <f>IF(R5286&gt;=AK5286-0.01,1,0)</f>
        <v/>
      </c>
      <c r="AS5286">
        <f>IF(S5286&gt;=AL5286-0.01,1,0)</f>
        <v/>
      </c>
      <c r="AT5286">
        <f>IF(T5286&gt;=AM5286-0.01,1,0)</f>
        <v/>
      </c>
      <c r="AU5286">
        <f>IF(U5286&gt;=AN5286-0.01,1,0)</f>
        <v/>
      </c>
      <c r="AV5286">
        <f>IF(V5286&gt;=AO5286-0.01,1,0)</f>
        <v/>
      </c>
      <c r="AW5286">
        <f>IF(W5286&gt;=AP5286-0.01,1,0)</f>
        <v/>
      </c>
      <c r="AX5286">
        <f>AQ5286*AR5286*AS5286*AT5286*AU5286*AV5286*AW5286</f>
        <v/>
      </c>
    </row>
    <row r="5287">
      <c r="A5287" t="inlineStr"/>
      <c r="B5287">
        <f>Assumptions!$B$60</f>
        <v/>
      </c>
      <c r="C5287" t="n">
        <v>0</v>
      </c>
      <c r="D5287" t="n">
        <v>0</v>
      </c>
      <c r="E5287" t="n">
        <v>1</v>
      </c>
      <c r="F5287" t="n">
        <v>1</v>
      </c>
      <c r="G5287" t="n">
        <v>1</v>
      </c>
      <c r="H5287" t="n">
        <v>1</v>
      </c>
      <c r="I5287" t="n">
        <v>1</v>
      </c>
      <c r="J5287">
        <f>(1-C5287)*Assumptions!$B$41+(1-D5287)*Assumptions!$B$33+(1-E5287)*Assumptions!$B$32+(1-F5287)*Assumptions!$B$31+(1-G5287)*Assumptions!$B$30+(1-H5287)*Assumptions!$B$29+(1-I5287)*Assumptions!$B$28</f>
        <v/>
      </c>
      <c r="K5287">
        <f>C5287*$J$307+D5287*$F$307+E5287*$G$307+F5287*Assumptions!$B$14+G5287*Assumptions!$B$13+H5287*Assumptions!$B$12+I5287*Assumptions!$B$11+$O$307+$S$307+Assumptions!$B$9</f>
        <v/>
      </c>
      <c r="L5287">
        <f>B5287-J5287</f>
        <v/>
      </c>
      <c r="M5287">
        <f>IF(K5287&gt;0,IF(L5287/K5287&gt;=Assumptions!$B$37,1,0),0)</f>
        <v/>
      </c>
      <c r="N5287">
        <f>K5287+M5287*Assumptions!$B$153</f>
        <v/>
      </c>
      <c r="O5287">
        <f>L5287+M5287*Assumptions!$B$153*Assumptions!$B$37</f>
        <v/>
      </c>
      <c r="P5287">
        <f>IF(N5287&gt;0,O5287/N5287,0)</f>
        <v/>
      </c>
      <c r="Q5287">
        <f>IF(C5287=1,P5287*$J$307,Assumptions!$B$41)</f>
        <v/>
      </c>
      <c r="R5287">
        <f>IF(D5287=1,P5287*$F$307,Assumptions!$B$33)</f>
        <v/>
      </c>
      <c r="S5287">
        <f>IF(E5287=1,P5287*$G$307,Assumptions!$B$32)</f>
        <v/>
      </c>
      <c r="T5287">
        <f>IF(F5287=1,P5287*Assumptions!$B$14,Assumptions!$B$31)</f>
        <v/>
      </c>
      <c r="U5287">
        <f>IF(G5287=1,P5287*Assumptions!$B$13,Assumptions!$B$30)</f>
        <v/>
      </c>
      <c r="V5287">
        <f>IF(H5287=1,P5287*Assumptions!$B$12,Assumptions!$B$29)</f>
        <v/>
      </c>
      <c r="W5287">
        <f>IF(I5287=1,P5287*Assumptions!$B$11,Assumptions!$B$28)</f>
        <v/>
      </c>
      <c r="X5287">
        <f>P5287*($O$307+$S$307)</f>
        <v/>
      </c>
      <c r="Y5287">
        <f>P5287*Assumptions!$B$9</f>
        <v/>
      </c>
      <c r="Z5287">
        <f>IF(M5287=1,(P5287-Assumptions!$B$37)*Assumptions!$B$153,0)</f>
        <v/>
      </c>
      <c r="AA5287">
        <f>Q5287+R5287+S5287+T5287+U5287+V5287+W5287+X5287+Y5287+Z5287</f>
        <v/>
      </c>
      <c r="AB5287" t="n">
        <v>31</v>
      </c>
      <c r="AC5287" t="n">
        <v>95</v>
      </c>
      <c r="AD5287" t="n">
        <v>63</v>
      </c>
      <c r="AE5287" t="n">
        <v>15</v>
      </c>
      <c r="AF5287" t="n">
        <v>23</v>
      </c>
      <c r="AG5287" t="n">
        <v>27</v>
      </c>
      <c r="AH5287" t="n">
        <v>29</v>
      </c>
      <c r="AI5287" t="n">
        <v>30</v>
      </c>
      <c r="AJ5287">
        <f>INDEX($Q$5256:$Q$5383,AC5287+1)</f>
        <v/>
      </c>
      <c r="AK5287">
        <f>INDEX($R$5256:$R$5383,AD5287+1)</f>
        <v/>
      </c>
      <c r="AL5287">
        <f>INDEX($S$5256:$S$5383,AE5287+1)</f>
        <v/>
      </c>
      <c r="AM5287">
        <f>INDEX($T$5256:$T$5383,AF5287+1)</f>
        <v/>
      </c>
      <c r="AN5287">
        <f>INDEX($U$5256:$U$5383,AG5287+1)</f>
        <v/>
      </c>
      <c r="AO5287">
        <f>INDEX($V$5256:$V$5383,AH5287+1)</f>
        <v/>
      </c>
      <c r="AP5287">
        <f>INDEX($W$5256:$W$5383,AI5287+1)</f>
        <v/>
      </c>
      <c r="AQ5287">
        <f>IF(Q5287&gt;=AJ5287-0.01,1,0)</f>
        <v/>
      </c>
      <c r="AR5287">
        <f>IF(R5287&gt;=AK5287-0.01,1,0)</f>
        <v/>
      </c>
      <c r="AS5287">
        <f>IF(S5287&gt;=AL5287-0.01,1,0)</f>
        <v/>
      </c>
      <c r="AT5287">
        <f>IF(T5287&gt;=AM5287-0.01,1,0)</f>
        <v/>
      </c>
      <c r="AU5287">
        <f>IF(U5287&gt;=AN5287-0.01,1,0)</f>
        <v/>
      </c>
      <c r="AV5287">
        <f>IF(V5287&gt;=AO5287-0.01,1,0)</f>
        <v/>
      </c>
      <c r="AW5287">
        <f>IF(W5287&gt;=AP5287-0.01,1,0)</f>
        <v/>
      </c>
      <c r="AX5287">
        <f>AQ5287*AR5287*AS5287*AT5287*AU5287*AV5287*AW5287</f>
        <v/>
      </c>
    </row>
    <row r="5288">
      <c r="A5288" t="inlineStr"/>
      <c r="B5288">
        <f>Assumptions!$B$60</f>
        <v/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>
        <f>(1-C5288)*Assumptions!$B$41+(1-D5288)*Assumptions!$B$33+(1-E5288)*Assumptions!$B$32+(1-F5288)*Assumptions!$B$31+(1-G5288)*Assumptions!$B$30+(1-H5288)*Assumptions!$B$29+(1-I5288)*Assumptions!$B$28</f>
        <v/>
      </c>
      <c r="K5288">
        <f>C5288*$J$307+D5288*$F$307+E5288*$G$307+F5288*Assumptions!$B$14+G5288*Assumptions!$B$13+H5288*Assumptions!$B$12+I5288*Assumptions!$B$11+$O$307+$S$307+Assumptions!$B$9</f>
        <v/>
      </c>
      <c r="L5288">
        <f>B5288-J5288</f>
        <v/>
      </c>
      <c r="M5288">
        <f>IF(K5288&gt;0,IF(L5288/K5288&gt;=Assumptions!$B$37,1,0),0)</f>
        <v/>
      </c>
      <c r="N5288">
        <f>K5288+M5288*Assumptions!$B$153</f>
        <v/>
      </c>
      <c r="O5288">
        <f>L5288+M5288*Assumptions!$B$153*Assumptions!$B$37</f>
        <v/>
      </c>
      <c r="P5288">
        <f>IF(N5288&gt;0,O5288/N5288,0)</f>
        <v/>
      </c>
      <c r="Q5288">
        <f>IF(C5288=1,P5288*$J$307,Assumptions!$B$41)</f>
        <v/>
      </c>
      <c r="R5288">
        <f>IF(D5288=1,P5288*$F$307,Assumptions!$B$33)</f>
        <v/>
      </c>
      <c r="S5288">
        <f>IF(E5288=1,P5288*$G$307,Assumptions!$B$32)</f>
        <v/>
      </c>
      <c r="T5288">
        <f>IF(F5288=1,P5288*Assumptions!$B$14,Assumptions!$B$31)</f>
        <v/>
      </c>
      <c r="U5288">
        <f>IF(G5288=1,P5288*Assumptions!$B$13,Assumptions!$B$30)</f>
        <v/>
      </c>
      <c r="V5288">
        <f>IF(H5288=1,P5288*Assumptions!$B$12,Assumptions!$B$29)</f>
        <v/>
      </c>
      <c r="W5288">
        <f>IF(I5288=1,P5288*Assumptions!$B$11,Assumptions!$B$28)</f>
        <v/>
      </c>
      <c r="X5288">
        <f>P5288*($O$307+$S$307)</f>
        <v/>
      </c>
      <c r="Y5288">
        <f>P5288*Assumptions!$B$9</f>
        <v/>
      </c>
      <c r="Z5288">
        <f>IF(M5288=1,(P5288-Assumptions!$B$37)*Assumptions!$B$153,0)</f>
        <v/>
      </c>
      <c r="AA5288">
        <f>Q5288+R5288+S5288+T5288+U5288+V5288+W5288+X5288+Y5288+Z5288</f>
        <v/>
      </c>
      <c r="AB5288" t="n">
        <v>32</v>
      </c>
      <c r="AC5288" t="n">
        <v>96</v>
      </c>
      <c r="AD5288" t="n">
        <v>0</v>
      </c>
      <c r="AE5288" t="n">
        <v>48</v>
      </c>
      <c r="AF5288" t="n">
        <v>40</v>
      </c>
      <c r="AG5288" t="n">
        <v>36</v>
      </c>
      <c r="AH5288" t="n">
        <v>34</v>
      </c>
      <c r="AI5288" t="n">
        <v>33</v>
      </c>
      <c r="AJ5288">
        <f>INDEX($Q$5256:$Q$5383,AC5288+1)</f>
        <v/>
      </c>
      <c r="AK5288">
        <f>INDEX($R$5256:$R$5383,AD5288+1)</f>
        <v/>
      </c>
      <c r="AL5288">
        <f>INDEX($S$5256:$S$5383,AE5288+1)</f>
        <v/>
      </c>
      <c r="AM5288">
        <f>INDEX($T$5256:$T$5383,AF5288+1)</f>
        <v/>
      </c>
      <c r="AN5288">
        <f>INDEX($U$5256:$U$5383,AG5288+1)</f>
        <v/>
      </c>
      <c r="AO5288">
        <f>INDEX($V$5256:$V$5383,AH5288+1)</f>
        <v/>
      </c>
      <c r="AP5288">
        <f>INDEX($W$5256:$W$5383,AI5288+1)</f>
        <v/>
      </c>
      <c r="AQ5288">
        <f>IF(Q5288&gt;=AJ5288-0.01,1,0)</f>
        <v/>
      </c>
      <c r="AR5288">
        <f>IF(R5288&gt;=AK5288-0.01,1,0)</f>
        <v/>
      </c>
      <c r="AS5288">
        <f>IF(S5288&gt;=AL5288-0.01,1,0)</f>
        <v/>
      </c>
      <c r="AT5288">
        <f>IF(T5288&gt;=AM5288-0.01,1,0)</f>
        <v/>
      </c>
      <c r="AU5288">
        <f>IF(U5288&gt;=AN5288-0.01,1,0)</f>
        <v/>
      </c>
      <c r="AV5288">
        <f>IF(V5288&gt;=AO5288-0.01,1,0)</f>
        <v/>
      </c>
      <c r="AW5288">
        <f>IF(W5288&gt;=AP5288-0.01,1,0)</f>
        <v/>
      </c>
      <c r="AX5288">
        <f>AQ5288*AR5288*AS5288*AT5288*AU5288*AV5288*AW5288</f>
        <v/>
      </c>
    </row>
    <row r="5289">
      <c r="A5289" t="inlineStr"/>
      <c r="B5289">
        <f>Assumptions!$B$60</f>
        <v/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>
        <f>(1-C5289)*Assumptions!$B$41+(1-D5289)*Assumptions!$B$33+(1-E5289)*Assumptions!$B$32+(1-F5289)*Assumptions!$B$31+(1-G5289)*Assumptions!$B$30+(1-H5289)*Assumptions!$B$29+(1-I5289)*Assumptions!$B$28</f>
        <v/>
      </c>
      <c r="K5289">
        <f>C5289*$J$307+D5289*$F$307+E5289*$G$307+F5289*Assumptions!$B$14+G5289*Assumptions!$B$13+H5289*Assumptions!$B$12+I5289*Assumptions!$B$11+$O$307+$S$307+Assumptions!$B$9</f>
        <v/>
      </c>
      <c r="L5289">
        <f>B5289-J5289</f>
        <v/>
      </c>
      <c r="M5289">
        <f>IF(K5289&gt;0,IF(L5289/K5289&gt;=Assumptions!$B$37,1,0),0)</f>
        <v/>
      </c>
      <c r="N5289">
        <f>K5289+M5289*Assumptions!$B$153</f>
        <v/>
      </c>
      <c r="O5289">
        <f>L5289+M5289*Assumptions!$B$153*Assumptions!$B$37</f>
        <v/>
      </c>
      <c r="P5289">
        <f>IF(N5289&gt;0,O5289/N5289,0)</f>
        <v/>
      </c>
      <c r="Q5289">
        <f>IF(C5289=1,P5289*$J$307,Assumptions!$B$41)</f>
        <v/>
      </c>
      <c r="R5289">
        <f>IF(D5289=1,P5289*$F$307,Assumptions!$B$33)</f>
        <v/>
      </c>
      <c r="S5289">
        <f>IF(E5289=1,P5289*$G$307,Assumptions!$B$32)</f>
        <v/>
      </c>
      <c r="T5289">
        <f>IF(F5289=1,P5289*Assumptions!$B$14,Assumptions!$B$31)</f>
        <v/>
      </c>
      <c r="U5289">
        <f>IF(G5289=1,P5289*Assumptions!$B$13,Assumptions!$B$30)</f>
        <v/>
      </c>
      <c r="V5289">
        <f>IF(H5289=1,P5289*Assumptions!$B$12,Assumptions!$B$29)</f>
        <v/>
      </c>
      <c r="W5289">
        <f>IF(I5289=1,P5289*Assumptions!$B$11,Assumptions!$B$28)</f>
        <v/>
      </c>
      <c r="X5289">
        <f>P5289*($O$307+$S$307)</f>
        <v/>
      </c>
      <c r="Y5289">
        <f>P5289*Assumptions!$B$9</f>
        <v/>
      </c>
      <c r="Z5289">
        <f>IF(M5289=1,(P5289-Assumptions!$B$37)*Assumptions!$B$153,0)</f>
        <v/>
      </c>
      <c r="AA5289">
        <f>Q5289+R5289+S5289+T5289+U5289+V5289+W5289+X5289+Y5289+Z5289</f>
        <v/>
      </c>
      <c r="AB5289" t="n">
        <v>33</v>
      </c>
      <c r="AC5289" t="n">
        <v>97</v>
      </c>
      <c r="AD5289" t="n">
        <v>1</v>
      </c>
      <c r="AE5289" t="n">
        <v>49</v>
      </c>
      <c r="AF5289" t="n">
        <v>41</v>
      </c>
      <c r="AG5289" t="n">
        <v>37</v>
      </c>
      <c r="AH5289" t="n">
        <v>35</v>
      </c>
      <c r="AI5289" t="n">
        <v>32</v>
      </c>
      <c r="AJ5289">
        <f>INDEX($Q$5256:$Q$5383,AC5289+1)</f>
        <v/>
      </c>
      <c r="AK5289">
        <f>INDEX($R$5256:$R$5383,AD5289+1)</f>
        <v/>
      </c>
      <c r="AL5289">
        <f>INDEX($S$5256:$S$5383,AE5289+1)</f>
        <v/>
      </c>
      <c r="AM5289">
        <f>INDEX($T$5256:$T$5383,AF5289+1)</f>
        <v/>
      </c>
      <c r="AN5289">
        <f>INDEX($U$5256:$U$5383,AG5289+1)</f>
        <v/>
      </c>
      <c r="AO5289">
        <f>INDEX($V$5256:$V$5383,AH5289+1)</f>
        <v/>
      </c>
      <c r="AP5289">
        <f>INDEX($W$5256:$W$5383,AI5289+1)</f>
        <v/>
      </c>
      <c r="AQ5289">
        <f>IF(Q5289&gt;=AJ5289-0.01,1,0)</f>
        <v/>
      </c>
      <c r="AR5289">
        <f>IF(R5289&gt;=AK5289-0.01,1,0)</f>
        <v/>
      </c>
      <c r="AS5289">
        <f>IF(S5289&gt;=AL5289-0.01,1,0)</f>
        <v/>
      </c>
      <c r="AT5289">
        <f>IF(T5289&gt;=AM5289-0.01,1,0)</f>
        <v/>
      </c>
      <c r="AU5289">
        <f>IF(U5289&gt;=AN5289-0.01,1,0)</f>
        <v/>
      </c>
      <c r="AV5289">
        <f>IF(V5289&gt;=AO5289-0.01,1,0)</f>
        <v/>
      </c>
      <c r="AW5289">
        <f>IF(W5289&gt;=AP5289-0.01,1,0)</f>
        <v/>
      </c>
      <c r="AX5289">
        <f>AQ5289*AR5289*AS5289*AT5289*AU5289*AV5289*AW5289</f>
        <v/>
      </c>
    </row>
    <row r="5290">
      <c r="A5290" t="inlineStr"/>
      <c r="B5290">
        <f>Assumptions!$B$60</f>
        <v/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>
        <f>(1-C5290)*Assumptions!$B$41+(1-D5290)*Assumptions!$B$33+(1-E5290)*Assumptions!$B$32+(1-F5290)*Assumptions!$B$31+(1-G5290)*Assumptions!$B$30+(1-H5290)*Assumptions!$B$29+(1-I5290)*Assumptions!$B$28</f>
        <v/>
      </c>
      <c r="K5290">
        <f>C5290*$J$307+D5290*$F$307+E5290*$G$307+F5290*Assumptions!$B$14+G5290*Assumptions!$B$13+H5290*Assumptions!$B$12+I5290*Assumptions!$B$11+$O$307+$S$307+Assumptions!$B$9</f>
        <v/>
      </c>
      <c r="L5290">
        <f>B5290-J5290</f>
        <v/>
      </c>
      <c r="M5290">
        <f>IF(K5290&gt;0,IF(L5290/K5290&gt;=Assumptions!$B$37,1,0),0)</f>
        <v/>
      </c>
      <c r="N5290">
        <f>K5290+M5290*Assumptions!$B$153</f>
        <v/>
      </c>
      <c r="O5290">
        <f>L5290+M5290*Assumptions!$B$153*Assumptions!$B$37</f>
        <v/>
      </c>
      <c r="P5290">
        <f>IF(N5290&gt;0,O5290/N5290,0)</f>
        <v/>
      </c>
      <c r="Q5290">
        <f>IF(C5290=1,P5290*$J$307,Assumptions!$B$41)</f>
        <v/>
      </c>
      <c r="R5290">
        <f>IF(D5290=1,P5290*$F$307,Assumptions!$B$33)</f>
        <v/>
      </c>
      <c r="S5290">
        <f>IF(E5290=1,P5290*$G$307,Assumptions!$B$32)</f>
        <v/>
      </c>
      <c r="T5290">
        <f>IF(F5290=1,P5290*Assumptions!$B$14,Assumptions!$B$31)</f>
        <v/>
      </c>
      <c r="U5290">
        <f>IF(G5290=1,P5290*Assumptions!$B$13,Assumptions!$B$30)</f>
        <v/>
      </c>
      <c r="V5290">
        <f>IF(H5290=1,P5290*Assumptions!$B$12,Assumptions!$B$29)</f>
        <v/>
      </c>
      <c r="W5290">
        <f>IF(I5290=1,P5290*Assumptions!$B$11,Assumptions!$B$28)</f>
        <v/>
      </c>
      <c r="X5290">
        <f>P5290*($O$307+$S$307)</f>
        <v/>
      </c>
      <c r="Y5290">
        <f>P5290*Assumptions!$B$9</f>
        <v/>
      </c>
      <c r="Z5290">
        <f>IF(M5290=1,(P5290-Assumptions!$B$37)*Assumptions!$B$153,0)</f>
        <v/>
      </c>
      <c r="AA5290">
        <f>Q5290+R5290+S5290+T5290+U5290+V5290+W5290+X5290+Y5290+Z5290</f>
        <v/>
      </c>
      <c r="AB5290" t="n">
        <v>34</v>
      </c>
      <c r="AC5290" t="n">
        <v>98</v>
      </c>
      <c r="AD5290" t="n">
        <v>2</v>
      </c>
      <c r="AE5290" t="n">
        <v>50</v>
      </c>
      <c r="AF5290" t="n">
        <v>42</v>
      </c>
      <c r="AG5290" t="n">
        <v>38</v>
      </c>
      <c r="AH5290" t="n">
        <v>32</v>
      </c>
      <c r="AI5290" t="n">
        <v>35</v>
      </c>
      <c r="AJ5290">
        <f>INDEX($Q$5256:$Q$5383,AC5290+1)</f>
        <v/>
      </c>
      <c r="AK5290">
        <f>INDEX($R$5256:$R$5383,AD5290+1)</f>
        <v/>
      </c>
      <c r="AL5290">
        <f>INDEX($S$5256:$S$5383,AE5290+1)</f>
        <v/>
      </c>
      <c r="AM5290">
        <f>INDEX($T$5256:$T$5383,AF5290+1)</f>
        <v/>
      </c>
      <c r="AN5290">
        <f>INDEX($U$5256:$U$5383,AG5290+1)</f>
        <v/>
      </c>
      <c r="AO5290">
        <f>INDEX($V$5256:$V$5383,AH5290+1)</f>
        <v/>
      </c>
      <c r="AP5290">
        <f>INDEX($W$5256:$W$5383,AI5290+1)</f>
        <v/>
      </c>
      <c r="AQ5290">
        <f>IF(Q5290&gt;=AJ5290-0.01,1,0)</f>
        <v/>
      </c>
      <c r="AR5290">
        <f>IF(R5290&gt;=AK5290-0.01,1,0)</f>
        <v/>
      </c>
      <c r="AS5290">
        <f>IF(S5290&gt;=AL5290-0.01,1,0)</f>
        <v/>
      </c>
      <c r="AT5290">
        <f>IF(T5290&gt;=AM5290-0.01,1,0)</f>
        <v/>
      </c>
      <c r="AU5290">
        <f>IF(U5290&gt;=AN5290-0.01,1,0)</f>
        <v/>
      </c>
      <c r="AV5290">
        <f>IF(V5290&gt;=AO5290-0.01,1,0)</f>
        <v/>
      </c>
      <c r="AW5290">
        <f>IF(W5290&gt;=AP5290-0.01,1,0)</f>
        <v/>
      </c>
      <c r="AX5290">
        <f>AQ5290*AR5290*AS5290*AT5290*AU5290*AV5290*AW5290</f>
        <v/>
      </c>
    </row>
    <row r="5291">
      <c r="A5291" t="inlineStr"/>
      <c r="B5291">
        <f>Assumptions!$B$60</f>
        <v/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1</v>
      </c>
      <c r="I5291" t="n">
        <v>1</v>
      </c>
      <c r="J5291">
        <f>(1-C5291)*Assumptions!$B$41+(1-D5291)*Assumptions!$B$33+(1-E5291)*Assumptions!$B$32+(1-F5291)*Assumptions!$B$31+(1-G5291)*Assumptions!$B$30+(1-H5291)*Assumptions!$B$29+(1-I5291)*Assumptions!$B$28</f>
        <v/>
      </c>
      <c r="K5291">
        <f>C5291*$J$307+D5291*$F$307+E5291*$G$307+F5291*Assumptions!$B$14+G5291*Assumptions!$B$13+H5291*Assumptions!$B$12+I5291*Assumptions!$B$11+$O$307+$S$307+Assumptions!$B$9</f>
        <v/>
      </c>
      <c r="L5291">
        <f>B5291-J5291</f>
        <v/>
      </c>
      <c r="M5291">
        <f>IF(K5291&gt;0,IF(L5291/K5291&gt;=Assumptions!$B$37,1,0),0)</f>
        <v/>
      </c>
      <c r="N5291">
        <f>K5291+M5291*Assumptions!$B$153</f>
        <v/>
      </c>
      <c r="O5291">
        <f>L5291+M5291*Assumptions!$B$153*Assumptions!$B$37</f>
        <v/>
      </c>
      <c r="P5291">
        <f>IF(N5291&gt;0,O5291/N5291,0)</f>
        <v/>
      </c>
      <c r="Q5291">
        <f>IF(C5291=1,P5291*$J$307,Assumptions!$B$41)</f>
        <v/>
      </c>
      <c r="R5291">
        <f>IF(D5291=1,P5291*$F$307,Assumptions!$B$33)</f>
        <v/>
      </c>
      <c r="S5291">
        <f>IF(E5291=1,P5291*$G$307,Assumptions!$B$32)</f>
        <v/>
      </c>
      <c r="T5291">
        <f>IF(F5291=1,P5291*Assumptions!$B$14,Assumptions!$B$31)</f>
        <v/>
      </c>
      <c r="U5291">
        <f>IF(G5291=1,P5291*Assumptions!$B$13,Assumptions!$B$30)</f>
        <v/>
      </c>
      <c r="V5291">
        <f>IF(H5291=1,P5291*Assumptions!$B$12,Assumptions!$B$29)</f>
        <v/>
      </c>
      <c r="W5291">
        <f>IF(I5291=1,P5291*Assumptions!$B$11,Assumptions!$B$28)</f>
        <v/>
      </c>
      <c r="X5291">
        <f>P5291*($O$307+$S$307)</f>
        <v/>
      </c>
      <c r="Y5291">
        <f>P5291*Assumptions!$B$9</f>
        <v/>
      </c>
      <c r="Z5291">
        <f>IF(M5291=1,(P5291-Assumptions!$B$37)*Assumptions!$B$153,0)</f>
        <v/>
      </c>
      <c r="AA5291">
        <f>Q5291+R5291+S5291+T5291+U5291+V5291+W5291+X5291+Y5291+Z5291</f>
        <v/>
      </c>
      <c r="AB5291" t="n">
        <v>35</v>
      </c>
      <c r="AC5291" t="n">
        <v>99</v>
      </c>
      <c r="AD5291" t="n">
        <v>3</v>
      </c>
      <c r="AE5291" t="n">
        <v>51</v>
      </c>
      <c r="AF5291" t="n">
        <v>43</v>
      </c>
      <c r="AG5291" t="n">
        <v>39</v>
      </c>
      <c r="AH5291" t="n">
        <v>33</v>
      </c>
      <c r="AI5291" t="n">
        <v>34</v>
      </c>
      <c r="AJ5291">
        <f>INDEX($Q$5256:$Q$5383,AC5291+1)</f>
        <v/>
      </c>
      <c r="AK5291">
        <f>INDEX($R$5256:$R$5383,AD5291+1)</f>
        <v/>
      </c>
      <c r="AL5291">
        <f>INDEX($S$5256:$S$5383,AE5291+1)</f>
        <v/>
      </c>
      <c r="AM5291">
        <f>INDEX($T$5256:$T$5383,AF5291+1)</f>
        <v/>
      </c>
      <c r="AN5291">
        <f>INDEX($U$5256:$U$5383,AG5291+1)</f>
        <v/>
      </c>
      <c r="AO5291">
        <f>INDEX($V$5256:$V$5383,AH5291+1)</f>
        <v/>
      </c>
      <c r="AP5291">
        <f>INDEX($W$5256:$W$5383,AI5291+1)</f>
        <v/>
      </c>
      <c r="AQ5291">
        <f>IF(Q5291&gt;=AJ5291-0.01,1,0)</f>
        <v/>
      </c>
      <c r="AR5291">
        <f>IF(R5291&gt;=AK5291-0.01,1,0)</f>
        <v/>
      </c>
      <c r="AS5291">
        <f>IF(S5291&gt;=AL5291-0.01,1,0)</f>
        <v/>
      </c>
      <c r="AT5291">
        <f>IF(T5291&gt;=AM5291-0.01,1,0)</f>
        <v/>
      </c>
      <c r="AU5291">
        <f>IF(U5291&gt;=AN5291-0.01,1,0)</f>
        <v/>
      </c>
      <c r="AV5291">
        <f>IF(V5291&gt;=AO5291-0.01,1,0)</f>
        <v/>
      </c>
      <c r="AW5291">
        <f>IF(W5291&gt;=AP5291-0.01,1,0)</f>
        <v/>
      </c>
      <c r="AX5291">
        <f>AQ5291*AR5291*AS5291*AT5291*AU5291*AV5291*AW5291</f>
        <v/>
      </c>
    </row>
    <row r="5292">
      <c r="A5292" t="inlineStr"/>
      <c r="B5292">
        <f>Assumptions!$B$60</f>
        <v/>
      </c>
      <c r="C5292" t="n">
        <v>0</v>
      </c>
      <c r="D5292" t="n">
        <v>1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>
        <f>(1-C5292)*Assumptions!$B$41+(1-D5292)*Assumptions!$B$33+(1-E5292)*Assumptions!$B$32+(1-F5292)*Assumptions!$B$31+(1-G5292)*Assumptions!$B$30+(1-H5292)*Assumptions!$B$29+(1-I5292)*Assumptions!$B$28</f>
        <v/>
      </c>
      <c r="K5292">
        <f>C5292*$J$307+D5292*$F$307+E5292*$G$307+F5292*Assumptions!$B$14+G5292*Assumptions!$B$13+H5292*Assumptions!$B$12+I5292*Assumptions!$B$11+$O$307+$S$307+Assumptions!$B$9</f>
        <v/>
      </c>
      <c r="L5292">
        <f>B5292-J5292</f>
        <v/>
      </c>
      <c r="M5292">
        <f>IF(K5292&gt;0,IF(L5292/K5292&gt;=Assumptions!$B$37,1,0),0)</f>
        <v/>
      </c>
      <c r="N5292">
        <f>K5292+M5292*Assumptions!$B$153</f>
        <v/>
      </c>
      <c r="O5292">
        <f>L5292+M5292*Assumptions!$B$153*Assumptions!$B$37</f>
        <v/>
      </c>
      <c r="P5292">
        <f>IF(N5292&gt;0,O5292/N5292,0)</f>
        <v/>
      </c>
      <c r="Q5292">
        <f>IF(C5292=1,P5292*$J$307,Assumptions!$B$41)</f>
        <v/>
      </c>
      <c r="R5292">
        <f>IF(D5292=1,P5292*$F$307,Assumptions!$B$33)</f>
        <v/>
      </c>
      <c r="S5292">
        <f>IF(E5292=1,P5292*$G$307,Assumptions!$B$32)</f>
        <v/>
      </c>
      <c r="T5292">
        <f>IF(F5292=1,P5292*Assumptions!$B$14,Assumptions!$B$31)</f>
        <v/>
      </c>
      <c r="U5292">
        <f>IF(G5292=1,P5292*Assumptions!$B$13,Assumptions!$B$30)</f>
        <v/>
      </c>
      <c r="V5292">
        <f>IF(H5292=1,P5292*Assumptions!$B$12,Assumptions!$B$29)</f>
        <v/>
      </c>
      <c r="W5292">
        <f>IF(I5292=1,P5292*Assumptions!$B$11,Assumptions!$B$28)</f>
        <v/>
      </c>
      <c r="X5292">
        <f>P5292*($O$307+$S$307)</f>
        <v/>
      </c>
      <c r="Y5292">
        <f>P5292*Assumptions!$B$9</f>
        <v/>
      </c>
      <c r="Z5292">
        <f>IF(M5292=1,(P5292-Assumptions!$B$37)*Assumptions!$B$153,0)</f>
        <v/>
      </c>
      <c r="AA5292">
        <f>Q5292+R5292+S5292+T5292+U5292+V5292+W5292+X5292+Y5292+Z5292</f>
        <v/>
      </c>
      <c r="AB5292" t="n">
        <v>36</v>
      </c>
      <c r="AC5292" t="n">
        <v>100</v>
      </c>
      <c r="AD5292" t="n">
        <v>4</v>
      </c>
      <c r="AE5292" t="n">
        <v>52</v>
      </c>
      <c r="AF5292" t="n">
        <v>44</v>
      </c>
      <c r="AG5292" t="n">
        <v>32</v>
      </c>
      <c r="AH5292" t="n">
        <v>38</v>
      </c>
      <c r="AI5292" t="n">
        <v>37</v>
      </c>
      <c r="AJ5292">
        <f>INDEX($Q$5256:$Q$5383,AC5292+1)</f>
        <v/>
      </c>
      <c r="AK5292">
        <f>INDEX($R$5256:$R$5383,AD5292+1)</f>
        <v/>
      </c>
      <c r="AL5292">
        <f>INDEX($S$5256:$S$5383,AE5292+1)</f>
        <v/>
      </c>
      <c r="AM5292">
        <f>INDEX($T$5256:$T$5383,AF5292+1)</f>
        <v/>
      </c>
      <c r="AN5292">
        <f>INDEX($U$5256:$U$5383,AG5292+1)</f>
        <v/>
      </c>
      <c r="AO5292">
        <f>INDEX($V$5256:$V$5383,AH5292+1)</f>
        <v/>
      </c>
      <c r="AP5292">
        <f>INDEX($W$5256:$W$5383,AI5292+1)</f>
        <v/>
      </c>
      <c r="AQ5292">
        <f>IF(Q5292&gt;=AJ5292-0.01,1,0)</f>
        <v/>
      </c>
      <c r="AR5292">
        <f>IF(R5292&gt;=AK5292-0.01,1,0)</f>
        <v/>
      </c>
      <c r="AS5292">
        <f>IF(S5292&gt;=AL5292-0.01,1,0)</f>
        <v/>
      </c>
      <c r="AT5292">
        <f>IF(T5292&gt;=AM5292-0.01,1,0)</f>
        <v/>
      </c>
      <c r="AU5292">
        <f>IF(U5292&gt;=AN5292-0.01,1,0)</f>
        <v/>
      </c>
      <c r="AV5292">
        <f>IF(V5292&gt;=AO5292-0.01,1,0)</f>
        <v/>
      </c>
      <c r="AW5292">
        <f>IF(W5292&gt;=AP5292-0.01,1,0)</f>
        <v/>
      </c>
      <c r="AX5292">
        <f>AQ5292*AR5292*AS5292*AT5292*AU5292*AV5292*AW5292</f>
        <v/>
      </c>
    </row>
    <row r="5293">
      <c r="A5293" t="inlineStr"/>
      <c r="B5293">
        <f>Assumptions!$B$60</f>
        <v/>
      </c>
      <c r="C5293" t="n">
        <v>0</v>
      </c>
      <c r="D5293" t="n">
        <v>1</v>
      </c>
      <c r="E5293" t="n">
        <v>0</v>
      </c>
      <c r="F5293" t="n">
        <v>0</v>
      </c>
      <c r="G5293" t="n">
        <v>1</v>
      </c>
      <c r="H5293" t="n">
        <v>0</v>
      </c>
      <c r="I5293" t="n">
        <v>1</v>
      </c>
      <c r="J5293">
        <f>(1-C5293)*Assumptions!$B$41+(1-D5293)*Assumptions!$B$33+(1-E5293)*Assumptions!$B$32+(1-F5293)*Assumptions!$B$31+(1-G5293)*Assumptions!$B$30+(1-H5293)*Assumptions!$B$29+(1-I5293)*Assumptions!$B$28</f>
        <v/>
      </c>
      <c r="K5293">
        <f>C5293*$J$307+D5293*$F$307+E5293*$G$307+F5293*Assumptions!$B$14+G5293*Assumptions!$B$13+H5293*Assumptions!$B$12+I5293*Assumptions!$B$11+$O$307+$S$307+Assumptions!$B$9</f>
        <v/>
      </c>
      <c r="L5293">
        <f>B5293-J5293</f>
        <v/>
      </c>
      <c r="M5293">
        <f>IF(K5293&gt;0,IF(L5293/K5293&gt;=Assumptions!$B$37,1,0),0)</f>
        <v/>
      </c>
      <c r="N5293">
        <f>K5293+M5293*Assumptions!$B$153</f>
        <v/>
      </c>
      <c r="O5293">
        <f>L5293+M5293*Assumptions!$B$153*Assumptions!$B$37</f>
        <v/>
      </c>
      <c r="P5293">
        <f>IF(N5293&gt;0,O5293/N5293,0)</f>
        <v/>
      </c>
      <c r="Q5293">
        <f>IF(C5293=1,P5293*$J$307,Assumptions!$B$41)</f>
        <v/>
      </c>
      <c r="R5293">
        <f>IF(D5293=1,P5293*$F$307,Assumptions!$B$33)</f>
        <v/>
      </c>
      <c r="S5293">
        <f>IF(E5293=1,P5293*$G$307,Assumptions!$B$32)</f>
        <v/>
      </c>
      <c r="T5293">
        <f>IF(F5293=1,P5293*Assumptions!$B$14,Assumptions!$B$31)</f>
        <v/>
      </c>
      <c r="U5293">
        <f>IF(G5293=1,P5293*Assumptions!$B$13,Assumptions!$B$30)</f>
        <v/>
      </c>
      <c r="V5293">
        <f>IF(H5293=1,P5293*Assumptions!$B$12,Assumptions!$B$29)</f>
        <v/>
      </c>
      <c r="W5293">
        <f>IF(I5293=1,P5293*Assumptions!$B$11,Assumptions!$B$28)</f>
        <v/>
      </c>
      <c r="X5293">
        <f>P5293*($O$307+$S$307)</f>
        <v/>
      </c>
      <c r="Y5293">
        <f>P5293*Assumptions!$B$9</f>
        <v/>
      </c>
      <c r="Z5293">
        <f>IF(M5293=1,(P5293-Assumptions!$B$37)*Assumptions!$B$153,0)</f>
        <v/>
      </c>
      <c r="AA5293">
        <f>Q5293+R5293+S5293+T5293+U5293+V5293+W5293+X5293+Y5293+Z5293</f>
        <v/>
      </c>
      <c r="AB5293" t="n">
        <v>37</v>
      </c>
      <c r="AC5293" t="n">
        <v>101</v>
      </c>
      <c r="AD5293" t="n">
        <v>5</v>
      </c>
      <c r="AE5293" t="n">
        <v>53</v>
      </c>
      <c r="AF5293" t="n">
        <v>45</v>
      </c>
      <c r="AG5293" t="n">
        <v>33</v>
      </c>
      <c r="AH5293" t="n">
        <v>39</v>
      </c>
      <c r="AI5293" t="n">
        <v>36</v>
      </c>
      <c r="AJ5293">
        <f>INDEX($Q$5256:$Q$5383,AC5293+1)</f>
        <v/>
      </c>
      <c r="AK5293">
        <f>INDEX($R$5256:$R$5383,AD5293+1)</f>
        <v/>
      </c>
      <c r="AL5293">
        <f>INDEX($S$5256:$S$5383,AE5293+1)</f>
        <v/>
      </c>
      <c r="AM5293">
        <f>INDEX($T$5256:$T$5383,AF5293+1)</f>
        <v/>
      </c>
      <c r="AN5293">
        <f>INDEX($U$5256:$U$5383,AG5293+1)</f>
        <v/>
      </c>
      <c r="AO5293">
        <f>INDEX($V$5256:$V$5383,AH5293+1)</f>
        <v/>
      </c>
      <c r="AP5293">
        <f>INDEX($W$5256:$W$5383,AI5293+1)</f>
        <v/>
      </c>
      <c r="AQ5293">
        <f>IF(Q5293&gt;=AJ5293-0.01,1,0)</f>
        <v/>
      </c>
      <c r="AR5293">
        <f>IF(R5293&gt;=AK5293-0.01,1,0)</f>
        <v/>
      </c>
      <c r="AS5293">
        <f>IF(S5293&gt;=AL5293-0.01,1,0)</f>
        <v/>
      </c>
      <c r="AT5293">
        <f>IF(T5293&gt;=AM5293-0.01,1,0)</f>
        <v/>
      </c>
      <c r="AU5293">
        <f>IF(U5293&gt;=AN5293-0.01,1,0)</f>
        <v/>
      </c>
      <c r="AV5293">
        <f>IF(V5293&gt;=AO5293-0.01,1,0)</f>
        <v/>
      </c>
      <c r="AW5293">
        <f>IF(W5293&gt;=AP5293-0.01,1,0)</f>
        <v/>
      </c>
      <c r="AX5293">
        <f>AQ5293*AR5293*AS5293*AT5293*AU5293*AV5293*AW5293</f>
        <v/>
      </c>
    </row>
    <row r="5294">
      <c r="A5294" t="inlineStr"/>
      <c r="B5294">
        <f>Assumptions!$B$60</f>
        <v/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1</v>
      </c>
      <c r="I5294" t="n">
        <v>0</v>
      </c>
      <c r="J5294">
        <f>(1-C5294)*Assumptions!$B$41+(1-D5294)*Assumptions!$B$33+(1-E5294)*Assumptions!$B$32+(1-F5294)*Assumptions!$B$31+(1-G5294)*Assumptions!$B$30+(1-H5294)*Assumptions!$B$29+(1-I5294)*Assumptions!$B$28</f>
        <v/>
      </c>
      <c r="K5294">
        <f>C5294*$J$307+D5294*$F$307+E5294*$G$307+F5294*Assumptions!$B$14+G5294*Assumptions!$B$13+H5294*Assumptions!$B$12+I5294*Assumptions!$B$11+$O$307+$S$307+Assumptions!$B$9</f>
        <v/>
      </c>
      <c r="L5294">
        <f>B5294-J5294</f>
        <v/>
      </c>
      <c r="M5294">
        <f>IF(K5294&gt;0,IF(L5294/K5294&gt;=Assumptions!$B$37,1,0),0)</f>
        <v/>
      </c>
      <c r="N5294">
        <f>K5294+M5294*Assumptions!$B$153</f>
        <v/>
      </c>
      <c r="O5294">
        <f>L5294+M5294*Assumptions!$B$153*Assumptions!$B$37</f>
        <v/>
      </c>
      <c r="P5294">
        <f>IF(N5294&gt;0,O5294/N5294,0)</f>
        <v/>
      </c>
      <c r="Q5294">
        <f>IF(C5294=1,P5294*$J$307,Assumptions!$B$41)</f>
        <v/>
      </c>
      <c r="R5294">
        <f>IF(D5294=1,P5294*$F$307,Assumptions!$B$33)</f>
        <v/>
      </c>
      <c r="S5294">
        <f>IF(E5294=1,P5294*$G$307,Assumptions!$B$32)</f>
        <v/>
      </c>
      <c r="T5294">
        <f>IF(F5294=1,P5294*Assumptions!$B$14,Assumptions!$B$31)</f>
        <v/>
      </c>
      <c r="U5294">
        <f>IF(G5294=1,P5294*Assumptions!$B$13,Assumptions!$B$30)</f>
        <v/>
      </c>
      <c r="V5294">
        <f>IF(H5294=1,P5294*Assumptions!$B$12,Assumptions!$B$29)</f>
        <v/>
      </c>
      <c r="W5294">
        <f>IF(I5294=1,P5294*Assumptions!$B$11,Assumptions!$B$28)</f>
        <v/>
      </c>
      <c r="X5294">
        <f>P5294*($O$307+$S$307)</f>
        <v/>
      </c>
      <c r="Y5294">
        <f>P5294*Assumptions!$B$9</f>
        <v/>
      </c>
      <c r="Z5294">
        <f>IF(M5294=1,(P5294-Assumptions!$B$37)*Assumptions!$B$153,0)</f>
        <v/>
      </c>
      <c r="AA5294">
        <f>Q5294+R5294+S5294+T5294+U5294+V5294+W5294+X5294+Y5294+Z5294</f>
        <v/>
      </c>
      <c r="AB5294" t="n">
        <v>38</v>
      </c>
      <c r="AC5294" t="n">
        <v>102</v>
      </c>
      <c r="AD5294" t="n">
        <v>6</v>
      </c>
      <c r="AE5294" t="n">
        <v>54</v>
      </c>
      <c r="AF5294" t="n">
        <v>46</v>
      </c>
      <c r="AG5294" t="n">
        <v>34</v>
      </c>
      <c r="AH5294" t="n">
        <v>36</v>
      </c>
      <c r="AI5294" t="n">
        <v>39</v>
      </c>
      <c r="AJ5294">
        <f>INDEX($Q$5256:$Q$5383,AC5294+1)</f>
        <v/>
      </c>
      <c r="AK5294">
        <f>INDEX($R$5256:$R$5383,AD5294+1)</f>
        <v/>
      </c>
      <c r="AL5294">
        <f>INDEX($S$5256:$S$5383,AE5294+1)</f>
        <v/>
      </c>
      <c r="AM5294">
        <f>INDEX($T$5256:$T$5383,AF5294+1)</f>
        <v/>
      </c>
      <c r="AN5294">
        <f>INDEX($U$5256:$U$5383,AG5294+1)</f>
        <v/>
      </c>
      <c r="AO5294">
        <f>INDEX($V$5256:$V$5383,AH5294+1)</f>
        <v/>
      </c>
      <c r="AP5294">
        <f>INDEX($W$5256:$W$5383,AI5294+1)</f>
        <v/>
      </c>
      <c r="AQ5294">
        <f>IF(Q5294&gt;=AJ5294-0.01,1,0)</f>
        <v/>
      </c>
      <c r="AR5294">
        <f>IF(R5294&gt;=AK5294-0.01,1,0)</f>
        <v/>
      </c>
      <c r="AS5294">
        <f>IF(S5294&gt;=AL5294-0.01,1,0)</f>
        <v/>
      </c>
      <c r="AT5294">
        <f>IF(T5294&gt;=AM5294-0.01,1,0)</f>
        <v/>
      </c>
      <c r="AU5294">
        <f>IF(U5294&gt;=AN5294-0.01,1,0)</f>
        <v/>
      </c>
      <c r="AV5294">
        <f>IF(V5294&gt;=AO5294-0.01,1,0)</f>
        <v/>
      </c>
      <c r="AW5294">
        <f>IF(W5294&gt;=AP5294-0.01,1,0)</f>
        <v/>
      </c>
      <c r="AX5294">
        <f>AQ5294*AR5294*AS5294*AT5294*AU5294*AV5294*AW5294</f>
        <v/>
      </c>
    </row>
    <row r="5295">
      <c r="A5295" t="inlineStr"/>
      <c r="B5295">
        <f>Assumptions!$B$60</f>
        <v/>
      </c>
      <c r="C5295" t="n">
        <v>0</v>
      </c>
      <c r="D5295" t="n">
        <v>1</v>
      </c>
      <c r="E5295" t="n">
        <v>0</v>
      </c>
      <c r="F5295" t="n">
        <v>0</v>
      </c>
      <c r="G5295" t="n">
        <v>1</v>
      </c>
      <c r="H5295" t="n">
        <v>1</v>
      </c>
      <c r="I5295" t="n">
        <v>1</v>
      </c>
      <c r="J5295">
        <f>(1-C5295)*Assumptions!$B$41+(1-D5295)*Assumptions!$B$33+(1-E5295)*Assumptions!$B$32+(1-F5295)*Assumptions!$B$31+(1-G5295)*Assumptions!$B$30+(1-H5295)*Assumptions!$B$29+(1-I5295)*Assumptions!$B$28</f>
        <v/>
      </c>
      <c r="K5295">
        <f>C5295*$J$307+D5295*$F$307+E5295*$G$307+F5295*Assumptions!$B$14+G5295*Assumptions!$B$13+H5295*Assumptions!$B$12+I5295*Assumptions!$B$11+$O$307+$S$307+Assumptions!$B$9</f>
        <v/>
      </c>
      <c r="L5295">
        <f>B5295-J5295</f>
        <v/>
      </c>
      <c r="M5295">
        <f>IF(K5295&gt;0,IF(L5295/K5295&gt;=Assumptions!$B$37,1,0),0)</f>
        <v/>
      </c>
      <c r="N5295">
        <f>K5295+M5295*Assumptions!$B$153</f>
        <v/>
      </c>
      <c r="O5295">
        <f>L5295+M5295*Assumptions!$B$153*Assumptions!$B$37</f>
        <v/>
      </c>
      <c r="P5295">
        <f>IF(N5295&gt;0,O5295/N5295,0)</f>
        <v/>
      </c>
      <c r="Q5295">
        <f>IF(C5295=1,P5295*$J$307,Assumptions!$B$41)</f>
        <v/>
      </c>
      <c r="R5295">
        <f>IF(D5295=1,P5295*$F$307,Assumptions!$B$33)</f>
        <v/>
      </c>
      <c r="S5295">
        <f>IF(E5295=1,P5295*$G$307,Assumptions!$B$32)</f>
        <v/>
      </c>
      <c r="T5295">
        <f>IF(F5295=1,P5295*Assumptions!$B$14,Assumptions!$B$31)</f>
        <v/>
      </c>
      <c r="U5295">
        <f>IF(G5295=1,P5295*Assumptions!$B$13,Assumptions!$B$30)</f>
        <v/>
      </c>
      <c r="V5295">
        <f>IF(H5295=1,P5295*Assumptions!$B$12,Assumptions!$B$29)</f>
        <v/>
      </c>
      <c r="W5295">
        <f>IF(I5295=1,P5295*Assumptions!$B$11,Assumptions!$B$28)</f>
        <v/>
      </c>
      <c r="X5295">
        <f>P5295*($O$307+$S$307)</f>
        <v/>
      </c>
      <c r="Y5295">
        <f>P5295*Assumptions!$B$9</f>
        <v/>
      </c>
      <c r="Z5295">
        <f>IF(M5295=1,(P5295-Assumptions!$B$37)*Assumptions!$B$153,0)</f>
        <v/>
      </c>
      <c r="AA5295">
        <f>Q5295+R5295+S5295+T5295+U5295+V5295+W5295+X5295+Y5295+Z5295</f>
        <v/>
      </c>
      <c r="AB5295" t="n">
        <v>39</v>
      </c>
      <c r="AC5295" t="n">
        <v>103</v>
      </c>
      <c r="AD5295" t="n">
        <v>7</v>
      </c>
      <c r="AE5295" t="n">
        <v>55</v>
      </c>
      <c r="AF5295" t="n">
        <v>47</v>
      </c>
      <c r="AG5295" t="n">
        <v>35</v>
      </c>
      <c r="AH5295" t="n">
        <v>37</v>
      </c>
      <c r="AI5295" t="n">
        <v>38</v>
      </c>
      <c r="AJ5295">
        <f>INDEX($Q$5256:$Q$5383,AC5295+1)</f>
        <v/>
      </c>
      <c r="AK5295">
        <f>INDEX($R$5256:$R$5383,AD5295+1)</f>
        <v/>
      </c>
      <c r="AL5295">
        <f>INDEX($S$5256:$S$5383,AE5295+1)</f>
        <v/>
      </c>
      <c r="AM5295">
        <f>INDEX($T$5256:$T$5383,AF5295+1)</f>
        <v/>
      </c>
      <c r="AN5295">
        <f>INDEX($U$5256:$U$5383,AG5295+1)</f>
        <v/>
      </c>
      <c r="AO5295">
        <f>INDEX($V$5256:$V$5383,AH5295+1)</f>
        <v/>
      </c>
      <c r="AP5295">
        <f>INDEX($W$5256:$W$5383,AI5295+1)</f>
        <v/>
      </c>
      <c r="AQ5295">
        <f>IF(Q5295&gt;=AJ5295-0.01,1,0)</f>
        <v/>
      </c>
      <c r="AR5295">
        <f>IF(R5295&gt;=AK5295-0.01,1,0)</f>
        <v/>
      </c>
      <c r="AS5295">
        <f>IF(S5295&gt;=AL5295-0.01,1,0)</f>
        <v/>
      </c>
      <c r="AT5295">
        <f>IF(T5295&gt;=AM5295-0.01,1,0)</f>
        <v/>
      </c>
      <c r="AU5295">
        <f>IF(U5295&gt;=AN5295-0.01,1,0)</f>
        <v/>
      </c>
      <c r="AV5295">
        <f>IF(V5295&gt;=AO5295-0.01,1,0)</f>
        <v/>
      </c>
      <c r="AW5295">
        <f>IF(W5295&gt;=AP5295-0.01,1,0)</f>
        <v/>
      </c>
      <c r="AX5295">
        <f>AQ5295*AR5295*AS5295*AT5295*AU5295*AV5295*AW5295</f>
        <v/>
      </c>
    </row>
    <row r="5296">
      <c r="A5296" t="inlineStr"/>
      <c r="B5296">
        <f>Assumptions!$B$60</f>
        <v/>
      </c>
      <c r="C5296" t="n">
        <v>0</v>
      </c>
      <c r="D5296" t="n">
        <v>1</v>
      </c>
      <c r="E5296" t="n">
        <v>0</v>
      </c>
      <c r="F5296" t="n">
        <v>1</v>
      </c>
      <c r="G5296" t="n">
        <v>0</v>
      </c>
      <c r="H5296" t="n">
        <v>0</v>
      </c>
      <c r="I5296" t="n">
        <v>0</v>
      </c>
      <c r="J5296">
        <f>(1-C5296)*Assumptions!$B$41+(1-D5296)*Assumptions!$B$33+(1-E5296)*Assumptions!$B$32+(1-F5296)*Assumptions!$B$31+(1-G5296)*Assumptions!$B$30+(1-H5296)*Assumptions!$B$29+(1-I5296)*Assumptions!$B$28</f>
        <v/>
      </c>
      <c r="K5296">
        <f>C5296*$J$307+D5296*$F$307+E5296*$G$307+F5296*Assumptions!$B$14+G5296*Assumptions!$B$13+H5296*Assumptions!$B$12+I5296*Assumptions!$B$11+$O$307+$S$307+Assumptions!$B$9</f>
        <v/>
      </c>
      <c r="L5296">
        <f>B5296-J5296</f>
        <v/>
      </c>
      <c r="M5296">
        <f>IF(K5296&gt;0,IF(L5296/K5296&gt;=Assumptions!$B$37,1,0),0)</f>
        <v/>
      </c>
      <c r="N5296">
        <f>K5296+M5296*Assumptions!$B$153</f>
        <v/>
      </c>
      <c r="O5296">
        <f>L5296+M5296*Assumptions!$B$153*Assumptions!$B$37</f>
        <v/>
      </c>
      <c r="P5296">
        <f>IF(N5296&gt;0,O5296/N5296,0)</f>
        <v/>
      </c>
      <c r="Q5296">
        <f>IF(C5296=1,P5296*$J$307,Assumptions!$B$41)</f>
        <v/>
      </c>
      <c r="R5296">
        <f>IF(D5296=1,P5296*$F$307,Assumptions!$B$33)</f>
        <v/>
      </c>
      <c r="S5296">
        <f>IF(E5296=1,P5296*$G$307,Assumptions!$B$32)</f>
        <v/>
      </c>
      <c r="T5296">
        <f>IF(F5296=1,P5296*Assumptions!$B$14,Assumptions!$B$31)</f>
        <v/>
      </c>
      <c r="U5296">
        <f>IF(G5296=1,P5296*Assumptions!$B$13,Assumptions!$B$30)</f>
        <v/>
      </c>
      <c r="V5296">
        <f>IF(H5296=1,P5296*Assumptions!$B$12,Assumptions!$B$29)</f>
        <v/>
      </c>
      <c r="W5296">
        <f>IF(I5296=1,P5296*Assumptions!$B$11,Assumptions!$B$28)</f>
        <v/>
      </c>
      <c r="X5296">
        <f>P5296*($O$307+$S$307)</f>
        <v/>
      </c>
      <c r="Y5296">
        <f>P5296*Assumptions!$B$9</f>
        <v/>
      </c>
      <c r="Z5296">
        <f>IF(M5296=1,(P5296-Assumptions!$B$37)*Assumptions!$B$153,0)</f>
        <v/>
      </c>
      <c r="AA5296">
        <f>Q5296+R5296+S5296+T5296+U5296+V5296+W5296+X5296+Y5296+Z5296</f>
        <v/>
      </c>
      <c r="AB5296" t="n">
        <v>40</v>
      </c>
      <c r="AC5296" t="n">
        <v>104</v>
      </c>
      <c r="AD5296" t="n">
        <v>8</v>
      </c>
      <c r="AE5296" t="n">
        <v>56</v>
      </c>
      <c r="AF5296" t="n">
        <v>32</v>
      </c>
      <c r="AG5296" t="n">
        <v>44</v>
      </c>
      <c r="AH5296" t="n">
        <v>42</v>
      </c>
      <c r="AI5296" t="n">
        <v>41</v>
      </c>
      <c r="AJ5296">
        <f>INDEX($Q$5256:$Q$5383,AC5296+1)</f>
        <v/>
      </c>
      <c r="AK5296">
        <f>INDEX($R$5256:$R$5383,AD5296+1)</f>
        <v/>
      </c>
      <c r="AL5296">
        <f>INDEX($S$5256:$S$5383,AE5296+1)</f>
        <v/>
      </c>
      <c r="AM5296">
        <f>INDEX($T$5256:$T$5383,AF5296+1)</f>
        <v/>
      </c>
      <c r="AN5296">
        <f>INDEX($U$5256:$U$5383,AG5296+1)</f>
        <v/>
      </c>
      <c r="AO5296">
        <f>INDEX($V$5256:$V$5383,AH5296+1)</f>
        <v/>
      </c>
      <c r="AP5296">
        <f>INDEX($W$5256:$W$5383,AI5296+1)</f>
        <v/>
      </c>
      <c r="AQ5296">
        <f>IF(Q5296&gt;=AJ5296-0.01,1,0)</f>
        <v/>
      </c>
      <c r="AR5296">
        <f>IF(R5296&gt;=AK5296-0.01,1,0)</f>
        <v/>
      </c>
      <c r="AS5296">
        <f>IF(S5296&gt;=AL5296-0.01,1,0)</f>
        <v/>
      </c>
      <c r="AT5296">
        <f>IF(T5296&gt;=AM5296-0.01,1,0)</f>
        <v/>
      </c>
      <c r="AU5296">
        <f>IF(U5296&gt;=AN5296-0.01,1,0)</f>
        <v/>
      </c>
      <c r="AV5296">
        <f>IF(V5296&gt;=AO5296-0.01,1,0)</f>
        <v/>
      </c>
      <c r="AW5296">
        <f>IF(W5296&gt;=AP5296-0.01,1,0)</f>
        <v/>
      </c>
      <c r="AX5296">
        <f>AQ5296*AR5296*AS5296*AT5296*AU5296*AV5296*AW5296</f>
        <v/>
      </c>
    </row>
    <row r="5297">
      <c r="A5297" t="inlineStr"/>
      <c r="B5297">
        <f>Assumptions!$B$60</f>
        <v/>
      </c>
      <c r="C5297" t="n">
        <v>0</v>
      </c>
      <c r="D5297" t="n">
        <v>1</v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  <c r="J5297">
        <f>(1-C5297)*Assumptions!$B$41+(1-D5297)*Assumptions!$B$33+(1-E5297)*Assumptions!$B$32+(1-F5297)*Assumptions!$B$31+(1-G5297)*Assumptions!$B$30+(1-H5297)*Assumptions!$B$29+(1-I5297)*Assumptions!$B$28</f>
        <v/>
      </c>
      <c r="K5297">
        <f>C5297*$J$307+D5297*$F$307+E5297*$G$307+F5297*Assumptions!$B$14+G5297*Assumptions!$B$13+H5297*Assumptions!$B$12+I5297*Assumptions!$B$11+$O$307+$S$307+Assumptions!$B$9</f>
        <v/>
      </c>
      <c r="L5297">
        <f>B5297-J5297</f>
        <v/>
      </c>
      <c r="M5297">
        <f>IF(K5297&gt;0,IF(L5297/K5297&gt;=Assumptions!$B$37,1,0),0)</f>
        <v/>
      </c>
      <c r="N5297">
        <f>K5297+M5297*Assumptions!$B$153</f>
        <v/>
      </c>
      <c r="O5297">
        <f>L5297+M5297*Assumptions!$B$153*Assumptions!$B$37</f>
        <v/>
      </c>
      <c r="P5297">
        <f>IF(N5297&gt;0,O5297/N5297,0)</f>
        <v/>
      </c>
      <c r="Q5297">
        <f>IF(C5297=1,P5297*$J$307,Assumptions!$B$41)</f>
        <v/>
      </c>
      <c r="R5297">
        <f>IF(D5297=1,P5297*$F$307,Assumptions!$B$33)</f>
        <v/>
      </c>
      <c r="S5297">
        <f>IF(E5297=1,P5297*$G$307,Assumptions!$B$32)</f>
        <v/>
      </c>
      <c r="T5297">
        <f>IF(F5297=1,P5297*Assumptions!$B$14,Assumptions!$B$31)</f>
        <v/>
      </c>
      <c r="U5297">
        <f>IF(G5297=1,P5297*Assumptions!$B$13,Assumptions!$B$30)</f>
        <v/>
      </c>
      <c r="V5297">
        <f>IF(H5297=1,P5297*Assumptions!$B$12,Assumptions!$B$29)</f>
        <v/>
      </c>
      <c r="W5297">
        <f>IF(I5297=1,P5297*Assumptions!$B$11,Assumptions!$B$28)</f>
        <v/>
      </c>
      <c r="X5297">
        <f>P5297*($O$307+$S$307)</f>
        <v/>
      </c>
      <c r="Y5297">
        <f>P5297*Assumptions!$B$9</f>
        <v/>
      </c>
      <c r="Z5297">
        <f>IF(M5297=1,(P5297-Assumptions!$B$37)*Assumptions!$B$153,0)</f>
        <v/>
      </c>
      <c r="AA5297">
        <f>Q5297+R5297+S5297+T5297+U5297+V5297+W5297+X5297+Y5297+Z5297</f>
        <v/>
      </c>
      <c r="AB5297" t="n">
        <v>41</v>
      </c>
      <c r="AC5297" t="n">
        <v>105</v>
      </c>
      <c r="AD5297" t="n">
        <v>9</v>
      </c>
      <c r="AE5297" t="n">
        <v>57</v>
      </c>
      <c r="AF5297" t="n">
        <v>33</v>
      </c>
      <c r="AG5297" t="n">
        <v>45</v>
      </c>
      <c r="AH5297" t="n">
        <v>43</v>
      </c>
      <c r="AI5297" t="n">
        <v>40</v>
      </c>
      <c r="AJ5297">
        <f>INDEX($Q$5256:$Q$5383,AC5297+1)</f>
        <v/>
      </c>
      <c r="AK5297">
        <f>INDEX($R$5256:$R$5383,AD5297+1)</f>
        <v/>
      </c>
      <c r="AL5297">
        <f>INDEX($S$5256:$S$5383,AE5297+1)</f>
        <v/>
      </c>
      <c r="AM5297">
        <f>INDEX($T$5256:$T$5383,AF5297+1)</f>
        <v/>
      </c>
      <c r="AN5297">
        <f>INDEX($U$5256:$U$5383,AG5297+1)</f>
        <v/>
      </c>
      <c r="AO5297">
        <f>INDEX($V$5256:$V$5383,AH5297+1)</f>
        <v/>
      </c>
      <c r="AP5297">
        <f>INDEX($W$5256:$W$5383,AI5297+1)</f>
        <v/>
      </c>
      <c r="AQ5297">
        <f>IF(Q5297&gt;=AJ5297-0.01,1,0)</f>
        <v/>
      </c>
      <c r="AR5297">
        <f>IF(R5297&gt;=AK5297-0.01,1,0)</f>
        <v/>
      </c>
      <c r="AS5297">
        <f>IF(S5297&gt;=AL5297-0.01,1,0)</f>
        <v/>
      </c>
      <c r="AT5297">
        <f>IF(T5297&gt;=AM5297-0.01,1,0)</f>
        <v/>
      </c>
      <c r="AU5297">
        <f>IF(U5297&gt;=AN5297-0.01,1,0)</f>
        <v/>
      </c>
      <c r="AV5297">
        <f>IF(V5297&gt;=AO5297-0.01,1,0)</f>
        <v/>
      </c>
      <c r="AW5297">
        <f>IF(W5297&gt;=AP5297-0.01,1,0)</f>
        <v/>
      </c>
      <c r="AX5297">
        <f>AQ5297*AR5297*AS5297*AT5297*AU5297*AV5297*AW5297</f>
        <v/>
      </c>
    </row>
    <row r="5298">
      <c r="A5298" t="inlineStr"/>
      <c r="B5298">
        <f>Assumptions!$B$60</f>
        <v/>
      </c>
      <c r="C5298" t="n">
        <v>0</v>
      </c>
      <c r="D5298" t="n">
        <v>1</v>
      </c>
      <c r="E5298" t="n">
        <v>0</v>
      </c>
      <c r="F5298" t="n">
        <v>1</v>
      </c>
      <c r="G5298" t="n">
        <v>0</v>
      </c>
      <c r="H5298" t="n">
        <v>1</v>
      </c>
      <c r="I5298" t="n">
        <v>0</v>
      </c>
      <c r="J5298">
        <f>(1-C5298)*Assumptions!$B$41+(1-D5298)*Assumptions!$B$33+(1-E5298)*Assumptions!$B$32+(1-F5298)*Assumptions!$B$31+(1-G5298)*Assumptions!$B$30+(1-H5298)*Assumptions!$B$29+(1-I5298)*Assumptions!$B$28</f>
        <v/>
      </c>
      <c r="K5298">
        <f>C5298*$J$307+D5298*$F$307+E5298*$G$307+F5298*Assumptions!$B$14+G5298*Assumptions!$B$13+H5298*Assumptions!$B$12+I5298*Assumptions!$B$11+$O$307+$S$307+Assumptions!$B$9</f>
        <v/>
      </c>
      <c r="L5298">
        <f>B5298-J5298</f>
        <v/>
      </c>
      <c r="M5298">
        <f>IF(K5298&gt;0,IF(L5298/K5298&gt;=Assumptions!$B$37,1,0),0)</f>
        <v/>
      </c>
      <c r="N5298">
        <f>K5298+M5298*Assumptions!$B$153</f>
        <v/>
      </c>
      <c r="O5298">
        <f>L5298+M5298*Assumptions!$B$153*Assumptions!$B$37</f>
        <v/>
      </c>
      <c r="P5298">
        <f>IF(N5298&gt;0,O5298/N5298,0)</f>
        <v/>
      </c>
      <c r="Q5298">
        <f>IF(C5298=1,P5298*$J$307,Assumptions!$B$41)</f>
        <v/>
      </c>
      <c r="R5298">
        <f>IF(D5298=1,P5298*$F$307,Assumptions!$B$33)</f>
        <v/>
      </c>
      <c r="S5298">
        <f>IF(E5298=1,P5298*$G$307,Assumptions!$B$32)</f>
        <v/>
      </c>
      <c r="T5298">
        <f>IF(F5298=1,P5298*Assumptions!$B$14,Assumptions!$B$31)</f>
        <v/>
      </c>
      <c r="U5298">
        <f>IF(G5298=1,P5298*Assumptions!$B$13,Assumptions!$B$30)</f>
        <v/>
      </c>
      <c r="V5298">
        <f>IF(H5298=1,P5298*Assumptions!$B$12,Assumptions!$B$29)</f>
        <v/>
      </c>
      <c r="W5298">
        <f>IF(I5298=1,P5298*Assumptions!$B$11,Assumptions!$B$28)</f>
        <v/>
      </c>
      <c r="X5298">
        <f>P5298*($O$307+$S$307)</f>
        <v/>
      </c>
      <c r="Y5298">
        <f>P5298*Assumptions!$B$9</f>
        <v/>
      </c>
      <c r="Z5298">
        <f>IF(M5298=1,(P5298-Assumptions!$B$37)*Assumptions!$B$153,0)</f>
        <v/>
      </c>
      <c r="AA5298">
        <f>Q5298+R5298+S5298+T5298+U5298+V5298+W5298+X5298+Y5298+Z5298</f>
        <v/>
      </c>
      <c r="AB5298" t="n">
        <v>42</v>
      </c>
      <c r="AC5298" t="n">
        <v>106</v>
      </c>
      <c r="AD5298" t="n">
        <v>10</v>
      </c>
      <c r="AE5298" t="n">
        <v>58</v>
      </c>
      <c r="AF5298" t="n">
        <v>34</v>
      </c>
      <c r="AG5298" t="n">
        <v>46</v>
      </c>
      <c r="AH5298" t="n">
        <v>40</v>
      </c>
      <c r="AI5298" t="n">
        <v>43</v>
      </c>
      <c r="AJ5298">
        <f>INDEX($Q$5256:$Q$5383,AC5298+1)</f>
        <v/>
      </c>
      <c r="AK5298">
        <f>INDEX($R$5256:$R$5383,AD5298+1)</f>
        <v/>
      </c>
      <c r="AL5298">
        <f>INDEX($S$5256:$S$5383,AE5298+1)</f>
        <v/>
      </c>
      <c r="AM5298">
        <f>INDEX($T$5256:$T$5383,AF5298+1)</f>
        <v/>
      </c>
      <c r="AN5298">
        <f>INDEX($U$5256:$U$5383,AG5298+1)</f>
        <v/>
      </c>
      <c r="AO5298">
        <f>INDEX($V$5256:$V$5383,AH5298+1)</f>
        <v/>
      </c>
      <c r="AP5298">
        <f>INDEX($W$5256:$W$5383,AI5298+1)</f>
        <v/>
      </c>
      <c r="AQ5298">
        <f>IF(Q5298&gt;=AJ5298-0.01,1,0)</f>
        <v/>
      </c>
      <c r="AR5298">
        <f>IF(R5298&gt;=AK5298-0.01,1,0)</f>
        <v/>
      </c>
      <c r="AS5298">
        <f>IF(S5298&gt;=AL5298-0.01,1,0)</f>
        <v/>
      </c>
      <c r="AT5298">
        <f>IF(T5298&gt;=AM5298-0.01,1,0)</f>
        <v/>
      </c>
      <c r="AU5298">
        <f>IF(U5298&gt;=AN5298-0.01,1,0)</f>
        <v/>
      </c>
      <c r="AV5298">
        <f>IF(V5298&gt;=AO5298-0.01,1,0)</f>
        <v/>
      </c>
      <c r="AW5298">
        <f>IF(W5298&gt;=AP5298-0.01,1,0)</f>
        <v/>
      </c>
      <c r="AX5298">
        <f>AQ5298*AR5298*AS5298*AT5298*AU5298*AV5298*AW5298</f>
        <v/>
      </c>
    </row>
    <row r="5299">
      <c r="A5299" t="inlineStr"/>
      <c r="B5299">
        <f>Assumptions!$B$60</f>
        <v/>
      </c>
      <c r="C5299" t="n">
        <v>0</v>
      </c>
      <c r="D5299" t="n">
        <v>1</v>
      </c>
      <c r="E5299" t="n">
        <v>0</v>
      </c>
      <c r="F5299" t="n">
        <v>1</v>
      </c>
      <c r="G5299" t="n">
        <v>0</v>
      </c>
      <c r="H5299" t="n">
        <v>1</v>
      </c>
      <c r="I5299" t="n">
        <v>1</v>
      </c>
      <c r="J5299">
        <f>(1-C5299)*Assumptions!$B$41+(1-D5299)*Assumptions!$B$33+(1-E5299)*Assumptions!$B$32+(1-F5299)*Assumptions!$B$31+(1-G5299)*Assumptions!$B$30+(1-H5299)*Assumptions!$B$29+(1-I5299)*Assumptions!$B$28</f>
        <v/>
      </c>
      <c r="K5299">
        <f>C5299*$J$307+D5299*$F$307+E5299*$G$307+F5299*Assumptions!$B$14+G5299*Assumptions!$B$13+H5299*Assumptions!$B$12+I5299*Assumptions!$B$11+$O$307+$S$307+Assumptions!$B$9</f>
        <v/>
      </c>
      <c r="L5299">
        <f>B5299-J5299</f>
        <v/>
      </c>
      <c r="M5299">
        <f>IF(K5299&gt;0,IF(L5299/K5299&gt;=Assumptions!$B$37,1,0),0)</f>
        <v/>
      </c>
      <c r="N5299">
        <f>K5299+M5299*Assumptions!$B$153</f>
        <v/>
      </c>
      <c r="O5299">
        <f>L5299+M5299*Assumptions!$B$153*Assumptions!$B$37</f>
        <v/>
      </c>
      <c r="P5299">
        <f>IF(N5299&gt;0,O5299/N5299,0)</f>
        <v/>
      </c>
      <c r="Q5299">
        <f>IF(C5299=1,P5299*$J$307,Assumptions!$B$41)</f>
        <v/>
      </c>
      <c r="R5299">
        <f>IF(D5299=1,P5299*$F$307,Assumptions!$B$33)</f>
        <v/>
      </c>
      <c r="S5299">
        <f>IF(E5299=1,P5299*$G$307,Assumptions!$B$32)</f>
        <v/>
      </c>
      <c r="T5299">
        <f>IF(F5299=1,P5299*Assumptions!$B$14,Assumptions!$B$31)</f>
        <v/>
      </c>
      <c r="U5299">
        <f>IF(G5299=1,P5299*Assumptions!$B$13,Assumptions!$B$30)</f>
        <v/>
      </c>
      <c r="V5299">
        <f>IF(H5299=1,P5299*Assumptions!$B$12,Assumptions!$B$29)</f>
        <v/>
      </c>
      <c r="W5299">
        <f>IF(I5299=1,P5299*Assumptions!$B$11,Assumptions!$B$28)</f>
        <v/>
      </c>
      <c r="X5299">
        <f>P5299*($O$307+$S$307)</f>
        <v/>
      </c>
      <c r="Y5299">
        <f>P5299*Assumptions!$B$9</f>
        <v/>
      </c>
      <c r="Z5299">
        <f>IF(M5299=1,(P5299-Assumptions!$B$37)*Assumptions!$B$153,0)</f>
        <v/>
      </c>
      <c r="AA5299">
        <f>Q5299+R5299+S5299+T5299+U5299+V5299+W5299+X5299+Y5299+Z5299</f>
        <v/>
      </c>
      <c r="AB5299" t="n">
        <v>43</v>
      </c>
      <c r="AC5299" t="n">
        <v>107</v>
      </c>
      <c r="AD5299" t="n">
        <v>11</v>
      </c>
      <c r="AE5299" t="n">
        <v>59</v>
      </c>
      <c r="AF5299" t="n">
        <v>35</v>
      </c>
      <c r="AG5299" t="n">
        <v>47</v>
      </c>
      <c r="AH5299" t="n">
        <v>41</v>
      </c>
      <c r="AI5299" t="n">
        <v>42</v>
      </c>
      <c r="AJ5299">
        <f>INDEX($Q$5256:$Q$5383,AC5299+1)</f>
        <v/>
      </c>
      <c r="AK5299">
        <f>INDEX($R$5256:$R$5383,AD5299+1)</f>
        <v/>
      </c>
      <c r="AL5299">
        <f>INDEX($S$5256:$S$5383,AE5299+1)</f>
        <v/>
      </c>
      <c r="AM5299">
        <f>INDEX($T$5256:$T$5383,AF5299+1)</f>
        <v/>
      </c>
      <c r="AN5299">
        <f>INDEX($U$5256:$U$5383,AG5299+1)</f>
        <v/>
      </c>
      <c r="AO5299">
        <f>INDEX($V$5256:$V$5383,AH5299+1)</f>
        <v/>
      </c>
      <c r="AP5299">
        <f>INDEX($W$5256:$W$5383,AI5299+1)</f>
        <v/>
      </c>
      <c r="AQ5299">
        <f>IF(Q5299&gt;=AJ5299-0.01,1,0)</f>
        <v/>
      </c>
      <c r="AR5299">
        <f>IF(R5299&gt;=AK5299-0.01,1,0)</f>
        <v/>
      </c>
      <c r="AS5299">
        <f>IF(S5299&gt;=AL5299-0.01,1,0)</f>
        <v/>
      </c>
      <c r="AT5299">
        <f>IF(T5299&gt;=AM5299-0.01,1,0)</f>
        <v/>
      </c>
      <c r="AU5299">
        <f>IF(U5299&gt;=AN5299-0.01,1,0)</f>
        <v/>
      </c>
      <c r="AV5299">
        <f>IF(V5299&gt;=AO5299-0.01,1,0)</f>
        <v/>
      </c>
      <c r="AW5299">
        <f>IF(W5299&gt;=AP5299-0.01,1,0)</f>
        <v/>
      </c>
      <c r="AX5299">
        <f>AQ5299*AR5299*AS5299*AT5299*AU5299*AV5299*AW5299</f>
        <v/>
      </c>
    </row>
    <row r="5300">
      <c r="A5300" t="inlineStr"/>
      <c r="B5300">
        <f>Assumptions!$B$60</f>
        <v/>
      </c>
      <c r="C5300" t="n">
        <v>0</v>
      </c>
      <c r="D5300" t="n">
        <v>1</v>
      </c>
      <c r="E5300" t="n">
        <v>0</v>
      </c>
      <c r="F5300" t="n">
        <v>1</v>
      </c>
      <c r="G5300" t="n">
        <v>1</v>
      </c>
      <c r="H5300" t="n">
        <v>0</v>
      </c>
      <c r="I5300" t="n">
        <v>0</v>
      </c>
      <c r="J5300">
        <f>(1-C5300)*Assumptions!$B$41+(1-D5300)*Assumptions!$B$33+(1-E5300)*Assumptions!$B$32+(1-F5300)*Assumptions!$B$31+(1-G5300)*Assumptions!$B$30+(1-H5300)*Assumptions!$B$29+(1-I5300)*Assumptions!$B$28</f>
        <v/>
      </c>
      <c r="K5300">
        <f>C5300*$J$307+D5300*$F$307+E5300*$G$307+F5300*Assumptions!$B$14+G5300*Assumptions!$B$13+H5300*Assumptions!$B$12+I5300*Assumptions!$B$11+$O$307+$S$307+Assumptions!$B$9</f>
        <v/>
      </c>
      <c r="L5300">
        <f>B5300-J5300</f>
        <v/>
      </c>
      <c r="M5300">
        <f>IF(K5300&gt;0,IF(L5300/K5300&gt;=Assumptions!$B$37,1,0),0)</f>
        <v/>
      </c>
      <c r="N5300">
        <f>K5300+M5300*Assumptions!$B$153</f>
        <v/>
      </c>
      <c r="O5300">
        <f>L5300+M5300*Assumptions!$B$153*Assumptions!$B$37</f>
        <v/>
      </c>
      <c r="P5300">
        <f>IF(N5300&gt;0,O5300/N5300,0)</f>
        <v/>
      </c>
      <c r="Q5300">
        <f>IF(C5300=1,P5300*$J$307,Assumptions!$B$41)</f>
        <v/>
      </c>
      <c r="R5300">
        <f>IF(D5300=1,P5300*$F$307,Assumptions!$B$33)</f>
        <v/>
      </c>
      <c r="S5300">
        <f>IF(E5300=1,P5300*$G$307,Assumptions!$B$32)</f>
        <v/>
      </c>
      <c r="T5300">
        <f>IF(F5300=1,P5300*Assumptions!$B$14,Assumptions!$B$31)</f>
        <v/>
      </c>
      <c r="U5300">
        <f>IF(G5300=1,P5300*Assumptions!$B$13,Assumptions!$B$30)</f>
        <v/>
      </c>
      <c r="V5300">
        <f>IF(H5300=1,P5300*Assumptions!$B$12,Assumptions!$B$29)</f>
        <v/>
      </c>
      <c r="W5300">
        <f>IF(I5300=1,P5300*Assumptions!$B$11,Assumptions!$B$28)</f>
        <v/>
      </c>
      <c r="X5300">
        <f>P5300*($O$307+$S$307)</f>
        <v/>
      </c>
      <c r="Y5300">
        <f>P5300*Assumptions!$B$9</f>
        <v/>
      </c>
      <c r="Z5300">
        <f>IF(M5300=1,(P5300-Assumptions!$B$37)*Assumptions!$B$153,0)</f>
        <v/>
      </c>
      <c r="AA5300">
        <f>Q5300+R5300+S5300+T5300+U5300+V5300+W5300+X5300+Y5300+Z5300</f>
        <v/>
      </c>
      <c r="AB5300" t="n">
        <v>44</v>
      </c>
      <c r="AC5300" t="n">
        <v>108</v>
      </c>
      <c r="AD5300" t="n">
        <v>12</v>
      </c>
      <c r="AE5300" t="n">
        <v>60</v>
      </c>
      <c r="AF5300" t="n">
        <v>36</v>
      </c>
      <c r="AG5300" t="n">
        <v>40</v>
      </c>
      <c r="AH5300" t="n">
        <v>46</v>
      </c>
      <c r="AI5300" t="n">
        <v>45</v>
      </c>
      <c r="AJ5300">
        <f>INDEX($Q$5256:$Q$5383,AC5300+1)</f>
        <v/>
      </c>
      <c r="AK5300">
        <f>INDEX($R$5256:$R$5383,AD5300+1)</f>
        <v/>
      </c>
      <c r="AL5300">
        <f>INDEX($S$5256:$S$5383,AE5300+1)</f>
        <v/>
      </c>
      <c r="AM5300">
        <f>INDEX($T$5256:$T$5383,AF5300+1)</f>
        <v/>
      </c>
      <c r="AN5300">
        <f>INDEX($U$5256:$U$5383,AG5300+1)</f>
        <v/>
      </c>
      <c r="AO5300">
        <f>INDEX($V$5256:$V$5383,AH5300+1)</f>
        <v/>
      </c>
      <c r="AP5300">
        <f>INDEX($W$5256:$W$5383,AI5300+1)</f>
        <v/>
      </c>
      <c r="AQ5300">
        <f>IF(Q5300&gt;=AJ5300-0.01,1,0)</f>
        <v/>
      </c>
      <c r="AR5300">
        <f>IF(R5300&gt;=AK5300-0.01,1,0)</f>
        <v/>
      </c>
      <c r="AS5300">
        <f>IF(S5300&gt;=AL5300-0.01,1,0)</f>
        <v/>
      </c>
      <c r="AT5300">
        <f>IF(T5300&gt;=AM5300-0.01,1,0)</f>
        <v/>
      </c>
      <c r="AU5300">
        <f>IF(U5300&gt;=AN5300-0.01,1,0)</f>
        <v/>
      </c>
      <c r="AV5300">
        <f>IF(V5300&gt;=AO5300-0.01,1,0)</f>
        <v/>
      </c>
      <c r="AW5300">
        <f>IF(W5300&gt;=AP5300-0.01,1,0)</f>
        <v/>
      </c>
      <c r="AX5300">
        <f>AQ5300*AR5300*AS5300*AT5300*AU5300*AV5300*AW5300</f>
        <v/>
      </c>
    </row>
    <row r="5301">
      <c r="A5301" t="inlineStr"/>
      <c r="B5301">
        <f>Assumptions!$B$60</f>
        <v/>
      </c>
      <c r="C5301" t="n">
        <v>0</v>
      </c>
      <c r="D5301" t="n">
        <v>1</v>
      </c>
      <c r="E5301" t="n">
        <v>0</v>
      </c>
      <c r="F5301" t="n">
        <v>1</v>
      </c>
      <c r="G5301" t="n">
        <v>1</v>
      </c>
      <c r="H5301" t="n">
        <v>0</v>
      </c>
      <c r="I5301" t="n">
        <v>1</v>
      </c>
      <c r="J5301">
        <f>(1-C5301)*Assumptions!$B$41+(1-D5301)*Assumptions!$B$33+(1-E5301)*Assumptions!$B$32+(1-F5301)*Assumptions!$B$31+(1-G5301)*Assumptions!$B$30+(1-H5301)*Assumptions!$B$29+(1-I5301)*Assumptions!$B$28</f>
        <v/>
      </c>
      <c r="K5301">
        <f>C5301*$J$307+D5301*$F$307+E5301*$G$307+F5301*Assumptions!$B$14+G5301*Assumptions!$B$13+H5301*Assumptions!$B$12+I5301*Assumptions!$B$11+$O$307+$S$307+Assumptions!$B$9</f>
        <v/>
      </c>
      <c r="L5301">
        <f>B5301-J5301</f>
        <v/>
      </c>
      <c r="M5301">
        <f>IF(K5301&gt;0,IF(L5301/K5301&gt;=Assumptions!$B$37,1,0),0)</f>
        <v/>
      </c>
      <c r="N5301">
        <f>K5301+M5301*Assumptions!$B$153</f>
        <v/>
      </c>
      <c r="O5301">
        <f>L5301+M5301*Assumptions!$B$153*Assumptions!$B$37</f>
        <v/>
      </c>
      <c r="P5301">
        <f>IF(N5301&gt;0,O5301/N5301,0)</f>
        <v/>
      </c>
      <c r="Q5301">
        <f>IF(C5301=1,P5301*$J$307,Assumptions!$B$41)</f>
        <v/>
      </c>
      <c r="R5301">
        <f>IF(D5301=1,P5301*$F$307,Assumptions!$B$33)</f>
        <v/>
      </c>
      <c r="S5301">
        <f>IF(E5301=1,P5301*$G$307,Assumptions!$B$32)</f>
        <v/>
      </c>
      <c r="T5301">
        <f>IF(F5301=1,P5301*Assumptions!$B$14,Assumptions!$B$31)</f>
        <v/>
      </c>
      <c r="U5301">
        <f>IF(G5301=1,P5301*Assumptions!$B$13,Assumptions!$B$30)</f>
        <v/>
      </c>
      <c r="V5301">
        <f>IF(H5301=1,P5301*Assumptions!$B$12,Assumptions!$B$29)</f>
        <v/>
      </c>
      <c r="W5301">
        <f>IF(I5301=1,P5301*Assumptions!$B$11,Assumptions!$B$28)</f>
        <v/>
      </c>
      <c r="X5301">
        <f>P5301*($O$307+$S$307)</f>
        <v/>
      </c>
      <c r="Y5301">
        <f>P5301*Assumptions!$B$9</f>
        <v/>
      </c>
      <c r="Z5301">
        <f>IF(M5301=1,(P5301-Assumptions!$B$37)*Assumptions!$B$153,0)</f>
        <v/>
      </c>
      <c r="AA5301">
        <f>Q5301+R5301+S5301+T5301+U5301+V5301+W5301+X5301+Y5301+Z5301</f>
        <v/>
      </c>
      <c r="AB5301" t="n">
        <v>45</v>
      </c>
      <c r="AC5301" t="n">
        <v>109</v>
      </c>
      <c r="AD5301" t="n">
        <v>13</v>
      </c>
      <c r="AE5301" t="n">
        <v>61</v>
      </c>
      <c r="AF5301" t="n">
        <v>37</v>
      </c>
      <c r="AG5301" t="n">
        <v>41</v>
      </c>
      <c r="AH5301" t="n">
        <v>47</v>
      </c>
      <c r="AI5301" t="n">
        <v>44</v>
      </c>
      <c r="AJ5301">
        <f>INDEX($Q$5256:$Q$5383,AC5301+1)</f>
        <v/>
      </c>
      <c r="AK5301">
        <f>INDEX($R$5256:$R$5383,AD5301+1)</f>
        <v/>
      </c>
      <c r="AL5301">
        <f>INDEX($S$5256:$S$5383,AE5301+1)</f>
        <v/>
      </c>
      <c r="AM5301">
        <f>INDEX($T$5256:$T$5383,AF5301+1)</f>
        <v/>
      </c>
      <c r="AN5301">
        <f>INDEX($U$5256:$U$5383,AG5301+1)</f>
        <v/>
      </c>
      <c r="AO5301">
        <f>INDEX($V$5256:$V$5383,AH5301+1)</f>
        <v/>
      </c>
      <c r="AP5301">
        <f>INDEX($W$5256:$W$5383,AI5301+1)</f>
        <v/>
      </c>
      <c r="AQ5301">
        <f>IF(Q5301&gt;=AJ5301-0.01,1,0)</f>
        <v/>
      </c>
      <c r="AR5301">
        <f>IF(R5301&gt;=AK5301-0.01,1,0)</f>
        <v/>
      </c>
      <c r="AS5301">
        <f>IF(S5301&gt;=AL5301-0.01,1,0)</f>
        <v/>
      </c>
      <c r="AT5301">
        <f>IF(T5301&gt;=AM5301-0.01,1,0)</f>
        <v/>
      </c>
      <c r="AU5301">
        <f>IF(U5301&gt;=AN5301-0.01,1,0)</f>
        <v/>
      </c>
      <c r="AV5301">
        <f>IF(V5301&gt;=AO5301-0.01,1,0)</f>
        <v/>
      </c>
      <c r="AW5301">
        <f>IF(W5301&gt;=AP5301-0.01,1,0)</f>
        <v/>
      </c>
      <c r="AX5301">
        <f>AQ5301*AR5301*AS5301*AT5301*AU5301*AV5301*AW5301</f>
        <v/>
      </c>
    </row>
    <row r="5302">
      <c r="A5302" t="inlineStr"/>
      <c r="B5302">
        <f>Assumptions!$B$60</f>
        <v/>
      </c>
      <c r="C5302" t="n">
        <v>0</v>
      </c>
      <c r="D5302" t="n">
        <v>1</v>
      </c>
      <c r="E5302" t="n">
        <v>0</v>
      </c>
      <c r="F5302" t="n">
        <v>1</v>
      </c>
      <c r="G5302" t="n">
        <v>1</v>
      </c>
      <c r="H5302" t="n">
        <v>1</v>
      </c>
      <c r="I5302" t="n">
        <v>0</v>
      </c>
      <c r="J5302">
        <f>(1-C5302)*Assumptions!$B$41+(1-D5302)*Assumptions!$B$33+(1-E5302)*Assumptions!$B$32+(1-F5302)*Assumptions!$B$31+(1-G5302)*Assumptions!$B$30+(1-H5302)*Assumptions!$B$29+(1-I5302)*Assumptions!$B$28</f>
        <v/>
      </c>
      <c r="K5302">
        <f>C5302*$J$307+D5302*$F$307+E5302*$G$307+F5302*Assumptions!$B$14+G5302*Assumptions!$B$13+H5302*Assumptions!$B$12+I5302*Assumptions!$B$11+$O$307+$S$307+Assumptions!$B$9</f>
        <v/>
      </c>
      <c r="L5302">
        <f>B5302-J5302</f>
        <v/>
      </c>
      <c r="M5302">
        <f>IF(K5302&gt;0,IF(L5302/K5302&gt;=Assumptions!$B$37,1,0),0)</f>
        <v/>
      </c>
      <c r="N5302">
        <f>K5302+M5302*Assumptions!$B$153</f>
        <v/>
      </c>
      <c r="O5302">
        <f>L5302+M5302*Assumptions!$B$153*Assumptions!$B$37</f>
        <v/>
      </c>
      <c r="P5302">
        <f>IF(N5302&gt;0,O5302/N5302,0)</f>
        <v/>
      </c>
      <c r="Q5302">
        <f>IF(C5302=1,P5302*$J$307,Assumptions!$B$41)</f>
        <v/>
      </c>
      <c r="R5302">
        <f>IF(D5302=1,P5302*$F$307,Assumptions!$B$33)</f>
        <v/>
      </c>
      <c r="S5302">
        <f>IF(E5302=1,P5302*$G$307,Assumptions!$B$32)</f>
        <v/>
      </c>
      <c r="T5302">
        <f>IF(F5302=1,P5302*Assumptions!$B$14,Assumptions!$B$31)</f>
        <v/>
      </c>
      <c r="U5302">
        <f>IF(G5302=1,P5302*Assumptions!$B$13,Assumptions!$B$30)</f>
        <v/>
      </c>
      <c r="V5302">
        <f>IF(H5302=1,P5302*Assumptions!$B$12,Assumptions!$B$29)</f>
        <v/>
      </c>
      <c r="W5302">
        <f>IF(I5302=1,P5302*Assumptions!$B$11,Assumptions!$B$28)</f>
        <v/>
      </c>
      <c r="X5302">
        <f>P5302*($O$307+$S$307)</f>
        <v/>
      </c>
      <c r="Y5302">
        <f>P5302*Assumptions!$B$9</f>
        <v/>
      </c>
      <c r="Z5302">
        <f>IF(M5302=1,(P5302-Assumptions!$B$37)*Assumptions!$B$153,0)</f>
        <v/>
      </c>
      <c r="AA5302">
        <f>Q5302+R5302+S5302+T5302+U5302+V5302+W5302+X5302+Y5302+Z5302</f>
        <v/>
      </c>
      <c r="AB5302" t="n">
        <v>46</v>
      </c>
      <c r="AC5302" t="n">
        <v>110</v>
      </c>
      <c r="AD5302" t="n">
        <v>14</v>
      </c>
      <c r="AE5302" t="n">
        <v>62</v>
      </c>
      <c r="AF5302" t="n">
        <v>38</v>
      </c>
      <c r="AG5302" t="n">
        <v>42</v>
      </c>
      <c r="AH5302" t="n">
        <v>44</v>
      </c>
      <c r="AI5302" t="n">
        <v>47</v>
      </c>
      <c r="AJ5302">
        <f>INDEX($Q$5256:$Q$5383,AC5302+1)</f>
        <v/>
      </c>
      <c r="AK5302">
        <f>INDEX($R$5256:$R$5383,AD5302+1)</f>
        <v/>
      </c>
      <c r="AL5302">
        <f>INDEX($S$5256:$S$5383,AE5302+1)</f>
        <v/>
      </c>
      <c r="AM5302">
        <f>INDEX($T$5256:$T$5383,AF5302+1)</f>
        <v/>
      </c>
      <c r="AN5302">
        <f>INDEX($U$5256:$U$5383,AG5302+1)</f>
        <v/>
      </c>
      <c r="AO5302">
        <f>INDEX($V$5256:$V$5383,AH5302+1)</f>
        <v/>
      </c>
      <c r="AP5302">
        <f>INDEX($W$5256:$W$5383,AI5302+1)</f>
        <v/>
      </c>
      <c r="AQ5302">
        <f>IF(Q5302&gt;=AJ5302-0.01,1,0)</f>
        <v/>
      </c>
      <c r="AR5302">
        <f>IF(R5302&gt;=AK5302-0.01,1,0)</f>
        <v/>
      </c>
      <c r="AS5302">
        <f>IF(S5302&gt;=AL5302-0.01,1,0)</f>
        <v/>
      </c>
      <c r="AT5302">
        <f>IF(T5302&gt;=AM5302-0.01,1,0)</f>
        <v/>
      </c>
      <c r="AU5302">
        <f>IF(U5302&gt;=AN5302-0.01,1,0)</f>
        <v/>
      </c>
      <c r="AV5302">
        <f>IF(V5302&gt;=AO5302-0.01,1,0)</f>
        <v/>
      </c>
      <c r="AW5302">
        <f>IF(W5302&gt;=AP5302-0.01,1,0)</f>
        <v/>
      </c>
      <c r="AX5302">
        <f>AQ5302*AR5302*AS5302*AT5302*AU5302*AV5302*AW5302</f>
        <v/>
      </c>
    </row>
    <row r="5303">
      <c r="A5303" t="inlineStr"/>
      <c r="B5303">
        <f>Assumptions!$B$60</f>
        <v/>
      </c>
      <c r="C5303" t="n">
        <v>0</v>
      </c>
      <c r="D5303" t="n">
        <v>1</v>
      </c>
      <c r="E5303" t="n">
        <v>0</v>
      </c>
      <c r="F5303" t="n">
        <v>1</v>
      </c>
      <c r="G5303" t="n">
        <v>1</v>
      </c>
      <c r="H5303" t="n">
        <v>1</v>
      </c>
      <c r="I5303" t="n">
        <v>1</v>
      </c>
      <c r="J5303">
        <f>(1-C5303)*Assumptions!$B$41+(1-D5303)*Assumptions!$B$33+(1-E5303)*Assumptions!$B$32+(1-F5303)*Assumptions!$B$31+(1-G5303)*Assumptions!$B$30+(1-H5303)*Assumptions!$B$29+(1-I5303)*Assumptions!$B$28</f>
        <v/>
      </c>
      <c r="K5303">
        <f>C5303*$J$307+D5303*$F$307+E5303*$G$307+F5303*Assumptions!$B$14+G5303*Assumptions!$B$13+H5303*Assumptions!$B$12+I5303*Assumptions!$B$11+$O$307+$S$307+Assumptions!$B$9</f>
        <v/>
      </c>
      <c r="L5303">
        <f>B5303-J5303</f>
        <v/>
      </c>
      <c r="M5303">
        <f>IF(K5303&gt;0,IF(L5303/K5303&gt;=Assumptions!$B$37,1,0),0)</f>
        <v/>
      </c>
      <c r="N5303">
        <f>K5303+M5303*Assumptions!$B$153</f>
        <v/>
      </c>
      <c r="O5303">
        <f>L5303+M5303*Assumptions!$B$153*Assumptions!$B$37</f>
        <v/>
      </c>
      <c r="P5303">
        <f>IF(N5303&gt;0,O5303/N5303,0)</f>
        <v/>
      </c>
      <c r="Q5303">
        <f>IF(C5303=1,P5303*$J$307,Assumptions!$B$41)</f>
        <v/>
      </c>
      <c r="R5303">
        <f>IF(D5303=1,P5303*$F$307,Assumptions!$B$33)</f>
        <v/>
      </c>
      <c r="S5303">
        <f>IF(E5303=1,P5303*$G$307,Assumptions!$B$32)</f>
        <v/>
      </c>
      <c r="T5303">
        <f>IF(F5303=1,P5303*Assumptions!$B$14,Assumptions!$B$31)</f>
        <v/>
      </c>
      <c r="U5303">
        <f>IF(G5303=1,P5303*Assumptions!$B$13,Assumptions!$B$30)</f>
        <v/>
      </c>
      <c r="V5303">
        <f>IF(H5303=1,P5303*Assumptions!$B$12,Assumptions!$B$29)</f>
        <v/>
      </c>
      <c r="W5303">
        <f>IF(I5303=1,P5303*Assumptions!$B$11,Assumptions!$B$28)</f>
        <v/>
      </c>
      <c r="X5303">
        <f>P5303*($O$307+$S$307)</f>
        <v/>
      </c>
      <c r="Y5303">
        <f>P5303*Assumptions!$B$9</f>
        <v/>
      </c>
      <c r="Z5303">
        <f>IF(M5303=1,(P5303-Assumptions!$B$37)*Assumptions!$B$153,0)</f>
        <v/>
      </c>
      <c r="AA5303">
        <f>Q5303+R5303+S5303+T5303+U5303+V5303+W5303+X5303+Y5303+Z5303</f>
        <v/>
      </c>
      <c r="AB5303" t="n">
        <v>47</v>
      </c>
      <c r="AC5303" t="n">
        <v>111</v>
      </c>
      <c r="AD5303" t="n">
        <v>15</v>
      </c>
      <c r="AE5303" t="n">
        <v>63</v>
      </c>
      <c r="AF5303" t="n">
        <v>39</v>
      </c>
      <c r="AG5303" t="n">
        <v>43</v>
      </c>
      <c r="AH5303" t="n">
        <v>45</v>
      </c>
      <c r="AI5303" t="n">
        <v>46</v>
      </c>
      <c r="AJ5303">
        <f>INDEX($Q$5256:$Q$5383,AC5303+1)</f>
        <v/>
      </c>
      <c r="AK5303">
        <f>INDEX($R$5256:$R$5383,AD5303+1)</f>
        <v/>
      </c>
      <c r="AL5303">
        <f>INDEX($S$5256:$S$5383,AE5303+1)</f>
        <v/>
      </c>
      <c r="AM5303">
        <f>INDEX($T$5256:$T$5383,AF5303+1)</f>
        <v/>
      </c>
      <c r="AN5303">
        <f>INDEX($U$5256:$U$5383,AG5303+1)</f>
        <v/>
      </c>
      <c r="AO5303">
        <f>INDEX($V$5256:$V$5383,AH5303+1)</f>
        <v/>
      </c>
      <c r="AP5303">
        <f>INDEX($W$5256:$W$5383,AI5303+1)</f>
        <v/>
      </c>
      <c r="AQ5303">
        <f>IF(Q5303&gt;=AJ5303-0.01,1,0)</f>
        <v/>
      </c>
      <c r="AR5303">
        <f>IF(R5303&gt;=AK5303-0.01,1,0)</f>
        <v/>
      </c>
      <c r="AS5303">
        <f>IF(S5303&gt;=AL5303-0.01,1,0)</f>
        <v/>
      </c>
      <c r="AT5303">
        <f>IF(T5303&gt;=AM5303-0.01,1,0)</f>
        <v/>
      </c>
      <c r="AU5303">
        <f>IF(U5303&gt;=AN5303-0.01,1,0)</f>
        <v/>
      </c>
      <c r="AV5303">
        <f>IF(V5303&gt;=AO5303-0.01,1,0)</f>
        <v/>
      </c>
      <c r="AW5303">
        <f>IF(W5303&gt;=AP5303-0.01,1,0)</f>
        <v/>
      </c>
      <c r="AX5303">
        <f>AQ5303*AR5303*AS5303*AT5303*AU5303*AV5303*AW5303</f>
        <v/>
      </c>
    </row>
    <row r="5304">
      <c r="A5304" t="inlineStr"/>
      <c r="B5304">
        <f>Assumptions!$B$60</f>
        <v/>
      </c>
      <c r="C5304" t="n">
        <v>0</v>
      </c>
      <c r="D5304" t="n">
        <v>1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  <c r="J5304">
        <f>(1-C5304)*Assumptions!$B$41+(1-D5304)*Assumptions!$B$33+(1-E5304)*Assumptions!$B$32+(1-F5304)*Assumptions!$B$31+(1-G5304)*Assumptions!$B$30+(1-H5304)*Assumptions!$B$29+(1-I5304)*Assumptions!$B$28</f>
        <v/>
      </c>
      <c r="K5304">
        <f>C5304*$J$307+D5304*$F$307+E5304*$G$307+F5304*Assumptions!$B$14+G5304*Assumptions!$B$13+H5304*Assumptions!$B$12+I5304*Assumptions!$B$11+$O$307+$S$307+Assumptions!$B$9</f>
        <v/>
      </c>
      <c r="L5304">
        <f>B5304-J5304</f>
        <v/>
      </c>
      <c r="M5304">
        <f>IF(K5304&gt;0,IF(L5304/K5304&gt;=Assumptions!$B$37,1,0),0)</f>
        <v/>
      </c>
      <c r="N5304">
        <f>K5304+M5304*Assumptions!$B$153</f>
        <v/>
      </c>
      <c r="O5304">
        <f>L5304+M5304*Assumptions!$B$153*Assumptions!$B$37</f>
        <v/>
      </c>
      <c r="P5304">
        <f>IF(N5304&gt;0,O5304/N5304,0)</f>
        <v/>
      </c>
      <c r="Q5304">
        <f>IF(C5304=1,P5304*$J$307,Assumptions!$B$41)</f>
        <v/>
      </c>
      <c r="R5304">
        <f>IF(D5304=1,P5304*$F$307,Assumptions!$B$33)</f>
        <v/>
      </c>
      <c r="S5304">
        <f>IF(E5304=1,P5304*$G$307,Assumptions!$B$32)</f>
        <v/>
      </c>
      <c r="T5304">
        <f>IF(F5304=1,P5304*Assumptions!$B$14,Assumptions!$B$31)</f>
        <v/>
      </c>
      <c r="U5304">
        <f>IF(G5304=1,P5304*Assumptions!$B$13,Assumptions!$B$30)</f>
        <v/>
      </c>
      <c r="V5304">
        <f>IF(H5304=1,P5304*Assumptions!$B$12,Assumptions!$B$29)</f>
        <v/>
      </c>
      <c r="W5304">
        <f>IF(I5304=1,P5304*Assumptions!$B$11,Assumptions!$B$28)</f>
        <v/>
      </c>
      <c r="X5304">
        <f>P5304*($O$307+$S$307)</f>
        <v/>
      </c>
      <c r="Y5304">
        <f>P5304*Assumptions!$B$9</f>
        <v/>
      </c>
      <c r="Z5304">
        <f>IF(M5304=1,(P5304-Assumptions!$B$37)*Assumptions!$B$153,0)</f>
        <v/>
      </c>
      <c r="AA5304">
        <f>Q5304+R5304+S5304+T5304+U5304+V5304+W5304+X5304+Y5304+Z5304</f>
        <v/>
      </c>
      <c r="AB5304" t="n">
        <v>48</v>
      </c>
      <c r="AC5304" t="n">
        <v>112</v>
      </c>
      <c r="AD5304" t="n">
        <v>16</v>
      </c>
      <c r="AE5304" t="n">
        <v>32</v>
      </c>
      <c r="AF5304" t="n">
        <v>56</v>
      </c>
      <c r="AG5304" t="n">
        <v>52</v>
      </c>
      <c r="AH5304" t="n">
        <v>50</v>
      </c>
      <c r="AI5304" t="n">
        <v>49</v>
      </c>
      <c r="AJ5304">
        <f>INDEX($Q$5256:$Q$5383,AC5304+1)</f>
        <v/>
      </c>
      <c r="AK5304">
        <f>INDEX($R$5256:$R$5383,AD5304+1)</f>
        <v/>
      </c>
      <c r="AL5304">
        <f>INDEX($S$5256:$S$5383,AE5304+1)</f>
        <v/>
      </c>
      <c r="AM5304">
        <f>INDEX($T$5256:$T$5383,AF5304+1)</f>
        <v/>
      </c>
      <c r="AN5304">
        <f>INDEX($U$5256:$U$5383,AG5304+1)</f>
        <v/>
      </c>
      <c r="AO5304">
        <f>INDEX($V$5256:$V$5383,AH5304+1)</f>
        <v/>
      </c>
      <c r="AP5304">
        <f>INDEX($W$5256:$W$5383,AI5304+1)</f>
        <v/>
      </c>
      <c r="AQ5304">
        <f>IF(Q5304&gt;=AJ5304-0.01,1,0)</f>
        <v/>
      </c>
      <c r="AR5304">
        <f>IF(R5304&gt;=AK5304-0.01,1,0)</f>
        <v/>
      </c>
      <c r="AS5304">
        <f>IF(S5304&gt;=AL5304-0.01,1,0)</f>
        <v/>
      </c>
      <c r="AT5304">
        <f>IF(T5304&gt;=AM5304-0.01,1,0)</f>
        <v/>
      </c>
      <c r="AU5304">
        <f>IF(U5304&gt;=AN5304-0.01,1,0)</f>
        <v/>
      </c>
      <c r="AV5304">
        <f>IF(V5304&gt;=AO5304-0.01,1,0)</f>
        <v/>
      </c>
      <c r="AW5304">
        <f>IF(W5304&gt;=AP5304-0.01,1,0)</f>
        <v/>
      </c>
      <c r="AX5304">
        <f>AQ5304*AR5304*AS5304*AT5304*AU5304*AV5304*AW5304</f>
        <v/>
      </c>
    </row>
    <row r="5305">
      <c r="A5305" t="inlineStr"/>
      <c r="B5305">
        <f>Assumptions!$B$60</f>
        <v/>
      </c>
      <c r="C5305" t="n">
        <v>0</v>
      </c>
      <c r="D5305" t="n">
        <v>1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>
        <f>(1-C5305)*Assumptions!$B$41+(1-D5305)*Assumptions!$B$33+(1-E5305)*Assumptions!$B$32+(1-F5305)*Assumptions!$B$31+(1-G5305)*Assumptions!$B$30+(1-H5305)*Assumptions!$B$29+(1-I5305)*Assumptions!$B$28</f>
        <v/>
      </c>
      <c r="K5305">
        <f>C5305*$J$307+D5305*$F$307+E5305*$G$307+F5305*Assumptions!$B$14+G5305*Assumptions!$B$13+H5305*Assumptions!$B$12+I5305*Assumptions!$B$11+$O$307+$S$307+Assumptions!$B$9</f>
        <v/>
      </c>
      <c r="L5305">
        <f>B5305-J5305</f>
        <v/>
      </c>
      <c r="M5305">
        <f>IF(K5305&gt;0,IF(L5305/K5305&gt;=Assumptions!$B$37,1,0),0)</f>
        <v/>
      </c>
      <c r="N5305">
        <f>K5305+M5305*Assumptions!$B$153</f>
        <v/>
      </c>
      <c r="O5305">
        <f>L5305+M5305*Assumptions!$B$153*Assumptions!$B$37</f>
        <v/>
      </c>
      <c r="P5305">
        <f>IF(N5305&gt;0,O5305/N5305,0)</f>
        <v/>
      </c>
      <c r="Q5305">
        <f>IF(C5305=1,P5305*$J$307,Assumptions!$B$41)</f>
        <v/>
      </c>
      <c r="R5305">
        <f>IF(D5305=1,P5305*$F$307,Assumptions!$B$33)</f>
        <v/>
      </c>
      <c r="S5305">
        <f>IF(E5305=1,P5305*$G$307,Assumptions!$B$32)</f>
        <v/>
      </c>
      <c r="T5305">
        <f>IF(F5305=1,P5305*Assumptions!$B$14,Assumptions!$B$31)</f>
        <v/>
      </c>
      <c r="U5305">
        <f>IF(G5305=1,P5305*Assumptions!$B$13,Assumptions!$B$30)</f>
        <v/>
      </c>
      <c r="V5305">
        <f>IF(H5305=1,P5305*Assumptions!$B$12,Assumptions!$B$29)</f>
        <v/>
      </c>
      <c r="W5305">
        <f>IF(I5305=1,P5305*Assumptions!$B$11,Assumptions!$B$28)</f>
        <v/>
      </c>
      <c r="X5305">
        <f>P5305*($O$307+$S$307)</f>
        <v/>
      </c>
      <c r="Y5305">
        <f>P5305*Assumptions!$B$9</f>
        <v/>
      </c>
      <c r="Z5305">
        <f>IF(M5305=1,(P5305-Assumptions!$B$37)*Assumptions!$B$153,0)</f>
        <v/>
      </c>
      <c r="AA5305">
        <f>Q5305+R5305+S5305+T5305+U5305+V5305+W5305+X5305+Y5305+Z5305</f>
        <v/>
      </c>
      <c r="AB5305" t="n">
        <v>49</v>
      </c>
      <c r="AC5305" t="n">
        <v>113</v>
      </c>
      <c r="AD5305" t="n">
        <v>17</v>
      </c>
      <c r="AE5305" t="n">
        <v>33</v>
      </c>
      <c r="AF5305" t="n">
        <v>57</v>
      </c>
      <c r="AG5305" t="n">
        <v>53</v>
      </c>
      <c r="AH5305" t="n">
        <v>51</v>
      </c>
      <c r="AI5305" t="n">
        <v>48</v>
      </c>
      <c r="AJ5305">
        <f>INDEX($Q$5256:$Q$5383,AC5305+1)</f>
        <v/>
      </c>
      <c r="AK5305">
        <f>INDEX($R$5256:$R$5383,AD5305+1)</f>
        <v/>
      </c>
      <c r="AL5305">
        <f>INDEX($S$5256:$S$5383,AE5305+1)</f>
        <v/>
      </c>
      <c r="AM5305">
        <f>INDEX($T$5256:$T$5383,AF5305+1)</f>
        <v/>
      </c>
      <c r="AN5305">
        <f>INDEX($U$5256:$U$5383,AG5305+1)</f>
        <v/>
      </c>
      <c r="AO5305">
        <f>INDEX($V$5256:$V$5383,AH5305+1)</f>
        <v/>
      </c>
      <c r="AP5305">
        <f>INDEX($W$5256:$W$5383,AI5305+1)</f>
        <v/>
      </c>
      <c r="AQ5305">
        <f>IF(Q5305&gt;=AJ5305-0.01,1,0)</f>
        <v/>
      </c>
      <c r="AR5305">
        <f>IF(R5305&gt;=AK5305-0.01,1,0)</f>
        <v/>
      </c>
      <c r="AS5305">
        <f>IF(S5305&gt;=AL5305-0.01,1,0)</f>
        <v/>
      </c>
      <c r="AT5305">
        <f>IF(T5305&gt;=AM5305-0.01,1,0)</f>
        <v/>
      </c>
      <c r="AU5305">
        <f>IF(U5305&gt;=AN5305-0.01,1,0)</f>
        <v/>
      </c>
      <c r="AV5305">
        <f>IF(V5305&gt;=AO5305-0.01,1,0)</f>
        <v/>
      </c>
      <c r="AW5305">
        <f>IF(W5305&gt;=AP5305-0.01,1,0)</f>
        <v/>
      </c>
      <c r="AX5305">
        <f>AQ5305*AR5305*AS5305*AT5305*AU5305*AV5305*AW5305</f>
        <v/>
      </c>
    </row>
    <row r="5306">
      <c r="A5306" t="inlineStr"/>
      <c r="B5306">
        <f>Assumptions!$B$60</f>
        <v/>
      </c>
      <c r="C5306" t="n">
        <v>0</v>
      </c>
      <c r="D5306" t="n">
        <v>1</v>
      </c>
      <c r="E5306" t="n">
        <v>1</v>
      </c>
      <c r="F5306" t="n">
        <v>0</v>
      </c>
      <c r="G5306" t="n">
        <v>0</v>
      </c>
      <c r="H5306" t="n">
        <v>1</v>
      </c>
      <c r="I5306" t="n">
        <v>0</v>
      </c>
      <c r="J5306">
        <f>(1-C5306)*Assumptions!$B$41+(1-D5306)*Assumptions!$B$33+(1-E5306)*Assumptions!$B$32+(1-F5306)*Assumptions!$B$31+(1-G5306)*Assumptions!$B$30+(1-H5306)*Assumptions!$B$29+(1-I5306)*Assumptions!$B$28</f>
        <v/>
      </c>
      <c r="K5306">
        <f>C5306*$J$307+D5306*$F$307+E5306*$G$307+F5306*Assumptions!$B$14+G5306*Assumptions!$B$13+H5306*Assumptions!$B$12+I5306*Assumptions!$B$11+$O$307+$S$307+Assumptions!$B$9</f>
        <v/>
      </c>
      <c r="L5306">
        <f>B5306-J5306</f>
        <v/>
      </c>
      <c r="M5306">
        <f>IF(K5306&gt;0,IF(L5306/K5306&gt;=Assumptions!$B$37,1,0),0)</f>
        <v/>
      </c>
      <c r="N5306">
        <f>K5306+M5306*Assumptions!$B$153</f>
        <v/>
      </c>
      <c r="O5306">
        <f>L5306+M5306*Assumptions!$B$153*Assumptions!$B$37</f>
        <v/>
      </c>
      <c r="P5306">
        <f>IF(N5306&gt;0,O5306/N5306,0)</f>
        <v/>
      </c>
      <c r="Q5306">
        <f>IF(C5306=1,P5306*$J$307,Assumptions!$B$41)</f>
        <v/>
      </c>
      <c r="R5306">
        <f>IF(D5306=1,P5306*$F$307,Assumptions!$B$33)</f>
        <v/>
      </c>
      <c r="S5306">
        <f>IF(E5306=1,P5306*$G$307,Assumptions!$B$32)</f>
        <v/>
      </c>
      <c r="T5306">
        <f>IF(F5306=1,P5306*Assumptions!$B$14,Assumptions!$B$31)</f>
        <v/>
      </c>
      <c r="U5306">
        <f>IF(G5306=1,P5306*Assumptions!$B$13,Assumptions!$B$30)</f>
        <v/>
      </c>
      <c r="V5306">
        <f>IF(H5306=1,P5306*Assumptions!$B$12,Assumptions!$B$29)</f>
        <v/>
      </c>
      <c r="W5306">
        <f>IF(I5306=1,P5306*Assumptions!$B$11,Assumptions!$B$28)</f>
        <v/>
      </c>
      <c r="X5306">
        <f>P5306*($O$307+$S$307)</f>
        <v/>
      </c>
      <c r="Y5306">
        <f>P5306*Assumptions!$B$9</f>
        <v/>
      </c>
      <c r="Z5306">
        <f>IF(M5306=1,(P5306-Assumptions!$B$37)*Assumptions!$B$153,0)</f>
        <v/>
      </c>
      <c r="AA5306">
        <f>Q5306+R5306+S5306+T5306+U5306+V5306+W5306+X5306+Y5306+Z5306</f>
        <v/>
      </c>
      <c r="AB5306" t="n">
        <v>50</v>
      </c>
      <c r="AC5306" t="n">
        <v>114</v>
      </c>
      <c r="AD5306" t="n">
        <v>18</v>
      </c>
      <c r="AE5306" t="n">
        <v>34</v>
      </c>
      <c r="AF5306" t="n">
        <v>58</v>
      </c>
      <c r="AG5306" t="n">
        <v>54</v>
      </c>
      <c r="AH5306" t="n">
        <v>48</v>
      </c>
      <c r="AI5306" t="n">
        <v>51</v>
      </c>
      <c r="AJ5306">
        <f>INDEX($Q$5256:$Q$5383,AC5306+1)</f>
        <v/>
      </c>
      <c r="AK5306">
        <f>INDEX($R$5256:$R$5383,AD5306+1)</f>
        <v/>
      </c>
      <c r="AL5306">
        <f>INDEX($S$5256:$S$5383,AE5306+1)</f>
        <v/>
      </c>
      <c r="AM5306">
        <f>INDEX($T$5256:$T$5383,AF5306+1)</f>
        <v/>
      </c>
      <c r="AN5306">
        <f>INDEX($U$5256:$U$5383,AG5306+1)</f>
        <v/>
      </c>
      <c r="AO5306">
        <f>INDEX($V$5256:$V$5383,AH5306+1)</f>
        <v/>
      </c>
      <c r="AP5306">
        <f>INDEX($W$5256:$W$5383,AI5306+1)</f>
        <v/>
      </c>
      <c r="AQ5306">
        <f>IF(Q5306&gt;=AJ5306-0.01,1,0)</f>
        <v/>
      </c>
      <c r="AR5306">
        <f>IF(R5306&gt;=AK5306-0.01,1,0)</f>
        <v/>
      </c>
      <c r="AS5306">
        <f>IF(S5306&gt;=AL5306-0.01,1,0)</f>
        <v/>
      </c>
      <c r="AT5306">
        <f>IF(T5306&gt;=AM5306-0.01,1,0)</f>
        <v/>
      </c>
      <c r="AU5306">
        <f>IF(U5306&gt;=AN5306-0.01,1,0)</f>
        <v/>
      </c>
      <c r="AV5306">
        <f>IF(V5306&gt;=AO5306-0.01,1,0)</f>
        <v/>
      </c>
      <c r="AW5306">
        <f>IF(W5306&gt;=AP5306-0.01,1,0)</f>
        <v/>
      </c>
      <c r="AX5306">
        <f>AQ5306*AR5306*AS5306*AT5306*AU5306*AV5306*AW5306</f>
        <v/>
      </c>
    </row>
    <row r="5307">
      <c r="A5307" t="inlineStr"/>
      <c r="B5307">
        <f>Assumptions!$B$60</f>
        <v/>
      </c>
      <c r="C5307" t="n">
        <v>0</v>
      </c>
      <c r="D5307" t="n">
        <v>1</v>
      </c>
      <c r="E5307" t="n">
        <v>1</v>
      </c>
      <c r="F5307" t="n">
        <v>0</v>
      </c>
      <c r="G5307" t="n">
        <v>0</v>
      </c>
      <c r="H5307" t="n">
        <v>1</v>
      </c>
      <c r="I5307" t="n">
        <v>1</v>
      </c>
      <c r="J5307">
        <f>(1-C5307)*Assumptions!$B$41+(1-D5307)*Assumptions!$B$33+(1-E5307)*Assumptions!$B$32+(1-F5307)*Assumptions!$B$31+(1-G5307)*Assumptions!$B$30+(1-H5307)*Assumptions!$B$29+(1-I5307)*Assumptions!$B$28</f>
        <v/>
      </c>
      <c r="K5307">
        <f>C5307*$J$307+D5307*$F$307+E5307*$G$307+F5307*Assumptions!$B$14+G5307*Assumptions!$B$13+H5307*Assumptions!$B$12+I5307*Assumptions!$B$11+$O$307+$S$307+Assumptions!$B$9</f>
        <v/>
      </c>
      <c r="L5307">
        <f>B5307-J5307</f>
        <v/>
      </c>
      <c r="M5307">
        <f>IF(K5307&gt;0,IF(L5307/K5307&gt;=Assumptions!$B$37,1,0),0)</f>
        <v/>
      </c>
      <c r="N5307">
        <f>K5307+M5307*Assumptions!$B$153</f>
        <v/>
      </c>
      <c r="O5307">
        <f>L5307+M5307*Assumptions!$B$153*Assumptions!$B$37</f>
        <v/>
      </c>
      <c r="P5307">
        <f>IF(N5307&gt;0,O5307/N5307,0)</f>
        <v/>
      </c>
      <c r="Q5307">
        <f>IF(C5307=1,P5307*$J$307,Assumptions!$B$41)</f>
        <v/>
      </c>
      <c r="R5307">
        <f>IF(D5307=1,P5307*$F$307,Assumptions!$B$33)</f>
        <v/>
      </c>
      <c r="S5307">
        <f>IF(E5307=1,P5307*$G$307,Assumptions!$B$32)</f>
        <v/>
      </c>
      <c r="T5307">
        <f>IF(F5307=1,P5307*Assumptions!$B$14,Assumptions!$B$31)</f>
        <v/>
      </c>
      <c r="U5307">
        <f>IF(G5307=1,P5307*Assumptions!$B$13,Assumptions!$B$30)</f>
        <v/>
      </c>
      <c r="V5307">
        <f>IF(H5307=1,P5307*Assumptions!$B$12,Assumptions!$B$29)</f>
        <v/>
      </c>
      <c r="W5307">
        <f>IF(I5307=1,P5307*Assumptions!$B$11,Assumptions!$B$28)</f>
        <v/>
      </c>
      <c r="X5307">
        <f>P5307*($O$307+$S$307)</f>
        <v/>
      </c>
      <c r="Y5307">
        <f>P5307*Assumptions!$B$9</f>
        <v/>
      </c>
      <c r="Z5307">
        <f>IF(M5307=1,(P5307-Assumptions!$B$37)*Assumptions!$B$153,0)</f>
        <v/>
      </c>
      <c r="AA5307">
        <f>Q5307+R5307+S5307+T5307+U5307+V5307+W5307+X5307+Y5307+Z5307</f>
        <v/>
      </c>
      <c r="AB5307" t="n">
        <v>51</v>
      </c>
      <c r="AC5307" t="n">
        <v>115</v>
      </c>
      <c r="AD5307" t="n">
        <v>19</v>
      </c>
      <c r="AE5307" t="n">
        <v>35</v>
      </c>
      <c r="AF5307" t="n">
        <v>59</v>
      </c>
      <c r="AG5307" t="n">
        <v>55</v>
      </c>
      <c r="AH5307" t="n">
        <v>49</v>
      </c>
      <c r="AI5307" t="n">
        <v>50</v>
      </c>
      <c r="AJ5307">
        <f>INDEX($Q$5256:$Q$5383,AC5307+1)</f>
        <v/>
      </c>
      <c r="AK5307">
        <f>INDEX($R$5256:$R$5383,AD5307+1)</f>
        <v/>
      </c>
      <c r="AL5307">
        <f>INDEX($S$5256:$S$5383,AE5307+1)</f>
        <v/>
      </c>
      <c r="AM5307">
        <f>INDEX($T$5256:$T$5383,AF5307+1)</f>
        <v/>
      </c>
      <c r="AN5307">
        <f>INDEX($U$5256:$U$5383,AG5307+1)</f>
        <v/>
      </c>
      <c r="AO5307">
        <f>INDEX($V$5256:$V$5383,AH5307+1)</f>
        <v/>
      </c>
      <c r="AP5307">
        <f>INDEX($W$5256:$W$5383,AI5307+1)</f>
        <v/>
      </c>
      <c r="AQ5307">
        <f>IF(Q5307&gt;=AJ5307-0.01,1,0)</f>
        <v/>
      </c>
      <c r="AR5307">
        <f>IF(R5307&gt;=AK5307-0.01,1,0)</f>
        <v/>
      </c>
      <c r="AS5307">
        <f>IF(S5307&gt;=AL5307-0.01,1,0)</f>
        <v/>
      </c>
      <c r="AT5307">
        <f>IF(T5307&gt;=AM5307-0.01,1,0)</f>
        <v/>
      </c>
      <c r="AU5307">
        <f>IF(U5307&gt;=AN5307-0.01,1,0)</f>
        <v/>
      </c>
      <c r="AV5307">
        <f>IF(V5307&gt;=AO5307-0.01,1,0)</f>
        <v/>
      </c>
      <c r="AW5307">
        <f>IF(W5307&gt;=AP5307-0.01,1,0)</f>
        <v/>
      </c>
      <c r="AX5307">
        <f>AQ5307*AR5307*AS5307*AT5307*AU5307*AV5307*AW5307</f>
        <v/>
      </c>
    </row>
    <row r="5308">
      <c r="A5308" t="inlineStr"/>
      <c r="B5308">
        <f>Assumptions!$B$60</f>
        <v/>
      </c>
      <c r="C5308" t="n">
        <v>0</v>
      </c>
      <c r="D5308" t="n">
        <v>1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>
        <f>(1-C5308)*Assumptions!$B$41+(1-D5308)*Assumptions!$B$33+(1-E5308)*Assumptions!$B$32+(1-F5308)*Assumptions!$B$31+(1-G5308)*Assumptions!$B$30+(1-H5308)*Assumptions!$B$29+(1-I5308)*Assumptions!$B$28</f>
        <v/>
      </c>
      <c r="K5308">
        <f>C5308*$J$307+D5308*$F$307+E5308*$G$307+F5308*Assumptions!$B$14+G5308*Assumptions!$B$13+H5308*Assumptions!$B$12+I5308*Assumptions!$B$11+$O$307+$S$307+Assumptions!$B$9</f>
        <v/>
      </c>
      <c r="L5308">
        <f>B5308-J5308</f>
        <v/>
      </c>
      <c r="M5308">
        <f>IF(K5308&gt;0,IF(L5308/K5308&gt;=Assumptions!$B$37,1,0),0)</f>
        <v/>
      </c>
      <c r="N5308">
        <f>K5308+M5308*Assumptions!$B$153</f>
        <v/>
      </c>
      <c r="O5308">
        <f>L5308+M5308*Assumptions!$B$153*Assumptions!$B$37</f>
        <v/>
      </c>
      <c r="P5308">
        <f>IF(N5308&gt;0,O5308/N5308,0)</f>
        <v/>
      </c>
      <c r="Q5308">
        <f>IF(C5308=1,P5308*$J$307,Assumptions!$B$41)</f>
        <v/>
      </c>
      <c r="R5308">
        <f>IF(D5308=1,P5308*$F$307,Assumptions!$B$33)</f>
        <v/>
      </c>
      <c r="S5308">
        <f>IF(E5308=1,P5308*$G$307,Assumptions!$B$32)</f>
        <v/>
      </c>
      <c r="T5308">
        <f>IF(F5308=1,P5308*Assumptions!$B$14,Assumptions!$B$31)</f>
        <v/>
      </c>
      <c r="U5308">
        <f>IF(G5308=1,P5308*Assumptions!$B$13,Assumptions!$B$30)</f>
        <v/>
      </c>
      <c r="V5308">
        <f>IF(H5308=1,P5308*Assumptions!$B$12,Assumptions!$B$29)</f>
        <v/>
      </c>
      <c r="W5308">
        <f>IF(I5308=1,P5308*Assumptions!$B$11,Assumptions!$B$28)</f>
        <v/>
      </c>
      <c r="X5308">
        <f>P5308*($O$307+$S$307)</f>
        <v/>
      </c>
      <c r="Y5308">
        <f>P5308*Assumptions!$B$9</f>
        <v/>
      </c>
      <c r="Z5308">
        <f>IF(M5308=1,(P5308-Assumptions!$B$37)*Assumptions!$B$153,0)</f>
        <v/>
      </c>
      <c r="AA5308">
        <f>Q5308+R5308+S5308+T5308+U5308+V5308+W5308+X5308+Y5308+Z5308</f>
        <v/>
      </c>
      <c r="AB5308" t="n">
        <v>52</v>
      </c>
      <c r="AC5308" t="n">
        <v>116</v>
      </c>
      <c r="AD5308" t="n">
        <v>20</v>
      </c>
      <c r="AE5308" t="n">
        <v>36</v>
      </c>
      <c r="AF5308" t="n">
        <v>60</v>
      </c>
      <c r="AG5308" t="n">
        <v>48</v>
      </c>
      <c r="AH5308" t="n">
        <v>54</v>
      </c>
      <c r="AI5308" t="n">
        <v>53</v>
      </c>
      <c r="AJ5308">
        <f>INDEX($Q$5256:$Q$5383,AC5308+1)</f>
        <v/>
      </c>
      <c r="AK5308">
        <f>INDEX($R$5256:$R$5383,AD5308+1)</f>
        <v/>
      </c>
      <c r="AL5308">
        <f>INDEX($S$5256:$S$5383,AE5308+1)</f>
        <v/>
      </c>
      <c r="AM5308">
        <f>INDEX($T$5256:$T$5383,AF5308+1)</f>
        <v/>
      </c>
      <c r="AN5308">
        <f>INDEX($U$5256:$U$5383,AG5308+1)</f>
        <v/>
      </c>
      <c r="AO5308">
        <f>INDEX($V$5256:$V$5383,AH5308+1)</f>
        <v/>
      </c>
      <c r="AP5308">
        <f>INDEX($W$5256:$W$5383,AI5308+1)</f>
        <v/>
      </c>
      <c r="AQ5308">
        <f>IF(Q5308&gt;=AJ5308-0.01,1,0)</f>
        <v/>
      </c>
      <c r="AR5308">
        <f>IF(R5308&gt;=AK5308-0.01,1,0)</f>
        <v/>
      </c>
      <c r="AS5308">
        <f>IF(S5308&gt;=AL5308-0.01,1,0)</f>
        <v/>
      </c>
      <c r="AT5308">
        <f>IF(T5308&gt;=AM5308-0.01,1,0)</f>
        <v/>
      </c>
      <c r="AU5308">
        <f>IF(U5308&gt;=AN5308-0.01,1,0)</f>
        <v/>
      </c>
      <c r="AV5308">
        <f>IF(V5308&gt;=AO5308-0.01,1,0)</f>
        <v/>
      </c>
      <c r="AW5308">
        <f>IF(W5308&gt;=AP5308-0.01,1,0)</f>
        <v/>
      </c>
      <c r="AX5308">
        <f>AQ5308*AR5308*AS5308*AT5308*AU5308*AV5308*AW5308</f>
        <v/>
      </c>
    </row>
    <row r="5309">
      <c r="A5309" t="inlineStr"/>
      <c r="B5309">
        <f>Assumptions!$B$60</f>
        <v/>
      </c>
      <c r="C5309" t="n">
        <v>0</v>
      </c>
      <c r="D5309" t="n">
        <v>1</v>
      </c>
      <c r="E5309" t="n">
        <v>1</v>
      </c>
      <c r="F5309" t="n">
        <v>0</v>
      </c>
      <c r="G5309" t="n">
        <v>1</v>
      </c>
      <c r="H5309" t="n">
        <v>0</v>
      </c>
      <c r="I5309" t="n">
        <v>1</v>
      </c>
      <c r="J5309">
        <f>(1-C5309)*Assumptions!$B$41+(1-D5309)*Assumptions!$B$33+(1-E5309)*Assumptions!$B$32+(1-F5309)*Assumptions!$B$31+(1-G5309)*Assumptions!$B$30+(1-H5309)*Assumptions!$B$29+(1-I5309)*Assumptions!$B$28</f>
        <v/>
      </c>
      <c r="K5309">
        <f>C5309*$J$307+D5309*$F$307+E5309*$G$307+F5309*Assumptions!$B$14+G5309*Assumptions!$B$13+H5309*Assumptions!$B$12+I5309*Assumptions!$B$11+$O$307+$S$307+Assumptions!$B$9</f>
        <v/>
      </c>
      <c r="L5309">
        <f>B5309-J5309</f>
        <v/>
      </c>
      <c r="M5309">
        <f>IF(K5309&gt;0,IF(L5309/K5309&gt;=Assumptions!$B$37,1,0),0)</f>
        <v/>
      </c>
      <c r="N5309">
        <f>K5309+M5309*Assumptions!$B$153</f>
        <v/>
      </c>
      <c r="O5309">
        <f>L5309+M5309*Assumptions!$B$153*Assumptions!$B$37</f>
        <v/>
      </c>
      <c r="P5309">
        <f>IF(N5309&gt;0,O5309/N5309,0)</f>
        <v/>
      </c>
      <c r="Q5309">
        <f>IF(C5309=1,P5309*$J$307,Assumptions!$B$41)</f>
        <v/>
      </c>
      <c r="R5309">
        <f>IF(D5309=1,P5309*$F$307,Assumptions!$B$33)</f>
        <v/>
      </c>
      <c r="S5309">
        <f>IF(E5309=1,P5309*$G$307,Assumptions!$B$32)</f>
        <v/>
      </c>
      <c r="T5309">
        <f>IF(F5309=1,P5309*Assumptions!$B$14,Assumptions!$B$31)</f>
        <v/>
      </c>
      <c r="U5309">
        <f>IF(G5309=1,P5309*Assumptions!$B$13,Assumptions!$B$30)</f>
        <v/>
      </c>
      <c r="V5309">
        <f>IF(H5309=1,P5309*Assumptions!$B$12,Assumptions!$B$29)</f>
        <v/>
      </c>
      <c r="W5309">
        <f>IF(I5309=1,P5309*Assumptions!$B$11,Assumptions!$B$28)</f>
        <v/>
      </c>
      <c r="X5309">
        <f>P5309*($O$307+$S$307)</f>
        <v/>
      </c>
      <c r="Y5309">
        <f>P5309*Assumptions!$B$9</f>
        <v/>
      </c>
      <c r="Z5309">
        <f>IF(M5309=1,(P5309-Assumptions!$B$37)*Assumptions!$B$153,0)</f>
        <v/>
      </c>
      <c r="AA5309">
        <f>Q5309+R5309+S5309+T5309+U5309+V5309+W5309+X5309+Y5309+Z5309</f>
        <v/>
      </c>
      <c r="AB5309" t="n">
        <v>53</v>
      </c>
      <c r="AC5309" t="n">
        <v>117</v>
      </c>
      <c r="AD5309" t="n">
        <v>21</v>
      </c>
      <c r="AE5309" t="n">
        <v>37</v>
      </c>
      <c r="AF5309" t="n">
        <v>61</v>
      </c>
      <c r="AG5309" t="n">
        <v>49</v>
      </c>
      <c r="AH5309" t="n">
        <v>55</v>
      </c>
      <c r="AI5309" t="n">
        <v>52</v>
      </c>
      <c r="AJ5309">
        <f>INDEX($Q$5256:$Q$5383,AC5309+1)</f>
        <v/>
      </c>
      <c r="AK5309">
        <f>INDEX($R$5256:$R$5383,AD5309+1)</f>
        <v/>
      </c>
      <c r="AL5309">
        <f>INDEX($S$5256:$S$5383,AE5309+1)</f>
        <v/>
      </c>
      <c r="AM5309">
        <f>INDEX($T$5256:$T$5383,AF5309+1)</f>
        <v/>
      </c>
      <c r="AN5309">
        <f>INDEX($U$5256:$U$5383,AG5309+1)</f>
        <v/>
      </c>
      <c r="AO5309">
        <f>INDEX($V$5256:$V$5383,AH5309+1)</f>
        <v/>
      </c>
      <c r="AP5309">
        <f>INDEX($W$5256:$W$5383,AI5309+1)</f>
        <v/>
      </c>
      <c r="AQ5309">
        <f>IF(Q5309&gt;=AJ5309-0.01,1,0)</f>
        <v/>
      </c>
      <c r="AR5309">
        <f>IF(R5309&gt;=AK5309-0.01,1,0)</f>
        <v/>
      </c>
      <c r="AS5309">
        <f>IF(S5309&gt;=AL5309-0.01,1,0)</f>
        <v/>
      </c>
      <c r="AT5309">
        <f>IF(T5309&gt;=AM5309-0.01,1,0)</f>
        <v/>
      </c>
      <c r="AU5309">
        <f>IF(U5309&gt;=AN5309-0.01,1,0)</f>
        <v/>
      </c>
      <c r="AV5309">
        <f>IF(V5309&gt;=AO5309-0.01,1,0)</f>
        <v/>
      </c>
      <c r="AW5309">
        <f>IF(W5309&gt;=AP5309-0.01,1,0)</f>
        <v/>
      </c>
      <c r="AX5309">
        <f>AQ5309*AR5309*AS5309*AT5309*AU5309*AV5309*AW5309</f>
        <v/>
      </c>
    </row>
    <row r="5310">
      <c r="A5310" t="inlineStr"/>
      <c r="B5310">
        <f>Assumptions!$B$60</f>
        <v/>
      </c>
      <c r="C5310" t="n">
        <v>0</v>
      </c>
      <c r="D5310" t="n">
        <v>1</v>
      </c>
      <c r="E5310" t="n">
        <v>1</v>
      </c>
      <c r="F5310" t="n">
        <v>0</v>
      </c>
      <c r="G5310" t="n">
        <v>1</v>
      </c>
      <c r="H5310" t="n">
        <v>1</v>
      </c>
      <c r="I5310" t="n">
        <v>0</v>
      </c>
      <c r="J5310">
        <f>(1-C5310)*Assumptions!$B$41+(1-D5310)*Assumptions!$B$33+(1-E5310)*Assumptions!$B$32+(1-F5310)*Assumptions!$B$31+(1-G5310)*Assumptions!$B$30+(1-H5310)*Assumptions!$B$29+(1-I5310)*Assumptions!$B$28</f>
        <v/>
      </c>
      <c r="K5310">
        <f>C5310*$J$307+D5310*$F$307+E5310*$G$307+F5310*Assumptions!$B$14+G5310*Assumptions!$B$13+H5310*Assumptions!$B$12+I5310*Assumptions!$B$11+$O$307+$S$307+Assumptions!$B$9</f>
        <v/>
      </c>
      <c r="L5310">
        <f>B5310-J5310</f>
        <v/>
      </c>
      <c r="M5310">
        <f>IF(K5310&gt;0,IF(L5310/K5310&gt;=Assumptions!$B$37,1,0),0)</f>
        <v/>
      </c>
      <c r="N5310">
        <f>K5310+M5310*Assumptions!$B$153</f>
        <v/>
      </c>
      <c r="O5310">
        <f>L5310+M5310*Assumptions!$B$153*Assumptions!$B$37</f>
        <v/>
      </c>
      <c r="P5310">
        <f>IF(N5310&gt;0,O5310/N5310,0)</f>
        <v/>
      </c>
      <c r="Q5310">
        <f>IF(C5310=1,P5310*$J$307,Assumptions!$B$41)</f>
        <v/>
      </c>
      <c r="R5310">
        <f>IF(D5310=1,P5310*$F$307,Assumptions!$B$33)</f>
        <v/>
      </c>
      <c r="S5310">
        <f>IF(E5310=1,P5310*$G$307,Assumptions!$B$32)</f>
        <v/>
      </c>
      <c r="T5310">
        <f>IF(F5310=1,P5310*Assumptions!$B$14,Assumptions!$B$31)</f>
        <v/>
      </c>
      <c r="U5310">
        <f>IF(G5310=1,P5310*Assumptions!$B$13,Assumptions!$B$30)</f>
        <v/>
      </c>
      <c r="V5310">
        <f>IF(H5310=1,P5310*Assumptions!$B$12,Assumptions!$B$29)</f>
        <v/>
      </c>
      <c r="W5310">
        <f>IF(I5310=1,P5310*Assumptions!$B$11,Assumptions!$B$28)</f>
        <v/>
      </c>
      <c r="X5310">
        <f>P5310*($O$307+$S$307)</f>
        <v/>
      </c>
      <c r="Y5310">
        <f>P5310*Assumptions!$B$9</f>
        <v/>
      </c>
      <c r="Z5310">
        <f>IF(M5310=1,(P5310-Assumptions!$B$37)*Assumptions!$B$153,0)</f>
        <v/>
      </c>
      <c r="AA5310">
        <f>Q5310+R5310+S5310+T5310+U5310+V5310+W5310+X5310+Y5310+Z5310</f>
        <v/>
      </c>
      <c r="AB5310" t="n">
        <v>54</v>
      </c>
      <c r="AC5310" t="n">
        <v>118</v>
      </c>
      <c r="AD5310" t="n">
        <v>22</v>
      </c>
      <c r="AE5310" t="n">
        <v>38</v>
      </c>
      <c r="AF5310" t="n">
        <v>62</v>
      </c>
      <c r="AG5310" t="n">
        <v>50</v>
      </c>
      <c r="AH5310" t="n">
        <v>52</v>
      </c>
      <c r="AI5310" t="n">
        <v>55</v>
      </c>
      <c r="AJ5310">
        <f>INDEX($Q$5256:$Q$5383,AC5310+1)</f>
        <v/>
      </c>
      <c r="AK5310">
        <f>INDEX($R$5256:$R$5383,AD5310+1)</f>
        <v/>
      </c>
      <c r="AL5310">
        <f>INDEX($S$5256:$S$5383,AE5310+1)</f>
        <v/>
      </c>
      <c r="AM5310">
        <f>INDEX($T$5256:$T$5383,AF5310+1)</f>
        <v/>
      </c>
      <c r="AN5310">
        <f>INDEX($U$5256:$U$5383,AG5310+1)</f>
        <v/>
      </c>
      <c r="AO5310">
        <f>INDEX($V$5256:$V$5383,AH5310+1)</f>
        <v/>
      </c>
      <c r="AP5310">
        <f>INDEX($W$5256:$W$5383,AI5310+1)</f>
        <v/>
      </c>
      <c r="AQ5310">
        <f>IF(Q5310&gt;=AJ5310-0.01,1,0)</f>
        <v/>
      </c>
      <c r="AR5310">
        <f>IF(R5310&gt;=AK5310-0.01,1,0)</f>
        <v/>
      </c>
      <c r="AS5310">
        <f>IF(S5310&gt;=AL5310-0.01,1,0)</f>
        <v/>
      </c>
      <c r="AT5310">
        <f>IF(T5310&gt;=AM5310-0.01,1,0)</f>
        <v/>
      </c>
      <c r="AU5310">
        <f>IF(U5310&gt;=AN5310-0.01,1,0)</f>
        <v/>
      </c>
      <c r="AV5310">
        <f>IF(V5310&gt;=AO5310-0.01,1,0)</f>
        <v/>
      </c>
      <c r="AW5310">
        <f>IF(W5310&gt;=AP5310-0.01,1,0)</f>
        <v/>
      </c>
      <c r="AX5310">
        <f>AQ5310*AR5310*AS5310*AT5310*AU5310*AV5310*AW5310</f>
        <v/>
      </c>
    </row>
    <row r="5311">
      <c r="A5311" t="inlineStr"/>
      <c r="B5311">
        <f>Assumptions!$B$60</f>
        <v/>
      </c>
      <c r="C5311" t="n">
        <v>0</v>
      </c>
      <c r="D5311" t="n">
        <v>1</v>
      </c>
      <c r="E5311" t="n">
        <v>1</v>
      </c>
      <c r="F5311" t="n">
        <v>0</v>
      </c>
      <c r="G5311" t="n">
        <v>1</v>
      </c>
      <c r="H5311" t="n">
        <v>1</v>
      </c>
      <c r="I5311" t="n">
        <v>1</v>
      </c>
      <c r="J5311">
        <f>(1-C5311)*Assumptions!$B$41+(1-D5311)*Assumptions!$B$33+(1-E5311)*Assumptions!$B$32+(1-F5311)*Assumptions!$B$31+(1-G5311)*Assumptions!$B$30+(1-H5311)*Assumptions!$B$29+(1-I5311)*Assumptions!$B$28</f>
        <v/>
      </c>
      <c r="K5311">
        <f>C5311*$J$307+D5311*$F$307+E5311*$G$307+F5311*Assumptions!$B$14+G5311*Assumptions!$B$13+H5311*Assumptions!$B$12+I5311*Assumptions!$B$11+$O$307+$S$307+Assumptions!$B$9</f>
        <v/>
      </c>
      <c r="L5311">
        <f>B5311-J5311</f>
        <v/>
      </c>
      <c r="M5311">
        <f>IF(K5311&gt;0,IF(L5311/K5311&gt;=Assumptions!$B$37,1,0),0)</f>
        <v/>
      </c>
      <c r="N5311">
        <f>K5311+M5311*Assumptions!$B$153</f>
        <v/>
      </c>
      <c r="O5311">
        <f>L5311+M5311*Assumptions!$B$153*Assumptions!$B$37</f>
        <v/>
      </c>
      <c r="P5311">
        <f>IF(N5311&gt;0,O5311/N5311,0)</f>
        <v/>
      </c>
      <c r="Q5311">
        <f>IF(C5311=1,P5311*$J$307,Assumptions!$B$41)</f>
        <v/>
      </c>
      <c r="R5311">
        <f>IF(D5311=1,P5311*$F$307,Assumptions!$B$33)</f>
        <v/>
      </c>
      <c r="S5311">
        <f>IF(E5311=1,P5311*$G$307,Assumptions!$B$32)</f>
        <v/>
      </c>
      <c r="T5311">
        <f>IF(F5311=1,P5311*Assumptions!$B$14,Assumptions!$B$31)</f>
        <v/>
      </c>
      <c r="U5311">
        <f>IF(G5311=1,P5311*Assumptions!$B$13,Assumptions!$B$30)</f>
        <v/>
      </c>
      <c r="V5311">
        <f>IF(H5311=1,P5311*Assumptions!$B$12,Assumptions!$B$29)</f>
        <v/>
      </c>
      <c r="W5311">
        <f>IF(I5311=1,P5311*Assumptions!$B$11,Assumptions!$B$28)</f>
        <v/>
      </c>
      <c r="X5311">
        <f>P5311*($O$307+$S$307)</f>
        <v/>
      </c>
      <c r="Y5311">
        <f>P5311*Assumptions!$B$9</f>
        <v/>
      </c>
      <c r="Z5311">
        <f>IF(M5311=1,(P5311-Assumptions!$B$37)*Assumptions!$B$153,0)</f>
        <v/>
      </c>
      <c r="AA5311">
        <f>Q5311+R5311+S5311+T5311+U5311+V5311+W5311+X5311+Y5311+Z5311</f>
        <v/>
      </c>
      <c r="AB5311" t="n">
        <v>55</v>
      </c>
      <c r="AC5311" t="n">
        <v>119</v>
      </c>
      <c r="AD5311" t="n">
        <v>23</v>
      </c>
      <c r="AE5311" t="n">
        <v>39</v>
      </c>
      <c r="AF5311" t="n">
        <v>63</v>
      </c>
      <c r="AG5311" t="n">
        <v>51</v>
      </c>
      <c r="AH5311" t="n">
        <v>53</v>
      </c>
      <c r="AI5311" t="n">
        <v>54</v>
      </c>
      <c r="AJ5311">
        <f>INDEX($Q$5256:$Q$5383,AC5311+1)</f>
        <v/>
      </c>
      <c r="AK5311">
        <f>INDEX($R$5256:$R$5383,AD5311+1)</f>
        <v/>
      </c>
      <c r="AL5311">
        <f>INDEX($S$5256:$S$5383,AE5311+1)</f>
        <v/>
      </c>
      <c r="AM5311">
        <f>INDEX($T$5256:$T$5383,AF5311+1)</f>
        <v/>
      </c>
      <c r="AN5311">
        <f>INDEX($U$5256:$U$5383,AG5311+1)</f>
        <v/>
      </c>
      <c r="AO5311">
        <f>INDEX($V$5256:$V$5383,AH5311+1)</f>
        <v/>
      </c>
      <c r="AP5311">
        <f>INDEX($W$5256:$W$5383,AI5311+1)</f>
        <v/>
      </c>
      <c r="AQ5311">
        <f>IF(Q5311&gt;=AJ5311-0.01,1,0)</f>
        <v/>
      </c>
      <c r="AR5311">
        <f>IF(R5311&gt;=AK5311-0.01,1,0)</f>
        <v/>
      </c>
      <c r="AS5311">
        <f>IF(S5311&gt;=AL5311-0.01,1,0)</f>
        <v/>
      </c>
      <c r="AT5311">
        <f>IF(T5311&gt;=AM5311-0.01,1,0)</f>
        <v/>
      </c>
      <c r="AU5311">
        <f>IF(U5311&gt;=AN5311-0.01,1,0)</f>
        <v/>
      </c>
      <c r="AV5311">
        <f>IF(V5311&gt;=AO5311-0.01,1,0)</f>
        <v/>
      </c>
      <c r="AW5311">
        <f>IF(W5311&gt;=AP5311-0.01,1,0)</f>
        <v/>
      </c>
      <c r="AX5311">
        <f>AQ5311*AR5311*AS5311*AT5311*AU5311*AV5311*AW5311</f>
        <v/>
      </c>
    </row>
    <row r="5312">
      <c r="A5312" t="inlineStr"/>
      <c r="B5312">
        <f>Assumptions!$B$60</f>
        <v/>
      </c>
      <c r="C5312" t="n">
        <v>0</v>
      </c>
      <c r="D5312" t="n">
        <v>1</v>
      </c>
      <c r="E5312" t="n">
        <v>1</v>
      </c>
      <c r="F5312" t="n">
        <v>1</v>
      </c>
      <c r="G5312" t="n">
        <v>0</v>
      </c>
      <c r="H5312" t="n">
        <v>0</v>
      </c>
      <c r="I5312" t="n">
        <v>0</v>
      </c>
      <c r="J5312">
        <f>(1-C5312)*Assumptions!$B$41+(1-D5312)*Assumptions!$B$33+(1-E5312)*Assumptions!$B$32+(1-F5312)*Assumptions!$B$31+(1-G5312)*Assumptions!$B$30+(1-H5312)*Assumptions!$B$29+(1-I5312)*Assumptions!$B$28</f>
        <v/>
      </c>
      <c r="K5312">
        <f>C5312*$J$307+D5312*$F$307+E5312*$G$307+F5312*Assumptions!$B$14+G5312*Assumptions!$B$13+H5312*Assumptions!$B$12+I5312*Assumptions!$B$11+$O$307+$S$307+Assumptions!$B$9</f>
        <v/>
      </c>
      <c r="L5312">
        <f>B5312-J5312</f>
        <v/>
      </c>
      <c r="M5312">
        <f>IF(K5312&gt;0,IF(L5312/K5312&gt;=Assumptions!$B$37,1,0),0)</f>
        <v/>
      </c>
      <c r="N5312">
        <f>K5312+M5312*Assumptions!$B$153</f>
        <v/>
      </c>
      <c r="O5312">
        <f>L5312+M5312*Assumptions!$B$153*Assumptions!$B$37</f>
        <v/>
      </c>
      <c r="P5312">
        <f>IF(N5312&gt;0,O5312/N5312,0)</f>
        <v/>
      </c>
      <c r="Q5312">
        <f>IF(C5312=1,P5312*$J$307,Assumptions!$B$41)</f>
        <v/>
      </c>
      <c r="R5312">
        <f>IF(D5312=1,P5312*$F$307,Assumptions!$B$33)</f>
        <v/>
      </c>
      <c r="S5312">
        <f>IF(E5312=1,P5312*$G$307,Assumptions!$B$32)</f>
        <v/>
      </c>
      <c r="T5312">
        <f>IF(F5312=1,P5312*Assumptions!$B$14,Assumptions!$B$31)</f>
        <v/>
      </c>
      <c r="U5312">
        <f>IF(G5312=1,P5312*Assumptions!$B$13,Assumptions!$B$30)</f>
        <v/>
      </c>
      <c r="V5312">
        <f>IF(H5312=1,P5312*Assumptions!$B$12,Assumptions!$B$29)</f>
        <v/>
      </c>
      <c r="W5312">
        <f>IF(I5312=1,P5312*Assumptions!$B$11,Assumptions!$B$28)</f>
        <v/>
      </c>
      <c r="X5312">
        <f>P5312*($O$307+$S$307)</f>
        <v/>
      </c>
      <c r="Y5312">
        <f>P5312*Assumptions!$B$9</f>
        <v/>
      </c>
      <c r="Z5312">
        <f>IF(M5312=1,(P5312-Assumptions!$B$37)*Assumptions!$B$153,0)</f>
        <v/>
      </c>
      <c r="AA5312">
        <f>Q5312+R5312+S5312+T5312+U5312+V5312+W5312+X5312+Y5312+Z5312</f>
        <v/>
      </c>
      <c r="AB5312" t="n">
        <v>56</v>
      </c>
      <c r="AC5312" t="n">
        <v>120</v>
      </c>
      <c r="AD5312" t="n">
        <v>24</v>
      </c>
      <c r="AE5312" t="n">
        <v>40</v>
      </c>
      <c r="AF5312" t="n">
        <v>48</v>
      </c>
      <c r="AG5312" t="n">
        <v>60</v>
      </c>
      <c r="AH5312" t="n">
        <v>58</v>
      </c>
      <c r="AI5312" t="n">
        <v>57</v>
      </c>
      <c r="AJ5312">
        <f>INDEX($Q$5256:$Q$5383,AC5312+1)</f>
        <v/>
      </c>
      <c r="AK5312">
        <f>INDEX($R$5256:$R$5383,AD5312+1)</f>
        <v/>
      </c>
      <c r="AL5312">
        <f>INDEX($S$5256:$S$5383,AE5312+1)</f>
        <v/>
      </c>
      <c r="AM5312">
        <f>INDEX($T$5256:$T$5383,AF5312+1)</f>
        <v/>
      </c>
      <c r="AN5312">
        <f>INDEX($U$5256:$U$5383,AG5312+1)</f>
        <v/>
      </c>
      <c r="AO5312">
        <f>INDEX($V$5256:$V$5383,AH5312+1)</f>
        <v/>
      </c>
      <c r="AP5312">
        <f>INDEX($W$5256:$W$5383,AI5312+1)</f>
        <v/>
      </c>
      <c r="AQ5312">
        <f>IF(Q5312&gt;=AJ5312-0.01,1,0)</f>
        <v/>
      </c>
      <c r="AR5312">
        <f>IF(R5312&gt;=AK5312-0.01,1,0)</f>
        <v/>
      </c>
      <c r="AS5312">
        <f>IF(S5312&gt;=AL5312-0.01,1,0)</f>
        <v/>
      </c>
      <c r="AT5312">
        <f>IF(T5312&gt;=AM5312-0.01,1,0)</f>
        <v/>
      </c>
      <c r="AU5312">
        <f>IF(U5312&gt;=AN5312-0.01,1,0)</f>
        <v/>
      </c>
      <c r="AV5312">
        <f>IF(V5312&gt;=AO5312-0.01,1,0)</f>
        <v/>
      </c>
      <c r="AW5312">
        <f>IF(W5312&gt;=AP5312-0.01,1,0)</f>
        <v/>
      </c>
      <c r="AX5312">
        <f>AQ5312*AR5312*AS5312*AT5312*AU5312*AV5312*AW5312</f>
        <v/>
      </c>
    </row>
    <row r="5313">
      <c r="A5313" t="inlineStr"/>
      <c r="B5313">
        <f>Assumptions!$B$60</f>
        <v/>
      </c>
      <c r="C5313" t="n">
        <v>0</v>
      </c>
      <c r="D5313" t="n">
        <v>1</v>
      </c>
      <c r="E5313" t="n">
        <v>1</v>
      </c>
      <c r="F5313" t="n">
        <v>1</v>
      </c>
      <c r="G5313" t="n">
        <v>0</v>
      </c>
      <c r="H5313" t="n">
        <v>0</v>
      </c>
      <c r="I5313" t="n">
        <v>1</v>
      </c>
      <c r="J5313">
        <f>(1-C5313)*Assumptions!$B$41+(1-D5313)*Assumptions!$B$33+(1-E5313)*Assumptions!$B$32+(1-F5313)*Assumptions!$B$31+(1-G5313)*Assumptions!$B$30+(1-H5313)*Assumptions!$B$29+(1-I5313)*Assumptions!$B$28</f>
        <v/>
      </c>
      <c r="K5313">
        <f>C5313*$J$307+D5313*$F$307+E5313*$G$307+F5313*Assumptions!$B$14+G5313*Assumptions!$B$13+H5313*Assumptions!$B$12+I5313*Assumptions!$B$11+$O$307+$S$307+Assumptions!$B$9</f>
        <v/>
      </c>
      <c r="L5313">
        <f>B5313-J5313</f>
        <v/>
      </c>
      <c r="M5313">
        <f>IF(K5313&gt;0,IF(L5313/K5313&gt;=Assumptions!$B$37,1,0),0)</f>
        <v/>
      </c>
      <c r="N5313">
        <f>K5313+M5313*Assumptions!$B$153</f>
        <v/>
      </c>
      <c r="O5313">
        <f>L5313+M5313*Assumptions!$B$153*Assumptions!$B$37</f>
        <v/>
      </c>
      <c r="P5313">
        <f>IF(N5313&gt;0,O5313/N5313,0)</f>
        <v/>
      </c>
      <c r="Q5313">
        <f>IF(C5313=1,P5313*$J$307,Assumptions!$B$41)</f>
        <v/>
      </c>
      <c r="R5313">
        <f>IF(D5313=1,P5313*$F$307,Assumptions!$B$33)</f>
        <v/>
      </c>
      <c r="S5313">
        <f>IF(E5313=1,P5313*$G$307,Assumptions!$B$32)</f>
        <v/>
      </c>
      <c r="T5313">
        <f>IF(F5313=1,P5313*Assumptions!$B$14,Assumptions!$B$31)</f>
        <v/>
      </c>
      <c r="U5313">
        <f>IF(G5313=1,P5313*Assumptions!$B$13,Assumptions!$B$30)</f>
        <v/>
      </c>
      <c r="V5313">
        <f>IF(H5313=1,P5313*Assumptions!$B$12,Assumptions!$B$29)</f>
        <v/>
      </c>
      <c r="W5313">
        <f>IF(I5313=1,P5313*Assumptions!$B$11,Assumptions!$B$28)</f>
        <v/>
      </c>
      <c r="X5313">
        <f>P5313*($O$307+$S$307)</f>
        <v/>
      </c>
      <c r="Y5313">
        <f>P5313*Assumptions!$B$9</f>
        <v/>
      </c>
      <c r="Z5313">
        <f>IF(M5313=1,(P5313-Assumptions!$B$37)*Assumptions!$B$153,0)</f>
        <v/>
      </c>
      <c r="AA5313">
        <f>Q5313+R5313+S5313+T5313+U5313+V5313+W5313+X5313+Y5313+Z5313</f>
        <v/>
      </c>
      <c r="AB5313" t="n">
        <v>57</v>
      </c>
      <c r="AC5313" t="n">
        <v>121</v>
      </c>
      <c r="AD5313" t="n">
        <v>25</v>
      </c>
      <c r="AE5313" t="n">
        <v>41</v>
      </c>
      <c r="AF5313" t="n">
        <v>49</v>
      </c>
      <c r="AG5313" t="n">
        <v>61</v>
      </c>
      <c r="AH5313" t="n">
        <v>59</v>
      </c>
      <c r="AI5313" t="n">
        <v>56</v>
      </c>
      <c r="AJ5313">
        <f>INDEX($Q$5256:$Q$5383,AC5313+1)</f>
        <v/>
      </c>
      <c r="AK5313">
        <f>INDEX($R$5256:$R$5383,AD5313+1)</f>
        <v/>
      </c>
      <c r="AL5313">
        <f>INDEX($S$5256:$S$5383,AE5313+1)</f>
        <v/>
      </c>
      <c r="AM5313">
        <f>INDEX($T$5256:$T$5383,AF5313+1)</f>
        <v/>
      </c>
      <c r="AN5313">
        <f>INDEX($U$5256:$U$5383,AG5313+1)</f>
        <v/>
      </c>
      <c r="AO5313">
        <f>INDEX($V$5256:$V$5383,AH5313+1)</f>
        <v/>
      </c>
      <c r="AP5313">
        <f>INDEX($W$5256:$W$5383,AI5313+1)</f>
        <v/>
      </c>
      <c r="AQ5313">
        <f>IF(Q5313&gt;=AJ5313-0.01,1,0)</f>
        <v/>
      </c>
      <c r="AR5313">
        <f>IF(R5313&gt;=AK5313-0.01,1,0)</f>
        <v/>
      </c>
      <c r="AS5313">
        <f>IF(S5313&gt;=AL5313-0.01,1,0)</f>
        <v/>
      </c>
      <c r="AT5313">
        <f>IF(T5313&gt;=AM5313-0.01,1,0)</f>
        <v/>
      </c>
      <c r="AU5313">
        <f>IF(U5313&gt;=AN5313-0.01,1,0)</f>
        <v/>
      </c>
      <c r="AV5313">
        <f>IF(V5313&gt;=AO5313-0.01,1,0)</f>
        <v/>
      </c>
      <c r="AW5313">
        <f>IF(W5313&gt;=AP5313-0.01,1,0)</f>
        <v/>
      </c>
      <c r="AX5313">
        <f>AQ5313*AR5313*AS5313*AT5313*AU5313*AV5313*AW5313</f>
        <v/>
      </c>
    </row>
    <row r="5314">
      <c r="A5314" t="inlineStr"/>
      <c r="B5314">
        <f>Assumptions!$B$60</f>
        <v/>
      </c>
      <c r="C5314" t="n">
        <v>0</v>
      </c>
      <c r="D5314" t="n">
        <v>1</v>
      </c>
      <c r="E5314" t="n">
        <v>1</v>
      </c>
      <c r="F5314" t="n">
        <v>1</v>
      </c>
      <c r="G5314" t="n">
        <v>0</v>
      </c>
      <c r="H5314" t="n">
        <v>1</v>
      </c>
      <c r="I5314" t="n">
        <v>0</v>
      </c>
      <c r="J5314">
        <f>(1-C5314)*Assumptions!$B$41+(1-D5314)*Assumptions!$B$33+(1-E5314)*Assumptions!$B$32+(1-F5314)*Assumptions!$B$31+(1-G5314)*Assumptions!$B$30+(1-H5314)*Assumptions!$B$29+(1-I5314)*Assumptions!$B$28</f>
        <v/>
      </c>
      <c r="K5314">
        <f>C5314*$J$307+D5314*$F$307+E5314*$G$307+F5314*Assumptions!$B$14+G5314*Assumptions!$B$13+H5314*Assumptions!$B$12+I5314*Assumptions!$B$11+$O$307+$S$307+Assumptions!$B$9</f>
        <v/>
      </c>
      <c r="L5314">
        <f>B5314-J5314</f>
        <v/>
      </c>
      <c r="M5314">
        <f>IF(K5314&gt;0,IF(L5314/K5314&gt;=Assumptions!$B$37,1,0),0)</f>
        <v/>
      </c>
      <c r="N5314">
        <f>K5314+M5314*Assumptions!$B$153</f>
        <v/>
      </c>
      <c r="O5314">
        <f>L5314+M5314*Assumptions!$B$153*Assumptions!$B$37</f>
        <v/>
      </c>
      <c r="P5314">
        <f>IF(N5314&gt;0,O5314/N5314,0)</f>
        <v/>
      </c>
      <c r="Q5314">
        <f>IF(C5314=1,P5314*$J$307,Assumptions!$B$41)</f>
        <v/>
      </c>
      <c r="R5314">
        <f>IF(D5314=1,P5314*$F$307,Assumptions!$B$33)</f>
        <v/>
      </c>
      <c r="S5314">
        <f>IF(E5314=1,P5314*$G$307,Assumptions!$B$32)</f>
        <v/>
      </c>
      <c r="T5314">
        <f>IF(F5314=1,P5314*Assumptions!$B$14,Assumptions!$B$31)</f>
        <v/>
      </c>
      <c r="U5314">
        <f>IF(G5314=1,P5314*Assumptions!$B$13,Assumptions!$B$30)</f>
        <v/>
      </c>
      <c r="V5314">
        <f>IF(H5314=1,P5314*Assumptions!$B$12,Assumptions!$B$29)</f>
        <v/>
      </c>
      <c r="W5314">
        <f>IF(I5314=1,P5314*Assumptions!$B$11,Assumptions!$B$28)</f>
        <v/>
      </c>
      <c r="X5314">
        <f>P5314*($O$307+$S$307)</f>
        <v/>
      </c>
      <c r="Y5314">
        <f>P5314*Assumptions!$B$9</f>
        <v/>
      </c>
      <c r="Z5314">
        <f>IF(M5314=1,(P5314-Assumptions!$B$37)*Assumptions!$B$153,0)</f>
        <v/>
      </c>
      <c r="AA5314">
        <f>Q5314+R5314+S5314+T5314+U5314+V5314+W5314+X5314+Y5314+Z5314</f>
        <v/>
      </c>
      <c r="AB5314" t="n">
        <v>58</v>
      </c>
      <c r="AC5314" t="n">
        <v>122</v>
      </c>
      <c r="AD5314" t="n">
        <v>26</v>
      </c>
      <c r="AE5314" t="n">
        <v>42</v>
      </c>
      <c r="AF5314" t="n">
        <v>50</v>
      </c>
      <c r="AG5314" t="n">
        <v>62</v>
      </c>
      <c r="AH5314" t="n">
        <v>56</v>
      </c>
      <c r="AI5314" t="n">
        <v>59</v>
      </c>
      <c r="AJ5314">
        <f>INDEX($Q$5256:$Q$5383,AC5314+1)</f>
        <v/>
      </c>
      <c r="AK5314">
        <f>INDEX($R$5256:$R$5383,AD5314+1)</f>
        <v/>
      </c>
      <c r="AL5314">
        <f>INDEX($S$5256:$S$5383,AE5314+1)</f>
        <v/>
      </c>
      <c r="AM5314">
        <f>INDEX($T$5256:$T$5383,AF5314+1)</f>
        <v/>
      </c>
      <c r="AN5314">
        <f>INDEX($U$5256:$U$5383,AG5314+1)</f>
        <v/>
      </c>
      <c r="AO5314">
        <f>INDEX($V$5256:$V$5383,AH5314+1)</f>
        <v/>
      </c>
      <c r="AP5314">
        <f>INDEX($W$5256:$W$5383,AI5314+1)</f>
        <v/>
      </c>
      <c r="AQ5314">
        <f>IF(Q5314&gt;=AJ5314-0.01,1,0)</f>
        <v/>
      </c>
      <c r="AR5314">
        <f>IF(R5314&gt;=AK5314-0.01,1,0)</f>
        <v/>
      </c>
      <c r="AS5314">
        <f>IF(S5314&gt;=AL5314-0.01,1,0)</f>
        <v/>
      </c>
      <c r="AT5314">
        <f>IF(T5314&gt;=AM5314-0.01,1,0)</f>
        <v/>
      </c>
      <c r="AU5314">
        <f>IF(U5314&gt;=AN5314-0.01,1,0)</f>
        <v/>
      </c>
      <c r="AV5314">
        <f>IF(V5314&gt;=AO5314-0.01,1,0)</f>
        <v/>
      </c>
      <c r="AW5314">
        <f>IF(W5314&gt;=AP5314-0.01,1,0)</f>
        <v/>
      </c>
      <c r="AX5314">
        <f>AQ5314*AR5314*AS5314*AT5314*AU5314*AV5314*AW5314</f>
        <v/>
      </c>
    </row>
    <row r="5315">
      <c r="A5315" t="inlineStr"/>
      <c r="B5315">
        <f>Assumptions!$B$60</f>
        <v/>
      </c>
      <c r="C5315" t="n">
        <v>0</v>
      </c>
      <c r="D5315" t="n">
        <v>1</v>
      </c>
      <c r="E5315" t="n">
        <v>1</v>
      </c>
      <c r="F5315" t="n">
        <v>1</v>
      </c>
      <c r="G5315" t="n">
        <v>0</v>
      </c>
      <c r="H5315" t="n">
        <v>1</v>
      </c>
      <c r="I5315" t="n">
        <v>1</v>
      </c>
      <c r="J5315">
        <f>(1-C5315)*Assumptions!$B$41+(1-D5315)*Assumptions!$B$33+(1-E5315)*Assumptions!$B$32+(1-F5315)*Assumptions!$B$31+(1-G5315)*Assumptions!$B$30+(1-H5315)*Assumptions!$B$29+(1-I5315)*Assumptions!$B$28</f>
        <v/>
      </c>
      <c r="K5315">
        <f>C5315*$J$307+D5315*$F$307+E5315*$G$307+F5315*Assumptions!$B$14+G5315*Assumptions!$B$13+H5315*Assumptions!$B$12+I5315*Assumptions!$B$11+$O$307+$S$307+Assumptions!$B$9</f>
        <v/>
      </c>
      <c r="L5315">
        <f>B5315-J5315</f>
        <v/>
      </c>
      <c r="M5315">
        <f>IF(K5315&gt;0,IF(L5315/K5315&gt;=Assumptions!$B$37,1,0),0)</f>
        <v/>
      </c>
      <c r="N5315">
        <f>K5315+M5315*Assumptions!$B$153</f>
        <v/>
      </c>
      <c r="O5315">
        <f>L5315+M5315*Assumptions!$B$153*Assumptions!$B$37</f>
        <v/>
      </c>
      <c r="P5315">
        <f>IF(N5315&gt;0,O5315/N5315,0)</f>
        <v/>
      </c>
      <c r="Q5315">
        <f>IF(C5315=1,P5315*$J$307,Assumptions!$B$41)</f>
        <v/>
      </c>
      <c r="R5315">
        <f>IF(D5315=1,P5315*$F$307,Assumptions!$B$33)</f>
        <v/>
      </c>
      <c r="S5315">
        <f>IF(E5315=1,P5315*$G$307,Assumptions!$B$32)</f>
        <v/>
      </c>
      <c r="T5315">
        <f>IF(F5315=1,P5315*Assumptions!$B$14,Assumptions!$B$31)</f>
        <v/>
      </c>
      <c r="U5315">
        <f>IF(G5315=1,P5315*Assumptions!$B$13,Assumptions!$B$30)</f>
        <v/>
      </c>
      <c r="V5315">
        <f>IF(H5315=1,P5315*Assumptions!$B$12,Assumptions!$B$29)</f>
        <v/>
      </c>
      <c r="W5315">
        <f>IF(I5315=1,P5315*Assumptions!$B$11,Assumptions!$B$28)</f>
        <v/>
      </c>
      <c r="X5315">
        <f>P5315*($O$307+$S$307)</f>
        <v/>
      </c>
      <c r="Y5315">
        <f>P5315*Assumptions!$B$9</f>
        <v/>
      </c>
      <c r="Z5315">
        <f>IF(M5315=1,(P5315-Assumptions!$B$37)*Assumptions!$B$153,0)</f>
        <v/>
      </c>
      <c r="AA5315">
        <f>Q5315+R5315+S5315+T5315+U5315+V5315+W5315+X5315+Y5315+Z5315</f>
        <v/>
      </c>
      <c r="AB5315" t="n">
        <v>59</v>
      </c>
      <c r="AC5315" t="n">
        <v>123</v>
      </c>
      <c r="AD5315" t="n">
        <v>27</v>
      </c>
      <c r="AE5315" t="n">
        <v>43</v>
      </c>
      <c r="AF5315" t="n">
        <v>51</v>
      </c>
      <c r="AG5315" t="n">
        <v>63</v>
      </c>
      <c r="AH5315" t="n">
        <v>57</v>
      </c>
      <c r="AI5315" t="n">
        <v>58</v>
      </c>
      <c r="AJ5315">
        <f>INDEX($Q$5256:$Q$5383,AC5315+1)</f>
        <v/>
      </c>
      <c r="AK5315">
        <f>INDEX($R$5256:$R$5383,AD5315+1)</f>
        <v/>
      </c>
      <c r="AL5315">
        <f>INDEX($S$5256:$S$5383,AE5315+1)</f>
        <v/>
      </c>
      <c r="AM5315">
        <f>INDEX($T$5256:$T$5383,AF5315+1)</f>
        <v/>
      </c>
      <c r="AN5315">
        <f>INDEX($U$5256:$U$5383,AG5315+1)</f>
        <v/>
      </c>
      <c r="AO5315">
        <f>INDEX($V$5256:$V$5383,AH5315+1)</f>
        <v/>
      </c>
      <c r="AP5315">
        <f>INDEX($W$5256:$W$5383,AI5315+1)</f>
        <v/>
      </c>
      <c r="AQ5315">
        <f>IF(Q5315&gt;=AJ5315-0.01,1,0)</f>
        <v/>
      </c>
      <c r="AR5315">
        <f>IF(R5315&gt;=AK5315-0.01,1,0)</f>
        <v/>
      </c>
      <c r="AS5315">
        <f>IF(S5315&gt;=AL5315-0.01,1,0)</f>
        <v/>
      </c>
      <c r="AT5315">
        <f>IF(T5315&gt;=AM5315-0.01,1,0)</f>
        <v/>
      </c>
      <c r="AU5315">
        <f>IF(U5315&gt;=AN5315-0.01,1,0)</f>
        <v/>
      </c>
      <c r="AV5315">
        <f>IF(V5315&gt;=AO5315-0.01,1,0)</f>
        <v/>
      </c>
      <c r="AW5315">
        <f>IF(W5315&gt;=AP5315-0.01,1,0)</f>
        <v/>
      </c>
      <c r="AX5315">
        <f>AQ5315*AR5315*AS5315*AT5315*AU5315*AV5315*AW5315</f>
        <v/>
      </c>
    </row>
    <row r="5316">
      <c r="A5316" t="inlineStr"/>
      <c r="B5316">
        <f>Assumptions!$B$60</f>
        <v/>
      </c>
      <c r="C5316" t="n">
        <v>0</v>
      </c>
      <c r="D5316" t="n">
        <v>1</v>
      </c>
      <c r="E5316" t="n">
        <v>1</v>
      </c>
      <c r="F5316" t="n">
        <v>1</v>
      </c>
      <c r="G5316" t="n">
        <v>1</v>
      </c>
      <c r="H5316" t="n">
        <v>0</v>
      </c>
      <c r="I5316" t="n">
        <v>0</v>
      </c>
      <c r="J5316">
        <f>(1-C5316)*Assumptions!$B$41+(1-D5316)*Assumptions!$B$33+(1-E5316)*Assumptions!$B$32+(1-F5316)*Assumptions!$B$31+(1-G5316)*Assumptions!$B$30+(1-H5316)*Assumptions!$B$29+(1-I5316)*Assumptions!$B$28</f>
        <v/>
      </c>
      <c r="K5316">
        <f>C5316*$J$307+D5316*$F$307+E5316*$G$307+F5316*Assumptions!$B$14+G5316*Assumptions!$B$13+H5316*Assumptions!$B$12+I5316*Assumptions!$B$11+$O$307+$S$307+Assumptions!$B$9</f>
        <v/>
      </c>
      <c r="L5316">
        <f>B5316-J5316</f>
        <v/>
      </c>
      <c r="M5316">
        <f>IF(K5316&gt;0,IF(L5316/K5316&gt;=Assumptions!$B$37,1,0),0)</f>
        <v/>
      </c>
      <c r="N5316">
        <f>K5316+M5316*Assumptions!$B$153</f>
        <v/>
      </c>
      <c r="O5316">
        <f>L5316+M5316*Assumptions!$B$153*Assumptions!$B$37</f>
        <v/>
      </c>
      <c r="P5316">
        <f>IF(N5316&gt;0,O5316/N5316,0)</f>
        <v/>
      </c>
      <c r="Q5316">
        <f>IF(C5316=1,P5316*$J$307,Assumptions!$B$41)</f>
        <v/>
      </c>
      <c r="R5316">
        <f>IF(D5316=1,P5316*$F$307,Assumptions!$B$33)</f>
        <v/>
      </c>
      <c r="S5316">
        <f>IF(E5316=1,P5316*$G$307,Assumptions!$B$32)</f>
        <v/>
      </c>
      <c r="T5316">
        <f>IF(F5316=1,P5316*Assumptions!$B$14,Assumptions!$B$31)</f>
        <v/>
      </c>
      <c r="U5316">
        <f>IF(G5316=1,P5316*Assumptions!$B$13,Assumptions!$B$30)</f>
        <v/>
      </c>
      <c r="V5316">
        <f>IF(H5316=1,P5316*Assumptions!$B$12,Assumptions!$B$29)</f>
        <v/>
      </c>
      <c r="W5316">
        <f>IF(I5316=1,P5316*Assumptions!$B$11,Assumptions!$B$28)</f>
        <v/>
      </c>
      <c r="X5316">
        <f>P5316*($O$307+$S$307)</f>
        <v/>
      </c>
      <c r="Y5316">
        <f>P5316*Assumptions!$B$9</f>
        <v/>
      </c>
      <c r="Z5316">
        <f>IF(M5316=1,(P5316-Assumptions!$B$37)*Assumptions!$B$153,0)</f>
        <v/>
      </c>
      <c r="AA5316">
        <f>Q5316+R5316+S5316+T5316+U5316+V5316+W5316+X5316+Y5316+Z5316</f>
        <v/>
      </c>
      <c r="AB5316" t="n">
        <v>60</v>
      </c>
      <c r="AC5316" t="n">
        <v>124</v>
      </c>
      <c r="AD5316" t="n">
        <v>28</v>
      </c>
      <c r="AE5316" t="n">
        <v>44</v>
      </c>
      <c r="AF5316" t="n">
        <v>52</v>
      </c>
      <c r="AG5316" t="n">
        <v>56</v>
      </c>
      <c r="AH5316" t="n">
        <v>62</v>
      </c>
      <c r="AI5316" t="n">
        <v>61</v>
      </c>
      <c r="AJ5316">
        <f>INDEX($Q$5256:$Q$5383,AC5316+1)</f>
        <v/>
      </c>
      <c r="AK5316">
        <f>INDEX($R$5256:$R$5383,AD5316+1)</f>
        <v/>
      </c>
      <c r="AL5316">
        <f>INDEX($S$5256:$S$5383,AE5316+1)</f>
        <v/>
      </c>
      <c r="AM5316">
        <f>INDEX($T$5256:$T$5383,AF5316+1)</f>
        <v/>
      </c>
      <c r="AN5316">
        <f>INDEX($U$5256:$U$5383,AG5316+1)</f>
        <v/>
      </c>
      <c r="AO5316">
        <f>INDEX($V$5256:$V$5383,AH5316+1)</f>
        <v/>
      </c>
      <c r="AP5316">
        <f>INDEX($W$5256:$W$5383,AI5316+1)</f>
        <v/>
      </c>
      <c r="AQ5316">
        <f>IF(Q5316&gt;=AJ5316-0.01,1,0)</f>
        <v/>
      </c>
      <c r="AR5316">
        <f>IF(R5316&gt;=AK5316-0.01,1,0)</f>
        <v/>
      </c>
      <c r="AS5316">
        <f>IF(S5316&gt;=AL5316-0.01,1,0)</f>
        <v/>
      </c>
      <c r="AT5316">
        <f>IF(T5316&gt;=AM5316-0.01,1,0)</f>
        <v/>
      </c>
      <c r="AU5316">
        <f>IF(U5316&gt;=AN5316-0.01,1,0)</f>
        <v/>
      </c>
      <c r="AV5316">
        <f>IF(V5316&gt;=AO5316-0.01,1,0)</f>
        <v/>
      </c>
      <c r="AW5316">
        <f>IF(W5316&gt;=AP5316-0.01,1,0)</f>
        <v/>
      </c>
      <c r="AX5316">
        <f>AQ5316*AR5316*AS5316*AT5316*AU5316*AV5316*AW5316</f>
        <v/>
      </c>
    </row>
    <row r="5317">
      <c r="A5317" t="inlineStr"/>
      <c r="B5317">
        <f>Assumptions!$B$60</f>
        <v/>
      </c>
      <c r="C5317" t="n">
        <v>0</v>
      </c>
      <c r="D5317" t="n">
        <v>1</v>
      </c>
      <c r="E5317" t="n">
        <v>1</v>
      </c>
      <c r="F5317" t="n">
        <v>1</v>
      </c>
      <c r="G5317" t="n">
        <v>1</v>
      </c>
      <c r="H5317" t="n">
        <v>0</v>
      </c>
      <c r="I5317" t="n">
        <v>1</v>
      </c>
      <c r="J5317">
        <f>(1-C5317)*Assumptions!$B$41+(1-D5317)*Assumptions!$B$33+(1-E5317)*Assumptions!$B$32+(1-F5317)*Assumptions!$B$31+(1-G5317)*Assumptions!$B$30+(1-H5317)*Assumptions!$B$29+(1-I5317)*Assumptions!$B$28</f>
        <v/>
      </c>
      <c r="K5317">
        <f>C5317*$J$307+D5317*$F$307+E5317*$G$307+F5317*Assumptions!$B$14+G5317*Assumptions!$B$13+H5317*Assumptions!$B$12+I5317*Assumptions!$B$11+$O$307+$S$307+Assumptions!$B$9</f>
        <v/>
      </c>
      <c r="L5317">
        <f>B5317-J5317</f>
        <v/>
      </c>
      <c r="M5317">
        <f>IF(K5317&gt;0,IF(L5317/K5317&gt;=Assumptions!$B$37,1,0),0)</f>
        <v/>
      </c>
      <c r="N5317">
        <f>K5317+M5317*Assumptions!$B$153</f>
        <v/>
      </c>
      <c r="O5317">
        <f>L5317+M5317*Assumptions!$B$153*Assumptions!$B$37</f>
        <v/>
      </c>
      <c r="P5317">
        <f>IF(N5317&gt;0,O5317/N5317,0)</f>
        <v/>
      </c>
      <c r="Q5317">
        <f>IF(C5317=1,P5317*$J$307,Assumptions!$B$41)</f>
        <v/>
      </c>
      <c r="R5317">
        <f>IF(D5317=1,P5317*$F$307,Assumptions!$B$33)</f>
        <v/>
      </c>
      <c r="S5317">
        <f>IF(E5317=1,P5317*$G$307,Assumptions!$B$32)</f>
        <v/>
      </c>
      <c r="T5317">
        <f>IF(F5317=1,P5317*Assumptions!$B$14,Assumptions!$B$31)</f>
        <v/>
      </c>
      <c r="U5317">
        <f>IF(G5317=1,P5317*Assumptions!$B$13,Assumptions!$B$30)</f>
        <v/>
      </c>
      <c r="V5317">
        <f>IF(H5317=1,P5317*Assumptions!$B$12,Assumptions!$B$29)</f>
        <v/>
      </c>
      <c r="W5317">
        <f>IF(I5317=1,P5317*Assumptions!$B$11,Assumptions!$B$28)</f>
        <v/>
      </c>
      <c r="X5317">
        <f>P5317*($O$307+$S$307)</f>
        <v/>
      </c>
      <c r="Y5317">
        <f>P5317*Assumptions!$B$9</f>
        <v/>
      </c>
      <c r="Z5317">
        <f>IF(M5317=1,(P5317-Assumptions!$B$37)*Assumptions!$B$153,0)</f>
        <v/>
      </c>
      <c r="AA5317">
        <f>Q5317+R5317+S5317+T5317+U5317+V5317+W5317+X5317+Y5317+Z5317</f>
        <v/>
      </c>
      <c r="AB5317" t="n">
        <v>61</v>
      </c>
      <c r="AC5317" t="n">
        <v>125</v>
      </c>
      <c r="AD5317" t="n">
        <v>29</v>
      </c>
      <c r="AE5317" t="n">
        <v>45</v>
      </c>
      <c r="AF5317" t="n">
        <v>53</v>
      </c>
      <c r="AG5317" t="n">
        <v>57</v>
      </c>
      <c r="AH5317" t="n">
        <v>63</v>
      </c>
      <c r="AI5317" t="n">
        <v>60</v>
      </c>
      <c r="AJ5317">
        <f>INDEX($Q$5256:$Q$5383,AC5317+1)</f>
        <v/>
      </c>
      <c r="AK5317">
        <f>INDEX($R$5256:$R$5383,AD5317+1)</f>
        <v/>
      </c>
      <c r="AL5317">
        <f>INDEX($S$5256:$S$5383,AE5317+1)</f>
        <v/>
      </c>
      <c r="AM5317">
        <f>INDEX($T$5256:$T$5383,AF5317+1)</f>
        <v/>
      </c>
      <c r="AN5317">
        <f>INDEX($U$5256:$U$5383,AG5317+1)</f>
        <v/>
      </c>
      <c r="AO5317">
        <f>INDEX($V$5256:$V$5383,AH5317+1)</f>
        <v/>
      </c>
      <c r="AP5317">
        <f>INDEX($W$5256:$W$5383,AI5317+1)</f>
        <v/>
      </c>
      <c r="AQ5317">
        <f>IF(Q5317&gt;=AJ5317-0.01,1,0)</f>
        <v/>
      </c>
      <c r="AR5317">
        <f>IF(R5317&gt;=AK5317-0.01,1,0)</f>
        <v/>
      </c>
      <c r="AS5317">
        <f>IF(S5317&gt;=AL5317-0.01,1,0)</f>
        <v/>
      </c>
      <c r="AT5317">
        <f>IF(T5317&gt;=AM5317-0.01,1,0)</f>
        <v/>
      </c>
      <c r="AU5317">
        <f>IF(U5317&gt;=AN5317-0.01,1,0)</f>
        <v/>
      </c>
      <c r="AV5317">
        <f>IF(V5317&gt;=AO5317-0.01,1,0)</f>
        <v/>
      </c>
      <c r="AW5317">
        <f>IF(W5317&gt;=AP5317-0.01,1,0)</f>
        <v/>
      </c>
      <c r="AX5317">
        <f>AQ5317*AR5317*AS5317*AT5317*AU5317*AV5317*AW5317</f>
        <v/>
      </c>
    </row>
    <row r="5318">
      <c r="A5318" t="inlineStr"/>
      <c r="B5318">
        <f>Assumptions!$B$60</f>
        <v/>
      </c>
      <c r="C5318" t="n">
        <v>0</v>
      </c>
      <c r="D5318" t="n">
        <v>1</v>
      </c>
      <c r="E5318" t="n">
        <v>1</v>
      </c>
      <c r="F5318" t="n">
        <v>1</v>
      </c>
      <c r="G5318" t="n">
        <v>1</v>
      </c>
      <c r="H5318" t="n">
        <v>1</v>
      </c>
      <c r="I5318" t="n">
        <v>0</v>
      </c>
      <c r="J5318">
        <f>(1-C5318)*Assumptions!$B$41+(1-D5318)*Assumptions!$B$33+(1-E5318)*Assumptions!$B$32+(1-F5318)*Assumptions!$B$31+(1-G5318)*Assumptions!$B$30+(1-H5318)*Assumptions!$B$29+(1-I5318)*Assumptions!$B$28</f>
        <v/>
      </c>
      <c r="K5318">
        <f>C5318*$J$307+D5318*$F$307+E5318*$G$307+F5318*Assumptions!$B$14+G5318*Assumptions!$B$13+H5318*Assumptions!$B$12+I5318*Assumptions!$B$11+$O$307+$S$307+Assumptions!$B$9</f>
        <v/>
      </c>
      <c r="L5318">
        <f>B5318-J5318</f>
        <v/>
      </c>
      <c r="M5318">
        <f>IF(K5318&gt;0,IF(L5318/K5318&gt;=Assumptions!$B$37,1,0),0)</f>
        <v/>
      </c>
      <c r="N5318">
        <f>K5318+M5318*Assumptions!$B$153</f>
        <v/>
      </c>
      <c r="O5318">
        <f>L5318+M5318*Assumptions!$B$153*Assumptions!$B$37</f>
        <v/>
      </c>
      <c r="P5318">
        <f>IF(N5318&gt;0,O5318/N5318,0)</f>
        <v/>
      </c>
      <c r="Q5318">
        <f>IF(C5318=1,P5318*$J$307,Assumptions!$B$41)</f>
        <v/>
      </c>
      <c r="R5318">
        <f>IF(D5318=1,P5318*$F$307,Assumptions!$B$33)</f>
        <v/>
      </c>
      <c r="S5318">
        <f>IF(E5318=1,P5318*$G$307,Assumptions!$B$32)</f>
        <v/>
      </c>
      <c r="T5318">
        <f>IF(F5318=1,P5318*Assumptions!$B$14,Assumptions!$B$31)</f>
        <v/>
      </c>
      <c r="U5318">
        <f>IF(G5318=1,P5318*Assumptions!$B$13,Assumptions!$B$30)</f>
        <v/>
      </c>
      <c r="V5318">
        <f>IF(H5318=1,P5318*Assumptions!$B$12,Assumptions!$B$29)</f>
        <v/>
      </c>
      <c r="W5318">
        <f>IF(I5318=1,P5318*Assumptions!$B$11,Assumptions!$B$28)</f>
        <v/>
      </c>
      <c r="X5318">
        <f>P5318*($O$307+$S$307)</f>
        <v/>
      </c>
      <c r="Y5318">
        <f>P5318*Assumptions!$B$9</f>
        <v/>
      </c>
      <c r="Z5318">
        <f>IF(M5318=1,(P5318-Assumptions!$B$37)*Assumptions!$B$153,0)</f>
        <v/>
      </c>
      <c r="AA5318">
        <f>Q5318+R5318+S5318+T5318+U5318+V5318+W5318+X5318+Y5318+Z5318</f>
        <v/>
      </c>
      <c r="AB5318" t="n">
        <v>62</v>
      </c>
      <c r="AC5318" t="n">
        <v>126</v>
      </c>
      <c r="AD5318" t="n">
        <v>30</v>
      </c>
      <c r="AE5318" t="n">
        <v>46</v>
      </c>
      <c r="AF5318" t="n">
        <v>54</v>
      </c>
      <c r="AG5318" t="n">
        <v>58</v>
      </c>
      <c r="AH5318" t="n">
        <v>60</v>
      </c>
      <c r="AI5318" t="n">
        <v>63</v>
      </c>
      <c r="AJ5318">
        <f>INDEX($Q$5256:$Q$5383,AC5318+1)</f>
        <v/>
      </c>
      <c r="AK5318">
        <f>INDEX($R$5256:$R$5383,AD5318+1)</f>
        <v/>
      </c>
      <c r="AL5318">
        <f>INDEX($S$5256:$S$5383,AE5318+1)</f>
        <v/>
      </c>
      <c r="AM5318">
        <f>INDEX($T$5256:$T$5383,AF5318+1)</f>
        <v/>
      </c>
      <c r="AN5318">
        <f>INDEX($U$5256:$U$5383,AG5318+1)</f>
        <v/>
      </c>
      <c r="AO5318">
        <f>INDEX($V$5256:$V$5383,AH5318+1)</f>
        <v/>
      </c>
      <c r="AP5318">
        <f>INDEX($W$5256:$W$5383,AI5318+1)</f>
        <v/>
      </c>
      <c r="AQ5318">
        <f>IF(Q5318&gt;=AJ5318-0.01,1,0)</f>
        <v/>
      </c>
      <c r="AR5318">
        <f>IF(R5318&gt;=AK5318-0.01,1,0)</f>
        <v/>
      </c>
      <c r="AS5318">
        <f>IF(S5318&gt;=AL5318-0.01,1,0)</f>
        <v/>
      </c>
      <c r="AT5318">
        <f>IF(T5318&gt;=AM5318-0.01,1,0)</f>
        <v/>
      </c>
      <c r="AU5318">
        <f>IF(U5318&gt;=AN5318-0.01,1,0)</f>
        <v/>
      </c>
      <c r="AV5318">
        <f>IF(V5318&gt;=AO5318-0.01,1,0)</f>
        <v/>
      </c>
      <c r="AW5318">
        <f>IF(W5318&gt;=AP5318-0.01,1,0)</f>
        <v/>
      </c>
      <c r="AX5318">
        <f>AQ5318*AR5318*AS5318*AT5318*AU5318*AV5318*AW5318</f>
        <v/>
      </c>
    </row>
    <row r="5319">
      <c r="A5319" t="inlineStr"/>
      <c r="B5319">
        <f>Assumptions!$B$60</f>
        <v/>
      </c>
      <c r="C5319" t="n">
        <v>0</v>
      </c>
      <c r="D5319" t="n">
        <v>1</v>
      </c>
      <c r="E5319" t="n">
        <v>1</v>
      </c>
      <c r="F5319" t="n">
        <v>1</v>
      </c>
      <c r="G5319" t="n">
        <v>1</v>
      </c>
      <c r="H5319" t="n">
        <v>1</v>
      </c>
      <c r="I5319" t="n">
        <v>1</v>
      </c>
      <c r="J5319">
        <f>(1-C5319)*Assumptions!$B$41+(1-D5319)*Assumptions!$B$33+(1-E5319)*Assumptions!$B$32+(1-F5319)*Assumptions!$B$31+(1-G5319)*Assumptions!$B$30+(1-H5319)*Assumptions!$B$29+(1-I5319)*Assumptions!$B$28</f>
        <v/>
      </c>
      <c r="K5319">
        <f>C5319*$J$307+D5319*$F$307+E5319*$G$307+F5319*Assumptions!$B$14+G5319*Assumptions!$B$13+H5319*Assumptions!$B$12+I5319*Assumptions!$B$11+$O$307+$S$307+Assumptions!$B$9</f>
        <v/>
      </c>
      <c r="L5319">
        <f>B5319-J5319</f>
        <v/>
      </c>
      <c r="M5319">
        <f>IF(K5319&gt;0,IF(L5319/K5319&gt;=Assumptions!$B$37,1,0),0)</f>
        <v/>
      </c>
      <c r="N5319">
        <f>K5319+M5319*Assumptions!$B$153</f>
        <v/>
      </c>
      <c r="O5319">
        <f>L5319+M5319*Assumptions!$B$153*Assumptions!$B$37</f>
        <v/>
      </c>
      <c r="P5319">
        <f>IF(N5319&gt;0,O5319/N5319,0)</f>
        <v/>
      </c>
      <c r="Q5319">
        <f>IF(C5319=1,P5319*$J$307,Assumptions!$B$41)</f>
        <v/>
      </c>
      <c r="R5319">
        <f>IF(D5319=1,P5319*$F$307,Assumptions!$B$33)</f>
        <v/>
      </c>
      <c r="S5319">
        <f>IF(E5319=1,P5319*$G$307,Assumptions!$B$32)</f>
        <v/>
      </c>
      <c r="T5319">
        <f>IF(F5319=1,P5319*Assumptions!$B$14,Assumptions!$B$31)</f>
        <v/>
      </c>
      <c r="U5319">
        <f>IF(G5319=1,P5319*Assumptions!$B$13,Assumptions!$B$30)</f>
        <v/>
      </c>
      <c r="V5319">
        <f>IF(H5319=1,P5319*Assumptions!$B$12,Assumptions!$B$29)</f>
        <v/>
      </c>
      <c r="W5319">
        <f>IF(I5319=1,P5319*Assumptions!$B$11,Assumptions!$B$28)</f>
        <v/>
      </c>
      <c r="X5319">
        <f>P5319*($O$307+$S$307)</f>
        <v/>
      </c>
      <c r="Y5319">
        <f>P5319*Assumptions!$B$9</f>
        <v/>
      </c>
      <c r="Z5319">
        <f>IF(M5319=1,(P5319-Assumptions!$B$37)*Assumptions!$B$153,0)</f>
        <v/>
      </c>
      <c r="AA5319">
        <f>Q5319+R5319+S5319+T5319+U5319+V5319+W5319+X5319+Y5319+Z5319</f>
        <v/>
      </c>
      <c r="AB5319" t="n">
        <v>63</v>
      </c>
      <c r="AC5319" t="n">
        <v>127</v>
      </c>
      <c r="AD5319" t="n">
        <v>31</v>
      </c>
      <c r="AE5319" t="n">
        <v>47</v>
      </c>
      <c r="AF5319" t="n">
        <v>55</v>
      </c>
      <c r="AG5319" t="n">
        <v>59</v>
      </c>
      <c r="AH5319" t="n">
        <v>61</v>
      </c>
      <c r="AI5319" t="n">
        <v>62</v>
      </c>
      <c r="AJ5319">
        <f>INDEX($Q$5256:$Q$5383,AC5319+1)</f>
        <v/>
      </c>
      <c r="AK5319">
        <f>INDEX($R$5256:$R$5383,AD5319+1)</f>
        <v/>
      </c>
      <c r="AL5319">
        <f>INDEX($S$5256:$S$5383,AE5319+1)</f>
        <v/>
      </c>
      <c r="AM5319">
        <f>INDEX($T$5256:$T$5383,AF5319+1)</f>
        <v/>
      </c>
      <c r="AN5319">
        <f>INDEX($U$5256:$U$5383,AG5319+1)</f>
        <v/>
      </c>
      <c r="AO5319">
        <f>INDEX($V$5256:$V$5383,AH5319+1)</f>
        <v/>
      </c>
      <c r="AP5319">
        <f>INDEX($W$5256:$W$5383,AI5319+1)</f>
        <v/>
      </c>
      <c r="AQ5319">
        <f>IF(Q5319&gt;=AJ5319-0.01,1,0)</f>
        <v/>
      </c>
      <c r="AR5319">
        <f>IF(R5319&gt;=AK5319-0.01,1,0)</f>
        <v/>
      </c>
      <c r="AS5319">
        <f>IF(S5319&gt;=AL5319-0.01,1,0)</f>
        <v/>
      </c>
      <c r="AT5319">
        <f>IF(T5319&gt;=AM5319-0.01,1,0)</f>
        <v/>
      </c>
      <c r="AU5319">
        <f>IF(U5319&gt;=AN5319-0.01,1,0)</f>
        <v/>
      </c>
      <c r="AV5319">
        <f>IF(V5319&gt;=AO5319-0.01,1,0)</f>
        <v/>
      </c>
      <c r="AW5319">
        <f>IF(W5319&gt;=AP5319-0.01,1,0)</f>
        <v/>
      </c>
      <c r="AX5319">
        <f>AQ5319*AR5319*AS5319*AT5319*AU5319*AV5319*AW5319</f>
        <v/>
      </c>
    </row>
    <row r="5320">
      <c r="A5320" t="inlineStr"/>
      <c r="B5320">
        <f>Assumptions!$B$60</f>
        <v/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>
        <f>(1-C5320)*Assumptions!$B$41+(1-D5320)*Assumptions!$B$33+(1-E5320)*Assumptions!$B$32+(1-F5320)*Assumptions!$B$31+(1-G5320)*Assumptions!$B$30+(1-H5320)*Assumptions!$B$29+(1-I5320)*Assumptions!$B$28</f>
        <v/>
      </c>
      <c r="K5320">
        <f>C5320*$J$307+D5320*$F$307+E5320*$G$307+F5320*Assumptions!$B$14+G5320*Assumptions!$B$13+H5320*Assumptions!$B$12+I5320*Assumptions!$B$11+$O$307+$S$307+Assumptions!$B$9</f>
        <v/>
      </c>
      <c r="L5320">
        <f>B5320-J5320</f>
        <v/>
      </c>
      <c r="M5320">
        <f>IF(K5320&gt;0,IF(L5320/K5320&gt;=Assumptions!$B$37,1,0),0)</f>
        <v/>
      </c>
      <c r="N5320">
        <f>K5320+M5320*Assumptions!$B$153</f>
        <v/>
      </c>
      <c r="O5320">
        <f>L5320+M5320*Assumptions!$B$153*Assumptions!$B$37</f>
        <v/>
      </c>
      <c r="P5320">
        <f>IF(N5320&gt;0,O5320/N5320,0)</f>
        <v/>
      </c>
      <c r="Q5320">
        <f>IF(C5320=1,P5320*$J$307,Assumptions!$B$41)</f>
        <v/>
      </c>
      <c r="R5320">
        <f>IF(D5320=1,P5320*$F$307,Assumptions!$B$33)</f>
        <v/>
      </c>
      <c r="S5320">
        <f>IF(E5320=1,P5320*$G$307,Assumptions!$B$32)</f>
        <v/>
      </c>
      <c r="T5320">
        <f>IF(F5320=1,P5320*Assumptions!$B$14,Assumptions!$B$31)</f>
        <v/>
      </c>
      <c r="U5320">
        <f>IF(G5320=1,P5320*Assumptions!$B$13,Assumptions!$B$30)</f>
        <v/>
      </c>
      <c r="V5320">
        <f>IF(H5320=1,P5320*Assumptions!$B$12,Assumptions!$B$29)</f>
        <v/>
      </c>
      <c r="W5320">
        <f>IF(I5320=1,P5320*Assumptions!$B$11,Assumptions!$B$28)</f>
        <v/>
      </c>
      <c r="X5320">
        <f>P5320*($O$307+$S$307)</f>
        <v/>
      </c>
      <c r="Y5320">
        <f>P5320*Assumptions!$B$9</f>
        <v/>
      </c>
      <c r="Z5320">
        <f>IF(M5320=1,(P5320-Assumptions!$B$37)*Assumptions!$B$153,0)</f>
        <v/>
      </c>
      <c r="AA5320">
        <f>Q5320+R5320+S5320+T5320+U5320+V5320+W5320+X5320+Y5320+Z5320</f>
        <v/>
      </c>
      <c r="AB5320" t="n">
        <v>64</v>
      </c>
      <c r="AC5320" t="n">
        <v>0</v>
      </c>
      <c r="AD5320" t="n">
        <v>96</v>
      </c>
      <c r="AE5320" t="n">
        <v>80</v>
      </c>
      <c r="AF5320" t="n">
        <v>72</v>
      </c>
      <c r="AG5320" t="n">
        <v>68</v>
      </c>
      <c r="AH5320" t="n">
        <v>66</v>
      </c>
      <c r="AI5320" t="n">
        <v>65</v>
      </c>
      <c r="AJ5320">
        <f>INDEX($Q$5256:$Q$5383,AC5320+1)</f>
        <v/>
      </c>
      <c r="AK5320">
        <f>INDEX($R$5256:$R$5383,AD5320+1)</f>
        <v/>
      </c>
      <c r="AL5320">
        <f>INDEX($S$5256:$S$5383,AE5320+1)</f>
        <v/>
      </c>
      <c r="AM5320">
        <f>INDEX($T$5256:$T$5383,AF5320+1)</f>
        <v/>
      </c>
      <c r="AN5320">
        <f>INDEX($U$5256:$U$5383,AG5320+1)</f>
        <v/>
      </c>
      <c r="AO5320">
        <f>INDEX($V$5256:$V$5383,AH5320+1)</f>
        <v/>
      </c>
      <c r="AP5320">
        <f>INDEX($W$5256:$W$5383,AI5320+1)</f>
        <v/>
      </c>
      <c r="AQ5320">
        <f>IF(Q5320&gt;=AJ5320-0.01,1,0)</f>
        <v/>
      </c>
      <c r="AR5320">
        <f>IF(R5320&gt;=AK5320-0.01,1,0)</f>
        <v/>
      </c>
      <c r="AS5320">
        <f>IF(S5320&gt;=AL5320-0.01,1,0)</f>
        <v/>
      </c>
      <c r="AT5320">
        <f>IF(T5320&gt;=AM5320-0.01,1,0)</f>
        <v/>
      </c>
      <c r="AU5320">
        <f>IF(U5320&gt;=AN5320-0.01,1,0)</f>
        <v/>
      </c>
      <c r="AV5320">
        <f>IF(V5320&gt;=AO5320-0.01,1,0)</f>
        <v/>
      </c>
      <c r="AW5320">
        <f>IF(W5320&gt;=AP5320-0.01,1,0)</f>
        <v/>
      </c>
      <c r="AX5320">
        <f>AQ5320*AR5320*AS5320*AT5320*AU5320*AV5320*AW5320</f>
        <v/>
      </c>
    </row>
    <row r="5321">
      <c r="A5321" t="inlineStr"/>
      <c r="B5321">
        <f>Assumptions!$B$60</f>
        <v/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>
        <f>(1-C5321)*Assumptions!$B$41+(1-D5321)*Assumptions!$B$33+(1-E5321)*Assumptions!$B$32+(1-F5321)*Assumptions!$B$31+(1-G5321)*Assumptions!$B$30+(1-H5321)*Assumptions!$B$29+(1-I5321)*Assumptions!$B$28</f>
        <v/>
      </c>
      <c r="K5321">
        <f>C5321*$J$307+D5321*$F$307+E5321*$G$307+F5321*Assumptions!$B$14+G5321*Assumptions!$B$13+H5321*Assumptions!$B$12+I5321*Assumptions!$B$11+$O$307+$S$307+Assumptions!$B$9</f>
        <v/>
      </c>
      <c r="L5321">
        <f>B5321-J5321</f>
        <v/>
      </c>
      <c r="M5321">
        <f>IF(K5321&gt;0,IF(L5321/K5321&gt;=Assumptions!$B$37,1,0),0)</f>
        <v/>
      </c>
      <c r="N5321">
        <f>K5321+M5321*Assumptions!$B$153</f>
        <v/>
      </c>
      <c r="O5321">
        <f>L5321+M5321*Assumptions!$B$153*Assumptions!$B$37</f>
        <v/>
      </c>
      <c r="P5321">
        <f>IF(N5321&gt;0,O5321/N5321,0)</f>
        <v/>
      </c>
      <c r="Q5321">
        <f>IF(C5321=1,P5321*$J$307,Assumptions!$B$41)</f>
        <v/>
      </c>
      <c r="R5321">
        <f>IF(D5321=1,P5321*$F$307,Assumptions!$B$33)</f>
        <v/>
      </c>
      <c r="S5321">
        <f>IF(E5321=1,P5321*$G$307,Assumptions!$B$32)</f>
        <v/>
      </c>
      <c r="T5321">
        <f>IF(F5321=1,P5321*Assumptions!$B$14,Assumptions!$B$31)</f>
        <v/>
      </c>
      <c r="U5321">
        <f>IF(G5321=1,P5321*Assumptions!$B$13,Assumptions!$B$30)</f>
        <v/>
      </c>
      <c r="V5321">
        <f>IF(H5321=1,P5321*Assumptions!$B$12,Assumptions!$B$29)</f>
        <v/>
      </c>
      <c r="W5321">
        <f>IF(I5321=1,P5321*Assumptions!$B$11,Assumptions!$B$28)</f>
        <v/>
      </c>
      <c r="X5321">
        <f>P5321*($O$307+$S$307)</f>
        <v/>
      </c>
      <c r="Y5321">
        <f>P5321*Assumptions!$B$9</f>
        <v/>
      </c>
      <c r="Z5321">
        <f>IF(M5321=1,(P5321-Assumptions!$B$37)*Assumptions!$B$153,0)</f>
        <v/>
      </c>
      <c r="AA5321">
        <f>Q5321+R5321+S5321+T5321+U5321+V5321+W5321+X5321+Y5321+Z5321</f>
        <v/>
      </c>
      <c r="AB5321" t="n">
        <v>65</v>
      </c>
      <c r="AC5321" t="n">
        <v>1</v>
      </c>
      <c r="AD5321" t="n">
        <v>97</v>
      </c>
      <c r="AE5321" t="n">
        <v>81</v>
      </c>
      <c r="AF5321" t="n">
        <v>73</v>
      </c>
      <c r="AG5321" t="n">
        <v>69</v>
      </c>
      <c r="AH5321" t="n">
        <v>67</v>
      </c>
      <c r="AI5321" t="n">
        <v>64</v>
      </c>
      <c r="AJ5321">
        <f>INDEX($Q$5256:$Q$5383,AC5321+1)</f>
        <v/>
      </c>
      <c r="AK5321">
        <f>INDEX($R$5256:$R$5383,AD5321+1)</f>
        <v/>
      </c>
      <c r="AL5321">
        <f>INDEX($S$5256:$S$5383,AE5321+1)</f>
        <v/>
      </c>
      <c r="AM5321">
        <f>INDEX($T$5256:$T$5383,AF5321+1)</f>
        <v/>
      </c>
      <c r="AN5321">
        <f>INDEX($U$5256:$U$5383,AG5321+1)</f>
        <v/>
      </c>
      <c r="AO5321">
        <f>INDEX($V$5256:$V$5383,AH5321+1)</f>
        <v/>
      </c>
      <c r="AP5321">
        <f>INDEX($W$5256:$W$5383,AI5321+1)</f>
        <v/>
      </c>
      <c r="AQ5321">
        <f>IF(Q5321&gt;=AJ5321-0.01,1,0)</f>
        <v/>
      </c>
      <c r="AR5321">
        <f>IF(R5321&gt;=AK5321-0.01,1,0)</f>
        <v/>
      </c>
      <c r="AS5321">
        <f>IF(S5321&gt;=AL5321-0.01,1,0)</f>
        <v/>
      </c>
      <c r="AT5321">
        <f>IF(T5321&gt;=AM5321-0.01,1,0)</f>
        <v/>
      </c>
      <c r="AU5321">
        <f>IF(U5321&gt;=AN5321-0.01,1,0)</f>
        <v/>
      </c>
      <c r="AV5321">
        <f>IF(V5321&gt;=AO5321-0.01,1,0)</f>
        <v/>
      </c>
      <c r="AW5321">
        <f>IF(W5321&gt;=AP5321-0.01,1,0)</f>
        <v/>
      </c>
      <c r="AX5321">
        <f>AQ5321*AR5321*AS5321*AT5321*AU5321*AV5321*AW5321</f>
        <v/>
      </c>
    </row>
    <row r="5322">
      <c r="A5322" t="inlineStr"/>
      <c r="B5322">
        <f>Assumptions!$B$60</f>
        <v/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>
        <f>(1-C5322)*Assumptions!$B$41+(1-D5322)*Assumptions!$B$33+(1-E5322)*Assumptions!$B$32+(1-F5322)*Assumptions!$B$31+(1-G5322)*Assumptions!$B$30+(1-H5322)*Assumptions!$B$29+(1-I5322)*Assumptions!$B$28</f>
        <v/>
      </c>
      <c r="K5322">
        <f>C5322*$J$307+D5322*$F$307+E5322*$G$307+F5322*Assumptions!$B$14+G5322*Assumptions!$B$13+H5322*Assumptions!$B$12+I5322*Assumptions!$B$11+$O$307+$S$307+Assumptions!$B$9</f>
        <v/>
      </c>
      <c r="L5322">
        <f>B5322-J5322</f>
        <v/>
      </c>
      <c r="M5322">
        <f>IF(K5322&gt;0,IF(L5322/K5322&gt;=Assumptions!$B$37,1,0),0)</f>
        <v/>
      </c>
      <c r="N5322">
        <f>K5322+M5322*Assumptions!$B$153</f>
        <v/>
      </c>
      <c r="O5322">
        <f>L5322+M5322*Assumptions!$B$153*Assumptions!$B$37</f>
        <v/>
      </c>
      <c r="P5322">
        <f>IF(N5322&gt;0,O5322/N5322,0)</f>
        <v/>
      </c>
      <c r="Q5322">
        <f>IF(C5322=1,P5322*$J$307,Assumptions!$B$41)</f>
        <v/>
      </c>
      <c r="R5322">
        <f>IF(D5322=1,P5322*$F$307,Assumptions!$B$33)</f>
        <v/>
      </c>
      <c r="S5322">
        <f>IF(E5322=1,P5322*$G$307,Assumptions!$B$32)</f>
        <v/>
      </c>
      <c r="T5322">
        <f>IF(F5322=1,P5322*Assumptions!$B$14,Assumptions!$B$31)</f>
        <v/>
      </c>
      <c r="U5322">
        <f>IF(G5322=1,P5322*Assumptions!$B$13,Assumptions!$B$30)</f>
        <v/>
      </c>
      <c r="V5322">
        <f>IF(H5322=1,P5322*Assumptions!$B$12,Assumptions!$B$29)</f>
        <v/>
      </c>
      <c r="W5322">
        <f>IF(I5322=1,P5322*Assumptions!$B$11,Assumptions!$B$28)</f>
        <v/>
      </c>
      <c r="X5322">
        <f>P5322*($O$307+$S$307)</f>
        <v/>
      </c>
      <c r="Y5322">
        <f>P5322*Assumptions!$B$9</f>
        <v/>
      </c>
      <c r="Z5322">
        <f>IF(M5322=1,(P5322-Assumptions!$B$37)*Assumptions!$B$153,0)</f>
        <v/>
      </c>
      <c r="AA5322">
        <f>Q5322+R5322+S5322+T5322+U5322+V5322+W5322+X5322+Y5322+Z5322</f>
        <v/>
      </c>
      <c r="AB5322" t="n">
        <v>66</v>
      </c>
      <c r="AC5322" t="n">
        <v>2</v>
      </c>
      <c r="AD5322" t="n">
        <v>98</v>
      </c>
      <c r="AE5322" t="n">
        <v>82</v>
      </c>
      <c r="AF5322" t="n">
        <v>74</v>
      </c>
      <c r="AG5322" t="n">
        <v>70</v>
      </c>
      <c r="AH5322" t="n">
        <v>64</v>
      </c>
      <c r="AI5322" t="n">
        <v>67</v>
      </c>
      <c r="AJ5322">
        <f>INDEX($Q$5256:$Q$5383,AC5322+1)</f>
        <v/>
      </c>
      <c r="AK5322">
        <f>INDEX($R$5256:$R$5383,AD5322+1)</f>
        <v/>
      </c>
      <c r="AL5322">
        <f>INDEX($S$5256:$S$5383,AE5322+1)</f>
        <v/>
      </c>
      <c r="AM5322">
        <f>INDEX($T$5256:$T$5383,AF5322+1)</f>
        <v/>
      </c>
      <c r="AN5322">
        <f>INDEX($U$5256:$U$5383,AG5322+1)</f>
        <v/>
      </c>
      <c r="AO5322">
        <f>INDEX($V$5256:$V$5383,AH5322+1)</f>
        <v/>
      </c>
      <c r="AP5322">
        <f>INDEX($W$5256:$W$5383,AI5322+1)</f>
        <v/>
      </c>
      <c r="AQ5322">
        <f>IF(Q5322&gt;=AJ5322-0.01,1,0)</f>
        <v/>
      </c>
      <c r="AR5322">
        <f>IF(R5322&gt;=AK5322-0.01,1,0)</f>
        <v/>
      </c>
      <c r="AS5322">
        <f>IF(S5322&gt;=AL5322-0.01,1,0)</f>
        <v/>
      </c>
      <c r="AT5322">
        <f>IF(T5322&gt;=AM5322-0.01,1,0)</f>
        <v/>
      </c>
      <c r="AU5322">
        <f>IF(U5322&gt;=AN5322-0.01,1,0)</f>
        <v/>
      </c>
      <c r="AV5322">
        <f>IF(V5322&gt;=AO5322-0.01,1,0)</f>
        <v/>
      </c>
      <c r="AW5322">
        <f>IF(W5322&gt;=AP5322-0.01,1,0)</f>
        <v/>
      </c>
      <c r="AX5322">
        <f>AQ5322*AR5322*AS5322*AT5322*AU5322*AV5322*AW5322</f>
        <v/>
      </c>
    </row>
    <row r="5323">
      <c r="A5323" t="inlineStr"/>
      <c r="B5323">
        <f>Assumptions!$B$60</f>
        <v/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</v>
      </c>
      <c r="J5323">
        <f>(1-C5323)*Assumptions!$B$41+(1-D5323)*Assumptions!$B$33+(1-E5323)*Assumptions!$B$32+(1-F5323)*Assumptions!$B$31+(1-G5323)*Assumptions!$B$30+(1-H5323)*Assumptions!$B$29+(1-I5323)*Assumptions!$B$28</f>
        <v/>
      </c>
      <c r="K5323">
        <f>C5323*$J$307+D5323*$F$307+E5323*$G$307+F5323*Assumptions!$B$14+G5323*Assumptions!$B$13+H5323*Assumptions!$B$12+I5323*Assumptions!$B$11+$O$307+$S$307+Assumptions!$B$9</f>
        <v/>
      </c>
      <c r="L5323">
        <f>B5323-J5323</f>
        <v/>
      </c>
      <c r="M5323">
        <f>IF(K5323&gt;0,IF(L5323/K5323&gt;=Assumptions!$B$37,1,0),0)</f>
        <v/>
      </c>
      <c r="N5323">
        <f>K5323+M5323*Assumptions!$B$153</f>
        <v/>
      </c>
      <c r="O5323">
        <f>L5323+M5323*Assumptions!$B$153*Assumptions!$B$37</f>
        <v/>
      </c>
      <c r="P5323">
        <f>IF(N5323&gt;0,O5323/N5323,0)</f>
        <v/>
      </c>
      <c r="Q5323">
        <f>IF(C5323=1,P5323*$J$307,Assumptions!$B$41)</f>
        <v/>
      </c>
      <c r="R5323">
        <f>IF(D5323=1,P5323*$F$307,Assumptions!$B$33)</f>
        <v/>
      </c>
      <c r="S5323">
        <f>IF(E5323=1,P5323*$G$307,Assumptions!$B$32)</f>
        <v/>
      </c>
      <c r="T5323">
        <f>IF(F5323=1,P5323*Assumptions!$B$14,Assumptions!$B$31)</f>
        <v/>
      </c>
      <c r="U5323">
        <f>IF(G5323=1,P5323*Assumptions!$B$13,Assumptions!$B$30)</f>
        <v/>
      </c>
      <c r="V5323">
        <f>IF(H5323=1,P5323*Assumptions!$B$12,Assumptions!$B$29)</f>
        <v/>
      </c>
      <c r="W5323">
        <f>IF(I5323=1,P5323*Assumptions!$B$11,Assumptions!$B$28)</f>
        <v/>
      </c>
      <c r="X5323">
        <f>P5323*($O$307+$S$307)</f>
        <v/>
      </c>
      <c r="Y5323">
        <f>P5323*Assumptions!$B$9</f>
        <v/>
      </c>
      <c r="Z5323">
        <f>IF(M5323=1,(P5323-Assumptions!$B$37)*Assumptions!$B$153,0)</f>
        <v/>
      </c>
      <c r="AA5323">
        <f>Q5323+R5323+S5323+T5323+U5323+V5323+W5323+X5323+Y5323+Z5323</f>
        <v/>
      </c>
      <c r="AB5323" t="n">
        <v>67</v>
      </c>
      <c r="AC5323" t="n">
        <v>3</v>
      </c>
      <c r="AD5323" t="n">
        <v>99</v>
      </c>
      <c r="AE5323" t="n">
        <v>83</v>
      </c>
      <c r="AF5323" t="n">
        <v>75</v>
      </c>
      <c r="AG5323" t="n">
        <v>71</v>
      </c>
      <c r="AH5323" t="n">
        <v>65</v>
      </c>
      <c r="AI5323" t="n">
        <v>66</v>
      </c>
      <c r="AJ5323">
        <f>INDEX($Q$5256:$Q$5383,AC5323+1)</f>
        <v/>
      </c>
      <c r="AK5323">
        <f>INDEX($R$5256:$R$5383,AD5323+1)</f>
        <v/>
      </c>
      <c r="AL5323">
        <f>INDEX($S$5256:$S$5383,AE5323+1)</f>
        <v/>
      </c>
      <c r="AM5323">
        <f>INDEX($T$5256:$T$5383,AF5323+1)</f>
        <v/>
      </c>
      <c r="AN5323">
        <f>INDEX($U$5256:$U$5383,AG5323+1)</f>
        <v/>
      </c>
      <c r="AO5323">
        <f>INDEX($V$5256:$V$5383,AH5323+1)</f>
        <v/>
      </c>
      <c r="AP5323">
        <f>INDEX($W$5256:$W$5383,AI5323+1)</f>
        <v/>
      </c>
      <c r="AQ5323">
        <f>IF(Q5323&gt;=AJ5323-0.01,1,0)</f>
        <v/>
      </c>
      <c r="AR5323">
        <f>IF(R5323&gt;=AK5323-0.01,1,0)</f>
        <v/>
      </c>
      <c r="AS5323">
        <f>IF(S5323&gt;=AL5323-0.01,1,0)</f>
        <v/>
      </c>
      <c r="AT5323">
        <f>IF(T5323&gt;=AM5323-0.01,1,0)</f>
        <v/>
      </c>
      <c r="AU5323">
        <f>IF(U5323&gt;=AN5323-0.01,1,0)</f>
        <v/>
      </c>
      <c r="AV5323">
        <f>IF(V5323&gt;=AO5323-0.01,1,0)</f>
        <v/>
      </c>
      <c r="AW5323">
        <f>IF(W5323&gt;=AP5323-0.01,1,0)</f>
        <v/>
      </c>
      <c r="AX5323">
        <f>AQ5323*AR5323*AS5323*AT5323*AU5323*AV5323*AW5323</f>
        <v/>
      </c>
    </row>
    <row r="5324">
      <c r="A5324" t="inlineStr"/>
      <c r="B5324">
        <f>Assumptions!$B$60</f>
        <v/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>
        <f>(1-C5324)*Assumptions!$B$41+(1-D5324)*Assumptions!$B$33+(1-E5324)*Assumptions!$B$32+(1-F5324)*Assumptions!$B$31+(1-G5324)*Assumptions!$B$30+(1-H5324)*Assumptions!$B$29+(1-I5324)*Assumptions!$B$28</f>
        <v/>
      </c>
      <c r="K5324">
        <f>C5324*$J$307+D5324*$F$307+E5324*$G$307+F5324*Assumptions!$B$14+G5324*Assumptions!$B$13+H5324*Assumptions!$B$12+I5324*Assumptions!$B$11+$O$307+$S$307+Assumptions!$B$9</f>
        <v/>
      </c>
      <c r="L5324">
        <f>B5324-J5324</f>
        <v/>
      </c>
      <c r="M5324">
        <f>IF(K5324&gt;0,IF(L5324/K5324&gt;=Assumptions!$B$37,1,0),0)</f>
        <v/>
      </c>
      <c r="N5324">
        <f>K5324+M5324*Assumptions!$B$153</f>
        <v/>
      </c>
      <c r="O5324">
        <f>L5324+M5324*Assumptions!$B$153*Assumptions!$B$37</f>
        <v/>
      </c>
      <c r="P5324">
        <f>IF(N5324&gt;0,O5324/N5324,0)</f>
        <v/>
      </c>
      <c r="Q5324">
        <f>IF(C5324=1,P5324*$J$307,Assumptions!$B$41)</f>
        <v/>
      </c>
      <c r="R5324">
        <f>IF(D5324=1,P5324*$F$307,Assumptions!$B$33)</f>
        <v/>
      </c>
      <c r="S5324">
        <f>IF(E5324=1,P5324*$G$307,Assumptions!$B$32)</f>
        <v/>
      </c>
      <c r="T5324">
        <f>IF(F5324=1,P5324*Assumptions!$B$14,Assumptions!$B$31)</f>
        <v/>
      </c>
      <c r="U5324">
        <f>IF(G5324=1,P5324*Assumptions!$B$13,Assumptions!$B$30)</f>
        <v/>
      </c>
      <c r="V5324">
        <f>IF(H5324=1,P5324*Assumptions!$B$12,Assumptions!$B$29)</f>
        <v/>
      </c>
      <c r="W5324">
        <f>IF(I5324=1,P5324*Assumptions!$B$11,Assumptions!$B$28)</f>
        <v/>
      </c>
      <c r="X5324">
        <f>P5324*($O$307+$S$307)</f>
        <v/>
      </c>
      <c r="Y5324">
        <f>P5324*Assumptions!$B$9</f>
        <v/>
      </c>
      <c r="Z5324">
        <f>IF(M5324=1,(P5324-Assumptions!$B$37)*Assumptions!$B$153,0)</f>
        <v/>
      </c>
      <c r="AA5324">
        <f>Q5324+R5324+S5324+T5324+U5324+V5324+W5324+X5324+Y5324+Z5324</f>
        <v/>
      </c>
      <c r="AB5324" t="n">
        <v>68</v>
      </c>
      <c r="AC5324" t="n">
        <v>4</v>
      </c>
      <c r="AD5324" t="n">
        <v>100</v>
      </c>
      <c r="AE5324" t="n">
        <v>84</v>
      </c>
      <c r="AF5324" t="n">
        <v>76</v>
      </c>
      <c r="AG5324" t="n">
        <v>64</v>
      </c>
      <c r="AH5324" t="n">
        <v>70</v>
      </c>
      <c r="AI5324" t="n">
        <v>69</v>
      </c>
      <c r="AJ5324">
        <f>INDEX($Q$5256:$Q$5383,AC5324+1)</f>
        <v/>
      </c>
      <c r="AK5324">
        <f>INDEX($R$5256:$R$5383,AD5324+1)</f>
        <v/>
      </c>
      <c r="AL5324">
        <f>INDEX($S$5256:$S$5383,AE5324+1)</f>
        <v/>
      </c>
      <c r="AM5324">
        <f>INDEX($T$5256:$T$5383,AF5324+1)</f>
        <v/>
      </c>
      <c r="AN5324">
        <f>INDEX($U$5256:$U$5383,AG5324+1)</f>
        <v/>
      </c>
      <c r="AO5324">
        <f>INDEX($V$5256:$V$5383,AH5324+1)</f>
        <v/>
      </c>
      <c r="AP5324">
        <f>INDEX($W$5256:$W$5383,AI5324+1)</f>
        <v/>
      </c>
      <c r="AQ5324">
        <f>IF(Q5324&gt;=AJ5324-0.01,1,0)</f>
        <v/>
      </c>
      <c r="AR5324">
        <f>IF(R5324&gt;=AK5324-0.01,1,0)</f>
        <v/>
      </c>
      <c r="AS5324">
        <f>IF(S5324&gt;=AL5324-0.01,1,0)</f>
        <v/>
      </c>
      <c r="AT5324">
        <f>IF(T5324&gt;=AM5324-0.01,1,0)</f>
        <v/>
      </c>
      <c r="AU5324">
        <f>IF(U5324&gt;=AN5324-0.01,1,0)</f>
        <v/>
      </c>
      <c r="AV5324">
        <f>IF(V5324&gt;=AO5324-0.01,1,0)</f>
        <v/>
      </c>
      <c r="AW5324">
        <f>IF(W5324&gt;=AP5324-0.01,1,0)</f>
        <v/>
      </c>
      <c r="AX5324">
        <f>AQ5324*AR5324*AS5324*AT5324*AU5324*AV5324*AW5324</f>
        <v/>
      </c>
    </row>
    <row r="5325">
      <c r="A5325" t="inlineStr"/>
      <c r="B5325">
        <f>Assumptions!$B$60</f>
        <v/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1</v>
      </c>
      <c r="J5325">
        <f>(1-C5325)*Assumptions!$B$41+(1-D5325)*Assumptions!$B$33+(1-E5325)*Assumptions!$B$32+(1-F5325)*Assumptions!$B$31+(1-G5325)*Assumptions!$B$30+(1-H5325)*Assumptions!$B$29+(1-I5325)*Assumptions!$B$28</f>
        <v/>
      </c>
      <c r="K5325">
        <f>C5325*$J$307+D5325*$F$307+E5325*$G$307+F5325*Assumptions!$B$14+G5325*Assumptions!$B$13+H5325*Assumptions!$B$12+I5325*Assumptions!$B$11+$O$307+$S$307+Assumptions!$B$9</f>
        <v/>
      </c>
      <c r="L5325">
        <f>B5325-J5325</f>
        <v/>
      </c>
      <c r="M5325">
        <f>IF(K5325&gt;0,IF(L5325/K5325&gt;=Assumptions!$B$37,1,0),0)</f>
        <v/>
      </c>
      <c r="N5325">
        <f>K5325+M5325*Assumptions!$B$153</f>
        <v/>
      </c>
      <c r="O5325">
        <f>L5325+M5325*Assumptions!$B$153*Assumptions!$B$37</f>
        <v/>
      </c>
      <c r="P5325">
        <f>IF(N5325&gt;0,O5325/N5325,0)</f>
        <v/>
      </c>
      <c r="Q5325">
        <f>IF(C5325=1,P5325*$J$307,Assumptions!$B$41)</f>
        <v/>
      </c>
      <c r="R5325">
        <f>IF(D5325=1,P5325*$F$307,Assumptions!$B$33)</f>
        <v/>
      </c>
      <c r="S5325">
        <f>IF(E5325=1,P5325*$G$307,Assumptions!$B$32)</f>
        <v/>
      </c>
      <c r="T5325">
        <f>IF(F5325=1,P5325*Assumptions!$B$14,Assumptions!$B$31)</f>
        <v/>
      </c>
      <c r="U5325">
        <f>IF(G5325=1,P5325*Assumptions!$B$13,Assumptions!$B$30)</f>
        <v/>
      </c>
      <c r="V5325">
        <f>IF(H5325=1,P5325*Assumptions!$B$12,Assumptions!$B$29)</f>
        <v/>
      </c>
      <c r="W5325">
        <f>IF(I5325=1,P5325*Assumptions!$B$11,Assumptions!$B$28)</f>
        <v/>
      </c>
      <c r="X5325">
        <f>P5325*($O$307+$S$307)</f>
        <v/>
      </c>
      <c r="Y5325">
        <f>P5325*Assumptions!$B$9</f>
        <v/>
      </c>
      <c r="Z5325">
        <f>IF(M5325=1,(P5325-Assumptions!$B$37)*Assumptions!$B$153,0)</f>
        <v/>
      </c>
      <c r="AA5325">
        <f>Q5325+R5325+S5325+T5325+U5325+V5325+W5325+X5325+Y5325+Z5325</f>
        <v/>
      </c>
      <c r="AB5325" t="n">
        <v>69</v>
      </c>
      <c r="AC5325" t="n">
        <v>5</v>
      </c>
      <c r="AD5325" t="n">
        <v>101</v>
      </c>
      <c r="AE5325" t="n">
        <v>85</v>
      </c>
      <c r="AF5325" t="n">
        <v>77</v>
      </c>
      <c r="AG5325" t="n">
        <v>65</v>
      </c>
      <c r="AH5325" t="n">
        <v>71</v>
      </c>
      <c r="AI5325" t="n">
        <v>68</v>
      </c>
      <c r="AJ5325">
        <f>INDEX($Q$5256:$Q$5383,AC5325+1)</f>
        <v/>
      </c>
      <c r="AK5325">
        <f>INDEX($R$5256:$R$5383,AD5325+1)</f>
        <v/>
      </c>
      <c r="AL5325">
        <f>INDEX($S$5256:$S$5383,AE5325+1)</f>
        <v/>
      </c>
      <c r="AM5325">
        <f>INDEX($T$5256:$T$5383,AF5325+1)</f>
        <v/>
      </c>
      <c r="AN5325">
        <f>INDEX($U$5256:$U$5383,AG5325+1)</f>
        <v/>
      </c>
      <c r="AO5325">
        <f>INDEX($V$5256:$V$5383,AH5325+1)</f>
        <v/>
      </c>
      <c r="AP5325">
        <f>INDEX($W$5256:$W$5383,AI5325+1)</f>
        <v/>
      </c>
      <c r="AQ5325">
        <f>IF(Q5325&gt;=AJ5325-0.01,1,0)</f>
        <v/>
      </c>
      <c r="AR5325">
        <f>IF(R5325&gt;=AK5325-0.01,1,0)</f>
        <v/>
      </c>
      <c r="AS5325">
        <f>IF(S5325&gt;=AL5325-0.01,1,0)</f>
        <v/>
      </c>
      <c r="AT5325">
        <f>IF(T5325&gt;=AM5325-0.01,1,0)</f>
        <v/>
      </c>
      <c r="AU5325">
        <f>IF(U5325&gt;=AN5325-0.01,1,0)</f>
        <v/>
      </c>
      <c r="AV5325">
        <f>IF(V5325&gt;=AO5325-0.01,1,0)</f>
        <v/>
      </c>
      <c r="AW5325">
        <f>IF(W5325&gt;=AP5325-0.01,1,0)</f>
        <v/>
      </c>
      <c r="AX5325">
        <f>AQ5325*AR5325*AS5325*AT5325*AU5325*AV5325*AW5325</f>
        <v/>
      </c>
    </row>
    <row r="5326">
      <c r="A5326" t="inlineStr"/>
      <c r="B5326">
        <f>Assumptions!$B$60</f>
        <v/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  <c r="I5326" t="n">
        <v>0</v>
      </c>
      <c r="J5326">
        <f>(1-C5326)*Assumptions!$B$41+(1-D5326)*Assumptions!$B$33+(1-E5326)*Assumptions!$B$32+(1-F5326)*Assumptions!$B$31+(1-G5326)*Assumptions!$B$30+(1-H5326)*Assumptions!$B$29+(1-I5326)*Assumptions!$B$28</f>
        <v/>
      </c>
      <c r="K5326">
        <f>C5326*$J$307+D5326*$F$307+E5326*$G$307+F5326*Assumptions!$B$14+G5326*Assumptions!$B$13+H5326*Assumptions!$B$12+I5326*Assumptions!$B$11+$O$307+$S$307+Assumptions!$B$9</f>
        <v/>
      </c>
      <c r="L5326">
        <f>B5326-J5326</f>
        <v/>
      </c>
      <c r="M5326">
        <f>IF(K5326&gt;0,IF(L5326/K5326&gt;=Assumptions!$B$37,1,0),0)</f>
        <v/>
      </c>
      <c r="N5326">
        <f>K5326+M5326*Assumptions!$B$153</f>
        <v/>
      </c>
      <c r="O5326">
        <f>L5326+M5326*Assumptions!$B$153*Assumptions!$B$37</f>
        <v/>
      </c>
      <c r="P5326">
        <f>IF(N5326&gt;0,O5326/N5326,0)</f>
        <v/>
      </c>
      <c r="Q5326">
        <f>IF(C5326=1,P5326*$J$307,Assumptions!$B$41)</f>
        <v/>
      </c>
      <c r="R5326">
        <f>IF(D5326=1,P5326*$F$307,Assumptions!$B$33)</f>
        <v/>
      </c>
      <c r="S5326">
        <f>IF(E5326=1,P5326*$G$307,Assumptions!$B$32)</f>
        <v/>
      </c>
      <c r="T5326">
        <f>IF(F5326=1,P5326*Assumptions!$B$14,Assumptions!$B$31)</f>
        <v/>
      </c>
      <c r="U5326">
        <f>IF(G5326=1,P5326*Assumptions!$B$13,Assumptions!$B$30)</f>
        <v/>
      </c>
      <c r="V5326">
        <f>IF(H5326=1,P5326*Assumptions!$B$12,Assumptions!$B$29)</f>
        <v/>
      </c>
      <c r="W5326">
        <f>IF(I5326=1,P5326*Assumptions!$B$11,Assumptions!$B$28)</f>
        <v/>
      </c>
      <c r="X5326">
        <f>P5326*($O$307+$S$307)</f>
        <v/>
      </c>
      <c r="Y5326">
        <f>P5326*Assumptions!$B$9</f>
        <v/>
      </c>
      <c r="Z5326">
        <f>IF(M5326=1,(P5326-Assumptions!$B$37)*Assumptions!$B$153,0)</f>
        <v/>
      </c>
      <c r="AA5326">
        <f>Q5326+R5326+S5326+T5326+U5326+V5326+W5326+X5326+Y5326+Z5326</f>
        <v/>
      </c>
      <c r="AB5326" t="n">
        <v>70</v>
      </c>
      <c r="AC5326" t="n">
        <v>6</v>
      </c>
      <c r="AD5326" t="n">
        <v>102</v>
      </c>
      <c r="AE5326" t="n">
        <v>86</v>
      </c>
      <c r="AF5326" t="n">
        <v>78</v>
      </c>
      <c r="AG5326" t="n">
        <v>66</v>
      </c>
      <c r="AH5326" t="n">
        <v>68</v>
      </c>
      <c r="AI5326" t="n">
        <v>71</v>
      </c>
      <c r="AJ5326">
        <f>INDEX($Q$5256:$Q$5383,AC5326+1)</f>
        <v/>
      </c>
      <c r="AK5326">
        <f>INDEX($R$5256:$R$5383,AD5326+1)</f>
        <v/>
      </c>
      <c r="AL5326">
        <f>INDEX($S$5256:$S$5383,AE5326+1)</f>
        <v/>
      </c>
      <c r="AM5326">
        <f>INDEX($T$5256:$T$5383,AF5326+1)</f>
        <v/>
      </c>
      <c r="AN5326">
        <f>INDEX($U$5256:$U$5383,AG5326+1)</f>
        <v/>
      </c>
      <c r="AO5326">
        <f>INDEX($V$5256:$V$5383,AH5326+1)</f>
        <v/>
      </c>
      <c r="AP5326">
        <f>INDEX($W$5256:$W$5383,AI5326+1)</f>
        <v/>
      </c>
      <c r="AQ5326">
        <f>IF(Q5326&gt;=AJ5326-0.01,1,0)</f>
        <v/>
      </c>
      <c r="AR5326">
        <f>IF(R5326&gt;=AK5326-0.01,1,0)</f>
        <v/>
      </c>
      <c r="AS5326">
        <f>IF(S5326&gt;=AL5326-0.01,1,0)</f>
        <v/>
      </c>
      <c r="AT5326">
        <f>IF(T5326&gt;=AM5326-0.01,1,0)</f>
        <v/>
      </c>
      <c r="AU5326">
        <f>IF(U5326&gt;=AN5326-0.01,1,0)</f>
        <v/>
      </c>
      <c r="AV5326">
        <f>IF(V5326&gt;=AO5326-0.01,1,0)</f>
        <v/>
      </c>
      <c r="AW5326">
        <f>IF(W5326&gt;=AP5326-0.01,1,0)</f>
        <v/>
      </c>
      <c r="AX5326">
        <f>AQ5326*AR5326*AS5326*AT5326*AU5326*AV5326*AW5326</f>
        <v/>
      </c>
    </row>
    <row r="5327">
      <c r="A5327" t="inlineStr"/>
      <c r="B5327">
        <f>Assumptions!$B$60</f>
        <v/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  <c r="I5327" t="n">
        <v>1</v>
      </c>
      <c r="J5327">
        <f>(1-C5327)*Assumptions!$B$41+(1-D5327)*Assumptions!$B$33+(1-E5327)*Assumptions!$B$32+(1-F5327)*Assumptions!$B$31+(1-G5327)*Assumptions!$B$30+(1-H5327)*Assumptions!$B$29+(1-I5327)*Assumptions!$B$28</f>
        <v/>
      </c>
      <c r="K5327">
        <f>C5327*$J$307+D5327*$F$307+E5327*$G$307+F5327*Assumptions!$B$14+G5327*Assumptions!$B$13+H5327*Assumptions!$B$12+I5327*Assumptions!$B$11+$O$307+$S$307+Assumptions!$B$9</f>
        <v/>
      </c>
      <c r="L5327">
        <f>B5327-J5327</f>
        <v/>
      </c>
      <c r="M5327">
        <f>IF(K5327&gt;0,IF(L5327/K5327&gt;=Assumptions!$B$37,1,0),0)</f>
        <v/>
      </c>
      <c r="N5327">
        <f>K5327+M5327*Assumptions!$B$153</f>
        <v/>
      </c>
      <c r="O5327">
        <f>L5327+M5327*Assumptions!$B$153*Assumptions!$B$37</f>
        <v/>
      </c>
      <c r="P5327">
        <f>IF(N5327&gt;0,O5327/N5327,0)</f>
        <v/>
      </c>
      <c r="Q5327">
        <f>IF(C5327=1,P5327*$J$307,Assumptions!$B$41)</f>
        <v/>
      </c>
      <c r="R5327">
        <f>IF(D5327=1,P5327*$F$307,Assumptions!$B$33)</f>
        <v/>
      </c>
      <c r="S5327">
        <f>IF(E5327=1,P5327*$G$307,Assumptions!$B$32)</f>
        <v/>
      </c>
      <c r="T5327">
        <f>IF(F5327=1,P5327*Assumptions!$B$14,Assumptions!$B$31)</f>
        <v/>
      </c>
      <c r="U5327">
        <f>IF(G5327=1,P5327*Assumptions!$B$13,Assumptions!$B$30)</f>
        <v/>
      </c>
      <c r="V5327">
        <f>IF(H5327=1,P5327*Assumptions!$B$12,Assumptions!$B$29)</f>
        <v/>
      </c>
      <c r="W5327">
        <f>IF(I5327=1,P5327*Assumptions!$B$11,Assumptions!$B$28)</f>
        <v/>
      </c>
      <c r="X5327">
        <f>P5327*($O$307+$S$307)</f>
        <v/>
      </c>
      <c r="Y5327">
        <f>P5327*Assumptions!$B$9</f>
        <v/>
      </c>
      <c r="Z5327">
        <f>IF(M5327=1,(P5327-Assumptions!$B$37)*Assumptions!$B$153,0)</f>
        <v/>
      </c>
      <c r="AA5327">
        <f>Q5327+R5327+S5327+T5327+U5327+V5327+W5327+X5327+Y5327+Z5327</f>
        <v/>
      </c>
      <c r="AB5327" t="n">
        <v>71</v>
      </c>
      <c r="AC5327" t="n">
        <v>7</v>
      </c>
      <c r="AD5327" t="n">
        <v>103</v>
      </c>
      <c r="AE5327" t="n">
        <v>87</v>
      </c>
      <c r="AF5327" t="n">
        <v>79</v>
      </c>
      <c r="AG5327" t="n">
        <v>67</v>
      </c>
      <c r="AH5327" t="n">
        <v>69</v>
      </c>
      <c r="AI5327" t="n">
        <v>70</v>
      </c>
      <c r="AJ5327">
        <f>INDEX($Q$5256:$Q$5383,AC5327+1)</f>
        <v/>
      </c>
      <c r="AK5327">
        <f>INDEX($R$5256:$R$5383,AD5327+1)</f>
        <v/>
      </c>
      <c r="AL5327">
        <f>INDEX($S$5256:$S$5383,AE5327+1)</f>
        <v/>
      </c>
      <c r="AM5327">
        <f>INDEX($T$5256:$T$5383,AF5327+1)</f>
        <v/>
      </c>
      <c r="AN5327">
        <f>INDEX($U$5256:$U$5383,AG5327+1)</f>
        <v/>
      </c>
      <c r="AO5327">
        <f>INDEX($V$5256:$V$5383,AH5327+1)</f>
        <v/>
      </c>
      <c r="AP5327">
        <f>INDEX($W$5256:$W$5383,AI5327+1)</f>
        <v/>
      </c>
      <c r="AQ5327">
        <f>IF(Q5327&gt;=AJ5327-0.01,1,0)</f>
        <v/>
      </c>
      <c r="AR5327">
        <f>IF(R5327&gt;=AK5327-0.01,1,0)</f>
        <v/>
      </c>
      <c r="AS5327">
        <f>IF(S5327&gt;=AL5327-0.01,1,0)</f>
        <v/>
      </c>
      <c r="AT5327">
        <f>IF(T5327&gt;=AM5327-0.01,1,0)</f>
        <v/>
      </c>
      <c r="AU5327">
        <f>IF(U5327&gt;=AN5327-0.01,1,0)</f>
        <v/>
      </c>
      <c r="AV5327">
        <f>IF(V5327&gt;=AO5327-0.01,1,0)</f>
        <v/>
      </c>
      <c r="AW5327">
        <f>IF(W5327&gt;=AP5327-0.01,1,0)</f>
        <v/>
      </c>
      <c r="AX5327">
        <f>AQ5327*AR5327*AS5327*AT5327*AU5327*AV5327*AW5327</f>
        <v/>
      </c>
    </row>
    <row r="5328">
      <c r="A5328" t="inlineStr"/>
      <c r="B5328">
        <f>Assumptions!$B$60</f>
        <v/>
      </c>
      <c r="C5328" t="n">
        <v>1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>
        <f>(1-C5328)*Assumptions!$B$41+(1-D5328)*Assumptions!$B$33+(1-E5328)*Assumptions!$B$32+(1-F5328)*Assumptions!$B$31+(1-G5328)*Assumptions!$B$30+(1-H5328)*Assumptions!$B$29+(1-I5328)*Assumptions!$B$28</f>
        <v/>
      </c>
      <c r="K5328">
        <f>C5328*$J$307+D5328*$F$307+E5328*$G$307+F5328*Assumptions!$B$14+G5328*Assumptions!$B$13+H5328*Assumptions!$B$12+I5328*Assumptions!$B$11+$O$307+$S$307+Assumptions!$B$9</f>
        <v/>
      </c>
      <c r="L5328">
        <f>B5328-J5328</f>
        <v/>
      </c>
      <c r="M5328">
        <f>IF(K5328&gt;0,IF(L5328/K5328&gt;=Assumptions!$B$37,1,0),0)</f>
        <v/>
      </c>
      <c r="N5328">
        <f>K5328+M5328*Assumptions!$B$153</f>
        <v/>
      </c>
      <c r="O5328">
        <f>L5328+M5328*Assumptions!$B$153*Assumptions!$B$37</f>
        <v/>
      </c>
      <c r="P5328">
        <f>IF(N5328&gt;0,O5328/N5328,0)</f>
        <v/>
      </c>
      <c r="Q5328">
        <f>IF(C5328=1,P5328*$J$307,Assumptions!$B$41)</f>
        <v/>
      </c>
      <c r="R5328">
        <f>IF(D5328=1,P5328*$F$307,Assumptions!$B$33)</f>
        <v/>
      </c>
      <c r="S5328">
        <f>IF(E5328=1,P5328*$G$307,Assumptions!$B$32)</f>
        <v/>
      </c>
      <c r="T5328">
        <f>IF(F5328=1,P5328*Assumptions!$B$14,Assumptions!$B$31)</f>
        <v/>
      </c>
      <c r="U5328">
        <f>IF(G5328=1,P5328*Assumptions!$B$13,Assumptions!$B$30)</f>
        <v/>
      </c>
      <c r="V5328">
        <f>IF(H5328=1,P5328*Assumptions!$B$12,Assumptions!$B$29)</f>
        <v/>
      </c>
      <c r="W5328">
        <f>IF(I5328=1,P5328*Assumptions!$B$11,Assumptions!$B$28)</f>
        <v/>
      </c>
      <c r="X5328">
        <f>P5328*($O$307+$S$307)</f>
        <v/>
      </c>
      <c r="Y5328">
        <f>P5328*Assumptions!$B$9</f>
        <v/>
      </c>
      <c r="Z5328">
        <f>IF(M5328=1,(P5328-Assumptions!$B$37)*Assumptions!$B$153,0)</f>
        <v/>
      </c>
      <c r="AA5328">
        <f>Q5328+R5328+S5328+T5328+U5328+V5328+W5328+X5328+Y5328+Z5328</f>
        <v/>
      </c>
      <c r="AB5328" t="n">
        <v>72</v>
      </c>
      <c r="AC5328" t="n">
        <v>8</v>
      </c>
      <c r="AD5328" t="n">
        <v>104</v>
      </c>
      <c r="AE5328" t="n">
        <v>88</v>
      </c>
      <c r="AF5328" t="n">
        <v>64</v>
      </c>
      <c r="AG5328" t="n">
        <v>76</v>
      </c>
      <c r="AH5328" t="n">
        <v>74</v>
      </c>
      <c r="AI5328" t="n">
        <v>73</v>
      </c>
      <c r="AJ5328">
        <f>INDEX($Q$5256:$Q$5383,AC5328+1)</f>
        <v/>
      </c>
      <c r="AK5328">
        <f>INDEX($R$5256:$R$5383,AD5328+1)</f>
        <v/>
      </c>
      <c r="AL5328">
        <f>INDEX($S$5256:$S$5383,AE5328+1)</f>
        <v/>
      </c>
      <c r="AM5328">
        <f>INDEX($T$5256:$T$5383,AF5328+1)</f>
        <v/>
      </c>
      <c r="AN5328">
        <f>INDEX($U$5256:$U$5383,AG5328+1)</f>
        <v/>
      </c>
      <c r="AO5328">
        <f>INDEX($V$5256:$V$5383,AH5328+1)</f>
        <v/>
      </c>
      <c r="AP5328">
        <f>INDEX($W$5256:$W$5383,AI5328+1)</f>
        <v/>
      </c>
      <c r="AQ5328">
        <f>IF(Q5328&gt;=AJ5328-0.01,1,0)</f>
        <v/>
      </c>
      <c r="AR5328">
        <f>IF(R5328&gt;=AK5328-0.01,1,0)</f>
        <v/>
      </c>
      <c r="AS5328">
        <f>IF(S5328&gt;=AL5328-0.01,1,0)</f>
        <v/>
      </c>
      <c r="AT5328">
        <f>IF(T5328&gt;=AM5328-0.01,1,0)</f>
        <v/>
      </c>
      <c r="AU5328">
        <f>IF(U5328&gt;=AN5328-0.01,1,0)</f>
        <v/>
      </c>
      <c r="AV5328">
        <f>IF(V5328&gt;=AO5328-0.01,1,0)</f>
        <v/>
      </c>
      <c r="AW5328">
        <f>IF(W5328&gt;=AP5328-0.01,1,0)</f>
        <v/>
      </c>
      <c r="AX5328">
        <f>AQ5328*AR5328*AS5328*AT5328*AU5328*AV5328*AW5328</f>
        <v/>
      </c>
    </row>
    <row r="5329">
      <c r="A5329" t="inlineStr"/>
      <c r="B5329">
        <f>Assumptions!$B$60</f>
        <v/>
      </c>
      <c r="C5329" t="n">
        <v>1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  <c r="J5329">
        <f>(1-C5329)*Assumptions!$B$41+(1-D5329)*Assumptions!$B$33+(1-E5329)*Assumptions!$B$32+(1-F5329)*Assumptions!$B$31+(1-G5329)*Assumptions!$B$30+(1-H5329)*Assumptions!$B$29+(1-I5329)*Assumptions!$B$28</f>
        <v/>
      </c>
      <c r="K5329">
        <f>C5329*$J$307+D5329*$F$307+E5329*$G$307+F5329*Assumptions!$B$14+G5329*Assumptions!$B$13+H5329*Assumptions!$B$12+I5329*Assumptions!$B$11+$O$307+$S$307+Assumptions!$B$9</f>
        <v/>
      </c>
      <c r="L5329">
        <f>B5329-J5329</f>
        <v/>
      </c>
      <c r="M5329">
        <f>IF(K5329&gt;0,IF(L5329/K5329&gt;=Assumptions!$B$37,1,0),0)</f>
        <v/>
      </c>
      <c r="N5329">
        <f>K5329+M5329*Assumptions!$B$153</f>
        <v/>
      </c>
      <c r="O5329">
        <f>L5329+M5329*Assumptions!$B$153*Assumptions!$B$37</f>
        <v/>
      </c>
      <c r="P5329">
        <f>IF(N5329&gt;0,O5329/N5329,0)</f>
        <v/>
      </c>
      <c r="Q5329">
        <f>IF(C5329=1,P5329*$J$307,Assumptions!$B$41)</f>
        <v/>
      </c>
      <c r="R5329">
        <f>IF(D5329=1,P5329*$F$307,Assumptions!$B$33)</f>
        <v/>
      </c>
      <c r="S5329">
        <f>IF(E5329=1,P5329*$G$307,Assumptions!$B$32)</f>
        <v/>
      </c>
      <c r="T5329">
        <f>IF(F5329=1,P5329*Assumptions!$B$14,Assumptions!$B$31)</f>
        <v/>
      </c>
      <c r="U5329">
        <f>IF(G5329=1,P5329*Assumptions!$B$13,Assumptions!$B$30)</f>
        <v/>
      </c>
      <c r="V5329">
        <f>IF(H5329=1,P5329*Assumptions!$B$12,Assumptions!$B$29)</f>
        <v/>
      </c>
      <c r="W5329">
        <f>IF(I5329=1,P5329*Assumptions!$B$11,Assumptions!$B$28)</f>
        <v/>
      </c>
      <c r="X5329">
        <f>P5329*($O$307+$S$307)</f>
        <v/>
      </c>
      <c r="Y5329">
        <f>P5329*Assumptions!$B$9</f>
        <v/>
      </c>
      <c r="Z5329">
        <f>IF(M5329=1,(P5329-Assumptions!$B$37)*Assumptions!$B$153,0)</f>
        <v/>
      </c>
      <c r="AA5329">
        <f>Q5329+R5329+S5329+T5329+U5329+V5329+W5329+X5329+Y5329+Z5329</f>
        <v/>
      </c>
      <c r="AB5329" t="n">
        <v>73</v>
      </c>
      <c r="AC5329" t="n">
        <v>9</v>
      </c>
      <c r="AD5329" t="n">
        <v>105</v>
      </c>
      <c r="AE5329" t="n">
        <v>89</v>
      </c>
      <c r="AF5329" t="n">
        <v>65</v>
      </c>
      <c r="AG5329" t="n">
        <v>77</v>
      </c>
      <c r="AH5329" t="n">
        <v>75</v>
      </c>
      <c r="AI5329" t="n">
        <v>72</v>
      </c>
      <c r="AJ5329">
        <f>INDEX($Q$5256:$Q$5383,AC5329+1)</f>
        <v/>
      </c>
      <c r="AK5329">
        <f>INDEX($R$5256:$R$5383,AD5329+1)</f>
        <v/>
      </c>
      <c r="AL5329">
        <f>INDEX($S$5256:$S$5383,AE5329+1)</f>
        <v/>
      </c>
      <c r="AM5329">
        <f>INDEX($T$5256:$T$5383,AF5329+1)</f>
        <v/>
      </c>
      <c r="AN5329">
        <f>INDEX($U$5256:$U$5383,AG5329+1)</f>
        <v/>
      </c>
      <c r="AO5329">
        <f>INDEX($V$5256:$V$5383,AH5329+1)</f>
        <v/>
      </c>
      <c r="AP5329">
        <f>INDEX($W$5256:$W$5383,AI5329+1)</f>
        <v/>
      </c>
      <c r="AQ5329">
        <f>IF(Q5329&gt;=AJ5329-0.01,1,0)</f>
        <v/>
      </c>
      <c r="AR5329">
        <f>IF(R5329&gt;=AK5329-0.01,1,0)</f>
        <v/>
      </c>
      <c r="AS5329">
        <f>IF(S5329&gt;=AL5329-0.01,1,0)</f>
        <v/>
      </c>
      <c r="AT5329">
        <f>IF(T5329&gt;=AM5329-0.01,1,0)</f>
        <v/>
      </c>
      <c r="AU5329">
        <f>IF(U5329&gt;=AN5329-0.01,1,0)</f>
        <v/>
      </c>
      <c r="AV5329">
        <f>IF(V5329&gt;=AO5329-0.01,1,0)</f>
        <v/>
      </c>
      <c r="AW5329">
        <f>IF(W5329&gt;=AP5329-0.01,1,0)</f>
        <v/>
      </c>
      <c r="AX5329">
        <f>AQ5329*AR5329*AS5329*AT5329*AU5329*AV5329*AW5329</f>
        <v/>
      </c>
    </row>
    <row r="5330">
      <c r="A5330" t="inlineStr"/>
      <c r="B5330">
        <f>Assumptions!$B$60</f>
        <v/>
      </c>
      <c r="C5330" t="n">
        <v>1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0</v>
      </c>
      <c r="J5330">
        <f>(1-C5330)*Assumptions!$B$41+(1-D5330)*Assumptions!$B$33+(1-E5330)*Assumptions!$B$32+(1-F5330)*Assumptions!$B$31+(1-G5330)*Assumptions!$B$30+(1-H5330)*Assumptions!$B$29+(1-I5330)*Assumptions!$B$28</f>
        <v/>
      </c>
      <c r="K5330">
        <f>C5330*$J$307+D5330*$F$307+E5330*$G$307+F5330*Assumptions!$B$14+G5330*Assumptions!$B$13+H5330*Assumptions!$B$12+I5330*Assumptions!$B$11+$O$307+$S$307+Assumptions!$B$9</f>
        <v/>
      </c>
      <c r="L5330">
        <f>B5330-J5330</f>
        <v/>
      </c>
      <c r="M5330">
        <f>IF(K5330&gt;0,IF(L5330/K5330&gt;=Assumptions!$B$37,1,0),0)</f>
        <v/>
      </c>
      <c r="N5330">
        <f>K5330+M5330*Assumptions!$B$153</f>
        <v/>
      </c>
      <c r="O5330">
        <f>L5330+M5330*Assumptions!$B$153*Assumptions!$B$37</f>
        <v/>
      </c>
      <c r="P5330">
        <f>IF(N5330&gt;0,O5330/N5330,0)</f>
        <v/>
      </c>
      <c r="Q5330">
        <f>IF(C5330=1,P5330*$J$307,Assumptions!$B$41)</f>
        <v/>
      </c>
      <c r="R5330">
        <f>IF(D5330=1,P5330*$F$307,Assumptions!$B$33)</f>
        <v/>
      </c>
      <c r="S5330">
        <f>IF(E5330=1,P5330*$G$307,Assumptions!$B$32)</f>
        <v/>
      </c>
      <c r="T5330">
        <f>IF(F5330=1,P5330*Assumptions!$B$14,Assumptions!$B$31)</f>
        <v/>
      </c>
      <c r="U5330">
        <f>IF(G5330=1,P5330*Assumptions!$B$13,Assumptions!$B$30)</f>
        <v/>
      </c>
      <c r="V5330">
        <f>IF(H5330=1,P5330*Assumptions!$B$12,Assumptions!$B$29)</f>
        <v/>
      </c>
      <c r="W5330">
        <f>IF(I5330=1,P5330*Assumptions!$B$11,Assumptions!$B$28)</f>
        <v/>
      </c>
      <c r="X5330">
        <f>P5330*($O$307+$S$307)</f>
        <v/>
      </c>
      <c r="Y5330">
        <f>P5330*Assumptions!$B$9</f>
        <v/>
      </c>
      <c r="Z5330">
        <f>IF(M5330=1,(P5330-Assumptions!$B$37)*Assumptions!$B$153,0)</f>
        <v/>
      </c>
      <c r="AA5330">
        <f>Q5330+R5330+S5330+T5330+U5330+V5330+W5330+X5330+Y5330+Z5330</f>
        <v/>
      </c>
      <c r="AB5330" t="n">
        <v>74</v>
      </c>
      <c r="AC5330" t="n">
        <v>10</v>
      </c>
      <c r="AD5330" t="n">
        <v>106</v>
      </c>
      <c r="AE5330" t="n">
        <v>90</v>
      </c>
      <c r="AF5330" t="n">
        <v>66</v>
      </c>
      <c r="AG5330" t="n">
        <v>78</v>
      </c>
      <c r="AH5330" t="n">
        <v>72</v>
      </c>
      <c r="AI5330" t="n">
        <v>75</v>
      </c>
      <c r="AJ5330">
        <f>INDEX($Q$5256:$Q$5383,AC5330+1)</f>
        <v/>
      </c>
      <c r="AK5330">
        <f>INDEX($R$5256:$R$5383,AD5330+1)</f>
        <v/>
      </c>
      <c r="AL5330">
        <f>INDEX($S$5256:$S$5383,AE5330+1)</f>
        <v/>
      </c>
      <c r="AM5330">
        <f>INDEX($T$5256:$T$5383,AF5330+1)</f>
        <v/>
      </c>
      <c r="AN5330">
        <f>INDEX($U$5256:$U$5383,AG5330+1)</f>
        <v/>
      </c>
      <c r="AO5330">
        <f>INDEX($V$5256:$V$5383,AH5330+1)</f>
        <v/>
      </c>
      <c r="AP5330">
        <f>INDEX($W$5256:$W$5383,AI5330+1)</f>
        <v/>
      </c>
      <c r="AQ5330">
        <f>IF(Q5330&gt;=AJ5330-0.01,1,0)</f>
        <v/>
      </c>
      <c r="AR5330">
        <f>IF(R5330&gt;=AK5330-0.01,1,0)</f>
        <v/>
      </c>
      <c r="AS5330">
        <f>IF(S5330&gt;=AL5330-0.01,1,0)</f>
        <v/>
      </c>
      <c r="AT5330">
        <f>IF(T5330&gt;=AM5330-0.01,1,0)</f>
        <v/>
      </c>
      <c r="AU5330">
        <f>IF(U5330&gt;=AN5330-0.01,1,0)</f>
        <v/>
      </c>
      <c r="AV5330">
        <f>IF(V5330&gt;=AO5330-0.01,1,0)</f>
        <v/>
      </c>
      <c r="AW5330">
        <f>IF(W5330&gt;=AP5330-0.01,1,0)</f>
        <v/>
      </c>
      <c r="AX5330">
        <f>AQ5330*AR5330*AS5330*AT5330*AU5330*AV5330*AW5330</f>
        <v/>
      </c>
    </row>
    <row r="5331">
      <c r="A5331" t="inlineStr"/>
      <c r="B5331">
        <f>Assumptions!$B$60</f>
        <v/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1</v>
      </c>
      <c r="I5331" t="n">
        <v>1</v>
      </c>
      <c r="J5331">
        <f>(1-C5331)*Assumptions!$B$41+(1-D5331)*Assumptions!$B$33+(1-E5331)*Assumptions!$B$32+(1-F5331)*Assumptions!$B$31+(1-G5331)*Assumptions!$B$30+(1-H5331)*Assumptions!$B$29+(1-I5331)*Assumptions!$B$28</f>
        <v/>
      </c>
      <c r="K5331">
        <f>C5331*$J$307+D5331*$F$307+E5331*$G$307+F5331*Assumptions!$B$14+G5331*Assumptions!$B$13+H5331*Assumptions!$B$12+I5331*Assumptions!$B$11+$O$307+$S$307+Assumptions!$B$9</f>
        <v/>
      </c>
      <c r="L5331">
        <f>B5331-J5331</f>
        <v/>
      </c>
      <c r="M5331">
        <f>IF(K5331&gt;0,IF(L5331/K5331&gt;=Assumptions!$B$37,1,0),0)</f>
        <v/>
      </c>
      <c r="N5331">
        <f>K5331+M5331*Assumptions!$B$153</f>
        <v/>
      </c>
      <c r="O5331">
        <f>L5331+M5331*Assumptions!$B$153*Assumptions!$B$37</f>
        <v/>
      </c>
      <c r="P5331">
        <f>IF(N5331&gt;0,O5331/N5331,0)</f>
        <v/>
      </c>
      <c r="Q5331">
        <f>IF(C5331=1,P5331*$J$307,Assumptions!$B$41)</f>
        <v/>
      </c>
      <c r="R5331">
        <f>IF(D5331=1,P5331*$F$307,Assumptions!$B$33)</f>
        <v/>
      </c>
      <c r="S5331">
        <f>IF(E5331=1,P5331*$G$307,Assumptions!$B$32)</f>
        <v/>
      </c>
      <c r="T5331">
        <f>IF(F5331=1,P5331*Assumptions!$B$14,Assumptions!$B$31)</f>
        <v/>
      </c>
      <c r="U5331">
        <f>IF(G5331=1,P5331*Assumptions!$B$13,Assumptions!$B$30)</f>
        <v/>
      </c>
      <c r="V5331">
        <f>IF(H5331=1,P5331*Assumptions!$B$12,Assumptions!$B$29)</f>
        <v/>
      </c>
      <c r="W5331">
        <f>IF(I5331=1,P5331*Assumptions!$B$11,Assumptions!$B$28)</f>
        <v/>
      </c>
      <c r="X5331">
        <f>P5331*($O$307+$S$307)</f>
        <v/>
      </c>
      <c r="Y5331">
        <f>P5331*Assumptions!$B$9</f>
        <v/>
      </c>
      <c r="Z5331">
        <f>IF(M5331=1,(P5331-Assumptions!$B$37)*Assumptions!$B$153,0)</f>
        <v/>
      </c>
      <c r="AA5331">
        <f>Q5331+R5331+S5331+T5331+U5331+V5331+W5331+X5331+Y5331+Z5331</f>
        <v/>
      </c>
      <c r="AB5331" t="n">
        <v>75</v>
      </c>
      <c r="AC5331" t="n">
        <v>11</v>
      </c>
      <c r="AD5331" t="n">
        <v>107</v>
      </c>
      <c r="AE5331" t="n">
        <v>91</v>
      </c>
      <c r="AF5331" t="n">
        <v>67</v>
      </c>
      <c r="AG5331" t="n">
        <v>79</v>
      </c>
      <c r="AH5331" t="n">
        <v>73</v>
      </c>
      <c r="AI5331" t="n">
        <v>74</v>
      </c>
      <c r="AJ5331">
        <f>INDEX($Q$5256:$Q$5383,AC5331+1)</f>
        <v/>
      </c>
      <c r="AK5331">
        <f>INDEX($R$5256:$R$5383,AD5331+1)</f>
        <v/>
      </c>
      <c r="AL5331">
        <f>INDEX($S$5256:$S$5383,AE5331+1)</f>
        <v/>
      </c>
      <c r="AM5331">
        <f>INDEX($T$5256:$T$5383,AF5331+1)</f>
        <v/>
      </c>
      <c r="AN5331">
        <f>INDEX($U$5256:$U$5383,AG5331+1)</f>
        <v/>
      </c>
      <c r="AO5331">
        <f>INDEX($V$5256:$V$5383,AH5331+1)</f>
        <v/>
      </c>
      <c r="AP5331">
        <f>INDEX($W$5256:$W$5383,AI5331+1)</f>
        <v/>
      </c>
      <c r="AQ5331">
        <f>IF(Q5331&gt;=AJ5331-0.01,1,0)</f>
        <v/>
      </c>
      <c r="AR5331">
        <f>IF(R5331&gt;=AK5331-0.01,1,0)</f>
        <v/>
      </c>
      <c r="AS5331">
        <f>IF(S5331&gt;=AL5331-0.01,1,0)</f>
        <v/>
      </c>
      <c r="AT5331">
        <f>IF(T5331&gt;=AM5331-0.01,1,0)</f>
        <v/>
      </c>
      <c r="AU5331">
        <f>IF(U5331&gt;=AN5331-0.01,1,0)</f>
        <v/>
      </c>
      <c r="AV5331">
        <f>IF(V5331&gt;=AO5331-0.01,1,0)</f>
        <v/>
      </c>
      <c r="AW5331">
        <f>IF(W5331&gt;=AP5331-0.01,1,0)</f>
        <v/>
      </c>
      <c r="AX5331">
        <f>AQ5331*AR5331*AS5331*AT5331*AU5331*AV5331*AW5331</f>
        <v/>
      </c>
    </row>
    <row r="5332">
      <c r="A5332" t="inlineStr"/>
      <c r="B5332">
        <f>Assumptions!$B$60</f>
        <v/>
      </c>
      <c r="C5332" t="n">
        <v>1</v>
      </c>
      <c r="D5332" t="n">
        <v>0</v>
      </c>
      <c r="E5332" t="n">
        <v>0</v>
      </c>
      <c r="F5332" t="n">
        <v>1</v>
      </c>
      <c r="G5332" t="n">
        <v>1</v>
      </c>
      <c r="H5332" t="n">
        <v>0</v>
      </c>
      <c r="I5332" t="n">
        <v>0</v>
      </c>
      <c r="J5332">
        <f>(1-C5332)*Assumptions!$B$41+(1-D5332)*Assumptions!$B$33+(1-E5332)*Assumptions!$B$32+(1-F5332)*Assumptions!$B$31+(1-G5332)*Assumptions!$B$30+(1-H5332)*Assumptions!$B$29+(1-I5332)*Assumptions!$B$28</f>
        <v/>
      </c>
      <c r="K5332">
        <f>C5332*$J$307+D5332*$F$307+E5332*$G$307+F5332*Assumptions!$B$14+G5332*Assumptions!$B$13+H5332*Assumptions!$B$12+I5332*Assumptions!$B$11+$O$307+$S$307+Assumptions!$B$9</f>
        <v/>
      </c>
      <c r="L5332">
        <f>B5332-J5332</f>
        <v/>
      </c>
      <c r="M5332">
        <f>IF(K5332&gt;0,IF(L5332/K5332&gt;=Assumptions!$B$37,1,0),0)</f>
        <v/>
      </c>
      <c r="N5332">
        <f>K5332+M5332*Assumptions!$B$153</f>
        <v/>
      </c>
      <c r="O5332">
        <f>L5332+M5332*Assumptions!$B$153*Assumptions!$B$37</f>
        <v/>
      </c>
      <c r="P5332">
        <f>IF(N5332&gt;0,O5332/N5332,0)</f>
        <v/>
      </c>
      <c r="Q5332">
        <f>IF(C5332=1,P5332*$J$307,Assumptions!$B$41)</f>
        <v/>
      </c>
      <c r="R5332">
        <f>IF(D5332=1,P5332*$F$307,Assumptions!$B$33)</f>
        <v/>
      </c>
      <c r="S5332">
        <f>IF(E5332=1,P5332*$G$307,Assumptions!$B$32)</f>
        <v/>
      </c>
      <c r="T5332">
        <f>IF(F5332=1,P5332*Assumptions!$B$14,Assumptions!$B$31)</f>
        <v/>
      </c>
      <c r="U5332">
        <f>IF(G5332=1,P5332*Assumptions!$B$13,Assumptions!$B$30)</f>
        <v/>
      </c>
      <c r="V5332">
        <f>IF(H5332=1,P5332*Assumptions!$B$12,Assumptions!$B$29)</f>
        <v/>
      </c>
      <c r="W5332">
        <f>IF(I5332=1,P5332*Assumptions!$B$11,Assumptions!$B$28)</f>
        <v/>
      </c>
      <c r="X5332">
        <f>P5332*($O$307+$S$307)</f>
        <v/>
      </c>
      <c r="Y5332">
        <f>P5332*Assumptions!$B$9</f>
        <v/>
      </c>
      <c r="Z5332">
        <f>IF(M5332=1,(P5332-Assumptions!$B$37)*Assumptions!$B$153,0)</f>
        <v/>
      </c>
      <c r="AA5332">
        <f>Q5332+R5332+S5332+T5332+U5332+V5332+W5332+X5332+Y5332+Z5332</f>
        <v/>
      </c>
      <c r="AB5332" t="n">
        <v>76</v>
      </c>
      <c r="AC5332" t="n">
        <v>12</v>
      </c>
      <c r="AD5332" t="n">
        <v>108</v>
      </c>
      <c r="AE5332" t="n">
        <v>92</v>
      </c>
      <c r="AF5332" t="n">
        <v>68</v>
      </c>
      <c r="AG5332" t="n">
        <v>72</v>
      </c>
      <c r="AH5332" t="n">
        <v>78</v>
      </c>
      <c r="AI5332" t="n">
        <v>77</v>
      </c>
      <c r="AJ5332">
        <f>INDEX($Q$5256:$Q$5383,AC5332+1)</f>
        <v/>
      </c>
      <c r="AK5332">
        <f>INDEX($R$5256:$R$5383,AD5332+1)</f>
        <v/>
      </c>
      <c r="AL5332">
        <f>INDEX($S$5256:$S$5383,AE5332+1)</f>
        <v/>
      </c>
      <c r="AM5332">
        <f>INDEX($T$5256:$T$5383,AF5332+1)</f>
        <v/>
      </c>
      <c r="AN5332">
        <f>INDEX($U$5256:$U$5383,AG5332+1)</f>
        <v/>
      </c>
      <c r="AO5332">
        <f>INDEX($V$5256:$V$5383,AH5332+1)</f>
        <v/>
      </c>
      <c r="AP5332">
        <f>INDEX($W$5256:$W$5383,AI5332+1)</f>
        <v/>
      </c>
      <c r="AQ5332">
        <f>IF(Q5332&gt;=AJ5332-0.01,1,0)</f>
        <v/>
      </c>
      <c r="AR5332">
        <f>IF(R5332&gt;=AK5332-0.01,1,0)</f>
        <v/>
      </c>
      <c r="AS5332">
        <f>IF(S5332&gt;=AL5332-0.01,1,0)</f>
        <v/>
      </c>
      <c r="AT5332">
        <f>IF(T5332&gt;=AM5332-0.01,1,0)</f>
        <v/>
      </c>
      <c r="AU5332">
        <f>IF(U5332&gt;=AN5332-0.01,1,0)</f>
        <v/>
      </c>
      <c r="AV5332">
        <f>IF(V5332&gt;=AO5332-0.01,1,0)</f>
        <v/>
      </c>
      <c r="AW5332">
        <f>IF(W5332&gt;=AP5332-0.01,1,0)</f>
        <v/>
      </c>
      <c r="AX5332">
        <f>AQ5332*AR5332*AS5332*AT5332*AU5332*AV5332*AW5332</f>
        <v/>
      </c>
    </row>
    <row r="5333">
      <c r="A5333" t="inlineStr"/>
      <c r="B5333">
        <f>Assumptions!$B$60</f>
        <v/>
      </c>
      <c r="C5333" t="n">
        <v>1</v>
      </c>
      <c r="D5333" t="n">
        <v>0</v>
      </c>
      <c r="E5333" t="n">
        <v>0</v>
      </c>
      <c r="F5333" t="n">
        <v>1</v>
      </c>
      <c r="G5333" t="n">
        <v>1</v>
      </c>
      <c r="H5333" t="n">
        <v>0</v>
      </c>
      <c r="I5333" t="n">
        <v>1</v>
      </c>
      <c r="J5333">
        <f>(1-C5333)*Assumptions!$B$41+(1-D5333)*Assumptions!$B$33+(1-E5333)*Assumptions!$B$32+(1-F5333)*Assumptions!$B$31+(1-G5333)*Assumptions!$B$30+(1-H5333)*Assumptions!$B$29+(1-I5333)*Assumptions!$B$28</f>
        <v/>
      </c>
      <c r="K5333">
        <f>C5333*$J$307+D5333*$F$307+E5333*$G$307+F5333*Assumptions!$B$14+G5333*Assumptions!$B$13+H5333*Assumptions!$B$12+I5333*Assumptions!$B$11+$O$307+$S$307+Assumptions!$B$9</f>
        <v/>
      </c>
      <c r="L5333">
        <f>B5333-J5333</f>
        <v/>
      </c>
      <c r="M5333">
        <f>IF(K5333&gt;0,IF(L5333/K5333&gt;=Assumptions!$B$37,1,0),0)</f>
        <v/>
      </c>
      <c r="N5333">
        <f>K5333+M5333*Assumptions!$B$153</f>
        <v/>
      </c>
      <c r="O5333">
        <f>L5333+M5333*Assumptions!$B$153*Assumptions!$B$37</f>
        <v/>
      </c>
      <c r="P5333">
        <f>IF(N5333&gt;0,O5333/N5333,0)</f>
        <v/>
      </c>
      <c r="Q5333">
        <f>IF(C5333=1,P5333*$J$307,Assumptions!$B$41)</f>
        <v/>
      </c>
      <c r="R5333">
        <f>IF(D5333=1,P5333*$F$307,Assumptions!$B$33)</f>
        <v/>
      </c>
      <c r="S5333">
        <f>IF(E5333=1,P5333*$G$307,Assumptions!$B$32)</f>
        <v/>
      </c>
      <c r="T5333">
        <f>IF(F5333=1,P5333*Assumptions!$B$14,Assumptions!$B$31)</f>
        <v/>
      </c>
      <c r="U5333">
        <f>IF(G5333=1,P5333*Assumptions!$B$13,Assumptions!$B$30)</f>
        <v/>
      </c>
      <c r="V5333">
        <f>IF(H5333=1,P5333*Assumptions!$B$12,Assumptions!$B$29)</f>
        <v/>
      </c>
      <c r="W5333">
        <f>IF(I5333=1,P5333*Assumptions!$B$11,Assumptions!$B$28)</f>
        <v/>
      </c>
      <c r="X5333">
        <f>P5333*($O$307+$S$307)</f>
        <v/>
      </c>
      <c r="Y5333">
        <f>P5333*Assumptions!$B$9</f>
        <v/>
      </c>
      <c r="Z5333">
        <f>IF(M5333=1,(P5333-Assumptions!$B$37)*Assumptions!$B$153,0)</f>
        <v/>
      </c>
      <c r="AA5333">
        <f>Q5333+R5333+S5333+T5333+U5333+V5333+W5333+X5333+Y5333+Z5333</f>
        <v/>
      </c>
      <c r="AB5333" t="n">
        <v>77</v>
      </c>
      <c r="AC5333" t="n">
        <v>13</v>
      </c>
      <c r="AD5333" t="n">
        <v>109</v>
      </c>
      <c r="AE5333" t="n">
        <v>93</v>
      </c>
      <c r="AF5333" t="n">
        <v>69</v>
      </c>
      <c r="AG5333" t="n">
        <v>73</v>
      </c>
      <c r="AH5333" t="n">
        <v>79</v>
      </c>
      <c r="AI5333" t="n">
        <v>76</v>
      </c>
      <c r="AJ5333">
        <f>INDEX($Q$5256:$Q$5383,AC5333+1)</f>
        <v/>
      </c>
      <c r="AK5333">
        <f>INDEX($R$5256:$R$5383,AD5333+1)</f>
        <v/>
      </c>
      <c r="AL5333">
        <f>INDEX($S$5256:$S$5383,AE5333+1)</f>
        <v/>
      </c>
      <c r="AM5333">
        <f>INDEX($T$5256:$T$5383,AF5333+1)</f>
        <v/>
      </c>
      <c r="AN5333">
        <f>INDEX($U$5256:$U$5383,AG5333+1)</f>
        <v/>
      </c>
      <c r="AO5333">
        <f>INDEX($V$5256:$V$5383,AH5333+1)</f>
        <v/>
      </c>
      <c r="AP5333">
        <f>INDEX($W$5256:$W$5383,AI5333+1)</f>
        <v/>
      </c>
      <c r="AQ5333">
        <f>IF(Q5333&gt;=AJ5333-0.01,1,0)</f>
        <v/>
      </c>
      <c r="AR5333">
        <f>IF(R5333&gt;=AK5333-0.01,1,0)</f>
        <v/>
      </c>
      <c r="AS5333">
        <f>IF(S5333&gt;=AL5333-0.01,1,0)</f>
        <v/>
      </c>
      <c r="AT5333">
        <f>IF(T5333&gt;=AM5333-0.01,1,0)</f>
        <v/>
      </c>
      <c r="AU5333">
        <f>IF(U5333&gt;=AN5333-0.01,1,0)</f>
        <v/>
      </c>
      <c r="AV5333">
        <f>IF(V5333&gt;=AO5333-0.01,1,0)</f>
        <v/>
      </c>
      <c r="AW5333">
        <f>IF(W5333&gt;=AP5333-0.01,1,0)</f>
        <v/>
      </c>
      <c r="AX5333">
        <f>AQ5333*AR5333*AS5333*AT5333*AU5333*AV5333*AW5333</f>
        <v/>
      </c>
    </row>
    <row r="5334">
      <c r="A5334" t="inlineStr"/>
      <c r="B5334">
        <f>Assumptions!$B$60</f>
        <v/>
      </c>
      <c r="C5334" t="n">
        <v>1</v>
      </c>
      <c r="D5334" t="n">
        <v>0</v>
      </c>
      <c r="E5334" t="n">
        <v>0</v>
      </c>
      <c r="F5334" t="n">
        <v>1</v>
      </c>
      <c r="G5334" t="n">
        <v>1</v>
      </c>
      <c r="H5334" t="n">
        <v>1</v>
      </c>
      <c r="I5334" t="n">
        <v>0</v>
      </c>
      <c r="J5334">
        <f>(1-C5334)*Assumptions!$B$41+(1-D5334)*Assumptions!$B$33+(1-E5334)*Assumptions!$B$32+(1-F5334)*Assumptions!$B$31+(1-G5334)*Assumptions!$B$30+(1-H5334)*Assumptions!$B$29+(1-I5334)*Assumptions!$B$28</f>
        <v/>
      </c>
      <c r="K5334">
        <f>C5334*$J$307+D5334*$F$307+E5334*$G$307+F5334*Assumptions!$B$14+G5334*Assumptions!$B$13+H5334*Assumptions!$B$12+I5334*Assumptions!$B$11+$O$307+$S$307+Assumptions!$B$9</f>
        <v/>
      </c>
      <c r="L5334">
        <f>B5334-J5334</f>
        <v/>
      </c>
      <c r="M5334">
        <f>IF(K5334&gt;0,IF(L5334/K5334&gt;=Assumptions!$B$37,1,0),0)</f>
        <v/>
      </c>
      <c r="N5334">
        <f>K5334+M5334*Assumptions!$B$153</f>
        <v/>
      </c>
      <c r="O5334">
        <f>L5334+M5334*Assumptions!$B$153*Assumptions!$B$37</f>
        <v/>
      </c>
      <c r="P5334">
        <f>IF(N5334&gt;0,O5334/N5334,0)</f>
        <v/>
      </c>
      <c r="Q5334">
        <f>IF(C5334=1,P5334*$J$307,Assumptions!$B$41)</f>
        <v/>
      </c>
      <c r="R5334">
        <f>IF(D5334=1,P5334*$F$307,Assumptions!$B$33)</f>
        <v/>
      </c>
      <c r="S5334">
        <f>IF(E5334=1,P5334*$G$307,Assumptions!$B$32)</f>
        <v/>
      </c>
      <c r="T5334">
        <f>IF(F5334=1,P5334*Assumptions!$B$14,Assumptions!$B$31)</f>
        <v/>
      </c>
      <c r="U5334">
        <f>IF(G5334=1,P5334*Assumptions!$B$13,Assumptions!$B$30)</f>
        <v/>
      </c>
      <c r="V5334">
        <f>IF(H5334=1,P5334*Assumptions!$B$12,Assumptions!$B$29)</f>
        <v/>
      </c>
      <c r="W5334">
        <f>IF(I5334=1,P5334*Assumptions!$B$11,Assumptions!$B$28)</f>
        <v/>
      </c>
      <c r="X5334">
        <f>P5334*($O$307+$S$307)</f>
        <v/>
      </c>
      <c r="Y5334">
        <f>P5334*Assumptions!$B$9</f>
        <v/>
      </c>
      <c r="Z5334">
        <f>IF(M5334=1,(P5334-Assumptions!$B$37)*Assumptions!$B$153,0)</f>
        <v/>
      </c>
      <c r="AA5334">
        <f>Q5334+R5334+S5334+T5334+U5334+V5334+W5334+X5334+Y5334+Z5334</f>
        <v/>
      </c>
      <c r="AB5334" t="n">
        <v>78</v>
      </c>
      <c r="AC5334" t="n">
        <v>14</v>
      </c>
      <c r="AD5334" t="n">
        <v>110</v>
      </c>
      <c r="AE5334" t="n">
        <v>94</v>
      </c>
      <c r="AF5334" t="n">
        <v>70</v>
      </c>
      <c r="AG5334" t="n">
        <v>74</v>
      </c>
      <c r="AH5334" t="n">
        <v>76</v>
      </c>
      <c r="AI5334" t="n">
        <v>79</v>
      </c>
      <c r="AJ5334">
        <f>INDEX($Q$5256:$Q$5383,AC5334+1)</f>
        <v/>
      </c>
      <c r="AK5334">
        <f>INDEX($R$5256:$R$5383,AD5334+1)</f>
        <v/>
      </c>
      <c r="AL5334">
        <f>INDEX($S$5256:$S$5383,AE5334+1)</f>
        <v/>
      </c>
      <c r="AM5334">
        <f>INDEX($T$5256:$T$5383,AF5334+1)</f>
        <v/>
      </c>
      <c r="AN5334">
        <f>INDEX($U$5256:$U$5383,AG5334+1)</f>
        <v/>
      </c>
      <c r="AO5334">
        <f>INDEX($V$5256:$V$5383,AH5334+1)</f>
        <v/>
      </c>
      <c r="AP5334">
        <f>INDEX($W$5256:$W$5383,AI5334+1)</f>
        <v/>
      </c>
      <c r="AQ5334">
        <f>IF(Q5334&gt;=AJ5334-0.01,1,0)</f>
        <v/>
      </c>
      <c r="AR5334">
        <f>IF(R5334&gt;=AK5334-0.01,1,0)</f>
        <v/>
      </c>
      <c r="AS5334">
        <f>IF(S5334&gt;=AL5334-0.01,1,0)</f>
        <v/>
      </c>
      <c r="AT5334">
        <f>IF(T5334&gt;=AM5334-0.01,1,0)</f>
        <v/>
      </c>
      <c r="AU5334">
        <f>IF(U5334&gt;=AN5334-0.01,1,0)</f>
        <v/>
      </c>
      <c r="AV5334">
        <f>IF(V5334&gt;=AO5334-0.01,1,0)</f>
        <v/>
      </c>
      <c r="AW5334">
        <f>IF(W5334&gt;=AP5334-0.01,1,0)</f>
        <v/>
      </c>
      <c r="AX5334">
        <f>AQ5334*AR5334*AS5334*AT5334*AU5334*AV5334*AW5334</f>
        <v/>
      </c>
    </row>
    <row r="5335">
      <c r="A5335" t="inlineStr"/>
      <c r="B5335">
        <f>Assumptions!$B$60</f>
        <v/>
      </c>
      <c r="C5335" t="n">
        <v>1</v>
      </c>
      <c r="D5335" t="n">
        <v>0</v>
      </c>
      <c r="E5335" t="n">
        <v>0</v>
      </c>
      <c r="F5335" t="n">
        <v>1</v>
      </c>
      <c r="G5335" t="n">
        <v>1</v>
      </c>
      <c r="H5335" t="n">
        <v>1</v>
      </c>
      <c r="I5335" t="n">
        <v>1</v>
      </c>
      <c r="J5335">
        <f>(1-C5335)*Assumptions!$B$41+(1-D5335)*Assumptions!$B$33+(1-E5335)*Assumptions!$B$32+(1-F5335)*Assumptions!$B$31+(1-G5335)*Assumptions!$B$30+(1-H5335)*Assumptions!$B$29+(1-I5335)*Assumptions!$B$28</f>
        <v/>
      </c>
      <c r="K5335">
        <f>C5335*$J$307+D5335*$F$307+E5335*$G$307+F5335*Assumptions!$B$14+G5335*Assumptions!$B$13+H5335*Assumptions!$B$12+I5335*Assumptions!$B$11+$O$307+$S$307+Assumptions!$B$9</f>
        <v/>
      </c>
      <c r="L5335">
        <f>B5335-J5335</f>
        <v/>
      </c>
      <c r="M5335">
        <f>IF(K5335&gt;0,IF(L5335/K5335&gt;=Assumptions!$B$37,1,0),0)</f>
        <v/>
      </c>
      <c r="N5335">
        <f>K5335+M5335*Assumptions!$B$153</f>
        <v/>
      </c>
      <c r="O5335">
        <f>L5335+M5335*Assumptions!$B$153*Assumptions!$B$37</f>
        <v/>
      </c>
      <c r="P5335">
        <f>IF(N5335&gt;0,O5335/N5335,0)</f>
        <v/>
      </c>
      <c r="Q5335">
        <f>IF(C5335=1,P5335*$J$307,Assumptions!$B$41)</f>
        <v/>
      </c>
      <c r="R5335">
        <f>IF(D5335=1,P5335*$F$307,Assumptions!$B$33)</f>
        <v/>
      </c>
      <c r="S5335">
        <f>IF(E5335=1,P5335*$G$307,Assumptions!$B$32)</f>
        <v/>
      </c>
      <c r="T5335">
        <f>IF(F5335=1,P5335*Assumptions!$B$14,Assumptions!$B$31)</f>
        <v/>
      </c>
      <c r="U5335">
        <f>IF(G5335=1,P5335*Assumptions!$B$13,Assumptions!$B$30)</f>
        <v/>
      </c>
      <c r="V5335">
        <f>IF(H5335=1,P5335*Assumptions!$B$12,Assumptions!$B$29)</f>
        <v/>
      </c>
      <c r="W5335">
        <f>IF(I5335=1,P5335*Assumptions!$B$11,Assumptions!$B$28)</f>
        <v/>
      </c>
      <c r="X5335">
        <f>P5335*($O$307+$S$307)</f>
        <v/>
      </c>
      <c r="Y5335">
        <f>P5335*Assumptions!$B$9</f>
        <v/>
      </c>
      <c r="Z5335">
        <f>IF(M5335=1,(P5335-Assumptions!$B$37)*Assumptions!$B$153,0)</f>
        <v/>
      </c>
      <c r="AA5335">
        <f>Q5335+R5335+S5335+T5335+U5335+V5335+W5335+X5335+Y5335+Z5335</f>
        <v/>
      </c>
      <c r="AB5335" t="n">
        <v>79</v>
      </c>
      <c r="AC5335" t="n">
        <v>15</v>
      </c>
      <c r="AD5335" t="n">
        <v>111</v>
      </c>
      <c r="AE5335" t="n">
        <v>95</v>
      </c>
      <c r="AF5335" t="n">
        <v>71</v>
      </c>
      <c r="AG5335" t="n">
        <v>75</v>
      </c>
      <c r="AH5335" t="n">
        <v>77</v>
      </c>
      <c r="AI5335" t="n">
        <v>78</v>
      </c>
      <c r="AJ5335">
        <f>INDEX($Q$5256:$Q$5383,AC5335+1)</f>
        <v/>
      </c>
      <c r="AK5335">
        <f>INDEX($R$5256:$R$5383,AD5335+1)</f>
        <v/>
      </c>
      <c r="AL5335">
        <f>INDEX($S$5256:$S$5383,AE5335+1)</f>
        <v/>
      </c>
      <c r="AM5335">
        <f>INDEX($T$5256:$T$5383,AF5335+1)</f>
        <v/>
      </c>
      <c r="AN5335">
        <f>INDEX($U$5256:$U$5383,AG5335+1)</f>
        <v/>
      </c>
      <c r="AO5335">
        <f>INDEX($V$5256:$V$5383,AH5335+1)</f>
        <v/>
      </c>
      <c r="AP5335">
        <f>INDEX($W$5256:$W$5383,AI5335+1)</f>
        <v/>
      </c>
      <c r="AQ5335">
        <f>IF(Q5335&gt;=AJ5335-0.01,1,0)</f>
        <v/>
      </c>
      <c r="AR5335">
        <f>IF(R5335&gt;=AK5335-0.01,1,0)</f>
        <v/>
      </c>
      <c r="AS5335">
        <f>IF(S5335&gt;=AL5335-0.01,1,0)</f>
        <v/>
      </c>
      <c r="AT5335">
        <f>IF(T5335&gt;=AM5335-0.01,1,0)</f>
        <v/>
      </c>
      <c r="AU5335">
        <f>IF(U5335&gt;=AN5335-0.01,1,0)</f>
        <v/>
      </c>
      <c r="AV5335">
        <f>IF(V5335&gt;=AO5335-0.01,1,0)</f>
        <v/>
      </c>
      <c r="AW5335">
        <f>IF(W5335&gt;=AP5335-0.01,1,0)</f>
        <v/>
      </c>
      <c r="AX5335">
        <f>AQ5335*AR5335*AS5335*AT5335*AU5335*AV5335*AW5335</f>
        <v/>
      </c>
    </row>
    <row r="5336">
      <c r="A5336" t="inlineStr"/>
      <c r="B5336">
        <f>Assumptions!$B$60</f>
        <v/>
      </c>
      <c r="C5336" t="n">
        <v>1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  <c r="J5336">
        <f>(1-C5336)*Assumptions!$B$41+(1-D5336)*Assumptions!$B$33+(1-E5336)*Assumptions!$B$32+(1-F5336)*Assumptions!$B$31+(1-G5336)*Assumptions!$B$30+(1-H5336)*Assumptions!$B$29+(1-I5336)*Assumptions!$B$28</f>
        <v/>
      </c>
      <c r="K5336">
        <f>C5336*$J$307+D5336*$F$307+E5336*$G$307+F5336*Assumptions!$B$14+G5336*Assumptions!$B$13+H5336*Assumptions!$B$12+I5336*Assumptions!$B$11+$O$307+$S$307+Assumptions!$B$9</f>
        <v/>
      </c>
      <c r="L5336">
        <f>B5336-J5336</f>
        <v/>
      </c>
      <c r="M5336">
        <f>IF(K5336&gt;0,IF(L5336/K5336&gt;=Assumptions!$B$37,1,0),0)</f>
        <v/>
      </c>
      <c r="N5336">
        <f>K5336+M5336*Assumptions!$B$153</f>
        <v/>
      </c>
      <c r="O5336">
        <f>L5336+M5336*Assumptions!$B$153*Assumptions!$B$37</f>
        <v/>
      </c>
      <c r="P5336">
        <f>IF(N5336&gt;0,O5336/N5336,0)</f>
        <v/>
      </c>
      <c r="Q5336">
        <f>IF(C5336=1,P5336*$J$307,Assumptions!$B$41)</f>
        <v/>
      </c>
      <c r="R5336">
        <f>IF(D5336=1,P5336*$F$307,Assumptions!$B$33)</f>
        <v/>
      </c>
      <c r="S5336">
        <f>IF(E5336=1,P5336*$G$307,Assumptions!$B$32)</f>
        <v/>
      </c>
      <c r="T5336">
        <f>IF(F5336=1,P5336*Assumptions!$B$14,Assumptions!$B$31)</f>
        <v/>
      </c>
      <c r="U5336">
        <f>IF(G5336=1,P5336*Assumptions!$B$13,Assumptions!$B$30)</f>
        <v/>
      </c>
      <c r="V5336">
        <f>IF(H5336=1,P5336*Assumptions!$B$12,Assumptions!$B$29)</f>
        <v/>
      </c>
      <c r="W5336">
        <f>IF(I5336=1,P5336*Assumptions!$B$11,Assumptions!$B$28)</f>
        <v/>
      </c>
      <c r="X5336">
        <f>P5336*($O$307+$S$307)</f>
        <v/>
      </c>
      <c r="Y5336">
        <f>P5336*Assumptions!$B$9</f>
        <v/>
      </c>
      <c r="Z5336">
        <f>IF(M5336=1,(P5336-Assumptions!$B$37)*Assumptions!$B$153,0)</f>
        <v/>
      </c>
      <c r="AA5336">
        <f>Q5336+R5336+S5336+T5336+U5336+V5336+W5336+X5336+Y5336+Z5336</f>
        <v/>
      </c>
      <c r="AB5336" t="n">
        <v>80</v>
      </c>
      <c r="AC5336" t="n">
        <v>16</v>
      </c>
      <c r="AD5336" t="n">
        <v>112</v>
      </c>
      <c r="AE5336" t="n">
        <v>64</v>
      </c>
      <c r="AF5336" t="n">
        <v>88</v>
      </c>
      <c r="AG5336" t="n">
        <v>84</v>
      </c>
      <c r="AH5336" t="n">
        <v>82</v>
      </c>
      <c r="AI5336" t="n">
        <v>81</v>
      </c>
      <c r="AJ5336">
        <f>INDEX($Q$5256:$Q$5383,AC5336+1)</f>
        <v/>
      </c>
      <c r="AK5336">
        <f>INDEX($R$5256:$R$5383,AD5336+1)</f>
        <v/>
      </c>
      <c r="AL5336">
        <f>INDEX($S$5256:$S$5383,AE5336+1)</f>
        <v/>
      </c>
      <c r="AM5336">
        <f>INDEX($T$5256:$T$5383,AF5336+1)</f>
        <v/>
      </c>
      <c r="AN5336">
        <f>INDEX($U$5256:$U$5383,AG5336+1)</f>
        <v/>
      </c>
      <c r="AO5336">
        <f>INDEX($V$5256:$V$5383,AH5336+1)</f>
        <v/>
      </c>
      <c r="AP5336">
        <f>INDEX($W$5256:$W$5383,AI5336+1)</f>
        <v/>
      </c>
      <c r="AQ5336">
        <f>IF(Q5336&gt;=AJ5336-0.01,1,0)</f>
        <v/>
      </c>
      <c r="AR5336">
        <f>IF(R5336&gt;=AK5336-0.01,1,0)</f>
        <v/>
      </c>
      <c r="AS5336">
        <f>IF(S5336&gt;=AL5336-0.01,1,0)</f>
        <v/>
      </c>
      <c r="AT5336">
        <f>IF(T5336&gt;=AM5336-0.01,1,0)</f>
        <v/>
      </c>
      <c r="AU5336">
        <f>IF(U5336&gt;=AN5336-0.01,1,0)</f>
        <v/>
      </c>
      <c r="AV5336">
        <f>IF(V5336&gt;=AO5336-0.01,1,0)</f>
        <v/>
      </c>
      <c r="AW5336">
        <f>IF(W5336&gt;=AP5336-0.01,1,0)</f>
        <v/>
      </c>
      <c r="AX5336">
        <f>AQ5336*AR5336*AS5336*AT5336*AU5336*AV5336*AW5336</f>
        <v/>
      </c>
    </row>
    <row r="5337">
      <c r="A5337" t="inlineStr"/>
      <c r="B5337">
        <f>Assumptions!$B$60</f>
        <v/>
      </c>
      <c r="C5337" t="n">
        <v>1</v>
      </c>
      <c r="D5337" t="n">
        <v>0</v>
      </c>
      <c r="E5337" t="n">
        <v>1</v>
      </c>
      <c r="F5337" t="n">
        <v>0</v>
      </c>
      <c r="G5337" t="n">
        <v>0</v>
      </c>
      <c r="H5337" t="n">
        <v>0</v>
      </c>
      <c r="I5337" t="n">
        <v>1</v>
      </c>
      <c r="J5337">
        <f>(1-C5337)*Assumptions!$B$41+(1-D5337)*Assumptions!$B$33+(1-E5337)*Assumptions!$B$32+(1-F5337)*Assumptions!$B$31+(1-G5337)*Assumptions!$B$30+(1-H5337)*Assumptions!$B$29+(1-I5337)*Assumptions!$B$28</f>
        <v/>
      </c>
      <c r="K5337">
        <f>C5337*$J$307+D5337*$F$307+E5337*$G$307+F5337*Assumptions!$B$14+G5337*Assumptions!$B$13+H5337*Assumptions!$B$12+I5337*Assumptions!$B$11+$O$307+$S$307+Assumptions!$B$9</f>
        <v/>
      </c>
      <c r="L5337">
        <f>B5337-J5337</f>
        <v/>
      </c>
      <c r="M5337">
        <f>IF(K5337&gt;0,IF(L5337/K5337&gt;=Assumptions!$B$37,1,0),0)</f>
        <v/>
      </c>
      <c r="N5337">
        <f>K5337+M5337*Assumptions!$B$153</f>
        <v/>
      </c>
      <c r="O5337">
        <f>L5337+M5337*Assumptions!$B$153*Assumptions!$B$37</f>
        <v/>
      </c>
      <c r="P5337">
        <f>IF(N5337&gt;0,O5337/N5337,0)</f>
        <v/>
      </c>
      <c r="Q5337">
        <f>IF(C5337=1,P5337*$J$307,Assumptions!$B$41)</f>
        <v/>
      </c>
      <c r="R5337">
        <f>IF(D5337=1,P5337*$F$307,Assumptions!$B$33)</f>
        <v/>
      </c>
      <c r="S5337">
        <f>IF(E5337=1,P5337*$G$307,Assumptions!$B$32)</f>
        <v/>
      </c>
      <c r="T5337">
        <f>IF(F5337=1,P5337*Assumptions!$B$14,Assumptions!$B$31)</f>
        <v/>
      </c>
      <c r="U5337">
        <f>IF(G5337=1,P5337*Assumptions!$B$13,Assumptions!$B$30)</f>
        <v/>
      </c>
      <c r="V5337">
        <f>IF(H5337=1,P5337*Assumptions!$B$12,Assumptions!$B$29)</f>
        <v/>
      </c>
      <c r="W5337">
        <f>IF(I5337=1,P5337*Assumptions!$B$11,Assumptions!$B$28)</f>
        <v/>
      </c>
      <c r="X5337">
        <f>P5337*($O$307+$S$307)</f>
        <v/>
      </c>
      <c r="Y5337">
        <f>P5337*Assumptions!$B$9</f>
        <v/>
      </c>
      <c r="Z5337">
        <f>IF(M5337=1,(P5337-Assumptions!$B$37)*Assumptions!$B$153,0)</f>
        <v/>
      </c>
      <c r="AA5337">
        <f>Q5337+R5337+S5337+T5337+U5337+V5337+W5337+X5337+Y5337+Z5337</f>
        <v/>
      </c>
      <c r="AB5337" t="n">
        <v>81</v>
      </c>
      <c r="AC5337" t="n">
        <v>17</v>
      </c>
      <c r="AD5337" t="n">
        <v>113</v>
      </c>
      <c r="AE5337" t="n">
        <v>65</v>
      </c>
      <c r="AF5337" t="n">
        <v>89</v>
      </c>
      <c r="AG5337" t="n">
        <v>85</v>
      </c>
      <c r="AH5337" t="n">
        <v>83</v>
      </c>
      <c r="AI5337" t="n">
        <v>80</v>
      </c>
      <c r="AJ5337">
        <f>INDEX($Q$5256:$Q$5383,AC5337+1)</f>
        <v/>
      </c>
      <c r="AK5337">
        <f>INDEX($R$5256:$R$5383,AD5337+1)</f>
        <v/>
      </c>
      <c r="AL5337">
        <f>INDEX($S$5256:$S$5383,AE5337+1)</f>
        <v/>
      </c>
      <c r="AM5337">
        <f>INDEX($T$5256:$T$5383,AF5337+1)</f>
        <v/>
      </c>
      <c r="AN5337">
        <f>INDEX($U$5256:$U$5383,AG5337+1)</f>
        <v/>
      </c>
      <c r="AO5337">
        <f>INDEX($V$5256:$V$5383,AH5337+1)</f>
        <v/>
      </c>
      <c r="AP5337">
        <f>INDEX($W$5256:$W$5383,AI5337+1)</f>
        <v/>
      </c>
      <c r="AQ5337">
        <f>IF(Q5337&gt;=AJ5337-0.01,1,0)</f>
        <v/>
      </c>
      <c r="AR5337">
        <f>IF(R5337&gt;=AK5337-0.01,1,0)</f>
        <v/>
      </c>
      <c r="AS5337">
        <f>IF(S5337&gt;=AL5337-0.01,1,0)</f>
        <v/>
      </c>
      <c r="AT5337">
        <f>IF(T5337&gt;=AM5337-0.01,1,0)</f>
        <v/>
      </c>
      <c r="AU5337">
        <f>IF(U5337&gt;=AN5337-0.01,1,0)</f>
        <v/>
      </c>
      <c r="AV5337">
        <f>IF(V5337&gt;=AO5337-0.01,1,0)</f>
        <v/>
      </c>
      <c r="AW5337">
        <f>IF(W5337&gt;=AP5337-0.01,1,0)</f>
        <v/>
      </c>
      <c r="AX5337">
        <f>AQ5337*AR5337*AS5337*AT5337*AU5337*AV5337*AW5337</f>
        <v/>
      </c>
    </row>
    <row r="5338">
      <c r="A5338" t="inlineStr"/>
      <c r="B5338">
        <f>Assumptions!$B$60</f>
        <v/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0</v>
      </c>
      <c r="J5338">
        <f>(1-C5338)*Assumptions!$B$41+(1-D5338)*Assumptions!$B$33+(1-E5338)*Assumptions!$B$32+(1-F5338)*Assumptions!$B$31+(1-G5338)*Assumptions!$B$30+(1-H5338)*Assumptions!$B$29+(1-I5338)*Assumptions!$B$28</f>
        <v/>
      </c>
      <c r="K5338">
        <f>C5338*$J$307+D5338*$F$307+E5338*$G$307+F5338*Assumptions!$B$14+G5338*Assumptions!$B$13+H5338*Assumptions!$B$12+I5338*Assumptions!$B$11+$O$307+$S$307+Assumptions!$B$9</f>
        <v/>
      </c>
      <c r="L5338">
        <f>B5338-J5338</f>
        <v/>
      </c>
      <c r="M5338">
        <f>IF(K5338&gt;0,IF(L5338/K5338&gt;=Assumptions!$B$37,1,0),0)</f>
        <v/>
      </c>
      <c r="N5338">
        <f>K5338+M5338*Assumptions!$B$153</f>
        <v/>
      </c>
      <c r="O5338">
        <f>L5338+M5338*Assumptions!$B$153*Assumptions!$B$37</f>
        <v/>
      </c>
      <c r="P5338">
        <f>IF(N5338&gt;0,O5338/N5338,0)</f>
        <v/>
      </c>
      <c r="Q5338">
        <f>IF(C5338=1,P5338*$J$307,Assumptions!$B$41)</f>
        <v/>
      </c>
      <c r="R5338">
        <f>IF(D5338=1,P5338*$F$307,Assumptions!$B$33)</f>
        <v/>
      </c>
      <c r="S5338">
        <f>IF(E5338=1,P5338*$G$307,Assumptions!$B$32)</f>
        <v/>
      </c>
      <c r="T5338">
        <f>IF(F5338=1,P5338*Assumptions!$B$14,Assumptions!$B$31)</f>
        <v/>
      </c>
      <c r="U5338">
        <f>IF(G5338=1,P5338*Assumptions!$B$13,Assumptions!$B$30)</f>
        <v/>
      </c>
      <c r="V5338">
        <f>IF(H5338=1,P5338*Assumptions!$B$12,Assumptions!$B$29)</f>
        <v/>
      </c>
      <c r="W5338">
        <f>IF(I5338=1,P5338*Assumptions!$B$11,Assumptions!$B$28)</f>
        <v/>
      </c>
      <c r="X5338">
        <f>P5338*($O$307+$S$307)</f>
        <v/>
      </c>
      <c r="Y5338">
        <f>P5338*Assumptions!$B$9</f>
        <v/>
      </c>
      <c r="Z5338">
        <f>IF(M5338=1,(P5338-Assumptions!$B$37)*Assumptions!$B$153,0)</f>
        <v/>
      </c>
      <c r="AA5338">
        <f>Q5338+R5338+S5338+T5338+U5338+V5338+W5338+X5338+Y5338+Z5338</f>
        <v/>
      </c>
      <c r="AB5338" t="n">
        <v>82</v>
      </c>
      <c r="AC5338" t="n">
        <v>18</v>
      </c>
      <c r="AD5338" t="n">
        <v>114</v>
      </c>
      <c r="AE5338" t="n">
        <v>66</v>
      </c>
      <c r="AF5338" t="n">
        <v>90</v>
      </c>
      <c r="AG5338" t="n">
        <v>86</v>
      </c>
      <c r="AH5338" t="n">
        <v>80</v>
      </c>
      <c r="AI5338" t="n">
        <v>83</v>
      </c>
      <c r="AJ5338">
        <f>INDEX($Q$5256:$Q$5383,AC5338+1)</f>
        <v/>
      </c>
      <c r="AK5338">
        <f>INDEX($R$5256:$R$5383,AD5338+1)</f>
        <v/>
      </c>
      <c r="AL5338">
        <f>INDEX($S$5256:$S$5383,AE5338+1)</f>
        <v/>
      </c>
      <c r="AM5338">
        <f>INDEX($T$5256:$T$5383,AF5338+1)</f>
        <v/>
      </c>
      <c r="AN5338">
        <f>INDEX($U$5256:$U$5383,AG5338+1)</f>
        <v/>
      </c>
      <c r="AO5338">
        <f>INDEX($V$5256:$V$5383,AH5338+1)</f>
        <v/>
      </c>
      <c r="AP5338">
        <f>INDEX($W$5256:$W$5383,AI5338+1)</f>
        <v/>
      </c>
      <c r="AQ5338">
        <f>IF(Q5338&gt;=AJ5338-0.01,1,0)</f>
        <v/>
      </c>
      <c r="AR5338">
        <f>IF(R5338&gt;=AK5338-0.01,1,0)</f>
        <v/>
      </c>
      <c r="AS5338">
        <f>IF(S5338&gt;=AL5338-0.01,1,0)</f>
        <v/>
      </c>
      <c r="AT5338">
        <f>IF(T5338&gt;=AM5338-0.01,1,0)</f>
        <v/>
      </c>
      <c r="AU5338">
        <f>IF(U5338&gt;=AN5338-0.01,1,0)</f>
        <v/>
      </c>
      <c r="AV5338">
        <f>IF(V5338&gt;=AO5338-0.01,1,0)</f>
        <v/>
      </c>
      <c r="AW5338">
        <f>IF(W5338&gt;=AP5338-0.01,1,0)</f>
        <v/>
      </c>
      <c r="AX5338">
        <f>AQ5338*AR5338*AS5338*AT5338*AU5338*AV5338*AW5338</f>
        <v/>
      </c>
    </row>
    <row r="5339">
      <c r="A5339" t="inlineStr"/>
      <c r="B5339">
        <f>Assumptions!$B$60</f>
        <v/>
      </c>
      <c r="C5339" t="n">
        <v>1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1</v>
      </c>
      <c r="J5339">
        <f>(1-C5339)*Assumptions!$B$41+(1-D5339)*Assumptions!$B$33+(1-E5339)*Assumptions!$B$32+(1-F5339)*Assumptions!$B$31+(1-G5339)*Assumptions!$B$30+(1-H5339)*Assumptions!$B$29+(1-I5339)*Assumptions!$B$28</f>
        <v/>
      </c>
      <c r="K5339">
        <f>C5339*$J$307+D5339*$F$307+E5339*$G$307+F5339*Assumptions!$B$14+G5339*Assumptions!$B$13+H5339*Assumptions!$B$12+I5339*Assumptions!$B$11+$O$307+$S$307+Assumptions!$B$9</f>
        <v/>
      </c>
      <c r="L5339">
        <f>B5339-J5339</f>
        <v/>
      </c>
      <c r="M5339">
        <f>IF(K5339&gt;0,IF(L5339/K5339&gt;=Assumptions!$B$37,1,0),0)</f>
        <v/>
      </c>
      <c r="N5339">
        <f>K5339+M5339*Assumptions!$B$153</f>
        <v/>
      </c>
      <c r="O5339">
        <f>L5339+M5339*Assumptions!$B$153*Assumptions!$B$37</f>
        <v/>
      </c>
      <c r="P5339">
        <f>IF(N5339&gt;0,O5339/N5339,0)</f>
        <v/>
      </c>
      <c r="Q5339">
        <f>IF(C5339=1,P5339*$J$307,Assumptions!$B$41)</f>
        <v/>
      </c>
      <c r="R5339">
        <f>IF(D5339=1,P5339*$F$307,Assumptions!$B$33)</f>
        <v/>
      </c>
      <c r="S5339">
        <f>IF(E5339=1,P5339*$G$307,Assumptions!$B$32)</f>
        <v/>
      </c>
      <c r="T5339">
        <f>IF(F5339=1,P5339*Assumptions!$B$14,Assumptions!$B$31)</f>
        <v/>
      </c>
      <c r="U5339">
        <f>IF(G5339=1,P5339*Assumptions!$B$13,Assumptions!$B$30)</f>
        <v/>
      </c>
      <c r="V5339">
        <f>IF(H5339=1,P5339*Assumptions!$B$12,Assumptions!$B$29)</f>
        <v/>
      </c>
      <c r="W5339">
        <f>IF(I5339=1,P5339*Assumptions!$B$11,Assumptions!$B$28)</f>
        <v/>
      </c>
      <c r="X5339">
        <f>P5339*($O$307+$S$307)</f>
        <v/>
      </c>
      <c r="Y5339">
        <f>P5339*Assumptions!$B$9</f>
        <v/>
      </c>
      <c r="Z5339">
        <f>IF(M5339=1,(P5339-Assumptions!$B$37)*Assumptions!$B$153,0)</f>
        <v/>
      </c>
      <c r="AA5339">
        <f>Q5339+R5339+S5339+T5339+U5339+V5339+W5339+X5339+Y5339+Z5339</f>
        <v/>
      </c>
      <c r="AB5339" t="n">
        <v>83</v>
      </c>
      <c r="AC5339" t="n">
        <v>19</v>
      </c>
      <c r="AD5339" t="n">
        <v>115</v>
      </c>
      <c r="AE5339" t="n">
        <v>67</v>
      </c>
      <c r="AF5339" t="n">
        <v>91</v>
      </c>
      <c r="AG5339" t="n">
        <v>87</v>
      </c>
      <c r="AH5339" t="n">
        <v>81</v>
      </c>
      <c r="AI5339" t="n">
        <v>82</v>
      </c>
      <c r="AJ5339">
        <f>INDEX($Q$5256:$Q$5383,AC5339+1)</f>
        <v/>
      </c>
      <c r="AK5339">
        <f>INDEX($R$5256:$R$5383,AD5339+1)</f>
        <v/>
      </c>
      <c r="AL5339">
        <f>INDEX($S$5256:$S$5383,AE5339+1)</f>
        <v/>
      </c>
      <c r="AM5339">
        <f>INDEX($T$5256:$T$5383,AF5339+1)</f>
        <v/>
      </c>
      <c r="AN5339">
        <f>INDEX($U$5256:$U$5383,AG5339+1)</f>
        <v/>
      </c>
      <c r="AO5339">
        <f>INDEX($V$5256:$V$5383,AH5339+1)</f>
        <v/>
      </c>
      <c r="AP5339">
        <f>INDEX($W$5256:$W$5383,AI5339+1)</f>
        <v/>
      </c>
      <c r="AQ5339">
        <f>IF(Q5339&gt;=AJ5339-0.01,1,0)</f>
        <v/>
      </c>
      <c r="AR5339">
        <f>IF(R5339&gt;=AK5339-0.01,1,0)</f>
        <v/>
      </c>
      <c r="AS5339">
        <f>IF(S5339&gt;=AL5339-0.01,1,0)</f>
        <v/>
      </c>
      <c r="AT5339">
        <f>IF(T5339&gt;=AM5339-0.01,1,0)</f>
        <v/>
      </c>
      <c r="AU5339">
        <f>IF(U5339&gt;=AN5339-0.01,1,0)</f>
        <v/>
      </c>
      <c r="AV5339">
        <f>IF(V5339&gt;=AO5339-0.01,1,0)</f>
        <v/>
      </c>
      <c r="AW5339">
        <f>IF(W5339&gt;=AP5339-0.01,1,0)</f>
        <v/>
      </c>
      <c r="AX5339">
        <f>AQ5339*AR5339*AS5339*AT5339*AU5339*AV5339*AW5339</f>
        <v/>
      </c>
    </row>
    <row r="5340">
      <c r="A5340" t="inlineStr"/>
      <c r="B5340">
        <f>Assumptions!$B$60</f>
        <v/>
      </c>
      <c r="C5340" t="n">
        <v>1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>
        <f>(1-C5340)*Assumptions!$B$41+(1-D5340)*Assumptions!$B$33+(1-E5340)*Assumptions!$B$32+(1-F5340)*Assumptions!$B$31+(1-G5340)*Assumptions!$B$30+(1-H5340)*Assumptions!$B$29+(1-I5340)*Assumptions!$B$28</f>
        <v/>
      </c>
      <c r="K5340">
        <f>C5340*$J$307+D5340*$F$307+E5340*$G$307+F5340*Assumptions!$B$14+G5340*Assumptions!$B$13+H5340*Assumptions!$B$12+I5340*Assumptions!$B$11+$O$307+$S$307+Assumptions!$B$9</f>
        <v/>
      </c>
      <c r="L5340">
        <f>B5340-J5340</f>
        <v/>
      </c>
      <c r="M5340">
        <f>IF(K5340&gt;0,IF(L5340/K5340&gt;=Assumptions!$B$37,1,0),0)</f>
        <v/>
      </c>
      <c r="N5340">
        <f>K5340+M5340*Assumptions!$B$153</f>
        <v/>
      </c>
      <c r="O5340">
        <f>L5340+M5340*Assumptions!$B$153*Assumptions!$B$37</f>
        <v/>
      </c>
      <c r="P5340">
        <f>IF(N5340&gt;0,O5340/N5340,0)</f>
        <v/>
      </c>
      <c r="Q5340">
        <f>IF(C5340=1,P5340*$J$307,Assumptions!$B$41)</f>
        <v/>
      </c>
      <c r="R5340">
        <f>IF(D5340=1,P5340*$F$307,Assumptions!$B$33)</f>
        <v/>
      </c>
      <c r="S5340">
        <f>IF(E5340=1,P5340*$G$307,Assumptions!$B$32)</f>
        <v/>
      </c>
      <c r="T5340">
        <f>IF(F5340=1,P5340*Assumptions!$B$14,Assumptions!$B$31)</f>
        <v/>
      </c>
      <c r="U5340">
        <f>IF(G5340=1,P5340*Assumptions!$B$13,Assumptions!$B$30)</f>
        <v/>
      </c>
      <c r="V5340">
        <f>IF(H5340=1,P5340*Assumptions!$B$12,Assumptions!$B$29)</f>
        <v/>
      </c>
      <c r="W5340">
        <f>IF(I5340=1,P5340*Assumptions!$B$11,Assumptions!$B$28)</f>
        <v/>
      </c>
      <c r="X5340">
        <f>P5340*($O$307+$S$307)</f>
        <v/>
      </c>
      <c r="Y5340">
        <f>P5340*Assumptions!$B$9</f>
        <v/>
      </c>
      <c r="Z5340">
        <f>IF(M5340=1,(P5340-Assumptions!$B$37)*Assumptions!$B$153,0)</f>
        <v/>
      </c>
      <c r="AA5340">
        <f>Q5340+R5340+S5340+T5340+U5340+V5340+W5340+X5340+Y5340+Z5340</f>
        <v/>
      </c>
      <c r="AB5340" t="n">
        <v>84</v>
      </c>
      <c r="AC5340" t="n">
        <v>20</v>
      </c>
      <c r="AD5340" t="n">
        <v>116</v>
      </c>
      <c r="AE5340" t="n">
        <v>68</v>
      </c>
      <c r="AF5340" t="n">
        <v>92</v>
      </c>
      <c r="AG5340" t="n">
        <v>80</v>
      </c>
      <c r="AH5340" t="n">
        <v>86</v>
      </c>
      <c r="AI5340" t="n">
        <v>85</v>
      </c>
      <c r="AJ5340">
        <f>INDEX($Q$5256:$Q$5383,AC5340+1)</f>
        <v/>
      </c>
      <c r="AK5340">
        <f>INDEX($R$5256:$R$5383,AD5340+1)</f>
        <v/>
      </c>
      <c r="AL5340">
        <f>INDEX($S$5256:$S$5383,AE5340+1)</f>
        <v/>
      </c>
      <c r="AM5340">
        <f>INDEX($T$5256:$T$5383,AF5340+1)</f>
        <v/>
      </c>
      <c r="AN5340">
        <f>INDEX($U$5256:$U$5383,AG5340+1)</f>
        <v/>
      </c>
      <c r="AO5340">
        <f>INDEX($V$5256:$V$5383,AH5340+1)</f>
        <v/>
      </c>
      <c r="AP5340">
        <f>INDEX($W$5256:$W$5383,AI5340+1)</f>
        <v/>
      </c>
      <c r="AQ5340">
        <f>IF(Q5340&gt;=AJ5340-0.01,1,0)</f>
        <v/>
      </c>
      <c r="AR5340">
        <f>IF(R5340&gt;=AK5340-0.01,1,0)</f>
        <v/>
      </c>
      <c r="AS5340">
        <f>IF(S5340&gt;=AL5340-0.01,1,0)</f>
        <v/>
      </c>
      <c r="AT5340">
        <f>IF(T5340&gt;=AM5340-0.01,1,0)</f>
        <v/>
      </c>
      <c r="AU5340">
        <f>IF(U5340&gt;=AN5340-0.01,1,0)</f>
        <v/>
      </c>
      <c r="AV5340">
        <f>IF(V5340&gt;=AO5340-0.01,1,0)</f>
        <v/>
      </c>
      <c r="AW5340">
        <f>IF(W5340&gt;=AP5340-0.01,1,0)</f>
        <v/>
      </c>
      <c r="AX5340">
        <f>AQ5340*AR5340*AS5340*AT5340*AU5340*AV5340*AW5340</f>
        <v/>
      </c>
    </row>
    <row r="5341">
      <c r="A5341" t="inlineStr"/>
      <c r="B5341">
        <f>Assumptions!$B$60</f>
        <v/>
      </c>
      <c r="C5341" t="n">
        <v>1</v>
      </c>
      <c r="D5341" t="n">
        <v>0</v>
      </c>
      <c r="E5341" t="n">
        <v>1</v>
      </c>
      <c r="F5341" t="n">
        <v>0</v>
      </c>
      <c r="G5341" t="n">
        <v>1</v>
      </c>
      <c r="H5341" t="n">
        <v>0</v>
      </c>
      <c r="I5341" t="n">
        <v>1</v>
      </c>
      <c r="J5341">
        <f>(1-C5341)*Assumptions!$B$41+(1-D5341)*Assumptions!$B$33+(1-E5341)*Assumptions!$B$32+(1-F5341)*Assumptions!$B$31+(1-G5341)*Assumptions!$B$30+(1-H5341)*Assumptions!$B$29+(1-I5341)*Assumptions!$B$28</f>
        <v/>
      </c>
      <c r="K5341">
        <f>C5341*$J$307+D5341*$F$307+E5341*$G$307+F5341*Assumptions!$B$14+G5341*Assumptions!$B$13+H5341*Assumptions!$B$12+I5341*Assumptions!$B$11+$O$307+$S$307+Assumptions!$B$9</f>
        <v/>
      </c>
      <c r="L5341">
        <f>B5341-J5341</f>
        <v/>
      </c>
      <c r="M5341">
        <f>IF(K5341&gt;0,IF(L5341/K5341&gt;=Assumptions!$B$37,1,0),0)</f>
        <v/>
      </c>
      <c r="N5341">
        <f>K5341+M5341*Assumptions!$B$153</f>
        <v/>
      </c>
      <c r="O5341">
        <f>L5341+M5341*Assumptions!$B$153*Assumptions!$B$37</f>
        <v/>
      </c>
      <c r="P5341">
        <f>IF(N5341&gt;0,O5341/N5341,0)</f>
        <v/>
      </c>
      <c r="Q5341">
        <f>IF(C5341=1,P5341*$J$307,Assumptions!$B$41)</f>
        <v/>
      </c>
      <c r="R5341">
        <f>IF(D5341=1,P5341*$F$307,Assumptions!$B$33)</f>
        <v/>
      </c>
      <c r="S5341">
        <f>IF(E5341=1,P5341*$G$307,Assumptions!$B$32)</f>
        <v/>
      </c>
      <c r="T5341">
        <f>IF(F5341=1,P5341*Assumptions!$B$14,Assumptions!$B$31)</f>
        <v/>
      </c>
      <c r="U5341">
        <f>IF(G5341=1,P5341*Assumptions!$B$13,Assumptions!$B$30)</f>
        <v/>
      </c>
      <c r="V5341">
        <f>IF(H5341=1,P5341*Assumptions!$B$12,Assumptions!$B$29)</f>
        <v/>
      </c>
      <c r="W5341">
        <f>IF(I5341=1,P5341*Assumptions!$B$11,Assumptions!$B$28)</f>
        <v/>
      </c>
      <c r="X5341">
        <f>P5341*($O$307+$S$307)</f>
        <v/>
      </c>
      <c r="Y5341">
        <f>P5341*Assumptions!$B$9</f>
        <v/>
      </c>
      <c r="Z5341">
        <f>IF(M5341=1,(P5341-Assumptions!$B$37)*Assumptions!$B$153,0)</f>
        <v/>
      </c>
      <c r="AA5341">
        <f>Q5341+R5341+S5341+T5341+U5341+V5341+W5341+X5341+Y5341+Z5341</f>
        <v/>
      </c>
      <c r="AB5341" t="n">
        <v>85</v>
      </c>
      <c r="AC5341" t="n">
        <v>21</v>
      </c>
      <c r="AD5341" t="n">
        <v>117</v>
      </c>
      <c r="AE5341" t="n">
        <v>69</v>
      </c>
      <c r="AF5341" t="n">
        <v>93</v>
      </c>
      <c r="AG5341" t="n">
        <v>81</v>
      </c>
      <c r="AH5341" t="n">
        <v>87</v>
      </c>
      <c r="AI5341" t="n">
        <v>84</v>
      </c>
      <c r="AJ5341">
        <f>INDEX($Q$5256:$Q$5383,AC5341+1)</f>
        <v/>
      </c>
      <c r="AK5341">
        <f>INDEX($R$5256:$R$5383,AD5341+1)</f>
        <v/>
      </c>
      <c r="AL5341">
        <f>INDEX($S$5256:$S$5383,AE5341+1)</f>
        <v/>
      </c>
      <c r="AM5341">
        <f>INDEX($T$5256:$T$5383,AF5341+1)</f>
        <v/>
      </c>
      <c r="AN5341">
        <f>INDEX($U$5256:$U$5383,AG5341+1)</f>
        <v/>
      </c>
      <c r="AO5341">
        <f>INDEX($V$5256:$V$5383,AH5341+1)</f>
        <v/>
      </c>
      <c r="AP5341">
        <f>INDEX($W$5256:$W$5383,AI5341+1)</f>
        <v/>
      </c>
      <c r="AQ5341">
        <f>IF(Q5341&gt;=AJ5341-0.01,1,0)</f>
        <v/>
      </c>
      <c r="AR5341">
        <f>IF(R5341&gt;=AK5341-0.01,1,0)</f>
        <v/>
      </c>
      <c r="AS5341">
        <f>IF(S5341&gt;=AL5341-0.01,1,0)</f>
        <v/>
      </c>
      <c r="AT5341">
        <f>IF(T5341&gt;=AM5341-0.01,1,0)</f>
        <v/>
      </c>
      <c r="AU5341">
        <f>IF(U5341&gt;=AN5341-0.01,1,0)</f>
        <v/>
      </c>
      <c r="AV5341">
        <f>IF(V5341&gt;=AO5341-0.01,1,0)</f>
        <v/>
      </c>
      <c r="AW5341">
        <f>IF(W5341&gt;=AP5341-0.01,1,0)</f>
        <v/>
      </c>
      <c r="AX5341">
        <f>AQ5341*AR5341*AS5341*AT5341*AU5341*AV5341*AW5341</f>
        <v/>
      </c>
    </row>
    <row r="5342">
      <c r="A5342" t="inlineStr"/>
      <c r="B5342">
        <f>Assumptions!$B$60</f>
        <v/>
      </c>
      <c r="C5342" t="n">
        <v>1</v>
      </c>
      <c r="D5342" t="n">
        <v>0</v>
      </c>
      <c r="E5342" t="n">
        <v>1</v>
      </c>
      <c r="F5342" t="n">
        <v>0</v>
      </c>
      <c r="G5342" t="n">
        <v>1</v>
      </c>
      <c r="H5342" t="n">
        <v>1</v>
      </c>
      <c r="I5342" t="n">
        <v>0</v>
      </c>
      <c r="J5342">
        <f>(1-C5342)*Assumptions!$B$41+(1-D5342)*Assumptions!$B$33+(1-E5342)*Assumptions!$B$32+(1-F5342)*Assumptions!$B$31+(1-G5342)*Assumptions!$B$30+(1-H5342)*Assumptions!$B$29+(1-I5342)*Assumptions!$B$28</f>
        <v/>
      </c>
      <c r="K5342">
        <f>C5342*$J$307+D5342*$F$307+E5342*$G$307+F5342*Assumptions!$B$14+G5342*Assumptions!$B$13+H5342*Assumptions!$B$12+I5342*Assumptions!$B$11+$O$307+$S$307+Assumptions!$B$9</f>
        <v/>
      </c>
      <c r="L5342">
        <f>B5342-J5342</f>
        <v/>
      </c>
      <c r="M5342">
        <f>IF(K5342&gt;0,IF(L5342/K5342&gt;=Assumptions!$B$37,1,0),0)</f>
        <v/>
      </c>
      <c r="N5342">
        <f>K5342+M5342*Assumptions!$B$153</f>
        <v/>
      </c>
      <c r="O5342">
        <f>L5342+M5342*Assumptions!$B$153*Assumptions!$B$37</f>
        <v/>
      </c>
      <c r="P5342">
        <f>IF(N5342&gt;0,O5342/N5342,0)</f>
        <v/>
      </c>
      <c r="Q5342">
        <f>IF(C5342=1,P5342*$J$307,Assumptions!$B$41)</f>
        <v/>
      </c>
      <c r="R5342">
        <f>IF(D5342=1,P5342*$F$307,Assumptions!$B$33)</f>
        <v/>
      </c>
      <c r="S5342">
        <f>IF(E5342=1,P5342*$G$307,Assumptions!$B$32)</f>
        <v/>
      </c>
      <c r="T5342">
        <f>IF(F5342=1,P5342*Assumptions!$B$14,Assumptions!$B$31)</f>
        <v/>
      </c>
      <c r="U5342">
        <f>IF(G5342=1,P5342*Assumptions!$B$13,Assumptions!$B$30)</f>
        <v/>
      </c>
      <c r="V5342">
        <f>IF(H5342=1,P5342*Assumptions!$B$12,Assumptions!$B$29)</f>
        <v/>
      </c>
      <c r="W5342">
        <f>IF(I5342=1,P5342*Assumptions!$B$11,Assumptions!$B$28)</f>
        <v/>
      </c>
      <c r="X5342">
        <f>P5342*($O$307+$S$307)</f>
        <v/>
      </c>
      <c r="Y5342">
        <f>P5342*Assumptions!$B$9</f>
        <v/>
      </c>
      <c r="Z5342">
        <f>IF(M5342=1,(P5342-Assumptions!$B$37)*Assumptions!$B$153,0)</f>
        <v/>
      </c>
      <c r="AA5342">
        <f>Q5342+R5342+S5342+T5342+U5342+V5342+W5342+X5342+Y5342+Z5342</f>
        <v/>
      </c>
      <c r="AB5342" t="n">
        <v>86</v>
      </c>
      <c r="AC5342" t="n">
        <v>22</v>
      </c>
      <c r="AD5342" t="n">
        <v>118</v>
      </c>
      <c r="AE5342" t="n">
        <v>70</v>
      </c>
      <c r="AF5342" t="n">
        <v>94</v>
      </c>
      <c r="AG5342" t="n">
        <v>82</v>
      </c>
      <c r="AH5342" t="n">
        <v>84</v>
      </c>
      <c r="AI5342" t="n">
        <v>87</v>
      </c>
      <c r="AJ5342">
        <f>INDEX($Q$5256:$Q$5383,AC5342+1)</f>
        <v/>
      </c>
      <c r="AK5342">
        <f>INDEX($R$5256:$R$5383,AD5342+1)</f>
        <v/>
      </c>
      <c r="AL5342">
        <f>INDEX($S$5256:$S$5383,AE5342+1)</f>
        <v/>
      </c>
      <c r="AM5342">
        <f>INDEX($T$5256:$T$5383,AF5342+1)</f>
        <v/>
      </c>
      <c r="AN5342">
        <f>INDEX($U$5256:$U$5383,AG5342+1)</f>
        <v/>
      </c>
      <c r="AO5342">
        <f>INDEX($V$5256:$V$5383,AH5342+1)</f>
        <v/>
      </c>
      <c r="AP5342">
        <f>INDEX($W$5256:$W$5383,AI5342+1)</f>
        <v/>
      </c>
      <c r="AQ5342">
        <f>IF(Q5342&gt;=AJ5342-0.01,1,0)</f>
        <v/>
      </c>
      <c r="AR5342">
        <f>IF(R5342&gt;=AK5342-0.01,1,0)</f>
        <v/>
      </c>
      <c r="AS5342">
        <f>IF(S5342&gt;=AL5342-0.01,1,0)</f>
        <v/>
      </c>
      <c r="AT5342">
        <f>IF(T5342&gt;=AM5342-0.01,1,0)</f>
        <v/>
      </c>
      <c r="AU5342">
        <f>IF(U5342&gt;=AN5342-0.01,1,0)</f>
        <v/>
      </c>
      <c r="AV5342">
        <f>IF(V5342&gt;=AO5342-0.01,1,0)</f>
        <v/>
      </c>
      <c r="AW5342">
        <f>IF(W5342&gt;=AP5342-0.01,1,0)</f>
        <v/>
      </c>
      <c r="AX5342">
        <f>AQ5342*AR5342*AS5342*AT5342*AU5342*AV5342*AW5342</f>
        <v/>
      </c>
    </row>
    <row r="5343">
      <c r="A5343" t="inlineStr"/>
      <c r="B5343">
        <f>Assumptions!$B$60</f>
        <v/>
      </c>
      <c r="C5343" t="n">
        <v>1</v>
      </c>
      <c r="D5343" t="n">
        <v>0</v>
      </c>
      <c r="E5343" t="n">
        <v>1</v>
      </c>
      <c r="F5343" t="n">
        <v>0</v>
      </c>
      <c r="G5343" t="n">
        <v>1</v>
      </c>
      <c r="H5343" t="n">
        <v>1</v>
      </c>
      <c r="I5343" t="n">
        <v>1</v>
      </c>
      <c r="J5343">
        <f>(1-C5343)*Assumptions!$B$41+(1-D5343)*Assumptions!$B$33+(1-E5343)*Assumptions!$B$32+(1-F5343)*Assumptions!$B$31+(1-G5343)*Assumptions!$B$30+(1-H5343)*Assumptions!$B$29+(1-I5343)*Assumptions!$B$28</f>
        <v/>
      </c>
      <c r="K5343">
        <f>C5343*$J$307+D5343*$F$307+E5343*$G$307+F5343*Assumptions!$B$14+G5343*Assumptions!$B$13+H5343*Assumptions!$B$12+I5343*Assumptions!$B$11+$O$307+$S$307+Assumptions!$B$9</f>
        <v/>
      </c>
      <c r="L5343">
        <f>B5343-J5343</f>
        <v/>
      </c>
      <c r="M5343">
        <f>IF(K5343&gt;0,IF(L5343/K5343&gt;=Assumptions!$B$37,1,0),0)</f>
        <v/>
      </c>
      <c r="N5343">
        <f>K5343+M5343*Assumptions!$B$153</f>
        <v/>
      </c>
      <c r="O5343">
        <f>L5343+M5343*Assumptions!$B$153*Assumptions!$B$37</f>
        <v/>
      </c>
      <c r="P5343">
        <f>IF(N5343&gt;0,O5343/N5343,0)</f>
        <v/>
      </c>
      <c r="Q5343">
        <f>IF(C5343=1,P5343*$J$307,Assumptions!$B$41)</f>
        <v/>
      </c>
      <c r="R5343">
        <f>IF(D5343=1,P5343*$F$307,Assumptions!$B$33)</f>
        <v/>
      </c>
      <c r="S5343">
        <f>IF(E5343=1,P5343*$G$307,Assumptions!$B$32)</f>
        <v/>
      </c>
      <c r="T5343">
        <f>IF(F5343=1,P5343*Assumptions!$B$14,Assumptions!$B$31)</f>
        <v/>
      </c>
      <c r="U5343">
        <f>IF(G5343=1,P5343*Assumptions!$B$13,Assumptions!$B$30)</f>
        <v/>
      </c>
      <c r="V5343">
        <f>IF(H5343=1,P5343*Assumptions!$B$12,Assumptions!$B$29)</f>
        <v/>
      </c>
      <c r="W5343">
        <f>IF(I5343=1,P5343*Assumptions!$B$11,Assumptions!$B$28)</f>
        <v/>
      </c>
      <c r="X5343">
        <f>P5343*($O$307+$S$307)</f>
        <v/>
      </c>
      <c r="Y5343">
        <f>P5343*Assumptions!$B$9</f>
        <v/>
      </c>
      <c r="Z5343">
        <f>IF(M5343=1,(P5343-Assumptions!$B$37)*Assumptions!$B$153,0)</f>
        <v/>
      </c>
      <c r="AA5343">
        <f>Q5343+R5343+S5343+T5343+U5343+V5343+W5343+X5343+Y5343+Z5343</f>
        <v/>
      </c>
      <c r="AB5343" t="n">
        <v>87</v>
      </c>
      <c r="AC5343" t="n">
        <v>23</v>
      </c>
      <c r="AD5343" t="n">
        <v>119</v>
      </c>
      <c r="AE5343" t="n">
        <v>71</v>
      </c>
      <c r="AF5343" t="n">
        <v>95</v>
      </c>
      <c r="AG5343" t="n">
        <v>83</v>
      </c>
      <c r="AH5343" t="n">
        <v>85</v>
      </c>
      <c r="AI5343" t="n">
        <v>86</v>
      </c>
      <c r="AJ5343">
        <f>INDEX($Q$5256:$Q$5383,AC5343+1)</f>
        <v/>
      </c>
      <c r="AK5343">
        <f>INDEX($R$5256:$R$5383,AD5343+1)</f>
        <v/>
      </c>
      <c r="AL5343">
        <f>INDEX($S$5256:$S$5383,AE5343+1)</f>
        <v/>
      </c>
      <c r="AM5343">
        <f>INDEX($T$5256:$T$5383,AF5343+1)</f>
        <v/>
      </c>
      <c r="AN5343">
        <f>INDEX($U$5256:$U$5383,AG5343+1)</f>
        <v/>
      </c>
      <c r="AO5343">
        <f>INDEX($V$5256:$V$5383,AH5343+1)</f>
        <v/>
      </c>
      <c r="AP5343">
        <f>INDEX($W$5256:$W$5383,AI5343+1)</f>
        <v/>
      </c>
      <c r="AQ5343">
        <f>IF(Q5343&gt;=AJ5343-0.01,1,0)</f>
        <v/>
      </c>
      <c r="AR5343">
        <f>IF(R5343&gt;=AK5343-0.01,1,0)</f>
        <v/>
      </c>
      <c r="AS5343">
        <f>IF(S5343&gt;=AL5343-0.01,1,0)</f>
        <v/>
      </c>
      <c r="AT5343">
        <f>IF(T5343&gt;=AM5343-0.01,1,0)</f>
        <v/>
      </c>
      <c r="AU5343">
        <f>IF(U5343&gt;=AN5343-0.01,1,0)</f>
        <v/>
      </c>
      <c r="AV5343">
        <f>IF(V5343&gt;=AO5343-0.01,1,0)</f>
        <v/>
      </c>
      <c r="AW5343">
        <f>IF(W5343&gt;=AP5343-0.01,1,0)</f>
        <v/>
      </c>
      <c r="AX5343">
        <f>AQ5343*AR5343*AS5343*AT5343*AU5343*AV5343*AW5343</f>
        <v/>
      </c>
    </row>
    <row r="5344">
      <c r="A5344" t="inlineStr"/>
      <c r="B5344">
        <f>Assumptions!$B$60</f>
        <v/>
      </c>
      <c r="C5344" t="n">
        <v>1</v>
      </c>
      <c r="D5344" t="n">
        <v>0</v>
      </c>
      <c r="E5344" t="n">
        <v>1</v>
      </c>
      <c r="F5344" t="n">
        <v>1</v>
      </c>
      <c r="G5344" t="n">
        <v>0</v>
      </c>
      <c r="H5344" t="n">
        <v>0</v>
      </c>
      <c r="I5344" t="n">
        <v>0</v>
      </c>
      <c r="J5344">
        <f>(1-C5344)*Assumptions!$B$41+(1-D5344)*Assumptions!$B$33+(1-E5344)*Assumptions!$B$32+(1-F5344)*Assumptions!$B$31+(1-G5344)*Assumptions!$B$30+(1-H5344)*Assumptions!$B$29+(1-I5344)*Assumptions!$B$28</f>
        <v/>
      </c>
      <c r="K5344">
        <f>C5344*$J$307+D5344*$F$307+E5344*$G$307+F5344*Assumptions!$B$14+G5344*Assumptions!$B$13+H5344*Assumptions!$B$12+I5344*Assumptions!$B$11+$O$307+$S$307+Assumptions!$B$9</f>
        <v/>
      </c>
      <c r="L5344">
        <f>B5344-J5344</f>
        <v/>
      </c>
      <c r="M5344">
        <f>IF(K5344&gt;0,IF(L5344/K5344&gt;=Assumptions!$B$37,1,0),0)</f>
        <v/>
      </c>
      <c r="N5344">
        <f>K5344+M5344*Assumptions!$B$153</f>
        <v/>
      </c>
      <c r="O5344">
        <f>L5344+M5344*Assumptions!$B$153*Assumptions!$B$37</f>
        <v/>
      </c>
      <c r="P5344">
        <f>IF(N5344&gt;0,O5344/N5344,0)</f>
        <v/>
      </c>
      <c r="Q5344">
        <f>IF(C5344=1,P5344*$J$307,Assumptions!$B$41)</f>
        <v/>
      </c>
      <c r="R5344">
        <f>IF(D5344=1,P5344*$F$307,Assumptions!$B$33)</f>
        <v/>
      </c>
      <c r="S5344">
        <f>IF(E5344=1,P5344*$G$307,Assumptions!$B$32)</f>
        <v/>
      </c>
      <c r="T5344">
        <f>IF(F5344=1,P5344*Assumptions!$B$14,Assumptions!$B$31)</f>
        <v/>
      </c>
      <c r="U5344">
        <f>IF(G5344=1,P5344*Assumptions!$B$13,Assumptions!$B$30)</f>
        <v/>
      </c>
      <c r="V5344">
        <f>IF(H5344=1,P5344*Assumptions!$B$12,Assumptions!$B$29)</f>
        <v/>
      </c>
      <c r="W5344">
        <f>IF(I5344=1,P5344*Assumptions!$B$11,Assumptions!$B$28)</f>
        <v/>
      </c>
      <c r="X5344">
        <f>P5344*($O$307+$S$307)</f>
        <v/>
      </c>
      <c r="Y5344">
        <f>P5344*Assumptions!$B$9</f>
        <v/>
      </c>
      <c r="Z5344">
        <f>IF(M5344=1,(P5344-Assumptions!$B$37)*Assumptions!$B$153,0)</f>
        <v/>
      </c>
      <c r="AA5344">
        <f>Q5344+R5344+S5344+T5344+U5344+V5344+W5344+X5344+Y5344+Z5344</f>
        <v/>
      </c>
      <c r="AB5344" t="n">
        <v>88</v>
      </c>
      <c r="AC5344" t="n">
        <v>24</v>
      </c>
      <c r="AD5344" t="n">
        <v>120</v>
      </c>
      <c r="AE5344" t="n">
        <v>72</v>
      </c>
      <c r="AF5344" t="n">
        <v>80</v>
      </c>
      <c r="AG5344" t="n">
        <v>92</v>
      </c>
      <c r="AH5344" t="n">
        <v>90</v>
      </c>
      <c r="AI5344" t="n">
        <v>89</v>
      </c>
      <c r="AJ5344">
        <f>INDEX($Q$5256:$Q$5383,AC5344+1)</f>
        <v/>
      </c>
      <c r="AK5344">
        <f>INDEX($R$5256:$R$5383,AD5344+1)</f>
        <v/>
      </c>
      <c r="AL5344">
        <f>INDEX($S$5256:$S$5383,AE5344+1)</f>
        <v/>
      </c>
      <c r="AM5344">
        <f>INDEX($T$5256:$T$5383,AF5344+1)</f>
        <v/>
      </c>
      <c r="AN5344">
        <f>INDEX($U$5256:$U$5383,AG5344+1)</f>
        <v/>
      </c>
      <c r="AO5344">
        <f>INDEX($V$5256:$V$5383,AH5344+1)</f>
        <v/>
      </c>
      <c r="AP5344">
        <f>INDEX($W$5256:$W$5383,AI5344+1)</f>
        <v/>
      </c>
      <c r="AQ5344">
        <f>IF(Q5344&gt;=AJ5344-0.01,1,0)</f>
        <v/>
      </c>
      <c r="AR5344">
        <f>IF(R5344&gt;=AK5344-0.01,1,0)</f>
        <v/>
      </c>
      <c r="AS5344">
        <f>IF(S5344&gt;=AL5344-0.01,1,0)</f>
        <v/>
      </c>
      <c r="AT5344">
        <f>IF(T5344&gt;=AM5344-0.01,1,0)</f>
        <v/>
      </c>
      <c r="AU5344">
        <f>IF(U5344&gt;=AN5344-0.01,1,0)</f>
        <v/>
      </c>
      <c r="AV5344">
        <f>IF(V5344&gt;=AO5344-0.01,1,0)</f>
        <v/>
      </c>
      <c r="AW5344">
        <f>IF(W5344&gt;=AP5344-0.01,1,0)</f>
        <v/>
      </c>
      <c r="AX5344">
        <f>AQ5344*AR5344*AS5344*AT5344*AU5344*AV5344*AW5344</f>
        <v/>
      </c>
    </row>
    <row r="5345">
      <c r="A5345" t="inlineStr"/>
      <c r="B5345">
        <f>Assumptions!$B$60</f>
        <v/>
      </c>
      <c r="C5345" t="n">
        <v>1</v>
      </c>
      <c r="D5345" t="n">
        <v>0</v>
      </c>
      <c r="E5345" t="n">
        <v>1</v>
      </c>
      <c r="F5345" t="n">
        <v>1</v>
      </c>
      <c r="G5345" t="n">
        <v>0</v>
      </c>
      <c r="H5345" t="n">
        <v>0</v>
      </c>
      <c r="I5345" t="n">
        <v>1</v>
      </c>
      <c r="J5345">
        <f>(1-C5345)*Assumptions!$B$41+(1-D5345)*Assumptions!$B$33+(1-E5345)*Assumptions!$B$32+(1-F5345)*Assumptions!$B$31+(1-G5345)*Assumptions!$B$30+(1-H5345)*Assumptions!$B$29+(1-I5345)*Assumptions!$B$28</f>
        <v/>
      </c>
      <c r="K5345">
        <f>C5345*$J$307+D5345*$F$307+E5345*$G$307+F5345*Assumptions!$B$14+G5345*Assumptions!$B$13+H5345*Assumptions!$B$12+I5345*Assumptions!$B$11+$O$307+$S$307+Assumptions!$B$9</f>
        <v/>
      </c>
      <c r="L5345">
        <f>B5345-J5345</f>
        <v/>
      </c>
      <c r="M5345">
        <f>IF(K5345&gt;0,IF(L5345/K5345&gt;=Assumptions!$B$37,1,0),0)</f>
        <v/>
      </c>
      <c r="N5345">
        <f>K5345+M5345*Assumptions!$B$153</f>
        <v/>
      </c>
      <c r="O5345">
        <f>L5345+M5345*Assumptions!$B$153*Assumptions!$B$37</f>
        <v/>
      </c>
      <c r="P5345">
        <f>IF(N5345&gt;0,O5345/N5345,0)</f>
        <v/>
      </c>
      <c r="Q5345">
        <f>IF(C5345=1,P5345*$J$307,Assumptions!$B$41)</f>
        <v/>
      </c>
      <c r="R5345">
        <f>IF(D5345=1,P5345*$F$307,Assumptions!$B$33)</f>
        <v/>
      </c>
      <c r="S5345">
        <f>IF(E5345=1,P5345*$G$307,Assumptions!$B$32)</f>
        <v/>
      </c>
      <c r="T5345">
        <f>IF(F5345=1,P5345*Assumptions!$B$14,Assumptions!$B$31)</f>
        <v/>
      </c>
      <c r="U5345">
        <f>IF(G5345=1,P5345*Assumptions!$B$13,Assumptions!$B$30)</f>
        <v/>
      </c>
      <c r="V5345">
        <f>IF(H5345=1,P5345*Assumptions!$B$12,Assumptions!$B$29)</f>
        <v/>
      </c>
      <c r="W5345">
        <f>IF(I5345=1,P5345*Assumptions!$B$11,Assumptions!$B$28)</f>
        <v/>
      </c>
      <c r="X5345">
        <f>P5345*($O$307+$S$307)</f>
        <v/>
      </c>
      <c r="Y5345">
        <f>P5345*Assumptions!$B$9</f>
        <v/>
      </c>
      <c r="Z5345">
        <f>IF(M5345=1,(P5345-Assumptions!$B$37)*Assumptions!$B$153,0)</f>
        <v/>
      </c>
      <c r="AA5345">
        <f>Q5345+R5345+S5345+T5345+U5345+V5345+W5345+X5345+Y5345+Z5345</f>
        <v/>
      </c>
      <c r="AB5345" t="n">
        <v>89</v>
      </c>
      <c r="AC5345" t="n">
        <v>25</v>
      </c>
      <c r="AD5345" t="n">
        <v>121</v>
      </c>
      <c r="AE5345" t="n">
        <v>73</v>
      </c>
      <c r="AF5345" t="n">
        <v>81</v>
      </c>
      <c r="AG5345" t="n">
        <v>93</v>
      </c>
      <c r="AH5345" t="n">
        <v>91</v>
      </c>
      <c r="AI5345" t="n">
        <v>88</v>
      </c>
      <c r="AJ5345">
        <f>INDEX($Q$5256:$Q$5383,AC5345+1)</f>
        <v/>
      </c>
      <c r="AK5345">
        <f>INDEX($R$5256:$R$5383,AD5345+1)</f>
        <v/>
      </c>
      <c r="AL5345">
        <f>INDEX($S$5256:$S$5383,AE5345+1)</f>
        <v/>
      </c>
      <c r="AM5345">
        <f>INDEX($T$5256:$T$5383,AF5345+1)</f>
        <v/>
      </c>
      <c r="AN5345">
        <f>INDEX($U$5256:$U$5383,AG5345+1)</f>
        <v/>
      </c>
      <c r="AO5345">
        <f>INDEX($V$5256:$V$5383,AH5345+1)</f>
        <v/>
      </c>
      <c r="AP5345">
        <f>INDEX($W$5256:$W$5383,AI5345+1)</f>
        <v/>
      </c>
      <c r="AQ5345">
        <f>IF(Q5345&gt;=AJ5345-0.01,1,0)</f>
        <v/>
      </c>
      <c r="AR5345">
        <f>IF(R5345&gt;=AK5345-0.01,1,0)</f>
        <v/>
      </c>
      <c r="AS5345">
        <f>IF(S5345&gt;=AL5345-0.01,1,0)</f>
        <v/>
      </c>
      <c r="AT5345">
        <f>IF(T5345&gt;=AM5345-0.01,1,0)</f>
        <v/>
      </c>
      <c r="AU5345">
        <f>IF(U5345&gt;=AN5345-0.01,1,0)</f>
        <v/>
      </c>
      <c r="AV5345">
        <f>IF(V5345&gt;=AO5345-0.01,1,0)</f>
        <v/>
      </c>
      <c r="AW5345">
        <f>IF(W5345&gt;=AP5345-0.01,1,0)</f>
        <v/>
      </c>
      <c r="AX5345">
        <f>AQ5345*AR5345*AS5345*AT5345*AU5345*AV5345*AW5345</f>
        <v/>
      </c>
    </row>
    <row r="5346">
      <c r="A5346" t="inlineStr"/>
      <c r="B5346">
        <f>Assumptions!$B$60</f>
        <v/>
      </c>
      <c r="C5346" t="n">
        <v>1</v>
      </c>
      <c r="D5346" t="n">
        <v>0</v>
      </c>
      <c r="E5346" t="n">
        <v>1</v>
      </c>
      <c r="F5346" t="n">
        <v>1</v>
      </c>
      <c r="G5346" t="n">
        <v>0</v>
      </c>
      <c r="H5346" t="n">
        <v>1</v>
      </c>
      <c r="I5346" t="n">
        <v>0</v>
      </c>
      <c r="J5346">
        <f>(1-C5346)*Assumptions!$B$41+(1-D5346)*Assumptions!$B$33+(1-E5346)*Assumptions!$B$32+(1-F5346)*Assumptions!$B$31+(1-G5346)*Assumptions!$B$30+(1-H5346)*Assumptions!$B$29+(1-I5346)*Assumptions!$B$28</f>
        <v/>
      </c>
      <c r="K5346">
        <f>C5346*$J$307+D5346*$F$307+E5346*$G$307+F5346*Assumptions!$B$14+G5346*Assumptions!$B$13+H5346*Assumptions!$B$12+I5346*Assumptions!$B$11+$O$307+$S$307+Assumptions!$B$9</f>
        <v/>
      </c>
      <c r="L5346">
        <f>B5346-J5346</f>
        <v/>
      </c>
      <c r="M5346">
        <f>IF(K5346&gt;0,IF(L5346/K5346&gt;=Assumptions!$B$37,1,0),0)</f>
        <v/>
      </c>
      <c r="N5346">
        <f>K5346+M5346*Assumptions!$B$153</f>
        <v/>
      </c>
      <c r="O5346">
        <f>L5346+M5346*Assumptions!$B$153*Assumptions!$B$37</f>
        <v/>
      </c>
      <c r="P5346">
        <f>IF(N5346&gt;0,O5346/N5346,0)</f>
        <v/>
      </c>
      <c r="Q5346">
        <f>IF(C5346=1,P5346*$J$307,Assumptions!$B$41)</f>
        <v/>
      </c>
      <c r="R5346">
        <f>IF(D5346=1,P5346*$F$307,Assumptions!$B$33)</f>
        <v/>
      </c>
      <c r="S5346">
        <f>IF(E5346=1,P5346*$G$307,Assumptions!$B$32)</f>
        <v/>
      </c>
      <c r="T5346">
        <f>IF(F5346=1,P5346*Assumptions!$B$14,Assumptions!$B$31)</f>
        <v/>
      </c>
      <c r="U5346">
        <f>IF(G5346=1,P5346*Assumptions!$B$13,Assumptions!$B$30)</f>
        <v/>
      </c>
      <c r="V5346">
        <f>IF(H5346=1,P5346*Assumptions!$B$12,Assumptions!$B$29)</f>
        <v/>
      </c>
      <c r="W5346">
        <f>IF(I5346=1,P5346*Assumptions!$B$11,Assumptions!$B$28)</f>
        <v/>
      </c>
      <c r="X5346">
        <f>P5346*($O$307+$S$307)</f>
        <v/>
      </c>
      <c r="Y5346">
        <f>P5346*Assumptions!$B$9</f>
        <v/>
      </c>
      <c r="Z5346">
        <f>IF(M5346=1,(P5346-Assumptions!$B$37)*Assumptions!$B$153,0)</f>
        <v/>
      </c>
      <c r="AA5346">
        <f>Q5346+R5346+S5346+T5346+U5346+V5346+W5346+X5346+Y5346+Z5346</f>
        <v/>
      </c>
      <c r="AB5346" t="n">
        <v>90</v>
      </c>
      <c r="AC5346" t="n">
        <v>26</v>
      </c>
      <c r="AD5346" t="n">
        <v>122</v>
      </c>
      <c r="AE5346" t="n">
        <v>74</v>
      </c>
      <c r="AF5346" t="n">
        <v>82</v>
      </c>
      <c r="AG5346" t="n">
        <v>94</v>
      </c>
      <c r="AH5346" t="n">
        <v>88</v>
      </c>
      <c r="AI5346" t="n">
        <v>91</v>
      </c>
      <c r="AJ5346">
        <f>INDEX($Q$5256:$Q$5383,AC5346+1)</f>
        <v/>
      </c>
      <c r="AK5346">
        <f>INDEX($R$5256:$R$5383,AD5346+1)</f>
        <v/>
      </c>
      <c r="AL5346">
        <f>INDEX($S$5256:$S$5383,AE5346+1)</f>
        <v/>
      </c>
      <c r="AM5346">
        <f>INDEX($T$5256:$T$5383,AF5346+1)</f>
        <v/>
      </c>
      <c r="AN5346">
        <f>INDEX($U$5256:$U$5383,AG5346+1)</f>
        <v/>
      </c>
      <c r="AO5346">
        <f>INDEX($V$5256:$V$5383,AH5346+1)</f>
        <v/>
      </c>
      <c r="AP5346">
        <f>INDEX($W$5256:$W$5383,AI5346+1)</f>
        <v/>
      </c>
      <c r="AQ5346">
        <f>IF(Q5346&gt;=AJ5346-0.01,1,0)</f>
        <v/>
      </c>
      <c r="AR5346">
        <f>IF(R5346&gt;=AK5346-0.01,1,0)</f>
        <v/>
      </c>
      <c r="AS5346">
        <f>IF(S5346&gt;=AL5346-0.01,1,0)</f>
        <v/>
      </c>
      <c r="AT5346">
        <f>IF(T5346&gt;=AM5346-0.01,1,0)</f>
        <v/>
      </c>
      <c r="AU5346">
        <f>IF(U5346&gt;=AN5346-0.01,1,0)</f>
        <v/>
      </c>
      <c r="AV5346">
        <f>IF(V5346&gt;=AO5346-0.01,1,0)</f>
        <v/>
      </c>
      <c r="AW5346">
        <f>IF(W5346&gt;=AP5346-0.01,1,0)</f>
        <v/>
      </c>
      <c r="AX5346">
        <f>AQ5346*AR5346*AS5346*AT5346*AU5346*AV5346*AW5346</f>
        <v/>
      </c>
    </row>
    <row r="5347">
      <c r="A5347" t="inlineStr"/>
      <c r="B5347">
        <f>Assumptions!$B$60</f>
        <v/>
      </c>
      <c r="C5347" t="n">
        <v>1</v>
      </c>
      <c r="D5347" t="n">
        <v>0</v>
      </c>
      <c r="E5347" t="n">
        <v>1</v>
      </c>
      <c r="F5347" t="n">
        <v>1</v>
      </c>
      <c r="G5347" t="n">
        <v>0</v>
      </c>
      <c r="H5347" t="n">
        <v>1</v>
      </c>
      <c r="I5347" t="n">
        <v>1</v>
      </c>
      <c r="J5347">
        <f>(1-C5347)*Assumptions!$B$41+(1-D5347)*Assumptions!$B$33+(1-E5347)*Assumptions!$B$32+(1-F5347)*Assumptions!$B$31+(1-G5347)*Assumptions!$B$30+(1-H5347)*Assumptions!$B$29+(1-I5347)*Assumptions!$B$28</f>
        <v/>
      </c>
      <c r="K5347">
        <f>C5347*$J$307+D5347*$F$307+E5347*$G$307+F5347*Assumptions!$B$14+G5347*Assumptions!$B$13+H5347*Assumptions!$B$12+I5347*Assumptions!$B$11+$O$307+$S$307+Assumptions!$B$9</f>
        <v/>
      </c>
      <c r="L5347">
        <f>B5347-J5347</f>
        <v/>
      </c>
      <c r="M5347">
        <f>IF(K5347&gt;0,IF(L5347/K5347&gt;=Assumptions!$B$37,1,0),0)</f>
        <v/>
      </c>
      <c r="N5347">
        <f>K5347+M5347*Assumptions!$B$153</f>
        <v/>
      </c>
      <c r="O5347">
        <f>L5347+M5347*Assumptions!$B$153*Assumptions!$B$37</f>
        <v/>
      </c>
      <c r="P5347">
        <f>IF(N5347&gt;0,O5347/N5347,0)</f>
        <v/>
      </c>
      <c r="Q5347">
        <f>IF(C5347=1,P5347*$J$307,Assumptions!$B$41)</f>
        <v/>
      </c>
      <c r="R5347">
        <f>IF(D5347=1,P5347*$F$307,Assumptions!$B$33)</f>
        <v/>
      </c>
      <c r="S5347">
        <f>IF(E5347=1,P5347*$G$307,Assumptions!$B$32)</f>
        <v/>
      </c>
      <c r="T5347">
        <f>IF(F5347=1,P5347*Assumptions!$B$14,Assumptions!$B$31)</f>
        <v/>
      </c>
      <c r="U5347">
        <f>IF(G5347=1,P5347*Assumptions!$B$13,Assumptions!$B$30)</f>
        <v/>
      </c>
      <c r="V5347">
        <f>IF(H5347=1,P5347*Assumptions!$B$12,Assumptions!$B$29)</f>
        <v/>
      </c>
      <c r="W5347">
        <f>IF(I5347=1,P5347*Assumptions!$B$11,Assumptions!$B$28)</f>
        <v/>
      </c>
      <c r="X5347">
        <f>P5347*($O$307+$S$307)</f>
        <v/>
      </c>
      <c r="Y5347">
        <f>P5347*Assumptions!$B$9</f>
        <v/>
      </c>
      <c r="Z5347">
        <f>IF(M5347=1,(P5347-Assumptions!$B$37)*Assumptions!$B$153,0)</f>
        <v/>
      </c>
      <c r="AA5347">
        <f>Q5347+R5347+S5347+T5347+U5347+V5347+W5347+X5347+Y5347+Z5347</f>
        <v/>
      </c>
      <c r="AB5347" t="n">
        <v>91</v>
      </c>
      <c r="AC5347" t="n">
        <v>27</v>
      </c>
      <c r="AD5347" t="n">
        <v>123</v>
      </c>
      <c r="AE5347" t="n">
        <v>75</v>
      </c>
      <c r="AF5347" t="n">
        <v>83</v>
      </c>
      <c r="AG5347" t="n">
        <v>95</v>
      </c>
      <c r="AH5347" t="n">
        <v>89</v>
      </c>
      <c r="AI5347" t="n">
        <v>90</v>
      </c>
      <c r="AJ5347">
        <f>INDEX($Q$5256:$Q$5383,AC5347+1)</f>
        <v/>
      </c>
      <c r="AK5347">
        <f>INDEX($R$5256:$R$5383,AD5347+1)</f>
        <v/>
      </c>
      <c r="AL5347">
        <f>INDEX($S$5256:$S$5383,AE5347+1)</f>
        <v/>
      </c>
      <c r="AM5347">
        <f>INDEX($T$5256:$T$5383,AF5347+1)</f>
        <v/>
      </c>
      <c r="AN5347">
        <f>INDEX($U$5256:$U$5383,AG5347+1)</f>
        <v/>
      </c>
      <c r="AO5347">
        <f>INDEX($V$5256:$V$5383,AH5347+1)</f>
        <v/>
      </c>
      <c r="AP5347">
        <f>INDEX($W$5256:$W$5383,AI5347+1)</f>
        <v/>
      </c>
      <c r="AQ5347">
        <f>IF(Q5347&gt;=AJ5347-0.01,1,0)</f>
        <v/>
      </c>
      <c r="AR5347">
        <f>IF(R5347&gt;=AK5347-0.01,1,0)</f>
        <v/>
      </c>
      <c r="AS5347">
        <f>IF(S5347&gt;=AL5347-0.01,1,0)</f>
        <v/>
      </c>
      <c r="AT5347">
        <f>IF(T5347&gt;=AM5347-0.01,1,0)</f>
        <v/>
      </c>
      <c r="AU5347">
        <f>IF(U5347&gt;=AN5347-0.01,1,0)</f>
        <v/>
      </c>
      <c r="AV5347">
        <f>IF(V5347&gt;=AO5347-0.01,1,0)</f>
        <v/>
      </c>
      <c r="AW5347">
        <f>IF(W5347&gt;=AP5347-0.01,1,0)</f>
        <v/>
      </c>
      <c r="AX5347">
        <f>AQ5347*AR5347*AS5347*AT5347*AU5347*AV5347*AW5347</f>
        <v/>
      </c>
    </row>
    <row r="5348">
      <c r="A5348" t="inlineStr"/>
      <c r="B5348">
        <f>Assumptions!$B$60</f>
        <v/>
      </c>
      <c r="C5348" t="n">
        <v>1</v>
      </c>
      <c r="D5348" t="n">
        <v>0</v>
      </c>
      <c r="E5348" t="n">
        <v>1</v>
      </c>
      <c r="F5348" t="n">
        <v>1</v>
      </c>
      <c r="G5348" t="n">
        <v>1</v>
      </c>
      <c r="H5348" t="n">
        <v>0</v>
      </c>
      <c r="I5348" t="n">
        <v>0</v>
      </c>
      <c r="J5348">
        <f>(1-C5348)*Assumptions!$B$41+(1-D5348)*Assumptions!$B$33+(1-E5348)*Assumptions!$B$32+(1-F5348)*Assumptions!$B$31+(1-G5348)*Assumptions!$B$30+(1-H5348)*Assumptions!$B$29+(1-I5348)*Assumptions!$B$28</f>
        <v/>
      </c>
      <c r="K5348">
        <f>C5348*$J$307+D5348*$F$307+E5348*$G$307+F5348*Assumptions!$B$14+G5348*Assumptions!$B$13+H5348*Assumptions!$B$12+I5348*Assumptions!$B$11+$O$307+$S$307+Assumptions!$B$9</f>
        <v/>
      </c>
      <c r="L5348">
        <f>B5348-J5348</f>
        <v/>
      </c>
      <c r="M5348">
        <f>IF(K5348&gt;0,IF(L5348/K5348&gt;=Assumptions!$B$37,1,0),0)</f>
        <v/>
      </c>
      <c r="N5348">
        <f>K5348+M5348*Assumptions!$B$153</f>
        <v/>
      </c>
      <c r="O5348">
        <f>L5348+M5348*Assumptions!$B$153*Assumptions!$B$37</f>
        <v/>
      </c>
      <c r="P5348">
        <f>IF(N5348&gt;0,O5348/N5348,0)</f>
        <v/>
      </c>
      <c r="Q5348">
        <f>IF(C5348=1,P5348*$J$307,Assumptions!$B$41)</f>
        <v/>
      </c>
      <c r="R5348">
        <f>IF(D5348=1,P5348*$F$307,Assumptions!$B$33)</f>
        <v/>
      </c>
      <c r="S5348">
        <f>IF(E5348=1,P5348*$G$307,Assumptions!$B$32)</f>
        <v/>
      </c>
      <c r="T5348">
        <f>IF(F5348=1,P5348*Assumptions!$B$14,Assumptions!$B$31)</f>
        <v/>
      </c>
      <c r="U5348">
        <f>IF(G5348=1,P5348*Assumptions!$B$13,Assumptions!$B$30)</f>
        <v/>
      </c>
      <c r="V5348">
        <f>IF(H5348=1,P5348*Assumptions!$B$12,Assumptions!$B$29)</f>
        <v/>
      </c>
      <c r="W5348">
        <f>IF(I5348=1,P5348*Assumptions!$B$11,Assumptions!$B$28)</f>
        <v/>
      </c>
      <c r="X5348">
        <f>P5348*($O$307+$S$307)</f>
        <v/>
      </c>
      <c r="Y5348">
        <f>P5348*Assumptions!$B$9</f>
        <v/>
      </c>
      <c r="Z5348">
        <f>IF(M5348=1,(P5348-Assumptions!$B$37)*Assumptions!$B$153,0)</f>
        <v/>
      </c>
      <c r="AA5348">
        <f>Q5348+R5348+S5348+T5348+U5348+V5348+W5348+X5348+Y5348+Z5348</f>
        <v/>
      </c>
      <c r="AB5348" t="n">
        <v>92</v>
      </c>
      <c r="AC5348" t="n">
        <v>28</v>
      </c>
      <c r="AD5348" t="n">
        <v>124</v>
      </c>
      <c r="AE5348" t="n">
        <v>76</v>
      </c>
      <c r="AF5348" t="n">
        <v>84</v>
      </c>
      <c r="AG5348" t="n">
        <v>88</v>
      </c>
      <c r="AH5348" t="n">
        <v>94</v>
      </c>
      <c r="AI5348" t="n">
        <v>93</v>
      </c>
      <c r="AJ5348">
        <f>INDEX($Q$5256:$Q$5383,AC5348+1)</f>
        <v/>
      </c>
      <c r="AK5348">
        <f>INDEX($R$5256:$R$5383,AD5348+1)</f>
        <v/>
      </c>
      <c r="AL5348">
        <f>INDEX($S$5256:$S$5383,AE5348+1)</f>
        <v/>
      </c>
      <c r="AM5348">
        <f>INDEX($T$5256:$T$5383,AF5348+1)</f>
        <v/>
      </c>
      <c r="AN5348">
        <f>INDEX($U$5256:$U$5383,AG5348+1)</f>
        <v/>
      </c>
      <c r="AO5348">
        <f>INDEX($V$5256:$V$5383,AH5348+1)</f>
        <v/>
      </c>
      <c r="AP5348">
        <f>INDEX($W$5256:$W$5383,AI5348+1)</f>
        <v/>
      </c>
      <c r="AQ5348">
        <f>IF(Q5348&gt;=AJ5348-0.01,1,0)</f>
        <v/>
      </c>
      <c r="AR5348">
        <f>IF(R5348&gt;=AK5348-0.01,1,0)</f>
        <v/>
      </c>
      <c r="AS5348">
        <f>IF(S5348&gt;=AL5348-0.01,1,0)</f>
        <v/>
      </c>
      <c r="AT5348">
        <f>IF(T5348&gt;=AM5348-0.01,1,0)</f>
        <v/>
      </c>
      <c r="AU5348">
        <f>IF(U5348&gt;=AN5348-0.01,1,0)</f>
        <v/>
      </c>
      <c r="AV5348">
        <f>IF(V5348&gt;=AO5348-0.01,1,0)</f>
        <v/>
      </c>
      <c r="AW5348">
        <f>IF(W5348&gt;=AP5348-0.01,1,0)</f>
        <v/>
      </c>
      <c r="AX5348">
        <f>AQ5348*AR5348*AS5348*AT5348*AU5348*AV5348*AW5348</f>
        <v/>
      </c>
    </row>
    <row r="5349">
      <c r="A5349" t="inlineStr"/>
      <c r="B5349">
        <f>Assumptions!$B$60</f>
        <v/>
      </c>
      <c r="C5349" t="n">
        <v>1</v>
      </c>
      <c r="D5349" t="n">
        <v>0</v>
      </c>
      <c r="E5349" t="n">
        <v>1</v>
      </c>
      <c r="F5349" t="n">
        <v>1</v>
      </c>
      <c r="G5349" t="n">
        <v>1</v>
      </c>
      <c r="H5349" t="n">
        <v>0</v>
      </c>
      <c r="I5349" t="n">
        <v>1</v>
      </c>
      <c r="J5349">
        <f>(1-C5349)*Assumptions!$B$41+(1-D5349)*Assumptions!$B$33+(1-E5349)*Assumptions!$B$32+(1-F5349)*Assumptions!$B$31+(1-G5349)*Assumptions!$B$30+(1-H5349)*Assumptions!$B$29+(1-I5349)*Assumptions!$B$28</f>
        <v/>
      </c>
      <c r="K5349">
        <f>C5349*$J$307+D5349*$F$307+E5349*$G$307+F5349*Assumptions!$B$14+G5349*Assumptions!$B$13+H5349*Assumptions!$B$12+I5349*Assumptions!$B$11+$O$307+$S$307+Assumptions!$B$9</f>
        <v/>
      </c>
      <c r="L5349">
        <f>B5349-J5349</f>
        <v/>
      </c>
      <c r="M5349">
        <f>IF(K5349&gt;0,IF(L5349/K5349&gt;=Assumptions!$B$37,1,0),0)</f>
        <v/>
      </c>
      <c r="N5349">
        <f>K5349+M5349*Assumptions!$B$153</f>
        <v/>
      </c>
      <c r="O5349">
        <f>L5349+M5349*Assumptions!$B$153*Assumptions!$B$37</f>
        <v/>
      </c>
      <c r="P5349">
        <f>IF(N5349&gt;0,O5349/N5349,0)</f>
        <v/>
      </c>
      <c r="Q5349">
        <f>IF(C5349=1,P5349*$J$307,Assumptions!$B$41)</f>
        <v/>
      </c>
      <c r="R5349">
        <f>IF(D5349=1,P5349*$F$307,Assumptions!$B$33)</f>
        <v/>
      </c>
      <c r="S5349">
        <f>IF(E5349=1,P5349*$G$307,Assumptions!$B$32)</f>
        <v/>
      </c>
      <c r="T5349">
        <f>IF(F5349=1,P5349*Assumptions!$B$14,Assumptions!$B$31)</f>
        <v/>
      </c>
      <c r="U5349">
        <f>IF(G5349=1,P5349*Assumptions!$B$13,Assumptions!$B$30)</f>
        <v/>
      </c>
      <c r="V5349">
        <f>IF(H5349=1,P5349*Assumptions!$B$12,Assumptions!$B$29)</f>
        <v/>
      </c>
      <c r="W5349">
        <f>IF(I5349=1,P5349*Assumptions!$B$11,Assumptions!$B$28)</f>
        <v/>
      </c>
      <c r="X5349">
        <f>P5349*($O$307+$S$307)</f>
        <v/>
      </c>
      <c r="Y5349">
        <f>P5349*Assumptions!$B$9</f>
        <v/>
      </c>
      <c r="Z5349">
        <f>IF(M5349=1,(P5349-Assumptions!$B$37)*Assumptions!$B$153,0)</f>
        <v/>
      </c>
      <c r="AA5349">
        <f>Q5349+R5349+S5349+T5349+U5349+V5349+W5349+X5349+Y5349+Z5349</f>
        <v/>
      </c>
      <c r="AB5349" t="n">
        <v>93</v>
      </c>
      <c r="AC5349" t="n">
        <v>29</v>
      </c>
      <c r="AD5349" t="n">
        <v>125</v>
      </c>
      <c r="AE5349" t="n">
        <v>77</v>
      </c>
      <c r="AF5349" t="n">
        <v>85</v>
      </c>
      <c r="AG5349" t="n">
        <v>89</v>
      </c>
      <c r="AH5349" t="n">
        <v>95</v>
      </c>
      <c r="AI5349" t="n">
        <v>92</v>
      </c>
      <c r="AJ5349">
        <f>INDEX($Q$5256:$Q$5383,AC5349+1)</f>
        <v/>
      </c>
      <c r="AK5349">
        <f>INDEX($R$5256:$R$5383,AD5349+1)</f>
        <v/>
      </c>
      <c r="AL5349">
        <f>INDEX($S$5256:$S$5383,AE5349+1)</f>
        <v/>
      </c>
      <c r="AM5349">
        <f>INDEX($T$5256:$T$5383,AF5349+1)</f>
        <v/>
      </c>
      <c r="AN5349">
        <f>INDEX($U$5256:$U$5383,AG5349+1)</f>
        <v/>
      </c>
      <c r="AO5349">
        <f>INDEX($V$5256:$V$5383,AH5349+1)</f>
        <v/>
      </c>
      <c r="AP5349">
        <f>INDEX($W$5256:$W$5383,AI5349+1)</f>
        <v/>
      </c>
      <c r="AQ5349">
        <f>IF(Q5349&gt;=AJ5349-0.01,1,0)</f>
        <v/>
      </c>
      <c r="AR5349">
        <f>IF(R5349&gt;=AK5349-0.01,1,0)</f>
        <v/>
      </c>
      <c r="AS5349">
        <f>IF(S5349&gt;=AL5349-0.01,1,0)</f>
        <v/>
      </c>
      <c r="AT5349">
        <f>IF(T5349&gt;=AM5349-0.01,1,0)</f>
        <v/>
      </c>
      <c r="AU5349">
        <f>IF(U5349&gt;=AN5349-0.01,1,0)</f>
        <v/>
      </c>
      <c r="AV5349">
        <f>IF(V5349&gt;=AO5349-0.01,1,0)</f>
        <v/>
      </c>
      <c r="AW5349">
        <f>IF(W5349&gt;=AP5349-0.01,1,0)</f>
        <v/>
      </c>
      <c r="AX5349">
        <f>AQ5349*AR5349*AS5349*AT5349*AU5349*AV5349*AW5349</f>
        <v/>
      </c>
    </row>
    <row r="5350">
      <c r="A5350" t="inlineStr"/>
      <c r="B5350">
        <f>Assumptions!$B$60</f>
        <v/>
      </c>
      <c r="C5350" t="n">
        <v>1</v>
      </c>
      <c r="D5350" t="n">
        <v>0</v>
      </c>
      <c r="E5350" t="n">
        <v>1</v>
      </c>
      <c r="F5350" t="n">
        <v>1</v>
      </c>
      <c r="G5350" t="n">
        <v>1</v>
      </c>
      <c r="H5350" t="n">
        <v>1</v>
      </c>
      <c r="I5350" t="n">
        <v>0</v>
      </c>
      <c r="J5350">
        <f>(1-C5350)*Assumptions!$B$41+(1-D5350)*Assumptions!$B$33+(1-E5350)*Assumptions!$B$32+(1-F5350)*Assumptions!$B$31+(1-G5350)*Assumptions!$B$30+(1-H5350)*Assumptions!$B$29+(1-I5350)*Assumptions!$B$28</f>
        <v/>
      </c>
      <c r="K5350">
        <f>C5350*$J$307+D5350*$F$307+E5350*$G$307+F5350*Assumptions!$B$14+G5350*Assumptions!$B$13+H5350*Assumptions!$B$12+I5350*Assumptions!$B$11+$O$307+$S$307+Assumptions!$B$9</f>
        <v/>
      </c>
      <c r="L5350">
        <f>B5350-J5350</f>
        <v/>
      </c>
      <c r="M5350">
        <f>IF(K5350&gt;0,IF(L5350/K5350&gt;=Assumptions!$B$37,1,0),0)</f>
        <v/>
      </c>
      <c r="N5350">
        <f>K5350+M5350*Assumptions!$B$153</f>
        <v/>
      </c>
      <c r="O5350">
        <f>L5350+M5350*Assumptions!$B$153*Assumptions!$B$37</f>
        <v/>
      </c>
      <c r="P5350">
        <f>IF(N5350&gt;0,O5350/N5350,0)</f>
        <v/>
      </c>
      <c r="Q5350">
        <f>IF(C5350=1,P5350*$J$307,Assumptions!$B$41)</f>
        <v/>
      </c>
      <c r="R5350">
        <f>IF(D5350=1,P5350*$F$307,Assumptions!$B$33)</f>
        <v/>
      </c>
      <c r="S5350">
        <f>IF(E5350=1,P5350*$G$307,Assumptions!$B$32)</f>
        <v/>
      </c>
      <c r="T5350">
        <f>IF(F5350=1,P5350*Assumptions!$B$14,Assumptions!$B$31)</f>
        <v/>
      </c>
      <c r="U5350">
        <f>IF(G5350=1,P5350*Assumptions!$B$13,Assumptions!$B$30)</f>
        <v/>
      </c>
      <c r="V5350">
        <f>IF(H5350=1,P5350*Assumptions!$B$12,Assumptions!$B$29)</f>
        <v/>
      </c>
      <c r="W5350">
        <f>IF(I5350=1,P5350*Assumptions!$B$11,Assumptions!$B$28)</f>
        <v/>
      </c>
      <c r="X5350">
        <f>P5350*($O$307+$S$307)</f>
        <v/>
      </c>
      <c r="Y5350">
        <f>P5350*Assumptions!$B$9</f>
        <v/>
      </c>
      <c r="Z5350">
        <f>IF(M5350=1,(P5350-Assumptions!$B$37)*Assumptions!$B$153,0)</f>
        <v/>
      </c>
      <c r="AA5350">
        <f>Q5350+R5350+S5350+T5350+U5350+V5350+W5350+X5350+Y5350+Z5350</f>
        <v/>
      </c>
      <c r="AB5350" t="n">
        <v>94</v>
      </c>
      <c r="AC5350" t="n">
        <v>30</v>
      </c>
      <c r="AD5350" t="n">
        <v>126</v>
      </c>
      <c r="AE5350" t="n">
        <v>78</v>
      </c>
      <c r="AF5350" t="n">
        <v>86</v>
      </c>
      <c r="AG5350" t="n">
        <v>90</v>
      </c>
      <c r="AH5350" t="n">
        <v>92</v>
      </c>
      <c r="AI5350" t="n">
        <v>95</v>
      </c>
      <c r="AJ5350">
        <f>INDEX($Q$5256:$Q$5383,AC5350+1)</f>
        <v/>
      </c>
      <c r="AK5350">
        <f>INDEX($R$5256:$R$5383,AD5350+1)</f>
        <v/>
      </c>
      <c r="AL5350">
        <f>INDEX($S$5256:$S$5383,AE5350+1)</f>
        <v/>
      </c>
      <c r="AM5350">
        <f>INDEX($T$5256:$T$5383,AF5350+1)</f>
        <v/>
      </c>
      <c r="AN5350">
        <f>INDEX($U$5256:$U$5383,AG5350+1)</f>
        <v/>
      </c>
      <c r="AO5350">
        <f>INDEX($V$5256:$V$5383,AH5350+1)</f>
        <v/>
      </c>
      <c r="AP5350">
        <f>INDEX($W$5256:$W$5383,AI5350+1)</f>
        <v/>
      </c>
      <c r="AQ5350">
        <f>IF(Q5350&gt;=AJ5350-0.01,1,0)</f>
        <v/>
      </c>
      <c r="AR5350">
        <f>IF(R5350&gt;=AK5350-0.01,1,0)</f>
        <v/>
      </c>
      <c r="AS5350">
        <f>IF(S5350&gt;=AL5350-0.01,1,0)</f>
        <v/>
      </c>
      <c r="AT5350">
        <f>IF(T5350&gt;=AM5350-0.01,1,0)</f>
        <v/>
      </c>
      <c r="AU5350">
        <f>IF(U5350&gt;=AN5350-0.01,1,0)</f>
        <v/>
      </c>
      <c r="AV5350">
        <f>IF(V5350&gt;=AO5350-0.01,1,0)</f>
        <v/>
      </c>
      <c r="AW5350">
        <f>IF(W5350&gt;=AP5350-0.01,1,0)</f>
        <v/>
      </c>
      <c r="AX5350">
        <f>AQ5350*AR5350*AS5350*AT5350*AU5350*AV5350*AW5350</f>
        <v/>
      </c>
    </row>
    <row r="5351">
      <c r="A5351" t="inlineStr"/>
      <c r="B5351">
        <f>Assumptions!$B$60</f>
        <v/>
      </c>
      <c r="C5351" t="n">
        <v>1</v>
      </c>
      <c r="D5351" t="n">
        <v>0</v>
      </c>
      <c r="E5351" t="n">
        <v>1</v>
      </c>
      <c r="F5351" t="n">
        <v>1</v>
      </c>
      <c r="G5351" t="n">
        <v>1</v>
      </c>
      <c r="H5351" t="n">
        <v>1</v>
      </c>
      <c r="I5351" t="n">
        <v>1</v>
      </c>
      <c r="J5351">
        <f>(1-C5351)*Assumptions!$B$41+(1-D5351)*Assumptions!$B$33+(1-E5351)*Assumptions!$B$32+(1-F5351)*Assumptions!$B$31+(1-G5351)*Assumptions!$B$30+(1-H5351)*Assumptions!$B$29+(1-I5351)*Assumptions!$B$28</f>
        <v/>
      </c>
      <c r="K5351">
        <f>C5351*$J$307+D5351*$F$307+E5351*$G$307+F5351*Assumptions!$B$14+G5351*Assumptions!$B$13+H5351*Assumptions!$B$12+I5351*Assumptions!$B$11+$O$307+$S$307+Assumptions!$B$9</f>
        <v/>
      </c>
      <c r="L5351">
        <f>B5351-J5351</f>
        <v/>
      </c>
      <c r="M5351">
        <f>IF(K5351&gt;0,IF(L5351/K5351&gt;=Assumptions!$B$37,1,0),0)</f>
        <v/>
      </c>
      <c r="N5351">
        <f>K5351+M5351*Assumptions!$B$153</f>
        <v/>
      </c>
      <c r="O5351">
        <f>L5351+M5351*Assumptions!$B$153*Assumptions!$B$37</f>
        <v/>
      </c>
      <c r="P5351">
        <f>IF(N5351&gt;0,O5351/N5351,0)</f>
        <v/>
      </c>
      <c r="Q5351">
        <f>IF(C5351=1,P5351*$J$307,Assumptions!$B$41)</f>
        <v/>
      </c>
      <c r="R5351">
        <f>IF(D5351=1,P5351*$F$307,Assumptions!$B$33)</f>
        <v/>
      </c>
      <c r="S5351">
        <f>IF(E5351=1,P5351*$G$307,Assumptions!$B$32)</f>
        <v/>
      </c>
      <c r="T5351">
        <f>IF(F5351=1,P5351*Assumptions!$B$14,Assumptions!$B$31)</f>
        <v/>
      </c>
      <c r="U5351">
        <f>IF(G5351=1,P5351*Assumptions!$B$13,Assumptions!$B$30)</f>
        <v/>
      </c>
      <c r="V5351">
        <f>IF(H5351=1,P5351*Assumptions!$B$12,Assumptions!$B$29)</f>
        <v/>
      </c>
      <c r="W5351">
        <f>IF(I5351=1,P5351*Assumptions!$B$11,Assumptions!$B$28)</f>
        <v/>
      </c>
      <c r="X5351">
        <f>P5351*($O$307+$S$307)</f>
        <v/>
      </c>
      <c r="Y5351">
        <f>P5351*Assumptions!$B$9</f>
        <v/>
      </c>
      <c r="Z5351">
        <f>IF(M5351=1,(P5351-Assumptions!$B$37)*Assumptions!$B$153,0)</f>
        <v/>
      </c>
      <c r="AA5351">
        <f>Q5351+R5351+S5351+T5351+U5351+V5351+W5351+X5351+Y5351+Z5351</f>
        <v/>
      </c>
      <c r="AB5351" t="n">
        <v>95</v>
      </c>
      <c r="AC5351" t="n">
        <v>31</v>
      </c>
      <c r="AD5351" t="n">
        <v>127</v>
      </c>
      <c r="AE5351" t="n">
        <v>79</v>
      </c>
      <c r="AF5351" t="n">
        <v>87</v>
      </c>
      <c r="AG5351" t="n">
        <v>91</v>
      </c>
      <c r="AH5351" t="n">
        <v>93</v>
      </c>
      <c r="AI5351" t="n">
        <v>94</v>
      </c>
      <c r="AJ5351">
        <f>INDEX($Q$5256:$Q$5383,AC5351+1)</f>
        <v/>
      </c>
      <c r="AK5351">
        <f>INDEX($R$5256:$R$5383,AD5351+1)</f>
        <v/>
      </c>
      <c r="AL5351">
        <f>INDEX($S$5256:$S$5383,AE5351+1)</f>
        <v/>
      </c>
      <c r="AM5351">
        <f>INDEX($T$5256:$T$5383,AF5351+1)</f>
        <v/>
      </c>
      <c r="AN5351">
        <f>INDEX($U$5256:$U$5383,AG5351+1)</f>
        <v/>
      </c>
      <c r="AO5351">
        <f>INDEX($V$5256:$V$5383,AH5351+1)</f>
        <v/>
      </c>
      <c r="AP5351">
        <f>INDEX($W$5256:$W$5383,AI5351+1)</f>
        <v/>
      </c>
      <c r="AQ5351">
        <f>IF(Q5351&gt;=AJ5351-0.01,1,0)</f>
        <v/>
      </c>
      <c r="AR5351">
        <f>IF(R5351&gt;=AK5351-0.01,1,0)</f>
        <v/>
      </c>
      <c r="AS5351">
        <f>IF(S5351&gt;=AL5351-0.01,1,0)</f>
        <v/>
      </c>
      <c r="AT5351">
        <f>IF(T5351&gt;=AM5351-0.01,1,0)</f>
        <v/>
      </c>
      <c r="AU5351">
        <f>IF(U5351&gt;=AN5351-0.01,1,0)</f>
        <v/>
      </c>
      <c r="AV5351">
        <f>IF(V5351&gt;=AO5351-0.01,1,0)</f>
        <v/>
      </c>
      <c r="AW5351">
        <f>IF(W5351&gt;=AP5351-0.01,1,0)</f>
        <v/>
      </c>
      <c r="AX5351">
        <f>AQ5351*AR5351*AS5351*AT5351*AU5351*AV5351*AW5351</f>
        <v/>
      </c>
    </row>
    <row r="5352">
      <c r="A5352" t="inlineStr"/>
      <c r="B5352">
        <f>Assumptions!$B$60</f>
        <v/>
      </c>
      <c r="C5352" t="n">
        <v>1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>
        <f>(1-C5352)*Assumptions!$B$41+(1-D5352)*Assumptions!$B$33+(1-E5352)*Assumptions!$B$32+(1-F5352)*Assumptions!$B$31+(1-G5352)*Assumptions!$B$30+(1-H5352)*Assumptions!$B$29+(1-I5352)*Assumptions!$B$28</f>
        <v/>
      </c>
      <c r="K5352">
        <f>C5352*$J$307+D5352*$F$307+E5352*$G$307+F5352*Assumptions!$B$14+G5352*Assumptions!$B$13+H5352*Assumptions!$B$12+I5352*Assumptions!$B$11+$O$307+$S$307+Assumptions!$B$9</f>
        <v/>
      </c>
      <c r="L5352">
        <f>B5352-J5352</f>
        <v/>
      </c>
      <c r="M5352">
        <f>IF(K5352&gt;0,IF(L5352/K5352&gt;=Assumptions!$B$37,1,0),0)</f>
        <v/>
      </c>
      <c r="N5352">
        <f>K5352+M5352*Assumptions!$B$153</f>
        <v/>
      </c>
      <c r="O5352">
        <f>L5352+M5352*Assumptions!$B$153*Assumptions!$B$37</f>
        <v/>
      </c>
      <c r="P5352">
        <f>IF(N5352&gt;0,O5352/N5352,0)</f>
        <v/>
      </c>
      <c r="Q5352">
        <f>IF(C5352=1,P5352*$J$307,Assumptions!$B$41)</f>
        <v/>
      </c>
      <c r="R5352">
        <f>IF(D5352=1,P5352*$F$307,Assumptions!$B$33)</f>
        <v/>
      </c>
      <c r="S5352">
        <f>IF(E5352=1,P5352*$G$307,Assumptions!$B$32)</f>
        <v/>
      </c>
      <c r="T5352">
        <f>IF(F5352=1,P5352*Assumptions!$B$14,Assumptions!$B$31)</f>
        <v/>
      </c>
      <c r="U5352">
        <f>IF(G5352=1,P5352*Assumptions!$B$13,Assumptions!$B$30)</f>
        <v/>
      </c>
      <c r="V5352">
        <f>IF(H5352=1,P5352*Assumptions!$B$12,Assumptions!$B$29)</f>
        <v/>
      </c>
      <c r="W5352">
        <f>IF(I5352=1,P5352*Assumptions!$B$11,Assumptions!$B$28)</f>
        <v/>
      </c>
      <c r="X5352">
        <f>P5352*($O$307+$S$307)</f>
        <v/>
      </c>
      <c r="Y5352">
        <f>P5352*Assumptions!$B$9</f>
        <v/>
      </c>
      <c r="Z5352">
        <f>IF(M5352=1,(P5352-Assumptions!$B$37)*Assumptions!$B$153,0)</f>
        <v/>
      </c>
      <c r="AA5352">
        <f>Q5352+R5352+S5352+T5352+U5352+V5352+W5352+X5352+Y5352+Z5352</f>
        <v/>
      </c>
      <c r="AB5352" t="n">
        <v>96</v>
      </c>
      <c r="AC5352" t="n">
        <v>32</v>
      </c>
      <c r="AD5352" t="n">
        <v>64</v>
      </c>
      <c r="AE5352" t="n">
        <v>112</v>
      </c>
      <c r="AF5352" t="n">
        <v>104</v>
      </c>
      <c r="AG5352" t="n">
        <v>100</v>
      </c>
      <c r="AH5352" t="n">
        <v>98</v>
      </c>
      <c r="AI5352" t="n">
        <v>97</v>
      </c>
      <c r="AJ5352">
        <f>INDEX($Q$5256:$Q$5383,AC5352+1)</f>
        <v/>
      </c>
      <c r="AK5352">
        <f>INDEX($R$5256:$R$5383,AD5352+1)</f>
        <v/>
      </c>
      <c r="AL5352">
        <f>INDEX($S$5256:$S$5383,AE5352+1)</f>
        <v/>
      </c>
      <c r="AM5352">
        <f>INDEX($T$5256:$T$5383,AF5352+1)</f>
        <v/>
      </c>
      <c r="AN5352">
        <f>INDEX($U$5256:$U$5383,AG5352+1)</f>
        <v/>
      </c>
      <c r="AO5352">
        <f>INDEX($V$5256:$V$5383,AH5352+1)</f>
        <v/>
      </c>
      <c r="AP5352">
        <f>INDEX($W$5256:$W$5383,AI5352+1)</f>
        <v/>
      </c>
      <c r="AQ5352">
        <f>IF(Q5352&gt;=AJ5352-0.01,1,0)</f>
        <v/>
      </c>
      <c r="AR5352">
        <f>IF(R5352&gt;=AK5352-0.01,1,0)</f>
        <v/>
      </c>
      <c r="AS5352">
        <f>IF(S5352&gt;=AL5352-0.01,1,0)</f>
        <v/>
      </c>
      <c r="AT5352">
        <f>IF(T5352&gt;=AM5352-0.01,1,0)</f>
        <v/>
      </c>
      <c r="AU5352">
        <f>IF(U5352&gt;=AN5352-0.01,1,0)</f>
        <v/>
      </c>
      <c r="AV5352">
        <f>IF(V5352&gt;=AO5352-0.01,1,0)</f>
        <v/>
      </c>
      <c r="AW5352">
        <f>IF(W5352&gt;=AP5352-0.01,1,0)</f>
        <v/>
      </c>
      <c r="AX5352">
        <f>AQ5352*AR5352*AS5352*AT5352*AU5352*AV5352*AW5352</f>
        <v/>
      </c>
    </row>
    <row r="5353">
      <c r="A5353" t="inlineStr"/>
      <c r="B5353">
        <f>Assumptions!$B$60</f>
        <v/>
      </c>
      <c r="C5353" t="n">
        <v>1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1</v>
      </c>
      <c r="J5353">
        <f>(1-C5353)*Assumptions!$B$41+(1-D5353)*Assumptions!$B$33+(1-E5353)*Assumptions!$B$32+(1-F5353)*Assumptions!$B$31+(1-G5353)*Assumptions!$B$30+(1-H5353)*Assumptions!$B$29+(1-I5353)*Assumptions!$B$28</f>
        <v/>
      </c>
      <c r="K5353">
        <f>C5353*$J$307+D5353*$F$307+E5353*$G$307+F5353*Assumptions!$B$14+G5353*Assumptions!$B$13+H5353*Assumptions!$B$12+I5353*Assumptions!$B$11+$O$307+$S$307+Assumptions!$B$9</f>
        <v/>
      </c>
      <c r="L5353">
        <f>B5353-J5353</f>
        <v/>
      </c>
      <c r="M5353">
        <f>IF(K5353&gt;0,IF(L5353/K5353&gt;=Assumptions!$B$37,1,0),0)</f>
        <v/>
      </c>
      <c r="N5353">
        <f>K5353+M5353*Assumptions!$B$153</f>
        <v/>
      </c>
      <c r="O5353">
        <f>L5353+M5353*Assumptions!$B$153*Assumptions!$B$37</f>
        <v/>
      </c>
      <c r="P5353">
        <f>IF(N5353&gt;0,O5353/N5353,0)</f>
        <v/>
      </c>
      <c r="Q5353">
        <f>IF(C5353=1,P5353*$J$307,Assumptions!$B$41)</f>
        <v/>
      </c>
      <c r="R5353">
        <f>IF(D5353=1,P5353*$F$307,Assumptions!$B$33)</f>
        <v/>
      </c>
      <c r="S5353">
        <f>IF(E5353=1,P5353*$G$307,Assumptions!$B$32)</f>
        <v/>
      </c>
      <c r="T5353">
        <f>IF(F5353=1,P5353*Assumptions!$B$14,Assumptions!$B$31)</f>
        <v/>
      </c>
      <c r="U5353">
        <f>IF(G5353=1,P5353*Assumptions!$B$13,Assumptions!$B$30)</f>
        <v/>
      </c>
      <c r="V5353">
        <f>IF(H5353=1,P5353*Assumptions!$B$12,Assumptions!$B$29)</f>
        <v/>
      </c>
      <c r="W5353">
        <f>IF(I5353=1,P5353*Assumptions!$B$11,Assumptions!$B$28)</f>
        <v/>
      </c>
      <c r="X5353">
        <f>P5353*($O$307+$S$307)</f>
        <v/>
      </c>
      <c r="Y5353">
        <f>P5353*Assumptions!$B$9</f>
        <v/>
      </c>
      <c r="Z5353">
        <f>IF(M5353=1,(P5353-Assumptions!$B$37)*Assumptions!$B$153,0)</f>
        <v/>
      </c>
      <c r="AA5353">
        <f>Q5353+R5353+S5353+T5353+U5353+V5353+W5353+X5353+Y5353+Z5353</f>
        <v/>
      </c>
      <c r="AB5353" t="n">
        <v>97</v>
      </c>
      <c r="AC5353" t="n">
        <v>33</v>
      </c>
      <c r="AD5353" t="n">
        <v>65</v>
      </c>
      <c r="AE5353" t="n">
        <v>113</v>
      </c>
      <c r="AF5353" t="n">
        <v>105</v>
      </c>
      <c r="AG5353" t="n">
        <v>101</v>
      </c>
      <c r="AH5353" t="n">
        <v>99</v>
      </c>
      <c r="AI5353" t="n">
        <v>96</v>
      </c>
      <c r="AJ5353">
        <f>INDEX($Q$5256:$Q$5383,AC5353+1)</f>
        <v/>
      </c>
      <c r="AK5353">
        <f>INDEX($R$5256:$R$5383,AD5353+1)</f>
        <v/>
      </c>
      <c r="AL5353">
        <f>INDEX($S$5256:$S$5383,AE5353+1)</f>
        <v/>
      </c>
      <c r="AM5353">
        <f>INDEX($T$5256:$T$5383,AF5353+1)</f>
        <v/>
      </c>
      <c r="AN5353">
        <f>INDEX($U$5256:$U$5383,AG5353+1)</f>
        <v/>
      </c>
      <c r="AO5353">
        <f>INDEX($V$5256:$V$5383,AH5353+1)</f>
        <v/>
      </c>
      <c r="AP5353">
        <f>INDEX($W$5256:$W$5383,AI5353+1)</f>
        <v/>
      </c>
      <c r="AQ5353">
        <f>IF(Q5353&gt;=AJ5353-0.01,1,0)</f>
        <v/>
      </c>
      <c r="AR5353">
        <f>IF(R5353&gt;=AK5353-0.01,1,0)</f>
        <v/>
      </c>
      <c r="AS5353">
        <f>IF(S5353&gt;=AL5353-0.01,1,0)</f>
        <v/>
      </c>
      <c r="AT5353">
        <f>IF(T5353&gt;=AM5353-0.01,1,0)</f>
        <v/>
      </c>
      <c r="AU5353">
        <f>IF(U5353&gt;=AN5353-0.01,1,0)</f>
        <v/>
      </c>
      <c r="AV5353">
        <f>IF(V5353&gt;=AO5353-0.01,1,0)</f>
        <v/>
      </c>
      <c r="AW5353">
        <f>IF(W5353&gt;=AP5353-0.01,1,0)</f>
        <v/>
      </c>
      <c r="AX5353">
        <f>AQ5353*AR5353*AS5353*AT5353*AU5353*AV5353*AW5353</f>
        <v/>
      </c>
    </row>
    <row r="5354">
      <c r="A5354" t="inlineStr"/>
      <c r="B5354">
        <f>Assumptions!$B$60</f>
        <v/>
      </c>
      <c r="C5354" t="n">
        <v>1</v>
      </c>
      <c r="D5354" t="n">
        <v>1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>
        <f>(1-C5354)*Assumptions!$B$41+(1-D5354)*Assumptions!$B$33+(1-E5354)*Assumptions!$B$32+(1-F5354)*Assumptions!$B$31+(1-G5354)*Assumptions!$B$30+(1-H5354)*Assumptions!$B$29+(1-I5354)*Assumptions!$B$28</f>
        <v/>
      </c>
      <c r="K5354">
        <f>C5354*$J$307+D5354*$F$307+E5354*$G$307+F5354*Assumptions!$B$14+G5354*Assumptions!$B$13+H5354*Assumptions!$B$12+I5354*Assumptions!$B$11+$O$307+$S$307+Assumptions!$B$9</f>
        <v/>
      </c>
      <c r="L5354">
        <f>B5354-J5354</f>
        <v/>
      </c>
      <c r="M5354">
        <f>IF(K5354&gt;0,IF(L5354/K5354&gt;=Assumptions!$B$37,1,0),0)</f>
        <v/>
      </c>
      <c r="N5354">
        <f>K5354+M5354*Assumptions!$B$153</f>
        <v/>
      </c>
      <c r="O5354">
        <f>L5354+M5354*Assumptions!$B$153*Assumptions!$B$37</f>
        <v/>
      </c>
      <c r="P5354">
        <f>IF(N5354&gt;0,O5354/N5354,0)</f>
        <v/>
      </c>
      <c r="Q5354">
        <f>IF(C5354=1,P5354*$J$307,Assumptions!$B$41)</f>
        <v/>
      </c>
      <c r="R5354">
        <f>IF(D5354=1,P5354*$F$307,Assumptions!$B$33)</f>
        <v/>
      </c>
      <c r="S5354">
        <f>IF(E5354=1,P5354*$G$307,Assumptions!$B$32)</f>
        <v/>
      </c>
      <c r="T5354">
        <f>IF(F5354=1,P5354*Assumptions!$B$14,Assumptions!$B$31)</f>
        <v/>
      </c>
      <c r="U5354">
        <f>IF(G5354=1,P5354*Assumptions!$B$13,Assumptions!$B$30)</f>
        <v/>
      </c>
      <c r="V5354">
        <f>IF(H5354=1,P5354*Assumptions!$B$12,Assumptions!$B$29)</f>
        <v/>
      </c>
      <c r="W5354">
        <f>IF(I5354=1,P5354*Assumptions!$B$11,Assumptions!$B$28)</f>
        <v/>
      </c>
      <c r="X5354">
        <f>P5354*($O$307+$S$307)</f>
        <v/>
      </c>
      <c r="Y5354">
        <f>P5354*Assumptions!$B$9</f>
        <v/>
      </c>
      <c r="Z5354">
        <f>IF(M5354=1,(P5354-Assumptions!$B$37)*Assumptions!$B$153,0)</f>
        <v/>
      </c>
      <c r="AA5354">
        <f>Q5354+R5354+S5354+T5354+U5354+V5354+W5354+X5354+Y5354+Z5354</f>
        <v/>
      </c>
      <c r="AB5354" t="n">
        <v>98</v>
      </c>
      <c r="AC5354" t="n">
        <v>34</v>
      </c>
      <c r="AD5354" t="n">
        <v>66</v>
      </c>
      <c r="AE5354" t="n">
        <v>114</v>
      </c>
      <c r="AF5354" t="n">
        <v>106</v>
      </c>
      <c r="AG5354" t="n">
        <v>102</v>
      </c>
      <c r="AH5354" t="n">
        <v>96</v>
      </c>
      <c r="AI5354" t="n">
        <v>99</v>
      </c>
      <c r="AJ5354">
        <f>INDEX($Q$5256:$Q$5383,AC5354+1)</f>
        <v/>
      </c>
      <c r="AK5354">
        <f>INDEX($R$5256:$R$5383,AD5354+1)</f>
        <v/>
      </c>
      <c r="AL5354">
        <f>INDEX($S$5256:$S$5383,AE5354+1)</f>
        <v/>
      </c>
      <c r="AM5354">
        <f>INDEX($T$5256:$T$5383,AF5354+1)</f>
        <v/>
      </c>
      <c r="AN5354">
        <f>INDEX($U$5256:$U$5383,AG5354+1)</f>
        <v/>
      </c>
      <c r="AO5354">
        <f>INDEX($V$5256:$V$5383,AH5354+1)</f>
        <v/>
      </c>
      <c r="AP5354">
        <f>INDEX($W$5256:$W$5383,AI5354+1)</f>
        <v/>
      </c>
      <c r="AQ5354">
        <f>IF(Q5354&gt;=AJ5354-0.01,1,0)</f>
        <v/>
      </c>
      <c r="AR5354">
        <f>IF(R5354&gt;=AK5354-0.01,1,0)</f>
        <v/>
      </c>
      <c r="AS5354">
        <f>IF(S5354&gt;=AL5354-0.01,1,0)</f>
        <v/>
      </c>
      <c r="AT5354">
        <f>IF(T5354&gt;=AM5354-0.01,1,0)</f>
        <v/>
      </c>
      <c r="AU5354">
        <f>IF(U5354&gt;=AN5354-0.01,1,0)</f>
        <v/>
      </c>
      <c r="AV5354">
        <f>IF(V5354&gt;=AO5354-0.01,1,0)</f>
        <v/>
      </c>
      <c r="AW5354">
        <f>IF(W5354&gt;=AP5354-0.01,1,0)</f>
        <v/>
      </c>
      <c r="AX5354">
        <f>AQ5354*AR5354*AS5354*AT5354*AU5354*AV5354*AW5354</f>
        <v/>
      </c>
    </row>
    <row r="5355">
      <c r="A5355" t="inlineStr"/>
      <c r="B5355">
        <f>Assumptions!$B$60</f>
        <v/>
      </c>
      <c r="C5355" t="n">
        <v>1</v>
      </c>
      <c r="D5355" t="n">
        <v>1</v>
      </c>
      <c r="E5355" t="n">
        <v>0</v>
      </c>
      <c r="F5355" t="n">
        <v>0</v>
      </c>
      <c r="G5355" t="n">
        <v>0</v>
      </c>
      <c r="H5355" t="n">
        <v>1</v>
      </c>
      <c r="I5355" t="n">
        <v>1</v>
      </c>
      <c r="J5355">
        <f>(1-C5355)*Assumptions!$B$41+(1-D5355)*Assumptions!$B$33+(1-E5355)*Assumptions!$B$32+(1-F5355)*Assumptions!$B$31+(1-G5355)*Assumptions!$B$30+(1-H5355)*Assumptions!$B$29+(1-I5355)*Assumptions!$B$28</f>
        <v/>
      </c>
      <c r="K5355">
        <f>C5355*$J$307+D5355*$F$307+E5355*$G$307+F5355*Assumptions!$B$14+G5355*Assumptions!$B$13+H5355*Assumptions!$B$12+I5355*Assumptions!$B$11+$O$307+$S$307+Assumptions!$B$9</f>
        <v/>
      </c>
      <c r="L5355">
        <f>B5355-J5355</f>
        <v/>
      </c>
      <c r="M5355">
        <f>IF(K5355&gt;0,IF(L5355/K5355&gt;=Assumptions!$B$37,1,0),0)</f>
        <v/>
      </c>
      <c r="N5355">
        <f>K5355+M5355*Assumptions!$B$153</f>
        <v/>
      </c>
      <c r="O5355">
        <f>L5355+M5355*Assumptions!$B$153*Assumptions!$B$37</f>
        <v/>
      </c>
      <c r="P5355">
        <f>IF(N5355&gt;0,O5355/N5355,0)</f>
        <v/>
      </c>
      <c r="Q5355">
        <f>IF(C5355=1,P5355*$J$307,Assumptions!$B$41)</f>
        <v/>
      </c>
      <c r="R5355">
        <f>IF(D5355=1,P5355*$F$307,Assumptions!$B$33)</f>
        <v/>
      </c>
      <c r="S5355">
        <f>IF(E5355=1,P5355*$G$307,Assumptions!$B$32)</f>
        <v/>
      </c>
      <c r="T5355">
        <f>IF(F5355=1,P5355*Assumptions!$B$14,Assumptions!$B$31)</f>
        <v/>
      </c>
      <c r="U5355">
        <f>IF(G5355=1,P5355*Assumptions!$B$13,Assumptions!$B$30)</f>
        <v/>
      </c>
      <c r="V5355">
        <f>IF(H5355=1,P5355*Assumptions!$B$12,Assumptions!$B$29)</f>
        <v/>
      </c>
      <c r="W5355">
        <f>IF(I5355=1,P5355*Assumptions!$B$11,Assumptions!$B$28)</f>
        <v/>
      </c>
      <c r="X5355">
        <f>P5355*($O$307+$S$307)</f>
        <v/>
      </c>
      <c r="Y5355">
        <f>P5355*Assumptions!$B$9</f>
        <v/>
      </c>
      <c r="Z5355">
        <f>IF(M5355=1,(P5355-Assumptions!$B$37)*Assumptions!$B$153,0)</f>
        <v/>
      </c>
      <c r="AA5355">
        <f>Q5355+R5355+S5355+T5355+U5355+V5355+W5355+X5355+Y5355+Z5355</f>
        <v/>
      </c>
      <c r="AB5355" t="n">
        <v>99</v>
      </c>
      <c r="AC5355" t="n">
        <v>35</v>
      </c>
      <c r="AD5355" t="n">
        <v>67</v>
      </c>
      <c r="AE5355" t="n">
        <v>115</v>
      </c>
      <c r="AF5355" t="n">
        <v>107</v>
      </c>
      <c r="AG5355" t="n">
        <v>103</v>
      </c>
      <c r="AH5355" t="n">
        <v>97</v>
      </c>
      <c r="AI5355" t="n">
        <v>98</v>
      </c>
      <c r="AJ5355">
        <f>INDEX($Q$5256:$Q$5383,AC5355+1)</f>
        <v/>
      </c>
      <c r="AK5355">
        <f>INDEX($R$5256:$R$5383,AD5355+1)</f>
        <v/>
      </c>
      <c r="AL5355">
        <f>INDEX($S$5256:$S$5383,AE5355+1)</f>
        <v/>
      </c>
      <c r="AM5355">
        <f>INDEX($T$5256:$T$5383,AF5355+1)</f>
        <v/>
      </c>
      <c r="AN5355">
        <f>INDEX($U$5256:$U$5383,AG5355+1)</f>
        <v/>
      </c>
      <c r="AO5355">
        <f>INDEX($V$5256:$V$5383,AH5355+1)</f>
        <v/>
      </c>
      <c r="AP5355">
        <f>INDEX($W$5256:$W$5383,AI5355+1)</f>
        <v/>
      </c>
      <c r="AQ5355">
        <f>IF(Q5355&gt;=AJ5355-0.01,1,0)</f>
        <v/>
      </c>
      <c r="AR5355">
        <f>IF(R5355&gt;=AK5355-0.01,1,0)</f>
        <v/>
      </c>
      <c r="AS5355">
        <f>IF(S5355&gt;=AL5355-0.01,1,0)</f>
        <v/>
      </c>
      <c r="AT5355">
        <f>IF(T5355&gt;=AM5355-0.01,1,0)</f>
        <v/>
      </c>
      <c r="AU5355">
        <f>IF(U5355&gt;=AN5355-0.01,1,0)</f>
        <v/>
      </c>
      <c r="AV5355">
        <f>IF(V5355&gt;=AO5355-0.01,1,0)</f>
        <v/>
      </c>
      <c r="AW5355">
        <f>IF(W5355&gt;=AP5355-0.01,1,0)</f>
        <v/>
      </c>
      <c r="AX5355">
        <f>AQ5355*AR5355*AS5355*AT5355*AU5355*AV5355*AW5355</f>
        <v/>
      </c>
    </row>
    <row r="5356">
      <c r="A5356" t="inlineStr"/>
      <c r="B5356">
        <f>Assumptions!$B$60</f>
        <v/>
      </c>
      <c r="C5356" t="n">
        <v>1</v>
      </c>
      <c r="D5356" t="n">
        <v>1</v>
      </c>
      <c r="E5356" t="n">
        <v>0</v>
      </c>
      <c r="F5356" t="n">
        <v>0</v>
      </c>
      <c r="G5356" t="n">
        <v>1</v>
      </c>
      <c r="H5356" t="n">
        <v>0</v>
      </c>
      <c r="I5356" t="n">
        <v>0</v>
      </c>
      <c r="J5356">
        <f>(1-C5356)*Assumptions!$B$41+(1-D5356)*Assumptions!$B$33+(1-E5356)*Assumptions!$B$32+(1-F5356)*Assumptions!$B$31+(1-G5356)*Assumptions!$B$30+(1-H5356)*Assumptions!$B$29+(1-I5356)*Assumptions!$B$28</f>
        <v/>
      </c>
      <c r="K5356">
        <f>C5356*$J$307+D5356*$F$307+E5356*$G$307+F5356*Assumptions!$B$14+G5356*Assumptions!$B$13+H5356*Assumptions!$B$12+I5356*Assumptions!$B$11+$O$307+$S$307+Assumptions!$B$9</f>
        <v/>
      </c>
      <c r="L5356">
        <f>B5356-J5356</f>
        <v/>
      </c>
      <c r="M5356">
        <f>IF(K5356&gt;0,IF(L5356/K5356&gt;=Assumptions!$B$37,1,0),0)</f>
        <v/>
      </c>
      <c r="N5356">
        <f>K5356+M5356*Assumptions!$B$153</f>
        <v/>
      </c>
      <c r="O5356">
        <f>L5356+M5356*Assumptions!$B$153*Assumptions!$B$37</f>
        <v/>
      </c>
      <c r="P5356">
        <f>IF(N5356&gt;0,O5356/N5356,0)</f>
        <v/>
      </c>
      <c r="Q5356">
        <f>IF(C5356=1,P5356*$J$307,Assumptions!$B$41)</f>
        <v/>
      </c>
      <c r="R5356">
        <f>IF(D5356=1,P5356*$F$307,Assumptions!$B$33)</f>
        <v/>
      </c>
      <c r="S5356">
        <f>IF(E5356=1,P5356*$G$307,Assumptions!$B$32)</f>
        <v/>
      </c>
      <c r="T5356">
        <f>IF(F5356=1,P5356*Assumptions!$B$14,Assumptions!$B$31)</f>
        <v/>
      </c>
      <c r="U5356">
        <f>IF(G5356=1,P5356*Assumptions!$B$13,Assumptions!$B$30)</f>
        <v/>
      </c>
      <c r="V5356">
        <f>IF(H5356=1,P5356*Assumptions!$B$12,Assumptions!$B$29)</f>
        <v/>
      </c>
      <c r="W5356">
        <f>IF(I5356=1,P5356*Assumptions!$B$11,Assumptions!$B$28)</f>
        <v/>
      </c>
      <c r="X5356">
        <f>P5356*($O$307+$S$307)</f>
        <v/>
      </c>
      <c r="Y5356">
        <f>P5356*Assumptions!$B$9</f>
        <v/>
      </c>
      <c r="Z5356">
        <f>IF(M5356=1,(P5356-Assumptions!$B$37)*Assumptions!$B$153,0)</f>
        <v/>
      </c>
      <c r="AA5356">
        <f>Q5356+R5356+S5356+T5356+U5356+V5356+W5356+X5356+Y5356+Z5356</f>
        <v/>
      </c>
      <c r="AB5356" t="n">
        <v>100</v>
      </c>
      <c r="AC5356" t="n">
        <v>36</v>
      </c>
      <c r="AD5356" t="n">
        <v>68</v>
      </c>
      <c r="AE5356" t="n">
        <v>116</v>
      </c>
      <c r="AF5356" t="n">
        <v>108</v>
      </c>
      <c r="AG5356" t="n">
        <v>96</v>
      </c>
      <c r="AH5356" t="n">
        <v>102</v>
      </c>
      <c r="AI5356" t="n">
        <v>101</v>
      </c>
      <c r="AJ5356">
        <f>INDEX($Q$5256:$Q$5383,AC5356+1)</f>
        <v/>
      </c>
      <c r="AK5356">
        <f>INDEX($R$5256:$R$5383,AD5356+1)</f>
        <v/>
      </c>
      <c r="AL5356">
        <f>INDEX($S$5256:$S$5383,AE5356+1)</f>
        <v/>
      </c>
      <c r="AM5356">
        <f>INDEX($T$5256:$T$5383,AF5356+1)</f>
        <v/>
      </c>
      <c r="AN5356">
        <f>INDEX($U$5256:$U$5383,AG5356+1)</f>
        <v/>
      </c>
      <c r="AO5356">
        <f>INDEX($V$5256:$V$5383,AH5356+1)</f>
        <v/>
      </c>
      <c r="AP5356">
        <f>INDEX($W$5256:$W$5383,AI5356+1)</f>
        <v/>
      </c>
      <c r="AQ5356">
        <f>IF(Q5356&gt;=AJ5356-0.01,1,0)</f>
        <v/>
      </c>
      <c r="AR5356">
        <f>IF(R5356&gt;=AK5356-0.01,1,0)</f>
        <v/>
      </c>
      <c r="AS5356">
        <f>IF(S5356&gt;=AL5356-0.01,1,0)</f>
        <v/>
      </c>
      <c r="AT5356">
        <f>IF(T5356&gt;=AM5356-0.01,1,0)</f>
        <v/>
      </c>
      <c r="AU5356">
        <f>IF(U5356&gt;=AN5356-0.01,1,0)</f>
        <v/>
      </c>
      <c r="AV5356">
        <f>IF(V5356&gt;=AO5356-0.01,1,0)</f>
        <v/>
      </c>
      <c r="AW5356">
        <f>IF(W5356&gt;=AP5356-0.01,1,0)</f>
        <v/>
      </c>
      <c r="AX5356">
        <f>AQ5356*AR5356*AS5356*AT5356*AU5356*AV5356*AW5356</f>
        <v/>
      </c>
    </row>
    <row r="5357">
      <c r="A5357" t="inlineStr"/>
      <c r="B5357">
        <f>Assumptions!$B$60</f>
        <v/>
      </c>
      <c r="C5357" t="n">
        <v>1</v>
      </c>
      <c r="D5357" t="n">
        <v>1</v>
      </c>
      <c r="E5357" t="n">
        <v>0</v>
      </c>
      <c r="F5357" t="n">
        <v>0</v>
      </c>
      <c r="G5357" t="n">
        <v>1</v>
      </c>
      <c r="H5357" t="n">
        <v>0</v>
      </c>
      <c r="I5357" t="n">
        <v>1</v>
      </c>
      <c r="J5357">
        <f>(1-C5357)*Assumptions!$B$41+(1-D5357)*Assumptions!$B$33+(1-E5357)*Assumptions!$B$32+(1-F5357)*Assumptions!$B$31+(1-G5357)*Assumptions!$B$30+(1-H5357)*Assumptions!$B$29+(1-I5357)*Assumptions!$B$28</f>
        <v/>
      </c>
      <c r="K5357">
        <f>C5357*$J$307+D5357*$F$307+E5357*$G$307+F5357*Assumptions!$B$14+G5357*Assumptions!$B$13+H5357*Assumptions!$B$12+I5357*Assumptions!$B$11+$O$307+$S$307+Assumptions!$B$9</f>
        <v/>
      </c>
      <c r="L5357">
        <f>B5357-J5357</f>
        <v/>
      </c>
      <c r="M5357">
        <f>IF(K5357&gt;0,IF(L5357/K5357&gt;=Assumptions!$B$37,1,0),0)</f>
        <v/>
      </c>
      <c r="N5357">
        <f>K5357+M5357*Assumptions!$B$153</f>
        <v/>
      </c>
      <c r="O5357">
        <f>L5357+M5357*Assumptions!$B$153*Assumptions!$B$37</f>
        <v/>
      </c>
      <c r="P5357">
        <f>IF(N5357&gt;0,O5357/N5357,0)</f>
        <v/>
      </c>
      <c r="Q5357">
        <f>IF(C5357=1,P5357*$J$307,Assumptions!$B$41)</f>
        <v/>
      </c>
      <c r="R5357">
        <f>IF(D5357=1,P5357*$F$307,Assumptions!$B$33)</f>
        <v/>
      </c>
      <c r="S5357">
        <f>IF(E5357=1,P5357*$G$307,Assumptions!$B$32)</f>
        <v/>
      </c>
      <c r="T5357">
        <f>IF(F5357=1,P5357*Assumptions!$B$14,Assumptions!$B$31)</f>
        <v/>
      </c>
      <c r="U5357">
        <f>IF(G5357=1,P5357*Assumptions!$B$13,Assumptions!$B$30)</f>
        <v/>
      </c>
      <c r="V5357">
        <f>IF(H5357=1,P5357*Assumptions!$B$12,Assumptions!$B$29)</f>
        <v/>
      </c>
      <c r="W5357">
        <f>IF(I5357=1,P5357*Assumptions!$B$11,Assumptions!$B$28)</f>
        <v/>
      </c>
      <c r="X5357">
        <f>P5357*($O$307+$S$307)</f>
        <v/>
      </c>
      <c r="Y5357">
        <f>P5357*Assumptions!$B$9</f>
        <v/>
      </c>
      <c r="Z5357">
        <f>IF(M5357=1,(P5357-Assumptions!$B$37)*Assumptions!$B$153,0)</f>
        <v/>
      </c>
      <c r="AA5357">
        <f>Q5357+R5357+S5357+T5357+U5357+V5357+W5357+X5357+Y5357+Z5357</f>
        <v/>
      </c>
      <c r="AB5357" t="n">
        <v>101</v>
      </c>
      <c r="AC5357" t="n">
        <v>37</v>
      </c>
      <c r="AD5357" t="n">
        <v>69</v>
      </c>
      <c r="AE5357" t="n">
        <v>117</v>
      </c>
      <c r="AF5357" t="n">
        <v>109</v>
      </c>
      <c r="AG5357" t="n">
        <v>97</v>
      </c>
      <c r="AH5357" t="n">
        <v>103</v>
      </c>
      <c r="AI5357" t="n">
        <v>100</v>
      </c>
      <c r="AJ5357">
        <f>INDEX($Q$5256:$Q$5383,AC5357+1)</f>
        <v/>
      </c>
      <c r="AK5357">
        <f>INDEX($R$5256:$R$5383,AD5357+1)</f>
        <v/>
      </c>
      <c r="AL5357">
        <f>INDEX($S$5256:$S$5383,AE5357+1)</f>
        <v/>
      </c>
      <c r="AM5357">
        <f>INDEX($T$5256:$T$5383,AF5357+1)</f>
        <v/>
      </c>
      <c r="AN5357">
        <f>INDEX($U$5256:$U$5383,AG5357+1)</f>
        <v/>
      </c>
      <c r="AO5357">
        <f>INDEX($V$5256:$V$5383,AH5357+1)</f>
        <v/>
      </c>
      <c r="AP5357">
        <f>INDEX($W$5256:$W$5383,AI5357+1)</f>
        <v/>
      </c>
      <c r="AQ5357">
        <f>IF(Q5357&gt;=AJ5357-0.01,1,0)</f>
        <v/>
      </c>
      <c r="AR5357">
        <f>IF(R5357&gt;=AK5357-0.01,1,0)</f>
        <v/>
      </c>
      <c r="AS5357">
        <f>IF(S5357&gt;=AL5357-0.01,1,0)</f>
        <v/>
      </c>
      <c r="AT5357">
        <f>IF(T5357&gt;=AM5357-0.01,1,0)</f>
        <v/>
      </c>
      <c r="AU5357">
        <f>IF(U5357&gt;=AN5357-0.01,1,0)</f>
        <v/>
      </c>
      <c r="AV5357">
        <f>IF(V5357&gt;=AO5357-0.01,1,0)</f>
        <v/>
      </c>
      <c r="AW5357">
        <f>IF(W5357&gt;=AP5357-0.01,1,0)</f>
        <v/>
      </c>
      <c r="AX5357">
        <f>AQ5357*AR5357*AS5357*AT5357*AU5357*AV5357*AW5357</f>
        <v/>
      </c>
    </row>
    <row r="5358">
      <c r="A5358" t="inlineStr"/>
      <c r="B5358">
        <f>Assumptions!$B$60</f>
        <v/>
      </c>
      <c r="C5358" t="n">
        <v>1</v>
      </c>
      <c r="D5358" t="n">
        <v>1</v>
      </c>
      <c r="E5358" t="n">
        <v>0</v>
      </c>
      <c r="F5358" t="n">
        <v>0</v>
      </c>
      <c r="G5358" t="n">
        <v>1</v>
      </c>
      <c r="H5358" t="n">
        <v>1</v>
      </c>
      <c r="I5358" t="n">
        <v>0</v>
      </c>
      <c r="J5358">
        <f>(1-C5358)*Assumptions!$B$41+(1-D5358)*Assumptions!$B$33+(1-E5358)*Assumptions!$B$32+(1-F5358)*Assumptions!$B$31+(1-G5358)*Assumptions!$B$30+(1-H5358)*Assumptions!$B$29+(1-I5358)*Assumptions!$B$28</f>
        <v/>
      </c>
      <c r="K5358">
        <f>C5358*$J$307+D5358*$F$307+E5358*$G$307+F5358*Assumptions!$B$14+G5358*Assumptions!$B$13+H5358*Assumptions!$B$12+I5358*Assumptions!$B$11+$O$307+$S$307+Assumptions!$B$9</f>
        <v/>
      </c>
      <c r="L5358">
        <f>B5358-J5358</f>
        <v/>
      </c>
      <c r="M5358">
        <f>IF(K5358&gt;0,IF(L5358/K5358&gt;=Assumptions!$B$37,1,0),0)</f>
        <v/>
      </c>
      <c r="N5358">
        <f>K5358+M5358*Assumptions!$B$153</f>
        <v/>
      </c>
      <c r="O5358">
        <f>L5358+M5358*Assumptions!$B$153*Assumptions!$B$37</f>
        <v/>
      </c>
      <c r="P5358">
        <f>IF(N5358&gt;0,O5358/N5358,0)</f>
        <v/>
      </c>
      <c r="Q5358">
        <f>IF(C5358=1,P5358*$J$307,Assumptions!$B$41)</f>
        <v/>
      </c>
      <c r="R5358">
        <f>IF(D5358=1,P5358*$F$307,Assumptions!$B$33)</f>
        <v/>
      </c>
      <c r="S5358">
        <f>IF(E5358=1,P5358*$G$307,Assumptions!$B$32)</f>
        <v/>
      </c>
      <c r="T5358">
        <f>IF(F5358=1,P5358*Assumptions!$B$14,Assumptions!$B$31)</f>
        <v/>
      </c>
      <c r="U5358">
        <f>IF(G5358=1,P5358*Assumptions!$B$13,Assumptions!$B$30)</f>
        <v/>
      </c>
      <c r="V5358">
        <f>IF(H5358=1,P5358*Assumptions!$B$12,Assumptions!$B$29)</f>
        <v/>
      </c>
      <c r="W5358">
        <f>IF(I5358=1,P5358*Assumptions!$B$11,Assumptions!$B$28)</f>
        <v/>
      </c>
      <c r="X5358">
        <f>P5358*($O$307+$S$307)</f>
        <v/>
      </c>
      <c r="Y5358">
        <f>P5358*Assumptions!$B$9</f>
        <v/>
      </c>
      <c r="Z5358">
        <f>IF(M5358=1,(P5358-Assumptions!$B$37)*Assumptions!$B$153,0)</f>
        <v/>
      </c>
      <c r="AA5358">
        <f>Q5358+R5358+S5358+T5358+U5358+V5358+W5358+X5358+Y5358+Z5358</f>
        <v/>
      </c>
      <c r="AB5358" t="n">
        <v>102</v>
      </c>
      <c r="AC5358" t="n">
        <v>38</v>
      </c>
      <c r="AD5358" t="n">
        <v>70</v>
      </c>
      <c r="AE5358" t="n">
        <v>118</v>
      </c>
      <c r="AF5358" t="n">
        <v>110</v>
      </c>
      <c r="AG5358" t="n">
        <v>98</v>
      </c>
      <c r="AH5358" t="n">
        <v>100</v>
      </c>
      <c r="AI5358" t="n">
        <v>103</v>
      </c>
      <c r="AJ5358">
        <f>INDEX($Q$5256:$Q$5383,AC5358+1)</f>
        <v/>
      </c>
      <c r="AK5358">
        <f>INDEX($R$5256:$R$5383,AD5358+1)</f>
        <v/>
      </c>
      <c r="AL5358">
        <f>INDEX($S$5256:$S$5383,AE5358+1)</f>
        <v/>
      </c>
      <c r="AM5358">
        <f>INDEX($T$5256:$T$5383,AF5358+1)</f>
        <v/>
      </c>
      <c r="AN5358">
        <f>INDEX($U$5256:$U$5383,AG5358+1)</f>
        <v/>
      </c>
      <c r="AO5358">
        <f>INDEX($V$5256:$V$5383,AH5358+1)</f>
        <v/>
      </c>
      <c r="AP5358">
        <f>INDEX($W$5256:$W$5383,AI5358+1)</f>
        <v/>
      </c>
      <c r="AQ5358">
        <f>IF(Q5358&gt;=AJ5358-0.01,1,0)</f>
        <v/>
      </c>
      <c r="AR5358">
        <f>IF(R5358&gt;=AK5358-0.01,1,0)</f>
        <v/>
      </c>
      <c r="AS5358">
        <f>IF(S5358&gt;=AL5358-0.01,1,0)</f>
        <v/>
      </c>
      <c r="AT5358">
        <f>IF(T5358&gt;=AM5358-0.01,1,0)</f>
        <v/>
      </c>
      <c r="AU5358">
        <f>IF(U5358&gt;=AN5358-0.01,1,0)</f>
        <v/>
      </c>
      <c r="AV5358">
        <f>IF(V5358&gt;=AO5358-0.01,1,0)</f>
        <v/>
      </c>
      <c r="AW5358">
        <f>IF(W5358&gt;=AP5358-0.01,1,0)</f>
        <v/>
      </c>
      <c r="AX5358">
        <f>AQ5358*AR5358*AS5358*AT5358*AU5358*AV5358*AW5358</f>
        <v/>
      </c>
    </row>
    <row r="5359">
      <c r="A5359" t="inlineStr"/>
      <c r="B5359">
        <f>Assumptions!$B$60</f>
        <v/>
      </c>
      <c r="C5359" t="n">
        <v>1</v>
      </c>
      <c r="D5359" t="n">
        <v>1</v>
      </c>
      <c r="E5359" t="n">
        <v>0</v>
      </c>
      <c r="F5359" t="n">
        <v>0</v>
      </c>
      <c r="G5359" t="n">
        <v>1</v>
      </c>
      <c r="H5359" t="n">
        <v>1</v>
      </c>
      <c r="I5359" t="n">
        <v>1</v>
      </c>
      <c r="J5359">
        <f>(1-C5359)*Assumptions!$B$41+(1-D5359)*Assumptions!$B$33+(1-E5359)*Assumptions!$B$32+(1-F5359)*Assumptions!$B$31+(1-G5359)*Assumptions!$B$30+(1-H5359)*Assumptions!$B$29+(1-I5359)*Assumptions!$B$28</f>
        <v/>
      </c>
      <c r="K5359">
        <f>C5359*$J$307+D5359*$F$307+E5359*$G$307+F5359*Assumptions!$B$14+G5359*Assumptions!$B$13+H5359*Assumptions!$B$12+I5359*Assumptions!$B$11+$O$307+$S$307+Assumptions!$B$9</f>
        <v/>
      </c>
      <c r="L5359">
        <f>B5359-J5359</f>
        <v/>
      </c>
      <c r="M5359">
        <f>IF(K5359&gt;0,IF(L5359/K5359&gt;=Assumptions!$B$37,1,0),0)</f>
        <v/>
      </c>
      <c r="N5359">
        <f>K5359+M5359*Assumptions!$B$153</f>
        <v/>
      </c>
      <c r="O5359">
        <f>L5359+M5359*Assumptions!$B$153*Assumptions!$B$37</f>
        <v/>
      </c>
      <c r="P5359">
        <f>IF(N5359&gt;0,O5359/N5359,0)</f>
        <v/>
      </c>
      <c r="Q5359">
        <f>IF(C5359=1,P5359*$J$307,Assumptions!$B$41)</f>
        <v/>
      </c>
      <c r="R5359">
        <f>IF(D5359=1,P5359*$F$307,Assumptions!$B$33)</f>
        <v/>
      </c>
      <c r="S5359">
        <f>IF(E5359=1,P5359*$G$307,Assumptions!$B$32)</f>
        <v/>
      </c>
      <c r="T5359">
        <f>IF(F5359=1,P5359*Assumptions!$B$14,Assumptions!$B$31)</f>
        <v/>
      </c>
      <c r="U5359">
        <f>IF(G5359=1,P5359*Assumptions!$B$13,Assumptions!$B$30)</f>
        <v/>
      </c>
      <c r="V5359">
        <f>IF(H5359=1,P5359*Assumptions!$B$12,Assumptions!$B$29)</f>
        <v/>
      </c>
      <c r="W5359">
        <f>IF(I5359=1,P5359*Assumptions!$B$11,Assumptions!$B$28)</f>
        <v/>
      </c>
      <c r="X5359">
        <f>P5359*($O$307+$S$307)</f>
        <v/>
      </c>
      <c r="Y5359">
        <f>P5359*Assumptions!$B$9</f>
        <v/>
      </c>
      <c r="Z5359">
        <f>IF(M5359=1,(P5359-Assumptions!$B$37)*Assumptions!$B$153,0)</f>
        <v/>
      </c>
      <c r="AA5359">
        <f>Q5359+R5359+S5359+T5359+U5359+V5359+W5359+X5359+Y5359+Z5359</f>
        <v/>
      </c>
      <c r="AB5359" t="n">
        <v>103</v>
      </c>
      <c r="AC5359" t="n">
        <v>39</v>
      </c>
      <c r="AD5359" t="n">
        <v>71</v>
      </c>
      <c r="AE5359" t="n">
        <v>119</v>
      </c>
      <c r="AF5359" t="n">
        <v>111</v>
      </c>
      <c r="AG5359" t="n">
        <v>99</v>
      </c>
      <c r="AH5359" t="n">
        <v>101</v>
      </c>
      <c r="AI5359" t="n">
        <v>102</v>
      </c>
      <c r="AJ5359">
        <f>INDEX($Q$5256:$Q$5383,AC5359+1)</f>
        <v/>
      </c>
      <c r="AK5359">
        <f>INDEX($R$5256:$R$5383,AD5359+1)</f>
        <v/>
      </c>
      <c r="AL5359">
        <f>INDEX($S$5256:$S$5383,AE5359+1)</f>
        <v/>
      </c>
      <c r="AM5359">
        <f>INDEX($T$5256:$T$5383,AF5359+1)</f>
        <v/>
      </c>
      <c r="AN5359">
        <f>INDEX($U$5256:$U$5383,AG5359+1)</f>
        <v/>
      </c>
      <c r="AO5359">
        <f>INDEX($V$5256:$V$5383,AH5359+1)</f>
        <v/>
      </c>
      <c r="AP5359">
        <f>INDEX($W$5256:$W$5383,AI5359+1)</f>
        <v/>
      </c>
      <c r="AQ5359">
        <f>IF(Q5359&gt;=AJ5359-0.01,1,0)</f>
        <v/>
      </c>
      <c r="AR5359">
        <f>IF(R5359&gt;=AK5359-0.01,1,0)</f>
        <v/>
      </c>
      <c r="AS5359">
        <f>IF(S5359&gt;=AL5359-0.01,1,0)</f>
        <v/>
      </c>
      <c r="AT5359">
        <f>IF(T5359&gt;=AM5359-0.01,1,0)</f>
        <v/>
      </c>
      <c r="AU5359">
        <f>IF(U5359&gt;=AN5359-0.01,1,0)</f>
        <v/>
      </c>
      <c r="AV5359">
        <f>IF(V5359&gt;=AO5359-0.01,1,0)</f>
        <v/>
      </c>
      <c r="AW5359">
        <f>IF(W5359&gt;=AP5359-0.01,1,0)</f>
        <v/>
      </c>
      <c r="AX5359">
        <f>AQ5359*AR5359*AS5359*AT5359*AU5359*AV5359*AW5359</f>
        <v/>
      </c>
    </row>
    <row r="5360">
      <c r="A5360" t="inlineStr"/>
      <c r="B5360">
        <f>Assumptions!$B$60</f>
        <v/>
      </c>
      <c r="C5360" t="n">
        <v>1</v>
      </c>
      <c r="D5360" t="n">
        <v>1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>
        <f>(1-C5360)*Assumptions!$B$41+(1-D5360)*Assumptions!$B$33+(1-E5360)*Assumptions!$B$32+(1-F5360)*Assumptions!$B$31+(1-G5360)*Assumptions!$B$30+(1-H5360)*Assumptions!$B$29+(1-I5360)*Assumptions!$B$28</f>
        <v/>
      </c>
      <c r="K5360">
        <f>C5360*$J$307+D5360*$F$307+E5360*$G$307+F5360*Assumptions!$B$14+G5360*Assumptions!$B$13+H5360*Assumptions!$B$12+I5360*Assumptions!$B$11+$O$307+$S$307+Assumptions!$B$9</f>
        <v/>
      </c>
      <c r="L5360">
        <f>B5360-J5360</f>
        <v/>
      </c>
      <c r="M5360">
        <f>IF(K5360&gt;0,IF(L5360/K5360&gt;=Assumptions!$B$37,1,0),0)</f>
        <v/>
      </c>
      <c r="N5360">
        <f>K5360+M5360*Assumptions!$B$153</f>
        <v/>
      </c>
      <c r="O5360">
        <f>L5360+M5360*Assumptions!$B$153*Assumptions!$B$37</f>
        <v/>
      </c>
      <c r="P5360">
        <f>IF(N5360&gt;0,O5360/N5360,0)</f>
        <v/>
      </c>
      <c r="Q5360">
        <f>IF(C5360=1,P5360*$J$307,Assumptions!$B$41)</f>
        <v/>
      </c>
      <c r="R5360">
        <f>IF(D5360=1,P5360*$F$307,Assumptions!$B$33)</f>
        <v/>
      </c>
      <c r="S5360">
        <f>IF(E5360=1,P5360*$G$307,Assumptions!$B$32)</f>
        <v/>
      </c>
      <c r="T5360">
        <f>IF(F5360=1,P5360*Assumptions!$B$14,Assumptions!$B$31)</f>
        <v/>
      </c>
      <c r="U5360">
        <f>IF(G5360=1,P5360*Assumptions!$B$13,Assumptions!$B$30)</f>
        <v/>
      </c>
      <c r="V5360">
        <f>IF(H5360=1,P5360*Assumptions!$B$12,Assumptions!$B$29)</f>
        <v/>
      </c>
      <c r="W5360">
        <f>IF(I5360=1,P5360*Assumptions!$B$11,Assumptions!$B$28)</f>
        <v/>
      </c>
      <c r="X5360">
        <f>P5360*($O$307+$S$307)</f>
        <v/>
      </c>
      <c r="Y5360">
        <f>P5360*Assumptions!$B$9</f>
        <v/>
      </c>
      <c r="Z5360">
        <f>IF(M5360=1,(P5360-Assumptions!$B$37)*Assumptions!$B$153,0)</f>
        <v/>
      </c>
      <c r="AA5360">
        <f>Q5360+R5360+S5360+T5360+U5360+V5360+W5360+X5360+Y5360+Z5360</f>
        <v/>
      </c>
      <c r="AB5360" t="n">
        <v>104</v>
      </c>
      <c r="AC5360" t="n">
        <v>40</v>
      </c>
      <c r="AD5360" t="n">
        <v>72</v>
      </c>
      <c r="AE5360" t="n">
        <v>120</v>
      </c>
      <c r="AF5360" t="n">
        <v>96</v>
      </c>
      <c r="AG5360" t="n">
        <v>108</v>
      </c>
      <c r="AH5360" t="n">
        <v>106</v>
      </c>
      <c r="AI5360" t="n">
        <v>105</v>
      </c>
      <c r="AJ5360">
        <f>INDEX($Q$5256:$Q$5383,AC5360+1)</f>
        <v/>
      </c>
      <c r="AK5360">
        <f>INDEX($R$5256:$R$5383,AD5360+1)</f>
        <v/>
      </c>
      <c r="AL5360">
        <f>INDEX($S$5256:$S$5383,AE5360+1)</f>
        <v/>
      </c>
      <c r="AM5360">
        <f>INDEX($T$5256:$T$5383,AF5360+1)</f>
        <v/>
      </c>
      <c r="AN5360">
        <f>INDEX($U$5256:$U$5383,AG5360+1)</f>
        <v/>
      </c>
      <c r="AO5360">
        <f>INDEX($V$5256:$V$5383,AH5360+1)</f>
        <v/>
      </c>
      <c r="AP5360">
        <f>INDEX($W$5256:$W$5383,AI5360+1)</f>
        <v/>
      </c>
      <c r="AQ5360">
        <f>IF(Q5360&gt;=AJ5360-0.01,1,0)</f>
        <v/>
      </c>
      <c r="AR5360">
        <f>IF(R5360&gt;=AK5360-0.01,1,0)</f>
        <v/>
      </c>
      <c r="AS5360">
        <f>IF(S5360&gt;=AL5360-0.01,1,0)</f>
        <v/>
      </c>
      <c r="AT5360">
        <f>IF(T5360&gt;=AM5360-0.01,1,0)</f>
        <v/>
      </c>
      <c r="AU5360">
        <f>IF(U5360&gt;=AN5360-0.01,1,0)</f>
        <v/>
      </c>
      <c r="AV5360">
        <f>IF(V5360&gt;=AO5360-0.01,1,0)</f>
        <v/>
      </c>
      <c r="AW5360">
        <f>IF(W5360&gt;=AP5360-0.01,1,0)</f>
        <v/>
      </c>
      <c r="AX5360">
        <f>AQ5360*AR5360*AS5360*AT5360*AU5360*AV5360*AW5360</f>
        <v/>
      </c>
    </row>
    <row r="5361">
      <c r="A5361" t="inlineStr"/>
      <c r="B5361">
        <f>Assumptions!$B$60</f>
        <v/>
      </c>
      <c r="C5361" t="n">
        <v>1</v>
      </c>
      <c r="D5361" t="n">
        <v>1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>
        <f>(1-C5361)*Assumptions!$B$41+(1-D5361)*Assumptions!$B$33+(1-E5361)*Assumptions!$B$32+(1-F5361)*Assumptions!$B$31+(1-G5361)*Assumptions!$B$30+(1-H5361)*Assumptions!$B$29+(1-I5361)*Assumptions!$B$28</f>
        <v/>
      </c>
      <c r="K5361">
        <f>C5361*$J$307+D5361*$F$307+E5361*$G$307+F5361*Assumptions!$B$14+G5361*Assumptions!$B$13+H5361*Assumptions!$B$12+I5361*Assumptions!$B$11+$O$307+$S$307+Assumptions!$B$9</f>
        <v/>
      </c>
      <c r="L5361">
        <f>B5361-J5361</f>
        <v/>
      </c>
      <c r="M5361">
        <f>IF(K5361&gt;0,IF(L5361/K5361&gt;=Assumptions!$B$37,1,0),0)</f>
        <v/>
      </c>
      <c r="N5361">
        <f>K5361+M5361*Assumptions!$B$153</f>
        <v/>
      </c>
      <c r="O5361">
        <f>L5361+M5361*Assumptions!$B$153*Assumptions!$B$37</f>
        <v/>
      </c>
      <c r="P5361">
        <f>IF(N5361&gt;0,O5361/N5361,0)</f>
        <v/>
      </c>
      <c r="Q5361">
        <f>IF(C5361=1,P5361*$J$307,Assumptions!$B$41)</f>
        <v/>
      </c>
      <c r="R5361">
        <f>IF(D5361=1,P5361*$F$307,Assumptions!$B$33)</f>
        <v/>
      </c>
      <c r="S5361">
        <f>IF(E5361=1,P5361*$G$307,Assumptions!$B$32)</f>
        <v/>
      </c>
      <c r="T5361">
        <f>IF(F5361=1,P5361*Assumptions!$B$14,Assumptions!$B$31)</f>
        <v/>
      </c>
      <c r="U5361">
        <f>IF(G5361=1,P5361*Assumptions!$B$13,Assumptions!$B$30)</f>
        <v/>
      </c>
      <c r="V5361">
        <f>IF(H5361=1,P5361*Assumptions!$B$12,Assumptions!$B$29)</f>
        <v/>
      </c>
      <c r="W5361">
        <f>IF(I5361=1,P5361*Assumptions!$B$11,Assumptions!$B$28)</f>
        <v/>
      </c>
      <c r="X5361">
        <f>P5361*($O$307+$S$307)</f>
        <v/>
      </c>
      <c r="Y5361">
        <f>P5361*Assumptions!$B$9</f>
        <v/>
      </c>
      <c r="Z5361">
        <f>IF(M5361=1,(P5361-Assumptions!$B$37)*Assumptions!$B$153,0)</f>
        <v/>
      </c>
      <c r="AA5361">
        <f>Q5361+R5361+S5361+T5361+U5361+V5361+W5361+X5361+Y5361+Z5361</f>
        <v/>
      </c>
      <c r="AB5361" t="n">
        <v>105</v>
      </c>
      <c r="AC5361" t="n">
        <v>41</v>
      </c>
      <c r="AD5361" t="n">
        <v>73</v>
      </c>
      <c r="AE5361" t="n">
        <v>121</v>
      </c>
      <c r="AF5361" t="n">
        <v>97</v>
      </c>
      <c r="AG5361" t="n">
        <v>109</v>
      </c>
      <c r="AH5361" t="n">
        <v>107</v>
      </c>
      <c r="AI5361" t="n">
        <v>104</v>
      </c>
      <c r="AJ5361">
        <f>INDEX($Q$5256:$Q$5383,AC5361+1)</f>
        <v/>
      </c>
      <c r="AK5361">
        <f>INDEX($R$5256:$R$5383,AD5361+1)</f>
        <v/>
      </c>
      <c r="AL5361">
        <f>INDEX($S$5256:$S$5383,AE5361+1)</f>
        <v/>
      </c>
      <c r="AM5361">
        <f>INDEX($T$5256:$T$5383,AF5361+1)</f>
        <v/>
      </c>
      <c r="AN5361">
        <f>INDEX($U$5256:$U$5383,AG5361+1)</f>
        <v/>
      </c>
      <c r="AO5361">
        <f>INDEX($V$5256:$V$5383,AH5361+1)</f>
        <v/>
      </c>
      <c r="AP5361">
        <f>INDEX($W$5256:$W$5383,AI5361+1)</f>
        <v/>
      </c>
      <c r="AQ5361">
        <f>IF(Q5361&gt;=AJ5361-0.01,1,0)</f>
        <v/>
      </c>
      <c r="AR5361">
        <f>IF(R5361&gt;=AK5361-0.01,1,0)</f>
        <v/>
      </c>
      <c r="AS5361">
        <f>IF(S5361&gt;=AL5361-0.01,1,0)</f>
        <v/>
      </c>
      <c r="AT5361">
        <f>IF(T5361&gt;=AM5361-0.01,1,0)</f>
        <v/>
      </c>
      <c r="AU5361">
        <f>IF(U5361&gt;=AN5361-0.01,1,0)</f>
        <v/>
      </c>
      <c r="AV5361">
        <f>IF(V5361&gt;=AO5361-0.01,1,0)</f>
        <v/>
      </c>
      <c r="AW5361">
        <f>IF(W5361&gt;=AP5361-0.01,1,0)</f>
        <v/>
      </c>
      <c r="AX5361">
        <f>AQ5361*AR5361*AS5361*AT5361*AU5361*AV5361*AW5361</f>
        <v/>
      </c>
    </row>
    <row r="5362">
      <c r="A5362" t="inlineStr"/>
      <c r="B5362">
        <f>Assumptions!$B$60</f>
        <v/>
      </c>
      <c r="C5362" t="n">
        <v>1</v>
      </c>
      <c r="D5362" t="n">
        <v>1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>
        <f>(1-C5362)*Assumptions!$B$41+(1-D5362)*Assumptions!$B$33+(1-E5362)*Assumptions!$B$32+(1-F5362)*Assumptions!$B$31+(1-G5362)*Assumptions!$B$30+(1-H5362)*Assumptions!$B$29+(1-I5362)*Assumptions!$B$28</f>
        <v/>
      </c>
      <c r="K5362">
        <f>C5362*$J$307+D5362*$F$307+E5362*$G$307+F5362*Assumptions!$B$14+G5362*Assumptions!$B$13+H5362*Assumptions!$B$12+I5362*Assumptions!$B$11+$O$307+$S$307+Assumptions!$B$9</f>
        <v/>
      </c>
      <c r="L5362">
        <f>B5362-J5362</f>
        <v/>
      </c>
      <c r="M5362">
        <f>IF(K5362&gt;0,IF(L5362/K5362&gt;=Assumptions!$B$37,1,0),0)</f>
        <v/>
      </c>
      <c r="N5362">
        <f>K5362+M5362*Assumptions!$B$153</f>
        <v/>
      </c>
      <c r="O5362">
        <f>L5362+M5362*Assumptions!$B$153*Assumptions!$B$37</f>
        <v/>
      </c>
      <c r="P5362">
        <f>IF(N5362&gt;0,O5362/N5362,0)</f>
        <v/>
      </c>
      <c r="Q5362">
        <f>IF(C5362=1,P5362*$J$307,Assumptions!$B$41)</f>
        <v/>
      </c>
      <c r="R5362">
        <f>IF(D5362=1,P5362*$F$307,Assumptions!$B$33)</f>
        <v/>
      </c>
      <c r="S5362">
        <f>IF(E5362=1,P5362*$G$307,Assumptions!$B$32)</f>
        <v/>
      </c>
      <c r="T5362">
        <f>IF(F5362=1,P5362*Assumptions!$B$14,Assumptions!$B$31)</f>
        <v/>
      </c>
      <c r="U5362">
        <f>IF(G5362=1,P5362*Assumptions!$B$13,Assumptions!$B$30)</f>
        <v/>
      </c>
      <c r="V5362">
        <f>IF(H5362=1,P5362*Assumptions!$B$12,Assumptions!$B$29)</f>
        <v/>
      </c>
      <c r="W5362">
        <f>IF(I5362=1,P5362*Assumptions!$B$11,Assumptions!$B$28)</f>
        <v/>
      </c>
      <c r="X5362">
        <f>P5362*($O$307+$S$307)</f>
        <v/>
      </c>
      <c r="Y5362">
        <f>P5362*Assumptions!$B$9</f>
        <v/>
      </c>
      <c r="Z5362">
        <f>IF(M5362=1,(P5362-Assumptions!$B$37)*Assumptions!$B$153,0)</f>
        <v/>
      </c>
      <c r="AA5362">
        <f>Q5362+R5362+S5362+T5362+U5362+V5362+W5362+X5362+Y5362+Z5362</f>
        <v/>
      </c>
      <c r="AB5362" t="n">
        <v>106</v>
      </c>
      <c r="AC5362" t="n">
        <v>42</v>
      </c>
      <c r="AD5362" t="n">
        <v>74</v>
      </c>
      <c r="AE5362" t="n">
        <v>122</v>
      </c>
      <c r="AF5362" t="n">
        <v>98</v>
      </c>
      <c r="AG5362" t="n">
        <v>110</v>
      </c>
      <c r="AH5362" t="n">
        <v>104</v>
      </c>
      <c r="AI5362" t="n">
        <v>107</v>
      </c>
      <c r="AJ5362">
        <f>INDEX($Q$5256:$Q$5383,AC5362+1)</f>
        <v/>
      </c>
      <c r="AK5362">
        <f>INDEX($R$5256:$R$5383,AD5362+1)</f>
        <v/>
      </c>
      <c r="AL5362">
        <f>INDEX($S$5256:$S$5383,AE5362+1)</f>
        <v/>
      </c>
      <c r="AM5362">
        <f>INDEX($T$5256:$T$5383,AF5362+1)</f>
        <v/>
      </c>
      <c r="AN5362">
        <f>INDEX($U$5256:$U$5383,AG5362+1)</f>
        <v/>
      </c>
      <c r="AO5362">
        <f>INDEX($V$5256:$V$5383,AH5362+1)</f>
        <v/>
      </c>
      <c r="AP5362">
        <f>INDEX($W$5256:$W$5383,AI5362+1)</f>
        <v/>
      </c>
      <c r="AQ5362">
        <f>IF(Q5362&gt;=AJ5362-0.01,1,0)</f>
        <v/>
      </c>
      <c r="AR5362">
        <f>IF(R5362&gt;=AK5362-0.01,1,0)</f>
        <v/>
      </c>
      <c r="AS5362">
        <f>IF(S5362&gt;=AL5362-0.01,1,0)</f>
        <v/>
      </c>
      <c r="AT5362">
        <f>IF(T5362&gt;=AM5362-0.01,1,0)</f>
        <v/>
      </c>
      <c r="AU5362">
        <f>IF(U5362&gt;=AN5362-0.01,1,0)</f>
        <v/>
      </c>
      <c r="AV5362">
        <f>IF(V5362&gt;=AO5362-0.01,1,0)</f>
        <v/>
      </c>
      <c r="AW5362">
        <f>IF(W5362&gt;=AP5362-0.01,1,0)</f>
        <v/>
      </c>
      <c r="AX5362">
        <f>AQ5362*AR5362*AS5362*AT5362*AU5362*AV5362*AW5362</f>
        <v/>
      </c>
    </row>
    <row r="5363">
      <c r="A5363" t="inlineStr"/>
      <c r="B5363">
        <f>Assumptions!$B$60</f>
        <v/>
      </c>
      <c r="C5363" t="n">
        <v>1</v>
      </c>
      <c r="D5363" t="n">
        <v>1</v>
      </c>
      <c r="E5363" t="n">
        <v>0</v>
      </c>
      <c r="F5363" t="n">
        <v>1</v>
      </c>
      <c r="G5363" t="n">
        <v>0</v>
      </c>
      <c r="H5363" t="n">
        <v>1</v>
      </c>
      <c r="I5363" t="n">
        <v>1</v>
      </c>
      <c r="J5363">
        <f>(1-C5363)*Assumptions!$B$41+(1-D5363)*Assumptions!$B$33+(1-E5363)*Assumptions!$B$32+(1-F5363)*Assumptions!$B$31+(1-G5363)*Assumptions!$B$30+(1-H5363)*Assumptions!$B$29+(1-I5363)*Assumptions!$B$28</f>
        <v/>
      </c>
      <c r="K5363">
        <f>C5363*$J$307+D5363*$F$307+E5363*$G$307+F5363*Assumptions!$B$14+G5363*Assumptions!$B$13+H5363*Assumptions!$B$12+I5363*Assumptions!$B$11+$O$307+$S$307+Assumptions!$B$9</f>
        <v/>
      </c>
      <c r="L5363">
        <f>B5363-J5363</f>
        <v/>
      </c>
      <c r="M5363">
        <f>IF(K5363&gt;0,IF(L5363/K5363&gt;=Assumptions!$B$37,1,0),0)</f>
        <v/>
      </c>
      <c r="N5363">
        <f>K5363+M5363*Assumptions!$B$153</f>
        <v/>
      </c>
      <c r="O5363">
        <f>L5363+M5363*Assumptions!$B$153*Assumptions!$B$37</f>
        <v/>
      </c>
      <c r="P5363">
        <f>IF(N5363&gt;0,O5363/N5363,0)</f>
        <v/>
      </c>
      <c r="Q5363">
        <f>IF(C5363=1,P5363*$J$307,Assumptions!$B$41)</f>
        <v/>
      </c>
      <c r="R5363">
        <f>IF(D5363=1,P5363*$F$307,Assumptions!$B$33)</f>
        <v/>
      </c>
      <c r="S5363">
        <f>IF(E5363=1,P5363*$G$307,Assumptions!$B$32)</f>
        <v/>
      </c>
      <c r="T5363">
        <f>IF(F5363=1,P5363*Assumptions!$B$14,Assumptions!$B$31)</f>
        <v/>
      </c>
      <c r="U5363">
        <f>IF(G5363=1,P5363*Assumptions!$B$13,Assumptions!$B$30)</f>
        <v/>
      </c>
      <c r="V5363">
        <f>IF(H5363=1,P5363*Assumptions!$B$12,Assumptions!$B$29)</f>
        <v/>
      </c>
      <c r="W5363">
        <f>IF(I5363=1,P5363*Assumptions!$B$11,Assumptions!$B$28)</f>
        <v/>
      </c>
      <c r="X5363">
        <f>P5363*($O$307+$S$307)</f>
        <v/>
      </c>
      <c r="Y5363">
        <f>P5363*Assumptions!$B$9</f>
        <v/>
      </c>
      <c r="Z5363">
        <f>IF(M5363=1,(P5363-Assumptions!$B$37)*Assumptions!$B$153,0)</f>
        <v/>
      </c>
      <c r="AA5363">
        <f>Q5363+R5363+S5363+T5363+U5363+V5363+W5363+X5363+Y5363+Z5363</f>
        <v/>
      </c>
      <c r="AB5363" t="n">
        <v>107</v>
      </c>
      <c r="AC5363" t="n">
        <v>43</v>
      </c>
      <c r="AD5363" t="n">
        <v>75</v>
      </c>
      <c r="AE5363" t="n">
        <v>123</v>
      </c>
      <c r="AF5363" t="n">
        <v>99</v>
      </c>
      <c r="AG5363" t="n">
        <v>111</v>
      </c>
      <c r="AH5363" t="n">
        <v>105</v>
      </c>
      <c r="AI5363" t="n">
        <v>106</v>
      </c>
      <c r="AJ5363">
        <f>INDEX($Q$5256:$Q$5383,AC5363+1)</f>
        <v/>
      </c>
      <c r="AK5363">
        <f>INDEX($R$5256:$R$5383,AD5363+1)</f>
        <v/>
      </c>
      <c r="AL5363">
        <f>INDEX($S$5256:$S$5383,AE5363+1)</f>
        <v/>
      </c>
      <c r="AM5363">
        <f>INDEX($T$5256:$T$5383,AF5363+1)</f>
        <v/>
      </c>
      <c r="AN5363">
        <f>INDEX($U$5256:$U$5383,AG5363+1)</f>
        <v/>
      </c>
      <c r="AO5363">
        <f>INDEX($V$5256:$V$5383,AH5363+1)</f>
        <v/>
      </c>
      <c r="AP5363">
        <f>INDEX($W$5256:$W$5383,AI5363+1)</f>
        <v/>
      </c>
      <c r="AQ5363">
        <f>IF(Q5363&gt;=AJ5363-0.01,1,0)</f>
        <v/>
      </c>
      <c r="AR5363">
        <f>IF(R5363&gt;=AK5363-0.01,1,0)</f>
        <v/>
      </c>
      <c r="AS5363">
        <f>IF(S5363&gt;=AL5363-0.01,1,0)</f>
        <v/>
      </c>
      <c r="AT5363">
        <f>IF(T5363&gt;=AM5363-0.01,1,0)</f>
        <v/>
      </c>
      <c r="AU5363">
        <f>IF(U5363&gt;=AN5363-0.01,1,0)</f>
        <v/>
      </c>
      <c r="AV5363">
        <f>IF(V5363&gt;=AO5363-0.01,1,0)</f>
        <v/>
      </c>
      <c r="AW5363">
        <f>IF(W5363&gt;=AP5363-0.01,1,0)</f>
        <v/>
      </c>
      <c r="AX5363">
        <f>AQ5363*AR5363*AS5363*AT5363*AU5363*AV5363*AW5363</f>
        <v/>
      </c>
    </row>
    <row r="5364">
      <c r="A5364" t="inlineStr"/>
      <c r="B5364">
        <f>Assumptions!$B$60</f>
        <v/>
      </c>
      <c r="C5364" t="n">
        <v>1</v>
      </c>
      <c r="D5364" t="n">
        <v>1</v>
      </c>
      <c r="E5364" t="n">
        <v>0</v>
      </c>
      <c r="F5364" t="n">
        <v>1</v>
      </c>
      <c r="G5364" t="n">
        <v>1</v>
      </c>
      <c r="H5364" t="n">
        <v>0</v>
      </c>
      <c r="I5364" t="n">
        <v>0</v>
      </c>
      <c r="J5364">
        <f>(1-C5364)*Assumptions!$B$41+(1-D5364)*Assumptions!$B$33+(1-E5364)*Assumptions!$B$32+(1-F5364)*Assumptions!$B$31+(1-G5364)*Assumptions!$B$30+(1-H5364)*Assumptions!$B$29+(1-I5364)*Assumptions!$B$28</f>
        <v/>
      </c>
      <c r="K5364">
        <f>C5364*$J$307+D5364*$F$307+E5364*$G$307+F5364*Assumptions!$B$14+G5364*Assumptions!$B$13+H5364*Assumptions!$B$12+I5364*Assumptions!$B$11+$O$307+$S$307+Assumptions!$B$9</f>
        <v/>
      </c>
      <c r="L5364">
        <f>B5364-J5364</f>
        <v/>
      </c>
      <c r="M5364">
        <f>IF(K5364&gt;0,IF(L5364/K5364&gt;=Assumptions!$B$37,1,0),0)</f>
        <v/>
      </c>
      <c r="N5364">
        <f>K5364+M5364*Assumptions!$B$153</f>
        <v/>
      </c>
      <c r="O5364">
        <f>L5364+M5364*Assumptions!$B$153*Assumptions!$B$37</f>
        <v/>
      </c>
      <c r="P5364">
        <f>IF(N5364&gt;0,O5364/N5364,0)</f>
        <v/>
      </c>
      <c r="Q5364">
        <f>IF(C5364=1,P5364*$J$307,Assumptions!$B$41)</f>
        <v/>
      </c>
      <c r="R5364">
        <f>IF(D5364=1,P5364*$F$307,Assumptions!$B$33)</f>
        <v/>
      </c>
      <c r="S5364">
        <f>IF(E5364=1,P5364*$G$307,Assumptions!$B$32)</f>
        <v/>
      </c>
      <c r="T5364">
        <f>IF(F5364=1,P5364*Assumptions!$B$14,Assumptions!$B$31)</f>
        <v/>
      </c>
      <c r="U5364">
        <f>IF(G5364=1,P5364*Assumptions!$B$13,Assumptions!$B$30)</f>
        <v/>
      </c>
      <c r="V5364">
        <f>IF(H5364=1,P5364*Assumptions!$B$12,Assumptions!$B$29)</f>
        <v/>
      </c>
      <c r="W5364">
        <f>IF(I5364=1,P5364*Assumptions!$B$11,Assumptions!$B$28)</f>
        <v/>
      </c>
      <c r="X5364">
        <f>P5364*($O$307+$S$307)</f>
        <v/>
      </c>
      <c r="Y5364">
        <f>P5364*Assumptions!$B$9</f>
        <v/>
      </c>
      <c r="Z5364">
        <f>IF(M5364=1,(P5364-Assumptions!$B$37)*Assumptions!$B$153,0)</f>
        <v/>
      </c>
      <c r="AA5364">
        <f>Q5364+R5364+S5364+T5364+U5364+V5364+W5364+X5364+Y5364+Z5364</f>
        <v/>
      </c>
      <c r="AB5364" t="n">
        <v>108</v>
      </c>
      <c r="AC5364" t="n">
        <v>44</v>
      </c>
      <c r="AD5364" t="n">
        <v>76</v>
      </c>
      <c r="AE5364" t="n">
        <v>124</v>
      </c>
      <c r="AF5364" t="n">
        <v>100</v>
      </c>
      <c r="AG5364" t="n">
        <v>104</v>
      </c>
      <c r="AH5364" t="n">
        <v>110</v>
      </c>
      <c r="AI5364" t="n">
        <v>109</v>
      </c>
      <c r="AJ5364">
        <f>INDEX($Q$5256:$Q$5383,AC5364+1)</f>
        <v/>
      </c>
      <c r="AK5364">
        <f>INDEX($R$5256:$R$5383,AD5364+1)</f>
        <v/>
      </c>
      <c r="AL5364">
        <f>INDEX($S$5256:$S$5383,AE5364+1)</f>
        <v/>
      </c>
      <c r="AM5364">
        <f>INDEX($T$5256:$T$5383,AF5364+1)</f>
        <v/>
      </c>
      <c r="AN5364">
        <f>INDEX($U$5256:$U$5383,AG5364+1)</f>
        <v/>
      </c>
      <c r="AO5364">
        <f>INDEX($V$5256:$V$5383,AH5364+1)</f>
        <v/>
      </c>
      <c r="AP5364">
        <f>INDEX($W$5256:$W$5383,AI5364+1)</f>
        <v/>
      </c>
      <c r="AQ5364">
        <f>IF(Q5364&gt;=AJ5364-0.01,1,0)</f>
        <v/>
      </c>
      <c r="AR5364">
        <f>IF(R5364&gt;=AK5364-0.01,1,0)</f>
        <v/>
      </c>
      <c r="AS5364">
        <f>IF(S5364&gt;=AL5364-0.01,1,0)</f>
        <v/>
      </c>
      <c r="AT5364">
        <f>IF(T5364&gt;=AM5364-0.01,1,0)</f>
        <v/>
      </c>
      <c r="AU5364">
        <f>IF(U5364&gt;=AN5364-0.01,1,0)</f>
        <v/>
      </c>
      <c r="AV5364">
        <f>IF(V5364&gt;=AO5364-0.01,1,0)</f>
        <v/>
      </c>
      <c r="AW5364">
        <f>IF(W5364&gt;=AP5364-0.01,1,0)</f>
        <v/>
      </c>
      <c r="AX5364">
        <f>AQ5364*AR5364*AS5364*AT5364*AU5364*AV5364*AW5364</f>
        <v/>
      </c>
    </row>
    <row r="5365">
      <c r="A5365" t="inlineStr"/>
      <c r="B5365">
        <f>Assumptions!$B$60</f>
        <v/>
      </c>
      <c r="C5365" t="n">
        <v>1</v>
      </c>
      <c r="D5365" t="n">
        <v>1</v>
      </c>
      <c r="E5365" t="n">
        <v>0</v>
      </c>
      <c r="F5365" t="n">
        <v>1</v>
      </c>
      <c r="G5365" t="n">
        <v>1</v>
      </c>
      <c r="H5365" t="n">
        <v>0</v>
      </c>
      <c r="I5365" t="n">
        <v>1</v>
      </c>
      <c r="J5365">
        <f>(1-C5365)*Assumptions!$B$41+(1-D5365)*Assumptions!$B$33+(1-E5365)*Assumptions!$B$32+(1-F5365)*Assumptions!$B$31+(1-G5365)*Assumptions!$B$30+(1-H5365)*Assumptions!$B$29+(1-I5365)*Assumptions!$B$28</f>
        <v/>
      </c>
      <c r="K5365">
        <f>C5365*$J$307+D5365*$F$307+E5365*$G$307+F5365*Assumptions!$B$14+G5365*Assumptions!$B$13+H5365*Assumptions!$B$12+I5365*Assumptions!$B$11+$O$307+$S$307+Assumptions!$B$9</f>
        <v/>
      </c>
      <c r="L5365">
        <f>B5365-J5365</f>
        <v/>
      </c>
      <c r="M5365">
        <f>IF(K5365&gt;0,IF(L5365/K5365&gt;=Assumptions!$B$37,1,0),0)</f>
        <v/>
      </c>
      <c r="N5365">
        <f>K5365+M5365*Assumptions!$B$153</f>
        <v/>
      </c>
      <c r="O5365">
        <f>L5365+M5365*Assumptions!$B$153*Assumptions!$B$37</f>
        <v/>
      </c>
      <c r="P5365">
        <f>IF(N5365&gt;0,O5365/N5365,0)</f>
        <v/>
      </c>
      <c r="Q5365">
        <f>IF(C5365=1,P5365*$J$307,Assumptions!$B$41)</f>
        <v/>
      </c>
      <c r="R5365">
        <f>IF(D5365=1,P5365*$F$307,Assumptions!$B$33)</f>
        <v/>
      </c>
      <c r="S5365">
        <f>IF(E5365=1,P5365*$G$307,Assumptions!$B$32)</f>
        <v/>
      </c>
      <c r="T5365">
        <f>IF(F5365=1,P5365*Assumptions!$B$14,Assumptions!$B$31)</f>
        <v/>
      </c>
      <c r="U5365">
        <f>IF(G5365=1,P5365*Assumptions!$B$13,Assumptions!$B$30)</f>
        <v/>
      </c>
      <c r="V5365">
        <f>IF(H5365=1,P5365*Assumptions!$B$12,Assumptions!$B$29)</f>
        <v/>
      </c>
      <c r="W5365">
        <f>IF(I5365=1,P5365*Assumptions!$B$11,Assumptions!$B$28)</f>
        <v/>
      </c>
      <c r="X5365">
        <f>P5365*($O$307+$S$307)</f>
        <v/>
      </c>
      <c r="Y5365">
        <f>P5365*Assumptions!$B$9</f>
        <v/>
      </c>
      <c r="Z5365">
        <f>IF(M5365=1,(P5365-Assumptions!$B$37)*Assumptions!$B$153,0)</f>
        <v/>
      </c>
      <c r="AA5365">
        <f>Q5365+R5365+S5365+T5365+U5365+V5365+W5365+X5365+Y5365+Z5365</f>
        <v/>
      </c>
      <c r="AB5365" t="n">
        <v>109</v>
      </c>
      <c r="AC5365" t="n">
        <v>45</v>
      </c>
      <c r="AD5365" t="n">
        <v>77</v>
      </c>
      <c r="AE5365" t="n">
        <v>125</v>
      </c>
      <c r="AF5365" t="n">
        <v>101</v>
      </c>
      <c r="AG5365" t="n">
        <v>105</v>
      </c>
      <c r="AH5365" t="n">
        <v>111</v>
      </c>
      <c r="AI5365" t="n">
        <v>108</v>
      </c>
      <c r="AJ5365">
        <f>INDEX($Q$5256:$Q$5383,AC5365+1)</f>
        <v/>
      </c>
      <c r="AK5365">
        <f>INDEX($R$5256:$R$5383,AD5365+1)</f>
        <v/>
      </c>
      <c r="AL5365">
        <f>INDEX($S$5256:$S$5383,AE5365+1)</f>
        <v/>
      </c>
      <c r="AM5365">
        <f>INDEX($T$5256:$T$5383,AF5365+1)</f>
        <v/>
      </c>
      <c r="AN5365">
        <f>INDEX($U$5256:$U$5383,AG5365+1)</f>
        <v/>
      </c>
      <c r="AO5365">
        <f>INDEX($V$5256:$V$5383,AH5365+1)</f>
        <v/>
      </c>
      <c r="AP5365">
        <f>INDEX($W$5256:$W$5383,AI5365+1)</f>
        <v/>
      </c>
      <c r="AQ5365">
        <f>IF(Q5365&gt;=AJ5365-0.01,1,0)</f>
        <v/>
      </c>
      <c r="AR5365">
        <f>IF(R5365&gt;=AK5365-0.01,1,0)</f>
        <v/>
      </c>
      <c r="AS5365">
        <f>IF(S5365&gt;=AL5365-0.01,1,0)</f>
        <v/>
      </c>
      <c r="AT5365">
        <f>IF(T5365&gt;=AM5365-0.01,1,0)</f>
        <v/>
      </c>
      <c r="AU5365">
        <f>IF(U5365&gt;=AN5365-0.01,1,0)</f>
        <v/>
      </c>
      <c r="AV5365">
        <f>IF(V5365&gt;=AO5365-0.01,1,0)</f>
        <v/>
      </c>
      <c r="AW5365">
        <f>IF(W5365&gt;=AP5365-0.01,1,0)</f>
        <v/>
      </c>
      <c r="AX5365">
        <f>AQ5365*AR5365*AS5365*AT5365*AU5365*AV5365*AW5365</f>
        <v/>
      </c>
    </row>
    <row r="5366">
      <c r="A5366" t="inlineStr"/>
      <c r="B5366">
        <f>Assumptions!$B$60</f>
        <v/>
      </c>
      <c r="C5366" t="n">
        <v>1</v>
      </c>
      <c r="D5366" t="n">
        <v>1</v>
      </c>
      <c r="E5366" t="n">
        <v>0</v>
      </c>
      <c r="F5366" t="n">
        <v>1</v>
      </c>
      <c r="G5366" t="n">
        <v>1</v>
      </c>
      <c r="H5366" t="n">
        <v>1</v>
      </c>
      <c r="I5366" t="n">
        <v>0</v>
      </c>
      <c r="J5366">
        <f>(1-C5366)*Assumptions!$B$41+(1-D5366)*Assumptions!$B$33+(1-E5366)*Assumptions!$B$32+(1-F5366)*Assumptions!$B$31+(1-G5366)*Assumptions!$B$30+(1-H5366)*Assumptions!$B$29+(1-I5366)*Assumptions!$B$28</f>
        <v/>
      </c>
      <c r="K5366">
        <f>C5366*$J$307+D5366*$F$307+E5366*$G$307+F5366*Assumptions!$B$14+G5366*Assumptions!$B$13+H5366*Assumptions!$B$12+I5366*Assumptions!$B$11+$O$307+$S$307+Assumptions!$B$9</f>
        <v/>
      </c>
      <c r="L5366">
        <f>B5366-J5366</f>
        <v/>
      </c>
      <c r="M5366">
        <f>IF(K5366&gt;0,IF(L5366/K5366&gt;=Assumptions!$B$37,1,0),0)</f>
        <v/>
      </c>
      <c r="N5366">
        <f>K5366+M5366*Assumptions!$B$153</f>
        <v/>
      </c>
      <c r="O5366">
        <f>L5366+M5366*Assumptions!$B$153*Assumptions!$B$37</f>
        <v/>
      </c>
      <c r="P5366">
        <f>IF(N5366&gt;0,O5366/N5366,0)</f>
        <v/>
      </c>
      <c r="Q5366">
        <f>IF(C5366=1,P5366*$J$307,Assumptions!$B$41)</f>
        <v/>
      </c>
      <c r="R5366">
        <f>IF(D5366=1,P5366*$F$307,Assumptions!$B$33)</f>
        <v/>
      </c>
      <c r="S5366">
        <f>IF(E5366=1,P5366*$G$307,Assumptions!$B$32)</f>
        <v/>
      </c>
      <c r="T5366">
        <f>IF(F5366=1,P5366*Assumptions!$B$14,Assumptions!$B$31)</f>
        <v/>
      </c>
      <c r="U5366">
        <f>IF(G5366=1,P5366*Assumptions!$B$13,Assumptions!$B$30)</f>
        <v/>
      </c>
      <c r="V5366">
        <f>IF(H5366=1,P5366*Assumptions!$B$12,Assumptions!$B$29)</f>
        <v/>
      </c>
      <c r="W5366">
        <f>IF(I5366=1,P5366*Assumptions!$B$11,Assumptions!$B$28)</f>
        <v/>
      </c>
      <c r="X5366">
        <f>P5366*($O$307+$S$307)</f>
        <v/>
      </c>
      <c r="Y5366">
        <f>P5366*Assumptions!$B$9</f>
        <v/>
      </c>
      <c r="Z5366">
        <f>IF(M5366=1,(P5366-Assumptions!$B$37)*Assumptions!$B$153,0)</f>
        <v/>
      </c>
      <c r="AA5366">
        <f>Q5366+R5366+S5366+T5366+U5366+V5366+W5366+X5366+Y5366+Z5366</f>
        <v/>
      </c>
      <c r="AB5366" t="n">
        <v>110</v>
      </c>
      <c r="AC5366" t="n">
        <v>46</v>
      </c>
      <c r="AD5366" t="n">
        <v>78</v>
      </c>
      <c r="AE5366" t="n">
        <v>126</v>
      </c>
      <c r="AF5366" t="n">
        <v>102</v>
      </c>
      <c r="AG5366" t="n">
        <v>106</v>
      </c>
      <c r="AH5366" t="n">
        <v>108</v>
      </c>
      <c r="AI5366" t="n">
        <v>111</v>
      </c>
      <c r="AJ5366">
        <f>INDEX($Q$5256:$Q$5383,AC5366+1)</f>
        <v/>
      </c>
      <c r="AK5366">
        <f>INDEX($R$5256:$R$5383,AD5366+1)</f>
        <v/>
      </c>
      <c r="AL5366">
        <f>INDEX($S$5256:$S$5383,AE5366+1)</f>
        <v/>
      </c>
      <c r="AM5366">
        <f>INDEX($T$5256:$T$5383,AF5366+1)</f>
        <v/>
      </c>
      <c r="AN5366">
        <f>INDEX($U$5256:$U$5383,AG5366+1)</f>
        <v/>
      </c>
      <c r="AO5366">
        <f>INDEX($V$5256:$V$5383,AH5366+1)</f>
        <v/>
      </c>
      <c r="AP5366">
        <f>INDEX($W$5256:$W$5383,AI5366+1)</f>
        <v/>
      </c>
      <c r="AQ5366">
        <f>IF(Q5366&gt;=AJ5366-0.01,1,0)</f>
        <v/>
      </c>
      <c r="AR5366">
        <f>IF(R5366&gt;=AK5366-0.01,1,0)</f>
        <v/>
      </c>
      <c r="AS5366">
        <f>IF(S5366&gt;=AL5366-0.01,1,0)</f>
        <v/>
      </c>
      <c r="AT5366">
        <f>IF(T5366&gt;=AM5366-0.01,1,0)</f>
        <v/>
      </c>
      <c r="AU5366">
        <f>IF(U5366&gt;=AN5366-0.01,1,0)</f>
        <v/>
      </c>
      <c r="AV5366">
        <f>IF(V5366&gt;=AO5366-0.01,1,0)</f>
        <v/>
      </c>
      <c r="AW5366">
        <f>IF(W5366&gt;=AP5366-0.01,1,0)</f>
        <v/>
      </c>
      <c r="AX5366">
        <f>AQ5366*AR5366*AS5366*AT5366*AU5366*AV5366*AW5366</f>
        <v/>
      </c>
    </row>
    <row r="5367">
      <c r="A5367" t="inlineStr"/>
      <c r="B5367">
        <f>Assumptions!$B$60</f>
        <v/>
      </c>
      <c r="C5367" t="n">
        <v>1</v>
      </c>
      <c r="D5367" t="n">
        <v>1</v>
      </c>
      <c r="E5367" t="n">
        <v>0</v>
      </c>
      <c r="F5367" t="n">
        <v>1</v>
      </c>
      <c r="G5367" t="n">
        <v>1</v>
      </c>
      <c r="H5367" t="n">
        <v>1</v>
      </c>
      <c r="I5367" t="n">
        <v>1</v>
      </c>
      <c r="J5367">
        <f>(1-C5367)*Assumptions!$B$41+(1-D5367)*Assumptions!$B$33+(1-E5367)*Assumptions!$B$32+(1-F5367)*Assumptions!$B$31+(1-G5367)*Assumptions!$B$30+(1-H5367)*Assumptions!$B$29+(1-I5367)*Assumptions!$B$28</f>
        <v/>
      </c>
      <c r="K5367">
        <f>C5367*$J$307+D5367*$F$307+E5367*$G$307+F5367*Assumptions!$B$14+G5367*Assumptions!$B$13+H5367*Assumptions!$B$12+I5367*Assumptions!$B$11+$O$307+$S$307+Assumptions!$B$9</f>
        <v/>
      </c>
      <c r="L5367">
        <f>B5367-J5367</f>
        <v/>
      </c>
      <c r="M5367">
        <f>IF(K5367&gt;0,IF(L5367/K5367&gt;=Assumptions!$B$37,1,0),0)</f>
        <v/>
      </c>
      <c r="N5367">
        <f>K5367+M5367*Assumptions!$B$153</f>
        <v/>
      </c>
      <c r="O5367">
        <f>L5367+M5367*Assumptions!$B$153*Assumptions!$B$37</f>
        <v/>
      </c>
      <c r="P5367">
        <f>IF(N5367&gt;0,O5367/N5367,0)</f>
        <v/>
      </c>
      <c r="Q5367">
        <f>IF(C5367=1,P5367*$J$307,Assumptions!$B$41)</f>
        <v/>
      </c>
      <c r="R5367">
        <f>IF(D5367=1,P5367*$F$307,Assumptions!$B$33)</f>
        <v/>
      </c>
      <c r="S5367">
        <f>IF(E5367=1,P5367*$G$307,Assumptions!$B$32)</f>
        <v/>
      </c>
      <c r="T5367">
        <f>IF(F5367=1,P5367*Assumptions!$B$14,Assumptions!$B$31)</f>
        <v/>
      </c>
      <c r="U5367">
        <f>IF(G5367=1,P5367*Assumptions!$B$13,Assumptions!$B$30)</f>
        <v/>
      </c>
      <c r="V5367">
        <f>IF(H5367=1,P5367*Assumptions!$B$12,Assumptions!$B$29)</f>
        <v/>
      </c>
      <c r="W5367">
        <f>IF(I5367=1,P5367*Assumptions!$B$11,Assumptions!$B$28)</f>
        <v/>
      </c>
      <c r="X5367">
        <f>P5367*($O$307+$S$307)</f>
        <v/>
      </c>
      <c r="Y5367">
        <f>P5367*Assumptions!$B$9</f>
        <v/>
      </c>
      <c r="Z5367">
        <f>IF(M5367=1,(P5367-Assumptions!$B$37)*Assumptions!$B$153,0)</f>
        <v/>
      </c>
      <c r="AA5367">
        <f>Q5367+R5367+S5367+T5367+U5367+V5367+W5367+X5367+Y5367+Z5367</f>
        <v/>
      </c>
      <c r="AB5367" t="n">
        <v>111</v>
      </c>
      <c r="AC5367" t="n">
        <v>47</v>
      </c>
      <c r="AD5367" t="n">
        <v>79</v>
      </c>
      <c r="AE5367" t="n">
        <v>127</v>
      </c>
      <c r="AF5367" t="n">
        <v>103</v>
      </c>
      <c r="AG5367" t="n">
        <v>107</v>
      </c>
      <c r="AH5367" t="n">
        <v>109</v>
      </c>
      <c r="AI5367" t="n">
        <v>110</v>
      </c>
      <c r="AJ5367">
        <f>INDEX($Q$5256:$Q$5383,AC5367+1)</f>
        <v/>
      </c>
      <c r="AK5367">
        <f>INDEX($R$5256:$R$5383,AD5367+1)</f>
        <v/>
      </c>
      <c r="AL5367">
        <f>INDEX($S$5256:$S$5383,AE5367+1)</f>
        <v/>
      </c>
      <c r="AM5367">
        <f>INDEX($T$5256:$T$5383,AF5367+1)</f>
        <v/>
      </c>
      <c r="AN5367">
        <f>INDEX($U$5256:$U$5383,AG5367+1)</f>
        <v/>
      </c>
      <c r="AO5367">
        <f>INDEX($V$5256:$V$5383,AH5367+1)</f>
        <v/>
      </c>
      <c r="AP5367">
        <f>INDEX($W$5256:$W$5383,AI5367+1)</f>
        <v/>
      </c>
      <c r="AQ5367">
        <f>IF(Q5367&gt;=AJ5367-0.01,1,0)</f>
        <v/>
      </c>
      <c r="AR5367">
        <f>IF(R5367&gt;=AK5367-0.01,1,0)</f>
        <v/>
      </c>
      <c r="AS5367">
        <f>IF(S5367&gt;=AL5367-0.01,1,0)</f>
        <v/>
      </c>
      <c r="AT5367">
        <f>IF(T5367&gt;=AM5367-0.01,1,0)</f>
        <v/>
      </c>
      <c r="AU5367">
        <f>IF(U5367&gt;=AN5367-0.01,1,0)</f>
        <v/>
      </c>
      <c r="AV5367">
        <f>IF(V5367&gt;=AO5367-0.01,1,0)</f>
        <v/>
      </c>
      <c r="AW5367">
        <f>IF(W5367&gt;=AP5367-0.01,1,0)</f>
        <v/>
      </c>
      <c r="AX5367">
        <f>AQ5367*AR5367*AS5367*AT5367*AU5367*AV5367*AW5367</f>
        <v/>
      </c>
    </row>
    <row r="5368">
      <c r="A5368" t="inlineStr"/>
      <c r="B5368">
        <f>Assumptions!$B$60</f>
        <v/>
      </c>
      <c r="C5368" t="n">
        <v>1</v>
      </c>
      <c r="D5368" t="n">
        <v>1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>
        <f>(1-C5368)*Assumptions!$B$41+(1-D5368)*Assumptions!$B$33+(1-E5368)*Assumptions!$B$32+(1-F5368)*Assumptions!$B$31+(1-G5368)*Assumptions!$B$30+(1-H5368)*Assumptions!$B$29+(1-I5368)*Assumptions!$B$28</f>
        <v/>
      </c>
      <c r="K5368">
        <f>C5368*$J$307+D5368*$F$307+E5368*$G$307+F5368*Assumptions!$B$14+G5368*Assumptions!$B$13+H5368*Assumptions!$B$12+I5368*Assumptions!$B$11+$O$307+$S$307+Assumptions!$B$9</f>
        <v/>
      </c>
      <c r="L5368">
        <f>B5368-J5368</f>
        <v/>
      </c>
      <c r="M5368">
        <f>IF(K5368&gt;0,IF(L5368/K5368&gt;=Assumptions!$B$37,1,0),0)</f>
        <v/>
      </c>
      <c r="N5368">
        <f>K5368+M5368*Assumptions!$B$153</f>
        <v/>
      </c>
      <c r="O5368">
        <f>L5368+M5368*Assumptions!$B$153*Assumptions!$B$37</f>
        <v/>
      </c>
      <c r="P5368">
        <f>IF(N5368&gt;0,O5368/N5368,0)</f>
        <v/>
      </c>
      <c r="Q5368">
        <f>IF(C5368=1,P5368*$J$307,Assumptions!$B$41)</f>
        <v/>
      </c>
      <c r="R5368">
        <f>IF(D5368=1,P5368*$F$307,Assumptions!$B$33)</f>
        <v/>
      </c>
      <c r="S5368">
        <f>IF(E5368=1,P5368*$G$307,Assumptions!$B$32)</f>
        <v/>
      </c>
      <c r="T5368">
        <f>IF(F5368=1,P5368*Assumptions!$B$14,Assumptions!$B$31)</f>
        <v/>
      </c>
      <c r="U5368">
        <f>IF(G5368=1,P5368*Assumptions!$B$13,Assumptions!$B$30)</f>
        <v/>
      </c>
      <c r="V5368">
        <f>IF(H5368=1,P5368*Assumptions!$B$12,Assumptions!$B$29)</f>
        <v/>
      </c>
      <c r="W5368">
        <f>IF(I5368=1,P5368*Assumptions!$B$11,Assumptions!$B$28)</f>
        <v/>
      </c>
      <c r="X5368">
        <f>P5368*($O$307+$S$307)</f>
        <v/>
      </c>
      <c r="Y5368">
        <f>P5368*Assumptions!$B$9</f>
        <v/>
      </c>
      <c r="Z5368">
        <f>IF(M5368=1,(P5368-Assumptions!$B$37)*Assumptions!$B$153,0)</f>
        <v/>
      </c>
      <c r="AA5368">
        <f>Q5368+R5368+S5368+T5368+U5368+V5368+W5368+X5368+Y5368+Z5368</f>
        <v/>
      </c>
      <c r="AB5368" t="n">
        <v>112</v>
      </c>
      <c r="AC5368" t="n">
        <v>48</v>
      </c>
      <c r="AD5368" t="n">
        <v>80</v>
      </c>
      <c r="AE5368" t="n">
        <v>96</v>
      </c>
      <c r="AF5368" t="n">
        <v>120</v>
      </c>
      <c r="AG5368" t="n">
        <v>116</v>
      </c>
      <c r="AH5368" t="n">
        <v>114</v>
      </c>
      <c r="AI5368" t="n">
        <v>113</v>
      </c>
      <c r="AJ5368">
        <f>INDEX($Q$5256:$Q$5383,AC5368+1)</f>
        <v/>
      </c>
      <c r="AK5368">
        <f>INDEX($R$5256:$R$5383,AD5368+1)</f>
        <v/>
      </c>
      <c r="AL5368">
        <f>INDEX($S$5256:$S$5383,AE5368+1)</f>
        <v/>
      </c>
      <c r="AM5368">
        <f>INDEX($T$5256:$T$5383,AF5368+1)</f>
        <v/>
      </c>
      <c r="AN5368">
        <f>INDEX($U$5256:$U$5383,AG5368+1)</f>
        <v/>
      </c>
      <c r="AO5368">
        <f>INDEX($V$5256:$V$5383,AH5368+1)</f>
        <v/>
      </c>
      <c r="AP5368">
        <f>INDEX($W$5256:$W$5383,AI5368+1)</f>
        <v/>
      </c>
      <c r="AQ5368">
        <f>IF(Q5368&gt;=AJ5368-0.01,1,0)</f>
        <v/>
      </c>
      <c r="AR5368">
        <f>IF(R5368&gt;=AK5368-0.01,1,0)</f>
        <v/>
      </c>
      <c r="AS5368">
        <f>IF(S5368&gt;=AL5368-0.01,1,0)</f>
        <v/>
      </c>
      <c r="AT5368">
        <f>IF(T5368&gt;=AM5368-0.01,1,0)</f>
        <v/>
      </c>
      <c r="AU5368">
        <f>IF(U5368&gt;=AN5368-0.01,1,0)</f>
        <v/>
      </c>
      <c r="AV5368">
        <f>IF(V5368&gt;=AO5368-0.01,1,0)</f>
        <v/>
      </c>
      <c r="AW5368">
        <f>IF(W5368&gt;=AP5368-0.01,1,0)</f>
        <v/>
      </c>
      <c r="AX5368">
        <f>AQ5368*AR5368*AS5368*AT5368*AU5368*AV5368*AW5368</f>
        <v/>
      </c>
    </row>
    <row r="5369">
      <c r="A5369" t="inlineStr"/>
      <c r="B5369">
        <f>Assumptions!$B$60</f>
        <v/>
      </c>
      <c r="C5369" t="n">
        <v>1</v>
      </c>
      <c r="D5369" t="n">
        <v>1</v>
      </c>
      <c r="E5369" t="n">
        <v>1</v>
      </c>
      <c r="F5369" t="n">
        <v>0</v>
      </c>
      <c r="G5369" t="n">
        <v>0</v>
      </c>
      <c r="H5369" t="n">
        <v>0</v>
      </c>
      <c r="I5369" t="n">
        <v>1</v>
      </c>
      <c r="J5369">
        <f>(1-C5369)*Assumptions!$B$41+(1-D5369)*Assumptions!$B$33+(1-E5369)*Assumptions!$B$32+(1-F5369)*Assumptions!$B$31+(1-G5369)*Assumptions!$B$30+(1-H5369)*Assumptions!$B$29+(1-I5369)*Assumptions!$B$28</f>
        <v/>
      </c>
      <c r="K5369">
        <f>C5369*$J$307+D5369*$F$307+E5369*$G$307+F5369*Assumptions!$B$14+G5369*Assumptions!$B$13+H5369*Assumptions!$B$12+I5369*Assumptions!$B$11+$O$307+$S$307+Assumptions!$B$9</f>
        <v/>
      </c>
      <c r="L5369">
        <f>B5369-J5369</f>
        <v/>
      </c>
      <c r="M5369">
        <f>IF(K5369&gt;0,IF(L5369/K5369&gt;=Assumptions!$B$37,1,0),0)</f>
        <v/>
      </c>
      <c r="N5369">
        <f>K5369+M5369*Assumptions!$B$153</f>
        <v/>
      </c>
      <c r="O5369">
        <f>L5369+M5369*Assumptions!$B$153*Assumptions!$B$37</f>
        <v/>
      </c>
      <c r="P5369">
        <f>IF(N5369&gt;0,O5369/N5369,0)</f>
        <v/>
      </c>
      <c r="Q5369">
        <f>IF(C5369=1,P5369*$J$307,Assumptions!$B$41)</f>
        <v/>
      </c>
      <c r="R5369">
        <f>IF(D5369=1,P5369*$F$307,Assumptions!$B$33)</f>
        <v/>
      </c>
      <c r="S5369">
        <f>IF(E5369=1,P5369*$G$307,Assumptions!$B$32)</f>
        <v/>
      </c>
      <c r="T5369">
        <f>IF(F5369=1,P5369*Assumptions!$B$14,Assumptions!$B$31)</f>
        <v/>
      </c>
      <c r="U5369">
        <f>IF(G5369=1,P5369*Assumptions!$B$13,Assumptions!$B$30)</f>
        <v/>
      </c>
      <c r="V5369">
        <f>IF(H5369=1,P5369*Assumptions!$B$12,Assumptions!$B$29)</f>
        <v/>
      </c>
      <c r="W5369">
        <f>IF(I5369=1,P5369*Assumptions!$B$11,Assumptions!$B$28)</f>
        <v/>
      </c>
      <c r="X5369">
        <f>P5369*($O$307+$S$307)</f>
        <v/>
      </c>
      <c r="Y5369">
        <f>P5369*Assumptions!$B$9</f>
        <v/>
      </c>
      <c r="Z5369">
        <f>IF(M5369=1,(P5369-Assumptions!$B$37)*Assumptions!$B$153,0)</f>
        <v/>
      </c>
      <c r="AA5369">
        <f>Q5369+R5369+S5369+T5369+U5369+V5369+W5369+X5369+Y5369+Z5369</f>
        <v/>
      </c>
      <c r="AB5369" t="n">
        <v>113</v>
      </c>
      <c r="AC5369" t="n">
        <v>49</v>
      </c>
      <c r="AD5369" t="n">
        <v>81</v>
      </c>
      <c r="AE5369" t="n">
        <v>97</v>
      </c>
      <c r="AF5369" t="n">
        <v>121</v>
      </c>
      <c r="AG5369" t="n">
        <v>117</v>
      </c>
      <c r="AH5369" t="n">
        <v>115</v>
      </c>
      <c r="AI5369" t="n">
        <v>112</v>
      </c>
      <c r="AJ5369">
        <f>INDEX($Q$5256:$Q$5383,AC5369+1)</f>
        <v/>
      </c>
      <c r="AK5369">
        <f>INDEX($R$5256:$R$5383,AD5369+1)</f>
        <v/>
      </c>
      <c r="AL5369">
        <f>INDEX($S$5256:$S$5383,AE5369+1)</f>
        <v/>
      </c>
      <c r="AM5369">
        <f>INDEX($T$5256:$T$5383,AF5369+1)</f>
        <v/>
      </c>
      <c r="AN5369">
        <f>INDEX($U$5256:$U$5383,AG5369+1)</f>
        <v/>
      </c>
      <c r="AO5369">
        <f>INDEX($V$5256:$V$5383,AH5369+1)</f>
        <v/>
      </c>
      <c r="AP5369">
        <f>INDEX($W$5256:$W$5383,AI5369+1)</f>
        <v/>
      </c>
      <c r="AQ5369">
        <f>IF(Q5369&gt;=AJ5369-0.01,1,0)</f>
        <v/>
      </c>
      <c r="AR5369">
        <f>IF(R5369&gt;=AK5369-0.01,1,0)</f>
        <v/>
      </c>
      <c r="AS5369">
        <f>IF(S5369&gt;=AL5369-0.01,1,0)</f>
        <v/>
      </c>
      <c r="AT5369">
        <f>IF(T5369&gt;=AM5369-0.01,1,0)</f>
        <v/>
      </c>
      <c r="AU5369">
        <f>IF(U5369&gt;=AN5369-0.01,1,0)</f>
        <v/>
      </c>
      <c r="AV5369">
        <f>IF(V5369&gt;=AO5369-0.01,1,0)</f>
        <v/>
      </c>
      <c r="AW5369">
        <f>IF(W5369&gt;=AP5369-0.01,1,0)</f>
        <v/>
      </c>
      <c r="AX5369">
        <f>AQ5369*AR5369*AS5369*AT5369*AU5369*AV5369*AW5369</f>
        <v/>
      </c>
    </row>
    <row r="5370">
      <c r="A5370" t="inlineStr"/>
      <c r="B5370">
        <f>Assumptions!$B$60</f>
        <v/>
      </c>
      <c r="C5370" t="n">
        <v>1</v>
      </c>
      <c r="D5370" t="n">
        <v>1</v>
      </c>
      <c r="E5370" t="n">
        <v>1</v>
      </c>
      <c r="F5370" t="n">
        <v>0</v>
      </c>
      <c r="G5370" t="n">
        <v>0</v>
      </c>
      <c r="H5370" t="n">
        <v>1</v>
      </c>
      <c r="I5370" t="n">
        <v>0</v>
      </c>
      <c r="J5370">
        <f>(1-C5370)*Assumptions!$B$41+(1-D5370)*Assumptions!$B$33+(1-E5370)*Assumptions!$B$32+(1-F5370)*Assumptions!$B$31+(1-G5370)*Assumptions!$B$30+(1-H5370)*Assumptions!$B$29+(1-I5370)*Assumptions!$B$28</f>
        <v/>
      </c>
      <c r="K5370">
        <f>C5370*$J$307+D5370*$F$307+E5370*$G$307+F5370*Assumptions!$B$14+G5370*Assumptions!$B$13+H5370*Assumptions!$B$12+I5370*Assumptions!$B$11+$O$307+$S$307+Assumptions!$B$9</f>
        <v/>
      </c>
      <c r="L5370">
        <f>B5370-J5370</f>
        <v/>
      </c>
      <c r="M5370">
        <f>IF(K5370&gt;0,IF(L5370/K5370&gt;=Assumptions!$B$37,1,0),0)</f>
        <v/>
      </c>
      <c r="N5370">
        <f>K5370+M5370*Assumptions!$B$153</f>
        <v/>
      </c>
      <c r="O5370">
        <f>L5370+M5370*Assumptions!$B$153*Assumptions!$B$37</f>
        <v/>
      </c>
      <c r="P5370">
        <f>IF(N5370&gt;0,O5370/N5370,0)</f>
        <v/>
      </c>
      <c r="Q5370">
        <f>IF(C5370=1,P5370*$J$307,Assumptions!$B$41)</f>
        <v/>
      </c>
      <c r="R5370">
        <f>IF(D5370=1,P5370*$F$307,Assumptions!$B$33)</f>
        <v/>
      </c>
      <c r="S5370">
        <f>IF(E5370=1,P5370*$G$307,Assumptions!$B$32)</f>
        <v/>
      </c>
      <c r="T5370">
        <f>IF(F5370=1,P5370*Assumptions!$B$14,Assumptions!$B$31)</f>
        <v/>
      </c>
      <c r="U5370">
        <f>IF(G5370=1,P5370*Assumptions!$B$13,Assumptions!$B$30)</f>
        <v/>
      </c>
      <c r="V5370">
        <f>IF(H5370=1,P5370*Assumptions!$B$12,Assumptions!$B$29)</f>
        <v/>
      </c>
      <c r="W5370">
        <f>IF(I5370=1,P5370*Assumptions!$B$11,Assumptions!$B$28)</f>
        <v/>
      </c>
      <c r="X5370">
        <f>P5370*($O$307+$S$307)</f>
        <v/>
      </c>
      <c r="Y5370">
        <f>P5370*Assumptions!$B$9</f>
        <v/>
      </c>
      <c r="Z5370">
        <f>IF(M5370=1,(P5370-Assumptions!$B$37)*Assumptions!$B$153,0)</f>
        <v/>
      </c>
      <c r="AA5370">
        <f>Q5370+R5370+S5370+T5370+U5370+V5370+W5370+X5370+Y5370+Z5370</f>
        <v/>
      </c>
      <c r="AB5370" t="n">
        <v>114</v>
      </c>
      <c r="AC5370" t="n">
        <v>50</v>
      </c>
      <c r="AD5370" t="n">
        <v>82</v>
      </c>
      <c r="AE5370" t="n">
        <v>98</v>
      </c>
      <c r="AF5370" t="n">
        <v>122</v>
      </c>
      <c r="AG5370" t="n">
        <v>118</v>
      </c>
      <c r="AH5370" t="n">
        <v>112</v>
      </c>
      <c r="AI5370" t="n">
        <v>115</v>
      </c>
      <c r="AJ5370">
        <f>INDEX($Q$5256:$Q$5383,AC5370+1)</f>
        <v/>
      </c>
      <c r="AK5370">
        <f>INDEX($R$5256:$R$5383,AD5370+1)</f>
        <v/>
      </c>
      <c r="AL5370">
        <f>INDEX($S$5256:$S$5383,AE5370+1)</f>
        <v/>
      </c>
      <c r="AM5370">
        <f>INDEX($T$5256:$T$5383,AF5370+1)</f>
        <v/>
      </c>
      <c r="AN5370">
        <f>INDEX($U$5256:$U$5383,AG5370+1)</f>
        <v/>
      </c>
      <c r="AO5370">
        <f>INDEX($V$5256:$V$5383,AH5370+1)</f>
        <v/>
      </c>
      <c r="AP5370">
        <f>INDEX($W$5256:$W$5383,AI5370+1)</f>
        <v/>
      </c>
      <c r="AQ5370">
        <f>IF(Q5370&gt;=AJ5370-0.01,1,0)</f>
        <v/>
      </c>
      <c r="AR5370">
        <f>IF(R5370&gt;=AK5370-0.01,1,0)</f>
        <v/>
      </c>
      <c r="AS5370">
        <f>IF(S5370&gt;=AL5370-0.01,1,0)</f>
        <v/>
      </c>
      <c r="AT5370">
        <f>IF(T5370&gt;=AM5370-0.01,1,0)</f>
        <v/>
      </c>
      <c r="AU5370">
        <f>IF(U5370&gt;=AN5370-0.01,1,0)</f>
        <v/>
      </c>
      <c r="AV5370">
        <f>IF(V5370&gt;=AO5370-0.01,1,0)</f>
        <v/>
      </c>
      <c r="AW5370">
        <f>IF(W5370&gt;=AP5370-0.01,1,0)</f>
        <v/>
      </c>
      <c r="AX5370">
        <f>AQ5370*AR5370*AS5370*AT5370*AU5370*AV5370*AW5370</f>
        <v/>
      </c>
    </row>
    <row r="5371">
      <c r="A5371" t="inlineStr"/>
      <c r="B5371">
        <f>Assumptions!$B$60</f>
        <v/>
      </c>
      <c r="C5371" t="n">
        <v>1</v>
      </c>
      <c r="D5371" t="n">
        <v>1</v>
      </c>
      <c r="E5371" t="n">
        <v>1</v>
      </c>
      <c r="F5371" t="n">
        <v>0</v>
      </c>
      <c r="G5371" t="n">
        <v>0</v>
      </c>
      <c r="H5371" t="n">
        <v>1</v>
      </c>
      <c r="I5371" t="n">
        <v>1</v>
      </c>
      <c r="J5371">
        <f>(1-C5371)*Assumptions!$B$41+(1-D5371)*Assumptions!$B$33+(1-E5371)*Assumptions!$B$32+(1-F5371)*Assumptions!$B$31+(1-G5371)*Assumptions!$B$30+(1-H5371)*Assumptions!$B$29+(1-I5371)*Assumptions!$B$28</f>
        <v/>
      </c>
      <c r="K5371">
        <f>C5371*$J$307+D5371*$F$307+E5371*$G$307+F5371*Assumptions!$B$14+G5371*Assumptions!$B$13+H5371*Assumptions!$B$12+I5371*Assumptions!$B$11+$O$307+$S$307+Assumptions!$B$9</f>
        <v/>
      </c>
      <c r="L5371">
        <f>B5371-J5371</f>
        <v/>
      </c>
      <c r="M5371">
        <f>IF(K5371&gt;0,IF(L5371/K5371&gt;=Assumptions!$B$37,1,0),0)</f>
        <v/>
      </c>
      <c r="N5371">
        <f>K5371+M5371*Assumptions!$B$153</f>
        <v/>
      </c>
      <c r="O5371">
        <f>L5371+M5371*Assumptions!$B$153*Assumptions!$B$37</f>
        <v/>
      </c>
      <c r="P5371">
        <f>IF(N5371&gt;0,O5371/N5371,0)</f>
        <v/>
      </c>
      <c r="Q5371">
        <f>IF(C5371=1,P5371*$J$307,Assumptions!$B$41)</f>
        <v/>
      </c>
      <c r="R5371">
        <f>IF(D5371=1,P5371*$F$307,Assumptions!$B$33)</f>
        <v/>
      </c>
      <c r="S5371">
        <f>IF(E5371=1,P5371*$G$307,Assumptions!$B$32)</f>
        <v/>
      </c>
      <c r="T5371">
        <f>IF(F5371=1,P5371*Assumptions!$B$14,Assumptions!$B$31)</f>
        <v/>
      </c>
      <c r="U5371">
        <f>IF(G5371=1,P5371*Assumptions!$B$13,Assumptions!$B$30)</f>
        <v/>
      </c>
      <c r="V5371">
        <f>IF(H5371=1,P5371*Assumptions!$B$12,Assumptions!$B$29)</f>
        <v/>
      </c>
      <c r="W5371">
        <f>IF(I5371=1,P5371*Assumptions!$B$11,Assumptions!$B$28)</f>
        <v/>
      </c>
      <c r="X5371">
        <f>P5371*($O$307+$S$307)</f>
        <v/>
      </c>
      <c r="Y5371">
        <f>P5371*Assumptions!$B$9</f>
        <v/>
      </c>
      <c r="Z5371">
        <f>IF(M5371=1,(P5371-Assumptions!$B$37)*Assumptions!$B$153,0)</f>
        <v/>
      </c>
      <c r="AA5371">
        <f>Q5371+R5371+S5371+T5371+U5371+V5371+W5371+X5371+Y5371+Z5371</f>
        <v/>
      </c>
      <c r="AB5371" t="n">
        <v>115</v>
      </c>
      <c r="AC5371" t="n">
        <v>51</v>
      </c>
      <c r="AD5371" t="n">
        <v>83</v>
      </c>
      <c r="AE5371" t="n">
        <v>99</v>
      </c>
      <c r="AF5371" t="n">
        <v>123</v>
      </c>
      <c r="AG5371" t="n">
        <v>119</v>
      </c>
      <c r="AH5371" t="n">
        <v>113</v>
      </c>
      <c r="AI5371" t="n">
        <v>114</v>
      </c>
      <c r="AJ5371">
        <f>INDEX($Q$5256:$Q$5383,AC5371+1)</f>
        <v/>
      </c>
      <c r="AK5371">
        <f>INDEX($R$5256:$R$5383,AD5371+1)</f>
        <v/>
      </c>
      <c r="AL5371">
        <f>INDEX($S$5256:$S$5383,AE5371+1)</f>
        <v/>
      </c>
      <c r="AM5371">
        <f>INDEX($T$5256:$T$5383,AF5371+1)</f>
        <v/>
      </c>
      <c r="AN5371">
        <f>INDEX($U$5256:$U$5383,AG5371+1)</f>
        <v/>
      </c>
      <c r="AO5371">
        <f>INDEX($V$5256:$V$5383,AH5371+1)</f>
        <v/>
      </c>
      <c r="AP5371">
        <f>INDEX($W$5256:$W$5383,AI5371+1)</f>
        <v/>
      </c>
      <c r="AQ5371">
        <f>IF(Q5371&gt;=AJ5371-0.01,1,0)</f>
        <v/>
      </c>
      <c r="AR5371">
        <f>IF(R5371&gt;=AK5371-0.01,1,0)</f>
        <v/>
      </c>
      <c r="AS5371">
        <f>IF(S5371&gt;=AL5371-0.01,1,0)</f>
        <v/>
      </c>
      <c r="AT5371">
        <f>IF(T5371&gt;=AM5371-0.01,1,0)</f>
        <v/>
      </c>
      <c r="AU5371">
        <f>IF(U5371&gt;=AN5371-0.01,1,0)</f>
        <v/>
      </c>
      <c r="AV5371">
        <f>IF(V5371&gt;=AO5371-0.01,1,0)</f>
        <v/>
      </c>
      <c r="AW5371">
        <f>IF(W5371&gt;=AP5371-0.01,1,0)</f>
        <v/>
      </c>
      <c r="AX5371">
        <f>AQ5371*AR5371*AS5371*AT5371*AU5371*AV5371*AW5371</f>
        <v/>
      </c>
    </row>
    <row r="5372">
      <c r="A5372" t="inlineStr"/>
      <c r="B5372">
        <f>Assumptions!$B$60</f>
        <v/>
      </c>
      <c r="C5372" t="n">
        <v>1</v>
      </c>
      <c r="D5372" t="n">
        <v>1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>
        <f>(1-C5372)*Assumptions!$B$41+(1-D5372)*Assumptions!$B$33+(1-E5372)*Assumptions!$B$32+(1-F5372)*Assumptions!$B$31+(1-G5372)*Assumptions!$B$30+(1-H5372)*Assumptions!$B$29+(1-I5372)*Assumptions!$B$28</f>
        <v/>
      </c>
      <c r="K5372">
        <f>C5372*$J$307+D5372*$F$307+E5372*$G$307+F5372*Assumptions!$B$14+G5372*Assumptions!$B$13+H5372*Assumptions!$B$12+I5372*Assumptions!$B$11+$O$307+$S$307+Assumptions!$B$9</f>
        <v/>
      </c>
      <c r="L5372">
        <f>B5372-J5372</f>
        <v/>
      </c>
      <c r="M5372">
        <f>IF(K5372&gt;0,IF(L5372/K5372&gt;=Assumptions!$B$37,1,0),0)</f>
        <v/>
      </c>
      <c r="N5372">
        <f>K5372+M5372*Assumptions!$B$153</f>
        <v/>
      </c>
      <c r="O5372">
        <f>L5372+M5372*Assumptions!$B$153*Assumptions!$B$37</f>
        <v/>
      </c>
      <c r="P5372">
        <f>IF(N5372&gt;0,O5372/N5372,0)</f>
        <v/>
      </c>
      <c r="Q5372">
        <f>IF(C5372=1,P5372*$J$307,Assumptions!$B$41)</f>
        <v/>
      </c>
      <c r="R5372">
        <f>IF(D5372=1,P5372*$F$307,Assumptions!$B$33)</f>
        <v/>
      </c>
      <c r="S5372">
        <f>IF(E5372=1,P5372*$G$307,Assumptions!$B$32)</f>
        <v/>
      </c>
      <c r="T5372">
        <f>IF(F5372=1,P5372*Assumptions!$B$14,Assumptions!$B$31)</f>
        <v/>
      </c>
      <c r="U5372">
        <f>IF(G5372=1,P5372*Assumptions!$B$13,Assumptions!$B$30)</f>
        <v/>
      </c>
      <c r="V5372">
        <f>IF(H5372=1,P5372*Assumptions!$B$12,Assumptions!$B$29)</f>
        <v/>
      </c>
      <c r="W5372">
        <f>IF(I5372=1,P5372*Assumptions!$B$11,Assumptions!$B$28)</f>
        <v/>
      </c>
      <c r="X5372">
        <f>P5372*($O$307+$S$307)</f>
        <v/>
      </c>
      <c r="Y5372">
        <f>P5372*Assumptions!$B$9</f>
        <v/>
      </c>
      <c r="Z5372">
        <f>IF(M5372=1,(P5372-Assumptions!$B$37)*Assumptions!$B$153,0)</f>
        <v/>
      </c>
      <c r="AA5372">
        <f>Q5372+R5372+S5372+T5372+U5372+V5372+W5372+X5372+Y5372+Z5372</f>
        <v/>
      </c>
      <c r="AB5372" t="n">
        <v>116</v>
      </c>
      <c r="AC5372" t="n">
        <v>52</v>
      </c>
      <c r="AD5372" t="n">
        <v>84</v>
      </c>
      <c r="AE5372" t="n">
        <v>100</v>
      </c>
      <c r="AF5372" t="n">
        <v>124</v>
      </c>
      <c r="AG5372" t="n">
        <v>112</v>
      </c>
      <c r="AH5372" t="n">
        <v>118</v>
      </c>
      <c r="AI5372" t="n">
        <v>117</v>
      </c>
      <c r="AJ5372">
        <f>INDEX($Q$5256:$Q$5383,AC5372+1)</f>
        <v/>
      </c>
      <c r="AK5372">
        <f>INDEX($R$5256:$R$5383,AD5372+1)</f>
        <v/>
      </c>
      <c r="AL5372">
        <f>INDEX($S$5256:$S$5383,AE5372+1)</f>
        <v/>
      </c>
      <c r="AM5372">
        <f>INDEX($T$5256:$T$5383,AF5372+1)</f>
        <v/>
      </c>
      <c r="AN5372">
        <f>INDEX($U$5256:$U$5383,AG5372+1)</f>
        <v/>
      </c>
      <c r="AO5372">
        <f>INDEX($V$5256:$V$5383,AH5372+1)</f>
        <v/>
      </c>
      <c r="AP5372">
        <f>INDEX($W$5256:$W$5383,AI5372+1)</f>
        <v/>
      </c>
      <c r="AQ5372">
        <f>IF(Q5372&gt;=AJ5372-0.01,1,0)</f>
        <v/>
      </c>
      <c r="AR5372">
        <f>IF(R5372&gt;=AK5372-0.01,1,0)</f>
        <v/>
      </c>
      <c r="AS5372">
        <f>IF(S5372&gt;=AL5372-0.01,1,0)</f>
        <v/>
      </c>
      <c r="AT5372">
        <f>IF(T5372&gt;=AM5372-0.01,1,0)</f>
        <v/>
      </c>
      <c r="AU5372">
        <f>IF(U5372&gt;=AN5372-0.01,1,0)</f>
        <v/>
      </c>
      <c r="AV5372">
        <f>IF(V5372&gt;=AO5372-0.01,1,0)</f>
        <v/>
      </c>
      <c r="AW5372">
        <f>IF(W5372&gt;=AP5372-0.01,1,0)</f>
        <v/>
      </c>
      <c r="AX5372">
        <f>AQ5372*AR5372*AS5372*AT5372*AU5372*AV5372*AW5372</f>
        <v/>
      </c>
    </row>
    <row r="5373">
      <c r="A5373" t="inlineStr"/>
      <c r="B5373">
        <f>Assumptions!$B$60</f>
        <v/>
      </c>
      <c r="C5373" t="n">
        <v>1</v>
      </c>
      <c r="D5373" t="n">
        <v>1</v>
      </c>
      <c r="E5373" t="n">
        <v>1</v>
      </c>
      <c r="F5373" t="n">
        <v>0</v>
      </c>
      <c r="G5373" t="n">
        <v>1</v>
      </c>
      <c r="H5373" t="n">
        <v>0</v>
      </c>
      <c r="I5373" t="n">
        <v>1</v>
      </c>
      <c r="J5373">
        <f>(1-C5373)*Assumptions!$B$41+(1-D5373)*Assumptions!$B$33+(1-E5373)*Assumptions!$B$32+(1-F5373)*Assumptions!$B$31+(1-G5373)*Assumptions!$B$30+(1-H5373)*Assumptions!$B$29+(1-I5373)*Assumptions!$B$28</f>
        <v/>
      </c>
      <c r="K5373">
        <f>C5373*$J$307+D5373*$F$307+E5373*$G$307+F5373*Assumptions!$B$14+G5373*Assumptions!$B$13+H5373*Assumptions!$B$12+I5373*Assumptions!$B$11+$O$307+$S$307+Assumptions!$B$9</f>
        <v/>
      </c>
      <c r="L5373">
        <f>B5373-J5373</f>
        <v/>
      </c>
      <c r="M5373">
        <f>IF(K5373&gt;0,IF(L5373/K5373&gt;=Assumptions!$B$37,1,0),0)</f>
        <v/>
      </c>
      <c r="N5373">
        <f>K5373+M5373*Assumptions!$B$153</f>
        <v/>
      </c>
      <c r="O5373">
        <f>L5373+M5373*Assumptions!$B$153*Assumptions!$B$37</f>
        <v/>
      </c>
      <c r="P5373">
        <f>IF(N5373&gt;0,O5373/N5373,0)</f>
        <v/>
      </c>
      <c r="Q5373">
        <f>IF(C5373=1,P5373*$J$307,Assumptions!$B$41)</f>
        <v/>
      </c>
      <c r="R5373">
        <f>IF(D5373=1,P5373*$F$307,Assumptions!$B$33)</f>
        <v/>
      </c>
      <c r="S5373">
        <f>IF(E5373=1,P5373*$G$307,Assumptions!$B$32)</f>
        <v/>
      </c>
      <c r="T5373">
        <f>IF(F5373=1,P5373*Assumptions!$B$14,Assumptions!$B$31)</f>
        <v/>
      </c>
      <c r="U5373">
        <f>IF(G5373=1,P5373*Assumptions!$B$13,Assumptions!$B$30)</f>
        <v/>
      </c>
      <c r="V5373">
        <f>IF(H5373=1,P5373*Assumptions!$B$12,Assumptions!$B$29)</f>
        <v/>
      </c>
      <c r="W5373">
        <f>IF(I5373=1,P5373*Assumptions!$B$11,Assumptions!$B$28)</f>
        <v/>
      </c>
      <c r="X5373">
        <f>P5373*($O$307+$S$307)</f>
        <v/>
      </c>
      <c r="Y5373">
        <f>P5373*Assumptions!$B$9</f>
        <v/>
      </c>
      <c r="Z5373">
        <f>IF(M5373=1,(P5373-Assumptions!$B$37)*Assumptions!$B$153,0)</f>
        <v/>
      </c>
      <c r="AA5373">
        <f>Q5373+R5373+S5373+T5373+U5373+V5373+W5373+X5373+Y5373+Z5373</f>
        <v/>
      </c>
      <c r="AB5373" t="n">
        <v>117</v>
      </c>
      <c r="AC5373" t="n">
        <v>53</v>
      </c>
      <c r="AD5373" t="n">
        <v>85</v>
      </c>
      <c r="AE5373" t="n">
        <v>101</v>
      </c>
      <c r="AF5373" t="n">
        <v>125</v>
      </c>
      <c r="AG5373" t="n">
        <v>113</v>
      </c>
      <c r="AH5373" t="n">
        <v>119</v>
      </c>
      <c r="AI5373" t="n">
        <v>116</v>
      </c>
      <c r="AJ5373">
        <f>INDEX($Q$5256:$Q$5383,AC5373+1)</f>
        <v/>
      </c>
      <c r="AK5373">
        <f>INDEX($R$5256:$R$5383,AD5373+1)</f>
        <v/>
      </c>
      <c r="AL5373">
        <f>INDEX($S$5256:$S$5383,AE5373+1)</f>
        <v/>
      </c>
      <c r="AM5373">
        <f>INDEX($T$5256:$T$5383,AF5373+1)</f>
        <v/>
      </c>
      <c r="AN5373">
        <f>INDEX($U$5256:$U$5383,AG5373+1)</f>
        <v/>
      </c>
      <c r="AO5373">
        <f>INDEX($V$5256:$V$5383,AH5373+1)</f>
        <v/>
      </c>
      <c r="AP5373">
        <f>INDEX($W$5256:$W$5383,AI5373+1)</f>
        <v/>
      </c>
      <c r="AQ5373">
        <f>IF(Q5373&gt;=AJ5373-0.01,1,0)</f>
        <v/>
      </c>
      <c r="AR5373">
        <f>IF(R5373&gt;=AK5373-0.01,1,0)</f>
        <v/>
      </c>
      <c r="AS5373">
        <f>IF(S5373&gt;=AL5373-0.01,1,0)</f>
        <v/>
      </c>
      <c r="AT5373">
        <f>IF(T5373&gt;=AM5373-0.01,1,0)</f>
        <v/>
      </c>
      <c r="AU5373">
        <f>IF(U5373&gt;=AN5373-0.01,1,0)</f>
        <v/>
      </c>
      <c r="AV5373">
        <f>IF(V5373&gt;=AO5373-0.01,1,0)</f>
        <v/>
      </c>
      <c r="AW5373">
        <f>IF(W5373&gt;=AP5373-0.01,1,0)</f>
        <v/>
      </c>
      <c r="AX5373">
        <f>AQ5373*AR5373*AS5373*AT5373*AU5373*AV5373*AW5373</f>
        <v/>
      </c>
    </row>
    <row r="5374">
      <c r="A5374" t="inlineStr"/>
      <c r="B5374">
        <f>Assumptions!$B$60</f>
        <v/>
      </c>
      <c r="C5374" t="n">
        <v>1</v>
      </c>
      <c r="D5374" t="n">
        <v>1</v>
      </c>
      <c r="E5374" t="n">
        <v>1</v>
      </c>
      <c r="F5374" t="n">
        <v>0</v>
      </c>
      <c r="G5374" t="n">
        <v>1</v>
      </c>
      <c r="H5374" t="n">
        <v>1</v>
      </c>
      <c r="I5374" t="n">
        <v>0</v>
      </c>
      <c r="J5374">
        <f>(1-C5374)*Assumptions!$B$41+(1-D5374)*Assumptions!$B$33+(1-E5374)*Assumptions!$B$32+(1-F5374)*Assumptions!$B$31+(1-G5374)*Assumptions!$B$30+(1-H5374)*Assumptions!$B$29+(1-I5374)*Assumptions!$B$28</f>
        <v/>
      </c>
      <c r="K5374">
        <f>C5374*$J$307+D5374*$F$307+E5374*$G$307+F5374*Assumptions!$B$14+G5374*Assumptions!$B$13+H5374*Assumptions!$B$12+I5374*Assumptions!$B$11+$O$307+$S$307+Assumptions!$B$9</f>
        <v/>
      </c>
      <c r="L5374">
        <f>B5374-J5374</f>
        <v/>
      </c>
      <c r="M5374">
        <f>IF(K5374&gt;0,IF(L5374/K5374&gt;=Assumptions!$B$37,1,0),0)</f>
        <v/>
      </c>
      <c r="N5374">
        <f>K5374+M5374*Assumptions!$B$153</f>
        <v/>
      </c>
      <c r="O5374">
        <f>L5374+M5374*Assumptions!$B$153*Assumptions!$B$37</f>
        <v/>
      </c>
      <c r="P5374">
        <f>IF(N5374&gt;0,O5374/N5374,0)</f>
        <v/>
      </c>
      <c r="Q5374">
        <f>IF(C5374=1,P5374*$J$307,Assumptions!$B$41)</f>
        <v/>
      </c>
      <c r="R5374">
        <f>IF(D5374=1,P5374*$F$307,Assumptions!$B$33)</f>
        <v/>
      </c>
      <c r="S5374">
        <f>IF(E5374=1,P5374*$G$307,Assumptions!$B$32)</f>
        <v/>
      </c>
      <c r="T5374">
        <f>IF(F5374=1,P5374*Assumptions!$B$14,Assumptions!$B$31)</f>
        <v/>
      </c>
      <c r="U5374">
        <f>IF(G5374=1,P5374*Assumptions!$B$13,Assumptions!$B$30)</f>
        <v/>
      </c>
      <c r="V5374">
        <f>IF(H5374=1,P5374*Assumptions!$B$12,Assumptions!$B$29)</f>
        <v/>
      </c>
      <c r="W5374">
        <f>IF(I5374=1,P5374*Assumptions!$B$11,Assumptions!$B$28)</f>
        <v/>
      </c>
      <c r="X5374">
        <f>P5374*($O$307+$S$307)</f>
        <v/>
      </c>
      <c r="Y5374">
        <f>P5374*Assumptions!$B$9</f>
        <v/>
      </c>
      <c r="Z5374">
        <f>IF(M5374=1,(P5374-Assumptions!$B$37)*Assumptions!$B$153,0)</f>
        <v/>
      </c>
      <c r="AA5374">
        <f>Q5374+R5374+S5374+T5374+U5374+V5374+W5374+X5374+Y5374+Z5374</f>
        <v/>
      </c>
      <c r="AB5374" t="n">
        <v>118</v>
      </c>
      <c r="AC5374" t="n">
        <v>54</v>
      </c>
      <c r="AD5374" t="n">
        <v>86</v>
      </c>
      <c r="AE5374" t="n">
        <v>102</v>
      </c>
      <c r="AF5374" t="n">
        <v>126</v>
      </c>
      <c r="AG5374" t="n">
        <v>114</v>
      </c>
      <c r="AH5374" t="n">
        <v>116</v>
      </c>
      <c r="AI5374" t="n">
        <v>119</v>
      </c>
      <c r="AJ5374">
        <f>INDEX($Q$5256:$Q$5383,AC5374+1)</f>
        <v/>
      </c>
      <c r="AK5374">
        <f>INDEX($R$5256:$R$5383,AD5374+1)</f>
        <v/>
      </c>
      <c r="AL5374">
        <f>INDEX($S$5256:$S$5383,AE5374+1)</f>
        <v/>
      </c>
      <c r="AM5374">
        <f>INDEX($T$5256:$T$5383,AF5374+1)</f>
        <v/>
      </c>
      <c r="AN5374">
        <f>INDEX($U$5256:$U$5383,AG5374+1)</f>
        <v/>
      </c>
      <c r="AO5374">
        <f>INDEX($V$5256:$V$5383,AH5374+1)</f>
        <v/>
      </c>
      <c r="AP5374">
        <f>INDEX($W$5256:$W$5383,AI5374+1)</f>
        <v/>
      </c>
      <c r="AQ5374">
        <f>IF(Q5374&gt;=AJ5374-0.01,1,0)</f>
        <v/>
      </c>
      <c r="AR5374">
        <f>IF(R5374&gt;=AK5374-0.01,1,0)</f>
        <v/>
      </c>
      <c r="AS5374">
        <f>IF(S5374&gt;=AL5374-0.01,1,0)</f>
        <v/>
      </c>
      <c r="AT5374">
        <f>IF(T5374&gt;=AM5374-0.01,1,0)</f>
        <v/>
      </c>
      <c r="AU5374">
        <f>IF(U5374&gt;=AN5374-0.01,1,0)</f>
        <v/>
      </c>
      <c r="AV5374">
        <f>IF(V5374&gt;=AO5374-0.01,1,0)</f>
        <v/>
      </c>
      <c r="AW5374">
        <f>IF(W5374&gt;=AP5374-0.01,1,0)</f>
        <v/>
      </c>
      <c r="AX5374">
        <f>AQ5374*AR5374*AS5374*AT5374*AU5374*AV5374*AW5374</f>
        <v/>
      </c>
    </row>
    <row r="5375">
      <c r="A5375" t="inlineStr"/>
      <c r="B5375">
        <f>Assumptions!$B$60</f>
        <v/>
      </c>
      <c r="C5375" t="n">
        <v>1</v>
      </c>
      <c r="D5375" t="n">
        <v>1</v>
      </c>
      <c r="E5375" t="n">
        <v>1</v>
      </c>
      <c r="F5375" t="n">
        <v>0</v>
      </c>
      <c r="G5375" t="n">
        <v>1</v>
      </c>
      <c r="H5375" t="n">
        <v>1</v>
      </c>
      <c r="I5375" t="n">
        <v>1</v>
      </c>
      <c r="J5375">
        <f>(1-C5375)*Assumptions!$B$41+(1-D5375)*Assumptions!$B$33+(1-E5375)*Assumptions!$B$32+(1-F5375)*Assumptions!$B$31+(1-G5375)*Assumptions!$B$30+(1-H5375)*Assumptions!$B$29+(1-I5375)*Assumptions!$B$28</f>
        <v/>
      </c>
      <c r="K5375">
        <f>C5375*$J$307+D5375*$F$307+E5375*$G$307+F5375*Assumptions!$B$14+G5375*Assumptions!$B$13+H5375*Assumptions!$B$12+I5375*Assumptions!$B$11+$O$307+$S$307+Assumptions!$B$9</f>
        <v/>
      </c>
      <c r="L5375">
        <f>B5375-J5375</f>
        <v/>
      </c>
      <c r="M5375">
        <f>IF(K5375&gt;0,IF(L5375/K5375&gt;=Assumptions!$B$37,1,0),0)</f>
        <v/>
      </c>
      <c r="N5375">
        <f>K5375+M5375*Assumptions!$B$153</f>
        <v/>
      </c>
      <c r="O5375">
        <f>L5375+M5375*Assumptions!$B$153*Assumptions!$B$37</f>
        <v/>
      </c>
      <c r="P5375">
        <f>IF(N5375&gt;0,O5375/N5375,0)</f>
        <v/>
      </c>
      <c r="Q5375">
        <f>IF(C5375=1,P5375*$J$307,Assumptions!$B$41)</f>
        <v/>
      </c>
      <c r="R5375">
        <f>IF(D5375=1,P5375*$F$307,Assumptions!$B$33)</f>
        <v/>
      </c>
      <c r="S5375">
        <f>IF(E5375=1,P5375*$G$307,Assumptions!$B$32)</f>
        <v/>
      </c>
      <c r="T5375">
        <f>IF(F5375=1,P5375*Assumptions!$B$14,Assumptions!$B$31)</f>
        <v/>
      </c>
      <c r="U5375">
        <f>IF(G5375=1,P5375*Assumptions!$B$13,Assumptions!$B$30)</f>
        <v/>
      </c>
      <c r="V5375">
        <f>IF(H5375=1,P5375*Assumptions!$B$12,Assumptions!$B$29)</f>
        <v/>
      </c>
      <c r="W5375">
        <f>IF(I5375=1,P5375*Assumptions!$B$11,Assumptions!$B$28)</f>
        <v/>
      </c>
      <c r="X5375">
        <f>P5375*($O$307+$S$307)</f>
        <v/>
      </c>
      <c r="Y5375">
        <f>P5375*Assumptions!$B$9</f>
        <v/>
      </c>
      <c r="Z5375">
        <f>IF(M5375=1,(P5375-Assumptions!$B$37)*Assumptions!$B$153,0)</f>
        <v/>
      </c>
      <c r="AA5375">
        <f>Q5375+R5375+S5375+T5375+U5375+V5375+W5375+X5375+Y5375+Z5375</f>
        <v/>
      </c>
      <c r="AB5375" t="n">
        <v>119</v>
      </c>
      <c r="AC5375" t="n">
        <v>55</v>
      </c>
      <c r="AD5375" t="n">
        <v>87</v>
      </c>
      <c r="AE5375" t="n">
        <v>103</v>
      </c>
      <c r="AF5375" t="n">
        <v>127</v>
      </c>
      <c r="AG5375" t="n">
        <v>115</v>
      </c>
      <c r="AH5375" t="n">
        <v>117</v>
      </c>
      <c r="AI5375" t="n">
        <v>118</v>
      </c>
      <c r="AJ5375">
        <f>INDEX($Q$5256:$Q$5383,AC5375+1)</f>
        <v/>
      </c>
      <c r="AK5375">
        <f>INDEX($R$5256:$R$5383,AD5375+1)</f>
        <v/>
      </c>
      <c r="AL5375">
        <f>INDEX($S$5256:$S$5383,AE5375+1)</f>
        <v/>
      </c>
      <c r="AM5375">
        <f>INDEX($T$5256:$T$5383,AF5375+1)</f>
        <v/>
      </c>
      <c r="AN5375">
        <f>INDEX($U$5256:$U$5383,AG5375+1)</f>
        <v/>
      </c>
      <c r="AO5375">
        <f>INDEX($V$5256:$V$5383,AH5375+1)</f>
        <v/>
      </c>
      <c r="AP5375">
        <f>INDEX($W$5256:$W$5383,AI5375+1)</f>
        <v/>
      </c>
      <c r="AQ5375">
        <f>IF(Q5375&gt;=AJ5375-0.01,1,0)</f>
        <v/>
      </c>
      <c r="AR5375">
        <f>IF(R5375&gt;=AK5375-0.01,1,0)</f>
        <v/>
      </c>
      <c r="AS5375">
        <f>IF(S5375&gt;=AL5375-0.01,1,0)</f>
        <v/>
      </c>
      <c r="AT5375">
        <f>IF(T5375&gt;=AM5375-0.01,1,0)</f>
        <v/>
      </c>
      <c r="AU5375">
        <f>IF(U5375&gt;=AN5375-0.01,1,0)</f>
        <v/>
      </c>
      <c r="AV5375">
        <f>IF(V5375&gt;=AO5375-0.01,1,0)</f>
        <v/>
      </c>
      <c r="AW5375">
        <f>IF(W5375&gt;=AP5375-0.01,1,0)</f>
        <v/>
      </c>
      <c r="AX5375">
        <f>AQ5375*AR5375*AS5375*AT5375*AU5375*AV5375*AW5375</f>
        <v/>
      </c>
    </row>
    <row r="5376">
      <c r="A5376" t="inlineStr"/>
      <c r="B5376">
        <f>Assumptions!$B$60</f>
        <v/>
      </c>
      <c r="C5376" t="n">
        <v>1</v>
      </c>
      <c r="D5376" t="n">
        <v>1</v>
      </c>
      <c r="E5376" t="n">
        <v>1</v>
      </c>
      <c r="F5376" t="n">
        <v>1</v>
      </c>
      <c r="G5376" t="n">
        <v>0</v>
      </c>
      <c r="H5376" t="n">
        <v>0</v>
      </c>
      <c r="I5376" t="n">
        <v>0</v>
      </c>
      <c r="J5376">
        <f>(1-C5376)*Assumptions!$B$41+(1-D5376)*Assumptions!$B$33+(1-E5376)*Assumptions!$B$32+(1-F5376)*Assumptions!$B$31+(1-G5376)*Assumptions!$B$30+(1-H5376)*Assumptions!$B$29+(1-I5376)*Assumptions!$B$28</f>
        <v/>
      </c>
      <c r="K5376">
        <f>C5376*$J$307+D5376*$F$307+E5376*$G$307+F5376*Assumptions!$B$14+G5376*Assumptions!$B$13+H5376*Assumptions!$B$12+I5376*Assumptions!$B$11+$O$307+$S$307+Assumptions!$B$9</f>
        <v/>
      </c>
      <c r="L5376">
        <f>B5376-J5376</f>
        <v/>
      </c>
      <c r="M5376">
        <f>IF(K5376&gt;0,IF(L5376/K5376&gt;=Assumptions!$B$37,1,0),0)</f>
        <v/>
      </c>
      <c r="N5376">
        <f>K5376+M5376*Assumptions!$B$153</f>
        <v/>
      </c>
      <c r="O5376">
        <f>L5376+M5376*Assumptions!$B$153*Assumptions!$B$37</f>
        <v/>
      </c>
      <c r="P5376">
        <f>IF(N5376&gt;0,O5376/N5376,0)</f>
        <v/>
      </c>
      <c r="Q5376">
        <f>IF(C5376=1,P5376*$J$307,Assumptions!$B$41)</f>
        <v/>
      </c>
      <c r="R5376">
        <f>IF(D5376=1,P5376*$F$307,Assumptions!$B$33)</f>
        <v/>
      </c>
      <c r="S5376">
        <f>IF(E5376=1,P5376*$G$307,Assumptions!$B$32)</f>
        <v/>
      </c>
      <c r="T5376">
        <f>IF(F5376=1,P5376*Assumptions!$B$14,Assumptions!$B$31)</f>
        <v/>
      </c>
      <c r="U5376">
        <f>IF(G5376=1,P5376*Assumptions!$B$13,Assumptions!$B$30)</f>
        <v/>
      </c>
      <c r="V5376">
        <f>IF(H5376=1,P5376*Assumptions!$B$12,Assumptions!$B$29)</f>
        <v/>
      </c>
      <c r="W5376">
        <f>IF(I5376=1,P5376*Assumptions!$B$11,Assumptions!$B$28)</f>
        <v/>
      </c>
      <c r="X5376">
        <f>P5376*($O$307+$S$307)</f>
        <v/>
      </c>
      <c r="Y5376">
        <f>P5376*Assumptions!$B$9</f>
        <v/>
      </c>
      <c r="Z5376">
        <f>IF(M5376=1,(P5376-Assumptions!$B$37)*Assumptions!$B$153,0)</f>
        <v/>
      </c>
      <c r="AA5376">
        <f>Q5376+R5376+S5376+T5376+U5376+V5376+W5376+X5376+Y5376+Z5376</f>
        <v/>
      </c>
      <c r="AB5376" t="n">
        <v>120</v>
      </c>
      <c r="AC5376" t="n">
        <v>56</v>
      </c>
      <c r="AD5376" t="n">
        <v>88</v>
      </c>
      <c r="AE5376" t="n">
        <v>104</v>
      </c>
      <c r="AF5376" t="n">
        <v>112</v>
      </c>
      <c r="AG5376" t="n">
        <v>124</v>
      </c>
      <c r="AH5376" t="n">
        <v>122</v>
      </c>
      <c r="AI5376" t="n">
        <v>121</v>
      </c>
      <c r="AJ5376">
        <f>INDEX($Q$5256:$Q$5383,AC5376+1)</f>
        <v/>
      </c>
      <c r="AK5376">
        <f>INDEX($R$5256:$R$5383,AD5376+1)</f>
        <v/>
      </c>
      <c r="AL5376">
        <f>INDEX($S$5256:$S$5383,AE5376+1)</f>
        <v/>
      </c>
      <c r="AM5376">
        <f>INDEX($T$5256:$T$5383,AF5376+1)</f>
        <v/>
      </c>
      <c r="AN5376">
        <f>INDEX($U$5256:$U$5383,AG5376+1)</f>
        <v/>
      </c>
      <c r="AO5376">
        <f>INDEX($V$5256:$V$5383,AH5376+1)</f>
        <v/>
      </c>
      <c r="AP5376">
        <f>INDEX($W$5256:$W$5383,AI5376+1)</f>
        <v/>
      </c>
      <c r="AQ5376">
        <f>IF(Q5376&gt;=AJ5376-0.01,1,0)</f>
        <v/>
      </c>
      <c r="AR5376">
        <f>IF(R5376&gt;=AK5376-0.01,1,0)</f>
        <v/>
      </c>
      <c r="AS5376">
        <f>IF(S5376&gt;=AL5376-0.01,1,0)</f>
        <v/>
      </c>
      <c r="AT5376">
        <f>IF(T5376&gt;=AM5376-0.01,1,0)</f>
        <v/>
      </c>
      <c r="AU5376">
        <f>IF(U5376&gt;=AN5376-0.01,1,0)</f>
        <v/>
      </c>
      <c r="AV5376">
        <f>IF(V5376&gt;=AO5376-0.01,1,0)</f>
        <v/>
      </c>
      <c r="AW5376">
        <f>IF(W5376&gt;=AP5376-0.01,1,0)</f>
        <v/>
      </c>
      <c r="AX5376">
        <f>AQ5376*AR5376*AS5376*AT5376*AU5376*AV5376*AW5376</f>
        <v/>
      </c>
    </row>
    <row r="5377">
      <c r="A5377" t="inlineStr"/>
      <c r="B5377">
        <f>Assumptions!$B$60</f>
        <v/>
      </c>
      <c r="C5377" t="n">
        <v>1</v>
      </c>
      <c r="D5377" t="n">
        <v>1</v>
      </c>
      <c r="E5377" t="n">
        <v>1</v>
      </c>
      <c r="F5377" t="n">
        <v>1</v>
      </c>
      <c r="G5377" t="n">
        <v>0</v>
      </c>
      <c r="H5377" t="n">
        <v>0</v>
      </c>
      <c r="I5377" t="n">
        <v>1</v>
      </c>
      <c r="J5377">
        <f>(1-C5377)*Assumptions!$B$41+(1-D5377)*Assumptions!$B$33+(1-E5377)*Assumptions!$B$32+(1-F5377)*Assumptions!$B$31+(1-G5377)*Assumptions!$B$30+(1-H5377)*Assumptions!$B$29+(1-I5377)*Assumptions!$B$28</f>
        <v/>
      </c>
      <c r="K5377">
        <f>C5377*$J$307+D5377*$F$307+E5377*$G$307+F5377*Assumptions!$B$14+G5377*Assumptions!$B$13+H5377*Assumptions!$B$12+I5377*Assumptions!$B$11+$O$307+$S$307+Assumptions!$B$9</f>
        <v/>
      </c>
      <c r="L5377">
        <f>B5377-J5377</f>
        <v/>
      </c>
      <c r="M5377">
        <f>IF(K5377&gt;0,IF(L5377/K5377&gt;=Assumptions!$B$37,1,0),0)</f>
        <v/>
      </c>
      <c r="N5377">
        <f>K5377+M5377*Assumptions!$B$153</f>
        <v/>
      </c>
      <c r="O5377">
        <f>L5377+M5377*Assumptions!$B$153*Assumptions!$B$37</f>
        <v/>
      </c>
      <c r="P5377">
        <f>IF(N5377&gt;0,O5377/N5377,0)</f>
        <v/>
      </c>
      <c r="Q5377">
        <f>IF(C5377=1,P5377*$J$307,Assumptions!$B$41)</f>
        <v/>
      </c>
      <c r="R5377">
        <f>IF(D5377=1,P5377*$F$307,Assumptions!$B$33)</f>
        <v/>
      </c>
      <c r="S5377">
        <f>IF(E5377=1,P5377*$G$307,Assumptions!$B$32)</f>
        <v/>
      </c>
      <c r="T5377">
        <f>IF(F5377=1,P5377*Assumptions!$B$14,Assumptions!$B$31)</f>
        <v/>
      </c>
      <c r="U5377">
        <f>IF(G5377=1,P5377*Assumptions!$B$13,Assumptions!$B$30)</f>
        <v/>
      </c>
      <c r="V5377">
        <f>IF(H5377=1,P5377*Assumptions!$B$12,Assumptions!$B$29)</f>
        <v/>
      </c>
      <c r="W5377">
        <f>IF(I5377=1,P5377*Assumptions!$B$11,Assumptions!$B$28)</f>
        <v/>
      </c>
      <c r="X5377">
        <f>P5377*($O$307+$S$307)</f>
        <v/>
      </c>
      <c r="Y5377">
        <f>P5377*Assumptions!$B$9</f>
        <v/>
      </c>
      <c r="Z5377">
        <f>IF(M5377=1,(P5377-Assumptions!$B$37)*Assumptions!$B$153,0)</f>
        <v/>
      </c>
      <c r="AA5377">
        <f>Q5377+R5377+S5377+T5377+U5377+V5377+W5377+X5377+Y5377+Z5377</f>
        <v/>
      </c>
      <c r="AB5377" t="n">
        <v>121</v>
      </c>
      <c r="AC5377" t="n">
        <v>57</v>
      </c>
      <c r="AD5377" t="n">
        <v>89</v>
      </c>
      <c r="AE5377" t="n">
        <v>105</v>
      </c>
      <c r="AF5377" t="n">
        <v>113</v>
      </c>
      <c r="AG5377" t="n">
        <v>125</v>
      </c>
      <c r="AH5377" t="n">
        <v>123</v>
      </c>
      <c r="AI5377" t="n">
        <v>120</v>
      </c>
      <c r="AJ5377">
        <f>INDEX($Q$5256:$Q$5383,AC5377+1)</f>
        <v/>
      </c>
      <c r="AK5377">
        <f>INDEX($R$5256:$R$5383,AD5377+1)</f>
        <v/>
      </c>
      <c r="AL5377">
        <f>INDEX($S$5256:$S$5383,AE5377+1)</f>
        <v/>
      </c>
      <c r="AM5377">
        <f>INDEX($T$5256:$T$5383,AF5377+1)</f>
        <v/>
      </c>
      <c r="AN5377">
        <f>INDEX($U$5256:$U$5383,AG5377+1)</f>
        <v/>
      </c>
      <c r="AO5377">
        <f>INDEX($V$5256:$V$5383,AH5377+1)</f>
        <v/>
      </c>
      <c r="AP5377">
        <f>INDEX($W$5256:$W$5383,AI5377+1)</f>
        <v/>
      </c>
      <c r="AQ5377">
        <f>IF(Q5377&gt;=AJ5377-0.01,1,0)</f>
        <v/>
      </c>
      <c r="AR5377">
        <f>IF(R5377&gt;=AK5377-0.01,1,0)</f>
        <v/>
      </c>
      <c r="AS5377">
        <f>IF(S5377&gt;=AL5377-0.01,1,0)</f>
        <v/>
      </c>
      <c r="AT5377">
        <f>IF(T5377&gt;=AM5377-0.01,1,0)</f>
        <v/>
      </c>
      <c r="AU5377">
        <f>IF(U5377&gt;=AN5377-0.01,1,0)</f>
        <v/>
      </c>
      <c r="AV5377">
        <f>IF(V5377&gt;=AO5377-0.01,1,0)</f>
        <v/>
      </c>
      <c r="AW5377">
        <f>IF(W5377&gt;=AP5377-0.01,1,0)</f>
        <v/>
      </c>
      <c r="AX5377">
        <f>AQ5377*AR5377*AS5377*AT5377*AU5377*AV5377*AW5377</f>
        <v/>
      </c>
    </row>
    <row r="5378">
      <c r="A5378" t="inlineStr"/>
      <c r="B5378">
        <f>Assumptions!$B$60</f>
        <v/>
      </c>
      <c r="C5378" t="n">
        <v>1</v>
      </c>
      <c r="D5378" t="n">
        <v>1</v>
      </c>
      <c r="E5378" t="n">
        <v>1</v>
      </c>
      <c r="F5378" t="n">
        <v>1</v>
      </c>
      <c r="G5378" t="n">
        <v>0</v>
      </c>
      <c r="H5378" t="n">
        <v>1</v>
      </c>
      <c r="I5378" t="n">
        <v>0</v>
      </c>
      <c r="J5378">
        <f>(1-C5378)*Assumptions!$B$41+(1-D5378)*Assumptions!$B$33+(1-E5378)*Assumptions!$B$32+(1-F5378)*Assumptions!$B$31+(1-G5378)*Assumptions!$B$30+(1-H5378)*Assumptions!$B$29+(1-I5378)*Assumptions!$B$28</f>
        <v/>
      </c>
      <c r="K5378">
        <f>C5378*$J$307+D5378*$F$307+E5378*$G$307+F5378*Assumptions!$B$14+G5378*Assumptions!$B$13+H5378*Assumptions!$B$12+I5378*Assumptions!$B$11+$O$307+$S$307+Assumptions!$B$9</f>
        <v/>
      </c>
      <c r="L5378">
        <f>B5378-J5378</f>
        <v/>
      </c>
      <c r="M5378">
        <f>IF(K5378&gt;0,IF(L5378/K5378&gt;=Assumptions!$B$37,1,0),0)</f>
        <v/>
      </c>
      <c r="N5378">
        <f>K5378+M5378*Assumptions!$B$153</f>
        <v/>
      </c>
      <c r="O5378">
        <f>L5378+M5378*Assumptions!$B$153*Assumptions!$B$37</f>
        <v/>
      </c>
      <c r="P5378">
        <f>IF(N5378&gt;0,O5378/N5378,0)</f>
        <v/>
      </c>
      <c r="Q5378">
        <f>IF(C5378=1,P5378*$J$307,Assumptions!$B$41)</f>
        <v/>
      </c>
      <c r="R5378">
        <f>IF(D5378=1,P5378*$F$307,Assumptions!$B$33)</f>
        <v/>
      </c>
      <c r="S5378">
        <f>IF(E5378=1,P5378*$G$307,Assumptions!$B$32)</f>
        <v/>
      </c>
      <c r="T5378">
        <f>IF(F5378=1,P5378*Assumptions!$B$14,Assumptions!$B$31)</f>
        <v/>
      </c>
      <c r="U5378">
        <f>IF(G5378=1,P5378*Assumptions!$B$13,Assumptions!$B$30)</f>
        <v/>
      </c>
      <c r="V5378">
        <f>IF(H5378=1,P5378*Assumptions!$B$12,Assumptions!$B$29)</f>
        <v/>
      </c>
      <c r="W5378">
        <f>IF(I5378=1,P5378*Assumptions!$B$11,Assumptions!$B$28)</f>
        <v/>
      </c>
      <c r="X5378">
        <f>P5378*($O$307+$S$307)</f>
        <v/>
      </c>
      <c r="Y5378">
        <f>P5378*Assumptions!$B$9</f>
        <v/>
      </c>
      <c r="Z5378">
        <f>IF(M5378=1,(P5378-Assumptions!$B$37)*Assumptions!$B$153,0)</f>
        <v/>
      </c>
      <c r="AA5378">
        <f>Q5378+R5378+S5378+T5378+U5378+V5378+W5378+X5378+Y5378+Z5378</f>
        <v/>
      </c>
      <c r="AB5378" t="n">
        <v>122</v>
      </c>
      <c r="AC5378" t="n">
        <v>58</v>
      </c>
      <c r="AD5378" t="n">
        <v>90</v>
      </c>
      <c r="AE5378" t="n">
        <v>106</v>
      </c>
      <c r="AF5378" t="n">
        <v>114</v>
      </c>
      <c r="AG5378" t="n">
        <v>126</v>
      </c>
      <c r="AH5378" t="n">
        <v>120</v>
      </c>
      <c r="AI5378" t="n">
        <v>123</v>
      </c>
      <c r="AJ5378">
        <f>INDEX($Q$5256:$Q$5383,AC5378+1)</f>
        <v/>
      </c>
      <c r="AK5378">
        <f>INDEX($R$5256:$R$5383,AD5378+1)</f>
        <v/>
      </c>
      <c r="AL5378">
        <f>INDEX($S$5256:$S$5383,AE5378+1)</f>
        <v/>
      </c>
      <c r="AM5378">
        <f>INDEX($T$5256:$T$5383,AF5378+1)</f>
        <v/>
      </c>
      <c r="AN5378">
        <f>INDEX($U$5256:$U$5383,AG5378+1)</f>
        <v/>
      </c>
      <c r="AO5378">
        <f>INDEX($V$5256:$V$5383,AH5378+1)</f>
        <v/>
      </c>
      <c r="AP5378">
        <f>INDEX($W$5256:$W$5383,AI5378+1)</f>
        <v/>
      </c>
      <c r="AQ5378">
        <f>IF(Q5378&gt;=AJ5378-0.01,1,0)</f>
        <v/>
      </c>
      <c r="AR5378">
        <f>IF(R5378&gt;=AK5378-0.01,1,0)</f>
        <v/>
      </c>
      <c r="AS5378">
        <f>IF(S5378&gt;=AL5378-0.01,1,0)</f>
        <v/>
      </c>
      <c r="AT5378">
        <f>IF(T5378&gt;=AM5378-0.01,1,0)</f>
        <v/>
      </c>
      <c r="AU5378">
        <f>IF(U5378&gt;=AN5378-0.01,1,0)</f>
        <v/>
      </c>
      <c r="AV5378">
        <f>IF(V5378&gt;=AO5378-0.01,1,0)</f>
        <v/>
      </c>
      <c r="AW5378">
        <f>IF(W5378&gt;=AP5378-0.01,1,0)</f>
        <v/>
      </c>
      <c r="AX5378">
        <f>AQ5378*AR5378*AS5378*AT5378*AU5378*AV5378*AW5378</f>
        <v/>
      </c>
    </row>
    <row r="5379">
      <c r="A5379" t="inlineStr"/>
      <c r="B5379">
        <f>Assumptions!$B$60</f>
        <v/>
      </c>
      <c r="C5379" t="n">
        <v>1</v>
      </c>
      <c r="D5379" t="n">
        <v>1</v>
      </c>
      <c r="E5379" t="n">
        <v>1</v>
      </c>
      <c r="F5379" t="n">
        <v>1</v>
      </c>
      <c r="G5379" t="n">
        <v>0</v>
      </c>
      <c r="H5379" t="n">
        <v>1</v>
      </c>
      <c r="I5379" t="n">
        <v>1</v>
      </c>
      <c r="J5379">
        <f>(1-C5379)*Assumptions!$B$41+(1-D5379)*Assumptions!$B$33+(1-E5379)*Assumptions!$B$32+(1-F5379)*Assumptions!$B$31+(1-G5379)*Assumptions!$B$30+(1-H5379)*Assumptions!$B$29+(1-I5379)*Assumptions!$B$28</f>
        <v/>
      </c>
      <c r="K5379">
        <f>C5379*$J$307+D5379*$F$307+E5379*$G$307+F5379*Assumptions!$B$14+G5379*Assumptions!$B$13+H5379*Assumptions!$B$12+I5379*Assumptions!$B$11+$O$307+$S$307+Assumptions!$B$9</f>
        <v/>
      </c>
      <c r="L5379">
        <f>B5379-J5379</f>
        <v/>
      </c>
      <c r="M5379">
        <f>IF(K5379&gt;0,IF(L5379/K5379&gt;=Assumptions!$B$37,1,0),0)</f>
        <v/>
      </c>
      <c r="N5379">
        <f>K5379+M5379*Assumptions!$B$153</f>
        <v/>
      </c>
      <c r="O5379">
        <f>L5379+M5379*Assumptions!$B$153*Assumptions!$B$37</f>
        <v/>
      </c>
      <c r="P5379">
        <f>IF(N5379&gt;0,O5379/N5379,0)</f>
        <v/>
      </c>
      <c r="Q5379">
        <f>IF(C5379=1,P5379*$J$307,Assumptions!$B$41)</f>
        <v/>
      </c>
      <c r="R5379">
        <f>IF(D5379=1,P5379*$F$307,Assumptions!$B$33)</f>
        <v/>
      </c>
      <c r="S5379">
        <f>IF(E5379=1,P5379*$G$307,Assumptions!$B$32)</f>
        <v/>
      </c>
      <c r="T5379">
        <f>IF(F5379=1,P5379*Assumptions!$B$14,Assumptions!$B$31)</f>
        <v/>
      </c>
      <c r="U5379">
        <f>IF(G5379=1,P5379*Assumptions!$B$13,Assumptions!$B$30)</f>
        <v/>
      </c>
      <c r="V5379">
        <f>IF(H5379=1,P5379*Assumptions!$B$12,Assumptions!$B$29)</f>
        <v/>
      </c>
      <c r="W5379">
        <f>IF(I5379=1,P5379*Assumptions!$B$11,Assumptions!$B$28)</f>
        <v/>
      </c>
      <c r="X5379">
        <f>P5379*($O$307+$S$307)</f>
        <v/>
      </c>
      <c r="Y5379">
        <f>P5379*Assumptions!$B$9</f>
        <v/>
      </c>
      <c r="Z5379">
        <f>IF(M5379=1,(P5379-Assumptions!$B$37)*Assumptions!$B$153,0)</f>
        <v/>
      </c>
      <c r="AA5379">
        <f>Q5379+R5379+S5379+T5379+U5379+V5379+W5379+X5379+Y5379+Z5379</f>
        <v/>
      </c>
      <c r="AB5379" t="n">
        <v>123</v>
      </c>
      <c r="AC5379" t="n">
        <v>59</v>
      </c>
      <c r="AD5379" t="n">
        <v>91</v>
      </c>
      <c r="AE5379" t="n">
        <v>107</v>
      </c>
      <c r="AF5379" t="n">
        <v>115</v>
      </c>
      <c r="AG5379" t="n">
        <v>127</v>
      </c>
      <c r="AH5379" t="n">
        <v>121</v>
      </c>
      <c r="AI5379" t="n">
        <v>122</v>
      </c>
      <c r="AJ5379">
        <f>INDEX($Q$5256:$Q$5383,AC5379+1)</f>
        <v/>
      </c>
      <c r="AK5379">
        <f>INDEX($R$5256:$R$5383,AD5379+1)</f>
        <v/>
      </c>
      <c r="AL5379">
        <f>INDEX($S$5256:$S$5383,AE5379+1)</f>
        <v/>
      </c>
      <c r="AM5379">
        <f>INDEX($T$5256:$T$5383,AF5379+1)</f>
        <v/>
      </c>
      <c r="AN5379">
        <f>INDEX($U$5256:$U$5383,AG5379+1)</f>
        <v/>
      </c>
      <c r="AO5379">
        <f>INDEX($V$5256:$V$5383,AH5379+1)</f>
        <v/>
      </c>
      <c r="AP5379">
        <f>INDEX($W$5256:$W$5383,AI5379+1)</f>
        <v/>
      </c>
      <c r="AQ5379">
        <f>IF(Q5379&gt;=AJ5379-0.01,1,0)</f>
        <v/>
      </c>
      <c r="AR5379">
        <f>IF(R5379&gt;=AK5379-0.01,1,0)</f>
        <v/>
      </c>
      <c r="AS5379">
        <f>IF(S5379&gt;=AL5379-0.01,1,0)</f>
        <v/>
      </c>
      <c r="AT5379">
        <f>IF(T5379&gt;=AM5379-0.01,1,0)</f>
        <v/>
      </c>
      <c r="AU5379">
        <f>IF(U5379&gt;=AN5379-0.01,1,0)</f>
        <v/>
      </c>
      <c r="AV5379">
        <f>IF(V5379&gt;=AO5379-0.01,1,0)</f>
        <v/>
      </c>
      <c r="AW5379">
        <f>IF(W5379&gt;=AP5379-0.01,1,0)</f>
        <v/>
      </c>
      <c r="AX5379">
        <f>AQ5379*AR5379*AS5379*AT5379*AU5379*AV5379*AW5379</f>
        <v/>
      </c>
    </row>
    <row r="5380">
      <c r="A5380" t="inlineStr"/>
      <c r="B5380">
        <f>Assumptions!$B$60</f>
        <v/>
      </c>
      <c r="C5380" t="n">
        <v>1</v>
      </c>
      <c r="D5380" t="n">
        <v>1</v>
      </c>
      <c r="E5380" t="n">
        <v>1</v>
      </c>
      <c r="F5380" t="n">
        <v>1</v>
      </c>
      <c r="G5380" t="n">
        <v>1</v>
      </c>
      <c r="H5380" t="n">
        <v>0</v>
      </c>
      <c r="I5380" t="n">
        <v>0</v>
      </c>
      <c r="J5380">
        <f>(1-C5380)*Assumptions!$B$41+(1-D5380)*Assumptions!$B$33+(1-E5380)*Assumptions!$B$32+(1-F5380)*Assumptions!$B$31+(1-G5380)*Assumptions!$B$30+(1-H5380)*Assumptions!$B$29+(1-I5380)*Assumptions!$B$28</f>
        <v/>
      </c>
      <c r="K5380">
        <f>C5380*$J$307+D5380*$F$307+E5380*$G$307+F5380*Assumptions!$B$14+G5380*Assumptions!$B$13+H5380*Assumptions!$B$12+I5380*Assumptions!$B$11+$O$307+$S$307+Assumptions!$B$9</f>
        <v/>
      </c>
      <c r="L5380">
        <f>B5380-J5380</f>
        <v/>
      </c>
      <c r="M5380">
        <f>IF(K5380&gt;0,IF(L5380/K5380&gt;=Assumptions!$B$37,1,0),0)</f>
        <v/>
      </c>
      <c r="N5380">
        <f>K5380+M5380*Assumptions!$B$153</f>
        <v/>
      </c>
      <c r="O5380">
        <f>L5380+M5380*Assumptions!$B$153*Assumptions!$B$37</f>
        <v/>
      </c>
      <c r="P5380">
        <f>IF(N5380&gt;0,O5380/N5380,0)</f>
        <v/>
      </c>
      <c r="Q5380">
        <f>IF(C5380=1,P5380*$J$307,Assumptions!$B$41)</f>
        <v/>
      </c>
      <c r="R5380">
        <f>IF(D5380=1,P5380*$F$307,Assumptions!$B$33)</f>
        <v/>
      </c>
      <c r="S5380">
        <f>IF(E5380=1,P5380*$G$307,Assumptions!$B$32)</f>
        <v/>
      </c>
      <c r="T5380">
        <f>IF(F5380=1,P5380*Assumptions!$B$14,Assumptions!$B$31)</f>
        <v/>
      </c>
      <c r="U5380">
        <f>IF(G5380=1,P5380*Assumptions!$B$13,Assumptions!$B$30)</f>
        <v/>
      </c>
      <c r="V5380">
        <f>IF(H5380=1,P5380*Assumptions!$B$12,Assumptions!$B$29)</f>
        <v/>
      </c>
      <c r="W5380">
        <f>IF(I5380=1,P5380*Assumptions!$B$11,Assumptions!$B$28)</f>
        <v/>
      </c>
      <c r="X5380">
        <f>P5380*($O$307+$S$307)</f>
        <v/>
      </c>
      <c r="Y5380">
        <f>P5380*Assumptions!$B$9</f>
        <v/>
      </c>
      <c r="Z5380">
        <f>IF(M5380=1,(P5380-Assumptions!$B$37)*Assumptions!$B$153,0)</f>
        <v/>
      </c>
      <c r="AA5380">
        <f>Q5380+R5380+S5380+T5380+U5380+V5380+W5380+X5380+Y5380+Z5380</f>
        <v/>
      </c>
      <c r="AB5380" t="n">
        <v>124</v>
      </c>
      <c r="AC5380" t="n">
        <v>60</v>
      </c>
      <c r="AD5380" t="n">
        <v>92</v>
      </c>
      <c r="AE5380" t="n">
        <v>108</v>
      </c>
      <c r="AF5380" t="n">
        <v>116</v>
      </c>
      <c r="AG5380" t="n">
        <v>120</v>
      </c>
      <c r="AH5380" t="n">
        <v>126</v>
      </c>
      <c r="AI5380" t="n">
        <v>125</v>
      </c>
      <c r="AJ5380">
        <f>INDEX($Q$5256:$Q$5383,AC5380+1)</f>
        <v/>
      </c>
      <c r="AK5380">
        <f>INDEX($R$5256:$R$5383,AD5380+1)</f>
        <v/>
      </c>
      <c r="AL5380">
        <f>INDEX($S$5256:$S$5383,AE5380+1)</f>
        <v/>
      </c>
      <c r="AM5380">
        <f>INDEX($T$5256:$T$5383,AF5380+1)</f>
        <v/>
      </c>
      <c r="AN5380">
        <f>INDEX($U$5256:$U$5383,AG5380+1)</f>
        <v/>
      </c>
      <c r="AO5380">
        <f>INDEX($V$5256:$V$5383,AH5380+1)</f>
        <v/>
      </c>
      <c r="AP5380">
        <f>INDEX($W$5256:$W$5383,AI5380+1)</f>
        <v/>
      </c>
      <c r="AQ5380">
        <f>IF(Q5380&gt;=AJ5380-0.01,1,0)</f>
        <v/>
      </c>
      <c r="AR5380">
        <f>IF(R5380&gt;=AK5380-0.01,1,0)</f>
        <v/>
      </c>
      <c r="AS5380">
        <f>IF(S5380&gt;=AL5380-0.01,1,0)</f>
        <v/>
      </c>
      <c r="AT5380">
        <f>IF(T5380&gt;=AM5380-0.01,1,0)</f>
        <v/>
      </c>
      <c r="AU5380">
        <f>IF(U5380&gt;=AN5380-0.01,1,0)</f>
        <v/>
      </c>
      <c r="AV5380">
        <f>IF(V5380&gt;=AO5380-0.01,1,0)</f>
        <v/>
      </c>
      <c r="AW5380">
        <f>IF(W5380&gt;=AP5380-0.01,1,0)</f>
        <v/>
      </c>
      <c r="AX5380">
        <f>AQ5380*AR5380*AS5380*AT5380*AU5380*AV5380*AW5380</f>
        <v/>
      </c>
    </row>
    <row r="5381">
      <c r="A5381" t="inlineStr"/>
      <c r="B5381">
        <f>Assumptions!$B$60</f>
        <v/>
      </c>
      <c r="C5381" t="n">
        <v>1</v>
      </c>
      <c r="D5381" t="n">
        <v>1</v>
      </c>
      <c r="E5381" t="n">
        <v>1</v>
      </c>
      <c r="F5381" t="n">
        <v>1</v>
      </c>
      <c r="G5381" t="n">
        <v>1</v>
      </c>
      <c r="H5381" t="n">
        <v>0</v>
      </c>
      <c r="I5381" t="n">
        <v>1</v>
      </c>
      <c r="J5381">
        <f>(1-C5381)*Assumptions!$B$41+(1-D5381)*Assumptions!$B$33+(1-E5381)*Assumptions!$B$32+(1-F5381)*Assumptions!$B$31+(1-G5381)*Assumptions!$B$30+(1-H5381)*Assumptions!$B$29+(1-I5381)*Assumptions!$B$28</f>
        <v/>
      </c>
      <c r="K5381">
        <f>C5381*$J$307+D5381*$F$307+E5381*$G$307+F5381*Assumptions!$B$14+G5381*Assumptions!$B$13+H5381*Assumptions!$B$12+I5381*Assumptions!$B$11+$O$307+$S$307+Assumptions!$B$9</f>
        <v/>
      </c>
      <c r="L5381">
        <f>B5381-J5381</f>
        <v/>
      </c>
      <c r="M5381">
        <f>IF(K5381&gt;0,IF(L5381/K5381&gt;=Assumptions!$B$37,1,0),0)</f>
        <v/>
      </c>
      <c r="N5381">
        <f>K5381+M5381*Assumptions!$B$153</f>
        <v/>
      </c>
      <c r="O5381">
        <f>L5381+M5381*Assumptions!$B$153*Assumptions!$B$37</f>
        <v/>
      </c>
      <c r="P5381">
        <f>IF(N5381&gt;0,O5381/N5381,0)</f>
        <v/>
      </c>
      <c r="Q5381">
        <f>IF(C5381=1,P5381*$J$307,Assumptions!$B$41)</f>
        <v/>
      </c>
      <c r="R5381">
        <f>IF(D5381=1,P5381*$F$307,Assumptions!$B$33)</f>
        <v/>
      </c>
      <c r="S5381">
        <f>IF(E5381=1,P5381*$G$307,Assumptions!$B$32)</f>
        <v/>
      </c>
      <c r="T5381">
        <f>IF(F5381=1,P5381*Assumptions!$B$14,Assumptions!$B$31)</f>
        <v/>
      </c>
      <c r="U5381">
        <f>IF(G5381=1,P5381*Assumptions!$B$13,Assumptions!$B$30)</f>
        <v/>
      </c>
      <c r="V5381">
        <f>IF(H5381=1,P5381*Assumptions!$B$12,Assumptions!$B$29)</f>
        <v/>
      </c>
      <c r="W5381">
        <f>IF(I5381=1,P5381*Assumptions!$B$11,Assumptions!$B$28)</f>
        <v/>
      </c>
      <c r="X5381">
        <f>P5381*($O$307+$S$307)</f>
        <v/>
      </c>
      <c r="Y5381">
        <f>P5381*Assumptions!$B$9</f>
        <v/>
      </c>
      <c r="Z5381">
        <f>IF(M5381=1,(P5381-Assumptions!$B$37)*Assumptions!$B$153,0)</f>
        <v/>
      </c>
      <c r="AA5381">
        <f>Q5381+R5381+S5381+T5381+U5381+V5381+W5381+X5381+Y5381+Z5381</f>
        <v/>
      </c>
      <c r="AB5381" t="n">
        <v>125</v>
      </c>
      <c r="AC5381" t="n">
        <v>61</v>
      </c>
      <c r="AD5381" t="n">
        <v>93</v>
      </c>
      <c r="AE5381" t="n">
        <v>109</v>
      </c>
      <c r="AF5381" t="n">
        <v>117</v>
      </c>
      <c r="AG5381" t="n">
        <v>121</v>
      </c>
      <c r="AH5381" t="n">
        <v>127</v>
      </c>
      <c r="AI5381" t="n">
        <v>124</v>
      </c>
      <c r="AJ5381">
        <f>INDEX($Q$5256:$Q$5383,AC5381+1)</f>
        <v/>
      </c>
      <c r="AK5381">
        <f>INDEX($R$5256:$R$5383,AD5381+1)</f>
        <v/>
      </c>
      <c r="AL5381">
        <f>INDEX($S$5256:$S$5383,AE5381+1)</f>
        <v/>
      </c>
      <c r="AM5381">
        <f>INDEX($T$5256:$T$5383,AF5381+1)</f>
        <v/>
      </c>
      <c r="AN5381">
        <f>INDEX($U$5256:$U$5383,AG5381+1)</f>
        <v/>
      </c>
      <c r="AO5381">
        <f>INDEX($V$5256:$V$5383,AH5381+1)</f>
        <v/>
      </c>
      <c r="AP5381">
        <f>INDEX($W$5256:$W$5383,AI5381+1)</f>
        <v/>
      </c>
      <c r="AQ5381">
        <f>IF(Q5381&gt;=AJ5381-0.01,1,0)</f>
        <v/>
      </c>
      <c r="AR5381">
        <f>IF(R5381&gt;=AK5381-0.01,1,0)</f>
        <v/>
      </c>
      <c r="AS5381">
        <f>IF(S5381&gt;=AL5381-0.01,1,0)</f>
        <v/>
      </c>
      <c r="AT5381">
        <f>IF(T5381&gt;=AM5381-0.01,1,0)</f>
        <v/>
      </c>
      <c r="AU5381">
        <f>IF(U5381&gt;=AN5381-0.01,1,0)</f>
        <v/>
      </c>
      <c r="AV5381">
        <f>IF(V5381&gt;=AO5381-0.01,1,0)</f>
        <v/>
      </c>
      <c r="AW5381">
        <f>IF(W5381&gt;=AP5381-0.01,1,0)</f>
        <v/>
      </c>
      <c r="AX5381">
        <f>AQ5381*AR5381*AS5381*AT5381*AU5381*AV5381*AW5381</f>
        <v/>
      </c>
    </row>
    <row r="5382">
      <c r="A5382" t="inlineStr"/>
      <c r="B5382">
        <f>Assumptions!$B$60</f>
        <v/>
      </c>
      <c r="C5382" t="n">
        <v>1</v>
      </c>
      <c r="D5382" t="n">
        <v>1</v>
      </c>
      <c r="E5382" t="n">
        <v>1</v>
      </c>
      <c r="F5382" t="n">
        <v>1</v>
      </c>
      <c r="G5382" t="n">
        <v>1</v>
      </c>
      <c r="H5382" t="n">
        <v>1</v>
      </c>
      <c r="I5382" t="n">
        <v>0</v>
      </c>
      <c r="J5382">
        <f>(1-C5382)*Assumptions!$B$41+(1-D5382)*Assumptions!$B$33+(1-E5382)*Assumptions!$B$32+(1-F5382)*Assumptions!$B$31+(1-G5382)*Assumptions!$B$30+(1-H5382)*Assumptions!$B$29+(1-I5382)*Assumptions!$B$28</f>
        <v/>
      </c>
      <c r="K5382">
        <f>C5382*$J$307+D5382*$F$307+E5382*$G$307+F5382*Assumptions!$B$14+G5382*Assumptions!$B$13+H5382*Assumptions!$B$12+I5382*Assumptions!$B$11+$O$307+$S$307+Assumptions!$B$9</f>
        <v/>
      </c>
      <c r="L5382">
        <f>B5382-J5382</f>
        <v/>
      </c>
      <c r="M5382">
        <f>IF(K5382&gt;0,IF(L5382/K5382&gt;=Assumptions!$B$37,1,0),0)</f>
        <v/>
      </c>
      <c r="N5382">
        <f>K5382+M5382*Assumptions!$B$153</f>
        <v/>
      </c>
      <c r="O5382">
        <f>L5382+M5382*Assumptions!$B$153*Assumptions!$B$37</f>
        <v/>
      </c>
      <c r="P5382">
        <f>IF(N5382&gt;0,O5382/N5382,0)</f>
        <v/>
      </c>
      <c r="Q5382">
        <f>IF(C5382=1,P5382*$J$307,Assumptions!$B$41)</f>
        <v/>
      </c>
      <c r="R5382">
        <f>IF(D5382=1,P5382*$F$307,Assumptions!$B$33)</f>
        <v/>
      </c>
      <c r="S5382">
        <f>IF(E5382=1,P5382*$G$307,Assumptions!$B$32)</f>
        <v/>
      </c>
      <c r="T5382">
        <f>IF(F5382=1,P5382*Assumptions!$B$14,Assumptions!$B$31)</f>
        <v/>
      </c>
      <c r="U5382">
        <f>IF(G5382=1,P5382*Assumptions!$B$13,Assumptions!$B$30)</f>
        <v/>
      </c>
      <c r="V5382">
        <f>IF(H5382=1,P5382*Assumptions!$B$12,Assumptions!$B$29)</f>
        <v/>
      </c>
      <c r="W5382">
        <f>IF(I5382=1,P5382*Assumptions!$B$11,Assumptions!$B$28)</f>
        <v/>
      </c>
      <c r="X5382">
        <f>P5382*($O$307+$S$307)</f>
        <v/>
      </c>
      <c r="Y5382">
        <f>P5382*Assumptions!$B$9</f>
        <v/>
      </c>
      <c r="Z5382">
        <f>IF(M5382=1,(P5382-Assumptions!$B$37)*Assumptions!$B$153,0)</f>
        <v/>
      </c>
      <c r="AA5382">
        <f>Q5382+R5382+S5382+T5382+U5382+V5382+W5382+X5382+Y5382+Z5382</f>
        <v/>
      </c>
      <c r="AB5382" t="n">
        <v>126</v>
      </c>
      <c r="AC5382" t="n">
        <v>62</v>
      </c>
      <c r="AD5382" t="n">
        <v>94</v>
      </c>
      <c r="AE5382" t="n">
        <v>110</v>
      </c>
      <c r="AF5382" t="n">
        <v>118</v>
      </c>
      <c r="AG5382" t="n">
        <v>122</v>
      </c>
      <c r="AH5382" t="n">
        <v>124</v>
      </c>
      <c r="AI5382" t="n">
        <v>127</v>
      </c>
      <c r="AJ5382">
        <f>INDEX($Q$5256:$Q$5383,AC5382+1)</f>
        <v/>
      </c>
      <c r="AK5382">
        <f>INDEX($R$5256:$R$5383,AD5382+1)</f>
        <v/>
      </c>
      <c r="AL5382">
        <f>INDEX($S$5256:$S$5383,AE5382+1)</f>
        <v/>
      </c>
      <c r="AM5382">
        <f>INDEX($T$5256:$T$5383,AF5382+1)</f>
        <v/>
      </c>
      <c r="AN5382">
        <f>INDEX($U$5256:$U$5383,AG5382+1)</f>
        <v/>
      </c>
      <c r="AO5382">
        <f>INDEX($V$5256:$V$5383,AH5382+1)</f>
        <v/>
      </c>
      <c r="AP5382">
        <f>INDEX($W$5256:$W$5383,AI5382+1)</f>
        <v/>
      </c>
      <c r="AQ5382">
        <f>IF(Q5382&gt;=AJ5382-0.01,1,0)</f>
        <v/>
      </c>
      <c r="AR5382">
        <f>IF(R5382&gt;=AK5382-0.01,1,0)</f>
        <v/>
      </c>
      <c r="AS5382">
        <f>IF(S5382&gt;=AL5382-0.01,1,0)</f>
        <v/>
      </c>
      <c r="AT5382">
        <f>IF(T5382&gt;=AM5382-0.01,1,0)</f>
        <v/>
      </c>
      <c r="AU5382">
        <f>IF(U5382&gt;=AN5382-0.01,1,0)</f>
        <v/>
      </c>
      <c r="AV5382">
        <f>IF(V5382&gt;=AO5382-0.01,1,0)</f>
        <v/>
      </c>
      <c r="AW5382">
        <f>IF(W5382&gt;=AP5382-0.01,1,0)</f>
        <v/>
      </c>
      <c r="AX5382">
        <f>AQ5382*AR5382*AS5382*AT5382*AU5382*AV5382*AW5382</f>
        <v/>
      </c>
    </row>
    <row r="5383">
      <c r="A5383" t="inlineStr"/>
      <c r="B5383">
        <f>Assumptions!$B$60</f>
        <v/>
      </c>
      <c r="C5383" t="n">
        <v>1</v>
      </c>
      <c r="D5383" t="n">
        <v>1</v>
      </c>
      <c r="E5383" t="n">
        <v>1</v>
      </c>
      <c r="F5383" t="n">
        <v>1</v>
      </c>
      <c r="G5383" t="n">
        <v>1</v>
      </c>
      <c r="H5383" t="n">
        <v>1</v>
      </c>
      <c r="I5383" t="n">
        <v>1</v>
      </c>
      <c r="J5383">
        <f>(1-C5383)*Assumptions!$B$41+(1-D5383)*Assumptions!$B$33+(1-E5383)*Assumptions!$B$32+(1-F5383)*Assumptions!$B$31+(1-G5383)*Assumptions!$B$30+(1-H5383)*Assumptions!$B$29+(1-I5383)*Assumptions!$B$28</f>
        <v/>
      </c>
      <c r="K5383">
        <f>C5383*$J$307+D5383*$F$307+E5383*$G$307+F5383*Assumptions!$B$14+G5383*Assumptions!$B$13+H5383*Assumptions!$B$12+I5383*Assumptions!$B$11+$O$307+$S$307+Assumptions!$B$9</f>
        <v/>
      </c>
      <c r="L5383">
        <f>B5383-J5383</f>
        <v/>
      </c>
      <c r="M5383">
        <f>IF(K5383&gt;0,IF(L5383/K5383&gt;=Assumptions!$B$37,1,0),0)</f>
        <v/>
      </c>
      <c r="N5383">
        <f>K5383+M5383*Assumptions!$B$153</f>
        <v/>
      </c>
      <c r="O5383">
        <f>L5383+M5383*Assumptions!$B$153*Assumptions!$B$37</f>
        <v/>
      </c>
      <c r="P5383">
        <f>IF(N5383&gt;0,O5383/N5383,0)</f>
        <v/>
      </c>
      <c r="Q5383">
        <f>IF(C5383=1,P5383*$J$307,Assumptions!$B$41)</f>
        <v/>
      </c>
      <c r="R5383">
        <f>IF(D5383=1,P5383*$F$307,Assumptions!$B$33)</f>
        <v/>
      </c>
      <c r="S5383">
        <f>IF(E5383=1,P5383*$G$307,Assumptions!$B$32)</f>
        <v/>
      </c>
      <c r="T5383">
        <f>IF(F5383=1,P5383*Assumptions!$B$14,Assumptions!$B$31)</f>
        <v/>
      </c>
      <c r="U5383">
        <f>IF(G5383=1,P5383*Assumptions!$B$13,Assumptions!$B$30)</f>
        <v/>
      </c>
      <c r="V5383">
        <f>IF(H5383=1,P5383*Assumptions!$B$12,Assumptions!$B$29)</f>
        <v/>
      </c>
      <c r="W5383">
        <f>IF(I5383=1,P5383*Assumptions!$B$11,Assumptions!$B$28)</f>
        <v/>
      </c>
      <c r="X5383">
        <f>P5383*($O$307+$S$307)</f>
        <v/>
      </c>
      <c r="Y5383">
        <f>P5383*Assumptions!$B$9</f>
        <v/>
      </c>
      <c r="Z5383">
        <f>IF(M5383=1,(P5383-Assumptions!$B$37)*Assumptions!$B$153,0)</f>
        <v/>
      </c>
      <c r="AA5383">
        <f>Q5383+R5383+S5383+T5383+U5383+V5383+W5383+X5383+Y5383+Z5383</f>
        <v/>
      </c>
      <c r="AB5383" t="n">
        <v>127</v>
      </c>
      <c r="AC5383" t="n">
        <v>63</v>
      </c>
      <c r="AD5383" t="n">
        <v>95</v>
      </c>
      <c r="AE5383" t="n">
        <v>111</v>
      </c>
      <c r="AF5383" t="n">
        <v>119</v>
      </c>
      <c r="AG5383" t="n">
        <v>123</v>
      </c>
      <c r="AH5383" t="n">
        <v>125</v>
      </c>
      <c r="AI5383" t="n">
        <v>126</v>
      </c>
      <c r="AJ5383">
        <f>INDEX($Q$5256:$Q$5383,AC5383+1)</f>
        <v/>
      </c>
      <c r="AK5383">
        <f>INDEX($R$5256:$R$5383,AD5383+1)</f>
        <v/>
      </c>
      <c r="AL5383">
        <f>INDEX($S$5256:$S$5383,AE5383+1)</f>
        <v/>
      </c>
      <c r="AM5383">
        <f>INDEX($T$5256:$T$5383,AF5383+1)</f>
        <v/>
      </c>
      <c r="AN5383">
        <f>INDEX($U$5256:$U$5383,AG5383+1)</f>
        <v/>
      </c>
      <c r="AO5383">
        <f>INDEX($V$5256:$V$5383,AH5383+1)</f>
        <v/>
      </c>
      <c r="AP5383">
        <f>INDEX($W$5256:$W$5383,AI5383+1)</f>
        <v/>
      </c>
      <c r="AQ5383">
        <f>IF(Q5383&gt;=AJ5383-0.01,1,0)</f>
        <v/>
      </c>
      <c r="AR5383">
        <f>IF(R5383&gt;=AK5383-0.01,1,0)</f>
        <v/>
      </c>
      <c r="AS5383">
        <f>IF(S5383&gt;=AL5383-0.01,1,0)</f>
        <v/>
      </c>
      <c r="AT5383">
        <f>IF(T5383&gt;=AM5383-0.01,1,0)</f>
        <v/>
      </c>
      <c r="AU5383">
        <f>IF(U5383&gt;=AN5383-0.01,1,0)</f>
        <v/>
      </c>
      <c r="AV5383">
        <f>IF(V5383&gt;=AO5383-0.01,1,0)</f>
        <v/>
      </c>
      <c r="AW5383">
        <f>IF(W5383&gt;=AP5383-0.01,1,0)</f>
        <v/>
      </c>
      <c r="AX5383">
        <f>AQ5383*AR5383*AS5383*AT5383*AU5383*AV5383*AW5383</f>
        <v/>
      </c>
    </row>
    <row r="5384">
      <c r="A5384" t="inlineStr">
        <is>
          <t>esop_13_pre_1200M</t>
        </is>
      </c>
      <c r="B5384">
        <f>Assumptions!$B$60</f>
        <v/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>
        <f>(1-C5384)*Assumptions!$B$41+(1-D5384)*Assumptions!$B$33+(1-E5384)*Assumptions!$B$32+(1-F5384)*Assumptions!$B$31+(1-G5384)*Assumptions!$B$30+(1-H5384)*Assumptions!$B$29+(1-I5384)*Assumptions!$B$28</f>
        <v/>
      </c>
      <c r="K5384">
        <f>C5384*$J$382+D5384*$F$382+E5384*$G$382+F5384*Assumptions!$B$14+G5384*Assumptions!$B$13+H5384*Assumptions!$B$12+I5384*Assumptions!$B$11+$O$382+$S$382+Assumptions!$B$9</f>
        <v/>
      </c>
      <c r="L5384">
        <f>B5384-J5384</f>
        <v/>
      </c>
      <c r="M5384">
        <f>IF(K5384&gt;0,IF(L5384/K5384&gt;=Assumptions!$B$37,1,0),0)</f>
        <v/>
      </c>
      <c r="N5384">
        <f>K5384+M5384*Assumptions!$B$153</f>
        <v/>
      </c>
      <c r="O5384">
        <f>L5384+M5384*Assumptions!$B$153*Assumptions!$B$37</f>
        <v/>
      </c>
      <c r="P5384">
        <f>IF(N5384&gt;0,O5384/N5384,0)</f>
        <v/>
      </c>
      <c r="Q5384">
        <f>IF(C5384=1,P5384*$J$382,Assumptions!$B$41)</f>
        <v/>
      </c>
      <c r="R5384">
        <f>IF(D5384=1,P5384*$F$382,Assumptions!$B$33)</f>
        <v/>
      </c>
      <c r="S5384">
        <f>IF(E5384=1,P5384*$G$382,Assumptions!$B$32)</f>
        <v/>
      </c>
      <c r="T5384">
        <f>IF(F5384=1,P5384*Assumptions!$B$14,Assumptions!$B$31)</f>
        <v/>
      </c>
      <c r="U5384">
        <f>IF(G5384=1,P5384*Assumptions!$B$13,Assumptions!$B$30)</f>
        <v/>
      </c>
      <c r="V5384">
        <f>IF(H5384=1,P5384*Assumptions!$B$12,Assumptions!$B$29)</f>
        <v/>
      </c>
      <c r="W5384">
        <f>IF(I5384=1,P5384*Assumptions!$B$11,Assumptions!$B$28)</f>
        <v/>
      </c>
      <c r="X5384">
        <f>P5384*($O$382+$S$382)</f>
        <v/>
      </c>
      <c r="Y5384">
        <f>P5384*Assumptions!$B$9</f>
        <v/>
      </c>
      <c r="Z5384">
        <f>IF(M5384=1,(P5384-Assumptions!$B$37)*Assumptions!$B$153,0)</f>
        <v/>
      </c>
      <c r="AA5384">
        <f>Q5384+R5384+S5384+T5384+U5384+V5384+W5384+X5384+Y5384+Z5384</f>
        <v/>
      </c>
      <c r="AB5384" t="n">
        <v>0</v>
      </c>
      <c r="AC5384" t="n">
        <v>64</v>
      </c>
      <c r="AD5384" t="n">
        <v>32</v>
      </c>
      <c r="AE5384" t="n">
        <v>16</v>
      </c>
      <c r="AF5384" t="n">
        <v>8</v>
      </c>
      <c r="AG5384" t="n">
        <v>4</v>
      </c>
      <c r="AH5384" t="n">
        <v>2</v>
      </c>
      <c r="AI5384" t="n">
        <v>1</v>
      </c>
      <c r="AJ5384">
        <f>INDEX($Q$5384:$Q$5511,AC5384+1)</f>
        <v/>
      </c>
      <c r="AK5384">
        <f>INDEX($R$5384:$R$5511,AD5384+1)</f>
        <v/>
      </c>
      <c r="AL5384">
        <f>INDEX($S$5384:$S$5511,AE5384+1)</f>
        <v/>
      </c>
      <c r="AM5384">
        <f>INDEX($T$5384:$T$5511,AF5384+1)</f>
        <v/>
      </c>
      <c r="AN5384">
        <f>INDEX($U$5384:$U$5511,AG5384+1)</f>
        <v/>
      </c>
      <c r="AO5384">
        <f>INDEX($V$5384:$V$5511,AH5384+1)</f>
        <v/>
      </c>
      <c r="AP5384">
        <f>INDEX($W$5384:$W$5511,AI5384+1)</f>
        <v/>
      </c>
      <c r="AQ5384">
        <f>IF(Q5384&gt;=AJ5384-0.01,1,0)</f>
        <v/>
      </c>
      <c r="AR5384">
        <f>IF(R5384&gt;=AK5384-0.01,1,0)</f>
        <v/>
      </c>
      <c r="AS5384">
        <f>IF(S5384&gt;=AL5384-0.01,1,0)</f>
        <v/>
      </c>
      <c r="AT5384">
        <f>IF(T5384&gt;=AM5384-0.01,1,0)</f>
        <v/>
      </c>
      <c r="AU5384">
        <f>IF(U5384&gt;=AN5384-0.01,1,0)</f>
        <v/>
      </c>
      <c r="AV5384">
        <f>IF(V5384&gt;=AO5384-0.01,1,0)</f>
        <v/>
      </c>
      <c r="AW5384">
        <f>IF(W5384&gt;=AP5384-0.01,1,0)</f>
        <v/>
      </c>
      <c r="AX5384">
        <f>AQ5384*AR5384*AS5384*AT5384*AU5384*AV5384*AW5384</f>
        <v/>
      </c>
    </row>
    <row r="5385">
      <c r="A5385" t="inlineStr"/>
      <c r="B5385">
        <f>Assumptions!$B$60</f>
        <v/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>
        <f>(1-C5385)*Assumptions!$B$41+(1-D5385)*Assumptions!$B$33+(1-E5385)*Assumptions!$B$32+(1-F5385)*Assumptions!$B$31+(1-G5385)*Assumptions!$B$30+(1-H5385)*Assumptions!$B$29+(1-I5385)*Assumptions!$B$28</f>
        <v/>
      </c>
      <c r="K5385">
        <f>C5385*$J$382+D5385*$F$382+E5385*$G$382+F5385*Assumptions!$B$14+G5385*Assumptions!$B$13+H5385*Assumptions!$B$12+I5385*Assumptions!$B$11+$O$382+$S$382+Assumptions!$B$9</f>
        <v/>
      </c>
      <c r="L5385">
        <f>B5385-J5385</f>
        <v/>
      </c>
      <c r="M5385">
        <f>IF(K5385&gt;0,IF(L5385/K5385&gt;=Assumptions!$B$37,1,0),0)</f>
        <v/>
      </c>
      <c r="N5385">
        <f>K5385+M5385*Assumptions!$B$153</f>
        <v/>
      </c>
      <c r="O5385">
        <f>L5385+M5385*Assumptions!$B$153*Assumptions!$B$37</f>
        <v/>
      </c>
      <c r="P5385">
        <f>IF(N5385&gt;0,O5385/N5385,0)</f>
        <v/>
      </c>
      <c r="Q5385">
        <f>IF(C5385=1,P5385*$J$382,Assumptions!$B$41)</f>
        <v/>
      </c>
      <c r="R5385">
        <f>IF(D5385=1,P5385*$F$382,Assumptions!$B$33)</f>
        <v/>
      </c>
      <c r="S5385">
        <f>IF(E5385=1,P5385*$G$382,Assumptions!$B$32)</f>
        <v/>
      </c>
      <c r="T5385">
        <f>IF(F5385=1,P5385*Assumptions!$B$14,Assumptions!$B$31)</f>
        <v/>
      </c>
      <c r="U5385">
        <f>IF(G5385=1,P5385*Assumptions!$B$13,Assumptions!$B$30)</f>
        <v/>
      </c>
      <c r="V5385">
        <f>IF(H5385=1,P5385*Assumptions!$B$12,Assumptions!$B$29)</f>
        <v/>
      </c>
      <c r="W5385">
        <f>IF(I5385=1,P5385*Assumptions!$B$11,Assumptions!$B$28)</f>
        <v/>
      </c>
      <c r="X5385">
        <f>P5385*($O$382+$S$382)</f>
        <v/>
      </c>
      <c r="Y5385">
        <f>P5385*Assumptions!$B$9</f>
        <v/>
      </c>
      <c r="Z5385">
        <f>IF(M5385=1,(P5385-Assumptions!$B$37)*Assumptions!$B$153,0)</f>
        <v/>
      </c>
      <c r="AA5385">
        <f>Q5385+R5385+S5385+T5385+U5385+V5385+W5385+X5385+Y5385+Z5385</f>
        <v/>
      </c>
      <c r="AB5385" t="n">
        <v>1</v>
      </c>
      <c r="AC5385" t="n">
        <v>65</v>
      </c>
      <c r="AD5385" t="n">
        <v>33</v>
      </c>
      <c r="AE5385" t="n">
        <v>17</v>
      </c>
      <c r="AF5385" t="n">
        <v>9</v>
      </c>
      <c r="AG5385" t="n">
        <v>5</v>
      </c>
      <c r="AH5385" t="n">
        <v>3</v>
      </c>
      <c r="AI5385" t="n">
        <v>0</v>
      </c>
      <c r="AJ5385">
        <f>INDEX($Q$5384:$Q$5511,AC5385+1)</f>
        <v/>
      </c>
      <c r="AK5385">
        <f>INDEX($R$5384:$R$5511,AD5385+1)</f>
        <v/>
      </c>
      <c r="AL5385">
        <f>INDEX($S$5384:$S$5511,AE5385+1)</f>
        <v/>
      </c>
      <c r="AM5385">
        <f>INDEX($T$5384:$T$5511,AF5385+1)</f>
        <v/>
      </c>
      <c r="AN5385">
        <f>INDEX($U$5384:$U$5511,AG5385+1)</f>
        <v/>
      </c>
      <c r="AO5385">
        <f>INDEX($V$5384:$V$5511,AH5385+1)</f>
        <v/>
      </c>
      <c r="AP5385">
        <f>INDEX($W$5384:$W$5511,AI5385+1)</f>
        <v/>
      </c>
      <c r="AQ5385">
        <f>IF(Q5385&gt;=AJ5385-0.01,1,0)</f>
        <v/>
      </c>
      <c r="AR5385">
        <f>IF(R5385&gt;=AK5385-0.01,1,0)</f>
        <v/>
      </c>
      <c r="AS5385">
        <f>IF(S5385&gt;=AL5385-0.01,1,0)</f>
        <v/>
      </c>
      <c r="AT5385">
        <f>IF(T5385&gt;=AM5385-0.01,1,0)</f>
        <v/>
      </c>
      <c r="AU5385">
        <f>IF(U5385&gt;=AN5385-0.01,1,0)</f>
        <v/>
      </c>
      <c r="AV5385">
        <f>IF(V5385&gt;=AO5385-0.01,1,0)</f>
        <v/>
      </c>
      <c r="AW5385">
        <f>IF(W5385&gt;=AP5385-0.01,1,0)</f>
        <v/>
      </c>
      <c r="AX5385">
        <f>AQ5385*AR5385*AS5385*AT5385*AU5385*AV5385*AW5385</f>
        <v/>
      </c>
    </row>
    <row r="5386">
      <c r="A5386" t="inlineStr"/>
      <c r="B5386">
        <f>Assumptions!$B$60</f>
        <v/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>
        <f>(1-C5386)*Assumptions!$B$41+(1-D5386)*Assumptions!$B$33+(1-E5386)*Assumptions!$B$32+(1-F5386)*Assumptions!$B$31+(1-G5386)*Assumptions!$B$30+(1-H5386)*Assumptions!$B$29+(1-I5386)*Assumptions!$B$28</f>
        <v/>
      </c>
      <c r="K5386">
        <f>C5386*$J$382+D5386*$F$382+E5386*$G$382+F5386*Assumptions!$B$14+G5386*Assumptions!$B$13+H5386*Assumptions!$B$12+I5386*Assumptions!$B$11+$O$382+$S$382+Assumptions!$B$9</f>
        <v/>
      </c>
      <c r="L5386">
        <f>B5386-J5386</f>
        <v/>
      </c>
      <c r="M5386">
        <f>IF(K5386&gt;0,IF(L5386/K5386&gt;=Assumptions!$B$37,1,0),0)</f>
        <v/>
      </c>
      <c r="N5386">
        <f>K5386+M5386*Assumptions!$B$153</f>
        <v/>
      </c>
      <c r="O5386">
        <f>L5386+M5386*Assumptions!$B$153*Assumptions!$B$37</f>
        <v/>
      </c>
      <c r="P5386">
        <f>IF(N5386&gt;0,O5386/N5386,0)</f>
        <v/>
      </c>
      <c r="Q5386">
        <f>IF(C5386=1,P5386*$J$382,Assumptions!$B$41)</f>
        <v/>
      </c>
      <c r="R5386">
        <f>IF(D5386=1,P5386*$F$382,Assumptions!$B$33)</f>
        <v/>
      </c>
      <c r="S5386">
        <f>IF(E5386=1,P5386*$G$382,Assumptions!$B$32)</f>
        <v/>
      </c>
      <c r="T5386">
        <f>IF(F5386=1,P5386*Assumptions!$B$14,Assumptions!$B$31)</f>
        <v/>
      </c>
      <c r="U5386">
        <f>IF(G5386=1,P5386*Assumptions!$B$13,Assumptions!$B$30)</f>
        <v/>
      </c>
      <c r="V5386">
        <f>IF(H5386=1,P5386*Assumptions!$B$12,Assumptions!$B$29)</f>
        <v/>
      </c>
      <c r="W5386">
        <f>IF(I5386=1,P5386*Assumptions!$B$11,Assumptions!$B$28)</f>
        <v/>
      </c>
      <c r="X5386">
        <f>P5386*($O$382+$S$382)</f>
        <v/>
      </c>
      <c r="Y5386">
        <f>P5386*Assumptions!$B$9</f>
        <v/>
      </c>
      <c r="Z5386">
        <f>IF(M5386=1,(P5386-Assumptions!$B$37)*Assumptions!$B$153,0)</f>
        <v/>
      </c>
      <c r="AA5386">
        <f>Q5386+R5386+S5386+T5386+U5386+V5386+W5386+X5386+Y5386+Z5386</f>
        <v/>
      </c>
      <c r="AB5386" t="n">
        <v>2</v>
      </c>
      <c r="AC5386" t="n">
        <v>66</v>
      </c>
      <c r="AD5386" t="n">
        <v>34</v>
      </c>
      <c r="AE5386" t="n">
        <v>18</v>
      </c>
      <c r="AF5386" t="n">
        <v>10</v>
      </c>
      <c r="AG5386" t="n">
        <v>6</v>
      </c>
      <c r="AH5386" t="n">
        <v>0</v>
      </c>
      <c r="AI5386" t="n">
        <v>3</v>
      </c>
      <c r="AJ5386">
        <f>INDEX($Q$5384:$Q$5511,AC5386+1)</f>
        <v/>
      </c>
      <c r="AK5386">
        <f>INDEX($R$5384:$R$5511,AD5386+1)</f>
        <v/>
      </c>
      <c r="AL5386">
        <f>INDEX($S$5384:$S$5511,AE5386+1)</f>
        <v/>
      </c>
      <c r="AM5386">
        <f>INDEX($T$5384:$T$5511,AF5386+1)</f>
        <v/>
      </c>
      <c r="AN5386">
        <f>INDEX($U$5384:$U$5511,AG5386+1)</f>
        <v/>
      </c>
      <c r="AO5386">
        <f>INDEX($V$5384:$V$5511,AH5386+1)</f>
        <v/>
      </c>
      <c r="AP5386">
        <f>INDEX($W$5384:$W$5511,AI5386+1)</f>
        <v/>
      </c>
      <c r="AQ5386">
        <f>IF(Q5386&gt;=AJ5386-0.01,1,0)</f>
        <v/>
      </c>
      <c r="AR5386">
        <f>IF(R5386&gt;=AK5386-0.01,1,0)</f>
        <v/>
      </c>
      <c r="AS5386">
        <f>IF(S5386&gt;=AL5386-0.01,1,0)</f>
        <v/>
      </c>
      <c r="AT5386">
        <f>IF(T5386&gt;=AM5386-0.01,1,0)</f>
        <v/>
      </c>
      <c r="AU5386">
        <f>IF(U5386&gt;=AN5386-0.01,1,0)</f>
        <v/>
      </c>
      <c r="AV5386">
        <f>IF(V5386&gt;=AO5386-0.01,1,0)</f>
        <v/>
      </c>
      <c r="AW5386">
        <f>IF(W5386&gt;=AP5386-0.01,1,0)</f>
        <v/>
      </c>
      <c r="AX5386">
        <f>AQ5386*AR5386*AS5386*AT5386*AU5386*AV5386*AW5386</f>
        <v/>
      </c>
    </row>
    <row r="5387">
      <c r="A5387" t="inlineStr"/>
      <c r="B5387">
        <f>Assumptions!$B$60</f>
        <v/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</v>
      </c>
      <c r="J5387">
        <f>(1-C5387)*Assumptions!$B$41+(1-D5387)*Assumptions!$B$33+(1-E5387)*Assumptions!$B$32+(1-F5387)*Assumptions!$B$31+(1-G5387)*Assumptions!$B$30+(1-H5387)*Assumptions!$B$29+(1-I5387)*Assumptions!$B$28</f>
        <v/>
      </c>
      <c r="K5387">
        <f>C5387*$J$382+D5387*$F$382+E5387*$G$382+F5387*Assumptions!$B$14+G5387*Assumptions!$B$13+H5387*Assumptions!$B$12+I5387*Assumptions!$B$11+$O$382+$S$382+Assumptions!$B$9</f>
        <v/>
      </c>
      <c r="L5387">
        <f>B5387-J5387</f>
        <v/>
      </c>
      <c r="M5387">
        <f>IF(K5387&gt;0,IF(L5387/K5387&gt;=Assumptions!$B$37,1,0),0)</f>
        <v/>
      </c>
      <c r="N5387">
        <f>K5387+M5387*Assumptions!$B$153</f>
        <v/>
      </c>
      <c r="O5387">
        <f>L5387+M5387*Assumptions!$B$153*Assumptions!$B$37</f>
        <v/>
      </c>
      <c r="P5387">
        <f>IF(N5387&gt;0,O5387/N5387,0)</f>
        <v/>
      </c>
      <c r="Q5387">
        <f>IF(C5387=1,P5387*$J$382,Assumptions!$B$41)</f>
        <v/>
      </c>
      <c r="R5387">
        <f>IF(D5387=1,P5387*$F$382,Assumptions!$B$33)</f>
        <v/>
      </c>
      <c r="S5387">
        <f>IF(E5387=1,P5387*$G$382,Assumptions!$B$32)</f>
        <v/>
      </c>
      <c r="T5387">
        <f>IF(F5387=1,P5387*Assumptions!$B$14,Assumptions!$B$31)</f>
        <v/>
      </c>
      <c r="U5387">
        <f>IF(G5387=1,P5387*Assumptions!$B$13,Assumptions!$B$30)</f>
        <v/>
      </c>
      <c r="V5387">
        <f>IF(H5387=1,P5387*Assumptions!$B$12,Assumptions!$B$29)</f>
        <v/>
      </c>
      <c r="W5387">
        <f>IF(I5387=1,P5387*Assumptions!$B$11,Assumptions!$B$28)</f>
        <v/>
      </c>
      <c r="X5387">
        <f>P5387*($O$382+$S$382)</f>
        <v/>
      </c>
      <c r="Y5387">
        <f>P5387*Assumptions!$B$9</f>
        <v/>
      </c>
      <c r="Z5387">
        <f>IF(M5387=1,(P5387-Assumptions!$B$37)*Assumptions!$B$153,0)</f>
        <v/>
      </c>
      <c r="AA5387">
        <f>Q5387+R5387+S5387+T5387+U5387+V5387+W5387+X5387+Y5387+Z5387</f>
        <v/>
      </c>
      <c r="AB5387" t="n">
        <v>3</v>
      </c>
      <c r="AC5387" t="n">
        <v>67</v>
      </c>
      <c r="AD5387" t="n">
        <v>35</v>
      </c>
      <c r="AE5387" t="n">
        <v>19</v>
      </c>
      <c r="AF5387" t="n">
        <v>11</v>
      </c>
      <c r="AG5387" t="n">
        <v>7</v>
      </c>
      <c r="AH5387" t="n">
        <v>1</v>
      </c>
      <c r="AI5387" t="n">
        <v>2</v>
      </c>
      <c r="AJ5387">
        <f>INDEX($Q$5384:$Q$5511,AC5387+1)</f>
        <v/>
      </c>
      <c r="AK5387">
        <f>INDEX($R$5384:$R$5511,AD5387+1)</f>
        <v/>
      </c>
      <c r="AL5387">
        <f>INDEX($S$5384:$S$5511,AE5387+1)</f>
        <v/>
      </c>
      <c r="AM5387">
        <f>INDEX($T$5384:$T$5511,AF5387+1)</f>
        <v/>
      </c>
      <c r="AN5387">
        <f>INDEX($U$5384:$U$5511,AG5387+1)</f>
        <v/>
      </c>
      <c r="AO5387">
        <f>INDEX($V$5384:$V$5511,AH5387+1)</f>
        <v/>
      </c>
      <c r="AP5387">
        <f>INDEX($W$5384:$W$5511,AI5387+1)</f>
        <v/>
      </c>
      <c r="AQ5387">
        <f>IF(Q5387&gt;=AJ5387-0.01,1,0)</f>
        <v/>
      </c>
      <c r="AR5387">
        <f>IF(R5387&gt;=AK5387-0.01,1,0)</f>
        <v/>
      </c>
      <c r="AS5387">
        <f>IF(S5387&gt;=AL5387-0.01,1,0)</f>
        <v/>
      </c>
      <c r="AT5387">
        <f>IF(T5387&gt;=AM5387-0.01,1,0)</f>
        <v/>
      </c>
      <c r="AU5387">
        <f>IF(U5387&gt;=AN5387-0.01,1,0)</f>
        <v/>
      </c>
      <c r="AV5387">
        <f>IF(V5387&gt;=AO5387-0.01,1,0)</f>
        <v/>
      </c>
      <c r="AW5387">
        <f>IF(W5387&gt;=AP5387-0.01,1,0)</f>
        <v/>
      </c>
      <c r="AX5387">
        <f>AQ5387*AR5387*AS5387*AT5387*AU5387*AV5387*AW5387</f>
        <v/>
      </c>
    </row>
    <row r="5388">
      <c r="A5388" t="inlineStr"/>
      <c r="B5388">
        <f>Assumptions!$B$60</f>
        <v/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>
        <f>(1-C5388)*Assumptions!$B$41+(1-D5388)*Assumptions!$B$33+(1-E5388)*Assumptions!$B$32+(1-F5388)*Assumptions!$B$31+(1-G5388)*Assumptions!$B$30+(1-H5388)*Assumptions!$B$29+(1-I5388)*Assumptions!$B$28</f>
        <v/>
      </c>
      <c r="K5388">
        <f>C5388*$J$382+D5388*$F$382+E5388*$G$382+F5388*Assumptions!$B$14+G5388*Assumptions!$B$13+H5388*Assumptions!$B$12+I5388*Assumptions!$B$11+$O$382+$S$382+Assumptions!$B$9</f>
        <v/>
      </c>
      <c r="L5388">
        <f>B5388-J5388</f>
        <v/>
      </c>
      <c r="M5388">
        <f>IF(K5388&gt;0,IF(L5388/K5388&gt;=Assumptions!$B$37,1,0),0)</f>
        <v/>
      </c>
      <c r="N5388">
        <f>K5388+M5388*Assumptions!$B$153</f>
        <v/>
      </c>
      <c r="O5388">
        <f>L5388+M5388*Assumptions!$B$153*Assumptions!$B$37</f>
        <v/>
      </c>
      <c r="P5388">
        <f>IF(N5388&gt;0,O5388/N5388,0)</f>
        <v/>
      </c>
      <c r="Q5388">
        <f>IF(C5388=1,P5388*$J$382,Assumptions!$B$41)</f>
        <v/>
      </c>
      <c r="R5388">
        <f>IF(D5388=1,P5388*$F$382,Assumptions!$B$33)</f>
        <v/>
      </c>
      <c r="S5388">
        <f>IF(E5388=1,P5388*$G$382,Assumptions!$B$32)</f>
        <v/>
      </c>
      <c r="T5388">
        <f>IF(F5388=1,P5388*Assumptions!$B$14,Assumptions!$B$31)</f>
        <v/>
      </c>
      <c r="U5388">
        <f>IF(G5388=1,P5388*Assumptions!$B$13,Assumptions!$B$30)</f>
        <v/>
      </c>
      <c r="V5388">
        <f>IF(H5388=1,P5388*Assumptions!$B$12,Assumptions!$B$29)</f>
        <v/>
      </c>
      <c r="W5388">
        <f>IF(I5388=1,P5388*Assumptions!$B$11,Assumptions!$B$28)</f>
        <v/>
      </c>
      <c r="X5388">
        <f>P5388*($O$382+$S$382)</f>
        <v/>
      </c>
      <c r="Y5388">
        <f>P5388*Assumptions!$B$9</f>
        <v/>
      </c>
      <c r="Z5388">
        <f>IF(M5388=1,(P5388-Assumptions!$B$37)*Assumptions!$B$153,0)</f>
        <v/>
      </c>
      <c r="AA5388">
        <f>Q5388+R5388+S5388+T5388+U5388+V5388+W5388+X5388+Y5388+Z5388</f>
        <v/>
      </c>
      <c r="AB5388" t="n">
        <v>4</v>
      </c>
      <c r="AC5388" t="n">
        <v>68</v>
      </c>
      <c r="AD5388" t="n">
        <v>36</v>
      </c>
      <c r="AE5388" t="n">
        <v>20</v>
      </c>
      <c r="AF5388" t="n">
        <v>12</v>
      </c>
      <c r="AG5388" t="n">
        <v>0</v>
      </c>
      <c r="AH5388" t="n">
        <v>6</v>
      </c>
      <c r="AI5388" t="n">
        <v>5</v>
      </c>
      <c r="AJ5388">
        <f>INDEX($Q$5384:$Q$5511,AC5388+1)</f>
        <v/>
      </c>
      <c r="AK5388">
        <f>INDEX($R$5384:$R$5511,AD5388+1)</f>
        <v/>
      </c>
      <c r="AL5388">
        <f>INDEX($S$5384:$S$5511,AE5388+1)</f>
        <v/>
      </c>
      <c r="AM5388">
        <f>INDEX($T$5384:$T$5511,AF5388+1)</f>
        <v/>
      </c>
      <c r="AN5388">
        <f>INDEX($U$5384:$U$5511,AG5388+1)</f>
        <v/>
      </c>
      <c r="AO5388">
        <f>INDEX($V$5384:$V$5511,AH5388+1)</f>
        <v/>
      </c>
      <c r="AP5388">
        <f>INDEX($W$5384:$W$5511,AI5388+1)</f>
        <v/>
      </c>
      <c r="AQ5388">
        <f>IF(Q5388&gt;=AJ5388-0.01,1,0)</f>
        <v/>
      </c>
      <c r="AR5388">
        <f>IF(R5388&gt;=AK5388-0.01,1,0)</f>
        <v/>
      </c>
      <c r="AS5388">
        <f>IF(S5388&gt;=AL5388-0.01,1,0)</f>
        <v/>
      </c>
      <c r="AT5388">
        <f>IF(T5388&gt;=AM5388-0.01,1,0)</f>
        <v/>
      </c>
      <c r="AU5388">
        <f>IF(U5388&gt;=AN5388-0.01,1,0)</f>
        <v/>
      </c>
      <c r="AV5388">
        <f>IF(V5388&gt;=AO5388-0.01,1,0)</f>
        <v/>
      </c>
      <c r="AW5388">
        <f>IF(W5388&gt;=AP5388-0.01,1,0)</f>
        <v/>
      </c>
      <c r="AX5388">
        <f>AQ5388*AR5388*AS5388*AT5388*AU5388*AV5388*AW5388</f>
        <v/>
      </c>
    </row>
    <row r="5389">
      <c r="A5389" t="inlineStr"/>
      <c r="B5389">
        <f>Assumptions!$B$60</f>
        <v/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0</v>
      </c>
      <c r="I5389" t="n">
        <v>1</v>
      </c>
      <c r="J5389">
        <f>(1-C5389)*Assumptions!$B$41+(1-D5389)*Assumptions!$B$33+(1-E5389)*Assumptions!$B$32+(1-F5389)*Assumptions!$B$31+(1-G5389)*Assumptions!$B$30+(1-H5389)*Assumptions!$B$29+(1-I5389)*Assumptions!$B$28</f>
        <v/>
      </c>
      <c r="K5389">
        <f>C5389*$J$382+D5389*$F$382+E5389*$G$382+F5389*Assumptions!$B$14+G5389*Assumptions!$B$13+H5389*Assumptions!$B$12+I5389*Assumptions!$B$11+$O$382+$S$382+Assumptions!$B$9</f>
        <v/>
      </c>
      <c r="L5389">
        <f>B5389-J5389</f>
        <v/>
      </c>
      <c r="M5389">
        <f>IF(K5389&gt;0,IF(L5389/K5389&gt;=Assumptions!$B$37,1,0),0)</f>
        <v/>
      </c>
      <c r="N5389">
        <f>K5389+M5389*Assumptions!$B$153</f>
        <v/>
      </c>
      <c r="O5389">
        <f>L5389+M5389*Assumptions!$B$153*Assumptions!$B$37</f>
        <v/>
      </c>
      <c r="P5389">
        <f>IF(N5389&gt;0,O5389/N5389,0)</f>
        <v/>
      </c>
      <c r="Q5389">
        <f>IF(C5389=1,P5389*$J$382,Assumptions!$B$41)</f>
        <v/>
      </c>
      <c r="R5389">
        <f>IF(D5389=1,P5389*$F$382,Assumptions!$B$33)</f>
        <v/>
      </c>
      <c r="S5389">
        <f>IF(E5389=1,P5389*$G$382,Assumptions!$B$32)</f>
        <v/>
      </c>
      <c r="T5389">
        <f>IF(F5389=1,P5389*Assumptions!$B$14,Assumptions!$B$31)</f>
        <v/>
      </c>
      <c r="U5389">
        <f>IF(G5389=1,P5389*Assumptions!$B$13,Assumptions!$B$30)</f>
        <v/>
      </c>
      <c r="V5389">
        <f>IF(H5389=1,P5389*Assumptions!$B$12,Assumptions!$B$29)</f>
        <v/>
      </c>
      <c r="W5389">
        <f>IF(I5389=1,P5389*Assumptions!$B$11,Assumptions!$B$28)</f>
        <v/>
      </c>
      <c r="X5389">
        <f>P5389*($O$382+$S$382)</f>
        <v/>
      </c>
      <c r="Y5389">
        <f>P5389*Assumptions!$B$9</f>
        <v/>
      </c>
      <c r="Z5389">
        <f>IF(M5389=1,(P5389-Assumptions!$B$37)*Assumptions!$B$153,0)</f>
        <v/>
      </c>
      <c r="AA5389">
        <f>Q5389+R5389+S5389+T5389+U5389+V5389+W5389+X5389+Y5389+Z5389</f>
        <v/>
      </c>
      <c r="AB5389" t="n">
        <v>5</v>
      </c>
      <c r="AC5389" t="n">
        <v>69</v>
      </c>
      <c r="AD5389" t="n">
        <v>37</v>
      </c>
      <c r="AE5389" t="n">
        <v>21</v>
      </c>
      <c r="AF5389" t="n">
        <v>13</v>
      </c>
      <c r="AG5389" t="n">
        <v>1</v>
      </c>
      <c r="AH5389" t="n">
        <v>7</v>
      </c>
      <c r="AI5389" t="n">
        <v>4</v>
      </c>
      <c r="AJ5389">
        <f>INDEX($Q$5384:$Q$5511,AC5389+1)</f>
        <v/>
      </c>
      <c r="AK5389">
        <f>INDEX($R$5384:$R$5511,AD5389+1)</f>
        <v/>
      </c>
      <c r="AL5389">
        <f>INDEX($S$5384:$S$5511,AE5389+1)</f>
        <v/>
      </c>
      <c r="AM5389">
        <f>INDEX($T$5384:$T$5511,AF5389+1)</f>
        <v/>
      </c>
      <c r="AN5389">
        <f>INDEX($U$5384:$U$5511,AG5389+1)</f>
        <v/>
      </c>
      <c r="AO5389">
        <f>INDEX($V$5384:$V$5511,AH5389+1)</f>
        <v/>
      </c>
      <c r="AP5389">
        <f>INDEX($W$5384:$W$5511,AI5389+1)</f>
        <v/>
      </c>
      <c r="AQ5389">
        <f>IF(Q5389&gt;=AJ5389-0.01,1,0)</f>
        <v/>
      </c>
      <c r="AR5389">
        <f>IF(R5389&gt;=AK5389-0.01,1,0)</f>
        <v/>
      </c>
      <c r="AS5389">
        <f>IF(S5389&gt;=AL5389-0.01,1,0)</f>
        <v/>
      </c>
      <c r="AT5389">
        <f>IF(T5389&gt;=AM5389-0.01,1,0)</f>
        <v/>
      </c>
      <c r="AU5389">
        <f>IF(U5389&gt;=AN5389-0.01,1,0)</f>
        <v/>
      </c>
      <c r="AV5389">
        <f>IF(V5389&gt;=AO5389-0.01,1,0)</f>
        <v/>
      </c>
      <c r="AW5389">
        <f>IF(W5389&gt;=AP5389-0.01,1,0)</f>
        <v/>
      </c>
      <c r="AX5389">
        <f>AQ5389*AR5389*AS5389*AT5389*AU5389*AV5389*AW5389</f>
        <v/>
      </c>
    </row>
    <row r="5390">
      <c r="A5390" t="inlineStr"/>
      <c r="B5390">
        <f>Assumptions!$B$60</f>
        <v/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  <c r="I5390" t="n">
        <v>0</v>
      </c>
      <c r="J5390">
        <f>(1-C5390)*Assumptions!$B$41+(1-D5390)*Assumptions!$B$33+(1-E5390)*Assumptions!$B$32+(1-F5390)*Assumptions!$B$31+(1-G5390)*Assumptions!$B$30+(1-H5390)*Assumptions!$B$29+(1-I5390)*Assumptions!$B$28</f>
        <v/>
      </c>
      <c r="K5390">
        <f>C5390*$J$382+D5390*$F$382+E5390*$G$382+F5390*Assumptions!$B$14+G5390*Assumptions!$B$13+H5390*Assumptions!$B$12+I5390*Assumptions!$B$11+$O$382+$S$382+Assumptions!$B$9</f>
        <v/>
      </c>
      <c r="L5390">
        <f>B5390-J5390</f>
        <v/>
      </c>
      <c r="M5390">
        <f>IF(K5390&gt;0,IF(L5390/K5390&gt;=Assumptions!$B$37,1,0),0)</f>
        <v/>
      </c>
      <c r="N5390">
        <f>K5390+M5390*Assumptions!$B$153</f>
        <v/>
      </c>
      <c r="O5390">
        <f>L5390+M5390*Assumptions!$B$153*Assumptions!$B$37</f>
        <v/>
      </c>
      <c r="P5390">
        <f>IF(N5390&gt;0,O5390/N5390,0)</f>
        <v/>
      </c>
      <c r="Q5390">
        <f>IF(C5390=1,P5390*$J$382,Assumptions!$B$41)</f>
        <v/>
      </c>
      <c r="R5390">
        <f>IF(D5390=1,P5390*$F$382,Assumptions!$B$33)</f>
        <v/>
      </c>
      <c r="S5390">
        <f>IF(E5390=1,P5390*$G$382,Assumptions!$B$32)</f>
        <v/>
      </c>
      <c r="T5390">
        <f>IF(F5390=1,P5390*Assumptions!$B$14,Assumptions!$B$31)</f>
        <v/>
      </c>
      <c r="U5390">
        <f>IF(G5390=1,P5390*Assumptions!$B$13,Assumptions!$B$30)</f>
        <v/>
      </c>
      <c r="V5390">
        <f>IF(H5390=1,P5390*Assumptions!$B$12,Assumptions!$B$29)</f>
        <v/>
      </c>
      <c r="W5390">
        <f>IF(I5390=1,P5390*Assumptions!$B$11,Assumptions!$B$28)</f>
        <v/>
      </c>
      <c r="X5390">
        <f>P5390*($O$382+$S$382)</f>
        <v/>
      </c>
      <c r="Y5390">
        <f>P5390*Assumptions!$B$9</f>
        <v/>
      </c>
      <c r="Z5390">
        <f>IF(M5390=1,(P5390-Assumptions!$B$37)*Assumptions!$B$153,0)</f>
        <v/>
      </c>
      <c r="AA5390">
        <f>Q5390+R5390+S5390+T5390+U5390+V5390+W5390+X5390+Y5390+Z5390</f>
        <v/>
      </c>
      <c r="AB5390" t="n">
        <v>6</v>
      </c>
      <c r="AC5390" t="n">
        <v>70</v>
      </c>
      <c r="AD5390" t="n">
        <v>38</v>
      </c>
      <c r="AE5390" t="n">
        <v>22</v>
      </c>
      <c r="AF5390" t="n">
        <v>14</v>
      </c>
      <c r="AG5390" t="n">
        <v>2</v>
      </c>
      <c r="AH5390" t="n">
        <v>4</v>
      </c>
      <c r="AI5390" t="n">
        <v>7</v>
      </c>
      <c r="AJ5390">
        <f>INDEX($Q$5384:$Q$5511,AC5390+1)</f>
        <v/>
      </c>
      <c r="AK5390">
        <f>INDEX($R$5384:$R$5511,AD5390+1)</f>
        <v/>
      </c>
      <c r="AL5390">
        <f>INDEX($S$5384:$S$5511,AE5390+1)</f>
        <v/>
      </c>
      <c r="AM5390">
        <f>INDEX($T$5384:$T$5511,AF5390+1)</f>
        <v/>
      </c>
      <c r="AN5390">
        <f>INDEX($U$5384:$U$5511,AG5390+1)</f>
        <v/>
      </c>
      <c r="AO5390">
        <f>INDEX($V$5384:$V$5511,AH5390+1)</f>
        <v/>
      </c>
      <c r="AP5390">
        <f>INDEX($W$5384:$W$5511,AI5390+1)</f>
        <v/>
      </c>
      <c r="AQ5390">
        <f>IF(Q5390&gt;=AJ5390-0.01,1,0)</f>
        <v/>
      </c>
      <c r="AR5390">
        <f>IF(R5390&gt;=AK5390-0.01,1,0)</f>
        <v/>
      </c>
      <c r="AS5390">
        <f>IF(S5390&gt;=AL5390-0.01,1,0)</f>
        <v/>
      </c>
      <c r="AT5390">
        <f>IF(T5390&gt;=AM5390-0.01,1,0)</f>
        <v/>
      </c>
      <c r="AU5390">
        <f>IF(U5390&gt;=AN5390-0.01,1,0)</f>
        <v/>
      </c>
      <c r="AV5390">
        <f>IF(V5390&gt;=AO5390-0.01,1,0)</f>
        <v/>
      </c>
      <c r="AW5390">
        <f>IF(W5390&gt;=AP5390-0.01,1,0)</f>
        <v/>
      </c>
      <c r="AX5390">
        <f>AQ5390*AR5390*AS5390*AT5390*AU5390*AV5390*AW5390</f>
        <v/>
      </c>
    </row>
    <row r="5391">
      <c r="A5391" t="inlineStr"/>
      <c r="B5391">
        <f>Assumptions!$B$60</f>
        <v/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  <c r="I5391" t="n">
        <v>1</v>
      </c>
      <c r="J5391">
        <f>(1-C5391)*Assumptions!$B$41+(1-D5391)*Assumptions!$B$33+(1-E5391)*Assumptions!$B$32+(1-F5391)*Assumptions!$B$31+(1-G5391)*Assumptions!$B$30+(1-H5391)*Assumptions!$B$29+(1-I5391)*Assumptions!$B$28</f>
        <v/>
      </c>
      <c r="K5391">
        <f>C5391*$J$382+D5391*$F$382+E5391*$G$382+F5391*Assumptions!$B$14+G5391*Assumptions!$B$13+H5391*Assumptions!$B$12+I5391*Assumptions!$B$11+$O$382+$S$382+Assumptions!$B$9</f>
        <v/>
      </c>
      <c r="L5391">
        <f>B5391-J5391</f>
        <v/>
      </c>
      <c r="M5391">
        <f>IF(K5391&gt;0,IF(L5391/K5391&gt;=Assumptions!$B$37,1,0),0)</f>
        <v/>
      </c>
      <c r="N5391">
        <f>K5391+M5391*Assumptions!$B$153</f>
        <v/>
      </c>
      <c r="O5391">
        <f>L5391+M5391*Assumptions!$B$153*Assumptions!$B$37</f>
        <v/>
      </c>
      <c r="P5391">
        <f>IF(N5391&gt;0,O5391/N5391,0)</f>
        <v/>
      </c>
      <c r="Q5391">
        <f>IF(C5391=1,P5391*$J$382,Assumptions!$B$41)</f>
        <v/>
      </c>
      <c r="R5391">
        <f>IF(D5391=1,P5391*$F$382,Assumptions!$B$33)</f>
        <v/>
      </c>
      <c r="S5391">
        <f>IF(E5391=1,P5391*$G$382,Assumptions!$B$32)</f>
        <v/>
      </c>
      <c r="T5391">
        <f>IF(F5391=1,P5391*Assumptions!$B$14,Assumptions!$B$31)</f>
        <v/>
      </c>
      <c r="U5391">
        <f>IF(G5391=1,P5391*Assumptions!$B$13,Assumptions!$B$30)</f>
        <v/>
      </c>
      <c r="V5391">
        <f>IF(H5391=1,P5391*Assumptions!$B$12,Assumptions!$B$29)</f>
        <v/>
      </c>
      <c r="W5391">
        <f>IF(I5391=1,P5391*Assumptions!$B$11,Assumptions!$B$28)</f>
        <v/>
      </c>
      <c r="X5391">
        <f>P5391*($O$382+$S$382)</f>
        <v/>
      </c>
      <c r="Y5391">
        <f>P5391*Assumptions!$B$9</f>
        <v/>
      </c>
      <c r="Z5391">
        <f>IF(M5391=1,(P5391-Assumptions!$B$37)*Assumptions!$B$153,0)</f>
        <v/>
      </c>
      <c r="AA5391">
        <f>Q5391+R5391+S5391+T5391+U5391+V5391+W5391+X5391+Y5391+Z5391</f>
        <v/>
      </c>
      <c r="AB5391" t="n">
        <v>7</v>
      </c>
      <c r="AC5391" t="n">
        <v>71</v>
      </c>
      <c r="AD5391" t="n">
        <v>39</v>
      </c>
      <c r="AE5391" t="n">
        <v>23</v>
      </c>
      <c r="AF5391" t="n">
        <v>15</v>
      </c>
      <c r="AG5391" t="n">
        <v>3</v>
      </c>
      <c r="AH5391" t="n">
        <v>5</v>
      </c>
      <c r="AI5391" t="n">
        <v>6</v>
      </c>
      <c r="AJ5391">
        <f>INDEX($Q$5384:$Q$5511,AC5391+1)</f>
        <v/>
      </c>
      <c r="AK5391">
        <f>INDEX($R$5384:$R$5511,AD5391+1)</f>
        <v/>
      </c>
      <c r="AL5391">
        <f>INDEX($S$5384:$S$5511,AE5391+1)</f>
        <v/>
      </c>
      <c r="AM5391">
        <f>INDEX($T$5384:$T$5511,AF5391+1)</f>
        <v/>
      </c>
      <c r="AN5391">
        <f>INDEX($U$5384:$U$5511,AG5391+1)</f>
        <v/>
      </c>
      <c r="AO5391">
        <f>INDEX($V$5384:$V$5511,AH5391+1)</f>
        <v/>
      </c>
      <c r="AP5391">
        <f>INDEX($W$5384:$W$5511,AI5391+1)</f>
        <v/>
      </c>
      <c r="AQ5391">
        <f>IF(Q5391&gt;=AJ5391-0.01,1,0)</f>
        <v/>
      </c>
      <c r="AR5391">
        <f>IF(R5391&gt;=AK5391-0.01,1,0)</f>
        <v/>
      </c>
      <c r="AS5391">
        <f>IF(S5391&gt;=AL5391-0.01,1,0)</f>
        <v/>
      </c>
      <c r="AT5391">
        <f>IF(T5391&gt;=AM5391-0.01,1,0)</f>
        <v/>
      </c>
      <c r="AU5391">
        <f>IF(U5391&gt;=AN5391-0.01,1,0)</f>
        <v/>
      </c>
      <c r="AV5391">
        <f>IF(V5391&gt;=AO5391-0.01,1,0)</f>
        <v/>
      </c>
      <c r="AW5391">
        <f>IF(W5391&gt;=AP5391-0.01,1,0)</f>
        <v/>
      </c>
      <c r="AX5391">
        <f>AQ5391*AR5391*AS5391*AT5391*AU5391*AV5391*AW5391</f>
        <v/>
      </c>
    </row>
    <row r="5392">
      <c r="A5392" t="inlineStr"/>
      <c r="B5392">
        <f>Assumptions!$B$60</f>
        <v/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>
        <f>(1-C5392)*Assumptions!$B$41+(1-D5392)*Assumptions!$B$33+(1-E5392)*Assumptions!$B$32+(1-F5392)*Assumptions!$B$31+(1-G5392)*Assumptions!$B$30+(1-H5392)*Assumptions!$B$29+(1-I5392)*Assumptions!$B$28</f>
        <v/>
      </c>
      <c r="K5392">
        <f>C5392*$J$382+D5392*$F$382+E5392*$G$382+F5392*Assumptions!$B$14+G5392*Assumptions!$B$13+H5392*Assumptions!$B$12+I5392*Assumptions!$B$11+$O$382+$S$382+Assumptions!$B$9</f>
        <v/>
      </c>
      <c r="L5392">
        <f>B5392-J5392</f>
        <v/>
      </c>
      <c r="M5392">
        <f>IF(K5392&gt;0,IF(L5392/K5392&gt;=Assumptions!$B$37,1,0),0)</f>
        <v/>
      </c>
      <c r="N5392">
        <f>K5392+M5392*Assumptions!$B$153</f>
        <v/>
      </c>
      <c r="O5392">
        <f>L5392+M5392*Assumptions!$B$153*Assumptions!$B$37</f>
        <v/>
      </c>
      <c r="P5392">
        <f>IF(N5392&gt;0,O5392/N5392,0)</f>
        <v/>
      </c>
      <c r="Q5392">
        <f>IF(C5392=1,P5392*$J$382,Assumptions!$B$41)</f>
        <v/>
      </c>
      <c r="R5392">
        <f>IF(D5392=1,P5392*$F$382,Assumptions!$B$33)</f>
        <v/>
      </c>
      <c r="S5392">
        <f>IF(E5392=1,P5392*$G$382,Assumptions!$B$32)</f>
        <v/>
      </c>
      <c r="T5392">
        <f>IF(F5392=1,P5392*Assumptions!$B$14,Assumptions!$B$31)</f>
        <v/>
      </c>
      <c r="U5392">
        <f>IF(G5392=1,P5392*Assumptions!$B$13,Assumptions!$B$30)</f>
        <v/>
      </c>
      <c r="V5392">
        <f>IF(H5392=1,P5392*Assumptions!$B$12,Assumptions!$B$29)</f>
        <v/>
      </c>
      <c r="W5392">
        <f>IF(I5392=1,P5392*Assumptions!$B$11,Assumptions!$B$28)</f>
        <v/>
      </c>
      <c r="X5392">
        <f>P5392*($O$382+$S$382)</f>
        <v/>
      </c>
      <c r="Y5392">
        <f>P5392*Assumptions!$B$9</f>
        <v/>
      </c>
      <c r="Z5392">
        <f>IF(M5392=1,(P5392-Assumptions!$B$37)*Assumptions!$B$153,0)</f>
        <v/>
      </c>
      <c r="AA5392">
        <f>Q5392+R5392+S5392+T5392+U5392+V5392+W5392+X5392+Y5392+Z5392</f>
        <v/>
      </c>
      <c r="AB5392" t="n">
        <v>8</v>
      </c>
      <c r="AC5392" t="n">
        <v>72</v>
      </c>
      <c r="AD5392" t="n">
        <v>40</v>
      </c>
      <c r="AE5392" t="n">
        <v>24</v>
      </c>
      <c r="AF5392" t="n">
        <v>0</v>
      </c>
      <c r="AG5392" t="n">
        <v>12</v>
      </c>
      <c r="AH5392" t="n">
        <v>10</v>
      </c>
      <c r="AI5392" t="n">
        <v>9</v>
      </c>
      <c r="AJ5392">
        <f>INDEX($Q$5384:$Q$5511,AC5392+1)</f>
        <v/>
      </c>
      <c r="AK5392">
        <f>INDEX($R$5384:$R$5511,AD5392+1)</f>
        <v/>
      </c>
      <c r="AL5392">
        <f>INDEX($S$5384:$S$5511,AE5392+1)</f>
        <v/>
      </c>
      <c r="AM5392">
        <f>INDEX($T$5384:$T$5511,AF5392+1)</f>
        <v/>
      </c>
      <c r="AN5392">
        <f>INDEX($U$5384:$U$5511,AG5392+1)</f>
        <v/>
      </c>
      <c r="AO5392">
        <f>INDEX($V$5384:$V$5511,AH5392+1)</f>
        <v/>
      </c>
      <c r="AP5392">
        <f>INDEX($W$5384:$W$5511,AI5392+1)</f>
        <v/>
      </c>
      <c r="AQ5392">
        <f>IF(Q5392&gt;=AJ5392-0.01,1,0)</f>
        <v/>
      </c>
      <c r="AR5392">
        <f>IF(R5392&gt;=AK5392-0.01,1,0)</f>
        <v/>
      </c>
      <c r="AS5392">
        <f>IF(S5392&gt;=AL5392-0.01,1,0)</f>
        <v/>
      </c>
      <c r="AT5392">
        <f>IF(T5392&gt;=AM5392-0.01,1,0)</f>
        <v/>
      </c>
      <c r="AU5392">
        <f>IF(U5392&gt;=AN5392-0.01,1,0)</f>
        <v/>
      </c>
      <c r="AV5392">
        <f>IF(V5392&gt;=AO5392-0.01,1,0)</f>
        <v/>
      </c>
      <c r="AW5392">
        <f>IF(W5392&gt;=AP5392-0.01,1,0)</f>
        <v/>
      </c>
      <c r="AX5392">
        <f>AQ5392*AR5392*AS5392*AT5392*AU5392*AV5392*AW5392</f>
        <v/>
      </c>
    </row>
    <row r="5393">
      <c r="A5393" t="inlineStr"/>
      <c r="B5393">
        <f>Assumptions!$B$60</f>
        <v/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>
        <f>(1-C5393)*Assumptions!$B$41+(1-D5393)*Assumptions!$B$33+(1-E5393)*Assumptions!$B$32+(1-F5393)*Assumptions!$B$31+(1-G5393)*Assumptions!$B$30+(1-H5393)*Assumptions!$B$29+(1-I5393)*Assumptions!$B$28</f>
        <v/>
      </c>
      <c r="K5393">
        <f>C5393*$J$382+D5393*$F$382+E5393*$G$382+F5393*Assumptions!$B$14+G5393*Assumptions!$B$13+H5393*Assumptions!$B$12+I5393*Assumptions!$B$11+$O$382+$S$382+Assumptions!$B$9</f>
        <v/>
      </c>
      <c r="L5393">
        <f>B5393-J5393</f>
        <v/>
      </c>
      <c r="M5393">
        <f>IF(K5393&gt;0,IF(L5393/K5393&gt;=Assumptions!$B$37,1,0),0)</f>
        <v/>
      </c>
      <c r="N5393">
        <f>K5393+M5393*Assumptions!$B$153</f>
        <v/>
      </c>
      <c r="O5393">
        <f>L5393+M5393*Assumptions!$B$153*Assumptions!$B$37</f>
        <v/>
      </c>
      <c r="P5393">
        <f>IF(N5393&gt;0,O5393/N5393,0)</f>
        <v/>
      </c>
      <c r="Q5393">
        <f>IF(C5393=1,P5393*$J$382,Assumptions!$B$41)</f>
        <v/>
      </c>
      <c r="R5393">
        <f>IF(D5393=1,P5393*$F$382,Assumptions!$B$33)</f>
        <v/>
      </c>
      <c r="S5393">
        <f>IF(E5393=1,P5393*$G$382,Assumptions!$B$32)</f>
        <v/>
      </c>
      <c r="T5393">
        <f>IF(F5393=1,P5393*Assumptions!$B$14,Assumptions!$B$31)</f>
        <v/>
      </c>
      <c r="U5393">
        <f>IF(G5393=1,P5393*Assumptions!$B$13,Assumptions!$B$30)</f>
        <v/>
      </c>
      <c r="V5393">
        <f>IF(H5393=1,P5393*Assumptions!$B$12,Assumptions!$B$29)</f>
        <v/>
      </c>
      <c r="W5393">
        <f>IF(I5393=1,P5393*Assumptions!$B$11,Assumptions!$B$28)</f>
        <v/>
      </c>
      <c r="X5393">
        <f>P5393*($O$382+$S$382)</f>
        <v/>
      </c>
      <c r="Y5393">
        <f>P5393*Assumptions!$B$9</f>
        <v/>
      </c>
      <c r="Z5393">
        <f>IF(M5393=1,(P5393-Assumptions!$B$37)*Assumptions!$B$153,0)</f>
        <v/>
      </c>
      <c r="AA5393">
        <f>Q5393+R5393+S5393+T5393+U5393+V5393+W5393+X5393+Y5393+Z5393</f>
        <v/>
      </c>
      <c r="AB5393" t="n">
        <v>9</v>
      </c>
      <c r="AC5393" t="n">
        <v>73</v>
      </c>
      <c r="AD5393" t="n">
        <v>41</v>
      </c>
      <c r="AE5393" t="n">
        <v>25</v>
      </c>
      <c r="AF5393" t="n">
        <v>1</v>
      </c>
      <c r="AG5393" t="n">
        <v>13</v>
      </c>
      <c r="AH5393" t="n">
        <v>11</v>
      </c>
      <c r="AI5393" t="n">
        <v>8</v>
      </c>
      <c r="AJ5393">
        <f>INDEX($Q$5384:$Q$5511,AC5393+1)</f>
        <v/>
      </c>
      <c r="AK5393">
        <f>INDEX($R$5384:$R$5511,AD5393+1)</f>
        <v/>
      </c>
      <c r="AL5393">
        <f>INDEX($S$5384:$S$5511,AE5393+1)</f>
        <v/>
      </c>
      <c r="AM5393">
        <f>INDEX($T$5384:$T$5511,AF5393+1)</f>
        <v/>
      </c>
      <c r="AN5393">
        <f>INDEX($U$5384:$U$5511,AG5393+1)</f>
        <v/>
      </c>
      <c r="AO5393">
        <f>INDEX($V$5384:$V$5511,AH5393+1)</f>
        <v/>
      </c>
      <c r="AP5393">
        <f>INDEX($W$5384:$W$5511,AI5393+1)</f>
        <v/>
      </c>
      <c r="AQ5393">
        <f>IF(Q5393&gt;=AJ5393-0.01,1,0)</f>
        <v/>
      </c>
      <c r="AR5393">
        <f>IF(R5393&gt;=AK5393-0.01,1,0)</f>
        <v/>
      </c>
      <c r="AS5393">
        <f>IF(S5393&gt;=AL5393-0.01,1,0)</f>
        <v/>
      </c>
      <c r="AT5393">
        <f>IF(T5393&gt;=AM5393-0.01,1,0)</f>
        <v/>
      </c>
      <c r="AU5393">
        <f>IF(U5393&gt;=AN5393-0.01,1,0)</f>
        <v/>
      </c>
      <c r="AV5393">
        <f>IF(V5393&gt;=AO5393-0.01,1,0)</f>
        <v/>
      </c>
      <c r="AW5393">
        <f>IF(W5393&gt;=AP5393-0.01,1,0)</f>
        <v/>
      </c>
      <c r="AX5393">
        <f>AQ5393*AR5393*AS5393*AT5393*AU5393*AV5393*AW5393</f>
        <v/>
      </c>
    </row>
    <row r="5394">
      <c r="A5394" t="inlineStr"/>
      <c r="B5394">
        <f>Assumptions!$B$60</f>
        <v/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>
        <f>(1-C5394)*Assumptions!$B$41+(1-D5394)*Assumptions!$B$33+(1-E5394)*Assumptions!$B$32+(1-F5394)*Assumptions!$B$31+(1-G5394)*Assumptions!$B$30+(1-H5394)*Assumptions!$B$29+(1-I5394)*Assumptions!$B$28</f>
        <v/>
      </c>
      <c r="K5394">
        <f>C5394*$J$382+D5394*$F$382+E5394*$G$382+F5394*Assumptions!$B$14+G5394*Assumptions!$B$13+H5394*Assumptions!$B$12+I5394*Assumptions!$B$11+$O$382+$S$382+Assumptions!$B$9</f>
        <v/>
      </c>
      <c r="L5394">
        <f>B5394-J5394</f>
        <v/>
      </c>
      <c r="M5394">
        <f>IF(K5394&gt;0,IF(L5394/K5394&gt;=Assumptions!$B$37,1,0),0)</f>
        <v/>
      </c>
      <c r="N5394">
        <f>K5394+M5394*Assumptions!$B$153</f>
        <v/>
      </c>
      <c r="O5394">
        <f>L5394+M5394*Assumptions!$B$153*Assumptions!$B$37</f>
        <v/>
      </c>
      <c r="P5394">
        <f>IF(N5394&gt;0,O5394/N5394,0)</f>
        <v/>
      </c>
      <c r="Q5394">
        <f>IF(C5394=1,P5394*$J$382,Assumptions!$B$41)</f>
        <v/>
      </c>
      <c r="R5394">
        <f>IF(D5394=1,P5394*$F$382,Assumptions!$B$33)</f>
        <v/>
      </c>
      <c r="S5394">
        <f>IF(E5394=1,P5394*$G$382,Assumptions!$B$32)</f>
        <v/>
      </c>
      <c r="T5394">
        <f>IF(F5394=1,P5394*Assumptions!$B$14,Assumptions!$B$31)</f>
        <v/>
      </c>
      <c r="U5394">
        <f>IF(G5394=1,P5394*Assumptions!$B$13,Assumptions!$B$30)</f>
        <v/>
      </c>
      <c r="V5394">
        <f>IF(H5394=1,P5394*Assumptions!$B$12,Assumptions!$B$29)</f>
        <v/>
      </c>
      <c r="W5394">
        <f>IF(I5394=1,P5394*Assumptions!$B$11,Assumptions!$B$28)</f>
        <v/>
      </c>
      <c r="X5394">
        <f>P5394*($O$382+$S$382)</f>
        <v/>
      </c>
      <c r="Y5394">
        <f>P5394*Assumptions!$B$9</f>
        <v/>
      </c>
      <c r="Z5394">
        <f>IF(M5394=1,(P5394-Assumptions!$B$37)*Assumptions!$B$153,0)</f>
        <v/>
      </c>
      <c r="AA5394">
        <f>Q5394+R5394+S5394+T5394+U5394+V5394+W5394+X5394+Y5394+Z5394</f>
        <v/>
      </c>
      <c r="AB5394" t="n">
        <v>10</v>
      </c>
      <c r="AC5394" t="n">
        <v>74</v>
      </c>
      <c r="AD5394" t="n">
        <v>42</v>
      </c>
      <c r="AE5394" t="n">
        <v>26</v>
      </c>
      <c r="AF5394" t="n">
        <v>2</v>
      </c>
      <c r="AG5394" t="n">
        <v>14</v>
      </c>
      <c r="AH5394" t="n">
        <v>8</v>
      </c>
      <c r="AI5394" t="n">
        <v>11</v>
      </c>
      <c r="AJ5394">
        <f>INDEX($Q$5384:$Q$5511,AC5394+1)</f>
        <v/>
      </c>
      <c r="AK5394">
        <f>INDEX($R$5384:$R$5511,AD5394+1)</f>
        <v/>
      </c>
      <c r="AL5394">
        <f>INDEX($S$5384:$S$5511,AE5394+1)</f>
        <v/>
      </c>
      <c r="AM5394">
        <f>INDEX($T$5384:$T$5511,AF5394+1)</f>
        <v/>
      </c>
      <c r="AN5394">
        <f>INDEX($U$5384:$U$5511,AG5394+1)</f>
        <v/>
      </c>
      <c r="AO5394">
        <f>INDEX($V$5384:$V$5511,AH5394+1)</f>
        <v/>
      </c>
      <c r="AP5394">
        <f>INDEX($W$5384:$W$5511,AI5394+1)</f>
        <v/>
      </c>
      <c r="AQ5394">
        <f>IF(Q5394&gt;=AJ5394-0.01,1,0)</f>
        <v/>
      </c>
      <c r="AR5394">
        <f>IF(R5394&gt;=AK5394-0.01,1,0)</f>
        <v/>
      </c>
      <c r="AS5394">
        <f>IF(S5394&gt;=AL5394-0.01,1,0)</f>
        <v/>
      </c>
      <c r="AT5394">
        <f>IF(T5394&gt;=AM5394-0.01,1,0)</f>
        <v/>
      </c>
      <c r="AU5394">
        <f>IF(U5394&gt;=AN5394-0.01,1,0)</f>
        <v/>
      </c>
      <c r="AV5394">
        <f>IF(V5394&gt;=AO5394-0.01,1,0)</f>
        <v/>
      </c>
      <c r="AW5394">
        <f>IF(W5394&gt;=AP5394-0.01,1,0)</f>
        <v/>
      </c>
      <c r="AX5394">
        <f>AQ5394*AR5394*AS5394*AT5394*AU5394*AV5394*AW5394</f>
        <v/>
      </c>
    </row>
    <row r="5395">
      <c r="A5395" t="inlineStr"/>
      <c r="B5395">
        <f>Assumptions!$B$60</f>
        <v/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1</v>
      </c>
      <c r="J5395">
        <f>(1-C5395)*Assumptions!$B$41+(1-D5395)*Assumptions!$B$33+(1-E5395)*Assumptions!$B$32+(1-F5395)*Assumptions!$B$31+(1-G5395)*Assumptions!$B$30+(1-H5395)*Assumptions!$B$29+(1-I5395)*Assumptions!$B$28</f>
        <v/>
      </c>
      <c r="K5395">
        <f>C5395*$J$382+D5395*$F$382+E5395*$G$382+F5395*Assumptions!$B$14+G5395*Assumptions!$B$13+H5395*Assumptions!$B$12+I5395*Assumptions!$B$11+$O$382+$S$382+Assumptions!$B$9</f>
        <v/>
      </c>
      <c r="L5395">
        <f>B5395-J5395</f>
        <v/>
      </c>
      <c r="M5395">
        <f>IF(K5395&gt;0,IF(L5395/K5395&gt;=Assumptions!$B$37,1,0),0)</f>
        <v/>
      </c>
      <c r="N5395">
        <f>K5395+M5395*Assumptions!$B$153</f>
        <v/>
      </c>
      <c r="O5395">
        <f>L5395+M5395*Assumptions!$B$153*Assumptions!$B$37</f>
        <v/>
      </c>
      <c r="P5395">
        <f>IF(N5395&gt;0,O5395/N5395,0)</f>
        <v/>
      </c>
      <c r="Q5395">
        <f>IF(C5395=1,P5395*$J$382,Assumptions!$B$41)</f>
        <v/>
      </c>
      <c r="R5395">
        <f>IF(D5395=1,P5395*$F$382,Assumptions!$B$33)</f>
        <v/>
      </c>
      <c r="S5395">
        <f>IF(E5395=1,P5395*$G$382,Assumptions!$B$32)</f>
        <v/>
      </c>
      <c r="T5395">
        <f>IF(F5395=1,P5395*Assumptions!$B$14,Assumptions!$B$31)</f>
        <v/>
      </c>
      <c r="U5395">
        <f>IF(G5395=1,P5395*Assumptions!$B$13,Assumptions!$B$30)</f>
        <v/>
      </c>
      <c r="V5395">
        <f>IF(H5395=1,P5395*Assumptions!$B$12,Assumptions!$B$29)</f>
        <v/>
      </c>
      <c r="W5395">
        <f>IF(I5395=1,P5395*Assumptions!$B$11,Assumptions!$B$28)</f>
        <v/>
      </c>
      <c r="X5395">
        <f>P5395*($O$382+$S$382)</f>
        <v/>
      </c>
      <c r="Y5395">
        <f>P5395*Assumptions!$B$9</f>
        <v/>
      </c>
      <c r="Z5395">
        <f>IF(M5395=1,(P5395-Assumptions!$B$37)*Assumptions!$B$153,0)</f>
        <v/>
      </c>
      <c r="AA5395">
        <f>Q5395+R5395+S5395+T5395+U5395+V5395+W5395+X5395+Y5395+Z5395</f>
        <v/>
      </c>
      <c r="AB5395" t="n">
        <v>11</v>
      </c>
      <c r="AC5395" t="n">
        <v>75</v>
      </c>
      <c r="AD5395" t="n">
        <v>43</v>
      </c>
      <c r="AE5395" t="n">
        <v>27</v>
      </c>
      <c r="AF5395" t="n">
        <v>3</v>
      </c>
      <c r="AG5395" t="n">
        <v>15</v>
      </c>
      <c r="AH5395" t="n">
        <v>9</v>
      </c>
      <c r="AI5395" t="n">
        <v>10</v>
      </c>
      <c r="AJ5395">
        <f>INDEX($Q$5384:$Q$5511,AC5395+1)</f>
        <v/>
      </c>
      <c r="AK5395">
        <f>INDEX($R$5384:$R$5511,AD5395+1)</f>
        <v/>
      </c>
      <c r="AL5395">
        <f>INDEX($S$5384:$S$5511,AE5395+1)</f>
        <v/>
      </c>
      <c r="AM5395">
        <f>INDEX($T$5384:$T$5511,AF5395+1)</f>
        <v/>
      </c>
      <c r="AN5395">
        <f>INDEX($U$5384:$U$5511,AG5395+1)</f>
        <v/>
      </c>
      <c r="AO5395">
        <f>INDEX($V$5384:$V$5511,AH5395+1)</f>
        <v/>
      </c>
      <c r="AP5395">
        <f>INDEX($W$5384:$W$5511,AI5395+1)</f>
        <v/>
      </c>
      <c r="AQ5395">
        <f>IF(Q5395&gt;=AJ5395-0.01,1,0)</f>
        <v/>
      </c>
      <c r="AR5395">
        <f>IF(R5395&gt;=AK5395-0.01,1,0)</f>
        <v/>
      </c>
      <c r="AS5395">
        <f>IF(S5395&gt;=AL5395-0.01,1,0)</f>
        <v/>
      </c>
      <c r="AT5395">
        <f>IF(T5395&gt;=AM5395-0.01,1,0)</f>
        <v/>
      </c>
      <c r="AU5395">
        <f>IF(U5395&gt;=AN5395-0.01,1,0)</f>
        <v/>
      </c>
      <c r="AV5395">
        <f>IF(V5395&gt;=AO5395-0.01,1,0)</f>
        <v/>
      </c>
      <c r="AW5395">
        <f>IF(W5395&gt;=AP5395-0.01,1,0)</f>
        <v/>
      </c>
      <c r="AX5395">
        <f>AQ5395*AR5395*AS5395*AT5395*AU5395*AV5395*AW5395</f>
        <v/>
      </c>
    </row>
    <row r="5396">
      <c r="A5396" t="inlineStr"/>
      <c r="B5396">
        <f>Assumptions!$B$60</f>
        <v/>
      </c>
      <c r="C5396" t="n">
        <v>0</v>
      </c>
      <c r="D5396" t="n">
        <v>0</v>
      </c>
      <c r="E5396" t="n">
        <v>0</v>
      </c>
      <c r="F5396" t="n">
        <v>1</v>
      </c>
      <c r="G5396" t="n">
        <v>1</v>
      </c>
      <c r="H5396" t="n">
        <v>0</v>
      </c>
      <c r="I5396" t="n">
        <v>0</v>
      </c>
      <c r="J5396">
        <f>(1-C5396)*Assumptions!$B$41+(1-D5396)*Assumptions!$B$33+(1-E5396)*Assumptions!$B$32+(1-F5396)*Assumptions!$B$31+(1-G5396)*Assumptions!$B$30+(1-H5396)*Assumptions!$B$29+(1-I5396)*Assumptions!$B$28</f>
        <v/>
      </c>
      <c r="K5396">
        <f>C5396*$J$382+D5396*$F$382+E5396*$G$382+F5396*Assumptions!$B$14+G5396*Assumptions!$B$13+H5396*Assumptions!$B$12+I5396*Assumptions!$B$11+$O$382+$S$382+Assumptions!$B$9</f>
        <v/>
      </c>
      <c r="L5396">
        <f>B5396-J5396</f>
        <v/>
      </c>
      <c r="M5396">
        <f>IF(K5396&gt;0,IF(L5396/K5396&gt;=Assumptions!$B$37,1,0),0)</f>
        <v/>
      </c>
      <c r="N5396">
        <f>K5396+M5396*Assumptions!$B$153</f>
        <v/>
      </c>
      <c r="O5396">
        <f>L5396+M5396*Assumptions!$B$153*Assumptions!$B$37</f>
        <v/>
      </c>
      <c r="P5396">
        <f>IF(N5396&gt;0,O5396/N5396,0)</f>
        <v/>
      </c>
      <c r="Q5396">
        <f>IF(C5396=1,P5396*$J$382,Assumptions!$B$41)</f>
        <v/>
      </c>
      <c r="R5396">
        <f>IF(D5396=1,P5396*$F$382,Assumptions!$B$33)</f>
        <v/>
      </c>
      <c r="S5396">
        <f>IF(E5396=1,P5396*$G$382,Assumptions!$B$32)</f>
        <v/>
      </c>
      <c r="T5396">
        <f>IF(F5396=1,P5396*Assumptions!$B$14,Assumptions!$B$31)</f>
        <v/>
      </c>
      <c r="U5396">
        <f>IF(G5396=1,P5396*Assumptions!$B$13,Assumptions!$B$30)</f>
        <v/>
      </c>
      <c r="V5396">
        <f>IF(H5396=1,P5396*Assumptions!$B$12,Assumptions!$B$29)</f>
        <v/>
      </c>
      <c r="W5396">
        <f>IF(I5396=1,P5396*Assumptions!$B$11,Assumptions!$B$28)</f>
        <v/>
      </c>
      <c r="X5396">
        <f>P5396*($O$382+$S$382)</f>
        <v/>
      </c>
      <c r="Y5396">
        <f>P5396*Assumptions!$B$9</f>
        <v/>
      </c>
      <c r="Z5396">
        <f>IF(M5396=1,(P5396-Assumptions!$B$37)*Assumptions!$B$153,0)</f>
        <v/>
      </c>
      <c r="AA5396">
        <f>Q5396+R5396+S5396+T5396+U5396+V5396+W5396+X5396+Y5396+Z5396</f>
        <v/>
      </c>
      <c r="AB5396" t="n">
        <v>12</v>
      </c>
      <c r="AC5396" t="n">
        <v>76</v>
      </c>
      <c r="AD5396" t="n">
        <v>44</v>
      </c>
      <c r="AE5396" t="n">
        <v>28</v>
      </c>
      <c r="AF5396" t="n">
        <v>4</v>
      </c>
      <c r="AG5396" t="n">
        <v>8</v>
      </c>
      <c r="AH5396" t="n">
        <v>14</v>
      </c>
      <c r="AI5396" t="n">
        <v>13</v>
      </c>
      <c r="AJ5396">
        <f>INDEX($Q$5384:$Q$5511,AC5396+1)</f>
        <v/>
      </c>
      <c r="AK5396">
        <f>INDEX($R$5384:$R$5511,AD5396+1)</f>
        <v/>
      </c>
      <c r="AL5396">
        <f>INDEX($S$5384:$S$5511,AE5396+1)</f>
        <v/>
      </c>
      <c r="AM5396">
        <f>INDEX($T$5384:$T$5511,AF5396+1)</f>
        <v/>
      </c>
      <c r="AN5396">
        <f>INDEX($U$5384:$U$5511,AG5396+1)</f>
        <v/>
      </c>
      <c r="AO5396">
        <f>INDEX($V$5384:$V$5511,AH5396+1)</f>
        <v/>
      </c>
      <c r="AP5396">
        <f>INDEX($W$5384:$W$5511,AI5396+1)</f>
        <v/>
      </c>
      <c r="AQ5396">
        <f>IF(Q5396&gt;=AJ5396-0.01,1,0)</f>
        <v/>
      </c>
      <c r="AR5396">
        <f>IF(R5396&gt;=AK5396-0.01,1,0)</f>
        <v/>
      </c>
      <c r="AS5396">
        <f>IF(S5396&gt;=AL5396-0.01,1,0)</f>
        <v/>
      </c>
      <c r="AT5396">
        <f>IF(T5396&gt;=AM5396-0.01,1,0)</f>
        <v/>
      </c>
      <c r="AU5396">
        <f>IF(U5396&gt;=AN5396-0.01,1,0)</f>
        <v/>
      </c>
      <c r="AV5396">
        <f>IF(V5396&gt;=AO5396-0.01,1,0)</f>
        <v/>
      </c>
      <c r="AW5396">
        <f>IF(W5396&gt;=AP5396-0.01,1,0)</f>
        <v/>
      </c>
      <c r="AX5396">
        <f>AQ5396*AR5396*AS5396*AT5396*AU5396*AV5396*AW5396</f>
        <v/>
      </c>
    </row>
    <row r="5397">
      <c r="A5397" t="inlineStr"/>
      <c r="B5397">
        <f>Assumptions!$B$60</f>
        <v/>
      </c>
      <c r="C5397" t="n">
        <v>0</v>
      </c>
      <c r="D5397" t="n">
        <v>0</v>
      </c>
      <c r="E5397" t="n">
        <v>0</v>
      </c>
      <c r="F5397" t="n">
        <v>1</v>
      </c>
      <c r="G5397" t="n">
        <v>1</v>
      </c>
      <c r="H5397" t="n">
        <v>0</v>
      </c>
      <c r="I5397" t="n">
        <v>1</v>
      </c>
      <c r="J5397">
        <f>(1-C5397)*Assumptions!$B$41+(1-D5397)*Assumptions!$B$33+(1-E5397)*Assumptions!$B$32+(1-F5397)*Assumptions!$B$31+(1-G5397)*Assumptions!$B$30+(1-H5397)*Assumptions!$B$29+(1-I5397)*Assumptions!$B$28</f>
        <v/>
      </c>
      <c r="K5397">
        <f>C5397*$J$382+D5397*$F$382+E5397*$G$382+F5397*Assumptions!$B$14+G5397*Assumptions!$B$13+H5397*Assumptions!$B$12+I5397*Assumptions!$B$11+$O$382+$S$382+Assumptions!$B$9</f>
        <v/>
      </c>
      <c r="L5397">
        <f>B5397-J5397</f>
        <v/>
      </c>
      <c r="M5397">
        <f>IF(K5397&gt;0,IF(L5397/K5397&gt;=Assumptions!$B$37,1,0),0)</f>
        <v/>
      </c>
      <c r="N5397">
        <f>K5397+M5397*Assumptions!$B$153</f>
        <v/>
      </c>
      <c r="O5397">
        <f>L5397+M5397*Assumptions!$B$153*Assumptions!$B$37</f>
        <v/>
      </c>
      <c r="P5397">
        <f>IF(N5397&gt;0,O5397/N5397,0)</f>
        <v/>
      </c>
      <c r="Q5397">
        <f>IF(C5397=1,P5397*$J$382,Assumptions!$B$41)</f>
        <v/>
      </c>
      <c r="R5397">
        <f>IF(D5397=1,P5397*$F$382,Assumptions!$B$33)</f>
        <v/>
      </c>
      <c r="S5397">
        <f>IF(E5397=1,P5397*$G$382,Assumptions!$B$32)</f>
        <v/>
      </c>
      <c r="T5397">
        <f>IF(F5397=1,P5397*Assumptions!$B$14,Assumptions!$B$31)</f>
        <v/>
      </c>
      <c r="U5397">
        <f>IF(G5397=1,P5397*Assumptions!$B$13,Assumptions!$B$30)</f>
        <v/>
      </c>
      <c r="V5397">
        <f>IF(H5397=1,P5397*Assumptions!$B$12,Assumptions!$B$29)</f>
        <v/>
      </c>
      <c r="W5397">
        <f>IF(I5397=1,P5397*Assumptions!$B$11,Assumptions!$B$28)</f>
        <v/>
      </c>
      <c r="X5397">
        <f>P5397*($O$382+$S$382)</f>
        <v/>
      </c>
      <c r="Y5397">
        <f>P5397*Assumptions!$B$9</f>
        <v/>
      </c>
      <c r="Z5397">
        <f>IF(M5397=1,(P5397-Assumptions!$B$37)*Assumptions!$B$153,0)</f>
        <v/>
      </c>
      <c r="AA5397">
        <f>Q5397+R5397+S5397+T5397+U5397+V5397+W5397+X5397+Y5397+Z5397</f>
        <v/>
      </c>
      <c r="AB5397" t="n">
        <v>13</v>
      </c>
      <c r="AC5397" t="n">
        <v>77</v>
      </c>
      <c r="AD5397" t="n">
        <v>45</v>
      </c>
      <c r="AE5397" t="n">
        <v>29</v>
      </c>
      <c r="AF5397" t="n">
        <v>5</v>
      </c>
      <c r="AG5397" t="n">
        <v>9</v>
      </c>
      <c r="AH5397" t="n">
        <v>15</v>
      </c>
      <c r="AI5397" t="n">
        <v>12</v>
      </c>
      <c r="AJ5397">
        <f>INDEX($Q$5384:$Q$5511,AC5397+1)</f>
        <v/>
      </c>
      <c r="AK5397">
        <f>INDEX($R$5384:$R$5511,AD5397+1)</f>
        <v/>
      </c>
      <c r="AL5397">
        <f>INDEX($S$5384:$S$5511,AE5397+1)</f>
        <v/>
      </c>
      <c r="AM5397">
        <f>INDEX($T$5384:$T$5511,AF5397+1)</f>
        <v/>
      </c>
      <c r="AN5397">
        <f>INDEX($U$5384:$U$5511,AG5397+1)</f>
        <v/>
      </c>
      <c r="AO5397">
        <f>INDEX($V$5384:$V$5511,AH5397+1)</f>
        <v/>
      </c>
      <c r="AP5397">
        <f>INDEX($W$5384:$W$5511,AI5397+1)</f>
        <v/>
      </c>
      <c r="AQ5397">
        <f>IF(Q5397&gt;=AJ5397-0.01,1,0)</f>
        <v/>
      </c>
      <c r="AR5397">
        <f>IF(R5397&gt;=AK5397-0.01,1,0)</f>
        <v/>
      </c>
      <c r="AS5397">
        <f>IF(S5397&gt;=AL5397-0.01,1,0)</f>
        <v/>
      </c>
      <c r="AT5397">
        <f>IF(T5397&gt;=AM5397-0.01,1,0)</f>
        <v/>
      </c>
      <c r="AU5397">
        <f>IF(U5397&gt;=AN5397-0.01,1,0)</f>
        <v/>
      </c>
      <c r="AV5397">
        <f>IF(V5397&gt;=AO5397-0.01,1,0)</f>
        <v/>
      </c>
      <c r="AW5397">
        <f>IF(W5397&gt;=AP5397-0.01,1,0)</f>
        <v/>
      </c>
      <c r="AX5397">
        <f>AQ5397*AR5397*AS5397*AT5397*AU5397*AV5397*AW5397</f>
        <v/>
      </c>
    </row>
    <row r="5398">
      <c r="A5398" t="inlineStr"/>
      <c r="B5398">
        <f>Assumptions!$B$60</f>
        <v/>
      </c>
      <c r="C5398" t="n">
        <v>0</v>
      </c>
      <c r="D5398" t="n">
        <v>0</v>
      </c>
      <c r="E5398" t="n">
        <v>0</v>
      </c>
      <c r="F5398" t="n">
        <v>1</v>
      </c>
      <c r="G5398" t="n">
        <v>1</v>
      </c>
      <c r="H5398" t="n">
        <v>1</v>
      </c>
      <c r="I5398" t="n">
        <v>0</v>
      </c>
      <c r="J5398">
        <f>(1-C5398)*Assumptions!$B$41+(1-D5398)*Assumptions!$B$33+(1-E5398)*Assumptions!$B$32+(1-F5398)*Assumptions!$B$31+(1-G5398)*Assumptions!$B$30+(1-H5398)*Assumptions!$B$29+(1-I5398)*Assumptions!$B$28</f>
        <v/>
      </c>
      <c r="K5398">
        <f>C5398*$J$382+D5398*$F$382+E5398*$G$382+F5398*Assumptions!$B$14+G5398*Assumptions!$B$13+H5398*Assumptions!$B$12+I5398*Assumptions!$B$11+$O$382+$S$382+Assumptions!$B$9</f>
        <v/>
      </c>
      <c r="L5398">
        <f>B5398-J5398</f>
        <v/>
      </c>
      <c r="M5398">
        <f>IF(K5398&gt;0,IF(L5398/K5398&gt;=Assumptions!$B$37,1,0),0)</f>
        <v/>
      </c>
      <c r="N5398">
        <f>K5398+M5398*Assumptions!$B$153</f>
        <v/>
      </c>
      <c r="O5398">
        <f>L5398+M5398*Assumptions!$B$153*Assumptions!$B$37</f>
        <v/>
      </c>
      <c r="P5398">
        <f>IF(N5398&gt;0,O5398/N5398,0)</f>
        <v/>
      </c>
      <c r="Q5398">
        <f>IF(C5398=1,P5398*$J$382,Assumptions!$B$41)</f>
        <v/>
      </c>
      <c r="R5398">
        <f>IF(D5398=1,P5398*$F$382,Assumptions!$B$33)</f>
        <v/>
      </c>
      <c r="S5398">
        <f>IF(E5398=1,P5398*$G$382,Assumptions!$B$32)</f>
        <v/>
      </c>
      <c r="T5398">
        <f>IF(F5398=1,P5398*Assumptions!$B$14,Assumptions!$B$31)</f>
        <v/>
      </c>
      <c r="U5398">
        <f>IF(G5398=1,P5398*Assumptions!$B$13,Assumptions!$B$30)</f>
        <v/>
      </c>
      <c r="V5398">
        <f>IF(H5398=1,P5398*Assumptions!$B$12,Assumptions!$B$29)</f>
        <v/>
      </c>
      <c r="W5398">
        <f>IF(I5398=1,P5398*Assumptions!$B$11,Assumptions!$B$28)</f>
        <v/>
      </c>
      <c r="X5398">
        <f>P5398*($O$382+$S$382)</f>
        <v/>
      </c>
      <c r="Y5398">
        <f>P5398*Assumptions!$B$9</f>
        <v/>
      </c>
      <c r="Z5398">
        <f>IF(M5398=1,(P5398-Assumptions!$B$37)*Assumptions!$B$153,0)</f>
        <v/>
      </c>
      <c r="AA5398">
        <f>Q5398+R5398+S5398+T5398+U5398+V5398+W5398+X5398+Y5398+Z5398</f>
        <v/>
      </c>
      <c r="AB5398" t="n">
        <v>14</v>
      </c>
      <c r="AC5398" t="n">
        <v>78</v>
      </c>
      <c r="AD5398" t="n">
        <v>46</v>
      </c>
      <c r="AE5398" t="n">
        <v>30</v>
      </c>
      <c r="AF5398" t="n">
        <v>6</v>
      </c>
      <c r="AG5398" t="n">
        <v>10</v>
      </c>
      <c r="AH5398" t="n">
        <v>12</v>
      </c>
      <c r="AI5398" t="n">
        <v>15</v>
      </c>
      <c r="AJ5398">
        <f>INDEX($Q$5384:$Q$5511,AC5398+1)</f>
        <v/>
      </c>
      <c r="AK5398">
        <f>INDEX($R$5384:$R$5511,AD5398+1)</f>
        <v/>
      </c>
      <c r="AL5398">
        <f>INDEX($S$5384:$S$5511,AE5398+1)</f>
        <v/>
      </c>
      <c r="AM5398">
        <f>INDEX($T$5384:$T$5511,AF5398+1)</f>
        <v/>
      </c>
      <c r="AN5398">
        <f>INDEX($U$5384:$U$5511,AG5398+1)</f>
        <v/>
      </c>
      <c r="AO5398">
        <f>INDEX($V$5384:$V$5511,AH5398+1)</f>
        <v/>
      </c>
      <c r="AP5398">
        <f>INDEX($W$5384:$W$5511,AI5398+1)</f>
        <v/>
      </c>
      <c r="AQ5398">
        <f>IF(Q5398&gt;=AJ5398-0.01,1,0)</f>
        <v/>
      </c>
      <c r="AR5398">
        <f>IF(R5398&gt;=AK5398-0.01,1,0)</f>
        <v/>
      </c>
      <c r="AS5398">
        <f>IF(S5398&gt;=AL5398-0.01,1,0)</f>
        <v/>
      </c>
      <c r="AT5398">
        <f>IF(T5398&gt;=AM5398-0.01,1,0)</f>
        <v/>
      </c>
      <c r="AU5398">
        <f>IF(U5398&gt;=AN5398-0.01,1,0)</f>
        <v/>
      </c>
      <c r="AV5398">
        <f>IF(V5398&gt;=AO5398-0.01,1,0)</f>
        <v/>
      </c>
      <c r="AW5398">
        <f>IF(W5398&gt;=AP5398-0.01,1,0)</f>
        <v/>
      </c>
      <c r="AX5398">
        <f>AQ5398*AR5398*AS5398*AT5398*AU5398*AV5398*AW5398</f>
        <v/>
      </c>
    </row>
    <row r="5399">
      <c r="A5399" t="inlineStr"/>
      <c r="B5399">
        <f>Assumptions!$B$60</f>
        <v/>
      </c>
      <c r="C5399" t="n">
        <v>0</v>
      </c>
      <c r="D5399" t="n">
        <v>0</v>
      </c>
      <c r="E5399" t="n">
        <v>0</v>
      </c>
      <c r="F5399" t="n">
        <v>1</v>
      </c>
      <c r="G5399" t="n">
        <v>1</v>
      </c>
      <c r="H5399" t="n">
        <v>1</v>
      </c>
      <c r="I5399" t="n">
        <v>1</v>
      </c>
      <c r="J5399">
        <f>(1-C5399)*Assumptions!$B$41+(1-D5399)*Assumptions!$B$33+(1-E5399)*Assumptions!$B$32+(1-F5399)*Assumptions!$B$31+(1-G5399)*Assumptions!$B$30+(1-H5399)*Assumptions!$B$29+(1-I5399)*Assumptions!$B$28</f>
        <v/>
      </c>
      <c r="K5399">
        <f>C5399*$J$382+D5399*$F$382+E5399*$G$382+F5399*Assumptions!$B$14+G5399*Assumptions!$B$13+H5399*Assumptions!$B$12+I5399*Assumptions!$B$11+$O$382+$S$382+Assumptions!$B$9</f>
        <v/>
      </c>
      <c r="L5399">
        <f>B5399-J5399</f>
        <v/>
      </c>
      <c r="M5399">
        <f>IF(K5399&gt;0,IF(L5399/K5399&gt;=Assumptions!$B$37,1,0),0)</f>
        <v/>
      </c>
      <c r="N5399">
        <f>K5399+M5399*Assumptions!$B$153</f>
        <v/>
      </c>
      <c r="O5399">
        <f>L5399+M5399*Assumptions!$B$153*Assumptions!$B$37</f>
        <v/>
      </c>
      <c r="P5399">
        <f>IF(N5399&gt;0,O5399/N5399,0)</f>
        <v/>
      </c>
      <c r="Q5399">
        <f>IF(C5399=1,P5399*$J$382,Assumptions!$B$41)</f>
        <v/>
      </c>
      <c r="R5399">
        <f>IF(D5399=1,P5399*$F$382,Assumptions!$B$33)</f>
        <v/>
      </c>
      <c r="S5399">
        <f>IF(E5399=1,P5399*$G$382,Assumptions!$B$32)</f>
        <v/>
      </c>
      <c r="T5399">
        <f>IF(F5399=1,P5399*Assumptions!$B$14,Assumptions!$B$31)</f>
        <v/>
      </c>
      <c r="U5399">
        <f>IF(G5399=1,P5399*Assumptions!$B$13,Assumptions!$B$30)</f>
        <v/>
      </c>
      <c r="V5399">
        <f>IF(H5399=1,P5399*Assumptions!$B$12,Assumptions!$B$29)</f>
        <v/>
      </c>
      <c r="W5399">
        <f>IF(I5399=1,P5399*Assumptions!$B$11,Assumptions!$B$28)</f>
        <v/>
      </c>
      <c r="X5399">
        <f>P5399*($O$382+$S$382)</f>
        <v/>
      </c>
      <c r="Y5399">
        <f>P5399*Assumptions!$B$9</f>
        <v/>
      </c>
      <c r="Z5399">
        <f>IF(M5399=1,(P5399-Assumptions!$B$37)*Assumptions!$B$153,0)</f>
        <v/>
      </c>
      <c r="AA5399">
        <f>Q5399+R5399+S5399+T5399+U5399+V5399+W5399+X5399+Y5399+Z5399</f>
        <v/>
      </c>
      <c r="AB5399" t="n">
        <v>15</v>
      </c>
      <c r="AC5399" t="n">
        <v>79</v>
      </c>
      <c r="AD5399" t="n">
        <v>47</v>
      </c>
      <c r="AE5399" t="n">
        <v>31</v>
      </c>
      <c r="AF5399" t="n">
        <v>7</v>
      </c>
      <c r="AG5399" t="n">
        <v>11</v>
      </c>
      <c r="AH5399" t="n">
        <v>13</v>
      </c>
      <c r="AI5399" t="n">
        <v>14</v>
      </c>
      <c r="AJ5399">
        <f>INDEX($Q$5384:$Q$5511,AC5399+1)</f>
        <v/>
      </c>
      <c r="AK5399">
        <f>INDEX($R$5384:$R$5511,AD5399+1)</f>
        <v/>
      </c>
      <c r="AL5399">
        <f>INDEX($S$5384:$S$5511,AE5399+1)</f>
        <v/>
      </c>
      <c r="AM5399">
        <f>INDEX($T$5384:$T$5511,AF5399+1)</f>
        <v/>
      </c>
      <c r="AN5399">
        <f>INDEX($U$5384:$U$5511,AG5399+1)</f>
        <v/>
      </c>
      <c r="AO5399">
        <f>INDEX($V$5384:$V$5511,AH5399+1)</f>
        <v/>
      </c>
      <c r="AP5399">
        <f>INDEX($W$5384:$W$5511,AI5399+1)</f>
        <v/>
      </c>
      <c r="AQ5399">
        <f>IF(Q5399&gt;=AJ5399-0.01,1,0)</f>
        <v/>
      </c>
      <c r="AR5399">
        <f>IF(R5399&gt;=AK5399-0.01,1,0)</f>
        <v/>
      </c>
      <c r="AS5399">
        <f>IF(S5399&gt;=AL5399-0.01,1,0)</f>
        <v/>
      </c>
      <c r="AT5399">
        <f>IF(T5399&gt;=AM5399-0.01,1,0)</f>
        <v/>
      </c>
      <c r="AU5399">
        <f>IF(U5399&gt;=AN5399-0.01,1,0)</f>
        <v/>
      </c>
      <c r="AV5399">
        <f>IF(V5399&gt;=AO5399-0.01,1,0)</f>
        <v/>
      </c>
      <c r="AW5399">
        <f>IF(W5399&gt;=AP5399-0.01,1,0)</f>
        <v/>
      </c>
      <c r="AX5399">
        <f>AQ5399*AR5399*AS5399*AT5399*AU5399*AV5399*AW5399</f>
        <v/>
      </c>
    </row>
    <row r="5400">
      <c r="A5400" t="inlineStr"/>
      <c r="B5400">
        <f>Assumptions!$B$60</f>
        <v/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0</v>
      </c>
      <c r="J5400">
        <f>(1-C5400)*Assumptions!$B$41+(1-D5400)*Assumptions!$B$33+(1-E5400)*Assumptions!$B$32+(1-F5400)*Assumptions!$B$31+(1-G5400)*Assumptions!$B$30+(1-H5400)*Assumptions!$B$29+(1-I5400)*Assumptions!$B$28</f>
        <v/>
      </c>
      <c r="K5400">
        <f>C5400*$J$382+D5400*$F$382+E5400*$G$382+F5400*Assumptions!$B$14+G5400*Assumptions!$B$13+H5400*Assumptions!$B$12+I5400*Assumptions!$B$11+$O$382+$S$382+Assumptions!$B$9</f>
        <v/>
      </c>
      <c r="L5400">
        <f>B5400-J5400</f>
        <v/>
      </c>
      <c r="M5400">
        <f>IF(K5400&gt;0,IF(L5400/K5400&gt;=Assumptions!$B$37,1,0),0)</f>
        <v/>
      </c>
      <c r="N5400">
        <f>K5400+M5400*Assumptions!$B$153</f>
        <v/>
      </c>
      <c r="O5400">
        <f>L5400+M5400*Assumptions!$B$153*Assumptions!$B$37</f>
        <v/>
      </c>
      <c r="P5400">
        <f>IF(N5400&gt;0,O5400/N5400,0)</f>
        <v/>
      </c>
      <c r="Q5400">
        <f>IF(C5400=1,P5400*$J$382,Assumptions!$B$41)</f>
        <v/>
      </c>
      <c r="R5400">
        <f>IF(D5400=1,P5400*$F$382,Assumptions!$B$33)</f>
        <v/>
      </c>
      <c r="S5400">
        <f>IF(E5400=1,P5400*$G$382,Assumptions!$B$32)</f>
        <v/>
      </c>
      <c r="T5400">
        <f>IF(F5400=1,P5400*Assumptions!$B$14,Assumptions!$B$31)</f>
        <v/>
      </c>
      <c r="U5400">
        <f>IF(G5400=1,P5400*Assumptions!$B$13,Assumptions!$B$30)</f>
        <v/>
      </c>
      <c r="V5400">
        <f>IF(H5400=1,P5400*Assumptions!$B$12,Assumptions!$B$29)</f>
        <v/>
      </c>
      <c r="W5400">
        <f>IF(I5400=1,P5400*Assumptions!$B$11,Assumptions!$B$28)</f>
        <v/>
      </c>
      <c r="X5400">
        <f>P5400*($O$382+$S$382)</f>
        <v/>
      </c>
      <c r="Y5400">
        <f>P5400*Assumptions!$B$9</f>
        <v/>
      </c>
      <c r="Z5400">
        <f>IF(M5400=1,(P5400-Assumptions!$B$37)*Assumptions!$B$153,0)</f>
        <v/>
      </c>
      <c r="AA5400">
        <f>Q5400+R5400+S5400+T5400+U5400+V5400+W5400+X5400+Y5400+Z5400</f>
        <v/>
      </c>
      <c r="AB5400" t="n">
        <v>16</v>
      </c>
      <c r="AC5400" t="n">
        <v>80</v>
      </c>
      <c r="AD5400" t="n">
        <v>48</v>
      </c>
      <c r="AE5400" t="n">
        <v>0</v>
      </c>
      <c r="AF5400" t="n">
        <v>24</v>
      </c>
      <c r="AG5400" t="n">
        <v>20</v>
      </c>
      <c r="AH5400" t="n">
        <v>18</v>
      </c>
      <c r="AI5400" t="n">
        <v>17</v>
      </c>
      <c r="AJ5400">
        <f>INDEX($Q$5384:$Q$5511,AC5400+1)</f>
        <v/>
      </c>
      <c r="AK5400">
        <f>INDEX($R$5384:$R$5511,AD5400+1)</f>
        <v/>
      </c>
      <c r="AL5400">
        <f>INDEX($S$5384:$S$5511,AE5400+1)</f>
        <v/>
      </c>
      <c r="AM5400">
        <f>INDEX($T$5384:$T$5511,AF5400+1)</f>
        <v/>
      </c>
      <c r="AN5400">
        <f>INDEX($U$5384:$U$5511,AG5400+1)</f>
        <v/>
      </c>
      <c r="AO5400">
        <f>INDEX($V$5384:$V$5511,AH5400+1)</f>
        <v/>
      </c>
      <c r="AP5400">
        <f>INDEX($W$5384:$W$5511,AI5400+1)</f>
        <v/>
      </c>
      <c r="AQ5400">
        <f>IF(Q5400&gt;=AJ5400-0.01,1,0)</f>
        <v/>
      </c>
      <c r="AR5400">
        <f>IF(R5400&gt;=AK5400-0.01,1,0)</f>
        <v/>
      </c>
      <c r="AS5400">
        <f>IF(S5400&gt;=AL5400-0.01,1,0)</f>
        <v/>
      </c>
      <c r="AT5400">
        <f>IF(T5400&gt;=AM5400-0.01,1,0)</f>
        <v/>
      </c>
      <c r="AU5400">
        <f>IF(U5400&gt;=AN5400-0.01,1,0)</f>
        <v/>
      </c>
      <c r="AV5400">
        <f>IF(V5400&gt;=AO5400-0.01,1,0)</f>
        <v/>
      </c>
      <c r="AW5400">
        <f>IF(W5400&gt;=AP5400-0.01,1,0)</f>
        <v/>
      </c>
      <c r="AX5400">
        <f>AQ5400*AR5400*AS5400*AT5400*AU5400*AV5400*AW5400</f>
        <v/>
      </c>
    </row>
    <row r="5401">
      <c r="A5401" t="inlineStr"/>
      <c r="B5401">
        <f>Assumptions!$B$60</f>
        <v/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1</v>
      </c>
      <c r="J5401">
        <f>(1-C5401)*Assumptions!$B$41+(1-D5401)*Assumptions!$B$33+(1-E5401)*Assumptions!$B$32+(1-F5401)*Assumptions!$B$31+(1-G5401)*Assumptions!$B$30+(1-H5401)*Assumptions!$B$29+(1-I5401)*Assumptions!$B$28</f>
        <v/>
      </c>
      <c r="K5401">
        <f>C5401*$J$382+D5401*$F$382+E5401*$G$382+F5401*Assumptions!$B$14+G5401*Assumptions!$B$13+H5401*Assumptions!$B$12+I5401*Assumptions!$B$11+$O$382+$S$382+Assumptions!$B$9</f>
        <v/>
      </c>
      <c r="L5401">
        <f>B5401-J5401</f>
        <v/>
      </c>
      <c r="M5401">
        <f>IF(K5401&gt;0,IF(L5401/K5401&gt;=Assumptions!$B$37,1,0),0)</f>
        <v/>
      </c>
      <c r="N5401">
        <f>K5401+M5401*Assumptions!$B$153</f>
        <v/>
      </c>
      <c r="O5401">
        <f>L5401+M5401*Assumptions!$B$153*Assumptions!$B$37</f>
        <v/>
      </c>
      <c r="P5401">
        <f>IF(N5401&gt;0,O5401/N5401,0)</f>
        <v/>
      </c>
      <c r="Q5401">
        <f>IF(C5401=1,P5401*$J$382,Assumptions!$B$41)</f>
        <v/>
      </c>
      <c r="R5401">
        <f>IF(D5401=1,P5401*$F$382,Assumptions!$B$33)</f>
        <v/>
      </c>
      <c r="S5401">
        <f>IF(E5401=1,P5401*$G$382,Assumptions!$B$32)</f>
        <v/>
      </c>
      <c r="T5401">
        <f>IF(F5401=1,P5401*Assumptions!$B$14,Assumptions!$B$31)</f>
        <v/>
      </c>
      <c r="U5401">
        <f>IF(G5401=1,P5401*Assumptions!$B$13,Assumptions!$B$30)</f>
        <v/>
      </c>
      <c r="V5401">
        <f>IF(H5401=1,P5401*Assumptions!$B$12,Assumptions!$B$29)</f>
        <v/>
      </c>
      <c r="W5401">
        <f>IF(I5401=1,P5401*Assumptions!$B$11,Assumptions!$B$28)</f>
        <v/>
      </c>
      <c r="X5401">
        <f>P5401*($O$382+$S$382)</f>
        <v/>
      </c>
      <c r="Y5401">
        <f>P5401*Assumptions!$B$9</f>
        <v/>
      </c>
      <c r="Z5401">
        <f>IF(M5401=1,(P5401-Assumptions!$B$37)*Assumptions!$B$153,0)</f>
        <v/>
      </c>
      <c r="AA5401">
        <f>Q5401+R5401+S5401+T5401+U5401+V5401+W5401+X5401+Y5401+Z5401</f>
        <v/>
      </c>
      <c r="AB5401" t="n">
        <v>17</v>
      </c>
      <c r="AC5401" t="n">
        <v>81</v>
      </c>
      <c r="AD5401" t="n">
        <v>49</v>
      </c>
      <c r="AE5401" t="n">
        <v>1</v>
      </c>
      <c r="AF5401" t="n">
        <v>25</v>
      </c>
      <c r="AG5401" t="n">
        <v>21</v>
      </c>
      <c r="AH5401" t="n">
        <v>19</v>
      </c>
      <c r="AI5401" t="n">
        <v>16</v>
      </c>
      <c r="AJ5401">
        <f>INDEX($Q$5384:$Q$5511,AC5401+1)</f>
        <v/>
      </c>
      <c r="AK5401">
        <f>INDEX($R$5384:$R$5511,AD5401+1)</f>
        <v/>
      </c>
      <c r="AL5401">
        <f>INDEX($S$5384:$S$5511,AE5401+1)</f>
        <v/>
      </c>
      <c r="AM5401">
        <f>INDEX($T$5384:$T$5511,AF5401+1)</f>
        <v/>
      </c>
      <c r="AN5401">
        <f>INDEX($U$5384:$U$5511,AG5401+1)</f>
        <v/>
      </c>
      <c r="AO5401">
        <f>INDEX($V$5384:$V$5511,AH5401+1)</f>
        <v/>
      </c>
      <c r="AP5401">
        <f>INDEX($W$5384:$W$5511,AI5401+1)</f>
        <v/>
      </c>
      <c r="AQ5401">
        <f>IF(Q5401&gt;=AJ5401-0.01,1,0)</f>
        <v/>
      </c>
      <c r="AR5401">
        <f>IF(R5401&gt;=AK5401-0.01,1,0)</f>
        <v/>
      </c>
      <c r="AS5401">
        <f>IF(S5401&gt;=AL5401-0.01,1,0)</f>
        <v/>
      </c>
      <c r="AT5401">
        <f>IF(T5401&gt;=AM5401-0.01,1,0)</f>
        <v/>
      </c>
      <c r="AU5401">
        <f>IF(U5401&gt;=AN5401-0.01,1,0)</f>
        <v/>
      </c>
      <c r="AV5401">
        <f>IF(V5401&gt;=AO5401-0.01,1,0)</f>
        <v/>
      </c>
      <c r="AW5401">
        <f>IF(W5401&gt;=AP5401-0.01,1,0)</f>
        <v/>
      </c>
      <c r="AX5401">
        <f>AQ5401*AR5401*AS5401*AT5401*AU5401*AV5401*AW5401</f>
        <v/>
      </c>
    </row>
    <row r="5402">
      <c r="A5402" t="inlineStr"/>
      <c r="B5402">
        <f>Assumptions!$B$60</f>
        <v/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  <c r="I5402" t="n">
        <v>0</v>
      </c>
      <c r="J5402">
        <f>(1-C5402)*Assumptions!$B$41+(1-D5402)*Assumptions!$B$33+(1-E5402)*Assumptions!$B$32+(1-F5402)*Assumptions!$B$31+(1-G5402)*Assumptions!$B$30+(1-H5402)*Assumptions!$B$29+(1-I5402)*Assumptions!$B$28</f>
        <v/>
      </c>
      <c r="K5402">
        <f>C5402*$J$382+D5402*$F$382+E5402*$G$382+F5402*Assumptions!$B$14+G5402*Assumptions!$B$13+H5402*Assumptions!$B$12+I5402*Assumptions!$B$11+$O$382+$S$382+Assumptions!$B$9</f>
        <v/>
      </c>
      <c r="L5402">
        <f>B5402-J5402</f>
        <v/>
      </c>
      <c r="M5402">
        <f>IF(K5402&gt;0,IF(L5402/K5402&gt;=Assumptions!$B$37,1,0),0)</f>
        <v/>
      </c>
      <c r="N5402">
        <f>K5402+M5402*Assumptions!$B$153</f>
        <v/>
      </c>
      <c r="O5402">
        <f>L5402+M5402*Assumptions!$B$153*Assumptions!$B$37</f>
        <v/>
      </c>
      <c r="P5402">
        <f>IF(N5402&gt;0,O5402/N5402,0)</f>
        <v/>
      </c>
      <c r="Q5402">
        <f>IF(C5402=1,P5402*$J$382,Assumptions!$B$41)</f>
        <v/>
      </c>
      <c r="R5402">
        <f>IF(D5402=1,P5402*$F$382,Assumptions!$B$33)</f>
        <v/>
      </c>
      <c r="S5402">
        <f>IF(E5402=1,P5402*$G$382,Assumptions!$B$32)</f>
        <v/>
      </c>
      <c r="T5402">
        <f>IF(F5402=1,P5402*Assumptions!$B$14,Assumptions!$B$31)</f>
        <v/>
      </c>
      <c r="U5402">
        <f>IF(G5402=1,P5402*Assumptions!$B$13,Assumptions!$B$30)</f>
        <v/>
      </c>
      <c r="V5402">
        <f>IF(H5402=1,P5402*Assumptions!$B$12,Assumptions!$B$29)</f>
        <v/>
      </c>
      <c r="W5402">
        <f>IF(I5402=1,P5402*Assumptions!$B$11,Assumptions!$B$28)</f>
        <v/>
      </c>
      <c r="X5402">
        <f>P5402*($O$382+$S$382)</f>
        <v/>
      </c>
      <c r="Y5402">
        <f>P5402*Assumptions!$B$9</f>
        <v/>
      </c>
      <c r="Z5402">
        <f>IF(M5402=1,(P5402-Assumptions!$B$37)*Assumptions!$B$153,0)</f>
        <v/>
      </c>
      <c r="AA5402">
        <f>Q5402+R5402+S5402+T5402+U5402+V5402+W5402+X5402+Y5402+Z5402</f>
        <v/>
      </c>
      <c r="AB5402" t="n">
        <v>18</v>
      </c>
      <c r="AC5402" t="n">
        <v>82</v>
      </c>
      <c r="AD5402" t="n">
        <v>50</v>
      </c>
      <c r="AE5402" t="n">
        <v>2</v>
      </c>
      <c r="AF5402" t="n">
        <v>26</v>
      </c>
      <c r="AG5402" t="n">
        <v>22</v>
      </c>
      <c r="AH5402" t="n">
        <v>16</v>
      </c>
      <c r="AI5402" t="n">
        <v>19</v>
      </c>
      <c r="AJ5402">
        <f>INDEX($Q$5384:$Q$5511,AC5402+1)</f>
        <v/>
      </c>
      <c r="AK5402">
        <f>INDEX($R$5384:$R$5511,AD5402+1)</f>
        <v/>
      </c>
      <c r="AL5402">
        <f>INDEX($S$5384:$S$5511,AE5402+1)</f>
        <v/>
      </c>
      <c r="AM5402">
        <f>INDEX($T$5384:$T$5511,AF5402+1)</f>
        <v/>
      </c>
      <c r="AN5402">
        <f>INDEX($U$5384:$U$5511,AG5402+1)</f>
        <v/>
      </c>
      <c r="AO5402">
        <f>INDEX($V$5384:$V$5511,AH5402+1)</f>
        <v/>
      </c>
      <c r="AP5402">
        <f>INDEX($W$5384:$W$5511,AI5402+1)</f>
        <v/>
      </c>
      <c r="AQ5402">
        <f>IF(Q5402&gt;=AJ5402-0.01,1,0)</f>
        <v/>
      </c>
      <c r="AR5402">
        <f>IF(R5402&gt;=AK5402-0.01,1,0)</f>
        <v/>
      </c>
      <c r="AS5402">
        <f>IF(S5402&gt;=AL5402-0.01,1,0)</f>
        <v/>
      </c>
      <c r="AT5402">
        <f>IF(T5402&gt;=AM5402-0.01,1,0)</f>
        <v/>
      </c>
      <c r="AU5402">
        <f>IF(U5402&gt;=AN5402-0.01,1,0)</f>
        <v/>
      </c>
      <c r="AV5402">
        <f>IF(V5402&gt;=AO5402-0.01,1,0)</f>
        <v/>
      </c>
      <c r="AW5402">
        <f>IF(W5402&gt;=AP5402-0.01,1,0)</f>
        <v/>
      </c>
      <c r="AX5402">
        <f>AQ5402*AR5402*AS5402*AT5402*AU5402*AV5402*AW5402</f>
        <v/>
      </c>
    </row>
    <row r="5403">
      <c r="A5403" t="inlineStr"/>
      <c r="B5403">
        <f>Assumptions!$B$60</f>
        <v/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  <c r="I5403" t="n">
        <v>1</v>
      </c>
      <c r="J5403">
        <f>(1-C5403)*Assumptions!$B$41+(1-D5403)*Assumptions!$B$33+(1-E5403)*Assumptions!$B$32+(1-F5403)*Assumptions!$B$31+(1-G5403)*Assumptions!$B$30+(1-H5403)*Assumptions!$B$29+(1-I5403)*Assumptions!$B$28</f>
        <v/>
      </c>
      <c r="K5403">
        <f>C5403*$J$382+D5403*$F$382+E5403*$G$382+F5403*Assumptions!$B$14+G5403*Assumptions!$B$13+H5403*Assumptions!$B$12+I5403*Assumptions!$B$11+$O$382+$S$382+Assumptions!$B$9</f>
        <v/>
      </c>
      <c r="L5403">
        <f>B5403-J5403</f>
        <v/>
      </c>
      <c r="M5403">
        <f>IF(K5403&gt;0,IF(L5403/K5403&gt;=Assumptions!$B$37,1,0),0)</f>
        <v/>
      </c>
      <c r="N5403">
        <f>K5403+M5403*Assumptions!$B$153</f>
        <v/>
      </c>
      <c r="O5403">
        <f>L5403+M5403*Assumptions!$B$153*Assumptions!$B$37</f>
        <v/>
      </c>
      <c r="P5403">
        <f>IF(N5403&gt;0,O5403/N5403,0)</f>
        <v/>
      </c>
      <c r="Q5403">
        <f>IF(C5403=1,P5403*$J$382,Assumptions!$B$41)</f>
        <v/>
      </c>
      <c r="R5403">
        <f>IF(D5403=1,P5403*$F$382,Assumptions!$B$33)</f>
        <v/>
      </c>
      <c r="S5403">
        <f>IF(E5403=1,P5403*$G$382,Assumptions!$B$32)</f>
        <v/>
      </c>
      <c r="T5403">
        <f>IF(F5403=1,P5403*Assumptions!$B$14,Assumptions!$B$31)</f>
        <v/>
      </c>
      <c r="U5403">
        <f>IF(G5403=1,P5403*Assumptions!$B$13,Assumptions!$B$30)</f>
        <v/>
      </c>
      <c r="V5403">
        <f>IF(H5403=1,P5403*Assumptions!$B$12,Assumptions!$B$29)</f>
        <v/>
      </c>
      <c r="W5403">
        <f>IF(I5403=1,P5403*Assumptions!$B$11,Assumptions!$B$28)</f>
        <v/>
      </c>
      <c r="X5403">
        <f>P5403*($O$382+$S$382)</f>
        <v/>
      </c>
      <c r="Y5403">
        <f>P5403*Assumptions!$B$9</f>
        <v/>
      </c>
      <c r="Z5403">
        <f>IF(M5403=1,(P5403-Assumptions!$B$37)*Assumptions!$B$153,0)</f>
        <v/>
      </c>
      <c r="AA5403">
        <f>Q5403+R5403+S5403+T5403+U5403+V5403+W5403+X5403+Y5403+Z5403</f>
        <v/>
      </c>
      <c r="AB5403" t="n">
        <v>19</v>
      </c>
      <c r="AC5403" t="n">
        <v>83</v>
      </c>
      <c r="AD5403" t="n">
        <v>51</v>
      </c>
      <c r="AE5403" t="n">
        <v>3</v>
      </c>
      <c r="AF5403" t="n">
        <v>27</v>
      </c>
      <c r="AG5403" t="n">
        <v>23</v>
      </c>
      <c r="AH5403" t="n">
        <v>17</v>
      </c>
      <c r="AI5403" t="n">
        <v>18</v>
      </c>
      <c r="AJ5403">
        <f>INDEX($Q$5384:$Q$5511,AC5403+1)</f>
        <v/>
      </c>
      <c r="AK5403">
        <f>INDEX($R$5384:$R$5511,AD5403+1)</f>
        <v/>
      </c>
      <c r="AL5403">
        <f>INDEX($S$5384:$S$5511,AE5403+1)</f>
        <v/>
      </c>
      <c r="AM5403">
        <f>INDEX($T$5384:$T$5511,AF5403+1)</f>
        <v/>
      </c>
      <c r="AN5403">
        <f>INDEX($U$5384:$U$5511,AG5403+1)</f>
        <v/>
      </c>
      <c r="AO5403">
        <f>INDEX($V$5384:$V$5511,AH5403+1)</f>
        <v/>
      </c>
      <c r="AP5403">
        <f>INDEX($W$5384:$W$5511,AI5403+1)</f>
        <v/>
      </c>
      <c r="AQ5403">
        <f>IF(Q5403&gt;=AJ5403-0.01,1,0)</f>
        <v/>
      </c>
      <c r="AR5403">
        <f>IF(R5403&gt;=AK5403-0.01,1,0)</f>
        <v/>
      </c>
      <c r="AS5403">
        <f>IF(S5403&gt;=AL5403-0.01,1,0)</f>
        <v/>
      </c>
      <c r="AT5403">
        <f>IF(T5403&gt;=AM5403-0.01,1,0)</f>
        <v/>
      </c>
      <c r="AU5403">
        <f>IF(U5403&gt;=AN5403-0.01,1,0)</f>
        <v/>
      </c>
      <c r="AV5403">
        <f>IF(V5403&gt;=AO5403-0.01,1,0)</f>
        <v/>
      </c>
      <c r="AW5403">
        <f>IF(W5403&gt;=AP5403-0.01,1,0)</f>
        <v/>
      </c>
      <c r="AX5403">
        <f>AQ5403*AR5403*AS5403*AT5403*AU5403*AV5403*AW5403</f>
        <v/>
      </c>
    </row>
    <row r="5404">
      <c r="A5404" t="inlineStr"/>
      <c r="B5404">
        <f>Assumptions!$B$60</f>
        <v/>
      </c>
      <c r="C5404" t="n">
        <v>0</v>
      </c>
      <c r="D5404" t="n">
        <v>0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>
        <f>(1-C5404)*Assumptions!$B$41+(1-D5404)*Assumptions!$B$33+(1-E5404)*Assumptions!$B$32+(1-F5404)*Assumptions!$B$31+(1-G5404)*Assumptions!$B$30+(1-H5404)*Assumptions!$B$29+(1-I5404)*Assumptions!$B$28</f>
        <v/>
      </c>
      <c r="K5404">
        <f>C5404*$J$382+D5404*$F$382+E5404*$G$382+F5404*Assumptions!$B$14+G5404*Assumptions!$B$13+H5404*Assumptions!$B$12+I5404*Assumptions!$B$11+$O$382+$S$382+Assumptions!$B$9</f>
        <v/>
      </c>
      <c r="L5404">
        <f>B5404-J5404</f>
        <v/>
      </c>
      <c r="M5404">
        <f>IF(K5404&gt;0,IF(L5404/K5404&gt;=Assumptions!$B$37,1,0),0)</f>
        <v/>
      </c>
      <c r="N5404">
        <f>K5404+M5404*Assumptions!$B$153</f>
        <v/>
      </c>
      <c r="O5404">
        <f>L5404+M5404*Assumptions!$B$153*Assumptions!$B$37</f>
        <v/>
      </c>
      <c r="P5404">
        <f>IF(N5404&gt;0,O5404/N5404,0)</f>
        <v/>
      </c>
      <c r="Q5404">
        <f>IF(C5404=1,P5404*$J$382,Assumptions!$B$41)</f>
        <v/>
      </c>
      <c r="R5404">
        <f>IF(D5404=1,P5404*$F$382,Assumptions!$B$33)</f>
        <v/>
      </c>
      <c r="S5404">
        <f>IF(E5404=1,P5404*$G$382,Assumptions!$B$32)</f>
        <v/>
      </c>
      <c r="T5404">
        <f>IF(F5404=1,P5404*Assumptions!$B$14,Assumptions!$B$31)</f>
        <v/>
      </c>
      <c r="U5404">
        <f>IF(G5404=1,P5404*Assumptions!$B$13,Assumptions!$B$30)</f>
        <v/>
      </c>
      <c r="V5404">
        <f>IF(H5404=1,P5404*Assumptions!$B$12,Assumptions!$B$29)</f>
        <v/>
      </c>
      <c r="W5404">
        <f>IF(I5404=1,P5404*Assumptions!$B$11,Assumptions!$B$28)</f>
        <v/>
      </c>
      <c r="X5404">
        <f>P5404*($O$382+$S$382)</f>
        <v/>
      </c>
      <c r="Y5404">
        <f>P5404*Assumptions!$B$9</f>
        <v/>
      </c>
      <c r="Z5404">
        <f>IF(M5404=1,(P5404-Assumptions!$B$37)*Assumptions!$B$153,0)</f>
        <v/>
      </c>
      <c r="AA5404">
        <f>Q5404+R5404+S5404+T5404+U5404+V5404+W5404+X5404+Y5404+Z5404</f>
        <v/>
      </c>
      <c r="AB5404" t="n">
        <v>20</v>
      </c>
      <c r="AC5404" t="n">
        <v>84</v>
      </c>
      <c r="AD5404" t="n">
        <v>52</v>
      </c>
      <c r="AE5404" t="n">
        <v>4</v>
      </c>
      <c r="AF5404" t="n">
        <v>28</v>
      </c>
      <c r="AG5404" t="n">
        <v>16</v>
      </c>
      <c r="AH5404" t="n">
        <v>22</v>
      </c>
      <c r="AI5404" t="n">
        <v>21</v>
      </c>
      <c r="AJ5404">
        <f>INDEX($Q$5384:$Q$5511,AC5404+1)</f>
        <v/>
      </c>
      <c r="AK5404">
        <f>INDEX($R$5384:$R$5511,AD5404+1)</f>
        <v/>
      </c>
      <c r="AL5404">
        <f>INDEX($S$5384:$S$5511,AE5404+1)</f>
        <v/>
      </c>
      <c r="AM5404">
        <f>INDEX($T$5384:$T$5511,AF5404+1)</f>
        <v/>
      </c>
      <c r="AN5404">
        <f>INDEX($U$5384:$U$5511,AG5404+1)</f>
        <v/>
      </c>
      <c r="AO5404">
        <f>INDEX($V$5384:$V$5511,AH5404+1)</f>
        <v/>
      </c>
      <c r="AP5404">
        <f>INDEX($W$5384:$W$5511,AI5404+1)</f>
        <v/>
      </c>
      <c r="AQ5404">
        <f>IF(Q5404&gt;=AJ5404-0.01,1,0)</f>
        <v/>
      </c>
      <c r="AR5404">
        <f>IF(R5404&gt;=AK5404-0.01,1,0)</f>
        <v/>
      </c>
      <c r="AS5404">
        <f>IF(S5404&gt;=AL5404-0.01,1,0)</f>
        <v/>
      </c>
      <c r="AT5404">
        <f>IF(T5404&gt;=AM5404-0.01,1,0)</f>
        <v/>
      </c>
      <c r="AU5404">
        <f>IF(U5404&gt;=AN5404-0.01,1,0)</f>
        <v/>
      </c>
      <c r="AV5404">
        <f>IF(V5404&gt;=AO5404-0.01,1,0)</f>
        <v/>
      </c>
      <c r="AW5404">
        <f>IF(W5404&gt;=AP5404-0.01,1,0)</f>
        <v/>
      </c>
      <c r="AX5404">
        <f>AQ5404*AR5404*AS5404*AT5404*AU5404*AV5404*AW5404</f>
        <v/>
      </c>
    </row>
    <row r="5405">
      <c r="A5405" t="inlineStr"/>
      <c r="B5405">
        <f>Assumptions!$B$60</f>
        <v/>
      </c>
      <c r="C5405" t="n">
        <v>0</v>
      </c>
      <c r="D5405" t="n">
        <v>0</v>
      </c>
      <c r="E5405" t="n">
        <v>1</v>
      </c>
      <c r="F5405" t="n">
        <v>0</v>
      </c>
      <c r="G5405" t="n">
        <v>1</v>
      </c>
      <c r="H5405" t="n">
        <v>0</v>
      </c>
      <c r="I5405" t="n">
        <v>1</v>
      </c>
      <c r="J5405">
        <f>(1-C5405)*Assumptions!$B$41+(1-D5405)*Assumptions!$B$33+(1-E5405)*Assumptions!$B$32+(1-F5405)*Assumptions!$B$31+(1-G5405)*Assumptions!$B$30+(1-H5405)*Assumptions!$B$29+(1-I5405)*Assumptions!$B$28</f>
        <v/>
      </c>
      <c r="K5405">
        <f>C5405*$J$382+D5405*$F$382+E5405*$G$382+F5405*Assumptions!$B$14+G5405*Assumptions!$B$13+H5405*Assumptions!$B$12+I5405*Assumptions!$B$11+$O$382+$S$382+Assumptions!$B$9</f>
        <v/>
      </c>
      <c r="L5405">
        <f>B5405-J5405</f>
        <v/>
      </c>
      <c r="M5405">
        <f>IF(K5405&gt;0,IF(L5405/K5405&gt;=Assumptions!$B$37,1,0),0)</f>
        <v/>
      </c>
      <c r="N5405">
        <f>K5405+M5405*Assumptions!$B$153</f>
        <v/>
      </c>
      <c r="O5405">
        <f>L5405+M5405*Assumptions!$B$153*Assumptions!$B$37</f>
        <v/>
      </c>
      <c r="P5405">
        <f>IF(N5405&gt;0,O5405/N5405,0)</f>
        <v/>
      </c>
      <c r="Q5405">
        <f>IF(C5405=1,P5405*$J$382,Assumptions!$B$41)</f>
        <v/>
      </c>
      <c r="R5405">
        <f>IF(D5405=1,P5405*$F$382,Assumptions!$B$33)</f>
        <v/>
      </c>
      <c r="S5405">
        <f>IF(E5405=1,P5405*$G$382,Assumptions!$B$32)</f>
        <v/>
      </c>
      <c r="T5405">
        <f>IF(F5405=1,P5405*Assumptions!$B$14,Assumptions!$B$31)</f>
        <v/>
      </c>
      <c r="U5405">
        <f>IF(G5405=1,P5405*Assumptions!$B$13,Assumptions!$B$30)</f>
        <v/>
      </c>
      <c r="V5405">
        <f>IF(H5405=1,P5405*Assumptions!$B$12,Assumptions!$B$29)</f>
        <v/>
      </c>
      <c r="W5405">
        <f>IF(I5405=1,P5405*Assumptions!$B$11,Assumptions!$B$28)</f>
        <v/>
      </c>
      <c r="X5405">
        <f>P5405*($O$382+$S$382)</f>
        <v/>
      </c>
      <c r="Y5405">
        <f>P5405*Assumptions!$B$9</f>
        <v/>
      </c>
      <c r="Z5405">
        <f>IF(M5405=1,(P5405-Assumptions!$B$37)*Assumptions!$B$153,0)</f>
        <v/>
      </c>
      <c r="AA5405">
        <f>Q5405+R5405+S5405+T5405+U5405+V5405+W5405+X5405+Y5405+Z5405</f>
        <v/>
      </c>
      <c r="AB5405" t="n">
        <v>21</v>
      </c>
      <c r="AC5405" t="n">
        <v>85</v>
      </c>
      <c r="AD5405" t="n">
        <v>53</v>
      </c>
      <c r="AE5405" t="n">
        <v>5</v>
      </c>
      <c r="AF5405" t="n">
        <v>29</v>
      </c>
      <c r="AG5405" t="n">
        <v>17</v>
      </c>
      <c r="AH5405" t="n">
        <v>23</v>
      </c>
      <c r="AI5405" t="n">
        <v>20</v>
      </c>
      <c r="AJ5405">
        <f>INDEX($Q$5384:$Q$5511,AC5405+1)</f>
        <v/>
      </c>
      <c r="AK5405">
        <f>INDEX($R$5384:$R$5511,AD5405+1)</f>
        <v/>
      </c>
      <c r="AL5405">
        <f>INDEX($S$5384:$S$5511,AE5405+1)</f>
        <v/>
      </c>
      <c r="AM5405">
        <f>INDEX($T$5384:$T$5511,AF5405+1)</f>
        <v/>
      </c>
      <c r="AN5405">
        <f>INDEX($U$5384:$U$5511,AG5405+1)</f>
        <v/>
      </c>
      <c r="AO5405">
        <f>INDEX($V$5384:$V$5511,AH5405+1)</f>
        <v/>
      </c>
      <c r="AP5405">
        <f>INDEX($W$5384:$W$5511,AI5405+1)</f>
        <v/>
      </c>
      <c r="AQ5405">
        <f>IF(Q5405&gt;=AJ5405-0.01,1,0)</f>
        <v/>
      </c>
      <c r="AR5405">
        <f>IF(R5405&gt;=AK5405-0.01,1,0)</f>
        <v/>
      </c>
      <c r="AS5405">
        <f>IF(S5405&gt;=AL5405-0.01,1,0)</f>
        <v/>
      </c>
      <c r="AT5405">
        <f>IF(T5405&gt;=AM5405-0.01,1,0)</f>
        <v/>
      </c>
      <c r="AU5405">
        <f>IF(U5405&gt;=AN5405-0.01,1,0)</f>
        <v/>
      </c>
      <c r="AV5405">
        <f>IF(V5405&gt;=AO5405-0.01,1,0)</f>
        <v/>
      </c>
      <c r="AW5405">
        <f>IF(W5405&gt;=AP5405-0.01,1,0)</f>
        <v/>
      </c>
      <c r="AX5405">
        <f>AQ5405*AR5405*AS5405*AT5405*AU5405*AV5405*AW5405</f>
        <v/>
      </c>
    </row>
    <row r="5406">
      <c r="A5406" t="inlineStr"/>
      <c r="B5406">
        <f>Assumptions!$B$60</f>
        <v/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1</v>
      </c>
      <c r="I5406" t="n">
        <v>0</v>
      </c>
      <c r="J5406">
        <f>(1-C5406)*Assumptions!$B$41+(1-D5406)*Assumptions!$B$33+(1-E5406)*Assumptions!$B$32+(1-F5406)*Assumptions!$B$31+(1-G5406)*Assumptions!$B$30+(1-H5406)*Assumptions!$B$29+(1-I5406)*Assumptions!$B$28</f>
        <v/>
      </c>
      <c r="K5406">
        <f>C5406*$J$382+D5406*$F$382+E5406*$G$382+F5406*Assumptions!$B$14+G5406*Assumptions!$B$13+H5406*Assumptions!$B$12+I5406*Assumptions!$B$11+$O$382+$S$382+Assumptions!$B$9</f>
        <v/>
      </c>
      <c r="L5406">
        <f>B5406-J5406</f>
        <v/>
      </c>
      <c r="M5406">
        <f>IF(K5406&gt;0,IF(L5406/K5406&gt;=Assumptions!$B$37,1,0),0)</f>
        <v/>
      </c>
      <c r="N5406">
        <f>K5406+M5406*Assumptions!$B$153</f>
        <v/>
      </c>
      <c r="O5406">
        <f>L5406+M5406*Assumptions!$B$153*Assumptions!$B$37</f>
        <v/>
      </c>
      <c r="P5406">
        <f>IF(N5406&gt;0,O5406/N5406,0)</f>
        <v/>
      </c>
      <c r="Q5406">
        <f>IF(C5406=1,P5406*$J$382,Assumptions!$B$41)</f>
        <v/>
      </c>
      <c r="R5406">
        <f>IF(D5406=1,P5406*$F$382,Assumptions!$B$33)</f>
        <v/>
      </c>
      <c r="S5406">
        <f>IF(E5406=1,P5406*$G$382,Assumptions!$B$32)</f>
        <v/>
      </c>
      <c r="T5406">
        <f>IF(F5406=1,P5406*Assumptions!$B$14,Assumptions!$B$31)</f>
        <v/>
      </c>
      <c r="U5406">
        <f>IF(G5406=1,P5406*Assumptions!$B$13,Assumptions!$B$30)</f>
        <v/>
      </c>
      <c r="V5406">
        <f>IF(H5406=1,P5406*Assumptions!$B$12,Assumptions!$B$29)</f>
        <v/>
      </c>
      <c r="W5406">
        <f>IF(I5406=1,P5406*Assumptions!$B$11,Assumptions!$B$28)</f>
        <v/>
      </c>
      <c r="X5406">
        <f>P5406*($O$382+$S$382)</f>
        <v/>
      </c>
      <c r="Y5406">
        <f>P5406*Assumptions!$B$9</f>
        <v/>
      </c>
      <c r="Z5406">
        <f>IF(M5406=1,(P5406-Assumptions!$B$37)*Assumptions!$B$153,0)</f>
        <v/>
      </c>
      <c r="AA5406">
        <f>Q5406+R5406+S5406+T5406+U5406+V5406+W5406+X5406+Y5406+Z5406</f>
        <v/>
      </c>
      <c r="AB5406" t="n">
        <v>22</v>
      </c>
      <c r="AC5406" t="n">
        <v>86</v>
      </c>
      <c r="AD5406" t="n">
        <v>54</v>
      </c>
      <c r="AE5406" t="n">
        <v>6</v>
      </c>
      <c r="AF5406" t="n">
        <v>30</v>
      </c>
      <c r="AG5406" t="n">
        <v>18</v>
      </c>
      <c r="AH5406" t="n">
        <v>20</v>
      </c>
      <c r="AI5406" t="n">
        <v>23</v>
      </c>
      <c r="AJ5406">
        <f>INDEX($Q$5384:$Q$5511,AC5406+1)</f>
        <v/>
      </c>
      <c r="AK5406">
        <f>INDEX($R$5384:$R$5511,AD5406+1)</f>
        <v/>
      </c>
      <c r="AL5406">
        <f>INDEX($S$5384:$S$5511,AE5406+1)</f>
        <v/>
      </c>
      <c r="AM5406">
        <f>INDEX($T$5384:$T$5511,AF5406+1)</f>
        <v/>
      </c>
      <c r="AN5406">
        <f>INDEX($U$5384:$U$5511,AG5406+1)</f>
        <v/>
      </c>
      <c r="AO5406">
        <f>INDEX($V$5384:$V$5511,AH5406+1)</f>
        <v/>
      </c>
      <c r="AP5406">
        <f>INDEX($W$5384:$W$5511,AI5406+1)</f>
        <v/>
      </c>
      <c r="AQ5406">
        <f>IF(Q5406&gt;=AJ5406-0.01,1,0)</f>
        <v/>
      </c>
      <c r="AR5406">
        <f>IF(R5406&gt;=AK5406-0.01,1,0)</f>
        <v/>
      </c>
      <c r="AS5406">
        <f>IF(S5406&gt;=AL5406-0.01,1,0)</f>
        <v/>
      </c>
      <c r="AT5406">
        <f>IF(T5406&gt;=AM5406-0.01,1,0)</f>
        <v/>
      </c>
      <c r="AU5406">
        <f>IF(U5406&gt;=AN5406-0.01,1,0)</f>
        <v/>
      </c>
      <c r="AV5406">
        <f>IF(V5406&gt;=AO5406-0.01,1,0)</f>
        <v/>
      </c>
      <c r="AW5406">
        <f>IF(W5406&gt;=AP5406-0.01,1,0)</f>
        <v/>
      </c>
      <c r="AX5406">
        <f>AQ5406*AR5406*AS5406*AT5406*AU5406*AV5406*AW5406</f>
        <v/>
      </c>
    </row>
    <row r="5407">
      <c r="A5407" t="inlineStr"/>
      <c r="B5407">
        <f>Assumptions!$B$60</f>
        <v/>
      </c>
      <c r="C5407" t="n">
        <v>0</v>
      </c>
      <c r="D5407" t="n">
        <v>0</v>
      </c>
      <c r="E5407" t="n">
        <v>1</v>
      </c>
      <c r="F5407" t="n">
        <v>0</v>
      </c>
      <c r="G5407" t="n">
        <v>1</v>
      </c>
      <c r="H5407" t="n">
        <v>1</v>
      </c>
      <c r="I5407" t="n">
        <v>1</v>
      </c>
      <c r="J5407">
        <f>(1-C5407)*Assumptions!$B$41+(1-D5407)*Assumptions!$B$33+(1-E5407)*Assumptions!$B$32+(1-F5407)*Assumptions!$B$31+(1-G5407)*Assumptions!$B$30+(1-H5407)*Assumptions!$B$29+(1-I5407)*Assumptions!$B$28</f>
        <v/>
      </c>
      <c r="K5407">
        <f>C5407*$J$382+D5407*$F$382+E5407*$G$382+F5407*Assumptions!$B$14+G5407*Assumptions!$B$13+H5407*Assumptions!$B$12+I5407*Assumptions!$B$11+$O$382+$S$382+Assumptions!$B$9</f>
        <v/>
      </c>
      <c r="L5407">
        <f>B5407-J5407</f>
        <v/>
      </c>
      <c r="M5407">
        <f>IF(K5407&gt;0,IF(L5407/K5407&gt;=Assumptions!$B$37,1,0),0)</f>
        <v/>
      </c>
      <c r="N5407">
        <f>K5407+M5407*Assumptions!$B$153</f>
        <v/>
      </c>
      <c r="O5407">
        <f>L5407+M5407*Assumptions!$B$153*Assumptions!$B$37</f>
        <v/>
      </c>
      <c r="P5407">
        <f>IF(N5407&gt;0,O5407/N5407,0)</f>
        <v/>
      </c>
      <c r="Q5407">
        <f>IF(C5407=1,P5407*$J$382,Assumptions!$B$41)</f>
        <v/>
      </c>
      <c r="R5407">
        <f>IF(D5407=1,P5407*$F$382,Assumptions!$B$33)</f>
        <v/>
      </c>
      <c r="S5407">
        <f>IF(E5407=1,P5407*$G$382,Assumptions!$B$32)</f>
        <v/>
      </c>
      <c r="T5407">
        <f>IF(F5407=1,P5407*Assumptions!$B$14,Assumptions!$B$31)</f>
        <v/>
      </c>
      <c r="U5407">
        <f>IF(G5407=1,P5407*Assumptions!$B$13,Assumptions!$B$30)</f>
        <v/>
      </c>
      <c r="V5407">
        <f>IF(H5407=1,P5407*Assumptions!$B$12,Assumptions!$B$29)</f>
        <v/>
      </c>
      <c r="W5407">
        <f>IF(I5407=1,P5407*Assumptions!$B$11,Assumptions!$B$28)</f>
        <v/>
      </c>
      <c r="X5407">
        <f>P5407*($O$382+$S$382)</f>
        <v/>
      </c>
      <c r="Y5407">
        <f>P5407*Assumptions!$B$9</f>
        <v/>
      </c>
      <c r="Z5407">
        <f>IF(M5407=1,(P5407-Assumptions!$B$37)*Assumptions!$B$153,0)</f>
        <v/>
      </c>
      <c r="AA5407">
        <f>Q5407+R5407+S5407+T5407+U5407+V5407+W5407+X5407+Y5407+Z5407</f>
        <v/>
      </c>
      <c r="AB5407" t="n">
        <v>23</v>
      </c>
      <c r="AC5407" t="n">
        <v>87</v>
      </c>
      <c r="AD5407" t="n">
        <v>55</v>
      </c>
      <c r="AE5407" t="n">
        <v>7</v>
      </c>
      <c r="AF5407" t="n">
        <v>31</v>
      </c>
      <c r="AG5407" t="n">
        <v>19</v>
      </c>
      <c r="AH5407" t="n">
        <v>21</v>
      </c>
      <c r="AI5407" t="n">
        <v>22</v>
      </c>
      <c r="AJ5407">
        <f>INDEX($Q$5384:$Q$5511,AC5407+1)</f>
        <v/>
      </c>
      <c r="AK5407">
        <f>INDEX($R$5384:$R$5511,AD5407+1)</f>
        <v/>
      </c>
      <c r="AL5407">
        <f>INDEX($S$5384:$S$5511,AE5407+1)</f>
        <v/>
      </c>
      <c r="AM5407">
        <f>INDEX($T$5384:$T$5511,AF5407+1)</f>
        <v/>
      </c>
      <c r="AN5407">
        <f>INDEX($U$5384:$U$5511,AG5407+1)</f>
        <v/>
      </c>
      <c r="AO5407">
        <f>INDEX($V$5384:$V$5511,AH5407+1)</f>
        <v/>
      </c>
      <c r="AP5407">
        <f>INDEX($W$5384:$W$5511,AI5407+1)</f>
        <v/>
      </c>
      <c r="AQ5407">
        <f>IF(Q5407&gt;=AJ5407-0.01,1,0)</f>
        <v/>
      </c>
      <c r="AR5407">
        <f>IF(R5407&gt;=AK5407-0.01,1,0)</f>
        <v/>
      </c>
      <c r="AS5407">
        <f>IF(S5407&gt;=AL5407-0.01,1,0)</f>
        <v/>
      </c>
      <c r="AT5407">
        <f>IF(T5407&gt;=AM5407-0.01,1,0)</f>
        <v/>
      </c>
      <c r="AU5407">
        <f>IF(U5407&gt;=AN5407-0.01,1,0)</f>
        <v/>
      </c>
      <c r="AV5407">
        <f>IF(V5407&gt;=AO5407-0.01,1,0)</f>
        <v/>
      </c>
      <c r="AW5407">
        <f>IF(W5407&gt;=AP5407-0.01,1,0)</f>
        <v/>
      </c>
      <c r="AX5407">
        <f>AQ5407*AR5407*AS5407*AT5407*AU5407*AV5407*AW5407</f>
        <v/>
      </c>
    </row>
    <row r="5408">
      <c r="A5408" t="inlineStr"/>
      <c r="B5408">
        <f>Assumptions!$B$60</f>
        <v/>
      </c>
      <c r="C5408" t="n">
        <v>0</v>
      </c>
      <c r="D5408" t="n">
        <v>0</v>
      </c>
      <c r="E5408" t="n">
        <v>1</v>
      </c>
      <c r="F5408" t="n">
        <v>1</v>
      </c>
      <c r="G5408" t="n">
        <v>0</v>
      </c>
      <c r="H5408" t="n">
        <v>0</v>
      </c>
      <c r="I5408" t="n">
        <v>0</v>
      </c>
      <c r="J5408">
        <f>(1-C5408)*Assumptions!$B$41+(1-D5408)*Assumptions!$B$33+(1-E5408)*Assumptions!$B$32+(1-F5408)*Assumptions!$B$31+(1-G5408)*Assumptions!$B$30+(1-H5408)*Assumptions!$B$29+(1-I5408)*Assumptions!$B$28</f>
        <v/>
      </c>
      <c r="K5408">
        <f>C5408*$J$382+D5408*$F$382+E5408*$G$382+F5408*Assumptions!$B$14+G5408*Assumptions!$B$13+H5408*Assumptions!$B$12+I5408*Assumptions!$B$11+$O$382+$S$382+Assumptions!$B$9</f>
        <v/>
      </c>
      <c r="L5408">
        <f>B5408-J5408</f>
        <v/>
      </c>
      <c r="M5408">
        <f>IF(K5408&gt;0,IF(L5408/K5408&gt;=Assumptions!$B$37,1,0),0)</f>
        <v/>
      </c>
      <c r="N5408">
        <f>K5408+M5408*Assumptions!$B$153</f>
        <v/>
      </c>
      <c r="O5408">
        <f>L5408+M5408*Assumptions!$B$153*Assumptions!$B$37</f>
        <v/>
      </c>
      <c r="P5408">
        <f>IF(N5408&gt;0,O5408/N5408,0)</f>
        <v/>
      </c>
      <c r="Q5408">
        <f>IF(C5408=1,P5408*$J$382,Assumptions!$B$41)</f>
        <v/>
      </c>
      <c r="R5408">
        <f>IF(D5408=1,P5408*$F$382,Assumptions!$B$33)</f>
        <v/>
      </c>
      <c r="S5408">
        <f>IF(E5408=1,P5408*$G$382,Assumptions!$B$32)</f>
        <v/>
      </c>
      <c r="T5408">
        <f>IF(F5408=1,P5408*Assumptions!$B$14,Assumptions!$B$31)</f>
        <v/>
      </c>
      <c r="U5408">
        <f>IF(G5408=1,P5408*Assumptions!$B$13,Assumptions!$B$30)</f>
        <v/>
      </c>
      <c r="V5408">
        <f>IF(H5408=1,P5408*Assumptions!$B$12,Assumptions!$B$29)</f>
        <v/>
      </c>
      <c r="W5408">
        <f>IF(I5408=1,P5408*Assumptions!$B$11,Assumptions!$B$28)</f>
        <v/>
      </c>
      <c r="X5408">
        <f>P5408*($O$382+$S$382)</f>
        <v/>
      </c>
      <c r="Y5408">
        <f>P5408*Assumptions!$B$9</f>
        <v/>
      </c>
      <c r="Z5408">
        <f>IF(M5408=1,(P5408-Assumptions!$B$37)*Assumptions!$B$153,0)</f>
        <v/>
      </c>
      <c r="AA5408">
        <f>Q5408+R5408+S5408+T5408+U5408+V5408+W5408+X5408+Y5408+Z5408</f>
        <v/>
      </c>
      <c r="AB5408" t="n">
        <v>24</v>
      </c>
      <c r="AC5408" t="n">
        <v>88</v>
      </c>
      <c r="AD5408" t="n">
        <v>56</v>
      </c>
      <c r="AE5408" t="n">
        <v>8</v>
      </c>
      <c r="AF5408" t="n">
        <v>16</v>
      </c>
      <c r="AG5408" t="n">
        <v>28</v>
      </c>
      <c r="AH5408" t="n">
        <v>26</v>
      </c>
      <c r="AI5408" t="n">
        <v>25</v>
      </c>
      <c r="AJ5408">
        <f>INDEX($Q$5384:$Q$5511,AC5408+1)</f>
        <v/>
      </c>
      <c r="AK5408">
        <f>INDEX($R$5384:$R$5511,AD5408+1)</f>
        <v/>
      </c>
      <c r="AL5408">
        <f>INDEX($S$5384:$S$5511,AE5408+1)</f>
        <v/>
      </c>
      <c r="AM5408">
        <f>INDEX($T$5384:$T$5511,AF5408+1)</f>
        <v/>
      </c>
      <c r="AN5408">
        <f>INDEX($U$5384:$U$5511,AG5408+1)</f>
        <v/>
      </c>
      <c r="AO5408">
        <f>INDEX($V$5384:$V$5511,AH5408+1)</f>
        <v/>
      </c>
      <c r="AP5408">
        <f>INDEX($W$5384:$W$5511,AI5408+1)</f>
        <v/>
      </c>
      <c r="AQ5408">
        <f>IF(Q5408&gt;=AJ5408-0.01,1,0)</f>
        <v/>
      </c>
      <c r="AR5408">
        <f>IF(R5408&gt;=AK5408-0.01,1,0)</f>
        <v/>
      </c>
      <c r="AS5408">
        <f>IF(S5408&gt;=AL5408-0.01,1,0)</f>
        <v/>
      </c>
      <c r="AT5408">
        <f>IF(T5408&gt;=AM5408-0.01,1,0)</f>
        <v/>
      </c>
      <c r="AU5408">
        <f>IF(U5408&gt;=AN5408-0.01,1,0)</f>
        <v/>
      </c>
      <c r="AV5408">
        <f>IF(V5408&gt;=AO5408-0.01,1,0)</f>
        <v/>
      </c>
      <c r="AW5408">
        <f>IF(W5408&gt;=AP5408-0.01,1,0)</f>
        <v/>
      </c>
      <c r="AX5408">
        <f>AQ5408*AR5408*AS5408*AT5408*AU5408*AV5408*AW5408</f>
        <v/>
      </c>
    </row>
    <row r="5409">
      <c r="A5409" t="inlineStr"/>
      <c r="B5409">
        <f>Assumptions!$B$60</f>
        <v/>
      </c>
      <c r="C5409" t="n">
        <v>0</v>
      </c>
      <c r="D5409" t="n">
        <v>0</v>
      </c>
      <c r="E5409" t="n">
        <v>1</v>
      </c>
      <c r="F5409" t="n">
        <v>1</v>
      </c>
      <c r="G5409" t="n">
        <v>0</v>
      </c>
      <c r="H5409" t="n">
        <v>0</v>
      </c>
      <c r="I5409" t="n">
        <v>1</v>
      </c>
      <c r="J5409">
        <f>(1-C5409)*Assumptions!$B$41+(1-D5409)*Assumptions!$B$33+(1-E5409)*Assumptions!$B$32+(1-F5409)*Assumptions!$B$31+(1-G5409)*Assumptions!$B$30+(1-H5409)*Assumptions!$B$29+(1-I5409)*Assumptions!$B$28</f>
        <v/>
      </c>
      <c r="K5409">
        <f>C5409*$J$382+D5409*$F$382+E5409*$G$382+F5409*Assumptions!$B$14+G5409*Assumptions!$B$13+H5409*Assumptions!$B$12+I5409*Assumptions!$B$11+$O$382+$S$382+Assumptions!$B$9</f>
        <v/>
      </c>
      <c r="L5409">
        <f>B5409-J5409</f>
        <v/>
      </c>
      <c r="M5409">
        <f>IF(K5409&gt;0,IF(L5409/K5409&gt;=Assumptions!$B$37,1,0),0)</f>
        <v/>
      </c>
      <c r="N5409">
        <f>K5409+M5409*Assumptions!$B$153</f>
        <v/>
      </c>
      <c r="O5409">
        <f>L5409+M5409*Assumptions!$B$153*Assumptions!$B$37</f>
        <v/>
      </c>
      <c r="P5409">
        <f>IF(N5409&gt;0,O5409/N5409,0)</f>
        <v/>
      </c>
      <c r="Q5409">
        <f>IF(C5409=1,P5409*$J$382,Assumptions!$B$41)</f>
        <v/>
      </c>
      <c r="R5409">
        <f>IF(D5409=1,P5409*$F$382,Assumptions!$B$33)</f>
        <v/>
      </c>
      <c r="S5409">
        <f>IF(E5409=1,P5409*$G$382,Assumptions!$B$32)</f>
        <v/>
      </c>
      <c r="T5409">
        <f>IF(F5409=1,P5409*Assumptions!$B$14,Assumptions!$B$31)</f>
        <v/>
      </c>
      <c r="U5409">
        <f>IF(G5409=1,P5409*Assumptions!$B$13,Assumptions!$B$30)</f>
        <v/>
      </c>
      <c r="V5409">
        <f>IF(H5409=1,P5409*Assumptions!$B$12,Assumptions!$B$29)</f>
        <v/>
      </c>
      <c r="W5409">
        <f>IF(I5409=1,P5409*Assumptions!$B$11,Assumptions!$B$28)</f>
        <v/>
      </c>
      <c r="X5409">
        <f>P5409*($O$382+$S$382)</f>
        <v/>
      </c>
      <c r="Y5409">
        <f>P5409*Assumptions!$B$9</f>
        <v/>
      </c>
      <c r="Z5409">
        <f>IF(M5409=1,(P5409-Assumptions!$B$37)*Assumptions!$B$153,0)</f>
        <v/>
      </c>
      <c r="AA5409">
        <f>Q5409+R5409+S5409+T5409+U5409+V5409+W5409+X5409+Y5409+Z5409</f>
        <v/>
      </c>
      <c r="AB5409" t="n">
        <v>25</v>
      </c>
      <c r="AC5409" t="n">
        <v>89</v>
      </c>
      <c r="AD5409" t="n">
        <v>57</v>
      </c>
      <c r="AE5409" t="n">
        <v>9</v>
      </c>
      <c r="AF5409" t="n">
        <v>17</v>
      </c>
      <c r="AG5409" t="n">
        <v>29</v>
      </c>
      <c r="AH5409" t="n">
        <v>27</v>
      </c>
      <c r="AI5409" t="n">
        <v>24</v>
      </c>
      <c r="AJ5409">
        <f>INDEX($Q$5384:$Q$5511,AC5409+1)</f>
        <v/>
      </c>
      <c r="AK5409">
        <f>INDEX($R$5384:$R$5511,AD5409+1)</f>
        <v/>
      </c>
      <c r="AL5409">
        <f>INDEX($S$5384:$S$5511,AE5409+1)</f>
        <v/>
      </c>
      <c r="AM5409">
        <f>INDEX($T$5384:$T$5511,AF5409+1)</f>
        <v/>
      </c>
      <c r="AN5409">
        <f>INDEX($U$5384:$U$5511,AG5409+1)</f>
        <v/>
      </c>
      <c r="AO5409">
        <f>INDEX($V$5384:$V$5511,AH5409+1)</f>
        <v/>
      </c>
      <c r="AP5409">
        <f>INDEX($W$5384:$W$5511,AI5409+1)</f>
        <v/>
      </c>
      <c r="AQ5409">
        <f>IF(Q5409&gt;=AJ5409-0.01,1,0)</f>
        <v/>
      </c>
      <c r="AR5409">
        <f>IF(R5409&gt;=AK5409-0.01,1,0)</f>
        <v/>
      </c>
      <c r="AS5409">
        <f>IF(S5409&gt;=AL5409-0.01,1,0)</f>
        <v/>
      </c>
      <c r="AT5409">
        <f>IF(T5409&gt;=AM5409-0.01,1,0)</f>
        <v/>
      </c>
      <c r="AU5409">
        <f>IF(U5409&gt;=AN5409-0.01,1,0)</f>
        <v/>
      </c>
      <c r="AV5409">
        <f>IF(V5409&gt;=AO5409-0.01,1,0)</f>
        <v/>
      </c>
      <c r="AW5409">
        <f>IF(W5409&gt;=AP5409-0.01,1,0)</f>
        <v/>
      </c>
      <c r="AX5409">
        <f>AQ5409*AR5409*AS5409*AT5409*AU5409*AV5409*AW5409</f>
        <v/>
      </c>
    </row>
    <row r="5410">
      <c r="A5410" t="inlineStr"/>
      <c r="B5410">
        <f>Assumptions!$B$60</f>
        <v/>
      </c>
      <c r="C5410" t="n">
        <v>0</v>
      </c>
      <c r="D5410" t="n">
        <v>0</v>
      </c>
      <c r="E5410" t="n">
        <v>1</v>
      </c>
      <c r="F5410" t="n">
        <v>1</v>
      </c>
      <c r="G5410" t="n">
        <v>0</v>
      </c>
      <c r="H5410" t="n">
        <v>1</v>
      </c>
      <c r="I5410" t="n">
        <v>0</v>
      </c>
      <c r="J5410">
        <f>(1-C5410)*Assumptions!$B$41+(1-D5410)*Assumptions!$B$33+(1-E5410)*Assumptions!$B$32+(1-F5410)*Assumptions!$B$31+(1-G5410)*Assumptions!$B$30+(1-H5410)*Assumptions!$B$29+(1-I5410)*Assumptions!$B$28</f>
        <v/>
      </c>
      <c r="K5410">
        <f>C5410*$J$382+D5410*$F$382+E5410*$G$382+F5410*Assumptions!$B$14+G5410*Assumptions!$B$13+H5410*Assumptions!$B$12+I5410*Assumptions!$B$11+$O$382+$S$382+Assumptions!$B$9</f>
        <v/>
      </c>
      <c r="L5410">
        <f>B5410-J5410</f>
        <v/>
      </c>
      <c r="M5410">
        <f>IF(K5410&gt;0,IF(L5410/K5410&gt;=Assumptions!$B$37,1,0),0)</f>
        <v/>
      </c>
      <c r="N5410">
        <f>K5410+M5410*Assumptions!$B$153</f>
        <v/>
      </c>
      <c r="O5410">
        <f>L5410+M5410*Assumptions!$B$153*Assumptions!$B$37</f>
        <v/>
      </c>
      <c r="P5410">
        <f>IF(N5410&gt;0,O5410/N5410,0)</f>
        <v/>
      </c>
      <c r="Q5410">
        <f>IF(C5410=1,P5410*$J$382,Assumptions!$B$41)</f>
        <v/>
      </c>
      <c r="R5410">
        <f>IF(D5410=1,P5410*$F$382,Assumptions!$B$33)</f>
        <v/>
      </c>
      <c r="S5410">
        <f>IF(E5410=1,P5410*$G$382,Assumptions!$B$32)</f>
        <v/>
      </c>
      <c r="T5410">
        <f>IF(F5410=1,P5410*Assumptions!$B$14,Assumptions!$B$31)</f>
        <v/>
      </c>
      <c r="U5410">
        <f>IF(G5410=1,P5410*Assumptions!$B$13,Assumptions!$B$30)</f>
        <v/>
      </c>
      <c r="V5410">
        <f>IF(H5410=1,P5410*Assumptions!$B$12,Assumptions!$B$29)</f>
        <v/>
      </c>
      <c r="W5410">
        <f>IF(I5410=1,P5410*Assumptions!$B$11,Assumptions!$B$28)</f>
        <v/>
      </c>
      <c r="X5410">
        <f>P5410*($O$382+$S$382)</f>
        <v/>
      </c>
      <c r="Y5410">
        <f>P5410*Assumptions!$B$9</f>
        <v/>
      </c>
      <c r="Z5410">
        <f>IF(M5410=1,(P5410-Assumptions!$B$37)*Assumptions!$B$153,0)</f>
        <v/>
      </c>
      <c r="AA5410">
        <f>Q5410+R5410+S5410+T5410+U5410+V5410+W5410+X5410+Y5410+Z5410</f>
        <v/>
      </c>
      <c r="AB5410" t="n">
        <v>26</v>
      </c>
      <c r="AC5410" t="n">
        <v>90</v>
      </c>
      <c r="AD5410" t="n">
        <v>58</v>
      </c>
      <c r="AE5410" t="n">
        <v>10</v>
      </c>
      <c r="AF5410" t="n">
        <v>18</v>
      </c>
      <c r="AG5410" t="n">
        <v>30</v>
      </c>
      <c r="AH5410" t="n">
        <v>24</v>
      </c>
      <c r="AI5410" t="n">
        <v>27</v>
      </c>
      <c r="AJ5410">
        <f>INDEX($Q$5384:$Q$5511,AC5410+1)</f>
        <v/>
      </c>
      <c r="AK5410">
        <f>INDEX($R$5384:$R$5511,AD5410+1)</f>
        <v/>
      </c>
      <c r="AL5410">
        <f>INDEX($S$5384:$S$5511,AE5410+1)</f>
        <v/>
      </c>
      <c r="AM5410">
        <f>INDEX($T$5384:$T$5511,AF5410+1)</f>
        <v/>
      </c>
      <c r="AN5410">
        <f>INDEX($U$5384:$U$5511,AG5410+1)</f>
        <v/>
      </c>
      <c r="AO5410">
        <f>INDEX($V$5384:$V$5511,AH5410+1)</f>
        <v/>
      </c>
      <c r="AP5410">
        <f>INDEX($W$5384:$W$5511,AI5410+1)</f>
        <v/>
      </c>
      <c r="AQ5410">
        <f>IF(Q5410&gt;=AJ5410-0.01,1,0)</f>
        <v/>
      </c>
      <c r="AR5410">
        <f>IF(R5410&gt;=AK5410-0.01,1,0)</f>
        <v/>
      </c>
      <c r="AS5410">
        <f>IF(S5410&gt;=AL5410-0.01,1,0)</f>
        <v/>
      </c>
      <c r="AT5410">
        <f>IF(T5410&gt;=AM5410-0.01,1,0)</f>
        <v/>
      </c>
      <c r="AU5410">
        <f>IF(U5410&gt;=AN5410-0.01,1,0)</f>
        <v/>
      </c>
      <c r="AV5410">
        <f>IF(V5410&gt;=AO5410-0.01,1,0)</f>
        <v/>
      </c>
      <c r="AW5410">
        <f>IF(W5410&gt;=AP5410-0.01,1,0)</f>
        <v/>
      </c>
      <c r="AX5410">
        <f>AQ5410*AR5410*AS5410*AT5410*AU5410*AV5410*AW5410</f>
        <v/>
      </c>
    </row>
    <row r="5411">
      <c r="A5411" t="inlineStr"/>
      <c r="B5411">
        <f>Assumptions!$B$60</f>
        <v/>
      </c>
      <c r="C5411" t="n">
        <v>0</v>
      </c>
      <c r="D5411" t="n">
        <v>0</v>
      </c>
      <c r="E5411" t="n">
        <v>1</v>
      </c>
      <c r="F5411" t="n">
        <v>1</v>
      </c>
      <c r="G5411" t="n">
        <v>0</v>
      </c>
      <c r="H5411" t="n">
        <v>1</v>
      </c>
      <c r="I5411" t="n">
        <v>1</v>
      </c>
      <c r="J5411">
        <f>(1-C5411)*Assumptions!$B$41+(1-D5411)*Assumptions!$B$33+(1-E5411)*Assumptions!$B$32+(1-F5411)*Assumptions!$B$31+(1-G5411)*Assumptions!$B$30+(1-H5411)*Assumptions!$B$29+(1-I5411)*Assumptions!$B$28</f>
        <v/>
      </c>
      <c r="K5411">
        <f>C5411*$J$382+D5411*$F$382+E5411*$G$382+F5411*Assumptions!$B$14+G5411*Assumptions!$B$13+H5411*Assumptions!$B$12+I5411*Assumptions!$B$11+$O$382+$S$382+Assumptions!$B$9</f>
        <v/>
      </c>
      <c r="L5411">
        <f>B5411-J5411</f>
        <v/>
      </c>
      <c r="M5411">
        <f>IF(K5411&gt;0,IF(L5411/K5411&gt;=Assumptions!$B$37,1,0),0)</f>
        <v/>
      </c>
      <c r="N5411">
        <f>K5411+M5411*Assumptions!$B$153</f>
        <v/>
      </c>
      <c r="O5411">
        <f>L5411+M5411*Assumptions!$B$153*Assumptions!$B$37</f>
        <v/>
      </c>
      <c r="P5411">
        <f>IF(N5411&gt;0,O5411/N5411,0)</f>
        <v/>
      </c>
      <c r="Q5411">
        <f>IF(C5411=1,P5411*$J$382,Assumptions!$B$41)</f>
        <v/>
      </c>
      <c r="R5411">
        <f>IF(D5411=1,P5411*$F$382,Assumptions!$B$33)</f>
        <v/>
      </c>
      <c r="S5411">
        <f>IF(E5411=1,P5411*$G$382,Assumptions!$B$32)</f>
        <v/>
      </c>
      <c r="T5411">
        <f>IF(F5411=1,P5411*Assumptions!$B$14,Assumptions!$B$31)</f>
        <v/>
      </c>
      <c r="U5411">
        <f>IF(G5411=1,P5411*Assumptions!$B$13,Assumptions!$B$30)</f>
        <v/>
      </c>
      <c r="V5411">
        <f>IF(H5411=1,P5411*Assumptions!$B$12,Assumptions!$B$29)</f>
        <v/>
      </c>
      <c r="W5411">
        <f>IF(I5411=1,P5411*Assumptions!$B$11,Assumptions!$B$28)</f>
        <v/>
      </c>
      <c r="X5411">
        <f>P5411*($O$382+$S$382)</f>
        <v/>
      </c>
      <c r="Y5411">
        <f>P5411*Assumptions!$B$9</f>
        <v/>
      </c>
      <c r="Z5411">
        <f>IF(M5411=1,(P5411-Assumptions!$B$37)*Assumptions!$B$153,0)</f>
        <v/>
      </c>
      <c r="AA5411">
        <f>Q5411+R5411+S5411+T5411+U5411+V5411+W5411+X5411+Y5411+Z5411</f>
        <v/>
      </c>
      <c r="AB5411" t="n">
        <v>27</v>
      </c>
      <c r="AC5411" t="n">
        <v>91</v>
      </c>
      <c r="AD5411" t="n">
        <v>59</v>
      </c>
      <c r="AE5411" t="n">
        <v>11</v>
      </c>
      <c r="AF5411" t="n">
        <v>19</v>
      </c>
      <c r="AG5411" t="n">
        <v>31</v>
      </c>
      <c r="AH5411" t="n">
        <v>25</v>
      </c>
      <c r="AI5411" t="n">
        <v>26</v>
      </c>
      <c r="AJ5411">
        <f>INDEX($Q$5384:$Q$5511,AC5411+1)</f>
        <v/>
      </c>
      <c r="AK5411">
        <f>INDEX($R$5384:$R$5511,AD5411+1)</f>
        <v/>
      </c>
      <c r="AL5411">
        <f>INDEX($S$5384:$S$5511,AE5411+1)</f>
        <v/>
      </c>
      <c r="AM5411">
        <f>INDEX($T$5384:$T$5511,AF5411+1)</f>
        <v/>
      </c>
      <c r="AN5411">
        <f>INDEX($U$5384:$U$5511,AG5411+1)</f>
        <v/>
      </c>
      <c r="AO5411">
        <f>INDEX($V$5384:$V$5511,AH5411+1)</f>
        <v/>
      </c>
      <c r="AP5411">
        <f>INDEX($W$5384:$W$5511,AI5411+1)</f>
        <v/>
      </c>
      <c r="AQ5411">
        <f>IF(Q5411&gt;=AJ5411-0.01,1,0)</f>
        <v/>
      </c>
      <c r="AR5411">
        <f>IF(R5411&gt;=AK5411-0.01,1,0)</f>
        <v/>
      </c>
      <c r="AS5411">
        <f>IF(S5411&gt;=AL5411-0.01,1,0)</f>
        <v/>
      </c>
      <c r="AT5411">
        <f>IF(T5411&gt;=AM5411-0.01,1,0)</f>
        <v/>
      </c>
      <c r="AU5411">
        <f>IF(U5411&gt;=AN5411-0.01,1,0)</f>
        <v/>
      </c>
      <c r="AV5411">
        <f>IF(V5411&gt;=AO5411-0.01,1,0)</f>
        <v/>
      </c>
      <c r="AW5411">
        <f>IF(W5411&gt;=AP5411-0.01,1,0)</f>
        <v/>
      </c>
      <c r="AX5411">
        <f>AQ5411*AR5411*AS5411*AT5411*AU5411*AV5411*AW5411</f>
        <v/>
      </c>
    </row>
    <row r="5412">
      <c r="A5412" t="inlineStr"/>
      <c r="B5412">
        <f>Assumptions!$B$60</f>
        <v/>
      </c>
      <c r="C5412" t="n">
        <v>0</v>
      </c>
      <c r="D5412" t="n">
        <v>0</v>
      </c>
      <c r="E5412" t="n">
        <v>1</v>
      </c>
      <c r="F5412" t="n">
        <v>1</v>
      </c>
      <c r="G5412" t="n">
        <v>1</v>
      </c>
      <c r="H5412" t="n">
        <v>0</v>
      </c>
      <c r="I5412" t="n">
        <v>0</v>
      </c>
      <c r="J5412">
        <f>(1-C5412)*Assumptions!$B$41+(1-D5412)*Assumptions!$B$33+(1-E5412)*Assumptions!$B$32+(1-F5412)*Assumptions!$B$31+(1-G5412)*Assumptions!$B$30+(1-H5412)*Assumptions!$B$29+(1-I5412)*Assumptions!$B$28</f>
        <v/>
      </c>
      <c r="K5412">
        <f>C5412*$J$382+D5412*$F$382+E5412*$G$382+F5412*Assumptions!$B$14+G5412*Assumptions!$B$13+H5412*Assumptions!$B$12+I5412*Assumptions!$B$11+$O$382+$S$382+Assumptions!$B$9</f>
        <v/>
      </c>
      <c r="L5412">
        <f>B5412-J5412</f>
        <v/>
      </c>
      <c r="M5412">
        <f>IF(K5412&gt;0,IF(L5412/K5412&gt;=Assumptions!$B$37,1,0),0)</f>
        <v/>
      </c>
      <c r="N5412">
        <f>K5412+M5412*Assumptions!$B$153</f>
        <v/>
      </c>
      <c r="O5412">
        <f>L5412+M5412*Assumptions!$B$153*Assumptions!$B$37</f>
        <v/>
      </c>
      <c r="P5412">
        <f>IF(N5412&gt;0,O5412/N5412,0)</f>
        <v/>
      </c>
      <c r="Q5412">
        <f>IF(C5412=1,P5412*$J$382,Assumptions!$B$41)</f>
        <v/>
      </c>
      <c r="R5412">
        <f>IF(D5412=1,P5412*$F$382,Assumptions!$B$33)</f>
        <v/>
      </c>
      <c r="S5412">
        <f>IF(E5412=1,P5412*$G$382,Assumptions!$B$32)</f>
        <v/>
      </c>
      <c r="T5412">
        <f>IF(F5412=1,P5412*Assumptions!$B$14,Assumptions!$B$31)</f>
        <v/>
      </c>
      <c r="U5412">
        <f>IF(G5412=1,P5412*Assumptions!$B$13,Assumptions!$B$30)</f>
        <v/>
      </c>
      <c r="V5412">
        <f>IF(H5412=1,P5412*Assumptions!$B$12,Assumptions!$B$29)</f>
        <v/>
      </c>
      <c r="W5412">
        <f>IF(I5412=1,P5412*Assumptions!$B$11,Assumptions!$B$28)</f>
        <v/>
      </c>
      <c r="X5412">
        <f>P5412*($O$382+$S$382)</f>
        <v/>
      </c>
      <c r="Y5412">
        <f>P5412*Assumptions!$B$9</f>
        <v/>
      </c>
      <c r="Z5412">
        <f>IF(M5412=1,(P5412-Assumptions!$B$37)*Assumptions!$B$153,0)</f>
        <v/>
      </c>
      <c r="AA5412">
        <f>Q5412+R5412+S5412+T5412+U5412+V5412+W5412+X5412+Y5412+Z5412</f>
        <v/>
      </c>
      <c r="AB5412" t="n">
        <v>28</v>
      </c>
      <c r="AC5412" t="n">
        <v>92</v>
      </c>
      <c r="AD5412" t="n">
        <v>60</v>
      </c>
      <c r="AE5412" t="n">
        <v>12</v>
      </c>
      <c r="AF5412" t="n">
        <v>20</v>
      </c>
      <c r="AG5412" t="n">
        <v>24</v>
      </c>
      <c r="AH5412" t="n">
        <v>30</v>
      </c>
      <c r="AI5412" t="n">
        <v>29</v>
      </c>
      <c r="AJ5412">
        <f>INDEX($Q$5384:$Q$5511,AC5412+1)</f>
        <v/>
      </c>
      <c r="AK5412">
        <f>INDEX($R$5384:$R$5511,AD5412+1)</f>
        <v/>
      </c>
      <c r="AL5412">
        <f>INDEX($S$5384:$S$5511,AE5412+1)</f>
        <v/>
      </c>
      <c r="AM5412">
        <f>INDEX($T$5384:$T$5511,AF5412+1)</f>
        <v/>
      </c>
      <c r="AN5412">
        <f>INDEX($U$5384:$U$5511,AG5412+1)</f>
        <v/>
      </c>
      <c r="AO5412">
        <f>INDEX($V$5384:$V$5511,AH5412+1)</f>
        <v/>
      </c>
      <c r="AP5412">
        <f>INDEX($W$5384:$W$5511,AI5412+1)</f>
        <v/>
      </c>
      <c r="AQ5412">
        <f>IF(Q5412&gt;=AJ5412-0.01,1,0)</f>
        <v/>
      </c>
      <c r="AR5412">
        <f>IF(R5412&gt;=AK5412-0.01,1,0)</f>
        <v/>
      </c>
      <c r="AS5412">
        <f>IF(S5412&gt;=AL5412-0.01,1,0)</f>
        <v/>
      </c>
      <c r="AT5412">
        <f>IF(T5412&gt;=AM5412-0.01,1,0)</f>
        <v/>
      </c>
      <c r="AU5412">
        <f>IF(U5412&gt;=AN5412-0.01,1,0)</f>
        <v/>
      </c>
      <c r="AV5412">
        <f>IF(V5412&gt;=AO5412-0.01,1,0)</f>
        <v/>
      </c>
      <c r="AW5412">
        <f>IF(W5412&gt;=AP5412-0.01,1,0)</f>
        <v/>
      </c>
      <c r="AX5412">
        <f>AQ5412*AR5412*AS5412*AT5412*AU5412*AV5412*AW5412</f>
        <v/>
      </c>
    </row>
    <row r="5413">
      <c r="A5413" t="inlineStr"/>
      <c r="B5413">
        <f>Assumptions!$B$60</f>
        <v/>
      </c>
      <c r="C5413" t="n">
        <v>0</v>
      </c>
      <c r="D5413" t="n">
        <v>0</v>
      </c>
      <c r="E5413" t="n">
        <v>1</v>
      </c>
      <c r="F5413" t="n">
        <v>1</v>
      </c>
      <c r="G5413" t="n">
        <v>1</v>
      </c>
      <c r="H5413" t="n">
        <v>0</v>
      </c>
      <c r="I5413" t="n">
        <v>1</v>
      </c>
      <c r="J5413">
        <f>(1-C5413)*Assumptions!$B$41+(1-D5413)*Assumptions!$B$33+(1-E5413)*Assumptions!$B$32+(1-F5413)*Assumptions!$B$31+(1-G5413)*Assumptions!$B$30+(1-H5413)*Assumptions!$B$29+(1-I5413)*Assumptions!$B$28</f>
        <v/>
      </c>
      <c r="K5413">
        <f>C5413*$J$382+D5413*$F$382+E5413*$G$382+F5413*Assumptions!$B$14+G5413*Assumptions!$B$13+H5413*Assumptions!$B$12+I5413*Assumptions!$B$11+$O$382+$S$382+Assumptions!$B$9</f>
        <v/>
      </c>
      <c r="L5413">
        <f>B5413-J5413</f>
        <v/>
      </c>
      <c r="M5413">
        <f>IF(K5413&gt;0,IF(L5413/K5413&gt;=Assumptions!$B$37,1,0),0)</f>
        <v/>
      </c>
      <c r="N5413">
        <f>K5413+M5413*Assumptions!$B$153</f>
        <v/>
      </c>
      <c r="O5413">
        <f>L5413+M5413*Assumptions!$B$153*Assumptions!$B$37</f>
        <v/>
      </c>
      <c r="P5413">
        <f>IF(N5413&gt;0,O5413/N5413,0)</f>
        <v/>
      </c>
      <c r="Q5413">
        <f>IF(C5413=1,P5413*$J$382,Assumptions!$B$41)</f>
        <v/>
      </c>
      <c r="R5413">
        <f>IF(D5413=1,P5413*$F$382,Assumptions!$B$33)</f>
        <v/>
      </c>
      <c r="S5413">
        <f>IF(E5413=1,P5413*$G$382,Assumptions!$B$32)</f>
        <v/>
      </c>
      <c r="T5413">
        <f>IF(F5413=1,P5413*Assumptions!$B$14,Assumptions!$B$31)</f>
        <v/>
      </c>
      <c r="U5413">
        <f>IF(G5413=1,P5413*Assumptions!$B$13,Assumptions!$B$30)</f>
        <v/>
      </c>
      <c r="V5413">
        <f>IF(H5413=1,P5413*Assumptions!$B$12,Assumptions!$B$29)</f>
        <v/>
      </c>
      <c r="W5413">
        <f>IF(I5413=1,P5413*Assumptions!$B$11,Assumptions!$B$28)</f>
        <v/>
      </c>
      <c r="X5413">
        <f>P5413*($O$382+$S$382)</f>
        <v/>
      </c>
      <c r="Y5413">
        <f>P5413*Assumptions!$B$9</f>
        <v/>
      </c>
      <c r="Z5413">
        <f>IF(M5413=1,(P5413-Assumptions!$B$37)*Assumptions!$B$153,0)</f>
        <v/>
      </c>
      <c r="AA5413">
        <f>Q5413+R5413+S5413+T5413+U5413+V5413+W5413+X5413+Y5413+Z5413</f>
        <v/>
      </c>
      <c r="AB5413" t="n">
        <v>29</v>
      </c>
      <c r="AC5413" t="n">
        <v>93</v>
      </c>
      <c r="AD5413" t="n">
        <v>61</v>
      </c>
      <c r="AE5413" t="n">
        <v>13</v>
      </c>
      <c r="AF5413" t="n">
        <v>21</v>
      </c>
      <c r="AG5413" t="n">
        <v>25</v>
      </c>
      <c r="AH5413" t="n">
        <v>31</v>
      </c>
      <c r="AI5413" t="n">
        <v>28</v>
      </c>
      <c r="AJ5413">
        <f>INDEX($Q$5384:$Q$5511,AC5413+1)</f>
        <v/>
      </c>
      <c r="AK5413">
        <f>INDEX($R$5384:$R$5511,AD5413+1)</f>
        <v/>
      </c>
      <c r="AL5413">
        <f>INDEX($S$5384:$S$5511,AE5413+1)</f>
        <v/>
      </c>
      <c r="AM5413">
        <f>INDEX($T$5384:$T$5511,AF5413+1)</f>
        <v/>
      </c>
      <c r="AN5413">
        <f>INDEX($U$5384:$U$5511,AG5413+1)</f>
        <v/>
      </c>
      <c r="AO5413">
        <f>INDEX($V$5384:$V$5511,AH5413+1)</f>
        <v/>
      </c>
      <c r="AP5413">
        <f>INDEX($W$5384:$W$5511,AI5413+1)</f>
        <v/>
      </c>
      <c r="AQ5413">
        <f>IF(Q5413&gt;=AJ5413-0.01,1,0)</f>
        <v/>
      </c>
      <c r="AR5413">
        <f>IF(R5413&gt;=AK5413-0.01,1,0)</f>
        <v/>
      </c>
      <c r="AS5413">
        <f>IF(S5413&gt;=AL5413-0.01,1,0)</f>
        <v/>
      </c>
      <c r="AT5413">
        <f>IF(T5413&gt;=AM5413-0.01,1,0)</f>
        <v/>
      </c>
      <c r="AU5413">
        <f>IF(U5413&gt;=AN5413-0.01,1,0)</f>
        <v/>
      </c>
      <c r="AV5413">
        <f>IF(V5413&gt;=AO5413-0.01,1,0)</f>
        <v/>
      </c>
      <c r="AW5413">
        <f>IF(W5413&gt;=AP5413-0.01,1,0)</f>
        <v/>
      </c>
      <c r="AX5413">
        <f>AQ5413*AR5413*AS5413*AT5413*AU5413*AV5413*AW5413</f>
        <v/>
      </c>
    </row>
    <row r="5414">
      <c r="A5414" t="inlineStr"/>
      <c r="B5414">
        <f>Assumptions!$B$60</f>
        <v/>
      </c>
      <c r="C5414" t="n">
        <v>0</v>
      </c>
      <c r="D5414" t="n">
        <v>0</v>
      </c>
      <c r="E5414" t="n">
        <v>1</v>
      </c>
      <c r="F5414" t="n">
        <v>1</v>
      </c>
      <c r="G5414" t="n">
        <v>1</v>
      </c>
      <c r="H5414" t="n">
        <v>1</v>
      </c>
      <c r="I5414" t="n">
        <v>0</v>
      </c>
      <c r="J5414">
        <f>(1-C5414)*Assumptions!$B$41+(1-D5414)*Assumptions!$B$33+(1-E5414)*Assumptions!$B$32+(1-F5414)*Assumptions!$B$31+(1-G5414)*Assumptions!$B$30+(1-H5414)*Assumptions!$B$29+(1-I5414)*Assumptions!$B$28</f>
        <v/>
      </c>
      <c r="K5414">
        <f>C5414*$J$382+D5414*$F$382+E5414*$G$382+F5414*Assumptions!$B$14+G5414*Assumptions!$B$13+H5414*Assumptions!$B$12+I5414*Assumptions!$B$11+$O$382+$S$382+Assumptions!$B$9</f>
        <v/>
      </c>
      <c r="L5414">
        <f>B5414-J5414</f>
        <v/>
      </c>
      <c r="M5414">
        <f>IF(K5414&gt;0,IF(L5414/K5414&gt;=Assumptions!$B$37,1,0),0)</f>
        <v/>
      </c>
      <c r="N5414">
        <f>K5414+M5414*Assumptions!$B$153</f>
        <v/>
      </c>
      <c r="O5414">
        <f>L5414+M5414*Assumptions!$B$153*Assumptions!$B$37</f>
        <v/>
      </c>
      <c r="P5414">
        <f>IF(N5414&gt;0,O5414/N5414,0)</f>
        <v/>
      </c>
      <c r="Q5414">
        <f>IF(C5414=1,P5414*$J$382,Assumptions!$B$41)</f>
        <v/>
      </c>
      <c r="R5414">
        <f>IF(D5414=1,P5414*$F$382,Assumptions!$B$33)</f>
        <v/>
      </c>
      <c r="S5414">
        <f>IF(E5414=1,P5414*$G$382,Assumptions!$B$32)</f>
        <v/>
      </c>
      <c r="T5414">
        <f>IF(F5414=1,P5414*Assumptions!$B$14,Assumptions!$B$31)</f>
        <v/>
      </c>
      <c r="U5414">
        <f>IF(G5414=1,P5414*Assumptions!$B$13,Assumptions!$B$30)</f>
        <v/>
      </c>
      <c r="V5414">
        <f>IF(H5414=1,P5414*Assumptions!$B$12,Assumptions!$B$29)</f>
        <v/>
      </c>
      <c r="W5414">
        <f>IF(I5414=1,P5414*Assumptions!$B$11,Assumptions!$B$28)</f>
        <v/>
      </c>
      <c r="X5414">
        <f>P5414*($O$382+$S$382)</f>
        <v/>
      </c>
      <c r="Y5414">
        <f>P5414*Assumptions!$B$9</f>
        <v/>
      </c>
      <c r="Z5414">
        <f>IF(M5414=1,(P5414-Assumptions!$B$37)*Assumptions!$B$153,0)</f>
        <v/>
      </c>
      <c r="AA5414">
        <f>Q5414+R5414+S5414+T5414+U5414+V5414+W5414+X5414+Y5414+Z5414</f>
        <v/>
      </c>
      <c r="AB5414" t="n">
        <v>30</v>
      </c>
      <c r="AC5414" t="n">
        <v>94</v>
      </c>
      <c r="AD5414" t="n">
        <v>62</v>
      </c>
      <c r="AE5414" t="n">
        <v>14</v>
      </c>
      <c r="AF5414" t="n">
        <v>22</v>
      </c>
      <c r="AG5414" t="n">
        <v>26</v>
      </c>
      <c r="AH5414" t="n">
        <v>28</v>
      </c>
      <c r="AI5414" t="n">
        <v>31</v>
      </c>
      <c r="AJ5414">
        <f>INDEX($Q$5384:$Q$5511,AC5414+1)</f>
        <v/>
      </c>
      <c r="AK5414">
        <f>INDEX($R$5384:$R$5511,AD5414+1)</f>
        <v/>
      </c>
      <c r="AL5414">
        <f>INDEX($S$5384:$S$5511,AE5414+1)</f>
        <v/>
      </c>
      <c r="AM5414">
        <f>INDEX($T$5384:$T$5511,AF5414+1)</f>
        <v/>
      </c>
      <c r="AN5414">
        <f>INDEX($U$5384:$U$5511,AG5414+1)</f>
        <v/>
      </c>
      <c r="AO5414">
        <f>INDEX($V$5384:$V$5511,AH5414+1)</f>
        <v/>
      </c>
      <c r="AP5414">
        <f>INDEX($W$5384:$W$5511,AI5414+1)</f>
        <v/>
      </c>
      <c r="AQ5414">
        <f>IF(Q5414&gt;=AJ5414-0.01,1,0)</f>
        <v/>
      </c>
      <c r="AR5414">
        <f>IF(R5414&gt;=AK5414-0.01,1,0)</f>
        <v/>
      </c>
      <c r="AS5414">
        <f>IF(S5414&gt;=AL5414-0.01,1,0)</f>
        <v/>
      </c>
      <c r="AT5414">
        <f>IF(T5414&gt;=AM5414-0.01,1,0)</f>
        <v/>
      </c>
      <c r="AU5414">
        <f>IF(U5414&gt;=AN5414-0.01,1,0)</f>
        <v/>
      </c>
      <c r="AV5414">
        <f>IF(V5414&gt;=AO5414-0.01,1,0)</f>
        <v/>
      </c>
      <c r="AW5414">
        <f>IF(W5414&gt;=AP5414-0.01,1,0)</f>
        <v/>
      </c>
      <c r="AX5414">
        <f>AQ5414*AR5414*AS5414*AT5414*AU5414*AV5414*AW5414</f>
        <v/>
      </c>
    </row>
    <row r="5415">
      <c r="A5415" t="inlineStr"/>
      <c r="B5415">
        <f>Assumptions!$B$60</f>
        <v/>
      </c>
      <c r="C5415" t="n">
        <v>0</v>
      </c>
      <c r="D5415" t="n">
        <v>0</v>
      </c>
      <c r="E5415" t="n">
        <v>1</v>
      </c>
      <c r="F5415" t="n">
        <v>1</v>
      </c>
      <c r="G5415" t="n">
        <v>1</v>
      </c>
      <c r="H5415" t="n">
        <v>1</v>
      </c>
      <c r="I5415" t="n">
        <v>1</v>
      </c>
      <c r="J5415">
        <f>(1-C5415)*Assumptions!$B$41+(1-D5415)*Assumptions!$B$33+(1-E5415)*Assumptions!$B$32+(1-F5415)*Assumptions!$B$31+(1-G5415)*Assumptions!$B$30+(1-H5415)*Assumptions!$B$29+(1-I5415)*Assumptions!$B$28</f>
        <v/>
      </c>
      <c r="K5415">
        <f>C5415*$J$382+D5415*$F$382+E5415*$G$382+F5415*Assumptions!$B$14+G5415*Assumptions!$B$13+H5415*Assumptions!$B$12+I5415*Assumptions!$B$11+$O$382+$S$382+Assumptions!$B$9</f>
        <v/>
      </c>
      <c r="L5415">
        <f>B5415-J5415</f>
        <v/>
      </c>
      <c r="M5415">
        <f>IF(K5415&gt;0,IF(L5415/K5415&gt;=Assumptions!$B$37,1,0),0)</f>
        <v/>
      </c>
      <c r="N5415">
        <f>K5415+M5415*Assumptions!$B$153</f>
        <v/>
      </c>
      <c r="O5415">
        <f>L5415+M5415*Assumptions!$B$153*Assumptions!$B$37</f>
        <v/>
      </c>
      <c r="P5415">
        <f>IF(N5415&gt;0,O5415/N5415,0)</f>
        <v/>
      </c>
      <c r="Q5415">
        <f>IF(C5415=1,P5415*$J$382,Assumptions!$B$41)</f>
        <v/>
      </c>
      <c r="R5415">
        <f>IF(D5415=1,P5415*$F$382,Assumptions!$B$33)</f>
        <v/>
      </c>
      <c r="S5415">
        <f>IF(E5415=1,P5415*$G$382,Assumptions!$B$32)</f>
        <v/>
      </c>
      <c r="T5415">
        <f>IF(F5415=1,P5415*Assumptions!$B$14,Assumptions!$B$31)</f>
        <v/>
      </c>
      <c r="U5415">
        <f>IF(G5415=1,P5415*Assumptions!$B$13,Assumptions!$B$30)</f>
        <v/>
      </c>
      <c r="V5415">
        <f>IF(H5415=1,P5415*Assumptions!$B$12,Assumptions!$B$29)</f>
        <v/>
      </c>
      <c r="W5415">
        <f>IF(I5415=1,P5415*Assumptions!$B$11,Assumptions!$B$28)</f>
        <v/>
      </c>
      <c r="X5415">
        <f>P5415*($O$382+$S$382)</f>
        <v/>
      </c>
      <c r="Y5415">
        <f>P5415*Assumptions!$B$9</f>
        <v/>
      </c>
      <c r="Z5415">
        <f>IF(M5415=1,(P5415-Assumptions!$B$37)*Assumptions!$B$153,0)</f>
        <v/>
      </c>
      <c r="AA5415">
        <f>Q5415+R5415+S5415+T5415+U5415+V5415+W5415+X5415+Y5415+Z5415</f>
        <v/>
      </c>
      <c r="AB5415" t="n">
        <v>31</v>
      </c>
      <c r="AC5415" t="n">
        <v>95</v>
      </c>
      <c r="AD5415" t="n">
        <v>63</v>
      </c>
      <c r="AE5415" t="n">
        <v>15</v>
      </c>
      <c r="AF5415" t="n">
        <v>23</v>
      </c>
      <c r="AG5415" t="n">
        <v>27</v>
      </c>
      <c r="AH5415" t="n">
        <v>29</v>
      </c>
      <c r="AI5415" t="n">
        <v>30</v>
      </c>
      <c r="AJ5415">
        <f>INDEX($Q$5384:$Q$5511,AC5415+1)</f>
        <v/>
      </c>
      <c r="AK5415">
        <f>INDEX($R$5384:$R$5511,AD5415+1)</f>
        <v/>
      </c>
      <c r="AL5415">
        <f>INDEX($S$5384:$S$5511,AE5415+1)</f>
        <v/>
      </c>
      <c r="AM5415">
        <f>INDEX($T$5384:$T$5511,AF5415+1)</f>
        <v/>
      </c>
      <c r="AN5415">
        <f>INDEX($U$5384:$U$5511,AG5415+1)</f>
        <v/>
      </c>
      <c r="AO5415">
        <f>INDEX($V$5384:$V$5511,AH5415+1)</f>
        <v/>
      </c>
      <c r="AP5415">
        <f>INDEX($W$5384:$W$5511,AI5415+1)</f>
        <v/>
      </c>
      <c r="AQ5415">
        <f>IF(Q5415&gt;=AJ5415-0.01,1,0)</f>
        <v/>
      </c>
      <c r="AR5415">
        <f>IF(R5415&gt;=AK5415-0.01,1,0)</f>
        <v/>
      </c>
      <c r="AS5415">
        <f>IF(S5415&gt;=AL5415-0.01,1,0)</f>
        <v/>
      </c>
      <c r="AT5415">
        <f>IF(T5415&gt;=AM5415-0.01,1,0)</f>
        <v/>
      </c>
      <c r="AU5415">
        <f>IF(U5415&gt;=AN5415-0.01,1,0)</f>
        <v/>
      </c>
      <c r="AV5415">
        <f>IF(V5415&gt;=AO5415-0.01,1,0)</f>
        <v/>
      </c>
      <c r="AW5415">
        <f>IF(W5415&gt;=AP5415-0.01,1,0)</f>
        <v/>
      </c>
      <c r="AX5415">
        <f>AQ5415*AR5415*AS5415*AT5415*AU5415*AV5415*AW5415</f>
        <v/>
      </c>
    </row>
    <row r="5416">
      <c r="A5416" t="inlineStr"/>
      <c r="B5416">
        <f>Assumptions!$B$60</f>
        <v/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>
        <f>(1-C5416)*Assumptions!$B$41+(1-D5416)*Assumptions!$B$33+(1-E5416)*Assumptions!$B$32+(1-F5416)*Assumptions!$B$31+(1-G5416)*Assumptions!$B$30+(1-H5416)*Assumptions!$B$29+(1-I5416)*Assumptions!$B$28</f>
        <v/>
      </c>
      <c r="K5416">
        <f>C5416*$J$382+D5416*$F$382+E5416*$G$382+F5416*Assumptions!$B$14+G5416*Assumptions!$B$13+H5416*Assumptions!$B$12+I5416*Assumptions!$B$11+$O$382+$S$382+Assumptions!$B$9</f>
        <v/>
      </c>
      <c r="L5416">
        <f>B5416-J5416</f>
        <v/>
      </c>
      <c r="M5416">
        <f>IF(K5416&gt;0,IF(L5416/K5416&gt;=Assumptions!$B$37,1,0),0)</f>
        <v/>
      </c>
      <c r="N5416">
        <f>K5416+M5416*Assumptions!$B$153</f>
        <v/>
      </c>
      <c r="O5416">
        <f>L5416+M5416*Assumptions!$B$153*Assumptions!$B$37</f>
        <v/>
      </c>
      <c r="P5416">
        <f>IF(N5416&gt;0,O5416/N5416,0)</f>
        <v/>
      </c>
      <c r="Q5416">
        <f>IF(C5416=1,P5416*$J$382,Assumptions!$B$41)</f>
        <v/>
      </c>
      <c r="R5416">
        <f>IF(D5416=1,P5416*$F$382,Assumptions!$B$33)</f>
        <v/>
      </c>
      <c r="S5416">
        <f>IF(E5416=1,P5416*$G$382,Assumptions!$B$32)</f>
        <v/>
      </c>
      <c r="T5416">
        <f>IF(F5416=1,P5416*Assumptions!$B$14,Assumptions!$B$31)</f>
        <v/>
      </c>
      <c r="U5416">
        <f>IF(G5416=1,P5416*Assumptions!$B$13,Assumptions!$B$30)</f>
        <v/>
      </c>
      <c r="V5416">
        <f>IF(H5416=1,P5416*Assumptions!$B$12,Assumptions!$B$29)</f>
        <v/>
      </c>
      <c r="W5416">
        <f>IF(I5416=1,P5416*Assumptions!$B$11,Assumptions!$B$28)</f>
        <v/>
      </c>
      <c r="X5416">
        <f>P5416*($O$382+$S$382)</f>
        <v/>
      </c>
      <c r="Y5416">
        <f>P5416*Assumptions!$B$9</f>
        <v/>
      </c>
      <c r="Z5416">
        <f>IF(M5416=1,(P5416-Assumptions!$B$37)*Assumptions!$B$153,0)</f>
        <v/>
      </c>
      <c r="AA5416">
        <f>Q5416+R5416+S5416+T5416+U5416+V5416+W5416+X5416+Y5416+Z5416</f>
        <v/>
      </c>
      <c r="AB5416" t="n">
        <v>32</v>
      </c>
      <c r="AC5416" t="n">
        <v>96</v>
      </c>
      <c r="AD5416" t="n">
        <v>0</v>
      </c>
      <c r="AE5416" t="n">
        <v>48</v>
      </c>
      <c r="AF5416" t="n">
        <v>40</v>
      </c>
      <c r="AG5416" t="n">
        <v>36</v>
      </c>
      <c r="AH5416" t="n">
        <v>34</v>
      </c>
      <c r="AI5416" t="n">
        <v>33</v>
      </c>
      <c r="AJ5416">
        <f>INDEX($Q$5384:$Q$5511,AC5416+1)</f>
        <v/>
      </c>
      <c r="AK5416">
        <f>INDEX($R$5384:$R$5511,AD5416+1)</f>
        <v/>
      </c>
      <c r="AL5416">
        <f>INDEX($S$5384:$S$5511,AE5416+1)</f>
        <v/>
      </c>
      <c r="AM5416">
        <f>INDEX($T$5384:$T$5511,AF5416+1)</f>
        <v/>
      </c>
      <c r="AN5416">
        <f>INDEX($U$5384:$U$5511,AG5416+1)</f>
        <v/>
      </c>
      <c r="AO5416">
        <f>INDEX($V$5384:$V$5511,AH5416+1)</f>
        <v/>
      </c>
      <c r="AP5416">
        <f>INDEX($W$5384:$W$5511,AI5416+1)</f>
        <v/>
      </c>
      <c r="AQ5416">
        <f>IF(Q5416&gt;=AJ5416-0.01,1,0)</f>
        <v/>
      </c>
      <c r="AR5416">
        <f>IF(R5416&gt;=AK5416-0.01,1,0)</f>
        <v/>
      </c>
      <c r="AS5416">
        <f>IF(S5416&gt;=AL5416-0.01,1,0)</f>
        <v/>
      </c>
      <c r="AT5416">
        <f>IF(T5416&gt;=AM5416-0.01,1,0)</f>
        <v/>
      </c>
      <c r="AU5416">
        <f>IF(U5416&gt;=AN5416-0.01,1,0)</f>
        <v/>
      </c>
      <c r="AV5416">
        <f>IF(V5416&gt;=AO5416-0.01,1,0)</f>
        <v/>
      </c>
      <c r="AW5416">
        <f>IF(W5416&gt;=AP5416-0.01,1,0)</f>
        <v/>
      </c>
      <c r="AX5416">
        <f>AQ5416*AR5416*AS5416*AT5416*AU5416*AV5416*AW5416</f>
        <v/>
      </c>
    </row>
    <row r="5417">
      <c r="A5417" t="inlineStr"/>
      <c r="B5417">
        <f>Assumptions!$B$60</f>
        <v/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>
        <f>(1-C5417)*Assumptions!$B$41+(1-D5417)*Assumptions!$B$33+(1-E5417)*Assumptions!$B$32+(1-F5417)*Assumptions!$B$31+(1-G5417)*Assumptions!$B$30+(1-H5417)*Assumptions!$B$29+(1-I5417)*Assumptions!$B$28</f>
        <v/>
      </c>
      <c r="K5417">
        <f>C5417*$J$382+D5417*$F$382+E5417*$G$382+F5417*Assumptions!$B$14+G5417*Assumptions!$B$13+H5417*Assumptions!$B$12+I5417*Assumptions!$B$11+$O$382+$S$382+Assumptions!$B$9</f>
        <v/>
      </c>
      <c r="L5417">
        <f>B5417-J5417</f>
        <v/>
      </c>
      <c r="M5417">
        <f>IF(K5417&gt;0,IF(L5417/K5417&gt;=Assumptions!$B$37,1,0),0)</f>
        <v/>
      </c>
      <c r="N5417">
        <f>K5417+M5417*Assumptions!$B$153</f>
        <v/>
      </c>
      <c r="O5417">
        <f>L5417+M5417*Assumptions!$B$153*Assumptions!$B$37</f>
        <v/>
      </c>
      <c r="P5417">
        <f>IF(N5417&gt;0,O5417/N5417,0)</f>
        <v/>
      </c>
      <c r="Q5417">
        <f>IF(C5417=1,P5417*$J$382,Assumptions!$B$41)</f>
        <v/>
      </c>
      <c r="R5417">
        <f>IF(D5417=1,P5417*$F$382,Assumptions!$B$33)</f>
        <v/>
      </c>
      <c r="S5417">
        <f>IF(E5417=1,P5417*$G$382,Assumptions!$B$32)</f>
        <v/>
      </c>
      <c r="T5417">
        <f>IF(F5417=1,P5417*Assumptions!$B$14,Assumptions!$B$31)</f>
        <v/>
      </c>
      <c r="U5417">
        <f>IF(G5417=1,P5417*Assumptions!$B$13,Assumptions!$B$30)</f>
        <v/>
      </c>
      <c r="V5417">
        <f>IF(H5417=1,P5417*Assumptions!$B$12,Assumptions!$B$29)</f>
        <v/>
      </c>
      <c r="W5417">
        <f>IF(I5417=1,P5417*Assumptions!$B$11,Assumptions!$B$28)</f>
        <v/>
      </c>
      <c r="X5417">
        <f>P5417*($O$382+$S$382)</f>
        <v/>
      </c>
      <c r="Y5417">
        <f>P5417*Assumptions!$B$9</f>
        <v/>
      </c>
      <c r="Z5417">
        <f>IF(M5417=1,(P5417-Assumptions!$B$37)*Assumptions!$B$153,0)</f>
        <v/>
      </c>
      <c r="AA5417">
        <f>Q5417+R5417+S5417+T5417+U5417+V5417+W5417+X5417+Y5417+Z5417</f>
        <v/>
      </c>
      <c r="AB5417" t="n">
        <v>33</v>
      </c>
      <c r="AC5417" t="n">
        <v>97</v>
      </c>
      <c r="AD5417" t="n">
        <v>1</v>
      </c>
      <c r="AE5417" t="n">
        <v>49</v>
      </c>
      <c r="AF5417" t="n">
        <v>41</v>
      </c>
      <c r="AG5417" t="n">
        <v>37</v>
      </c>
      <c r="AH5417" t="n">
        <v>35</v>
      </c>
      <c r="AI5417" t="n">
        <v>32</v>
      </c>
      <c r="AJ5417">
        <f>INDEX($Q$5384:$Q$5511,AC5417+1)</f>
        <v/>
      </c>
      <c r="AK5417">
        <f>INDEX($R$5384:$R$5511,AD5417+1)</f>
        <v/>
      </c>
      <c r="AL5417">
        <f>INDEX($S$5384:$S$5511,AE5417+1)</f>
        <v/>
      </c>
      <c r="AM5417">
        <f>INDEX($T$5384:$T$5511,AF5417+1)</f>
        <v/>
      </c>
      <c r="AN5417">
        <f>INDEX($U$5384:$U$5511,AG5417+1)</f>
        <v/>
      </c>
      <c r="AO5417">
        <f>INDEX($V$5384:$V$5511,AH5417+1)</f>
        <v/>
      </c>
      <c r="AP5417">
        <f>INDEX($W$5384:$W$5511,AI5417+1)</f>
        <v/>
      </c>
      <c r="AQ5417">
        <f>IF(Q5417&gt;=AJ5417-0.01,1,0)</f>
        <v/>
      </c>
      <c r="AR5417">
        <f>IF(R5417&gt;=AK5417-0.01,1,0)</f>
        <v/>
      </c>
      <c r="AS5417">
        <f>IF(S5417&gt;=AL5417-0.01,1,0)</f>
        <v/>
      </c>
      <c r="AT5417">
        <f>IF(T5417&gt;=AM5417-0.01,1,0)</f>
        <v/>
      </c>
      <c r="AU5417">
        <f>IF(U5417&gt;=AN5417-0.01,1,0)</f>
        <v/>
      </c>
      <c r="AV5417">
        <f>IF(V5417&gt;=AO5417-0.01,1,0)</f>
        <v/>
      </c>
      <c r="AW5417">
        <f>IF(W5417&gt;=AP5417-0.01,1,0)</f>
        <v/>
      </c>
      <c r="AX5417">
        <f>AQ5417*AR5417*AS5417*AT5417*AU5417*AV5417*AW5417</f>
        <v/>
      </c>
    </row>
    <row r="5418">
      <c r="A5418" t="inlineStr"/>
      <c r="B5418">
        <f>Assumptions!$B$60</f>
        <v/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>
        <f>(1-C5418)*Assumptions!$B$41+(1-D5418)*Assumptions!$B$33+(1-E5418)*Assumptions!$B$32+(1-F5418)*Assumptions!$B$31+(1-G5418)*Assumptions!$B$30+(1-H5418)*Assumptions!$B$29+(1-I5418)*Assumptions!$B$28</f>
        <v/>
      </c>
      <c r="K5418">
        <f>C5418*$J$382+D5418*$F$382+E5418*$G$382+F5418*Assumptions!$B$14+G5418*Assumptions!$B$13+H5418*Assumptions!$B$12+I5418*Assumptions!$B$11+$O$382+$S$382+Assumptions!$B$9</f>
        <v/>
      </c>
      <c r="L5418">
        <f>B5418-J5418</f>
        <v/>
      </c>
      <c r="M5418">
        <f>IF(K5418&gt;0,IF(L5418/K5418&gt;=Assumptions!$B$37,1,0),0)</f>
        <v/>
      </c>
      <c r="N5418">
        <f>K5418+M5418*Assumptions!$B$153</f>
        <v/>
      </c>
      <c r="O5418">
        <f>L5418+M5418*Assumptions!$B$153*Assumptions!$B$37</f>
        <v/>
      </c>
      <c r="P5418">
        <f>IF(N5418&gt;0,O5418/N5418,0)</f>
        <v/>
      </c>
      <c r="Q5418">
        <f>IF(C5418=1,P5418*$J$382,Assumptions!$B$41)</f>
        <v/>
      </c>
      <c r="R5418">
        <f>IF(D5418=1,P5418*$F$382,Assumptions!$B$33)</f>
        <v/>
      </c>
      <c r="S5418">
        <f>IF(E5418=1,P5418*$G$382,Assumptions!$B$32)</f>
        <v/>
      </c>
      <c r="T5418">
        <f>IF(F5418=1,P5418*Assumptions!$B$14,Assumptions!$B$31)</f>
        <v/>
      </c>
      <c r="U5418">
        <f>IF(G5418=1,P5418*Assumptions!$B$13,Assumptions!$B$30)</f>
        <v/>
      </c>
      <c r="V5418">
        <f>IF(H5418=1,P5418*Assumptions!$B$12,Assumptions!$B$29)</f>
        <v/>
      </c>
      <c r="W5418">
        <f>IF(I5418=1,P5418*Assumptions!$B$11,Assumptions!$B$28)</f>
        <v/>
      </c>
      <c r="X5418">
        <f>P5418*($O$382+$S$382)</f>
        <v/>
      </c>
      <c r="Y5418">
        <f>P5418*Assumptions!$B$9</f>
        <v/>
      </c>
      <c r="Z5418">
        <f>IF(M5418=1,(P5418-Assumptions!$B$37)*Assumptions!$B$153,0)</f>
        <v/>
      </c>
      <c r="AA5418">
        <f>Q5418+R5418+S5418+T5418+U5418+V5418+W5418+X5418+Y5418+Z5418</f>
        <v/>
      </c>
      <c r="AB5418" t="n">
        <v>34</v>
      </c>
      <c r="AC5418" t="n">
        <v>98</v>
      </c>
      <c r="AD5418" t="n">
        <v>2</v>
      </c>
      <c r="AE5418" t="n">
        <v>50</v>
      </c>
      <c r="AF5418" t="n">
        <v>42</v>
      </c>
      <c r="AG5418" t="n">
        <v>38</v>
      </c>
      <c r="AH5418" t="n">
        <v>32</v>
      </c>
      <c r="AI5418" t="n">
        <v>35</v>
      </c>
      <c r="AJ5418">
        <f>INDEX($Q$5384:$Q$5511,AC5418+1)</f>
        <v/>
      </c>
      <c r="AK5418">
        <f>INDEX($R$5384:$R$5511,AD5418+1)</f>
        <v/>
      </c>
      <c r="AL5418">
        <f>INDEX($S$5384:$S$5511,AE5418+1)</f>
        <v/>
      </c>
      <c r="AM5418">
        <f>INDEX($T$5384:$T$5511,AF5418+1)</f>
        <v/>
      </c>
      <c r="AN5418">
        <f>INDEX($U$5384:$U$5511,AG5418+1)</f>
        <v/>
      </c>
      <c r="AO5418">
        <f>INDEX($V$5384:$V$5511,AH5418+1)</f>
        <v/>
      </c>
      <c r="AP5418">
        <f>INDEX($W$5384:$W$5511,AI5418+1)</f>
        <v/>
      </c>
      <c r="AQ5418">
        <f>IF(Q5418&gt;=AJ5418-0.01,1,0)</f>
        <v/>
      </c>
      <c r="AR5418">
        <f>IF(R5418&gt;=AK5418-0.01,1,0)</f>
        <v/>
      </c>
      <c r="AS5418">
        <f>IF(S5418&gt;=AL5418-0.01,1,0)</f>
        <v/>
      </c>
      <c r="AT5418">
        <f>IF(T5418&gt;=AM5418-0.01,1,0)</f>
        <v/>
      </c>
      <c r="AU5418">
        <f>IF(U5418&gt;=AN5418-0.01,1,0)</f>
        <v/>
      </c>
      <c r="AV5418">
        <f>IF(V5418&gt;=AO5418-0.01,1,0)</f>
        <v/>
      </c>
      <c r="AW5418">
        <f>IF(W5418&gt;=AP5418-0.01,1,0)</f>
        <v/>
      </c>
      <c r="AX5418">
        <f>AQ5418*AR5418*AS5418*AT5418*AU5418*AV5418*AW5418</f>
        <v/>
      </c>
    </row>
    <row r="5419">
      <c r="A5419" t="inlineStr"/>
      <c r="B5419">
        <f>Assumptions!$B$60</f>
        <v/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1</v>
      </c>
      <c r="I5419" t="n">
        <v>1</v>
      </c>
      <c r="J5419">
        <f>(1-C5419)*Assumptions!$B$41+(1-D5419)*Assumptions!$B$33+(1-E5419)*Assumptions!$B$32+(1-F5419)*Assumptions!$B$31+(1-G5419)*Assumptions!$B$30+(1-H5419)*Assumptions!$B$29+(1-I5419)*Assumptions!$B$28</f>
        <v/>
      </c>
      <c r="K5419">
        <f>C5419*$J$382+D5419*$F$382+E5419*$G$382+F5419*Assumptions!$B$14+G5419*Assumptions!$B$13+H5419*Assumptions!$B$12+I5419*Assumptions!$B$11+$O$382+$S$382+Assumptions!$B$9</f>
        <v/>
      </c>
      <c r="L5419">
        <f>B5419-J5419</f>
        <v/>
      </c>
      <c r="M5419">
        <f>IF(K5419&gt;0,IF(L5419/K5419&gt;=Assumptions!$B$37,1,0),0)</f>
        <v/>
      </c>
      <c r="N5419">
        <f>K5419+M5419*Assumptions!$B$153</f>
        <v/>
      </c>
      <c r="O5419">
        <f>L5419+M5419*Assumptions!$B$153*Assumptions!$B$37</f>
        <v/>
      </c>
      <c r="P5419">
        <f>IF(N5419&gt;0,O5419/N5419,0)</f>
        <v/>
      </c>
      <c r="Q5419">
        <f>IF(C5419=1,P5419*$J$382,Assumptions!$B$41)</f>
        <v/>
      </c>
      <c r="R5419">
        <f>IF(D5419=1,P5419*$F$382,Assumptions!$B$33)</f>
        <v/>
      </c>
      <c r="S5419">
        <f>IF(E5419=1,P5419*$G$382,Assumptions!$B$32)</f>
        <v/>
      </c>
      <c r="T5419">
        <f>IF(F5419=1,P5419*Assumptions!$B$14,Assumptions!$B$31)</f>
        <v/>
      </c>
      <c r="U5419">
        <f>IF(G5419=1,P5419*Assumptions!$B$13,Assumptions!$B$30)</f>
        <v/>
      </c>
      <c r="V5419">
        <f>IF(H5419=1,P5419*Assumptions!$B$12,Assumptions!$B$29)</f>
        <v/>
      </c>
      <c r="W5419">
        <f>IF(I5419=1,P5419*Assumptions!$B$11,Assumptions!$B$28)</f>
        <v/>
      </c>
      <c r="X5419">
        <f>P5419*($O$382+$S$382)</f>
        <v/>
      </c>
      <c r="Y5419">
        <f>P5419*Assumptions!$B$9</f>
        <v/>
      </c>
      <c r="Z5419">
        <f>IF(M5419=1,(P5419-Assumptions!$B$37)*Assumptions!$B$153,0)</f>
        <v/>
      </c>
      <c r="AA5419">
        <f>Q5419+R5419+S5419+T5419+U5419+V5419+W5419+X5419+Y5419+Z5419</f>
        <v/>
      </c>
      <c r="AB5419" t="n">
        <v>35</v>
      </c>
      <c r="AC5419" t="n">
        <v>99</v>
      </c>
      <c r="AD5419" t="n">
        <v>3</v>
      </c>
      <c r="AE5419" t="n">
        <v>51</v>
      </c>
      <c r="AF5419" t="n">
        <v>43</v>
      </c>
      <c r="AG5419" t="n">
        <v>39</v>
      </c>
      <c r="AH5419" t="n">
        <v>33</v>
      </c>
      <c r="AI5419" t="n">
        <v>34</v>
      </c>
      <c r="AJ5419">
        <f>INDEX($Q$5384:$Q$5511,AC5419+1)</f>
        <v/>
      </c>
      <c r="AK5419">
        <f>INDEX($R$5384:$R$5511,AD5419+1)</f>
        <v/>
      </c>
      <c r="AL5419">
        <f>INDEX($S$5384:$S$5511,AE5419+1)</f>
        <v/>
      </c>
      <c r="AM5419">
        <f>INDEX($T$5384:$T$5511,AF5419+1)</f>
        <v/>
      </c>
      <c r="AN5419">
        <f>INDEX($U$5384:$U$5511,AG5419+1)</f>
        <v/>
      </c>
      <c r="AO5419">
        <f>INDEX($V$5384:$V$5511,AH5419+1)</f>
        <v/>
      </c>
      <c r="AP5419">
        <f>INDEX($W$5384:$W$5511,AI5419+1)</f>
        <v/>
      </c>
      <c r="AQ5419">
        <f>IF(Q5419&gt;=AJ5419-0.01,1,0)</f>
        <v/>
      </c>
      <c r="AR5419">
        <f>IF(R5419&gt;=AK5419-0.01,1,0)</f>
        <v/>
      </c>
      <c r="AS5419">
        <f>IF(S5419&gt;=AL5419-0.01,1,0)</f>
        <v/>
      </c>
      <c r="AT5419">
        <f>IF(T5419&gt;=AM5419-0.01,1,0)</f>
        <v/>
      </c>
      <c r="AU5419">
        <f>IF(U5419&gt;=AN5419-0.01,1,0)</f>
        <v/>
      </c>
      <c r="AV5419">
        <f>IF(V5419&gt;=AO5419-0.01,1,0)</f>
        <v/>
      </c>
      <c r="AW5419">
        <f>IF(W5419&gt;=AP5419-0.01,1,0)</f>
        <v/>
      </c>
      <c r="AX5419">
        <f>AQ5419*AR5419*AS5419*AT5419*AU5419*AV5419*AW5419</f>
        <v/>
      </c>
    </row>
    <row r="5420">
      <c r="A5420" t="inlineStr"/>
      <c r="B5420">
        <f>Assumptions!$B$60</f>
        <v/>
      </c>
      <c r="C5420" t="n">
        <v>0</v>
      </c>
      <c r="D5420" t="n">
        <v>1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>
        <f>(1-C5420)*Assumptions!$B$41+(1-D5420)*Assumptions!$B$33+(1-E5420)*Assumptions!$B$32+(1-F5420)*Assumptions!$B$31+(1-G5420)*Assumptions!$B$30+(1-H5420)*Assumptions!$B$29+(1-I5420)*Assumptions!$B$28</f>
        <v/>
      </c>
      <c r="K5420">
        <f>C5420*$J$382+D5420*$F$382+E5420*$G$382+F5420*Assumptions!$B$14+G5420*Assumptions!$B$13+H5420*Assumptions!$B$12+I5420*Assumptions!$B$11+$O$382+$S$382+Assumptions!$B$9</f>
        <v/>
      </c>
      <c r="L5420">
        <f>B5420-J5420</f>
        <v/>
      </c>
      <c r="M5420">
        <f>IF(K5420&gt;0,IF(L5420/K5420&gt;=Assumptions!$B$37,1,0),0)</f>
        <v/>
      </c>
      <c r="N5420">
        <f>K5420+M5420*Assumptions!$B$153</f>
        <v/>
      </c>
      <c r="O5420">
        <f>L5420+M5420*Assumptions!$B$153*Assumptions!$B$37</f>
        <v/>
      </c>
      <c r="P5420">
        <f>IF(N5420&gt;0,O5420/N5420,0)</f>
        <v/>
      </c>
      <c r="Q5420">
        <f>IF(C5420=1,P5420*$J$382,Assumptions!$B$41)</f>
        <v/>
      </c>
      <c r="R5420">
        <f>IF(D5420=1,P5420*$F$382,Assumptions!$B$33)</f>
        <v/>
      </c>
      <c r="S5420">
        <f>IF(E5420=1,P5420*$G$382,Assumptions!$B$32)</f>
        <v/>
      </c>
      <c r="T5420">
        <f>IF(F5420=1,P5420*Assumptions!$B$14,Assumptions!$B$31)</f>
        <v/>
      </c>
      <c r="U5420">
        <f>IF(G5420=1,P5420*Assumptions!$B$13,Assumptions!$B$30)</f>
        <v/>
      </c>
      <c r="V5420">
        <f>IF(H5420=1,P5420*Assumptions!$B$12,Assumptions!$B$29)</f>
        <v/>
      </c>
      <c r="W5420">
        <f>IF(I5420=1,P5420*Assumptions!$B$11,Assumptions!$B$28)</f>
        <v/>
      </c>
      <c r="X5420">
        <f>P5420*($O$382+$S$382)</f>
        <v/>
      </c>
      <c r="Y5420">
        <f>P5420*Assumptions!$B$9</f>
        <v/>
      </c>
      <c r="Z5420">
        <f>IF(M5420=1,(P5420-Assumptions!$B$37)*Assumptions!$B$153,0)</f>
        <v/>
      </c>
      <c r="AA5420">
        <f>Q5420+R5420+S5420+T5420+U5420+V5420+W5420+X5420+Y5420+Z5420</f>
        <v/>
      </c>
      <c r="AB5420" t="n">
        <v>36</v>
      </c>
      <c r="AC5420" t="n">
        <v>100</v>
      </c>
      <c r="AD5420" t="n">
        <v>4</v>
      </c>
      <c r="AE5420" t="n">
        <v>52</v>
      </c>
      <c r="AF5420" t="n">
        <v>44</v>
      </c>
      <c r="AG5420" t="n">
        <v>32</v>
      </c>
      <c r="AH5420" t="n">
        <v>38</v>
      </c>
      <c r="AI5420" t="n">
        <v>37</v>
      </c>
      <c r="AJ5420">
        <f>INDEX($Q$5384:$Q$5511,AC5420+1)</f>
        <v/>
      </c>
      <c r="AK5420">
        <f>INDEX($R$5384:$R$5511,AD5420+1)</f>
        <v/>
      </c>
      <c r="AL5420">
        <f>INDEX($S$5384:$S$5511,AE5420+1)</f>
        <v/>
      </c>
      <c r="AM5420">
        <f>INDEX($T$5384:$T$5511,AF5420+1)</f>
        <v/>
      </c>
      <c r="AN5420">
        <f>INDEX($U$5384:$U$5511,AG5420+1)</f>
        <v/>
      </c>
      <c r="AO5420">
        <f>INDEX($V$5384:$V$5511,AH5420+1)</f>
        <v/>
      </c>
      <c r="AP5420">
        <f>INDEX($W$5384:$W$5511,AI5420+1)</f>
        <v/>
      </c>
      <c r="AQ5420">
        <f>IF(Q5420&gt;=AJ5420-0.01,1,0)</f>
        <v/>
      </c>
      <c r="AR5420">
        <f>IF(R5420&gt;=AK5420-0.01,1,0)</f>
        <v/>
      </c>
      <c r="AS5420">
        <f>IF(S5420&gt;=AL5420-0.01,1,0)</f>
        <v/>
      </c>
      <c r="AT5420">
        <f>IF(T5420&gt;=AM5420-0.01,1,0)</f>
        <v/>
      </c>
      <c r="AU5420">
        <f>IF(U5420&gt;=AN5420-0.01,1,0)</f>
        <v/>
      </c>
      <c r="AV5420">
        <f>IF(V5420&gt;=AO5420-0.01,1,0)</f>
        <v/>
      </c>
      <c r="AW5420">
        <f>IF(W5420&gt;=AP5420-0.01,1,0)</f>
        <v/>
      </c>
      <c r="AX5420">
        <f>AQ5420*AR5420*AS5420*AT5420*AU5420*AV5420*AW5420</f>
        <v/>
      </c>
    </row>
    <row r="5421">
      <c r="A5421" t="inlineStr"/>
      <c r="B5421">
        <f>Assumptions!$B$60</f>
        <v/>
      </c>
      <c r="C5421" t="n">
        <v>0</v>
      </c>
      <c r="D5421" t="n">
        <v>1</v>
      </c>
      <c r="E5421" t="n">
        <v>0</v>
      </c>
      <c r="F5421" t="n">
        <v>0</v>
      </c>
      <c r="G5421" t="n">
        <v>1</v>
      </c>
      <c r="H5421" t="n">
        <v>0</v>
      </c>
      <c r="I5421" t="n">
        <v>1</v>
      </c>
      <c r="J5421">
        <f>(1-C5421)*Assumptions!$B$41+(1-D5421)*Assumptions!$B$33+(1-E5421)*Assumptions!$B$32+(1-F5421)*Assumptions!$B$31+(1-G5421)*Assumptions!$B$30+(1-H5421)*Assumptions!$B$29+(1-I5421)*Assumptions!$B$28</f>
        <v/>
      </c>
      <c r="K5421">
        <f>C5421*$J$382+D5421*$F$382+E5421*$G$382+F5421*Assumptions!$B$14+G5421*Assumptions!$B$13+H5421*Assumptions!$B$12+I5421*Assumptions!$B$11+$O$382+$S$382+Assumptions!$B$9</f>
        <v/>
      </c>
      <c r="L5421">
        <f>B5421-J5421</f>
        <v/>
      </c>
      <c r="M5421">
        <f>IF(K5421&gt;0,IF(L5421/K5421&gt;=Assumptions!$B$37,1,0),0)</f>
        <v/>
      </c>
      <c r="N5421">
        <f>K5421+M5421*Assumptions!$B$153</f>
        <v/>
      </c>
      <c r="O5421">
        <f>L5421+M5421*Assumptions!$B$153*Assumptions!$B$37</f>
        <v/>
      </c>
      <c r="P5421">
        <f>IF(N5421&gt;0,O5421/N5421,0)</f>
        <v/>
      </c>
      <c r="Q5421">
        <f>IF(C5421=1,P5421*$J$382,Assumptions!$B$41)</f>
        <v/>
      </c>
      <c r="R5421">
        <f>IF(D5421=1,P5421*$F$382,Assumptions!$B$33)</f>
        <v/>
      </c>
      <c r="S5421">
        <f>IF(E5421=1,P5421*$G$382,Assumptions!$B$32)</f>
        <v/>
      </c>
      <c r="T5421">
        <f>IF(F5421=1,P5421*Assumptions!$B$14,Assumptions!$B$31)</f>
        <v/>
      </c>
      <c r="U5421">
        <f>IF(G5421=1,P5421*Assumptions!$B$13,Assumptions!$B$30)</f>
        <v/>
      </c>
      <c r="V5421">
        <f>IF(H5421=1,P5421*Assumptions!$B$12,Assumptions!$B$29)</f>
        <v/>
      </c>
      <c r="W5421">
        <f>IF(I5421=1,P5421*Assumptions!$B$11,Assumptions!$B$28)</f>
        <v/>
      </c>
      <c r="X5421">
        <f>P5421*($O$382+$S$382)</f>
        <v/>
      </c>
      <c r="Y5421">
        <f>P5421*Assumptions!$B$9</f>
        <v/>
      </c>
      <c r="Z5421">
        <f>IF(M5421=1,(P5421-Assumptions!$B$37)*Assumptions!$B$153,0)</f>
        <v/>
      </c>
      <c r="AA5421">
        <f>Q5421+R5421+S5421+T5421+U5421+V5421+W5421+X5421+Y5421+Z5421</f>
        <v/>
      </c>
      <c r="AB5421" t="n">
        <v>37</v>
      </c>
      <c r="AC5421" t="n">
        <v>101</v>
      </c>
      <c r="AD5421" t="n">
        <v>5</v>
      </c>
      <c r="AE5421" t="n">
        <v>53</v>
      </c>
      <c r="AF5421" t="n">
        <v>45</v>
      </c>
      <c r="AG5421" t="n">
        <v>33</v>
      </c>
      <c r="AH5421" t="n">
        <v>39</v>
      </c>
      <c r="AI5421" t="n">
        <v>36</v>
      </c>
      <c r="AJ5421">
        <f>INDEX($Q$5384:$Q$5511,AC5421+1)</f>
        <v/>
      </c>
      <c r="AK5421">
        <f>INDEX($R$5384:$R$5511,AD5421+1)</f>
        <v/>
      </c>
      <c r="AL5421">
        <f>INDEX($S$5384:$S$5511,AE5421+1)</f>
        <v/>
      </c>
      <c r="AM5421">
        <f>INDEX($T$5384:$T$5511,AF5421+1)</f>
        <v/>
      </c>
      <c r="AN5421">
        <f>INDEX($U$5384:$U$5511,AG5421+1)</f>
        <v/>
      </c>
      <c r="AO5421">
        <f>INDEX($V$5384:$V$5511,AH5421+1)</f>
        <v/>
      </c>
      <c r="AP5421">
        <f>INDEX($W$5384:$W$5511,AI5421+1)</f>
        <v/>
      </c>
      <c r="AQ5421">
        <f>IF(Q5421&gt;=AJ5421-0.01,1,0)</f>
        <v/>
      </c>
      <c r="AR5421">
        <f>IF(R5421&gt;=AK5421-0.01,1,0)</f>
        <v/>
      </c>
      <c r="AS5421">
        <f>IF(S5421&gt;=AL5421-0.01,1,0)</f>
        <v/>
      </c>
      <c r="AT5421">
        <f>IF(T5421&gt;=AM5421-0.01,1,0)</f>
        <v/>
      </c>
      <c r="AU5421">
        <f>IF(U5421&gt;=AN5421-0.01,1,0)</f>
        <v/>
      </c>
      <c r="AV5421">
        <f>IF(V5421&gt;=AO5421-0.01,1,0)</f>
        <v/>
      </c>
      <c r="AW5421">
        <f>IF(W5421&gt;=AP5421-0.01,1,0)</f>
        <v/>
      </c>
      <c r="AX5421">
        <f>AQ5421*AR5421*AS5421*AT5421*AU5421*AV5421*AW5421</f>
        <v/>
      </c>
    </row>
    <row r="5422">
      <c r="A5422" t="inlineStr"/>
      <c r="B5422">
        <f>Assumptions!$B$60</f>
        <v/>
      </c>
      <c r="C5422" t="n">
        <v>0</v>
      </c>
      <c r="D5422" t="n">
        <v>1</v>
      </c>
      <c r="E5422" t="n">
        <v>0</v>
      </c>
      <c r="F5422" t="n">
        <v>0</v>
      </c>
      <c r="G5422" t="n">
        <v>1</v>
      </c>
      <c r="H5422" t="n">
        <v>1</v>
      </c>
      <c r="I5422" t="n">
        <v>0</v>
      </c>
      <c r="J5422">
        <f>(1-C5422)*Assumptions!$B$41+(1-D5422)*Assumptions!$B$33+(1-E5422)*Assumptions!$B$32+(1-F5422)*Assumptions!$B$31+(1-G5422)*Assumptions!$B$30+(1-H5422)*Assumptions!$B$29+(1-I5422)*Assumptions!$B$28</f>
        <v/>
      </c>
      <c r="K5422">
        <f>C5422*$J$382+D5422*$F$382+E5422*$G$382+F5422*Assumptions!$B$14+G5422*Assumptions!$B$13+H5422*Assumptions!$B$12+I5422*Assumptions!$B$11+$O$382+$S$382+Assumptions!$B$9</f>
        <v/>
      </c>
      <c r="L5422">
        <f>B5422-J5422</f>
        <v/>
      </c>
      <c r="M5422">
        <f>IF(K5422&gt;0,IF(L5422/K5422&gt;=Assumptions!$B$37,1,0),0)</f>
        <v/>
      </c>
      <c r="N5422">
        <f>K5422+M5422*Assumptions!$B$153</f>
        <v/>
      </c>
      <c r="O5422">
        <f>L5422+M5422*Assumptions!$B$153*Assumptions!$B$37</f>
        <v/>
      </c>
      <c r="P5422">
        <f>IF(N5422&gt;0,O5422/N5422,0)</f>
        <v/>
      </c>
      <c r="Q5422">
        <f>IF(C5422=1,P5422*$J$382,Assumptions!$B$41)</f>
        <v/>
      </c>
      <c r="R5422">
        <f>IF(D5422=1,P5422*$F$382,Assumptions!$B$33)</f>
        <v/>
      </c>
      <c r="S5422">
        <f>IF(E5422=1,P5422*$G$382,Assumptions!$B$32)</f>
        <v/>
      </c>
      <c r="T5422">
        <f>IF(F5422=1,P5422*Assumptions!$B$14,Assumptions!$B$31)</f>
        <v/>
      </c>
      <c r="U5422">
        <f>IF(G5422=1,P5422*Assumptions!$B$13,Assumptions!$B$30)</f>
        <v/>
      </c>
      <c r="V5422">
        <f>IF(H5422=1,P5422*Assumptions!$B$12,Assumptions!$B$29)</f>
        <v/>
      </c>
      <c r="W5422">
        <f>IF(I5422=1,P5422*Assumptions!$B$11,Assumptions!$B$28)</f>
        <v/>
      </c>
      <c r="X5422">
        <f>P5422*($O$382+$S$382)</f>
        <v/>
      </c>
      <c r="Y5422">
        <f>P5422*Assumptions!$B$9</f>
        <v/>
      </c>
      <c r="Z5422">
        <f>IF(M5422=1,(P5422-Assumptions!$B$37)*Assumptions!$B$153,0)</f>
        <v/>
      </c>
      <c r="AA5422">
        <f>Q5422+R5422+S5422+T5422+U5422+V5422+W5422+X5422+Y5422+Z5422</f>
        <v/>
      </c>
      <c r="AB5422" t="n">
        <v>38</v>
      </c>
      <c r="AC5422" t="n">
        <v>102</v>
      </c>
      <c r="AD5422" t="n">
        <v>6</v>
      </c>
      <c r="AE5422" t="n">
        <v>54</v>
      </c>
      <c r="AF5422" t="n">
        <v>46</v>
      </c>
      <c r="AG5422" t="n">
        <v>34</v>
      </c>
      <c r="AH5422" t="n">
        <v>36</v>
      </c>
      <c r="AI5422" t="n">
        <v>39</v>
      </c>
      <c r="AJ5422">
        <f>INDEX($Q$5384:$Q$5511,AC5422+1)</f>
        <v/>
      </c>
      <c r="AK5422">
        <f>INDEX($R$5384:$R$5511,AD5422+1)</f>
        <v/>
      </c>
      <c r="AL5422">
        <f>INDEX($S$5384:$S$5511,AE5422+1)</f>
        <v/>
      </c>
      <c r="AM5422">
        <f>INDEX($T$5384:$T$5511,AF5422+1)</f>
        <v/>
      </c>
      <c r="AN5422">
        <f>INDEX($U$5384:$U$5511,AG5422+1)</f>
        <v/>
      </c>
      <c r="AO5422">
        <f>INDEX($V$5384:$V$5511,AH5422+1)</f>
        <v/>
      </c>
      <c r="AP5422">
        <f>INDEX($W$5384:$W$5511,AI5422+1)</f>
        <v/>
      </c>
      <c r="AQ5422">
        <f>IF(Q5422&gt;=AJ5422-0.01,1,0)</f>
        <v/>
      </c>
      <c r="AR5422">
        <f>IF(R5422&gt;=AK5422-0.01,1,0)</f>
        <v/>
      </c>
      <c r="AS5422">
        <f>IF(S5422&gt;=AL5422-0.01,1,0)</f>
        <v/>
      </c>
      <c r="AT5422">
        <f>IF(T5422&gt;=AM5422-0.01,1,0)</f>
        <v/>
      </c>
      <c r="AU5422">
        <f>IF(U5422&gt;=AN5422-0.01,1,0)</f>
        <v/>
      </c>
      <c r="AV5422">
        <f>IF(V5422&gt;=AO5422-0.01,1,0)</f>
        <v/>
      </c>
      <c r="AW5422">
        <f>IF(W5422&gt;=AP5422-0.01,1,0)</f>
        <v/>
      </c>
      <c r="AX5422">
        <f>AQ5422*AR5422*AS5422*AT5422*AU5422*AV5422*AW5422</f>
        <v/>
      </c>
    </row>
    <row r="5423">
      <c r="A5423" t="inlineStr"/>
      <c r="B5423">
        <f>Assumptions!$B$60</f>
        <v/>
      </c>
      <c r="C5423" t="n">
        <v>0</v>
      </c>
      <c r="D5423" t="n">
        <v>1</v>
      </c>
      <c r="E5423" t="n">
        <v>0</v>
      </c>
      <c r="F5423" t="n">
        <v>0</v>
      </c>
      <c r="G5423" t="n">
        <v>1</v>
      </c>
      <c r="H5423" t="n">
        <v>1</v>
      </c>
      <c r="I5423" t="n">
        <v>1</v>
      </c>
      <c r="J5423">
        <f>(1-C5423)*Assumptions!$B$41+(1-D5423)*Assumptions!$B$33+(1-E5423)*Assumptions!$B$32+(1-F5423)*Assumptions!$B$31+(1-G5423)*Assumptions!$B$30+(1-H5423)*Assumptions!$B$29+(1-I5423)*Assumptions!$B$28</f>
        <v/>
      </c>
      <c r="K5423">
        <f>C5423*$J$382+D5423*$F$382+E5423*$G$382+F5423*Assumptions!$B$14+G5423*Assumptions!$B$13+H5423*Assumptions!$B$12+I5423*Assumptions!$B$11+$O$382+$S$382+Assumptions!$B$9</f>
        <v/>
      </c>
      <c r="L5423">
        <f>B5423-J5423</f>
        <v/>
      </c>
      <c r="M5423">
        <f>IF(K5423&gt;0,IF(L5423/K5423&gt;=Assumptions!$B$37,1,0),0)</f>
        <v/>
      </c>
      <c r="N5423">
        <f>K5423+M5423*Assumptions!$B$153</f>
        <v/>
      </c>
      <c r="O5423">
        <f>L5423+M5423*Assumptions!$B$153*Assumptions!$B$37</f>
        <v/>
      </c>
      <c r="P5423">
        <f>IF(N5423&gt;0,O5423/N5423,0)</f>
        <v/>
      </c>
      <c r="Q5423">
        <f>IF(C5423=1,P5423*$J$382,Assumptions!$B$41)</f>
        <v/>
      </c>
      <c r="R5423">
        <f>IF(D5423=1,P5423*$F$382,Assumptions!$B$33)</f>
        <v/>
      </c>
      <c r="S5423">
        <f>IF(E5423=1,P5423*$G$382,Assumptions!$B$32)</f>
        <v/>
      </c>
      <c r="T5423">
        <f>IF(F5423=1,P5423*Assumptions!$B$14,Assumptions!$B$31)</f>
        <v/>
      </c>
      <c r="U5423">
        <f>IF(G5423=1,P5423*Assumptions!$B$13,Assumptions!$B$30)</f>
        <v/>
      </c>
      <c r="V5423">
        <f>IF(H5423=1,P5423*Assumptions!$B$12,Assumptions!$B$29)</f>
        <v/>
      </c>
      <c r="W5423">
        <f>IF(I5423=1,P5423*Assumptions!$B$11,Assumptions!$B$28)</f>
        <v/>
      </c>
      <c r="X5423">
        <f>P5423*($O$382+$S$382)</f>
        <v/>
      </c>
      <c r="Y5423">
        <f>P5423*Assumptions!$B$9</f>
        <v/>
      </c>
      <c r="Z5423">
        <f>IF(M5423=1,(P5423-Assumptions!$B$37)*Assumptions!$B$153,0)</f>
        <v/>
      </c>
      <c r="AA5423">
        <f>Q5423+R5423+S5423+T5423+U5423+V5423+W5423+X5423+Y5423+Z5423</f>
        <v/>
      </c>
      <c r="AB5423" t="n">
        <v>39</v>
      </c>
      <c r="AC5423" t="n">
        <v>103</v>
      </c>
      <c r="AD5423" t="n">
        <v>7</v>
      </c>
      <c r="AE5423" t="n">
        <v>55</v>
      </c>
      <c r="AF5423" t="n">
        <v>47</v>
      </c>
      <c r="AG5423" t="n">
        <v>35</v>
      </c>
      <c r="AH5423" t="n">
        <v>37</v>
      </c>
      <c r="AI5423" t="n">
        <v>38</v>
      </c>
      <c r="AJ5423">
        <f>INDEX($Q$5384:$Q$5511,AC5423+1)</f>
        <v/>
      </c>
      <c r="AK5423">
        <f>INDEX($R$5384:$R$5511,AD5423+1)</f>
        <v/>
      </c>
      <c r="AL5423">
        <f>INDEX($S$5384:$S$5511,AE5423+1)</f>
        <v/>
      </c>
      <c r="AM5423">
        <f>INDEX($T$5384:$T$5511,AF5423+1)</f>
        <v/>
      </c>
      <c r="AN5423">
        <f>INDEX($U$5384:$U$5511,AG5423+1)</f>
        <v/>
      </c>
      <c r="AO5423">
        <f>INDEX($V$5384:$V$5511,AH5423+1)</f>
        <v/>
      </c>
      <c r="AP5423">
        <f>INDEX($W$5384:$W$5511,AI5423+1)</f>
        <v/>
      </c>
      <c r="AQ5423">
        <f>IF(Q5423&gt;=AJ5423-0.01,1,0)</f>
        <v/>
      </c>
      <c r="AR5423">
        <f>IF(R5423&gt;=AK5423-0.01,1,0)</f>
        <v/>
      </c>
      <c r="AS5423">
        <f>IF(S5423&gt;=AL5423-0.01,1,0)</f>
        <v/>
      </c>
      <c r="AT5423">
        <f>IF(T5423&gt;=AM5423-0.01,1,0)</f>
        <v/>
      </c>
      <c r="AU5423">
        <f>IF(U5423&gt;=AN5423-0.01,1,0)</f>
        <v/>
      </c>
      <c r="AV5423">
        <f>IF(V5423&gt;=AO5423-0.01,1,0)</f>
        <v/>
      </c>
      <c r="AW5423">
        <f>IF(W5423&gt;=AP5423-0.01,1,0)</f>
        <v/>
      </c>
      <c r="AX5423">
        <f>AQ5423*AR5423*AS5423*AT5423*AU5423*AV5423*AW5423</f>
        <v/>
      </c>
    </row>
    <row r="5424">
      <c r="A5424" t="inlineStr"/>
      <c r="B5424">
        <f>Assumptions!$B$60</f>
        <v/>
      </c>
      <c r="C5424" t="n">
        <v>0</v>
      </c>
      <c r="D5424" t="n">
        <v>1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>
        <f>(1-C5424)*Assumptions!$B$41+(1-D5424)*Assumptions!$B$33+(1-E5424)*Assumptions!$B$32+(1-F5424)*Assumptions!$B$31+(1-G5424)*Assumptions!$B$30+(1-H5424)*Assumptions!$B$29+(1-I5424)*Assumptions!$B$28</f>
        <v/>
      </c>
      <c r="K5424">
        <f>C5424*$J$382+D5424*$F$382+E5424*$G$382+F5424*Assumptions!$B$14+G5424*Assumptions!$B$13+H5424*Assumptions!$B$12+I5424*Assumptions!$B$11+$O$382+$S$382+Assumptions!$B$9</f>
        <v/>
      </c>
      <c r="L5424">
        <f>B5424-J5424</f>
        <v/>
      </c>
      <c r="M5424">
        <f>IF(K5424&gt;0,IF(L5424/K5424&gt;=Assumptions!$B$37,1,0),0)</f>
        <v/>
      </c>
      <c r="N5424">
        <f>K5424+M5424*Assumptions!$B$153</f>
        <v/>
      </c>
      <c r="O5424">
        <f>L5424+M5424*Assumptions!$B$153*Assumptions!$B$37</f>
        <v/>
      </c>
      <c r="P5424">
        <f>IF(N5424&gt;0,O5424/N5424,0)</f>
        <v/>
      </c>
      <c r="Q5424">
        <f>IF(C5424=1,P5424*$J$382,Assumptions!$B$41)</f>
        <v/>
      </c>
      <c r="R5424">
        <f>IF(D5424=1,P5424*$F$382,Assumptions!$B$33)</f>
        <v/>
      </c>
      <c r="S5424">
        <f>IF(E5424=1,P5424*$G$382,Assumptions!$B$32)</f>
        <v/>
      </c>
      <c r="T5424">
        <f>IF(F5424=1,P5424*Assumptions!$B$14,Assumptions!$B$31)</f>
        <v/>
      </c>
      <c r="U5424">
        <f>IF(G5424=1,P5424*Assumptions!$B$13,Assumptions!$B$30)</f>
        <v/>
      </c>
      <c r="V5424">
        <f>IF(H5424=1,P5424*Assumptions!$B$12,Assumptions!$B$29)</f>
        <v/>
      </c>
      <c r="W5424">
        <f>IF(I5424=1,P5424*Assumptions!$B$11,Assumptions!$B$28)</f>
        <v/>
      </c>
      <c r="X5424">
        <f>P5424*($O$382+$S$382)</f>
        <v/>
      </c>
      <c r="Y5424">
        <f>P5424*Assumptions!$B$9</f>
        <v/>
      </c>
      <c r="Z5424">
        <f>IF(M5424=1,(P5424-Assumptions!$B$37)*Assumptions!$B$153,0)</f>
        <v/>
      </c>
      <c r="AA5424">
        <f>Q5424+R5424+S5424+T5424+U5424+V5424+W5424+X5424+Y5424+Z5424</f>
        <v/>
      </c>
      <c r="AB5424" t="n">
        <v>40</v>
      </c>
      <c r="AC5424" t="n">
        <v>104</v>
      </c>
      <c r="AD5424" t="n">
        <v>8</v>
      </c>
      <c r="AE5424" t="n">
        <v>56</v>
      </c>
      <c r="AF5424" t="n">
        <v>32</v>
      </c>
      <c r="AG5424" t="n">
        <v>44</v>
      </c>
      <c r="AH5424" t="n">
        <v>42</v>
      </c>
      <c r="AI5424" t="n">
        <v>41</v>
      </c>
      <c r="AJ5424">
        <f>INDEX($Q$5384:$Q$5511,AC5424+1)</f>
        <v/>
      </c>
      <c r="AK5424">
        <f>INDEX($R$5384:$R$5511,AD5424+1)</f>
        <v/>
      </c>
      <c r="AL5424">
        <f>INDEX($S$5384:$S$5511,AE5424+1)</f>
        <v/>
      </c>
      <c r="AM5424">
        <f>INDEX($T$5384:$T$5511,AF5424+1)</f>
        <v/>
      </c>
      <c r="AN5424">
        <f>INDEX($U$5384:$U$5511,AG5424+1)</f>
        <v/>
      </c>
      <c r="AO5424">
        <f>INDEX($V$5384:$V$5511,AH5424+1)</f>
        <v/>
      </c>
      <c r="AP5424">
        <f>INDEX($W$5384:$W$5511,AI5424+1)</f>
        <v/>
      </c>
      <c r="AQ5424">
        <f>IF(Q5424&gt;=AJ5424-0.01,1,0)</f>
        <v/>
      </c>
      <c r="AR5424">
        <f>IF(R5424&gt;=AK5424-0.01,1,0)</f>
        <v/>
      </c>
      <c r="AS5424">
        <f>IF(S5424&gt;=AL5424-0.01,1,0)</f>
        <v/>
      </c>
      <c r="AT5424">
        <f>IF(T5424&gt;=AM5424-0.01,1,0)</f>
        <v/>
      </c>
      <c r="AU5424">
        <f>IF(U5424&gt;=AN5424-0.01,1,0)</f>
        <v/>
      </c>
      <c r="AV5424">
        <f>IF(V5424&gt;=AO5424-0.01,1,0)</f>
        <v/>
      </c>
      <c r="AW5424">
        <f>IF(W5424&gt;=AP5424-0.01,1,0)</f>
        <v/>
      </c>
      <c r="AX5424">
        <f>AQ5424*AR5424*AS5424*AT5424*AU5424*AV5424*AW5424</f>
        <v/>
      </c>
    </row>
    <row r="5425">
      <c r="A5425" t="inlineStr"/>
      <c r="B5425">
        <f>Assumptions!$B$60</f>
        <v/>
      </c>
      <c r="C5425" t="n">
        <v>0</v>
      </c>
      <c r="D5425" t="n">
        <v>1</v>
      </c>
      <c r="E5425" t="n">
        <v>0</v>
      </c>
      <c r="F5425" t="n">
        <v>1</v>
      </c>
      <c r="G5425" t="n">
        <v>0</v>
      </c>
      <c r="H5425" t="n">
        <v>0</v>
      </c>
      <c r="I5425" t="n">
        <v>1</v>
      </c>
      <c r="J5425">
        <f>(1-C5425)*Assumptions!$B$41+(1-D5425)*Assumptions!$B$33+(1-E5425)*Assumptions!$B$32+(1-F5425)*Assumptions!$B$31+(1-G5425)*Assumptions!$B$30+(1-H5425)*Assumptions!$B$29+(1-I5425)*Assumptions!$B$28</f>
        <v/>
      </c>
      <c r="K5425">
        <f>C5425*$J$382+D5425*$F$382+E5425*$G$382+F5425*Assumptions!$B$14+G5425*Assumptions!$B$13+H5425*Assumptions!$B$12+I5425*Assumptions!$B$11+$O$382+$S$382+Assumptions!$B$9</f>
        <v/>
      </c>
      <c r="L5425">
        <f>B5425-J5425</f>
        <v/>
      </c>
      <c r="M5425">
        <f>IF(K5425&gt;0,IF(L5425/K5425&gt;=Assumptions!$B$37,1,0),0)</f>
        <v/>
      </c>
      <c r="N5425">
        <f>K5425+M5425*Assumptions!$B$153</f>
        <v/>
      </c>
      <c r="O5425">
        <f>L5425+M5425*Assumptions!$B$153*Assumptions!$B$37</f>
        <v/>
      </c>
      <c r="P5425">
        <f>IF(N5425&gt;0,O5425/N5425,0)</f>
        <v/>
      </c>
      <c r="Q5425">
        <f>IF(C5425=1,P5425*$J$382,Assumptions!$B$41)</f>
        <v/>
      </c>
      <c r="R5425">
        <f>IF(D5425=1,P5425*$F$382,Assumptions!$B$33)</f>
        <v/>
      </c>
      <c r="S5425">
        <f>IF(E5425=1,P5425*$G$382,Assumptions!$B$32)</f>
        <v/>
      </c>
      <c r="T5425">
        <f>IF(F5425=1,P5425*Assumptions!$B$14,Assumptions!$B$31)</f>
        <v/>
      </c>
      <c r="U5425">
        <f>IF(G5425=1,P5425*Assumptions!$B$13,Assumptions!$B$30)</f>
        <v/>
      </c>
      <c r="V5425">
        <f>IF(H5425=1,P5425*Assumptions!$B$12,Assumptions!$B$29)</f>
        <v/>
      </c>
      <c r="W5425">
        <f>IF(I5425=1,P5425*Assumptions!$B$11,Assumptions!$B$28)</f>
        <v/>
      </c>
      <c r="X5425">
        <f>P5425*($O$382+$S$382)</f>
        <v/>
      </c>
      <c r="Y5425">
        <f>P5425*Assumptions!$B$9</f>
        <v/>
      </c>
      <c r="Z5425">
        <f>IF(M5425=1,(P5425-Assumptions!$B$37)*Assumptions!$B$153,0)</f>
        <v/>
      </c>
      <c r="AA5425">
        <f>Q5425+R5425+S5425+T5425+U5425+V5425+W5425+X5425+Y5425+Z5425</f>
        <v/>
      </c>
      <c r="AB5425" t="n">
        <v>41</v>
      </c>
      <c r="AC5425" t="n">
        <v>105</v>
      </c>
      <c r="AD5425" t="n">
        <v>9</v>
      </c>
      <c r="AE5425" t="n">
        <v>57</v>
      </c>
      <c r="AF5425" t="n">
        <v>33</v>
      </c>
      <c r="AG5425" t="n">
        <v>45</v>
      </c>
      <c r="AH5425" t="n">
        <v>43</v>
      </c>
      <c r="AI5425" t="n">
        <v>40</v>
      </c>
      <c r="AJ5425">
        <f>INDEX($Q$5384:$Q$5511,AC5425+1)</f>
        <v/>
      </c>
      <c r="AK5425">
        <f>INDEX($R$5384:$R$5511,AD5425+1)</f>
        <v/>
      </c>
      <c r="AL5425">
        <f>INDEX($S$5384:$S$5511,AE5425+1)</f>
        <v/>
      </c>
      <c r="AM5425">
        <f>INDEX($T$5384:$T$5511,AF5425+1)</f>
        <v/>
      </c>
      <c r="AN5425">
        <f>INDEX($U$5384:$U$5511,AG5425+1)</f>
        <v/>
      </c>
      <c r="AO5425">
        <f>INDEX($V$5384:$V$5511,AH5425+1)</f>
        <v/>
      </c>
      <c r="AP5425">
        <f>INDEX($W$5384:$W$5511,AI5425+1)</f>
        <v/>
      </c>
      <c r="AQ5425">
        <f>IF(Q5425&gt;=AJ5425-0.01,1,0)</f>
        <v/>
      </c>
      <c r="AR5425">
        <f>IF(R5425&gt;=AK5425-0.01,1,0)</f>
        <v/>
      </c>
      <c r="AS5425">
        <f>IF(S5425&gt;=AL5425-0.01,1,0)</f>
        <v/>
      </c>
      <c r="AT5425">
        <f>IF(T5425&gt;=AM5425-0.01,1,0)</f>
        <v/>
      </c>
      <c r="AU5425">
        <f>IF(U5425&gt;=AN5425-0.01,1,0)</f>
        <v/>
      </c>
      <c r="AV5425">
        <f>IF(V5425&gt;=AO5425-0.01,1,0)</f>
        <v/>
      </c>
      <c r="AW5425">
        <f>IF(W5425&gt;=AP5425-0.01,1,0)</f>
        <v/>
      </c>
      <c r="AX5425">
        <f>AQ5425*AR5425*AS5425*AT5425*AU5425*AV5425*AW5425</f>
        <v/>
      </c>
    </row>
    <row r="5426">
      <c r="A5426" t="inlineStr"/>
      <c r="B5426">
        <f>Assumptions!$B$60</f>
        <v/>
      </c>
      <c r="C5426" t="n">
        <v>0</v>
      </c>
      <c r="D5426" t="n">
        <v>1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>
        <f>(1-C5426)*Assumptions!$B$41+(1-D5426)*Assumptions!$B$33+(1-E5426)*Assumptions!$B$32+(1-F5426)*Assumptions!$B$31+(1-G5426)*Assumptions!$B$30+(1-H5426)*Assumptions!$B$29+(1-I5426)*Assumptions!$B$28</f>
        <v/>
      </c>
      <c r="K5426">
        <f>C5426*$J$382+D5426*$F$382+E5426*$G$382+F5426*Assumptions!$B$14+G5426*Assumptions!$B$13+H5426*Assumptions!$B$12+I5426*Assumptions!$B$11+$O$382+$S$382+Assumptions!$B$9</f>
        <v/>
      </c>
      <c r="L5426">
        <f>B5426-J5426</f>
        <v/>
      </c>
      <c r="M5426">
        <f>IF(K5426&gt;0,IF(L5426/K5426&gt;=Assumptions!$B$37,1,0),0)</f>
        <v/>
      </c>
      <c r="N5426">
        <f>K5426+M5426*Assumptions!$B$153</f>
        <v/>
      </c>
      <c r="O5426">
        <f>L5426+M5426*Assumptions!$B$153*Assumptions!$B$37</f>
        <v/>
      </c>
      <c r="P5426">
        <f>IF(N5426&gt;0,O5426/N5426,0)</f>
        <v/>
      </c>
      <c r="Q5426">
        <f>IF(C5426=1,P5426*$J$382,Assumptions!$B$41)</f>
        <v/>
      </c>
      <c r="R5426">
        <f>IF(D5426=1,P5426*$F$382,Assumptions!$B$33)</f>
        <v/>
      </c>
      <c r="S5426">
        <f>IF(E5426=1,P5426*$G$382,Assumptions!$B$32)</f>
        <v/>
      </c>
      <c r="T5426">
        <f>IF(F5426=1,P5426*Assumptions!$B$14,Assumptions!$B$31)</f>
        <v/>
      </c>
      <c r="U5426">
        <f>IF(G5426=1,P5426*Assumptions!$B$13,Assumptions!$B$30)</f>
        <v/>
      </c>
      <c r="V5426">
        <f>IF(H5426=1,P5426*Assumptions!$B$12,Assumptions!$B$29)</f>
        <v/>
      </c>
      <c r="W5426">
        <f>IF(I5426=1,P5426*Assumptions!$B$11,Assumptions!$B$28)</f>
        <v/>
      </c>
      <c r="X5426">
        <f>P5426*($O$382+$S$382)</f>
        <v/>
      </c>
      <c r="Y5426">
        <f>P5426*Assumptions!$B$9</f>
        <v/>
      </c>
      <c r="Z5426">
        <f>IF(M5426=1,(P5426-Assumptions!$B$37)*Assumptions!$B$153,0)</f>
        <v/>
      </c>
      <c r="AA5426">
        <f>Q5426+R5426+S5426+T5426+U5426+V5426+W5426+X5426+Y5426+Z5426</f>
        <v/>
      </c>
      <c r="AB5426" t="n">
        <v>42</v>
      </c>
      <c r="AC5426" t="n">
        <v>106</v>
      </c>
      <c r="AD5426" t="n">
        <v>10</v>
      </c>
      <c r="AE5426" t="n">
        <v>58</v>
      </c>
      <c r="AF5426" t="n">
        <v>34</v>
      </c>
      <c r="AG5426" t="n">
        <v>46</v>
      </c>
      <c r="AH5426" t="n">
        <v>40</v>
      </c>
      <c r="AI5426" t="n">
        <v>43</v>
      </c>
      <c r="AJ5426">
        <f>INDEX($Q$5384:$Q$5511,AC5426+1)</f>
        <v/>
      </c>
      <c r="AK5426">
        <f>INDEX($R$5384:$R$5511,AD5426+1)</f>
        <v/>
      </c>
      <c r="AL5426">
        <f>INDEX($S$5384:$S$5511,AE5426+1)</f>
        <v/>
      </c>
      <c r="AM5426">
        <f>INDEX($T$5384:$T$5511,AF5426+1)</f>
        <v/>
      </c>
      <c r="AN5426">
        <f>INDEX($U$5384:$U$5511,AG5426+1)</f>
        <v/>
      </c>
      <c r="AO5426">
        <f>INDEX($V$5384:$V$5511,AH5426+1)</f>
        <v/>
      </c>
      <c r="AP5426">
        <f>INDEX($W$5384:$W$5511,AI5426+1)</f>
        <v/>
      </c>
      <c r="AQ5426">
        <f>IF(Q5426&gt;=AJ5426-0.01,1,0)</f>
        <v/>
      </c>
      <c r="AR5426">
        <f>IF(R5426&gt;=AK5426-0.01,1,0)</f>
        <v/>
      </c>
      <c r="AS5426">
        <f>IF(S5426&gt;=AL5426-0.01,1,0)</f>
        <v/>
      </c>
      <c r="AT5426">
        <f>IF(T5426&gt;=AM5426-0.01,1,0)</f>
        <v/>
      </c>
      <c r="AU5426">
        <f>IF(U5426&gt;=AN5426-0.01,1,0)</f>
        <v/>
      </c>
      <c r="AV5426">
        <f>IF(V5426&gt;=AO5426-0.01,1,0)</f>
        <v/>
      </c>
      <c r="AW5426">
        <f>IF(W5426&gt;=AP5426-0.01,1,0)</f>
        <v/>
      </c>
      <c r="AX5426">
        <f>AQ5426*AR5426*AS5426*AT5426*AU5426*AV5426*AW5426</f>
        <v/>
      </c>
    </row>
    <row r="5427">
      <c r="A5427" t="inlineStr"/>
      <c r="B5427">
        <f>Assumptions!$B$60</f>
        <v/>
      </c>
      <c r="C5427" t="n">
        <v>0</v>
      </c>
      <c r="D5427" t="n">
        <v>1</v>
      </c>
      <c r="E5427" t="n">
        <v>0</v>
      </c>
      <c r="F5427" t="n">
        <v>1</v>
      </c>
      <c r="G5427" t="n">
        <v>0</v>
      </c>
      <c r="H5427" t="n">
        <v>1</v>
      </c>
      <c r="I5427" t="n">
        <v>1</v>
      </c>
      <c r="J5427">
        <f>(1-C5427)*Assumptions!$B$41+(1-D5427)*Assumptions!$B$33+(1-E5427)*Assumptions!$B$32+(1-F5427)*Assumptions!$B$31+(1-G5427)*Assumptions!$B$30+(1-H5427)*Assumptions!$B$29+(1-I5427)*Assumptions!$B$28</f>
        <v/>
      </c>
      <c r="K5427">
        <f>C5427*$J$382+D5427*$F$382+E5427*$G$382+F5427*Assumptions!$B$14+G5427*Assumptions!$B$13+H5427*Assumptions!$B$12+I5427*Assumptions!$B$11+$O$382+$S$382+Assumptions!$B$9</f>
        <v/>
      </c>
      <c r="L5427">
        <f>B5427-J5427</f>
        <v/>
      </c>
      <c r="M5427">
        <f>IF(K5427&gt;0,IF(L5427/K5427&gt;=Assumptions!$B$37,1,0),0)</f>
        <v/>
      </c>
      <c r="N5427">
        <f>K5427+M5427*Assumptions!$B$153</f>
        <v/>
      </c>
      <c r="O5427">
        <f>L5427+M5427*Assumptions!$B$153*Assumptions!$B$37</f>
        <v/>
      </c>
      <c r="P5427">
        <f>IF(N5427&gt;0,O5427/N5427,0)</f>
        <v/>
      </c>
      <c r="Q5427">
        <f>IF(C5427=1,P5427*$J$382,Assumptions!$B$41)</f>
        <v/>
      </c>
      <c r="R5427">
        <f>IF(D5427=1,P5427*$F$382,Assumptions!$B$33)</f>
        <v/>
      </c>
      <c r="S5427">
        <f>IF(E5427=1,P5427*$G$382,Assumptions!$B$32)</f>
        <v/>
      </c>
      <c r="T5427">
        <f>IF(F5427=1,P5427*Assumptions!$B$14,Assumptions!$B$31)</f>
        <v/>
      </c>
      <c r="U5427">
        <f>IF(G5427=1,P5427*Assumptions!$B$13,Assumptions!$B$30)</f>
        <v/>
      </c>
      <c r="V5427">
        <f>IF(H5427=1,P5427*Assumptions!$B$12,Assumptions!$B$29)</f>
        <v/>
      </c>
      <c r="W5427">
        <f>IF(I5427=1,P5427*Assumptions!$B$11,Assumptions!$B$28)</f>
        <v/>
      </c>
      <c r="X5427">
        <f>P5427*($O$382+$S$382)</f>
        <v/>
      </c>
      <c r="Y5427">
        <f>P5427*Assumptions!$B$9</f>
        <v/>
      </c>
      <c r="Z5427">
        <f>IF(M5427=1,(P5427-Assumptions!$B$37)*Assumptions!$B$153,0)</f>
        <v/>
      </c>
      <c r="AA5427">
        <f>Q5427+R5427+S5427+T5427+U5427+V5427+W5427+X5427+Y5427+Z5427</f>
        <v/>
      </c>
      <c r="AB5427" t="n">
        <v>43</v>
      </c>
      <c r="AC5427" t="n">
        <v>107</v>
      </c>
      <c r="AD5427" t="n">
        <v>11</v>
      </c>
      <c r="AE5427" t="n">
        <v>59</v>
      </c>
      <c r="AF5427" t="n">
        <v>35</v>
      </c>
      <c r="AG5427" t="n">
        <v>47</v>
      </c>
      <c r="AH5427" t="n">
        <v>41</v>
      </c>
      <c r="AI5427" t="n">
        <v>42</v>
      </c>
      <c r="AJ5427">
        <f>INDEX($Q$5384:$Q$5511,AC5427+1)</f>
        <v/>
      </c>
      <c r="AK5427">
        <f>INDEX($R$5384:$R$5511,AD5427+1)</f>
        <v/>
      </c>
      <c r="AL5427">
        <f>INDEX($S$5384:$S$5511,AE5427+1)</f>
        <v/>
      </c>
      <c r="AM5427">
        <f>INDEX($T$5384:$T$5511,AF5427+1)</f>
        <v/>
      </c>
      <c r="AN5427">
        <f>INDEX($U$5384:$U$5511,AG5427+1)</f>
        <v/>
      </c>
      <c r="AO5427">
        <f>INDEX($V$5384:$V$5511,AH5427+1)</f>
        <v/>
      </c>
      <c r="AP5427">
        <f>INDEX($W$5384:$W$5511,AI5427+1)</f>
        <v/>
      </c>
      <c r="AQ5427">
        <f>IF(Q5427&gt;=AJ5427-0.01,1,0)</f>
        <v/>
      </c>
      <c r="AR5427">
        <f>IF(R5427&gt;=AK5427-0.01,1,0)</f>
        <v/>
      </c>
      <c r="AS5427">
        <f>IF(S5427&gt;=AL5427-0.01,1,0)</f>
        <v/>
      </c>
      <c r="AT5427">
        <f>IF(T5427&gt;=AM5427-0.01,1,0)</f>
        <v/>
      </c>
      <c r="AU5427">
        <f>IF(U5427&gt;=AN5427-0.01,1,0)</f>
        <v/>
      </c>
      <c r="AV5427">
        <f>IF(V5427&gt;=AO5427-0.01,1,0)</f>
        <v/>
      </c>
      <c r="AW5427">
        <f>IF(W5427&gt;=AP5427-0.01,1,0)</f>
        <v/>
      </c>
      <c r="AX5427">
        <f>AQ5427*AR5427*AS5427*AT5427*AU5427*AV5427*AW5427</f>
        <v/>
      </c>
    </row>
    <row r="5428">
      <c r="A5428" t="inlineStr"/>
      <c r="B5428">
        <f>Assumptions!$B$60</f>
        <v/>
      </c>
      <c r="C5428" t="n">
        <v>0</v>
      </c>
      <c r="D5428" t="n">
        <v>1</v>
      </c>
      <c r="E5428" t="n">
        <v>0</v>
      </c>
      <c r="F5428" t="n">
        <v>1</v>
      </c>
      <c r="G5428" t="n">
        <v>1</v>
      </c>
      <c r="H5428" t="n">
        <v>0</v>
      </c>
      <c r="I5428" t="n">
        <v>0</v>
      </c>
      <c r="J5428">
        <f>(1-C5428)*Assumptions!$B$41+(1-D5428)*Assumptions!$B$33+(1-E5428)*Assumptions!$B$32+(1-F5428)*Assumptions!$B$31+(1-G5428)*Assumptions!$B$30+(1-H5428)*Assumptions!$B$29+(1-I5428)*Assumptions!$B$28</f>
        <v/>
      </c>
      <c r="K5428">
        <f>C5428*$J$382+D5428*$F$382+E5428*$G$382+F5428*Assumptions!$B$14+G5428*Assumptions!$B$13+H5428*Assumptions!$B$12+I5428*Assumptions!$B$11+$O$382+$S$382+Assumptions!$B$9</f>
        <v/>
      </c>
      <c r="L5428">
        <f>B5428-J5428</f>
        <v/>
      </c>
      <c r="M5428">
        <f>IF(K5428&gt;0,IF(L5428/K5428&gt;=Assumptions!$B$37,1,0),0)</f>
        <v/>
      </c>
      <c r="N5428">
        <f>K5428+M5428*Assumptions!$B$153</f>
        <v/>
      </c>
      <c r="O5428">
        <f>L5428+M5428*Assumptions!$B$153*Assumptions!$B$37</f>
        <v/>
      </c>
      <c r="P5428">
        <f>IF(N5428&gt;0,O5428/N5428,0)</f>
        <v/>
      </c>
      <c r="Q5428">
        <f>IF(C5428=1,P5428*$J$382,Assumptions!$B$41)</f>
        <v/>
      </c>
      <c r="R5428">
        <f>IF(D5428=1,P5428*$F$382,Assumptions!$B$33)</f>
        <v/>
      </c>
      <c r="S5428">
        <f>IF(E5428=1,P5428*$G$382,Assumptions!$B$32)</f>
        <v/>
      </c>
      <c r="T5428">
        <f>IF(F5428=1,P5428*Assumptions!$B$14,Assumptions!$B$31)</f>
        <v/>
      </c>
      <c r="U5428">
        <f>IF(G5428=1,P5428*Assumptions!$B$13,Assumptions!$B$30)</f>
        <v/>
      </c>
      <c r="V5428">
        <f>IF(H5428=1,P5428*Assumptions!$B$12,Assumptions!$B$29)</f>
        <v/>
      </c>
      <c r="W5428">
        <f>IF(I5428=1,P5428*Assumptions!$B$11,Assumptions!$B$28)</f>
        <v/>
      </c>
      <c r="X5428">
        <f>P5428*($O$382+$S$382)</f>
        <v/>
      </c>
      <c r="Y5428">
        <f>P5428*Assumptions!$B$9</f>
        <v/>
      </c>
      <c r="Z5428">
        <f>IF(M5428=1,(P5428-Assumptions!$B$37)*Assumptions!$B$153,0)</f>
        <v/>
      </c>
      <c r="AA5428">
        <f>Q5428+R5428+S5428+T5428+U5428+V5428+W5428+X5428+Y5428+Z5428</f>
        <v/>
      </c>
      <c r="AB5428" t="n">
        <v>44</v>
      </c>
      <c r="AC5428" t="n">
        <v>108</v>
      </c>
      <c r="AD5428" t="n">
        <v>12</v>
      </c>
      <c r="AE5428" t="n">
        <v>60</v>
      </c>
      <c r="AF5428" t="n">
        <v>36</v>
      </c>
      <c r="AG5428" t="n">
        <v>40</v>
      </c>
      <c r="AH5428" t="n">
        <v>46</v>
      </c>
      <c r="AI5428" t="n">
        <v>45</v>
      </c>
      <c r="AJ5428">
        <f>INDEX($Q$5384:$Q$5511,AC5428+1)</f>
        <v/>
      </c>
      <c r="AK5428">
        <f>INDEX($R$5384:$R$5511,AD5428+1)</f>
        <v/>
      </c>
      <c r="AL5428">
        <f>INDEX($S$5384:$S$5511,AE5428+1)</f>
        <v/>
      </c>
      <c r="AM5428">
        <f>INDEX($T$5384:$T$5511,AF5428+1)</f>
        <v/>
      </c>
      <c r="AN5428">
        <f>INDEX($U$5384:$U$5511,AG5428+1)</f>
        <v/>
      </c>
      <c r="AO5428">
        <f>INDEX($V$5384:$V$5511,AH5428+1)</f>
        <v/>
      </c>
      <c r="AP5428">
        <f>INDEX($W$5384:$W$5511,AI5428+1)</f>
        <v/>
      </c>
      <c r="AQ5428">
        <f>IF(Q5428&gt;=AJ5428-0.01,1,0)</f>
        <v/>
      </c>
      <c r="AR5428">
        <f>IF(R5428&gt;=AK5428-0.01,1,0)</f>
        <v/>
      </c>
      <c r="AS5428">
        <f>IF(S5428&gt;=AL5428-0.01,1,0)</f>
        <v/>
      </c>
      <c r="AT5428">
        <f>IF(T5428&gt;=AM5428-0.01,1,0)</f>
        <v/>
      </c>
      <c r="AU5428">
        <f>IF(U5428&gt;=AN5428-0.01,1,0)</f>
        <v/>
      </c>
      <c r="AV5428">
        <f>IF(V5428&gt;=AO5428-0.01,1,0)</f>
        <v/>
      </c>
      <c r="AW5428">
        <f>IF(W5428&gt;=AP5428-0.01,1,0)</f>
        <v/>
      </c>
      <c r="AX5428">
        <f>AQ5428*AR5428*AS5428*AT5428*AU5428*AV5428*AW5428</f>
        <v/>
      </c>
    </row>
    <row r="5429">
      <c r="A5429" t="inlineStr"/>
      <c r="B5429">
        <f>Assumptions!$B$60</f>
        <v/>
      </c>
      <c r="C5429" t="n">
        <v>0</v>
      </c>
      <c r="D5429" t="n">
        <v>1</v>
      </c>
      <c r="E5429" t="n">
        <v>0</v>
      </c>
      <c r="F5429" t="n">
        <v>1</v>
      </c>
      <c r="G5429" t="n">
        <v>1</v>
      </c>
      <c r="H5429" t="n">
        <v>0</v>
      </c>
      <c r="I5429" t="n">
        <v>1</v>
      </c>
      <c r="J5429">
        <f>(1-C5429)*Assumptions!$B$41+(1-D5429)*Assumptions!$B$33+(1-E5429)*Assumptions!$B$32+(1-F5429)*Assumptions!$B$31+(1-G5429)*Assumptions!$B$30+(1-H5429)*Assumptions!$B$29+(1-I5429)*Assumptions!$B$28</f>
        <v/>
      </c>
      <c r="K5429">
        <f>C5429*$J$382+D5429*$F$382+E5429*$G$382+F5429*Assumptions!$B$14+G5429*Assumptions!$B$13+H5429*Assumptions!$B$12+I5429*Assumptions!$B$11+$O$382+$S$382+Assumptions!$B$9</f>
        <v/>
      </c>
      <c r="L5429">
        <f>B5429-J5429</f>
        <v/>
      </c>
      <c r="M5429">
        <f>IF(K5429&gt;0,IF(L5429/K5429&gt;=Assumptions!$B$37,1,0),0)</f>
        <v/>
      </c>
      <c r="N5429">
        <f>K5429+M5429*Assumptions!$B$153</f>
        <v/>
      </c>
      <c r="O5429">
        <f>L5429+M5429*Assumptions!$B$153*Assumptions!$B$37</f>
        <v/>
      </c>
      <c r="P5429">
        <f>IF(N5429&gt;0,O5429/N5429,0)</f>
        <v/>
      </c>
      <c r="Q5429">
        <f>IF(C5429=1,P5429*$J$382,Assumptions!$B$41)</f>
        <v/>
      </c>
      <c r="R5429">
        <f>IF(D5429=1,P5429*$F$382,Assumptions!$B$33)</f>
        <v/>
      </c>
      <c r="S5429">
        <f>IF(E5429=1,P5429*$G$382,Assumptions!$B$32)</f>
        <v/>
      </c>
      <c r="T5429">
        <f>IF(F5429=1,P5429*Assumptions!$B$14,Assumptions!$B$31)</f>
        <v/>
      </c>
      <c r="U5429">
        <f>IF(G5429=1,P5429*Assumptions!$B$13,Assumptions!$B$30)</f>
        <v/>
      </c>
      <c r="V5429">
        <f>IF(H5429=1,P5429*Assumptions!$B$12,Assumptions!$B$29)</f>
        <v/>
      </c>
      <c r="W5429">
        <f>IF(I5429=1,P5429*Assumptions!$B$11,Assumptions!$B$28)</f>
        <v/>
      </c>
      <c r="X5429">
        <f>P5429*($O$382+$S$382)</f>
        <v/>
      </c>
      <c r="Y5429">
        <f>P5429*Assumptions!$B$9</f>
        <v/>
      </c>
      <c r="Z5429">
        <f>IF(M5429=1,(P5429-Assumptions!$B$37)*Assumptions!$B$153,0)</f>
        <v/>
      </c>
      <c r="AA5429">
        <f>Q5429+R5429+S5429+T5429+U5429+V5429+W5429+X5429+Y5429+Z5429</f>
        <v/>
      </c>
      <c r="AB5429" t="n">
        <v>45</v>
      </c>
      <c r="AC5429" t="n">
        <v>109</v>
      </c>
      <c r="AD5429" t="n">
        <v>13</v>
      </c>
      <c r="AE5429" t="n">
        <v>61</v>
      </c>
      <c r="AF5429" t="n">
        <v>37</v>
      </c>
      <c r="AG5429" t="n">
        <v>41</v>
      </c>
      <c r="AH5429" t="n">
        <v>47</v>
      </c>
      <c r="AI5429" t="n">
        <v>44</v>
      </c>
      <c r="AJ5429">
        <f>INDEX($Q$5384:$Q$5511,AC5429+1)</f>
        <v/>
      </c>
      <c r="AK5429">
        <f>INDEX($R$5384:$R$5511,AD5429+1)</f>
        <v/>
      </c>
      <c r="AL5429">
        <f>INDEX($S$5384:$S$5511,AE5429+1)</f>
        <v/>
      </c>
      <c r="AM5429">
        <f>INDEX($T$5384:$T$5511,AF5429+1)</f>
        <v/>
      </c>
      <c r="AN5429">
        <f>INDEX($U$5384:$U$5511,AG5429+1)</f>
        <v/>
      </c>
      <c r="AO5429">
        <f>INDEX($V$5384:$V$5511,AH5429+1)</f>
        <v/>
      </c>
      <c r="AP5429">
        <f>INDEX($W$5384:$W$5511,AI5429+1)</f>
        <v/>
      </c>
      <c r="AQ5429">
        <f>IF(Q5429&gt;=AJ5429-0.01,1,0)</f>
        <v/>
      </c>
      <c r="AR5429">
        <f>IF(R5429&gt;=AK5429-0.01,1,0)</f>
        <v/>
      </c>
      <c r="AS5429">
        <f>IF(S5429&gt;=AL5429-0.01,1,0)</f>
        <v/>
      </c>
      <c r="AT5429">
        <f>IF(T5429&gt;=AM5429-0.01,1,0)</f>
        <v/>
      </c>
      <c r="AU5429">
        <f>IF(U5429&gt;=AN5429-0.01,1,0)</f>
        <v/>
      </c>
      <c r="AV5429">
        <f>IF(V5429&gt;=AO5429-0.01,1,0)</f>
        <v/>
      </c>
      <c r="AW5429">
        <f>IF(W5429&gt;=AP5429-0.01,1,0)</f>
        <v/>
      </c>
      <c r="AX5429">
        <f>AQ5429*AR5429*AS5429*AT5429*AU5429*AV5429*AW5429</f>
        <v/>
      </c>
    </row>
    <row r="5430">
      <c r="A5430" t="inlineStr"/>
      <c r="B5430">
        <f>Assumptions!$B$60</f>
        <v/>
      </c>
      <c r="C5430" t="n">
        <v>0</v>
      </c>
      <c r="D5430" t="n">
        <v>1</v>
      </c>
      <c r="E5430" t="n">
        <v>0</v>
      </c>
      <c r="F5430" t="n">
        <v>1</v>
      </c>
      <c r="G5430" t="n">
        <v>1</v>
      </c>
      <c r="H5430" t="n">
        <v>1</v>
      </c>
      <c r="I5430" t="n">
        <v>0</v>
      </c>
      <c r="J5430">
        <f>(1-C5430)*Assumptions!$B$41+(1-D5430)*Assumptions!$B$33+(1-E5430)*Assumptions!$B$32+(1-F5430)*Assumptions!$B$31+(1-G5430)*Assumptions!$B$30+(1-H5430)*Assumptions!$B$29+(1-I5430)*Assumptions!$B$28</f>
        <v/>
      </c>
      <c r="K5430">
        <f>C5430*$J$382+D5430*$F$382+E5430*$G$382+F5430*Assumptions!$B$14+G5430*Assumptions!$B$13+H5430*Assumptions!$B$12+I5430*Assumptions!$B$11+$O$382+$S$382+Assumptions!$B$9</f>
        <v/>
      </c>
      <c r="L5430">
        <f>B5430-J5430</f>
        <v/>
      </c>
      <c r="M5430">
        <f>IF(K5430&gt;0,IF(L5430/K5430&gt;=Assumptions!$B$37,1,0),0)</f>
        <v/>
      </c>
      <c r="N5430">
        <f>K5430+M5430*Assumptions!$B$153</f>
        <v/>
      </c>
      <c r="O5430">
        <f>L5430+M5430*Assumptions!$B$153*Assumptions!$B$37</f>
        <v/>
      </c>
      <c r="P5430">
        <f>IF(N5430&gt;0,O5430/N5430,0)</f>
        <v/>
      </c>
      <c r="Q5430">
        <f>IF(C5430=1,P5430*$J$382,Assumptions!$B$41)</f>
        <v/>
      </c>
      <c r="R5430">
        <f>IF(D5430=1,P5430*$F$382,Assumptions!$B$33)</f>
        <v/>
      </c>
      <c r="S5430">
        <f>IF(E5430=1,P5430*$G$382,Assumptions!$B$32)</f>
        <v/>
      </c>
      <c r="T5430">
        <f>IF(F5430=1,P5430*Assumptions!$B$14,Assumptions!$B$31)</f>
        <v/>
      </c>
      <c r="U5430">
        <f>IF(G5430=1,P5430*Assumptions!$B$13,Assumptions!$B$30)</f>
        <v/>
      </c>
      <c r="V5430">
        <f>IF(H5430=1,P5430*Assumptions!$B$12,Assumptions!$B$29)</f>
        <v/>
      </c>
      <c r="W5430">
        <f>IF(I5430=1,P5430*Assumptions!$B$11,Assumptions!$B$28)</f>
        <v/>
      </c>
      <c r="X5430">
        <f>P5430*($O$382+$S$382)</f>
        <v/>
      </c>
      <c r="Y5430">
        <f>P5430*Assumptions!$B$9</f>
        <v/>
      </c>
      <c r="Z5430">
        <f>IF(M5430=1,(P5430-Assumptions!$B$37)*Assumptions!$B$153,0)</f>
        <v/>
      </c>
      <c r="AA5430">
        <f>Q5430+R5430+S5430+T5430+U5430+V5430+W5430+X5430+Y5430+Z5430</f>
        <v/>
      </c>
      <c r="AB5430" t="n">
        <v>46</v>
      </c>
      <c r="AC5430" t="n">
        <v>110</v>
      </c>
      <c r="AD5430" t="n">
        <v>14</v>
      </c>
      <c r="AE5430" t="n">
        <v>62</v>
      </c>
      <c r="AF5430" t="n">
        <v>38</v>
      </c>
      <c r="AG5430" t="n">
        <v>42</v>
      </c>
      <c r="AH5430" t="n">
        <v>44</v>
      </c>
      <c r="AI5430" t="n">
        <v>47</v>
      </c>
      <c r="AJ5430">
        <f>INDEX($Q$5384:$Q$5511,AC5430+1)</f>
        <v/>
      </c>
      <c r="AK5430">
        <f>INDEX($R$5384:$R$5511,AD5430+1)</f>
        <v/>
      </c>
      <c r="AL5430">
        <f>INDEX($S$5384:$S$5511,AE5430+1)</f>
        <v/>
      </c>
      <c r="AM5430">
        <f>INDEX($T$5384:$T$5511,AF5430+1)</f>
        <v/>
      </c>
      <c r="AN5430">
        <f>INDEX($U$5384:$U$5511,AG5430+1)</f>
        <v/>
      </c>
      <c r="AO5430">
        <f>INDEX($V$5384:$V$5511,AH5430+1)</f>
        <v/>
      </c>
      <c r="AP5430">
        <f>INDEX($W$5384:$W$5511,AI5430+1)</f>
        <v/>
      </c>
      <c r="AQ5430">
        <f>IF(Q5430&gt;=AJ5430-0.01,1,0)</f>
        <v/>
      </c>
      <c r="AR5430">
        <f>IF(R5430&gt;=AK5430-0.01,1,0)</f>
        <v/>
      </c>
      <c r="AS5430">
        <f>IF(S5430&gt;=AL5430-0.01,1,0)</f>
        <v/>
      </c>
      <c r="AT5430">
        <f>IF(T5430&gt;=AM5430-0.01,1,0)</f>
        <v/>
      </c>
      <c r="AU5430">
        <f>IF(U5430&gt;=AN5430-0.01,1,0)</f>
        <v/>
      </c>
      <c r="AV5430">
        <f>IF(V5430&gt;=AO5430-0.01,1,0)</f>
        <v/>
      </c>
      <c r="AW5430">
        <f>IF(W5430&gt;=AP5430-0.01,1,0)</f>
        <v/>
      </c>
      <c r="AX5430">
        <f>AQ5430*AR5430*AS5430*AT5430*AU5430*AV5430*AW5430</f>
        <v/>
      </c>
    </row>
    <row r="5431">
      <c r="A5431" t="inlineStr"/>
      <c r="B5431">
        <f>Assumptions!$B$60</f>
        <v/>
      </c>
      <c r="C5431" t="n">
        <v>0</v>
      </c>
      <c r="D5431" t="n">
        <v>1</v>
      </c>
      <c r="E5431" t="n">
        <v>0</v>
      </c>
      <c r="F5431" t="n">
        <v>1</v>
      </c>
      <c r="G5431" t="n">
        <v>1</v>
      </c>
      <c r="H5431" t="n">
        <v>1</v>
      </c>
      <c r="I5431" t="n">
        <v>1</v>
      </c>
      <c r="J5431">
        <f>(1-C5431)*Assumptions!$B$41+(1-D5431)*Assumptions!$B$33+(1-E5431)*Assumptions!$B$32+(1-F5431)*Assumptions!$B$31+(1-G5431)*Assumptions!$B$30+(1-H5431)*Assumptions!$B$29+(1-I5431)*Assumptions!$B$28</f>
        <v/>
      </c>
      <c r="K5431">
        <f>C5431*$J$382+D5431*$F$382+E5431*$G$382+F5431*Assumptions!$B$14+G5431*Assumptions!$B$13+H5431*Assumptions!$B$12+I5431*Assumptions!$B$11+$O$382+$S$382+Assumptions!$B$9</f>
        <v/>
      </c>
      <c r="L5431">
        <f>B5431-J5431</f>
        <v/>
      </c>
      <c r="M5431">
        <f>IF(K5431&gt;0,IF(L5431/K5431&gt;=Assumptions!$B$37,1,0),0)</f>
        <v/>
      </c>
      <c r="N5431">
        <f>K5431+M5431*Assumptions!$B$153</f>
        <v/>
      </c>
      <c r="O5431">
        <f>L5431+M5431*Assumptions!$B$153*Assumptions!$B$37</f>
        <v/>
      </c>
      <c r="P5431">
        <f>IF(N5431&gt;0,O5431/N5431,0)</f>
        <v/>
      </c>
      <c r="Q5431">
        <f>IF(C5431=1,P5431*$J$382,Assumptions!$B$41)</f>
        <v/>
      </c>
      <c r="R5431">
        <f>IF(D5431=1,P5431*$F$382,Assumptions!$B$33)</f>
        <v/>
      </c>
      <c r="S5431">
        <f>IF(E5431=1,P5431*$G$382,Assumptions!$B$32)</f>
        <v/>
      </c>
      <c r="T5431">
        <f>IF(F5431=1,P5431*Assumptions!$B$14,Assumptions!$B$31)</f>
        <v/>
      </c>
      <c r="U5431">
        <f>IF(G5431=1,P5431*Assumptions!$B$13,Assumptions!$B$30)</f>
        <v/>
      </c>
      <c r="V5431">
        <f>IF(H5431=1,P5431*Assumptions!$B$12,Assumptions!$B$29)</f>
        <v/>
      </c>
      <c r="W5431">
        <f>IF(I5431=1,P5431*Assumptions!$B$11,Assumptions!$B$28)</f>
        <v/>
      </c>
      <c r="X5431">
        <f>P5431*($O$382+$S$382)</f>
        <v/>
      </c>
      <c r="Y5431">
        <f>P5431*Assumptions!$B$9</f>
        <v/>
      </c>
      <c r="Z5431">
        <f>IF(M5431=1,(P5431-Assumptions!$B$37)*Assumptions!$B$153,0)</f>
        <v/>
      </c>
      <c r="AA5431">
        <f>Q5431+R5431+S5431+T5431+U5431+V5431+W5431+X5431+Y5431+Z5431</f>
        <v/>
      </c>
      <c r="AB5431" t="n">
        <v>47</v>
      </c>
      <c r="AC5431" t="n">
        <v>111</v>
      </c>
      <c r="AD5431" t="n">
        <v>15</v>
      </c>
      <c r="AE5431" t="n">
        <v>63</v>
      </c>
      <c r="AF5431" t="n">
        <v>39</v>
      </c>
      <c r="AG5431" t="n">
        <v>43</v>
      </c>
      <c r="AH5431" t="n">
        <v>45</v>
      </c>
      <c r="AI5431" t="n">
        <v>46</v>
      </c>
      <c r="AJ5431">
        <f>INDEX($Q$5384:$Q$5511,AC5431+1)</f>
        <v/>
      </c>
      <c r="AK5431">
        <f>INDEX($R$5384:$R$5511,AD5431+1)</f>
        <v/>
      </c>
      <c r="AL5431">
        <f>INDEX($S$5384:$S$5511,AE5431+1)</f>
        <v/>
      </c>
      <c r="AM5431">
        <f>INDEX($T$5384:$T$5511,AF5431+1)</f>
        <v/>
      </c>
      <c r="AN5431">
        <f>INDEX($U$5384:$U$5511,AG5431+1)</f>
        <v/>
      </c>
      <c r="AO5431">
        <f>INDEX($V$5384:$V$5511,AH5431+1)</f>
        <v/>
      </c>
      <c r="AP5431">
        <f>INDEX($W$5384:$W$5511,AI5431+1)</f>
        <v/>
      </c>
      <c r="AQ5431">
        <f>IF(Q5431&gt;=AJ5431-0.01,1,0)</f>
        <v/>
      </c>
      <c r="AR5431">
        <f>IF(R5431&gt;=AK5431-0.01,1,0)</f>
        <v/>
      </c>
      <c r="AS5431">
        <f>IF(S5431&gt;=AL5431-0.01,1,0)</f>
        <v/>
      </c>
      <c r="AT5431">
        <f>IF(T5431&gt;=AM5431-0.01,1,0)</f>
        <v/>
      </c>
      <c r="AU5431">
        <f>IF(U5431&gt;=AN5431-0.01,1,0)</f>
        <v/>
      </c>
      <c r="AV5431">
        <f>IF(V5431&gt;=AO5431-0.01,1,0)</f>
        <v/>
      </c>
      <c r="AW5431">
        <f>IF(W5431&gt;=AP5431-0.01,1,0)</f>
        <v/>
      </c>
      <c r="AX5431">
        <f>AQ5431*AR5431*AS5431*AT5431*AU5431*AV5431*AW5431</f>
        <v/>
      </c>
    </row>
    <row r="5432">
      <c r="A5432" t="inlineStr"/>
      <c r="B5432">
        <f>Assumptions!$B$60</f>
        <v/>
      </c>
      <c r="C5432" t="n">
        <v>0</v>
      </c>
      <c r="D5432" t="n">
        <v>1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>
        <f>(1-C5432)*Assumptions!$B$41+(1-D5432)*Assumptions!$B$33+(1-E5432)*Assumptions!$B$32+(1-F5432)*Assumptions!$B$31+(1-G5432)*Assumptions!$B$30+(1-H5432)*Assumptions!$B$29+(1-I5432)*Assumptions!$B$28</f>
        <v/>
      </c>
      <c r="K5432">
        <f>C5432*$J$382+D5432*$F$382+E5432*$G$382+F5432*Assumptions!$B$14+G5432*Assumptions!$B$13+H5432*Assumptions!$B$12+I5432*Assumptions!$B$11+$O$382+$S$382+Assumptions!$B$9</f>
        <v/>
      </c>
      <c r="L5432">
        <f>B5432-J5432</f>
        <v/>
      </c>
      <c r="M5432">
        <f>IF(K5432&gt;0,IF(L5432/K5432&gt;=Assumptions!$B$37,1,0),0)</f>
        <v/>
      </c>
      <c r="N5432">
        <f>K5432+M5432*Assumptions!$B$153</f>
        <v/>
      </c>
      <c r="O5432">
        <f>L5432+M5432*Assumptions!$B$153*Assumptions!$B$37</f>
        <v/>
      </c>
      <c r="P5432">
        <f>IF(N5432&gt;0,O5432/N5432,0)</f>
        <v/>
      </c>
      <c r="Q5432">
        <f>IF(C5432=1,P5432*$J$382,Assumptions!$B$41)</f>
        <v/>
      </c>
      <c r="R5432">
        <f>IF(D5432=1,P5432*$F$382,Assumptions!$B$33)</f>
        <v/>
      </c>
      <c r="S5432">
        <f>IF(E5432=1,P5432*$G$382,Assumptions!$B$32)</f>
        <v/>
      </c>
      <c r="T5432">
        <f>IF(F5432=1,P5432*Assumptions!$B$14,Assumptions!$B$31)</f>
        <v/>
      </c>
      <c r="U5432">
        <f>IF(G5432=1,P5432*Assumptions!$B$13,Assumptions!$B$30)</f>
        <v/>
      </c>
      <c r="V5432">
        <f>IF(H5432=1,P5432*Assumptions!$B$12,Assumptions!$B$29)</f>
        <v/>
      </c>
      <c r="W5432">
        <f>IF(I5432=1,P5432*Assumptions!$B$11,Assumptions!$B$28)</f>
        <v/>
      </c>
      <c r="X5432">
        <f>P5432*($O$382+$S$382)</f>
        <v/>
      </c>
      <c r="Y5432">
        <f>P5432*Assumptions!$B$9</f>
        <v/>
      </c>
      <c r="Z5432">
        <f>IF(M5432=1,(P5432-Assumptions!$B$37)*Assumptions!$B$153,0)</f>
        <v/>
      </c>
      <c r="AA5432">
        <f>Q5432+R5432+S5432+T5432+U5432+V5432+W5432+X5432+Y5432+Z5432</f>
        <v/>
      </c>
      <c r="AB5432" t="n">
        <v>48</v>
      </c>
      <c r="AC5432" t="n">
        <v>112</v>
      </c>
      <c r="AD5432" t="n">
        <v>16</v>
      </c>
      <c r="AE5432" t="n">
        <v>32</v>
      </c>
      <c r="AF5432" t="n">
        <v>56</v>
      </c>
      <c r="AG5432" t="n">
        <v>52</v>
      </c>
      <c r="AH5432" t="n">
        <v>50</v>
      </c>
      <c r="AI5432" t="n">
        <v>49</v>
      </c>
      <c r="AJ5432">
        <f>INDEX($Q$5384:$Q$5511,AC5432+1)</f>
        <v/>
      </c>
      <c r="AK5432">
        <f>INDEX($R$5384:$R$5511,AD5432+1)</f>
        <v/>
      </c>
      <c r="AL5432">
        <f>INDEX($S$5384:$S$5511,AE5432+1)</f>
        <v/>
      </c>
      <c r="AM5432">
        <f>INDEX($T$5384:$T$5511,AF5432+1)</f>
        <v/>
      </c>
      <c r="AN5432">
        <f>INDEX($U$5384:$U$5511,AG5432+1)</f>
        <v/>
      </c>
      <c r="AO5432">
        <f>INDEX($V$5384:$V$5511,AH5432+1)</f>
        <v/>
      </c>
      <c r="AP5432">
        <f>INDEX($W$5384:$W$5511,AI5432+1)</f>
        <v/>
      </c>
      <c r="AQ5432">
        <f>IF(Q5432&gt;=AJ5432-0.01,1,0)</f>
        <v/>
      </c>
      <c r="AR5432">
        <f>IF(R5432&gt;=AK5432-0.01,1,0)</f>
        <v/>
      </c>
      <c r="AS5432">
        <f>IF(S5432&gt;=AL5432-0.01,1,0)</f>
        <v/>
      </c>
      <c r="AT5432">
        <f>IF(T5432&gt;=AM5432-0.01,1,0)</f>
        <v/>
      </c>
      <c r="AU5432">
        <f>IF(U5432&gt;=AN5432-0.01,1,0)</f>
        <v/>
      </c>
      <c r="AV5432">
        <f>IF(V5432&gt;=AO5432-0.01,1,0)</f>
        <v/>
      </c>
      <c r="AW5432">
        <f>IF(W5432&gt;=AP5432-0.01,1,0)</f>
        <v/>
      </c>
      <c r="AX5432">
        <f>AQ5432*AR5432*AS5432*AT5432*AU5432*AV5432*AW5432</f>
        <v/>
      </c>
    </row>
    <row r="5433">
      <c r="A5433" t="inlineStr"/>
      <c r="B5433">
        <f>Assumptions!$B$60</f>
        <v/>
      </c>
      <c r="C5433" t="n">
        <v>0</v>
      </c>
      <c r="D5433" t="n">
        <v>1</v>
      </c>
      <c r="E5433" t="n">
        <v>1</v>
      </c>
      <c r="F5433" t="n">
        <v>0</v>
      </c>
      <c r="G5433" t="n">
        <v>0</v>
      </c>
      <c r="H5433" t="n">
        <v>0</v>
      </c>
      <c r="I5433" t="n">
        <v>1</v>
      </c>
      <c r="J5433">
        <f>(1-C5433)*Assumptions!$B$41+(1-D5433)*Assumptions!$B$33+(1-E5433)*Assumptions!$B$32+(1-F5433)*Assumptions!$B$31+(1-G5433)*Assumptions!$B$30+(1-H5433)*Assumptions!$B$29+(1-I5433)*Assumptions!$B$28</f>
        <v/>
      </c>
      <c r="K5433">
        <f>C5433*$J$382+D5433*$F$382+E5433*$G$382+F5433*Assumptions!$B$14+G5433*Assumptions!$B$13+H5433*Assumptions!$B$12+I5433*Assumptions!$B$11+$O$382+$S$382+Assumptions!$B$9</f>
        <v/>
      </c>
      <c r="L5433">
        <f>B5433-J5433</f>
        <v/>
      </c>
      <c r="M5433">
        <f>IF(K5433&gt;0,IF(L5433/K5433&gt;=Assumptions!$B$37,1,0),0)</f>
        <v/>
      </c>
      <c r="N5433">
        <f>K5433+M5433*Assumptions!$B$153</f>
        <v/>
      </c>
      <c r="O5433">
        <f>L5433+M5433*Assumptions!$B$153*Assumptions!$B$37</f>
        <v/>
      </c>
      <c r="P5433">
        <f>IF(N5433&gt;0,O5433/N5433,0)</f>
        <v/>
      </c>
      <c r="Q5433">
        <f>IF(C5433=1,P5433*$J$382,Assumptions!$B$41)</f>
        <v/>
      </c>
      <c r="R5433">
        <f>IF(D5433=1,P5433*$F$382,Assumptions!$B$33)</f>
        <v/>
      </c>
      <c r="S5433">
        <f>IF(E5433=1,P5433*$G$382,Assumptions!$B$32)</f>
        <v/>
      </c>
      <c r="T5433">
        <f>IF(F5433=1,P5433*Assumptions!$B$14,Assumptions!$B$31)</f>
        <v/>
      </c>
      <c r="U5433">
        <f>IF(G5433=1,P5433*Assumptions!$B$13,Assumptions!$B$30)</f>
        <v/>
      </c>
      <c r="V5433">
        <f>IF(H5433=1,P5433*Assumptions!$B$12,Assumptions!$B$29)</f>
        <v/>
      </c>
      <c r="W5433">
        <f>IF(I5433=1,P5433*Assumptions!$B$11,Assumptions!$B$28)</f>
        <v/>
      </c>
      <c r="X5433">
        <f>P5433*($O$382+$S$382)</f>
        <v/>
      </c>
      <c r="Y5433">
        <f>P5433*Assumptions!$B$9</f>
        <v/>
      </c>
      <c r="Z5433">
        <f>IF(M5433=1,(P5433-Assumptions!$B$37)*Assumptions!$B$153,0)</f>
        <v/>
      </c>
      <c r="AA5433">
        <f>Q5433+R5433+S5433+T5433+U5433+V5433+W5433+X5433+Y5433+Z5433</f>
        <v/>
      </c>
      <c r="AB5433" t="n">
        <v>49</v>
      </c>
      <c r="AC5433" t="n">
        <v>113</v>
      </c>
      <c r="AD5433" t="n">
        <v>17</v>
      </c>
      <c r="AE5433" t="n">
        <v>33</v>
      </c>
      <c r="AF5433" t="n">
        <v>57</v>
      </c>
      <c r="AG5433" t="n">
        <v>53</v>
      </c>
      <c r="AH5433" t="n">
        <v>51</v>
      </c>
      <c r="AI5433" t="n">
        <v>48</v>
      </c>
      <c r="AJ5433">
        <f>INDEX($Q$5384:$Q$5511,AC5433+1)</f>
        <v/>
      </c>
      <c r="AK5433">
        <f>INDEX($R$5384:$R$5511,AD5433+1)</f>
        <v/>
      </c>
      <c r="AL5433">
        <f>INDEX($S$5384:$S$5511,AE5433+1)</f>
        <v/>
      </c>
      <c r="AM5433">
        <f>INDEX($T$5384:$T$5511,AF5433+1)</f>
        <v/>
      </c>
      <c r="AN5433">
        <f>INDEX($U$5384:$U$5511,AG5433+1)</f>
        <v/>
      </c>
      <c r="AO5433">
        <f>INDEX($V$5384:$V$5511,AH5433+1)</f>
        <v/>
      </c>
      <c r="AP5433">
        <f>INDEX($W$5384:$W$5511,AI5433+1)</f>
        <v/>
      </c>
      <c r="AQ5433">
        <f>IF(Q5433&gt;=AJ5433-0.01,1,0)</f>
        <v/>
      </c>
      <c r="AR5433">
        <f>IF(R5433&gt;=AK5433-0.01,1,0)</f>
        <v/>
      </c>
      <c r="AS5433">
        <f>IF(S5433&gt;=AL5433-0.01,1,0)</f>
        <v/>
      </c>
      <c r="AT5433">
        <f>IF(T5433&gt;=AM5433-0.01,1,0)</f>
        <v/>
      </c>
      <c r="AU5433">
        <f>IF(U5433&gt;=AN5433-0.01,1,0)</f>
        <v/>
      </c>
      <c r="AV5433">
        <f>IF(V5433&gt;=AO5433-0.01,1,0)</f>
        <v/>
      </c>
      <c r="AW5433">
        <f>IF(W5433&gt;=AP5433-0.01,1,0)</f>
        <v/>
      </c>
      <c r="AX5433">
        <f>AQ5433*AR5433*AS5433*AT5433*AU5433*AV5433*AW5433</f>
        <v/>
      </c>
    </row>
    <row r="5434">
      <c r="A5434" t="inlineStr"/>
      <c r="B5434">
        <f>Assumptions!$B$60</f>
        <v/>
      </c>
      <c r="C5434" t="n">
        <v>0</v>
      </c>
      <c r="D5434" t="n">
        <v>1</v>
      </c>
      <c r="E5434" t="n">
        <v>1</v>
      </c>
      <c r="F5434" t="n">
        <v>0</v>
      </c>
      <c r="G5434" t="n">
        <v>0</v>
      </c>
      <c r="H5434" t="n">
        <v>1</v>
      </c>
      <c r="I5434" t="n">
        <v>0</v>
      </c>
      <c r="J5434">
        <f>(1-C5434)*Assumptions!$B$41+(1-D5434)*Assumptions!$B$33+(1-E5434)*Assumptions!$B$32+(1-F5434)*Assumptions!$B$31+(1-G5434)*Assumptions!$B$30+(1-H5434)*Assumptions!$B$29+(1-I5434)*Assumptions!$B$28</f>
        <v/>
      </c>
      <c r="K5434">
        <f>C5434*$J$382+D5434*$F$382+E5434*$G$382+F5434*Assumptions!$B$14+G5434*Assumptions!$B$13+H5434*Assumptions!$B$12+I5434*Assumptions!$B$11+$O$382+$S$382+Assumptions!$B$9</f>
        <v/>
      </c>
      <c r="L5434">
        <f>B5434-J5434</f>
        <v/>
      </c>
      <c r="M5434">
        <f>IF(K5434&gt;0,IF(L5434/K5434&gt;=Assumptions!$B$37,1,0),0)</f>
        <v/>
      </c>
      <c r="N5434">
        <f>K5434+M5434*Assumptions!$B$153</f>
        <v/>
      </c>
      <c r="O5434">
        <f>L5434+M5434*Assumptions!$B$153*Assumptions!$B$37</f>
        <v/>
      </c>
      <c r="P5434">
        <f>IF(N5434&gt;0,O5434/N5434,0)</f>
        <v/>
      </c>
      <c r="Q5434">
        <f>IF(C5434=1,P5434*$J$382,Assumptions!$B$41)</f>
        <v/>
      </c>
      <c r="R5434">
        <f>IF(D5434=1,P5434*$F$382,Assumptions!$B$33)</f>
        <v/>
      </c>
      <c r="S5434">
        <f>IF(E5434=1,P5434*$G$382,Assumptions!$B$32)</f>
        <v/>
      </c>
      <c r="T5434">
        <f>IF(F5434=1,P5434*Assumptions!$B$14,Assumptions!$B$31)</f>
        <v/>
      </c>
      <c r="U5434">
        <f>IF(G5434=1,P5434*Assumptions!$B$13,Assumptions!$B$30)</f>
        <v/>
      </c>
      <c r="V5434">
        <f>IF(H5434=1,P5434*Assumptions!$B$12,Assumptions!$B$29)</f>
        <v/>
      </c>
      <c r="W5434">
        <f>IF(I5434=1,P5434*Assumptions!$B$11,Assumptions!$B$28)</f>
        <v/>
      </c>
      <c r="X5434">
        <f>P5434*($O$382+$S$382)</f>
        <v/>
      </c>
      <c r="Y5434">
        <f>P5434*Assumptions!$B$9</f>
        <v/>
      </c>
      <c r="Z5434">
        <f>IF(M5434=1,(P5434-Assumptions!$B$37)*Assumptions!$B$153,0)</f>
        <v/>
      </c>
      <c r="AA5434">
        <f>Q5434+R5434+S5434+T5434+U5434+V5434+W5434+X5434+Y5434+Z5434</f>
        <v/>
      </c>
      <c r="AB5434" t="n">
        <v>50</v>
      </c>
      <c r="AC5434" t="n">
        <v>114</v>
      </c>
      <c r="AD5434" t="n">
        <v>18</v>
      </c>
      <c r="AE5434" t="n">
        <v>34</v>
      </c>
      <c r="AF5434" t="n">
        <v>58</v>
      </c>
      <c r="AG5434" t="n">
        <v>54</v>
      </c>
      <c r="AH5434" t="n">
        <v>48</v>
      </c>
      <c r="AI5434" t="n">
        <v>51</v>
      </c>
      <c r="AJ5434">
        <f>INDEX($Q$5384:$Q$5511,AC5434+1)</f>
        <v/>
      </c>
      <c r="AK5434">
        <f>INDEX($R$5384:$R$5511,AD5434+1)</f>
        <v/>
      </c>
      <c r="AL5434">
        <f>INDEX($S$5384:$S$5511,AE5434+1)</f>
        <v/>
      </c>
      <c r="AM5434">
        <f>INDEX($T$5384:$T$5511,AF5434+1)</f>
        <v/>
      </c>
      <c r="AN5434">
        <f>INDEX($U$5384:$U$5511,AG5434+1)</f>
        <v/>
      </c>
      <c r="AO5434">
        <f>INDEX($V$5384:$V$5511,AH5434+1)</f>
        <v/>
      </c>
      <c r="AP5434">
        <f>INDEX($W$5384:$W$5511,AI5434+1)</f>
        <v/>
      </c>
      <c r="AQ5434">
        <f>IF(Q5434&gt;=AJ5434-0.01,1,0)</f>
        <v/>
      </c>
      <c r="AR5434">
        <f>IF(R5434&gt;=AK5434-0.01,1,0)</f>
        <v/>
      </c>
      <c r="AS5434">
        <f>IF(S5434&gt;=AL5434-0.01,1,0)</f>
        <v/>
      </c>
      <c r="AT5434">
        <f>IF(T5434&gt;=AM5434-0.01,1,0)</f>
        <v/>
      </c>
      <c r="AU5434">
        <f>IF(U5434&gt;=AN5434-0.01,1,0)</f>
        <v/>
      </c>
      <c r="AV5434">
        <f>IF(V5434&gt;=AO5434-0.01,1,0)</f>
        <v/>
      </c>
      <c r="AW5434">
        <f>IF(W5434&gt;=AP5434-0.01,1,0)</f>
        <v/>
      </c>
      <c r="AX5434">
        <f>AQ5434*AR5434*AS5434*AT5434*AU5434*AV5434*AW5434</f>
        <v/>
      </c>
    </row>
    <row r="5435">
      <c r="A5435" t="inlineStr"/>
      <c r="B5435">
        <f>Assumptions!$B$60</f>
        <v/>
      </c>
      <c r="C5435" t="n">
        <v>0</v>
      </c>
      <c r="D5435" t="n">
        <v>1</v>
      </c>
      <c r="E5435" t="n">
        <v>1</v>
      </c>
      <c r="F5435" t="n">
        <v>0</v>
      </c>
      <c r="G5435" t="n">
        <v>0</v>
      </c>
      <c r="H5435" t="n">
        <v>1</v>
      </c>
      <c r="I5435" t="n">
        <v>1</v>
      </c>
      <c r="J5435">
        <f>(1-C5435)*Assumptions!$B$41+(1-D5435)*Assumptions!$B$33+(1-E5435)*Assumptions!$B$32+(1-F5435)*Assumptions!$B$31+(1-G5435)*Assumptions!$B$30+(1-H5435)*Assumptions!$B$29+(1-I5435)*Assumptions!$B$28</f>
        <v/>
      </c>
      <c r="K5435">
        <f>C5435*$J$382+D5435*$F$382+E5435*$G$382+F5435*Assumptions!$B$14+G5435*Assumptions!$B$13+H5435*Assumptions!$B$12+I5435*Assumptions!$B$11+$O$382+$S$382+Assumptions!$B$9</f>
        <v/>
      </c>
      <c r="L5435">
        <f>B5435-J5435</f>
        <v/>
      </c>
      <c r="M5435">
        <f>IF(K5435&gt;0,IF(L5435/K5435&gt;=Assumptions!$B$37,1,0),0)</f>
        <v/>
      </c>
      <c r="N5435">
        <f>K5435+M5435*Assumptions!$B$153</f>
        <v/>
      </c>
      <c r="O5435">
        <f>L5435+M5435*Assumptions!$B$153*Assumptions!$B$37</f>
        <v/>
      </c>
      <c r="P5435">
        <f>IF(N5435&gt;0,O5435/N5435,0)</f>
        <v/>
      </c>
      <c r="Q5435">
        <f>IF(C5435=1,P5435*$J$382,Assumptions!$B$41)</f>
        <v/>
      </c>
      <c r="R5435">
        <f>IF(D5435=1,P5435*$F$382,Assumptions!$B$33)</f>
        <v/>
      </c>
      <c r="S5435">
        <f>IF(E5435=1,P5435*$G$382,Assumptions!$B$32)</f>
        <v/>
      </c>
      <c r="T5435">
        <f>IF(F5435=1,P5435*Assumptions!$B$14,Assumptions!$B$31)</f>
        <v/>
      </c>
      <c r="U5435">
        <f>IF(G5435=1,P5435*Assumptions!$B$13,Assumptions!$B$30)</f>
        <v/>
      </c>
      <c r="V5435">
        <f>IF(H5435=1,P5435*Assumptions!$B$12,Assumptions!$B$29)</f>
        <v/>
      </c>
      <c r="W5435">
        <f>IF(I5435=1,P5435*Assumptions!$B$11,Assumptions!$B$28)</f>
        <v/>
      </c>
      <c r="X5435">
        <f>P5435*($O$382+$S$382)</f>
        <v/>
      </c>
      <c r="Y5435">
        <f>P5435*Assumptions!$B$9</f>
        <v/>
      </c>
      <c r="Z5435">
        <f>IF(M5435=1,(P5435-Assumptions!$B$37)*Assumptions!$B$153,0)</f>
        <v/>
      </c>
      <c r="AA5435">
        <f>Q5435+R5435+S5435+T5435+U5435+V5435+W5435+X5435+Y5435+Z5435</f>
        <v/>
      </c>
      <c r="AB5435" t="n">
        <v>51</v>
      </c>
      <c r="AC5435" t="n">
        <v>115</v>
      </c>
      <c r="AD5435" t="n">
        <v>19</v>
      </c>
      <c r="AE5435" t="n">
        <v>35</v>
      </c>
      <c r="AF5435" t="n">
        <v>59</v>
      </c>
      <c r="AG5435" t="n">
        <v>55</v>
      </c>
      <c r="AH5435" t="n">
        <v>49</v>
      </c>
      <c r="AI5435" t="n">
        <v>50</v>
      </c>
      <c r="AJ5435">
        <f>INDEX($Q$5384:$Q$5511,AC5435+1)</f>
        <v/>
      </c>
      <c r="AK5435">
        <f>INDEX($R$5384:$R$5511,AD5435+1)</f>
        <v/>
      </c>
      <c r="AL5435">
        <f>INDEX($S$5384:$S$5511,AE5435+1)</f>
        <v/>
      </c>
      <c r="AM5435">
        <f>INDEX($T$5384:$T$5511,AF5435+1)</f>
        <v/>
      </c>
      <c r="AN5435">
        <f>INDEX($U$5384:$U$5511,AG5435+1)</f>
        <v/>
      </c>
      <c r="AO5435">
        <f>INDEX($V$5384:$V$5511,AH5435+1)</f>
        <v/>
      </c>
      <c r="AP5435">
        <f>INDEX($W$5384:$W$5511,AI5435+1)</f>
        <v/>
      </c>
      <c r="AQ5435">
        <f>IF(Q5435&gt;=AJ5435-0.01,1,0)</f>
        <v/>
      </c>
      <c r="AR5435">
        <f>IF(R5435&gt;=AK5435-0.01,1,0)</f>
        <v/>
      </c>
      <c r="AS5435">
        <f>IF(S5435&gt;=AL5435-0.01,1,0)</f>
        <v/>
      </c>
      <c r="AT5435">
        <f>IF(T5435&gt;=AM5435-0.01,1,0)</f>
        <v/>
      </c>
      <c r="AU5435">
        <f>IF(U5435&gt;=AN5435-0.01,1,0)</f>
        <v/>
      </c>
      <c r="AV5435">
        <f>IF(V5435&gt;=AO5435-0.01,1,0)</f>
        <v/>
      </c>
      <c r="AW5435">
        <f>IF(W5435&gt;=AP5435-0.01,1,0)</f>
        <v/>
      </c>
      <c r="AX5435">
        <f>AQ5435*AR5435*AS5435*AT5435*AU5435*AV5435*AW5435</f>
        <v/>
      </c>
    </row>
    <row r="5436">
      <c r="A5436" t="inlineStr"/>
      <c r="B5436">
        <f>Assumptions!$B$60</f>
        <v/>
      </c>
      <c r="C5436" t="n">
        <v>0</v>
      </c>
      <c r="D5436" t="n">
        <v>1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>
        <f>(1-C5436)*Assumptions!$B$41+(1-D5436)*Assumptions!$B$33+(1-E5436)*Assumptions!$B$32+(1-F5436)*Assumptions!$B$31+(1-G5436)*Assumptions!$B$30+(1-H5436)*Assumptions!$B$29+(1-I5436)*Assumptions!$B$28</f>
        <v/>
      </c>
      <c r="K5436">
        <f>C5436*$J$382+D5436*$F$382+E5436*$G$382+F5436*Assumptions!$B$14+G5436*Assumptions!$B$13+H5436*Assumptions!$B$12+I5436*Assumptions!$B$11+$O$382+$S$382+Assumptions!$B$9</f>
        <v/>
      </c>
      <c r="L5436">
        <f>B5436-J5436</f>
        <v/>
      </c>
      <c r="M5436">
        <f>IF(K5436&gt;0,IF(L5436/K5436&gt;=Assumptions!$B$37,1,0),0)</f>
        <v/>
      </c>
      <c r="N5436">
        <f>K5436+M5436*Assumptions!$B$153</f>
        <v/>
      </c>
      <c r="O5436">
        <f>L5436+M5436*Assumptions!$B$153*Assumptions!$B$37</f>
        <v/>
      </c>
      <c r="P5436">
        <f>IF(N5436&gt;0,O5436/N5436,0)</f>
        <v/>
      </c>
      <c r="Q5436">
        <f>IF(C5436=1,P5436*$J$382,Assumptions!$B$41)</f>
        <v/>
      </c>
      <c r="R5436">
        <f>IF(D5436=1,P5436*$F$382,Assumptions!$B$33)</f>
        <v/>
      </c>
      <c r="S5436">
        <f>IF(E5436=1,P5436*$G$382,Assumptions!$B$32)</f>
        <v/>
      </c>
      <c r="T5436">
        <f>IF(F5436=1,P5436*Assumptions!$B$14,Assumptions!$B$31)</f>
        <v/>
      </c>
      <c r="U5436">
        <f>IF(G5436=1,P5436*Assumptions!$B$13,Assumptions!$B$30)</f>
        <v/>
      </c>
      <c r="V5436">
        <f>IF(H5436=1,P5436*Assumptions!$B$12,Assumptions!$B$29)</f>
        <v/>
      </c>
      <c r="W5436">
        <f>IF(I5436=1,P5436*Assumptions!$B$11,Assumptions!$B$28)</f>
        <v/>
      </c>
      <c r="X5436">
        <f>P5436*($O$382+$S$382)</f>
        <v/>
      </c>
      <c r="Y5436">
        <f>P5436*Assumptions!$B$9</f>
        <v/>
      </c>
      <c r="Z5436">
        <f>IF(M5436=1,(P5436-Assumptions!$B$37)*Assumptions!$B$153,0)</f>
        <v/>
      </c>
      <c r="AA5436">
        <f>Q5436+R5436+S5436+T5436+U5436+V5436+W5436+X5436+Y5436+Z5436</f>
        <v/>
      </c>
      <c r="AB5436" t="n">
        <v>52</v>
      </c>
      <c r="AC5436" t="n">
        <v>116</v>
      </c>
      <c r="AD5436" t="n">
        <v>20</v>
      </c>
      <c r="AE5436" t="n">
        <v>36</v>
      </c>
      <c r="AF5436" t="n">
        <v>60</v>
      </c>
      <c r="AG5436" t="n">
        <v>48</v>
      </c>
      <c r="AH5436" t="n">
        <v>54</v>
      </c>
      <c r="AI5436" t="n">
        <v>53</v>
      </c>
      <c r="AJ5436">
        <f>INDEX($Q$5384:$Q$5511,AC5436+1)</f>
        <v/>
      </c>
      <c r="AK5436">
        <f>INDEX($R$5384:$R$5511,AD5436+1)</f>
        <v/>
      </c>
      <c r="AL5436">
        <f>INDEX($S$5384:$S$5511,AE5436+1)</f>
        <v/>
      </c>
      <c r="AM5436">
        <f>INDEX($T$5384:$T$5511,AF5436+1)</f>
        <v/>
      </c>
      <c r="AN5436">
        <f>INDEX($U$5384:$U$5511,AG5436+1)</f>
        <v/>
      </c>
      <c r="AO5436">
        <f>INDEX($V$5384:$V$5511,AH5436+1)</f>
        <v/>
      </c>
      <c r="AP5436">
        <f>INDEX($W$5384:$W$5511,AI5436+1)</f>
        <v/>
      </c>
      <c r="AQ5436">
        <f>IF(Q5436&gt;=AJ5436-0.01,1,0)</f>
        <v/>
      </c>
      <c r="AR5436">
        <f>IF(R5436&gt;=AK5436-0.01,1,0)</f>
        <v/>
      </c>
      <c r="AS5436">
        <f>IF(S5436&gt;=AL5436-0.01,1,0)</f>
        <v/>
      </c>
      <c r="AT5436">
        <f>IF(T5436&gt;=AM5436-0.01,1,0)</f>
        <v/>
      </c>
      <c r="AU5436">
        <f>IF(U5436&gt;=AN5436-0.01,1,0)</f>
        <v/>
      </c>
      <c r="AV5436">
        <f>IF(V5436&gt;=AO5436-0.01,1,0)</f>
        <v/>
      </c>
      <c r="AW5436">
        <f>IF(W5436&gt;=AP5436-0.01,1,0)</f>
        <v/>
      </c>
      <c r="AX5436">
        <f>AQ5436*AR5436*AS5436*AT5436*AU5436*AV5436*AW5436</f>
        <v/>
      </c>
    </row>
    <row r="5437">
      <c r="A5437" t="inlineStr"/>
      <c r="B5437">
        <f>Assumptions!$B$60</f>
        <v/>
      </c>
      <c r="C5437" t="n">
        <v>0</v>
      </c>
      <c r="D5437" t="n">
        <v>1</v>
      </c>
      <c r="E5437" t="n">
        <v>1</v>
      </c>
      <c r="F5437" t="n">
        <v>0</v>
      </c>
      <c r="G5437" t="n">
        <v>1</v>
      </c>
      <c r="H5437" t="n">
        <v>0</v>
      </c>
      <c r="I5437" t="n">
        <v>1</v>
      </c>
      <c r="J5437">
        <f>(1-C5437)*Assumptions!$B$41+(1-D5437)*Assumptions!$B$33+(1-E5437)*Assumptions!$B$32+(1-F5437)*Assumptions!$B$31+(1-G5437)*Assumptions!$B$30+(1-H5437)*Assumptions!$B$29+(1-I5437)*Assumptions!$B$28</f>
        <v/>
      </c>
      <c r="K5437">
        <f>C5437*$J$382+D5437*$F$382+E5437*$G$382+F5437*Assumptions!$B$14+G5437*Assumptions!$B$13+H5437*Assumptions!$B$12+I5437*Assumptions!$B$11+$O$382+$S$382+Assumptions!$B$9</f>
        <v/>
      </c>
      <c r="L5437">
        <f>B5437-J5437</f>
        <v/>
      </c>
      <c r="M5437">
        <f>IF(K5437&gt;0,IF(L5437/K5437&gt;=Assumptions!$B$37,1,0),0)</f>
        <v/>
      </c>
      <c r="N5437">
        <f>K5437+M5437*Assumptions!$B$153</f>
        <v/>
      </c>
      <c r="O5437">
        <f>L5437+M5437*Assumptions!$B$153*Assumptions!$B$37</f>
        <v/>
      </c>
      <c r="P5437">
        <f>IF(N5437&gt;0,O5437/N5437,0)</f>
        <v/>
      </c>
      <c r="Q5437">
        <f>IF(C5437=1,P5437*$J$382,Assumptions!$B$41)</f>
        <v/>
      </c>
      <c r="R5437">
        <f>IF(D5437=1,P5437*$F$382,Assumptions!$B$33)</f>
        <v/>
      </c>
      <c r="S5437">
        <f>IF(E5437=1,P5437*$G$382,Assumptions!$B$32)</f>
        <v/>
      </c>
      <c r="T5437">
        <f>IF(F5437=1,P5437*Assumptions!$B$14,Assumptions!$B$31)</f>
        <v/>
      </c>
      <c r="U5437">
        <f>IF(G5437=1,P5437*Assumptions!$B$13,Assumptions!$B$30)</f>
        <v/>
      </c>
      <c r="V5437">
        <f>IF(H5437=1,P5437*Assumptions!$B$12,Assumptions!$B$29)</f>
        <v/>
      </c>
      <c r="W5437">
        <f>IF(I5437=1,P5437*Assumptions!$B$11,Assumptions!$B$28)</f>
        <v/>
      </c>
      <c r="X5437">
        <f>P5437*($O$382+$S$382)</f>
        <v/>
      </c>
      <c r="Y5437">
        <f>P5437*Assumptions!$B$9</f>
        <v/>
      </c>
      <c r="Z5437">
        <f>IF(M5437=1,(P5437-Assumptions!$B$37)*Assumptions!$B$153,0)</f>
        <v/>
      </c>
      <c r="AA5437">
        <f>Q5437+R5437+S5437+T5437+U5437+V5437+W5437+X5437+Y5437+Z5437</f>
        <v/>
      </c>
      <c r="AB5437" t="n">
        <v>53</v>
      </c>
      <c r="AC5437" t="n">
        <v>117</v>
      </c>
      <c r="AD5437" t="n">
        <v>21</v>
      </c>
      <c r="AE5437" t="n">
        <v>37</v>
      </c>
      <c r="AF5437" t="n">
        <v>61</v>
      </c>
      <c r="AG5437" t="n">
        <v>49</v>
      </c>
      <c r="AH5437" t="n">
        <v>55</v>
      </c>
      <c r="AI5437" t="n">
        <v>52</v>
      </c>
      <c r="AJ5437">
        <f>INDEX($Q$5384:$Q$5511,AC5437+1)</f>
        <v/>
      </c>
      <c r="AK5437">
        <f>INDEX($R$5384:$R$5511,AD5437+1)</f>
        <v/>
      </c>
      <c r="AL5437">
        <f>INDEX($S$5384:$S$5511,AE5437+1)</f>
        <v/>
      </c>
      <c r="AM5437">
        <f>INDEX($T$5384:$T$5511,AF5437+1)</f>
        <v/>
      </c>
      <c r="AN5437">
        <f>INDEX($U$5384:$U$5511,AG5437+1)</f>
        <v/>
      </c>
      <c r="AO5437">
        <f>INDEX($V$5384:$V$5511,AH5437+1)</f>
        <v/>
      </c>
      <c r="AP5437">
        <f>INDEX($W$5384:$W$5511,AI5437+1)</f>
        <v/>
      </c>
      <c r="AQ5437">
        <f>IF(Q5437&gt;=AJ5437-0.01,1,0)</f>
        <v/>
      </c>
      <c r="AR5437">
        <f>IF(R5437&gt;=AK5437-0.01,1,0)</f>
        <v/>
      </c>
      <c r="AS5437">
        <f>IF(S5437&gt;=AL5437-0.01,1,0)</f>
        <v/>
      </c>
      <c r="AT5437">
        <f>IF(T5437&gt;=AM5437-0.01,1,0)</f>
        <v/>
      </c>
      <c r="AU5437">
        <f>IF(U5437&gt;=AN5437-0.01,1,0)</f>
        <v/>
      </c>
      <c r="AV5437">
        <f>IF(V5437&gt;=AO5437-0.01,1,0)</f>
        <v/>
      </c>
      <c r="AW5437">
        <f>IF(W5437&gt;=AP5437-0.01,1,0)</f>
        <v/>
      </c>
      <c r="AX5437">
        <f>AQ5437*AR5437*AS5437*AT5437*AU5437*AV5437*AW5437</f>
        <v/>
      </c>
    </row>
    <row r="5438">
      <c r="A5438" t="inlineStr"/>
      <c r="B5438">
        <f>Assumptions!$B$60</f>
        <v/>
      </c>
      <c r="C5438" t="n">
        <v>0</v>
      </c>
      <c r="D5438" t="n">
        <v>1</v>
      </c>
      <c r="E5438" t="n">
        <v>1</v>
      </c>
      <c r="F5438" t="n">
        <v>0</v>
      </c>
      <c r="G5438" t="n">
        <v>1</v>
      </c>
      <c r="H5438" t="n">
        <v>1</v>
      </c>
      <c r="I5438" t="n">
        <v>0</v>
      </c>
      <c r="J5438">
        <f>(1-C5438)*Assumptions!$B$41+(1-D5438)*Assumptions!$B$33+(1-E5438)*Assumptions!$B$32+(1-F5438)*Assumptions!$B$31+(1-G5438)*Assumptions!$B$30+(1-H5438)*Assumptions!$B$29+(1-I5438)*Assumptions!$B$28</f>
        <v/>
      </c>
      <c r="K5438">
        <f>C5438*$J$382+D5438*$F$382+E5438*$G$382+F5438*Assumptions!$B$14+G5438*Assumptions!$B$13+H5438*Assumptions!$B$12+I5438*Assumptions!$B$11+$O$382+$S$382+Assumptions!$B$9</f>
        <v/>
      </c>
      <c r="L5438">
        <f>B5438-J5438</f>
        <v/>
      </c>
      <c r="M5438">
        <f>IF(K5438&gt;0,IF(L5438/K5438&gt;=Assumptions!$B$37,1,0),0)</f>
        <v/>
      </c>
      <c r="N5438">
        <f>K5438+M5438*Assumptions!$B$153</f>
        <v/>
      </c>
      <c r="O5438">
        <f>L5438+M5438*Assumptions!$B$153*Assumptions!$B$37</f>
        <v/>
      </c>
      <c r="P5438">
        <f>IF(N5438&gt;0,O5438/N5438,0)</f>
        <v/>
      </c>
      <c r="Q5438">
        <f>IF(C5438=1,P5438*$J$382,Assumptions!$B$41)</f>
        <v/>
      </c>
      <c r="R5438">
        <f>IF(D5438=1,P5438*$F$382,Assumptions!$B$33)</f>
        <v/>
      </c>
      <c r="S5438">
        <f>IF(E5438=1,P5438*$G$382,Assumptions!$B$32)</f>
        <v/>
      </c>
      <c r="T5438">
        <f>IF(F5438=1,P5438*Assumptions!$B$14,Assumptions!$B$31)</f>
        <v/>
      </c>
      <c r="U5438">
        <f>IF(G5438=1,P5438*Assumptions!$B$13,Assumptions!$B$30)</f>
        <v/>
      </c>
      <c r="V5438">
        <f>IF(H5438=1,P5438*Assumptions!$B$12,Assumptions!$B$29)</f>
        <v/>
      </c>
      <c r="W5438">
        <f>IF(I5438=1,P5438*Assumptions!$B$11,Assumptions!$B$28)</f>
        <v/>
      </c>
      <c r="X5438">
        <f>P5438*($O$382+$S$382)</f>
        <v/>
      </c>
      <c r="Y5438">
        <f>P5438*Assumptions!$B$9</f>
        <v/>
      </c>
      <c r="Z5438">
        <f>IF(M5438=1,(P5438-Assumptions!$B$37)*Assumptions!$B$153,0)</f>
        <v/>
      </c>
      <c r="AA5438">
        <f>Q5438+R5438+S5438+T5438+U5438+V5438+W5438+X5438+Y5438+Z5438</f>
        <v/>
      </c>
      <c r="AB5438" t="n">
        <v>54</v>
      </c>
      <c r="AC5438" t="n">
        <v>118</v>
      </c>
      <c r="AD5438" t="n">
        <v>22</v>
      </c>
      <c r="AE5438" t="n">
        <v>38</v>
      </c>
      <c r="AF5438" t="n">
        <v>62</v>
      </c>
      <c r="AG5438" t="n">
        <v>50</v>
      </c>
      <c r="AH5438" t="n">
        <v>52</v>
      </c>
      <c r="AI5438" t="n">
        <v>55</v>
      </c>
      <c r="AJ5438">
        <f>INDEX($Q$5384:$Q$5511,AC5438+1)</f>
        <v/>
      </c>
      <c r="AK5438">
        <f>INDEX($R$5384:$R$5511,AD5438+1)</f>
        <v/>
      </c>
      <c r="AL5438">
        <f>INDEX($S$5384:$S$5511,AE5438+1)</f>
        <v/>
      </c>
      <c r="AM5438">
        <f>INDEX($T$5384:$T$5511,AF5438+1)</f>
        <v/>
      </c>
      <c r="AN5438">
        <f>INDEX($U$5384:$U$5511,AG5438+1)</f>
        <v/>
      </c>
      <c r="AO5438">
        <f>INDEX($V$5384:$V$5511,AH5438+1)</f>
        <v/>
      </c>
      <c r="AP5438">
        <f>INDEX($W$5384:$W$5511,AI5438+1)</f>
        <v/>
      </c>
      <c r="AQ5438">
        <f>IF(Q5438&gt;=AJ5438-0.01,1,0)</f>
        <v/>
      </c>
      <c r="AR5438">
        <f>IF(R5438&gt;=AK5438-0.01,1,0)</f>
        <v/>
      </c>
      <c r="AS5438">
        <f>IF(S5438&gt;=AL5438-0.01,1,0)</f>
        <v/>
      </c>
      <c r="AT5438">
        <f>IF(T5438&gt;=AM5438-0.01,1,0)</f>
        <v/>
      </c>
      <c r="AU5438">
        <f>IF(U5438&gt;=AN5438-0.01,1,0)</f>
        <v/>
      </c>
      <c r="AV5438">
        <f>IF(V5438&gt;=AO5438-0.01,1,0)</f>
        <v/>
      </c>
      <c r="AW5438">
        <f>IF(W5438&gt;=AP5438-0.01,1,0)</f>
        <v/>
      </c>
      <c r="AX5438">
        <f>AQ5438*AR5438*AS5438*AT5438*AU5438*AV5438*AW5438</f>
        <v/>
      </c>
    </row>
    <row r="5439">
      <c r="A5439" t="inlineStr"/>
      <c r="B5439">
        <f>Assumptions!$B$60</f>
        <v/>
      </c>
      <c r="C5439" t="n">
        <v>0</v>
      </c>
      <c r="D5439" t="n">
        <v>1</v>
      </c>
      <c r="E5439" t="n">
        <v>1</v>
      </c>
      <c r="F5439" t="n">
        <v>0</v>
      </c>
      <c r="G5439" t="n">
        <v>1</v>
      </c>
      <c r="H5439" t="n">
        <v>1</v>
      </c>
      <c r="I5439" t="n">
        <v>1</v>
      </c>
      <c r="J5439">
        <f>(1-C5439)*Assumptions!$B$41+(1-D5439)*Assumptions!$B$33+(1-E5439)*Assumptions!$B$32+(1-F5439)*Assumptions!$B$31+(1-G5439)*Assumptions!$B$30+(1-H5439)*Assumptions!$B$29+(1-I5439)*Assumptions!$B$28</f>
        <v/>
      </c>
      <c r="K5439">
        <f>C5439*$J$382+D5439*$F$382+E5439*$G$382+F5439*Assumptions!$B$14+G5439*Assumptions!$B$13+H5439*Assumptions!$B$12+I5439*Assumptions!$B$11+$O$382+$S$382+Assumptions!$B$9</f>
        <v/>
      </c>
      <c r="L5439">
        <f>B5439-J5439</f>
        <v/>
      </c>
      <c r="M5439">
        <f>IF(K5439&gt;0,IF(L5439/K5439&gt;=Assumptions!$B$37,1,0),0)</f>
        <v/>
      </c>
      <c r="N5439">
        <f>K5439+M5439*Assumptions!$B$153</f>
        <v/>
      </c>
      <c r="O5439">
        <f>L5439+M5439*Assumptions!$B$153*Assumptions!$B$37</f>
        <v/>
      </c>
      <c r="P5439">
        <f>IF(N5439&gt;0,O5439/N5439,0)</f>
        <v/>
      </c>
      <c r="Q5439">
        <f>IF(C5439=1,P5439*$J$382,Assumptions!$B$41)</f>
        <v/>
      </c>
      <c r="R5439">
        <f>IF(D5439=1,P5439*$F$382,Assumptions!$B$33)</f>
        <v/>
      </c>
      <c r="S5439">
        <f>IF(E5439=1,P5439*$G$382,Assumptions!$B$32)</f>
        <v/>
      </c>
      <c r="T5439">
        <f>IF(F5439=1,P5439*Assumptions!$B$14,Assumptions!$B$31)</f>
        <v/>
      </c>
      <c r="U5439">
        <f>IF(G5439=1,P5439*Assumptions!$B$13,Assumptions!$B$30)</f>
        <v/>
      </c>
      <c r="V5439">
        <f>IF(H5439=1,P5439*Assumptions!$B$12,Assumptions!$B$29)</f>
        <v/>
      </c>
      <c r="W5439">
        <f>IF(I5439=1,P5439*Assumptions!$B$11,Assumptions!$B$28)</f>
        <v/>
      </c>
      <c r="X5439">
        <f>P5439*($O$382+$S$382)</f>
        <v/>
      </c>
      <c r="Y5439">
        <f>P5439*Assumptions!$B$9</f>
        <v/>
      </c>
      <c r="Z5439">
        <f>IF(M5439=1,(P5439-Assumptions!$B$37)*Assumptions!$B$153,0)</f>
        <v/>
      </c>
      <c r="AA5439">
        <f>Q5439+R5439+S5439+T5439+U5439+V5439+W5439+X5439+Y5439+Z5439</f>
        <v/>
      </c>
      <c r="AB5439" t="n">
        <v>55</v>
      </c>
      <c r="AC5439" t="n">
        <v>119</v>
      </c>
      <c r="AD5439" t="n">
        <v>23</v>
      </c>
      <c r="AE5439" t="n">
        <v>39</v>
      </c>
      <c r="AF5439" t="n">
        <v>63</v>
      </c>
      <c r="AG5439" t="n">
        <v>51</v>
      </c>
      <c r="AH5439" t="n">
        <v>53</v>
      </c>
      <c r="AI5439" t="n">
        <v>54</v>
      </c>
      <c r="AJ5439">
        <f>INDEX($Q$5384:$Q$5511,AC5439+1)</f>
        <v/>
      </c>
      <c r="AK5439">
        <f>INDEX($R$5384:$R$5511,AD5439+1)</f>
        <v/>
      </c>
      <c r="AL5439">
        <f>INDEX($S$5384:$S$5511,AE5439+1)</f>
        <v/>
      </c>
      <c r="AM5439">
        <f>INDEX($T$5384:$T$5511,AF5439+1)</f>
        <v/>
      </c>
      <c r="AN5439">
        <f>INDEX($U$5384:$U$5511,AG5439+1)</f>
        <v/>
      </c>
      <c r="AO5439">
        <f>INDEX($V$5384:$V$5511,AH5439+1)</f>
        <v/>
      </c>
      <c r="AP5439">
        <f>INDEX($W$5384:$W$5511,AI5439+1)</f>
        <v/>
      </c>
      <c r="AQ5439">
        <f>IF(Q5439&gt;=AJ5439-0.01,1,0)</f>
        <v/>
      </c>
      <c r="AR5439">
        <f>IF(R5439&gt;=AK5439-0.01,1,0)</f>
        <v/>
      </c>
      <c r="AS5439">
        <f>IF(S5439&gt;=AL5439-0.01,1,0)</f>
        <v/>
      </c>
      <c r="AT5439">
        <f>IF(T5439&gt;=AM5439-0.01,1,0)</f>
        <v/>
      </c>
      <c r="AU5439">
        <f>IF(U5439&gt;=AN5439-0.01,1,0)</f>
        <v/>
      </c>
      <c r="AV5439">
        <f>IF(V5439&gt;=AO5439-0.01,1,0)</f>
        <v/>
      </c>
      <c r="AW5439">
        <f>IF(W5439&gt;=AP5439-0.01,1,0)</f>
        <v/>
      </c>
      <c r="AX5439">
        <f>AQ5439*AR5439*AS5439*AT5439*AU5439*AV5439*AW5439</f>
        <v/>
      </c>
    </row>
    <row r="5440">
      <c r="A5440" t="inlineStr"/>
      <c r="B5440">
        <f>Assumptions!$B$60</f>
        <v/>
      </c>
      <c r="C5440" t="n">
        <v>0</v>
      </c>
      <c r="D5440" t="n">
        <v>1</v>
      </c>
      <c r="E5440" t="n">
        <v>1</v>
      </c>
      <c r="F5440" t="n">
        <v>1</v>
      </c>
      <c r="G5440" t="n">
        <v>0</v>
      </c>
      <c r="H5440" t="n">
        <v>0</v>
      </c>
      <c r="I5440" t="n">
        <v>0</v>
      </c>
      <c r="J5440">
        <f>(1-C5440)*Assumptions!$B$41+(1-D5440)*Assumptions!$B$33+(1-E5440)*Assumptions!$B$32+(1-F5440)*Assumptions!$B$31+(1-G5440)*Assumptions!$B$30+(1-H5440)*Assumptions!$B$29+(1-I5440)*Assumptions!$B$28</f>
        <v/>
      </c>
      <c r="K5440">
        <f>C5440*$J$382+D5440*$F$382+E5440*$G$382+F5440*Assumptions!$B$14+G5440*Assumptions!$B$13+H5440*Assumptions!$B$12+I5440*Assumptions!$B$11+$O$382+$S$382+Assumptions!$B$9</f>
        <v/>
      </c>
      <c r="L5440">
        <f>B5440-J5440</f>
        <v/>
      </c>
      <c r="M5440">
        <f>IF(K5440&gt;0,IF(L5440/K5440&gt;=Assumptions!$B$37,1,0),0)</f>
        <v/>
      </c>
      <c r="N5440">
        <f>K5440+M5440*Assumptions!$B$153</f>
        <v/>
      </c>
      <c r="O5440">
        <f>L5440+M5440*Assumptions!$B$153*Assumptions!$B$37</f>
        <v/>
      </c>
      <c r="P5440">
        <f>IF(N5440&gt;0,O5440/N5440,0)</f>
        <v/>
      </c>
      <c r="Q5440">
        <f>IF(C5440=1,P5440*$J$382,Assumptions!$B$41)</f>
        <v/>
      </c>
      <c r="R5440">
        <f>IF(D5440=1,P5440*$F$382,Assumptions!$B$33)</f>
        <v/>
      </c>
      <c r="S5440">
        <f>IF(E5440=1,P5440*$G$382,Assumptions!$B$32)</f>
        <v/>
      </c>
      <c r="T5440">
        <f>IF(F5440=1,P5440*Assumptions!$B$14,Assumptions!$B$31)</f>
        <v/>
      </c>
      <c r="U5440">
        <f>IF(G5440=1,P5440*Assumptions!$B$13,Assumptions!$B$30)</f>
        <v/>
      </c>
      <c r="V5440">
        <f>IF(H5440=1,P5440*Assumptions!$B$12,Assumptions!$B$29)</f>
        <v/>
      </c>
      <c r="W5440">
        <f>IF(I5440=1,P5440*Assumptions!$B$11,Assumptions!$B$28)</f>
        <v/>
      </c>
      <c r="X5440">
        <f>P5440*($O$382+$S$382)</f>
        <v/>
      </c>
      <c r="Y5440">
        <f>P5440*Assumptions!$B$9</f>
        <v/>
      </c>
      <c r="Z5440">
        <f>IF(M5440=1,(P5440-Assumptions!$B$37)*Assumptions!$B$153,0)</f>
        <v/>
      </c>
      <c r="AA5440">
        <f>Q5440+R5440+S5440+T5440+U5440+V5440+W5440+X5440+Y5440+Z5440</f>
        <v/>
      </c>
      <c r="AB5440" t="n">
        <v>56</v>
      </c>
      <c r="AC5440" t="n">
        <v>120</v>
      </c>
      <c r="AD5440" t="n">
        <v>24</v>
      </c>
      <c r="AE5440" t="n">
        <v>40</v>
      </c>
      <c r="AF5440" t="n">
        <v>48</v>
      </c>
      <c r="AG5440" t="n">
        <v>60</v>
      </c>
      <c r="AH5440" t="n">
        <v>58</v>
      </c>
      <c r="AI5440" t="n">
        <v>57</v>
      </c>
      <c r="AJ5440">
        <f>INDEX($Q$5384:$Q$5511,AC5440+1)</f>
        <v/>
      </c>
      <c r="AK5440">
        <f>INDEX($R$5384:$R$5511,AD5440+1)</f>
        <v/>
      </c>
      <c r="AL5440">
        <f>INDEX($S$5384:$S$5511,AE5440+1)</f>
        <v/>
      </c>
      <c r="AM5440">
        <f>INDEX($T$5384:$T$5511,AF5440+1)</f>
        <v/>
      </c>
      <c r="AN5440">
        <f>INDEX($U$5384:$U$5511,AG5440+1)</f>
        <v/>
      </c>
      <c r="AO5440">
        <f>INDEX($V$5384:$V$5511,AH5440+1)</f>
        <v/>
      </c>
      <c r="AP5440">
        <f>INDEX($W$5384:$W$5511,AI5440+1)</f>
        <v/>
      </c>
      <c r="AQ5440">
        <f>IF(Q5440&gt;=AJ5440-0.01,1,0)</f>
        <v/>
      </c>
      <c r="AR5440">
        <f>IF(R5440&gt;=AK5440-0.01,1,0)</f>
        <v/>
      </c>
      <c r="AS5440">
        <f>IF(S5440&gt;=AL5440-0.01,1,0)</f>
        <v/>
      </c>
      <c r="AT5440">
        <f>IF(T5440&gt;=AM5440-0.01,1,0)</f>
        <v/>
      </c>
      <c r="AU5440">
        <f>IF(U5440&gt;=AN5440-0.01,1,0)</f>
        <v/>
      </c>
      <c r="AV5440">
        <f>IF(V5440&gt;=AO5440-0.01,1,0)</f>
        <v/>
      </c>
      <c r="AW5440">
        <f>IF(W5440&gt;=AP5440-0.01,1,0)</f>
        <v/>
      </c>
      <c r="AX5440">
        <f>AQ5440*AR5440*AS5440*AT5440*AU5440*AV5440*AW5440</f>
        <v/>
      </c>
    </row>
    <row r="5441">
      <c r="A5441" t="inlineStr"/>
      <c r="B5441">
        <f>Assumptions!$B$60</f>
        <v/>
      </c>
      <c r="C5441" t="n">
        <v>0</v>
      </c>
      <c r="D5441" t="n">
        <v>1</v>
      </c>
      <c r="E5441" t="n">
        <v>1</v>
      </c>
      <c r="F5441" t="n">
        <v>1</v>
      </c>
      <c r="G5441" t="n">
        <v>0</v>
      </c>
      <c r="H5441" t="n">
        <v>0</v>
      </c>
      <c r="I5441" t="n">
        <v>1</v>
      </c>
      <c r="J5441">
        <f>(1-C5441)*Assumptions!$B$41+(1-D5441)*Assumptions!$B$33+(1-E5441)*Assumptions!$B$32+(1-F5441)*Assumptions!$B$31+(1-G5441)*Assumptions!$B$30+(1-H5441)*Assumptions!$B$29+(1-I5441)*Assumptions!$B$28</f>
        <v/>
      </c>
      <c r="K5441">
        <f>C5441*$J$382+D5441*$F$382+E5441*$G$382+F5441*Assumptions!$B$14+G5441*Assumptions!$B$13+H5441*Assumptions!$B$12+I5441*Assumptions!$B$11+$O$382+$S$382+Assumptions!$B$9</f>
        <v/>
      </c>
      <c r="L5441">
        <f>B5441-J5441</f>
        <v/>
      </c>
      <c r="M5441">
        <f>IF(K5441&gt;0,IF(L5441/K5441&gt;=Assumptions!$B$37,1,0),0)</f>
        <v/>
      </c>
      <c r="N5441">
        <f>K5441+M5441*Assumptions!$B$153</f>
        <v/>
      </c>
      <c r="O5441">
        <f>L5441+M5441*Assumptions!$B$153*Assumptions!$B$37</f>
        <v/>
      </c>
      <c r="P5441">
        <f>IF(N5441&gt;0,O5441/N5441,0)</f>
        <v/>
      </c>
      <c r="Q5441">
        <f>IF(C5441=1,P5441*$J$382,Assumptions!$B$41)</f>
        <v/>
      </c>
      <c r="R5441">
        <f>IF(D5441=1,P5441*$F$382,Assumptions!$B$33)</f>
        <v/>
      </c>
      <c r="S5441">
        <f>IF(E5441=1,P5441*$G$382,Assumptions!$B$32)</f>
        <v/>
      </c>
      <c r="T5441">
        <f>IF(F5441=1,P5441*Assumptions!$B$14,Assumptions!$B$31)</f>
        <v/>
      </c>
      <c r="U5441">
        <f>IF(G5441=1,P5441*Assumptions!$B$13,Assumptions!$B$30)</f>
        <v/>
      </c>
      <c r="V5441">
        <f>IF(H5441=1,P5441*Assumptions!$B$12,Assumptions!$B$29)</f>
        <v/>
      </c>
      <c r="W5441">
        <f>IF(I5441=1,P5441*Assumptions!$B$11,Assumptions!$B$28)</f>
        <v/>
      </c>
      <c r="X5441">
        <f>P5441*($O$382+$S$382)</f>
        <v/>
      </c>
      <c r="Y5441">
        <f>P5441*Assumptions!$B$9</f>
        <v/>
      </c>
      <c r="Z5441">
        <f>IF(M5441=1,(P5441-Assumptions!$B$37)*Assumptions!$B$153,0)</f>
        <v/>
      </c>
      <c r="AA5441">
        <f>Q5441+R5441+S5441+T5441+U5441+V5441+W5441+X5441+Y5441+Z5441</f>
        <v/>
      </c>
      <c r="AB5441" t="n">
        <v>57</v>
      </c>
      <c r="AC5441" t="n">
        <v>121</v>
      </c>
      <c r="AD5441" t="n">
        <v>25</v>
      </c>
      <c r="AE5441" t="n">
        <v>41</v>
      </c>
      <c r="AF5441" t="n">
        <v>49</v>
      </c>
      <c r="AG5441" t="n">
        <v>61</v>
      </c>
      <c r="AH5441" t="n">
        <v>59</v>
      </c>
      <c r="AI5441" t="n">
        <v>56</v>
      </c>
      <c r="AJ5441">
        <f>INDEX($Q$5384:$Q$5511,AC5441+1)</f>
        <v/>
      </c>
      <c r="AK5441">
        <f>INDEX($R$5384:$R$5511,AD5441+1)</f>
        <v/>
      </c>
      <c r="AL5441">
        <f>INDEX($S$5384:$S$5511,AE5441+1)</f>
        <v/>
      </c>
      <c r="AM5441">
        <f>INDEX($T$5384:$T$5511,AF5441+1)</f>
        <v/>
      </c>
      <c r="AN5441">
        <f>INDEX($U$5384:$U$5511,AG5441+1)</f>
        <v/>
      </c>
      <c r="AO5441">
        <f>INDEX($V$5384:$V$5511,AH5441+1)</f>
        <v/>
      </c>
      <c r="AP5441">
        <f>INDEX($W$5384:$W$5511,AI5441+1)</f>
        <v/>
      </c>
      <c r="AQ5441">
        <f>IF(Q5441&gt;=AJ5441-0.01,1,0)</f>
        <v/>
      </c>
      <c r="AR5441">
        <f>IF(R5441&gt;=AK5441-0.01,1,0)</f>
        <v/>
      </c>
      <c r="AS5441">
        <f>IF(S5441&gt;=AL5441-0.01,1,0)</f>
        <v/>
      </c>
      <c r="AT5441">
        <f>IF(T5441&gt;=AM5441-0.01,1,0)</f>
        <v/>
      </c>
      <c r="AU5441">
        <f>IF(U5441&gt;=AN5441-0.01,1,0)</f>
        <v/>
      </c>
      <c r="AV5441">
        <f>IF(V5441&gt;=AO5441-0.01,1,0)</f>
        <v/>
      </c>
      <c r="AW5441">
        <f>IF(W5441&gt;=AP5441-0.01,1,0)</f>
        <v/>
      </c>
      <c r="AX5441">
        <f>AQ5441*AR5441*AS5441*AT5441*AU5441*AV5441*AW5441</f>
        <v/>
      </c>
    </row>
    <row r="5442">
      <c r="A5442" t="inlineStr"/>
      <c r="B5442">
        <f>Assumptions!$B$60</f>
        <v/>
      </c>
      <c r="C5442" t="n">
        <v>0</v>
      </c>
      <c r="D5442" t="n">
        <v>1</v>
      </c>
      <c r="E5442" t="n">
        <v>1</v>
      </c>
      <c r="F5442" t="n">
        <v>1</v>
      </c>
      <c r="G5442" t="n">
        <v>0</v>
      </c>
      <c r="H5442" t="n">
        <v>1</v>
      </c>
      <c r="I5442" t="n">
        <v>0</v>
      </c>
      <c r="J5442">
        <f>(1-C5442)*Assumptions!$B$41+(1-D5442)*Assumptions!$B$33+(1-E5442)*Assumptions!$B$32+(1-F5442)*Assumptions!$B$31+(1-G5442)*Assumptions!$B$30+(1-H5442)*Assumptions!$B$29+(1-I5442)*Assumptions!$B$28</f>
        <v/>
      </c>
      <c r="K5442">
        <f>C5442*$J$382+D5442*$F$382+E5442*$G$382+F5442*Assumptions!$B$14+G5442*Assumptions!$B$13+H5442*Assumptions!$B$12+I5442*Assumptions!$B$11+$O$382+$S$382+Assumptions!$B$9</f>
        <v/>
      </c>
      <c r="L5442">
        <f>B5442-J5442</f>
        <v/>
      </c>
      <c r="M5442">
        <f>IF(K5442&gt;0,IF(L5442/K5442&gt;=Assumptions!$B$37,1,0),0)</f>
        <v/>
      </c>
      <c r="N5442">
        <f>K5442+M5442*Assumptions!$B$153</f>
        <v/>
      </c>
      <c r="O5442">
        <f>L5442+M5442*Assumptions!$B$153*Assumptions!$B$37</f>
        <v/>
      </c>
      <c r="P5442">
        <f>IF(N5442&gt;0,O5442/N5442,0)</f>
        <v/>
      </c>
      <c r="Q5442">
        <f>IF(C5442=1,P5442*$J$382,Assumptions!$B$41)</f>
        <v/>
      </c>
      <c r="R5442">
        <f>IF(D5442=1,P5442*$F$382,Assumptions!$B$33)</f>
        <v/>
      </c>
      <c r="S5442">
        <f>IF(E5442=1,P5442*$G$382,Assumptions!$B$32)</f>
        <v/>
      </c>
      <c r="T5442">
        <f>IF(F5442=1,P5442*Assumptions!$B$14,Assumptions!$B$31)</f>
        <v/>
      </c>
      <c r="U5442">
        <f>IF(G5442=1,P5442*Assumptions!$B$13,Assumptions!$B$30)</f>
        <v/>
      </c>
      <c r="V5442">
        <f>IF(H5442=1,P5442*Assumptions!$B$12,Assumptions!$B$29)</f>
        <v/>
      </c>
      <c r="W5442">
        <f>IF(I5442=1,P5442*Assumptions!$B$11,Assumptions!$B$28)</f>
        <v/>
      </c>
      <c r="X5442">
        <f>P5442*($O$382+$S$382)</f>
        <v/>
      </c>
      <c r="Y5442">
        <f>P5442*Assumptions!$B$9</f>
        <v/>
      </c>
      <c r="Z5442">
        <f>IF(M5442=1,(P5442-Assumptions!$B$37)*Assumptions!$B$153,0)</f>
        <v/>
      </c>
      <c r="AA5442">
        <f>Q5442+R5442+S5442+T5442+U5442+V5442+W5442+X5442+Y5442+Z5442</f>
        <v/>
      </c>
      <c r="AB5442" t="n">
        <v>58</v>
      </c>
      <c r="AC5442" t="n">
        <v>122</v>
      </c>
      <c r="AD5442" t="n">
        <v>26</v>
      </c>
      <c r="AE5442" t="n">
        <v>42</v>
      </c>
      <c r="AF5442" t="n">
        <v>50</v>
      </c>
      <c r="AG5442" t="n">
        <v>62</v>
      </c>
      <c r="AH5442" t="n">
        <v>56</v>
      </c>
      <c r="AI5442" t="n">
        <v>59</v>
      </c>
      <c r="AJ5442">
        <f>INDEX($Q$5384:$Q$5511,AC5442+1)</f>
        <v/>
      </c>
      <c r="AK5442">
        <f>INDEX($R$5384:$R$5511,AD5442+1)</f>
        <v/>
      </c>
      <c r="AL5442">
        <f>INDEX($S$5384:$S$5511,AE5442+1)</f>
        <v/>
      </c>
      <c r="AM5442">
        <f>INDEX($T$5384:$T$5511,AF5442+1)</f>
        <v/>
      </c>
      <c r="AN5442">
        <f>INDEX($U$5384:$U$5511,AG5442+1)</f>
        <v/>
      </c>
      <c r="AO5442">
        <f>INDEX($V$5384:$V$5511,AH5442+1)</f>
        <v/>
      </c>
      <c r="AP5442">
        <f>INDEX($W$5384:$W$5511,AI5442+1)</f>
        <v/>
      </c>
      <c r="AQ5442">
        <f>IF(Q5442&gt;=AJ5442-0.01,1,0)</f>
        <v/>
      </c>
      <c r="AR5442">
        <f>IF(R5442&gt;=AK5442-0.01,1,0)</f>
        <v/>
      </c>
      <c r="AS5442">
        <f>IF(S5442&gt;=AL5442-0.01,1,0)</f>
        <v/>
      </c>
      <c r="AT5442">
        <f>IF(T5442&gt;=AM5442-0.01,1,0)</f>
        <v/>
      </c>
      <c r="AU5442">
        <f>IF(U5442&gt;=AN5442-0.01,1,0)</f>
        <v/>
      </c>
      <c r="AV5442">
        <f>IF(V5442&gt;=AO5442-0.01,1,0)</f>
        <v/>
      </c>
      <c r="AW5442">
        <f>IF(W5442&gt;=AP5442-0.01,1,0)</f>
        <v/>
      </c>
      <c r="AX5442">
        <f>AQ5442*AR5442*AS5442*AT5442*AU5442*AV5442*AW5442</f>
        <v/>
      </c>
    </row>
    <row r="5443">
      <c r="A5443" t="inlineStr"/>
      <c r="B5443">
        <f>Assumptions!$B$60</f>
        <v/>
      </c>
      <c r="C5443" t="n">
        <v>0</v>
      </c>
      <c r="D5443" t="n">
        <v>1</v>
      </c>
      <c r="E5443" t="n">
        <v>1</v>
      </c>
      <c r="F5443" t="n">
        <v>1</v>
      </c>
      <c r="G5443" t="n">
        <v>0</v>
      </c>
      <c r="H5443" t="n">
        <v>1</v>
      </c>
      <c r="I5443" t="n">
        <v>1</v>
      </c>
      <c r="J5443">
        <f>(1-C5443)*Assumptions!$B$41+(1-D5443)*Assumptions!$B$33+(1-E5443)*Assumptions!$B$32+(1-F5443)*Assumptions!$B$31+(1-G5443)*Assumptions!$B$30+(1-H5443)*Assumptions!$B$29+(1-I5443)*Assumptions!$B$28</f>
        <v/>
      </c>
      <c r="K5443">
        <f>C5443*$J$382+D5443*$F$382+E5443*$G$382+F5443*Assumptions!$B$14+G5443*Assumptions!$B$13+H5443*Assumptions!$B$12+I5443*Assumptions!$B$11+$O$382+$S$382+Assumptions!$B$9</f>
        <v/>
      </c>
      <c r="L5443">
        <f>B5443-J5443</f>
        <v/>
      </c>
      <c r="M5443">
        <f>IF(K5443&gt;0,IF(L5443/K5443&gt;=Assumptions!$B$37,1,0),0)</f>
        <v/>
      </c>
      <c r="N5443">
        <f>K5443+M5443*Assumptions!$B$153</f>
        <v/>
      </c>
      <c r="O5443">
        <f>L5443+M5443*Assumptions!$B$153*Assumptions!$B$37</f>
        <v/>
      </c>
      <c r="P5443">
        <f>IF(N5443&gt;0,O5443/N5443,0)</f>
        <v/>
      </c>
      <c r="Q5443">
        <f>IF(C5443=1,P5443*$J$382,Assumptions!$B$41)</f>
        <v/>
      </c>
      <c r="R5443">
        <f>IF(D5443=1,P5443*$F$382,Assumptions!$B$33)</f>
        <v/>
      </c>
      <c r="S5443">
        <f>IF(E5443=1,P5443*$G$382,Assumptions!$B$32)</f>
        <v/>
      </c>
      <c r="T5443">
        <f>IF(F5443=1,P5443*Assumptions!$B$14,Assumptions!$B$31)</f>
        <v/>
      </c>
      <c r="U5443">
        <f>IF(G5443=1,P5443*Assumptions!$B$13,Assumptions!$B$30)</f>
        <v/>
      </c>
      <c r="V5443">
        <f>IF(H5443=1,P5443*Assumptions!$B$12,Assumptions!$B$29)</f>
        <v/>
      </c>
      <c r="W5443">
        <f>IF(I5443=1,P5443*Assumptions!$B$11,Assumptions!$B$28)</f>
        <v/>
      </c>
      <c r="X5443">
        <f>P5443*($O$382+$S$382)</f>
        <v/>
      </c>
      <c r="Y5443">
        <f>P5443*Assumptions!$B$9</f>
        <v/>
      </c>
      <c r="Z5443">
        <f>IF(M5443=1,(P5443-Assumptions!$B$37)*Assumptions!$B$153,0)</f>
        <v/>
      </c>
      <c r="AA5443">
        <f>Q5443+R5443+S5443+T5443+U5443+V5443+W5443+X5443+Y5443+Z5443</f>
        <v/>
      </c>
      <c r="AB5443" t="n">
        <v>59</v>
      </c>
      <c r="AC5443" t="n">
        <v>123</v>
      </c>
      <c r="AD5443" t="n">
        <v>27</v>
      </c>
      <c r="AE5443" t="n">
        <v>43</v>
      </c>
      <c r="AF5443" t="n">
        <v>51</v>
      </c>
      <c r="AG5443" t="n">
        <v>63</v>
      </c>
      <c r="AH5443" t="n">
        <v>57</v>
      </c>
      <c r="AI5443" t="n">
        <v>58</v>
      </c>
      <c r="AJ5443">
        <f>INDEX($Q$5384:$Q$5511,AC5443+1)</f>
        <v/>
      </c>
      <c r="AK5443">
        <f>INDEX($R$5384:$R$5511,AD5443+1)</f>
        <v/>
      </c>
      <c r="AL5443">
        <f>INDEX($S$5384:$S$5511,AE5443+1)</f>
        <v/>
      </c>
      <c r="AM5443">
        <f>INDEX($T$5384:$T$5511,AF5443+1)</f>
        <v/>
      </c>
      <c r="AN5443">
        <f>INDEX($U$5384:$U$5511,AG5443+1)</f>
        <v/>
      </c>
      <c r="AO5443">
        <f>INDEX($V$5384:$V$5511,AH5443+1)</f>
        <v/>
      </c>
      <c r="AP5443">
        <f>INDEX($W$5384:$W$5511,AI5443+1)</f>
        <v/>
      </c>
      <c r="AQ5443">
        <f>IF(Q5443&gt;=AJ5443-0.01,1,0)</f>
        <v/>
      </c>
      <c r="AR5443">
        <f>IF(R5443&gt;=AK5443-0.01,1,0)</f>
        <v/>
      </c>
      <c r="AS5443">
        <f>IF(S5443&gt;=AL5443-0.01,1,0)</f>
        <v/>
      </c>
      <c r="AT5443">
        <f>IF(T5443&gt;=AM5443-0.01,1,0)</f>
        <v/>
      </c>
      <c r="AU5443">
        <f>IF(U5443&gt;=AN5443-0.01,1,0)</f>
        <v/>
      </c>
      <c r="AV5443">
        <f>IF(V5443&gt;=AO5443-0.01,1,0)</f>
        <v/>
      </c>
      <c r="AW5443">
        <f>IF(W5443&gt;=AP5443-0.01,1,0)</f>
        <v/>
      </c>
      <c r="AX5443">
        <f>AQ5443*AR5443*AS5443*AT5443*AU5443*AV5443*AW5443</f>
        <v/>
      </c>
    </row>
    <row r="5444">
      <c r="A5444" t="inlineStr"/>
      <c r="B5444">
        <f>Assumptions!$B$60</f>
        <v/>
      </c>
      <c r="C5444" t="n">
        <v>0</v>
      </c>
      <c r="D5444" t="n">
        <v>1</v>
      </c>
      <c r="E5444" t="n">
        <v>1</v>
      </c>
      <c r="F5444" t="n">
        <v>1</v>
      </c>
      <c r="G5444" t="n">
        <v>1</v>
      </c>
      <c r="H5444" t="n">
        <v>0</v>
      </c>
      <c r="I5444" t="n">
        <v>0</v>
      </c>
      <c r="J5444">
        <f>(1-C5444)*Assumptions!$B$41+(1-D5444)*Assumptions!$B$33+(1-E5444)*Assumptions!$B$32+(1-F5444)*Assumptions!$B$31+(1-G5444)*Assumptions!$B$30+(1-H5444)*Assumptions!$B$29+(1-I5444)*Assumptions!$B$28</f>
        <v/>
      </c>
      <c r="K5444">
        <f>C5444*$J$382+D5444*$F$382+E5444*$G$382+F5444*Assumptions!$B$14+G5444*Assumptions!$B$13+H5444*Assumptions!$B$12+I5444*Assumptions!$B$11+$O$382+$S$382+Assumptions!$B$9</f>
        <v/>
      </c>
      <c r="L5444">
        <f>B5444-J5444</f>
        <v/>
      </c>
      <c r="M5444">
        <f>IF(K5444&gt;0,IF(L5444/K5444&gt;=Assumptions!$B$37,1,0),0)</f>
        <v/>
      </c>
      <c r="N5444">
        <f>K5444+M5444*Assumptions!$B$153</f>
        <v/>
      </c>
      <c r="O5444">
        <f>L5444+M5444*Assumptions!$B$153*Assumptions!$B$37</f>
        <v/>
      </c>
      <c r="P5444">
        <f>IF(N5444&gt;0,O5444/N5444,0)</f>
        <v/>
      </c>
      <c r="Q5444">
        <f>IF(C5444=1,P5444*$J$382,Assumptions!$B$41)</f>
        <v/>
      </c>
      <c r="R5444">
        <f>IF(D5444=1,P5444*$F$382,Assumptions!$B$33)</f>
        <v/>
      </c>
      <c r="S5444">
        <f>IF(E5444=1,P5444*$G$382,Assumptions!$B$32)</f>
        <v/>
      </c>
      <c r="T5444">
        <f>IF(F5444=1,P5444*Assumptions!$B$14,Assumptions!$B$31)</f>
        <v/>
      </c>
      <c r="U5444">
        <f>IF(G5444=1,P5444*Assumptions!$B$13,Assumptions!$B$30)</f>
        <v/>
      </c>
      <c r="V5444">
        <f>IF(H5444=1,P5444*Assumptions!$B$12,Assumptions!$B$29)</f>
        <v/>
      </c>
      <c r="W5444">
        <f>IF(I5444=1,P5444*Assumptions!$B$11,Assumptions!$B$28)</f>
        <v/>
      </c>
      <c r="X5444">
        <f>P5444*($O$382+$S$382)</f>
        <v/>
      </c>
      <c r="Y5444">
        <f>P5444*Assumptions!$B$9</f>
        <v/>
      </c>
      <c r="Z5444">
        <f>IF(M5444=1,(P5444-Assumptions!$B$37)*Assumptions!$B$153,0)</f>
        <v/>
      </c>
      <c r="AA5444">
        <f>Q5444+R5444+S5444+T5444+U5444+V5444+W5444+X5444+Y5444+Z5444</f>
        <v/>
      </c>
      <c r="AB5444" t="n">
        <v>60</v>
      </c>
      <c r="AC5444" t="n">
        <v>124</v>
      </c>
      <c r="AD5444" t="n">
        <v>28</v>
      </c>
      <c r="AE5444" t="n">
        <v>44</v>
      </c>
      <c r="AF5444" t="n">
        <v>52</v>
      </c>
      <c r="AG5444" t="n">
        <v>56</v>
      </c>
      <c r="AH5444" t="n">
        <v>62</v>
      </c>
      <c r="AI5444" t="n">
        <v>61</v>
      </c>
      <c r="AJ5444">
        <f>INDEX($Q$5384:$Q$5511,AC5444+1)</f>
        <v/>
      </c>
      <c r="AK5444">
        <f>INDEX($R$5384:$R$5511,AD5444+1)</f>
        <v/>
      </c>
      <c r="AL5444">
        <f>INDEX($S$5384:$S$5511,AE5444+1)</f>
        <v/>
      </c>
      <c r="AM5444">
        <f>INDEX($T$5384:$T$5511,AF5444+1)</f>
        <v/>
      </c>
      <c r="AN5444">
        <f>INDEX($U$5384:$U$5511,AG5444+1)</f>
        <v/>
      </c>
      <c r="AO5444">
        <f>INDEX($V$5384:$V$5511,AH5444+1)</f>
        <v/>
      </c>
      <c r="AP5444">
        <f>INDEX($W$5384:$W$5511,AI5444+1)</f>
        <v/>
      </c>
      <c r="AQ5444">
        <f>IF(Q5444&gt;=AJ5444-0.01,1,0)</f>
        <v/>
      </c>
      <c r="AR5444">
        <f>IF(R5444&gt;=AK5444-0.01,1,0)</f>
        <v/>
      </c>
      <c r="AS5444">
        <f>IF(S5444&gt;=AL5444-0.01,1,0)</f>
        <v/>
      </c>
      <c r="AT5444">
        <f>IF(T5444&gt;=AM5444-0.01,1,0)</f>
        <v/>
      </c>
      <c r="AU5444">
        <f>IF(U5444&gt;=AN5444-0.01,1,0)</f>
        <v/>
      </c>
      <c r="AV5444">
        <f>IF(V5444&gt;=AO5444-0.01,1,0)</f>
        <v/>
      </c>
      <c r="AW5444">
        <f>IF(W5444&gt;=AP5444-0.01,1,0)</f>
        <v/>
      </c>
      <c r="AX5444">
        <f>AQ5444*AR5444*AS5444*AT5444*AU5444*AV5444*AW5444</f>
        <v/>
      </c>
    </row>
    <row r="5445">
      <c r="A5445" t="inlineStr"/>
      <c r="B5445">
        <f>Assumptions!$B$60</f>
        <v/>
      </c>
      <c r="C5445" t="n">
        <v>0</v>
      </c>
      <c r="D5445" t="n">
        <v>1</v>
      </c>
      <c r="E5445" t="n">
        <v>1</v>
      </c>
      <c r="F5445" t="n">
        <v>1</v>
      </c>
      <c r="G5445" t="n">
        <v>1</v>
      </c>
      <c r="H5445" t="n">
        <v>0</v>
      </c>
      <c r="I5445" t="n">
        <v>1</v>
      </c>
      <c r="J5445">
        <f>(1-C5445)*Assumptions!$B$41+(1-D5445)*Assumptions!$B$33+(1-E5445)*Assumptions!$B$32+(1-F5445)*Assumptions!$B$31+(1-G5445)*Assumptions!$B$30+(1-H5445)*Assumptions!$B$29+(1-I5445)*Assumptions!$B$28</f>
        <v/>
      </c>
      <c r="K5445">
        <f>C5445*$J$382+D5445*$F$382+E5445*$G$382+F5445*Assumptions!$B$14+G5445*Assumptions!$B$13+H5445*Assumptions!$B$12+I5445*Assumptions!$B$11+$O$382+$S$382+Assumptions!$B$9</f>
        <v/>
      </c>
      <c r="L5445">
        <f>B5445-J5445</f>
        <v/>
      </c>
      <c r="M5445">
        <f>IF(K5445&gt;0,IF(L5445/K5445&gt;=Assumptions!$B$37,1,0),0)</f>
        <v/>
      </c>
      <c r="N5445">
        <f>K5445+M5445*Assumptions!$B$153</f>
        <v/>
      </c>
      <c r="O5445">
        <f>L5445+M5445*Assumptions!$B$153*Assumptions!$B$37</f>
        <v/>
      </c>
      <c r="P5445">
        <f>IF(N5445&gt;0,O5445/N5445,0)</f>
        <v/>
      </c>
      <c r="Q5445">
        <f>IF(C5445=1,P5445*$J$382,Assumptions!$B$41)</f>
        <v/>
      </c>
      <c r="R5445">
        <f>IF(D5445=1,P5445*$F$382,Assumptions!$B$33)</f>
        <v/>
      </c>
      <c r="S5445">
        <f>IF(E5445=1,P5445*$G$382,Assumptions!$B$32)</f>
        <v/>
      </c>
      <c r="T5445">
        <f>IF(F5445=1,P5445*Assumptions!$B$14,Assumptions!$B$31)</f>
        <v/>
      </c>
      <c r="U5445">
        <f>IF(G5445=1,P5445*Assumptions!$B$13,Assumptions!$B$30)</f>
        <v/>
      </c>
      <c r="V5445">
        <f>IF(H5445=1,P5445*Assumptions!$B$12,Assumptions!$B$29)</f>
        <v/>
      </c>
      <c r="W5445">
        <f>IF(I5445=1,P5445*Assumptions!$B$11,Assumptions!$B$28)</f>
        <v/>
      </c>
      <c r="X5445">
        <f>P5445*($O$382+$S$382)</f>
        <v/>
      </c>
      <c r="Y5445">
        <f>P5445*Assumptions!$B$9</f>
        <v/>
      </c>
      <c r="Z5445">
        <f>IF(M5445=1,(P5445-Assumptions!$B$37)*Assumptions!$B$153,0)</f>
        <v/>
      </c>
      <c r="AA5445">
        <f>Q5445+R5445+S5445+T5445+U5445+V5445+W5445+X5445+Y5445+Z5445</f>
        <v/>
      </c>
      <c r="AB5445" t="n">
        <v>61</v>
      </c>
      <c r="AC5445" t="n">
        <v>125</v>
      </c>
      <c r="AD5445" t="n">
        <v>29</v>
      </c>
      <c r="AE5445" t="n">
        <v>45</v>
      </c>
      <c r="AF5445" t="n">
        <v>53</v>
      </c>
      <c r="AG5445" t="n">
        <v>57</v>
      </c>
      <c r="AH5445" t="n">
        <v>63</v>
      </c>
      <c r="AI5445" t="n">
        <v>60</v>
      </c>
      <c r="AJ5445">
        <f>INDEX($Q$5384:$Q$5511,AC5445+1)</f>
        <v/>
      </c>
      <c r="AK5445">
        <f>INDEX($R$5384:$R$5511,AD5445+1)</f>
        <v/>
      </c>
      <c r="AL5445">
        <f>INDEX($S$5384:$S$5511,AE5445+1)</f>
        <v/>
      </c>
      <c r="AM5445">
        <f>INDEX($T$5384:$T$5511,AF5445+1)</f>
        <v/>
      </c>
      <c r="AN5445">
        <f>INDEX($U$5384:$U$5511,AG5445+1)</f>
        <v/>
      </c>
      <c r="AO5445">
        <f>INDEX($V$5384:$V$5511,AH5445+1)</f>
        <v/>
      </c>
      <c r="AP5445">
        <f>INDEX($W$5384:$W$5511,AI5445+1)</f>
        <v/>
      </c>
      <c r="AQ5445">
        <f>IF(Q5445&gt;=AJ5445-0.01,1,0)</f>
        <v/>
      </c>
      <c r="AR5445">
        <f>IF(R5445&gt;=AK5445-0.01,1,0)</f>
        <v/>
      </c>
      <c r="AS5445">
        <f>IF(S5445&gt;=AL5445-0.01,1,0)</f>
        <v/>
      </c>
      <c r="AT5445">
        <f>IF(T5445&gt;=AM5445-0.01,1,0)</f>
        <v/>
      </c>
      <c r="AU5445">
        <f>IF(U5445&gt;=AN5445-0.01,1,0)</f>
        <v/>
      </c>
      <c r="AV5445">
        <f>IF(V5445&gt;=AO5445-0.01,1,0)</f>
        <v/>
      </c>
      <c r="AW5445">
        <f>IF(W5445&gt;=AP5445-0.01,1,0)</f>
        <v/>
      </c>
      <c r="AX5445">
        <f>AQ5445*AR5445*AS5445*AT5445*AU5445*AV5445*AW5445</f>
        <v/>
      </c>
    </row>
    <row r="5446">
      <c r="A5446" t="inlineStr"/>
      <c r="B5446">
        <f>Assumptions!$B$60</f>
        <v/>
      </c>
      <c r="C5446" t="n">
        <v>0</v>
      </c>
      <c r="D5446" t="n">
        <v>1</v>
      </c>
      <c r="E5446" t="n">
        <v>1</v>
      </c>
      <c r="F5446" t="n">
        <v>1</v>
      </c>
      <c r="G5446" t="n">
        <v>1</v>
      </c>
      <c r="H5446" t="n">
        <v>1</v>
      </c>
      <c r="I5446" t="n">
        <v>0</v>
      </c>
      <c r="J5446">
        <f>(1-C5446)*Assumptions!$B$41+(1-D5446)*Assumptions!$B$33+(1-E5446)*Assumptions!$B$32+(1-F5446)*Assumptions!$B$31+(1-G5446)*Assumptions!$B$30+(1-H5446)*Assumptions!$B$29+(1-I5446)*Assumptions!$B$28</f>
        <v/>
      </c>
      <c r="K5446">
        <f>C5446*$J$382+D5446*$F$382+E5446*$G$382+F5446*Assumptions!$B$14+G5446*Assumptions!$B$13+H5446*Assumptions!$B$12+I5446*Assumptions!$B$11+$O$382+$S$382+Assumptions!$B$9</f>
        <v/>
      </c>
      <c r="L5446">
        <f>B5446-J5446</f>
        <v/>
      </c>
      <c r="M5446">
        <f>IF(K5446&gt;0,IF(L5446/K5446&gt;=Assumptions!$B$37,1,0),0)</f>
        <v/>
      </c>
      <c r="N5446">
        <f>K5446+M5446*Assumptions!$B$153</f>
        <v/>
      </c>
      <c r="O5446">
        <f>L5446+M5446*Assumptions!$B$153*Assumptions!$B$37</f>
        <v/>
      </c>
      <c r="P5446">
        <f>IF(N5446&gt;0,O5446/N5446,0)</f>
        <v/>
      </c>
      <c r="Q5446">
        <f>IF(C5446=1,P5446*$J$382,Assumptions!$B$41)</f>
        <v/>
      </c>
      <c r="R5446">
        <f>IF(D5446=1,P5446*$F$382,Assumptions!$B$33)</f>
        <v/>
      </c>
      <c r="S5446">
        <f>IF(E5446=1,P5446*$G$382,Assumptions!$B$32)</f>
        <v/>
      </c>
      <c r="T5446">
        <f>IF(F5446=1,P5446*Assumptions!$B$14,Assumptions!$B$31)</f>
        <v/>
      </c>
      <c r="U5446">
        <f>IF(G5446=1,P5446*Assumptions!$B$13,Assumptions!$B$30)</f>
        <v/>
      </c>
      <c r="V5446">
        <f>IF(H5446=1,P5446*Assumptions!$B$12,Assumptions!$B$29)</f>
        <v/>
      </c>
      <c r="W5446">
        <f>IF(I5446=1,P5446*Assumptions!$B$11,Assumptions!$B$28)</f>
        <v/>
      </c>
      <c r="X5446">
        <f>P5446*($O$382+$S$382)</f>
        <v/>
      </c>
      <c r="Y5446">
        <f>P5446*Assumptions!$B$9</f>
        <v/>
      </c>
      <c r="Z5446">
        <f>IF(M5446=1,(P5446-Assumptions!$B$37)*Assumptions!$B$153,0)</f>
        <v/>
      </c>
      <c r="AA5446">
        <f>Q5446+R5446+S5446+T5446+U5446+V5446+W5446+X5446+Y5446+Z5446</f>
        <v/>
      </c>
      <c r="AB5446" t="n">
        <v>62</v>
      </c>
      <c r="AC5446" t="n">
        <v>126</v>
      </c>
      <c r="AD5446" t="n">
        <v>30</v>
      </c>
      <c r="AE5446" t="n">
        <v>46</v>
      </c>
      <c r="AF5446" t="n">
        <v>54</v>
      </c>
      <c r="AG5446" t="n">
        <v>58</v>
      </c>
      <c r="AH5446" t="n">
        <v>60</v>
      </c>
      <c r="AI5446" t="n">
        <v>63</v>
      </c>
      <c r="AJ5446">
        <f>INDEX($Q$5384:$Q$5511,AC5446+1)</f>
        <v/>
      </c>
      <c r="AK5446">
        <f>INDEX($R$5384:$R$5511,AD5446+1)</f>
        <v/>
      </c>
      <c r="AL5446">
        <f>INDEX($S$5384:$S$5511,AE5446+1)</f>
        <v/>
      </c>
      <c r="AM5446">
        <f>INDEX($T$5384:$T$5511,AF5446+1)</f>
        <v/>
      </c>
      <c r="AN5446">
        <f>INDEX($U$5384:$U$5511,AG5446+1)</f>
        <v/>
      </c>
      <c r="AO5446">
        <f>INDEX($V$5384:$V$5511,AH5446+1)</f>
        <v/>
      </c>
      <c r="AP5446">
        <f>INDEX($W$5384:$W$5511,AI5446+1)</f>
        <v/>
      </c>
      <c r="AQ5446">
        <f>IF(Q5446&gt;=AJ5446-0.01,1,0)</f>
        <v/>
      </c>
      <c r="AR5446">
        <f>IF(R5446&gt;=AK5446-0.01,1,0)</f>
        <v/>
      </c>
      <c r="AS5446">
        <f>IF(S5446&gt;=AL5446-0.01,1,0)</f>
        <v/>
      </c>
      <c r="AT5446">
        <f>IF(T5446&gt;=AM5446-0.01,1,0)</f>
        <v/>
      </c>
      <c r="AU5446">
        <f>IF(U5446&gt;=AN5446-0.01,1,0)</f>
        <v/>
      </c>
      <c r="AV5446">
        <f>IF(V5446&gt;=AO5446-0.01,1,0)</f>
        <v/>
      </c>
      <c r="AW5446">
        <f>IF(W5446&gt;=AP5446-0.01,1,0)</f>
        <v/>
      </c>
      <c r="AX5446">
        <f>AQ5446*AR5446*AS5446*AT5446*AU5446*AV5446*AW5446</f>
        <v/>
      </c>
    </row>
    <row r="5447">
      <c r="A5447" t="inlineStr"/>
      <c r="B5447">
        <f>Assumptions!$B$60</f>
        <v/>
      </c>
      <c r="C5447" t="n">
        <v>0</v>
      </c>
      <c r="D5447" t="n">
        <v>1</v>
      </c>
      <c r="E5447" t="n">
        <v>1</v>
      </c>
      <c r="F5447" t="n">
        <v>1</v>
      </c>
      <c r="G5447" t="n">
        <v>1</v>
      </c>
      <c r="H5447" t="n">
        <v>1</v>
      </c>
      <c r="I5447" t="n">
        <v>1</v>
      </c>
      <c r="J5447">
        <f>(1-C5447)*Assumptions!$B$41+(1-D5447)*Assumptions!$B$33+(1-E5447)*Assumptions!$B$32+(1-F5447)*Assumptions!$B$31+(1-G5447)*Assumptions!$B$30+(1-H5447)*Assumptions!$B$29+(1-I5447)*Assumptions!$B$28</f>
        <v/>
      </c>
      <c r="K5447">
        <f>C5447*$J$382+D5447*$F$382+E5447*$G$382+F5447*Assumptions!$B$14+G5447*Assumptions!$B$13+H5447*Assumptions!$B$12+I5447*Assumptions!$B$11+$O$382+$S$382+Assumptions!$B$9</f>
        <v/>
      </c>
      <c r="L5447">
        <f>B5447-J5447</f>
        <v/>
      </c>
      <c r="M5447">
        <f>IF(K5447&gt;0,IF(L5447/K5447&gt;=Assumptions!$B$37,1,0),0)</f>
        <v/>
      </c>
      <c r="N5447">
        <f>K5447+M5447*Assumptions!$B$153</f>
        <v/>
      </c>
      <c r="O5447">
        <f>L5447+M5447*Assumptions!$B$153*Assumptions!$B$37</f>
        <v/>
      </c>
      <c r="P5447">
        <f>IF(N5447&gt;0,O5447/N5447,0)</f>
        <v/>
      </c>
      <c r="Q5447">
        <f>IF(C5447=1,P5447*$J$382,Assumptions!$B$41)</f>
        <v/>
      </c>
      <c r="R5447">
        <f>IF(D5447=1,P5447*$F$382,Assumptions!$B$33)</f>
        <v/>
      </c>
      <c r="S5447">
        <f>IF(E5447=1,P5447*$G$382,Assumptions!$B$32)</f>
        <v/>
      </c>
      <c r="T5447">
        <f>IF(F5447=1,P5447*Assumptions!$B$14,Assumptions!$B$31)</f>
        <v/>
      </c>
      <c r="U5447">
        <f>IF(G5447=1,P5447*Assumptions!$B$13,Assumptions!$B$30)</f>
        <v/>
      </c>
      <c r="V5447">
        <f>IF(H5447=1,P5447*Assumptions!$B$12,Assumptions!$B$29)</f>
        <v/>
      </c>
      <c r="W5447">
        <f>IF(I5447=1,P5447*Assumptions!$B$11,Assumptions!$B$28)</f>
        <v/>
      </c>
      <c r="X5447">
        <f>P5447*($O$382+$S$382)</f>
        <v/>
      </c>
      <c r="Y5447">
        <f>P5447*Assumptions!$B$9</f>
        <v/>
      </c>
      <c r="Z5447">
        <f>IF(M5447=1,(P5447-Assumptions!$B$37)*Assumptions!$B$153,0)</f>
        <v/>
      </c>
      <c r="AA5447">
        <f>Q5447+R5447+S5447+T5447+U5447+V5447+W5447+X5447+Y5447+Z5447</f>
        <v/>
      </c>
      <c r="AB5447" t="n">
        <v>63</v>
      </c>
      <c r="AC5447" t="n">
        <v>127</v>
      </c>
      <c r="AD5447" t="n">
        <v>31</v>
      </c>
      <c r="AE5447" t="n">
        <v>47</v>
      </c>
      <c r="AF5447" t="n">
        <v>55</v>
      </c>
      <c r="AG5447" t="n">
        <v>59</v>
      </c>
      <c r="AH5447" t="n">
        <v>61</v>
      </c>
      <c r="AI5447" t="n">
        <v>62</v>
      </c>
      <c r="AJ5447">
        <f>INDEX($Q$5384:$Q$5511,AC5447+1)</f>
        <v/>
      </c>
      <c r="AK5447">
        <f>INDEX($R$5384:$R$5511,AD5447+1)</f>
        <v/>
      </c>
      <c r="AL5447">
        <f>INDEX($S$5384:$S$5511,AE5447+1)</f>
        <v/>
      </c>
      <c r="AM5447">
        <f>INDEX($T$5384:$T$5511,AF5447+1)</f>
        <v/>
      </c>
      <c r="AN5447">
        <f>INDEX($U$5384:$U$5511,AG5447+1)</f>
        <v/>
      </c>
      <c r="AO5447">
        <f>INDEX($V$5384:$V$5511,AH5447+1)</f>
        <v/>
      </c>
      <c r="AP5447">
        <f>INDEX($W$5384:$W$5511,AI5447+1)</f>
        <v/>
      </c>
      <c r="AQ5447">
        <f>IF(Q5447&gt;=AJ5447-0.01,1,0)</f>
        <v/>
      </c>
      <c r="AR5447">
        <f>IF(R5447&gt;=AK5447-0.01,1,0)</f>
        <v/>
      </c>
      <c r="AS5447">
        <f>IF(S5447&gt;=AL5447-0.01,1,0)</f>
        <v/>
      </c>
      <c r="AT5447">
        <f>IF(T5447&gt;=AM5447-0.01,1,0)</f>
        <v/>
      </c>
      <c r="AU5447">
        <f>IF(U5447&gt;=AN5447-0.01,1,0)</f>
        <v/>
      </c>
      <c r="AV5447">
        <f>IF(V5447&gt;=AO5447-0.01,1,0)</f>
        <v/>
      </c>
      <c r="AW5447">
        <f>IF(W5447&gt;=AP5447-0.01,1,0)</f>
        <v/>
      </c>
      <c r="AX5447">
        <f>AQ5447*AR5447*AS5447*AT5447*AU5447*AV5447*AW5447</f>
        <v/>
      </c>
    </row>
    <row r="5448">
      <c r="A5448" t="inlineStr"/>
      <c r="B5448">
        <f>Assumptions!$B$60</f>
        <v/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>
        <f>(1-C5448)*Assumptions!$B$41+(1-D5448)*Assumptions!$B$33+(1-E5448)*Assumptions!$B$32+(1-F5448)*Assumptions!$B$31+(1-G5448)*Assumptions!$B$30+(1-H5448)*Assumptions!$B$29+(1-I5448)*Assumptions!$B$28</f>
        <v/>
      </c>
      <c r="K5448">
        <f>C5448*$J$382+D5448*$F$382+E5448*$G$382+F5448*Assumptions!$B$14+G5448*Assumptions!$B$13+H5448*Assumptions!$B$12+I5448*Assumptions!$B$11+$O$382+$S$382+Assumptions!$B$9</f>
        <v/>
      </c>
      <c r="L5448">
        <f>B5448-J5448</f>
        <v/>
      </c>
      <c r="M5448">
        <f>IF(K5448&gt;0,IF(L5448/K5448&gt;=Assumptions!$B$37,1,0),0)</f>
        <v/>
      </c>
      <c r="N5448">
        <f>K5448+M5448*Assumptions!$B$153</f>
        <v/>
      </c>
      <c r="O5448">
        <f>L5448+M5448*Assumptions!$B$153*Assumptions!$B$37</f>
        <v/>
      </c>
      <c r="P5448">
        <f>IF(N5448&gt;0,O5448/N5448,0)</f>
        <v/>
      </c>
      <c r="Q5448">
        <f>IF(C5448=1,P5448*$J$382,Assumptions!$B$41)</f>
        <v/>
      </c>
      <c r="R5448">
        <f>IF(D5448=1,P5448*$F$382,Assumptions!$B$33)</f>
        <v/>
      </c>
      <c r="S5448">
        <f>IF(E5448=1,P5448*$G$382,Assumptions!$B$32)</f>
        <v/>
      </c>
      <c r="T5448">
        <f>IF(F5448=1,P5448*Assumptions!$B$14,Assumptions!$B$31)</f>
        <v/>
      </c>
      <c r="U5448">
        <f>IF(G5448=1,P5448*Assumptions!$B$13,Assumptions!$B$30)</f>
        <v/>
      </c>
      <c r="V5448">
        <f>IF(H5448=1,P5448*Assumptions!$B$12,Assumptions!$B$29)</f>
        <v/>
      </c>
      <c r="W5448">
        <f>IF(I5448=1,P5448*Assumptions!$B$11,Assumptions!$B$28)</f>
        <v/>
      </c>
      <c r="X5448">
        <f>P5448*($O$382+$S$382)</f>
        <v/>
      </c>
      <c r="Y5448">
        <f>P5448*Assumptions!$B$9</f>
        <v/>
      </c>
      <c r="Z5448">
        <f>IF(M5448=1,(P5448-Assumptions!$B$37)*Assumptions!$B$153,0)</f>
        <v/>
      </c>
      <c r="AA5448">
        <f>Q5448+R5448+S5448+T5448+U5448+V5448+W5448+X5448+Y5448+Z5448</f>
        <v/>
      </c>
      <c r="AB5448" t="n">
        <v>64</v>
      </c>
      <c r="AC5448" t="n">
        <v>0</v>
      </c>
      <c r="AD5448" t="n">
        <v>96</v>
      </c>
      <c r="AE5448" t="n">
        <v>80</v>
      </c>
      <c r="AF5448" t="n">
        <v>72</v>
      </c>
      <c r="AG5448" t="n">
        <v>68</v>
      </c>
      <c r="AH5448" t="n">
        <v>66</v>
      </c>
      <c r="AI5448" t="n">
        <v>65</v>
      </c>
      <c r="AJ5448">
        <f>INDEX($Q$5384:$Q$5511,AC5448+1)</f>
        <v/>
      </c>
      <c r="AK5448">
        <f>INDEX($R$5384:$R$5511,AD5448+1)</f>
        <v/>
      </c>
      <c r="AL5448">
        <f>INDEX($S$5384:$S$5511,AE5448+1)</f>
        <v/>
      </c>
      <c r="AM5448">
        <f>INDEX($T$5384:$T$5511,AF5448+1)</f>
        <v/>
      </c>
      <c r="AN5448">
        <f>INDEX($U$5384:$U$5511,AG5448+1)</f>
        <v/>
      </c>
      <c r="AO5448">
        <f>INDEX($V$5384:$V$5511,AH5448+1)</f>
        <v/>
      </c>
      <c r="AP5448">
        <f>INDEX($W$5384:$W$5511,AI5448+1)</f>
        <v/>
      </c>
      <c r="AQ5448">
        <f>IF(Q5448&gt;=AJ5448-0.01,1,0)</f>
        <v/>
      </c>
      <c r="AR5448">
        <f>IF(R5448&gt;=AK5448-0.01,1,0)</f>
        <v/>
      </c>
      <c r="AS5448">
        <f>IF(S5448&gt;=AL5448-0.01,1,0)</f>
        <v/>
      </c>
      <c r="AT5448">
        <f>IF(T5448&gt;=AM5448-0.01,1,0)</f>
        <v/>
      </c>
      <c r="AU5448">
        <f>IF(U5448&gt;=AN5448-0.01,1,0)</f>
        <v/>
      </c>
      <c r="AV5448">
        <f>IF(V5448&gt;=AO5448-0.01,1,0)</f>
        <v/>
      </c>
      <c r="AW5448">
        <f>IF(W5448&gt;=AP5448-0.01,1,0)</f>
        <v/>
      </c>
      <c r="AX5448">
        <f>AQ5448*AR5448*AS5448*AT5448*AU5448*AV5448*AW5448</f>
        <v/>
      </c>
    </row>
    <row r="5449">
      <c r="A5449" t="inlineStr"/>
      <c r="B5449">
        <f>Assumptions!$B$60</f>
        <v/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>
        <f>(1-C5449)*Assumptions!$B$41+(1-D5449)*Assumptions!$B$33+(1-E5449)*Assumptions!$B$32+(1-F5449)*Assumptions!$B$31+(1-G5449)*Assumptions!$B$30+(1-H5449)*Assumptions!$B$29+(1-I5449)*Assumptions!$B$28</f>
        <v/>
      </c>
      <c r="K5449">
        <f>C5449*$J$382+D5449*$F$382+E5449*$G$382+F5449*Assumptions!$B$14+G5449*Assumptions!$B$13+H5449*Assumptions!$B$12+I5449*Assumptions!$B$11+$O$382+$S$382+Assumptions!$B$9</f>
        <v/>
      </c>
      <c r="L5449">
        <f>B5449-J5449</f>
        <v/>
      </c>
      <c r="M5449">
        <f>IF(K5449&gt;0,IF(L5449/K5449&gt;=Assumptions!$B$37,1,0),0)</f>
        <v/>
      </c>
      <c r="N5449">
        <f>K5449+M5449*Assumptions!$B$153</f>
        <v/>
      </c>
      <c r="O5449">
        <f>L5449+M5449*Assumptions!$B$153*Assumptions!$B$37</f>
        <v/>
      </c>
      <c r="P5449">
        <f>IF(N5449&gt;0,O5449/N5449,0)</f>
        <v/>
      </c>
      <c r="Q5449">
        <f>IF(C5449=1,P5449*$J$382,Assumptions!$B$41)</f>
        <v/>
      </c>
      <c r="R5449">
        <f>IF(D5449=1,P5449*$F$382,Assumptions!$B$33)</f>
        <v/>
      </c>
      <c r="S5449">
        <f>IF(E5449=1,P5449*$G$382,Assumptions!$B$32)</f>
        <v/>
      </c>
      <c r="T5449">
        <f>IF(F5449=1,P5449*Assumptions!$B$14,Assumptions!$B$31)</f>
        <v/>
      </c>
      <c r="U5449">
        <f>IF(G5449=1,P5449*Assumptions!$B$13,Assumptions!$B$30)</f>
        <v/>
      </c>
      <c r="V5449">
        <f>IF(H5449=1,P5449*Assumptions!$B$12,Assumptions!$B$29)</f>
        <v/>
      </c>
      <c r="W5449">
        <f>IF(I5449=1,P5449*Assumptions!$B$11,Assumptions!$B$28)</f>
        <v/>
      </c>
      <c r="X5449">
        <f>P5449*($O$382+$S$382)</f>
        <v/>
      </c>
      <c r="Y5449">
        <f>P5449*Assumptions!$B$9</f>
        <v/>
      </c>
      <c r="Z5449">
        <f>IF(M5449=1,(P5449-Assumptions!$B$37)*Assumptions!$B$153,0)</f>
        <v/>
      </c>
      <c r="AA5449">
        <f>Q5449+R5449+S5449+T5449+U5449+V5449+W5449+X5449+Y5449+Z5449</f>
        <v/>
      </c>
      <c r="AB5449" t="n">
        <v>65</v>
      </c>
      <c r="AC5449" t="n">
        <v>1</v>
      </c>
      <c r="AD5449" t="n">
        <v>97</v>
      </c>
      <c r="AE5449" t="n">
        <v>81</v>
      </c>
      <c r="AF5449" t="n">
        <v>73</v>
      </c>
      <c r="AG5449" t="n">
        <v>69</v>
      </c>
      <c r="AH5449" t="n">
        <v>67</v>
      </c>
      <c r="AI5449" t="n">
        <v>64</v>
      </c>
      <c r="AJ5449">
        <f>INDEX($Q$5384:$Q$5511,AC5449+1)</f>
        <v/>
      </c>
      <c r="AK5449">
        <f>INDEX($R$5384:$R$5511,AD5449+1)</f>
        <v/>
      </c>
      <c r="AL5449">
        <f>INDEX($S$5384:$S$5511,AE5449+1)</f>
        <v/>
      </c>
      <c r="AM5449">
        <f>INDEX($T$5384:$T$5511,AF5449+1)</f>
        <v/>
      </c>
      <c r="AN5449">
        <f>INDEX($U$5384:$U$5511,AG5449+1)</f>
        <v/>
      </c>
      <c r="AO5449">
        <f>INDEX($V$5384:$V$5511,AH5449+1)</f>
        <v/>
      </c>
      <c r="AP5449">
        <f>INDEX($W$5384:$W$5511,AI5449+1)</f>
        <v/>
      </c>
      <c r="AQ5449">
        <f>IF(Q5449&gt;=AJ5449-0.01,1,0)</f>
        <v/>
      </c>
      <c r="AR5449">
        <f>IF(R5449&gt;=AK5449-0.01,1,0)</f>
        <v/>
      </c>
      <c r="AS5449">
        <f>IF(S5449&gt;=AL5449-0.01,1,0)</f>
        <v/>
      </c>
      <c r="AT5449">
        <f>IF(T5449&gt;=AM5449-0.01,1,0)</f>
        <v/>
      </c>
      <c r="AU5449">
        <f>IF(U5449&gt;=AN5449-0.01,1,0)</f>
        <v/>
      </c>
      <c r="AV5449">
        <f>IF(V5449&gt;=AO5449-0.01,1,0)</f>
        <v/>
      </c>
      <c r="AW5449">
        <f>IF(W5449&gt;=AP5449-0.01,1,0)</f>
        <v/>
      </c>
      <c r="AX5449">
        <f>AQ5449*AR5449*AS5449*AT5449*AU5449*AV5449*AW5449</f>
        <v/>
      </c>
    </row>
    <row r="5450">
      <c r="A5450" t="inlineStr"/>
      <c r="B5450">
        <f>Assumptions!$B$60</f>
        <v/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>
        <f>(1-C5450)*Assumptions!$B$41+(1-D5450)*Assumptions!$B$33+(1-E5450)*Assumptions!$B$32+(1-F5450)*Assumptions!$B$31+(1-G5450)*Assumptions!$B$30+(1-H5450)*Assumptions!$B$29+(1-I5450)*Assumptions!$B$28</f>
        <v/>
      </c>
      <c r="K5450">
        <f>C5450*$J$382+D5450*$F$382+E5450*$G$382+F5450*Assumptions!$B$14+G5450*Assumptions!$B$13+H5450*Assumptions!$B$12+I5450*Assumptions!$B$11+$O$382+$S$382+Assumptions!$B$9</f>
        <v/>
      </c>
      <c r="L5450">
        <f>B5450-J5450</f>
        <v/>
      </c>
      <c r="M5450">
        <f>IF(K5450&gt;0,IF(L5450/K5450&gt;=Assumptions!$B$37,1,0),0)</f>
        <v/>
      </c>
      <c r="N5450">
        <f>K5450+M5450*Assumptions!$B$153</f>
        <v/>
      </c>
      <c r="O5450">
        <f>L5450+M5450*Assumptions!$B$153*Assumptions!$B$37</f>
        <v/>
      </c>
      <c r="P5450">
        <f>IF(N5450&gt;0,O5450/N5450,0)</f>
        <v/>
      </c>
      <c r="Q5450">
        <f>IF(C5450=1,P5450*$J$382,Assumptions!$B$41)</f>
        <v/>
      </c>
      <c r="R5450">
        <f>IF(D5450=1,P5450*$F$382,Assumptions!$B$33)</f>
        <v/>
      </c>
      <c r="S5450">
        <f>IF(E5450=1,P5450*$G$382,Assumptions!$B$32)</f>
        <v/>
      </c>
      <c r="T5450">
        <f>IF(F5450=1,P5450*Assumptions!$B$14,Assumptions!$B$31)</f>
        <v/>
      </c>
      <c r="U5450">
        <f>IF(G5450=1,P5450*Assumptions!$B$13,Assumptions!$B$30)</f>
        <v/>
      </c>
      <c r="V5450">
        <f>IF(H5450=1,P5450*Assumptions!$B$12,Assumptions!$B$29)</f>
        <v/>
      </c>
      <c r="W5450">
        <f>IF(I5450=1,P5450*Assumptions!$B$11,Assumptions!$B$28)</f>
        <v/>
      </c>
      <c r="X5450">
        <f>P5450*($O$382+$S$382)</f>
        <v/>
      </c>
      <c r="Y5450">
        <f>P5450*Assumptions!$B$9</f>
        <v/>
      </c>
      <c r="Z5450">
        <f>IF(M5450=1,(P5450-Assumptions!$B$37)*Assumptions!$B$153,0)</f>
        <v/>
      </c>
      <c r="AA5450">
        <f>Q5450+R5450+S5450+T5450+U5450+V5450+W5450+X5450+Y5450+Z5450</f>
        <v/>
      </c>
      <c r="AB5450" t="n">
        <v>66</v>
      </c>
      <c r="AC5450" t="n">
        <v>2</v>
      </c>
      <c r="AD5450" t="n">
        <v>98</v>
      </c>
      <c r="AE5450" t="n">
        <v>82</v>
      </c>
      <c r="AF5450" t="n">
        <v>74</v>
      </c>
      <c r="AG5450" t="n">
        <v>70</v>
      </c>
      <c r="AH5450" t="n">
        <v>64</v>
      </c>
      <c r="AI5450" t="n">
        <v>67</v>
      </c>
      <c r="AJ5450">
        <f>INDEX($Q$5384:$Q$5511,AC5450+1)</f>
        <v/>
      </c>
      <c r="AK5450">
        <f>INDEX($R$5384:$R$5511,AD5450+1)</f>
        <v/>
      </c>
      <c r="AL5450">
        <f>INDEX($S$5384:$S$5511,AE5450+1)</f>
        <v/>
      </c>
      <c r="AM5450">
        <f>INDEX($T$5384:$T$5511,AF5450+1)</f>
        <v/>
      </c>
      <c r="AN5450">
        <f>INDEX($U$5384:$U$5511,AG5450+1)</f>
        <v/>
      </c>
      <c r="AO5450">
        <f>INDEX($V$5384:$V$5511,AH5450+1)</f>
        <v/>
      </c>
      <c r="AP5450">
        <f>INDEX($W$5384:$W$5511,AI5450+1)</f>
        <v/>
      </c>
      <c r="AQ5450">
        <f>IF(Q5450&gt;=AJ5450-0.01,1,0)</f>
        <v/>
      </c>
      <c r="AR5450">
        <f>IF(R5450&gt;=AK5450-0.01,1,0)</f>
        <v/>
      </c>
      <c r="AS5450">
        <f>IF(S5450&gt;=AL5450-0.01,1,0)</f>
        <v/>
      </c>
      <c r="AT5450">
        <f>IF(T5450&gt;=AM5450-0.01,1,0)</f>
        <v/>
      </c>
      <c r="AU5450">
        <f>IF(U5450&gt;=AN5450-0.01,1,0)</f>
        <v/>
      </c>
      <c r="AV5450">
        <f>IF(V5450&gt;=AO5450-0.01,1,0)</f>
        <v/>
      </c>
      <c r="AW5450">
        <f>IF(W5450&gt;=AP5450-0.01,1,0)</f>
        <v/>
      </c>
      <c r="AX5450">
        <f>AQ5450*AR5450*AS5450*AT5450*AU5450*AV5450*AW5450</f>
        <v/>
      </c>
    </row>
    <row r="5451">
      <c r="A5451" t="inlineStr"/>
      <c r="B5451">
        <f>Assumptions!$B$60</f>
        <v/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</v>
      </c>
      <c r="J5451">
        <f>(1-C5451)*Assumptions!$B$41+(1-D5451)*Assumptions!$B$33+(1-E5451)*Assumptions!$B$32+(1-F5451)*Assumptions!$B$31+(1-G5451)*Assumptions!$B$30+(1-H5451)*Assumptions!$B$29+(1-I5451)*Assumptions!$B$28</f>
        <v/>
      </c>
      <c r="K5451">
        <f>C5451*$J$382+D5451*$F$382+E5451*$G$382+F5451*Assumptions!$B$14+G5451*Assumptions!$B$13+H5451*Assumptions!$B$12+I5451*Assumptions!$B$11+$O$382+$S$382+Assumptions!$B$9</f>
        <v/>
      </c>
      <c r="L5451">
        <f>B5451-J5451</f>
        <v/>
      </c>
      <c r="M5451">
        <f>IF(K5451&gt;0,IF(L5451/K5451&gt;=Assumptions!$B$37,1,0),0)</f>
        <v/>
      </c>
      <c r="N5451">
        <f>K5451+M5451*Assumptions!$B$153</f>
        <v/>
      </c>
      <c r="O5451">
        <f>L5451+M5451*Assumptions!$B$153*Assumptions!$B$37</f>
        <v/>
      </c>
      <c r="P5451">
        <f>IF(N5451&gt;0,O5451/N5451,0)</f>
        <v/>
      </c>
      <c r="Q5451">
        <f>IF(C5451=1,P5451*$J$382,Assumptions!$B$41)</f>
        <v/>
      </c>
      <c r="R5451">
        <f>IF(D5451=1,P5451*$F$382,Assumptions!$B$33)</f>
        <v/>
      </c>
      <c r="S5451">
        <f>IF(E5451=1,P5451*$G$382,Assumptions!$B$32)</f>
        <v/>
      </c>
      <c r="T5451">
        <f>IF(F5451=1,P5451*Assumptions!$B$14,Assumptions!$B$31)</f>
        <v/>
      </c>
      <c r="U5451">
        <f>IF(G5451=1,P5451*Assumptions!$B$13,Assumptions!$B$30)</f>
        <v/>
      </c>
      <c r="V5451">
        <f>IF(H5451=1,P5451*Assumptions!$B$12,Assumptions!$B$29)</f>
        <v/>
      </c>
      <c r="W5451">
        <f>IF(I5451=1,P5451*Assumptions!$B$11,Assumptions!$B$28)</f>
        <v/>
      </c>
      <c r="X5451">
        <f>P5451*($O$382+$S$382)</f>
        <v/>
      </c>
      <c r="Y5451">
        <f>P5451*Assumptions!$B$9</f>
        <v/>
      </c>
      <c r="Z5451">
        <f>IF(M5451=1,(P5451-Assumptions!$B$37)*Assumptions!$B$153,0)</f>
        <v/>
      </c>
      <c r="AA5451">
        <f>Q5451+R5451+S5451+T5451+U5451+V5451+W5451+X5451+Y5451+Z5451</f>
        <v/>
      </c>
      <c r="AB5451" t="n">
        <v>67</v>
      </c>
      <c r="AC5451" t="n">
        <v>3</v>
      </c>
      <c r="AD5451" t="n">
        <v>99</v>
      </c>
      <c r="AE5451" t="n">
        <v>83</v>
      </c>
      <c r="AF5451" t="n">
        <v>75</v>
      </c>
      <c r="AG5451" t="n">
        <v>71</v>
      </c>
      <c r="AH5451" t="n">
        <v>65</v>
      </c>
      <c r="AI5451" t="n">
        <v>66</v>
      </c>
      <c r="AJ5451">
        <f>INDEX($Q$5384:$Q$5511,AC5451+1)</f>
        <v/>
      </c>
      <c r="AK5451">
        <f>INDEX($R$5384:$R$5511,AD5451+1)</f>
        <v/>
      </c>
      <c r="AL5451">
        <f>INDEX($S$5384:$S$5511,AE5451+1)</f>
        <v/>
      </c>
      <c r="AM5451">
        <f>INDEX($T$5384:$T$5511,AF5451+1)</f>
        <v/>
      </c>
      <c r="AN5451">
        <f>INDEX($U$5384:$U$5511,AG5451+1)</f>
        <v/>
      </c>
      <c r="AO5451">
        <f>INDEX($V$5384:$V$5511,AH5451+1)</f>
        <v/>
      </c>
      <c r="AP5451">
        <f>INDEX($W$5384:$W$5511,AI5451+1)</f>
        <v/>
      </c>
      <c r="AQ5451">
        <f>IF(Q5451&gt;=AJ5451-0.01,1,0)</f>
        <v/>
      </c>
      <c r="AR5451">
        <f>IF(R5451&gt;=AK5451-0.01,1,0)</f>
        <v/>
      </c>
      <c r="AS5451">
        <f>IF(S5451&gt;=AL5451-0.01,1,0)</f>
        <v/>
      </c>
      <c r="AT5451">
        <f>IF(T5451&gt;=AM5451-0.01,1,0)</f>
        <v/>
      </c>
      <c r="AU5451">
        <f>IF(U5451&gt;=AN5451-0.01,1,0)</f>
        <v/>
      </c>
      <c r="AV5451">
        <f>IF(V5451&gt;=AO5451-0.01,1,0)</f>
        <v/>
      </c>
      <c r="AW5451">
        <f>IF(W5451&gt;=AP5451-0.01,1,0)</f>
        <v/>
      </c>
      <c r="AX5451">
        <f>AQ5451*AR5451*AS5451*AT5451*AU5451*AV5451*AW5451</f>
        <v/>
      </c>
    </row>
    <row r="5452">
      <c r="A5452" t="inlineStr"/>
      <c r="B5452">
        <f>Assumptions!$B$60</f>
        <v/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>
        <f>(1-C5452)*Assumptions!$B$41+(1-D5452)*Assumptions!$B$33+(1-E5452)*Assumptions!$B$32+(1-F5452)*Assumptions!$B$31+(1-G5452)*Assumptions!$B$30+(1-H5452)*Assumptions!$B$29+(1-I5452)*Assumptions!$B$28</f>
        <v/>
      </c>
      <c r="K5452">
        <f>C5452*$J$382+D5452*$F$382+E5452*$G$382+F5452*Assumptions!$B$14+G5452*Assumptions!$B$13+H5452*Assumptions!$B$12+I5452*Assumptions!$B$11+$O$382+$S$382+Assumptions!$B$9</f>
        <v/>
      </c>
      <c r="L5452">
        <f>B5452-J5452</f>
        <v/>
      </c>
      <c r="M5452">
        <f>IF(K5452&gt;0,IF(L5452/K5452&gt;=Assumptions!$B$37,1,0),0)</f>
        <v/>
      </c>
      <c r="N5452">
        <f>K5452+M5452*Assumptions!$B$153</f>
        <v/>
      </c>
      <c r="O5452">
        <f>L5452+M5452*Assumptions!$B$153*Assumptions!$B$37</f>
        <v/>
      </c>
      <c r="P5452">
        <f>IF(N5452&gt;0,O5452/N5452,0)</f>
        <v/>
      </c>
      <c r="Q5452">
        <f>IF(C5452=1,P5452*$J$382,Assumptions!$B$41)</f>
        <v/>
      </c>
      <c r="R5452">
        <f>IF(D5452=1,P5452*$F$382,Assumptions!$B$33)</f>
        <v/>
      </c>
      <c r="S5452">
        <f>IF(E5452=1,P5452*$G$382,Assumptions!$B$32)</f>
        <v/>
      </c>
      <c r="T5452">
        <f>IF(F5452=1,P5452*Assumptions!$B$14,Assumptions!$B$31)</f>
        <v/>
      </c>
      <c r="U5452">
        <f>IF(G5452=1,P5452*Assumptions!$B$13,Assumptions!$B$30)</f>
        <v/>
      </c>
      <c r="V5452">
        <f>IF(H5452=1,P5452*Assumptions!$B$12,Assumptions!$B$29)</f>
        <v/>
      </c>
      <c r="W5452">
        <f>IF(I5452=1,P5452*Assumptions!$B$11,Assumptions!$B$28)</f>
        <v/>
      </c>
      <c r="X5452">
        <f>P5452*($O$382+$S$382)</f>
        <v/>
      </c>
      <c r="Y5452">
        <f>P5452*Assumptions!$B$9</f>
        <v/>
      </c>
      <c r="Z5452">
        <f>IF(M5452=1,(P5452-Assumptions!$B$37)*Assumptions!$B$153,0)</f>
        <v/>
      </c>
      <c r="AA5452">
        <f>Q5452+R5452+S5452+T5452+U5452+V5452+W5452+X5452+Y5452+Z5452</f>
        <v/>
      </c>
      <c r="AB5452" t="n">
        <v>68</v>
      </c>
      <c r="AC5452" t="n">
        <v>4</v>
      </c>
      <c r="AD5452" t="n">
        <v>100</v>
      </c>
      <c r="AE5452" t="n">
        <v>84</v>
      </c>
      <c r="AF5452" t="n">
        <v>76</v>
      </c>
      <c r="AG5452" t="n">
        <v>64</v>
      </c>
      <c r="AH5452" t="n">
        <v>70</v>
      </c>
      <c r="AI5452" t="n">
        <v>69</v>
      </c>
      <c r="AJ5452">
        <f>INDEX($Q$5384:$Q$5511,AC5452+1)</f>
        <v/>
      </c>
      <c r="AK5452">
        <f>INDEX($R$5384:$R$5511,AD5452+1)</f>
        <v/>
      </c>
      <c r="AL5452">
        <f>INDEX($S$5384:$S$5511,AE5452+1)</f>
        <v/>
      </c>
      <c r="AM5452">
        <f>INDEX($T$5384:$T$5511,AF5452+1)</f>
        <v/>
      </c>
      <c r="AN5452">
        <f>INDEX($U$5384:$U$5511,AG5452+1)</f>
        <v/>
      </c>
      <c r="AO5452">
        <f>INDEX($V$5384:$V$5511,AH5452+1)</f>
        <v/>
      </c>
      <c r="AP5452">
        <f>INDEX($W$5384:$W$5511,AI5452+1)</f>
        <v/>
      </c>
      <c r="AQ5452">
        <f>IF(Q5452&gt;=AJ5452-0.01,1,0)</f>
        <v/>
      </c>
      <c r="AR5452">
        <f>IF(R5452&gt;=AK5452-0.01,1,0)</f>
        <v/>
      </c>
      <c r="AS5452">
        <f>IF(S5452&gt;=AL5452-0.01,1,0)</f>
        <v/>
      </c>
      <c r="AT5452">
        <f>IF(T5452&gt;=AM5452-0.01,1,0)</f>
        <v/>
      </c>
      <c r="AU5452">
        <f>IF(U5452&gt;=AN5452-0.01,1,0)</f>
        <v/>
      </c>
      <c r="AV5452">
        <f>IF(V5452&gt;=AO5452-0.01,1,0)</f>
        <v/>
      </c>
      <c r="AW5452">
        <f>IF(W5452&gt;=AP5452-0.01,1,0)</f>
        <v/>
      </c>
      <c r="AX5452">
        <f>AQ5452*AR5452*AS5452*AT5452*AU5452*AV5452*AW5452</f>
        <v/>
      </c>
    </row>
    <row r="5453">
      <c r="A5453" t="inlineStr"/>
      <c r="B5453">
        <f>Assumptions!$B$60</f>
        <v/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0</v>
      </c>
      <c r="I5453" t="n">
        <v>1</v>
      </c>
      <c r="J5453">
        <f>(1-C5453)*Assumptions!$B$41+(1-D5453)*Assumptions!$B$33+(1-E5453)*Assumptions!$B$32+(1-F5453)*Assumptions!$B$31+(1-G5453)*Assumptions!$B$30+(1-H5453)*Assumptions!$B$29+(1-I5453)*Assumptions!$B$28</f>
        <v/>
      </c>
      <c r="K5453">
        <f>C5453*$J$382+D5453*$F$382+E5453*$G$382+F5453*Assumptions!$B$14+G5453*Assumptions!$B$13+H5453*Assumptions!$B$12+I5453*Assumptions!$B$11+$O$382+$S$382+Assumptions!$B$9</f>
        <v/>
      </c>
      <c r="L5453">
        <f>B5453-J5453</f>
        <v/>
      </c>
      <c r="M5453">
        <f>IF(K5453&gt;0,IF(L5453/K5453&gt;=Assumptions!$B$37,1,0),0)</f>
        <v/>
      </c>
      <c r="N5453">
        <f>K5453+M5453*Assumptions!$B$153</f>
        <v/>
      </c>
      <c r="O5453">
        <f>L5453+M5453*Assumptions!$B$153*Assumptions!$B$37</f>
        <v/>
      </c>
      <c r="P5453">
        <f>IF(N5453&gt;0,O5453/N5453,0)</f>
        <v/>
      </c>
      <c r="Q5453">
        <f>IF(C5453=1,P5453*$J$382,Assumptions!$B$41)</f>
        <v/>
      </c>
      <c r="R5453">
        <f>IF(D5453=1,P5453*$F$382,Assumptions!$B$33)</f>
        <v/>
      </c>
      <c r="S5453">
        <f>IF(E5453=1,P5453*$G$382,Assumptions!$B$32)</f>
        <v/>
      </c>
      <c r="T5453">
        <f>IF(F5453=1,P5453*Assumptions!$B$14,Assumptions!$B$31)</f>
        <v/>
      </c>
      <c r="U5453">
        <f>IF(G5453=1,P5453*Assumptions!$B$13,Assumptions!$B$30)</f>
        <v/>
      </c>
      <c r="V5453">
        <f>IF(H5453=1,P5453*Assumptions!$B$12,Assumptions!$B$29)</f>
        <v/>
      </c>
      <c r="W5453">
        <f>IF(I5453=1,P5453*Assumptions!$B$11,Assumptions!$B$28)</f>
        <v/>
      </c>
      <c r="X5453">
        <f>P5453*($O$382+$S$382)</f>
        <v/>
      </c>
      <c r="Y5453">
        <f>P5453*Assumptions!$B$9</f>
        <v/>
      </c>
      <c r="Z5453">
        <f>IF(M5453=1,(P5453-Assumptions!$B$37)*Assumptions!$B$153,0)</f>
        <v/>
      </c>
      <c r="AA5453">
        <f>Q5453+R5453+S5453+T5453+U5453+V5453+W5453+X5453+Y5453+Z5453</f>
        <v/>
      </c>
      <c r="AB5453" t="n">
        <v>69</v>
      </c>
      <c r="AC5453" t="n">
        <v>5</v>
      </c>
      <c r="AD5453" t="n">
        <v>101</v>
      </c>
      <c r="AE5453" t="n">
        <v>85</v>
      </c>
      <c r="AF5453" t="n">
        <v>77</v>
      </c>
      <c r="AG5453" t="n">
        <v>65</v>
      </c>
      <c r="AH5453" t="n">
        <v>71</v>
      </c>
      <c r="AI5453" t="n">
        <v>68</v>
      </c>
      <c r="AJ5453">
        <f>INDEX($Q$5384:$Q$5511,AC5453+1)</f>
        <v/>
      </c>
      <c r="AK5453">
        <f>INDEX($R$5384:$R$5511,AD5453+1)</f>
        <v/>
      </c>
      <c r="AL5453">
        <f>INDEX($S$5384:$S$5511,AE5453+1)</f>
        <v/>
      </c>
      <c r="AM5453">
        <f>INDEX($T$5384:$T$5511,AF5453+1)</f>
        <v/>
      </c>
      <c r="AN5453">
        <f>INDEX($U$5384:$U$5511,AG5453+1)</f>
        <v/>
      </c>
      <c r="AO5453">
        <f>INDEX($V$5384:$V$5511,AH5453+1)</f>
        <v/>
      </c>
      <c r="AP5453">
        <f>INDEX($W$5384:$W$5511,AI5453+1)</f>
        <v/>
      </c>
      <c r="AQ5453">
        <f>IF(Q5453&gt;=AJ5453-0.01,1,0)</f>
        <v/>
      </c>
      <c r="AR5453">
        <f>IF(R5453&gt;=AK5453-0.01,1,0)</f>
        <v/>
      </c>
      <c r="AS5453">
        <f>IF(S5453&gt;=AL5453-0.01,1,0)</f>
        <v/>
      </c>
      <c r="AT5453">
        <f>IF(T5453&gt;=AM5453-0.01,1,0)</f>
        <v/>
      </c>
      <c r="AU5453">
        <f>IF(U5453&gt;=AN5453-0.01,1,0)</f>
        <v/>
      </c>
      <c r="AV5453">
        <f>IF(V5453&gt;=AO5453-0.01,1,0)</f>
        <v/>
      </c>
      <c r="AW5453">
        <f>IF(W5453&gt;=AP5453-0.01,1,0)</f>
        <v/>
      </c>
      <c r="AX5453">
        <f>AQ5453*AR5453*AS5453*AT5453*AU5453*AV5453*AW5453</f>
        <v/>
      </c>
    </row>
    <row r="5454">
      <c r="A5454" t="inlineStr"/>
      <c r="B5454">
        <f>Assumptions!$B$60</f>
        <v/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  <c r="I5454" t="n">
        <v>0</v>
      </c>
      <c r="J5454">
        <f>(1-C5454)*Assumptions!$B$41+(1-D5454)*Assumptions!$B$33+(1-E5454)*Assumptions!$B$32+(1-F5454)*Assumptions!$B$31+(1-G5454)*Assumptions!$B$30+(1-H5454)*Assumptions!$B$29+(1-I5454)*Assumptions!$B$28</f>
        <v/>
      </c>
      <c r="K5454">
        <f>C5454*$J$382+D5454*$F$382+E5454*$G$382+F5454*Assumptions!$B$14+G5454*Assumptions!$B$13+H5454*Assumptions!$B$12+I5454*Assumptions!$B$11+$O$382+$S$382+Assumptions!$B$9</f>
        <v/>
      </c>
      <c r="L5454">
        <f>B5454-J5454</f>
        <v/>
      </c>
      <c r="M5454">
        <f>IF(K5454&gt;0,IF(L5454/K5454&gt;=Assumptions!$B$37,1,0),0)</f>
        <v/>
      </c>
      <c r="N5454">
        <f>K5454+M5454*Assumptions!$B$153</f>
        <v/>
      </c>
      <c r="O5454">
        <f>L5454+M5454*Assumptions!$B$153*Assumptions!$B$37</f>
        <v/>
      </c>
      <c r="P5454">
        <f>IF(N5454&gt;0,O5454/N5454,0)</f>
        <v/>
      </c>
      <c r="Q5454">
        <f>IF(C5454=1,P5454*$J$382,Assumptions!$B$41)</f>
        <v/>
      </c>
      <c r="R5454">
        <f>IF(D5454=1,P5454*$F$382,Assumptions!$B$33)</f>
        <v/>
      </c>
      <c r="S5454">
        <f>IF(E5454=1,P5454*$G$382,Assumptions!$B$32)</f>
        <v/>
      </c>
      <c r="T5454">
        <f>IF(F5454=1,P5454*Assumptions!$B$14,Assumptions!$B$31)</f>
        <v/>
      </c>
      <c r="U5454">
        <f>IF(G5454=1,P5454*Assumptions!$B$13,Assumptions!$B$30)</f>
        <v/>
      </c>
      <c r="V5454">
        <f>IF(H5454=1,P5454*Assumptions!$B$12,Assumptions!$B$29)</f>
        <v/>
      </c>
      <c r="W5454">
        <f>IF(I5454=1,P5454*Assumptions!$B$11,Assumptions!$B$28)</f>
        <v/>
      </c>
      <c r="X5454">
        <f>P5454*($O$382+$S$382)</f>
        <v/>
      </c>
      <c r="Y5454">
        <f>P5454*Assumptions!$B$9</f>
        <v/>
      </c>
      <c r="Z5454">
        <f>IF(M5454=1,(P5454-Assumptions!$B$37)*Assumptions!$B$153,0)</f>
        <v/>
      </c>
      <c r="AA5454">
        <f>Q5454+R5454+S5454+T5454+U5454+V5454+W5454+X5454+Y5454+Z5454</f>
        <v/>
      </c>
      <c r="AB5454" t="n">
        <v>70</v>
      </c>
      <c r="AC5454" t="n">
        <v>6</v>
      </c>
      <c r="AD5454" t="n">
        <v>102</v>
      </c>
      <c r="AE5454" t="n">
        <v>86</v>
      </c>
      <c r="AF5454" t="n">
        <v>78</v>
      </c>
      <c r="AG5454" t="n">
        <v>66</v>
      </c>
      <c r="AH5454" t="n">
        <v>68</v>
      </c>
      <c r="AI5454" t="n">
        <v>71</v>
      </c>
      <c r="AJ5454">
        <f>INDEX($Q$5384:$Q$5511,AC5454+1)</f>
        <v/>
      </c>
      <c r="AK5454">
        <f>INDEX($R$5384:$R$5511,AD5454+1)</f>
        <v/>
      </c>
      <c r="AL5454">
        <f>INDEX($S$5384:$S$5511,AE5454+1)</f>
        <v/>
      </c>
      <c r="AM5454">
        <f>INDEX($T$5384:$T$5511,AF5454+1)</f>
        <v/>
      </c>
      <c r="AN5454">
        <f>INDEX($U$5384:$U$5511,AG5454+1)</f>
        <v/>
      </c>
      <c r="AO5454">
        <f>INDEX($V$5384:$V$5511,AH5454+1)</f>
        <v/>
      </c>
      <c r="AP5454">
        <f>INDEX($W$5384:$W$5511,AI5454+1)</f>
        <v/>
      </c>
      <c r="AQ5454">
        <f>IF(Q5454&gt;=AJ5454-0.01,1,0)</f>
        <v/>
      </c>
      <c r="AR5454">
        <f>IF(R5454&gt;=AK5454-0.01,1,0)</f>
        <v/>
      </c>
      <c r="AS5454">
        <f>IF(S5454&gt;=AL5454-0.01,1,0)</f>
        <v/>
      </c>
      <c r="AT5454">
        <f>IF(T5454&gt;=AM5454-0.01,1,0)</f>
        <v/>
      </c>
      <c r="AU5454">
        <f>IF(U5454&gt;=AN5454-0.01,1,0)</f>
        <v/>
      </c>
      <c r="AV5454">
        <f>IF(V5454&gt;=AO5454-0.01,1,0)</f>
        <v/>
      </c>
      <c r="AW5454">
        <f>IF(W5454&gt;=AP5454-0.01,1,0)</f>
        <v/>
      </c>
      <c r="AX5454">
        <f>AQ5454*AR5454*AS5454*AT5454*AU5454*AV5454*AW5454</f>
        <v/>
      </c>
    </row>
    <row r="5455">
      <c r="A5455" t="inlineStr"/>
      <c r="B5455">
        <f>Assumptions!$B$60</f>
        <v/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  <c r="I5455" t="n">
        <v>1</v>
      </c>
      <c r="J5455">
        <f>(1-C5455)*Assumptions!$B$41+(1-D5455)*Assumptions!$B$33+(1-E5455)*Assumptions!$B$32+(1-F5455)*Assumptions!$B$31+(1-G5455)*Assumptions!$B$30+(1-H5455)*Assumptions!$B$29+(1-I5455)*Assumptions!$B$28</f>
        <v/>
      </c>
      <c r="K5455">
        <f>C5455*$J$382+D5455*$F$382+E5455*$G$382+F5455*Assumptions!$B$14+G5455*Assumptions!$B$13+H5455*Assumptions!$B$12+I5455*Assumptions!$B$11+$O$382+$S$382+Assumptions!$B$9</f>
        <v/>
      </c>
      <c r="L5455">
        <f>B5455-J5455</f>
        <v/>
      </c>
      <c r="M5455">
        <f>IF(K5455&gt;0,IF(L5455/K5455&gt;=Assumptions!$B$37,1,0),0)</f>
        <v/>
      </c>
      <c r="N5455">
        <f>K5455+M5455*Assumptions!$B$153</f>
        <v/>
      </c>
      <c r="O5455">
        <f>L5455+M5455*Assumptions!$B$153*Assumptions!$B$37</f>
        <v/>
      </c>
      <c r="P5455">
        <f>IF(N5455&gt;0,O5455/N5455,0)</f>
        <v/>
      </c>
      <c r="Q5455">
        <f>IF(C5455=1,P5455*$J$382,Assumptions!$B$41)</f>
        <v/>
      </c>
      <c r="R5455">
        <f>IF(D5455=1,P5455*$F$382,Assumptions!$B$33)</f>
        <v/>
      </c>
      <c r="S5455">
        <f>IF(E5455=1,P5455*$G$382,Assumptions!$B$32)</f>
        <v/>
      </c>
      <c r="T5455">
        <f>IF(F5455=1,P5455*Assumptions!$B$14,Assumptions!$B$31)</f>
        <v/>
      </c>
      <c r="U5455">
        <f>IF(G5455=1,P5455*Assumptions!$B$13,Assumptions!$B$30)</f>
        <v/>
      </c>
      <c r="V5455">
        <f>IF(H5455=1,P5455*Assumptions!$B$12,Assumptions!$B$29)</f>
        <v/>
      </c>
      <c r="W5455">
        <f>IF(I5455=1,P5455*Assumptions!$B$11,Assumptions!$B$28)</f>
        <v/>
      </c>
      <c r="X5455">
        <f>P5455*($O$382+$S$382)</f>
        <v/>
      </c>
      <c r="Y5455">
        <f>P5455*Assumptions!$B$9</f>
        <v/>
      </c>
      <c r="Z5455">
        <f>IF(M5455=1,(P5455-Assumptions!$B$37)*Assumptions!$B$153,0)</f>
        <v/>
      </c>
      <c r="AA5455">
        <f>Q5455+R5455+S5455+T5455+U5455+V5455+W5455+X5455+Y5455+Z5455</f>
        <v/>
      </c>
      <c r="AB5455" t="n">
        <v>71</v>
      </c>
      <c r="AC5455" t="n">
        <v>7</v>
      </c>
      <c r="AD5455" t="n">
        <v>103</v>
      </c>
      <c r="AE5455" t="n">
        <v>87</v>
      </c>
      <c r="AF5455" t="n">
        <v>79</v>
      </c>
      <c r="AG5455" t="n">
        <v>67</v>
      </c>
      <c r="AH5455" t="n">
        <v>69</v>
      </c>
      <c r="AI5455" t="n">
        <v>70</v>
      </c>
      <c r="AJ5455">
        <f>INDEX($Q$5384:$Q$5511,AC5455+1)</f>
        <v/>
      </c>
      <c r="AK5455">
        <f>INDEX($R$5384:$R$5511,AD5455+1)</f>
        <v/>
      </c>
      <c r="AL5455">
        <f>INDEX($S$5384:$S$5511,AE5455+1)</f>
        <v/>
      </c>
      <c r="AM5455">
        <f>INDEX($T$5384:$T$5511,AF5455+1)</f>
        <v/>
      </c>
      <c r="AN5455">
        <f>INDEX($U$5384:$U$5511,AG5455+1)</f>
        <v/>
      </c>
      <c r="AO5455">
        <f>INDEX($V$5384:$V$5511,AH5455+1)</f>
        <v/>
      </c>
      <c r="AP5455">
        <f>INDEX($W$5384:$W$5511,AI5455+1)</f>
        <v/>
      </c>
      <c r="AQ5455">
        <f>IF(Q5455&gt;=AJ5455-0.01,1,0)</f>
        <v/>
      </c>
      <c r="AR5455">
        <f>IF(R5455&gt;=AK5455-0.01,1,0)</f>
        <v/>
      </c>
      <c r="AS5455">
        <f>IF(S5455&gt;=AL5455-0.01,1,0)</f>
        <v/>
      </c>
      <c r="AT5455">
        <f>IF(T5455&gt;=AM5455-0.01,1,0)</f>
        <v/>
      </c>
      <c r="AU5455">
        <f>IF(U5455&gt;=AN5455-0.01,1,0)</f>
        <v/>
      </c>
      <c r="AV5455">
        <f>IF(V5455&gt;=AO5455-0.01,1,0)</f>
        <v/>
      </c>
      <c r="AW5455">
        <f>IF(W5455&gt;=AP5455-0.01,1,0)</f>
        <v/>
      </c>
      <c r="AX5455">
        <f>AQ5455*AR5455*AS5455*AT5455*AU5455*AV5455*AW5455</f>
        <v/>
      </c>
    </row>
    <row r="5456">
      <c r="A5456" t="inlineStr"/>
      <c r="B5456">
        <f>Assumptions!$B$60</f>
        <v/>
      </c>
      <c r="C5456" t="n">
        <v>1</v>
      </c>
      <c r="D5456" t="n">
        <v>0</v>
      </c>
      <c r="E5456" t="n">
        <v>0</v>
      </c>
      <c r="F5456" t="n">
        <v>1</v>
      </c>
      <c r="G5456" t="n">
        <v>0</v>
      </c>
      <c r="H5456" t="n">
        <v>0</v>
      </c>
      <c r="I5456" t="n">
        <v>0</v>
      </c>
      <c r="J5456">
        <f>(1-C5456)*Assumptions!$B$41+(1-D5456)*Assumptions!$B$33+(1-E5456)*Assumptions!$B$32+(1-F5456)*Assumptions!$B$31+(1-G5456)*Assumptions!$B$30+(1-H5456)*Assumptions!$B$29+(1-I5456)*Assumptions!$B$28</f>
        <v/>
      </c>
      <c r="K5456">
        <f>C5456*$J$382+D5456*$F$382+E5456*$G$382+F5456*Assumptions!$B$14+G5456*Assumptions!$B$13+H5456*Assumptions!$B$12+I5456*Assumptions!$B$11+$O$382+$S$382+Assumptions!$B$9</f>
        <v/>
      </c>
      <c r="L5456">
        <f>B5456-J5456</f>
        <v/>
      </c>
      <c r="M5456">
        <f>IF(K5456&gt;0,IF(L5456/K5456&gt;=Assumptions!$B$37,1,0),0)</f>
        <v/>
      </c>
      <c r="N5456">
        <f>K5456+M5456*Assumptions!$B$153</f>
        <v/>
      </c>
      <c r="O5456">
        <f>L5456+M5456*Assumptions!$B$153*Assumptions!$B$37</f>
        <v/>
      </c>
      <c r="P5456">
        <f>IF(N5456&gt;0,O5456/N5456,0)</f>
        <v/>
      </c>
      <c r="Q5456">
        <f>IF(C5456=1,P5456*$J$382,Assumptions!$B$41)</f>
        <v/>
      </c>
      <c r="R5456">
        <f>IF(D5456=1,P5456*$F$382,Assumptions!$B$33)</f>
        <v/>
      </c>
      <c r="S5456">
        <f>IF(E5456=1,P5456*$G$382,Assumptions!$B$32)</f>
        <v/>
      </c>
      <c r="T5456">
        <f>IF(F5456=1,P5456*Assumptions!$B$14,Assumptions!$B$31)</f>
        <v/>
      </c>
      <c r="U5456">
        <f>IF(G5456=1,P5456*Assumptions!$B$13,Assumptions!$B$30)</f>
        <v/>
      </c>
      <c r="V5456">
        <f>IF(H5456=1,P5456*Assumptions!$B$12,Assumptions!$B$29)</f>
        <v/>
      </c>
      <c r="W5456">
        <f>IF(I5456=1,P5456*Assumptions!$B$11,Assumptions!$B$28)</f>
        <v/>
      </c>
      <c r="X5456">
        <f>P5456*($O$382+$S$382)</f>
        <v/>
      </c>
      <c r="Y5456">
        <f>P5456*Assumptions!$B$9</f>
        <v/>
      </c>
      <c r="Z5456">
        <f>IF(M5456=1,(P5456-Assumptions!$B$37)*Assumptions!$B$153,0)</f>
        <v/>
      </c>
      <c r="AA5456">
        <f>Q5456+R5456+S5456+T5456+U5456+V5456+W5456+X5456+Y5456+Z5456</f>
        <v/>
      </c>
      <c r="AB5456" t="n">
        <v>72</v>
      </c>
      <c r="AC5456" t="n">
        <v>8</v>
      </c>
      <c r="AD5456" t="n">
        <v>104</v>
      </c>
      <c r="AE5456" t="n">
        <v>88</v>
      </c>
      <c r="AF5456" t="n">
        <v>64</v>
      </c>
      <c r="AG5456" t="n">
        <v>76</v>
      </c>
      <c r="AH5456" t="n">
        <v>74</v>
      </c>
      <c r="AI5456" t="n">
        <v>73</v>
      </c>
      <c r="AJ5456">
        <f>INDEX($Q$5384:$Q$5511,AC5456+1)</f>
        <v/>
      </c>
      <c r="AK5456">
        <f>INDEX($R$5384:$R$5511,AD5456+1)</f>
        <v/>
      </c>
      <c r="AL5456">
        <f>INDEX($S$5384:$S$5511,AE5456+1)</f>
        <v/>
      </c>
      <c r="AM5456">
        <f>INDEX($T$5384:$T$5511,AF5456+1)</f>
        <v/>
      </c>
      <c r="AN5456">
        <f>INDEX($U$5384:$U$5511,AG5456+1)</f>
        <v/>
      </c>
      <c r="AO5456">
        <f>INDEX($V$5384:$V$5511,AH5456+1)</f>
        <v/>
      </c>
      <c r="AP5456">
        <f>INDEX($W$5384:$W$5511,AI5456+1)</f>
        <v/>
      </c>
      <c r="AQ5456">
        <f>IF(Q5456&gt;=AJ5456-0.01,1,0)</f>
        <v/>
      </c>
      <c r="AR5456">
        <f>IF(R5456&gt;=AK5456-0.01,1,0)</f>
        <v/>
      </c>
      <c r="AS5456">
        <f>IF(S5456&gt;=AL5456-0.01,1,0)</f>
        <v/>
      </c>
      <c r="AT5456">
        <f>IF(T5456&gt;=AM5456-0.01,1,0)</f>
        <v/>
      </c>
      <c r="AU5456">
        <f>IF(U5456&gt;=AN5456-0.01,1,0)</f>
        <v/>
      </c>
      <c r="AV5456">
        <f>IF(V5456&gt;=AO5456-0.01,1,0)</f>
        <v/>
      </c>
      <c r="AW5456">
        <f>IF(W5456&gt;=AP5456-0.01,1,0)</f>
        <v/>
      </c>
      <c r="AX5456">
        <f>AQ5456*AR5456*AS5456*AT5456*AU5456*AV5456*AW5456</f>
        <v/>
      </c>
    </row>
    <row r="5457">
      <c r="A5457" t="inlineStr"/>
      <c r="B5457">
        <f>Assumptions!$B$60</f>
        <v/>
      </c>
      <c r="C5457" t="n">
        <v>1</v>
      </c>
      <c r="D5457" t="n">
        <v>0</v>
      </c>
      <c r="E5457" t="n">
        <v>0</v>
      </c>
      <c r="F5457" t="n">
        <v>1</v>
      </c>
      <c r="G5457" t="n">
        <v>0</v>
      </c>
      <c r="H5457" t="n">
        <v>0</v>
      </c>
      <c r="I5457" t="n">
        <v>1</v>
      </c>
      <c r="J5457">
        <f>(1-C5457)*Assumptions!$B$41+(1-D5457)*Assumptions!$B$33+(1-E5457)*Assumptions!$B$32+(1-F5457)*Assumptions!$B$31+(1-G5457)*Assumptions!$B$30+(1-H5457)*Assumptions!$B$29+(1-I5457)*Assumptions!$B$28</f>
        <v/>
      </c>
      <c r="K5457">
        <f>C5457*$J$382+D5457*$F$382+E5457*$G$382+F5457*Assumptions!$B$14+G5457*Assumptions!$B$13+H5457*Assumptions!$B$12+I5457*Assumptions!$B$11+$O$382+$S$382+Assumptions!$B$9</f>
        <v/>
      </c>
      <c r="L5457">
        <f>B5457-J5457</f>
        <v/>
      </c>
      <c r="M5457">
        <f>IF(K5457&gt;0,IF(L5457/K5457&gt;=Assumptions!$B$37,1,0),0)</f>
        <v/>
      </c>
      <c r="N5457">
        <f>K5457+M5457*Assumptions!$B$153</f>
        <v/>
      </c>
      <c r="O5457">
        <f>L5457+M5457*Assumptions!$B$153*Assumptions!$B$37</f>
        <v/>
      </c>
      <c r="P5457">
        <f>IF(N5457&gt;0,O5457/N5457,0)</f>
        <v/>
      </c>
      <c r="Q5457">
        <f>IF(C5457=1,P5457*$J$382,Assumptions!$B$41)</f>
        <v/>
      </c>
      <c r="R5457">
        <f>IF(D5457=1,P5457*$F$382,Assumptions!$B$33)</f>
        <v/>
      </c>
      <c r="S5457">
        <f>IF(E5457=1,P5457*$G$382,Assumptions!$B$32)</f>
        <v/>
      </c>
      <c r="T5457">
        <f>IF(F5457=1,P5457*Assumptions!$B$14,Assumptions!$B$31)</f>
        <v/>
      </c>
      <c r="U5457">
        <f>IF(G5457=1,P5457*Assumptions!$B$13,Assumptions!$B$30)</f>
        <v/>
      </c>
      <c r="V5457">
        <f>IF(H5457=1,P5457*Assumptions!$B$12,Assumptions!$B$29)</f>
        <v/>
      </c>
      <c r="W5457">
        <f>IF(I5457=1,P5457*Assumptions!$B$11,Assumptions!$B$28)</f>
        <v/>
      </c>
      <c r="X5457">
        <f>P5457*($O$382+$S$382)</f>
        <v/>
      </c>
      <c r="Y5457">
        <f>P5457*Assumptions!$B$9</f>
        <v/>
      </c>
      <c r="Z5457">
        <f>IF(M5457=1,(P5457-Assumptions!$B$37)*Assumptions!$B$153,0)</f>
        <v/>
      </c>
      <c r="AA5457">
        <f>Q5457+R5457+S5457+T5457+U5457+V5457+W5457+X5457+Y5457+Z5457</f>
        <v/>
      </c>
      <c r="AB5457" t="n">
        <v>73</v>
      </c>
      <c r="AC5457" t="n">
        <v>9</v>
      </c>
      <c r="AD5457" t="n">
        <v>105</v>
      </c>
      <c r="AE5457" t="n">
        <v>89</v>
      </c>
      <c r="AF5457" t="n">
        <v>65</v>
      </c>
      <c r="AG5457" t="n">
        <v>77</v>
      </c>
      <c r="AH5457" t="n">
        <v>75</v>
      </c>
      <c r="AI5457" t="n">
        <v>72</v>
      </c>
      <c r="AJ5457">
        <f>INDEX($Q$5384:$Q$5511,AC5457+1)</f>
        <v/>
      </c>
      <c r="AK5457">
        <f>INDEX($R$5384:$R$5511,AD5457+1)</f>
        <v/>
      </c>
      <c r="AL5457">
        <f>INDEX($S$5384:$S$5511,AE5457+1)</f>
        <v/>
      </c>
      <c r="AM5457">
        <f>INDEX($T$5384:$T$5511,AF5457+1)</f>
        <v/>
      </c>
      <c r="AN5457">
        <f>INDEX($U$5384:$U$5511,AG5457+1)</f>
        <v/>
      </c>
      <c r="AO5457">
        <f>INDEX($V$5384:$V$5511,AH5457+1)</f>
        <v/>
      </c>
      <c r="AP5457">
        <f>INDEX($W$5384:$W$5511,AI5457+1)</f>
        <v/>
      </c>
      <c r="AQ5457">
        <f>IF(Q5457&gt;=AJ5457-0.01,1,0)</f>
        <v/>
      </c>
      <c r="AR5457">
        <f>IF(R5457&gt;=AK5457-0.01,1,0)</f>
        <v/>
      </c>
      <c r="AS5457">
        <f>IF(S5457&gt;=AL5457-0.01,1,0)</f>
        <v/>
      </c>
      <c r="AT5457">
        <f>IF(T5457&gt;=AM5457-0.01,1,0)</f>
        <v/>
      </c>
      <c r="AU5457">
        <f>IF(U5457&gt;=AN5457-0.01,1,0)</f>
        <v/>
      </c>
      <c r="AV5457">
        <f>IF(V5457&gt;=AO5457-0.01,1,0)</f>
        <v/>
      </c>
      <c r="AW5457">
        <f>IF(W5457&gt;=AP5457-0.01,1,0)</f>
        <v/>
      </c>
      <c r="AX5457">
        <f>AQ5457*AR5457*AS5457*AT5457*AU5457*AV5457*AW5457</f>
        <v/>
      </c>
    </row>
    <row r="5458">
      <c r="A5458" t="inlineStr"/>
      <c r="B5458">
        <f>Assumptions!$B$60</f>
        <v/>
      </c>
      <c r="C5458" t="n">
        <v>1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>
        <f>(1-C5458)*Assumptions!$B$41+(1-D5458)*Assumptions!$B$33+(1-E5458)*Assumptions!$B$32+(1-F5458)*Assumptions!$B$31+(1-G5458)*Assumptions!$B$30+(1-H5458)*Assumptions!$B$29+(1-I5458)*Assumptions!$B$28</f>
        <v/>
      </c>
      <c r="K5458">
        <f>C5458*$J$382+D5458*$F$382+E5458*$G$382+F5458*Assumptions!$B$14+G5458*Assumptions!$B$13+H5458*Assumptions!$B$12+I5458*Assumptions!$B$11+$O$382+$S$382+Assumptions!$B$9</f>
        <v/>
      </c>
      <c r="L5458">
        <f>B5458-J5458</f>
        <v/>
      </c>
      <c r="M5458">
        <f>IF(K5458&gt;0,IF(L5458/K5458&gt;=Assumptions!$B$37,1,0),0)</f>
        <v/>
      </c>
      <c r="N5458">
        <f>K5458+M5458*Assumptions!$B$153</f>
        <v/>
      </c>
      <c r="O5458">
        <f>L5458+M5458*Assumptions!$B$153*Assumptions!$B$37</f>
        <v/>
      </c>
      <c r="P5458">
        <f>IF(N5458&gt;0,O5458/N5458,0)</f>
        <v/>
      </c>
      <c r="Q5458">
        <f>IF(C5458=1,P5458*$J$382,Assumptions!$B$41)</f>
        <v/>
      </c>
      <c r="R5458">
        <f>IF(D5458=1,P5458*$F$382,Assumptions!$B$33)</f>
        <v/>
      </c>
      <c r="S5458">
        <f>IF(E5458=1,P5458*$G$382,Assumptions!$B$32)</f>
        <v/>
      </c>
      <c r="T5458">
        <f>IF(F5458=1,P5458*Assumptions!$B$14,Assumptions!$B$31)</f>
        <v/>
      </c>
      <c r="U5458">
        <f>IF(G5458=1,P5458*Assumptions!$B$13,Assumptions!$B$30)</f>
        <v/>
      </c>
      <c r="V5458">
        <f>IF(H5458=1,P5458*Assumptions!$B$12,Assumptions!$B$29)</f>
        <v/>
      </c>
      <c r="W5458">
        <f>IF(I5458=1,P5458*Assumptions!$B$11,Assumptions!$B$28)</f>
        <v/>
      </c>
      <c r="X5458">
        <f>P5458*($O$382+$S$382)</f>
        <v/>
      </c>
      <c r="Y5458">
        <f>P5458*Assumptions!$B$9</f>
        <v/>
      </c>
      <c r="Z5458">
        <f>IF(M5458=1,(P5458-Assumptions!$B$37)*Assumptions!$B$153,0)</f>
        <v/>
      </c>
      <c r="AA5458">
        <f>Q5458+R5458+S5458+T5458+U5458+V5458+W5458+X5458+Y5458+Z5458</f>
        <v/>
      </c>
      <c r="AB5458" t="n">
        <v>74</v>
      </c>
      <c r="AC5458" t="n">
        <v>10</v>
      </c>
      <c r="AD5458" t="n">
        <v>106</v>
      </c>
      <c r="AE5458" t="n">
        <v>90</v>
      </c>
      <c r="AF5458" t="n">
        <v>66</v>
      </c>
      <c r="AG5458" t="n">
        <v>78</v>
      </c>
      <c r="AH5458" t="n">
        <v>72</v>
      </c>
      <c r="AI5458" t="n">
        <v>75</v>
      </c>
      <c r="AJ5458">
        <f>INDEX($Q$5384:$Q$5511,AC5458+1)</f>
        <v/>
      </c>
      <c r="AK5458">
        <f>INDEX($R$5384:$R$5511,AD5458+1)</f>
        <v/>
      </c>
      <c r="AL5458">
        <f>INDEX($S$5384:$S$5511,AE5458+1)</f>
        <v/>
      </c>
      <c r="AM5458">
        <f>INDEX($T$5384:$T$5511,AF5458+1)</f>
        <v/>
      </c>
      <c r="AN5458">
        <f>INDEX($U$5384:$U$5511,AG5458+1)</f>
        <v/>
      </c>
      <c r="AO5458">
        <f>INDEX($V$5384:$V$5511,AH5458+1)</f>
        <v/>
      </c>
      <c r="AP5458">
        <f>INDEX($W$5384:$W$5511,AI5458+1)</f>
        <v/>
      </c>
      <c r="AQ5458">
        <f>IF(Q5458&gt;=AJ5458-0.01,1,0)</f>
        <v/>
      </c>
      <c r="AR5458">
        <f>IF(R5458&gt;=AK5458-0.01,1,0)</f>
        <v/>
      </c>
      <c r="AS5458">
        <f>IF(S5458&gt;=AL5458-0.01,1,0)</f>
        <v/>
      </c>
      <c r="AT5458">
        <f>IF(T5458&gt;=AM5458-0.01,1,0)</f>
        <v/>
      </c>
      <c r="AU5458">
        <f>IF(U5458&gt;=AN5458-0.01,1,0)</f>
        <v/>
      </c>
      <c r="AV5458">
        <f>IF(V5458&gt;=AO5458-0.01,1,0)</f>
        <v/>
      </c>
      <c r="AW5458">
        <f>IF(W5458&gt;=AP5458-0.01,1,0)</f>
        <v/>
      </c>
      <c r="AX5458">
        <f>AQ5458*AR5458*AS5458*AT5458*AU5458*AV5458*AW5458</f>
        <v/>
      </c>
    </row>
    <row r="5459">
      <c r="A5459" t="inlineStr"/>
      <c r="B5459">
        <f>Assumptions!$B$60</f>
        <v/>
      </c>
      <c r="C5459" t="n">
        <v>1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1</v>
      </c>
      <c r="J5459">
        <f>(1-C5459)*Assumptions!$B$41+(1-D5459)*Assumptions!$B$33+(1-E5459)*Assumptions!$B$32+(1-F5459)*Assumptions!$B$31+(1-G5459)*Assumptions!$B$30+(1-H5459)*Assumptions!$B$29+(1-I5459)*Assumptions!$B$28</f>
        <v/>
      </c>
      <c r="K5459">
        <f>C5459*$J$382+D5459*$F$382+E5459*$G$382+F5459*Assumptions!$B$14+G5459*Assumptions!$B$13+H5459*Assumptions!$B$12+I5459*Assumptions!$B$11+$O$382+$S$382+Assumptions!$B$9</f>
        <v/>
      </c>
      <c r="L5459">
        <f>B5459-J5459</f>
        <v/>
      </c>
      <c r="M5459">
        <f>IF(K5459&gt;0,IF(L5459/K5459&gt;=Assumptions!$B$37,1,0),0)</f>
        <v/>
      </c>
      <c r="N5459">
        <f>K5459+M5459*Assumptions!$B$153</f>
        <v/>
      </c>
      <c r="O5459">
        <f>L5459+M5459*Assumptions!$B$153*Assumptions!$B$37</f>
        <v/>
      </c>
      <c r="P5459">
        <f>IF(N5459&gt;0,O5459/N5459,0)</f>
        <v/>
      </c>
      <c r="Q5459">
        <f>IF(C5459=1,P5459*$J$382,Assumptions!$B$41)</f>
        <v/>
      </c>
      <c r="R5459">
        <f>IF(D5459=1,P5459*$F$382,Assumptions!$B$33)</f>
        <v/>
      </c>
      <c r="S5459">
        <f>IF(E5459=1,P5459*$G$382,Assumptions!$B$32)</f>
        <v/>
      </c>
      <c r="T5459">
        <f>IF(F5459=1,P5459*Assumptions!$B$14,Assumptions!$B$31)</f>
        <v/>
      </c>
      <c r="U5459">
        <f>IF(G5459=1,P5459*Assumptions!$B$13,Assumptions!$B$30)</f>
        <v/>
      </c>
      <c r="V5459">
        <f>IF(H5459=1,P5459*Assumptions!$B$12,Assumptions!$B$29)</f>
        <v/>
      </c>
      <c r="W5459">
        <f>IF(I5459=1,P5459*Assumptions!$B$11,Assumptions!$B$28)</f>
        <v/>
      </c>
      <c r="X5459">
        <f>P5459*($O$382+$S$382)</f>
        <v/>
      </c>
      <c r="Y5459">
        <f>P5459*Assumptions!$B$9</f>
        <v/>
      </c>
      <c r="Z5459">
        <f>IF(M5459=1,(P5459-Assumptions!$B$37)*Assumptions!$B$153,0)</f>
        <v/>
      </c>
      <c r="AA5459">
        <f>Q5459+R5459+S5459+T5459+U5459+V5459+W5459+X5459+Y5459+Z5459</f>
        <v/>
      </c>
      <c r="AB5459" t="n">
        <v>75</v>
      </c>
      <c r="AC5459" t="n">
        <v>11</v>
      </c>
      <c r="AD5459" t="n">
        <v>107</v>
      </c>
      <c r="AE5459" t="n">
        <v>91</v>
      </c>
      <c r="AF5459" t="n">
        <v>67</v>
      </c>
      <c r="AG5459" t="n">
        <v>79</v>
      </c>
      <c r="AH5459" t="n">
        <v>73</v>
      </c>
      <c r="AI5459" t="n">
        <v>74</v>
      </c>
      <c r="AJ5459">
        <f>INDEX($Q$5384:$Q$5511,AC5459+1)</f>
        <v/>
      </c>
      <c r="AK5459">
        <f>INDEX($R$5384:$R$5511,AD5459+1)</f>
        <v/>
      </c>
      <c r="AL5459">
        <f>INDEX($S$5384:$S$5511,AE5459+1)</f>
        <v/>
      </c>
      <c r="AM5459">
        <f>INDEX($T$5384:$T$5511,AF5459+1)</f>
        <v/>
      </c>
      <c r="AN5459">
        <f>INDEX($U$5384:$U$5511,AG5459+1)</f>
        <v/>
      </c>
      <c r="AO5459">
        <f>INDEX($V$5384:$V$5511,AH5459+1)</f>
        <v/>
      </c>
      <c r="AP5459">
        <f>INDEX($W$5384:$W$5511,AI5459+1)</f>
        <v/>
      </c>
      <c r="AQ5459">
        <f>IF(Q5459&gt;=AJ5459-0.01,1,0)</f>
        <v/>
      </c>
      <c r="AR5459">
        <f>IF(R5459&gt;=AK5459-0.01,1,0)</f>
        <v/>
      </c>
      <c r="AS5459">
        <f>IF(S5459&gt;=AL5459-0.01,1,0)</f>
        <v/>
      </c>
      <c r="AT5459">
        <f>IF(T5459&gt;=AM5459-0.01,1,0)</f>
        <v/>
      </c>
      <c r="AU5459">
        <f>IF(U5459&gt;=AN5459-0.01,1,0)</f>
        <v/>
      </c>
      <c r="AV5459">
        <f>IF(V5459&gt;=AO5459-0.01,1,0)</f>
        <v/>
      </c>
      <c r="AW5459">
        <f>IF(W5459&gt;=AP5459-0.01,1,0)</f>
        <v/>
      </c>
      <c r="AX5459">
        <f>AQ5459*AR5459*AS5459*AT5459*AU5459*AV5459*AW5459</f>
        <v/>
      </c>
    </row>
    <row r="5460">
      <c r="A5460" t="inlineStr"/>
      <c r="B5460">
        <f>Assumptions!$B$60</f>
        <v/>
      </c>
      <c r="C5460" t="n">
        <v>1</v>
      </c>
      <c r="D5460" t="n">
        <v>0</v>
      </c>
      <c r="E5460" t="n">
        <v>0</v>
      </c>
      <c r="F5460" t="n">
        <v>1</v>
      </c>
      <c r="G5460" t="n">
        <v>1</v>
      </c>
      <c r="H5460" t="n">
        <v>0</v>
      </c>
      <c r="I5460" t="n">
        <v>0</v>
      </c>
      <c r="J5460">
        <f>(1-C5460)*Assumptions!$B$41+(1-D5460)*Assumptions!$B$33+(1-E5460)*Assumptions!$B$32+(1-F5460)*Assumptions!$B$31+(1-G5460)*Assumptions!$B$30+(1-H5460)*Assumptions!$B$29+(1-I5460)*Assumptions!$B$28</f>
        <v/>
      </c>
      <c r="K5460">
        <f>C5460*$J$382+D5460*$F$382+E5460*$G$382+F5460*Assumptions!$B$14+G5460*Assumptions!$B$13+H5460*Assumptions!$B$12+I5460*Assumptions!$B$11+$O$382+$S$382+Assumptions!$B$9</f>
        <v/>
      </c>
      <c r="L5460">
        <f>B5460-J5460</f>
        <v/>
      </c>
      <c r="M5460">
        <f>IF(K5460&gt;0,IF(L5460/K5460&gt;=Assumptions!$B$37,1,0),0)</f>
        <v/>
      </c>
      <c r="N5460">
        <f>K5460+M5460*Assumptions!$B$153</f>
        <v/>
      </c>
      <c r="O5460">
        <f>L5460+M5460*Assumptions!$B$153*Assumptions!$B$37</f>
        <v/>
      </c>
      <c r="P5460">
        <f>IF(N5460&gt;0,O5460/N5460,0)</f>
        <v/>
      </c>
      <c r="Q5460">
        <f>IF(C5460=1,P5460*$J$382,Assumptions!$B$41)</f>
        <v/>
      </c>
      <c r="R5460">
        <f>IF(D5460=1,P5460*$F$382,Assumptions!$B$33)</f>
        <v/>
      </c>
      <c r="S5460">
        <f>IF(E5460=1,P5460*$G$382,Assumptions!$B$32)</f>
        <v/>
      </c>
      <c r="T5460">
        <f>IF(F5460=1,P5460*Assumptions!$B$14,Assumptions!$B$31)</f>
        <v/>
      </c>
      <c r="U5460">
        <f>IF(G5460=1,P5460*Assumptions!$B$13,Assumptions!$B$30)</f>
        <v/>
      </c>
      <c r="V5460">
        <f>IF(H5460=1,P5460*Assumptions!$B$12,Assumptions!$B$29)</f>
        <v/>
      </c>
      <c r="W5460">
        <f>IF(I5460=1,P5460*Assumptions!$B$11,Assumptions!$B$28)</f>
        <v/>
      </c>
      <c r="X5460">
        <f>P5460*($O$382+$S$382)</f>
        <v/>
      </c>
      <c r="Y5460">
        <f>P5460*Assumptions!$B$9</f>
        <v/>
      </c>
      <c r="Z5460">
        <f>IF(M5460=1,(P5460-Assumptions!$B$37)*Assumptions!$B$153,0)</f>
        <v/>
      </c>
      <c r="AA5460">
        <f>Q5460+R5460+S5460+T5460+U5460+V5460+W5460+X5460+Y5460+Z5460</f>
        <v/>
      </c>
      <c r="AB5460" t="n">
        <v>76</v>
      </c>
      <c r="AC5460" t="n">
        <v>12</v>
      </c>
      <c r="AD5460" t="n">
        <v>108</v>
      </c>
      <c r="AE5460" t="n">
        <v>92</v>
      </c>
      <c r="AF5460" t="n">
        <v>68</v>
      </c>
      <c r="AG5460" t="n">
        <v>72</v>
      </c>
      <c r="AH5460" t="n">
        <v>78</v>
      </c>
      <c r="AI5460" t="n">
        <v>77</v>
      </c>
      <c r="AJ5460">
        <f>INDEX($Q$5384:$Q$5511,AC5460+1)</f>
        <v/>
      </c>
      <c r="AK5460">
        <f>INDEX($R$5384:$R$5511,AD5460+1)</f>
        <v/>
      </c>
      <c r="AL5460">
        <f>INDEX($S$5384:$S$5511,AE5460+1)</f>
        <v/>
      </c>
      <c r="AM5460">
        <f>INDEX($T$5384:$T$5511,AF5460+1)</f>
        <v/>
      </c>
      <c r="AN5460">
        <f>INDEX($U$5384:$U$5511,AG5460+1)</f>
        <v/>
      </c>
      <c r="AO5460">
        <f>INDEX($V$5384:$V$5511,AH5460+1)</f>
        <v/>
      </c>
      <c r="AP5460">
        <f>INDEX($W$5384:$W$5511,AI5460+1)</f>
        <v/>
      </c>
      <c r="AQ5460">
        <f>IF(Q5460&gt;=AJ5460-0.01,1,0)</f>
        <v/>
      </c>
      <c r="AR5460">
        <f>IF(R5460&gt;=AK5460-0.01,1,0)</f>
        <v/>
      </c>
      <c r="AS5460">
        <f>IF(S5460&gt;=AL5460-0.01,1,0)</f>
        <v/>
      </c>
      <c r="AT5460">
        <f>IF(T5460&gt;=AM5460-0.01,1,0)</f>
        <v/>
      </c>
      <c r="AU5460">
        <f>IF(U5460&gt;=AN5460-0.01,1,0)</f>
        <v/>
      </c>
      <c r="AV5460">
        <f>IF(V5460&gt;=AO5460-0.01,1,0)</f>
        <v/>
      </c>
      <c r="AW5460">
        <f>IF(W5460&gt;=AP5460-0.01,1,0)</f>
        <v/>
      </c>
      <c r="AX5460">
        <f>AQ5460*AR5460*AS5460*AT5460*AU5460*AV5460*AW5460</f>
        <v/>
      </c>
    </row>
    <row r="5461">
      <c r="A5461" t="inlineStr"/>
      <c r="B5461">
        <f>Assumptions!$B$60</f>
        <v/>
      </c>
      <c r="C5461" t="n">
        <v>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1</v>
      </c>
      <c r="J5461">
        <f>(1-C5461)*Assumptions!$B$41+(1-D5461)*Assumptions!$B$33+(1-E5461)*Assumptions!$B$32+(1-F5461)*Assumptions!$B$31+(1-G5461)*Assumptions!$B$30+(1-H5461)*Assumptions!$B$29+(1-I5461)*Assumptions!$B$28</f>
        <v/>
      </c>
      <c r="K5461">
        <f>C5461*$J$382+D5461*$F$382+E5461*$G$382+F5461*Assumptions!$B$14+G5461*Assumptions!$B$13+H5461*Assumptions!$B$12+I5461*Assumptions!$B$11+$O$382+$S$382+Assumptions!$B$9</f>
        <v/>
      </c>
      <c r="L5461">
        <f>B5461-J5461</f>
        <v/>
      </c>
      <c r="M5461">
        <f>IF(K5461&gt;0,IF(L5461/K5461&gt;=Assumptions!$B$37,1,0),0)</f>
        <v/>
      </c>
      <c r="N5461">
        <f>K5461+M5461*Assumptions!$B$153</f>
        <v/>
      </c>
      <c r="O5461">
        <f>L5461+M5461*Assumptions!$B$153*Assumptions!$B$37</f>
        <v/>
      </c>
      <c r="P5461">
        <f>IF(N5461&gt;0,O5461/N5461,0)</f>
        <v/>
      </c>
      <c r="Q5461">
        <f>IF(C5461=1,P5461*$J$382,Assumptions!$B$41)</f>
        <v/>
      </c>
      <c r="R5461">
        <f>IF(D5461=1,P5461*$F$382,Assumptions!$B$33)</f>
        <v/>
      </c>
      <c r="S5461">
        <f>IF(E5461=1,P5461*$G$382,Assumptions!$B$32)</f>
        <v/>
      </c>
      <c r="T5461">
        <f>IF(F5461=1,P5461*Assumptions!$B$14,Assumptions!$B$31)</f>
        <v/>
      </c>
      <c r="U5461">
        <f>IF(G5461=1,P5461*Assumptions!$B$13,Assumptions!$B$30)</f>
        <v/>
      </c>
      <c r="V5461">
        <f>IF(H5461=1,P5461*Assumptions!$B$12,Assumptions!$B$29)</f>
        <v/>
      </c>
      <c r="W5461">
        <f>IF(I5461=1,P5461*Assumptions!$B$11,Assumptions!$B$28)</f>
        <v/>
      </c>
      <c r="X5461">
        <f>P5461*($O$382+$S$382)</f>
        <v/>
      </c>
      <c r="Y5461">
        <f>P5461*Assumptions!$B$9</f>
        <v/>
      </c>
      <c r="Z5461">
        <f>IF(M5461=1,(P5461-Assumptions!$B$37)*Assumptions!$B$153,0)</f>
        <v/>
      </c>
      <c r="AA5461">
        <f>Q5461+R5461+S5461+T5461+U5461+V5461+W5461+X5461+Y5461+Z5461</f>
        <v/>
      </c>
      <c r="AB5461" t="n">
        <v>77</v>
      </c>
      <c r="AC5461" t="n">
        <v>13</v>
      </c>
      <c r="AD5461" t="n">
        <v>109</v>
      </c>
      <c r="AE5461" t="n">
        <v>93</v>
      </c>
      <c r="AF5461" t="n">
        <v>69</v>
      </c>
      <c r="AG5461" t="n">
        <v>73</v>
      </c>
      <c r="AH5461" t="n">
        <v>79</v>
      </c>
      <c r="AI5461" t="n">
        <v>76</v>
      </c>
      <c r="AJ5461">
        <f>INDEX($Q$5384:$Q$5511,AC5461+1)</f>
        <v/>
      </c>
      <c r="AK5461">
        <f>INDEX($R$5384:$R$5511,AD5461+1)</f>
        <v/>
      </c>
      <c r="AL5461">
        <f>INDEX($S$5384:$S$5511,AE5461+1)</f>
        <v/>
      </c>
      <c r="AM5461">
        <f>INDEX($T$5384:$T$5511,AF5461+1)</f>
        <v/>
      </c>
      <c r="AN5461">
        <f>INDEX($U$5384:$U$5511,AG5461+1)</f>
        <v/>
      </c>
      <c r="AO5461">
        <f>INDEX($V$5384:$V$5511,AH5461+1)</f>
        <v/>
      </c>
      <c r="AP5461">
        <f>INDEX($W$5384:$W$5511,AI5461+1)</f>
        <v/>
      </c>
      <c r="AQ5461">
        <f>IF(Q5461&gt;=AJ5461-0.01,1,0)</f>
        <v/>
      </c>
      <c r="AR5461">
        <f>IF(R5461&gt;=AK5461-0.01,1,0)</f>
        <v/>
      </c>
      <c r="AS5461">
        <f>IF(S5461&gt;=AL5461-0.01,1,0)</f>
        <v/>
      </c>
      <c r="AT5461">
        <f>IF(T5461&gt;=AM5461-0.01,1,0)</f>
        <v/>
      </c>
      <c r="AU5461">
        <f>IF(U5461&gt;=AN5461-0.01,1,0)</f>
        <v/>
      </c>
      <c r="AV5461">
        <f>IF(V5461&gt;=AO5461-0.01,1,0)</f>
        <v/>
      </c>
      <c r="AW5461">
        <f>IF(W5461&gt;=AP5461-0.01,1,0)</f>
        <v/>
      </c>
      <c r="AX5461">
        <f>AQ5461*AR5461*AS5461*AT5461*AU5461*AV5461*AW5461</f>
        <v/>
      </c>
    </row>
    <row r="5462">
      <c r="A5462" t="inlineStr"/>
      <c r="B5462">
        <f>Assumptions!$B$60</f>
        <v/>
      </c>
      <c r="C5462" t="n">
        <v>1</v>
      </c>
      <c r="D5462" t="n">
        <v>0</v>
      </c>
      <c r="E5462" t="n">
        <v>0</v>
      </c>
      <c r="F5462" t="n">
        <v>1</v>
      </c>
      <c r="G5462" t="n">
        <v>1</v>
      </c>
      <c r="H5462" t="n">
        <v>1</v>
      </c>
      <c r="I5462" t="n">
        <v>0</v>
      </c>
      <c r="J5462">
        <f>(1-C5462)*Assumptions!$B$41+(1-D5462)*Assumptions!$B$33+(1-E5462)*Assumptions!$B$32+(1-F5462)*Assumptions!$B$31+(1-G5462)*Assumptions!$B$30+(1-H5462)*Assumptions!$B$29+(1-I5462)*Assumptions!$B$28</f>
        <v/>
      </c>
      <c r="K5462">
        <f>C5462*$J$382+D5462*$F$382+E5462*$G$382+F5462*Assumptions!$B$14+G5462*Assumptions!$B$13+H5462*Assumptions!$B$12+I5462*Assumptions!$B$11+$O$382+$S$382+Assumptions!$B$9</f>
        <v/>
      </c>
      <c r="L5462">
        <f>B5462-J5462</f>
        <v/>
      </c>
      <c r="M5462">
        <f>IF(K5462&gt;0,IF(L5462/K5462&gt;=Assumptions!$B$37,1,0),0)</f>
        <v/>
      </c>
      <c r="N5462">
        <f>K5462+M5462*Assumptions!$B$153</f>
        <v/>
      </c>
      <c r="O5462">
        <f>L5462+M5462*Assumptions!$B$153*Assumptions!$B$37</f>
        <v/>
      </c>
      <c r="P5462">
        <f>IF(N5462&gt;0,O5462/N5462,0)</f>
        <v/>
      </c>
      <c r="Q5462">
        <f>IF(C5462=1,P5462*$J$382,Assumptions!$B$41)</f>
        <v/>
      </c>
      <c r="R5462">
        <f>IF(D5462=1,P5462*$F$382,Assumptions!$B$33)</f>
        <v/>
      </c>
      <c r="S5462">
        <f>IF(E5462=1,P5462*$G$382,Assumptions!$B$32)</f>
        <v/>
      </c>
      <c r="T5462">
        <f>IF(F5462=1,P5462*Assumptions!$B$14,Assumptions!$B$31)</f>
        <v/>
      </c>
      <c r="U5462">
        <f>IF(G5462=1,P5462*Assumptions!$B$13,Assumptions!$B$30)</f>
        <v/>
      </c>
      <c r="V5462">
        <f>IF(H5462=1,P5462*Assumptions!$B$12,Assumptions!$B$29)</f>
        <v/>
      </c>
      <c r="W5462">
        <f>IF(I5462=1,P5462*Assumptions!$B$11,Assumptions!$B$28)</f>
        <v/>
      </c>
      <c r="X5462">
        <f>P5462*($O$382+$S$382)</f>
        <v/>
      </c>
      <c r="Y5462">
        <f>P5462*Assumptions!$B$9</f>
        <v/>
      </c>
      <c r="Z5462">
        <f>IF(M5462=1,(P5462-Assumptions!$B$37)*Assumptions!$B$153,0)</f>
        <v/>
      </c>
      <c r="AA5462">
        <f>Q5462+R5462+S5462+T5462+U5462+V5462+W5462+X5462+Y5462+Z5462</f>
        <v/>
      </c>
      <c r="AB5462" t="n">
        <v>78</v>
      </c>
      <c r="AC5462" t="n">
        <v>14</v>
      </c>
      <c r="AD5462" t="n">
        <v>110</v>
      </c>
      <c r="AE5462" t="n">
        <v>94</v>
      </c>
      <c r="AF5462" t="n">
        <v>70</v>
      </c>
      <c r="AG5462" t="n">
        <v>74</v>
      </c>
      <c r="AH5462" t="n">
        <v>76</v>
      </c>
      <c r="AI5462" t="n">
        <v>79</v>
      </c>
      <c r="AJ5462">
        <f>INDEX($Q$5384:$Q$5511,AC5462+1)</f>
        <v/>
      </c>
      <c r="AK5462">
        <f>INDEX($R$5384:$R$5511,AD5462+1)</f>
        <v/>
      </c>
      <c r="AL5462">
        <f>INDEX($S$5384:$S$5511,AE5462+1)</f>
        <v/>
      </c>
      <c r="AM5462">
        <f>INDEX($T$5384:$T$5511,AF5462+1)</f>
        <v/>
      </c>
      <c r="AN5462">
        <f>INDEX($U$5384:$U$5511,AG5462+1)</f>
        <v/>
      </c>
      <c r="AO5462">
        <f>INDEX($V$5384:$V$5511,AH5462+1)</f>
        <v/>
      </c>
      <c r="AP5462">
        <f>INDEX($W$5384:$W$5511,AI5462+1)</f>
        <v/>
      </c>
      <c r="AQ5462">
        <f>IF(Q5462&gt;=AJ5462-0.01,1,0)</f>
        <v/>
      </c>
      <c r="AR5462">
        <f>IF(R5462&gt;=AK5462-0.01,1,0)</f>
        <v/>
      </c>
      <c r="AS5462">
        <f>IF(S5462&gt;=AL5462-0.01,1,0)</f>
        <v/>
      </c>
      <c r="AT5462">
        <f>IF(T5462&gt;=AM5462-0.01,1,0)</f>
        <v/>
      </c>
      <c r="AU5462">
        <f>IF(U5462&gt;=AN5462-0.01,1,0)</f>
        <v/>
      </c>
      <c r="AV5462">
        <f>IF(V5462&gt;=AO5462-0.01,1,0)</f>
        <v/>
      </c>
      <c r="AW5462">
        <f>IF(W5462&gt;=AP5462-0.01,1,0)</f>
        <v/>
      </c>
      <c r="AX5462">
        <f>AQ5462*AR5462*AS5462*AT5462*AU5462*AV5462*AW5462</f>
        <v/>
      </c>
    </row>
    <row r="5463">
      <c r="A5463" t="inlineStr"/>
      <c r="B5463">
        <f>Assumptions!$B$60</f>
        <v/>
      </c>
      <c r="C5463" t="n">
        <v>1</v>
      </c>
      <c r="D5463" t="n">
        <v>0</v>
      </c>
      <c r="E5463" t="n">
        <v>0</v>
      </c>
      <c r="F5463" t="n">
        <v>1</v>
      </c>
      <c r="G5463" t="n">
        <v>1</v>
      </c>
      <c r="H5463" t="n">
        <v>1</v>
      </c>
      <c r="I5463" t="n">
        <v>1</v>
      </c>
      <c r="J5463">
        <f>(1-C5463)*Assumptions!$B$41+(1-D5463)*Assumptions!$B$33+(1-E5463)*Assumptions!$B$32+(1-F5463)*Assumptions!$B$31+(1-G5463)*Assumptions!$B$30+(1-H5463)*Assumptions!$B$29+(1-I5463)*Assumptions!$B$28</f>
        <v/>
      </c>
      <c r="K5463">
        <f>C5463*$J$382+D5463*$F$382+E5463*$G$382+F5463*Assumptions!$B$14+G5463*Assumptions!$B$13+H5463*Assumptions!$B$12+I5463*Assumptions!$B$11+$O$382+$S$382+Assumptions!$B$9</f>
        <v/>
      </c>
      <c r="L5463">
        <f>B5463-J5463</f>
        <v/>
      </c>
      <c r="M5463">
        <f>IF(K5463&gt;0,IF(L5463/K5463&gt;=Assumptions!$B$37,1,0),0)</f>
        <v/>
      </c>
      <c r="N5463">
        <f>K5463+M5463*Assumptions!$B$153</f>
        <v/>
      </c>
      <c r="O5463">
        <f>L5463+M5463*Assumptions!$B$153*Assumptions!$B$37</f>
        <v/>
      </c>
      <c r="P5463">
        <f>IF(N5463&gt;0,O5463/N5463,0)</f>
        <v/>
      </c>
      <c r="Q5463">
        <f>IF(C5463=1,P5463*$J$382,Assumptions!$B$41)</f>
        <v/>
      </c>
      <c r="R5463">
        <f>IF(D5463=1,P5463*$F$382,Assumptions!$B$33)</f>
        <v/>
      </c>
      <c r="S5463">
        <f>IF(E5463=1,P5463*$G$382,Assumptions!$B$32)</f>
        <v/>
      </c>
      <c r="T5463">
        <f>IF(F5463=1,P5463*Assumptions!$B$14,Assumptions!$B$31)</f>
        <v/>
      </c>
      <c r="U5463">
        <f>IF(G5463=1,P5463*Assumptions!$B$13,Assumptions!$B$30)</f>
        <v/>
      </c>
      <c r="V5463">
        <f>IF(H5463=1,P5463*Assumptions!$B$12,Assumptions!$B$29)</f>
        <v/>
      </c>
      <c r="W5463">
        <f>IF(I5463=1,P5463*Assumptions!$B$11,Assumptions!$B$28)</f>
        <v/>
      </c>
      <c r="X5463">
        <f>P5463*($O$382+$S$382)</f>
        <v/>
      </c>
      <c r="Y5463">
        <f>P5463*Assumptions!$B$9</f>
        <v/>
      </c>
      <c r="Z5463">
        <f>IF(M5463=1,(P5463-Assumptions!$B$37)*Assumptions!$B$153,0)</f>
        <v/>
      </c>
      <c r="AA5463">
        <f>Q5463+R5463+S5463+T5463+U5463+V5463+W5463+X5463+Y5463+Z5463</f>
        <v/>
      </c>
      <c r="AB5463" t="n">
        <v>79</v>
      </c>
      <c r="AC5463" t="n">
        <v>15</v>
      </c>
      <c r="AD5463" t="n">
        <v>111</v>
      </c>
      <c r="AE5463" t="n">
        <v>95</v>
      </c>
      <c r="AF5463" t="n">
        <v>71</v>
      </c>
      <c r="AG5463" t="n">
        <v>75</v>
      </c>
      <c r="AH5463" t="n">
        <v>77</v>
      </c>
      <c r="AI5463" t="n">
        <v>78</v>
      </c>
      <c r="AJ5463">
        <f>INDEX($Q$5384:$Q$5511,AC5463+1)</f>
        <v/>
      </c>
      <c r="AK5463">
        <f>INDEX($R$5384:$R$5511,AD5463+1)</f>
        <v/>
      </c>
      <c r="AL5463">
        <f>INDEX($S$5384:$S$5511,AE5463+1)</f>
        <v/>
      </c>
      <c r="AM5463">
        <f>INDEX($T$5384:$T$5511,AF5463+1)</f>
        <v/>
      </c>
      <c r="AN5463">
        <f>INDEX($U$5384:$U$5511,AG5463+1)</f>
        <v/>
      </c>
      <c r="AO5463">
        <f>INDEX($V$5384:$V$5511,AH5463+1)</f>
        <v/>
      </c>
      <c r="AP5463">
        <f>INDEX($W$5384:$W$5511,AI5463+1)</f>
        <v/>
      </c>
      <c r="AQ5463">
        <f>IF(Q5463&gt;=AJ5463-0.01,1,0)</f>
        <v/>
      </c>
      <c r="AR5463">
        <f>IF(R5463&gt;=AK5463-0.01,1,0)</f>
        <v/>
      </c>
      <c r="AS5463">
        <f>IF(S5463&gt;=AL5463-0.01,1,0)</f>
        <v/>
      </c>
      <c r="AT5463">
        <f>IF(T5463&gt;=AM5463-0.01,1,0)</f>
        <v/>
      </c>
      <c r="AU5463">
        <f>IF(U5463&gt;=AN5463-0.01,1,0)</f>
        <v/>
      </c>
      <c r="AV5463">
        <f>IF(V5463&gt;=AO5463-0.01,1,0)</f>
        <v/>
      </c>
      <c r="AW5463">
        <f>IF(W5463&gt;=AP5463-0.01,1,0)</f>
        <v/>
      </c>
      <c r="AX5463">
        <f>AQ5463*AR5463*AS5463*AT5463*AU5463*AV5463*AW5463</f>
        <v/>
      </c>
    </row>
    <row r="5464">
      <c r="A5464" t="inlineStr"/>
      <c r="B5464">
        <f>Assumptions!$B$60</f>
        <v/>
      </c>
      <c r="C5464" t="n">
        <v>1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0</v>
      </c>
      <c r="J5464">
        <f>(1-C5464)*Assumptions!$B$41+(1-D5464)*Assumptions!$B$33+(1-E5464)*Assumptions!$B$32+(1-F5464)*Assumptions!$B$31+(1-G5464)*Assumptions!$B$30+(1-H5464)*Assumptions!$B$29+(1-I5464)*Assumptions!$B$28</f>
        <v/>
      </c>
      <c r="K5464">
        <f>C5464*$J$382+D5464*$F$382+E5464*$G$382+F5464*Assumptions!$B$14+G5464*Assumptions!$B$13+H5464*Assumptions!$B$12+I5464*Assumptions!$B$11+$O$382+$S$382+Assumptions!$B$9</f>
        <v/>
      </c>
      <c r="L5464">
        <f>B5464-J5464</f>
        <v/>
      </c>
      <c r="M5464">
        <f>IF(K5464&gt;0,IF(L5464/K5464&gt;=Assumptions!$B$37,1,0),0)</f>
        <v/>
      </c>
      <c r="N5464">
        <f>K5464+M5464*Assumptions!$B$153</f>
        <v/>
      </c>
      <c r="O5464">
        <f>L5464+M5464*Assumptions!$B$153*Assumptions!$B$37</f>
        <v/>
      </c>
      <c r="P5464">
        <f>IF(N5464&gt;0,O5464/N5464,0)</f>
        <v/>
      </c>
      <c r="Q5464">
        <f>IF(C5464=1,P5464*$J$382,Assumptions!$B$41)</f>
        <v/>
      </c>
      <c r="R5464">
        <f>IF(D5464=1,P5464*$F$382,Assumptions!$B$33)</f>
        <v/>
      </c>
      <c r="S5464">
        <f>IF(E5464=1,P5464*$G$382,Assumptions!$B$32)</f>
        <v/>
      </c>
      <c r="T5464">
        <f>IF(F5464=1,P5464*Assumptions!$B$14,Assumptions!$B$31)</f>
        <v/>
      </c>
      <c r="U5464">
        <f>IF(G5464=1,P5464*Assumptions!$B$13,Assumptions!$B$30)</f>
        <v/>
      </c>
      <c r="V5464">
        <f>IF(H5464=1,P5464*Assumptions!$B$12,Assumptions!$B$29)</f>
        <v/>
      </c>
      <c r="W5464">
        <f>IF(I5464=1,P5464*Assumptions!$B$11,Assumptions!$B$28)</f>
        <v/>
      </c>
      <c r="X5464">
        <f>P5464*($O$382+$S$382)</f>
        <v/>
      </c>
      <c r="Y5464">
        <f>P5464*Assumptions!$B$9</f>
        <v/>
      </c>
      <c r="Z5464">
        <f>IF(M5464=1,(P5464-Assumptions!$B$37)*Assumptions!$B$153,0)</f>
        <v/>
      </c>
      <c r="AA5464">
        <f>Q5464+R5464+S5464+T5464+U5464+V5464+W5464+X5464+Y5464+Z5464</f>
        <v/>
      </c>
      <c r="AB5464" t="n">
        <v>80</v>
      </c>
      <c r="AC5464" t="n">
        <v>16</v>
      </c>
      <c r="AD5464" t="n">
        <v>112</v>
      </c>
      <c r="AE5464" t="n">
        <v>64</v>
      </c>
      <c r="AF5464" t="n">
        <v>88</v>
      </c>
      <c r="AG5464" t="n">
        <v>84</v>
      </c>
      <c r="AH5464" t="n">
        <v>82</v>
      </c>
      <c r="AI5464" t="n">
        <v>81</v>
      </c>
      <c r="AJ5464">
        <f>INDEX($Q$5384:$Q$5511,AC5464+1)</f>
        <v/>
      </c>
      <c r="AK5464">
        <f>INDEX($R$5384:$R$5511,AD5464+1)</f>
        <v/>
      </c>
      <c r="AL5464">
        <f>INDEX($S$5384:$S$5511,AE5464+1)</f>
        <v/>
      </c>
      <c r="AM5464">
        <f>INDEX($T$5384:$T$5511,AF5464+1)</f>
        <v/>
      </c>
      <c r="AN5464">
        <f>INDEX($U$5384:$U$5511,AG5464+1)</f>
        <v/>
      </c>
      <c r="AO5464">
        <f>INDEX($V$5384:$V$5511,AH5464+1)</f>
        <v/>
      </c>
      <c r="AP5464">
        <f>INDEX($W$5384:$W$5511,AI5464+1)</f>
        <v/>
      </c>
      <c r="AQ5464">
        <f>IF(Q5464&gt;=AJ5464-0.01,1,0)</f>
        <v/>
      </c>
      <c r="AR5464">
        <f>IF(R5464&gt;=AK5464-0.01,1,0)</f>
        <v/>
      </c>
      <c r="AS5464">
        <f>IF(S5464&gt;=AL5464-0.01,1,0)</f>
        <v/>
      </c>
      <c r="AT5464">
        <f>IF(T5464&gt;=AM5464-0.01,1,0)</f>
        <v/>
      </c>
      <c r="AU5464">
        <f>IF(U5464&gt;=AN5464-0.01,1,0)</f>
        <v/>
      </c>
      <c r="AV5464">
        <f>IF(V5464&gt;=AO5464-0.01,1,0)</f>
        <v/>
      </c>
      <c r="AW5464">
        <f>IF(W5464&gt;=AP5464-0.01,1,0)</f>
        <v/>
      </c>
      <c r="AX5464">
        <f>AQ5464*AR5464*AS5464*AT5464*AU5464*AV5464*AW5464</f>
        <v/>
      </c>
    </row>
    <row r="5465">
      <c r="A5465" t="inlineStr"/>
      <c r="B5465">
        <f>Assumptions!$B$60</f>
        <v/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>
        <f>(1-C5465)*Assumptions!$B$41+(1-D5465)*Assumptions!$B$33+(1-E5465)*Assumptions!$B$32+(1-F5465)*Assumptions!$B$31+(1-G5465)*Assumptions!$B$30+(1-H5465)*Assumptions!$B$29+(1-I5465)*Assumptions!$B$28</f>
        <v/>
      </c>
      <c r="K5465">
        <f>C5465*$J$382+D5465*$F$382+E5465*$G$382+F5465*Assumptions!$B$14+G5465*Assumptions!$B$13+H5465*Assumptions!$B$12+I5465*Assumptions!$B$11+$O$382+$S$382+Assumptions!$B$9</f>
        <v/>
      </c>
      <c r="L5465">
        <f>B5465-J5465</f>
        <v/>
      </c>
      <c r="M5465">
        <f>IF(K5465&gt;0,IF(L5465/K5465&gt;=Assumptions!$B$37,1,0),0)</f>
        <v/>
      </c>
      <c r="N5465">
        <f>K5465+M5465*Assumptions!$B$153</f>
        <v/>
      </c>
      <c r="O5465">
        <f>L5465+M5465*Assumptions!$B$153*Assumptions!$B$37</f>
        <v/>
      </c>
      <c r="P5465">
        <f>IF(N5465&gt;0,O5465/N5465,0)</f>
        <v/>
      </c>
      <c r="Q5465">
        <f>IF(C5465=1,P5465*$J$382,Assumptions!$B$41)</f>
        <v/>
      </c>
      <c r="R5465">
        <f>IF(D5465=1,P5465*$F$382,Assumptions!$B$33)</f>
        <v/>
      </c>
      <c r="S5465">
        <f>IF(E5465=1,P5465*$G$382,Assumptions!$B$32)</f>
        <v/>
      </c>
      <c r="T5465">
        <f>IF(F5465=1,P5465*Assumptions!$B$14,Assumptions!$B$31)</f>
        <v/>
      </c>
      <c r="U5465">
        <f>IF(G5465=1,P5465*Assumptions!$B$13,Assumptions!$B$30)</f>
        <v/>
      </c>
      <c r="V5465">
        <f>IF(H5465=1,P5465*Assumptions!$B$12,Assumptions!$B$29)</f>
        <v/>
      </c>
      <c r="W5465">
        <f>IF(I5465=1,P5465*Assumptions!$B$11,Assumptions!$B$28)</f>
        <v/>
      </c>
      <c r="X5465">
        <f>P5465*($O$382+$S$382)</f>
        <v/>
      </c>
      <c r="Y5465">
        <f>P5465*Assumptions!$B$9</f>
        <v/>
      </c>
      <c r="Z5465">
        <f>IF(M5465=1,(P5465-Assumptions!$B$37)*Assumptions!$B$153,0)</f>
        <v/>
      </c>
      <c r="AA5465">
        <f>Q5465+R5465+S5465+T5465+U5465+V5465+W5465+X5465+Y5465+Z5465</f>
        <v/>
      </c>
      <c r="AB5465" t="n">
        <v>81</v>
      </c>
      <c r="AC5465" t="n">
        <v>17</v>
      </c>
      <c r="AD5465" t="n">
        <v>113</v>
      </c>
      <c r="AE5465" t="n">
        <v>65</v>
      </c>
      <c r="AF5465" t="n">
        <v>89</v>
      </c>
      <c r="AG5465" t="n">
        <v>85</v>
      </c>
      <c r="AH5465" t="n">
        <v>83</v>
      </c>
      <c r="AI5465" t="n">
        <v>80</v>
      </c>
      <c r="AJ5465">
        <f>INDEX($Q$5384:$Q$5511,AC5465+1)</f>
        <v/>
      </c>
      <c r="AK5465">
        <f>INDEX($R$5384:$R$5511,AD5465+1)</f>
        <v/>
      </c>
      <c r="AL5465">
        <f>INDEX($S$5384:$S$5511,AE5465+1)</f>
        <v/>
      </c>
      <c r="AM5465">
        <f>INDEX($T$5384:$T$5511,AF5465+1)</f>
        <v/>
      </c>
      <c r="AN5465">
        <f>INDEX($U$5384:$U$5511,AG5465+1)</f>
        <v/>
      </c>
      <c r="AO5465">
        <f>INDEX($V$5384:$V$5511,AH5465+1)</f>
        <v/>
      </c>
      <c r="AP5465">
        <f>INDEX($W$5384:$W$5511,AI5465+1)</f>
        <v/>
      </c>
      <c r="AQ5465">
        <f>IF(Q5465&gt;=AJ5465-0.01,1,0)</f>
        <v/>
      </c>
      <c r="AR5465">
        <f>IF(R5465&gt;=AK5465-0.01,1,0)</f>
        <v/>
      </c>
      <c r="AS5465">
        <f>IF(S5465&gt;=AL5465-0.01,1,0)</f>
        <v/>
      </c>
      <c r="AT5465">
        <f>IF(T5465&gt;=AM5465-0.01,1,0)</f>
        <v/>
      </c>
      <c r="AU5465">
        <f>IF(U5465&gt;=AN5465-0.01,1,0)</f>
        <v/>
      </c>
      <c r="AV5465">
        <f>IF(V5465&gt;=AO5465-0.01,1,0)</f>
        <v/>
      </c>
      <c r="AW5465">
        <f>IF(W5465&gt;=AP5465-0.01,1,0)</f>
        <v/>
      </c>
      <c r="AX5465">
        <f>AQ5465*AR5465*AS5465*AT5465*AU5465*AV5465*AW5465</f>
        <v/>
      </c>
    </row>
    <row r="5466">
      <c r="A5466" t="inlineStr"/>
      <c r="B5466">
        <f>Assumptions!$B$60</f>
        <v/>
      </c>
      <c r="C5466" t="n">
        <v>1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  <c r="I5466" t="n">
        <v>0</v>
      </c>
      <c r="J5466">
        <f>(1-C5466)*Assumptions!$B$41+(1-D5466)*Assumptions!$B$33+(1-E5466)*Assumptions!$B$32+(1-F5466)*Assumptions!$B$31+(1-G5466)*Assumptions!$B$30+(1-H5466)*Assumptions!$B$29+(1-I5466)*Assumptions!$B$28</f>
        <v/>
      </c>
      <c r="K5466">
        <f>C5466*$J$382+D5466*$F$382+E5466*$G$382+F5466*Assumptions!$B$14+G5466*Assumptions!$B$13+H5466*Assumptions!$B$12+I5466*Assumptions!$B$11+$O$382+$S$382+Assumptions!$B$9</f>
        <v/>
      </c>
      <c r="L5466">
        <f>B5466-J5466</f>
        <v/>
      </c>
      <c r="M5466">
        <f>IF(K5466&gt;0,IF(L5466/K5466&gt;=Assumptions!$B$37,1,0),0)</f>
        <v/>
      </c>
      <c r="N5466">
        <f>K5466+M5466*Assumptions!$B$153</f>
        <v/>
      </c>
      <c r="O5466">
        <f>L5466+M5466*Assumptions!$B$153*Assumptions!$B$37</f>
        <v/>
      </c>
      <c r="P5466">
        <f>IF(N5466&gt;0,O5466/N5466,0)</f>
        <v/>
      </c>
      <c r="Q5466">
        <f>IF(C5466=1,P5466*$J$382,Assumptions!$B$41)</f>
        <v/>
      </c>
      <c r="R5466">
        <f>IF(D5466=1,P5466*$F$382,Assumptions!$B$33)</f>
        <v/>
      </c>
      <c r="S5466">
        <f>IF(E5466=1,P5466*$G$382,Assumptions!$B$32)</f>
        <v/>
      </c>
      <c r="T5466">
        <f>IF(F5466=1,P5466*Assumptions!$B$14,Assumptions!$B$31)</f>
        <v/>
      </c>
      <c r="U5466">
        <f>IF(G5466=1,P5466*Assumptions!$B$13,Assumptions!$B$30)</f>
        <v/>
      </c>
      <c r="V5466">
        <f>IF(H5466=1,P5466*Assumptions!$B$12,Assumptions!$B$29)</f>
        <v/>
      </c>
      <c r="W5466">
        <f>IF(I5466=1,P5466*Assumptions!$B$11,Assumptions!$B$28)</f>
        <v/>
      </c>
      <c r="X5466">
        <f>P5466*($O$382+$S$382)</f>
        <v/>
      </c>
      <c r="Y5466">
        <f>P5466*Assumptions!$B$9</f>
        <v/>
      </c>
      <c r="Z5466">
        <f>IF(M5466=1,(P5466-Assumptions!$B$37)*Assumptions!$B$153,0)</f>
        <v/>
      </c>
      <c r="AA5466">
        <f>Q5466+R5466+S5466+T5466+U5466+V5466+W5466+X5466+Y5466+Z5466</f>
        <v/>
      </c>
      <c r="AB5466" t="n">
        <v>82</v>
      </c>
      <c r="AC5466" t="n">
        <v>18</v>
      </c>
      <c r="AD5466" t="n">
        <v>114</v>
      </c>
      <c r="AE5466" t="n">
        <v>66</v>
      </c>
      <c r="AF5466" t="n">
        <v>90</v>
      </c>
      <c r="AG5466" t="n">
        <v>86</v>
      </c>
      <c r="AH5466" t="n">
        <v>80</v>
      </c>
      <c r="AI5466" t="n">
        <v>83</v>
      </c>
      <c r="AJ5466">
        <f>INDEX($Q$5384:$Q$5511,AC5466+1)</f>
        <v/>
      </c>
      <c r="AK5466">
        <f>INDEX($R$5384:$R$5511,AD5466+1)</f>
        <v/>
      </c>
      <c r="AL5466">
        <f>INDEX($S$5384:$S$5511,AE5466+1)</f>
        <v/>
      </c>
      <c r="AM5466">
        <f>INDEX($T$5384:$T$5511,AF5466+1)</f>
        <v/>
      </c>
      <c r="AN5466">
        <f>INDEX($U$5384:$U$5511,AG5466+1)</f>
        <v/>
      </c>
      <c r="AO5466">
        <f>INDEX($V$5384:$V$5511,AH5466+1)</f>
        <v/>
      </c>
      <c r="AP5466">
        <f>INDEX($W$5384:$W$5511,AI5466+1)</f>
        <v/>
      </c>
      <c r="AQ5466">
        <f>IF(Q5466&gt;=AJ5466-0.01,1,0)</f>
        <v/>
      </c>
      <c r="AR5466">
        <f>IF(R5466&gt;=AK5466-0.01,1,0)</f>
        <v/>
      </c>
      <c r="AS5466">
        <f>IF(S5466&gt;=AL5466-0.01,1,0)</f>
        <v/>
      </c>
      <c r="AT5466">
        <f>IF(T5466&gt;=AM5466-0.01,1,0)</f>
        <v/>
      </c>
      <c r="AU5466">
        <f>IF(U5466&gt;=AN5466-0.01,1,0)</f>
        <v/>
      </c>
      <c r="AV5466">
        <f>IF(V5466&gt;=AO5466-0.01,1,0)</f>
        <v/>
      </c>
      <c r="AW5466">
        <f>IF(W5466&gt;=AP5466-0.01,1,0)</f>
        <v/>
      </c>
      <c r="AX5466">
        <f>AQ5466*AR5466*AS5466*AT5466*AU5466*AV5466*AW5466</f>
        <v/>
      </c>
    </row>
    <row r="5467">
      <c r="A5467" t="inlineStr"/>
      <c r="B5467">
        <f>Assumptions!$B$60</f>
        <v/>
      </c>
      <c r="C5467" t="n">
        <v>1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  <c r="I5467" t="n">
        <v>1</v>
      </c>
      <c r="J5467">
        <f>(1-C5467)*Assumptions!$B$41+(1-D5467)*Assumptions!$B$33+(1-E5467)*Assumptions!$B$32+(1-F5467)*Assumptions!$B$31+(1-G5467)*Assumptions!$B$30+(1-H5467)*Assumptions!$B$29+(1-I5467)*Assumptions!$B$28</f>
        <v/>
      </c>
      <c r="K5467">
        <f>C5467*$J$382+D5467*$F$382+E5467*$G$382+F5467*Assumptions!$B$14+G5467*Assumptions!$B$13+H5467*Assumptions!$B$12+I5467*Assumptions!$B$11+$O$382+$S$382+Assumptions!$B$9</f>
        <v/>
      </c>
      <c r="L5467">
        <f>B5467-J5467</f>
        <v/>
      </c>
      <c r="M5467">
        <f>IF(K5467&gt;0,IF(L5467/K5467&gt;=Assumptions!$B$37,1,0),0)</f>
        <v/>
      </c>
      <c r="N5467">
        <f>K5467+M5467*Assumptions!$B$153</f>
        <v/>
      </c>
      <c r="O5467">
        <f>L5467+M5467*Assumptions!$B$153*Assumptions!$B$37</f>
        <v/>
      </c>
      <c r="P5467">
        <f>IF(N5467&gt;0,O5467/N5467,0)</f>
        <v/>
      </c>
      <c r="Q5467">
        <f>IF(C5467=1,P5467*$J$382,Assumptions!$B$41)</f>
        <v/>
      </c>
      <c r="R5467">
        <f>IF(D5467=1,P5467*$F$382,Assumptions!$B$33)</f>
        <v/>
      </c>
      <c r="S5467">
        <f>IF(E5467=1,P5467*$G$382,Assumptions!$B$32)</f>
        <v/>
      </c>
      <c r="T5467">
        <f>IF(F5467=1,P5467*Assumptions!$B$14,Assumptions!$B$31)</f>
        <v/>
      </c>
      <c r="U5467">
        <f>IF(G5467=1,P5467*Assumptions!$B$13,Assumptions!$B$30)</f>
        <v/>
      </c>
      <c r="V5467">
        <f>IF(H5467=1,P5467*Assumptions!$B$12,Assumptions!$B$29)</f>
        <v/>
      </c>
      <c r="W5467">
        <f>IF(I5467=1,P5467*Assumptions!$B$11,Assumptions!$B$28)</f>
        <v/>
      </c>
      <c r="X5467">
        <f>P5467*($O$382+$S$382)</f>
        <v/>
      </c>
      <c r="Y5467">
        <f>P5467*Assumptions!$B$9</f>
        <v/>
      </c>
      <c r="Z5467">
        <f>IF(M5467=1,(P5467-Assumptions!$B$37)*Assumptions!$B$153,0)</f>
        <v/>
      </c>
      <c r="AA5467">
        <f>Q5467+R5467+S5467+T5467+U5467+V5467+W5467+X5467+Y5467+Z5467</f>
        <v/>
      </c>
      <c r="AB5467" t="n">
        <v>83</v>
      </c>
      <c r="AC5467" t="n">
        <v>19</v>
      </c>
      <c r="AD5467" t="n">
        <v>115</v>
      </c>
      <c r="AE5467" t="n">
        <v>67</v>
      </c>
      <c r="AF5467" t="n">
        <v>91</v>
      </c>
      <c r="AG5467" t="n">
        <v>87</v>
      </c>
      <c r="AH5467" t="n">
        <v>81</v>
      </c>
      <c r="AI5467" t="n">
        <v>82</v>
      </c>
      <c r="AJ5467">
        <f>INDEX($Q$5384:$Q$5511,AC5467+1)</f>
        <v/>
      </c>
      <c r="AK5467">
        <f>INDEX($R$5384:$R$5511,AD5467+1)</f>
        <v/>
      </c>
      <c r="AL5467">
        <f>INDEX($S$5384:$S$5511,AE5467+1)</f>
        <v/>
      </c>
      <c r="AM5467">
        <f>INDEX($T$5384:$T$5511,AF5467+1)</f>
        <v/>
      </c>
      <c r="AN5467">
        <f>INDEX($U$5384:$U$5511,AG5467+1)</f>
        <v/>
      </c>
      <c r="AO5467">
        <f>INDEX($V$5384:$V$5511,AH5467+1)</f>
        <v/>
      </c>
      <c r="AP5467">
        <f>INDEX($W$5384:$W$5511,AI5467+1)</f>
        <v/>
      </c>
      <c r="AQ5467">
        <f>IF(Q5467&gt;=AJ5467-0.01,1,0)</f>
        <v/>
      </c>
      <c r="AR5467">
        <f>IF(R5467&gt;=AK5467-0.01,1,0)</f>
        <v/>
      </c>
      <c r="AS5467">
        <f>IF(S5467&gt;=AL5467-0.01,1,0)</f>
        <v/>
      </c>
      <c r="AT5467">
        <f>IF(T5467&gt;=AM5467-0.01,1,0)</f>
        <v/>
      </c>
      <c r="AU5467">
        <f>IF(U5467&gt;=AN5467-0.01,1,0)</f>
        <v/>
      </c>
      <c r="AV5467">
        <f>IF(V5467&gt;=AO5467-0.01,1,0)</f>
        <v/>
      </c>
      <c r="AW5467">
        <f>IF(W5467&gt;=AP5467-0.01,1,0)</f>
        <v/>
      </c>
      <c r="AX5467">
        <f>AQ5467*AR5467*AS5467*AT5467*AU5467*AV5467*AW5467</f>
        <v/>
      </c>
    </row>
    <row r="5468">
      <c r="A5468" t="inlineStr"/>
      <c r="B5468">
        <f>Assumptions!$B$60</f>
        <v/>
      </c>
      <c r="C5468" t="n">
        <v>1</v>
      </c>
      <c r="D5468" t="n">
        <v>0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>
        <f>(1-C5468)*Assumptions!$B$41+(1-D5468)*Assumptions!$B$33+(1-E5468)*Assumptions!$B$32+(1-F5468)*Assumptions!$B$31+(1-G5468)*Assumptions!$B$30+(1-H5468)*Assumptions!$B$29+(1-I5468)*Assumptions!$B$28</f>
        <v/>
      </c>
      <c r="K5468">
        <f>C5468*$J$382+D5468*$F$382+E5468*$G$382+F5468*Assumptions!$B$14+G5468*Assumptions!$B$13+H5468*Assumptions!$B$12+I5468*Assumptions!$B$11+$O$382+$S$382+Assumptions!$B$9</f>
        <v/>
      </c>
      <c r="L5468">
        <f>B5468-J5468</f>
        <v/>
      </c>
      <c r="M5468">
        <f>IF(K5468&gt;0,IF(L5468/K5468&gt;=Assumptions!$B$37,1,0),0)</f>
        <v/>
      </c>
      <c r="N5468">
        <f>K5468+M5468*Assumptions!$B$153</f>
        <v/>
      </c>
      <c r="O5468">
        <f>L5468+M5468*Assumptions!$B$153*Assumptions!$B$37</f>
        <v/>
      </c>
      <c r="P5468">
        <f>IF(N5468&gt;0,O5468/N5468,0)</f>
        <v/>
      </c>
      <c r="Q5468">
        <f>IF(C5468=1,P5468*$J$382,Assumptions!$B$41)</f>
        <v/>
      </c>
      <c r="R5468">
        <f>IF(D5468=1,P5468*$F$382,Assumptions!$B$33)</f>
        <v/>
      </c>
      <c r="S5468">
        <f>IF(E5468=1,P5468*$G$382,Assumptions!$B$32)</f>
        <v/>
      </c>
      <c r="T5468">
        <f>IF(F5468=1,P5468*Assumptions!$B$14,Assumptions!$B$31)</f>
        <v/>
      </c>
      <c r="U5468">
        <f>IF(G5468=1,P5468*Assumptions!$B$13,Assumptions!$B$30)</f>
        <v/>
      </c>
      <c r="V5468">
        <f>IF(H5468=1,P5468*Assumptions!$B$12,Assumptions!$B$29)</f>
        <v/>
      </c>
      <c r="W5468">
        <f>IF(I5468=1,P5468*Assumptions!$B$11,Assumptions!$B$28)</f>
        <v/>
      </c>
      <c r="X5468">
        <f>P5468*($O$382+$S$382)</f>
        <v/>
      </c>
      <c r="Y5468">
        <f>P5468*Assumptions!$B$9</f>
        <v/>
      </c>
      <c r="Z5468">
        <f>IF(M5468=1,(P5468-Assumptions!$B$37)*Assumptions!$B$153,0)</f>
        <v/>
      </c>
      <c r="AA5468">
        <f>Q5468+R5468+S5468+T5468+U5468+V5468+W5468+X5468+Y5468+Z5468</f>
        <v/>
      </c>
      <c r="AB5468" t="n">
        <v>84</v>
      </c>
      <c r="AC5468" t="n">
        <v>20</v>
      </c>
      <c r="AD5468" t="n">
        <v>116</v>
      </c>
      <c r="AE5468" t="n">
        <v>68</v>
      </c>
      <c r="AF5468" t="n">
        <v>92</v>
      </c>
      <c r="AG5468" t="n">
        <v>80</v>
      </c>
      <c r="AH5468" t="n">
        <v>86</v>
      </c>
      <c r="AI5468" t="n">
        <v>85</v>
      </c>
      <c r="AJ5468">
        <f>INDEX($Q$5384:$Q$5511,AC5468+1)</f>
        <v/>
      </c>
      <c r="AK5468">
        <f>INDEX($R$5384:$R$5511,AD5468+1)</f>
        <v/>
      </c>
      <c r="AL5468">
        <f>INDEX($S$5384:$S$5511,AE5468+1)</f>
        <v/>
      </c>
      <c r="AM5468">
        <f>INDEX($T$5384:$T$5511,AF5468+1)</f>
        <v/>
      </c>
      <c r="AN5468">
        <f>INDEX($U$5384:$U$5511,AG5468+1)</f>
        <v/>
      </c>
      <c r="AO5468">
        <f>INDEX($V$5384:$V$5511,AH5468+1)</f>
        <v/>
      </c>
      <c r="AP5468">
        <f>INDEX($W$5384:$W$5511,AI5468+1)</f>
        <v/>
      </c>
      <c r="AQ5468">
        <f>IF(Q5468&gt;=AJ5468-0.01,1,0)</f>
        <v/>
      </c>
      <c r="AR5468">
        <f>IF(R5468&gt;=AK5468-0.01,1,0)</f>
        <v/>
      </c>
      <c r="AS5468">
        <f>IF(S5468&gt;=AL5468-0.01,1,0)</f>
        <v/>
      </c>
      <c r="AT5468">
        <f>IF(T5468&gt;=AM5468-0.01,1,0)</f>
        <v/>
      </c>
      <c r="AU5468">
        <f>IF(U5468&gt;=AN5468-0.01,1,0)</f>
        <v/>
      </c>
      <c r="AV5468">
        <f>IF(V5468&gt;=AO5468-0.01,1,0)</f>
        <v/>
      </c>
      <c r="AW5468">
        <f>IF(W5468&gt;=AP5468-0.01,1,0)</f>
        <v/>
      </c>
      <c r="AX5468">
        <f>AQ5468*AR5468*AS5468*AT5468*AU5468*AV5468*AW5468</f>
        <v/>
      </c>
    </row>
    <row r="5469">
      <c r="A5469" t="inlineStr"/>
      <c r="B5469">
        <f>Assumptions!$B$60</f>
        <v/>
      </c>
      <c r="C5469" t="n">
        <v>1</v>
      </c>
      <c r="D5469" t="n">
        <v>0</v>
      </c>
      <c r="E5469" t="n">
        <v>1</v>
      </c>
      <c r="F5469" t="n">
        <v>0</v>
      </c>
      <c r="G5469" t="n">
        <v>1</v>
      </c>
      <c r="H5469" t="n">
        <v>0</v>
      </c>
      <c r="I5469" t="n">
        <v>1</v>
      </c>
      <c r="J5469">
        <f>(1-C5469)*Assumptions!$B$41+(1-D5469)*Assumptions!$B$33+(1-E5469)*Assumptions!$B$32+(1-F5469)*Assumptions!$B$31+(1-G5469)*Assumptions!$B$30+(1-H5469)*Assumptions!$B$29+(1-I5469)*Assumptions!$B$28</f>
        <v/>
      </c>
      <c r="K5469">
        <f>C5469*$J$382+D5469*$F$382+E5469*$G$382+F5469*Assumptions!$B$14+G5469*Assumptions!$B$13+H5469*Assumptions!$B$12+I5469*Assumptions!$B$11+$O$382+$S$382+Assumptions!$B$9</f>
        <v/>
      </c>
      <c r="L5469">
        <f>B5469-J5469</f>
        <v/>
      </c>
      <c r="M5469">
        <f>IF(K5469&gt;0,IF(L5469/K5469&gt;=Assumptions!$B$37,1,0),0)</f>
        <v/>
      </c>
      <c r="N5469">
        <f>K5469+M5469*Assumptions!$B$153</f>
        <v/>
      </c>
      <c r="O5469">
        <f>L5469+M5469*Assumptions!$B$153*Assumptions!$B$37</f>
        <v/>
      </c>
      <c r="P5469">
        <f>IF(N5469&gt;0,O5469/N5469,0)</f>
        <v/>
      </c>
      <c r="Q5469">
        <f>IF(C5469=1,P5469*$J$382,Assumptions!$B$41)</f>
        <v/>
      </c>
      <c r="R5469">
        <f>IF(D5469=1,P5469*$F$382,Assumptions!$B$33)</f>
        <v/>
      </c>
      <c r="S5469">
        <f>IF(E5469=1,P5469*$G$382,Assumptions!$B$32)</f>
        <v/>
      </c>
      <c r="T5469">
        <f>IF(F5469=1,P5469*Assumptions!$B$14,Assumptions!$B$31)</f>
        <v/>
      </c>
      <c r="U5469">
        <f>IF(G5469=1,P5469*Assumptions!$B$13,Assumptions!$B$30)</f>
        <v/>
      </c>
      <c r="V5469">
        <f>IF(H5469=1,P5469*Assumptions!$B$12,Assumptions!$B$29)</f>
        <v/>
      </c>
      <c r="W5469">
        <f>IF(I5469=1,P5469*Assumptions!$B$11,Assumptions!$B$28)</f>
        <v/>
      </c>
      <c r="X5469">
        <f>P5469*($O$382+$S$382)</f>
        <v/>
      </c>
      <c r="Y5469">
        <f>P5469*Assumptions!$B$9</f>
        <v/>
      </c>
      <c r="Z5469">
        <f>IF(M5469=1,(P5469-Assumptions!$B$37)*Assumptions!$B$153,0)</f>
        <v/>
      </c>
      <c r="AA5469">
        <f>Q5469+R5469+S5469+T5469+U5469+V5469+W5469+X5469+Y5469+Z5469</f>
        <v/>
      </c>
      <c r="AB5469" t="n">
        <v>85</v>
      </c>
      <c r="AC5469" t="n">
        <v>21</v>
      </c>
      <c r="AD5469" t="n">
        <v>117</v>
      </c>
      <c r="AE5469" t="n">
        <v>69</v>
      </c>
      <c r="AF5469" t="n">
        <v>93</v>
      </c>
      <c r="AG5469" t="n">
        <v>81</v>
      </c>
      <c r="AH5469" t="n">
        <v>87</v>
      </c>
      <c r="AI5469" t="n">
        <v>84</v>
      </c>
      <c r="AJ5469">
        <f>INDEX($Q$5384:$Q$5511,AC5469+1)</f>
        <v/>
      </c>
      <c r="AK5469">
        <f>INDEX($R$5384:$R$5511,AD5469+1)</f>
        <v/>
      </c>
      <c r="AL5469">
        <f>INDEX($S$5384:$S$5511,AE5469+1)</f>
        <v/>
      </c>
      <c r="AM5469">
        <f>INDEX($T$5384:$T$5511,AF5469+1)</f>
        <v/>
      </c>
      <c r="AN5469">
        <f>INDEX($U$5384:$U$5511,AG5469+1)</f>
        <v/>
      </c>
      <c r="AO5469">
        <f>INDEX($V$5384:$V$5511,AH5469+1)</f>
        <v/>
      </c>
      <c r="AP5469">
        <f>INDEX($W$5384:$W$5511,AI5469+1)</f>
        <v/>
      </c>
      <c r="AQ5469">
        <f>IF(Q5469&gt;=AJ5469-0.01,1,0)</f>
        <v/>
      </c>
      <c r="AR5469">
        <f>IF(R5469&gt;=AK5469-0.01,1,0)</f>
        <v/>
      </c>
      <c r="AS5469">
        <f>IF(S5469&gt;=AL5469-0.01,1,0)</f>
        <v/>
      </c>
      <c r="AT5469">
        <f>IF(T5469&gt;=AM5469-0.01,1,0)</f>
        <v/>
      </c>
      <c r="AU5469">
        <f>IF(U5469&gt;=AN5469-0.01,1,0)</f>
        <v/>
      </c>
      <c r="AV5469">
        <f>IF(V5469&gt;=AO5469-0.01,1,0)</f>
        <v/>
      </c>
      <c r="AW5469">
        <f>IF(W5469&gt;=AP5469-0.01,1,0)</f>
        <v/>
      </c>
      <c r="AX5469">
        <f>AQ5469*AR5469*AS5469*AT5469*AU5469*AV5469*AW5469</f>
        <v/>
      </c>
    </row>
    <row r="5470">
      <c r="A5470" t="inlineStr"/>
      <c r="B5470">
        <f>Assumptions!$B$60</f>
        <v/>
      </c>
      <c r="C5470" t="n">
        <v>1</v>
      </c>
      <c r="D5470" t="n">
        <v>0</v>
      </c>
      <c r="E5470" t="n">
        <v>1</v>
      </c>
      <c r="F5470" t="n">
        <v>0</v>
      </c>
      <c r="G5470" t="n">
        <v>1</v>
      </c>
      <c r="H5470" t="n">
        <v>1</v>
      </c>
      <c r="I5470" t="n">
        <v>0</v>
      </c>
      <c r="J5470">
        <f>(1-C5470)*Assumptions!$B$41+(1-D5470)*Assumptions!$B$33+(1-E5470)*Assumptions!$B$32+(1-F5470)*Assumptions!$B$31+(1-G5470)*Assumptions!$B$30+(1-H5470)*Assumptions!$B$29+(1-I5470)*Assumptions!$B$28</f>
        <v/>
      </c>
      <c r="K5470">
        <f>C5470*$J$382+D5470*$F$382+E5470*$G$382+F5470*Assumptions!$B$14+G5470*Assumptions!$B$13+H5470*Assumptions!$B$12+I5470*Assumptions!$B$11+$O$382+$S$382+Assumptions!$B$9</f>
        <v/>
      </c>
      <c r="L5470">
        <f>B5470-J5470</f>
        <v/>
      </c>
      <c r="M5470">
        <f>IF(K5470&gt;0,IF(L5470/K5470&gt;=Assumptions!$B$37,1,0),0)</f>
        <v/>
      </c>
      <c r="N5470">
        <f>K5470+M5470*Assumptions!$B$153</f>
        <v/>
      </c>
      <c r="O5470">
        <f>L5470+M5470*Assumptions!$B$153*Assumptions!$B$37</f>
        <v/>
      </c>
      <c r="P5470">
        <f>IF(N5470&gt;0,O5470/N5470,0)</f>
        <v/>
      </c>
      <c r="Q5470">
        <f>IF(C5470=1,P5470*$J$382,Assumptions!$B$41)</f>
        <v/>
      </c>
      <c r="R5470">
        <f>IF(D5470=1,P5470*$F$382,Assumptions!$B$33)</f>
        <v/>
      </c>
      <c r="S5470">
        <f>IF(E5470=1,P5470*$G$382,Assumptions!$B$32)</f>
        <v/>
      </c>
      <c r="T5470">
        <f>IF(F5470=1,P5470*Assumptions!$B$14,Assumptions!$B$31)</f>
        <v/>
      </c>
      <c r="U5470">
        <f>IF(G5470=1,P5470*Assumptions!$B$13,Assumptions!$B$30)</f>
        <v/>
      </c>
      <c r="V5470">
        <f>IF(H5470=1,P5470*Assumptions!$B$12,Assumptions!$B$29)</f>
        <v/>
      </c>
      <c r="W5470">
        <f>IF(I5470=1,P5470*Assumptions!$B$11,Assumptions!$B$28)</f>
        <v/>
      </c>
      <c r="X5470">
        <f>P5470*($O$382+$S$382)</f>
        <v/>
      </c>
      <c r="Y5470">
        <f>P5470*Assumptions!$B$9</f>
        <v/>
      </c>
      <c r="Z5470">
        <f>IF(M5470=1,(P5470-Assumptions!$B$37)*Assumptions!$B$153,0)</f>
        <v/>
      </c>
      <c r="AA5470">
        <f>Q5470+R5470+S5470+T5470+U5470+V5470+W5470+X5470+Y5470+Z5470</f>
        <v/>
      </c>
      <c r="AB5470" t="n">
        <v>86</v>
      </c>
      <c r="AC5470" t="n">
        <v>22</v>
      </c>
      <c r="AD5470" t="n">
        <v>118</v>
      </c>
      <c r="AE5470" t="n">
        <v>70</v>
      </c>
      <c r="AF5470" t="n">
        <v>94</v>
      </c>
      <c r="AG5470" t="n">
        <v>82</v>
      </c>
      <c r="AH5470" t="n">
        <v>84</v>
      </c>
      <c r="AI5470" t="n">
        <v>87</v>
      </c>
      <c r="AJ5470">
        <f>INDEX($Q$5384:$Q$5511,AC5470+1)</f>
        <v/>
      </c>
      <c r="AK5470">
        <f>INDEX($R$5384:$R$5511,AD5470+1)</f>
        <v/>
      </c>
      <c r="AL5470">
        <f>INDEX($S$5384:$S$5511,AE5470+1)</f>
        <v/>
      </c>
      <c r="AM5470">
        <f>INDEX($T$5384:$T$5511,AF5470+1)</f>
        <v/>
      </c>
      <c r="AN5470">
        <f>INDEX($U$5384:$U$5511,AG5470+1)</f>
        <v/>
      </c>
      <c r="AO5470">
        <f>INDEX($V$5384:$V$5511,AH5470+1)</f>
        <v/>
      </c>
      <c r="AP5470">
        <f>INDEX($W$5384:$W$5511,AI5470+1)</f>
        <v/>
      </c>
      <c r="AQ5470">
        <f>IF(Q5470&gt;=AJ5470-0.01,1,0)</f>
        <v/>
      </c>
      <c r="AR5470">
        <f>IF(R5470&gt;=AK5470-0.01,1,0)</f>
        <v/>
      </c>
      <c r="AS5470">
        <f>IF(S5470&gt;=AL5470-0.01,1,0)</f>
        <v/>
      </c>
      <c r="AT5470">
        <f>IF(T5470&gt;=AM5470-0.01,1,0)</f>
        <v/>
      </c>
      <c r="AU5470">
        <f>IF(U5470&gt;=AN5470-0.01,1,0)</f>
        <v/>
      </c>
      <c r="AV5470">
        <f>IF(V5470&gt;=AO5470-0.01,1,0)</f>
        <v/>
      </c>
      <c r="AW5470">
        <f>IF(W5470&gt;=AP5470-0.01,1,0)</f>
        <v/>
      </c>
      <c r="AX5470">
        <f>AQ5470*AR5470*AS5470*AT5470*AU5470*AV5470*AW5470</f>
        <v/>
      </c>
    </row>
    <row r="5471">
      <c r="A5471" t="inlineStr"/>
      <c r="B5471">
        <f>Assumptions!$B$60</f>
        <v/>
      </c>
      <c r="C5471" t="n">
        <v>1</v>
      </c>
      <c r="D5471" t="n">
        <v>0</v>
      </c>
      <c r="E5471" t="n">
        <v>1</v>
      </c>
      <c r="F5471" t="n">
        <v>0</v>
      </c>
      <c r="G5471" t="n">
        <v>1</v>
      </c>
      <c r="H5471" t="n">
        <v>1</v>
      </c>
      <c r="I5471" t="n">
        <v>1</v>
      </c>
      <c r="J5471">
        <f>(1-C5471)*Assumptions!$B$41+(1-D5471)*Assumptions!$B$33+(1-E5471)*Assumptions!$B$32+(1-F5471)*Assumptions!$B$31+(1-G5471)*Assumptions!$B$30+(1-H5471)*Assumptions!$B$29+(1-I5471)*Assumptions!$B$28</f>
        <v/>
      </c>
      <c r="K5471">
        <f>C5471*$J$382+D5471*$F$382+E5471*$G$382+F5471*Assumptions!$B$14+G5471*Assumptions!$B$13+H5471*Assumptions!$B$12+I5471*Assumptions!$B$11+$O$382+$S$382+Assumptions!$B$9</f>
        <v/>
      </c>
      <c r="L5471">
        <f>B5471-J5471</f>
        <v/>
      </c>
      <c r="M5471">
        <f>IF(K5471&gt;0,IF(L5471/K5471&gt;=Assumptions!$B$37,1,0),0)</f>
        <v/>
      </c>
      <c r="N5471">
        <f>K5471+M5471*Assumptions!$B$153</f>
        <v/>
      </c>
      <c r="O5471">
        <f>L5471+M5471*Assumptions!$B$153*Assumptions!$B$37</f>
        <v/>
      </c>
      <c r="P5471">
        <f>IF(N5471&gt;0,O5471/N5471,0)</f>
        <v/>
      </c>
      <c r="Q5471">
        <f>IF(C5471=1,P5471*$J$382,Assumptions!$B$41)</f>
        <v/>
      </c>
      <c r="R5471">
        <f>IF(D5471=1,P5471*$F$382,Assumptions!$B$33)</f>
        <v/>
      </c>
      <c r="S5471">
        <f>IF(E5471=1,P5471*$G$382,Assumptions!$B$32)</f>
        <v/>
      </c>
      <c r="T5471">
        <f>IF(F5471=1,P5471*Assumptions!$B$14,Assumptions!$B$31)</f>
        <v/>
      </c>
      <c r="U5471">
        <f>IF(G5471=1,P5471*Assumptions!$B$13,Assumptions!$B$30)</f>
        <v/>
      </c>
      <c r="V5471">
        <f>IF(H5471=1,P5471*Assumptions!$B$12,Assumptions!$B$29)</f>
        <v/>
      </c>
      <c r="W5471">
        <f>IF(I5471=1,P5471*Assumptions!$B$11,Assumptions!$B$28)</f>
        <v/>
      </c>
      <c r="X5471">
        <f>P5471*($O$382+$S$382)</f>
        <v/>
      </c>
      <c r="Y5471">
        <f>P5471*Assumptions!$B$9</f>
        <v/>
      </c>
      <c r="Z5471">
        <f>IF(M5471=1,(P5471-Assumptions!$B$37)*Assumptions!$B$153,0)</f>
        <v/>
      </c>
      <c r="AA5471">
        <f>Q5471+R5471+S5471+T5471+U5471+V5471+W5471+X5471+Y5471+Z5471</f>
        <v/>
      </c>
      <c r="AB5471" t="n">
        <v>87</v>
      </c>
      <c r="AC5471" t="n">
        <v>23</v>
      </c>
      <c r="AD5471" t="n">
        <v>119</v>
      </c>
      <c r="AE5471" t="n">
        <v>71</v>
      </c>
      <c r="AF5471" t="n">
        <v>95</v>
      </c>
      <c r="AG5471" t="n">
        <v>83</v>
      </c>
      <c r="AH5471" t="n">
        <v>85</v>
      </c>
      <c r="AI5471" t="n">
        <v>86</v>
      </c>
      <c r="AJ5471">
        <f>INDEX($Q$5384:$Q$5511,AC5471+1)</f>
        <v/>
      </c>
      <c r="AK5471">
        <f>INDEX($R$5384:$R$5511,AD5471+1)</f>
        <v/>
      </c>
      <c r="AL5471">
        <f>INDEX($S$5384:$S$5511,AE5471+1)</f>
        <v/>
      </c>
      <c r="AM5471">
        <f>INDEX($T$5384:$T$5511,AF5471+1)</f>
        <v/>
      </c>
      <c r="AN5471">
        <f>INDEX($U$5384:$U$5511,AG5471+1)</f>
        <v/>
      </c>
      <c r="AO5471">
        <f>INDEX($V$5384:$V$5511,AH5471+1)</f>
        <v/>
      </c>
      <c r="AP5471">
        <f>INDEX($W$5384:$W$5511,AI5471+1)</f>
        <v/>
      </c>
      <c r="AQ5471">
        <f>IF(Q5471&gt;=AJ5471-0.01,1,0)</f>
        <v/>
      </c>
      <c r="AR5471">
        <f>IF(R5471&gt;=AK5471-0.01,1,0)</f>
        <v/>
      </c>
      <c r="AS5471">
        <f>IF(S5471&gt;=AL5471-0.01,1,0)</f>
        <v/>
      </c>
      <c r="AT5471">
        <f>IF(T5471&gt;=AM5471-0.01,1,0)</f>
        <v/>
      </c>
      <c r="AU5471">
        <f>IF(U5471&gt;=AN5471-0.01,1,0)</f>
        <v/>
      </c>
      <c r="AV5471">
        <f>IF(V5471&gt;=AO5471-0.01,1,0)</f>
        <v/>
      </c>
      <c r="AW5471">
        <f>IF(W5471&gt;=AP5471-0.01,1,0)</f>
        <v/>
      </c>
      <c r="AX5471">
        <f>AQ5471*AR5471*AS5471*AT5471*AU5471*AV5471*AW5471</f>
        <v/>
      </c>
    </row>
    <row r="5472">
      <c r="A5472" t="inlineStr"/>
      <c r="B5472">
        <f>Assumptions!$B$60</f>
        <v/>
      </c>
      <c r="C5472" t="n">
        <v>1</v>
      </c>
      <c r="D5472" t="n">
        <v>0</v>
      </c>
      <c r="E5472" t="n">
        <v>1</v>
      </c>
      <c r="F5472" t="n">
        <v>1</v>
      </c>
      <c r="G5472" t="n">
        <v>0</v>
      </c>
      <c r="H5472" t="n">
        <v>0</v>
      </c>
      <c r="I5472" t="n">
        <v>0</v>
      </c>
      <c r="J5472">
        <f>(1-C5472)*Assumptions!$B$41+(1-D5472)*Assumptions!$B$33+(1-E5472)*Assumptions!$B$32+(1-F5472)*Assumptions!$B$31+(1-G5472)*Assumptions!$B$30+(1-H5472)*Assumptions!$B$29+(1-I5472)*Assumptions!$B$28</f>
        <v/>
      </c>
      <c r="K5472">
        <f>C5472*$J$382+D5472*$F$382+E5472*$G$382+F5472*Assumptions!$B$14+G5472*Assumptions!$B$13+H5472*Assumptions!$B$12+I5472*Assumptions!$B$11+$O$382+$S$382+Assumptions!$B$9</f>
        <v/>
      </c>
      <c r="L5472">
        <f>B5472-J5472</f>
        <v/>
      </c>
      <c r="M5472">
        <f>IF(K5472&gt;0,IF(L5472/K5472&gt;=Assumptions!$B$37,1,0),0)</f>
        <v/>
      </c>
      <c r="N5472">
        <f>K5472+M5472*Assumptions!$B$153</f>
        <v/>
      </c>
      <c r="O5472">
        <f>L5472+M5472*Assumptions!$B$153*Assumptions!$B$37</f>
        <v/>
      </c>
      <c r="P5472">
        <f>IF(N5472&gt;0,O5472/N5472,0)</f>
        <v/>
      </c>
      <c r="Q5472">
        <f>IF(C5472=1,P5472*$J$382,Assumptions!$B$41)</f>
        <v/>
      </c>
      <c r="R5472">
        <f>IF(D5472=1,P5472*$F$382,Assumptions!$B$33)</f>
        <v/>
      </c>
      <c r="S5472">
        <f>IF(E5472=1,P5472*$G$382,Assumptions!$B$32)</f>
        <v/>
      </c>
      <c r="T5472">
        <f>IF(F5472=1,P5472*Assumptions!$B$14,Assumptions!$B$31)</f>
        <v/>
      </c>
      <c r="U5472">
        <f>IF(G5472=1,P5472*Assumptions!$B$13,Assumptions!$B$30)</f>
        <v/>
      </c>
      <c r="V5472">
        <f>IF(H5472=1,P5472*Assumptions!$B$12,Assumptions!$B$29)</f>
        <v/>
      </c>
      <c r="W5472">
        <f>IF(I5472=1,P5472*Assumptions!$B$11,Assumptions!$B$28)</f>
        <v/>
      </c>
      <c r="X5472">
        <f>P5472*($O$382+$S$382)</f>
        <v/>
      </c>
      <c r="Y5472">
        <f>P5472*Assumptions!$B$9</f>
        <v/>
      </c>
      <c r="Z5472">
        <f>IF(M5472=1,(P5472-Assumptions!$B$37)*Assumptions!$B$153,0)</f>
        <v/>
      </c>
      <c r="AA5472">
        <f>Q5472+R5472+S5472+T5472+U5472+V5472+W5472+X5472+Y5472+Z5472</f>
        <v/>
      </c>
      <c r="AB5472" t="n">
        <v>88</v>
      </c>
      <c r="AC5472" t="n">
        <v>24</v>
      </c>
      <c r="AD5472" t="n">
        <v>120</v>
      </c>
      <c r="AE5472" t="n">
        <v>72</v>
      </c>
      <c r="AF5472" t="n">
        <v>80</v>
      </c>
      <c r="AG5472" t="n">
        <v>92</v>
      </c>
      <c r="AH5472" t="n">
        <v>90</v>
      </c>
      <c r="AI5472" t="n">
        <v>89</v>
      </c>
      <c r="AJ5472">
        <f>INDEX($Q$5384:$Q$5511,AC5472+1)</f>
        <v/>
      </c>
      <c r="AK5472">
        <f>INDEX($R$5384:$R$5511,AD5472+1)</f>
        <v/>
      </c>
      <c r="AL5472">
        <f>INDEX($S$5384:$S$5511,AE5472+1)</f>
        <v/>
      </c>
      <c r="AM5472">
        <f>INDEX($T$5384:$T$5511,AF5472+1)</f>
        <v/>
      </c>
      <c r="AN5472">
        <f>INDEX($U$5384:$U$5511,AG5472+1)</f>
        <v/>
      </c>
      <c r="AO5472">
        <f>INDEX($V$5384:$V$5511,AH5472+1)</f>
        <v/>
      </c>
      <c r="AP5472">
        <f>INDEX($W$5384:$W$5511,AI5472+1)</f>
        <v/>
      </c>
      <c r="AQ5472">
        <f>IF(Q5472&gt;=AJ5472-0.01,1,0)</f>
        <v/>
      </c>
      <c r="AR5472">
        <f>IF(R5472&gt;=AK5472-0.01,1,0)</f>
        <v/>
      </c>
      <c r="AS5472">
        <f>IF(S5472&gt;=AL5472-0.01,1,0)</f>
        <v/>
      </c>
      <c r="AT5472">
        <f>IF(T5472&gt;=AM5472-0.01,1,0)</f>
        <v/>
      </c>
      <c r="AU5472">
        <f>IF(U5472&gt;=AN5472-0.01,1,0)</f>
        <v/>
      </c>
      <c r="AV5472">
        <f>IF(V5472&gt;=AO5472-0.01,1,0)</f>
        <v/>
      </c>
      <c r="AW5472">
        <f>IF(W5472&gt;=AP5472-0.01,1,0)</f>
        <v/>
      </c>
      <c r="AX5472">
        <f>AQ5472*AR5472*AS5472*AT5472*AU5472*AV5472*AW5472</f>
        <v/>
      </c>
    </row>
    <row r="5473">
      <c r="A5473" t="inlineStr"/>
      <c r="B5473">
        <f>Assumptions!$B$60</f>
        <v/>
      </c>
      <c r="C5473" t="n">
        <v>1</v>
      </c>
      <c r="D5473" t="n">
        <v>0</v>
      </c>
      <c r="E5473" t="n">
        <v>1</v>
      </c>
      <c r="F5473" t="n">
        <v>1</v>
      </c>
      <c r="G5473" t="n">
        <v>0</v>
      </c>
      <c r="H5473" t="n">
        <v>0</v>
      </c>
      <c r="I5473" t="n">
        <v>1</v>
      </c>
      <c r="J5473">
        <f>(1-C5473)*Assumptions!$B$41+(1-D5473)*Assumptions!$B$33+(1-E5473)*Assumptions!$B$32+(1-F5473)*Assumptions!$B$31+(1-G5473)*Assumptions!$B$30+(1-H5473)*Assumptions!$B$29+(1-I5473)*Assumptions!$B$28</f>
        <v/>
      </c>
      <c r="K5473">
        <f>C5473*$J$382+D5473*$F$382+E5473*$G$382+F5473*Assumptions!$B$14+G5473*Assumptions!$B$13+H5473*Assumptions!$B$12+I5473*Assumptions!$B$11+$O$382+$S$382+Assumptions!$B$9</f>
        <v/>
      </c>
      <c r="L5473">
        <f>B5473-J5473</f>
        <v/>
      </c>
      <c r="M5473">
        <f>IF(K5473&gt;0,IF(L5473/K5473&gt;=Assumptions!$B$37,1,0),0)</f>
        <v/>
      </c>
      <c r="N5473">
        <f>K5473+M5473*Assumptions!$B$153</f>
        <v/>
      </c>
      <c r="O5473">
        <f>L5473+M5473*Assumptions!$B$153*Assumptions!$B$37</f>
        <v/>
      </c>
      <c r="P5473">
        <f>IF(N5473&gt;0,O5473/N5473,0)</f>
        <v/>
      </c>
      <c r="Q5473">
        <f>IF(C5473=1,P5473*$J$382,Assumptions!$B$41)</f>
        <v/>
      </c>
      <c r="R5473">
        <f>IF(D5473=1,P5473*$F$382,Assumptions!$B$33)</f>
        <v/>
      </c>
      <c r="S5473">
        <f>IF(E5473=1,P5473*$G$382,Assumptions!$B$32)</f>
        <v/>
      </c>
      <c r="T5473">
        <f>IF(F5473=1,P5473*Assumptions!$B$14,Assumptions!$B$31)</f>
        <v/>
      </c>
      <c r="U5473">
        <f>IF(G5473=1,P5473*Assumptions!$B$13,Assumptions!$B$30)</f>
        <v/>
      </c>
      <c r="V5473">
        <f>IF(H5473=1,P5473*Assumptions!$B$12,Assumptions!$B$29)</f>
        <v/>
      </c>
      <c r="W5473">
        <f>IF(I5473=1,P5473*Assumptions!$B$11,Assumptions!$B$28)</f>
        <v/>
      </c>
      <c r="X5473">
        <f>P5473*($O$382+$S$382)</f>
        <v/>
      </c>
      <c r="Y5473">
        <f>P5473*Assumptions!$B$9</f>
        <v/>
      </c>
      <c r="Z5473">
        <f>IF(M5473=1,(P5473-Assumptions!$B$37)*Assumptions!$B$153,0)</f>
        <v/>
      </c>
      <c r="AA5473">
        <f>Q5473+R5473+S5473+T5473+U5473+V5473+W5473+X5473+Y5473+Z5473</f>
        <v/>
      </c>
      <c r="AB5473" t="n">
        <v>89</v>
      </c>
      <c r="AC5473" t="n">
        <v>25</v>
      </c>
      <c r="AD5473" t="n">
        <v>121</v>
      </c>
      <c r="AE5473" t="n">
        <v>73</v>
      </c>
      <c r="AF5473" t="n">
        <v>81</v>
      </c>
      <c r="AG5473" t="n">
        <v>93</v>
      </c>
      <c r="AH5473" t="n">
        <v>91</v>
      </c>
      <c r="AI5473" t="n">
        <v>88</v>
      </c>
      <c r="AJ5473">
        <f>INDEX($Q$5384:$Q$5511,AC5473+1)</f>
        <v/>
      </c>
      <c r="AK5473">
        <f>INDEX($R$5384:$R$5511,AD5473+1)</f>
        <v/>
      </c>
      <c r="AL5473">
        <f>INDEX($S$5384:$S$5511,AE5473+1)</f>
        <v/>
      </c>
      <c r="AM5473">
        <f>INDEX($T$5384:$T$5511,AF5473+1)</f>
        <v/>
      </c>
      <c r="AN5473">
        <f>INDEX($U$5384:$U$5511,AG5473+1)</f>
        <v/>
      </c>
      <c r="AO5473">
        <f>INDEX($V$5384:$V$5511,AH5473+1)</f>
        <v/>
      </c>
      <c r="AP5473">
        <f>INDEX($W$5384:$W$5511,AI5473+1)</f>
        <v/>
      </c>
      <c r="AQ5473">
        <f>IF(Q5473&gt;=AJ5473-0.01,1,0)</f>
        <v/>
      </c>
      <c r="AR5473">
        <f>IF(R5473&gt;=AK5473-0.01,1,0)</f>
        <v/>
      </c>
      <c r="AS5473">
        <f>IF(S5473&gt;=AL5473-0.01,1,0)</f>
        <v/>
      </c>
      <c r="AT5473">
        <f>IF(T5473&gt;=AM5473-0.01,1,0)</f>
        <v/>
      </c>
      <c r="AU5473">
        <f>IF(U5473&gt;=AN5473-0.01,1,0)</f>
        <v/>
      </c>
      <c r="AV5473">
        <f>IF(V5473&gt;=AO5473-0.01,1,0)</f>
        <v/>
      </c>
      <c r="AW5473">
        <f>IF(W5473&gt;=AP5473-0.01,1,0)</f>
        <v/>
      </c>
      <c r="AX5473">
        <f>AQ5473*AR5473*AS5473*AT5473*AU5473*AV5473*AW5473</f>
        <v/>
      </c>
    </row>
    <row r="5474">
      <c r="A5474" t="inlineStr"/>
      <c r="B5474">
        <f>Assumptions!$B$60</f>
        <v/>
      </c>
      <c r="C5474" t="n">
        <v>1</v>
      </c>
      <c r="D5474" t="n">
        <v>0</v>
      </c>
      <c r="E5474" t="n">
        <v>1</v>
      </c>
      <c r="F5474" t="n">
        <v>1</v>
      </c>
      <c r="G5474" t="n">
        <v>0</v>
      </c>
      <c r="H5474" t="n">
        <v>1</v>
      </c>
      <c r="I5474" t="n">
        <v>0</v>
      </c>
      <c r="J5474">
        <f>(1-C5474)*Assumptions!$B$41+(1-D5474)*Assumptions!$B$33+(1-E5474)*Assumptions!$B$32+(1-F5474)*Assumptions!$B$31+(1-G5474)*Assumptions!$B$30+(1-H5474)*Assumptions!$B$29+(1-I5474)*Assumptions!$B$28</f>
        <v/>
      </c>
      <c r="K5474">
        <f>C5474*$J$382+D5474*$F$382+E5474*$G$382+F5474*Assumptions!$B$14+G5474*Assumptions!$B$13+H5474*Assumptions!$B$12+I5474*Assumptions!$B$11+$O$382+$S$382+Assumptions!$B$9</f>
        <v/>
      </c>
      <c r="L5474">
        <f>B5474-J5474</f>
        <v/>
      </c>
      <c r="M5474">
        <f>IF(K5474&gt;0,IF(L5474/K5474&gt;=Assumptions!$B$37,1,0),0)</f>
        <v/>
      </c>
      <c r="N5474">
        <f>K5474+M5474*Assumptions!$B$153</f>
        <v/>
      </c>
      <c r="O5474">
        <f>L5474+M5474*Assumptions!$B$153*Assumptions!$B$37</f>
        <v/>
      </c>
      <c r="P5474">
        <f>IF(N5474&gt;0,O5474/N5474,0)</f>
        <v/>
      </c>
      <c r="Q5474">
        <f>IF(C5474=1,P5474*$J$382,Assumptions!$B$41)</f>
        <v/>
      </c>
      <c r="R5474">
        <f>IF(D5474=1,P5474*$F$382,Assumptions!$B$33)</f>
        <v/>
      </c>
      <c r="S5474">
        <f>IF(E5474=1,P5474*$G$382,Assumptions!$B$32)</f>
        <v/>
      </c>
      <c r="T5474">
        <f>IF(F5474=1,P5474*Assumptions!$B$14,Assumptions!$B$31)</f>
        <v/>
      </c>
      <c r="U5474">
        <f>IF(G5474=1,P5474*Assumptions!$B$13,Assumptions!$B$30)</f>
        <v/>
      </c>
      <c r="V5474">
        <f>IF(H5474=1,P5474*Assumptions!$B$12,Assumptions!$B$29)</f>
        <v/>
      </c>
      <c r="W5474">
        <f>IF(I5474=1,P5474*Assumptions!$B$11,Assumptions!$B$28)</f>
        <v/>
      </c>
      <c r="X5474">
        <f>P5474*($O$382+$S$382)</f>
        <v/>
      </c>
      <c r="Y5474">
        <f>P5474*Assumptions!$B$9</f>
        <v/>
      </c>
      <c r="Z5474">
        <f>IF(M5474=1,(P5474-Assumptions!$B$37)*Assumptions!$B$153,0)</f>
        <v/>
      </c>
      <c r="AA5474">
        <f>Q5474+R5474+S5474+T5474+U5474+V5474+W5474+X5474+Y5474+Z5474</f>
        <v/>
      </c>
      <c r="AB5474" t="n">
        <v>90</v>
      </c>
      <c r="AC5474" t="n">
        <v>26</v>
      </c>
      <c r="AD5474" t="n">
        <v>122</v>
      </c>
      <c r="AE5474" t="n">
        <v>74</v>
      </c>
      <c r="AF5474" t="n">
        <v>82</v>
      </c>
      <c r="AG5474" t="n">
        <v>94</v>
      </c>
      <c r="AH5474" t="n">
        <v>88</v>
      </c>
      <c r="AI5474" t="n">
        <v>91</v>
      </c>
      <c r="AJ5474">
        <f>INDEX($Q$5384:$Q$5511,AC5474+1)</f>
        <v/>
      </c>
      <c r="AK5474">
        <f>INDEX($R$5384:$R$5511,AD5474+1)</f>
        <v/>
      </c>
      <c r="AL5474">
        <f>INDEX($S$5384:$S$5511,AE5474+1)</f>
        <v/>
      </c>
      <c r="AM5474">
        <f>INDEX($T$5384:$T$5511,AF5474+1)</f>
        <v/>
      </c>
      <c r="AN5474">
        <f>INDEX($U$5384:$U$5511,AG5474+1)</f>
        <v/>
      </c>
      <c r="AO5474">
        <f>INDEX($V$5384:$V$5511,AH5474+1)</f>
        <v/>
      </c>
      <c r="AP5474">
        <f>INDEX($W$5384:$W$5511,AI5474+1)</f>
        <v/>
      </c>
      <c r="AQ5474">
        <f>IF(Q5474&gt;=AJ5474-0.01,1,0)</f>
        <v/>
      </c>
      <c r="AR5474">
        <f>IF(R5474&gt;=AK5474-0.01,1,0)</f>
        <v/>
      </c>
      <c r="AS5474">
        <f>IF(S5474&gt;=AL5474-0.01,1,0)</f>
        <v/>
      </c>
      <c r="AT5474">
        <f>IF(T5474&gt;=AM5474-0.01,1,0)</f>
        <v/>
      </c>
      <c r="AU5474">
        <f>IF(U5474&gt;=AN5474-0.01,1,0)</f>
        <v/>
      </c>
      <c r="AV5474">
        <f>IF(V5474&gt;=AO5474-0.01,1,0)</f>
        <v/>
      </c>
      <c r="AW5474">
        <f>IF(W5474&gt;=AP5474-0.01,1,0)</f>
        <v/>
      </c>
      <c r="AX5474">
        <f>AQ5474*AR5474*AS5474*AT5474*AU5474*AV5474*AW5474</f>
        <v/>
      </c>
    </row>
    <row r="5475">
      <c r="A5475" t="inlineStr"/>
      <c r="B5475">
        <f>Assumptions!$B$60</f>
        <v/>
      </c>
      <c r="C5475" t="n">
        <v>1</v>
      </c>
      <c r="D5475" t="n">
        <v>0</v>
      </c>
      <c r="E5475" t="n">
        <v>1</v>
      </c>
      <c r="F5475" t="n">
        <v>1</v>
      </c>
      <c r="G5475" t="n">
        <v>0</v>
      </c>
      <c r="H5475" t="n">
        <v>1</v>
      </c>
      <c r="I5475" t="n">
        <v>1</v>
      </c>
      <c r="J5475">
        <f>(1-C5475)*Assumptions!$B$41+(1-D5475)*Assumptions!$B$33+(1-E5475)*Assumptions!$B$32+(1-F5475)*Assumptions!$B$31+(1-G5475)*Assumptions!$B$30+(1-H5475)*Assumptions!$B$29+(1-I5475)*Assumptions!$B$28</f>
        <v/>
      </c>
      <c r="K5475">
        <f>C5475*$J$382+D5475*$F$382+E5475*$G$382+F5475*Assumptions!$B$14+G5475*Assumptions!$B$13+H5475*Assumptions!$B$12+I5475*Assumptions!$B$11+$O$382+$S$382+Assumptions!$B$9</f>
        <v/>
      </c>
      <c r="L5475">
        <f>B5475-J5475</f>
        <v/>
      </c>
      <c r="M5475">
        <f>IF(K5475&gt;0,IF(L5475/K5475&gt;=Assumptions!$B$37,1,0),0)</f>
        <v/>
      </c>
      <c r="N5475">
        <f>K5475+M5475*Assumptions!$B$153</f>
        <v/>
      </c>
      <c r="O5475">
        <f>L5475+M5475*Assumptions!$B$153*Assumptions!$B$37</f>
        <v/>
      </c>
      <c r="P5475">
        <f>IF(N5475&gt;0,O5475/N5475,0)</f>
        <v/>
      </c>
      <c r="Q5475">
        <f>IF(C5475=1,P5475*$J$382,Assumptions!$B$41)</f>
        <v/>
      </c>
      <c r="R5475">
        <f>IF(D5475=1,P5475*$F$382,Assumptions!$B$33)</f>
        <v/>
      </c>
      <c r="S5475">
        <f>IF(E5475=1,P5475*$G$382,Assumptions!$B$32)</f>
        <v/>
      </c>
      <c r="T5475">
        <f>IF(F5475=1,P5475*Assumptions!$B$14,Assumptions!$B$31)</f>
        <v/>
      </c>
      <c r="U5475">
        <f>IF(G5475=1,P5475*Assumptions!$B$13,Assumptions!$B$30)</f>
        <v/>
      </c>
      <c r="V5475">
        <f>IF(H5475=1,P5475*Assumptions!$B$12,Assumptions!$B$29)</f>
        <v/>
      </c>
      <c r="W5475">
        <f>IF(I5475=1,P5475*Assumptions!$B$11,Assumptions!$B$28)</f>
        <v/>
      </c>
      <c r="X5475">
        <f>P5475*($O$382+$S$382)</f>
        <v/>
      </c>
      <c r="Y5475">
        <f>P5475*Assumptions!$B$9</f>
        <v/>
      </c>
      <c r="Z5475">
        <f>IF(M5475=1,(P5475-Assumptions!$B$37)*Assumptions!$B$153,0)</f>
        <v/>
      </c>
      <c r="AA5475">
        <f>Q5475+R5475+S5475+T5475+U5475+V5475+W5475+X5475+Y5475+Z5475</f>
        <v/>
      </c>
      <c r="AB5475" t="n">
        <v>91</v>
      </c>
      <c r="AC5475" t="n">
        <v>27</v>
      </c>
      <c r="AD5475" t="n">
        <v>123</v>
      </c>
      <c r="AE5475" t="n">
        <v>75</v>
      </c>
      <c r="AF5475" t="n">
        <v>83</v>
      </c>
      <c r="AG5475" t="n">
        <v>95</v>
      </c>
      <c r="AH5475" t="n">
        <v>89</v>
      </c>
      <c r="AI5475" t="n">
        <v>90</v>
      </c>
      <c r="AJ5475">
        <f>INDEX($Q$5384:$Q$5511,AC5475+1)</f>
        <v/>
      </c>
      <c r="AK5475">
        <f>INDEX($R$5384:$R$5511,AD5475+1)</f>
        <v/>
      </c>
      <c r="AL5475">
        <f>INDEX($S$5384:$S$5511,AE5475+1)</f>
        <v/>
      </c>
      <c r="AM5475">
        <f>INDEX($T$5384:$T$5511,AF5475+1)</f>
        <v/>
      </c>
      <c r="AN5475">
        <f>INDEX($U$5384:$U$5511,AG5475+1)</f>
        <v/>
      </c>
      <c r="AO5475">
        <f>INDEX($V$5384:$V$5511,AH5475+1)</f>
        <v/>
      </c>
      <c r="AP5475">
        <f>INDEX($W$5384:$W$5511,AI5475+1)</f>
        <v/>
      </c>
      <c r="AQ5475">
        <f>IF(Q5475&gt;=AJ5475-0.01,1,0)</f>
        <v/>
      </c>
      <c r="AR5475">
        <f>IF(R5475&gt;=AK5475-0.01,1,0)</f>
        <v/>
      </c>
      <c r="AS5475">
        <f>IF(S5475&gt;=AL5475-0.01,1,0)</f>
        <v/>
      </c>
      <c r="AT5475">
        <f>IF(T5475&gt;=AM5475-0.01,1,0)</f>
        <v/>
      </c>
      <c r="AU5475">
        <f>IF(U5475&gt;=AN5475-0.01,1,0)</f>
        <v/>
      </c>
      <c r="AV5475">
        <f>IF(V5475&gt;=AO5475-0.01,1,0)</f>
        <v/>
      </c>
      <c r="AW5475">
        <f>IF(W5475&gt;=AP5475-0.01,1,0)</f>
        <v/>
      </c>
      <c r="AX5475">
        <f>AQ5475*AR5475*AS5475*AT5475*AU5475*AV5475*AW5475</f>
        <v/>
      </c>
    </row>
    <row r="5476">
      <c r="A5476" t="inlineStr"/>
      <c r="B5476">
        <f>Assumptions!$B$60</f>
        <v/>
      </c>
      <c r="C5476" t="n">
        <v>1</v>
      </c>
      <c r="D5476" t="n">
        <v>0</v>
      </c>
      <c r="E5476" t="n">
        <v>1</v>
      </c>
      <c r="F5476" t="n">
        <v>1</v>
      </c>
      <c r="G5476" t="n">
        <v>1</v>
      </c>
      <c r="H5476" t="n">
        <v>0</v>
      </c>
      <c r="I5476" t="n">
        <v>0</v>
      </c>
      <c r="J5476">
        <f>(1-C5476)*Assumptions!$B$41+(1-D5476)*Assumptions!$B$33+(1-E5476)*Assumptions!$B$32+(1-F5476)*Assumptions!$B$31+(1-G5476)*Assumptions!$B$30+(1-H5476)*Assumptions!$B$29+(1-I5476)*Assumptions!$B$28</f>
        <v/>
      </c>
      <c r="K5476">
        <f>C5476*$J$382+D5476*$F$382+E5476*$G$382+F5476*Assumptions!$B$14+G5476*Assumptions!$B$13+H5476*Assumptions!$B$12+I5476*Assumptions!$B$11+$O$382+$S$382+Assumptions!$B$9</f>
        <v/>
      </c>
      <c r="L5476">
        <f>B5476-J5476</f>
        <v/>
      </c>
      <c r="M5476">
        <f>IF(K5476&gt;0,IF(L5476/K5476&gt;=Assumptions!$B$37,1,0),0)</f>
        <v/>
      </c>
      <c r="N5476">
        <f>K5476+M5476*Assumptions!$B$153</f>
        <v/>
      </c>
      <c r="O5476">
        <f>L5476+M5476*Assumptions!$B$153*Assumptions!$B$37</f>
        <v/>
      </c>
      <c r="P5476">
        <f>IF(N5476&gt;0,O5476/N5476,0)</f>
        <v/>
      </c>
      <c r="Q5476">
        <f>IF(C5476=1,P5476*$J$382,Assumptions!$B$41)</f>
        <v/>
      </c>
      <c r="R5476">
        <f>IF(D5476=1,P5476*$F$382,Assumptions!$B$33)</f>
        <v/>
      </c>
      <c r="S5476">
        <f>IF(E5476=1,P5476*$G$382,Assumptions!$B$32)</f>
        <v/>
      </c>
      <c r="T5476">
        <f>IF(F5476=1,P5476*Assumptions!$B$14,Assumptions!$B$31)</f>
        <v/>
      </c>
      <c r="U5476">
        <f>IF(G5476=1,P5476*Assumptions!$B$13,Assumptions!$B$30)</f>
        <v/>
      </c>
      <c r="V5476">
        <f>IF(H5476=1,P5476*Assumptions!$B$12,Assumptions!$B$29)</f>
        <v/>
      </c>
      <c r="W5476">
        <f>IF(I5476=1,P5476*Assumptions!$B$11,Assumptions!$B$28)</f>
        <v/>
      </c>
      <c r="X5476">
        <f>P5476*($O$382+$S$382)</f>
        <v/>
      </c>
      <c r="Y5476">
        <f>P5476*Assumptions!$B$9</f>
        <v/>
      </c>
      <c r="Z5476">
        <f>IF(M5476=1,(P5476-Assumptions!$B$37)*Assumptions!$B$153,0)</f>
        <v/>
      </c>
      <c r="AA5476">
        <f>Q5476+R5476+S5476+T5476+U5476+V5476+W5476+X5476+Y5476+Z5476</f>
        <v/>
      </c>
      <c r="AB5476" t="n">
        <v>92</v>
      </c>
      <c r="AC5476" t="n">
        <v>28</v>
      </c>
      <c r="AD5476" t="n">
        <v>124</v>
      </c>
      <c r="AE5476" t="n">
        <v>76</v>
      </c>
      <c r="AF5476" t="n">
        <v>84</v>
      </c>
      <c r="AG5476" t="n">
        <v>88</v>
      </c>
      <c r="AH5476" t="n">
        <v>94</v>
      </c>
      <c r="AI5476" t="n">
        <v>93</v>
      </c>
      <c r="AJ5476">
        <f>INDEX($Q$5384:$Q$5511,AC5476+1)</f>
        <v/>
      </c>
      <c r="AK5476">
        <f>INDEX($R$5384:$R$5511,AD5476+1)</f>
        <v/>
      </c>
      <c r="AL5476">
        <f>INDEX($S$5384:$S$5511,AE5476+1)</f>
        <v/>
      </c>
      <c r="AM5476">
        <f>INDEX($T$5384:$T$5511,AF5476+1)</f>
        <v/>
      </c>
      <c r="AN5476">
        <f>INDEX($U$5384:$U$5511,AG5476+1)</f>
        <v/>
      </c>
      <c r="AO5476">
        <f>INDEX($V$5384:$V$5511,AH5476+1)</f>
        <v/>
      </c>
      <c r="AP5476">
        <f>INDEX($W$5384:$W$5511,AI5476+1)</f>
        <v/>
      </c>
      <c r="AQ5476">
        <f>IF(Q5476&gt;=AJ5476-0.01,1,0)</f>
        <v/>
      </c>
      <c r="AR5476">
        <f>IF(R5476&gt;=AK5476-0.01,1,0)</f>
        <v/>
      </c>
      <c r="AS5476">
        <f>IF(S5476&gt;=AL5476-0.01,1,0)</f>
        <v/>
      </c>
      <c r="AT5476">
        <f>IF(T5476&gt;=AM5476-0.01,1,0)</f>
        <v/>
      </c>
      <c r="AU5476">
        <f>IF(U5476&gt;=AN5476-0.01,1,0)</f>
        <v/>
      </c>
      <c r="AV5476">
        <f>IF(V5476&gt;=AO5476-0.01,1,0)</f>
        <v/>
      </c>
      <c r="AW5476">
        <f>IF(W5476&gt;=AP5476-0.01,1,0)</f>
        <v/>
      </c>
      <c r="AX5476">
        <f>AQ5476*AR5476*AS5476*AT5476*AU5476*AV5476*AW5476</f>
        <v/>
      </c>
    </row>
    <row r="5477">
      <c r="A5477" t="inlineStr"/>
      <c r="B5477">
        <f>Assumptions!$B$60</f>
        <v/>
      </c>
      <c r="C5477" t="n">
        <v>1</v>
      </c>
      <c r="D5477" t="n">
        <v>0</v>
      </c>
      <c r="E5477" t="n">
        <v>1</v>
      </c>
      <c r="F5477" t="n">
        <v>1</v>
      </c>
      <c r="G5477" t="n">
        <v>1</v>
      </c>
      <c r="H5477" t="n">
        <v>0</v>
      </c>
      <c r="I5477" t="n">
        <v>1</v>
      </c>
      <c r="J5477">
        <f>(1-C5477)*Assumptions!$B$41+(1-D5477)*Assumptions!$B$33+(1-E5477)*Assumptions!$B$32+(1-F5477)*Assumptions!$B$31+(1-G5477)*Assumptions!$B$30+(1-H5477)*Assumptions!$B$29+(1-I5477)*Assumptions!$B$28</f>
        <v/>
      </c>
      <c r="K5477">
        <f>C5477*$J$382+D5477*$F$382+E5477*$G$382+F5477*Assumptions!$B$14+G5477*Assumptions!$B$13+H5477*Assumptions!$B$12+I5477*Assumptions!$B$11+$O$382+$S$382+Assumptions!$B$9</f>
        <v/>
      </c>
      <c r="L5477">
        <f>B5477-J5477</f>
        <v/>
      </c>
      <c r="M5477">
        <f>IF(K5477&gt;0,IF(L5477/K5477&gt;=Assumptions!$B$37,1,0),0)</f>
        <v/>
      </c>
      <c r="N5477">
        <f>K5477+M5477*Assumptions!$B$153</f>
        <v/>
      </c>
      <c r="O5477">
        <f>L5477+M5477*Assumptions!$B$153*Assumptions!$B$37</f>
        <v/>
      </c>
      <c r="P5477">
        <f>IF(N5477&gt;0,O5477/N5477,0)</f>
        <v/>
      </c>
      <c r="Q5477">
        <f>IF(C5477=1,P5477*$J$382,Assumptions!$B$41)</f>
        <v/>
      </c>
      <c r="R5477">
        <f>IF(D5477=1,P5477*$F$382,Assumptions!$B$33)</f>
        <v/>
      </c>
      <c r="S5477">
        <f>IF(E5477=1,P5477*$G$382,Assumptions!$B$32)</f>
        <v/>
      </c>
      <c r="T5477">
        <f>IF(F5477=1,P5477*Assumptions!$B$14,Assumptions!$B$31)</f>
        <v/>
      </c>
      <c r="U5477">
        <f>IF(G5477=1,P5477*Assumptions!$B$13,Assumptions!$B$30)</f>
        <v/>
      </c>
      <c r="V5477">
        <f>IF(H5477=1,P5477*Assumptions!$B$12,Assumptions!$B$29)</f>
        <v/>
      </c>
      <c r="W5477">
        <f>IF(I5477=1,P5477*Assumptions!$B$11,Assumptions!$B$28)</f>
        <v/>
      </c>
      <c r="X5477">
        <f>P5477*($O$382+$S$382)</f>
        <v/>
      </c>
      <c r="Y5477">
        <f>P5477*Assumptions!$B$9</f>
        <v/>
      </c>
      <c r="Z5477">
        <f>IF(M5477=1,(P5477-Assumptions!$B$37)*Assumptions!$B$153,0)</f>
        <v/>
      </c>
      <c r="AA5477">
        <f>Q5477+R5477+S5477+T5477+U5477+V5477+W5477+X5477+Y5477+Z5477</f>
        <v/>
      </c>
      <c r="AB5477" t="n">
        <v>93</v>
      </c>
      <c r="AC5477" t="n">
        <v>29</v>
      </c>
      <c r="AD5477" t="n">
        <v>125</v>
      </c>
      <c r="AE5477" t="n">
        <v>77</v>
      </c>
      <c r="AF5477" t="n">
        <v>85</v>
      </c>
      <c r="AG5477" t="n">
        <v>89</v>
      </c>
      <c r="AH5477" t="n">
        <v>95</v>
      </c>
      <c r="AI5477" t="n">
        <v>92</v>
      </c>
      <c r="AJ5477">
        <f>INDEX($Q$5384:$Q$5511,AC5477+1)</f>
        <v/>
      </c>
      <c r="AK5477">
        <f>INDEX($R$5384:$R$5511,AD5477+1)</f>
        <v/>
      </c>
      <c r="AL5477">
        <f>INDEX($S$5384:$S$5511,AE5477+1)</f>
        <v/>
      </c>
      <c r="AM5477">
        <f>INDEX($T$5384:$T$5511,AF5477+1)</f>
        <v/>
      </c>
      <c r="AN5477">
        <f>INDEX($U$5384:$U$5511,AG5477+1)</f>
        <v/>
      </c>
      <c r="AO5477">
        <f>INDEX($V$5384:$V$5511,AH5477+1)</f>
        <v/>
      </c>
      <c r="AP5477">
        <f>INDEX($W$5384:$W$5511,AI5477+1)</f>
        <v/>
      </c>
      <c r="AQ5477">
        <f>IF(Q5477&gt;=AJ5477-0.01,1,0)</f>
        <v/>
      </c>
      <c r="AR5477">
        <f>IF(R5477&gt;=AK5477-0.01,1,0)</f>
        <v/>
      </c>
      <c r="AS5477">
        <f>IF(S5477&gt;=AL5477-0.01,1,0)</f>
        <v/>
      </c>
      <c r="AT5477">
        <f>IF(T5477&gt;=AM5477-0.01,1,0)</f>
        <v/>
      </c>
      <c r="AU5477">
        <f>IF(U5477&gt;=AN5477-0.01,1,0)</f>
        <v/>
      </c>
      <c r="AV5477">
        <f>IF(V5477&gt;=AO5477-0.01,1,0)</f>
        <v/>
      </c>
      <c r="AW5477">
        <f>IF(W5477&gt;=AP5477-0.01,1,0)</f>
        <v/>
      </c>
      <c r="AX5477">
        <f>AQ5477*AR5477*AS5477*AT5477*AU5477*AV5477*AW5477</f>
        <v/>
      </c>
    </row>
    <row r="5478">
      <c r="A5478" t="inlineStr"/>
      <c r="B5478">
        <f>Assumptions!$B$60</f>
        <v/>
      </c>
      <c r="C5478" t="n">
        <v>1</v>
      </c>
      <c r="D5478" t="n">
        <v>0</v>
      </c>
      <c r="E5478" t="n">
        <v>1</v>
      </c>
      <c r="F5478" t="n">
        <v>1</v>
      </c>
      <c r="G5478" t="n">
        <v>1</v>
      </c>
      <c r="H5478" t="n">
        <v>1</v>
      </c>
      <c r="I5478" t="n">
        <v>0</v>
      </c>
      <c r="J5478">
        <f>(1-C5478)*Assumptions!$B$41+(1-D5478)*Assumptions!$B$33+(1-E5478)*Assumptions!$B$32+(1-F5478)*Assumptions!$B$31+(1-G5478)*Assumptions!$B$30+(1-H5478)*Assumptions!$B$29+(1-I5478)*Assumptions!$B$28</f>
        <v/>
      </c>
      <c r="K5478">
        <f>C5478*$J$382+D5478*$F$382+E5478*$G$382+F5478*Assumptions!$B$14+G5478*Assumptions!$B$13+H5478*Assumptions!$B$12+I5478*Assumptions!$B$11+$O$382+$S$382+Assumptions!$B$9</f>
        <v/>
      </c>
      <c r="L5478">
        <f>B5478-J5478</f>
        <v/>
      </c>
      <c r="M5478">
        <f>IF(K5478&gt;0,IF(L5478/K5478&gt;=Assumptions!$B$37,1,0),0)</f>
        <v/>
      </c>
      <c r="N5478">
        <f>K5478+M5478*Assumptions!$B$153</f>
        <v/>
      </c>
      <c r="O5478">
        <f>L5478+M5478*Assumptions!$B$153*Assumptions!$B$37</f>
        <v/>
      </c>
      <c r="P5478">
        <f>IF(N5478&gt;0,O5478/N5478,0)</f>
        <v/>
      </c>
      <c r="Q5478">
        <f>IF(C5478=1,P5478*$J$382,Assumptions!$B$41)</f>
        <v/>
      </c>
      <c r="R5478">
        <f>IF(D5478=1,P5478*$F$382,Assumptions!$B$33)</f>
        <v/>
      </c>
      <c r="S5478">
        <f>IF(E5478=1,P5478*$G$382,Assumptions!$B$32)</f>
        <v/>
      </c>
      <c r="T5478">
        <f>IF(F5478=1,P5478*Assumptions!$B$14,Assumptions!$B$31)</f>
        <v/>
      </c>
      <c r="U5478">
        <f>IF(G5478=1,P5478*Assumptions!$B$13,Assumptions!$B$30)</f>
        <v/>
      </c>
      <c r="V5478">
        <f>IF(H5478=1,P5478*Assumptions!$B$12,Assumptions!$B$29)</f>
        <v/>
      </c>
      <c r="W5478">
        <f>IF(I5478=1,P5478*Assumptions!$B$11,Assumptions!$B$28)</f>
        <v/>
      </c>
      <c r="X5478">
        <f>P5478*($O$382+$S$382)</f>
        <v/>
      </c>
      <c r="Y5478">
        <f>P5478*Assumptions!$B$9</f>
        <v/>
      </c>
      <c r="Z5478">
        <f>IF(M5478=1,(P5478-Assumptions!$B$37)*Assumptions!$B$153,0)</f>
        <v/>
      </c>
      <c r="AA5478">
        <f>Q5478+R5478+S5478+T5478+U5478+V5478+W5478+X5478+Y5478+Z5478</f>
        <v/>
      </c>
      <c r="AB5478" t="n">
        <v>94</v>
      </c>
      <c r="AC5478" t="n">
        <v>30</v>
      </c>
      <c r="AD5478" t="n">
        <v>126</v>
      </c>
      <c r="AE5478" t="n">
        <v>78</v>
      </c>
      <c r="AF5478" t="n">
        <v>86</v>
      </c>
      <c r="AG5478" t="n">
        <v>90</v>
      </c>
      <c r="AH5478" t="n">
        <v>92</v>
      </c>
      <c r="AI5478" t="n">
        <v>95</v>
      </c>
      <c r="AJ5478">
        <f>INDEX($Q$5384:$Q$5511,AC5478+1)</f>
        <v/>
      </c>
      <c r="AK5478">
        <f>INDEX($R$5384:$R$5511,AD5478+1)</f>
        <v/>
      </c>
      <c r="AL5478">
        <f>INDEX($S$5384:$S$5511,AE5478+1)</f>
        <v/>
      </c>
      <c r="AM5478">
        <f>INDEX($T$5384:$T$5511,AF5478+1)</f>
        <v/>
      </c>
      <c r="AN5478">
        <f>INDEX($U$5384:$U$5511,AG5478+1)</f>
        <v/>
      </c>
      <c r="AO5478">
        <f>INDEX($V$5384:$V$5511,AH5478+1)</f>
        <v/>
      </c>
      <c r="AP5478">
        <f>INDEX($W$5384:$W$5511,AI5478+1)</f>
        <v/>
      </c>
      <c r="AQ5478">
        <f>IF(Q5478&gt;=AJ5478-0.01,1,0)</f>
        <v/>
      </c>
      <c r="AR5478">
        <f>IF(R5478&gt;=AK5478-0.01,1,0)</f>
        <v/>
      </c>
      <c r="AS5478">
        <f>IF(S5478&gt;=AL5478-0.01,1,0)</f>
        <v/>
      </c>
      <c r="AT5478">
        <f>IF(T5478&gt;=AM5478-0.01,1,0)</f>
        <v/>
      </c>
      <c r="AU5478">
        <f>IF(U5478&gt;=AN5478-0.01,1,0)</f>
        <v/>
      </c>
      <c r="AV5478">
        <f>IF(V5478&gt;=AO5478-0.01,1,0)</f>
        <v/>
      </c>
      <c r="AW5478">
        <f>IF(W5478&gt;=AP5478-0.01,1,0)</f>
        <v/>
      </c>
      <c r="AX5478">
        <f>AQ5478*AR5478*AS5478*AT5478*AU5478*AV5478*AW5478</f>
        <v/>
      </c>
    </row>
    <row r="5479">
      <c r="A5479" t="inlineStr"/>
      <c r="B5479">
        <f>Assumptions!$B$60</f>
        <v/>
      </c>
      <c r="C5479" t="n">
        <v>1</v>
      </c>
      <c r="D5479" t="n">
        <v>0</v>
      </c>
      <c r="E5479" t="n">
        <v>1</v>
      </c>
      <c r="F5479" t="n">
        <v>1</v>
      </c>
      <c r="G5479" t="n">
        <v>1</v>
      </c>
      <c r="H5479" t="n">
        <v>1</v>
      </c>
      <c r="I5479" t="n">
        <v>1</v>
      </c>
      <c r="J5479">
        <f>(1-C5479)*Assumptions!$B$41+(1-D5479)*Assumptions!$B$33+(1-E5479)*Assumptions!$B$32+(1-F5479)*Assumptions!$B$31+(1-G5479)*Assumptions!$B$30+(1-H5479)*Assumptions!$B$29+(1-I5479)*Assumptions!$B$28</f>
        <v/>
      </c>
      <c r="K5479">
        <f>C5479*$J$382+D5479*$F$382+E5479*$G$382+F5479*Assumptions!$B$14+G5479*Assumptions!$B$13+H5479*Assumptions!$B$12+I5479*Assumptions!$B$11+$O$382+$S$382+Assumptions!$B$9</f>
        <v/>
      </c>
      <c r="L5479">
        <f>B5479-J5479</f>
        <v/>
      </c>
      <c r="M5479">
        <f>IF(K5479&gt;0,IF(L5479/K5479&gt;=Assumptions!$B$37,1,0),0)</f>
        <v/>
      </c>
      <c r="N5479">
        <f>K5479+M5479*Assumptions!$B$153</f>
        <v/>
      </c>
      <c r="O5479">
        <f>L5479+M5479*Assumptions!$B$153*Assumptions!$B$37</f>
        <v/>
      </c>
      <c r="P5479">
        <f>IF(N5479&gt;0,O5479/N5479,0)</f>
        <v/>
      </c>
      <c r="Q5479">
        <f>IF(C5479=1,P5479*$J$382,Assumptions!$B$41)</f>
        <v/>
      </c>
      <c r="R5479">
        <f>IF(D5479=1,P5479*$F$382,Assumptions!$B$33)</f>
        <v/>
      </c>
      <c r="S5479">
        <f>IF(E5479=1,P5479*$G$382,Assumptions!$B$32)</f>
        <v/>
      </c>
      <c r="T5479">
        <f>IF(F5479=1,P5479*Assumptions!$B$14,Assumptions!$B$31)</f>
        <v/>
      </c>
      <c r="U5479">
        <f>IF(G5479=1,P5479*Assumptions!$B$13,Assumptions!$B$30)</f>
        <v/>
      </c>
      <c r="V5479">
        <f>IF(H5479=1,P5479*Assumptions!$B$12,Assumptions!$B$29)</f>
        <v/>
      </c>
      <c r="W5479">
        <f>IF(I5479=1,P5479*Assumptions!$B$11,Assumptions!$B$28)</f>
        <v/>
      </c>
      <c r="X5479">
        <f>P5479*($O$382+$S$382)</f>
        <v/>
      </c>
      <c r="Y5479">
        <f>P5479*Assumptions!$B$9</f>
        <v/>
      </c>
      <c r="Z5479">
        <f>IF(M5479=1,(P5479-Assumptions!$B$37)*Assumptions!$B$153,0)</f>
        <v/>
      </c>
      <c r="AA5479">
        <f>Q5479+R5479+S5479+T5479+U5479+V5479+W5479+X5479+Y5479+Z5479</f>
        <v/>
      </c>
      <c r="AB5479" t="n">
        <v>95</v>
      </c>
      <c r="AC5479" t="n">
        <v>31</v>
      </c>
      <c r="AD5479" t="n">
        <v>127</v>
      </c>
      <c r="AE5479" t="n">
        <v>79</v>
      </c>
      <c r="AF5479" t="n">
        <v>87</v>
      </c>
      <c r="AG5479" t="n">
        <v>91</v>
      </c>
      <c r="AH5479" t="n">
        <v>93</v>
      </c>
      <c r="AI5479" t="n">
        <v>94</v>
      </c>
      <c r="AJ5479">
        <f>INDEX($Q$5384:$Q$5511,AC5479+1)</f>
        <v/>
      </c>
      <c r="AK5479">
        <f>INDEX($R$5384:$R$5511,AD5479+1)</f>
        <v/>
      </c>
      <c r="AL5479">
        <f>INDEX($S$5384:$S$5511,AE5479+1)</f>
        <v/>
      </c>
      <c r="AM5479">
        <f>INDEX($T$5384:$T$5511,AF5479+1)</f>
        <v/>
      </c>
      <c r="AN5479">
        <f>INDEX($U$5384:$U$5511,AG5479+1)</f>
        <v/>
      </c>
      <c r="AO5479">
        <f>INDEX($V$5384:$V$5511,AH5479+1)</f>
        <v/>
      </c>
      <c r="AP5479">
        <f>INDEX($W$5384:$W$5511,AI5479+1)</f>
        <v/>
      </c>
      <c r="AQ5479">
        <f>IF(Q5479&gt;=AJ5479-0.01,1,0)</f>
        <v/>
      </c>
      <c r="AR5479">
        <f>IF(R5479&gt;=AK5479-0.01,1,0)</f>
        <v/>
      </c>
      <c r="AS5479">
        <f>IF(S5479&gt;=AL5479-0.01,1,0)</f>
        <v/>
      </c>
      <c r="AT5479">
        <f>IF(T5479&gt;=AM5479-0.01,1,0)</f>
        <v/>
      </c>
      <c r="AU5479">
        <f>IF(U5479&gt;=AN5479-0.01,1,0)</f>
        <v/>
      </c>
      <c r="AV5479">
        <f>IF(V5479&gt;=AO5479-0.01,1,0)</f>
        <v/>
      </c>
      <c r="AW5479">
        <f>IF(W5479&gt;=AP5479-0.01,1,0)</f>
        <v/>
      </c>
      <c r="AX5479">
        <f>AQ5479*AR5479*AS5479*AT5479*AU5479*AV5479*AW5479</f>
        <v/>
      </c>
    </row>
    <row r="5480">
      <c r="A5480" t="inlineStr"/>
      <c r="B5480">
        <f>Assumptions!$B$60</f>
        <v/>
      </c>
      <c r="C5480" t="n">
        <v>1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>
        <f>(1-C5480)*Assumptions!$B$41+(1-D5480)*Assumptions!$B$33+(1-E5480)*Assumptions!$B$32+(1-F5480)*Assumptions!$B$31+(1-G5480)*Assumptions!$B$30+(1-H5480)*Assumptions!$B$29+(1-I5480)*Assumptions!$B$28</f>
        <v/>
      </c>
      <c r="K5480">
        <f>C5480*$J$382+D5480*$F$382+E5480*$G$382+F5480*Assumptions!$B$14+G5480*Assumptions!$B$13+H5480*Assumptions!$B$12+I5480*Assumptions!$B$11+$O$382+$S$382+Assumptions!$B$9</f>
        <v/>
      </c>
      <c r="L5480">
        <f>B5480-J5480</f>
        <v/>
      </c>
      <c r="M5480">
        <f>IF(K5480&gt;0,IF(L5480/K5480&gt;=Assumptions!$B$37,1,0),0)</f>
        <v/>
      </c>
      <c r="N5480">
        <f>K5480+M5480*Assumptions!$B$153</f>
        <v/>
      </c>
      <c r="O5480">
        <f>L5480+M5480*Assumptions!$B$153*Assumptions!$B$37</f>
        <v/>
      </c>
      <c r="P5480">
        <f>IF(N5480&gt;0,O5480/N5480,0)</f>
        <v/>
      </c>
      <c r="Q5480">
        <f>IF(C5480=1,P5480*$J$382,Assumptions!$B$41)</f>
        <v/>
      </c>
      <c r="R5480">
        <f>IF(D5480=1,P5480*$F$382,Assumptions!$B$33)</f>
        <v/>
      </c>
      <c r="S5480">
        <f>IF(E5480=1,P5480*$G$382,Assumptions!$B$32)</f>
        <v/>
      </c>
      <c r="T5480">
        <f>IF(F5480=1,P5480*Assumptions!$B$14,Assumptions!$B$31)</f>
        <v/>
      </c>
      <c r="U5480">
        <f>IF(G5480=1,P5480*Assumptions!$B$13,Assumptions!$B$30)</f>
        <v/>
      </c>
      <c r="V5480">
        <f>IF(H5480=1,P5480*Assumptions!$B$12,Assumptions!$B$29)</f>
        <v/>
      </c>
      <c r="W5480">
        <f>IF(I5480=1,P5480*Assumptions!$B$11,Assumptions!$B$28)</f>
        <v/>
      </c>
      <c r="X5480">
        <f>P5480*($O$382+$S$382)</f>
        <v/>
      </c>
      <c r="Y5480">
        <f>P5480*Assumptions!$B$9</f>
        <v/>
      </c>
      <c r="Z5480">
        <f>IF(M5480=1,(P5480-Assumptions!$B$37)*Assumptions!$B$153,0)</f>
        <v/>
      </c>
      <c r="AA5480">
        <f>Q5480+R5480+S5480+T5480+U5480+V5480+W5480+X5480+Y5480+Z5480</f>
        <v/>
      </c>
      <c r="AB5480" t="n">
        <v>96</v>
      </c>
      <c r="AC5480" t="n">
        <v>32</v>
      </c>
      <c r="AD5480" t="n">
        <v>64</v>
      </c>
      <c r="AE5480" t="n">
        <v>112</v>
      </c>
      <c r="AF5480" t="n">
        <v>104</v>
      </c>
      <c r="AG5480" t="n">
        <v>100</v>
      </c>
      <c r="AH5480" t="n">
        <v>98</v>
      </c>
      <c r="AI5480" t="n">
        <v>97</v>
      </c>
      <c r="AJ5480">
        <f>INDEX($Q$5384:$Q$5511,AC5480+1)</f>
        <v/>
      </c>
      <c r="AK5480">
        <f>INDEX($R$5384:$R$5511,AD5480+1)</f>
        <v/>
      </c>
      <c r="AL5480">
        <f>INDEX($S$5384:$S$5511,AE5480+1)</f>
        <v/>
      </c>
      <c r="AM5480">
        <f>INDEX($T$5384:$T$5511,AF5480+1)</f>
        <v/>
      </c>
      <c r="AN5480">
        <f>INDEX($U$5384:$U$5511,AG5480+1)</f>
        <v/>
      </c>
      <c r="AO5480">
        <f>INDEX($V$5384:$V$5511,AH5480+1)</f>
        <v/>
      </c>
      <c r="AP5480">
        <f>INDEX($W$5384:$W$5511,AI5480+1)</f>
        <v/>
      </c>
      <c r="AQ5480">
        <f>IF(Q5480&gt;=AJ5480-0.01,1,0)</f>
        <v/>
      </c>
      <c r="AR5480">
        <f>IF(R5480&gt;=AK5480-0.01,1,0)</f>
        <v/>
      </c>
      <c r="AS5480">
        <f>IF(S5480&gt;=AL5480-0.01,1,0)</f>
        <v/>
      </c>
      <c r="AT5480">
        <f>IF(T5480&gt;=AM5480-0.01,1,0)</f>
        <v/>
      </c>
      <c r="AU5480">
        <f>IF(U5480&gt;=AN5480-0.01,1,0)</f>
        <v/>
      </c>
      <c r="AV5480">
        <f>IF(V5480&gt;=AO5480-0.01,1,0)</f>
        <v/>
      </c>
      <c r="AW5480">
        <f>IF(W5480&gt;=AP5480-0.01,1,0)</f>
        <v/>
      </c>
      <c r="AX5480">
        <f>AQ5480*AR5480*AS5480*AT5480*AU5480*AV5480*AW5480</f>
        <v/>
      </c>
    </row>
    <row r="5481">
      <c r="A5481" t="inlineStr"/>
      <c r="B5481">
        <f>Assumptions!$B$60</f>
        <v/>
      </c>
      <c r="C5481" t="n">
        <v>1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>
        <f>(1-C5481)*Assumptions!$B$41+(1-D5481)*Assumptions!$B$33+(1-E5481)*Assumptions!$B$32+(1-F5481)*Assumptions!$B$31+(1-G5481)*Assumptions!$B$30+(1-H5481)*Assumptions!$B$29+(1-I5481)*Assumptions!$B$28</f>
        <v/>
      </c>
      <c r="K5481">
        <f>C5481*$J$382+D5481*$F$382+E5481*$G$382+F5481*Assumptions!$B$14+G5481*Assumptions!$B$13+H5481*Assumptions!$B$12+I5481*Assumptions!$B$11+$O$382+$S$382+Assumptions!$B$9</f>
        <v/>
      </c>
      <c r="L5481">
        <f>B5481-J5481</f>
        <v/>
      </c>
      <c r="M5481">
        <f>IF(K5481&gt;0,IF(L5481/K5481&gt;=Assumptions!$B$37,1,0),0)</f>
        <v/>
      </c>
      <c r="N5481">
        <f>K5481+M5481*Assumptions!$B$153</f>
        <v/>
      </c>
      <c r="O5481">
        <f>L5481+M5481*Assumptions!$B$153*Assumptions!$B$37</f>
        <v/>
      </c>
      <c r="P5481">
        <f>IF(N5481&gt;0,O5481/N5481,0)</f>
        <v/>
      </c>
      <c r="Q5481">
        <f>IF(C5481=1,P5481*$J$382,Assumptions!$B$41)</f>
        <v/>
      </c>
      <c r="R5481">
        <f>IF(D5481=1,P5481*$F$382,Assumptions!$B$33)</f>
        <v/>
      </c>
      <c r="S5481">
        <f>IF(E5481=1,P5481*$G$382,Assumptions!$B$32)</f>
        <v/>
      </c>
      <c r="T5481">
        <f>IF(F5481=1,P5481*Assumptions!$B$14,Assumptions!$B$31)</f>
        <v/>
      </c>
      <c r="U5481">
        <f>IF(G5481=1,P5481*Assumptions!$B$13,Assumptions!$B$30)</f>
        <v/>
      </c>
      <c r="V5481">
        <f>IF(H5481=1,P5481*Assumptions!$B$12,Assumptions!$B$29)</f>
        <v/>
      </c>
      <c r="W5481">
        <f>IF(I5481=1,P5481*Assumptions!$B$11,Assumptions!$B$28)</f>
        <v/>
      </c>
      <c r="X5481">
        <f>P5481*($O$382+$S$382)</f>
        <v/>
      </c>
      <c r="Y5481">
        <f>P5481*Assumptions!$B$9</f>
        <v/>
      </c>
      <c r="Z5481">
        <f>IF(M5481=1,(P5481-Assumptions!$B$37)*Assumptions!$B$153,0)</f>
        <v/>
      </c>
      <c r="AA5481">
        <f>Q5481+R5481+S5481+T5481+U5481+V5481+W5481+X5481+Y5481+Z5481</f>
        <v/>
      </c>
      <c r="AB5481" t="n">
        <v>97</v>
      </c>
      <c r="AC5481" t="n">
        <v>33</v>
      </c>
      <c r="AD5481" t="n">
        <v>65</v>
      </c>
      <c r="AE5481" t="n">
        <v>113</v>
      </c>
      <c r="AF5481" t="n">
        <v>105</v>
      </c>
      <c r="AG5481" t="n">
        <v>101</v>
      </c>
      <c r="AH5481" t="n">
        <v>99</v>
      </c>
      <c r="AI5481" t="n">
        <v>96</v>
      </c>
      <c r="AJ5481">
        <f>INDEX($Q$5384:$Q$5511,AC5481+1)</f>
        <v/>
      </c>
      <c r="AK5481">
        <f>INDEX($R$5384:$R$5511,AD5481+1)</f>
        <v/>
      </c>
      <c r="AL5481">
        <f>INDEX($S$5384:$S$5511,AE5481+1)</f>
        <v/>
      </c>
      <c r="AM5481">
        <f>INDEX($T$5384:$T$5511,AF5481+1)</f>
        <v/>
      </c>
      <c r="AN5481">
        <f>INDEX($U$5384:$U$5511,AG5481+1)</f>
        <v/>
      </c>
      <c r="AO5481">
        <f>INDEX($V$5384:$V$5511,AH5481+1)</f>
        <v/>
      </c>
      <c r="AP5481">
        <f>INDEX($W$5384:$W$5511,AI5481+1)</f>
        <v/>
      </c>
      <c r="AQ5481">
        <f>IF(Q5481&gt;=AJ5481-0.01,1,0)</f>
        <v/>
      </c>
      <c r="AR5481">
        <f>IF(R5481&gt;=AK5481-0.01,1,0)</f>
        <v/>
      </c>
      <c r="AS5481">
        <f>IF(S5481&gt;=AL5481-0.01,1,0)</f>
        <v/>
      </c>
      <c r="AT5481">
        <f>IF(T5481&gt;=AM5481-0.01,1,0)</f>
        <v/>
      </c>
      <c r="AU5481">
        <f>IF(U5481&gt;=AN5481-0.01,1,0)</f>
        <v/>
      </c>
      <c r="AV5481">
        <f>IF(V5481&gt;=AO5481-0.01,1,0)</f>
        <v/>
      </c>
      <c r="AW5481">
        <f>IF(W5481&gt;=AP5481-0.01,1,0)</f>
        <v/>
      </c>
      <c r="AX5481">
        <f>AQ5481*AR5481*AS5481*AT5481*AU5481*AV5481*AW5481</f>
        <v/>
      </c>
    </row>
    <row r="5482">
      <c r="A5482" t="inlineStr"/>
      <c r="B5482">
        <f>Assumptions!$B$60</f>
        <v/>
      </c>
      <c r="C5482" t="n">
        <v>1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>
        <f>(1-C5482)*Assumptions!$B$41+(1-D5482)*Assumptions!$B$33+(1-E5482)*Assumptions!$B$32+(1-F5482)*Assumptions!$B$31+(1-G5482)*Assumptions!$B$30+(1-H5482)*Assumptions!$B$29+(1-I5482)*Assumptions!$B$28</f>
        <v/>
      </c>
      <c r="K5482">
        <f>C5482*$J$382+D5482*$F$382+E5482*$G$382+F5482*Assumptions!$B$14+G5482*Assumptions!$B$13+H5482*Assumptions!$B$12+I5482*Assumptions!$B$11+$O$382+$S$382+Assumptions!$B$9</f>
        <v/>
      </c>
      <c r="L5482">
        <f>B5482-J5482</f>
        <v/>
      </c>
      <c r="M5482">
        <f>IF(K5482&gt;0,IF(L5482/K5482&gt;=Assumptions!$B$37,1,0),0)</f>
        <v/>
      </c>
      <c r="N5482">
        <f>K5482+M5482*Assumptions!$B$153</f>
        <v/>
      </c>
      <c r="O5482">
        <f>L5482+M5482*Assumptions!$B$153*Assumptions!$B$37</f>
        <v/>
      </c>
      <c r="P5482">
        <f>IF(N5482&gt;0,O5482/N5482,0)</f>
        <v/>
      </c>
      <c r="Q5482">
        <f>IF(C5482=1,P5482*$J$382,Assumptions!$B$41)</f>
        <v/>
      </c>
      <c r="R5482">
        <f>IF(D5482=1,P5482*$F$382,Assumptions!$B$33)</f>
        <v/>
      </c>
      <c r="S5482">
        <f>IF(E5482=1,P5482*$G$382,Assumptions!$B$32)</f>
        <v/>
      </c>
      <c r="T5482">
        <f>IF(F5482=1,P5482*Assumptions!$B$14,Assumptions!$B$31)</f>
        <v/>
      </c>
      <c r="U5482">
        <f>IF(G5482=1,P5482*Assumptions!$B$13,Assumptions!$B$30)</f>
        <v/>
      </c>
      <c r="V5482">
        <f>IF(H5482=1,P5482*Assumptions!$B$12,Assumptions!$B$29)</f>
        <v/>
      </c>
      <c r="W5482">
        <f>IF(I5482=1,P5482*Assumptions!$B$11,Assumptions!$B$28)</f>
        <v/>
      </c>
      <c r="X5482">
        <f>P5482*($O$382+$S$382)</f>
        <v/>
      </c>
      <c r="Y5482">
        <f>P5482*Assumptions!$B$9</f>
        <v/>
      </c>
      <c r="Z5482">
        <f>IF(M5482=1,(P5482-Assumptions!$B$37)*Assumptions!$B$153,0)</f>
        <v/>
      </c>
      <c r="AA5482">
        <f>Q5482+R5482+S5482+T5482+U5482+V5482+W5482+X5482+Y5482+Z5482</f>
        <v/>
      </c>
      <c r="AB5482" t="n">
        <v>98</v>
      </c>
      <c r="AC5482" t="n">
        <v>34</v>
      </c>
      <c r="AD5482" t="n">
        <v>66</v>
      </c>
      <c r="AE5482" t="n">
        <v>114</v>
      </c>
      <c r="AF5482" t="n">
        <v>106</v>
      </c>
      <c r="AG5482" t="n">
        <v>102</v>
      </c>
      <c r="AH5482" t="n">
        <v>96</v>
      </c>
      <c r="AI5482" t="n">
        <v>99</v>
      </c>
      <c r="AJ5482">
        <f>INDEX($Q$5384:$Q$5511,AC5482+1)</f>
        <v/>
      </c>
      <c r="AK5482">
        <f>INDEX($R$5384:$R$5511,AD5482+1)</f>
        <v/>
      </c>
      <c r="AL5482">
        <f>INDEX($S$5384:$S$5511,AE5482+1)</f>
        <v/>
      </c>
      <c r="AM5482">
        <f>INDEX($T$5384:$T$5511,AF5482+1)</f>
        <v/>
      </c>
      <c r="AN5482">
        <f>INDEX($U$5384:$U$5511,AG5482+1)</f>
        <v/>
      </c>
      <c r="AO5482">
        <f>INDEX($V$5384:$V$5511,AH5482+1)</f>
        <v/>
      </c>
      <c r="AP5482">
        <f>INDEX($W$5384:$W$5511,AI5482+1)</f>
        <v/>
      </c>
      <c r="AQ5482">
        <f>IF(Q5482&gt;=AJ5482-0.01,1,0)</f>
        <v/>
      </c>
      <c r="AR5482">
        <f>IF(R5482&gt;=AK5482-0.01,1,0)</f>
        <v/>
      </c>
      <c r="AS5482">
        <f>IF(S5482&gt;=AL5482-0.01,1,0)</f>
        <v/>
      </c>
      <c r="AT5482">
        <f>IF(T5482&gt;=AM5482-0.01,1,0)</f>
        <v/>
      </c>
      <c r="AU5482">
        <f>IF(U5482&gt;=AN5482-0.01,1,0)</f>
        <v/>
      </c>
      <c r="AV5482">
        <f>IF(V5482&gt;=AO5482-0.01,1,0)</f>
        <v/>
      </c>
      <c r="AW5482">
        <f>IF(W5482&gt;=AP5482-0.01,1,0)</f>
        <v/>
      </c>
      <c r="AX5482">
        <f>AQ5482*AR5482*AS5482*AT5482*AU5482*AV5482*AW5482</f>
        <v/>
      </c>
    </row>
    <row r="5483">
      <c r="A5483" t="inlineStr"/>
      <c r="B5483">
        <f>Assumptions!$B$60</f>
        <v/>
      </c>
      <c r="C5483" t="n">
        <v>1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1</v>
      </c>
      <c r="J5483">
        <f>(1-C5483)*Assumptions!$B$41+(1-D5483)*Assumptions!$B$33+(1-E5483)*Assumptions!$B$32+(1-F5483)*Assumptions!$B$31+(1-G5483)*Assumptions!$B$30+(1-H5483)*Assumptions!$B$29+(1-I5483)*Assumptions!$B$28</f>
        <v/>
      </c>
      <c r="K5483">
        <f>C5483*$J$382+D5483*$F$382+E5483*$G$382+F5483*Assumptions!$B$14+G5483*Assumptions!$B$13+H5483*Assumptions!$B$12+I5483*Assumptions!$B$11+$O$382+$S$382+Assumptions!$B$9</f>
        <v/>
      </c>
      <c r="L5483">
        <f>B5483-J5483</f>
        <v/>
      </c>
      <c r="M5483">
        <f>IF(K5483&gt;0,IF(L5483/K5483&gt;=Assumptions!$B$37,1,0),0)</f>
        <v/>
      </c>
      <c r="N5483">
        <f>K5483+M5483*Assumptions!$B$153</f>
        <v/>
      </c>
      <c r="O5483">
        <f>L5483+M5483*Assumptions!$B$153*Assumptions!$B$37</f>
        <v/>
      </c>
      <c r="P5483">
        <f>IF(N5483&gt;0,O5483/N5483,0)</f>
        <v/>
      </c>
      <c r="Q5483">
        <f>IF(C5483=1,P5483*$J$382,Assumptions!$B$41)</f>
        <v/>
      </c>
      <c r="R5483">
        <f>IF(D5483=1,P5483*$F$382,Assumptions!$B$33)</f>
        <v/>
      </c>
      <c r="S5483">
        <f>IF(E5483=1,P5483*$G$382,Assumptions!$B$32)</f>
        <v/>
      </c>
      <c r="T5483">
        <f>IF(F5483=1,P5483*Assumptions!$B$14,Assumptions!$B$31)</f>
        <v/>
      </c>
      <c r="U5483">
        <f>IF(G5483=1,P5483*Assumptions!$B$13,Assumptions!$B$30)</f>
        <v/>
      </c>
      <c r="V5483">
        <f>IF(H5483=1,P5483*Assumptions!$B$12,Assumptions!$B$29)</f>
        <v/>
      </c>
      <c r="W5483">
        <f>IF(I5483=1,P5483*Assumptions!$B$11,Assumptions!$B$28)</f>
        <v/>
      </c>
      <c r="X5483">
        <f>P5483*($O$382+$S$382)</f>
        <v/>
      </c>
      <c r="Y5483">
        <f>P5483*Assumptions!$B$9</f>
        <v/>
      </c>
      <c r="Z5483">
        <f>IF(M5483=1,(P5483-Assumptions!$B$37)*Assumptions!$B$153,0)</f>
        <v/>
      </c>
      <c r="AA5483">
        <f>Q5483+R5483+S5483+T5483+U5483+V5483+W5483+X5483+Y5483+Z5483</f>
        <v/>
      </c>
      <c r="AB5483" t="n">
        <v>99</v>
      </c>
      <c r="AC5483" t="n">
        <v>35</v>
      </c>
      <c r="AD5483" t="n">
        <v>67</v>
      </c>
      <c r="AE5483" t="n">
        <v>115</v>
      </c>
      <c r="AF5483" t="n">
        <v>107</v>
      </c>
      <c r="AG5483" t="n">
        <v>103</v>
      </c>
      <c r="AH5483" t="n">
        <v>97</v>
      </c>
      <c r="AI5483" t="n">
        <v>98</v>
      </c>
      <c r="AJ5483">
        <f>INDEX($Q$5384:$Q$5511,AC5483+1)</f>
        <v/>
      </c>
      <c r="AK5483">
        <f>INDEX($R$5384:$R$5511,AD5483+1)</f>
        <v/>
      </c>
      <c r="AL5483">
        <f>INDEX($S$5384:$S$5511,AE5483+1)</f>
        <v/>
      </c>
      <c r="AM5483">
        <f>INDEX($T$5384:$T$5511,AF5483+1)</f>
        <v/>
      </c>
      <c r="AN5483">
        <f>INDEX($U$5384:$U$5511,AG5483+1)</f>
        <v/>
      </c>
      <c r="AO5483">
        <f>INDEX($V$5384:$V$5511,AH5483+1)</f>
        <v/>
      </c>
      <c r="AP5483">
        <f>INDEX($W$5384:$W$5511,AI5483+1)</f>
        <v/>
      </c>
      <c r="AQ5483">
        <f>IF(Q5483&gt;=AJ5483-0.01,1,0)</f>
        <v/>
      </c>
      <c r="AR5483">
        <f>IF(R5483&gt;=AK5483-0.01,1,0)</f>
        <v/>
      </c>
      <c r="AS5483">
        <f>IF(S5483&gt;=AL5483-0.01,1,0)</f>
        <v/>
      </c>
      <c r="AT5483">
        <f>IF(T5483&gt;=AM5483-0.01,1,0)</f>
        <v/>
      </c>
      <c r="AU5483">
        <f>IF(U5483&gt;=AN5483-0.01,1,0)</f>
        <v/>
      </c>
      <c r="AV5483">
        <f>IF(V5483&gt;=AO5483-0.01,1,0)</f>
        <v/>
      </c>
      <c r="AW5483">
        <f>IF(W5483&gt;=AP5483-0.01,1,0)</f>
        <v/>
      </c>
      <c r="AX5483">
        <f>AQ5483*AR5483*AS5483*AT5483*AU5483*AV5483*AW5483</f>
        <v/>
      </c>
    </row>
    <row r="5484">
      <c r="A5484" t="inlineStr"/>
      <c r="B5484">
        <f>Assumptions!$B$60</f>
        <v/>
      </c>
      <c r="C5484" t="n">
        <v>1</v>
      </c>
      <c r="D5484" t="n">
        <v>1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>
        <f>(1-C5484)*Assumptions!$B$41+(1-D5484)*Assumptions!$B$33+(1-E5484)*Assumptions!$B$32+(1-F5484)*Assumptions!$B$31+(1-G5484)*Assumptions!$B$30+(1-H5484)*Assumptions!$B$29+(1-I5484)*Assumptions!$B$28</f>
        <v/>
      </c>
      <c r="K5484">
        <f>C5484*$J$382+D5484*$F$382+E5484*$G$382+F5484*Assumptions!$B$14+G5484*Assumptions!$B$13+H5484*Assumptions!$B$12+I5484*Assumptions!$B$11+$O$382+$S$382+Assumptions!$B$9</f>
        <v/>
      </c>
      <c r="L5484">
        <f>B5484-J5484</f>
        <v/>
      </c>
      <c r="M5484">
        <f>IF(K5484&gt;0,IF(L5484/K5484&gt;=Assumptions!$B$37,1,0),0)</f>
        <v/>
      </c>
      <c r="N5484">
        <f>K5484+M5484*Assumptions!$B$153</f>
        <v/>
      </c>
      <c r="O5484">
        <f>L5484+M5484*Assumptions!$B$153*Assumptions!$B$37</f>
        <v/>
      </c>
      <c r="P5484">
        <f>IF(N5484&gt;0,O5484/N5484,0)</f>
        <v/>
      </c>
      <c r="Q5484">
        <f>IF(C5484=1,P5484*$J$382,Assumptions!$B$41)</f>
        <v/>
      </c>
      <c r="R5484">
        <f>IF(D5484=1,P5484*$F$382,Assumptions!$B$33)</f>
        <v/>
      </c>
      <c r="S5484">
        <f>IF(E5484=1,P5484*$G$382,Assumptions!$B$32)</f>
        <v/>
      </c>
      <c r="T5484">
        <f>IF(F5484=1,P5484*Assumptions!$B$14,Assumptions!$B$31)</f>
        <v/>
      </c>
      <c r="U5484">
        <f>IF(G5484=1,P5484*Assumptions!$B$13,Assumptions!$B$30)</f>
        <v/>
      </c>
      <c r="V5484">
        <f>IF(H5484=1,P5484*Assumptions!$B$12,Assumptions!$B$29)</f>
        <v/>
      </c>
      <c r="W5484">
        <f>IF(I5484=1,P5484*Assumptions!$B$11,Assumptions!$B$28)</f>
        <v/>
      </c>
      <c r="X5484">
        <f>P5484*($O$382+$S$382)</f>
        <v/>
      </c>
      <c r="Y5484">
        <f>P5484*Assumptions!$B$9</f>
        <v/>
      </c>
      <c r="Z5484">
        <f>IF(M5484=1,(P5484-Assumptions!$B$37)*Assumptions!$B$153,0)</f>
        <v/>
      </c>
      <c r="AA5484">
        <f>Q5484+R5484+S5484+T5484+U5484+V5484+W5484+X5484+Y5484+Z5484</f>
        <v/>
      </c>
      <c r="AB5484" t="n">
        <v>100</v>
      </c>
      <c r="AC5484" t="n">
        <v>36</v>
      </c>
      <c r="AD5484" t="n">
        <v>68</v>
      </c>
      <c r="AE5484" t="n">
        <v>116</v>
      </c>
      <c r="AF5484" t="n">
        <v>108</v>
      </c>
      <c r="AG5484" t="n">
        <v>96</v>
      </c>
      <c r="AH5484" t="n">
        <v>102</v>
      </c>
      <c r="AI5484" t="n">
        <v>101</v>
      </c>
      <c r="AJ5484">
        <f>INDEX($Q$5384:$Q$5511,AC5484+1)</f>
        <v/>
      </c>
      <c r="AK5484">
        <f>INDEX($R$5384:$R$5511,AD5484+1)</f>
        <v/>
      </c>
      <c r="AL5484">
        <f>INDEX($S$5384:$S$5511,AE5484+1)</f>
        <v/>
      </c>
      <c r="AM5484">
        <f>INDEX($T$5384:$T$5511,AF5484+1)</f>
        <v/>
      </c>
      <c r="AN5484">
        <f>INDEX($U$5384:$U$5511,AG5484+1)</f>
        <v/>
      </c>
      <c r="AO5484">
        <f>INDEX($V$5384:$V$5511,AH5484+1)</f>
        <v/>
      </c>
      <c r="AP5484">
        <f>INDEX($W$5384:$W$5511,AI5484+1)</f>
        <v/>
      </c>
      <c r="AQ5484">
        <f>IF(Q5484&gt;=AJ5484-0.01,1,0)</f>
        <v/>
      </c>
      <c r="AR5484">
        <f>IF(R5484&gt;=AK5484-0.01,1,0)</f>
        <v/>
      </c>
      <c r="AS5484">
        <f>IF(S5484&gt;=AL5484-0.01,1,0)</f>
        <v/>
      </c>
      <c r="AT5484">
        <f>IF(T5484&gt;=AM5484-0.01,1,0)</f>
        <v/>
      </c>
      <c r="AU5484">
        <f>IF(U5484&gt;=AN5484-0.01,1,0)</f>
        <v/>
      </c>
      <c r="AV5484">
        <f>IF(V5484&gt;=AO5484-0.01,1,0)</f>
        <v/>
      </c>
      <c r="AW5484">
        <f>IF(W5484&gt;=AP5484-0.01,1,0)</f>
        <v/>
      </c>
      <c r="AX5484">
        <f>AQ5484*AR5484*AS5484*AT5484*AU5484*AV5484*AW5484</f>
        <v/>
      </c>
    </row>
    <row r="5485">
      <c r="A5485" t="inlineStr"/>
      <c r="B5485">
        <f>Assumptions!$B$60</f>
        <v/>
      </c>
      <c r="C5485" t="n">
        <v>1</v>
      </c>
      <c r="D5485" t="n">
        <v>1</v>
      </c>
      <c r="E5485" t="n">
        <v>0</v>
      </c>
      <c r="F5485" t="n">
        <v>0</v>
      </c>
      <c r="G5485" t="n">
        <v>1</v>
      </c>
      <c r="H5485" t="n">
        <v>0</v>
      </c>
      <c r="I5485" t="n">
        <v>1</v>
      </c>
      <c r="J5485">
        <f>(1-C5485)*Assumptions!$B$41+(1-D5485)*Assumptions!$B$33+(1-E5485)*Assumptions!$B$32+(1-F5485)*Assumptions!$B$31+(1-G5485)*Assumptions!$B$30+(1-H5485)*Assumptions!$B$29+(1-I5485)*Assumptions!$B$28</f>
        <v/>
      </c>
      <c r="K5485">
        <f>C5485*$J$382+D5485*$F$382+E5485*$G$382+F5485*Assumptions!$B$14+G5485*Assumptions!$B$13+H5485*Assumptions!$B$12+I5485*Assumptions!$B$11+$O$382+$S$382+Assumptions!$B$9</f>
        <v/>
      </c>
      <c r="L5485">
        <f>B5485-J5485</f>
        <v/>
      </c>
      <c r="M5485">
        <f>IF(K5485&gt;0,IF(L5485/K5485&gt;=Assumptions!$B$37,1,0),0)</f>
        <v/>
      </c>
      <c r="N5485">
        <f>K5485+M5485*Assumptions!$B$153</f>
        <v/>
      </c>
      <c r="O5485">
        <f>L5485+M5485*Assumptions!$B$153*Assumptions!$B$37</f>
        <v/>
      </c>
      <c r="P5485">
        <f>IF(N5485&gt;0,O5485/N5485,0)</f>
        <v/>
      </c>
      <c r="Q5485">
        <f>IF(C5485=1,P5485*$J$382,Assumptions!$B$41)</f>
        <v/>
      </c>
      <c r="R5485">
        <f>IF(D5485=1,P5485*$F$382,Assumptions!$B$33)</f>
        <v/>
      </c>
      <c r="S5485">
        <f>IF(E5485=1,P5485*$G$382,Assumptions!$B$32)</f>
        <v/>
      </c>
      <c r="T5485">
        <f>IF(F5485=1,P5485*Assumptions!$B$14,Assumptions!$B$31)</f>
        <v/>
      </c>
      <c r="U5485">
        <f>IF(G5485=1,P5485*Assumptions!$B$13,Assumptions!$B$30)</f>
        <v/>
      </c>
      <c r="V5485">
        <f>IF(H5485=1,P5485*Assumptions!$B$12,Assumptions!$B$29)</f>
        <v/>
      </c>
      <c r="W5485">
        <f>IF(I5485=1,P5485*Assumptions!$B$11,Assumptions!$B$28)</f>
        <v/>
      </c>
      <c r="X5485">
        <f>P5485*($O$382+$S$382)</f>
        <v/>
      </c>
      <c r="Y5485">
        <f>P5485*Assumptions!$B$9</f>
        <v/>
      </c>
      <c r="Z5485">
        <f>IF(M5485=1,(P5485-Assumptions!$B$37)*Assumptions!$B$153,0)</f>
        <v/>
      </c>
      <c r="AA5485">
        <f>Q5485+R5485+S5485+T5485+U5485+V5485+W5485+X5485+Y5485+Z5485</f>
        <v/>
      </c>
      <c r="AB5485" t="n">
        <v>101</v>
      </c>
      <c r="AC5485" t="n">
        <v>37</v>
      </c>
      <c r="AD5485" t="n">
        <v>69</v>
      </c>
      <c r="AE5485" t="n">
        <v>117</v>
      </c>
      <c r="AF5485" t="n">
        <v>109</v>
      </c>
      <c r="AG5485" t="n">
        <v>97</v>
      </c>
      <c r="AH5485" t="n">
        <v>103</v>
      </c>
      <c r="AI5485" t="n">
        <v>100</v>
      </c>
      <c r="AJ5485">
        <f>INDEX($Q$5384:$Q$5511,AC5485+1)</f>
        <v/>
      </c>
      <c r="AK5485">
        <f>INDEX($R$5384:$R$5511,AD5485+1)</f>
        <v/>
      </c>
      <c r="AL5485">
        <f>INDEX($S$5384:$S$5511,AE5485+1)</f>
        <v/>
      </c>
      <c r="AM5485">
        <f>INDEX($T$5384:$T$5511,AF5485+1)</f>
        <v/>
      </c>
      <c r="AN5485">
        <f>INDEX($U$5384:$U$5511,AG5485+1)</f>
        <v/>
      </c>
      <c r="AO5485">
        <f>INDEX($V$5384:$V$5511,AH5485+1)</f>
        <v/>
      </c>
      <c r="AP5485">
        <f>INDEX($W$5384:$W$5511,AI5485+1)</f>
        <v/>
      </c>
      <c r="AQ5485">
        <f>IF(Q5485&gt;=AJ5485-0.01,1,0)</f>
        <v/>
      </c>
      <c r="AR5485">
        <f>IF(R5485&gt;=AK5485-0.01,1,0)</f>
        <v/>
      </c>
      <c r="AS5485">
        <f>IF(S5485&gt;=AL5485-0.01,1,0)</f>
        <v/>
      </c>
      <c r="AT5485">
        <f>IF(T5485&gt;=AM5485-0.01,1,0)</f>
        <v/>
      </c>
      <c r="AU5485">
        <f>IF(U5485&gt;=AN5485-0.01,1,0)</f>
        <v/>
      </c>
      <c r="AV5485">
        <f>IF(V5485&gt;=AO5485-0.01,1,0)</f>
        <v/>
      </c>
      <c r="AW5485">
        <f>IF(W5485&gt;=AP5485-0.01,1,0)</f>
        <v/>
      </c>
      <c r="AX5485">
        <f>AQ5485*AR5485*AS5485*AT5485*AU5485*AV5485*AW5485</f>
        <v/>
      </c>
    </row>
    <row r="5486">
      <c r="A5486" t="inlineStr"/>
      <c r="B5486">
        <f>Assumptions!$B$60</f>
        <v/>
      </c>
      <c r="C5486" t="n">
        <v>1</v>
      </c>
      <c r="D5486" t="n">
        <v>1</v>
      </c>
      <c r="E5486" t="n">
        <v>0</v>
      </c>
      <c r="F5486" t="n">
        <v>0</v>
      </c>
      <c r="G5486" t="n">
        <v>1</v>
      </c>
      <c r="H5486" t="n">
        <v>1</v>
      </c>
      <c r="I5486" t="n">
        <v>0</v>
      </c>
      <c r="J5486">
        <f>(1-C5486)*Assumptions!$B$41+(1-D5486)*Assumptions!$B$33+(1-E5486)*Assumptions!$B$32+(1-F5486)*Assumptions!$B$31+(1-G5486)*Assumptions!$B$30+(1-H5486)*Assumptions!$B$29+(1-I5486)*Assumptions!$B$28</f>
        <v/>
      </c>
      <c r="K5486">
        <f>C5486*$J$382+D5486*$F$382+E5486*$G$382+F5486*Assumptions!$B$14+G5486*Assumptions!$B$13+H5486*Assumptions!$B$12+I5486*Assumptions!$B$11+$O$382+$S$382+Assumptions!$B$9</f>
        <v/>
      </c>
      <c r="L5486">
        <f>B5486-J5486</f>
        <v/>
      </c>
      <c r="M5486">
        <f>IF(K5486&gt;0,IF(L5486/K5486&gt;=Assumptions!$B$37,1,0),0)</f>
        <v/>
      </c>
      <c r="N5486">
        <f>K5486+M5486*Assumptions!$B$153</f>
        <v/>
      </c>
      <c r="O5486">
        <f>L5486+M5486*Assumptions!$B$153*Assumptions!$B$37</f>
        <v/>
      </c>
      <c r="P5486">
        <f>IF(N5486&gt;0,O5486/N5486,0)</f>
        <v/>
      </c>
      <c r="Q5486">
        <f>IF(C5486=1,P5486*$J$382,Assumptions!$B$41)</f>
        <v/>
      </c>
      <c r="R5486">
        <f>IF(D5486=1,P5486*$F$382,Assumptions!$B$33)</f>
        <v/>
      </c>
      <c r="S5486">
        <f>IF(E5486=1,P5486*$G$382,Assumptions!$B$32)</f>
        <v/>
      </c>
      <c r="T5486">
        <f>IF(F5486=1,P5486*Assumptions!$B$14,Assumptions!$B$31)</f>
        <v/>
      </c>
      <c r="U5486">
        <f>IF(G5486=1,P5486*Assumptions!$B$13,Assumptions!$B$30)</f>
        <v/>
      </c>
      <c r="V5486">
        <f>IF(H5486=1,P5486*Assumptions!$B$12,Assumptions!$B$29)</f>
        <v/>
      </c>
      <c r="W5486">
        <f>IF(I5486=1,P5486*Assumptions!$B$11,Assumptions!$B$28)</f>
        <v/>
      </c>
      <c r="X5486">
        <f>P5486*($O$382+$S$382)</f>
        <v/>
      </c>
      <c r="Y5486">
        <f>P5486*Assumptions!$B$9</f>
        <v/>
      </c>
      <c r="Z5486">
        <f>IF(M5486=1,(P5486-Assumptions!$B$37)*Assumptions!$B$153,0)</f>
        <v/>
      </c>
      <c r="AA5486">
        <f>Q5486+R5486+S5486+T5486+U5486+V5486+W5486+X5486+Y5486+Z5486</f>
        <v/>
      </c>
      <c r="AB5486" t="n">
        <v>102</v>
      </c>
      <c r="AC5486" t="n">
        <v>38</v>
      </c>
      <c r="AD5486" t="n">
        <v>70</v>
      </c>
      <c r="AE5486" t="n">
        <v>118</v>
      </c>
      <c r="AF5486" t="n">
        <v>110</v>
      </c>
      <c r="AG5486" t="n">
        <v>98</v>
      </c>
      <c r="AH5486" t="n">
        <v>100</v>
      </c>
      <c r="AI5486" t="n">
        <v>103</v>
      </c>
      <c r="AJ5486">
        <f>INDEX($Q$5384:$Q$5511,AC5486+1)</f>
        <v/>
      </c>
      <c r="AK5486">
        <f>INDEX($R$5384:$R$5511,AD5486+1)</f>
        <v/>
      </c>
      <c r="AL5486">
        <f>INDEX($S$5384:$S$5511,AE5486+1)</f>
        <v/>
      </c>
      <c r="AM5486">
        <f>INDEX($T$5384:$T$5511,AF5486+1)</f>
        <v/>
      </c>
      <c r="AN5486">
        <f>INDEX($U$5384:$U$5511,AG5486+1)</f>
        <v/>
      </c>
      <c r="AO5486">
        <f>INDEX($V$5384:$V$5511,AH5486+1)</f>
        <v/>
      </c>
      <c r="AP5486">
        <f>INDEX($W$5384:$W$5511,AI5486+1)</f>
        <v/>
      </c>
      <c r="AQ5486">
        <f>IF(Q5486&gt;=AJ5486-0.01,1,0)</f>
        <v/>
      </c>
      <c r="AR5486">
        <f>IF(R5486&gt;=AK5486-0.01,1,0)</f>
        <v/>
      </c>
      <c r="AS5486">
        <f>IF(S5486&gt;=AL5486-0.01,1,0)</f>
        <v/>
      </c>
      <c r="AT5486">
        <f>IF(T5486&gt;=AM5486-0.01,1,0)</f>
        <v/>
      </c>
      <c r="AU5486">
        <f>IF(U5486&gt;=AN5486-0.01,1,0)</f>
        <v/>
      </c>
      <c r="AV5486">
        <f>IF(V5486&gt;=AO5486-0.01,1,0)</f>
        <v/>
      </c>
      <c r="AW5486">
        <f>IF(W5486&gt;=AP5486-0.01,1,0)</f>
        <v/>
      </c>
      <c r="AX5486">
        <f>AQ5486*AR5486*AS5486*AT5486*AU5486*AV5486*AW5486</f>
        <v/>
      </c>
    </row>
    <row r="5487">
      <c r="A5487" t="inlineStr"/>
      <c r="B5487">
        <f>Assumptions!$B$60</f>
        <v/>
      </c>
      <c r="C5487" t="n">
        <v>1</v>
      </c>
      <c r="D5487" t="n">
        <v>1</v>
      </c>
      <c r="E5487" t="n">
        <v>0</v>
      </c>
      <c r="F5487" t="n">
        <v>0</v>
      </c>
      <c r="G5487" t="n">
        <v>1</v>
      </c>
      <c r="H5487" t="n">
        <v>1</v>
      </c>
      <c r="I5487" t="n">
        <v>1</v>
      </c>
      <c r="J5487">
        <f>(1-C5487)*Assumptions!$B$41+(1-D5487)*Assumptions!$B$33+(1-E5487)*Assumptions!$B$32+(1-F5487)*Assumptions!$B$31+(1-G5487)*Assumptions!$B$30+(1-H5487)*Assumptions!$B$29+(1-I5487)*Assumptions!$B$28</f>
        <v/>
      </c>
      <c r="K5487">
        <f>C5487*$J$382+D5487*$F$382+E5487*$G$382+F5487*Assumptions!$B$14+G5487*Assumptions!$B$13+H5487*Assumptions!$B$12+I5487*Assumptions!$B$11+$O$382+$S$382+Assumptions!$B$9</f>
        <v/>
      </c>
      <c r="L5487">
        <f>B5487-J5487</f>
        <v/>
      </c>
      <c r="M5487">
        <f>IF(K5487&gt;0,IF(L5487/K5487&gt;=Assumptions!$B$37,1,0),0)</f>
        <v/>
      </c>
      <c r="N5487">
        <f>K5487+M5487*Assumptions!$B$153</f>
        <v/>
      </c>
      <c r="O5487">
        <f>L5487+M5487*Assumptions!$B$153*Assumptions!$B$37</f>
        <v/>
      </c>
      <c r="P5487">
        <f>IF(N5487&gt;0,O5487/N5487,0)</f>
        <v/>
      </c>
      <c r="Q5487">
        <f>IF(C5487=1,P5487*$J$382,Assumptions!$B$41)</f>
        <v/>
      </c>
      <c r="R5487">
        <f>IF(D5487=1,P5487*$F$382,Assumptions!$B$33)</f>
        <v/>
      </c>
      <c r="S5487">
        <f>IF(E5487=1,P5487*$G$382,Assumptions!$B$32)</f>
        <v/>
      </c>
      <c r="T5487">
        <f>IF(F5487=1,P5487*Assumptions!$B$14,Assumptions!$B$31)</f>
        <v/>
      </c>
      <c r="U5487">
        <f>IF(G5487=1,P5487*Assumptions!$B$13,Assumptions!$B$30)</f>
        <v/>
      </c>
      <c r="V5487">
        <f>IF(H5487=1,P5487*Assumptions!$B$12,Assumptions!$B$29)</f>
        <v/>
      </c>
      <c r="W5487">
        <f>IF(I5487=1,P5487*Assumptions!$B$11,Assumptions!$B$28)</f>
        <v/>
      </c>
      <c r="X5487">
        <f>P5487*($O$382+$S$382)</f>
        <v/>
      </c>
      <c r="Y5487">
        <f>P5487*Assumptions!$B$9</f>
        <v/>
      </c>
      <c r="Z5487">
        <f>IF(M5487=1,(P5487-Assumptions!$B$37)*Assumptions!$B$153,0)</f>
        <v/>
      </c>
      <c r="AA5487">
        <f>Q5487+R5487+S5487+T5487+U5487+V5487+W5487+X5487+Y5487+Z5487</f>
        <v/>
      </c>
      <c r="AB5487" t="n">
        <v>103</v>
      </c>
      <c r="AC5487" t="n">
        <v>39</v>
      </c>
      <c r="AD5487" t="n">
        <v>71</v>
      </c>
      <c r="AE5487" t="n">
        <v>119</v>
      </c>
      <c r="AF5487" t="n">
        <v>111</v>
      </c>
      <c r="AG5487" t="n">
        <v>99</v>
      </c>
      <c r="AH5487" t="n">
        <v>101</v>
      </c>
      <c r="AI5487" t="n">
        <v>102</v>
      </c>
      <c r="AJ5487">
        <f>INDEX($Q$5384:$Q$5511,AC5487+1)</f>
        <v/>
      </c>
      <c r="AK5487">
        <f>INDEX($R$5384:$R$5511,AD5487+1)</f>
        <v/>
      </c>
      <c r="AL5487">
        <f>INDEX($S$5384:$S$5511,AE5487+1)</f>
        <v/>
      </c>
      <c r="AM5487">
        <f>INDEX($T$5384:$T$5511,AF5487+1)</f>
        <v/>
      </c>
      <c r="AN5487">
        <f>INDEX($U$5384:$U$5511,AG5487+1)</f>
        <v/>
      </c>
      <c r="AO5487">
        <f>INDEX($V$5384:$V$5511,AH5487+1)</f>
        <v/>
      </c>
      <c r="AP5487">
        <f>INDEX($W$5384:$W$5511,AI5487+1)</f>
        <v/>
      </c>
      <c r="AQ5487">
        <f>IF(Q5487&gt;=AJ5487-0.01,1,0)</f>
        <v/>
      </c>
      <c r="AR5487">
        <f>IF(R5487&gt;=AK5487-0.01,1,0)</f>
        <v/>
      </c>
      <c r="AS5487">
        <f>IF(S5487&gt;=AL5487-0.01,1,0)</f>
        <v/>
      </c>
      <c r="AT5487">
        <f>IF(T5487&gt;=AM5487-0.01,1,0)</f>
        <v/>
      </c>
      <c r="AU5487">
        <f>IF(U5487&gt;=AN5487-0.01,1,0)</f>
        <v/>
      </c>
      <c r="AV5487">
        <f>IF(V5487&gt;=AO5487-0.01,1,0)</f>
        <v/>
      </c>
      <c r="AW5487">
        <f>IF(W5487&gt;=AP5487-0.01,1,0)</f>
        <v/>
      </c>
      <c r="AX5487">
        <f>AQ5487*AR5487*AS5487*AT5487*AU5487*AV5487*AW5487</f>
        <v/>
      </c>
    </row>
    <row r="5488">
      <c r="A5488" t="inlineStr"/>
      <c r="B5488">
        <f>Assumptions!$B$60</f>
        <v/>
      </c>
      <c r="C5488" t="n">
        <v>1</v>
      </c>
      <c r="D5488" t="n">
        <v>1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>
        <f>(1-C5488)*Assumptions!$B$41+(1-D5488)*Assumptions!$B$33+(1-E5488)*Assumptions!$B$32+(1-F5488)*Assumptions!$B$31+(1-G5488)*Assumptions!$B$30+(1-H5488)*Assumptions!$B$29+(1-I5488)*Assumptions!$B$28</f>
        <v/>
      </c>
      <c r="K5488">
        <f>C5488*$J$382+D5488*$F$382+E5488*$G$382+F5488*Assumptions!$B$14+G5488*Assumptions!$B$13+H5488*Assumptions!$B$12+I5488*Assumptions!$B$11+$O$382+$S$382+Assumptions!$B$9</f>
        <v/>
      </c>
      <c r="L5488">
        <f>B5488-J5488</f>
        <v/>
      </c>
      <c r="M5488">
        <f>IF(K5488&gt;0,IF(L5488/K5488&gt;=Assumptions!$B$37,1,0),0)</f>
        <v/>
      </c>
      <c r="N5488">
        <f>K5488+M5488*Assumptions!$B$153</f>
        <v/>
      </c>
      <c r="O5488">
        <f>L5488+M5488*Assumptions!$B$153*Assumptions!$B$37</f>
        <v/>
      </c>
      <c r="P5488">
        <f>IF(N5488&gt;0,O5488/N5488,0)</f>
        <v/>
      </c>
      <c r="Q5488">
        <f>IF(C5488=1,P5488*$J$382,Assumptions!$B$41)</f>
        <v/>
      </c>
      <c r="R5488">
        <f>IF(D5488=1,P5488*$F$382,Assumptions!$B$33)</f>
        <v/>
      </c>
      <c r="S5488">
        <f>IF(E5488=1,P5488*$G$382,Assumptions!$B$32)</f>
        <v/>
      </c>
      <c r="T5488">
        <f>IF(F5488=1,P5488*Assumptions!$B$14,Assumptions!$B$31)</f>
        <v/>
      </c>
      <c r="U5488">
        <f>IF(G5488=1,P5488*Assumptions!$B$13,Assumptions!$B$30)</f>
        <v/>
      </c>
      <c r="V5488">
        <f>IF(H5488=1,P5488*Assumptions!$B$12,Assumptions!$B$29)</f>
        <v/>
      </c>
      <c r="W5488">
        <f>IF(I5488=1,P5488*Assumptions!$B$11,Assumptions!$B$28)</f>
        <v/>
      </c>
      <c r="X5488">
        <f>P5488*($O$382+$S$382)</f>
        <v/>
      </c>
      <c r="Y5488">
        <f>P5488*Assumptions!$B$9</f>
        <v/>
      </c>
      <c r="Z5488">
        <f>IF(M5488=1,(P5488-Assumptions!$B$37)*Assumptions!$B$153,0)</f>
        <v/>
      </c>
      <c r="AA5488">
        <f>Q5488+R5488+S5488+T5488+U5488+V5488+W5488+X5488+Y5488+Z5488</f>
        <v/>
      </c>
      <c r="AB5488" t="n">
        <v>104</v>
      </c>
      <c r="AC5488" t="n">
        <v>40</v>
      </c>
      <c r="AD5488" t="n">
        <v>72</v>
      </c>
      <c r="AE5488" t="n">
        <v>120</v>
      </c>
      <c r="AF5488" t="n">
        <v>96</v>
      </c>
      <c r="AG5488" t="n">
        <v>108</v>
      </c>
      <c r="AH5488" t="n">
        <v>106</v>
      </c>
      <c r="AI5488" t="n">
        <v>105</v>
      </c>
      <c r="AJ5488">
        <f>INDEX($Q$5384:$Q$5511,AC5488+1)</f>
        <v/>
      </c>
      <c r="AK5488">
        <f>INDEX($R$5384:$R$5511,AD5488+1)</f>
        <v/>
      </c>
      <c r="AL5488">
        <f>INDEX($S$5384:$S$5511,AE5488+1)</f>
        <v/>
      </c>
      <c r="AM5488">
        <f>INDEX($T$5384:$T$5511,AF5488+1)</f>
        <v/>
      </c>
      <c r="AN5488">
        <f>INDEX($U$5384:$U$5511,AG5488+1)</f>
        <v/>
      </c>
      <c r="AO5488">
        <f>INDEX($V$5384:$V$5511,AH5488+1)</f>
        <v/>
      </c>
      <c r="AP5488">
        <f>INDEX($W$5384:$W$5511,AI5488+1)</f>
        <v/>
      </c>
      <c r="AQ5488">
        <f>IF(Q5488&gt;=AJ5488-0.01,1,0)</f>
        <v/>
      </c>
      <c r="AR5488">
        <f>IF(R5488&gt;=AK5488-0.01,1,0)</f>
        <v/>
      </c>
      <c r="AS5488">
        <f>IF(S5488&gt;=AL5488-0.01,1,0)</f>
        <v/>
      </c>
      <c r="AT5488">
        <f>IF(T5488&gt;=AM5488-0.01,1,0)</f>
        <v/>
      </c>
      <c r="AU5488">
        <f>IF(U5488&gt;=AN5488-0.01,1,0)</f>
        <v/>
      </c>
      <c r="AV5488">
        <f>IF(V5488&gt;=AO5488-0.01,1,0)</f>
        <v/>
      </c>
      <c r="AW5488">
        <f>IF(W5488&gt;=AP5488-0.01,1,0)</f>
        <v/>
      </c>
      <c r="AX5488">
        <f>AQ5488*AR5488*AS5488*AT5488*AU5488*AV5488*AW5488</f>
        <v/>
      </c>
    </row>
    <row r="5489">
      <c r="A5489" t="inlineStr"/>
      <c r="B5489">
        <f>Assumptions!$B$60</f>
        <v/>
      </c>
      <c r="C5489" t="n">
        <v>1</v>
      </c>
      <c r="D5489" t="n">
        <v>1</v>
      </c>
      <c r="E5489" t="n">
        <v>0</v>
      </c>
      <c r="F5489" t="n">
        <v>1</v>
      </c>
      <c r="G5489" t="n">
        <v>0</v>
      </c>
      <c r="H5489" t="n">
        <v>0</v>
      </c>
      <c r="I5489" t="n">
        <v>1</v>
      </c>
      <c r="J5489">
        <f>(1-C5489)*Assumptions!$B$41+(1-D5489)*Assumptions!$B$33+(1-E5489)*Assumptions!$B$32+(1-F5489)*Assumptions!$B$31+(1-G5489)*Assumptions!$B$30+(1-H5489)*Assumptions!$B$29+(1-I5489)*Assumptions!$B$28</f>
        <v/>
      </c>
      <c r="K5489">
        <f>C5489*$J$382+D5489*$F$382+E5489*$G$382+F5489*Assumptions!$B$14+G5489*Assumptions!$B$13+H5489*Assumptions!$B$12+I5489*Assumptions!$B$11+$O$382+$S$382+Assumptions!$B$9</f>
        <v/>
      </c>
      <c r="L5489">
        <f>B5489-J5489</f>
        <v/>
      </c>
      <c r="M5489">
        <f>IF(K5489&gt;0,IF(L5489/K5489&gt;=Assumptions!$B$37,1,0),0)</f>
        <v/>
      </c>
      <c r="N5489">
        <f>K5489+M5489*Assumptions!$B$153</f>
        <v/>
      </c>
      <c r="O5489">
        <f>L5489+M5489*Assumptions!$B$153*Assumptions!$B$37</f>
        <v/>
      </c>
      <c r="P5489">
        <f>IF(N5489&gt;0,O5489/N5489,0)</f>
        <v/>
      </c>
      <c r="Q5489">
        <f>IF(C5489=1,P5489*$J$382,Assumptions!$B$41)</f>
        <v/>
      </c>
      <c r="R5489">
        <f>IF(D5489=1,P5489*$F$382,Assumptions!$B$33)</f>
        <v/>
      </c>
      <c r="S5489">
        <f>IF(E5489=1,P5489*$G$382,Assumptions!$B$32)</f>
        <v/>
      </c>
      <c r="T5489">
        <f>IF(F5489=1,P5489*Assumptions!$B$14,Assumptions!$B$31)</f>
        <v/>
      </c>
      <c r="U5489">
        <f>IF(G5489=1,P5489*Assumptions!$B$13,Assumptions!$B$30)</f>
        <v/>
      </c>
      <c r="V5489">
        <f>IF(H5489=1,P5489*Assumptions!$B$12,Assumptions!$B$29)</f>
        <v/>
      </c>
      <c r="W5489">
        <f>IF(I5489=1,P5489*Assumptions!$B$11,Assumptions!$B$28)</f>
        <v/>
      </c>
      <c r="X5489">
        <f>P5489*($O$382+$S$382)</f>
        <v/>
      </c>
      <c r="Y5489">
        <f>P5489*Assumptions!$B$9</f>
        <v/>
      </c>
      <c r="Z5489">
        <f>IF(M5489=1,(P5489-Assumptions!$B$37)*Assumptions!$B$153,0)</f>
        <v/>
      </c>
      <c r="AA5489">
        <f>Q5489+R5489+S5489+T5489+U5489+V5489+W5489+X5489+Y5489+Z5489</f>
        <v/>
      </c>
      <c r="AB5489" t="n">
        <v>105</v>
      </c>
      <c r="AC5489" t="n">
        <v>41</v>
      </c>
      <c r="AD5489" t="n">
        <v>73</v>
      </c>
      <c r="AE5489" t="n">
        <v>121</v>
      </c>
      <c r="AF5489" t="n">
        <v>97</v>
      </c>
      <c r="AG5489" t="n">
        <v>109</v>
      </c>
      <c r="AH5489" t="n">
        <v>107</v>
      </c>
      <c r="AI5489" t="n">
        <v>104</v>
      </c>
      <c r="AJ5489">
        <f>INDEX($Q$5384:$Q$5511,AC5489+1)</f>
        <v/>
      </c>
      <c r="AK5489">
        <f>INDEX($R$5384:$R$5511,AD5489+1)</f>
        <v/>
      </c>
      <c r="AL5489">
        <f>INDEX($S$5384:$S$5511,AE5489+1)</f>
        <v/>
      </c>
      <c r="AM5489">
        <f>INDEX($T$5384:$T$5511,AF5489+1)</f>
        <v/>
      </c>
      <c r="AN5489">
        <f>INDEX($U$5384:$U$5511,AG5489+1)</f>
        <v/>
      </c>
      <c r="AO5489">
        <f>INDEX($V$5384:$V$5511,AH5489+1)</f>
        <v/>
      </c>
      <c r="AP5489">
        <f>INDEX($W$5384:$W$5511,AI5489+1)</f>
        <v/>
      </c>
      <c r="AQ5489">
        <f>IF(Q5489&gt;=AJ5489-0.01,1,0)</f>
        <v/>
      </c>
      <c r="AR5489">
        <f>IF(R5489&gt;=AK5489-0.01,1,0)</f>
        <v/>
      </c>
      <c r="AS5489">
        <f>IF(S5489&gt;=AL5489-0.01,1,0)</f>
        <v/>
      </c>
      <c r="AT5489">
        <f>IF(T5489&gt;=AM5489-0.01,1,0)</f>
        <v/>
      </c>
      <c r="AU5489">
        <f>IF(U5489&gt;=AN5489-0.01,1,0)</f>
        <v/>
      </c>
      <c r="AV5489">
        <f>IF(V5489&gt;=AO5489-0.01,1,0)</f>
        <v/>
      </c>
      <c r="AW5489">
        <f>IF(W5489&gt;=AP5489-0.01,1,0)</f>
        <v/>
      </c>
      <c r="AX5489">
        <f>AQ5489*AR5489*AS5489*AT5489*AU5489*AV5489*AW5489</f>
        <v/>
      </c>
    </row>
    <row r="5490">
      <c r="A5490" t="inlineStr"/>
      <c r="B5490">
        <f>Assumptions!$B$60</f>
        <v/>
      </c>
      <c r="C5490" t="n">
        <v>1</v>
      </c>
      <c r="D5490" t="n">
        <v>1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>
        <f>(1-C5490)*Assumptions!$B$41+(1-D5490)*Assumptions!$B$33+(1-E5490)*Assumptions!$B$32+(1-F5490)*Assumptions!$B$31+(1-G5490)*Assumptions!$B$30+(1-H5490)*Assumptions!$B$29+(1-I5490)*Assumptions!$B$28</f>
        <v/>
      </c>
      <c r="K5490">
        <f>C5490*$J$382+D5490*$F$382+E5490*$G$382+F5490*Assumptions!$B$14+G5490*Assumptions!$B$13+H5490*Assumptions!$B$12+I5490*Assumptions!$B$11+$O$382+$S$382+Assumptions!$B$9</f>
        <v/>
      </c>
      <c r="L5490">
        <f>B5490-J5490</f>
        <v/>
      </c>
      <c r="M5490">
        <f>IF(K5490&gt;0,IF(L5490/K5490&gt;=Assumptions!$B$37,1,0),0)</f>
        <v/>
      </c>
      <c r="N5490">
        <f>K5490+M5490*Assumptions!$B$153</f>
        <v/>
      </c>
      <c r="O5490">
        <f>L5490+M5490*Assumptions!$B$153*Assumptions!$B$37</f>
        <v/>
      </c>
      <c r="P5490">
        <f>IF(N5490&gt;0,O5490/N5490,0)</f>
        <v/>
      </c>
      <c r="Q5490">
        <f>IF(C5490=1,P5490*$J$382,Assumptions!$B$41)</f>
        <v/>
      </c>
      <c r="R5490">
        <f>IF(D5490=1,P5490*$F$382,Assumptions!$B$33)</f>
        <v/>
      </c>
      <c r="S5490">
        <f>IF(E5490=1,P5490*$G$382,Assumptions!$B$32)</f>
        <v/>
      </c>
      <c r="T5490">
        <f>IF(F5490=1,P5490*Assumptions!$B$14,Assumptions!$B$31)</f>
        <v/>
      </c>
      <c r="U5490">
        <f>IF(G5490=1,P5490*Assumptions!$B$13,Assumptions!$B$30)</f>
        <v/>
      </c>
      <c r="V5490">
        <f>IF(H5490=1,P5490*Assumptions!$B$12,Assumptions!$B$29)</f>
        <v/>
      </c>
      <c r="W5490">
        <f>IF(I5490=1,P5490*Assumptions!$B$11,Assumptions!$B$28)</f>
        <v/>
      </c>
      <c r="X5490">
        <f>P5490*($O$382+$S$382)</f>
        <v/>
      </c>
      <c r="Y5490">
        <f>P5490*Assumptions!$B$9</f>
        <v/>
      </c>
      <c r="Z5490">
        <f>IF(M5490=1,(P5490-Assumptions!$B$37)*Assumptions!$B$153,0)</f>
        <v/>
      </c>
      <c r="AA5490">
        <f>Q5490+R5490+S5490+T5490+U5490+V5490+W5490+X5490+Y5490+Z5490</f>
        <v/>
      </c>
      <c r="AB5490" t="n">
        <v>106</v>
      </c>
      <c r="AC5490" t="n">
        <v>42</v>
      </c>
      <c r="AD5490" t="n">
        <v>74</v>
      </c>
      <c r="AE5490" t="n">
        <v>122</v>
      </c>
      <c r="AF5490" t="n">
        <v>98</v>
      </c>
      <c r="AG5490" t="n">
        <v>110</v>
      </c>
      <c r="AH5490" t="n">
        <v>104</v>
      </c>
      <c r="AI5490" t="n">
        <v>107</v>
      </c>
      <c r="AJ5490">
        <f>INDEX($Q$5384:$Q$5511,AC5490+1)</f>
        <v/>
      </c>
      <c r="AK5490">
        <f>INDEX($R$5384:$R$5511,AD5490+1)</f>
        <v/>
      </c>
      <c r="AL5490">
        <f>INDEX($S$5384:$S$5511,AE5490+1)</f>
        <v/>
      </c>
      <c r="AM5490">
        <f>INDEX($T$5384:$T$5511,AF5490+1)</f>
        <v/>
      </c>
      <c r="AN5490">
        <f>INDEX($U$5384:$U$5511,AG5490+1)</f>
        <v/>
      </c>
      <c r="AO5490">
        <f>INDEX($V$5384:$V$5511,AH5490+1)</f>
        <v/>
      </c>
      <c r="AP5490">
        <f>INDEX($W$5384:$W$5511,AI5490+1)</f>
        <v/>
      </c>
      <c r="AQ5490">
        <f>IF(Q5490&gt;=AJ5490-0.01,1,0)</f>
        <v/>
      </c>
      <c r="AR5490">
        <f>IF(R5490&gt;=AK5490-0.01,1,0)</f>
        <v/>
      </c>
      <c r="AS5490">
        <f>IF(S5490&gt;=AL5490-0.01,1,0)</f>
        <v/>
      </c>
      <c r="AT5490">
        <f>IF(T5490&gt;=AM5490-0.01,1,0)</f>
        <v/>
      </c>
      <c r="AU5490">
        <f>IF(U5490&gt;=AN5490-0.01,1,0)</f>
        <v/>
      </c>
      <c r="AV5490">
        <f>IF(V5490&gt;=AO5490-0.01,1,0)</f>
        <v/>
      </c>
      <c r="AW5490">
        <f>IF(W5490&gt;=AP5490-0.01,1,0)</f>
        <v/>
      </c>
      <c r="AX5490">
        <f>AQ5490*AR5490*AS5490*AT5490*AU5490*AV5490*AW5490</f>
        <v/>
      </c>
    </row>
    <row r="5491">
      <c r="A5491" t="inlineStr"/>
      <c r="B5491">
        <f>Assumptions!$B$60</f>
        <v/>
      </c>
      <c r="C5491" t="n">
        <v>1</v>
      </c>
      <c r="D5491" t="n">
        <v>1</v>
      </c>
      <c r="E5491" t="n">
        <v>0</v>
      </c>
      <c r="F5491" t="n">
        <v>1</v>
      </c>
      <c r="G5491" t="n">
        <v>0</v>
      </c>
      <c r="H5491" t="n">
        <v>1</v>
      </c>
      <c r="I5491" t="n">
        <v>1</v>
      </c>
      <c r="J5491">
        <f>(1-C5491)*Assumptions!$B$41+(1-D5491)*Assumptions!$B$33+(1-E5491)*Assumptions!$B$32+(1-F5491)*Assumptions!$B$31+(1-G5491)*Assumptions!$B$30+(1-H5491)*Assumptions!$B$29+(1-I5491)*Assumptions!$B$28</f>
        <v/>
      </c>
      <c r="K5491">
        <f>C5491*$J$382+D5491*$F$382+E5491*$G$382+F5491*Assumptions!$B$14+G5491*Assumptions!$B$13+H5491*Assumptions!$B$12+I5491*Assumptions!$B$11+$O$382+$S$382+Assumptions!$B$9</f>
        <v/>
      </c>
      <c r="L5491">
        <f>B5491-J5491</f>
        <v/>
      </c>
      <c r="M5491">
        <f>IF(K5491&gt;0,IF(L5491/K5491&gt;=Assumptions!$B$37,1,0),0)</f>
        <v/>
      </c>
      <c r="N5491">
        <f>K5491+M5491*Assumptions!$B$153</f>
        <v/>
      </c>
      <c r="O5491">
        <f>L5491+M5491*Assumptions!$B$153*Assumptions!$B$37</f>
        <v/>
      </c>
      <c r="P5491">
        <f>IF(N5491&gt;0,O5491/N5491,0)</f>
        <v/>
      </c>
      <c r="Q5491">
        <f>IF(C5491=1,P5491*$J$382,Assumptions!$B$41)</f>
        <v/>
      </c>
      <c r="R5491">
        <f>IF(D5491=1,P5491*$F$382,Assumptions!$B$33)</f>
        <v/>
      </c>
      <c r="S5491">
        <f>IF(E5491=1,P5491*$G$382,Assumptions!$B$32)</f>
        <v/>
      </c>
      <c r="T5491">
        <f>IF(F5491=1,P5491*Assumptions!$B$14,Assumptions!$B$31)</f>
        <v/>
      </c>
      <c r="U5491">
        <f>IF(G5491=1,P5491*Assumptions!$B$13,Assumptions!$B$30)</f>
        <v/>
      </c>
      <c r="V5491">
        <f>IF(H5491=1,P5491*Assumptions!$B$12,Assumptions!$B$29)</f>
        <v/>
      </c>
      <c r="W5491">
        <f>IF(I5491=1,P5491*Assumptions!$B$11,Assumptions!$B$28)</f>
        <v/>
      </c>
      <c r="X5491">
        <f>P5491*($O$382+$S$382)</f>
        <v/>
      </c>
      <c r="Y5491">
        <f>P5491*Assumptions!$B$9</f>
        <v/>
      </c>
      <c r="Z5491">
        <f>IF(M5491=1,(P5491-Assumptions!$B$37)*Assumptions!$B$153,0)</f>
        <v/>
      </c>
      <c r="AA5491">
        <f>Q5491+R5491+S5491+T5491+U5491+V5491+W5491+X5491+Y5491+Z5491</f>
        <v/>
      </c>
      <c r="AB5491" t="n">
        <v>107</v>
      </c>
      <c r="AC5491" t="n">
        <v>43</v>
      </c>
      <c r="AD5491" t="n">
        <v>75</v>
      </c>
      <c r="AE5491" t="n">
        <v>123</v>
      </c>
      <c r="AF5491" t="n">
        <v>99</v>
      </c>
      <c r="AG5491" t="n">
        <v>111</v>
      </c>
      <c r="AH5491" t="n">
        <v>105</v>
      </c>
      <c r="AI5491" t="n">
        <v>106</v>
      </c>
      <c r="AJ5491">
        <f>INDEX($Q$5384:$Q$5511,AC5491+1)</f>
        <v/>
      </c>
      <c r="AK5491">
        <f>INDEX($R$5384:$R$5511,AD5491+1)</f>
        <v/>
      </c>
      <c r="AL5491">
        <f>INDEX($S$5384:$S$5511,AE5491+1)</f>
        <v/>
      </c>
      <c r="AM5491">
        <f>INDEX($T$5384:$T$5511,AF5491+1)</f>
        <v/>
      </c>
      <c r="AN5491">
        <f>INDEX($U$5384:$U$5511,AG5491+1)</f>
        <v/>
      </c>
      <c r="AO5491">
        <f>INDEX($V$5384:$V$5511,AH5491+1)</f>
        <v/>
      </c>
      <c r="AP5491">
        <f>INDEX($W$5384:$W$5511,AI5491+1)</f>
        <v/>
      </c>
      <c r="AQ5491">
        <f>IF(Q5491&gt;=AJ5491-0.01,1,0)</f>
        <v/>
      </c>
      <c r="AR5491">
        <f>IF(R5491&gt;=AK5491-0.01,1,0)</f>
        <v/>
      </c>
      <c r="AS5491">
        <f>IF(S5491&gt;=AL5491-0.01,1,0)</f>
        <v/>
      </c>
      <c r="AT5491">
        <f>IF(T5491&gt;=AM5491-0.01,1,0)</f>
        <v/>
      </c>
      <c r="AU5491">
        <f>IF(U5491&gt;=AN5491-0.01,1,0)</f>
        <v/>
      </c>
      <c r="AV5491">
        <f>IF(V5491&gt;=AO5491-0.01,1,0)</f>
        <v/>
      </c>
      <c r="AW5491">
        <f>IF(W5491&gt;=AP5491-0.01,1,0)</f>
        <v/>
      </c>
      <c r="AX5491">
        <f>AQ5491*AR5491*AS5491*AT5491*AU5491*AV5491*AW5491</f>
        <v/>
      </c>
    </row>
    <row r="5492">
      <c r="A5492" t="inlineStr"/>
      <c r="B5492">
        <f>Assumptions!$B$60</f>
        <v/>
      </c>
      <c r="C5492" t="n">
        <v>1</v>
      </c>
      <c r="D5492" t="n">
        <v>1</v>
      </c>
      <c r="E5492" t="n">
        <v>0</v>
      </c>
      <c r="F5492" t="n">
        <v>1</v>
      </c>
      <c r="G5492" t="n">
        <v>1</v>
      </c>
      <c r="H5492" t="n">
        <v>0</v>
      </c>
      <c r="I5492" t="n">
        <v>0</v>
      </c>
      <c r="J5492">
        <f>(1-C5492)*Assumptions!$B$41+(1-D5492)*Assumptions!$B$33+(1-E5492)*Assumptions!$B$32+(1-F5492)*Assumptions!$B$31+(1-G5492)*Assumptions!$B$30+(1-H5492)*Assumptions!$B$29+(1-I5492)*Assumptions!$B$28</f>
        <v/>
      </c>
      <c r="K5492">
        <f>C5492*$J$382+D5492*$F$382+E5492*$G$382+F5492*Assumptions!$B$14+G5492*Assumptions!$B$13+H5492*Assumptions!$B$12+I5492*Assumptions!$B$11+$O$382+$S$382+Assumptions!$B$9</f>
        <v/>
      </c>
      <c r="L5492">
        <f>B5492-J5492</f>
        <v/>
      </c>
      <c r="M5492">
        <f>IF(K5492&gt;0,IF(L5492/K5492&gt;=Assumptions!$B$37,1,0),0)</f>
        <v/>
      </c>
      <c r="N5492">
        <f>K5492+M5492*Assumptions!$B$153</f>
        <v/>
      </c>
      <c r="O5492">
        <f>L5492+M5492*Assumptions!$B$153*Assumptions!$B$37</f>
        <v/>
      </c>
      <c r="P5492">
        <f>IF(N5492&gt;0,O5492/N5492,0)</f>
        <v/>
      </c>
      <c r="Q5492">
        <f>IF(C5492=1,P5492*$J$382,Assumptions!$B$41)</f>
        <v/>
      </c>
      <c r="R5492">
        <f>IF(D5492=1,P5492*$F$382,Assumptions!$B$33)</f>
        <v/>
      </c>
      <c r="S5492">
        <f>IF(E5492=1,P5492*$G$382,Assumptions!$B$32)</f>
        <v/>
      </c>
      <c r="T5492">
        <f>IF(F5492=1,P5492*Assumptions!$B$14,Assumptions!$B$31)</f>
        <v/>
      </c>
      <c r="U5492">
        <f>IF(G5492=1,P5492*Assumptions!$B$13,Assumptions!$B$30)</f>
        <v/>
      </c>
      <c r="V5492">
        <f>IF(H5492=1,P5492*Assumptions!$B$12,Assumptions!$B$29)</f>
        <v/>
      </c>
      <c r="W5492">
        <f>IF(I5492=1,P5492*Assumptions!$B$11,Assumptions!$B$28)</f>
        <v/>
      </c>
      <c r="X5492">
        <f>P5492*($O$382+$S$382)</f>
        <v/>
      </c>
      <c r="Y5492">
        <f>P5492*Assumptions!$B$9</f>
        <v/>
      </c>
      <c r="Z5492">
        <f>IF(M5492=1,(P5492-Assumptions!$B$37)*Assumptions!$B$153,0)</f>
        <v/>
      </c>
      <c r="AA5492">
        <f>Q5492+R5492+S5492+T5492+U5492+V5492+W5492+X5492+Y5492+Z5492</f>
        <v/>
      </c>
      <c r="AB5492" t="n">
        <v>108</v>
      </c>
      <c r="AC5492" t="n">
        <v>44</v>
      </c>
      <c r="AD5492" t="n">
        <v>76</v>
      </c>
      <c r="AE5492" t="n">
        <v>124</v>
      </c>
      <c r="AF5492" t="n">
        <v>100</v>
      </c>
      <c r="AG5492" t="n">
        <v>104</v>
      </c>
      <c r="AH5492" t="n">
        <v>110</v>
      </c>
      <c r="AI5492" t="n">
        <v>109</v>
      </c>
      <c r="AJ5492">
        <f>INDEX($Q$5384:$Q$5511,AC5492+1)</f>
        <v/>
      </c>
      <c r="AK5492">
        <f>INDEX($R$5384:$R$5511,AD5492+1)</f>
        <v/>
      </c>
      <c r="AL5492">
        <f>INDEX($S$5384:$S$5511,AE5492+1)</f>
        <v/>
      </c>
      <c r="AM5492">
        <f>INDEX($T$5384:$T$5511,AF5492+1)</f>
        <v/>
      </c>
      <c r="AN5492">
        <f>INDEX($U$5384:$U$5511,AG5492+1)</f>
        <v/>
      </c>
      <c r="AO5492">
        <f>INDEX($V$5384:$V$5511,AH5492+1)</f>
        <v/>
      </c>
      <c r="AP5492">
        <f>INDEX($W$5384:$W$5511,AI5492+1)</f>
        <v/>
      </c>
      <c r="AQ5492">
        <f>IF(Q5492&gt;=AJ5492-0.01,1,0)</f>
        <v/>
      </c>
      <c r="AR5492">
        <f>IF(R5492&gt;=AK5492-0.01,1,0)</f>
        <v/>
      </c>
      <c r="AS5492">
        <f>IF(S5492&gt;=AL5492-0.01,1,0)</f>
        <v/>
      </c>
      <c r="AT5492">
        <f>IF(T5492&gt;=AM5492-0.01,1,0)</f>
        <v/>
      </c>
      <c r="AU5492">
        <f>IF(U5492&gt;=AN5492-0.01,1,0)</f>
        <v/>
      </c>
      <c r="AV5492">
        <f>IF(V5492&gt;=AO5492-0.01,1,0)</f>
        <v/>
      </c>
      <c r="AW5492">
        <f>IF(W5492&gt;=AP5492-0.01,1,0)</f>
        <v/>
      </c>
      <c r="AX5492">
        <f>AQ5492*AR5492*AS5492*AT5492*AU5492*AV5492*AW5492</f>
        <v/>
      </c>
    </row>
    <row r="5493">
      <c r="A5493" t="inlineStr"/>
      <c r="B5493">
        <f>Assumptions!$B$60</f>
        <v/>
      </c>
      <c r="C5493" t="n">
        <v>1</v>
      </c>
      <c r="D5493" t="n">
        <v>1</v>
      </c>
      <c r="E5493" t="n">
        <v>0</v>
      </c>
      <c r="F5493" t="n">
        <v>1</v>
      </c>
      <c r="G5493" t="n">
        <v>1</v>
      </c>
      <c r="H5493" t="n">
        <v>0</v>
      </c>
      <c r="I5493" t="n">
        <v>1</v>
      </c>
      <c r="J5493">
        <f>(1-C5493)*Assumptions!$B$41+(1-D5493)*Assumptions!$B$33+(1-E5493)*Assumptions!$B$32+(1-F5493)*Assumptions!$B$31+(1-G5493)*Assumptions!$B$30+(1-H5493)*Assumptions!$B$29+(1-I5493)*Assumptions!$B$28</f>
        <v/>
      </c>
      <c r="K5493">
        <f>C5493*$J$382+D5493*$F$382+E5493*$G$382+F5493*Assumptions!$B$14+G5493*Assumptions!$B$13+H5493*Assumptions!$B$12+I5493*Assumptions!$B$11+$O$382+$S$382+Assumptions!$B$9</f>
        <v/>
      </c>
      <c r="L5493">
        <f>B5493-J5493</f>
        <v/>
      </c>
      <c r="M5493">
        <f>IF(K5493&gt;0,IF(L5493/K5493&gt;=Assumptions!$B$37,1,0),0)</f>
        <v/>
      </c>
      <c r="N5493">
        <f>K5493+M5493*Assumptions!$B$153</f>
        <v/>
      </c>
      <c r="O5493">
        <f>L5493+M5493*Assumptions!$B$153*Assumptions!$B$37</f>
        <v/>
      </c>
      <c r="P5493">
        <f>IF(N5493&gt;0,O5493/N5493,0)</f>
        <v/>
      </c>
      <c r="Q5493">
        <f>IF(C5493=1,P5493*$J$382,Assumptions!$B$41)</f>
        <v/>
      </c>
      <c r="R5493">
        <f>IF(D5493=1,P5493*$F$382,Assumptions!$B$33)</f>
        <v/>
      </c>
      <c r="S5493">
        <f>IF(E5493=1,P5493*$G$382,Assumptions!$B$32)</f>
        <v/>
      </c>
      <c r="T5493">
        <f>IF(F5493=1,P5493*Assumptions!$B$14,Assumptions!$B$31)</f>
        <v/>
      </c>
      <c r="U5493">
        <f>IF(G5493=1,P5493*Assumptions!$B$13,Assumptions!$B$30)</f>
        <v/>
      </c>
      <c r="V5493">
        <f>IF(H5493=1,P5493*Assumptions!$B$12,Assumptions!$B$29)</f>
        <v/>
      </c>
      <c r="W5493">
        <f>IF(I5493=1,P5493*Assumptions!$B$11,Assumptions!$B$28)</f>
        <v/>
      </c>
      <c r="X5493">
        <f>P5493*($O$382+$S$382)</f>
        <v/>
      </c>
      <c r="Y5493">
        <f>P5493*Assumptions!$B$9</f>
        <v/>
      </c>
      <c r="Z5493">
        <f>IF(M5493=1,(P5493-Assumptions!$B$37)*Assumptions!$B$153,0)</f>
        <v/>
      </c>
      <c r="AA5493">
        <f>Q5493+R5493+S5493+T5493+U5493+V5493+W5493+X5493+Y5493+Z5493</f>
        <v/>
      </c>
      <c r="AB5493" t="n">
        <v>109</v>
      </c>
      <c r="AC5493" t="n">
        <v>45</v>
      </c>
      <c r="AD5493" t="n">
        <v>77</v>
      </c>
      <c r="AE5493" t="n">
        <v>125</v>
      </c>
      <c r="AF5493" t="n">
        <v>101</v>
      </c>
      <c r="AG5493" t="n">
        <v>105</v>
      </c>
      <c r="AH5493" t="n">
        <v>111</v>
      </c>
      <c r="AI5493" t="n">
        <v>108</v>
      </c>
      <c r="AJ5493">
        <f>INDEX($Q$5384:$Q$5511,AC5493+1)</f>
        <v/>
      </c>
      <c r="AK5493">
        <f>INDEX($R$5384:$R$5511,AD5493+1)</f>
        <v/>
      </c>
      <c r="AL5493">
        <f>INDEX($S$5384:$S$5511,AE5493+1)</f>
        <v/>
      </c>
      <c r="AM5493">
        <f>INDEX($T$5384:$T$5511,AF5493+1)</f>
        <v/>
      </c>
      <c r="AN5493">
        <f>INDEX($U$5384:$U$5511,AG5493+1)</f>
        <v/>
      </c>
      <c r="AO5493">
        <f>INDEX($V$5384:$V$5511,AH5493+1)</f>
        <v/>
      </c>
      <c r="AP5493">
        <f>INDEX($W$5384:$W$5511,AI5493+1)</f>
        <v/>
      </c>
      <c r="AQ5493">
        <f>IF(Q5493&gt;=AJ5493-0.01,1,0)</f>
        <v/>
      </c>
      <c r="AR5493">
        <f>IF(R5493&gt;=AK5493-0.01,1,0)</f>
        <v/>
      </c>
      <c r="AS5493">
        <f>IF(S5493&gt;=AL5493-0.01,1,0)</f>
        <v/>
      </c>
      <c r="AT5493">
        <f>IF(T5493&gt;=AM5493-0.01,1,0)</f>
        <v/>
      </c>
      <c r="AU5493">
        <f>IF(U5493&gt;=AN5493-0.01,1,0)</f>
        <v/>
      </c>
      <c r="AV5493">
        <f>IF(V5493&gt;=AO5493-0.01,1,0)</f>
        <v/>
      </c>
      <c r="AW5493">
        <f>IF(W5493&gt;=AP5493-0.01,1,0)</f>
        <v/>
      </c>
      <c r="AX5493">
        <f>AQ5493*AR5493*AS5493*AT5493*AU5493*AV5493*AW5493</f>
        <v/>
      </c>
    </row>
    <row r="5494">
      <c r="A5494" t="inlineStr"/>
      <c r="B5494">
        <f>Assumptions!$B$60</f>
        <v/>
      </c>
      <c r="C5494" t="n">
        <v>1</v>
      </c>
      <c r="D5494" t="n">
        <v>1</v>
      </c>
      <c r="E5494" t="n">
        <v>0</v>
      </c>
      <c r="F5494" t="n">
        <v>1</v>
      </c>
      <c r="G5494" t="n">
        <v>1</v>
      </c>
      <c r="H5494" t="n">
        <v>1</v>
      </c>
      <c r="I5494" t="n">
        <v>0</v>
      </c>
      <c r="J5494">
        <f>(1-C5494)*Assumptions!$B$41+(1-D5494)*Assumptions!$B$33+(1-E5494)*Assumptions!$B$32+(1-F5494)*Assumptions!$B$31+(1-G5494)*Assumptions!$B$30+(1-H5494)*Assumptions!$B$29+(1-I5494)*Assumptions!$B$28</f>
        <v/>
      </c>
      <c r="K5494">
        <f>C5494*$J$382+D5494*$F$382+E5494*$G$382+F5494*Assumptions!$B$14+G5494*Assumptions!$B$13+H5494*Assumptions!$B$12+I5494*Assumptions!$B$11+$O$382+$S$382+Assumptions!$B$9</f>
        <v/>
      </c>
      <c r="L5494">
        <f>B5494-J5494</f>
        <v/>
      </c>
      <c r="M5494">
        <f>IF(K5494&gt;0,IF(L5494/K5494&gt;=Assumptions!$B$37,1,0),0)</f>
        <v/>
      </c>
      <c r="N5494">
        <f>K5494+M5494*Assumptions!$B$153</f>
        <v/>
      </c>
      <c r="O5494">
        <f>L5494+M5494*Assumptions!$B$153*Assumptions!$B$37</f>
        <v/>
      </c>
      <c r="P5494">
        <f>IF(N5494&gt;0,O5494/N5494,0)</f>
        <v/>
      </c>
      <c r="Q5494">
        <f>IF(C5494=1,P5494*$J$382,Assumptions!$B$41)</f>
        <v/>
      </c>
      <c r="R5494">
        <f>IF(D5494=1,P5494*$F$382,Assumptions!$B$33)</f>
        <v/>
      </c>
      <c r="S5494">
        <f>IF(E5494=1,P5494*$G$382,Assumptions!$B$32)</f>
        <v/>
      </c>
      <c r="T5494">
        <f>IF(F5494=1,P5494*Assumptions!$B$14,Assumptions!$B$31)</f>
        <v/>
      </c>
      <c r="U5494">
        <f>IF(G5494=1,P5494*Assumptions!$B$13,Assumptions!$B$30)</f>
        <v/>
      </c>
      <c r="V5494">
        <f>IF(H5494=1,P5494*Assumptions!$B$12,Assumptions!$B$29)</f>
        <v/>
      </c>
      <c r="W5494">
        <f>IF(I5494=1,P5494*Assumptions!$B$11,Assumptions!$B$28)</f>
        <v/>
      </c>
      <c r="X5494">
        <f>P5494*($O$382+$S$382)</f>
        <v/>
      </c>
      <c r="Y5494">
        <f>P5494*Assumptions!$B$9</f>
        <v/>
      </c>
      <c r="Z5494">
        <f>IF(M5494=1,(P5494-Assumptions!$B$37)*Assumptions!$B$153,0)</f>
        <v/>
      </c>
      <c r="AA5494">
        <f>Q5494+R5494+S5494+T5494+U5494+V5494+W5494+X5494+Y5494+Z5494</f>
        <v/>
      </c>
      <c r="AB5494" t="n">
        <v>110</v>
      </c>
      <c r="AC5494" t="n">
        <v>46</v>
      </c>
      <c r="AD5494" t="n">
        <v>78</v>
      </c>
      <c r="AE5494" t="n">
        <v>126</v>
      </c>
      <c r="AF5494" t="n">
        <v>102</v>
      </c>
      <c r="AG5494" t="n">
        <v>106</v>
      </c>
      <c r="AH5494" t="n">
        <v>108</v>
      </c>
      <c r="AI5494" t="n">
        <v>111</v>
      </c>
      <c r="AJ5494">
        <f>INDEX($Q$5384:$Q$5511,AC5494+1)</f>
        <v/>
      </c>
      <c r="AK5494">
        <f>INDEX($R$5384:$R$5511,AD5494+1)</f>
        <v/>
      </c>
      <c r="AL5494">
        <f>INDEX($S$5384:$S$5511,AE5494+1)</f>
        <v/>
      </c>
      <c r="AM5494">
        <f>INDEX($T$5384:$T$5511,AF5494+1)</f>
        <v/>
      </c>
      <c r="AN5494">
        <f>INDEX($U$5384:$U$5511,AG5494+1)</f>
        <v/>
      </c>
      <c r="AO5494">
        <f>INDEX($V$5384:$V$5511,AH5494+1)</f>
        <v/>
      </c>
      <c r="AP5494">
        <f>INDEX($W$5384:$W$5511,AI5494+1)</f>
        <v/>
      </c>
      <c r="AQ5494">
        <f>IF(Q5494&gt;=AJ5494-0.01,1,0)</f>
        <v/>
      </c>
      <c r="AR5494">
        <f>IF(R5494&gt;=AK5494-0.01,1,0)</f>
        <v/>
      </c>
      <c r="AS5494">
        <f>IF(S5494&gt;=AL5494-0.01,1,0)</f>
        <v/>
      </c>
      <c r="AT5494">
        <f>IF(T5494&gt;=AM5494-0.01,1,0)</f>
        <v/>
      </c>
      <c r="AU5494">
        <f>IF(U5494&gt;=AN5494-0.01,1,0)</f>
        <v/>
      </c>
      <c r="AV5494">
        <f>IF(V5494&gt;=AO5494-0.01,1,0)</f>
        <v/>
      </c>
      <c r="AW5494">
        <f>IF(W5494&gt;=AP5494-0.01,1,0)</f>
        <v/>
      </c>
      <c r="AX5494">
        <f>AQ5494*AR5494*AS5494*AT5494*AU5494*AV5494*AW5494</f>
        <v/>
      </c>
    </row>
    <row r="5495">
      <c r="A5495" t="inlineStr"/>
      <c r="B5495">
        <f>Assumptions!$B$60</f>
        <v/>
      </c>
      <c r="C5495" t="n">
        <v>1</v>
      </c>
      <c r="D5495" t="n">
        <v>1</v>
      </c>
      <c r="E5495" t="n">
        <v>0</v>
      </c>
      <c r="F5495" t="n">
        <v>1</v>
      </c>
      <c r="G5495" t="n">
        <v>1</v>
      </c>
      <c r="H5495" t="n">
        <v>1</v>
      </c>
      <c r="I5495" t="n">
        <v>1</v>
      </c>
      <c r="J5495">
        <f>(1-C5495)*Assumptions!$B$41+(1-D5495)*Assumptions!$B$33+(1-E5495)*Assumptions!$B$32+(1-F5495)*Assumptions!$B$31+(1-G5495)*Assumptions!$B$30+(1-H5495)*Assumptions!$B$29+(1-I5495)*Assumptions!$B$28</f>
        <v/>
      </c>
      <c r="K5495">
        <f>C5495*$J$382+D5495*$F$382+E5495*$G$382+F5495*Assumptions!$B$14+G5495*Assumptions!$B$13+H5495*Assumptions!$B$12+I5495*Assumptions!$B$11+$O$382+$S$382+Assumptions!$B$9</f>
        <v/>
      </c>
      <c r="L5495">
        <f>B5495-J5495</f>
        <v/>
      </c>
      <c r="M5495">
        <f>IF(K5495&gt;0,IF(L5495/K5495&gt;=Assumptions!$B$37,1,0),0)</f>
        <v/>
      </c>
      <c r="N5495">
        <f>K5495+M5495*Assumptions!$B$153</f>
        <v/>
      </c>
      <c r="O5495">
        <f>L5495+M5495*Assumptions!$B$153*Assumptions!$B$37</f>
        <v/>
      </c>
      <c r="P5495">
        <f>IF(N5495&gt;0,O5495/N5495,0)</f>
        <v/>
      </c>
      <c r="Q5495">
        <f>IF(C5495=1,P5495*$J$382,Assumptions!$B$41)</f>
        <v/>
      </c>
      <c r="R5495">
        <f>IF(D5495=1,P5495*$F$382,Assumptions!$B$33)</f>
        <v/>
      </c>
      <c r="S5495">
        <f>IF(E5495=1,P5495*$G$382,Assumptions!$B$32)</f>
        <v/>
      </c>
      <c r="T5495">
        <f>IF(F5495=1,P5495*Assumptions!$B$14,Assumptions!$B$31)</f>
        <v/>
      </c>
      <c r="U5495">
        <f>IF(G5495=1,P5495*Assumptions!$B$13,Assumptions!$B$30)</f>
        <v/>
      </c>
      <c r="V5495">
        <f>IF(H5495=1,P5495*Assumptions!$B$12,Assumptions!$B$29)</f>
        <v/>
      </c>
      <c r="W5495">
        <f>IF(I5495=1,P5495*Assumptions!$B$11,Assumptions!$B$28)</f>
        <v/>
      </c>
      <c r="X5495">
        <f>P5495*($O$382+$S$382)</f>
        <v/>
      </c>
      <c r="Y5495">
        <f>P5495*Assumptions!$B$9</f>
        <v/>
      </c>
      <c r="Z5495">
        <f>IF(M5495=1,(P5495-Assumptions!$B$37)*Assumptions!$B$153,0)</f>
        <v/>
      </c>
      <c r="AA5495">
        <f>Q5495+R5495+S5495+T5495+U5495+V5495+W5495+X5495+Y5495+Z5495</f>
        <v/>
      </c>
      <c r="AB5495" t="n">
        <v>111</v>
      </c>
      <c r="AC5495" t="n">
        <v>47</v>
      </c>
      <c r="AD5495" t="n">
        <v>79</v>
      </c>
      <c r="AE5495" t="n">
        <v>127</v>
      </c>
      <c r="AF5495" t="n">
        <v>103</v>
      </c>
      <c r="AG5495" t="n">
        <v>107</v>
      </c>
      <c r="AH5495" t="n">
        <v>109</v>
      </c>
      <c r="AI5495" t="n">
        <v>110</v>
      </c>
      <c r="AJ5495">
        <f>INDEX($Q$5384:$Q$5511,AC5495+1)</f>
        <v/>
      </c>
      <c r="AK5495">
        <f>INDEX($R$5384:$R$5511,AD5495+1)</f>
        <v/>
      </c>
      <c r="AL5495">
        <f>INDEX($S$5384:$S$5511,AE5495+1)</f>
        <v/>
      </c>
      <c r="AM5495">
        <f>INDEX($T$5384:$T$5511,AF5495+1)</f>
        <v/>
      </c>
      <c r="AN5495">
        <f>INDEX($U$5384:$U$5511,AG5495+1)</f>
        <v/>
      </c>
      <c r="AO5495">
        <f>INDEX($V$5384:$V$5511,AH5495+1)</f>
        <v/>
      </c>
      <c r="AP5495">
        <f>INDEX($W$5384:$W$5511,AI5495+1)</f>
        <v/>
      </c>
      <c r="AQ5495">
        <f>IF(Q5495&gt;=AJ5495-0.01,1,0)</f>
        <v/>
      </c>
      <c r="AR5495">
        <f>IF(R5495&gt;=AK5495-0.01,1,0)</f>
        <v/>
      </c>
      <c r="AS5495">
        <f>IF(S5495&gt;=AL5495-0.01,1,0)</f>
        <v/>
      </c>
      <c r="AT5495">
        <f>IF(T5495&gt;=AM5495-0.01,1,0)</f>
        <v/>
      </c>
      <c r="AU5495">
        <f>IF(U5495&gt;=AN5495-0.01,1,0)</f>
        <v/>
      </c>
      <c r="AV5495">
        <f>IF(V5495&gt;=AO5495-0.01,1,0)</f>
        <v/>
      </c>
      <c r="AW5495">
        <f>IF(W5495&gt;=AP5495-0.01,1,0)</f>
        <v/>
      </c>
      <c r="AX5495">
        <f>AQ5495*AR5495*AS5495*AT5495*AU5495*AV5495*AW5495</f>
        <v/>
      </c>
    </row>
    <row r="5496">
      <c r="A5496" t="inlineStr"/>
      <c r="B5496">
        <f>Assumptions!$B$60</f>
        <v/>
      </c>
      <c r="C5496" t="n">
        <v>1</v>
      </c>
      <c r="D5496" t="n">
        <v>1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  <c r="J5496">
        <f>(1-C5496)*Assumptions!$B$41+(1-D5496)*Assumptions!$B$33+(1-E5496)*Assumptions!$B$32+(1-F5496)*Assumptions!$B$31+(1-G5496)*Assumptions!$B$30+(1-H5496)*Assumptions!$B$29+(1-I5496)*Assumptions!$B$28</f>
        <v/>
      </c>
      <c r="K5496">
        <f>C5496*$J$382+D5496*$F$382+E5496*$G$382+F5496*Assumptions!$B$14+G5496*Assumptions!$B$13+H5496*Assumptions!$B$12+I5496*Assumptions!$B$11+$O$382+$S$382+Assumptions!$B$9</f>
        <v/>
      </c>
      <c r="L5496">
        <f>B5496-J5496</f>
        <v/>
      </c>
      <c r="M5496">
        <f>IF(K5496&gt;0,IF(L5496/K5496&gt;=Assumptions!$B$37,1,0),0)</f>
        <v/>
      </c>
      <c r="N5496">
        <f>K5496+M5496*Assumptions!$B$153</f>
        <v/>
      </c>
      <c r="O5496">
        <f>L5496+M5496*Assumptions!$B$153*Assumptions!$B$37</f>
        <v/>
      </c>
      <c r="P5496">
        <f>IF(N5496&gt;0,O5496/N5496,0)</f>
        <v/>
      </c>
      <c r="Q5496">
        <f>IF(C5496=1,P5496*$J$382,Assumptions!$B$41)</f>
        <v/>
      </c>
      <c r="R5496">
        <f>IF(D5496=1,P5496*$F$382,Assumptions!$B$33)</f>
        <v/>
      </c>
      <c r="S5496">
        <f>IF(E5496=1,P5496*$G$382,Assumptions!$B$32)</f>
        <v/>
      </c>
      <c r="T5496">
        <f>IF(F5496=1,P5496*Assumptions!$B$14,Assumptions!$B$31)</f>
        <v/>
      </c>
      <c r="U5496">
        <f>IF(G5496=1,P5496*Assumptions!$B$13,Assumptions!$B$30)</f>
        <v/>
      </c>
      <c r="V5496">
        <f>IF(H5496=1,P5496*Assumptions!$B$12,Assumptions!$B$29)</f>
        <v/>
      </c>
      <c r="W5496">
        <f>IF(I5496=1,P5496*Assumptions!$B$11,Assumptions!$B$28)</f>
        <v/>
      </c>
      <c r="X5496">
        <f>P5496*($O$382+$S$382)</f>
        <v/>
      </c>
      <c r="Y5496">
        <f>P5496*Assumptions!$B$9</f>
        <v/>
      </c>
      <c r="Z5496">
        <f>IF(M5496=1,(P5496-Assumptions!$B$37)*Assumptions!$B$153,0)</f>
        <v/>
      </c>
      <c r="AA5496">
        <f>Q5496+R5496+S5496+T5496+U5496+V5496+W5496+X5496+Y5496+Z5496</f>
        <v/>
      </c>
      <c r="AB5496" t="n">
        <v>112</v>
      </c>
      <c r="AC5496" t="n">
        <v>48</v>
      </c>
      <c r="AD5496" t="n">
        <v>80</v>
      </c>
      <c r="AE5496" t="n">
        <v>96</v>
      </c>
      <c r="AF5496" t="n">
        <v>120</v>
      </c>
      <c r="AG5496" t="n">
        <v>116</v>
      </c>
      <c r="AH5496" t="n">
        <v>114</v>
      </c>
      <c r="AI5496" t="n">
        <v>113</v>
      </c>
      <c r="AJ5496">
        <f>INDEX($Q$5384:$Q$5511,AC5496+1)</f>
        <v/>
      </c>
      <c r="AK5496">
        <f>INDEX($R$5384:$R$5511,AD5496+1)</f>
        <v/>
      </c>
      <c r="AL5496">
        <f>INDEX($S$5384:$S$5511,AE5496+1)</f>
        <v/>
      </c>
      <c r="AM5496">
        <f>INDEX($T$5384:$T$5511,AF5496+1)</f>
        <v/>
      </c>
      <c r="AN5496">
        <f>INDEX($U$5384:$U$5511,AG5496+1)</f>
        <v/>
      </c>
      <c r="AO5496">
        <f>INDEX($V$5384:$V$5511,AH5496+1)</f>
        <v/>
      </c>
      <c r="AP5496">
        <f>INDEX($W$5384:$W$5511,AI5496+1)</f>
        <v/>
      </c>
      <c r="AQ5496">
        <f>IF(Q5496&gt;=AJ5496-0.01,1,0)</f>
        <v/>
      </c>
      <c r="AR5496">
        <f>IF(R5496&gt;=AK5496-0.01,1,0)</f>
        <v/>
      </c>
      <c r="AS5496">
        <f>IF(S5496&gt;=AL5496-0.01,1,0)</f>
        <v/>
      </c>
      <c r="AT5496">
        <f>IF(T5496&gt;=AM5496-0.01,1,0)</f>
        <v/>
      </c>
      <c r="AU5496">
        <f>IF(U5496&gt;=AN5496-0.01,1,0)</f>
        <v/>
      </c>
      <c r="AV5496">
        <f>IF(V5496&gt;=AO5496-0.01,1,0)</f>
        <v/>
      </c>
      <c r="AW5496">
        <f>IF(W5496&gt;=AP5496-0.01,1,0)</f>
        <v/>
      </c>
      <c r="AX5496">
        <f>AQ5496*AR5496*AS5496*AT5496*AU5496*AV5496*AW5496</f>
        <v/>
      </c>
    </row>
    <row r="5497">
      <c r="A5497" t="inlineStr"/>
      <c r="B5497">
        <f>Assumptions!$B$60</f>
        <v/>
      </c>
      <c r="C5497" t="n">
        <v>1</v>
      </c>
      <c r="D5497" t="n">
        <v>1</v>
      </c>
      <c r="E5497" t="n">
        <v>1</v>
      </c>
      <c r="F5497" t="n">
        <v>0</v>
      </c>
      <c r="G5497" t="n">
        <v>0</v>
      </c>
      <c r="H5497" t="n">
        <v>0</v>
      </c>
      <c r="I5497" t="n">
        <v>1</v>
      </c>
      <c r="J5497">
        <f>(1-C5497)*Assumptions!$B$41+(1-D5497)*Assumptions!$B$33+(1-E5497)*Assumptions!$B$32+(1-F5497)*Assumptions!$B$31+(1-G5497)*Assumptions!$B$30+(1-H5497)*Assumptions!$B$29+(1-I5497)*Assumptions!$B$28</f>
        <v/>
      </c>
      <c r="K5497">
        <f>C5497*$J$382+D5497*$F$382+E5497*$G$382+F5497*Assumptions!$B$14+G5497*Assumptions!$B$13+H5497*Assumptions!$B$12+I5497*Assumptions!$B$11+$O$382+$S$382+Assumptions!$B$9</f>
        <v/>
      </c>
      <c r="L5497">
        <f>B5497-J5497</f>
        <v/>
      </c>
      <c r="M5497">
        <f>IF(K5497&gt;0,IF(L5497/K5497&gt;=Assumptions!$B$37,1,0),0)</f>
        <v/>
      </c>
      <c r="N5497">
        <f>K5497+M5497*Assumptions!$B$153</f>
        <v/>
      </c>
      <c r="O5497">
        <f>L5497+M5497*Assumptions!$B$153*Assumptions!$B$37</f>
        <v/>
      </c>
      <c r="P5497">
        <f>IF(N5497&gt;0,O5497/N5497,0)</f>
        <v/>
      </c>
      <c r="Q5497">
        <f>IF(C5497=1,P5497*$J$382,Assumptions!$B$41)</f>
        <v/>
      </c>
      <c r="R5497">
        <f>IF(D5497=1,P5497*$F$382,Assumptions!$B$33)</f>
        <v/>
      </c>
      <c r="S5497">
        <f>IF(E5497=1,P5497*$G$382,Assumptions!$B$32)</f>
        <v/>
      </c>
      <c r="T5497">
        <f>IF(F5497=1,P5497*Assumptions!$B$14,Assumptions!$B$31)</f>
        <v/>
      </c>
      <c r="U5497">
        <f>IF(G5497=1,P5497*Assumptions!$B$13,Assumptions!$B$30)</f>
        <v/>
      </c>
      <c r="V5497">
        <f>IF(H5497=1,P5497*Assumptions!$B$12,Assumptions!$B$29)</f>
        <v/>
      </c>
      <c r="W5497">
        <f>IF(I5497=1,P5497*Assumptions!$B$11,Assumptions!$B$28)</f>
        <v/>
      </c>
      <c r="X5497">
        <f>P5497*($O$382+$S$382)</f>
        <v/>
      </c>
      <c r="Y5497">
        <f>P5497*Assumptions!$B$9</f>
        <v/>
      </c>
      <c r="Z5497">
        <f>IF(M5497=1,(P5497-Assumptions!$B$37)*Assumptions!$B$153,0)</f>
        <v/>
      </c>
      <c r="AA5497">
        <f>Q5497+R5497+S5497+T5497+U5497+V5497+W5497+X5497+Y5497+Z5497</f>
        <v/>
      </c>
      <c r="AB5497" t="n">
        <v>113</v>
      </c>
      <c r="AC5497" t="n">
        <v>49</v>
      </c>
      <c r="AD5497" t="n">
        <v>81</v>
      </c>
      <c r="AE5497" t="n">
        <v>97</v>
      </c>
      <c r="AF5497" t="n">
        <v>121</v>
      </c>
      <c r="AG5497" t="n">
        <v>117</v>
      </c>
      <c r="AH5497" t="n">
        <v>115</v>
      </c>
      <c r="AI5497" t="n">
        <v>112</v>
      </c>
      <c r="AJ5497">
        <f>INDEX($Q$5384:$Q$5511,AC5497+1)</f>
        <v/>
      </c>
      <c r="AK5497">
        <f>INDEX($R$5384:$R$5511,AD5497+1)</f>
        <v/>
      </c>
      <c r="AL5497">
        <f>INDEX($S$5384:$S$5511,AE5497+1)</f>
        <v/>
      </c>
      <c r="AM5497">
        <f>INDEX($T$5384:$T$5511,AF5497+1)</f>
        <v/>
      </c>
      <c r="AN5497">
        <f>INDEX($U$5384:$U$5511,AG5497+1)</f>
        <v/>
      </c>
      <c r="AO5497">
        <f>INDEX($V$5384:$V$5511,AH5497+1)</f>
        <v/>
      </c>
      <c r="AP5497">
        <f>INDEX($W$5384:$W$5511,AI5497+1)</f>
        <v/>
      </c>
      <c r="AQ5497">
        <f>IF(Q5497&gt;=AJ5497-0.01,1,0)</f>
        <v/>
      </c>
      <c r="AR5497">
        <f>IF(R5497&gt;=AK5497-0.01,1,0)</f>
        <v/>
      </c>
      <c r="AS5497">
        <f>IF(S5497&gt;=AL5497-0.01,1,0)</f>
        <v/>
      </c>
      <c r="AT5497">
        <f>IF(T5497&gt;=AM5497-0.01,1,0)</f>
        <v/>
      </c>
      <c r="AU5497">
        <f>IF(U5497&gt;=AN5497-0.01,1,0)</f>
        <v/>
      </c>
      <c r="AV5497">
        <f>IF(V5497&gt;=AO5497-0.01,1,0)</f>
        <v/>
      </c>
      <c r="AW5497">
        <f>IF(W5497&gt;=AP5497-0.01,1,0)</f>
        <v/>
      </c>
      <c r="AX5497">
        <f>AQ5497*AR5497*AS5497*AT5497*AU5497*AV5497*AW5497</f>
        <v/>
      </c>
    </row>
    <row r="5498">
      <c r="A5498" t="inlineStr"/>
      <c r="B5498">
        <f>Assumptions!$B$60</f>
        <v/>
      </c>
      <c r="C5498" t="n">
        <v>1</v>
      </c>
      <c r="D5498" t="n">
        <v>1</v>
      </c>
      <c r="E5498" t="n">
        <v>1</v>
      </c>
      <c r="F5498" t="n">
        <v>0</v>
      </c>
      <c r="G5498" t="n">
        <v>0</v>
      </c>
      <c r="H5498" t="n">
        <v>1</v>
      </c>
      <c r="I5498" t="n">
        <v>0</v>
      </c>
      <c r="J5498">
        <f>(1-C5498)*Assumptions!$B$41+(1-D5498)*Assumptions!$B$33+(1-E5498)*Assumptions!$B$32+(1-F5498)*Assumptions!$B$31+(1-G5498)*Assumptions!$B$30+(1-H5498)*Assumptions!$B$29+(1-I5498)*Assumptions!$B$28</f>
        <v/>
      </c>
      <c r="K5498">
        <f>C5498*$J$382+D5498*$F$382+E5498*$G$382+F5498*Assumptions!$B$14+G5498*Assumptions!$B$13+H5498*Assumptions!$B$12+I5498*Assumptions!$B$11+$O$382+$S$382+Assumptions!$B$9</f>
        <v/>
      </c>
      <c r="L5498">
        <f>B5498-J5498</f>
        <v/>
      </c>
      <c r="M5498">
        <f>IF(K5498&gt;0,IF(L5498/K5498&gt;=Assumptions!$B$37,1,0),0)</f>
        <v/>
      </c>
      <c r="N5498">
        <f>K5498+M5498*Assumptions!$B$153</f>
        <v/>
      </c>
      <c r="O5498">
        <f>L5498+M5498*Assumptions!$B$153*Assumptions!$B$37</f>
        <v/>
      </c>
      <c r="P5498">
        <f>IF(N5498&gt;0,O5498/N5498,0)</f>
        <v/>
      </c>
      <c r="Q5498">
        <f>IF(C5498=1,P5498*$J$382,Assumptions!$B$41)</f>
        <v/>
      </c>
      <c r="R5498">
        <f>IF(D5498=1,P5498*$F$382,Assumptions!$B$33)</f>
        <v/>
      </c>
      <c r="S5498">
        <f>IF(E5498=1,P5498*$G$382,Assumptions!$B$32)</f>
        <v/>
      </c>
      <c r="T5498">
        <f>IF(F5498=1,P5498*Assumptions!$B$14,Assumptions!$B$31)</f>
        <v/>
      </c>
      <c r="U5498">
        <f>IF(G5498=1,P5498*Assumptions!$B$13,Assumptions!$B$30)</f>
        <v/>
      </c>
      <c r="V5498">
        <f>IF(H5498=1,P5498*Assumptions!$B$12,Assumptions!$B$29)</f>
        <v/>
      </c>
      <c r="W5498">
        <f>IF(I5498=1,P5498*Assumptions!$B$11,Assumptions!$B$28)</f>
        <v/>
      </c>
      <c r="X5498">
        <f>P5498*($O$382+$S$382)</f>
        <v/>
      </c>
      <c r="Y5498">
        <f>P5498*Assumptions!$B$9</f>
        <v/>
      </c>
      <c r="Z5498">
        <f>IF(M5498=1,(P5498-Assumptions!$B$37)*Assumptions!$B$153,0)</f>
        <v/>
      </c>
      <c r="AA5498">
        <f>Q5498+R5498+S5498+T5498+U5498+V5498+W5498+X5498+Y5498+Z5498</f>
        <v/>
      </c>
      <c r="AB5498" t="n">
        <v>114</v>
      </c>
      <c r="AC5498" t="n">
        <v>50</v>
      </c>
      <c r="AD5498" t="n">
        <v>82</v>
      </c>
      <c r="AE5498" t="n">
        <v>98</v>
      </c>
      <c r="AF5498" t="n">
        <v>122</v>
      </c>
      <c r="AG5498" t="n">
        <v>118</v>
      </c>
      <c r="AH5498" t="n">
        <v>112</v>
      </c>
      <c r="AI5498" t="n">
        <v>115</v>
      </c>
      <c r="AJ5498">
        <f>INDEX($Q$5384:$Q$5511,AC5498+1)</f>
        <v/>
      </c>
      <c r="AK5498">
        <f>INDEX($R$5384:$R$5511,AD5498+1)</f>
        <v/>
      </c>
      <c r="AL5498">
        <f>INDEX($S$5384:$S$5511,AE5498+1)</f>
        <v/>
      </c>
      <c r="AM5498">
        <f>INDEX($T$5384:$T$5511,AF5498+1)</f>
        <v/>
      </c>
      <c r="AN5498">
        <f>INDEX($U$5384:$U$5511,AG5498+1)</f>
        <v/>
      </c>
      <c r="AO5498">
        <f>INDEX($V$5384:$V$5511,AH5498+1)</f>
        <v/>
      </c>
      <c r="AP5498">
        <f>INDEX($W$5384:$W$5511,AI5498+1)</f>
        <v/>
      </c>
      <c r="AQ5498">
        <f>IF(Q5498&gt;=AJ5498-0.01,1,0)</f>
        <v/>
      </c>
      <c r="AR5498">
        <f>IF(R5498&gt;=AK5498-0.01,1,0)</f>
        <v/>
      </c>
      <c r="AS5498">
        <f>IF(S5498&gt;=AL5498-0.01,1,0)</f>
        <v/>
      </c>
      <c r="AT5498">
        <f>IF(T5498&gt;=AM5498-0.01,1,0)</f>
        <v/>
      </c>
      <c r="AU5498">
        <f>IF(U5498&gt;=AN5498-0.01,1,0)</f>
        <v/>
      </c>
      <c r="AV5498">
        <f>IF(V5498&gt;=AO5498-0.01,1,0)</f>
        <v/>
      </c>
      <c r="AW5498">
        <f>IF(W5498&gt;=AP5498-0.01,1,0)</f>
        <v/>
      </c>
      <c r="AX5498">
        <f>AQ5498*AR5498*AS5498*AT5498*AU5498*AV5498*AW5498</f>
        <v/>
      </c>
    </row>
    <row r="5499">
      <c r="A5499" t="inlineStr"/>
      <c r="B5499">
        <f>Assumptions!$B$60</f>
        <v/>
      </c>
      <c r="C5499" t="n">
        <v>1</v>
      </c>
      <c r="D5499" t="n">
        <v>1</v>
      </c>
      <c r="E5499" t="n">
        <v>1</v>
      </c>
      <c r="F5499" t="n">
        <v>0</v>
      </c>
      <c r="G5499" t="n">
        <v>0</v>
      </c>
      <c r="H5499" t="n">
        <v>1</v>
      </c>
      <c r="I5499" t="n">
        <v>1</v>
      </c>
      <c r="J5499">
        <f>(1-C5499)*Assumptions!$B$41+(1-D5499)*Assumptions!$B$33+(1-E5499)*Assumptions!$B$32+(1-F5499)*Assumptions!$B$31+(1-G5499)*Assumptions!$B$30+(1-H5499)*Assumptions!$B$29+(1-I5499)*Assumptions!$B$28</f>
        <v/>
      </c>
      <c r="K5499">
        <f>C5499*$J$382+D5499*$F$382+E5499*$G$382+F5499*Assumptions!$B$14+G5499*Assumptions!$B$13+H5499*Assumptions!$B$12+I5499*Assumptions!$B$11+$O$382+$S$382+Assumptions!$B$9</f>
        <v/>
      </c>
      <c r="L5499">
        <f>B5499-J5499</f>
        <v/>
      </c>
      <c r="M5499">
        <f>IF(K5499&gt;0,IF(L5499/K5499&gt;=Assumptions!$B$37,1,0),0)</f>
        <v/>
      </c>
      <c r="N5499">
        <f>K5499+M5499*Assumptions!$B$153</f>
        <v/>
      </c>
      <c r="O5499">
        <f>L5499+M5499*Assumptions!$B$153*Assumptions!$B$37</f>
        <v/>
      </c>
      <c r="P5499">
        <f>IF(N5499&gt;0,O5499/N5499,0)</f>
        <v/>
      </c>
      <c r="Q5499">
        <f>IF(C5499=1,P5499*$J$382,Assumptions!$B$41)</f>
        <v/>
      </c>
      <c r="R5499">
        <f>IF(D5499=1,P5499*$F$382,Assumptions!$B$33)</f>
        <v/>
      </c>
      <c r="S5499">
        <f>IF(E5499=1,P5499*$G$382,Assumptions!$B$32)</f>
        <v/>
      </c>
      <c r="T5499">
        <f>IF(F5499=1,P5499*Assumptions!$B$14,Assumptions!$B$31)</f>
        <v/>
      </c>
      <c r="U5499">
        <f>IF(G5499=1,P5499*Assumptions!$B$13,Assumptions!$B$30)</f>
        <v/>
      </c>
      <c r="V5499">
        <f>IF(H5499=1,P5499*Assumptions!$B$12,Assumptions!$B$29)</f>
        <v/>
      </c>
      <c r="W5499">
        <f>IF(I5499=1,P5499*Assumptions!$B$11,Assumptions!$B$28)</f>
        <v/>
      </c>
      <c r="X5499">
        <f>P5499*($O$382+$S$382)</f>
        <v/>
      </c>
      <c r="Y5499">
        <f>P5499*Assumptions!$B$9</f>
        <v/>
      </c>
      <c r="Z5499">
        <f>IF(M5499=1,(P5499-Assumptions!$B$37)*Assumptions!$B$153,0)</f>
        <v/>
      </c>
      <c r="AA5499">
        <f>Q5499+R5499+S5499+T5499+U5499+V5499+W5499+X5499+Y5499+Z5499</f>
        <v/>
      </c>
      <c r="AB5499" t="n">
        <v>115</v>
      </c>
      <c r="AC5499" t="n">
        <v>51</v>
      </c>
      <c r="AD5499" t="n">
        <v>83</v>
      </c>
      <c r="AE5499" t="n">
        <v>99</v>
      </c>
      <c r="AF5499" t="n">
        <v>123</v>
      </c>
      <c r="AG5499" t="n">
        <v>119</v>
      </c>
      <c r="AH5499" t="n">
        <v>113</v>
      </c>
      <c r="AI5499" t="n">
        <v>114</v>
      </c>
      <c r="AJ5499">
        <f>INDEX($Q$5384:$Q$5511,AC5499+1)</f>
        <v/>
      </c>
      <c r="AK5499">
        <f>INDEX($R$5384:$R$5511,AD5499+1)</f>
        <v/>
      </c>
      <c r="AL5499">
        <f>INDEX($S$5384:$S$5511,AE5499+1)</f>
        <v/>
      </c>
      <c r="AM5499">
        <f>INDEX($T$5384:$T$5511,AF5499+1)</f>
        <v/>
      </c>
      <c r="AN5499">
        <f>INDEX($U$5384:$U$5511,AG5499+1)</f>
        <v/>
      </c>
      <c r="AO5499">
        <f>INDEX($V$5384:$V$5511,AH5499+1)</f>
        <v/>
      </c>
      <c r="AP5499">
        <f>INDEX($W$5384:$W$5511,AI5499+1)</f>
        <v/>
      </c>
      <c r="AQ5499">
        <f>IF(Q5499&gt;=AJ5499-0.01,1,0)</f>
        <v/>
      </c>
      <c r="AR5499">
        <f>IF(R5499&gt;=AK5499-0.01,1,0)</f>
        <v/>
      </c>
      <c r="AS5499">
        <f>IF(S5499&gt;=AL5499-0.01,1,0)</f>
        <v/>
      </c>
      <c r="AT5499">
        <f>IF(T5499&gt;=AM5499-0.01,1,0)</f>
        <v/>
      </c>
      <c r="AU5499">
        <f>IF(U5499&gt;=AN5499-0.01,1,0)</f>
        <v/>
      </c>
      <c r="AV5499">
        <f>IF(V5499&gt;=AO5499-0.01,1,0)</f>
        <v/>
      </c>
      <c r="AW5499">
        <f>IF(W5499&gt;=AP5499-0.01,1,0)</f>
        <v/>
      </c>
      <c r="AX5499">
        <f>AQ5499*AR5499*AS5499*AT5499*AU5499*AV5499*AW5499</f>
        <v/>
      </c>
    </row>
    <row r="5500">
      <c r="A5500" t="inlineStr"/>
      <c r="B5500">
        <f>Assumptions!$B$60</f>
        <v/>
      </c>
      <c r="C5500" t="n">
        <v>1</v>
      </c>
      <c r="D5500" t="n">
        <v>1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>
        <f>(1-C5500)*Assumptions!$B$41+(1-D5500)*Assumptions!$B$33+(1-E5500)*Assumptions!$B$32+(1-F5500)*Assumptions!$B$31+(1-G5500)*Assumptions!$B$30+(1-H5500)*Assumptions!$B$29+(1-I5500)*Assumptions!$B$28</f>
        <v/>
      </c>
      <c r="K5500">
        <f>C5500*$J$382+D5500*$F$382+E5500*$G$382+F5500*Assumptions!$B$14+G5500*Assumptions!$B$13+H5500*Assumptions!$B$12+I5500*Assumptions!$B$11+$O$382+$S$382+Assumptions!$B$9</f>
        <v/>
      </c>
      <c r="L5500">
        <f>B5500-J5500</f>
        <v/>
      </c>
      <c r="M5500">
        <f>IF(K5500&gt;0,IF(L5500/K5500&gt;=Assumptions!$B$37,1,0),0)</f>
        <v/>
      </c>
      <c r="N5500">
        <f>K5500+M5500*Assumptions!$B$153</f>
        <v/>
      </c>
      <c r="O5500">
        <f>L5500+M5500*Assumptions!$B$153*Assumptions!$B$37</f>
        <v/>
      </c>
      <c r="P5500">
        <f>IF(N5500&gt;0,O5500/N5500,0)</f>
        <v/>
      </c>
      <c r="Q5500">
        <f>IF(C5500=1,P5500*$J$382,Assumptions!$B$41)</f>
        <v/>
      </c>
      <c r="R5500">
        <f>IF(D5500=1,P5500*$F$382,Assumptions!$B$33)</f>
        <v/>
      </c>
      <c r="S5500">
        <f>IF(E5500=1,P5500*$G$382,Assumptions!$B$32)</f>
        <v/>
      </c>
      <c r="T5500">
        <f>IF(F5500=1,P5500*Assumptions!$B$14,Assumptions!$B$31)</f>
        <v/>
      </c>
      <c r="U5500">
        <f>IF(G5500=1,P5500*Assumptions!$B$13,Assumptions!$B$30)</f>
        <v/>
      </c>
      <c r="V5500">
        <f>IF(H5500=1,P5500*Assumptions!$B$12,Assumptions!$B$29)</f>
        <v/>
      </c>
      <c r="W5500">
        <f>IF(I5500=1,P5500*Assumptions!$B$11,Assumptions!$B$28)</f>
        <v/>
      </c>
      <c r="X5500">
        <f>P5500*($O$382+$S$382)</f>
        <v/>
      </c>
      <c r="Y5500">
        <f>P5500*Assumptions!$B$9</f>
        <v/>
      </c>
      <c r="Z5500">
        <f>IF(M5500=1,(P5500-Assumptions!$B$37)*Assumptions!$B$153,0)</f>
        <v/>
      </c>
      <c r="AA5500">
        <f>Q5500+R5500+S5500+T5500+U5500+V5500+W5500+X5500+Y5500+Z5500</f>
        <v/>
      </c>
      <c r="AB5500" t="n">
        <v>116</v>
      </c>
      <c r="AC5500" t="n">
        <v>52</v>
      </c>
      <c r="AD5500" t="n">
        <v>84</v>
      </c>
      <c r="AE5500" t="n">
        <v>100</v>
      </c>
      <c r="AF5500" t="n">
        <v>124</v>
      </c>
      <c r="AG5500" t="n">
        <v>112</v>
      </c>
      <c r="AH5500" t="n">
        <v>118</v>
      </c>
      <c r="AI5500" t="n">
        <v>117</v>
      </c>
      <c r="AJ5500">
        <f>INDEX($Q$5384:$Q$5511,AC5500+1)</f>
        <v/>
      </c>
      <c r="AK5500">
        <f>INDEX($R$5384:$R$5511,AD5500+1)</f>
        <v/>
      </c>
      <c r="AL5500">
        <f>INDEX($S$5384:$S$5511,AE5500+1)</f>
        <v/>
      </c>
      <c r="AM5500">
        <f>INDEX($T$5384:$T$5511,AF5500+1)</f>
        <v/>
      </c>
      <c r="AN5500">
        <f>INDEX($U$5384:$U$5511,AG5500+1)</f>
        <v/>
      </c>
      <c r="AO5500">
        <f>INDEX($V$5384:$V$5511,AH5500+1)</f>
        <v/>
      </c>
      <c r="AP5500">
        <f>INDEX($W$5384:$W$5511,AI5500+1)</f>
        <v/>
      </c>
      <c r="AQ5500">
        <f>IF(Q5500&gt;=AJ5500-0.01,1,0)</f>
        <v/>
      </c>
      <c r="AR5500">
        <f>IF(R5500&gt;=AK5500-0.01,1,0)</f>
        <v/>
      </c>
      <c r="AS5500">
        <f>IF(S5500&gt;=AL5500-0.01,1,0)</f>
        <v/>
      </c>
      <c r="AT5500">
        <f>IF(T5500&gt;=AM5500-0.01,1,0)</f>
        <v/>
      </c>
      <c r="AU5500">
        <f>IF(U5500&gt;=AN5500-0.01,1,0)</f>
        <v/>
      </c>
      <c r="AV5500">
        <f>IF(V5500&gt;=AO5500-0.01,1,0)</f>
        <v/>
      </c>
      <c r="AW5500">
        <f>IF(W5500&gt;=AP5500-0.01,1,0)</f>
        <v/>
      </c>
      <c r="AX5500">
        <f>AQ5500*AR5500*AS5500*AT5500*AU5500*AV5500*AW5500</f>
        <v/>
      </c>
    </row>
    <row r="5501">
      <c r="A5501" t="inlineStr"/>
      <c r="B5501">
        <f>Assumptions!$B$60</f>
        <v/>
      </c>
      <c r="C5501" t="n">
        <v>1</v>
      </c>
      <c r="D5501" t="n">
        <v>1</v>
      </c>
      <c r="E5501" t="n">
        <v>1</v>
      </c>
      <c r="F5501" t="n">
        <v>0</v>
      </c>
      <c r="G5501" t="n">
        <v>1</v>
      </c>
      <c r="H5501" t="n">
        <v>0</v>
      </c>
      <c r="I5501" t="n">
        <v>1</v>
      </c>
      <c r="J5501">
        <f>(1-C5501)*Assumptions!$B$41+(1-D5501)*Assumptions!$B$33+(1-E5501)*Assumptions!$B$32+(1-F5501)*Assumptions!$B$31+(1-G5501)*Assumptions!$B$30+(1-H5501)*Assumptions!$B$29+(1-I5501)*Assumptions!$B$28</f>
        <v/>
      </c>
      <c r="K5501">
        <f>C5501*$J$382+D5501*$F$382+E5501*$G$382+F5501*Assumptions!$B$14+G5501*Assumptions!$B$13+H5501*Assumptions!$B$12+I5501*Assumptions!$B$11+$O$382+$S$382+Assumptions!$B$9</f>
        <v/>
      </c>
      <c r="L5501">
        <f>B5501-J5501</f>
        <v/>
      </c>
      <c r="M5501">
        <f>IF(K5501&gt;0,IF(L5501/K5501&gt;=Assumptions!$B$37,1,0),0)</f>
        <v/>
      </c>
      <c r="N5501">
        <f>K5501+M5501*Assumptions!$B$153</f>
        <v/>
      </c>
      <c r="O5501">
        <f>L5501+M5501*Assumptions!$B$153*Assumptions!$B$37</f>
        <v/>
      </c>
      <c r="P5501">
        <f>IF(N5501&gt;0,O5501/N5501,0)</f>
        <v/>
      </c>
      <c r="Q5501">
        <f>IF(C5501=1,P5501*$J$382,Assumptions!$B$41)</f>
        <v/>
      </c>
      <c r="R5501">
        <f>IF(D5501=1,P5501*$F$382,Assumptions!$B$33)</f>
        <v/>
      </c>
      <c r="S5501">
        <f>IF(E5501=1,P5501*$G$382,Assumptions!$B$32)</f>
        <v/>
      </c>
      <c r="T5501">
        <f>IF(F5501=1,P5501*Assumptions!$B$14,Assumptions!$B$31)</f>
        <v/>
      </c>
      <c r="U5501">
        <f>IF(G5501=1,P5501*Assumptions!$B$13,Assumptions!$B$30)</f>
        <v/>
      </c>
      <c r="V5501">
        <f>IF(H5501=1,P5501*Assumptions!$B$12,Assumptions!$B$29)</f>
        <v/>
      </c>
      <c r="W5501">
        <f>IF(I5501=1,P5501*Assumptions!$B$11,Assumptions!$B$28)</f>
        <v/>
      </c>
      <c r="X5501">
        <f>P5501*($O$382+$S$382)</f>
        <v/>
      </c>
      <c r="Y5501">
        <f>P5501*Assumptions!$B$9</f>
        <v/>
      </c>
      <c r="Z5501">
        <f>IF(M5501=1,(P5501-Assumptions!$B$37)*Assumptions!$B$153,0)</f>
        <v/>
      </c>
      <c r="AA5501">
        <f>Q5501+R5501+S5501+T5501+U5501+V5501+W5501+X5501+Y5501+Z5501</f>
        <v/>
      </c>
      <c r="AB5501" t="n">
        <v>117</v>
      </c>
      <c r="AC5501" t="n">
        <v>53</v>
      </c>
      <c r="AD5501" t="n">
        <v>85</v>
      </c>
      <c r="AE5501" t="n">
        <v>101</v>
      </c>
      <c r="AF5501" t="n">
        <v>125</v>
      </c>
      <c r="AG5501" t="n">
        <v>113</v>
      </c>
      <c r="AH5501" t="n">
        <v>119</v>
      </c>
      <c r="AI5501" t="n">
        <v>116</v>
      </c>
      <c r="AJ5501">
        <f>INDEX($Q$5384:$Q$5511,AC5501+1)</f>
        <v/>
      </c>
      <c r="AK5501">
        <f>INDEX($R$5384:$R$5511,AD5501+1)</f>
        <v/>
      </c>
      <c r="AL5501">
        <f>INDEX($S$5384:$S$5511,AE5501+1)</f>
        <v/>
      </c>
      <c r="AM5501">
        <f>INDEX($T$5384:$T$5511,AF5501+1)</f>
        <v/>
      </c>
      <c r="AN5501">
        <f>INDEX($U$5384:$U$5511,AG5501+1)</f>
        <v/>
      </c>
      <c r="AO5501">
        <f>INDEX($V$5384:$V$5511,AH5501+1)</f>
        <v/>
      </c>
      <c r="AP5501">
        <f>INDEX($W$5384:$W$5511,AI5501+1)</f>
        <v/>
      </c>
      <c r="AQ5501">
        <f>IF(Q5501&gt;=AJ5501-0.01,1,0)</f>
        <v/>
      </c>
      <c r="AR5501">
        <f>IF(R5501&gt;=AK5501-0.01,1,0)</f>
        <v/>
      </c>
      <c r="AS5501">
        <f>IF(S5501&gt;=AL5501-0.01,1,0)</f>
        <v/>
      </c>
      <c r="AT5501">
        <f>IF(T5501&gt;=AM5501-0.01,1,0)</f>
        <v/>
      </c>
      <c r="AU5501">
        <f>IF(U5501&gt;=AN5501-0.01,1,0)</f>
        <v/>
      </c>
      <c r="AV5501">
        <f>IF(V5501&gt;=AO5501-0.01,1,0)</f>
        <v/>
      </c>
      <c r="AW5501">
        <f>IF(W5501&gt;=AP5501-0.01,1,0)</f>
        <v/>
      </c>
      <c r="AX5501">
        <f>AQ5501*AR5501*AS5501*AT5501*AU5501*AV5501*AW5501</f>
        <v/>
      </c>
    </row>
    <row r="5502">
      <c r="A5502" t="inlineStr"/>
      <c r="B5502">
        <f>Assumptions!$B$60</f>
        <v/>
      </c>
      <c r="C5502" t="n">
        <v>1</v>
      </c>
      <c r="D5502" t="n">
        <v>1</v>
      </c>
      <c r="E5502" t="n">
        <v>1</v>
      </c>
      <c r="F5502" t="n">
        <v>0</v>
      </c>
      <c r="G5502" t="n">
        <v>1</v>
      </c>
      <c r="H5502" t="n">
        <v>1</v>
      </c>
      <c r="I5502" t="n">
        <v>0</v>
      </c>
      <c r="J5502">
        <f>(1-C5502)*Assumptions!$B$41+(1-D5502)*Assumptions!$B$33+(1-E5502)*Assumptions!$B$32+(1-F5502)*Assumptions!$B$31+(1-G5502)*Assumptions!$B$30+(1-H5502)*Assumptions!$B$29+(1-I5502)*Assumptions!$B$28</f>
        <v/>
      </c>
      <c r="K5502">
        <f>C5502*$J$382+D5502*$F$382+E5502*$G$382+F5502*Assumptions!$B$14+G5502*Assumptions!$B$13+H5502*Assumptions!$B$12+I5502*Assumptions!$B$11+$O$382+$S$382+Assumptions!$B$9</f>
        <v/>
      </c>
      <c r="L5502">
        <f>B5502-J5502</f>
        <v/>
      </c>
      <c r="M5502">
        <f>IF(K5502&gt;0,IF(L5502/K5502&gt;=Assumptions!$B$37,1,0),0)</f>
        <v/>
      </c>
      <c r="N5502">
        <f>K5502+M5502*Assumptions!$B$153</f>
        <v/>
      </c>
      <c r="O5502">
        <f>L5502+M5502*Assumptions!$B$153*Assumptions!$B$37</f>
        <v/>
      </c>
      <c r="P5502">
        <f>IF(N5502&gt;0,O5502/N5502,0)</f>
        <v/>
      </c>
      <c r="Q5502">
        <f>IF(C5502=1,P5502*$J$382,Assumptions!$B$41)</f>
        <v/>
      </c>
      <c r="R5502">
        <f>IF(D5502=1,P5502*$F$382,Assumptions!$B$33)</f>
        <v/>
      </c>
      <c r="S5502">
        <f>IF(E5502=1,P5502*$G$382,Assumptions!$B$32)</f>
        <v/>
      </c>
      <c r="T5502">
        <f>IF(F5502=1,P5502*Assumptions!$B$14,Assumptions!$B$31)</f>
        <v/>
      </c>
      <c r="U5502">
        <f>IF(G5502=1,P5502*Assumptions!$B$13,Assumptions!$B$30)</f>
        <v/>
      </c>
      <c r="V5502">
        <f>IF(H5502=1,P5502*Assumptions!$B$12,Assumptions!$B$29)</f>
        <v/>
      </c>
      <c r="W5502">
        <f>IF(I5502=1,P5502*Assumptions!$B$11,Assumptions!$B$28)</f>
        <v/>
      </c>
      <c r="X5502">
        <f>P5502*($O$382+$S$382)</f>
        <v/>
      </c>
      <c r="Y5502">
        <f>P5502*Assumptions!$B$9</f>
        <v/>
      </c>
      <c r="Z5502">
        <f>IF(M5502=1,(P5502-Assumptions!$B$37)*Assumptions!$B$153,0)</f>
        <v/>
      </c>
      <c r="AA5502">
        <f>Q5502+R5502+S5502+T5502+U5502+V5502+W5502+X5502+Y5502+Z5502</f>
        <v/>
      </c>
      <c r="AB5502" t="n">
        <v>118</v>
      </c>
      <c r="AC5502" t="n">
        <v>54</v>
      </c>
      <c r="AD5502" t="n">
        <v>86</v>
      </c>
      <c r="AE5502" t="n">
        <v>102</v>
      </c>
      <c r="AF5502" t="n">
        <v>126</v>
      </c>
      <c r="AG5502" t="n">
        <v>114</v>
      </c>
      <c r="AH5502" t="n">
        <v>116</v>
      </c>
      <c r="AI5502" t="n">
        <v>119</v>
      </c>
      <c r="AJ5502">
        <f>INDEX($Q$5384:$Q$5511,AC5502+1)</f>
        <v/>
      </c>
      <c r="AK5502">
        <f>INDEX($R$5384:$R$5511,AD5502+1)</f>
        <v/>
      </c>
      <c r="AL5502">
        <f>INDEX($S$5384:$S$5511,AE5502+1)</f>
        <v/>
      </c>
      <c r="AM5502">
        <f>INDEX($T$5384:$T$5511,AF5502+1)</f>
        <v/>
      </c>
      <c r="AN5502">
        <f>INDEX($U$5384:$U$5511,AG5502+1)</f>
        <v/>
      </c>
      <c r="AO5502">
        <f>INDEX($V$5384:$V$5511,AH5502+1)</f>
        <v/>
      </c>
      <c r="AP5502">
        <f>INDEX($W$5384:$W$5511,AI5502+1)</f>
        <v/>
      </c>
      <c r="AQ5502">
        <f>IF(Q5502&gt;=AJ5502-0.01,1,0)</f>
        <v/>
      </c>
      <c r="AR5502">
        <f>IF(R5502&gt;=AK5502-0.01,1,0)</f>
        <v/>
      </c>
      <c r="AS5502">
        <f>IF(S5502&gt;=AL5502-0.01,1,0)</f>
        <v/>
      </c>
      <c r="AT5502">
        <f>IF(T5502&gt;=AM5502-0.01,1,0)</f>
        <v/>
      </c>
      <c r="AU5502">
        <f>IF(U5502&gt;=AN5502-0.01,1,0)</f>
        <v/>
      </c>
      <c r="AV5502">
        <f>IF(V5502&gt;=AO5502-0.01,1,0)</f>
        <v/>
      </c>
      <c r="AW5502">
        <f>IF(W5502&gt;=AP5502-0.01,1,0)</f>
        <v/>
      </c>
      <c r="AX5502">
        <f>AQ5502*AR5502*AS5502*AT5502*AU5502*AV5502*AW5502</f>
        <v/>
      </c>
    </row>
    <row r="5503">
      <c r="A5503" t="inlineStr"/>
      <c r="B5503">
        <f>Assumptions!$B$60</f>
        <v/>
      </c>
      <c r="C5503" t="n">
        <v>1</v>
      </c>
      <c r="D5503" t="n">
        <v>1</v>
      </c>
      <c r="E5503" t="n">
        <v>1</v>
      </c>
      <c r="F5503" t="n">
        <v>0</v>
      </c>
      <c r="G5503" t="n">
        <v>1</v>
      </c>
      <c r="H5503" t="n">
        <v>1</v>
      </c>
      <c r="I5503" t="n">
        <v>1</v>
      </c>
      <c r="J5503">
        <f>(1-C5503)*Assumptions!$B$41+(1-D5503)*Assumptions!$B$33+(1-E5503)*Assumptions!$B$32+(1-F5503)*Assumptions!$B$31+(1-G5503)*Assumptions!$B$30+(1-H5503)*Assumptions!$B$29+(1-I5503)*Assumptions!$B$28</f>
        <v/>
      </c>
      <c r="K5503">
        <f>C5503*$J$382+D5503*$F$382+E5503*$G$382+F5503*Assumptions!$B$14+G5503*Assumptions!$B$13+H5503*Assumptions!$B$12+I5503*Assumptions!$B$11+$O$382+$S$382+Assumptions!$B$9</f>
        <v/>
      </c>
      <c r="L5503">
        <f>B5503-J5503</f>
        <v/>
      </c>
      <c r="M5503">
        <f>IF(K5503&gt;0,IF(L5503/K5503&gt;=Assumptions!$B$37,1,0),0)</f>
        <v/>
      </c>
      <c r="N5503">
        <f>K5503+M5503*Assumptions!$B$153</f>
        <v/>
      </c>
      <c r="O5503">
        <f>L5503+M5503*Assumptions!$B$153*Assumptions!$B$37</f>
        <v/>
      </c>
      <c r="P5503">
        <f>IF(N5503&gt;0,O5503/N5503,0)</f>
        <v/>
      </c>
      <c r="Q5503">
        <f>IF(C5503=1,P5503*$J$382,Assumptions!$B$41)</f>
        <v/>
      </c>
      <c r="R5503">
        <f>IF(D5503=1,P5503*$F$382,Assumptions!$B$33)</f>
        <v/>
      </c>
      <c r="S5503">
        <f>IF(E5503=1,P5503*$G$382,Assumptions!$B$32)</f>
        <v/>
      </c>
      <c r="T5503">
        <f>IF(F5503=1,P5503*Assumptions!$B$14,Assumptions!$B$31)</f>
        <v/>
      </c>
      <c r="U5503">
        <f>IF(G5503=1,P5503*Assumptions!$B$13,Assumptions!$B$30)</f>
        <v/>
      </c>
      <c r="V5503">
        <f>IF(H5503=1,P5503*Assumptions!$B$12,Assumptions!$B$29)</f>
        <v/>
      </c>
      <c r="W5503">
        <f>IF(I5503=1,P5503*Assumptions!$B$11,Assumptions!$B$28)</f>
        <v/>
      </c>
      <c r="X5503">
        <f>P5503*($O$382+$S$382)</f>
        <v/>
      </c>
      <c r="Y5503">
        <f>P5503*Assumptions!$B$9</f>
        <v/>
      </c>
      <c r="Z5503">
        <f>IF(M5503=1,(P5503-Assumptions!$B$37)*Assumptions!$B$153,0)</f>
        <v/>
      </c>
      <c r="AA5503">
        <f>Q5503+R5503+S5503+T5503+U5503+V5503+W5503+X5503+Y5503+Z5503</f>
        <v/>
      </c>
      <c r="AB5503" t="n">
        <v>119</v>
      </c>
      <c r="AC5503" t="n">
        <v>55</v>
      </c>
      <c r="AD5503" t="n">
        <v>87</v>
      </c>
      <c r="AE5503" t="n">
        <v>103</v>
      </c>
      <c r="AF5503" t="n">
        <v>127</v>
      </c>
      <c r="AG5503" t="n">
        <v>115</v>
      </c>
      <c r="AH5503" t="n">
        <v>117</v>
      </c>
      <c r="AI5503" t="n">
        <v>118</v>
      </c>
      <c r="AJ5503">
        <f>INDEX($Q$5384:$Q$5511,AC5503+1)</f>
        <v/>
      </c>
      <c r="AK5503">
        <f>INDEX($R$5384:$R$5511,AD5503+1)</f>
        <v/>
      </c>
      <c r="AL5503">
        <f>INDEX($S$5384:$S$5511,AE5503+1)</f>
        <v/>
      </c>
      <c r="AM5503">
        <f>INDEX($T$5384:$T$5511,AF5503+1)</f>
        <v/>
      </c>
      <c r="AN5503">
        <f>INDEX($U$5384:$U$5511,AG5503+1)</f>
        <v/>
      </c>
      <c r="AO5503">
        <f>INDEX($V$5384:$V$5511,AH5503+1)</f>
        <v/>
      </c>
      <c r="AP5503">
        <f>INDEX($W$5384:$W$5511,AI5503+1)</f>
        <v/>
      </c>
      <c r="AQ5503">
        <f>IF(Q5503&gt;=AJ5503-0.01,1,0)</f>
        <v/>
      </c>
      <c r="AR5503">
        <f>IF(R5503&gt;=AK5503-0.01,1,0)</f>
        <v/>
      </c>
      <c r="AS5503">
        <f>IF(S5503&gt;=AL5503-0.01,1,0)</f>
        <v/>
      </c>
      <c r="AT5503">
        <f>IF(T5503&gt;=AM5503-0.01,1,0)</f>
        <v/>
      </c>
      <c r="AU5503">
        <f>IF(U5503&gt;=AN5503-0.01,1,0)</f>
        <v/>
      </c>
      <c r="AV5503">
        <f>IF(V5503&gt;=AO5503-0.01,1,0)</f>
        <v/>
      </c>
      <c r="AW5503">
        <f>IF(W5503&gt;=AP5503-0.01,1,0)</f>
        <v/>
      </c>
      <c r="AX5503">
        <f>AQ5503*AR5503*AS5503*AT5503*AU5503*AV5503*AW5503</f>
        <v/>
      </c>
    </row>
    <row r="5504">
      <c r="A5504" t="inlineStr"/>
      <c r="B5504">
        <f>Assumptions!$B$60</f>
        <v/>
      </c>
      <c r="C5504" t="n">
        <v>1</v>
      </c>
      <c r="D5504" t="n">
        <v>1</v>
      </c>
      <c r="E5504" t="n">
        <v>1</v>
      </c>
      <c r="F5504" t="n">
        <v>1</v>
      </c>
      <c r="G5504" t="n">
        <v>0</v>
      </c>
      <c r="H5504" t="n">
        <v>0</v>
      </c>
      <c r="I5504" t="n">
        <v>0</v>
      </c>
      <c r="J5504">
        <f>(1-C5504)*Assumptions!$B$41+(1-D5504)*Assumptions!$B$33+(1-E5504)*Assumptions!$B$32+(1-F5504)*Assumptions!$B$31+(1-G5504)*Assumptions!$B$30+(1-H5504)*Assumptions!$B$29+(1-I5504)*Assumptions!$B$28</f>
        <v/>
      </c>
      <c r="K5504">
        <f>C5504*$J$382+D5504*$F$382+E5504*$G$382+F5504*Assumptions!$B$14+G5504*Assumptions!$B$13+H5504*Assumptions!$B$12+I5504*Assumptions!$B$11+$O$382+$S$382+Assumptions!$B$9</f>
        <v/>
      </c>
      <c r="L5504">
        <f>B5504-J5504</f>
        <v/>
      </c>
      <c r="M5504">
        <f>IF(K5504&gt;0,IF(L5504/K5504&gt;=Assumptions!$B$37,1,0),0)</f>
        <v/>
      </c>
      <c r="N5504">
        <f>K5504+M5504*Assumptions!$B$153</f>
        <v/>
      </c>
      <c r="O5504">
        <f>L5504+M5504*Assumptions!$B$153*Assumptions!$B$37</f>
        <v/>
      </c>
      <c r="P5504">
        <f>IF(N5504&gt;0,O5504/N5504,0)</f>
        <v/>
      </c>
      <c r="Q5504">
        <f>IF(C5504=1,P5504*$J$382,Assumptions!$B$41)</f>
        <v/>
      </c>
      <c r="R5504">
        <f>IF(D5504=1,P5504*$F$382,Assumptions!$B$33)</f>
        <v/>
      </c>
      <c r="S5504">
        <f>IF(E5504=1,P5504*$G$382,Assumptions!$B$32)</f>
        <v/>
      </c>
      <c r="T5504">
        <f>IF(F5504=1,P5504*Assumptions!$B$14,Assumptions!$B$31)</f>
        <v/>
      </c>
      <c r="U5504">
        <f>IF(G5504=1,P5504*Assumptions!$B$13,Assumptions!$B$30)</f>
        <v/>
      </c>
      <c r="V5504">
        <f>IF(H5504=1,P5504*Assumptions!$B$12,Assumptions!$B$29)</f>
        <v/>
      </c>
      <c r="W5504">
        <f>IF(I5504=1,P5504*Assumptions!$B$11,Assumptions!$B$28)</f>
        <v/>
      </c>
      <c r="X5504">
        <f>P5504*($O$382+$S$382)</f>
        <v/>
      </c>
      <c r="Y5504">
        <f>P5504*Assumptions!$B$9</f>
        <v/>
      </c>
      <c r="Z5504">
        <f>IF(M5504=1,(P5504-Assumptions!$B$37)*Assumptions!$B$153,0)</f>
        <v/>
      </c>
      <c r="AA5504">
        <f>Q5504+R5504+S5504+T5504+U5504+V5504+W5504+X5504+Y5504+Z5504</f>
        <v/>
      </c>
      <c r="AB5504" t="n">
        <v>120</v>
      </c>
      <c r="AC5504" t="n">
        <v>56</v>
      </c>
      <c r="AD5504" t="n">
        <v>88</v>
      </c>
      <c r="AE5504" t="n">
        <v>104</v>
      </c>
      <c r="AF5504" t="n">
        <v>112</v>
      </c>
      <c r="AG5504" t="n">
        <v>124</v>
      </c>
      <c r="AH5504" t="n">
        <v>122</v>
      </c>
      <c r="AI5504" t="n">
        <v>121</v>
      </c>
      <c r="AJ5504">
        <f>INDEX($Q$5384:$Q$5511,AC5504+1)</f>
        <v/>
      </c>
      <c r="AK5504">
        <f>INDEX($R$5384:$R$5511,AD5504+1)</f>
        <v/>
      </c>
      <c r="AL5504">
        <f>INDEX($S$5384:$S$5511,AE5504+1)</f>
        <v/>
      </c>
      <c r="AM5504">
        <f>INDEX($T$5384:$T$5511,AF5504+1)</f>
        <v/>
      </c>
      <c r="AN5504">
        <f>INDEX($U$5384:$U$5511,AG5504+1)</f>
        <v/>
      </c>
      <c r="AO5504">
        <f>INDEX($V$5384:$V$5511,AH5504+1)</f>
        <v/>
      </c>
      <c r="AP5504">
        <f>INDEX($W$5384:$W$5511,AI5504+1)</f>
        <v/>
      </c>
      <c r="AQ5504">
        <f>IF(Q5504&gt;=AJ5504-0.01,1,0)</f>
        <v/>
      </c>
      <c r="AR5504">
        <f>IF(R5504&gt;=AK5504-0.01,1,0)</f>
        <v/>
      </c>
      <c r="AS5504">
        <f>IF(S5504&gt;=AL5504-0.01,1,0)</f>
        <v/>
      </c>
      <c r="AT5504">
        <f>IF(T5504&gt;=AM5504-0.01,1,0)</f>
        <v/>
      </c>
      <c r="AU5504">
        <f>IF(U5504&gt;=AN5504-0.01,1,0)</f>
        <v/>
      </c>
      <c r="AV5504">
        <f>IF(V5504&gt;=AO5504-0.01,1,0)</f>
        <v/>
      </c>
      <c r="AW5504">
        <f>IF(W5504&gt;=AP5504-0.01,1,0)</f>
        <v/>
      </c>
      <c r="AX5504">
        <f>AQ5504*AR5504*AS5504*AT5504*AU5504*AV5504*AW5504</f>
        <v/>
      </c>
    </row>
    <row r="5505">
      <c r="A5505" t="inlineStr"/>
      <c r="B5505">
        <f>Assumptions!$B$60</f>
        <v/>
      </c>
      <c r="C5505" t="n">
        <v>1</v>
      </c>
      <c r="D5505" t="n">
        <v>1</v>
      </c>
      <c r="E5505" t="n">
        <v>1</v>
      </c>
      <c r="F5505" t="n">
        <v>1</v>
      </c>
      <c r="G5505" t="n">
        <v>0</v>
      </c>
      <c r="H5505" t="n">
        <v>0</v>
      </c>
      <c r="I5505" t="n">
        <v>1</v>
      </c>
      <c r="J5505">
        <f>(1-C5505)*Assumptions!$B$41+(1-D5505)*Assumptions!$B$33+(1-E5505)*Assumptions!$B$32+(1-F5505)*Assumptions!$B$31+(1-G5505)*Assumptions!$B$30+(1-H5505)*Assumptions!$B$29+(1-I5505)*Assumptions!$B$28</f>
        <v/>
      </c>
      <c r="K5505">
        <f>C5505*$J$382+D5505*$F$382+E5505*$G$382+F5505*Assumptions!$B$14+G5505*Assumptions!$B$13+H5505*Assumptions!$B$12+I5505*Assumptions!$B$11+$O$382+$S$382+Assumptions!$B$9</f>
        <v/>
      </c>
      <c r="L5505">
        <f>B5505-J5505</f>
        <v/>
      </c>
      <c r="M5505">
        <f>IF(K5505&gt;0,IF(L5505/K5505&gt;=Assumptions!$B$37,1,0),0)</f>
        <v/>
      </c>
      <c r="N5505">
        <f>K5505+M5505*Assumptions!$B$153</f>
        <v/>
      </c>
      <c r="O5505">
        <f>L5505+M5505*Assumptions!$B$153*Assumptions!$B$37</f>
        <v/>
      </c>
      <c r="P5505">
        <f>IF(N5505&gt;0,O5505/N5505,0)</f>
        <v/>
      </c>
      <c r="Q5505">
        <f>IF(C5505=1,P5505*$J$382,Assumptions!$B$41)</f>
        <v/>
      </c>
      <c r="R5505">
        <f>IF(D5505=1,P5505*$F$382,Assumptions!$B$33)</f>
        <v/>
      </c>
      <c r="S5505">
        <f>IF(E5505=1,P5505*$G$382,Assumptions!$B$32)</f>
        <v/>
      </c>
      <c r="T5505">
        <f>IF(F5505=1,P5505*Assumptions!$B$14,Assumptions!$B$31)</f>
        <v/>
      </c>
      <c r="U5505">
        <f>IF(G5505=1,P5505*Assumptions!$B$13,Assumptions!$B$30)</f>
        <v/>
      </c>
      <c r="V5505">
        <f>IF(H5505=1,P5505*Assumptions!$B$12,Assumptions!$B$29)</f>
        <v/>
      </c>
      <c r="W5505">
        <f>IF(I5505=1,P5505*Assumptions!$B$11,Assumptions!$B$28)</f>
        <v/>
      </c>
      <c r="X5505">
        <f>P5505*($O$382+$S$382)</f>
        <v/>
      </c>
      <c r="Y5505">
        <f>P5505*Assumptions!$B$9</f>
        <v/>
      </c>
      <c r="Z5505">
        <f>IF(M5505=1,(P5505-Assumptions!$B$37)*Assumptions!$B$153,0)</f>
        <v/>
      </c>
      <c r="AA5505">
        <f>Q5505+R5505+S5505+T5505+U5505+V5505+W5505+X5505+Y5505+Z5505</f>
        <v/>
      </c>
      <c r="AB5505" t="n">
        <v>121</v>
      </c>
      <c r="AC5505" t="n">
        <v>57</v>
      </c>
      <c r="AD5505" t="n">
        <v>89</v>
      </c>
      <c r="AE5505" t="n">
        <v>105</v>
      </c>
      <c r="AF5505" t="n">
        <v>113</v>
      </c>
      <c r="AG5505" t="n">
        <v>125</v>
      </c>
      <c r="AH5505" t="n">
        <v>123</v>
      </c>
      <c r="AI5505" t="n">
        <v>120</v>
      </c>
      <c r="AJ5505">
        <f>INDEX($Q$5384:$Q$5511,AC5505+1)</f>
        <v/>
      </c>
      <c r="AK5505">
        <f>INDEX($R$5384:$R$5511,AD5505+1)</f>
        <v/>
      </c>
      <c r="AL5505">
        <f>INDEX($S$5384:$S$5511,AE5505+1)</f>
        <v/>
      </c>
      <c r="AM5505">
        <f>INDEX($T$5384:$T$5511,AF5505+1)</f>
        <v/>
      </c>
      <c r="AN5505">
        <f>INDEX($U$5384:$U$5511,AG5505+1)</f>
        <v/>
      </c>
      <c r="AO5505">
        <f>INDEX($V$5384:$V$5511,AH5505+1)</f>
        <v/>
      </c>
      <c r="AP5505">
        <f>INDEX($W$5384:$W$5511,AI5505+1)</f>
        <v/>
      </c>
      <c r="AQ5505">
        <f>IF(Q5505&gt;=AJ5505-0.01,1,0)</f>
        <v/>
      </c>
      <c r="AR5505">
        <f>IF(R5505&gt;=AK5505-0.01,1,0)</f>
        <v/>
      </c>
      <c r="AS5505">
        <f>IF(S5505&gt;=AL5505-0.01,1,0)</f>
        <v/>
      </c>
      <c r="AT5505">
        <f>IF(T5505&gt;=AM5505-0.01,1,0)</f>
        <v/>
      </c>
      <c r="AU5505">
        <f>IF(U5505&gt;=AN5505-0.01,1,0)</f>
        <v/>
      </c>
      <c r="AV5505">
        <f>IF(V5505&gt;=AO5505-0.01,1,0)</f>
        <v/>
      </c>
      <c r="AW5505">
        <f>IF(W5505&gt;=AP5505-0.01,1,0)</f>
        <v/>
      </c>
      <c r="AX5505">
        <f>AQ5505*AR5505*AS5505*AT5505*AU5505*AV5505*AW5505</f>
        <v/>
      </c>
    </row>
    <row r="5506">
      <c r="A5506" t="inlineStr"/>
      <c r="B5506">
        <f>Assumptions!$B$60</f>
        <v/>
      </c>
      <c r="C5506" t="n">
        <v>1</v>
      </c>
      <c r="D5506" t="n">
        <v>1</v>
      </c>
      <c r="E5506" t="n">
        <v>1</v>
      </c>
      <c r="F5506" t="n">
        <v>1</v>
      </c>
      <c r="G5506" t="n">
        <v>0</v>
      </c>
      <c r="H5506" t="n">
        <v>1</v>
      </c>
      <c r="I5506" t="n">
        <v>0</v>
      </c>
      <c r="J5506">
        <f>(1-C5506)*Assumptions!$B$41+(1-D5506)*Assumptions!$B$33+(1-E5506)*Assumptions!$B$32+(1-F5506)*Assumptions!$B$31+(1-G5506)*Assumptions!$B$30+(1-H5506)*Assumptions!$B$29+(1-I5506)*Assumptions!$B$28</f>
        <v/>
      </c>
      <c r="K5506">
        <f>C5506*$J$382+D5506*$F$382+E5506*$G$382+F5506*Assumptions!$B$14+G5506*Assumptions!$B$13+H5506*Assumptions!$B$12+I5506*Assumptions!$B$11+$O$382+$S$382+Assumptions!$B$9</f>
        <v/>
      </c>
      <c r="L5506">
        <f>B5506-J5506</f>
        <v/>
      </c>
      <c r="M5506">
        <f>IF(K5506&gt;0,IF(L5506/K5506&gt;=Assumptions!$B$37,1,0),0)</f>
        <v/>
      </c>
      <c r="N5506">
        <f>K5506+M5506*Assumptions!$B$153</f>
        <v/>
      </c>
      <c r="O5506">
        <f>L5506+M5506*Assumptions!$B$153*Assumptions!$B$37</f>
        <v/>
      </c>
      <c r="P5506">
        <f>IF(N5506&gt;0,O5506/N5506,0)</f>
        <v/>
      </c>
      <c r="Q5506">
        <f>IF(C5506=1,P5506*$J$382,Assumptions!$B$41)</f>
        <v/>
      </c>
      <c r="R5506">
        <f>IF(D5506=1,P5506*$F$382,Assumptions!$B$33)</f>
        <v/>
      </c>
      <c r="S5506">
        <f>IF(E5506=1,P5506*$G$382,Assumptions!$B$32)</f>
        <v/>
      </c>
      <c r="T5506">
        <f>IF(F5506=1,P5506*Assumptions!$B$14,Assumptions!$B$31)</f>
        <v/>
      </c>
      <c r="U5506">
        <f>IF(G5506=1,P5506*Assumptions!$B$13,Assumptions!$B$30)</f>
        <v/>
      </c>
      <c r="V5506">
        <f>IF(H5506=1,P5506*Assumptions!$B$12,Assumptions!$B$29)</f>
        <v/>
      </c>
      <c r="W5506">
        <f>IF(I5506=1,P5506*Assumptions!$B$11,Assumptions!$B$28)</f>
        <v/>
      </c>
      <c r="X5506">
        <f>P5506*($O$382+$S$382)</f>
        <v/>
      </c>
      <c r="Y5506">
        <f>P5506*Assumptions!$B$9</f>
        <v/>
      </c>
      <c r="Z5506">
        <f>IF(M5506=1,(P5506-Assumptions!$B$37)*Assumptions!$B$153,0)</f>
        <v/>
      </c>
      <c r="AA5506">
        <f>Q5506+R5506+S5506+T5506+U5506+V5506+W5506+X5506+Y5506+Z5506</f>
        <v/>
      </c>
      <c r="AB5506" t="n">
        <v>122</v>
      </c>
      <c r="AC5506" t="n">
        <v>58</v>
      </c>
      <c r="AD5506" t="n">
        <v>90</v>
      </c>
      <c r="AE5506" t="n">
        <v>106</v>
      </c>
      <c r="AF5506" t="n">
        <v>114</v>
      </c>
      <c r="AG5506" t="n">
        <v>126</v>
      </c>
      <c r="AH5506" t="n">
        <v>120</v>
      </c>
      <c r="AI5506" t="n">
        <v>123</v>
      </c>
      <c r="AJ5506">
        <f>INDEX($Q$5384:$Q$5511,AC5506+1)</f>
        <v/>
      </c>
      <c r="AK5506">
        <f>INDEX($R$5384:$R$5511,AD5506+1)</f>
        <v/>
      </c>
      <c r="AL5506">
        <f>INDEX($S$5384:$S$5511,AE5506+1)</f>
        <v/>
      </c>
      <c r="AM5506">
        <f>INDEX($T$5384:$T$5511,AF5506+1)</f>
        <v/>
      </c>
      <c r="AN5506">
        <f>INDEX($U$5384:$U$5511,AG5506+1)</f>
        <v/>
      </c>
      <c r="AO5506">
        <f>INDEX($V$5384:$V$5511,AH5506+1)</f>
        <v/>
      </c>
      <c r="AP5506">
        <f>INDEX($W$5384:$W$5511,AI5506+1)</f>
        <v/>
      </c>
      <c r="AQ5506">
        <f>IF(Q5506&gt;=AJ5506-0.01,1,0)</f>
        <v/>
      </c>
      <c r="AR5506">
        <f>IF(R5506&gt;=AK5506-0.01,1,0)</f>
        <v/>
      </c>
      <c r="AS5506">
        <f>IF(S5506&gt;=AL5506-0.01,1,0)</f>
        <v/>
      </c>
      <c r="AT5506">
        <f>IF(T5506&gt;=AM5506-0.01,1,0)</f>
        <v/>
      </c>
      <c r="AU5506">
        <f>IF(U5506&gt;=AN5506-0.01,1,0)</f>
        <v/>
      </c>
      <c r="AV5506">
        <f>IF(V5506&gt;=AO5506-0.01,1,0)</f>
        <v/>
      </c>
      <c r="AW5506">
        <f>IF(W5506&gt;=AP5506-0.01,1,0)</f>
        <v/>
      </c>
      <c r="AX5506">
        <f>AQ5506*AR5506*AS5506*AT5506*AU5506*AV5506*AW5506</f>
        <v/>
      </c>
    </row>
    <row r="5507">
      <c r="A5507" t="inlineStr"/>
      <c r="B5507">
        <f>Assumptions!$B$60</f>
        <v/>
      </c>
      <c r="C5507" t="n">
        <v>1</v>
      </c>
      <c r="D5507" t="n">
        <v>1</v>
      </c>
      <c r="E5507" t="n">
        <v>1</v>
      </c>
      <c r="F5507" t="n">
        <v>1</v>
      </c>
      <c r="G5507" t="n">
        <v>0</v>
      </c>
      <c r="H5507" t="n">
        <v>1</v>
      </c>
      <c r="I5507" t="n">
        <v>1</v>
      </c>
      <c r="J5507">
        <f>(1-C5507)*Assumptions!$B$41+(1-D5507)*Assumptions!$B$33+(1-E5507)*Assumptions!$B$32+(1-F5507)*Assumptions!$B$31+(1-G5507)*Assumptions!$B$30+(1-H5507)*Assumptions!$B$29+(1-I5507)*Assumptions!$B$28</f>
        <v/>
      </c>
      <c r="K5507">
        <f>C5507*$J$382+D5507*$F$382+E5507*$G$382+F5507*Assumptions!$B$14+G5507*Assumptions!$B$13+H5507*Assumptions!$B$12+I5507*Assumptions!$B$11+$O$382+$S$382+Assumptions!$B$9</f>
        <v/>
      </c>
      <c r="L5507">
        <f>B5507-J5507</f>
        <v/>
      </c>
      <c r="M5507">
        <f>IF(K5507&gt;0,IF(L5507/K5507&gt;=Assumptions!$B$37,1,0),0)</f>
        <v/>
      </c>
      <c r="N5507">
        <f>K5507+M5507*Assumptions!$B$153</f>
        <v/>
      </c>
      <c r="O5507">
        <f>L5507+M5507*Assumptions!$B$153*Assumptions!$B$37</f>
        <v/>
      </c>
      <c r="P5507">
        <f>IF(N5507&gt;0,O5507/N5507,0)</f>
        <v/>
      </c>
      <c r="Q5507">
        <f>IF(C5507=1,P5507*$J$382,Assumptions!$B$41)</f>
        <v/>
      </c>
      <c r="R5507">
        <f>IF(D5507=1,P5507*$F$382,Assumptions!$B$33)</f>
        <v/>
      </c>
      <c r="S5507">
        <f>IF(E5507=1,P5507*$G$382,Assumptions!$B$32)</f>
        <v/>
      </c>
      <c r="T5507">
        <f>IF(F5507=1,P5507*Assumptions!$B$14,Assumptions!$B$31)</f>
        <v/>
      </c>
      <c r="U5507">
        <f>IF(G5507=1,P5507*Assumptions!$B$13,Assumptions!$B$30)</f>
        <v/>
      </c>
      <c r="V5507">
        <f>IF(H5507=1,P5507*Assumptions!$B$12,Assumptions!$B$29)</f>
        <v/>
      </c>
      <c r="W5507">
        <f>IF(I5507=1,P5507*Assumptions!$B$11,Assumptions!$B$28)</f>
        <v/>
      </c>
      <c r="X5507">
        <f>P5507*($O$382+$S$382)</f>
        <v/>
      </c>
      <c r="Y5507">
        <f>P5507*Assumptions!$B$9</f>
        <v/>
      </c>
      <c r="Z5507">
        <f>IF(M5507=1,(P5507-Assumptions!$B$37)*Assumptions!$B$153,0)</f>
        <v/>
      </c>
      <c r="AA5507">
        <f>Q5507+R5507+S5507+T5507+U5507+V5507+W5507+X5507+Y5507+Z5507</f>
        <v/>
      </c>
      <c r="AB5507" t="n">
        <v>123</v>
      </c>
      <c r="AC5507" t="n">
        <v>59</v>
      </c>
      <c r="AD5507" t="n">
        <v>91</v>
      </c>
      <c r="AE5507" t="n">
        <v>107</v>
      </c>
      <c r="AF5507" t="n">
        <v>115</v>
      </c>
      <c r="AG5507" t="n">
        <v>127</v>
      </c>
      <c r="AH5507" t="n">
        <v>121</v>
      </c>
      <c r="AI5507" t="n">
        <v>122</v>
      </c>
      <c r="AJ5507">
        <f>INDEX($Q$5384:$Q$5511,AC5507+1)</f>
        <v/>
      </c>
      <c r="AK5507">
        <f>INDEX($R$5384:$R$5511,AD5507+1)</f>
        <v/>
      </c>
      <c r="AL5507">
        <f>INDEX($S$5384:$S$5511,AE5507+1)</f>
        <v/>
      </c>
      <c r="AM5507">
        <f>INDEX($T$5384:$T$5511,AF5507+1)</f>
        <v/>
      </c>
      <c r="AN5507">
        <f>INDEX($U$5384:$U$5511,AG5507+1)</f>
        <v/>
      </c>
      <c r="AO5507">
        <f>INDEX($V$5384:$V$5511,AH5507+1)</f>
        <v/>
      </c>
      <c r="AP5507">
        <f>INDEX($W$5384:$W$5511,AI5507+1)</f>
        <v/>
      </c>
      <c r="AQ5507">
        <f>IF(Q5507&gt;=AJ5507-0.01,1,0)</f>
        <v/>
      </c>
      <c r="AR5507">
        <f>IF(R5507&gt;=AK5507-0.01,1,0)</f>
        <v/>
      </c>
      <c r="AS5507">
        <f>IF(S5507&gt;=AL5507-0.01,1,0)</f>
        <v/>
      </c>
      <c r="AT5507">
        <f>IF(T5507&gt;=AM5507-0.01,1,0)</f>
        <v/>
      </c>
      <c r="AU5507">
        <f>IF(U5507&gt;=AN5507-0.01,1,0)</f>
        <v/>
      </c>
      <c r="AV5507">
        <f>IF(V5507&gt;=AO5507-0.01,1,0)</f>
        <v/>
      </c>
      <c r="AW5507">
        <f>IF(W5507&gt;=AP5507-0.01,1,0)</f>
        <v/>
      </c>
      <c r="AX5507">
        <f>AQ5507*AR5507*AS5507*AT5507*AU5507*AV5507*AW5507</f>
        <v/>
      </c>
    </row>
    <row r="5508">
      <c r="A5508" t="inlineStr"/>
      <c r="B5508">
        <f>Assumptions!$B$60</f>
        <v/>
      </c>
      <c r="C5508" t="n">
        <v>1</v>
      </c>
      <c r="D5508" t="n">
        <v>1</v>
      </c>
      <c r="E5508" t="n">
        <v>1</v>
      </c>
      <c r="F5508" t="n">
        <v>1</v>
      </c>
      <c r="G5508" t="n">
        <v>1</v>
      </c>
      <c r="H5508" t="n">
        <v>0</v>
      </c>
      <c r="I5508" t="n">
        <v>0</v>
      </c>
      <c r="J5508">
        <f>(1-C5508)*Assumptions!$B$41+(1-D5508)*Assumptions!$B$33+(1-E5508)*Assumptions!$B$32+(1-F5508)*Assumptions!$B$31+(1-G5508)*Assumptions!$B$30+(1-H5508)*Assumptions!$B$29+(1-I5508)*Assumptions!$B$28</f>
        <v/>
      </c>
      <c r="K5508">
        <f>C5508*$J$382+D5508*$F$382+E5508*$G$382+F5508*Assumptions!$B$14+G5508*Assumptions!$B$13+H5508*Assumptions!$B$12+I5508*Assumptions!$B$11+$O$382+$S$382+Assumptions!$B$9</f>
        <v/>
      </c>
      <c r="L5508">
        <f>B5508-J5508</f>
        <v/>
      </c>
      <c r="M5508">
        <f>IF(K5508&gt;0,IF(L5508/K5508&gt;=Assumptions!$B$37,1,0),0)</f>
        <v/>
      </c>
      <c r="N5508">
        <f>K5508+M5508*Assumptions!$B$153</f>
        <v/>
      </c>
      <c r="O5508">
        <f>L5508+M5508*Assumptions!$B$153*Assumptions!$B$37</f>
        <v/>
      </c>
      <c r="P5508">
        <f>IF(N5508&gt;0,O5508/N5508,0)</f>
        <v/>
      </c>
      <c r="Q5508">
        <f>IF(C5508=1,P5508*$J$382,Assumptions!$B$41)</f>
        <v/>
      </c>
      <c r="R5508">
        <f>IF(D5508=1,P5508*$F$382,Assumptions!$B$33)</f>
        <v/>
      </c>
      <c r="S5508">
        <f>IF(E5508=1,P5508*$G$382,Assumptions!$B$32)</f>
        <v/>
      </c>
      <c r="T5508">
        <f>IF(F5508=1,P5508*Assumptions!$B$14,Assumptions!$B$31)</f>
        <v/>
      </c>
      <c r="U5508">
        <f>IF(G5508=1,P5508*Assumptions!$B$13,Assumptions!$B$30)</f>
        <v/>
      </c>
      <c r="V5508">
        <f>IF(H5508=1,P5508*Assumptions!$B$12,Assumptions!$B$29)</f>
        <v/>
      </c>
      <c r="W5508">
        <f>IF(I5508=1,P5508*Assumptions!$B$11,Assumptions!$B$28)</f>
        <v/>
      </c>
      <c r="X5508">
        <f>P5508*($O$382+$S$382)</f>
        <v/>
      </c>
      <c r="Y5508">
        <f>P5508*Assumptions!$B$9</f>
        <v/>
      </c>
      <c r="Z5508">
        <f>IF(M5508=1,(P5508-Assumptions!$B$37)*Assumptions!$B$153,0)</f>
        <v/>
      </c>
      <c r="AA5508">
        <f>Q5508+R5508+S5508+T5508+U5508+V5508+W5508+X5508+Y5508+Z5508</f>
        <v/>
      </c>
      <c r="AB5508" t="n">
        <v>124</v>
      </c>
      <c r="AC5508" t="n">
        <v>60</v>
      </c>
      <c r="AD5508" t="n">
        <v>92</v>
      </c>
      <c r="AE5508" t="n">
        <v>108</v>
      </c>
      <c r="AF5508" t="n">
        <v>116</v>
      </c>
      <c r="AG5508" t="n">
        <v>120</v>
      </c>
      <c r="AH5508" t="n">
        <v>126</v>
      </c>
      <c r="AI5508" t="n">
        <v>125</v>
      </c>
      <c r="AJ5508">
        <f>INDEX($Q$5384:$Q$5511,AC5508+1)</f>
        <v/>
      </c>
      <c r="AK5508">
        <f>INDEX($R$5384:$R$5511,AD5508+1)</f>
        <v/>
      </c>
      <c r="AL5508">
        <f>INDEX($S$5384:$S$5511,AE5508+1)</f>
        <v/>
      </c>
      <c r="AM5508">
        <f>INDEX($T$5384:$T$5511,AF5508+1)</f>
        <v/>
      </c>
      <c r="AN5508">
        <f>INDEX($U$5384:$U$5511,AG5508+1)</f>
        <v/>
      </c>
      <c r="AO5508">
        <f>INDEX($V$5384:$V$5511,AH5508+1)</f>
        <v/>
      </c>
      <c r="AP5508">
        <f>INDEX($W$5384:$W$5511,AI5508+1)</f>
        <v/>
      </c>
      <c r="AQ5508">
        <f>IF(Q5508&gt;=AJ5508-0.01,1,0)</f>
        <v/>
      </c>
      <c r="AR5508">
        <f>IF(R5508&gt;=AK5508-0.01,1,0)</f>
        <v/>
      </c>
      <c r="AS5508">
        <f>IF(S5508&gt;=AL5508-0.01,1,0)</f>
        <v/>
      </c>
      <c r="AT5508">
        <f>IF(T5508&gt;=AM5508-0.01,1,0)</f>
        <v/>
      </c>
      <c r="AU5508">
        <f>IF(U5508&gt;=AN5508-0.01,1,0)</f>
        <v/>
      </c>
      <c r="AV5508">
        <f>IF(V5508&gt;=AO5508-0.01,1,0)</f>
        <v/>
      </c>
      <c r="AW5508">
        <f>IF(W5508&gt;=AP5508-0.01,1,0)</f>
        <v/>
      </c>
      <c r="AX5508">
        <f>AQ5508*AR5508*AS5508*AT5508*AU5508*AV5508*AW5508</f>
        <v/>
      </c>
    </row>
    <row r="5509">
      <c r="A5509" t="inlineStr"/>
      <c r="B5509">
        <f>Assumptions!$B$60</f>
        <v/>
      </c>
      <c r="C5509" t="n">
        <v>1</v>
      </c>
      <c r="D5509" t="n">
        <v>1</v>
      </c>
      <c r="E5509" t="n">
        <v>1</v>
      </c>
      <c r="F5509" t="n">
        <v>1</v>
      </c>
      <c r="G5509" t="n">
        <v>1</v>
      </c>
      <c r="H5509" t="n">
        <v>0</v>
      </c>
      <c r="I5509" t="n">
        <v>1</v>
      </c>
      <c r="J5509">
        <f>(1-C5509)*Assumptions!$B$41+(1-D5509)*Assumptions!$B$33+(1-E5509)*Assumptions!$B$32+(1-F5509)*Assumptions!$B$31+(1-G5509)*Assumptions!$B$30+(1-H5509)*Assumptions!$B$29+(1-I5509)*Assumptions!$B$28</f>
        <v/>
      </c>
      <c r="K5509">
        <f>C5509*$J$382+D5509*$F$382+E5509*$G$382+F5509*Assumptions!$B$14+G5509*Assumptions!$B$13+H5509*Assumptions!$B$12+I5509*Assumptions!$B$11+$O$382+$S$382+Assumptions!$B$9</f>
        <v/>
      </c>
      <c r="L5509">
        <f>B5509-J5509</f>
        <v/>
      </c>
      <c r="M5509">
        <f>IF(K5509&gt;0,IF(L5509/K5509&gt;=Assumptions!$B$37,1,0),0)</f>
        <v/>
      </c>
      <c r="N5509">
        <f>K5509+M5509*Assumptions!$B$153</f>
        <v/>
      </c>
      <c r="O5509">
        <f>L5509+M5509*Assumptions!$B$153*Assumptions!$B$37</f>
        <v/>
      </c>
      <c r="P5509">
        <f>IF(N5509&gt;0,O5509/N5509,0)</f>
        <v/>
      </c>
      <c r="Q5509">
        <f>IF(C5509=1,P5509*$J$382,Assumptions!$B$41)</f>
        <v/>
      </c>
      <c r="R5509">
        <f>IF(D5509=1,P5509*$F$382,Assumptions!$B$33)</f>
        <v/>
      </c>
      <c r="S5509">
        <f>IF(E5509=1,P5509*$G$382,Assumptions!$B$32)</f>
        <v/>
      </c>
      <c r="T5509">
        <f>IF(F5509=1,P5509*Assumptions!$B$14,Assumptions!$B$31)</f>
        <v/>
      </c>
      <c r="U5509">
        <f>IF(G5509=1,P5509*Assumptions!$B$13,Assumptions!$B$30)</f>
        <v/>
      </c>
      <c r="V5509">
        <f>IF(H5509=1,P5509*Assumptions!$B$12,Assumptions!$B$29)</f>
        <v/>
      </c>
      <c r="W5509">
        <f>IF(I5509=1,P5509*Assumptions!$B$11,Assumptions!$B$28)</f>
        <v/>
      </c>
      <c r="X5509">
        <f>P5509*($O$382+$S$382)</f>
        <v/>
      </c>
      <c r="Y5509">
        <f>P5509*Assumptions!$B$9</f>
        <v/>
      </c>
      <c r="Z5509">
        <f>IF(M5509=1,(P5509-Assumptions!$B$37)*Assumptions!$B$153,0)</f>
        <v/>
      </c>
      <c r="AA5509">
        <f>Q5509+R5509+S5509+T5509+U5509+V5509+W5509+X5509+Y5509+Z5509</f>
        <v/>
      </c>
      <c r="AB5509" t="n">
        <v>125</v>
      </c>
      <c r="AC5509" t="n">
        <v>61</v>
      </c>
      <c r="AD5509" t="n">
        <v>93</v>
      </c>
      <c r="AE5509" t="n">
        <v>109</v>
      </c>
      <c r="AF5509" t="n">
        <v>117</v>
      </c>
      <c r="AG5509" t="n">
        <v>121</v>
      </c>
      <c r="AH5509" t="n">
        <v>127</v>
      </c>
      <c r="AI5509" t="n">
        <v>124</v>
      </c>
      <c r="AJ5509">
        <f>INDEX($Q$5384:$Q$5511,AC5509+1)</f>
        <v/>
      </c>
      <c r="AK5509">
        <f>INDEX($R$5384:$R$5511,AD5509+1)</f>
        <v/>
      </c>
      <c r="AL5509">
        <f>INDEX($S$5384:$S$5511,AE5509+1)</f>
        <v/>
      </c>
      <c r="AM5509">
        <f>INDEX($T$5384:$T$5511,AF5509+1)</f>
        <v/>
      </c>
      <c r="AN5509">
        <f>INDEX($U$5384:$U$5511,AG5509+1)</f>
        <v/>
      </c>
      <c r="AO5509">
        <f>INDEX($V$5384:$V$5511,AH5509+1)</f>
        <v/>
      </c>
      <c r="AP5509">
        <f>INDEX($W$5384:$W$5511,AI5509+1)</f>
        <v/>
      </c>
      <c r="AQ5509">
        <f>IF(Q5509&gt;=AJ5509-0.01,1,0)</f>
        <v/>
      </c>
      <c r="AR5509">
        <f>IF(R5509&gt;=AK5509-0.01,1,0)</f>
        <v/>
      </c>
      <c r="AS5509">
        <f>IF(S5509&gt;=AL5509-0.01,1,0)</f>
        <v/>
      </c>
      <c r="AT5509">
        <f>IF(T5509&gt;=AM5509-0.01,1,0)</f>
        <v/>
      </c>
      <c r="AU5509">
        <f>IF(U5509&gt;=AN5509-0.01,1,0)</f>
        <v/>
      </c>
      <c r="AV5509">
        <f>IF(V5509&gt;=AO5509-0.01,1,0)</f>
        <v/>
      </c>
      <c r="AW5509">
        <f>IF(W5509&gt;=AP5509-0.01,1,0)</f>
        <v/>
      </c>
      <c r="AX5509">
        <f>AQ5509*AR5509*AS5509*AT5509*AU5509*AV5509*AW5509</f>
        <v/>
      </c>
    </row>
    <row r="5510">
      <c r="A5510" t="inlineStr"/>
      <c r="B5510">
        <f>Assumptions!$B$60</f>
        <v/>
      </c>
      <c r="C5510" t="n">
        <v>1</v>
      </c>
      <c r="D5510" t="n">
        <v>1</v>
      </c>
      <c r="E5510" t="n">
        <v>1</v>
      </c>
      <c r="F5510" t="n">
        <v>1</v>
      </c>
      <c r="G5510" t="n">
        <v>1</v>
      </c>
      <c r="H5510" t="n">
        <v>1</v>
      </c>
      <c r="I5510" t="n">
        <v>0</v>
      </c>
      <c r="J5510">
        <f>(1-C5510)*Assumptions!$B$41+(1-D5510)*Assumptions!$B$33+(1-E5510)*Assumptions!$B$32+(1-F5510)*Assumptions!$B$31+(1-G5510)*Assumptions!$B$30+(1-H5510)*Assumptions!$B$29+(1-I5510)*Assumptions!$B$28</f>
        <v/>
      </c>
      <c r="K5510">
        <f>C5510*$J$382+D5510*$F$382+E5510*$G$382+F5510*Assumptions!$B$14+G5510*Assumptions!$B$13+H5510*Assumptions!$B$12+I5510*Assumptions!$B$11+$O$382+$S$382+Assumptions!$B$9</f>
        <v/>
      </c>
      <c r="L5510">
        <f>B5510-J5510</f>
        <v/>
      </c>
      <c r="M5510">
        <f>IF(K5510&gt;0,IF(L5510/K5510&gt;=Assumptions!$B$37,1,0),0)</f>
        <v/>
      </c>
      <c r="N5510">
        <f>K5510+M5510*Assumptions!$B$153</f>
        <v/>
      </c>
      <c r="O5510">
        <f>L5510+M5510*Assumptions!$B$153*Assumptions!$B$37</f>
        <v/>
      </c>
      <c r="P5510">
        <f>IF(N5510&gt;0,O5510/N5510,0)</f>
        <v/>
      </c>
      <c r="Q5510">
        <f>IF(C5510=1,P5510*$J$382,Assumptions!$B$41)</f>
        <v/>
      </c>
      <c r="R5510">
        <f>IF(D5510=1,P5510*$F$382,Assumptions!$B$33)</f>
        <v/>
      </c>
      <c r="S5510">
        <f>IF(E5510=1,P5510*$G$382,Assumptions!$B$32)</f>
        <v/>
      </c>
      <c r="T5510">
        <f>IF(F5510=1,P5510*Assumptions!$B$14,Assumptions!$B$31)</f>
        <v/>
      </c>
      <c r="U5510">
        <f>IF(G5510=1,P5510*Assumptions!$B$13,Assumptions!$B$30)</f>
        <v/>
      </c>
      <c r="V5510">
        <f>IF(H5510=1,P5510*Assumptions!$B$12,Assumptions!$B$29)</f>
        <v/>
      </c>
      <c r="W5510">
        <f>IF(I5510=1,P5510*Assumptions!$B$11,Assumptions!$B$28)</f>
        <v/>
      </c>
      <c r="X5510">
        <f>P5510*($O$382+$S$382)</f>
        <v/>
      </c>
      <c r="Y5510">
        <f>P5510*Assumptions!$B$9</f>
        <v/>
      </c>
      <c r="Z5510">
        <f>IF(M5510=1,(P5510-Assumptions!$B$37)*Assumptions!$B$153,0)</f>
        <v/>
      </c>
      <c r="AA5510">
        <f>Q5510+R5510+S5510+T5510+U5510+V5510+W5510+X5510+Y5510+Z5510</f>
        <v/>
      </c>
      <c r="AB5510" t="n">
        <v>126</v>
      </c>
      <c r="AC5510" t="n">
        <v>62</v>
      </c>
      <c r="AD5510" t="n">
        <v>94</v>
      </c>
      <c r="AE5510" t="n">
        <v>110</v>
      </c>
      <c r="AF5510" t="n">
        <v>118</v>
      </c>
      <c r="AG5510" t="n">
        <v>122</v>
      </c>
      <c r="AH5510" t="n">
        <v>124</v>
      </c>
      <c r="AI5510" t="n">
        <v>127</v>
      </c>
      <c r="AJ5510">
        <f>INDEX($Q$5384:$Q$5511,AC5510+1)</f>
        <v/>
      </c>
      <c r="AK5510">
        <f>INDEX($R$5384:$R$5511,AD5510+1)</f>
        <v/>
      </c>
      <c r="AL5510">
        <f>INDEX($S$5384:$S$5511,AE5510+1)</f>
        <v/>
      </c>
      <c r="AM5510">
        <f>INDEX($T$5384:$T$5511,AF5510+1)</f>
        <v/>
      </c>
      <c r="AN5510">
        <f>INDEX($U$5384:$U$5511,AG5510+1)</f>
        <v/>
      </c>
      <c r="AO5510">
        <f>INDEX($V$5384:$V$5511,AH5510+1)</f>
        <v/>
      </c>
      <c r="AP5510">
        <f>INDEX($W$5384:$W$5511,AI5510+1)</f>
        <v/>
      </c>
      <c r="AQ5510">
        <f>IF(Q5510&gt;=AJ5510-0.01,1,0)</f>
        <v/>
      </c>
      <c r="AR5510">
        <f>IF(R5510&gt;=AK5510-0.01,1,0)</f>
        <v/>
      </c>
      <c r="AS5510">
        <f>IF(S5510&gt;=AL5510-0.01,1,0)</f>
        <v/>
      </c>
      <c r="AT5510">
        <f>IF(T5510&gt;=AM5510-0.01,1,0)</f>
        <v/>
      </c>
      <c r="AU5510">
        <f>IF(U5510&gt;=AN5510-0.01,1,0)</f>
        <v/>
      </c>
      <c r="AV5510">
        <f>IF(V5510&gt;=AO5510-0.01,1,0)</f>
        <v/>
      </c>
      <c r="AW5510">
        <f>IF(W5510&gt;=AP5510-0.01,1,0)</f>
        <v/>
      </c>
      <c r="AX5510">
        <f>AQ5510*AR5510*AS5510*AT5510*AU5510*AV5510*AW5510</f>
        <v/>
      </c>
    </row>
    <row r="5511">
      <c r="A5511" t="inlineStr"/>
      <c r="B5511">
        <f>Assumptions!$B$60</f>
        <v/>
      </c>
      <c r="C5511" t="n">
        <v>1</v>
      </c>
      <c r="D5511" t="n">
        <v>1</v>
      </c>
      <c r="E5511" t="n">
        <v>1</v>
      </c>
      <c r="F5511" t="n">
        <v>1</v>
      </c>
      <c r="G5511" t="n">
        <v>1</v>
      </c>
      <c r="H5511" t="n">
        <v>1</v>
      </c>
      <c r="I5511" t="n">
        <v>1</v>
      </c>
      <c r="J5511">
        <f>(1-C5511)*Assumptions!$B$41+(1-D5511)*Assumptions!$B$33+(1-E5511)*Assumptions!$B$32+(1-F5511)*Assumptions!$B$31+(1-G5511)*Assumptions!$B$30+(1-H5511)*Assumptions!$B$29+(1-I5511)*Assumptions!$B$28</f>
        <v/>
      </c>
      <c r="K5511">
        <f>C5511*$J$382+D5511*$F$382+E5511*$G$382+F5511*Assumptions!$B$14+G5511*Assumptions!$B$13+H5511*Assumptions!$B$12+I5511*Assumptions!$B$11+$O$382+$S$382+Assumptions!$B$9</f>
        <v/>
      </c>
      <c r="L5511">
        <f>B5511-J5511</f>
        <v/>
      </c>
      <c r="M5511">
        <f>IF(K5511&gt;0,IF(L5511/K5511&gt;=Assumptions!$B$37,1,0),0)</f>
        <v/>
      </c>
      <c r="N5511">
        <f>K5511+M5511*Assumptions!$B$153</f>
        <v/>
      </c>
      <c r="O5511">
        <f>L5511+M5511*Assumptions!$B$153*Assumptions!$B$37</f>
        <v/>
      </c>
      <c r="P5511">
        <f>IF(N5511&gt;0,O5511/N5511,0)</f>
        <v/>
      </c>
      <c r="Q5511">
        <f>IF(C5511=1,P5511*$J$382,Assumptions!$B$41)</f>
        <v/>
      </c>
      <c r="R5511">
        <f>IF(D5511=1,P5511*$F$382,Assumptions!$B$33)</f>
        <v/>
      </c>
      <c r="S5511">
        <f>IF(E5511=1,P5511*$G$382,Assumptions!$B$32)</f>
        <v/>
      </c>
      <c r="T5511">
        <f>IF(F5511=1,P5511*Assumptions!$B$14,Assumptions!$B$31)</f>
        <v/>
      </c>
      <c r="U5511">
        <f>IF(G5511=1,P5511*Assumptions!$B$13,Assumptions!$B$30)</f>
        <v/>
      </c>
      <c r="V5511">
        <f>IF(H5511=1,P5511*Assumptions!$B$12,Assumptions!$B$29)</f>
        <v/>
      </c>
      <c r="W5511">
        <f>IF(I5511=1,P5511*Assumptions!$B$11,Assumptions!$B$28)</f>
        <v/>
      </c>
      <c r="X5511">
        <f>P5511*($O$382+$S$382)</f>
        <v/>
      </c>
      <c r="Y5511">
        <f>P5511*Assumptions!$B$9</f>
        <v/>
      </c>
      <c r="Z5511">
        <f>IF(M5511=1,(P5511-Assumptions!$B$37)*Assumptions!$B$153,0)</f>
        <v/>
      </c>
      <c r="AA5511">
        <f>Q5511+R5511+S5511+T5511+U5511+V5511+W5511+X5511+Y5511+Z5511</f>
        <v/>
      </c>
      <c r="AB5511" t="n">
        <v>127</v>
      </c>
      <c r="AC5511" t="n">
        <v>63</v>
      </c>
      <c r="AD5511" t="n">
        <v>95</v>
      </c>
      <c r="AE5511" t="n">
        <v>111</v>
      </c>
      <c r="AF5511" t="n">
        <v>119</v>
      </c>
      <c r="AG5511" t="n">
        <v>123</v>
      </c>
      <c r="AH5511" t="n">
        <v>125</v>
      </c>
      <c r="AI5511" t="n">
        <v>126</v>
      </c>
      <c r="AJ5511">
        <f>INDEX($Q$5384:$Q$5511,AC5511+1)</f>
        <v/>
      </c>
      <c r="AK5511">
        <f>INDEX($R$5384:$R$5511,AD5511+1)</f>
        <v/>
      </c>
      <c r="AL5511">
        <f>INDEX($S$5384:$S$5511,AE5511+1)</f>
        <v/>
      </c>
      <c r="AM5511">
        <f>INDEX($T$5384:$T$5511,AF5511+1)</f>
        <v/>
      </c>
      <c r="AN5511">
        <f>INDEX($U$5384:$U$5511,AG5511+1)</f>
        <v/>
      </c>
      <c r="AO5511">
        <f>INDEX($V$5384:$V$5511,AH5511+1)</f>
        <v/>
      </c>
      <c r="AP5511">
        <f>INDEX($W$5384:$W$5511,AI5511+1)</f>
        <v/>
      </c>
      <c r="AQ5511">
        <f>IF(Q5511&gt;=AJ5511-0.01,1,0)</f>
        <v/>
      </c>
      <c r="AR5511">
        <f>IF(R5511&gt;=AK5511-0.01,1,0)</f>
        <v/>
      </c>
      <c r="AS5511">
        <f>IF(S5511&gt;=AL5511-0.01,1,0)</f>
        <v/>
      </c>
      <c r="AT5511">
        <f>IF(T5511&gt;=AM5511-0.01,1,0)</f>
        <v/>
      </c>
      <c r="AU5511">
        <f>IF(U5511&gt;=AN5511-0.01,1,0)</f>
        <v/>
      </c>
      <c r="AV5511">
        <f>IF(V5511&gt;=AO5511-0.01,1,0)</f>
        <v/>
      </c>
      <c r="AW5511">
        <f>IF(W5511&gt;=AP5511-0.01,1,0)</f>
        <v/>
      </c>
      <c r="AX5511">
        <f>AQ5511*AR5511*AS5511*AT5511*AU5511*AV5511*AW5511</f>
        <v/>
      </c>
    </row>
    <row r="5512">
      <c r="A5512" t="inlineStr">
        <is>
          <t>esop_13_pre_1400M</t>
        </is>
      </c>
      <c r="B5512">
        <f>Assumptions!$B$60</f>
        <v/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>
        <f>(1-C5512)*Assumptions!$B$41+(1-D5512)*Assumptions!$B$33+(1-E5512)*Assumptions!$B$32+(1-F5512)*Assumptions!$B$31+(1-G5512)*Assumptions!$B$30+(1-H5512)*Assumptions!$B$29+(1-I5512)*Assumptions!$B$28</f>
        <v/>
      </c>
      <c r="K5512">
        <f>C5512*$J$457+D5512*$F$457+E5512*$G$457+F5512*Assumptions!$B$14+G5512*Assumptions!$B$13+H5512*Assumptions!$B$12+I5512*Assumptions!$B$11+$O$457+$S$457+Assumptions!$B$9</f>
        <v/>
      </c>
      <c r="L5512">
        <f>B5512-J5512</f>
        <v/>
      </c>
      <c r="M5512">
        <f>IF(K5512&gt;0,IF(L5512/K5512&gt;=Assumptions!$B$37,1,0),0)</f>
        <v/>
      </c>
      <c r="N5512">
        <f>K5512+M5512*Assumptions!$B$153</f>
        <v/>
      </c>
      <c r="O5512">
        <f>L5512+M5512*Assumptions!$B$153*Assumptions!$B$37</f>
        <v/>
      </c>
      <c r="P5512">
        <f>IF(N5512&gt;0,O5512/N5512,0)</f>
        <v/>
      </c>
      <c r="Q5512">
        <f>IF(C5512=1,P5512*$J$457,Assumptions!$B$41)</f>
        <v/>
      </c>
      <c r="R5512">
        <f>IF(D5512=1,P5512*$F$457,Assumptions!$B$33)</f>
        <v/>
      </c>
      <c r="S5512">
        <f>IF(E5512=1,P5512*$G$457,Assumptions!$B$32)</f>
        <v/>
      </c>
      <c r="T5512">
        <f>IF(F5512=1,P5512*Assumptions!$B$14,Assumptions!$B$31)</f>
        <v/>
      </c>
      <c r="U5512">
        <f>IF(G5512=1,P5512*Assumptions!$B$13,Assumptions!$B$30)</f>
        <v/>
      </c>
      <c r="V5512">
        <f>IF(H5512=1,P5512*Assumptions!$B$12,Assumptions!$B$29)</f>
        <v/>
      </c>
      <c r="W5512">
        <f>IF(I5512=1,P5512*Assumptions!$B$11,Assumptions!$B$28)</f>
        <v/>
      </c>
      <c r="X5512">
        <f>P5512*($O$457+$S$457)</f>
        <v/>
      </c>
      <c r="Y5512">
        <f>P5512*Assumptions!$B$9</f>
        <v/>
      </c>
      <c r="Z5512">
        <f>IF(M5512=1,(P5512-Assumptions!$B$37)*Assumptions!$B$153,0)</f>
        <v/>
      </c>
      <c r="AA5512">
        <f>Q5512+R5512+S5512+T5512+U5512+V5512+W5512+X5512+Y5512+Z5512</f>
        <v/>
      </c>
      <c r="AB5512" t="n">
        <v>0</v>
      </c>
      <c r="AC5512" t="n">
        <v>64</v>
      </c>
      <c r="AD5512" t="n">
        <v>32</v>
      </c>
      <c r="AE5512" t="n">
        <v>16</v>
      </c>
      <c r="AF5512" t="n">
        <v>8</v>
      </c>
      <c r="AG5512" t="n">
        <v>4</v>
      </c>
      <c r="AH5512" t="n">
        <v>2</v>
      </c>
      <c r="AI5512" t="n">
        <v>1</v>
      </c>
      <c r="AJ5512">
        <f>INDEX($Q$5512:$Q$5639,AC5512+1)</f>
        <v/>
      </c>
      <c r="AK5512">
        <f>INDEX($R$5512:$R$5639,AD5512+1)</f>
        <v/>
      </c>
      <c r="AL5512">
        <f>INDEX($S$5512:$S$5639,AE5512+1)</f>
        <v/>
      </c>
      <c r="AM5512">
        <f>INDEX($T$5512:$T$5639,AF5512+1)</f>
        <v/>
      </c>
      <c r="AN5512">
        <f>INDEX($U$5512:$U$5639,AG5512+1)</f>
        <v/>
      </c>
      <c r="AO5512">
        <f>INDEX($V$5512:$V$5639,AH5512+1)</f>
        <v/>
      </c>
      <c r="AP5512">
        <f>INDEX($W$5512:$W$5639,AI5512+1)</f>
        <v/>
      </c>
      <c r="AQ5512">
        <f>IF(Q5512&gt;=AJ5512-0.01,1,0)</f>
        <v/>
      </c>
      <c r="AR5512">
        <f>IF(R5512&gt;=AK5512-0.01,1,0)</f>
        <v/>
      </c>
      <c r="AS5512">
        <f>IF(S5512&gt;=AL5512-0.01,1,0)</f>
        <v/>
      </c>
      <c r="AT5512">
        <f>IF(T5512&gt;=AM5512-0.01,1,0)</f>
        <v/>
      </c>
      <c r="AU5512">
        <f>IF(U5512&gt;=AN5512-0.01,1,0)</f>
        <v/>
      </c>
      <c r="AV5512">
        <f>IF(V5512&gt;=AO5512-0.01,1,0)</f>
        <v/>
      </c>
      <c r="AW5512">
        <f>IF(W5512&gt;=AP5512-0.01,1,0)</f>
        <v/>
      </c>
      <c r="AX5512">
        <f>AQ5512*AR5512*AS5512*AT5512*AU5512*AV5512*AW5512</f>
        <v/>
      </c>
    </row>
    <row r="5513">
      <c r="A5513" t="inlineStr"/>
      <c r="B5513">
        <f>Assumptions!$B$60</f>
        <v/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>
        <f>(1-C5513)*Assumptions!$B$41+(1-D5513)*Assumptions!$B$33+(1-E5513)*Assumptions!$B$32+(1-F5513)*Assumptions!$B$31+(1-G5513)*Assumptions!$B$30+(1-H5513)*Assumptions!$B$29+(1-I5513)*Assumptions!$B$28</f>
        <v/>
      </c>
      <c r="K5513">
        <f>C5513*$J$457+D5513*$F$457+E5513*$G$457+F5513*Assumptions!$B$14+G5513*Assumptions!$B$13+H5513*Assumptions!$B$12+I5513*Assumptions!$B$11+$O$457+$S$457+Assumptions!$B$9</f>
        <v/>
      </c>
      <c r="L5513">
        <f>B5513-J5513</f>
        <v/>
      </c>
      <c r="M5513">
        <f>IF(K5513&gt;0,IF(L5513/K5513&gt;=Assumptions!$B$37,1,0),0)</f>
        <v/>
      </c>
      <c r="N5513">
        <f>K5513+M5513*Assumptions!$B$153</f>
        <v/>
      </c>
      <c r="O5513">
        <f>L5513+M5513*Assumptions!$B$153*Assumptions!$B$37</f>
        <v/>
      </c>
      <c r="P5513">
        <f>IF(N5513&gt;0,O5513/N5513,0)</f>
        <v/>
      </c>
      <c r="Q5513">
        <f>IF(C5513=1,P5513*$J$457,Assumptions!$B$41)</f>
        <v/>
      </c>
      <c r="R5513">
        <f>IF(D5513=1,P5513*$F$457,Assumptions!$B$33)</f>
        <v/>
      </c>
      <c r="S5513">
        <f>IF(E5513=1,P5513*$G$457,Assumptions!$B$32)</f>
        <v/>
      </c>
      <c r="T5513">
        <f>IF(F5513=1,P5513*Assumptions!$B$14,Assumptions!$B$31)</f>
        <v/>
      </c>
      <c r="U5513">
        <f>IF(G5513=1,P5513*Assumptions!$B$13,Assumptions!$B$30)</f>
        <v/>
      </c>
      <c r="V5513">
        <f>IF(H5513=1,P5513*Assumptions!$B$12,Assumptions!$B$29)</f>
        <v/>
      </c>
      <c r="W5513">
        <f>IF(I5513=1,P5513*Assumptions!$B$11,Assumptions!$B$28)</f>
        <v/>
      </c>
      <c r="X5513">
        <f>P5513*($O$457+$S$457)</f>
        <v/>
      </c>
      <c r="Y5513">
        <f>P5513*Assumptions!$B$9</f>
        <v/>
      </c>
      <c r="Z5513">
        <f>IF(M5513=1,(P5513-Assumptions!$B$37)*Assumptions!$B$153,0)</f>
        <v/>
      </c>
      <c r="AA5513">
        <f>Q5513+R5513+S5513+T5513+U5513+V5513+W5513+X5513+Y5513+Z5513</f>
        <v/>
      </c>
      <c r="AB5513" t="n">
        <v>1</v>
      </c>
      <c r="AC5513" t="n">
        <v>65</v>
      </c>
      <c r="AD5513" t="n">
        <v>33</v>
      </c>
      <c r="AE5513" t="n">
        <v>17</v>
      </c>
      <c r="AF5513" t="n">
        <v>9</v>
      </c>
      <c r="AG5513" t="n">
        <v>5</v>
      </c>
      <c r="AH5513" t="n">
        <v>3</v>
      </c>
      <c r="AI5513" t="n">
        <v>0</v>
      </c>
      <c r="AJ5513">
        <f>INDEX($Q$5512:$Q$5639,AC5513+1)</f>
        <v/>
      </c>
      <c r="AK5513">
        <f>INDEX($R$5512:$R$5639,AD5513+1)</f>
        <v/>
      </c>
      <c r="AL5513">
        <f>INDEX($S$5512:$S$5639,AE5513+1)</f>
        <v/>
      </c>
      <c r="AM5513">
        <f>INDEX($T$5512:$T$5639,AF5513+1)</f>
        <v/>
      </c>
      <c r="AN5513">
        <f>INDEX($U$5512:$U$5639,AG5513+1)</f>
        <v/>
      </c>
      <c r="AO5513">
        <f>INDEX($V$5512:$V$5639,AH5513+1)</f>
        <v/>
      </c>
      <c r="AP5513">
        <f>INDEX($W$5512:$W$5639,AI5513+1)</f>
        <v/>
      </c>
      <c r="AQ5513">
        <f>IF(Q5513&gt;=AJ5513-0.01,1,0)</f>
        <v/>
      </c>
      <c r="AR5513">
        <f>IF(R5513&gt;=AK5513-0.01,1,0)</f>
        <v/>
      </c>
      <c r="AS5513">
        <f>IF(S5513&gt;=AL5513-0.01,1,0)</f>
        <v/>
      </c>
      <c r="AT5513">
        <f>IF(T5513&gt;=AM5513-0.01,1,0)</f>
        <v/>
      </c>
      <c r="AU5513">
        <f>IF(U5513&gt;=AN5513-0.01,1,0)</f>
        <v/>
      </c>
      <c r="AV5513">
        <f>IF(V5513&gt;=AO5513-0.01,1,0)</f>
        <v/>
      </c>
      <c r="AW5513">
        <f>IF(W5513&gt;=AP5513-0.01,1,0)</f>
        <v/>
      </c>
      <c r="AX5513">
        <f>AQ5513*AR5513*AS5513*AT5513*AU5513*AV5513*AW5513</f>
        <v/>
      </c>
    </row>
    <row r="5514">
      <c r="A5514" t="inlineStr"/>
      <c r="B5514">
        <f>Assumptions!$B$60</f>
        <v/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>
        <f>(1-C5514)*Assumptions!$B$41+(1-D5514)*Assumptions!$B$33+(1-E5514)*Assumptions!$B$32+(1-F5514)*Assumptions!$B$31+(1-G5514)*Assumptions!$B$30+(1-H5514)*Assumptions!$B$29+(1-I5514)*Assumptions!$B$28</f>
        <v/>
      </c>
      <c r="K5514">
        <f>C5514*$J$457+D5514*$F$457+E5514*$G$457+F5514*Assumptions!$B$14+G5514*Assumptions!$B$13+H5514*Assumptions!$B$12+I5514*Assumptions!$B$11+$O$457+$S$457+Assumptions!$B$9</f>
        <v/>
      </c>
      <c r="L5514">
        <f>B5514-J5514</f>
        <v/>
      </c>
      <c r="M5514">
        <f>IF(K5514&gt;0,IF(L5514/K5514&gt;=Assumptions!$B$37,1,0),0)</f>
        <v/>
      </c>
      <c r="N5514">
        <f>K5514+M5514*Assumptions!$B$153</f>
        <v/>
      </c>
      <c r="O5514">
        <f>L5514+M5514*Assumptions!$B$153*Assumptions!$B$37</f>
        <v/>
      </c>
      <c r="P5514">
        <f>IF(N5514&gt;0,O5514/N5514,0)</f>
        <v/>
      </c>
      <c r="Q5514">
        <f>IF(C5514=1,P5514*$J$457,Assumptions!$B$41)</f>
        <v/>
      </c>
      <c r="R5514">
        <f>IF(D5514=1,P5514*$F$457,Assumptions!$B$33)</f>
        <v/>
      </c>
      <c r="S5514">
        <f>IF(E5514=1,P5514*$G$457,Assumptions!$B$32)</f>
        <v/>
      </c>
      <c r="T5514">
        <f>IF(F5514=1,P5514*Assumptions!$B$14,Assumptions!$B$31)</f>
        <v/>
      </c>
      <c r="U5514">
        <f>IF(G5514=1,P5514*Assumptions!$B$13,Assumptions!$B$30)</f>
        <v/>
      </c>
      <c r="V5514">
        <f>IF(H5514=1,P5514*Assumptions!$B$12,Assumptions!$B$29)</f>
        <v/>
      </c>
      <c r="W5514">
        <f>IF(I5514=1,P5514*Assumptions!$B$11,Assumptions!$B$28)</f>
        <v/>
      </c>
      <c r="X5514">
        <f>P5514*($O$457+$S$457)</f>
        <v/>
      </c>
      <c r="Y5514">
        <f>P5514*Assumptions!$B$9</f>
        <v/>
      </c>
      <c r="Z5514">
        <f>IF(M5514=1,(P5514-Assumptions!$B$37)*Assumptions!$B$153,0)</f>
        <v/>
      </c>
      <c r="AA5514">
        <f>Q5514+R5514+S5514+T5514+U5514+V5514+W5514+X5514+Y5514+Z5514</f>
        <v/>
      </c>
      <c r="AB5514" t="n">
        <v>2</v>
      </c>
      <c r="AC5514" t="n">
        <v>66</v>
      </c>
      <c r="AD5514" t="n">
        <v>34</v>
      </c>
      <c r="AE5514" t="n">
        <v>18</v>
      </c>
      <c r="AF5514" t="n">
        <v>10</v>
      </c>
      <c r="AG5514" t="n">
        <v>6</v>
      </c>
      <c r="AH5514" t="n">
        <v>0</v>
      </c>
      <c r="AI5514" t="n">
        <v>3</v>
      </c>
      <c r="AJ5514">
        <f>INDEX($Q$5512:$Q$5639,AC5514+1)</f>
        <v/>
      </c>
      <c r="AK5514">
        <f>INDEX($R$5512:$R$5639,AD5514+1)</f>
        <v/>
      </c>
      <c r="AL5514">
        <f>INDEX($S$5512:$S$5639,AE5514+1)</f>
        <v/>
      </c>
      <c r="AM5514">
        <f>INDEX($T$5512:$T$5639,AF5514+1)</f>
        <v/>
      </c>
      <c r="AN5514">
        <f>INDEX($U$5512:$U$5639,AG5514+1)</f>
        <v/>
      </c>
      <c r="AO5514">
        <f>INDEX($V$5512:$V$5639,AH5514+1)</f>
        <v/>
      </c>
      <c r="AP5514">
        <f>INDEX($W$5512:$W$5639,AI5514+1)</f>
        <v/>
      </c>
      <c r="AQ5514">
        <f>IF(Q5514&gt;=AJ5514-0.01,1,0)</f>
        <v/>
      </c>
      <c r="AR5514">
        <f>IF(R5514&gt;=AK5514-0.01,1,0)</f>
        <v/>
      </c>
      <c r="AS5514">
        <f>IF(S5514&gt;=AL5514-0.01,1,0)</f>
        <v/>
      </c>
      <c r="AT5514">
        <f>IF(T5514&gt;=AM5514-0.01,1,0)</f>
        <v/>
      </c>
      <c r="AU5514">
        <f>IF(U5514&gt;=AN5514-0.01,1,0)</f>
        <v/>
      </c>
      <c r="AV5514">
        <f>IF(V5514&gt;=AO5514-0.01,1,0)</f>
        <v/>
      </c>
      <c r="AW5514">
        <f>IF(W5514&gt;=AP5514-0.01,1,0)</f>
        <v/>
      </c>
      <c r="AX5514">
        <f>AQ5514*AR5514*AS5514*AT5514*AU5514*AV5514*AW5514</f>
        <v/>
      </c>
    </row>
    <row r="5515">
      <c r="A5515" t="inlineStr"/>
      <c r="B5515">
        <f>Assumptions!$B$60</f>
        <v/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</v>
      </c>
      <c r="J5515">
        <f>(1-C5515)*Assumptions!$B$41+(1-D5515)*Assumptions!$B$33+(1-E5515)*Assumptions!$B$32+(1-F5515)*Assumptions!$B$31+(1-G5515)*Assumptions!$B$30+(1-H5515)*Assumptions!$B$29+(1-I5515)*Assumptions!$B$28</f>
        <v/>
      </c>
      <c r="K5515">
        <f>C5515*$J$457+D5515*$F$457+E5515*$G$457+F5515*Assumptions!$B$14+G5515*Assumptions!$B$13+H5515*Assumptions!$B$12+I5515*Assumptions!$B$11+$O$457+$S$457+Assumptions!$B$9</f>
        <v/>
      </c>
      <c r="L5515">
        <f>B5515-J5515</f>
        <v/>
      </c>
      <c r="M5515">
        <f>IF(K5515&gt;0,IF(L5515/K5515&gt;=Assumptions!$B$37,1,0),0)</f>
        <v/>
      </c>
      <c r="N5515">
        <f>K5515+M5515*Assumptions!$B$153</f>
        <v/>
      </c>
      <c r="O5515">
        <f>L5515+M5515*Assumptions!$B$153*Assumptions!$B$37</f>
        <v/>
      </c>
      <c r="P5515">
        <f>IF(N5515&gt;0,O5515/N5515,0)</f>
        <v/>
      </c>
      <c r="Q5515">
        <f>IF(C5515=1,P5515*$J$457,Assumptions!$B$41)</f>
        <v/>
      </c>
      <c r="R5515">
        <f>IF(D5515=1,P5515*$F$457,Assumptions!$B$33)</f>
        <v/>
      </c>
      <c r="S5515">
        <f>IF(E5515=1,P5515*$G$457,Assumptions!$B$32)</f>
        <v/>
      </c>
      <c r="T5515">
        <f>IF(F5515=1,P5515*Assumptions!$B$14,Assumptions!$B$31)</f>
        <v/>
      </c>
      <c r="U5515">
        <f>IF(G5515=1,P5515*Assumptions!$B$13,Assumptions!$B$30)</f>
        <v/>
      </c>
      <c r="V5515">
        <f>IF(H5515=1,P5515*Assumptions!$B$12,Assumptions!$B$29)</f>
        <v/>
      </c>
      <c r="W5515">
        <f>IF(I5515=1,P5515*Assumptions!$B$11,Assumptions!$B$28)</f>
        <v/>
      </c>
      <c r="X5515">
        <f>P5515*($O$457+$S$457)</f>
        <v/>
      </c>
      <c r="Y5515">
        <f>P5515*Assumptions!$B$9</f>
        <v/>
      </c>
      <c r="Z5515">
        <f>IF(M5515=1,(P5515-Assumptions!$B$37)*Assumptions!$B$153,0)</f>
        <v/>
      </c>
      <c r="AA5515">
        <f>Q5515+R5515+S5515+T5515+U5515+V5515+W5515+X5515+Y5515+Z5515</f>
        <v/>
      </c>
      <c r="AB5515" t="n">
        <v>3</v>
      </c>
      <c r="AC5515" t="n">
        <v>67</v>
      </c>
      <c r="AD5515" t="n">
        <v>35</v>
      </c>
      <c r="AE5515" t="n">
        <v>19</v>
      </c>
      <c r="AF5515" t="n">
        <v>11</v>
      </c>
      <c r="AG5515" t="n">
        <v>7</v>
      </c>
      <c r="AH5515" t="n">
        <v>1</v>
      </c>
      <c r="AI5515" t="n">
        <v>2</v>
      </c>
      <c r="AJ5515">
        <f>INDEX($Q$5512:$Q$5639,AC5515+1)</f>
        <v/>
      </c>
      <c r="AK5515">
        <f>INDEX($R$5512:$R$5639,AD5515+1)</f>
        <v/>
      </c>
      <c r="AL5515">
        <f>INDEX($S$5512:$S$5639,AE5515+1)</f>
        <v/>
      </c>
      <c r="AM5515">
        <f>INDEX($T$5512:$T$5639,AF5515+1)</f>
        <v/>
      </c>
      <c r="AN5515">
        <f>INDEX($U$5512:$U$5639,AG5515+1)</f>
        <v/>
      </c>
      <c r="AO5515">
        <f>INDEX($V$5512:$V$5639,AH5515+1)</f>
        <v/>
      </c>
      <c r="AP5515">
        <f>INDEX($W$5512:$W$5639,AI5515+1)</f>
        <v/>
      </c>
      <c r="AQ5515">
        <f>IF(Q5515&gt;=AJ5515-0.01,1,0)</f>
        <v/>
      </c>
      <c r="AR5515">
        <f>IF(R5515&gt;=AK5515-0.01,1,0)</f>
        <v/>
      </c>
      <c r="AS5515">
        <f>IF(S5515&gt;=AL5515-0.01,1,0)</f>
        <v/>
      </c>
      <c r="AT5515">
        <f>IF(T5515&gt;=AM5515-0.01,1,0)</f>
        <v/>
      </c>
      <c r="AU5515">
        <f>IF(U5515&gt;=AN5515-0.01,1,0)</f>
        <v/>
      </c>
      <c r="AV5515">
        <f>IF(V5515&gt;=AO5515-0.01,1,0)</f>
        <v/>
      </c>
      <c r="AW5515">
        <f>IF(W5515&gt;=AP5515-0.01,1,0)</f>
        <v/>
      </c>
      <c r="AX5515">
        <f>AQ5515*AR5515*AS5515*AT5515*AU5515*AV5515*AW5515</f>
        <v/>
      </c>
    </row>
    <row r="5516">
      <c r="A5516" t="inlineStr"/>
      <c r="B5516">
        <f>Assumptions!$B$60</f>
        <v/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  <c r="H5516" t="n">
        <v>0</v>
      </c>
      <c r="I5516" t="n">
        <v>0</v>
      </c>
      <c r="J5516">
        <f>(1-C5516)*Assumptions!$B$41+(1-D5516)*Assumptions!$B$33+(1-E5516)*Assumptions!$B$32+(1-F5516)*Assumptions!$B$31+(1-G5516)*Assumptions!$B$30+(1-H5516)*Assumptions!$B$29+(1-I5516)*Assumptions!$B$28</f>
        <v/>
      </c>
      <c r="K5516">
        <f>C5516*$J$457+D5516*$F$457+E5516*$G$457+F5516*Assumptions!$B$14+G5516*Assumptions!$B$13+H5516*Assumptions!$B$12+I5516*Assumptions!$B$11+$O$457+$S$457+Assumptions!$B$9</f>
        <v/>
      </c>
      <c r="L5516">
        <f>B5516-J5516</f>
        <v/>
      </c>
      <c r="M5516">
        <f>IF(K5516&gt;0,IF(L5516/K5516&gt;=Assumptions!$B$37,1,0),0)</f>
        <v/>
      </c>
      <c r="N5516">
        <f>K5516+M5516*Assumptions!$B$153</f>
        <v/>
      </c>
      <c r="O5516">
        <f>L5516+M5516*Assumptions!$B$153*Assumptions!$B$37</f>
        <v/>
      </c>
      <c r="P5516">
        <f>IF(N5516&gt;0,O5516/N5516,0)</f>
        <v/>
      </c>
      <c r="Q5516">
        <f>IF(C5516=1,P5516*$J$457,Assumptions!$B$41)</f>
        <v/>
      </c>
      <c r="R5516">
        <f>IF(D5516=1,P5516*$F$457,Assumptions!$B$33)</f>
        <v/>
      </c>
      <c r="S5516">
        <f>IF(E5516=1,P5516*$G$457,Assumptions!$B$32)</f>
        <v/>
      </c>
      <c r="T5516">
        <f>IF(F5516=1,P5516*Assumptions!$B$14,Assumptions!$B$31)</f>
        <v/>
      </c>
      <c r="U5516">
        <f>IF(G5516=1,P5516*Assumptions!$B$13,Assumptions!$B$30)</f>
        <v/>
      </c>
      <c r="V5516">
        <f>IF(H5516=1,P5516*Assumptions!$B$12,Assumptions!$B$29)</f>
        <v/>
      </c>
      <c r="W5516">
        <f>IF(I5516=1,P5516*Assumptions!$B$11,Assumptions!$B$28)</f>
        <v/>
      </c>
      <c r="X5516">
        <f>P5516*($O$457+$S$457)</f>
        <v/>
      </c>
      <c r="Y5516">
        <f>P5516*Assumptions!$B$9</f>
        <v/>
      </c>
      <c r="Z5516">
        <f>IF(M5516=1,(P5516-Assumptions!$B$37)*Assumptions!$B$153,0)</f>
        <v/>
      </c>
      <c r="AA5516">
        <f>Q5516+R5516+S5516+T5516+U5516+V5516+W5516+X5516+Y5516+Z5516</f>
        <v/>
      </c>
      <c r="AB5516" t="n">
        <v>4</v>
      </c>
      <c r="AC5516" t="n">
        <v>68</v>
      </c>
      <c r="AD5516" t="n">
        <v>36</v>
      </c>
      <c r="AE5516" t="n">
        <v>20</v>
      </c>
      <c r="AF5516" t="n">
        <v>12</v>
      </c>
      <c r="AG5516" t="n">
        <v>0</v>
      </c>
      <c r="AH5516" t="n">
        <v>6</v>
      </c>
      <c r="AI5516" t="n">
        <v>5</v>
      </c>
      <c r="AJ5516">
        <f>INDEX($Q$5512:$Q$5639,AC5516+1)</f>
        <v/>
      </c>
      <c r="AK5516">
        <f>INDEX($R$5512:$R$5639,AD5516+1)</f>
        <v/>
      </c>
      <c r="AL5516">
        <f>INDEX($S$5512:$S$5639,AE5516+1)</f>
        <v/>
      </c>
      <c r="AM5516">
        <f>INDEX($T$5512:$T$5639,AF5516+1)</f>
        <v/>
      </c>
      <c r="AN5516">
        <f>INDEX($U$5512:$U$5639,AG5516+1)</f>
        <v/>
      </c>
      <c r="AO5516">
        <f>INDEX($V$5512:$V$5639,AH5516+1)</f>
        <v/>
      </c>
      <c r="AP5516">
        <f>INDEX($W$5512:$W$5639,AI5516+1)</f>
        <v/>
      </c>
      <c r="AQ5516">
        <f>IF(Q5516&gt;=AJ5516-0.01,1,0)</f>
        <v/>
      </c>
      <c r="AR5516">
        <f>IF(R5516&gt;=AK5516-0.01,1,0)</f>
        <v/>
      </c>
      <c r="AS5516">
        <f>IF(S5516&gt;=AL5516-0.01,1,0)</f>
        <v/>
      </c>
      <c r="AT5516">
        <f>IF(T5516&gt;=AM5516-0.01,1,0)</f>
        <v/>
      </c>
      <c r="AU5516">
        <f>IF(U5516&gt;=AN5516-0.01,1,0)</f>
        <v/>
      </c>
      <c r="AV5516">
        <f>IF(V5516&gt;=AO5516-0.01,1,0)</f>
        <v/>
      </c>
      <c r="AW5516">
        <f>IF(W5516&gt;=AP5516-0.01,1,0)</f>
        <v/>
      </c>
      <c r="AX5516">
        <f>AQ5516*AR5516*AS5516*AT5516*AU5516*AV5516*AW5516</f>
        <v/>
      </c>
    </row>
    <row r="5517">
      <c r="A5517" t="inlineStr"/>
      <c r="B5517">
        <f>Assumptions!$B$60</f>
        <v/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  <c r="H5517" t="n">
        <v>0</v>
      </c>
      <c r="I5517" t="n">
        <v>1</v>
      </c>
      <c r="J5517">
        <f>(1-C5517)*Assumptions!$B$41+(1-D5517)*Assumptions!$B$33+(1-E5517)*Assumptions!$B$32+(1-F5517)*Assumptions!$B$31+(1-G5517)*Assumptions!$B$30+(1-H5517)*Assumptions!$B$29+(1-I5517)*Assumptions!$B$28</f>
        <v/>
      </c>
      <c r="K5517">
        <f>C5517*$J$457+D5517*$F$457+E5517*$G$457+F5517*Assumptions!$B$14+G5517*Assumptions!$B$13+H5517*Assumptions!$B$12+I5517*Assumptions!$B$11+$O$457+$S$457+Assumptions!$B$9</f>
        <v/>
      </c>
      <c r="L5517">
        <f>B5517-J5517</f>
        <v/>
      </c>
      <c r="M5517">
        <f>IF(K5517&gt;0,IF(L5517/K5517&gt;=Assumptions!$B$37,1,0),0)</f>
        <v/>
      </c>
      <c r="N5517">
        <f>K5517+M5517*Assumptions!$B$153</f>
        <v/>
      </c>
      <c r="O5517">
        <f>L5517+M5517*Assumptions!$B$153*Assumptions!$B$37</f>
        <v/>
      </c>
      <c r="P5517">
        <f>IF(N5517&gt;0,O5517/N5517,0)</f>
        <v/>
      </c>
      <c r="Q5517">
        <f>IF(C5517=1,P5517*$J$457,Assumptions!$B$41)</f>
        <v/>
      </c>
      <c r="R5517">
        <f>IF(D5517=1,P5517*$F$457,Assumptions!$B$33)</f>
        <v/>
      </c>
      <c r="S5517">
        <f>IF(E5517=1,P5517*$G$457,Assumptions!$B$32)</f>
        <v/>
      </c>
      <c r="T5517">
        <f>IF(F5517=1,P5517*Assumptions!$B$14,Assumptions!$B$31)</f>
        <v/>
      </c>
      <c r="U5517">
        <f>IF(G5517=1,P5517*Assumptions!$B$13,Assumptions!$B$30)</f>
        <v/>
      </c>
      <c r="V5517">
        <f>IF(H5517=1,P5517*Assumptions!$B$12,Assumptions!$B$29)</f>
        <v/>
      </c>
      <c r="W5517">
        <f>IF(I5517=1,P5517*Assumptions!$B$11,Assumptions!$B$28)</f>
        <v/>
      </c>
      <c r="X5517">
        <f>P5517*($O$457+$S$457)</f>
        <v/>
      </c>
      <c r="Y5517">
        <f>P5517*Assumptions!$B$9</f>
        <v/>
      </c>
      <c r="Z5517">
        <f>IF(M5517=1,(P5517-Assumptions!$B$37)*Assumptions!$B$153,0)</f>
        <v/>
      </c>
      <c r="AA5517">
        <f>Q5517+R5517+S5517+T5517+U5517+V5517+W5517+X5517+Y5517+Z5517</f>
        <v/>
      </c>
      <c r="AB5517" t="n">
        <v>5</v>
      </c>
      <c r="AC5517" t="n">
        <v>69</v>
      </c>
      <c r="AD5517" t="n">
        <v>37</v>
      </c>
      <c r="AE5517" t="n">
        <v>21</v>
      </c>
      <c r="AF5517" t="n">
        <v>13</v>
      </c>
      <c r="AG5517" t="n">
        <v>1</v>
      </c>
      <c r="AH5517" t="n">
        <v>7</v>
      </c>
      <c r="AI5517" t="n">
        <v>4</v>
      </c>
      <c r="AJ5517">
        <f>INDEX($Q$5512:$Q$5639,AC5517+1)</f>
        <v/>
      </c>
      <c r="AK5517">
        <f>INDEX($R$5512:$R$5639,AD5517+1)</f>
        <v/>
      </c>
      <c r="AL5517">
        <f>INDEX($S$5512:$S$5639,AE5517+1)</f>
        <v/>
      </c>
      <c r="AM5517">
        <f>INDEX($T$5512:$T$5639,AF5517+1)</f>
        <v/>
      </c>
      <c r="AN5517">
        <f>INDEX($U$5512:$U$5639,AG5517+1)</f>
        <v/>
      </c>
      <c r="AO5517">
        <f>INDEX($V$5512:$V$5639,AH5517+1)</f>
        <v/>
      </c>
      <c r="AP5517">
        <f>INDEX($W$5512:$W$5639,AI5517+1)</f>
        <v/>
      </c>
      <c r="AQ5517">
        <f>IF(Q5517&gt;=AJ5517-0.01,1,0)</f>
        <v/>
      </c>
      <c r="AR5517">
        <f>IF(R5517&gt;=AK5517-0.01,1,0)</f>
        <v/>
      </c>
      <c r="AS5517">
        <f>IF(S5517&gt;=AL5517-0.01,1,0)</f>
        <v/>
      </c>
      <c r="AT5517">
        <f>IF(T5517&gt;=AM5517-0.01,1,0)</f>
        <v/>
      </c>
      <c r="AU5517">
        <f>IF(U5517&gt;=AN5517-0.01,1,0)</f>
        <v/>
      </c>
      <c r="AV5517">
        <f>IF(V5517&gt;=AO5517-0.01,1,0)</f>
        <v/>
      </c>
      <c r="AW5517">
        <f>IF(W5517&gt;=AP5517-0.01,1,0)</f>
        <v/>
      </c>
      <c r="AX5517">
        <f>AQ5517*AR5517*AS5517*AT5517*AU5517*AV5517*AW5517</f>
        <v/>
      </c>
    </row>
    <row r="5518">
      <c r="A5518" t="inlineStr"/>
      <c r="B5518">
        <f>Assumptions!$B$60</f>
        <v/>
      </c>
      <c r="C5518" t="n">
        <v>0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  <c r="I5518" t="n">
        <v>0</v>
      </c>
      <c r="J5518">
        <f>(1-C5518)*Assumptions!$B$41+(1-D5518)*Assumptions!$B$33+(1-E5518)*Assumptions!$B$32+(1-F5518)*Assumptions!$B$31+(1-G5518)*Assumptions!$B$30+(1-H5518)*Assumptions!$B$29+(1-I5518)*Assumptions!$B$28</f>
        <v/>
      </c>
      <c r="K5518">
        <f>C5518*$J$457+D5518*$F$457+E5518*$G$457+F5518*Assumptions!$B$14+G5518*Assumptions!$B$13+H5518*Assumptions!$B$12+I5518*Assumptions!$B$11+$O$457+$S$457+Assumptions!$B$9</f>
        <v/>
      </c>
      <c r="L5518">
        <f>B5518-J5518</f>
        <v/>
      </c>
      <c r="M5518">
        <f>IF(K5518&gt;0,IF(L5518/K5518&gt;=Assumptions!$B$37,1,0),0)</f>
        <v/>
      </c>
      <c r="N5518">
        <f>K5518+M5518*Assumptions!$B$153</f>
        <v/>
      </c>
      <c r="O5518">
        <f>L5518+M5518*Assumptions!$B$153*Assumptions!$B$37</f>
        <v/>
      </c>
      <c r="P5518">
        <f>IF(N5518&gt;0,O5518/N5518,0)</f>
        <v/>
      </c>
      <c r="Q5518">
        <f>IF(C5518=1,P5518*$J$457,Assumptions!$B$41)</f>
        <v/>
      </c>
      <c r="R5518">
        <f>IF(D5518=1,P5518*$F$457,Assumptions!$B$33)</f>
        <v/>
      </c>
      <c r="S5518">
        <f>IF(E5518=1,P5518*$G$457,Assumptions!$B$32)</f>
        <v/>
      </c>
      <c r="T5518">
        <f>IF(F5518=1,P5518*Assumptions!$B$14,Assumptions!$B$31)</f>
        <v/>
      </c>
      <c r="U5518">
        <f>IF(G5518=1,P5518*Assumptions!$B$13,Assumptions!$B$30)</f>
        <v/>
      </c>
      <c r="V5518">
        <f>IF(H5518=1,P5518*Assumptions!$B$12,Assumptions!$B$29)</f>
        <v/>
      </c>
      <c r="W5518">
        <f>IF(I5518=1,P5518*Assumptions!$B$11,Assumptions!$B$28)</f>
        <v/>
      </c>
      <c r="X5518">
        <f>P5518*($O$457+$S$457)</f>
        <v/>
      </c>
      <c r="Y5518">
        <f>P5518*Assumptions!$B$9</f>
        <v/>
      </c>
      <c r="Z5518">
        <f>IF(M5518=1,(P5518-Assumptions!$B$37)*Assumptions!$B$153,0)</f>
        <v/>
      </c>
      <c r="AA5518">
        <f>Q5518+R5518+S5518+T5518+U5518+V5518+W5518+X5518+Y5518+Z5518</f>
        <v/>
      </c>
      <c r="AB5518" t="n">
        <v>6</v>
      </c>
      <c r="AC5518" t="n">
        <v>70</v>
      </c>
      <c r="AD5518" t="n">
        <v>38</v>
      </c>
      <c r="AE5518" t="n">
        <v>22</v>
      </c>
      <c r="AF5518" t="n">
        <v>14</v>
      </c>
      <c r="AG5518" t="n">
        <v>2</v>
      </c>
      <c r="AH5518" t="n">
        <v>4</v>
      </c>
      <c r="AI5518" t="n">
        <v>7</v>
      </c>
      <c r="AJ5518">
        <f>INDEX($Q$5512:$Q$5639,AC5518+1)</f>
        <v/>
      </c>
      <c r="AK5518">
        <f>INDEX($R$5512:$R$5639,AD5518+1)</f>
        <v/>
      </c>
      <c r="AL5518">
        <f>INDEX($S$5512:$S$5639,AE5518+1)</f>
        <v/>
      </c>
      <c r="AM5518">
        <f>INDEX($T$5512:$T$5639,AF5518+1)</f>
        <v/>
      </c>
      <c r="AN5518">
        <f>INDEX($U$5512:$U$5639,AG5518+1)</f>
        <v/>
      </c>
      <c r="AO5518">
        <f>INDEX($V$5512:$V$5639,AH5518+1)</f>
        <v/>
      </c>
      <c r="AP5518">
        <f>INDEX($W$5512:$W$5639,AI5518+1)</f>
        <v/>
      </c>
      <c r="AQ5518">
        <f>IF(Q5518&gt;=AJ5518-0.01,1,0)</f>
        <v/>
      </c>
      <c r="AR5518">
        <f>IF(R5518&gt;=AK5518-0.01,1,0)</f>
        <v/>
      </c>
      <c r="AS5518">
        <f>IF(S5518&gt;=AL5518-0.01,1,0)</f>
        <v/>
      </c>
      <c r="AT5518">
        <f>IF(T5518&gt;=AM5518-0.01,1,0)</f>
        <v/>
      </c>
      <c r="AU5518">
        <f>IF(U5518&gt;=AN5518-0.01,1,0)</f>
        <v/>
      </c>
      <c r="AV5518">
        <f>IF(V5518&gt;=AO5518-0.01,1,0)</f>
        <v/>
      </c>
      <c r="AW5518">
        <f>IF(W5518&gt;=AP5518-0.01,1,0)</f>
        <v/>
      </c>
      <c r="AX5518">
        <f>AQ5518*AR5518*AS5518*AT5518*AU5518*AV5518*AW5518</f>
        <v/>
      </c>
    </row>
    <row r="5519">
      <c r="A5519" t="inlineStr"/>
      <c r="B5519">
        <f>Assumptions!$B$60</f>
        <v/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  <c r="I5519" t="n">
        <v>1</v>
      </c>
      <c r="J5519">
        <f>(1-C5519)*Assumptions!$B$41+(1-D5519)*Assumptions!$B$33+(1-E5519)*Assumptions!$B$32+(1-F5519)*Assumptions!$B$31+(1-G5519)*Assumptions!$B$30+(1-H5519)*Assumptions!$B$29+(1-I5519)*Assumptions!$B$28</f>
        <v/>
      </c>
      <c r="K5519">
        <f>C5519*$J$457+D5519*$F$457+E5519*$G$457+F5519*Assumptions!$B$14+G5519*Assumptions!$B$13+H5519*Assumptions!$B$12+I5519*Assumptions!$B$11+$O$457+$S$457+Assumptions!$B$9</f>
        <v/>
      </c>
      <c r="L5519">
        <f>B5519-J5519</f>
        <v/>
      </c>
      <c r="M5519">
        <f>IF(K5519&gt;0,IF(L5519/K5519&gt;=Assumptions!$B$37,1,0),0)</f>
        <v/>
      </c>
      <c r="N5519">
        <f>K5519+M5519*Assumptions!$B$153</f>
        <v/>
      </c>
      <c r="O5519">
        <f>L5519+M5519*Assumptions!$B$153*Assumptions!$B$37</f>
        <v/>
      </c>
      <c r="P5519">
        <f>IF(N5519&gt;0,O5519/N5519,0)</f>
        <v/>
      </c>
      <c r="Q5519">
        <f>IF(C5519=1,P5519*$J$457,Assumptions!$B$41)</f>
        <v/>
      </c>
      <c r="R5519">
        <f>IF(D5519=1,P5519*$F$457,Assumptions!$B$33)</f>
        <v/>
      </c>
      <c r="S5519">
        <f>IF(E5519=1,P5519*$G$457,Assumptions!$B$32)</f>
        <v/>
      </c>
      <c r="T5519">
        <f>IF(F5519=1,P5519*Assumptions!$B$14,Assumptions!$B$31)</f>
        <v/>
      </c>
      <c r="U5519">
        <f>IF(G5519=1,P5519*Assumptions!$B$13,Assumptions!$B$30)</f>
        <v/>
      </c>
      <c r="V5519">
        <f>IF(H5519=1,P5519*Assumptions!$B$12,Assumptions!$B$29)</f>
        <v/>
      </c>
      <c r="W5519">
        <f>IF(I5519=1,P5519*Assumptions!$B$11,Assumptions!$B$28)</f>
        <v/>
      </c>
      <c r="X5519">
        <f>P5519*($O$457+$S$457)</f>
        <v/>
      </c>
      <c r="Y5519">
        <f>P5519*Assumptions!$B$9</f>
        <v/>
      </c>
      <c r="Z5519">
        <f>IF(M5519=1,(P5519-Assumptions!$B$37)*Assumptions!$B$153,0)</f>
        <v/>
      </c>
      <c r="AA5519">
        <f>Q5519+R5519+S5519+T5519+U5519+V5519+W5519+X5519+Y5519+Z5519</f>
        <v/>
      </c>
      <c r="AB5519" t="n">
        <v>7</v>
      </c>
      <c r="AC5519" t="n">
        <v>71</v>
      </c>
      <c r="AD5519" t="n">
        <v>39</v>
      </c>
      <c r="AE5519" t="n">
        <v>23</v>
      </c>
      <c r="AF5519" t="n">
        <v>15</v>
      </c>
      <c r="AG5519" t="n">
        <v>3</v>
      </c>
      <c r="AH5519" t="n">
        <v>5</v>
      </c>
      <c r="AI5519" t="n">
        <v>6</v>
      </c>
      <c r="AJ5519">
        <f>INDEX($Q$5512:$Q$5639,AC5519+1)</f>
        <v/>
      </c>
      <c r="AK5519">
        <f>INDEX($R$5512:$R$5639,AD5519+1)</f>
        <v/>
      </c>
      <c r="AL5519">
        <f>INDEX($S$5512:$S$5639,AE5519+1)</f>
        <v/>
      </c>
      <c r="AM5519">
        <f>INDEX($T$5512:$T$5639,AF5519+1)</f>
        <v/>
      </c>
      <c r="AN5519">
        <f>INDEX($U$5512:$U$5639,AG5519+1)</f>
        <v/>
      </c>
      <c r="AO5519">
        <f>INDEX($V$5512:$V$5639,AH5519+1)</f>
        <v/>
      </c>
      <c r="AP5519">
        <f>INDEX($W$5512:$W$5639,AI5519+1)</f>
        <v/>
      </c>
      <c r="AQ5519">
        <f>IF(Q5519&gt;=AJ5519-0.01,1,0)</f>
        <v/>
      </c>
      <c r="AR5519">
        <f>IF(R5519&gt;=AK5519-0.01,1,0)</f>
        <v/>
      </c>
      <c r="AS5519">
        <f>IF(S5519&gt;=AL5519-0.01,1,0)</f>
        <v/>
      </c>
      <c r="AT5519">
        <f>IF(T5519&gt;=AM5519-0.01,1,0)</f>
        <v/>
      </c>
      <c r="AU5519">
        <f>IF(U5519&gt;=AN5519-0.01,1,0)</f>
        <v/>
      </c>
      <c r="AV5519">
        <f>IF(V5519&gt;=AO5519-0.01,1,0)</f>
        <v/>
      </c>
      <c r="AW5519">
        <f>IF(W5519&gt;=AP5519-0.01,1,0)</f>
        <v/>
      </c>
      <c r="AX5519">
        <f>AQ5519*AR5519*AS5519*AT5519*AU5519*AV5519*AW5519</f>
        <v/>
      </c>
    </row>
    <row r="5520">
      <c r="A5520" t="inlineStr"/>
      <c r="B5520">
        <f>Assumptions!$B$60</f>
        <v/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>
        <f>(1-C5520)*Assumptions!$B$41+(1-D5520)*Assumptions!$B$33+(1-E5520)*Assumptions!$B$32+(1-F5520)*Assumptions!$B$31+(1-G5520)*Assumptions!$B$30+(1-H5520)*Assumptions!$B$29+(1-I5520)*Assumptions!$B$28</f>
        <v/>
      </c>
      <c r="K5520">
        <f>C5520*$J$457+D5520*$F$457+E5520*$G$457+F5520*Assumptions!$B$14+G5520*Assumptions!$B$13+H5520*Assumptions!$B$12+I5520*Assumptions!$B$11+$O$457+$S$457+Assumptions!$B$9</f>
        <v/>
      </c>
      <c r="L5520">
        <f>B5520-J5520</f>
        <v/>
      </c>
      <c r="M5520">
        <f>IF(K5520&gt;0,IF(L5520/K5520&gt;=Assumptions!$B$37,1,0),0)</f>
        <v/>
      </c>
      <c r="N5520">
        <f>K5520+M5520*Assumptions!$B$153</f>
        <v/>
      </c>
      <c r="O5520">
        <f>L5520+M5520*Assumptions!$B$153*Assumptions!$B$37</f>
        <v/>
      </c>
      <c r="P5520">
        <f>IF(N5520&gt;0,O5520/N5520,0)</f>
        <v/>
      </c>
      <c r="Q5520">
        <f>IF(C5520=1,P5520*$J$457,Assumptions!$B$41)</f>
        <v/>
      </c>
      <c r="R5520">
        <f>IF(D5520=1,P5520*$F$457,Assumptions!$B$33)</f>
        <v/>
      </c>
      <c r="S5520">
        <f>IF(E5520=1,P5520*$G$457,Assumptions!$B$32)</f>
        <v/>
      </c>
      <c r="T5520">
        <f>IF(F5520=1,P5520*Assumptions!$B$14,Assumptions!$B$31)</f>
        <v/>
      </c>
      <c r="U5520">
        <f>IF(G5520=1,P5520*Assumptions!$B$13,Assumptions!$B$30)</f>
        <v/>
      </c>
      <c r="V5520">
        <f>IF(H5520=1,P5520*Assumptions!$B$12,Assumptions!$B$29)</f>
        <v/>
      </c>
      <c r="W5520">
        <f>IF(I5520=1,P5520*Assumptions!$B$11,Assumptions!$B$28)</f>
        <v/>
      </c>
      <c r="X5520">
        <f>P5520*($O$457+$S$457)</f>
        <v/>
      </c>
      <c r="Y5520">
        <f>P5520*Assumptions!$B$9</f>
        <v/>
      </c>
      <c r="Z5520">
        <f>IF(M5520=1,(P5520-Assumptions!$B$37)*Assumptions!$B$153,0)</f>
        <v/>
      </c>
      <c r="AA5520">
        <f>Q5520+R5520+S5520+T5520+U5520+V5520+W5520+X5520+Y5520+Z5520</f>
        <v/>
      </c>
      <c r="AB5520" t="n">
        <v>8</v>
      </c>
      <c r="AC5520" t="n">
        <v>72</v>
      </c>
      <c r="AD5520" t="n">
        <v>40</v>
      </c>
      <c r="AE5520" t="n">
        <v>24</v>
      </c>
      <c r="AF5520" t="n">
        <v>0</v>
      </c>
      <c r="AG5520" t="n">
        <v>12</v>
      </c>
      <c r="AH5520" t="n">
        <v>10</v>
      </c>
      <c r="AI5520" t="n">
        <v>9</v>
      </c>
      <c r="AJ5520">
        <f>INDEX($Q$5512:$Q$5639,AC5520+1)</f>
        <v/>
      </c>
      <c r="AK5520">
        <f>INDEX($R$5512:$R$5639,AD5520+1)</f>
        <v/>
      </c>
      <c r="AL5520">
        <f>INDEX($S$5512:$S$5639,AE5520+1)</f>
        <v/>
      </c>
      <c r="AM5520">
        <f>INDEX($T$5512:$T$5639,AF5520+1)</f>
        <v/>
      </c>
      <c r="AN5520">
        <f>INDEX($U$5512:$U$5639,AG5520+1)</f>
        <v/>
      </c>
      <c r="AO5520">
        <f>INDEX($V$5512:$V$5639,AH5520+1)</f>
        <v/>
      </c>
      <c r="AP5520">
        <f>INDEX($W$5512:$W$5639,AI5520+1)</f>
        <v/>
      </c>
      <c r="AQ5520">
        <f>IF(Q5520&gt;=AJ5520-0.01,1,0)</f>
        <v/>
      </c>
      <c r="AR5520">
        <f>IF(R5520&gt;=AK5520-0.01,1,0)</f>
        <v/>
      </c>
      <c r="AS5520">
        <f>IF(S5520&gt;=AL5520-0.01,1,0)</f>
        <v/>
      </c>
      <c r="AT5520">
        <f>IF(T5520&gt;=AM5520-0.01,1,0)</f>
        <v/>
      </c>
      <c r="AU5520">
        <f>IF(U5520&gt;=AN5520-0.01,1,0)</f>
        <v/>
      </c>
      <c r="AV5520">
        <f>IF(V5520&gt;=AO5520-0.01,1,0)</f>
        <v/>
      </c>
      <c r="AW5520">
        <f>IF(W5520&gt;=AP5520-0.01,1,0)</f>
        <v/>
      </c>
      <c r="AX5520">
        <f>AQ5520*AR5520*AS5520*AT5520*AU5520*AV5520*AW5520</f>
        <v/>
      </c>
    </row>
    <row r="5521">
      <c r="A5521" t="inlineStr"/>
      <c r="B5521">
        <f>Assumptions!$B$60</f>
        <v/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>
        <f>(1-C5521)*Assumptions!$B$41+(1-D5521)*Assumptions!$B$33+(1-E5521)*Assumptions!$B$32+(1-F5521)*Assumptions!$B$31+(1-G5521)*Assumptions!$B$30+(1-H5521)*Assumptions!$B$29+(1-I5521)*Assumptions!$B$28</f>
        <v/>
      </c>
      <c r="K5521">
        <f>C5521*$J$457+D5521*$F$457+E5521*$G$457+F5521*Assumptions!$B$14+G5521*Assumptions!$B$13+H5521*Assumptions!$B$12+I5521*Assumptions!$B$11+$O$457+$S$457+Assumptions!$B$9</f>
        <v/>
      </c>
      <c r="L5521">
        <f>B5521-J5521</f>
        <v/>
      </c>
      <c r="M5521">
        <f>IF(K5521&gt;0,IF(L5521/K5521&gt;=Assumptions!$B$37,1,0),0)</f>
        <v/>
      </c>
      <c r="N5521">
        <f>K5521+M5521*Assumptions!$B$153</f>
        <v/>
      </c>
      <c r="O5521">
        <f>L5521+M5521*Assumptions!$B$153*Assumptions!$B$37</f>
        <v/>
      </c>
      <c r="P5521">
        <f>IF(N5521&gt;0,O5521/N5521,0)</f>
        <v/>
      </c>
      <c r="Q5521">
        <f>IF(C5521=1,P5521*$J$457,Assumptions!$B$41)</f>
        <v/>
      </c>
      <c r="R5521">
        <f>IF(D5521=1,P5521*$F$457,Assumptions!$B$33)</f>
        <v/>
      </c>
      <c r="S5521">
        <f>IF(E5521=1,P5521*$G$457,Assumptions!$B$32)</f>
        <v/>
      </c>
      <c r="T5521">
        <f>IF(F5521=1,P5521*Assumptions!$B$14,Assumptions!$B$31)</f>
        <v/>
      </c>
      <c r="U5521">
        <f>IF(G5521=1,P5521*Assumptions!$B$13,Assumptions!$B$30)</f>
        <v/>
      </c>
      <c r="V5521">
        <f>IF(H5521=1,P5521*Assumptions!$B$12,Assumptions!$B$29)</f>
        <v/>
      </c>
      <c r="W5521">
        <f>IF(I5521=1,P5521*Assumptions!$B$11,Assumptions!$B$28)</f>
        <v/>
      </c>
      <c r="X5521">
        <f>P5521*($O$457+$S$457)</f>
        <v/>
      </c>
      <c r="Y5521">
        <f>P5521*Assumptions!$B$9</f>
        <v/>
      </c>
      <c r="Z5521">
        <f>IF(M5521=1,(P5521-Assumptions!$B$37)*Assumptions!$B$153,0)</f>
        <v/>
      </c>
      <c r="AA5521">
        <f>Q5521+R5521+S5521+T5521+U5521+V5521+W5521+X5521+Y5521+Z5521</f>
        <v/>
      </c>
      <c r="AB5521" t="n">
        <v>9</v>
      </c>
      <c r="AC5521" t="n">
        <v>73</v>
      </c>
      <c r="AD5521" t="n">
        <v>41</v>
      </c>
      <c r="AE5521" t="n">
        <v>25</v>
      </c>
      <c r="AF5521" t="n">
        <v>1</v>
      </c>
      <c r="AG5521" t="n">
        <v>13</v>
      </c>
      <c r="AH5521" t="n">
        <v>11</v>
      </c>
      <c r="AI5521" t="n">
        <v>8</v>
      </c>
      <c r="AJ5521">
        <f>INDEX($Q$5512:$Q$5639,AC5521+1)</f>
        <v/>
      </c>
      <c r="AK5521">
        <f>INDEX($R$5512:$R$5639,AD5521+1)</f>
        <v/>
      </c>
      <c r="AL5521">
        <f>INDEX($S$5512:$S$5639,AE5521+1)</f>
        <v/>
      </c>
      <c r="AM5521">
        <f>INDEX($T$5512:$T$5639,AF5521+1)</f>
        <v/>
      </c>
      <c r="AN5521">
        <f>INDEX($U$5512:$U$5639,AG5521+1)</f>
        <v/>
      </c>
      <c r="AO5521">
        <f>INDEX($V$5512:$V$5639,AH5521+1)</f>
        <v/>
      </c>
      <c r="AP5521">
        <f>INDEX($W$5512:$W$5639,AI5521+1)</f>
        <v/>
      </c>
      <c r="AQ5521">
        <f>IF(Q5521&gt;=AJ5521-0.01,1,0)</f>
        <v/>
      </c>
      <c r="AR5521">
        <f>IF(R5521&gt;=AK5521-0.01,1,0)</f>
        <v/>
      </c>
      <c r="AS5521">
        <f>IF(S5521&gt;=AL5521-0.01,1,0)</f>
        <v/>
      </c>
      <c r="AT5521">
        <f>IF(T5521&gt;=AM5521-0.01,1,0)</f>
        <v/>
      </c>
      <c r="AU5521">
        <f>IF(U5521&gt;=AN5521-0.01,1,0)</f>
        <v/>
      </c>
      <c r="AV5521">
        <f>IF(V5521&gt;=AO5521-0.01,1,0)</f>
        <v/>
      </c>
      <c r="AW5521">
        <f>IF(W5521&gt;=AP5521-0.01,1,0)</f>
        <v/>
      </c>
      <c r="AX5521">
        <f>AQ5521*AR5521*AS5521*AT5521*AU5521*AV5521*AW5521</f>
        <v/>
      </c>
    </row>
    <row r="5522">
      <c r="A5522" t="inlineStr"/>
      <c r="B5522">
        <f>Assumptions!$B$60</f>
        <v/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0</v>
      </c>
      <c r="J5522">
        <f>(1-C5522)*Assumptions!$B$41+(1-D5522)*Assumptions!$B$33+(1-E5522)*Assumptions!$B$32+(1-F5522)*Assumptions!$B$31+(1-G5522)*Assumptions!$B$30+(1-H5522)*Assumptions!$B$29+(1-I5522)*Assumptions!$B$28</f>
        <v/>
      </c>
      <c r="K5522">
        <f>C5522*$J$457+D5522*$F$457+E5522*$G$457+F5522*Assumptions!$B$14+G5522*Assumptions!$B$13+H5522*Assumptions!$B$12+I5522*Assumptions!$B$11+$O$457+$S$457+Assumptions!$B$9</f>
        <v/>
      </c>
      <c r="L5522">
        <f>B5522-J5522</f>
        <v/>
      </c>
      <c r="M5522">
        <f>IF(K5522&gt;0,IF(L5522/K5522&gt;=Assumptions!$B$37,1,0),0)</f>
        <v/>
      </c>
      <c r="N5522">
        <f>K5522+M5522*Assumptions!$B$153</f>
        <v/>
      </c>
      <c r="O5522">
        <f>L5522+M5522*Assumptions!$B$153*Assumptions!$B$37</f>
        <v/>
      </c>
      <c r="P5522">
        <f>IF(N5522&gt;0,O5522/N5522,0)</f>
        <v/>
      </c>
      <c r="Q5522">
        <f>IF(C5522=1,P5522*$J$457,Assumptions!$B$41)</f>
        <v/>
      </c>
      <c r="R5522">
        <f>IF(D5522=1,P5522*$F$457,Assumptions!$B$33)</f>
        <v/>
      </c>
      <c r="S5522">
        <f>IF(E5522=1,P5522*$G$457,Assumptions!$B$32)</f>
        <v/>
      </c>
      <c r="T5522">
        <f>IF(F5522=1,P5522*Assumptions!$B$14,Assumptions!$B$31)</f>
        <v/>
      </c>
      <c r="U5522">
        <f>IF(G5522=1,P5522*Assumptions!$B$13,Assumptions!$B$30)</f>
        <v/>
      </c>
      <c r="V5522">
        <f>IF(H5522=1,P5522*Assumptions!$B$12,Assumptions!$B$29)</f>
        <v/>
      </c>
      <c r="W5522">
        <f>IF(I5522=1,P5522*Assumptions!$B$11,Assumptions!$B$28)</f>
        <v/>
      </c>
      <c r="X5522">
        <f>P5522*($O$457+$S$457)</f>
        <v/>
      </c>
      <c r="Y5522">
        <f>P5522*Assumptions!$B$9</f>
        <v/>
      </c>
      <c r="Z5522">
        <f>IF(M5522=1,(P5522-Assumptions!$B$37)*Assumptions!$B$153,0)</f>
        <v/>
      </c>
      <c r="AA5522">
        <f>Q5522+R5522+S5522+T5522+U5522+V5522+W5522+X5522+Y5522+Z5522</f>
        <v/>
      </c>
      <c r="AB5522" t="n">
        <v>10</v>
      </c>
      <c r="AC5522" t="n">
        <v>74</v>
      </c>
      <c r="AD5522" t="n">
        <v>42</v>
      </c>
      <c r="AE5522" t="n">
        <v>26</v>
      </c>
      <c r="AF5522" t="n">
        <v>2</v>
      </c>
      <c r="AG5522" t="n">
        <v>14</v>
      </c>
      <c r="AH5522" t="n">
        <v>8</v>
      </c>
      <c r="AI5522" t="n">
        <v>11</v>
      </c>
      <c r="AJ5522">
        <f>INDEX($Q$5512:$Q$5639,AC5522+1)</f>
        <v/>
      </c>
      <c r="AK5522">
        <f>INDEX($R$5512:$R$5639,AD5522+1)</f>
        <v/>
      </c>
      <c r="AL5522">
        <f>INDEX($S$5512:$S$5639,AE5522+1)</f>
        <v/>
      </c>
      <c r="AM5522">
        <f>INDEX($T$5512:$T$5639,AF5522+1)</f>
        <v/>
      </c>
      <c r="AN5522">
        <f>INDEX($U$5512:$U$5639,AG5522+1)</f>
        <v/>
      </c>
      <c r="AO5522">
        <f>INDEX($V$5512:$V$5639,AH5522+1)</f>
        <v/>
      </c>
      <c r="AP5522">
        <f>INDEX($W$5512:$W$5639,AI5522+1)</f>
        <v/>
      </c>
      <c r="AQ5522">
        <f>IF(Q5522&gt;=AJ5522-0.01,1,0)</f>
        <v/>
      </c>
      <c r="AR5522">
        <f>IF(R5522&gt;=AK5522-0.01,1,0)</f>
        <v/>
      </c>
      <c r="AS5522">
        <f>IF(S5522&gt;=AL5522-0.01,1,0)</f>
        <v/>
      </c>
      <c r="AT5522">
        <f>IF(T5522&gt;=AM5522-0.01,1,0)</f>
        <v/>
      </c>
      <c r="AU5522">
        <f>IF(U5522&gt;=AN5522-0.01,1,0)</f>
        <v/>
      </c>
      <c r="AV5522">
        <f>IF(V5522&gt;=AO5522-0.01,1,0)</f>
        <v/>
      </c>
      <c r="AW5522">
        <f>IF(W5522&gt;=AP5522-0.01,1,0)</f>
        <v/>
      </c>
      <c r="AX5522">
        <f>AQ5522*AR5522*AS5522*AT5522*AU5522*AV5522*AW5522</f>
        <v/>
      </c>
    </row>
    <row r="5523">
      <c r="A5523" t="inlineStr"/>
      <c r="B5523">
        <f>Assumptions!$B$60</f>
        <v/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1</v>
      </c>
      <c r="J5523">
        <f>(1-C5523)*Assumptions!$B$41+(1-D5523)*Assumptions!$B$33+(1-E5523)*Assumptions!$B$32+(1-F5523)*Assumptions!$B$31+(1-G5523)*Assumptions!$B$30+(1-H5523)*Assumptions!$B$29+(1-I5523)*Assumptions!$B$28</f>
        <v/>
      </c>
      <c r="K5523">
        <f>C5523*$J$457+D5523*$F$457+E5523*$G$457+F5523*Assumptions!$B$14+G5523*Assumptions!$B$13+H5523*Assumptions!$B$12+I5523*Assumptions!$B$11+$O$457+$S$457+Assumptions!$B$9</f>
        <v/>
      </c>
      <c r="L5523">
        <f>B5523-J5523</f>
        <v/>
      </c>
      <c r="M5523">
        <f>IF(K5523&gt;0,IF(L5523/K5523&gt;=Assumptions!$B$37,1,0),0)</f>
        <v/>
      </c>
      <c r="N5523">
        <f>K5523+M5523*Assumptions!$B$153</f>
        <v/>
      </c>
      <c r="O5523">
        <f>L5523+M5523*Assumptions!$B$153*Assumptions!$B$37</f>
        <v/>
      </c>
      <c r="P5523">
        <f>IF(N5523&gt;0,O5523/N5523,0)</f>
        <v/>
      </c>
      <c r="Q5523">
        <f>IF(C5523=1,P5523*$J$457,Assumptions!$B$41)</f>
        <v/>
      </c>
      <c r="R5523">
        <f>IF(D5523=1,P5523*$F$457,Assumptions!$B$33)</f>
        <v/>
      </c>
      <c r="S5523">
        <f>IF(E5523=1,P5523*$G$457,Assumptions!$B$32)</f>
        <v/>
      </c>
      <c r="T5523">
        <f>IF(F5523=1,P5523*Assumptions!$B$14,Assumptions!$B$31)</f>
        <v/>
      </c>
      <c r="U5523">
        <f>IF(G5523=1,P5523*Assumptions!$B$13,Assumptions!$B$30)</f>
        <v/>
      </c>
      <c r="V5523">
        <f>IF(H5523=1,P5523*Assumptions!$B$12,Assumptions!$B$29)</f>
        <v/>
      </c>
      <c r="W5523">
        <f>IF(I5523=1,P5523*Assumptions!$B$11,Assumptions!$B$28)</f>
        <v/>
      </c>
      <c r="X5523">
        <f>P5523*($O$457+$S$457)</f>
        <v/>
      </c>
      <c r="Y5523">
        <f>P5523*Assumptions!$B$9</f>
        <v/>
      </c>
      <c r="Z5523">
        <f>IF(M5523=1,(P5523-Assumptions!$B$37)*Assumptions!$B$153,0)</f>
        <v/>
      </c>
      <c r="AA5523">
        <f>Q5523+R5523+S5523+T5523+U5523+V5523+W5523+X5523+Y5523+Z5523</f>
        <v/>
      </c>
      <c r="AB5523" t="n">
        <v>11</v>
      </c>
      <c r="AC5523" t="n">
        <v>75</v>
      </c>
      <c r="AD5523" t="n">
        <v>43</v>
      </c>
      <c r="AE5523" t="n">
        <v>27</v>
      </c>
      <c r="AF5523" t="n">
        <v>3</v>
      </c>
      <c r="AG5523" t="n">
        <v>15</v>
      </c>
      <c r="AH5523" t="n">
        <v>9</v>
      </c>
      <c r="AI5523" t="n">
        <v>10</v>
      </c>
      <c r="AJ5523">
        <f>INDEX($Q$5512:$Q$5639,AC5523+1)</f>
        <v/>
      </c>
      <c r="AK5523">
        <f>INDEX($R$5512:$R$5639,AD5523+1)</f>
        <v/>
      </c>
      <c r="AL5523">
        <f>INDEX($S$5512:$S$5639,AE5523+1)</f>
        <v/>
      </c>
      <c r="AM5523">
        <f>INDEX($T$5512:$T$5639,AF5523+1)</f>
        <v/>
      </c>
      <c r="AN5523">
        <f>INDEX($U$5512:$U$5639,AG5523+1)</f>
        <v/>
      </c>
      <c r="AO5523">
        <f>INDEX($V$5512:$V$5639,AH5523+1)</f>
        <v/>
      </c>
      <c r="AP5523">
        <f>INDEX($W$5512:$W$5639,AI5523+1)</f>
        <v/>
      </c>
      <c r="AQ5523">
        <f>IF(Q5523&gt;=AJ5523-0.01,1,0)</f>
        <v/>
      </c>
      <c r="AR5523">
        <f>IF(R5523&gt;=AK5523-0.01,1,0)</f>
        <v/>
      </c>
      <c r="AS5523">
        <f>IF(S5523&gt;=AL5523-0.01,1,0)</f>
        <v/>
      </c>
      <c r="AT5523">
        <f>IF(T5523&gt;=AM5523-0.01,1,0)</f>
        <v/>
      </c>
      <c r="AU5523">
        <f>IF(U5523&gt;=AN5523-0.01,1,0)</f>
        <v/>
      </c>
      <c r="AV5523">
        <f>IF(V5523&gt;=AO5523-0.01,1,0)</f>
        <v/>
      </c>
      <c r="AW5523">
        <f>IF(W5523&gt;=AP5523-0.01,1,0)</f>
        <v/>
      </c>
      <c r="AX5523">
        <f>AQ5523*AR5523*AS5523*AT5523*AU5523*AV5523*AW5523</f>
        <v/>
      </c>
    </row>
    <row r="5524">
      <c r="A5524" t="inlineStr"/>
      <c r="B5524">
        <f>Assumptions!$B$60</f>
        <v/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0</v>
      </c>
      <c r="J5524">
        <f>(1-C5524)*Assumptions!$B$41+(1-D5524)*Assumptions!$B$33+(1-E5524)*Assumptions!$B$32+(1-F5524)*Assumptions!$B$31+(1-G5524)*Assumptions!$B$30+(1-H5524)*Assumptions!$B$29+(1-I5524)*Assumptions!$B$28</f>
        <v/>
      </c>
      <c r="K5524">
        <f>C5524*$J$457+D5524*$F$457+E5524*$G$457+F5524*Assumptions!$B$14+G5524*Assumptions!$B$13+H5524*Assumptions!$B$12+I5524*Assumptions!$B$11+$O$457+$S$457+Assumptions!$B$9</f>
        <v/>
      </c>
      <c r="L5524">
        <f>B5524-J5524</f>
        <v/>
      </c>
      <c r="M5524">
        <f>IF(K5524&gt;0,IF(L5524/K5524&gt;=Assumptions!$B$37,1,0),0)</f>
        <v/>
      </c>
      <c r="N5524">
        <f>K5524+M5524*Assumptions!$B$153</f>
        <v/>
      </c>
      <c r="O5524">
        <f>L5524+M5524*Assumptions!$B$153*Assumptions!$B$37</f>
        <v/>
      </c>
      <c r="P5524">
        <f>IF(N5524&gt;0,O5524/N5524,0)</f>
        <v/>
      </c>
      <c r="Q5524">
        <f>IF(C5524=1,P5524*$J$457,Assumptions!$B$41)</f>
        <v/>
      </c>
      <c r="R5524">
        <f>IF(D5524=1,P5524*$F$457,Assumptions!$B$33)</f>
        <v/>
      </c>
      <c r="S5524">
        <f>IF(E5524=1,P5524*$G$457,Assumptions!$B$32)</f>
        <v/>
      </c>
      <c r="T5524">
        <f>IF(F5524=1,P5524*Assumptions!$B$14,Assumptions!$B$31)</f>
        <v/>
      </c>
      <c r="U5524">
        <f>IF(G5524=1,P5524*Assumptions!$B$13,Assumptions!$B$30)</f>
        <v/>
      </c>
      <c r="V5524">
        <f>IF(H5524=1,P5524*Assumptions!$B$12,Assumptions!$B$29)</f>
        <v/>
      </c>
      <c r="W5524">
        <f>IF(I5524=1,P5524*Assumptions!$B$11,Assumptions!$B$28)</f>
        <v/>
      </c>
      <c r="X5524">
        <f>P5524*($O$457+$S$457)</f>
        <v/>
      </c>
      <c r="Y5524">
        <f>P5524*Assumptions!$B$9</f>
        <v/>
      </c>
      <c r="Z5524">
        <f>IF(M5524=1,(P5524-Assumptions!$B$37)*Assumptions!$B$153,0)</f>
        <v/>
      </c>
      <c r="AA5524">
        <f>Q5524+R5524+S5524+T5524+U5524+V5524+W5524+X5524+Y5524+Z5524</f>
        <v/>
      </c>
      <c r="AB5524" t="n">
        <v>12</v>
      </c>
      <c r="AC5524" t="n">
        <v>76</v>
      </c>
      <c r="AD5524" t="n">
        <v>44</v>
      </c>
      <c r="AE5524" t="n">
        <v>28</v>
      </c>
      <c r="AF5524" t="n">
        <v>4</v>
      </c>
      <c r="AG5524" t="n">
        <v>8</v>
      </c>
      <c r="AH5524" t="n">
        <v>14</v>
      </c>
      <c r="AI5524" t="n">
        <v>13</v>
      </c>
      <c r="AJ5524">
        <f>INDEX($Q$5512:$Q$5639,AC5524+1)</f>
        <v/>
      </c>
      <c r="AK5524">
        <f>INDEX($R$5512:$R$5639,AD5524+1)</f>
        <v/>
      </c>
      <c r="AL5524">
        <f>INDEX($S$5512:$S$5639,AE5524+1)</f>
        <v/>
      </c>
      <c r="AM5524">
        <f>INDEX($T$5512:$T$5639,AF5524+1)</f>
        <v/>
      </c>
      <c r="AN5524">
        <f>INDEX($U$5512:$U$5639,AG5524+1)</f>
        <v/>
      </c>
      <c r="AO5524">
        <f>INDEX($V$5512:$V$5639,AH5524+1)</f>
        <v/>
      </c>
      <c r="AP5524">
        <f>INDEX($W$5512:$W$5639,AI5524+1)</f>
        <v/>
      </c>
      <c r="AQ5524">
        <f>IF(Q5524&gt;=AJ5524-0.01,1,0)</f>
        <v/>
      </c>
      <c r="AR5524">
        <f>IF(R5524&gt;=AK5524-0.01,1,0)</f>
        <v/>
      </c>
      <c r="AS5524">
        <f>IF(S5524&gt;=AL5524-0.01,1,0)</f>
        <v/>
      </c>
      <c r="AT5524">
        <f>IF(T5524&gt;=AM5524-0.01,1,0)</f>
        <v/>
      </c>
      <c r="AU5524">
        <f>IF(U5524&gt;=AN5524-0.01,1,0)</f>
        <v/>
      </c>
      <c r="AV5524">
        <f>IF(V5524&gt;=AO5524-0.01,1,0)</f>
        <v/>
      </c>
      <c r="AW5524">
        <f>IF(W5524&gt;=AP5524-0.01,1,0)</f>
        <v/>
      </c>
      <c r="AX5524">
        <f>AQ5524*AR5524*AS5524*AT5524*AU5524*AV5524*AW5524</f>
        <v/>
      </c>
    </row>
    <row r="5525">
      <c r="A5525" t="inlineStr"/>
      <c r="B5525">
        <f>Assumptions!$B$60</f>
        <v/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1</v>
      </c>
      <c r="J5525">
        <f>(1-C5525)*Assumptions!$B$41+(1-D5525)*Assumptions!$B$33+(1-E5525)*Assumptions!$B$32+(1-F5525)*Assumptions!$B$31+(1-G5525)*Assumptions!$B$30+(1-H5525)*Assumptions!$B$29+(1-I5525)*Assumptions!$B$28</f>
        <v/>
      </c>
      <c r="K5525">
        <f>C5525*$J$457+D5525*$F$457+E5525*$G$457+F5525*Assumptions!$B$14+G5525*Assumptions!$B$13+H5525*Assumptions!$B$12+I5525*Assumptions!$B$11+$O$457+$S$457+Assumptions!$B$9</f>
        <v/>
      </c>
      <c r="L5525">
        <f>B5525-J5525</f>
        <v/>
      </c>
      <c r="M5525">
        <f>IF(K5525&gt;0,IF(L5525/K5525&gt;=Assumptions!$B$37,1,0),0)</f>
        <v/>
      </c>
      <c r="N5525">
        <f>K5525+M5525*Assumptions!$B$153</f>
        <v/>
      </c>
      <c r="O5525">
        <f>L5525+M5525*Assumptions!$B$153*Assumptions!$B$37</f>
        <v/>
      </c>
      <c r="P5525">
        <f>IF(N5525&gt;0,O5525/N5525,0)</f>
        <v/>
      </c>
      <c r="Q5525">
        <f>IF(C5525=1,P5525*$J$457,Assumptions!$B$41)</f>
        <v/>
      </c>
      <c r="R5525">
        <f>IF(D5525=1,P5525*$F$457,Assumptions!$B$33)</f>
        <v/>
      </c>
      <c r="S5525">
        <f>IF(E5525=1,P5525*$G$457,Assumptions!$B$32)</f>
        <v/>
      </c>
      <c r="T5525">
        <f>IF(F5525=1,P5525*Assumptions!$B$14,Assumptions!$B$31)</f>
        <v/>
      </c>
      <c r="U5525">
        <f>IF(G5525=1,P5525*Assumptions!$B$13,Assumptions!$B$30)</f>
        <v/>
      </c>
      <c r="V5525">
        <f>IF(H5525=1,P5525*Assumptions!$B$12,Assumptions!$B$29)</f>
        <v/>
      </c>
      <c r="W5525">
        <f>IF(I5525=1,P5525*Assumptions!$B$11,Assumptions!$B$28)</f>
        <v/>
      </c>
      <c r="X5525">
        <f>P5525*($O$457+$S$457)</f>
        <v/>
      </c>
      <c r="Y5525">
        <f>P5525*Assumptions!$B$9</f>
        <v/>
      </c>
      <c r="Z5525">
        <f>IF(M5525=1,(P5525-Assumptions!$B$37)*Assumptions!$B$153,0)</f>
        <v/>
      </c>
      <c r="AA5525">
        <f>Q5525+R5525+S5525+T5525+U5525+V5525+W5525+X5525+Y5525+Z5525</f>
        <v/>
      </c>
      <c r="AB5525" t="n">
        <v>13</v>
      </c>
      <c r="AC5525" t="n">
        <v>77</v>
      </c>
      <c r="AD5525" t="n">
        <v>45</v>
      </c>
      <c r="AE5525" t="n">
        <v>29</v>
      </c>
      <c r="AF5525" t="n">
        <v>5</v>
      </c>
      <c r="AG5525" t="n">
        <v>9</v>
      </c>
      <c r="AH5525" t="n">
        <v>15</v>
      </c>
      <c r="AI5525" t="n">
        <v>12</v>
      </c>
      <c r="AJ5525">
        <f>INDEX($Q$5512:$Q$5639,AC5525+1)</f>
        <v/>
      </c>
      <c r="AK5525">
        <f>INDEX($R$5512:$R$5639,AD5525+1)</f>
        <v/>
      </c>
      <c r="AL5525">
        <f>INDEX($S$5512:$S$5639,AE5525+1)</f>
        <v/>
      </c>
      <c r="AM5525">
        <f>INDEX($T$5512:$T$5639,AF5525+1)</f>
        <v/>
      </c>
      <c r="AN5525">
        <f>INDEX($U$5512:$U$5639,AG5525+1)</f>
        <v/>
      </c>
      <c r="AO5525">
        <f>INDEX($V$5512:$V$5639,AH5525+1)</f>
        <v/>
      </c>
      <c r="AP5525">
        <f>INDEX($W$5512:$W$5639,AI5525+1)</f>
        <v/>
      </c>
      <c r="AQ5525">
        <f>IF(Q5525&gt;=AJ5525-0.01,1,0)</f>
        <v/>
      </c>
      <c r="AR5525">
        <f>IF(R5525&gt;=AK5525-0.01,1,0)</f>
        <v/>
      </c>
      <c r="AS5525">
        <f>IF(S5525&gt;=AL5525-0.01,1,0)</f>
        <v/>
      </c>
      <c r="AT5525">
        <f>IF(T5525&gt;=AM5525-0.01,1,0)</f>
        <v/>
      </c>
      <c r="AU5525">
        <f>IF(U5525&gt;=AN5525-0.01,1,0)</f>
        <v/>
      </c>
      <c r="AV5525">
        <f>IF(V5525&gt;=AO5525-0.01,1,0)</f>
        <v/>
      </c>
      <c r="AW5525">
        <f>IF(W5525&gt;=AP5525-0.01,1,0)</f>
        <v/>
      </c>
      <c r="AX5525">
        <f>AQ5525*AR5525*AS5525*AT5525*AU5525*AV5525*AW5525</f>
        <v/>
      </c>
    </row>
    <row r="5526">
      <c r="A5526" t="inlineStr"/>
      <c r="B5526">
        <f>Assumptions!$B$60</f>
        <v/>
      </c>
      <c r="C5526" t="n">
        <v>0</v>
      </c>
      <c r="D5526" t="n">
        <v>0</v>
      </c>
      <c r="E5526" t="n">
        <v>0</v>
      </c>
      <c r="F5526" t="n">
        <v>1</v>
      </c>
      <c r="G5526" t="n">
        <v>1</v>
      </c>
      <c r="H5526" t="n">
        <v>1</v>
      </c>
      <c r="I5526" t="n">
        <v>0</v>
      </c>
      <c r="J5526">
        <f>(1-C5526)*Assumptions!$B$41+(1-D5526)*Assumptions!$B$33+(1-E5526)*Assumptions!$B$32+(1-F5526)*Assumptions!$B$31+(1-G5526)*Assumptions!$B$30+(1-H5526)*Assumptions!$B$29+(1-I5526)*Assumptions!$B$28</f>
        <v/>
      </c>
      <c r="K5526">
        <f>C5526*$J$457+D5526*$F$457+E5526*$G$457+F5526*Assumptions!$B$14+G5526*Assumptions!$B$13+H5526*Assumptions!$B$12+I5526*Assumptions!$B$11+$O$457+$S$457+Assumptions!$B$9</f>
        <v/>
      </c>
      <c r="L5526">
        <f>B5526-J5526</f>
        <v/>
      </c>
      <c r="M5526">
        <f>IF(K5526&gt;0,IF(L5526/K5526&gt;=Assumptions!$B$37,1,0),0)</f>
        <v/>
      </c>
      <c r="N5526">
        <f>K5526+M5526*Assumptions!$B$153</f>
        <v/>
      </c>
      <c r="O5526">
        <f>L5526+M5526*Assumptions!$B$153*Assumptions!$B$37</f>
        <v/>
      </c>
      <c r="P5526">
        <f>IF(N5526&gt;0,O5526/N5526,0)</f>
        <v/>
      </c>
      <c r="Q5526">
        <f>IF(C5526=1,P5526*$J$457,Assumptions!$B$41)</f>
        <v/>
      </c>
      <c r="R5526">
        <f>IF(D5526=1,P5526*$F$457,Assumptions!$B$33)</f>
        <v/>
      </c>
      <c r="S5526">
        <f>IF(E5526=1,P5526*$G$457,Assumptions!$B$32)</f>
        <v/>
      </c>
      <c r="T5526">
        <f>IF(F5526=1,P5526*Assumptions!$B$14,Assumptions!$B$31)</f>
        <v/>
      </c>
      <c r="U5526">
        <f>IF(G5526=1,P5526*Assumptions!$B$13,Assumptions!$B$30)</f>
        <v/>
      </c>
      <c r="V5526">
        <f>IF(H5526=1,P5526*Assumptions!$B$12,Assumptions!$B$29)</f>
        <v/>
      </c>
      <c r="W5526">
        <f>IF(I5526=1,P5526*Assumptions!$B$11,Assumptions!$B$28)</f>
        <v/>
      </c>
      <c r="X5526">
        <f>P5526*($O$457+$S$457)</f>
        <v/>
      </c>
      <c r="Y5526">
        <f>P5526*Assumptions!$B$9</f>
        <v/>
      </c>
      <c r="Z5526">
        <f>IF(M5526=1,(P5526-Assumptions!$B$37)*Assumptions!$B$153,0)</f>
        <v/>
      </c>
      <c r="AA5526">
        <f>Q5526+R5526+S5526+T5526+U5526+V5526+W5526+X5526+Y5526+Z5526</f>
        <v/>
      </c>
      <c r="AB5526" t="n">
        <v>14</v>
      </c>
      <c r="AC5526" t="n">
        <v>78</v>
      </c>
      <c r="AD5526" t="n">
        <v>46</v>
      </c>
      <c r="AE5526" t="n">
        <v>30</v>
      </c>
      <c r="AF5526" t="n">
        <v>6</v>
      </c>
      <c r="AG5526" t="n">
        <v>10</v>
      </c>
      <c r="AH5526" t="n">
        <v>12</v>
      </c>
      <c r="AI5526" t="n">
        <v>15</v>
      </c>
      <c r="AJ5526">
        <f>INDEX($Q$5512:$Q$5639,AC5526+1)</f>
        <v/>
      </c>
      <c r="AK5526">
        <f>INDEX($R$5512:$R$5639,AD5526+1)</f>
        <v/>
      </c>
      <c r="AL5526">
        <f>INDEX($S$5512:$S$5639,AE5526+1)</f>
        <v/>
      </c>
      <c r="AM5526">
        <f>INDEX($T$5512:$T$5639,AF5526+1)</f>
        <v/>
      </c>
      <c r="AN5526">
        <f>INDEX($U$5512:$U$5639,AG5526+1)</f>
        <v/>
      </c>
      <c r="AO5526">
        <f>INDEX($V$5512:$V$5639,AH5526+1)</f>
        <v/>
      </c>
      <c r="AP5526">
        <f>INDEX($W$5512:$W$5639,AI5526+1)</f>
        <v/>
      </c>
      <c r="AQ5526">
        <f>IF(Q5526&gt;=AJ5526-0.01,1,0)</f>
        <v/>
      </c>
      <c r="AR5526">
        <f>IF(R5526&gt;=AK5526-0.01,1,0)</f>
        <v/>
      </c>
      <c r="AS5526">
        <f>IF(S5526&gt;=AL5526-0.01,1,0)</f>
        <v/>
      </c>
      <c r="AT5526">
        <f>IF(T5526&gt;=AM5526-0.01,1,0)</f>
        <v/>
      </c>
      <c r="AU5526">
        <f>IF(U5526&gt;=AN5526-0.01,1,0)</f>
        <v/>
      </c>
      <c r="AV5526">
        <f>IF(V5526&gt;=AO5526-0.01,1,0)</f>
        <v/>
      </c>
      <c r="AW5526">
        <f>IF(W5526&gt;=AP5526-0.01,1,0)</f>
        <v/>
      </c>
      <c r="AX5526">
        <f>AQ5526*AR5526*AS5526*AT5526*AU5526*AV5526*AW5526</f>
        <v/>
      </c>
    </row>
    <row r="5527">
      <c r="A5527" t="inlineStr"/>
      <c r="B5527">
        <f>Assumptions!$B$60</f>
        <v/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1</v>
      </c>
      <c r="I5527" t="n">
        <v>1</v>
      </c>
      <c r="J5527">
        <f>(1-C5527)*Assumptions!$B$41+(1-D5527)*Assumptions!$B$33+(1-E5527)*Assumptions!$B$32+(1-F5527)*Assumptions!$B$31+(1-G5527)*Assumptions!$B$30+(1-H5527)*Assumptions!$B$29+(1-I5527)*Assumptions!$B$28</f>
        <v/>
      </c>
      <c r="K5527">
        <f>C5527*$J$457+D5527*$F$457+E5527*$G$457+F5527*Assumptions!$B$14+G5527*Assumptions!$B$13+H5527*Assumptions!$B$12+I5527*Assumptions!$B$11+$O$457+$S$457+Assumptions!$B$9</f>
        <v/>
      </c>
      <c r="L5527">
        <f>B5527-J5527</f>
        <v/>
      </c>
      <c r="M5527">
        <f>IF(K5527&gt;0,IF(L5527/K5527&gt;=Assumptions!$B$37,1,0),0)</f>
        <v/>
      </c>
      <c r="N5527">
        <f>K5527+M5527*Assumptions!$B$153</f>
        <v/>
      </c>
      <c r="O5527">
        <f>L5527+M5527*Assumptions!$B$153*Assumptions!$B$37</f>
        <v/>
      </c>
      <c r="P5527">
        <f>IF(N5527&gt;0,O5527/N5527,0)</f>
        <v/>
      </c>
      <c r="Q5527">
        <f>IF(C5527=1,P5527*$J$457,Assumptions!$B$41)</f>
        <v/>
      </c>
      <c r="R5527">
        <f>IF(D5527=1,P5527*$F$457,Assumptions!$B$33)</f>
        <v/>
      </c>
      <c r="S5527">
        <f>IF(E5527=1,P5527*$G$457,Assumptions!$B$32)</f>
        <v/>
      </c>
      <c r="T5527">
        <f>IF(F5527=1,P5527*Assumptions!$B$14,Assumptions!$B$31)</f>
        <v/>
      </c>
      <c r="U5527">
        <f>IF(G5527=1,P5527*Assumptions!$B$13,Assumptions!$B$30)</f>
        <v/>
      </c>
      <c r="V5527">
        <f>IF(H5527=1,P5527*Assumptions!$B$12,Assumptions!$B$29)</f>
        <v/>
      </c>
      <c r="W5527">
        <f>IF(I5527=1,P5527*Assumptions!$B$11,Assumptions!$B$28)</f>
        <v/>
      </c>
      <c r="X5527">
        <f>P5527*($O$457+$S$457)</f>
        <v/>
      </c>
      <c r="Y5527">
        <f>P5527*Assumptions!$B$9</f>
        <v/>
      </c>
      <c r="Z5527">
        <f>IF(M5527=1,(P5527-Assumptions!$B$37)*Assumptions!$B$153,0)</f>
        <v/>
      </c>
      <c r="AA5527">
        <f>Q5527+R5527+S5527+T5527+U5527+V5527+W5527+X5527+Y5527+Z5527</f>
        <v/>
      </c>
      <c r="AB5527" t="n">
        <v>15</v>
      </c>
      <c r="AC5527" t="n">
        <v>79</v>
      </c>
      <c r="AD5527" t="n">
        <v>47</v>
      </c>
      <c r="AE5527" t="n">
        <v>31</v>
      </c>
      <c r="AF5527" t="n">
        <v>7</v>
      </c>
      <c r="AG5527" t="n">
        <v>11</v>
      </c>
      <c r="AH5527" t="n">
        <v>13</v>
      </c>
      <c r="AI5527" t="n">
        <v>14</v>
      </c>
      <c r="AJ5527">
        <f>INDEX($Q$5512:$Q$5639,AC5527+1)</f>
        <v/>
      </c>
      <c r="AK5527">
        <f>INDEX($R$5512:$R$5639,AD5527+1)</f>
        <v/>
      </c>
      <c r="AL5527">
        <f>INDEX($S$5512:$S$5639,AE5527+1)</f>
        <v/>
      </c>
      <c r="AM5527">
        <f>INDEX($T$5512:$T$5639,AF5527+1)</f>
        <v/>
      </c>
      <c r="AN5527">
        <f>INDEX($U$5512:$U$5639,AG5527+1)</f>
        <v/>
      </c>
      <c r="AO5527">
        <f>INDEX($V$5512:$V$5639,AH5527+1)</f>
        <v/>
      </c>
      <c r="AP5527">
        <f>INDEX($W$5512:$W$5639,AI5527+1)</f>
        <v/>
      </c>
      <c r="AQ5527">
        <f>IF(Q5527&gt;=AJ5527-0.01,1,0)</f>
        <v/>
      </c>
      <c r="AR5527">
        <f>IF(R5527&gt;=AK5527-0.01,1,0)</f>
        <v/>
      </c>
      <c r="AS5527">
        <f>IF(S5527&gt;=AL5527-0.01,1,0)</f>
        <v/>
      </c>
      <c r="AT5527">
        <f>IF(T5527&gt;=AM5527-0.01,1,0)</f>
        <v/>
      </c>
      <c r="AU5527">
        <f>IF(U5527&gt;=AN5527-0.01,1,0)</f>
        <v/>
      </c>
      <c r="AV5527">
        <f>IF(V5527&gt;=AO5527-0.01,1,0)</f>
        <v/>
      </c>
      <c r="AW5527">
        <f>IF(W5527&gt;=AP5527-0.01,1,0)</f>
        <v/>
      </c>
      <c r="AX5527">
        <f>AQ5527*AR5527*AS5527*AT5527*AU5527*AV5527*AW5527</f>
        <v/>
      </c>
    </row>
    <row r="5528">
      <c r="A5528" t="inlineStr"/>
      <c r="B5528">
        <f>Assumptions!$B$60</f>
        <v/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0</v>
      </c>
      <c r="J5528">
        <f>(1-C5528)*Assumptions!$B$41+(1-D5528)*Assumptions!$B$33+(1-E5528)*Assumptions!$B$32+(1-F5528)*Assumptions!$B$31+(1-G5528)*Assumptions!$B$30+(1-H5528)*Assumptions!$B$29+(1-I5528)*Assumptions!$B$28</f>
        <v/>
      </c>
      <c r="K5528">
        <f>C5528*$J$457+D5528*$F$457+E5528*$G$457+F5528*Assumptions!$B$14+G5528*Assumptions!$B$13+H5528*Assumptions!$B$12+I5528*Assumptions!$B$11+$O$457+$S$457+Assumptions!$B$9</f>
        <v/>
      </c>
      <c r="L5528">
        <f>B5528-J5528</f>
        <v/>
      </c>
      <c r="M5528">
        <f>IF(K5528&gt;0,IF(L5528/K5528&gt;=Assumptions!$B$37,1,0),0)</f>
        <v/>
      </c>
      <c r="N5528">
        <f>K5528+M5528*Assumptions!$B$153</f>
        <v/>
      </c>
      <c r="O5528">
        <f>L5528+M5528*Assumptions!$B$153*Assumptions!$B$37</f>
        <v/>
      </c>
      <c r="P5528">
        <f>IF(N5528&gt;0,O5528/N5528,0)</f>
        <v/>
      </c>
      <c r="Q5528">
        <f>IF(C5528=1,P5528*$J$457,Assumptions!$B$41)</f>
        <v/>
      </c>
      <c r="R5528">
        <f>IF(D5528=1,P5528*$F$457,Assumptions!$B$33)</f>
        <v/>
      </c>
      <c r="S5528">
        <f>IF(E5528=1,P5528*$G$457,Assumptions!$B$32)</f>
        <v/>
      </c>
      <c r="T5528">
        <f>IF(F5528=1,P5528*Assumptions!$B$14,Assumptions!$B$31)</f>
        <v/>
      </c>
      <c r="U5528">
        <f>IF(G5528=1,P5528*Assumptions!$B$13,Assumptions!$B$30)</f>
        <v/>
      </c>
      <c r="V5528">
        <f>IF(H5528=1,P5528*Assumptions!$B$12,Assumptions!$B$29)</f>
        <v/>
      </c>
      <c r="W5528">
        <f>IF(I5528=1,P5528*Assumptions!$B$11,Assumptions!$B$28)</f>
        <v/>
      </c>
      <c r="X5528">
        <f>P5528*($O$457+$S$457)</f>
        <v/>
      </c>
      <c r="Y5528">
        <f>P5528*Assumptions!$B$9</f>
        <v/>
      </c>
      <c r="Z5528">
        <f>IF(M5528=1,(P5528-Assumptions!$B$37)*Assumptions!$B$153,0)</f>
        <v/>
      </c>
      <c r="AA5528">
        <f>Q5528+R5528+S5528+T5528+U5528+V5528+W5528+X5528+Y5528+Z5528</f>
        <v/>
      </c>
      <c r="AB5528" t="n">
        <v>16</v>
      </c>
      <c r="AC5528" t="n">
        <v>80</v>
      </c>
      <c r="AD5528" t="n">
        <v>48</v>
      </c>
      <c r="AE5528" t="n">
        <v>0</v>
      </c>
      <c r="AF5528" t="n">
        <v>24</v>
      </c>
      <c r="AG5528" t="n">
        <v>20</v>
      </c>
      <c r="AH5528" t="n">
        <v>18</v>
      </c>
      <c r="AI5528" t="n">
        <v>17</v>
      </c>
      <c r="AJ5528">
        <f>INDEX($Q$5512:$Q$5639,AC5528+1)</f>
        <v/>
      </c>
      <c r="AK5528">
        <f>INDEX($R$5512:$R$5639,AD5528+1)</f>
        <v/>
      </c>
      <c r="AL5528">
        <f>INDEX($S$5512:$S$5639,AE5528+1)</f>
        <v/>
      </c>
      <c r="AM5528">
        <f>INDEX($T$5512:$T$5639,AF5528+1)</f>
        <v/>
      </c>
      <c r="AN5528">
        <f>INDEX($U$5512:$U$5639,AG5528+1)</f>
        <v/>
      </c>
      <c r="AO5528">
        <f>INDEX($V$5512:$V$5639,AH5528+1)</f>
        <v/>
      </c>
      <c r="AP5528">
        <f>INDEX($W$5512:$W$5639,AI5528+1)</f>
        <v/>
      </c>
      <c r="AQ5528">
        <f>IF(Q5528&gt;=AJ5528-0.01,1,0)</f>
        <v/>
      </c>
      <c r="AR5528">
        <f>IF(R5528&gt;=AK5528-0.01,1,0)</f>
        <v/>
      </c>
      <c r="AS5528">
        <f>IF(S5528&gt;=AL5528-0.01,1,0)</f>
        <v/>
      </c>
      <c r="AT5528">
        <f>IF(T5528&gt;=AM5528-0.01,1,0)</f>
        <v/>
      </c>
      <c r="AU5528">
        <f>IF(U5528&gt;=AN5528-0.01,1,0)</f>
        <v/>
      </c>
      <c r="AV5528">
        <f>IF(V5528&gt;=AO5528-0.01,1,0)</f>
        <v/>
      </c>
      <c r="AW5528">
        <f>IF(W5528&gt;=AP5528-0.01,1,0)</f>
        <v/>
      </c>
      <c r="AX5528">
        <f>AQ5528*AR5528*AS5528*AT5528*AU5528*AV5528*AW5528</f>
        <v/>
      </c>
    </row>
    <row r="5529">
      <c r="A5529" t="inlineStr"/>
      <c r="B5529">
        <f>Assumptions!$B$60</f>
        <v/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1</v>
      </c>
      <c r="J5529">
        <f>(1-C5529)*Assumptions!$B$41+(1-D5529)*Assumptions!$B$33+(1-E5529)*Assumptions!$B$32+(1-F5529)*Assumptions!$B$31+(1-G5529)*Assumptions!$B$30+(1-H5529)*Assumptions!$B$29+(1-I5529)*Assumptions!$B$28</f>
        <v/>
      </c>
      <c r="K5529">
        <f>C5529*$J$457+D5529*$F$457+E5529*$G$457+F5529*Assumptions!$B$14+G5529*Assumptions!$B$13+H5529*Assumptions!$B$12+I5529*Assumptions!$B$11+$O$457+$S$457+Assumptions!$B$9</f>
        <v/>
      </c>
      <c r="L5529">
        <f>B5529-J5529</f>
        <v/>
      </c>
      <c r="M5529">
        <f>IF(K5529&gt;0,IF(L5529/K5529&gt;=Assumptions!$B$37,1,0),0)</f>
        <v/>
      </c>
      <c r="N5529">
        <f>K5529+M5529*Assumptions!$B$153</f>
        <v/>
      </c>
      <c r="O5529">
        <f>L5529+M5529*Assumptions!$B$153*Assumptions!$B$37</f>
        <v/>
      </c>
      <c r="P5529">
        <f>IF(N5529&gt;0,O5529/N5529,0)</f>
        <v/>
      </c>
      <c r="Q5529">
        <f>IF(C5529=1,P5529*$J$457,Assumptions!$B$41)</f>
        <v/>
      </c>
      <c r="R5529">
        <f>IF(D5529=1,P5529*$F$457,Assumptions!$B$33)</f>
        <v/>
      </c>
      <c r="S5529">
        <f>IF(E5529=1,P5529*$G$457,Assumptions!$B$32)</f>
        <v/>
      </c>
      <c r="T5529">
        <f>IF(F5529=1,P5529*Assumptions!$B$14,Assumptions!$B$31)</f>
        <v/>
      </c>
      <c r="U5529">
        <f>IF(G5529=1,P5529*Assumptions!$B$13,Assumptions!$B$30)</f>
        <v/>
      </c>
      <c r="V5529">
        <f>IF(H5529=1,P5529*Assumptions!$B$12,Assumptions!$B$29)</f>
        <v/>
      </c>
      <c r="W5529">
        <f>IF(I5529=1,P5529*Assumptions!$B$11,Assumptions!$B$28)</f>
        <v/>
      </c>
      <c r="X5529">
        <f>P5529*($O$457+$S$457)</f>
        <v/>
      </c>
      <c r="Y5529">
        <f>P5529*Assumptions!$B$9</f>
        <v/>
      </c>
      <c r="Z5529">
        <f>IF(M5529=1,(P5529-Assumptions!$B$37)*Assumptions!$B$153,0)</f>
        <v/>
      </c>
      <c r="AA5529">
        <f>Q5529+R5529+S5529+T5529+U5529+V5529+W5529+X5529+Y5529+Z5529</f>
        <v/>
      </c>
      <c r="AB5529" t="n">
        <v>17</v>
      </c>
      <c r="AC5529" t="n">
        <v>81</v>
      </c>
      <c r="AD5529" t="n">
        <v>49</v>
      </c>
      <c r="AE5529" t="n">
        <v>1</v>
      </c>
      <c r="AF5529" t="n">
        <v>25</v>
      </c>
      <c r="AG5529" t="n">
        <v>21</v>
      </c>
      <c r="AH5529" t="n">
        <v>19</v>
      </c>
      <c r="AI5529" t="n">
        <v>16</v>
      </c>
      <c r="AJ5529">
        <f>INDEX($Q$5512:$Q$5639,AC5529+1)</f>
        <v/>
      </c>
      <c r="AK5529">
        <f>INDEX($R$5512:$R$5639,AD5529+1)</f>
        <v/>
      </c>
      <c r="AL5529">
        <f>INDEX($S$5512:$S$5639,AE5529+1)</f>
        <v/>
      </c>
      <c r="AM5529">
        <f>INDEX($T$5512:$T$5639,AF5529+1)</f>
        <v/>
      </c>
      <c r="AN5529">
        <f>INDEX($U$5512:$U$5639,AG5529+1)</f>
        <v/>
      </c>
      <c r="AO5529">
        <f>INDEX($V$5512:$V$5639,AH5529+1)</f>
        <v/>
      </c>
      <c r="AP5529">
        <f>INDEX($W$5512:$W$5639,AI5529+1)</f>
        <v/>
      </c>
      <c r="AQ5529">
        <f>IF(Q5529&gt;=AJ5529-0.01,1,0)</f>
        <v/>
      </c>
      <c r="AR5529">
        <f>IF(R5529&gt;=AK5529-0.01,1,0)</f>
        <v/>
      </c>
      <c r="AS5529">
        <f>IF(S5529&gt;=AL5529-0.01,1,0)</f>
        <v/>
      </c>
      <c r="AT5529">
        <f>IF(T5529&gt;=AM5529-0.01,1,0)</f>
        <v/>
      </c>
      <c r="AU5529">
        <f>IF(U5529&gt;=AN5529-0.01,1,0)</f>
        <v/>
      </c>
      <c r="AV5529">
        <f>IF(V5529&gt;=AO5529-0.01,1,0)</f>
        <v/>
      </c>
      <c r="AW5529">
        <f>IF(W5529&gt;=AP5529-0.01,1,0)</f>
        <v/>
      </c>
      <c r="AX5529">
        <f>AQ5529*AR5529*AS5529*AT5529*AU5529*AV5529*AW5529</f>
        <v/>
      </c>
    </row>
    <row r="5530">
      <c r="A5530" t="inlineStr"/>
      <c r="B5530">
        <f>Assumptions!$B$60</f>
        <v/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  <c r="I5530" t="n">
        <v>0</v>
      </c>
      <c r="J5530">
        <f>(1-C5530)*Assumptions!$B$41+(1-D5530)*Assumptions!$B$33+(1-E5530)*Assumptions!$B$32+(1-F5530)*Assumptions!$B$31+(1-G5530)*Assumptions!$B$30+(1-H5530)*Assumptions!$B$29+(1-I5530)*Assumptions!$B$28</f>
        <v/>
      </c>
      <c r="K5530">
        <f>C5530*$J$457+D5530*$F$457+E5530*$G$457+F5530*Assumptions!$B$14+G5530*Assumptions!$B$13+H5530*Assumptions!$B$12+I5530*Assumptions!$B$11+$O$457+$S$457+Assumptions!$B$9</f>
        <v/>
      </c>
      <c r="L5530">
        <f>B5530-J5530</f>
        <v/>
      </c>
      <c r="M5530">
        <f>IF(K5530&gt;0,IF(L5530/K5530&gt;=Assumptions!$B$37,1,0),0)</f>
        <v/>
      </c>
      <c r="N5530">
        <f>K5530+M5530*Assumptions!$B$153</f>
        <v/>
      </c>
      <c r="O5530">
        <f>L5530+M5530*Assumptions!$B$153*Assumptions!$B$37</f>
        <v/>
      </c>
      <c r="P5530">
        <f>IF(N5530&gt;0,O5530/N5530,0)</f>
        <v/>
      </c>
      <c r="Q5530">
        <f>IF(C5530=1,P5530*$J$457,Assumptions!$B$41)</f>
        <v/>
      </c>
      <c r="R5530">
        <f>IF(D5530=1,P5530*$F$457,Assumptions!$B$33)</f>
        <v/>
      </c>
      <c r="S5530">
        <f>IF(E5530=1,P5530*$G$457,Assumptions!$B$32)</f>
        <v/>
      </c>
      <c r="T5530">
        <f>IF(F5530=1,P5530*Assumptions!$B$14,Assumptions!$B$31)</f>
        <v/>
      </c>
      <c r="U5530">
        <f>IF(G5530=1,P5530*Assumptions!$B$13,Assumptions!$B$30)</f>
        <v/>
      </c>
      <c r="V5530">
        <f>IF(H5530=1,P5530*Assumptions!$B$12,Assumptions!$B$29)</f>
        <v/>
      </c>
      <c r="W5530">
        <f>IF(I5530=1,P5530*Assumptions!$B$11,Assumptions!$B$28)</f>
        <v/>
      </c>
      <c r="X5530">
        <f>P5530*($O$457+$S$457)</f>
        <v/>
      </c>
      <c r="Y5530">
        <f>P5530*Assumptions!$B$9</f>
        <v/>
      </c>
      <c r="Z5530">
        <f>IF(M5530=1,(P5530-Assumptions!$B$37)*Assumptions!$B$153,0)</f>
        <v/>
      </c>
      <c r="AA5530">
        <f>Q5530+R5530+S5530+T5530+U5530+V5530+W5530+X5530+Y5530+Z5530</f>
        <v/>
      </c>
      <c r="AB5530" t="n">
        <v>18</v>
      </c>
      <c r="AC5530" t="n">
        <v>82</v>
      </c>
      <c r="AD5530" t="n">
        <v>50</v>
      </c>
      <c r="AE5530" t="n">
        <v>2</v>
      </c>
      <c r="AF5530" t="n">
        <v>26</v>
      </c>
      <c r="AG5530" t="n">
        <v>22</v>
      </c>
      <c r="AH5530" t="n">
        <v>16</v>
      </c>
      <c r="AI5530" t="n">
        <v>19</v>
      </c>
      <c r="AJ5530">
        <f>INDEX($Q$5512:$Q$5639,AC5530+1)</f>
        <v/>
      </c>
      <c r="AK5530">
        <f>INDEX($R$5512:$R$5639,AD5530+1)</f>
        <v/>
      </c>
      <c r="AL5530">
        <f>INDEX($S$5512:$S$5639,AE5530+1)</f>
        <v/>
      </c>
      <c r="AM5530">
        <f>INDEX($T$5512:$T$5639,AF5530+1)</f>
        <v/>
      </c>
      <c r="AN5530">
        <f>INDEX($U$5512:$U$5639,AG5530+1)</f>
        <v/>
      </c>
      <c r="AO5530">
        <f>INDEX($V$5512:$V$5639,AH5530+1)</f>
        <v/>
      </c>
      <c r="AP5530">
        <f>INDEX($W$5512:$W$5639,AI5530+1)</f>
        <v/>
      </c>
      <c r="AQ5530">
        <f>IF(Q5530&gt;=AJ5530-0.01,1,0)</f>
        <v/>
      </c>
      <c r="AR5530">
        <f>IF(R5530&gt;=AK5530-0.01,1,0)</f>
        <v/>
      </c>
      <c r="AS5530">
        <f>IF(S5530&gt;=AL5530-0.01,1,0)</f>
        <v/>
      </c>
      <c r="AT5530">
        <f>IF(T5530&gt;=AM5530-0.01,1,0)</f>
        <v/>
      </c>
      <c r="AU5530">
        <f>IF(U5530&gt;=AN5530-0.01,1,0)</f>
        <v/>
      </c>
      <c r="AV5530">
        <f>IF(V5530&gt;=AO5530-0.01,1,0)</f>
        <v/>
      </c>
      <c r="AW5530">
        <f>IF(W5530&gt;=AP5530-0.01,1,0)</f>
        <v/>
      </c>
      <c r="AX5530">
        <f>AQ5530*AR5530*AS5530*AT5530*AU5530*AV5530*AW5530</f>
        <v/>
      </c>
    </row>
    <row r="5531">
      <c r="A5531" t="inlineStr"/>
      <c r="B5531">
        <f>Assumptions!$B$60</f>
        <v/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  <c r="I5531" t="n">
        <v>1</v>
      </c>
      <c r="J5531">
        <f>(1-C5531)*Assumptions!$B$41+(1-D5531)*Assumptions!$B$33+(1-E5531)*Assumptions!$B$32+(1-F5531)*Assumptions!$B$31+(1-G5531)*Assumptions!$B$30+(1-H5531)*Assumptions!$B$29+(1-I5531)*Assumptions!$B$28</f>
        <v/>
      </c>
      <c r="K5531">
        <f>C5531*$J$457+D5531*$F$457+E5531*$G$457+F5531*Assumptions!$B$14+G5531*Assumptions!$B$13+H5531*Assumptions!$B$12+I5531*Assumptions!$B$11+$O$457+$S$457+Assumptions!$B$9</f>
        <v/>
      </c>
      <c r="L5531">
        <f>B5531-J5531</f>
        <v/>
      </c>
      <c r="M5531">
        <f>IF(K5531&gt;0,IF(L5531/K5531&gt;=Assumptions!$B$37,1,0),0)</f>
        <v/>
      </c>
      <c r="N5531">
        <f>K5531+M5531*Assumptions!$B$153</f>
        <v/>
      </c>
      <c r="O5531">
        <f>L5531+M5531*Assumptions!$B$153*Assumptions!$B$37</f>
        <v/>
      </c>
      <c r="P5531">
        <f>IF(N5531&gt;0,O5531/N5531,0)</f>
        <v/>
      </c>
      <c r="Q5531">
        <f>IF(C5531=1,P5531*$J$457,Assumptions!$B$41)</f>
        <v/>
      </c>
      <c r="R5531">
        <f>IF(D5531=1,P5531*$F$457,Assumptions!$B$33)</f>
        <v/>
      </c>
      <c r="S5531">
        <f>IF(E5531=1,P5531*$G$457,Assumptions!$B$32)</f>
        <v/>
      </c>
      <c r="T5531">
        <f>IF(F5531=1,P5531*Assumptions!$B$14,Assumptions!$B$31)</f>
        <v/>
      </c>
      <c r="U5531">
        <f>IF(G5531=1,P5531*Assumptions!$B$13,Assumptions!$B$30)</f>
        <v/>
      </c>
      <c r="V5531">
        <f>IF(H5531=1,P5531*Assumptions!$B$12,Assumptions!$B$29)</f>
        <v/>
      </c>
      <c r="W5531">
        <f>IF(I5531=1,P5531*Assumptions!$B$11,Assumptions!$B$28)</f>
        <v/>
      </c>
      <c r="X5531">
        <f>P5531*($O$457+$S$457)</f>
        <v/>
      </c>
      <c r="Y5531">
        <f>P5531*Assumptions!$B$9</f>
        <v/>
      </c>
      <c r="Z5531">
        <f>IF(M5531=1,(P5531-Assumptions!$B$37)*Assumptions!$B$153,0)</f>
        <v/>
      </c>
      <c r="AA5531">
        <f>Q5531+R5531+S5531+T5531+U5531+V5531+W5531+X5531+Y5531+Z5531</f>
        <v/>
      </c>
      <c r="AB5531" t="n">
        <v>19</v>
      </c>
      <c r="AC5531" t="n">
        <v>83</v>
      </c>
      <c r="AD5531" t="n">
        <v>51</v>
      </c>
      <c r="AE5531" t="n">
        <v>3</v>
      </c>
      <c r="AF5531" t="n">
        <v>27</v>
      </c>
      <c r="AG5531" t="n">
        <v>23</v>
      </c>
      <c r="AH5531" t="n">
        <v>17</v>
      </c>
      <c r="AI5531" t="n">
        <v>18</v>
      </c>
      <c r="AJ5531">
        <f>INDEX($Q$5512:$Q$5639,AC5531+1)</f>
        <v/>
      </c>
      <c r="AK5531">
        <f>INDEX($R$5512:$R$5639,AD5531+1)</f>
        <v/>
      </c>
      <c r="AL5531">
        <f>INDEX($S$5512:$S$5639,AE5531+1)</f>
        <v/>
      </c>
      <c r="AM5531">
        <f>INDEX($T$5512:$T$5639,AF5531+1)</f>
        <v/>
      </c>
      <c r="AN5531">
        <f>INDEX($U$5512:$U$5639,AG5531+1)</f>
        <v/>
      </c>
      <c r="AO5531">
        <f>INDEX($V$5512:$V$5639,AH5531+1)</f>
        <v/>
      </c>
      <c r="AP5531">
        <f>INDEX($W$5512:$W$5639,AI5531+1)</f>
        <v/>
      </c>
      <c r="AQ5531">
        <f>IF(Q5531&gt;=AJ5531-0.01,1,0)</f>
        <v/>
      </c>
      <c r="AR5531">
        <f>IF(R5531&gt;=AK5531-0.01,1,0)</f>
        <v/>
      </c>
      <c r="AS5531">
        <f>IF(S5531&gt;=AL5531-0.01,1,0)</f>
        <v/>
      </c>
      <c r="AT5531">
        <f>IF(T5531&gt;=AM5531-0.01,1,0)</f>
        <v/>
      </c>
      <c r="AU5531">
        <f>IF(U5531&gt;=AN5531-0.01,1,0)</f>
        <v/>
      </c>
      <c r="AV5531">
        <f>IF(V5531&gt;=AO5531-0.01,1,0)</f>
        <v/>
      </c>
      <c r="AW5531">
        <f>IF(W5531&gt;=AP5531-0.01,1,0)</f>
        <v/>
      </c>
      <c r="AX5531">
        <f>AQ5531*AR5531*AS5531*AT5531*AU5531*AV5531*AW5531</f>
        <v/>
      </c>
    </row>
    <row r="5532">
      <c r="A5532" t="inlineStr"/>
      <c r="B5532">
        <f>Assumptions!$B$60</f>
        <v/>
      </c>
      <c r="C5532" t="n">
        <v>0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>
        <f>(1-C5532)*Assumptions!$B$41+(1-D5532)*Assumptions!$B$33+(1-E5532)*Assumptions!$B$32+(1-F5532)*Assumptions!$B$31+(1-G5532)*Assumptions!$B$30+(1-H5532)*Assumptions!$B$29+(1-I5532)*Assumptions!$B$28</f>
        <v/>
      </c>
      <c r="K5532">
        <f>C5532*$J$457+D5532*$F$457+E5532*$G$457+F5532*Assumptions!$B$14+G5532*Assumptions!$B$13+H5532*Assumptions!$B$12+I5532*Assumptions!$B$11+$O$457+$S$457+Assumptions!$B$9</f>
        <v/>
      </c>
      <c r="L5532">
        <f>B5532-J5532</f>
        <v/>
      </c>
      <c r="M5532">
        <f>IF(K5532&gt;0,IF(L5532/K5532&gt;=Assumptions!$B$37,1,0),0)</f>
        <v/>
      </c>
      <c r="N5532">
        <f>K5532+M5532*Assumptions!$B$153</f>
        <v/>
      </c>
      <c r="O5532">
        <f>L5532+M5532*Assumptions!$B$153*Assumptions!$B$37</f>
        <v/>
      </c>
      <c r="P5532">
        <f>IF(N5532&gt;0,O5532/N5532,0)</f>
        <v/>
      </c>
      <c r="Q5532">
        <f>IF(C5532=1,P5532*$J$457,Assumptions!$B$41)</f>
        <v/>
      </c>
      <c r="R5532">
        <f>IF(D5532=1,P5532*$F$457,Assumptions!$B$33)</f>
        <v/>
      </c>
      <c r="S5532">
        <f>IF(E5532=1,P5532*$G$457,Assumptions!$B$32)</f>
        <v/>
      </c>
      <c r="T5532">
        <f>IF(F5532=1,P5532*Assumptions!$B$14,Assumptions!$B$31)</f>
        <v/>
      </c>
      <c r="U5532">
        <f>IF(G5532=1,P5532*Assumptions!$B$13,Assumptions!$B$30)</f>
        <v/>
      </c>
      <c r="V5532">
        <f>IF(H5532=1,P5532*Assumptions!$B$12,Assumptions!$B$29)</f>
        <v/>
      </c>
      <c r="W5532">
        <f>IF(I5532=1,P5532*Assumptions!$B$11,Assumptions!$B$28)</f>
        <v/>
      </c>
      <c r="X5532">
        <f>P5532*($O$457+$S$457)</f>
        <v/>
      </c>
      <c r="Y5532">
        <f>P5532*Assumptions!$B$9</f>
        <v/>
      </c>
      <c r="Z5532">
        <f>IF(M5532=1,(P5532-Assumptions!$B$37)*Assumptions!$B$153,0)</f>
        <v/>
      </c>
      <c r="AA5532">
        <f>Q5532+R5532+S5532+T5532+U5532+V5532+W5532+X5532+Y5532+Z5532</f>
        <v/>
      </c>
      <c r="AB5532" t="n">
        <v>20</v>
      </c>
      <c r="AC5532" t="n">
        <v>84</v>
      </c>
      <c r="AD5532" t="n">
        <v>52</v>
      </c>
      <c r="AE5532" t="n">
        <v>4</v>
      </c>
      <c r="AF5532" t="n">
        <v>28</v>
      </c>
      <c r="AG5532" t="n">
        <v>16</v>
      </c>
      <c r="AH5532" t="n">
        <v>22</v>
      </c>
      <c r="AI5532" t="n">
        <v>21</v>
      </c>
      <c r="AJ5532">
        <f>INDEX($Q$5512:$Q$5639,AC5532+1)</f>
        <v/>
      </c>
      <c r="AK5532">
        <f>INDEX($R$5512:$R$5639,AD5532+1)</f>
        <v/>
      </c>
      <c r="AL5532">
        <f>INDEX($S$5512:$S$5639,AE5532+1)</f>
        <v/>
      </c>
      <c r="AM5532">
        <f>INDEX($T$5512:$T$5639,AF5532+1)</f>
        <v/>
      </c>
      <c r="AN5532">
        <f>INDEX($U$5512:$U$5639,AG5532+1)</f>
        <v/>
      </c>
      <c r="AO5532">
        <f>INDEX($V$5512:$V$5639,AH5532+1)</f>
        <v/>
      </c>
      <c r="AP5532">
        <f>INDEX($W$5512:$W$5639,AI5532+1)</f>
        <v/>
      </c>
      <c r="AQ5532">
        <f>IF(Q5532&gt;=AJ5532-0.01,1,0)</f>
        <v/>
      </c>
      <c r="AR5532">
        <f>IF(R5532&gt;=AK5532-0.01,1,0)</f>
        <v/>
      </c>
      <c r="AS5532">
        <f>IF(S5532&gt;=AL5532-0.01,1,0)</f>
        <v/>
      </c>
      <c r="AT5532">
        <f>IF(T5532&gt;=AM5532-0.01,1,0)</f>
        <v/>
      </c>
      <c r="AU5532">
        <f>IF(U5532&gt;=AN5532-0.01,1,0)</f>
        <v/>
      </c>
      <c r="AV5532">
        <f>IF(V5532&gt;=AO5532-0.01,1,0)</f>
        <v/>
      </c>
      <c r="AW5532">
        <f>IF(W5532&gt;=AP5532-0.01,1,0)</f>
        <v/>
      </c>
      <c r="AX5532">
        <f>AQ5532*AR5532*AS5532*AT5532*AU5532*AV5532*AW5532</f>
        <v/>
      </c>
    </row>
    <row r="5533">
      <c r="A5533" t="inlineStr"/>
      <c r="B5533">
        <f>Assumptions!$B$60</f>
        <v/>
      </c>
      <c r="C5533" t="n">
        <v>0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1</v>
      </c>
      <c r="J5533">
        <f>(1-C5533)*Assumptions!$B$41+(1-D5533)*Assumptions!$B$33+(1-E5533)*Assumptions!$B$32+(1-F5533)*Assumptions!$B$31+(1-G5533)*Assumptions!$B$30+(1-H5533)*Assumptions!$B$29+(1-I5533)*Assumptions!$B$28</f>
        <v/>
      </c>
      <c r="K5533">
        <f>C5533*$J$457+D5533*$F$457+E5533*$G$457+F5533*Assumptions!$B$14+G5533*Assumptions!$B$13+H5533*Assumptions!$B$12+I5533*Assumptions!$B$11+$O$457+$S$457+Assumptions!$B$9</f>
        <v/>
      </c>
      <c r="L5533">
        <f>B5533-J5533</f>
        <v/>
      </c>
      <c r="M5533">
        <f>IF(K5533&gt;0,IF(L5533/K5533&gt;=Assumptions!$B$37,1,0),0)</f>
        <v/>
      </c>
      <c r="N5533">
        <f>K5533+M5533*Assumptions!$B$153</f>
        <v/>
      </c>
      <c r="O5533">
        <f>L5533+M5533*Assumptions!$B$153*Assumptions!$B$37</f>
        <v/>
      </c>
      <c r="P5533">
        <f>IF(N5533&gt;0,O5533/N5533,0)</f>
        <v/>
      </c>
      <c r="Q5533">
        <f>IF(C5533=1,P5533*$J$457,Assumptions!$B$41)</f>
        <v/>
      </c>
      <c r="R5533">
        <f>IF(D5533=1,P5533*$F$457,Assumptions!$B$33)</f>
        <v/>
      </c>
      <c r="S5533">
        <f>IF(E5533=1,P5533*$G$457,Assumptions!$B$32)</f>
        <v/>
      </c>
      <c r="T5533">
        <f>IF(F5533=1,P5533*Assumptions!$B$14,Assumptions!$B$31)</f>
        <v/>
      </c>
      <c r="U5533">
        <f>IF(G5533=1,P5533*Assumptions!$B$13,Assumptions!$B$30)</f>
        <v/>
      </c>
      <c r="V5533">
        <f>IF(H5533=1,P5533*Assumptions!$B$12,Assumptions!$B$29)</f>
        <v/>
      </c>
      <c r="W5533">
        <f>IF(I5533=1,P5533*Assumptions!$B$11,Assumptions!$B$28)</f>
        <v/>
      </c>
      <c r="X5533">
        <f>P5533*($O$457+$S$457)</f>
        <v/>
      </c>
      <c r="Y5533">
        <f>P5533*Assumptions!$B$9</f>
        <v/>
      </c>
      <c r="Z5533">
        <f>IF(M5533=1,(P5533-Assumptions!$B$37)*Assumptions!$B$153,0)</f>
        <v/>
      </c>
      <c r="AA5533">
        <f>Q5533+R5533+S5533+T5533+U5533+V5533+W5533+X5533+Y5533+Z5533</f>
        <v/>
      </c>
      <c r="AB5533" t="n">
        <v>21</v>
      </c>
      <c r="AC5533" t="n">
        <v>85</v>
      </c>
      <c r="AD5533" t="n">
        <v>53</v>
      </c>
      <c r="AE5533" t="n">
        <v>5</v>
      </c>
      <c r="AF5533" t="n">
        <v>29</v>
      </c>
      <c r="AG5533" t="n">
        <v>17</v>
      </c>
      <c r="AH5533" t="n">
        <v>23</v>
      </c>
      <c r="AI5533" t="n">
        <v>20</v>
      </c>
      <c r="AJ5533">
        <f>INDEX($Q$5512:$Q$5639,AC5533+1)</f>
        <v/>
      </c>
      <c r="AK5533">
        <f>INDEX($R$5512:$R$5639,AD5533+1)</f>
        <v/>
      </c>
      <c r="AL5533">
        <f>INDEX($S$5512:$S$5639,AE5533+1)</f>
        <v/>
      </c>
      <c r="AM5533">
        <f>INDEX($T$5512:$T$5639,AF5533+1)</f>
        <v/>
      </c>
      <c r="AN5533">
        <f>INDEX($U$5512:$U$5639,AG5533+1)</f>
        <v/>
      </c>
      <c r="AO5533">
        <f>INDEX($V$5512:$V$5639,AH5533+1)</f>
        <v/>
      </c>
      <c r="AP5533">
        <f>INDEX($W$5512:$W$5639,AI5533+1)</f>
        <v/>
      </c>
      <c r="AQ5533">
        <f>IF(Q5533&gt;=AJ5533-0.01,1,0)</f>
        <v/>
      </c>
      <c r="AR5533">
        <f>IF(R5533&gt;=AK5533-0.01,1,0)</f>
        <v/>
      </c>
      <c r="AS5533">
        <f>IF(S5533&gt;=AL5533-0.01,1,0)</f>
        <v/>
      </c>
      <c r="AT5533">
        <f>IF(T5533&gt;=AM5533-0.01,1,0)</f>
        <v/>
      </c>
      <c r="AU5533">
        <f>IF(U5533&gt;=AN5533-0.01,1,0)</f>
        <v/>
      </c>
      <c r="AV5533">
        <f>IF(V5533&gt;=AO5533-0.01,1,0)</f>
        <v/>
      </c>
      <c r="AW5533">
        <f>IF(W5533&gt;=AP5533-0.01,1,0)</f>
        <v/>
      </c>
      <c r="AX5533">
        <f>AQ5533*AR5533*AS5533*AT5533*AU5533*AV5533*AW5533</f>
        <v/>
      </c>
    </row>
    <row r="5534">
      <c r="A5534" t="inlineStr"/>
      <c r="B5534">
        <f>Assumptions!$B$60</f>
        <v/>
      </c>
      <c r="C5534" t="n">
        <v>0</v>
      </c>
      <c r="D5534" t="n">
        <v>0</v>
      </c>
      <c r="E5534" t="n">
        <v>1</v>
      </c>
      <c r="F5534" t="n">
        <v>0</v>
      </c>
      <c r="G5534" t="n">
        <v>1</v>
      </c>
      <c r="H5534" t="n">
        <v>1</v>
      </c>
      <c r="I5534" t="n">
        <v>0</v>
      </c>
      <c r="J5534">
        <f>(1-C5534)*Assumptions!$B$41+(1-D5534)*Assumptions!$B$33+(1-E5534)*Assumptions!$B$32+(1-F5534)*Assumptions!$B$31+(1-G5534)*Assumptions!$B$30+(1-H5534)*Assumptions!$B$29+(1-I5534)*Assumptions!$B$28</f>
        <v/>
      </c>
      <c r="K5534">
        <f>C5534*$J$457+D5534*$F$457+E5534*$G$457+F5534*Assumptions!$B$14+G5534*Assumptions!$B$13+H5534*Assumptions!$B$12+I5534*Assumptions!$B$11+$O$457+$S$457+Assumptions!$B$9</f>
        <v/>
      </c>
      <c r="L5534">
        <f>B5534-J5534</f>
        <v/>
      </c>
      <c r="M5534">
        <f>IF(K5534&gt;0,IF(L5534/K5534&gt;=Assumptions!$B$37,1,0),0)</f>
        <v/>
      </c>
      <c r="N5534">
        <f>K5534+M5534*Assumptions!$B$153</f>
        <v/>
      </c>
      <c r="O5534">
        <f>L5534+M5534*Assumptions!$B$153*Assumptions!$B$37</f>
        <v/>
      </c>
      <c r="P5534">
        <f>IF(N5534&gt;0,O5534/N5534,0)</f>
        <v/>
      </c>
      <c r="Q5534">
        <f>IF(C5534=1,P5534*$J$457,Assumptions!$B$41)</f>
        <v/>
      </c>
      <c r="R5534">
        <f>IF(D5534=1,P5534*$F$457,Assumptions!$B$33)</f>
        <v/>
      </c>
      <c r="S5534">
        <f>IF(E5534=1,P5534*$G$457,Assumptions!$B$32)</f>
        <v/>
      </c>
      <c r="T5534">
        <f>IF(F5534=1,P5534*Assumptions!$B$14,Assumptions!$B$31)</f>
        <v/>
      </c>
      <c r="U5534">
        <f>IF(G5534=1,P5534*Assumptions!$B$13,Assumptions!$B$30)</f>
        <v/>
      </c>
      <c r="V5534">
        <f>IF(H5534=1,P5534*Assumptions!$B$12,Assumptions!$B$29)</f>
        <v/>
      </c>
      <c r="W5534">
        <f>IF(I5534=1,P5534*Assumptions!$B$11,Assumptions!$B$28)</f>
        <v/>
      </c>
      <c r="X5534">
        <f>P5534*($O$457+$S$457)</f>
        <v/>
      </c>
      <c r="Y5534">
        <f>P5534*Assumptions!$B$9</f>
        <v/>
      </c>
      <c r="Z5534">
        <f>IF(M5534=1,(P5534-Assumptions!$B$37)*Assumptions!$B$153,0)</f>
        <v/>
      </c>
      <c r="AA5534">
        <f>Q5534+R5534+S5534+T5534+U5534+V5534+W5534+X5534+Y5534+Z5534</f>
        <v/>
      </c>
      <c r="AB5534" t="n">
        <v>22</v>
      </c>
      <c r="AC5534" t="n">
        <v>86</v>
      </c>
      <c r="AD5534" t="n">
        <v>54</v>
      </c>
      <c r="AE5534" t="n">
        <v>6</v>
      </c>
      <c r="AF5534" t="n">
        <v>30</v>
      </c>
      <c r="AG5534" t="n">
        <v>18</v>
      </c>
      <c r="AH5534" t="n">
        <v>20</v>
      </c>
      <c r="AI5534" t="n">
        <v>23</v>
      </c>
      <c r="AJ5534">
        <f>INDEX($Q$5512:$Q$5639,AC5534+1)</f>
        <v/>
      </c>
      <c r="AK5534">
        <f>INDEX($R$5512:$R$5639,AD5534+1)</f>
        <v/>
      </c>
      <c r="AL5534">
        <f>INDEX($S$5512:$S$5639,AE5534+1)</f>
        <v/>
      </c>
      <c r="AM5534">
        <f>INDEX($T$5512:$T$5639,AF5534+1)</f>
        <v/>
      </c>
      <c r="AN5534">
        <f>INDEX($U$5512:$U$5639,AG5534+1)</f>
        <v/>
      </c>
      <c r="AO5534">
        <f>INDEX($V$5512:$V$5639,AH5534+1)</f>
        <v/>
      </c>
      <c r="AP5534">
        <f>INDEX($W$5512:$W$5639,AI5534+1)</f>
        <v/>
      </c>
      <c r="AQ5534">
        <f>IF(Q5534&gt;=AJ5534-0.01,1,0)</f>
        <v/>
      </c>
      <c r="AR5534">
        <f>IF(R5534&gt;=AK5534-0.01,1,0)</f>
        <v/>
      </c>
      <c r="AS5534">
        <f>IF(S5534&gt;=AL5534-0.01,1,0)</f>
        <v/>
      </c>
      <c r="AT5534">
        <f>IF(T5534&gt;=AM5534-0.01,1,0)</f>
        <v/>
      </c>
      <c r="AU5534">
        <f>IF(U5534&gt;=AN5534-0.01,1,0)</f>
        <v/>
      </c>
      <c r="AV5534">
        <f>IF(V5534&gt;=AO5534-0.01,1,0)</f>
        <v/>
      </c>
      <c r="AW5534">
        <f>IF(W5534&gt;=AP5534-0.01,1,0)</f>
        <v/>
      </c>
      <c r="AX5534">
        <f>AQ5534*AR5534*AS5534*AT5534*AU5534*AV5534*AW5534</f>
        <v/>
      </c>
    </row>
    <row r="5535">
      <c r="A5535" t="inlineStr"/>
      <c r="B5535">
        <f>Assumptions!$B$60</f>
        <v/>
      </c>
      <c r="C5535" t="n">
        <v>0</v>
      </c>
      <c r="D5535" t="n">
        <v>0</v>
      </c>
      <c r="E5535" t="n">
        <v>1</v>
      </c>
      <c r="F5535" t="n">
        <v>0</v>
      </c>
      <c r="G5535" t="n">
        <v>1</v>
      </c>
      <c r="H5535" t="n">
        <v>1</v>
      </c>
      <c r="I5535" t="n">
        <v>1</v>
      </c>
      <c r="J5535">
        <f>(1-C5535)*Assumptions!$B$41+(1-D5535)*Assumptions!$B$33+(1-E5535)*Assumptions!$B$32+(1-F5535)*Assumptions!$B$31+(1-G5535)*Assumptions!$B$30+(1-H5535)*Assumptions!$B$29+(1-I5535)*Assumptions!$B$28</f>
        <v/>
      </c>
      <c r="K5535">
        <f>C5535*$J$457+D5535*$F$457+E5535*$G$457+F5535*Assumptions!$B$14+G5535*Assumptions!$B$13+H5535*Assumptions!$B$12+I5535*Assumptions!$B$11+$O$457+$S$457+Assumptions!$B$9</f>
        <v/>
      </c>
      <c r="L5535">
        <f>B5535-J5535</f>
        <v/>
      </c>
      <c r="M5535">
        <f>IF(K5535&gt;0,IF(L5535/K5535&gt;=Assumptions!$B$37,1,0),0)</f>
        <v/>
      </c>
      <c r="N5535">
        <f>K5535+M5535*Assumptions!$B$153</f>
        <v/>
      </c>
      <c r="O5535">
        <f>L5535+M5535*Assumptions!$B$153*Assumptions!$B$37</f>
        <v/>
      </c>
      <c r="P5535">
        <f>IF(N5535&gt;0,O5535/N5535,0)</f>
        <v/>
      </c>
      <c r="Q5535">
        <f>IF(C5535=1,P5535*$J$457,Assumptions!$B$41)</f>
        <v/>
      </c>
      <c r="R5535">
        <f>IF(D5535=1,P5535*$F$457,Assumptions!$B$33)</f>
        <v/>
      </c>
      <c r="S5535">
        <f>IF(E5535=1,P5535*$G$457,Assumptions!$B$32)</f>
        <v/>
      </c>
      <c r="T5535">
        <f>IF(F5535=1,P5535*Assumptions!$B$14,Assumptions!$B$31)</f>
        <v/>
      </c>
      <c r="U5535">
        <f>IF(G5535=1,P5535*Assumptions!$B$13,Assumptions!$B$30)</f>
        <v/>
      </c>
      <c r="V5535">
        <f>IF(H5535=1,P5535*Assumptions!$B$12,Assumptions!$B$29)</f>
        <v/>
      </c>
      <c r="W5535">
        <f>IF(I5535=1,P5535*Assumptions!$B$11,Assumptions!$B$28)</f>
        <v/>
      </c>
      <c r="X5535">
        <f>P5535*($O$457+$S$457)</f>
        <v/>
      </c>
      <c r="Y5535">
        <f>P5535*Assumptions!$B$9</f>
        <v/>
      </c>
      <c r="Z5535">
        <f>IF(M5535=1,(P5535-Assumptions!$B$37)*Assumptions!$B$153,0)</f>
        <v/>
      </c>
      <c r="AA5535">
        <f>Q5535+R5535+S5535+T5535+U5535+V5535+W5535+X5535+Y5535+Z5535</f>
        <v/>
      </c>
      <c r="AB5535" t="n">
        <v>23</v>
      </c>
      <c r="AC5535" t="n">
        <v>87</v>
      </c>
      <c r="AD5535" t="n">
        <v>55</v>
      </c>
      <c r="AE5535" t="n">
        <v>7</v>
      </c>
      <c r="AF5535" t="n">
        <v>31</v>
      </c>
      <c r="AG5535" t="n">
        <v>19</v>
      </c>
      <c r="AH5535" t="n">
        <v>21</v>
      </c>
      <c r="AI5535" t="n">
        <v>22</v>
      </c>
      <c r="AJ5535">
        <f>INDEX($Q$5512:$Q$5639,AC5535+1)</f>
        <v/>
      </c>
      <c r="AK5535">
        <f>INDEX($R$5512:$R$5639,AD5535+1)</f>
        <v/>
      </c>
      <c r="AL5535">
        <f>INDEX($S$5512:$S$5639,AE5535+1)</f>
        <v/>
      </c>
      <c r="AM5535">
        <f>INDEX($T$5512:$T$5639,AF5535+1)</f>
        <v/>
      </c>
      <c r="AN5535">
        <f>INDEX($U$5512:$U$5639,AG5535+1)</f>
        <v/>
      </c>
      <c r="AO5535">
        <f>INDEX($V$5512:$V$5639,AH5535+1)</f>
        <v/>
      </c>
      <c r="AP5535">
        <f>INDEX($W$5512:$W$5639,AI5535+1)</f>
        <v/>
      </c>
      <c r="AQ5535">
        <f>IF(Q5535&gt;=AJ5535-0.01,1,0)</f>
        <v/>
      </c>
      <c r="AR5535">
        <f>IF(R5535&gt;=AK5535-0.01,1,0)</f>
        <v/>
      </c>
      <c r="AS5535">
        <f>IF(S5535&gt;=AL5535-0.01,1,0)</f>
        <v/>
      </c>
      <c r="AT5535">
        <f>IF(T5535&gt;=AM5535-0.01,1,0)</f>
        <v/>
      </c>
      <c r="AU5535">
        <f>IF(U5535&gt;=AN5535-0.01,1,0)</f>
        <v/>
      </c>
      <c r="AV5535">
        <f>IF(V5535&gt;=AO5535-0.01,1,0)</f>
        <v/>
      </c>
      <c r="AW5535">
        <f>IF(W5535&gt;=AP5535-0.01,1,0)</f>
        <v/>
      </c>
      <c r="AX5535">
        <f>AQ5535*AR5535*AS5535*AT5535*AU5535*AV5535*AW5535</f>
        <v/>
      </c>
    </row>
    <row r="5536">
      <c r="A5536" t="inlineStr"/>
      <c r="B5536">
        <f>Assumptions!$B$60</f>
        <v/>
      </c>
      <c r="C5536" t="n">
        <v>0</v>
      </c>
      <c r="D5536" t="n">
        <v>0</v>
      </c>
      <c r="E5536" t="n">
        <v>1</v>
      </c>
      <c r="F5536" t="n">
        <v>1</v>
      </c>
      <c r="G5536" t="n">
        <v>0</v>
      </c>
      <c r="H5536" t="n">
        <v>0</v>
      </c>
      <c r="I5536" t="n">
        <v>0</v>
      </c>
      <c r="J5536">
        <f>(1-C5536)*Assumptions!$B$41+(1-D5536)*Assumptions!$B$33+(1-E5536)*Assumptions!$B$32+(1-F5536)*Assumptions!$B$31+(1-G5536)*Assumptions!$B$30+(1-H5536)*Assumptions!$B$29+(1-I5536)*Assumptions!$B$28</f>
        <v/>
      </c>
      <c r="K5536">
        <f>C5536*$J$457+D5536*$F$457+E5536*$G$457+F5536*Assumptions!$B$14+G5536*Assumptions!$B$13+H5536*Assumptions!$B$12+I5536*Assumptions!$B$11+$O$457+$S$457+Assumptions!$B$9</f>
        <v/>
      </c>
      <c r="L5536">
        <f>B5536-J5536</f>
        <v/>
      </c>
      <c r="M5536">
        <f>IF(K5536&gt;0,IF(L5536/K5536&gt;=Assumptions!$B$37,1,0),0)</f>
        <v/>
      </c>
      <c r="N5536">
        <f>K5536+M5536*Assumptions!$B$153</f>
        <v/>
      </c>
      <c r="O5536">
        <f>L5536+M5536*Assumptions!$B$153*Assumptions!$B$37</f>
        <v/>
      </c>
      <c r="P5536">
        <f>IF(N5536&gt;0,O5536/N5536,0)</f>
        <v/>
      </c>
      <c r="Q5536">
        <f>IF(C5536=1,P5536*$J$457,Assumptions!$B$41)</f>
        <v/>
      </c>
      <c r="R5536">
        <f>IF(D5536=1,P5536*$F$457,Assumptions!$B$33)</f>
        <v/>
      </c>
      <c r="S5536">
        <f>IF(E5536=1,P5536*$G$457,Assumptions!$B$32)</f>
        <v/>
      </c>
      <c r="T5536">
        <f>IF(F5536=1,P5536*Assumptions!$B$14,Assumptions!$B$31)</f>
        <v/>
      </c>
      <c r="U5536">
        <f>IF(G5536=1,P5536*Assumptions!$B$13,Assumptions!$B$30)</f>
        <v/>
      </c>
      <c r="V5536">
        <f>IF(H5536=1,P5536*Assumptions!$B$12,Assumptions!$B$29)</f>
        <v/>
      </c>
      <c r="W5536">
        <f>IF(I5536=1,P5536*Assumptions!$B$11,Assumptions!$B$28)</f>
        <v/>
      </c>
      <c r="X5536">
        <f>P5536*($O$457+$S$457)</f>
        <v/>
      </c>
      <c r="Y5536">
        <f>P5536*Assumptions!$B$9</f>
        <v/>
      </c>
      <c r="Z5536">
        <f>IF(M5536=1,(P5536-Assumptions!$B$37)*Assumptions!$B$153,0)</f>
        <v/>
      </c>
      <c r="AA5536">
        <f>Q5536+R5536+S5536+T5536+U5536+V5536+W5536+X5536+Y5536+Z5536</f>
        <v/>
      </c>
      <c r="AB5536" t="n">
        <v>24</v>
      </c>
      <c r="AC5536" t="n">
        <v>88</v>
      </c>
      <c r="AD5536" t="n">
        <v>56</v>
      </c>
      <c r="AE5536" t="n">
        <v>8</v>
      </c>
      <c r="AF5536" t="n">
        <v>16</v>
      </c>
      <c r="AG5536" t="n">
        <v>28</v>
      </c>
      <c r="AH5536" t="n">
        <v>26</v>
      </c>
      <c r="AI5536" t="n">
        <v>25</v>
      </c>
      <c r="AJ5536">
        <f>INDEX($Q$5512:$Q$5639,AC5536+1)</f>
        <v/>
      </c>
      <c r="AK5536">
        <f>INDEX($R$5512:$R$5639,AD5536+1)</f>
        <v/>
      </c>
      <c r="AL5536">
        <f>INDEX($S$5512:$S$5639,AE5536+1)</f>
        <v/>
      </c>
      <c r="AM5536">
        <f>INDEX($T$5512:$T$5639,AF5536+1)</f>
        <v/>
      </c>
      <c r="AN5536">
        <f>INDEX($U$5512:$U$5639,AG5536+1)</f>
        <v/>
      </c>
      <c r="AO5536">
        <f>INDEX($V$5512:$V$5639,AH5536+1)</f>
        <v/>
      </c>
      <c r="AP5536">
        <f>INDEX($W$5512:$W$5639,AI5536+1)</f>
        <v/>
      </c>
      <c r="AQ5536">
        <f>IF(Q5536&gt;=AJ5536-0.01,1,0)</f>
        <v/>
      </c>
      <c r="AR5536">
        <f>IF(R5536&gt;=AK5536-0.01,1,0)</f>
        <v/>
      </c>
      <c r="AS5536">
        <f>IF(S5536&gt;=AL5536-0.01,1,0)</f>
        <v/>
      </c>
      <c r="AT5536">
        <f>IF(T5536&gt;=AM5536-0.01,1,0)</f>
        <v/>
      </c>
      <c r="AU5536">
        <f>IF(U5536&gt;=AN5536-0.01,1,0)</f>
        <v/>
      </c>
      <c r="AV5536">
        <f>IF(V5536&gt;=AO5536-0.01,1,0)</f>
        <v/>
      </c>
      <c r="AW5536">
        <f>IF(W5536&gt;=AP5536-0.01,1,0)</f>
        <v/>
      </c>
      <c r="AX5536">
        <f>AQ5536*AR5536*AS5536*AT5536*AU5536*AV5536*AW5536</f>
        <v/>
      </c>
    </row>
    <row r="5537">
      <c r="A5537" t="inlineStr"/>
      <c r="B5537">
        <f>Assumptions!$B$60</f>
        <v/>
      </c>
      <c r="C5537" t="n">
        <v>0</v>
      </c>
      <c r="D5537" t="n">
        <v>0</v>
      </c>
      <c r="E5537" t="n">
        <v>1</v>
      </c>
      <c r="F5537" t="n">
        <v>1</v>
      </c>
      <c r="G5537" t="n">
        <v>0</v>
      </c>
      <c r="H5537" t="n">
        <v>0</v>
      </c>
      <c r="I5537" t="n">
        <v>1</v>
      </c>
      <c r="J5537">
        <f>(1-C5537)*Assumptions!$B$41+(1-D5537)*Assumptions!$B$33+(1-E5537)*Assumptions!$B$32+(1-F5537)*Assumptions!$B$31+(1-G5537)*Assumptions!$B$30+(1-H5537)*Assumptions!$B$29+(1-I5537)*Assumptions!$B$28</f>
        <v/>
      </c>
      <c r="K5537">
        <f>C5537*$J$457+D5537*$F$457+E5537*$G$457+F5537*Assumptions!$B$14+G5537*Assumptions!$B$13+H5537*Assumptions!$B$12+I5537*Assumptions!$B$11+$O$457+$S$457+Assumptions!$B$9</f>
        <v/>
      </c>
      <c r="L5537">
        <f>B5537-J5537</f>
        <v/>
      </c>
      <c r="M5537">
        <f>IF(K5537&gt;0,IF(L5537/K5537&gt;=Assumptions!$B$37,1,0),0)</f>
        <v/>
      </c>
      <c r="N5537">
        <f>K5537+M5537*Assumptions!$B$153</f>
        <v/>
      </c>
      <c r="O5537">
        <f>L5537+M5537*Assumptions!$B$153*Assumptions!$B$37</f>
        <v/>
      </c>
      <c r="P5537">
        <f>IF(N5537&gt;0,O5537/N5537,0)</f>
        <v/>
      </c>
      <c r="Q5537">
        <f>IF(C5537=1,P5537*$J$457,Assumptions!$B$41)</f>
        <v/>
      </c>
      <c r="R5537">
        <f>IF(D5537=1,P5537*$F$457,Assumptions!$B$33)</f>
        <v/>
      </c>
      <c r="S5537">
        <f>IF(E5537=1,P5537*$G$457,Assumptions!$B$32)</f>
        <v/>
      </c>
      <c r="T5537">
        <f>IF(F5537=1,P5537*Assumptions!$B$14,Assumptions!$B$31)</f>
        <v/>
      </c>
      <c r="U5537">
        <f>IF(G5537=1,P5537*Assumptions!$B$13,Assumptions!$B$30)</f>
        <v/>
      </c>
      <c r="V5537">
        <f>IF(H5537=1,P5537*Assumptions!$B$12,Assumptions!$B$29)</f>
        <v/>
      </c>
      <c r="W5537">
        <f>IF(I5537=1,P5537*Assumptions!$B$11,Assumptions!$B$28)</f>
        <v/>
      </c>
      <c r="X5537">
        <f>P5537*($O$457+$S$457)</f>
        <v/>
      </c>
      <c r="Y5537">
        <f>P5537*Assumptions!$B$9</f>
        <v/>
      </c>
      <c r="Z5537">
        <f>IF(M5537=1,(P5537-Assumptions!$B$37)*Assumptions!$B$153,0)</f>
        <v/>
      </c>
      <c r="AA5537">
        <f>Q5537+R5537+S5537+T5537+U5537+V5537+W5537+X5537+Y5537+Z5537</f>
        <v/>
      </c>
      <c r="AB5537" t="n">
        <v>25</v>
      </c>
      <c r="AC5537" t="n">
        <v>89</v>
      </c>
      <c r="AD5537" t="n">
        <v>57</v>
      </c>
      <c r="AE5537" t="n">
        <v>9</v>
      </c>
      <c r="AF5537" t="n">
        <v>17</v>
      </c>
      <c r="AG5537" t="n">
        <v>29</v>
      </c>
      <c r="AH5537" t="n">
        <v>27</v>
      </c>
      <c r="AI5537" t="n">
        <v>24</v>
      </c>
      <c r="AJ5537">
        <f>INDEX($Q$5512:$Q$5639,AC5537+1)</f>
        <v/>
      </c>
      <c r="AK5537">
        <f>INDEX($R$5512:$R$5639,AD5537+1)</f>
        <v/>
      </c>
      <c r="AL5537">
        <f>INDEX($S$5512:$S$5639,AE5537+1)</f>
        <v/>
      </c>
      <c r="AM5537">
        <f>INDEX($T$5512:$T$5639,AF5537+1)</f>
        <v/>
      </c>
      <c r="AN5537">
        <f>INDEX($U$5512:$U$5639,AG5537+1)</f>
        <v/>
      </c>
      <c r="AO5537">
        <f>INDEX($V$5512:$V$5639,AH5537+1)</f>
        <v/>
      </c>
      <c r="AP5537">
        <f>INDEX($W$5512:$W$5639,AI5537+1)</f>
        <v/>
      </c>
      <c r="AQ5537">
        <f>IF(Q5537&gt;=AJ5537-0.01,1,0)</f>
        <v/>
      </c>
      <c r="AR5537">
        <f>IF(R5537&gt;=AK5537-0.01,1,0)</f>
        <v/>
      </c>
      <c r="AS5537">
        <f>IF(S5537&gt;=AL5537-0.01,1,0)</f>
        <v/>
      </c>
      <c r="AT5537">
        <f>IF(T5537&gt;=AM5537-0.01,1,0)</f>
        <v/>
      </c>
      <c r="AU5537">
        <f>IF(U5537&gt;=AN5537-0.01,1,0)</f>
        <v/>
      </c>
      <c r="AV5537">
        <f>IF(V5537&gt;=AO5537-0.01,1,0)</f>
        <v/>
      </c>
      <c r="AW5537">
        <f>IF(W5537&gt;=AP5537-0.01,1,0)</f>
        <v/>
      </c>
      <c r="AX5537">
        <f>AQ5537*AR5537*AS5537*AT5537*AU5537*AV5537*AW5537</f>
        <v/>
      </c>
    </row>
    <row r="5538">
      <c r="A5538" t="inlineStr"/>
      <c r="B5538">
        <f>Assumptions!$B$60</f>
        <v/>
      </c>
      <c r="C5538" t="n">
        <v>0</v>
      </c>
      <c r="D5538" t="n">
        <v>0</v>
      </c>
      <c r="E5538" t="n">
        <v>1</v>
      </c>
      <c r="F5538" t="n">
        <v>1</v>
      </c>
      <c r="G5538" t="n">
        <v>0</v>
      </c>
      <c r="H5538" t="n">
        <v>1</v>
      </c>
      <c r="I5538" t="n">
        <v>0</v>
      </c>
      <c r="J5538">
        <f>(1-C5538)*Assumptions!$B$41+(1-D5538)*Assumptions!$B$33+(1-E5538)*Assumptions!$B$32+(1-F5538)*Assumptions!$B$31+(1-G5538)*Assumptions!$B$30+(1-H5538)*Assumptions!$B$29+(1-I5538)*Assumptions!$B$28</f>
        <v/>
      </c>
      <c r="K5538">
        <f>C5538*$J$457+D5538*$F$457+E5538*$G$457+F5538*Assumptions!$B$14+G5538*Assumptions!$B$13+H5538*Assumptions!$B$12+I5538*Assumptions!$B$11+$O$457+$S$457+Assumptions!$B$9</f>
        <v/>
      </c>
      <c r="L5538">
        <f>B5538-J5538</f>
        <v/>
      </c>
      <c r="M5538">
        <f>IF(K5538&gt;0,IF(L5538/K5538&gt;=Assumptions!$B$37,1,0),0)</f>
        <v/>
      </c>
      <c r="N5538">
        <f>K5538+M5538*Assumptions!$B$153</f>
        <v/>
      </c>
      <c r="O5538">
        <f>L5538+M5538*Assumptions!$B$153*Assumptions!$B$37</f>
        <v/>
      </c>
      <c r="P5538">
        <f>IF(N5538&gt;0,O5538/N5538,0)</f>
        <v/>
      </c>
      <c r="Q5538">
        <f>IF(C5538=1,P5538*$J$457,Assumptions!$B$41)</f>
        <v/>
      </c>
      <c r="R5538">
        <f>IF(D5538=1,P5538*$F$457,Assumptions!$B$33)</f>
        <v/>
      </c>
      <c r="S5538">
        <f>IF(E5538=1,P5538*$G$457,Assumptions!$B$32)</f>
        <v/>
      </c>
      <c r="T5538">
        <f>IF(F5538=1,P5538*Assumptions!$B$14,Assumptions!$B$31)</f>
        <v/>
      </c>
      <c r="U5538">
        <f>IF(G5538=1,P5538*Assumptions!$B$13,Assumptions!$B$30)</f>
        <v/>
      </c>
      <c r="V5538">
        <f>IF(H5538=1,P5538*Assumptions!$B$12,Assumptions!$B$29)</f>
        <v/>
      </c>
      <c r="W5538">
        <f>IF(I5538=1,P5538*Assumptions!$B$11,Assumptions!$B$28)</f>
        <v/>
      </c>
      <c r="X5538">
        <f>P5538*($O$457+$S$457)</f>
        <v/>
      </c>
      <c r="Y5538">
        <f>P5538*Assumptions!$B$9</f>
        <v/>
      </c>
      <c r="Z5538">
        <f>IF(M5538=1,(P5538-Assumptions!$B$37)*Assumptions!$B$153,0)</f>
        <v/>
      </c>
      <c r="AA5538">
        <f>Q5538+R5538+S5538+T5538+U5538+V5538+W5538+X5538+Y5538+Z5538</f>
        <v/>
      </c>
      <c r="AB5538" t="n">
        <v>26</v>
      </c>
      <c r="AC5538" t="n">
        <v>90</v>
      </c>
      <c r="AD5538" t="n">
        <v>58</v>
      </c>
      <c r="AE5538" t="n">
        <v>10</v>
      </c>
      <c r="AF5538" t="n">
        <v>18</v>
      </c>
      <c r="AG5538" t="n">
        <v>30</v>
      </c>
      <c r="AH5538" t="n">
        <v>24</v>
      </c>
      <c r="AI5538" t="n">
        <v>27</v>
      </c>
      <c r="AJ5538">
        <f>INDEX($Q$5512:$Q$5639,AC5538+1)</f>
        <v/>
      </c>
      <c r="AK5538">
        <f>INDEX($R$5512:$R$5639,AD5538+1)</f>
        <v/>
      </c>
      <c r="AL5538">
        <f>INDEX($S$5512:$S$5639,AE5538+1)</f>
        <v/>
      </c>
      <c r="AM5538">
        <f>INDEX($T$5512:$T$5639,AF5538+1)</f>
        <v/>
      </c>
      <c r="AN5538">
        <f>INDEX($U$5512:$U$5639,AG5538+1)</f>
        <v/>
      </c>
      <c r="AO5538">
        <f>INDEX($V$5512:$V$5639,AH5538+1)</f>
        <v/>
      </c>
      <c r="AP5538">
        <f>INDEX($W$5512:$W$5639,AI5538+1)</f>
        <v/>
      </c>
      <c r="AQ5538">
        <f>IF(Q5538&gt;=AJ5538-0.01,1,0)</f>
        <v/>
      </c>
      <c r="AR5538">
        <f>IF(R5538&gt;=AK5538-0.01,1,0)</f>
        <v/>
      </c>
      <c r="AS5538">
        <f>IF(S5538&gt;=AL5538-0.01,1,0)</f>
        <v/>
      </c>
      <c r="AT5538">
        <f>IF(T5538&gt;=AM5538-0.01,1,0)</f>
        <v/>
      </c>
      <c r="AU5538">
        <f>IF(U5538&gt;=AN5538-0.01,1,0)</f>
        <v/>
      </c>
      <c r="AV5538">
        <f>IF(V5538&gt;=AO5538-0.01,1,0)</f>
        <v/>
      </c>
      <c r="AW5538">
        <f>IF(W5538&gt;=AP5538-0.01,1,0)</f>
        <v/>
      </c>
      <c r="AX5538">
        <f>AQ5538*AR5538*AS5538*AT5538*AU5538*AV5538*AW5538</f>
        <v/>
      </c>
    </row>
    <row r="5539">
      <c r="A5539" t="inlineStr"/>
      <c r="B5539">
        <f>Assumptions!$B$60</f>
        <v/>
      </c>
      <c r="C5539" t="n">
        <v>0</v>
      </c>
      <c r="D5539" t="n">
        <v>0</v>
      </c>
      <c r="E5539" t="n">
        <v>1</v>
      </c>
      <c r="F5539" t="n">
        <v>1</v>
      </c>
      <c r="G5539" t="n">
        <v>0</v>
      </c>
      <c r="H5539" t="n">
        <v>1</v>
      </c>
      <c r="I5539" t="n">
        <v>1</v>
      </c>
      <c r="J5539">
        <f>(1-C5539)*Assumptions!$B$41+(1-D5539)*Assumptions!$B$33+(1-E5539)*Assumptions!$B$32+(1-F5539)*Assumptions!$B$31+(1-G5539)*Assumptions!$B$30+(1-H5539)*Assumptions!$B$29+(1-I5539)*Assumptions!$B$28</f>
        <v/>
      </c>
      <c r="K5539">
        <f>C5539*$J$457+D5539*$F$457+E5539*$G$457+F5539*Assumptions!$B$14+G5539*Assumptions!$B$13+H5539*Assumptions!$B$12+I5539*Assumptions!$B$11+$O$457+$S$457+Assumptions!$B$9</f>
        <v/>
      </c>
      <c r="L5539">
        <f>B5539-J5539</f>
        <v/>
      </c>
      <c r="M5539">
        <f>IF(K5539&gt;0,IF(L5539/K5539&gt;=Assumptions!$B$37,1,0),0)</f>
        <v/>
      </c>
      <c r="N5539">
        <f>K5539+M5539*Assumptions!$B$153</f>
        <v/>
      </c>
      <c r="O5539">
        <f>L5539+M5539*Assumptions!$B$153*Assumptions!$B$37</f>
        <v/>
      </c>
      <c r="P5539">
        <f>IF(N5539&gt;0,O5539/N5539,0)</f>
        <v/>
      </c>
      <c r="Q5539">
        <f>IF(C5539=1,P5539*$J$457,Assumptions!$B$41)</f>
        <v/>
      </c>
      <c r="R5539">
        <f>IF(D5539=1,P5539*$F$457,Assumptions!$B$33)</f>
        <v/>
      </c>
      <c r="S5539">
        <f>IF(E5539=1,P5539*$G$457,Assumptions!$B$32)</f>
        <v/>
      </c>
      <c r="T5539">
        <f>IF(F5539=1,P5539*Assumptions!$B$14,Assumptions!$B$31)</f>
        <v/>
      </c>
      <c r="U5539">
        <f>IF(G5539=1,P5539*Assumptions!$B$13,Assumptions!$B$30)</f>
        <v/>
      </c>
      <c r="V5539">
        <f>IF(H5539=1,P5539*Assumptions!$B$12,Assumptions!$B$29)</f>
        <v/>
      </c>
      <c r="W5539">
        <f>IF(I5539=1,P5539*Assumptions!$B$11,Assumptions!$B$28)</f>
        <v/>
      </c>
      <c r="X5539">
        <f>P5539*($O$457+$S$457)</f>
        <v/>
      </c>
      <c r="Y5539">
        <f>P5539*Assumptions!$B$9</f>
        <v/>
      </c>
      <c r="Z5539">
        <f>IF(M5539=1,(P5539-Assumptions!$B$37)*Assumptions!$B$153,0)</f>
        <v/>
      </c>
      <c r="AA5539">
        <f>Q5539+R5539+S5539+T5539+U5539+V5539+W5539+X5539+Y5539+Z5539</f>
        <v/>
      </c>
      <c r="AB5539" t="n">
        <v>27</v>
      </c>
      <c r="AC5539" t="n">
        <v>91</v>
      </c>
      <c r="AD5539" t="n">
        <v>59</v>
      </c>
      <c r="AE5539" t="n">
        <v>11</v>
      </c>
      <c r="AF5539" t="n">
        <v>19</v>
      </c>
      <c r="AG5539" t="n">
        <v>31</v>
      </c>
      <c r="AH5539" t="n">
        <v>25</v>
      </c>
      <c r="AI5539" t="n">
        <v>26</v>
      </c>
      <c r="AJ5539">
        <f>INDEX($Q$5512:$Q$5639,AC5539+1)</f>
        <v/>
      </c>
      <c r="AK5539">
        <f>INDEX($R$5512:$R$5639,AD5539+1)</f>
        <v/>
      </c>
      <c r="AL5539">
        <f>INDEX($S$5512:$S$5639,AE5539+1)</f>
        <v/>
      </c>
      <c r="AM5539">
        <f>INDEX($T$5512:$T$5639,AF5539+1)</f>
        <v/>
      </c>
      <c r="AN5539">
        <f>INDEX($U$5512:$U$5639,AG5539+1)</f>
        <v/>
      </c>
      <c r="AO5539">
        <f>INDEX($V$5512:$V$5639,AH5539+1)</f>
        <v/>
      </c>
      <c r="AP5539">
        <f>INDEX($W$5512:$W$5639,AI5539+1)</f>
        <v/>
      </c>
      <c r="AQ5539">
        <f>IF(Q5539&gt;=AJ5539-0.01,1,0)</f>
        <v/>
      </c>
      <c r="AR5539">
        <f>IF(R5539&gt;=AK5539-0.01,1,0)</f>
        <v/>
      </c>
      <c r="AS5539">
        <f>IF(S5539&gt;=AL5539-0.01,1,0)</f>
        <v/>
      </c>
      <c r="AT5539">
        <f>IF(T5539&gt;=AM5539-0.01,1,0)</f>
        <v/>
      </c>
      <c r="AU5539">
        <f>IF(U5539&gt;=AN5539-0.01,1,0)</f>
        <v/>
      </c>
      <c r="AV5539">
        <f>IF(V5539&gt;=AO5539-0.01,1,0)</f>
        <v/>
      </c>
      <c r="AW5539">
        <f>IF(W5539&gt;=AP5539-0.01,1,0)</f>
        <v/>
      </c>
      <c r="AX5539">
        <f>AQ5539*AR5539*AS5539*AT5539*AU5539*AV5539*AW5539</f>
        <v/>
      </c>
    </row>
    <row r="5540">
      <c r="A5540" t="inlineStr"/>
      <c r="B5540">
        <f>Assumptions!$B$60</f>
        <v/>
      </c>
      <c r="C5540" t="n">
        <v>0</v>
      </c>
      <c r="D5540" t="n">
        <v>0</v>
      </c>
      <c r="E5540" t="n">
        <v>1</v>
      </c>
      <c r="F5540" t="n">
        <v>1</v>
      </c>
      <c r="G5540" t="n">
        <v>1</v>
      </c>
      <c r="H5540" t="n">
        <v>0</v>
      </c>
      <c r="I5540" t="n">
        <v>0</v>
      </c>
      <c r="J5540">
        <f>(1-C5540)*Assumptions!$B$41+(1-D5540)*Assumptions!$B$33+(1-E5540)*Assumptions!$B$32+(1-F5540)*Assumptions!$B$31+(1-G5540)*Assumptions!$B$30+(1-H5540)*Assumptions!$B$29+(1-I5540)*Assumptions!$B$28</f>
        <v/>
      </c>
      <c r="K5540">
        <f>C5540*$J$457+D5540*$F$457+E5540*$G$457+F5540*Assumptions!$B$14+G5540*Assumptions!$B$13+H5540*Assumptions!$B$12+I5540*Assumptions!$B$11+$O$457+$S$457+Assumptions!$B$9</f>
        <v/>
      </c>
      <c r="L5540">
        <f>B5540-J5540</f>
        <v/>
      </c>
      <c r="M5540">
        <f>IF(K5540&gt;0,IF(L5540/K5540&gt;=Assumptions!$B$37,1,0),0)</f>
        <v/>
      </c>
      <c r="N5540">
        <f>K5540+M5540*Assumptions!$B$153</f>
        <v/>
      </c>
      <c r="O5540">
        <f>L5540+M5540*Assumptions!$B$153*Assumptions!$B$37</f>
        <v/>
      </c>
      <c r="P5540">
        <f>IF(N5540&gt;0,O5540/N5540,0)</f>
        <v/>
      </c>
      <c r="Q5540">
        <f>IF(C5540=1,P5540*$J$457,Assumptions!$B$41)</f>
        <v/>
      </c>
      <c r="R5540">
        <f>IF(D5540=1,P5540*$F$457,Assumptions!$B$33)</f>
        <v/>
      </c>
      <c r="S5540">
        <f>IF(E5540=1,P5540*$G$457,Assumptions!$B$32)</f>
        <v/>
      </c>
      <c r="T5540">
        <f>IF(F5540=1,P5540*Assumptions!$B$14,Assumptions!$B$31)</f>
        <v/>
      </c>
      <c r="U5540">
        <f>IF(G5540=1,P5540*Assumptions!$B$13,Assumptions!$B$30)</f>
        <v/>
      </c>
      <c r="V5540">
        <f>IF(H5540=1,P5540*Assumptions!$B$12,Assumptions!$B$29)</f>
        <v/>
      </c>
      <c r="W5540">
        <f>IF(I5540=1,P5540*Assumptions!$B$11,Assumptions!$B$28)</f>
        <v/>
      </c>
      <c r="X5540">
        <f>P5540*($O$457+$S$457)</f>
        <v/>
      </c>
      <c r="Y5540">
        <f>P5540*Assumptions!$B$9</f>
        <v/>
      </c>
      <c r="Z5540">
        <f>IF(M5540=1,(P5540-Assumptions!$B$37)*Assumptions!$B$153,0)</f>
        <v/>
      </c>
      <c r="AA5540">
        <f>Q5540+R5540+S5540+T5540+U5540+V5540+W5540+X5540+Y5540+Z5540</f>
        <v/>
      </c>
      <c r="AB5540" t="n">
        <v>28</v>
      </c>
      <c r="AC5540" t="n">
        <v>92</v>
      </c>
      <c r="AD5540" t="n">
        <v>60</v>
      </c>
      <c r="AE5540" t="n">
        <v>12</v>
      </c>
      <c r="AF5540" t="n">
        <v>20</v>
      </c>
      <c r="AG5540" t="n">
        <v>24</v>
      </c>
      <c r="AH5540" t="n">
        <v>30</v>
      </c>
      <c r="AI5540" t="n">
        <v>29</v>
      </c>
      <c r="AJ5540">
        <f>INDEX($Q$5512:$Q$5639,AC5540+1)</f>
        <v/>
      </c>
      <c r="AK5540">
        <f>INDEX($R$5512:$R$5639,AD5540+1)</f>
        <v/>
      </c>
      <c r="AL5540">
        <f>INDEX($S$5512:$S$5639,AE5540+1)</f>
        <v/>
      </c>
      <c r="AM5540">
        <f>INDEX($T$5512:$T$5639,AF5540+1)</f>
        <v/>
      </c>
      <c r="AN5540">
        <f>INDEX($U$5512:$U$5639,AG5540+1)</f>
        <v/>
      </c>
      <c r="AO5540">
        <f>INDEX($V$5512:$V$5639,AH5540+1)</f>
        <v/>
      </c>
      <c r="AP5540">
        <f>INDEX($W$5512:$W$5639,AI5540+1)</f>
        <v/>
      </c>
      <c r="AQ5540">
        <f>IF(Q5540&gt;=AJ5540-0.01,1,0)</f>
        <v/>
      </c>
      <c r="AR5540">
        <f>IF(R5540&gt;=AK5540-0.01,1,0)</f>
        <v/>
      </c>
      <c r="AS5540">
        <f>IF(S5540&gt;=AL5540-0.01,1,0)</f>
        <v/>
      </c>
      <c r="AT5540">
        <f>IF(T5540&gt;=AM5540-0.01,1,0)</f>
        <v/>
      </c>
      <c r="AU5540">
        <f>IF(U5540&gt;=AN5540-0.01,1,0)</f>
        <v/>
      </c>
      <c r="AV5540">
        <f>IF(V5540&gt;=AO5540-0.01,1,0)</f>
        <v/>
      </c>
      <c r="AW5540">
        <f>IF(W5540&gt;=AP5540-0.01,1,0)</f>
        <v/>
      </c>
      <c r="AX5540">
        <f>AQ5540*AR5540*AS5540*AT5540*AU5540*AV5540*AW5540</f>
        <v/>
      </c>
    </row>
    <row r="5541">
      <c r="A5541" t="inlineStr"/>
      <c r="B5541">
        <f>Assumptions!$B$60</f>
        <v/>
      </c>
      <c r="C5541" t="n">
        <v>0</v>
      </c>
      <c r="D5541" t="n">
        <v>0</v>
      </c>
      <c r="E5541" t="n">
        <v>1</v>
      </c>
      <c r="F5541" t="n">
        <v>1</v>
      </c>
      <c r="G5541" t="n">
        <v>1</v>
      </c>
      <c r="H5541" t="n">
        <v>0</v>
      </c>
      <c r="I5541" t="n">
        <v>1</v>
      </c>
      <c r="J5541">
        <f>(1-C5541)*Assumptions!$B$41+(1-D5541)*Assumptions!$B$33+(1-E5541)*Assumptions!$B$32+(1-F5541)*Assumptions!$B$31+(1-G5541)*Assumptions!$B$30+(1-H5541)*Assumptions!$B$29+(1-I5541)*Assumptions!$B$28</f>
        <v/>
      </c>
      <c r="K5541">
        <f>C5541*$J$457+D5541*$F$457+E5541*$G$457+F5541*Assumptions!$B$14+G5541*Assumptions!$B$13+H5541*Assumptions!$B$12+I5541*Assumptions!$B$11+$O$457+$S$457+Assumptions!$B$9</f>
        <v/>
      </c>
      <c r="L5541">
        <f>B5541-J5541</f>
        <v/>
      </c>
      <c r="M5541">
        <f>IF(K5541&gt;0,IF(L5541/K5541&gt;=Assumptions!$B$37,1,0),0)</f>
        <v/>
      </c>
      <c r="N5541">
        <f>K5541+M5541*Assumptions!$B$153</f>
        <v/>
      </c>
      <c r="O5541">
        <f>L5541+M5541*Assumptions!$B$153*Assumptions!$B$37</f>
        <v/>
      </c>
      <c r="P5541">
        <f>IF(N5541&gt;0,O5541/N5541,0)</f>
        <v/>
      </c>
      <c r="Q5541">
        <f>IF(C5541=1,P5541*$J$457,Assumptions!$B$41)</f>
        <v/>
      </c>
      <c r="R5541">
        <f>IF(D5541=1,P5541*$F$457,Assumptions!$B$33)</f>
        <v/>
      </c>
      <c r="S5541">
        <f>IF(E5541=1,P5541*$G$457,Assumptions!$B$32)</f>
        <v/>
      </c>
      <c r="T5541">
        <f>IF(F5541=1,P5541*Assumptions!$B$14,Assumptions!$B$31)</f>
        <v/>
      </c>
      <c r="U5541">
        <f>IF(G5541=1,P5541*Assumptions!$B$13,Assumptions!$B$30)</f>
        <v/>
      </c>
      <c r="V5541">
        <f>IF(H5541=1,P5541*Assumptions!$B$12,Assumptions!$B$29)</f>
        <v/>
      </c>
      <c r="W5541">
        <f>IF(I5541=1,P5541*Assumptions!$B$11,Assumptions!$B$28)</f>
        <v/>
      </c>
      <c r="X5541">
        <f>P5541*($O$457+$S$457)</f>
        <v/>
      </c>
      <c r="Y5541">
        <f>P5541*Assumptions!$B$9</f>
        <v/>
      </c>
      <c r="Z5541">
        <f>IF(M5541=1,(P5541-Assumptions!$B$37)*Assumptions!$B$153,0)</f>
        <v/>
      </c>
      <c r="AA5541">
        <f>Q5541+R5541+S5541+T5541+U5541+V5541+W5541+X5541+Y5541+Z5541</f>
        <v/>
      </c>
      <c r="AB5541" t="n">
        <v>29</v>
      </c>
      <c r="AC5541" t="n">
        <v>93</v>
      </c>
      <c r="AD5541" t="n">
        <v>61</v>
      </c>
      <c r="AE5541" t="n">
        <v>13</v>
      </c>
      <c r="AF5541" t="n">
        <v>21</v>
      </c>
      <c r="AG5541" t="n">
        <v>25</v>
      </c>
      <c r="AH5541" t="n">
        <v>31</v>
      </c>
      <c r="AI5541" t="n">
        <v>28</v>
      </c>
      <c r="AJ5541">
        <f>INDEX($Q$5512:$Q$5639,AC5541+1)</f>
        <v/>
      </c>
      <c r="AK5541">
        <f>INDEX($R$5512:$R$5639,AD5541+1)</f>
        <v/>
      </c>
      <c r="AL5541">
        <f>INDEX($S$5512:$S$5639,AE5541+1)</f>
        <v/>
      </c>
      <c r="AM5541">
        <f>INDEX($T$5512:$T$5639,AF5541+1)</f>
        <v/>
      </c>
      <c r="AN5541">
        <f>INDEX($U$5512:$U$5639,AG5541+1)</f>
        <v/>
      </c>
      <c r="AO5541">
        <f>INDEX($V$5512:$V$5639,AH5541+1)</f>
        <v/>
      </c>
      <c r="AP5541">
        <f>INDEX($W$5512:$W$5639,AI5541+1)</f>
        <v/>
      </c>
      <c r="AQ5541">
        <f>IF(Q5541&gt;=AJ5541-0.01,1,0)</f>
        <v/>
      </c>
      <c r="AR5541">
        <f>IF(R5541&gt;=AK5541-0.01,1,0)</f>
        <v/>
      </c>
      <c r="AS5541">
        <f>IF(S5541&gt;=AL5541-0.01,1,0)</f>
        <v/>
      </c>
      <c r="AT5541">
        <f>IF(T5541&gt;=AM5541-0.01,1,0)</f>
        <v/>
      </c>
      <c r="AU5541">
        <f>IF(U5541&gt;=AN5541-0.01,1,0)</f>
        <v/>
      </c>
      <c r="AV5541">
        <f>IF(V5541&gt;=AO5541-0.01,1,0)</f>
        <v/>
      </c>
      <c r="AW5541">
        <f>IF(W5541&gt;=AP5541-0.01,1,0)</f>
        <v/>
      </c>
      <c r="AX5541">
        <f>AQ5541*AR5541*AS5541*AT5541*AU5541*AV5541*AW5541</f>
        <v/>
      </c>
    </row>
    <row r="5542">
      <c r="A5542" t="inlineStr"/>
      <c r="B5542">
        <f>Assumptions!$B$60</f>
        <v/>
      </c>
      <c r="C5542" t="n">
        <v>0</v>
      </c>
      <c r="D5542" t="n">
        <v>0</v>
      </c>
      <c r="E5542" t="n">
        <v>1</v>
      </c>
      <c r="F5542" t="n">
        <v>1</v>
      </c>
      <c r="G5542" t="n">
        <v>1</v>
      </c>
      <c r="H5542" t="n">
        <v>1</v>
      </c>
      <c r="I5542" t="n">
        <v>0</v>
      </c>
      <c r="J5542">
        <f>(1-C5542)*Assumptions!$B$41+(1-D5542)*Assumptions!$B$33+(1-E5542)*Assumptions!$B$32+(1-F5542)*Assumptions!$B$31+(1-G5542)*Assumptions!$B$30+(1-H5542)*Assumptions!$B$29+(1-I5542)*Assumptions!$B$28</f>
        <v/>
      </c>
      <c r="K5542">
        <f>C5542*$J$457+D5542*$F$457+E5542*$G$457+F5542*Assumptions!$B$14+G5542*Assumptions!$B$13+H5542*Assumptions!$B$12+I5542*Assumptions!$B$11+$O$457+$S$457+Assumptions!$B$9</f>
        <v/>
      </c>
      <c r="L5542">
        <f>B5542-J5542</f>
        <v/>
      </c>
      <c r="M5542">
        <f>IF(K5542&gt;0,IF(L5542/K5542&gt;=Assumptions!$B$37,1,0),0)</f>
        <v/>
      </c>
      <c r="N5542">
        <f>K5542+M5542*Assumptions!$B$153</f>
        <v/>
      </c>
      <c r="O5542">
        <f>L5542+M5542*Assumptions!$B$153*Assumptions!$B$37</f>
        <v/>
      </c>
      <c r="P5542">
        <f>IF(N5542&gt;0,O5542/N5542,0)</f>
        <v/>
      </c>
      <c r="Q5542">
        <f>IF(C5542=1,P5542*$J$457,Assumptions!$B$41)</f>
        <v/>
      </c>
      <c r="R5542">
        <f>IF(D5542=1,P5542*$F$457,Assumptions!$B$33)</f>
        <v/>
      </c>
      <c r="S5542">
        <f>IF(E5542=1,P5542*$G$457,Assumptions!$B$32)</f>
        <v/>
      </c>
      <c r="T5542">
        <f>IF(F5542=1,P5542*Assumptions!$B$14,Assumptions!$B$31)</f>
        <v/>
      </c>
      <c r="U5542">
        <f>IF(G5542=1,P5542*Assumptions!$B$13,Assumptions!$B$30)</f>
        <v/>
      </c>
      <c r="V5542">
        <f>IF(H5542=1,P5542*Assumptions!$B$12,Assumptions!$B$29)</f>
        <v/>
      </c>
      <c r="W5542">
        <f>IF(I5542=1,P5542*Assumptions!$B$11,Assumptions!$B$28)</f>
        <v/>
      </c>
      <c r="X5542">
        <f>P5542*($O$457+$S$457)</f>
        <v/>
      </c>
      <c r="Y5542">
        <f>P5542*Assumptions!$B$9</f>
        <v/>
      </c>
      <c r="Z5542">
        <f>IF(M5542=1,(P5542-Assumptions!$B$37)*Assumptions!$B$153,0)</f>
        <v/>
      </c>
      <c r="AA5542">
        <f>Q5542+R5542+S5542+T5542+U5542+V5542+W5542+X5542+Y5542+Z5542</f>
        <v/>
      </c>
      <c r="AB5542" t="n">
        <v>30</v>
      </c>
      <c r="AC5542" t="n">
        <v>94</v>
      </c>
      <c r="AD5542" t="n">
        <v>62</v>
      </c>
      <c r="AE5542" t="n">
        <v>14</v>
      </c>
      <c r="AF5542" t="n">
        <v>22</v>
      </c>
      <c r="AG5542" t="n">
        <v>26</v>
      </c>
      <c r="AH5542" t="n">
        <v>28</v>
      </c>
      <c r="AI5542" t="n">
        <v>31</v>
      </c>
      <c r="AJ5542">
        <f>INDEX($Q$5512:$Q$5639,AC5542+1)</f>
        <v/>
      </c>
      <c r="AK5542">
        <f>INDEX($R$5512:$R$5639,AD5542+1)</f>
        <v/>
      </c>
      <c r="AL5542">
        <f>INDEX($S$5512:$S$5639,AE5542+1)</f>
        <v/>
      </c>
      <c r="AM5542">
        <f>INDEX($T$5512:$T$5639,AF5542+1)</f>
        <v/>
      </c>
      <c r="AN5542">
        <f>INDEX($U$5512:$U$5639,AG5542+1)</f>
        <v/>
      </c>
      <c r="AO5542">
        <f>INDEX($V$5512:$V$5639,AH5542+1)</f>
        <v/>
      </c>
      <c r="AP5542">
        <f>INDEX($W$5512:$W$5639,AI5542+1)</f>
        <v/>
      </c>
      <c r="AQ5542">
        <f>IF(Q5542&gt;=AJ5542-0.01,1,0)</f>
        <v/>
      </c>
      <c r="AR5542">
        <f>IF(R5542&gt;=AK5542-0.01,1,0)</f>
        <v/>
      </c>
      <c r="AS5542">
        <f>IF(S5542&gt;=AL5542-0.01,1,0)</f>
        <v/>
      </c>
      <c r="AT5542">
        <f>IF(T5542&gt;=AM5542-0.01,1,0)</f>
        <v/>
      </c>
      <c r="AU5542">
        <f>IF(U5542&gt;=AN5542-0.01,1,0)</f>
        <v/>
      </c>
      <c r="AV5542">
        <f>IF(V5542&gt;=AO5542-0.01,1,0)</f>
        <v/>
      </c>
      <c r="AW5542">
        <f>IF(W5542&gt;=AP5542-0.01,1,0)</f>
        <v/>
      </c>
      <c r="AX5542">
        <f>AQ5542*AR5542*AS5542*AT5542*AU5542*AV5542*AW5542</f>
        <v/>
      </c>
    </row>
    <row r="5543">
      <c r="A5543" t="inlineStr"/>
      <c r="B5543">
        <f>Assumptions!$B$60</f>
        <v/>
      </c>
      <c r="C5543" t="n">
        <v>0</v>
      </c>
      <c r="D5543" t="n">
        <v>0</v>
      </c>
      <c r="E5543" t="n">
        <v>1</v>
      </c>
      <c r="F5543" t="n">
        <v>1</v>
      </c>
      <c r="G5543" t="n">
        <v>1</v>
      </c>
      <c r="H5543" t="n">
        <v>1</v>
      </c>
      <c r="I5543" t="n">
        <v>1</v>
      </c>
      <c r="J5543">
        <f>(1-C5543)*Assumptions!$B$41+(1-D5543)*Assumptions!$B$33+(1-E5543)*Assumptions!$B$32+(1-F5543)*Assumptions!$B$31+(1-G5543)*Assumptions!$B$30+(1-H5543)*Assumptions!$B$29+(1-I5543)*Assumptions!$B$28</f>
        <v/>
      </c>
      <c r="K5543">
        <f>C5543*$J$457+D5543*$F$457+E5543*$G$457+F5543*Assumptions!$B$14+G5543*Assumptions!$B$13+H5543*Assumptions!$B$12+I5543*Assumptions!$B$11+$O$457+$S$457+Assumptions!$B$9</f>
        <v/>
      </c>
      <c r="L5543">
        <f>B5543-J5543</f>
        <v/>
      </c>
      <c r="M5543">
        <f>IF(K5543&gt;0,IF(L5543/K5543&gt;=Assumptions!$B$37,1,0),0)</f>
        <v/>
      </c>
      <c r="N5543">
        <f>K5543+M5543*Assumptions!$B$153</f>
        <v/>
      </c>
      <c r="O5543">
        <f>L5543+M5543*Assumptions!$B$153*Assumptions!$B$37</f>
        <v/>
      </c>
      <c r="P5543">
        <f>IF(N5543&gt;0,O5543/N5543,0)</f>
        <v/>
      </c>
      <c r="Q5543">
        <f>IF(C5543=1,P5543*$J$457,Assumptions!$B$41)</f>
        <v/>
      </c>
      <c r="R5543">
        <f>IF(D5543=1,P5543*$F$457,Assumptions!$B$33)</f>
        <v/>
      </c>
      <c r="S5543">
        <f>IF(E5543=1,P5543*$G$457,Assumptions!$B$32)</f>
        <v/>
      </c>
      <c r="T5543">
        <f>IF(F5543=1,P5543*Assumptions!$B$14,Assumptions!$B$31)</f>
        <v/>
      </c>
      <c r="U5543">
        <f>IF(G5543=1,P5543*Assumptions!$B$13,Assumptions!$B$30)</f>
        <v/>
      </c>
      <c r="V5543">
        <f>IF(H5543=1,P5543*Assumptions!$B$12,Assumptions!$B$29)</f>
        <v/>
      </c>
      <c r="W5543">
        <f>IF(I5543=1,P5543*Assumptions!$B$11,Assumptions!$B$28)</f>
        <v/>
      </c>
      <c r="X5543">
        <f>P5543*($O$457+$S$457)</f>
        <v/>
      </c>
      <c r="Y5543">
        <f>P5543*Assumptions!$B$9</f>
        <v/>
      </c>
      <c r="Z5543">
        <f>IF(M5543=1,(P5543-Assumptions!$B$37)*Assumptions!$B$153,0)</f>
        <v/>
      </c>
      <c r="AA5543">
        <f>Q5543+R5543+S5543+T5543+U5543+V5543+W5543+X5543+Y5543+Z5543</f>
        <v/>
      </c>
      <c r="AB5543" t="n">
        <v>31</v>
      </c>
      <c r="AC5543" t="n">
        <v>95</v>
      </c>
      <c r="AD5543" t="n">
        <v>63</v>
      </c>
      <c r="AE5543" t="n">
        <v>15</v>
      </c>
      <c r="AF5543" t="n">
        <v>23</v>
      </c>
      <c r="AG5543" t="n">
        <v>27</v>
      </c>
      <c r="AH5543" t="n">
        <v>29</v>
      </c>
      <c r="AI5543" t="n">
        <v>30</v>
      </c>
      <c r="AJ5543">
        <f>INDEX($Q$5512:$Q$5639,AC5543+1)</f>
        <v/>
      </c>
      <c r="AK5543">
        <f>INDEX($R$5512:$R$5639,AD5543+1)</f>
        <v/>
      </c>
      <c r="AL5543">
        <f>INDEX($S$5512:$S$5639,AE5543+1)</f>
        <v/>
      </c>
      <c r="AM5543">
        <f>INDEX($T$5512:$T$5639,AF5543+1)</f>
        <v/>
      </c>
      <c r="AN5543">
        <f>INDEX($U$5512:$U$5639,AG5543+1)</f>
        <v/>
      </c>
      <c r="AO5543">
        <f>INDEX($V$5512:$V$5639,AH5543+1)</f>
        <v/>
      </c>
      <c r="AP5543">
        <f>INDEX($W$5512:$W$5639,AI5543+1)</f>
        <v/>
      </c>
      <c r="AQ5543">
        <f>IF(Q5543&gt;=AJ5543-0.01,1,0)</f>
        <v/>
      </c>
      <c r="AR5543">
        <f>IF(R5543&gt;=AK5543-0.01,1,0)</f>
        <v/>
      </c>
      <c r="AS5543">
        <f>IF(S5543&gt;=AL5543-0.01,1,0)</f>
        <v/>
      </c>
      <c r="AT5543">
        <f>IF(T5543&gt;=AM5543-0.01,1,0)</f>
        <v/>
      </c>
      <c r="AU5543">
        <f>IF(U5543&gt;=AN5543-0.01,1,0)</f>
        <v/>
      </c>
      <c r="AV5543">
        <f>IF(V5543&gt;=AO5543-0.01,1,0)</f>
        <v/>
      </c>
      <c r="AW5543">
        <f>IF(W5543&gt;=AP5543-0.01,1,0)</f>
        <v/>
      </c>
      <c r="AX5543">
        <f>AQ5543*AR5543*AS5543*AT5543*AU5543*AV5543*AW5543</f>
        <v/>
      </c>
    </row>
    <row r="5544">
      <c r="A5544" t="inlineStr"/>
      <c r="B5544">
        <f>Assumptions!$B$60</f>
        <v/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>
        <f>(1-C5544)*Assumptions!$B$41+(1-D5544)*Assumptions!$B$33+(1-E5544)*Assumptions!$B$32+(1-F5544)*Assumptions!$B$31+(1-G5544)*Assumptions!$B$30+(1-H5544)*Assumptions!$B$29+(1-I5544)*Assumptions!$B$28</f>
        <v/>
      </c>
      <c r="K5544">
        <f>C5544*$J$457+D5544*$F$457+E5544*$G$457+F5544*Assumptions!$B$14+G5544*Assumptions!$B$13+H5544*Assumptions!$B$12+I5544*Assumptions!$B$11+$O$457+$S$457+Assumptions!$B$9</f>
        <v/>
      </c>
      <c r="L5544">
        <f>B5544-J5544</f>
        <v/>
      </c>
      <c r="M5544">
        <f>IF(K5544&gt;0,IF(L5544/K5544&gt;=Assumptions!$B$37,1,0),0)</f>
        <v/>
      </c>
      <c r="N5544">
        <f>K5544+M5544*Assumptions!$B$153</f>
        <v/>
      </c>
      <c r="O5544">
        <f>L5544+M5544*Assumptions!$B$153*Assumptions!$B$37</f>
        <v/>
      </c>
      <c r="P5544">
        <f>IF(N5544&gt;0,O5544/N5544,0)</f>
        <v/>
      </c>
      <c r="Q5544">
        <f>IF(C5544=1,P5544*$J$457,Assumptions!$B$41)</f>
        <v/>
      </c>
      <c r="R5544">
        <f>IF(D5544=1,P5544*$F$457,Assumptions!$B$33)</f>
        <v/>
      </c>
      <c r="S5544">
        <f>IF(E5544=1,P5544*$G$457,Assumptions!$B$32)</f>
        <v/>
      </c>
      <c r="T5544">
        <f>IF(F5544=1,P5544*Assumptions!$B$14,Assumptions!$B$31)</f>
        <v/>
      </c>
      <c r="U5544">
        <f>IF(G5544=1,P5544*Assumptions!$B$13,Assumptions!$B$30)</f>
        <v/>
      </c>
      <c r="V5544">
        <f>IF(H5544=1,P5544*Assumptions!$B$12,Assumptions!$B$29)</f>
        <v/>
      </c>
      <c r="W5544">
        <f>IF(I5544=1,P5544*Assumptions!$B$11,Assumptions!$B$28)</f>
        <v/>
      </c>
      <c r="X5544">
        <f>P5544*($O$457+$S$457)</f>
        <v/>
      </c>
      <c r="Y5544">
        <f>P5544*Assumptions!$B$9</f>
        <v/>
      </c>
      <c r="Z5544">
        <f>IF(M5544=1,(P5544-Assumptions!$B$37)*Assumptions!$B$153,0)</f>
        <v/>
      </c>
      <c r="AA5544">
        <f>Q5544+R5544+S5544+T5544+U5544+V5544+W5544+X5544+Y5544+Z5544</f>
        <v/>
      </c>
      <c r="AB5544" t="n">
        <v>32</v>
      </c>
      <c r="AC5544" t="n">
        <v>96</v>
      </c>
      <c r="AD5544" t="n">
        <v>0</v>
      </c>
      <c r="AE5544" t="n">
        <v>48</v>
      </c>
      <c r="AF5544" t="n">
        <v>40</v>
      </c>
      <c r="AG5544" t="n">
        <v>36</v>
      </c>
      <c r="AH5544" t="n">
        <v>34</v>
      </c>
      <c r="AI5544" t="n">
        <v>33</v>
      </c>
      <c r="AJ5544">
        <f>INDEX($Q$5512:$Q$5639,AC5544+1)</f>
        <v/>
      </c>
      <c r="AK5544">
        <f>INDEX($R$5512:$R$5639,AD5544+1)</f>
        <v/>
      </c>
      <c r="AL5544">
        <f>INDEX($S$5512:$S$5639,AE5544+1)</f>
        <v/>
      </c>
      <c r="AM5544">
        <f>INDEX($T$5512:$T$5639,AF5544+1)</f>
        <v/>
      </c>
      <c r="AN5544">
        <f>INDEX($U$5512:$U$5639,AG5544+1)</f>
        <v/>
      </c>
      <c r="AO5544">
        <f>INDEX($V$5512:$V$5639,AH5544+1)</f>
        <v/>
      </c>
      <c r="AP5544">
        <f>INDEX($W$5512:$W$5639,AI5544+1)</f>
        <v/>
      </c>
      <c r="AQ5544">
        <f>IF(Q5544&gt;=AJ5544-0.01,1,0)</f>
        <v/>
      </c>
      <c r="AR5544">
        <f>IF(R5544&gt;=AK5544-0.01,1,0)</f>
        <v/>
      </c>
      <c r="AS5544">
        <f>IF(S5544&gt;=AL5544-0.01,1,0)</f>
        <v/>
      </c>
      <c r="AT5544">
        <f>IF(T5544&gt;=AM5544-0.01,1,0)</f>
        <v/>
      </c>
      <c r="AU5544">
        <f>IF(U5544&gt;=AN5544-0.01,1,0)</f>
        <v/>
      </c>
      <c r="AV5544">
        <f>IF(V5544&gt;=AO5544-0.01,1,0)</f>
        <v/>
      </c>
      <c r="AW5544">
        <f>IF(W5544&gt;=AP5544-0.01,1,0)</f>
        <v/>
      </c>
      <c r="AX5544">
        <f>AQ5544*AR5544*AS5544*AT5544*AU5544*AV5544*AW5544</f>
        <v/>
      </c>
    </row>
    <row r="5545">
      <c r="A5545" t="inlineStr"/>
      <c r="B5545">
        <f>Assumptions!$B$60</f>
        <v/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>
        <f>(1-C5545)*Assumptions!$B$41+(1-D5545)*Assumptions!$B$33+(1-E5545)*Assumptions!$B$32+(1-F5545)*Assumptions!$B$31+(1-G5545)*Assumptions!$B$30+(1-H5545)*Assumptions!$B$29+(1-I5545)*Assumptions!$B$28</f>
        <v/>
      </c>
      <c r="K5545">
        <f>C5545*$J$457+D5545*$F$457+E5545*$G$457+F5545*Assumptions!$B$14+G5545*Assumptions!$B$13+H5545*Assumptions!$B$12+I5545*Assumptions!$B$11+$O$457+$S$457+Assumptions!$B$9</f>
        <v/>
      </c>
      <c r="L5545">
        <f>B5545-J5545</f>
        <v/>
      </c>
      <c r="M5545">
        <f>IF(K5545&gt;0,IF(L5545/K5545&gt;=Assumptions!$B$37,1,0),0)</f>
        <v/>
      </c>
      <c r="N5545">
        <f>K5545+M5545*Assumptions!$B$153</f>
        <v/>
      </c>
      <c r="O5545">
        <f>L5545+M5545*Assumptions!$B$153*Assumptions!$B$37</f>
        <v/>
      </c>
      <c r="P5545">
        <f>IF(N5545&gt;0,O5545/N5545,0)</f>
        <v/>
      </c>
      <c r="Q5545">
        <f>IF(C5545=1,P5545*$J$457,Assumptions!$B$41)</f>
        <v/>
      </c>
      <c r="R5545">
        <f>IF(D5545=1,P5545*$F$457,Assumptions!$B$33)</f>
        <v/>
      </c>
      <c r="S5545">
        <f>IF(E5545=1,P5545*$G$457,Assumptions!$B$32)</f>
        <v/>
      </c>
      <c r="T5545">
        <f>IF(F5545=1,P5545*Assumptions!$B$14,Assumptions!$B$31)</f>
        <v/>
      </c>
      <c r="U5545">
        <f>IF(G5545=1,P5545*Assumptions!$B$13,Assumptions!$B$30)</f>
        <v/>
      </c>
      <c r="V5545">
        <f>IF(H5545=1,P5545*Assumptions!$B$12,Assumptions!$B$29)</f>
        <v/>
      </c>
      <c r="W5545">
        <f>IF(I5545=1,P5545*Assumptions!$B$11,Assumptions!$B$28)</f>
        <v/>
      </c>
      <c r="X5545">
        <f>P5545*($O$457+$S$457)</f>
        <v/>
      </c>
      <c r="Y5545">
        <f>P5545*Assumptions!$B$9</f>
        <v/>
      </c>
      <c r="Z5545">
        <f>IF(M5545=1,(P5545-Assumptions!$B$37)*Assumptions!$B$153,0)</f>
        <v/>
      </c>
      <c r="AA5545">
        <f>Q5545+R5545+S5545+T5545+U5545+V5545+W5545+X5545+Y5545+Z5545</f>
        <v/>
      </c>
      <c r="AB5545" t="n">
        <v>33</v>
      </c>
      <c r="AC5545" t="n">
        <v>97</v>
      </c>
      <c r="AD5545" t="n">
        <v>1</v>
      </c>
      <c r="AE5545" t="n">
        <v>49</v>
      </c>
      <c r="AF5545" t="n">
        <v>41</v>
      </c>
      <c r="AG5545" t="n">
        <v>37</v>
      </c>
      <c r="AH5545" t="n">
        <v>35</v>
      </c>
      <c r="AI5545" t="n">
        <v>32</v>
      </c>
      <c r="AJ5545">
        <f>INDEX($Q$5512:$Q$5639,AC5545+1)</f>
        <v/>
      </c>
      <c r="AK5545">
        <f>INDEX($R$5512:$R$5639,AD5545+1)</f>
        <v/>
      </c>
      <c r="AL5545">
        <f>INDEX($S$5512:$S$5639,AE5545+1)</f>
        <v/>
      </c>
      <c r="AM5545">
        <f>INDEX($T$5512:$T$5639,AF5545+1)</f>
        <v/>
      </c>
      <c r="AN5545">
        <f>INDEX($U$5512:$U$5639,AG5545+1)</f>
        <v/>
      </c>
      <c r="AO5545">
        <f>INDEX($V$5512:$V$5639,AH5545+1)</f>
        <v/>
      </c>
      <c r="AP5545">
        <f>INDEX($W$5512:$W$5639,AI5545+1)</f>
        <v/>
      </c>
      <c r="AQ5545">
        <f>IF(Q5545&gt;=AJ5545-0.01,1,0)</f>
        <v/>
      </c>
      <c r="AR5545">
        <f>IF(R5545&gt;=AK5545-0.01,1,0)</f>
        <v/>
      </c>
      <c r="AS5545">
        <f>IF(S5545&gt;=AL5545-0.01,1,0)</f>
        <v/>
      </c>
      <c r="AT5545">
        <f>IF(T5545&gt;=AM5545-0.01,1,0)</f>
        <v/>
      </c>
      <c r="AU5545">
        <f>IF(U5545&gt;=AN5545-0.01,1,0)</f>
        <v/>
      </c>
      <c r="AV5545">
        <f>IF(V5545&gt;=AO5545-0.01,1,0)</f>
        <v/>
      </c>
      <c r="AW5545">
        <f>IF(W5545&gt;=AP5545-0.01,1,0)</f>
        <v/>
      </c>
      <c r="AX5545">
        <f>AQ5545*AR5545*AS5545*AT5545*AU5545*AV5545*AW5545</f>
        <v/>
      </c>
    </row>
    <row r="5546">
      <c r="A5546" t="inlineStr"/>
      <c r="B5546">
        <f>Assumptions!$B$60</f>
        <v/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>
        <f>(1-C5546)*Assumptions!$B$41+(1-D5546)*Assumptions!$B$33+(1-E5546)*Assumptions!$B$32+(1-F5546)*Assumptions!$B$31+(1-G5546)*Assumptions!$B$30+(1-H5546)*Assumptions!$B$29+(1-I5546)*Assumptions!$B$28</f>
        <v/>
      </c>
      <c r="K5546">
        <f>C5546*$J$457+D5546*$F$457+E5546*$G$457+F5546*Assumptions!$B$14+G5546*Assumptions!$B$13+H5546*Assumptions!$B$12+I5546*Assumptions!$B$11+$O$457+$S$457+Assumptions!$B$9</f>
        <v/>
      </c>
      <c r="L5546">
        <f>B5546-J5546</f>
        <v/>
      </c>
      <c r="M5546">
        <f>IF(K5546&gt;0,IF(L5546/K5546&gt;=Assumptions!$B$37,1,0),0)</f>
        <v/>
      </c>
      <c r="N5546">
        <f>K5546+M5546*Assumptions!$B$153</f>
        <v/>
      </c>
      <c r="O5546">
        <f>L5546+M5546*Assumptions!$B$153*Assumptions!$B$37</f>
        <v/>
      </c>
      <c r="P5546">
        <f>IF(N5546&gt;0,O5546/N5546,0)</f>
        <v/>
      </c>
      <c r="Q5546">
        <f>IF(C5546=1,P5546*$J$457,Assumptions!$B$41)</f>
        <v/>
      </c>
      <c r="R5546">
        <f>IF(D5546=1,P5546*$F$457,Assumptions!$B$33)</f>
        <v/>
      </c>
      <c r="S5546">
        <f>IF(E5546=1,P5546*$G$457,Assumptions!$B$32)</f>
        <v/>
      </c>
      <c r="T5546">
        <f>IF(F5546=1,P5546*Assumptions!$B$14,Assumptions!$B$31)</f>
        <v/>
      </c>
      <c r="U5546">
        <f>IF(G5546=1,P5546*Assumptions!$B$13,Assumptions!$B$30)</f>
        <v/>
      </c>
      <c r="V5546">
        <f>IF(H5546=1,P5546*Assumptions!$B$12,Assumptions!$B$29)</f>
        <v/>
      </c>
      <c r="W5546">
        <f>IF(I5546=1,P5546*Assumptions!$B$11,Assumptions!$B$28)</f>
        <v/>
      </c>
      <c r="X5546">
        <f>P5546*($O$457+$S$457)</f>
        <v/>
      </c>
      <c r="Y5546">
        <f>P5546*Assumptions!$B$9</f>
        <v/>
      </c>
      <c r="Z5546">
        <f>IF(M5546=1,(P5546-Assumptions!$B$37)*Assumptions!$B$153,0)</f>
        <v/>
      </c>
      <c r="AA5546">
        <f>Q5546+R5546+S5546+T5546+U5546+V5546+W5546+X5546+Y5546+Z5546</f>
        <v/>
      </c>
      <c r="AB5546" t="n">
        <v>34</v>
      </c>
      <c r="AC5546" t="n">
        <v>98</v>
      </c>
      <c r="AD5546" t="n">
        <v>2</v>
      </c>
      <c r="AE5546" t="n">
        <v>50</v>
      </c>
      <c r="AF5546" t="n">
        <v>42</v>
      </c>
      <c r="AG5546" t="n">
        <v>38</v>
      </c>
      <c r="AH5546" t="n">
        <v>32</v>
      </c>
      <c r="AI5546" t="n">
        <v>35</v>
      </c>
      <c r="AJ5546">
        <f>INDEX($Q$5512:$Q$5639,AC5546+1)</f>
        <v/>
      </c>
      <c r="AK5546">
        <f>INDEX($R$5512:$R$5639,AD5546+1)</f>
        <v/>
      </c>
      <c r="AL5546">
        <f>INDEX($S$5512:$S$5639,AE5546+1)</f>
        <v/>
      </c>
      <c r="AM5546">
        <f>INDEX($T$5512:$T$5639,AF5546+1)</f>
        <v/>
      </c>
      <c r="AN5546">
        <f>INDEX($U$5512:$U$5639,AG5546+1)</f>
        <v/>
      </c>
      <c r="AO5546">
        <f>INDEX($V$5512:$V$5639,AH5546+1)</f>
        <v/>
      </c>
      <c r="AP5546">
        <f>INDEX($W$5512:$W$5639,AI5546+1)</f>
        <v/>
      </c>
      <c r="AQ5546">
        <f>IF(Q5546&gt;=AJ5546-0.01,1,0)</f>
        <v/>
      </c>
      <c r="AR5546">
        <f>IF(R5546&gt;=AK5546-0.01,1,0)</f>
        <v/>
      </c>
      <c r="AS5546">
        <f>IF(S5546&gt;=AL5546-0.01,1,0)</f>
        <v/>
      </c>
      <c r="AT5546">
        <f>IF(T5546&gt;=AM5546-0.01,1,0)</f>
        <v/>
      </c>
      <c r="AU5546">
        <f>IF(U5546&gt;=AN5546-0.01,1,0)</f>
        <v/>
      </c>
      <c r="AV5546">
        <f>IF(V5546&gt;=AO5546-0.01,1,0)</f>
        <v/>
      </c>
      <c r="AW5546">
        <f>IF(W5546&gt;=AP5546-0.01,1,0)</f>
        <v/>
      </c>
      <c r="AX5546">
        <f>AQ5546*AR5546*AS5546*AT5546*AU5546*AV5546*AW5546</f>
        <v/>
      </c>
    </row>
    <row r="5547">
      <c r="A5547" t="inlineStr"/>
      <c r="B5547">
        <f>Assumptions!$B$60</f>
        <v/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1</v>
      </c>
      <c r="I5547" t="n">
        <v>1</v>
      </c>
      <c r="J5547">
        <f>(1-C5547)*Assumptions!$B$41+(1-D5547)*Assumptions!$B$33+(1-E5547)*Assumptions!$B$32+(1-F5547)*Assumptions!$B$31+(1-G5547)*Assumptions!$B$30+(1-H5547)*Assumptions!$B$29+(1-I5547)*Assumptions!$B$28</f>
        <v/>
      </c>
      <c r="K5547">
        <f>C5547*$J$457+D5547*$F$457+E5547*$G$457+F5547*Assumptions!$B$14+G5547*Assumptions!$B$13+H5547*Assumptions!$B$12+I5547*Assumptions!$B$11+$O$457+$S$457+Assumptions!$B$9</f>
        <v/>
      </c>
      <c r="L5547">
        <f>B5547-J5547</f>
        <v/>
      </c>
      <c r="M5547">
        <f>IF(K5547&gt;0,IF(L5547/K5547&gt;=Assumptions!$B$37,1,0),0)</f>
        <v/>
      </c>
      <c r="N5547">
        <f>K5547+M5547*Assumptions!$B$153</f>
        <v/>
      </c>
      <c r="O5547">
        <f>L5547+M5547*Assumptions!$B$153*Assumptions!$B$37</f>
        <v/>
      </c>
      <c r="P5547">
        <f>IF(N5547&gt;0,O5547/N5547,0)</f>
        <v/>
      </c>
      <c r="Q5547">
        <f>IF(C5547=1,P5547*$J$457,Assumptions!$B$41)</f>
        <v/>
      </c>
      <c r="R5547">
        <f>IF(D5547=1,P5547*$F$457,Assumptions!$B$33)</f>
        <v/>
      </c>
      <c r="S5547">
        <f>IF(E5547=1,P5547*$G$457,Assumptions!$B$32)</f>
        <v/>
      </c>
      <c r="T5547">
        <f>IF(F5547=1,P5547*Assumptions!$B$14,Assumptions!$B$31)</f>
        <v/>
      </c>
      <c r="U5547">
        <f>IF(G5547=1,P5547*Assumptions!$B$13,Assumptions!$B$30)</f>
        <v/>
      </c>
      <c r="V5547">
        <f>IF(H5547=1,P5547*Assumptions!$B$12,Assumptions!$B$29)</f>
        <v/>
      </c>
      <c r="W5547">
        <f>IF(I5547=1,P5547*Assumptions!$B$11,Assumptions!$B$28)</f>
        <v/>
      </c>
      <c r="X5547">
        <f>P5547*($O$457+$S$457)</f>
        <v/>
      </c>
      <c r="Y5547">
        <f>P5547*Assumptions!$B$9</f>
        <v/>
      </c>
      <c r="Z5547">
        <f>IF(M5547=1,(P5547-Assumptions!$B$37)*Assumptions!$B$153,0)</f>
        <v/>
      </c>
      <c r="AA5547">
        <f>Q5547+R5547+S5547+T5547+U5547+V5547+W5547+X5547+Y5547+Z5547</f>
        <v/>
      </c>
      <c r="AB5547" t="n">
        <v>35</v>
      </c>
      <c r="AC5547" t="n">
        <v>99</v>
      </c>
      <c r="AD5547" t="n">
        <v>3</v>
      </c>
      <c r="AE5547" t="n">
        <v>51</v>
      </c>
      <c r="AF5547" t="n">
        <v>43</v>
      </c>
      <c r="AG5547" t="n">
        <v>39</v>
      </c>
      <c r="AH5547" t="n">
        <v>33</v>
      </c>
      <c r="AI5547" t="n">
        <v>34</v>
      </c>
      <c r="AJ5547">
        <f>INDEX($Q$5512:$Q$5639,AC5547+1)</f>
        <v/>
      </c>
      <c r="AK5547">
        <f>INDEX($R$5512:$R$5639,AD5547+1)</f>
        <v/>
      </c>
      <c r="AL5547">
        <f>INDEX($S$5512:$S$5639,AE5547+1)</f>
        <v/>
      </c>
      <c r="AM5547">
        <f>INDEX($T$5512:$T$5639,AF5547+1)</f>
        <v/>
      </c>
      <c r="AN5547">
        <f>INDEX($U$5512:$U$5639,AG5547+1)</f>
        <v/>
      </c>
      <c r="AO5547">
        <f>INDEX($V$5512:$V$5639,AH5547+1)</f>
        <v/>
      </c>
      <c r="AP5547">
        <f>INDEX($W$5512:$W$5639,AI5547+1)</f>
        <v/>
      </c>
      <c r="AQ5547">
        <f>IF(Q5547&gt;=AJ5547-0.01,1,0)</f>
        <v/>
      </c>
      <c r="AR5547">
        <f>IF(R5547&gt;=AK5547-0.01,1,0)</f>
        <v/>
      </c>
      <c r="AS5547">
        <f>IF(S5547&gt;=AL5547-0.01,1,0)</f>
        <v/>
      </c>
      <c r="AT5547">
        <f>IF(T5547&gt;=AM5547-0.01,1,0)</f>
        <v/>
      </c>
      <c r="AU5547">
        <f>IF(U5547&gt;=AN5547-0.01,1,0)</f>
        <v/>
      </c>
      <c r="AV5547">
        <f>IF(V5547&gt;=AO5547-0.01,1,0)</f>
        <v/>
      </c>
      <c r="AW5547">
        <f>IF(W5547&gt;=AP5547-0.01,1,0)</f>
        <v/>
      </c>
      <c r="AX5547">
        <f>AQ5547*AR5547*AS5547*AT5547*AU5547*AV5547*AW5547</f>
        <v/>
      </c>
    </row>
    <row r="5548">
      <c r="A5548" t="inlineStr"/>
      <c r="B5548">
        <f>Assumptions!$B$60</f>
        <v/>
      </c>
      <c r="C5548" t="n">
        <v>0</v>
      </c>
      <c r="D5548" t="n">
        <v>1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>
        <f>(1-C5548)*Assumptions!$B$41+(1-D5548)*Assumptions!$B$33+(1-E5548)*Assumptions!$B$32+(1-F5548)*Assumptions!$B$31+(1-G5548)*Assumptions!$B$30+(1-H5548)*Assumptions!$B$29+(1-I5548)*Assumptions!$B$28</f>
        <v/>
      </c>
      <c r="K5548">
        <f>C5548*$J$457+D5548*$F$457+E5548*$G$457+F5548*Assumptions!$B$14+G5548*Assumptions!$B$13+H5548*Assumptions!$B$12+I5548*Assumptions!$B$11+$O$457+$S$457+Assumptions!$B$9</f>
        <v/>
      </c>
      <c r="L5548">
        <f>B5548-J5548</f>
        <v/>
      </c>
      <c r="M5548">
        <f>IF(K5548&gt;0,IF(L5548/K5548&gt;=Assumptions!$B$37,1,0),0)</f>
        <v/>
      </c>
      <c r="N5548">
        <f>K5548+M5548*Assumptions!$B$153</f>
        <v/>
      </c>
      <c r="O5548">
        <f>L5548+M5548*Assumptions!$B$153*Assumptions!$B$37</f>
        <v/>
      </c>
      <c r="P5548">
        <f>IF(N5548&gt;0,O5548/N5548,0)</f>
        <v/>
      </c>
      <c r="Q5548">
        <f>IF(C5548=1,P5548*$J$457,Assumptions!$B$41)</f>
        <v/>
      </c>
      <c r="R5548">
        <f>IF(D5548=1,P5548*$F$457,Assumptions!$B$33)</f>
        <v/>
      </c>
      <c r="S5548">
        <f>IF(E5548=1,P5548*$G$457,Assumptions!$B$32)</f>
        <v/>
      </c>
      <c r="T5548">
        <f>IF(F5548=1,P5548*Assumptions!$B$14,Assumptions!$B$31)</f>
        <v/>
      </c>
      <c r="U5548">
        <f>IF(G5548=1,P5548*Assumptions!$B$13,Assumptions!$B$30)</f>
        <v/>
      </c>
      <c r="V5548">
        <f>IF(H5548=1,P5548*Assumptions!$B$12,Assumptions!$B$29)</f>
        <v/>
      </c>
      <c r="W5548">
        <f>IF(I5548=1,P5548*Assumptions!$B$11,Assumptions!$B$28)</f>
        <v/>
      </c>
      <c r="X5548">
        <f>P5548*($O$457+$S$457)</f>
        <v/>
      </c>
      <c r="Y5548">
        <f>P5548*Assumptions!$B$9</f>
        <v/>
      </c>
      <c r="Z5548">
        <f>IF(M5548=1,(P5548-Assumptions!$B$37)*Assumptions!$B$153,0)</f>
        <v/>
      </c>
      <c r="AA5548">
        <f>Q5548+R5548+S5548+T5548+U5548+V5548+W5548+X5548+Y5548+Z5548</f>
        <v/>
      </c>
      <c r="AB5548" t="n">
        <v>36</v>
      </c>
      <c r="AC5548" t="n">
        <v>100</v>
      </c>
      <c r="AD5548" t="n">
        <v>4</v>
      </c>
      <c r="AE5548" t="n">
        <v>52</v>
      </c>
      <c r="AF5548" t="n">
        <v>44</v>
      </c>
      <c r="AG5548" t="n">
        <v>32</v>
      </c>
      <c r="AH5548" t="n">
        <v>38</v>
      </c>
      <c r="AI5548" t="n">
        <v>37</v>
      </c>
      <c r="AJ5548">
        <f>INDEX($Q$5512:$Q$5639,AC5548+1)</f>
        <v/>
      </c>
      <c r="AK5548">
        <f>INDEX($R$5512:$R$5639,AD5548+1)</f>
        <v/>
      </c>
      <c r="AL5548">
        <f>INDEX($S$5512:$S$5639,AE5548+1)</f>
        <v/>
      </c>
      <c r="AM5548">
        <f>INDEX($T$5512:$T$5639,AF5548+1)</f>
        <v/>
      </c>
      <c r="AN5548">
        <f>INDEX($U$5512:$U$5639,AG5548+1)</f>
        <v/>
      </c>
      <c r="AO5548">
        <f>INDEX($V$5512:$V$5639,AH5548+1)</f>
        <v/>
      </c>
      <c r="AP5548">
        <f>INDEX($W$5512:$W$5639,AI5548+1)</f>
        <v/>
      </c>
      <c r="AQ5548">
        <f>IF(Q5548&gt;=AJ5548-0.01,1,0)</f>
        <v/>
      </c>
      <c r="AR5548">
        <f>IF(R5548&gt;=AK5548-0.01,1,0)</f>
        <v/>
      </c>
      <c r="AS5548">
        <f>IF(S5548&gt;=AL5548-0.01,1,0)</f>
        <v/>
      </c>
      <c r="AT5548">
        <f>IF(T5548&gt;=AM5548-0.01,1,0)</f>
        <v/>
      </c>
      <c r="AU5548">
        <f>IF(U5548&gt;=AN5548-0.01,1,0)</f>
        <v/>
      </c>
      <c r="AV5548">
        <f>IF(V5548&gt;=AO5548-0.01,1,0)</f>
        <v/>
      </c>
      <c r="AW5548">
        <f>IF(W5548&gt;=AP5548-0.01,1,0)</f>
        <v/>
      </c>
      <c r="AX5548">
        <f>AQ5548*AR5548*AS5548*AT5548*AU5548*AV5548*AW5548</f>
        <v/>
      </c>
    </row>
    <row r="5549">
      <c r="A5549" t="inlineStr"/>
      <c r="B5549">
        <f>Assumptions!$B$60</f>
        <v/>
      </c>
      <c r="C5549" t="n">
        <v>0</v>
      </c>
      <c r="D5549" t="n">
        <v>1</v>
      </c>
      <c r="E5549" t="n">
        <v>0</v>
      </c>
      <c r="F5549" t="n">
        <v>0</v>
      </c>
      <c r="G5549" t="n">
        <v>1</v>
      </c>
      <c r="H5549" t="n">
        <v>0</v>
      </c>
      <c r="I5549" t="n">
        <v>1</v>
      </c>
      <c r="J5549">
        <f>(1-C5549)*Assumptions!$B$41+(1-D5549)*Assumptions!$B$33+(1-E5549)*Assumptions!$B$32+(1-F5549)*Assumptions!$B$31+(1-G5549)*Assumptions!$B$30+(1-H5549)*Assumptions!$B$29+(1-I5549)*Assumptions!$B$28</f>
        <v/>
      </c>
      <c r="K5549">
        <f>C5549*$J$457+D5549*$F$457+E5549*$G$457+F5549*Assumptions!$B$14+G5549*Assumptions!$B$13+H5549*Assumptions!$B$12+I5549*Assumptions!$B$11+$O$457+$S$457+Assumptions!$B$9</f>
        <v/>
      </c>
      <c r="L5549">
        <f>B5549-J5549</f>
        <v/>
      </c>
      <c r="M5549">
        <f>IF(K5549&gt;0,IF(L5549/K5549&gt;=Assumptions!$B$37,1,0),0)</f>
        <v/>
      </c>
      <c r="N5549">
        <f>K5549+M5549*Assumptions!$B$153</f>
        <v/>
      </c>
      <c r="O5549">
        <f>L5549+M5549*Assumptions!$B$153*Assumptions!$B$37</f>
        <v/>
      </c>
      <c r="P5549">
        <f>IF(N5549&gt;0,O5549/N5549,0)</f>
        <v/>
      </c>
      <c r="Q5549">
        <f>IF(C5549=1,P5549*$J$457,Assumptions!$B$41)</f>
        <v/>
      </c>
      <c r="R5549">
        <f>IF(D5549=1,P5549*$F$457,Assumptions!$B$33)</f>
        <v/>
      </c>
      <c r="S5549">
        <f>IF(E5549=1,P5549*$G$457,Assumptions!$B$32)</f>
        <v/>
      </c>
      <c r="T5549">
        <f>IF(F5549=1,P5549*Assumptions!$B$14,Assumptions!$B$31)</f>
        <v/>
      </c>
      <c r="U5549">
        <f>IF(G5549=1,P5549*Assumptions!$B$13,Assumptions!$B$30)</f>
        <v/>
      </c>
      <c r="V5549">
        <f>IF(H5549=1,P5549*Assumptions!$B$12,Assumptions!$B$29)</f>
        <v/>
      </c>
      <c r="W5549">
        <f>IF(I5549=1,P5549*Assumptions!$B$11,Assumptions!$B$28)</f>
        <v/>
      </c>
      <c r="X5549">
        <f>P5549*($O$457+$S$457)</f>
        <v/>
      </c>
      <c r="Y5549">
        <f>P5549*Assumptions!$B$9</f>
        <v/>
      </c>
      <c r="Z5549">
        <f>IF(M5549=1,(P5549-Assumptions!$B$37)*Assumptions!$B$153,0)</f>
        <v/>
      </c>
      <c r="AA5549">
        <f>Q5549+R5549+S5549+T5549+U5549+V5549+W5549+X5549+Y5549+Z5549</f>
        <v/>
      </c>
      <c r="AB5549" t="n">
        <v>37</v>
      </c>
      <c r="AC5549" t="n">
        <v>101</v>
      </c>
      <c r="AD5549" t="n">
        <v>5</v>
      </c>
      <c r="AE5549" t="n">
        <v>53</v>
      </c>
      <c r="AF5549" t="n">
        <v>45</v>
      </c>
      <c r="AG5549" t="n">
        <v>33</v>
      </c>
      <c r="AH5549" t="n">
        <v>39</v>
      </c>
      <c r="AI5549" t="n">
        <v>36</v>
      </c>
      <c r="AJ5549">
        <f>INDEX($Q$5512:$Q$5639,AC5549+1)</f>
        <v/>
      </c>
      <c r="AK5549">
        <f>INDEX($R$5512:$R$5639,AD5549+1)</f>
        <v/>
      </c>
      <c r="AL5549">
        <f>INDEX($S$5512:$S$5639,AE5549+1)</f>
        <v/>
      </c>
      <c r="AM5549">
        <f>INDEX($T$5512:$T$5639,AF5549+1)</f>
        <v/>
      </c>
      <c r="AN5549">
        <f>INDEX($U$5512:$U$5639,AG5549+1)</f>
        <v/>
      </c>
      <c r="AO5549">
        <f>INDEX($V$5512:$V$5639,AH5549+1)</f>
        <v/>
      </c>
      <c r="AP5549">
        <f>INDEX($W$5512:$W$5639,AI5549+1)</f>
        <v/>
      </c>
      <c r="AQ5549">
        <f>IF(Q5549&gt;=AJ5549-0.01,1,0)</f>
        <v/>
      </c>
      <c r="AR5549">
        <f>IF(R5549&gt;=AK5549-0.01,1,0)</f>
        <v/>
      </c>
      <c r="AS5549">
        <f>IF(S5549&gt;=AL5549-0.01,1,0)</f>
        <v/>
      </c>
      <c r="AT5549">
        <f>IF(T5549&gt;=AM5549-0.01,1,0)</f>
        <v/>
      </c>
      <c r="AU5549">
        <f>IF(U5549&gt;=AN5549-0.01,1,0)</f>
        <v/>
      </c>
      <c r="AV5549">
        <f>IF(V5549&gt;=AO5549-0.01,1,0)</f>
        <v/>
      </c>
      <c r="AW5549">
        <f>IF(W5549&gt;=AP5549-0.01,1,0)</f>
        <v/>
      </c>
      <c r="AX5549">
        <f>AQ5549*AR5549*AS5549*AT5549*AU5549*AV5549*AW5549</f>
        <v/>
      </c>
    </row>
    <row r="5550">
      <c r="A5550" t="inlineStr"/>
      <c r="B5550">
        <f>Assumptions!$B$60</f>
        <v/>
      </c>
      <c r="C5550" t="n">
        <v>0</v>
      </c>
      <c r="D5550" t="n">
        <v>1</v>
      </c>
      <c r="E5550" t="n">
        <v>0</v>
      </c>
      <c r="F5550" t="n">
        <v>0</v>
      </c>
      <c r="G5550" t="n">
        <v>1</v>
      </c>
      <c r="H5550" t="n">
        <v>1</v>
      </c>
      <c r="I5550" t="n">
        <v>0</v>
      </c>
      <c r="J5550">
        <f>(1-C5550)*Assumptions!$B$41+(1-D5550)*Assumptions!$B$33+(1-E5550)*Assumptions!$B$32+(1-F5550)*Assumptions!$B$31+(1-G5550)*Assumptions!$B$30+(1-H5550)*Assumptions!$B$29+(1-I5550)*Assumptions!$B$28</f>
        <v/>
      </c>
      <c r="K5550">
        <f>C5550*$J$457+D5550*$F$457+E5550*$G$457+F5550*Assumptions!$B$14+G5550*Assumptions!$B$13+H5550*Assumptions!$B$12+I5550*Assumptions!$B$11+$O$457+$S$457+Assumptions!$B$9</f>
        <v/>
      </c>
      <c r="L5550">
        <f>B5550-J5550</f>
        <v/>
      </c>
      <c r="M5550">
        <f>IF(K5550&gt;0,IF(L5550/K5550&gt;=Assumptions!$B$37,1,0),0)</f>
        <v/>
      </c>
      <c r="N5550">
        <f>K5550+M5550*Assumptions!$B$153</f>
        <v/>
      </c>
      <c r="O5550">
        <f>L5550+M5550*Assumptions!$B$153*Assumptions!$B$37</f>
        <v/>
      </c>
      <c r="P5550">
        <f>IF(N5550&gt;0,O5550/N5550,0)</f>
        <v/>
      </c>
      <c r="Q5550">
        <f>IF(C5550=1,P5550*$J$457,Assumptions!$B$41)</f>
        <v/>
      </c>
      <c r="R5550">
        <f>IF(D5550=1,P5550*$F$457,Assumptions!$B$33)</f>
        <v/>
      </c>
      <c r="S5550">
        <f>IF(E5550=1,P5550*$G$457,Assumptions!$B$32)</f>
        <v/>
      </c>
      <c r="T5550">
        <f>IF(F5550=1,P5550*Assumptions!$B$14,Assumptions!$B$31)</f>
        <v/>
      </c>
      <c r="U5550">
        <f>IF(G5550=1,P5550*Assumptions!$B$13,Assumptions!$B$30)</f>
        <v/>
      </c>
      <c r="V5550">
        <f>IF(H5550=1,P5550*Assumptions!$B$12,Assumptions!$B$29)</f>
        <v/>
      </c>
      <c r="W5550">
        <f>IF(I5550=1,P5550*Assumptions!$B$11,Assumptions!$B$28)</f>
        <v/>
      </c>
      <c r="X5550">
        <f>P5550*($O$457+$S$457)</f>
        <v/>
      </c>
      <c r="Y5550">
        <f>P5550*Assumptions!$B$9</f>
        <v/>
      </c>
      <c r="Z5550">
        <f>IF(M5550=1,(P5550-Assumptions!$B$37)*Assumptions!$B$153,0)</f>
        <v/>
      </c>
      <c r="AA5550">
        <f>Q5550+R5550+S5550+T5550+U5550+V5550+W5550+X5550+Y5550+Z5550</f>
        <v/>
      </c>
      <c r="AB5550" t="n">
        <v>38</v>
      </c>
      <c r="AC5550" t="n">
        <v>102</v>
      </c>
      <c r="AD5550" t="n">
        <v>6</v>
      </c>
      <c r="AE5550" t="n">
        <v>54</v>
      </c>
      <c r="AF5550" t="n">
        <v>46</v>
      </c>
      <c r="AG5550" t="n">
        <v>34</v>
      </c>
      <c r="AH5550" t="n">
        <v>36</v>
      </c>
      <c r="AI5550" t="n">
        <v>39</v>
      </c>
      <c r="AJ5550">
        <f>INDEX($Q$5512:$Q$5639,AC5550+1)</f>
        <v/>
      </c>
      <c r="AK5550">
        <f>INDEX($R$5512:$R$5639,AD5550+1)</f>
        <v/>
      </c>
      <c r="AL5550">
        <f>INDEX($S$5512:$S$5639,AE5550+1)</f>
        <v/>
      </c>
      <c r="AM5550">
        <f>INDEX($T$5512:$T$5639,AF5550+1)</f>
        <v/>
      </c>
      <c r="AN5550">
        <f>INDEX($U$5512:$U$5639,AG5550+1)</f>
        <v/>
      </c>
      <c r="AO5550">
        <f>INDEX($V$5512:$V$5639,AH5550+1)</f>
        <v/>
      </c>
      <c r="AP5550">
        <f>INDEX($W$5512:$W$5639,AI5550+1)</f>
        <v/>
      </c>
      <c r="AQ5550">
        <f>IF(Q5550&gt;=AJ5550-0.01,1,0)</f>
        <v/>
      </c>
      <c r="AR5550">
        <f>IF(R5550&gt;=AK5550-0.01,1,0)</f>
        <v/>
      </c>
      <c r="AS5550">
        <f>IF(S5550&gt;=AL5550-0.01,1,0)</f>
        <v/>
      </c>
      <c r="AT5550">
        <f>IF(T5550&gt;=AM5550-0.01,1,0)</f>
        <v/>
      </c>
      <c r="AU5550">
        <f>IF(U5550&gt;=AN5550-0.01,1,0)</f>
        <v/>
      </c>
      <c r="AV5550">
        <f>IF(V5550&gt;=AO5550-0.01,1,0)</f>
        <v/>
      </c>
      <c r="AW5550">
        <f>IF(W5550&gt;=AP5550-0.01,1,0)</f>
        <v/>
      </c>
      <c r="AX5550">
        <f>AQ5550*AR5550*AS5550*AT5550*AU5550*AV5550*AW5550</f>
        <v/>
      </c>
    </row>
    <row r="5551">
      <c r="A5551" t="inlineStr"/>
      <c r="B5551">
        <f>Assumptions!$B$60</f>
        <v/>
      </c>
      <c r="C5551" t="n">
        <v>0</v>
      </c>
      <c r="D5551" t="n">
        <v>1</v>
      </c>
      <c r="E5551" t="n">
        <v>0</v>
      </c>
      <c r="F5551" t="n">
        <v>0</v>
      </c>
      <c r="G5551" t="n">
        <v>1</v>
      </c>
      <c r="H5551" t="n">
        <v>1</v>
      </c>
      <c r="I5551" t="n">
        <v>1</v>
      </c>
      <c r="J5551">
        <f>(1-C5551)*Assumptions!$B$41+(1-D5551)*Assumptions!$B$33+(1-E5551)*Assumptions!$B$32+(1-F5551)*Assumptions!$B$31+(1-G5551)*Assumptions!$B$30+(1-H5551)*Assumptions!$B$29+(1-I5551)*Assumptions!$B$28</f>
        <v/>
      </c>
      <c r="K5551">
        <f>C5551*$J$457+D5551*$F$457+E5551*$G$457+F5551*Assumptions!$B$14+G5551*Assumptions!$B$13+H5551*Assumptions!$B$12+I5551*Assumptions!$B$11+$O$457+$S$457+Assumptions!$B$9</f>
        <v/>
      </c>
      <c r="L5551">
        <f>B5551-J5551</f>
        <v/>
      </c>
      <c r="M5551">
        <f>IF(K5551&gt;0,IF(L5551/K5551&gt;=Assumptions!$B$37,1,0),0)</f>
        <v/>
      </c>
      <c r="N5551">
        <f>K5551+M5551*Assumptions!$B$153</f>
        <v/>
      </c>
      <c r="O5551">
        <f>L5551+M5551*Assumptions!$B$153*Assumptions!$B$37</f>
        <v/>
      </c>
      <c r="P5551">
        <f>IF(N5551&gt;0,O5551/N5551,0)</f>
        <v/>
      </c>
      <c r="Q5551">
        <f>IF(C5551=1,P5551*$J$457,Assumptions!$B$41)</f>
        <v/>
      </c>
      <c r="R5551">
        <f>IF(D5551=1,P5551*$F$457,Assumptions!$B$33)</f>
        <v/>
      </c>
      <c r="S5551">
        <f>IF(E5551=1,P5551*$G$457,Assumptions!$B$32)</f>
        <v/>
      </c>
      <c r="T5551">
        <f>IF(F5551=1,P5551*Assumptions!$B$14,Assumptions!$B$31)</f>
        <v/>
      </c>
      <c r="U5551">
        <f>IF(G5551=1,P5551*Assumptions!$B$13,Assumptions!$B$30)</f>
        <v/>
      </c>
      <c r="V5551">
        <f>IF(H5551=1,P5551*Assumptions!$B$12,Assumptions!$B$29)</f>
        <v/>
      </c>
      <c r="W5551">
        <f>IF(I5551=1,P5551*Assumptions!$B$11,Assumptions!$B$28)</f>
        <v/>
      </c>
      <c r="X5551">
        <f>P5551*($O$457+$S$457)</f>
        <v/>
      </c>
      <c r="Y5551">
        <f>P5551*Assumptions!$B$9</f>
        <v/>
      </c>
      <c r="Z5551">
        <f>IF(M5551=1,(P5551-Assumptions!$B$37)*Assumptions!$B$153,0)</f>
        <v/>
      </c>
      <c r="AA5551">
        <f>Q5551+R5551+S5551+T5551+U5551+V5551+W5551+X5551+Y5551+Z5551</f>
        <v/>
      </c>
      <c r="AB5551" t="n">
        <v>39</v>
      </c>
      <c r="AC5551" t="n">
        <v>103</v>
      </c>
      <c r="AD5551" t="n">
        <v>7</v>
      </c>
      <c r="AE5551" t="n">
        <v>55</v>
      </c>
      <c r="AF5551" t="n">
        <v>47</v>
      </c>
      <c r="AG5551" t="n">
        <v>35</v>
      </c>
      <c r="AH5551" t="n">
        <v>37</v>
      </c>
      <c r="AI5551" t="n">
        <v>38</v>
      </c>
      <c r="AJ5551">
        <f>INDEX($Q$5512:$Q$5639,AC5551+1)</f>
        <v/>
      </c>
      <c r="AK5551">
        <f>INDEX($R$5512:$R$5639,AD5551+1)</f>
        <v/>
      </c>
      <c r="AL5551">
        <f>INDEX($S$5512:$S$5639,AE5551+1)</f>
        <v/>
      </c>
      <c r="AM5551">
        <f>INDEX($T$5512:$T$5639,AF5551+1)</f>
        <v/>
      </c>
      <c r="AN5551">
        <f>INDEX($U$5512:$U$5639,AG5551+1)</f>
        <v/>
      </c>
      <c r="AO5551">
        <f>INDEX($V$5512:$V$5639,AH5551+1)</f>
        <v/>
      </c>
      <c r="AP5551">
        <f>INDEX($W$5512:$W$5639,AI5551+1)</f>
        <v/>
      </c>
      <c r="AQ5551">
        <f>IF(Q5551&gt;=AJ5551-0.01,1,0)</f>
        <v/>
      </c>
      <c r="AR5551">
        <f>IF(R5551&gt;=AK5551-0.01,1,0)</f>
        <v/>
      </c>
      <c r="AS5551">
        <f>IF(S5551&gt;=AL5551-0.01,1,0)</f>
        <v/>
      </c>
      <c r="AT5551">
        <f>IF(T5551&gt;=AM5551-0.01,1,0)</f>
        <v/>
      </c>
      <c r="AU5551">
        <f>IF(U5551&gt;=AN5551-0.01,1,0)</f>
        <v/>
      </c>
      <c r="AV5551">
        <f>IF(V5551&gt;=AO5551-0.01,1,0)</f>
        <v/>
      </c>
      <c r="AW5551">
        <f>IF(W5551&gt;=AP5551-0.01,1,0)</f>
        <v/>
      </c>
      <c r="AX5551">
        <f>AQ5551*AR5551*AS5551*AT5551*AU5551*AV5551*AW5551</f>
        <v/>
      </c>
    </row>
    <row r="5552">
      <c r="A5552" t="inlineStr"/>
      <c r="B5552">
        <f>Assumptions!$B$60</f>
        <v/>
      </c>
      <c r="C5552" t="n">
        <v>0</v>
      </c>
      <c r="D5552" t="n">
        <v>1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>
        <f>(1-C5552)*Assumptions!$B$41+(1-D5552)*Assumptions!$B$33+(1-E5552)*Assumptions!$B$32+(1-F5552)*Assumptions!$B$31+(1-G5552)*Assumptions!$B$30+(1-H5552)*Assumptions!$B$29+(1-I5552)*Assumptions!$B$28</f>
        <v/>
      </c>
      <c r="K5552">
        <f>C5552*$J$457+D5552*$F$457+E5552*$G$457+F5552*Assumptions!$B$14+G5552*Assumptions!$B$13+H5552*Assumptions!$B$12+I5552*Assumptions!$B$11+$O$457+$S$457+Assumptions!$B$9</f>
        <v/>
      </c>
      <c r="L5552">
        <f>B5552-J5552</f>
        <v/>
      </c>
      <c r="M5552">
        <f>IF(K5552&gt;0,IF(L5552/K5552&gt;=Assumptions!$B$37,1,0),0)</f>
        <v/>
      </c>
      <c r="N5552">
        <f>K5552+M5552*Assumptions!$B$153</f>
        <v/>
      </c>
      <c r="O5552">
        <f>L5552+M5552*Assumptions!$B$153*Assumptions!$B$37</f>
        <v/>
      </c>
      <c r="P5552">
        <f>IF(N5552&gt;0,O5552/N5552,0)</f>
        <v/>
      </c>
      <c r="Q5552">
        <f>IF(C5552=1,P5552*$J$457,Assumptions!$B$41)</f>
        <v/>
      </c>
      <c r="R5552">
        <f>IF(D5552=1,P5552*$F$457,Assumptions!$B$33)</f>
        <v/>
      </c>
      <c r="S5552">
        <f>IF(E5552=1,P5552*$G$457,Assumptions!$B$32)</f>
        <v/>
      </c>
      <c r="T5552">
        <f>IF(F5552=1,P5552*Assumptions!$B$14,Assumptions!$B$31)</f>
        <v/>
      </c>
      <c r="U5552">
        <f>IF(G5552=1,P5552*Assumptions!$B$13,Assumptions!$B$30)</f>
        <v/>
      </c>
      <c r="V5552">
        <f>IF(H5552=1,P5552*Assumptions!$B$12,Assumptions!$B$29)</f>
        <v/>
      </c>
      <c r="W5552">
        <f>IF(I5552=1,P5552*Assumptions!$B$11,Assumptions!$B$28)</f>
        <v/>
      </c>
      <c r="X5552">
        <f>P5552*($O$457+$S$457)</f>
        <v/>
      </c>
      <c r="Y5552">
        <f>P5552*Assumptions!$B$9</f>
        <v/>
      </c>
      <c r="Z5552">
        <f>IF(M5552=1,(P5552-Assumptions!$B$37)*Assumptions!$B$153,0)</f>
        <v/>
      </c>
      <c r="AA5552">
        <f>Q5552+R5552+S5552+T5552+U5552+V5552+W5552+X5552+Y5552+Z5552</f>
        <v/>
      </c>
      <c r="AB5552" t="n">
        <v>40</v>
      </c>
      <c r="AC5552" t="n">
        <v>104</v>
      </c>
      <c r="AD5552" t="n">
        <v>8</v>
      </c>
      <c r="AE5552" t="n">
        <v>56</v>
      </c>
      <c r="AF5552" t="n">
        <v>32</v>
      </c>
      <c r="AG5552" t="n">
        <v>44</v>
      </c>
      <c r="AH5552" t="n">
        <v>42</v>
      </c>
      <c r="AI5552" t="n">
        <v>41</v>
      </c>
      <c r="AJ5552">
        <f>INDEX($Q$5512:$Q$5639,AC5552+1)</f>
        <v/>
      </c>
      <c r="AK5552">
        <f>INDEX($R$5512:$R$5639,AD5552+1)</f>
        <v/>
      </c>
      <c r="AL5552">
        <f>INDEX($S$5512:$S$5639,AE5552+1)</f>
        <v/>
      </c>
      <c r="AM5552">
        <f>INDEX($T$5512:$T$5639,AF5552+1)</f>
        <v/>
      </c>
      <c r="AN5552">
        <f>INDEX($U$5512:$U$5639,AG5552+1)</f>
        <v/>
      </c>
      <c r="AO5552">
        <f>INDEX($V$5512:$V$5639,AH5552+1)</f>
        <v/>
      </c>
      <c r="AP5552">
        <f>INDEX($W$5512:$W$5639,AI5552+1)</f>
        <v/>
      </c>
      <c r="AQ5552">
        <f>IF(Q5552&gt;=AJ5552-0.01,1,0)</f>
        <v/>
      </c>
      <c r="AR5552">
        <f>IF(R5552&gt;=AK5552-0.01,1,0)</f>
        <v/>
      </c>
      <c r="AS5552">
        <f>IF(S5552&gt;=AL5552-0.01,1,0)</f>
        <v/>
      </c>
      <c r="AT5552">
        <f>IF(T5552&gt;=AM5552-0.01,1,0)</f>
        <v/>
      </c>
      <c r="AU5552">
        <f>IF(U5552&gt;=AN5552-0.01,1,0)</f>
        <v/>
      </c>
      <c r="AV5552">
        <f>IF(V5552&gt;=AO5552-0.01,1,0)</f>
        <v/>
      </c>
      <c r="AW5552">
        <f>IF(W5552&gt;=AP5552-0.01,1,0)</f>
        <v/>
      </c>
      <c r="AX5552">
        <f>AQ5552*AR5552*AS5552*AT5552*AU5552*AV5552*AW5552</f>
        <v/>
      </c>
    </row>
    <row r="5553">
      <c r="A5553" t="inlineStr"/>
      <c r="B5553">
        <f>Assumptions!$B$60</f>
        <v/>
      </c>
      <c r="C5553" t="n">
        <v>0</v>
      </c>
      <c r="D5553" t="n">
        <v>1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  <c r="J5553">
        <f>(1-C5553)*Assumptions!$B$41+(1-D5553)*Assumptions!$B$33+(1-E5553)*Assumptions!$B$32+(1-F5553)*Assumptions!$B$31+(1-G5553)*Assumptions!$B$30+(1-H5553)*Assumptions!$B$29+(1-I5553)*Assumptions!$B$28</f>
        <v/>
      </c>
      <c r="K5553">
        <f>C5553*$J$457+D5553*$F$457+E5553*$G$457+F5553*Assumptions!$B$14+G5553*Assumptions!$B$13+H5553*Assumptions!$B$12+I5553*Assumptions!$B$11+$O$457+$S$457+Assumptions!$B$9</f>
        <v/>
      </c>
      <c r="L5553">
        <f>B5553-J5553</f>
        <v/>
      </c>
      <c r="M5553">
        <f>IF(K5553&gt;0,IF(L5553/K5553&gt;=Assumptions!$B$37,1,0),0)</f>
        <v/>
      </c>
      <c r="N5553">
        <f>K5553+M5553*Assumptions!$B$153</f>
        <v/>
      </c>
      <c r="O5553">
        <f>L5553+M5553*Assumptions!$B$153*Assumptions!$B$37</f>
        <v/>
      </c>
      <c r="P5553">
        <f>IF(N5553&gt;0,O5553/N5553,0)</f>
        <v/>
      </c>
      <c r="Q5553">
        <f>IF(C5553=1,P5553*$J$457,Assumptions!$B$41)</f>
        <v/>
      </c>
      <c r="R5553">
        <f>IF(D5553=1,P5553*$F$457,Assumptions!$B$33)</f>
        <v/>
      </c>
      <c r="S5553">
        <f>IF(E5553=1,P5553*$G$457,Assumptions!$B$32)</f>
        <v/>
      </c>
      <c r="T5553">
        <f>IF(F5553=1,P5553*Assumptions!$B$14,Assumptions!$B$31)</f>
        <v/>
      </c>
      <c r="U5553">
        <f>IF(G5553=1,P5553*Assumptions!$B$13,Assumptions!$B$30)</f>
        <v/>
      </c>
      <c r="V5553">
        <f>IF(H5553=1,P5553*Assumptions!$B$12,Assumptions!$B$29)</f>
        <v/>
      </c>
      <c r="W5553">
        <f>IF(I5553=1,P5553*Assumptions!$B$11,Assumptions!$B$28)</f>
        <v/>
      </c>
      <c r="X5553">
        <f>P5553*($O$457+$S$457)</f>
        <v/>
      </c>
      <c r="Y5553">
        <f>P5553*Assumptions!$B$9</f>
        <v/>
      </c>
      <c r="Z5553">
        <f>IF(M5553=1,(P5553-Assumptions!$B$37)*Assumptions!$B$153,0)</f>
        <v/>
      </c>
      <c r="AA5553">
        <f>Q5553+R5553+S5553+T5553+U5553+V5553+W5553+X5553+Y5553+Z5553</f>
        <v/>
      </c>
      <c r="AB5553" t="n">
        <v>41</v>
      </c>
      <c r="AC5553" t="n">
        <v>105</v>
      </c>
      <c r="AD5553" t="n">
        <v>9</v>
      </c>
      <c r="AE5553" t="n">
        <v>57</v>
      </c>
      <c r="AF5553" t="n">
        <v>33</v>
      </c>
      <c r="AG5553" t="n">
        <v>45</v>
      </c>
      <c r="AH5553" t="n">
        <v>43</v>
      </c>
      <c r="AI5553" t="n">
        <v>40</v>
      </c>
      <c r="AJ5553">
        <f>INDEX($Q$5512:$Q$5639,AC5553+1)</f>
        <v/>
      </c>
      <c r="AK5553">
        <f>INDEX($R$5512:$R$5639,AD5553+1)</f>
        <v/>
      </c>
      <c r="AL5553">
        <f>INDEX($S$5512:$S$5639,AE5553+1)</f>
        <v/>
      </c>
      <c r="AM5553">
        <f>INDEX($T$5512:$T$5639,AF5553+1)</f>
        <v/>
      </c>
      <c r="AN5553">
        <f>INDEX($U$5512:$U$5639,AG5553+1)</f>
        <v/>
      </c>
      <c r="AO5553">
        <f>INDEX($V$5512:$V$5639,AH5553+1)</f>
        <v/>
      </c>
      <c r="AP5553">
        <f>INDEX($W$5512:$W$5639,AI5553+1)</f>
        <v/>
      </c>
      <c r="AQ5553">
        <f>IF(Q5553&gt;=AJ5553-0.01,1,0)</f>
        <v/>
      </c>
      <c r="AR5553">
        <f>IF(R5553&gt;=AK5553-0.01,1,0)</f>
        <v/>
      </c>
      <c r="AS5553">
        <f>IF(S5553&gt;=AL5553-0.01,1,0)</f>
        <v/>
      </c>
      <c r="AT5553">
        <f>IF(T5553&gt;=AM5553-0.01,1,0)</f>
        <v/>
      </c>
      <c r="AU5553">
        <f>IF(U5553&gt;=AN5553-0.01,1,0)</f>
        <v/>
      </c>
      <c r="AV5553">
        <f>IF(V5553&gt;=AO5553-0.01,1,0)</f>
        <v/>
      </c>
      <c r="AW5553">
        <f>IF(W5553&gt;=AP5553-0.01,1,0)</f>
        <v/>
      </c>
      <c r="AX5553">
        <f>AQ5553*AR5553*AS5553*AT5553*AU5553*AV5553*AW5553</f>
        <v/>
      </c>
    </row>
    <row r="5554">
      <c r="A5554" t="inlineStr"/>
      <c r="B5554">
        <f>Assumptions!$B$60</f>
        <v/>
      </c>
      <c r="C5554" t="n">
        <v>0</v>
      </c>
      <c r="D5554" t="n">
        <v>1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>
        <f>(1-C5554)*Assumptions!$B$41+(1-D5554)*Assumptions!$B$33+(1-E5554)*Assumptions!$B$32+(1-F5554)*Assumptions!$B$31+(1-G5554)*Assumptions!$B$30+(1-H5554)*Assumptions!$B$29+(1-I5554)*Assumptions!$B$28</f>
        <v/>
      </c>
      <c r="K5554">
        <f>C5554*$J$457+D5554*$F$457+E5554*$G$457+F5554*Assumptions!$B$14+G5554*Assumptions!$B$13+H5554*Assumptions!$B$12+I5554*Assumptions!$B$11+$O$457+$S$457+Assumptions!$B$9</f>
        <v/>
      </c>
      <c r="L5554">
        <f>B5554-J5554</f>
        <v/>
      </c>
      <c r="M5554">
        <f>IF(K5554&gt;0,IF(L5554/K5554&gt;=Assumptions!$B$37,1,0),0)</f>
        <v/>
      </c>
      <c r="N5554">
        <f>K5554+M5554*Assumptions!$B$153</f>
        <v/>
      </c>
      <c r="O5554">
        <f>L5554+M5554*Assumptions!$B$153*Assumptions!$B$37</f>
        <v/>
      </c>
      <c r="P5554">
        <f>IF(N5554&gt;0,O5554/N5554,0)</f>
        <v/>
      </c>
      <c r="Q5554">
        <f>IF(C5554=1,P5554*$J$457,Assumptions!$B$41)</f>
        <v/>
      </c>
      <c r="R5554">
        <f>IF(D5554=1,P5554*$F$457,Assumptions!$B$33)</f>
        <v/>
      </c>
      <c r="S5554">
        <f>IF(E5554=1,P5554*$G$457,Assumptions!$B$32)</f>
        <v/>
      </c>
      <c r="T5554">
        <f>IF(F5554=1,P5554*Assumptions!$B$14,Assumptions!$B$31)</f>
        <v/>
      </c>
      <c r="U5554">
        <f>IF(G5554=1,P5554*Assumptions!$B$13,Assumptions!$B$30)</f>
        <v/>
      </c>
      <c r="V5554">
        <f>IF(H5554=1,P5554*Assumptions!$B$12,Assumptions!$B$29)</f>
        <v/>
      </c>
      <c r="W5554">
        <f>IF(I5554=1,P5554*Assumptions!$B$11,Assumptions!$B$28)</f>
        <v/>
      </c>
      <c r="X5554">
        <f>P5554*($O$457+$S$457)</f>
        <v/>
      </c>
      <c r="Y5554">
        <f>P5554*Assumptions!$B$9</f>
        <v/>
      </c>
      <c r="Z5554">
        <f>IF(M5554=1,(P5554-Assumptions!$B$37)*Assumptions!$B$153,0)</f>
        <v/>
      </c>
      <c r="AA5554">
        <f>Q5554+R5554+S5554+T5554+U5554+V5554+W5554+X5554+Y5554+Z5554</f>
        <v/>
      </c>
      <c r="AB5554" t="n">
        <v>42</v>
      </c>
      <c r="AC5554" t="n">
        <v>106</v>
      </c>
      <c r="AD5554" t="n">
        <v>10</v>
      </c>
      <c r="AE5554" t="n">
        <v>58</v>
      </c>
      <c r="AF5554" t="n">
        <v>34</v>
      </c>
      <c r="AG5554" t="n">
        <v>46</v>
      </c>
      <c r="AH5554" t="n">
        <v>40</v>
      </c>
      <c r="AI5554" t="n">
        <v>43</v>
      </c>
      <c r="AJ5554">
        <f>INDEX($Q$5512:$Q$5639,AC5554+1)</f>
        <v/>
      </c>
      <c r="AK5554">
        <f>INDEX($R$5512:$R$5639,AD5554+1)</f>
        <v/>
      </c>
      <c r="AL5554">
        <f>INDEX($S$5512:$S$5639,AE5554+1)</f>
        <v/>
      </c>
      <c r="AM5554">
        <f>INDEX($T$5512:$T$5639,AF5554+1)</f>
        <v/>
      </c>
      <c r="AN5554">
        <f>INDEX($U$5512:$U$5639,AG5554+1)</f>
        <v/>
      </c>
      <c r="AO5554">
        <f>INDEX($V$5512:$V$5639,AH5554+1)</f>
        <v/>
      </c>
      <c r="AP5554">
        <f>INDEX($W$5512:$W$5639,AI5554+1)</f>
        <v/>
      </c>
      <c r="AQ5554">
        <f>IF(Q5554&gt;=AJ5554-0.01,1,0)</f>
        <v/>
      </c>
      <c r="AR5554">
        <f>IF(R5554&gt;=AK5554-0.01,1,0)</f>
        <v/>
      </c>
      <c r="AS5554">
        <f>IF(S5554&gt;=AL5554-0.01,1,0)</f>
        <v/>
      </c>
      <c r="AT5554">
        <f>IF(T5554&gt;=AM5554-0.01,1,0)</f>
        <v/>
      </c>
      <c r="AU5554">
        <f>IF(U5554&gt;=AN5554-0.01,1,0)</f>
        <v/>
      </c>
      <c r="AV5554">
        <f>IF(V5554&gt;=AO5554-0.01,1,0)</f>
        <v/>
      </c>
      <c r="AW5554">
        <f>IF(W5554&gt;=AP5554-0.01,1,0)</f>
        <v/>
      </c>
      <c r="AX5554">
        <f>AQ5554*AR5554*AS5554*AT5554*AU5554*AV5554*AW5554</f>
        <v/>
      </c>
    </row>
    <row r="5555">
      <c r="A5555" t="inlineStr"/>
      <c r="B5555">
        <f>Assumptions!$B$60</f>
        <v/>
      </c>
      <c r="C5555" t="n">
        <v>0</v>
      </c>
      <c r="D5555" t="n">
        <v>1</v>
      </c>
      <c r="E5555" t="n">
        <v>0</v>
      </c>
      <c r="F5555" t="n">
        <v>1</v>
      </c>
      <c r="G5555" t="n">
        <v>0</v>
      </c>
      <c r="H5555" t="n">
        <v>1</v>
      </c>
      <c r="I5555" t="n">
        <v>1</v>
      </c>
      <c r="J5555">
        <f>(1-C5555)*Assumptions!$B$41+(1-D5555)*Assumptions!$B$33+(1-E5555)*Assumptions!$B$32+(1-F5555)*Assumptions!$B$31+(1-G5555)*Assumptions!$B$30+(1-H5555)*Assumptions!$B$29+(1-I5555)*Assumptions!$B$28</f>
        <v/>
      </c>
      <c r="K5555">
        <f>C5555*$J$457+D5555*$F$457+E5555*$G$457+F5555*Assumptions!$B$14+G5555*Assumptions!$B$13+H5555*Assumptions!$B$12+I5555*Assumptions!$B$11+$O$457+$S$457+Assumptions!$B$9</f>
        <v/>
      </c>
      <c r="L5555">
        <f>B5555-J5555</f>
        <v/>
      </c>
      <c r="M5555">
        <f>IF(K5555&gt;0,IF(L5555/K5555&gt;=Assumptions!$B$37,1,0),0)</f>
        <v/>
      </c>
      <c r="N5555">
        <f>K5555+M5555*Assumptions!$B$153</f>
        <v/>
      </c>
      <c r="O5555">
        <f>L5555+M5555*Assumptions!$B$153*Assumptions!$B$37</f>
        <v/>
      </c>
      <c r="P5555">
        <f>IF(N5555&gt;0,O5555/N5555,0)</f>
        <v/>
      </c>
      <c r="Q5555">
        <f>IF(C5555=1,P5555*$J$457,Assumptions!$B$41)</f>
        <v/>
      </c>
      <c r="R5555">
        <f>IF(D5555=1,P5555*$F$457,Assumptions!$B$33)</f>
        <v/>
      </c>
      <c r="S5555">
        <f>IF(E5555=1,P5555*$G$457,Assumptions!$B$32)</f>
        <v/>
      </c>
      <c r="T5555">
        <f>IF(F5555=1,P5555*Assumptions!$B$14,Assumptions!$B$31)</f>
        <v/>
      </c>
      <c r="U5555">
        <f>IF(G5555=1,P5555*Assumptions!$B$13,Assumptions!$B$30)</f>
        <v/>
      </c>
      <c r="V5555">
        <f>IF(H5555=1,P5555*Assumptions!$B$12,Assumptions!$B$29)</f>
        <v/>
      </c>
      <c r="W5555">
        <f>IF(I5555=1,P5555*Assumptions!$B$11,Assumptions!$B$28)</f>
        <v/>
      </c>
      <c r="X5555">
        <f>P5555*($O$457+$S$457)</f>
        <v/>
      </c>
      <c r="Y5555">
        <f>P5555*Assumptions!$B$9</f>
        <v/>
      </c>
      <c r="Z5555">
        <f>IF(M5555=1,(P5555-Assumptions!$B$37)*Assumptions!$B$153,0)</f>
        <v/>
      </c>
      <c r="AA5555">
        <f>Q5555+R5555+S5555+T5555+U5555+V5555+W5555+X5555+Y5555+Z5555</f>
        <v/>
      </c>
      <c r="AB5555" t="n">
        <v>43</v>
      </c>
      <c r="AC5555" t="n">
        <v>107</v>
      </c>
      <c r="AD5555" t="n">
        <v>11</v>
      </c>
      <c r="AE5555" t="n">
        <v>59</v>
      </c>
      <c r="AF5555" t="n">
        <v>35</v>
      </c>
      <c r="AG5555" t="n">
        <v>47</v>
      </c>
      <c r="AH5555" t="n">
        <v>41</v>
      </c>
      <c r="AI5555" t="n">
        <v>42</v>
      </c>
      <c r="AJ5555">
        <f>INDEX($Q$5512:$Q$5639,AC5555+1)</f>
        <v/>
      </c>
      <c r="AK5555">
        <f>INDEX($R$5512:$R$5639,AD5555+1)</f>
        <v/>
      </c>
      <c r="AL5555">
        <f>INDEX($S$5512:$S$5639,AE5555+1)</f>
        <v/>
      </c>
      <c r="AM5555">
        <f>INDEX($T$5512:$T$5639,AF5555+1)</f>
        <v/>
      </c>
      <c r="AN5555">
        <f>INDEX($U$5512:$U$5639,AG5555+1)</f>
        <v/>
      </c>
      <c r="AO5555">
        <f>INDEX($V$5512:$V$5639,AH5555+1)</f>
        <v/>
      </c>
      <c r="AP5555">
        <f>INDEX($W$5512:$W$5639,AI5555+1)</f>
        <v/>
      </c>
      <c r="AQ5555">
        <f>IF(Q5555&gt;=AJ5555-0.01,1,0)</f>
        <v/>
      </c>
      <c r="AR5555">
        <f>IF(R5555&gt;=AK5555-0.01,1,0)</f>
        <v/>
      </c>
      <c r="AS5555">
        <f>IF(S5555&gt;=AL5555-0.01,1,0)</f>
        <v/>
      </c>
      <c r="AT5555">
        <f>IF(T5555&gt;=AM5555-0.01,1,0)</f>
        <v/>
      </c>
      <c r="AU5555">
        <f>IF(U5555&gt;=AN5555-0.01,1,0)</f>
        <v/>
      </c>
      <c r="AV5555">
        <f>IF(V5555&gt;=AO5555-0.01,1,0)</f>
        <v/>
      </c>
      <c r="AW5555">
        <f>IF(W5555&gt;=AP5555-0.01,1,0)</f>
        <v/>
      </c>
      <c r="AX5555">
        <f>AQ5555*AR5555*AS5555*AT5555*AU5555*AV5555*AW5555</f>
        <v/>
      </c>
    </row>
    <row r="5556">
      <c r="A5556" t="inlineStr"/>
      <c r="B5556">
        <f>Assumptions!$B$60</f>
        <v/>
      </c>
      <c r="C5556" t="n">
        <v>0</v>
      </c>
      <c r="D5556" t="n">
        <v>1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>
        <f>(1-C5556)*Assumptions!$B$41+(1-D5556)*Assumptions!$B$33+(1-E5556)*Assumptions!$B$32+(1-F5556)*Assumptions!$B$31+(1-G5556)*Assumptions!$B$30+(1-H5556)*Assumptions!$B$29+(1-I5556)*Assumptions!$B$28</f>
        <v/>
      </c>
      <c r="K5556">
        <f>C5556*$J$457+D5556*$F$457+E5556*$G$457+F5556*Assumptions!$B$14+G5556*Assumptions!$B$13+H5556*Assumptions!$B$12+I5556*Assumptions!$B$11+$O$457+$S$457+Assumptions!$B$9</f>
        <v/>
      </c>
      <c r="L5556">
        <f>B5556-J5556</f>
        <v/>
      </c>
      <c r="M5556">
        <f>IF(K5556&gt;0,IF(L5556/K5556&gt;=Assumptions!$B$37,1,0),0)</f>
        <v/>
      </c>
      <c r="N5556">
        <f>K5556+M5556*Assumptions!$B$153</f>
        <v/>
      </c>
      <c r="O5556">
        <f>L5556+M5556*Assumptions!$B$153*Assumptions!$B$37</f>
        <v/>
      </c>
      <c r="P5556">
        <f>IF(N5556&gt;0,O5556/N5556,0)</f>
        <v/>
      </c>
      <c r="Q5556">
        <f>IF(C5556=1,P5556*$J$457,Assumptions!$B$41)</f>
        <v/>
      </c>
      <c r="R5556">
        <f>IF(D5556=1,P5556*$F$457,Assumptions!$B$33)</f>
        <v/>
      </c>
      <c r="S5556">
        <f>IF(E5556=1,P5556*$G$457,Assumptions!$B$32)</f>
        <v/>
      </c>
      <c r="T5556">
        <f>IF(F5556=1,P5556*Assumptions!$B$14,Assumptions!$B$31)</f>
        <v/>
      </c>
      <c r="U5556">
        <f>IF(G5556=1,P5556*Assumptions!$B$13,Assumptions!$B$30)</f>
        <v/>
      </c>
      <c r="V5556">
        <f>IF(H5556=1,P5556*Assumptions!$B$12,Assumptions!$B$29)</f>
        <v/>
      </c>
      <c r="W5556">
        <f>IF(I5556=1,P5556*Assumptions!$B$11,Assumptions!$B$28)</f>
        <v/>
      </c>
      <c r="X5556">
        <f>P5556*($O$457+$S$457)</f>
        <v/>
      </c>
      <c r="Y5556">
        <f>P5556*Assumptions!$B$9</f>
        <v/>
      </c>
      <c r="Z5556">
        <f>IF(M5556=1,(P5556-Assumptions!$B$37)*Assumptions!$B$153,0)</f>
        <v/>
      </c>
      <c r="AA5556">
        <f>Q5556+R5556+S5556+T5556+U5556+V5556+W5556+X5556+Y5556+Z5556</f>
        <v/>
      </c>
      <c r="AB5556" t="n">
        <v>44</v>
      </c>
      <c r="AC5556" t="n">
        <v>108</v>
      </c>
      <c r="AD5556" t="n">
        <v>12</v>
      </c>
      <c r="AE5556" t="n">
        <v>60</v>
      </c>
      <c r="AF5556" t="n">
        <v>36</v>
      </c>
      <c r="AG5556" t="n">
        <v>40</v>
      </c>
      <c r="AH5556" t="n">
        <v>46</v>
      </c>
      <c r="AI5556" t="n">
        <v>45</v>
      </c>
      <c r="AJ5556">
        <f>INDEX($Q$5512:$Q$5639,AC5556+1)</f>
        <v/>
      </c>
      <c r="AK5556">
        <f>INDEX($R$5512:$R$5639,AD5556+1)</f>
        <v/>
      </c>
      <c r="AL5556">
        <f>INDEX($S$5512:$S$5639,AE5556+1)</f>
        <v/>
      </c>
      <c r="AM5556">
        <f>INDEX($T$5512:$T$5639,AF5556+1)</f>
        <v/>
      </c>
      <c r="AN5556">
        <f>INDEX($U$5512:$U$5639,AG5556+1)</f>
        <v/>
      </c>
      <c r="AO5556">
        <f>INDEX($V$5512:$V$5639,AH5556+1)</f>
        <v/>
      </c>
      <c r="AP5556">
        <f>INDEX($W$5512:$W$5639,AI5556+1)</f>
        <v/>
      </c>
      <c r="AQ5556">
        <f>IF(Q5556&gt;=AJ5556-0.01,1,0)</f>
        <v/>
      </c>
      <c r="AR5556">
        <f>IF(R5556&gt;=AK5556-0.01,1,0)</f>
        <v/>
      </c>
      <c r="AS5556">
        <f>IF(S5556&gt;=AL5556-0.01,1,0)</f>
        <v/>
      </c>
      <c r="AT5556">
        <f>IF(T5556&gt;=AM5556-0.01,1,0)</f>
        <v/>
      </c>
      <c r="AU5556">
        <f>IF(U5556&gt;=AN5556-0.01,1,0)</f>
        <v/>
      </c>
      <c r="AV5556">
        <f>IF(V5556&gt;=AO5556-0.01,1,0)</f>
        <v/>
      </c>
      <c r="AW5556">
        <f>IF(W5556&gt;=AP5556-0.01,1,0)</f>
        <v/>
      </c>
      <c r="AX5556">
        <f>AQ5556*AR5556*AS5556*AT5556*AU5556*AV5556*AW5556</f>
        <v/>
      </c>
    </row>
    <row r="5557">
      <c r="A5557" t="inlineStr"/>
      <c r="B5557">
        <f>Assumptions!$B$60</f>
        <v/>
      </c>
      <c r="C5557" t="n">
        <v>0</v>
      </c>
      <c r="D5557" t="n">
        <v>1</v>
      </c>
      <c r="E5557" t="n">
        <v>0</v>
      </c>
      <c r="F5557" t="n">
        <v>1</v>
      </c>
      <c r="G5557" t="n">
        <v>1</v>
      </c>
      <c r="H5557" t="n">
        <v>0</v>
      </c>
      <c r="I5557" t="n">
        <v>1</v>
      </c>
      <c r="J5557">
        <f>(1-C5557)*Assumptions!$B$41+(1-D5557)*Assumptions!$B$33+(1-E5557)*Assumptions!$B$32+(1-F5557)*Assumptions!$B$31+(1-G5557)*Assumptions!$B$30+(1-H5557)*Assumptions!$B$29+(1-I5557)*Assumptions!$B$28</f>
        <v/>
      </c>
      <c r="K5557">
        <f>C5557*$J$457+D5557*$F$457+E5557*$G$457+F5557*Assumptions!$B$14+G5557*Assumptions!$B$13+H5557*Assumptions!$B$12+I5557*Assumptions!$B$11+$O$457+$S$457+Assumptions!$B$9</f>
        <v/>
      </c>
      <c r="L5557">
        <f>B5557-J5557</f>
        <v/>
      </c>
      <c r="M5557">
        <f>IF(K5557&gt;0,IF(L5557/K5557&gt;=Assumptions!$B$37,1,0),0)</f>
        <v/>
      </c>
      <c r="N5557">
        <f>K5557+M5557*Assumptions!$B$153</f>
        <v/>
      </c>
      <c r="O5557">
        <f>L5557+M5557*Assumptions!$B$153*Assumptions!$B$37</f>
        <v/>
      </c>
      <c r="P5557">
        <f>IF(N5557&gt;0,O5557/N5557,0)</f>
        <v/>
      </c>
      <c r="Q5557">
        <f>IF(C5557=1,P5557*$J$457,Assumptions!$B$41)</f>
        <v/>
      </c>
      <c r="R5557">
        <f>IF(D5557=1,P5557*$F$457,Assumptions!$B$33)</f>
        <v/>
      </c>
      <c r="S5557">
        <f>IF(E5557=1,P5557*$G$457,Assumptions!$B$32)</f>
        <v/>
      </c>
      <c r="T5557">
        <f>IF(F5557=1,P5557*Assumptions!$B$14,Assumptions!$B$31)</f>
        <v/>
      </c>
      <c r="U5557">
        <f>IF(G5557=1,P5557*Assumptions!$B$13,Assumptions!$B$30)</f>
        <v/>
      </c>
      <c r="V5557">
        <f>IF(H5557=1,P5557*Assumptions!$B$12,Assumptions!$B$29)</f>
        <v/>
      </c>
      <c r="W5557">
        <f>IF(I5557=1,P5557*Assumptions!$B$11,Assumptions!$B$28)</f>
        <v/>
      </c>
      <c r="X5557">
        <f>P5557*($O$457+$S$457)</f>
        <v/>
      </c>
      <c r="Y5557">
        <f>P5557*Assumptions!$B$9</f>
        <v/>
      </c>
      <c r="Z5557">
        <f>IF(M5557=1,(P5557-Assumptions!$B$37)*Assumptions!$B$153,0)</f>
        <v/>
      </c>
      <c r="AA5557">
        <f>Q5557+R5557+S5557+T5557+U5557+V5557+W5557+X5557+Y5557+Z5557</f>
        <v/>
      </c>
      <c r="AB5557" t="n">
        <v>45</v>
      </c>
      <c r="AC5557" t="n">
        <v>109</v>
      </c>
      <c r="AD5557" t="n">
        <v>13</v>
      </c>
      <c r="AE5557" t="n">
        <v>61</v>
      </c>
      <c r="AF5557" t="n">
        <v>37</v>
      </c>
      <c r="AG5557" t="n">
        <v>41</v>
      </c>
      <c r="AH5557" t="n">
        <v>47</v>
      </c>
      <c r="AI5557" t="n">
        <v>44</v>
      </c>
      <c r="AJ5557">
        <f>INDEX($Q$5512:$Q$5639,AC5557+1)</f>
        <v/>
      </c>
      <c r="AK5557">
        <f>INDEX($R$5512:$R$5639,AD5557+1)</f>
        <v/>
      </c>
      <c r="AL5557">
        <f>INDEX($S$5512:$S$5639,AE5557+1)</f>
        <v/>
      </c>
      <c r="AM5557">
        <f>INDEX($T$5512:$T$5639,AF5557+1)</f>
        <v/>
      </c>
      <c r="AN5557">
        <f>INDEX($U$5512:$U$5639,AG5557+1)</f>
        <v/>
      </c>
      <c r="AO5557">
        <f>INDEX($V$5512:$V$5639,AH5557+1)</f>
        <v/>
      </c>
      <c r="AP5557">
        <f>INDEX($W$5512:$W$5639,AI5557+1)</f>
        <v/>
      </c>
      <c r="AQ5557">
        <f>IF(Q5557&gt;=AJ5557-0.01,1,0)</f>
        <v/>
      </c>
      <c r="AR5557">
        <f>IF(R5557&gt;=AK5557-0.01,1,0)</f>
        <v/>
      </c>
      <c r="AS5557">
        <f>IF(S5557&gt;=AL5557-0.01,1,0)</f>
        <v/>
      </c>
      <c r="AT5557">
        <f>IF(T5557&gt;=AM5557-0.01,1,0)</f>
        <v/>
      </c>
      <c r="AU5557">
        <f>IF(U5557&gt;=AN5557-0.01,1,0)</f>
        <v/>
      </c>
      <c r="AV5557">
        <f>IF(V5557&gt;=AO5557-0.01,1,0)</f>
        <v/>
      </c>
      <c r="AW5557">
        <f>IF(W5557&gt;=AP5557-0.01,1,0)</f>
        <v/>
      </c>
      <c r="AX5557">
        <f>AQ5557*AR5557*AS5557*AT5557*AU5557*AV5557*AW5557</f>
        <v/>
      </c>
    </row>
    <row r="5558">
      <c r="A5558" t="inlineStr"/>
      <c r="B5558">
        <f>Assumptions!$B$60</f>
        <v/>
      </c>
      <c r="C5558" t="n">
        <v>0</v>
      </c>
      <c r="D5558" t="n">
        <v>1</v>
      </c>
      <c r="E5558" t="n">
        <v>0</v>
      </c>
      <c r="F5558" t="n">
        <v>1</v>
      </c>
      <c r="G5558" t="n">
        <v>1</v>
      </c>
      <c r="H5558" t="n">
        <v>1</v>
      </c>
      <c r="I5558" t="n">
        <v>0</v>
      </c>
      <c r="J5558">
        <f>(1-C5558)*Assumptions!$B$41+(1-D5558)*Assumptions!$B$33+(1-E5558)*Assumptions!$B$32+(1-F5558)*Assumptions!$B$31+(1-G5558)*Assumptions!$B$30+(1-H5558)*Assumptions!$B$29+(1-I5558)*Assumptions!$B$28</f>
        <v/>
      </c>
      <c r="K5558">
        <f>C5558*$J$457+D5558*$F$457+E5558*$G$457+F5558*Assumptions!$B$14+G5558*Assumptions!$B$13+H5558*Assumptions!$B$12+I5558*Assumptions!$B$11+$O$457+$S$457+Assumptions!$B$9</f>
        <v/>
      </c>
      <c r="L5558">
        <f>B5558-J5558</f>
        <v/>
      </c>
      <c r="M5558">
        <f>IF(K5558&gt;0,IF(L5558/K5558&gt;=Assumptions!$B$37,1,0),0)</f>
        <v/>
      </c>
      <c r="N5558">
        <f>K5558+M5558*Assumptions!$B$153</f>
        <v/>
      </c>
      <c r="O5558">
        <f>L5558+M5558*Assumptions!$B$153*Assumptions!$B$37</f>
        <v/>
      </c>
      <c r="P5558">
        <f>IF(N5558&gt;0,O5558/N5558,0)</f>
        <v/>
      </c>
      <c r="Q5558">
        <f>IF(C5558=1,P5558*$J$457,Assumptions!$B$41)</f>
        <v/>
      </c>
      <c r="R5558">
        <f>IF(D5558=1,P5558*$F$457,Assumptions!$B$33)</f>
        <v/>
      </c>
      <c r="S5558">
        <f>IF(E5558=1,P5558*$G$457,Assumptions!$B$32)</f>
        <v/>
      </c>
      <c r="T5558">
        <f>IF(F5558=1,P5558*Assumptions!$B$14,Assumptions!$B$31)</f>
        <v/>
      </c>
      <c r="U5558">
        <f>IF(G5558=1,P5558*Assumptions!$B$13,Assumptions!$B$30)</f>
        <v/>
      </c>
      <c r="V5558">
        <f>IF(H5558=1,P5558*Assumptions!$B$12,Assumptions!$B$29)</f>
        <v/>
      </c>
      <c r="W5558">
        <f>IF(I5558=1,P5558*Assumptions!$B$11,Assumptions!$B$28)</f>
        <v/>
      </c>
      <c r="X5558">
        <f>P5558*($O$457+$S$457)</f>
        <v/>
      </c>
      <c r="Y5558">
        <f>P5558*Assumptions!$B$9</f>
        <v/>
      </c>
      <c r="Z5558">
        <f>IF(M5558=1,(P5558-Assumptions!$B$37)*Assumptions!$B$153,0)</f>
        <v/>
      </c>
      <c r="AA5558">
        <f>Q5558+R5558+S5558+T5558+U5558+V5558+W5558+X5558+Y5558+Z5558</f>
        <v/>
      </c>
      <c r="AB5558" t="n">
        <v>46</v>
      </c>
      <c r="AC5558" t="n">
        <v>110</v>
      </c>
      <c r="AD5558" t="n">
        <v>14</v>
      </c>
      <c r="AE5558" t="n">
        <v>62</v>
      </c>
      <c r="AF5558" t="n">
        <v>38</v>
      </c>
      <c r="AG5558" t="n">
        <v>42</v>
      </c>
      <c r="AH5558" t="n">
        <v>44</v>
      </c>
      <c r="AI5558" t="n">
        <v>47</v>
      </c>
      <c r="AJ5558">
        <f>INDEX($Q$5512:$Q$5639,AC5558+1)</f>
        <v/>
      </c>
      <c r="AK5558">
        <f>INDEX($R$5512:$R$5639,AD5558+1)</f>
        <v/>
      </c>
      <c r="AL5558">
        <f>INDEX($S$5512:$S$5639,AE5558+1)</f>
        <v/>
      </c>
      <c r="AM5558">
        <f>INDEX($T$5512:$T$5639,AF5558+1)</f>
        <v/>
      </c>
      <c r="AN5558">
        <f>INDEX($U$5512:$U$5639,AG5558+1)</f>
        <v/>
      </c>
      <c r="AO5558">
        <f>INDEX($V$5512:$V$5639,AH5558+1)</f>
        <v/>
      </c>
      <c r="AP5558">
        <f>INDEX($W$5512:$W$5639,AI5558+1)</f>
        <v/>
      </c>
      <c r="AQ5558">
        <f>IF(Q5558&gt;=AJ5558-0.01,1,0)</f>
        <v/>
      </c>
      <c r="AR5558">
        <f>IF(R5558&gt;=AK5558-0.01,1,0)</f>
        <v/>
      </c>
      <c r="AS5558">
        <f>IF(S5558&gt;=AL5558-0.01,1,0)</f>
        <v/>
      </c>
      <c r="AT5558">
        <f>IF(T5558&gt;=AM5558-0.01,1,0)</f>
        <v/>
      </c>
      <c r="AU5558">
        <f>IF(U5558&gt;=AN5558-0.01,1,0)</f>
        <v/>
      </c>
      <c r="AV5558">
        <f>IF(V5558&gt;=AO5558-0.01,1,0)</f>
        <v/>
      </c>
      <c r="AW5558">
        <f>IF(W5558&gt;=AP5558-0.01,1,0)</f>
        <v/>
      </c>
      <c r="AX5558">
        <f>AQ5558*AR5558*AS5558*AT5558*AU5558*AV5558*AW5558</f>
        <v/>
      </c>
    </row>
    <row r="5559">
      <c r="A5559" t="inlineStr"/>
      <c r="B5559">
        <f>Assumptions!$B$60</f>
        <v/>
      </c>
      <c r="C5559" t="n">
        <v>0</v>
      </c>
      <c r="D5559" t="n">
        <v>1</v>
      </c>
      <c r="E5559" t="n">
        <v>0</v>
      </c>
      <c r="F5559" t="n">
        <v>1</v>
      </c>
      <c r="G5559" t="n">
        <v>1</v>
      </c>
      <c r="H5559" t="n">
        <v>1</v>
      </c>
      <c r="I5559" t="n">
        <v>1</v>
      </c>
      <c r="J5559">
        <f>(1-C5559)*Assumptions!$B$41+(1-D5559)*Assumptions!$B$33+(1-E5559)*Assumptions!$B$32+(1-F5559)*Assumptions!$B$31+(1-G5559)*Assumptions!$B$30+(1-H5559)*Assumptions!$B$29+(1-I5559)*Assumptions!$B$28</f>
        <v/>
      </c>
      <c r="K5559">
        <f>C5559*$J$457+D5559*$F$457+E5559*$G$457+F5559*Assumptions!$B$14+G5559*Assumptions!$B$13+H5559*Assumptions!$B$12+I5559*Assumptions!$B$11+$O$457+$S$457+Assumptions!$B$9</f>
        <v/>
      </c>
      <c r="L5559">
        <f>B5559-J5559</f>
        <v/>
      </c>
      <c r="M5559">
        <f>IF(K5559&gt;0,IF(L5559/K5559&gt;=Assumptions!$B$37,1,0),0)</f>
        <v/>
      </c>
      <c r="N5559">
        <f>K5559+M5559*Assumptions!$B$153</f>
        <v/>
      </c>
      <c r="O5559">
        <f>L5559+M5559*Assumptions!$B$153*Assumptions!$B$37</f>
        <v/>
      </c>
      <c r="P5559">
        <f>IF(N5559&gt;0,O5559/N5559,0)</f>
        <v/>
      </c>
      <c r="Q5559">
        <f>IF(C5559=1,P5559*$J$457,Assumptions!$B$41)</f>
        <v/>
      </c>
      <c r="R5559">
        <f>IF(D5559=1,P5559*$F$457,Assumptions!$B$33)</f>
        <v/>
      </c>
      <c r="S5559">
        <f>IF(E5559=1,P5559*$G$457,Assumptions!$B$32)</f>
        <v/>
      </c>
      <c r="T5559">
        <f>IF(F5559=1,P5559*Assumptions!$B$14,Assumptions!$B$31)</f>
        <v/>
      </c>
      <c r="U5559">
        <f>IF(G5559=1,P5559*Assumptions!$B$13,Assumptions!$B$30)</f>
        <v/>
      </c>
      <c r="V5559">
        <f>IF(H5559=1,P5559*Assumptions!$B$12,Assumptions!$B$29)</f>
        <v/>
      </c>
      <c r="W5559">
        <f>IF(I5559=1,P5559*Assumptions!$B$11,Assumptions!$B$28)</f>
        <v/>
      </c>
      <c r="X5559">
        <f>P5559*($O$457+$S$457)</f>
        <v/>
      </c>
      <c r="Y5559">
        <f>P5559*Assumptions!$B$9</f>
        <v/>
      </c>
      <c r="Z5559">
        <f>IF(M5559=1,(P5559-Assumptions!$B$37)*Assumptions!$B$153,0)</f>
        <v/>
      </c>
      <c r="AA5559">
        <f>Q5559+R5559+S5559+T5559+U5559+V5559+W5559+X5559+Y5559+Z5559</f>
        <v/>
      </c>
      <c r="AB5559" t="n">
        <v>47</v>
      </c>
      <c r="AC5559" t="n">
        <v>111</v>
      </c>
      <c r="AD5559" t="n">
        <v>15</v>
      </c>
      <c r="AE5559" t="n">
        <v>63</v>
      </c>
      <c r="AF5559" t="n">
        <v>39</v>
      </c>
      <c r="AG5559" t="n">
        <v>43</v>
      </c>
      <c r="AH5559" t="n">
        <v>45</v>
      </c>
      <c r="AI5559" t="n">
        <v>46</v>
      </c>
      <c r="AJ5559">
        <f>INDEX($Q$5512:$Q$5639,AC5559+1)</f>
        <v/>
      </c>
      <c r="AK5559">
        <f>INDEX($R$5512:$R$5639,AD5559+1)</f>
        <v/>
      </c>
      <c r="AL5559">
        <f>INDEX($S$5512:$S$5639,AE5559+1)</f>
        <v/>
      </c>
      <c r="AM5559">
        <f>INDEX($T$5512:$T$5639,AF5559+1)</f>
        <v/>
      </c>
      <c r="AN5559">
        <f>INDEX($U$5512:$U$5639,AG5559+1)</f>
        <v/>
      </c>
      <c r="AO5559">
        <f>INDEX($V$5512:$V$5639,AH5559+1)</f>
        <v/>
      </c>
      <c r="AP5559">
        <f>INDEX($W$5512:$W$5639,AI5559+1)</f>
        <v/>
      </c>
      <c r="AQ5559">
        <f>IF(Q5559&gt;=AJ5559-0.01,1,0)</f>
        <v/>
      </c>
      <c r="AR5559">
        <f>IF(R5559&gt;=AK5559-0.01,1,0)</f>
        <v/>
      </c>
      <c r="AS5559">
        <f>IF(S5559&gt;=AL5559-0.01,1,0)</f>
        <v/>
      </c>
      <c r="AT5559">
        <f>IF(T5559&gt;=AM5559-0.01,1,0)</f>
        <v/>
      </c>
      <c r="AU5559">
        <f>IF(U5559&gt;=AN5559-0.01,1,0)</f>
        <v/>
      </c>
      <c r="AV5559">
        <f>IF(V5559&gt;=AO5559-0.01,1,0)</f>
        <v/>
      </c>
      <c r="AW5559">
        <f>IF(W5559&gt;=AP5559-0.01,1,0)</f>
        <v/>
      </c>
      <c r="AX5559">
        <f>AQ5559*AR5559*AS5559*AT5559*AU5559*AV5559*AW5559</f>
        <v/>
      </c>
    </row>
    <row r="5560">
      <c r="A5560" t="inlineStr"/>
      <c r="B5560">
        <f>Assumptions!$B$60</f>
        <v/>
      </c>
      <c r="C5560" t="n">
        <v>0</v>
      </c>
      <c r="D5560" t="n">
        <v>1</v>
      </c>
      <c r="E5560" t="n">
        <v>1</v>
      </c>
      <c r="F5560" t="n">
        <v>0</v>
      </c>
      <c r="G5560" t="n">
        <v>0</v>
      </c>
      <c r="H5560" t="n">
        <v>0</v>
      </c>
      <c r="I5560" t="n">
        <v>0</v>
      </c>
      <c r="J5560">
        <f>(1-C5560)*Assumptions!$B$41+(1-D5560)*Assumptions!$B$33+(1-E5560)*Assumptions!$B$32+(1-F5560)*Assumptions!$B$31+(1-G5560)*Assumptions!$B$30+(1-H5560)*Assumptions!$B$29+(1-I5560)*Assumptions!$B$28</f>
        <v/>
      </c>
      <c r="K5560">
        <f>C5560*$J$457+D5560*$F$457+E5560*$G$457+F5560*Assumptions!$B$14+G5560*Assumptions!$B$13+H5560*Assumptions!$B$12+I5560*Assumptions!$B$11+$O$457+$S$457+Assumptions!$B$9</f>
        <v/>
      </c>
      <c r="L5560">
        <f>B5560-J5560</f>
        <v/>
      </c>
      <c r="M5560">
        <f>IF(K5560&gt;0,IF(L5560/K5560&gt;=Assumptions!$B$37,1,0),0)</f>
        <v/>
      </c>
      <c r="N5560">
        <f>K5560+M5560*Assumptions!$B$153</f>
        <v/>
      </c>
      <c r="O5560">
        <f>L5560+M5560*Assumptions!$B$153*Assumptions!$B$37</f>
        <v/>
      </c>
      <c r="P5560">
        <f>IF(N5560&gt;0,O5560/N5560,0)</f>
        <v/>
      </c>
      <c r="Q5560">
        <f>IF(C5560=1,P5560*$J$457,Assumptions!$B$41)</f>
        <v/>
      </c>
      <c r="R5560">
        <f>IF(D5560=1,P5560*$F$457,Assumptions!$B$33)</f>
        <v/>
      </c>
      <c r="S5560">
        <f>IF(E5560=1,P5560*$G$457,Assumptions!$B$32)</f>
        <v/>
      </c>
      <c r="T5560">
        <f>IF(F5560=1,P5560*Assumptions!$B$14,Assumptions!$B$31)</f>
        <v/>
      </c>
      <c r="U5560">
        <f>IF(G5560=1,P5560*Assumptions!$B$13,Assumptions!$B$30)</f>
        <v/>
      </c>
      <c r="V5560">
        <f>IF(H5560=1,P5560*Assumptions!$B$12,Assumptions!$B$29)</f>
        <v/>
      </c>
      <c r="W5560">
        <f>IF(I5560=1,P5560*Assumptions!$B$11,Assumptions!$B$28)</f>
        <v/>
      </c>
      <c r="X5560">
        <f>P5560*($O$457+$S$457)</f>
        <v/>
      </c>
      <c r="Y5560">
        <f>P5560*Assumptions!$B$9</f>
        <v/>
      </c>
      <c r="Z5560">
        <f>IF(M5560=1,(P5560-Assumptions!$B$37)*Assumptions!$B$153,0)</f>
        <v/>
      </c>
      <c r="AA5560">
        <f>Q5560+R5560+S5560+T5560+U5560+V5560+W5560+X5560+Y5560+Z5560</f>
        <v/>
      </c>
      <c r="AB5560" t="n">
        <v>48</v>
      </c>
      <c r="AC5560" t="n">
        <v>112</v>
      </c>
      <c r="AD5560" t="n">
        <v>16</v>
      </c>
      <c r="AE5560" t="n">
        <v>32</v>
      </c>
      <c r="AF5560" t="n">
        <v>56</v>
      </c>
      <c r="AG5560" t="n">
        <v>52</v>
      </c>
      <c r="AH5560" t="n">
        <v>50</v>
      </c>
      <c r="AI5560" t="n">
        <v>49</v>
      </c>
      <c r="AJ5560">
        <f>INDEX($Q$5512:$Q$5639,AC5560+1)</f>
        <v/>
      </c>
      <c r="AK5560">
        <f>INDEX($R$5512:$R$5639,AD5560+1)</f>
        <v/>
      </c>
      <c r="AL5560">
        <f>INDEX($S$5512:$S$5639,AE5560+1)</f>
        <v/>
      </c>
      <c r="AM5560">
        <f>INDEX($T$5512:$T$5639,AF5560+1)</f>
        <v/>
      </c>
      <c r="AN5560">
        <f>INDEX($U$5512:$U$5639,AG5560+1)</f>
        <v/>
      </c>
      <c r="AO5560">
        <f>INDEX($V$5512:$V$5639,AH5560+1)</f>
        <v/>
      </c>
      <c r="AP5560">
        <f>INDEX($W$5512:$W$5639,AI5560+1)</f>
        <v/>
      </c>
      <c r="AQ5560">
        <f>IF(Q5560&gt;=AJ5560-0.01,1,0)</f>
        <v/>
      </c>
      <c r="AR5560">
        <f>IF(R5560&gt;=AK5560-0.01,1,0)</f>
        <v/>
      </c>
      <c r="AS5560">
        <f>IF(S5560&gt;=AL5560-0.01,1,0)</f>
        <v/>
      </c>
      <c r="AT5560">
        <f>IF(T5560&gt;=AM5560-0.01,1,0)</f>
        <v/>
      </c>
      <c r="AU5560">
        <f>IF(U5560&gt;=AN5560-0.01,1,0)</f>
        <v/>
      </c>
      <c r="AV5560">
        <f>IF(V5560&gt;=AO5560-0.01,1,0)</f>
        <v/>
      </c>
      <c r="AW5560">
        <f>IF(W5560&gt;=AP5560-0.01,1,0)</f>
        <v/>
      </c>
      <c r="AX5560">
        <f>AQ5560*AR5560*AS5560*AT5560*AU5560*AV5560*AW5560</f>
        <v/>
      </c>
    </row>
    <row r="5561">
      <c r="A5561" t="inlineStr"/>
      <c r="B5561">
        <f>Assumptions!$B$60</f>
        <v/>
      </c>
      <c r="C5561" t="n">
        <v>0</v>
      </c>
      <c r="D5561" t="n">
        <v>1</v>
      </c>
      <c r="E5561" t="n">
        <v>1</v>
      </c>
      <c r="F5561" t="n">
        <v>0</v>
      </c>
      <c r="G5561" t="n">
        <v>0</v>
      </c>
      <c r="H5561" t="n">
        <v>0</v>
      </c>
      <c r="I5561" t="n">
        <v>1</v>
      </c>
      <c r="J5561">
        <f>(1-C5561)*Assumptions!$B$41+(1-D5561)*Assumptions!$B$33+(1-E5561)*Assumptions!$B$32+(1-F5561)*Assumptions!$B$31+(1-G5561)*Assumptions!$B$30+(1-H5561)*Assumptions!$B$29+(1-I5561)*Assumptions!$B$28</f>
        <v/>
      </c>
      <c r="K5561">
        <f>C5561*$J$457+D5561*$F$457+E5561*$G$457+F5561*Assumptions!$B$14+G5561*Assumptions!$B$13+H5561*Assumptions!$B$12+I5561*Assumptions!$B$11+$O$457+$S$457+Assumptions!$B$9</f>
        <v/>
      </c>
      <c r="L5561">
        <f>B5561-J5561</f>
        <v/>
      </c>
      <c r="M5561">
        <f>IF(K5561&gt;0,IF(L5561/K5561&gt;=Assumptions!$B$37,1,0),0)</f>
        <v/>
      </c>
      <c r="N5561">
        <f>K5561+M5561*Assumptions!$B$153</f>
        <v/>
      </c>
      <c r="O5561">
        <f>L5561+M5561*Assumptions!$B$153*Assumptions!$B$37</f>
        <v/>
      </c>
      <c r="P5561">
        <f>IF(N5561&gt;0,O5561/N5561,0)</f>
        <v/>
      </c>
      <c r="Q5561">
        <f>IF(C5561=1,P5561*$J$457,Assumptions!$B$41)</f>
        <v/>
      </c>
      <c r="R5561">
        <f>IF(D5561=1,P5561*$F$457,Assumptions!$B$33)</f>
        <v/>
      </c>
      <c r="S5561">
        <f>IF(E5561=1,P5561*$G$457,Assumptions!$B$32)</f>
        <v/>
      </c>
      <c r="T5561">
        <f>IF(F5561=1,P5561*Assumptions!$B$14,Assumptions!$B$31)</f>
        <v/>
      </c>
      <c r="U5561">
        <f>IF(G5561=1,P5561*Assumptions!$B$13,Assumptions!$B$30)</f>
        <v/>
      </c>
      <c r="V5561">
        <f>IF(H5561=1,P5561*Assumptions!$B$12,Assumptions!$B$29)</f>
        <v/>
      </c>
      <c r="W5561">
        <f>IF(I5561=1,P5561*Assumptions!$B$11,Assumptions!$B$28)</f>
        <v/>
      </c>
      <c r="X5561">
        <f>P5561*($O$457+$S$457)</f>
        <v/>
      </c>
      <c r="Y5561">
        <f>P5561*Assumptions!$B$9</f>
        <v/>
      </c>
      <c r="Z5561">
        <f>IF(M5561=1,(P5561-Assumptions!$B$37)*Assumptions!$B$153,0)</f>
        <v/>
      </c>
      <c r="AA5561">
        <f>Q5561+R5561+S5561+T5561+U5561+V5561+W5561+X5561+Y5561+Z5561</f>
        <v/>
      </c>
      <c r="AB5561" t="n">
        <v>49</v>
      </c>
      <c r="AC5561" t="n">
        <v>113</v>
      </c>
      <c r="AD5561" t="n">
        <v>17</v>
      </c>
      <c r="AE5561" t="n">
        <v>33</v>
      </c>
      <c r="AF5561" t="n">
        <v>57</v>
      </c>
      <c r="AG5561" t="n">
        <v>53</v>
      </c>
      <c r="AH5561" t="n">
        <v>51</v>
      </c>
      <c r="AI5561" t="n">
        <v>48</v>
      </c>
      <c r="AJ5561">
        <f>INDEX($Q$5512:$Q$5639,AC5561+1)</f>
        <v/>
      </c>
      <c r="AK5561">
        <f>INDEX($R$5512:$R$5639,AD5561+1)</f>
        <v/>
      </c>
      <c r="AL5561">
        <f>INDEX($S$5512:$S$5639,AE5561+1)</f>
        <v/>
      </c>
      <c r="AM5561">
        <f>INDEX($T$5512:$T$5639,AF5561+1)</f>
        <v/>
      </c>
      <c r="AN5561">
        <f>INDEX($U$5512:$U$5639,AG5561+1)</f>
        <v/>
      </c>
      <c r="AO5561">
        <f>INDEX($V$5512:$V$5639,AH5561+1)</f>
        <v/>
      </c>
      <c r="AP5561">
        <f>INDEX($W$5512:$W$5639,AI5561+1)</f>
        <v/>
      </c>
      <c r="AQ5561">
        <f>IF(Q5561&gt;=AJ5561-0.01,1,0)</f>
        <v/>
      </c>
      <c r="AR5561">
        <f>IF(R5561&gt;=AK5561-0.01,1,0)</f>
        <v/>
      </c>
      <c r="AS5561">
        <f>IF(S5561&gt;=AL5561-0.01,1,0)</f>
        <v/>
      </c>
      <c r="AT5561">
        <f>IF(T5561&gt;=AM5561-0.01,1,0)</f>
        <v/>
      </c>
      <c r="AU5561">
        <f>IF(U5561&gt;=AN5561-0.01,1,0)</f>
        <v/>
      </c>
      <c r="AV5561">
        <f>IF(V5561&gt;=AO5561-0.01,1,0)</f>
        <v/>
      </c>
      <c r="AW5561">
        <f>IF(W5561&gt;=AP5561-0.01,1,0)</f>
        <v/>
      </c>
      <c r="AX5561">
        <f>AQ5561*AR5561*AS5561*AT5561*AU5561*AV5561*AW5561</f>
        <v/>
      </c>
    </row>
    <row r="5562">
      <c r="A5562" t="inlineStr"/>
      <c r="B5562">
        <f>Assumptions!$B$60</f>
        <v/>
      </c>
      <c r="C5562" t="n">
        <v>0</v>
      </c>
      <c r="D5562" t="n">
        <v>1</v>
      </c>
      <c r="E5562" t="n">
        <v>1</v>
      </c>
      <c r="F5562" t="n">
        <v>0</v>
      </c>
      <c r="G5562" t="n">
        <v>0</v>
      </c>
      <c r="H5562" t="n">
        <v>1</v>
      </c>
      <c r="I5562" t="n">
        <v>0</v>
      </c>
      <c r="J5562">
        <f>(1-C5562)*Assumptions!$B$41+(1-D5562)*Assumptions!$B$33+(1-E5562)*Assumptions!$B$32+(1-F5562)*Assumptions!$B$31+(1-G5562)*Assumptions!$B$30+(1-H5562)*Assumptions!$B$29+(1-I5562)*Assumptions!$B$28</f>
        <v/>
      </c>
      <c r="K5562">
        <f>C5562*$J$457+D5562*$F$457+E5562*$G$457+F5562*Assumptions!$B$14+G5562*Assumptions!$B$13+H5562*Assumptions!$B$12+I5562*Assumptions!$B$11+$O$457+$S$457+Assumptions!$B$9</f>
        <v/>
      </c>
      <c r="L5562">
        <f>B5562-J5562</f>
        <v/>
      </c>
      <c r="M5562">
        <f>IF(K5562&gt;0,IF(L5562/K5562&gt;=Assumptions!$B$37,1,0),0)</f>
        <v/>
      </c>
      <c r="N5562">
        <f>K5562+M5562*Assumptions!$B$153</f>
        <v/>
      </c>
      <c r="O5562">
        <f>L5562+M5562*Assumptions!$B$153*Assumptions!$B$37</f>
        <v/>
      </c>
      <c r="P5562">
        <f>IF(N5562&gt;0,O5562/N5562,0)</f>
        <v/>
      </c>
      <c r="Q5562">
        <f>IF(C5562=1,P5562*$J$457,Assumptions!$B$41)</f>
        <v/>
      </c>
      <c r="R5562">
        <f>IF(D5562=1,P5562*$F$457,Assumptions!$B$33)</f>
        <v/>
      </c>
      <c r="S5562">
        <f>IF(E5562=1,P5562*$G$457,Assumptions!$B$32)</f>
        <v/>
      </c>
      <c r="T5562">
        <f>IF(F5562=1,P5562*Assumptions!$B$14,Assumptions!$B$31)</f>
        <v/>
      </c>
      <c r="U5562">
        <f>IF(G5562=1,P5562*Assumptions!$B$13,Assumptions!$B$30)</f>
        <v/>
      </c>
      <c r="V5562">
        <f>IF(H5562=1,P5562*Assumptions!$B$12,Assumptions!$B$29)</f>
        <v/>
      </c>
      <c r="W5562">
        <f>IF(I5562=1,P5562*Assumptions!$B$11,Assumptions!$B$28)</f>
        <v/>
      </c>
      <c r="X5562">
        <f>P5562*($O$457+$S$457)</f>
        <v/>
      </c>
      <c r="Y5562">
        <f>P5562*Assumptions!$B$9</f>
        <v/>
      </c>
      <c r="Z5562">
        <f>IF(M5562=1,(P5562-Assumptions!$B$37)*Assumptions!$B$153,0)</f>
        <v/>
      </c>
      <c r="AA5562">
        <f>Q5562+R5562+S5562+T5562+U5562+V5562+W5562+X5562+Y5562+Z5562</f>
        <v/>
      </c>
      <c r="AB5562" t="n">
        <v>50</v>
      </c>
      <c r="AC5562" t="n">
        <v>114</v>
      </c>
      <c r="AD5562" t="n">
        <v>18</v>
      </c>
      <c r="AE5562" t="n">
        <v>34</v>
      </c>
      <c r="AF5562" t="n">
        <v>58</v>
      </c>
      <c r="AG5562" t="n">
        <v>54</v>
      </c>
      <c r="AH5562" t="n">
        <v>48</v>
      </c>
      <c r="AI5562" t="n">
        <v>51</v>
      </c>
      <c r="AJ5562">
        <f>INDEX($Q$5512:$Q$5639,AC5562+1)</f>
        <v/>
      </c>
      <c r="AK5562">
        <f>INDEX($R$5512:$R$5639,AD5562+1)</f>
        <v/>
      </c>
      <c r="AL5562">
        <f>INDEX($S$5512:$S$5639,AE5562+1)</f>
        <v/>
      </c>
      <c r="AM5562">
        <f>INDEX($T$5512:$T$5639,AF5562+1)</f>
        <v/>
      </c>
      <c r="AN5562">
        <f>INDEX($U$5512:$U$5639,AG5562+1)</f>
        <v/>
      </c>
      <c r="AO5562">
        <f>INDEX($V$5512:$V$5639,AH5562+1)</f>
        <v/>
      </c>
      <c r="AP5562">
        <f>INDEX($W$5512:$W$5639,AI5562+1)</f>
        <v/>
      </c>
      <c r="AQ5562">
        <f>IF(Q5562&gt;=AJ5562-0.01,1,0)</f>
        <v/>
      </c>
      <c r="AR5562">
        <f>IF(R5562&gt;=AK5562-0.01,1,0)</f>
        <v/>
      </c>
      <c r="AS5562">
        <f>IF(S5562&gt;=AL5562-0.01,1,0)</f>
        <v/>
      </c>
      <c r="AT5562">
        <f>IF(T5562&gt;=AM5562-0.01,1,0)</f>
        <v/>
      </c>
      <c r="AU5562">
        <f>IF(U5562&gt;=AN5562-0.01,1,0)</f>
        <v/>
      </c>
      <c r="AV5562">
        <f>IF(V5562&gt;=AO5562-0.01,1,0)</f>
        <v/>
      </c>
      <c r="AW5562">
        <f>IF(W5562&gt;=AP5562-0.01,1,0)</f>
        <v/>
      </c>
      <c r="AX5562">
        <f>AQ5562*AR5562*AS5562*AT5562*AU5562*AV5562*AW5562</f>
        <v/>
      </c>
    </row>
    <row r="5563">
      <c r="A5563" t="inlineStr"/>
      <c r="B5563">
        <f>Assumptions!$B$60</f>
        <v/>
      </c>
      <c r="C5563" t="n">
        <v>0</v>
      </c>
      <c r="D5563" t="n">
        <v>1</v>
      </c>
      <c r="E5563" t="n">
        <v>1</v>
      </c>
      <c r="F5563" t="n">
        <v>0</v>
      </c>
      <c r="G5563" t="n">
        <v>0</v>
      </c>
      <c r="H5563" t="n">
        <v>1</v>
      </c>
      <c r="I5563" t="n">
        <v>1</v>
      </c>
      <c r="J5563">
        <f>(1-C5563)*Assumptions!$B$41+(1-D5563)*Assumptions!$B$33+(1-E5563)*Assumptions!$B$32+(1-F5563)*Assumptions!$B$31+(1-G5563)*Assumptions!$B$30+(1-H5563)*Assumptions!$B$29+(1-I5563)*Assumptions!$B$28</f>
        <v/>
      </c>
      <c r="K5563">
        <f>C5563*$J$457+D5563*$F$457+E5563*$G$457+F5563*Assumptions!$B$14+G5563*Assumptions!$B$13+H5563*Assumptions!$B$12+I5563*Assumptions!$B$11+$O$457+$S$457+Assumptions!$B$9</f>
        <v/>
      </c>
      <c r="L5563">
        <f>B5563-J5563</f>
        <v/>
      </c>
      <c r="M5563">
        <f>IF(K5563&gt;0,IF(L5563/K5563&gt;=Assumptions!$B$37,1,0),0)</f>
        <v/>
      </c>
      <c r="N5563">
        <f>K5563+M5563*Assumptions!$B$153</f>
        <v/>
      </c>
      <c r="O5563">
        <f>L5563+M5563*Assumptions!$B$153*Assumptions!$B$37</f>
        <v/>
      </c>
      <c r="P5563">
        <f>IF(N5563&gt;0,O5563/N5563,0)</f>
        <v/>
      </c>
      <c r="Q5563">
        <f>IF(C5563=1,P5563*$J$457,Assumptions!$B$41)</f>
        <v/>
      </c>
      <c r="R5563">
        <f>IF(D5563=1,P5563*$F$457,Assumptions!$B$33)</f>
        <v/>
      </c>
      <c r="S5563">
        <f>IF(E5563=1,P5563*$G$457,Assumptions!$B$32)</f>
        <v/>
      </c>
      <c r="T5563">
        <f>IF(F5563=1,P5563*Assumptions!$B$14,Assumptions!$B$31)</f>
        <v/>
      </c>
      <c r="U5563">
        <f>IF(G5563=1,P5563*Assumptions!$B$13,Assumptions!$B$30)</f>
        <v/>
      </c>
      <c r="V5563">
        <f>IF(H5563=1,P5563*Assumptions!$B$12,Assumptions!$B$29)</f>
        <v/>
      </c>
      <c r="W5563">
        <f>IF(I5563=1,P5563*Assumptions!$B$11,Assumptions!$B$28)</f>
        <v/>
      </c>
      <c r="X5563">
        <f>P5563*($O$457+$S$457)</f>
        <v/>
      </c>
      <c r="Y5563">
        <f>P5563*Assumptions!$B$9</f>
        <v/>
      </c>
      <c r="Z5563">
        <f>IF(M5563=1,(P5563-Assumptions!$B$37)*Assumptions!$B$153,0)</f>
        <v/>
      </c>
      <c r="AA5563">
        <f>Q5563+R5563+S5563+T5563+U5563+V5563+W5563+X5563+Y5563+Z5563</f>
        <v/>
      </c>
      <c r="AB5563" t="n">
        <v>51</v>
      </c>
      <c r="AC5563" t="n">
        <v>115</v>
      </c>
      <c r="AD5563" t="n">
        <v>19</v>
      </c>
      <c r="AE5563" t="n">
        <v>35</v>
      </c>
      <c r="AF5563" t="n">
        <v>59</v>
      </c>
      <c r="AG5563" t="n">
        <v>55</v>
      </c>
      <c r="AH5563" t="n">
        <v>49</v>
      </c>
      <c r="AI5563" t="n">
        <v>50</v>
      </c>
      <c r="AJ5563">
        <f>INDEX($Q$5512:$Q$5639,AC5563+1)</f>
        <v/>
      </c>
      <c r="AK5563">
        <f>INDEX($R$5512:$R$5639,AD5563+1)</f>
        <v/>
      </c>
      <c r="AL5563">
        <f>INDEX($S$5512:$S$5639,AE5563+1)</f>
        <v/>
      </c>
      <c r="AM5563">
        <f>INDEX($T$5512:$T$5639,AF5563+1)</f>
        <v/>
      </c>
      <c r="AN5563">
        <f>INDEX($U$5512:$U$5639,AG5563+1)</f>
        <v/>
      </c>
      <c r="AO5563">
        <f>INDEX($V$5512:$V$5639,AH5563+1)</f>
        <v/>
      </c>
      <c r="AP5563">
        <f>INDEX($W$5512:$W$5639,AI5563+1)</f>
        <v/>
      </c>
      <c r="AQ5563">
        <f>IF(Q5563&gt;=AJ5563-0.01,1,0)</f>
        <v/>
      </c>
      <c r="AR5563">
        <f>IF(R5563&gt;=AK5563-0.01,1,0)</f>
        <v/>
      </c>
      <c r="AS5563">
        <f>IF(S5563&gt;=AL5563-0.01,1,0)</f>
        <v/>
      </c>
      <c r="AT5563">
        <f>IF(T5563&gt;=AM5563-0.01,1,0)</f>
        <v/>
      </c>
      <c r="AU5563">
        <f>IF(U5563&gt;=AN5563-0.01,1,0)</f>
        <v/>
      </c>
      <c r="AV5563">
        <f>IF(V5563&gt;=AO5563-0.01,1,0)</f>
        <v/>
      </c>
      <c r="AW5563">
        <f>IF(W5563&gt;=AP5563-0.01,1,0)</f>
        <v/>
      </c>
      <c r="AX5563">
        <f>AQ5563*AR5563*AS5563*AT5563*AU5563*AV5563*AW5563</f>
        <v/>
      </c>
    </row>
    <row r="5564">
      <c r="A5564" t="inlineStr"/>
      <c r="B5564">
        <f>Assumptions!$B$60</f>
        <v/>
      </c>
      <c r="C5564" t="n">
        <v>0</v>
      </c>
      <c r="D5564" t="n">
        <v>1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>
        <f>(1-C5564)*Assumptions!$B$41+(1-D5564)*Assumptions!$B$33+(1-E5564)*Assumptions!$B$32+(1-F5564)*Assumptions!$B$31+(1-G5564)*Assumptions!$B$30+(1-H5564)*Assumptions!$B$29+(1-I5564)*Assumptions!$B$28</f>
        <v/>
      </c>
      <c r="K5564">
        <f>C5564*$J$457+D5564*$F$457+E5564*$G$457+F5564*Assumptions!$B$14+G5564*Assumptions!$B$13+H5564*Assumptions!$B$12+I5564*Assumptions!$B$11+$O$457+$S$457+Assumptions!$B$9</f>
        <v/>
      </c>
      <c r="L5564">
        <f>B5564-J5564</f>
        <v/>
      </c>
      <c r="M5564">
        <f>IF(K5564&gt;0,IF(L5564/K5564&gt;=Assumptions!$B$37,1,0),0)</f>
        <v/>
      </c>
      <c r="N5564">
        <f>K5564+M5564*Assumptions!$B$153</f>
        <v/>
      </c>
      <c r="O5564">
        <f>L5564+M5564*Assumptions!$B$153*Assumptions!$B$37</f>
        <v/>
      </c>
      <c r="P5564">
        <f>IF(N5564&gt;0,O5564/N5564,0)</f>
        <v/>
      </c>
      <c r="Q5564">
        <f>IF(C5564=1,P5564*$J$457,Assumptions!$B$41)</f>
        <v/>
      </c>
      <c r="R5564">
        <f>IF(D5564=1,P5564*$F$457,Assumptions!$B$33)</f>
        <v/>
      </c>
      <c r="S5564">
        <f>IF(E5564=1,P5564*$G$457,Assumptions!$B$32)</f>
        <v/>
      </c>
      <c r="T5564">
        <f>IF(F5564=1,P5564*Assumptions!$B$14,Assumptions!$B$31)</f>
        <v/>
      </c>
      <c r="U5564">
        <f>IF(G5564=1,P5564*Assumptions!$B$13,Assumptions!$B$30)</f>
        <v/>
      </c>
      <c r="V5564">
        <f>IF(H5564=1,P5564*Assumptions!$B$12,Assumptions!$B$29)</f>
        <v/>
      </c>
      <c r="W5564">
        <f>IF(I5564=1,P5564*Assumptions!$B$11,Assumptions!$B$28)</f>
        <v/>
      </c>
      <c r="X5564">
        <f>P5564*($O$457+$S$457)</f>
        <v/>
      </c>
      <c r="Y5564">
        <f>P5564*Assumptions!$B$9</f>
        <v/>
      </c>
      <c r="Z5564">
        <f>IF(M5564=1,(P5564-Assumptions!$B$37)*Assumptions!$B$153,0)</f>
        <v/>
      </c>
      <c r="AA5564">
        <f>Q5564+R5564+S5564+T5564+U5564+V5564+W5564+X5564+Y5564+Z5564</f>
        <v/>
      </c>
      <c r="AB5564" t="n">
        <v>52</v>
      </c>
      <c r="AC5564" t="n">
        <v>116</v>
      </c>
      <c r="AD5564" t="n">
        <v>20</v>
      </c>
      <c r="AE5564" t="n">
        <v>36</v>
      </c>
      <c r="AF5564" t="n">
        <v>60</v>
      </c>
      <c r="AG5564" t="n">
        <v>48</v>
      </c>
      <c r="AH5564" t="n">
        <v>54</v>
      </c>
      <c r="AI5564" t="n">
        <v>53</v>
      </c>
      <c r="AJ5564">
        <f>INDEX($Q$5512:$Q$5639,AC5564+1)</f>
        <v/>
      </c>
      <c r="AK5564">
        <f>INDEX($R$5512:$R$5639,AD5564+1)</f>
        <v/>
      </c>
      <c r="AL5564">
        <f>INDEX($S$5512:$S$5639,AE5564+1)</f>
        <v/>
      </c>
      <c r="AM5564">
        <f>INDEX($T$5512:$T$5639,AF5564+1)</f>
        <v/>
      </c>
      <c r="AN5564">
        <f>INDEX($U$5512:$U$5639,AG5564+1)</f>
        <v/>
      </c>
      <c r="AO5564">
        <f>INDEX($V$5512:$V$5639,AH5564+1)</f>
        <v/>
      </c>
      <c r="AP5564">
        <f>INDEX($W$5512:$W$5639,AI5564+1)</f>
        <v/>
      </c>
      <c r="AQ5564">
        <f>IF(Q5564&gt;=AJ5564-0.01,1,0)</f>
        <v/>
      </c>
      <c r="AR5564">
        <f>IF(R5564&gt;=AK5564-0.01,1,0)</f>
        <v/>
      </c>
      <c r="AS5564">
        <f>IF(S5564&gt;=AL5564-0.01,1,0)</f>
        <v/>
      </c>
      <c r="AT5564">
        <f>IF(T5564&gt;=AM5564-0.01,1,0)</f>
        <v/>
      </c>
      <c r="AU5564">
        <f>IF(U5564&gt;=AN5564-0.01,1,0)</f>
        <v/>
      </c>
      <c r="AV5564">
        <f>IF(V5564&gt;=AO5564-0.01,1,0)</f>
        <v/>
      </c>
      <c r="AW5564">
        <f>IF(W5564&gt;=AP5564-0.01,1,0)</f>
        <v/>
      </c>
      <c r="AX5564">
        <f>AQ5564*AR5564*AS5564*AT5564*AU5564*AV5564*AW5564</f>
        <v/>
      </c>
    </row>
    <row r="5565">
      <c r="A5565" t="inlineStr"/>
      <c r="B5565">
        <f>Assumptions!$B$60</f>
        <v/>
      </c>
      <c r="C5565" t="n">
        <v>0</v>
      </c>
      <c r="D5565" t="n">
        <v>1</v>
      </c>
      <c r="E5565" t="n">
        <v>1</v>
      </c>
      <c r="F5565" t="n">
        <v>0</v>
      </c>
      <c r="G5565" t="n">
        <v>1</v>
      </c>
      <c r="H5565" t="n">
        <v>0</v>
      </c>
      <c r="I5565" t="n">
        <v>1</v>
      </c>
      <c r="J5565">
        <f>(1-C5565)*Assumptions!$B$41+(1-D5565)*Assumptions!$B$33+(1-E5565)*Assumptions!$B$32+(1-F5565)*Assumptions!$B$31+(1-G5565)*Assumptions!$B$30+(1-H5565)*Assumptions!$B$29+(1-I5565)*Assumptions!$B$28</f>
        <v/>
      </c>
      <c r="K5565">
        <f>C5565*$J$457+D5565*$F$457+E5565*$G$457+F5565*Assumptions!$B$14+G5565*Assumptions!$B$13+H5565*Assumptions!$B$12+I5565*Assumptions!$B$11+$O$457+$S$457+Assumptions!$B$9</f>
        <v/>
      </c>
      <c r="L5565">
        <f>B5565-J5565</f>
        <v/>
      </c>
      <c r="M5565">
        <f>IF(K5565&gt;0,IF(L5565/K5565&gt;=Assumptions!$B$37,1,0),0)</f>
        <v/>
      </c>
      <c r="N5565">
        <f>K5565+M5565*Assumptions!$B$153</f>
        <v/>
      </c>
      <c r="O5565">
        <f>L5565+M5565*Assumptions!$B$153*Assumptions!$B$37</f>
        <v/>
      </c>
      <c r="P5565">
        <f>IF(N5565&gt;0,O5565/N5565,0)</f>
        <v/>
      </c>
      <c r="Q5565">
        <f>IF(C5565=1,P5565*$J$457,Assumptions!$B$41)</f>
        <v/>
      </c>
      <c r="R5565">
        <f>IF(D5565=1,P5565*$F$457,Assumptions!$B$33)</f>
        <v/>
      </c>
      <c r="S5565">
        <f>IF(E5565=1,P5565*$G$457,Assumptions!$B$32)</f>
        <v/>
      </c>
      <c r="T5565">
        <f>IF(F5565=1,P5565*Assumptions!$B$14,Assumptions!$B$31)</f>
        <v/>
      </c>
      <c r="U5565">
        <f>IF(G5565=1,P5565*Assumptions!$B$13,Assumptions!$B$30)</f>
        <v/>
      </c>
      <c r="V5565">
        <f>IF(H5565=1,P5565*Assumptions!$B$12,Assumptions!$B$29)</f>
        <v/>
      </c>
      <c r="W5565">
        <f>IF(I5565=1,P5565*Assumptions!$B$11,Assumptions!$B$28)</f>
        <v/>
      </c>
      <c r="X5565">
        <f>P5565*($O$457+$S$457)</f>
        <v/>
      </c>
      <c r="Y5565">
        <f>P5565*Assumptions!$B$9</f>
        <v/>
      </c>
      <c r="Z5565">
        <f>IF(M5565=1,(P5565-Assumptions!$B$37)*Assumptions!$B$153,0)</f>
        <v/>
      </c>
      <c r="AA5565">
        <f>Q5565+R5565+S5565+T5565+U5565+V5565+W5565+X5565+Y5565+Z5565</f>
        <v/>
      </c>
      <c r="AB5565" t="n">
        <v>53</v>
      </c>
      <c r="AC5565" t="n">
        <v>117</v>
      </c>
      <c r="AD5565" t="n">
        <v>21</v>
      </c>
      <c r="AE5565" t="n">
        <v>37</v>
      </c>
      <c r="AF5565" t="n">
        <v>61</v>
      </c>
      <c r="AG5565" t="n">
        <v>49</v>
      </c>
      <c r="AH5565" t="n">
        <v>55</v>
      </c>
      <c r="AI5565" t="n">
        <v>52</v>
      </c>
      <c r="AJ5565">
        <f>INDEX($Q$5512:$Q$5639,AC5565+1)</f>
        <v/>
      </c>
      <c r="AK5565">
        <f>INDEX($R$5512:$R$5639,AD5565+1)</f>
        <v/>
      </c>
      <c r="AL5565">
        <f>INDEX($S$5512:$S$5639,AE5565+1)</f>
        <v/>
      </c>
      <c r="AM5565">
        <f>INDEX($T$5512:$T$5639,AF5565+1)</f>
        <v/>
      </c>
      <c r="AN5565">
        <f>INDEX($U$5512:$U$5639,AG5565+1)</f>
        <v/>
      </c>
      <c r="AO5565">
        <f>INDEX($V$5512:$V$5639,AH5565+1)</f>
        <v/>
      </c>
      <c r="AP5565">
        <f>INDEX($W$5512:$W$5639,AI5565+1)</f>
        <v/>
      </c>
      <c r="AQ5565">
        <f>IF(Q5565&gt;=AJ5565-0.01,1,0)</f>
        <v/>
      </c>
      <c r="AR5565">
        <f>IF(R5565&gt;=AK5565-0.01,1,0)</f>
        <v/>
      </c>
      <c r="AS5565">
        <f>IF(S5565&gt;=AL5565-0.01,1,0)</f>
        <v/>
      </c>
      <c r="AT5565">
        <f>IF(T5565&gt;=AM5565-0.01,1,0)</f>
        <v/>
      </c>
      <c r="AU5565">
        <f>IF(U5565&gt;=AN5565-0.01,1,0)</f>
        <v/>
      </c>
      <c r="AV5565">
        <f>IF(V5565&gt;=AO5565-0.01,1,0)</f>
        <v/>
      </c>
      <c r="AW5565">
        <f>IF(W5565&gt;=AP5565-0.01,1,0)</f>
        <v/>
      </c>
      <c r="AX5565">
        <f>AQ5565*AR5565*AS5565*AT5565*AU5565*AV5565*AW5565</f>
        <v/>
      </c>
    </row>
    <row r="5566">
      <c r="A5566" t="inlineStr"/>
      <c r="B5566">
        <f>Assumptions!$B$60</f>
        <v/>
      </c>
      <c r="C5566" t="n">
        <v>0</v>
      </c>
      <c r="D5566" t="n">
        <v>1</v>
      </c>
      <c r="E5566" t="n">
        <v>1</v>
      </c>
      <c r="F5566" t="n">
        <v>0</v>
      </c>
      <c r="G5566" t="n">
        <v>1</v>
      </c>
      <c r="H5566" t="n">
        <v>1</v>
      </c>
      <c r="I5566" t="n">
        <v>0</v>
      </c>
      <c r="J5566">
        <f>(1-C5566)*Assumptions!$B$41+(1-D5566)*Assumptions!$B$33+(1-E5566)*Assumptions!$B$32+(1-F5566)*Assumptions!$B$31+(1-G5566)*Assumptions!$B$30+(1-H5566)*Assumptions!$B$29+(1-I5566)*Assumptions!$B$28</f>
        <v/>
      </c>
      <c r="K5566">
        <f>C5566*$J$457+D5566*$F$457+E5566*$G$457+F5566*Assumptions!$B$14+G5566*Assumptions!$B$13+H5566*Assumptions!$B$12+I5566*Assumptions!$B$11+$O$457+$S$457+Assumptions!$B$9</f>
        <v/>
      </c>
      <c r="L5566">
        <f>B5566-J5566</f>
        <v/>
      </c>
      <c r="M5566">
        <f>IF(K5566&gt;0,IF(L5566/K5566&gt;=Assumptions!$B$37,1,0),0)</f>
        <v/>
      </c>
      <c r="N5566">
        <f>K5566+M5566*Assumptions!$B$153</f>
        <v/>
      </c>
      <c r="O5566">
        <f>L5566+M5566*Assumptions!$B$153*Assumptions!$B$37</f>
        <v/>
      </c>
      <c r="P5566">
        <f>IF(N5566&gt;0,O5566/N5566,0)</f>
        <v/>
      </c>
      <c r="Q5566">
        <f>IF(C5566=1,P5566*$J$457,Assumptions!$B$41)</f>
        <v/>
      </c>
      <c r="R5566">
        <f>IF(D5566=1,P5566*$F$457,Assumptions!$B$33)</f>
        <v/>
      </c>
      <c r="S5566">
        <f>IF(E5566=1,P5566*$G$457,Assumptions!$B$32)</f>
        <v/>
      </c>
      <c r="T5566">
        <f>IF(F5566=1,P5566*Assumptions!$B$14,Assumptions!$B$31)</f>
        <v/>
      </c>
      <c r="U5566">
        <f>IF(G5566=1,P5566*Assumptions!$B$13,Assumptions!$B$30)</f>
        <v/>
      </c>
      <c r="V5566">
        <f>IF(H5566=1,P5566*Assumptions!$B$12,Assumptions!$B$29)</f>
        <v/>
      </c>
      <c r="W5566">
        <f>IF(I5566=1,P5566*Assumptions!$B$11,Assumptions!$B$28)</f>
        <v/>
      </c>
      <c r="X5566">
        <f>P5566*($O$457+$S$457)</f>
        <v/>
      </c>
      <c r="Y5566">
        <f>P5566*Assumptions!$B$9</f>
        <v/>
      </c>
      <c r="Z5566">
        <f>IF(M5566=1,(P5566-Assumptions!$B$37)*Assumptions!$B$153,0)</f>
        <v/>
      </c>
      <c r="AA5566">
        <f>Q5566+R5566+S5566+T5566+U5566+V5566+W5566+X5566+Y5566+Z5566</f>
        <v/>
      </c>
      <c r="AB5566" t="n">
        <v>54</v>
      </c>
      <c r="AC5566" t="n">
        <v>118</v>
      </c>
      <c r="AD5566" t="n">
        <v>22</v>
      </c>
      <c r="AE5566" t="n">
        <v>38</v>
      </c>
      <c r="AF5566" t="n">
        <v>62</v>
      </c>
      <c r="AG5566" t="n">
        <v>50</v>
      </c>
      <c r="AH5566" t="n">
        <v>52</v>
      </c>
      <c r="AI5566" t="n">
        <v>55</v>
      </c>
      <c r="AJ5566">
        <f>INDEX($Q$5512:$Q$5639,AC5566+1)</f>
        <v/>
      </c>
      <c r="AK5566">
        <f>INDEX($R$5512:$R$5639,AD5566+1)</f>
        <v/>
      </c>
      <c r="AL5566">
        <f>INDEX($S$5512:$S$5639,AE5566+1)</f>
        <v/>
      </c>
      <c r="AM5566">
        <f>INDEX($T$5512:$T$5639,AF5566+1)</f>
        <v/>
      </c>
      <c r="AN5566">
        <f>INDEX($U$5512:$U$5639,AG5566+1)</f>
        <v/>
      </c>
      <c r="AO5566">
        <f>INDEX($V$5512:$V$5639,AH5566+1)</f>
        <v/>
      </c>
      <c r="AP5566">
        <f>INDEX($W$5512:$W$5639,AI5566+1)</f>
        <v/>
      </c>
      <c r="AQ5566">
        <f>IF(Q5566&gt;=AJ5566-0.01,1,0)</f>
        <v/>
      </c>
      <c r="AR5566">
        <f>IF(R5566&gt;=AK5566-0.01,1,0)</f>
        <v/>
      </c>
      <c r="AS5566">
        <f>IF(S5566&gt;=AL5566-0.01,1,0)</f>
        <v/>
      </c>
      <c r="AT5566">
        <f>IF(T5566&gt;=AM5566-0.01,1,0)</f>
        <v/>
      </c>
      <c r="AU5566">
        <f>IF(U5566&gt;=AN5566-0.01,1,0)</f>
        <v/>
      </c>
      <c r="AV5566">
        <f>IF(V5566&gt;=AO5566-0.01,1,0)</f>
        <v/>
      </c>
      <c r="AW5566">
        <f>IF(W5566&gt;=AP5566-0.01,1,0)</f>
        <v/>
      </c>
      <c r="AX5566">
        <f>AQ5566*AR5566*AS5566*AT5566*AU5566*AV5566*AW5566</f>
        <v/>
      </c>
    </row>
    <row r="5567">
      <c r="A5567" t="inlineStr"/>
      <c r="B5567">
        <f>Assumptions!$B$60</f>
        <v/>
      </c>
      <c r="C5567" t="n">
        <v>0</v>
      </c>
      <c r="D5567" t="n">
        <v>1</v>
      </c>
      <c r="E5567" t="n">
        <v>1</v>
      </c>
      <c r="F5567" t="n">
        <v>0</v>
      </c>
      <c r="G5567" t="n">
        <v>1</v>
      </c>
      <c r="H5567" t="n">
        <v>1</v>
      </c>
      <c r="I5567" t="n">
        <v>1</v>
      </c>
      <c r="J5567">
        <f>(1-C5567)*Assumptions!$B$41+(1-D5567)*Assumptions!$B$33+(1-E5567)*Assumptions!$B$32+(1-F5567)*Assumptions!$B$31+(1-G5567)*Assumptions!$B$30+(1-H5567)*Assumptions!$B$29+(1-I5567)*Assumptions!$B$28</f>
        <v/>
      </c>
      <c r="K5567">
        <f>C5567*$J$457+D5567*$F$457+E5567*$G$457+F5567*Assumptions!$B$14+G5567*Assumptions!$B$13+H5567*Assumptions!$B$12+I5567*Assumptions!$B$11+$O$457+$S$457+Assumptions!$B$9</f>
        <v/>
      </c>
      <c r="L5567">
        <f>B5567-J5567</f>
        <v/>
      </c>
      <c r="M5567">
        <f>IF(K5567&gt;0,IF(L5567/K5567&gt;=Assumptions!$B$37,1,0),0)</f>
        <v/>
      </c>
      <c r="N5567">
        <f>K5567+M5567*Assumptions!$B$153</f>
        <v/>
      </c>
      <c r="O5567">
        <f>L5567+M5567*Assumptions!$B$153*Assumptions!$B$37</f>
        <v/>
      </c>
      <c r="P5567">
        <f>IF(N5567&gt;0,O5567/N5567,0)</f>
        <v/>
      </c>
      <c r="Q5567">
        <f>IF(C5567=1,P5567*$J$457,Assumptions!$B$41)</f>
        <v/>
      </c>
      <c r="R5567">
        <f>IF(D5567=1,P5567*$F$457,Assumptions!$B$33)</f>
        <v/>
      </c>
      <c r="S5567">
        <f>IF(E5567=1,P5567*$G$457,Assumptions!$B$32)</f>
        <v/>
      </c>
      <c r="T5567">
        <f>IF(F5567=1,P5567*Assumptions!$B$14,Assumptions!$B$31)</f>
        <v/>
      </c>
      <c r="U5567">
        <f>IF(G5567=1,P5567*Assumptions!$B$13,Assumptions!$B$30)</f>
        <v/>
      </c>
      <c r="V5567">
        <f>IF(H5567=1,P5567*Assumptions!$B$12,Assumptions!$B$29)</f>
        <v/>
      </c>
      <c r="W5567">
        <f>IF(I5567=1,P5567*Assumptions!$B$11,Assumptions!$B$28)</f>
        <v/>
      </c>
      <c r="X5567">
        <f>P5567*($O$457+$S$457)</f>
        <v/>
      </c>
      <c r="Y5567">
        <f>P5567*Assumptions!$B$9</f>
        <v/>
      </c>
      <c r="Z5567">
        <f>IF(M5567=1,(P5567-Assumptions!$B$37)*Assumptions!$B$153,0)</f>
        <v/>
      </c>
      <c r="AA5567">
        <f>Q5567+R5567+S5567+T5567+U5567+V5567+W5567+X5567+Y5567+Z5567</f>
        <v/>
      </c>
      <c r="AB5567" t="n">
        <v>55</v>
      </c>
      <c r="AC5567" t="n">
        <v>119</v>
      </c>
      <c r="AD5567" t="n">
        <v>23</v>
      </c>
      <c r="AE5567" t="n">
        <v>39</v>
      </c>
      <c r="AF5567" t="n">
        <v>63</v>
      </c>
      <c r="AG5567" t="n">
        <v>51</v>
      </c>
      <c r="AH5567" t="n">
        <v>53</v>
      </c>
      <c r="AI5567" t="n">
        <v>54</v>
      </c>
      <c r="AJ5567">
        <f>INDEX($Q$5512:$Q$5639,AC5567+1)</f>
        <v/>
      </c>
      <c r="AK5567">
        <f>INDEX($R$5512:$R$5639,AD5567+1)</f>
        <v/>
      </c>
      <c r="AL5567">
        <f>INDEX($S$5512:$S$5639,AE5567+1)</f>
        <v/>
      </c>
      <c r="AM5567">
        <f>INDEX($T$5512:$T$5639,AF5567+1)</f>
        <v/>
      </c>
      <c r="AN5567">
        <f>INDEX($U$5512:$U$5639,AG5567+1)</f>
        <v/>
      </c>
      <c r="AO5567">
        <f>INDEX($V$5512:$V$5639,AH5567+1)</f>
        <v/>
      </c>
      <c r="AP5567">
        <f>INDEX($W$5512:$W$5639,AI5567+1)</f>
        <v/>
      </c>
      <c r="AQ5567">
        <f>IF(Q5567&gt;=AJ5567-0.01,1,0)</f>
        <v/>
      </c>
      <c r="AR5567">
        <f>IF(R5567&gt;=AK5567-0.01,1,0)</f>
        <v/>
      </c>
      <c r="AS5567">
        <f>IF(S5567&gt;=AL5567-0.01,1,0)</f>
        <v/>
      </c>
      <c r="AT5567">
        <f>IF(T5567&gt;=AM5567-0.01,1,0)</f>
        <v/>
      </c>
      <c r="AU5567">
        <f>IF(U5567&gt;=AN5567-0.01,1,0)</f>
        <v/>
      </c>
      <c r="AV5567">
        <f>IF(V5567&gt;=AO5567-0.01,1,0)</f>
        <v/>
      </c>
      <c r="AW5567">
        <f>IF(W5567&gt;=AP5567-0.01,1,0)</f>
        <v/>
      </c>
      <c r="AX5567">
        <f>AQ5567*AR5567*AS5567*AT5567*AU5567*AV5567*AW5567</f>
        <v/>
      </c>
    </row>
    <row r="5568">
      <c r="A5568" t="inlineStr"/>
      <c r="B5568">
        <f>Assumptions!$B$60</f>
        <v/>
      </c>
      <c r="C5568" t="n">
        <v>0</v>
      </c>
      <c r="D5568" t="n">
        <v>1</v>
      </c>
      <c r="E5568" t="n">
        <v>1</v>
      </c>
      <c r="F5568" t="n">
        <v>1</v>
      </c>
      <c r="G5568" t="n">
        <v>0</v>
      </c>
      <c r="H5568" t="n">
        <v>0</v>
      </c>
      <c r="I5568" t="n">
        <v>0</v>
      </c>
      <c r="J5568">
        <f>(1-C5568)*Assumptions!$B$41+(1-D5568)*Assumptions!$B$33+(1-E5568)*Assumptions!$B$32+(1-F5568)*Assumptions!$B$31+(1-G5568)*Assumptions!$B$30+(1-H5568)*Assumptions!$B$29+(1-I5568)*Assumptions!$B$28</f>
        <v/>
      </c>
      <c r="K5568">
        <f>C5568*$J$457+D5568*$F$457+E5568*$G$457+F5568*Assumptions!$B$14+G5568*Assumptions!$B$13+H5568*Assumptions!$B$12+I5568*Assumptions!$B$11+$O$457+$S$457+Assumptions!$B$9</f>
        <v/>
      </c>
      <c r="L5568">
        <f>B5568-J5568</f>
        <v/>
      </c>
      <c r="M5568">
        <f>IF(K5568&gt;0,IF(L5568/K5568&gt;=Assumptions!$B$37,1,0),0)</f>
        <v/>
      </c>
      <c r="N5568">
        <f>K5568+M5568*Assumptions!$B$153</f>
        <v/>
      </c>
      <c r="O5568">
        <f>L5568+M5568*Assumptions!$B$153*Assumptions!$B$37</f>
        <v/>
      </c>
      <c r="P5568">
        <f>IF(N5568&gt;0,O5568/N5568,0)</f>
        <v/>
      </c>
      <c r="Q5568">
        <f>IF(C5568=1,P5568*$J$457,Assumptions!$B$41)</f>
        <v/>
      </c>
      <c r="R5568">
        <f>IF(D5568=1,P5568*$F$457,Assumptions!$B$33)</f>
        <v/>
      </c>
      <c r="S5568">
        <f>IF(E5568=1,P5568*$G$457,Assumptions!$B$32)</f>
        <v/>
      </c>
      <c r="T5568">
        <f>IF(F5568=1,P5568*Assumptions!$B$14,Assumptions!$B$31)</f>
        <v/>
      </c>
      <c r="U5568">
        <f>IF(G5568=1,P5568*Assumptions!$B$13,Assumptions!$B$30)</f>
        <v/>
      </c>
      <c r="V5568">
        <f>IF(H5568=1,P5568*Assumptions!$B$12,Assumptions!$B$29)</f>
        <v/>
      </c>
      <c r="W5568">
        <f>IF(I5568=1,P5568*Assumptions!$B$11,Assumptions!$B$28)</f>
        <v/>
      </c>
      <c r="X5568">
        <f>P5568*($O$457+$S$457)</f>
        <v/>
      </c>
      <c r="Y5568">
        <f>P5568*Assumptions!$B$9</f>
        <v/>
      </c>
      <c r="Z5568">
        <f>IF(M5568=1,(P5568-Assumptions!$B$37)*Assumptions!$B$153,0)</f>
        <v/>
      </c>
      <c r="AA5568">
        <f>Q5568+R5568+S5568+T5568+U5568+V5568+W5568+X5568+Y5568+Z5568</f>
        <v/>
      </c>
      <c r="AB5568" t="n">
        <v>56</v>
      </c>
      <c r="AC5568" t="n">
        <v>120</v>
      </c>
      <c r="AD5568" t="n">
        <v>24</v>
      </c>
      <c r="AE5568" t="n">
        <v>40</v>
      </c>
      <c r="AF5568" t="n">
        <v>48</v>
      </c>
      <c r="AG5568" t="n">
        <v>60</v>
      </c>
      <c r="AH5568" t="n">
        <v>58</v>
      </c>
      <c r="AI5568" t="n">
        <v>57</v>
      </c>
      <c r="AJ5568">
        <f>INDEX($Q$5512:$Q$5639,AC5568+1)</f>
        <v/>
      </c>
      <c r="AK5568">
        <f>INDEX($R$5512:$R$5639,AD5568+1)</f>
        <v/>
      </c>
      <c r="AL5568">
        <f>INDEX($S$5512:$S$5639,AE5568+1)</f>
        <v/>
      </c>
      <c r="AM5568">
        <f>INDEX($T$5512:$T$5639,AF5568+1)</f>
        <v/>
      </c>
      <c r="AN5568">
        <f>INDEX($U$5512:$U$5639,AG5568+1)</f>
        <v/>
      </c>
      <c r="AO5568">
        <f>INDEX($V$5512:$V$5639,AH5568+1)</f>
        <v/>
      </c>
      <c r="AP5568">
        <f>INDEX($W$5512:$W$5639,AI5568+1)</f>
        <v/>
      </c>
      <c r="AQ5568">
        <f>IF(Q5568&gt;=AJ5568-0.01,1,0)</f>
        <v/>
      </c>
      <c r="AR5568">
        <f>IF(R5568&gt;=AK5568-0.01,1,0)</f>
        <v/>
      </c>
      <c r="AS5568">
        <f>IF(S5568&gt;=AL5568-0.01,1,0)</f>
        <v/>
      </c>
      <c r="AT5568">
        <f>IF(T5568&gt;=AM5568-0.01,1,0)</f>
        <v/>
      </c>
      <c r="AU5568">
        <f>IF(U5568&gt;=AN5568-0.01,1,0)</f>
        <v/>
      </c>
      <c r="AV5568">
        <f>IF(V5568&gt;=AO5568-0.01,1,0)</f>
        <v/>
      </c>
      <c r="AW5568">
        <f>IF(W5568&gt;=AP5568-0.01,1,0)</f>
        <v/>
      </c>
      <c r="AX5568">
        <f>AQ5568*AR5568*AS5568*AT5568*AU5568*AV5568*AW5568</f>
        <v/>
      </c>
    </row>
    <row r="5569">
      <c r="A5569" t="inlineStr"/>
      <c r="B5569">
        <f>Assumptions!$B$60</f>
        <v/>
      </c>
      <c r="C5569" t="n">
        <v>0</v>
      </c>
      <c r="D5569" t="n">
        <v>1</v>
      </c>
      <c r="E5569" t="n">
        <v>1</v>
      </c>
      <c r="F5569" t="n">
        <v>1</v>
      </c>
      <c r="G5569" t="n">
        <v>0</v>
      </c>
      <c r="H5569" t="n">
        <v>0</v>
      </c>
      <c r="I5569" t="n">
        <v>1</v>
      </c>
      <c r="J5569">
        <f>(1-C5569)*Assumptions!$B$41+(1-D5569)*Assumptions!$B$33+(1-E5569)*Assumptions!$B$32+(1-F5569)*Assumptions!$B$31+(1-G5569)*Assumptions!$B$30+(1-H5569)*Assumptions!$B$29+(1-I5569)*Assumptions!$B$28</f>
        <v/>
      </c>
      <c r="K5569">
        <f>C5569*$J$457+D5569*$F$457+E5569*$G$457+F5569*Assumptions!$B$14+G5569*Assumptions!$B$13+H5569*Assumptions!$B$12+I5569*Assumptions!$B$11+$O$457+$S$457+Assumptions!$B$9</f>
        <v/>
      </c>
      <c r="L5569">
        <f>B5569-J5569</f>
        <v/>
      </c>
      <c r="M5569">
        <f>IF(K5569&gt;0,IF(L5569/K5569&gt;=Assumptions!$B$37,1,0),0)</f>
        <v/>
      </c>
      <c r="N5569">
        <f>K5569+M5569*Assumptions!$B$153</f>
        <v/>
      </c>
      <c r="O5569">
        <f>L5569+M5569*Assumptions!$B$153*Assumptions!$B$37</f>
        <v/>
      </c>
      <c r="P5569">
        <f>IF(N5569&gt;0,O5569/N5569,0)</f>
        <v/>
      </c>
      <c r="Q5569">
        <f>IF(C5569=1,P5569*$J$457,Assumptions!$B$41)</f>
        <v/>
      </c>
      <c r="R5569">
        <f>IF(D5569=1,P5569*$F$457,Assumptions!$B$33)</f>
        <v/>
      </c>
      <c r="S5569">
        <f>IF(E5569=1,P5569*$G$457,Assumptions!$B$32)</f>
        <v/>
      </c>
      <c r="T5569">
        <f>IF(F5569=1,P5569*Assumptions!$B$14,Assumptions!$B$31)</f>
        <v/>
      </c>
      <c r="U5569">
        <f>IF(G5569=1,P5569*Assumptions!$B$13,Assumptions!$B$30)</f>
        <v/>
      </c>
      <c r="V5569">
        <f>IF(H5569=1,P5569*Assumptions!$B$12,Assumptions!$B$29)</f>
        <v/>
      </c>
      <c r="W5569">
        <f>IF(I5569=1,P5569*Assumptions!$B$11,Assumptions!$B$28)</f>
        <v/>
      </c>
      <c r="X5569">
        <f>P5569*($O$457+$S$457)</f>
        <v/>
      </c>
      <c r="Y5569">
        <f>P5569*Assumptions!$B$9</f>
        <v/>
      </c>
      <c r="Z5569">
        <f>IF(M5569=1,(P5569-Assumptions!$B$37)*Assumptions!$B$153,0)</f>
        <v/>
      </c>
      <c r="AA5569">
        <f>Q5569+R5569+S5569+T5569+U5569+V5569+W5569+X5569+Y5569+Z5569</f>
        <v/>
      </c>
      <c r="AB5569" t="n">
        <v>57</v>
      </c>
      <c r="AC5569" t="n">
        <v>121</v>
      </c>
      <c r="AD5569" t="n">
        <v>25</v>
      </c>
      <c r="AE5569" t="n">
        <v>41</v>
      </c>
      <c r="AF5569" t="n">
        <v>49</v>
      </c>
      <c r="AG5569" t="n">
        <v>61</v>
      </c>
      <c r="AH5569" t="n">
        <v>59</v>
      </c>
      <c r="AI5569" t="n">
        <v>56</v>
      </c>
      <c r="AJ5569">
        <f>INDEX($Q$5512:$Q$5639,AC5569+1)</f>
        <v/>
      </c>
      <c r="AK5569">
        <f>INDEX($R$5512:$R$5639,AD5569+1)</f>
        <v/>
      </c>
      <c r="AL5569">
        <f>INDEX($S$5512:$S$5639,AE5569+1)</f>
        <v/>
      </c>
      <c r="AM5569">
        <f>INDEX($T$5512:$T$5639,AF5569+1)</f>
        <v/>
      </c>
      <c r="AN5569">
        <f>INDEX($U$5512:$U$5639,AG5569+1)</f>
        <v/>
      </c>
      <c r="AO5569">
        <f>INDEX($V$5512:$V$5639,AH5569+1)</f>
        <v/>
      </c>
      <c r="AP5569">
        <f>INDEX($W$5512:$W$5639,AI5569+1)</f>
        <v/>
      </c>
      <c r="AQ5569">
        <f>IF(Q5569&gt;=AJ5569-0.01,1,0)</f>
        <v/>
      </c>
      <c r="AR5569">
        <f>IF(R5569&gt;=AK5569-0.01,1,0)</f>
        <v/>
      </c>
      <c r="AS5569">
        <f>IF(S5569&gt;=AL5569-0.01,1,0)</f>
        <v/>
      </c>
      <c r="AT5569">
        <f>IF(T5569&gt;=AM5569-0.01,1,0)</f>
        <v/>
      </c>
      <c r="AU5569">
        <f>IF(U5569&gt;=AN5569-0.01,1,0)</f>
        <v/>
      </c>
      <c r="AV5569">
        <f>IF(V5569&gt;=AO5569-0.01,1,0)</f>
        <v/>
      </c>
      <c r="AW5569">
        <f>IF(W5569&gt;=AP5569-0.01,1,0)</f>
        <v/>
      </c>
      <c r="AX5569">
        <f>AQ5569*AR5569*AS5569*AT5569*AU5569*AV5569*AW5569</f>
        <v/>
      </c>
    </row>
    <row r="5570">
      <c r="A5570" t="inlineStr"/>
      <c r="B5570">
        <f>Assumptions!$B$60</f>
        <v/>
      </c>
      <c r="C5570" t="n">
        <v>0</v>
      </c>
      <c r="D5570" t="n">
        <v>1</v>
      </c>
      <c r="E5570" t="n">
        <v>1</v>
      </c>
      <c r="F5570" t="n">
        <v>1</v>
      </c>
      <c r="G5570" t="n">
        <v>0</v>
      </c>
      <c r="H5570" t="n">
        <v>1</v>
      </c>
      <c r="I5570" t="n">
        <v>0</v>
      </c>
      <c r="J5570">
        <f>(1-C5570)*Assumptions!$B$41+(1-D5570)*Assumptions!$B$33+(1-E5570)*Assumptions!$B$32+(1-F5570)*Assumptions!$B$31+(1-G5570)*Assumptions!$B$30+(1-H5570)*Assumptions!$B$29+(1-I5570)*Assumptions!$B$28</f>
        <v/>
      </c>
      <c r="K5570">
        <f>C5570*$J$457+D5570*$F$457+E5570*$G$457+F5570*Assumptions!$B$14+G5570*Assumptions!$B$13+H5570*Assumptions!$B$12+I5570*Assumptions!$B$11+$O$457+$S$457+Assumptions!$B$9</f>
        <v/>
      </c>
      <c r="L5570">
        <f>B5570-J5570</f>
        <v/>
      </c>
      <c r="M5570">
        <f>IF(K5570&gt;0,IF(L5570/K5570&gt;=Assumptions!$B$37,1,0),0)</f>
        <v/>
      </c>
      <c r="N5570">
        <f>K5570+M5570*Assumptions!$B$153</f>
        <v/>
      </c>
      <c r="O5570">
        <f>L5570+M5570*Assumptions!$B$153*Assumptions!$B$37</f>
        <v/>
      </c>
      <c r="P5570">
        <f>IF(N5570&gt;0,O5570/N5570,0)</f>
        <v/>
      </c>
      <c r="Q5570">
        <f>IF(C5570=1,P5570*$J$457,Assumptions!$B$41)</f>
        <v/>
      </c>
      <c r="R5570">
        <f>IF(D5570=1,P5570*$F$457,Assumptions!$B$33)</f>
        <v/>
      </c>
      <c r="S5570">
        <f>IF(E5570=1,P5570*$G$457,Assumptions!$B$32)</f>
        <v/>
      </c>
      <c r="T5570">
        <f>IF(F5570=1,P5570*Assumptions!$B$14,Assumptions!$B$31)</f>
        <v/>
      </c>
      <c r="U5570">
        <f>IF(G5570=1,P5570*Assumptions!$B$13,Assumptions!$B$30)</f>
        <v/>
      </c>
      <c r="V5570">
        <f>IF(H5570=1,P5570*Assumptions!$B$12,Assumptions!$B$29)</f>
        <v/>
      </c>
      <c r="W5570">
        <f>IF(I5570=1,P5570*Assumptions!$B$11,Assumptions!$B$28)</f>
        <v/>
      </c>
      <c r="X5570">
        <f>P5570*($O$457+$S$457)</f>
        <v/>
      </c>
      <c r="Y5570">
        <f>P5570*Assumptions!$B$9</f>
        <v/>
      </c>
      <c r="Z5570">
        <f>IF(M5570=1,(P5570-Assumptions!$B$37)*Assumptions!$B$153,0)</f>
        <v/>
      </c>
      <c r="AA5570">
        <f>Q5570+R5570+S5570+T5570+U5570+V5570+W5570+X5570+Y5570+Z5570</f>
        <v/>
      </c>
      <c r="AB5570" t="n">
        <v>58</v>
      </c>
      <c r="AC5570" t="n">
        <v>122</v>
      </c>
      <c r="AD5570" t="n">
        <v>26</v>
      </c>
      <c r="AE5570" t="n">
        <v>42</v>
      </c>
      <c r="AF5570" t="n">
        <v>50</v>
      </c>
      <c r="AG5570" t="n">
        <v>62</v>
      </c>
      <c r="AH5570" t="n">
        <v>56</v>
      </c>
      <c r="AI5570" t="n">
        <v>59</v>
      </c>
      <c r="AJ5570">
        <f>INDEX($Q$5512:$Q$5639,AC5570+1)</f>
        <v/>
      </c>
      <c r="AK5570">
        <f>INDEX($R$5512:$R$5639,AD5570+1)</f>
        <v/>
      </c>
      <c r="AL5570">
        <f>INDEX($S$5512:$S$5639,AE5570+1)</f>
        <v/>
      </c>
      <c r="AM5570">
        <f>INDEX($T$5512:$T$5639,AF5570+1)</f>
        <v/>
      </c>
      <c r="AN5570">
        <f>INDEX($U$5512:$U$5639,AG5570+1)</f>
        <v/>
      </c>
      <c r="AO5570">
        <f>INDEX($V$5512:$V$5639,AH5570+1)</f>
        <v/>
      </c>
      <c r="AP5570">
        <f>INDEX($W$5512:$W$5639,AI5570+1)</f>
        <v/>
      </c>
      <c r="AQ5570">
        <f>IF(Q5570&gt;=AJ5570-0.01,1,0)</f>
        <v/>
      </c>
      <c r="AR5570">
        <f>IF(R5570&gt;=AK5570-0.01,1,0)</f>
        <v/>
      </c>
      <c r="AS5570">
        <f>IF(S5570&gt;=AL5570-0.01,1,0)</f>
        <v/>
      </c>
      <c r="AT5570">
        <f>IF(T5570&gt;=AM5570-0.01,1,0)</f>
        <v/>
      </c>
      <c r="AU5570">
        <f>IF(U5570&gt;=AN5570-0.01,1,0)</f>
        <v/>
      </c>
      <c r="AV5570">
        <f>IF(V5570&gt;=AO5570-0.01,1,0)</f>
        <v/>
      </c>
      <c r="AW5570">
        <f>IF(W5570&gt;=AP5570-0.01,1,0)</f>
        <v/>
      </c>
      <c r="AX5570">
        <f>AQ5570*AR5570*AS5570*AT5570*AU5570*AV5570*AW5570</f>
        <v/>
      </c>
    </row>
    <row r="5571">
      <c r="A5571" t="inlineStr"/>
      <c r="B5571">
        <f>Assumptions!$B$60</f>
        <v/>
      </c>
      <c r="C5571" t="n">
        <v>0</v>
      </c>
      <c r="D5571" t="n">
        <v>1</v>
      </c>
      <c r="E5571" t="n">
        <v>1</v>
      </c>
      <c r="F5571" t="n">
        <v>1</v>
      </c>
      <c r="G5571" t="n">
        <v>0</v>
      </c>
      <c r="H5571" t="n">
        <v>1</v>
      </c>
      <c r="I5571" t="n">
        <v>1</v>
      </c>
      <c r="J5571">
        <f>(1-C5571)*Assumptions!$B$41+(1-D5571)*Assumptions!$B$33+(1-E5571)*Assumptions!$B$32+(1-F5571)*Assumptions!$B$31+(1-G5571)*Assumptions!$B$30+(1-H5571)*Assumptions!$B$29+(1-I5571)*Assumptions!$B$28</f>
        <v/>
      </c>
      <c r="K5571">
        <f>C5571*$J$457+D5571*$F$457+E5571*$G$457+F5571*Assumptions!$B$14+G5571*Assumptions!$B$13+H5571*Assumptions!$B$12+I5571*Assumptions!$B$11+$O$457+$S$457+Assumptions!$B$9</f>
        <v/>
      </c>
      <c r="L5571">
        <f>B5571-J5571</f>
        <v/>
      </c>
      <c r="M5571">
        <f>IF(K5571&gt;0,IF(L5571/K5571&gt;=Assumptions!$B$37,1,0),0)</f>
        <v/>
      </c>
      <c r="N5571">
        <f>K5571+M5571*Assumptions!$B$153</f>
        <v/>
      </c>
      <c r="O5571">
        <f>L5571+M5571*Assumptions!$B$153*Assumptions!$B$37</f>
        <v/>
      </c>
      <c r="P5571">
        <f>IF(N5571&gt;0,O5571/N5571,0)</f>
        <v/>
      </c>
      <c r="Q5571">
        <f>IF(C5571=1,P5571*$J$457,Assumptions!$B$41)</f>
        <v/>
      </c>
      <c r="R5571">
        <f>IF(D5571=1,P5571*$F$457,Assumptions!$B$33)</f>
        <v/>
      </c>
      <c r="S5571">
        <f>IF(E5571=1,P5571*$G$457,Assumptions!$B$32)</f>
        <v/>
      </c>
      <c r="T5571">
        <f>IF(F5571=1,P5571*Assumptions!$B$14,Assumptions!$B$31)</f>
        <v/>
      </c>
      <c r="U5571">
        <f>IF(G5571=1,P5571*Assumptions!$B$13,Assumptions!$B$30)</f>
        <v/>
      </c>
      <c r="V5571">
        <f>IF(H5571=1,P5571*Assumptions!$B$12,Assumptions!$B$29)</f>
        <v/>
      </c>
      <c r="W5571">
        <f>IF(I5571=1,P5571*Assumptions!$B$11,Assumptions!$B$28)</f>
        <v/>
      </c>
      <c r="X5571">
        <f>P5571*($O$457+$S$457)</f>
        <v/>
      </c>
      <c r="Y5571">
        <f>P5571*Assumptions!$B$9</f>
        <v/>
      </c>
      <c r="Z5571">
        <f>IF(M5571=1,(P5571-Assumptions!$B$37)*Assumptions!$B$153,0)</f>
        <v/>
      </c>
      <c r="AA5571">
        <f>Q5571+R5571+S5571+T5571+U5571+V5571+W5571+X5571+Y5571+Z5571</f>
        <v/>
      </c>
      <c r="AB5571" t="n">
        <v>59</v>
      </c>
      <c r="AC5571" t="n">
        <v>123</v>
      </c>
      <c r="AD5571" t="n">
        <v>27</v>
      </c>
      <c r="AE5571" t="n">
        <v>43</v>
      </c>
      <c r="AF5571" t="n">
        <v>51</v>
      </c>
      <c r="AG5571" t="n">
        <v>63</v>
      </c>
      <c r="AH5571" t="n">
        <v>57</v>
      </c>
      <c r="AI5571" t="n">
        <v>58</v>
      </c>
      <c r="AJ5571">
        <f>INDEX($Q$5512:$Q$5639,AC5571+1)</f>
        <v/>
      </c>
      <c r="AK5571">
        <f>INDEX($R$5512:$R$5639,AD5571+1)</f>
        <v/>
      </c>
      <c r="AL5571">
        <f>INDEX($S$5512:$S$5639,AE5571+1)</f>
        <v/>
      </c>
      <c r="AM5571">
        <f>INDEX($T$5512:$T$5639,AF5571+1)</f>
        <v/>
      </c>
      <c r="AN5571">
        <f>INDEX($U$5512:$U$5639,AG5571+1)</f>
        <v/>
      </c>
      <c r="AO5571">
        <f>INDEX($V$5512:$V$5639,AH5571+1)</f>
        <v/>
      </c>
      <c r="AP5571">
        <f>INDEX($W$5512:$W$5639,AI5571+1)</f>
        <v/>
      </c>
      <c r="AQ5571">
        <f>IF(Q5571&gt;=AJ5571-0.01,1,0)</f>
        <v/>
      </c>
      <c r="AR5571">
        <f>IF(R5571&gt;=AK5571-0.01,1,0)</f>
        <v/>
      </c>
      <c r="AS5571">
        <f>IF(S5571&gt;=AL5571-0.01,1,0)</f>
        <v/>
      </c>
      <c r="AT5571">
        <f>IF(T5571&gt;=AM5571-0.01,1,0)</f>
        <v/>
      </c>
      <c r="AU5571">
        <f>IF(U5571&gt;=AN5571-0.01,1,0)</f>
        <v/>
      </c>
      <c r="AV5571">
        <f>IF(V5571&gt;=AO5571-0.01,1,0)</f>
        <v/>
      </c>
      <c r="AW5571">
        <f>IF(W5571&gt;=AP5571-0.01,1,0)</f>
        <v/>
      </c>
      <c r="AX5571">
        <f>AQ5571*AR5571*AS5571*AT5571*AU5571*AV5571*AW5571</f>
        <v/>
      </c>
    </row>
    <row r="5572">
      <c r="A5572" t="inlineStr"/>
      <c r="B5572">
        <f>Assumptions!$B$60</f>
        <v/>
      </c>
      <c r="C5572" t="n">
        <v>0</v>
      </c>
      <c r="D5572" t="n">
        <v>1</v>
      </c>
      <c r="E5572" t="n">
        <v>1</v>
      </c>
      <c r="F5572" t="n">
        <v>1</v>
      </c>
      <c r="G5572" t="n">
        <v>1</v>
      </c>
      <c r="H5572" t="n">
        <v>0</v>
      </c>
      <c r="I5572" t="n">
        <v>0</v>
      </c>
      <c r="J5572">
        <f>(1-C5572)*Assumptions!$B$41+(1-D5572)*Assumptions!$B$33+(1-E5572)*Assumptions!$B$32+(1-F5572)*Assumptions!$B$31+(1-G5572)*Assumptions!$B$30+(1-H5572)*Assumptions!$B$29+(1-I5572)*Assumptions!$B$28</f>
        <v/>
      </c>
      <c r="K5572">
        <f>C5572*$J$457+D5572*$F$457+E5572*$G$457+F5572*Assumptions!$B$14+G5572*Assumptions!$B$13+H5572*Assumptions!$B$12+I5572*Assumptions!$B$11+$O$457+$S$457+Assumptions!$B$9</f>
        <v/>
      </c>
      <c r="L5572">
        <f>B5572-J5572</f>
        <v/>
      </c>
      <c r="M5572">
        <f>IF(K5572&gt;0,IF(L5572/K5572&gt;=Assumptions!$B$37,1,0),0)</f>
        <v/>
      </c>
      <c r="N5572">
        <f>K5572+M5572*Assumptions!$B$153</f>
        <v/>
      </c>
      <c r="O5572">
        <f>L5572+M5572*Assumptions!$B$153*Assumptions!$B$37</f>
        <v/>
      </c>
      <c r="P5572">
        <f>IF(N5572&gt;0,O5572/N5572,0)</f>
        <v/>
      </c>
      <c r="Q5572">
        <f>IF(C5572=1,P5572*$J$457,Assumptions!$B$41)</f>
        <v/>
      </c>
      <c r="R5572">
        <f>IF(D5572=1,P5572*$F$457,Assumptions!$B$33)</f>
        <v/>
      </c>
      <c r="S5572">
        <f>IF(E5572=1,P5572*$G$457,Assumptions!$B$32)</f>
        <v/>
      </c>
      <c r="T5572">
        <f>IF(F5572=1,P5572*Assumptions!$B$14,Assumptions!$B$31)</f>
        <v/>
      </c>
      <c r="U5572">
        <f>IF(G5572=1,P5572*Assumptions!$B$13,Assumptions!$B$30)</f>
        <v/>
      </c>
      <c r="V5572">
        <f>IF(H5572=1,P5572*Assumptions!$B$12,Assumptions!$B$29)</f>
        <v/>
      </c>
      <c r="W5572">
        <f>IF(I5572=1,P5572*Assumptions!$B$11,Assumptions!$B$28)</f>
        <v/>
      </c>
      <c r="X5572">
        <f>P5572*($O$457+$S$457)</f>
        <v/>
      </c>
      <c r="Y5572">
        <f>P5572*Assumptions!$B$9</f>
        <v/>
      </c>
      <c r="Z5572">
        <f>IF(M5572=1,(P5572-Assumptions!$B$37)*Assumptions!$B$153,0)</f>
        <v/>
      </c>
      <c r="AA5572">
        <f>Q5572+R5572+S5572+T5572+U5572+V5572+W5572+X5572+Y5572+Z5572</f>
        <v/>
      </c>
      <c r="AB5572" t="n">
        <v>60</v>
      </c>
      <c r="AC5572" t="n">
        <v>124</v>
      </c>
      <c r="AD5572" t="n">
        <v>28</v>
      </c>
      <c r="AE5572" t="n">
        <v>44</v>
      </c>
      <c r="AF5572" t="n">
        <v>52</v>
      </c>
      <c r="AG5572" t="n">
        <v>56</v>
      </c>
      <c r="AH5572" t="n">
        <v>62</v>
      </c>
      <c r="AI5572" t="n">
        <v>61</v>
      </c>
      <c r="AJ5572">
        <f>INDEX($Q$5512:$Q$5639,AC5572+1)</f>
        <v/>
      </c>
      <c r="AK5572">
        <f>INDEX($R$5512:$R$5639,AD5572+1)</f>
        <v/>
      </c>
      <c r="AL5572">
        <f>INDEX($S$5512:$S$5639,AE5572+1)</f>
        <v/>
      </c>
      <c r="AM5572">
        <f>INDEX($T$5512:$T$5639,AF5572+1)</f>
        <v/>
      </c>
      <c r="AN5572">
        <f>INDEX($U$5512:$U$5639,AG5572+1)</f>
        <v/>
      </c>
      <c r="AO5572">
        <f>INDEX($V$5512:$V$5639,AH5572+1)</f>
        <v/>
      </c>
      <c r="AP5572">
        <f>INDEX($W$5512:$W$5639,AI5572+1)</f>
        <v/>
      </c>
      <c r="AQ5572">
        <f>IF(Q5572&gt;=AJ5572-0.01,1,0)</f>
        <v/>
      </c>
      <c r="AR5572">
        <f>IF(R5572&gt;=AK5572-0.01,1,0)</f>
        <v/>
      </c>
      <c r="AS5572">
        <f>IF(S5572&gt;=AL5572-0.01,1,0)</f>
        <v/>
      </c>
      <c r="AT5572">
        <f>IF(T5572&gt;=AM5572-0.01,1,0)</f>
        <v/>
      </c>
      <c r="AU5572">
        <f>IF(U5572&gt;=AN5572-0.01,1,0)</f>
        <v/>
      </c>
      <c r="AV5572">
        <f>IF(V5572&gt;=AO5572-0.01,1,0)</f>
        <v/>
      </c>
      <c r="AW5572">
        <f>IF(W5572&gt;=AP5572-0.01,1,0)</f>
        <v/>
      </c>
      <c r="AX5572">
        <f>AQ5572*AR5572*AS5572*AT5572*AU5572*AV5572*AW5572</f>
        <v/>
      </c>
    </row>
    <row r="5573">
      <c r="A5573" t="inlineStr"/>
      <c r="B5573">
        <f>Assumptions!$B$60</f>
        <v/>
      </c>
      <c r="C5573" t="n">
        <v>0</v>
      </c>
      <c r="D5573" t="n">
        <v>1</v>
      </c>
      <c r="E5573" t="n">
        <v>1</v>
      </c>
      <c r="F5573" t="n">
        <v>1</v>
      </c>
      <c r="G5573" t="n">
        <v>1</v>
      </c>
      <c r="H5573" t="n">
        <v>0</v>
      </c>
      <c r="I5573" t="n">
        <v>1</v>
      </c>
      <c r="J5573">
        <f>(1-C5573)*Assumptions!$B$41+(1-D5573)*Assumptions!$B$33+(1-E5573)*Assumptions!$B$32+(1-F5573)*Assumptions!$B$31+(1-G5573)*Assumptions!$B$30+(1-H5573)*Assumptions!$B$29+(1-I5573)*Assumptions!$B$28</f>
        <v/>
      </c>
      <c r="K5573">
        <f>C5573*$J$457+D5573*$F$457+E5573*$G$457+F5573*Assumptions!$B$14+G5573*Assumptions!$B$13+H5573*Assumptions!$B$12+I5573*Assumptions!$B$11+$O$457+$S$457+Assumptions!$B$9</f>
        <v/>
      </c>
      <c r="L5573">
        <f>B5573-J5573</f>
        <v/>
      </c>
      <c r="M5573">
        <f>IF(K5573&gt;0,IF(L5573/K5573&gt;=Assumptions!$B$37,1,0),0)</f>
        <v/>
      </c>
      <c r="N5573">
        <f>K5573+M5573*Assumptions!$B$153</f>
        <v/>
      </c>
      <c r="O5573">
        <f>L5573+M5573*Assumptions!$B$153*Assumptions!$B$37</f>
        <v/>
      </c>
      <c r="P5573">
        <f>IF(N5573&gt;0,O5573/N5573,0)</f>
        <v/>
      </c>
      <c r="Q5573">
        <f>IF(C5573=1,P5573*$J$457,Assumptions!$B$41)</f>
        <v/>
      </c>
      <c r="R5573">
        <f>IF(D5573=1,P5573*$F$457,Assumptions!$B$33)</f>
        <v/>
      </c>
      <c r="S5573">
        <f>IF(E5573=1,P5573*$G$457,Assumptions!$B$32)</f>
        <v/>
      </c>
      <c r="T5573">
        <f>IF(F5573=1,P5573*Assumptions!$B$14,Assumptions!$B$31)</f>
        <v/>
      </c>
      <c r="U5573">
        <f>IF(G5573=1,P5573*Assumptions!$B$13,Assumptions!$B$30)</f>
        <v/>
      </c>
      <c r="V5573">
        <f>IF(H5573=1,P5573*Assumptions!$B$12,Assumptions!$B$29)</f>
        <v/>
      </c>
      <c r="W5573">
        <f>IF(I5573=1,P5573*Assumptions!$B$11,Assumptions!$B$28)</f>
        <v/>
      </c>
      <c r="X5573">
        <f>P5573*($O$457+$S$457)</f>
        <v/>
      </c>
      <c r="Y5573">
        <f>P5573*Assumptions!$B$9</f>
        <v/>
      </c>
      <c r="Z5573">
        <f>IF(M5573=1,(P5573-Assumptions!$B$37)*Assumptions!$B$153,0)</f>
        <v/>
      </c>
      <c r="AA5573">
        <f>Q5573+R5573+S5573+T5573+U5573+V5573+W5573+X5573+Y5573+Z5573</f>
        <v/>
      </c>
      <c r="AB5573" t="n">
        <v>61</v>
      </c>
      <c r="AC5573" t="n">
        <v>125</v>
      </c>
      <c r="AD5573" t="n">
        <v>29</v>
      </c>
      <c r="AE5573" t="n">
        <v>45</v>
      </c>
      <c r="AF5573" t="n">
        <v>53</v>
      </c>
      <c r="AG5573" t="n">
        <v>57</v>
      </c>
      <c r="AH5573" t="n">
        <v>63</v>
      </c>
      <c r="AI5573" t="n">
        <v>60</v>
      </c>
      <c r="AJ5573">
        <f>INDEX($Q$5512:$Q$5639,AC5573+1)</f>
        <v/>
      </c>
      <c r="AK5573">
        <f>INDEX($R$5512:$R$5639,AD5573+1)</f>
        <v/>
      </c>
      <c r="AL5573">
        <f>INDEX($S$5512:$S$5639,AE5573+1)</f>
        <v/>
      </c>
      <c r="AM5573">
        <f>INDEX($T$5512:$T$5639,AF5573+1)</f>
        <v/>
      </c>
      <c r="AN5573">
        <f>INDEX($U$5512:$U$5639,AG5573+1)</f>
        <v/>
      </c>
      <c r="AO5573">
        <f>INDEX($V$5512:$V$5639,AH5573+1)</f>
        <v/>
      </c>
      <c r="AP5573">
        <f>INDEX($W$5512:$W$5639,AI5573+1)</f>
        <v/>
      </c>
      <c r="AQ5573">
        <f>IF(Q5573&gt;=AJ5573-0.01,1,0)</f>
        <v/>
      </c>
      <c r="AR5573">
        <f>IF(R5573&gt;=AK5573-0.01,1,0)</f>
        <v/>
      </c>
      <c r="AS5573">
        <f>IF(S5573&gt;=AL5573-0.01,1,0)</f>
        <v/>
      </c>
      <c r="AT5573">
        <f>IF(T5573&gt;=AM5573-0.01,1,0)</f>
        <v/>
      </c>
      <c r="AU5573">
        <f>IF(U5573&gt;=AN5573-0.01,1,0)</f>
        <v/>
      </c>
      <c r="AV5573">
        <f>IF(V5573&gt;=AO5573-0.01,1,0)</f>
        <v/>
      </c>
      <c r="AW5573">
        <f>IF(W5573&gt;=AP5573-0.01,1,0)</f>
        <v/>
      </c>
      <c r="AX5573">
        <f>AQ5573*AR5573*AS5573*AT5573*AU5573*AV5573*AW5573</f>
        <v/>
      </c>
    </row>
    <row r="5574">
      <c r="A5574" t="inlineStr"/>
      <c r="B5574">
        <f>Assumptions!$B$60</f>
        <v/>
      </c>
      <c r="C5574" t="n">
        <v>0</v>
      </c>
      <c r="D5574" t="n">
        <v>1</v>
      </c>
      <c r="E5574" t="n">
        <v>1</v>
      </c>
      <c r="F5574" t="n">
        <v>1</v>
      </c>
      <c r="G5574" t="n">
        <v>1</v>
      </c>
      <c r="H5574" t="n">
        <v>1</v>
      </c>
      <c r="I5574" t="n">
        <v>0</v>
      </c>
      <c r="J5574">
        <f>(1-C5574)*Assumptions!$B$41+(1-D5574)*Assumptions!$B$33+(1-E5574)*Assumptions!$B$32+(1-F5574)*Assumptions!$B$31+(1-G5574)*Assumptions!$B$30+(1-H5574)*Assumptions!$B$29+(1-I5574)*Assumptions!$B$28</f>
        <v/>
      </c>
      <c r="K5574">
        <f>C5574*$J$457+D5574*$F$457+E5574*$G$457+F5574*Assumptions!$B$14+G5574*Assumptions!$B$13+H5574*Assumptions!$B$12+I5574*Assumptions!$B$11+$O$457+$S$457+Assumptions!$B$9</f>
        <v/>
      </c>
      <c r="L5574">
        <f>B5574-J5574</f>
        <v/>
      </c>
      <c r="M5574">
        <f>IF(K5574&gt;0,IF(L5574/K5574&gt;=Assumptions!$B$37,1,0),0)</f>
        <v/>
      </c>
      <c r="N5574">
        <f>K5574+M5574*Assumptions!$B$153</f>
        <v/>
      </c>
      <c r="O5574">
        <f>L5574+M5574*Assumptions!$B$153*Assumptions!$B$37</f>
        <v/>
      </c>
      <c r="P5574">
        <f>IF(N5574&gt;0,O5574/N5574,0)</f>
        <v/>
      </c>
      <c r="Q5574">
        <f>IF(C5574=1,P5574*$J$457,Assumptions!$B$41)</f>
        <v/>
      </c>
      <c r="R5574">
        <f>IF(D5574=1,P5574*$F$457,Assumptions!$B$33)</f>
        <v/>
      </c>
      <c r="S5574">
        <f>IF(E5574=1,P5574*$G$457,Assumptions!$B$32)</f>
        <v/>
      </c>
      <c r="T5574">
        <f>IF(F5574=1,P5574*Assumptions!$B$14,Assumptions!$B$31)</f>
        <v/>
      </c>
      <c r="U5574">
        <f>IF(G5574=1,P5574*Assumptions!$B$13,Assumptions!$B$30)</f>
        <v/>
      </c>
      <c r="V5574">
        <f>IF(H5574=1,P5574*Assumptions!$B$12,Assumptions!$B$29)</f>
        <v/>
      </c>
      <c r="W5574">
        <f>IF(I5574=1,P5574*Assumptions!$B$11,Assumptions!$B$28)</f>
        <v/>
      </c>
      <c r="X5574">
        <f>P5574*($O$457+$S$457)</f>
        <v/>
      </c>
      <c r="Y5574">
        <f>P5574*Assumptions!$B$9</f>
        <v/>
      </c>
      <c r="Z5574">
        <f>IF(M5574=1,(P5574-Assumptions!$B$37)*Assumptions!$B$153,0)</f>
        <v/>
      </c>
      <c r="AA5574">
        <f>Q5574+R5574+S5574+T5574+U5574+V5574+W5574+X5574+Y5574+Z5574</f>
        <v/>
      </c>
      <c r="AB5574" t="n">
        <v>62</v>
      </c>
      <c r="AC5574" t="n">
        <v>126</v>
      </c>
      <c r="AD5574" t="n">
        <v>30</v>
      </c>
      <c r="AE5574" t="n">
        <v>46</v>
      </c>
      <c r="AF5574" t="n">
        <v>54</v>
      </c>
      <c r="AG5574" t="n">
        <v>58</v>
      </c>
      <c r="AH5574" t="n">
        <v>60</v>
      </c>
      <c r="AI5574" t="n">
        <v>63</v>
      </c>
      <c r="AJ5574">
        <f>INDEX($Q$5512:$Q$5639,AC5574+1)</f>
        <v/>
      </c>
      <c r="AK5574">
        <f>INDEX($R$5512:$R$5639,AD5574+1)</f>
        <v/>
      </c>
      <c r="AL5574">
        <f>INDEX($S$5512:$S$5639,AE5574+1)</f>
        <v/>
      </c>
      <c r="AM5574">
        <f>INDEX($T$5512:$T$5639,AF5574+1)</f>
        <v/>
      </c>
      <c r="AN5574">
        <f>INDEX($U$5512:$U$5639,AG5574+1)</f>
        <v/>
      </c>
      <c r="AO5574">
        <f>INDEX($V$5512:$V$5639,AH5574+1)</f>
        <v/>
      </c>
      <c r="AP5574">
        <f>INDEX($W$5512:$W$5639,AI5574+1)</f>
        <v/>
      </c>
      <c r="AQ5574">
        <f>IF(Q5574&gt;=AJ5574-0.01,1,0)</f>
        <v/>
      </c>
      <c r="AR5574">
        <f>IF(R5574&gt;=AK5574-0.01,1,0)</f>
        <v/>
      </c>
      <c r="AS5574">
        <f>IF(S5574&gt;=AL5574-0.01,1,0)</f>
        <v/>
      </c>
      <c r="AT5574">
        <f>IF(T5574&gt;=AM5574-0.01,1,0)</f>
        <v/>
      </c>
      <c r="AU5574">
        <f>IF(U5574&gt;=AN5574-0.01,1,0)</f>
        <v/>
      </c>
      <c r="AV5574">
        <f>IF(V5574&gt;=AO5574-0.01,1,0)</f>
        <v/>
      </c>
      <c r="AW5574">
        <f>IF(W5574&gt;=AP5574-0.01,1,0)</f>
        <v/>
      </c>
      <c r="AX5574">
        <f>AQ5574*AR5574*AS5574*AT5574*AU5574*AV5574*AW5574</f>
        <v/>
      </c>
    </row>
    <row r="5575">
      <c r="A5575" t="inlineStr"/>
      <c r="B5575">
        <f>Assumptions!$B$60</f>
        <v/>
      </c>
      <c r="C5575" t="n">
        <v>0</v>
      </c>
      <c r="D5575" t="n">
        <v>1</v>
      </c>
      <c r="E5575" t="n">
        <v>1</v>
      </c>
      <c r="F5575" t="n">
        <v>1</v>
      </c>
      <c r="G5575" t="n">
        <v>1</v>
      </c>
      <c r="H5575" t="n">
        <v>1</v>
      </c>
      <c r="I5575" t="n">
        <v>1</v>
      </c>
      <c r="J5575">
        <f>(1-C5575)*Assumptions!$B$41+(1-D5575)*Assumptions!$B$33+(1-E5575)*Assumptions!$B$32+(1-F5575)*Assumptions!$B$31+(1-G5575)*Assumptions!$B$30+(1-H5575)*Assumptions!$B$29+(1-I5575)*Assumptions!$B$28</f>
        <v/>
      </c>
      <c r="K5575">
        <f>C5575*$J$457+D5575*$F$457+E5575*$G$457+F5575*Assumptions!$B$14+G5575*Assumptions!$B$13+H5575*Assumptions!$B$12+I5575*Assumptions!$B$11+$O$457+$S$457+Assumptions!$B$9</f>
        <v/>
      </c>
      <c r="L5575">
        <f>B5575-J5575</f>
        <v/>
      </c>
      <c r="M5575">
        <f>IF(K5575&gt;0,IF(L5575/K5575&gt;=Assumptions!$B$37,1,0),0)</f>
        <v/>
      </c>
      <c r="N5575">
        <f>K5575+M5575*Assumptions!$B$153</f>
        <v/>
      </c>
      <c r="O5575">
        <f>L5575+M5575*Assumptions!$B$153*Assumptions!$B$37</f>
        <v/>
      </c>
      <c r="P5575">
        <f>IF(N5575&gt;0,O5575/N5575,0)</f>
        <v/>
      </c>
      <c r="Q5575">
        <f>IF(C5575=1,P5575*$J$457,Assumptions!$B$41)</f>
        <v/>
      </c>
      <c r="R5575">
        <f>IF(D5575=1,P5575*$F$457,Assumptions!$B$33)</f>
        <v/>
      </c>
      <c r="S5575">
        <f>IF(E5575=1,P5575*$G$457,Assumptions!$B$32)</f>
        <v/>
      </c>
      <c r="T5575">
        <f>IF(F5575=1,P5575*Assumptions!$B$14,Assumptions!$B$31)</f>
        <v/>
      </c>
      <c r="U5575">
        <f>IF(G5575=1,P5575*Assumptions!$B$13,Assumptions!$B$30)</f>
        <v/>
      </c>
      <c r="V5575">
        <f>IF(H5575=1,P5575*Assumptions!$B$12,Assumptions!$B$29)</f>
        <v/>
      </c>
      <c r="W5575">
        <f>IF(I5575=1,P5575*Assumptions!$B$11,Assumptions!$B$28)</f>
        <v/>
      </c>
      <c r="X5575">
        <f>P5575*($O$457+$S$457)</f>
        <v/>
      </c>
      <c r="Y5575">
        <f>P5575*Assumptions!$B$9</f>
        <v/>
      </c>
      <c r="Z5575">
        <f>IF(M5575=1,(P5575-Assumptions!$B$37)*Assumptions!$B$153,0)</f>
        <v/>
      </c>
      <c r="AA5575">
        <f>Q5575+R5575+S5575+T5575+U5575+V5575+W5575+X5575+Y5575+Z5575</f>
        <v/>
      </c>
      <c r="AB5575" t="n">
        <v>63</v>
      </c>
      <c r="AC5575" t="n">
        <v>127</v>
      </c>
      <c r="AD5575" t="n">
        <v>31</v>
      </c>
      <c r="AE5575" t="n">
        <v>47</v>
      </c>
      <c r="AF5575" t="n">
        <v>55</v>
      </c>
      <c r="AG5575" t="n">
        <v>59</v>
      </c>
      <c r="AH5575" t="n">
        <v>61</v>
      </c>
      <c r="AI5575" t="n">
        <v>62</v>
      </c>
      <c r="AJ5575">
        <f>INDEX($Q$5512:$Q$5639,AC5575+1)</f>
        <v/>
      </c>
      <c r="AK5575">
        <f>INDEX($R$5512:$R$5639,AD5575+1)</f>
        <v/>
      </c>
      <c r="AL5575">
        <f>INDEX($S$5512:$S$5639,AE5575+1)</f>
        <v/>
      </c>
      <c r="AM5575">
        <f>INDEX($T$5512:$T$5639,AF5575+1)</f>
        <v/>
      </c>
      <c r="AN5575">
        <f>INDEX($U$5512:$U$5639,AG5575+1)</f>
        <v/>
      </c>
      <c r="AO5575">
        <f>INDEX($V$5512:$V$5639,AH5575+1)</f>
        <v/>
      </c>
      <c r="AP5575">
        <f>INDEX($W$5512:$W$5639,AI5575+1)</f>
        <v/>
      </c>
      <c r="AQ5575">
        <f>IF(Q5575&gt;=AJ5575-0.01,1,0)</f>
        <v/>
      </c>
      <c r="AR5575">
        <f>IF(R5575&gt;=AK5575-0.01,1,0)</f>
        <v/>
      </c>
      <c r="AS5575">
        <f>IF(S5575&gt;=AL5575-0.01,1,0)</f>
        <v/>
      </c>
      <c r="AT5575">
        <f>IF(T5575&gt;=AM5575-0.01,1,0)</f>
        <v/>
      </c>
      <c r="AU5575">
        <f>IF(U5575&gt;=AN5575-0.01,1,0)</f>
        <v/>
      </c>
      <c r="AV5575">
        <f>IF(V5575&gt;=AO5575-0.01,1,0)</f>
        <v/>
      </c>
      <c r="AW5575">
        <f>IF(W5575&gt;=AP5575-0.01,1,0)</f>
        <v/>
      </c>
      <c r="AX5575">
        <f>AQ5575*AR5575*AS5575*AT5575*AU5575*AV5575*AW5575</f>
        <v/>
      </c>
    </row>
    <row r="5576">
      <c r="A5576" t="inlineStr"/>
      <c r="B5576">
        <f>Assumptions!$B$60</f>
        <v/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>
        <f>(1-C5576)*Assumptions!$B$41+(1-D5576)*Assumptions!$B$33+(1-E5576)*Assumptions!$B$32+(1-F5576)*Assumptions!$B$31+(1-G5576)*Assumptions!$B$30+(1-H5576)*Assumptions!$B$29+(1-I5576)*Assumptions!$B$28</f>
        <v/>
      </c>
      <c r="K5576">
        <f>C5576*$J$457+D5576*$F$457+E5576*$G$457+F5576*Assumptions!$B$14+G5576*Assumptions!$B$13+H5576*Assumptions!$B$12+I5576*Assumptions!$B$11+$O$457+$S$457+Assumptions!$B$9</f>
        <v/>
      </c>
      <c r="L5576">
        <f>B5576-J5576</f>
        <v/>
      </c>
      <c r="M5576">
        <f>IF(K5576&gt;0,IF(L5576/K5576&gt;=Assumptions!$B$37,1,0),0)</f>
        <v/>
      </c>
      <c r="N5576">
        <f>K5576+M5576*Assumptions!$B$153</f>
        <v/>
      </c>
      <c r="O5576">
        <f>L5576+M5576*Assumptions!$B$153*Assumptions!$B$37</f>
        <v/>
      </c>
      <c r="P5576">
        <f>IF(N5576&gt;0,O5576/N5576,0)</f>
        <v/>
      </c>
      <c r="Q5576">
        <f>IF(C5576=1,P5576*$J$457,Assumptions!$B$41)</f>
        <v/>
      </c>
      <c r="R5576">
        <f>IF(D5576=1,P5576*$F$457,Assumptions!$B$33)</f>
        <v/>
      </c>
      <c r="S5576">
        <f>IF(E5576=1,P5576*$G$457,Assumptions!$B$32)</f>
        <v/>
      </c>
      <c r="T5576">
        <f>IF(F5576=1,P5576*Assumptions!$B$14,Assumptions!$B$31)</f>
        <v/>
      </c>
      <c r="U5576">
        <f>IF(G5576=1,P5576*Assumptions!$B$13,Assumptions!$B$30)</f>
        <v/>
      </c>
      <c r="V5576">
        <f>IF(H5576=1,P5576*Assumptions!$B$12,Assumptions!$B$29)</f>
        <v/>
      </c>
      <c r="W5576">
        <f>IF(I5576=1,P5576*Assumptions!$B$11,Assumptions!$B$28)</f>
        <v/>
      </c>
      <c r="X5576">
        <f>P5576*($O$457+$S$457)</f>
        <v/>
      </c>
      <c r="Y5576">
        <f>P5576*Assumptions!$B$9</f>
        <v/>
      </c>
      <c r="Z5576">
        <f>IF(M5576=1,(P5576-Assumptions!$B$37)*Assumptions!$B$153,0)</f>
        <v/>
      </c>
      <c r="AA5576">
        <f>Q5576+R5576+S5576+T5576+U5576+V5576+W5576+X5576+Y5576+Z5576</f>
        <v/>
      </c>
      <c r="AB5576" t="n">
        <v>64</v>
      </c>
      <c r="AC5576" t="n">
        <v>0</v>
      </c>
      <c r="AD5576" t="n">
        <v>96</v>
      </c>
      <c r="AE5576" t="n">
        <v>80</v>
      </c>
      <c r="AF5576" t="n">
        <v>72</v>
      </c>
      <c r="AG5576" t="n">
        <v>68</v>
      </c>
      <c r="AH5576" t="n">
        <v>66</v>
      </c>
      <c r="AI5576" t="n">
        <v>65</v>
      </c>
      <c r="AJ5576">
        <f>INDEX($Q$5512:$Q$5639,AC5576+1)</f>
        <v/>
      </c>
      <c r="AK5576">
        <f>INDEX($R$5512:$R$5639,AD5576+1)</f>
        <v/>
      </c>
      <c r="AL5576">
        <f>INDEX($S$5512:$S$5639,AE5576+1)</f>
        <v/>
      </c>
      <c r="AM5576">
        <f>INDEX($T$5512:$T$5639,AF5576+1)</f>
        <v/>
      </c>
      <c r="AN5576">
        <f>INDEX($U$5512:$U$5639,AG5576+1)</f>
        <v/>
      </c>
      <c r="AO5576">
        <f>INDEX($V$5512:$V$5639,AH5576+1)</f>
        <v/>
      </c>
      <c r="AP5576">
        <f>INDEX($W$5512:$W$5639,AI5576+1)</f>
        <v/>
      </c>
      <c r="AQ5576">
        <f>IF(Q5576&gt;=AJ5576-0.01,1,0)</f>
        <v/>
      </c>
      <c r="AR5576">
        <f>IF(R5576&gt;=AK5576-0.01,1,0)</f>
        <v/>
      </c>
      <c r="AS5576">
        <f>IF(S5576&gt;=AL5576-0.01,1,0)</f>
        <v/>
      </c>
      <c r="AT5576">
        <f>IF(T5576&gt;=AM5576-0.01,1,0)</f>
        <v/>
      </c>
      <c r="AU5576">
        <f>IF(U5576&gt;=AN5576-0.01,1,0)</f>
        <v/>
      </c>
      <c r="AV5576">
        <f>IF(V5576&gt;=AO5576-0.01,1,0)</f>
        <v/>
      </c>
      <c r="AW5576">
        <f>IF(W5576&gt;=AP5576-0.01,1,0)</f>
        <v/>
      </c>
      <c r="AX5576">
        <f>AQ5576*AR5576*AS5576*AT5576*AU5576*AV5576*AW5576</f>
        <v/>
      </c>
    </row>
    <row r="5577">
      <c r="A5577" t="inlineStr"/>
      <c r="B5577">
        <f>Assumptions!$B$60</f>
        <v/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>
        <f>(1-C5577)*Assumptions!$B$41+(1-D5577)*Assumptions!$B$33+(1-E5577)*Assumptions!$B$32+(1-F5577)*Assumptions!$B$31+(1-G5577)*Assumptions!$B$30+(1-H5577)*Assumptions!$B$29+(1-I5577)*Assumptions!$B$28</f>
        <v/>
      </c>
      <c r="K5577">
        <f>C5577*$J$457+D5577*$F$457+E5577*$G$457+F5577*Assumptions!$B$14+G5577*Assumptions!$B$13+H5577*Assumptions!$B$12+I5577*Assumptions!$B$11+$O$457+$S$457+Assumptions!$B$9</f>
        <v/>
      </c>
      <c r="L5577">
        <f>B5577-J5577</f>
        <v/>
      </c>
      <c r="M5577">
        <f>IF(K5577&gt;0,IF(L5577/K5577&gt;=Assumptions!$B$37,1,0),0)</f>
        <v/>
      </c>
      <c r="N5577">
        <f>K5577+M5577*Assumptions!$B$153</f>
        <v/>
      </c>
      <c r="O5577">
        <f>L5577+M5577*Assumptions!$B$153*Assumptions!$B$37</f>
        <v/>
      </c>
      <c r="P5577">
        <f>IF(N5577&gt;0,O5577/N5577,0)</f>
        <v/>
      </c>
      <c r="Q5577">
        <f>IF(C5577=1,P5577*$J$457,Assumptions!$B$41)</f>
        <v/>
      </c>
      <c r="R5577">
        <f>IF(D5577=1,P5577*$F$457,Assumptions!$B$33)</f>
        <v/>
      </c>
      <c r="S5577">
        <f>IF(E5577=1,P5577*$G$457,Assumptions!$B$32)</f>
        <v/>
      </c>
      <c r="T5577">
        <f>IF(F5577=1,P5577*Assumptions!$B$14,Assumptions!$B$31)</f>
        <v/>
      </c>
      <c r="U5577">
        <f>IF(G5577=1,P5577*Assumptions!$B$13,Assumptions!$B$30)</f>
        <v/>
      </c>
      <c r="V5577">
        <f>IF(H5577=1,P5577*Assumptions!$B$12,Assumptions!$B$29)</f>
        <v/>
      </c>
      <c r="W5577">
        <f>IF(I5577=1,P5577*Assumptions!$B$11,Assumptions!$B$28)</f>
        <v/>
      </c>
      <c r="X5577">
        <f>P5577*($O$457+$S$457)</f>
        <v/>
      </c>
      <c r="Y5577">
        <f>P5577*Assumptions!$B$9</f>
        <v/>
      </c>
      <c r="Z5577">
        <f>IF(M5577=1,(P5577-Assumptions!$B$37)*Assumptions!$B$153,0)</f>
        <v/>
      </c>
      <c r="AA5577">
        <f>Q5577+R5577+S5577+T5577+U5577+V5577+W5577+X5577+Y5577+Z5577</f>
        <v/>
      </c>
      <c r="AB5577" t="n">
        <v>65</v>
      </c>
      <c r="AC5577" t="n">
        <v>1</v>
      </c>
      <c r="AD5577" t="n">
        <v>97</v>
      </c>
      <c r="AE5577" t="n">
        <v>81</v>
      </c>
      <c r="AF5577" t="n">
        <v>73</v>
      </c>
      <c r="AG5577" t="n">
        <v>69</v>
      </c>
      <c r="AH5577" t="n">
        <v>67</v>
      </c>
      <c r="AI5577" t="n">
        <v>64</v>
      </c>
      <c r="AJ5577">
        <f>INDEX($Q$5512:$Q$5639,AC5577+1)</f>
        <v/>
      </c>
      <c r="AK5577">
        <f>INDEX($R$5512:$R$5639,AD5577+1)</f>
        <v/>
      </c>
      <c r="AL5577">
        <f>INDEX($S$5512:$S$5639,AE5577+1)</f>
        <v/>
      </c>
      <c r="AM5577">
        <f>INDEX($T$5512:$T$5639,AF5577+1)</f>
        <v/>
      </c>
      <c r="AN5577">
        <f>INDEX($U$5512:$U$5639,AG5577+1)</f>
        <v/>
      </c>
      <c r="AO5577">
        <f>INDEX($V$5512:$V$5639,AH5577+1)</f>
        <v/>
      </c>
      <c r="AP5577">
        <f>INDEX($W$5512:$W$5639,AI5577+1)</f>
        <v/>
      </c>
      <c r="AQ5577">
        <f>IF(Q5577&gt;=AJ5577-0.01,1,0)</f>
        <v/>
      </c>
      <c r="AR5577">
        <f>IF(R5577&gt;=AK5577-0.01,1,0)</f>
        <v/>
      </c>
      <c r="AS5577">
        <f>IF(S5577&gt;=AL5577-0.01,1,0)</f>
        <v/>
      </c>
      <c r="AT5577">
        <f>IF(T5577&gt;=AM5577-0.01,1,0)</f>
        <v/>
      </c>
      <c r="AU5577">
        <f>IF(U5577&gt;=AN5577-0.01,1,0)</f>
        <v/>
      </c>
      <c r="AV5577">
        <f>IF(V5577&gt;=AO5577-0.01,1,0)</f>
        <v/>
      </c>
      <c r="AW5577">
        <f>IF(W5577&gt;=AP5577-0.01,1,0)</f>
        <v/>
      </c>
      <c r="AX5577">
        <f>AQ5577*AR5577*AS5577*AT5577*AU5577*AV5577*AW5577</f>
        <v/>
      </c>
    </row>
    <row r="5578">
      <c r="A5578" t="inlineStr"/>
      <c r="B5578">
        <f>Assumptions!$B$60</f>
        <v/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>
        <f>(1-C5578)*Assumptions!$B$41+(1-D5578)*Assumptions!$B$33+(1-E5578)*Assumptions!$B$32+(1-F5578)*Assumptions!$B$31+(1-G5578)*Assumptions!$B$30+(1-H5578)*Assumptions!$B$29+(1-I5578)*Assumptions!$B$28</f>
        <v/>
      </c>
      <c r="K5578">
        <f>C5578*$J$457+D5578*$F$457+E5578*$G$457+F5578*Assumptions!$B$14+G5578*Assumptions!$B$13+H5578*Assumptions!$B$12+I5578*Assumptions!$B$11+$O$457+$S$457+Assumptions!$B$9</f>
        <v/>
      </c>
      <c r="L5578">
        <f>B5578-J5578</f>
        <v/>
      </c>
      <c r="M5578">
        <f>IF(K5578&gt;0,IF(L5578/K5578&gt;=Assumptions!$B$37,1,0),0)</f>
        <v/>
      </c>
      <c r="N5578">
        <f>K5578+M5578*Assumptions!$B$153</f>
        <v/>
      </c>
      <c r="O5578">
        <f>L5578+M5578*Assumptions!$B$153*Assumptions!$B$37</f>
        <v/>
      </c>
      <c r="P5578">
        <f>IF(N5578&gt;0,O5578/N5578,0)</f>
        <v/>
      </c>
      <c r="Q5578">
        <f>IF(C5578=1,P5578*$J$457,Assumptions!$B$41)</f>
        <v/>
      </c>
      <c r="R5578">
        <f>IF(D5578=1,P5578*$F$457,Assumptions!$B$33)</f>
        <v/>
      </c>
      <c r="S5578">
        <f>IF(E5578=1,P5578*$G$457,Assumptions!$B$32)</f>
        <v/>
      </c>
      <c r="T5578">
        <f>IF(F5578=1,P5578*Assumptions!$B$14,Assumptions!$B$31)</f>
        <v/>
      </c>
      <c r="U5578">
        <f>IF(G5578=1,P5578*Assumptions!$B$13,Assumptions!$B$30)</f>
        <v/>
      </c>
      <c r="V5578">
        <f>IF(H5578=1,P5578*Assumptions!$B$12,Assumptions!$B$29)</f>
        <v/>
      </c>
      <c r="W5578">
        <f>IF(I5578=1,P5578*Assumptions!$B$11,Assumptions!$B$28)</f>
        <v/>
      </c>
      <c r="X5578">
        <f>P5578*($O$457+$S$457)</f>
        <v/>
      </c>
      <c r="Y5578">
        <f>P5578*Assumptions!$B$9</f>
        <v/>
      </c>
      <c r="Z5578">
        <f>IF(M5578=1,(P5578-Assumptions!$B$37)*Assumptions!$B$153,0)</f>
        <v/>
      </c>
      <c r="AA5578">
        <f>Q5578+R5578+S5578+T5578+U5578+V5578+W5578+X5578+Y5578+Z5578</f>
        <v/>
      </c>
      <c r="AB5578" t="n">
        <v>66</v>
      </c>
      <c r="AC5578" t="n">
        <v>2</v>
      </c>
      <c r="AD5578" t="n">
        <v>98</v>
      </c>
      <c r="AE5578" t="n">
        <v>82</v>
      </c>
      <c r="AF5578" t="n">
        <v>74</v>
      </c>
      <c r="AG5578" t="n">
        <v>70</v>
      </c>
      <c r="AH5578" t="n">
        <v>64</v>
      </c>
      <c r="AI5578" t="n">
        <v>67</v>
      </c>
      <c r="AJ5578">
        <f>INDEX($Q$5512:$Q$5639,AC5578+1)</f>
        <v/>
      </c>
      <c r="AK5578">
        <f>INDEX($R$5512:$R$5639,AD5578+1)</f>
        <v/>
      </c>
      <c r="AL5578">
        <f>INDEX($S$5512:$S$5639,AE5578+1)</f>
        <v/>
      </c>
      <c r="AM5578">
        <f>INDEX($T$5512:$T$5639,AF5578+1)</f>
        <v/>
      </c>
      <c r="AN5578">
        <f>INDEX($U$5512:$U$5639,AG5578+1)</f>
        <v/>
      </c>
      <c r="AO5578">
        <f>INDEX($V$5512:$V$5639,AH5578+1)</f>
        <v/>
      </c>
      <c r="AP5578">
        <f>INDEX($W$5512:$W$5639,AI5578+1)</f>
        <v/>
      </c>
      <c r="AQ5578">
        <f>IF(Q5578&gt;=AJ5578-0.01,1,0)</f>
        <v/>
      </c>
      <c r="AR5578">
        <f>IF(R5578&gt;=AK5578-0.01,1,0)</f>
        <v/>
      </c>
      <c r="AS5578">
        <f>IF(S5578&gt;=AL5578-0.01,1,0)</f>
        <v/>
      </c>
      <c r="AT5578">
        <f>IF(T5578&gt;=AM5578-0.01,1,0)</f>
        <v/>
      </c>
      <c r="AU5578">
        <f>IF(U5578&gt;=AN5578-0.01,1,0)</f>
        <v/>
      </c>
      <c r="AV5578">
        <f>IF(V5578&gt;=AO5578-0.01,1,0)</f>
        <v/>
      </c>
      <c r="AW5578">
        <f>IF(W5578&gt;=AP5578-0.01,1,0)</f>
        <v/>
      </c>
      <c r="AX5578">
        <f>AQ5578*AR5578*AS5578*AT5578*AU5578*AV5578*AW5578</f>
        <v/>
      </c>
    </row>
    <row r="5579">
      <c r="A5579" t="inlineStr"/>
      <c r="B5579">
        <f>Assumptions!$B$60</f>
        <v/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</v>
      </c>
      <c r="J5579">
        <f>(1-C5579)*Assumptions!$B$41+(1-D5579)*Assumptions!$B$33+(1-E5579)*Assumptions!$B$32+(1-F5579)*Assumptions!$B$31+(1-G5579)*Assumptions!$B$30+(1-H5579)*Assumptions!$B$29+(1-I5579)*Assumptions!$B$28</f>
        <v/>
      </c>
      <c r="K5579">
        <f>C5579*$J$457+D5579*$F$457+E5579*$G$457+F5579*Assumptions!$B$14+G5579*Assumptions!$B$13+H5579*Assumptions!$B$12+I5579*Assumptions!$B$11+$O$457+$S$457+Assumptions!$B$9</f>
        <v/>
      </c>
      <c r="L5579">
        <f>B5579-J5579</f>
        <v/>
      </c>
      <c r="M5579">
        <f>IF(K5579&gt;0,IF(L5579/K5579&gt;=Assumptions!$B$37,1,0),0)</f>
        <v/>
      </c>
      <c r="N5579">
        <f>K5579+M5579*Assumptions!$B$153</f>
        <v/>
      </c>
      <c r="O5579">
        <f>L5579+M5579*Assumptions!$B$153*Assumptions!$B$37</f>
        <v/>
      </c>
      <c r="P5579">
        <f>IF(N5579&gt;0,O5579/N5579,0)</f>
        <v/>
      </c>
      <c r="Q5579">
        <f>IF(C5579=1,P5579*$J$457,Assumptions!$B$41)</f>
        <v/>
      </c>
      <c r="R5579">
        <f>IF(D5579=1,P5579*$F$457,Assumptions!$B$33)</f>
        <v/>
      </c>
      <c r="S5579">
        <f>IF(E5579=1,P5579*$G$457,Assumptions!$B$32)</f>
        <v/>
      </c>
      <c r="T5579">
        <f>IF(F5579=1,P5579*Assumptions!$B$14,Assumptions!$B$31)</f>
        <v/>
      </c>
      <c r="U5579">
        <f>IF(G5579=1,P5579*Assumptions!$B$13,Assumptions!$B$30)</f>
        <v/>
      </c>
      <c r="V5579">
        <f>IF(H5579=1,P5579*Assumptions!$B$12,Assumptions!$B$29)</f>
        <v/>
      </c>
      <c r="W5579">
        <f>IF(I5579=1,P5579*Assumptions!$B$11,Assumptions!$B$28)</f>
        <v/>
      </c>
      <c r="X5579">
        <f>P5579*($O$457+$S$457)</f>
        <v/>
      </c>
      <c r="Y5579">
        <f>P5579*Assumptions!$B$9</f>
        <v/>
      </c>
      <c r="Z5579">
        <f>IF(M5579=1,(P5579-Assumptions!$B$37)*Assumptions!$B$153,0)</f>
        <v/>
      </c>
      <c r="AA5579">
        <f>Q5579+R5579+S5579+T5579+U5579+V5579+W5579+X5579+Y5579+Z5579</f>
        <v/>
      </c>
      <c r="AB5579" t="n">
        <v>67</v>
      </c>
      <c r="AC5579" t="n">
        <v>3</v>
      </c>
      <c r="AD5579" t="n">
        <v>99</v>
      </c>
      <c r="AE5579" t="n">
        <v>83</v>
      </c>
      <c r="AF5579" t="n">
        <v>75</v>
      </c>
      <c r="AG5579" t="n">
        <v>71</v>
      </c>
      <c r="AH5579" t="n">
        <v>65</v>
      </c>
      <c r="AI5579" t="n">
        <v>66</v>
      </c>
      <c r="AJ5579">
        <f>INDEX($Q$5512:$Q$5639,AC5579+1)</f>
        <v/>
      </c>
      <c r="AK5579">
        <f>INDEX($R$5512:$R$5639,AD5579+1)</f>
        <v/>
      </c>
      <c r="AL5579">
        <f>INDEX($S$5512:$S$5639,AE5579+1)</f>
        <v/>
      </c>
      <c r="AM5579">
        <f>INDEX($T$5512:$T$5639,AF5579+1)</f>
        <v/>
      </c>
      <c r="AN5579">
        <f>INDEX($U$5512:$U$5639,AG5579+1)</f>
        <v/>
      </c>
      <c r="AO5579">
        <f>INDEX($V$5512:$V$5639,AH5579+1)</f>
        <v/>
      </c>
      <c r="AP5579">
        <f>INDEX($W$5512:$W$5639,AI5579+1)</f>
        <v/>
      </c>
      <c r="AQ5579">
        <f>IF(Q5579&gt;=AJ5579-0.01,1,0)</f>
        <v/>
      </c>
      <c r="AR5579">
        <f>IF(R5579&gt;=AK5579-0.01,1,0)</f>
        <v/>
      </c>
      <c r="AS5579">
        <f>IF(S5579&gt;=AL5579-0.01,1,0)</f>
        <v/>
      </c>
      <c r="AT5579">
        <f>IF(T5579&gt;=AM5579-0.01,1,0)</f>
        <v/>
      </c>
      <c r="AU5579">
        <f>IF(U5579&gt;=AN5579-0.01,1,0)</f>
        <v/>
      </c>
      <c r="AV5579">
        <f>IF(V5579&gt;=AO5579-0.01,1,0)</f>
        <v/>
      </c>
      <c r="AW5579">
        <f>IF(W5579&gt;=AP5579-0.01,1,0)</f>
        <v/>
      </c>
      <c r="AX5579">
        <f>AQ5579*AR5579*AS5579*AT5579*AU5579*AV5579*AW5579</f>
        <v/>
      </c>
    </row>
    <row r="5580">
      <c r="A5580" t="inlineStr"/>
      <c r="B5580">
        <f>Assumptions!$B$60</f>
        <v/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0</v>
      </c>
      <c r="I5580" t="n">
        <v>0</v>
      </c>
      <c r="J5580">
        <f>(1-C5580)*Assumptions!$B$41+(1-D5580)*Assumptions!$B$33+(1-E5580)*Assumptions!$B$32+(1-F5580)*Assumptions!$B$31+(1-G5580)*Assumptions!$B$30+(1-H5580)*Assumptions!$B$29+(1-I5580)*Assumptions!$B$28</f>
        <v/>
      </c>
      <c r="K5580">
        <f>C5580*$J$457+D5580*$F$457+E5580*$G$457+F5580*Assumptions!$B$14+G5580*Assumptions!$B$13+H5580*Assumptions!$B$12+I5580*Assumptions!$B$11+$O$457+$S$457+Assumptions!$B$9</f>
        <v/>
      </c>
      <c r="L5580">
        <f>B5580-J5580</f>
        <v/>
      </c>
      <c r="M5580">
        <f>IF(K5580&gt;0,IF(L5580/K5580&gt;=Assumptions!$B$37,1,0),0)</f>
        <v/>
      </c>
      <c r="N5580">
        <f>K5580+M5580*Assumptions!$B$153</f>
        <v/>
      </c>
      <c r="O5580">
        <f>L5580+M5580*Assumptions!$B$153*Assumptions!$B$37</f>
        <v/>
      </c>
      <c r="P5580">
        <f>IF(N5580&gt;0,O5580/N5580,0)</f>
        <v/>
      </c>
      <c r="Q5580">
        <f>IF(C5580=1,P5580*$J$457,Assumptions!$B$41)</f>
        <v/>
      </c>
      <c r="R5580">
        <f>IF(D5580=1,P5580*$F$457,Assumptions!$B$33)</f>
        <v/>
      </c>
      <c r="S5580">
        <f>IF(E5580=1,P5580*$G$457,Assumptions!$B$32)</f>
        <v/>
      </c>
      <c r="T5580">
        <f>IF(F5580=1,P5580*Assumptions!$B$14,Assumptions!$B$31)</f>
        <v/>
      </c>
      <c r="U5580">
        <f>IF(G5580=1,P5580*Assumptions!$B$13,Assumptions!$B$30)</f>
        <v/>
      </c>
      <c r="V5580">
        <f>IF(H5580=1,P5580*Assumptions!$B$12,Assumptions!$B$29)</f>
        <v/>
      </c>
      <c r="W5580">
        <f>IF(I5580=1,P5580*Assumptions!$B$11,Assumptions!$B$28)</f>
        <v/>
      </c>
      <c r="X5580">
        <f>P5580*($O$457+$S$457)</f>
        <v/>
      </c>
      <c r="Y5580">
        <f>P5580*Assumptions!$B$9</f>
        <v/>
      </c>
      <c r="Z5580">
        <f>IF(M5580=1,(P5580-Assumptions!$B$37)*Assumptions!$B$153,0)</f>
        <v/>
      </c>
      <c r="AA5580">
        <f>Q5580+R5580+S5580+T5580+U5580+V5580+W5580+X5580+Y5580+Z5580</f>
        <v/>
      </c>
      <c r="AB5580" t="n">
        <v>68</v>
      </c>
      <c r="AC5580" t="n">
        <v>4</v>
      </c>
      <c r="AD5580" t="n">
        <v>100</v>
      </c>
      <c r="AE5580" t="n">
        <v>84</v>
      </c>
      <c r="AF5580" t="n">
        <v>76</v>
      </c>
      <c r="AG5580" t="n">
        <v>64</v>
      </c>
      <c r="AH5580" t="n">
        <v>70</v>
      </c>
      <c r="AI5580" t="n">
        <v>69</v>
      </c>
      <c r="AJ5580">
        <f>INDEX($Q$5512:$Q$5639,AC5580+1)</f>
        <v/>
      </c>
      <c r="AK5580">
        <f>INDEX($R$5512:$R$5639,AD5580+1)</f>
        <v/>
      </c>
      <c r="AL5580">
        <f>INDEX($S$5512:$S$5639,AE5580+1)</f>
        <v/>
      </c>
      <c r="AM5580">
        <f>INDEX($T$5512:$T$5639,AF5580+1)</f>
        <v/>
      </c>
      <c r="AN5580">
        <f>INDEX($U$5512:$U$5639,AG5580+1)</f>
        <v/>
      </c>
      <c r="AO5580">
        <f>INDEX($V$5512:$V$5639,AH5580+1)</f>
        <v/>
      </c>
      <c r="AP5580">
        <f>INDEX($W$5512:$W$5639,AI5580+1)</f>
        <v/>
      </c>
      <c r="AQ5580">
        <f>IF(Q5580&gt;=AJ5580-0.01,1,0)</f>
        <v/>
      </c>
      <c r="AR5580">
        <f>IF(R5580&gt;=AK5580-0.01,1,0)</f>
        <v/>
      </c>
      <c r="AS5580">
        <f>IF(S5580&gt;=AL5580-0.01,1,0)</f>
        <v/>
      </c>
      <c r="AT5580">
        <f>IF(T5580&gt;=AM5580-0.01,1,0)</f>
        <v/>
      </c>
      <c r="AU5580">
        <f>IF(U5580&gt;=AN5580-0.01,1,0)</f>
        <v/>
      </c>
      <c r="AV5580">
        <f>IF(V5580&gt;=AO5580-0.01,1,0)</f>
        <v/>
      </c>
      <c r="AW5580">
        <f>IF(W5580&gt;=AP5580-0.01,1,0)</f>
        <v/>
      </c>
      <c r="AX5580">
        <f>AQ5580*AR5580*AS5580*AT5580*AU5580*AV5580*AW5580</f>
        <v/>
      </c>
    </row>
    <row r="5581">
      <c r="A5581" t="inlineStr"/>
      <c r="B5581">
        <f>Assumptions!$B$60</f>
        <v/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0</v>
      </c>
      <c r="I5581" t="n">
        <v>1</v>
      </c>
      <c r="J5581">
        <f>(1-C5581)*Assumptions!$B$41+(1-D5581)*Assumptions!$B$33+(1-E5581)*Assumptions!$B$32+(1-F5581)*Assumptions!$B$31+(1-G5581)*Assumptions!$B$30+(1-H5581)*Assumptions!$B$29+(1-I5581)*Assumptions!$B$28</f>
        <v/>
      </c>
      <c r="K5581">
        <f>C5581*$J$457+D5581*$F$457+E5581*$G$457+F5581*Assumptions!$B$14+G5581*Assumptions!$B$13+H5581*Assumptions!$B$12+I5581*Assumptions!$B$11+$O$457+$S$457+Assumptions!$B$9</f>
        <v/>
      </c>
      <c r="L5581">
        <f>B5581-J5581</f>
        <v/>
      </c>
      <c r="M5581">
        <f>IF(K5581&gt;0,IF(L5581/K5581&gt;=Assumptions!$B$37,1,0),0)</f>
        <v/>
      </c>
      <c r="N5581">
        <f>K5581+M5581*Assumptions!$B$153</f>
        <v/>
      </c>
      <c r="O5581">
        <f>L5581+M5581*Assumptions!$B$153*Assumptions!$B$37</f>
        <v/>
      </c>
      <c r="P5581">
        <f>IF(N5581&gt;0,O5581/N5581,0)</f>
        <v/>
      </c>
      <c r="Q5581">
        <f>IF(C5581=1,P5581*$J$457,Assumptions!$B$41)</f>
        <v/>
      </c>
      <c r="R5581">
        <f>IF(D5581=1,P5581*$F$457,Assumptions!$B$33)</f>
        <v/>
      </c>
      <c r="S5581">
        <f>IF(E5581=1,P5581*$G$457,Assumptions!$B$32)</f>
        <v/>
      </c>
      <c r="T5581">
        <f>IF(F5581=1,P5581*Assumptions!$B$14,Assumptions!$B$31)</f>
        <v/>
      </c>
      <c r="U5581">
        <f>IF(G5581=1,P5581*Assumptions!$B$13,Assumptions!$B$30)</f>
        <v/>
      </c>
      <c r="V5581">
        <f>IF(H5581=1,P5581*Assumptions!$B$12,Assumptions!$B$29)</f>
        <v/>
      </c>
      <c r="W5581">
        <f>IF(I5581=1,P5581*Assumptions!$B$11,Assumptions!$B$28)</f>
        <v/>
      </c>
      <c r="X5581">
        <f>P5581*($O$457+$S$457)</f>
        <v/>
      </c>
      <c r="Y5581">
        <f>P5581*Assumptions!$B$9</f>
        <v/>
      </c>
      <c r="Z5581">
        <f>IF(M5581=1,(P5581-Assumptions!$B$37)*Assumptions!$B$153,0)</f>
        <v/>
      </c>
      <c r="AA5581">
        <f>Q5581+R5581+S5581+T5581+U5581+V5581+W5581+X5581+Y5581+Z5581</f>
        <v/>
      </c>
      <c r="AB5581" t="n">
        <v>69</v>
      </c>
      <c r="AC5581" t="n">
        <v>5</v>
      </c>
      <c r="AD5581" t="n">
        <v>101</v>
      </c>
      <c r="AE5581" t="n">
        <v>85</v>
      </c>
      <c r="AF5581" t="n">
        <v>77</v>
      </c>
      <c r="AG5581" t="n">
        <v>65</v>
      </c>
      <c r="AH5581" t="n">
        <v>71</v>
      </c>
      <c r="AI5581" t="n">
        <v>68</v>
      </c>
      <c r="AJ5581">
        <f>INDEX($Q$5512:$Q$5639,AC5581+1)</f>
        <v/>
      </c>
      <c r="AK5581">
        <f>INDEX($R$5512:$R$5639,AD5581+1)</f>
        <v/>
      </c>
      <c r="AL5581">
        <f>INDEX($S$5512:$S$5639,AE5581+1)</f>
        <v/>
      </c>
      <c r="AM5581">
        <f>INDEX($T$5512:$T$5639,AF5581+1)</f>
        <v/>
      </c>
      <c r="AN5581">
        <f>INDEX($U$5512:$U$5639,AG5581+1)</f>
        <v/>
      </c>
      <c r="AO5581">
        <f>INDEX($V$5512:$V$5639,AH5581+1)</f>
        <v/>
      </c>
      <c r="AP5581">
        <f>INDEX($W$5512:$W$5639,AI5581+1)</f>
        <v/>
      </c>
      <c r="AQ5581">
        <f>IF(Q5581&gt;=AJ5581-0.01,1,0)</f>
        <v/>
      </c>
      <c r="AR5581">
        <f>IF(R5581&gt;=AK5581-0.01,1,0)</f>
        <v/>
      </c>
      <c r="AS5581">
        <f>IF(S5581&gt;=AL5581-0.01,1,0)</f>
        <v/>
      </c>
      <c r="AT5581">
        <f>IF(T5581&gt;=AM5581-0.01,1,0)</f>
        <v/>
      </c>
      <c r="AU5581">
        <f>IF(U5581&gt;=AN5581-0.01,1,0)</f>
        <v/>
      </c>
      <c r="AV5581">
        <f>IF(V5581&gt;=AO5581-0.01,1,0)</f>
        <v/>
      </c>
      <c r="AW5581">
        <f>IF(W5581&gt;=AP5581-0.01,1,0)</f>
        <v/>
      </c>
      <c r="AX5581">
        <f>AQ5581*AR5581*AS5581*AT5581*AU5581*AV5581*AW5581</f>
        <v/>
      </c>
    </row>
    <row r="5582">
      <c r="A5582" t="inlineStr"/>
      <c r="B5582">
        <f>Assumptions!$B$60</f>
        <v/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  <c r="I5582" t="n">
        <v>0</v>
      </c>
      <c r="J5582">
        <f>(1-C5582)*Assumptions!$B$41+(1-D5582)*Assumptions!$B$33+(1-E5582)*Assumptions!$B$32+(1-F5582)*Assumptions!$B$31+(1-G5582)*Assumptions!$B$30+(1-H5582)*Assumptions!$B$29+(1-I5582)*Assumptions!$B$28</f>
        <v/>
      </c>
      <c r="K5582">
        <f>C5582*$J$457+D5582*$F$457+E5582*$G$457+F5582*Assumptions!$B$14+G5582*Assumptions!$B$13+H5582*Assumptions!$B$12+I5582*Assumptions!$B$11+$O$457+$S$457+Assumptions!$B$9</f>
        <v/>
      </c>
      <c r="L5582">
        <f>B5582-J5582</f>
        <v/>
      </c>
      <c r="M5582">
        <f>IF(K5582&gt;0,IF(L5582/K5582&gt;=Assumptions!$B$37,1,0),0)</f>
        <v/>
      </c>
      <c r="N5582">
        <f>K5582+M5582*Assumptions!$B$153</f>
        <v/>
      </c>
      <c r="O5582">
        <f>L5582+M5582*Assumptions!$B$153*Assumptions!$B$37</f>
        <v/>
      </c>
      <c r="P5582">
        <f>IF(N5582&gt;0,O5582/N5582,0)</f>
        <v/>
      </c>
      <c r="Q5582">
        <f>IF(C5582=1,P5582*$J$457,Assumptions!$B$41)</f>
        <v/>
      </c>
      <c r="R5582">
        <f>IF(D5582=1,P5582*$F$457,Assumptions!$B$33)</f>
        <v/>
      </c>
      <c r="S5582">
        <f>IF(E5582=1,P5582*$G$457,Assumptions!$B$32)</f>
        <v/>
      </c>
      <c r="T5582">
        <f>IF(F5582=1,P5582*Assumptions!$B$14,Assumptions!$B$31)</f>
        <v/>
      </c>
      <c r="U5582">
        <f>IF(G5582=1,P5582*Assumptions!$B$13,Assumptions!$B$30)</f>
        <v/>
      </c>
      <c r="V5582">
        <f>IF(H5582=1,P5582*Assumptions!$B$12,Assumptions!$B$29)</f>
        <v/>
      </c>
      <c r="W5582">
        <f>IF(I5582=1,P5582*Assumptions!$B$11,Assumptions!$B$28)</f>
        <v/>
      </c>
      <c r="X5582">
        <f>P5582*($O$457+$S$457)</f>
        <v/>
      </c>
      <c r="Y5582">
        <f>P5582*Assumptions!$B$9</f>
        <v/>
      </c>
      <c r="Z5582">
        <f>IF(M5582=1,(P5582-Assumptions!$B$37)*Assumptions!$B$153,0)</f>
        <v/>
      </c>
      <c r="AA5582">
        <f>Q5582+R5582+S5582+T5582+U5582+V5582+W5582+X5582+Y5582+Z5582</f>
        <v/>
      </c>
      <c r="AB5582" t="n">
        <v>70</v>
      </c>
      <c r="AC5582" t="n">
        <v>6</v>
      </c>
      <c r="AD5582" t="n">
        <v>102</v>
      </c>
      <c r="AE5582" t="n">
        <v>86</v>
      </c>
      <c r="AF5582" t="n">
        <v>78</v>
      </c>
      <c r="AG5582" t="n">
        <v>66</v>
      </c>
      <c r="AH5582" t="n">
        <v>68</v>
      </c>
      <c r="AI5582" t="n">
        <v>71</v>
      </c>
      <c r="AJ5582">
        <f>INDEX($Q$5512:$Q$5639,AC5582+1)</f>
        <v/>
      </c>
      <c r="AK5582">
        <f>INDEX($R$5512:$R$5639,AD5582+1)</f>
        <v/>
      </c>
      <c r="AL5582">
        <f>INDEX($S$5512:$S$5639,AE5582+1)</f>
        <v/>
      </c>
      <c r="AM5582">
        <f>INDEX($T$5512:$T$5639,AF5582+1)</f>
        <v/>
      </c>
      <c r="AN5582">
        <f>INDEX($U$5512:$U$5639,AG5582+1)</f>
        <v/>
      </c>
      <c r="AO5582">
        <f>INDEX($V$5512:$V$5639,AH5582+1)</f>
        <v/>
      </c>
      <c r="AP5582">
        <f>INDEX($W$5512:$W$5639,AI5582+1)</f>
        <v/>
      </c>
      <c r="AQ5582">
        <f>IF(Q5582&gt;=AJ5582-0.01,1,0)</f>
        <v/>
      </c>
      <c r="AR5582">
        <f>IF(R5582&gt;=AK5582-0.01,1,0)</f>
        <v/>
      </c>
      <c r="AS5582">
        <f>IF(S5582&gt;=AL5582-0.01,1,0)</f>
        <v/>
      </c>
      <c r="AT5582">
        <f>IF(T5582&gt;=AM5582-0.01,1,0)</f>
        <v/>
      </c>
      <c r="AU5582">
        <f>IF(U5582&gt;=AN5582-0.01,1,0)</f>
        <v/>
      </c>
      <c r="AV5582">
        <f>IF(V5582&gt;=AO5582-0.01,1,0)</f>
        <v/>
      </c>
      <c r="AW5582">
        <f>IF(W5582&gt;=AP5582-0.01,1,0)</f>
        <v/>
      </c>
      <c r="AX5582">
        <f>AQ5582*AR5582*AS5582*AT5582*AU5582*AV5582*AW5582</f>
        <v/>
      </c>
    </row>
    <row r="5583">
      <c r="A5583" t="inlineStr"/>
      <c r="B5583">
        <f>Assumptions!$B$60</f>
        <v/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  <c r="I5583" t="n">
        <v>1</v>
      </c>
      <c r="J5583">
        <f>(1-C5583)*Assumptions!$B$41+(1-D5583)*Assumptions!$B$33+(1-E5583)*Assumptions!$B$32+(1-F5583)*Assumptions!$B$31+(1-G5583)*Assumptions!$B$30+(1-H5583)*Assumptions!$B$29+(1-I5583)*Assumptions!$B$28</f>
        <v/>
      </c>
      <c r="K5583">
        <f>C5583*$J$457+D5583*$F$457+E5583*$G$457+F5583*Assumptions!$B$14+G5583*Assumptions!$B$13+H5583*Assumptions!$B$12+I5583*Assumptions!$B$11+$O$457+$S$457+Assumptions!$B$9</f>
        <v/>
      </c>
      <c r="L5583">
        <f>B5583-J5583</f>
        <v/>
      </c>
      <c r="M5583">
        <f>IF(K5583&gt;0,IF(L5583/K5583&gt;=Assumptions!$B$37,1,0),0)</f>
        <v/>
      </c>
      <c r="N5583">
        <f>K5583+M5583*Assumptions!$B$153</f>
        <v/>
      </c>
      <c r="O5583">
        <f>L5583+M5583*Assumptions!$B$153*Assumptions!$B$37</f>
        <v/>
      </c>
      <c r="P5583">
        <f>IF(N5583&gt;0,O5583/N5583,0)</f>
        <v/>
      </c>
      <c r="Q5583">
        <f>IF(C5583=1,P5583*$J$457,Assumptions!$B$41)</f>
        <v/>
      </c>
      <c r="R5583">
        <f>IF(D5583=1,P5583*$F$457,Assumptions!$B$33)</f>
        <v/>
      </c>
      <c r="S5583">
        <f>IF(E5583=1,P5583*$G$457,Assumptions!$B$32)</f>
        <v/>
      </c>
      <c r="T5583">
        <f>IF(F5583=1,P5583*Assumptions!$B$14,Assumptions!$B$31)</f>
        <v/>
      </c>
      <c r="U5583">
        <f>IF(G5583=1,P5583*Assumptions!$B$13,Assumptions!$B$30)</f>
        <v/>
      </c>
      <c r="V5583">
        <f>IF(H5583=1,P5583*Assumptions!$B$12,Assumptions!$B$29)</f>
        <v/>
      </c>
      <c r="W5583">
        <f>IF(I5583=1,P5583*Assumptions!$B$11,Assumptions!$B$28)</f>
        <v/>
      </c>
      <c r="X5583">
        <f>P5583*($O$457+$S$457)</f>
        <v/>
      </c>
      <c r="Y5583">
        <f>P5583*Assumptions!$B$9</f>
        <v/>
      </c>
      <c r="Z5583">
        <f>IF(M5583=1,(P5583-Assumptions!$B$37)*Assumptions!$B$153,0)</f>
        <v/>
      </c>
      <c r="AA5583">
        <f>Q5583+R5583+S5583+T5583+U5583+V5583+W5583+X5583+Y5583+Z5583</f>
        <v/>
      </c>
      <c r="AB5583" t="n">
        <v>71</v>
      </c>
      <c r="AC5583" t="n">
        <v>7</v>
      </c>
      <c r="AD5583" t="n">
        <v>103</v>
      </c>
      <c r="AE5583" t="n">
        <v>87</v>
      </c>
      <c r="AF5583" t="n">
        <v>79</v>
      </c>
      <c r="AG5583" t="n">
        <v>67</v>
      </c>
      <c r="AH5583" t="n">
        <v>69</v>
      </c>
      <c r="AI5583" t="n">
        <v>70</v>
      </c>
      <c r="AJ5583">
        <f>INDEX($Q$5512:$Q$5639,AC5583+1)</f>
        <v/>
      </c>
      <c r="AK5583">
        <f>INDEX($R$5512:$R$5639,AD5583+1)</f>
        <v/>
      </c>
      <c r="AL5583">
        <f>INDEX($S$5512:$S$5639,AE5583+1)</f>
        <v/>
      </c>
      <c r="AM5583">
        <f>INDEX($T$5512:$T$5639,AF5583+1)</f>
        <v/>
      </c>
      <c r="AN5583">
        <f>INDEX($U$5512:$U$5639,AG5583+1)</f>
        <v/>
      </c>
      <c r="AO5583">
        <f>INDEX($V$5512:$V$5639,AH5583+1)</f>
        <v/>
      </c>
      <c r="AP5583">
        <f>INDEX($W$5512:$W$5639,AI5583+1)</f>
        <v/>
      </c>
      <c r="AQ5583">
        <f>IF(Q5583&gt;=AJ5583-0.01,1,0)</f>
        <v/>
      </c>
      <c r="AR5583">
        <f>IF(R5583&gt;=AK5583-0.01,1,0)</f>
        <v/>
      </c>
      <c r="AS5583">
        <f>IF(S5583&gt;=AL5583-0.01,1,0)</f>
        <v/>
      </c>
      <c r="AT5583">
        <f>IF(T5583&gt;=AM5583-0.01,1,0)</f>
        <v/>
      </c>
      <c r="AU5583">
        <f>IF(U5583&gt;=AN5583-0.01,1,0)</f>
        <v/>
      </c>
      <c r="AV5583">
        <f>IF(V5583&gt;=AO5583-0.01,1,0)</f>
        <v/>
      </c>
      <c r="AW5583">
        <f>IF(W5583&gt;=AP5583-0.01,1,0)</f>
        <v/>
      </c>
      <c r="AX5583">
        <f>AQ5583*AR5583*AS5583*AT5583*AU5583*AV5583*AW5583</f>
        <v/>
      </c>
    </row>
    <row r="5584">
      <c r="A5584" t="inlineStr"/>
      <c r="B5584">
        <f>Assumptions!$B$60</f>
        <v/>
      </c>
      <c r="C5584" t="n">
        <v>1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0</v>
      </c>
      <c r="J5584">
        <f>(1-C5584)*Assumptions!$B$41+(1-D5584)*Assumptions!$B$33+(1-E5584)*Assumptions!$B$32+(1-F5584)*Assumptions!$B$31+(1-G5584)*Assumptions!$B$30+(1-H5584)*Assumptions!$B$29+(1-I5584)*Assumptions!$B$28</f>
        <v/>
      </c>
      <c r="K5584">
        <f>C5584*$J$457+D5584*$F$457+E5584*$G$457+F5584*Assumptions!$B$14+G5584*Assumptions!$B$13+H5584*Assumptions!$B$12+I5584*Assumptions!$B$11+$O$457+$S$457+Assumptions!$B$9</f>
        <v/>
      </c>
      <c r="L5584">
        <f>B5584-J5584</f>
        <v/>
      </c>
      <c r="M5584">
        <f>IF(K5584&gt;0,IF(L5584/K5584&gt;=Assumptions!$B$37,1,0),0)</f>
        <v/>
      </c>
      <c r="N5584">
        <f>K5584+M5584*Assumptions!$B$153</f>
        <v/>
      </c>
      <c r="O5584">
        <f>L5584+M5584*Assumptions!$B$153*Assumptions!$B$37</f>
        <v/>
      </c>
      <c r="P5584">
        <f>IF(N5584&gt;0,O5584/N5584,0)</f>
        <v/>
      </c>
      <c r="Q5584">
        <f>IF(C5584=1,P5584*$J$457,Assumptions!$B$41)</f>
        <v/>
      </c>
      <c r="R5584">
        <f>IF(D5584=1,P5584*$F$457,Assumptions!$B$33)</f>
        <v/>
      </c>
      <c r="S5584">
        <f>IF(E5584=1,P5584*$G$457,Assumptions!$B$32)</f>
        <v/>
      </c>
      <c r="T5584">
        <f>IF(F5584=1,P5584*Assumptions!$B$14,Assumptions!$B$31)</f>
        <v/>
      </c>
      <c r="U5584">
        <f>IF(G5584=1,P5584*Assumptions!$B$13,Assumptions!$B$30)</f>
        <v/>
      </c>
      <c r="V5584">
        <f>IF(H5584=1,P5584*Assumptions!$B$12,Assumptions!$B$29)</f>
        <v/>
      </c>
      <c r="W5584">
        <f>IF(I5584=1,P5584*Assumptions!$B$11,Assumptions!$B$28)</f>
        <v/>
      </c>
      <c r="X5584">
        <f>P5584*($O$457+$S$457)</f>
        <v/>
      </c>
      <c r="Y5584">
        <f>P5584*Assumptions!$B$9</f>
        <v/>
      </c>
      <c r="Z5584">
        <f>IF(M5584=1,(P5584-Assumptions!$B$37)*Assumptions!$B$153,0)</f>
        <v/>
      </c>
      <c r="AA5584">
        <f>Q5584+R5584+S5584+T5584+U5584+V5584+W5584+X5584+Y5584+Z5584</f>
        <v/>
      </c>
      <c r="AB5584" t="n">
        <v>72</v>
      </c>
      <c r="AC5584" t="n">
        <v>8</v>
      </c>
      <c r="AD5584" t="n">
        <v>104</v>
      </c>
      <c r="AE5584" t="n">
        <v>88</v>
      </c>
      <c r="AF5584" t="n">
        <v>64</v>
      </c>
      <c r="AG5584" t="n">
        <v>76</v>
      </c>
      <c r="AH5584" t="n">
        <v>74</v>
      </c>
      <c r="AI5584" t="n">
        <v>73</v>
      </c>
      <c r="AJ5584">
        <f>INDEX($Q$5512:$Q$5639,AC5584+1)</f>
        <v/>
      </c>
      <c r="AK5584">
        <f>INDEX($R$5512:$R$5639,AD5584+1)</f>
        <v/>
      </c>
      <c r="AL5584">
        <f>INDEX($S$5512:$S$5639,AE5584+1)</f>
        <v/>
      </c>
      <c r="AM5584">
        <f>INDEX($T$5512:$T$5639,AF5584+1)</f>
        <v/>
      </c>
      <c r="AN5584">
        <f>INDEX($U$5512:$U$5639,AG5584+1)</f>
        <v/>
      </c>
      <c r="AO5584">
        <f>INDEX($V$5512:$V$5639,AH5584+1)</f>
        <v/>
      </c>
      <c r="AP5584">
        <f>INDEX($W$5512:$W$5639,AI5584+1)</f>
        <v/>
      </c>
      <c r="AQ5584">
        <f>IF(Q5584&gt;=AJ5584-0.01,1,0)</f>
        <v/>
      </c>
      <c r="AR5584">
        <f>IF(R5584&gt;=AK5584-0.01,1,0)</f>
        <v/>
      </c>
      <c r="AS5584">
        <f>IF(S5584&gt;=AL5584-0.01,1,0)</f>
        <v/>
      </c>
      <c r="AT5584">
        <f>IF(T5584&gt;=AM5584-0.01,1,0)</f>
        <v/>
      </c>
      <c r="AU5584">
        <f>IF(U5584&gt;=AN5584-0.01,1,0)</f>
        <v/>
      </c>
      <c r="AV5584">
        <f>IF(V5584&gt;=AO5584-0.01,1,0)</f>
        <v/>
      </c>
      <c r="AW5584">
        <f>IF(W5584&gt;=AP5584-0.01,1,0)</f>
        <v/>
      </c>
      <c r="AX5584">
        <f>AQ5584*AR5584*AS5584*AT5584*AU5584*AV5584*AW5584</f>
        <v/>
      </c>
    </row>
    <row r="5585">
      <c r="A5585" t="inlineStr"/>
      <c r="B5585">
        <f>Assumptions!$B$60</f>
        <v/>
      </c>
      <c r="C5585" t="n">
        <v>1</v>
      </c>
      <c r="D5585" t="n">
        <v>0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  <c r="J5585">
        <f>(1-C5585)*Assumptions!$B$41+(1-D5585)*Assumptions!$B$33+(1-E5585)*Assumptions!$B$32+(1-F5585)*Assumptions!$B$31+(1-G5585)*Assumptions!$B$30+(1-H5585)*Assumptions!$B$29+(1-I5585)*Assumptions!$B$28</f>
        <v/>
      </c>
      <c r="K5585">
        <f>C5585*$J$457+D5585*$F$457+E5585*$G$457+F5585*Assumptions!$B$14+G5585*Assumptions!$B$13+H5585*Assumptions!$B$12+I5585*Assumptions!$B$11+$O$457+$S$457+Assumptions!$B$9</f>
        <v/>
      </c>
      <c r="L5585">
        <f>B5585-J5585</f>
        <v/>
      </c>
      <c r="M5585">
        <f>IF(K5585&gt;0,IF(L5585/K5585&gt;=Assumptions!$B$37,1,0),0)</f>
        <v/>
      </c>
      <c r="N5585">
        <f>K5585+M5585*Assumptions!$B$153</f>
        <v/>
      </c>
      <c r="O5585">
        <f>L5585+M5585*Assumptions!$B$153*Assumptions!$B$37</f>
        <v/>
      </c>
      <c r="P5585">
        <f>IF(N5585&gt;0,O5585/N5585,0)</f>
        <v/>
      </c>
      <c r="Q5585">
        <f>IF(C5585=1,P5585*$J$457,Assumptions!$B$41)</f>
        <v/>
      </c>
      <c r="R5585">
        <f>IF(D5585=1,P5585*$F$457,Assumptions!$B$33)</f>
        <v/>
      </c>
      <c r="S5585">
        <f>IF(E5585=1,P5585*$G$457,Assumptions!$B$32)</f>
        <v/>
      </c>
      <c r="T5585">
        <f>IF(F5585=1,P5585*Assumptions!$B$14,Assumptions!$B$31)</f>
        <v/>
      </c>
      <c r="U5585">
        <f>IF(G5585=1,P5585*Assumptions!$B$13,Assumptions!$B$30)</f>
        <v/>
      </c>
      <c r="V5585">
        <f>IF(H5585=1,P5585*Assumptions!$B$12,Assumptions!$B$29)</f>
        <v/>
      </c>
      <c r="W5585">
        <f>IF(I5585=1,P5585*Assumptions!$B$11,Assumptions!$B$28)</f>
        <v/>
      </c>
      <c r="X5585">
        <f>P5585*($O$457+$S$457)</f>
        <v/>
      </c>
      <c r="Y5585">
        <f>P5585*Assumptions!$B$9</f>
        <v/>
      </c>
      <c r="Z5585">
        <f>IF(M5585=1,(P5585-Assumptions!$B$37)*Assumptions!$B$153,0)</f>
        <v/>
      </c>
      <c r="AA5585">
        <f>Q5585+R5585+S5585+T5585+U5585+V5585+W5585+X5585+Y5585+Z5585</f>
        <v/>
      </c>
      <c r="AB5585" t="n">
        <v>73</v>
      </c>
      <c r="AC5585" t="n">
        <v>9</v>
      </c>
      <c r="AD5585" t="n">
        <v>105</v>
      </c>
      <c r="AE5585" t="n">
        <v>89</v>
      </c>
      <c r="AF5585" t="n">
        <v>65</v>
      </c>
      <c r="AG5585" t="n">
        <v>77</v>
      </c>
      <c r="AH5585" t="n">
        <v>75</v>
      </c>
      <c r="AI5585" t="n">
        <v>72</v>
      </c>
      <c r="AJ5585">
        <f>INDEX($Q$5512:$Q$5639,AC5585+1)</f>
        <v/>
      </c>
      <c r="AK5585">
        <f>INDEX($R$5512:$R$5639,AD5585+1)</f>
        <v/>
      </c>
      <c r="AL5585">
        <f>INDEX($S$5512:$S$5639,AE5585+1)</f>
        <v/>
      </c>
      <c r="AM5585">
        <f>INDEX($T$5512:$T$5639,AF5585+1)</f>
        <v/>
      </c>
      <c r="AN5585">
        <f>INDEX($U$5512:$U$5639,AG5585+1)</f>
        <v/>
      </c>
      <c r="AO5585">
        <f>INDEX($V$5512:$V$5639,AH5585+1)</f>
        <v/>
      </c>
      <c r="AP5585">
        <f>INDEX($W$5512:$W$5639,AI5585+1)</f>
        <v/>
      </c>
      <c r="AQ5585">
        <f>IF(Q5585&gt;=AJ5585-0.01,1,0)</f>
        <v/>
      </c>
      <c r="AR5585">
        <f>IF(R5585&gt;=AK5585-0.01,1,0)</f>
        <v/>
      </c>
      <c r="AS5585">
        <f>IF(S5585&gt;=AL5585-0.01,1,0)</f>
        <v/>
      </c>
      <c r="AT5585">
        <f>IF(T5585&gt;=AM5585-0.01,1,0)</f>
        <v/>
      </c>
      <c r="AU5585">
        <f>IF(U5585&gt;=AN5585-0.01,1,0)</f>
        <v/>
      </c>
      <c r="AV5585">
        <f>IF(V5585&gt;=AO5585-0.01,1,0)</f>
        <v/>
      </c>
      <c r="AW5585">
        <f>IF(W5585&gt;=AP5585-0.01,1,0)</f>
        <v/>
      </c>
      <c r="AX5585">
        <f>AQ5585*AR5585*AS5585*AT5585*AU5585*AV5585*AW5585</f>
        <v/>
      </c>
    </row>
    <row r="5586">
      <c r="A5586" t="inlineStr"/>
      <c r="B5586">
        <f>Assumptions!$B$60</f>
        <v/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>
        <f>(1-C5586)*Assumptions!$B$41+(1-D5586)*Assumptions!$B$33+(1-E5586)*Assumptions!$B$32+(1-F5586)*Assumptions!$B$31+(1-G5586)*Assumptions!$B$30+(1-H5586)*Assumptions!$B$29+(1-I5586)*Assumptions!$B$28</f>
        <v/>
      </c>
      <c r="K5586">
        <f>C5586*$J$457+D5586*$F$457+E5586*$G$457+F5586*Assumptions!$B$14+G5586*Assumptions!$B$13+H5586*Assumptions!$B$12+I5586*Assumptions!$B$11+$O$457+$S$457+Assumptions!$B$9</f>
        <v/>
      </c>
      <c r="L5586">
        <f>B5586-J5586</f>
        <v/>
      </c>
      <c r="M5586">
        <f>IF(K5586&gt;0,IF(L5586/K5586&gt;=Assumptions!$B$37,1,0),0)</f>
        <v/>
      </c>
      <c r="N5586">
        <f>K5586+M5586*Assumptions!$B$153</f>
        <v/>
      </c>
      <c r="O5586">
        <f>L5586+M5586*Assumptions!$B$153*Assumptions!$B$37</f>
        <v/>
      </c>
      <c r="P5586">
        <f>IF(N5586&gt;0,O5586/N5586,0)</f>
        <v/>
      </c>
      <c r="Q5586">
        <f>IF(C5586=1,P5586*$J$457,Assumptions!$B$41)</f>
        <v/>
      </c>
      <c r="R5586">
        <f>IF(D5586=1,P5586*$F$457,Assumptions!$B$33)</f>
        <v/>
      </c>
      <c r="S5586">
        <f>IF(E5586=1,P5586*$G$457,Assumptions!$B$32)</f>
        <v/>
      </c>
      <c r="T5586">
        <f>IF(F5586=1,P5586*Assumptions!$B$14,Assumptions!$B$31)</f>
        <v/>
      </c>
      <c r="U5586">
        <f>IF(G5586=1,P5586*Assumptions!$B$13,Assumptions!$B$30)</f>
        <v/>
      </c>
      <c r="V5586">
        <f>IF(H5586=1,P5586*Assumptions!$B$12,Assumptions!$B$29)</f>
        <v/>
      </c>
      <c r="W5586">
        <f>IF(I5586=1,P5586*Assumptions!$B$11,Assumptions!$B$28)</f>
        <v/>
      </c>
      <c r="X5586">
        <f>P5586*($O$457+$S$457)</f>
        <v/>
      </c>
      <c r="Y5586">
        <f>P5586*Assumptions!$B$9</f>
        <v/>
      </c>
      <c r="Z5586">
        <f>IF(M5586=1,(P5586-Assumptions!$B$37)*Assumptions!$B$153,0)</f>
        <v/>
      </c>
      <c r="AA5586">
        <f>Q5586+R5586+S5586+T5586+U5586+V5586+W5586+X5586+Y5586+Z5586</f>
        <v/>
      </c>
      <c r="AB5586" t="n">
        <v>74</v>
      </c>
      <c r="AC5586" t="n">
        <v>10</v>
      </c>
      <c r="AD5586" t="n">
        <v>106</v>
      </c>
      <c r="AE5586" t="n">
        <v>90</v>
      </c>
      <c r="AF5586" t="n">
        <v>66</v>
      </c>
      <c r="AG5586" t="n">
        <v>78</v>
      </c>
      <c r="AH5586" t="n">
        <v>72</v>
      </c>
      <c r="AI5586" t="n">
        <v>75</v>
      </c>
      <c r="AJ5586">
        <f>INDEX($Q$5512:$Q$5639,AC5586+1)</f>
        <v/>
      </c>
      <c r="AK5586">
        <f>INDEX($R$5512:$R$5639,AD5586+1)</f>
        <v/>
      </c>
      <c r="AL5586">
        <f>INDEX($S$5512:$S$5639,AE5586+1)</f>
        <v/>
      </c>
      <c r="AM5586">
        <f>INDEX($T$5512:$T$5639,AF5586+1)</f>
        <v/>
      </c>
      <c r="AN5586">
        <f>INDEX($U$5512:$U$5639,AG5586+1)</f>
        <v/>
      </c>
      <c r="AO5586">
        <f>INDEX($V$5512:$V$5639,AH5586+1)</f>
        <v/>
      </c>
      <c r="AP5586">
        <f>INDEX($W$5512:$W$5639,AI5586+1)</f>
        <v/>
      </c>
      <c r="AQ5586">
        <f>IF(Q5586&gt;=AJ5586-0.01,1,0)</f>
        <v/>
      </c>
      <c r="AR5586">
        <f>IF(R5586&gt;=AK5586-0.01,1,0)</f>
        <v/>
      </c>
      <c r="AS5586">
        <f>IF(S5586&gt;=AL5586-0.01,1,0)</f>
        <v/>
      </c>
      <c r="AT5586">
        <f>IF(T5586&gt;=AM5586-0.01,1,0)</f>
        <v/>
      </c>
      <c r="AU5586">
        <f>IF(U5586&gt;=AN5586-0.01,1,0)</f>
        <v/>
      </c>
      <c r="AV5586">
        <f>IF(V5586&gt;=AO5586-0.01,1,0)</f>
        <v/>
      </c>
      <c r="AW5586">
        <f>IF(W5586&gt;=AP5586-0.01,1,0)</f>
        <v/>
      </c>
      <c r="AX5586">
        <f>AQ5586*AR5586*AS5586*AT5586*AU5586*AV5586*AW5586</f>
        <v/>
      </c>
    </row>
    <row r="5587">
      <c r="A5587" t="inlineStr"/>
      <c r="B5587">
        <f>Assumptions!$B$60</f>
        <v/>
      </c>
      <c r="C5587" t="n">
        <v>1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1</v>
      </c>
      <c r="J5587">
        <f>(1-C5587)*Assumptions!$B$41+(1-D5587)*Assumptions!$B$33+(1-E5587)*Assumptions!$B$32+(1-F5587)*Assumptions!$B$31+(1-G5587)*Assumptions!$B$30+(1-H5587)*Assumptions!$B$29+(1-I5587)*Assumptions!$B$28</f>
        <v/>
      </c>
      <c r="K5587">
        <f>C5587*$J$457+D5587*$F$457+E5587*$G$457+F5587*Assumptions!$B$14+G5587*Assumptions!$B$13+H5587*Assumptions!$B$12+I5587*Assumptions!$B$11+$O$457+$S$457+Assumptions!$B$9</f>
        <v/>
      </c>
      <c r="L5587">
        <f>B5587-J5587</f>
        <v/>
      </c>
      <c r="M5587">
        <f>IF(K5587&gt;0,IF(L5587/K5587&gt;=Assumptions!$B$37,1,0),0)</f>
        <v/>
      </c>
      <c r="N5587">
        <f>K5587+M5587*Assumptions!$B$153</f>
        <v/>
      </c>
      <c r="O5587">
        <f>L5587+M5587*Assumptions!$B$153*Assumptions!$B$37</f>
        <v/>
      </c>
      <c r="P5587">
        <f>IF(N5587&gt;0,O5587/N5587,0)</f>
        <v/>
      </c>
      <c r="Q5587">
        <f>IF(C5587=1,P5587*$J$457,Assumptions!$B$41)</f>
        <v/>
      </c>
      <c r="R5587">
        <f>IF(D5587=1,P5587*$F$457,Assumptions!$B$33)</f>
        <v/>
      </c>
      <c r="S5587">
        <f>IF(E5587=1,P5587*$G$457,Assumptions!$B$32)</f>
        <v/>
      </c>
      <c r="T5587">
        <f>IF(F5587=1,P5587*Assumptions!$B$14,Assumptions!$B$31)</f>
        <v/>
      </c>
      <c r="U5587">
        <f>IF(G5587=1,P5587*Assumptions!$B$13,Assumptions!$B$30)</f>
        <v/>
      </c>
      <c r="V5587">
        <f>IF(H5587=1,P5587*Assumptions!$B$12,Assumptions!$B$29)</f>
        <v/>
      </c>
      <c r="W5587">
        <f>IF(I5587=1,P5587*Assumptions!$B$11,Assumptions!$B$28)</f>
        <v/>
      </c>
      <c r="X5587">
        <f>P5587*($O$457+$S$457)</f>
        <v/>
      </c>
      <c r="Y5587">
        <f>P5587*Assumptions!$B$9</f>
        <v/>
      </c>
      <c r="Z5587">
        <f>IF(M5587=1,(P5587-Assumptions!$B$37)*Assumptions!$B$153,0)</f>
        <v/>
      </c>
      <c r="AA5587">
        <f>Q5587+R5587+S5587+T5587+U5587+V5587+W5587+X5587+Y5587+Z5587</f>
        <v/>
      </c>
      <c r="AB5587" t="n">
        <v>75</v>
      </c>
      <c r="AC5587" t="n">
        <v>11</v>
      </c>
      <c r="AD5587" t="n">
        <v>107</v>
      </c>
      <c r="AE5587" t="n">
        <v>91</v>
      </c>
      <c r="AF5587" t="n">
        <v>67</v>
      </c>
      <c r="AG5587" t="n">
        <v>79</v>
      </c>
      <c r="AH5587" t="n">
        <v>73</v>
      </c>
      <c r="AI5587" t="n">
        <v>74</v>
      </c>
      <c r="AJ5587">
        <f>INDEX($Q$5512:$Q$5639,AC5587+1)</f>
        <v/>
      </c>
      <c r="AK5587">
        <f>INDEX($R$5512:$R$5639,AD5587+1)</f>
        <v/>
      </c>
      <c r="AL5587">
        <f>INDEX($S$5512:$S$5639,AE5587+1)</f>
        <v/>
      </c>
      <c r="AM5587">
        <f>INDEX($T$5512:$T$5639,AF5587+1)</f>
        <v/>
      </c>
      <c r="AN5587">
        <f>INDEX($U$5512:$U$5639,AG5587+1)</f>
        <v/>
      </c>
      <c r="AO5587">
        <f>INDEX($V$5512:$V$5639,AH5587+1)</f>
        <v/>
      </c>
      <c r="AP5587">
        <f>INDEX($W$5512:$W$5639,AI5587+1)</f>
        <v/>
      </c>
      <c r="AQ5587">
        <f>IF(Q5587&gt;=AJ5587-0.01,1,0)</f>
        <v/>
      </c>
      <c r="AR5587">
        <f>IF(R5587&gt;=AK5587-0.01,1,0)</f>
        <v/>
      </c>
      <c r="AS5587">
        <f>IF(S5587&gt;=AL5587-0.01,1,0)</f>
        <v/>
      </c>
      <c r="AT5587">
        <f>IF(T5587&gt;=AM5587-0.01,1,0)</f>
        <v/>
      </c>
      <c r="AU5587">
        <f>IF(U5587&gt;=AN5587-0.01,1,0)</f>
        <v/>
      </c>
      <c r="AV5587">
        <f>IF(V5587&gt;=AO5587-0.01,1,0)</f>
        <v/>
      </c>
      <c r="AW5587">
        <f>IF(W5587&gt;=AP5587-0.01,1,0)</f>
        <v/>
      </c>
      <c r="AX5587">
        <f>AQ5587*AR5587*AS5587*AT5587*AU5587*AV5587*AW5587</f>
        <v/>
      </c>
    </row>
    <row r="5588">
      <c r="A5588" t="inlineStr"/>
      <c r="B5588">
        <f>Assumptions!$B$60</f>
        <v/>
      </c>
      <c r="C5588" t="n">
        <v>1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>
        <f>(1-C5588)*Assumptions!$B$41+(1-D5588)*Assumptions!$B$33+(1-E5588)*Assumptions!$B$32+(1-F5588)*Assumptions!$B$31+(1-G5588)*Assumptions!$B$30+(1-H5588)*Assumptions!$B$29+(1-I5588)*Assumptions!$B$28</f>
        <v/>
      </c>
      <c r="K5588">
        <f>C5588*$J$457+D5588*$F$457+E5588*$G$457+F5588*Assumptions!$B$14+G5588*Assumptions!$B$13+H5588*Assumptions!$B$12+I5588*Assumptions!$B$11+$O$457+$S$457+Assumptions!$B$9</f>
        <v/>
      </c>
      <c r="L5588">
        <f>B5588-J5588</f>
        <v/>
      </c>
      <c r="M5588">
        <f>IF(K5588&gt;0,IF(L5588/K5588&gt;=Assumptions!$B$37,1,0),0)</f>
        <v/>
      </c>
      <c r="N5588">
        <f>K5588+M5588*Assumptions!$B$153</f>
        <v/>
      </c>
      <c r="O5588">
        <f>L5588+M5588*Assumptions!$B$153*Assumptions!$B$37</f>
        <v/>
      </c>
      <c r="P5588">
        <f>IF(N5588&gt;0,O5588/N5588,0)</f>
        <v/>
      </c>
      <c r="Q5588">
        <f>IF(C5588=1,P5588*$J$457,Assumptions!$B$41)</f>
        <v/>
      </c>
      <c r="R5588">
        <f>IF(D5588=1,P5588*$F$457,Assumptions!$B$33)</f>
        <v/>
      </c>
      <c r="S5588">
        <f>IF(E5588=1,P5588*$G$457,Assumptions!$B$32)</f>
        <v/>
      </c>
      <c r="T5588">
        <f>IF(F5588=1,P5588*Assumptions!$B$14,Assumptions!$B$31)</f>
        <v/>
      </c>
      <c r="U5588">
        <f>IF(G5588=1,P5588*Assumptions!$B$13,Assumptions!$B$30)</f>
        <v/>
      </c>
      <c r="V5588">
        <f>IF(H5588=1,P5588*Assumptions!$B$12,Assumptions!$B$29)</f>
        <v/>
      </c>
      <c r="W5588">
        <f>IF(I5588=1,P5588*Assumptions!$B$11,Assumptions!$B$28)</f>
        <v/>
      </c>
      <c r="X5588">
        <f>P5588*($O$457+$S$457)</f>
        <v/>
      </c>
      <c r="Y5588">
        <f>P5588*Assumptions!$B$9</f>
        <v/>
      </c>
      <c r="Z5588">
        <f>IF(M5588=1,(P5588-Assumptions!$B$37)*Assumptions!$B$153,0)</f>
        <v/>
      </c>
      <c r="AA5588">
        <f>Q5588+R5588+S5588+T5588+U5588+V5588+W5588+X5588+Y5588+Z5588</f>
        <v/>
      </c>
      <c r="AB5588" t="n">
        <v>76</v>
      </c>
      <c r="AC5588" t="n">
        <v>12</v>
      </c>
      <c r="AD5588" t="n">
        <v>108</v>
      </c>
      <c r="AE5588" t="n">
        <v>92</v>
      </c>
      <c r="AF5588" t="n">
        <v>68</v>
      </c>
      <c r="AG5588" t="n">
        <v>72</v>
      </c>
      <c r="AH5588" t="n">
        <v>78</v>
      </c>
      <c r="AI5588" t="n">
        <v>77</v>
      </c>
      <c r="AJ5588">
        <f>INDEX($Q$5512:$Q$5639,AC5588+1)</f>
        <v/>
      </c>
      <c r="AK5588">
        <f>INDEX($R$5512:$R$5639,AD5588+1)</f>
        <v/>
      </c>
      <c r="AL5588">
        <f>INDEX($S$5512:$S$5639,AE5588+1)</f>
        <v/>
      </c>
      <c r="AM5588">
        <f>INDEX($T$5512:$T$5639,AF5588+1)</f>
        <v/>
      </c>
      <c r="AN5588">
        <f>INDEX($U$5512:$U$5639,AG5588+1)</f>
        <v/>
      </c>
      <c r="AO5588">
        <f>INDEX($V$5512:$V$5639,AH5588+1)</f>
        <v/>
      </c>
      <c r="AP5588">
        <f>INDEX($W$5512:$W$5639,AI5588+1)</f>
        <v/>
      </c>
      <c r="AQ5588">
        <f>IF(Q5588&gt;=AJ5588-0.01,1,0)</f>
        <v/>
      </c>
      <c r="AR5588">
        <f>IF(R5588&gt;=AK5588-0.01,1,0)</f>
        <v/>
      </c>
      <c r="AS5588">
        <f>IF(S5588&gt;=AL5588-0.01,1,0)</f>
        <v/>
      </c>
      <c r="AT5588">
        <f>IF(T5588&gt;=AM5588-0.01,1,0)</f>
        <v/>
      </c>
      <c r="AU5588">
        <f>IF(U5588&gt;=AN5588-0.01,1,0)</f>
        <v/>
      </c>
      <c r="AV5588">
        <f>IF(V5588&gt;=AO5588-0.01,1,0)</f>
        <v/>
      </c>
      <c r="AW5588">
        <f>IF(W5588&gt;=AP5588-0.01,1,0)</f>
        <v/>
      </c>
      <c r="AX5588">
        <f>AQ5588*AR5588*AS5588*AT5588*AU5588*AV5588*AW5588</f>
        <v/>
      </c>
    </row>
    <row r="5589">
      <c r="A5589" t="inlineStr"/>
      <c r="B5589">
        <f>Assumptions!$B$60</f>
        <v/>
      </c>
      <c r="C5589" t="n">
        <v>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1</v>
      </c>
      <c r="J5589">
        <f>(1-C5589)*Assumptions!$B$41+(1-D5589)*Assumptions!$B$33+(1-E5589)*Assumptions!$B$32+(1-F5589)*Assumptions!$B$31+(1-G5589)*Assumptions!$B$30+(1-H5589)*Assumptions!$B$29+(1-I5589)*Assumptions!$B$28</f>
        <v/>
      </c>
      <c r="K5589">
        <f>C5589*$J$457+D5589*$F$457+E5589*$G$457+F5589*Assumptions!$B$14+G5589*Assumptions!$B$13+H5589*Assumptions!$B$12+I5589*Assumptions!$B$11+$O$457+$S$457+Assumptions!$B$9</f>
        <v/>
      </c>
      <c r="L5589">
        <f>B5589-J5589</f>
        <v/>
      </c>
      <c r="M5589">
        <f>IF(K5589&gt;0,IF(L5589/K5589&gt;=Assumptions!$B$37,1,0),0)</f>
        <v/>
      </c>
      <c r="N5589">
        <f>K5589+M5589*Assumptions!$B$153</f>
        <v/>
      </c>
      <c r="O5589">
        <f>L5589+M5589*Assumptions!$B$153*Assumptions!$B$37</f>
        <v/>
      </c>
      <c r="P5589">
        <f>IF(N5589&gt;0,O5589/N5589,0)</f>
        <v/>
      </c>
      <c r="Q5589">
        <f>IF(C5589=1,P5589*$J$457,Assumptions!$B$41)</f>
        <v/>
      </c>
      <c r="R5589">
        <f>IF(D5589=1,P5589*$F$457,Assumptions!$B$33)</f>
        <v/>
      </c>
      <c r="S5589">
        <f>IF(E5589=1,P5589*$G$457,Assumptions!$B$32)</f>
        <v/>
      </c>
      <c r="T5589">
        <f>IF(F5589=1,P5589*Assumptions!$B$14,Assumptions!$B$31)</f>
        <v/>
      </c>
      <c r="U5589">
        <f>IF(G5589=1,P5589*Assumptions!$B$13,Assumptions!$B$30)</f>
        <v/>
      </c>
      <c r="V5589">
        <f>IF(H5589=1,P5589*Assumptions!$B$12,Assumptions!$B$29)</f>
        <v/>
      </c>
      <c r="W5589">
        <f>IF(I5589=1,P5589*Assumptions!$B$11,Assumptions!$B$28)</f>
        <v/>
      </c>
      <c r="X5589">
        <f>P5589*($O$457+$S$457)</f>
        <v/>
      </c>
      <c r="Y5589">
        <f>P5589*Assumptions!$B$9</f>
        <v/>
      </c>
      <c r="Z5589">
        <f>IF(M5589=1,(P5589-Assumptions!$B$37)*Assumptions!$B$153,0)</f>
        <v/>
      </c>
      <c r="AA5589">
        <f>Q5589+R5589+S5589+T5589+U5589+V5589+W5589+X5589+Y5589+Z5589</f>
        <v/>
      </c>
      <c r="AB5589" t="n">
        <v>77</v>
      </c>
      <c r="AC5589" t="n">
        <v>13</v>
      </c>
      <c r="AD5589" t="n">
        <v>109</v>
      </c>
      <c r="AE5589" t="n">
        <v>93</v>
      </c>
      <c r="AF5589" t="n">
        <v>69</v>
      </c>
      <c r="AG5589" t="n">
        <v>73</v>
      </c>
      <c r="AH5589" t="n">
        <v>79</v>
      </c>
      <c r="AI5589" t="n">
        <v>76</v>
      </c>
      <c r="AJ5589">
        <f>INDEX($Q$5512:$Q$5639,AC5589+1)</f>
        <v/>
      </c>
      <c r="AK5589">
        <f>INDEX($R$5512:$R$5639,AD5589+1)</f>
        <v/>
      </c>
      <c r="AL5589">
        <f>INDEX($S$5512:$S$5639,AE5589+1)</f>
        <v/>
      </c>
      <c r="AM5589">
        <f>INDEX($T$5512:$T$5639,AF5589+1)</f>
        <v/>
      </c>
      <c r="AN5589">
        <f>INDEX($U$5512:$U$5639,AG5589+1)</f>
        <v/>
      </c>
      <c r="AO5589">
        <f>INDEX($V$5512:$V$5639,AH5589+1)</f>
        <v/>
      </c>
      <c r="AP5589">
        <f>INDEX($W$5512:$W$5639,AI5589+1)</f>
        <v/>
      </c>
      <c r="AQ5589">
        <f>IF(Q5589&gt;=AJ5589-0.01,1,0)</f>
        <v/>
      </c>
      <c r="AR5589">
        <f>IF(R5589&gt;=AK5589-0.01,1,0)</f>
        <v/>
      </c>
      <c r="AS5589">
        <f>IF(S5589&gt;=AL5589-0.01,1,0)</f>
        <v/>
      </c>
      <c r="AT5589">
        <f>IF(T5589&gt;=AM5589-0.01,1,0)</f>
        <v/>
      </c>
      <c r="AU5589">
        <f>IF(U5589&gt;=AN5589-0.01,1,0)</f>
        <v/>
      </c>
      <c r="AV5589">
        <f>IF(V5589&gt;=AO5589-0.01,1,0)</f>
        <v/>
      </c>
      <c r="AW5589">
        <f>IF(W5589&gt;=AP5589-0.01,1,0)</f>
        <v/>
      </c>
      <c r="AX5589">
        <f>AQ5589*AR5589*AS5589*AT5589*AU5589*AV5589*AW5589</f>
        <v/>
      </c>
    </row>
    <row r="5590">
      <c r="A5590" t="inlineStr"/>
      <c r="B5590">
        <f>Assumptions!$B$60</f>
        <v/>
      </c>
      <c r="C5590" t="n">
        <v>1</v>
      </c>
      <c r="D5590" t="n">
        <v>0</v>
      </c>
      <c r="E5590" t="n">
        <v>0</v>
      </c>
      <c r="F5590" t="n">
        <v>1</v>
      </c>
      <c r="G5590" t="n">
        <v>1</v>
      </c>
      <c r="H5590" t="n">
        <v>1</v>
      </c>
      <c r="I5590" t="n">
        <v>0</v>
      </c>
      <c r="J5590">
        <f>(1-C5590)*Assumptions!$B$41+(1-D5590)*Assumptions!$B$33+(1-E5590)*Assumptions!$B$32+(1-F5590)*Assumptions!$B$31+(1-G5590)*Assumptions!$B$30+(1-H5590)*Assumptions!$B$29+(1-I5590)*Assumptions!$B$28</f>
        <v/>
      </c>
      <c r="K5590">
        <f>C5590*$J$457+D5590*$F$457+E5590*$G$457+F5590*Assumptions!$B$14+G5590*Assumptions!$B$13+H5590*Assumptions!$B$12+I5590*Assumptions!$B$11+$O$457+$S$457+Assumptions!$B$9</f>
        <v/>
      </c>
      <c r="L5590">
        <f>B5590-J5590</f>
        <v/>
      </c>
      <c r="M5590">
        <f>IF(K5590&gt;0,IF(L5590/K5590&gt;=Assumptions!$B$37,1,0),0)</f>
        <v/>
      </c>
      <c r="N5590">
        <f>K5590+M5590*Assumptions!$B$153</f>
        <v/>
      </c>
      <c r="O5590">
        <f>L5590+M5590*Assumptions!$B$153*Assumptions!$B$37</f>
        <v/>
      </c>
      <c r="P5590">
        <f>IF(N5590&gt;0,O5590/N5590,0)</f>
        <v/>
      </c>
      <c r="Q5590">
        <f>IF(C5590=1,P5590*$J$457,Assumptions!$B$41)</f>
        <v/>
      </c>
      <c r="R5590">
        <f>IF(D5590=1,P5590*$F$457,Assumptions!$B$33)</f>
        <v/>
      </c>
      <c r="S5590">
        <f>IF(E5590=1,P5590*$G$457,Assumptions!$B$32)</f>
        <v/>
      </c>
      <c r="T5590">
        <f>IF(F5590=1,P5590*Assumptions!$B$14,Assumptions!$B$31)</f>
        <v/>
      </c>
      <c r="U5590">
        <f>IF(G5590=1,P5590*Assumptions!$B$13,Assumptions!$B$30)</f>
        <v/>
      </c>
      <c r="V5590">
        <f>IF(H5590=1,P5590*Assumptions!$B$12,Assumptions!$B$29)</f>
        <v/>
      </c>
      <c r="W5590">
        <f>IF(I5590=1,P5590*Assumptions!$B$11,Assumptions!$B$28)</f>
        <v/>
      </c>
      <c r="X5590">
        <f>P5590*($O$457+$S$457)</f>
        <v/>
      </c>
      <c r="Y5590">
        <f>P5590*Assumptions!$B$9</f>
        <v/>
      </c>
      <c r="Z5590">
        <f>IF(M5590=1,(P5590-Assumptions!$B$37)*Assumptions!$B$153,0)</f>
        <v/>
      </c>
      <c r="AA5590">
        <f>Q5590+R5590+S5590+T5590+U5590+V5590+W5590+X5590+Y5590+Z5590</f>
        <v/>
      </c>
      <c r="AB5590" t="n">
        <v>78</v>
      </c>
      <c r="AC5590" t="n">
        <v>14</v>
      </c>
      <c r="AD5590" t="n">
        <v>110</v>
      </c>
      <c r="AE5590" t="n">
        <v>94</v>
      </c>
      <c r="AF5590" t="n">
        <v>70</v>
      </c>
      <c r="AG5590" t="n">
        <v>74</v>
      </c>
      <c r="AH5590" t="n">
        <v>76</v>
      </c>
      <c r="AI5590" t="n">
        <v>79</v>
      </c>
      <c r="AJ5590">
        <f>INDEX($Q$5512:$Q$5639,AC5590+1)</f>
        <v/>
      </c>
      <c r="AK5590">
        <f>INDEX($R$5512:$R$5639,AD5590+1)</f>
        <v/>
      </c>
      <c r="AL5590">
        <f>INDEX($S$5512:$S$5639,AE5590+1)</f>
        <v/>
      </c>
      <c r="AM5590">
        <f>INDEX($T$5512:$T$5639,AF5590+1)</f>
        <v/>
      </c>
      <c r="AN5590">
        <f>INDEX($U$5512:$U$5639,AG5590+1)</f>
        <v/>
      </c>
      <c r="AO5590">
        <f>INDEX($V$5512:$V$5639,AH5590+1)</f>
        <v/>
      </c>
      <c r="AP5590">
        <f>INDEX($W$5512:$W$5639,AI5590+1)</f>
        <v/>
      </c>
      <c r="AQ5590">
        <f>IF(Q5590&gt;=AJ5590-0.01,1,0)</f>
        <v/>
      </c>
      <c r="AR5590">
        <f>IF(R5590&gt;=AK5590-0.01,1,0)</f>
        <v/>
      </c>
      <c r="AS5590">
        <f>IF(S5590&gt;=AL5590-0.01,1,0)</f>
        <v/>
      </c>
      <c r="AT5590">
        <f>IF(T5590&gt;=AM5590-0.01,1,0)</f>
        <v/>
      </c>
      <c r="AU5590">
        <f>IF(U5590&gt;=AN5590-0.01,1,0)</f>
        <v/>
      </c>
      <c r="AV5590">
        <f>IF(V5590&gt;=AO5590-0.01,1,0)</f>
        <v/>
      </c>
      <c r="AW5590">
        <f>IF(W5590&gt;=AP5590-0.01,1,0)</f>
        <v/>
      </c>
      <c r="AX5590">
        <f>AQ5590*AR5590*AS5590*AT5590*AU5590*AV5590*AW5590</f>
        <v/>
      </c>
    </row>
    <row r="5591">
      <c r="A5591" t="inlineStr"/>
      <c r="B5591">
        <f>Assumptions!$B$60</f>
        <v/>
      </c>
      <c r="C5591" t="n">
        <v>1</v>
      </c>
      <c r="D5591" t="n">
        <v>0</v>
      </c>
      <c r="E5591" t="n">
        <v>0</v>
      </c>
      <c r="F5591" t="n">
        <v>1</v>
      </c>
      <c r="G5591" t="n">
        <v>1</v>
      </c>
      <c r="H5591" t="n">
        <v>1</v>
      </c>
      <c r="I5591" t="n">
        <v>1</v>
      </c>
      <c r="J5591">
        <f>(1-C5591)*Assumptions!$B$41+(1-D5591)*Assumptions!$B$33+(1-E5591)*Assumptions!$B$32+(1-F5591)*Assumptions!$B$31+(1-G5591)*Assumptions!$B$30+(1-H5591)*Assumptions!$B$29+(1-I5591)*Assumptions!$B$28</f>
        <v/>
      </c>
      <c r="K5591">
        <f>C5591*$J$457+D5591*$F$457+E5591*$G$457+F5591*Assumptions!$B$14+G5591*Assumptions!$B$13+H5591*Assumptions!$B$12+I5591*Assumptions!$B$11+$O$457+$S$457+Assumptions!$B$9</f>
        <v/>
      </c>
      <c r="L5591">
        <f>B5591-J5591</f>
        <v/>
      </c>
      <c r="M5591">
        <f>IF(K5591&gt;0,IF(L5591/K5591&gt;=Assumptions!$B$37,1,0),0)</f>
        <v/>
      </c>
      <c r="N5591">
        <f>K5591+M5591*Assumptions!$B$153</f>
        <v/>
      </c>
      <c r="O5591">
        <f>L5591+M5591*Assumptions!$B$153*Assumptions!$B$37</f>
        <v/>
      </c>
      <c r="P5591">
        <f>IF(N5591&gt;0,O5591/N5591,0)</f>
        <v/>
      </c>
      <c r="Q5591">
        <f>IF(C5591=1,P5591*$J$457,Assumptions!$B$41)</f>
        <v/>
      </c>
      <c r="R5591">
        <f>IF(D5591=1,P5591*$F$457,Assumptions!$B$33)</f>
        <v/>
      </c>
      <c r="S5591">
        <f>IF(E5591=1,P5591*$G$457,Assumptions!$B$32)</f>
        <v/>
      </c>
      <c r="T5591">
        <f>IF(F5591=1,P5591*Assumptions!$B$14,Assumptions!$B$31)</f>
        <v/>
      </c>
      <c r="U5591">
        <f>IF(G5591=1,P5591*Assumptions!$B$13,Assumptions!$B$30)</f>
        <v/>
      </c>
      <c r="V5591">
        <f>IF(H5591=1,P5591*Assumptions!$B$12,Assumptions!$B$29)</f>
        <v/>
      </c>
      <c r="W5591">
        <f>IF(I5591=1,P5591*Assumptions!$B$11,Assumptions!$B$28)</f>
        <v/>
      </c>
      <c r="X5591">
        <f>P5591*($O$457+$S$457)</f>
        <v/>
      </c>
      <c r="Y5591">
        <f>P5591*Assumptions!$B$9</f>
        <v/>
      </c>
      <c r="Z5591">
        <f>IF(M5591=1,(P5591-Assumptions!$B$37)*Assumptions!$B$153,0)</f>
        <v/>
      </c>
      <c r="AA5591">
        <f>Q5591+R5591+S5591+T5591+U5591+V5591+W5591+X5591+Y5591+Z5591</f>
        <v/>
      </c>
      <c r="AB5591" t="n">
        <v>79</v>
      </c>
      <c r="AC5591" t="n">
        <v>15</v>
      </c>
      <c r="AD5591" t="n">
        <v>111</v>
      </c>
      <c r="AE5591" t="n">
        <v>95</v>
      </c>
      <c r="AF5591" t="n">
        <v>71</v>
      </c>
      <c r="AG5591" t="n">
        <v>75</v>
      </c>
      <c r="AH5591" t="n">
        <v>77</v>
      </c>
      <c r="AI5591" t="n">
        <v>78</v>
      </c>
      <c r="AJ5591">
        <f>INDEX($Q$5512:$Q$5639,AC5591+1)</f>
        <v/>
      </c>
      <c r="AK5591">
        <f>INDEX($R$5512:$R$5639,AD5591+1)</f>
        <v/>
      </c>
      <c r="AL5591">
        <f>INDEX($S$5512:$S$5639,AE5591+1)</f>
        <v/>
      </c>
      <c r="AM5591">
        <f>INDEX($T$5512:$T$5639,AF5591+1)</f>
        <v/>
      </c>
      <c r="AN5591">
        <f>INDEX($U$5512:$U$5639,AG5591+1)</f>
        <v/>
      </c>
      <c r="AO5591">
        <f>INDEX($V$5512:$V$5639,AH5591+1)</f>
        <v/>
      </c>
      <c r="AP5591">
        <f>INDEX($W$5512:$W$5639,AI5591+1)</f>
        <v/>
      </c>
      <c r="AQ5591">
        <f>IF(Q5591&gt;=AJ5591-0.01,1,0)</f>
        <v/>
      </c>
      <c r="AR5591">
        <f>IF(R5591&gt;=AK5591-0.01,1,0)</f>
        <v/>
      </c>
      <c r="AS5591">
        <f>IF(S5591&gt;=AL5591-0.01,1,0)</f>
        <v/>
      </c>
      <c r="AT5591">
        <f>IF(T5591&gt;=AM5591-0.01,1,0)</f>
        <v/>
      </c>
      <c r="AU5591">
        <f>IF(U5591&gt;=AN5591-0.01,1,0)</f>
        <v/>
      </c>
      <c r="AV5591">
        <f>IF(V5591&gt;=AO5591-0.01,1,0)</f>
        <v/>
      </c>
      <c r="AW5591">
        <f>IF(W5591&gt;=AP5591-0.01,1,0)</f>
        <v/>
      </c>
      <c r="AX5591">
        <f>AQ5591*AR5591*AS5591*AT5591*AU5591*AV5591*AW5591</f>
        <v/>
      </c>
    </row>
    <row r="5592">
      <c r="A5592" t="inlineStr"/>
      <c r="B5592">
        <f>Assumptions!$B$60</f>
        <v/>
      </c>
      <c r="C5592" t="n">
        <v>1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0</v>
      </c>
      <c r="J5592">
        <f>(1-C5592)*Assumptions!$B$41+(1-D5592)*Assumptions!$B$33+(1-E5592)*Assumptions!$B$32+(1-F5592)*Assumptions!$B$31+(1-G5592)*Assumptions!$B$30+(1-H5592)*Assumptions!$B$29+(1-I5592)*Assumptions!$B$28</f>
        <v/>
      </c>
      <c r="K5592">
        <f>C5592*$J$457+D5592*$F$457+E5592*$G$457+F5592*Assumptions!$B$14+G5592*Assumptions!$B$13+H5592*Assumptions!$B$12+I5592*Assumptions!$B$11+$O$457+$S$457+Assumptions!$B$9</f>
        <v/>
      </c>
      <c r="L5592">
        <f>B5592-J5592</f>
        <v/>
      </c>
      <c r="M5592">
        <f>IF(K5592&gt;0,IF(L5592/K5592&gt;=Assumptions!$B$37,1,0),0)</f>
        <v/>
      </c>
      <c r="N5592">
        <f>K5592+M5592*Assumptions!$B$153</f>
        <v/>
      </c>
      <c r="O5592">
        <f>L5592+M5592*Assumptions!$B$153*Assumptions!$B$37</f>
        <v/>
      </c>
      <c r="P5592">
        <f>IF(N5592&gt;0,O5592/N5592,0)</f>
        <v/>
      </c>
      <c r="Q5592">
        <f>IF(C5592=1,P5592*$J$457,Assumptions!$B$41)</f>
        <v/>
      </c>
      <c r="R5592">
        <f>IF(D5592=1,P5592*$F$457,Assumptions!$B$33)</f>
        <v/>
      </c>
      <c r="S5592">
        <f>IF(E5592=1,P5592*$G$457,Assumptions!$B$32)</f>
        <v/>
      </c>
      <c r="T5592">
        <f>IF(F5592=1,P5592*Assumptions!$B$14,Assumptions!$B$31)</f>
        <v/>
      </c>
      <c r="U5592">
        <f>IF(G5592=1,P5592*Assumptions!$B$13,Assumptions!$B$30)</f>
        <v/>
      </c>
      <c r="V5592">
        <f>IF(H5592=1,P5592*Assumptions!$B$12,Assumptions!$B$29)</f>
        <v/>
      </c>
      <c r="W5592">
        <f>IF(I5592=1,P5592*Assumptions!$B$11,Assumptions!$B$28)</f>
        <v/>
      </c>
      <c r="X5592">
        <f>P5592*($O$457+$S$457)</f>
        <v/>
      </c>
      <c r="Y5592">
        <f>P5592*Assumptions!$B$9</f>
        <v/>
      </c>
      <c r="Z5592">
        <f>IF(M5592=1,(P5592-Assumptions!$B$37)*Assumptions!$B$153,0)</f>
        <v/>
      </c>
      <c r="AA5592">
        <f>Q5592+R5592+S5592+T5592+U5592+V5592+W5592+X5592+Y5592+Z5592</f>
        <v/>
      </c>
      <c r="AB5592" t="n">
        <v>80</v>
      </c>
      <c r="AC5592" t="n">
        <v>16</v>
      </c>
      <c r="AD5592" t="n">
        <v>112</v>
      </c>
      <c r="AE5592" t="n">
        <v>64</v>
      </c>
      <c r="AF5592" t="n">
        <v>88</v>
      </c>
      <c r="AG5592" t="n">
        <v>84</v>
      </c>
      <c r="AH5592" t="n">
        <v>82</v>
      </c>
      <c r="AI5592" t="n">
        <v>81</v>
      </c>
      <c r="AJ5592">
        <f>INDEX($Q$5512:$Q$5639,AC5592+1)</f>
        <v/>
      </c>
      <c r="AK5592">
        <f>INDEX($R$5512:$R$5639,AD5592+1)</f>
        <v/>
      </c>
      <c r="AL5592">
        <f>INDEX($S$5512:$S$5639,AE5592+1)</f>
        <v/>
      </c>
      <c r="AM5592">
        <f>INDEX($T$5512:$T$5639,AF5592+1)</f>
        <v/>
      </c>
      <c r="AN5592">
        <f>INDEX($U$5512:$U$5639,AG5592+1)</f>
        <v/>
      </c>
      <c r="AO5592">
        <f>INDEX($V$5512:$V$5639,AH5592+1)</f>
        <v/>
      </c>
      <c r="AP5592">
        <f>INDEX($W$5512:$W$5639,AI5592+1)</f>
        <v/>
      </c>
      <c r="AQ5592">
        <f>IF(Q5592&gt;=AJ5592-0.01,1,0)</f>
        <v/>
      </c>
      <c r="AR5592">
        <f>IF(R5592&gt;=AK5592-0.01,1,0)</f>
        <v/>
      </c>
      <c r="AS5592">
        <f>IF(S5592&gt;=AL5592-0.01,1,0)</f>
        <v/>
      </c>
      <c r="AT5592">
        <f>IF(T5592&gt;=AM5592-0.01,1,0)</f>
        <v/>
      </c>
      <c r="AU5592">
        <f>IF(U5592&gt;=AN5592-0.01,1,0)</f>
        <v/>
      </c>
      <c r="AV5592">
        <f>IF(V5592&gt;=AO5592-0.01,1,0)</f>
        <v/>
      </c>
      <c r="AW5592">
        <f>IF(W5592&gt;=AP5592-0.01,1,0)</f>
        <v/>
      </c>
      <c r="AX5592">
        <f>AQ5592*AR5592*AS5592*AT5592*AU5592*AV5592*AW5592</f>
        <v/>
      </c>
    </row>
    <row r="5593">
      <c r="A5593" t="inlineStr"/>
      <c r="B5593">
        <f>Assumptions!$B$60</f>
        <v/>
      </c>
      <c r="C5593" t="n">
        <v>1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1</v>
      </c>
      <c r="J5593">
        <f>(1-C5593)*Assumptions!$B$41+(1-D5593)*Assumptions!$B$33+(1-E5593)*Assumptions!$B$32+(1-F5593)*Assumptions!$B$31+(1-G5593)*Assumptions!$B$30+(1-H5593)*Assumptions!$B$29+(1-I5593)*Assumptions!$B$28</f>
        <v/>
      </c>
      <c r="K5593">
        <f>C5593*$J$457+D5593*$F$457+E5593*$G$457+F5593*Assumptions!$B$14+G5593*Assumptions!$B$13+H5593*Assumptions!$B$12+I5593*Assumptions!$B$11+$O$457+$S$457+Assumptions!$B$9</f>
        <v/>
      </c>
      <c r="L5593">
        <f>B5593-J5593</f>
        <v/>
      </c>
      <c r="M5593">
        <f>IF(K5593&gt;0,IF(L5593/K5593&gt;=Assumptions!$B$37,1,0),0)</f>
        <v/>
      </c>
      <c r="N5593">
        <f>K5593+M5593*Assumptions!$B$153</f>
        <v/>
      </c>
      <c r="O5593">
        <f>L5593+M5593*Assumptions!$B$153*Assumptions!$B$37</f>
        <v/>
      </c>
      <c r="P5593">
        <f>IF(N5593&gt;0,O5593/N5593,0)</f>
        <v/>
      </c>
      <c r="Q5593">
        <f>IF(C5593=1,P5593*$J$457,Assumptions!$B$41)</f>
        <v/>
      </c>
      <c r="R5593">
        <f>IF(D5593=1,P5593*$F$457,Assumptions!$B$33)</f>
        <v/>
      </c>
      <c r="S5593">
        <f>IF(E5593=1,P5593*$G$457,Assumptions!$B$32)</f>
        <v/>
      </c>
      <c r="T5593">
        <f>IF(F5593=1,P5593*Assumptions!$B$14,Assumptions!$B$31)</f>
        <v/>
      </c>
      <c r="U5593">
        <f>IF(G5593=1,P5593*Assumptions!$B$13,Assumptions!$B$30)</f>
        <v/>
      </c>
      <c r="V5593">
        <f>IF(H5593=1,P5593*Assumptions!$B$12,Assumptions!$B$29)</f>
        <v/>
      </c>
      <c r="W5593">
        <f>IF(I5593=1,P5593*Assumptions!$B$11,Assumptions!$B$28)</f>
        <v/>
      </c>
      <c r="X5593">
        <f>P5593*($O$457+$S$457)</f>
        <v/>
      </c>
      <c r="Y5593">
        <f>P5593*Assumptions!$B$9</f>
        <v/>
      </c>
      <c r="Z5593">
        <f>IF(M5593=1,(P5593-Assumptions!$B$37)*Assumptions!$B$153,0)</f>
        <v/>
      </c>
      <c r="AA5593">
        <f>Q5593+R5593+S5593+T5593+U5593+V5593+W5593+X5593+Y5593+Z5593</f>
        <v/>
      </c>
      <c r="AB5593" t="n">
        <v>81</v>
      </c>
      <c r="AC5593" t="n">
        <v>17</v>
      </c>
      <c r="AD5593" t="n">
        <v>113</v>
      </c>
      <c r="AE5593" t="n">
        <v>65</v>
      </c>
      <c r="AF5593" t="n">
        <v>89</v>
      </c>
      <c r="AG5593" t="n">
        <v>85</v>
      </c>
      <c r="AH5593" t="n">
        <v>83</v>
      </c>
      <c r="AI5593" t="n">
        <v>80</v>
      </c>
      <c r="AJ5593">
        <f>INDEX($Q$5512:$Q$5639,AC5593+1)</f>
        <v/>
      </c>
      <c r="AK5593">
        <f>INDEX($R$5512:$R$5639,AD5593+1)</f>
        <v/>
      </c>
      <c r="AL5593">
        <f>INDEX($S$5512:$S$5639,AE5593+1)</f>
        <v/>
      </c>
      <c r="AM5593">
        <f>INDEX($T$5512:$T$5639,AF5593+1)</f>
        <v/>
      </c>
      <c r="AN5593">
        <f>INDEX($U$5512:$U$5639,AG5593+1)</f>
        <v/>
      </c>
      <c r="AO5593">
        <f>INDEX($V$5512:$V$5639,AH5593+1)</f>
        <v/>
      </c>
      <c r="AP5593">
        <f>INDEX($W$5512:$W$5639,AI5593+1)</f>
        <v/>
      </c>
      <c r="AQ5593">
        <f>IF(Q5593&gt;=AJ5593-0.01,1,0)</f>
        <v/>
      </c>
      <c r="AR5593">
        <f>IF(R5593&gt;=AK5593-0.01,1,0)</f>
        <v/>
      </c>
      <c r="AS5593">
        <f>IF(S5593&gt;=AL5593-0.01,1,0)</f>
        <v/>
      </c>
      <c r="AT5593">
        <f>IF(T5593&gt;=AM5593-0.01,1,0)</f>
        <v/>
      </c>
      <c r="AU5593">
        <f>IF(U5593&gt;=AN5593-0.01,1,0)</f>
        <v/>
      </c>
      <c r="AV5593">
        <f>IF(V5593&gt;=AO5593-0.01,1,0)</f>
        <v/>
      </c>
      <c r="AW5593">
        <f>IF(W5593&gt;=AP5593-0.01,1,0)</f>
        <v/>
      </c>
      <c r="AX5593">
        <f>AQ5593*AR5593*AS5593*AT5593*AU5593*AV5593*AW5593</f>
        <v/>
      </c>
    </row>
    <row r="5594">
      <c r="A5594" t="inlineStr"/>
      <c r="B5594">
        <f>Assumptions!$B$60</f>
        <v/>
      </c>
      <c r="C5594" t="n">
        <v>1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  <c r="I5594" t="n">
        <v>0</v>
      </c>
      <c r="J5594">
        <f>(1-C5594)*Assumptions!$B$41+(1-D5594)*Assumptions!$B$33+(1-E5594)*Assumptions!$B$32+(1-F5594)*Assumptions!$B$31+(1-G5594)*Assumptions!$B$30+(1-H5594)*Assumptions!$B$29+(1-I5594)*Assumptions!$B$28</f>
        <v/>
      </c>
      <c r="K5594">
        <f>C5594*$J$457+D5594*$F$457+E5594*$G$457+F5594*Assumptions!$B$14+G5594*Assumptions!$B$13+H5594*Assumptions!$B$12+I5594*Assumptions!$B$11+$O$457+$S$457+Assumptions!$B$9</f>
        <v/>
      </c>
      <c r="L5594">
        <f>B5594-J5594</f>
        <v/>
      </c>
      <c r="M5594">
        <f>IF(K5594&gt;0,IF(L5594/K5594&gt;=Assumptions!$B$37,1,0),0)</f>
        <v/>
      </c>
      <c r="N5594">
        <f>K5594+M5594*Assumptions!$B$153</f>
        <v/>
      </c>
      <c r="O5594">
        <f>L5594+M5594*Assumptions!$B$153*Assumptions!$B$37</f>
        <v/>
      </c>
      <c r="P5594">
        <f>IF(N5594&gt;0,O5594/N5594,0)</f>
        <v/>
      </c>
      <c r="Q5594">
        <f>IF(C5594=1,P5594*$J$457,Assumptions!$B$41)</f>
        <v/>
      </c>
      <c r="R5594">
        <f>IF(D5594=1,P5594*$F$457,Assumptions!$B$33)</f>
        <v/>
      </c>
      <c r="S5594">
        <f>IF(E5594=1,P5594*$G$457,Assumptions!$B$32)</f>
        <v/>
      </c>
      <c r="T5594">
        <f>IF(F5594=1,P5594*Assumptions!$B$14,Assumptions!$B$31)</f>
        <v/>
      </c>
      <c r="U5594">
        <f>IF(G5594=1,P5594*Assumptions!$B$13,Assumptions!$B$30)</f>
        <v/>
      </c>
      <c r="V5594">
        <f>IF(H5594=1,P5594*Assumptions!$B$12,Assumptions!$B$29)</f>
        <v/>
      </c>
      <c r="W5594">
        <f>IF(I5594=1,P5594*Assumptions!$B$11,Assumptions!$B$28)</f>
        <v/>
      </c>
      <c r="X5594">
        <f>P5594*($O$457+$S$457)</f>
        <v/>
      </c>
      <c r="Y5594">
        <f>P5594*Assumptions!$B$9</f>
        <v/>
      </c>
      <c r="Z5594">
        <f>IF(M5594=1,(P5594-Assumptions!$B$37)*Assumptions!$B$153,0)</f>
        <v/>
      </c>
      <c r="AA5594">
        <f>Q5594+R5594+S5594+T5594+U5594+V5594+W5594+X5594+Y5594+Z5594</f>
        <v/>
      </c>
      <c r="AB5594" t="n">
        <v>82</v>
      </c>
      <c r="AC5594" t="n">
        <v>18</v>
      </c>
      <c r="AD5594" t="n">
        <v>114</v>
      </c>
      <c r="AE5594" t="n">
        <v>66</v>
      </c>
      <c r="AF5594" t="n">
        <v>90</v>
      </c>
      <c r="AG5594" t="n">
        <v>86</v>
      </c>
      <c r="AH5594" t="n">
        <v>80</v>
      </c>
      <c r="AI5594" t="n">
        <v>83</v>
      </c>
      <c r="AJ5594">
        <f>INDEX($Q$5512:$Q$5639,AC5594+1)</f>
        <v/>
      </c>
      <c r="AK5594">
        <f>INDEX($R$5512:$R$5639,AD5594+1)</f>
        <v/>
      </c>
      <c r="AL5594">
        <f>INDEX($S$5512:$S$5639,AE5594+1)</f>
        <v/>
      </c>
      <c r="AM5594">
        <f>INDEX($T$5512:$T$5639,AF5594+1)</f>
        <v/>
      </c>
      <c r="AN5594">
        <f>INDEX($U$5512:$U$5639,AG5594+1)</f>
        <v/>
      </c>
      <c r="AO5594">
        <f>INDEX($V$5512:$V$5639,AH5594+1)</f>
        <v/>
      </c>
      <c r="AP5594">
        <f>INDEX($W$5512:$W$5639,AI5594+1)</f>
        <v/>
      </c>
      <c r="AQ5594">
        <f>IF(Q5594&gt;=AJ5594-0.01,1,0)</f>
        <v/>
      </c>
      <c r="AR5594">
        <f>IF(R5594&gt;=AK5594-0.01,1,0)</f>
        <v/>
      </c>
      <c r="AS5594">
        <f>IF(S5594&gt;=AL5594-0.01,1,0)</f>
        <v/>
      </c>
      <c r="AT5594">
        <f>IF(T5594&gt;=AM5594-0.01,1,0)</f>
        <v/>
      </c>
      <c r="AU5594">
        <f>IF(U5594&gt;=AN5594-0.01,1,0)</f>
        <v/>
      </c>
      <c r="AV5594">
        <f>IF(V5594&gt;=AO5594-0.01,1,0)</f>
        <v/>
      </c>
      <c r="AW5594">
        <f>IF(W5594&gt;=AP5594-0.01,1,0)</f>
        <v/>
      </c>
      <c r="AX5594">
        <f>AQ5594*AR5594*AS5594*AT5594*AU5594*AV5594*AW5594</f>
        <v/>
      </c>
    </row>
    <row r="5595">
      <c r="A5595" t="inlineStr"/>
      <c r="B5595">
        <f>Assumptions!$B$60</f>
        <v/>
      </c>
      <c r="C5595" t="n">
        <v>1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  <c r="I5595" t="n">
        <v>1</v>
      </c>
      <c r="J5595">
        <f>(1-C5595)*Assumptions!$B$41+(1-D5595)*Assumptions!$B$33+(1-E5595)*Assumptions!$B$32+(1-F5595)*Assumptions!$B$31+(1-G5595)*Assumptions!$B$30+(1-H5595)*Assumptions!$B$29+(1-I5595)*Assumptions!$B$28</f>
        <v/>
      </c>
      <c r="K5595">
        <f>C5595*$J$457+D5595*$F$457+E5595*$G$457+F5595*Assumptions!$B$14+G5595*Assumptions!$B$13+H5595*Assumptions!$B$12+I5595*Assumptions!$B$11+$O$457+$S$457+Assumptions!$B$9</f>
        <v/>
      </c>
      <c r="L5595">
        <f>B5595-J5595</f>
        <v/>
      </c>
      <c r="M5595">
        <f>IF(K5595&gt;0,IF(L5595/K5595&gt;=Assumptions!$B$37,1,0),0)</f>
        <v/>
      </c>
      <c r="N5595">
        <f>K5595+M5595*Assumptions!$B$153</f>
        <v/>
      </c>
      <c r="O5595">
        <f>L5595+M5595*Assumptions!$B$153*Assumptions!$B$37</f>
        <v/>
      </c>
      <c r="P5595">
        <f>IF(N5595&gt;0,O5595/N5595,0)</f>
        <v/>
      </c>
      <c r="Q5595">
        <f>IF(C5595=1,P5595*$J$457,Assumptions!$B$41)</f>
        <v/>
      </c>
      <c r="R5595">
        <f>IF(D5595=1,P5595*$F$457,Assumptions!$B$33)</f>
        <v/>
      </c>
      <c r="S5595">
        <f>IF(E5595=1,P5595*$G$457,Assumptions!$B$32)</f>
        <v/>
      </c>
      <c r="T5595">
        <f>IF(F5595=1,P5595*Assumptions!$B$14,Assumptions!$B$31)</f>
        <v/>
      </c>
      <c r="U5595">
        <f>IF(G5595=1,P5595*Assumptions!$B$13,Assumptions!$B$30)</f>
        <v/>
      </c>
      <c r="V5595">
        <f>IF(H5595=1,P5595*Assumptions!$B$12,Assumptions!$B$29)</f>
        <v/>
      </c>
      <c r="W5595">
        <f>IF(I5595=1,P5595*Assumptions!$B$11,Assumptions!$B$28)</f>
        <v/>
      </c>
      <c r="X5595">
        <f>P5595*($O$457+$S$457)</f>
        <v/>
      </c>
      <c r="Y5595">
        <f>P5595*Assumptions!$B$9</f>
        <v/>
      </c>
      <c r="Z5595">
        <f>IF(M5595=1,(P5595-Assumptions!$B$37)*Assumptions!$B$153,0)</f>
        <v/>
      </c>
      <c r="AA5595">
        <f>Q5595+R5595+S5595+T5595+U5595+V5595+W5595+X5595+Y5595+Z5595</f>
        <v/>
      </c>
      <c r="AB5595" t="n">
        <v>83</v>
      </c>
      <c r="AC5595" t="n">
        <v>19</v>
      </c>
      <c r="AD5595" t="n">
        <v>115</v>
      </c>
      <c r="AE5595" t="n">
        <v>67</v>
      </c>
      <c r="AF5595" t="n">
        <v>91</v>
      </c>
      <c r="AG5595" t="n">
        <v>87</v>
      </c>
      <c r="AH5595" t="n">
        <v>81</v>
      </c>
      <c r="AI5595" t="n">
        <v>82</v>
      </c>
      <c r="AJ5595">
        <f>INDEX($Q$5512:$Q$5639,AC5595+1)</f>
        <v/>
      </c>
      <c r="AK5595">
        <f>INDEX($R$5512:$R$5639,AD5595+1)</f>
        <v/>
      </c>
      <c r="AL5595">
        <f>INDEX($S$5512:$S$5639,AE5595+1)</f>
        <v/>
      </c>
      <c r="AM5595">
        <f>INDEX($T$5512:$T$5639,AF5595+1)</f>
        <v/>
      </c>
      <c r="AN5595">
        <f>INDEX($U$5512:$U$5639,AG5595+1)</f>
        <v/>
      </c>
      <c r="AO5595">
        <f>INDEX($V$5512:$V$5639,AH5595+1)</f>
        <v/>
      </c>
      <c r="AP5595">
        <f>INDEX($W$5512:$W$5639,AI5595+1)</f>
        <v/>
      </c>
      <c r="AQ5595">
        <f>IF(Q5595&gt;=AJ5595-0.01,1,0)</f>
        <v/>
      </c>
      <c r="AR5595">
        <f>IF(R5595&gt;=AK5595-0.01,1,0)</f>
        <v/>
      </c>
      <c r="AS5595">
        <f>IF(S5595&gt;=AL5595-0.01,1,0)</f>
        <v/>
      </c>
      <c r="AT5595">
        <f>IF(T5595&gt;=AM5595-0.01,1,0)</f>
        <v/>
      </c>
      <c r="AU5595">
        <f>IF(U5595&gt;=AN5595-0.01,1,0)</f>
        <v/>
      </c>
      <c r="AV5595">
        <f>IF(V5595&gt;=AO5595-0.01,1,0)</f>
        <v/>
      </c>
      <c r="AW5595">
        <f>IF(W5595&gt;=AP5595-0.01,1,0)</f>
        <v/>
      </c>
      <c r="AX5595">
        <f>AQ5595*AR5595*AS5595*AT5595*AU5595*AV5595*AW5595</f>
        <v/>
      </c>
    </row>
    <row r="5596">
      <c r="A5596" t="inlineStr"/>
      <c r="B5596">
        <f>Assumptions!$B$60</f>
        <v/>
      </c>
      <c r="C5596" t="n">
        <v>1</v>
      </c>
      <c r="D5596" t="n">
        <v>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>
        <f>(1-C5596)*Assumptions!$B$41+(1-D5596)*Assumptions!$B$33+(1-E5596)*Assumptions!$B$32+(1-F5596)*Assumptions!$B$31+(1-G5596)*Assumptions!$B$30+(1-H5596)*Assumptions!$B$29+(1-I5596)*Assumptions!$B$28</f>
        <v/>
      </c>
      <c r="K5596">
        <f>C5596*$J$457+D5596*$F$457+E5596*$G$457+F5596*Assumptions!$B$14+G5596*Assumptions!$B$13+H5596*Assumptions!$B$12+I5596*Assumptions!$B$11+$O$457+$S$457+Assumptions!$B$9</f>
        <v/>
      </c>
      <c r="L5596">
        <f>B5596-J5596</f>
        <v/>
      </c>
      <c r="M5596">
        <f>IF(K5596&gt;0,IF(L5596/K5596&gt;=Assumptions!$B$37,1,0),0)</f>
        <v/>
      </c>
      <c r="N5596">
        <f>K5596+M5596*Assumptions!$B$153</f>
        <v/>
      </c>
      <c r="O5596">
        <f>L5596+M5596*Assumptions!$B$153*Assumptions!$B$37</f>
        <v/>
      </c>
      <c r="P5596">
        <f>IF(N5596&gt;0,O5596/N5596,0)</f>
        <v/>
      </c>
      <c r="Q5596">
        <f>IF(C5596=1,P5596*$J$457,Assumptions!$B$41)</f>
        <v/>
      </c>
      <c r="R5596">
        <f>IF(D5596=1,P5596*$F$457,Assumptions!$B$33)</f>
        <v/>
      </c>
      <c r="S5596">
        <f>IF(E5596=1,P5596*$G$457,Assumptions!$B$32)</f>
        <v/>
      </c>
      <c r="T5596">
        <f>IF(F5596=1,P5596*Assumptions!$B$14,Assumptions!$B$31)</f>
        <v/>
      </c>
      <c r="U5596">
        <f>IF(G5596=1,P5596*Assumptions!$B$13,Assumptions!$B$30)</f>
        <v/>
      </c>
      <c r="V5596">
        <f>IF(H5596=1,P5596*Assumptions!$B$12,Assumptions!$B$29)</f>
        <v/>
      </c>
      <c r="W5596">
        <f>IF(I5596=1,P5596*Assumptions!$B$11,Assumptions!$B$28)</f>
        <v/>
      </c>
      <c r="X5596">
        <f>P5596*($O$457+$S$457)</f>
        <v/>
      </c>
      <c r="Y5596">
        <f>P5596*Assumptions!$B$9</f>
        <v/>
      </c>
      <c r="Z5596">
        <f>IF(M5596=1,(P5596-Assumptions!$B$37)*Assumptions!$B$153,0)</f>
        <v/>
      </c>
      <c r="AA5596">
        <f>Q5596+R5596+S5596+T5596+U5596+V5596+W5596+X5596+Y5596+Z5596</f>
        <v/>
      </c>
      <c r="AB5596" t="n">
        <v>84</v>
      </c>
      <c r="AC5596" t="n">
        <v>20</v>
      </c>
      <c r="AD5596" t="n">
        <v>116</v>
      </c>
      <c r="AE5596" t="n">
        <v>68</v>
      </c>
      <c r="AF5596" t="n">
        <v>92</v>
      </c>
      <c r="AG5596" t="n">
        <v>80</v>
      </c>
      <c r="AH5596" t="n">
        <v>86</v>
      </c>
      <c r="AI5596" t="n">
        <v>85</v>
      </c>
      <c r="AJ5596">
        <f>INDEX($Q$5512:$Q$5639,AC5596+1)</f>
        <v/>
      </c>
      <c r="AK5596">
        <f>INDEX($R$5512:$R$5639,AD5596+1)</f>
        <v/>
      </c>
      <c r="AL5596">
        <f>INDEX($S$5512:$S$5639,AE5596+1)</f>
        <v/>
      </c>
      <c r="AM5596">
        <f>INDEX($T$5512:$T$5639,AF5596+1)</f>
        <v/>
      </c>
      <c r="AN5596">
        <f>INDEX($U$5512:$U$5639,AG5596+1)</f>
        <v/>
      </c>
      <c r="AO5596">
        <f>INDEX($V$5512:$V$5639,AH5596+1)</f>
        <v/>
      </c>
      <c r="AP5596">
        <f>INDEX($W$5512:$W$5639,AI5596+1)</f>
        <v/>
      </c>
      <c r="AQ5596">
        <f>IF(Q5596&gt;=AJ5596-0.01,1,0)</f>
        <v/>
      </c>
      <c r="AR5596">
        <f>IF(R5596&gt;=AK5596-0.01,1,0)</f>
        <v/>
      </c>
      <c r="AS5596">
        <f>IF(S5596&gt;=AL5596-0.01,1,0)</f>
        <v/>
      </c>
      <c r="AT5596">
        <f>IF(T5596&gt;=AM5596-0.01,1,0)</f>
        <v/>
      </c>
      <c r="AU5596">
        <f>IF(U5596&gt;=AN5596-0.01,1,0)</f>
        <v/>
      </c>
      <c r="AV5596">
        <f>IF(V5596&gt;=AO5596-0.01,1,0)</f>
        <v/>
      </c>
      <c r="AW5596">
        <f>IF(W5596&gt;=AP5596-0.01,1,0)</f>
        <v/>
      </c>
      <c r="AX5596">
        <f>AQ5596*AR5596*AS5596*AT5596*AU5596*AV5596*AW5596</f>
        <v/>
      </c>
    </row>
    <row r="5597">
      <c r="A5597" t="inlineStr"/>
      <c r="B5597">
        <f>Assumptions!$B$60</f>
        <v/>
      </c>
      <c r="C5597" t="n">
        <v>1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1</v>
      </c>
      <c r="J5597">
        <f>(1-C5597)*Assumptions!$B$41+(1-D5597)*Assumptions!$B$33+(1-E5597)*Assumptions!$B$32+(1-F5597)*Assumptions!$B$31+(1-G5597)*Assumptions!$B$30+(1-H5597)*Assumptions!$B$29+(1-I5597)*Assumptions!$B$28</f>
        <v/>
      </c>
      <c r="K5597">
        <f>C5597*$J$457+D5597*$F$457+E5597*$G$457+F5597*Assumptions!$B$14+G5597*Assumptions!$B$13+H5597*Assumptions!$B$12+I5597*Assumptions!$B$11+$O$457+$S$457+Assumptions!$B$9</f>
        <v/>
      </c>
      <c r="L5597">
        <f>B5597-J5597</f>
        <v/>
      </c>
      <c r="M5597">
        <f>IF(K5597&gt;0,IF(L5597/K5597&gt;=Assumptions!$B$37,1,0),0)</f>
        <v/>
      </c>
      <c r="N5597">
        <f>K5597+M5597*Assumptions!$B$153</f>
        <v/>
      </c>
      <c r="O5597">
        <f>L5597+M5597*Assumptions!$B$153*Assumptions!$B$37</f>
        <v/>
      </c>
      <c r="P5597">
        <f>IF(N5597&gt;0,O5597/N5597,0)</f>
        <v/>
      </c>
      <c r="Q5597">
        <f>IF(C5597=1,P5597*$J$457,Assumptions!$B$41)</f>
        <v/>
      </c>
      <c r="R5597">
        <f>IF(D5597=1,P5597*$F$457,Assumptions!$B$33)</f>
        <v/>
      </c>
      <c r="S5597">
        <f>IF(E5597=1,P5597*$G$457,Assumptions!$B$32)</f>
        <v/>
      </c>
      <c r="T5597">
        <f>IF(F5597=1,P5597*Assumptions!$B$14,Assumptions!$B$31)</f>
        <v/>
      </c>
      <c r="U5597">
        <f>IF(G5597=1,P5597*Assumptions!$B$13,Assumptions!$B$30)</f>
        <v/>
      </c>
      <c r="V5597">
        <f>IF(H5597=1,P5597*Assumptions!$B$12,Assumptions!$B$29)</f>
        <v/>
      </c>
      <c r="W5597">
        <f>IF(I5597=1,P5597*Assumptions!$B$11,Assumptions!$B$28)</f>
        <v/>
      </c>
      <c r="X5597">
        <f>P5597*($O$457+$S$457)</f>
        <v/>
      </c>
      <c r="Y5597">
        <f>P5597*Assumptions!$B$9</f>
        <v/>
      </c>
      <c r="Z5597">
        <f>IF(M5597=1,(P5597-Assumptions!$B$37)*Assumptions!$B$153,0)</f>
        <v/>
      </c>
      <c r="AA5597">
        <f>Q5597+R5597+S5597+T5597+U5597+V5597+W5597+X5597+Y5597+Z5597</f>
        <v/>
      </c>
      <c r="AB5597" t="n">
        <v>85</v>
      </c>
      <c r="AC5597" t="n">
        <v>21</v>
      </c>
      <c r="AD5597" t="n">
        <v>117</v>
      </c>
      <c r="AE5597" t="n">
        <v>69</v>
      </c>
      <c r="AF5597" t="n">
        <v>93</v>
      </c>
      <c r="AG5597" t="n">
        <v>81</v>
      </c>
      <c r="AH5597" t="n">
        <v>87</v>
      </c>
      <c r="AI5597" t="n">
        <v>84</v>
      </c>
      <c r="AJ5597">
        <f>INDEX($Q$5512:$Q$5639,AC5597+1)</f>
        <v/>
      </c>
      <c r="AK5597">
        <f>INDEX($R$5512:$R$5639,AD5597+1)</f>
        <v/>
      </c>
      <c r="AL5597">
        <f>INDEX($S$5512:$S$5639,AE5597+1)</f>
        <v/>
      </c>
      <c r="AM5597">
        <f>INDEX($T$5512:$T$5639,AF5597+1)</f>
        <v/>
      </c>
      <c r="AN5597">
        <f>INDEX($U$5512:$U$5639,AG5597+1)</f>
        <v/>
      </c>
      <c r="AO5597">
        <f>INDEX($V$5512:$V$5639,AH5597+1)</f>
        <v/>
      </c>
      <c r="AP5597">
        <f>INDEX($W$5512:$W$5639,AI5597+1)</f>
        <v/>
      </c>
      <c r="AQ5597">
        <f>IF(Q5597&gt;=AJ5597-0.01,1,0)</f>
        <v/>
      </c>
      <c r="AR5597">
        <f>IF(R5597&gt;=AK5597-0.01,1,0)</f>
        <v/>
      </c>
      <c r="AS5597">
        <f>IF(S5597&gt;=AL5597-0.01,1,0)</f>
        <v/>
      </c>
      <c r="AT5597">
        <f>IF(T5597&gt;=AM5597-0.01,1,0)</f>
        <v/>
      </c>
      <c r="AU5597">
        <f>IF(U5597&gt;=AN5597-0.01,1,0)</f>
        <v/>
      </c>
      <c r="AV5597">
        <f>IF(V5597&gt;=AO5597-0.01,1,0)</f>
        <v/>
      </c>
      <c r="AW5597">
        <f>IF(W5597&gt;=AP5597-0.01,1,0)</f>
        <v/>
      </c>
      <c r="AX5597">
        <f>AQ5597*AR5597*AS5597*AT5597*AU5597*AV5597*AW5597</f>
        <v/>
      </c>
    </row>
    <row r="5598">
      <c r="A5598" t="inlineStr"/>
      <c r="B5598">
        <f>Assumptions!$B$60</f>
        <v/>
      </c>
      <c r="C5598" t="n">
        <v>1</v>
      </c>
      <c r="D5598" t="n">
        <v>0</v>
      </c>
      <c r="E5598" t="n">
        <v>1</v>
      </c>
      <c r="F5598" t="n">
        <v>0</v>
      </c>
      <c r="G5598" t="n">
        <v>1</v>
      </c>
      <c r="H5598" t="n">
        <v>1</v>
      </c>
      <c r="I5598" t="n">
        <v>0</v>
      </c>
      <c r="J5598">
        <f>(1-C5598)*Assumptions!$B$41+(1-D5598)*Assumptions!$B$33+(1-E5598)*Assumptions!$B$32+(1-F5598)*Assumptions!$B$31+(1-G5598)*Assumptions!$B$30+(1-H5598)*Assumptions!$B$29+(1-I5598)*Assumptions!$B$28</f>
        <v/>
      </c>
      <c r="K5598">
        <f>C5598*$J$457+D5598*$F$457+E5598*$G$457+F5598*Assumptions!$B$14+G5598*Assumptions!$B$13+H5598*Assumptions!$B$12+I5598*Assumptions!$B$11+$O$457+$S$457+Assumptions!$B$9</f>
        <v/>
      </c>
      <c r="L5598">
        <f>B5598-J5598</f>
        <v/>
      </c>
      <c r="M5598">
        <f>IF(K5598&gt;0,IF(L5598/K5598&gt;=Assumptions!$B$37,1,0),0)</f>
        <v/>
      </c>
      <c r="N5598">
        <f>K5598+M5598*Assumptions!$B$153</f>
        <v/>
      </c>
      <c r="O5598">
        <f>L5598+M5598*Assumptions!$B$153*Assumptions!$B$37</f>
        <v/>
      </c>
      <c r="P5598">
        <f>IF(N5598&gt;0,O5598/N5598,0)</f>
        <v/>
      </c>
      <c r="Q5598">
        <f>IF(C5598=1,P5598*$J$457,Assumptions!$B$41)</f>
        <v/>
      </c>
      <c r="R5598">
        <f>IF(D5598=1,P5598*$F$457,Assumptions!$B$33)</f>
        <v/>
      </c>
      <c r="S5598">
        <f>IF(E5598=1,P5598*$G$457,Assumptions!$B$32)</f>
        <v/>
      </c>
      <c r="T5598">
        <f>IF(F5598=1,P5598*Assumptions!$B$14,Assumptions!$B$31)</f>
        <v/>
      </c>
      <c r="U5598">
        <f>IF(G5598=1,P5598*Assumptions!$B$13,Assumptions!$B$30)</f>
        <v/>
      </c>
      <c r="V5598">
        <f>IF(H5598=1,P5598*Assumptions!$B$12,Assumptions!$B$29)</f>
        <v/>
      </c>
      <c r="W5598">
        <f>IF(I5598=1,P5598*Assumptions!$B$11,Assumptions!$B$28)</f>
        <v/>
      </c>
      <c r="X5598">
        <f>P5598*($O$457+$S$457)</f>
        <v/>
      </c>
      <c r="Y5598">
        <f>P5598*Assumptions!$B$9</f>
        <v/>
      </c>
      <c r="Z5598">
        <f>IF(M5598=1,(P5598-Assumptions!$B$37)*Assumptions!$B$153,0)</f>
        <v/>
      </c>
      <c r="AA5598">
        <f>Q5598+R5598+S5598+T5598+U5598+V5598+W5598+X5598+Y5598+Z5598</f>
        <v/>
      </c>
      <c r="AB5598" t="n">
        <v>86</v>
      </c>
      <c r="AC5598" t="n">
        <v>22</v>
      </c>
      <c r="AD5598" t="n">
        <v>118</v>
      </c>
      <c r="AE5598" t="n">
        <v>70</v>
      </c>
      <c r="AF5598" t="n">
        <v>94</v>
      </c>
      <c r="AG5598" t="n">
        <v>82</v>
      </c>
      <c r="AH5598" t="n">
        <v>84</v>
      </c>
      <c r="AI5598" t="n">
        <v>87</v>
      </c>
      <c r="AJ5598">
        <f>INDEX($Q$5512:$Q$5639,AC5598+1)</f>
        <v/>
      </c>
      <c r="AK5598">
        <f>INDEX($R$5512:$R$5639,AD5598+1)</f>
        <v/>
      </c>
      <c r="AL5598">
        <f>INDEX($S$5512:$S$5639,AE5598+1)</f>
        <v/>
      </c>
      <c r="AM5598">
        <f>INDEX($T$5512:$T$5639,AF5598+1)</f>
        <v/>
      </c>
      <c r="AN5598">
        <f>INDEX($U$5512:$U$5639,AG5598+1)</f>
        <v/>
      </c>
      <c r="AO5598">
        <f>INDEX($V$5512:$V$5639,AH5598+1)</f>
        <v/>
      </c>
      <c r="AP5598">
        <f>INDEX($W$5512:$W$5639,AI5598+1)</f>
        <v/>
      </c>
      <c r="AQ5598">
        <f>IF(Q5598&gt;=AJ5598-0.01,1,0)</f>
        <v/>
      </c>
      <c r="AR5598">
        <f>IF(R5598&gt;=AK5598-0.01,1,0)</f>
        <v/>
      </c>
      <c r="AS5598">
        <f>IF(S5598&gt;=AL5598-0.01,1,0)</f>
        <v/>
      </c>
      <c r="AT5598">
        <f>IF(T5598&gt;=AM5598-0.01,1,0)</f>
        <v/>
      </c>
      <c r="AU5598">
        <f>IF(U5598&gt;=AN5598-0.01,1,0)</f>
        <v/>
      </c>
      <c r="AV5598">
        <f>IF(V5598&gt;=AO5598-0.01,1,0)</f>
        <v/>
      </c>
      <c r="AW5598">
        <f>IF(W5598&gt;=AP5598-0.01,1,0)</f>
        <v/>
      </c>
      <c r="AX5598">
        <f>AQ5598*AR5598*AS5598*AT5598*AU5598*AV5598*AW5598</f>
        <v/>
      </c>
    </row>
    <row r="5599">
      <c r="A5599" t="inlineStr"/>
      <c r="B5599">
        <f>Assumptions!$B$60</f>
        <v/>
      </c>
      <c r="C5599" t="n">
        <v>1</v>
      </c>
      <c r="D5599" t="n">
        <v>0</v>
      </c>
      <c r="E5599" t="n">
        <v>1</v>
      </c>
      <c r="F5599" t="n">
        <v>0</v>
      </c>
      <c r="G5599" t="n">
        <v>1</v>
      </c>
      <c r="H5599" t="n">
        <v>1</v>
      </c>
      <c r="I5599" t="n">
        <v>1</v>
      </c>
      <c r="J5599">
        <f>(1-C5599)*Assumptions!$B$41+(1-D5599)*Assumptions!$B$33+(1-E5599)*Assumptions!$B$32+(1-F5599)*Assumptions!$B$31+(1-G5599)*Assumptions!$B$30+(1-H5599)*Assumptions!$B$29+(1-I5599)*Assumptions!$B$28</f>
        <v/>
      </c>
      <c r="K5599">
        <f>C5599*$J$457+D5599*$F$457+E5599*$G$457+F5599*Assumptions!$B$14+G5599*Assumptions!$B$13+H5599*Assumptions!$B$12+I5599*Assumptions!$B$11+$O$457+$S$457+Assumptions!$B$9</f>
        <v/>
      </c>
      <c r="L5599">
        <f>B5599-J5599</f>
        <v/>
      </c>
      <c r="M5599">
        <f>IF(K5599&gt;0,IF(L5599/K5599&gt;=Assumptions!$B$37,1,0),0)</f>
        <v/>
      </c>
      <c r="N5599">
        <f>K5599+M5599*Assumptions!$B$153</f>
        <v/>
      </c>
      <c r="O5599">
        <f>L5599+M5599*Assumptions!$B$153*Assumptions!$B$37</f>
        <v/>
      </c>
      <c r="P5599">
        <f>IF(N5599&gt;0,O5599/N5599,0)</f>
        <v/>
      </c>
      <c r="Q5599">
        <f>IF(C5599=1,P5599*$J$457,Assumptions!$B$41)</f>
        <v/>
      </c>
      <c r="R5599">
        <f>IF(D5599=1,P5599*$F$457,Assumptions!$B$33)</f>
        <v/>
      </c>
      <c r="S5599">
        <f>IF(E5599=1,P5599*$G$457,Assumptions!$B$32)</f>
        <v/>
      </c>
      <c r="T5599">
        <f>IF(F5599=1,P5599*Assumptions!$B$14,Assumptions!$B$31)</f>
        <v/>
      </c>
      <c r="U5599">
        <f>IF(G5599=1,P5599*Assumptions!$B$13,Assumptions!$B$30)</f>
        <v/>
      </c>
      <c r="V5599">
        <f>IF(H5599=1,P5599*Assumptions!$B$12,Assumptions!$B$29)</f>
        <v/>
      </c>
      <c r="W5599">
        <f>IF(I5599=1,P5599*Assumptions!$B$11,Assumptions!$B$28)</f>
        <v/>
      </c>
      <c r="X5599">
        <f>P5599*($O$457+$S$457)</f>
        <v/>
      </c>
      <c r="Y5599">
        <f>P5599*Assumptions!$B$9</f>
        <v/>
      </c>
      <c r="Z5599">
        <f>IF(M5599=1,(P5599-Assumptions!$B$37)*Assumptions!$B$153,0)</f>
        <v/>
      </c>
      <c r="AA5599">
        <f>Q5599+R5599+S5599+T5599+U5599+V5599+W5599+X5599+Y5599+Z5599</f>
        <v/>
      </c>
      <c r="AB5599" t="n">
        <v>87</v>
      </c>
      <c r="AC5599" t="n">
        <v>23</v>
      </c>
      <c r="AD5599" t="n">
        <v>119</v>
      </c>
      <c r="AE5599" t="n">
        <v>71</v>
      </c>
      <c r="AF5599" t="n">
        <v>95</v>
      </c>
      <c r="AG5599" t="n">
        <v>83</v>
      </c>
      <c r="AH5599" t="n">
        <v>85</v>
      </c>
      <c r="AI5599" t="n">
        <v>86</v>
      </c>
      <c r="AJ5599">
        <f>INDEX($Q$5512:$Q$5639,AC5599+1)</f>
        <v/>
      </c>
      <c r="AK5599">
        <f>INDEX($R$5512:$R$5639,AD5599+1)</f>
        <v/>
      </c>
      <c r="AL5599">
        <f>INDEX($S$5512:$S$5639,AE5599+1)</f>
        <v/>
      </c>
      <c r="AM5599">
        <f>INDEX($T$5512:$T$5639,AF5599+1)</f>
        <v/>
      </c>
      <c r="AN5599">
        <f>INDEX($U$5512:$U$5639,AG5599+1)</f>
        <v/>
      </c>
      <c r="AO5599">
        <f>INDEX($V$5512:$V$5639,AH5599+1)</f>
        <v/>
      </c>
      <c r="AP5599">
        <f>INDEX($W$5512:$W$5639,AI5599+1)</f>
        <v/>
      </c>
      <c r="AQ5599">
        <f>IF(Q5599&gt;=AJ5599-0.01,1,0)</f>
        <v/>
      </c>
      <c r="AR5599">
        <f>IF(R5599&gt;=AK5599-0.01,1,0)</f>
        <v/>
      </c>
      <c r="AS5599">
        <f>IF(S5599&gt;=AL5599-0.01,1,0)</f>
        <v/>
      </c>
      <c r="AT5599">
        <f>IF(T5599&gt;=AM5599-0.01,1,0)</f>
        <v/>
      </c>
      <c r="AU5599">
        <f>IF(U5599&gt;=AN5599-0.01,1,0)</f>
        <v/>
      </c>
      <c r="AV5599">
        <f>IF(V5599&gt;=AO5599-0.01,1,0)</f>
        <v/>
      </c>
      <c r="AW5599">
        <f>IF(W5599&gt;=AP5599-0.01,1,0)</f>
        <v/>
      </c>
      <c r="AX5599">
        <f>AQ5599*AR5599*AS5599*AT5599*AU5599*AV5599*AW5599</f>
        <v/>
      </c>
    </row>
    <row r="5600">
      <c r="A5600" t="inlineStr"/>
      <c r="B5600">
        <f>Assumptions!$B$60</f>
        <v/>
      </c>
      <c r="C5600" t="n">
        <v>1</v>
      </c>
      <c r="D5600" t="n">
        <v>0</v>
      </c>
      <c r="E5600" t="n">
        <v>1</v>
      </c>
      <c r="F5600" t="n">
        <v>1</v>
      </c>
      <c r="G5600" t="n">
        <v>0</v>
      </c>
      <c r="H5600" t="n">
        <v>0</v>
      </c>
      <c r="I5600" t="n">
        <v>0</v>
      </c>
      <c r="J5600">
        <f>(1-C5600)*Assumptions!$B$41+(1-D5600)*Assumptions!$B$33+(1-E5600)*Assumptions!$B$32+(1-F5600)*Assumptions!$B$31+(1-G5600)*Assumptions!$B$30+(1-H5600)*Assumptions!$B$29+(1-I5600)*Assumptions!$B$28</f>
        <v/>
      </c>
      <c r="K5600">
        <f>C5600*$J$457+D5600*$F$457+E5600*$G$457+F5600*Assumptions!$B$14+G5600*Assumptions!$B$13+H5600*Assumptions!$B$12+I5600*Assumptions!$B$11+$O$457+$S$457+Assumptions!$B$9</f>
        <v/>
      </c>
      <c r="L5600">
        <f>B5600-J5600</f>
        <v/>
      </c>
      <c r="M5600">
        <f>IF(K5600&gt;0,IF(L5600/K5600&gt;=Assumptions!$B$37,1,0),0)</f>
        <v/>
      </c>
      <c r="N5600">
        <f>K5600+M5600*Assumptions!$B$153</f>
        <v/>
      </c>
      <c r="O5600">
        <f>L5600+M5600*Assumptions!$B$153*Assumptions!$B$37</f>
        <v/>
      </c>
      <c r="P5600">
        <f>IF(N5600&gt;0,O5600/N5600,0)</f>
        <v/>
      </c>
      <c r="Q5600">
        <f>IF(C5600=1,P5600*$J$457,Assumptions!$B$41)</f>
        <v/>
      </c>
      <c r="R5600">
        <f>IF(D5600=1,P5600*$F$457,Assumptions!$B$33)</f>
        <v/>
      </c>
      <c r="S5600">
        <f>IF(E5600=1,P5600*$G$457,Assumptions!$B$32)</f>
        <v/>
      </c>
      <c r="T5600">
        <f>IF(F5600=1,P5600*Assumptions!$B$14,Assumptions!$B$31)</f>
        <v/>
      </c>
      <c r="U5600">
        <f>IF(G5600=1,P5600*Assumptions!$B$13,Assumptions!$B$30)</f>
        <v/>
      </c>
      <c r="V5600">
        <f>IF(H5600=1,P5600*Assumptions!$B$12,Assumptions!$B$29)</f>
        <v/>
      </c>
      <c r="W5600">
        <f>IF(I5600=1,P5600*Assumptions!$B$11,Assumptions!$B$28)</f>
        <v/>
      </c>
      <c r="X5600">
        <f>P5600*($O$457+$S$457)</f>
        <v/>
      </c>
      <c r="Y5600">
        <f>P5600*Assumptions!$B$9</f>
        <v/>
      </c>
      <c r="Z5600">
        <f>IF(M5600=1,(P5600-Assumptions!$B$37)*Assumptions!$B$153,0)</f>
        <v/>
      </c>
      <c r="AA5600">
        <f>Q5600+R5600+S5600+T5600+U5600+V5600+W5600+X5600+Y5600+Z5600</f>
        <v/>
      </c>
      <c r="AB5600" t="n">
        <v>88</v>
      </c>
      <c r="AC5600" t="n">
        <v>24</v>
      </c>
      <c r="AD5600" t="n">
        <v>120</v>
      </c>
      <c r="AE5600" t="n">
        <v>72</v>
      </c>
      <c r="AF5600" t="n">
        <v>80</v>
      </c>
      <c r="AG5600" t="n">
        <v>92</v>
      </c>
      <c r="AH5600" t="n">
        <v>90</v>
      </c>
      <c r="AI5600" t="n">
        <v>89</v>
      </c>
      <c r="AJ5600">
        <f>INDEX($Q$5512:$Q$5639,AC5600+1)</f>
        <v/>
      </c>
      <c r="AK5600">
        <f>INDEX($R$5512:$R$5639,AD5600+1)</f>
        <v/>
      </c>
      <c r="AL5600">
        <f>INDEX($S$5512:$S$5639,AE5600+1)</f>
        <v/>
      </c>
      <c r="AM5600">
        <f>INDEX($T$5512:$T$5639,AF5600+1)</f>
        <v/>
      </c>
      <c r="AN5600">
        <f>INDEX($U$5512:$U$5639,AG5600+1)</f>
        <v/>
      </c>
      <c r="AO5600">
        <f>INDEX($V$5512:$V$5639,AH5600+1)</f>
        <v/>
      </c>
      <c r="AP5600">
        <f>INDEX($W$5512:$W$5639,AI5600+1)</f>
        <v/>
      </c>
      <c r="AQ5600">
        <f>IF(Q5600&gt;=AJ5600-0.01,1,0)</f>
        <v/>
      </c>
      <c r="AR5600">
        <f>IF(R5600&gt;=AK5600-0.01,1,0)</f>
        <v/>
      </c>
      <c r="AS5600">
        <f>IF(S5600&gt;=AL5600-0.01,1,0)</f>
        <v/>
      </c>
      <c r="AT5600">
        <f>IF(T5600&gt;=AM5600-0.01,1,0)</f>
        <v/>
      </c>
      <c r="AU5600">
        <f>IF(U5600&gt;=AN5600-0.01,1,0)</f>
        <v/>
      </c>
      <c r="AV5600">
        <f>IF(V5600&gt;=AO5600-0.01,1,0)</f>
        <v/>
      </c>
      <c r="AW5600">
        <f>IF(W5600&gt;=AP5600-0.01,1,0)</f>
        <v/>
      </c>
      <c r="AX5600">
        <f>AQ5600*AR5600*AS5600*AT5600*AU5600*AV5600*AW5600</f>
        <v/>
      </c>
    </row>
    <row r="5601">
      <c r="A5601" t="inlineStr"/>
      <c r="B5601">
        <f>Assumptions!$B$60</f>
        <v/>
      </c>
      <c r="C5601" t="n">
        <v>1</v>
      </c>
      <c r="D5601" t="n">
        <v>0</v>
      </c>
      <c r="E5601" t="n">
        <v>1</v>
      </c>
      <c r="F5601" t="n">
        <v>1</v>
      </c>
      <c r="G5601" t="n">
        <v>0</v>
      </c>
      <c r="H5601" t="n">
        <v>0</v>
      </c>
      <c r="I5601" t="n">
        <v>1</v>
      </c>
      <c r="J5601">
        <f>(1-C5601)*Assumptions!$B$41+(1-D5601)*Assumptions!$B$33+(1-E5601)*Assumptions!$B$32+(1-F5601)*Assumptions!$B$31+(1-G5601)*Assumptions!$B$30+(1-H5601)*Assumptions!$B$29+(1-I5601)*Assumptions!$B$28</f>
        <v/>
      </c>
      <c r="K5601">
        <f>C5601*$J$457+D5601*$F$457+E5601*$G$457+F5601*Assumptions!$B$14+G5601*Assumptions!$B$13+H5601*Assumptions!$B$12+I5601*Assumptions!$B$11+$O$457+$S$457+Assumptions!$B$9</f>
        <v/>
      </c>
      <c r="L5601">
        <f>B5601-J5601</f>
        <v/>
      </c>
      <c r="M5601">
        <f>IF(K5601&gt;0,IF(L5601/K5601&gt;=Assumptions!$B$37,1,0),0)</f>
        <v/>
      </c>
      <c r="N5601">
        <f>K5601+M5601*Assumptions!$B$153</f>
        <v/>
      </c>
      <c r="O5601">
        <f>L5601+M5601*Assumptions!$B$153*Assumptions!$B$37</f>
        <v/>
      </c>
      <c r="P5601">
        <f>IF(N5601&gt;0,O5601/N5601,0)</f>
        <v/>
      </c>
      <c r="Q5601">
        <f>IF(C5601=1,P5601*$J$457,Assumptions!$B$41)</f>
        <v/>
      </c>
      <c r="R5601">
        <f>IF(D5601=1,P5601*$F$457,Assumptions!$B$33)</f>
        <v/>
      </c>
      <c r="S5601">
        <f>IF(E5601=1,P5601*$G$457,Assumptions!$B$32)</f>
        <v/>
      </c>
      <c r="T5601">
        <f>IF(F5601=1,P5601*Assumptions!$B$14,Assumptions!$B$31)</f>
        <v/>
      </c>
      <c r="U5601">
        <f>IF(G5601=1,P5601*Assumptions!$B$13,Assumptions!$B$30)</f>
        <v/>
      </c>
      <c r="V5601">
        <f>IF(H5601=1,P5601*Assumptions!$B$12,Assumptions!$B$29)</f>
        <v/>
      </c>
      <c r="W5601">
        <f>IF(I5601=1,P5601*Assumptions!$B$11,Assumptions!$B$28)</f>
        <v/>
      </c>
      <c r="X5601">
        <f>P5601*($O$457+$S$457)</f>
        <v/>
      </c>
      <c r="Y5601">
        <f>P5601*Assumptions!$B$9</f>
        <v/>
      </c>
      <c r="Z5601">
        <f>IF(M5601=1,(P5601-Assumptions!$B$37)*Assumptions!$B$153,0)</f>
        <v/>
      </c>
      <c r="AA5601">
        <f>Q5601+R5601+S5601+T5601+U5601+V5601+W5601+X5601+Y5601+Z5601</f>
        <v/>
      </c>
      <c r="AB5601" t="n">
        <v>89</v>
      </c>
      <c r="AC5601" t="n">
        <v>25</v>
      </c>
      <c r="AD5601" t="n">
        <v>121</v>
      </c>
      <c r="AE5601" t="n">
        <v>73</v>
      </c>
      <c r="AF5601" t="n">
        <v>81</v>
      </c>
      <c r="AG5601" t="n">
        <v>93</v>
      </c>
      <c r="AH5601" t="n">
        <v>91</v>
      </c>
      <c r="AI5601" t="n">
        <v>88</v>
      </c>
      <c r="AJ5601">
        <f>INDEX($Q$5512:$Q$5639,AC5601+1)</f>
        <v/>
      </c>
      <c r="AK5601">
        <f>INDEX($R$5512:$R$5639,AD5601+1)</f>
        <v/>
      </c>
      <c r="AL5601">
        <f>INDEX($S$5512:$S$5639,AE5601+1)</f>
        <v/>
      </c>
      <c r="AM5601">
        <f>INDEX($T$5512:$T$5639,AF5601+1)</f>
        <v/>
      </c>
      <c r="AN5601">
        <f>INDEX($U$5512:$U$5639,AG5601+1)</f>
        <v/>
      </c>
      <c r="AO5601">
        <f>INDEX($V$5512:$V$5639,AH5601+1)</f>
        <v/>
      </c>
      <c r="AP5601">
        <f>INDEX($W$5512:$W$5639,AI5601+1)</f>
        <v/>
      </c>
      <c r="AQ5601">
        <f>IF(Q5601&gt;=AJ5601-0.01,1,0)</f>
        <v/>
      </c>
      <c r="AR5601">
        <f>IF(R5601&gt;=AK5601-0.01,1,0)</f>
        <v/>
      </c>
      <c r="AS5601">
        <f>IF(S5601&gt;=AL5601-0.01,1,0)</f>
        <v/>
      </c>
      <c r="AT5601">
        <f>IF(T5601&gt;=AM5601-0.01,1,0)</f>
        <v/>
      </c>
      <c r="AU5601">
        <f>IF(U5601&gt;=AN5601-0.01,1,0)</f>
        <v/>
      </c>
      <c r="AV5601">
        <f>IF(V5601&gt;=AO5601-0.01,1,0)</f>
        <v/>
      </c>
      <c r="AW5601">
        <f>IF(W5601&gt;=AP5601-0.01,1,0)</f>
        <v/>
      </c>
      <c r="AX5601">
        <f>AQ5601*AR5601*AS5601*AT5601*AU5601*AV5601*AW5601</f>
        <v/>
      </c>
    </row>
    <row r="5602">
      <c r="A5602" t="inlineStr"/>
      <c r="B5602">
        <f>Assumptions!$B$60</f>
        <v/>
      </c>
      <c r="C5602" t="n">
        <v>1</v>
      </c>
      <c r="D5602" t="n">
        <v>0</v>
      </c>
      <c r="E5602" t="n">
        <v>1</v>
      </c>
      <c r="F5602" t="n">
        <v>1</v>
      </c>
      <c r="G5602" t="n">
        <v>0</v>
      </c>
      <c r="H5602" t="n">
        <v>1</v>
      </c>
      <c r="I5602" t="n">
        <v>0</v>
      </c>
      <c r="J5602">
        <f>(1-C5602)*Assumptions!$B$41+(1-D5602)*Assumptions!$B$33+(1-E5602)*Assumptions!$B$32+(1-F5602)*Assumptions!$B$31+(1-G5602)*Assumptions!$B$30+(1-H5602)*Assumptions!$B$29+(1-I5602)*Assumptions!$B$28</f>
        <v/>
      </c>
      <c r="K5602">
        <f>C5602*$J$457+D5602*$F$457+E5602*$G$457+F5602*Assumptions!$B$14+G5602*Assumptions!$B$13+H5602*Assumptions!$B$12+I5602*Assumptions!$B$11+$O$457+$S$457+Assumptions!$B$9</f>
        <v/>
      </c>
      <c r="L5602">
        <f>B5602-J5602</f>
        <v/>
      </c>
      <c r="M5602">
        <f>IF(K5602&gt;0,IF(L5602/K5602&gt;=Assumptions!$B$37,1,0),0)</f>
        <v/>
      </c>
      <c r="N5602">
        <f>K5602+M5602*Assumptions!$B$153</f>
        <v/>
      </c>
      <c r="O5602">
        <f>L5602+M5602*Assumptions!$B$153*Assumptions!$B$37</f>
        <v/>
      </c>
      <c r="P5602">
        <f>IF(N5602&gt;0,O5602/N5602,0)</f>
        <v/>
      </c>
      <c r="Q5602">
        <f>IF(C5602=1,P5602*$J$457,Assumptions!$B$41)</f>
        <v/>
      </c>
      <c r="R5602">
        <f>IF(D5602=1,P5602*$F$457,Assumptions!$B$33)</f>
        <v/>
      </c>
      <c r="S5602">
        <f>IF(E5602=1,P5602*$G$457,Assumptions!$B$32)</f>
        <v/>
      </c>
      <c r="T5602">
        <f>IF(F5602=1,P5602*Assumptions!$B$14,Assumptions!$B$31)</f>
        <v/>
      </c>
      <c r="U5602">
        <f>IF(G5602=1,P5602*Assumptions!$B$13,Assumptions!$B$30)</f>
        <v/>
      </c>
      <c r="V5602">
        <f>IF(H5602=1,P5602*Assumptions!$B$12,Assumptions!$B$29)</f>
        <v/>
      </c>
      <c r="W5602">
        <f>IF(I5602=1,P5602*Assumptions!$B$11,Assumptions!$B$28)</f>
        <v/>
      </c>
      <c r="X5602">
        <f>P5602*($O$457+$S$457)</f>
        <v/>
      </c>
      <c r="Y5602">
        <f>P5602*Assumptions!$B$9</f>
        <v/>
      </c>
      <c r="Z5602">
        <f>IF(M5602=1,(P5602-Assumptions!$B$37)*Assumptions!$B$153,0)</f>
        <v/>
      </c>
      <c r="AA5602">
        <f>Q5602+R5602+S5602+T5602+U5602+V5602+W5602+X5602+Y5602+Z5602</f>
        <v/>
      </c>
      <c r="AB5602" t="n">
        <v>90</v>
      </c>
      <c r="AC5602" t="n">
        <v>26</v>
      </c>
      <c r="AD5602" t="n">
        <v>122</v>
      </c>
      <c r="AE5602" t="n">
        <v>74</v>
      </c>
      <c r="AF5602" t="n">
        <v>82</v>
      </c>
      <c r="AG5602" t="n">
        <v>94</v>
      </c>
      <c r="AH5602" t="n">
        <v>88</v>
      </c>
      <c r="AI5602" t="n">
        <v>91</v>
      </c>
      <c r="AJ5602">
        <f>INDEX($Q$5512:$Q$5639,AC5602+1)</f>
        <v/>
      </c>
      <c r="AK5602">
        <f>INDEX($R$5512:$R$5639,AD5602+1)</f>
        <v/>
      </c>
      <c r="AL5602">
        <f>INDEX($S$5512:$S$5639,AE5602+1)</f>
        <v/>
      </c>
      <c r="AM5602">
        <f>INDEX($T$5512:$T$5639,AF5602+1)</f>
        <v/>
      </c>
      <c r="AN5602">
        <f>INDEX($U$5512:$U$5639,AG5602+1)</f>
        <v/>
      </c>
      <c r="AO5602">
        <f>INDEX($V$5512:$V$5639,AH5602+1)</f>
        <v/>
      </c>
      <c r="AP5602">
        <f>INDEX($W$5512:$W$5639,AI5602+1)</f>
        <v/>
      </c>
      <c r="AQ5602">
        <f>IF(Q5602&gt;=AJ5602-0.01,1,0)</f>
        <v/>
      </c>
      <c r="AR5602">
        <f>IF(R5602&gt;=AK5602-0.01,1,0)</f>
        <v/>
      </c>
      <c r="AS5602">
        <f>IF(S5602&gt;=AL5602-0.01,1,0)</f>
        <v/>
      </c>
      <c r="AT5602">
        <f>IF(T5602&gt;=AM5602-0.01,1,0)</f>
        <v/>
      </c>
      <c r="AU5602">
        <f>IF(U5602&gt;=AN5602-0.01,1,0)</f>
        <v/>
      </c>
      <c r="AV5602">
        <f>IF(V5602&gt;=AO5602-0.01,1,0)</f>
        <v/>
      </c>
      <c r="AW5602">
        <f>IF(W5602&gt;=AP5602-0.01,1,0)</f>
        <v/>
      </c>
      <c r="AX5602">
        <f>AQ5602*AR5602*AS5602*AT5602*AU5602*AV5602*AW5602</f>
        <v/>
      </c>
    </row>
    <row r="5603">
      <c r="A5603" t="inlineStr"/>
      <c r="B5603">
        <f>Assumptions!$B$60</f>
        <v/>
      </c>
      <c r="C5603" t="n">
        <v>1</v>
      </c>
      <c r="D5603" t="n">
        <v>0</v>
      </c>
      <c r="E5603" t="n">
        <v>1</v>
      </c>
      <c r="F5603" t="n">
        <v>1</v>
      </c>
      <c r="G5603" t="n">
        <v>0</v>
      </c>
      <c r="H5603" t="n">
        <v>1</v>
      </c>
      <c r="I5603" t="n">
        <v>1</v>
      </c>
      <c r="J5603">
        <f>(1-C5603)*Assumptions!$B$41+(1-D5603)*Assumptions!$B$33+(1-E5603)*Assumptions!$B$32+(1-F5603)*Assumptions!$B$31+(1-G5603)*Assumptions!$B$30+(1-H5603)*Assumptions!$B$29+(1-I5603)*Assumptions!$B$28</f>
        <v/>
      </c>
      <c r="K5603">
        <f>C5603*$J$457+D5603*$F$457+E5603*$G$457+F5603*Assumptions!$B$14+G5603*Assumptions!$B$13+H5603*Assumptions!$B$12+I5603*Assumptions!$B$11+$O$457+$S$457+Assumptions!$B$9</f>
        <v/>
      </c>
      <c r="L5603">
        <f>B5603-J5603</f>
        <v/>
      </c>
      <c r="M5603">
        <f>IF(K5603&gt;0,IF(L5603/K5603&gt;=Assumptions!$B$37,1,0),0)</f>
        <v/>
      </c>
      <c r="N5603">
        <f>K5603+M5603*Assumptions!$B$153</f>
        <v/>
      </c>
      <c r="O5603">
        <f>L5603+M5603*Assumptions!$B$153*Assumptions!$B$37</f>
        <v/>
      </c>
      <c r="P5603">
        <f>IF(N5603&gt;0,O5603/N5603,0)</f>
        <v/>
      </c>
      <c r="Q5603">
        <f>IF(C5603=1,P5603*$J$457,Assumptions!$B$41)</f>
        <v/>
      </c>
      <c r="R5603">
        <f>IF(D5603=1,P5603*$F$457,Assumptions!$B$33)</f>
        <v/>
      </c>
      <c r="S5603">
        <f>IF(E5603=1,P5603*$G$457,Assumptions!$B$32)</f>
        <v/>
      </c>
      <c r="T5603">
        <f>IF(F5603=1,P5603*Assumptions!$B$14,Assumptions!$B$31)</f>
        <v/>
      </c>
      <c r="U5603">
        <f>IF(G5603=1,P5603*Assumptions!$B$13,Assumptions!$B$30)</f>
        <v/>
      </c>
      <c r="V5603">
        <f>IF(H5603=1,P5603*Assumptions!$B$12,Assumptions!$B$29)</f>
        <v/>
      </c>
      <c r="W5603">
        <f>IF(I5603=1,P5603*Assumptions!$B$11,Assumptions!$B$28)</f>
        <v/>
      </c>
      <c r="X5603">
        <f>P5603*($O$457+$S$457)</f>
        <v/>
      </c>
      <c r="Y5603">
        <f>P5603*Assumptions!$B$9</f>
        <v/>
      </c>
      <c r="Z5603">
        <f>IF(M5603=1,(P5603-Assumptions!$B$37)*Assumptions!$B$153,0)</f>
        <v/>
      </c>
      <c r="AA5603">
        <f>Q5603+R5603+S5603+T5603+U5603+V5603+W5603+X5603+Y5603+Z5603</f>
        <v/>
      </c>
      <c r="AB5603" t="n">
        <v>91</v>
      </c>
      <c r="AC5603" t="n">
        <v>27</v>
      </c>
      <c r="AD5603" t="n">
        <v>123</v>
      </c>
      <c r="AE5603" t="n">
        <v>75</v>
      </c>
      <c r="AF5603" t="n">
        <v>83</v>
      </c>
      <c r="AG5603" t="n">
        <v>95</v>
      </c>
      <c r="AH5603" t="n">
        <v>89</v>
      </c>
      <c r="AI5603" t="n">
        <v>90</v>
      </c>
      <c r="AJ5603">
        <f>INDEX($Q$5512:$Q$5639,AC5603+1)</f>
        <v/>
      </c>
      <c r="AK5603">
        <f>INDEX($R$5512:$R$5639,AD5603+1)</f>
        <v/>
      </c>
      <c r="AL5603">
        <f>INDEX($S$5512:$S$5639,AE5603+1)</f>
        <v/>
      </c>
      <c r="AM5603">
        <f>INDEX($T$5512:$T$5639,AF5603+1)</f>
        <v/>
      </c>
      <c r="AN5603">
        <f>INDEX($U$5512:$U$5639,AG5603+1)</f>
        <v/>
      </c>
      <c r="AO5603">
        <f>INDEX($V$5512:$V$5639,AH5603+1)</f>
        <v/>
      </c>
      <c r="AP5603">
        <f>INDEX($W$5512:$W$5639,AI5603+1)</f>
        <v/>
      </c>
      <c r="AQ5603">
        <f>IF(Q5603&gt;=AJ5603-0.01,1,0)</f>
        <v/>
      </c>
      <c r="AR5603">
        <f>IF(R5603&gt;=AK5603-0.01,1,0)</f>
        <v/>
      </c>
      <c r="AS5603">
        <f>IF(S5603&gt;=AL5603-0.01,1,0)</f>
        <v/>
      </c>
      <c r="AT5603">
        <f>IF(T5603&gt;=AM5603-0.01,1,0)</f>
        <v/>
      </c>
      <c r="AU5603">
        <f>IF(U5603&gt;=AN5603-0.01,1,0)</f>
        <v/>
      </c>
      <c r="AV5603">
        <f>IF(V5603&gt;=AO5603-0.01,1,0)</f>
        <v/>
      </c>
      <c r="AW5603">
        <f>IF(W5603&gt;=AP5603-0.01,1,0)</f>
        <v/>
      </c>
      <c r="AX5603">
        <f>AQ5603*AR5603*AS5603*AT5603*AU5603*AV5603*AW5603</f>
        <v/>
      </c>
    </row>
    <row r="5604">
      <c r="A5604" t="inlineStr"/>
      <c r="B5604">
        <f>Assumptions!$B$60</f>
        <v/>
      </c>
      <c r="C5604" t="n">
        <v>1</v>
      </c>
      <c r="D5604" t="n">
        <v>0</v>
      </c>
      <c r="E5604" t="n">
        <v>1</v>
      </c>
      <c r="F5604" t="n">
        <v>1</v>
      </c>
      <c r="G5604" t="n">
        <v>1</v>
      </c>
      <c r="H5604" t="n">
        <v>0</v>
      </c>
      <c r="I5604" t="n">
        <v>0</v>
      </c>
      <c r="J5604">
        <f>(1-C5604)*Assumptions!$B$41+(1-D5604)*Assumptions!$B$33+(1-E5604)*Assumptions!$B$32+(1-F5604)*Assumptions!$B$31+(1-G5604)*Assumptions!$B$30+(1-H5604)*Assumptions!$B$29+(1-I5604)*Assumptions!$B$28</f>
        <v/>
      </c>
      <c r="K5604">
        <f>C5604*$J$457+D5604*$F$457+E5604*$G$457+F5604*Assumptions!$B$14+G5604*Assumptions!$B$13+H5604*Assumptions!$B$12+I5604*Assumptions!$B$11+$O$457+$S$457+Assumptions!$B$9</f>
        <v/>
      </c>
      <c r="L5604">
        <f>B5604-J5604</f>
        <v/>
      </c>
      <c r="M5604">
        <f>IF(K5604&gt;0,IF(L5604/K5604&gt;=Assumptions!$B$37,1,0),0)</f>
        <v/>
      </c>
      <c r="N5604">
        <f>K5604+M5604*Assumptions!$B$153</f>
        <v/>
      </c>
      <c r="O5604">
        <f>L5604+M5604*Assumptions!$B$153*Assumptions!$B$37</f>
        <v/>
      </c>
      <c r="P5604">
        <f>IF(N5604&gt;0,O5604/N5604,0)</f>
        <v/>
      </c>
      <c r="Q5604">
        <f>IF(C5604=1,P5604*$J$457,Assumptions!$B$41)</f>
        <v/>
      </c>
      <c r="R5604">
        <f>IF(D5604=1,P5604*$F$457,Assumptions!$B$33)</f>
        <v/>
      </c>
      <c r="S5604">
        <f>IF(E5604=1,P5604*$G$457,Assumptions!$B$32)</f>
        <v/>
      </c>
      <c r="T5604">
        <f>IF(F5604=1,P5604*Assumptions!$B$14,Assumptions!$B$31)</f>
        <v/>
      </c>
      <c r="U5604">
        <f>IF(G5604=1,P5604*Assumptions!$B$13,Assumptions!$B$30)</f>
        <v/>
      </c>
      <c r="V5604">
        <f>IF(H5604=1,P5604*Assumptions!$B$12,Assumptions!$B$29)</f>
        <v/>
      </c>
      <c r="W5604">
        <f>IF(I5604=1,P5604*Assumptions!$B$11,Assumptions!$B$28)</f>
        <v/>
      </c>
      <c r="X5604">
        <f>P5604*($O$457+$S$457)</f>
        <v/>
      </c>
      <c r="Y5604">
        <f>P5604*Assumptions!$B$9</f>
        <v/>
      </c>
      <c r="Z5604">
        <f>IF(M5604=1,(P5604-Assumptions!$B$37)*Assumptions!$B$153,0)</f>
        <v/>
      </c>
      <c r="AA5604">
        <f>Q5604+R5604+S5604+T5604+U5604+V5604+W5604+X5604+Y5604+Z5604</f>
        <v/>
      </c>
      <c r="AB5604" t="n">
        <v>92</v>
      </c>
      <c r="AC5604" t="n">
        <v>28</v>
      </c>
      <c r="AD5604" t="n">
        <v>124</v>
      </c>
      <c r="AE5604" t="n">
        <v>76</v>
      </c>
      <c r="AF5604" t="n">
        <v>84</v>
      </c>
      <c r="AG5604" t="n">
        <v>88</v>
      </c>
      <c r="AH5604" t="n">
        <v>94</v>
      </c>
      <c r="AI5604" t="n">
        <v>93</v>
      </c>
      <c r="AJ5604">
        <f>INDEX($Q$5512:$Q$5639,AC5604+1)</f>
        <v/>
      </c>
      <c r="AK5604">
        <f>INDEX($R$5512:$R$5639,AD5604+1)</f>
        <v/>
      </c>
      <c r="AL5604">
        <f>INDEX($S$5512:$S$5639,AE5604+1)</f>
        <v/>
      </c>
      <c r="AM5604">
        <f>INDEX($T$5512:$T$5639,AF5604+1)</f>
        <v/>
      </c>
      <c r="AN5604">
        <f>INDEX($U$5512:$U$5639,AG5604+1)</f>
        <v/>
      </c>
      <c r="AO5604">
        <f>INDEX($V$5512:$V$5639,AH5604+1)</f>
        <v/>
      </c>
      <c r="AP5604">
        <f>INDEX($W$5512:$W$5639,AI5604+1)</f>
        <v/>
      </c>
      <c r="AQ5604">
        <f>IF(Q5604&gt;=AJ5604-0.01,1,0)</f>
        <v/>
      </c>
      <c r="AR5604">
        <f>IF(R5604&gt;=AK5604-0.01,1,0)</f>
        <v/>
      </c>
      <c r="AS5604">
        <f>IF(S5604&gt;=AL5604-0.01,1,0)</f>
        <v/>
      </c>
      <c r="AT5604">
        <f>IF(T5604&gt;=AM5604-0.01,1,0)</f>
        <v/>
      </c>
      <c r="AU5604">
        <f>IF(U5604&gt;=AN5604-0.01,1,0)</f>
        <v/>
      </c>
      <c r="AV5604">
        <f>IF(V5604&gt;=AO5604-0.01,1,0)</f>
        <v/>
      </c>
      <c r="AW5604">
        <f>IF(W5604&gt;=AP5604-0.01,1,0)</f>
        <v/>
      </c>
      <c r="AX5604">
        <f>AQ5604*AR5604*AS5604*AT5604*AU5604*AV5604*AW5604</f>
        <v/>
      </c>
    </row>
    <row r="5605">
      <c r="A5605" t="inlineStr"/>
      <c r="B5605">
        <f>Assumptions!$B$60</f>
        <v/>
      </c>
      <c r="C5605" t="n">
        <v>1</v>
      </c>
      <c r="D5605" t="n">
        <v>0</v>
      </c>
      <c r="E5605" t="n">
        <v>1</v>
      </c>
      <c r="F5605" t="n">
        <v>1</v>
      </c>
      <c r="G5605" t="n">
        <v>1</v>
      </c>
      <c r="H5605" t="n">
        <v>0</v>
      </c>
      <c r="I5605" t="n">
        <v>1</v>
      </c>
      <c r="J5605">
        <f>(1-C5605)*Assumptions!$B$41+(1-D5605)*Assumptions!$B$33+(1-E5605)*Assumptions!$B$32+(1-F5605)*Assumptions!$B$31+(1-G5605)*Assumptions!$B$30+(1-H5605)*Assumptions!$B$29+(1-I5605)*Assumptions!$B$28</f>
        <v/>
      </c>
      <c r="K5605">
        <f>C5605*$J$457+D5605*$F$457+E5605*$G$457+F5605*Assumptions!$B$14+G5605*Assumptions!$B$13+H5605*Assumptions!$B$12+I5605*Assumptions!$B$11+$O$457+$S$457+Assumptions!$B$9</f>
        <v/>
      </c>
      <c r="L5605">
        <f>B5605-J5605</f>
        <v/>
      </c>
      <c r="M5605">
        <f>IF(K5605&gt;0,IF(L5605/K5605&gt;=Assumptions!$B$37,1,0),0)</f>
        <v/>
      </c>
      <c r="N5605">
        <f>K5605+M5605*Assumptions!$B$153</f>
        <v/>
      </c>
      <c r="O5605">
        <f>L5605+M5605*Assumptions!$B$153*Assumptions!$B$37</f>
        <v/>
      </c>
      <c r="P5605">
        <f>IF(N5605&gt;0,O5605/N5605,0)</f>
        <v/>
      </c>
      <c r="Q5605">
        <f>IF(C5605=1,P5605*$J$457,Assumptions!$B$41)</f>
        <v/>
      </c>
      <c r="R5605">
        <f>IF(D5605=1,P5605*$F$457,Assumptions!$B$33)</f>
        <v/>
      </c>
      <c r="S5605">
        <f>IF(E5605=1,P5605*$G$457,Assumptions!$B$32)</f>
        <v/>
      </c>
      <c r="T5605">
        <f>IF(F5605=1,P5605*Assumptions!$B$14,Assumptions!$B$31)</f>
        <v/>
      </c>
      <c r="U5605">
        <f>IF(G5605=1,P5605*Assumptions!$B$13,Assumptions!$B$30)</f>
        <v/>
      </c>
      <c r="V5605">
        <f>IF(H5605=1,P5605*Assumptions!$B$12,Assumptions!$B$29)</f>
        <v/>
      </c>
      <c r="W5605">
        <f>IF(I5605=1,P5605*Assumptions!$B$11,Assumptions!$B$28)</f>
        <v/>
      </c>
      <c r="X5605">
        <f>P5605*($O$457+$S$457)</f>
        <v/>
      </c>
      <c r="Y5605">
        <f>P5605*Assumptions!$B$9</f>
        <v/>
      </c>
      <c r="Z5605">
        <f>IF(M5605=1,(P5605-Assumptions!$B$37)*Assumptions!$B$153,0)</f>
        <v/>
      </c>
      <c r="AA5605">
        <f>Q5605+R5605+S5605+T5605+U5605+V5605+W5605+X5605+Y5605+Z5605</f>
        <v/>
      </c>
      <c r="AB5605" t="n">
        <v>93</v>
      </c>
      <c r="AC5605" t="n">
        <v>29</v>
      </c>
      <c r="AD5605" t="n">
        <v>125</v>
      </c>
      <c r="AE5605" t="n">
        <v>77</v>
      </c>
      <c r="AF5605" t="n">
        <v>85</v>
      </c>
      <c r="AG5605" t="n">
        <v>89</v>
      </c>
      <c r="AH5605" t="n">
        <v>95</v>
      </c>
      <c r="AI5605" t="n">
        <v>92</v>
      </c>
      <c r="AJ5605">
        <f>INDEX($Q$5512:$Q$5639,AC5605+1)</f>
        <v/>
      </c>
      <c r="AK5605">
        <f>INDEX($R$5512:$R$5639,AD5605+1)</f>
        <v/>
      </c>
      <c r="AL5605">
        <f>INDEX($S$5512:$S$5639,AE5605+1)</f>
        <v/>
      </c>
      <c r="AM5605">
        <f>INDEX($T$5512:$T$5639,AF5605+1)</f>
        <v/>
      </c>
      <c r="AN5605">
        <f>INDEX($U$5512:$U$5639,AG5605+1)</f>
        <v/>
      </c>
      <c r="AO5605">
        <f>INDEX($V$5512:$V$5639,AH5605+1)</f>
        <v/>
      </c>
      <c r="AP5605">
        <f>INDEX($W$5512:$W$5639,AI5605+1)</f>
        <v/>
      </c>
      <c r="AQ5605">
        <f>IF(Q5605&gt;=AJ5605-0.01,1,0)</f>
        <v/>
      </c>
      <c r="AR5605">
        <f>IF(R5605&gt;=AK5605-0.01,1,0)</f>
        <v/>
      </c>
      <c r="AS5605">
        <f>IF(S5605&gt;=AL5605-0.01,1,0)</f>
        <v/>
      </c>
      <c r="AT5605">
        <f>IF(T5605&gt;=AM5605-0.01,1,0)</f>
        <v/>
      </c>
      <c r="AU5605">
        <f>IF(U5605&gt;=AN5605-0.01,1,0)</f>
        <v/>
      </c>
      <c r="AV5605">
        <f>IF(V5605&gt;=AO5605-0.01,1,0)</f>
        <v/>
      </c>
      <c r="AW5605">
        <f>IF(W5605&gt;=AP5605-0.01,1,0)</f>
        <v/>
      </c>
      <c r="AX5605">
        <f>AQ5605*AR5605*AS5605*AT5605*AU5605*AV5605*AW5605</f>
        <v/>
      </c>
    </row>
    <row r="5606">
      <c r="A5606" t="inlineStr"/>
      <c r="B5606">
        <f>Assumptions!$B$60</f>
        <v/>
      </c>
      <c r="C5606" t="n">
        <v>1</v>
      </c>
      <c r="D5606" t="n">
        <v>0</v>
      </c>
      <c r="E5606" t="n">
        <v>1</v>
      </c>
      <c r="F5606" t="n">
        <v>1</v>
      </c>
      <c r="G5606" t="n">
        <v>1</v>
      </c>
      <c r="H5606" t="n">
        <v>1</v>
      </c>
      <c r="I5606" t="n">
        <v>0</v>
      </c>
      <c r="J5606">
        <f>(1-C5606)*Assumptions!$B$41+(1-D5606)*Assumptions!$B$33+(1-E5606)*Assumptions!$B$32+(1-F5606)*Assumptions!$B$31+(1-G5606)*Assumptions!$B$30+(1-H5606)*Assumptions!$B$29+(1-I5606)*Assumptions!$B$28</f>
        <v/>
      </c>
      <c r="K5606">
        <f>C5606*$J$457+D5606*$F$457+E5606*$G$457+F5606*Assumptions!$B$14+G5606*Assumptions!$B$13+H5606*Assumptions!$B$12+I5606*Assumptions!$B$11+$O$457+$S$457+Assumptions!$B$9</f>
        <v/>
      </c>
      <c r="L5606">
        <f>B5606-J5606</f>
        <v/>
      </c>
      <c r="M5606">
        <f>IF(K5606&gt;0,IF(L5606/K5606&gt;=Assumptions!$B$37,1,0),0)</f>
        <v/>
      </c>
      <c r="N5606">
        <f>K5606+M5606*Assumptions!$B$153</f>
        <v/>
      </c>
      <c r="O5606">
        <f>L5606+M5606*Assumptions!$B$153*Assumptions!$B$37</f>
        <v/>
      </c>
      <c r="P5606">
        <f>IF(N5606&gt;0,O5606/N5606,0)</f>
        <v/>
      </c>
      <c r="Q5606">
        <f>IF(C5606=1,P5606*$J$457,Assumptions!$B$41)</f>
        <v/>
      </c>
      <c r="R5606">
        <f>IF(D5606=1,P5606*$F$457,Assumptions!$B$33)</f>
        <v/>
      </c>
      <c r="S5606">
        <f>IF(E5606=1,P5606*$G$457,Assumptions!$B$32)</f>
        <v/>
      </c>
      <c r="T5606">
        <f>IF(F5606=1,P5606*Assumptions!$B$14,Assumptions!$B$31)</f>
        <v/>
      </c>
      <c r="U5606">
        <f>IF(G5606=1,P5606*Assumptions!$B$13,Assumptions!$B$30)</f>
        <v/>
      </c>
      <c r="V5606">
        <f>IF(H5606=1,P5606*Assumptions!$B$12,Assumptions!$B$29)</f>
        <v/>
      </c>
      <c r="W5606">
        <f>IF(I5606=1,P5606*Assumptions!$B$11,Assumptions!$B$28)</f>
        <v/>
      </c>
      <c r="X5606">
        <f>P5606*($O$457+$S$457)</f>
        <v/>
      </c>
      <c r="Y5606">
        <f>P5606*Assumptions!$B$9</f>
        <v/>
      </c>
      <c r="Z5606">
        <f>IF(M5606=1,(P5606-Assumptions!$B$37)*Assumptions!$B$153,0)</f>
        <v/>
      </c>
      <c r="AA5606">
        <f>Q5606+R5606+S5606+T5606+U5606+V5606+W5606+X5606+Y5606+Z5606</f>
        <v/>
      </c>
      <c r="AB5606" t="n">
        <v>94</v>
      </c>
      <c r="AC5606" t="n">
        <v>30</v>
      </c>
      <c r="AD5606" t="n">
        <v>126</v>
      </c>
      <c r="AE5606" t="n">
        <v>78</v>
      </c>
      <c r="AF5606" t="n">
        <v>86</v>
      </c>
      <c r="AG5606" t="n">
        <v>90</v>
      </c>
      <c r="AH5606" t="n">
        <v>92</v>
      </c>
      <c r="AI5606" t="n">
        <v>95</v>
      </c>
      <c r="AJ5606">
        <f>INDEX($Q$5512:$Q$5639,AC5606+1)</f>
        <v/>
      </c>
      <c r="AK5606">
        <f>INDEX($R$5512:$R$5639,AD5606+1)</f>
        <v/>
      </c>
      <c r="AL5606">
        <f>INDEX($S$5512:$S$5639,AE5606+1)</f>
        <v/>
      </c>
      <c r="AM5606">
        <f>INDEX($T$5512:$T$5639,AF5606+1)</f>
        <v/>
      </c>
      <c r="AN5606">
        <f>INDEX($U$5512:$U$5639,AG5606+1)</f>
        <v/>
      </c>
      <c r="AO5606">
        <f>INDEX($V$5512:$V$5639,AH5606+1)</f>
        <v/>
      </c>
      <c r="AP5606">
        <f>INDEX($W$5512:$W$5639,AI5606+1)</f>
        <v/>
      </c>
      <c r="AQ5606">
        <f>IF(Q5606&gt;=AJ5606-0.01,1,0)</f>
        <v/>
      </c>
      <c r="AR5606">
        <f>IF(R5606&gt;=AK5606-0.01,1,0)</f>
        <v/>
      </c>
      <c r="AS5606">
        <f>IF(S5606&gt;=AL5606-0.01,1,0)</f>
        <v/>
      </c>
      <c r="AT5606">
        <f>IF(T5606&gt;=AM5606-0.01,1,0)</f>
        <v/>
      </c>
      <c r="AU5606">
        <f>IF(U5606&gt;=AN5606-0.01,1,0)</f>
        <v/>
      </c>
      <c r="AV5606">
        <f>IF(V5606&gt;=AO5606-0.01,1,0)</f>
        <v/>
      </c>
      <c r="AW5606">
        <f>IF(W5606&gt;=AP5606-0.01,1,0)</f>
        <v/>
      </c>
      <c r="AX5606">
        <f>AQ5606*AR5606*AS5606*AT5606*AU5606*AV5606*AW5606</f>
        <v/>
      </c>
    </row>
    <row r="5607">
      <c r="A5607" t="inlineStr"/>
      <c r="B5607">
        <f>Assumptions!$B$60</f>
        <v/>
      </c>
      <c r="C5607" t="n">
        <v>1</v>
      </c>
      <c r="D5607" t="n">
        <v>0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>
        <f>(1-C5607)*Assumptions!$B$41+(1-D5607)*Assumptions!$B$33+(1-E5607)*Assumptions!$B$32+(1-F5607)*Assumptions!$B$31+(1-G5607)*Assumptions!$B$30+(1-H5607)*Assumptions!$B$29+(1-I5607)*Assumptions!$B$28</f>
        <v/>
      </c>
      <c r="K5607">
        <f>C5607*$J$457+D5607*$F$457+E5607*$G$457+F5607*Assumptions!$B$14+G5607*Assumptions!$B$13+H5607*Assumptions!$B$12+I5607*Assumptions!$B$11+$O$457+$S$457+Assumptions!$B$9</f>
        <v/>
      </c>
      <c r="L5607">
        <f>B5607-J5607</f>
        <v/>
      </c>
      <c r="M5607">
        <f>IF(K5607&gt;0,IF(L5607/K5607&gt;=Assumptions!$B$37,1,0),0)</f>
        <v/>
      </c>
      <c r="N5607">
        <f>K5607+M5607*Assumptions!$B$153</f>
        <v/>
      </c>
      <c r="O5607">
        <f>L5607+M5607*Assumptions!$B$153*Assumptions!$B$37</f>
        <v/>
      </c>
      <c r="P5607">
        <f>IF(N5607&gt;0,O5607/N5607,0)</f>
        <v/>
      </c>
      <c r="Q5607">
        <f>IF(C5607=1,P5607*$J$457,Assumptions!$B$41)</f>
        <v/>
      </c>
      <c r="R5607">
        <f>IF(D5607=1,P5607*$F$457,Assumptions!$B$33)</f>
        <v/>
      </c>
      <c r="S5607">
        <f>IF(E5607=1,P5607*$G$457,Assumptions!$B$32)</f>
        <v/>
      </c>
      <c r="T5607">
        <f>IF(F5607=1,P5607*Assumptions!$B$14,Assumptions!$B$31)</f>
        <v/>
      </c>
      <c r="U5607">
        <f>IF(G5607=1,P5607*Assumptions!$B$13,Assumptions!$B$30)</f>
        <v/>
      </c>
      <c r="V5607">
        <f>IF(H5607=1,P5607*Assumptions!$B$12,Assumptions!$B$29)</f>
        <v/>
      </c>
      <c r="W5607">
        <f>IF(I5607=1,P5607*Assumptions!$B$11,Assumptions!$B$28)</f>
        <v/>
      </c>
      <c r="X5607">
        <f>P5607*($O$457+$S$457)</f>
        <v/>
      </c>
      <c r="Y5607">
        <f>P5607*Assumptions!$B$9</f>
        <v/>
      </c>
      <c r="Z5607">
        <f>IF(M5607=1,(P5607-Assumptions!$B$37)*Assumptions!$B$153,0)</f>
        <v/>
      </c>
      <c r="AA5607">
        <f>Q5607+R5607+S5607+T5607+U5607+V5607+W5607+X5607+Y5607+Z5607</f>
        <v/>
      </c>
      <c r="AB5607" t="n">
        <v>95</v>
      </c>
      <c r="AC5607" t="n">
        <v>31</v>
      </c>
      <c r="AD5607" t="n">
        <v>127</v>
      </c>
      <c r="AE5607" t="n">
        <v>79</v>
      </c>
      <c r="AF5607" t="n">
        <v>87</v>
      </c>
      <c r="AG5607" t="n">
        <v>91</v>
      </c>
      <c r="AH5607" t="n">
        <v>93</v>
      </c>
      <c r="AI5607" t="n">
        <v>94</v>
      </c>
      <c r="AJ5607">
        <f>INDEX($Q$5512:$Q$5639,AC5607+1)</f>
        <v/>
      </c>
      <c r="AK5607">
        <f>INDEX($R$5512:$R$5639,AD5607+1)</f>
        <v/>
      </c>
      <c r="AL5607">
        <f>INDEX($S$5512:$S$5639,AE5607+1)</f>
        <v/>
      </c>
      <c r="AM5607">
        <f>INDEX($T$5512:$T$5639,AF5607+1)</f>
        <v/>
      </c>
      <c r="AN5607">
        <f>INDEX($U$5512:$U$5639,AG5607+1)</f>
        <v/>
      </c>
      <c r="AO5607">
        <f>INDEX($V$5512:$V$5639,AH5607+1)</f>
        <v/>
      </c>
      <c r="AP5607">
        <f>INDEX($W$5512:$W$5639,AI5607+1)</f>
        <v/>
      </c>
      <c r="AQ5607">
        <f>IF(Q5607&gt;=AJ5607-0.01,1,0)</f>
        <v/>
      </c>
      <c r="AR5607">
        <f>IF(R5607&gt;=AK5607-0.01,1,0)</f>
        <v/>
      </c>
      <c r="AS5607">
        <f>IF(S5607&gt;=AL5607-0.01,1,0)</f>
        <v/>
      </c>
      <c r="AT5607">
        <f>IF(T5607&gt;=AM5607-0.01,1,0)</f>
        <v/>
      </c>
      <c r="AU5607">
        <f>IF(U5607&gt;=AN5607-0.01,1,0)</f>
        <v/>
      </c>
      <c r="AV5607">
        <f>IF(V5607&gt;=AO5607-0.01,1,0)</f>
        <v/>
      </c>
      <c r="AW5607">
        <f>IF(W5607&gt;=AP5607-0.01,1,0)</f>
        <v/>
      </c>
      <c r="AX5607">
        <f>AQ5607*AR5607*AS5607*AT5607*AU5607*AV5607*AW5607</f>
        <v/>
      </c>
    </row>
    <row r="5608">
      <c r="A5608" t="inlineStr"/>
      <c r="B5608">
        <f>Assumptions!$B$60</f>
        <v/>
      </c>
      <c r="C5608" t="n">
        <v>1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>
        <f>(1-C5608)*Assumptions!$B$41+(1-D5608)*Assumptions!$B$33+(1-E5608)*Assumptions!$B$32+(1-F5608)*Assumptions!$B$31+(1-G5608)*Assumptions!$B$30+(1-H5608)*Assumptions!$B$29+(1-I5608)*Assumptions!$B$28</f>
        <v/>
      </c>
      <c r="K5608">
        <f>C5608*$J$457+D5608*$F$457+E5608*$G$457+F5608*Assumptions!$B$14+G5608*Assumptions!$B$13+H5608*Assumptions!$B$12+I5608*Assumptions!$B$11+$O$457+$S$457+Assumptions!$B$9</f>
        <v/>
      </c>
      <c r="L5608">
        <f>B5608-J5608</f>
        <v/>
      </c>
      <c r="M5608">
        <f>IF(K5608&gt;0,IF(L5608/K5608&gt;=Assumptions!$B$37,1,0),0)</f>
        <v/>
      </c>
      <c r="N5608">
        <f>K5608+M5608*Assumptions!$B$153</f>
        <v/>
      </c>
      <c r="O5608">
        <f>L5608+M5608*Assumptions!$B$153*Assumptions!$B$37</f>
        <v/>
      </c>
      <c r="P5608">
        <f>IF(N5608&gt;0,O5608/N5608,0)</f>
        <v/>
      </c>
      <c r="Q5608">
        <f>IF(C5608=1,P5608*$J$457,Assumptions!$B$41)</f>
        <v/>
      </c>
      <c r="R5608">
        <f>IF(D5608=1,P5608*$F$457,Assumptions!$B$33)</f>
        <v/>
      </c>
      <c r="S5608">
        <f>IF(E5608=1,P5608*$G$457,Assumptions!$B$32)</f>
        <v/>
      </c>
      <c r="T5608">
        <f>IF(F5608=1,P5608*Assumptions!$B$14,Assumptions!$B$31)</f>
        <v/>
      </c>
      <c r="U5608">
        <f>IF(G5608=1,P5608*Assumptions!$B$13,Assumptions!$B$30)</f>
        <v/>
      </c>
      <c r="V5608">
        <f>IF(H5608=1,P5608*Assumptions!$B$12,Assumptions!$B$29)</f>
        <v/>
      </c>
      <c r="W5608">
        <f>IF(I5608=1,P5608*Assumptions!$B$11,Assumptions!$B$28)</f>
        <v/>
      </c>
      <c r="X5608">
        <f>P5608*($O$457+$S$457)</f>
        <v/>
      </c>
      <c r="Y5608">
        <f>P5608*Assumptions!$B$9</f>
        <v/>
      </c>
      <c r="Z5608">
        <f>IF(M5608=1,(P5608-Assumptions!$B$37)*Assumptions!$B$153,0)</f>
        <v/>
      </c>
      <c r="AA5608">
        <f>Q5608+R5608+S5608+T5608+U5608+V5608+W5608+X5608+Y5608+Z5608</f>
        <v/>
      </c>
      <c r="AB5608" t="n">
        <v>96</v>
      </c>
      <c r="AC5608" t="n">
        <v>32</v>
      </c>
      <c r="AD5608" t="n">
        <v>64</v>
      </c>
      <c r="AE5608" t="n">
        <v>112</v>
      </c>
      <c r="AF5608" t="n">
        <v>104</v>
      </c>
      <c r="AG5608" t="n">
        <v>100</v>
      </c>
      <c r="AH5608" t="n">
        <v>98</v>
      </c>
      <c r="AI5608" t="n">
        <v>97</v>
      </c>
      <c r="AJ5608">
        <f>INDEX($Q$5512:$Q$5639,AC5608+1)</f>
        <v/>
      </c>
      <c r="AK5608">
        <f>INDEX($R$5512:$R$5639,AD5608+1)</f>
        <v/>
      </c>
      <c r="AL5608">
        <f>INDEX($S$5512:$S$5639,AE5608+1)</f>
        <v/>
      </c>
      <c r="AM5608">
        <f>INDEX($T$5512:$T$5639,AF5608+1)</f>
        <v/>
      </c>
      <c r="AN5608">
        <f>INDEX($U$5512:$U$5639,AG5608+1)</f>
        <v/>
      </c>
      <c r="AO5608">
        <f>INDEX($V$5512:$V$5639,AH5608+1)</f>
        <v/>
      </c>
      <c r="AP5608">
        <f>INDEX($W$5512:$W$5639,AI5608+1)</f>
        <v/>
      </c>
      <c r="AQ5608">
        <f>IF(Q5608&gt;=AJ5608-0.01,1,0)</f>
        <v/>
      </c>
      <c r="AR5608">
        <f>IF(R5608&gt;=AK5608-0.01,1,0)</f>
        <v/>
      </c>
      <c r="AS5608">
        <f>IF(S5608&gt;=AL5608-0.01,1,0)</f>
        <v/>
      </c>
      <c r="AT5608">
        <f>IF(T5608&gt;=AM5608-0.01,1,0)</f>
        <v/>
      </c>
      <c r="AU5608">
        <f>IF(U5608&gt;=AN5608-0.01,1,0)</f>
        <v/>
      </c>
      <c r="AV5608">
        <f>IF(V5608&gt;=AO5608-0.01,1,0)</f>
        <v/>
      </c>
      <c r="AW5608">
        <f>IF(W5608&gt;=AP5608-0.01,1,0)</f>
        <v/>
      </c>
      <c r="AX5608">
        <f>AQ5608*AR5608*AS5608*AT5608*AU5608*AV5608*AW5608</f>
        <v/>
      </c>
    </row>
    <row r="5609">
      <c r="A5609" t="inlineStr"/>
      <c r="B5609">
        <f>Assumptions!$B$60</f>
        <v/>
      </c>
      <c r="C5609" t="n">
        <v>1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>
        <f>(1-C5609)*Assumptions!$B$41+(1-D5609)*Assumptions!$B$33+(1-E5609)*Assumptions!$B$32+(1-F5609)*Assumptions!$B$31+(1-G5609)*Assumptions!$B$30+(1-H5609)*Assumptions!$B$29+(1-I5609)*Assumptions!$B$28</f>
        <v/>
      </c>
      <c r="K5609">
        <f>C5609*$J$457+D5609*$F$457+E5609*$G$457+F5609*Assumptions!$B$14+G5609*Assumptions!$B$13+H5609*Assumptions!$B$12+I5609*Assumptions!$B$11+$O$457+$S$457+Assumptions!$B$9</f>
        <v/>
      </c>
      <c r="L5609">
        <f>B5609-J5609</f>
        <v/>
      </c>
      <c r="M5609">
        <f>IF(K5609&gt;0,IF(L5609/K5609&gt;=Assumptions!$B$37,1,0),0)</f>
        <v/>
      </c>
      <c r="N5609">
        <f>K5609+M5609*Assumptions!$B$153</f>
        <v/>
      </c>
      <c r="O5609">
        <f>L5609+M5609*Assumptions!$B$153*Assumptions!$B$37</f>
        <v/>
      </c>
      <c r="P5609">
        <f>IF(N5609&gt;0,O5609/N5609,0)</f>
        <v/>
      </c>
      <c r="Q5609">
        <f>IF(C5609=1,P5609*$J$457,Assumptions!$B$41)</f>
        <v/>
      </c>
      <c r="R5609">
        <f>IF(D5609=1,P5609*$F$457,Assumptions!$B$33)</f>
        <v/>
      </c>
      <c r="S5609">
        <f>IF(E5609=1,P5609*$G$457,Assumptions!$B$32)</f>
        <v/>
      </c>
      <c r="T5609">
        <f>IF(F5609=1,P5609*Assumptions!$B$14,Assumptions!$B$31)</f>
        <v/>
      </c>
      <c r="U5609">
        <f>IF(G5609=1,P5609*Assumptions!$B$13,Assumptions!$B$30)</f>
        <v/>
      </c>
      <c r="V5609">
        <f>IF(H5609=1,P5609*Assumptions!$B$12,Assumptions!$B$29)</f>
        <v/>
      </c>
      <c r="W5609">
        <f>IF(I5609=1,P5609*Assumptions!$B$11,Assumptions!$B$28)</f>
        <v/>
      </c>
      <c r="X5609">
        <f>P5609*($O$457+$S$457)</f>
        <v/>
      </c>
      <c r="Y5609">
        <f>P5609*Assumptions!$B$9</f>
        <v/>
      </c>
      <c r="Z5609">
        <f>IF(M5609=1,(P5609-Assumptions!$B$37)*Assumptions!$B$153,0)</f>
        <v/>
      </c>
      <c r="AA5609">
        <f>Q5609+R5609+S5609+T5609+U5609+V5609+W5609+X5609+Y5609+Z5609</f>
        <v/>
      </c>
      <c r="AB5609" t="n">
        <v>97</v>
      </c>
      <c r="AC5609" t="n">
        <v>33</v>
      </c>
      <c r="AD5609" t="n">
        <v>65</v>
      </c>
      <c r="AE5609" t="n">
        <v>113</v>
      </c>
      <c r="AF5609" t="n">
        <v>105</v>
      </c>
      <c r="AG5609" t="n">
        <v>101</v>
      </c>
      <c r="AH5609" t="n">
        <v>99</v>
      </c>
      <c r="AI5609" t="n">
        <v>96</v>
      </c>
      <c r="AJ5609">
        <f>INDEX($Q$5512:$Q$5639,AC5609+1)</f>
        <v/>
      </c>
      <c r="AK5609">
        <f>INDEX($R$5512:$R$5639,AD5609+1)</f>
        <v/>
      </c>
      <c r="AL5609">
        <f>INDEX($S$5512:$S$5639,AE5609+1)</f>
        <v/>
      </c>
      <c r="AM5609">
        <f>INDEX($T$5512:$T$5639,AF5609+1)</f>
        <v/>
      </c>
      <c r="AN5609">
        <f>INDEX($U$5512:$U$5639,AG5609+1)</f>
        <v/>
      </c>
      <c r="AO5609">
        <f>INDEX($V$5512:$V$5639,AH5609+1)</f>
        <v/>
      </c>
      <c r="AP5609">
        <f>INDEX($W$5512:$W$5639,AI5609+1)</f>
        <v/>
      </c>
      <c r="AQ5609">
        <f>IF(Q5609&gt;=AJ5609-0.01,1,0)</f>
        <v/>
      </c>
      <c r="AR5609">
        <f>IF(R5609&gt;=AK5609-0.01,1,0)</f>
        <v/>
      </c>
      <c r="AS5609">
        <f>IF(S5609&gt;=AL5609-0.01,1,0)</f>
        <v/>
      </c>
      <c r="AT5609">
        <f>IF(T5609&gt;=AM5609-0.01,1,0)</f>
        <v/>
      </c>
      <c r="AU5609">
        <f>IF(U5609&gt;=AN5609-0.01,1,0)</f>
        <v/>
      </c>
      <c r="AV5609">
        <f>IF(V5609&gt;=AO5609-0.01,1,0)</f>
        <v/>
      </c>
      <c r="AW5609">
        <f>IF(W5609&gt;=AP5609-0.01,1,0)</f>
        <v/>
      </c>
      <c r="AX5609">
        <f>AQ5609*AR5609*AS5609*AT5609*AU5609*AV5609*AW5609</f>
        <v/>
      </c>
    </row>
    <row r="5610">
      <c r="A5610" t="inlineStr"/>
      <c r="B5610">
        <f>Assumptions!$B$60</f>
        <v/>
      </c>
      <c r="C5610" t="n">
        <v>1</v>
      </c>
      <c r="D5610" t="n">
        <v>1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>
        <f>(1-C5610)*Assumptions!$B$41+(1-D5610)*Assumptions!$B$33+(1-E5610)*Assumptions!$B$32+(1-F5610)*Assumptions!$B$31+(1-G5610)*Assumptions!$B$30+(1-H5610)*Assumptions!$B$29+(1-I5610)*Assumptions!$B$28</f>
        <v/>
      </c>
      <c r="K5610">
        <f>C5610*$J$457+D5610*$F$457+E5610*$G$457+F5610*Assumptions!$B$14+G5610*Assumptions!$B$13+H5610*Assumptions!$B$12+I5610*Assumptions!$B$11+$O$457+$S$457+Assumptions!$B$9</f>
        <v/>
      </c>
      <c r="L5610">
        <f>B5610-J5610</f>
        <v/>
      </c>
      <c r="M5610">
        <f>IF(K5610&gt;0,IF(L5610/K5610&gt;=Assumptions!$B$37,1,0),0)</f>
        <v/>
      </c>
      <c r="N5610">
        <f>K5610+M5610*Assumptions!$B$153</f>
        <v/>
      </c>
      <c r="O5610">
        <f>L5610+M5610*Assumptions!$B$153*Assumptions!$B$37</f>
        <v/>
      </c>
      <c r="P5610">
        <f>IF(N5610&gt;0,O5610/N5610,0)</f>
        <v/>
      </c>
      <c r="Q5610">
        <f>IF(C5610=1,P5610*$J$457,Assumptions!$B$41)</f>
        <v/>
      </c>
      <c r="R5610">
        <f>IF(D5610=1,P5610*$F$457,Assumptions!$B$33)</f>
        <v/>
      </c>
      <c r="S5610">
        <f>IF(E5610=1,P5610*$G$457,Assumptions!$B$32)</f>
        <v/>
      </c>
      <c r="T5610">
        <f>IF(F5610=1,P5610*Assumptions!$B$14,Assumptions!$B$31)</f>
        <v/>
      </c>
      <c r="U5610">
        <f>IF(G5610=1,P5610*Assumptions!$B$13,Assumptions!$B$30)</f>
        <v/>
      </c>
      <c r="V5610">
        <f>IF(H5610=1,P5610*Assumptions!$B$12,Assumptions!$B$29)</f>
        <v/>
      </c>
      <c r="W5610">
        <f>IF(I5610=1,P5610*Assumptions!$B$11,Assumptions!$B$28)</f>
        <v/>
      </c>
      <c r="X5610">
        <f>P5610*($O$457+$S$457)</f>
        <v/>
      </c>
      <c r="Y5610">
        <f>P5610*Assumptions!$B$9</f>
        <v/>
      </c>
      <c r="Z5610">
        <f>IF(M5610=1,(P5610-Assumptions!$B$37)*Assumptions!$B$153,0)</f>
        <v/>
      </c>
      <c r="AA5610">
        <f>Q5610+R5610+S5610+T5610+U5610+V5610+W5610+X5610+Y5610+Z5610</f>
        <v/>
      </c>
      <c r="AB5610" t="n">
        <v>98</v>
      </c>
      <c r="AC5610" t="n">
        <v>34</v>
      </c>
      <c r="AD5610" t="n">
        <v>66</v>
      </c>
      <c r="AE5610" t="n">
        <v>114</v>
      </c>
      <c r="AF5610" t="n">
        <v>106</v>
      </c>
      <c r="AG5610" t="n">
        <v>102</v>
      </c>
      <c r="AH5610" t="n">
        <v>96</v>
      </c>
      <c r="AI5610" t="n">
        <v>99</v>
      </c>
      <c r="AJ5610">
        <f>INDEX($Q$5512:$Q$5639,AC5610+1)</f>
        <v/>
      </c>
      <c r="AK5610">
        <f>INDEX($R$5512:$R$5639,AD5610+1)</f>
        <v/>
      </c>
      <c r="AL5610">
        <f>INDEX($S$5512:$S$5639,AE5610+1)</f>
        <v/>
      </c>
      <c r="AM5610">
        <f>INDEX($T$5512:$T$5639,AF5610+1)</f>
        <v/>
      </c>
      <c r="AN5610">
        <f>INDEX($U$5512:$U$5639,AG5610+1)</f>
        <v/>
      </c>
      <c r="AO5610">
        <f>INDEX($V$5512:$V$5639,AH5610+1)</f>
        <v/>
      </c>
      <c r="AP5610">
        <f>INDEX($W$5512:$W$5639,AI5610+1)</f>
        <v/>
      </c>
      <c r="AQ5610">
        <f>IF(Q5610&gt;=AJ5610-0.01,1,0)</f>
        <v/>
      </c>
      <c r="AR5610">
        <f>IF(R5610&gt;=AK5610-0.01,1,0)</f>
        <v/>
      </c>
      <c r="AS5610">
        <f>IF(S5610&gt;=AL5610-0.01,1,0)</f>
        <v/>
      </c>
      <c r="AT5610">
        <f>IF(T5610&gt;=AM5610-0.01,1,0)</f>
        <v/>
      </c>
      <c r="AU5610">
        <f>IF(U5610&gt;=AN5610-0.01,1,0)</f>
        <v/>
      </c>
      <c r="AV5610">
        <f>IF(V5610&gt;=AO5610-0.01,1,0)</f>
        <v/>
      </c>
      <c r="AW5610">
        <f>IF(W5610&gt;=AP5610-0.01,1,0)</f>
        <v/>
      </c>
      <c r="AX5610">
        <f>AQ5610*AR5610*AS5610*AT5610*AU5610*AV5610*AW5610</f>
        <v/>
      </c>
    </row>
    <row r="5611">
      <c r="A5611" t="inlineStr"/>
      <c r="B5611">
        <f>Assumptions!$B$60</f>
        <v/>
      </c>
      <c r="C5611" t="n">
        <v>1</v>
      </c>
      <c r="D5611" t="n">
        <v>1</v>
      </c>
      <c r="E5611" t="n">
        <v>0</v>
      </c>
      <c r="F5611" t="n">
        <v>0</v>
      </c>
      <c r="G5611" t="n">
        <v>0</v>
      </c>
      <c r="H5611" t="n">
        <v>1</v>
      </c>
      <c r="I5611" t="n">
        <v>1</v>
      </c>
      <c r="J5611">
        <f>(1-C5611)*Assumptions!$B$41+(1-D5611)*Assumptions!$B$33+(1-E5611)*Assumptions!$B$32+(1-F5611)*Assumptions!$B$31+(1-G5611)*Assumptions!$B$30+(1-H5611)*Assumptions!$B$29+(1-I5611)*Assumptions!$B$28</f>
        <v/>
      </c>
      <c r="K5611">
        <f>C5611*$J$457+D5611*$F$457+E5611*$G$457+F5611*Assumptions!$B$14+G5611*Assumptions!$B$13+H5611*Assumptions!$B$12+I5611*Assumptions!$B$11+$O$457+$S$457+Assumptions!$B$9</f>
        <v/>
      </c>
      <c r="L5611">
        <f>B5611-J5611</f>
        <v/>
      </c>
      <c r="M5611">
        <f>IF(K5611&gt;0,IF(L5611/K5611&gt;=Assumptions!$B$37,1,0),0)</f>
        <v/>
      </c>
      <c r="N5611">
        <f>K5611+M5611*Assumptions!$B$153</f>
        <v/>
      </c>
      <c r="O5611">
        <f>L5611+M5611*Assumptions!$B$153*Assumptions!$B$37</f>
        <v/>
      </c>
      <c r="P5611">
        <f>IF(N5611&gt;0,O5611/N5611,0)</f>
        <v/>
      </c>
      <c r="Q5611">
        <f>IF(C5611=1,P5611*$J$457,Assumptions!$B$41)</f>
        <v/>
      </c>
      <c r="R5611">
        <f>IF(D5611=1,P5611*$F$457,Assumptions!$B$33)</f>
        <v/>
      </c>
      <c r="S5611">
        <f>IF(E5611=1,P5611*$G$457,Assumptions!$B$32)</f>
        <v/>
      </c>
      <c r="T5611">
        <f>IF(F5611=1,P5611*Assumptions!$B$14,Assumptions!$B$31)</f>
        <v/>
      </c>
      <c r="U5611">
        <f>IF(G5611=1,P5611*Assumptions!$B$13,Assumptions!$B$30)</f>
        <v/>
      </c>
      <c r="V5611">
        <f>IF(H5611=1,P5611*Assumptions!$B$12,Assumptions!$B$29)</f>
        <v/>
      </c>
      <c r="W5611">
        <f>IF(I5611=1,P5611*Assumptions!$B$11,Assumptions!$B$28)</f>
        <v/>
      </c>
      <c r="X5611">
        <f>P5611*($O$457+$S$457)</f>
        <v/>
      </c>
      <c r="Y5611">
        <f>P5611*Assumptions!$B$9</f>
        <v/>
      </c>
      <c r="Z5611">
        <f>IF(M5611=1,(P5611-Assumptions!$B$37)*Assumptions!$B$153,0)</f>
        <v/>
      </c>
      <c r="AA5611">
        <f>Q5611+R5611+S5611+T5611+U5611+V5611+W5611+X5611+Y5611+Z5611</f>
        <v/>
      </c>
      <c r="AB5611" t="n">
        <v>99</v>
      </c>
      <c r="AC5611" t="n">
        <v>35</v>
      </c>
      <c r="AD5611" t="n">
        <v>67</v>
      </c>
      <c r="AE5611" t="n">
        <v>115</v>
      </c>
      <c r="AF5611" t="n">
        <v>107</v>
      </c>
      <c r="AG5611" t="n">
        <v>103</v>
      </c>
      <c r="AH5611" t="n">
        <v>97</v>
      </c>
      <c r="AI5611" t="n">
        <v>98</v>
      </c>
      <c r="AJ5611">
        <f>INDEX($Q$5512:$Q$5639,AC5611+1)</f>
        <v/>
      </c>
      <c r="AK5611">
        <f>INDEX($R$5512:$R$5639,AD5611+1)</f>
        <v/>
      </c>
      <c r="AL5611">
        <f>INDEX($S$5512:$S$5639,AE5611+1)</f>
        <v/>
      </c>
      <c r="AM5611">
        <f>INDEX($T$5512:$T$5639,AF5611+1)</f>
        <v/>
      </c>
      <c r="AN5611">
        <f>INDEX($U$5512:$U$5639,AG5611+1)</f>
        <v/>
      </c>
      <c r="AO5611">
        <f>INDEX($V$5512:$V$5639,AH5611+1)</f>
        <v/>
      </c>
      <c r="AP5611">
        <f>INDEX($W$5512:$W$5639,AI5611+1)</f>
        <v/>
      </c>
      <c r="AQ5611">
        <f>IF(Q5611&gt;=AJ5611-0.01,1,0)</f>
        <v/>
      </c>
      <c r="AR5611">
        <f>IF(R5611&gt;=AK5611-0.01,1,0)</f>
        <v/>
      </c>
      <c r="AS5611">
        <f>IF(S5611&gt;=AL5611-0.01,1,0)</f>
        <v/>
      </c>
      <c r="AT5611">
        <f>IF(T5611&gt;=AM5611-0.01,1,0)</f>
        <v/>
      </c>
      <c r="AU5611">
        <f>IF(U5611&gt;=AN5611-0.01,1,0)</f>
        <v/>
      </c>
      <c r="AV5611">
        <f>IF(V5611&gt;=AO5611-0.01,1,0)</f>
        <v/>
      </c>
      <c r="AW5611">
        <f>IF(W5611&gt;=AP5611-0.01,1,0)</f>
        <v/>
      </c>
      <c r="AX5611">
        <f>AQ5611*AR5611*AS5611*AT5611*AU5611*AV5611*AW5611</f>
        <v/>
      </c>
    </row>
    <row r="5612">
      <c r="A5612" t="inlineStr"/>
      <c r="B5612">
        <f>Assumptions!$B$60</f>
        <v/>
      </c>
      <c r="C5612" t="n">
        <v>1</v>
      </c>
      <c r="D5612" t="n">
        <v>1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>
        <f>(1-C5612)*Assumptions!$B$41+(1-D5612)*Assumptions!$B$33+(1-E5612)*Assumptions!$B$32+(1-F5612)*Assumptions!$B$31+(1-G5612)*Assumptions!$B$30+(1-H5612)*Assumptions!$B$29+(1-I5612)*Assumptions!$B$28</f>
        <v/>
      </c>
      <c r="K5612">
        <f>C5612*$J$457+D5612*$F$457+E5612*$G$457+F5612*Assumptions!$B$14+G5612*Assumptions!$B$13+H5612*Assumptions!$B$12+I5612*Assumptions!$B$11+$O$457+$S$457+Assumptions!$B$9</f>
        <v/>
      </c>
      <c r="L5612">
        <f>B5612-J5612</f>
        <v/>
      </c>
      <c r="M5612">
        <f>IF(K5612&gt;0,IF(L5612/K5612&gt;=Assumptions!$B$37,1,0),0)</f>
        <v/>
      </c>
      <c r="N5612">
        <f>K5612+M5612*Assumptions!$B$153</f>
        <v/>
      </c>
      <c r="O5612">
        <f>L5612+M5612*Assumptions!$B$153*Assumptions!$B$37</f>
        <v/>
      </c>
      <c r="P5612">
        <f>IF(N5612&gt;0,O5612/N5612,0)</f>
        <v/>
      </c>
      <c r="Q5612">
        <f>IF(C5612=1,P5612*$J$457,Assumptions!$B$41)</f>
        <v/>
      </c>
      <c r="R5612">
        <f>IF(D5612=1,P5612*$F$457,Assumptions!$B$33)</f>
        <v/>
      </c>
      <c r="S5612">
        <f>IF(E5612=1,P5612*$G$457,Assumptions!$B$32)</f>
        <v/>
      </c>
      <c r="T5612">
        <f>IF(F5612=1,P5612*Assumptions!$B$14,Assumptions!$B$31)</f>
        <v/>
      </c>
      <c r="U5612">
        <f>IF(G5612=1,P5612*Assumptions!$B$13,Assumptions!$B$30)</f>
        <v/>
      </c>
      <c r="V5612">
        <f>IF(H5612=1,P5612*Assumptions!$B$12,Assumptions!$B$29)</f>
        <v/>
      </c>
      <c r="W5612">
        <f>IF(I5612=1,P5612*Assumptions!$B$11,Assumptions!$B$28)</f>
        <v/>
      </c>
      <c r="X5612">
        <f>P5612*($O$457+$S$457)</f>
        <v/>
      </c>
      <c r="Y5612">
        <f>P5612*Assumptions!$B$9</f>
        <v/>
      </c>
      <c r="Z5612">
        <f>IF(M5612=1,(P5612-Assumptions!$B$37)*Assumptions!$B$153,0)</f>
        <v/>
      </c>
      <c r="AA5612">
        <f>Q5612+R5612+S5612+T5612+U5612+V5612+W5612+X5612+Y5612+Z5612</f>
        <v/>
      </c>
      <c r="AB5612" t="n">
        <v>100</v>
      </c>
      <c r="AC5612" t="n">
        <v>36</v>
      </c>
      <c r="AD5612" t="n">
        <v>68</v>
      </c>
      <c r="AE5612" t="n">
        <v>116</v>
      </c>
      <c r="AF5612" t="n">
        <v>108</v>
      </c>
      <c r="AG5612" t="n">
        <v>96</v>
      </c>
      <c r="AH5612" t="n">
        <v>102</v>
      </c>
      <c r="AI5612" t="n">
        <v>101</v>
      </c>
      <c r="AJ5612">
        <f>INDEX($Q$5512:$Q$5639,AC5612+1)</f>
        <v/>
      </c>
      <c r="AK5612">
        <f>INDEX($R$5512:$R$5639,AD5612+1)</f>
        <v/>
      </c>
      <c r="AL5612">
        <f>INDEX($S$5512:$S$5639,AE5612+1)</f>
        <v/>
      </c>
      <c r="AM5612">
        <f>INDEX($T$5512:$T$5639,AF5612+1)</f>
        <v/>
      </c>
      <c r="AN5612">
        <f>INDEX($U$5512:$U$5639,AG5612+1)</f>
        <v/>
      </c>
      <c r="AO5612">
        <f>INDEX($V$5512:$V$5639,AH5612+1)</f>
        <v/>
      </c>
      <c r="AP5612">
        <f>INDEX($W$5512:$W$5639,AI5612+1)</f>
        <v/>
      </c>
      <c r="AQ5612">
        <f>IF(Q5612&gt;=AJ5612-0.01,1,0)</f>
        <v/>
      </c>
      <c r="AR5612">
        <f>IF(R5612&gt;=AK5612-0.01,1,0)</f>
        <v/>
      </c>
      <c r="AS5612">
        <f>IF(S5612&gt;=AL5612-0.01,1,0)</f>
        <v/>
      </c>
      <c r="AT5612">
        <f>IF(T5612&gt;=AM5612-0.01,1,0)</f>
        <v/>
      </c>
      <c r="AU5612">
        <f>IF(U5612&gt;=AN5612-0.01,1,0)</f>
        <v/>
      </c>
      <c r="AV5612">
        <f>IF(V5612&gt;=AO5612-0.01,1,0)</f>
        <v/>
      </c>
      <c r="AW5612">
        <f>IF(W5612&gt;=AP5612-0.01,1,0)</f>
        <v/>
      </c>
      <c r="AX5612">
        <f>AQ5612*AR5612*AS5612*AT5612*AU5612*AV5612*AW5612</f>
        <v/>
      </c>
    </row>
    <row r="5613">
      <c r="A5613" t="inlineStr"/>
      <c r="B5613">
        <f>Assumptions!$B$60</f>
        <v/>
      </c>
      <c r="C5613" t="n">
        <v>1</v>
      </c>
      <c r="D5613" t="n">
        <v>1</v>
      </c>
      <c r="E5613" t="n">
        <v>0</v>
      </c>
      <c r="F5613" t="n">
        <v>0</v>
      </c>
      <c r="G5613" t="n">
        <v>1</v>
      </c>
      <c r="H5613" t="n">
        <v>0</v>
      </c>
      <c r="I5613" t="n">
        <v>1</v>
      </c>
      <c r="J5613">
        <f>(1-C5613)*Assumptions!$B$41+(1-D5613)*Assumptions!$B$33+(1-E5613)*Assumptions!$B$32+(1-F5613)*Assumptions!$B$31+(1-G5613)*Assumptions!$B$30+(1-H5613)*Assumptions!$B$29+(1-I5613)*Assumptions!$B$28</f>
        <v/>
      </c>
      <c r="K5613">
        <f>C5613*$J$457+D5613*$F$457+E5613*$G$457+F5613*Assumptions!$B$14+G5613*Assumptions!$B$13+H5613*Assumptions!$B$12+I5613*Assumptions!$B$11+$O$457+$S$457+Assumptions!$B$9</f>
        <v/>
      </c>
      <c r="L5613">
        <f>B5613-J5613</f>
        <v/>
      </c>
      <c r="M5613">
        <f>IF(K5613&gt;0,IF(L5613/K5613&gt;=Assumptions!$B$37,1,0),0)</f>
        <v/>
      </c>
      <c r="N5613">
        <f>K5613+M5613*Assumptions!$B$153</f>
        <v/>
      </c>
      <c r="O5613">
        <f>L5613+M5613*Assumptions!$B$153*Assumptions!$B$37</f>
        <v/>
      </c>
      <c r="P5613">
        <f>IF(N5613&gt;0,O5613/N5613,0)</f>
        <v/>
      </c>
      <c r="Q5613">
        <f>IF(C5613=1,P5613*$J$457,Assumptions!$B$41)</f>
        <v/>
      </c>
      <c r="R5613">
        <f>IF(D5613=1,P5613*$F$457,Assumptions!$B$33)</f>
        <v/>
      </c>
      <c r="S5613">
        <f>IF(E5613=1,P5613*$G$457,Assumptions!$B$32)</f>
        <v/>
      </c>
      <c r="T5613">
        <f>IF(F5613=1,P5613*Assumptions!$B$14,Assumptions!$B$31)</f>
        <v/>
      </c>
      <c r="U5613">
        <f>IF(G5613=1,P5613*Assumptions!$B$13,Assumptions!$B$30)</f>
        <v/>
      </c>
      <c r="V5613">
        <f>IF(H5613=1,P5613*Assumptions!$B$12,Assumptions!$B$29)</f>
        <v/>
      </c>
      <c r="W5613">
        <f>IF(I5613=1,P5613*Assumptions!$B$11,Assumptions!$B$28)</f>
        <v/>
      </c>
      <c r="X5613">
        <f>P5613*($O$457+$S$457)</f>
        <v/>
      </c>
      <c r="Y5613">
        <f>P5613*Assumptions!$B$9</f>
        <v/>
      </c>
      <c r="Z5613">
        <f>IF(M5613=1,(P5613-Assumptions!$B$37)*Assumptions!$B$153,0)</f>
        <v/>
      </c>
      <c r="AA5613">
        <f>Q5613+R5613+S5613+T5613+U5613+V5613+W5613+X5613+Y5613+Z5613</f>
        <v/>
      </c>
      <c r="AB5613" t="n">
        <v>101</v>
      </c>
      <c r="AC5613" t="n">
        <v>37</v>
      </c>
      <c r="AD5613" t="n">
        <v>69</v>
      </c>
      <c r="AE5613" t="n">
        <v>117</v>
      </c>
      <c r="AF5613" t="n">
        <v>109</v>
      </c>
      <c r="AG5613" t="n">
        <v>97</v>
      </c>
      <c r="AH5613" t="n">
        <v>103</v>
      </c>
      <c r="AI5613" t="n">
        <v>100</v>
      </c>
      <c r="AJ5613">
        <f>INDEX($Q$5512:$Q$5639,AC5613+1)</f>
        <v/>
      </c>
      <c r="AK5613">
        <f>INDEX($R$5512:$R$5639,AD5613+1)</f>
        <v/>
      </c>
      <c r="AL5613">
        <f>INDEX($S$5512:$S$5639,AE5613+1)</f>
        <v/>
      </c>
      <c r="AM5613">
        <f>INDEX($T$5512:$T$5639,AF5613+1)</f>
        <v/>
      </c>
      <c r="AN5613">
        <f>INDEX($U$5512:$U$5639,AG5613+1)</f>
        <v/>
      </c>
      <c r="AO5613">
        <f>INDEX($V$5512:$V$5639,AH5613+1)</f>
        <v/>
      </c>
      <c r="AP5613">
        <f>INDEX($W$5512:$W$5639,AI5613+1)</f>
        <v/>
      </c>
      <c r="AQ5613">
        <f>IF(Q5613&gt;=AJ5613-0.01,1,0)</f>
        <v/>
      </c>
      <c r="AR5613">
        <f>IF(R5613&gt;=AK5613-0.01,1,0)</f>
        <v/>
      </c>
      <c r="AS5613">
        <f>IF(S5613&gt;=AL5613-0.01,1,0)</f>
        <v/>
      </c>
      <c r="AT5613">
        <f>IF(T5613&gt;=AM5613-0.01,1,0)</f>
        <v/>
      </c>
      <c r="AU5613">
        <f>IF(U5613&gt;=AN5613-0.01,1,0)</f>
        <v/>
      </c>
      <c r="AV5613">
        <f>IF(V5613&gt;=AO5613-0.01,1,0)</f>
        <v/>
      </c>
      <c r="AW5613">
        <f>IF(W5613&gt;=AP5613-0.01,1,0)</f>
        <v/>
      </c>
      <c r="AX5613">
        <f>AQ5613*AR5613*AS5613*AT5613*AU5613*AV5613*AW5613</f>
        <v/>
      </c>
    </row>
    <row r="5614">
      <c r="A5614" t="inlineStr"/>
      <c r="B5614">
        <f>Assumptions!$B$60</f>
        <v/>
      </c>
      <c r="C5614" t="n">
        <v>1</v>
      </c>
      <c r="D5614" t="n">
        <v>1</v>
      </c>
      <c r="E5614" t="n">
        <v>0</v>
      </c>
      <c r="F5614" t="n">
        <v>0</v>
      </c>
      <c r="G5614" t="n">
        <v>1</v>
      </c>
      <c r="H5614" t="n">
        <v>1</v>
      </c>
      <c r="I5614" t="n">
        <v>0</v>
      </c>
      <c r="J5614">
        <f>(1-C5614)*Assumptions!$B$41+(1-D5614)*Assumptions!$B$33+(1-E5614)*Assumptions!$B$32+(1-F5614)*Assumptions!$B$31+(1-G5614)*Assumptions!$B$30+(1-H5614)*Assumptions!$B$29+(1-I5614)*Assumptions!$B$28</f>
        <v/>
      </c>
      <c r="K5614">
        <f>C5614*$J$457+D5614*$F$457+E5614*$G$457+F5614*Assumptions!$B$14+G5614*Assumptions!$B$13+H5614*Assumptions!$B$12+I5614*Assumptions!$B$11+$O$457+$S$457+Assumptions!$B$9</f>
        <v/>
      </c>
      <c r="L5614">
        <f>B5614-J5614</f>
        <v/>
      </c>
      <c r="M5614">
        <f>IF(K5614&gt;0,IF(L5614/K5614&gt;=Assumptions!$B$37,1,0),0)</f>
        <v/>
      </c>
      <c r="N5614">
        <f>K5614+M5614*Assumptions!$B$153</f>
        <v/>
      </c>
      <c r="O5614">
        <f>L5614+M5614*Assumptions!$B$153*Assumptions!$B$37</f>
        <v/>
      </c>
      <c r="P5614">
        <f>IF(N5614&gt;0,O5614/N5614,0)</f>
        <v/>
      </c>
      <c r="Q5614">
        <f>IF(C5614=1,P5614*$J$457,Assumptions!$B$41)</f>
        <v/>
      </c>
      <c r="R5614">
        <f>IF(D5614=1,P5614*$F$457,Assumptions!$B$33)</f>
        <v/>
      </c>
      <c r="S5614">
        <f>IF(E5614=1,P5614*$G$457,Assumptions!$B$32)</f>
        <v/>
      </c>
      <c r="T5614">
        <f>IF(F5614=1,P5614*Assumptions!$B$14,Assumptions!$B$31)</f>
        <v/>
      </c>
      <c r="U5614">
        <f>IF(G5614=1,P5614*Assumptions!$B$13,Assumptions!$B$30)</f>
        <v/>
      </c>
      <c r="V5614">
        <f>IF(H5614=1,P5614*Assumptions!$B$12,Assumptions!$B$29)</f>
        <v/>
      </c>
      <c r="W5614">
        <f>IF(I5614=1,P5614*Assumptions!$B$11,Assumptions!$B$28)</f>
        <v/>
      </c>
      <c r="X5614">
        <f>P5614*($O$457+$S$457)</f>
        <v/>
      </c>
      <c r="Y5614">
        <f>P5614*Assumptions!$B$9</f>
        <v/>
      </c>
      <c r="Z5614">
        <f>IF(M5614=1,(P5614-Assumptions!$B$37)*Assumptions!$B$153,0)</f>
        <v/>
      </c>
      <c r="AA5614">
        <f>Q5614+R5614+S5614+T5614+U5614+V5614+W5614+X5614+Y5614+Z5614</f>
        <v/>
      </c>
      <c r="AB5614" t="n">
        <v>102</v>
      </c>
      <c r="AC5614" t="n">
        <v>38</v>
      </c>
      <c r="AD5614" t="n">
        <v>70</v>
      </c>
      <c r="AE5614" t="n">
        <v>118</v>
      </c>
      <c r="AF5614" t="n">
        <v>110</v>
      </c>
      <c r="AG5614" t="n">
        <v>98</v>
      </c>
      <c r="AH5614" t="n">
        <v>100</v>
      </c>
      <c r="AI5614" t="n">
        <v>103</v>
      </c>
      <c r="AJ5614">
        <f>INDEX($Q$5512:$Q$5639,AC5614+1)</f>
        <v/>
      </c>
      <c r="AK5614">
        <f>INDEX($R$5512:$R$5639,AD5614+1)</f>
        <v/>
      </c>
      <c r="AL5614">
        <f>INDEX($S$5512:$S$5639,AE5614+1)</f>
        <v/>
      </c>
      <c r="AM5614">
        <f>INDEX($T$5512:$T$5639,AF5614+1)</f>
        <v/>
      </c>
      <c r="AN5614">
        <f>INDEX($U$5512:$U$5639,AG5614+1)</f>
        <v/>
      </c>
      <c r="AO5614">
        <f>INDEX($V$5512:$V$5639,AH5614+1)</f>
        <v/>
      </c>
      <c r="AP5614">
        <f>INDEX($W$5512:$W$5639,AI5614+1)</f>
        <v/>
      </c>
      <c r="AQ5614">
        <f>IF(Q5614&gt;=AJ5614-0.01,1,0)</f>
        <v/>
      </c>
      <c r="AR5614">
        <f>IF(R5614&gt;=AK5614-0.01,1,0)</f>
        <v/>
      </c>
      <c r="AS5614">
        <f>IF(S5614&gt;=AL5614-0.01,1,0)</f>
        <v/>
      </c>
      <c r="AT5614">
        <f>IF(T5614&gt;=AM5614-0.01,1,0)</f>
        <v/>
      </c>
      <c r="AU5614">
        <f>IF(U5614&gt;=AN5614-0.01,1,0)</f>
        <v/>
      </c>
      <c r="AV5614">
        <f>IF(V5614&gt;=AO5614-0.01,1,0)</f>
        <v/>
      </c>
      <c r="AW5614">
        <f>IF(W5614&gt;=AP5614-0.01,1,0)</f>
        <v/>
      </c>
      <c r="AX5614">
        <f>AQ5614*AR5614*AS5614*AT5614*AU5614*AV5614*AW5614</f>
        <v/>
      </c>
    </row>
    <row r="5615">
      <c r="A5615" t="inlineStr"/>
      <c r="B5615">
        <f>Assumptions!$B$60</f>
        <v/>
      </c>
      <c r="C5615" t="n">
        <v>1</v>
      </c>
      <c r="D5615" t="n">
        <v>1</v>
      </c>
      <c r="E5615" t="n">
        <v>0</v>
      </c>
      <c r="F5615" t="n">
        <v>0</v>
      </c>
      <c r="G5615" t="n">
        <v>1</v>
      </c>
      <c r="H5615" t="n">
        <v>1</v>
      </c>
      <c r="I5615" t="n">
        <v>1</v>
      </c>
      <c r="J5615">
        <f>(1-C5615)*Assumptions!$B$41+(1-D5615)*Assumptions!$B$33+(1-E5615)*Assumptions!$B$32+(1-F5615)*Assumptions!$B$31+(1-G5615)*Assumptions!$B$30+(1-H5615)*Assumptions!$B$29+(1-I5615)*Assumptions!$B$28</f>
        <v/>
      </c>
      <c r="K5615">
        <f>C5615*$J$457+D5615*$F$457+E5615*$G$457+F5615*Assumptions!$B$14+G5615*Assumptions!$B$13+H5615*Assumptions!$B$12+I5615*Assumptions!$B$11+$O$457+$S$457+Assumptions!$B$9</f>
        <v/>
      </c>
      <c r="L5615">
        <f>B5615-J5615</f>
        <v/>
      </c>
      <c r="M5615">
        <f>IF(K5615&gt;0,IF(L5615/K5615&gt;=Assumptions!$B$37,1,0),0)</f>
        <v/>
      </c>
      <c r="N5615">
        <f>K5615+M5615*Assumptions!$B$153</f>
        <v/>
      </c>
      <c r="O5615">
        <f>L5615+M5615*Assumptions!$B$153*Assumptions!$B$37</f>
        <v/>
      </c>
      <c r="P5615">
        <f>IF(N5615&gt;0,O5615/N5615,0)</f>
        <v/>
      </c>
      <c r="Q5615">
        <f>IF(C5615=1,P5615*$J$457,Assumptions!$B$41)</f>
        <v/>
      </c>
      <c r="R5615">
        <f>IF(D5615=1,P5615*$F$457,Assumptions!$B$33)</f>
        <v/>
      </c>
      <c r="S5615">
        <f>IF(E5615=1,P5615*$G$457,Assumptions!$B$32)</f>
        <v/>
      </c>
      <c r="T5615">
        <f>IF(F5615=1,P5615*Assumptions!$B$14,Assumptions!$B$31)</f>
        <v/>
      </c>
      <c r="U5615">
        <f>IF(G5615=1,P5615*Assumptions!$B$13,Assumptions!$B$30)</f>
        <v/>
      </c>
      <c r="V5615">
        <f>IF(H5615=1,P5615*Assumptions!$B$12,Assumptions!$B$29)</f>
        <v/>
      </c>
      <c r="W5615">
        <f>IF(I5615=1,P5615*Assumptions!$B$11,Assumptions!$B$28)</f>
        <v/>
      </c>
      <c r="X5615">
        <f>P5615*($O$457+$S$457)</f>
        <v/>
      </c>
      <c r="Y5615">
        <f>P5615*Assumptions!$B$9</f>
        <v/>
      </c>
      <c r="Z5615">
        <f>IF(M5615=1,(P5615-Assumptions!$B$37)*Assumptions!$B$153,0)</f>
        <v/>
      </c>
      <c r="AA5615">
        <f>Q5615+R5615+S5615+T5615+U5615+V5615+W5615+X5615+Y5615+Z5615</f>
        <v/>
      </c>
      <c r="AB5615" t="n">
        <v>103</v>
      </c>
      <c r="AC5615" t="n">
        <v>39</v>
      </c>
      <c r="AD5615" t="n">
        <v>71</v>
      </c>
      <c r="AE5615" t="n">
        <v>119</v>
      </c>
      <c r="AF5615" t="n">
        <v>111</v>
      </c>
      <c r="AG5615" t="n">
        <v>99</v>
      </c>
      <c r="AH5615" t="n">
        <v>101</v>
      </c>
      <c r="AI5615" t="n">
        <v>102</v>
      </c>
      <c r="AJ5615">
        <f>INDEX($Q$5512:$Q$5639,AC5615+1)</f>
        <v/>
      </c>
      <c r="AK5615">
        <f>INDEX($R$5512:$R$5639,AD5615+1)</f>
        <v/>
      </c>
      <c r="AL5615">
        <f>INDEX($S$5512:$S$5639,AE5615+1)</f>
        <v/>
      </c>
      <c r="AM5615">
        <f>INDEX($T$5512:$T$5639,AF5615+1)</f>
        <v/>
      </c>
      <c r="AN5615">
        <f>INDEX($U$5512:$U$5639,AG5615+1)</f>
        <v/>
      </c>
      <c r="AO5615">
        <f>INDEX($V$5512:$V$5639,AH5615+1)</f>
        <v/>
      </c>
      <c r="AP5615">
        <f>INDEX($W$5512:$W$5639,AI5615+1)</f>
        <v/>
      </c>
      <c r="AQ5615">
        <f>IF(Q5615&gt;=AJ5615-0.01,1,0)</f>
        <v/>
      </c>
      <c r="AR5615">
        <f>IF(R5615&gt;=AK5615-0.01,1,0)</f>
        <v/>
      </c>
      <c r="AS5615">
        <f>IF(S5615&gt;=AL5615-0.01,1,0)</f>
        <v/>
      </c>
      <c r="AT5615">
        <f>IF(T5615&gt;=AM5615-0.01,1,0)</f>
        <v/>
      </c>
      <c r="AU5615">
        <f>IF(U5615&gt;=AN5615-0.01,1,0)</f>
        <v/>
      </c>
      <c r="AV5615">
        <f>IF(V5615&gt;=AO5615-0.01,1,0)</f>
        <v/>
      </c>
      <c r="AW5615">
        <f>IF(W5615&gt;=AP5615-0.01,1,0)</f>
        <v/>
      </c>
      <c r="AX5615">
        <f>AQ5615*AR5615*AS5615*AT5615*AU5615*AV5615*AW5615</f>
        <v/>
      </c>
    </row>
    <row r="5616">
      <c r="A5616" t="inlineStr"/>
      <c r="B5616">
        <f>Assumptions!$B$60</f>
        <v/>
      </c>
      <c r="C5616" t="n">
        <v>1</v>
      </c>
      <c r="D5616" t="n">
        <v>1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>
        <f>(1-C5616)*Assumptions!$B$41+(1-D5616)*Assumptions!$B$33+(1-E5616)*Assumptions!$B$32+(1-F5616)*Assumptions!$B$31+(1-G5616)*Assumptions!$B$30+(1-H5616)*Assumptions!$B$29+(1-I5616)*Assumptions!$B$28</f>
        <v/>
      </c>
      <c r="K5616">
        <f>C5616*$J$457+D5616*$F$457+E5616*$G$457+F5616*Assumptions!$B$14+G5616*Assumptions!$B$13+H5616*Assumptions!$B$12+I5616*Assumptions!$B$11+$O$457+$S$457+Assumptions!$B$9</f>
        <v/>
      </c>
      <c r="L5616">
        <f>B5616-J5616</f>
        <v/>
      </c>
      <c r="M5616">
        <f>IF(K5616&gt;0,IF(L5616/K5616&gt;=Assumptions!$B$37,1,0),0)</f>
        <v/>
      </c>
      <c r="N5616">
        <f>K5616+M5616*Assumptions!$B$153</f>
        <v/>
      </c>
      <c r="O5616">
        <f>L5616+M5616*Assumptions!$B$153*Assumptions!$B$37</f>
        <v/>
      </c>
      <c r="P5616">
        <f>IF(N5616&gt;0,O5616/N5616,0)</f>
        <v/>
      </c>
      <c r="Q5616">
        <f>IF(C5616=1,P5616*$J$457,Assumptions!$B$41)</f>
        <v/>
      </c>
      <c r="R5616">
        <f>IF(D5616=1,P5616*$F$457,Assumptions!$B$33)</f>
        <v/>
      </c>
      <c r="S5616">
        <f>IF(E5616=1,P5616*$G$457,Assumptions!$B$32)</f>
        <v/>
      </c>
      <c r="T5616">
        <f>IF(F5616=1,P5616*Assumptions!$B$14,Assumptions!$B$31)</f>
        <v/>
      </c>
      <c r="U5616">
        <f>IF(G5616=1,P5616*Assumptions!$B$13,Assumptions!$B$30)</f>
        <v/>
      </c>
      <c r="V5616">
        <f>IF(H5616=1,P5616*Assumptions!$B$12,Assumptions!$B$29)</f>
        <v/>
      </c>
      <c r="W5616">
        <f>IF(I5616=1,P5616*Assumptions!$B$11,Assumptions!$B$28)</f>
        <v/>
      </c>
      <c r="X5616">
        <f>P5616*($O$457+$S$457)</f>
        <v/>
      </c>
      <c r="Y5616">
        <f>P5616*Assumptions!$B$9</f>
        <v/>
      </c>
      <c r="Z5616">
        <f>IF(M5616=1,(P5616-Assumptions!$B$37)*Assumptions!$B$153,0)</f>
        <v/>
      </c>
      <c r="AA5616">
        <f>Q5616+R5616+S5616+T5616+U5616+V5616+W5616+X5616+Y5616+Z5616</f>
        <v/>
      </c>
      <c r="AB5616" t="n">
        <v>104</v>
      </c>
      <c r="AC5616" t="n">
        <v>40</v>
      </c>
      <c r="AD5616" t="n">
        <v>72</v>
      </c>
      <c r="AE5616" t="n">
        <v>120</v>
      </c>
      <c r="AF5616" t="n">
        <v>96</v>
      </c>
      <c r="AG5616" t="n">
        <v>108</v>
      </c>
      <c r="AH5616" t="n">
        <v>106</v>
      </c>
      <c r="AI5616" t="n">
        <v>105</v>
      </c>
      <c r="AJ5616">
        <f>INDEX($Q$5512:$Q$5639,AC5616+1)</f>
        <v/>
      </c>
      <c r="AK5616">
        <f>INDEX($R$5512:$R$5639,AD5616+1)</f>
        <v/>
      </c>
      <c r="AL5616">
        <f>INDEX($S$5512:$S$5639,AE5616+1)</f>
        <v/>
      </c>
      <c r="AM5616">
        <f>INDEX($T$5512:$T$5639,AF5616+1)</f>
        <v/>
      </c>
      <c r="AN5616">
        <f>INDEX($U$5512:$U$5639,AG5616+1)</f>
        <v/>
      </c>
      <c r="AO5616">
        <f>INDEX($V$5512:$V$5639,AH5616+1)</f>
        <v/>
      </c>
      <c r="AP5616">
        <f>INDEX($W$5512:$W$5639,AI5616+1)</f>
        <v/>
      </c>
      <c r="AQ5616">
        <f>IF(Q5616&gt;=AJ5616-0.01,1,0)</f>
        <v/>
      </c>
      <c r="AR5616">
        <f>IF(R5616&gt;=AK5616-0.01,1,0)</f>
        <v/>
      </c>
      <c r="AS5616">
        <f>IF(S5616&gt;=AL5616-0.01,1,0)</f>
        <v/>
      </c>
      <c r="AT5616">
        <f>IF(T5616&gt;=AM5616-0.01,1,0)</f>
        <v/>
      </c>
      <c r="AU5616">
        <f>IF(U5616&gt;=AN5616-0.01,1,0)</f>
        <v/>
      </c>
      <c r="AV5616">
        <f>IF(V5616&gt;=AO5616-0.01,1,0)</f>
        <v/>
      </c>
      <c r="AW5616">
        <f>IF(W5616&gt;=AP5616-0.01,1,0)</f>
        <v/>
      </c>
      <c r="AX5616">
        <f>AQ5616*AR5616*AS5616*AT5616*AU5616*AV5616*AW5616</f>
        <v/>
      </c>
    </row>
    <row r="5617">
      <c r="A5617" t="inlineStr"/>
      <c r="B5617">
        <f>Assumptions!$B$60</f>
        <v/>
      </c>
      <c r="C5617" t="n">
        <v>1</v>
      </c>
      <c r="D5617" t="n">
        <v>1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  <c r="J5617">
        <f>(1-C5617)*Assumptions!$B$41+(1-D5617)*Assumptions!$B$33+(1-E5617)*Assumptions!$B$32+(1-F5617)*Assumptions!$B$31+(1-G5617)*Assumptions!$B$30+(1-H5617)*Assumptions!$B$29+(1-I5617)*Assumptions!$B$28</f>
        <v/>
      </c>
      <c r="K5617">
        <f>C5617*$J$457+D5617*$F$457+E5617*$G$457+F5617*Assumptions!$B$14+G5617*Assumptions!$B$13+H5617*Assumptions!$B$12+I5617*Assumptions!$B$11+$O$457+$S$457+Assumptions!$B$9</f>
        <v/>
      </c>
      <c r="L5617">
        <f>B5617-J5617</f>
        <v/>
      </c>
      <c r="M5617">
        <f>IF(K5617&gt;0,IF(L5617/K5617&gt;=Assumptions!$B$37,1,0),0)</f>
        <v/>
      </c>
      <c r="N5617">
        <f>K5617+M5617*Assumptions!$B$153</f>
        <v/>
      </c>
      <c r="O5617">
        <f>L5617+M5617*Assumptions!$B$153*Assumptions!$B$37</f>
        <v/>
      </c>
      <c r="P5617">
        <f>IF(N5617&gt;0,O5617/N5617,0)</f>
        <v/>
      </c>
      <c r="Q5617">
        <f>IF(C5617=1,P5617*$J$457,Assumptions!$B$41)</f>
        <v/>
      </c>
      <c r="R5617">
        <f>IF(D5617=1,P5617*$F$457,Assumptions!$B$33)</f>
        <v/>
      </c>
      <c r="S5617">
        <f>IF(E5617=1,P5617*$G$457,Assumptions!$B$32)</f>
        <v/>
      </c>
      <c r="T5617">
        <f>IF(F5617=1,P5617*Assumptions!$B$14,Assumptions!$B$31)</f>
        <v/>
      </c>
      <c r="U5617">
        <f>IF(G5617=1,P5617*Assumptions!$B$13,Assumptions!$B$30)</f>
        <v/>
      </c>
      <c r="V5617">
        <f>IF(H5617=1,P5617*Assumptions!$B$12,Assumptions!$B$29)</f>
        <v/>
      </c>
      <c r="W5617">
        <f>IF(I5617=1,P5617*Assumptions!$B$11,Assumptions!$B$28)</f>
        <v/>
      </c>
      <c r="X5617">
        <f>P5617*($O$457+$S$457)</f>
        <v/>
      </c>
      <c r="Y5617">
        <f>P5617*Assumptions!$B$9</f>
        <v/>
      </c>
      <c r="Z5617">
        <f>IF(M5617=1,(P5617-Assumptions!$B$37)*Assumptions!$B$153,0)</f>
        <v/>
      </c>
      <c r="AA5617">
        <f>Q5617+R5617+S5617+T5617+U5617+V5617+W5617+X5617+Y5617+Z5617</f>
        <v/>
      </c>
      <c r="AB5617" t="n">
        <v>105</v>
      </c>
      <c r="AC5617" t="n">
        <v>41</v>
      </c>
      <c r="AD5617" t="n">
        <v>73</v>
      </c>
      <c r="AE5617" t="n">
        <v>121</v>
      </c>
      <c r="AF5617" t="n">
        <v>97</v>
      </c>
      <c r="AG5617" t="n">
        <v>109</v>
      </c>
      <c r="AH5617" t="n">
        <v>107</v>
      </c>
      <c r="AI5617" t="n">
        <v>104</v>
      </c>
      <c r="AJ5617">
        <f>INDEX($Q$5512:$Q$5639,AC5617+1)</f>
        <v/>
      </c>
      <c r="AK5617">
        <f>INDEX($R$5512:$R$5639,AD5617+1)</f>
        <v/>
      </c>
      <c r="AL5617">
        <f>INDEX($S$5512:$S$5639,AE5617+1)</f>
        <v/>
      </c>
      <c r="AM5617">
        <f>INDEX($T$5512:$T$5639,AF5617+1)</f>
        <v/>
      </c>
      <c r="AN5617">
        <f>INDEX($U$5512:$U$5639,AG5617+1)</f>
        <v/>
      </c>
      <c r="AO5617">
        <f>INDEX($V$5512:$V$5639,AH5617+1)</f>
        <v/>
      </c>
      <c r="AP5617">
        <f>INDEX($W$5512:$W$5639,AI5617+1)</f>
        <v/>
      </c>
      <c r="AQ5617">
        <f>IF(Q5617&gt;=AJ5617-0.01,1,0)</f>
        <v/>
      </c>
      <c r="AR5617">
        <f>IF(R5617&gt;=AK5617-0.01,1,0)</f>
        <v/>
      </c>
      <c r="AS5617">
        <f>IF(S5617&gt;=AL5617-0.01,1,0)</f>
        <v/>
      </c>
      <c r="AT5617">
        <f>IF(T5617&gt;=AM5617-0.01,1,0)</f>
        <v/>
      </c>
      <c r="AU5617">
        <f>IF(U5617&gt;=AN5617-0.01,1,0)</f>
        <v/>
      </c>
      <c r="AV5617">
        <f>IF(V5617&gt;=AO5617-0.01,1,0)</f>
        <v/>
      </c>
      <c r="AW5617">
        <f>IF(W5617&gt;=AP5617-0.01,1,0)</f>
        <v/>
      </c>
      <c r="AX5617">
        <f>AQ5617*AR5617*AS5617*AT5617*AU5617*AV5617*AW5617</f>
        <v/>
      </c>
    </row>
    <row r="5618">
      <c r="A5618" t="inlineStr"/>
      <c r="B5618">
        <f>Assumptions!$B$60</f>
        <v/>
      </c>
      <c r="C5618" t="n">
        <v>1</v>
      </c>
      <c r="D5618" t="n">
        <v>1</v>
      </c>
      <c r="E5618" t="n">
        <v>0</v>
      </c>
      <c r="F5618" t="n">
        <v>1</v>
      </c>
      <c r="G5618" t="n">
        <v>0</v>
      </c>
      <c r="H5618" t="n">
        <v>1</v>
      </c>
      <c r="I5618" t="n">
        <v>0</v>
      </c>
      <c r="J5618">
        <f>(1-C5618)*Assumptions!$B$41+(1-D5618)*Assumptions!$B$33+(1-E5618)*Assumptions!$B$32+(1-F5618)*Assumptions!$B$31+(1-G5618)*Assumptions!$B$30+(1-H5618)*Assumptions!$B$29+(1-I5618)*Assumptions!$B$28</f>
        <v/>
      </c>
      <c r="K5618">
        <f>C5618*$J$457+D5618*$F$457+E5618*$G$457+F5618*Assumptions!$B$14+G5618*Assumptions!$B$13+H5618*Assumptions!$B$12+I5618*Assumptions!$B$11+$O$457+$S$457+Assumptions!$B$9</f>
        <v/>
      </c>
      <c r="L5618">
        <f>B5618-J5618</f>
        <v/>
      </c>
      <c r="M5618">
        <f>IF(K5618&gt;0,IF(L5618/K5618&gt;=Assumptions!$B$37,1,0),0)</f>
        <v/>
      </c>
      <c r="N5618">
        <f>K5618+M5618*Assumptions!$B$153</f>
        <v/>
      </c>
      <c r="O5618">
        <f>L5618+M5618*Assumptions!$B$153*Assumptions!$B$37</f>
        <v/>
      </c>
      <c r="P5618">
        <f>IF(N5618&gt;0,O5618/N5618,0)</f>
        <v/>
      </c>
      <c r="Q5618">
        <f>IF(C5618=1,P5618*$J$457,Assumptions!$B$41)</f>
        <v/>
      </c>
      <c r="R5618">
        <f>IF(D5618=1,P5618*$F$457,Assumptions!$B$33)</f>
        <v/>
      </c>
      <c r="S5618">
        <f>IF(E5618=1,P5618*$G$457,Assumptions!$B$32)</f>
        <v/>
      </c>
      <c r="T5618">
        <f>IF(F5618=1,P5618*Assumptions!$B$14,Assumptions!$B$31)</f>
        <v/>
      </c>
      <c r="U5618">
        <f>IF(G5618=1,P5618*Assumptions!$B$13,Assumptions!$B$30)</f>
        <v/>
      </c>
      <c r="V5618">
        <f>IF(H5618=1,P5618*Assumptions!$B$12,Assumptions!$B$29)</f>
        <v/>
      </c>
      <c r="W5618">
        <f>IF(I5618=1,P5618*Assumptions!$B$11,Assumptions!$B$28)</f>
        <v/>
      </c>
      <c r="X5618">
        <f>P5618*($O$457+$S$457)</f>
        <v/>
      </c>
      <c r="Y5618">
        <f>P5618*Assumptions!$B$9</f>
        <v/>
      </c>
      <c r="Z5618">
        <f>IF(M5618=1,(P5618-Assumptions!$B$37)*Assumptions!$B$153,0)</f>
        <v/>
      </c>
      <c r="AA5618">
        <f>Q5618+R5618+S5618+T5618+U5618+V5618+W5618+X5618+Y5618+Z5618</f>
        <v/>
      </c>
      <c r="AB5618" t="n">
        <v>106</v>
      </c>
      <c r="AC5618" t="n">
        <v>42</v>
      </c>
      <c r="AD5618" t="n">
        <v>74</v>
      </c>
      <c r="AE5618" t="n">
        <v>122</v>
      </c>
      <c r="AF5618" t="n">
        <v>98</v>
      </c>
      <c r="AG5618" t="n">
        <v>110</v>
      </c>
      <c r="AH5618" t="n">
        <v>104</v>
      </c>
      <c r="AI5618" t="n">
        <v>107</v>
      </c>
      <c r="AJ5618">
        <f>INDEX($Q$5512:$Q$5639,AC5618+1)</f>
        <v/>
      </c>
      <c r="AK5618">
        <f>INDEX($R$5512:$R$5639,AD5618+1)</f>
        <v/>
      </c>
      <c r="AL5618">
        <f>INDEX($S$5512:$S$5639,AE5618+1)</f>
        <v/>
      </c>
      <c r="AM5618">
        <f>INDEX($T$5512:$T$5639,AF5618+1)</f>
        <v/>
      </c>
      <c r="AN5618">
        <f>INDEX($U$5512:$U$5639,AG5618+1)</f>
        <v/>
      </c>
      <c r="AO5618">
        <f>INDEX($V$5512:$V$5639,AH5618+1)</f>
        <v/>
      </c>
      <c r="AP5618">
        <f>INDEX($W$5512:$W$5639,AI5618+1)</f>
        <v/>
      </c>
      <c r="AQ5618">
        <f>IF(Q5618&gt;=AJ5618-0.01,1,0)</f>
        <v/>
      </c>
      <c r="AR5618">
        <f>IF(R5618&gt;=AK5618-0.01,1,0)</f>
        <v/>
      </c>
      <c r="AS5618">
        <f>IF(S5618&gt;=AL5618-0.01,1,0)</f>
        <v/>
      </c>
      <c r="AT5618">
        <f>IF(T5618&gt;=AM5618-0.01,1,0)</f>
        <v/>
      </c>
      <c r="AU5618">
        <f>IF(U5618&gt;=AN5618-0.01,1,0)</f>
        <v/>
      </c>
      <c r="AV5618">
        <f>IF(V5618&gt;=AO5618-0.01,1,0)</f>
        <v/>
      </c>
      <c r="AW5618">
        <f>IF(W5618&gt;=AP5618-0.01,1,0)</f>
        <v/>
      </c>
      <c r="AX5618">
        <f>AQ5618*AR5618*AS5618*AT5618*AU5618*AV5618*AW5618</f>
        <v/>
      </c>
    </row>
    <row r="5619">
      <c r="A5619" t="inlineStr"/>
      <c r="B5619">
        <f>Assumptions!$B$60</f>
        <v/>
      </c>
      <c r="C5619" t="n">
        <v>1</v>
      </c>
      <c r="D5619" t="n">
        <v>1</v>
      </c>
      <c r="E5619" t="n">
        <v>0</v>
      </c>
      <c r="F5619" t="n">
        <v>1</v>
      </c>
      <c r="G5619" t="n">
        <v>0</v>
      </c>
      <c r="H5619" t="n">
        <v>1</v>
      </c>
      <c r="I5619" t="n">
        <v>1</v>
      </c>
      <c r="J5619">
        <f>(1-C5619)*Assumptions!$B$41+(1-D5619)*Assumptions!$B$33+(1-E5619)*Assumptions!$B$32+(1-F5619)*Assumptions!$B$31+(1-G5619)*Assumptions!$B$30+(1-H5619)*Assumptions!$B$29+(1-I5619)*Assumptions!$B$28</f>
        <v/>
      </c>
      <c r="K5619">
        <f>C5619*$J$457+D5619*$F$457+E5619*$G$457+F5619*Assumptions!$B$14+G5619*Assumptions!$B$13+H5619*Assumptions!$B$12+I5619*Assumptions!$B$11+$O$457+$S$457+Assumptions!$B$9</f>
        <v/>
      </c>
      <c r="L5619">
        <f>B5619-J5619</f>
        <v/>
      </c>
      <c r="M5619">
        <f>IF(K5619&gt;0,IF(L5619/K5619&gt;=Assumptions!$B$37,1,0),0)</f>
        <v/>
      </c>
      <c r="N5619">
        <f>K5619+M5619*Assumptions!$B$153</f>
        <v/>
      </c>
      <c r="O5619">
        <f>L5619+M5619*Assumptions!$B$153*Assumptions!$B$37</f>
        <v/>
      </c>
      <c r="P5619">
        <f>IF(N5619&gt;0,O5619/N5619,0)</f>
        <v/>
      </c>
      <c r="Q5619">
        <f>IF(C5619=1,P5619*$J$457,Assumptions!$B$41)</f>
        <v/>
      </c>
      <c r="R5619">
        <f>IF(D5619=1,P5619*$F$457,Assumptions!$B$33)</f>
        <v/>
      </c>
      <c r="S5619">
        <f>IF(E5619=1,P5619*$G$457,Assumptions!$B$32)</f>
        <v/>
      </c>
      <c r="T5619">
        <f>IF(F5619=1,P5619*Assumptions!$B$14,Assumptions!$B$31)</f>
        <v/>
      </c>
      <c r="U5619">
        <f>IF(G5619=1,P5619*Assumptions!$B$13,Assumptions!$B$30)</f>
        <v/>
      </c>
      <c r="V5619">
        <f>IF(H5619=1,P5619*Assumptions!$B$12,Assumptions!$B$29)</f>
        <v/>
      </c>
      <c r="W5619">
        <f>IF(I5619=1,P5619*Assumptions!$B$11,Assumptions!$B$28)</f>
        <v/>
      </c>
      <c r="X5619">
        <f>P5619*($O$457+$S$457)</f>
        <v/>
      </c>
      <c r="Y5619">
        <f>P5619*Assumptions!$B$9</f>
        <v/>
      </c>
      <c r="Z5619">
        <f>IF(M5619=1,(P5619-Assumptions!$B$37)*Assumptions!$B$153,0)</f>
        <v/>
      </c>
      <c r="AA5619">
        <f>Q5619+R5619+S5619+T5619+U5619+V5619+W5619+X5619+Y5619+Z5619</f>
        <v/>
      </c>
      <c r="AB5619" t="n">
        <v>107</v>
      </c>
      <c r="AC5619" t="n">
        <v>43</v>
      </c>
      <c r="AD5619" t="n">
        <v>75</v>
      </c>
      <c r="AE5619" t="n">
        <v>123</v>
      </c>
      <c r="AF5619" t="n">
        <v>99</v>
      </c>
      <c r="AG5619" t="n">
        <v>111</v>
      </c>
      <c r="AH5619" t="n">
        <v>105</v>
      </c>
      <c r="AI5619" t="n">
        <v>106</v>
      </c>
      <c r="AJ5619">
        <f>INDEX($Q$5512:$Q$5639,AC5619+1)</f>
        <v/>
      </c>
      <c r="AK5619">
        <f>INDEX($R$5512:$R$5639,AD5619+1)</f>
        <v/>
      </c>
      <c r="AL5619">
        <f>INDEX($S$5512:$S$5639,AE5619+1)</f>
        <v/>
      </c>
      <c r="AM5619">
        <f>INDEX($T$5512:$T$5639,AF5619+1)</f>
        <v/>
      </c>
      <c r="AN5619">
        <f>INDEX($U$5512:$U$5639,AG5619+1)</f>
        <v/>
      </c>
      <c r="AO5619">
        <f>INDEX($V$5512:$V$5639,AH5619+1)</f>
        <v/>
      </c>
      <c r="AP5619">
        <f>INDEX($W$5512:$W$5639,AI5619+1)</f>
        <v/>
      </c>
      <c r="AQ5619">
        <f>IF(Q5619&gt;=AJ5619-0.01,1,0)</f>
        <v/>
      </c>
      <c r="AR5619">
        <f>IF(R5619&gt;=AK5619-0.01,1,0)</f>
        <v/>
      </c>
      <c r="AS5619">
        <f>IF(S5619&gt;=AL5619-0.01,1,0)</f>
        <v/>
      </c>
      <c r="AT5619">
        <f>IF(T5619&gt;=AM5619-0.01,1,0)</f>
        <v/>
      </c>
      <c r="AU5619">
        <f>IF(U5619&gt;=AN5619-0.01,1,0)</f>
        <v/>
      </c>
      <c r="AV5619">
        <f>IF(V5619&gt;=AO5619-0.01,1,0)</f>
        <v/>
      </c>
      <c r="AW5619">
        <f>IF(W5619&gt;=AP5619-0.01,1,0)</f>
        <v/>
      </c>
      <c r="AX5619">
        <f>AQ5619*AR5619*AS5619*AT5619*AU5619*AV5619*AW5619</f>
        <v/>
      </c>
    </row>
    <row r="5620">
      <c r="A5620" t="inlineStr"/>
      <c r="B5620">
        <f>Assumptions!$B$60</f>
        <v/>
      </c>
      <c r="C5620" t="n">
        <v>1</v>
      </c>
      <c r="D5620" t="n">
        <v>1</v>
      </c>
      <c r="E5620" t="n">
        <v>0</v>
      </c>
      <c r="F5620" t="n">
        <v>1</v>
      </c>
      <c r="G5620" t="n">
        <v>1</v>
      </c>
      <c r="H5620" t="n">
        <v>0</v>
      </c>
      <c r="I5620" t="n">
        <v>0</v>
      </c>
      <c r="J5620">
        <f>(1-C5620)*Assumptions!$B$41+(1-D5620)*Assumptions!$B$33+(1-E5620)*Assumptions!$B$32+(1-F5620)*Assumptions!$B$31+(1-G5620)*Assumptions!$B$30+(1-H5620)*Assumptions!$B$29+(1-I5620)*Assumptions!$B$28</f>
        <v/>
      </c>
      <c r="K5620">
        <f>C5620*$J$457+D5620*$F$457+E5620*$G$457+F5620*Assumptions!$B$14+G5620*Assumptions!$B$13+H5620*Assumptions!$B$12+I5620*Assumptions!$B$11+$O$457+$S$457+Assumptions!$B$9</f>
        <v/>
      </c>
      <c r="L5620">
        <f>B5620-J5620</f>
        <v/>
      </c>
      <c r="M5620">
        <f>IF(K5620&gt;0,IF(L5620/K5620&gt;=Assumptions!$B$37,1,0),0)</f>
        <v/>
      </c>
      <c r="N5620">
        <f>K5620+M5620*Assumptions!$B$153</f>
        <v/>
      </c>
      <c r="O5620">
        <f>L5620+M5620*Assumptions!$B$153*Assumptions!$B$37</f>
        <v/>
      </c>
      <c r="P5620">
        <f>IF(N5620&gt;0,O5620/N5620,0)</f>
        <v/>
      </c>
      <c r="Q5620">
        <f>IF(C5620=1,P5620*$J$457,Assumptions!$B$41)</f>
        <v/>
      </c>
      <c r="R5620">
        <f>IF(D5620=1,P5620*$F$457,Assumptions!$B$33)</f>
        <v/>
      </c>
      <c r="S5620">
        <f>IF(E5620=1,P5620*$G$457,Assumptions!$B$32)</f>
        <v/>
      </c>
      <c r="T5620">
        <f>IF(F5620=1,P5620*Assumptions!$B$14,Assumptions!$B$31)</f>
        <v/>
      </c>
      <c r="U5620">
        <f>IF(G5620=1,P5620*Assumptions!$B$13,Assumptions!$B$30)</f>
        <v/>
      </c>
      <c r="V5620">
        <f>IF(H5620=1,P5620*Assumptions!$B$12,Assumptions!$B$29)</f>
        <v/>
      </c>
      <c r="W5620">
        <f>IF(I5620=1,P5620*Assumptions!$B$11,Assumptions!$B$28)</f>
        <v/>
      </c>
      <c r="X5620">
        <f>P5620*($O$457+$S$457)</f>
        <v/>
      </c>
      <c r="Y5620">
        <f>P5620*Assumptions!$B$9</f>
        <v/>
      </c>
      <c r="Z5620">
        <f>IF(M5620=1,(P5620-Assumptions!$B$37)*Assumptions!$B$153,0)</f>
        <v/>
      </c>
      <c r="AA5620">
        <f>Q5620+R5620+S5620+T5620+U5620+V5620+W5620+X5620+Y5620+Z5620</f>
        <v/>
      </c>
      <c r="AB5620" t="n">
        <v>108</v>
      </c>
      <c r="AC5620" t="n">
        <v>44</v>
      </c>
      <c r="AD5620" t="n">
        <v>76</v>
      </c>
      <c r="AE5620" t="n">
        <v>124</v>
      </c>
      <c r="AF5620" t="n">
        <v>100</v>
      </c>
      <c r="AG5620" t="n">
        <v>104</v>
      </c>
      <c r="AH5620" t="n">
        <v>110</v>
      </c>
      <c r="AI5620" t="n">
        <v>109</v>
      </c>
      <c r="AJ5620">
        <f>INDEX($Q$5512:$Q$5639,AC5620+1)</f>
        <v/>
      </c>
      <c r="AK5620">
        <f>INDEX($R$5512:$R$5639,AD5620+1)</f>
        <v/>
      </c>
      <c r="AL5620">
        <f>INDEX($S$5512:$S$5639,AE5620+1)</f>
        <v/>
      </c>
      <c r="AM5620">
        <f>INDEX($T$5512:$T$5639,AF5620+1)</f>
        <v/>
      </c>
      <c r="AN5620">
        <f>INDEX($U$5512:$U$5639,AG5620+1)</f>
        <v/>
      </c>
      <c r="AO5620">
        <f>INDEX($V$5512:$V$5639,AH5620+1)</f>
        <v/>
      </c>
      <c r="AP5620">
        <f>INDEX($W$5512:$W$5639,AI5620+1)</f>
        <v/>
      </c>
      <c r="AQ5620">
        <f>IF(Q5620&gt;=AJ5620-0.01,1,0)</f>
        <v/>
      </c>
      <c r="AR5620">
        <f>IF(R5620&gt;=AK5620-0.01,1,0)</f>
        <v/>
      </c>
      <c r="AS5620">
        <f>IF(S5620&gt;=AL5620-0.01,1,0)</f>
        <v/>
      </c>
      <c r="AT5620">
        <f>IF(T5620&gt;=AM5620-0.01,1,0)</f>
        <v/>
      </c>
      <c r="AU5620">
        <f>IF(U5620&gt;=AN5620-0.01,1,0)</f>
        <v/>
      </c>
      <c r="AV5620">
        <f>IF(V5620&gt;=AO5620-0.01,1,0)</f>
        <v/>
      </c>
      <c r="AW5620">
        <f>IF(W5620&gt;=AP5620-0.01,1,0)</f>
        <v/>
      </c>
      <c r="AX5620">
        <f>AQ5620*AR5620*AS5620*AT5620*AU5620*AV5620*AW5620</f>
        <v/>
      </c>
    </row>
    <row r="5621">
      <c r="A5621" t="inlineStr"/>
      <c r="B5621">
        <f>Assumptions!$B$60</f>
        <v/>
      </c>
      <c r="C5621" t="n">
        <v>1</v>
      </c>
      <c r="D5621" t="n">
        <v>1</v>
      </c>
      <c r="E5621" t="n">
        <v>0</v>
      </c>
      <c r="F5621" t="n">
        <v>1</v>
      </c>
      <c r="G5621" t="n">
        <v>1</v>
      </c>
      <c r="H5621" t="n">
        <v>0</v>
      </c>
      <c r="I5621" t="n">
        <v>1</v>
      </c>
      <c r="J5621">
        <f>(1-C5621)*Assumptions!$B$41+(1-D5621)*Assumptions!$B$33+(1-E5621)*Assumptions!$B$32+(1-F5621)*Assumptions!$B$31+(1-G5621)*Assumptions!$B$30+(1-H5621)*Assumptions!$B$29+(1-I5621)*Assumptions!$B$28</f>
        <v/>
      </c>
      <c r="K5621">
        <f>C5621*$J$457+D5621*$F$457+E5621*$G$457+F5621*Assumptions!$B$14+G5621*Assumptions!$B$13+H5621*Assumptions!$B$12+I5621*Assumptions!$B$11+$O$457+$S$457+Assumptions!$B$9</f>
        <v/>
      </c>
      <c r="L5621">
        <f>B5621-J5621</f>
        <v/>
      </c>
      <c r="M5621">
        <f>IF(K5621&gt;0,IF(L5621/K5621&gt;=Assumptions!$B$37,1,0),0)</f>
        <v/>
      </c>
      <c r="N5621">
        <f>K5621+M5621*Assumptions!$B$153</f>
        <v/>
      </c>
      <c r="O5621">
        <f>L5621+M5621*Assumptions!$B$153*Assumptions!$B$37</f>
        <v/>
      </c>
      <c r="P5621">
        <f>IF(N5621&gt;0,O5621/N5621,0)</f>
        <v/>
      </c>
      <c r="Q5621">
        <f>IF(C5621=1,P5621*$J$457,Assumptions!$B$41)</f>
        <v/>
      </c>
      <c r="R5621">
        <f>IF(D5621=1,P5621*$F$457,Assumptions!$B$33)</f>
        <v/>
      </c>
      <c r="S5621">
        <f>IF(E5621=1,P5621*$G$457,Assumptions!$B$32)</f>
        <v/>
      </c>
      <c r="T5621">
        <f>IF(F5621=1,P5621*Assumptions!$B$14,Assumptions!$B$31)</f>
        <v/>
      </c>
      <c r="U5621">
        <f>IF(G5621=1,P5621*Assumptions!$B$13,Assumptions!$B$30)</f>
        <v/>
      </c>
      <c r="V5621">
        <f>IF(H5621=1,P5621*Assumptions!$B$12,Assumptions!$B$29)</f>
        <v/>
      </c>
      <c r="W5621">
        <f>IF(I5621=1,P5621*Assumptions!$B$11,Assumptions!$B$28)</f>
        <v/>
      </c>
      <c r="X5621">
        <f>P5621*($O$457+$S$457)</f>
        <v/>
      </c>
      <c r="Y5621">
        <f>P5621*Assumptions!$B$9</f>
        <v/>
      </c>
      <c r="Z5621">
        <f>IF(M5621=1,(P5621-Assumptions!$B$37)*Assumptions!$B$153,0)</f>
        <v/>
      </c>
      <c r="AA5621">
        <f>Q5621+R5621+S5621+T5621+U5621+V5621+W5621+X5621+Y5621+Z5621</f>
        <v/>
      </c>
      <c r="AB5621" t="n">
        <v>109</v>
      </c>
      <c r="AC5621" t="n">
        <v>45</v>
      </c>
      <c r="AD5621" t="n">
        <v>77</v>
      </c>
      <c r="AE5621" t="n">
        <v>125</v>
      </c>
      <c r="AF5621" t="n">
        <v>101</v>
      </c>
      <c r="AG5621" t="n">
        <v>105</v>
      </c>
      <c r="AH5621" t="n">
        <v>111</v>
      </c>
      <c r="AI5621" t="n">
        <v>108</v>
      </c>
      <c r="AJ5621">
        <f>INDEX($Q$5512:$Q$5639,AC5621+1)</f>
        <v/>
      </c>
      <c r="AK5621">
        <f>INDEX($R$5512:$R$5639,AD5621+1)</f>
        <v/>
      </c>
      <c r="AL5621">
        <f>INDEX($S$5512:$S$5639,AE5621+1)</f>
        <v/>
      </c>
      <c r="AM5621">
        <f>INDEX($T$5512:$T$5639,AF5621+1)</f>
        <v/>
      </c>
      <c r="AN5621">
        <f>INDEX($U$5512:$U$5639,AG5621+1)</f>
        <v/>
      </c>
      <c r="AO5621">
        <f>INDEX($V$5512:$V$5639,AH5621+1)</f>
        <v/>
      </c>
      <c r="AP5621">
        <f>INDEX($W$5512:$W$5639,AI5621+1)</f>
        <v/>
      </c>
      <c r="AQ5621">
        <f>IF(Q5621&gt;=AJ5621-0.01,1,0)</f>
        <v/>
      </c>
      <c r="AR5621">
        <f>IF(R5621&gt;=AK5621-0.01,1,0)</f>
        <v/>
      </c>
      <c r="AS5621">
        <f>IF(S5621&gt;=AL5621-0.01,1,0)</f>
        <v/>
      </c>
      <c r="AT5621">
        <f>IF(T5621&gt;=AM5621-0.01,1,0)</f>
        <v/>
      </c>
      <c r="AU5621">
        <f>IF(U5621&gt;=AN5621-0.01,1,0)</f>
        <v/>
      </c>
      <c r="AV5621">
        <f>IF(V5621&gt;=AO5621-0.01,1,0)</f>
        <v/>
      </c>
      <c r="AW5621">
        <f>IF(W5621&gt;=AP5621-0.01,1,0)</f>
        <v/>
      </c>
      <c r="AX5621">
        <f>AQ5621*AR5621*AS5621*AT5621*AU5621*AV5621*AW5621</f>
        <v/>
      </c>
    </row>
    <row r="5622">
      <c r="A5622" t="inlineStr"/>
      <c r="B5622">
        <f>Assumptions!$B$60</f>
        <v/>
      </c>
      <c r="C5622" t="n">
        <v>1</v>
      </c>
      <c r="D5622" t="n">
        <v>1</v>
      </c>
      <c r="E5622" t="n">
        <v>0</v>
      </c>
      <c r="F5622" t="n">
        <v>1</v>
      </c>
      <c r="G5622" t="n">
        <v>1</v>
      </c>
      <c r="H5622" t="n">
        <v>1</v>
      </c>
      <c r="I5622" t="n">
        <v>0</v>
      </c>
      <c r="J5622">
        <f>(1-C5622)*Assumptions!$B$41+(1-D5622)*Assumptions!$B$33+(1-E5622)*Assumptions!$B$32+(1-F5622)*Assumptions!$B$31+(1-G5622)*Assumptions!$B$30+(1-H5622)*Assumptions!$B$29+(1-I5622)*Assumptions!$B$28</f>
        <v/>
      </c>
      <c r="K5622">
        <f>C5622*$J$457+D5622*$F$457+E5622*$G$457+F5622*Assumptions!$B$14+G5622*Assumptions!$B$13+H5622*Assumptions!$B$12+I5622*Assumptions!$B$11+$O$457+$S$457+Assumptions!$B$9</f>
        <v/>
      </c>
      <c r="L5622">
        <f>B5622-J5622</f>
        <v/>
      </c>
      <c r="M5622">
        <f>IF(K5622&gt;0,IF(L5622/K5622&gt;=Assumptions!$B$37,1,0),0)</f>
        <v/>
      </c>
      <c r="N5622">
        <f>K5622+M5622*Assumptions!$B$153</f>
        <v/>
      </c>
      <c r="O5622">
        <f>L5622+M5622*Assumptions!$B$153*Assumptions!$B$37</f>
        <v/>
      </c>
      <c r="P5622">
        <f>IF(N5622&gt;0,O5622/N5622,0)</f>
        <v/>
      </c>
      <c r="Q5622">
        <f>IF(C5622=1,P5622*$J$457,Assumptions!$B$41)</f>
        <v/>
      </c>
      <c r="R5622">
        <f>IF(D5622=1,P5622*$F$457,Assumptions!$B$33)</f>
        <v/>
      </c>
      <c r="S5622">
        <f>IF(E5622=1,P5622*$G$457,Assumptions!$B$32)</f>
        <v/>
      </c>
      <c r="T5622">
        <f>IF(F5622=1,P5622*Assumptions!$B$14,Assumptions!$B$31)</f>
        <v/>
      </c>
      <c r="U5622">
        <f>IF(G5622=1,P5622*Assumptions!$B$13,Assumptions!$B$30)</f>
        <v/>
      </c>
      <c r="V5622">
        <f>IF(H5622=1,P5622*Assumptions!$B$12,Assumptions!$B$29)</f>
        <v/>
      </c>
      <c r="W5622">
        <f>IF(I5622=1,P5622*Assumptions!$B$11,Assumptions!$B$28)</f>
        <v/>
      </c>
      <c r="X5622">
        <f>P5622*($O$457+$S$457)</f>
        <v/>
      </c>
      <c r="Y5622">
        <f>P5622*Assumptions!$B$9</f>
        <v/>
      </c>
      <c r="Z5622">
        <f>IF(M5622=1,(P5622-Assumptions!$B$37)*Assumptions!$B$153,0)</f>
        <v/>
      </c>
      <c r="AA5622">
        <f>Q5622+R5622+S5622+T5622+U5622+V5622+W5622+X5622+Y5622+Z5622</f>
        <v/>
      </c>
      <c r="AB5622" t="n">
        <v>110</v>
      </c>
      <c r="AC5622" t="n">
        <v>46</v>
      </c>
      <c r="AD5622" t="n">
        <v>78</v>
      </c>
      <c r="AE5622" t="n">
        <v>126</v>
      </c>
      <c r="AF5622" t="n">
        <v>102</v>
      </c>
      <c r="AG5622" t="n">
        <v>106</v>
      </c>
      <c r="AH5622" t="n">
        <v>108</v>
      </c>
      <c r="AI5622" t="n">
        <v>111</v>
      </c>
      <c r="AJ5622">
        <f>INDEX($Q$5512:$Q$5639,AC5622+1)</f>
        <v/>
      </c>
      <c r="AK5622">
        <f>INDEX($R$5512:$R$5639,AD5622+1)</f>
        <v/>
      </c>
      <c r="AL5622">
        <f>INDEX($S$5512:$S$5639,AE5622+1)</f>
        <v/>
      </c>
      <c r="AM5622">
        <f>INDEX($T$5512:$T$5639,AF5622+1)</f>
        <v/>
      </c>
      <c r="AN5622">
        <f>INDEX($U$5512:$U$5639,AG5622+1)</f>
        <v/>
      </c>
      <c r="AO5622">
        <f>INDEX($V$5512:$V$5639,AH5622+1)</f>
        <v/>
      </c>
      <c r="AP5622">
        <f>INDEX($W$5512:$W$5639,AI5622+1)</f>
        <v/>
      </c>
      <c r="AQ5622">
        <f>IF(Q5622&gt;=AJ5622-0.01,1,0)</f>
        <v/>
      </c>
      <c r="AR5622">
        <f>IF(R5622&gt;=AK5622-0.01,1,0)</f>
        <v/>
      </c>
      <c r="AS5622">
        <f>IF(S5622&gt;=AL5622-0.01,1,0)</f>
        <v/>
      </c>
      <c r="AT5622">
        <f>IF(T5622&gt;=AM5622-0.01,1,0)</f>
        <v/>
      </c>
      <c r="AU5622">
        <f>IF(U5622&gt;=AN5622-0.01,1,0)</f>
        <v/>
      </c>
      <c r="AV5622">
        <f>IF(V5622&gt;=AO5622-0.01,1,0)</f>
        <v/>
      </c>
      <c r="AW5622">
        <f>IF(W5622&gt;=AP5622-0.01,1,0)</f>
        <v/>
      </c>
      <c r="AX5622">
        <f>AQ5622*AR5622*AS5622*AT5622*AU5622*AV5622*AW5622</f>
        <v/>
      </c>
    </row>
    <row r="5623">
      <c r="A5623" t="inlineStr"/>
      <c r="B5623">
        <f>Assumptions!$B$60</f>
        <v/>
      </c>
      <c r="C5623" t="n">
        <v>1</v>
      </c>
      <c r="D5623" t="n">
        <v>1</v>
      </c>
      <c r="E5623" t="n">
        <v>0</v>
      </c>
      <c r="F5623" t="n">
        <v>1</v>
      </c>
      <c r="G5623" t="n">
        <v>1</v>
      </c>
      <c r="H5623" t="n">
        <v>1</v>
      </c>
      <c r="I5623" t="n">
        <v>1</v>
      </c>
      <c r="J5623">
        <f>(1-C5623)*Assumptions!$B$41+(1-D5623)*Assumptions!$B$33+(1-E5623)*Assumptions!$B$32+(1-F5623)*Assumptions!$B$31+(1-G5623)*Assumptions!$B$30+(1-H5623)*Assumptions!$B$29+(1-I5623)*Assumptions!$B$28</f>
        <v/>
      </c>
      <c r="K5623">
        <f>C5623*$J$457+D5623*$F$457+E5623*$G$457+F5623*Assumptions!$B$14+G5623*Assumptions!$B$13+H5623*Assumptions!$B$12+I5623*Assumptions!$B$11+$O$457+$S$457+Assumptions!$B$9</f>
        <v/>
      </c>
      <c r="L5623">
        <f>B5623-J5623</f>
        <v/>
      </c>
      <c r="M5623">
        <f>IF(K5623&gt;0,IF(L5623/K5623&gt;=Assumptions!$B$37,1,0),0)</f>
        <v/>
      </c>
      <c r="N5623">
        <f>K5623+M5623*Assumptions!$B$153</f>
        <v/>
      </c>
      <c r="O5623">
        <f>L5623+M5623*Assumptions!$B$153*Assumptions!$B$37</f>
        <v/>
      </c>
      <c r="P5623">
        <f>IF(N5623&gt;0,O5623/N5623,0)</f>
        <v/>
      </c>
      <c r="Q5623">
        <f>IF(C5623=1,P5623*$J$457,Assumptions!$B$41)</f>
        <v/>
      </c>
      <c r="R5623">
        <f>IF(D5623=1,P5623*$F$457,Assumptions!$B$33)</f>
        <v/>
      </c>
      <c r="S5623">
        <f>IF(E5623=1,P5623*$G$457,Assumptions!$B$32)</f>
        <v/>
      </c>
      <c r="T5623">
        <f>IF(F5623=1,P5623*Assumptions!$B$14,Assumptions!$B$31)</f>
        <v/>
      </c>
      <c r="U5623">
        <f>IF(G5623=1,P5623*Assumptions!$B$13,Assumptions!$B$30)</f>
        <v/>
      </c>
      <c r="V5623">
        <f>IF(H5623=1,P5623*Assumptions!$B$12,Assumptions!$B$29)</f>
        <v/>
      </c>
      <c r="W5623">
        <f>IF(I5623=1,P5623*Assumptions!$B$11,Assumptions!$B$28)</f>
        <v/>
      </c>
      <c r="X5623">
        <f>P5623*($O$457+$S$457)</f>
        <v/>
      </c>
      <c r="Y5623">
        <f>P5623*Assumptions!$B$9</f>
        <v/>
      </c>
      <c r="Z5623">
        <f>IF(M5623=1,(P5623-Assumptions!$B$37)*Assumptions!$B$153,0)</f>
        <v/>
      </c>
      <c r="AA5623">
        <f>Q5623+R5623+S5623+T5623+U5623+V5623+W5623+X5623+Y5623+Z5623</f>
        <v/>
      </c>
      <c r="AB5623" t="n">
        <v>111</v>
      </c>
      <c r="AC5623" t="n">
        <v>47</v>
      </c>
      <c r="AD5623" t="n">
        <v>79</v>
      </c>
      <c r="AE5623" t="n">
        <v>127</v>
      </c>
      <c r="AF5623" t="n">
        <v>103</v>
      </c>
      <c r="AG5623" t="n">
        <v>107</v>
      </c>
      <c r="AH5623" t="n">
        <v>109</v>
      </c>
      <c r="AI5623" t="n">
        <v>110</v>
      </c>
      <c r="AJ5623">
        <f>INDEX($Q$5512:$Q$5639,AC5623+1)</f>
        <v/>
      </c>
      <c r="AK5623">
        <f>INDEX($R$5512:$R$5639,AD5623+1)</f>
        <v/>
      </c>
      <c r="AL5623">
        <f>INDEX($S$5512:$S$5639,AE5623+1)</f>
        <v/>
      </c>
      <c r="AM5623">
        <f>INDEX($T$5512:$T$5639,AF5623+1)</f>
        <v/>
      </c>
      <c r="AN5623">
        <f>INDEX($U$5512:$U$5639,AG5623+1)</f>
        <v/>
      </c>
      <c r="AO5623">
        <f>INDEX($V$5512:$V$5639,AH5623+1)</f>
        <v/>
      </c>
      <c r="AP5623">
        <f>INDEX($W$5512:$W$5639,AI5623+1)</f>
        <v/>
      </c>
      <c r="AQ5623">
        <f>IF(Q5623&gt;=AJ5623-0.01,1,0)</f>
        <v/>
      </c>
      <c r="AR5623">
        <f>IF(R5623&gt;=AK5623-0.01,1,0)</f>
        <v/>
      </c>
      <c r="AS5623">
        <f>IF(S5623&gt;=AL5623-0.01,1,0)</f>
        <v/>
      </c>
      <c r="AT5623">
        <f>IF(T5623&gt;=AM5623-0.01,1,0)</f>
        <v/>
      </c>
      <c r="AU5623">
        <f>IF(U5623&gt;=AN5623-0.01,1,0)</f>
        <v/>
      </c>
      <c r="AV5623">
        <f>IF(V5623&gt;=AO5623-0.01,1,0)</f>
        <v/>
      </c>
      <c r="AW5623">
        <f>IF(W5623&gt;=AP5623-0.01,1,0)</f>
        <v/>
      </c>
      <c r="AX5623">
        <f>AQ5623*AR5623*AS5623*AT5623*AU5623*AV5623*AW5623</f>
        <v/>
      </c>
    </row>
    <row r="5624">
      <c r="A5624" t="inlineStr"/>
      <c r="B5624">
        <f>Assumptions!$B$60</f>
        <v/>
      </c>
      <c r="C5624" t="n">
        <v>1</v>
      </c>
      <c r="D5624" t="n">
        <v>1</v>
      </c>
      <c r="E5624" t="n">
        <v>1</v>
      </c>
      <c r="F5624" t="n">
        <v>0</v>
      </c>
      <c r="G5624" t="n">
        <v>0</v>
      </c>
      <c r="H5624" t="n">
        <v>0</v>
      </c>
      <c r="I5624" t="n">
        <v>0</v>
      </c>
      <c r="J5624">
        <f>(1-C5624)*Assumptions!$B$41+(1-D5624)*Assumptions!$B$33+(1-E5624)*Assumptions!$B$32+(1-F5624)*Assumptions!$B$31+(1-G5624)*Assumptions!$B$30+(1-H5624)*Assumptions!$B$29+(1-I5624)*Assumptions!$B$28</f>
        <v/>
      </c>
      <c r="K5624">
        <f>C5624*$J$457+D5624*$F$457+E5624*$G$457+F5624*Assumptions!$B$14+G5624*Assumptions!$B$13+H5624*Assumptions!$B$12+I5624*Assumptions!$B$11+$O$457+$S$457+Assumptions!$B$9</f>
        <v/>
      </c>
      <c r="L5624">
        <f>B5624-J5624</f>
        <v/>
      </c>
      <c r="M5624">
        <f>IF(K5624&gt;0,IF(L5624/K5624&gt;=Assumptions!$B$37,1,0),0)</f>
        <v/>
      </c>
      <c r="N5624">
        <f>K5624+M5624*Assumptions!$B$153</f>
        <v/>
      </c>
      <c r="O5624">
        <f>L5624+M5624*Assumptions!$B$153*Assumptions!$B$37</f>
        <v/>
      </c>
      <c r="P5624">
        <f>IF(N5624&gt;0,O5624/N5624,0)</f>
        <v/>
      </c>
      <c r="Q5624">
        <f>IF(C5624=1,P5624*$J$457,Assumptions!$B$41)</f>
        <v/>
      </c>
      <c r="R5624">
        <f>IF(D5624=1,P5624*$F$457,Assumptions!$B$33)</f>
        <v/>
      </c>
      <c r="S5624">
        <f>IF(E5624=1,P5624*$G$457,Assumptions!$B$32)</f>
        <v/>
      </c>
      <c r="T5624">
        <f>IF(F5624=1,P5624*Assumptions!$B$14,Assumptions!$B$31)</f>
        <v/>
      </c>
      <c r="U5624">
        <f>IF(G5624=1,P5624*Assumptions!$B$13,Assumptions!$B$30)</f>
        <v/>
      </c>
      <c r="V5624">
        <f>IF(H5624=1,P5624*Assumptions!$B$12,Assumptions!$B$29)</f>
        <v/>
      </c>
      <c r="W5624">
        <f>IF(I5624=1,P5624*Assumptions!$B$11,Assumptions!$B$28)</f>
        <v/>
      </c>
      <c r="X5624">
        <f>P5624*($O$457+$S$457)</f>
        <v/>
      </c>
      <c r="Y5624">
        <f>P5624*Assumptions!$B$9</f>
        <v/>
      </c>
      <c r="Z5624">
        <f>IF(M5624=1,(P5624-Assumptions!$B$37)*Assumptions!$B$153,0)</f>
        <v/>
      </c>
      <c r="AA5624">
        <f>Q5624+R5624+S5624+T5624+U5624+V5624+W5624+X5624+Y5624+Z5624</f>
        <v/>
      </c>
      <c r="AB5624" t="n">
        <v>112</v>
      </c>
      <c r="AC5624" t="n">
        <v>48</v>
      </c>
      <c r="AD5624" t="n">
        <v>80</v>
      </c>
      <c r="AE5624" t="n">
        <v>96</v>
      </c>
      <c r="AF5624" t="n">
        <v>120</v>
      </c>
      <c r="AG5624" t="n">
        <v>116</v>
      </c>
      <c r="AH5624" t="n">
        <v>114</v>
      </c>
      <c r="AI5624" t="n">
        <v>113</v>
      </c>
      <c r="AJ5624">
        <f>INDEX($Q$5512:$Q$5639,AC5624+1)</f>
        <v/>
      </c>
      <c r="AK5624">
        <f>INDEX($R$5512:$R$5639,AD5624+1)</f>
        <v/>
      </c>
      <c r="AL5624">
        <f>INDEX($S$5512:$S$5639,AE5624+1)</f>
        <v/>
      </c>
      <c r="AM5624">
        <f>INDEX($T$5512:$T$5639,AF5624+1)</f>
        <v/>
      </c>
      <c r="AN5624">
        <f>INDEX($U$5512:$U$5639,AG5624+1)</f>
        <v/>
      </c>
      <c r="AO5624">
        <f>INDEX($V$5512:$V$5639,AH5624+1)</f>
        <v/>
      </c>
      <c r="AP5624">
        <f>INDEX($W$5512:$W$5639,AI5624+1)</f>
        <v/>
      </c>
      <c r="AQ5624">
        <f>IF(Q5624&gt;=AJ5624-0.01,1,0)</f>
        <v/>
      </c>
      <c r="AR5624">
        <f>IF(R5624&gt;=AK5624-0.01,1,0)</f>
        <v/>
      </c>
      <c r="AS5624">
        <f>IF(S5624&gt;=AL5624-0.01,1,0)</f>
        <v/>
      </c>
      <c r="AT5624">
        <f>IF(T5624&gt;=AM5624-0.01,1,0)</f>
        <v/>
      </c>
      <c r="AU5624">
        <f>IF(U5624&gt;=AN5624-0.01,1,0)</f>
        <v/>
      </c>
      <c r="AV5624">
        <f>IF(V5624&gt;=AO5624-0.01,1,0)</f>
        <v/>
      </c>
      <c r="AW5624">
        <f>IF(W5624&gt;=AP5624-0.01,1,0)</f>
        <v/>
      </c>
      <c r="AX5624">
        <f>AQ5624*AR5624*AS5624*AT5624*AU5624*AV5624*AW5624</f>
        <v/>
      </c>
    </row>
    <row r="5625">
      <c r="A5625" t="inlineStr"/>
      <c r="B5625">
        <f>Assumptions!$B$60</f>
        <v/>
      </c>
      <c r="C5625" t="n">
        <v>1</v>
      </c>
      <c r="D5625" t="n">
        <v>1</v>
      </c>
      <c r="E5625" t="n">
        <v>1</v>
      </c>
      <c r="F5625" t="n">
        <v>0</v>
      </c>
      <c r="G5625" t="n">
        <v>0</v>
      </c>
      <c r="H5625" t="n">
        <v>0</v>
      </c>
      <c r="I5625" t="n">
        <v>1</v>
      </c>
      <c r="J5625">
        <f>(1-C5625)*Assumptions!$B$41+(1-D5625)*Assumptions!$B$33+(1-E5625)*Assumptions!$B$32+(1-F5625)*Assumptions!$B$31+(1-G5625)*Assumptions!$B$30+(1-H5625)*Assumptions!$B$29+(1-I5625)*Assumptions!$B$28</f>
        <v/>
      </c>
      <c r="K5625">
        <f>C5625*$J$457+D5625*$F$457+E5625*$G$457+F5625*Assumptions!$B$14+G5625*Assumptions!$B$13+H5625*Assumptions!$B$12+I5625*Assumptions!$B$11+$O$457+$S$457+Assumptions!$B$9</f>
        <v/>
      </c>
      <c r="L5625">
        <f>B5625-J5625</f>
        <v/>
      </c>
      <c r="M5625">
        <f>IF(K5625&gt;0,IF(L5625/K5625&gt;=Assumptions!$B$37,1,0),0)</f>
        <v/>
      </c>
      <c r="N5625">
        <f>K5625+M5625*Assumptions!$B$153</f>
        <v/>
      </c>
      <c r="O5625">
        <f>L5625+M5625*Assumptions!$B$153*Assumptions!$B$37</f>
        <v/>
      </c>
      <c r="P5625">
        <f>IF(N5625&gt;0,O5625/N5625,0)</f>
        <v/>
      </c>
      <c r="Q5625">
        <f>IF(C5625=1,P5625*$J$457,Assumptions!$B$41)</f>
        <v/>
      </c>
      <c r="R5625">
        <f>IF(D5625=1,P5625*$F$457,Assumptions!$B$33)</f>
        <v/>
      </c>
      <c r="S5625">
        <f>IF(E5625=1,P5625*$G$457,Assumptions!$B$32)</f>
        <v/>
      </c>
      <c r="T5625">
        <f>IF(F5625=1,P5625*Assumptions!$B$14,Assumptions!$B$31)</f>
        <v/>
      </c>
      <c r="U5625">
        <f>IF(G5625=1,P5625*Assumptions!$B$13,Assumptions!$B$30)</f>
        <v/>
      </c>
      <c r="V5625">
        <f>IF(H5625=1,P5625*Assumptions!$B$12,Assumptions!$B$29)</f>
        <v/>
      </c>
      <c r="W5625">
        <f>IF(I5625=1,P5625*Assumptions!$B$11,Assumptions!$B$28)</f>
        <v/>
      </c>
      <c r="X5625">
        <f>P5625*($O$457+$S$457)</f>
        <v/>
      </c>
      <c r="Y5625">
        <f>P5625*Assumptions!$B$9</f>
        <v/>
      </c>
      <c r="Z5625">
        <f>IF(M5625=1,(P5625-Assumptions!$B$37)*Assumptions!$B$153,0)</f>
        <v/>
      </c>
      <c r="AA5625">
        <f>Q5625+R5625+S5625+T5625+U5625+V5625+W5625+X5625+Y5625+Z5625</f>
        <v/>
      </c>
      <c r="AB5625" t="n">
        <v>113</v>
      </c>
      <c r="AC5625" t="n">
        <v>49</v>
      </c>
      <c r="AD5625" t="n">
        <v>81</v>
      </c>
      <c r="AE5625" t="n">
        <v>97</v>
      </c>
      <c r="AF5625" t="n">
        <v>121</v>
      </c>
      <c r="AG5625" t="n">
        <v>117</v>
      </c>
      <c r="AH5625" t="n">
        <v>115</v>
      </c>
      <c r="AI5625" t="n">
        <v>112</v>
      </c>
      <c r="AJ5625">
        <f>INDEX($Q$5512:$Q$5639,AC5625+1)</f>
        <v/>
      </c>
      <c r="AK5625">
        <f>INDEX($R$5512:$R$5639,AD5625+1)</f>
        <v/>
      </c>
      <c r="AL5625">
        <f>INDEX($S$5512:$S$5639,AE5625+1)</f>
        <v/>
      </c>
      <c r="AM5625">
        <f>INDEX($T$5512:$T$5639,AF5625+1)</f>
        <v/>
      </c>
      <c r="AN5625">
        <f>INDEX($U$5512:$U$5639,AG5625+1)</f>
        <v/>
      </c>
      <c r="AO5625">
        <f>INDEX($V$5512:$V$5639,AH5625+1)</f>
        <v/>
      </c>
      <c r="AP5625">
        <f>INDEX($W$5512:$W$5639,AI5625+1)</f>
        <v/>
      </c>
      <c r="AQ5625">
        <f>IF(Q5625&gt;=AJ5625-0.01,1,0)</f>
        <v/>
      </c>
      <c r="AR5625">
        <f>IF(R5625&gt;=AK5625-0.01,1,0)</f>
        <v/>
      </c>
      <c r="AS5625">
        <f>IF(S5625&gt;=AL5625-0.01,1,0)</f>
        <v/>
      </c>
      <c r="AT5625">
        <f>IF(T5625&gt;=AM5625-0.01,1,0)</f>
        <v/>
      </c>
      <c r="AU5625">
        <f>IF(U5625&gt;=AN5625-0.01,1,0)</f>
        <v/>
      </c>
      <c r="AV5625">
        <f>IF(V5625&gt;=AO5625-0.01,1,0)</f>
        <v/>
      </c>
      <c r="AW5625">
        <f>IF(W5625&gt;=AP5625-0.01,1,0)</f>
        <v/>
      </c>
      <c r="AX5625">
        <f>AQ5625*AR5625*AS5625*AT5625*AU5625*AV5625*AW5625</f>
        <v/>
      </c>
    </row>
    <row r="5626">
      <c r="A5626" t="inlineStr"/>
      <c r="B5626">
        <f>Assumptions!$B$60</f>
        <v/>
      </c>
      <c r="C5626" t="n">
        <v>1</v>
      </c>
      <c r="D5626" t="n">
        <v>1</v>
      </c>
      <c r="E5626" t="n">
        <v>1</v>
      </c>
      <c r="F5626" t="n">
        <v>0</v>
      </c>
      <c r="G5626" t="n">
        <v>0</v>
      </c>
      <c r="H5626" t="n">
        <v>1</v>
      </c>
      <c r="I5626" t="n">
        <v>0</v>
      </c>
      <c r="J5626">
        <f>(1-C5626)*Assumptions!$B$41+(1-D5626)*Assumptions!$B$33+(1-E5626)*Assumptions!$B$32+(1-F5626)*Assumptions!$B$31+(1-G5626)*Assumptions!$B$30+(1-H5626)*Assumptions!$B$29+(1-I5626)*Assumptions!$B$28</f>
        <v/>
      </c>
      <c r="K5626">
        <f>C5626*$J$457+D5626*$F$457+E5626*$G$457+F5626*Assumptions!$B$14+G5626*Assumptions!$B$13+H5626*Assumptions!$B$12+I5626*Assumptions!$B$11+$O$457+$S$457+Assumptions!$B$9</f>
        <v/>
      </c>
      <c r="L5626">
        <f>B5626-J5626</f>
        <v/>
      </c>
      <c r="M5626">
        <f>IF(K5626&gt;0,IF(L5626/K5626&gt;=Assumptions!$B$37,1,0),0)</f>
        <v/>
      </c>
      <c r="N5626">
        <f>K5626+M5626*Assumptions!$B$153</f>
        <v/>
      </c>
      <c r="O5626">
        <f>L5626+M5626*Assumptions!$B$153*Assumptions!$B$37</f>
        <v/>
      </c>
      <c r="P5626">
        <f>IF(N5626&gt;0,O5626/N5626,0)</f>
        <v/>
      </c>
      <c r="Q5626">
        <f>IF(C5626=1,P5626*$J$457,Assumptions!$B$41)</f>
        <v/>
      </c>
      <c r="R5626">
        <f>IF(D5626=1,P5626*$F$457,Assumptions!$B$33)</f>
        <v/>
      </c>
      <c r="S5626">
        <f>IF(E5626=1,P5626*$G$457,Assumptions!$B$32)</f>
        <v/>
      </c>
      <c r="T5626">
        <f>IF(F5626=1,P5626*Assumptions!$B$14,Assumptions!$B$31)</f>
        <v/>
      </c>
      <c r="U5626">
        <f>IF(G5626=1,P5626*Assumptions!$B$13,Assumptions!$B$30)</f>
        <v/>
      </c>
      <c r="V5626">
        <f>IF(H5626=1,P5626*Assumptions!$B$12,Assumptions!$B$29)</f>
        <v/>
      </c>
      <c r="W5626">
        <f>IF(I5626=1,P5626*Assumptions!$B$11,Assumptions!$B$28)</f>
        <v/>
      </c>
      <c r="X5626">
        <f>P5626*($O$457+$S$457)</f>
        <v/>
      </c>
      <c r="Y5626">
        <f>P5626*Assumptions!$B$9</f>
        <v/>
      </c>
      <c r="Z5626">
        <f>IF(M5626=1,(P5626-Assumptions!$B$37)*Assumptions!$B$153,0)</f>
        <v/>
      </c>
      <c r="AA5626">
        <f>Q5626+R5626+S5626+T5626+U5626+V5626+W5626+X5626+Y5626+Z5626</f>
        <v/>
      </c>
      <c r="AB5626" t="n">
        <v>114</v>
      </c>
      <c r="AC5626" t="n">
        <v>50</v>
      </c>
      <c r="AD5626" t="n">
        <v>82</v>
      </c>
      <c r="AE5626" t="n">
        <v>98</v>
      </c>
      <c r="AF5626" t="n">
        <v>122</v>
      </c>
      <c r="AG5626" t="n">
        <v>118</v>
      </c>
      <c r="AH5626" t="n">
        <v>112</v>
      </c>
      <c r="AI5626" t="n">
        <v>115</v>
      </c>
      <c r="AJ5626">
        <f>INDEX($Q$5512:$Q$5639,AC5626+1)</f>
        <v/>
      </c>
      <c r="AK5626">
        <f>INDEX($R$5512:$R$5639,AD5626+1)</f>
        <v/>
      </c>
      <c r="AL5626">
        <f>INDEX($S$5512:$S$5639,AE5626+1)</f>
        <v/>
      </c>
      <c r="AM5626">
        <f>INDEX($T$5512:$T$5639,AF5626+1)</f>
        <v/>
      </c>
      <c r="AN5626">
        <f>INDEX($U$5512:$U$5639,AG5626+1)</f>
        <v/>
      </c>
      <c r="AO5626">
        <f>INDEX($V$5512:$V$5639,AH5626+1)</f>
        <v/>
      </c>
      <c r="AP5626">
        <f>INDEX($W$5512:$W$5639,AI5626+1)</f>
        <v/>
      </c>
      <c r="AQ5626">
        <f>IF(Q5626&gt;=AJ5626-0.01,1,0)</f>
        <v/>
      </c>
      <c r="AR5626">
        <f>IF(R5626&gt;=AK5626-0.01,1,0)</f>
        <v/>
      </c>
      <c r="AS5626">
        <f>IF(S5626&gt;=AL5626-0.01,1,0)</f>
        <v/>
      </c>
      <c r="AT5626">
        <f>IF(T5626&gt;=AM5626-0.01,1,0)</f>
        <v/>
      </c>
      <c r="AU5626">
        <f>IF(U5626&gt;=AN5626-0.01,1,0)</f>
        <v/>
      </c>
      <c r="AV5626">
        <f>IF(V5626&gt;=AO5626-0.01,1,0)</f>
        <v/>
      </c>
      <c r="AW5626">
        <f>IF(W5626&gt;=AP5626-0.01,1,0)</f>
        <v/>
      </c>
      <c r="AX5626">
        <f>AQ5626*AR5626*AS5626*AT5626*AU5626*AV5626*AW5626</f>
        <v/>
      </c>
    </row>
    <row r="5627">
      <c r="A5627" t="inlineStr"/>
      <c r="B5627">
        <f>Assumptions!$B$60</f>
        <v/>
      </c>
      <c r="C5627" t="n">
        <v>1</v>
      </c>
      <c r="D5627" t="n">
        <v>1</v>
      </c>
      <c r="E5627" t="n">
        <v>1</v>
      </c>
      <c r="F5627" t="n">
        <v>0</v>
      </c>
      <c r="G5627" t="n">
        <v>0</v>
      </c>
      <c r="H5627" t="n">
        <v>1</v>
      </c>
      <c r="I5627" t="n">
        <v>1</v>
      </c>
      <c r="J5627">
        <f>(1-C5627)*Assumptions!$B$41+(1-D5627)*Assumptions!$B$33+(1-E5627)*Assumptions!$B$32+(1-F5627)*Assumptions!$B$31+(1-G5627)*Assumptions!$B$30+(1-H5627)*Assumptions!$B$29+(1-I5627)*Assumptions!$B$28</f>
        <v/>
      </c>
      <c r="K5627">
        <f>C5627*$J$457+D5627*$F$457+E5627*$G$457+F5627*Assumptions!$B$14+G5627*Assumptions!$B$13+H5627*Assumptions!$B$12+I5627*Assumptions!$B$11+$O$457+$S$457+Assumptions!$B$9</f>
        <v/>
      </c>
      <c r="L5627">
        <f>B5627-J5627</f>
        <v/>
      </c>
      <c r="M5627">
        <f>IF(K5627&gt;0,IF(L5627/K5627&gt;=Assumptions!$B$37,1,0),0)</f>
        <v/>
      </c>
      <c r="N5627">
        <f>K5627+M5627*Assumptions!$B$153</f>
        <v/>
      </c>
      <c r="O5627">
        <f>L5627+M5627*Assumptions!$B$153*Assumptions!$B$37</f>
        <v/>
      </c>
      <c r="P5627">
        <f>IF(N5627&gt;0,O5627/N5627,0)</f>
        <v/>
      </c>
      <c r="Q5627">
        <f>IF(C5627=1,P5627*$J$457,Assumptions!$B$41)</f>
        <v/>
      </c>
      <c r="R5627">
        <f>IF(D5627=1,P5627*$F$457,Assumptions!$B$33)</f>
        <v/>
      </c>
      <c r="S5627">
        <f>IF(E5627=1,P5627*$G$457,Assumptions!$B$32)</f>
        <v/>
      </c>
      <c r="T5627">
        <f>IF(F5627=1,P5627*Assumptions!$B$14,Assumptions!$B$31)</f>
        <v/>
      </c>
      <c r="U5627">
        <f>IF(G5627=1,P5627*Assumptions!$B$13,Assumptions!$B$30)</f>
        <v/>
      </c>
      <c r="V5627">
        <f>IF(H5627=1,P5627*Assumptions!$B$12,Assumptions!$B$29)</f>
        <v/>
      </c>
      <c r="W5627">
        <f>IF(I5627=1,P5627*Assumptions!$B$11,Assumptions!$B$28)</f>
        <v/>
      </c>
      <c r="X5627">
        <f>P5627*($O$457+$S$457)</f>
        <v/>
      </c>
      <c r="Y5627">
        <f>P5627*Assumptions!$B$9</f>
        <v/>
      </c>
      <c r="Z5627">
        <f>IF(M5627=1,(P5627-Assumptions!$B$37)*Assumptions!$B$153,0)</f>
        <v/>
      </c>
      <c r="AA5627">
        <f>Q5627+R5627+S5627+T5627+U5627+V5627+W5627+X5627+Y5627+Z5627</f>
        <v/>
      </c>
      <c r="AB5627" t="n">
        <v>115</v>
      </c>
      <c r="AC5627" t="n">
        <v>51</v>
      </c>
      <c r="AD5627" t="n">
        <v>83</v>
      </c>
      <c r="AE5627" t="n">
        <v>99</v>
      </c>
      <c r="AF5627" t="n">
        <v>123</v>
      </c>
      <c r="AG5627" t="n">
        <v>119</v>
      </c>
      <c r="AH5627" t="n">
        <v>113</v>
      </c>
      <c r="AI5627" t="n">
        <v>114</v>
      </c>
      <c r="AJ5627">
        <f>INDEX($Q$5512:$Q$5639,AC5627+1)</f>
        <v/>
      </c>
      <c r="AK5627">
        <f>INDEX($R$5512:$R$5639,AD5627+1)</f>
        <v/>
      </c>
      <c r="AL5627">
        <f>INDEX($S$5512:$S$5639,AE5627+1)</f>
        <v/>
      </c>
      <c r="AM5627">
        <f>INDEX($T$5512:$T$5639,AF5627+1)</f>
        <v/>
      </c>
      <c r="AN5627">
        <f>INDEX($U$5512:$U$5639,AG5627+1)</f>
        <v/>
      </c>
      <c r="AO5627">
        <f>INDEX($V$5512:$V$5639,AH5627+1)</f>
        <v/>
      </c>
      <c r="AP5627">
        <f>INDEX($W$5512:$W$5639,AI5627+1)</f>
        <v/>
      </c>
      <c r="AQ5627">
        <f>IF(Q5627&gt;=AJ5627-0.01,1,0)</f>
        <v/>
      </c>
      <c r="AR5627">
        <f>IF(R5627&gt;=AK5627-0.01,1,0)</f>
        <v/>
      </c>
      <c r="AS5627">
        <f>IF(S5627&gt;=AL5627-0.01,1,0)</f>
        <v/>
      </c>
      <c r="AT5627">
        <f>IF(T5627&gt;=AM5627-0.01,1,0)</f>
        <v/>
      </c>
      <c r="AU5627">
        <f>IF(U5627&gt;=AN5627-0.01,1,0)</f>
        <v/>
      </c>
      <c r="AV5627">
        <f>IF(V5627&gt;=AO5627-0.01,1,0)</f>
        <v/>
      </c>
      <c r="AW5627">
        <f>IF(W5627&gt;=AP5627-0.01,1,0)</f>
        <v/>
      </c>
      <c r="AX5627">
        <f>AQ5627*AR5627*AS5627*AT5627*AU5627*AV5627*AW5627</f>
        <v/>
      </c>
    </row>
    <row r="5628">
      <c r="A5628" t="inlineStr"/>
      <c r="B5628">
        <f>Assumptions!$B$60</f>
        <v/>
      </c>
      <c r="C5628" t="n">
        <v>1</v>
      </c>
      <c r="D5628" t="n">
        <v>1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>
        <f>(1-C5628)*Assumptions!$B$41+(1-D5628)*Assumptions!$B$33+(1-E5628)*Assumptions!$B$32+(1-F5628)*Assumptions!$B$31+(1-G5628)*Assumptions!$B$30+(1-H5628)*Assumptions!$B$29+(1-I5628)*Assumptions!$B$28</f>
        <v/>
      </c>
      <c r="K5628">
        <f>C5628*$J$457+D5628*$F$457+E5628*$G$457+F5628*Assumptions!$B$14+G5628*Assumptions!$B$13+H5628*Assumptions!$B$12+I5628*Assumptions!$B$11+$O$457+$S$457+Assumptions!$B$9</f>
        <v/>
      </c>
      <c r="L5628">
        <f>B5628-J5628</f>
        <v/>
      </c>
      <c r="M5628">
        <f>IF(K5628&gt;0,IF(L5628/K5628&gt;=Assumptions!$B$37,1,0),0)</f>
        <v/>
      </c>
      <c r="N5628">
        <f>K5628+M5628*Assumptions!$B$153</f>
        <v/>
      </c>
      <c r="O5628">
        <f>L5628+M5628*Assumptions!$B$153*Assumptions!$B$37</f>
        <v/>
      </c>
      <c r="P5628">
        <f>IF(N5628&gt;0,O5628/N5628,0)</f>
        <v/>
      </c>
      <c r="Q5628">
        <f>IF(C5628=1,P5628*$J$457,Assumptions!$B$41)</f>
        <v/>
      </c>
      <c r="R5628">
        <f>IF(D5628=1,P5628*$F$457,Assumptions!$B$33)</f>
        <v/>
      </c>
      <c r="S5628">
        <f>IF(E5628=1,P5628*$G$457,Assumptions!$B$32)</f>
        <v/>
      </c>
      <c r="T5628">
        <f>IF(F5628=1,P5628*Assumptions!$B$14,Assumptions!$B$31)</f>
        <v/>
      </c>
      <c r="U5628">
        <f>IF(G5628=1,P5628*Assumptions!$B$13,Assumptions!$B$30)</f>
        <v/>
      </c>
      <c r="V5628">
        <f>IF(H5628=1,P5628*Assumptions!$B$12,Assumptions!$B$29)</f>
        <v/>
      </c>
      <c r="W5628">
        <f>IF(I5628=1,P5628*Assumptions!$B$11,Assumptions!$B$28)</f>
        <v/>
      </c>
      <c r="X5628">
        <f>P5628*($O$457+$S$457)</f>
        <v/>
      </c>
      <c r="Y5628">
        <f>P5628*Assumptions!$B$9</f>
        <v/>
      </c>
      <c r="Z5628">
        <f>IF(M5628=1,(P5628-Assumptions!$B$37)*Assumptions!$B$153,0)</f>
        <v/>
      </c>
      <c r="AA5628">
        <f>Q5628+R5628+S5628+T5628+U5628+V5628+W5628+X5628+Y5628+Z5628</f>
        <v/>
      </c>
      <c r="AB5628" t="n">
        <v>116</v>
      </c>
      <c r="AC5628" t="n">
        <v>52</v>
      </c>
      <c r="AD5628" t="n">
        <v>84</v>
      </c>
      <c r="AE5628" t="n">
        <v>100</v>
      </c>
      <c r="AF5628" t="n">
        <v>124</v>
      </c>
      <c r="AG5628" t="n">
        <v>112</v>
      </c>
      <c r="AH5628" t="n">
        <v>118</v>
      </c>
      <c r="AI5628" t="n">
        <v>117</v>
      </c>
      <c r="AJ5628">
        <f>INDEX($Q$5512:$Q$5639,AC5628+1)</f>
        <v/>
      </c>
      <c r="AK5628">
        <f>INDEX($R$5512:$R$5639,AD5628+1)</f>
        <v/>
      </c>
      <c r="AL5628">
        <f>INDEX($S$5512:$S$5639,AE5628+1)</f>
        <v/>
      </c>
      <c r="AM5628">
        <f>INDEX($T$5512:$T$5639,AF5628+1)</f>
        <v/>
      </c>
      <c r="AN5628">
        <f>INDEX($U$5512:$U$5639,AG5628+1)</f>
        <v/>
      </c>
      <c r="AO5628">
        <f>INDEX($V$5512:$V$5639,AH5628+1)</f>
        <v/>
      </c>
      <c r="AP5628">
        <f>INDEX($W$5512:$W$5639,AI5628+1)</f>
        <v/>
      </c>
      <c r="AQ5628">
        <f>IF(Q5628&gt;=AJ5628-0.01,1,0)</f>
        <v/>
      </c>
      <c r="AR5628">
        <f>IF(R5628&gt;=AK5628-0.01,1,0)</f>
        <v/>
      </c>
      <c r="AS5628">
        <f>IF(S5628&gt;=AL5628-0.01,1,0)</f>
        <v/>
      </c>
      <c r="AT5628">
        <f>IF(T5628&gt;=AM5628-0.01,1,0)</f>
        <v/>
      </c>
      <c r="AU5628">
        <f>IF(U5628&gt;=AN5628-0.01,1,0)</f>
        <v/>
      </c>
      <c r="AV5628">
        <f>IF(V5628&gt;=AO5628-0.01,1,0)</f>
        <v/>
      </c>
      <c r="AW5628">
        <f>IF(W5628&gt;=AP5628-0.01,1,0)</f>
        <v/>
      </c>
      <c r="AX5628">
        <f>AQ5628*AR5628*AS5628*AT5628*AU5628*AV5628*AW5628</f>
        <v/>
      </c>
    </row>
    <row r="5629">
      <c r="A5629" t="inlineStr"/>
      <c r="B5629">
        <f>Assumptions!$B$60</f>
        <v/>
      </c>
      <c r="C5629" t="n">
        <v>1</v>
      </c>
      <c r="D5629" t="n">
        <v>1</v>
      </c>
      <c r="E5629" t="n">
        <v>1</v>
      </c>
      <c r="F5629" t="n">
        <v>0</v>
      </c>
      <c r="G5629" t="n">
        <v>1</v>
      </c>
      <c r="H5629" t="n">
        <v>0</v>
      </c>
      <c r="I5629" t="n">
        <v>1</v>
      </c>
      <c r="J5629">
        <f>(1-C5629)*Assumptions!$B$41+(1-D5629)*Assumptions!$B$33+(1-E5629)*Assumptions!$B$32+(1-F5629)*Assumptions!$B$31+(1-G5629)*Assumptions!$B$30+(1-H5629)*Assumptions!$B$29+(1-I5629)*Assumptions!$B$28</f>
        <v/>
      </c>
      <c r="K5629">
        <f>C5629*$J$457+D5629*$F$457+E5629*$G$457+F5629*Assumptions!$B$14+G5629*Assumptions!$B$13+H5629*Assumptions!$B$12+I5629*Assumptions!$B$11+$O$457+$S$457+Assumptions!$B$9</f>
        <v/>
      </c>
      <c r="L5629">
        <f>B5629-J5629</f>
        <v/>
      </c>
      <c r="M5629">
        <f>IF(K5629&gt;0,IF(L5629/K5629&gt;=Assumptions!$B$37,1,0),0)</f>
        <v/>
      </c>
      <c r="N5629">
        <f>K5629+M5629*Assumptions!$B$153</f>
        <v/>
      </c>
      <c r="O5629">
        <f>L5629+M5629*Assumptions!$B$153*Assumptions!$B$37</f>
        <v/>
      </c>
      <c r="P5629">
        <f>IF(N5629&gt;0,O5629/N5629,0)</f>
        <v/>
      </c>
      <c r="Q5629">
        <f>IF(C5629=1,P5629*$J$457,Assumptions!$B$41)</f>
        <v/>
      </c>
      <c r="R5629">
        <f>IF(D5629=1,P5629*$F$457,Assumptions!$B$33)</f>
        <v/>
      </c>
      <c r="S5629">
        <f>IF(E5629=1,P5629*$G$457,Assumptions!$B$32)</f>
        <v/>
      </c>
      <c r="T5629">
        <f>IF(F5629=1,P5629*Assumptions!$B$14,Assumptions!$B$31)</f>
        <v/>
      </c>
      <c r="U5629">
        <f>IF(G5629=1,P5629*Assumptions!$B$13,Assumptions!$B$30)</f>
        <v/>
      </c>
      <c r="V5629">
        <f>IF(H5629=1,P5629*Assumptions!$B$12,Assumptions!$B$29)</f>
        <v/>
      </c>
      <c r="W5629">
        <f>IF(I5629=1,P5629*Assumptions!$B$11,Assumptions!$B$28)</f>
        <v/>
      </c>
      <c r="X5629">
        <f>P5629*($O$457+$S$457)</f>
        <v/>
      </c>
      <c r="Y5629">
        <f>P5629*Assumptions!$B$9</f>
        <v/>
      </c>
      <c r="Z5629">
        <f>IF(M5629=1,(P5629-Assumptions!$B$37)*Assumptions!$B$153,0)</f>
        <v/>
      </c>
      <c r="AA5629">
        <f>Q5629+R5629+S5629+T5629+U5629+V5629+W5629+X5629+Y5629+Z5629</f>
        <v/>
      </c>
      <c r="AB5629" t="n">
        <v>117</v>
      </c>
      <c r="AC5629" t="n">
        <v>53</v>
      </c>
      <c r="AD5629" t="n">
        <v>85</v>
      </c>
      <c r="AE5629" t="n">
        <v>101</v>
      </c>
      <c r="AF5629" t="n">
        <v>125</v>
      </c>
      <c r="AG5629" t="n">
        <v>113</v>
      </c>
      <c r="AH5629" t="n">
        <v>119</v>
      </c>
      <c r="AI5629" t="n">
        <v>116</v>
      </c>
      <c r="AJ5629">
        <f>INDEX($Q$5512:$Q$5639,AC5629+1)</f>
        <v/>
      </c>
      <c r="AK5629">
        <f>INDEX($R$5512:$R$5639,AD5629+1)</f>
        <v/>
      </c>
      <c r="AL5629">
        <f>INDEX($S$5512:$S$5639,AE5629+1)</f>
        <v/>
      </c>
      <c r="AM5629">
        <f>INDEX($T$5512:$T$5639,AF5629+1)</f>
        <v/>
      </c>
      <c r="AN5629">
        <f>INDEX($U$5512:$U$5639,AG5629+1)</f>
        <v/>
      </c>
      <c r="AO5629">
        <f>INDEX($V$5512:$V$5639,AH5629+1)</f>
        <v/>
      </c>
      <c r="AP5629">
        <f>INDEX($W$5512:$W$5639,AI5629+1)</f>
        <v/>
      </c>
      <c r="AQ5629">
        <f>IF(Q5629&gt;=AJ5629-0.01,1,0)</f>
        <v/>
      </c>
      <c r="AR5629">
        <f>IF(R5629&gt;=AK5629-0.01,1,0)</f>
        <v/>
      </c>
      <c r="AS5629">
        <f>IF(S5629&gt;=AL5629-0.01,1,0)</f>
        <v/>
      </c>
      <c r="AT5629">
        <f>IF(T5629&gt;=AM5629-0.01,1,0)</f>
        <v/>
      </c>
      <c r="AU5629">
        <f>IF(U5629&gt;=AN5629-0.01,1,0)</f>
        <v/>
      </c>
      <c r="AV5629">
        <f>IF(V5629&gt;=AO5629-0.01,1,0)</f>
        <v/>
      </c>
      <c r="AW5629">
        <f>IF(W5629&gt;=AP5629-0.01,1,0)</f>
        <v/>
      </c>
      <c r="AX5629">
        <f>AQ5629*AR5629*AS5629*AT5629*AU5629*AV5629*AW5629</f>
        <v/>
      </c>
    </row>
    <row r="5630">
      <c r="A5630" t="inlineStr"/>
      <c r="B5630">
        <f>Assumptions!$B$60</f>
        <v/>
      </c>
      <c r="C5630" t="n">
        <v>1</v>
      </c>
      <c r="D5630" t="n">
        <v>1</v>
      </c>
      <c r="E5630" t="n">
        <v>1</v>
      </c>
      <c r="F5630" t="n">
        <v>0</v>
      </c>
      <c r="G5630" t="n">
        <v>1</v>
      </c>
      <c r="H5630" t="n">
        <v>1</v>
      </c>
      <c r="I5630" t="n">
        <v>0</v>
      </c>
      <c r="J5630">
        <f>(1-C5630)*Assumptions!$B$41+(1-D5630)*Assumptions!$B$33+(1-E5630)*Assumptions!$B$32+(1-F5630)*Assumptions!$B$31+(1-G5630)*Assumptions!$B$30+(1-H5630)*Assumptions!$B$29+(1-I5630)*Assumptions!$B$28</f>
        <v/>
      </c>
      <c r="K5630">
        <f>C5630*$J$457+D5630*$F$457+E5630*$G$457+F5630*Assumptions!$B$14+G5630*Assumptions!$B$13+H5630*Assumptions!$B$12+I5630*Assumptions!$B$11+$O$457+$S$457+Assumptions!$B$9</f>
        <v/>
      </c>
      <c r="L5630">
        <f>B5630-J5630</f>
        <v/>
      </c>
      <c r="M5630">
        <f>IF(K5630&gt;0,IF(L5630/K5630&gt;=Assumptions!$B$37,1,0),0)</f>
        <v/>
      </c>
      <c r="N5630">
        <f>K5630+M5630*Assumptions!$B$153</f>
        <v/>
      </c>
      <c r="O5630">
        <f>L5630+M5630*Assumptions!$B$153*Assumptions!$B$37</f>
        <v/>
      </c>
      <c r="P5630">
        <f>IF(N5630&gt;0,O5630/N5630,0)</f>
        <v/>
      </c>
      <c r="Q5630">
        <f>IF(C5630=1,P5630*$J$457,Assumptions!$B$41)</f>
        <v/>
      </c>
      <c r="R5630">
        <f>IF(D5630=1,P5630*$F$457,Assumptions!$B$33)</f>
        <v/>
      </c>
      <c r="S5630">
        <f>IF(E5630=1,P5630*$G$457,Assumptions!$B$32)</f>
        <v/>
      </c>
      <c r="T5630">
        <f>IF(F5630=1,P5630*Assumptions!$B$14,Assumptions!$B$31)</f>
        <v/>
      </c>
      <c r="U5630">
        <f>IF(G5630=1,P5630*Assumptions!$B$13,Assumptions!$B$30)</f>
        <v/>
      </c>
      <c r="V5630">
        <f>IF(H5630=1,P5630*Assumptions!$B$12,Assumptions!$B$29)</f>
        <v/>
      </c>
      <c r="W5630">
        <f>IF(I5630=1,P5630*Assumptions!$B$11,Assumptions!$B$28)</f>
        <v/>
      </c>
      <c r="X5630">
        <f>P5630*($O$457+$S$457)</f>
        <v/>
      </c>
      <c r="Y5630">
        <f>P5630*Assumptions!$B$9</f>
        <v/>
      </c>
      <c r="Z5630">
        <f>IF(M5630=1,(P5630-Assumptions!$B$37)*Assumptions!$B$153,0)</f>
        <v/>
      </c>
      <c r="AA5630">
        <f>Q5630+R5630+S5630+T5630+U5630+V5630+W5630+X5630+Y5630+Z5630</f>
        <v/>
      </c>
      <c r="AB5630" t="n">
        <v>118</v>
      </c>
      <c r="AC5630" t="n">
        <v>54</v>
      </c>
      <c r="AD5630" t="n">
        <v>86</v>
      </c>
      <c r="AE5630" t="n">
        <v>102</v>
      </c>
      <c r="AF5630" t="n">
        <v>126</v>
      </c>
      <c r="AG5630" t="n">
        <v>114</v>
      </c>
      <c r="AH5630" t="n">
        <v>116</v>
      </c>
      <c r="AI5630" t="n">
        <v>119</v>
      </c>
      <c r="AJ5630">
        <f>INDEX($Q$5512:$Q$5639,AC5630+1)</f>
        <v/>
      </c>
      <c r="AK5630">
        <f>INDEX($R$5512:$R$5639,AD5630+1)</f>
        <v/>
      </c>
      <c r="AL5630">
        <f>INDEX($S$5512:$S$5639,AE5630+1)</f>
        <v/>
      </c>
      <c r="AM5630">
        <f>INDEX($T$5512:$T$5639,AF5630+1)</f>
        <v/>
      </c>
      <c r="AN5630">
        <f>INDEX($U$5512:$U$5639,AG5630+1)</f>
        <v/>
      </c>
      <c r="AO5630">
        <f>INDEX($V$5512:$V$5639,AH5630+1)</f>
        <v/>
      </c>
      <c r="AP5630">
        <f>INDEX($W$5512:$W$5639,AI5630+1)</f>
        <v/>
      </c>
      <c r="AQ5630">
        <f>IF(Q5630&gt;=AJ5630-0.01,1,0)</f>
        <v/>
      </c>
      <c r="AR5630">
        <f>IF(R5630&gt;=AK5630-0.01,1,0)</f>
        <v/>
      </c>
      <c r="AS5630">
        <f>IF(S5630&gt;=AL5630-0.01,1,0)</f>
        <v/>
      </c>
      <c r="AT5630">
        <f>IF(T5630&gt;=AM5630-0.01,1,0)</f>
        <v/>
      </c>
      <c r="AU5630">
        <f>IF(U5630&gt;=AN5630-0.01,1,0)</f>
        <v/>
      </c>
      <c r="AV5630">
        <f>IF(V5630&gt;=AO5630-0.01,1,0)</f>
        <v/>
      </c>
      <c r="AW5630">
        <f>IF(W5630&gt;=AP5630-0.01,1,0)</f>
        <v/>
      </c>
      <c r="AX5630">
        <f>AQ5630*AR5630*AS5630*AT5630*AU5630*AV5630*AW5630</f>
        <v/>
      </c>
    </row>
    <row r="5631">
      <c r="A5631" t="inlineStr"/>
      <c r="B5631">
        <f>Assumptions!$B$60</f>
        <v/>
      </c>
      <c r="C5631" t="n">
        <v>1</v>
      </c>
      <c r="D5631" t="n">
        <v>1</v>
      </c>
      <c r="E5631" t="n">
        <v>1</v>
      </c>
      <c r="F5631" t="n">
        <v>0</v>
      </c>
      <c r="G5631" t="n">
        <v>1</v>
      </c>
      <c r="H5631" t="n">
        <v>1</v>
      </c>
      <c r="I5631" t="n">
        <v>1</v>
      </c>
      <c r="J5631">
        <f>(1-C5631)*Assumptions!$B$41+(1-D5631)*Assumptions!$B$33+(1-E5631)*Assumptions!$B$32+(1-F5631)*Assumptions!$B$31+(1-G5631)*Assumptions!$B$30+(1-H5631)*Assumptions!$B$29+(1-I5631)*Assumptions!$B$28</f>
        <v/>
      </c>
      <c r="K5631">
        <f>C5631*$J$457+D5631*$F$457+E5631*$G$457+F5631*Assumptions!$B$14+G5631*Assumptions!$B$13+H5631*Assumptions!$B$12+I5631*Assumptions!$B$11+$O$457+$S$457+Assumptions!$B$9</f>
        <v/>
      </c>
      <c r="L5631">
        <f>B5631-J5631</f>
        <v/>
      </c>
      <c r="M5631">
        <f>IF(K5631&gt;0,IF(L5631/K5631&gt;=Assumptions!$B$37,1,0),0)</f>
        <v/>
      </c>
      <c r="N5631">
        <f>K5631+M5631*Assumptions!$B$153</f>
        <v/>
      </c>
      <c r="O5631">
        <f>L5631+M5631*Assumptions!$B$153*Assumptions!$B$37</f>
        <v/>
      </c>
      <c r="P5631">
        <f>IF(N5631&gt;0,O5631/N5631,0)</f>
        <v/>
      </c>
      <c r="Q5631">
        <f>IF(C5631=1,P5631*$J$457,Assumptions!$B$41)</f>
        <v/>
      </c>
      <c r="R5631">
        <f>IF(D5631=1,P5631*$F$457,Assumptions!$B$33)</f>
        <v/>
      </c>
      <c r="S5631">
        <f>IF(E5631=1,P5631*$G$457,Assumptions!$B$32)</f>
        <v/>
      </c>
      <c r="T5631">
        <f>IF(F5631=1,P5631*Assumptions!$B$14,Assumptions!$B$31)</f>
        <v/>
      </c>
      <c r="U5631">
        <f>IF(G5631=1,P5631*Assumptions!$B$13,Assumptions!$B$30)</f>
        <v/>
      </c>
      <c r="V5631">
        <f>IF(H5631=1,P5631*Assumptions!$B$12,Assumptions!$B$29)</f>
        <v/>
      </c>
      <c r="W5631">
        <f>IF(I5631=1,P5631*Assumptions!$B$11,Assumptions!$B$28)</f>
        <v/>
      </c>
      <c r="X5631">
        <f>P5631*($O$457+$S$457)</f>
        <v/>
      </c>
      <c r="Y5631">
        <f>P5631*Assumptions!$B$9</f>
        <v/>
      </c>
      <c r="Z5631">
        <f>IF(M5631=1,(P5631-Assumptions!$B$37)*Assumptions!$B$153,0)</f>
        <v/>
      </c>
      <c r="AA5631">
        <f>Q5631+R5631+S5631+T5631+U5631+V5631+W5631+X5631+Y5631+Z5631</f>
        <v/>
      </c>
      <c r="AB5631" t="n">
        <v>119</v>
      </c>
      <c r="AC5631" t="n">
        <v>55</v>
      </c>
      <c r="AD5631" t="n">
        <v>87</v>
      </c>
      <c r="AE5631" t="n">
        <v>103</v>
      </c>
      <c r="AF5631" t="n">
        <v>127</v>
      </c>
      <c r="AG5631" t="n">
        <v>115</v>
      </c>
      <c r="AH5631" t="n">
        <v>117</v>
      </c>
      <c r="AI5631" t="n">
        <v>118</v>
      </c>
      <c r="AJ5631">
        <f>INDEX($Q$5512:$Q$5639,AC5631+1)</f>
        <v/>
      </c>
      <c r="AK5631">
        <f>INDEX($R$5512:$R$5639,AD5631+1)</f>
        <v/>
      </c>
      <c r="AL5631">
        <f>INDEX($S$5512:$S$5639,AE5631+1)</f>
        <v/>
      </c>
      <c r="AM5631">
        <f>INDEX($T$5512:$T$5639,AF5631+1)</f>
        <v/>
      </c>
      <c r="AN5631">
        <f>INDEX($U$5512:$U$5639,AG5631+1)</f>
        <v/>
      </c>
      <c r="AO5631">
        <f>INDEX($V$5512:$V$5639,AH5631+1)</f>
        <v/>
      </c>
      <c r="AP5631">
        <f>INDEX($W$5512:$W$5639,AI5631+1)</f>
        <v/>
      </c>
      <c r="AQ5631">
        <f>IF(Q5631&gt;=AJ5631-0.01,1,0)</f>
        <v/>
      </c>
      <c r="AR5631">
        <f>IF(R5631&gt;=AK5631-0.01,1,0)</f>
        <v/>
      </c>
      <c r="AS5631">
        <f>IF(S5631&gt;=AL5631-0.01,1,0)</f>
        <v/>
      </c>
      <c r="AT5631">
        <f>IF(T5631&gt;=AM5631-0.01,1,0)</f>
        <v/>
      </c>
      <c r="AU5631">
        <f>IF(U5631&gt;=AN5631-0.01,1,0)</f>
        <v/>
      </c>
      <c r="AV5631">
        <f>IF(V5631&gt;=AO5631-0.01,1,0)</f>
        <v/>
      </c>
      <c r="AW5631">
        <f>IF(W5631&gt;=AP5631-0.01,1,0)</f>
        <v/>
      </c>
      <c r="AX5631">
        <f>AQ5631*AR5631*AS5631*AT5631*AU5631*AV5631*AW5631</f>
        <v/>
      </c>
    </row>
    <row r="5632">
      <c r="A5632" t="inlineStr"/>
      <c r="B5632">
        <f>Assumptions!$B$60</f>
        <v/>
      </c>
      <c r="C5632" t="n">
        <v>1</v>
      </c>
      <c r="D5632" t="n">
        <v>1</v>
      </c>
      <c r="E5632" t="n">
        <v>1</v>
      </c>
      <c r="F5632" t="n">
        <v>1</v>
      </c>
      <c r="G5632" t="n">
        <v>0</v>
      </c>
      <c r="H5632" t="n">
        <v>0</v>
      </c>
      <c r="I5632" t="n">
        <v>0</v>
      </c>
      <c r="J5632">
        <f>(1-C5632)*Assumptions!$B$41+(1-D5632)*Assumptions!$B$33+(1-E5632)*Assumptions!$B$32+(1-F5632)*Assumptions!$B$31+(1-G5632)*Assumptions!$B$30+(1-H5632)*Assumptions!$B$29+(1-I5632)*Assumptions!$B$28</f>
        <v/>
      </c>
      <c r="K5632">
        <f>C5632*$J$457+D5632*$F$457+E5632*$G$457+F5632*Assumptions!$B$14+G5632*Assumptions!$B$13+H5632*Assumptions!$B$12+I5632*Assumptions!$B$11+$O$457+$S$457+Assumptions!$B$9</f>
        <v/>
      </c>
      <c r="L5632">
        <f>B5632-J5632</f>
        <v/>
      </c>
      <c r="M5632">
        <f>IF(K5632&gt;0,IF(L5632/K5632&gt;=Assumptions!$B$37,1,0),0)</f>
        <v/>
      </c>
      <c r="N5632">
        <f>K5632+M5632*Assumptions!$B$153</f>
        <v/>
      </c>
      <c r="O5632">
        <f>L5632+M5632*Assumptions!$B$153*Assumptions!$B$37</f>
        <v/>
      </c>
      <c r="P5632">
        <f>IF(N5632&gt;0,O5632/N5632,0)</f>
        <v/>
      </c>
      <c r="Q5632">
        <f>IF(C5632=1,P5632*$J$457,Assumptions!$B$41)</f>
        <v/>
      </c>
      <c r="R5632">
        <f>IF(D5632=1,P5632*$F$457,Assumptions!$B$33)</f>
        <v/>
      </c>
      <c r="S5632">
        <f>IF(E5632=1,P5632*$G$457,Assumptions!$B$32)</f>
        <v/>
      </c>
      <c r="T5632">
        <f>IF(F5632=1,P5632*Assumptions!$B$14,Assumptions!$B$31)</f>
        <v/>
      </c>
      <c r="U5632">
        <f>IF(G5632=1,P5632*Assumptions!$B$13,Assumptions!$B$30)</f>
        <v/>
      </c>
      <c r="V5632">
        <f>IF(H5632=1,P5632*Assumptions!$B$12,Assumptions!$B$29)</f>
        <v/>
      </c>
      <c r="W5632">
        <f>IF(I5632=1,P5632*Assumptions!$B$11,Assumptions!$B$28)</f>
        <v/>
      </c>
      <c r="X5632">
        <f>P5632*($O$457+$S$457)</f>
        <v/>
      </c>
      <c r="Y5632">
        <f>P5632*Assumptions!$B$9</f>
        <v/>
      </c>
      <c r="Z5632">
        <f>IF(M5632=1,(P5632-Assumptions!$B$37)*Assumptions!$B$153,0)</f>
        <v/>
      </c>
      <c r="AA5632">
        <f>Q5632+R5632+S5632+T5632+U5632+V5632+W5632+X5632+Y5632+Z5632</f>
        <v/>
      </c>
      <c r="AB5632" t="n">
        <v>120</v>
      </c>
      <c r="AC5632" t="n">
        <v>56</v>
      </c>
      <c r="AD5632" t="n">
        <v>88</v>
      </c>
      <c r="AE5632" t="n">
        <v>104</v>
      </c>
      <c r="AF5632" t="n">
        <v>112</v>
      </c>
      <c r="AG5632" t="n">
        <v>124</v>
      </c>
      <c r="AH5632" t="n">
        <v>122</v>
      </c>
      <c r="AI5632" t="n">
        <v>121</v>
      </c>
      <c r="AJ5632">
        <f>INDEX($Q$5512:$Q$5639,AC5632+1)</f>
        <v/>
      </c>
      <c r="AK5632">
        <f>INDEX($R$5512:$R$5639,AD5632+1)</f>
        <v/>
      </c>
      <c r="AL5632">
        <f>INDEX($S$5512:$S$5639,AE5632+1)</f>
        <v/>
      </c>
      <c r="AM5632">
        <f>INDEX($T$5512:$T$5639,AF5632+1)</f>
        <v/>
      </c>
      <c r="AN5632">
        <f>INDEX($U$5512:$U$5639,AG5632+1)</f>
        <v/>
      </c>
      <c r="AO5632">
        <f>INDEX($V$5512:$V$5639,AH5632+1)</f>
        <v/>
      </c>
      <c r="AP5632">
        <f>INDEX($W$5512:$W$5639,AI5632+1)</f>
        <v/>
      </c>
      <c r="AQ5632">
        <f>IF(Q5632&gt;=AJ5632-0.01,1,0)</f>
        <v/>
      </c>
      <c r="AR5632">
        <f>IF(R5632&gt;=AK5632-0.01,1,0)</f>
        <v/>
      </c>
      <c r="AS5632">
        <f>IF(S5632&gt;=AL5632-0.01,1,0)</f>
        <v/>
      </c>
      <c r="AT5632">
        <f>IF(T5632&gt;=AM5632-0.01,1,0)</f>
        <v/>
      </c>
      <c r="AU5632">
        <f>IF(U5632&gt;=AN5632-0.01,1,0)</f>
        <v/>
      </c>
      <c r="AV5632">
        <f>IF(V5632&gt;=AO5632-0.01,1,0)</f>
        <v/>
      </c>
      <c r="AW5632">
        <f>IF(W5632&gt;=AP5632-0.01,1,0)</f>
        <v/>
      </c>
      <c r="AX5632">
        <f>AQ5632*AR5632*AS5632*AT5632*AU5632*AV5632*AW5632</f>
        <v/>
      </c>
    </row>
    <row r="5633">
      <c r="A5633" t="inlineStr"/>
      <c r="B5633">
        <f>Assumptions!$B$60</f>
        <v/>
      </c>
      <c r="C5633" t="n">
        <v>1</v>
      </c>
      <c r="D5633" t="n">
        <v>1</v>
      </c>
      <c r="E5633" t="n">
        <v>1</v>
      </c>
      <c r="F5633" t="n">
        <v>1</v>
      </c>
      <c r="G5633" t="n">
        <v>0</v>
      </c>
      <c r="H5633" t="n">
        <v>0</v>
      </c>
      <c r="I5633" t="n">
        <v>1</v>
      </c>
      <c r="J5633">
        <f>(1-C5633)*Assumptions!$B$41+(1-D5633)*Assumptions!$B$33+(1-E5633)*Assumptions!$B$32+(1-F5633)*Assumptions!$B$31+(1-G5633)*Assumptions!$B$30+(1-H5633)*Assumptions!$B$29+(1-I5633)*Assumptions!$B$28</f>
        <v/>
      </c>
      <c r="K5633">
        <f>C5633*$J$457+D5633*$F$457+E5633*$G$457+F5633*Assumptions!$B$14+G5633*Assumptions!$B$13+H5633*Assumptions!$B$12+I5633*Assumptions!$B$11+$O$457+$S$457+Assumptions!$B$9</f>
        <v/>
      </c>
      <c r="L5633">
        <f>B5633-J5633</f>
        <v/>
      </c>
      <c r="M5633">
        <f>IF(K5633&gt;0,IF(L5633/K5633&gt;=Assumptions!$B$37,1,0),0)</f>
        <v/>
      </c>
      <c r="N5633">
        <f>K5633+M5633*Assumptions!$B$153</f>
        <v/>
      </c>
      <c r="O5633">
        <f>L5633+M5633*Assumptions!$B$153*Assumptions!$B$37</f>
        <v/>
      </c>
      <c r="P5633">
        <f>IF(N5633&gt;0,O5633/N5633,0)</f>
        <v/>
      </c>
      <c r="Q5633">
        <f>IF(C5633=1,P5633*$J$457,Assumptions!$B$41)</f>
        <v/>
      </c>
      <c r="R5633">
        <f>IF(D5633=1,P5633*$F$457,Assumptions!$B$33)</f>
        <v/>
      </c>
      <c r="S5633">
        <f>IF(E5633=1,P5633*$G$457,Assumptions!$B$32)</f>
        <v/>
      </c>
      <c r="T5633">
        <f>IF(F5633=1,P5633*Assumptions!$B$14,Assumptions!$B$31)</f>
        <v/>
      </c>
      <c r="U5633">
        <f>IF(G5633=1,P5633*Assumptions!$B$13,Assumptions!$B$30)</f>
        <v/>
      </c>
      <c r="V5633">
        <f>IF(H5633=1,P5633*Assumptions!$B$12,Assumptions!$B$29)</f>
        <v/>
      </c>
      <c r="W5633">
        <f>IF(I5633=1,P5633*Assumptions!$B$11,Assumptions!$B$28)</f>
        <v/>
      </c>
      <c r="X5633">
        <f>P5633*($O$457+$S$457)</f>
        <v/>
      </c>
      <c r="Y5633">
        <f>P5633*Assumptions!$B$9</f>
        <v/>
      </c>
      <c r="Z5633">
        <f>IF(M5633=1,(P5633-Assumptions!$B$37)*Assumptions!$B$153,0)</f>
        <v/>
      </c>
      <c r="AA5633">
        <f>Q5633+R5633+S5633+T5633+U5633+V5633+W5633+X5633+Y5633+Z5633</f>
        <v/>
      </c>
      <c r="AB5633" t="n">
        <v>121</v>
      </c>
      <c r="AC5633" t="n">
        <v>57</v>
      </c>
      <c r="AD5633" t="n">
        <v>89</v>
      </c>
      <c r="AE5633" t="n">
        <v>105</v>
      </c>
      <c r="AF5633" t="n">
        <v>113</v>
      </c>
      <c r="AG5633" t="n">
        <v>125</v>
      </c>
      <c r="AH5633" t="n">
        <v>123</v>
      </c>
      <c r="AI5633" t="n">
        <v>120</v>
      </c>
      <c r="AJ5633">
        <f>INDEX($Q$5512:$Q$5639,AC5633+1)</f>
        <v/>
      </c>
      <c r="AK5633">
        <f>INDEX($R$5512:$R$5639,AD5633+1)</f>
        <v/>
      </c>
      <c r="AL5633">
        <f>INDEX($S$5512:$S$5639,AE5633+1)</f>
        <v/>
      </c>
      <c r="AM5633">
        <f>INDEX($T$5512:$T$5639,AF5633+1)</f>
        <v/>
      </c>
      <c r="AN5633">
        <f>INDEX($U$5512:$U$5639,AG5633+1)</f>
        <v/>
      </c>
      <c r="AO5633">
        <f>INDEX($V$5512:$V$5639,AH5633+1)</f>
        <v/>
      </c>
      <c r="AP5633">
        <f>INDEX($W$5512:$W$5639,AI5633+1)</f>
        <v/>
      </c>
      <c r="AQ5633">
        <f>IF(Q5633&gt;=AJ5633-0.01,1,0)</f>
        <v/>
      </c>
      <c r="AR5633">
        <f>IF(R5633&gt;=AK5633-0.01,1,0)</f>
        <v/>
      </c>
      <c r="AS5633">
        <f>IF(S5633&gt;=AL5633-0.01,1,0)</f>
        <v/>
      </c>
      <c r="AT5633">
        <f>IF(T5633&gt;=AM5633-0.01,1,0)</f>
        <v/>
      </c>
      <c r="AU5633">
        <f>IF(U5633&gt;=AN5633-0.01,1,0)</f>
        <v/>
      </c>
      <c r="AV5633">
        <f>IF(V5633&gt;=AO5633-0.01,1,0)</f>
        <v/>
      </c>
      <c r="AW5633">
        <f>IF(W5633&gt;=AP5633-0.01,1,0)</f>
        <v/>
      </c>
      <c r="AX5633">
        <f>AQ5633*AR5633*AS5633*AT5633*AU5633*AV5633*AW5633</f>
        <v/>
      </c>
    </row>
    <row r="5634">
      <c r="A5634" t="inlineStr"/>
      <c r="B5634">
        <f>Assumptions!$B$60</f>
        <v/>
      </c>
      <c r="C5634" t="n">
        <v>1</v>
      </c>
      <c r="D5634" t="n">
        <v>1</v>
      </c>
      <c r="E5634" t="n">
        <v>1</v>
      </c>
      <c r="F5634" t="n">
        <v>1</v>
      </c>
      <c r="G5634" t="n">
        <v>0</v>
      </c>
      <c r="H5634" t="n">
        <v>1</v>
      </c>
      <c r="I5634" t="n">
        <v>0</v>
      </c>
      <c r="J5634">
        <f>(1-C5634)*Assumptions!$B$41+(1-D5634)*Assumptions!$B$33+(1-E5634)*Assumptions!$B$32+(1-F5634)*Assumptions!$B$31+(1-G5634)*Assumptions!$B$30+(1-H5634)*Assumptions!$B$29+(1-I5634)*Assumptions!$B$28</f>
        <v/>
      </c>
      <c r="K5634">
        <f>C5634*$J$457+D5634*$F$457+E5634*$G$457+F5634*Assumptions!$B$14+G5634*Assumptions!$B$13+H5634*Assumptions!$B$12+I5634*Assumptions!$B$11+$O$457+$S$457+Assumptions!$B$9</f>
        <v/>
      </c>
      <c r="L5634">
        <f>B5634-J5634</f>
        <v/>
      </c>
      <c r="M5634">
        <f>IF(K5634&gt;0,IF(L5634/K5634&gt;=Assumptions!$B$37,1,0),0)</f>
        <v/>
      </c>
      <c r="N5634">
        <f>K5634+M5634*Assumptions!$B$153</f>
        <v/>
      </c>
      <c r="O5634">
        <f>L5634+M5634*Assumptions!$B$153*Assumptions!$B$37</f>
        <v/>
      </c>
      <c r="P5634">
        <f>IF(N5634&gt;0,O5634/N5634,0)</f>
        <v/>
      </c>
      <c r="Q5634">
        <f>IF(C5634=1,P5634*$J$457,Assumptions!$B$41)</f>
        <v/>
      </c>
      <c r="R5634">
        <f>IF(D5634=1,P5634*$F$457,Assumptions!$B$33)</f>
        <v/>
      </c>
      <c r="S5634">
        <f>IF(E5634=1,P5634*$G$457,Assumptions!$B$32)</f>
        <v/>
      </c>
      <c r="T5634">
        <f>IF(F5634=1,P5634*Assumptions!$B$14,Assumptions!$B$31)</f>
        <v/>
      </c>
      <c r="U5634">
        <f>IF(G5634=1,P5634*Assumptions!$B$13,Assumptions!$B$30)</f>
        <v/>
      </c>
      <c r="V5634">
        <f>IF(H5634=1,P5634*Assumptions!$B$12,Assumptions!$B$29)</f>
        <v/>
      </c>
      <c r="W5634">
        <f>IF(I5634=1,P5634*Assumptions!$B$11,Assumptions!$B$28)</f>
        <v/>
      </c>
      <c r="X5634">
        <f>P5634*($O$457+$S$457)</f>
        <v/>
      </c>
      <c r="Y5634">
        <f>P5634*Assumptions!$B$9</f>
        <v/>
      </c>
      <c r="Z5634">
        <f>IF(M5634=1,(P5634-Assumptions!$B$37)*Assumptions!$B$153,0)</f>
        <v/>
      </c>
      <c r="AA5634">
        <f>Q5634+R5634+S5634+T5634+U5634+V5634+W5634+X5634+Y5634+Z5634</f>
        <v/>
      </c>
      <c r="AB5634" t="n">
        <v>122</v>
      </c>
      <c r="AC5634" t="n">
        <v>58</v>
      </c>
      <c r="AD5634" t="n">
        <v>90</v>
      </c>
      <c r="AE5634" t="n">
        <v>106</v>
      </c>
      <c r="AF5634" t="n">
        <v>114</v>
      </c>
      <c r="AG5634" t="n">
        <v>126</v>
      </c>
      <c r="AH5634" t="n">
        <v>120</v>
      </c>
      <c r="AI5634" t="n">
        <v>123</v>
      </c>
      <c r="AJ5634">
        <f>INDEX($Q$5512:$Q$5639,AC5634+1)</f>
        <v/>
      </c>
      <c r="AK5634">
        <f>INDEX($R$5512:$R$5639,AD5634+1)</f>
        <v/>
      </c>
      <c r="AL5634">
        <f>INDEX($S$5512:$S$5639,AE5634+1)</f>
        <v/>
      </c>
      <c r="AM5634">
        <f>INDEX($T$5512:$T$5639,AF5634+1)</f>
        <v/>
      </c>
      <c r="AN5634">
        <f>INDEX($U$5512:$U$5639,AG5634+1)</f>
        <v/>
      </c>
      <c r="AO5634">
        <f>INDEX($V$5512:$V$5639,AH5634+1)</f>
        <v/>
      </c>
      <c r="AP5634">
        <f>INDEX($W$5512:$W$5639,AI5634+1)</f>
        <v/>
      </c>
      <c r="AQ5634">
        <f>IF(Q5634&gt;=AJ5634-0.01,1,0)</f>
        <v/>
      </c>
      <c r="AR5634">
        <f>IF(R5634&gt;=AK5634-0.01,1,0)</f>
        <v/>
      </c>
      <c r="AS5634">
        <f>IF(S5634&gt;=AL5634-0.01,1,0)</f>
        <v/>
      </c>
      <c r="AT5634">
        <f>IF(T5634&gt;=AM5634-0.01,1,0)</f>
        <v/>
      </c>
      <c r="AU5634">
        <f>IF(U5634&gt;=AN5634-0.01,1,0)</f>
        <v/>
      </c>
      <c r="AV5634">
        <f>IF(V5634&gt;=AO5634-0.01,1,0)</f>
        <v/>
      </c>
      <c r="AW5634">
        <f>IF(W5634&gt;=AP5634-0.01,1,0)</f>
        <v/>
      </c>
      <c r="AX5634">
        <f>AQ5634*AR5634*AS5634*AT5634*AU5634*AV5634*AW5634</f>
        <v/>
      </c>
    </row>
    <row r="5635">
      <c r="A5635" t="inlineStr"/>
      <c r="B5635">
        <f>Assumptions!$B$60</f>
        <v/>
      </c>
      <c r="C5635" t="n">
        <v>1</v>
      </c>
      <c r="D5635" t="n">
        <v>1</v>
      </c>
      <c r="E5635" t="n">
        <v>1</v>
      </c>
      <c r="F5635" t="n">
        <v>1</v>
      </c>
      <c r="G5635" t="n">
        <v>0</v>
      </c>
      <c r="H5635" t="n">
        <v>1</v>
      </c>
      <c r="I5635" t="n">
        <v>1</v>
      </c>
      <c r="J5635">
        <f>(1-C5635)*Assumptions!$B$41+(1-D5635)*Assumptions!$B$33+(1-E5635)*Assumptions!$B$32+(1-F5635)*Assumptions!$B$31+(1-G5635)*Assumptions!$B$30+(1-H5635)*Assumptions!$B$29+(1-I5635)*Assumptions!$B$28</f>
        <v/>
      </c>
      <c r="K5635">
        <f>C5635*$J$457+D5635*$F$457+E5635*$G$457+F5635*Assumptions!$B$14+G5635*Assumptions!$B$13+H5635*Assumptions!$B$12+I5635*Assumptions!$B$11+$O$457+$S$457+Assumptions!$B$9</f>
        <v/>
      </c>
      <c r="L5635">
        <f>B5635-J5635</f>
        <v/>
      </c>
      <c r="M5635">
        <f>IF(K5635&gt;0,IF(L5635/K5635&gt;=Assumptions!$B$37,1,0),0)</f>
        <v/>
      </c>
      <c r="N5635">
        <f>K5635+M5635*Assumptions!$B$153</f>
        <v/>
      </c>
      <c r="O5635">
        <f>L5635+M5635*Assumptions!$B$153*Assumptions!$B$37</f>
        <v/>
      </c>
      <c r="P5635">
        <f>IF(N5635&gt;0,O5635/N5635,0)</f>
        <v/>
      </c>
      <c r="Q5635">
        <f>IF(C5635=1,P5635*$J$457,Assumptions!$B$41)</f>
        <v/>
      </c>
      <c r="R5635">
        <f>IF(D5635=1,P5635*$F$457,Assumptions!$B$33)</f>
        <v/>
      </c>
      <c r="S5635">
        <f>IF(E5635=1,P5635*$G$457,Assumptions!$B$32)</f>
        <v/>
      </c>
      <c r="T5635">
        <f>IF(F5635=1,P5635*Assumptions!$B$14,Assumptions!$B$31)</f>
        <v/>
      </c>
      <c r="U5635">
        <f>IF(G5635=1,P5635*Assumptions!$B$13,Assumptions!$B$30)</f>
        <v/>
      </c>
      <c r="V5635">
        <f>IF(H5635=1,P5635*Assumptions!$B$12,Assumptions!$B$29)</f>
        <v/>
      </c>
      <c r="W5635">
        <f>IF(I5635=1,P5635*Assumptions!$B$11,Assumptions!$B$28)</f>
        <v/>
      </c>
      <c r="X5635">
        <f>P5635*($O$457+$S$457)</f>
        <v/>
      </c>
      <c r="Y5635">
        <f>P5635*Assumptions!$B$9</f>
        <v/>
      </c>
      <c r="Z5635">
        <f>IF(M5635=1,(P5635-Assumptions!$B$37)*Assumptions!$B$153,0)</f>
        <v/>
      </c>
      <c r="AA5635">
        <f>Q5635+R5635+S5635+T5635+U5635+V5635+W5635+X5635+Y5635+Z5635</f>
        <v/>
      </c>
      <c r="AB5635" t="n">
        <v>123</v>
      </c>
      <c r="AC5635" t="n">
        <v>59</v>
      </c>
      <c r="AD5635" t="n">
        <v>91</v>
      </c>
      <c r="AE5635" t="n">
        <v>107</v>
      </c>
      <c r="AF5635" t="n">
        <v>115</v>
      </c>
      <c r="AG5635" t="n">
        <v>127</v>
      </c>
      <c r="AH5635" t="n">
        <v>121</v>
      </c>
      <c r="AI5635" t="n">
        <v>122</v>
      </c>
      <c r="AJ5635">
        <f>INDEX($Q$5512:$Q$5639,AC5635+1)</f>
        <v/>
      </c>
      <c r="AK5635">
        <f>INDEX($R$5512:$R$5639,AD5635+1)</f>
        <v/>
      </c>
      <c r="AL5635">
        <f>INDEX($S$5512:$S$5639,AE5635+1)</f>
        <v/>
      </c>
      <c r="AM5635">
        <f>INDEX($T$5512:$T$5639,AF5635+1)</f>
        <v/>
      </c>
      <c r="AN5635">
        <f>INDEX($U$5512:$U$5639,AG5635+1)</f>
        <v/>
      </c>
      <c r="AO5635">
        <f>INDEX($V$5512:$V$5639,AH5635+1)</f>
        <v/>
      </c>
      <c r="AP5635">
        <f>INDEX($W$5512:$W$5639,AI5635+1)</f>
        <v/>
      </c>
      <c r="AQ5635">
        <f>IF(Q5635&gt;=AJ5635-0.01,1,0)</f>
        <v/>
      </c>
      <c r="AR5635">
        <f>IF(R5635&gt;=AK5635-0.01,1,0)</f>
        <v/>
      </c>
      <c r="AS5635">
        <f>IF(S5635&gt;=AL5635-0.01,1,0)</f>
        <v/>
      </c>
      <c r="AT5635">
        <f>IF(T5635&gt;=AM5635-0.01,1,0)</f>
        <v/>
      </c>
      <c r="AU5635">
        <f>IF(U5635&gt;=AN5635-0.01,1,0)</f>
        <v/>
      </c>
      <c r="AV5635">
        <f>IF(V5635&gt;=AO5635-0.01,1,0)</f>
        <v/>
      </c>
      <c r="AW5635">
        <f>IF(W5635&gt;=AP5635-0.01,1,0)</f>
        <v/>
      </c>
      <c r="AX5635">
        <f>AQ5635*AR5635*AS5635*AT5635*AU5635*AV5635*AW5635</f>
        <v/>
      </c>
    </row>
    <row r="5636">
      <c r="A5636" t="inlineStr"/>
      <c r="B5636">
        <f>Assumptions!$B$60</f>
        <v/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0</v>
      </c>
      <c r="I5636" t="n">
        <v>0</v>
      </c>
      <c r="J5636">
        <f>(1-C5636)*Assumptions!$B$41+(1-D5636)*Assumptions!$B$33+(1-E5636)*Assumptions!$B$32+(1-F5636)*Assumptions!$B$31+(1-G5636)*Assumptions!$B$30+(1-H5636)*Assumptions!$B$29+(1-I5636)*Assumptions!$B$28</f>
        <v/>
      </c>
      <c r="K5636">
        <f>C5636*$J$457+D5636*$F$457+E5636*$G$457+F5636*Assumptions!$B$14+G5636*Assumptions!$B$13+H5636*Assumptions!$B$12+I5636*Assumptions!$B$11+$O$457+$S$457+Assumptions!$B$9</f>
        <v/>
      </c>
      <c r="L5636">
        <f>B5636-J5636</f>
        <v/>
      </c>
      <c r="M5636">
        <f>IF(K5636&gt;0,IF(L5636/K5636&gt;=Assumptions!$B$37,1,0),0)</f>
        <v/>
      </c>
      <c r="N5636">
        <f>K5636+M5636*Assumptions!$B$153</f>
        <v/>
      </c>
      <c r="O5636">
        <f>L5636+M5636*Assumptions!$B$153*Assumptions!$B$37</f>
        <v/>
      </c>
      <c r="P5636">
        <f>IF(N5636&gt;0,O5636/N5636,0)</f>
        <v/>
      </c>
      <c r="Q5636">
        <f>IF(C5636=1,P5636*$J$457,Assumptions!$B$41)</f>
        <v/>
      </c>
      <c r="R5636">
        <f>IF(D5636=1,P5636*$F$457,Assumptions!$B$33)</f>
        <v/>
      </c>
      <c r="S5636">
        <f>IF(E5636=1,P5636*$G$457,Assumptions!$B$32)</f>
        <v/>
      </c>
      <c r="T5636">
        <f>IF(F5636=1,P5636*Assumptions!$B$14,Assumptions!$B$31)</f>
        <v/>
      </c>
      <c r="U5636">
        <f>IF(G5636=1,P5636*Assumptions!$B$13,Assumptions!$B$30)</f>
        <v/>
      </c>
      <c r="V5636">
        <f>IF(H5636=1,P5636*Assumptions!$B$12,Assumptions!$B$29)</f>
        <v/>
      </c>
      <c r="W5636">
        <f>IF(I5636=1,P5636*Assumptions!$B$11,Assumptions!$B$28)</f>
        <v/>
      </c>
      <c r="X5636">
        <f>P5636*($O$457+$S$457)</f>
        <v/>
      </c>
      <c r="Y5636">
        <f>P5636*Assumptions!$B$9</f>
        <v/>
      </c>
      <c r="Z5636">
        <f>IF(M5636=1,(P5636-Assumptions!$B$37)*Assumptions!$B$153,0)</f>
        <v/>
      </c>
      <c r="AA5636">
        <f>Q5636+R5636+S5636+T5636+U5636+V5636+W5636+X5636+Y5636+Z5636</f>
        <v/>
      </c>
      <c r="AB5636" t="n">
        <v>124</v>
      </c>
      <c r="AC5636" t="n">
        <v>60</v>
      </c>
      <c r="AD5636" t="n">
        <v>92</v>
      </c>
      <c r="AE5636" t="n">
        <v>108</v>
      </c>
      <c r="AF5636" t="n">
        <v>116</v>
      </c>
      <c r="AG5636" t="n">
        <v>120</v>
      </c>
      <c r="AH5636" t="n">
        <v>126</v>
      </c>
      <c r="AI5636" t="n">
        <v>125</v>
      </c>
      <c r="AJ5636">
        <f>INDEX($Q$5512:$Q$5639,AC5636+1)</f>
        <v/>
      </c>
      <c r="AK5636">
        <f>INDEX($R$5512:$R$5639,AD5636+1)</f>
        <v/>
      </c>
      <c r="AL5636">
        <f>INDEX($S$5512:$S$5639,AE5636+1)</f>
        <v/>
      </c>
      <c r="AM5636">
        <f>INDEX($T$5512:$T$5639,AF5636+1)</f>
        <v/>
      </c>
      <c r="AN5636">
        <f>INDEX($U$5512:$U$5639,AG5636+1)</f>
        <v/>
      </c>
      <c r="AO5636">
        <f>INDEX($V$5512:$V$5639,AH5636+1)</f>
        <v/>
      </c>
      <c r="AP5636">
        <f>INDEX($W$5512:$W$5639,AI5636+1)</f>
        <v/>
      </c>
      <c r="AQ5636">
        <f>IF(Q5636&gt;=AJ5636-0.01,1,0)</f>
        <v/>
      </c>
      <c r="AR5636">
        <f>IF(R5636&gt;=AK5636-0.01,1,0)</f>
        <v/>
      </c>
      <c r="AS5636">
        <f>IF(S5636&gt;=AL5636-0.01,1,0)</f>
        <v/>
      </c>
      <c r="AT5636">
        <f>IF(T5636&gt;=AM5636-0.01,1,0)</f>
        <v/>
      </c>
      <c r="AU5636">
        <f>IF(U5636&gt;=AN5636-0.01,1,0)</f>
        <v/>
      </c>
      <c r="AV5636">
        <f>IF(V5636&gt;=AO5636-0.01,1,0)</f>
        <v/>
      </c>
      <c r="AW5636">
        <f>IF(W5636&gt;=AP5636-0.01,1,0)</f>
        <v/>
      </c>
      <c r="AX5636">
        <f>AQ5636*AR5636*AS5636*AT5636*AU5636*AV5636*AW5636</f>
        <v/>
      </c>
    </row>
    <row r="5637">
      <c r="A5637" t="inlineStr"/>
      <c r="B5637">
        <f>Assumptions!$B$60</f>
        <v/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0</v>
      </c>
      <c r="I5637" t="n">
        <v>1</v>
      </c>
      <c r="J5637">
        <f>(1-C5637)*Assumptions!$B$41+(1-D5637)*Assumptions!$B$33+(1-E5637)*Assumptions!$B$32+(1-F5637)*Assumptions!$B$31+(1-G5637)*Assumptions!$B$30+(1-H5637)*Assumptions!$B$29+(1-I5637)*Assumptions!$B$28</f>
        <v/>
      </c>
      <c r="K5637">
        <f>C5637*$J$457+D5637*$F$457+E5637*$G$457+F5637*Assumptions!$B$14+G5637*Assumptions!$B$13+H5637*Assumptions!$B$12+I5637*Assumptions!$B$11+$O$457+$S$457+Assumptions!$B$9</f>
        <v/>
      </c>
      <c r="L5637">
        <f>B5637-J5637</f>
        <v/>
      </c>
      <c r="M5637">
        <f>IF(K5637&gt;0,IF(L5637/K5637&gt;=Assumptions!$B$37,1,0),0)</f>
        <v/>
      </c>
      <c r="N5637">
        <f>K5637+M5637*Assumptions!$B$153</f>
        <v/>
      </c>
      <c r="O5637">
        <f>L5637+M5637*Assumptions!$B$153*Assumptions!$B$37</f>
        <v/>
      </c>
      <c r="P5637">
        <f>IF(N5637&gt;0,O5637/N5637,0)</f>
        <v/>
      </c>
      <c r="Q5637">
        <f>IF(C5637=1,P5637*$J$457,Assumptions!$B$41)</f>
        <v/>
      </c>
      <c r="R5637">
        <f>IF(D5637=1,P5637*$F$457,Assumptions!$B$33)</f>
        <v/>
      </c>
      <c r="S5637">
        <f>IF(E5637=1,P5637*$G$457,Assumptions!$B$32)</f>
        <v/>
      </c>
      <c r="T5637">
        <f>IF(F5637=1,P5637*Assumptions!$B$14,Assumptions!$B$31)</f>
        <v/>
      </c>
      <c r="U5637">
        <f>IF(G5637=1,P5637*Assumptions!$B$13,Assumptions!$B$30)</f>
        <v/>
      </c>
      <c r="V5637">
        <f>IF(H5637=1,P5637*Assumptions!$B$12,Assumptions!$B$29)</f>
        <v/>
      </c>
      <c r="W5637">
        <f>IF(I5637=1,P5637*Assumptions!$B$11,Assumptions!$B$28)</f>
        <v/>
      </c>
      <c r="X5637">
        <f>P5637*($O$457+$S$457)</f>
        <v/>
      </c>
      <c r="Y5637">
        <f>P5637*Assumptions!$B$9</f>
        <v/>
      </c>
      <c r="Z5637">
        <f>IF(M5637=1,(P5637-Assumptions!$B$37)*Assumptions!$B$153,0)</f>
        <v/>
      </c>
      <c r="AA5637">
        <f>Q5637+R5637+S5637+T5637+U5637+V5637+W5637+X5637+Y5637+Z5637</f>
        <v/>
      </c>
      <c r="AB5637" t="n">
        <v>125</v>
      </c>
      <c r="AC5637" t="n">
        <v>61</v>
      </c>
      <c r="AD5637" t="n">
        <v>93</v>
      </c>
      <c r="AE5637" t="n">
        <v>109</v>
      </c>
      <c r="AF5637" t="n">
        <v>117</v>
      </c>
      <c r="AG5637" t="n">
        <v>121</v>
      </c>
      <c r="AH5637" t="n">
        <v>127</v>
      </c>
      <c r="AI5637" t="n">
        <v>124</v>
      </c>
      <c r="AJ5637">
        <f>INDEX($Q$5512:$Q$5639,AC5637+1)</f>
        <v/>
      </c>
      <c r="AK5637">
        <f>INDEX($R$5512:$R$5639,AD5637+1)</f>
        <v/>
      </c>
      <c r="AL5637">
        <f>INDEX($S$5512:$S$5639,AE5637+1)</f>
        <v/>
      </c>
      <c r="AM5637">
        <f>INDEX($T$5512:$T$5639,AF5637+1)</f>
        <v/>
      </c>
      <c r="AN5637">
        <f>INDEX($U$5512:$U$5639,AG5637+1)</f>
        <v/>
      </c>
      <c r="AO5637">
        <f>INDEX($V$5512:$V$5639,AH5637+1)</f>
        <v/>
      </c>
      <c r="AP5637">
        <f>INDEX($W$5512:$W$5639,AI5637+1)</f>
        <v/>
      </c>
      <c r="AQ5637">
        <f>IF(Q5637&gt;=AJ5637-0.01,1,0)</f>
        <v/>
      </c>
      <c r="AR5637">
        <f>IF(R5637&gt;=AK5637-0.01,1,0)</f>
        <v/>
      </c>
      <c r="AS5637">
        <f>IF(S5637&gt;=AL5637-0.01,1,0)</f>
        <v/>
      </c>
      <c r="AT5637">
        <f>IF(T5637&gt;=AM5637-0.01,1,0)</f>
        <v/>
      </c>
      <c r="AU5637">
        <f>IF(U5637&gt;=AN5637-0.01,1,0)</f>
        <v/>
      </c>
      <c r="AV5637">
        <f>IF(V5637&gt;=AO5637-0.01,1,0)</f>
        <v/>
      </c>
      <c r="AW5637">
        <f>IF(W5637&gt;=AP5637-0.01,1,0)</f>
        <v/>
      </c>
      <c r="AX5637">
        <f>AQ5637*AR5637*AS5637*AT5637*AU5637*AV5637*AW5637</f>
        <v/>
      </c>
    </row>
    <row r="5638">
      <c r="A5638" t="inlineStr"/>
      <c r="B5638">
        <f>Assumptions!$B$60</f>
        <v/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0</v>
      </c>
      <c r="J5638">
        <f>(1-C5638)*Assumptions!$B$41+(1-D5638)*Assumptions!$B$33+(1-E5638)*Assumptions!$B$32+(1-F5638)*Assumptions!$B$31+(1-G5638)*Assumptions!$B$30+(1-H5638)*Assumptions!$B$29+(1-I5638)*Assumptions!$B$28</f>
        <v/>
      </c>
      <c r="K5638">
        <f>C5638*$J$457+D5638*$F$457+E5638*$G$457+F5638*Assumptions!$B$14+G5638*Assumptions!$B$13+H5638*Assumptions!$B$12+I5638*Assumptions!$B$11+$O$457+$S$457+Assumptions!$B$9</f>
        <v/>
      </c>
      <c r="L5638">
        <f>B5638-J5638</f>
        <v/>
      </c>
      <c r="M5638">
        <f>IF(K5638&gt;0,IF(L5638/K5638&gt;=Assumptions!$B$37,1,0),0)</f>
        <v/>
      </c>
      <c r="N5638">
        <f>K5638+M5638*Assumptions!$B$153</f>
        <v/>
      </c>
      <c r="O5638">
        <f>L5638+M5638*Assumptions!$B$153*Assumptions!$B$37</f>
        <v/>
      </c>
      <c r="P5638">
        <f>IF(N5638&gt;0,O5638/N5638,0)</f>
        <v/>
      </c>
      <c r="Q5638">
        <f>IF(C5638=1,P5638*$J$457,Assumptions!$B$41)</f>
        <v/>
      </c>
      <c r="R5638">
        <f>IF(D5638=1,P5638*$F$457,Assumptions!$B$33)</f>
        <v/>
      </c>
      <c r="S5638">
        <f>IF(E5638=1,P5638*$G$457,Assumptions!$B$32)</f>
        <v/>
      </c>
      <c r="T5638">
        <f>IF(F5638=1,P5638*Assumptions!$B$14,Assumptions!$B$31)</f>
        <v/>
      </c>
      <c r="U5638">
        <f>IF(G5638=1,P5638*Assumptions!$B$13,Assumptions!$B$30)</f>
        <v/>
      </c>
      <c r="V5638">
        <f>IF(H5638=1,P5638*Assumptions!$B$12,Assumptions!$B$29)</f>
        <v/>
      </c>
      <c r="W5638">
        <f>IF(I5638=1,P5638*Assumptions!$B$11,Assumptions!$B$28)</f>
        <v/>
      </c>
      <c r="X5638">
        <f>P5638*($O$457+$S$457)</f>
        <v/>
      </c>
      <c r="Y5638">
        <f>P5638*Assumptions!$B$9</f>
        <v/>
      </c>
      <c r="Z5638">
        <f>IF(M5638=1,(P5638-Assumptions!$B$37)*Assumptions!$B$153,0)</f>
        <v/>
      </c>
      <c r="AA5638">
        <f>Q5638+R5638+S5638+T5638+U5638+V5638+W5638+X5638+Y5638+Z5638</f>
        <v/>
      </c>
      <c r="AB5638" t="n">
        <v>126</v>
      </c>
      <c r="AC5638" t="n">
        <v>62</v>
      </c>
      <c r="AD5638" t="n">
        <v>94</v>
      </c>
      <c r="AE5638" t="n">
        <v>110</v>
      </c>
      <c r="AF5638" t="n">
        <v>118</v>
      </c>
      <c r="AG5638" t="n">
        <v>122</v>
      </c>
      <c r="AH5638" t="n">
        <v>124</v>
      </c>
      <c r="AI5638" t="n">
        <v>127</v>
      </c>
      <c r="AJ5638">
        <f>INDEX($Q$5512:$Q$5639,AC5638+1)</f>
        <v/>
      </c>
      <c r="AK5638">
        <f>INDEX($R$5512:$R$5639,AD5638+1)</f>
        <v/>
      </c>
      <c r="AL5638">
        <f>INDEX($S$5512:$S$5639,AE5638+1)</f>
        <v/>
      </c>
      <c r="AM5638">
        <f>INDEX($T$5512:$T$5639,AF5638+1)</f>
        <v/>
      </c>
      <c r="AN5638">
        <f>INDEX($U$5512:$U$5639,AG5638+1)</f>
        <v/>
      </c>
      <c r="AO5638">
        <f>INDEX($V$5512:$V$5639,AH5638+1)</f>
        <v/>
      </c>
      <c r="AP5638">
        <f>INDEX($W$5512:$W$5639,AI5638+1)</f>
        <v/>
      </c>
      <c r="AQ5638">
        <f>IF(Q5638&gt;=AJ5638-0.01,1,0)</f>
        <v/>
      </c>
      <c r="AR5638">
        <f>IF(R5638&gt;=AK5638-0.01,1,0)</f>
        <v/>
      </c>
      <c r="AS5638">
        <f>IF(S5638&gt;=AL5638-0.01,1,0)</f>
        <v/>
      </c>
      <c r="AT5638">
        <f>IF(T5638&gt;=AM5638-0.01,1,0)</f>
        <v/>
      </c>
      <c r="AU5638">
        <f>IF(U5638&gt;=AN5638-0.01,1,0)</f>
        <v/>
      </c>
      <c r="AV5638">
        <f>IF(V5638&gt;=AO5638-0.01,1,0)</f>
        <v/>
      </c>
      <c r="AW5638">
        <f>IF(W5638&gt;=AP5638-0.01,1,0)</f>
        <v/>
      </c>
      <c r="AX5638">
        <f>AQ5638*AR5638*AS5638*AT5638*AU5638*AV5638*AW5638</f>
        <v/>
      </c>
    </row>
    <row r="5639">
      <c r="A5639" t="inlineStr"/>
      <c r="B5639">
        <f>Assumptions!$B$60</f>
        <v/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>
        <f>(1-C5639)*Assumptions!$B$41+(1-D5639)*Assumptions!$B$33+(1-E5639)*Assumptions!$B$32+(1-F5639)*Assumptions!$B$31+(1-G5639)*Assumptions!$B$30+(1-H5639)*Assumptions!$B$29+(1-I5639)*Assumptions!$B$28</f>
        <v/>
      </c>
      <c r="K5639">
        <f>C5639*$J$457+D5639*$F$457+E5639*$G$457+F5639*Assumptions!$B$14+G5639*Assumptions!$B$13+H5639*Assumptions!$B$12+I5639*Assumptions!$B$11+$O$457+$S$457+Assumptions!$B$9</f>
        <v/>
      </c>
      <c r="L5639">
        <f>B5639-J5639</f>
        <v/>
      </c>
      <c r="M5639">
        <f>IF(K5639&gt;0,IF(L5639/K5639&gt;=Assumptions!$B$37,1,0),0)</f>
        <v/>
      </c>
      <c r="N5639">
        <f>K5639+M5639*Assumptions!$B$153</f>
        <v/>
      </c>
      <c r="O5639">
        <f>L5639+M5639*Assumptions!$B$153*Assumptions!$B$37</f>
        <v/>
      </c>
      <c r="P5639">
        <f>IF(N5639&gt;0,O5639/N5639,0)</f>
        <v/>
      </c>
      <c r="Q5639">
        <f>IF(C5639=1,P5639*$J$457,Assumptions!$B$41)</f>
        <v/>
      </c>
      <c r="R5639">
        <f>IF(D5639=1,P5639*$F$457,Assumptions!$B$33)</f>
        <v/>
      </c>
      <c r="S5639">
        <f>IF(E5639=1,P5639*$G$457,Assumptions!$B$32)</f>
        <v/>
      </c>
      <c r="T5639">
        <f>IF(F5639=1,P5639*Assumptions!$B$14,Assumptions!$B$31)</f>
        <v/>
      </c>
      <c r="U5639">
        <f>IF(G5639=1,P5639*Assumptions!$B$13,Assumptions!$B$30)</f>
        <v/>
      </c>
      <c r="V5639">
        <f>IF(H5639=1,P5639*Assumptions!$B$12,Assumptions!$B$29)</f>
        <v/>
      </c>
      <c r="W5639">
        <f>IF(I5639=1,P5639*Assumptions!$B$11,Assumptions!$B$28)</f>
        <v/>
      </c>
      <c r="X5639">
        <f>P5639*($O$457+$S$457)</f>
        <v/>
      </c>
      <c r="Y5639">
        <f>P5639*Assumptions!$B$9</f>
        <v/>
      </c>
      <c r="Z5639">
        <f>IF(M5639=1,(P5639-Assumptions!$B$37)*Assumptions!$B$153,0)</f>
        <v/>
      </c>
      <c r="AA5639">
        <f>Q5639+R5639+S5639+T5639+U5639+V5639+W5639+X5639+Y5639+Z5639</f>
        <v/>
      </c>
      <c r="AB5639" t="n">
        <v>127</v>
      </c>
      <c r="AC5639" t="n">
        <v>63</v>
      </c>
      <c r="AD5639" t="n">
        <v>95</v>
      </c>
      <c r="AE5639" t="n">
        <v>111</v>
      </c>
      <c r="AF5639" t="n">
        <v>119</v>
      </c>
      <c r="AG5639" t="n">
        <v>123</v>
      </c>
      <c r="AH5639" t="n">
        <v>125</v>
      </c>
      <c r="AI5639" t="n">
        <v>126</v>
      </c>
      <c r="AJ5639">
        <f>INDEX($Q$5512:$Q$5639,AC5639+1)</f>
        <v/>
      </c>
      <c r="AK5639">
        <f>INDEX($R$5512:$R$5639,AD5639+1)</f>
        <v/>
      </c>
      <c r="AL5639">
        <f>INDEX($S$5512:$S$5639,AE5639+1)</f>
        <v/>
      </c>
      <c r="AM5639">
        <f>INDEX($T$5512:$T$5639,AF5639+1)</f>
        <v/>
      </c>
      <c r="AN5639">
        <f>INDEX($U$5512:$U$5639,AG5639+1)</f>
        <v/>
      </c>
      <c r="AO5639">
        <f>INDEX($V$5512:$V$5639,AH5639+1)</f>
        <v/>
      </c>
      <c r="AP5639">
        <f>INDEX($W$5512:$W$5639,AI5639+1)</f>
        <v/>
      </c>
      <c r="AQ5639">
        <f>IF(Q5639&gt;=AJ5639-0.01,1,0)</f>
        <v/>
      </c>
      <c r="AR5639">
        <f>IF(R5639&gt;=AK5639-0.01,1,0)</f>
        <v/>
      </c>
      <c r="AS5639">
        <f>IF(S5639&gt;=AL5639-0.01,1,0)</f>
        <v/>
      </c>
      <c r="AT5639">
        <f>IF(T5639&gt;=AM5639-0.01,1,0)</f>
        <v/>
      </c>
      <c r="AU5639">
        <f>IF(U5639&gt;=AN5639-0.01,1,0)</f>
        <v/>
      </c>
      <c r="AV5639">
        <f>IF(V5639&gt;=AO5639-0.01,1,0)</f>
        <v/>
      </c>
      <c r="AW5639">
        <f>IF(W5639&gt;=AP5639-0.01,1,0)</f>
        <v/>
      </c>
      <c r="AX5639">
        <f>AQ5639*AR5639*AS5639*AT5639*AU5639*AV5639*AW5639</f>
        <v/>
      </c>
    </row>
    <row r="5640">
      <c r="A5640" t="inlineStr">
        <is>
          <t>esop_13_pre_1800M</t>
        </is>
      </c>
      <c r="B5640">
        <f>Assumptions!$B$60</f>
        <v/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>
        <f>(1-C5640)*Assumptions!$B$41+(1-D5640)*Assumptions!$B$33+(1-E5640)*Assumptions!$B$32+(1-F5640)*Assumptions!$B$31+(1-G5640)*Assumptions!$B$30+(1-H5640)*Assumptions!$B$29+(1-I5640)*Assumptions!$B$28</f>
        <v/>
      </c>
      <c r="K5640">
        <f>C5640*$J$532+D5640*$F$532+E5640*$G$532+F5640*Assumptions!$B$14+G5640*Assumptions!$B$13+H5640*Assumptions!$B$12+I5640*Assumptions!$B$11+$O$532+$S$532+Assumptions!$B$9</f>
        <v/>
      </c>
      <c r="L5640">
        <f>B5640-J5640</f>
        <v/>
      </c>
      <c r="M5640">
        <f>IF(K5640&gt;0,IF(L5640/K5640&gt;=Assumptions!$B$37,1,0),0)</f>
        <v/>
      </c>
      <c r="N5640">
        <f>K5640+M5640*Assumptions!$B$153</f>
        <v/>
      </c>
      <c r="O5640">
        <f>L5640+M5640*Assumptions!$B$153*Assumptions!$B$37</f>
        <v/>
      </c>
      <c r="P5640">
        <f>IF(N5640&gt;0,O5640/N5640,0)</f>
        <v/>
      </c>
      <c r="Q5640">
        <f>IF(C5640=1,P5640*$J$532,Assumptions!$B$41)</f>
        <v/>
      </c>
      <c r="R5640">
        <f>IF(D5640=1,P5640*$F$532,Assumptions!$B$33)</f>
        <v/>
      </c>
      <c r="S5640">
        <f>IF(E5640=1,P5640*$G$532,Assumptions!$B$32)</f>
        <v/>
      </c>
      <c r="T5640">
        <f>IF(F5640=1,P5640*Assumptions!$B$14,Assumptions!$B$31)</f>
        <v/>
      </c>
      <c r="U5640">
        <f>IF(G5640=1,P5640*Assumptions!$B$13,Assumptions!$B$30)</f>
        <v/>
      </c>
      <c r="V5640">
        <f>IF(H5640=1,P5640*Assumptions!$B$12,Assumptions!$B$29)</f>
        <v/>
      </c>
      <c r="W5640">
        <f>IF(I5640=1,P5640*Assumptions!$B$11,Assumptions!$B$28)</f>
        <v/>
      </c>
      <c r="X5640">
        <f>P5640*($O$532+$S$532)</f>
        <v/>
      </c>
      <c r="Y5640">
        <f>P5640*Assumptions!$B$9</f>
        <v/>
      </c>
      <c r="Z5640">
        <f>IF(M5640=1,(P5640-Assumptions!$B$37)*Assumptions!$B$153,0)</f>
        <v/>
      </c>
      <c r="AA5640">
        <f>Q5640+R5640+S5640+T5640+U5640+V5640+W5640+X5640+Y5640+Z5640</f>
        <v/>
      </c>
      <c r="AB5640" t="n">
        <v>0</v>
      </c>
      <c r="AC5640" t="n">
        <v>64</v>
      </c>
      <c r="AD5640" t="n">
        <v>32</v>
      </c>
      <c r="AE5640" t="n">
        <v>16</v>
      </c>
      <c r="AF5640" t="n">
        <v>8</v>
      </c>
      <c r="AG5640" t="n">
        <v>4</v>
      </c>
      <c r="AH5640" t="n">
        <v>2</v>
      </c>
      <c r="AI5640" t="n">
        <v>1</v>
      </c>
      <c r="AJ5640">
        <f>INDEX($Q$5640:$Q$5767,AC5640+1)</f>
        <v/>
      </c>
      <c r="AK5640">
        <f>INDEX($R$5640:$R$5767,AD5640+1)</f>
        <v/>
      </c>
      <c r="AL5640">
        <f>INDEX($S$5640:$S$5767,AE5640+1)</f>
        <v/>
      </c>
      <c r="AM5640">
        <f>INDEX($T$5640:$T$5767,AF5640+1)</f>
        <v/>
      </c>
      <c r="AN5640">
        <f>INDEX($U$5640:$U$5767,AG5640+1)</f>
        <v/>
      </c>
      <c r="AO5640">
        <f>INDEX($V$5640:$V$5767,AH5640+1)</f>
        <v/>
      </c>
      <c r="AP5640">
        <f>INDEX($W$5640:$W$5767,AI5640+1)</f>
        <v/>
      </c>
      <c r="AQ5640">
        <f>IF(Q5640&gt;=AJ5640-0.01,1,0)</f>
        <v/>
      </c>
      <c r="AR5640">
        <f>IF(R5640&gt;=AK5640-0.01,1,0)</f>
        <v/>
      </c>
      <c r="AS5640">
        <f>IF(S5640&gt;=AL5640-0.01,1,0)</f>
        <v/>
      </c>
      <c r="AT5640">
        <f>IF(T5640&gt;=AM5640-0.01,1,0)</f>
        <v/>
      </c>
      <c r="AU5640">
        <f>IF(U5640&gt;=AN5640-0.01,1,0)</f>
        <v/>
      </c>
      <c r="AV5640">
        <f>IF(V5640&gt;=AO5640-0.01,1,0)</f>
        <v/>
      </c>
      <c r="AW5640">
        <f>IF(W5640&gt;=AP5640-0.01,1,0)</f>
        <v/>
      </c>
      <c r="AX5640">
        <f>AQ5640*AR5640*AS5640*AT5640*AU5640*AV5640*AW5640</f>
        <v/>
      </c>
    </row>
    <row r="5641">
      <c r="A5641" t="inlineStr"/>
      <c r="B5641">
        <f>Assumptions!$B$60</f>
        <v/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>
        <f>(1-C5641)*Assumptions!$B$41+(1-D5641)*Assumptions!$B$33+(1-E5641)*Assumptions!$B$32+(1-F5641)*Assumptions!$B$31+(1-G5641)*Assumptions!$B$30+(1-H5641)*Assumptions!$B$29+(1-I5641)*Assumptions!$B$28</f>
        <v/>
      </c>
      <c r="K5641">
        <f>C5641*$J$532+D5641*$F$532+E5641*$G$532+F5641*Assumptions!$B$14+G5641*Assumptions!$B$13+H5641*Assumptions!$B$12+I5641*Assumptions!$B$11+$O$532+$S$532+Assumptions!$B$9</f>
        <v/>
      </c>
      <c r="L5641">
        <f>B5641-J5641</f>
        <v/>
      </c>
      <c r="M5641">
        <f>IF(K5641&gt;0,IF(L5641/K5641&gt;=Assumptions!$B$37,1,0),0)</f>
        <v/>
      </c>
      <c r="N5641">
        <f>K5641+M5641*Assumptions!$B$153</f>
        <v/>
      </c>
      <c r="O5641">
        <f>L5641+M5641*Assumptions!$B$153*Assumptions!$B$37</f>
        <v/>
      </c>
      <c r="P5641">
        <f>IF(N5641&gt;0,O5641/N5641,0)</f>
        <v/>
      </c>
      <c r="Q5641">
        <f>IF(C5641=1,P5641*$J$532,Assumptions!$B$41)</f>
        <v/>
      </c>
      <c r="R5641">
        <f>IF(D5641=1,P5641*$F$532,Assumptions!$B$33)</f>
        <v/>
      </c>
      <c r="S5641">
        <f>IF(E5641=1,P5641*$G$532,Assumptions!$B$32)</f>
        <v/>
      </c>
      <c r="T5641">
        <f>IF(F5641=1,P5641*Assumptions!$B$14,Assumptions!$B$31)</f>
        <v/>
      </c>
      <c r="U5641">
        <f>IF(G5641=1,P5641*Assumptions!$B$13,Assumptions!$B$30)</f>
        <v/>
      </c>
      <c r="V5641">
        <f>IF(H5641=1,P5641*Assumptions!$B$12,Assumptions!$B$29)</f>
        <v/>
      </c>
      <c r="W5641">
        <f>IF(I5641=1,P5641*Assumptions!$B$11,Assumptions!$B$28)</f>
        <v/>
      </c>
      <c r="X5641">
        <f>P5641*($O$532+$S$532)</f>
        <v/>
      </c>
      <c r="Y5641">
        <f>P5641*Assumptions!$B$9</f>
        <v/>
      </c>
      <c r="Z5641">
        <f>IF(M5641=1,(P5641-Assumptions!$B$37)*Assumptions!$B$153,0)</f>
        <v/>
      </c>
      <c r="AA5641">
        <f>Q5641+R5641+S5641+T5641+U5641+V5641+W5641+X5641+Y5641+Z5641</f>
        <v/>
      </c>
      <c r="AB5641" t="n">
        <v>1</v>
      </c>
      <c r="AC5641" t="n">
        <v>65</v>
      </c>
      <c r="AD5641" t="n">
        <v>33</v>
      </c>
      <c r="AE5641" t="n">
        <v>17</v>
      </c>
      <c r="AF5641" t="n">
        <v>9</v>
      </c>
      <c r="AG5641" t="n">
        <v>5</v>
      </c>
      <c r="AH5641" t="n">
        <v>3</v>
      </c>
      <c r="AI5641" t="n">
        <v>0</v>
      </c>
      <c r="AJ5641">
        <f>INDEX($Q$5640:$Q$5767,AC5641+1)</f>
        <v/>
      </c>
      <c r="AK5641">
        <f>INDEX($R$5640:$R$5767,AD5641+1)</f>
        <v/>
      </c>
      <c r="AL5641">
        <f>INDEX($S$5640:$S$5767,AE5641+1)</f>
        <v/>
      </c>
      <c r="AM5641">
        <f>INDEX($T$5640:$T$5767,AF5641+1)</f>
        <v/>
      </c>
      <c r="AN5641">
        <f>INDEX($U$5640:$U$5767,AG5641+1)</f>
        <v/>
      </c>
      <c r="AO5641">
        <f>INDEX($V$5640:$V$5767,AH5641+1)</f>
        <v/>
      </c>
      <c r="AP5641">
        <f>INDEX($W$5640:$W$5767,AI5641+1)</f>
        <v/>
      </c>
      <c r="AQ5641">
        <f>IF(Q5641&gt;=AJ5641-0.01,1,0)</f>
        <v/>
      </c>
      <c r="AR5641">
        <f>IF(R5641&gt;=AK5641-0.01,1,0)</f>
        <v/>
      </c>
      <c r="AS5641">
        <f>IF(S5641&gt;=AL5641-0.01,1,0)</f>
        <v/>
      </c>
      <c r="AT5641">
        <f>IF(T5641&gt;=AM5641-0.01,1,0)</f>
        <v/>
      </c>
      <c r="AU5641">
        <f>IF(U5641&gt;=AN5641-0.01,1,0)</f>
        <v/>
      </c>
      <c r="AV5641">
        <f>IF(V5641&gt;=AO5641-0.01,1,0)</f>
        <v/>
      </c>
      <c r="AW5641">
        <f>IF(W5641&gt;=AP5641-0.01,1,0)</f>
        <v/>
      </c>
      <c r="AX5641">
        <f>AQ5641*AR5641*AS5641*AT5641*AU5641*AV5641*AW5641</f>
        <v/>
      </c>
    </row>
    <row r="5642">
      <c r="A5642" t="inlineStr"/>
      <c r="B5642">
        <f>Assumptions!$B$60</f>
        <v/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>
        <f>(1-C5642)*Assumptions!$B$41+(1-D5642)*Assumptions!$B$33+(1-E5642)*Assumptions!$B$32+(1-F5642)*Assumptions!$B$31+(1-G5642)*Assumptions!$B$30+(1-H5642)*Assumptions!$B$29+(1-I5642)*Assumptions!$B$28</f>
        <v/>
      </c>
      <c r="K5642">
        <f>C5642*$J$532+D5642*$F$532+E5642*$G$532+F5642*Assumptions!$B$14+G5642*Assumptions!$B$13+H5642*Assumptions!$B$12+I5642*Assumptions!$B$11+$O$532+$S$532+Assumptions!$B$9</f>
        <v/>
      </c>
      <c r="L5642">
        <f>B5642-J5642</f>
        <v/>
      </c>
      <c r="M5642">
        <f>IF(K5642&gt;0,IF(L5642/K5642&gt;=Assumptions!$B$37,1,0),0)</f>
        <v/>
      </c>
      <c r="N5642">
        <f>K5642+M5642*Assumptions!$B$153</f>
        <v/>
      </c>
      <c r="O5642">
        <f>L5642+M5642*Assumptions!$B$153*Assumptions!$B$37</f>
        <v/>
      </c>
      <c r="P5642">
        <f>IF(N5642&gt;0,O5642/N5642,0)</f>
        <v/>
      </c>
      <c r="Q5642">
        <f>IF(C5642=1,P5642*$J$532,Assumptions!$B$41)</f>
        <v/>
      </c>
      <c r="R5642">
        <f>IF(D5642=1,P5642*$F$532,Assumptions!$B$33)</f>
        <v/>
      </c>
      <c r="S5642">
        <f>IF(E5642=1,P5642*$G$532,Assumptions!$B$32)</f>
        <v/>
      </c>
      <c r="T5642">
        <f>IF(F5642=1,P5642*Assumptions!$B$14,Assumptions!$B$31)</f>
        <v/>
      </c>
      <c r="U5642">
        <f>IF(G5642=1,P5642*Assumptions!$B$13,Assumptions!$B$30)</f>
        <v/>
      </c>
      <c r="V5642">
        <f>IF(H5642=1,P5642*Assumptions!$B$12,Assumptions!$B$29)</f>
        <v/>
      </c>
      <c r="W5642">
        <f>IF(I5642=1,P5642*Assumptions!$B$11,Assumptions!$B$28)</f>
        <v/>
      </c>
      <c r="X5642">
        <f>P5642*($O$532+$S$532)</f>
        <v/>
      </c>
      <c r="Y5642">
        <f>P5642*Assumptions!$B$9</f>
        <v/>
      </c>
      <c r="Z5642">
        <f>IF(M5642=1,(P5642-Assumptions!$B$37)*Assumptions!$B$153,0)</f>
        <v/>
      </c>
      <c r="AA5642">
        <f>Q5642+R5642+S5642+T5642+U5642+V5642+W5642+X5642+Y5642+Z5642</f>
        <v/>
      </c>
      <c r="AB5642" t="n">
        <v>2</v>
      </c>
      <c r="AC5642" t="n">
        <v>66</v>
      </c>
      <c r="AD5642" t="n">
        <v>34</v>
      </c>
      <c r="AE5642" t="n">
        <v>18</v>
      </c>
      <c r="AF5642" t="n">
        <v>10</v>
      </c>
      <c r="AG5642" t="n">
        <v>6</v>
      </c>
      <c r="AH5642" t="n">
        <v>0</v>
      </c>
      <c r="AI5642" t="n">
        <v>3</v>
      </c>
      <c r="AJ5642">
        <f>INDEX($Q$5640:$Q$5767,AC5642+1)</f>
        <v/>
      </c>
      <c r="AK5642">
        <f>INDEX($R$5640:$R$5767,AD5642+1)</f>
        <v/>
      </c>
      <c r="AL5642">
        <f>INDEX($S$5640:$S$5767,AE5642+1)</f>
        <v/>
      </c>
      <c r="AM5642">
        <f>INDEX($T$5640:$T$5767,AF5642+1)</f>
        <v/>
      </c>
      <c r="AN5642">
        <f>INDEX($U$5640:$U$5767,AG5642+1)</f>
        <v/>
      </c>
      <c r="AO5642">
        <f>INDEX($V$5640:$V$5767,AH5642+1)</f>
        <v/>
      </c>
      <c r="AP5642">
        <f>INDEX($W$5640:$W$5767,AI5642+1)</f>
        <v/>
      </c>
      <c r="AQ5642">
        <f>IF(Q5642&gt;=AJ5642-0.01,1,0)</f>
        <v/>
      </c>
      <c r="AR5642">
        <f>IF(R5642&gt;=AK5642-0.01,1,0)</f>
        <v/>
      </c>
      <c r="AS5642">
        <f>IF(S5642&gt;=AL5642-0.01,1,0)</f>
        <v/>
      </c>
      <c r="AT5642">
        <f>IF(T5642&gt;=AM5642-0.01,1,0)</f>
        <v/>
      </c>
      <c r="AU5642">
        <f>IF(U5642&gt;=AN5642-0.01,1,0)</f>
        <v/>
      </c>
      <c r="AV5642">
        <f>IF(V5642&gt;=AO5642-0.01,1,0)</f>
        <v/>
      </c>
      <c r="AW5642">
        <f>IF(W5642&gt;=AP5642-0.01,1,0)</f>
        <v/>
      </c>
      <c r="AX5642">
        <f>AQ5642*AR5642*AS5642*AT5642*AU5642*AV5642*AW5642</f>
        <v/>
      </c>
    </row>
    <row r="5643">
      <c r="A5643" t="inlineStr"/>
      <c r="B5643">
        <f>Assumptions!$B$60</f>
        <v/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</v>
      </c>
      <c r="J5643">
        <f>(1-C5643)*Assumptions!$B$41+(1-D5643)*Assumptions!$B$33+(1-E5643)*Assumptions!$B$32+(1-F5643)*Assumptions!$B$31+(1-G5643)*Assumptions!$B$30+(1-H5643)*Assumptions!$B$29+(1-I5643)*Assumptions!$B$28</f>
        <v/>
      </c>
      <c r="K5643">
        <f>C5643*$J$532+D5643*$F$532+E5643*$G$532+F5643*Assumptions!$B$14+G5643*Assumptions!$B$13+H5643*Assumptions!$B$12+I5643*Assumptions!$B$11+$O$532+$S$532+Assumptions!$B$9</f>
        <v/>
      </c>
      <c r="L5643">
        <f>B5643-J5643</f>
        <v/>
      </c>
      <c r="M5643">
        <f>IF(K5643&gt;0,IF(L5643/K5643&gt;=Assumptions!$B$37,1,0),0)</f>
        <v/>
      </c>
      <c r="N5643">
        <f>K5643+M5643*Assumptions!$B$153</f>
        <v/>
      </c>
      <c r="O5643">
        <f>L5643+M5643*Assumptions!$B$153*Assumptions!$B$37</f>
        <v/>
      </c>
      <c r="P5643">
        <f>IF(N5643&gt;0,O5643/N5643,0)</f>
        <v/>
      </c>
      <c r="Q5643">
        <f>IF(C5643=1,P5643*$J$532,Assumptions!$B$41)</f>
        <v/>
      </c>
      <c r="R5643">
        <f>IF(D5643=1,P5643*$F$532,Assumptions!$B$33)</f>
        <v/>
      </c>
      <c r="S5643">
        <f>IF(E5643=1,P5643*$G$532,Assumptions!$B$32)</f>
        <v/>
      </c>
      <c r="T5643">
        <f>IF(F5643=1,P5643*Assumptions!$B$14,Assumptions!$B$31)</f>
        <v/>
      </c>
      <c r="U5643">
        <f>IF(G5643=1,P5643*Assumptions!$B$13,Assumptions!$B$30)</f>
        <v/>
      </c>
      <c r="V5643">
        <f>IF(H5643=1,P5643*Assumptions!$B$12,Assumptions!$B$29)</f>
        <v/>
      </c>
      <c r="W5643">
        <f>IF(I5643=1,P5643*Assumptions!$B$11,Assumptions!$B$28)</f>
        <v/>
      </c>
      <c r="X5643">
        <f>P5643*($O$532+$S$532)</f>
        <v/>
      </c>
      <c r="Y5643">
        <f>P5643*Assumptions!$B$9</f>
        <v/>
      </c>
      <c r="Z5643">
        <f>IF(M5643=1,(P5643-Assumptions!$B$37)*Assumptions!$B$153,0)</f>
        <v/>
      </c>
      <c r="AA5643">
        <f>Q5643+R5643+S5643+T5643+U5643+V5643+W5643+X5643+Y5643+Z5643</f>
        <v/>
      </c>
      <c r="AB5643" t="n">
        <v>3</v>
      </c>
      <c r="AC5643" t="n">
        <v>67</v>
      </c>
      <c r="AD5643" t="n">
        <v>35</v>
      </c>
      <c r="AE5643" t="n">
        <v>19</v>
      </c>
      <c r="AF5643" t="n">
        <v>11</v>
      </c>
      <c r="AG5643" t="n">
        <v>7</v>
      </c>
      <c r="AH5643" t="n">
        <v>1</v>
      </c>
      <c r="AI5643" t="n">
        <v>2</v>
      </c>
      <c r="AJ5643">
        <f>INDEX($Q$5640:$Q$5767,AC5643+1)</f>
        <v/>
      </c>
      <c r="AK5643">
        <f>INDEX($R$5640:$R$5767,AD5643+1)</f>
        <v/>
      </c>
      <c r="AL5643">
        <f>INDEX($S$5640:$S$5767,AE5643+1)</f>
        <v/>
      </c>
      <c r="AM5643">
        <f>INDEX($T$5640:$T$5767,AF5643+1)</f>
        <v/>
      </c>
      <c r="AN5643">
        <f>INDEX($U$5640:$U$5767,AG5643+1)</f>
        <v/>
      </c>
      <c r="AO5643">
        <f>INDEX($V$5640:$V$5767,AH5643+1)</f>
        <v/>
      </c>
      <c r="AP5643">
        <f>INDEX($W$5640:$W$5767,AI5643+1)</f>
        <v/>
      </c>
      <c r="AQ5643">
        <f>IF(Q5643&gt;=AJ5643-0.01,1,0)</f>
        <v/>
      </c>
      <c r="AR5643">
        <f>IF(R5643&gt;=AK5643-0.01,1,0)</f>
        <v/>
      </c>
      <c r="AS5643">
        <f>IF(S5643&gt;=AL5643-0.01,1,0)</f>
        <v/>
      </c>
      <c r="AT5643">
        <f>IF(T5643&gt;=AM5643-0.01,1,0)</f>
        <v/>
      </c>
      <c r="AU5643">
        <f>IF(U5643&gt;=AN5643-0.01,1,0)</f>
        <v/>
      </c>
      <c r="AV5643">
        <f>IF(V5643&gt;=AO5643-0.01,1,0)</f>
        <v/>
      </c>
      <c r="AW5643">
        <f>IF(W5643&gt;=AP5643-0.01,1,0)</f>
        <v/>
      </c>
      <c r="AX5643">
        <f>AQ5643*AR5643*AS5643*AT5643*AU5643*AV5643*AW5643</f>
        <v/>
      </c>
    </row>
    <row r="5644">
      <c r="A5644" t="inlineStr"/>
      <c r="B5644">
        <f>Assumptions!$B$60</f>
        <v/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0</v>
      </c>
      <c r="J5644">
        <f>(1-C5644)*Assumptions!$B$41+(1-D5644)*Assumptions!$B$33+(1-E5644)*Assumptions!$B$32+(1-F5644)*Assumptions!$B$31+(1-G5644)*Assumptions!$B$30+(1-H5644)*Assumptions!$B$29+(1-I5644)*Assumptions!$B$28</f>
        <v/>
      </c>
      <c r="K5644">
        <f>C5644*$J$532+D5644*$F$532+E5644*$G$532+F5644*Assumptions!$B$14+G5644*Assumptions!$B$13+H5644*Assumptions!$B$12+I5644*Assumptions!$B$11+$O$532+$S$532+Assumptions!$B$9</f>
        <v/>
      </c>
      <c r="L5644">
        <f>B5644-J5644</f>
        <v/>
      </c>
      <c r="M5644">
        <f>IF(K5644&gt;0,IF(L5644/K5644&gt;=Assumptions!$B$37,1,0),0)</f>
        <v/>
      </c>
      <c r="N5644">
        <f>K5644+M5644*Assumptions!$B$153</f>
        <v/>
      </c>
      <c r="O5644">
        <f>L5644+M5644*Assumptions!$B$153*Assumptions!$B$37</f>
        <v/>
      </c>
      <c r="P5644">
        <f>IF(N5644&gt;0,O5644/N5644,0)</f>
        <v/>
      </c>
      <c r="Q5644">
        <f>IF(C5644=1,P5644*$J$532,Assumptions!$B$41)</f>
        <v/>
      </c>
      <c r="R5644">
        <f>IF(D5644=1,P5644*$F$532,Assumptions!$B$33)</f>
        <v/>
      </c>
      <c r="S5644">
        <f>IF(E5644=1,P5644*$G$532,Assumptions!$B$32)</f>
        <v/>
      </c>
      <c r="T5644">
        <f>IF(F5644=1,P5644*Assumptions!$B$14,Assumptions!$B$31)</f>
        <v/>
      </c>
      <c r="U5644">
        <f>IF(G5644=1,P5644*Assumptions!$B$13,Assumptions!$B$30)</f>
        <v/>
      </c>
      <c r="V5644">
        <f>IF(H5644=1,P5644*Assumptions!$B$12,Assumptions!$B$29)</f>
        <v/>
      </c>
      <c r="W5644">
        <f>IF(I5644=1,P5644*Assumptions!$B$11,Assumptions!$B$28)</f>
        <v/>
      </c>
      <c r="X5644">
        <f>P5644*($O$532+$S$532)</f>
        <v/>
      </c>
      <c r="Y5644">
        <f>P5644*Assumptions!$B$9</f>
        <v/>
      </c>
      <c r="Z5644">
        <f>IF(M5644=1,(P5644-Assumptions!$B$37)*Assumptions!$B$153,0)</f>
        <v/>
      </c>
      <c r="AA5644">
        <f>Q5644+R5644+S5644+T5644+U5644+V5644+W5644+X5644+Y5644+Z5644</f>
        <v/>
      </c>
      <c r="AB5644" t="n">
        <v>4</v>
      </c>
      <c r="AC5644" t="n">
        <v>68</v>
      </c>
      <c r="AD5644" t="n">
        <v>36</v>
      </c>
      <c r="AE5644" t="n">
        <v>20</v>
      </c>
      <c r="AF5644" t="n">
        <v>12</v>
      </c>
      <c r="AG5644" t="n">
        <v>0</v>
      </c>
      <c r="AH5644" t="n">
        <v>6</v>
      </c>
      <c r="AI5644" t="n">
        <v>5</v>
      </c>
      <c r="AJ5644">
        <f>INDEX($Q$5640:$Q$5767,AC5644+1)</f>
        <v/>
      </c>
      <c r="AK5644">
        <f>INDEX($R$5640:$R$5767,AD5644+1)</f>
        <v/>
      </c>
      <c r="AL5644">
        <f>INDEX($S$5640:$S$5767,AE5644+1)</f>
        <v/>
      </c>
      <c r="AM5644">
        <f>INDEX($T$5640:$T$5767,AF5644+1)</f>
        <v/>
      </c>
      <c r="AN5644">
        <f>INDEX($U$5640:$U$5767,AG5644+1)</f>
        <v/>
      </c>
      <c r="AO5644">
        <f>INDEX($V$5640:$V$5767,AH5644+1)</f>
        <v/>
      </c>
      <c r="AP5644">
        <f>INDEX($W$5640:$W$5767,AI5644+1)</f>
        <v/>
      </c>
      <c r="AQ5644">
        <f>IF(Q5644&gt;=AJ5644-0.01,1,0)</f>
        <v/>
      </c>
      <c r="AR5644">
        <f>IF(R5644&gt;=AK5644-0.01,1,0)</f>
        <v/>
      </c>
      <c r="AS5644">
        <f>IF(S5644&gt;=AL5644-0.01,1,0)</f>
        <v/>
      </c>
      <c r="AT5644">
        <f>IF(T5644&gt;=AM5644-0.01,1,0)</f>
        <v/>
      </c>
      <c r="AU5644">
        <f>IF(U5644&gt;=AN5644-0.01,1,0)</f>
        <v/>
      </c>
      <c r="AV5644">
        <f>IF(V5644&gt;=AO5644-0.01,1,0)</f>
        <v/>
      </c>
      <c r="AW5644">
        <f>IF(W5644&gt;=AP5644-0.01,1,0)</f>
        <v/>
      </c>
      <c r="AX5644">
        <f>AQ5644*AR5644*AS5644*AT5644*AU5644*AV5644*AW5644</f>
        <v/>
      </c>
    </row>
    <row r="5645">
      <c r="A5645" t="inlineStr"/>
      <c r="B5645">
        <f>Assumptions!$B$60</f>
        <v/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0</v>
      </c>
      <c r="I5645" t="n">
        <v>1</v>
      </c>
      <c r="J5645">
        <f>(1-C5645)*Assumptions!$B$41+(1-D5645)*Assumptions!$B$33+(1-E5645)*Assumptions!$B$32+(1-F5645)*Assumptions!$B$31+(1-G5645)*Assumptions!$B$30+(1-H5645)*Assumptions!$B$29+(1-I5645)*Assumptions!$B$28</f>
        <v/>
      </c>
      <c r="K5645">
        <f>C5645*$J$532+D5645*$F$532+E5645*$G$532+F5645*Assumptions!$B$14+G5645*Assumptions!$B$13+H5645*Assumptions!$B$12+I5645*Assumptions!$B$11+$O$532+$S$532+Assumptions!$B$9</f>
        <v/>
      </c>
      <c r="L5645">
        <f>B5645-J5645</f>
        <v/>
      </c>
      <c r="M5645">
        <f>IF(K5645&gt;0,IF(L5645/K5645&gt;=Assumptions!$B$37,1,0),0)</f>
        <v/>
      </c>
      <c r="N5645">
        <f>K5645+M5645*Assumptions!$B$153</f>
        <v/>
      </c>
      <c r="O5645">
        <f>L5645+M5645*Assumptions!$B$153*Assumptions!$B$37</f>
        <v/>
      </c>
      <c r="P5645">
        <f>IF(N5645&gt;0,O5645/N5645,0)</f>
        <v/>
      </c>
      <c r="Q5645">
        <f>IF(C5645=1,P5645*$J$532,Assumptions!$B$41)</f>
        <v/>
      </c>
      <c r="R5645">
        <f>IF(D5645=1,P5645*$F$532,Assumptions!$B$33)</f>
        <v/>
      </c>
      <c r="S5645">
        <f>IF(E5645=1,P5645*$G$532,Assumptions!$B$32)</f>
        <v/>
      </c>
      <c r="T5645">
        <f>IF(F5645=1,P5645*Assumptions!$B$14,Assumptions!$B$31)</f>
        <v/>
      </c>
      <c r="U5645">
        <f>IF(G5645=1,P5645*Assumptions!$B$13,Assumptions!$B$30)</f>
        <v/>
      </c>
      <c r="V5645">
        <f>IF(H5645=1,P5645*Assumptions!$B$12,Assumptions!$B$29)</f>
        <v/>
      </c>
      <c r="W5645">
        <f>IF(I5645=1,P5645*Assumptions!$B$11,Assumptions!$B$28)</f>
        <v/>
      </c>
      <c r="X5645">
        <f>P5645*($O$532+$S$532)</f>
        <v/>
      </c>
      <c r="Y5645">
        <f>P5645*Assumptions!$B$9</f>
        <v/>
      </c>
      <c r="Z5645">
        <f>IF(M5645=1,(P5645-Assumptions!$B$37)*Assumptions!$B$153,0)</f>
        <v/>
      </c>
      <c r="AA5645">
        <f>Q5645+R5645+S5645+T5645+U5645+V5645+W5645+X5645+Y5645+Z5645</f>
        <v/>
      </c>
      <c r="AB5645" t="n">
        <v>5</v>
      </c>
      <c r="AC5645" t="n">
        <v>69</v>
      </c>
      <c r="AD5645" t="n">
        <v>37</v>
      </c>
      <c r="AE5645" t="n">
        <v>21</v>
      </c>
      <c r="AF5645" t="n">
        <v>13</v>
      </c>
      <c r="AG5645" t="n">
        <v>1</v>
      </c>
      <c r="AH5645" t="n">
        <v>7</v>
      </c>
      <c r="AI5645" t="n">
        <v>4</v>
      </c>
      <c r="AJ5645">
        <f>INDEX($Q$5640:$Q$5767,AC5645+1)</f>
        <v/>
      </c>
      <c r="AK5645">
        <f>INDEX($R$5640:$R$5767,AD5645+1)</f>
        <v/>
      </c>
      <c r="AL5645">
        <f>INDEX($S$5640:$S$5767,AE5645+1)</f>
        <v/>
      </c>
      <c r="AM5645">
        <f>INDEX($T$5640:$T$5767,AF5645+1)</f>
        <v/>
      </c>
      <c r="AN5645">
        <f>INDEX($U$5640:$U$5767,AG5645+1)</f>
        <v/>
      </c>
      <c r="AO5645">
        <f>INDEX($V$5640:$V$5767,AH5645+1)</f>
        <v/>
      </c>
      <c r="AP5645">
        <f>INDEX($W$5640:$W$5767,AI5645+1)</f>
        <v/>
      </c>
      <c r="AQ5645">
        <f>IF(Q5645&gt;=AJ5645-0.01,1,0)</f>
        <v/>
      </c>
      <c r="AR5645">
        <f>IF(R5645&gt;=AK5645-0.01,1,0)</f>
        <v/>
      </c>
      <c r="AS5645">
        <f>IF(S5645&gt;=AL5645-0.01,1,0)</f>
        <v/>
      </c>
      <c r="AT5645">
        <f>IF(T5645&gt;=AM5645-0.01,1,0)</f>
        <v/>
      </c>
      <c r="AU5645">
        <f>IF(U5645&gt;=AN5645-0.01,1,0)</f>
        <v/>
      </c>
      <c r="AV5645">
        <f>IF(V5645&gt;=AO5645-0.01,1,0)</f>
        <v/>
      </c>
      <c r="AW5645">
        <f>IF(W5645&gt;=AP5645-0.01,1,0)</f>
        <v/>
      </c>
      <c r="AX5645">
        <f>AQ5645*AR5645*AS5645*AT5645*AU5645*AV5645*AW5645</f>
        <v/>
      </c>
    </row>
    <row r="5646">
      <c r="A5646" t="inlineStr"/>
      <c r="B5646">
        <f>Assumptions!$B$60</f>
        <v/>
      </c>
      <c r="C5646" t="n">
        <v>0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  <c r="I5646" t="n">
        <v>0</v>
      </c>
      <c r="J5646">
        <f>(1-C5646)*Assumptions!$B$41+(1-D5646)*Assumptions!$B$33+(1-E5646)*Assumptions!$B$32+(1-F5646)*Assumptions!$B$31+(1-G5646)*Assumptions!$B$30+(1-H5646)*Assumptions!$B$29+(1-I5646)*Assumptions!$B$28</f>
        <v/>
      </c>
      <c r="K5646">
        <f>C5646*$J$532+D5646*$F$532+E5646*$G$532+F5646*Assumptions!$B$14+G5646*Assumptions!$B$13+H5646*Assumptions!$B$12+I5646*Assumptions!$B$11+$O$532+$S$532+Assumptions!$B$9</f>
        <v/>
      </c>
      <c r="L5646">
        <f>B5646-J5646</f>
        <v/>
      </c>
      <c r="M5646">
        <f>IF(K5646&gt;0,IF(L5646/K5646&gt;=Assumptions!$B$37,1,0),0)</f>
        <v/>
      </c>
      <c r="N5646">
        <f>K5646+M5646*Assumptions!$B$153</f>
        <v/>
      </c>
      <c r="O5646">
        <f>L5646+M5646*Assumptions!$B$153*Assumptions!$B$37</f>
        <v/>
      </c>
      <c r="P5646">
        <f>IF(N5646&gt;0,O5646/N5646,0)</f>
        <v/>
      </c>
      <c r="Q5646">
        <f>IF(C5646=1,P5646*$J$532,Assumptions!$B$41)</f>
        <v/>
      </c>
      <c r="R5646">
        <f>IF(D5646=1,P5646*$F$532,Assumptions!$B$33)</f>
        <v/>
      </c>
      <c r="S5646">
        <f>IF(E5646=1,P5646*$G$532,Assumptions!$B$32)</f>
        <v/>
      </c>
      <c r="T5646">
        <f>IF(F5646=1,P5646*Assumptions!$B$14,Assumptions!$B$31)</f>
        <v/>
      </c>
      <c r="U5646">
        <f>IF(G5646=1,P5646*Assumptions!$B$13,Assumptions!$B$30)</f>
        <v/>
      </c>
      <c r="V5646">
        <f>IF(H5646=1,P5646*Assumptions!$B$12,Assumptions!$B$29)</f>
        <v/>
      </c>
      <c r="W5646">
        <f>IF(I5646=1,P5646*Assumptions!$B$11,Assumptions!$B$28)</f>
        <v/>
      </c>
      <c r="X5646">
        <f>P5646*($O$532+$S$532)</f>
        <v/>
      </c>
      <c r="Y5646">
        <f>P5646*Assumptions!$B$9</f>
        <v/>
      </c>
      <c r="Z5646">
        <f>IF(M5646=1,(P5646-Assumptions!$B$37)*Assumptions!$B$153,0)</f>
        <v/>
      </c>
      <c r="AA5646">
        <f>Q5646+R5646+S5646+T5646+U5646+V5646+W5646+X5646+Y5646+Z5646</f>
        <v/>
      </c>
      <c r="AB5646" t="n">
        <v>6</v>
      </c>
      <c r="AC5646" t="n">
        <v>70</v>
      </c>
      <c r="AD5646" t="n">
        <v>38</v>
      </c>
      <c r="AE5646" t="n">
        <v>22</v>
      </c>
      <c r="AF5646" t="n">
        <v>14</v>
      </c>
      <c r="AG5646" t="n">
        <v>2</v>
      </c>
      <c r="AH5646" t="n">
        <v>4</v>
      </c>
      <c r="AI5646" t="n">
        <v>7</v>
      </c>
      <c r="AJ5646">
        <f>INDEX($Q$5640:$Q$5767,AC5646+1)</f>
        <v/>
      </c>
      <c r="AK5646">
        <f>INDEX($R$5640:$R$5767,AD5646+1)</f>
        <v/>
      </c>
      <c r="AL5646">
        <f>INDEX($S$5640:$S$5767,AE5646+1)</f>
        <v/>
      </c>
      <c r="AM5646">
        <f>INDEX($T$5640:$T$5767,AF5646+1)</f>
        <v/>
      </c>
      <c r="AN5646">
        <f>INDEX($U$5640:$U$5767,AG5646+1)</f>
        <v/>
      </c>
      <c r="AO5646">
        <f>INDEX($V$5640:$V$5767,AH5646+1)</f>
        <v/>
      </c>
      <c r="AP5646">
        <f>INDEX($W$5640:$W$5767,AI5646+1)</f>
        <v/>
      </c>
      <c r="AQ5646">
        <f>IF(Q5646&gt;=AJ5646-0.01,1,0)</f>
        <v/>
      </c>
      <c r="AR5646">
        <f>IF(R5646&gt;=AK5646-0.01,1,0)</f>
        <v/>
      </c>
      <c r="AS5646">
        <f>IF(S5646&gt;=AL5646-0.01,1,0)</f>
        <v/>
      </c>
      <c r="AT5646">
        <f>IF(T5646&gt;=AM5646-0.01,1,0)</f>
        <v/>
      </c>
      <c r="AU5646">
        <f>IF(U5646&gt;=AN5646-0.01,1,0)</f>
        <v/>
      </c>
      <c r="AV5646">
        <f>IF(V5646&gt;=AO5646-0.01,1,0)</f>
        <v/>
      </c>
      <c r="AW5646">
        <f>IF(W5646&gt;=AP5646-0.01,1,0)</f>
        <v/>
      </c>
      <c r="AX5646">
        <f>AQ5646*AR5646*AS5646*AT5646*AU5646*AV5646*AW5646</f>
        <v/>
      </c>
    </row>
    <row r="5647">
      <c r="A5647" t="inlineStr"/>
      <c r="B5647">
        <f>Assumptions!$B$60</f>
        <v/>
      </c>
      <c r="C5647" t="n">
        <v>0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  <c r="I5647" t="n">
        <v>1</v>
      </c>
      <c r="J5647">
        <f>(1-C5647)*Assumptions!$B$41+(1-D5647)*Assumptions!$B$33+(1-E5647)*Assumptions!$B$32+(1-F5647)*Assumptions!$B$31+(1-G5647)*Assumptions!$B$30+(1-H5647)*Assumptions!$B$29+(1-I5647)*Assumptions!$B$28</f>
        <v/>
      </c>
      <c r="K5647">
        <f>C5647*$J$532+D5647*$F$532+E5647*$G$532+F5647*Assumptions!$B$14+G5647*Assumptions!$B$13+H5647*Assumptions!$B$12+I5647*Assumptions!$B$11+$O$532+$S$532+Assumptions!$B$9</f>
        <v/>
      </c>
      <c r="L5647">
        <f>B5647-J5647</f>
        <v/>
      </c>
      <c r="M5647">
        <f>IF(K5647&gt;0,IF(L5647/K5647&gt;=Assumptions!$B$37,1,0),0)</f>
        <v/>
      </c>
      <c r="N5647">
        <f>K5647+M5647*Assumptions!$B$153</f>
        <v/>
      </c>
      <c r="O5647">
        <f>L5647+M5647*Assumptions!$B$153*Assumptions!$B$37</f>
        <v/>
      </c>
      <c r="P5647">
        <f>IF(N5647&gt;0,O5647/N5647,0)</f>
        <v/>
      </c>
      <c r="Q5647">
        <f>IF(C5647=1,P5647*$J$532,Assumptions!$B$41)</f>
        <v/>
      </c>
      <c r="R5647">
        <f>IF(D5647=1,P5647*$F$532,Assumptions!$B$33)</f>
        <v/>
      </c>
      <c r="S5647">
        <f>IF(E5647=1,P5647*$G$532,Assumptions!$B$32)</f>
        <v/>
      </c>
      <c r="T5647">
        <f>IF(F5647=1,P5647*Assumptions!$B$14,Assumptions!$B$31)</f>
        <v/>
      </c>
      <c r="U5647">
        <f>IF(G5647=1,P5647*Assumptions!$B$13,Assumptions!$B$30)</f>
        <v/>
      </c>
      <c r="V5647">
        <f>IF(H5647=1,P5647*Assumptions!$B$12,Assumptions!$B$29)</f>
        <v/>
      </c>
      <c r="W5647">
        <f>IF(I5647=1,P5647*Assumptions!$B$11,Assumptions!$B$28)</f>
        <v/>
      </c>
      <c r="X5647">
        <f>P5647*($O$532+$S$532)</f>
        <v/>
      </c>
      <c r="Y5647">
        <f>P5647*Assumptions!$B$9</f>
        <v/>
      </c>
      <c r="Z5647">
        <f>IF(M5647=1,(P5647-Assumptions!$B$37)*Assumptions!$B$153,0)</f>
        <v/>
      </c>
      <c r="AA5647">
        <f>Q5647+R5647+S5647+T5647+U5647+V5647+W5647+X5647+Y5647+Z5647</f>
        <v/>
      </c>
      <c r="AB5647" t="n">
        <v>7</v>
      </c>
      <c r="AC5647" t="n">
        <v>71</v>
      </c>
      <c r="AD5647" t="n">
        <v>39</v>
      </c>
      <c r="AE5647" t="n">
        <v>23</v>
      </c>
      <c r="AF5647" t="n">
        <v>15</v>
      </c>
      <c r="AG5647" t="n">
        <v>3</v>
      </c>
      <c r="AH5647" t="n">
        <v>5</v>
      </c>
      <c r="AI5647" t="n">
        <v>6</v>
      </c>
      <c r="AJ5647">
        <f>INDEX($Q$5640:$Q$5767,AC5647+1)</f>
        <v/>
      </c>
      <c r="AK5647">
        <f>INDEX($R$5640:$R$5767,AD5647+1)</f>
        <v/>
      </c>
      <c r="AL5647">
        <f>INDEX($S$5640:$S$5767,AE5647+1)</f>
        <v/>
      </c>
      <c r="AM5647">
        <f>INDEX($T$5640:$T$5767,AF5647+1)</f>
        <v/>
      </c>
      <c r="AN5647">
        <f>INDEX($U$5640:$U$5767,AG5647+1)</f>
        <v/>
      </c>
      <c r="AO5647">
        <f>INDEX($V$5640:$V$5767,AH5647+1)</f>
        <v/>
      </c>
      <c r="AP5647">
        <f>INDEX($W$5640:$W$5767,AI5647+1)</f>
        <v/>
      </c>
      <c r="AQ5647">
        <f>IF(Q5647&gt;=AJ5647-0.01,1,0)</f>
        <v/>
      </c>
      <c r="AR5647">
        <f>IF(R5647&gt;=AK5647-0.01,1,0)</f>
        <v/>
      </c>
      <c r="AS5647">
        <f>IF(S5647&gt;=AL5647-0.01,1,0)</f>
        <v/>
      </c>
      <c r="AT5647">
        <f>IF(T5647&gt;=AM5647-0.01,1,0)</f>
        <v/>
      </c>
      <c r="AU5647">
        <f>IF(U5647&gt;=AN5647-0.01,1,0)</f>
        <v/>
      </c>
      <c r="AV5647">
        <f>IF(V5647&gt;=AO5647-0.01,1,0)</f>
        <v/>
      </c>
      <c r="AW5647">
        <f>IF(W5647&gt;=AP5647-0.01,1,0)</f>
        <v/>
      </c>
      <c r="AX5647">
        <f>AQ5647*AR5647*AS5647*AT5647*AU5647*AV5647*AW5647</f>
        <v/>
      </c>
    </row>
    <row r="5648">
      <c r="A5648" t="inlineStr"/>
      <c r="B5648">
        <f>Assumptions!$B$60</f>
        <v/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>
        <f>(1-C5648)*Assumptions!$B$41+(1-D5648)*Assumptions!$B$33+(1-E5648)*Assumptions!$B$32+(1-F5648)*Assumptions!$B$31+(1-G5648)*Assumptions!$B$30+(1-H5648)*Assumptions!$B$29+(1-I5648)*Assumptions!$B$28</f>
        <v/>
      </c>
      <c r="K5648">
        <f>C5648*$J$532+D5648*$F$532+E5648*$G$532+F5648*Assumptions!$B$14+G5648*Assumptions!$B$13+H5648*Assumptions!$B$12+I5648*Assumptions!$B$11+$O$532+$S$532+Assumptions!$B$9</f>
        <v/>
      </c>
      <c r="L5648">
        <f>B5648-J5648</f>
        <v/>
      </c>
      <c r="M5648">
        <f>IF(K5648&gt;0,IF(L5648/K5648&gt;=Assumptions!$B$37,1,0),0)</f>
        <v/>
      </c>
      <c r="N5648">
        <f>K5648+M5648*Assumptions!$B$153</f>
        <v/>
      </c>
      <c r="O5648">
        <f>L5648+M5648*Assumptions!$B$153*Assumptions!$B$37</f>
        <v/>
      </c>
      <c r="P5648">
        <f>IF(N5648&gt;0,O5648/N5648,0)</f>
        <v/>
      </c>
      <c r="Q5648">
        <f>IF(C5648=1,P5648*$J$532,Assumptions!$B$41)</f>
        <v/>
      </c>
      <c r="R5648">
        <f>IF(D5648=1,P5648*$F$532,Assumptions!$B$33)</f>
        <v/>
      </c>
      <c r="S5648">
        <f>IF(E5648=1,P5648*$G$532,Assumptions!$B$32)</f>
        <v/>
      </c>
      <c r="T5648">
        <f>IF(F5648=1,P5648*Assumptions!$B$14,Assumptions!$B$31)</f>
        <v/>
      </c>
      <c r="U5648">
        <f>IF(G5648=1,P5648*Assumptions!$B$13,Assumptions!$B$30)</f>
        <v/>
      </c>
      <c r="V5648">
        <f>IF(H5648=1,P5648*Assumptions!$B$12,Assumptions!$B$29)</f>
        <v/>
      </c>
      <c r="W5648">
        <f>IF(I5648=1,P5648*Assumptions!$B$11,Assumptions!$B$28)</f>
        <v/>
      </c>
      <c r="X5648">
        <f>P5648*($O$532+$S$532)</f>
        <v/>
      </c>
      <c r="Y5648">
        <f>P5648*Assumptions!$B$9</f>
        <v/>
      </c>
      <c r="Z5648">
        <f>IF(M5648=1,(P5648-Assumptions!$B$37)*Assumptions!$B$153,0)</f>
        <v/>
      </c>
      <c r="AA5648">
        <f>Q5648+R5648+S5648+T5648+U5648+V5648+W5648+X5648+Y5648+Z5648</f>
        <v/>
      </c>
      <c r="AB5648" t="n">
        <v>8</v>
      </c>
      <c r="AC5648" t="n">
        <v>72</v>
      </c>
      <c r="AD5648" t="n">
        <v>40</v>
      </c>
      <c r="AE5648" t="n">
        <v>24</v>
      </c>
      <c r="AF5648" t="n">
        <v>0</v>
      </c>
      <c r="AG5648" t="n">
        <v>12</v>
      </c>
      <c r="AH5648" t="n">
        <v>10</v>
      </c>
      <c r="AI5648" t="n">
        <v>9</v>
      </c>
      <c r="AJ5648">
        <f>INDEX($Q$5640:$Q$5767,AC5648+1)</f>
        <v/>
      </c>
      <c r="AK5648">
        <f>INDEX($R$5640:$R$5767,AD5648+1)</f>
        <v/>
      </c>
      <c r="AL5648">
        <f>INDEX($S$5640:$S$5767,AE5648+1)</f>
        <v/>
      </c>
      <c r="AM5648">
        <f>INDEX($T$5640:$T$5767,AF5648+1)</f>
        <v/>
      </c>
      <c r="AN5648">
        <f>INDEX($U$5640:$U$5767,AG5648+1)</f>
        <v/>
      </c>
      <c r="AO5648">
        <f>INDEX($V$5640:$V$5767,AH5648+1)</f>
        <v/>
      </c>
      <c r="AP5648">
        <f>INDEX($W$5640:$W$5767,AI5648+1)</f>
        <v/>
      </c>
      <c r="AQ5648">
        <f>IF(Q5648&gt;=AJ5648-0.01,1,0)</f>
        <v/>
      </c>
      <c r="AR5648">
        <f>IF(R5648&gt;=AK5648-0.01,1,0)</f>
        <v/>
      </c>
      <c r="AS5648">
        <f>IF(S5648&gt;=AL5648-0.01,1,0)</f>
        <v/>
      </c>
      <c r="AT5648">
        <f>IF(T5648&gt;=AM5648-0.01,1,0)</f>
        <v/>
      </c>
      <c r="AU5648">
        <f>IF(U5648&gt;=AN5648-0.01,1,0)</f>
        <v/>
      </c>
      <c r="AV5648">
        <f>IF(V5648&gt;=AO5648-0.01,1,0)</f>
        <v/>
      </c>
      <c r="AW5648">
        <f>IF(W5648&gt;=AP5648-0.01,1,0)</f>
        <v/>
      </c>
      <c r="AX5648">
        <f>AQ5648*AR5648*AS5648*AT5648*AU5648*AV5648*AW5648</f>
        <v/>
      </c>
    </row>
    <row r="5649">
      <c r="A5649" t="inlineStr"/>
      <c r="B5649">
        <f>Assumptions!$B$60</f>
        <v/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1</v>
      </c>
      <c r="J5649">
        <f>(1-C5649)*Assumptions!$B$41+(1-D5649)*Assumptions!$B$33+(1-E5649)*Assumptions!$B$32+(1-F5649)*Assumptions!$B$31+(1-G5649)*Assumptions!$B$30+(1-H5649)*Assumptions!$B$29+(1-I5649)*Assumptions!$B$28</f>
        <v/>
      </c>
      <c r="K5649">
        <f>C5649*$J$532+D5649*$F$532+E5649*$G$532+F5649*Assumptions!$B$14+G5649*Assumptions!$B$13+H5649*Assumptions!$B$12+I5649*Assumptions!$B$11+$O$532+$S$532+Assumptions!$B$9</f>
        <v/>
      </c>
      <c r="L5649">
        <f>B5649-J5649</f>
        <v/>
      </c>
      <c r="M5649">
        <f>IF(K5649&gt;0,IF(L5649/K5649&gt;=Assumptions!$B$37,1,0),0)</f>
        <v/>
      </c>
      <c r="N5649">
        <f>K5649+M5649*Assumptions!$B$153</f>
        <v/>
      </c>
      <c r="O5649">
        <f>L5649+M5649*Assumptions!$B$153*Assumptions!$B$37</f>
        <v/>
      </c>
      <c r="P5649">
        <f>IF(N5649&gt;0,O5649/N5649,0)</f>
        <v/>
      </c>
      <c r="Q5649">
        <f>IF(C5649=1,P5649*$J$532,Assumptions!$B$41)</f>
        <v/>
      </c>
      <c r="R5649">
        <f>IF(D5649=1,P5649*$F$532,Assumptions!$B$33)</f>
        <v/>
      </c>
      <c r="S5649">
        <f>IF(E5649=1,P5649*$G$532,Assumptions!$B$32)</f>
        <v/>
      </c>
      <c r="T5649">
        <f>IF(F5649=1,P5649*Assumptions!$B$14,Assumptions!$B$31)</f>
        <v/>
      </c>
      <c r="U5649">
        <f>IF(G5649=1,P5649*Assumptions!$B$13,Assumptions!$B$30)</f>
        <v/>
      </c>
      <c r="V5649">
        <f>IF(H5649=1,P5649*Assumptions!$B$12,Assumptions!$B$29)</f>
        <v/>
      </c>
      <c r="W5649">
        <f>IF(I5649=1,P5649*Assumptions!$B$11,Assumptions!$B$28)</f>
        <v/>
      </c>
      <c r="X5649">
        <f>P5649*($O$532+$S$532)</f>
        <v/>
      </c>
      <c r="Y5649">
        <f>P5649*Assumptions!$B$9</f>
        <v/>
      </c>
      <c r="Z5649">
        <f>IF(M5649=1,(P5649-Assumptions!$B$37)*Assumptions!$B$153,0)</f>
        <v/>
      </c>
      <c r="AA5649">
        <f>Q5649+R5649+S5649+T5649+U5649+V5649+W5649+X5649+Y5649+Z5649</f>
        <v/>
      </c>
      <c r="AB5649" t="n">
        <v>9</v>
      </c>
      <c r="AC5649" t="n">
        <v>73</v>
      </c>
      <c r="AD5649" t="n">
        <v>41</v>
      </c>
      <c r="AE5649" t="n">
        <v>25</v>
      </c>
      <c r="AF5649" t="n">
        <v>1</v>
      </c>
      <c r="AG5649" t="n">
        <v>13</v>
      </c>
      <c r="AH5649" t="n">
        <v>11</v>
      </c>
      <c r="AI5649" t="n">
        <v>8</v>
      </c>
      <c r="AJ5649">
        <f>INDEX($Q$5640:$Q$5767,AC5649+1)</f>
        <v/>
      </c>
      <c r="AK5649">
        <f>INDEX($R$5640:$R$5767,AD5649+1)</f>
        <v/>
      </c>
      <c r="AL5649">
        <f>INDEX($S$5640:$S$5767,AE5649+1)</f>
        <v/>
      </c>
      <c r="AM5649">
        <f>INDEX($T$5640:$T$5767,AF5649+1)</f>
        <v/>
      </c>
      <c r="AN5649">
        <f>INDEX($U$5640:$U$5767,AG5649+1)</f>
        <v/>
      </c>
      <c r="AO5649">
        <f>INDEX($V$5640:$V$5767,AH5649+1)</f>
        <v/>
      </c>
      <c r="AP5649">
        <f>INDEX($W$5640:$W$5767,AI5649+1)</f>
        <v/>
      </c>
      <c r="AQ5649">
        <f>IF(Q5649&gt;=AJ5649-0.01,1,0)</f>
        <v/>
      </c>
      <c r="AR5649">
        <f>IF(R5649&gt;=AK5649-0.01,1,0)</f>
        <v/>
      </c>
      <c r="AS5649">
        <f>IF(S5649&gt;=AL5649-0.01,1,0)</f>
        <v/>
      </c>
      <c r="AT5649">
        <f>IF(T5649&gt;=AM5649-0.01,1,0)</f>
        <v/>
      </c>
      <c r="AU5649">
        <f>IF(U5649&gt;=AN5649-0.01,1,0)</f>
        <v/>
      </c>
      <c r="AV5649">
        <f>IF(V5649&gt;=AO5649-0.01,1,0)</f>
        <v/>
      </c>
      <c r="AW5649">
        <f>IF(W5649&gt;=AP5649-0.01,1,0)</f>
        <v/>
      </c>
      <c r="AX5649">
        <f>AQ5649*AR5649*AS5649*AT5649*AU5649*AV5649*AW5649</f>
        <v/>
      </c>
    </row>
    <row r="5650">
      <c r="A5650" t="inlineStr"/>
      <c r="B5650">
        <f>Assumptions!$B$60</f>
        <v/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>
        <f>(1-C5650)*Assumptions!$B$41+(1-D5650)*Assumptions!$B$33+(1-E5650)*Assumptions!$B$32+(1-F5650)*Assumptions!$B$31+(1-G5650)*Assumptions!$B$30+(1-H5650)*Assumptions!$B$29+(1-I5650)*Assumptions!$B$28</f>
        <v/>
      </c>
      <c r="K5650">
        <f>C5650*$J$532+D5650*$F$532+E5650*$G$532+F5650*Assumptions!$B$14+G5650*Assumptions!$B$13+H5650*Assumptions!$B$12+I5650*Assumptions!$B$11+$O$532+$S$532+Assumptions!$B$9</f>
        <v/>
      </c>
      <c r="L5650">
        <f>B5650-J5650</f>
        <v/>
      </c>
      <c r="M5650">
        <f>IF(K5650&gt;0,IF(L5650/K5650&gt;=Assumptions!$B$37,1,0),0)</f>
        <v/>
      </c>
      <c r="N5650">
        <f>K5650+M5650*Assumptions!$B$153</f>
        <v/>
      </c>
      <c r="O5650">
        <f>L5650+M5650*Assumptions!$B$153*Assumptions!$B$37</f>
        <v/>
      </c>
      <c r="P5650">
        <f>IF(N5650&gt;0,O5650/N5650,0)</f>
        <v/>
      </c>
      <c r="Q5650">
        <f>IF(C5650=1,P5650*$J$532,Assumptions!$B$41)</f>
        <v/>
      </c>
      <c r="R5650">
        <f>IF(D5650=1,P5650*$F$532,Assumptions!$B$33)</f>
        <v/>
      </c>
      <c r="S5650">
        <f>IF(E5650=1,P5650*$G$532,Assumptions!$B$32)</f>
        <v/>
      </c>
      <c r="T5650">
        <f>IF(F5650=1,P5650*Assumptions!$B$14,Assumptions!$B$31)</f>
        <v/>
      </c>
      <c r="U5650">
        <f>IF(G5650=1,P5650*Assumptions!$B$13,Assumptions!$B$30)</f>
        <v/>
      </c>
      <c r="V5650">
        <f>IF(H5650=1,P5650*Assumptions!$B$12,Assumptions!$B$29)</f>
        <v/>
      </c>
      <c r="W5650">
        <f>IF(I5650=1,P5650*Assumptions!$B$11,Assumptions!$B$28)</f>
        <v/>
      </c>
      <c r="X5650">
        <f>P5650*($O$532+$S$532)</f>
        <v/>
      </c>
      <c r="Y5650">
        <f>P5650*Assumptions!$B$9</f>
        <v/>
      </c>
      <c r="Z5650">
        <f>IF(M5650=1,(P5650-Assumptions!$B$37)*Assumptions!$B$153,0)</f>
        <v/>
      </c>
      <c r="AA5650">
        <f>Q5650+R5650+S5650+T5650+U5650+V5650+W5650+X5650+Y5650+Z5650</f>
        <v/>
      </c>
      <c r="AB5650" t="n">
        <v>10</v>
      </c>
      <c r="AC5650" t="n">
        <v>74</v>
      </c>
      <c r="AD5650" t="n">
        <v>42</v>
      </c>
      <c r="AE5650" t="n">
        <v>26</v>
      </c>
      <c r="AF5650" t="n">
        <v>2</v>
      </c>
      <c r="AG5650" t="n">
        <v>14</v>
      </c>
      <c r="AH5650" t="n">
        <v>8</v>
      </c>
      <c r="AI5650" t="n">
        <v>11</v>
      </c>
      <c r="AJ5650">
        <f>INDEX($Q$5640:$Q$5767,AC5650+1)</f>
        <v/>
      </c>
      <c r="AK5650">
        <f>INDEX($R$5640:$R$5767,AD5650+1)</f>
        <v/>
      </c>
      <c r="AL5650">
        <f>INDEX($S$5640:$S$5767,AE5650+1)</f>
        <v/>
      </c>
      <c r="AM5650">
        <f>INDEX($T$5640:$T$5767,AF5650+1)</f>
        <v/>
      </c>
      <c r="AN5650">
        <f>INDEX($U$5640:$U$5767,AG5650+1)</f>
        <v/>
      </c>
      <c r="AO5650">
        <f>INDEX($V$5640:$V$5767,AH5650+1)</f>
        <v/>
      </c>
      <c r="AP5650">
        <f>INDEX($W$5640:$W$5767,AI5650+1)</f>
        <v/>
      </c>
      <c r="AQ5650">
        <f>IF(Q5650&gt;=AJ5650-0.01,1,0)</f>
        <v/>
      </c>
      <c r="AR5650">
        <f>IF(R5650&gt;=AK5650-0.01,1,0)</f>
        <v/>
      </c>
      <c r="AS5650">
        <f>IF(S5650&gt;=AL5650-0.01,1,0)</f>
        <v/>
      </c>
      <c r="AT5650">
        <f>IF(T5650&gt;=AM5650-0.01,1,0)</f>
        <v/>
      </c>
      <c r="AU5650">
        <f>IF(U5650&gt;=AN5650-0.01,1,0)</f>
        <v/>
      </c>
      <c r="AV5650">
        <f>IF(V5650&gt;=AO5650-0.01,1,0)</f>
        <v/>
      </c>
      <c r="AW5650">
        <f>IF(W5650&gt;=AP5650-0.01,1,0)</f>
        <v/>
      </c>
      <c r="AX5650">
        <f>AQ5650*AR5650*AS5650*AT5650*AU5650*AV5650*AW5650</f>
        <v/>
      </c>
    </row>
    <row r="5651">
      <c r="A5651" t="inlineStr"/>
      <c r="B5651">
        <f>Assumptions!$B$60</f>
        <v/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1</v>
      </c>
      <c r="I5651" t="n">
        <v>1</v>
      </c>
      <c r="J5651">
        <f>(1-C5651)*Assumptions!$B$41+(1-D5651)*Assumptions!$B$33+(1-E5651)*Assumptions!$B$32+(1-F5651)*Assumptions!$B$31+(1-G5651)*Assumptions!$B$30+(1-H5651)*Assumptions!$B$29+(1-I5651)*Assumptions!$B$28</f>
        <v/>
      </c>
      <c r="K5651">
        <f>C5651*$J$532+D5651*$F$532+E5651*$G$532+F5651*Assumptions!$B$14+G5651*Assumptions!$B$13+H5651*Assumptions!$B$12+I5651*Assumptions!$B$11+$O$532+$S$532+Assumptions!$B$9</f>
        <v/>
      </c>
      <c r="L5651">
        <f>B5651-J5651</f>
        <v/>
      </c>
      <c r="M5651">
        <f>IF(K5651&gt;0,IF(L5651/K5651&gt;=Assumptions!$B$37,1,0),0)</f>
        <v/>
      </c>
      <c r="N5651">
        <f>K5651+M5651*Assumptions!$B$153</f>
        <v/>
      </c>
      <c r="O5651">
        <f>L5651+M5651*Assumptions!$B$153*Assumptions!$B$37</f>
        <v/>
      </c>
      <c r="P5651">
        <f>IF(N5651&gt;0,O5651/N5651,0)</f>
        <v/>
      </c>
      <c r="Q5651">
        <f>IF(C5651=1,P5651*$J$532,Assumptions!$B$41)</f>
        <v/>
      </c>
      <c r="R5651">
        <f>IF(D5651=1,P5651*$F$532,Assumptions!$B$33)</f>
        <v/>
      </c>
      <c r="S5651">
        <f>IF(E5651=1,P5651*$G$532,Assumptions!$B$32)</f>
        <v/>
      </c>
      <c r="T5651">
        <f>IF(F5651=1,P5651*Assumptions!$B$14,Assumptions!$B$31)</f>
        <v/>
      </c>
      <c r="U5651">
        <f>IF(G5651=1,P5651*Assumptions!$B$13,Assumptions!$B$30)</f>
        <v/>
      </c>
      <c r="V5651">
        <f>IF(H5651=1,P5651*Assumptions!$B$12,Assumptions!$B$29)</f>
        <v/>
      </c>
      <c r="W5651">
        <f>IF(I5651=1,P5651*Assumptions!$B$11,Assumptions!$B$28)</f>
        <v/>
      </c>
      <c r="X5651">
        <f>P5651*($O$532+$S$532)</f>
        <v/>
      </c>
      <c r="Y5651">
        <f>P5651*Assumptions!$B$9</f>
        <v/>
      </c>
      <c r="Z5651">
        <f>IF(M5651=1,(P5651-Assumptions!$B$37)*Assumptions!$B$153,0)</f>
        <v/>
      </c>
      <c r="AA5651">
        <f>Q5651+R5651+S5651+T5651+U5651+V5651+W5651+X5651+Y5651+Z5651</f>
        <v/>
      </c>
      <c r="AB5651" t="n">
        <v>11</v>
      </c>
      <c r="AC5651" t="n">
        <v>75</v>
      </c>
      <c r="AD5651" t="n">
        <v>43</v>
      </c>
      <c r="AE5651" t="n">
        <v>27</v>
      </c>
      <c r="AF5651" t="n">
        <v>3</v>
      </c>
      <c r="AG5651" t="n">
        <v>15</v>
      </c>
      <c r="AH5651" t="n">
        <v>9</v>
      </c>
      <c r="AI5651" t="n">
        <v>10</v>
      </c>
      <c r="AJ5651">
        <f>INDEX($Q$5640:$Q$5767,AC5651+1)</f>
        <v/>
      </c>
      <c r="AK5651">
        <f>INDEX($R$5640:$R$5767,AD5651+1)</f>
        <v/>
      </c>
      <c r="AL5651">
        <f>INDEX($S$5640:$S$5767,AE5651+1)</f>
        <v/>
      </c>
      <c r="AM5651">
        <f>INDEX($T$5640:$T$5767,AF5651+1)</f>
        <v/>
      </c>
      <c r="AN5651">
        <f>INDEX($U$5640:$U$5767,AG5651+1)</f>
        <v/>
      </c>
      <c r="AO5651">
        <f>INDEX($V$5640:$V$5767,AH5651+1)</f>
        <v/>
      </c>
      <c r="AP5651">
        <f>INDEX($W$5640:$W$5767,AI5651+1)</f>
        <v/>
      </c>
      <c r="AQ5651">
        <f>IF(Q5651&gt;=AJ5651-0.01,1,0)</f>
        <v/>
      </c>
      <c r="AR5651">
        <f>IF(R5651&gt;=AK5651-0.01,1,0)</f>
        <v/>
      </c>
      <c r="AS5651">
        <f>IF(S5651&gt;=AL5651-0.01,1,0)</f>
        <v/>
      </c>
      <c r="AT5651">
        <f>IF(T5651&gt;=AM5651-0.01,1,0)</f>
        <v/>
      </c>
      <c r="AU5651">
        <f>IF(U5651&gt;=AN5651-0.01,1,0)</f>
        <v/>
      </c>
      <c r="AV5651">
        <f>IF(V5651&gt;=AO5651-0.01,1,0)</f>
        <v/>
      </c>
      <c r="AW5651">
        <f>IF(W5651&gt;=AP5651-0.01,1,0)</f>
        <v/>
      </c>
      <c r="AX5651">
        <f>AQ5651*AR5651*AS5651*AT5651*AU5651*AV5651*AW5651</f>
        <v/>
      </c>
    </row>
    <row r="5652">
      <c r="A5652" t="inlineStr"/>
      <c r="B5652">
        <f>Assumptions!$B$60</f>
        <v/>
      </c>
      <c r="C5652" t="n">
        <v>0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>
        <f>(1-C5652)*Assumptions!$B$41+(1-D5652)*Assumptions!$B$33+(1-E5652)*Assumptions!$B$32+(1-F5652)*Assumptions!$B$31+(1-G5652)*Assumptions!$B$30+(1-H5652)*Assumptions!$B$29+(1-I5652)*Assumptions!$B$28</f>
        <v/>
      </c>
      <c r="K5652">
        <f>C5652*$J$532+D5652*$F$532+E5652*$G$532+F5652*Assumptions!$B$14+G5652*Assumptions!$B$13+H5652*Assumptions!$B$12+I5652*Assumptions!$B$11+$O$532+$S$532+Assumptions!$B$9</f>
        <v/>
      </c>
      <c r="L5652">
        <f>B5652-J5652</f>
        <v/>
      </c>
      <c r="M5652">
        <f>IF(K5652&gt;0,IF(L5652/K5652&gt;=Assumptions!$B$37,1,0),0)</f>
        <v/>
      </c>
      <c r="N5652">
        <f>K5652+M5652*Assumptions!$B$153</f>
        <v/>
      </c>
      <c r="O5652">
        <f>L5652+M5652*Assumptions!$B$153*Assumptions!$B$37</f>
        <v/>
      </c>
      <c r="P5652">
        <f>IF(N5652&gt;0,O5652/N5652,0)</f>
        <v/>
      </c>
      <c r="Q5652">
        <f>IF(C5652=1,P5652*$J$532,Assumptions!$B$41)</f>
        <v/>
      </c>
      <c r="R5652">
        <f>IF(D5652=1,P5652*$F$532,Assumptions!$B$33)</f>
        <v/>
      </c>
      <c r="S5652">
        <f>IF(E5652=1,P5652*$G$532,Assumptions!$B$32)</f>
        <v/>
      </c>
      <c r="T5652">
        <f>IF(F5652=1,P5652*Assumptions!$B$14,Assumptions!$B$31)</f>
        <v/>
      </c>
      <c r="U5652">
        <f>IF(G5652=1,P5652*Assumptions!$B$13,Assumptions!$B$30)</f>
        <v/>
      </c>
      <c r="V5652">
        <f>IF(H5652=1,P5652*Assumptions!$B$12,Assumptions!$B$29)</f>
        <v/>
      </c>
      <c r="W5652">
        <f>IF(I5652=1,P5652*Assumptions!$B$11,Assumptions!$B$28)</f>
        <v/>
      </c>
      <c r="X5652">
        <f>P5652*($O$532+$S$532)</f>
        <v/>
      </c>
      <c r="Y5652">
        <f>P5652*Assumptions!$B$9</f>
        <v/>
      </c>
      <c r="Z5652">
        <f>IF(M5652=1,(P5652-Assumptions!$B$37)*Assumptions!$B$153,0)</f>
        <v/>
      </c>
      <c r="AA5652">
        <f>Q5652+R5652+S5652+T5652+U5652+V5652+W5652+X5652+Y5652+Z5652</f>
        <v/>
      </c>
      <c r="AB5652" t="n">
        <v>12</v>
      </c>
      <c r="AC5652" t="n">
        <v>76</v>
      </c>
      <c r="AD5652" t="n">
        <v>44</v>
      </c>
      <c r="AE5652" t="n">
        <v>28</v>
      </c>
      <c r="AF5652" t="n">
        <v>4</v>
      </c>
      <c r="AG5652" t="n">
        <v>8</v>
      </c>
      <c r="AH5652" t="n">
        <v>14</v>
      </c>
      <c r="AI5652" t="n">
        <v>13</v>
      </c>
      <c r="AJ5652">
        <f>INDEX($Q$5640:$Q$5767,AC5652+1)</f>
        <v/>
      </c>
      <c r="AK5652">
        <f>INDEX($R$5640:$R$5767,AD5652+1)</f>
        <v/>
      </c>
      <c r="AL5652">
        <f>INDEX($S$5640:$S$5767,AE5652+1)</f>
        <v/>
      </c>
      <c r="AM5652">
        <f>INDEX($T$5640:$T$5767,AF5652+1)</f>
        <v/>
      </c>
      <c r="AN5652">
        <f>INDEX($U$5640:$U$5767,AG5652+1)</f>
        <v/>
      </c>
      <c r="AO5652">
        <f>INDEX($V$5640:$V$5767,AH5652+1)</f>
        <v/>
      </c>
      <c r="AP5652">
        <f>INDEX($W$5640:$W$5767,AI5652+1)</f>
        <v/>
      </c>
      <c r="AQ5652">
        <f>IF(Q5652&gt;=AJ5652-0.01,1,0)</f>
        <v/>
      </c>
      <c r="AR5652">
        <f>IF(R5652&gt;=AK5652-0.01,1,0)</f>
        <v/>
      </c>
      <c r="AS5652">
        <f>IF(S5652&gt;=AL5652-0.01,1,0)</f>
        <v/>
      </c>
      <c r="AT5652">
        <f>IF(T5652&gt;=AM5652-0.01,1,0)</f>
        <v/>
      </c>
      <c r="AU5652">
        <f>IF(U5652&gt;=AN5652-0.01,1,0)</f>
        <v/>
      </c>
      <c r="AV5652">
        <f>IF(V5652&gt;=AO5652-0.01,1,0)</f>
        <v/>
      </c>
      <c r="AW5652">
        <f>IF(W5652&gt;=AP5652-0.01,1,0)</f>
        <v/>
      </c>
      <c r="AX5652">
        <f>AQ5652*AR5652*AS5652*AT5652*AU5652*AV5652*AW5652</f>
        <v/>
      </c>
    </row>
    <row r="5653">
      <c r="A5653" t="inlineStr"/>
      <c r="B5653">
        <f>Assumptions!$B$60</f>
        <v/>
      </c>
      <c r="C5653" t="n">
        <v>0</v>
      </c>
      <c r="D5653" t="n">
        <v>0</v>
      </c>
      <c r="E5653" t="n">
        <v>0</v>
      </c>
      <c r="F5653" t="n">
        <v>1</v>
      </c>
      <c r="G5653" t="n">
        <v>1</v>
      </c>
      <c r="H5653" t="n">
        <v>0</v>
      </c>
      <c r="I5653" t="n">
        <v>1</v>
      </c>
      <c r="J5653">
        <f>(1-C5653)*Assumptions!$B$41+(1-D5653)*Assumptions!$B$33+(1-E5653)*Assumptions!$B$32+(1-F5653)*Assumptions!$B$31+(1-G5653)*Assumptions!$B$30+(1-H5653)*Assumptions!$B$29+(1-I5653)*Assumptions!$B$28</f>
        <v/>
      </c>
      <c r="K5653">
        <f>C5653*$J$532+D5653*$F$532+E5653*$G$532+F5653*Assumptions!$B$14+G5653*Assumptions!$B$13+H5653*Assumptions!$B$12+I5653*Assumptions!$B$11+$O$532+$S$532+Assumptions!$B$9</f>
        <v/>
      </c>
      <c r="L5653">
        <f>B5653-J5653</f>
        <v/>
      </c>
      <c r="M5653">
        <f>IF(K5653&gt;0,IF(L5653/K5653&gt;=Assumptions!$B$37,1,0),0)</f>
        <v/>
      </c>
      <c r="N5653">
        <f>K5653+M5653*Assumptions!$B$153</f>
        <v/>
      </c>
      <c r="O5653">
        <f>L5653+M5653*Assumptions!$B$153*Assumptions!$B$37</f>
        <v/>
      </c>
      <c r="P5653">
        <f>IF(N5653&gt;0,O5653/N5653,0)</f>
        <v/>
      </c>
      <c r="Q5653">
        <f>IF(C5653=1,P5653*$J$532,Assumptions!$B$41)</f>
        <v/>
      </c>
      <c r="R5653">
        <f>IF(D5653=1,P5653*$F$532,Assumptions!$B$33)</f>
        <v/>
      </c>
      <c r="S5653">
        <f>IF(E5653=1,P5653*$G$532,Assumptions!$B$32)</f>
        <v/>
      </c>
      <c r="T5653">
        <f>IF(F5653=1,P5653*Assumptions!$B$14,Assumptions!$B$31)</f>
        <v/>
      </c>
      <c r="U5653">
        <f>IF(G5653=1,P5653*Assumptions!$B$13,Assumptions!$B$30)</f>
        <v/>
      </c>
      <c r="V5653">
        <f>IF(H5653=1,P5653*Assumptions!$B$12,Assumptions!$B$29)</f>
        <v/>
      </c>
      <c r="W5653">
        <f>IF(I5653=1,P5653*Assumptions!$B$11,Assumptions!$B$28)</f>
        <v/>
      </c>
      <c r="X5653">
        <f>P5653*($O$532+$S$532)</f>
        <v/>
      </c>
      <c r="Y5653">
        <f>P5653*Assumptions!$B$9</f>
        <v/>
      </c>
      <c r="Z5653">
        <f>IF(M5653=1,(P5653-Assumptions!$B$37)*Assumptions!$B$153,0)</f>
        <v/>
      </c>
      <c r="AA5653">
        <f>Q5653+R5653+S5653+T5653+U5653+V5653+W5653+X5653+Y5653+Z5653</f>
        <v/>
      </c>
      <c r="AB5653" t="n">
        <v>13</v>
      </c>
      <c r="AC5653" t="n">
        <v>77</v>
      </c>
      <c r="AD5653" t="n">
        <v>45</v>
      </c>
      <c r="AE5653" t="n">
        <v>29</v>
      </c>
      <c r="AF5653" t="n">
        <v>5</v>
      </c>
      <c r="AG5653" t="n">
        <v>9</v>
      </c>
      <c r="AH5653" t="n">
        <v>15</v>
      </c>
      <c r="AI5653" t="n">
        <v>12</v>
      </c>
      <c r="AJ5653">
        <f>INDEX($Q$5640:$Q$5767,AC5653+1)</f>
        <v/>
      </c>
      <c r="AK5653">
        <f>INDEX($R$5640:$R$5767,AD5653+1)</f>
        <v/>
      </c>
      <c r="AL5653">
        <f>INDEX($S$5640:$S$5767,AE5653+1)</f>
        <v/>
      </c>
      <c r="AM5653">
        <f>INDEX($T$5640:$T$5767,AF5653+1)</f>
        <v/>
      </c>
      <c r="AN5653">
        <f>INDEX($U$5640:$U$5767,AG5653+1)</f>
        <v/>
      </c>
      <c r="AO5653">
        <f>INDEX($V$5640:$V$5767,AH5653+1)</f>
        <v/>
      </c>
      <c r="AP5653">
        <f>INDEX($W$5640:$W$5767,AI5653+1)</f>
        <v/>
      </c>
      <c r="AQ5653">
        <f>IF(Q5653&gt;=AJ5653-0.01,1,0)</f>
        <v/>
      </c>
      <c r="AR5653">
        <f>IF(R5653&gt;=AK5653-0.01,1,0)</f>
        <v/>
      </c>
      <c r="AS5653">
        <f>IF(S5653&gt;=AL5653-0.01,1,0)</f>
        <v/>
      </c>
      <c r="AT5653">
        <f>IF(T5653&gt;=AM5653-0.01,1,0)</f>
        <v/>
      </c>
      <c r="AU5653">
        <f>IF(U5653&gt;=AN5653-0.01,1,0)</f>
        <v/>
      </c>
      <c r="AV5653">
        <f>IF(V5653&gt;=AO5653-0.01,1,0)</f>
        <v/>
      </c>
      <c r="AW5653">
        <f>IF(W5653&gt;=AP5653-0.01,1,0)</f>
        <v/>
      </c>
      <c r="AX5653">
        <f>AQ5653*AR5653*AS5653*AT5653*AU5653*AV5653*AW5653</f>
        <v/>
      </c>
    </row>
    <row r="5654">
      <c r="A5654" t="inlineStr"/>
      <c r="B5654">
        <f>Assumptions!$B$60</f>
        <v/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n">
        <v>1</v>
      </c>
      <c r="I5654" t="n">
        <v>0</v>
      </c>
      <c r="J5654">
        <f>(1-C5654)*Assumptions!$B$41+(1-D5654)*Assumptions!$B$33+(1-E5654)*Assumptions!$B$32+(1-F5654)*Assumptions!$B$31+(1-G5654)*Assumptions!$B$30+(1-H5654)*Assumptions!$B$29+(1-I5654)*Assumptions!$B$28</f>
        <v/>
      </c>
      <c r="K5654">
        <f>C5654*$J$532+D5654*$F$532+E5654*$G$532+F5654*Assumptions!$B$14+G5654*Assumptions!$B$13+H5654*Assumptions!$B$12+I5654*Assumptions!$B$11+$O$532+$S$532+Assumptions!$B$9</f>
        <v/>
      </c>
      <c r="L5654">
        <f>B5654-J5654</f>
        <v/>
      </c>
      <c r="M5654">
        <f>IF(K5654&gt;0,IF(L5654/K5654&gt;=Assumptions!$B$37,1,0),0)</f>
        <v/>
      </c>
      <c r="N5654">
        <f>K5654+M5654*Assumptions!$B$153</f>
        <v/>
      </c>
      <c r="O5654">
        <f>L5654+M5654*Assumptions!$B$153*Assumptions!$B$37</f>
        <v/>
      </c>
      <c r="P5654">
        <f>IF(N5654&gt;0,O5654/N5654,0)</f>
        <v/>
      </c>
      <c r="Q5654">
        <f>IF(C5654=1,P5654*$J$532,Assumptions!$B$41)</f>
        <v/>
      </c>
      <c r="R5654">
        <f>IF(D5654=1,P5654*$F$532,Assumptions!$B$33)</f>
        <v/>
      </c>
      <c r="S5654">
        <f>IF(E5654=1,P5654*$G$532,Assumptions!$B$32)</f>
        <v/>
      </c>
      <c r="T5654">
        <f>IF(F5654=1,P5654*Assumptions!$B$14,Assumptions!$B$31)</f>
        <v/>
      </c>
      <c r="U5654">
        <f>IF(G5654=1,P5654*Assumptions!$B$13,Assumptions!$B$30)</f>
        <v/>
      </c>
      <c r="V5654">
        <f>IF(H5654=1,P5654*Assumptions!$B$12,Assumptions!$B$29)</f>
        <v/>
      </c>
      <c r="W5654">
        <f>IF(I5654=1,P5654*Assumptions!$B$11,Assumptions!$B$28)</f>
        <v/>
      </c>
      <c r="X5654">
        <f>P5654*($O$532+$S$532)</f>
        <v/>
      </c>
      <c r="Y5654">
        <f>P5654*Assumptions!$B$9</f>
        <v/>
      </c>
      <c r="Z5654">
        <f>IF(M5654=1,(P5654-Assumptions!$B$37)*Assumptions!$B$153,0)</f>
        <v/>
      </c>
      <c r="AA5654">
        <f>Q5654+R5654+S5654+T5654+U5654+V5654+W5654+X5654+Y5654+Z5654</f>
        <v/>
      </c>
      <c r="AB5654" t="n">
        <v>14</v>
      </c>
      <c r="AC5654" t="n">
        <v>78</v>
      </c>
      <c r="AD5654" t="n">
        <v>46</v>
      </c>
      <c r="AE5654" t="n">
        <v>30</v>
      </c>
      <c r="AF5654" t="n">
        <v>6</v>
      </c>
      <c r="AG5654" t="n">
        <v>10</v>
      </c>
      <c r="AH5654" t="n">
        <v>12</v>
      </c>
      <c r="AI5654" t="n">
        <v>15</v>
      </c>
      <c r="AJ5654">
        <f>INDEX($Q$5640:$Q$5767,AC5654+1)</f>
        <v/>
      </c>
      <c r="AK5654">
        <f>INDEX($R$5640:$R$5767,AD5654+1)</f>
        <v/>
      </c>
      <c r="AL5654">
        <f>INDEX($S$5640:$S$5767,AE5654+1)</f>
        <v/>
      </c>
      <c r="AM5654">
        <f>INDEX($T$5640:$T$5767,AF5654+1)</f>
        <v/>
      </c>
      <c r="AN5654">
        <f>INDEX($U$5640:$U$5767,AG5654+1)</f>
        <v/>
      </c>
      <c r="AO5654">
        <f>INDEX($V$5640:$V$5767,AH5654+1)</f>
        <v/>
      </c>
      <c r="AP5654">
        <f>INDEX($W$5640:$W$5767,AI5654+1)</f>
        <v/>
      </c>
      <c r="AQ5654">
        <f>IF(Q5654&gt;=AJ5654-0.01,1,0)</f>
        <v/>
      </c>
      <c r="AR5654">
        <f>IF(R5654&gt;=AK5654-0.01,1,0)</f>
        <v/>
      </c>
      <c r="AS5654">
        <f>IF(S5654&gt;=AL5654-0.01,1,0)</f>
        <v/>
      </c>
      <c r="AT5654">
        <f>IF(T5654&gt;=AM5654-0.01,1,0)</f>
        <v/>
      </c>
      <c r="AU5654">
        <f>IF(U5654&gt;=AN5654-0.01,1,0)</f>
        <v/>
      </c>
      <c r="AV5654">
        <f>IF(V5654&gt;=AO5654-0.01,1,0)</f>
        <v/>
      </c>
      <c r="AW5654">
        <f>IF(W5654&gt;=AP5654-0.01,1,0)</f>
        <v/>
      </c>
      <c r="AX5654">
        <f>AQ5654*AR5654*AS5654*AT5654*AU5654*AV5654*AW5654</f>
        <v/>
      </c>
    </row>
    <row r="5655">
      <c r="A5655" t="inlineStr"/>
      <c r="B5655">
        <f>Assumptions!$B$60</f>
        <v/>
      </c>
      <c r="C5655" t="n">
        <v>0</v>
      </c>
      <c r="D5655" t="n">
        <v>0</v>
      </c>
      <c r="E5655" t="n">
        <v>0</v>
      </c>
      <c r="F5655" t="n">
        <v>1</v>
      </c>
      <c r="G5655" t="n">
        <v>1</v>
      </c>
      <c r="H5655" t="n">
        <v>1</v>
      </c>
      <c r="I5655" t="n">
        <v>1</v>
      </c>
      <c r="J5655">
        <f>(1-C5655)*Assumptions!$B$41+(1-D5655)*Assumptions!$B$33+(1-E5655)*Assumptions!$B$32+(1-F5655)*Assumptions!$B$31+(1-G5655)*Assumptions!$B$30+(1-H5655)*Assumptions!$B$29+(1-I5655)*Assumptions!$B$28</f>
        <v/>
      </c>
      <c r="K5655">
        <f>C5655*$J$532+D5655*$F$532+E5655*$G$532+F5655*Assumptions!$B$14+G5655*Assumptions!$B$13+H5655*Assumptions!$B$12+I5655*Assumptions!$B$11+$O$532+$S$532+Assumptions!$B$9</f>
        <v/>
      </c>
      <c r="L5655">
        <f>B5655-J5655</f>
        <v/>
      </c>
      <c r="M5655">
        <f>IF(K5655&gt;0,IF(L5655/K5655&gt;=Assumptions!$B$37,1,0),0)</f>
        <v/>
      </c>
      <c r="N5655">
        <f>K5655+M5655*Assumptions!$B$153</f>
        <v/>
      </c>
      <c r="O5655">
        <f>L5655+M5655*Assumptions!$B$153*Assumptions!$B$37</f>
        <v/>
      </c>
      <c r="P5655">
        <f>IF(N5655&gt;0,O5655/N5655,0)</f>
        <v/>
      </c>
      <c r="Q5655">
        <f>IF(C5655=1,P5655*$J$532,Assumptions!$B$41)</f>
        <v/>
      </c>
      <c r="R5655">
        <f>IF(D5655=1,P5655*$F$532,Assumptions!$B$33)</f>
        <v/>
      </c>
      <c r="S5655">
        <f>IF(E5655=1,P5655*$G$532,Assumptions!$B$32)</f>
        <v/>
      </c>
      <c r="T5655">
        <f>IF(F5655=1,P5655*Assumptions!$B$14,Assumptions!$B$31)</f>
        <v/>
      </c>
      <c r="U5655">
        <f>IF(G5655=1,P5655*Assumptions!$B$13,Assumptions!$B$30)</f>
        <v/>
      </c>
      <c r="V5655">
        <f>IF(H5655=1,P5655*Assumptions!$B$12,Assumptions!$B$29)</f>
        <v/>
      </c>
      <c r="W5655">
        <f>IF(I5655=1,P5655*Assumptions!$B$11,Assumptions!$B$28)</f>
        <v/>
      </c>
      <c r="X5655">
        <f>P5655*($O$532+$S$532)</f>
        <v/>
      </c>
      <c r="Y5655">
        <f>P5655*Assumptions!$B$9</f>
        <v/>
      </c>
      <c r="Z5655">
        <f>IF(M5655=1,(P5655-Assumptions!$B$37)*Assumptions!$B$153,0)</f>
        <v/>
      </c>
      <c r="AA5655">
        <f>Q5655+R5655+S5655+T5655+U5655+V5655+W5655+X5655+Y5655+Z5655</f>
        <v/>
      </c>
      <c r="AB5655" t="n">
        <v>15</v>
      </c>
      <c r="AC5655" t="n">
        <v>79</v>
      </c>
      <c r="AD5655" t="n">
        <v>47</v>
      </c>
      <c r="AE5655" t="n">
        <v>31</v>
      </c>
      <c r="AF5655" t="n">
        <v>7</v>
      </c>
      <c r="AG5655" t="n">
        <v>11</v>
      </c>
      <c r="AH5655" t="n">
        <v>13</v>
      </c>
      <c r="AI5655" t="n">
        <v>14</v>
      </c>
      <c r="AJ5655">
        <f>INDEX($Q$5640:$Q$5767,AC5655+1)</f>
        <v/>
      </c>
      <c r="AK5655">
        <f>INDEX($R$5640:$R$5767,AD5655+1)</f>
        <v/>
      </c>
      <c r="AL5655">
        <f>INDEX($S$5640:$S$5767,AE5655+1)</f>
        <v/>
      </c>
      <c r="AM5655">
        <f>INDEX($T$5640:$T$5767,AF5655+1)</f>
        <v/>
      </c>
      <c r="AN5655">
        <f>INDEX($U$5640:$U$5767,AG5655+1)</f>
        <v/>
      </c>
      <c r="AO5655">
        <f>INDEX($V$5640:$V$5767,AH5655+1)</f>
        <v/>
      </c>
      <c r="AP5655">
        <f>INDEX($W$5640:$W$5767,AI5655+1)</f>
        <v/>
      </c>
      <c r="AQ5655">
        <f>IF(Q5655&gt;=AJ5655-0.01,1,0)</f>
        <v/>
      </c>
      <c r="AR5655">
        <f>IF(R5655&gt;=AK5655-0.01,1,0)</f>
        <v/>
      </c>
      <c r="AS5655">
        <f>IF(S5655&gt;=AL5655-0.01,1,0)</f>
        <v/>
      </c>
      <c r="AT5655">
        <f>IF(T5655&gt;=AM5655-0.01,1,0)</f>
        <v/>
      </c>
      <c r="AU5655">
        <f>IF(U5655&gt;=AN5655-0.01,1,0)</f>
        <v/>
      </c>
      <c r="AV5655">
        <f>IF(V5655&gt;=AO5655-0.01,1,0)</f>
        <v/>
      </c>
      <c r="AW5655">
        <f>IF(W5655&gt;=AP5655-0.01,1,0)</f>
        <v/>
      </c>
      <c r="AX5655">
        <f>AQ5655*AR5655*AS5655*AT5655*AU5655*AV5655*AW5655</f>
        <v/>
      </c>
    </row>
    <row r="5656">
      <c r="A5656" t="inlineStr"/>
      <c r="B5656">
        <f>Assumptions!$B$60</f>
        <v/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0</v>
      </c>
      <c r="J5656">
        <f>(1-C5656)*Assumptions!$B$41+(1-D5656)*Assumptions!$B$33+(1-E5656)*Assumptions!$B$32+(1-F5656)*Assumptions!$B$31+(1-G5656)*Assumptions!$B$30+(1-H5656)*Assumptions!$B$29+(1-I5656)*Assumptions!$B$28</f>
        <v/>
      </c>
      <c r="K5656">
        <f>C5656*$J$532+D5656*$F$532+E5656*$G$532+F5656*Assumptions!$B$14+G5656*Assumptions!$B$13+H5656*Assumptions!$B$12+I5656*Assumptions!$B$11+$O$532+$S$532+Assumptions!$B$9</f>
        <v/>
      </c>
      <c r="L5656">
        <f>B5656-J5656</f>
        <v/>
      </c>
      <c r="M5656">
        <f>IF(K5656&gt;0,IF(L5656/K5656&gt;=Assumptions!$B$37,1,0),0)</f>
        <v/>
      </c>
      <c r="N5656">
        <f>K5656+M5656*Assumptions!$B$153</f>
        <v/>
      </c>
      <c r="O5656">
        <f>L5656+M5656*Assumptions!$B$153*Assumptions!$B$37</f>
        <v/>
      </c>
      <c r="P5656">
        <f>IF(N5656&gt;0,O5656/N5656,0)</f>
        <v/>
      </c>
      <c r="Q5656">
        <f>IF(C5656=1,P5656*$J$532,Assumptions!$B$41)</f>
        <v/>
      </c>
      <c r="R5656">
        <f>IF(D5656=1,P5656*$F$532,Assumptions!$B$33)</f>
        <v/>
      </c>
      <c r="S5656">
        <f>IF(E5656=1,P5656*$G$532,Assumptions!$B$32)</f>
        <v/>
      </c>
      <c r="T5656">
        <f>IF(F5656=1,P5656*Assumptions!$B$14,Assumptions!$B$31)</f>
        <v/>
      </c>
      <c r="U5656">
        <f>IF(G5656=1,P5656*Assumptions!$B$13,Assumptions!$B$30)</f>
        <v/>
      </c>
      <c r="V5656">
        <f>IF(H5656=1,P5656*Assumptions!$B$12,Assumptions!$B$29)</f>
        <v/>
      </c>
      <c r="W5656">
        <f>IF(I5656=1,P5656*Assumptions!$B$11,Assumptions!$B$28)</f>
        <v/>
      </c>
      <c r="X5656">
        <f>P5656*($O$532+$S$532)</f>
        <v/>
      </c>
      <c r="Y5656">
        <f>P5656*Assumptions!$B$9</f>
        <v/>
      </c>
      <c r="Z5656">
        <f>IF(M5656=1,(P5656-Assumptions!$B$37)*Assumptions!$B$153,0)</f>
        <v/>
      </c>
      <c r="AA5656">
        <f>Q5656+R5656+S5656+T5656+U5656+V5656+W5656+X5656+Y5656+Z5656</f>
        <v/>
      </c>
      <c r="AB5656" t="n">
        <v>16</v>
      </c>
      <c r="AC5656" t="n">
        <v>80</v>
      </c>
      <c r="AD5656" t="n">
        <v>48</v>
      </c>
      <c r="AE5656" t="n">
        <v>0</v>
      </c>
      <c r="AF5656" t="n">
        <v>24</v>
      </c>
      <c r="AG5656" t="n">
        <v>20</v>
      </c>
      <c r="AH5656" t="n">
        <v>18</v>
      </c>
      <c r="AI5656" t="n">
        <v>17</v>
      </c>
      <c r="AJ5656">
        <f>INDEX($Q$5640:$Q$5767,AC5656+1)</f>
        <v/>
      </c>
      <c r="AK5656">
        <f>INDEX($R$5640:$R$5767,AD5656+1)</f>
        <v/>
      </c>
      <c r="AL5656">
        <f>INDEX($S$5640:$S$5767,AE5656+1)</f>
        <v/>
      </c>
      <c r="AM5656">
        <f>INDEX($T$5640:$T$5767,AF5656+1)</f>
        <v/>
      </c>
      <c r="AN5656">
        <f>INDEX($U$5640:$U$5767,AG5656+1)</f>
        <v/>
      </c>
      <c r="AO5656">
        <f>INDEX($V$5640:$V$5767,AH5656+1)</f>
        <v/>
      </c>
      <c r="AP5656">
        <f>INDEX($W$5640:$W$5767,AI5656+1)</f>
        <v/>
      </c>
      <c r="AQ5656">
        <f>IF(Q5656&gt;=AJ5656-0.01,1,0)</f>
        <v/>
      </c>
      <c r="AR5656">
        <f>IF(R5656&gt;=AK5656-0.01,1,0)</f>
        <v/>
      </c>
      <c r="AS5656">
        <f>IF(S5656&gt;=AL5656-0.01,1,0)</f>
        <v/>
      </c>
      <c r="AT5656">
        <f>IF(T5656&gt;=AM5656-0.01,1,0)</f>
        <v/>
      </c>
      <c r="AU5656">
        <f>IF(U5656&gt;=AN5656-0.01,1,0)</f>
        <v/>
      </c>
      <c r="AV5656">
        <f>IF(V5656&gt;=AO5656-0.01,1,0)</f>
        <v/>
      </c>
      <c r="AW5656">
        <f>IF(W5656&gt;=AP5656-0.01,1,0)</f>
        <v/>
      </c>
      <c r="AX5656">
        <f>AQ5656*AR5656*AS5656*AT5656*AU5656*AV5656*AW5656</f>
        <v/>
      </c>
    </row>
    <row r="5657">
      <c r="A5657" t="inlineStr"/>
      <c r="B5657">
        <f>Assumptions!$B$60</f>
        <v/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>
        <f>(1-C5657)*Assumptions!$B$41+(1-D5657)*Assumptions!$B$33+(1-E5657)*Assumptions!$B$32+(1-F5657)*Assumptions!$B$31+(1-G5657)*Assumptions!$B$30+(1-H5657)*Assumptions!$B$29+(1-I5657)*Assumptions!$B$28</f>
        <v/>
      </c>
      <c r="K5657">
        <f>C5657*$J$532+D5657*$F$532+E5657*$G$532+F5657*Assumptions!$B$14+G5657*Assumptions!$B$13+H5657*Assumptions!$B$12+I5657*Assumptions!$B$11+$O$532+$S$532+Assumptions!$B$9</f>
        <v/>
      </c>
      <c r="L5657">
        <f>B5657-J5657</f>
        <v/>
      </c>
      <c r="M5657">
        <f>IF(K5657&gt;0,IF(L5657/K5657&gt;=Assumptions!$B$37,1,0),0)</f>
        <v/>
      </c>
      <c r="N5657">
        <f>K5657+M5657*Assumptions!$B$153</f>
        <v/>
      </c>
      <c r="O5657">
        <f>L5657+M5657*Assumptions!$B$153*Assumptions!$B$37</f>
        <v/>
      </c>
      <c r="P5657">
        <f>IF(N5657&gt;0,O5657/N5657,0)</f>
        <v/>
      </c>
      <c r="Q5657">
        <f>IF(C5657=1,P5657*$J$532,Assumptions!$B$41)</f>
        <v/>
      </c>
      <c r="R5657">
        <f>IF(D5657=1,P5657*$F$532,Assumptions!$B$33)</f>
        <v/>
      </c>
      <c r="S5657">
        <f>IF(E5657=1,P5657*$G$532,Assumptions!$B$32)</f>
        <v/>
      </c>
      <c r="T5657">
        <f>IF(F5657=1,P5657*Assumptions!$B$14,Assumptions!$B$31)</f>
        <v/>
      </c>
      <c r="U5657">
        <f>IF(G5657=1,P5657*Assumptions!$B$13,Assumptions!$B$30)</f>
        <v/>
      </c>
      <c r="V5657">
        <f>IF(H5657=1,P5657*Assumptions!$B$12,Assumptions!$B$29)</f>
        <v/>
      </c>
      <c r="W5657">
        <f>IF(I5657=1,P5657*Assumptions!$B$11,Assumptions!$B$28)</f>
        <v/>
      </c>
      <c r="X5657">
        <f>P5657*($O$532+$S$532)</f>
        <v/>
      </c>
      <c r="Y5657">
        <f>P5657*Assumptions!$B$9</f>
        <v/>
      </c>
      <c r="Z5657">
        <f>IF(M5657=1,(P5657-Assumptions!$B$37)*Assumptions!$B$153,0)</f>
        <v/>
      </c>
      <c r="AA5657">
        <f>Q5657+R5657+S5657+T5657+U5657+V5657+W5657+X5657+Y5657+Z5657</f>
        <v/>
      </c>
      <c r="AB5657" t="n">
        <v>17</v>
      </c>
      <c r="AC5657" t="n">
        <v>81</v>
      </c>
      <c r="AD5657" t="n">
        <v>49</v>
      </c>
      <c r="AE5657" t="n">
        <v>1</v>
      </c>
      <c r="AF5657" t="n">
        <v>25</v>
      </c>
      <c r="AG5657" t="n">
        <v>21</v>
      </c>
      <c r="AH5657" t="n">
        <v>19</v>
      </c>
      <c r="AI5657" t="n">
        <v>16</v>
      </c>
      <c r="AJ5657">
        <f>INDEX($Q$5640:$Q$5767,AC5657+1)</f>
        <v/>
      </c>
      <c r="AK5657">
        <f>INDEX($R$5640:$R$5767,AD5657+1)</f>
        <v/>
      </c>
      <c r="AL5657">
        <f>INDEX($S$5640:$S$5767,AE5657+1)</f>
        <v/>
      </c>
      <c r="AM5657">
        <f>INDEX($T$5640:$T$5767,AF5657+1)</f>
        <v/>
      </c>
      <c r="AN5657">
        <f>INDEX($U$5640:$U$5767,AG5657+1)</f>
        <v/>
      </c>
      <c r="AO5657">
        <f>INDEX($V$5640:$V$5767,AH5657+1)</f>
        <v/>
      </c>
      <c r="AP5657">
        <f>INDEX($W$5640:$W$5767,AI5657+1)</f>
        <v/>
      </c>
      <c r="AQ5657">
        <f>IF(Q5657&gt;=AJ5657-0.01,1,0)</f>
        <v/>
      </c>
      <c r="AR5657">
        <f>IF(R5657&gt;=AK5657-0.01,1,0)</f>
        <v/>
      </c>
      <c r="AS5657">
        <f>IF(S5657&gt;=AL5657-0.01,1,0)</f>
        <v/>
      </c>
      <c r="AT5657">
        <f>IF(T5657&gt;=AM5657-0.01,1,0)</f>
        <v/>
      </c>
      <c r="AU5657">
        <f>IF(U5657&gt;=AN5657-0.01,1,0)</f>
        <v/>
      </c>
      <c r="AV5657">
        <f>IF(V5657&gt;=AO5657-0.01,1,0)</f>
        <v/>
      </c>
      <c r="AW5657">
        <f>IF(W5657&gt;=AP5657-0.01,1,0)</f>
        <v/>
      </c>
      <c r="AX5657">
        <f>AQ5657*AR5657*AS5657*AT5657*AU5657*AV5657*AW5657</f>
        <v/>
      </c>
    </row>
    <row r="5658">
      <c r="A5658" t="inlineStr"/>
      <c r="B5658">
        <f>Assumptions!$B$60</f>
        <v/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  <c r="I5658" t="n">
        <v>0</v>
      </c>
      <c r="J5658">
        <f>(1-C5658)*Assumptions!$B$41+(1-D5658)*Assumptions!$B$33+(1-E5658)*Assumptions!$B$32+(1-F5658)*Assumptions!$B$31+(1-G5658)*Assumptions!$B$30+(1-H5658)*Assumptions!$B$29+(1-I5658)*Assumptions!$B$28</f>
        <v/>
      </c>
      <c r="K5658">
        <f>C5658*$J$532+D5658*$F$532+E5658*$G$532+F5658*Assumptions!$B$14+G5658*Assumptions!$B$13+H5658*Assumptions!$B$12+I5658*Assumptions!$B$11+$O$532+$S$532+Assumptions!$B$9</f>
        <v/>
      </c>
      <c r="L5658">
        <f>B5658-J5658</f>
        <v/>
      </c>
      <c r="M5658">
        <f>IF(K5658&gt;0,IF(L5658/K5658&gt;=Assumptions!$B$37,1,0),0)</f>
        <v/>
      </c>
      <c r="N5658">
        <f>K5658+M5658*Assumptions!$B$153</f>
        <v/>
      </c>
      <c r="O5658">
        <f>L5658+M5658*Assumptions!$B$153*Assumptions!$B$37</f>
        <v/>
      </c>
      <c r="P5658">
        <f>IF(N5658&gt;0,O5658/N5658,0)</f>
        <v/>
      </c>
      <c r="Q5658">
        <f>IF(C5658=1,P5658*$J$532,Assumptions!$B$41)</f>
        <v/>
      </c>
      <c r="R5658">
        <f>IF(D5658=1,P5658*$F$532,Assumptions!$B$33)</f>
        <v/>
      </c>
      <c r="S5658">
        <f>IF(E5658=1,P5658*$G$532,Assumptions!$B$32)</f>
        <v/>
      </c>
      <c r="T5658">
        <f>IF(F5658=1,P5658*Assumptions!$B$14,Assumptions!$B$31)</f>
        <v/>
      </c>
      <c r="U5658">
        <f>IF(G5658=1,P5658*Assumptions!$B$13,Assumptions!$B$30)</f>
        <v/>
      </c>
      <c r="V5658">
        <f>IF(H5658=1,P5658*Assumptions!$B$12,Assumptions!$B$29)</f>
        <v/>
      </c>
      <c r="W5658">
        <f>IF(I5658=1,P5658*Assumptions!$B$11,Assumptions!$B$28)</f>
        <v/>
      </c>
      <c r="X5658">
        <f>P5658*($O$532+$S$532)</f>
        <v/>
      </c>
      <c r="Y5658">
        <f>P5658*Assumptions!$B$9</f>
        <v/>
      </c>
      <c r="Z5658">
        <f>IF(M5658=1,(P5658-Assumptions!$B$37)*Assumptions!$B$153,0)</f>
        <v/>
      </c>
      <c r="AA5658">
        <f>Q5658+R5658+S5658+T5658+U5658+V5658+W5658+X5658+Y5658+Z5658</f>
        <v/>
      </c>
      <c r="AB5658" t="n">
        <v>18</v>
      </c>
      <c r="AC5658" t="n">
        <v>82</v>
      </c>
      <c r="AD5658" t="n">
        <v>50</v>
      </c>
      <c r="AE5658" t="n">
        <v>2</v>
      </c>
      <c r="AF5658" t="n">
        <v>26</v>
      </c>
      <c r="AG5658" t="n">
        <v>22</v>
      </c>
      <c r="AH5658" t="n">
        <v>16</v>
      </c>
      <c r="AI5658" t="n">
        <v>19</v>
      </c>
      <c r="AJ5658">
        <f>INDEX($Q$5640:$Q$5767,AC5658+1)</f>
        <v/>
      </c>
      <c r="AK5658">
        <f>INDEX($R$5640:$R$5767,AD5658+1)</f>
        <v/>
      </c>
      <c r="AL5658">
        <f>INDEX($S$5640:$S$5767,AE5658+1)</f>
        <v/>
      </c>
      <c r="AM5658">
        <f>INDEX($T$5640:$T$5767,AF5658+1)</f>
        <v/>
      </c>
      <c r="AN5658">
        <f>INDEX($U$5640:$U$5767,AG5658+1)</f>
        <v/>
      </c>
      <c r="AO5658">
        <f>INDEX($V$5640:$V$5767,AH5658+1)</f>
        <v/>
      </c>
      <c r="AP5658">
        <f>INDEX($W$5640:$W$5767,AI5658+1)</f>
        <v/>
      </c>
      <c r="AQ5658">
        <f>IF(Q5658&gt;=AJ5658-0.01,1,0)</f>
        <v/>
      </c>
      <c r="AR5658">
        <f>IF(R5658&gt;=AK5658-0.01,1,0)</f>
        <v/>
      </c>
      <c r="AS5658">
        <f>IF(S5658&gt;=AL5658-0.01,1,0)</f>
        <v/>
      </c>
      <c r="AT5658">
        <f>IF(T5658&gt;=AM5658-0.01,1,0)</f>
        <v/>
      </c>
      <c r="AU5658">
        <f>IF(U5658&gt;=AN5658-0.01,1,0)</f>
        <v/>
      </c>
      <c r="AV5658">
        <f>IF(V5658&gt;=AO5658-0.01,1,0)</f>
        <v/>
      </c>
      <c r="AW5658">
        <f>IF(W5658&gt;=AP5658-0.01,1,0)</f>
        <v/>
      </c>
      <c r="AX5658">
        <f>AQ5658*AR5658*AS5658*AT5658*AU5658*AV5658*AW5658</f>
        <v/>
      </c>
    </row>
    <row r="5659">
      <c r="A5659" t="inlineStr"/>
      <c r="B5659">
        <f>Assumptions!$B$60</f>
        <v/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  <c r="I5659" t="n">
        <v>1</v>
      </c>
      <c r="J5659">
        <f>(1-C5659)*Assumptions!$B$41+(1-D5659)*Assumptions!$B$33+(1-E5659)*Assumptions!$B$32+(1-F5659)*Assumptions!$B$31+(1-G5659)*Assumptions!$B$30+(1-H5659)*Assumptions!$B$29+(1-I5659)*Assumptions!$B$28</f>
        <v/>
      </c>
      <c r="K5659">
        <f>C5659*$J$532+D5659*$F$532+E5659*$G$532+F5659*Assumptions!$B$14+G5659*Assumptions!$B$13+H5659*Assumptions!$B$12+I5659*Assumptions!$B$11+$O$532+$S$532+Assumptions!$B$9</f>
        <v/>
      </c>
      <c r="L5659">
        <f>B5659-J5659</f>
        <v/>
      </c>
      <c r="M5659">
        <f>IF(K5659&gt;0,IF(L5659/K5659&gt;=Assumptions!$B$37,1,0),0)</f>
        <v/>
      </c>
      <c r="N5659">
        <f>K5659+M5659*Assumptions!$B$153</f>
        <v/>
      </c>
      <c r="O5659">
        <f>L5659+M5659*Assumptions!$B$153*Assumptions!$B$37</f>
        <v/>
      </c>
      <c r="P5659">
        <f>IF(N5659&gt;0,O5659/N5659,0)</f>
        <v/>
      </c>
      <c r="Q5659">
        <f>IF(C5659=1,P5659*$J$532,Assumptions!$B$41)</f>
        <v/>
      </c>
      <c r="R5659">
        <f>IF(D5659=1,P5659*$F$532,Assumptions!$B$33)</f>
        <v/>
      </c>
      <c r="S5659">
        <f>IF(E5659=1,P5659*$G$532,Assumptions!$B$32)</f>
        <v/>
      </c>
      <c r="T5659">
        <f>IF(F5659=1,P5659*Assumptions!$B$14,Assumptions!$B$31)</f>
        <v/>
      </c>
      <c r="U5659">
        <f>IF(G5659=1,P5659*Assumptions!$B$13,Assumptions!$B$30)</f>
        <v/>
      </c>
      <c r="V5659">
        <f>IF(H5659=1,P5659*Assumptions!$B$12,Assumptions!$B$29)</f>
        <v/>
      </c>
      <c r="W5659">
        <f>IF(I5659=1,P5659*Assumptions!$B$11,Assumptions!$B$28)</f>
        <v/>
      </c>
      <c r="X5659">
        <f>P5659*($O$532+$S$532)</f>
        <v/>
      </c>
      <c r="Y5659">
        <f>P5659*Assumptions!$B$9</f>
        <v/>
      </c>
      <c r="Z5659">
        <f>IF(M5659=1,(P5659-Assumptions!$B$37)*Assumptions!$B$153,0)</f>
        <v/>
      </c>
      <c r="AA5659">
        <f>Q5659+R5659+S5659+T5659+U5659+V5659+W5659+X5659+Y5659+Z5659</f>
        <v/>
      </c>
      <c r="AB5659" t="n">
        <v>19</v>
      </c>
      <c r="AC5659" t="n">
        <v>83</v>
      </c>
      <c r="AD5659" t="n">
        <v>51</v>
      </c>
      <c r="AE5659" t="n">
        <v>3</v>
      </c>
      <c r="AF5659" t="n">
        <v>27</v>
      </c>
      <c r="AG5659" t="n">
        <v>23</v>
      </c>
      <c r="AH5659" t="n">
        <v>17</v>
      </c>
      <c r="AI5659" t="n">
        <v>18</v>
      </c>
      <c r="AJ5659">
        <f>INDEX($Q$5640:$Q$5767,AC5659+1)</f>
        <v/>
      </c>
      <c r="AK5659">
        <f>INDEX($R$5640:$R$5767,AD5659+1)</f>
        <v/>
      </c>
      <c r="AL5659">
        <f>INDEX($S$5640:$S$5767,AE5659+1)</f>
        <v/>
      </c>
      <c r="AM5659">
        <f>INDEX($T$5640:$T$5767,AF5659+1)</f>
        <v/>
      </c>
      <c r="AN5659">
        <f>INDEX($U$5640:$U$5767,AG5659+1)</f>
        <v/>
      </c>
      <c r="AO5659">
        <f>INDEX($V$5640:$V$5767,AH5659+1)</f>
        <v/>
      </c>
      <c r="AP5659">
        <f>INDEX($W$5640:$W$5767,AI5659+1)</f>
        <v/>
      </c>
      <c r="AQ5659">
        <f>IF(Q5659&gt;=AJ5659-0.01,1,0)</f>
        <v/>
      </c>
      <c r="AR5659">
        <f>IF(R5659&gt;=AK5659-0.01,1,0)</f>
        <v/>
      </c>
      <c r="AS5659">
        <f>IF(S5659&gt;=AL5659-0.01,1,0)</f>
        <v/>
      </c>
      <c r="AT5659">
        <f>IF(T5659&gt;=AM5659-0.01,1,0)</f>
        <v/>
      </c>
      <c r="AU5659">
        <f>IF(U5659&gt;=AN5659-0.01,1,0)</f>
        <v/>
      </c>
      <c r="AV5659">
        <f>IF(V5659&gt;=AO5659-0.01,1,0)</f>
        <v/>
      </c>
      <c r="AW5659">
        <f>IF(W5659&gt;=AP5659-0.01,1,0)</f>
        <v/>
      </c>
      <c r="AX5659">
        <f>AQ5659*AR5659*AS5659*AT5659*AU5659*AV5659*AW5659</f>
        <v/>
      </c>
    </row>
    <row r="5660">
      <c r="A5660" t="inlineStr"/>
      <c r="B5660">
        <f>Assumptions!$B$60</f>
        <v/>
      </c>
      <c r="C5660" t="n">
        <v>0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>
        <f>(1-C5660)*Assumptions!$B$41+(1-D5660)*Assumptions!$B$33+(1-E5660)*Assumptions!$B$32+(1-F5660)*Assumptions!$B$31+(1-G5660)*Assumptions!$B$30+(1-H5660)*Assumptions!$B$29+(1-I5660)*Assumptions!$B$28</f>
        <v/>
      </c>
      <c r="K5660">
        <f>C5660*$J$532+D5660*$F$532+E5660*$G$532+F5660*Assumptions!$B$14+G5660*Assumptions!$B$13+H5660*Assumptions!$B$12+I5660*Assumptions!$B$11+$O$532+$S$532+Assumptions!$B$9</f>
        <v/>
      </c>
      <c r="L5660">
        <f>B5660-J5660</f>
        <v/>
      </c>
      <c r="M5660">
        <f>IF(K5660&gt;0,IF(L5660/K5660&gt;=Assumptions!$B$37,1,0),0)</f>
        <v/>
      </c>
      <c r="N5660">
        <f>K5660+M5660*Assumptions!$B$153</f>
        <v/>
      </c>
      <c r="O5660">
        <f>L5660+M5660*Assumptions!$B$153*Assumptions!$B$37</f>
        <v/>
      </c>
      <c r="P5660">
        <f>IF(N5660&gt;0,O5660/N5660,0)</f>
        <v/>
      </c>
      <c r="Q5660">
        <f>IF(C5660=1,P5660*$J$532,Assumptions!$B$41)</f>
        <v/>
      </c>
      <c r="R5660">
        <f>IF(D5660=1,P5660*$F$532,Assumptions!$B$33)</f>
        <v/>
      </c>
      <c r="S5660">
        <f>IF(E5660=1,P5660*$G$532,Assumptions!$B$32)</f>
        <v/>
      </c>
      <c r="T5660">
        <f>IF(F5660=1,P5660*Assumptions!$B$14,Assumptions!$B$31)</f>
        <v/>
      </c>
      <c r="U5660">
        <f>IF(G5660=1,P5660*Assumptions!$B$13,Assumptions!$B$30)</f>
        <v/>
      </c>
      <c r="V5660">
        <f>IF(H5660=1,P5660*Assumptions!$B$12,Assumptions!$B$29)</f>
        <v/>
      </c>
      <c r="W5660">
        <f>IF(I5660=1,P5660*Assumptions!$B$11,Assumptions!$B$28)</f>
        <v/>
      </c>
      <c r="X5660">
        <f>P5660*($O$532+$S$532)</f>
        <v/>
      </c>
      <c r="Y5660">
        <f>P5660*Assumptions!$B$9</f>
        <v/>
      </c>
      <c r="Z5660">
        <f>IF(M5660=1,(P5660-Assumptions!$B$37)*Assumptions!$B$153,0)</f>
        <v/>
      </c>
      <c r="AA5660">
        <f>Q5660+R5660+S5660+T5660+U5660+V5660+W5660+X5660+Y5660+Z5660</f>
        <v/>
      </c>
      <c r="AB5660" t="n">
        <v>20</v>
      </c>
      <c r="AC5660" t="n">
        <v>84</v>
      </c>
      <c r="AD5660" t="n">
        <v>52</v>
      </c>
      <c r="AE5660" t="n">
        <v>4</v>
      </c>
      <c r="AF5660" t="n">
        <v>28</v>
      </c>
      <c r="AG5660" t="n">
        <v>16</v>
      </c>
      <c r="AH5660" t="n">
        <v>22</v>
      </c>
      <c r="AI5660" t="n">
        <v>21</v>
      </c>
      <c r="AJ5660">
        <f>INDEX($Q$5640:$Q$5767,AC5660+1)</f>
        <v/>
      </c>
      <c r="AK5660">
        <f>INDEX($R$5640:$R$5767,AD5660+1)</f>
        <v/>
      </c>
      <c r="AL5660">
        <f>INDEX($S$5640:$S$5767,AE5660+1)</f>
        <v/>
      </c>
      <c r="AM5660">
        <f>INDEX($T$5640:$T$5767,AF5660+1)</f>
        <v/>
      </c>
      <c r="AN5660">
        <f>INDEX($U$5640:$U$5767,AG5660+1)</f>
        <v/>
      </c>
      <c r="AO5660">
        <f>INDEX($V$5640:$V$5767,AH5660+1)</f>
        <v/>
      </c>
      <c r="AP5660">
        <f>INDEX($W$5640:$W$5767,AI5660+1)</f>
        <v/>
      </c>
      <c r="AQ5660">
        <f>IF(Q5660&gt;=AJ5660-0.01,1,0)</f>
        <v/>
      </c>
      <c r="AR5660">
        <f>IF(R5660&gt;=AK5660-0.01,1,0)</f>
        <v/>
      </c>
      <c r="AS5660">
        <f>IF(S5660&gt;=AL5660-0.01,1,0)</f>
        <v/>
      </c>
      <c r="AT5660">
        <f>IF(T5660&gt;=AM5660-0.01,1,0)</f>
        <v/>
      </c>
      <c r="AU5660">
        <f>IF(U5660&gt;=AN5660-0.01,1,0)</f>
        <v/>
      </c>
      <c r="AV5660">
        <f>IF(V5660&gt;=AO5660-0.01,1,0)</f>
        <v/>
      </c>
      <c r="AW5660">
        <f>IF(W5660&gt;=AP5660-0.01,1,0)</f>
        <v/>
      </c>
      <c r="AX5660">
        <f>AQ5660*AR5660*AS5660*AT5660*AU5660*AV5660*AW5660</f>
        <v/>
      </c>
    </row>
    <row r="5661">
      <c r="A5661" t="inlineStr"/>
      <c r="B5661">
        <f>Assumptions!$B$60</f>
        <v/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1</v>
      </c>
      <c r="J5661">
        <f>(1-C5661)*Assumptions!$B$41+(1-D5661)*Assumptions!$B$33+(1-E5661)*Assumptions!$B$32+(1-F5661)*Assumptions!$B$31+(1-G5661)*Assumptions!$B$30+(1-H5661)*Assumptions!$B$29+(1-I5661)*Assumptions!$B$28</f>
        <v/>
      </c>
      <c r="K5661">
        <f>C5661*$J$532+D5661*$F$532+E5661*$G$532+F5661*Assumptions!$B$14+G5661*Assumptions!$B$13+H5661*Assumptions!$B$12+I5661*Assumptions!$B$11+$O$532+$S$532+Assumptions!$B$9</f>
        <v/>
      </c>
      <c r="L5661">
        <f>B5661-J5661</f>
        <v/>
      </c>
      <c r="M5661">
        <f>IF(K5661&gt;0,IF(L5661/K5661&gt;=Assumptions!$B$37,1,0),0)</f>
        <v/>
      </c>
      <c r="N5661">
        <f>K5661+M5661*Assumptions!$B$153</f>
        <v/>
      </c>
      <c r="O5661">
        <f>L5661+M5661*Assumptions!$B$153*Assumptions!$B$37</f>
        <v/>
      </c>
      <c r="P5661">
        <f>IF(N5661&gt;0,O5661/N5661,0)</f>
        <v/>
      </c>
      <c r="Q5661">
        <f>IF(C5661=1,P5661*$J$532,Assumptions!$B$41)</f>
        <v/>
      </c>
      <c r="R5661">
        <f>IF(D5661=1,P5661*$F$532,Assumptions!$B$33)</f>
        <v/>
      </c>
      <c r="S5661">
        <f>IF(E5661=1,P5661*$G$532,Assumptions!$B$32)</f>
        <v/>
      </c>
      <c r="T5661">
        <f>IF(F5661=1,P5661*Assumptions!$B$14,Assumptions!$B$31)</f>
        <v/>
      </c>
      <c r="U5661">
        <f>IF(G5661=1,P5661*Assumptions!$B$13,Assumptions!$B$30)</f>
        <v/>
      </c>
      <c r="V5661">
        <f>IF(H5661=1,P5661*Assumptions!$B$12,Assumptions!$B$29)</f>
        <v/>
      </c>
      <c r="W5661">
        <f>IF(I5661=1,P5661*Assumptions!$B$11,Assumptions!$B$28)</f>
        <v/>
      </c>
      <c r="X5661">
        <f>P5661*($O$532+$S$532)</f>
        <v/>
      </c>
      <c r="Y5661">
        <f>P5661*Assumptions!$B$9</f>
        <v/>
      </c>
      <c r="Z5661">
        <f>IF(M5661=1,(P5661-Assumptions!$B$37)*Assumptions!$B$153,0)</f>
        <v/>
      </c>
      <c r="AA5661">
        <f>Q5661+R5661+S5661+T5661+U5661+V5661+W5661+X5661+Y5661+Z5661</f>
        <v/>
      </c>
      <c r="AB5661" t="n">
        <v>21</v>
      </c>
      <c r="AC5661" t="n">
        <v>85</v>
      </c>
      <c r="AD5661" t="n">
        <v>53</v>
      </c>
      <c r="AE5661" t="n">
        <v>5</v>
      </c>
      <c r="AF5661" t="n">
        <v>29</v>
      </c>
      <c r="AG5661" t="n">
        <v>17</v>
      </c>
      <c r="AH5661" t="n">
        <v>23</v>
      </c>
      <c r="AI5661" t="n">
        <v>20</v>
      </c>
      <c r="AJ5661">
        <f>INDEX($Q$5640:$Q$5767,AC5661+1)</f>
        <v/>
      </c>
      <c r="AK5661">
        <f>INDEX($R$5640:$R$5767,AD5661+1)</f>
        <v/>
      </c>
      <c r="AL5661">
        <f>INDEX($S$5640:$S$5767,AE5661+1)</f>
        <v/>
      </c>
      <c r="AM5661">
        <f>INDEX($T$5640:$T$5767,AF5661+1)</f>
        <v/>
      </c>
      <c r="AN5661">
        <f>INDEX($U$5640:$U$5767,AG5661+1)</f>
        <v/>
      </c>
      <c r="AO5661">
        <f>INDEX($V$5640:$V$5767,AH5661+1)</f>
        <v/>
      </c>
      <c r="AP5661">
        <f>INDEX($W$5640:$W$5767,AI5661+1)</f>
        <v/>
      </c>
      <c r="AQ5661">
        <f>IF(Q5661&gt;=AJ5661-0.01,1,0)</f>
        <v/>
      </c>
      <c r="AR5661">
        <f>IF(R5661&gt;=AK5661-0.01,1,0)</f>
        <v/>
      </c>
      <c r="AS5661">
        <f>IF(S5661&gt;=AL5661-0.01,1,0)</f>
        <v/>
      </c>
      <c r="AT5661">
        <f>IF(T5661&gt;=AM5661-0.01,1,0)</f>
        <v/>
      </c>
      <c r="AU5661">
        <f>IF(U5661&gt;=AN5661-0.01,1,0)</f>
        <v/>
      </c>
      <c r="AV5661">
        <f>IF(V5661&gt;=AO5661-0.01,1,0)</f>
        <v/>
      </c>
      <c r="AW5661">
        <f>IF(W5661&gt;=AP5661-0.01,1,0)</f>
        <v/>
      </c>
      <c r="AX5661">
        <f>AQ5661*AR5661*AS5661*AT5661*AU5661*AV5661*AW5661</f>
        <v/>
      </c>
    </row>
    <row r="5662">
      <c r="A5662" t="inlineStr"/>
      <c r="B5662">
        <f>Assumptions!$B$60</f>
        <v/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1</v>
      </c>
      <c r="I5662" t="n">
        <v>0</v>
      </c>
      <c r="J5662">
        <f>(1-C5662)*Assumptions!$B$41+(1-D5662)*Assumptions!$B$33+(1-E5662)*Assumptions!$B$32+(1-F5662)*Assumptions!$B$31+(1-G5662)*Assumptions!$B$30+(1-H5662)*Assumptions!$B$29+(1-I5662)*Assumptions!$B$28</f>
        <v/>
      </c>
      <c r="K5662">
        <f>C5662*$J$532+D5662*$F$532+E5662*$G$532+F5662*Assumptions!$B$14+G5662*Assumptions!$B$13+H5662*Assumptions!$B$12+I5662*Assumptions!$B$11+$O$532+$S$532+Assumptions!$B$9</f>
        <v/>
      </c>
      <c r="L5662">
        <f>B5662-J5662</f>
        <v/>
      </c>
      <c r="M5662">
        <f>IF(K5662&gt;0,IF(L5662/K5662&gt;=Assumptions!$B$37,1,0),0)</f>
        <v/>
      </c>
      <c r="N5662">
        <f>K5662+M5662*Assumptions!$B$153</f>
        <v/>
      </c>
      <c r="O5662">
        <f>L5662+M5662*Assumptions!$B$153*Assumptions!$B$37</f>
        <v/>
      </c>
      <c r="P5662">
        <f>IF(N5662&gt;0,O5662/N5662,0)</f>
        <v/>
      </c>
      <c r="Q5662">
        <f>IF(C5662=1,P5662*$J$532,Assumptions!$B$41)</f>
        <v/>
      </c>
      <c r="R5662">
        <f>IF(D5662=1,P5662*$F$532,Assumptions!$B$33)</f>
        <v/>
      </c>
      <c r="S5662">
        <f>IF(E5662=1,P5662*$G$532,Assumptions!$B$32)</f>
        <v/>
      </c>
      <c r="T5662">
        <f>IF(F5662=1,P5662*Assumptions!$B$14,Assumptions!$B$31)</f>
        <v/>
      </c>
      <c r="U5662">
        <f>IF(G5662=1,P5662*Assumptions!$B$13,Assumptions!$B$30)</f>
        <v/>
      </c>
      <c r="V5662">
        <f>IF(H5662=1,P5662*Assumptions!$B$12,Assumptions!$B$29)</f>
        <v/>
      </c>
      <c r="W5662">
        <f>IF(I5662=1,P5662*Assumptions!$B$11,Assumptions!$B$28)</f>
        <v/>
      </c>
      <c r="X5662">
        <f>P5662*($O$532+$S$532)</f>
        <v/>
      </c>
      <c r="Y5662">
        <f>P5662*Assumptions!$B$9</f>
        <v/>
      </c>
      <c r="Z5662">
        <f>IF(M5662=1,(P5662-Assumptions!$B$37)*Assumptions!$B$153,0)</f>
        <v/>
      </c>
      <c r="AA5662">
        <f>Q5662+R5662+S5662+T5662+U5662+V5662+W5662+X5662+Y5662+Z5662</f>
        <v/>
      </c>
      <c r="AB5662" t="n">
        <v>22</v>
      </c>
      <c r="AC5662" t="n">
        <v>86</v>
      </c>
      <c r="AD5662" t="n">
        <v>54</v>
      </c>
      <c r="AE5662" t="n">
        <v>6</v>
      </c>
      <c r="AF5662" t="n">
        <v>30</v>
      </c>
      <c r="AG5662" t="n">
        <v>18</v>
      </c>
      <c r="AH5662" t="n">
        <v>20</v>
      </c>
      <c r="AI5662" t="n">
        <v>23</v>
      </c>
      <c r="AJ5662">
        <f>INDEX($Q$5640:$Q$5767,AC5662+1)</f>
        <v/>
      </c>
      <c r="AK5662">
        <f>INDEX($R$5640:$R$5767,AD5662+1)</f>
        <v/>
      </c>
      <c r="AL5662">
        <f>INDEX($S$5640:$S$5767,AE5662+1)</f>
        <v/>
      </c>
      <c r="AM5662">
        <f>INDEX($T$5640:$T$5767,AF5662+1)</f>
        <v/>
      </c>
      <c r="AN5662">
        <f>INDEX($U$5640:$U$5767,AG5662+1)</f>
        <v/>
      </c>
      <c r="AO5662">
        <f>INDEX($V$5640:$V$5767,AH5662+1)</f>
        <v/>
      </c>
      <c r="AP5662">
        <f>INDEX($W$5640:$W$5767,AI5662+1)</f>
        <v/>
      </c>
      <c r="AQ5662">
        <f>IF(Q5662&gt;=AJ5662-0.01,1,0)</f>
        <v/>
      </c>
      <c r="AR5662">
        <f>IF(R5662&gt;=AK5662-0.01,1,0)</f>
        <v/>
      </c>
      <c r="AS5662">
        <f>IF(S5662&gt;=AL5662-0.01,1,0)</f>
        <v/>
      </c>
      <c r="AT5662">
        <f>IF(T5662&gt;=AM5662-0.01,1,0)</f>
        <v/>
      </c>
      <c r="AU5662">
        <f>IF(U5662&gt;=AN5662-0.01,1,0)</f>
        <v/>
      </c>
      <c r="AV5662">
        <f>IF(V5662&gt;=AO5662-0.01,1,0)</f>
        <v/>
      </c>
      <c r="AW5662">
        <f>IF(W5662&gt;=AP5662-0.01,1,0)</f>
        <v/>
      </c>
      <c r="AX5662">
        <f>AQ5662*AR5662*AS5662*AT5662*AU5662*AV5662*AW5662</f>
        <v/>
      </c>
    </row>
    <row r="5663">
      <c r="A5663" t="inlineStr"/>
      <c r="B5663">
        <f>Assumptions!$B$60</f>
        <v/>
      </c>
      <c r="C5663" t="n">
        <v>0</v>
      </c>
      <c r="D5663" t="n">
        <v>0</v>
      </c>
      <c r="E5663" t="n">
        <v>1</v>
      </c>
      <c r="F5663" t="n">
        <v>0</v>
      </c>
      <c r="G5663" t="n">
        <v>1</v>
      </c>
      <c r="H5663" t="n">
        <v>1</v>
      </c>
      <c r="I5663" t="n">
        <v>1</v>
      </c>
      <c r="J5663">
        <f>(1-C5663)*Assumptions!$B$41+(1-D5663)*Assumptions!$B$33+(1-E5663)*Assumptions!$B$32+(1-F5663)*Assumptions!$B$31+(1-G5663)*Assumptions!$B$30+(1-H5663)*Assumptions!$B$29+(1-I5663)*Assumptions!$B$28</f>
        <v/>
      </c>
      <c r="K5663">
        <f>C5663*$J$532+D5663*$F$532+E5663*$G$532+F5663*Assumptions!$B$14+G5663*Assumptions!$B$13+H5663*Assumptions!$B$12+I5663*Assumptions!$B$11+$O$532+$S$532+Assumptions!$B$9</f>
        <v/>
      </c>
      <c r="L5663">
        <f>B5663-J5663</f>
        <v/>
      </c>
      <c r="M5663">
        <f>IF(K5663&gt;0,IF(L5663/K5663&gt;=Assumptions!$B$37,1,0),0)</f>
        <v/>
      </c>
      <c r="N5663">
        <f>K5663+M5663*Assumptions!$B$153</f>
        <v/>
      </c>
      <c r="O5663">
        <f>L5663+M5663*Assumptions!$B$153*Assumptions!$B$37</f>
        <v/>
      </c>
      <c r="P5663">
        <f>IF(N5663&gt;0,O5663/N5663,0)</f>
        <v/>
      </c>
      <c r="Q5663">
        <f>IF(C5663=1,P5663*$J$532,Assumptions!$B$41)</f>
        <v/>
      </c>
      <c r="R5663">
        <f>IF(D5663=1,P5663*$F$532,Assumptions!$B$33)</f>
        <v/>
      </c>
      <c r="S5663">
        <f>IF(E5663=1,P5663*$G$532,Assumptions!$B$32)</f>
        <v/>
      </c>
      <c r="T5663">
        <f>IF(F5663=1,P5663*Assumptions!$B$14,Assumptions!$B$31)</f>
        <v/>
      </c>
      <c r="U5663">
        <f>IF(G5663=1,P5663*Assumptions!$B$13,Assumptions!$B$30)</f>
        <v/>
      </c>
      <c r="V5663">
        <f>IF(H5663=1,P5663*Assumptions!$B$12,Assumptions!$B$29)</f>
        <v/>
      </c>
      <c r="W5663">
        <f>IF(I5663=1,P5663*Assumptions!$B$11,Assumptions!$B$28)</f>
        <v/>
      </c>
      <c r="X5663">
        <f>P5663*($O$532+$S$532)</f>
        <v/>
      </c>
      <c r="Y5663">
        <f>P5663*Assumptions!$B$9</f>
        <v/>
      </c>
      <c r="Z5663">
        <f>IF(M5663=1,(P5663-Assumptions!$B$37)*Assumptions!$B$153,0)</f>
        <v/>
      </c>
      <c r="AA5663">
        <f>Q5663+R5663+S5663+T5663+U5663+V5663+W5663+X5663+Y5663+Z5663</f>
        <v/>
      </c>
      <c r="AB5663" t="n">
        <v>23</v>
      </c>
      <c r="AC5663" t="n">
        <v>87</v>
      </c>
      <c r="AD5663" t="n">
        <v>55</v>
      </c>
      <c r="AE5663" t="n">
        <v>7</v>
      </c>
      <c r="AF5663" t="n">
        <v>31</v>
      </c>
      <c r="AG5663" t="n">
        <v>19</v>
      </c>
      <c r="AH5663" t="n">
        <v>21</v>
      </c>
      <c r="AI5663" t="n">
        <v>22</v>
      </c>
      <c r="AJ5663">
        <f>INDEX($Q$5640:$Q$5767,AC5663+1)</f>
        <v/>
      </c>
      <c r="AK5663">
        <f>INDEX($R$5640:$R$5767,AD5663+1)</f>
        <v/>
      </c>
      <c r="AL5663">
        <f>INDEX($S$5640:$S$5767,AE5663+1)</f>
        <v/>
      </c>
      <c r="AM5663">
        <f>INDEX($T$5640:$T$5767,AF5663+1)</f>
        <v/>
      </c>
      <c r="AN5663">
        <f>INDEX($U$5640:$U$5767,AG5663+1)</f>
        <v/>
      </c>
      <c r="AO5663">
        <f>INDEX($V$5640:$V$5767,AH5663+1)</f>
        <v/>
      </c>
      <c r="AP5663">
        <f>INDEX($W$5640:$W$5767,AI5663+1)</f>
        <v/>
      </c>
      <c r="AQ5663">
        <f>IF(Q5663&gt;=AJ5663-0.01,1,0)</f>
        <v/>
      </c>
      <c r="AR5663">
        <f>IF(R5663&gt;=AK5663-0.01,1,0)</f>
        <v/>
      </c>
      <c r="AS5663">
        <f>IF(S5663&gt;=AL5663-0.01,1,0)</f>
        <v/>
      </c>
      <c r="AT5663">
        <f>IF(T5663&gt;=AM5663-0.01,1,0)</f>
        <v/>
      </c>
      <c r="AU5663">
        <f>IF(U5663&gt;=AN5663-0.01,1,0)</f>
        <v/>
      </c>
      <c r="AV5663">
        <f>IF(V5663&gt;=AO5663-0.01,1,0)</f>
        <v/>
      </c>
      <c r="AW5663">
        <f>IF(W5663&gt;=AP5663-0.01,1,0)</f>
        <v/>
      </c>
      <c r="AX5663">
        <f>AQ5663*AR5663*AS5663*AT5663*AU5663*AV5663*AW5663</f>
        <v/>
      </c>
    </row>
    <row r="5664">
      <c r="A5664" t="inlineStr"/>
      <c r="B5664">
        <f>Assumptions!$B$60</f>
        <v/>
      </c>
      <c r="C5664" t="n">
        <v>0</v>
      </c>
      <c r="D5664" t="n">
        <v>0</v>
      </c>
      <c r="E5664" t="n">
        <v>1</v>
      </c>
      <c r="F5664" t="n">
        <v>1</v>
      </c>
      <c r="G5664" t="n">
        <v>0</v>
      </c>
      <c r="H5664" t="n">
        <v>0</v>
      </c>
      <c r="I5664" t="n">
        <v>0</v>
      </c>
      <c r="J5664">
        <f>(1-C5664)*Assumptions!$B$41+(1-D5664)*Assumptions!$B$33+(1-E5664)*Assumptions!$B$32+(1-F5664)*Assumptions!$B$31+(1-G5664)*Assumptions!$B$30+(1-H5664)*Assumptions!$B$29+(1-I5664)*Assumptions!$B$28</f>
        <v/>
      </c>
      <c r="K5664">
        <f>C5664*$J$532+D5664*$F$532+E5664*$G$532+F5664*Assumptions!$B$14+G5664*Assumptions!$B$13+H5664*Assumptions!$B$12+I5664*Assumptions!$B$11+$O$532+$S$532+Assumptions!$B$9</f>
        <v/>
      </c>
      <c r="L5664">
        <f>B5664-J5664</f>
        <v/>
      </c>
      <c r="M5664">
        <f>IF(K5664&gt;0,IF(L5664/K5664&gt;=Assumptions!$B$37,1,0),0)</f>
        <v/>
      </c>
      <c r="N5664">
        <f>K5664+M5664*Assumptions!$B$153</f>
        <v/>
      </c>
      <c r="O5664">
        <f>L5664+M5664*Assumptions!$B$153*Assumptions!$B$37</f>
        <v/>
      </c>
      <c r="P5664">
        <f>IF(N5664&gt;0,O5664/N5664,0)</f>
        <v/>
      </c>
      <c r="Q5664">
        <f>IF(C5664=1,P5664*$J$532,Assumptions!$B$41)</f>
        <v/>
      </c>
      <c r="R5664">
        <f>IF(D5664=1,P5664*$F$532,Assumptions!$B$33)</f>
        <v/>
      </c>
      <c r="S5664">
        <f>IF(E5664=1,P5664*$G$532,Assumptions!$B$32)</f>
        <v/>
      </c>
      <c r="T5664">
        <f>IF(F5664=1,P5664*Assumptions!$B$14,Assumptions!$B$31)</f>
        <v/>
      </c>
      <c r="U5664">
        <f>IF(G5664=1,P5664*Assumptions!$B$13,Assumptions!$B$30)</f>
        <v/>
      </c>
      <c r="V5664">
        <f>IF(H5664=1,P5664*Assumptions!$B$12,Assumptions!$B$29)</f>
        <v/>
      </c>
      <c r="W5664">
        <f>IF(I5664=1,P5664*Assumptions!$B$11,Assumptions!$B$28)</f>
        <v/>
      </c>
      <c r="X5664">
        <f>P5664*($O$532+$S$532)</f>
        <v/>
      </c>
      <c r="Y5664">
        <f>P5664*Assumptions!$B$9</f>
        <v/>
      </c>
      <c r="Z5664">
        <f>IF(M5664=1,(P5664-Assumptions!$B$37)*Assumptions!$B$153,0)</f>
        <v/>
      </c>
      <c r="AA5664">
        <f>Q5664+R5664+S5664+T5664+U5664+V5664+W5664+X5664+Y5664+Z5664</f>
        <v/>
      </c>
      <c r="AB5664" t="n">
        <v>24</v>
      </c>
      <c r="AC5664" t="n">
        <v>88</v>
      </c>
      <c r="AD5664" t="n">
        <v>56</v>
      </c>
      <c r="AE5664" t="n">
        <v>8</v>
      </c>
      <c r="AF5664" t="n">
        <v>16</v>
      </c>
      <c r="AG5664" t="n">
        <v>28</v>
      </c>
      <c r="AH5664" t="n">
        <v>26</v>
      </c>
      <c r="AI5664" t="n">
        <v>25</v>
      </c>
      <c r="AJ5664">
        <f>INDEX($Q$5640:$Q$5767,AC5664+1)</f>
        <v/>
      </c>
      <c r="AK5664">
        <f>INDEX($R$5640:$R$5767,AD5664+1)</f>
        <v/>
      </c>
      <c r="AL5664">
        <f>INDEX($S$5640:$S$5767,AE5664+1)</f>
        <v/>
      </c>
      <c r="AM5664">
        <f>INDEX($T$5640:$T$5767,AF5664+1)</f>
        <v/>
      </c>
      <c r="AN5664">
        <f>INDEX($U$5640:$U$5767,AG5664+1)</f>
        <v/>
      </c>
      <c r="AO5664">
        <f>INDEX($V$5640:$V$5767,AH5664+1)</f>
        <v/>
      </c>
      <c r="AP5664">
        <f>INDEX($W$5640:$W$5767,AI5664+1)</f>
        <v/>
      </c>
      <c r="AQ5664">
        <f>IF(Q5664&gt;=AJ5664-0.01,1,0)</f>
        <v/>
      </c>
      <c r="AR5664">
        <f>IF(R5664&gt;=AK5664-0.01,1,0)</f>
        <v/>
      </c>
      <c r="AS5664">
        <f>IF(S5664&gt;=AL5664-0.01,1,0)</f>
        <v/>
      </c>
      <c r="AT5664">
        <f>IF(T5664&gt;=AM5664-0.01,1,0)</f>
        <v/>
      </c>
      <c r="AU5664">
        <f>IF(U5664&gt;=AN5664-0.01,1,0)</f>
        <v/>
      </c>
      <c r="AV5664">
        <f>IF(V5664&gt;=AO5664-0.01,1,0)</f>
        <v/>
      </c>
      <c r="AW5664">
        <f>IF(W5664&gt;=AP5664-0.01,1,0)</f>
        <v/>
      </c>
      <c r="AX5664">
        <f>AQ5664*AR5664*AS5664*AT5664*AU5664*AV5664*AW5664</f>
        <v/>
      </c>
    </row>
    <row r="5665">
      <c r="A5665" t="inlineStr"/>
      <c r="B5665">
        <f>Assumptions!$B$60</f>
        <v/>
      </c>
      <c r="C5665" t="n">
        <v>0</v>
      </c>
      <c r="D5665" t="n">
        <v>0</v>
      </c>
      <c r="E5665" t="n">
        <v>1</v>
      </c>
      <c r="F5665" t="n">
        <v>1</v>
      </c>
      <c r="G5665" t="n">
        <v>0</v>
      </c>
      <c r="H5665" t="n">
        <v>0</v>
      </c>
      <c r="I5665" t="n">
        <v>1</v>
      </c>
      <c r="J5665">
        <f>(1-C5665)*Assumptions!$B$41+(1-D5665)*Assumptions!$B$33+(1-E5665)*Assumptions!$B$32+(1-F5665)*Assumptions!$B$31+(1-G5665)*Assumptions!$B$30+(1-H5665)*Assumptions!$B$29+(1-I5665)*Assumptions!$B$28</f>
        <v/>
      </c>
      <c r="K5665">
        <f>C5665*$J$532+D5665*$F$532+E5665*$G$532+F5665*Assumptions!$B$14+G5665*Assumptions!$B$13+H5665*Assumptions!$B$12+I5665*Assumptions!$B$11+$O$532+$S$532+Assumptions!$B$9</f>
        <v/>
      </c>
      <c r="L5665">
        <f>B5665-J5665</f>
        <v/>
      </c>
      <c r="M5665">
        <f>IF(K5665&gt;0,IF(L5665/K5665&gt;=Assumptions!$B$37,1,0),0)</f>
        <v/>
      </c>
      <c r="N5665">
        <f>K5665+M5665*Assumptions!$B$153</f>
        <v/>
      </c>
      <c r="O5665">
        <f>L5665+M5665*Assumptions!$B$153*Assumptions!$B$37</f>
        <v/>
      </c>
      <c r="P5665">
        <f>IF(N5665&gt;0,O5665/N5665,0)</f>
        <v/>
      </c>
      <c r="Q5665">
        <f>IF(C5665=1,P5665*$J$532,Assumptions!$B$41)</f>
        <v/>
      </c>
      <c r="R5665">
        <f>IF(D5665=1,P5665*$F$532,Assumptions!$B$33)</f>
        <v/>
      </c>
      <c r="S5665">
        <f>IF(E5665=1,P5665*$G$532,Assumptions!$B$32)</f>
        <v/>
      </c>
      <c r="T5665">
        <f>IF(F5665=1,P5665*Assumptions!$B$14,Assumptions!$B$31)</f>
        <v/>
      </c>
      <c r="U5665">
        <f>IF(G5665=1,P5665*Assumptions!$B$13,Assumptions!$B$30)</f>
        <v/>
      </c>
      <c r="V5665">
        <f>IF(H5665=1,P5665*Assumptions!$B$12,Assumptions!$B$29)</f>
        <v/>
      </c>
      <c r="W5665">
        <f>IF(I5665=1,P5665*Assumptions!$B$11,Assumptions!$B$28)</f>
        <v/>
      </c>
      <c r="X5665">
        <f>P5665*($O$532+$S$532)</f>
        <v/>
      </c>
      <c r="Y5665">
        <f>P5665*Assumptions!$B$9</f>
        <v/>
      </c>
      <c r="Z5665">
        <f>IF(M5665=1,(P5665-Assumptions!$B$37)*Assumptions!$B$153,0)</f>
        <v/>
      </c>
      <c r="AA5665">
        <f>Q5665+R5665+S5665+T5665+U5665+V5665+W5665+X5665+Y5665+Z5665</f>
        <v/>
      </c>
      <c r="AB5665" t="n">
        <v>25</v>
      </c>
      <c r="AC5665" t="n">
        <v>89</v>
      </c>
      <c r="AD5665" t="n">
        <v>57</v>
      </c>
      <c r="AE5665" t="n">
        <v>9</v>
      </c>
      <c r="AF5665" t="n">
        <v>17</v>
      </c>
      <c r="AG5665" t="n">
        <v>29</v>
      </c>
      <c r="AH5665" t="n">
        <v>27</v>
      </c>
      <c r="AI5665" t="n">
        <v>24</v>
      </c>
      <c r="AJ5665">
        <f>INDEX($Q$5640:$Q$5767,AC5665+1)</f>
        <v/>
      </c>
      <c r="AK5665">
        <f>INDEX($R$5640:$R$5767,AD5665+1)</f>
        <v/>
      </c>
      <c r="AL5665">
        <f>INDEX($S$5640:$S$5767,AE5665+1)</f>
        <v/>
      </c>
      <c r="AM5665">
        <f>INDEX($T$5640:$T$5767,AF5665+1)</f>
        <v/>
      </c>
      <c r="AN5665">
        <f>INDEX($U$5640:$U$5767,AG5665+1)</f>
        <v/>
      </c>
      <c r="AO5665">
        <f>INDEX($V$5640:$V$5767,AH5665+1)</f>
        <v/>
      </c>
      <c r="AP5665">
        <f>INDEX($W$5640:$W$5767,AI5665+1)</f>
        <v/>
      </c>
      <c r="AQ5665">
        <f>IF(Q5665&gt;=AJ5665-0.01,1,0)</f>
        <v/>
      </c>
      <c r="AR5665">
        <f>IF(R5665&gt;=AK5665-0.01,1,0)</f>
        <v/>
      </c>
      <c r="AS5665">
        <f>IF(S5665&gt;=AL5665-0.01,1,0)</f>
        <v/>
      </c>
      <c r="AT5665">
        <f>IF(T5665&gt;=AM5665-0.01,1,0)</f>
        <v/>
      </c>
      <c r="AU5665">
        <f>IF(U5665&gt;=AN5665-0.01,1,0)</f>
        <v/>
      </c>
      <c r="AV5665">
        <f>IF(V5665&gt;=AO5665-0.01,1,0)</f>
        <v/>
      </c>
      <c r="AW5665">
        <f>IF(W5665&gt;=AP5665-0.01,1,0)</f>
        <v/>
      </c>
      <c r="AX5665">
        <f>AQ5665*AR5665*AS5665*AT5665*AU5665*AV5665*AW5665</f>
        <v/>
      </c>
    </row>
    <row r="5666">
      <c r="A5666" t="inlineStr"/>
      <c r="B5666">
        <f>Assumptions!$B$60</f>
        <v/>
      </c>
      <c r="C5666" t="n">
        <v>0</v>
      </c>
      <c r="D5666" t="n">
        <v>0</v>
      </c>
      <c r="E5666" t="n">
        <v>1</v>
      </c>
      <c r="F5666" t="n">
        <v>1</v>
      </c>
      <c r="G5666" t="n">
        <v>0</v>
      </c>
      <c r="H5666" t="n">
        <v>1</v>
      </c>
      <c r="I5666" t="n">
        <v>0</v>
      </c>
      <c r="J5666">
        <f>(1-C5666)*Assumptions!$B$41+(1-D5666)*Assumptions!$B$33+(1-E5666)*Assumptions!$B$32+(1-F5666)*Assumptions!$B$31+(1-G5666)*Assumptions!$B$30+(1-H5666)*Assumptions!$B$29+(1-I5666)*Assumptions!$B$28</f>
        <v/>
      </c>
      <c r="K5666">
        <f>C5666*$J$532+D5666*$F$532+E5666*$G$532+F5666*Assumptions!$B$14+G5666*Assumptions!$B$13+H5666*Assumptions!$B$12+I5666*Assumptions!$B$11+$O$532+$S$532+Assumptions!$B$9</f>
        <v/>
      </c>
      <c r="L5666">
        <f>B5666-J5666</f>
        <v/>
      </c>
      <c r="M5666">
        <f>IF(K5666&gt;0,IF(L5666/K5666&gt;=Assumptions!$B$37,1,0),0)</f>
        <v/>
      </c>
      <c r="N5666">
        <f>K5666+M5666*Assumptions!$B$153</f>
        <v/>
      </c>
      <c r="O5666">
        <f>L5666+M5666*Assumptions!$B$153*Assumptions!$B$37</f>
        <v/>
      </c>
      <c r="P5666">
        <f>IF(N5666&gt;0,O5666/N5666,0)</f>
        <v/>
      </c>
      <c r="Q5666">
        <f>IF(C5666=1,P5666*$J$532,Assumptions!$B$41)</f>
        <v/>
      </c>
      <c r="R5666">
        <f>IF(D5666=1,P5666*$F$532,Assumptions!$B$33)</f>
        <v/>
      </c>
      <c r="S5666">
        <f>IF(E5666=1,P5666*$G$532,Assumptions!$B$32)</f>
        <v/>
      </c>
      <c r="T5666">
        <f>IF(F5666=1,P5666*Assumptions!$B$14,Assumptions!$B$31)</f>
        <v/>
      </c>
      <c r="U5666">
        <f>IF(G5666=1,P5666*Assumptions!$B$13,Assumptions!$B$30)</f>
        <v/>
      </c>
      <c r="V5666">
        <f>IF(H5666=1,P5666*Assumptions!$B$12,Assumptions!$B$29)</f>
        <v/>
      </c>
      <c r="W5666">
        <f>IF(I5666=1,P5666*Assumptions!$B$11,Assumptions!$B$28)</f>
        <v/>
      </c>
      <c r="X5666">
        <f>P5666*($O$532+$S$532)</f>
        <v/>
      </c>
      <c r="Y5666">
        <f>P5666*Assumptions!$B$9</f>
        <v/>
      </c>
      <c r="Z5666">
        <f>IF(M5666=1,(P5666-Assumptions!$B$37)*Assumptions!$B$153,0)</f>
        <v/>
      </c>
      <c r="AA5666">
        <f>Q5666+R5666+S5666+T5666+U5666+V5666+W5666+X5666+Y5666+Z5666</f>
        <v/>
      </c>
      <c r="AB5666" t="n">
        <v>26</v>
      </c>
      <c r="AC5666" t="n">
        <v>90</v>
      </c>
      <c r="AD5666" t="n">
        <v>58</v>
      </c>
      <c r="AE5666" t="n">
        <v>10</v>
      </c>
      <c r="AF5666" t="n">
        <v>18</v>
      </c>
      <c r="AG5666" t="n">
        <v>30</v>
      </c>
      <c r="AH5666" t="n">
        <v>24</v>
      </c>
      <c r="AI5666" t="n">
        <v>27</v>
      </c>
      <c r="AJ5666">
        <f>INDEX($Q$5640:$Q$5767,AC5666+1)</f>
        <v/>
      </c>
      <c r="AK5666">
        <f>INDEX($R$5640:$R$5767,AD5666+1)</f>
        <v/>
      </c>
      <c r="AL5666">
        <f>INDEX($S$5640:$S$5767,AE5666+1)</f>
        <v/>
      </c>
      <c r="AM5666">
        <f>INDEX($T$5640:$T$5767,AF5666+1)</f>
        <v/>
      </c>
      <c r="AN5666">
        <f>INDEX($U$5640:$U$5767,AG5666+1)</f>
        <v/>
      </c>
      <c r="AO5666">
        <f>INDEX($V$5640:$V$5767,AH5666+1)</f>
        <v/>
      </c>
      <c r="AP5666">
        <f>INDEX($W$5640:$W$5767,AI5666+1)</f>
        <v/>
      </c>
      <c r="AQ5666">
        <f>IF(Q5666&gt;=AJ5666-0.01,1,0)</f>
        <v/>
      </c>
      <c r="AR5666">
        <f>IF(R5666&gt;=AK5666-0.01,1,0)</f>
        <v/>
      </c>
      <c r="AS5666">
        <f>IF(S5666&gt;=AL5666-0.01,1,0)</f>
        <v/>
      </c>
      <c r="AT5666">
        <f>IF(T5666&gt;=AM5666-0.01,1,0)</f>
        <v/>
      </c>
      <c r="AU5666">
        <f>IF(U5666&gt;=AN5666-0.01,1,0)</f>
        <v/>
      </c>
      <c r="AV5666">
        <f>IF(V5666&gt;=AO5666-0.01,1,0)</f>
        <v/>
      </c>
      <c r="AW5666">
        <f>IF(W5666&gt;=AP5666-0.01,1,0)</f>
        <v/>
      </c>
      <c r="AX5666">
        <f>AQ5666*AR5666*AS5666*AT5666*AU5666*AV5666*AW5666</f>
        <v/>
      </c>
    </row>
    <row r="5667">
      <c r="A5667" t="inlineStr"/>
      <c r="B5667">
        <f>Assumptions!$B$60</f>
        <v/>
      </c>
      <c r="C5667" t="n">
        <v>0</v>
      </c>
      <c r="D5667" t="n">
        <v>0</v>
      </c>
      <c r="E5667" t="n">
        <v>1</v>
      </c>
      <c r="F5667" t="n">
        <v>1</v>
      </c>
      <c r="G5667" t="n">
        <v>0</v>
      </c>
      <c r="H5667" t="n">
        <v>1</v>
      </c>
      <c r="I5667" t="n">
        <v>1</v>
      </c>
      <c r="J5667">
        <f>(1-C5667)*Assumptions!$B$41+(1-D5667)*Assumptions!$B$33+(1-E5667)*Assumptions!$B$32+(1-F5667)*Assumptions!$B$31+(1-G5667)*Assumptions!$B$30+(1-H5667)*Assumptions!$B$29+(1-I5667)*Assumptions!$B$28</f>
        <v/>
      </c>
      <c r="K5667">
        <f>C5667*$J$532+D5667*$F$532+E5667*$G$532+F5667*Assumptions!$B$14+G5667*Assumptions!$B$13+H5667*Assumptions!$B$12+I5667*Assumptions!$B$11+$O$532+$S$532+Assumptions!$B$9</f>
        <v/>
      </c>
      <c r="L5667">
        <f>B5667-J5667</f>
        <v/>
      </c>
      <c r="M5667">
        <f>IF(K5667&gt;0,IF(L5667/K5667&gt;=Assumptions!$B$37,1,0),0)</f>
        <v/>
      </c>
      <c r="N5667">
        <f>K5667+M5667*Assumptions!$B$153</f>
        <v/>
      </c>
      <c r="O5667">
        <f>L5667+M5667*Assumptions!$B$153*Assumptions!$B$37</f>
        <v/>
      </c>
      <c r="P5667">
        <f>IF(N5667&gt;0,O5667/N5667,0)</f>
        <v/>
      </c>
      <c r="Q5667">
        <f>IF(C5667=1,P5667*$J$532,Assumptions!$B$41)</f>
        <v/>
      </c>
      <c r="R5667">
        <f>IF(D5667=1,P5667*$F$532,Assumptions!$B$33)</f>
        <v/>
      </c>
      <c r="S5667">
        <f>IF(E5667=1,P5667*$G$532,Assumptions!$B$32)</f>
        <v/>
      </c>
      <c r="T5667">
        <f>IF(F5667=1,P5667*Assumptions!$B$14,Assumptions!$B$31)</f>
        <v/>
      </c>
      <c r="U5667">
        <f>IF(G5667=1,P5667*Assumptions!$B$13,Assumptions!$B$30)</f>
        <v/>
      </c>
      <c r="V5667">
        <f>IF(H5667=1,P5667*Assumptions!$B$12,Assumptions!$B$29)</f>
        <v/>
      </c>
      <c r="W5667">
        <f>IF(I5667=1,P5667*Assumptions!$B$11,Assumptions!$B$28)</f>
        <v/>
      </c>
      <c r="X5667">
        <f>P5667*($O$532+$S$532)</f>
        <v/>
      </c>
      <c r="Y5667">
        <f>P5667*Assumptions!$B$9</f>
        <v/>
      </c>
      <c r="Z5667">
        <f>IF(M5667=1,(P5667-Assumptions!$B$37)*Assumptions!$B$153,0)</f>
        <v/>
      </c>
      <c r="AA5667">
        <f>Q5667+R5667+S5667+T5667+U5667+V5667+W5667+X5667+Y5667+Z5667</f>
        <v/>
      </c>
      <c r="AB5667" t="n">
        <v>27</v>
      </c>
      <c r="AC5667" t="n">
        <v>91</v>
      </c>
      <c r="AD5667" t="n">
        <v>59</v>
      </c>
      <c r="AE5667" t="n">
        <v>11</v>
      </c>
      <c r="AF5667" t="n">
        <v>19</v>
      </c>
      <c r="AG5667" t="n">
        <v>31</v>
      </c>
      <c r="AH5667" t="n">
        <v>25</v>
      </c>
      <c r="AI5667" t="n">
        <v>26</v>
      </c>
      <c r="AJ5667">
        <f>INDEX($Q$5640:$Q$5767,AC5667+1)</f>
        <v/>
      </c>
      <c r="AK5667">
        <f>INDEX($R$5640:$R$5767,AD5667+1)</f>
        <v/>
      </c>
      <c r="AL5667">
        <f>INDEX($S$5640:$S$5767,AE5667+1)</f>
        <v/>
      </c>
      <c r="AM5667">
        <f>INDEX($T$5640:$T$5767,AF5667+1)</f>
        <v/>
      </c>
      <c r="AN5667">
        <f>INDEX($U$5640:$U$5767,AG5667+1)</f>
        <v/>
      </c>
      <c r="AO5667">
        <f>INDEX($V$5640:$V$5767,AH5667+1)</f>
        <v/>
      </c>
      <c r="AP5667">
        <f>INDEX($W$5640:$W$5767,AI5667+1)</f>
        <v/>
      </c>
      <c r="AQ5667">
        <f>IF(Q5667&gt;=AJ5667-0.01,1,0)</f>
        <v/>
      </c>
      <c r="AR5667">
        <f>IF(R5667&gt;=AK5667-0.01,1,0)</f>
        <v/>
      </c>
      <c r="AS5667">
        <f>IF(S5667&gt;=AL5667-0.01,1,0)</f>
        <v/>
      </c>
      <c r="AT5667">
        <f>IF(T5667&gt;=AM5667-0.01,1,0)</f>
        <v/>
      </c>
      <c r="AU5667">
        <f>IF(U5667&gt;=AN5667-0.01,1,0)</f>
        <v/>
      </c>
      <c r="AV5667">
        <f>IF(V5667&gt;=AO5667-0.01,1,0)</f>
        <v/>
      </c>
      <c r="AW5667">
        <f>IF(W5667&gt;=AP5667-0.01,1,0)</f>
        <v/>
      </c>
      <c r="AX5667">
        <f>AQ5667*AR5667*AS5667*AT5667*AU5667*AV5667*AW5667</f>
        <v/>
      </c>
    </row>
    <row r="5668">
      <c r="A5668" t="inlineStr"/>
      <c r="B5668">
        <f>Assumptions!$B$60</f>
        <v/>
      </c>
      <c r="C5668" t="n">
        <v>0</v>
      </c>
      <c r="D5668" t="n">
        <v>0</v>
      </c>
      <c r="E5668" t="n">
        <v>1</v>
      </c>
      <c r="F5668" t="n">
        <v>1</v>
      </c>
      <c r="G5668" t="n">
        <v>1</v>
      </c>
      <c r="H5668" t="n">
        <v>0</v>
      </c>
      <c r="I5668" t="n">
        <v>0</v>
      </c>
      <c r="J5668">
        <f>(1-C5668)*Assumptions!$B$41+(1-D5668)*Assumptions!$B$33+(1-E5668)*Assumptions!$B$32+(1-F5668)*Assumptions!$B$31+(1-G5668)*Assumptions!$B$30+(1-H5668)*Assumptions!$B$29+(1-I5668)*Assumptions!$B$28</f>
        <v/>
      </c>
      <c r="K5668">
        <f>C5668*$J$532+D5668*$F$532+E5668*$G$532+F5668*Assumptions!$B$14+G5668*Assumptions!$B$13+H5668*Assumptions!$B$12+I5668*Assumptions!$B$11+$O$532+$S$532+Assumptions!$B$9</f>
        <v/>
      </c>
      <c r="L5668">
        <f>B5668-J5668</f>
        <v/>
      </c>
      <c r="M5668">
        <f>IF(K5668&gt;0,IF(L5668/K5668&gt;=Assumptions!$B$37,1,0),0)</f>
        <v/>
      </c>
      <c r="N5668">
        <f>K5668+M5668*Assumptions!$B$153</f>
        <v/>
      </c>
      <c r="O5668">
        <f>L5668+M5668*Assumptions!$B$153*Assumptions!$B$37</f>
        <v/>
      </c>
      <c r="P5668">
        <f>IF(N5668&gt;0,O5668/N5668,0)</f>
        <v/>
      </c>
      <c r="Q5668">
        <f>IF(C5668=1,P5668*$J$532,Assumptions!$B$41)</f>
        <v/>
      </c>
      <c r="R5668">
        <f>IF(D5668=1,P5668*$F$532,Assumptions!$B$33)</f>
        <v/>
      </c>
      <c r="S5668">
        <f>IF(E5668=1,P5668*$G$532,Assumptions!$B$32)</f>
        <v/>
      </c>
      <c r="T5668">
        <f>IF(F5668=1,P5668*Assumptions!$B$14,Assumptions!$B$31)</f>
        <v/>
      </c>
      <c r="U5668">
        <f>IF(G5668=1,P5668*Assumptions!$B$13,Assumptions!$B$30)</f>
        <v/>
      </c>
      <c r="V5668">
        <f>IF(H5668=1,P5668*Assumptions!$B$12,Assumptions!$B$29)</f>
        <v/>
      </c>
      <c r="W5668">
        <f>IF(I5668=1,P5668*Assumptions!$B$11,Assumptions!$B$28)</f>
        <v/>
      </c>
      <c r="X5668">
        <f>P5668*($O$532+$S$532)</f>
        <v/>
      </c>
      <c r="Y5668">
        <f>P5668*Assumptions!$B$9</f>
        <v/>
      </c>
      <c r="Z5668">
        <f>IF(M5668=1,(P5668-Assumptions!$B$37)*Assumptions!$B$153,0)</f>
        <v/>
      </c>
      <c r="AA5668">
        <f>Q5668+R5668+S5668+T5668+U5668+V5668+W5668+X5668+Y5668+Z5668</f>
        <v/>
      </c>
      <c r="AB5668" t="n">
        <v>28</v>
      </c>
      <c r="AC5668" t="n">
        <v>92</v>
      </c>
      <c r="AD5668" t="n">
        <v>60</v>
      </c>
      <c r="AE5668" t="n">
        <v>12</v>
      </c>
      <c r="AF5668" t="n">
        <v>20</v>
      </c>
      <c r="AG5668" t="n">
        <v>24</v>
      </c>
      <c r="AH5668" t="n">
        <v>30</v>
      </c>
      <c r="AI5668" t="n">
        <v>29</v>
      </c>
      <c r="AJ5668">
        <f>INDEX($Q$5640:$Q$5767,AC5668+1)</f>
        <v/>
      </c>
      <c r="AK5668">
        <f>INDEX($R$5640:$R$5767,AD5668+1)</f>
        <v/>
      </c>
      <c r="AL5668">
        <f>INDEX($S$5640:$S$5767,AE5668+1)</f>
        <v/>
      </c>
      <c r="AM5668">
        <f>INDEX($T$5640:$T$5767,AF5668+1)</f>
        <v/>
      </c>
      <c r="AN5668">
        <f>INDEX($U$5640:$U$5767,AG5668+1)</f>
        <v/>
      </c>
      <c r="AO5668">
        <f>INDEX($V$5640:$V$5767,AH5668+1)</f>
        <v/>
      </c>
      <c r="AP5668">
        <f>INDEX($W$5640:$W$5767,AI5668+1)</f>
        <v/>
      </c>
      <c r="AQ5668">
        <f>IF(Q5668&gt;=AJ5668-0.01,1,0)</f>
        <v/>
      </c>
      <c r="AR5668">
        <f>IF(R5668&gt;=AK5668-0.01,1,0)</f>
        <v/>
      </c>
      <c r="AS5668">
        <f>IF(S5668&gt;=AL5668-0.01,1,0)</f>
        <v/>
      </c>
      <c r="AT5668">
        <f>IF(T5668&gt;=AM5668-0.01,1,0)</f>
        <v/>
      </c>
      <c r="AU5668">
        <f>IF(U5668&gt;=AN5668-0.01,1,0)</f>
        <v/>
      </c>
      <c r="AV5668">
        <f>IF(V5668&gt;=AO5668-0.01,1,0)</f>
        <v/>
      </c>
      <c r="AW5668">
        <f>IF(W5668&gt;=AP5668-0.01,1,0)</f>
        <v/>
      </c>
      <c r="AX5668">
        <f>AQ5668*AR5668*AS5668*AT5668*AU5668*AV5668*AW5668</f>
        <v/>
      </c>
    </row>
    <row r="5669">
      <c r="A5669" t="inlineStr"/>
      <c r="B5669">
        <f>Assumptions!$B$60</f>
        <v/>
      </c>
      <c r="C5669" t="n">
        <v>0</v>
      </c>
      <c r="D5669" t="n">
        <v>0</v>
      </c>
      <c r="E5669" t="n">
        <v>1</v>
      </c>
      <c r="F5669" t="n">
        <v>1</v>
      </c>
      <c r="G5669" t="n">
        <v>1</v>
      </c>
      <c r="H5669" t="n">
        <v>0</v>
      </c>
      <c r="I5669" t="n">
        <v>1</v>
      </c>
      <c r="J5669">
        <f>(1-C5669)*Assumptions!$B$41+(1-D5669)*Assumptions!$B$33+(1-E5669)*Assumptions!$B$32+(1-F5669)*Assumptions!$B$31+(1-G5669)*Assumptions!$B$30+(1-H5669)*Assumptions!$B$29+(1-I5669)*Assumptions!$B$28</f>
        <v/>
      </c>
      <c r="K5669">
        <f>C5669*$J$532+D5669*$F$532+E5669*$G$532+F5669*Assumptions!$B$14+G5669*Assumptions!$B$13+H5669*Assumptions!$B$12+I5669*Assumptions!$B$11+$O$532+$S$532+Assumptions!$B$9</f>
        <v/>
      </c>
      <c r="L5669">
        <f>B5669-J5669</f>
        <v/>
      </c>
      <c r="M5669">
        <f>IF(K5669&gt;0,IF(L5669/K5669&gt;=Assumptions!$B$37,1,0),0)</f>
        <v/>
      </c>
      <c r="N5669">
        <f>K5669+M5669*Assumptions!$B$153</f>
        <v/>
      </c>
      <c r="O5669">
        <f>L5669+M5669*Assumptions!$B$153*Assumptions!$B$37</f>
        <v/>
      </c>
      <c r="P5669">
        <f>IF(N5669&gt;0,O5669/N5669,0)</f>
        <v/>
      </c>
      <c r="Q5669">
        <f>IF(C5669=1,P5669*$J$532,Assumptions!$B$41)</f>
        <v/>
      </c>
      <c r="R5669">
        <f>IF(D5669=1,P5669*$F$532,Assumptions!$B$33)</f>
        <v/>
      </c>
      <c r="S5669">
        <f>IF(E5669=1,P5669*$G$532,Assumptions!$B$32)</f>
        <v/>
      </c>
      <c r="T5669">
        <f>IF(F5669=1,P5669*Assumptions!$B$14,Assumptions!$B$31)</f>
        <v/>
      </c>
      <c r="U5669">
        <f>IF(G5669=1,P5669*Assumptions!$B$13,Assumptions!$B$30)</f>
        <v/>
      </c>
      <c r="V5669">
        <f>IF(H5669=1,P5669*Assumptions!$B$12,Assumptions!$B$29)</f>
        <v/>
      </c>
      <c r="W5669">
        <f>IF(I5669=1,P5669*Assumptions!$B$11,Assumptions!$B$28)</f>
        <v/>
      </c>
      <c r="X5669">
        <f>P5669*($O$532+$S$532)</f>
        <v/>
      </c>
      <c r="Y5669">
        <f>P5669*Assumptions!$B$9</f>
        <v/>
      </c>
      <c r="Z5669">
        <f>IF(M5669=1,(P5669-Assumptions!$B$37)*Assumptions!$B$153,0)</f>
        <v/>
      </c>
      <c r="AA5669">
        <f>Q5669+R5669+S5669+T5669+U5669+V5669+W5669+X5669+Y5669+Z5669</f>
        <v/>
      </c>
      <c r="AB5669" t="n">
        <v>29</v>
      </c>
      <c r="AC5669" t="n">
        <v>93</v>
      </c>
      <c r="AD5669" t="n">
        <v>61</v>
      </c>
      <c r="AE5669" t="n">
        <v>13</v>
      </c>
      <c r="AF5669" t="n">
        <v>21</v>
      </c>
      <c r="AG5669" t="n">
        <v>25</v>
      </c>
      <c r="AH5669" t="n">
        <v>31</v>
      </c>
      <c r="AI5669" t="n">
        <v>28</v>
      </c>
      <c r="AJ5669">
        <f>INDEX($Q$5640:$Q$5767,AC5669+1)</f>
        <v/>
      </c>
      <c r="AK5669">
        <f>INDEX($R$5640:$R$5767,AD5669+1)</f>
        <v/>
      </c>
      <c r="AL5669">
        <f>INDEX($S$5640:$S$5767,AE5669+1)</f>
        <v/>
      </c>
      <c r="AM5669">
        <f>INDEX($T$5640:$T$5767,AF5669+1)</f>
        <v/>
      </c>
      <c r="AN5669">
        <f>INDEX($U$5640:$U$5767,AG5669+1)</f>
        <v/>
      </c>
      <c r="AO5669">
        <f>INDEX($V$5640:$V$5767,AH5669+1)</f>
        <v/>
      </c>
      <c r="AP5669">
        <f>INDEX($W$5640:$W$5767,AI5669+1)</f>
        <v/>
      </c>
      <c r="AQ5669">
        <f>IF(Q5669&gt;=AJ5669-0.01,1,0)</f>
        <v/>
      </c>
      <c r="AR5669">
        <f>IF(R5669&gt;=AK5669-0.01,1,0)</f>
        <v/>
      </c>
      <c r="AS5669">
        <f>IF(S5669&gt;=AL5669-0.01,1,0)</f>
        <v/>
      </c>
      <c r="AT5669">
        <f>IF(T5669&gt;=AM5669-0.01,1,0)</f>
        <v/>
      </c>
      <c r="AU5669">
        <f>IF(U5669&gt;=AN5669-0.01,1,0)</f>
        <v/>
      </c>
      <c r="AV5669">
        <f>IF(V5669&gt;=AO5669-0.01,1,0)</f>
        <v/>
      </c>
      <c r="AW5669">
        <f>IF(W5669&gt;=AP5669-0.01,1,0)</f>
        <v/>
      </c>
      <c r="AX5669">
        <f>AQ5669*AR5669*AS5669*AT5669*AU5669*AV5669*AW5669</f>
        <v/>
      </c>
    </row>
    <row r="5670">
      <c r="A5670" t="inlineStr"/>
      <c r="B5670">
        <f>Assumptions!$B$60</f>
        <v/>
      </c>
      <c r="C5670" t="n">
        <v>0</v>
      </c>
      <c r="D5670" t="n">
        <v>0</v>
      </c>
      <c r="E5670" t="n">
        <v>1</v>
      </c>
      <c r="F5670" t="n">
        <v>1</v>
      </c>
      <c r="G5670" t="n">
        <v>1</v>
      </c>
      <c r="H5670" t="n">
        <v>1</v>
      </c>
      <c r="I5670" t="n">
        <v>0</v>
      </c>
      <c r="J5670">
        <f>(1-C5670)*Assumptions!$B$41+(1-D5670)*Assumptions!$B$33+(1-E5670)*Assumptions!$B$32+(1-F5670)*Assumptions!$B$31+(1-G5670)*Assumptions!$B$30+(1-H5670)*Assumptions!$B$29+(1-I5670)*Assumptions!$B$28</f>
        <v/>
      </c>
      <c r="K5670">
        <f>C5670*$J$532+D5670*$F$532+E5670*$G$532+F5670*Assumptions!$B$14+G5670*Assumptions!$B$13+H5670*Assumptions!$B$12+I5670*Assumptions!$B$11+$O$532+$S$532+Assumptions!$B$9</f>
        <v/>
      </c>
      <c r="L5670">
        <f>B5670-J5670</f>
        <v/>
      </c>
      <c r="M5670">
        <f>IF(K5670&gt;0,IF(L5670/K5670&gt;=Assumptions!$B$37,1,0),0)</f>
        <v/>
      </c>
      <c r="N5670">
        <f>K5670+M5670*Assumptions!$B$153</f>
        <v/>
      </c>
      <c r="O5670">
        <f>L5670+M5670*Assumptions!$B$153*Assumptions!$B$37</f>
        <v/>
      </c>
      <c r="P5670">
        <f>IF(N5670&gt;0,O5670/N5670,0)</f>
        <v/>
      </c>
      <c r="Q5670">
        <f>IF(C5670=1,P5670*$J$532,Assumptions!$B$41)</f>
        <v/>
      </c>
      <c r="R5670">
        <f>IF(D5670=1,P5670*$F$532,Assumptions!$B$33)</f>
        <v/>
      </c>
      <c r="S5670">
        <f>IF(E5670=1,P5670*$G$532,Assumptions!$B$32)</f>
        <v/>
      </c>
      <c r="T5670">
        <f>IF(F5670=1,P5670*Assumptions!$B$14,Assumptions!$B$31)</f>
        <v/>
      </c>
      <c r="U5670">
        <f>IF(G5670=1,P5670*Assumptions!$B$13,Assumptions!$B$30)</f>
        <v/>
      </c>
      <c r="V5670">
        <f>IF(H5670=1,P5670*Assumptions!$B$12,Assumptions!$B$29)</f>
        <v/>
      </c>
      <c r="W5670">
        <f>IF(I5670=1,P5670*Assumptions!$B$11,Assumptions!$B$28)</f>
        <v/>
      </c>
      <c r="X5670">
        <f>P5670*($O$532+$S$532)</f>
        <v/>
      </c>
      <c r="Y5670">
        <f>P5670*Assumptions!$B$9</f>
        <v/>
      </c>
      <c r="Z5670">
        <f>IF(M5670=1,(P5670-Assumptions!$B$37)*Assumptions!$B$153,0)</f>
        <v/>
      </c>
      <c r="AA5670">
        <f>Q5670+R5670+S5670+T5670+U5670+V5670+W5670+X5670+Y5670+Z5670</f>
        <v/>
      </c>
      <c r="AB5670" t="n">
        <v>30</v>
      </c>
      <c r="AC5670" t="n">
        <v>94</v>
      </c>
      <c r="AD5670" t="n">
        <v>62</v>
      </c>
      <c r="AE5670" t="n">
        <v>14</v>
      </c>
      <c r="AF5670" t="n">
        <v>22</v>
      </c>
      <c r="AG5670" t="n">
        <v>26</v>
      </c>
      <c r="AH5670" t="n">
        <v>28</v>
      </c>
      <c r="AI5670" t="n">
        <v>31</v>
      </c>
      <c r="AJ5670">
        <f>INDEX($Q$5640:$Q$5767,AC5670+1)</f>
        <v/>
      </c>
      <c r="AK5670">
        <f>INDEX($R$5640:$R$5767,AD5670+1)</f>
        <v/>
      </c>
      <c r="AL5670">
        <f>INDEX($S$5640:$S$5767,AE5670+1)</f>
        <v/>
      </c>
      <c r="AM5670">
        <f>INDEX($T$5640:$T$5767,AF5670+1)</f>
        <v/>
      </c>
      <c r="AN5670">
        <f>INDEX($U$5640:$U$5767,AG5670+1)</f>
        <v/>
      </c>
      <c r="AO5670">
        <f>INDEX($V$5640:$V$5767,AH5670+1)</f>
        <v/>
      </c>
      <c r="AP5670">
        <f>INDEX($W$5640:$W$5767,AI5670+1)</f>
        <v/>
      </c>
      <c r="AQ5670">
        <f>IF(Q5670&gt;=AJ5670-0.01,1,0)</f>
        <v/>
      </c>
      <c r="AR5670">
        <f>IF(R5670&gt;=AK5670-0.01,1,0)</f>
        <v/>
      </c>
      <c r="AS5670">
        <f>IF(S5670&gt;=AL5670-0.01,1,0)</f>
        <v/>
      </c>
      <c r="AT5670">
        <f>IF(T5670&gt;=AM5670-0.01,1,0)</f>
        <v/>
      </c>
      <c r="AU5670">
        <f>IF(U5670&gt;=AN5670-0.01,1,0)</f>
        <v/>
      </c>
      <c r="AV5670">
        <f>IF(V5670&gt;=AO5670-0.01,1,0)</f>
        <v/>
      </c>
      <c r="AW5670">
        <f>IF(W5670&gt;=AP5670-0.01,1,0)</f>
        <v/>
      </c>
      <c r="AX5670">
        <f>AQ5670*AR5670*AS5670*AT5670*AU5670*AV5670*AW5670</f>
        <v/>
      </c>
    </row>
    <row r="5671">
      <c r="A5671" t="inlineStr"/>
      <c r="B5671">
        <f>Assumptions!$B$60</f>
        <v/>
      </c>
      <c r="C5671" t="n">
        <v>0</v>
      </c>
      <c r="D5671" t="n">
        <v>0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>
        <f>(1-C5671)*Assumptions!$B$41+(1-D5671)*Assumptions!$B$33+(1-E5671)*Assumptions!$B$32+(1-F5671)*Assumptions!$B$31+(1-G5671)*Assumptions!$B$30+(1-H5671)*Assumptions!$B$29+(1-I5671)*Assumptions!$B$28</f>
        <v/>
      </c>
      <c r="K5671">
        <f>C5671*$J$532+D5671*$F$532+E5671*$G$532+F5671*Assumptions!$B$14+G5671*Assumptions!$B$13+H5671*Assumptions!$B$12+I5671*Assumptions!$B$11+$O$532+$S$532+Assumptions!$B$9</f>
        <v/>
      </c>
      <c r="L5671">
        <f>B5671-J5671</f>
        <v/>
      </c>
      <c r="M5671">
        <f>IF(K5671&gt;0,IF(L5671/K5671&gt;=Assumptions!$B$37,1,0),0)</f>
        <v/>
      </c>
      <c r="N5671">
        <f>K5671+M5671*Assumptions!$B$153</f>
        <v/>
      </c>
      <c r="O5671">
        <f>L5671+M5671*Assumptions!$B$153*Assumptions!$B$37</f>
        <v/>
      </c>
      <c r="P5671">
        <f>IF(N5671&gt;0,O5671/N5671,0)</f>
        <v/>
      </c>
      <c r="Q5671">
        <f>IF(C5671=1,P5671*$J$532,Assumptions!$B$41)</f>
        <v/>
      </c>
      <c r="R5671">
        <f>IF(D5671=1,P5671*$F$532,Assumptions!$B$33)</f>
        <v/>
      </c>
      <c r="S5671">
        <f>IF(E5671=1,P5671*$G$532,Assumptions!$B$32)</f>
        <v/>
      </c>
      <c r="T5671">
        <f>IF(F5671=1,P5671*Assumptions!$B$14,Assumptions!$B$31)</f>
        <v/>
      </c>
      <c r="U5671">
        <f>IF(G5671=1,P5671*Assumptions!$B$13,Assumptions!$B$30)</f>
        <v/>
      </c>
      <c r="V5671">
        <f>IF(H5671=1,P5671*Assumptions!$B$12,Assumptions!$B$29)</f>
        <v/>
      </c>
      <c r="W5671">
        <f>IF(I5671=1,P5671*Assumptions!$B$11,Assumptions!$B$28)</f>
        <v/>
      </c>
      <c r="X5671">
        <f>P5671*($O$532+$S$532)</f>
        <v/>
      </c>
      <c r="Y5671">
        <f>P5671*Assumptions!$B$9</f>
        <v/>
      </c>
      <c r="Z5671">
        <f>IF(M5671=1,(P5671-Assumptions!$B$37)*Assumptions!$B$153,0)</f>
        <v/>
      </c>
      <c r="AA5671">
        <f>Q5671+R5671+S5671+T5671+U5671+V5671+W5671+X5671+Y5671+Z5671</f>
        <v/>
      </c>
      <c r="AB5671" t="n">
        <v>31</v>
      </c>
      <c r="AC5671" t="n">
        <v>95</v>
      </c>
      <c r="AD5671" t="n">
        <v>63</v>
      </c>
      <c r="AE5671" t="n">
        <v>15</v>
      </c>
      <c r="AF5671" t="n">
        <v>23</v>
      </c>
      <c r="AG5671" t="n">
        <v>27</v>
      </c>
      <c r="AH5671" t="n">
        <v>29</v>
      </c>
      <c r="AI5671" t="n">
        <v>30</v>
      </c>
      <c r="AJ5671">
        <f>INDEX($Q$5640:$Q$5767,AC5671+1)</f>
        <v/>
      </c>
      <c r="AK5671">
        <f>INDEX($R$5640:$R$5767,AD5671+1)</f>
        <v/>
      </c>
      <c r="AL5671">
        <f>INDEX($S$5640:$S$5767,AE5671+1)</f>
        <v/>
      </c>
      <c r="AM5671">
        <f>INDEX($T$5640:$T$5767,AF5671+1)</f>
        <v/>
      </c>
      <c r="AN5671">
        <f>INDEX($U$5640:$U$5767,AG5671+1)</f>
        <v/>
      </c>
      <c r="AO5671">
        <f>INDEX($V$5640:$V$5767,AH5671+1)</f>
        <v/>
      </c>
      <c r="AP5671">
        <f>INDEX($W$5640:$W$5767,AI5671+1)</f>
        <v/>
      </c>
      <c r="AQ5671">
        <f>IF(Q5671&gt;=AJ5671-0.01,1,0)</f>
        <v/>
      </c>
      <c r="AR5671">
        <f>IF(R5671&gt;=AK5671-0.01,1,0)</f>
        <v/>
      </c>
      <c r="AS5671">
        <f>IF(S5671&gt;=AL5671-0.01,1,0)</f>
        <v/>
      </c>
      <c r="AT5671">
        <f>IF(T5671&gt;=AM5671-0.01,1,0)</f>
        <v/>
      </c>
      <c r="AU5671">
        <f>IF(U5671&gt;=AN5671-0.01,1,0)</f>
        <v/>
      </c>
      <c r="AV5671">
        <f>IF(V5671&gt;=AO5671-0.01,1,0)</f>
        <v/>
      </c>
      <c r="AW5671">
        <f>IF(W5671&gt;=AP5671-0.01,1,0)</f>
        <v/>
      </c>
      <c r="AX5671">
        <f>AQ5671*AR5671*AS5671*AT5671*AU5671*AV5671*AW5671</f>
        <v/>
      </c>
    </row>
    <row r="5672">
      <c r="A5672" t="inlineStr"/>
      <c r="B5672">
        <f>Assumptions!$B$60</f>
        <v/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>
        <f>(1-C5672)*Assumptions!$B$41+(1-D5672)*Assumptions!$B$33+(1-E5672)*Assumptions!$B$32+(1-F5672)*Assumptions!$B$31+(1-G5672)*Assumptions!$B$30+(1-H5672)*Assumptions!$B$29+(1-I5672)*Assumptions!$B$28</f>
        <v/>
      </c>
      <c r="K5672">
        <f>C5672*$J$532+D5672*$F$532+E5672*$G$532+F5672*Assumptions!$B$14+G5672*Assumptions!$B$13+H5672*Assumptions!$B$12+I5672*Assumptions!$B$11+$O$532+$S$532+Assumptions!$B$9</f>
        <v/>
      </c>
      <c r="L5672">
        <f>B5672-J5672</f>
        <v/>
      </c>
      <c r="M5672">
        <f>IF(K5672&gt;0,IF(L5672/K5672&gt;=Assumptions!$B$37,1,0),0)</f>
        <v/>
      </c>
      <c r="N5672">
        <f>K5672+M5672*Assumptions!$B$153</f>
        <v/>
      </c>
      <c r="O5672">
        <f>L5672+M5672*Assumptions!$B$153*Assumptions!$B$37</f>
        <v/>
      </c>
      <c r="P5672">
        <f>IF(N5672&gt;0,O5672/N5672,0)</f>
        <v/>
      </c>
      <c r="Q5672">
        <f>IF(C5672=1,P5672*$J$532,Assumptions!$B$41)</f>
        <v/>
      </c>
      <c r="R5672">
        <f>IF(D5672=1,P5672*$F$532,Assumptions!$B$33)</f>
        <v/>
      </c>
      <c r="S5672">
        <f>IF(E5672=1,P5672*$G$532,Assumptions!$B$32)</f>
        <v/>
      </c>
      <c r="T5672">
        <f>IF(F5672=1,P5672*Assumptions!$B$14,Assumptions!$B$31)</f>
        <v/>
      </c>
      <c r="U5672">
        <f>IF(G5672=1,P5672*Assumptions!$B$13,Assumptions!$B$30)</f>
        <v/>
      </c>
      <c r="V5672">
        <f>IF(H5672=1,P5672*Assumptions!$B$12,Assumptions!$B$29)</f>
        <v/>
      </c>
      <c r="W5672">
        <f>IF(I5672=1,P5672*Assumptions!$B$11,Assumptions!$B$28)</f>
        <v/>
      </c>
      <c r="X5672">
        <f>P5672*($O$532+$S$532)</f>
        <v/>
      </c>
      <c r="Y5672">
        <f>P5672*Assumptions!$B$9</f>
        <v/>
      </c>
      <c r="Z5672">
        <f>IF(M5672=1,(P5672-Assumptions!$B$37)*Assumptions!$B$153,0)</f>
        <v/>
      </c>
      <c r="AA5672">
        <f>Q5672+R5672+S5672+T5672+U5672+V5672+W5672+X5672+Y5672+Z5672</f>
        <v/>
      </c>
      <c r="AB5672" t="n">
        <v>32</v>
      </c>
      <c r="AC5672" t="n">
        <v>96</v>
      </c>
      <c r="AD5672" t="n">
        <v>0</v>
      </c>
      <c r="AE5672" t="n">
        <v>48</v>
      </c>
      <c r="AF5672" t="n">
        <v>40</v>
      </c>
      <c r="AG5672" t="n">
        <v>36</v>
      </c>
      <c r="AH5672" t="n">
        <v>34</v>
      </c>
      <c r="AI5672" t="n">
        <v>33</v>
      </c>
      <c r="AJ5672">
        <f>INDEX($Q$5640:$Q$5767,AC5672+1)</f>
        <v/>
      </c>
      <c r="AK5672">
        <f>INDEX($R$5640:$R$5767,AD5672+1)</f>
        <v/>
      </c>
      <c r="AL5672">
        <f>INDEX($S$5640:$S$5767,AE5672+1)</f>
        <v/>
      </c>
      <c r="AM5672">
        <f>INDEX($T$5640:$T$5767,AF5672+1)</f>
        <v/>
      </c>
      <c r="AN5672">
        <f>INDEX($U$5640:$U$5767,AG5672+1)</f>
        <v/>
      </c>
      <c r="AO5672">
        <f>INDEX($V$5640:$V$5767,AH5672+1)</f>
        <v/>
      </c>
      <c r="AP5672">
        <f>INDEX($W$5640:$W$5767,AI5672+1)</f>
        <v/>
      </c>
      <c r="AQ5672">
        <f>IF(Q5672&gt;=AJ5672-0.01,1,0)</f>
        <v/>
      </c>
      <c r="AR5672">
        <f>IF(R5672&gt;=AK5672-0.01,1,0)</f>
        <v/>
      </c>
      <c r="AS5672">
        <f>IF(S5672&gt;=AL5672-0.01,1,0)</f>
        <v/>
      </c>
      <c r="AT5672">
        <f>IF(T5672&gt;=AM5672-0.01,1,0)</f>
        <v/>
      </c>
      <c r="AU5672">
        <f>IF(U5672&gt;=AN5672-0.01,1,0)</f>
        <v/>
      </c>
      <c r="AV5672">
        <f>IF(V5672&gt;=AO5672-0.01,1,0)</f>
        <v/>
      </c>
      <c r="AW5672">
        <f>IF(W5672&gt;=AP5672-0.01,1,0)</f>
        <v/>
      </c>
      <c r="AX5672">
        <f>AQ5672*AR5672*AS5672*AT5672*AU5672*AV5672*AW5672</f>
        <v/>
      </c>
    </row>
    <row r="5673">
      <c r="A5673" t="inlineStr"/>
      <c r="B5673">
        <f>Assumptions!$B$60</f>
        <v/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>
        <f>(1-C5673)*Assumptions!$B$41+(1-D5673)*Assumptions!$B$33+(1-E5673)*Assumptions!$B$32+(1-F5673)*Assumptions!$B$31+(1-G5673)*Assumptions!$B$30+(1-H5673)*Assumptions!$B$29+(1-I5673)*Assumptions!$B$28</f>
        <v/>
      </c>
      <c r="K5673">
        <f>C5673*$J$532+D5673*$F$532+E5673*$G$532+F5673*Assumptions!$B$14+G5673*Assumptions!$B$13+H5673*Assumptions!$B$12+I5673*Assumptions!$B$11+$O$532+$S$532+Assumptions!$B$9</f>
        <v/>
      </c>
      <c r="L5673">
        <f>B5673-J5673</f>
        <v/>
      </c>
      <c r="M5673">
        <f>IF(K5673&gt;0,IF(L5673/K5673&gt;=Assumptions!$B$37,1,0),0)</f>
        <v/>
      </c>
      <c r="N5673">
        <f>K5673+M5673*Assumptions!$B$153</f>
        <v/>
      </c>
      <c r="O5673">
        <f>L5673+M5673*Assumptions!$B$153*Assumptions!$B$37</f>
        <v/>
      </c>
      <c r="P5673">
        <f>IF(N5673&gt;0,O5673/N5673,0)</f>
        <v/>
      </c>
      <c r="Q5673">
        <f>IF(C5673=1,P5673*$J$532,Assumptions!$B$41)</f>
        <v/>
      </c>
      <c r="R5673">
        <f>IF(D5673=1,P5673*$F$532,Assumptions!$B$33)</f>
        <v/>
      </c>
      <c r="S5673">
        <f>IF(E5673=1,P5673*$G$532,Assumptions!$B$32)</f>
        <v/>
      </c>
      <c r="T5673">
        <f>IF(F5673=1,P5673*Assumptions!$B$14,Assumptions!$B$31)</f>
        <v/>
      </c>
      <c r="U5673">
        <f>IF(G5673=1,P5673*Assumptions!$B$13,Assumptions!$B$30)</f>
        <v/>
      </c>
      <c r="V5673">
        <f>IF(H5673=1,P5673*Assumptions!$B$12,Assumptions!$B$29)</f>
        <v/>
      </c>
      <c r="W5673">
        <f>IF(I5673=1,P5673*Assumptions!$B$11,Assumptions!$B$28)</f>
        <v/>
      </c>
      <c r="X5673">
        <f>P5673*($O$532+$S$532)</f>
        <v/>
      </c>
      <c r="Y5673">
        <f>P5673*Assumptions!$B$9</f>
        <v/>
      </c>
      <c r="Z5673">
        <f>IF(M5673=1,(P5673-Assumptions!$B$37)*Assumptions!$B$153,0)</f>
        <v/>
      </c>
      <c r="AA5673">
        <f>Q5673+R5673+S5673+T5673+U5673+V5673+W5673+X5673+Y5673+Z5673</f>
        <v/>
      </c>
      <c r="AB5673" t="n">
        <v>33</v>
      </c>
      <c r="AC5673" t="n">
        <v>97</v>
      </c>
      <c r="AD5673" t="n">
        <v>1</v>
      </c>
      <c r="AE5673" t="n">
        <v>49</v>
      </c>
      <c r="AF5673" t="n">
        <v>41</v>
      </c>
      <c r="AG5673" t="n">
        <v>37</v>
      </c>
      <c r="AH5673" t="n">
        <v>35</v>
      </c>
      <c r="AI5673" t="n">
        <v>32</v>
      </c>
      <c r="AJ5673">
        <f>INDEX($Q$5640:$Q$5767,AC5673+1)</f>
        <v/>
      </c>
      <c r="AK5673">
        <f>INDEX($R$5640:$R$5767,AD5673+1)</f>
        <v/>
      </c>
      <c r="AL5673">
        <f>INDEX($S$5640:$S$5767,AE5673+1)</f>
        <v/>
      </c>
      <c r="AM5673">
        <f>INDEX($T$5640:$T$5767,AF5673+1)</f>
        <v/>
      </c>
      <c r="AN5673">
        <f>INDEX($U$5640:$U$5767,AG5673+1)</f>
        <v/>
      </c>
      <c r="AO5673">
        <f>INDEX($V$5640:$V$5767,AH5673+1)</f>
        <v/>
      </c>
      <c r="AP5673">
        <f>INDEX($W$5640:$W$5767,AI5673+1)</f>
        <v/>
      </c>
      <c r="AQ5673">
        <f>IF(Q5673&gt;=AJ5673-0.01,1,0)</f>
        <v/>
      </c>
      <c r="AR5673">
        <f>IF(R5673&gt;=AK5673-0.01,1,0)</f>
        <v/>
      </c>
      <c r="AS5673">
        <f>IF(S5673&gt;=AL5673-0.01,1,0)</f>
        <v/>
      </c>
      <c r="AT5673">
        <f>IF(T5673&gt;=AM5673-0.01,1,0)</f>
        <v/>
      </c>
      <c r="AU5673">
        <f>IF(U5673&gt;=AN5673-0.01,1,0)</f>
        <v/>
      </c>
      <c r="AV5673">
        <f>IF(V5673&gt;=AO5673-0.01,1,0)</f>
        <v/>
      </c>
      <c r="AW5673">
        <f>IF(W5673&gt;=AP5673-0.01,1,0)</f>
        <v/>
      </c>
      <c r="AX5673">
        <f>AQ5673*AR5673*AS5673*AT5673*AU5673*AV5673*AW5673</f>
        <v/>
      </c>
    </row>
    <row r="5674">
      <c r="A5674" t="inlineStr"/>
      <c r="B5674">
        <f>Assumptions!$B$60</f>
        <v/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1</v>
      </c>
      <c r="I5674" t="n">
        <v>0</v>
      </c>
      <c r="J5674">
        <f>(1-C5674)*Assumptions!$B$41+(1-D5674)*Assumptions!$B$33+(1-E5674)*Assumptions!$B$32+(1-F5674)*Assumptions!$B$31+(1-G5674)*Assumptions!$B$30+(1-H5674)*Assumptions!$B$29+(1-I5674)*Assumptions!$B$28</f>
        <v/>
      </c>
      <c r="K5674">
        <f>C5674*$J$532+D5674*$F$532+E5674*$G$532+F5674*Assumptions!$B$14+G5674*Assumptions!$B$13+H5674*Assumptions!$B$12+I5674*Assumptions!$B$11+$O$532+$S$532+Assumptions!$B$9</f>
        <v/>
      </c>
      <c r="L5674">
        <f>B5674-J5674</f>
        <v/>
      </c>
      <c r="M5674">
        <f>IF(K5674&gt;0,IF(L5674/K5674&gt;=Assumptions!$B$37,1,0),0)</f>
        <v/>
      </c>
      <c r="N5674">
        <f>K5674+M5674*Assumptions!$B$153</f>
        <v/>
      </c>
      <c r="O5674">
        <f>L5674+M5674*Assumptions!$B$153*Assumptions!$B$37</f>
        <v/>
      </c>
      <c r="P5674">
        <f>IF(N5674&gt;0,O5674/N5674,0)</f>
        <v/>
      </c>
      <c r="Q5674">
        <f>IF(C5674=1,P5674*$J$532,Assumptions!$B$41)</f>
        <v/>
      </c>
      <c r="R5674">
        <f>IF(D5674=1,P5674*$F$532,Assumptions!$B$33)</f>
        <v/>
      </c>
      <c r="S5674">
        <f>IF(E5674=1,P5674*$G$532,Assumptions!$B$32)</f>
        <v/>
      </c>
      <c r="T5674">
        <f>IF(F5674=1,P5674*Assumptions!$B$14,Assumptions!$B$31)</f>
        <v/>
      </c>
      <c r="U5674">
        <f>IF(G5674=1,P5674*Assumptions!$B$13,Assumptions!$B$30)</f>
        <v/>
      </c>
      <c r="V5674">
        <f>IF(H5674=1,P5674*Assumptions!$B$12,Assumptions!$B$29)</f>
        <v/>
      </c>
      <c r="W5674">
        <f>IF(I5674=1,P5674*Assumptions!$B$11,Assumptions!$B$28)</f>
        <v/>
      </c>
      <c r="X5674">
        <f>P5674*($O$532+$S$532)</f>
        <v/>
      </c>
      <c r="Y5674">
        <f>P5674*Assumptions!$B$9</f>
        <v/>
      </c>
      <c r="Z5674">
        <f>IF(M5674=1,(P5674-Assumptions!$B$37)*Assumptions!$B$153,0)</f>
        <v/>
      </c>
      <c r="AA5674">
        <f>Q5674+R5674+S5674+T5674+U5674+V5674+W5674+X5674+Y5674+Z5674</f>
        <v/>
      </c>
      <c r="AB5674" t="n">
        <v>34</v>
      </c>
      <c r="AC5674" t="n">
        <v>98</v>
      </c>
      <c r="AD5674" t="n">
        <v>2</v>
      </c>
      <c r="AE5674" t="n">
        <v>50</v>
      </c>
      <c r="AF5674" t="n">
        <v>42</v>
      </c>
      <c r="AG5674" t="n">
        <v>38</v>
      </c>
      <c r="AH5674" t="n">
        <v>32</v>
      </c>
      <c r="AI5674" t="n">
        <v>35</v>
      </c>
      <c r="AJ5674">
        <f>INDEX($Q$5640:$Q$5767,AC5674+1)</f>
        <v/>
      </c>
      <c r="AK5674">
        <f>INDEX($R$5640:$R$5767,AD5674+1)</f>
        <v/>
      </c>
      <c r="AL5674">
        <f>INDEX($S$5640:$S$5767,AE5674+1)</f>
        <v/>
      </c>
      <c r="AM5674">
        <f>INDEX($T$5640:$T$5767,AF5674+1)</f>
        <v/>
      </c>
      <c r="AN5674">
        <f>INDEX($U$5640:$U$5767,AG5674+1)</f>
        <v/>
      </c>
      <c r="AO5674">
        <f>INDEX($V$5640:$V$5767,AH5674+1)</f>
        <v/>
      </c>
      <c r="AP5674">
        <f>INDEX($W$5640:$W$5767,AI5674+1)</f>
        <v/>
      </c>
      <c r="AQ5674">
        <f>IF(Q5674&gt;=AJ5674-0.01,1,0)</f>
        <v/>
      </c>
      <c r="AR5674">
        <f>IF(R5674&gt;=AK5674-0.01,1,0)</f>
        <v/>
      </c>
      <c r="AS5674">
        <f>IF(S5674&gt;=AL5674-0.01,1,0)</f>
        <v/>
      </c>
      <c r="AT5674">
        <f>IF(T5674&gt;=AM5674-0.01,1,0)</f>
        <v/>
      </c>
      <c r="AU5674">
        <f>IF(U5674&gt;=AN5674-0.01,1,0)</f>
        <v/>
      </c>
      <c r="AV5674">
        <f>IF(V5674&gt;=AO5674-0.01,1,0)</f>
        <v/>
      </c>
      <c r="AW5674">
        <f>IF(W5674&gt;=AP5674-0.01,1,0)</f>
        <v/>
      </c>
      <c r="AX5674">
        <f>AQ5674*AR5674*AS5674*AT5674*AU5674*AV5674*AW5674</f>
        <v/>
      </c>
    </row>
    <row r="5675">
      <c r="A5675" t="inlineStr"/>
      <c r="B5675">
        <f>Assumptions!$B$60</f>
        <v/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1</v>
      </c>
      <c r="J5675">
        <f>(1-C5675)*Assumptions!$B$41+(1-D5675)*Assumptions!$B$33+(1-E5675)*Assumptions!$B$32+(1-F5675)*Assumptions!$B$31+(1-G5675)*Assumptions!$B$30+(1-H5675)*Assumptions!$B$29+(1-I5675)*Assumptions!$B$28</f>
        <v/>
      </c>
      <c r="K5675">
        <f>C5675*$J$532+D5675*$F$532+E5675*$G$532+F5675*Assumptions!$B$14+G5675*Assumptions!$B$13+H5675*Assumptions!$B$12+I5675*Assumptions!$B$11+$O$532+$S$532+Assumptions!$B$9</f>
        <v/>
      </c>
      <c r="L5675">
        <f>B5675-J5675</f>
        <v/>
      </c>
      <c r="M5675">
        <f>IF(K5675&gt;0,IF(L5675/K5675&gt;=Assumptions!$B$37,1,0),0)</f>
        <v/>
      </c>
      <c r="N5675">
        <f>K5675+M5675*Assumptions!$B$153</f>
        <v/>
      </c>
      <c r="O5675">
        <f>L5675+M5675*Assumptions!$B$153*Assumptions!$B$37</f>
        <v/>
      </c>
      <c r="P5675">
        <f>IF(N5675&gt;0,O5675/N5675,0)</f>
        <v/>
      </c>
      <c r="Q5675">
        <f>IF(C5675=1,P5675*$J$532,Assumptions!$B$41)</f>
        <v/>
      </c>
      <c r="R5675">
        <f>IF(D5675=1,P5675*$F$532,Assumptions!$B$33)</f>
        <v/>
      </c>
      <c r="S5675">
        <f>IF(E5675=1,P5675*$G$532,Assumptions!$B$32)</f>
        <v/>
      </c>
      <c r="T5675">
        <f>IF(F5675=1,P5675*Assumptions!$B$14,Assumptions!$B$31)</f>
        <v/>
      </c>
      <c r="U5675">
        <f>IF(G5675=1,P5675*Assumptions!$B$13,Assumptions!$B$30)</f>
        <v/>
      </c>
      <c r="V5675">
        <f>IF(H5675=1,P5675*Assumptions!$B$12,Assumptions!$B$29)</f>
        <v/>
      </c>
      <c r="W5675">
        <f>IF(I5675=1,P5675*Assumptions!$B$11,Assumptions!$B$28)</f>
        <v/>
      </c>
      <c r="X5675">
        <f>P5675*($O$532+$S$532)</f>
        <v/>
      </c>
      <c r="Y5675">
        <f>P5675*Assumptions!$B$9</f>
        <v/>
      </c>
      <c r="Z5675">
        <f>IF(M5675=1,(P5675-Assumptions!$B$37)*Assumptions!$B$153,0)</f>
        <v/>
      </c>
      <c r="AA5675">
        <f>Q5675+R5675+S5675+T5675+U5675+V5675+W5675+X5675+Y5675+Z5675</f>
        <v/>
      </c>
      <c r="AB5675" t="n">
        <v>35</v>
      </c>
      <c r="AC5675" t="n">
        <v>99</v>
      </c>
      <c r="AD5675" t="n">
        <v>3</v>
      </c>
      <c r="AE5675" t="n">
        <v>51</v>
      </c>
      <c r="AF5675" t="n">
        <v>43</v>
      </c>
      <c r="AG5675" t="n">
        <v>39</v>
      </c>
      <c r="AH5675" t="n">
        <v>33</v>
      </c>
      <c r="AI5675" t="n">
        <v>34</v>
      </c>
      <c r="AJ5675">
        <f>INDEX($Q$5640:$Q$5767,AC5675+1)</f>
        <v/>
      </c>
      <c r="AK5675">
        <f>INDEX($R$5640:$R$5767,AD5675+1)</f>
        <v/>
      </c>
      <c r="AL5675">
        <f>INDEX($S$5640:$S$5767,AE5675+1)</f>
        <v/>
      </c>
      <c r="AM5675">
        <f>INDEX($T$5640:$T$5767,AF5675+1)</f>
        <v/>
      </c>
      <c r="AN5675">
        <f>INDEX($U$5640:$U$5767,AG5675+1)</f>
        <v/>
      </c>
      <c r="AO5675">
        <f>INDEX($V$5640:$V$5767,AH5675+1)</f>
        <v/>
      </c>
      <c r="AP5675">
        <f>INDEX($W$5640:$W$5767,AI5675+1)</f>
        <v/>
      </c>
      <c r="AQ5675">
        <f>IF(Q5675&gt;=AJ5675-0.01,1,0)</f>
        <v/>
      </c>
      <c r="AR5675">
        <f>IF(R5675&gt;=AK5675-0.01,1,0)</f>
        <v/>
      </c>
      <c r="AS5675">
        <f>IF(S5675&gt;=AL5675-0.01,1,0)</f>
        <v/>
      </c>
      <c r="AT5675">
        <f>IF(T5675&gt;=AM5675-0.01,1,0)</f>
        <v/>
      </c>
      <c r="AU5675">
        <f>IF(U5675&gt;=AN5675-0.01,1,0)</f>
        <v/>
      </c>
      <c r="AV5675">
        <f>IF(V5675&gt;=AO5675-0.01,1,0)</f>
        <v/>
      </c>
      <c r="AW5675">
        <f>IF(W5675&gt;=AP5675-0.01,1,0)</f>
        <v/>
      </c>
      <c r="AX5675">
        <f>AQ5675*AR5675*AS5675*AT5675*AU5675*AV5675*AW5675</f>
        <v/>
      </c>
    </row>
    <row r="5676">
      <c r="A5676" t="inlineStr"/>
      <c r="B5676">
        <f>Assumptions!$B$60</f>
        <v/>
      </c>
      <c r="C5676" t="n">
        <v>0</v>
      </c>
      <c r="D5676" t="n">
        <v>1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>
        <f>(1-C5676)*Assumptions!$B$41+(1-D5676)*Assumptions!$B$33+(1-E5676)*Assumptions!$B$32+(1-F5676)*Assumptions!$B$31+(1-G5676)*Assumptions!$B$30+(1-H5676)*Assumptions!$B$29+(1-I5676)*Assumptions!$B$28</f>
        <v/>
      </c>
      <c r="K5676">
        <f>C5676*$J$532+D5676*$F$532+E5676*$G$532+F5676*Assumptions!$B$14+G5676*Assumptions!$B$13+H5676*Assumptions!$B$12+I5676*Assumptions!$B$11+$O$532+$S$532+Assumptions!$B$9</f>
        <v/>
      </c>
      <c r="L5676">
        <f>B5676-J5676</f>
        <v/>
      </c>
      <c r="M5676">
        <f>IF(K5676&gt;0,IF(L5676/K5676&gt;=Assumptions!$B$37,1,0),0)</f>
        <v/>
      </c>
      <c r="N5676">
        <f>K5676+M5676*Assumptions!$B$153</f>
        <v/>
      </c>
      <c r="O5676">
        <f>L5676+M5676*Assumptions!$B$153*Assumptions!$B$37</f>
        <v/>
      </c>
      <c r="P5676">
        <f>IF(N5676&gt;0,O5676/N5676,0)</f>
        <v/>
      </c>
      <c r="Q5676">
        <f>IF(C5676=1,P5676*$J$532,Assumptions!$B$41)</f>
        <v/>
      </c>
      <c r="R5676">
        <f>IF(D5676=1,P5676*$F$532,Assumptions!$B$33)</f>
        <v/>
      </c>
      <c r="S5676">
        <f>IF(E5676=1,P5676*$G$532,Assumptions!$B$32)</f>
        <v/>
      </c>
      <c r="T5676">
        <f>IF(F5676=1,P5676*Assumptions!$B$14,Assumptions!$B$31)</f>
        <v/>
      </c>
      <c r="U5676">
        <f>IF(G5676=1,P5676*Assumptions!$B$13,Assumptions!$B$30)</f>
        <v/>
      </c>
      <c r="V5676">
        <f>IF(H5676=1,P5676*Assumptions!$B$12,Assumptions!$B$29)</f>
        <v/>
      </c>
      <c r="W5676">
        <f>IF(I5676=1,P5676*Assumptions!$B$11,Assumptions!$B$28)</f>
        <v/>
      </c>
      <c r="X5676">
        <f>P5676*($O$532+$S$532)</f>
        <v/>
      </c>
      <c r="Y5676">
        <f>P5676*Assumptions!$B$9</f>
        <v/>
      </c>
      <c r="Z5676">
        <f>IF(M5676=1,(P5676-Assumptions!$B$37)*Assumptions!$B$153,0)</f>
        <v/>
      </c>
      <c r="AA5676">
        <f>Q5676+R5676+S5676+T5676+U5676+V5676+W5676+X5676+Y5676+Z5676</f>
        <v/>
      </c>
      <c r="AB5676" t="n">
        <v>36</v>
      </c>
      <c r="AC5676" t="n">
        <v>100</v>
      </c>
      <c r="AD5676" t="n">
        <v>4</v>
      </c>
      <c r="AE5676" t="n">
        <v>52</v>
      </c>
      <c r="AF5676" t="n">
        <v>44</v>
      </c>
      <c r="AG5676" t="n">
        <v>32</v>
      </c>
      <c r="AH5676" t="n">
        <v>38</v>
      </c>
      <c r="AI5676" t="n">
        <v>37</v>
      </c>
      <c r="AJ5676">
        <f>INDEX($Q$5640:$Q$5767,AC5676+1)</f>
        <v/>
      </c>
      <c r="AK5676">
        <f>INDEX($R$5640:$R$5767,AD5676+1)</f>
        <v/>
      </c>
      <c r="AL5676">
        <f>INDEX($S$5640:$S$5767,AE5676+1)</f>
        <v/>
      </c>
      <c r="AM5676">
        <f>INDEX($T$5640:$T$5767,AF5676+1)</f>
        <v/>
      </c>
      <c r="AN5676">
        <f>INDEX($U$5640:$U$5767,AG5676+1)</f>
        <v/>
      </c>
      <c r="AO5676">
        <f>INDEX($V$5640:$V$5767,AH5676+1)</f>
        <v/>
      </c>
      <c r="AP5676">
        <f>INDEX($W$5640:$W$5767,AI5676+1)</f>
        <v/>
      </c>
      <c r="AQ5676">
        <f>IF(Q5676&gt;=AJ5676-0.01,1,0)</f>
        <v/>
      </c>
      <c r="AR5676">
        <f>IF(R5676&gt;=AK5676-0.01,1,0)</f>
        <v/>
      </c>
      <c r="AS5676">
        <f>IF(S5676&gt;=AL5676-0.01,1,0)</f>
        <v/>
      </c>
      <c r="AT5676">
        <f>IF(T5676&gt;=AM5676-0.01,1,0)</f>
        <v/>
      </c>
      <c r="AU5676">
        <f>IF(U5676&gt;=AN5676-0.01,1,0)</f>
        <v/>
      </c>
      <c r="AV5676">
        <f>IF(V5676&gt;=AO5676-0.01,1,0)</f>
        <v/>
      </c>
      <c r="AW5676">
        <f>IF(W5676&gt;=AP5676-0.01,1,0)</f>
        <v/>
      </c>
      <c r="AX5676">
        <f>AQ5676*AR5676*AS5676*AT5676*AU5676*AV5676*AW5676</f>
        <v/>
      </c>
    </row>
    <row r="5677">
      <c r="A5677" t="inlineStr"/>
      <c r="B5677">
        <f>Assumptions!$B$60</f>
        <v/>
      </c>
      <c r="C5677" t="n">
        <v>0</v>
      </c>
      <c r="D5677" t="n">
        <v>1</v>
      </c>
      <c r="E5677" t="n">
        <v>0</v>
      </c>
      <c r="F5677" t="n">
        <v>0</v>
      </c>
      <c r="G5677" t="n">
        <v>1</v>
      </c>
      <c r="H5677" t="n">
        <v>0</v>
      </c>
      <c r="I5677" t="n">
        <v>1</v>
      </c>
      <c r="J5677">
        <f>(1-C5677)*Assumptions!$B$41+(1-D5677)*Assumptions!$B$33+(1-E5677)*Assumptions!$B$32+(1-F5677)*Assumptions!$B$31+(1-G5677)*Assumptions!$B$30+(1-H5677)*Assumptions!$B$29+(1-I5677)*Assumptions!$B$28</f>
        <v/>
      </c>
      <c r="K5677">
        <f>C5677*$J$532+D5677*$F$532+E5677*$G$532+F5677*Assumptions!$B$14+G5677*Assumptions!$B$13+H5677*Assumptions!$B$12+I5677*Assumptions!$B$11+$O$532+$S$532+Assumptions!$B$9</f>
        <v/>
      </c>
      <c r="L5677">
        <f>B5677-J5677</f>
        <v/>
      </c>
      <c r="M5677">
        <f>IF(K5677&gt;0,IF(L5677/K5677&gt;=Assumptions!$B$37,1,0),0)</f>
        <v/>
      </c>
      <c r="N5677">
        <f>K5677+M5677*Assumptions!$B$153</f>
        <v/>
      </c>
      <c r="O5677">
        <f>L5677+M5677*Assumptions!$B$153*Assumptions!$B$37</f>
        <v/>
      </c>
      <c r="P5677">
        <f>IF(N5677&gt;0,O5677/N5677,0)</f>
        <v/>
      </c>
      <c r="Q5677">
        <f>IF(C5677=1,P5677*$J$532,Assumptions!$B$41)</f>
        <v/>
      </c>
      <c r="R5677">
        <f>IF(D5677=1,P5677*$F$532,Assumptions!$B$33)</f>
        <v/>
      </c>
      <c r="S5677">
        <f>IF(E5677=1,P5677*$G$532,Assumptions!$B$32)</f>
        <v/>
      </c>
      <c r="T5677">
        <f>IF(F5677=1,P5677*Assumptions!$B$14,Assumptions!$B$31)</f>
        <v/>
      </c>
      <c r="U5677">
        <f>IF(G5677=1,P5677*Assumptions!$B$13,Assumptions!$B$30)</f>
        <v/>
      </c>
      <c r="V5677">
        <f>IF(H5677=1,P5677*Assumptions!$B$12,Assumptions!$B$29)</f>
        <v/>
      </c>
      <c r="W5677">
        <f>IF(I5677=1,P5677*Assumptions!$B$11,Assumptions!$B$28)</f>
        <v/>
      </c>
      <c r="X5677">
        <f>P5677*($O$532+$S$532)</f>
        <v/>
      </c>
      <c r="Y5677">
        <f>P5677*Assumptions!$B$9</f>
        <v/>
      </c>
      <c r="Z5677">
        <f>IF(M5677=1,(P5677-Assumptions!$B$37)*Assumptions!$B$153,0)</f>
        <v/>
      </c>
      <c r="AA5677">
        <f>Q5677+R5677+S5677+T5677+U5677+V5677+W5677+X5677+Y5677+Z5677</f>
        <v/>
      </c>
      <c r="AB5677" t="n">
        <v>37</v>
      </c>
      <c r="AC5677" t="n">
        <v>101</v>
      </c>
      <c r="AD5677" t="n">
        <v>5</v>
      </c>
      <c r="AE5677" t="n">
        <v>53</v>
      </c>
      <c r="AF5677" t="n">
        <v>45</v>
      </c>
      <c r="AG5677" t="n">
        <v>33</v>
      </c>
      <c r="AH5677" t="n">
        <v>39</v>
      </c>
      <c r="AI5677" t="n">
        <v>36</v>
      </c>
      <c r="AJ5677">
        <f>INDEX($Q$5640:$Q$5767,AC5677+1)</f>
        <v/>
      </c>
      <c r="AK5677">
        <f>INDEX($R$5640:$R$5767,AD5677+1)</f>
        <v/>
      </c>
      <c r="AL5677">
        <f>INDEX($S$5640:$S$5767,AE5677+1)</f>
        <v/>
      </c>
      <c r="AM5677">
        <f>INDEX($T$5640:$T$5767,AF5677+1)</f>
        <v/>
      </c>
      <c r="AN5677">
        <f>INDEX($U$5640:$U$5767,AG5677+1)</f>
        <v/>
      </c>
      <c r="AO5677">
        <f>INDEX($V$5640:$V$5767,AH5677+1)</f>
        <v/>
      </c>
      <c r="AP5677">
        <f>INDEX($W$5640:$W$5767,AI5677+1)</f>
        <v/>
      </c>
      <c r="AQ5677">
        <f>IF(Q5677&gt;=AJ5677-0.01,1,0)</f>
        <v/>
      </c>
      <c r="AR5677">
        <f>IF(R5677&gt;=AK5677-0.01,1,0)</f>
        <v/>
      </c>
      <c r="AS5677">
        <f>IF(S5677&gt;=AL5677-0.01,1,0)</f>
        <v/>
      </c>
      <c r="AT5677">
        <f>IF(T5677&gt;=AM5677-0.01,1,0)</f>
        <v/>
      </c>
      <c r="AU5677">
        <f>IF(U5677&gt;=AN5677-0.01,1,0)</f>
        <v/>
      </c>
      <c r="AV5677">
        <f>IF(V5677&gt;=AO5677-0.01,1,0)</f>
        <v/>
      </c>
      <c r="AW5677">
        <f>IF(W5677&gt;=AP5677-0.01,1,0)</f>
        <v/>
      </c>
      <c r="AX5677">
        <f>AQ5677*AR5677*AS5677*AT5677*AU5677*AV5677*AW5677</f>
        <v/>
      </c>
    </row>
    <row r="5678">
      <c r="A5678" t="inlineStr"/>
      <c r="B5678">
        <f>Assumptions!$B$60</f>
        <v/>
      </c>
      <c r="C5678" t="n">
        <v>0</v>
      </c>
      <c r="D5678" t="n">
        <v>1</v>
      </c>
      <c r="E5678" t="n">
        <v>0</v>
      </c>
      <c r="F5678" t="n">
        <v>0</v>
      </c>
      <c r="G5678" t="n">
        <v>1</v>
      </c>
      <c r="H5678" t="n">
        <v>1</v>
      </c>
      <c r="I5678" t="n">
        <v>0</v>
      </c>
      <c r="J5678">
        <f>(1-C5678)*Assumptions!$B$41+(1-D5678)*Assumptions!$B$33+(1-E5678)*Assumptions!$B$32+(1-F5678)*Assumptions!$B$31+(1-G5678)*Assumptions!$B$30+(1-H5678)*Assumptions!$B$29+(1-I5678)*Assumptions!$B$28</f>
        <v/>
      </c>
      <c r="K5678">
        <f>C5678*$J$532+D5678*$F$532+E5678*$G$532+F5678*Assumptions!$B$14+G5678*Assumptions!$B$13+H5678*Assumptions!$B$12+I5678*Assumptions!$B$11+$O$532+$S$532+Assumptions!$B$9</f>
        <v/>
      </c>
      <c r="L5678">
        <f>B5678-J5678</f>
        <v/>
      </c>
      <c r="M5678">
        <f>IF(K5678&gt;0,IF(L5678/K5678&gt;=Assumptions!$B$37,1,0),0)</f>
        <v/>
      </c>
      <c r="N5678">
        <f>K5678+M5678*Assumptions!$B$153</f>
        <v/>
      </c>
      <c r="O5678">
        <f>L5678+M5678*Assumptions!$B$153*Assumptions!$B$37</f>
        <v/>
      </c>
      <c r="P5678">
        <f>IF(N5678&gt;0,O5678/N5678,0)</f>
        <v/>
      </c>
      <c r="Q5678">
        <f>IF(C5678=1,P5678*$J$532,Assumptions!$B$41)</f>
        <v/>
      </c>
      <c r="R5678">
        <f>IF(D5678=1,P5678*$F$532,Assumptions!$B$33)</f>
        <v/>
      </c>
      <c r="S5678">
        <f>IF(E5678=1,P5678*$G$532,Assumptions!$B$32)</f>
        <v/>
      </c>
      <c r="T5678">
        <f>IF(F5678=1,P5678*Assumptions!$B$14,Assumptions!$B$31)</f>
        <v/>
      </c>
      <c r="U5678">
        <f>IF(G5678=1,P5678*Assumptions!$B$13,Assumptions!$B$30)</f>
        <v/>
      </c>
      <c r="V5678">
        <f>IF(H5678=1,P5678*Assumptions!$B$12,Assumptions!$B$29)</f>
        <v/>
      </c>
      <c r="W5678">
        <f>IF(I5678=1,P5678*Assumptions!$B$11,Assumptions!$B$28)</f>
        <v/>
      </c>
      <c r="X5678">
        <f>P5678*($O$532+$S$532)</f>
        <v/>
      </c>
      <c r="Y5678">
        <f>P5678*Assumptions!$B$9</f>
        <v/>
      </c>
      <c r="Z5678">
        <f>IF(M5678=1,(P5678-Assumptions!$B$37)*Assumptions!$B$153,0)</f>
        <v/>
      </c>
      <c r="AA5678">
        <f>Q5678+R5678+S5678+T5678+U5678+V5678+W5678+X5678+Y5678+Z5678</f>
        <v/>
      </c>
      <c r="AB5678" t="n">
        <v>38</v>
      </c>
      <c r="AC5678" t="n">
        <v>102</v>
      </c>
      <c r="AD5678" t="n">
        <v>6</v>
      </c>
      <c r="AE5678" t="n">
        <v>54</v>
      </c>
      <c r="AF5678" t="n">
        <v>46</v>
      </c>
      <c r="AG5678" t="n">
        <v>34</v>
      </c>
      <c r="AH5678" t="n">
        <v>36</v>
      </c>
      <c r="AI5678" t="n">
        <v>39</v>
      </c>
      <c r="AJ5678">
        <f>INDEX($Q$5640:$Q$5767,AC5678+1)</f>
        <v/>
      </c>
      <c r="AK5678">
        <f>INDEX($R$5640:$R$5767,AD5678+1)</f>
        <v/>
      </c>
      <c r="AL5678">
        <f>INDEX($S$5640:$S$5767,AE5678+1)</f>
        <v/>
      </c>
      <c r="AM5678">
        <f>INDEX($T$5640:$T$5767,AF5678+1)</f>
        <v/>
      </c>
      <c r="AN5678">
        <f>INDEX($U$5640:$U$5767,AG5678+1)</f>
        <v/>
      </c>
      <c r="AO5678">
        <f>INDEX($V$5640:$V$5767,AH5678+1)</f>
        <v/>
      </c>
      <c r="AP5678">
        <f>INDEX($W$5640:$W$5767,AI5678+1)</f>
        <v/>
      </c>
      <c r="AQ5678">
        <f>IF(Q5678&gt;=AJ5678-0.01,1,0)</f>
        <v/>
      </c>
      <c r="AR5678">
        <f>IF(R5678&gt;=AK5678-0.01,1,0)</f>
        <v/>
      </c>
      <c r="AS5678">
        <f>IF(S5678&gt;=AL5678-0.01,1,0)</f>
        <v/>
      </c>
      <c r="AT5678">
        <f>IF(T5678&gt;=AM5678-0.01,1,0)</f>
        <v/>
      </c>
      <c r="AU5678">
        <f>IF(U5678&gt;=AN5678-0.01,1,0)</f>
        <v/>
      </c>
      <c r="AV5678">
        <f>IF(V5678&gt;=AO5678-0.01,1,0)</f>
        <v/>
      </c>
      <c r="AW5678">
        <f>IF(W5678&gt;=AP5678-0.01,1,0)</f>
        <v/>
      </c>
      <c r="AX5678">
        <f>AQ5678*AR5678*AS5678*AT5678*AU5678*AV5678*AW5678</f>
        <v/>
      </c>
    </row>
    <row r="5679">
      <c r="A5679" t="inlineStr"/>
      <c r="B5679">
        <f>Assumptions!$B$60</f>
        <v/>
      </c>
      <c r="C5679" t="n">
        <v>0</v>
      </c>
      <c r="D5679" t="n">
        <v>1</v>
      </c>
      <c r="E5679" t="n">
        <v>0</v>
      </c>
      <c r="F5679" t="n">
        <v>0</v>
      </c>
      <c r="G5679" t="n">
        <v>1</v>
      </c>
      <c r="H5679" t="n">
        <v>1</v>
      </c>
      <c r="I5679" t="n">
        <v>1</v>
      </c>
      <c r="J5679">
        <f>(1-C5679)*Assumptions!$B$41+(1-D5679)*Assumptions!$B$33+(1-E5679)*Assumptions!$B$32+(1-F5679)*Assumptions!$B$31+(1-G5679)*Assumptions!$B$30+(1-H5679)*Assumptions!$B$29+(1-I5679)*Assumptions!$B$28</f>
        <v/>
      </c>
      <c r="K5679">
        <f>C5679*$J$532+D5679*$F$532+E5679*$G$532+F5679*Assumptions!$B$14+G5679*Assumptions!$B$13+H5679*Assumptions!$B$12+I5679*Assumptions!$B$11+$O$532+$S$532+Assumptions!$B$9</f>
        <v/>
      </c>
      <c r="L5679">
        <f>B5679-J5679</f>
        <v/>
      </c>
      <c r="M5679">
        <f>IF(K5679&gt;0,IF(L5679/K5679&gt;=Assumptions!$B$37,1,0),0)</f>
        <v/>
      </c>
      <c r="N5679">
        <f>K5679+M5679*Assumptions!$B$153</f>
        <v/>
      </c>
      <c r="O5679">
        <f>L5679+M5679*Assumptions!$B$153*Assumptions!$B$37</f>
        <v/>
      </c>
      <c r="P5679">
        <f>IF(N5679&gt;0,O5679/N5679,0)</f>
        <v/>
      </c>
      <c r="Q5679">
        <f>IF(C5679=1,P5679*$J$532,Assumptions!$B$41)</f>
        <v/>
      </c>
      <c r="R5679">
        <f>IF(D5679=1,P5679*$F$532,Assumptions!$B$33)</f>
        <v/>
      </c>
      <c r="S5679">
        <f>IF(E5679=1,P5679*$G$532,Assumptions!$B$32)</f>
        <v/>
      </c>
      <c r="T5679">
        <f>IF(F5679=1,P5679*Assumptions!$B$14,Assumptions!$B$31)</f>
        <v/>
      </c>
      <c r="U5679">
        <f>IF(G5679=1,P5679*Assumptions!$B$13,Assumptions!$B$30)</f>
        <v/>
      </c>
      <c r="V5679">
        <f>IF(H5679=1,P5679*Assumptions!$B$12,Assumptions!$B$29)</f>
        <v/>
      </c>
      <c r="W5679">
        <f>IF(I5679=1,P5679*Assumptions!$B$11,Assumptions!$B$28)</f>
        <v/>
      </c>
      <c r="X5679">
        <f>P5679*($O$532+$S$532)</f>
        <v/>
      </c>
      <c r="Y5679">
        <f>P5679*Assumptions!$B$9</f>
        <v/>
      </c>
      <c r="Z5679">
        <f>IF(M5679=1,(P5679-Assumptions!$B$37)*Assumptions!$B$153,0)</f>
        <v/>
      </c>
      <c r="AA5679">
        <f>Q5679+R5679+S5679+T5679+U5679+V5679+W5679+X5679+Y5679+Z5679</f>
        <v/>
      </c>
      <c r="AB5679" t="n">
        <v>39</v>
      </c>
      <c r="AC5679" t="n">
        <v>103</v>
      </c>
      <c r="AD5679" t="n">
        <v>7</v>
      </c>
      <c r="AE5679" t="n">
        <v>55</v>
      </c>
      <c r="AF5679" t="n">
        <v>47</v>
      </c>
      <c r="AG5679" t="n">
        <v>35</v>
      </c>
      <c r="AH5679" t="n">
        <v>37</v>
      </c>
      <c r="AI5679" t="n">
        <v>38</v>
      </c>
      <c r="AJ5679">
        <f>INDEX($Q$5640:$Q$5767,AC5679+1)</f>
        <v/>
      </c>
      <c r="AK5679">
        <f>INDEX($R$5640:$R$5767,AD5679+1)</f>
        <v/>
      </c>
      <c r="AL5679">
        <f>INDEX($S$5640:$S$5767,AE5679+1)</f>
        <v/>
      </c>
      <c r="AM5679">
        <f>INDEX($T$5640:$T$5767,AF5679+1)</f>
        <v/>
      </c>
      <c r="AN5679">
        <f>INDEX($U$5640:$U$5767,AG5679+1)</f>
        <v/>
      </c>
      <c r="AO5679">
        <f>INDEX($V$5640:$V$5767,AH5679+1)</f>
        <v/>
      </c>
      <c r="AP5679">
        <f>INDEX($W$5640:$W$5767,AI5679+1)</f>
        <v/>
      </c>
      <c r="AQ5679">
        <f>IF(Q5679&gt;=AJ5679-0.01,1,0)</f>
        <v/>
      </c>
      <c r="AR5679">
        <f>IF(R5679&gt;=AK5679-0.01,1,0)</f>
        <v/>
      </c>
      <c r="AS5679">
        <f>IF(S5679&gt;=AL5679-0.01,1,0)</f>
        <v/>
      </c>
      <c r="AT5679">
        <f>IF(T5679&gt;=AM5679-0.01,1,0)</f>
        <v/>
      </c>
      <c r="AU5679">
        <f>IF(U5679&gt;=AN5679-0.01,1,0)</f>
        <v/>
      </c>
      <c r="AV5679">
        <f>IF(V5679&gt;=AO5679-0.01,1,0)</f>
        <v/>
      </c>
      <c r="AW5679">
        <f>IF(W5679&gt;=AP5679-0.01,1,0)</f>
        <v/>
      </c>
      <c r="AX5679">
        <f>AQ5679*AR5679*AS5679*AT5679*AU5679*AV5679*AW5679</f>
        <v/>
      </c>
    </row>
    <row r="5680">
      <c r="A5680" t="inlineStr"/>
      <c r="B5680">
        <f>Assumptions!$B$60</f>
        <v/>
      </c>
      <c r="C5680" t="n">
        <v>0</v>
      </c>
      <c r="D5680" t="n">
        <v>1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>
        <f>(1-C5680)*Assumptions!$B$41+(1-D5680)*Assumptions!$B$33+(1-E5680)*Assumptions!$B$32+(1-F5680)*Assumptions!$B$31+(1-G5680)*Assumptions!$B$30+(1-H5680)*Assumptions!$B$29+(1-I5680)*Assumptions!$B$28</f>
        <v/>
      </c>
      <c r="K5680">
        <f>C5680*$J$532+D5680*$F$532+E5680*$G$532+F5680*Assumptions!$B$14+G5680*Assumptions!$B$13+H5680*Assumptions!$B$12+I5680*Assumptions!$B$11+$O$532+$S$532+Assumptions!$B$9</f>
        <v/>
      </c>
      <c r="L5680">
        <f>B5680-J5680</f>
        <v/>
      </c>
      <c r="M5680">
        <f>IF(K5680&gt;0,IF(L5680/K5680&gt;=Assumptions!$B$37,1,0),0)</f>
        <v/>
      </c>
      <c r="N5680">
        <f>K5680+M5680*Assumptions!$B$153</f>
        <v/>
      </c>
      <c r="O5680">
        <f>L5680+M5680*Assumptions!$B$153*Assumptions!$B$37</f>
        <v/>
      </c>
      <c r="P5680">
        <f>IF(N5680&gt;0,O5680/N5680,0)</f>
        <v/>
      </c>
      <c r="Q5680">
        <f>IF(C5680=1,P5680*$J$532,Assumptions!$B$41)</f>
        <v/>
      </c>
      <c r="R5680">
        <f>IF(D5680=1,P5680*$F$532,Assumptions!$B$33)</f>
        <v/>
      </c>
      <c r="S5680">
        <f>IF(E5680=1,P5680*$G$532,Assumptions!$B$32)</f>
        <v/>
      </c>
      <c r="T5680">
        <f>IF(F5680=1,P5680*Assumptions!$B$14,Assumptions!$B$31)</f>
        <v/>
      </c>
      <c r="U5680">
        <f>IF(G5680=1,P5680*Assumptions!$B$13,Assumptions!$B$30)</f>
        <v/>
      </c>
      <c r="V5680">
        <f>IF(H5680=1,P5680*Assumptions!$B$12,Assumptions!$B$29)</f>
        <v/>
      </c>
      <c r="W5680">
        <f>IF(I5680=1,P5680*Assumptions!$B$11,Assumptions!$B$28)</f>
        <v/>
      </c>
      <c r="X5680">
        <f>P5680*($O$532+$S$532)</f>
        <v/>
      </c>
      <c r="Y5680">
        <f>P5680*Assumptions!$B$9</f>
        <v/>
      </c>
      <c r="Z5680">
        <f>IF(M5680=1,(P5680-Assumptions!$B$37)*Assumptions!$B$153,0)</f>
        <v/>
      </c>
      <c r="AA5680">
        <f>Q5680+R5680+S5680+T5680+U5680+V5680+W5680+X5680+Y5680+Z5680</f>
        <v/>
      </c>
      <c r="AB5680" t="n">
        <v>40</v>
      </c>
      <c r="AC5680" t="n">
        <v>104</v>
      </c>
      <c r="AD5680" t="n">
        <v>8</v>
      </c>
      <c r="AE5680" t="n">
        <v>56</v>
      </c>
      <c r="AF5680" t="n">
        <v>32</v>
      </c>
      <c r="AG5680" t="n">
        <v>44</v>
      </c>
      <c r="AH5680" t="n">
        <v>42</v>
      </c>
      <c r="AI5680" t="n">
        <v>41</v>
      </c>
      <c r="AJ5680">
        <f>INDEX($Q$5640:$Q$5767,AC5680+1)</f>
        <v/>
      </c>
      <c r="AK5680">
        <f>INDEX($R$5640:$R$5767,AD5680+1)</f>
        <v/>
      </c>
      <c r="AL5680">
        <f>INDEX($S$5640:$S$5767,AE5680+1)</f>
        <v/>
      </c>
      <c r="AM5680">
        <f>INDEX($T$5640:$T$5767,AF5680+1)</f>
        <v/>
      </c>
      <c r="AN5680">
        <f>INDEX($U$5640:$U$5767,AG5680+1)</f>
        <v/>
      </c>
      <c r="AO5680">
        <f>INDEX($V$5640:$V$5767,AH5680+1)</f>
        <v/>
      </c>
      <c r="AP5680">
        <f>INDEX($W$5640:$W$5767,AI5680+1)</f>
        <v/>
      </c>
      <c r="AQ5680">
        <f>IF(Q5680&gt;=AJ5680-0.01,1,0)</f>
        <v/>
      </c>
      <c r="AR5680">
        <f>IF(R5680&gt;=AK5680-0.01,1,0)</f>
        <v/>
      </c>
      <c r="AS5680">
        <f>IF(S5680&gt;=AL5680-0.01,1,0)</f>
        <v/>
      </c>
      <c r="AT5680">
        <f>IF(T5680&gt;=AM5680-0.01,1,0)</f>
        <v/>
      </c>
      <c r="AU5680">
        <f>IF(U5680&gt;=AN5680-0.01,1,0)</f>
        <v/>
      </c>
      <c r="AV5680">
        <f>IF(V5680&gt;=AO5680-0.01,1,0)</f>
        <v/>
      </c>
      <c r="AW5680">
        <f>IF(W5680&gt;=AP5680-0.01,1,0)</f>
        <v/>
      </c>
      <c r="AX5680">
        <f>AQ5680*AR5680*AS5680*AT5680*AU5680*AV5680*AW5680</f>
        <v/>
      </c>
    </row>
    <row r="5681">
      <c r="A5681" t="inlineStr"/>
      <c r="B5681">
        <f>Assumptions!$B$60</f>
        <v/>
      </c>
      <c r="C5681" t="n">
        <v>0</v>
      </c>
      <c r="D5681" t="n">
        <v>1</v>
      </c>
      <c r="E5681" t="n">
        <v>0</v>
      </c>
      <c r="F5681" t="n">
        <v>1</v>
      </c>
      <c r="G5681" t="n">
        <v>0</v>
      </c>
      <c r="H5681" t="n">
        <v>0</v>
      </c>
      <c r="I5681" t="n">
        <v>1</v>
      </c>
      <c r="J5681">
        <f>(1-C5681)*Assumptions!$B$41+(1-D5681)*Assumptions!$B$33+(1-E5681)*Assumptions!$B$32+(1-F5681)*Assumptions!$B$31+(1-G5681)*Assumptions!$B$30+(1-H5681)*Assumptions!$B$29+(1-I5681)*Assumptions!$B$28</f>
        <v/>
      </c>
      <c r="K5681">
        <f>C5681*$J$532+D5681*$F$532+E5681*$G$532+F5681*Assumptions!$B$14+G5681*Assumptions!$B$13+H5681*Assumptions!$B$12+I5681*Assumptions!$B$11+$O$532+$S$532+Assumptions!$B$9</f>
        <v/>
      </c>
      <c r="L5681">
        <f>B5681-J5681</f>
        <v/>
      </c>
      <c r="M5681">
        <f>IF(K5681&gt;0,IF(L5681/K5681&gt;=Assumptions!$B$37,1,0),0)</f>
        <v/>
      </c>
      <c r="N5681">
        <f>K5681+M5681*Assumptions!$B$153</f>
        <v/>
      </c>
      <c r="O5681">
        <f>L5681+M5681*Assumptions!$B$153*Assumptions!$B$37</f>
        <v/>
      </c>
      <c r="P5681">
        <f>IF(N5681&gt;0,O5681/N5681,0)</f>
        <v/>
      </c>
      <c r="Q5681">
        <f>IF(C5681=1,P5681*$J$532,Assumptions!$B$41)</f>
        <v/>
      </c>
      <c r="R5681">
        <f>IF(D5681=1,P5681*$F$532,Assumptions!$B$33)</f>
        <v/>
      </c>
      <c r="S5681">
        <f>IF(E5681=1,P5681*$G$532,Assumptions!$B$32)</f>
        <v/>
      </c>
      <c r="T5681">
        <f>IF(F5681=1,P5681*Assumptions!$B$14,Assumptions!$B$31)</f>
        <v/>
      </c>
      <c r="U5681">
        <f>IF(G5681=1,P5681*Assumptions!$B$13,Assumptions!$B$30)</f>
        <v/>
      </c>
      <c r="V5681">
        <f>IF(H5681=1,P5681*Assumptions!$B$12,Assumptions!$B$29)</f>
        <v/>
      </c>
      <c r="W5681">
        <f>IF(I5681=1,P5681*Assumptions!$B$11,Assumptions!$B$28)</f>
        <v/>
      </c>
      <c r="X5681">
        <f>P5681*($O$532+$S$532)</f>
        <v/>
      </c>
      <c r="Y5681">
        <f>P5681*Assumptions!$B$9</f>
        <v/>
      </c>
      <c r="Z5681">
        <f>IF(M5681=1,(P5681-Assumptions!$B$37)*Assumptions!$B$153,0)</f>
        <v/>
      </c>
      <c r="AA5681">
        <f>Q5681+R5681+S5681+T5681+U5681+V5681+W5681+X5681+Y5681+Z5681</f>
        <v/>
      </c>
      <c r="AB5681" t="n">
        <v>41</v>
      </c>
      <c r="AC5681" t="n">
        <v>105</v>
      </c>
      <c r="AD5681" t="n">
        <v>9</v>
      </c>
      <c r="AE5681" t="n">
        <v>57</v>
      </c>
      <c r="AF5681" t="n">
        <v>33</v>
      </c>
      <c r="AG5681" t="n">
        <v>45</v>
      </c>
      <c r="AH5681" t="n">
        <v>43</v>
      </c>
      <c r="AI5681" t="n">
        <v>40</v>
      </c>
      <c r="AJ5681">
        <f>INDEX($Q$5640:$Q$5767,AC5681+1)</f>
        <v/>
      </c>
      <c r="AK5681">
        <f>INDEX($R$5640:$R$5767,AD5681+1)</f>
        <v/>
      </c>
      <c r="AL5681">
        <f>INDEX($S$5640:$S$5767,AE5681+1)</f>
        <v/>
      </c>
      <c r="AM5681">
        <f>INDEX($T$5640:$T$5767,AF5681+1)</f>
        <v/>
      </c>
      <c r="AN5681">
        <f>INDEX($U$5640:$U$5767,AG5681+1)</f>
        <v/>
      </c>
      <c r="AO5681">
        <f>INDEX($V$5640:$V$5767,AH5681+1)</f>
        <v/>
      </c>
      <c r="AP5681">
        <f>INDEX($W$5640:$W$5767,AI5681+1)</f>
        <v/>
      </c>
      <c r="AQ5681">
        <f>IF(Q5681&gt;=AJ5681-0.01,1,0)</f>
        <v/>
      </c>
      <c r="AR5681">
        <f>IF(R5681&gt;=AK5681-0.01,1,0)</f>
        <v/>
      </c>
      <c r="AS5681">
        <f>IF(S5681&gt;=AL5681-0.01,1,0)</f>
        <v/>
      </c>
      <c r="AT5681">
        <f>IF(T5681&gt;=AM5681-0.01,1,0)</f>
        <v/>
      </c>
      <c r="AU5681">
        <f>IF(U5681&gt;=AN5681-0.01,1,0)</f>
        <v/>
      </c>
      <c r="AV5681">
        <f>IF(V5681&gt;=AO5681-0.01,1,0)</f>
        <v/>
      </c>
      <c r="AW5681">
        <f>IF(W5681&gt;=AP5681-0.01,1,0)</f>
        <v/>
      </c>
      <c r="AX5681">
        <f>AQ5681*AR5681*AS5681*AT5681*AU5681*AV5681*AW5681</f>
        <v/>
      </c>
    </row>
    <row r="5682">
      <c r="A5682" t="inlineStr"/>
      <c r="B5682">
        <f>Assumptions!$B$60</f>
        <v/>
      </c>
      <c r="C5682" t="n">
        <v>0</v>
      </c>
      <c r="D5682" t="n">
        <v>1</v>
      </c>
      <c r="E5682" t="n">
        <v>0</v>
      </c>
      <c r="F5682" t="n">
        <v>1</v>
      </c>
      <c r="G5682" t="n">
        <v>0</v>
      </c>
      <c r="H5682" t="n">
        <v>1</v>
      </c>
      <c r="I5682" t="n">
        <v>0</v>
      </c>
      <c r="J5682">
        <f>(1-C5682)*Assumptions!$B$41+(1-D5682)*Assumptions!$B$33+(1-E5682)*Assumptions!$B$32+(1-F5682)*Assumptions!$B$31+(1-G5682)*Assumptions!$B$30+(1-H5682)*Assumptions!$B$29+(1-I5682)*Assumptions!$B$28</f>
        <v/>
      </c>
      <c r="K5682">
        <f>C5682*$J$532+D5682*$F$532+E5682*$G$532+F5682*Assumptions!$B$14+G5682*Assumptions!$B$13+H5682*Assumptions!$B$12+I5682*Assumptions!$B$11+$O$532+$S$532+Assumptions!$B$9</f>
        <v/>
      </c>
      <c r="L5682">
        <f>B5682-J5682</f>
        <v/>
      </c>
      <c r="M5682">
        <f>IF(K5682&gt;0,IF(L5682/K5682&gt;=Assumptions!$B$37,1,0),0)</f>
        <v/>
      </c>
      <c r="N5682">
        <f>K5682+M5682*Assumptions!$B$153</f>
        <v/>
      </c>
      <c r="O5682">
        <f>L5682+M5682*Assumptions!$B$153*Assumptions!$B$37</f>
        <v/>
      </c>
      <c r="P5682">
        <f>IF(N5682&gt;0,O5682/N5682,0)</f>
        <v/>
      </c>
      <c r="Q5682">
        <f>IF(C5682=1,P5682*$J$532,Assumptions!$B$41)</f>
        <v/>
      </c>
      <c r="R5682">
        <f>IF(D5682=1,P5682*$F$532,Assumptions!$B$33)</f>
        <v/>
      </c>
      <c r="S5682">
        <f>IF(E5682=1,P5682*$G$532,Assumptions!$B$32)</f>
        <v/>
      </c>
      <c r="T5682">
        <f>IF(F5682=1,P5682*Assumptions!$B$14,Assumptions!$B$31)</f>
        <v/>
      </c>
      <c r="U5682">
        <f>IF(G5682=1,P5682*Assumptions!$B$13,Assumptions!$B$30)</f>
        <v/>
      </c>
      <c r="V5682">
        <f>IF(H5682=1,P5682*Assumptions!$B$12,Assumptions!$B$29)</f>
        <v/>
      </c>
      <c r="W5682">
        <f>IF(I5682=1,P5682*Assumptions!$B$11,Assumptions!$B$28)</f>
        <v/>
      </c>
      <c r="X5682">
        <f>P5682*($O$532+$S$532)</f>
        <v/>
      </c>
      <c r="Y5682">
        <f>P5682*Assumptions!$B$9</f>
        <v/>
      </c>
      <c r="Z5682">
        <f>IF(M5682=1,(P5682-Assumptions!$B$37)*Assumptions!$B$153,0)</f>
        <v/>
      </c>
      <c r="AA5682">
        <f>Q5682+R5682+S5682+T5682+U5682+V5682+W5682+X5682+Y5682+Z5682</f>
        <v/>
      </c>
      <c r="AB5682" t="n">
        <v>42</v>
      </c>
      <c r="AC5682" t="n">
        <v>106</v>
      </c>
      <c r="AD5682" t="n">
        <v>10</v>
      </c>
      <c r="AE5682" t="n">
        <v>58</v>
      </c>
      <c r="AF5682" t="n">
        <v>34</v>
      </c>
      <c r="AG5682" t="n">
        <v>46</v>
      </c>
      <c r="AH5682" t="n">
        <v>40</v>
      </c>
      <c r="AI5682" t="n">
        <v>43</v>
      </c>
      <c r="AJ5682">
        <f>INDEX($Q$5640:$Q$5767,AC5682+1)</f>
        <v/>
      </c>
      <c r="AK5682">
        <f>INDEX($R$5640:$R$5767,AD5682+1)</f>
        <v/>
      </c>
      <c r="AL5682">
        <f>INDEX($S$5640:$S$5767,AE5682+1)</f>
        <v/>
      </c>
      <c r="AM5682">
        <f>INDEX($T$5640:$T$5767,AF5682+1)</f>
        <v/>
      </c>
      <c r="AN5682">
        <f>INDEX($U$5640:$U$5767,AG5682+1)</f>
        <v/>
      </c>
      <c r="AO5682">
        <f>INDEX($V$5640:$V$5767,AH5682+1)</f>
        <v/>
      </c>
      <c r="AP5682">
        <f>INDEX($W$5640:$W$5767,AI5682+1)</f>
        <v/>
      </c>
      <c r="AQ5682">
        <f>IF(Q5682&gt;=AJ5682-0.01,1,0)</f>
        <v/>
      </c>
      <c r="AR5682">
        <f>IF(R5682&gt;=AK5682-0.01,1,0)</f>
        <v/>
      </c>
      <c r="AS5682">
        <f>IF(S5682&gt;=AL5682-0.01,1,0)</f>
        <v/>
      </c>
      <c r="AT5682">
        <f>IF(T5682&gt;=AM5682-0.01,1,0)</f>
        <v/>
      </c>
      <c r="AU5682">
        <f>IF(U5682&gt;=AN5682-0.01,1,0)</f>
        <v/>
      </c>
      <c r="AV5682">
        <f>IF(V5682&gt;=AO5682-0.01,1,0)</f>
        <v/>
      </c>
      <c r="AW5682">
        <f>IF(W5682&gt;=AP5682-0.01,1,0)</f>
        <v/>
      </c>
      <c r="AX5682">
        <f>AQ5682*AR5682*AS5682*AT5682*AU5682*AV5682*AW5682</f>
        <v/>
      </c>
    </row>
    <row r="5683">
      <c r="A5683" t="inlineStr"/>
      <c r="B5683">
        <f>Assumptions!$B$60</f>
        <v/>
      </c>
      <c r="C5683" t="n">
        <v>0</v>
      </c>
      <c r="D5683" t="n">
        <v>1</v>
      </c>
      <c r="E5683" t="n">
        <v>0</v>
      </c>
      <c r="F5683" t="n">
        <v>1</v>
      </c>
      <c r="G5683" t="n">
        <v>0</v>
      </c>
      <c r="H5683" t="n">
        <v>1</v>
      </c>
      <c r="I5683" t="n">
        <v>1</v>
      </c>
      <c r="J5683">
        <f>(1-C5683)*Assumptions!$B$41+(1-D5683)*Assumptions!$B$33+(1-E5683)*Assumptions!$B$32+(1-F5683)*Assumptions!$B$31+(1-G5683)*Assumptions!$B$30+(1-H5683)*Assumptions!$B$29+(1-I5683)*Assumptions!$B$28</f>
        <v/>
      </c>
      <c r="K5683">
        <f>C5683*$J$532+D5683*$F$532+E5683*$G$532+F5683*Assumptions!$B$14+G5683*Assumptions!$B$13+H5683*Assumptions!$B$12+I5683*Assumptions!$B$11+$O$532+$S$532+Assumptions!$B$9</f>
        <v/>
      </c>
      <c r="L5683">
        <f>B5683-J5683</f>
        <v/>
      </c>
      <c r="M5683">
        <f>IF(K5683&gt;0,IF(L5683/K5683&gt;=Assumptions!$B$37,1,0),0)</f>
        <v/>
      </c>
      <c r="N5683">
        <f>K5683+M5683*Assumptions!$B$153</f>
        <v/>
      </c>
      <c r="O5683">
        <f>L5683+M5683*Assumptions!$B$153*Assumptions!$B$37</f>
        <v/>
      </c>
      <c r="P5683">
        <f>IF(N5683&gt;0,O5683/N5683,0)</f>
        <v/>
      </c>
      <c r="Q5683">
        <f>IF(C5683=1,P5683*$J$532,Assumptions!$B$41)</f>
        <v/>
      </c>
      <c r="R5683">
        <f>IF(D5683=1,P5683*$F$532,Assumptions!$B$33)</f>
        <v/>
      </c>
      <c r="S5683">
        <f>IF(E5683=1,P5683*$G$532,Assumptions!$B$32)</f>
        <v/>
      </c>
      <c r="T5683">
        <f>IF(F5683=1,P5683*Assumptions!$B$14,Assumptions!$B$31)</f>
        <v/>
      </c>
      <c r="U5683">
        <f>IF(G5683=1,P5683*Assumptions!$B$13,Assumptions!$B$30)</f>
        <v/>
      </c>
      <c r="V5683">
        <f>IF(H5683=1,P5683*Assumptions!$B$12,Assumptions!$B$29)</f>
        <v/>
      </c>
      <c r="W5683">
        <f>IF(I5683=1,P5683*Assumptions!$B$11,Assumptions!$B$28)</f>
        <v/>
      </c>
      <c r="X5683">
        <f>P5683*($O$532+$S$532)</f>
        <v/>
      </c>
      <c r="Y5683">
        <f>P5683*Assumptions!$B$9</f>
        <v/>
      </c>
      <c r="Z5683">
        <f>IF(M5683=1,(P5683-Assumptions!$B$37)*Assumptions!$B$153,0)</f>
        <v/>
      </c>
      <c r="AA5683">
        <f>Q5683+R5683+S5683+T5683+U5683+V5683+W5683+X5683+Y5683+Z5683</f>
        <v/>
      </c>
      <c r="AB5683" t="n">
        <v>43</v>
      </c>
      <c r="AC5683" t="n">
        <v>107</v>
      </c>
      <c r="AD5683" t="n">
        <v>11</v>
      </c>
      <c r="AE5683" t="n">
        <v>59</v>
      </c>
      <c r="AF5683" t="n">
        <v>35</v>
      </c>
      <c r="AG5683" t="n">
        <v>47</v>
      </c>
      <c r="AH5683" t="n">
        <v>41</v>
      </c>
      <c r="AI5683" t="n">
        <v>42</v>
      </c>
      <c r="AJ5683">
        <f>INDEX($Q$5640:$Q$5767,AC5683+1)</f>
        <v/>
      </c>
      <c r="AK5683">
        <f>INDEX($R$5640:$R$5767,AD5683+1)</f>
        <v/>
      </c>
      <c r="AL5683">
        <f>INDEX($S$5640:$S$5767,AE5683+1)</f>
        <v/>
      </c>
      <c r="AM5683">
        <f>INDEX($T$5640:$T$5767,AF5683+1)</f>
        <v/>
      </c>
      <c r="AN5683">
        <f>INDEX($U$5640:$U$5767,AG5683+1)</f>
        <v/>
      </c>
      <c r="AO5683">
        <f>INDEX($V$5640:$V$5767,AH5683+1)</f>
        <v/>
      </c>
      <c r="AP5683">
        <f>INDEX($W$5640:$W$5767,AI5683+1)</f>
        <v/>
      </c>
      <c r="AQ5683">
        <f>IF(Q5683&gt;=AJ5683-0.01,1,0)</f>
        <v/>
      </c>
      <c r="AR5683">
        <f>IF(R5683&gt;=AK5683-0.01,1,0)</f>
        <v/>
      </c>
      <c r="AS5683">
        <f>IF(S5683&gt;=AL5683-0.01,1,0)</f>
        <v/>
      </c>
      <c r="AT5683">
        <f>IF(T5683&gt;=AM5683-0.01,1,0)</f>
        <v/>
      </c>
      <c r="AU5683">
        <f>IF(U5683&gt;=AN5683-0.01,1,0)</f>
        <v/>
      </c>
      <c r="AV5683">
        <f>IF(V5683&gt;=AO5683-0.01,1,0)</f>
        <v/>
      </c>
      <c r="AW5683">
        <f>IF(W5683&gt;=AP5683-0.01,1,0)</f>
        <v/>
      </c>
      <c r="AX5683">
        <f>AQ5683*AR5683*AS5683*AT5683*AU5683*AV5683*AW5683</f>
        <v/>
      </c>
    </row>
    <row r="5684">
      <c r="A5684" t="inlineStr"/>
      <c r="B5684">
        <f>Assumptions!$B$60</f>
        <v/>
      </c>
      <c r="C5684" t="n">
        <v>0</v>
      </c>
      <c r="D5684" t="n">
        <v>1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>
        <f>(1-C5684)*Assumptions!$B$41+(1-D5684)*Assumptions!$B$33+(1-E5684)*Assumptions!$B$32+(1-F5684)*Assumptions!$B$31+(1-G5684)*Assumptions!$B$30+(1-H5684)*Assumptions!$B$29+(1-I5684)*Assumptions!$B$28</f>
        <v/>
      </c>
      <c r="K5684">
        <f>C5684*$J$532+D5684*$F$532+E5684*$G$532+F5684*Assumptions!$B$14+G5684*Assumptions!$B$13+H5684*Assumptions!$B$12+I5684*Assumptions!$B$11+$O$532+$S$532+Assumptions!$B$9</f>
        <v/>
      </c>
      <c r="L5684">
        <f>B5684-J5684</f>
        <v/>
      </c>
      <c r="M5684">
        <f>IF(K5684&gt;0,IF(L5684/K5684&gt;=Assumptions!$B$37,1,0),0)</f>
        <v/>
      </c>
      <c r="N5684">
        <f>K5684+M5684*Assumptions!$B$153</f>
        <v/>
      </c>
      <c r="O5684">
        <f>L5684+M5684*Assumptions!$B$153*Assumptions!$B$37</f>
        <v/>
      </c>
      <c r="P5684">
        <f>IF(N5684&gt;0,O5684/N5684,0)</f>
        <v/>
      </c>
      <c r="Q5684">
        <f>IF(C5684=1,P5684*$J$532,Assumptions!$B$41)</f>
        <v/>
      </c>
      <c r="R5684">
        <f>IF(D5684=1,P5684*$F$532,Assumptions!$B$33)</f>
        <v/>
      </c>
      <c r="S5684">
        <f>IF(E5684=1,P5684*$G$532,Assumptions!$B$32)</f>
        <v/>
      </c>
      <c r="T5684">
        <f>IF(F5684=1,P5684*Assumptions!$B$14,Assumptions!$B$31)</f>
        <v/>
      </c>
      <c r="U5684">
        <f>IF(G5684=1,P5684*Assumptions!$B$13,Assumptions!$B$30)</f>
        <v/>
      </c>
      <c r="V5684">
        <f>IF(H5684=1,P5684*Assumptions!$B$12,Assumptions!$B$29)</f>
        <v/>
      </c>
      <c r="W5684">
        <f>IF(I5684=1,P5684*Assumptions!$B$11,Assumptions!$B$28)</f>
        <v/>
      </c>
      <c r="X5684">
        <f>P5684*($O$532+$S$532)</f>
        <v/>
      </c>
      <c r="Y5684">
        <f>P5684*Assumptions!$B$9</f>
        <v/>
      </c>
      <c r="Z5684">
        <f>IF(M5684=1,(P5684-Assumptions!$B$37)*Assumptions!$B$153,0)</f>
        <v/>
      </c>
      <c r="AA5684">
        <f>Q5684+R5684+S5684+T5684+U5684+V5684+W5684+X5684+Y5684+Z5684</f>
        <v/>
      </c>
      <c r="AB5684" t="n">
        <v>44</v>
      </c>
      <c r="AC5684" t="n">
        <v>108</v>
      </c>
      <c r="AD5684" t="n">
        <v>12</v>
      </c>
      <c r="AE5684" t="n">
        <v>60</v>
      </c>
      <c r="AF5684" t="n">
        <v>36</v>
      </c>
      <c r="AG5684" t="n">
        <v>40</v>
      </c>
      <c r="AH5684" t="n">
        <v>46</v>
      </c>
      <c r="AI5684" t="n">
        <v>45</v>
      </c>
      <c r="AJ5684">
        <f>INDEX($Q$5640:$Q$5767,AC5684+1)</f>
        <v/>
      </c>
      <c r="AK5684">
        <f>INDEX($R$5640:$R$5767,AD5684+1)</f>
        <v/>
      </c>
      <c r="AL5684">
        <f>INDEX($S$5640:$S$5767,AE5684+1)</f>
        <v/>
      </c>
      <c r="AM5684">
        <f>INDEX($T$5640:$T$5767,AF5684+1)</f>
        <v/>
      </c>
      <c r="AN5684">
        <f>INDEX($U$5640:$U$5767,AG5684+1)</f>
        <v/>
      </c>
      <c r="AO5684">
        <f>INDEX($V$5640:$V$5767,AH5684+1)</f>
        <v/>
      </c>
      <c r="AP5684">
        <f>INDEX($W$5640:$W$5767,AI5684+1)</f>
        <v/>
      </c>
      <c r="AQ5684">
        <f>IF(Q5684&gt;=AJ5684-0.01,1,0)</f>
        <v/>
      </c>
      <c r="AR5684">
        <f>IF(R5684&gt;=AK5684-0.01,1,0)</f>
        <v/>
      </c>
      <c r="AS5684">
        <f>IF(S5684&gt;=AL5684-0.01,1,0)</f>
        <v/>
      </c>
      <c r="AT5684">
        <f>IF(T5684&gt;=AM5684-0.01,1,0)</f>
        <v/>
      </c>
      <c r="AU5684">
        <f>IF(U5684&gt;=AN5684-0.01,1,0)</f>
        <v/>
      </c>
      <c r="AV5684">
        <f>IF(V5684&gt;=AO5684-0.01,1,0)</f>
        <v/>
      </c>
      <c r="AW5684">
        <f>IF(W5684&gt;=AP5684-0.01,1,0)</f>
        <v/>
      </c>
      <c r="AX5684">
        <f>AQ5684*AR5684*AS5684*AT5684*AU5684*AV5684*AW5684</f>
        <v/>
      </c>
    </row>
    <row r="5685">
      <c r="A5685" t="inlineStr"/>
      <c r="B5685">
        <f>Assumptions!$B$60</f>
        <v/>
      </c>
      <c r="C5685" t="n">
        <v>0</v>
      </c>
      <c r="D5685" t="n">
        <v>1</v>
      </c>
      <c r="E5685" t="n">
        <v>0</v>
      </c>
      <c r="F5685" t="n">
        <v>1</v>
      </c>
      <c r="G5685" t="n">
        <v>1</v>
      </c>
      <c r="H5685" t="n">
        <v>0</v>
      </c>
      <c r="I5685" t="n">
        <v>1</v>
      </c>
      <c r="J5685">
        <f>(1-C5685)*Assumptions!$B$41+(1-D5685)*Assumptions!$B$33+(1-E5685)*Assumptions!$B$32+(1-F5685)*Assumptions!$B$31+(1-G5685)*Assumptions!$B$30+(1-H5685)*Assumptions!$B$29+(1-I5685)*Assumptions!$B$28</f>
        <v/>
      </c>
      <c r="K5685">
        <f>C5685*$J$532+D5685*$F$532+E5685*$G$532+F5685*Assumptions!$B$14+G5685*Assumptions!$B$13+H5685*Assumptions!$B$12+I5685*Assumptions!$B$11+$O$532+$S$532+Assumptions!$B$9</f>
        <v/>
      </c>
      <c r="L5685">
        <f>B5685-J5685</f>
        <v/>
      </c>
      <c r="M5685">
        <f>IF(K5685&gt;0,IF(L5685/K5685&gt;=Assumptions!$B$37,1,0),0)</f>
        <v/>
      </c>
      <c r="N5685">
        <f>K5685+M5685*Assumptions!$B$153</f>
        <v/>
      </c>
      <c r="O5685">
        <f>L5685+M5685*Assumptions!$B$153*Assumptions!$B$37</f>
        <v/>
      </c>
      <c r="P5685">
        <f>IF(N5685&gt;0,O5685/N5685,0)</f>
        <v/>
      </c>
      <c r="Q5685">
        <f>IF(C5685=1,P5685*$J$532,Assumptions!$B$41)</f>
        <v/>
      </c>
      <c r="R5685">
        <f>IF(D5685=1,P5685*$F$532,Assumptions!$B$33)</f>
        <v/>
      </c>
      <c r="S5685">
        <f>IF(E5685=1,P5685*$G$532,Assumptions!$B$32)</f>
        <v/>
      </c>
      <c r="T5685">
        <f>IF(F5685=1,P5685*Assumptions!$B$14,Assumptions!$B$31)</f>
        <v/>
      </c>
      <c r="U5685">
        <f>IF(G5685=1,P5685*Assumptions!$B$13,Assumptions!$B$30)</f>
        <v/>
      </c>
      <c r="V5685">
        <f>IF(H5685=1,P5685*Assumptions!$B$12,Assumptions!$B$29)</f>
        <v/>
      </c>
      <c r="W5685">
        <f>IF(I5685=1,P5685*Assumptions!$B$11,Assumptions!$B$28)</f>
        <v/>
      </c>
      <c r="X5685">
        <f>P5685*($O$532+$S$532)</f>
        <v/>
      </c>
      <c r="Y5685">
        <f>P5685*Assumptions!$B$9</f>
        <v/>
      </c>
      <c r="Z5685">
        <f>IF(M5685=1,(P5685-Assumptions!$B$37)*Assumptions!$B$153,0)</f>
        <v/>
      </c>
      <c r="AA5685">
        <f>Q5685+R5685+S5685+T5685+U5685+V5685+W5685+X5685+Y5685+Z5685</f>
        <v/>
      </c>
      <c r="AB5685" t="n">
        <v>45</v>
      </c>
      <c r="AC5685" t="n">
        <v>109</v>
      </c>
      <c r="AD5685" t="n">
        <v>13</v>
      </c>
      <c r="AE5685" t="n">
        <v>61</v>
      </c>
      <c r="AF5685" t="n">
        <v>37</v>
      </c>
      <c r="AG5685" t="n">
        <v>41</v>
      </c>
      <c r="AH5685" t="n">
        <v>47</v>
      </c>
      <c r="AI5685" t="n">
        <v>44</v>
      </c>
      <c r="AJ5685">
        <f>INDEX($Q$5640:$Q$5767,AC5685+1)</f>
        <v/>
      </c>
      <c r="AK5685">
        <f>INDEX($R$5640:$R$5767,AD5685+1)</f>
        <v/>
      </c>
      <c r="AL5685">
        <f>INDEX($S$5640:$S$5767,AE5685+1)</f>
        <v/>
      </c>
      <c r="AM5685">
        <f>INDEX($T$5640:$T$5767,AF5685+1)</f>
        <v/>
      </c>
      <c r="AN5685">
        <f>INDEX($U$5640:$U$5767,AG5685+1)</f>
        <v/>
      </c>
      <c r="AO5685">
        <f>INDEX($V$5640:$V$5767,AH5685+1)</f>
        <v/>
      </c>
      <c r="AP5685">
        <f>INDEX($W$5640:$W$5767,AI5685+1)</f>
        <v/>
      </c>
      <c r="AQ5685">
        <f>IF(Q5685&gt;=AJ5685-0.01,1,0)</f>
        <v/>
      </c>
      <c r="AR5685">
        <f>IF(R5685&gt;=AK5685-0.01,1,0)</f>
        <v/>
      </c>
      <c r="AS5685">
        <f>IF(S5685&gt;=AL5685-0.01,1,0)</f>
        <v/>
      </c>
      <c r="AT5685">
        <f>IF(T5685&gt;=AM5685-0.01,1,0)</f>
        <v/>
      </c>
      <c r="AU5685">
        <f>IF(U5685&gt;=AN5685-0.01,1,0)</f>
        <v/>
      </c>
      <c r="AV5685">
        <f>IF(V5685&gt;=AO5685-0.01,1,0)</f>
        <v/>
      </c>
      <c r="AW5685">
        <f>IF(W5685&gt;=AP5685-0.01,1,0)</f>
        <v/>
      </c>
      <c r="AX5685">
        <f>AQ5685*AR5685*AS5685*AT5685*AU5685*AV5685*AW5685</f>
        <v/>
      </c>
    </row>
    <row r="5686">
      <c r="A5686" t="inlineStr"/>
      <c r="B5686">
        <f>Assumptions!$B$60</f>
        <v/>
      </c>
      <c r="C5686" t="n">
        <v>0</v>
      </c>
      <c r="D5686" t="n">
        <v>1</v>
      </c>
      <c r="E5686" t="n">
        <v>0</v>
      </c>
      <c r="F5686" t="n">
        <v>1</v>
      </c>
      <c r="G5686" t="n">
        <v>1</v>
      </c>
      <c r="H5686" t="n">
        <v>1</v>
      </c>
      <c r="I5686" t="n">
        <v>0</v>
      </c>
      <c r="J5686">
        <f>(1-C5686)*Assumptions!$B$41+(1-D5686)*Assumptions!$B$33+(1-E5686)*Assumptions!$B$32+(1-F5686)*Assumptions!$B$31+(1-G5686)*Assumptions!$B$30+(1-H5686)*Assumptions!$B$29+(1-I5686)*Assumptions!$B$28</f>
        <v/>
      </c>
      <c r="K5686">
        <f>C5686*$J$532+D5686*$F$532+E5686*$G$532+F5686*Assumptions!$B$14+G5686*Assumptions!$B$13+H5686*Assumptions!$B$12+I5686*Assumptions!$B$11+$O$532+$S$532+Assumptions!$B$9</f>
        <v/>
      </c>
      <c r="L5686">
        <f>B5686-J5686</f>
        <v/>
      </c>
      <c r="M5686">
        <f>IF(K5686&gt;0,IF(L5686/K5686&gt;=Assumptions!$B$37,1,0),0)</f>
        <v/>
      </c>
      <c r="N5686">
        <f>K5686+M5686*Assumptions!$B$153</f>
        <v/>
      </c>
      <c r="O5686">
        <f>L5686+M5686*Assumptions!$B$153*Assumptions!$B$37</f>
        <v/>
      </c>
      <c r="P5686">
        <f>IF(N5686&gt;0,O5686/N5686,0)</f>
        <v/>
      </c>
      <c r="Q5686">
        <f>IF(C5686=1,P5686*$J$532,Assumptions!$B$41)</f>
        <v/>
      </c>
      <c r="R5686">
        <f>IF(D5686=1,P5686*$F$532,Assumptions!$B$33)</f>
        <v/>
      </c>
      <c r="S5686">
        <f>IF(E5686=1,P5686*$G$532,Assumptions!$B$32)</f>
        <v/>
      </c>
      <c r="T5686">
        <f>IF(F5686=1,P5686*Assumptions!$B$14,Assumptions!$B$31)</f>
        <v/>
      </c>
      <c r="U5686">
        <f>IF(G5686=1,P5686*Assumptions!$B$13,Assumptions!$B$30)</f>
        <v/>
      </c>
      <c r="V5686">
        <f>IF(H5686=1,P5686*Assumptions!$B$12,Assumptions!$B$29)</f>
        <v/>
      </c>
      <c r="W5686">
        <f>IF(I5686=1,P5686*Assumptions!$B$11,Assumptions!$B$28)</f>
        <v/>
      </c>
      <c r="X5686">
        <f>P5686*($O$532+$S$532)</f>
        <v/>
      </c>
      <c r="Y5686">
        <f>P5686*Assumptions!$B$9</f>
        <v/>
      </c>
      <c r="Z5686">
        <f>IF(M5686=1,(P5686-Assumptions!$B$37)*Assumptions!$B$153,0)</f>
        <v/>
      </c>
      <c r="AA5686">
        <f>Q5686+R5686+S5686+T5686+U5686+V5686+W5686+X5686+Y5686+Z5686</f>
        <v/>
      </c>
      <c r="AB5686" t="n">
        <v>46</v>
      </c>
      <c r="AC5686" t="n">
        <v>110</v>
      </c>
      <c r="AD5686" t="n">
        <v>14</v>
      </c>
      <c r="AE5686" t="n">
        <v>62</v>
      </c>
      <c r="AF5686" t="n">
        <v>38</v>
      </c>
      <c r="AG5686" t="n">
        <v>42</v>
      </c>
      <c r="AH5686" t="n">
        <v>44</v>
      </c>
      <c r="AI5686" t="n">
        <v>47</v>
      </c>
      <c r="AJ5686">
        <f>INDEX($Q$5640:$Q$5767,AC5686+1)</f>
        <v/>
      </c>
      <c r="AK5686">
        <f>INDEX($R$5640:$R$5767,AD5686+1)</f>
        <v/>
      </c>
      <c r="AL5686">
        <f>INDEX($S$5640:$S$5767,AE5686+1)</f>
        <v/>
      </c>
      <c r="AM5686">
        <f>INDEX($T$5640:$T$5767,AF5686+1)</f>
        <v/>
      </c>
      <c r="AN5686">
        <f>INDEX($U$5640:$U$5767,AG5686+1)</f>
        <v/>
      </c>
      <c r="AO5686">
        <f>INDEX($V$5640:$V$5767,AH5686+1)</f>
        <v/>
      </c>
      <c r="AP5686">
        <f>INDEX($W$5640:$W$5767,AI5686+1)</f>
        <v/>
      </c>
      <c r="AQ5686">
        <f>IF(Q5686&gt;=AJ5686-0.01,1,0)</f>
        <v/>
      </c>
      <c r="AR5686">
        <f>IF(R5686&gt;=AK5686-0.01,1,0)</f>
        <v/>
      </c>
      <c r="AS5686">
        <f>IF(S5686&gt;=AL5686-0.01,1,0)</f>
        <v/>
      </c>
      <c r="AT5686">
        <f>IF(T5686&gt;=AM5686-0.01,1,0)</f>
        <v/>
      </c>
      <c r="AU5686">
        <f>IF(U5686&gt;=AN5686-0.01,1,0)</f>
        <v/>
      </c>
      <c r="AV5686">
        <f>IF(V5686&gt;=AO5686-0.01,1,0)</f>
        <v/>
      </c>
      <c r="AW5686">
        <f>IF(W5686&gt;=AP5686-0.01,1,0)</f>
        <v/>
      </c>
      <c r="AX5686">
        <f>AQ5686*AR5686*AS5686*AT5686*AU5686*AV5686*AW5686</f>
        <v/>
      </c>
    </row>
    <row r="5687">
      <c r="A5687" t="inlineStr"/>
      <c r="B5687">
        <f>Assumptions!$B$60</f>
        <v/>
      </c>
      <c r="C5687" t="n">
        <v>0</v>
      </c>
      <c r="D5687" t="n">
        <v>1</v>
      </c>
      <c r="E5687" t="n">
        <v>0</v>
      </c>
      <c r="F5687" t="n">
        <v>1</v>
      </c>
      <c r="G5687" t="n">
        <v>1</v>
      </c>
      <c r="H5687" t="n">
        <v>1</v>
      </c>
      <c r="I5687" t="n">
        <v>1</v>
      </c>
      <c r="J5687">
        <f>(1-C5687)*Assumptions!$B$41+(1-D5687)*Assumptions!$B$33+(1-E5687)*Assumptions!$B$32+(1-F5687)*Assumptions!$B$31+(1-G5687)*Assumptions!$B$30+(1-H5687)*Assumptions!$B$29+(1-I5687)*Assumptions!$B$28</f>
        <v/>
      </c>
      <c r="K5687">
        <f>C5687*$J$532+D5687*$F$532+E5687*$G$532+F5687*Assumptions!$B$14+G5687*Assumptions!$B$13+H5687*Assumptions!$B$12+I5687*Assumptions!$B$11+$O$532+$S$532+Assumptions!$B$9</f>
        <v/>
      </c>
      <c r="L5687">
        <f>B5687-J5687</f>
        <v/>
      </c>
      <c r="M5687">
        <f>IF(K5687&gt;0,IF(L5687/K5687&gt;=Assumptions!$B$37,1,0),0)</f>
        <v/>
      </c>
      <c r="N5687">
        <f>K5687+M5687*Assumptions!$B$153</f>
        <v/>
      </c>
      <c r="O5687">
        <f>L5687+M5687*Assumptions!$B$153*Assumptions!$B$37</f>
        <v/>
      </c>
      <c r="P5687">
        <f>IF(N5687&gt;0,O5687/N5687,0)</f>
        <v/>
      </c>
      <c r="Q5687">
        <f>IF(C5687=1,P5687*$J$532,Assumptions!$B$41)</f>
        <v/>
      </c>
      <c r="R5687">
        <f>IF(D5687=1,P5687*$F$532,Assumptions!$B$33)</f>
        <v/>
      </c>
      <c r="S5687">
        <f>IF(E5687=1,P5687*$G$532,Assumptions!$B$32)</f>
        <v/>
      </c>
      <c r="T5687">
        <f>IF(F5687=1,P5687*Assumptions!$B$14,Assumptions!$B$31)</f>
        <v/>
      </c>
      <c r="U5687">
        <f>IF(G5687=1,P5687*Assumptions!$B$13,Assumptions!$B$30)</f>
        <v/>
      </c>
      <c r="V5687">
        <f>IF(H5687=1,P5687*Assumptions!$B$12,Assumptions!$B$29)</f>
        <v/>
      </c>
      <c r="W5687">
        <f>IF(I5687=1,P5687*Assumptions!$B$11,Assumptions!$B$28)</f>
        <v/>
      </c>
      <c r="X5687">
        <f>P5687*($O$532+$S$532)</f>
        <v/>
      </c>
      <c r="Y5687">
        <f>P5687*Assumptions!$B$9</f>
        <v/>
      </c>
      <c r="Z5687">
        <f>IF(M5687=1,(P5687-Assumptions!$B$37)*Assumptions!$B$153,0)</f>
        <v/>
      </c>
      <c r="AA5687">
        <f>Q5687+R5687+S5687+T5687+U5687+V5687+W5687+X5687+Y5687+Z5687</f>
        <v/>
      </c>
      <c r="AB5687" t="n">
        <v>47</v>
      </c>
      <c r="AC5687" t="n">
        <v>111</v>
      </c>
      <c r="AD5687" t="n">
        <v>15</v>
      </c>
      <c r="AE5687" t="n">
        <v>63</v>
      </c>
      <c r="AF5687" t="n">
        <v>39</v>
      </c>
      <c r="AG5687" t="n">
        <v>43</v>
      </c>
      <c r="AH5687" t="n">
        <v>45</v>
      </c>
      <c r="AI5687" t="n">
        <v>46</v>
      </c>
      <c r="AJ5687">
        <f>INDEX($Q$5640:$Q$5767,AC5687+1)</f>
        <v/>
      </c>
      <c r="AK5687">
        <f>INDEX($R$5640:$R$5767,AD5687+1)</f>
        <v/>
      </c>
      <c r="AL5687">
        <f>INDEX($S$5640:$S$5767,AE5687+1)</f>
        <v/>
      </c>
      <c r="AM5687">
        <f>INDEX($T$5640:$T$5767,AF5687+1)</f>
        <v/>
      </c>
      <c r="AN5687">
        <f>INDEX($U$5640:$U$5767,AG5687+1)</f>
        <v/>
      </c>
      <c r="AO5687">
        <f>INDEX($V$5640:$V$5767,AH5687+1)</f>
        <v/>
      </c>
      <c r="AP5687">
        <f>INDEX($W$5640:$W$5767,AI5687+1)</f>
        <v/>
      </c>
      <c r="AQ5687">
        <f>IF(Q5687&gt;=AJ5687-0.01,1,0)</f>
        <v/>
      </c>
      <c r="AR5687">
        <f>IF(R5687&gt;=AK5687-0.01,1,0)</f>
        <v/>
      </c>
      <c r="AS5687">
        <f>IF(S5687&gt;=AL5687-0.01,1,0)</f>
        <v/>
      </c>
      <c r="AT5687">
        <f>IF(T5687&gt;=AM5687-0.01,1,0)</f>
        <v/>
      </c>
      <c r="AU5687">
        <f>IF(U5687&gt;=AN5687-0.01,1,0)</f>
        <v/>
      </c>
      <c r="AV5687">
        <f>IF(V5687&gt;=AO5687-0.01,1,0)</f>
        <v/>
      </c>
      <c r="AW5687">
        <f>IF(W5687&gt;=AP5687-0.01,1,0)</f>
        <v/>
      </c>
      <c r="AX5687">
        <f>AQ5687*AR5687*AS5687*AT5687*AU5687*AV5687*AW5687</f>
        <v/>
      </c>
    </row>
    <row r="5688">
      <c r="A5688" t="inlineStr"/>
      <c r="B5688">
        <f>Assumptions!$B$60</f>
        <v/>
      </c>
      <c r="C5688" t="n">
        <v>0</v>
      </c>
      <c r="D5688" t="n">
        <v>1</v>
      </c>
      <c r="E5688" t="n">
        <v>1</v>
      </c>
      <c r="F5688" t="n">
        <v>0</v>
      </c>
      <c r="G5688" t="n">
        <v>0</v>
      </c>
      <c r="H5688" t="n">
        <v>0</v>
      </c>
      <c r="I5688" t="n">
        <v>0</v>
      </c>
      <c r="J5688">
        <f>(1-C5688)*Assumptions!$B$41+(1-D5688)*Assumptions!$B$33+(1-E5688)*Assumptions!$B$32+(1-F5688)*Assumptions!$B$31+(1-G5688)*Assumptions!$B$30+(1-H5688)*Assumptions!$B$29+(1-I5688)*Assumptions!$B$28</f>
        <v/>
      </c>
      <c r="K5688">
        <f>C5688*$J$532+D5688*$F$532+E5688*$G$532+F5688*Assumptions!$B$14+G5688*Assumptions!$B$13+H5688*Assumptions!$B$12+I5688*Assumptions!$B$11+$O$532+$S$532+Assumptions!$B$9</f>
        <v/>
      </c>
      <c r="L5688">
        <f>B5688-J5688</f>
        <v/>
      </c>
      <c r="M5688">
        <f>IF(K5688&gt;0,IF(L5688/K5688&gt;=Assumptions!$B$37,1,0),0)</f>
        <v/>
      </c>
      <c r="N5688">
        <f>K5688+M5688*Assumptions!$B$153</f>
        <v/>
      </c>
      <c r="O5688">
        <f>L5688+M5688*Assumptions!$B$153*Assumptions!$B$37</f>
        <v/>
      </c>
      <c r="P5688">
        <f>IF(N5688&gt;0,O5688/N5688,0)</f>
        <v/>
      </c>
      <c r="Q5688">
        <f>IF(C5688=1,P5688*$J$532,Assumptions!$B$41)</f>
        <v/>
      </c>
      <c r="R5688">
        <f>IF(D5688=1,P5688*$F$532,Assumptions!$B$33)</f>
        <v/>
      </c>
      <c r="S5688">
        <f>IF(E5688=1,P5688*$G$532,Assumptions!$B$32)</f>
        <v/>
      </c>
      <c r="T5688">
        <f>IF(F5688=1,P5688*Assumptions!$B$14,Assumptions!$B$31)</f>
        <v/>
      </c>
      <c r="U5688">
        <f>IF(G5688=1,P5688*Assumptions!$B$13,Assumptions!$B$30)</f>
        <v/>
      </c>
      <c r="V5688">
        <f>IF(H5688=1,P5688*Assumptions!$B$12,Assumptions!$B$29)</f>
        <v/>
      </c>
      <c r="W5688">
        <f>IF(I5688=1,P5688*Assumptions!$B$11,Assumptions!$B$28)</f>
        <v/>
      </c>
      <c r="X5688">
        <f>P5688*($O$532+$S$532)</f>
        <v/>
      </c>
      <c r="Y5688">
        <f>P5688*Assumptions!$B$9</f>
        <v/>
      </c>
      <c r="Z5688">
        <f>IF(M5688=1,(P5688-Assumptions!$B$37)*Assumptions!$B$153,0)</f>
        <v/>
      </c>
      <c r="AA5688">
        <f>Q5688+R5688+S5688+T5688+U5688+V5688+W5688+X5688+Y5688+Z5688</f>
        <v/>
      </c>
      <c r="AB5688" t="n">
        <v>48</v>
      </c>
      <c r="AC5688" t="n">
        <v>112</v>
      </c>
      <c r="AD5688" t="n">
        <v>16</v>
      </c>
      <c r="AE5688" t="n">
        <v>32</v>
      </c>
      <c r="AF5688" t="n">
        <v>56</v>
      </c>
      <c r="AG5688" t="n">
        <v>52</v>
      </c>
      <c r="AH5688" t="n">
        <v>50</v>
      </c>
      <c r="AI5688" t="n">
        <v>49</v>
      </c>
      <c r="AJ5688">
        <f>INDEX($Q$5640:$Q$5767,AC5688+1)</f>
        <v/>
      </c>
      <c r="AK5688">
        <f>INDEX($R$5640:$R$5767,AD5688+1)</f>
        <v/>
      </c>
      <c r="AL5688">
        <f>INDEX($S$5640:$S$5767,AE5688+1)</f>
        <v/>
      </c>
      <c r="AM5688">
        <f>INDEX($T$5640:$T$5767,AF5688+1)</f>
        <v/>
      </c>
      <c r="AN5688">
        <f>INDEX($U$5640:$U$5767,AG5688+1)</f>
        <v/>
      </c>
      <c r="AO5688">
        <f>INDEX($V$5640:$V$5767,AH5688+1)</f>
        <v/>
      </c>
      <c r="AP5688">
        <f>INDEX($W$5640:$W$5767,AI5688+1)</f>
        <v/>
      </c>
      <c r="AQ5688">
        <f>IF(Q5688&gt;=AJ5688-0.01,1,0)</f>
        <v/>
      </c>
      <c r="AR5688">
        <f>IF(R5688&gt;=AK5688-0.01,1,0)</f>
        <v/>
      </c>
      <c r="AS5688">
        <f>IF(S5688&gt;=AL5688-0.01,1,0)</f>
        <v/>
      </c>
      <c r="AT5688">
        <f>IF(T5688&gt;=AM5688-0.01,1,0)</f>
        <v/>
      </c>
      <c r="AU5688">
        <f>IF(U5688&gt;=AN5688-0.01,1,0)</f>
        <v/>
      </c>
      <c r="AV5688">
        <f>IF(V5688&gt;=AO5688-0.01,1,0)</f>
        <v/>
      </c>
      <c r="AW5688">
        <f>IF(W5688&gt;=AP5688-0.01,1,0)</f>
        <v/>
      </c>
      <c r="AX5688">
        <f>AQ5688*AR5688*AS5688*AT5688*AU5688*AV5688*AW5688</f>
        <v/>
      </c>
    </row>
    <row r="5689">
      <c r="A5689" t="inlineStr"/>
      <c r="B5689">
        <f>Assumptions!$B$60</f>
        <v/>
      </c>
      <c r="C5689" t="n">
        <v>0</v>
      </c>
      <c r="D5689" t="n">
        <v>1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>
        <f>(1-C5689)*Assumptions!$B$41+(1-D5689)*Assumptions!$B$33+(1-E5689)*Assumptions!$B$32+(1-F5689)*Assumptions!$B$31+(1-G5689)*Assumptions!$B$30+(1-H5689)*Assumptions!$B$29+(1-I5689)*Assumptions!$B$28</f>
        <v/>
      </c>
      <c r="K5689">
        <f>C5689*$J$532+D5689*$F$532+E5689*$G$532+F5689*Assumptions!$B$14+G5689*Assumptions!$B$13+H5689*Assumptions!$B$12+I5689*Assumptions!$B$11+$O$532+$S$532+Assumptions!$B$9</f>
        <v/>
      </c>
      <c r="L5689">
        <f>B5689-J5689</f>
        <v/>
      </c>
      <c r="M5689">
        <f>IF(K5689&gt;0,IF(L5689/K5689&gt;=Assumptions!$B$37,1,0),0)</f>
        <v/>
      </c>
      <c r="N5689">
        <f>K5689+M5689*Assumptions!$B$153</f>
        <v/>
      </c>
      <c r="O5689">
        <f>L5689+M5689*Assumptions!$B$153*Assumptions!$B$37</f>
        <v/>
      </c>
      <c r="P5689">
        <f>IF(N5689&gt;0,O5689/N5689,0)</f>
        <v/>
      </c>
      <c r="Q5689">
        <f>IF(C5689=1,P5689*$J$532,Assumptions!$B$41)</f>
        <v/>
      </c>
      <c r="R5689">
        <f>IF(D5689=1,P5689*$F$532,Assumptions!$B$33)</f>
        <v/>
      </c>
      <c r="S5689">
        <f>IF(E5689=1,P5689*$G$532,Assumptions!$B$32)</f>
        <v/>
      </c>
      <c r="T5689">
        <f>IF(F5689=1,P5689*Assumptions!$B$14,Assumptions!$B$31)</f>
        <v/>
      </c>
      <c r="U5689">
        <f>IF(G5689=1,P5689*Assumptions!$B$13,Assumptions!$B$30)</f>
        <v/>
      </c>
      <c r="V5689">
        <f>IF(H5689=1,P5689*Assumptions!$B$12,Assumptions!$B$29)</f>
        <v/>
      </c>
      <c r="W5689">
        <f>IF(I5689=1,P5689*Assumptions!$B$11,Assumptions!$B$28)</f>
        <v/>
      </c>
      <c r="X5689">
        <f>P5689*($O$532+$S$532)</f>
        <v/>
      </c>
      <c r="Y5689">
        <f>P5689*Assumptions!$B$9</f>
        <v/>
      </c>
      <c r="Z5689">
        <f>IF(M5689=1,(P5689-Assumptions!$B$37)*Assumptions!$B$153,0)</f>
        <v/>
      </c>
      <c r="AA5689">
        <f>Q5689+R5689+S5689+T5689+U5689+V5689+W5689+X5689+Y5689+Z5689</f>
        <v/>
      </c>
      <c r="AB5689" t="n">
        <v>49</v>
      </c>
      <c r="AC5689" t="n">
        <v>113</v>
      </c>
      <c r="AD5689" t="n">
        <v>17</v>
      </c>
      <c r="AE5689" t="n">
        <v>33</v>
      </c>
      <c r="AF5689" t="n">
        <v>57</v>
      </c>
      <c r="AG5689" t="n">
        <v>53</v>
      </c>
      <c r="AH5689" t="n">
        <v>51</v>
      </c>
      <c r="AI5689" t="n">
        <v>48</v>
      </c>
      <c r="AJ5689">
        <f>INDEX($Q$5640:$Q$5767,AC5689+1)</f>
        <v/>
      </c>
      <c r="AK5689">
        <f>INDEX($R$5640:$R$5767,AD5689+1)</f>
        <v/>
      </c>
      <c r="AL5689">
        <f>INDEX($S$5640:$S$5767,AE5689+1)</f>
        <v/>
      </c>
      <c r="AM5689">
        <f>INDEX($T$5640:$T$5767,AF5689+1)</f>
        <v/>
      </c>
      <c r="AN5689">
        <f>INDEX($U$5640:$U$5767,AG5689+1)</f>
        <v/>
      </c>
      <c r="AO5689">
        <f>INDEX($V$5640:$V$5767,AH5689+1)</f>
        <v/>
      </c>
      <c r="AP5689">
        <f>INDEX($W$5640:$W$5767,AI5689+1)</f>
        <v/>
      </c>
      <c r="AQ5689">
        <f>IF(Q5689&gt;=AJ5689-0.01,1,0)</f>
        <v/>
      </c>
      <c r="AR5689">
        <f>IF(R5689&gt;=AK5689-0.01,1,0)</f>
        <v/>
      </c>
      <c r="AS5689">
        <f>IF(S5689&gt;=AL5689-0.01,1,0)</f>
        <v/>
      </c>
      <c r="AT5689">
        <f>IF(T5689&gt;=AM5689-0.01,1,0)</f>
        <v/>
      </c>
      <c r="AU5689">
        <f>IF(U5689&gt;=AN5689-0.01,1,0)</f>
        <v/>
      </c>
      <c r="AV5689">
        <f>IF(V5689&gt;=AO5689-0.01,1,0)</f>
        <v/>
      </c>
      <c r="AW5689">
        <f>IF(W5689&gt;=AP5689-0.01,1,0)</f>
        <v/>
      </c>
      <c r="AX5689">
        <f>AQ5689*AR5689*AS5689*AT5689*AU5689*AV5689*AW5689</f>
        <v/>
      </c>
    </row>
    <row r="5690">
      <c r="A5690" t="inlineStr"/>
      <c r="B5690">
        <f>Assumptions!$B$60</f>
        <v/>
      </c>
      <c r="C5690" t="n">
        <v>0</v>
      </c>
      <c r="D5690" t="n">
        <v>1</v>
      </c>
      <c r="E5690" t="n">
        <v>1</v>
      </c>
      <c r="F5690" t="n">
        <v>0</v>
      </c>
      <c r="G5690" t="n">
        <v>0</v>
      </c>
      <c r="H5690" t="n">
        <v>1</v>
      </c>
      <c r="I5690" t="n">
        <v>0</v>
      </c>
      <c r="J5690">
        <f>(1-C5690)*Assumptions!$B$41+(1-D5690)*Assumptions!$B$33+(1-E5690)*Assumptions!$B$32+(1-F5690)*Assumptions!$B$31+(1-G5690)*Assumptions!$B$30+(1-H5690)*Assumptions!$B$29+(1-I5690)*Assumptions!$B$28</f>
        <v/>
      </c>
      <c r="K5690">
        <f>C5690*$J$532+D5690*$F$532+E5690*$G$532+F5690*Assumptions!$B$14+G5690*Assumptions!$B$13+H5690*Assumptions!$B$12+I5690*Assumptions!$B$11+$O$532+$S$532+Assumptions!$B$9</f>
        <v/>
      </c>
      <c r="L5690">
        <f>B5690-J5690</f>
        <v/>
      </c>
      <c r="M5690">
        <f>IF(K5690&gt;0,IF(L5690/K5690&gt;=Assumptions!$B$37,1,0),0)</f>
        <v/>
      </c>
      <c r="N5690">
        <f>K5690+M5690*Assumptions!$B$153</f>
        <v/>
      </c>
      <c r="O5690">
        <f>L5690+M5690*Assumptions!$B$153*Assumptions!$B$37</f>
        <v/>
      </c>
      <c r="P5690">
        <f>IF(N5690&gt;0,O5690/N5690,0)</f>
        <v/>
      </c>
      <c r="Q5690">
        <f>IF(C5690=1,P5690*$J$532,Assumptions!$B$41)</f>
        <v/>
      </c>
      <c r="R5690">
        <f>IF(D5690=1,P5690*$F$532,Assumptions!$B$33)</f>
        <v/>
      </c>
      <c r="S5690">
        <f>IF(E5690=1,P5690*$G$532,Assumptions!$B$32)</f>
        <v/>
      </c>
      <c r="T5690">
        <f>IF(F5690=1,P5690*Assumptions!$B$14,Assumptions!$B$31)</f>
        <v/>
      </c>
      <c r="U5690">
        <f>IF(G5690=1,P5690*Assumptions!$B$13,Assumptions!$B$30)</f>
        <v/>
      </c>
      <c r="V5690">
        <f>IF(H5690=1,P5690*Assumptions!$B$12,Assumptions!$B$29)</f>
        <v/>
      </c>
      <c r="W5690">
        <f>IF(I5690=1,P5690*Assumptions!$B$11,Assumptions!$B$28)</f>
        <v/>
      </c>
      <c r="X5690">
        <f>P5690*($O$532+$S$532)</f>
        <v/>
      </c>
      <c r="Y5690">
        <f>P5690*Assumptions!$B$9</f>
        <v/>
      </c>
      <c r="Z5690">
        <f>IF(M5690=1,(P5690-Assumptions!$B$37)*Assumptions!$B$153,0)</f>
        <v/>
      </c>
      <c r="AA5690">
        <f>Q5690+R5690+S5690+T5690+U5690+V5690+W5690+X5690+Y5690+Z5690</f>
        <v/>
      </c>
      <c r="AB5690" t="n">
        <v>50</v>
      </c>
      <c r="AC5690" t="n">
        <v>114</v>
      </c>
      <c r="AD5690" t="n">
        <v>18</v>
      </c>
      <c r="AE5690" t="n">
        <v>34</v>
      </c>
      <c r="AF5690" t="n">
        <v>58</v>
      </c>
      <c r="AG5690" t="n">
        <v>54</v>
      </c>
      <c r="AH5690" t="n">
        <v>48</v>
      </c>
      <c r="AI5690" t="n">
        <v>51</v>
      </c>
      <c r="AJ5690">
        <f>INDEX($Q$5640:$Q$5767,AC5690+1)</f>
        <v/>
      </c>
      <c r="AK5690">
        <f>INDEX($R$5640:$R$5767,AD5690+1)</f>
        <v/>
      </c>
      <c r="AL5690">
        <f>INDEX($S$5640:$S$5767,AE5690+1)</f>
        <v/>
      </c>
      <c r="AM5690">
        <f>INDEX($T$5640:$T$5767,AF5690+1)</f>
        <v/>
      </c>
      <c r="AN5690">
        <f>INDEX($U$5640:$U$5767,AG5690+1)</f>
        <v/>
      </c>
      <c r="AO5690">
        <f>INDEX($V$5640:$V$5767,AH5690+1)</f>
        <v/>
      </c>
      <c r="AP5690">
        <f>INDEX($W$5640:$W$5767,AI5690+1)</f>
        <v/>
      </c>
      <c r="AQ5690">
        <f>IF(Q5690&gt;=AJ5690-0.01,1,0)</f>
        <v/>
      </c>
      <c r="AR5690">
        <f>IF(R5690&gt;=AK5690-0.01,1,0)</f>
        <v/>
      </c>
      <c r="AS5690">
        <f>IF(S5690&gt;=AL5690-0.01,1,0)</f>
        <v/>
      </c>
      <c r="AT5690">
        <f>IF(T5690&gt;=AM5690-0.01,1,0)</f>
        <v/>
      </c>
      <c r="AU5690">
        <f>IF(U5690&gt;=AN5690-0.01,1,0)</f>
        <v/>
      </c>
      <c r="AV5690">
        <f>IF(V5690&gt;=AO5690-0.01,1,0)</f>
        <v/>
      </c>
      <c r="AW5690">
        <f>IF(W5690&gt;=AP5690-0.01,1,0)</f>
        <v/>
      </c>
      <c r="AX5690">
        <f>AQ5690*AR5690*AS5690*AT5690*AU5690*AV5690*AW5690</f>
        <v/>
      </c>
    </row>
    <row r="5691">
      <c r="A5691" t="inlineStr"/>
      <c r="B5691">
        <f>Assumptions!$B$60</f>
        <v/>
      </c>
      <c r="C5691" t="n">
        <v>0</v>
      </c>
      <c r="D5691" t="n">
        <v>1</v>
      </c>
      <c r="E5691" t="n">
        <v>1</v>
      </c>
      <c r="F5691" t="n">
        <v>0</v>
      </c>
      <c r="G5691" t="n">
        <v>0</v>
      </c>
      <c r="H5691" t="n">
        <v>1</v>
      </c>
      <c r="I5691" t="n">
        <v>1</v>
      </c>
      <c r="J5691">
        <f>(1-C5691)*Assumptions!$B$41+(1-D5691)*Assumptions!$B$33+(1-E5691)*Assumptions!$B$32+(1-F5691)*Assumptions!$B$31+(1-G5691)*Assumptions!$B$30+(1-H5691)*Assumptions!$B$29+(1-I5691)*Assumptions!$B$28</f>
        <v/>
      </c>
      <c r="K5691">
        <f>C5691*$J$532+D5691*$F$532+E5691*$G$532+F5691*Assumptions!$B$14+G5691*Assumptions!$B$13+H5691*Assumptions!$B$12+I5691*Assumptions!$B$11+$O$532+$S$532+Assumptions!$B$9</f>
        <v/>
      </c>
      <c r="L5691">
        <f>B5691-J5691</f>
        <v/>
      </c>
      <c r="M5691">
        <f>IF(K5691&gt;0,IF(L5691/K5691&gt;=Assumptions!$B$37,1,0),0)</f>
        <v/>
      </c>
      <c r="N5691">
        <f>K5691+M5691*Assumptions!$B$153</f>
        <v/>
      </c>
      <c r="O5691">
        <f>L5691+M5691*Assumptions!$B$153*Assumptions!$B$37</f>
        <v/>
      </c>
      <c r="P5691">
        <f>IF(N5691&gt;0,O5691/N5691,0)</f>
        <v/>
      </c>
      <c r="Q5691">
        <f>IF(C5691=1,P5691*$J$532,Assumptions!$B$41)</f>
        <v/>
      </c>
      <c r="R5691">
        <f>IF(D5691=1,P5691*$F$532,Assumptions!$B$33)</f>
        <v/>
      </c>
      <c r="S5691">
        <f>IF(E5691=1,P5691*$G$532,Assumptions!$B$32)</f>
        <v/>
      </c>
      <c r="T5691">
        <f>IF(F5691=1,P5691*Assumptions!$B$14,Assumptions!$B$31)</f>
        <v/>
      </c>
      <c r="U5691">
        <f>IF(G5691=1,P5691*Assumptions!$B$13,Assumptions!$B$30)</f>
        <v/>
      </c>
      <c r="V5691">
        <f>IF(H5691=1,P5691*Assumptions!$B$12,Assumptions!$B$29)</f>
        <v/>
      </c>
      <c r="W5691">
        <f>IF(I5691=1,P5691*Assumptions!$B$11,Assumptions!$B$28)</f>
        <v/>
      </c>
      <c r="X5691">
        <f>P5691*($O$532+$S$532)</f>
        <v/>
      </c>
      <c r="Y5691">
        <f>P5691*Assumptions!$B$9</f>
        <v/>
      </c>
      <c r="Z5691">
        <f>IF(M5691=1,(P5691-Assumptions!$B$37)*Assumptions!$B$153,0)</f>
        <v/>
      </c>
      <c r="AA5691">
        <f>Q5691+R5691+S5691+T5691+U5691+V5691+W5691+X5691+Y5691+Z5691</f>
        <v/>
      </c>
      <c r="AB5691" t="n">
        <v>51</v>
      </c>
      <c r="AC5691" t="n">
        <v>115</v>
      </c>
      <c r="AD5691" t="n">
        <v>19</v>
      </c>
      <c r="AE5691" t="n">
        <v>35</v>
      </c>
      <c r="AF5691" t="n">
        <v>59</v>
      </c>
      <c r="AG5691" t="n">
        <v>55</v>
      </c>
      <c r="AH5691" t="n">
        <v>49</v>
      </c>
      <c r="AI5691" t="n">
        <v>50</v>
      </c>
      <c r="AJ5691">
        <f>INDEX($Q$5640:$Q$5767,AC5691+1)</f>
        <v/>
      </c>
      <c r="AK5691">
        <f>INDEX($R$5640:$R$5767,AD5691+1)</f>
        <v/>
      </c>
      <c r="AL5691">
        <f>INDEX($S$5640:$S$5767,AE5691+1)</f>
        <v/>
      </c>
      <c r="AM5691">
        <f>INDEX($T$5640:$T$5767,AF5691+1)</f>
        <v/>
      </c>
      <c r="AN5691">
        <f>INDEX($U$5640:$U$5767,AG5691+1)</f>
        <v/>
      </c>
      <c r="AO5691">
        <f>INDEX($V$5640:$V$5767,AH5691+1)</f>
        <v/>
      </c>
      <c r="AP5691">
        <f>INDEX($W$5640:$W$5767,AI5691+1)</f>
        <v/>
      </c>
      <c r="AQ5691">
        <f>IF(Q5691&gt;=AJ5691-0.01,1,0)</f>
        <v/>
      </c>
      <c r="AR5691">
        <f>IF(R5691&gt;=AK5691-0.01,1,0)</f>
        <v/>
      </c>
      <c r="AS5691">
        <f>IF(S5691&gt;=AL5691-0.01,1,0)</f>
        <v/>
      </c>
      <c r="AT5691">
        <f>IF(T5691&gt;=AM5691-0.01,1,0)</f>
        <v/>
      </c>
      <c r="AU5691">
        <f>IF(U5691&gt;=AN5691-0.01,1,0)</f>
        <v/>
      </c>
      <c r="AV5691">
        <f>IF(V5691&gt;=AO5691-0.01,1,0)</f>
        <v/>
      </c>
      <c r="AW5691">
        <f>IF(W5691&gt;=AP5691-0.01,1,0)</f>
        <v/>
      </c>
      <c r="AX5691">
        <f>AQ5691*AR5691*AS5691*AT5691*AU5691*AV5691*AW5691</f>
        <v/>
      </c>
    </row>
    <row r="5692">
      <c r="A5692" t="inlineStr"/>
      <c r="B5692">
        <f>Assumptions!$B$60</f>
        <v/>
      </c>
      <c r="C5692" t="n">
        <v>0</v>
      </c>
      <c r="D5692" t="n">
        <v>1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>
        <f>(1-C5692)*Assumptions!$B$41+(1-D5692)*Assumptions!$B$33+(1-E5692)*Assumptions!$B$32+(1-F5692)*Assumptions!$B$31+(1-G5692)*Assumptions!$B$30+(1-H5692)*Assumptions!$B$29+(1-I5692)*Assumptions!$B$28</f>
        <v/>
      </c>
      <c r="K5692">
        <f>C5692*$J$532+D5692*$F$532+E5692*$G$532+F5692*Assumptions!$B$14+G5692*Assumptions!$B$13+H5692*Assumptions!$B$12+I5692*Assumptions!$B$11+$O$532+$S$532+Assumptions!$B$9</f>
        <v/>
      </c>
      <c r="L5692">
        <f>B5692-J5692</f>
        <v/>
      </c>
      <c r="M5692">
        <f>IF(K5692&gt;0,IF(L5692/K5692&gt;=Assumptions!$B$37,1,0),0)</f>
        <v/>
      </c>
      <c r="N5692">
        <f>K5692+M5692*Assumptions!$B$153</f>
        <v/>
      </c>
      <c r="O5692">
        <f>L5692+M5692*Assumptions!$B$153*Assumptions!$B$37</f>
        <v/>
      </c>
      <c r="P5692">
        <f>IF(N5692&gt;0,O5692/N5692,0)</f>
        <v/>
      </c>
      <c r="Q5692">
        <f>IF(C5692=1,P5692*$J$532,Assumptions!$B$41)</f>
        <v/>
      </c>
      <c r="R5692">
        <f>IF(D5692=1,P5692*$F$532,Assumptions!$B$33)</f>
        <v/>
      </c>
      <c r="S5692">
        <f>IF(E5692=1,P5692*$G$532,Assumptions!$B$32)</f>
        <v/>
      </c>
      <c r="T5692">
        <f>IF(F5692=1,P5692*Assumptions!$B$14,Assumptions!$B$31)</f>
        <v/>
      </c>
      <c r="U5692">
        <f>IF(G5692=1,P5692*Assumptions!$B$13,Assumptions!$B$30)</f>
        <v/>
      </c>
      <c r="V5692">
        <f>IF(H5692=1,P5692*Assumptions!$B$12,Assumptions!$B$29)</f>
        <v/>
      </c>
      <c r="W5692">
        <f>IF(I5692=1,P5692*Assumptions!$B$11,Assumptions!$B$28)</f>
        <v/>
      </c>
      <c r="X5692">
        <f>P5692*($O$532+$S$532)</f>
        <v/>
      </c>
      <c r="Y5692">
        <f>P5692*Assumptions!$B$9</f>
        <v/>
      </c>
      <c r="Z5692">
        <f>IF(M5692=1,(P5692-Assumptions!$B$37)*Assumptions!$B$153,0)</f>
        <v/>
      </c>
      <c r="AA5692">
        <f>Q5692+R5692+S5692+T5692+U5692+V5692+W5692+X5692+Y5692+Z5692</f>
        <v/>
      </c>
      <c r="AB5692" t="n">
        <v>52</v>
      </c>
      <c r="AC5692" t="n">
        <v>116</v>
      </c>
      <c r="AD5692" t="n">
        <v>20</v>
      </c>
      <c r="AE5692" t="n">
        <v>36</v>
      </c>
      <c r="AF5692" t="n">
        <v>60</v>
      </c>
      <c r="AG5692" t="n">
        <v>48</v>
      </c>
      <c r="AH5692" t="n">
        <v>54</v>
      </c>
      <c r="AI5692" t="n">
        <v>53</v>
      </c>
      <c r="AJ5692">
        <f>INDEX($Q$5640:$Q$5767,AC5692+1)</f>
        <v/>
      </c>
      <c r="AK5692">
        <f>INDEX($R$5640:$R$5767,AD5692+1)</f>
        <v/>
      </c>
      <c r="AL5692">
        <f>INDEX($S$5640:$S$5767,AE5692+1)</f>
        <v/>
      </c>
      <c r="AM5692">
        <f>INDEX($T$5640:$T$5767,AF5692+1)</f>
        <v/>
      </c>
      <c r="AN5692">
        <f>INDEX($U$5640:$U$5767,AG5692+1)</f>
        <v/>
      </c>
      <c r="AO5692">
        <f>INDEX($V$5640:$V$5767,AH5692+1)</f>
        <v/>
      </c>
      <c r="AP5692">
        <f>INDEX($W$5640:$W$5767,AI5692+1)</f>
        <v/>
      </c>
      <c r="AQ5692">
        <f>IF(Q5692&gt;=AJ5692-0.01,1,0)</f>
        <v/>
      </c>
      <c r="AR5692">
        <f>IF(R5692&gt;=AK5692-0.01,1,0)</f>
        <v/>
      </c>
      <c r="AS5692">
        <f>IF(S5692&gt;=AL5692-0.01,1,0)</f>
        <v/>
      </c>
      <c r="AT5692">
        <f>IF(T5692&gt;=AM5692-0.01,1,0)</f>
        <v/>
      </c>
      <c r="AU5692">
        <f>IF(U5692&gt;=AN5692-0.01,1,0)</f>
        <v/>
      </c>
      <c r="AV5692">
        <f>IF(V5692&gt;=AO5692-0.01,1,0)</f>
        <v/>
      </c>
      <c r="AW5692">
        <f>IF(W5692&gt;=AP5692-0.01,1,0)</f>
        <v/>
      </c>
      <c r="AX5692">
        <f>AQ5692*AR5692*AS5692*AT5692*AU5692*AV5692*AW5692</f>
        <v/>
      </c>
    </row>
    <row r="5693">
      <c r="A5693" t="inlineStr"/>
      <c r="B5693">
        <f>Assumptions!$B$60</f>
        <v/>
      </c>
      <c r="C5693" t="n">
        <v>0</v>
      </c>
      <c r="D5693" t="n">
        <v>1</v>
      </c>
      <c r="E5693" t="n">
        <v>1</v>
      </c>
      <c r="F5693" t="n">
        <v>0</v>
      </c>
      <c r="G5693" t="n">
        <v>1</v>
      </c>
      <c r="H5693" t="n">
        <v>0</v>
      </c>
      <c r="I5693" t="n">
        <v>1</v>
      </c>
      <c r="J5693">
        <f>(1-C5693)*Assumptions!$B$41+(1-D5693)*Assumptions!$B$33+(1-E5693)*Assumptions!$B$32+(1-F5693)*Assumptions!$B$31+(1-G5693)*Assumptions!$B$30+(1-H5693)*Assumptions!$B$29+(1-I5693)*Assumptions!$B$28</f>
        <v/>
      </c>
      <c r="K5693">
        <f>C5693*$J$532+D5693*$F$532+E5693*$G$532+F5693*Assumptions!$B$14+G5693*Assumptions!$B$13+H5693*Assumptions!$B$12+I5693*Assumptions!$B$11+$O$532+$S$532+Assumptions!$B$9</f>
        <v/>
      </c>
      <c r="L5693">
        <f>B5693-J5693</f>
        <v/>
      </c>
      <c r="M5693">
        <f>IF(K5693&gt;0,IF(L5693/K5693&gt;=Assumptions!$B$37,1,0),0)</f>
        <v/>
      </c>
      <c r="N5693">
        <f>K5693+M5693*Assumptions!$B$153</f>
        <v/>
      </c>
      <c r="O5693">
        <f>L5693+M5693*Assumptions!$B$153*Assumptions!$B$37</f>
        <v/>
      </c>
      <c r="P5693">
        <f>IF(N5693&gt;0,O5693/N5693,0)</f>
        <v/>
      </c>
      <c r="Q5693">
        <f>IF(C5693=1,P5693*$J$532,Assumptions!$B$41)</f>
        <v/>
      </c>
      <c r="R5693">
        <f>IF(D5693=1,P5693*$F$532,Assumptions!$B$33)</f>
        <v/>
      </c>
      <c r="S5693">
        <f>IF(E5693=1,P5693*$G$532,Assumptions!$B$32)</f>
        <v/>
      </c>
      <c r="T5693">
        <f>IF(F5693=1,P5693*Assumptions!$B$14,Assumptions!$B$31)</f>
        <v/>
      </c>
      <c r="U5693">
        <f>IF(G5693=1,P5693*Assumptions!$B$13,Assumptions!$B$30)</f>
        <v/>
      </c>
      <c r="V5693">
        <f>IF(H5693=1,P5693*Assumptions!$B$12,Assumptions!$B$29)</f>
        <v/>
      </c>
      <c r="W5693">
        <f>IF(I5693=1,P5693*Assumptions!$B$11,Assumptions!$B$28)</f>
        <v/>
      </c>
      <c r="X5693">
        <f>P5693*($O$532+$S$532)</f>
        <v/>
      </c>
      <c r="Y5693">
        <f>P5693*Assumptions!$B$9</f>
        <v/>
      </c>
      <c r="Z5693">
        <f>IF(M5693=1,(P5693-Assumptions!$B$37)*Assumptions!$B$153,0)</f>
        <v/>
      </c>
      <c r="AA5693">
        <f>Q5693+R5693+S5693+T5693+U5693+V5693+W5693+X5693+Y5693+Z5693</f>
        <v/>
      </c>
      <c r="AB5693" t="n">
        <v>53</v>
      </c>
      <c r="AC5693" t="n">
        <v>117</v>
      </c>
      <c r="AD5693" t="n">
        <v>21</v>
      </c>
      <c r="AE5693" t="n">
        <v>37</v>
      </c>
      <c r="AF5693" t="n">
        <v>61</v>
      </c>
      <c r="AG5693" t="n">
        <v>49</v>
      </c>
      <c r="AH5693" t="n">
        <v>55</v>
      </c>
      <c r="AI5693" t="n">
        <v>52</v>
      </c>
      <c r="AJ5693">
        <f>INDEX($Q$5640:$Q$5767,AC5693+1)</f>
        <v/>
      </c>
      <c r="AK5693">
        <f>INDEX($R$5640:$R$5767,AD5693+1)</f>
        <v/>
      </c>
      <c r="AL5693">
        <f>INDEX($S$5640:$S$5767,AE5693+1)</f>
        <v/>
      </c>
      <c r="AM5693">
        <f>INDEX($T$5640:$T$5767,AF5693+1)</f>
        <v/>
      </c>
      <c r="AN5693">
        <f>INDEX($U$5640:$U$5767,AG5693+1)</f>
        <v/>
      </c>
      <c r="AO5693">
        <f>INDEX($V$5640:$V$5767,AH5693+1)</f>
        <v/>
      </c>
      <c r="AP5693">
        <f>INDEX($W$5640:$W$5767,AI5693+1)</f>
        <v/>
      </c>
      <c r="AQ5693">
        <f>IF(Q5693&gt;=AJ5693-0.01,1,0)</f>
        <v/>
      </c>
      <c r="AR5693">
        <f>IF(R5693&gt;=AK5693-0.01,1,0)</f>
        <v/>
      </c>
      <c r="AS5693">
        <f>IF(S5693&gt;=AL5693-0.01,1,0)</f>
        <v/>
      </c>
      <c r="AT5693">
        <f>IF(T5693&gt;=AM5693-0.01,1,0)</f>
        <v/>
      </c>
      <c r="AU5693">
        <f>IF(U5693&gt;=AN5693-0.01,1,0)</f>
        <v/>
      </c>
      <c r="AV5693">
        <f>IF(V5693&gt;=AO5693-0.01,1,0)</f>
        <v/>
      </c>
      <c r="AW5693">
        <f>IF(W5693&gt;=AP5693-0.01,1,0)</f>
        <v/>
      </c>
      <c r="AX5693">
        <f>AQ5693*AR5693*AS5693*AT5693*AU5693*AV5693*AW5693</f>
        <v/>
      </c>
    </row>
    <row r="5694">
      <c r="A5694" t="inlineStr"/>
      <c r="B5694">
        <f>Assumptions!$B$60</f>
        <v/>
      </c>
      <c r="C5694" t="n">
        <v>0</v>
      </c>
      <c r="D5694" t="n">
        <v>1</v>
      </c>
      <c r="E5694" t="n">
        <v>1</v>
      </c>
      <c r="F5694" t="n">
        <v>0</v>
      </c>
      <c r="G5694" t="n">
        <v>1</v>
      </c>
      <c r="H5694" t="n">
        <v>1</v>
      </c>
      <c r="I5694" t="n">
        <v>0</v>
      </c>
      <c r="J5694">
        <f>(1-C5694)*Assumptions!$B$41+(1-D5694)*Assumptions!$B$33+(1-E5694)*Assumptions!$B$32+(1-F5694)*Assumptions!$B$31+(1-G5694)*Assumptions!$B$30+(1-H5694)*Assumptions!$B$29+(1-I5694)*Assumptions!$B$28</f>
        <v/>
      </c>
      <c r="K5694">
        <f>C5694*$J$532+D5694*$F$532+E5694*$G$532+F5694*Assumptions!$B$14+G5694*Assumptions!$B$13+H5694*Assumptions!$B$12+I5694*Assumptions!$B$11+$O$532+$S$532+Assumptions!$B$9</f>
        <v/>
      </c>
      <c r="L5694">
        <f>B5694-J5694</f>
        <v/>
      </c>
      <c r="M5694">
        <f>IF(K5694&gt;0,IF(L5694/K5694&gt;=Assumptions!$B$37,1,0),0)</f>
        <v/>
      </c>
      <c r="N5694">
        <f>K5694+M5694*Assumptions!$B$153</f>
        <v/>
      </c>
      <c r="O5694">
        <f>L5694+M5694*Assumptions!$B$153*Assumptions!$B$37</f>
        <v/>
      </c>
      <c r="P5694">
        <f>IF(N5694&gt;0,O5694/N5694,0)</f>
        <v/>
      </c>
      <c r="Q5694">
        <f>IF(C5694=1,P5694*$J$532,Assumptions!$B$41)</f>
        <v/>
      </c>
      <c r="R5694">
        <f>IF(D5694=1,P5694*$F$532,Assumptions!$B$33)</f>
        <v/>
      </c>
      <c r="S5694">
        <f>IF(E5694=1,P5694*$G$532,Assumptions!$B$32)</f>
        <v/>
      </c>
      <c r="T5694">
        <f>IF(F5694=1,P5694*Assumptions!$B$14,Assumptions!$B$31)</f>
        <v/>
      </c>
      <c r="U5694">
        <f>IF(G5694=1,P5694*Assumptions!$B$13,Assumptions!$B$30)</f>
        <v/>
      </c>
      <c r="V5694">
        <f>IF(H5694=1,P5694*Assumptions!$B$12,Assumptions!$B$29)</f>
        <v/>
      </c>
      <c r="W5694">
        <f>IF(I5694=1,P5694*Assumptions!$B$11,Assumptions!$B$28)</f>
        <v/>
      </c>
      <c r="X5694">
        <f>P5694*($O$532+$S$532)</f>
        <v/>
      </c>
      <c r="Y5694">
        <f>P5694*Assumptions!$B$9</f>
        <v/>
      </c>
      <c r="Z5694">
        <f>IF(M5694=1,(P5694-Assumptions!$B$37)*Assumptions!$B$153,0)</f>
        <v/>
      </c>
      <c r="AA5694">
        <f>Q5694+R5694+S5694+T5694+U5694+V5694+W5694+X5694+Y5694+Z5694</f>
        <v/>
      </c>
      <c r="AB5694" t="n">
        <v>54</v>
      </c>
      <c r="AC5694" t="n">
        <v>118</v>
      </c>
      <c r="AD5694" t="n">
        <v>22</v>
      </c>
      <c r="AE5694" t="n">
        <v>38</v>
      </c>
      <c r="AF5694" t="n">
        <v>62</v>
      </c>
      <c r="AG5694" t="n">
        <v>50</v>
      </c>
      <c r="AH5694" t="n">
        <v>52</v>
      </c>
      <c r="AI5694" t="n">
        <v>55</v>
      </c>
      <c r="AJ5694">
        <f>INDEX($Q$5640:$Q$5767,AC5694+1)</f>
        <v/>
      </c>
      <c r="AK5694">
        <f>INDEX($R$5640:$R$5767,AD5694+1)</f>
        <v/>
      </c>
      <c r="AL5694">
        <f>INDEX($S$5640:$S$5767,AE5694+1)</f>
        <v/>
      </c>
      <c r="AM5694">
        <f>INDEX($T$5640:$T$5767,AF5694+1)</f>
        <v/>
      </c>
      <c r="AN5694">
        <f>INDEX($U$5640:$U$5767,AG5694+1)</f>
        <v/>
      </c>
      <c r="AO5694">
        <f>INDEX($V$5640:$V$5767,AH5694+1)</f>
        <v/>
      </c>
      <c r="AP5694">
        <f>INDEX($W$5640:$W$5767,AI5694+1)</f>
        <v/>
      </c>
      <c r="AQ5694">
        <f>IF(Q5694&gt;=AJ5694-0.01,1,0)</f>
        <v/>
      </c>
      <c r="AR5694">
        <f>IF(R5694&gt;=AK5694-0.01,1,0)</f>
        <v/>
      </c>
      <c r="AS5694">
        <f>IF(S5694&gt;=AL5694-0.01,1,0)</f>
        <v/>
      </c>
      <c r="AT5694">
        <f>IF(T5694&gt;=AM5694-0.01,1,0)</f>
        <v/>
      </c>
      <c r="AU5694">
        <f>IF(U5694&gt;=AN5694-0.01,1,0)</f>
        <v/>
      </c>
      <c r="AV5694">
        <f>IF(V5694&gt;=AO5694-0.01,1,0)</f>
        <v/>
      </c>
      <c r="AW5694">
        <f>IF(W5694&gt;=AP5694-0.01,1,0)</f>
        <v/>
      </c>
      <c r="AX5694">
        <f>AQ5694*AR5694*AS5694*AT5694*AU5694*AV5694*AW5694</f>
        <v/>
      </c>
    </row>
    <row r="5695">
      <c r="A5695" t="inlineStr"/>
      <c r="B5695">
        <f>Assumptions!$B$60</f>
        <v/>
      </c>
      <c r="C5695" t="n">
        <v>0</v>
      </c>
      <c r="D5695" t="n">
        <v>1</v>
      </c>
      <c r="E5695" t="n">
        <v>1</v>
      </c>
      <c r="F5695" t="n">
        <v>0</v>
      </c>
      <c r="G5695" t="n">
        <v>1</v>
      </c>
      <c r="H5695" t="n">
        <v>1</v>
      </c>
      <c r="I5695" t="n">
        <v>1</v>
      </c>
      <c r="J5695">
        <f>(1-C5695)*Assumptions!$B$41+(1-D5695)*Assumptions!$B$33+(1-E5695)*Assumptions!$B$32+(1-F5695)*Assumptions!$B$31+(1-G5695)*Assumptions!$B$30+(1-H5695)*Assumptions!$B$29+(1-I5695)*Assumptions!$B$28</f>
        <v/>
      </c>
      <c r="K5695">
        <f>C5695*$J$532+D5695*$F$532+E5695*$G$532+F5695*Assumptions!$B$14+G5695*Assumptions!$B$13+H5695*Assumptions!$B$12+I5695*Assumptions!$B$11+$O$532+$S$532+Assumptions!$B$9</f>
        <v/>
      </c>
      <c r="L5695">
        <f>B5695-J5695</f>
        <v/>
      </c>
      <c r="M5695">
        <f>IF(K5695&gt;0,IF(L5695/K5695&gt;=Assumptions!$B$37,1,0),0)</f>
        <v/>
      </c>
      <c r="N5695">
        <f>K5695+M5695*Assumptions!$B$153</f>
        <v/>
      </c>
      <c r="O5695">
        <f>L5695+M5695*Assumptions!$B$153*Assumptions!$B$37</f>
        <v/>
      </c>
      <c r="P5695">
        <f>IF(N5695&gt;0,O5695/N5695,0)</f>
        <v/>
      </c>
      <c r="Q5695">
        <f>IF(C5695=1,P5695*$J$532,Assumptions!$B$41)</f>
        <v/>
      </c>
      <c r="R5695">
        <f>IF(D5695=1,P5695*$F$532,Assumptions!$B$33)</f>
        <v/>
      </c>
      <c r="S5695">
        <f>IF(E5695=1,P5695*$G$532,Assumptions!$B$32)</f>
        <v/>
      </c>
      <c r="T5695">
        <f>IF(F5695=1,P5695*Assumptions!$B$14,Assumptions!$B$31)</f>
        <v/>
      </c>
      <c r="U5695">
        <f>IF(G5695=1,P5695*Assumptions!$B$13,Assumptions!$B$30)</f>
        <v/>
      </c>
      <c r="V5695">
        <f>IF(H5695=1,P5695*Assumptions!$B$12,Assumptions!$B$29)</f>
        <v/>
      </c>
      <c r="W5695">
        <f>IF(I5695=1,P5695*Assumptions!$B$11,Assumptions!$B$28)</f>
        <v/>
      </c>
      <c r="X5695">
        <f>P5695*($O$532+$S$532)</f>
        <v/>
      </c>
      <c r="Y5695">
        <f>P5695*Assumptions!$B$9</f>
        <v/>
      </c>
      <c r="Z5695">
        <f>IF(M5695=1,(P5695-Assumptions!$B$37)*Assumptions!$B$153,0)</f>
        <v/>
      </c>
      <c r="AA5695">
        <f>Q5695+R5695+S5695+T5695+U5695+V5695+W5695+X5695+Y5695+Z5695</f>
        <v/>
      </c>
      <c r="AB5695" t="n">
        <v>55</v>
      </c>
      <c r="AC5695" t="n">
        <v>119</v>
      </c>
      <c r="AD5695" t="n">
        <v>23</v>
      </c>
      <c r="AE5695" t="n">
        <v>39</v>
      </c>
      <c r="AF5695" t="n">
        <v>63</v>
      </c>
      <c r="AG5695" t="n">
        <v>51</v>
      </c>
      <c r="AH5695" t="n">
        <v>53</v>
      </c>
      <c r="AI5695" t="n">
        <v>54</v>
      </c>
      <c r="AJ5695">
        <f>INDEX($Q$5640:$Q$5767,AC5695+1)</f>
        <v/>
      </c>
      <c r="AK5695">
        <f>INDEX($R$5640:$R$5767,AD5695+1)</f>
        <v/>
      </c>
      <c r="AL5695">
        <f>INDEX($S$5640:$S$5767,AE5695+1)</f>
        <v/>
      </c>
      <c r="AM5695">
        <f>INDEX($T$5640:$T$5767,AF5695+1)</f>
        <v/>
      </c>
      <c r="AN5695">
        <f>INDEX($U$5640:$U$5767,AG5695+1)</f>
        <v/>
      </c>
      <c r="AO5695">
        <f>INDEX($V$5640:$V$5767,AH5695+1)</f>
        <v/>
      </c>
      <c r="AP5695">
        <f>INDEX($W$5640:$W$5767,AI5695+1)</f>
        <v/>
      </c>
      <c r="AQ5695">
        <f>IF(Q5695&gt;=AJ5695-0.01,1,0)</f>
        <v/>
      </c>
      <c r="AR5695">
        <f>IF(R5695&gt;=AK5695-0.01,1,0)</f>
        <v/>
      </c>
      <c r="AS5695">
        <f>IF(S5695&gt;=AL5695-0.01,1,0)</f>
        <v/>
      </c>
      <c r="AT5695">
        <f>IF(T5695&gt;=AM5695-0.01,1,0)</f>
        <v/>
      </c>
      <c r="AU5695">
        <f>IF(U5695&gt;=AN5695-0.01,1,0)</f>
        <v/>
      </c>
      <c r="AV5695">
        <f>IF(V5695&gt;=AO5695-0.01,1,0)</f>
        <v/>
      </c>
      <c r="AW5695">
        <f>IF(W5695&gt;=AP5695-0.01,1,0)</f>
        <v/>
      </c>
      <c r="AX5695">
        <f>AQ5695*AR5695*AS5695*AT5695*AU5695*AV5695*AW5695</f>
        <v/>
      </c>
    </row>
    <row r="5696">
      <c r="A5696" t="inlineStr"/>
      <c r="B5696">
        <f>Assumptions!$B$60</f>
        <v/>
      </c>
      <c r="C5696" t="n">
        <v>0</v>
      </c>
      <c r="D5696" t="n">
        <v>1</v>
      </c>
      <c r="E5696" t="n">
        <v>1</v>
      </c>
      <c r="F5696" t="n">
        <v>1</v>
      </c>
      <c r="G5696" t="n">
        <v>0</v>
      </c>
      <c r="H5696" t="n">
        <v>0</v>
      </c>
      <c r="I5696" t="n">
        <v>0</v>
      </c>
      <c r="J5696">
        <f>(1-C5696)*Assumptions!$B$41+(1-D5696)*Assumptions!$B$33+(1-E5696)*Assumptions!$B$32+(1-F5696)*Assumptions!$B$31+(1-G5696)*Assumptions!$B$30+(1-H5696)*Assumptions!$B$29+(1-I5696)*Assumptions!$B$28</f>
        <v/>
      </c>
      <c r="K5696">
        <f>C5696*$J$532+D5696*$F$532+E5696*$G$532+F5696*Assumptions!$B$14+G5696*Assumptions!$B$13+H5696*Assumptions!$B$12+I5696*Assumptions!$B$11+$O$532+$S$532+Assumptions!$B$9</f>
        <v/>
      </c>
      <c r="L5696">
        <f>B5696-J5696</f>
        <v/>
      </c>
      <c r="M5696">
        <f>IF(K5696&gt;0,IF(L5696/K5696&gt;=Assumptions!$B$37,1,0),0)</f>
        <v/>
      </c>
      <c r="N5696">
        <f>K5696+M5696*Assumptions!$B$153</f>
        <v/>
      </c>
      <c r="O5696">
        <f>L5696+M5696*Assumptions!$B$153*Assumptions!$B$37</f>
        <v/>
      </c>
      <c r="P5696">
        <f>IF(N5696&gt;0,O5696/N5696,0)</f>
        <v/>
      </c>
      <c r="Q5696">
        <f>IF(C5696=1,P5696*$J$532,Assumptions!$B$41)</f>
        <v/>
      </c>
      <c r="R5696">
        <f>IF(D5696=1,P5696*$F$532,Assumptions!$B$33)</f>
        <v/>
      </c>
      <c r="S5696">
        <f>IF(E5696=1,P5696*$G$532,Assumptions!$B$32)</f>
        <v/>
      </c>
      <c r="T5696">
        <f>IF(F5696=1,P5696*Assumptions!$B$14,Assumptions!$B$31)</f>
        <v/>
      </c>
      <c r="U5696">
        <f>IF(G5696=1,P5696*Assumptions!$B$13,Assumptions!$B$30)</f>
        <v/>
      </c>
      <c r="V5696">
        <f>IF(H5696=1,P5696*Assumptions!$B$12,Assumptions!$B$29)</f>
        <v/>
      </c>
      <c r="W5696">
        <f>IF(I5696=1,P5696*Assumptions!$B$11,Assumptions!$B$28)</f>
        <v/>
      </c>
      <c r="X5696">
        <f>P5696*($O$532+$S$532)</f>
        <v/>
      </c>
      <c r="Y5696">
        <f>P5696*Assumptions!$B$9</f>
        <v/>
      </c>
      <c r="Z5696">
        <f>IF(M5696=1,(P5696-Assumptions!$B$37)*Assumptions!$B$153,0)</f>
        <v/>
      </c>
      <c r="AA5696">
        <f>Q5696+R5696+S5696+T5696+U5696+V5696+W5696+X5696+Y5696+Z5696</f>
        <v/>
      </c>
      <c r="AB5696" t="n">
        <v>56</v>
      </c>
      <c r="AC5696" t="n">
        <v>120</v>
      </c>
      <c r="AD5696" t="n">
        <v>24</v>
      </c>
      <c r="AE5696" t="n">
        <v>40</v>
      </c>
      <c r="AF5696" t="n">
        <v>48</v>
      </c>
      <c r="AG5696" t="n">
        <v>60</v>
      </c>
      <c r="AH5696" t="n">
        <v>58</v>
      </c>
      <c r="AI5696" t="n">
        <v>57</v>
      </c>
      <c r="AJ5696">
        <f>INDEX($Q$5640:$Q$5767,AC5696+1)</f>
        <v/>
      </c>
      <c r="AK5696">
        <f>INDEX($R$5640:$R$5767,AD5696+1)</f>
        <v/>
      </c>
      <c r="AL5696">
        <f>INDEX($S$5640:$S$5767,AE5696+1)</f>
        <v/>
      </c>
      <c r="AM5696">
        <f>INDEX($T$5640:$T$5767,AF5696+1)</f>
        <v/>
      </c>
      <c r="AN5696">
        <f>INDEX($U$5640:$U$5767,AG5696+1)</f>
        <v/>
      </c>
      <c r="AO5696">
        <f>INDEX($V$5640:$V$5767,AH5696+1)</f>
        <v/>
      </c>
      <c r="AP5696">
        <f>INDEX($W$5640:$W$5767,AI5696+1)</f>
        <v/>
      </c>
      <c r="AQ5696">
        <f>IF(Q5696&gt;=AJ5696-0.01,1,0)</f>
        <v/>
      </c>
      <c r="AR5696">
        <f>IF(R5696&gt;=AK5696-0.01,1,0)</f>
        <v/>
      </c>
      <c r="AS5696">
        <f>IF(S5696&gt;=AL5696-0.01,1,0)</f>
        <v/>
      </c>
      <c r="AT5696">
        <f>IF(T5696&gt;=AM5696-0.01,1,0)</f>
        <v/>
      </c>
      <c r="AU5696">
        <f>IF(U5696&gt;=AN5696-0.01,1,0)</f>
        <v/>
      </c>
      <c r="AV5696">
        <f>IF(V5696&gt;=AO5696-0.01,1,0)</f>
        <v/>
      </c>
      <c r="AW5696">
        <f>IF(W5696&gt;=AP5696-0.01,1,0)</f>
        <v/>
      </c>
      <c r="AX5696">
        <f>AQ5696*AR5696*AS5696*AT5696*AU5696*AV5696*AW5696</f>
        <v/>
      </c>
    </row>
    <row r="5697">
      <c r="A5697" t="inlineStr"/>
      <c r="B5697">
        <f>Assumptions!$B$60</f>
        <v/>
      </c>
      <c r="C5697" t="n">
        <v>0</v>
      </c>
      <c r="D5697" t="n">
        <v>1</v>
      </c>
      <c r="E5697" t="n">
        <v>1</v>
      </c>
      <c r="F5697" t="n">
        <v>1</v>
      </c>
      <c r="G5697" t="n">
        <v>0</v>
      </c>
      <c r="H5697" t="n">
        <v>0</v>
      </c>
      <c r="I5697" t="n">
        <v>1</v>
      </c>
      <c r="J5697">
        <f>(1-C5697)*Assumptions!$B$41+(1-D5697)*Assumptions!$B$33+(1-E5697)*Assumptions!$B$32+(1-F5697)*Assumptions!$B$31+(1-G5697)*Assumptions!$B$30+(1-H5697)*Assumptions!$B$29+(1-I5697)*Assumptions!$B$28</f>
        <v/>
      </c>
      <c r="K5697">
        <f>C5697*$J$532+D5697*$F$532+E5697*$G$532+F5697*Assumptions!$B$14+G5697*Assumptions!$B$13+H5697*Assumptions!$B$12+I5697*Assumptions!$B$11+$O$532+$S$532+Assumptions!$B$9</f>
        <v/>
      </c>
      <c r="L5697">
        <f>B5697-J5697</f>
        <v/>
      </c>
      <c r="M5697">
        <f>IF(K5697&gt;0,IF(L5697/K5697&gt;=Assumptions!$B$37,1,0),0)</f>
        <v/>
      </c>
      <c r="N5697">
        <f>K5697+M5697*Assumptions!$B$153</f>
        <v/>
      </c>
      <c r="O5697">
        <f>L5697+M5697*Assumptions!$B$153*Assumptions!$B$37</f>
        <v/>
      </c>
      <c r="P5697">
        <f>IF(N5697&gt;0,O5697/N5697,0)</f>
        <v/>
      </c>
      <c r="Q5697">
        <f>IF(C5697=1,P5697*$J$532,Assumptions!$B$41)</f>
        <v/>
      </c>
      <c r="R5697">
        <f>IF(D5697=1,P5697*$F$532,Assumptions!$B$33)</f>
        <v/>
      </c>
      <c r="S5697">
        <f>IF(E5697=1,P5697*$G$532,Assumptions!$B$32)</f>
        <v/>
      </c>
      <c r="T5697">
        <f>IF(F5697=1,P5697*Assumptions!$B$14,Assumptions!$B$31)</f>
        <v/>
      </c>
      <c r="U5697">
        <f>IF(G5697=1,P5697*Assumptions!$B$13,Assumptions!$B$30)</f>
        <v/>
      </c>
      <c r="V5697">
        <f>IF(H5697=1,P5697*Assumptions!$B$12,Assumptions!$B$29)</f>
        <v/>
      </c>
      <c r="W5697">
        <f>IF(I5697=1,P5697*Assumptions!$B$11,Assumptions!$B$28)</f>
        <v/>
      </c>
      <c r="X5697">
        <f>P5697*($O$532+$S$532)</f>
        <v/>
      </c>
      <c r="Y5697">
        <f>P5697*Assumptions!$B$9</f>
        <v/>
      </c>
      <c r="Z5697">
        <f>IF(M5697=1,(P5697-Assumptions!$B$37)*Assumptions!$B$153,0)</f>
        <v/>
      </c>
      <c r="AA5697">
        <f>Q5697+R5697+S5697+T5697+U5697+V5697+W5697+X5697+Y5697+Z5697</f>
        <v/>
      </c>
      <c r="AB5697" t="n">
        <v>57</v>
      </c>
      <c r="AC5697" t="n">
        <v>121</v>
      </c>
      <c r="AD5697" t="n">
        <v>25</v>
      </c>
      <c r="AE5697" t="n">
        <v>41</v>
      </c>
      <c r="AF5697" t="n">
        <v>49</v>
      </c>
      <c r="AG5697" t="n">
        <v>61</v>
      </c>
      <c r="AH5697" t="n">
        <v>59</v>
      </c>
      <c r="AI5697" t="n">
        <v>56</v>
      </c>
      <c r="AJ5697">
        <f>INDEX($Q$5640:$Q$5767,AC5697+1)</f>
        <v/>
      </c>
      <c r="AK5697">
        <f>INDEX($R$5640:$R$5767,AD5697+1)</f>
        <v/>
      </c>
      <c r="AL5697">
        <f>INDEX($S$5640:$S$5767,AE5697+1)</f>
        <v/>
      </c>
      <c r="AM5697">
        <f>INDEX($T$5640:$T$5767,AF5697+1)</f>
        <v/>
      </c>
      <c r="AN5697">
        <f>INDEX($U$5640:$U$5767,AG5697+1)</f>
        <v/>
      </c>
      <c r="AO5697">
        <f>INDEX($V$5640:$V$5767,AH5697+1)</f>
        <v/>
      </c>
      <c r="AP5697">
        <f>INDEX($W$5640:$W$5767,AI5697+1)</f>
        <v/>
      </c>
      <c r="AQ5697">
        <f>IF(Q5697&gt;=AJ5697-0.01,1,0)</f>
        <v/>
      </c>
      <c r="AR5697">
        <f>IF(R5697&gt;=AK5697-0.01,1,0)</f>
        <v/>
      </c>
      <c r="AS5697">
        <f>IF(S5697&gt;=AL5697-0.01,1,0)</f>
        <v/>
      </c>
      <c r="AT5697">
        <f>IF(T5697&gt;=AM5697-0.01,1,0)</f>
        <v/>
      </c>
      <c r="AU5697">
        <f>IF(U5697&gt;=AN5697-0.01,1,0)</f>
        <v/>
      </c>
      <c r="AV5697">
        <f>IF(V5697&gt;=AO5697-0.01,1,0)</f>
        <v/>
      </c>
      <c r="AW5697">
        <f>IF(W5697&gt;=AP5697-0.01,1,0)</f>
        <v/>
      </c>
      <c r="AX5697">
        <f>AQ5697*AR5697*AS5697*AT5697*AU5697*AV5697*AW5697</f>
        <v/>
      </c>
    </row>
    <row r="5698">
      <c r="A5698" t="inlineStr"/>
      <c r="B5698">
        <f>Assumptions!$B$60</f>
        <v/>
      </c>
      <c r="C5698" t="n">
        <v>0</v>
      </c>
      <c r="D5698" t="n">
        <v>1</v>
      </c>
      <c r="E5698" t="n">
        <v>1</v>
      </c>
      <c r="F5698" t="n">
        <v>1</v>
      </c>
      <c r="G5698" t="n">
        <v>0</v>
      </c>
      <c r="H5698" t="n">
        <v>1</v>
      </c>
      <c r="I5698" t="n">
        <v>0</v>
      </c>
      <c r="J5698">
        <f>(1-C5698)*Assumptions!$B$41+(1-D5698)*Assumptions!$B$33+(1-E5698)*Assumptions!$B$32+(1-F5698)*Assumptions!$B$31+(1-G5698)*Assumptions!$B$30+(1-H5698)*Assumptions!$B$29+(1-I5698)*Assumptions!$B$28</f>
        <v/>
      </c>
      <c r="K5698">
        <f>C5698*$J$532+D5698*$F$532+E5698*$G$532+F5698*Assumptions!$B$14+G5698*Assumptions!$B$13+H5698*Assumptions!$B$12+I5698*Assumptions!$B$11+$O$532+$S$532+Assumptions!$B$9</f>
        <v/>
      </c>
      <c r="L5698">
        <f>B5698-J5698</f>
        <v/>
      </c>
      <c r="M5698">
        <f>IF(K5698&gt;0,IF(L5698/K5698&gt;=Assumptions!$B$37,1,0),0)</f>
        <v/>
      </c>
      <c r="N5698">
        <f>K5698+M5698*Assumptions!$B$153</f>
        <v/>
      </c>
      <c r="O5698">
        <f>L5698+M5698*Assumptions!$B$153*Assumptions!$B$37</f>
        <v/>
      </c>
      <c r="P5698">
        <f>IF(N5698&gt;0,O5698/N5698,0)</f>
        <v/>
      </c>
      <c r="Q5698">
        <f>IF(C5698=1,P5698*$J$532,Assumptions!$B$41)</f>
        <v/>
      </c>
      <c r="R5698">
        <f>IF(D5698=1,P5698*$F$532,Assumptions!$B$33)</f>
        <v/>
      </c>
      <c r="S5698">
        <f>IF(E5698=1,P5698*$G$532,Assumptions!$B$32)</f>
        <v/>
      </c>
      <c r="T5698">
        <f>IF(F5698=1,P5698*Assumptions!$B$14,Assumptions!$B$31)</f>
        <v/>
      </c>
      <c r="U5698">
        <f>IF(G5698=1,P5698*Assumptions!$B$13,Assumptions!$B$30)</f>
        <v/>
      </c>
      <c r="V5698">
        <f>IF(H5698=1,P5698*Assumptions!$B$12,Assumptions!$B$29)</f>
        <v/>
      </c>
      <c r="W5698">
        <f>IF(I5698=1,P5698*Assumptions!$B$11,Assumptions!$B$28)</f>
        <v/>
      </c>
      <c r="X5698">
        <f>P5698*($O$532+$S$532)</f>
        <v/>
      </c>
      <c r="Y5698">
        <f>P5698*Assumptions!$B$9</f>
        <v/>
      </c>
      <c r="Z5698">
        <f>IF(M5698=1,(P5698-Assumptions!$B$37)*Assumptions!$B$153,0)</f>
        <v/>
      </c>
      <c r="AA5698">
        <f>Q5698+R5698+S5698+T5698+U5698+V5698+W5698+X5698+Y5698+Z5698</f>
        <v/>
      </c>
      <c r="AB5698" t="n">
        <v>58</v>
      </c>
      <c r="AC5698" t="n">
        <v>122</v>
      </c>
      <c r="AD5698" t="n">
        <v>26</v>
      </c>
      <c r="AE5698" t="n">
        <v>42</v>
      </c>
      <c r="AF5698" t="n">
        <v>50</v>
      </c>
      <c r="AG5698" t="n">
        <v>62</v>
      </c>
      <c r="AH5698" t="n">
        <v>56</v>
      </c>
      <c r="AI5698" t="n">
        <v>59</v>
      </c>
      <c r="AJ5698">
        <f>INDEX($Q$5640:$Q$5767,AC5698+1)</f>
        <v/>
      </c>
      <c r="AK5698">
        <f>INDEX($R$5640:$R$5767,AD5698+1)</f>
        <v/>
      </c>
      <c r="AL5698">
        <f>INDEX($S$5640:$S$5767,AE5698+1)</f>
        <v/>
      </c>
      <c r="AM5698">
        <f>INDEX($T$5640:$T$5767,AF5698+1)</f>
        <v/>
      </c>
      <c r="AN5698">
        <f>INDEX($U$5640:$U$5767,AG5698+1)</f>
        <v/>
      </c>
      <c r="AO5698">
        <f>INDEX($V$5640:$V$5767,AH5698+1)</f>
        <v/>
      </c>
      <c r="AP5698">
        <f>INDEX($W$5640:$W$5767,AI5698+1)</f>
        <v/>
      </c>
      <c r="AQ5698">
        <f>IF(Q5698&gt;=AJ5698-0.01,1,0)</f>
        <v/>
      </c>
      <c r="AR5698">
        <f>IF(R5698&gt;=AK5698-0.01,1,0)</f>
        <v/>
      </c>
      <c r="AS5698">
        <f>IF(S5698&gt;=AL5698-0.01,1,0)</f>
        <v/>
      </c>
      <c r="AT5698">
        <f>IF(T5698&gt;=AM5698-0.01,1,0)</f>
        <v/>
      </c>
      <c r="AU5698">
        <f>IF(U5698&gt;=AN5698-0.01,1,0)</f>
        <v/>
      </c>
      <c r="AV5698">
        <f>IF(V5698&gt;=AO5698-0.01,1,0)</f>
        <v/>
      </c>
      <c r="AW5698">
        <f>IF(W5698&gt;=AP5698-0.01,1,0)</f>
        <v/>
      </c>
      <c r="AX5698">
        <f>AQ5698*AR5698*AS5698*AT5698*AU5698*AV5698*AW5698</f>
        <v/>
      </c>
    </row>
    <row r="5699">
      <c r="A5699" t="inlineStr"/>
      <c r="B5699">
        <f>Assumptions!$B$60</f>
        <v/>
      </c>
      <c r="C5699" t="n">
        <v>0</v>
      </c>
      <c r="D5699" t="n">
        <v>1</v>
      </c>
      <c r="E5699" t="n">
        <v>1</v>
      </c>
      <c r="F5699" t="n">
        <v>1</v>
      </c>
      <c r="G5699" t="n">
        <v>0</v>
      </c>
      <c r="H5699" t="n">
        <v>1</v>
      </c>
      <c r="I5699" t="n">
        <v>1</v>
      </c>
      <c r="J5699">
        <f>(1-C5699)*Assumptions!$B$41+(1-D5699)*Assumptions!$B$33+(1-E5699)*Assumptions!$B$32+(1-F5699)*Assumptions!$B$31+(1-G5699)*Assumptions!$B$30+(1-H5699)*Assumptions!$B$29+(1-I5699)*Assumptions!$B$28</f>
        <v/>
      </c>
      <c r="K5699">
        <f>C5699*$J$532+D5699*$F$532+E5699*$G$532+F5699*Assumptions!$B$14+G5699*Assumptions!$B$13+H5699*Assumptions!$B$12+I5699*Assumptions!$B$11+$O$532+$S$532+Assumptions!$B$9</f>
        <v/>
      </c>
      <c r="L5699">
        <f>B5699-J5699</f>
        <v/>
      </c>
      <c r="M5699">
        <f>IF(K5699&gt;0,IF(L5699/K5699&gt;=Assumptions!$B$37,1,0),0)</f>
        <v/>
      </c>
      <c r="N5699">
        <f>K5699+M5699*Assumptions!$B$153</f>
        <v/>
      </c>
      <c r="O5699">
        <f>L5699+M5699*Assumptions!$B$153*Assumptions!$B$37</f>
        <v/>
      </c>
      <c r="P5699">
        <f>IF(N5699&gt;0,O5699/N5699,0)</f>
        <v/>
      </c>
      <c r="Q5699">
        <f>IF(C5699=1,P5699*$J$532,Assumptions!$B$41)</f>
        <v/>
      </c>
      <c r="R5699">
        <f>IF(D5699=1,P5699*$F$532,Assumptions!$B$33)</f>
        <v/>
      </c>
      <c r="S5699">
        <f>IF(E5699=1,P5699*$G$532,Assumptions!$B$32)</f>
        <v/>
      </c>
      <c r="T5699">
        <f>IF(F5699=1,P5699*Assumptions!$B$14,Assumptions!$B$31)</f>
        <v/>
      </c>
      <c r="U5699">
        <f>IF(G5699=1,P5699*Assumptions!$B$13,Assumptions!$B$30)</f>
        <v/>
      </c>
      <c r="V5699">
        <f>IF(H5699=1,P5699*Assumptions!$B$12,Assumptions!$B$29)</f>
        <v/>
      </c>
      <c r="W5699">
        <f>IF(I5699=1,P5699*Assumptions!$B$11,Assumptions!$B$28)</f>
        <v/>
      </c>
      <c r="X5699">
        <f>P5699*($O$532+$S$532)</f>
        <v/>
      </c>
      <c r="Y5699">
        <f>P5699*Assumptions!$B$9</f>
        <v/>
      </c>
      <c r="Z5699">
        <f>IF(M5699=1,(P5699-Assumptions!$B$37)*Assumptions!$B$153,0)</f>
        <v/>
      </c>
      <c r="AA5699">
        <f>Q5699+R5699+S5699+T5699+U5699+V5699+W5699+X5699+Y5699+Z5699</f>
        <v/>
      </c>
      <c r="AB5699" t="n">
        <v>59</v>
      </c>
      <c r="AC5699" t="n">
        <v>123</v>
      </c>
      <c r="AD5699" t="n">
        <v>27</v>
      </c>
      <c r="AE5699" t="n">
        <v>43</v>
      </c>
      <c r="AF5699" t="n">
        <v>51</v>
      </c>
      <c r="AG5699" t="n">
        <v>63</v>
      </c>
      <c r="AH5699" t="n">
        <v>57</v>
      </c>
      <c r="AI5699" t="n">
        <v>58</v>
      </c>
      <c r="AJ5699">
        <f>INDEX($Q$5640:$Q$5767,AC5699+1)</f>
        <v/>
      </c>
      <c r="AK5699">
        <f>INDEX($R$5640:$R$5767,AD5699+1)</f>
        <v/>
      </c>
      <c r="AL5699">
        <f>INDEX($S$5640:$S$5767,AE5699+1)</f>
        <v/>
      </c>
      <c r="AM5699">
        <f>INDEX($T$5640:$T$5767,AF5699+1)</f>
        <v/>
      </c>
      <c r="AN5699">
        <f>INDEX($U$5640:$U$5767,AG5699+1)</f>
        <v/>
      </c>
      <c r="AO5699">
        <f>INDEX($V$5640:$V$5767,AH5699+1)</f>
        <v/>
      </c>
      <c r="AP5699">
        <f>INDEX($W$5640:$W$5767,AI5699+1)</f>
        <v/>
      </c>
      <c r="AQ5699">
        <f>IF(Q5699&gt;=AJ5699-0.01,1,0)</f>
        <v/>
      </c>
      <c r="AR5699">
        <f>IF(R5699&gt;=AK5699-0.01,1,0)</f>
        <v/>
      </c>
      <c r="AS5699">
        <f>IF(S5699&gt;=AL5699-0.01,1,0)</f>
        <v/>
      </c>
      <c r="AT5699">
        <f>IF(T5699&gt;=AM5699-0.01,1,0)</f>
        <v/>
      </c>
      <c r="AU5699">
        <f>IF(U5699&gt;=AN5699-0.01,1,0)</f>
        <v/>
      </c>
      <c r="AV5699">
        <f>IF(V5699&gt;=AO5699-0.01,1,0)</f>
        <v/>
      </c>
      <c r="AW5699">
        <f>IF(W5699&gt;=AP5699-0.01,1,0)</f>
        <v/>
      </c>
      <c r="AX5699">
        <f>AQ5699*AR5699*AS5699*AT5699*AU5699*AV5699*AW5699</f>
        <v/>
      </c>
    </row>
    <row r="5700">
      <c r="A5700" t="inlineStr"/>
      <c r="B5700">
        <f>Assumptions!$B$60</f>
        <v/>
      </c>
      <c r="C5700" t="n">
        <v>0</v>
      </c>
      <c r="D5700" t="n">
        <v>1</v>
      </c>
      <c r="E5700" t="n">
        <v>1</v>
      </c>
      <c r="F5700" t="n">
        <v>1</v>
      </c>
      <c r="G5700" t="n">
        <v>1</v>
      </c>
      <c r="H5700" t="n">
        <v>0</v>
      </c>
      <c r="I5700" t="n">
        <v>0</v>
      </c>
      <c r="J5700">
        <f>(1-C5700)*Assumptions!$B$41+(1-D5700)*Assumptions!$B$33+(1-E5700)*Assumptions!$B$32+(1-F5700)*Assumptions!$B$31+(1-G5700)*Assumptions!$B$30+(1-H5700)*Assumptions!$B$29+(1-I5700)*Assumptions!$B$28</f>
        <v/>
      </c>
      <c r="K5700">
        <f>C5700*$J$532+D5700*$F$532+E5700*$G$532+F5700*Assumptions!$B$14+G5700*Assumptions!$B$13+H5700*Assumptions!$B$12+I5700*Assumptions!$B$11+$O$532+$S$532+Assumptions!$B$9</f>
        <v/>
      </c>
      <c r="L5700">
        <f>B5700-J5700</f>
        <v/>
      </c>
      <c r="M5700">
        <f>IF(K5700&gt;0,IF(L5700/K5700&gt;=Assumptions!$B$37,1,0),0)</f>
        <v/>
      </c>
      <c r="N5700">
        <f>K5700+M5700*Assumptions!$B$153</f>
        <v/>
      </c>
      <c r="O5700">
        <f>L5700+M5700*Assumptions!$B$153*Assumptions!$B$37</f>
        <v/>
      </c>
      <c r="P5700">
        <f>IF(N5700&gt;0,O5700/N5700,0)</f>
        <v/>
      </c>
      <c r="Q5700">
        <f>IF(C5700=1,P5700*$J$532,Assumptions!$B$41)</f>
        <v/>
      </c>
      <c r="R5700">
        <f>IF(D5700=1,P5700*$F$532,Assumptions!$B$33)</f>
        <v/>
      </c>
      <c r="S5700">
        <f>IF(E5700=1,P5700*$G$532,Assumptions!$B$32)</f>
        <v/>
      </c>
      <c r="T5700">
        <f>IF(F5700=1,P5700*Assumptions!$B$14,Assumptions!$B$31)</f>
        <v/>
      </c>
      <c r="U5700">
        <f>IF(G5700=1,P5700*Assumptions!$B$13,Assumptions!$B$30)</f>
        <v/>
      </c>
      <c r="V5700">
        <f>IF(H5700=1,P5700*Assumptions!$B$12,Assumptions!$B$29)</f>
        <v/>
      </c>
      <c r="W5700">
        <f>IF(I5700=1,P5700*Assumptions!$B$11,Assumptions!$B$28)</f>
        <v/>
      </c>
      <c r="X5700">
        <f>P5700*($O$532+$S$532)</f>
        <v/>
      </c>
      <c r="Y5700">
        <f>P5700*Assumptions!$B$9</f>
        <v/>
      </c>
      <c r="Z5700">
        <f>IF(M5700=1,(P5700-Assumptions!$B$37)*Assumptions!$B$153,0)</f>
        <v/>
      </c>
      <c r="AA5700">
        <f>Q5700+R5700+S5700+T5700+U5700+V5700+W5700+X5700+Y5700+Z5700</f>
        <v/>
      </c>
      <c r="AB5700" t="n">
        <v>60</v>
      </c>
      <c r="AC5700" t="n">
        <v>124</v>
      </c>
      <c r="AD5700" t="n">
        <v>28</v>
      </c>
      <c r="AE5700" t="n">
        <v>44</v>
      </c>
      <c r="AF5700" t="n">
        <v>52</v>
      </c>
      <c r="AG5700" t="n">
        <v>56</v>
      </c>
      <c r="AH5700" t="n">
        <v>62</v>
      </c>
      <c r="AI5700" t="n">
        <v>61</v>
      </c>
      <c r="AJ5700">
        <f>INDEX($Q$5640:$Q$5767,AC5700+1)</f>
        <v/>
      </c>
      <c r="AK5700">
        <f>INDEX($R$5640:$R$5767,AD5700+1)</f>
        <v/>
      </c>
      <c r="AL5700">
        <f>INDEX($S$5640:$S$5767,AE5700+1)</f>
        <v/>
      </c>
      <c r="AM5700">
        <f>INDEX($T$5640:$T$5767,AF5700+1)</f>
        <v/>
      </c>
      <c r="AN5700">
        <f>INDEX($U$5640:$U$5767,AG5700+1)</f>
        <v/>
      </c>
      <c r="AO5700">
        <f>INDEX($V$5640:$V$5767,AH5700+1)</f>
        <v/>
      </c>
      <c r="AP5700">
        <f>INDEX($W$5640:$W$5767,AI5700+1)</f>
        <v/>
      </c>
      <c r="AQ5700">
        <f>IF(Q5700&gt;=AJ5700-0.01,1,0)</f>
        <v/>
      </c>
      <c r="AR5700">
        <f>IF(R5700&gt;=AK5700-0.01,1,0)</f>
        <v/>
      </c>
      <c r="AS5700">
        <f>IF(S5700&gt;=AL5700-0.01,1,0)</f>
        <v/>
      </c>
      <c r="AT5700">
        <f>IF(T5700&gt;=AM5700-0.01,1,0)</f>
        <v/>
      </c>
      <c r="AU5700">
        <f>IF(U5700&gt;=AN5700-0.01,1,0)</f>
        <v/>
      </c>
      <c r="AV5700">
        <f>IF(V5700&gt;=AO5700-0.01,1,0)</f>
        <v/>
      </c>
      <c r="AW5700">
        <f>IF(W5700&gt;=AP5700-0.01,1,0)</f>
        <v/>
      </c>
      <c r="AX5700">
        <f>AQ5700*AR5700*AS5700*AT5700*AU5700*AV5700*AW5700</f>
        <v/>
      </c>
    </row>
    <row r="5701">
      <c r="A5701" t="inlineStr"/>
      <c r="B5701">
        <f>Assumptions!$B$60</f>
        <v/>
      </c>
      <c r="C5701" t="n">
        <v>0</v>
      </c>
      <c r="D5701" t="n">
        <v>1</v>
      </c>
      <c r="E5701" t="n">
        <v>1</v>
      </c>
      <c r="F5701" t="n">
        <v>1</v>
      </c>
      <c r="G5701" t="n">
        <v>1</v>
      </c>
      <c r="H5701" t="n">
        <v>0</v>
      </c>
      <c r="I5701" t="n">
        <v>1</v>
      </c>
      <c r="J5701">
        <f>(1-C5701)*Assumptions!$B$41+(1-D5701)*Assumptions!$B$33+(1-E5701)*Assumptions!$B$32+(1-F5701)*Assumptions!$B$31+(1-G5701)*Assumptions!$B$30+(1-H5701)*Assumptions!$B$29+(1-I5701)*Assumptions!$B$28</f>
        <v/>
      </c>
      <c r="K5701">
        <f>C5701*$J$532+D5701*$F$532+E5701*$G$532+F5701*Assumptions!$B$14+G5701*Assumptions!$B$13+H5701*Assumptions!$B$12+I5701*Assumptions!$B$11+$O$532+$S$532+Assumptions!$B$9</f>
        <v/>
      </c>
      <c r="L5701">
        <f>B5701-J5701</f>
        <v/>
      </c>
      <c r="M5701">
        <f>IF(K5701&gt;0,IF(L5701/K5701&gt;=Assumptions!$B$37,1,0),0)</f>
        <v/>
      </c>
      <c r="N5701">
        <f>K5701+M5701*Assumptions!$B$153</f>
        <v/>
      </c>
      <c r="O5701">
        <f>L5701+M5701*Assumptions!$B$153*Assumptions!$B$37</f>
        <v/>
      </c>
      <c r="P5701">
        <f>IF(N5701&gt;0,O5701/N5701,0)</f>
        <v/>
      </c>
      <c r="Q5701">
        <f>IF(C5701=1,P5701*$J$532,Assumptions!$B$41)</f>
        <v/>
      </c>
      <c r="R5701">
        <f>IF(D5701=1,P5701*$F$532,Assumptions!$B$33)</f>
        <v/>
      </c>
      <c r="S5701">
        <f>IF(E5701=1,P5701*$G$532,Assumptions!$B$32)</f>
        <v/>
      </c>
      <c r="T5701">
        <f>IF(F5701=1,P5701*Assumptions!$B$14,Assumptions!$B$31)</f>
        <v/>
      </c>
      <c r="U5701">
        <f>IF(G5701=1,P5701*Assumptions!$B$13,Assumptions!$B$30)</f>
        <v/>
      </c>
      <c r="V5701">
        <f>IF(H5701=1,P5701*Assumptions!$B$12,Assumptions!$B$29)</f>
        <v/>
      </c>
      <c r="W5701">
        <f>IF(I5701=1,P5701*Assumptions!$B$11,Assumptions!$B$28)</f>
        <v/>
      </c>
      <c r="X5701">
        <f>P5701*($O$532+$S$532)</f>
        <v/>
      </c>
      <c r="Y5701">
        <f>P5701*Assumptions!$B$9</f>
        <v/>
      </c>
      <c r="Z5701">
        <f>IF(M5701=1,(P5701-Assumptions!$B$37)*Assumptions!$B$153,0)</f>
        <v/>
      </c>
      <c r="AA5701">
        <f>Q5701+R5701+S5701+T5701+U5701+V5701+W5701+X5701+Y5701+Z5701</f>
        <v/>
      </c>
      <c r="AB5701" t="n">
        <v>61</v>
      </c>
      <c r="AC5701" t="n">
        <v>125</v>
      </c>
      <c r="AD5701" t="n">
        <v>29</v>
      </c>
      <c r="AE5701" t="n">
        <v>45</v>
      </c>
      <c r="AF5701" t="n">
        <v>53</v>
      </c>
      <c r="AG5701" t="n">
        <v>57</v>
      </c>
      <c r="AH5701" t="n">
        <v>63</v>
      </c>
      <c r="AI5701" t="n">
        <v>60</v>
      </c>
      <c r="AJ5701">
        <f>INDEX($Q$5640:$Q$5767,AC5701+1)</f>
        <v/>
      </c>
      <c r="AK5701">
        <f>INDEX($R$5640:$R$5767,AD5701+1)</f>
        <v/>
      </c>
      <c r="AL5701">
        <f>INDEX($S$5640:$S$5767,AE5701+1)</f>
        <v/>
      </c>
      <c r="AM5701">
        <f>INDEX($T$5640:$T$5767,AF5701+1)</f>
        <v/>
      </c>
      <c r="AN5701">
        <f>INDEX($U$5640:$U$5767,AG5701+1)</f>
        <v/>
      </c>
      <c r="AO5701">
        <f>INDEX($V$5640:$V$5767,AH5701+1)</f>
        <v/>
      </c>
      <c r="AP5701">
        <f>INDEX($W$5640:$W$5767,AI5701+1)</f>
        <v/>
      </c>
      <c r="AQ5701">
        <f>IF(Q5701&gt;=AJ5701-0.01,1,0)</f>
        <v/>
      </c>
      <c r="AR5701">
        <f>IF(R5701&gt;=AK5701-0.01,1,0)</f>
        <v/>
      </c>
      <c r="AS5701">
        <f>IF(S5701&gt;=AL5701-0.01,1,0)</f>
        <v/>
      </c>
      <c r="AT5701">
        <f>IF(T5701&gt;=AM5701-0.01,1,0)</f>
        <v/>
      </c>
      <c r="AU5701">
        <f>IF(U5701&gt;=AN5701-0.01,1,0)</f>
        <v/>
      </c>
      <c r="AV5701">
        <f>IF(V5701&gt;=AO5701-0.01,1,0)</f>
        <v/>
      </c>
      <c r="AW5701">
        <f>IF(W5701&gt;=AP5701-0.01,1,0)</f>
        <v/>
      </c>
      <c r="AX5701">
        <f>AQ5701*AR5701*AS5701*AT5701*AU5701*AV5701*AW5701</f>
        <v/>
      </c>
    </row>
    <row r="5702">
      <c r="A5702" t="inlineStr"/>
      <c r="B5702">
        <f>Assumptions!$B$60</f>
        <v/>
      </c>
      <c r="C5702" t="n">
        <v>0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0</v>
      </c>
      <c r="J5702">
        <f>(1-C5702)*Assumptions!$B$41+(1-D5702)*Assumptions!$B$33+(1-E5702)*Assumptions!$B$32+(1-F5702)*Assumptions!$B$31+(1-G5702)*Assumptions!$B$30+(1-H5702)*Assumptions!$B$29+(1-I5702)*Assumptions!$B$28</f>
        <v/>
      </c>
      <c r="K5702">
        <f>C5702*$J$532+D5702*$F$532+E5702*$G$532+F5702*Assumptions!$B$14+G5702*Assumptions!$B$13+H5702*Assumptions!$B$12+I5702*Assumptions!$B$11+$O$532+$S$532+Assumptions!$B$9</f>
        <v/>
      </c>
      <c r="L5702">
        <f>B5702-J5702</f>
        <v/>
      </c>
      <c r="M5702">
        <f>IF(K5702&gt;0,IF(L5702/K5702&gt;=Assumptions!$B$37,1,0),0)</f>
        <v/>
      </c>
      <c r="N5702">
        <f>K5702+M5702*Assumptions!$B$153</f>
        <v/>
      </c>
      <c r="O5702">
        <f>L5702+M5702*Assumptions!$B$153*Assumptions!$B$37</f>
        <v/>
      </c>
      <c r="P5702">
        <f>IF(N5702&gt;0,O5702/N5702,0)</f>
        <v/>
      </c>
      <c r="Q5702">
        <f>IF(C5702=1,P5702*$J$532,Assumptions!$B$41)</f>
        <v/>
      </c>
      <c r="R5702">
        <f>IF(D5702=1,P5702*$F$532,Assumptions!$B$33)</f>
        <v/>
      </c>
      <c r="S5702">
        <f>IF(E5702=1,P5702*$G$532,Assumptions!$B$32)</f>
        <v/>
      </c>
      <c r="T5702">
        <f>IF(F5702=1,P5702*Assumptions!$B$14,Assumptions!$B$31)</f>
        <v/>
      </c>
      <c r="U5702">
        <f>IF(G5702=1,P5702*Assumptions!$B$13,Assumptions!$B$30)</f>
        <v/>
      </c>
      <c r="V5702">
        <f>IF(H5702=1,P5702*Assumptions!$B$12,Assumptions!$B$29)</f>
        <v/>
      </c>
      <c r="W5702">
        <f>IF(I5702=1,P5702*Assumptions!$B$11,Assumptions!$B$28)</f>
        <v/>
      </c>
      <c r="X5702">
        <f>P5702*($O$532+$S$532)</f>
        <v/>
      </c>
      <c r="Y5702">
        <f>P5702*Assumptions!$B$9</f>
        <v/>
      </c>
      <c r="Z5702">
        <f>IF(M5702=1,(P5702-Assumptions!$B$37)*Assumptions!$B$153,0)</f>
        <v/>
      </c>
      <c r="AA5702">
        <f>Q5702+R5702+S5702+T5702+U5702+V5702+W5702+X5702+Y5702+Z5702</f>
        <v/>
      </c>
      <c r="AB5702" t="n">
        <v>62</v>
      </c>
      <c r="AC5702" t="n">
        <v>126</v>
      </c>
      <c r="AD5702" t="n">
        <v>30</v>
      </c>
      <c r="AE5702" t="n">
        <v>46</v>
      </c>
      <c r="AF5702" t="n">
        <v>54</v>
      </c>
      <c r="AG5702" t="n">
        <v>58</v>
      </c>
      <c r="AH5702" t="n">
        <v>60</v>
      </c>
      <c r="AI5702" t="n">
        <v>63</v>
      </c>
      <c r="AJ5702">
        <f>INDEX($Q$5640:$Q$5767,AC5702+1)</f>
        <v/>
      </c>
      <c r="AK5702">
        <f>INDEX($R$5640:$R$5767,AD5702+1)</f>
        <v/>
      </c>
      <c r="AL5702">
        <f>INDEX($S$5640:$S$5767,AE5702+1)</f>
        <v/>
      </c>
      <c r="AM5702">
        <f>INDEX($T$5640:$T$5767,AF5702+1)</f>
        <v/>
      </c>
      <c r="AN5702">
        <f>INDEX($U$5640:$U$5767,AG5702+1)</f>
        <v/>
      </c>
      <c r="AO5702">
        <f>INDEX($V$5640:$V$5767,AH5702+1)</f>
        <v/>
      </c>
      <c r="AP5702">
        <f>INDEX($W$5640:$W$5767,AI5702+1)</f>
        <v/>
      </c>
      <c r="AQ5702">
        <f>IF(Q5702&gt;=AJ5702-0.01,1,0)</f>
        <v/>
      </c>
      <c r="AR5702">
        <f>IF(R5702&gt;=AK5702-0.01,1,0)</f>
        <v/>
      </c>
      <c r="AS5702">
        <f>IF(S5702&gt;=AL5702-0.01,1,0)</f>
        <v/>
      </c>
      <c r="AT5702">
        <f>IF(T5702&gt;=AM5702-0.01,1,0)</f>
        <v/>
      </c>
      <c r="AU5702">
        <f>IF(U5702&gt;=AN5702-0.01,1,0)</f>
        <v/>
      </c>
      <c r="AV5702">
        <f>IF(V5702&gt;=AO5702-0.01,1,0)</f>
        <v/>
      </c>
      <c r="AW5702">
        <f>IF(W5702&gt;=AP5702-0.01,1,0)</f>
        <v/>
      </c>
      <c r="AX5702">
        <f>AQ5702*AR5702*AS5702*AT5702*AU5702*AV5702*AW5702</f>
        <v/>
      </c>
    </row>
    <row r="5703">
      <c r="A5703" t="inlineStr"/>
      <c r="B5703">
        <f>Assumptions!$B$60</f>
        <v/>
      </c>
      <c r="C5703" t="n">
        <v>0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>
        <f>(1-C5703)*Assumptions!$B$41+(1-D5703)*Assumptions!$B$33+(1-E5703)*Assumptions!$B$32+(1-F5703)*Assumptions!$B$31+(1-G5703)*Assumptions!$B$30+(1-H5703)*Assumptions!$B$29+(1-I5703)*Assumptions!$B$28</f>
        <v/>
      </c>
      <c r="K5703">
        <f>C5703*$J$532+D5703*$F$532+E5703*$G$532+F5703*Assumptions!$B$14+G5703*Assumptions!$B$13+H5703*Assumptions!$B$12+I5703*Assumptions!$B$11+$O$532+$S$532+Assumptions!$B$9</f>
        <v/>
      </c>
      <c r="L5703">
        <f>B5703-J5703</f>
        <v/>
      </c>
      <c r="M5703">
        <f>IF(K5703&gt;0,IF(L5703/K5703&gt;=Assumptions!$B$37,1,0),0)</f>
        <v/>
      </c>
      <c r="N5703">
        <f>K5703+M5703*Assumptions!$B$153</f>
        <v/>
      </c>
      <c r="O5703">
        <f>L5703+M5703*Assumptions!$B$153*Assumptions!$B$37</f>
        <v/>
      </c>
      <c r="P5703">
        <f>IF(N5703&gt;0,O5703/N5703,0)</f>
        <v/>
      </c>
      <c r="Q5703">
        <f>IF(C5703=1,P5703*$J$532,Assumptions!$B$41)</f>
        <v/>
      </c>
      <c r="R5703">
        <f>IF(D5703=1,P5703*$F$532,Assumptions!$B$33)</f>
        <v/>
      </c>
      <c r="S5703">
        <f>IF(E5703=1,P5703*$G$532,Assumptions!$B$32)</f>
        <v/>
      </c>
      <c r="T5703">
        <f>IF(F5703=1,P5703*Assumptions!$B$14,Assumptions!$B$31)</f>
        <v/>
      </c>
      <c r="U5703">
        <f>IF(G5703=1,P5703*Assumptions!$B$13,Assumptions!$B$30)</f>
        <v/>
      </c>
      <c r="V5703">
        <f>IF(H5703=1,P5703*Assumptions!$B$12,Assumptions!$B$29)</f>
        <v/>
      </c>
      <c r="W5703">
        <f>IF(I5703=1,P5703*Assumptions!$B$11,Assumptions!$B$28)</f>
        <v/>
      </c>
      <c r="X5703">
        <f>P5703*($O$532+$S$532)</f>
        <v/>
      </c>
      <c r="Y5703">
        <f>P5703*Assumptions!$B$9</f>
        <v/>
      </c>
      <c r="Z5703">
        <f>IF(M5703=1,(P5703-Assumptions!$B$37)*Assumptions!$B$153,0)</f>
        <v/>
      </c>
      <c r="AA5703">
        <f>Q5703+R5703+S5703+T5703+U5703+V5703+W5703+X5703+Y5703+Z5703</f>
        <v/>
      </c>
      <c r="AB5703" t="n">
        <v>63</v>
      </c>
      <c r="AC5703" t="n">
        <v>127</v>
      </c>
      <c r="AD5703" t="n">
        <v>31</v>
      </c>
      <c r="AE5703" t="n">
        <v>47</v>
      </c>
      <c r="AF5703" t="n">
        <v>55</v>
      </c>
      <c r="AG5703" t="n">
        <v>59</v>
      </c>
      <c r="AH5703" t="n">
        <v>61</v>
      </c>
      <c r="AI5703" t="n">
        <v>62</v>
      </c>
      <c r="AJ5703">
        <f>INDEX($Q$5640:$Q$5767,AC5703+1)</f>
        <v/>
      </c>
      <c r="AK5703">
        <f>INDEX($R$5640:$R$5767,AD5703+1)</f>
        <v/>
      </c>
      <c r="AL5703">
        <f>INDEX($S$5640:$S$5767,AE5703+1)</f>
        <v/>
      </c>
      <c r="AM5703">
        <f>INDEX($T$5640:$T$5767,AF5703+1)</f>
        <v/>
      </c>
      <c r="AN5703">
        <f>INDEX($U$5640:$U$5767,AG5703+1)</f>
        <v/>
      </c>
      <c r="AO5703">
        <f>INDEX($V$5640:$V$5767,AH5703+1)</f>
        <v/>
      </c>
      <c r="AP5703">
        <f>INDEX($W$5640:$W$5767,AI5703+1)</f>
        <v/>
      </c>
      <c r="AQ5703">
        <f>IF(Q5703&gt;=AJ5703-0.01,1,0)</f>
        <v/>
      </c>
      <c r="AR5703">
        <f>IF(R5703&gt;=AK5703-0.01,1,0)</f>
        <v/>
      </c>
      <c r="AS5703">
        <f>IF(S5703&gt;=AL5703-0.01,1,0)</f>
        <v/>
      </c>
      <c r="AT5703">
        <f>IF(T5703&gt;=AM5703-0.01,1,0)</f>
        <v/>
      </c>
      <c r="AU5703">
        <f>IF(U5703&gt;=AN5703-0.01,1,0)</f>
        <v/>
      </c>
      <c r="AV5703">
        <f>IF(V5703&gt;=AO5703-0.01,1,0)</f>
        <v/>
      </c>
      <c r="AW5703">
        <f>IF(W5703&gt;=AP5703-0.01,1,0)</f>
        <v/>
      </c>
      <c r="AX5703">
        <f>AQ5703*AR5703*AS5703*AT5703*AU5703*AV5703*AW5703</f>
        <v/>
      </c>
    </row>
    <row r="5704">
      <c r="A5704" t="inlineStr"/>
      <c r="B5704">
        <f>Assumptions!$B$60</f>
        <v/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>
        <f>(1-C5704)*Assumptions!$B$41+(1-D5704)*Assumptions!$B$33+(1-E5704)*Assumptions!$B$32+(1-F5704)*Assumptions!$B$31+(1-G5704)*Assumptions!$B$30+(1-H5704)*Assumptions!$B$29+(1-I5704)*Assumptions!$B$28</f>
        <v/>
      </c>
      <c r="K5704">
        <f>C5704*$J$532+D5704*$F$532+E5704*$G$532+F5704*Assumptions!$B$14+G5704*Assumptions!$B$13+H5704*Assumptions!$B$12+I5704*Assumptions!$B$11+$O$532+$S$532+Assumptions!$B$9</f>
        <v/>
      </c>
      <c r="L5704">
        <f>B5704-J5704</f>
        <v/>
      </c>
      <c r="M5704">
        <f>IF(K5704&gt;0,IF(L5704/K5704&gt;=Assumptions!$B$37,1,0),0)</f>
        <v/>
      </c>
      <c r="N5704">
        <f>K5704+M5704*Assumptions!$B$153</f>
        <v/>
      </c>
      <c r="O5704">
        <f>L5704+M5704*Assumptions!$B$153*Assumptions!$B$37</f>
        <v/>
      </c>
      <c r="P5704">
        <f>IF(N5704&gt;0,O5704/N5704,0)</f>
        <v/>
      </c>
      <c r="Q5704">
        <f>IF(C5704=1,P5704*$J$532,Assumptions!$B$41)</f>
        <v/>
      </c>
      <c r="R5704">
        <f>IF(D5704=1,P5704*$F$532,Assumptions!$B$33)</f>
        <v/>
      </c>
      <c r="S5704">
        <f>IF(E5704=1,P5704*$G$532,Assumptions!$B$32)</f>
        <v/>
      </c>
      <c r="T5704">
        <f>IF(F5704=1,P5704*Assumptions!$B$14,Assumptions!$B$31)</f>
        <v/>
      </c>
      <c r="U5704">
        <f>IF(G5704=1,P5704*Assumptions!$B$13,Assumptions!$B$30)</f>
        <v/>
      </c>
      <c r="V5704">
        <f>IF(H5704=1,P5704*Assumptions!$B$12,Assumptions!$B$29)</f>
        <v/>
      </c>
      <c r="W5704">
        <f>IF(I5704=1,P5704*Assumptions!$B$11,Assumptions!$B$28)</f>
        <v/>
      </c>
      <c r="X5704">
        <f>P5704*($O$532+$S$532)</f>
        <v/>
      </c>
      <c r="Y5704">
        <f>P5704*Assumptions!$B$9</f>
        <v/>
      </c>
      <c r="Z5704">
        <f>IF(M5704=1,(P5704-Assumptions!$B$37)*Assumptions!$B$153,0)</f>
        <v/>
      </c>
      <c r="AA5704">
        <f>Q5704+R5704+S5704+T5704+U5704+V5704+W5704+X5704+Y5704+Z5704</f>
        <v/>
      </c>
      <c r="AB5704" t="n">
        <v>64</v>
      </c>
      <c r="AC5704" t="n">
        <v>0</v>
      </c>
      <c r="AD5704" t="n">
        <v>96</v>
      </c>
      <c r="AE5704" t="n">
        <v>80</v>
      </c>
      <c r="AF5704" t="n">
        <v>72</v>
      </c>
      <c r="AG5704" t="n">
        <v>68</v>
      </c>
      <c r="AH5704" t="n">
        <v>66</v>
      </c>
      <c r="AI5704" t="n">
        <v>65</v>
      </c>
      <c r="AJ5704">
        <f>INDEX($Q$5640:$Q$5767,AC5704+1)</f>
        <v/>
      </c>
      <c r="AK5704">
        <f>INDEX($R$5640:$R$5767,AD5704+1)</f>
        <v/>
      </c>
      <c r="AL5704">
        <f>INDEX($S$5640:$S$5767,AE5704+1)</f>
        <v/>
      </c>
      <c r="AM5704">
        <f>INDEX($T$5640:$T$5767,AF5704+1)</f>
        <v/>
      </c>
      <c r="AN5704">
        <f>INDEX($U$5640:$U$5767,AG5704+1)</f>
        <v/>
      </c>
      <c r="AO5704">
        <f>INDEX($V$5640:$V$5767,AH5704+1)</f>
        <v/>
      </c>
      <c r="AP5704">
        <f>INDEX($W$5640:$W$5767,AI5704+1)</f>
        <v/>
      </c>
      <c r="AQ5704">
        <f>IF(Q5704&gt;=AJ5704-0.01,1,0)</f>
        <v/>
      </c>
      <c r="AR5704">
        <f>IF(R5704&gt;=AK5704-0.01,1,0)</f>
        <v/>
      </c>
      <c r="AS5704">
        <f>IF(S5704&gt;=AL5704-0.01,1,0)</f>
        <v/>
      </c>
      <c r="AT5704">
        <f>IF(T5704&gt;=AM5704-0.01,1,0)</f>
        <v/>
      </c>
      <c r="AU5704">
        <f>IF(U5704&gt;=AN5704-0.01,1,0)</f>
        <v/>
      </c>
      <c r="AV5704">
        <f>IF(V5704&gt;=AO5704-0.01,1,0)</f>
        <v/>
      </c>
      <c r="AW5704">
        <f>IF(W5704&gt;=AP5704-0.01,1,0)</f>
        <v/>
      </c>
      <c r="AX5704">
        <f>AQ5704*AR5704*AS5704*AT5704*AU5704*AV5704*AW5704</f>
        <v/>
      </c>
    </row>
    <row r="5705">
      <c r="A5705" t="inlineStr"/>
      <c r="B5705">
        <f>Assumptions!$B$60</f>
        <v/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>
        <f>(1-C5705)*Assumptions!$B$41+(1-D5705)*Assumptions!$B$33+(1-E5705)*Assumptions!$B$32+(1-F5705)*Assumptions!$B$31+(1-G5705)*Assumptions!$B$30+(1-H5705)*Assumptions!$B$29+(1-I5705)*Assumptions!$B$28</f>
        <v/>
      </c>
      <c r="K5705">
        <f>C5705*$J$532+D5705*$F$532+E5705*$G$532+F5705*Assumptions!$B$14+G5705*Assumptions!$B$13+H5705*Assumptions!$B$12+I5705*Assumptions!$B$11+$O$532+$S$532+Assumptions!$B$9</f>
        <v/>
      </c>
      <c r="L5705">
        <f>B5705-J5705</f>
        <v/>
      </c>
      <c r="M5705">
        <f>IF(K5705&gt;0,IF(L5705/K5705&gt;=Assumptions!$B$37,1,0),0)</f>
        <v/>
      </c>
      <c r="N5705">
        <f>K5705+M5705*Assumptions!$B$153</f>
        <v/>
      </c>
      <c r="O5705">
        <f>L5705+M5705*Assumptions!$B$153*Assumptions!$B$37</f>
        <v/>
      </c>
      <c r="P5705">
        <f>IF(N5705&gt;0,O5705/N5705,0)</f>
        <v/>
      </c>
      <c r="Q5705">
        <f>IF(C5705=1,P5705*$J$532,Assumptions!$B$41)</f>
        <v/>
      </c>
      <c r="R5705">
        <f>IF(D5705=1,P5705*$F$532,Assumptions!$B$33)</f>
        <v/>
      </c>
      <c r="S5705">
        <f>IF(E5705=1,P5705*$G$532,Assumptions!$B$32)</f>
        <v/>
      </c>
      <c r="T5705">
        <f>IF(F5705=1,P5705*Assumptions!$B$14,Assumptions!$B$31)</f>
        <v/>
      </c>
      <c r="U5705">
        <f>IF(G5705=1,P5705*Assumptions!$B$13,Assumptions!$B$30)</f>
        <v/>
      </c>
      <c r="V5705">
        <f>IF(H5705=1,P5705*Assumptions!$B$12,Assumptions!$B$29)</f>
        <v/>
      </c>
      <c r="W5705">
        <f>IF(I5705=1,P5705*Assumptions!$B$11,Assumptions!$B$28)</f>
        <v/>
      </c>
      <c r="X5705">
        <f>P5705*($O$532+$S$532)</f>
        <v/>
      </c>
      <c r="Y5705">
        <f>P5705*Assumptions!$B$9</f>
        <v/>
      </c>
      <c r="Z5705">
        <f>IF(M5705=1,(P5705-Assumptions!$B$37)*Assumptions!$B$153,0)</f>
        <v/>
      </c>
      <c r="AA5705">
        <f>Q5705+R5705+S5705+T5705+U5705+V5705+W5705+X5705+Y5705+Z5705</f>
        <v/>
      </c>
      <c r="AB5705" t="n">
        <v>65</v>
      </c>
      <c r="AC5705" t="n">
        <v>1</v>
      </c>
      <c r="AD5705" t="n">
        <v>97</v>
      </c>
      <c r="AE5705" t="n">
        <v>81</v>
      </c>
      <c r="AF5705" t="n">
        <v>73</v>
      </c>
      <c r="AG5705" t="n">
        <v>69</v>
      </c>
      <c r="AH5705" t="n">
        <v>67</v>
      </c>
      <c r="AI5705" t="n">
        <v>64</v>
      </c>
      <c r="AJ5705">
        <f>INDEX($Q$5640:$Q$5767,AC5705+1)</f>
        <v/>
      </c>
      <c r="AK5705">
        <f>INDEX($R$5640:$R$5767,AD5705+1)</f>
        <v/>
      </c>
      <c r="AL5705">
        <f>INDEX($S$5640:$S$5767,AE5705+1)</f>
        <v/>
      </c>
      <c r="AM5705">
        <f>INDEX($T$5640:$T$5767,AF5705+1)</f>
        <v/>
      </c>
      <c r="AN5705">
        <f>INDEX($U$5640:$U$5767,AG5705+1)</f>
        <v/>
      </c>
      <c r="AO5705">
        <f>INDEX($V$5640:$V$5767,AH5705+1)</f>
        <v/>
      </c>
      <c r="AP5705">
        <f>INDEX($W$5640:$W$5767,AI5705+1)</f>
        <v/>
      </c>
      <c r="AQ5705">
        <f>IF(Q5705&gt;=AJ5705-0.01,1,0)</f>
        <v/>
      </c>
      <c r="AR5705">
        <f>IF(R5705&gt;=AK5705-0.01,1,0)</f>
        <v/>
      </c>
      <c r="AS5705">
        <f>IF(S5705&gt;=AL5705-0.01,1,0)</f>
        <v/>
      </c>
      <c r="AT5705">
        <f>IF(T5705&gt;=AM5705-0.01,1,0)</f>
        <v/>
      </c>
      <c r="AU5705">
        <f>IF(U5705&gt;=AN5705-0.01,1,0)</f>
        <v/>
      </c>
      <c r="AV5705">
        <f>IF(V5705&gt;=AO5705-0.01,1,0)</f>
        <v/>
      </c>
      <c r="AW5705">
        <f>IF(W5705&gt;=AP5705-0.01,1,0)</f>
        <v/>
      </c>
      <c r="AX5705">
        <f>AQ5705*AR5705*AS5705*AT5705*AU5705*AV5705*AW5705</f>
        <v/>
      </c>
    </row>
    <row r="5706">
      <c r="A5706" t="inlineStr"/>
      <c r="B5706">
        <f>Assumptions!$B$60</f>
        <v/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>
        <f>(1-C5706)*Assumptions!$B$41+(1-D5706)*Assumptions!$B$33+(1-E5706)*Assumptions!$B$32+(1-F5706)*Assumptions!$B$31+(1-G5706)*Assumptions!$B$30+(1-H5706)*Assumptions!$B$29+(1-I5706)*Assumptions!$B$28</f>
        <v/>
      </c>
      <c r="K5706">
        <f>C5706*$J$532+D5706*$F$532+E5706*$G$532+F5706*Assumptions!$B$14+G5706*Assumptions!$B$13+H5706*Assumptions!$B$12+I5706*Assumptions!$B$11+$O$532+$S$532+Assumptions!$B$9</f>
        <v/>
      </c>
      <c r="L5706">
        <f>B5706-J5706</f>
        <v/>
      </c>
      <c r="M5706">
        <f>IF(K5706&gt;0,IF(L5706/K5706&gt;=Assumptions!$B$37,1,0),0)</f>
        <v/>
      </c>
      <c r="N5706">
        <f>K5706+M5706*Assumptions!$B$153</f>
        <v/>
      </c>
      <c r="O5706">
        <f>L5706+M5706*Assumptions!$B$153*Assumptions!$B$37</f>
        <v/>
      </c>
      <c r="P5706">
        <f>IF(N5706&gt;0,O5706/N5706,0)</f>
        <v/>
      </c>
      <c r="Q5706">
        <f>IF(C5706=1,P5706*$J$532,Assumptions!$B$41)</f>
        <v/>
      </c>
      <c r="R5706">
        <f>IF(D5706=1,P5706*$F$532,Assumptions!$B$33)</f>
        <v/>
      </c>
      <c r="S5706">
        <f>IF(E5706=1,P5706*$G$532,Assumptions!$B$32)</f>
        <v/>
      </c>
      <c r="T5706">
        <f>IF(F5706=1,P5706*Assumptions!$B$14,Assumptions!$B$31)</f>
        <v/>
      </c>
      <c r="U5706">
        <f>IF(G5706=1,P5706*Assumptions!$B$13,Assumptions!$B$30)</f>
        <v/>
      </c>
      <c r="V5706">
        <f>IF(H5706=1,P5706*Assumptions!$B$12,Assumptions!$B$29)</f>
        <v/>
      </c>
      <c r="W5706">
        <f>IF(I5706=1,P5706*Assumptions!$B$11,Assumptions!$B$28)</f>
        <v/>
      </c>
      <c r="X5706">
        <f>P5706*($O$532+$S$532)</f>
        <v/>
      </c>
      <c r="Y5706">
        <f>P5706*Assumptions!$B$9</f>
        <v/>
      </c>
      <c r="Z5706">
        <f>IF(M5706=1,(P5706-Assumptions!$B$37)*Assumptions!$B$153,0)</f>
        <v/>
      </c>
      <c r="AA5706">
        <f>Q5706+R5706+S5706+T5706+U5706+V5706+W5706+X5706+Y5706+Z5706</f>
        <v/>
      </c>
      <c r="AB5706" t="n">
        <v>66</v>
      </c>
      <c r="AC5706" t="n">
        <v>2</v>
      </c>
      <c r="AD5706" t="n">
        <v>98</v>
      </c>
      <c r="AE5706" t="n">
        <v>82</v>
      </c>
      <c r="AF5706" t="n">
        <v>74</v>
      </c>
      <c r="AG5706" t="n">
        <v>70</v>
      </c>
      <c r="AH5706" t="n">
        <v>64</v>
      </c>
      <c r="AI5706" t="n">
        <v>67</v>
      </c>
      <c r="AJ5706">
        <f>INDEX($Q$5640:$Q$5767,AC5706+1)</f>
        <v/>
      </c>
      <c r="AK5706">
        <f>INDEX($R$5640:$R$5767,AD5706+1)</f>
        <v/>
      </c>
      <c r="AL5706">
        <f>INDEX($S$5640:$S$5767,AE5706+1)</f>
        <v/>
      </c>
      <c r="AM5706">
        <f>INDEX($T$5640:$T$5767,AF5706+1)</f>
        <v/>
      </c>
      <c r="AN5706">
        <f>INDEX($U$5640:$U$5767,AG5706+1)</f>
        <v/>
      </c>
      <c r="AO5706">
        <f>INDEX($V$5640:$V$5767,AH5706+1)</f>
        <v/>
      </c>
      <c r="AP5706">
        <f>INDEX($W$5640:$W$5767,AI5706+1)</f>
        <v/>
      </c>
      <c r="AQ5706">
        <f>IF(Q5706&gt;=AJ5706-0.01,1,0)</f>
        <v/>
      </c>
      <c r="AR5706">
        <f>IF(R5706&gt;=AK5706-0.01,1,0)</f>
        <v/>
      </c>
      <c r="AS5706">
        <f>IF(S5706&gt;=AL5706-0.01,1,0)</f>
        <v/>
      </c>
      <c r="AT5706">
        <f>IF(T5706&gt;=AM5706-0.01,1,0)</f>
        <v/>
      </c>
      <c r="AU5706">
        <f>IF(U5706&gt;=AN5706-0.01,1,0)</f>
        <v/>
      </c>
      <c r="AV5706">
        <f>IF(V5706&gt;=AO5706-0.01,1,0)</f>
        <v/>
      </c>
      <c r="AW5706">
        <f>IF(W5706&gt;=AP5706-0.01,1,0)</f>
        <v/>
      </c>
      <c r="AX5706">
        <f>AQ5706*AR5706*AS5706*AT5706*AU5706*AV5706*AW5706</f>
        <v/>
      </c>
    </row>
    <row r="5707">
      <c r="A5707" t="inlineStr"/>
      <c r="B5707">
        <f>Assumptions!$B$60</f>
        <v/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</v>
      </c>
      <c r="J5707">
        <f>(1-C5707)*Assumptions!$B$41+(1-D5707)*Assumptions!$B$33+(1-E5707)*Assumptions!$B$32+(1-F5707)*Assumptions!$B$31+(1-G5707)*Assumptions!$B$30+(1-H5707)*Assumptions!$B$29+(1-I5707)*Assumptions!$B$28</f>
        <v/>
      </c>
      <c r="K5707">
        <f>C5707*$J$532+D5707*$F$532+E5707*$G$532+F5707*Assumptions!$B$14+G5707*Assumptions!$B$13+H5707*Assumptions!$B$12+I5707*Assumptions!$B$11+$O$532+$S$532+Assumptions!$B$9</f>
        <v/>
      </c>
      <c r="L5707">
        <f>B5707-J5707</f>
        <v/>
      </c>
      <c r="M5707">
        <f>IF(K5707&gt;0,IF(L5707/K5707&gt;=Assumptions!$B$37,1,0),0)</f>
        <v/>
      </c>
      <c r="N5707">
        <f>K5707+M5707*Assumptions!$B$153</f>
        <v/>
      </c>
      <c r="O5707">
        <f>L5707+M5707*Assumptions!$B$153*Assumptions!$B$37</f>
        <v/>
      </c>
      <c r="P5707">
        <f>IF(N5707&gt;0,O5707/N5707,0)</f>
        <v/>
      </c>
      <c r="Q5707">
        <f>IF(C5707=1,P5707*$J$532,Assumptions!$B$41)</f>
        <v/>
      </c>
      <c r="R5707">
        <f>IF(D5707=1,P5707*$F$532,Assumptions!$B$33)</f>
        <v/>
      </c>
      <c r="S5707">
        <f>IF(E5707=1,P5707*$G$532,Assumptions!$B$32)</f>
        <v/>
      </c>
      <c r="T5707">
        <f>IF(F5707=1,P5707*Assumptions!$B$14,Assumptions!$B$31)</f>
        <v/>
      </c>
      <c r="U5707">
        <f>IF(G5707=1,P5707*Assumptions!$B$13,Assumptions!$B$30)</f>
        <v/>
      </c>
      <c r="V5707">
        <f>IF(H5707=1,P5707*Assumptions!$B$12,Assumptions!$B$29)</f>
        <v/>
      </c>
      <c r="W5707">
        <f>IF(I5707=1,P5707*Assumptions!$B$11,Assumptions!$B$28)</f>
        <v/>
      </c>
      <c r="X5707">
        <f>P5707*($O$532+$S$532)</f>
        <v/>
      </c>
      <c r="Y5707">
        <f>P5707*Assumptions!$B$9</f>
        <v/>
      </c>
      <c r="Z5707">
        <f>IF(M5707=1,(P5707-Assumptions!$B$37)*Assumptions!$B$153,0)</f>
        <v/>
      </c>
      <c r="AA5707">
        <f>Q5707+R5707+S5707+T5707+U5707+V5707+W5707+X5707+Y5707+Z5707</f>
        <v/>
      </c>
      <c r="AB5707" t="n">
        <v>67</v>
      </c>
      <c r="AC5707" t="n">
        <v>3</v>
      </c>
      <c r="AD5707" t="n">
        <v>99</v>
      </c>
      <c r="AE5707" t="n">
        <v>83</v>
      </c>
      <c r="AF5707" t="n">
        <v>75</v>
      </c>
      <c r="AG5707" t="n">
        <v>71</v>
      </c>
      <c r="AH5707" t="n">
        <v>65</v>
      </c>
      <c r="AI5707" t="n">
        <v>66</v>
      </c>
      <c r="AJ5707">
        <f>INDEX($Q$5640:$Q$5767,AC5707+1)</f>
        <v/>
      </c>
      <c r="AK5707">
        <f>INDEX($R$5640:$R$5767,AD5707+1)</f>
        <v/>
      </c>
      <c r="AL5707">
        <f>INDEX($S$5640:$S$5767,AE5707+1)</f>
        <v/>
      </c>
      <c r="AM5707">
        <f>INDEX($T$5640:$T$5767,AF5707+1)</f>
        <v/>
      </c>
      <c r="AN5707">
        <f>INDEX($U$5640:$U$5767,AG5707+1)</f>
        <v/>
      </c>
      <c r="AO5707">
        <f>INDEX($V$5640:$V$5767,AH5707+1)</f>
        <v/>
      </c>
      <c r="AP5707">
        <f>INDEX($W$5640:$W$5767,AI5707+1)</f>
        <v/>
      </c>
      <c r="AQ5707">
        <f>IF(Q5707&gt;=AJ5707-0.01,1,0)</f>
        <v/>
      </c>
      <c r="AR5707">
        <f>IF(R5707&gt;=AK5707-0.01,1,0)</f>
        <v/>
      </c>
      <c r="AS5707">
        <f>IF(S5707&gt;=AL5707-0.01,1,0)</f>
        <v/>
      </c>
      <c r="AT5707">
        <f>IF(T5707&gt;=AM5707-0.01,1,0)</f>
        <v/>
      </c>
      <c r="AU5707">
        <f>IF(U5707&gt;=AN5707-0.01,1,0)</f>
        <v/>
      </c>
      <c r="AV5707">
        <f>IF(V5707&gt;=AO5707-0.01,1,0)</f>
        <v/>
      </c>
      <c r="AW5707">
        <f>IF(W5707&gt;=AP5707-0.01,1,0)</f>
        <v/>
      </c>
      <c r="AX5707">
        <f>AQ5707*AR5707*AS5707*AT5707*AU5707*AV5707*AW5707</f>
        <v/>
      </c>
    </row>
    <row r="5708">
      <c r="A5708" t="inlineStr"/>
      <c r="B5708">
        <f>Assumptions!$B$60</f>
        <v/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>
        <f>(1-C5708)*Assumptions!$B$41+(1-D5708)*Assumptions!$B$33+(1-E5708)*Assumptions!$B$32+(1-F5708)*Assumptions!$B$31+(1-G5708)*Assumptions!$B$30+(1-H5708)*Assumptions!$B$29+(1-I5708)*Assumptions!$B$28</f>
        <v/>
      </c>
      <c r="K5708">
        <f>C5708*$J$532+D5708*$F$532+E5708*$G$532+F5708*Assumptions!$B$14+G5708*Assumptions!$B$13+H5708*Assumptions!$B$12+I5708*Assumptions!$B$11+$O$532+$S$532+Assumptions!$B$9</f>
        <v/>
      </c>
      <c r="L5708">
        <f>B5708-J5708</f>
        <v/>
      </c>
      <c r="M5708">
        <f>IF(K5708&gt;0,IF(L5708/K5708&gt;=Assumptions!$B$37,1,0),0)</f>
        <v/>
      </c>
      <c r="N5708">
        <f>K5708+M5708*Assumptions!$B$153</f>
        <v/>
      </c>
      <c r="O5708">
        <f>L5708+M5708*Assumptions!$B$153*Assumptions!$B$37</f>
        <v/>
      </c>
      <c r="P5708">
        <f>IF(N5708&gt;0,O5708/N5708,0)</f>
        <v/>
      </c>
      <c r="Q5708">
        <f>IF(C5708=1,P5708*$J$532,Assumptions!$B$41)</f>
        <v/>
      </c>
      <c r="R5708">
        <f>IF(D5708=1,P5708*$F$532,Assumptions!$B$33)</f>
        <v/>
      </c>
      <c r="S5708">
        <f>IF(E5708=1,P5708*$G$532,Assumptions!$B$32)</f>
        <v/>
      </c>
      <c r="T5708">
        <f>IF(F5708=1,P5708*Assumptions!$B$14,Assumptions!$B$31)</f>
        <v/>
      </c>
      <c r="U5708">
        <f>IF(G5708=1,P5708*Assumptions!$B$13,Assumptions!$B$30)</f>
        <v/>
      </c>
      <c r="V5708">
        <f>IF(H5708=1,P5708*Assumptions!$B$12,Assumptions!$B$29)</f>
        <v/>
      </c>
      <c r="W5708">
        <f>IF(I5708=1,P5708*Assumptions!$B$11,Assumptions!$B$28)</f>
        <v/>
      </c>
      <c r="X5708">
        <f>P5708*($O$532+$S$532)</f>
        <v/>
      </c>
      <c r="Y5708">
        <f>P5708*Assumptions!$B$9</f>
        <v/>
      </c>
      <c r="Z5708">
        <f>IF(M5708=1,(P5708-Assumptions!$B$37)*Assumptions!$B$153,0)</f>
        <v/>
      </c>
      <c r="AA5708">
        <f>Q5708+R5708+S5708+T5708+U5708+V5708+W5708+X5708+Y5708+Z5708</f>
        <v/>
      </c>
      <c r="AB5708" t="n">
        <v>68</v>
      </c>
      <c r="AC5708" t="n">
        <v>4</v>
      </c>
      <c r="AD5708" t="n">
        <v>100</v>
      </c>
      <c r="AE5708" t="n">
        <v>84</v>
      </c>
      <c r="AF5708" t="n">
        <v>76</v>
      </c>
      <c r="AG5708" t="n">
        <v>64</v>
      </c>
      <c r="AH5708" t="n">
        <v>70</v>
      </c>
      <c r="AI5708" t="n">
        <v>69</v>
      </c>
      <c r="AJ5708">
        <f>INDEX($Q$5640:$Q$5767,AC5708+1)</f>
        <v/>
      </c>
      <c r="AK5708">
        <f>INDEX($R$5640:$R$5767,AD5708+1)</f>
        <v/>
      </c>
      <c r="AL5708">
        <f>INDEX($S$5640:$S$5767,AE5708+1)</f>
        <v/>
      </c>
      <c r="AM5708">
        <f>INDEX($T$5640:$T$5767,AF5708+1)</f>
        <v/>
      </c>
      <c r="AN5708">
        <f>INDEX($U$5640:$U$5767,AG5708+1)</f>
        <v/>
      </c>
      <c r="AO5708">
        <f>INDEX($V$5640:$V$5767,AH5708+1)</f>
        <v/>
      </c>
      <c r="AP5708">
        <f>INDEX($W$5640:$W$5767,AI5708+1)</f>
        <v/>
      </c>
      <c r="AQ5708">
        <f>IF(Q5708&gt;=AJ5708-0.01,1,0)</f>
        <v/>
      </c>
      <c r="AR5708">
        <f>IF(R5708&gt;=AK5708-0.01,1,0)</f>
        <v/>
      </c>
      <c r="AS5708">
        <f>IF(S5708&gt;=AL5708-0.01,1,0)</f>
        <v/>
      </c>
      <c r="AT5708">
        <f>IF(T5708&gt;=AM5708-0.01,1,0)</f>
        <v/>
      </c>
      <c r="AU5708">
        <f>IF(U5708&gt;=AN5708-0.01,1,0)</f>
        <v/>
      </c>
      <c r="AV5708">
        <f>IF(V5708&gt;=AO5708-0.01,1,0)</f>
        <v/>
      </c>
      <c r="AW5708">
        <f>IF(W5708&gt;=AP5708-0.01,1,0)</f>
        <v/>
      </c>
      <c r="AX5708">
        <f>AQ5708*AR5708*AS5708*AT5708*AU5708*AV5708*AW5708</f>
        <v/>
      </c>
    </row>
    <row r="5709">
      <c r="A5709" t="inlineStr"/>
      <c r="B5709">
        <f>Assumptions!$B$60</f>
        <v/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0</v>
      </c>
      <c r="I5709" t="n">
        <v>1</v>
      </c>
      <c r="J5709">
        <f>(1-C5709)*Assumptions!$B$41+(1-D5709)*Assumptions!$B$33+(1-E5709)*Assumptions!$B$32+(1-F5709)*Assumptions!$B$31+(1-G5709)*Assumptions!$B$30+(1-H5709)*Assumptions!$B$29+(1-I5709)*Assumptions!$B$28</f>
        <v/>
      </c>
      <c r="K5709">
        <f>C5709*$J$532+D5709*$F$532+E5709*$G$532+F5709*Assumptions!$B$14+G5709*Assumptions!$B$13+H5709*Assumptions!$B$12+I5709*Assumptions!$B$11+$O$532+$S$532+Assumptions!$B$9</f>
        <v/>
      </c>
      <c r="L5709">
        <f>B5709-J5709</f>
        <v/>
      </c>
      <c r="M5709">
        <f>IF(K5709&gt;0,IF(L5709/K5709&gt;=Assumptions!$B$37,1,0),0)</f>
        <v/>
      </c>
      <c r="N5709">
        <f>K5709+M5709*Assumptions!$B$153</f>
        <v/>
      </c>
      <c r="O5709">
        <f>L5709+M5709*Assumptions!$B$153*Assumptions!$B$37</f>
        <v/>
      </c>
      <c r="P5709">
        <f>IF(N5709&gt;0,O5709/N5709,0)</f>
        <v/>
      </c>
      <c r="Q5709">
        <f>IF(C5709=1,P5709*$J$532,Assumptions!$B$41)</f>
        <v/>
      </c>
      <c r="R5709">
        <f>IF(D5709=1,P5709*$F$532,Assumptions!$B$33)</f>
        <v/>
      </c>
      <c r="S5709">
        <f>IF(E5709=1,P5709*$G$532,Assumptions!$B$32)</f>
        <v/>
      </c>
      <c r="T5709">
        <f>IF(F5709=1,P5709*Assumptions!$B$14,Assumptions!$B$31)</f>
        <v/>
      </c>
      <c r="U5709">
        <f>IF(G5709=1,P5709*Assumptions!$B$13,Assumptions!$B$30)</f>
        <v/>
      </c>
      <c r="V5709">
        <f>IF(H5709=1,P5709*Assumptions!$B$12,Assumptions!$B$29)</f>
        <v/>
      </c>
      <c r="W5709">
        <f>IF(I5709=1,P5709*Assumptions!$B$11,Assumptions!$B$28)</f>
        <v/>
      </c>
      <c r="X5709">
        <f>P5709*($O$532+$S$532)</f>
        <v/>
      </c>
      <c r="Y5709">
        <f>P5709*Assumptions!$B$9</f>
        <v/>
      </c>
      <c r="Z5709">
        <f>IF(M5709=1,(P5709-Assumptions!$B$37)*Assumptions!$B$153,0)</f>
        <v/>
      </c>
      <c r="AA5709">
        <f>Q5709+R5709+S5709+T5709+U5709+V5709+W5709+X5709+Y5709+Z5709</f>
        <v/>
      </c>
      <c r="AB5709" t="n">
        <v>69</v>
      </c>
      <c r="AC5709" t="n">
        <v>5</v>
      </c>
      <c r="AD5709" t="n">
        <v>101</v>
      </c>
      <c r="AE5709" t="n">
        <v>85</v>
      </c>
      <c r="AF5709" t="n">
        <v>77</v>
      </c>
      <c r="AG5709" t="n">
        <v>65</v>
      </c>
      <c r="AH5709" t="n">
        <v>71</v>
      </c>
      <c r="AI5709" t="n">
        <v>68</v>
      </c>
      <c r="AJ5709">
        <f>INDEX($Q$5640:$Q$5767,AC5709+1)</f>
        <v/>
      </c>
      <c r="AK5709">
        <f>INDEX($R$5640:$R$5767,AD5709+1)</f>
        <v/>
      </c>
      <c r="AL5709">
        <f>INDEX($S$5640:$S$5767,AE5709+1)</f>
        <v/>
      </c>
      <c r="AM5709">
        <f>INDEX($T$5640:$T$5767,AF5709+1)</f>
        <v/>
      </c>
      <c r="AN5709">
        <f>INDEX($U$5640:$U$5767,AG5709+1)</f>
        <v/>
      </c>
      <c r="AO5709">
        <f>INDEX($V$5640:$V$5767,AH5709+1)</f>
        <v/>
      </c>
      <c r="AP5709">
        <f>INDEX($W$5640:$W$5767,AI5709+1)</f>
        <v/>
      </c>
      <c r="AQ5709">
        <f>IF(Q5709&gt;=AJ5709-0.01,1,0)</f>
        <v/>
      </c>
      <c r="AR5709">
        <f>IF(R5709&gt;=AK5709-0.01,1,0)</f>
        <v/>
      </c>
      <c r="AS5709">
        <f>IF(S5709&gt;=AL5709-0.01,1,0)</f>
        <v/>
      </c>
      <c r="AT5709">
        <f>IF(T5709&gt;=AM5709-0.01,1,0)</f>
        <v/>
      </c>
      <c r="AU5709">
        <f>IF(U5709&gt;=AN5709-0.01,1,0)</f>
        <v/>
      </c>
      <c r="AV5709">
        <f>IF(V5709&gt;=AO5709-0.01,1,0)</f>
        <v/>
      </c>
      <c r="AW5709">
        <f>IF(W5709&gt;=AP5709-0.01,1,0)</f>
        <v/>
      </c>
      <c r="AX5709">
        <f>AQ5709*AR5709*AS5709*AT5709*AU5709*AV5709*AW5709</f>
        <v/>
      </c>
    </row>
    <row r="5710">
      <c r="A5710" t="inlineStr"/>
      <c r="B5710">
        <f>Assumptions!$B$60</f>
        <v/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  <c r="I5710" t="n">
        <v>0</v>
      </c>
      <c r="J5710">
        <f>(1-C5710)*Assumptions!$B$41+(1-D5710)*Assumptions!$B$33+(1-E5710)*Assumptions!$B$32+(1-F5710)*Assumptions!$B$31+(1-G5710)*Assumptions!$B$30+(1-H5710)*Assumptions!$B$29+(1-I5710)*Assumptions!$B$28</f>
        <v/>
      </c>
      <c r="K5710">
        <f>C5710*$J$532+D5710*$F$532+E5710*$G$532+F5710*Assumptions!$B$14+G5710*Assumptions!$B$13+H5710*Assumptions!$B$12+I5710*Assumptions!$B$11+$O$532+$S$532+Assumptions!$B$9</f>
        <v/>
      </c>
      <c r="L5710">
        <f>B5710-J5710</f>
        <v/>
      </c>
      <c r="M5710">
        <f>IF(K5710&gt;0,IF(L5710/K5710&gt;=Assumptions!$B$37,1,0),0)</f>
        <v/>
      </c>
      <c r="N5710">
        <f>K5710+M5710*Assumptions!$B$153</f>
        <v/>
      </c>
      <c r="O5710">
        <f>L5710+M5710*Assumptions!$B$153*Assumptions!$B$37</f>
        <v/>
      </c>
      <c r="P5710">
        <f>IF(N5710&gt;0,O5710/N5710,0)</f>
        <v/>
      </c>
      <c r="Q5710">
        <f>IF(C5710=1,P5710*$J$532,Assumptions!$B$41)</f>
        <v/>
      </c>
      <c r="R5710">
        <f>IF(D5710=1,P5710*$F$532,Assumptions!$B$33)</f>
        <v/>
      </c>
      <c r="S5710">
        <f>IF(E5710=1,P5710*$G$532,Assumptions!$B$32)</f>
        <v/>
      </c>
      <c r="T5710">
        <f>IF(F5710=1,P5710*Assumptions!$B$14,Assumptions!$B$31)</f>
        <v/>
      </c>
      <c r="U5710">
        <f>IF(G5710=1,P5710*Assumptions!$B$13,Assumptions!$B$30)</f>
        <v/>
      </c>
      <c r="V5710">
        <f>IF(H5710=1,P5710*Assumptions!$B$12,Assumptions!$B$29)</f>
        <v/>
      </c>
      <c r="W5710">
        <f>IF(I5710=1,P5710*Assumptions!$B$11,Assumptions!$B$28)</f>
        <v/>
      </c>
      <c r="X5710">
        <f>P5710*($O$532+$S$532)</f>
        <v/>
      </c>
      <c r="Y5710">
        <f>P5710*Assumptions!$B$9</f>
        <v/>
      </c>
      <c r="Z5710">
        <f>IF(M5710=1,(P5710-Assumptions!$B$37)*Assumptions!$B$153,0)</f>
        <v/>
      </c>
      <c r="AA5710">
        <f>Q5710+R5710+S5710+T5710+U5710+V5710+W5710+X5710+Y5710+Z5710</f>
        <v/>
      </c>
      <c r="AB5710" t="n">
        <v>70</v>
      </c>
      <c r="AC5710" t="n">
        <v>6</v>
      </c>
      <c r="AD5710" t="n">
        <v>102</v>
      </c>
      <c r="AE5710" t="n">
        <v>86</v>
      </c>
      <c r="AF5710" t="n">
        <v>78</v>
      </c>
      <c r="AG5710" t="n">
        <v>66</v>
      </c>
      <c r="AH5710" t="n">
        <v>68</v>
      </c>
      <c r="AI5710" t="n">
        <v>71</v>
      </c>
      <c r="AJ5710">
        <f>INDEX($Q$5640:$Q$5767,AC5710+1)</f>
        <v/>
      </c>
      <c r="AK5710">
        <f>INDEX($R$5640:$R$5767,AD5710+1)</f>
        <v/>
      </c>
      <c r="AL5710">
        <f>INDEX($S$5640:$S$5767,AE5710+1)</f>
        <v/>
      </c>
      <c r="AM5710">
        <f>INDEX($T$5640:$T$5767,AF5710+1)</f>
        <v/>
      </c>
      <c r="AN5710">
        <f>INDEX($U$5640:$U$5767,AG5710+1)</f>
        <v/>
      </c>
      <c r="AO5710">
        <f>INDEX($V$5640:$V$5767,AH5710+1)</f>
        <v/>
      </c>
      <c r="AP5710">
        <f>INDEX($W$5640:$W$5767,AI5710+1)</f>
        <v/>
      </c>
      <c r="AQ5710">
        <f>IF(Q5710&gt;=AJ5710-0.01,1,0)</f>
        <v/>
      </c>
      <c r="AR5710">
        <f>IF(R5710&gt;=AK5710-0.01,1,0)</f>
        <v/>
      </c>
      <c r="AS5710">
        <f>IF(S5710&gt;=AL5710-0.01,1,0)</f>
        <v/>
      </c>
      <c r="AT5710">
        <f>IF(T5710&gt;=AM5710-0.01,1,0)</f>
        <v/>
      </c>
      <c r="AU5710">
        <f>IF(U5710&gt;=AN5710-0.01,1,0)</f>
        <v/>
      </c>
      <c r="AV5710">
        <f>IF(V5710&gt;=AO5710-0.01,1,0)</f>
        <v/>
      </c>
      <c r="AW5710">
        <f>IF(W5710&gt;=AP5710-0.01,1,0)</f>
        <v/>
      </c>
      <c r="AX5710">
        <f>AQ5710*AR5710*AS5710*AT5710*AU5710*AV5710*AW5710</f>
        <v/>
      </c>
    </row>
    <row r="5711">
      <c r="A5711" t="inlineStr"/>
      <c r="B5711">
        <f>Assumptions!$B$60</f>
        <v/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  <c r="I5711" t="n">
        <v>1</v>
      </c>
      <c r="J5711">
        <f>(1-C5711)*Assumptions!$B$41+(1-D5711)*Assumptions!$B$33+(1-E5711)*Assumptions!$B$32+(1-F5711)*Assumptions!$B$31+(1-G5711)*Assumptions!$B$30+(1-H5711)*Assumptions!$B$29+(1-I5711)*Assumptions!$B$28</f>
        <v/>
      </c>
      <c r="K5711">
        <f>C5711*$J$532+D5711*$F$532+E5711*$G$532+F5711*Assumptions!$B$14+G5711*Assumptions!$B$13+H5711*Assumptions!$B$12+I5711*Assumptions!$B$11+$O$532+$S$532+Assumptions!$B$9</f>
        <v/>
      </c>
      <c r="L5711">
        <f>B5711-J5711</f>
        <v/>
      </c>
      <c r="M5711">
        <f>IF(K5711&gt;0,IF(L5711/K5711&gt;=Assumptions!$B$37,1,0),0)</f>
        <v/>
      </c>
      <c r="N5711">
        <f>K5711+M5711*Assumptions!$B$153</f>
        <v/>
      </c>
      <c r="O5711">
        <f>L5711+M5711*Assumptions!$B$153*Assumptions!$B$37</f>
        <v/>
      </c>
      <c r="P5711">
        <f>IF(N5711&gt;0,O5711/N5711,0)</f>
        <v/>
      </c>
      <c r="Q5711">
        <f>IF(C5711=1,P5711*$J$532,Assumptions!$B$41)</f>
        <v/>
      </c>
      <c r="R5711">
        <f>IF(D5711=1,P5711*$F$532,Assumptions!$B$33)</f>
        <v/>
      </c>
      <c r="S5711">
        <f>IF(E5711=1,P5711*$G$532,Assumptions!$B$32)</f>
        <v/>
      </c>
      <c r="T5711">
        <f>IF(F5711=1,P5711*Assumptions!$B$14,Assumptions!$B$31)</f>
        <v/>
      </c>
      <c r="U5711">
        <f>IF(G5711=1,P5711*Assumptions!$B$13,Assumptions!$B$30)</f>
        <v/>
      </c>
      <c r="V5711">
        <f>IF(H5711=1,P5711*Assumptions!$B$12,Assumptions!$B$29)</f>
        <v/>
      </c>
      <c r="W5711">
        <f>IF(I5711=1,P5711*Assumptions!$B$11,Assumptions!$B$28)</f>
        <v/>
      </c>
      <c r="X5711">
        <f>P5711*($O$532+$S$532)</f>
        <v/>
      </c>
      <c r="Y5711">
        <f>P5711*Assumptions!$B$9</f>
        <v/>
      </c>
      <c r="Z5711">
        <f>IF(M5711=1,(P5711-Assumptions!$B$37)*Assumptions!$B$153,0)</f>
        <v/>
      </c>
      <c r="AA5711">
        <f>Q5711+R5711+S5711+T5711+U5711+V5711+W5711+X5711+Y5711+Z5711</f>
        <v/>
      </c>
      <c r="AB5711" t="n">
        <v>71</v>
      </c>
      <c r="AC5711" t="n">
        <v>7</v>
      </c>
      <c r="AD5711" t="n">
        <v>103</v>
      </c>
      <c r="AE5711" t="n">
        <v>87</v>
      </c>
      <c r="AF5711" t="n">
        <v>79</v>
      </c>
      <c r="AG5711" t="n">
        <v>67</v>
      </c>
      <c r="AH5711" t="n">
        <v>69</v>
      </c>
      <c r="AI5711" t="n">
        <v>70</v>
      </c>
      <c r="AJ5711">
        <f>INDEX($Q$5640:$Q$5767,AC5711+1)</f>
        <v/>
      </c>
      <c r="AK5711">
        <f>INDEX($R$5640:$R$5767,AD5711+1)</f>
        <v/>
      </c>
      <c r="AL5711">
        <f>INDEX($S$5640:$S$5767,AE5711+1)</f>
        <v/>
      </c>
      <c r="AM5711">
        <f>INDEX($T$5640:$T$5767,AF5711+1)</f>
        <v/>
      </c>
      <c r="AN5711">
        <f>INDEX($U$5640:$U$5767,AG5711+1)</f>
        <v/>
      </c>
      <c r="AO5711">
        <f>INDEX($V$5640:$V$5767,AH5711+1)</f>
        <v/>
      </c>
      <c r="AP5711">
        <f>INDEX($W$5640:$W$5767,AI5711+1)</f>
        <v/>
      </c>
      <c r="AQ5711">
        <f>IF(Q5711&gt;=AJ5711-0.01,1,0)</f>
        <v/>
      </c>
      <c r="AR5711">
        <f>IF(R5711&gt;=AK5711-0.01,1,0)</f>
        <v/>
      </c>
      <c r="AS5711">
        <f>IF(S5711&gt;=AL5711-0.01,1,0)</f>
        <v/>
      </c>
      <c r="AT5711">
        <f>IF(T5711&gt;=AM5711-0.01,1,0)</f>
        <v/>
      </c>
      <c r="AU5711">
        <f>IF(U5711&gt;=AN5711-0.01,1,0)</f>
        <v/>
      </c>
      <c r="AV5711">
        <f>IF(V5711&gt;=AO5711-0.01,1,0)</f>
        <v/>
      </c>
      <c r="AW5711">
        <f>IF(W5711&gt;=AP5711-0.01,1,0)</f>
        <v/>
      </c>
      <c r="AX5711">
        <f>AQ5711*AR5711*AS5711*AT5711*AU5711*AV5711*AW5711</f>
        <v/>
      </c>
    </row>
    <row r="5712">
      <c r="A5712" t="inlineStr"/>
      <c r="B5712">
        <f>Assumptions!$B$60</f>
        <v/>
      </c>
      <c r="C5712" t="n">
        <v>1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>
        <f>(1-C5712)*Assumptions!$B$41+(1-D5712)*Assumptions!$B$33+(1-E5712)*Assumptions!$B$32+(1-F5712)*Assumptions!$B$31+(1-G5712)*Assumptions!$B$30+(1-H5712)*Assumptions!$B$29+(1-I5712)*Assumptions!$B$28</f>
        <v/>
      </c>
      <c r="K5712">
        <f>C5712*$J$532+D5712*$F$532+E5712*$G$532+F5712*Assumptions!$B$14+G5712*Assumptions!$B$13+H5712*Assumptions!$B$12+I5712*Assumptions!$B$11+$O$532+$S$532+Assumptions!$B$9</f>
        <v/>
      </c>
      <c r="L5712">
        <f>B5712-J5712</f>
        <v/>
      </c>
      <c r="M5712">
        <f>IF(K5712&gt;0,IF(L5712/K5712&gt;=Assumptions!$B$37,1,0),0)</f>
        <v/>
      </c>
      <c r="N5712">
        <f>K5712+M5712*Assumptions!$B$153</f>
        <v/>
      </c>
      <c r="O5712">
        <f>L5712+M5712*Assumptions!$B$153*Assumptions!$B$37</f>
        <v/>
      </c>
      <c r="P5712">
        <f>IF(N5712&gt;0,O5712/N5712,0)</f>
        <v/>
      </c>
      <c r="Q5712">
        <f>IF(C5712=1,P5712*$J$532,Assumptions!$B$41)</f>
        <v/>
      </c>
      <c r="R5712">
        <f>IF(D5712=1,P5712*$F$532,Assumptions!$B$33)</f>
        <v/>
      </c>
      <c r="S5712">
        <f>IF(E5712=1,P5712*$G$532,Assumptions!$B$32)</f>
        <v/>
      </c>
      <c r="T5712">
        <f>IF(F5712=1,P5712*Assumptions!$B$14,Assumptions!$B$31)</f>
        <v/>
      </c>
      <c r="U5712">
        <f>IF(G5712=1,P5712*Assumptions!$B$13,Assumptions!$B$30)</f>
        <v/>
      </c>
      <c r="V5712">
        <f>IF(H5712=1,P5712*Assumptions!$B$12,Assumptions!$B$29)</f>
        <v/>
      </c>
      <c r="W5712">
        <f>IF(I5712=1,P5712*Assumptions!$B$11,Assumptions!$B$28)</f>
        <v/>
      </c>
      <c r="X5712">
        <f>P5712*($O$532+$S$532)</f>
        <v/>
      </c>
      <c r="Y5712">
        <f>P5712*Assumptions!$B$9</f>
        <v/>
      </c>
      <c r="Z5712">
        <f>IF(M5712=1,(P5712-Assumptions!$B$37)*Assumptions!$B$153,0)</f>
        <v/>
      </c>
      <c r="AA5712">
        <f>Q5712+R5712+S5712+T5712+U5712+V5712+W5712+X5712+Y5712+Z5712</f>
        <v/>
      </c>
      <c r="AB5712" t="n">
        <v>72</v>
      </c>
      <c r="AC5712" t="n">
        <v>8</v>
      </c>
      <c r="AD5712" t="n">
        <v>104</v>
      </c>
      <c r="AE5712" t="n">
        <v>88</v>
      </c>
      <c r="AF5712" t="n">
        <v>64</v>
      </c>
      <c r="AG5712" t="n">
        <v>76</v>
      </c>
      <c r="AH5712" t="n">
        <v>74</v>
      </c>
      <c r="AI5712" t="n">
        <v>73</v>
      </c>
      <c r="AJ5712">
        <f>INDEX($Q$5640:$Q$5767,AC5712+1)</f>
        <v/>
      </c>
      <c r="AK5712">
        <f>INDEX($R$5640:$R$5767,AD5712+1)</f>
        <v/>
      </c>
      <c r="AL5712">
        <f>INDEX($S$5640:$S$5767,AE5712+1)</f>
        <v/>
      </c>
      <c r="AM5712">
        <f>INDEX($T$5640:$T$5767,AF5712+1)</f>
        <v/>
      </c>
      <c r="AN5712">
        <f>INDEX($U$5640:$U$5767,AG5712+1)</f>
        <v/>
      </c>
      <c r="AO5712">
        <f>INDEX($V$5640:$V$5767,AH5712+1)</f>
        <v/>
      </c>
      <c r="AP5712">
        <f>INDEX($W$5640:$W$5767,AI5712+1)</f>
        <v/>
      </c>
      <c r="AQ5712">
        <f>IF(Q5712&gt;=AJ5712-0.01,1,0)</f>
        <v/>
      </c>
      <c r="AR5712">
        <f>IF(R5712&gt;=AK5712-0.01,1,0)</f>
        <v/>
      </c>
      <c r="AS5712">
        <f>IF(S5712&gt;=AL5712-0.01,1,0)</f>
        <v/>
      </c>
      <c r="AT5712">
        <f>IF(T5712&gt;=AM5712-0.01,1,0)</f>
        <v/>
      </c>
      <c r="AU5712">
        <f>IF(U5712&gt;=AN5712-0.01,1,0)</f>
        <v/>
      </c>
      <c r="AV5712">
        <f>IF(V5712&gt;=AO5712-0.01,1,0)</f>
        <v/>
      </c>
      <c r="AW5712">
        <f>IF(W5712&gt;=AP5712-0.01,1,0)</f>
        <v/>
      </c>
      <c r="AX5712">
        <f>AQ5712*AR5712*AS5712*AT5712*AU5712*AV5712*AW5712</f>
        <v/>
      </c>
    </row>
    <row r="5713">
      <c r="A5713" t="inlineStr"/>
      <c r="B5713">
        <f>Assumptions!$B$60</f>
        <v/>
      </c>
      <c r="C5713" t="n">
        <v>1</v>
      </c>
      <c r="D5713" t="n">
        <v>0</v>
      </c>
      <c r="E5713" t="n">
        <v>0</v>
      </c>
      <c r="F5713" t="n">
        <v>1</v>
      </c>
      <c r="G5713" t="n">
        <v>0</v>
      </c>
      <c r="H5713" t="n">
        <v>0</v>
      </c>
      <c r="I5713" t="n">
        <v>1</v>
      </c>
      <c r="J5713">
        <f>(1-C5713)*Assumptions!$B$41+(1-D5713)*Assumptions!$B$33+(1-E5713)*Assumptions!$B$32+(1-F5713)*Assumptions!$B$31+(1-G5713)*Assumptions!$B$30+(1-H5713)*Assumptions!$B$29+(1-I5713)*Assumptions!$B$28</f>
        <v/>
      </c>
      <c r="K5713">
        <f>C5713*$J$532+D5713*$F$532+E5713*$G$532+F5713*Assumptions!$B$14+G5713*Assumptions!$B$13+H5713*Assumptions!$B$12+I5713*Assumptions!$B$11+$O$532+$S$532+Assumptions!$B$9</f>
        <v/>
      </c>
      <c r="L5713">
        <f>B5713-J5713</f>
        <v/>
      </c>
      <c r="M5713">
        <f>IF(K5713&gt;0,IF(L5713/K5713&gt;=Assumptions!$B$37,1,0),0)</f>
        <v/>
      </c>
      <c r="N5713">
        <f>K5713+M5713*Assumptions!$B$153</f>
        <v/>
      </c>
      <c r="O5713">
        <f>L5713+M5713*Assumptions!$B$153*Assumptions!$B$37</f>
        <v/>
      </c>
      <c r="P5713">
        <f>IF(N5713&gt;0,O5713/N5713,0)</f>
        <v/>
      </c>
      <c r="Q5713">
        <f>IF(C5713=1,P5713*$J$532,Assumptions!$B$41)</f>
        <v/>
      </c>
      <c r="R5713">
        <f>IF(D5713=1,P5713*$F$532,Assumptions!$B$33)</f>
        <v/>
      </c>
      <c r="S5713">
        <f>IF(E5713=1,P5713*$G$532,Assumptions!$B$32)</f>
        <v/>
      </c>
      <c r="T5713">
        <f>IF(F5713=1,P5713*Assumptions!$B$14,Assumptions!$B$31)</f>
        <v/>
      </c>
      <c r="U5713">
        <f>IF(G5713=1,P5713*Assumptions!$B$13,Assumptions!$B$30)</f>
        <v/>
      </c>
      <c r="V5713">
        <f>IF(H5713=1,P5713*Assumptions!$B$12,Assumptions!$B$29)</f>
        <v/>
      </c>
      <c r="W5713">
        <f>IF(I5713=1,P5713*Assumptions!$B$11,Assumptions!$B$28)</f>
        <v/>
      </c>
      <c r="X5713">
        <f>P5713*($O$532+$S$532)</f>
        <v/>
      </c>
      <c r="Y5713">
        <f>P5713*Assumptions!$B$9</f>
        <v/>
      </c>
      <c r="Z5713">
        <f>IF(M5713=1,(P5713-Assumptions!$B$37)*Assumptions!$B$153,0)</f>
        <v/>
      </c>
      <c r="AA5713">
        <f>Q5713+R5713+S5713+T5713+U5713+V5713+W5713+X5713+Y5713+Z5713</f>
        <v/>
      </c>
      <c r="AB5713" t="n">
        <v>73</v>
      </c>
      <c r="AC5713" t="n">
        <v>9</v>
      </c>
      <c r="AD5713" t="n">
        <v>105</v>
      </c>
      <c r="AE5713" t="n">
        <v>89</v>
      </c>
      <c r="AF5713" t="n">
        <v>65</v>
      </c>
      <c r="AG5713" t="n">
        <v>77</v>
      </c>
      <c r="AH5713" t="n">
        <v>75</v>
      </c>
      <c r="AI5713" t="n">
        <v>72</v>
      </c>
      <c r="AJ5713">
        <f>INDEX($Q$5640:$Q$5767,AC5713+1)</f>
        <v/>
      </c>
      <c r="AK5713">
        <f>INDEX($R$5640:$R$5767,AD5713+1)</f>
        <v/>
      </c>
      <c r="AL5713">
        <f>INDEX($S$5640:$S$5767,AE5713+1)</f>
        <v/>
      </c>
      <c r="AM5713">
        <f>INDEX($T$5640:$T$5767,AF5713+1)</f>
        <v/>
      </c>
      <c r="AN5713">
        <f>INDEX($U$5640:$U$5767,AG5713+1)</f>
        <v/>
      </c>
      <c r="AO5713">
        <f>INDEX($V$5640:$V$5767,AH5713+1)</f>
        <v/>
      </c>
      <c r="AP5713">
        <f>INDEX($W$5640:$W$5767,AI5713+1)</f>
        <v/>
      </c>
      <c r="AQ5713">
        <f>IF(Q5713&gt;=AJ5713-0.01,1,0)</f>
        <v/>
      </c>
      <c r="AR5713">
        <f>IF(R5713&gt;=AK5713-0.01,1,0)</f>
        <v/>
      </c>
      <c r="AS5713">
        <f>IF(S5713&gt;=AL5713-0.01,1,0)</f>
        <v/>
      </c>
      <c r="AT5713">
        <f>IF(T5713&gt;=AM5713-0.01,1,0)</f>
        <v/>
      </c>
      <c r="AU5713">
        <f>IF(U5713&gt;=AN5713-0.01,1,0)</f>
        <v/>
      </c>
      <c r="AV5713">
        <f>IF(V5713&gt;=AO5713-0.01,1,0)</f>
        <v/>
      </c>
      <c r="AW5713">
        <f>IF(W5713&gt;=AP5713-0.01,1,0)</f>
        <v/>
      </c>
      <c r="AX5713">
        <f>AQ5713*AR5713*AS5713*AT5713*AU5713*AV5713*AW5713</f>
        <v/>
      </c>
    </row>
    <row r="5714">
      <c r="A5714" t="inlineStr"/>
      <c r="B5714">
        <f>Assumptions!$B$60</f>
        <v/>
      </c>
      <c r="C5714" t="n">
        <v>1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>
        <f>(1-C5714)*Assumptions!$B$41+(1-D5714)*Assumptions!$B$33+(1-E5714)*Assumptions!$B$32+(1-F5714)*Assumptions!$B$31+(1-G5714)*Assumptions!$B$30+(1-H5714)*Assumptions!$B$29+(1-I5714)*Assumptions!$B$28</f>
        <v/>
      </c>
      <c r="K5714">
        <f>C5714*$J$532+D5714*$F$532+E5714*$G$532+F5714*Assumptions!$B$14+G5714*Assumptions!$B$13+H5714*Assumptions!$B$12+I5714*Assumptions!$B$11+$O$532+$S$532+Assumptions!$B$9</f>
        <v/>
      </c>
      <c r="L5714">
        <f>B5714-J5714</f>
        <v/>
      </c>
      <c r="M5714">
        <f>IF(K5714&gt;0,IF(L5714/K5714&gt;=Assumptions!$B$37,1,0),0)</f>
        <v/>
      </c>
      <c r="N5714">
        <f>K5714+M5714*Assumptions!$B$153</f>
        <v/>
      </c>
      <c r="O5714">
        <f>L5714+M5714*Assumptions!$B$153*Assumptions!$B$37</f>
        <v/>
      </c>
      <c r="P5714">
        <f>IF(N5714&gt;0,O5714/N5714,0)</f>
        <v/>
      </c>
      <c r="Q5714">
        <f>IF(C5714=1,P5714*$J$532,Assumptions!$B$41)</f>
        <v/>
      </c>
      <c r="R5714">
        <f>IF(D5714=1,P5714*$F$532,Assumptions!$B$33)</f>
        <v/>
      </c>
      <c r="S5714">
        <f>IF(E5714=1,P5714*$G$532,Assumptions!$B$32)</f>
        <v/>
      </c>
      <c r="T5714">
        <f>IF(F5714=1,P5714*Assumptions!$B$14,Assumptions!$B$31)</f>
        <v/>
      </c>
      <c r="U5714">
        <f>IF(G5714=1,P5714*Assumptions!$B$13,Assumptions!$B$30)</f>
        <v/>
      </c>
      <c r="V5714">
        <f>IF(H5714=1,P5714*Assumptions!$B$12,Assumptions!$B$29)</f>
        <v/>
      </c>
      <c r="W5714">
        <f>IF(I5714=1,P5714*Assumptions!$B$11,Assumptions!$B$28)</f>
        <v/>
      </c>
      <c r="X5714">
        <f>P5714*($O$532+$S$532)</f>
        <v/>
      </c>
      <c r="Y5714">
        <f>P5714*Assumptions!$B$9</f>
        <v/>
      </c>
      <c r="Z5714">
        <f>IF(M5714=1,(P5714-Assumptions!$B$37)*Assumptions!$B$153,0)</f>
        <v/>
      </c>
      <c r="AA5714">
        <f>Q5714+R5714+S5714+T5714+U5714+V5714+W5714+X5714+Y5714+Z5714</f>
        <v/>
      </c>
      <c r="AB5714" t="n">
        <v>74</v>
      </c>
      <c r="AC5714" t="n">
        <v>10</v>
      </c>
      <c r="AD5714" t="n">
        <v>106</v>
      </c>
      <c r="AE5714" t="n">
        <v>90</v>
      </c>
      <c r="AF5714" t="n">
        <v>66</v>
      </c>
      <c r="AG5714" t="n">
        <v>78</v>
      </c>
      <c r="AH5714" t="n">
        <v>72</v>
      </c>
      <c r="AI5714" t="n">
        <v>75</v>
      </c>
      <c r="AJ5714">
        <f>INDEX($Q$5640:$Q$5767,AC5714+1)</f>
        <v/>
      </c>
      <c r="AK5714">
        <f>INDEX($R$5640:$R$5767,AD5714+1)</f>
        <v/>
      </c>
      <c r="AL5714">
        <f>INDEX($S$5640:$S$5767,AE5714+1)</f>
        <v/>
      </c>
      <c r="AM5714">
        <f>INDEX($T$5640:$T$5767,AF5714+1)</f>
        <v/>
      </c>
      <c r="AN5714">
        <f>INDEX($U$5640:$U$5767,AG5714+1)</f>
        <v/>
      </c>
      <c r="AO5714">
        <f>INDEX($V$5640:$V$5767,AH5714+1)</f>
        <v/>
      </c>
      <c r="AP5714">
        <f>INDEX($W$5640:$W$5767,AI5714+1)</f>
        <v/>
      </c>
      <c r="AQ5714">
        <f>IF(Q5714&gt;=AJ5714-0.01,1,0)</f>
        <v/>
      </c>
      <c r="AR5714">
        <f>IF(R5714&gt;=AK5714-0.01,1,0)</f>
        <v/>
      </c>
      <c r="AS5714">
        <f>IF(S5714&gt;=AL5714-0.01,1,0)</f>
        <v/>
      </c>
      <c r="AT5714">
        <f>IF(T5714&gt;=AM5714-0.01,1,0)</f>
        <v/>
      </c>
      <c r="AU5714">
        <f>IF(U5714&gt;=AN5714-0.01,1,0)</f>
        <v/>
      </c>
      <c r="AV5714">
        <f>IF(V5714&gt;=AO5714-0.01,1,0)</f>
        <v/>
      </c>
      <c r="AW5714">
        <f>IF(W5714&gt;=AP5714-0.01,1,0)</f>
        <v/>
      </c>
      <c r="AX5714">
        <f>AQ5714*AR5714*AS5714*AT5714*AU5714*AV5714*AW5714</f>
        <v/>
      </c>
    </row>
    <row r="5715">
      <c r="A5715" t="inlineStr"/>
      <c r="B5715">
        <f>Assumptions!$B$60</f>
        <v/>
      </c>
      <c r="C5715" t="n">
        <v>1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1</v>
      </c>
      <c r="J5715">
        <f>(1-C5715)*Assumptions!$B$41+(1-D5715)*Assumptions!$B$33+(1-E5715)*Assumptions!$B$32+(1-F5715)*Assumptions!$B$31+(1-G5715)*Assumptions!$B$30+(1-H5715)*Assumptions!$B$29+(1-I5715)*Assumptions!$B$28</f>
        <v/>
      </c>
      <c r="K5715">
        <f>C5715*$J$532+D5715*$F$532+E5715*$G$532+F5715*Assumptions!$B$14+G5715*Assumptions!$B$13+H5715*Assumptions!$B$12+I5715*Assumptions!$B$11+$O$532+$S$532+Assumptions!$B$9</f>
        <v/>
      </c>
      <c r="L5715">
        <f>B5715-J5715</f>
        <v/>
      </c>
      <c r="M5715">
        <f>IF(K5715&gt;0,IF(L5715/K5715&gt;=Assumptions!$B$37,1,0),0)</f>
        <v/>
      </c>
      <c r="N5715">
        <f>K5715+M5715*Assumptions!$B$153</f>
        <v/>
      </c>
      <c r="O5715">
        <f>L5715+M5715*Assumptions!$B$153*Assumptions!$B$37</f>
        <v/>
      </c>
      <c r="P5715">
        <f>IF(N5715&gt;0,O5715/N5715,0)</f>
        <v/>
      </c>
      <c r="Q5715">
        <f>IF(C5715=1,P5715*$J$532,Assumptions!$B$41)</f>
        <v/>
      </c>
      <c r="R5715">
        <f>IF(D5715=1,P5715*$F$532,Assumptions!$B$33)</f>
        <v/>
      </c>
      <c r="S5715">
        <f>IF(E5715=1,P5715*$G$532,Assumptions!$B$32)</f>
        <v/>
      </c>
      <c r="T5715">
        <f>IF(F5715=1,P5715*Assumptions!$B$14,Assumptions!$B$31)</f>
        <v/>
      </c>
      <c r="U5715">
        <f>IF(G5715=1,P5715*Assumptions!$B$13,Assumptions!$B$30)</f>
        <v/>
      </c>
      <c r="V5715">
        <f>IF(H5715=1,P5715*Assumptions!$B$12,Assumptions!$B$29)</f>
        <v/>
      </c>
      <c r="W5715">
        <f>IF(I5715=1,P5715*Assumptions!$B$11,Assumptions!$B$28)</f>
        <v/>
      </c>
      <c r="X5715">
        <f>P5715*($O$532+$S$532)</f>
        <v/>
      </c>
      <c r="Y5715">
        <f>P5715*Assumptions!$B$9</f>
        <v/>
      </c>
      <c r="Z5715">
        <f>IF(M5715=1,(P5715-Assumptions!$B$37)*Assumptions!$B$153,0)</f>
        <v/>
      </c>
      <c r="AA5715">
        <f>Q5715+R5715+S5715+T5715+U5715+V5715+W5715+X5715+Y5715+Z5715</f>
        <v/>
      </c>
      <c r="AB5715" t="n">
        <v>75</v>
      </c>
      <c r="AC5715" t="n">
        <v>11</v>
      </c>
      <c r="AD5715" t="n">
        <v>107</v>
      </c>
      <c r="AE5715" t="n">
        <v>91</v>
      </c>
      <c r="AF5715" t="n">
        <v>67</v>
      </c>
      <c r="AG5715" t="n">
        <v>79</v>
      </c>
      <c r="AH5715" t="n">
        <v>73</v>
      </c>
      <c r="AI5715" t="n">
        <v>74</v>
      </c>
      <c r="AJ5715">
        <f>INDEX($Q$5640:$Q$5767,AC5715+1)</f>
        <v/>
      </c>
      <c r="AK5715">
        <f>INDEX($R$5640:$R$5767,AD5715+1)</f>
        <v/>
      </c>
      <c r="AL5715">
        <f>INDEX($S$5640:$S$5767,AE5715+1)</f>
        <v/>
      </c>
      <c r="AM5715">
        <f>INDEX($T$5640:$T$5767,AF5715+1)</f>
        <v/>
      </c>
      <c r="AN5715">
        <f>INDEX($U$5640:$U$5767,AG5715+1)</f>
        <v/>
      </c>
      <c r="AO5715">
        <f>INDEX($V$5640:$V$5767,AH5715+1)</f>
        <v/>
      </c>
      <c r="AP5715">
        <f>INDEX($W$5640:$W$5767,AI5715+1)</f>
        <v/>
      </c>
      <c r="AQ5715">
        <f>IF(Q5715&gt;=AJ5715-0.01,1,0)</f>
        <v/>
      </c>
      <c r="AR5715">
        <f>IF(R5715&gt;=AK5715-0.01,1,0)</f>
        <v/>
      </c>
      <c r="AS5715">
        <f>IF(S5715&gt;=AL5715-0.01,1,0)</f>
        <v/>
      </c>
      <c r="AT5715">
        <f>IF(T5715&gt;=AM5715-0.01,1,0)</f>
        <v/>
      </c>
      <c r="AU5715">
        <f>IF(U5715&gt;=AN5715-0.01,1,0)</f>
        <v/>
      </c>
      <c r="AV5715">
        <f>IF(V5715&gt;=AO5715-0.01,1,0)</f>
        <v/>
      </c>
      <c r="AW5715">
        <f>IF(W5715&gt;=AP5715-0.01,1,0)</f>
        <v/>
      </c>
      <c r="AX5715">
        <f>AQ5715*AR5715*AS5715*AT5715*AU5715*AV5715*AW5715</f>
        <v/>
      </c>
    </row>
    <row r="5716">
      <c r="A5716" t="inlineStr"/>
      <c r="B5716">
        <f>Assumptions!$B$60</f>
        <v/>
      </c>
      <c r="C5716" t="n">
        <v>1</v>
      </c>
      <c r="D5716" t="n">
        <v>0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>
        <f>(1-C5716)*Assumptions!$B$41+(1-D5716)*Assumptions!$B$33+(1-E5716)*Assumptions!$B$32+(1-F5716)*Assumptions!$B$31+(1-G5716)*Assumptions!$B$30+(1-H5716)*Assumptions!$B$29+(1-I5716)*Assumptions!$B$28</f>
        <v/>
      </c>
      <c r="K5716">
        <f>C5716*$J$532+D5716*$F$532+E5716*$G$532+F5716*Assumptions!$B$14+G5716*Assumptions!$B$13+H5716*Assumptions!$B$12+I5716*Assumptions!$B$11+$O$532+$S$532+Assumptions!$B$9</f>
        <v/>
      </c>
      <c r="L5716">
        <f>B5716-J5716</f>
        <v/>
      </c>
      <c r="M5716">
        <f>IF(K5716&gt;0,IF(L5716/K5716&gt;=Assumptions!$B$37,1,0),0)</f>
        <v/>
      </c>
      <c r="N5716">
        <f>K5716+M5716*Assumptions!$B$153</f>
        <v/>
      </c>
      <c r="O5716">
        <f>L5716+M5716*Assumptions!$B$153*Assumptions!$B$37</f>
        <v/>
      </c>
      <c r="P5716">
        <f>IF(N5716&gt;0,O5716/N5716,0)</f>
        <v/>
      </c>
      <c r="Q5716">
        <f>IF(C5716=1,P5716*$J$532,Assumptions!$B$41)</f>
        <v/>
      </c>
      <c r="R5716">
        <f>IF(D5716=1,P5716*$F$532,Assumptions!$B$33)</f>
        <v/>
      </c>
      <c r="S5716">
        <f>IF(E5716=1,P5716*$G$532,Assumptions!$B$32)</f>
        <v/>
      </c>
      <c r="T5716">
        <f>IF(F5716=1,P5716*Assumptions!$B$14,Assumptions!$B$31)</f>
        <v/>
      </c>
      <c r="U5716">
        <f>IF(G5716=1,P5716*Assumptions!$B$13,Assumptions!$B$30)</f>
        <v/>
      </c>
      <c r="V5716">
        <f>IF(H5716=1,P5716*Assumptions!$B$12,Assumptions!$B$29)</f>
        <v/>
      </c>
      <c r="W5716">
        <f>IF(I5716=1,P5716*Assumptions!$B$11,Assumptions!$B$28)</f>
        <v/>
      </c>
      <c r="X5716">
        <f>P5716*($O$532+$S$532)</f>
        <v/>
      </c>
      <c r="Y5716">
        <f>P5716*Assumptions!$B$9</f>
        <v/>
      </c>
      <c r="Z5716">
        <f>IF(M5716=1,(P5716-Assumptions!$B$37)*Assumptions!$B$153,0)</f>
        <v/>
      </c>
      <c r="AA5716">
        <f>Q5716+R5716+S5716+T5716+U5716+V5716+W5716+X5716+Y5716+Z5716</f>
        <v/>
      </c>
      <c r="AB5716" t="n">
        <v>76</v>
      </c>
      <c r="AC5716" t="n">
        <v>12</v>
      </c>
      <c r="AD5716" t="n">
        <v>108</v>
      </c>
      <c r="AE5716" t="n">
        <v>92</v>
      </c>
      <c r="AF5716" t="n">
        <v>68</v>
      </c>
      <c r="AG5716" t="n">
        <v>72</v>
      </c>
      <c r="AH5716" t="n">
        <v>78</v>
      </c>
      <c r="AI5716" t="n">
        <v>77</v>
      </c>
      <c r="AJ5716">
        <f>INDEX($Q$5640:$Q$5767,AC5716+1)</f>
        <v/>
      </c>
      <c r="AK5716">
        <f>INDEX($R$5640:$R$5767,AD5716+1)</f>
        <v/>
      </c>
      <c r="AL5716">
        <f>INDEX($S$5640:$S$5767,AE5716+1)</f>
        <v/>
      </c>
      <c r="AM5716">
        <f>INDEX($T$5640:$T$5767,AF5716+1)</f>
        <v/>
      </c>
      <c r="AN5716">
        <f>INDEX($U$5640:$U$5767,AG5716+1)</f>
        <v/>
      </c>
      <c r="AO5716">
        <f>INDEX($V$5640:$V$5767,AH5716+1)</f>
        <v/>
      </c>
      <c r="AP5716">
        <f>INDEX($W$5640:$W$5767,AI5716+1)</f>
        <v/>
      </c>
      <c r="AQ5716">
        <f>IF(Q5716&gt;=AJ5716-0.01,1,0)</f>
        <v/>
      </c>
      <c r="AR5716">
        <f>IF(R5716&gt;=AK5716-0.01,1,0)</f>
        <v/>
      </c>
      <c r="AS5716">
        <f>IF(S5716&gt;=AL5716-0.01,1,0)</f>
        <v/>
      </c>
      <c r="AT5716">
        <f>IF(T5716&gt;=AM5716-0.01,1,0)</f>
        <v/>
      </c>
      <c r="AU5716">
        <f>IF(U5716&gt;=AN5716-0.01,1,0)</f>
        <v/>
      </c>
      <c r="AV5716">
        <f>IF(V5716&gt;=AO5716-0.01,1,0)</f>
        <v/>
      </c>
      <c r="AW5716">
        <f>IF(W5716&gt;=AP5716-0.01,1,0)</f>
        <v/>
      </c>
      <c r="AX5716">
        <f>AQ5716*AR5716*AS5716*AT5716*AU5716*AV5716*AW5716</f>
        <v/>
      </c>
    </row>
    <row r="5717">
      <c r="A5717" t="inlineStr"/>
      <c r="B5717">
        <f>Assumptions!$B$60</f>
        <v/>
      </c>
      <c r="C5717" t="n">
        <v>1</v>
      </c>
      <c r="D5717" t="n">
        <v>0</v>
      </c>
      <c r="E5717" t="n">
        <v>0</v>
      </c>
      <c r="F5717" t="n">
        <v>1</v>
      </c>
      <c r="G5717" t="n">
        <v>1</v>
      </c>
      <c r="H5717" t="n">
        <v>0</v>
      </c>
      <c r="I5717" t="n">
        <v>1</v>
      </c>
      <c r="J5717">
        <f>(1-C5717)*Assumptions!$B$41+(1-D5717)*Assumptions!$B$33+(1-E5717)*Assumptions!$B$32+(1-F5717)*Assumptions!$B$31+(1-G5717)*Assumptions!$B$30+(1-H5717)*Assumptions!$B$29+(1-I5717)*Assumptions!$B$28</f>
        <v/>
      </c>
      <c r="K5717">
        <f>C5717*$J$532+D5717*$F$532+E5717*$G$532+F5717*Assumptions!$B$14+G5717*Assumptions!$B$13+H5717*Assumptions!$B$12+I5717*Assumptions!$B$11+$O$532+$S$532+Assumptions!$B$9</f>
        <v/>
      </c>
      <c r="L5717">
        <f>B5717-J5717</f>
        <v/>
      </c>
      <c r="M5717">
        <f>IF(K5717&gt;0,IF(L5717/K5717&gt;=Assumptions!$B$37,1,0),0)</f>
        <v/>
      </c>
      <c r="N5717">
        <f>K5717+M5717*Assumptions!$B$153</f>
        <v/>
      </c>
      <c r="O5717">
        <f>L5717+M5717*Assumptions!$B$153*Assumptions!$B$37</f>
        <v/>
      </c>
      <c r="P5717">
        <f>IF(N5717&gt;0,O5717/N5717,0)</f>
        <v/>
      </c>
      <c r="Q5717">
        <f>IF(C5717=1,P5717*$J$532,Assumptions!$B$41)</f>
        <v/>
      </c>
      <c r="R5717">
        <f>IF(D5717=1,P5717*$F$532,Assumptions!$B$33)</f>
        <v/>
      </c>
      <c r="S5717">
        <f>IF(E5717=1,P5717*$G$532,Assumptions!$B$32)</f>
        <v/>
      </c>
      <c r="T5717">
        <f>IF(F5717=1,P5717*Assumptions!$B$14,Assumptions!$B$31)</f>
        <v/>
      </c>
      <c r="U5717">
        <f>IF(G5717=1,P5717*Assumptions!$B$13,Assumptions!$B$30)</f>
        <v/>
      </c>
      <c r="V5717">
        <f>IF(H5717=1,P5717*Assumptions!$B$12,Assumptions!$B$29)</f>
        <v/>
      </c>
      <c r="W5717">
        <f>IF(I5717=1,P5717*Assumptions!$B$11,Assumptions!$B$28)</f>
        <v/>
      </c>
      <c r="X5717">
        <f>P5717*($O$532+$S$532)</f>
        <v/>
      </c>
      <c r="Y5717">
        <f>P5717*Assumptions!$B$9</f>
        <v/>
      </c>
      <c r="Z5717">
        <f>IF(M5717=1,(P5717-Assumptions!$B$37)*Assumptions!$B$153,0)</f>
        <v/>
      </c>
      <c r="AA5717">
        <f>Q5717+R5717+S5717+T5717+U5717+V5717+W5717+X5717+Y5717+Z5717</f>
        <v/>
      </c>
      <c r="AB5717" t="n">
        <v>77</v>
      </c>
      <c r="AC5717" t="n">
        <v>13</v>
      </c>
      <c r="AD5717" t="n">
        <v>109</v>
      </c>
      <c r="AE5717" t="n">
        <v>93</v>
      </c>
      <c r="AF5717" t="n">
        <v>69</v>
      </c>
      <c r="AG5717" t="n">
        <v>73</v>
      </c>
      <c r="AH5717" t="n">
        <v>79</v>
      </c>
      <c r="AI5717" t="n">
        <v>76</v>
      </c>
      <c r="AJ5717">
        <f>INDEX($Q$5640:$Q$5767,AC5717+1)</f>
        <v/>
      </c>
      <c r="AK5717">
        <f>INDEX($R$5640:$R$5767,AD5717+1)</f>
        <v/>
      </c>
      <c r="AL5717">
        <f>INDEX($S$5640:$S$5767,AE5717+1)</f>
        <v/>
      </c>
      <c r="AM5717">
        <f>INDEX($T$5640:$T$5767,AF5717+1)</f>
        <v/>
      </c>
      <c r="AN5717">
        <f>INDEX($U$5640:$U$5767,AG5717+1)</f>
        <v/>
      </c>
      <c r="AO5717">
        <f>INDEX($V$5640:$V$5767,AH5717+1)</f>
        <v/>
      </c>
      <c r="AP5717">
        <f>INDEX($W$5640:$W$5767,AI5717+1)</f>
        <v/>
      </c>
      <c r="AQ5717">
        <f>IF(Q5717&gt;=AJ5717-0.01,1,0)</f>
        <v/>
      </c>
      <c r="AR5717">
        <f>IF(R5717&gt;=AK5717-0.01,1,0)</f>
        <v/>
      </c>
      <c r="AS5717">
        <f>IF(S5717&gt;=AL5717-0.01,1,0)</f>
        <v/>
      </c>
      <c r="AT5717">
        <f>IF(T5717&gt;=AM5717-0.01,1,0)</f>
        <v/>
      </c>
      <c r="AU5717">
        <f>IF(U5717&gt;=AN5717-0.01,1,0)</f>
        <v/>
      </c>
      <c r="AV5717">
        <f>IF(V5717&gt;=AO5717-0.01,1,0)</f>
        <v/>
      </c>
      <c r="AW5717">
        <f>IF(W5717&gt;=AP5717-0.01,1,0)</f>
        <v/>
      </c>
      <c r="AX5717">
        <f>AQ5717*AR5717*AS5717*AT5717*AU5717*AV5717*AW5717</f>
        <v/>
      </c>
    </row>
    <row r="5718">
      <c r="A5718" t="inlineStr"/>
      <c r="B5718">
        <f>Assumptions!$B$60</f>
        <v/>
      </c>
      <c r="C5718" t="n">
        <v>1</v>
      </c>
      <c r="D5718" t="n">
        <v>0</v>
      </c>
      <c r="E5718" t="n">
        <v>0</v>
      </c>
      <c r="F5718" t="n">
        <v>1</v>
      </c>
      <c r="G5718" t="n">
        <v>1</v>
      </c>
      <c r="H5718" t="n">
        <v>1</v>
      </c>
      <c r="I5718" t="n">
        <v>0</v>
      </c>
      <c r="J5718">
        <f>(1-C5718)*Assumptions!$B$41+(1-D5718)*Assumptions!$B$33+(1-E5718)*Assumptions!$B$32+(1-F5718)*Assumptions!$B$31+(1-G5718)*Assumptions!$B$30+(1-H5718)*Assumptions!$B$29+(1-I5718)*Assumptions!$B$28</f>
        <v/>
      </c>
      <c r="K5718">
        <f>C5718*$J$532+D5718*$F$532+E5718*$G$532+F5718*Assumptions!$B$14+G5718*Assumptions!$B$13+H5718*Assumptions!$B$12+I5718*Assumptions!$B$11+$O$532+$S$532+Assumptions!$B$9</f>
        <v/>
      </c>
      <c r="L5718">
        <f>B5718-J5718</f>
        <v/>
      </c>
      <c r="M5718">
        <f>IF(K5718&gt;0,IF(L5718/K5718&gt;=Assumptions!$B$37,1,0),0)</f>
        <v/>
      </c>
      <c r="N5718">
        <f>K5718+M5718*Assumptions!$B$153</f>
        <v/>
      </c>
      <c r="O5718">
        <f>L5718+M5718*Assumptions!$B$153*Assumptions!$B$37</f>
        <v/>
      </c>
      <c r="P5718">
        <f>IF(N5718&gt;0,O5718/N5718,0)</f>
        <v/>
      </c>
      <c r="Q5718">
        <f>IF(C5718=1,P5718*$J$532,Assumptions!$B$41)</f>
        <v/>
      </c>
      <c r="R5718">
        <f>IF(D5718=1,P5718*$F$532,Assumptions!$B$33)</f>
        <v/>
      </c>
      <c r="S5718">
        <f>IF(E5718=1,P5718*$G$532,Assumptions!$B$32)</f>
        <v/>
      </c>
      <c r="T5718">
        <f>IF(F5718=1,P5718*Assumptions!$B$14,Assumptions!$B$31)</f>
        <v/>
      </c>
      <c r="U5718">
        <f>IF(G5718=1,P5718*Assumptions!$B$13,Assumptions!$B$30)</f>
        <v/>
      </c>
      <c r="V5718">
        <f>IF(H5718=1,P5718*Assumptions!$B$12,Assumptions!$B$29)</f>
        <v/>
      </c>
      <c r="W5718">
        <f>IF(I5718=1,P5718*Assumptions!$B$11,Assumptions!$B$28)</f>
        <v/>
      </c>
      <c r="X5718">
        <f>P5718*($O$532+$S$532)</f>
        <v/>
      </c>
      <c r="Y5718">
        <f>P5718*Assumptions!$B$9</f>
        <v/>
      </c>
      <c r="Z5718">
        <f>IF(M5718=1,(P5718-Assumptions!$B$37)*Assumptions!$B$153,0)</f>
        <v/>
      </c>
      <c r="AA5718">
        <f>Q5718+R5718+S5718+T5718+U5718+V5718+W5718+X5718+Y5718+Z5718</f>
        <v/>
      </c>
      <c r="AB5718" t="n">
        <v>78</v>
      </c>
      <c r="AC5718" t="n">
        <v>14</v>
      </c>
      <c r="AD5718" t="n">
        <v>110</v>
      </c>
      <c r="AE5718" t="n">
        <v>94</v>
      </c>
      <c r="AF5718" t="n">
        <v>70</v>
      </c>
      <c r="AG5718" t="n">
        <v>74</v>
      </c>
      <c r="AH5718" t="n">
        <v>76</v>
      </c>
      <c r="AI5718" t="n">
        <v>79</v>
      </c>
      <c r="AJ5718">
        <f>INDEX($Q$5640:$Q$5767,AC5718+1)</f>
        <v/>
      </c>
      <c r="AK5718">
        <f>INDEX($R$5640:$R$5767,AD5718+1)</f>
        <v/>
      </c>
      <c r="AL5718">
        <f>INDEX($S$5640:$S$5767,AE5718+1)</f>
        <v/>
      </c>
      <c r="AM5718">
        <f>INDEX($T$5640:$T$5767,AF5718+1)</f>
        <v/>
      </c>
      <c r="AN5718">
        <f>INDEX($U$5640:$U$5767,AG5718+1)</f>
        <v/>
      </c>
      <c r="AO5718">
        <f>INDEX($V$5640:$V$5767,AH5718+1)</f>
        <v/>
      </c>
      <c r="AP5718">
        <f>INDEX($W$5640:$W$5767,AI5718+1)</f>
        <v/>
      </c>
      <c r="AQ5718">
        <f>IF(Q5718&gt;=AJ5718-0.01,1,0)</f>
        <v/>
      </c>
      <c r="AR5718">
        <f>IF(R5718&gt;=AK5718-0.01,1,0)</f>
        <v/>
      </c>
      <c r="AS5718">
        <f>IF(S5718&gt;=AL5718-0.01,1,0)</f>
        <v/>
      </c>
      <c r="AT5718">
        <f>IF(T5718&gt;=AM5718-0.01,1,0)</f>
        <v/>
      </c>
      <c r="AU5718">
        <f>IF(U5718&gt;=AN5718-0.01,1,0)</f>
        <v/>
      </c>
      <c r="AV5718">
        <f>IF(V5718&gt;=AO5718-0.01,1,0)</f>
        <v/>
      </c>
      <c r="AW5718">
        <f>IF(W5718&gt;=AP5718-0.01,1,0)</f>
        <v/>
      </c>
      <c r="AX5718">
        <f>AQ5718*AR5718*AS5718*AT5718*AU5718*AV5718*AW5718</f>
        <v/>
      </c>
    </row>
    <row r="5719">
      <c r="A5719" t="inlineStr"/>
      <c r="B5719">
        <f>Assumptions!$B$60</f>
        <v/>
      </c>
      <c r="C5719" t="n">
        <v>1</v>
      </c>
      <c r="D5719" t="n">
        <v>0</v>
      </c>
      <c r="E5719" t="n">
        <v>0</v>
      </c>
      <c r="F5719" t="n">
        <v>1</v>
      </c>
      <c r="G5719" t="n">
        <v>1</v>
      </c>
      <c r="H5719" t="n">
        <v>1</v>
      </c>
      <c r="I5719" t="n">
        <v>1</v>
      </c>
      <c r="J5719">
        <f>(1-C5719)*Assumptions!$B$41+(1-D5719)*Assumptions!$B$33+(1-E5719)*Assumptions!$B$32+(1-F5719)*Assumptions!$B$31+(1-G5719)*Assumptions!$B$30+(1-H5719)*Assumptions!$B$29+(1-I5719)*Assumptions!$B$28</f>
        <v/>
      </c>
      <c r="K5719">
        <f>C5719*$J$532+D5719*$F$532+E5719*$G$532+F5719*Assumptions!$B$14+G5719*Assumptions!$B$13+H5719*Assumptions!$B$12+I5719*Assumptions!$B$11+$O$532+$S$532+Assumptions!$B$9</f>
        <v/>
      </c>
      <c r="L5719">
        <f>B5719-J5719</f>
        <v/>
      </c>
      <c r="M5719">
        <f>IF(K5719&gt;0,IF(L5719/K5719&gt;=Assumptions!$B$37,1,0),0)</f>
        <v/>
      </c>
      <c r="N5719">
        <f>K5719+M5719*Assumptions!$B$153</f>
        <v/>
      </c>
      <c r="O5719">
        <f>L5719+M5719*Assumptions!$B$153*Assumptions!$B$37</f>
        <v/>
      </c>
      <c r="P5719">
        <f>IF(N5719&gt;0,O5719/N5719,0)</f>
        <v/>
      </c>
      <c r="Q5719">
        <f>IF(C5719=1,P5719*$J$532,Assumptions!$B$41)</f>
        <v/>
      </c>
      <c r="R5719">
        <f>IF(D5719=1,P5719*$F$532,Assumptions!$B$33)</f>
        <v/>
      </c>
      <c r="S5719">
        <f>IF(E5719=1,P5719*$G$532,Assumptions!$B$32)</f>
        <v/>
      </c>
      <c r="T5719">
        <f>IF(F5719=1,P5719*Assumptions!$B$14,Assumptions!$B$31)</f>
        <v/>
      </c>
      <c r="U5719">
        <f>IF(G5719=1,P5719*Assumptions!$B$13,Assumptions!$B$30)</f>
        <v/>
      </c>
      <c r="V5719">
        <f>IF(H5719=1,P5719*Assumptions!$B$12,Assumptions!$B$29)</f>
        <v/>
      </c>
      <c r="W5719">
        <f>IF(I5719=1,P5719*Assumptions!$B$11,Assumptions!$B$28)</f>
        <v/>
      </c>
      <c r="X5719">
        <f>P5719*($O$532+$S$532)</f>
        <v/>
      </c>
      <c r="Y5719">
        <f>P5719*Assumptions!$B$9</f>
        <v/>
      </c>
      <c r="Z5719">
        <f>IF(M5719=1,(P5719-Assumptions!$B$37)*Assumptions!$B$153,0)</f>
        <v/>
      </c>
      <c r="AA5719">
        <f>Q5719+R5719+S5719+T5719+U5719+V5719+W5719+X5719+Y5719+Z5719</f>
        <v/>
      </c>
      <c r="AB5719" t="n">
        <v>79</v>
      </c>
      <c r="AC5719" t="n">
        <v>15</v>
      </c>
      <c r="AD5719" t="n">
        <v>111</v>
      </c>
      <c r="AE5719" t="n">
        <v>95</v>
      </c>
      <c r="AF5719" t="n">
        <v>71</v>
      </c>
      <c r="AG5719" t="n">
        <v>75</v>
      </c>
      <c r="AH5719" t="n">
        <v>77</v>
      </c>
      <c r="AI5719" t="n">
        <v>78</v>
      </c>
      <c r="AJ5719">
        <f>INDEX($Q$5640:$Q$5767,AC5719+1)</f>
        <v/>
      </c>
      <c r="AK5719">
        <f>INDEX($R$5640:$R$5767,AD5719+1)</f>
        <v/>
      </c>
      <c r="AL5719">
        <f>INDEX($S$5640:$S$5767,AE5719+1)</f>
        <v/>
      </c>
      <c r="AM5719">
        <f>INDEX($T$5640:$T$5767,AF5719+1)</f>
        <v/>
      </c>
      <c r="AN5719">
        <f>INDEX($U$5640:$U$5767,AG5719+1)</f>
        <v/>
      </c>
      <c r="AO5719">
        <f>INDEX($V$5640:$V$5767,AH5719+1)</f>
        <v/>
      </c>
      <c r="AP5719">
        <f>INDEX($W$5640:$W$5767,AI5719+1)</f>
        <v/>
      </c>
      <c r="AQ5719">
        <f>IF(Q5719&gt;=AJ5719-0.01,1,0)</f>
        <v/>
      </c>
      <c r="AR5719">
        <f>IF(R5719&gt;=AK5719-0.01,1,0)</f>
        <v/>
      </c>
      <c r="AS5719">
        <f>IF(S5719&gt;=AL5719-0.01,1,0)</f>
        <v/>
      </c>
      <c r="AT5719">
        <f>IF(T5719&gt;=AM5719-0.01,1,0)</f>
        <v/>
      </c>
      <c r="AU5719">
        <f>IF(U5719&gt;=AN5719-0.01,1,0)</f>
        <v/>
      </c>
      <c r="AV5719">
        <f>IF(V5719&gt;=AO5719-0.01,1,0)</f>
        <v/>
      </c>
      <c r="AW5719">
        <f>IF(W5719&gt;=AP5719-0.01,1,0)</f>
        <v/>
      </c>
      <c r="AX5719">
        <f>AQ5719*AR5719*AS5719*AT5719*AU5719*AV5719*AW5719</f>
        <v/>
      </c>
    </row>
    <row r="5720">
      <c r="A5720" t="inlineStr"/>
      <c r="B5720">
        <f>Assumptions!$B$60</f>
        <v/>
      </c>
      <c r="C5720" t="n">
        <v>1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0</v>
      </c>
      <c r="J5720">
        <f>(1-C5720)*Assumptions!$B$41+(1-D5720)*Assumptions!$B$33+(1-E5720)*Assumptions!$B$32+(1-F5720)*Assumptions!$B$31+(1-G5720)*Assumptions!$B$30+(1-H5720)*Assumptions!$B$29+(1-I5720)*Assumptions!$B$28</f>
        <v/>
      </c>
      <c r="K5720">
        <f>C5720*$J$532+D5720*$F$532+E5720*$G$532+F5720*Assumptions!$B$14+G5720*Assumptions!$B$13+H5720*Assumptions!$B$12+I5720*Assumptions!$B$11+$O$532+$S$532+Assumptions!$B$9</f>
        <v/>
      </c>
      <c r="L5720">
        <f>B5720-J5720</f>
        <v/>
      </c>
      <c r="M5720">
        <f>IF(K5720&gt;0,IF(L5720/K5720&gt;=Assumptions!$B$37,1,0),0)</f>
        <v/>
      </c>
      <c r="N5720">
        <f>K5720+M5720*Assumptions!$B$153</f>
        <v/>
      </c>
      <c r="O5720">
        <f>L5720+M5720*Assumptions!$B$153*Assumptions!$B$37</f>
        <v/>
      </c>
      <c r="P5720">
        <f>IF(N5720&gt;0,O5720/N5720,0)</f>
        <v/>
      </c>
      <c r="Q5720">
        <f>IF(C5720=1,P5720*$J$532,Assumptions!$B$41)</f>
        <v/>
      </c>
      <c r="R5720">
        <f>IF(D5720=1,P5720*$F$532,Assumptions!$B$33)</f>
        <v/>
      </c>
      <c r="S5720">
        <f>IF(E5720=1,P5720*$G$532,Assumptions!$B$32)</f>
        <v/>
      </c>
      <c r="T5720">
        <f>IF(F5720=1,P5720*Assumptions!$B$14,Assumptions!$B$31)</f>
        <v/>
      </c>
      <c r="U5720">
        <f>IF(G5720=1,P5720*Assumptions!$B$13,Assumptions!$B$30)</f>
        <v/>
      </c>
      <c r="V5720">
        <f>IF(H5720=1,P5720*Assumptions!$B$12,Assumptions!$B$29)</f>
        <v/>
      </c>
      <c r="W5720">
        <f>IF(I5720=1,P5720*Assumptions!$B$11,Assumptions!$B$28)</f>
        <v/>
      </c>
      <c r="X5720">
        <f>P5720*($O$532+$S$532)</f>
        <v/>
      </c>
      <c r="Y5720">
        <f>P5720*Assumptions!$B$9</f>
        <v/>
      </c>
      <c r="Z5720">
        <f>IF(M5720=1,(P5720-Assumptions!$B$37)*Assumptions!$B$153,0)</f>
        <v/>
      </c>
      <c r="AA5720">
        <f>Q5720+R5720+S5720+T5720+U5720+V5720+W5720+X5720+Y5720+Z5720</f>
        <v/>
      </c>
      <c r="AB5720" t="n">
        <v>80</v>
      </c>
      <c r="AC5720" t="n">
        <v>16</v>
      </c>
      <c r="AD5720" t="n">
        <v>112</v>
      </c>
      <c r="AE5720" t="n">
        <v>64</v>
      </c>
      <c r="AF5720" t="n">
        <v>88</v>
      </c>
      <c r="AG5720" t="n">
        <v>84</v>
      </c>
      <c r="AH5720" t="n">
        <v>82</v>
      </c>
      <c r="AI5720" t="n">
        <v>81</v>
      </c>
      <c r="AJ5720">
        <f>INDEX($Q$5640:$Q$5767,AC5720+1)</f>
        <v/>
      </c>
      <c r="AK5720">
        <f>INDEX($R$5640:$R$5767,AD5720+1)</f>
        <v/>
      </c>
      <c r="AL5720">
        <f>INDEX($S$5640:$S$5767,AE5720+1)</f>
        <v/>
      </c>
      <c r="AM5720">
        <f>INDEX($T$5640:$T$5767,AF5720+1)</f>
        <v/>
      </c>
      <c r="AN5720">
        <f>INDEX($U$5640:$U$5767,AG5720+1)</f>
        <v/>
      </c>
      <c r="AO5720">
        <f>INDEX($V$5640:$V$5767,AH5720+1)</f>
        <v/>
      </c>
      <c r="AP5720">
        <f>INDEX($W$5640:$W$5767,AI5720+1)</f>
        <v/>
      </c>
      <c r="AQ5720">
        <f>IF(Q5720&gt;=AJ5720-0.01,1,0)</f>
        <v/>
      </c>
      <c r="AR5720">
        <f>IF(R5720&gt;=AK5720-0.01,1,0)</f>
        <v/>
      </c>
      <c r="AS5720">
        <f>IF(S5720&gt;=AL5720-0.01,1,0)</f>
        <v/>
      </c>
      <c r="AT5720">
        <f>IF(T5720&gt;=AM5720-0.01,1,0)</f>
        <v/>
      </c>
      <c r="AU5720">
        <f>IF(U5720&gt;=AN5720-0.01,1,0)</f>
        <v/>
      </c>
      <c r="AV5720">
        <f>IF(V5720&gt;=AO5720-0.01,1,0)</f>
        <v/>
      </c>
      <c r="AW5720">
        <f>IF(W5720&gt;=AP5720-0.01,1,0)</f>
        <v/>
      </c>
      <c r="AX5720">
        <f>AQ5720*AR5720*AS5720*AT5720*AU5720*AV5720*AW5720</f>
        <v/>
      </c>
    </row>
    <row r="5721">
      <c r="A5721" t="inlineStr"/>
      <c r="B5721">
        <f>Assumptions!$B$60</f>
        <v/>
      </c>
      <c r="C5721" t="n">
        <v>1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1</v>
      </c>
      <c r="J5721">
        <f>(1-C5721)*Assumptions!$B$41+(1-D5721)*Assumptions!$B$33+(1-E5721)*Assumptions!$B$32+(1-F5721)*Assumptions!$B$31+(1-G5721)*Assumptions!$B$30+(1-H5721)*Assumptions!$B$29+(1-I5721)*Assumptions!$B$28</f>
        <v/>
      </c>
      <c r="K5721">
        <f>C5721*$J$532+D5721*$F$532+E5721*$G$532+F5721*Assumptions!$B$14+G5721*Assumptions!$B$13+H5721*Assumptions!$B$12+I5721*Assumptions!$B$11+$O$532+$S$532+Assumptions!$B$9</f>
        <v/>
      </c>
      <c r="L5721">
        <f>B5721-J5721</f>
        <v/>
      </c>
      <c r="M5721">
        <f>IF(K5721&gt;0,IF(L5721/K5721&gt;=Assumptions!$B$37,1,0),0)</f>
        <v/>
      </c>
      <c r="N5721">
        <f>K5721+M5721*Assumptions!$B$153</f>
        <v/>
      </c>
      <c r="O5721">
        <f>L5721+M5721*Assumptions!$B$153*Assumptions!$B$37</f>
        <v/>
      </c>
      <c r="P5721">
        <f>IF(N5721&gt;0,O5721/N5721,0)</f>
        <v/>
      </c>
      <c r="Q5721">
        <f>IF(C5721=1,P5721*$J$532,Assumptions!$B$41)</f>
        <v/>
      </c>
      <c r="R5721">
        <f>IF(D5721=1,P5721*$F$532,Assumptions!$B$33)</f>
        <v/>
      </c>
      <c r="S5721">
        <f>IF(E5721=1,P5721*$G$532,Assumptions!$B$32)</f>
        <v/>
      </c>
      <c r="T5721">
        <f>IF(F5721=1,P5721*Assumptions!$B$14,Assumptions!$B$31)</f>
        <v/>
      </c>
      <c r="U5721">
        <f>IF(G5721=1,P5721*Assumptions!$B$13,Assumptions!$B$30)</f>
        <v/>
      </c>
      <c r="V5721">
        <f>IF(H5721=1,P5721*Assumptions!$B$12,Assumptions!$B$29)</f>
        <v/>
      </c>
      <c r="W5721">
        <f>IF(I5721=1,P5721*Assumptions!$B$11,Assumptions!$B$28)</f>
        <v/>
      </c>
      <c r="X5721">
        <f>P5721*($O$532+$S$532)</f>
        <v/>
      </c>
      <c r="Y5721">
        <f>P5721*Assumptions!$B$9</f>
        <v/>
      </c>
      <c r="Z5721">
        <f>IF(M5721=1,(P5721-Assumptions!$B$37)*Assumptions!$B$153,0)</f>
        <v/>
      </c>
      <c r="AA5721">
        <f>Q5721+R5721+S5721+T5721+U5721+V5721+W5721+X5721+Y5721+Z5721</f>
        <v/>
      </c>
      <c r="AB5721" t="n">
        <v>81</v>
      </c>
      <c r="AC5721" t="n">
        <v>17</v>
      </c>
      <c r="AD5721" t="n">
        <v>113</v>
      </c>
      <c r="AE5721" t="n">
        <v>65</v>
      </c>
      <c r="AF5721" t="n">
        <v>89</v>
      </c>
      <c r="AG5721" t="n">
        <v>85</v>
      </c>
      <c r="AH5721" t="n">
        <v>83</v>
      </c>
      <c r="AI5721" t="n">
        <v>80</v>
      </c>
      <c r="AJ5721">
        <f>INDEX($Q$5640:$Q$5767,AC5721+1)</f>
        <v/>
      </c>
      <c r="AK5721">
        <f>INDEX($R$5640:$R$5767,AD5721+1)</f>
        <v/>
      </c>
      <c r="AL5721">
        <f>INDEX($S$5640:$S$5767,AE5721+1)</f>
        <v/>
      </c>
      <c r="AM5721">
        <f>INDEX($T$5640:$T$5767,AF5721+1)</f>
        <v/>
      </c>
      <c r="AN5721">
        <f>INDEX($U$5640:$U$5767,AG5721+1)</f>
        <v/>
      </c>
      <c r="AO5721">
        <f>INDEX($V$5640:$V$5767,AH5721+1)</f>
        <v/>
      </c>
      <c r="AP5721">
        <f>INDEX($W$5640:$W$5767,AI5721+1)</f>
        <v/>
      </c>
      <c r="AQ5721">
        <f>IF(Q5721&gt;=AJ5721-0.01,1,0)</f>
        <v/>
      </c>
      <c r="AR5721">
        <f>IF(R5721&gt;=AK5721-0.01,1,0)</f>
        <v/>
      </c>
      <c r="AS5721">
        <f>IF(S5721&gt;=AL5721-0.01,1,0)</f>
        <v/>
      </c>
      <c r="AT5721">
        <f>IF(T5721&gt;=AM5721-0.01,1,0)</f>
        <v/>
      </c>
      <c r="AU5721">
        <f>IF(U5721&gt;=AN5721-0.01,1,0)</f>
        <v/>
      </c>
      <c r="AV5721">
        <f>IF(V5721&gt;=AO5721-0.01,1,0)</f>
        <v/>
      </c>
      <c r="AW5721">
        <f>IF(W5721&gt;=AP5721-0.01,1,0)</f>
        <v/>
      </c>
      <c r="AX5721">
        <f>AQ5721*AR5721*AS5721*AT5721*AU5721*AV5721*AW5721</f>
        <v/>
      </c>
    </row>
    <row r="5722">
      <c r="A5722" t="inlineStr"/>
      <c r="B5722">
        <f>Assumptions!$B$60</f>
        <v/>
      </c>
      <c r="C5722" t="n">
        <v>1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  <c r="I5722" t="n">
        <v>0</v>
      </c>
      <c r="J5722">
        <f>(1-C5722)*Assumptions!$B$41+(1-D5722)*Assumptions!$B$33+(1-E5722)*Assumptions!$B$32+(1-F5722)*Assumptions!$B$31+(1-G5722)*Assumptions!$B$30+(1-H5722)*Assumptions!$B$29+(1-I5722)*Assumptions!$B$28</f>
        <v/>
      </c>
      <c r="K5722">
        <f>C5722*$J$532+D5722*$F$532+E5722*$G$532+F5722*Assumptions!$B$14+G5722*Assumptions!$B$13+H5722*Assumptions!$B$12+I5722*Assumptions!$B$11+$O$532+$S$532+Assumptions!$B$9</f>
        <v/>
      </c>
      <c r="L5722">
        <f>B5722-J5722</f>
        <v/>
      </c>
      <c r="M5722">
        <f>IF(K5722&gt;0,IF(L5722/K5722&gt;=Assumptions!$B$37,1,0),0)</f>
        <v/>
      </c>
      <c r="N5722">
        <f>K5722+M5722*Assumptions!$B$153</f>
        <v/>
      </c>
      <c r="O5722">
        <f>L5722+M5722*Assumptions!$B$153*Assumptions!$B$37</f>
        <v/>
      </c>
      <c r="P5722">
        <f>IF(N5722&gt;0,O5722/N5722,0)</f>
        <v/>
      </c>
      <c r="Q5722">
        <f>IF(C5722=1,P5722*$J$532,Assumptions!$B$41)</f>
        <v/>
      </c>
      <c r="R5722">
        <f>IF(D5722=1,P5722*$F$532,Assumptions!$B$33)</f>
        <v/>
      </c>
      <c r="S5722">
        <f>IF(E5722=1,P5722*$G$532,Assumptions!$B$32)</f>
        <v/>
      </c>
      <c r="T5722">
        <f>IF(F5722=1,P5722*Assumptions!$B$14,Assumptions!$B$31)</f>
        <v/>
      </c>
      <c r="U5722">
        <f>IF(G5722=1,P5722*Assumptions!$B$13,Assumptions!$B$30)</f>
        <v/>
      </c>
      <c r="V5722">
        <f>IF(H5722=1,P5722*Assumptions!$B$12,Assumptions!$B$29)</f>
        <v/>
      </c>
      <c r="W5722">
        <f>IF(I5722=1,P5722*Assumptions!$B$11,Assumptions!$B$28)</f>
        <v/>
      </c>
      <c r="X5722">
        <f>P5722*($O$532+$S$532)</f>
        <v/>
      </c>
      <c r="Y5722">
        <f>P5722*Assumptions!$B$9</f>
        <v/>
      </c>
      <c r="Z5722">
        <f>IF(M5722=1,(P5722-Assumptions!$B$37)*Assumptions!$B$153,0)</f>
        <v/>
      </c>
      <c r="AA5722">
        <f>Q5722+R5722+S5722+T5722+U5722+V5722+W5722+X5722+Y5722+Z5722</f>
        <v/>
      </c>
      <c r="AB5722" t="n">
        <v>82</v>
      </c>
      <c r="AC5722" t="n">
        <v>18</v>
      </c>
      <c r="AD5722" t="n">
        <v>114</v>
      </c>
      <c r="AE5722" t="n">
        <v>66</v>
      </c>
      <c r="AF5722" t="n">
        <v>90</v>
      </c>
      <c r="AG5722" t="n">
        <v>86</v>
      </c>
      <c r="AH5722" t="n">
        <v>80</v>
      </c>
      <c r="AI5722" t="n">
        <v>83</v>
      </c>
      <c r="AJ5722">
        <f>INDEX($Q$5640:$Q$5767,AC5722+1)</f>
        <v/>
      </c>
      <c r="AK5722">
        <f>INDEX($R$5640:$R$5767,AD5722+1)</f>
        <v/>
      </c>
      <c r="AL5722">
        <f>INDEX($S$5640:$S$5767,AE5722+1)</f>
        <v/>
      </c>
      <c r="AM5722">
        <f>INDEX($T$5640:$T$5767,AF5722+1)</f>
        <v/>
      </c>
      <c r="AN5722">
        <f>INDEX($U$5640:$U$5767,AG5722+1)</f>
        <v/>
      </c>
      <c r="AO5722">
        <f>INDEX($V$5640:$V$5767,AH5722+1)</f>
        <v/>
      </c>
      <c r="AP5722">
        <f>INDEX($W$5640:$W$5767,AI5722+1)</f>
        <v/>
      </c>
      <c r="AQ5722">
        <f>IF(Q5722&gt;=AJ5722-0.01,1,0)</f>
        <v/>
      </c>
      <c r="AR5722">
        <f>IF(R5722&gt;=AK5722-0.01,1,0)</f>
        <v/>
      </c>
      <c r="AS5722">
        <f>IF(S5722&gt;=AL5722-0.01,1,0)</f>
        <v/>
      </c>
      <c r="AT5722">
        <f>IF(T5722&gt;=AM5722-0.01,1,0)</f>
        <v/>
      </c>
      <c r="AU5722">
        <f>IF(U5722&gt;=AN5722-0.01,1,0)</f>
        <v/>
      </c>
      <c r="AV5722">
        <f>IF(V5722&gt;=AO5722-0.01,1,0)</f>
        <v/>
      </c>
      <c r="AW5722">
        <f>IF(W5722&gt;=AP5722-0.01,1,0)</f>
        <v/>
      </c>
      <c r="AX5722">
        <f>AQ5722*AR5722*AS5722*AT5722*AU5722*AV5722*AW5722</f>
        <v/>
      </c>
    </row>
    <row r="5723">
      <c r="A5723" t="inlineStr"/>
      <c r="B5723">
        <f>Assumptions!$B$60</f>
        <v/>
      </c>
      <c r="C5723" t="n">
        <v>1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  <c r="I5723" t="n">
        <v>1</v>
      </c>
      <c r="J5723">
        <f>(1-C5723)*Assumptions!$B$41+(1-D5723)*Assumptions!$B$33+(1-E5723)*Assumptions!$B$32+(1-F5723)*Assumptions!$B$31+(1-G5723)*Assumptions!$B$30+(1-H5723)*Assumptions!$B$29+(1-I5723)*Assumptions!$B$28</f>
        <v/>
      </c>
      <c r="K5723">
        <f>C5723*$J$532+D5723*$F$532+E5723*$G$532+F5723*Assumptions!$B$14+G5723*Assumptions!$B$13+H5723*Assumptions!$B$12+I5723*Assumptions!$B$11+$O$532+$S$532+Assumptions!$B$9</f>
        <v/>
      </c>
      <c r="L5723">
        <f>B5723-J5723</f>
        <v/>
      </c>
      <c r="M5723">
        <f>IF(K5723&gt;0,IF(L5723/K5723&gt;=Assumptions!$B$37,1,0),0)</f>
        <v/>
      </c>
      <c r="N5723">
        <f>K5723+M5723*Assumptions!$B$153</f>
        <v/>
      </c>
      <c r="O5723">
        <f>L5723+M5723*Assumptions!$B$153*Assumptions!$B$37</f>
        <v/>
      </c>
      <c r="P5723">
        <f>IF(N5723&gt;0,O5723/N5723,0)</f>
        <v/>
      </c>
      <c r="Q5723">
        <f>IF(C5723=1,P5723*$J$532,Assumptions!$B$41)</f>
        <v/>
      </c>
      <c r="R5723">
        <f>IF(D5723=1,P5723*$F$532,Assumptions!$B$33)</f>
        <v/>
      </c>
      <c r="S5723">
        <f>IF(E5723=1,P5723*$G$532,Assumptions!$B$32)</f>
        <v/>
      </c>
      <c r="T5723">
        <f>IF(F5723=1,P5723*Assumptions!$B$14,Assumptions!$B$31)</f>
        <v/>
      </c>
      <c r="U5723">
        <f>IF(G5723=1,P5723*Assumptions!$B$13,Assumptions!$B$30)</f>
        <v/>
      </c>
      <c r="V5723">
        <f>IF(H5723=1,P5723*Assumptions!$B$12,Assumptions!$B$29)</f>
        <v/>
      </c>
      <c r="W5723">
        <f>IF(I5723=1,P5723*Assumptions!$B$11,Assumptions!$B$28)</f>
        <v/>
      </c>
      <c r="X5723">
        <f>P5723*($O$532+$S$532)</f>
        <v/>
      </c>
      <c r="Y5723">
        <f>P5723*Assumptions!$B$9</f>
        <v/>
      </c>
      <c r="Z5723">
        <f>IF(M5723=1,(P5723-Assumptions!$B$37)*Assumptions!$B$153,0)</f>
        <v/>
      </c>
      <c r="AA5723">
        <f>Q5723+R5723+S5723+T5723+U5723+V5723+W5723+X5723+Y5723+Z5723</f>
        <v/>
      </c>
      <c r="AB5723" t="n">
        <v>83</v>
      </c>
      <c r="AC5723" t="n">
        <v>19</v>
      </c>
      <c r="AD5723" t="n">
        <v>115</v>
      </c>
      <c r="AE5723" t="n">
        <v>67</v>
      </c>
      <c r="AF5723" t="n">
        <v>91</v>
      </c>
      <c r="AG5723" t="n">
        <v>87</v>
      </c>
      <c r="AH5723" t="n">
        <v>81</v>
      </c>
      <c r="AI5723" t="n">
        <v>82</v>
      </c>
      <c r="AJ5723">
        <f>INDEX($Q$5640:$Q$5767,AC5723+1)</f>
        <v/>
      </c>
      <c r="AK5723">
        <f>INDEX($R$5640:$R$5767,AD5723+1)</f>
        <v/>
      </c>
      <c r="AL5723">
        <f>INDEX($S$5640:$S$5767,AE5723+1)</f>
        <v/>
      </c>
      <c r="AM5723">
        <f>INDEX($T$5640:$T$5767,AF5723+1)</f>
        <v/>
      </c>
      <c r="AN5723">
        <f>INDEX($U$5640:$U$5767,AG5723+1)</f>
        <v/>
      </c>
      <c r="AO5723">
        <f>INDEX($V$5640:$V$5767,AH5723+1)</f>
        <v/>
      </c>
      <c r="AP5723">
        <f>INDEX($W$5640:$W$5767,AI5723+1)</f>
        <v/>
      </c>
      <c r="AQ5723">
        <f>IF(Q5723&gt;=AJ5723-0.01,1,0)</f>
        <v/>
      </c>
      <c r="AR5723">
        <f>IF(R5723&gt;=AK5723-0.01,1,0)</f>
        <v/>
      </c>
      <c r="AS5723">
        <f>IF(S5723&gt;=AL5723-0.01,1,0)</f>
        <v/>
      </c>
      <c r="AT5723">
        <f>IF(T5723&gt;=AM5723-0.01,1,0)</f>
        <v/>
      </c>
      <c r="AU5723">
        <f>IF(U5723&gt;=AN5723-0.01,1,0)</f>
        <v/>
      </c>
      <c r="AV5723">
        <f>IF(V5723&gt;=AO5723-0.01,1,0)</f>
        <v/>
      </c>
      <c r="AW5723">
        <f>IF(W5723&gt;=AP5723-0.01,1,0)</f>
        <v/>
      </c>
      <c r="AX5723">
        <f>AQ5723*AR5723*AS5723*AT5723*AU5723*AV5723*AW5723</f>
        <v/>
      </c>
    </row>
    <row r="5724">
      <c r="A5724" t="inlineStr"/>
      <c r="B5724">
        <f>Assumptions!$B$60</f>
        <v/>
      </c>
      <c r="C5724" t="n">
        <v>1</v>
      </c>
      <c r="D5724" t="n">
        <v>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>
        <f>(1-C5724)*Assumptions!$B$41+(1-D5724)*Assumptions!$B$33+(1-E5724)*Assumptions!$B$32+(1-F5724)*Assumptions!$B$31+(1-G5724)*Assumptions!$B$30+(1-H5724)*Assumptions!$B$29+(1-I5724)*Assumptions!$B$28</f>
        <v/>
      </c>
      <c r="K5724">
        <f>C5724*$J$532+D5724*$F$532+E5724*$G$532+F5724*Assumptions!$B$14+G5724*Assumptions!$B$13+H5724*Assumptions!$B$12+I5724*Assumptions!$B$11+$O$532+$S$532+Assumptions!$B$9</f>
        <v/>
      </c>
      <c r="L5724">
        <f>B5724-J5724</f>
        <v/>
      </c>
      <c r="M5724">
        <f>IF(K5724&gt;0,IF(L5724/K5724&gt;=Assumptions!$B$37,1,0),0)</f>
        <v/>
      </c>
      <c r="N5724">
        <f>K5724+M5724*Assumptions!$B$153</f>
        <v/>
      </c>
      <c r="O5724">
        <f>L5724+M5724*Assumptions!$B$153*Assumptions!$B$37</f>
        <v/>
      </c>
      <c r="P5724">
        <f>IF(N5724&gt;0,O5724/N5724,0)</f>
        <v/>
      </c>
      <c r="Q5724">
        <f>IF(C5724=1,P5724*$J$532,Assumptions!$B$41)</f>
        <v/>
      </c>
      <c r="R5724">
        <f>IF(D5724=1,P5724*$F$532,Assumptions!$B$33)</f>
        <v/>
      </c>
      <c r="S5724">
        <f>IF(E5724=1,P5724*$G$532,Assumptions!$B$32)</f>
        <v/>
      </c>
      <c r="T5724">
        <f>IF(F5724=1,P5724*Assumptions!$B$14,Assumptions!$B$31)</f>
        <v/>
      </c>
      <c r="U5724">
        <f>IF(G5724=1,P5724*Assumptions!$B$13,Assumptions!$B$30)</f>
        <v/>
      </c>
      <c r="V5724">
        <f>IF(H5724=1,P5724*Assumptions!$B$12,Assumptions!$B$29)</f>
        <v/>
      </c>
      <c r="W5724">
        <f>IF(I5724=1,P5724*Assumptions!$B$11,Assumptions!$B$28)</f>
        <v/>
      </c>
      <c r="X5724">
        <f>P5724*($O$532+$S$532)</f>
        <v/>
      </c>
      <c r="Y5724">
        <f>P5724*Assumptions!$B$9</f>
        <v/>
      </c>
      <c r="Z5724">
        <f>IF(M5724=1,(P5724-Assumptions!$B$37)*Assumptions!$B$153,0)</f>
        <v/>
      </c>
      <c r="AA5724">
        <f>Q5724+R5724+S5724+T5724+U5724+V5724+W5724+X5724+Y5724+Z5724</f>
        <v/>
      </c>
      <c r="AB5724" t="n">
        <v>84</v>
      </c>
      <c r="AC5724" t="n">
        <v>20</v>
      </c>
      <c r="AD5724" t="n">
        <v>116</v>
      </c>
      <c r="AE5724" t="n">
        <v>68</v>
      </c>
      <c r="AF5724" t="n">
        <v>92</v>
      </c>
      <c r="AG5724" t="n">
        <v>80</v>
      </c>
      <c r="AH5724" t="n">
        <v>86</v>
      </c>
      <c r="AI5724" t="n">
        <v>85</v>
      </c>
      <c r="AJ5724">
        <f>INDEX($Q$5640:$Q$5767,AC5724+1)</f>
        <v/>
      </c>
      <c r="AK5724">
        <f>INDEX($R$5640:$R$5767,AD5724+1)</f>
        <v/>
      </c>
      <c r="AL5724">
        <f>INDEX($S$5640:$S$5767,AE5724+1)</f>
        <v/>
      </c>
      <c r="AM5724">
        <f>INDEX($T$5640:$T$5767,AF5724+1)</f>
        <v/>
      </c>
      <c r="AN5724">
        <f>INDEX($U$5640:$U$5767,AG5724+1)</f>
        <v/>
      </c>
      <c r="AO5724">
        <f>INDEX($V$5640:$V$5767,AH5724+1)</f>
        <v/>
      </c>
      <c r="AP5724">
        <f>INDEX($W$5640:$W$5767,AI5724+1)</f>
        <v/>
      </c>
      <c r="AQ5724">
        <f>IF(Q5724&gt;=AJ5724-0.01,1,0)</f>
        <v/>
      </c>
      <c r="AR5724">
        <f>IF(R5724&gt;=AK5724-0.01,1,0)</f>
        <v/>
      </c>
      <c r="AS5724">
        <f>IF(S5724&gt;=AL5724-0.01,1,0)</f>
        <v/>
      </c>
      <c r="AT5724">
        <f>IF(T5724&gt;=AM5724-0.01,1,0)</f>
        <v/>
      </c>
      <c r="AU5724">
        <f>IF(U5724&gt;=AN5724-0.01,1,0)</f>
        <v/>
      </c>
      <c r="AV5724">
        <f>IF(V5724&gt;=AO5724-0.01,1,0)</f>
        <v/>
      </c>
      <c r="AW5724">
        <f>IF(W5724&gt;=AP5724-0.01,1,0)</f>
        <v/>
      </c>
      <c r="AX5724">
        <f>AQ5724*AR5724*AS5724*AT5724*AU5724*AV5724*AW5724</f>
        <v/>
      </c>
    </row>
    <row r="5725">
      <c r="A5725" t="inlineStr"/>
      <c r="B5725">
        <f>Assumptions!$B$60</f>
        <v/>
      </c>
      <c r="C5725" t="n">
        <v>1</v>
      </c>
      <c r="D5725" t="n">
        <v>0</v>
      </c>
      <c r="E5725" t="n">
        <v>1</v>
      </c>
      <c r="F5725" t="n">
        <v>0</v>
      </c>
      <c r="G5725" t="n">
        <v>1</v>
      </c>
      <c r="H5725" t="n">
        <v>0</v>
      </c>
      <c r="I5725" t="n">
        <v>1</v>
      </c>
      <c r="J5725">
        <f>(1-C5725)*Assumptions!$B$41+(1-D5725)*Assumptions!$B$33+(1-E5725)*Assumptions!$B$32+(1-F5725)*Assumptions!$B$31+(1-G5725)*Assumptions!$B$30+(1-H5725)*Assumptions!$B$29+(1-I5725)*Assumptions!$B$28</f>
        <v/>
      </c>
      <c r="K5725">
        <f>C5725*$J$532+D5725*$F$532+E5725*$G$532+F5725*Assumptions!$B$14+G5725*Assumptions!$B$13+H5725*Assumptions!$B$12+I5725*Assumptions!$B$11+$O$532+$S$532+Assumptions!$B$9</f>
        <v/>
      </c>
      <c r="L5725">
        <f>B5725-J5725</f>
        <v/>
      </c>
      <c r="M5725">
        <f>IF(K5725&gt;0,IF(L5725/K5725&gt;=Assumptions!$B$37,1,0),0)</f>
        <v/>
      </c>
      <c r="N5725">
        <f>K5725+M5725*Assumptions!$B$153</f>
        <v/>
      </c>
      <c r="O5725">
        <f>L5725+M5725*Assumptions!$B$153*Assumptions!$B$37</f>
        <v/>
      </c>
      <c r="P5725">
        <f>IF(N5725&gt;0,O5725/N5725,0)</f>
        <v/>
      </c>
      <c r="Q5725">
        <f>IF(C5725=1,P5725*$J$532,Assumptions!$B$41)</f>
        <v/>
      </c>
      <c r="R5725">
        <f>IF(D5725=1,P5725*$F$532,Assumptions!$B$33)</f>
        <v/>
      </c>
      <c r="S5725">
        <f>IF(E5725=1,P5725*$G$532,Assumptions!$B$32)</f>
        <v/>
      </c>
      <c r="T5725">
        <f>IF(F5725=1,P5725*Assumptions!$B$14,Assumptions!$B$31)</f>
        <v/>
      </c>
      <c r="U5725">
        <f>IF(G5725=1,P5725*Assumptions!$B$13,Assumptions!$B$30)</f>
        <v/>
      </c>
      <c r="V5725">
        <f>IF(H5725=1,P5725*Assumptions!$B$12,Assumptions!$B$29)</f>
        <v/>
      </c>
      <c r="W5725">
        <f>IF(I5725=1,P5725*Assumptions!$B$11,Assumptions!$B$28)</f>
        <v/>
      </c>
      <c r="X5725">
        <f>P5725*($O$532+$S$532)</f>
        <v/>
      </c>
      <c r="Y5725">
        <f>P5725*Assumptions!$B$9</f>
        <v/>
      </c>
      <c r="Z5725">
        <f>IF(M5725=1,(P5725-Assumptions!$B$37)*Assumptions!$B$153,0)</f>
        <v/>
      </c>
      <c r="AA5725">
        <f>Q5725+R5725+S5725+T5725+U5725+V5725+W5725+X5725+Y5725+Z5725</f>
        <v/>
      </c>
      <c r="AB5725" t="n">
        <v>85</v>
      </c>
      <c r="AC5725" t="n">
        <v>21</v>
      </c>
      <c r="AD5725" t="n">
        <v>117</v>
      </c>
      <c r="AE5725" t="n">
        <v>69</v>
      </c>
      <c r="AF5725" t="n">
        <v>93</v>
      </c>
      <c r="AG5725" t="n">
        <v>81</v>
      </c>
      <c r="AH5725" t="n">
        <v>87</v>
      </c>
      <c r="AI5725" t="n">
        <v>84</v>
      </c>
      <c r="AJ5725">
        <f>INDEX($Q$5640:$Q$5767,AC5725+1)</f>
        <v/>
      </c>
      <c r="AK5725">
        <f>INDEX($R$5640:$R$5767,AD5725+1)</f>
        <v/>
      </c>
      <c r="AL5725">
        <f>INDEX($S$5640:$S$5767,AE5725+1)</f>
        <v/>
      </c>
      <c r="AM5725">
        <f>INDEX($T$5640:$T$5767,AF5725+1)</f>
        <v/>
      </c>
      <c r="AN5725">
        <f>INDEX($U$5640:$U$5767,AG5725+1)</f>
        <v/>
      </c>
      <c r="AO5725">
        <f>INDEX($V$5640:$V$5767,AH5725+1)</f>
        <v/>
      </c>
      <c r="AP5725">
        <f>INDEX($W$5640:$W$5767,AI5725+1)</f>
        <v/>
      </c>
      <c r="AQ5725">
        <f>IF(Q5725&gt;=AJ5725-0.01,1,0)</f>
        <v/>
      </c>
      <c r="AR5725">
        <f>IF(R5725&gt;=AK5725-0.01,1,0)</f>
        <v/>
      </c>
      <c r="AS5725">
        <f>IF(S5725&gt;=AL5725-0.01,1,0)</f>
        <v/>
      </c>
      <c r="AT5725">
        <f>IF(T5725&gt;=AM5725-0.01,1,0)</f>
        <v/>
      </c>
      <c r="AU5725">
        <f>IF(U5725&gt;=AN5725-0.01,1,0)</f>
        <v/>
      </c>
      <c r="AV5725">
        <f>IF(V5725&gt;=AO5725-0.01,1,0)</f>
        <v/>
      </c>
      <c r="AW5725">
        <f>IF(W5725&gt;=AP5725-0.01,1,0)</f>
        <v/>
      </c>
      <c r="AX5725">
        <f>AQ5725*AR5725*AS5725*AT5725*AU5725*AV5725*AW5725</f>
        <v/>
      </c>
    </row>
    <row r="5726">
      <c r="A5726" t="inlineStr"/>
      <c r="B5726">
        <f>Assumptions!$B$60</f>
        <v/>
      </c>
      <c r="C5726" t="n">
        <v>1</v>
      </c>
      <c r="D5726" t="n">
        <v>0</v>
      </c>
      <c r="E5726" t="n">
        <v>1</v>
      </c>
      <c r="F5726" t="n">
        <v>0</v>
      </c>
      <c r="G5726" t="n">
        <v>1</v>
      </c>
      <c r="H5726" t="n">
        <v>1</v>
      </c>
      <c r="I5726" t="n">
        <v>0</v>
      </c>
      <c r="J5726">
        <f>(1-C5726)*Assumptions!$B$41+(1-D5726)*Assumptions!$B$33+(1-E5726)*Assumptions!$B$32+(1-F5726)*Assumptions!$B$31+(1-G5726)*Assumptions!$B$30+(1-H5726)*Assumptions!$B$29+(1-I5726)*Assumptions!$B$28</f>
        <v/>
      </c>
      <c r="K5726">
        <f>C5726*$J$532+D5726*$F$532+E5726*$G$532+F5726*Assumptions!$B$14+G5726*Assumptions!$B$13+H5726*Assumptions!$B$12+I5726*Assumptions!$B$11+$O$532+$S$532+Assumptions!$B$9</f>
        <v/>
      </c>
      <c r="L5726">
        <f>B5726-J5726</f>
        <v/>
      </c>
      <c r="M5726">
        <f>IF(K5726&gt;0,IF(L5726/K5726&gt;=Assumptions!$B$37,1,0),0)</f>
        <v/>
      </c>
      <c r="N5726">
        <f>K5726+M5726*Assumptions!$B$153</f>
        <v/>
      </c>
      <c r="O5726">
        <f>L5726+M5726*Assumptions!$B$153*Assumptions!$B$37</f>
        <v/>
      </c>
      <c r="P5726">
        <f>IF(N5726&gt;0,O5726/N5726,0)</f>
        <v/>
      </c>
      <c r="Q5726">
        <f>IF(C5726=1,P5726*$J$532,Assumptions!$B$41)</f>
        <v/>
      </c>
      <c r="R5726">
        <f>IF(D5726=1,P5726*$F$532,Assumptions!$B$33)</f>
        <v/>
      </c>
      <c r="S5726">
        <f>IF(E5726=1,P5726*$G$532,Assumptions!$B$32)</f>
        <v/>
      </c>
      <c r="T5726">
        <f>IF(F5726=1,P5726*Assumptions!$B$14,Assumptions!$B$31)</f>
        <v/>
      </c>
      <c r="U5726">
        <f>IF(G5726=1,P5726*Assumptions!$B$13,Assumptions!$B$30)</f>
        <v/>
      </c>
      <c r="V5726">
        <f>IF(H5726=1,P5726*Assumptions!$B$12,Assumptions!$B$29)</f>
        <v/>
      </c>
      <c r="W5726">
        <f>IF(I5726=1,P5726*Assumptions!$B$11,Assumptions!$B$28)</f>
        <v/>
      </c>
      <c r="X5726">
        <f>P5726*($O$532+$S$532)</f>
        <v/>
      </c>
      <c r="Y5726">
        <f>P5726*Assumptions!$B$9</f>
        <v/>
      </c>
      <c r="Z5726">
        <f>IF(M5726=1,(P5726-Assumptions!$B$37)*Assumptions!$B$153,0)</f>
        <v/>
      </c>
      <c r="AA5726">
        <f>Q5726+R5726+S5726+T5726+U5726+V5726+W5726+X5726+Y5726+Z5726</f>
        <v/>
      </c>
      <c r="AB5726" t="n">
        <v>86</v>
      </c>
      <c r="AC5726" t="n">
        <v>22</v>
      </c>
      <c r="AD5726" t="n">
        <v>118</v>
      </c>
      <c r="AE5726" t="n">
        <v>70</v>
      </c>
      <c r="AF5726" t="n">
        <v>94</v>
      </c>
      <c r="AG5726" t="n">
        <v>82</v>
      </c>
      <c r="AH5726" t="n">
        <v>84</v>
      </c>
      <c r="AI5726" t="n">
        <v>87</v>
      </c>
      <c r="AJ5726">
        <f>INDEX($Q$5640:$Q$5767,AC5726+1)</f>
        <v/>
      </c>
      <c r="AK5726">
        <f>INDEX($R$5640:$R$5767,AD5726+1)</f>
        <v/>
      </c>
      <c r="AL5726">
        <f>INDEX($S$5640:$S$5767,AE5726+1)</f>
        <v/>
      </c>
      <c r="AM5726">
        <f>INDEX($T$5640:$T$5767,AF5726+1)</f>
        <v/>
      </c>
      <c r="AN5726">
        <f>INDEX($U$5640:$U$5767,AG5726+1)</f>
        <v/>
      </c>
      <c r="AO5726">
        <f>INDEX($V$5640:$V$5767,AH5726+1)</f>
        <v/>
      </c>
      <c r="AP5726">
        <f>INDEX($W$5640:$W$5767,AI5726+1)</f>
        <v/>
      </c>
      <c r="AQ5726">
        <f>IF(Q5726&gt;=AJ5726-0.01,1,0)</f>
        <v/>
      </c>
      <c r="AR5726">
        <f>IF(R5726&gt;=AK5726-0.01,1,0)</f>
        <v/>
      </c>
      <c r="AS5726">
        <f>IF(S5726&gt;=AL5726-0.01,1,0)</f>
        <v/>
      </c>
      <c r="AT5726">
        <f>IF(T5726&gt;=AM5726-0.01,1,0)</f>
        <v/>
      </c>
      <c r="AU5726">
        <f>IF(U5726&gt;=AN5726-0.01,1,0)</f>
        <v/>
      </c>
      <c r="AV5726">
        <f>IF(V5726&gt;=AO5726-0.01,1,0)</f>
        <v/>
      </c>
      <c r="AW5726">
        <f>IF(W5726&gt;=AP5726-0.01,1,0)</f>
        <v/>
      </c>
      <c r="AX5726">
        <f>AQ5726*AR5726*AS5726*AT5726*AU5726*AV5726*AW5726</f>
        <v/>
      </c>
    </row>
    <row r="5727">
      <c r="A5727" t="inlineStr"/>
      <c r="B5727">
        <f>Assumptions!$B$60</f>
        <v/>
      </c>
      <c r="C5727" t="n">
        <v>1</v>
      </c>
      <c r="D5727" t="n">
        <v>0</v>
      </c>
      <c r="E5727" t="n">
        <v>1</v>
      </c>
      <c r="F5727" t="n">
        <v>0</v>
      </c>
      <c r="G5727" t="n">
        <v>1</v>
      </c>
      <c r="H5727" t="n">
        <v>1</v>
      </c>
      <c r="I5727" t="n">
        <v>1</v>
      </c>
      <c r="J5727">
        <f>(1-C5727)*Assumptions!$B$41+(1-D5727)*Assumptions!$B$33+(1-E5727)*Assumptions!$B$32+(1-F5727)*Assumptions!$B$31+(1-G5727)*Assumptions!$B$30+(1-H5727)*Assumptions!$B$29+(1-I5727)*Assumptions!$B$28</f>
        <v/>
      </c>
      <c r="K5727">
        <f>C5727*$J$532+D5727*$F$532+E5727*$G$532+F5727*Assumptions!$B$14+G5727*Assumptions!$B$13+H5727*Assumptions!$B$12+I5727*Assumptions!$B$11+$O$532+$S$532+Assumptions!$B$9</f>
        <v/>
      </c>
      <c r="L5727">
        <f>B5727-J5727</f>
        <v/>
      </c>
      <c r="M5727">
        <f>IF(K5727&gt;0,IF(L5727/K5727&gt;=Assumptions!$B$37,1,0),0)</f>
        <v/>
      </c>
      <c r="N5727">
        <f>K5727+M5727*Assumptions!$B$153</f>
        <v/>
      </c>
      <c r="O5727">
        <f>L5727+M5727*Assumptions!$B$153*Assumptions!$B$37</f>
        <v/>
      </c>
      <c r="P5727">
        <f>IF(N5727&gt;0,O5727/N5727,0)</f>
        <v/>
      </c>
      <c r="Q5727">
        <f>IF(C5727=1,P5727*$J$532,Assumptions!$B$41)</f>
        <v/>
      </c>
      <c r="R5727">
        <f>IF(D5727=1,P5727*$F$532,Assumptions!$B$33)</f>
        <v/>
      </c>
      <c r="S5727">
        <f>IF(E5727=1,P5727*$G$532,Assumptions!$B$32)</f>
        <v/>
      </c>
      <c r="T5727">
        <f>IF(F5727=1,P5727*Assumptions!$B$14,Assumptions!$B$31)</f>
        <v/>
      </c>
      <c r="U5727">
        <f>IF(G5727=1,P5727*Assumptions!$B$13,Assumptions!$B$30)</f>
        <v/>
      </c>
      <c r="V5727">
        <f>IF(H5727=1,P5727*Assumptions!$B$12,Assumptions!$B$29)</f>
        <v/>
      </c>
      <c r="W5727">
        <f>IF(I5727=1,P5727*Assumptions!$B$11,Assumptions!$B$28)</f>
        <v/>
      </c>
      <c r="X5727">
        <f>P5727*($O$532+$S$532)</f>
        <v/>
      </c>
      <c r="Y5727">
        <f>P5727*Assumptions!$B$9</f>
        <v/>
      </c>
      <c r="Z5727">
        <f>IF(M5727=1,(P5727-Assumptions!$B$37)*Assumptions!$B$153,0)</f>
        <v/>
      </c>
      <c r="AA5727">
        <f>Q5727+R5727+S5727+T5727+U5727+V5727+W5727+X5727+Y5727+Z5727</f>
        <v/>
      </c>
      <c r="AB5727" t="n">
        <v>87</v>
      </c>
      <c r="AC5727" t="n">
        <v>23</v>
      </c>
      <c r="AD5727" t="n">
        <v>119</v>
      </c>
      <c r="AE5727" t="n">
        <v>71</v>
      </c>
      <c r="AF5727" t="n">
        <v>95</v>
      </c>
      <c r="AG5727" t="n">
        <v>83</v>
      </c>
      <c r="AH5727" t="n">
        <v>85</v>
      </c>
      <c r="AI5727" t="n">
        <v>86</v>
      </c>
      <c r="AJ5727">
        <f>INDEX($Q$5640:$Q$5767,AC5727+1)</f>
        <v/>
      </c>
      <c r="AK5727">
        <f>INDEX($R$5640:$R$5767,AD5727+1)</f>
        <v/>
      </c>
      <c r="AL5727">
        <f>INDEX($S$5640:$S$5767,AE5727+1)</f>
        <v/>
      </c>
      <c r="AM5727">
        <f>INDEX($T$5640:$T$5767,AF5727+1)</f>
        <v/>
      </c>
      <c r="AN5727">
        <f>INDEX($U$5640:$U$5767,AG5727+1)</f>
        <v/>
      </c>
      <c r="AO5727">
        <f>INDEX($V$5640:$V$5767,AH5727+1)</f>
        <v/>
      </c>
      <c r="AP5727">
        <f>INDEX($W$5640:$W$5767,AI5727+1)</f>
        <v/>
      </c>
      <c r="AQ5727">
        <f>IF(Q5727&gt;=AJ5727-0.01,1,0)</f>
        <v/>
      </c>
      <c r="AR5727">
        <f>IF(R5727&gt;=AK5727-0.01,1,0)</f>
        <v/>
      </c>
      <c r="AS5727">
        <f>IF(S5727&gt;=AL5727-0.01,1,0)</f>
        <v/>
      </c>
      <c r="AT5727">
        <f>IF(T5727&gt;=AM5727-0.01,1,0)</f>
        <v/>
      </c>
      <c r="AU5727">
        <f>IF(U5727&gt;=AN5727-0.01,1,0)</f>
        <v/>
      </c>
      <c r="AV5727">
        <f>IF(V5727&gt;=AO5727-0.01,1,0)</f>
        <v/>
      </c>
      <c r="AW5727">
        <f>IF(W5727&gt;=AP5727-0.01,1,0)</f>
        <v/>
      </c>
      <c r="AX5727">
        <f>AQ5727*AR5727*AS5727*AT5727*AU5727*AV5727*AW5727</f>
        <v/>
      </c>
    </row>
    <row r="5728">
      <c r="A5728" t="inlineStr"/>
      <c r="B5728">
        <f>Assumptions!$B$60</f>
        <v/>
      </c>
      <c r="C5728" t="n">
        <v>1</v>
      </c>
      <c r="D5728" t="n">
        <v>0</v>
      </c>
      <c r="E5728" t="n">
        <v>1</v>
      </c>
      <c r="F5728" t="n">
        <v>1</v>
      </c>
      <c r="G5728" t="n">
        <v>0</v>
      </c>
      <c r="H5728" t="n">
        <v>0</v>
      </c>
      <c r="I5728" t="n">
        <v>0</v>
      </c>
      <c r="J5728">
        <f>(1-C5728)*Assumptions!$B$41+(1-D5728)*Assumptions!$B$33+(1-E5728)*Assumptions!$B$32+(1-F5728)*Assumptions!$B$31+(1-G5728)*Assumptions!$B$30+(1-H5728)*Assumptions!$B$29+(1-I5728)*Assumptions!$B$28</f>
        <v/>
      </c>
      <c r="K5728">
        <f>C5728*$J$532+D5728*$F$532+E5728*$G$532+F5728*Assumptions!$B$14+G5728*Assumptions!$B$13+H5728*Assumptions!$B$12+I5728*Assumptions!$B$11+$O$532+$S$532+Assumptions!$B$9</f>
        <v/>
      </c>
      <c r="L5728">
        <f>B5728-J5728</f>
        <v/>
      </c>
      <c r="M5728">
        <f>IF(K5728&gt;0,IF(L5728/K5728&gt;=Assumptions!$B$37,1,0),0)</f>
        <v/>
      </c>
      <c r="N5728">
        <f>K5728+M5728*Assumptions!$B$153</f>
        <v/>
      </c>
      <c r="O5728">
        <f>L5728+M5728*Assumptions!$B$153*Assumptions!$B$37</f>
        <v/>
      </c>
      <c r="P5728">
        <f>IF(N5728&gt;0,O5728/N5728,0)</f>
        <v/>
      </c>
      <c r="Q5728">
        <f>IF(C5728=1,P5728*$J$532,Assumptions!$B$41)</f>
        <v/>
      </c>
      <c r="R5728">
        <f>IF(D5728=1,P5728*$F$532,Assumptions!$B$33)</f>
        <v/>
      </c>
      <c r="S5728">
        <f>IF(E5728=1,P5728*$G$532,Assumptions!$B$32)</f>
        <v/>
      </c>
      <c r="T5728">
        <f>IF(F5728=1,P5728*Assumptions!$B$14,Assumptions!$B$31)</f>
        <v/>
      </c>
      <c r="U5728">
        <f>IF(G5728=1,P5728*Assumptions!$B$13,Assumptions!$B$30)</f>
        <v/>
      </c>
      <c r="V5728">
        <f>IF(H5728=1,P5728*Assumptions!$B$12,Assumptions!$B$29)</f>
        <v/>
      </c>
      <c r="W5728">
        <f>IF(I5728=1,P5728*Assumptions!$B$11,Assumptions!$B$28)</f>
        <v/>
      </c>
      <c r="X5728">
        <f>P5728*($O$532+$S$532)</f>
        <v/>
      </c>
      <c r="Y5728">
        <f>P5728*Assumptions!$B$9</f>
        <v/>
      </c>
      <c r="Z5728">
        <f>IF(M5728=1,(P5728-Assumptions!$B$37)*Assumptions!$B$153,0)</f>
        <v/>
      </c>
      <c r="AA5728">
        <f>Q5728+R5728+S5728+T5728+U5728+V5728+W5728+X5728+Y5728+Z5728</f>
        <v/>
      </c>
      <c r="AB5728" t="n">
        <v>88</v>
      </c>
      <c r="AC5728" t="n">
        <v>24</v>
      </c>
      <c r="AD5728" t="n">
        <v>120</v>
      </c>
      <c r="AE5728" t="n">
        <v>72</v>
      </c>
      <c r="AF5728" t="n">
        <v>80</v>
      </c>
      <c r="AG5728" t="n">
        <v>92</v>
      </c>
      <c r="AH5728" t="n">
        <v>90</v>
      </c>
      <c r="AI5728" t="n">
        <v>89</v>
      </c>
      <c r="AJ5728">
        <f>INDEX($Q$5640:$Q$5767,AC5728+1)</f>
        <v/>
      </c>
      <c r="AK5728">
        <f>INDEX($R$5640:$R$5767,AD5728+1)</f>
        <v/>
      </c>
      <c r="AL5728">
        <f>INDEX($S$5640:$S$5767,AE5728+1)</f>
        <v/>
      </c>
      <c r="AM5728">
        <f>INDEX($T$5640:$T$5767,AF5728+1)</f>
        <v/>
      </c>
      <c r="AN5728">
        <f>INDEX($U$5640:$U$5767,AG5728+1)</f>
        <v/>
      </c>
      <c r="AO5728">
        <f>INDEX($V$5640:$V$5767,AH5728+1)</f>
        <v/>
      </c>
      <c r="AP5728">
        <f>INDEX($W$5640:$W$5767,AI5728+1)</f>
        <v/>
      </c>
      <c r="AQ5728">
        <f>IF(Q5728&gt;=AJ5728-0.01,1,0)</f>
        <v/>
      </c>
      <c r="AR5728">
        <f>IF(R5728&gt;=AK5728-0.01,1,0)</f>
        <v/>
      </c>
      <c r="AS5728">
        <f>IF(S5728&gt;=AL5728-0.01,1,0)</f>
        <v/>
      </c>
      <c r="AT5728">
        <f>IF(T5728&gt;=AM5728-0.01,1,0)</f>
        <v/>
      </c>
      <c r="AU5728">
        <f>IF(U5728&gt;=AN5728-0.01,1,0)</f>
        <v/>
      </c>
      <c r="AV5728">
        <f>IF(V5728&gt;=AO5728-0.01,1,0)</f>
        <v/>
      </c>
      <c r="AW5728">
        <f>IF(W5728&gt;=AP5728-0.01,1,0)</f>
        <v/>
      </c>
      <c r="AX5728">
        <f>AQ5728*AR5728*AS5728*AT5728*AU5728*AV5728*AW5728</f>
        <v/>
      </c>
    </row>
    <row r="5729">
      <c r="A5729" t="inlineStr"/>
      <c r="B5729">
        <f>Assumptions!$B$60</f>
        <v/>
      </c>
      <c r="C5729" t="n">
        <v>1</v>
      </c>
      <c r="D5729" t="n">
        <v>0</v>
      </c>
      <c r="E5729" t="n">
        <v>1</v>
      </c>
      <c r="F5729" t="n">
        <v>1</v>
      </c>
      <c r="G5729" t="n">
        <v>0</v>
      </c>
      <c r="H5729" t="n">
        <v>0</v>
      </c>
      <c r="I5729" t="n">
        <v>1</v>
      </c>
      <c r="J5729">
        <f>(1-C5729)*Assumptions!$B$41+(1-D5729)*Assumptions!$B$33+(1-E5729)*Assumptions!$B$32+(1-F5729)*Assumptions!$B$31+(1-G5729)*Assumptions!$B$30+(1-H5729)*Assumptions!$B$29+(1-I5729)*Assumptions!$B$28</f>
        <v/>
      </c>
      <c r="K5729">
        <f>C5729*$J$532+D5729*$F$532+E5729*$G$532+F5729*Assumptions!$B$14+G5729*Assumptions!$B$13+H5729*Assumptions!$B$12+I5729*Assumptions!$B$11+$O$532+$S$532+Assumptions!$B$9</f>
        <v/>
      </c>
      <c r="L5729">
        <f>B5729-J5729</f>
        <v/>
      </c>
      <c r="M5729">
        <f>IF(K5729&gt;0,IF(L5729/K5729&gt;=Assumptions!$B$37,1,0),0)</f>
        <v/>
      </c>
      <c r="N5729">
        <f>K5729+M5729*Assumptions!$B$153</f>
        <v/>
      </c>
      <c r="O5729">
        <f>L5729+M5729*Assumptions!$B$153*Assumptions!$B$37</f>
        <v/>
      </c>
      <c r="P5729">
        <f>IF(N5729&gt;0,O5729/N5729,0)</f>
        <v/>
      </c>
      <c r="Q5729">
        <f>IF(C5729=1,P5729*$J$532,Assumptions!$B$41)</f>
        <v/>
      </c>
      <c r="R5729">
        <f>IF(D5729=1,P5729*$F$532,Assumptions!$B$33)</f>
        <v/>
      </c>
      <c r="S5729">
        <f>IF(E5729=1,P5729*$G$532,Assumptions!$B$32)</f>
        <v/>
      </c>
      <c r="T5729">
        <f>IF(F5729=1,P5729*Assumptions!$B$14,Assumptions!$B$31)</f>
        <v/>
      </c>
      <c r="U5729">
        <f>IF(G5729=1,P5729*Assumptions!$B$13,Assumptions!$B$30)</f>
        <v/>
      </c>
      <c r="V5729">
        <f>IF(H5729=1,P5729*Assumptions!$B$12,Assumptions!$B$29)</f>
        <v/>
      </c>
      <c r="W5729">
        <f>IF(I5729=1,P5729*Assumptions!$B$11,Assumptions!$B$28)</f>
        <v/>
      </c>
      <c r="X5729">
        <f>P5729*($O$532+$S$532)</f>
        <v/>
      </c>
      <c r="Y5729">
        <f>P5729*Assumptions!$B$9</f>
        <v/>
      </c>
      <c r="Z5729">
        <f>IF(M5729=1,(P5729-Assumptions!$B$37)*Assumptions!$B$153,0)</f>
        <v/>
      </c>
      <c r="AA5729">
        <f>Q5729+R5729+S5729+T5729+U5729+V5729+W5729+X5729+Y5729+Z5729</f>
        <v/>
      </c>
      <c r="AB5729" t="n">
        <v>89</v>
      </c>
      <c r="AC5729" t="n">
        <v>25</v>
      </c>
      <c r="AD5729" t="n">
        <v>121</v>
      </c>
      <c r="AE5729" t="n">
        <v>73</v>
      </c>
      <c r="AF5729" t="n">
        <v>81</v>
      </c>
      <c r="AG5729" t="n">
        <v>93</v>
      </c>
      <c r="AH5729" t="n">
        <v>91</v>
      </c>
      <c r="AI5729" t="n">
        <v>88</v>
      </c>
      <c r="AJ5729">
        <f>INDEX($Q$5640:$Q$5767,AC5729+1)</f>
        <v/>
      </c>
      <c r="AK5729">
        <f>INDEX($R$5640:$R$5767,AD5729+1)</f>
        <v/>
      </c>
      <c r="AL5729">
        <f>INDEX($S$5640:$S$5767,AE5729+1)</f>
        <v/>
      </c>
      <c r="AM5729">
        <f>INDEX($T$5640:$T$5767,AF5729+1)</f>
        <v/>
      </c>
      <c r="AN5729">
        <f>INDEX($U$5640:$U$5767,AG5729+1)</f>
        <v/>
      </c>
      <c r="AO5729">
        <f>INDEX($V$5640:$V$5767,AH5729+1)</f>
        <v/>
      </c>
      <c r="AP5729">
        <f>INDEX($W$5640:$W$5767,AI5729+1)</f>
        <v/>
      </c>
      <c r="AQ5729">
        <f>IF(Q5729&gt;=AJ5729-0.01,1,0)</f>
        <v/>
      </c>
      <c r="AR5729">
        <f>IF(R5729&gt;=AK5729-0.01,1,0)</f>
        <v/>
      </c>
      <c r="AS5729">
        <f>IF(S5729&gt;=AL5729-0.01,1,0)</f>
        <v/>
      </c>
      <c r="AT5729">
        <f>IF(T5729&gt;=AM5729-0.01,1,0)</f>
        <v/>
      </c>
      <c r="AU5729">
        <f>IF(U5729&gt;=AN5729-0.01,1,0)</f>
        <v/>
      </c>
      <c r="AV5729">
        <f>IF(V5729&gt;=AO5729-0.01,1,0)</f>
        <v/>
      </c>
      <c r="AW5729">
        <f>IF(W5729&gt;=AP5729-0.01,1,0)</f>
        <v/>
      </c>
      <c r="AX5729">
        <f>AQ5729*AR5729*AS5729*AT5729*AU5729*AV5729*AW5729</f>
        <v/>
      </c>
    </row>
    <row r="5730">
      <c r="A5730" t="inlineStr"/>
      <c r="B5730">
        <f>Assumptions!$B$60</f>
        <v/>
      </c>
      <c r="C5730" t="n">
        <v>1</v>
      </c>
      <c r="D5730" t="n">
        <v>0</v>
      </c>
      <c r="E5730" t="n">
        <v>1</v>
      </c>
      <c r="F5730" t="n">
        <v>1</v>
      </c>
      <c r="G5730" t="n">
        <v>0</v>
      </c>
      <c r="H5730" t="n">
        <v>1</v>
      </c>
      <c r="I5730" t="n">
        <v>0</v>
      </c>
      <c r="J5730">
        <f>(1-C5730)*Assumptions!$B$41+(1-D5730)*Assumptions!$B$33+(1-E5730)*Assumptions!$B$32+(1-F5730)*Assumptions!$B$31+(1-G5730)*Assumptions!$B$30+(1-H5730)*Assumptions!$B$29+(1-I5730)*Assumptions!$B$28</f>
        <v/>
      </c>
      <c r="K5730">
        <f>C5730*$J$532+D5730*$F$532+E5730*$G$532+F5730*Assumptions!$B$14+G5730*Assumptions!$B$13+H5730*Assumptions!$B$12+I5730*Assumptions!$B$11+$O$532+$S$532+Assumptions!$B$9</f>
        <v/>
      </c>
      <c r="L5730">
        <f>B5730-J5730</f>
        <v/>
      </c>
      <c r="M5730">
        <f>IF(K5730&gt;0,IF(L5730/K5730&gt;=Assumptions!$B$37,1,0),0)</f>
        <v/>
      </c>
      <c r="N5730">
        <f>K5730+M5730*Assumptions!$B$153</f>
        <v/>
      </c>
      <c r="O5730">
        <f>L5730+M5730*Assumptions!$B$153*Assumptions!$B$37</f>
        <v/>
      </c>
      <c r="P5730">
        <f>IF(N5730&gt;0,O5730/N5730,0)</f>
        <v/>
      </c>
      <c r="Q5730">
        <f>IF(C5730=1,P5730*$J$532,Assumptions!$B$41)</f>
        <v/>
      </c>
      <c r="R5730">
        <f>IF(D5730=1,P5730*$F$532,Assumptions!$B$33)</f>
        <v/>
      </c>
      <c r="S5730">
        <f>IF(E5730=1,P5730*$G$532,Assumptions!$B$32)</f>
        <v/>
      </c>
      <c r="T5730">
        <f>IF(F5730=1,P5730*Assumptions!$B$14,Assumptions!$B$31)</f>
        <v/>
      </c>
      <c r="U5730">
        <f>IF(G5730=1,P5730*Assumptions!$B$13,Assumptions!$B$30)</f>
        <v/>
      </c>
      <c r="V5730">
        <f>IF(H5730=1,P5730*Assumptions!$B$12,Assumptions!$B$29)</f>
        <v/>
      </c>
      <c r="W5730">
        <f>IF(I5730=1,P5730*Assumptions!$B$11,Assumptions!$B$28)</f>
        <v/>
      </c>
      <c r="X5730">
        <f>P5730*($O$532+$S$532)</f>
        <v/>
      </c>
      <c r="Y5730">
        <f>P5730*Assumptions!$B$9</f>
        <v/>
      </c>
      <c r="Z5730">
        <f>IF(M5730=1,(P5730-Assumptions!$B$37)*Assumptions!$B$153,0)</f>
        <v/>
      </c>
      <c r="AA5730">
        <f>Q5730+R5730+S5730+T5730+U5730+V5730+W5730+X5730+Y5730+Z5730</f>
        <v/>
      </c>
      <c r="AB5730" t="n">
        <v>90</v>
      </c>
      <c r="AC5730" t="n">
        <v>26</v>
      </c>
      <c r="AD5730" t="n">
        <v>122</v>
      </c>
      <c r="AE5730" t="n">
        <v>74</v>
      </c>
      <c r="AF5730" t="n">
        <v>82</v>
      </c>
      <c r="AG5730" t="n">
        <v>94</v>
      </c>
      <c r="AH5730" t="n">
        <v>88</v>
      </c>
      <c r="AI5730" t="n">
        <v>91</v>
      </c>
      <c r="AJ5730">
        <f>INDEX($Q$5640:$Q$5767,AC5730+1)</f>
        <v/>
      </c>
      <c r="AK5730">
        <f>INDEX($R$5640:$R$5767,AD5730+1)</f>
        <v/>
      </c>
      <c r="AL5730">
        <f>INDEX($S$5640:$S$5767,AE5730+1)</f>
        <v/>
      </c>
      <c r="AM5730">
        <f>INDEX($T$5640:$T$5767,AF5730+1)</f>
        <v/>
      </c>
      <c r="AN5730">
        <f>INDEX($U$5640:$U$5767,AG5730+1)</f>
        <v/>
      </c>
      <c r="AO5730">
        <f>INDEX($V$5640:$V$5767,AH5730+1)</f>
        <v/>
      </c>
      <c r="AP5730">
        <f>INDEX($W$5640:$W$5767,AI5730+1)</f>
        <v/>
      </c>
      <c r="AQ5730">
        <f>IF(Q5730&gt;=AJ5730-0.01,1,0)</f>
        <v/>
      </c>
      <c r="AR5730">
        <f>IF(R5730&gt;=AK5730-0.01,1,0)</f>
        <v/>
      </c>
      <c r="AS5730">
        <f>IF(S5730&gt;=AL5730-0.01,1,0)</f>
        <v/>
      </c>
      <c r="AT5730">
        <f>IF(T5730&gt;=AM5730-0.01,1,0)</f>
        <v/>
      </c>
      <c r="AU5730">
        <f>IF(U5730&gt;=AN5730-0.01,1,0)</f>
        <v/>
      </c>
      <c r="AV5730">
        <f>IF(V5730&gt;=AO5730-0.01,1,0)</f>
        <v/>
      </c>
      <c r="AW5730">
        <f>IF(W5730&gt;=AP5730-0.01,1,0)</f>
        <v/>
      </c>
      <c r="AX5730">
        <f>AQ5730*AR5730*AS5730*AT5730*AU5730*AV5730*AW5730</f>
        <v/>
      </c>
    </row>
    <row r="5731">
      <c r="A5731" t="inlineStr"/>
      <c r="B5731">
        <f>Assumptions!$B$60</f>
        <v/>
      </c>
      <c r="C5731" t="n">
        <v>1</v>
      </c>
      <c r="D5731" t="n">
        <v>0</v>
      </c>
      <c r="E5731" t="n">
        <v>1</v>
      </c>
      <c r="F5731" t="n">
        <v>1</v>
      </c>
      <c r="G5731" t="n">
        <v>0</v>
      </c>
      <c r="H5731" t="n">
        <v>1</v>
      </c>
      <c r="I5731" t="n">
        <v>1</v>
      </c>
      <c r="J5731">
        <f>(1-C5731)*Assumptions!$B$41+(1-D5731)*Assumptions!$B$33+(1-E5731)*Assumptions!$B$32+(1-F5731)*Assumptions!$B$31+(1-G5731)*Assumptions!$B$30+(1-H5731)*Assumptions!$B$29+(1-I5731)*Assumptions!$B$28</f>
        <v/>
      </c>
      <c r="K5731">
        <f>C5731*$J$532+D5731*$F$532+E5731*$G$532+F5731*Assumptions!$B$14+G5731*Assumptions!$B$13+H5731*Assumptions!$B$12+I5731*Assumptions!$B$11+$O$532+$S$532+Assumptions!$B$9</f>
        <v/>
      </c>
      <c r="L5731">
        <f>B5731-J5731</f>
        <v/>
      </c>
      <c r="M5731">
        <f>IF(K5731&gt;0,IF(L5731/K5731&gt;=Assumptions!$B$37,1,0),0)</f>
        <v/>
      </c>
      <c r="N5731">
        <f>K5731+M5731*Assumptions!$B$153</f>
        <v/>
      </c>
      <c r="O5731">
        <f>L5731+M5731*Assumptions!$B$153*Assumptions!$B$37</f>
        <v/>
      </c>
      <c r="P5731">
        <f>IF(N5731&gt;0,O5731/N5731,0)</f>
        <v/>
      </c>
      <c r="Q5731">
        <f>IF(C5731=1,P5731*$J$532,Assumptions!$B$41)</f>
        <v/>
      </c>
      <c r="R5731">
        <f>IF(D5731=1,P5731*$F$532,Assumptions!$B$33)</f>
        <v/>
      </c>
      <c r="S5731">
        <f>IF(E5731=1,P5731*$G$532,Assumptions!$B$32)</f>
        <v/>
      </c>
      <c r="T5731">
        <f>IF(F5731=1,P5731*Assumptions!$B$14,Assumptions!$B$31)</f>
        <v/>
      </c>
      <c r="U5731">
        <f>IF(G5731=1,P5731*Assumptions!$B$13,Assumptions!$B$30)</f>
        <v/>
      </c>
      <c r="V5731">
        <f>IF(H5731=1,P5731*Assumptions!$B$12,Assumptions!$B$29)</f>
        <v/>
      </c>
      <c r="W5731">
        <f>IF(I5731=1,P5731*Assumptions!$B$11,Assumptions!$B$28)</f>
        <v/>
      </c>
      <c r="X5731">
        <f>P5731*($O$532+$S$532)</f>
        <v/>
      </c>
      <c r="Y5731">
        <f>P5731*Assumptions!$B$9</f>
        <v/>
      </c>
      <c r="Z5731">
        <f>IF(M5731=1,(P5731-Assumptions!$B$37)*Assumptions!$B$153,0)</f>
        <v/>
      </c>
      <c r="AA5731">
        <f>Q5731+R5731+S5731+T5731+U5731+V5731+W5731+X5731+Y5731+Z5731</f>
        <v/>
      </c>
      <c r="AB5731" t="n">
        <v>91</v>
      </c>
      <c r="AC5731" t="n">
        <v>27</v>
      </c>
      <c r="AD5731" t="n">
        <v>123</v>
      </c>
      <c r="AE5731" t="n">
        <v>75</v>
      </c>
      <c r="AF5731" t="n">
        <v>83</v>
      </c>
      <c r="AG5731" t="n">
        <v>95</v>
      </c>
      <c r="AH5731" t="n">
        <v>89</v>
      </c>
      <c r="AI5731" t="n">
        <v>90</v>
      </c>
      <c r="AJ5731">
        <f>INDEX($Q$5640:$Q$5767,AC5731+1)</f>
        <v/>
      </c>
      <c r="AK5731">
        <f>INDEX($R$5640:$R$5767,AD5731+1)</f>
        <v/>
      </c>
      <c r="AL5731">
        <f>INDEX($S$5640:$S$5767,AE5731+1)</f>
        <v/>
      </c>
      <c r="AM5731">
        <f>INDEX($T$5640:$T$5767,AF5731+1)</f>
        <v/>
      </c>
      <c r="AN5731">
        <f>INDEX($U$5640:$U$5767,AG5731+1)</f>
        <v/>
      </c>
      <c r="AO5731">
        <f>INDEX($V$5640:$V$5767,AH5731+1)</f>
        <v/>
      </c>
      <c r="AP5731">
        <f>INDEX($W$5640:$W$5767,AI5731+1)</f>
        <v/>
      </c>
      <c r="AQ5731">
        <f>IF(Q5731&gt;=AJ5731-0.01,1,0)</f>
        <v/>
      </c>
      <c r="AR5731">
        <f>IF(R5731&gt;=AK5731-0.01,1,0)</f>
        <v/>
      </c>
      <c r="AS5731">
        <f>IF(S5731&gt;=AL5731-0.01,1,0)</f>
        <v/>
      </c>
      <c r="AT5731">
        <f>IF(T5731&gt;=AM5731-0.01,1,0)</f>
        <v/>
      </c>
      <c r="AU5731">
        <f>IF(U5731&gt;=AN5731-0.01,1,0)</f>
        <v/>
      </c>
      <c r="AV5731">
        <f>IF(V5731&gt;=AO5731-0.01,1,0)</f>
        <v/>
      </c>
      <c r="AW5731">
        <f>IF(W5731&gt;=AP5731-0.01,1,0)</f>
        <v/>
      </c>
      <c r="AX5731">
        <f>AQ5731*AR5731*AS5731*AT5731*AU5731*AV5731*AW5731</f>
        <v/>
      </c>
    </row>
    <row r="5732">
      <c r="A5732" t="inlineStr"/>
      <c r="B5732">
        <f>Assumptions!$B$60</f>
        <v/>
      </c>
      <c r="C5732" t="n">
        <v>1</v>
      </c>
      <c r="D5732" t="n">
        <v>0</v>
      </c>
      <c r="E5732" t="n">
        <v>1</v>
      </c>
      <c r="F5732" t="n">
        <v>1</v>
      </c>
      <c r="G5732" t="n">
        <v>1</v>
      </c>
      <c r="H5732" t="n">
        <v>0</v>
      </c>
      <c r="I5732" t="n">
        <v>0</v>
      </c>
      <c r="J5732">
        <f>(1-C5732)*Assumptions!$B$41+(1-D5732)*Assumptions!$B$33+(1-E5732)*Assumptions!$B$32+(1-F5732)*Assumptions!$B$31+(1-G5732)*Assumptions!$B$30+(1-H5732)*Assumptions!$B$29+(1-I5732)*Assumptions!$B$28</f>
        <v/>
      </c>
      <c r="K5732">
        <f>C5732*$J$532+D5732*$F$532+E5732*$G$532+F5732*Assumptions!$B$14+G5732*Assumptions!$B$13+H5732*Assumptions!$B$12+I5732*Assumptions!$B$11+$O$532+$S$532+Assumptions!$B$9</f>
        <v/>
      </c>
      <c r="L5732">
        <f>B5732-J5732</f>
        <v/>
      </c>
      <c r="M5732">
        <f>IF(K5732&gt;0,IF(L5732/K5732&gt;=Assumptions!$B$37,1,0),0)</f>
        <v/>
      </c>
      <c r="N5732">
        <f>K5732+M5732*Assumptions!$B$153</f>
        <v/>
      </c>
      <c r="O5732">
        <f>L5732+M5732*Assumptions!$B$153*Assumptions!$B$37</f>
        <v/>
      </c>
      <c r="P5732">
        <f>IF(N5732&gt;0,O5732/N5732,0)</f>
        <v/>
      </c>
      <c r="Q5732">
        <f>IF(C5732=1,P5732*$J$532,Assumptions!$B$41)</f>
        <v/>
      </c>
      <c r="R5732">
        <f>IF(D5732=1,P5732*$F$532,Assumptions!$B$33)</f>
        <v/>
      </c>
      <c r="S5732">
        <f>IF(E5732=1,P5732*$G$532,Assumptions!$B$32)</f>
        <v/>
      </c>
      <c r="T5732">
        <f>IF(F5732=1,P5732*Assumptions!$B$14,Assumptions!$B$31)</f>
        <v/>
      </c>
      <c r="U5732">
        <f>IF(G5732=1,P5732*Assumptions!$B$13,Assumptions!$B$30)</f>
        <v/>
      </c>
      <c r="V5732">
        <f>IF(H5732=1,P5732*Assumptions!$B$12,Assumptions!$B$29)</f>
        <v/>
      </c>
      <c r="W5732">
        <f>IF(I5732=1,P5732*Assumptions!$B$11,Assumptions!$B$28)</f>
        <v/>
      </c>
      <c r="X5732">
        <f>P5732*($O$532+$S$532)</f>
        <v/>
      </c>
      <c r="Y5732">
        <f>P5732*Assumptions!$B$9</f>
        <v/>
      </c>
      <c r="Z5732">
        <f>IF(M5732=1,(P5732-Assumptions!$B$37)*Assumptions!$B$153,0)</f>
        <v/>
      </c>
      <c r="AA5732">
        <f>Q5732+R5732+S5732+T5732+U5732+V5732+W5732+X5732+Y5732+Z5732</f>
        <v/>
      </c>
      <c r="AB5732" t="n">
        <v>92</v>
      </c>
      <c r="AC5732" t="n">
        <v>28</v>
      </c>
      <c r="AD5732" t="n">
        <v>124</v>
      </c>
      <c r="AE5732" t="n">
        <v>76</v>
      </c>
      <c r="AF5732" t="n">
        <v>84</v>
      </c>
      <c r="AG5732" t="n">
        <v>88</v>
      </c>
      <c r="AH5732" t="n">
        <v>94</v>
      </c>
      <c r="AI5732" t="n">
        <v>93</v>
      </c>
      <c r="AJ5732">
        <f>INDEX($Q$5640:$Q$5767,AC5732+1)</f>
        <v/>
      </c>
      <c r="AK5732">
        <f>INDEX($R$5640:$R$5767,AD5732+1)</f>
        <v/>
      </c>
      <c r="AL5732">
        <f>INDEX($S$5640:$S$5767,AE5732+1)</f>
        <v/>
      </c>
      <c r="AM5732">
        <f>INDEX($T$5640:$T$5767,AF5732+1)</f>
        <v/>
      </c>
      <c r="AN5732">
        <f>INDEX($U$5640:$U$5767,AG5732+1)</f>
        <v/>
      </c>
      <c r="AO5732">
        <f>INDEX($V$5640:$V$5767,AH5732+1)</f>
        <v/>
      </c>
      <c r="AP5732">
        <f>INDEX($W$5640:$W$5767,AI5732+1)</f>
        <v/>
      </c>
      <c r="AQ5732">
        <f>IF(Q5732&gt;=AJ5732-0.01,1,0)</f>
        <v/>
      </c>
      <c r="AR5732">
        <f>IF(R5732&gt;=AK5732-0.01,1,0)</f>
        <v/>
      </c>
      <c r="AS5732">
        <f>IF(S5732&gt;=AL5732-0.01,1,0)</f>
        <v/>
      </c>
      <c r="AT5732">
        <f>IF(T5732&gt;=AM5732-0.01,1,0)</f>
        <v/>
      </c>
      <c r="AU5732">
        <f>IF(U5732&gt;=AN5732-0.01,1,0)</f>
        <v/>
      </c>
      <c r="AV5732">
        <f>IF(V5732&gt;=AO5732-0.01,1,0)</f>
        <v/>
      </c>
      <c r="AW5732">
        <f>IF(W5732&gt;=AP5732-0.01,1,0)</f>
        <v/>
      </c>
      <c r="AX5732">
        <f>AQ5732*AR5732*AS5732*AT5732*AU5732*AV5732*AW5732</f>
        <v/>
      </c>
    </row>
    <row r="5733">
      <c r="A5733" t="inlineStr"/>
      <c r="B5733">
        <f>Assumptions!$B$60</f>
        <v/>
      </c>
      <c r="C5733" t="n">
        <v>1</v>
      </c>
      <c r="D5733" t="n">
        <v>0</v>
      </c>
      <c r="E5733" t="n">
        <v>1</v>
      </c>
      <c r="F5733" t="n">
        <v>1</v>
      </c>
      <c r="G5733" t="n">
        <v>1</v>
      </c>
      <c r="H5733" t="n">
        <v>0</v>
      </c>
      <c r="I5733" t="n">
        <v>1</v>
      </c>
      <c r="J5733">
        <f>(1-C5733)*Assumptions!$B$41+(1-D5733)*Assumptions!$B$33+(1-E5733)*Assumptions!$B$32+(1-F5733)*Assumptions!$B$31+(1-G5733)*Assumptions!$B$30+(1-H5733)*Assumptions!$B$29+(1-I5733)*Assumptions!$B$28</f>
        <v/>
      </c>
      <c r="K5733">
        <f>C5733*$J$532+D5733*$F$532+E5733*$G$532+F5733*Assumptions!$B$14+G5733*Assumptions!$B$13+H5733*Assumptions!$B$12+I5733*Assumptions!$B$11+$O$532+$S$532+Assumptions!$B$9</f>
        <v/>
      </c>
      <c r="L5733">
        <f>B5733-J5733</f>
        <v/>
      </c>
      <c r="M5733">
        <f>IF(K5733&gt;0,IF(L5733/K5733&gt;=Assumptions!$B$37,1,0),0)</f>
        <v/>
      </c>
      <c r="N5733">
        <f>K5733+M5733*Assumptions!$B$153</f>
        <v/>
      </c>
      <c r="O5733">
        <f>L5733+M5733*Assumptions!$B$153*Assumptions!$B$37</f>
        <v/>
      </c>
      <c r="P5733">
        <f>IF(N5733&gt;0,O5733/N5733,0)</f>
        <v/>
      </c>
      <c r="Q5733">
        <f>IF(C5733=1,P5733*$J$532,Assumptions!$B$41)</f>
        <v/>
      </c>
      <c r="R5733">
        <f>IF(D5733=1,P5733*$F$532,Assumptions!$B$33)</f>
        <v/>
      </c>
      <c r="S5733">
        <f>IF(E5733=1,P5733*$G$532,Assumptions!$B$32)</f>
        <v/>
      </c>
      <c r="T5733">
        <f>IF(F5733=1,P5733*Assumptions!$B$14,Assumptions!$B$31)</f>
        <v/>
      </c>
      <c r="U5733">
        <f>IF(G5733=1,P5733*Assumptions!$B$13,Assumptions!$B$30)</f>
        <v/>
      </c>
      <c r="V5733">
        <f>IF(H5733=1,P5733*Assumptions!$B$12,Assumptions!$B$29)</f>
        <v/>
      </c>
      <c r="W5733">
        <f>IF(I5733=1,P5733*Assumptions!$B$11,Assumptions!$B$28)</f>
        <v/>
      </c>
      <c r="X5733">
        <f>P5733*($O$532+$S$532)</f>
        <v/>
      </c>
      <c r="Y5733">
        <f>P5733*Assumptions!$B$9</f>
        <v/>
      </c>
      <c r="Z5733">
        <f>IF(M5733=1,(P5733-Assumptions!$B$37)*Assumptions!$B$153,0)</f>
        <v/>
      </c>
      <c r="AA5733">
        <f>Q5733+R5733+S5733+T5733+U5733+V5733+W5733+X5733+Y5733+Z5733</f>
        <v/>
      </c>
      <c r="AB5733" t="n">
        <v>93</v>
      </c>
      <c r="AC5733" t="n">
        <v>29</v>
      </c>
      <c r="AD5733" t="n">
        <v>125</v>
      </c>
      <c r="AE5733" t="n">
        <v>77</v>
      </c>
      <c r="AF5733" t="n">
        <v>85</v>
      </c>
      <c r="AG5733" t="n">
        <v>89</v>
      </c>
      <c r="AH5733" t="n">
        <v>95</v>
      </c>
      <c r="AI5733" t="n">
        <v>92</v>
      </c>
      <c r="AJ5733">
        <f>INDEX($Q$5640:$Q$5767,AC5733+1)</f>
        <v/>
      </c>
      <c r="AK5733">
        <f>INDEX($R$5640:$R$5767,AD5733+1)</f>
        <v/>
      </c>
      <c r="AL5733">
        <f>INDEX($S$5640:$S$5767,AE5733+1)</f>
        <v/>
      </c>
      <c r="AM5733">
        <f>INDEX($T$5640:$T$5767,AF5733+1)</f>
        <v/>
      </c>
      <c r="AN5733">
        <f>INDEX($U$5640:$U$5767,AG5733+1)</f>
        <v/>
      </c>
      <c r="AO5733">
        <f>INDEX($V$5640:$V$5767,AH5733+1)</f>
        <v/>
      </c>
      <c r="AP5733">
        <f>INDEX($W$5640:$W$5767,AI5733+1)</f>
        <v/>
      </c>
      <c r="AQ5733">
        <f>IF(Q5733&gt;=AJ5733-0.01,1,0)</f>
        <v/>
      </c>
      <c r="AR5733">
        <f>IF(R5733&gt;=AK5733-0.01,1,0)</f>
        <v/>
      </c>
      <c r="AS5733">
        <f>IF(S5733&gt;=AL5733-0.01,1,0)</f>
        <v/>
      </c>
      <c r="AT5733">
        <f>IF(T5733&gt;=AM5733-0.01,1,0)</f>
        <v/>
      </c>
      <c r="AU5733">
        <f>IF(U5733&gt;=AN5733-0.01,1,0)</f>
        <v/>
      </c>
      <c r="AV5733">
        <f>IF(V5733&gt;=AO5733-0.01,1,0)</f>
        <v/>
      </c>
      <c r="AW5733">
        <f>IF(W5733&gt;=AP5733-0.01,1,0)</f>
        <v/>
      </c>
      <c r="AX5733">
        <f>AQ5733*AR5733*AS5733*AT5733*AU5733*AV5733*AW5733</f>
        <v/>
      </c>
    </row>
    <row r="5734">
      <c r="A5734" t="inlineStr"/>
      <c r="B5734">
        <f>Assumptions!$B$60</f>
        <v/>
      </c>
      <c r="C5734" t="n">
        <v>1</v>
      </c>
      <c r="D5734" t="n">
        <v>0</v>
      </c>
      <c r="E5734" t="n">
        <v>1</v>
      </c>
      <c r="F5734" t="n">
        <v>1</v>
      </c>
      <c r="G5734" t="n">
        <v>1</v>
      </c>
      <c r="H5734" t="n">
        <v>1</v>
      </c>
      <c r="I5734" t="n">
        <v>0</v>
      </c>
      <c r="J5734">
        <f>(1-C5734)*Assumptions!$B$41+(1-D5734)*Assumptions!$B$33+(1-E5734)*Assumptions!$B$32+(1-F5734)*Assumptions!$B$31+(1-G5734)*Assumptions!$B$30+(1-H5734)*Assumptions!$B$29+(1-I5734)*Assumptions!$B$28</f>
        <v/>
      </c>
      <c r="K5734">
        <f>C5734*$J$532+D5734*$F$532+E5734*$G$532+F5734*Assumptions!$B$14+G5734*Assumptions!$B$13+H5734*Assumptions!$B$12+I5734*Assumptions!$B$11+$O$532+$S$532+Assumptions!$B$9</f>
        <v/>
      </c>
      <c r="L5734">
        <f>B5734-J5734</f>
        <v/>
      </c>
      <c r="M5734">
        <f>IF(K5734&gt;0,IF(L5734/K5734&gt;=Assumptions!$B$37,1,0),0)</f>
        <v/>
      </c>
      <c r="N5734">
        <f>K5734+M5734*Assumptions!$B$153</f>
        <v/>
      </c>
      <c r="O5734">
        <f>L5734+M5734*Assumptions!$B$153*Assumptions!$B$37</f>
        <v/>
      </c>
      <c r="P5734">
        <f>IF(N5734&gt;0,O5734/N5734,0)</f>
        <v/>
      </c>
      <c r="Q5734">
        <f>IF(C5734=1,P5734*$J$532,Assumptions!$B$41)</f>
        <v/>
      </c>
      <c r="R5734">
        <f>IF(D5734=1,P5734*$F$532,Assumptions!$B$33)</f>
        <v/>
      </c>
      <c r="S5734">
        <f>IF(E5734=1,P5734*$G$532,Assumptions!$B$32)</f>
        <v/>
      </c>
      <c r="T5734">
        <f>IF(F5734=1,P5734*Assumptions!$B$14,Assumptions!$B$31)</f>
        <v/>
      </c>
      <c r="U5734">
        <f>IF(G5734=1,P5734*Assumptions!$B$13,Assumptions!$B$30)</f>
        <v/>
      </c>
      <c r="V5734">
        <f>IF(H5734=1,P5734*Assumptions!$B$12,Assumptions!$B$29)</f>
        <v/>
      </c>
      <c r="W5734">
        <f>IF(I5734=1,P5734*Assumptions!$B$11,Assumptions!$B$28)</f>
        <v/>
      </c>
      <c r="X5734">
        <f>P5734*($O$532+$S$532)</f>
        <v/>
      </c>
      <c r="Y5734">
        <f>P5734*Assumptions!$B$9</f>
        <v/>
      </c>
      <c r="Z5734">
        <f>IF(M5734=1,(P5734-Assumptions!$B$37)*Assumptions!$B$153,0)</f>
        <v/>
      </c>
      <c r="AA5734">
        <f>Q5734+R5734+S5734+T5734+U5734+V5734+W5734+X5734+Y5734+Z5734</f>
        <v/>
      </c>
      <c r="AB5734" t="n">
        <v>94</v>
      </c>
      <c r="AC5734" t="n">
        <v>30</v>
      </c>
      <c r="AD5734" t="n">
        <v>126</v>
      </c>
      <c r="AE5734" t="n">
        <v>78</v>
      </c>
      <c r="AF5734" t="n">
        <v>86</v>
      </c>
      <c r="AG5734" t="n">
        <v>90</v>
      </c>
      <c r="AH5734" t="n">
        <v>92</v>
      </c>
      <c r="AI5734" t="n">
        <v>95</v>
      </c>
      <c r="AJ5734">
        <f>INDEX($Q$5640:$Q$5767,AC5734+1)</f>
        <v/>
      </c>
      <c r="AK5734">
        <f>INDEX($R$5640:$R$5767,AD5734+1)</f>
        <v/>
      </c>
      <c r="AL5734">
        <f>INDEX($S$5640:$S$5767,AE5734+1)</f>
        <v/>
      </c>
      <c r="AM5734">
        <f>INDEX($T$5640:$T$5767,AF5734+1)</f>
        <v/>
      </c>
      <c r="AN5734">
        <f>INDEX($U$5640:$U$5767,AG5734+1)</f>
        <v/>
      </c>
      <c r="AO5734">
        <f>INDEX($V$5640:$V$5767,AH5734+1)</f>
        <v/>
      </c>
      <c r="AP5734">
        <f>INDEX($W$5640:$W$5767,AI5734+1)</f>
        <v/>
      </c>
      <c r="AQ5734">
        <f>IF(Q5734&gt;=AJ5734-0.01,1,0)</f>
        <v/>
      </c>
      <c r="AR5734">
        <f>IF(R5734&gt;=AK5734-0.01,1,0)</f>
        <v/>
      </c>
      <c r="AS5734">
        <f>IF(S5734&gt;=AL5734-0.01,1,0)</f>
        <v/>
      </c>
      <c r="AT5734">
        <f>IF(T5734&gt;=AM5734-0.01,1,0)</f>
        <v/>
      </c>
      <c r="AU5734">
        <f>IF(U5734&gt;=AN5734-0.01,1,0)</f>
        <v/>
      </c>
      <c r="AV5734">
        <f>IF(V5734&gt;=AO5734-0.01,1,0)</f>
        <v/>
      </c>
      <c r="AW5734">
        <f>IF(W5734&gt;=AP5734-0.01,1,0)</f>
        <v/>
      </c>
      <c r="AX5734">
        <f>AQ5734*AR5734*AS5734*AT5734*AU5734*AV5734*AW5734</f>
        <v/>
      </c>
    </row>
    <row r="5735">
      <c r="A5735" t="inlineStr"/>
      <c r="B5735">
        <f>Assumptions!$B$60</f>
        <v/>
      </c>
      <c r="C5735" t="n">
        <v>1</v>
      </c>
      <c r="D5735" t="n">
        <v>0</v>
      </c>
      <c r="E5735" t="n">
        <v>1</v>
      </c>
      <c r="F5735" t="n">
        <v>1</v>
      </c>
      <c r="G5735" t="n">
        <v>1</v>
      </c>
      <c r="H5735" t="n">
        <v>1</v>
      </c>
      <c r="I5735" t="n">
        <v>1</v>
      </c>
      <c r="J5735">
        <f>(1-C5735)*Assumptions!$B$41+(1-D5735)*Assumptions!$B$33+(1-E5735)*Assumptions!$B$32+(1-F5735)*Assumptions!$B$31+(1-G5735)*Assumptions!$B$30+(1-H5735)*Assumptions!$B$29+(1-I5735)*Assumptions!$B$28</f>
        <v/>
      </c>
      <c r="K5735">
        <f>C5735*$J$532+D5735*$F$532+E5735*$G$532+F5735*Assumptions!$B$14+G5735*Assumptions!$B$13+H5735*Assumptions!$B$12+I5735*Assumptions!$B$11+$O$532+$S$532+Assumptions!$B$9</f>
        <v/>
      </c>
      <c r="L5735">
        <f>B5735-J5735</f>
        <v/>
      </c>
      <c r="M5735">
        <f>IF(K5735&gt;0,IF(L5735/K5735&gt;=Assumptions!$B$37,1,0),0)</f>
        <v/>
      </c>
      <c r="N5735">
        <f>K5735+M5735*Assumptions!$B$153</f>
        <v/>
      </c>
      <c r="O5735">
        <f>L5735+M5735*Assumptions!$B$153*Assumptions!$B$37</f>
        <v/>
      </c>
      <c r="P5735">
        <f>IF(N5735&gt;0,O5735/N5735,0)</f>
        <v/>
      </c>
      <c r="Q5735">
        <f>IF(C5735=1,P5735*$J$532,Assumptions!$B$41)</f>
        <v/>
      </c>
      <c r="R5735">
        <f>IF(D5735=1,P5735*$F$532,Assumptions!$B$33)</f>
        <v/>
      </c>
      <c r="S5735">
        <f>IF(E5735=1,P5735*$G$532,Assumptions!$B$32)</f>
        <v/>
      </c>
      <c r="T5735">
        <f>IF(F5735=1,P5735*Assumptions!$B$14,Assumptions!$B$31)</f>
        <v/>
      </c>
      <c r="U5735">
        <f>IF(G5735=1,P5735*Assumptions!$B$13,Assumptions!$B$30)</f>
        <v/>
      </c>
      <c r="V5735">
        <f>IF(H5735=1,P5735*Assumptions!$B$12,Assumptions!$B$29)</f>
        <v/>
      </c>
      <c r="W5735">
        <f>IF(I5735=1,P5735*Assumptions!$B$11,Assumptions!$B$28)</f>
        <v/>
      </c>
      <c r="X5735">
        <f>P5735*($O$532+$S$532)</f>
        <v/>
      </c>
      <c r="Y5735">
        <f>P5735*Assumptions!$B$9</f>
        <v/>
      </c>
      <c r="Z5735">
        <f>IF(M5735=1,(P5735-Assumptions!$B$37)*Assumptions!$B$153,0)</f>
        <v/>
      </c>
      <c r="AA5735">
        <f>Q5735+R5735+S5735+T5735+U5735+V5735+W5735+X5735+Y5735+Z5735</f>
        <v/>
      </c>
      <c r="AB5735" t="n">
        <v>95</v>
      </c>
      <c r="AC5735" t="n">
        <v>31</v>
      </c>
      <c r="AD5735" t="n">
        <v>127</v>
      </c>
      <c r="AE5735" t="n">
        <v>79</v>
      </c>
      <c r="AF5735" t="n">
        <v>87</v>
      </c>
      <c r="AG5735" t="n">
        <v>91</v>
      </c>
      <c r="AH5735" t="n">
        <v>93</v>
      </c>
      <c r="AI5735" t="n">
        <v>94</v>
      </c>
      <c r="AJ5735">
        <f>INDEX($Q$5640:$Q$5767,AC5735+1)</f>
        <v/>
      </c>
      <c r="AK5735">
        <f>INDEX($R$5640:$R$5767,AD5735+1)</f>
        <v/>
      </c>
      <c r="AL5735">
        <f>INDEX($S$5640:$S$5767,AE5735+1)</f>
        <v/>
      </c>
      <c r="AM5735">
        <f>INDEX($T$5640:$T$5767,AF5735+1)</f>
        <v/>
      </c>
      <c r="AN5735">
        <f>INDEX($U$5640:$U$5767,AG5735+1)</f>
        <v/>
      </c>
      <c r="AO5735">
        <f>INDEX($V$5640:$V$5767,AH5735+1)</f>
        <v/>
      </c>
      <c r="AP5735">
        <f>INDEX($W$5640:$W$5767,AI5735+1)</f>
        <v/>
      </c>
      <c r="AQ5735">
        <f>IF(Q5735&gt;=AJ5735-0.01,1,0)</f>
        <v/>
      </c>
      <c r="AR5735">
        <f>IF(R5735&gt;=AK5735-0.01,1,0)</f>
        <v/>
      </c>
      <c r="AS5735">
        <f>IF(S5735&gt;=AL5735-0.01,1,0)</f>
        <v/>
      </c>
      <c r="AT5735">
        <f>IF(T5735&gt;=AM5735-0.01,1,0)</f>
        <v/>
      </c>
      <c r="AU5735">
        <f>IF(U5735&gt;=AN5735-0.01,1,0)</f>
        <v/>
      </c>
      <c r="AV5735">
        <f>IF(V5735&gt;=AO5735-0.01,1,0)</f>
        <v/>
      </c>
      <c r="AW5735">
        <f>IF(W5735&gt;=AP5735-0.01,1,0)</f>
        <v/>
      </c>
      <c r="AX5735">
        <f>AQ5735*AR5735*AS5735*AT5735*AU5735*AV5735*AW5735</f>
        <v/>
      </c>
    </row>
    <row r="5736">
      <c r="A5736" t="inlineStr"/>
      <c r="B5736">
        <f>Assumptions!$B$60</f>
        <v/>
      </c>
      <c r="C5736" t="n">
        <v>1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>
        <f>(1-C5736)*Assumptions!$B$41+(1-D5736)*Assumptions!$B$33+(1-E5736)*Assumptions!$B$32+(1-F5736)*Assumptions!$B$31+(1-G5736)*Assumptions!$B$30+(1-H5736)*Assumptions!$B$29+(1-I5736)*Assumptions!$B$28</f>
        <v/>
      </c>
      <c r="K5736">
        <f>C5736*$J$532+D5736*$F$532+E5736*$G$532+F5736*Assumptions!$B$14+G5736*Assumptions!$B$13+H5736*Assumptions!$B$12+I5736*Assumptions!$B$11+$O$532+$S$532+Assumptions!$B$9</f>
        <v/>
      </c>
      <c r="L5736">
        <f>B5736-J5736</f>
        <v/>
      </c>
      <c r="M5736">
        <f>IF(K5736&gt;0,IF(L5736/K5736&gt;=Assumptions!$B$37,1,0),0)</f>
        <v/>
      </c>
      <c r="N5736">
        <f>K5736+M5736*Assumptions!$B$153</f>
        <v/>
      </c>
      <c r="O5736">
        <f>L5736+M5736*Assumptions!$B$153*Assumptions!$B$37</f>
        <v/>
      </c>
      <c r="P5736">
        <f>IF(N5736&gt;0,O5736/N5736,0)</f>
        <v/>
      </c>
      <c r="Q5736">
        <f>IF(C5736=1,P5736*$J$532,Assumptions!$B$41)</f>
        <v/>
      </c>
      <c r="R5736">
        <f>IF(D5736=1,P5736*$F$532,Assumptions!$B$33)</f>
        <v/>
      </c>
      <c r="S5736">
        <f>IF(E5736=1,P5736*$G$532,Assumptions!$B$32)</f>
        <v/>
      </c>
      <c r="T5736">
        <f>IF(F5736=1,P5736*Assumptions!$B$14,Assumptions!$B$31)</f>
        <v/>
      </c>
      <c r="U5736">
        <f>IF(G5736=1,P5736*Assumptions!$B$13,Assumptions!$B$30)</f>
        <v/>
      </c>
      <c r="V5736">
        <f>IF(H5736=1,P5736*Assumptions!$B$12,Assumptions!$B$29)</f>
        <v/>
      </c>
      <c r="W5736">
        <f>IF(I5736=1,P5736*Assumptions!$B$11,Assumptions!$B$28)</f>
        <v/>
      </c>
      <c r="X5736">
        <f>P5736*($O$532+$S$532)</f>
        <v/>
      </c>
      <c r="Y5736">
        <f>P5736*Assumptions!$B$9</f>
        <v/>
      </c>
      <c r="Z5736">
        <f>IF(M5736=1,(P5736-Assumptions!$B$37)*Assumptions!$B$153,0)</f>
        <v/>
      </c>
      <c r="AA5736">
        <f>Q5736+R5736+S5736+T5736+U5736+V5736+W5736+X5736+Y5736+Z5736</f>
        <v/>
      </c>
      <c r="AB5736" t="n">
        <v>96</v>
      </c>
      <c r="AC5736" t="n">
        <v>32</v>
      </c>
      <c r="AD5736" t="n">
        <v>64</v>
      </c>
      <c r="AE5736" t="n">
        <v>112</v>
      </c>
      <c r="AF5736" t="n">
        <v>104</v>
      </c>
      <c r="AG5736" t="n">
        <v>100</v>
      </c>
      <c r="AH5736" t="n">
        <v>98</v>
      </c>
      <c r="AI5736" t="n">
        <v>97</v>
      </c>
      <c r="AJ5736">
        <f>INDEX($Q$5640:$Q$5767,AC5736+1)</f>
        <v/>
      </c>
      <c r="AK5736">
        <f>INDEX($R$5640:$R$5767,AD5736+1)</f>
        <v/>
      </c>
      <c r="AL5736">
        <f>INDEX($S$5640:$S$5767,AE5736+1)</f>
        <v/>
      </c>
      <c r="AM5736">
        <f>INDEX($T$5640:$T$5767,AF5736+1)</f>
        <v/>
      </c>
      <c r="AN5736">
        <f>INDEX($U$5640:$U$5767,AG5736+1)</f>
        <v/>
      </c>
      <c r="AO5736">
        <f>INDEX($V$5640:$V$5767,AH5736+1)</f>
        <v/>
      </c>
      <c r="AP5736">
        <f>INDEX($W$5640:$W$5767,AI5736+1)</f>
        <v/>
      </c>
      <c r="AQ5736">
        <f>IF(Q5736&gt;=AJ5736-0.01,1,0)</f>
        <v/>
      </c>
      <c r="AR5736">
        <f>IF(R5736&gt;=AK5736-0.01,1,0)</f>
        <v/>
      </c>
      <c r="AS5736">
        <f>IF(S5736&gt;=AL5736-0.01,1,0)</f>
        <v/>
      </c>
      <c r="AT5736">
        <f>IF(T5736&gt;=AM5736-0.01,1,0)</f>
        <v/>
      </c>
      <c r="AU5736">
        <f>IF(U5736&gt;=AN5736-0.01,1,0)</f>
        <v/>
      </c>
      <c r="AV5736">
        <f>IF(V5736&gt;=AO5736-0.01,1,0)</f>
        <v/>
      </c>
      <c r="AW5736">
        <f>IF(W5736&gt;=AP5736-0.01,1,0)</f>
        <v/>
      </c>
      <c r="AX5736">
        <f>AQ5736*AR5736*AS5736*AT5736*AU5736*AV5736*AW5736</f>
        <v/>
      </c>
    </row>
    <row r="5737">
      <c r="A5737" t="inlineStr"/>
      <c r="B5737">
        <f>Assumptions!$B$60</f>
        <v/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>
        <f>(1-C5737)*Assumptions!$B$41+(1-D5737)*Assumptions!$B$33+(1-E5737)*Assumptions!$B$32+(1-F5737)*Assumptions!$B$31+(1-G5737)*Assumptions!$B$30+(1-H5737)*Assumptions!$B$29+(1-I5737)*Assumptions!$B$28</f>
        <v/>
      </c>
      <c r="K5737">
        <f>C5737*$J$532+D5737*$F$532+E5737*$G$532+F5737*Assumptions!$B$14+G5737*Assumptions!$B$13+H5737*Assumptions!$B$12+I5737*Assumptions!$B$11+$O$532+$S$532+Assumptions!$B$9</f>
        <v/>
      </c>
      <c r="L5737">
        <f>B5737-J5737</f>
        <v/>
      </c>
      <c r="M5737">
        <f>IF(K5737&gt;0,IF(L5737/K5737&gt;=Assumptions!$B$37,1,0),0)</f>
        <v/>
      </c>
      <c r="N5737">
        <f>K5737+M5737*Assumptions!$B$153</f>
        <v/>
      </c>
      <c r="O5737">
        <f>L5737+M5737*Assumptions!$B$153*Assumptions!$B$37</f>
        <v/>
      </c>
      <c r="P5737">
        <f>IF(N5737&gt;0,O5737/N5737,0)</f>
        <v/>
      </c>
      <c r="Q5737">
        <f>IF(C5737=1,P5737*$J$532,Assumptions!$B$41)</f>
        <v/>
      </c>
      <c r="R5737">
        <f>IF(D5737=1,P5737*$F$532,Assumptions!$B$33)</f>
        <v/>
      </c>
      <c r="S5737">
        <f>IF(E5737=1,P5737*$G$532,Assumptions!$B$32)</f>
        <v/>
      </c>
      <c r="T5737">
        <f>IF(F5737=1,P5737*Assumptions!$B$14,Assumptions!$B$31)</f>
        <v/>
      </c>
      <c r="U5737">
        <f>IF(G5737=1,P5737*Assumptions!$B$13,Assumptions!$B$30)</f>
        <v/>
      </c>
      <c r="V5737">
        <f>IF(H5737=1,P5737*Assumptions!$B$12,Assumptions!$B$29)</f>
        <v/>
      </c>
      <c r="W5737">
        <f>IF(I5737=1,P5737*Assumptions!$B$11,Assumptions!$B$28)</f>
        <v/>
      </c>
      <c r="X5737">
        <f>P5737*($O$532+$S$532)</f>
        <v/>
      </c>
      <c r="Y5737">
        <f>P5737*Assumptions!$B$9</f>
        <v/>
      </c>
      <c r="Z5737">
        <f>IF(M5737=1,(P5737-Assumptions!$B$37)*Assumptions!$B$153,0)</f>
        <v/>
      </c>
      <c r="AA5737">
        <f>Q5737+R5737+S5737+T5737+U5737+V5737+W5737+X5737+Y5737+Z5737</f>
        <v/>
      </c>
      <c r="AB5737" t="n">
        <v>97</v>
      </c>
      <c r="AC5737" t="n">
        <v>33</v>
      </c>
      <c r="AD5737" t="n">
        <v>65</v>
      </c>
      <c r="AE5737" t="n">
        <v>113</v>
      </c>
      <c r="AF5737" t="n">
        <v>105</v>
      </c>
      <c r="AG5737" t="n">
        <v>101</v>
      </c>
      <c r="AH5737" t="n">
        <v>99</v>
      </c>
      <c r="AI5737" t="n">
        <v>96</v>
      </c>
      <c r="AJ5737">
        <f>INDEX($Q$5640:$Q$5767,AC5737+1)</f>
        <v/>
      </c>
      <c r="AK5737">
        <f>INDEX($R$5640:$R$5767,AD5737+1)</f>
        <v/>
      </c>
      <c r="AL5737">
        <f>INDEX($S$5640:$S$5767,AE5737+1)</f>
        <v/>
      </c>
      <c r="AM5737">
        <f>INDEX($T$5640:$T$5767,AF5737+1)</f>
        <v/>
      </c>
      <c r="AN5737">
        <f>INDEX($U$5640:$U$5767,AG5737+1)</f>
        <v/>
      </c>
      <c r="AO5737">
        <f>INDEX($V$5640:$V$5767,AH5737+1)</f>
        <v/>
      </c>
      <c r="AP5737">
        <f>INDEX($W$5640:$W$5767,AI5737+1)</f>
        <v/>
      </c>
      <c r="AQ5737">
        <f>IF(Q5737&gt;=AJ5737-0.01,1,0)</f>
        <v/>
      </c>
      <c r="AR5737">
        <f>IF(R5737&gt;=AK5737-0.01,1,0)</f>
        <v/>
      </c>
      <c r="AS5737">
        <f>IF(S5737&gt;=AL5737-0.01,1,0)</f>
        <v/>
      </c>
      <c r="AT5737">
        <f>IF(T5737&gt;=AM5737-0.01,1,0)</f>
        <v/>
      </c>
      <c r="AU5737">
        <f>IF(U5737&gt;=AN5737-0.01,1,0)</f>
        <v/>
      </c>
      <c r="AV5737">
        <f>IF(V5737&gt;=AO5737-0.01,1,0)</f>
        <v/>
      </c>
      <c r="AW5737">
        <f>IF(W5737&gt;=AP5737-0.01,1,0)</f>
        <v/>
      </c>
      <c r="AX5737">
        <f>AQ5737*AR5737*AS5737*AT5737*AU5737*AV5737*AW5737</f>
        <v/>
      </c>
    </row>
    <row r="5738">
      <c r="A5738" t="inlineStr"/>
      <c r="B5738">
        <f>Assumptions!$B$60</f>
        <v/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>
        <f>(1-C5738)*Assumptions!$B$41+(1-D5738)*Assumptions!$B$33+(1-E5738)*Assumptions!$B$32+(1-F5738)*Assumptions!$B$31+(1-G5738)*Assumptions!$B$30+(1-H5738)*Assumptions!$B$29+(1-I5738)*Assumptions!$B$28</f>
        <v/>
      </c>
      <c r="K5738">
        <f>C5738*$J$532+D5738*$F$532+E5738*$G$532+F5738*Assumptions!$B$14+G5738*Assumptions!$B$13+H5738*Assumptions!$B$12+I5738*Assumptions!$B$11+$O$532+$S$532+Assumptions!$B$9</f>
        <v/>
      </c>
      <c r="L5738">
        <f>B5738-J5738</f>
        <v/>
      </c>
      <c r="M5738">
        <f>IF(K5738&gt;0,IF(L5738/K5738&gt;=Assumptions!$B$37,1,0),0)</f>
        <v/>
      </c>
      <c r="N5738">
        <f>K5738+M5738*Assumptions!$B$153</f>
        <v/>
      </c>
      <c r="O5738">
        <f>L5738+M5738*Assumptions!$B$153*Assumptions!$B$37</f>
        <v/>
      </c>
      <c r="P5738">
        <f>IF(N5738&gt;0,O5738/N5738,0)</f>
        <v/>
      </c>
      <c r="Q5738">
        <f>IF(C5738=1,P5738*$J$532,Assumptions!$B$41)</f>
        <v/>
      </c>
      <c r="R5738">
        <f>IF(D5738=1,P5738*$F$532,Assumptions!$B$33)</f>
        <v/>
      </c>
      <c r="S5738">
        <f>IF(E5738=1,P5738*$G$532,Assumptions!$B$32)</f>
        <v/>
      </c>
      <c r="T5738">
        <f>IF(F5738=1,P5738*Assumptions!$B$14,Assumptions!$B$31)</f>
        <v/>
      </c>
      <c r="U5738">
        <f>IF(G5738=1,P5738*Assumptions!$B$13,Assumptions!$B$30)</f>
        <v/>
      </c>
      <c r="V5738">
        <f>IF(H5738=1,P5738*Assumptions!$B$12,Assumptions!$B$29)</f>
        <v/>
      </c>
      <c r="W5738">
        <f>IF(I5738=1,P5738*Assumptions!$B$11,Assumptions!$B$28)</f>
        <v/>
      </c>
      <c r="X5738">
        <f>P5738*($O$532+$S$532)</f>
        <v/>
      </c>
      <c r="Y5738">
        <f>P5738*Assumptions!$B$9</f>
        <v/>
      </c>
      <c r="Z5738">
        <f>IF(M5738=1,(P5738-Assumptions!$B$37)*Assumptions!$B$153,0)</f>
        <v/>
      </c>
      <c r="AA5738">
        <f>Q5738+R5738+S5738+T5738+U5738+V5738+W5738+X5738+Y5738+Z5738</f>
        <v/>
      </c>
      <c r="AB5738" t="n">
        <v>98</v>
      </c>
      <c r="AC5738" t="n">
        <v>34</v>
      </c>
      <c r="AD5738" t="n">
        <v>66</v>
      </c>
      <c r="AE5738" t="n">
        <v>114</v>
      </c>
      <c r="AF5738" t="n">
        <v>106</v>
      </c>
      <c r="AG5738" t="n">
        <v>102</v>
      </c>
      <c r="AH5738" t="n">
        <v>96</v>
      </c>
      <c r="AI5738" t="n">
        <v>99</v>
      </c>
      <c r="AJ5738">
        <f>INDEX($Q$5640:$Q$5767,AC5738+1)</f>
        <v/>
      </c>
      <c r="AK5738">
        <f>INDEX($R$5640:$R$5767,AD5738+1)</f>
        <v/>
      </c>
      <c r="AL5738">
        <f>INDEX($S$5640:$S$5767,AE5738+1)</f>
        <v/>
      </c>
      <c r="AM5738">
        <f>INDEX($T$5640:$T$5767,AF5738+1)</f>
        <v/>
      </c>
      <c r="AN5738">
        <f>INDEX($U$5640:$U$5767,AG5738+1)</f>
        <v/>
      </c>
      <c r="AO5738">
        <f>INDEX($V$5640:$V$5767,AH5738+1)</f>
        <v/>
      </c>
      <c r="AP5738">
        <f>INDEX($W$5640:$W$5767,AI5738+1)</f>
        <v/>
      </c>
      <c r="AQ5738">
        <f>IF(Q5738&gt;=AJ5738-0.01,1,0)</f>
        <v/>
      </c>
      <c r="AR5738">
        <f>IF(R5738&gt;=AK5738-0.01,1,0)</f>
        <v/>
      </c>
      <c r="AS5738">
        <f>IF(S5738&gt;=AL5738-0.01,1,0)</f>
        <v/>
      </c>
      <c r="AT5738">
        <f>IF(T5738&gt;=AM5738-0.01,1,0)</f>
        <v/>
      </c>
      <c r="AU5738">
        <f>IF(U5738&gt;=AN5738-0.01,1,0)</f>
        <v/>
      </c>
      <c r="AV5738">
        <f>IF(V5738&gt;=AO5738-0.01,1,0)</f>
        <v/>
      </c>
      <c r="AW5738">
        <f>IF(W5738&gt;=AP5738-0.01,1,0)</f>
        <v/>
      </c>
      <c r="AX5738">
        <f>AQ5738*AR5738*AS5738*AT5738*AU5738*AV5738*AW5738</f>
        <v/>
      </c>
    </row>
    <row r="5739">
      <c r="A5739" t="inlineStr"/>
      <c r="B5739">
        <f>Assumptions!$B$60</f>
        <v/>
      </c>
      <c r="C5739" t="n">
        <v>1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1</v>
      </c>
      <c r="J5739">
        <f>(1-C5739)*Assumptions!$B$41+(1-D5739)*Assumptions!$B$33+(1-E5739)*Assumptions!$B$32+(1-F5739)*Assumptions!$B$31+(1-G5739)*Assumptions!$B$30+(1-H5739)*Assumptions!$B$29+(1-I5739)*Assumptions!$B$28</f>
        <v/>
      </c>
      <c r="K5739">
        <f>C5739*$J$532+D5739*$F$532+E5739*$G$532+F5739*Assumptions!$B$14+G5739*Assumptions!$B$13+H5739*Assumptions!$B$12+I5739*Assumptions!$B$11+$O$532+$S$532+Assumptions!$B$9</f>
        <v/>
      </c>
      <c r="L5739">
        <f>B5739-J5739</f>
        <v/>
      </c>
      <c r="M5739">
        <f>IF(K5739&gt;0,IF(L5739/K5739&gt;=Assumptions!$B$37,1,0),0)</f>
        <v/>
      </c>
      <c r="N5739">
        <f>K5739+M5739*Assumptions!$B$153</f>
        <v/>
      </c>
      <c r="O5739">
        <f>L5739+M5739*Assumptions!$B$153*Assumptions!$B$37</f>
        <v/>
      </c>
      <c r="P5739">
        <f>IF(N5739&gt;0,O5739/N5739,0)</f>
        <v/>
      </c>
      <c r="Q5739">
        <f>IF(C5739=1,P5739*$J$532,Assumptions!$B$41)</f>
        <v/>
      </c>
      <c r="R5739">
        <f>IF(D5739=1,P5739*$F$532,Assumptions!$B$33)</f>
        <v/>
      </c>
      <c r="S5739">
        <f>IF(E5739=1,P5739*$G$532,Assumptions!$B$32)</f>
        <v/>
      </c>
      <c r="T5739">
        <f>IF(F5739=1,P5739*Assumptions!$B$14,Assumptions!$B$31)</f>
        <v/>
      </c>
      <c r="U5739">
        <f>IF(G5739=1,P5739*Assumptions!$B$13,Assumptions!$B$30)</f>
        <v/>
      </c>
      <c r="V5739">
        <f>IF(H5739=1,P5739*Assumptions!$B$12,Assumptions!$B$29)</f>
        <v/>
      </c>
      <c r="W5739">
        <f>IF(I5739=1,P5739*Assumptions!$B$11,Assumptions!$B$28)</f>
        <v/>
      </c>
      <c r="X5739">
        <f>P5739*($O$532+$S$532)</f>
        <v/>
      </c>
      <c r="Y5739">
        <f>P5739*Assumptions!$B$9</f>
        <v/>
      </c>
      <c r="Z5739">
        <f>IF(M5739=1,(P5739-Assumptions!$B$37)*Assumptions!$B$153,0)</f>
        <v/>
      </c>
      <c r="AA5739">
        <f>Q5739+R5739+S5739+T5739+U5739+V5739+W5739+X5739+Y5739+Z5739</f>
        <v/>
      </c>
      <c r="AB5739" t="n">
        <v>99</v>
      </c>
      <c r="AC5739" t="n">
        <v>35</v>
      </c>
      <c r="AD5739" t="n">
        <v>67</v>
      </c>
      <c r="AE5739" t="n">
        <v>115</v>
      </c>
      <c r="AF5739" t="n">
        <v>107</v>
      </c>
      <c r="AG5739" t="n">
        <v>103</v>
      </c>
      <c r="AH5739" t="n">
        <v>97</v>
      </c>
      <c r="AI5739" t="n">
        <v>98</v>
      </c>
      <c r="AJ5739">
        <f>INDEX($Q$5640:$Q$5767,AC5739+1)</f>
        <v/>
      </c>
      <c r="AK5739">
        <f>INDEX($R$5640:$R$5767,AD5739+1)</f>
        <v/>
      </c>
      <c r="AL5739">
        <f>INDEX($S$5640:$S$5767,AE5739+1)</f>
        <v/>
      </c>
      <c r="AM5739">
        <f>INDEX($T$5640:$T$5767,AF5739+1)</f>
        <v/>
      </c>
      <c r="AN5739">
        <f>INDEX($U$5640:$U$5767,AG5739+1)</f>
        <v/>
      </c>
      <c r="AO5739">
        <f>INDEX($V$5640:$V$5767,AH5739+1)</f>
        <v/>
      </c>
      <c r="AP5739">
        <f>INDEX($W$5640:$W$5767,AI5739+1)</f>
        <v/>
      </c>
      <c r="AQ5739">
        <f>IF(Q5739&gt;=AJ5739-0.01,1,0)</f>
        <v/>
      </c>
      <c r="AR5739">
        <f>IF(R5739&gt;=AK5739-0.01,1,0)</f>
        <v/>
      </c>
      <c r="AS5739">
        <f>IF(S5739&gt;=AL5739-0.01,1,0)</f>
        <v/>
      </c>
      <c r="AT5739">
        <f>IF(T5739&gt;=AM5739-0.01,1,0)</f>
        <v/>
      </c>
      <c r="AU5739">
        <f>IF(U5739&gt;=AN5739-0.01,1,0)</f>
        <v/>
      </c>
      <c r="AV5739">
        <f>IF(V5739&gt;=AO5739-0.01,1,0)</f>
        <v/>
      </c>
      <c r="AW5739">
        <f>IF(W5739&gt;=AP5739-0.01,1,0)</f>
        <v/>
      </c>
      <c r="AX5739">
        <f>AQ5739*AR5739*AS5739*AT5739*AU5739*AV5739*AW5739</f>
        <v/>
      </c>
    </row>
    <row r="5740">
      <c r="A5740" t="inlineStr"/>
      <c r="B5740">
        <f>Assumptions!$B$60</f>
        <v/>
      </c>
      <c r="C5740" t="n">
        <v>1</v>
      </c>
      <c r="D5740" t="n">
        <v>1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  <c r="J5740">
        <f>(1-C5740)*Assumptions!$B$41+(1-D5740)*Assumptions!$B$33+(1-E5740)*Assumptions!$B$32+(1-F5740)*Assumptions!$B$31+(1-G5740)*Assumptions!$B$30+(1-H5740)*Assumptions!$B$29+(1-I5740)*Assumptions!$B$28</f>
        <v/>
      </c>
      <c r="K5740">
        <f>C5740*$J$532+D5740*$F$532+E5740*$G$532+F5740*Assumptions!$B$14+G5740*Assumptions!$B$13+H5740*Assumptions!$B$12+I5740*Assumptions!$B$11+$O$532+$S$532+Assumptions!$B$9</f>
        <v/>
      </c>
      <c r="L5740">
        <f>B5740-J5740</f>
        <v/>
      </c>
      <c r="M5740">
        <f>IF(K5740&gt;0,IF(L5740/K5740&gt;=Assumptions!$B$37,1,0),0)</f>
        <v/>
      </c>
      <c r="N5740">
        <f>K5740+M5740*Assumptions!$B$153</f>
        <v/>
      </c>
      <c r="O5740">
        <f>L5740+M5740*Assumptions!$B$153*Assumptions!$B$37</f>
        <v/>
      </c>
      <c r="P5740">
        <f>IF(N5740&gt;0,O5740/N5740,0)</f>
        <v/>
      </c>
      <c r="Q5740">
        <f>IF(C5740=1,P5740*$J$532,Assumptions!$B$41)</f>
        <v/>
      </c>
      <c r="R5740">
        <f>IF(D5740=1,P5740*$F$532,Assumptions!$B$33)</f>
        <v/>
      </c>
      <c r="S5740">
        <f>IF(E5740=1,P5740*$G$532,Assumptions!$B$32)</f>
        <v/>
      </c>
      <c r="T5740">
        <f>IF(F5740=1,P5740*Assumptions!$B$14,Assumptions!$B$31)</f>
        <v/>
      </c>
      <c r="U5740">
        <f>IF(G5740=1,P5740*Assumptions!$B$13,Assumptions!$B$30)</f>
        <v/>
      </c>
      <c r="V5740">
        <f>IF(H5740=1,P5740*Assumptions!$B$12,Assumptions!$B$29)</f>
        <v/>
      </c>
      <c r="W5740">
        <f>IF(I5740=1,P5740*Assumptions!$B$11,Assumptions!$B$28)</f>
        <v/>
      </c>
      <c r="X5740">
        <f>P5740*($O$532+$S$532)</f>
        <v/>
      </c>
      <c r="Y5740">
        <f>P5740*Assumptions!$B$9</f>
        <v/>
      </c>
      <c r="Z5740">
        <f>IF(M5740=1,(P5740-Assumptions!$B$37)*Assumptions!$B$153,0)</f>
        <v/>
      </c>
      <c r="AA5740">
        <f>Q5740+R5740+S5740+T5740+U5740+V5740+W5740+X5740+Y5740+Z5740</f>
        <v/>
      </c>
      <c r="AB5740" t="n">
        <v>100</v>
      </c>
      <c r="AC5740" t="n">
        <v>36</v>
      </c>
      <c r="AD5740" t="n">
        <v>68</v>
      </c>
      <c r="AE5740" t="n">
        <v>116</v>
      </c>
      <c r="AF5740" t="n">
        <v>108</v>
      </c>
      <c r="AG5740" t="n">
        <v>96</v>
      </c>
      <c r="AH5740" t="n">
        <v>102</v>
      </c>
      <c r="AI5740" t="n">
        <v>101</v>
      </c>
      <c r="AJ5740">
        <f>INDEX($Q$5640:$Q$5767,AC5740+1)</f>
        <v/>
      </c>
      <c r="AK5740">
        <f>INDEX($R$5640:$R$5767,AD5740+1)</f>
        <v/>
      </c>
      <c r="AL5740">
        <f>INDEX($S$5640:$S$5767,AE5740+1)</f>
        <v/>
      </c>
      <c r="AM5740">
        <f>INDEX($T$5640:$T$5767,AF5740+1)</f>
        <v/>
      </c>
      <c r="AN5740">
        <f>INDEX($U$5640:$U$5767,AG5740+1)</f>
        <v/>
      </c>
      <c r="AO5740">
        <f>INDEX($V$5640:$V$5767,AH5740+1)</f>
        <v/>
      </c>
      <c r="AP5740">
        <f>INDEX($W$5640:$W$5767,AI5740+1)</f>
        <v/>
      </c>
      <c r="AQ5740">
        <f>IF(Q5740&gt;=AJ5740-0.01,1,0)</f>
        <v/>
      </c>
      <c r="AR5740">
        <f>IF(R5740&gt;=AK5740-0.01,1,0)</f>
        <v/>
      </c>
      <c r="AS5740">
        <f>IF(S5740&gt;=AL5740-0.01,1,0)</f>
        <v/>
      </c>
      <c r="AT5740">
        <f>IF(T5740&gt;=AM5740-0.01,1,0)</f>
        <v/>
      </c>
      <c r="AU5740">
        <f>IF(U5740&gt;=AN5740-0.01,1,0)</f>
        <v/>
      </c>
      <c r="AV5740">
        <f>IF(V5740&gt;=AO5740-0.01,1,0)</f>
        <v/>
      </c>
      <c r="AW5740">
        <f>IF(W5740&gt;=AP5740-0.01,1,0)</f>
        <v/>
      </c>
      <c r="AX5740">
        <f>AQ5740*AR5740*AS5740*AT5740*AU5740*AV5740*AW5740</f>
        <v/>
      </c>
    </row>
    <row r="5741">
      <c r="A5741" t="inlineStr"/>
      <c r="B5741">
        <f>Assumptions!$B$60</f>
        <v/>
      </c>
      <c r="C5741" t="n">
        <v>1</v>
      </c>
      <c r="D5741" t="n">
        <v>1</v>
      </c>
      <c r="E5741" t="n">
        <v>0</v>
      </c>
      <c r="F5741" t="n">
        <v>0</v>
      </c>
      <c r="G5741" t="n">
        <v>1</v>
      </c>
      <c r="H5741" t="n">
        <v>0</v>
      </c>
      <c r="I5741" t="n">
        <v>1</v>
      </c>
      <c r="J5741">
        <f>(1-C5741)*Assumptions!$B$41+(1-D5741)*Assumptions!$B$33+(1-E5741)*Assumptions!$B$32+(1-F5741)*Assumptions!$B$31+(1-G5741)*Assumptions!$B$30+(1-H5741)*Assumptions!$B$29+(1-I5741)*Assumptions!$B$28</f>
        <v/>
      </c>
      <c r="K5741">
        <f>C5741*$J$532+D5741*$F$532+E5741*$G$532+F5741*Assumptions!$B$14+G5741*Assumptions!$B$13+H5741*Assumptions!$B$12+I5741*Assumptions!$B$11+$O$532+$S$532+Assumptions!$B$9</f>
        <v/>
      </c>
      <c r="L5741">
        <f>B5741-J5741</f>
        <v/>
      </c>
      <c r="M5741">
        <f>IF(K5741&gt;0,IF(L5741/K5741&gt;=Assumptions!$B$37,1,0),0)</f>
        <v/>
      </c>
      <c r="N5741">
        <f>K5741+M5741*Assumptions!$B$153</f>
        <v/>
      </c>
      <c r="O5741">
        <f>L5741+M5741*Assumptions!$B$153*Assumptions!$B$37</f>
        <v/>
      </c>
      <c r="P5741">
        <f>IF(N5741&gt;0,O5741/N5741,0)</f>
        <v/>
      </c>
      <c r="Q5741">
        <f>IF(C5741=1,P5741*$J$532,Assumptions!$B$41)</f>
        <v/>
      </c>
      <c r="R5741">
        <f>IF(D5741=1,P5741*$F$532,Assumptions!$B$33)</f>
        <v/>
      </c>
      <c r="S5741">
        <f>IF(E5741=1,P5741*$G$532,Assumptions!$B$32)</f>
        <v/>
      </c>
      <c r="T5741">
        <f>IF(F5741=1,P5741*Assumptions!$B$14,Assumptions!$B$31)</f>
        <v/>
      </c>
      <c r="U5741">
        <f>IF(G5741=1,P5741*Assumptions!$B$13,Assumptions!$B$30)</f>
        <v/>
      </c>
      <c r="V5741">
        <f>IF(H5741=1,P5741*Assumptions!$B$12,Assumptions!$B$29)</f>
        <v/>
      </c>
      <c r="W5741">
        <f>IF(I5741=1,P5741*Assumptions!$B$11,Assumptions!$B$28)</f>
        <v/>
      </c>
      <c r="X5741">
        <f>P5741*($O$532+$S$532)</f>
        <v/>
      </c>
      <c r="Y5741">
        <f>P5741*Assumptions!$B$9</f>
        <v/>
      </c>
      <c r="Z5741">
        <f>IF(M5741=1,(P5741-Assumptions!$B$37)*Assumptions!$B$153,0)</f>
        <v/>
      </c>
      <c r="AA5741">
        <f>Q5741+R5741+S5741+T5741+U5741+V5741+W5741+X5741+Y5741+Z5741</f>
        <v/>
      </c>
      <c r="AB5741" t="n">
        <v>101</v>
      </c>
      <c r="AC5741" t="n">
        <v>37</v>
      </c>
      <c r="AD5741" t="n">
        <v>69</v>
      </c>
      <c r="AE5741" t="n">
        <v>117</v>
      </c>
      <c r="AF5741" t="n">
        <v>109</v>
      </c>
      <c r="AG5741" t="n">
        <v>97</v>
      </c>
      <c r="AH5741" t="n">
        <v>103</v>
      </c>
      <c r="AI5741" t="n">
        <v>100</v>
      </c>
      <c r="AJ5741">
        <f>INDEX($Q$5640:$Q$5767,AC5741+1)</f>
        <v/>
      </c>
      <c r="AK5741">
        <f>INDEX($R$5640:$R$5767,AD5741+1)</f>
        <v/>
      </c>
      <c r="AL5741">
        <f>INDEX($S$5640:$S$5767,AE5741+1)</f>
        <v/>
      </c>
      <c r="AM5741">
        <f>INDEX($T$5640:$T$5767,AF5741+1)</f>
        <v/>
      </c>
      <c r="AN5741">
        <f>INDEX($U$5640:$U$5767,AG5741+1)</f>
        <v/>
      </c>
      <c r="AO5741">
        <f>INDEX($V$5640:$V$5767,AH5741+1)</f>
        <v/>
      </c>
      <c r="AP5741">
        <f>INDEX($W$5640:$W$5767,AI5741+1)</f>
        <v/>
      </c>
      <c r="AQ5741">
        <f>IF(Q5741&gt;=AJ5741-0.01,1,0)</f>
        <v/>
      </c>
      <c r="AR5741">
        <f>IF(R5741&gt;=AK5741-0.01,1,0)</f>
        <v/>
      </c>
      <c r="AS5741">
        <f>IF(S5741&gt;=AL5741-0.01,1,0)</f>
        <v/>
      </c>
      <c r="AT5741">
        <f>IF(T5741&gt;=AM5741-0.01,1,0)</f>
        <v/>
      </c>
      <c r="AU5741">
        <f>IF(U5741&gt;=AN5741-0.01,1,0)</f>
        <v/>
      </c>
      <c r="AV5741">
        <f>IF(V5741&gt;=AO5741-0.01,1,0)</f>
        <v/>
      </c>
      <c r="AW5741">
        <f>IF(W5741&gt;=AP5741-0.01,1,0)</f>
        <v/>
      </c>
      <c r="AX5741">
        <f>AQ5741*AR5741*AS5741*AT5741*AU5741*AV5741*AW5741</f>
        <v/>
      </c>
    </row>
    <row r="5742">
      <c r="A5742" t="inlineStr"/>
      <c r="B5742">
        <f>Assumptions!$B$60</f>
        <v/>
      </c>
      <c r="C5742" t="n">
        <v>1</v>
      </c>
      <c r="D5742" t="n">
        <v>1</v>
      </c>
      <c r="E5742" t="n">
        <v>0</v>
      </c>
      <c r="F5742" t="n">
        <v>0</v>
      </c>
      <c r="G5742" t="n">
        <v>1</v>
      </c>
      <c r="H5742" t="n">
        <v>1</v>
      </c>
      <c r="I5742" t="n">
        <v>0</v>
      </c>
      <c r="J5742">
        <f>(1-C5742)*Assumptions!$B$41+(1-D5742)*Assumptions!$B$33+(1-E5742)*Assumptions!$B$32+(1-F5742)*Assumptions!$B$31+(1-G5742)*Assumptions!$B$30+(1-H5742)*Assumptions!$B$29+(1-I5742)*Assumptions!$B$28</f>
        <v/>
      </c>
      <c r="K5742">
        <f>C5742*$J$532+D5742*$F$532+E5742*$G$532+F5742*Assumptions!$B$14+G5742*Assumptions!$B$13+H5742*Assumptions!$B$12+I5742*Assumptions!$B$11+$O$532+$S$532+Assumptions!$B$9</f>
        <v/>
      </c>
      <c r="L5742">
        <f>B5742-J5742</f>
        <v/>
      </c>
      <c r="M5742">
        <f>IF(K5742&gt;0,IF(L5742/K5742&gt;=Assumptions!$B$37,1,0),0)</f>
        <v/>
      </c>
      <c r="N5742">
        <f>K5742+M5742*Assumptions!$B$153</f>
        <v/>
      </c>
      <c r="O5742">
        <f>L5742+M5742*Assumptions!$B$153*Assumptions!$B$37</f>
        <v/>
      </c>
      <c r="P5742">
        <f>IF(N5742&gt;0,O5742/N5742,0)</f>
        <v/>
      </c>
      <c r="Q5742">
        <f>IF(C5742=1,P5742*$J$532,Assumptions!$B$41)</f>
        <v/>
      </c>
      <c r="R5742">
        <f>IF(D5742=1,P5742*$F$532,Assumptions!$B$33)</f>
        <v/>
      </c>
      <c r="S5742">
        <f>IF(E5742=1,P5742*$G$532,Assumptions!$B$32)</f>
        <v/>
      </c>
      <c r="T5742">
        <f>IF(F5742=1,P5742*Assumptions!$B$14,Assumptions!$B$31)</f>
        <v/>
      </c>
      <c r="U5742">
        <f>IF(G5742=1,P5742*Assumptions!$B$13,Assumptions!$B$30)</f>
        <v/>
      </c>
      <c r="V5742">
        <f>IF(H5742=1,P5742*Assumptions!$B$12,Assumptions!$B$29)</f>
        <v/>
      </c>
      <c r="W5742">
        <f>IF(I5742=1,P5742*Assumptions!$B$11,Assumptions!$B$28)</f>
        <v/>
      </c>
      <c r="X5742">
        <f>P5742*($O$532+$S$532)</f>
        <v/>
      </c>
      <c r="Y5742">
        <f>P5742*Assumptions!$B$9</f>
        <v/>
      </c>
      <c r="Z5742">
        <f>IF(M5742=1,(P5742-Assumptions!$B$37)*Assumptions!$B$153,0)</f>
        <v/>
      </c>
      <c r="AA5742">
        <f>Q5742+R5742+S5742+T5742+U5742+V5742+W5742+X5742+Y5742+Z5742</f>
        <v/>
      </c>
      <c r="AB5742" t="n">
        <v>102</v>
      </c>
      <c r="AC5742" t="n">
        <v>38</v>
      </c>
      <c r="AD5742" t="n">
        <v>70</v>
      </c>
      <c r="AE5742" t="n">
        <v>118</v>
      </c>
      <c r="AF5742" t="n">
        <v>110</v>
      </c>
      <c r="AG5742" t="n">
        <v>98</v>
      </c>
      <c r="AH5742" t="n">
        <v>100</v>
      </c>
      <c r="AI5742" t="n">
        <v>103</v>
      </c>
      <c r="AJ5742">
        <f>INDEX($Q$5640:$Q$5767,AC5742+1)</f>
        <v/>
      </c>
      <c r="AK5742">
        <f>INDEX($R$5640:$R$5767,AD5742+1)</f>
        <v/>
      </c>
      <c r="AL5742">
        <f>INDEX($S$5640:$S$5767,AE5742+1)</f>
        <v/>
      </c>
      <c r="AM5742">
        <f>INDEX($T$5640:$T$5767,AF5742+1)</f>
        <v/>
      </c>
      <c r="AN5742">
        <f>INDEX($U$5640:$U$5767,AG5742+1)</f>
        <v/>
      </c>
      <c r="AO5742">
        <f>INDEX($V$5640:$V$5767,AH5742+1)</f>
        <v/>
      </c>
      <c r="AP5742">
        <f>INDEX($W$5640:$W$5767,AI5742+1)</f>
        <v/>
      </c>
      <c r="AQ5742">
        <f>IF(Q5742&gt;=AJ5742-0.01,1,0)</f>
        <v/>
      </c>
      <c r="AR5742">
        <f>IF(R5742&gt;=AK5742-0.01,1,0)</f>
        <v/>
      </c>
      <c r="AS5742">
        <f>IF(S5742&gt;=AL5742-0.01,1,0)</f>
        <v/>
      </c>
      <c r="AT5742">
        <f>IF(T5742&gt;=AM5742-0.01,1,0)</f>
        <v/>
      </c>
      <c r="AU5742">
        <f>IF(U5742&gt;=AN5742-0.01,1,0)</f>
        <v/>
      </c>
      <c r="AV5742">
        <f>IF(V5742&gt;=AO5742-0.01,1,0)</f>
        <v/>
      </c>
      <c r="AW5742">
        <f>IF(W5742&gt;=AP5742-0.01,1,0)</f>
        <v/>
      </c>
      <c r="AX5742">
        <f>AQ5742*AR5742*AS5742*AT5742*AU5742*AV5742*AW5742</f>
        <v/>
      </c>
    </row>
    <row r="5743">
      <c r="A5743" t="inlineStr"/>
      <c r="B5743">
        <f>Assumptions!$B$60</f>
        <v/>
      </c>
      <c r="C5743" t="n">
        <v>1</v>
      </c>
      <c r="D5743" t="n">
        <v>1</v>
      </c>
      <c r="E5743" t="n">
        <v>0</v>
      </c>
      <c r="F5743" t="n">
        <v>0</v>
      </c>
      <c r="G5743" t="n">
        <v>1</v>
      </c>
      <c r="H5743" t="n">
        <v>1</v>
      </c>
      <c r="I5743" t="n">
        <v>1</v>
      </c>
      <c r="J5743">
        <f>(1-C5743)*Assumptions!$B$41+(1-D5743)*Assumptions!$B$33+(1-E5743)*Assumptions!$B$32+(1-F5743)*Assumptions!$B$31+(1-G5743)*Assumptions!$B$30+(1-H5743)*Assumptions!$B$29+(1-I5743)*Assumptions!$B$28</f>
        <v/>
      </c>
      <c r="K5743">
        <f>C5743*$J$532+D5743*$F$532+E5743*$G$532+F5743*Assumptions!$B$14+G5743*Assumptions!$B$13+H5743*Assumptions!$B$12+I5743*Assumptions!$B$11+$O$532+$S$532+Assumptions!$B$9</f>
        <v/>
      </c>
      <c r="L5743">
        <f>B5743-J5743</f>
        <v/>
      </c>
      <c r="M5743">
        <f>IF(K5743&gt;0,IF(L5743/K5743&gt;=Assumptions!$B$37,1,0),0)</f>
        <v/>
      </c>
      <c r="N5743">
        <f>K5743+M5743*Assumptions!$B$153</f>
        <v/>
      </c>
      <c r="O5743">
        <f>L5743+M5743*Assumptions!$B$153*Assumptions!$B$37</f>
        <v/>
      </c>
      <c r="P5743">
        <f>IF(N5743&gt;0,O5743/N5743,0)</f>
        <v/>
      </c>
      <c r="Q5743">
        <f>IF(C5743=1,P5743*$J$532,Assumptions!$B$41)</f>
        <v/>
      </c>
      <c r="R5743">
        <f>IF(D5743=1,P5743*$F$532,Assumptions!$B$33)</f>
        <v/>
      </c>
      <c r="S5743">
        <f>IF(E5743=1,P5743*$G$532,Assumptions!$B$32)</f>
        <v/>
      </c>
      <c r="T5743">
        <f>IF(F5743=1,P5743*Assumptions!$B$14,Assumptions!$B$31)</f>
        <v/>
      </c>
      <c r="U5743">
        <f>IF(G5743=1,P5743*Assumptions!$B$13,Assumptions!$B$30)</f>
        <v/>
      </c>
      <c r="V5743">
        <f>IF(H5743=1,P5743*Assumptions!$B$12,Assumptions!$B$29)</f>
        <v/>
      </c>
      <c r="W5743">
        <f>IF(I5743=1,P5743*Assumptions!$B$11,Assumptions!$B$28)</f>
        <v/>
      </c>
      <c r="X5743">
        <f>P5743*($O$532+$S$532)</f>
        <v/>
      </c>
      <c r="Y5743">
        <f>P5743*Assumptions!$B$9</f>
        <v/>
      </c>
      <c r="Z5743">
        <f>IF(M5743=1,(P5743-Assumptions!$B$37)*Assumptions!$B$153,0)</f>
        <v/>
      </c>
      <c r="AA5743">
        <f>Q5743+R5743+S5743+T5743+U5743+V5743+W5743+X5743+Y5743+Z5743</f>
        <v/>
      </c>
      <c r="AB5743" t="n">
        <v>103</v>
      </c>
      <c r="AC5743" t="n">
        <v>39</v>
      </c>
      <c r="AD5743" t="n">
        <v>71</v>
      </c>
      <c r="AE5743" t="n">
        <v>119</v>
      </c>
      <c r="AF5743" t="n">
        <v>111</v>
      </c>
      <c r="AG5743" t="n">
        <v>99</v>
      </c>
      <c r="AH5743" t="n">
        <v>101</v>
      </c>
      <c r="AI5743" t="n">
        <v>102</v>
      </c>
      <c r="AJ5743">
        <f>INDEX($Q$5640:$Q$5767,AC5743+1)</f>
        <v/>
      </c>
      <c r="AK5743">
        <f>INDEX($R$5640:$R$5767,AD5743+1)</f>
        <v/>
      </c>
      <c r="AL5743">
        <f>INDEX($S$5640:$S$5767,AE5743+1)</f>
        <v/>
      </c>
      <c r="AM5743">
        <f>INDEX($T$5640:$T$5767,AF5743+1)</f>
        <v/>
      </c>
      <c r="AN5743">
        <f>INDEX($U$5640:$U$5767,AG5743+1)</f>
        <v/>
      </c>
      <c r="AO5743">
        <f>INDEX($V$5640:$V$5767,AH5743+1)</f>
        <v/>
      </c>
      <c r="AP5743">
        <f>INDEX($W$5640:$W$5767,AI5743+1)</f>
        <v/>
      </c>
      <c r="AQ5743">
        <f>IF(Q5743&gt;=AJ5743-0.01,1,0)</f>
        <v/>
      </c>
      <c r="AR5743">
        <f>IF(R5743&gt;=AK5743-0.01,1,0)</f>
        <v/>
      </c>
      <c r="AS5743">
        <f>IF(S5743&gt;=AL5743-0.01,1,0)</f>
        <v/>
      </c>
      <c r="AT5743">
        <f>IF(T5743&gt;=AM5743-0.01,1,0)</f>
        <v/>
      </c>
      <c r="AU5743">
        <f>IF(U5743&gt;=AN5743-0.01,1,0)</f>
        <v/>
      </c>
      <c r="AV5743">
        <f>IF(V5743&gt;=AO5743-0.01,1,0)</f>
        <v/>
      </c>
      <c r="AW5743">
        <f>IF(W5743&gt;=AP5743-0.01,1,0)</f>
        <v/>
      </c>
      <c r="AX5743">
        <f>AQ5743*AR5743*AS5743*AT5743*AU5743*AV5743*AW5743</f>
        <v/>
      </c>
    </row>
    <row r="5744">
      <c r="A5744" t="inlineStr"/>
      <c r="B5744">
        <f>Assumptions!$B$60</f>
        <v/>
      </c>
      <c r="C5744" t="n">
        <v>1</v>
      </c>
      <c r="D5744" t="n">
        <v>1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>
        <f>(1-C5744)*Assumptions!$B$41+(1-D5744)*Assumptions!$B$33+(1-E5744)*Assumptions!$B$32+(1-F5744)*Assumptions!$B$31+(1-G5744)*Assumptions!$B$30+(1-H5744)*Assumptions!$B$29+(1-I5744)*Assumptions!$B$28</f>
        <v/>
      </c>
      <c r="K5744">
        <f>C5744*$J$532+D5744*$F$532+E5744*$G$532+F5744*Assumptions!$B$14+G5744*Assumptions!$B$13+H5744*Assumptions!$B$12+I5744*Assumptions!$B$11+$O$532+$S$532+Assumptions!$B$9</f>
        <v/>
      </c>
      <c r="L5744">
        <f>B5744-J5744</f>
        <v/>
      </c>
      <c r="M5744">
        <f>IF(K5744&gt;0,IF(L5744/K5744&gt;=Assumptions!$B$37,1,0),0)</f>
        <v/>
      </c>
      <c r="N5744">
        <f>K5744+M5744*Assumptions!$B$153</f>
        <v/>
      </c>
      <c r="O5744">
        <f>L5744+M5744*Assumptions!$B$153*Assumptions!$B$37</f>
        <v/>
      </c>
      <c r="P5744">
        <f>IF(N5744&gt;0,O5744/N5744,0)</f>
        <v/>
      </c>
      <c r="Q5744">
        <f>IF(C5744=1,P5744*$J$532,Assumptions!$B$41)</f>
        <v/>
      </c>
      <c r="R5744">
        <f>IF(D5744=1,P5744*$F$532,Assumptions!$B$33)</f>
        <v/>
      </c>
      <c r="S5744">
        <f>IF(E5744=1,P5744*$G$532,Assumptions!$B$32)</f>
        <v/>
      </c>
      <c r="T5744">
        <f>IF(F5744=1,P5744*Assumptions!$B$14,Assumptions!$B$31)</f>
        <v/>
      </c>
      <c r="U5744">
        <f>IF(G5744=1,P5744*Assumptions!$B$13,Assumptions!$B$30)</f>
        <v/>
      </c>
      <c r="V5744">
        <f>IF(H5744=1,P5744*Assumptions!$B$12,Assumptions!$B$29)</f>
        <v/>
      </c>
      <c r="W5744">
        <f>IF(I5744=1,P5744*Assumptions!$B$11,Assumptions!$B$28)</f>
        <v/>
      </c>
      <c r="X5744">
        <f>P5744*($O$532+$S$532)</f>
        <v/>
      </c>
      <c r="Y5744">
        <f>P5744*Assumptions!$B$9</f>
        <v/>
      </c>
      <c r="Z5744">
        <f>IF(M5744=1,(P5744-Assumptions!$B$37)*Assumptions!$B$153,0)</f>
        <v/>
      </c>
      <c r="AA5744">
        <f>Q5744+R5744+S5744+T5744+U5744+V5744+W5744+X5744+Y5744+Z5744</f>
        <v/>
      </c>
      <c r="AB5744" t="n">
        <v>104</v>
      </c>
      <c r="AC5744" t="n">
        <v>40</v>
      </c>
      <c r="AD5744" t="n">
        <v>72</v>
      </c>
      <c r="AE5744" t="n">
        <v>120</v>
      </c>
      <c r="AF5744" t="n">
        <v>96</v>
      </c>
      <c r="AG5744" t="n">
        <v>108</v>
      </c>
      <c r="AH5744" t="n">
        <v>106</v>
      </c>
      <c r="AI5744" t="n">
        <v>105</v>
      </c>
      <c r="AJ5744">
        <f>INDEX($Q$5640:$Q$5767,AC5744+1)</f>
        <v/>
      </c>
      <c r="AK5744">
        <f>INDEX($R$5640:$R$5767,AD5744+1)</f>
        <v/>
      </c>
      <c r="AL5744">
        <f>INDEX($S$5640:$S$5767,AE5744+1)</f>
        <v/>
      </c>
      <c r="AM5744">
        <f>INDEX($T$5640:$T$5767,AF5744+1)</f>
        <v/>
      </c>
      <c r="AN5744">
        <f>INDEX($U$5640:$U$5767,AG5744+1)</f>
        <v/>
      </c>
      <c r="AO5744">
        <f>INDEX($V$5640:$V$5767,AH5744+1)</f>
        <v/>
      </c>
      <c r="AP5744">
        <f>INDEX($W$5640:$W$5767,AI5744+1)</f>
        <v/>
      </c>
      <c r="AQ5744">
        <f>IF(Q5744&gt;=AJ5744-0.01,1,0)</f>
        <v/>
      </c>
      <c r="AR5744">
        <f>IF(R5744&gt;=AK5744-0.01,1,0)</f>
        <v/>
      </c>
      <c r="AS5744">
        <f>IF(S5744&gt;=AL5744-0.01,1,0)</f>
        <v/>
      </c>
      <c r="AT5744">
        <f>IF(T5744&gt;=AM5744-0.01,1,0)</f>
        <v/>
      </c>
      <c r="AU5744">
        <f>IF(U5744&gt;=AN5744-0.01,1,0)</f>
        <v/>
      </c>
      <c r="AV5744">
        <f>IF(V5744&gt;=AO5744-0.01,1,0)</f>
        <v/>
      </c>
      <c r="AW5744">
        <f>IF(W5744&gt;=AP5744-0.01,1,0)</f>
        <v/>
      </c>
      <c r="AX5744">
        <f>AQ5744*AR5744*AS5744*AT5744*AU5744*AV5744*AW5744</f>
        <v/>
      </c>
    </row>
    <row r="5745">
      <c r="A5745" t="inlineStr"/>
      <c r="B5745">
        <f>Assumptions!$B$60</f>
        <v/>
      </c>
      <c r="C5745" t="n">
        <v>1</v>
      </c>
      <c r="D5745" t="n">
        <v>1</v>
      </c>
      <c r="E5745" t="n">
        <v>0</v>
      </c>
      <c r="F5745" t="n">
        <v>1</v>
      </c>
      <c r="G5745" t="n">
        <v>0</v>
      </c>
      <c r="H5745" t="n">
        <v>0</v>
      </c>
      <c r="I5745" t="n">
        <v>1</v>
      </c>
      <c r="J5745">
        <f>(1-C5745)*Assumptions!$B$41+(1-D5745)*Assumptions!$B$33+(1-E5745)*Assumptions!$B$32+(1-F5745)*Assumptions!$B$31+(1-G5745)*Assumptions!$B$30+(1-H5745)*Assumptions!$B$29+(1-I5745)*Assumptions!$B$28</f>
        <v/>
      </c>
      <c r="K5745">
        <f>C5745*$J$532+D5745*$F$532+E5745*$G$532+F5745*Assumptions!$B$14+G5745*Assumptions!$B$13+H5745*Assumptions!$B$12+I5745*Assumptions!$B$11+$O$532+$S$532+Assumptions!$B$9</f>
        <v/>
      </c>
      <c r="L5745">
        <f>B5745-J5745</f>
        <v/>
      </c>
      <c r="M5745">
        <f>IF(K5745&gt;0,IF(L5745/K5745&gt;=Assumptions!$B$37,1,0),0)</f>
        <v/>
      </c>
      <c r="N5745">
        <f>K5745+M5745*Assumptions!$B$153</f>
        <v/>
      </c>
      <c r="O5745">
        <f>L5745+M5745*Assumptions!$B$153*Assumptions!$B$37</f>
        <v/>
      </c>
      <c r="P5745">
        <f>IF(N5745&gt;0,O5745/N5745,0)</f>
        <v/>
      </c>
      <c r="Q5745">
        <f>IF(C5745=1,P5745*$J$532,Assumptions!$B$41)</f>
        <v/>
      </c>
      <c r="R5745">
        <f>IF(D5745=1,P5745*$F$532,Assumptions!$B$33)</f>
        <v/>
      </c>
      <c r="S5745">
        <f>IF(E5745=1,P5745*$G$532,Assumptions!$B$32)</f>
        <v/>
      </c>
      <c r="T5745">
        <f>IF(F5745=1,P5745*Assumptions!$B$14,Assumptions!$B$31)</f>
        <v/>
      </c>
      <c r="U5745">
        <f>IF(G5745=1,P5745*Assumptions!$B$13,Assumptions!$B$30)</f>
        <v/>
      </c>
      <c r="V5745">
        <f>IF(H5745=1,P5745*Assumptions!$B$12,Assumptions!$B$29)</f>
        <v/>
      </c>
      <c r="W5745">
        <f>IF(I5745=1,P5745*Assumptions!$B$11,Assumptions!$B$28)</f>
        <v/>
      </c>
      <c r="X5745">
        <f>P5745*($O$532+$S$532)</f>
        <v/>
      </c>
      <c r="Y5745">
        <f>P5745*Assumptions!$B$9</f>
        <v/>
      </c>
      <c r="Z5745">
        <f>IF(M5745=1,(P5745-Assumptions!$B$37)*Assumptions!$B$153,0)</f>
        <v/>
      </c>
      <c r="AA5745">
        <f>Q5745+R5745+S5745+T5745+U5745+V5745+W5745+X5745+Y5745+Z5745</f>
        <v/>
      </c>
      <c r="AB5745" t="n">
        <v>105</v>
      </c>
      <c r="AC5745" t="n">
        <v>41</v>
      </c>
      <c r="AD5745" t="n">
        <v>73</v>
      </c>
      <c r="AE5745" t="n">
        <v>121</v>
      </c>
      <c r="AF5745" t="n">
        <v>97</v>
      </c>
      <c r="AG5745" t="n">
        <v>109</v>
      </c>
      <c r="AH5745" t="n">
        <v>107</v>
      </c>
      <c r="AI5745" t="n">
        <v>104</v>
      </c>
      <c r="AJ5745">
        <f>INDEX($Q$5640:$Q$5767,AC5745+1)</f>
        <v/>
      </c>
      <c r="AK5745">
        <f>INDEX($R$5640:$R$5767,AD5745+1)</f>
        <v/>
      </c>
      <c r="AL5745">
        <f>INDEX($S$5640:$S$5767,AE5745+1)</f>
        <v/>
      </c>
      <c r="AM5745">
        <f>INDEX($T$5640:$T$5767,AF5745+1)</f>
        <v/>
      </c>
      <c r="AN5745">
        <f>INDEX($U$5640:$U$5767,AG5745+1)</f>
        <v/>
      </c>
      <c r="AO5745">
        <f>INDEX($V$5640:$V$5767,AH5745+1)</f>
        <v/>
      </c>
      <c r="AP5745">
        <f>INDEX($W$5640:$W$5767,AI5745+1)</f>
        <v/>
      </c>
      <c r="AQ5745">
        <f>IF(Q5745&gt;=AJ5745-0.01,1,0)</f>
        <v/>
      </c>
      <c r="AR5745">
        <f>IF(R5745&gt;=AK5745-0.01,1,0)</f>
        <v/>
      </c>
      <c r="AS5745">
        <f>IF(S5745&gt;=AL5745-0.01,1,0)</f>
        <v/>
      </c>
      <c r="AT5745">
        <f>IF(T5745&gt;=AM5745-0.01,1,0)</f>
        <v/>
      </c>
      <c r="AU5745">
        <f>IF(U5745&gt;=AN5745-0.01,1,0)</f>
        <v/>
      </c>
      <c r="AV5745">
        <f>IF(V5745&gt;=AO5745-0.01,1,0)</f>
        <v/>
      </c>
      <c r="AW5745">
        <f>IF(W5745&gt;=AP5745-0.01,1,0)</f>
        <v/>
      </c>
      <c r="AX5745">
        <f>AQ5745*AR5745*AS5745*AT5745*AU5745*AV5745*AW5745</f>
        <v/>
      </c>
    </row>
    <row r="5746">
      <c r="A5746" t="inlineStr"/>
      <c r="B5746">
        <f>Assumptions!$B$60</f>
        <v/>
      </c>
      <c r="C5746" t="n">
        <v>1</v>
      </c>
      <c r="D5746" t="n">
        <v>1</v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>
        <f>(1-C5746)*Assumptions!$B$41+(1-D5746)*Assumptions!$B$33+(1-E5746)*Assumptions!$B$32+(1-F5746)*Assumptions!$B$31+(1-G5746)*Assumptions!$B$30+(1-H5746)*Assumptions!$B$29+(1-I5746)*Assumptions!$B$28</f>
        <v/>
      </c>
      <c r="K5746">
        <f>C5746*$J$532+D5746*$F$532+E5746*$G$532+F5746*Assumptions!$B$14+G5746*Assumptions!$B$13+H5746*Assumptions!$B$12+I5746*Assumptions!$B$11+$O$532+$S$532+Assumptions!$B$9</f>
        <v/>
      </c>
      <c r="L5746">
        <f>B5746-J5746</f>
        <v/>
      </c>
      <c r="M5746">
        <f>IF(K5746&gt;0,IF(L5746/K5746&gt;=Assumptions!$B$37,1,0),0)</f>
        <v/>
      </c>
      <c r="N5746">
        <f>K5746+M5746*Assumptions!$B$153</f>
        <v/>
      </c>
      <c r="O5746">
        <f>L5746+M5746*Assumptions!$B$153*Assumptions!$B$37</f>
        <v/>
      </c>
      <c r="P5746">
        <f>IF(N5746&gt;0,O5746/N5746,0)</f>
        <v/>
      </c>
      <c r="Q5746">
        <f>IF(C5746=1,P5746*$J$532,Assumptions!$B$41)</f>
        <v/>
      </c>
      <c r="R5746">
        <f>IF(D5746=1,P5746*$F$532,Assumptions!$B$33)</f>
        <v/>
      </c>
      <c r="S5746">
        <f>IF(E5746=1,P5746*$G$532,Assumptions!$B$32)</f>
        <v/>
      </c>
      <c r="T5746">
        <f>IF(F5746=1,P5746*Assumptions!$B$14,Assumptions!$B$31)</f>
        <v/>
      </c>
      <c r="U5746">
        <f>IF(G5746=1,P5746*Assumptions!$B$13,Assumptions!$B$30)</f>
        <v/>
      </c>
      <c r="V5746">
        <f>IF(H5746=1,P5746*Assumptions!$B$12,Assumptions!$B$29)</f>
        <v/>
      </c>
      <c r="W5746">
        <f>IF(I5746=1,P5746*Assumptions!$B$11,Assumptions!$B$28)</f>
        <v/>
      </c>
      <c r="X5746">
        <f>P5746*($O$532+$S$532)</f>
        <v/>
      </c>
      <c r="Y5746">
        <f>P5746*Assumptions!$B$9</f>
        <v/>
      </c>
      <c r="Z5746">
        <f>IF(M5746=1,(P5746-Assumptions!$B$37)*Assumptions!$B$153,0)</f>
        <v/>
      </c>
      <c r="AA5746">
        <f>Q5746+R5746+S5746+T5746+U5746+V5746+W5746+X5746+Y5746+Z5746</f>
        <v/>
      </c>
      <c r="AB5746" t="n">
        <v>106</v>
      </c>
      <c r="AC5746" t="n">
        <v>42</v>
      </c>
      <c r="AD5746" t="n">
        <v>74</v>
      </c>
      <c r="AE5746" t="n">
        <v>122</v>
      </c>
      <c r="AF5746" t="n">
        <v>98</v>
      </c>
      <c r="AG5746" t="n">
        <v>110</v>
      </c>
      <c r="AH5746" t="n">
        <v>104</v>
      </c>
      <c r="AI5746" t="n">
        <v>107</v>
      </c>
      <c r="AJ5746">
        <f>INDEX($Q$5640:$Q$5767,AC5746+1)</f>
        <v/>
      </c>
      <c r="AK5746">
        <f>INDEX($R$5640:$R$5767,AD5746+1)</f>
        <v/>
      </c>
      <c r="AL5746">
        <f>INDEX($S$5640:$S$5767,AE5746+1)</f>
        <v/>
      </c>
      <c r="AM5746">
        <f>INDEX($T$5640:$T$5767,AF5746+1)</f>
        <v/>
      </c>
      <c r="AN5746">
        <f>INDEX($U$5640:$U$5767,AG5746+1)</f>
        <v/>
      </c>
      <c r="AO5746">
        <f>INDEX($V$5640:$V$5767,AH5746+1)</f>
        <v/>
      </c>
      <c r="AP5746">
        <f>INDEX($W$5640:$W$5767,AI5746+1)</f>
        <v/>
      </c>
      <c r="AQ5746">
        <f>IF(Q5746&gt;=AJ5746-0.01,1,0)</f>
        <v/>
      </c>
      <c r="AR5746">
        <f>IF(R5746&gt;=AK5746-0.01,1,0)</f>
        <v/>
      </c>
      <c r="AS5746">
        <f>IF(S5746&gt;=AL5746-0.01,1,0)</f>
        <v/>
      </c>
      <c r="AT5746">
        <f>IF(T5746&gt;=AM5746-0.01,1,0)</f>
        <v/>
      </c>
      <c r="AU5746">
        <f>IF(U5746&gt;=AN5746-0.01,1,0)</f>
        <v/>
      </c>
      <c r="AV5746">
        <f>IF(V5746&gt;=AO5746-0.01,1,0)</f>
        <v/>
      </c>
      <c r="AW5746">
        <f>IF(W5746&gt;=AP5746-0.01,1,0)</f>
        <v/>
      </c>
      <c r="AX5746">
        <f>AQ5746*AR5746*AS5746*AT5746*AU5746*AV5746*AW5746</f>
        <v/>
      </c>
    </row>
    <row r="5747">
      <c r="A5747" t="inlineStr"/>
      <c r="B5747">
        <f>Assumptions!$B$60</f>
        <v/>
      </c>
      <c r="C5747" t="n">
        <v>1</v>
      </c>
      <c r="D5747" t="n">
        <v>1</v>
      </c>
      <c r="E5747" t="n">
        <v>0</v>
      </c>
      <c r="F5747" t="n">
        <v>1</v>
      </c>
      <c r="G5747" t="n">
        <v>0</v>
      </c>
      <c r="H5747" t="n">
        <v>1</v>
      </c>
      <c r="I5747" t="n">
        <v>1</v>
      </c>
      <c r="J5747">
        <f>(1-C5747)*Assumptions!$B$41+(1-D5747)*Assumptions!$B$33+(1-E5747)*Assumptions!$B$32+(1-F5747)*Assumptions!$B$31+(1-G5747)*Assumptions!$B$30+(1-H5747)*Assumptions!$B$29+(1-I5747)*Assumptions!$B$28</f>
        <v/>
      </c>
      <c r="K5747">
        <f>C5747*$J$532+D5747*$F$532+E5747*$G$532+F5747*Assumptions!$B$14+G5747*Assumptions!$B$13+H5747*Assumptions!$B$12+I5747*Assumptions!$B$11+$O$532+$S$532+Assumptions!$B$9</f>
        <v/>
      </c>
      <c r="L5747">
        <f>B5747-J5747</f>
        <v/>
      </c>
      <c r="M5747">
        <f>IF(K5747&gt;0,IF(L5747/K5747&gt;=Assumptions!$B$37,1,0),0)</f>
        <v/>
      </c>
      <c r="N5747">
        <f>K5747+M5747*Assumptions!$B$153</f>
        <v/>
      </c>
      <c r="O5747">
        <f>L5747+M5747*Assumptions!$B$153*Assumptions!$B$37</f>
        <v/>
      </c>
      <c r="P5747">
        <f>IF(N5747&gt;0,O5747/N5747,0)</f>
        <v/>
      </c>
      <c r="Q5747">
        <f>IF(C5747=1,P5747*$J$532,Assumptions!$B$41)</f>
        <v/>
      </c>
      <c r="R5747">
        <f>IF(D5747=1,P5747*$F$532,Assumptions!$B$33)</f>
        <v/>
      </c>
      <c r="S5747">
        <f>IF(E5747=1,P5747*$G$532,Assumptions!$B$32)</f>
        <v/>
      </c>
      <c r="T5747">
        <f>IF(F5747=1,P5747*Assumptions!$B$14,Assumptions!$B$31)</f>
        <v/>
      </c>
      <c r="U5747">
        <f>IF(G5747=1,P5747*Assumptions!$B$13,Assumptions!$B$30)</f>
        <v/>
      </c>
      <c r="V5747">
        <f>IF(H5747=1,P5747*Assumptions!$B$12,Assumptions!$B$29)</f>
        <v/>
      </c>
      <c r="W5747">
        <f>IF(I5747=1,P5747*Assumptions!$B$11,Assumptions!$B$28)</f>
        <v/>
      </c>
      <c r="X5747">
        <f>P5747*($O$532+$S$532)</f>
        <v/>
      </c>
      <c r="Y5747">
        <f>P5747*Assumptions!$B$9</f>
        <v/>
      </c>
      <c r="Z5747">
        <f>IF(M5747=1,(P5747-Assumptions!$B$37)*Assumptions!$B$153,0)</f>
        <v/>
      </c>
      <c r="AA5747">
        <f>Q5747+R5747+S5747+T5747+U5747+V5747+W5747+X5747+Y5747+Z5747</f>
        <v/>
      </c>
      <c r="AB5747" t="n">
        <v>107</v>
      </c>
      <c r="AC5747" t="n">
        <v>43</v>
      </c>
      <c r="AD5747" t="n">
        <v>75</v>
      </c>
      <c r="AE5747" t="n">
        <v>123</v>
      </c>
      <c r="AF5747" t="n">
        <v>99</v>
      </c>
      <c r="AG5747" t="n">
        <v>111</v>
      </c>
      <c r="AH5747" t="n">
        <v>105</v>
      </c>
      <c r="AI5747" t="n">
        <v>106</v>
      </c>
      <c r="AJ5747">
        <f>INDEX($Q$5640:$Q$5767,AC5747+1)</f>
        <v/>
      </c>
      <c r="AK5747">
        <f>INDEX($R$5640:$R$5767,AD5747+1)</f>
        <v/>
      </c>
      <c r="AL5747">
        <f>INDEX($S$5640:$S$5767,AE5747+1)</f>
        <v/>
      </c>
      <c r="AM5747">
        <f>INDEX($T$5640:$T$5767,AF5747+1)</f>
        <v/>
      </c>
      <c r="AN5747">
        <f>INDEX($U$5640:$U$5767,AG5747+1)</f>
        <v/>
      </c>
      <c r="AO5747">
        <f>INDEX($V$5640:$V$5767,AH5747+1)</f>
        <v/>
      </c>
      <c r="AP5747">
        <f>INDEX($W$5640:$W$5767,AI5747+1)</f>
        <v/>
      </c>
      <c r="AQ5747">
        <f>IF(Q5747&gt;=AJ5747-0.01,1,0)</f>
        <v/>
      </c>
      <c r="AR5747">
        <f>IF(R5747&gt;=AK5747-0.01,1,0)</f>
        <v/>
      </c>
      <c r="AS5747">
        <f>IF(S5747&gt;=AL5747-0.01,1,0)</f>
        <v/>
      </c>
      <c r="AT5747">
        <f>IF(T5747&gt;=AM5747-0.01,1,0)</f>
        <v/>
      </c>
      <c r="AU5747">
        <f>IF(U5747&gt;=AN5747-0.01,1,0)</f>
        <v/>
      </c>
      <c r="AV5747">
        <f>IF(V5747&gt;=AO5747-0.01,1,0)</f>
        <v/>
      </c>
      <c r="AW5747">
        <f>IF(W5747&gt;=AP5747-0.01,1,0)</f>
        <v/>
      </c>
      <c r="AX5747">
        <f>AQ5747*AR5747*AS5747*AT5747*AU5747*AV5747*AW5747</f>
        <v/>
      </c>
    </row>
    <row r="5748">
      <c r="A5748" t="inlineStr"/>
      <c r="B5748">
        <f>Assumptions!$B$60</f>
        <v/>
      </c>
      <c r="C5748" t="n">
        <v>1</v>
      </c>
      <c r="D5748" t="n">
        <v>1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>
        <f>(1-C5748)*Assumptions!$B$41+(1-D5748)*Assumptions!$B$33+(1-E5748)*Assumptions!$B$32+(1-F5748)*Assumptions!$B$31+(1-G5748)*Assumptions!$B$30+(1-H5748)*Assumptions!$B$29+(1-I5748)*Assumptions!$B$28</f>
        <v/>
      </c>
      <c r="K5748">
        <f>C5748*$J$532+D5748*$F$532+E5748*$G$532+F5748*Assumptions!$B$14+G5748*Assumptions!$B$13+H5748*Assumptions!$B$12+I5748*Assumptions!$B$11+$O$532+$S$532+Assumptions!$B$9</f>
        <v/>
      </c>
      <c r="L5748">
        <f>B5748-J5748</f>
        <v/>
      </c>
      <c r="M5748">
        <f>IF(K5748&gt;0,IF(L5748/K5748&gt;=Assumptions!$B$37,1,0),0)</f>
        <v/>
      </c>
      <c r="N5748">
        <f>K5748+M5748*Assumptions!$B$153</f>
        <v/>
      </c>
      <c r="O5748">
        <f>L5748+M5748*Assumptions!$B$153*Assumptions!$B$37</f>
        <v/>
      </c>
      <c r="P5748">
        <f>IF(N5748&gt;0,O5748/N5748,0)</f>
        <v/>
      </c>
      <c r="Q5748">
        <f>IF(C5748=1,P5748*$J$532,Assumptions!$B$41)</f>
        <v/>
      </c>
      <c r="R5748">
        <f>IF(D5748=1,P5748*$F$532,Assumptions!$B$33)</f>
        <v/>
      </c>
      <c r="S5748">
        <f>IF(E5748=1,P5748*$G$532,Assumptions!$B$32)</f>
        <v/>
      </c>
      <c r="T5748">
        <f>IF(F5748=1,P5748*Assumptions!$B$14,Assumptions!$B$31)</f>
        <v/>
      </c>
      <c r="U5748">
        <f>IF(G5748=1,P5748*Assumptions!$B$13,Assumptions!$B$30)</f>
        <v/>
      </c>
      <c r="V5748">
        <f>IF(H5748=1,P5748*Assumptions!$B$12,Assumptions!$B$29)</f>
        <v/>
      </c>
      <c r="W5748">
        <f>IF(I5748=1,P5748*Assumptions!$B$11,Assumptions!$B$28)</f>
        <v/>
      </c>
      <c r="X5748">
        <f>P5748*($O$532+$S$532)</f>
        <v/>
      </c>
      <c r="Y5748">
        <f>P5748*Assumptions!$B$9</f>
        <v/>
      </c>
      <c r="Z5748">
        <f>IF(M5748=1,(P5748-Assumptions!$B$37)*Assumptions!$B$153,0)</f>
        <v/>
      </c>
      <c r="AA5748">
        <f>Q5748+R5748+S5748+T5748+U5748+V5748+W5748+X5748+Y5748+Z5748</f>
        <v/>
      </c>
      <c r="AB5748" t="n">
        <v>108</v>
      </c>
      <c r="AC5748" t="n">
        <v>44</v>
      </c>
      <c r="AD5748" t="n">
        <v>76</v>
      </c>
      <c r="AE5748" t="n">
        <v>124</v>
      </c>
      <c r="AF5748" t="n">
        <v>100</v>
      </c>
      <c r="AG5748" t="n">
        <v>104</v>
      </c>
      <c r="AH5748" t="n">
        <v>110</v>
      </c>
      <c r="AI5748" t="n">
        <v>109</v>
      </c>
      <c r="AJ5748">
        <f>INDEX($Q$5640:$Q$5767,AC5748+1)</f>
        <v/>
      </c>
      <c r="AK5748">
        <f>INDEX($R$5640:$R$5767,AD5748+1)</f>
        <v/>
      </c>
      <c r="AL5748">
        <f>INDEX($S$5640:$S$5767,AE5748+1)</f>
        <v/>
      </c>
      <c r="AM5748">
        <f>INDEX($T$5640:$T$5767,AF5748+1)</f>
        <v/>
      </c>
      <c r="AN5748">
        <f>INDEX($U$5640:$U$5767,AG5748+1)</f>
        <v/>
      </c>
      <c r="AO5748">
        <f>INDEX($V$5640:$V$5767,AH5748+1)</f>
        <v/>
      </c>
      <c r="AP5748">
        <f>INDEX($W$5640:$W$5767,AI5748+1)</f>
        <v/>
      </c>
      <c r="AQ5748">
        <f>IF(Q5748&gt;=AJ5748-0.01,1,0)</f>
        <v/>
      </c>
      <c r="AR5748">
        <f>IF(R5748&gt;=AK5748-0.01,1,0)</f>
        <v/>
      </c>
      <c r="AS5748">
        <f>IF(S5748&gt;=AL5748-0.01,1,0)</f>
        <v/>
      </c>
      <c r="AT5748">
        <f>IF(T5748&gt;=AM5748-0.01,1,0)</f>
        <v/>
      </c>
      <c r="AU5748">
        <f>IF(U5748&gt;=AN5748-0.01,1,0)</f>
        <v/>
      </c>
      <c r="AV5748">
        <f>IF(V5748&gt;=AO5748-0.01,1,0)</f>
        <v/>
      </c>
      <c r="AW5748">
        <f>IF(W5748&gt;=AP5748-0.01,1,0)</f>
        <v/>
      </c>
      <c r="AX5748">
        <f>AQ5748*AR5748*AS5748*AT5748*AU5748*AV5748*AW5748</f>
        <v/>
      </c>
    </row>
    <row r="5749">
      <c r="A5749" t="inlineStr"/>
      <c r="B5749">
        <f>Assumptions!$B$60</f>
        <v/>
      </c>
      <c r="C5749" t="n">
        <v>1</v>
      </c>
      <c r="D5749" t="n">
        <v>1</v>
      </c>
      <c r="E5749" t="n">
        <v>0</v>
      </c>
      <c r="F5749" t="n">
        <v>1</v>
      </c>
      <c r="G5749" t="n">
        <v>1</v>
      </c>
      <c r="H5749" t="n">
        <v>0</v>
      </c>
      <c r="I5749" t="n">
        <v>1</v>
      </c>
      <c r="J5749">
        <f>(1-C5749)*Assumptions!$B$41+(1-D5749)*Assumptions!$B$33+(1-E5749)*Assumptions!$B$32+(1-F5749)*Assumptions!$B$31+(1-G5749)*Assumptions!$B$30+(1-H5749)*Assumptions!$B$29+(1-I5749)*Assumptions!$B$28</f>
        <v/>
      </c>
      <c r="K5749">
        <f>C5749*$J$532+D5749*$F$532+E5749*$G$532+F5749*Assumptions!$B$14+G5749*Assumptions!$B$13+H5749*Assumptions!$B$12+I5749*Assumptions!$B$11+$O$532+$S$532+Assumptions!$B$9</f>
        <v/>
      </c>
      <c r="L5749">
        <f>B5749-J5749</f>
        <v/>
      </c>
      <c r="M5749">
        <f>IF(K5749&gt;0,IF(L5749/K5749&gt;=Assumptions!$B$37,1,0),0)</f>
        <v/>
      </c>
      <c r="N5749">
        <f>K5749+M5749*Assumptions!$B$153</f>
        <v/>
      </c>
      <c r="O5749">
        <f>L5749+M5749*Assumptions!$B$153*Assumptions!$B$37</f>
        <v/>
      </c>
      <c r="P5749">
        <f>IF(N5749&gt;0,O5749/N5749,0)</f>
        <v/>
      </c>
      <c r="Q5749">
        <f>IF(C5749=1,P5749*$J$532,Assumptions!$B$41)</f>
        <v/>
      </c>
      <c r="R5749">
        <f>IF(D5749=1,P5749*$F$532,Assumptions!$B$33)</f>
        <v/>
      </c>
      <c r="S5749">
        <f>IF(E5749=1,P5749*$G$532,Assumptions!$B$32)</f>
        <v/>
      </c>
      <c r="T5749">
        <f>IF(F5749=1,P5749*Assumptions!$B$14,Assumptions!$B$31)</f>
        <v/>
      </c>
      <c r="U5749">
        <f>IF(G5749=1,P5749*Assumptions!$B$13,Assumptions!$B$30)</f>
        <v/>
      </c>
      <c r="V5749">
        <f>IF(H5749=1,P5749*Assumptions!$B$12,Assumptions!$B$29)</f>
        <v/>
      </c>
      <c r="W5749">
        <f>IF(I5749=1,P5749*Assumptions!$B$11,Assumptions!$B$28)</f>
        <v/>
      </c>
      <c r="X5749">
        <f>P5749*($O$532+$S$532)</f>
        <v/>
      </c>
      <c r="Y5749">
        <f>P5749*Assumptions!$B$9</f>
        <v/>
      </c>
      <c r="Z5749">
        <f>IF(M5749=1,(P5749-Assumptions!$B$37)*Assumptions!$B$153,0)</f>
        <v/>
      </c>
      <c r="AA5749">
        <f>Q5749+R5749+S5749+T5749+U5749+V5749+W5749+X5749+Y5749+Z5749</f>
        <v/>
      </c>
      <c r="AB5749" t="n">
        <v>109</v>
      </c>
      <c r="AC5749" t="n">
        <v>45</v>
      </c>
      <c r="AD5749" t="n">
        <v>77</v>
      </c>
      <c r="AE5749" t="n">
        <v>125</v>
      </c>
      <c r="AF5749" t="n">
        <v>101</v>
      </c>
      <c r="AG5749" t="n">
        <v>105</v>
      </c>
      <c r="AH5749" t="n">
        <v>111</v>
      </c>
      <c r="AI5749" t="n">
        <v>108</v>
      </c>
      <c r="AJ5749">
        <f>INDEX($Q$5640:$Q$5767,AC5749+1)</f>
        <v/>
      </c>
      <c r="AK5749">
        <f>INDEX($R$5640:$R$5767,AD5749+1)</f>
        <v/>
      </c>
      <c r="AL5749">
        <f>INDEX($S$5640:$S$5767,AE5749+1)</f>
        <v/>
      </c>
      <c r="AM5749">
        <f>INDEX($T$5640:$T$5767,AF5749+1)</f>
        <v/>
      </c>
      <c r="AN5749">
        <f>INDEX($U$5640:$U$5767,AG5749+1)</f>
        <v/>
      </c>
      <c r="AO5749">
        <f>INDEX($V$5640:$V$5767,AH5749+1)</f>
        <v/>
      </c>
      <c r="AP5749">
        <f>INDEX($W$5640:$W$5767,AI5749+1)</f>
        <v/>
      </c>
      <c r="AQ5749">
        <f>IF(Q5749&gt;=AJ5749-0.01,1,0)</f>
        <v/>
      </c>
      <c r="AR5749">
        <f>IF(R5749&gt;=AK5749-0.01,1,0)</f>
        <v/>
      </c>
      <c r="AS5749">
        <f>IF(S5749&gt;=AL5749-0.01,1,0)</f>
        <v/>
      </c>
      <c r="AT5749">
        <f>IF(T5749&gt;=AM5749-0.01,1,0)</f>
        <v/>
      </c>
      <c r="AU5749">
        <f>IF(U5749&gt;=AN5749-0.01,1,0)</f>
        <v/>
      </c>
      <c r="AV5749">
        <f>IF(V5749&gt;=AO5749-0.01,1,0)</f>
        <v/>
      </c>
      <c r="AW5749">
        <f>IF(W5749&gt;=AP5749-0.01,1,0)</f>
        <v/>
      </c>
      <c r="AX5749">
        <f>AQ5749*AR5749*AS5749*AT5749*AU5749*AV5749*AW5749</f>
        <v/>
      </c>
    </row>
    <row r="5750">
      <c r="A5750" t="inlineStr"/>
      <c r="B5750">
        <f>Assumptions!$B$60</f>
        <v/>
      </c>
      <c r="C5750" t="n">
        <v>1</v>
      </c>
      <c r="D5750" t="n">
        <v>1</v>
      </c>
      <c r="E5750" t="n">
        <v>0</v>
      </c>
      <c r="F5750" t="n">
        <v>1</v>
      </c>
      <c r="G5750" t="n">
        <v>1</v>
      </c>
      <c r="H5750" t="n">
        <v>1</v>
      </c>
      <c r="I5750" t="n">
        <v>0</v>
      </c>
      <c r="J5750">
        <f>(1-C5750)*Assumptions!$B$41+(1-D5750)*Assumptions!$B$33+(1-E5750)*Assumptions!$B$32+(1-F5750)*Assumptions!$B$31+(1-G5750)*Assumptions!$B$30+(1-H5750)*Assumptions!$B$29+(1-I5750)*Assumptions!$B$28</f>
        <v/>
      </c>
      <c r="K5750">
        <f>C5750*$J$532+D5750*$F$532+E5750*$G$532+F5750*Assumptions!$B$14+G5750*Assumptions!$B$13+H5750*Assumptions!$B$12+I5750*Assumptions!$B$11+$O$532+$S$532+Assumptions!$B$9</f>
        <v/>
      </c>
      <c r="L5750">
        <f>B5750-J5750</f>
        <v/>
      </c>
      <c r="M5750">
        <f>IF(K5750&gt;0,IF(L5750/K5750&gt;=Assumptions!$B$37,1,0),0)</f>
        <v/>
      </c>
      <c r="N5750">
        <f>K5750+M5750*Assumptions!$B$153</f>
        <v/>
      </c>
      <c r="O5750">
        <f>L5750+M5750*Assumptions!$B$153*Assumptions!$B$37</f>
        <v/>
      </c>
      <c r="P5750">
        <f>IF(N5750&gt;0,O5750/N5750,0)</f>
        <v/>
      </c>
      <c r="Q5750">
        <f>IF(C5750=1,P5750*$J$532,Assumptions!$B$41)</f>
        <v/>
      </c>
      <c r="R5750">
        <f>IF(D5750=1,P5750*$F$532,Assumptions!$B$33)</f>
        <v/>
      </c>
      <c r="S5750">
        <f>IF(E5750=1,P5750*$G$532,Assumptions!$B$32)</f>
        <v/>
      </c>
      <c r="T5750">
        <f>IF(F5750=1,P5750*Assumptions!$B$14,Assumptions!$B$31)</f>
        <v/>
      </c>
      <c r="U5750">
        <f>IF(G5750=1,P5750*Assumptions!$B$13,Assumptions!$B$30)</f>
        <v/>
      </c>
      <c r="V5750">
        <f>IF(H5750=1,P5750*Assumptions!$B$12,Assumptions!$B$29)</f>
        <v/>
      </c>
      <c r="W5750">
        <f>IF(I5750=1,P5750*Assumptions!$B$11,Assumptions!$B$28)</f>
        <v/>
      </c>
      <c r="X5750">
        <f>P5750*($O$532+$S$532)</f>
        <v/>
      </c>
      <c r="Y5750">
        <f>P5750*Assumptions!$B$9</f>
        <v/>
      </c>
      <c r="Z5750">
        <f>IF(M5750=1,(P5750-Assumptions!$B$37)*Assumptions!$B$153,0)</f>
        <v/>
      </c>
      <c r="AA5750">
        <f>Q5750+R5750+S5750+T5750+U5750+V5750+W5750+X5750+Y5750+Z5750</f>
        <v/>
      </c>
      <c r="AB5750" t="n">
        <v>110</v>
      </c>
      <c r="AC5750" t="n">
        <v>46</v>
      </c>
      <c r="AD5750" t="n">
        <v>78</v>
      </c>
      <c r="AE5750" t="n">
        <v>126</v>
      </c>
      <c r="AF5750" t="n">
        <v>102</v>
      </c>
      <c r="AG5750" t="n">
        <v>106</v>
      </c>
      <c r="AH5750" t="n">
        <v>108</v>
      </c>
      <c r="AI5750" t="n">
        <v>111</v>
      </c>
      <c r="AJ5750">
        <f>INDEX($Q$5640:$Q$5767,AC5750+1)</f>
        <v/>
      </c>
      <c r="AK5750">
        <f>INDEX($R$5640:$R$5767,AD5750+1)</f>
        <v/>
      </c>
      <c r="AL5750">
        <f>INDEX($S$5640:$S$5767,AE5750+1)</f>
        <v/>
      </c>
      <c r="AM5750">
        <f>INDEX($T$5640:$T$5767,AF5750+1)</f>
        <v/>
      </c>
      <c r="AN5750">
        <f>INDEX($U$5640:$U$5767,AG5750+1)</f>
        <v/>
      </c>
      <c r="AO5750">
        <f>INDEX($V$5640:$V$5767,AH5750+1)</f>
        <v/>
      </c>
      <c r="AP5750">
        <f>INDEX($W$5640:$W$5767,AI5750+1)</f>
        <v/>
      </c>
      <c r="AQ5750">
        <f>IF(Q5750&gt;=AJ5750-0.01,1,0)</f>
        <v/>
      </c>
      <c r="AR5750">
        <f>IF(R5750&gt;=AK5750-0.01,1,0)</f>
        <v/>
      </c>
      <c r="AS5750">
        <f>IF(S5750&gt;=AL5750-0.01,1,0)</f>
        <v/>
      </c>
      <c r="AT5750">
        <f>IF(T5750&gt;=AM5750-0.01,1,0)</f>
        <v/>
      </c>
      <c r="AU5750">
        <f>IF(U5750&gt;=AN5750-0.01,1,0)</f>
        <v/>
      </c>
      <c r="AV5750">
        <f>IF(V5750&gt;=AO5750-0.01,1,0)</f>
        <v/>
      </c>
      <c r="AW5750">
        <f>IF(W5750&gt;=AP5750-0.01,1,0)</f>
        <v/>
      </c>
      <c r="AX5750">
        <f>AQ5750*AR5750*AS5750*AT5750*AU5750*AV5750*AW5750</f>
        <v/>
      </c>
    </row>
    <row r="5751">
      <c r="A5751" t="inlineStr"/>
      <c r="B5751">
        <f>Assumptions!$B$60</f>
        <v/>
      </c>
      <c r="C5751" t="n">
        <v>1</v>
      </c>
      <c r="D5751" t="n">
        <v>1</v>
      </c>
      <c r="E5751" t="n">
        <v>0</v>
      </c>
      <c r="F5751" t="n">
        <v>1</v>
      </c>
      <c r="G5751" t="n">
        <v>1</v>
      </c>
      <c r="H5751" t="n">
        <v>1</v>
      </c>
      <c r="I5751" t="n">
        <v>1</v>
      </c>
      <c r="J5751">
        <f>(1-C5751)*Assumptions!$B$41+(1-D5751)*Assumptions!$B$33+(1-E5751)*Assumptions!$B$32+(1-F5751)*Assumptions!$B$31+(1-G5751)*Assumptions!$B$30+(1-H5751)*Assumptions!$B$29+(1-I5751)*Assumptions!$B$28</f>
        <v/>
      </c>
      <c r="K5751">
        <f>C5751*$J$532+D5751*$F$532+E5751*$G$532+F5751*Assumptions!$B$14+G5751*Assumptions!$B$13+H5751*Assumptions!$B$12+I5751*Assumptions!$B$11+$O$532+$S$532+Assumptions!$B$9</f>
        <v/>
      </c>
      <c r="L5751">
        <f>B5751-J5751</f>
        <v/>
      </c>
      <c r="M5751">
        <f>IF(K5751&gt;0,IF(L5751/K5751&gt;=Assumptions!$B$37,1,0),0)</f>
        <v/>
      </c>
      <c r="N5751">
        <f>K5751+M5751*Assumptions!$B$153</f>
        <v/>
      </c>
      <c r="O5751">
        <f>L5751+M5751*Assumptions!$B$153*Assumptions!$B$37</f>
        <v/>
      </c>
      <c r="P5751">
        <f>IF(N5751&gt;0,O5751/N5751,0)</f>
        <v/>
      </c>
      <c r="Q5751">
        <f>IF(C5751=1,P5751*$J$532,Assumptions!$B$41)</f>
        <v/>
      </c>
      <c r="R5751">
        <f>IF(D5751=1,P5751*$F$532,Assumptions!$B$33)</f>
        <v/>
      </c>
      <c r="S5751">
        <f>IF(E5751=1,P5751*$G$532,Assumptions!$B$32)</f>
        <v/>
      </c>
      <c r="T5751">
        <f>IF(F5751=1,P5751*Assumptions!$B$14,Assumptions!$B$31)</f>
        <v/>
      </c>
      <c r="U5751">
        <f>IF(G5751=1,P5751*Assumptions!$B$13,Assumptions!$B$30)</f>
        <v/>
      </c>
      <c r="V5751">
        <f>IF(H5751=1,P5751*Assumptions!$B$12,Assumptions!$B$29)</f>
        <v/>
      </c>
      <c r="W5751">
        <f>IF(I5751=1,P5751*Assumptions!$B$11,Assumptions!$B$28)</f>
        <v/>
      </c>
      <c r="X5751">
        <f>P5751*($O$532+$S$532)</f>
        <v/>
      </c>
      <c r="Y5751">
        <f>P5751*Assumptions!$B$9</f>
        <v/>
      </c>
      <c r="Z5751">
        <f>IF(M5751=1,(P5751-Assumptions!$B$37)*Assumptions!$B$153,0)</f>
        <v/>
      </c>
      <c r="AA5751">
        <f>Q5751+R5751+S5751+T5751+U5751+V5751+W5751+X5751+Y5751+Z5751</f>
        <v/>
      </c>
      <c r="AB5751" t="n">
        <v>111</v>
      </c>
      <c r="AC5751" t="n">
        <v>47</v>
      </c>
      <c r="AD5751" t="n">
        <v>79</v>
      </c>
      <c r="AE5751" t="n">
        <v>127</v>
      </c>
      <c r="AF5751" t="n">
        <v>103</v>
      </c>
      <c r="AG5751" t="n">
        <v>107</v>
      </c>
      <c r="AH5751" t="n">
        <v>109</v>
      </c>
      <c r="AI5751" t="n">
        <v>110</v>
      </c>
      <c r="AJ5751">
        <f>INDEX($Q$5640:$Q$5767,AC5751+1)</f>
        <v/>
      </c>
      <c r="AK5751">
        <f>INDEX($R$5640:$R$5767,AD5751+1)</f>
        <v/>
      </c>
      <c r="AL5751">
        <f>INDEX($S$5640:$S$5767,AE5751+1)</f>
        <v/>
      </c>
      <c r="AM5751">
        <f>INDEX($T$5640:$T$5767,AF5751+1)</f>
        <v/>
      </c>
      <c r="AN5751">
        <f>INDEX($U$5640:$U$5767,AG5751+1)</f>
        <v/>
      </c>
      <c r="AO5751">
        <f>INDEX($V$5640:$V$5767,AH5751+1)</f>
        <v/>
      </c>
      <c r="AP5751">
        <f>INDEX($W$5640:$W$5767,AI5751+1)</f>
        <v/>
      </c>
      <c r="AQ5751">
        <f>IF(Q5751&gt;=AJ5751-0.01,1,0)</f>
        <v/>
      </c>
      <c r="AR5751">
        <f>IF(R5751&gt;=AK5751-0.01,1,0)</f>
        <v/>
      </c>
      <c r="AS5751">
        <f>IF(S5751&gt;=AL5751-0.01,1,0)</f>
        <v/>
      </c>
      <c r="AT5751">
        <f>IF(T5751&gt;=AM5751-0.01,1,0)</f>
        <v/>
      </c>
      <c r="AU5751">
        <f>IF(U5751&gt;=AN5751-0.01,1,0)</f>
        <v/>
      </c>
      <c r="AV5751">
        <f>IF(V5751&gt;=AO5751-0.01,1,0)</f>
        <v/>
      </c>
      <c r="AW5751">
        <f>IF(W5751&gt;=AP5751-0.01,1,0)</f>
        <v/>
      </c>
      <c r="AX5751">
        <f>AQ5751*AR5751*AS5751*AT5751*AU5751*AV5751*AW5751</f>
        <v/>
      </c>
    </row>
    <row r="5752">
      <c r="A5752" t="inlineStr"/>
      <c r="B5752">
        <f>Assumptions!$B$60</f>
        <v/>
      </c>
      <c r="C5752" t="n">
        <v>1</v>
      </c>
      <c r="D5752" t="n">
        <v>1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>
        <f>(1-C5752)*Assumptions!$B$41+(1-D5752)*Assumptions!$B$33+(1-E5752)*Assumptions!$B$32+(1-F5752)*Assumptions!$B$31+(1-G5752)*Assumptions!$B$30+(1-H5752)*Assumptions!$B$29+(1-I5752)*Assumptions!$B$28</f>
        <v/>
      </c>
      <c r="K5752">
        <f>C5752*$J$532+D5752*$F$532+E5752*$G$532+F5752*Assumptions!$B$14+G5752*Assumptions!$B$13+H5752*Assumptions!$B$12+I5752*Assumptions!$B$11+$O$532+$S$532+Assumptions!$B$9</f>
        <v/>
      </c>
      <c r="L5752">
        <f>B5752-J5752</f>
        <v/>
      </c>
      <c r="M5752">
        <f>IF(K5752&gt;0,IF(L5752/K5752&gt;=Assumptions!$B$37,1,0),0)</f>
        <v/>
      </c>
      <c r="N5752">
        <f>K5752+M5752*Assumptions!$B$153</f>
        <v/>
      </c>
      <c r="O5752">
        <f>L5752+M5752*Assumptions!$B$153*Assumptions!$B$37</f>
        <v/>
      </c>
      <c r="P5752">
        <f>IF(N5752&gt;0,O5752/N5752,0)</f>
        <v/>
      </c>
      <c r="Q5752">
        <f>IF(C5752=1,P5752*$J$532,Assumptions!$B$41)</f>
        <v/>
      </c>
      <c r="R5752">
        <f>IF(D5752=1,P5752*$F$532,Assumptions!$B$33)</f>
        <v/>
      </c>
      <c r="S5752">
        <f>IF(E5752=1,P5752*$G$532,Assumptions!$B$32)</f>
        <v/>
      </c>
      <c r="T5752">
        <f>IF(F5752=1,P5752*Assumptions!$B$14,Assumptions!$B$31)</f>
        <v/>
      </c>
      <c r="U5752">
        <f>IF(G5752=1,P5752*Assumptions!$B$13,Assumptions!$B$30)</f>
        <v/>
      </c>
      <c r="V5752">
        <f>IF(H5752=1,P5752*Assumptions!$B$12,Assumptions!$B$29)</f>
        <v/>
      </c>
      <c r="W5752">
        <f>IF(I5752=1,P5752*Assumptions!$B$11,Assumptions!$B$28)</f>
        <v/>
      </c>
      <c r="X5752">
        <f>P5752*($O$532+$S$532)</f>
        <v/>
      </c>
      <c r="Y5752">
        <f>P5752*Assumptions!$B$9</f>
        <v/>
      </c>
      <c r="Z5752">
        <f>IF(M5752=1,(P5752-Assumptions!$B$37)*Assumptions!$B$153,0)</f>
        <v/>
      </c>
      <c r="AA5752">
        <f>Q5752+R5752+S5752+T5752+U5752+V5752+W5752+X5752+Y5752+Z5752</f>
        <v/>
      </c>
      <c r="AB5752" t="n">
        <v>112</v>
      </c>
      <c r="AC5752" t="n">
        <v>48</v>
      </c>
      <c r="AD5752" t="n">
        <v>80</v>
      </c>
      <c r="AE5752" t="n">
        <v>96</v>
      </c>
      <c r="AF5752" t="n">
        <v>120</v>
      </c>
      <c r="AG5752" t="n">
        <v>116</v>
      </c>
      <c r="AH5752" t="n">
        <v>114</v>
      </c>
      <c r="AI5752" t="n">
        <v>113</v>
      </c>
      <c r="AJ5752">
        <f>INDEX($Q$5640:$Q$5767,AC5752+1)</f>
        <v/>
      </c>
      <c r="AK5752">
        <f>INDEX($R$5640:$R$5767,AD5752+1)</f>
        <v/>
      </c>
      <c r="AL5752">
        <f>INDEX($S$5640:$S$5767,AE5752+1)</f>
        <v/>
      </c>
      <c r="AM5752">
        <f>INDEX($T$5640:$T$5767,AF5752+1)</f>
        <v/>
      </c>
      <c r="AN5752">
        <f>INDEX($U$5640:$U$5767,AG5752+1)</f>
        <v/>
      </c>
      <c r="AO5752">
        <f>INDEX($V$5640:$V$5767,AH5752+1)</f>
        <v/>
      </c>
      <c r="AP5752">
        <f>INDEX($W$5640:$W$5767,AI5752+1)</f>
        <v/>
      </c>
      <c r="AQ5752">
        <f>IF(Q5752&gt;=AJ5752-0.01,1,0)</f>
        <v/>
      </c>
      <c r="AR5752">
        <f>IF(R5752&gt;=AK5752-0.01,1,0)</f>
        <v/>
      </c>
      <c r="AS5752">
        <f>IF(S5752&gt;=AL5752-0.01,1,0)</f>
        <v/>
      </c>
      <c r="AT5752">
        <f>IF(T5752&gt;=AM5752-0.01,1,0)</f>
        <v/>
      </c>
      <c r="AU5752">
        <f>IF(U5752&gt;=AN5752-0.01,1,0)</f>
        <v/>
      </c>
      <c r="AV5752">
        <f>IF(V5752&gt;=AO5752-0.01,1,0)</f>
        <v/>
      </c>
      <c r="AW5752">
        <f>IF(W5752&gt;=AP5752-0.01,1,0)</f>
        <v/>
      </c>
      <c r="AX5752">
        <f>AQ5752*AR5752*AS5752*AT5752*AU5752*AV5752*AW5752</f>
        <v/>
      </c>
    </row>
    <row r="5753">
      <c r="A5753" t="inlineStr"/>
      <c r="B5753">
        <f>Assumptions!$B$60</f>
        <v/>
      </c>
      <c r="C5753" t="n">
        <v>1</v>
      </c>
      <c r="D5753" t="n">
        <v>1</v>
      </c>
      <c r="E5753" t="n">
        <v>1</v>
      </c>
      <c r="F5753" t="n">
        <v>0</v>
      </c>
      <c r="G5753" t="n">
        <v>0</v>
      </c>
      <c r="H5753" t="n">
        <v>0</v>
      </c>
      <c r="I5753" t="n">
        <v>1</v>
      </c>
      <c r="J5753">
        <f>(1-C5753)*Assumptions!$B$41+(1-D5753)*Assumptions!$B$33+(1-E5753)*Assumptions!$B$32+(1-F5753)*Assumptions!$B$31+(1-G5753)*Assumptions!$B$30+(1-H5753)*Assumptions!$B$29+(1-I5753)*Assumptions!$B$28</f>
        <v/>
      </c>
      <c r="K5753">
        <f>C5753*$J$532+D5753*$F$532+E5753*$G$532+F5753*Assumptions!$B$14+G5753*Assumptions!$B$13+H5753*Assumptions!$B$12+I5753*Assumptions!$B$11+$O$532+$S$532+Assumptions!$B$9</f>
        <v/>
      </c>
      <c r="L5753">
        <f>B5753-J5753</f>
        <v/>
      </c>
      <c r="M5753">
        <f>IF(K5753&gt;0,IF(L5753/K5753&gt;=Assumptions!$B$37,1,0),0)</f>
        <v/>
      </c>
      <c r="N5753">
        <f>K5753+M5753*Assumptions!$B$153</f>
        <v/>
      </c>
      <c r="O5753">
        <f>L5753+M5753*Assumptions!$B$153*Assumptions!$B$37</f>
        <v/>
      </c>
      <c r="P5753">
        <f>IF(N5753&gt;0,O5753/N5753,0)</f>
        <v/>
      </c>
      <c r="Q5753">
        <f>IF(C5753=1,P5753*$J$532,Assumptions!$B$41)</f>
        <v/>
      </c>
      <c r="R5753">
        <f>IF(D5753=1,P5753*$F$532,Assumptions!$B$33)</f>
        <v/>
      </c>
      <c r="S5753">
        <f>IF(E5753=1,P5753*$G$532,Assumptions!$B$32)</f>
        <v/>
      </c>
      <c r="T5753">
        <f>IF(F5753=1,P5753*Assumptions!$B$14,Assumptions!$B$31)</f>
        <v/>
      </c>
      <c r="U5753">
        <f>IF(G5753=1,P5753*Assumptions!$B$13,Assumptions!$B$30)</f>
        <v/>
      </c>
      <c r="V5753">
        <f>IF(H5753=1,P5753*Assumptions!$B$12,Assumptions!$B$29)</f>
        <v/>
      </c>
      <c r="W5753">
        <f>IF(I5753=1,P5753*Assumptions!$B$11,Assumptions!$B$28)</f>
        <v/>
      </c>
      <c r="X5753">
        <f>P5753*($O$532+$S$532)</f>
        <v/>
      </c>
      <c r="Y5753">
        <f>P5753*Assumptions!$B$9</f>
        <v/>
      </c>
      <c r="Z5753">
        <f>IF(M5753=1,(P5753-Assumptions!$B$37)*Assumptions!$B$153,0)</f>
        <v/>
      </c>
      <c r="AA5753">
        <f>Q5753+R5753+S5753+T5753+U5753+V5753+W5753+X5753+Y5753+Z5753</f>
        <v/>
      </c>
      <c r="AB5753" t="n">
        <v>113</v>
      </c>
      <c r="AC5753" t="n">
        <v>49</v>
      </c>
      <c r="AD5753" t="n">
        <v>81</v>
      </c>
      <c r="AE5753" t="n">
        <v>97</v>
      </c>
      <c r="AF5753" t="n">
        <v>121</v>
      </c>
      <c r="AG5753" t="n">
        <v>117</v>
      </c>
      <c r="AH5753" t="n">
        <v>115</v>
      </c>
      <c r="AI5753" t="n">
        <v>112</v>
      </c>
      <c r="AJ5753">
        <f>INDEX($Q$5640:$Q$5767,AC5753+1)</f>
        <v/>
      </c>
      <c r="AK5753">
        <f>INDEX($R$5640:$R$5767,AD5753+1)</f>
        <v/>
      </c>
      <c r="AL5753">
        <f>INDEX($S$5640:$S$5767,AE5753+1)</f>
        <v/>
      </c>
      <c r="AM5753">
        <f>INDEX($T$5640:$T$5767,AF5753+1)</f>
        <v/>
      </c>
      <c r="AN5753">
        <f>INDEX($U$5640:$U$5767,AG5753+1)</f>
        <v/>
      </c>
      <c r="AO5753">
        <f>INDEX($V$5640:$V$5767,AH5753+1)</f>
        <v/>
      </c>
      <c r="AP5753">
        <f>INDEX($W$5640:$W$5767,AI5753+1)</f>
        <v/>
      </c>
      <c r="AQ5753">
        <f>IF(Q5753&gt;=AJ5753-0.01,1,0)</f>
        <v/>
      </c>
      <c r="AR5753">
        <f>IF(R5753&gt;=AK5753-0.01,1,0)</f>
        <v/>
      </c>
      <c r="AS5753">
        <f>IF(S5753&gt;=AL5753-0.01,1,0)</f>
        <v/>
      </c>
      <c r="AT5753">
        <f>IF(T5753&gt;=AM5753-0.01,1,0)</f>
        <v/>
      </c>
      <c r="AU5753">
        <f>IF(U5753&gt;=AN5753-0.01,1,0)</f>
        <v/>
      </c>
      <c r="AV5753">
        <f>IF(V5753&gt;=AO5753-0.01,1,0)</f>
        <v/>
      </c>
      <c r="AW5753">
        <f>IF(W5753&gt;=AP5753-0.01,1,0)</f>
        <v/>
      </c>
      <c r="AX5753">
        <f>AQ5753*AR5753*AS5753*AT5753*AU5753*AV5753*AW5753</f>
        <v/>
      </c>
    </row>
    <row r="5754">
      <c r="A5754" t="inlineStr"/>
      <c r="B5754">
        <f>Assumptions!$B$60</f>
        <v/>
      </c>
      <c r="C5754" t="n">
        <v>1</v>
      </c>
      <c r="D5754" t="n">
        <v>1</v>
      </c>
      <c r="E5754" t="n">
        <v>1</v>
      </c>
      <c r="F5754" t="n">
        <v>0</v>
      </c>
      <c r="G5754" t="n">
        <v>0</v>
      </c>
      <c r="H5754" t="n">
        <v>1</v>
      </c>
      <c r="I5754" t="n">
        <v>0</v>
      </c>
      <c r="J5754">
        <f>(1-C5754)*Assumptions!$B$41+(1-D5754)*Assumptions!$B$33+(1-E5754)*Assumptions!$B$32+(1-F5754)*Assumptions!$B$31+(1-G5754)*Assumptions!$B$30+(1-H5754)*Assumptions!$B$29+(1-I5754)*Assumptions!$B$28</f>
        <v/>
      </c>
      <c r="K5754">
        <f>C5754*$J$532+D5754*$F$532+E5754*$G$532+F5754*Assumptions!$B$14+G5754*Assumptions!$B$13+H5754*Assumptions!$B$12+I5754*Assumptions!$B$11+$O$532+$S$532+Assumptions!$B$9</f>
        <v/>
      </c>
      <c r="L5754">
        <f>B5754-J5754</f>
        <v/>
      </c>
      <c r="M5754">
        <f>IF(K5754&gt;0,IF(L5754/K5754&gt;=Assumptions!$B$37,1,0),0)</f>
        <v/>
      </c>
      <c r="N5754">
        <f>K5754+M5754*Assumptions!$B$153</f>
        <v/>
      </c>
      <c r="O5754">
        <f>L5754+M5754*Assumptions!$B$153*Assumptions!$B$37</f>
        <v/>
      </c>
      <c r="P5754">
        <f>IF(N5754&gt;0,O5754/N5754,0)</f>
        <v/>
      </c>
      <c r="Q5754">
        <f>IF(C5754=1,P5754*$J$532,Assumptions!$B$41)</f>
        <v/>
      </c>
      <c r="R5754">
        <f>IF(D5754=1,P5754*$F$532,Assumptions!$B$33)</f>
        <v/>
      </c>
      <c r="S5754">
        <f>IF(E5754=1,P5754*$G$532,Assumptions!$B$32)</f>
        <v/>
      </c>
      <c r="T5754">
        <f>IF(F5754=1,P5754*Assumptions!$B$14,Assumptions!$B$31)</f>
        <v/>
      </c>
      <c r="U5754">
        <f>IF(G5754=1,P5754*Assumptions!$B$13,Assumptions!$B$30)</f>
        <v/>
      </c>
      <c r="V5754">
        <f>IF(H5754=1,P5754*Assumptions!$B$12,Assumptions!$B$29)</f>
        <v/>
      </c>
      <c r="W5754">
        <f>IF(I5754=1,P5754*Assumptions!$B$11,Assumptions!$B$28)</f>
        <v/>
      </c>
      <c r="X5754">
        <f>P5754*($O$532+$S$532)</f>
        <v/>
      </c>
      <c r="Y5754">
        <f>P5754*Assumptions!$B$9</f>
        <v/>
      </c>
      <c r="Z5754">
        <f>IF(M5754=1,(P5754-Assumptions!$B$37)*Assumptions!$B$153,0)</f>
        <v/>
      </c>
      <c r="AA5754">
        <f>Q5754+R5754+S5754+T5754+U5754+V5754+W5754+X5754+Y5754+Z5754</f>
        <v/>
      </c>
      <c r="AB5754" t="n">
        <v>114</v>
      </c>
      <c r="AC5754" t="n">
        <v>50</v>
      </c>
      <c r="AD5754" t="n">
        <v>82</v>
      </c>
      <c r="AE5754" t="n">
        <v>98</v>
      </c>
      <c r="AF5754" t="n">
        <v>122</v>
      </c>
      <c r="AG5754" t="n">
        <v>118</v>
      </c>
      <c r="AH5754" t="n">
        <v>112</v>
      </c>
      <c r="AI5754" t="n">
        <v>115</v>
      </c>
      <c r="AJ5754">
        <f>INDEX($Q$5640:$Q$5767,AC5754+1)</f>
        <v/>
      </c>
      <c r="AK5754">
        <f>INDEX($R$5640:$R$5767,AD5754+1)</f>
        <v/>
      </c>
      <c r="AL5754">
        <f>INDEX($S$5640:$S$5767,AE5754+1)</f>
        <v/>
      </c>
      <c r="AM5754">
        <f>INDEX($T$5640:$T$5767,AF5754+1)</f>
        <v/>
      </c>
      <c r="AN5754">
        <f>INDEX($U$5640:$U$5767,AG5754+1)</f>
        <v/>
      </c>
      <c r="AO5754">
        <f>INDEX($V$5640:$V$5767,AH5754+1)</f>
        <v/>
      </c>
      <c r="AP5754">
        <f>INDEX($W$5640:$W$5767,AI5754+1)</f>
        <v/>
      </c>
      <c r="AQ5754">
        <f>IF(Q5754&gt;=AJ5754-0.01,1,0)</f>
        <v/>
      </c>
      <c r="AR5754">
        <f>IF(R5754&gt;=AK5754-0.01,1,0)</f>
        <v/>
      </c>
      <c r="AS5754">
        <f>IF(S5754&gt;=AL5754-0.01,1,0)</f>
        <v/>
      </c>
      <c r="AT5754">
        <f>IF(T5754&gt;=AM5754-0.01,1,0)</f>
        <v/>
      </c>
      <c r="AU5754">
        <f>IF(U5754&gt;=AN5754-0.01,1,0)</f>
        <v/>
      </c>
      <c r="AV5754">
        <f>IF(V5754&gt;=AO5754-0.01,1,0)</f>
        <v/>
      </c>
      <c r="AW5754">
        <f>IF(W5754&gt;=AP5754-0.01,1,0)</f>
        <v/>
      </c>
      <c r="AX5754">
        <f>AQ5754*AR5754*AS5754*AT5754*AU5754*AV5754*AW5754</f>
        <v/>
      </c>
    </row>
    <row r="5755">
      <c r="A5755" t="inlineStr"/>
      <c r="B5755">
        <f>Assumptions!$B$60</f>
        <v/>
      </c>
      <c r="C5755" t="n">
        <v>1</v>
      </c>
      <c r="D5755" t="n">
        <v>1</v>
      </c>
      <c r="E5755" t="n">
        <v>1</v>
      </c>
      <c r="F5755" t="n">
        <v>0</v>
      </c>
      <c r="G5755" t="n">
        <v>0</v>
      </c>
      <c r="H5755" t="n">
        <v>1</v>
      </c>
      <c r="I5755" t="n">
        <v>1</v>
      </c>
      <c r="J5755">
        <f>(1-C5755)*Assumptions!$B$41+(1-D5755)*Assumptions!$B$33+(1-E5755)*Assumptions!$B$32+(1-F5755)*Assumptions!$B$31+(1-G5755)*Assumptions!$B$30+(1-H5755)*Assumptions!$B$29+(1-I5755)*Assumptions!$B$28</f>
        <v/>
      </c>
      <c r="K5755">
        <f>C5755*$J$532+D5755*$F$532+E5755*$G$532+F5755*Assumptions!$B$14+G5755*Assumptions!$B$13+H5755*Assumptions!$B$12+I5755*Assumptions!$B$11+$O$532+$S$532+Assumptions!$B$9</f>
        <v/>
      </c>
      <c r="L5755">
        <f>B5755-J5755</f>
        <v/>
      </c>
      <c r="M5755">
        <f>IF(K5755&gt;0,IF(L5755/K5755&gt;=Assumptions!$B$37,1,0),0)</f>
        <v/>
      </c>
      <c r="N5755">
        <f>K5755+M5755*Assumptions!$B$153</f>
        <v/>
      </c>
      <c r="O5755">
        <f>L5755+M5755*Assumptions!$B$153*Assumptions!$B$37</f>
        <v/>
      </c>
      <c r="P5755">
        <f>IF(N5755&gt;0,O5755/N5755,0)</f>
        <v/>
      </c>
      <c r="Q5755">
        <f>IF(C5755=1,P5755*$J$532,Assumptions!$B$41)</f>
        <v/>
      </c>
      <c r="R5755">
        <f>IF(D5755=1,P5755*$F$532,Assumptions!$B$33)</f>
        <v/>
      </c>
      <c r="S5755">
        <f>IF(E5755=1,P5755*$G$532,Assumptions!$B$32)</f>
        <v/>
      </c>
      <c r="T5755">
        <f>IF(F5755=1,P5755*Assumptions!$B$14,Assumptions!$B$31)</f>
        <v/>
      </c>
      <c r="U5755">
        <f>IF(G5755=1,P5755*Assumptions!$B$13,Assumptions!$B$30)</f>
        <v/>
      </c>
      <c r="V5755">
        <f>IF(H5755=1,P5755*Assumptions!$B$12,Assumptions!$B$29)</f>
        <v/>
      </c>
      <c r="W5755">
        <f>IF(I5755=1,P5755*Assumptions!$B$11,Assumptions!$B$28)</f>
        <v/>
      </c>
      <c r="X5755">
        <f>P5755*($O$532+$S$532)</f>
        <v/>
      </c>
      <c r="Y5755">
        <f>P5755*Assumptions!$B$9</f>
        <v/>
      </c>
      <c r="Z5755">
        <f>IF(M5755=1,(P5755-Assumptions!$B$37)*Assumptions!$B$153,0)</f>
        <v/>
      </c>
      <c r="AA5755">
        <f>Q5755+R5755+S5755+T5755+U5755+V5755+W5755+X5755+Y5755+Z5755</f>
        <v/>
      </c>
      <c r="AB5755" t="n">
        <v>115</v>
      </c>
      <c r="AC5755" t="n">
        <v>51</v>
      </c>
      <c r="AD5755" t="n">
        <v>83</v>
      </c>
      <c r="AE5755" t="n">
        <v>99</v>
      </c>
      <c r="AF5755" t="n">
        <v>123</v>
      </c>
      <c r="AG5755" t="n">
        <v>119</v>
      </c>
      <c r="AH5755" t="n">
        <v>113</v>
      </c>
      <c r="AI5755" t="n">
        <v>114</v>
      </c>
      <c r="AJ5755">
        <f>INDEX($Q$5640:$Q$5767,AC5755+1)</f>
        <v/>
      </c>
      <c r="AK5755">
        <f>INDEX($R$5640:$R$5767,AD5755+1)</f>
        <v/>
      </c>
      <c r="AL5755">
        <f>INDEX($S$5640:$S$5767,AE5755+1)</f>
        <v/>
      </c>
      <c r="AM5755">
        <f>INDEX($T$5640:$T$5767,AF5755+1)</f>
        <v/>
      </c>
      <c r="AN5755">
        <f>INDEX($U$5640:$U$5767,AG5755+1)</f>
        <v/>
      </c>
      <c r="AO5755">
        <f>INDEX($V$5640:$V$5767,AH5755+1)</f>
        <v/>
      </c>
      <c r="AP5755">
        <f>INDEX($W$5640:$W$5767,AI5755+1)</f>
        <v/>
      </c>
      <c r="AQ5755">
        <f>IF(Q5755&gt;=AJ5755-0.01,1,0)</f>
        <v/>
      </c>
      <c r="AR5755">
        <f>IF(R5755&gt;=AK5755-0.01,1,0)</f>
        <v/>
      </c>
      <c r="AS5755">
        <f>IF(S5755&gt;=AL5755-0.01,1,0)</f>
        <v/>
      </c>
      <c r="AT5755">
        <f>IF(T5755&gt;=AM5755-0.01,1,0)</f>
        <v/>
      </c>
      <c r="AU5755">
        <f>IF(U5755&gt;=AN5755-0.01,1,0)</f>
        <v/>
      </c>
      <c r="AV5755">
        <f>IF(V5755&gt;=AO5755-0.01,1,0)</f>
        <v/>
      </c>
      <c r="AW5755">
        <f>IF(W5755&gt;=AP5755-0.01,1,0)</f>
        <v/>
      </c>
      <c r="AX5755">
        <f>AQ5755*AR5755*AS5755*AT5755*AU5755*AV5755*AW5755</f>
        <v/>
      </c>
    </row>
    <row r="5756">
      <c r="A5756" t="inlineStr"/>
      <c r="B5756">
        <f>Assumptions!$B$60</f>
        <v/>
      </c>
      <c r="C5756" t="n">
        <v>1</v>
      </c>
      <c r="D5756" t="n">
        <v>1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>
        <f>(1-C5756)*Assumptions!$B$41+(1-D5756)*Assumptions!$B$33+(1-E5756)*Assumptions!$B$32+(1-F5756)*Assumptions!$B$31+(1-G5756)*Assumptions!$B$30+(1-H5756)*Assumptions!$B$29+(1-I5756)*Assumptions!$B$28</f>
        <v/>
      </c>
      <c r="K5756">
        <f>C5756*$J$532+D5756*$F$532+E5756*$G$532+F5756*Assumptions!$B$14+G5756*Assumptions!$B$13+H5756*Assumptions!$B$12+I5756*Assumptions!$B$11+$O$532+$S$532+Assumptions!$B$9</f>
        <v/>
      </c>
      <c r="L5756">
        <f>B5756-J5756</f>
        <v/>
      </c>
      <c r="M5756">
        <f>IF(K5756&gt;0,IF(L5756/K5756&gt;=Assumptions!$B$37,1,0),0)</f>
        <v/>
      </c>
      <c r="N5756">
        <f>K5756+M5756*Assumptions!$B$153</f>
        <v/>
      </c>
      <c r="O5756">
        <f>L5756+M5756*Assumptions!$B$153*Assumptions!$B$37</f>
        <v/>
      </c>
      <c r="P5756">
        <f>IF(N5756&gt;0,O5756/N5756,0)</f>
        <v/>
      </c>
      <c r="Q5756">
        <f>IF(C5756=1,P5756*$J$532,Assumptions!$B$41)</f>
        <v/>
      </c>
      <c r="R5756">
        <f>IF(D5756=1,P5756*$F$532,Assumptions!$B$33)</f>
        <v/>
      </c>
      <c r="S5756">
        <f>IF(E5756=1,P5756*$G$532,Assumptions!$B$32)</f>
        <v/>
      </c>
      <c r="T5756">
        <f>IF(F5756=1,P5756*Assumptions!$B$14,Assumptions!$B$31)</f>
        <v/>
      </c>
      <c r="U5756">
        <f>IF(G5756=1,P5756*Assumptions!$B$13,Assumptions!$B$30)</f>
        <v/>
      </c>
      <c r="V5756">
        <f>IF(H5756=1,P5756*Assumptions!$B$12,Assumptions!$B$29)</f>
        <v/>
      </c>
      <c r="W5756">
        <f>IF(I5756=1,P5756*Assumptions!$B$11,Assumptions!$B$28)</f>
        <v/>
      </c>
      <c r="X5756">
        <f>P5756*($O$532+$S$532)</f>
        <v/>
      </c>
      <c r="Y5756">
        <f>P5756*Assumptions!$B$9</f>
        <v/>
      </c>
      <c r="Z5756">
        <f>IF(M5756=1,(P5756-Assumptions!$B$37)*Assumptions!$B$153,0)</f>
        <v/>
      </c>
      <c r="AA5756">
        <f>Q5756+R5756+S5756+T5756+U5756+V5756+W5756+X5756+Y5756+Z5756</f>
        <v/>
      </c>
      <c r="AB5756" t="n">
        <v>116</v>
      </c>
      <c r="AC5756" t="n">
        <v>52</v>
      </c>
      <c r="AD5756" t="n">
        <v>84</v>
      </c>
      <c r="AE5756" t="n">
        <v>100</v>
      </c>
      <c r="AF5756" t="n">
        <v>124</v>
      </c>
      <c r="AG5756" t="n">
        <v>112</v>
      </c>
      <c r="AH5756" t="n">
        <v>118</v>
      </c>
      <c r="AI5756" t="n">
        <v>117</v>
      </c>
      <c r="AJ5756">
        <f>INDEX($Q$5640:$Q$5767,AC5756+1)</f>
        <v/>
      </c>
      <c r="AK5756">
        <f>INDEX($R$5640:$R$5767,AD5756+1)</f>
        <v/>
      </c>
      <c r="AL5756">
        <f>INDEX($S$5640:$S$5767,AE5756+1)</f>
        <v/>
      </c>
      <c r="AM5756">
        <f>INDEX($T$5640:$T$5767,AF5756+1)</f>
        <v/>
      </c>
      <c r="AN5756">
        <f>INDEX($U$5640:$U$5767,AG5756+1)</f>
        <v/>
      </c>
      <c r="AO5756">
        <f>INDEX($V$5640:$V$5767,AH5756+1)</f>
        <v/>
      </c>
      <c r="AP5756">
        <f>INDEX($W$5640:$W$5767,AI5756+1)</f>
        <v/>
      </c>
      <c r="AQ5756">
        <f>IF(Q5756&gt;=AJ5756-0.01,1,0)</f>
        <v/>
      </c>
      <c r="AR5756">
        <f>IF(R5756&gt;=AK5756-0.01,1,0)</f>
        <v/>
      </c>
      <c r="AS5756">
        <f>IF(S5756&gt;=AL5756-0.01,1,0)</f>
        <v/>
      </c>
      <c r="AT5756">
        <f>IF(T5756&gt;=AM5756-0.01,1,0)</f>
        <v/>
      </c>
      <c r="AU5756">
        <f>IF(U5756&gt;=AN5756-0.01,1,0)</f>
        <v/>
      </c>
      <c r="AV5756">
        <f>IF(V5756&gt;=AO5756-0.01,1,0)</f>
        <v/>
      </c>
      <c r="AW5756">
        <f>IF(W5756&gt;=AP5756-0.01,1,0)</f>
        <v/>
      </c>
      <c r="AX5756">
        <f>AQ5756*AR5756*AS5756*AT5756*AU5756*AV5756*AW5756</f>
        <v/>
      </c>
    </row>
    <row r="5757">
      <c r="A5757" t="inlineStr"/>
      <c r="B5757">
        <f>Assumptions!$B$60</f>
        <v/>
      </c>
      <c r="C5757" t="n">
        <v>1</v>
      </c>
      <c r="D5757" t="n">
        <v>1</v>
      </c>
      <c r="E5757" t="n">
        <v>1</v>
      </c>
      <c r="F5757" t="n">
        <v>0</v>
      </c>
      <c r="G5757" t="n">
        <v>1</v>
      </c>
      <c r="H5757" t="n">
        <v>0</v>
      </c>
      <c r="I5757" t="n">
        <v>1</v>
      </c>
      <c r="J5757">
        <f>(1-C5757)*Assumptions!$B$41+(1-D5757)*Assumptions!$B$33+(1-E5757)*Assumptions!$B$32+(1-F5757)*Assumptions!$B$31+(1-G5757)*Assumptions!$B$30+(1-H5757)*Assumptions!$B$29+(1-I5757)*Assumptions!$B$28</f>
        <v/>
      </c>
      <c r="K5757">
        <f>C5757*$J$532+D5757*$F$532+E5757*$G$532+F5757*Assumptions!$B$14+G5757*Assumptions!$B$13+H5757*Assumptions!$B$12+I5757*Assumptions!$B$11+$O$532+$S$532+Assumptions!$B$9</f>
        <v/>
      </c>
      <c r="L5757">
        <f>B5757-J5757</f>
        <v/>
      </c>
      <c r="M5757">
        <f>IF(K5757&gt;0,IF(L5757/K5757&gt;=Assumptions!$B$37,1,0),0)</f>
        <v/>
      </c>
      <c r="N5757">
        <f>K5757+M5757*Assumptions!$B$153</f>
        <v/>
      </c>
      <c r="O5757">
        <f>L5757+M5757*Assumptions!$B$153*Assumptions!$B$37</f>
        <v/>
      </c>
      <c r="P5757">
        <f>IF(N5757&gt;0,O5757/N5757,0)</f>
        <v/>
      </c>
      <c r="Q5757">
        <f>IF(C5757=1,P5757*$J$532,Assumptions!$B$41)</f>
        <v/>
      </c>
      <c r="R5757">
        <f>IF(D5757=1,P5757*$F$532,Assumptions!$B$33)</f>
        <v/>
      </c>
      <c r="S5757">
        <f>IF(E5757=1,P5757*$G$532,Assumptions!$B$32)</f>
        <v/>
      </c>
      <c r="T5757">
        <f>IF(F5757=1,P5757*Assumptions!$B$14,Assumptions!$B$31)</f>
        <v/>
      </c>
      <c r="U5757">
        <f>IF(G5757=1,P5757*Assumptions!$B$13,Assumptions!$B$30)</f>
        <v/>
      </c>
      <c r="V5757">
        <f>IF(H5757=1,P5757*Assumptions!$B$12,Assumptions!$B$29)</f>
        <v/>
      </c>
      <c r="W5757">
        <f>IF(I5757=1,P5757*Assumptions!$B$11,Assumptions!$B$28)</f>
        <v/>
      </c>
      <c r="X5757">
        <f>P5757*($O$532+$S$532)</f>
        <v/>
      </c>
      <c r="Y5757">
        <f>P5757*Assumptions!$B$9</f>
        <v/>
      </c>
      <c r="Z5757">
        <f>IF(M5757=1,(P5757-Assumptions!$B$37)*Assumptions!$B$153,0)</f>
        <v/>
      </c>
      <c r="AA5757">
        <f>Q5757+R5757+S5757+T5757+U5757+V5757+W5757+X5757+Y5757+Z5757</f>
        <v/>
      </c>
      <c r="AB5757" t="n">
        <v>117</v>
      </c>
      <c r="AC5757" t="n">
        <v>53</v>
      </c>
      <c r="AD5757" t="n">
        <v>85</v>
      </c>
      <c r="AE5757" t="n">
        <v>101</v>
      </c>
      <c r="AF5757" t="n">
        <v>125</v>
      </c>
      <c r="AG5757" t="n">
        <v>113</v>
      </c>
      <c r="AH5757" t="n">
        <v>119</v>
      </c>
      <c r="AI5757" t="n">
        <v>116</v>
      </c>
      <c r="AJ5757">
        <f>INDEX($Q$5640:$Q$5767,AC5757+1)</f>
        <v/>
      </c>
      <c r="AK5757">
        <f>INDEX($R$5640:$R$5767,AD5757+1)</f>
        <v/>
      </c>
      <c r="AL5757">
        <f>INDEX($S$5640:$S$5767,AE5757+1)</f>
        <v/>
      </c>
      <c r="AM5757">
        <f>INDEX($T$5640:$T$5767,AF5757+1)</f>
        <v/>
      </c>
      <c r="AN5757">
        <f>INDEX($U$5640:$U$5767,AG5757+1)</f>
        <v/>
      </c>
      <c r="AO5757">
        <f>INDEX($V$5640:$V$5767,AH5757+1)</f>
        <v/>
      </c>
      <c r="AP5757">
        <f>INDEX($W$5640:$W$5767,AI5757+1)</f>
        <v/>
      </c>
      <c r="AQ5757">
        <f>IF(Q5757&gt;=AJ5757-0.01,1,0)</f>
        <v/>
      </c>
      <c r="AR5757">
        <f>IF(R5757&gt;=AK5757-0.01,1,0)</f>
        <v/>
      </c>
      <c r="AS5757">
        <f>IF(S5757&gt;=AL5757-0.01,1,0)</f>
        <v/>
      </c>
      <c r="AT5757">
        <f>IF(T5757&gt;=AM5757-0.01,1,0)</f>
        <v/>
      </c>
      <c r="AU5757">
        <f>IF(U5757&gt;=AN5757-0.01,1,0)</f>
        <v/>
      </c>
      <c r="AV5757">
        <f>IF(V5757&gt;=AO5757-0.01,1,0)</f>
        <v/>
      </c>
      <c r="AW5757">
        <f>IF(W5757&gt;=AP5757-0.01,1,0)</f>
        <v/>
      </c>
      <c r="AX5757">
        <f>AQ5757*AR5757*AS5757*AT5757*AU5757*AV5757*AW5757</f>
        <v/>
      </c>
    </row>
    <row r="5758">
      <c r="A5758" t="inlineStr"/>
      <c r="B5758">
        <f>Assumptions!$B$60</f>
        <v/>
      </c>
      <c r="C5758" t="n">
        <v>1</v>
      </c>
      <c r="D5758" t="n">
        <v>1</v>
      </c>
      <c r="E5758" t="n">
        <v>1</v>
      </c>
      <c r="F5758" t="n">
        <v>0</v>
      </c>
      <c r="G5758" t="n">
        <v>1</v>
      </c>
      <c r="H5758" t="n">
        <v>1</v>
      </c>
      <c r="I5758" t="n">
        <v>0</v>
      </c>
      <c r="J5758">
        <f>(1-C5758)*Assumptions!$B$41+(1-D5758)*Assumptions!$B$33+(1-E5758)*Assumptions!$B$32+(1-F5758)*Assumptions!$B$31+(1-G5758)*Assumptions!$B$30+(1-H5758)*Assumptions!$B$29+(1-I5758)*Assumptions!$B$28</f>
        <v/>
      </c>
      <c r="K5758">
        <f>C5758*$J$532+D5758*$F$532+E5758*$G$532+F5758*Assumptions!$B$14+G5758*Assumptions!$B$13+H5758*Assumptions!$B$12+I5758*Assumptions!$B$11+$O$532+$S$532+Assumptions!$B$9</f>
        <v/>
      </c>
      <c r="L5758">
        <f>B5758-J5758</f>
        <v/>
      </c>
      <c r="M5758">
        <f>IF(K5758&gt;0,IF(L5758/K5758&gt;=Assumptions!$B$37,1,0),0)</f>
        <v/>
      </c>
      <c r="N5758">
        <f>K5758+M5758*Assumptions!$B$153</f>
        <v/>
      </c>
      <c r="O5758">
        <f>L5758+M5758*Assumptions!$B$153*Assumptions!$B$37</f>
        <v/>
      </c>
      <c r="P5758">
        <f>IF(N5758&gt;0,O5758/N5758,0)</f>
        <v/>
      </c>
      <c r="Q5758">
        <f>IF(C5758=1,P5758*$J$532,Assumptions!$B$41)</f>
        <v/>
      </c>
      <c r="R5758">
        <f>IF(D5758=1,P5758*$F$532,Assumptions!$B$33)</f>
        <v/>
      </c>
      <c r="S5758">
        <f>IF(E5758=1,P5758*$G$532,Assumptions!$B$32)</f>
        <v/>
      </c>
      <c r="T5758">
        <f>IF(F5758=1,P5758*Assumptions!$B$14,Assumptions!$B$31)</f>
        <v/>
      </c>
      <c r="U5758">
        <f>IF(G5758=1,P5758*Assumptions!$B$13,Assumptions!$B$30)</f>
        <v/>
      </c>
      <c r="V5758">
        <f>IF(H5758=1,P5758*Assumptions!$B$12,Assumptions!$B$29)</f>
        <v/>
      </c>
      <c r="W5758">
        <f>IF(I5758=1,P5758*Assumptions!$B$11,Assumptions!$B$28)</f>
        <v/>
      </c>
      <c r="X5758">
        <f>P5758*($O$532+$S$532)</f>
        <v/>
      </c>
      <c r="Y5758">
        <f>P5758*Assumptions!$B$9</f>
        <v/>
      </c>
      <c r="Z5758">
        <f>IF(M5758=1,(P5758-Assumptions!$B$37)*Assumptions!$B$153,0)</f>
        <v/>
      </c>
      <c r="AA5758">
        <f>Q5758+R5758+S5758+T5758+U5758+V5758+W5758+X5758+Y5758+Z5758</f>
        <v/>
      </c>
      <c r="AB5758" t="n">
        <v>118</v>
      </c>
      <c r="AC5758" t="n">
        <v>54</v>
      </c>
      <c r="AD5758" t="n">
        <v>86</v>
      </c>
      <c r="AE5758" t="n">
        <v>102</v>
      </c>
      <c r="AF5758" t="n">
        <v>126</v>
      </c>
      <c r="AG5758" t="n">
        <v>114</v>
      </c>
      <c r="AH5758" t="n">
        <v>116</v>
      </c>
      <c r="AI5758" t="n">
        <v>119</v>
      </c>
      <c r="AJ5758">
        <f>INDEX($Q$5640:$Q$5767,AC5758+1)</f>
        <v/>
      </c>
      <c r="AK5758">
        <f>INDEX($R$5640:$R$5767,AD5758+1)</f>
        <v/>
      </c>
      <c r="AL5758">
        <f>INDEX($S$5640:$S$5767,AE5758+1)</f>
        <v/>
      </c>
      <c r="AM5758">
        <f>INDEX($T$5640:$T$5767,AF5758+1)</f>
        <v/>
      </c>
      <c r="AN5758">
        <f>INDEX($U$5640:$U$5767,AG5758+1)</f>
        <v/>
      </c>
      <c r="AO5758">
        <f>INDEX($V$5640:$V$5767,AH5758+1)</f>
        <v/>
      </c>
      <c r="AP5758">
        <f>INDEX($W$5640:$W$5767,AI5758+1)</f>
        <v/>
      </c>
      <c r="AQ5758">
        <f>IF(Q5758&gt;=AJ5758-0.01,1,0)</f>
        <v/>
      </c>
      <c r="AR5758">
        <f>IF(R5758&gt;=AK5758-0.01,1,0)</f>
        <v/>
      </c>
      <c r="AS5758">
        <f>IF(S5758&gt;=AL5758-0.01,1,0)</f>
        <v/>
      </c>
      <c r="AT5758">
        <f>IF(T5758&gt;=AM5758-0.01,1,0)</f>
        <v/>
      </c>
      <c r="AU5758">
        <f>IF(U5758&gt;=AN5758-0.01,1,0)</f>
        <v/>
      </c>
      <c r="AV5758">
        <f>IF(V5758&gt;=AO5758-0.01,1,0)</f>
        <v/>
      </c>
      <c r="AW5758">
        <f>IF(W5758&gt;=AP5758-0.01,1,0)</f>
        <v/>
      </c>
      <c r="AX5758">
        <f>AQ5758*AR5758*AS5758*AT5758*AU5758*AV5758*AW5758</f>
        <v/>
      </c>
    </row>
    <row r="5759">
      <c r="A5759" t="inlineStr"/>
      <c r="B5759">
        <f>Assumptions!$B$60</f>
        <v/>
      </c>
      <c r="C5759" t="n">
        <v>1</v>
      </c>
      <c r="D5759" t="n">
        <v>1</v>
      </c>
      <c r="E5759" t="n">
        <v>1</v>
      </c>
      <c r="F5759" t="n">
        <v>0</v>
      </c>
      <c r="G5759" t="n">
        <v>1</v>
      </c>
      <c r="H5759" t="n">
        <v>1</v>
      </c>
      <c r="I5759" t="n">
        <v>1</v>
      </c>
      <c r="J5759">
        <f>(1-C5759)*Assumptions!$B$41+(1-D5759)*Assumptions!$B$33+(1-E5759)*Assumptions!$B$32+(1-F5759)*Assumptions!$B$31+(1-G5759)*Assumptions!$B$30+(1-H5759)*Assumptions!$B$29+(1-I5759)*Assumptions!$B$28</f>
        <v/>
      </c>
      <c r="K5759">
        <f>C5759*$J$532+D5759*$F$532+E5759*$G$532+F5759*Assumptions!$B$14+G5759*Assumptions!$B$13+H5759*Assumptions!$B$12+I5759*Assumptions!$B$11+$O$532+$S$532+Assumptions!$B$9</f>
        <v/>
      </c>
      <c r="L5759">
        <f>B5759-J5759</f>
        <v/>
      </c>
      <c r="M5759">
        <f>IF(K5759&gt;0,IF(L5759/K5759&gt;=Assumptions!$B$37,1,0),0)</f>
        <v/>
      </c>
      <c r="N5759">
        <f>K5759+M5759*Assumptions!$B$153</f>
        <v/>
      </c>
      <c r="O5759">
        <f>L5759+M5759*Assumptions!$B$153*Assumptions!$B$37</f>
        <v/>
      </c>
      <c r="P5759">
        <f>IF(N5759&gt;0,O5759/N5759,0)</f>
        <v/>
      </c>
      <c r="Q5759">
        <f>IF(C5759=1,P5759*$J$532,Assumptions!$B$41)</f>
        <v/>
      </c>
      <c r="R5759">
        <f>IF(D5759=1,P5759*$F$532,Assumptions!$B$33)</f>
        <v/>
      </c>
      <c r="S5759">
        <f>IF(E5759=1,P5759*$G$532,Assumptions!$B$32)</f>
        <v/>
      </c>
      <c r="T5759">
        <f>IF(F5759=1,P5759*Assumptions!$B$14,Assumptions!$B$31)</f>
        <v/>
      </c>
      <c r="U5759">
        <f>IF(G5759=1,P5759*Assumptions!$B$13,Assumptions!$B$30)</f>
        <v/>
      </c>
      <c r="V5759">
        <f>IF(H5759=1,P5759*Assumptions!$B$12,Assumptions!$B$29)</f>
        <v/>
      </c>
      <c r="W5759">
        <f>IF(I5759=1,P5759*Assumptions!$B$11,Assumptions!$B$28)</f>
        <v/>
      </c>
      <c r="X5759">
        <f>P5759*($O$532+$S$532)</f>
        <v/>
      </c>
      <c r="Y5759">
        <f>P5759*Assumptions!$B$9</f>
        <v/>
      </c>
      <c r="Z5759">
        <f>IF(M5759=1,(P5759-Assumptions!$B$37)*Assumptions!$B$153,0)</f>
        <v/>
      </c>
      <c r="AA5759">
        <f>Q5759+R5759+S5759+T5759+U5759+V5759+W5759+X5759+Y5759+Z5759</f>
        <v/>
      </c>
      <c r="AB5759" t="n">
        <v>119</v>
      </c>
      <c r="AC5759" t="n">
        <v>55</v>
      </c>
      <c r="AD5759" t="n">
        <v>87</v>
      </c>
      <c r="AE5759" t="n">
        <v>103</v>
      </c>
      <c r="AF5759" t="n">
        <v>127</v>
      </c>
      <c r="AG5759" t="n">
        <v>115</v>
      </c>
      <c r="AH5759" t="n">
        <v>117</v>
      </c>
      <c r="AI5759" t="n">
        <v>118</v>
      </c>
      <c r="AJ5759">
        <f>INDEX($Q$5640:$Q$5767,AC5759+1)</f>
        <v/>
      </c>
      <c r="AK5759">
        <f>INDEX($R$5640:$R$5767,AD5759+1)</f>
        <v/>
      </c>
      <c r="AL5759">
        <f>INDEX($S$5640:$S$5767,AE5759+1)</f>
        <v/>
      </c>
      <c r="AM5759">
        <f>INDEX($T$5640:$T$5767,AF5759+1)</f>
        <v/>
      </c>
      <c r="AN5759">
        <f>INDEX($U$5640:$U$5767,AG5759+1)</f>
        <v/>
      </c>
      <c r="AO5759">
        <f>INDEX($V$5640:$V$5767,AH5759+1)</f>
        <v/>
      </c>
      <c r="AP5759">
        <f>INDEX($W$5640:$W$5767,AI5759+1)</f>
        <v/>
      </c>
      <c r="AQ5759">
        <f>IF(Q5759&gt;=AJ5759-0.01,1,0)</f>
        <v/>
      </c>
      <c r="AR5759">
        <f>IF(R5759&gt;=AK5759-0.01,1,0)</f>
        <v/>
      </c>
      <c r="AS5759">
        <f>IF(S5759&gt;=AL5759-0.01,1,0)</f>
        <v/>
      </c>
      <c r="AT5759">
        <f>IF(T5759&gt;=AM5759-0.01,1,0)</f>
        <v/>
      </c>
      <c r="AU5759">
        <f>IF(U5759&gt;=AN5759-0.01,1,0)</f>
        <v/>
      </c>
      <c r="AV5759">
        <f>IF(V5759&gt;=AO5759-0.01,1,0)</f>
        <v/>
      </c>
      <c r="AW5759">
        <f>IF(W5759&gt;=AP5759-0.01,1,0)</f>
        <v/>
      </c>
      <c r="AX5759">
        <f>AQ5759*AR5759*AS5759*AT5759*AU5759*AV5759*AW5759</f>
        <v/>
      </c>
    </row>
    <row r="5760">
      <c r="A5760" t="inlineStr"/>
      <c r="B5760">
        <f>Assumptions!$B$60</f>
        <v/>
      </c>
      <c r="C5760" t="n">
        <v>1</v>
      </c>
      <c r="D5760" t="n">
        <v>1</v>
      </c>
      <c r="E5760" t="n">
        <v>1</v>
      </c>
      <c r="F5760" t="n">
        <v>1</v>
      </c>
      <c r="G5760" t="n">
        <v>0</v>
      </c>
      <c r="H5760" t="n">
        <v>0</v>
      </c>
      <c r="I5760" t="n">
        <v>0</v>
      </c>
      <c r="J5760">
        <f>(1-C5760)*Assumptions!$B$41+(1-D5760)*Assumptions!$B$33+(1-E5760)*Assumptions!$B$32+(1-F5760)*Assumptions!$B$31+(1-G5760)*Assumptions!$B$30+(1-H5760)*Assumptions!$B$29+(1-I5760)*Assumptions!$B$28</f>
        <v/>
      </c>
      <c r="K5760">
        <f>C5760*$J$532+D5760*$F$532+E5760*$G$532+F5760*Assumptions!$B$14+G5760*Assumptions!$B$13+H5760*Assumptions!$B$12+I5760*Assumptions!$B$11+$O$532+$S$532+Assumptions!$B$9</f>
        <v/>
      </c>
      <c r="L5760">
        <f>B5760-J5760</f>
        <v/>
      </c>
      <c r="M5760">
        <f>IF(K5760&gt;0,IF(L5760/K5760&gt;=Assumptions!$B$37,1,0),0)</f>
        <v/>
      </c>
      <c r="N5760">
        <f>K5760+M5760*Assumptions!$B$153</f>
        <v/>
      </c>
      <c r="O5760">
        <f>L5760+M5760*Assumptions!$B$153*Assumptions!$B$37</f>
        <v/>
      </c>
      <c r="P5760">
        <f>IF(N5760&gt;0,O5760/N5760,0)</f>
        <v/>
      </c>
      <c r="Q5760">
        <f>IF(C5760=1,P5760*$J$532,Assumptions!$B$41)</f>
        <v/>
      </c>
      <c r="R5760">
        <f>IF(D5760=1,P5760*$F$532,Assumptions!$B$33)</f>
        <v/>
      </c>
      <c r="S5760">
        <f>IF(E5760=1,P5760*$G$532,Assumptions!$B$32)</f>
        <v/>
      </c>
      <c r="T5760">
        <f>IF(F5760=1,P5760*Assumptions!$B$14,Assumptions!$B$31)</f>
        <v/>
      </c>
      <c r="U5760">
        <f>IF(G5760=1,P5760*Assumptions!$B$13,Assumptions!$B$30)</f>
        <v/>
      </c>
      <c r="V5760">
        <f>IF(H5760=1,P5760*Assumptions!$B$12,Assumptions!$B$29)</f>
        <v/>
      </c>
      <c r="W5760">
        <f>IF(I5760=1,P5760*Assumptions!$B$11,Assumptions!$B$28)</f>
        <v/>
      </c>
      <c r="X5760">
        <f>P5760*($O$532+$S$532)</f>
        <v/>
      </c>
      <c r="Y5760">
        <f>P5760*Assumptions!$B$9</f>
        <v/>
      </c>
      <c r="Z5760">
        <f>IF(M5760=1,(P5760-Assumptions!$B$37)*Assumptions!$B$153,0)</f>
        <v/>
      </c>
      <c r="AA5760">
        <f>Q5760+R5760+S5760+T5760+U5760+V5760+W5760+X5760+Y5760+Z5760</f>
        <v/>
      </c>
      <c r="AB5760" t="n">
        <v>120</v>
      </c>
      <c r="AC5760" t="n">
        <v>56</v>
      </c>
      <c r="AD5760" t="n">
        <v>88</v>
      </c>
      <c r="AE5760" t="n">
        <v>104</v>
      </c>
      <c r="AF5760" t="n">
        <v>112</v>
      </c>
      <c r="AG5760" t="n">
        <v>124</v>
      </c>
      <c r="AH5760" t="n">
        <v>122</v>
      </c>
      <c r="AI5760" t="n">
        <v>121</v>
      </c>
      <c r="AJ5760">
        <f>INDEX($Q$5640:$Q$5767,AC5760+1)</f>
        <v/>
      </c>
      <c r="AK5760">
        <f>INDEX($R$5640:$R$5767,AD5760+1)</f>
        <v/>
      </c>
      <c r="AL5760">
        <f>INDEX($S$5640:$S$5767,AE5760+1)</f>
        <v/>
      </c>
      <c r="AM5760">
        <f>INDEX($T$5640:$T$5767,AF5760+1)</f>
        <v/>
      </c>
      <c r="AN5760">
        <f>INDEX($U$5640:$U$5767,AG5760+1)</f>
        <v/>
      </c>
      <c r="AO5760">
        <f>INDEX($V$5640:$V$5767,AH5760+1)</f>
        <v/>
      </c>
      <c r="AP5760">
        <f>INDEX($W$5640:$W$5767,AI5760+1)</f>
        <v/>
      </c>
      <c r="AQ5760">
        <f>IF(Q5760&gt;=AJ5760-0.01,1,0)</f>
        <v/>
      </c>
      <c r="AR5760">
        <f>IF(R5760&gt;=AK5760-0.01,1,0)</f>
        <v/>
      </c>
      <c r="AS5760">
        <f>IF(S5760&gt;=AL5760-0.01,1,0)</f>
        <v/>
      </c>
      <c r="AT5760">
        <f>IF(T5760&gt;=AM5760-0.01,1,0)</f>
        <v/>
      </c>
      <c r="AU5760">
        <f>IF(U5760&gt;=AN5760-0.01,1,0)</f>
        <v/>
      </c>
      <c r="AV5760">
        <f>IF(V5760&gt;=AO5760-0.01,1,0)</f>
        <v/>
      </c>
      <c r="AW5760">
        <f>IF(W5760&gt;=AP5760-0.01,1,0)</f>
        <v/>
      </c>
      <c r="AX5760">
        <f>AQ5760*AR5760*AS5760*AT5760*AU5760*AV5760*AW5760</f>
        <v/>
      </c>
    </row>
    <row r="5761">
      <c r="A5761" t="inlineStr"/>
      <c r="B5761">
        <f>Assumptions!$B$60</f>
        <v/>
      </c>
      <c r="C5761" t="n">
        <v>1</v>
      </c>
      <c r="D5761" t="n">
        <v>1</v>
      </c>
      <c r="E5761" t="n">
        <v>1</v>
      </c>
      <c r="F5761" t="n">
        <v>1</v>
      </c>
      <c r="G5761" t="n">
        <v>0</v>
      </c>
      <c r="H5761" t="n">
        <v>0</v>
      </c>
      <c r="I5761" t="n">
        <v>1</v>
      </c>
      <c r="J5761">
        <f>(1-C5761)*Assumptions!$B$41+(1-D5761)*Assumptions!$B$33+(1-E5761)*Assumptions!$B$32+(1-F5761)*Assumptions!$B$31+(1-G5761)*Assumptions!$B$30+(1-H5761)*Assumptions!$B$29+(1-I5761)*Assumptions!$B$28</f>
        <v/>
      </c>
      <c r="K5761">
        <f>C5761*$J$532+D5761*$F$532+E5761*$G$532+F5761*Assumptions!$B$14+G5761*Assumptions!$B$13+H5761*Assumptions!$B$12+I5761*Assumptions!$B$11+$O$532+$S$532+Assumptions!$B$9</f>
        <v/>
      </c>
      <c r="L5761">
        <f>B5761-J5761</f>
        <v/>
      </c>
      <c r="M5761">
        <f>IF(K5761&gt;0,IF(L5761/K5761&gt;=Assumptions!$B$37,1,0),0)</f>
        <v/>
      </c>
      <c r="N5761">
        <f>K5761+M5761*Assumptions!$B$153</f>
        <v/>
      </c>
      <c r="O5761">
        <f>L5761+M5761*Assumptions!$B$153*Assumptions!$B$37</f>
        <v/>
      </c>
      <c r="P5761">
        <f>IF(N5761&gt;0,O5761/N5761,0)</f>
        <v/>
      </c>
      <c r="Q5761">
        <f>IF(C5761=1,P5761*$J$532,Assumptions!$B$41)</f>
        <v/>
      </c>
      <c r="R5761">
        <f>IF(D5761=1,P5761*$F$532,Assumptions!$B$33)</f>
        <v/>
      </c>
      <c r="S5761">
        <f>IF(E5761=1,P5761*$G$532,Assumptions!$B$32)</f>
        <v/>
      </c>
      <c r="T5761">
        <f>IF(F5761=1,P5761*Assumptions!$B$14,Assumptions!$B$31)</f>
        <v/>
      </c>
      <c r="U5761">
        <f>IF(G5761=1,P5761*Assumptions!$B$13,Assumptions!$B$30)</f>
        <v/>
      </c>
      <c r="V5761">
        <f>IF(H5761=1,P5761*Assumptions!$B$12,Assumptions!$B$29)</f>
        <v/>
      </c>
      <c r="W5761">
        <f>IF(I5761=1,P5761*Assumptions!$B$11,Assumptions!$B$28)</f>
        <v/>
      </c>
      <c r="X5761">
        <f>P5761*($O$532+$S$532)</f>
        <v/>
      </c>
      <c r="Y5761">
        <f>P5761*Assumptions!$B$9</f>
        <v/>
      </c>
      <c r="Z5761">
        <f>IF(M5761=1,(P5761-Assumptions!$B$37)*Assumptions!$B$153,0)</f>
        <v/>
      </c>
      <c r="AA5761">
        <f>Q5761+R5761+S5761+T5761+U5761+V5761+W5761+X5761+Y5761+Z5761</f>
        <v/>
      </c>
      <c r="AB5761" t="n">
        <v>121</v>
      </c>
      <c r="AC5761" t="n">
        <v>57</v>
      </c>
      <c r="AD5761" t="n">
        <v>89</v>
      </c>
      <c r="AE5761" t="n">
        <v>105</v>
      </c>
      <c r="AF5761" t="n">
        <v>113</v>
      </c>
      <c r="AG5761" t="n">
        <v>125</v>
      </c>
      <c r="AH5761" t="n">
        <v>123</v>
      </c>
      <c r="AI5761" t="n">
        <v>120</v>
      </c>
      <c r="AJ5761">
        <f>INDEX($Q$5640:$Q$5767,AC5761+1)</f>
        <v/>
      </c>
      <c r="AK5761">
        <f>INDEX($R$5640:$R$5767,AD5761+1)</f>
        <v/>
      </c>
      <c r="AL5761">
        <f>INDEX($S$5640:$S$5767,AE5761+1)</f>
        <v/>
      </c>
      <c r="AM5761">
        <f>INDEX($T$5640:$T$5767,AF5761+1)</f>
        <v/>
      </c>
      <c r="AN5761">
        <f>INDEX($U$5640:$U$5767,AG5761+1)</f>
        <v/>
      </c>
      <c r="AO5761">
        <f>INDEX($V$5640:$V$5767,AH5761+1)</f>
        <v/>
      </c>
      <c r="AP5761">
        <f>INDEX($W$5640:$W$5767,AI5761+1)</f>
        <v/>
      </c>
      <c r="AQ5761">
        <f>IF(Q5761&gt;=AJ5761-0.01,1,0)</f>
        <v/>
      </c>
      <c r="AR5761">
        <f>IF(R5761&gt;=AK5761-0.01,1,0)</f>
        <v/>
      </c>
      <c r="AS5761">
        <f>IF(S5761&gt;=AL5761-0.01,1,0)</f>
        <v/>
      </c>
      <c r="AT5761">
        <f>IF(T5761&gt;=AM5761-0.01,1,0)</f>
        <v/>
      </c>
      <c r="AU5761">
        <f>IF(U5761&gt;=AN5761-0.01,1,0)</f>
        <v/>
      </c>
      <c r="AV5761">
        <f>IF(V5761&gt;=AO5761-0.01,1,0)</f>
        <v/>
      </c>
      <c r="AW5761">
        <f>IF(W5761&gt;=AP5761-0.01,1,0)</f>
        <v/>
      </c>
      <c r="AX5761">
        <f>AQ5761*AR5761*AS5761*AT5761*AU5761*AV5761*AW5761</f>
        <v/>
      </c>
    </row>
    <row r="5762">
      <c r="A5762" t="inlineStr"/>
      <c r="B5762">
        <f>Assumptions!$B$60</f>
        <v/>
      </c>
      <c r="C5762" t="n">
        <v>1</v>
      </c>
      <c r="D5762" t="n">
        <v>1</v>
      </c>
      <c r="E5762" t="n">
        <v>1</v>
      </c>
      <c r="F5762" t="n">
        <v>1</v>
      </c>
      <c r="G5762" t="n">
        <v>0</v>
      </c>
      <c r="H5762" t="n">
        <v>1</v>
      </c>
      <c r="I5762" t="n">
        <v>0</v>
      </c>
      <c r="J5762">
        <f>(1-C5762)*Assumptions!$B$41+(1-D5762)*Assumptions!$B$33+(1-E5762)*Assumptions!$B$32+(1-F5762)*Assumptions!$B$31+(1-G5762)*Assumptions!$B$30+(1-H5762)*Assumptions!$B$29+(1-I5762)*Assumptions!$B$28</f>
        <v/>
      </c>
      <c r="K5762">
        <f>C5762*$J$532+D5762*$F$532+E5762*$G$532+F5762*Assumptions!$B$14+G5762*Assumptions!$B$13+H5762*Assumptions!$B$12+I5762*Assumptions!$B$11+$O$532+$S$532+Assumptions!$B$9</f>
        <v/>
      </c>
      <c r="L5762">
        <f>B5762-J5762</f>
        <v/>
      </c>
      <c r="M5762">
        <f>IF(K5762&gt;0,IF(L5762/K5762&gt;=Assumptions!$B$37,1,0),0)</f>
        <v/>
      </c>
      <c r="N5762">
        <f>K5762+M5762*Assumptions!$B$153</f>
        <v/>
      </c>
      <c r="O5762">
        <f>L5762+M5762*Assumptions!$B$153*Assumptions!$B$37</f>
        <v/>
      </c>
      <c r="P5762">
        <f>IF(N5762&gt;0,O5762/N5762,0)</f>
        <v/>
      </c>
      <c r="Q5762">
        <f>IF(C5762=1,P5762*$J$532,Assumptions!$B$41)</f>
        <v/>
      </c>
      <c r="R5762">
        <f>IF(D5762=1,P5762*$F$532,Assumptions!$B$33)</f>
        <v/>
      </c>
      <c r="S5762">
        <f>IF(E5762=1,P5762*$G$532,Assumptions!$B$32)</f>
        <v/>
      </c>
      <c r="T5762">
        <f>IF(F5762=1,P5762*Assumptions!$B$14,Assumptions!$B$31)</f>
        <v/>
      </c>
      <c r="U5762">
        <f>IF(G5762=1,P5762*Assumptions!$B$13,Assumptions!$B$30)</f>
        <v/>
      </c>
      <c r="V5762">
        <f>IF(H5762=1,P5762*Assumptions!$B$12,Assumptions!$B$29)</f>
        <v/>
      </c>
      <c r="W5762">
        <f>IF(I5762=1,P5762*Assumptions!$B$11,Assumptions!$B$28)</f>
        <v/>
      </c>
      <c r="X5762">
        <f>P5762*($O$532+$S$532)</f>
        <v/>
      </c>
      <c r="Y5762">
        <f>P5762*Assumptions!$B$9</f>
        <v/>
      </c>
      <c r="Z5762">
        <f>IF(M5762=1,(P5762-Assumptions!$B$37)*Assumptions!$B$153,0)</f>
        <v/>
      </c>
      <c r="AA5762">
        <f>Q5762+R5762+S5762+T5762+U5762+V5762+W5762+X5762+Y5762+Z5762</f>
        <v/>
      </c>
      <c r="AB5762" t="n">
        <v>122</v>
      </c>
      <c r="AC5762" t="n">
        <v>58</v>
      </c>
      <c r="AD5762" t="n">
        <v>90</v>
      </c>
      <c r="AE5762" t="n">
        <v>106</v>
      </c>
      <c r="AF5762" t="n">
        <v>114</v>
      </c>
      <c r="AG5762" t="n">
        <v>126</v>
      </c>
      <c r="AH5762" t="n">
        <v>120</v>
      </c>
      <c r="AI5762" t="n">
        <v>123</v>
      </c>
      <c r="AJ5762">
        <f>INDEX($Q$5640:$Q$5767,AC5762+1)</f>
        <v/>
      </c>
      <c r="AK5762">
        <f>INDEX($R$5640:$R$5767,AD5762+1)</f>
        <v/>
      </c>
      <c r="AL5762">
        <f>INDEX($S$5640:$S$5767,AE5762+1)</f>
        <v/>
      </c>
      <c r="AM5762">
        <f>INDEX($T$5640:$T$5767,AF5762+1)</f>
        <v/>
      </c>
      <c r="AN5762">
        <f>INDEX($U$5640:$U$5767,AG5762+1)</f>
        <v/>
      </c>
      <c r="AO5762">
        <f>INDEX($V$5640:$V$5767,AH5762+1)</f>
        <v/>
      </c>
      <c r="AP5762">
        <f>INDEX($W$5640:$W$5767,AI5762+1)</f>
        <v/>
      </c>
      <c r="AQ5762">
        <f>IF(Q5762&gt;=AJ5762-0.01,1,0)</f>
        <v/>
      </c>
      <c r="AR5762">
        <f>IF(R5762&gt;=AK5762-0.01,1,0)</f>
        <v/>
      </c>
      <c r="AS5762">
        <f>IF(S5762&gt;=AL5762-0.01,1,0)</f>
        <v/>
      </c>
      <c r="AT5762">
        <f>IF(T5762&gt;=AM5762-0.01,1,0)</f>
        <v/>
      </c>
      <c r="AU5762">
        <f>IF(U5762&gt;=AN5762-0.01,1,0)</f>
        <v/>
      </c>
      <c r="AV5762">
        <f>IF(V5762&gt;=AO5762-0.01,1,0)</f>
        <v/>
      </c>
      <c r="AW5762">
        <f>IF(W5762&gt;=AP5762-0.01,1,0)</f>
        <v/>
      </c>
      <c r="AX5762">
        <f>AQ5762*AR5762*AS5762*AT5762*AU5762*AV5762*AW5762</f>
        <v/>
      </c>
    </row>
    <row r="5763">
      <c r="A5763" t="inlineStr"/>
      <c r="B5763">
        <f>Assumptions!$B$60</f>
        <v/>
      </c>
      <c r="C5763" t="n">
        <v>1</v>
      </c>
      <c r="D5763" t="n">
        <v>1</v>
      </c>
      <c r="E5763" t="n">
        <v>1</v>
      </c>
      <c r="F5763" t="n">
        <v>1</v>
      </c>
      <c r="G5763" t="n">
        <v>0</v>
      </c>
      <c r="H5763" t="n">
        <v>1</v>
      </c>
      <c r="I5763" t="n">
        <v>1</v>
      </c>
      <c r="J5763">
        <f>(1-C5763)*Assumptions!$B$41+(1-D5763)*Assumptions!$B$33+(1-E5763)*Assumptions!$B$32+(1-F5763)*Assumptions!$B$31+(1-G5763)*Assumptions!$B$30+(1-H5763)*Assumptions!$B$29+(1-I5763)*Assumptions!$B$28</f>
        <v/>
      </c>
      <c r="K5763">
        <f>C5763*$J$532+D5763*$F$532+E5763*$G$532+F5763*Assumptions!$B$14+G5763*Assumptions!$B$13+H5763*Assumptions!$B$12+I5763*Assumptions!$B$11+$O$532+$S$532+Assumptions!$B$9</f>
        <v/>
      </c>
      <c r="L5763">
        <f>B5763-J5763</f>
        <v/>
      </c>
      <c r="M5763">
        <f>IF(K5763&gt;0,IF(L5763/K5763&gt;=Assumptions!$B$37,1,0),0)</f>
        <v/>
      </c>
      <c r="N5763">
        <f>K5763+M5763*Assumptions!$B$153</f>
        <v/>
      </c>
      <c r="O5763">
        <f>L5763+M5763*Assumptions!$B$153*Assumptions!$B$37</f>
        <v/>
      </c>
      <c r="P5763">
        <f>IF(N5763&gt;0,O5763/N5763,0)</f>
        <v/>
      </c>
      <c r="Q5763">
        <f>IF(C5763=1,P5763*$J$532,Assumptions!$B$41)</f>
        <v/>
      </c>
      <c r="R5763">
        <f>IF(D5763=1,P5763*$F$532,Assumptions!$B$33)</f>
        <v/>
      </c>
      <c r="S5763">
        <f>IF(E5763=1,P5763*$G$532,Assumptions!$B$32)</f>
        <v/>
      </c>
      <c r="T5763">
        <f>IF(F5763=1,P5763*Assumptions!$B$14,Assumptions!$B$31)</f>
        <v/>
      </c>
      <c r="U5763">
        <f>IF(G5763=1,P5763*Assumptions!$B$13,Assumptions!$B$30)</f>
        <v/>
      </c>
      <c r="V5763">
        <f>IF(H5763=1,P5763*Assumptions!$B$12,Assumptions!$B$29)</f>
        <v/>
      </c>
      <c r="W5763">
        <f>IF(I5763=1,P5763*Assumptions!$B$11,Assumptions!$B$28)</f>
        <v/>
      </c>
      <c r="X5763">
        <f>P5763*($O$532+$S$532)</f>
        <v/>
      </c>
      <c r="Y5763">
        <f>P5763*Assumptions!$B$9</f>
        <v/>
      </c>
      <c r="Z5763">
        <f>IF(M5763=1,(P5763-Assumptions!$B$37)*Assumptions!$B$153,0)</f>
        <v/>
      </c>
      <c r="AA5763">
        <f>Q5763+R5763+S5763+T5763+U5763+V5763+W5763+X5763+Y5763+Z5763</f>
        <v/>
      </c>
      <c r="AB5763" t="n">
        <v>123</v>
      </c>
      <c r="AC5763" t="n">
        <v>59</v>
      </c>
      <c r="AD5763" t="n">
        <v>91</v>
      </c>
      <c r="AE5763" t="n">
        <v>107</v>
      </c>
      <c r="AF5763" t="n">
        <v>115</v>
      </c>
      <c r="AG5763" t="n">
        <v>127</v>
      </c>
      <c r="AH5763" t="n">
        <v>121</v>
      </c>
      <c r="AI5763" t="n">
        <v>122</v>
      </c>
      <c r="AJ5763">
        <f>INDEX($Q$5640:$Q$5767,AC5763+1)</f>
        <v/>
      </c>
      <c r="AK5763">
        <f>INDEX($R$5640:$R$5767,AD5763+1)</f>
        <v/>
      </c>
      <c r="AL5763">
        <f>INDEX($S$5640:$S$5767,AE5763+1)</f>
        <v/>
      </c>
      <c r="AM5763">
        <f>INDEX($T$5640:$T$5767,AF5763+1)</f>
        <v/>
      </c>
      <c r="AN5763">
        <f>INDEX($U$5640:$U$5767,AG5763+1)</f>
        <v/>
      </c>
      <c r="AO5763">
        <f>INDEX($V$5640:$V$5767,AH5763+1)</f>
        <v/>
      </c>
      <c r="AP5763">
        <f>INDEX($W$5640:$W$5767,AI5763+1)</f>
        <v/>
      </c>
      <c r="AQ5763">
        <f>IF(Q5763&gt;=AJ5763-0.01,1,0)</f>
        <v/>
      </c>
      <c r="AR5763">
        <f>IF(R5763&gt;=AK5763-0.01,1,0)</f>
        <v/>
      </c>
      <c r="AS5763">
        <f>IF(S5763&gt;=AL5763-0.01,1,0)</f>
        <v/>
      </c>
      <c r="AT5763">
        <f>IF(T5763&gt;=AM5763-0.01,1,0)</f>
        <v/>
      </c>
      <c r="AU5763">
        <f>IF(U5763&gt;=AN5763-0.01,1,0)</f>
        <v/>
      </c>
      <c r="AV5763">
        <f>IF(V5763&gt;=AO5763-0.01,1,0)</f>
        <v/>
      </c>
      <c r="AW5763">
        <f>IF(W5763&gt;=AP5763-0.01,1,0)</f>
        <v/>
      </c>
      <c r="AX5763">
        <f>AQ5763*AR5763*AS5763*AT5763*AU5763*AV5763*AW5763</f>
        <v/>
      </c>
    </row>
    <row r="5764">
      <c r="A5764" t="inlineStr"/>
      <c r="B5764">
        <f>Assumptions!$B$60</f>
        <v/>
      </c>
      <c r="C5764" t="n">
        <v>1</v>
      </c>
      <c r="D5764" t="n">
        <v>1</v>
      </c>
      <c r="E5764" t="n">
        <v>1</v>
      </c>
      <c r="F5764" t="n">
        <v>1</v>
      </c>
      <c r="G5764" t="n">
        <v>1</v>
      </c>
      <c r="H5764" t="n">
        <v>0</v>
      </c>
      <c r="I5764" t="n">
        <v>0</v>
      </c>
      <c r="J5764">
        <f>(1-C5764)*Assumptions!$B$41+(1-D5764)*Assumptions!$B$33+(1-E5764)*Assumptions!$B$32+(1-F5764)*Assumptions!$B$31+(1-G5764)*Assumptions!$B$30+(1-H5764)*Assumptions!$B$29+(1-I5764)*Assumptions!$B$28</f>
        <v/>
      </c>
      <c r="K5764">
        <f>C5764*$J$532+D5764*$F$532+E5764*$G$532+F5764*Assumptions!$B$14+G5764*Assumptions!$B$13+H5764*Assumptions!$B$12+I5764*Assumptions!$B$11+$O$532+$S$532+Assumptions!$B$9</f>
        <v/>
      </c>
      <c r="L5764">
        <f>B5764-J5764</f>
        <v/>
      </c>
      <c r="M5764">
        <f>IF(K5764&gt;0,IF(L5764/K5764&gt;=Assumptions!$B$37,1,0),0)</f>
        <v/>
      </c>
      <c r="N5764">
        <f>K5764+M5764*Assumptions!$B$153</f>
        <v/>
      </c>
      <c r="O5764">
        <f>L5764+M5764*Assumptions!$B$153*Assumptions!$B$37</f>
        <v/>
      </c>
      <c r="P5764">
        <f>IF(N5764&gt;0,O5764/N5764,0)</f>
        <v/>
      </c>
      <c r="Q5764">
        <f>IF(C5764=1,P5764*$J$532,Assumptions!$B$41)</f>
        <v/>
      </c>
      <c r="R5764">
        <f>IF(D5764=1,P5764*$F$532,Assumptions!$B$33)</f>
        <v/>
      </c>
      <c r="S5764">
        <f>IF(E5764=1,P5764*$G$532,Assumptions!$B$32)</f>
        <v/>
      </c>
      <c r="T5764">
        <f>IF(F5764=1,P5764*Assumptions!$B$14,Assumptions!$B$31)</f>
        <v/>
      </c>
      <c r="U5764">
        <f>IF(G5764=1,P5764*Assumptions!$B$13,Assumptions!$B$30)</f>
        <v/>
      </c>
      <c r="V5764">
        <f>IF(H5764=1,P5764*Assumptions!$B$12,Assumptions!$B$29)</f>
        <v/>
      </c>
      <c r="W5764">
        <f>IF(I5764=1,P5764*Assumptions!$B$11,Assumptions!$B$28)</f>
        <v/>
      </c>
      <c r="X5764">
        <f>P5764*($O$532+$S$532)</f>
        <v/>
      </c>
      <c r="Y5764">
        <f>P5764*Assumptions!$B$9</f>
        <v/>
      </c>
      <c r="Z5764">
        <f>IF(M5764=1,(P5764-Assumptions!$B$37)*Assumptions!$B$153,0)</f>
        <v/>
      </c>
      <c r="AA5764">
        <f>Q5764+R5764+S5764+T5764+U5764+V5764+W5764+X5764+Y5764+Z5764</f>
        <v/>
      </c>
      <c r="AB5764" t="n">
        <v>124</v>
      </c>
      <c r="AC5764" t="n">
        <v>60</v>
      </c>
      <c r="AD5764" t="n">
        <v>92</v>
      </c>
      <c r="AE5764" t="n">
        <v>108</v>
      </c>
      <c r="AF5764" t="n">
        <v>116</v>
      </c>
      <c r="AG5764" t="n">
        <v>120</v>
      </c>
      <c r="AH5764" t="n">
        <v>126</v>
      </c>
      <c r="AI5764" t="n">
        <v>125</v>
      </c>
      <c r="AJ5764">
        <f>INDEX($Q$5640:$Q$5767,AC5764+1)</f>
        <v/>
      </c>
      <c r="AK5764">
        <f>INDEX($R$5640:$R$5767,AD5764+1)</f>
        <v/>
      </c>
      <c r="AL5764">
        <f>INDEX($S$5640:$S$5767,AE5764+1)</f>
        <v/>
      </c>
      <c r="AM5764">
        <f>INDEX($T$5640:$T$5767,AF5764+1)</f>
        <v/>
      </c>
      <c r="AN5764">
        <f>INDEX($U$5640:$U$5767,AG5764+1)</f>
        <v/>
      </c>
      <c r="AO5764">
        <f>INDEX($V$5640:$V$5767,AH5764+1)</f>
        <v/>
      </c>
      <c r="AP5764">
        <f>INDEX($W$5640:$W$5767,AI5764+1)</f>
        <v/>
      </c>
      <c r="AQ5764">
        <f>IF(Q5764&gt;=AJ5764-0.01,1,0)</f>
        <v/>
      </c>
      <c r="AR5764">
        <f>IF(R5764&gt;=AK5764-0.01,1,0)</f>
        <v/>
      </c>
      <c r="AS5764">
        <f>IF(S5764&gt;=AL5764-0.01,1,0)</f>
        <v/>
      </c>
      <c r="AT5764">
        <f>IF(T5764&gt;=AM5764-0.01,1,0)</f>
        <v/>
      </c>
      <c r="AU5764">
        <f>IF(U5764&gt;=AN5764-0.01,1,0)</f>
        <v/>
      </c>
      <c r="AV5764">
        <f>IF(V5764&gt;=AO5764-0.01,1,0)</f>
        <v/>
      </c>
      <c r="AW5764">
        <f>IF(W5764&gt;=AP5764-0.01,1,0)</f>
        <v/>
      </c>
      <c r="AX5764">
        <f>AQ5764*AR5764*AS5764*AT5764*AU5764*AV5764*AW5764</f>
        <v/>
      </c>
    </row>
    <row r="5765">
      <c r="A5765" t="inlineStr"/>
      <c r="B5765">
        <f>Assumptions!$B$60</f>
        <v/>
      </c>
      <c r="C5765" t="n">
        <v>1</v>
      </c>
      <c r="D5765" t="n">
        <v>1</v>
      </c>
      <c r="E5765" t="n">
        <v>1</v>
      </c>
      <c r="F5765" t="n">
        <v>1</v>
      </c>
      <c r="G5765" t="n">
        <v>1</v>
      </c>
      <c r="H5765" t="n">
        <v>0</v>
      </c>
      <c r="I5765" t="n">
        <v>1</v>
      </c>
      <c r="J5765">
        <f>(1-C5765)*Assumptions!$B$41+(1-D5765)*Assumptions!$B$33+(1-E5765)*Assumptions!$B$32+(1-F5765)*Assumptions!$B$31+(1-G5765)*Assumptions!$B$30+(1-H5765)*Assumptions!$B$29+(1-I5765)*Assumptions!$B$28</f>
        <v/>
      </c>
      <c r="K5765">
        <f>C5765*$J$532+D5765*$F$532+E5765*$G$532+F5765*Assumptions!$B$14+G5765*Assumptions!$B$13+H5765*Assumptions!$B$12+I5765*Assumptions!$B$11+$O$532+$S$532+Assumptions!$B$9</f>
        <v/>
      </c>
      <c r="L5765">
        <f>B5765-J5765</f>
        <v/>
      </c>
      <c r="M5765">
        <f>IF(K5765&gt;0,IF(L5765/K5765&gt;=Assumptions!$B$37,1,0),0)</f>
        <v/>
      </c>
      <c r="N5765">
        <f>K5765+M5765*Assumptions!$B$153</f>
        <v/>
      </c>
      <c r="O5765">
        <f>L5765+M5765*Assumptions!$B$153*Assumptions!$B$37</f>
        <v/>
      </c>
      <c r="P5765">
        <f>IF(N5765&gt;0,O5765/N5765,0)</f>
        <v/>
      </c>
      <c r="Q5765">
        <f>IF(C5765=1,P5765*$J$532,Assumptions!$B$41)</f>
        <v/>
      </c>
      <c r="R5765">
        <f>IF(D5765=1,P5765*$F$532,Assumptions!$B$33)</f>
        <v/>
      </c>
      <c r="S5765">
        <f>IF(E5765=1,P5765*$G$532,Assumptions!$B$32)</f>
        <v/>
      </c>
      <c r="T5765">
        <f>IF(F5765=1,P5765*Assumptions!$B$14,Assumptions!$B$31)</f>
        <v/>
      </c>
      <c r="U5765">
        <f>IF(G5765=1,P5765*Assumptions!$B$13,Assumptions!$B$30)</f>
        <v/>
      </c>
      <c r="V5765">
        <f>IF(H5765=1,P5765*Assumptions!$B$12,Assumptions!$B$29)</f>
        <v/>
      </c>
      <c r="W5765">
        <f>IF(I5765=1,P5765*Assumptions!$B$11,Assumptions!$B$28)</f>
        <v/>
      </c>
      <c r="X5765">
        <f>P5765*($O$532+$S$532)</f>
        <v/>
      </c>
      <c r="Y5765">
        <f>P5765*Assumptions!$B$9</f>
        <v/>
      </c>
      <c r="Z5765">
        <f>IF(M5765=1,(P5765-Assumptions!$B$37)*Assumptions!$B$153,0)</f>
        <v/>
      </c>
      <c r="AA5765">
        <f>Q5765+R5765+S5765+T5765+U5765+V5765+W5765+X5765+Y5765+Z5765</f>
        <v/>
      </c>
      <c r="AB5765" t="n">
        <v>125</v>
      </c>
      <c r="AC5765" t="n">
        <v>61</v>
      </c>
      <c r="AD5765" t="n">
        <v>93</v>
      </c>
      <c r="AE5765" t="n">
        <v>109</v>
      </c>
      <c r="AF5765" t="n">
        <v>117</v>
      </c>
      <c r="AG5765" t="n">
        <v>121</v>
      </c>
      <c r="AH5765" t="n">
        <v>127</v>
      </c>
      <c r="AI5765" t="n">
        <v>124</v>
      </c>
      <c r="AJ5765">
        <f>INDEX($Q$5640:$Q$5767,AC5765+1)</f>
        <v/>
      </c>
      <c r="AK5765">
        <f>INDEX($R$5640:$R$5767,AD5765+1)</f>
        <v/>
      </c>
      <c r="AL5765">
        <f>INDEX($S$5640:$S$5767,AE5765+1)</f>
        <v/>
      </c>
      <c r="AM5765">
        <f>INDEX($T$5640:$T$5767,AF5765+1)</f>
        <v/>
      </c>
      <c r="AN5765">
        <f>INDEX($U$5640:$U$5767,AG5765+1)</f>
        <v/>
      </c>
      <c r="AO5765">
        <f>INDEX($V$5640:$V$5767,AH5765+1)</f>
        <v/>
      </c>
      <c r="AP5765">
        <f>INDEX($W$5640:$W$5767,AI5765+1)</f>
        <v/>
      </c>
      <c r="AQ5765">
        <f>IF(Q5765&gt;=AJ5765-0.01,1,0)</f>
        <v/>
      </c>
      <c r="AR5765">
        <f>IF(R5765&gt;=AK5765-0.01,1,0)</f>
        <v/>
      </c>
      <c r="AS5765">
        <f>IF(S5765&gt;=AL5765-0.01,1,0)</f>
        <v/>
      </c>
      <c r="AT5765">
        <f>IF(T5765&gt;=AM5765-0.01,1,0)</f>
        <v/>
      </c>
      <c r="AU5765">
        <f>IF(U5765&gt;=AN5765-0.01,1,0)</f>
        <v/>
      </c>
      <c r="AV5765">
        <f>IF(V5765&gt;=AO5765-0.01,1,0)</f>
        <v/>
      </c>
      <c r="AW5765">
        <f>IF(W5765&gt;=AP5765-0.01,1,0)</f>
        <v/>
      </c>
      <c r="AX5765">
        <f>AQ5765*AR5765*AS5765*AT5765*AU5765*AV5765*AW5765</f>
        <v/>
      </c>
    </row>
    <row r="5766">
      <c r="A5766" t="inlineStr"/>
      <c r="B5766">
        <f>Assumptions!$B$60</f>
        <v/>
      </c>
      <c r="C5766" t="n">
        <v>1</v>
      </c>
      <c r="D5766" t="n">
        <v>1</v>
      </c>
      <c r="E5766" t="n">
        <v>1</v>
      </c>
      <c r="F5766" t="n">
        <v>1</v>
      </c>
      <c r="G5766" t="n">
        <v>1</v>
      </c>
      <c r="H5766" t="n">
        <v>1</v>
      </c>
      <c r="I5766" t="n">
        <v>0</v>
      </c>
      <c r="J5766">
        <f>(1-C5766)*Assumptions!$B$41+(1-D5766)*Assumptions!$B$33+(1-E5766)*Assumptions!$B$32+(1-F5766)*Assumptions!$B$31+(1-G5766)*Assumptions!$B$30+(1-H5766)*Assumptions!$B$29+(1-I5766)*Assumptions!$B$28</f>
        <v/>
      </c>
      <c r="K5766">
        <f>C5766*$J$532+D5766*$F$532+E5766*$G$532+F5766*Assumptions!$B$14+G5766*Assumptions!$B$13+H5766*Assumptions!$B$12+I5766*Assumptions!$B$11+$O$532+$S$532+Assumptions!$B$9</f>
        <v/>
      </c>
      <c r="L5766">
        <f>B5766-J5766</f>
        <v/>
      </c>
      <c r="M5766">
        <f>IF(K5766&gt;0,IF(L5766/K5766&gt;=Assumptions!$B$37,1,0),0)</f>
        <v/>
      </c>
      <c r="N5766">
        <f>K5766+M5766*Assumptions!$B$153</f>
        <v/>
      </c>
      <c r="O5766">
        <f>L5766+M5766*Assumptions!$B$153*Assumptions!$B$37</f>
        <v/>
      </c>
      <c r="P5766">
        <f>IF(N5766&gt;0,O5766/N5766,0)</f>
        <v/>
      </c>
      <c r="Q5766">
        <f>IF(C5766=1,P5766*$J$532,Assumptions!$B$41)</f>
        <v/>
      </c>
      <c r="R5766">
        <f>IF(D5766=1,P5766*$F$532,Assumptions!$B$33)</f>
        <v/>
      </c>
      <c r="S5766">
        <f>IF(E5766=1,P5766*$G$532,Assumptions!$B$32)</f>
        <v/>
      </c>
      <c r="T5766">
        <f>IF(F5766=1,P5766*Assumptions!$B$14,Assumptions!$B$31)</f>
        <v/>
      </c>
      <c r="U5766">
        <f>IF(G5766=1,P5766*Assumptions!$B$13,Assumptions!$B$30)</f>
        <v/>
      </c>
      <c r="V5766">
        <f>IF(H5766=1,P5766*Assumptions!$B$12,Assumptions!$B$29)</f>
        <v/>
      </c>
      <c r="W5766">
        <f>IF(I5766=1,P5766*Assumptions!$B$11,Assumptions!$B$28)</f>
        <v/>
      </c>
      <c r="X5766">
        <f>P5766*($O$532+$S$532)</f>
        <v/>
      </c>
      <c r="Y5766">
        <f>P5766*Assumptions!$B$9</f>
        <v/>
      </c>
      <c r="Z5766">
        <f>IF(M5766=1,(P5766-Assumptions!$B$37)*Assumptions!$B$153,0)</f>
        <v/>
      </c>
      <c r="AA5766">
        <f>Q5766+R5766+S5766+T5766+U5766+V5766+W5766+X5766+Y5766+Z5766</f>
        <v/>
      </c>
      <c r="AB5766" t="n">
        <v>126</v>
      </c>
      <c r="AC5766" t="n">
        <v>62</v>
      </c>
      <c r="AD5766" t="n">
        <v>94</v>
      </c>
      <c r="AE5766" t="n">
        <v>110</v>
      </c>
      <c r="AF5766" t="n">
        <v>118</v>
      </c>
      <c r="AG5766" t="n">
        <v>122</v>
      </c>
      <c r="AH5766" t="n">
        <v>124</v>
      </c>
      <c r="AI5766" t="n">
        <v>127</v>
      </c>
      <c r="AJ5766">
        <f>INDEX($Q$5640:$Q$5767,AC5766+1)</f>
        <v/>
      </c>
      <c r="AK5766">
        <f>INDEX($R$5640:$R$5767,AD5766+1)</f>
        <v/>
      </c>
      <c r="AL5766">
        <f>INDEX($S$5640:$S$5767,AE5766+1)</f>
        <v/>
      </c>
      <c r="AM5766">
        <f>INDEX($T$5640:$T$5767,AF5766+1)</f>
        <v/>
      </c>
      <c r="AN5766">
        <f>INDEX($U$5640:$U$5767,AG5766+1)</f>
        <v/>
      </c>
      <c r="AO5766">
        <f>INDEX($V$5640:$V$5767,AH5766+1)</f>
        <v/>
      </c>
      <c r="AP5766">
        <f>INDEX($W$5640:$W$5767,AI5766+1)</f>
        <v/>
      </c>
      <c r="AQ5766">
        <f>IF(Q5766&gt;=AJ5766-0.01,1,0)</f>
        <v/>
      </c>
      <c r="AR5766">
        <f>IF(R5766&gt;=AK5766-0.01,1,0)</f>
        <v/>
      </c>
      <c r="AS5766">
        <f>IF(S5766&gt;=AL5766-0.01,1,0)</f>
        <v/>
      </c>
      <c r="AT5766">
        <f>IF(T5766&gt;=AM5766-0.01,1,0)</f>
        <v/>
      </c>
      <c r="AU5766">
        <f>IF(U5766&gt;=AN5766-0.01,1,0)</f>
        <v/>
      </c>
      <c r="AV5766">
        <f>IF(V5766&gt;=AO5766-0.01,1,0)</f>
        <v/>
      </c>
      <c r="AW5766">
        <f>IF(W5766&gt;=AP5766-0.01,1,0)</f>
        <v/>
      </c>
      <c r="AX5766">
        <f>AQ5766*AR5766*AS5766*AT5766*AU5766*AV5766*AW5766</f>
        <v/>
      </c>
    </row>
    <row r="5767">
      <c r="A5767" t="inlineStr"/>
      <c r="B5767">
        <f>Assumptions!$B$60</f>
        <v/>
      </c>
      <c r="C5767" t="n">
        <v>1</v>
      </c>
      <c r="D5767" t="n">
        <v>1</v>
      </c>
      <c r="E5767" t="n">
        <v>1</v>
      </c>
      <c r="F5767" t="n">
        <v>1</v>
      </c>
      <c r="G5767" t="n">
        <v>1</v>
      </c>
      <c r="H5767" t="n">
        <v>1</v>
      </c>
      <c r="I5767" t="n">
        <v>1</v>
      </c>
      <c r="J5767">
        <f>(1-C5767)*Assumptions!$B$41+(1-D5767)*Assumptions!$B$33+(1-E5767)*Assumptions!$B$32+(1-F5767)*Assumptions!$B$31+(1-G5767)*Assumptions!$B$30+(1-H5767)*Assumptions!$B$29+(1-I5767)*Assumptions!$B$28</f>
        <v/>
      </c>
      <c r="K5767">
        <f>C5767*$J$532+D5767*$F$532+E5767*$G$532+F5767*Assumptions!$B$14+G5767*Assumptions!$B$13+H5767*Assumptions!$B$12+I5767*Assumptions!$B$11+$O$532+$S$532+Assumptions!$B$9</f>
        <v/>
      </c>
      <c r="L5767">
        <f>B5767-J5767</f>
        <v/>
      </c>
      <c r="M5767">
        <f>IF(K5767&gt;0,IF(L5767/K5767&gt;=Assumptions!$B$37,1,0),0)</f>
        <v/>
      </c>
      <c r="N5767">
        <f>K5767+M5767*Assumptions!$B$153</f>
        <v/>
      </c>
      <c r="O5767">
        <f>L5767+M5767*Assumptions!$B$153*Assumptions!$B$37</f>
        <v/>
      </c>
      <c r="P5767">
        <f>IF(N5767&gt;0,O5767/N5767,0)</f>
        <v/>
      </c>
      <c r="Q5767">
        <f>IF(C5767=1,P5767*$J$532,Assumptions!$B$41)</f>
        <v/>
      </c>
      <c r="R5767">
        <f>IF(D5767=1,P5767*$F$532,Assumptions!$B$33)</f>
        <v/>
      </c>
      <c r="S5767">
        <f>IF(E5767=1,P5767*$G$532,Assumptions!$B$32)</f>
        <v/>
      </c>
      <c r="T5767">
        <f>IF(F5767=1,P5767*Assumptions!$B$14,Assumptions!$B$31)</f>
        <v/>
      </c>
      <c r="U5767">
        <f>IF(G5767=1,P5767*Assumptions!$B$13,Assumptions!$B$30)</f>
        <v/>
      </c>
      <c r="V5767">
        <f>IF(H5767=1,P5767*Assumptions!$B$12,Assumptions!$B$29)</f>
        <v/>
      </c>
      <c r="W5767">
        <f>IF(I5767=1,P5767*Assumptions!$B$11,Assumptions!$B$28)</f>
        <v/>
      </c>
      <c r="X5767">
        <f>P5767*($O$532+$S$532)</f>
        <v/>
      </c>
      <c r="Y5767">
        <f>P5767*Assumptions!$B$9</f>
        <v/>
      </c>
      <c r="Z5767">
        <f>IF(M5767=1,(P5767-Assumptions!$B$37)*Assumptions!$B$153,0)</f>
        <v/>
      </c>
      <c r="AA5767">
        <f>Q5767+R5767+S5767+T5767+U5767+V5767+W5767+X5767+Y5767+Z5767</f>
        <v/>
      </c>
      <c r="AB5767" t="n">
        <v>127</v>
      </c>
      <c r="AC5767" t="n">
        <v>63</v>
      </c>
      <c r="AD5767" t="n">
        <v>95</v>
      </c>
      <c r="AE5767" t="n">
        <v>111</v>
      </c>
      <c r="AF5767" t="n">
        <v>119</v>
      </c>
      <c r="AG5767" t="n">
        <v>123</v>
      </c>
      <c r="AH5767" t="n">
        <v>125</v>
      </c>
      <c r="AI5767" t="n">
        <v>126</v>
      </c>
      <c r="AJ5767">
        <f>INDEX($Q$5640:$Q$5767,AC5767+1)</f>
        <v/>
      </c>
      <c r="AK5767">
        <f>INDEX($R$5640:$R$5767,AD5767+1)</f>
        <v/>
      </c>
      <c r="AL5767">
        <f>INDEX($S$5640:$S$5767,AE5767+1)</f>
        <v/>
      </c>
      <c r="AM5767">
        <f>INDEX($T$5640:$T$5767,AF5767+1)</f>
        <v/>
      </c>
      <c r="AN5767">
        <f>INDEX($U$5640:$U$5767,AG5767+1)</f>
        <v/>
      </c>
      <c r="AO5767">
        <f>INDEX($V$5640:$V$5767,AH5767+1)</f>
        <v/>
      </c>
      <c r="AP5767">
        <f>INDEX($W$5640:$W$5767,AI5767+1)</f>
        <v/>
      </c>
      <c r="AQ5767">
        <f>IF(Q5767&gt;=AJ5767-0.01,1,0)</f>
        <v/>
      </c>
      <c r="AR5767">
        <f>IF(R5767&gt;=AK5767-0.01,1,0)</f>
        <v/>
      </c>
      <c r="AS5767">
        <f>IF(S5767&gt;=AL5767-0.01,1,0)</f>
        <v/>
      </c>
      <c r="AT5767">
        <f>IF(T5767&gt;=AM5767-0.01,1,0)</f>
        <v/>
      </c>
      <c r="AU5767">
        <f>IF(U5767&gt;=AN5767-0.01,1,0)</f>
        <v/>
      </c>
      <c r="AV5767">
        <f>IF(V5767&gt;=AO5767-0.01,1,0)</f>
        <v/>
      </c>
      <c r="AW5767">
        <f>IF(W5767&gt;=AP5767-0.01,1,0)</f>
        <v/>
      </c>
      <c r="AX5767">
        <f>AQ5767*AR5767*AS5767*AT5767*AU5767*AV5767*AW5767</f>
        <v/>
      </c>
    </row>
    <row r="5768">
      <c r="A5768" t="inlineStr">
        <is>
          <t>esop_15_pre_1200M</t>
        </is>
      </c>
      <c r="B5768">
        <f>Assumptions!$B$60</f>
        <v/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>
        <f>(1-C5768)*Assumptions!$B$41+(1-D5768)*Assumptions!$B$33+(1-E5768)*Assumptions!$B$32+(1-F5768)*Assumptions!$B$31+(1-G5768)*Assumptions!$B$30+(1-H5768)*Assumptions!$B$29+(1-I5768)*Assumptions!$B$28</f>
        <v/>
      </c>
      <c r="K5768">
        <f>C5768*$J$607+D5768*$F$607+E5768*$G$607+F5768*Assumptions!$B$14+G5768*Assumptions!$B$13+H5768*Assumptions!$B$12+I5768*Assumptions!$B$11+$O$607+$S$607+Assumptions!$B$9</f>
        <v/>
      </c>
      <c r="L5768">
        <f>B5768-J5768</f>
        <v/>
      </c>
      <c r="M5768">
        <f>IF(K5768&gt;0,IF(L5768/K5768&gt;=Assumptions!$B$37,1,0),0)</f>
        <v/>
      </c>
      <c r="N5768">
        <f>K5768+M5768*Assumptions!$B$153</f>
        <v/>
      </c>
      <c r="O5768">
        <f>L5768+M5768*Assumptions!$B$153*Assumptions!$B$37</f>
        <v/>
      </c>
      <c r="P5768">
        <f>IF(N5768&gt;0,O5768/N5768,0)</f>
        <v/>
      </c>
      <c r="Q5768">
        <f>IF(C5768=1,P5768*$J$607,Assumptions!$B$41)</f>
        <v/>
      </c>
      <c r="R5768">
        <f>IF(D5768=1,P5768*$F$607,Assumptions!$B$33)</f>
        <v/>
      </c>
      <c r="S5768">
        <f>IF(E5768=1,P5768*$G$607,Assumptions!$B$32)</f>
        <v/>
      </c>
      <c r="T5768">
        <f>IF(F5768=1,P5768*Assumptions!$B$14,Assumptions!$B$31)</f>
        <v/>
      </c>
      <c r="U5768">
        <f>IF(G5768=1,P5768*Assumptions!$B$13,Assumptions!$B$30)</f>
        <v/>
      </c>
      <c r="V5768">
        <f>IF(H5768=1,P5768*Assumptions!$B$12,Assumptions!$B$29)</f>
        <v/>
      </c>
      <c r="W5768">
        <f>IF(I5768=1,P5768*Assumptions!$B$11,Assumptions!$B$28)</f>
        <v/>
      </c>
      <c r="X5768">
        <f>P5768*($O$607+$S$607)</f>
        <v/>
      </c>
      <c r="Y5768">
        <f>P5768*Assumptions!$B$9</f>
        <v/>
      </c>
      <c r="Z5768">
        <f>IF(M5768=1,(P5768-Assumptions!$B$37)*Assumptions!$B$153,0)</f>
        <v/>
      </c>
      <c r="AA5768">
        <f>Q5768+R5768+S5768+T5768+U5768+V5768+W5768+X5768+Y5768+Z5768</f>
        <v/>
      </c>
      <c r="AB5768" t="n">
        <v>0</v>
      </c>
      <c r="AC5768" t="n">
        <v>64</v>
      </c>
      <c r="AD5768" t="n">
        <v>32</v>
      </c>
      <c r="AE5768" t="n">
        <v>16</v>
      </c>
      <c r="AF5768" t="n">
        <v>8</v>
      </c>
      <c r="AG5768" t="n">
        <v>4</v>
      </c>
      <c r="AH5768" t="n">
        <v>2</v>
      </c>
      <c r="AI5768" t="n">
        <v>1</v>
      </c>
      <c r="AJ5768">
        <f>INDEX($Q$5768:$Q$5895,AC5768+1)</f>
        <v/>
      </c>
      <c r="AK5768">
        <f>INDEX($R$5768:$R$5895,AD5768+1)</f>
        <v/>
      </c>
      <c r="AL5768">
        <f>INDEX($S$5768:$S$5895,AE5768+1)</f>
        <v/>
      </c>
      <c r="AM5768">
        <f>INDEX($T$5768:$T$5895,AF5768+1)</f>
        <v/>
      </c>
      <c r="AN5768">
        <f>INDEX($U$5768:$U$5895,AG5768+1)</f>
        <v/>
      </c>
      <c r="AO5768">
        <f>INDEX($V$5768:$V$5895,AH5768+1)</f>
        <v/>
      </c>
      <c r="AP5768">
        <f>INDEX($W$5768:$W$5895,AI5768+1)</f>
        <v/>
      </c>
      <c r="AQ5768">
        <f>IF(Q5768&gt;=AJ5768-0.01,1,0)</f>
        <v/>
      </c>
      <c r="AR5768">
        <f>IF(R5768&gt;=AK5768-0.01,1,0)</f>
        <v/>
      </c>
      <c r="AS5768">
        <f>IF(S5768&gt;=AL5768-0.01,1,0)</f>
        <v/>
      </c>
      <c r="AT5768">
        <f>IF(T5768&gt;=AM5768-0.01,1,0)</f>
        <v/>
      </c>
      <c r="AU5768">
        <f>IF(U5768&gt;=AN5768-0.01,1,0)</f>
        <v/>
      </c>
      <c r="AV5768">
        <f>IF(V5768&gt;=AO5768-0.01,1,0)</f>
        <v/>
      </c>
      <c r="AW5768">
        <f>IF(W5768&gt;=AP5768-0.01,1,0)</f>
        <v/>
      </c>
      <c r="AX5768">
        <f>AQ5768*AR5768*AS5768*AT5768*AU5768*AV5768*AW5768</f>
        <v/>
      </c>
    </row>
    <row r="5769">
      <c r="A5769" t="inlineStr"/>
      <c r="B5769">
        <f>Assumptions!$B$60</f>
        <v/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>
        <f>(1-C5769)*Assumptions!$B$41+(1-D5769)*Assumptions!$B$33+(1-E5769)*Assumptions!$B$32+(1-F5769)*Assumptions!$B$31+(1-G5769)*Assumptions!$B$30+(1-H5769)*Assumptions!$B$29+(1-I5769)*Assumptions!$B$28</f>
        <v/>
      </c>
      <c r="K5769">
        <f>C5769*$J$607+D5769*$F$607+E5769*$G$607+F5769*Assumptions!$B$14+G5769*Assumptions!$B$13+H5769*Assumptions!$B$12+I5769*Assumptions!$B$11+$O$607+$S$607+Assumptions!$B$9</f>
        <v/>
      </c>
      <c r="L5769">
        <f>B5769-J5769</f>
        <v/>
      </c>
      <c r="M5769">
        <f>IF(K5769&gt;0,IF(L5769/K5769&gt;=Assumptions!$B$37,1,0),0)</f>
        <v/>
      </c>
      <c r="N5769">
        <f>K5769+M5769*Assumptions!$B$153</f>
        <v/>
      </c>
      <c r="O5769">
        <f>L5769+M5769*Assumptions!$B$153*Assumptions!$B$37</f>
        <v/>
      </c>
      <c r="P5769">
        <f>IF(N5769&gt;0,O5769/N5769,0)</f>
        <v/>
      </c>
      <c r="Q5769">
        <f>IF(C5769=1,P5769*$J$607,Assumptions!$B$41)</f>
        <v/>
      </c>
      <c r="R5769">
        <f>IF(D5769=1,P5769*$F$607,Assumptions!$B$33)</f>
        <v/>
      </c>
      <c r="S5769">
        <f>IF(E5769=1,P5769*$G$607,Assumptions!$B$32)</f>
        <v/>
      </c>
      <c r="T5769">
        <f>IF(F5769=1,P5769*Assumptions!$B$14,Assumptions!$B$31)</f>
        <v/>
      </c>
      <c r="U5769">
        <f>IF(G5769=1,P5769*Assumptions!$B$13,Assumptions!$B$30)</f>
        <v/>
      </c>
      <c r="V5769">
        <f>IF(H5769=1,P5769*Assumptions!$B$12,Assumptions!$B$29)</f>
        <v/>
      </c>
      <c r="W5769">
        <f>IF(I5769=1,P5769*Assumptions!$B$11,Assumptions!$B$28)</f>
        <v/>
      </c>
      <c r="X5769">
        <f>P5769*($O$607+$S$607)</f>
        <v/>
      </c>
      <c r="Y5769">
        <f>P5769*Assumptions!$B$9</f>
        <v/>
      </c>
      <c r="Z5769">
        <f>IF(M5769=1,(P5769-Assumptions!$B$37)*Assumptions!$B$153,0)</f>
        <v/>
      </c>
      <c r="AA5769">
        <f>Q5769+R5769+S5769+T5769+U5769+V5769+W5769+X5769+Y5769+Z5769</f>
        <v/>
      </c>
      <c r="AB5769" t="n">
        <v>1</v>
      </c>
      <c r="AC5769" t="n">
        <v>65</v>
      </c>
      <c r="AD5769" t="n">
        <v>33</v>
      </c>
      <c r="AE5769" t="n">
        <v>17</v>
      </c>
      <c r="AF5769" t="n">
        <v>9</v>
      </c>
      <c r="AG5769" t="n">
        <v>5</v>
      </c>
      <c r="AH5769" t="n">
        <v>3</v>
      </c>
      <c r="AI5769" t="n">
        <v>0</v>
      </c>
      <c r="AJ5769">
        <f>INDEX($Q$5768:$Q$5895,AC5769+1)</f>
        <v/>
      </c>
      <c r="AK5769">
        <f>INDEX($R$5768:$R$5895,AD5769+1)</f>
        <v/>
      </c>
      <c r="AL5769">
        <f>INDEX($S$5768:$S$5895,AE5769+1)</f>
        <v/>
      </c>
      <c r="AM5769">
        <f>INDEX($T$5768:$T$5895,AF5769+1)</f>
        <v/>
      </c>
      <c r="AN5769">
        <f>INDEX($U$5768:$U$5895,AG5769+1)</f>
        <v/>
      </c>
      <c r="AO5769">
        <f>INDEX($V$5768:$V$5895,AH5769+1)</f>
        <v/>
      </c>
      <c r="AP5769">
        <f>INDEX($W$5768:$W$5895,AI5769+1)</f>
        <v/>
      </c>
      <c r="AQ5769">
        <f>IF(Q5769&gt;=AJ5769-0.01,1,0)</f>
        <v/>
      </c>
      <c r="AR5769">
        <f>IF(R5769&gt;=AK5769-0.01,1,0)</f>
        <v/>
      </c>
      <c r="AS5769">
        <f>IF(S5769&gt;=AL5769-0.01,1,0)</f>
        <v/>
      </c>
      <c r="AT5769">
        <f>IF(T5769&gt;=AM5769-0.01,1,0)</f>
        <v/>
      </c>
      <c r="AU5769">
        <f>IF(U5769&gt;=AN5769-0.01,1,0)</f>
        <v/>
      </c>
      <c r="AV5769">
        <f>IF(V5769&gt;=AO5769-0.01,1,0)</f>
        <v/>
      </c>
      <c r="AW5769">
        <f>IF(W5769&gt;=AP5769-0.01,1,0)</f>
        <v/>
      </c>
      <c r="AX5769">
        <f>AQ5769*AR5769*AS5769*AT5769*AU5769*AV5769*AW5769</f>
        <v/>
      </c>
    </row>
    <row r="5770">
      <c r="A5770" t="inlineStr"/>
      <c r="B5770">
        <f>Assumptions!$B$60</f>
        <v/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>
        <f>(1-C5770)*Assumptions!$B$41+(1-D5770)*Assumptions!$B$33+(1-E5770)*Assumptions!$B$32+(1-F5770)*Assumptions!$B$31+(1-G5770)*Assumptions!$B$30+(1-H5770)*Assumptions!$B$29+(1-I5770)*Assumptions!$B$28</f>
        <v/>
      </c>
      <c r="K5770">
        <f>C5770*$J$607+D5770*$F$607+E5770*$G$607+F5770*Assumptions!$B$14+G5770*Assumptions!$B$13+H5770*Assumptions!$B$12+I5770*Assumptions!$B$11+$O$607+$S$607+Assumptions!$B$9</f>
        <v/>
      </c>
      <c r="L5770">
        <f>B5770-J5770</f>
        <v/>
      </c>
      <c r="M5770">
        <f>IF(K5770&gt;0,IF(L5770/K5770&gt;=Assumptions!$B$37,1,0),0)</f>
        <v/>
      </c>
      <c r="N5770">
        <f>K5770+M5770*Assumptions!$B$153</f>
        <v/>
      </c>
      <c r="O5770">
        <f>L5770+M5770*Assumptions!$B$153*Assumptions!$B$37</f>
        <v/>
      </c>
      <c r="P5770">
        <f>IF(N5770&gt;0,O5770/N5770,0)</f>
        <v/>
      </c>
      <c r="Q5770">
        <f>IF(C5770=1,P5770*$J$607,Assumptions!$B$41)</f>
        <v/>
      </c>
      <c r="R5770">
        <f>IF(D5770=1,P5770*$F$607,Assumptions!$B$33)</f>
        <v/>
      </c>
      <c r="S5770">
        <f>IF(E5770=1,P5770*$G$607,Assumptions!$B$32)</f>
        <v/>
      </c>
      <c r="T5770">
        <f>IF(F5770=1,P5770*Assumptions!$B$14,Assumptions!$B$31)</f>
        <v/>
      </c>
      <c r="U5770">
        <f>IF(G5770=1,P5770*Assumptions!$B$13,Assumptions!$B$30)</f>
        <v/>
      </c>
      <c r="V5770">
        <f>IF(H5770=1,P5770*Assumptions!$B$12,Assumptions!$B$29)</f>
        <v/>
      </c>
      <c r="W5770">
        <f>IF(I5770=1,P5770*Assumptions!$B$11,Assumptions!$B$28)</f>
        <v/>
      </c>
      <c r="X5770">
        <f>P5770*($O$607+$S$607)</f>
        <v/>
      </c>
      <c r="Y5770">
        <f>P5770*Assumptions!$B$9</f>
        <v/>
      </c>
      <c r="Z5770">
        <f>IF(M5770=1,(P5770-Assumptions!$B$37)*Assumptions!$B$153,0)</f>
        <v/>
      </c>
      <c r="AA5770">
        <f>Q5770+R5770+S5770+T5770+U5770+V5770+W5770+X5770+Y5770+Z5770</f>
        <v/>
      </c>
      <c r="AB5770" t="n">
        <v>2</v>
      </c>
      <c r="AC5770" t="n">
        <v>66</v>
      </c>
      <c r="AD5770" t="n">
        <v>34</v>
      </c>
      <c r="AE5770" t="n">
        <v>18</v>
      </c>
      <c r="AF5770" t="n">
        <v>10</v>
      </c>
      <c r="AG5770" t="n">
        <v>6</v>
      </c>
      <c r="AH5770" t="n">
        <v>0</v>
      </c>
      <c r="AI5770" t="n">
        <v>3</v>
      </c>
      <c r="AJ5770">
        <f>INDEX($Q$5768:$Q$5895,AC5770+1)</f>
        <v/>
      </c>
      <c r="AK5770">
        <f>INDEX($R$5768:$R$5895,AD5770+1)</f>
        <v/>
      </c>
      <c r="AL5770">
        <f>INDEX($S$5768:$S$5895,AE5770+1)</f>
        <v/>
      </c>
      <c r="AM5770">
        <f>INDEX($T$5768:$T$5895,AF5770+1)</f>
        <v/>
      </c>
      <c r="AN5770">
        <f>INDEX($U$5768:$U$5895,AG5770+1)</f>
        <v/>
      </c>
      <c r="AO5770">
        <f>INDEX($V$5768:$V$5895,AH5770+1)</f>
        <v/>
      </c>
      <c r="AP5770">
        <f>INDEX($W$5768:$W$5895,AI5770+1)</f>
        <v/>
      </c>
      <c r="AQ5770">
        <f>IF(Q5770&gt;=AJ5770-0.01,1,0)</f>
        <v/>
      </c>
      <c r="AR5770">
        <f>IF(R5770&gt;=AK5770-0.01,1,0)</f>
        <v/>
      </c>
      <c r="AS5770">
        <f>IF(S5770&gt;=AL5770-0.01,1,0)</f>
        <v/>
      </c>
      <c r="AT5770">
        <f>IF(T5770&gt;=AM5770-0.01,1,0)</f>
        <v/>
      </c>
      <c r="AU5770">
        <f>IF(U5770&gt;=AN5770-0.01,1,0)</f>
        <v/>
      </c>
      <c r="AV5770">
        <f>IF(V5770&gt;=AO5770-0.01,1,0)</f>
        <v/>
      </c>
      <c r="AW5770">
        <f>IF(W5770&gt;=AP5770-0.01,1,0)</f>
        <v/>
      </c>
      <c r="AX5770">
        <f>AQ5770*AR5770*AS5770*AT5770*AU5770*AV5770*AW5770</f>
        <v/>
      </c>
    </row>
    <row r="5771">
      <c r="A5771" t="inlineStr"/>
      <c r="B5771">
        <f>Assumptions!$B$60</f>
        <v/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</v>
      </c>
      <c r="J5771">
        <f>(1-C5771)*Assumptions!$B$41+(1-D5771)*Assumptions!$B$33+(1-E5771)*Assumptions!$B$32+(1-F5771)*Assumptions!$B$31+(1-G5771)*Assumptions!$B$30+(1-H5771)*Assumptions!$B$29+(1-I5771)*Assumptions!$B$28</f>
        <v/>
      </c>
      <c r="K5771">
        <f>C5771*$J$607+D5771*$F$607+E5771*$G$607+F5771*Assumptions!$B$14+G5771*Assumptions!$B$13+H5771*Assumptions!$B$12+I5771*Assumptions!$B$11+$O$607+$S$607+Assumptions!$B$9</f>
        <v/>
      </c>
      <c r="L5771">
        <f>B5771-J5771</f>
        <v/>
      </c>
      <c r="M5771">
        <f>IF(K5771&gt;0,IF(L5771/K5771&gt;=Assumptions!$B$37,1,0),0)</f>
        <v/>
      </c>
      <c r="N5771">
        <f>K5771+M5771*Assumptions!$B$153</f>
        <v/>
      </c>
      <c r="O5771">
        <f>L5771+M5771*Assumptions!$B$153*Assumptions!$B$37</f>
        <v/>
      </c>
      <c r="P5771">
        <f>IF(N5771&gt;0,O5771/N5771,0)</f>
        <v/>
      </c>
      <c r="Q5771">
        <f>IF(C5771=1,P5771*$J$607,Assumptions!$B$41)</f>
        <v/>
      </c>
      <c r="R5771">
        <f>IF(D5771=1,P5771*$F$607,Assumptions!$B$33)</f>
        <v/>
      </c>
      <c r="S5771">
        <f>IF(E5771=1,P5771*$G$607,Assumptions!$B$32)</f>
        <v/>
      </c>
      <c r="T5771">
        <f>IF(F5771=1,P5771*Assumptions!$B$14,Assumptions!$B$31)</f>
        <v/>
      </c>
      <c r="U5771">
        <f>IF(G5771=1,P5771*Assumptions!$B$13,Assumptions!$B$30)</f>
        <v/>
      </c>
      <c r="V5771">
        <f>IF(H5771=1,P5771*Assumptions!$B$12,Assumptions!$B$29)</f>
        <v/>
      </c>
      <c r="W5771">
        <f>IF(I5771=1,P5771*Assumptions!$B$11,Assumptions!$B$28)</f>
        <v/>
      </c>
      <c r="X5771">
        <f>P5771*($O$607+$S$607)</f>
        <v/>
      </c>
      <c r="Y5771">
        <f>P5771*Assumptions!$B$9</f>
        <v/>
      </c>
      <c r="Z5771">
        <f>IF(M5771=1,(P5771-Assumptions!$B$37)*Assumptions!$B$153,0)</f>
        <v/>
      </c>
      <c r="AA5771">
        <f>Q5771+R5771+S5771+T5771+U5771+V5771+W5771+X5771+Y5771+Z5771</f>
        <v/>
      </c>
      <c r="AB5771" t="n">
        <v>3</v>
      </c>
      <c r="AC5771" t="n">
        <v>67</v>
      </c>
      <c r="AD5771" t="n">
        <v>35</v>
      </c>
      <c r="AE5771" t="n">
        <v>19</v>
      </c>
      <c r="AF5771" t="n">
        <v>11</v>
      </c>
      <c r="AG5771" t="n">
        <v>7</v>
      </c>
      <c r="AH5771" t="n">
        <v>1</v>
      </c>
      <c r="AI5771" t="n">
        <v>2</v>
      </c>
      <c r="AJ5771">
        <f>INDEX($Q$5768:$Q$5895,AC5771+1)</f>
        <v/>
      </c>
      <c r="AK5771">
        <f>INDEX($R$5768:$R$5895,AD5771+1)</f>
        <v/>
      </c>
      <c r="AL5771">
        <f>INDEX($S$5768:$S$5895,AE5771+1)</f>
        <v/>
      </c>
      <c r="AM5771">
        <f>INDEX($T$5768:$T$5895,AF5771+1)</f>
        <v/>
      </c>
      <c r="AN5771">
        <f>INDEX($U$5768:$U$5895,AG5771+1)</f>
        <v/>
      </c>
      <c r="AO5771">
        <f>INDEX($V$5768:$V$5895,AH5771+1)</f>
        <v/>
      </c>
      <c r="AP5771">
        <f>INDEX($W$5768:$W$5895,AI5771+1)</f>
        <v/>
      </c>
      <c r="AQ5771">
        <f>IF(Q5771&gt;=AJ5771-0.01,1,0)</f>
        <v/>
      </c>
      <c r="AR5771">
        <f>IF(R5771&gt;=AK5771-0.01,1,0)</f>
        <v/>
      </c>
      <c r="AS5771">
        <f>IF(S5771&gt;=AL5771-0.01,1,0)</f>
        <v/>
      </c>
      <c r="AT5771">
        <f>IF(T5771&gt;=AM5771-0.01,1,0)</f>
        <v/>
      </c>
      <c r="AU5771">
        <f>IF(U5771&gt;=AN5771-0.01,1,0)</f>
        <v/>
      </c>
      <c r="AV5771">
        <f>IF(V5771&gt;=AO5771-0.01,1,0)</f>
        <v/>
      </c>
      <c r="AW5771">
        <f>IF(W5771&gt;=AP5771-0.01,1,0)</f>
        <v/>
      </c>
      <c r="AX5771">
        <f>AQ5771*AR5771*AS5771*AT5771*AU5771*AV5771*AW5771</f>
        <v/>
      </c>
    </row>
    <row r="5772">
      <c r="A5772" t="inlineStr"/>
      <c r="B5772">
        <f>Assumptions!$B$60</f>
        <v/>
      </c>
      <c r="C5772" t="n">
        <v>0</v>
      </c>
      <c r="D5772" t="n">
        <v>0</v>
      </c>
      <c r="E5772" t="n">
        <v>0</v>
      </c>
      <c r="F5772" t="n">
        <v>0</v>
      </c>
      <c r="G5772" t="n">
        <v>1</v>
      </c>
      <c r="H5772" t="n">
        <v>0</v>
      </c>
      <c r="I5772" t="n">
        <v>0</v>
      </c>
      <c r="J5772">
        <f>(1-C5772)*Assumptions!$B$41+(1-D5772)*Assumptions!$B$33+(1-E5772)*Assumptions!$B$32+(1-F5772)*Assumptions!$B$31+(1-G5772)*Assumptions!$B$30+(1-H5772)*Assumptions!$B$29+(1-I5772)*Assumptions!$B$28</f>
        <v/>
      </c>
      <c r="K5772">
        <f>C5772*$J$607+D5772*$F$607+E5772*$G$607+F5772*Assumptions!$B$14+G5772*Assumptions!$B$13+H5772*Assumptions!$B$12+I5772*Assumptions!$B$11+$O$607+$S$607+Assumptions!$B$9</f>
        <v/>
      </c>
      <c r="L5772">
        <f>B5772-J5772</f>
        <v/>
      </c>
      <c r="M5772">
        <f>IF(K5772&gt;0,IF(L5772/K5772&gt;=Assumptions!$B$37,1,0),0)</f>
        <v/>
      </c>
      <c r="N5772">
        <f>K5772+M5772*Assumptions!$B$153</f>
        <v/>
      </c>
      <c r="O5772">
        <f>L5772+M5772*Assumptions!$B$153*Assumptions!$B$37</f>
        <v/>
      </c>
      <c r="P5772">
        <f>IF(N5772&gt;0,O5772/N5772,0)</f>
        <v/>
      </c>
      <c r="Q5772">
        <f>IF(C5772=1,P5772*$J$607,Assumptions!$B$41)</f>
        <v/>
      </c>
      <c r="R5772">
        <f>IF(D5772=1,P5772*$F$607,Assumptions!$B$33)</f>
        <v/>
      </c>
      <c r="S5772">
        <f>IF(E5772=1,P5772*$G$607,Assumptions!$B$32)</f>
        <v/>
      </c>
      <c r="T5772">
        <f>IF(F5772=1,P5772*Assumptions!$B$14,Assumptions!$B$31)</f>
        <v/>
      </c>
      <c r="U5772">
        <f>IF(G5772=1,P5772*Assumptions!$B$13,Assumptions!$B$30)</f>
        <v/>
      </c>
      <c r="V5772">
        <f>IF(H5772=1,P5772*Assumptions!$B$12,Assumptions!$B$29)</f>
        <v/>
      </c>
      <c r="W5772">
        <f>IF(I5772=1,P5772*Assumptions!$B$11,Assumptions!$B$28)</f>
        <v/>
      </c>
      <c r="X5772">
        <f>P5772*($O$607+$S$607)</f>
        <v/>
      </c>
      <c r="Y5772">
        <f>P5772*Assumptions!$B$9</f>
        <v/>
      </c>
      <c r="Z5772">
        <f>IF(M5772=1,(P5772-Assumptions!$B$37)*Assumptions!$B$153,0)</f>
        <v/>
      </c>
      <c r="AA5772">
        <f>Q5772+R5772+S5772+T5772+U5772+V5772+W5772+X5772+Y5772+Z5772</f>
        <v/>
      </c>
      <c r="AB5772" t="n">
        <v>4</v>
      </c>
      <c r="AC5772" t="n">
        <v>68</v>
      </c>
      <c r="AD5772" t="n">
        <v>36</v>
      </c>
      <c r="AE5772" t="n">
        <v>20</v>
      </c>
      <c r="AF5772" t="n">
        <v>12</v>
      </c>
      <c r="AG5772" t="n">
        <v>0</v>
      </c>
      <c r="AH5772" t="n">
        <v>6</v>
      </c>
      <c r="AI5772" t="n">
        <v>5</v>
      </c>
      <c r="AJ5772">
        <f>INDEX($Q$5768:$Q$5895,AC5772+1)</f>
        <v/>
      </c>
      <c r="AK5772">
        <f>INDEX($R$5768:$R$5895,AD5772+1)</f>
        <v/>
      </c>
      <c r="AL5772">
        <f>INDEX($S$5768:$S$5895,AE5772+1)</f>
        <v/>
      </c>
      <c r="AM5772">
        <f>INDEX($T$5768:$T$5895,AF5772+1)</f>
        <v/>
      </c>
      <c r="AN5772">
        <f>INDEX($U$5768:$U$5895,AG5772+1)</f>
        <v/>
      </c>
      <c r="AO5772">
        <f>INDEX($V$5768:$V$5895,AH5772+1)</f>
        <v/>
      </c>
      <c r="AP5772">
        <f>INDEX($W$5768:$W$5895,AI5772+1)</f>
        <v/>
      </c>
      <c r="AQ5772">
        <f>IF(Q5772&gt;=AJ5772-0.01,1,0)</f>
        <v/>
      </c>
      <c r="AR5772">
        <f>IF(R5772&gt;=AK5772-0.01,1,0)</f>
        <v/>
      </c>
      <c r="AS5772">
        <f>IF(S5772&gt;=AL5772-0.01,1,0)</f>
        <v/>
      </c>
      <c r="AT5772">
        <f>IF(T5772&gt;=AM5772-0.01,1,0)</f>
        <v/>
      </c>
      <c r="AU5772">
        <f>IF(U5772&gt;=AN5772-0.01,1,0)</f>
        <v/>
      </c>
      <c r="AV5772">
        <f>IF(V5772&gt;=AO5772-0.01,1,0)</f>
        <v/>
      </c>
      <c r="AW5772">
        <f>IF(W5772&gt;=AP5772-0.01,1,0)</f>
        <v/>
      </c>
      <c r="AX5772">
        <f>AQ5772*AR5772*AS5772*AT5772*AU5772*AV5772*AW5772</f>
        <v/>
      </c>
    </row>
    <row r="5773">
      <c r="A5773" t="inlineStr"/>
      <c r="B5773">
        <f>Assumptions!$B$60</f>
        <v/>
      </c>
      <c r="C5773" t="n">
        <v>0</v>
      </c>
      <c r="D5773" t="n">
        <v>0</v>
      </c>
      <c r="E5773" t="n">
        <v>0</v>
      </c>
      <c r="F5773" t="n">
        <v>0</v>
      </c>
      <c r="G5773" t="n">
        <v>1</v>
      </c>
      <c r="H5773" t="n">
        <v>0</v>
      </c>
      <c r="I5773" t="n">
        <v>1</v>
      </c>
      <c r="J5773">
        <f>(1-C5773)*Assumptions!$B$41+(1-D5773)*Assumptions!$B$33+(1-E5773)*Assumptions!$B$32+(1-F5773)*Assumptions!$B$31+(1-G5773)*Assumptions!$B$30+(1-H5773)*Assumptions!$B$29+(1-I5773)*Assumptions!$B$28</f>
        <v/>
      </c>
      <c r="K5773">
        <f>C5773*$J$607+D5773*$F$607+E5773*$G$607+F5773*Assumptions!$B$14+G5773*Assumptions!$B$13+H5773*Assumptions!$B$12+I5773*Assumptions!$B$11+$O$607+$S$607+Assumptions!$B$9</f>
        <v/>
      </c>
      <c r="L5773">
        <f>B5773-J5773</f>
        <v/>
      </c>
      <c r="M5773">
        <f>IF(K5773&gt;0,IF(L5773/K5773&gt;=Assumptions!$B$37,1,0),0)</f>
        <v/>
      </c>
      <c r="N5773">
        <f>K5773+M5773*Assumptions!$B$153</f>
        <v/>
      </c>
      <c r="O5773">
        <f>L5773+M5773*Assumptions!$B$153*Assumptions!$B$37</f>
        <v/>
      </c>
      <c r="P5773">
        <f>IF(N5773&gt;0,O5773/N5773,0)</f>
        <v/>
      </c>
      <c r="Q5773">
        <f>IF(C5773=1,P5773*$J$607,Assumptions!$B$41)</f>
        <v/>
      </c>
      <c r="R5773">
        <f>IF(D5773=1,P5773*$F$607,Assumptions!$B$33)</f>
        <v/>
      </c>
      <c r="S5773">
        <f>IF(E5773=1,P5773*$G$607,Assumptions!$B$32)</f>
        <v/>
      </c>
      <c r="T5773">
        <f>IF(F5773=1,P5773*Assumptions!$B$14,Assumptions!$B$31)</f>
        <v/>
      </c>
      <c r="U5773">
        <f>IF(G5773=1,P5773*Assumptions!$B$13,Assumptions!$B$30)</f>
        <v/>
      </c>
      <c r="V5773">
        <f>IF(H5773=1,P5773*Assumptions!$B$12,Assumptions!$B$29)</f>
        <v/>
      </c>
      <c r="W5773">
        <f>IF(I5773=1,P5773*Assumptions!$B$11,Assumptions!$B$28)</f>
        <v/>
      </c>
      <c r="X5773">
        <f>P5773*($O$607+$S$607)</f>
        <v/>
      </c>
      <c r="Y5773">
        <f>P5773*Assumptions!$B$9</f>
        <v/>
      </c>
      <c r="Z5773">
        <f>IF(M5773=1,(P5773-Assumptions!$B$37)*Assumptions!$B$153,0)</f>
        <v/>
      </c>
      <c r="AA5773">
        <f>Q5773+R5773+S5773+T5773+U5773+V5773+W5773+X5773+Y5773+Z5773</f>
        <v/>
      </c>
      <c r="AB5773" t="n">
        <v>5</v>
      </c>
      <c r="AC5773" t="n">
        <v>69</v>
      </c>
      <c r="AD5773" t="n">
        <v>37</v>
      </c>
      <c r="AE5773" t="n">
        <v>21</v>
      </c>
      <c r="AF5773" t="n">
        <v>13</v>
      </c>
      <c r="AG5773" t="n">
        <v>1</v>
      </c>
      <c r="AH5773" t="n">
        <v>7</v>
      </c>
      <c r="AI5773" t="n">
        <v>4</v>
      </c>
      <c r="AJ5773">
        <f>INDEX($Q$5768:$Q$5895,AC5773+1)</f>
        <v/>
      </c>
      <c r="AK5773">
        <f>INDEX($R$5768:$R$5895,AD5773+1)</f>
        <v/>
      </c>
      <c r="AL5773">
        <f>INDEX($S$5768:$S$5895,AE5773+1)</f>
        <v/>
      </c>
      <c r="AM5773">
        <f>INDEX($T$5768:$T$5895,AF5773+1)</f>
        <v/>
      </c>
      <c r="AN5773">
        <f>INDEX($U$5768:$U$5895,AG5773+1)</f>
        <v/>
      </c>
      <c r="AO5773">
        <f>INDEX($V$5768:$V$5895,AH5773+1)</f>
        <v/>
      </c>
      <c r="AP5773">
        <f>INDEX($W$5768:$W$5895,AI5773+1)</f>
        <v/>
      </c>
      <c r="AQ5773">
        <f>IF(Q5773&gt;=AJ5773-0.01,1,0)</f>
        <v/>
      </c>
      <c r="AR5773">
        <f>IF(R5773&gt;=AK5773-0.01,1,0)</f>
        <v/>
      </c>
      <c r="AS5773">
        <f>IF(S5773&gt;=AL5773-0.01,1,0)</f>
        <v/>
      </c>
      <c r="AT5773">
        <f>IF(T5773&gt;=AM5773-0.01,1,0)</f>
        <v/>
      </c>
      <c r="AU5773">
        <f>IF(U5773&gt;=AN5773-0.01,1,0)</f>
        <v/>
      </c>
      <c r="AV5773">
        <f>IF(V5773&gt;=AO5773-0.01,1,0)</f>
        <v/>
      </c>
      <c r="AW5773">
        <f>IF(W5773&gt;=AP5773-0.01,1,0)</f>
        <v/>
      </c>
      <c r="AX5773">
        <f>AQ5773*AR5773*AS5773*AT5773*AU5773*AV5773*AW5773</f>
        <v/>
      </c>
    </row>
    <row r="5774">
      <c r="A5774" t="inlineStr"/>
      <c r="B5774">
        <f>Assumptions!$B$60</f>
        <v/>
      </c>
      <c r="C5774" t="n">
        <v>0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  <c r="I5774" t="n">
        <v>0</v>
      </c>
      <c r="J5774">
        <f>(1-C5774)*Assumptions!$B$41+(1-D5774)*Assumptions!$B$33+(1-E5774)*Assumptions!$B$32+(1-F5774)*Assumptions!$B$31+(1-G5774)*Assumptions!$B$30+(1-H5774)*Assumptions!$B$29+(1-I5774)*Assumptions!$B$28</f>
        <v/>
      </c>
      <c r="K5774">
        <f>C5774*$J$607+D5774*$F$607+E5774*$G$607+F5774*Assumptions!$B$14+G5774*Assumptions!$B$13+H5774*Assumptions!$B$12+I5774*Assumptions!$B$11+$O$607+$S$607+Assumptions!$B$9</f>
        <v/>
      </c>
      <c r="L5774">
        <f>B5774-J5774</f>
        <v/>
      </c>
      <c r="M5774">
        <f>IF(K5774&gt;0,IF(L5774/K5774&gt;=Assumptions!$B$37,1,0),0)</f>
        <v/>
      </c>
      <c r="N5774">
        <f>K5774+M5774*Assumptions!$B$153</f>
        <v/>
      </c>
      <c r="O5774">
        <f>L5774+M5774*Assumptions!$B$153*Assumptions!$B$37</f>
        <v/>
      </c>
      <c r="P5774">
        <f>IF(N5774&gt;0,O5774/N5774,0)</f>
        <v/>
      </c>
      <c r="Q5774">
        <f>IF(C5774=1,P5774*$J$607,Assumptions!$B$41)</f>
        <v/>
      </c>
      <c r="R5774">
        <f>IF(D5774=1,P5774*$F$607,Assumptions!$B$33)</f>
        <v/>
      </c>
      <c r="S5774">
        <f>IF(E5774=1,P5774*$G$607,Assumptions!$B$32)</f>
        <v/>
      </c>
      <c r="T5774">
        <f>IF(F5774=1,P5774*Assumptions!$B$14,Assumptions!$B$31)</f>
        <v/>
      </c>
      <c r="U5774">
        <f>IF(G5774=1,P5774*Assumptions!$B$13,Assumptions!$B$30)</f>
        <v/>
      </c>
      <c r="V5774">
        <f>IF(H5774=1,P5774*Assumptions!$B$12,Assumptions!$B$29)</f>
        <v/>
      </c>
      <c r="W5774">
        <f>IF(I5774=1,P5774*Assumptions!$B$11,Assumptions!$B$28)</f>
        <v/>
      </c>
      <c r="X5774">
        <f>P5774*($O$607+$S$607)</f>
        <v/>
      </c>
      <c r="Y5774">
        <f>P5774*Assumptions!$B$9</f>
        <v/>
      </c>
      <c r="Z5774">
        <f>IF(M5774=1,(P5774-Assumptions!$B$37)*Assumptions!$B$153,0)</f>
        <v/>
      </c>
      <c r="AA5774">
        <f>Q5774+R5774+S5774+T5774+U5774+V5774+W5774+X5774+Y5774+Z5774</f>
        <v/>
      </c>
      <c r="AB5774" t="n">
        <v>6</v>
      </c>
      <c r="AC5774" t="n">
        <v>70</v>
      </c>
      <c r="AD5774" t="n">
        <v>38</v>
      </c>
      <c r="AE5774" t="n">
        <v>22</v>
      </c>
      <c r="AF5774" t="n">
        <v>14</v>
      </c>
      <c r="AG5774" t="n">
        <v>2</v>
      </c>
      <c r="AH5774" t="n">
        <v>4</v>
      </c>
      <c r="AI5774" t="n">
        <v>7</v>
      </c>
      <c r="AJ5774">
        <f>INDEX($Q$5768:$Q$5895,AC5774+1)</f>
        <v/>
      </c>
      <c r="AK5774">
        <f>INDEX($R$5768:$R$5895,AD5774+1)</f>
        <v/>
      </c>
      <c r="AL5774">
        <f>INDEX($S$5768:$S$5895,AE5774+1)</f>
        <v/>
      </c>
      <c r="AM5774">
        <f>INDEX($T$5768:$T$5895,AF5774+1)</f>
        <v/>
      </c>
      <c r="AN5774">
        <f>INDEX($U$5768:$U$5895,AG5774+1)</f>
        <v/>
      </c>
      <c r="AO5774">
        <f>INDEX($V$5768:$V$5895,AH5774+1)</f>
        <v/>
      </c>
      <c r="AP5774">
        <f>INDEX($W$5768:$W$5895,AI5774+1)</f>
        <v/>
      </c>
      <c r="AQ5774">
        <f>IF(Q5774&gt;=AJ5774-0.01,1,0)</f>
        <v/>
      </c>
      <c r="AR5774">
        <f>IF(R5774&gt;=AK5774-0.01,1,0)</f>
        <v/>
      </c>
      <c r="AS5774">
        <f>IF(S5774&gt;=AL5774-0.01,1,0)</f>
        <v/>
      </c>
      <c r="AT5774">
        <f>IF(T5774&gt;=AM5774-0.01,1,0)</f>
        <v/>
      </c>
      <c r="AU5774">
        <f>IF(U5774&gt;=AN5774-0.01,1,0)</f>
        <v/>
      </c>
      <c r="AV5774">
        <f>IF(V5774&gt;=AO5774-0.01,1,0)</f>
        <v/>
      </c>
      <c r="AW5774">
        <f>IF(W5774&gt;=AP5774-0.01,1,0)</f>
        <v/>
      </c>
      <c r="AX5774">
        <f>AQ5774*AR5774*AS5774*AT5774*AU5774*AV5774*AW5774</f>
        <v/>
      </c>
    </row>
    <row r="5775">
      <c r="A5775" t="inlineStr"/>
      <c r="B5775">
        <f>Assumptions!$B$60</f>
        <v/>
      </c>
      <c r="C5775" t="n">
        <v>0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  <c r="I5775" t="n">
        <v>1</v>
      </c>
      <c r="J5775">
        <f>(1-C5775)*Assumptions!$B$41+(1-D5775)*Assumptions!$B$33+(1-E5775)*Assumptions!$B$32+(1-F5775)*Assumptions!$B$31+(1-G5775)*Assumptions!$B$30+(1-H5775)*Assumptions!$B$29+(1-I5775)*Assumptions!$B$28</f>
        <v/>
      </c>
      <c r="K5775">
        <f>C5775*$J$607+D5775*$F$607+E5775*$G$607+F5775*Assumptions!$B$14+G5775*Assumptions!$B$13+H5775*Assumptions!$B$12+I5775*Assumptions!$B$11+$O$607+$S$607+Assumptions!$B$9</f>
        <v/>
      </c>
      <c r="L5775">
        <f>B5775-J5775</f>
        <v/>
      </c>
      <c r="M5775">
        <f>IF(K5775&gt;0,IF(L5775/K5775&gt;=Assumptions!$B$37,1,0),0)</f>
        <v/>
      </c>
      <c r="N5775">
        <f>K5775+M5775*Assumptions!$B$153</f>
        <v/>
      </c>
      <c r="O5775">
        <f>L5775+M5775*Assumptions!$B$153*Assumptions!$B$37</f>
        <v/>
      </c>
      <c r="P5775">
        <f>IF(N5775&gt;0,O5775/N5775,0)</f>
        <v/>
      </c>
      <c r="Q5775">
        <f>IF(C5775=1,P5775*$J$607,Assumptions!$B$41)</f>
        <v/>
      </c>
      <c r="R5775">
        <f>IF(D5775=1,P5775*$F$607,Assumptions!$B$33)</f>
        <v/>
      </c>
      <c r="S5775">
        <f>IF(E5775=1,P5775*$G$607,Assumptions!$B$32)</f>
        <v/>
      </c>
      <c r="T5775">
        <f>IF(F5775=1,P5775*Assumptions!$B$14,Assumptions!$B$31)</f>
        <v/>
      </c>
      <c r="U5775">
        <f>IF(G5775=1,P5775*Assumptions!$B$13,Assumptions!$B$30)</f>
        <v/>
      </c>
      <c r="V5775">
        <f>IF(H5775=1,P5775*Assumptions!$B$12,Assumptions!$B$29)</f>
        <v/>
      </c>
      <c r="W5775">
        <f>IF(I5775=1,P5775*Assumptions!$B$11,Assumptions!$B$28)</f>
        <v/>
      </c>
      <c r="X5775">
        <f>P5775*($O$607+$S$607)</f>
        <v/>
      </c>
      <c r="Y5775">
        <f>P5775*Assumptions!$B$9</f>
        <v/>
      </c>
      <c r="Z5775">
        <f>IF(M5775=1,(P5775-Assumptions!$B$37)*Assumptions!$B$153,0)</f>
        <v/>
      </c>
      <c r="AA5775">
        <f>Q5775+R5775+S5775+T5775+U5775+V5775+W5775+X5775+Y5775+Z5775</f>
        <v/>
      </c>
      <c r="AB5775" t="n">
        <v>7</v>
      </c>
      <c r="AC5775" t="n">
        <v>71</v>
      </c>
      <c r="AD5775" t="n">
        <v>39</v>
      </c>
      <c r="AE5775" t="n">
        <v>23</v>
      </c>
      <c r="AF5775" t="n">
        <v>15</v>
      </c>
      <c r="AG5775" t="n">
        <v>3</v>
      </c>
      <c r="AH5775" t="n">
        <v>5</v>
      </c>
      <c r="AI5775" t="n">
        <v>6</v>
      </c>
      <c r="AJ5775">
        <f>INDEX($Q$5768:$Q$5895,AC5775+1)</f>
        <v/>
      </c>
      <c r="AK5775">
        <f>INDEX($R$5768:$R$5895,AD5775+1)</f>
        <v/>
      </c>
      <c r="AL5775">
        <f>INDEX($S$5768:$S$5895,AE5775+1)</f>
        <v/>
      </c>
      <c r="AM5775">
        <f>INDEX($T$5768:$T$5895,AF5775+1)</f>
        <v/>
      </c>
      <c r="AN5775">
        <f>INDEX($U$5768:$U$5895,AG5775+1)</f>
        <v/>
      </c>
      <c r="AO5775">
        <f>INDEX($V$5768:$V$5895,AH5775+1)</f>
        <v/>
      </c>
      <c r="AP5775">
        <f>INDEX($W$5768:$W$5895,AI5775+1)</f>
        <v/>
      </c>
      <c r="AQ5775">
        <f>IF(Q5775&gt;=AJ5775-0.01,1,0)</f>
        <v/>
      </c>
      <c r="AR5775">
        <f>IF(R5775&gt;=AK5775-0.01,1,0)</f>
        <v/>
      </c>
      <c r="AS5775">
        <f>IF(S5775&gt;=AL5775-0.01,1,0)</f>
        <v/>
      </c>
      <c r="AT5775">
        <f>IF(T5775&gt;=AM5775-0.01,1,0)</f>
        <v/>
      </c>
      <c r="AU5775">
        <f>IF(U5775&gt;=AN5775-0.01,1,0)</f>
        <v/>
      </c>
      <c r="AV5775">
        <f>IF(V5775&gt;=AO5775-0.01,1,0)</f>
        <v/>
      </c>
      <c r="AW5775">
        <f>IF(W5775&gt;=AP5775-0.01,1,0)</f>
        <v/>
      </c>
      <c r="AX5775">
        <f>AQ5775*AR5775*AS5775*AT5775*AU5775*AV5775*AW5775</f>
        <v/>
      </c>
    </row>
    <row r="5776">
      <c r="A5776" t="inlineStr"/>
      <c r="B5776">
        <f>Assumptions!$B$60</f>
        <v/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>
        <f>(1-C5776)*Assumptions!$B$41+(1-D5776)*Assumptions!$B$33+(1-E5776)*Assumptions!$B$32+(1-F5776)*Assumptions!$B$31+(1-G5776)*Assumptions!$B$30+(1-H5776)*Assumptions!$B$29+(1-I5776)*Assumptions!$B$28</f>
        <v/>
      </c>
      <c r="K5776">
        <f>C5776*$J$607+D5776*$F$607+E5776*$G$607+F5776*Assumptions!$B$14+G5776*Assumptions!$B$13+H5776*Assumptions!$B$12+I5776*Assumptions!$B$11+$O$607+$S$607+Assumptions!$B$9</f>
        <v/>
      </c>
      <c r="L5776">
        <f>B5776-J5776</f>
        <v/>
      </c>
      <c r="M5776">
        <f>IF(K5776&gt;0,IF(L5776/K5776&gt;=Assumptions!$B$37,1,0),0)</f>
        <v/>
      </c>
      <c r="N5776">
        <f>K5776+M5776*Assumptions!$B$153</f>
        <v/>
      </c>
      <c r="O5776">
        <f>L5776+M5776*Assumptions!$B$153*Assumptions!$B$37</f>
        <v/>
      </c>
      <c r="P5776">
        <f>IF(N5776&gt;0,O5776/N5776,0)</f>
        <v/>
      </c>
      <c r="Q5776">
        <f>IF(C5776=1,P5776*$J$607,Assumptions!$B$41)</f>
        <v/>
      </c>
      <c r="R5776">
        <f>IF(D5776=1,P5776*$F$607,Assumptions!$B$33)</f>
        <v/>
      </c>
      <c r="S5776">
        <f>IF(E5776=1,P5776*$G$607,Assumptions!$B$32)</f>
        <v/>
      </c>
      <c r="T5776">
        <f>IF(F5776=1,P5776*Assumptions!$B$14,Assumptions!$B$31)</f>
        <v/>
      </c>
      <c r="U5776">
        <f>IF(G5776=1,P5776*Assumptions!$B$13,Assumptions!$B$30)</f>
        <v/>
      </c>
      <c r="V5776">
        <f>IF(H5776=1,P5776*Assumptions!$B$12,Assumptions!$B$29)</f>
        <v/>
      </c>
      <c r="W5776">
        <f>IF(I5776=1,P5776*Assumptions!$B$11,Assumptions!$B$28)</f>
        <v/>
      </c>
      <c r="X5776">
        <f>P5776*($O$607+$S$607)</f>
        <v/>
      </c>
      <c r="Y5776">
        <f>P5776*Assumptions!$B$9</f>
        <v/>
      </c>
      <c r="Z5776">
        <f>IF(M5776=1,(P5776-Assumptions!$B$37)*Assumptions!$B$153,0)</f>
        <v/>
      </c>
      <c r="AA5776">
        <f>Q5776+R5776+S5776+T5776+U5776+V5776+W5776+X5776+Y5776+Z5776</f>
        <v/>
      </c>
      <c r="AB5776" t="n">
        <v>8</v>
      </c>
      <c r="AC5776" t="n">
        <v>72</v>
      </c>
      <c r="AD5776" t="n">
        <v>40</v>
      </c>
      <c r="AE5776" t="n">
        <v>24</v>
      </c>
      <c r="AF5776" t="n">
        <v>0</v>
      </c>
      <c r="AG5776" t="n">
        <v>12</v>
      </c>
      <c r="AH5776" t="n">
        <v>10</v>
      </c>
      <c r="AI5776" t="n">
        <v>9</v>
      </c>
      <c r="AJ5776">
        <f>INDEX($Q$5768:$Q$5895,AC5776+1)</f>
        <v/>
      </c>
      <c r="AK5776">
        <f>INDEX($R$5768:$R$5895,AD5776+1)</f>
        <v/>
      </c>
      <c r="AL5776">
        <f>INDEX($S$5768:$S$5895,AE5776+1)</f>
        <v/>
      </c>
      <c r="AM5776">
        <f>INDEX($T$5768:$T$5895,AF5776+1)</f>
        <v/>
      </c>
      <c r="AN5776">
        <f>INDEX($U$5768:$U$5895,AG5776+1)</f>
        <v/>
      </c>
      <c r="AO5776">
        <f>INDEX($V$5768:$V$5895,AH5776+1)</f>
        <v/>
      </c>
      <c r="AP5776">
        <f>INDEX($W$5768:$W$5895,AI5776+1)</f>
        <v/>
      </c>
      <c r="AQ5776">
        <f>IF(Q5776&gt;=AJ5776-0.01,1,0)</f>
        <v/>
      </c>
      <c r="AR5776">
        <f>IF(R5776&gt;=AK5776-0.01,1,0)</f>
        <v/>
      </c>
      <c r="AS5776">
        <f>IF(S5776&gt;=AL5776-0.01,1,0)</f>
        <v/>
      </c>
      <c r="AT5776">
        <f>IF(T5776&gt;=AM5776-0.01,1,0)</f>
        <v/>
      </c>
      <c r="AU5776">
        <f>IF(U5776&gt;=AN5776-0.01,1,0)</f>
        <v/>
      </c>
      <c r="AV5776">
        <f>IF(V5776&gt;=AO5776-0.01,1,0)</f>
        <v/>
      </c>
      <c r="AW5776">
        <f>IF(W5776&gt;=AP5776-0.01,1,0)</f>
        <v/>
      </c>
      <c r="AX5776">
        <f>AQ5776*AR5776*AS5776*AT5776*AU5776*AV5776*AW5776</f>
        <v/>
      </c>
    </row>
    <row r="5777">
      <c r="A5777" t="inlineStr"/>
      <c r="B5777">
        <f>Assumptions!$B$60</f>
        <v/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0</v>
      </c>
      <c r="I5777" t="n">
        <v>1</v>
      </c>
      <c r="J5777">
        <f>(1-C5777)*Assumptions!$B$41+(1-D5777)*Assumptions!$B$33+(1-E5777)*Assumptions!$B$32+(1-F5777)*Assumptions!$B$31+(1-G5777)*Assumptions!$B$30+(1-H5777)*Assumptions!$B$29+(1-I5777)*Assumptions!$B$28</f>
        <v/>
      </c>
      <c r="K5777">
        <f>C5777*$J$607+D5777*$F$607+E5777*$G$607+F5777*Assumptions!$B$14+G5777*Assumptions!$B$13+H5777*Assumptions!$B$12+I5777*Assumptions!$B$11+$O$607+$S$607+Assumptions!$B$9</f>
        <v/>
      </c>
      <c r="L5777">
        <f>B5777-J5777</f>
        <v/>
      </c>
      <c r="M5777">
        <f>IF(K5777&gt;0,IF(L5777/K5777&gt;=Assumptions!$B$37,1,0),0)</f>
        <v/>
      </c>
      <c r="N5777">
        <f>K5777+M5777*Assumptions!$B$153</f>
        <v/>
      </c>
      <c r="O5777">
        <f>L5777+M5777*Assumptions!$B$153*Assumptions!$B$37</f>
        <v/>
      </c>
      <c r="P5777">
        <f>IF(N5777&gt;0,O5777/N5777,0)</f>
        <v/>
      </c>
      <c r="Q5777">
        <f>IF(C5777=1,P5777*$J$607,Assumptions!$B$41)</f>
        <v/>
      </c>
      <c r="R5777">
        <f>IF(D5777=1,P5777*$F$607,Assumptions!$B$33)</f>
        <v/>
      </c>
      <c r="S5777">
        <f>IF(E5777=1,P5777*$G$607,Assumptions!$B$32)</f>
        <v/>
      </c>
      <c r="T5777">
        <f>IF(F5777=1,P5777*Assumptions!$B$14,Assumptions!$B$31)</f>
        <v/>
      </c>
      <c r="U5777">
        <f>IF(G5777=1,P5777*Assumptions!$B$13,Assumptions!$B$30)</f>
        <v/>
      </c>
      <c r="V5777">
        <f>IF(H5777=1,P5777*Assumptions!$B$12,Assumptions!$B$29)</f>
        <v/>
      </c>
      <c r="W5777">
        <f>IF(I5777=1,P5777*Assumptions!$B$11,Assumptions!$B$28)</f>
        <v/>
      </c>
      <c r="X5777">
        <f>P5777*($O$607+$S$607)</f>
        <v/>
      </c>
      <c r="Y5777">
        <f>P5777*Assumptions!$B$9</f>
        <v/>
      </c>
      <c r="Z5777">
        <f>IF(M5777=1,(P5777-Assumptions!$B$37)*Assumptions!$B$153,0)</f>
        <v/>
      </c>
      <c r="AA5777">
        <f>Q5777+R5777+S5777+T5777+U5777+V5777+W5777+X5777+Y5777+Z5777</f>
        <v/>
      </c>
      <c r="AB5777" t="n">
        <v>9</v>
      </c>
      <c r="AC5777" t="n">
        <v>73</v>
      </c>
      <c r="AD5777" t="n">
        <v>41</v>
      </c>
      <c r="AE5777" t="n">
        <v>25</v>
      </c>
      <c r="AF5777" t="n">
        <v>1</v>
      </c>
      <c r="AG5777" t="n">
        <v>13</v>
      </c>
      <c r="AH5777" t="n">
        <v>11</v>
      </c>
      <c r="AI5777" t="n">
        <v>8</v>
      </c>
      <c r="AJ5777">
        <f>INDEX($Q$5768:$Q$5895,AC5777+1)</f>
        <v/>
      </c>
      <c r="AK5777">
        <f>INDEX($R$5768:$R$5895,AD5777+1)</f>
        <v/>
      </c>
      <c r="AL5777">
        <f>INDEX($S$5768:$S$5895,AE5777+1)</f>
        <v/>
      </c>
      <c r="AM5777">
        <f>INDEX($T$5768:$T$5895,AF5777+1)</f>
        <v/>
      </c>
      <c r="AN5777">
        <f>INDEX($U$5768:$U$5895,AG5777+1)</f>
        <v/>
      </c>
      <c r="AO5777">
        <f>INDEX($V$5768:$V$5895,AH5777+1)</f>
        <v/>
      </c>
      <c r="AP5777">
        <f>INDEX($W$5768:$W$5895,AI5777+1)</f>
        <v/>
      </c>
      <c r="AQ5777">
        <f>IF(Q5777&gt;=AJ5777-0.01,1,0)</f>
        <v/>
      </c>
      <c r="AR5777">
        <f>IF(R5777&gt;=AK5777-0.01,1,0)</f>
        <v/>
      </c>
      <c r="AS5777">
        <f>IF(S5777&gt;=AL5777-0.01,1,0)</f>
        <v/>
      </c>
      <c r="AT5777">
        <f>IF(T5777&gt;=AM5777-0.01,1,0)</f>
        <v/>
      </c>
      <c r="AU5777">
        <f>IF(U5777&gt;=AN5777-0.01,1,0)</f>
        <v/>
      </c>
      <c r="AV5777">
        <f>IF(V5777&gt;=AO5777-0.01,1,0)</f>
        <v/>
      </c>
      <c r="AW5777">
        <f>IF(W5777&gt;=AP5777-0.01,1,0)</f>
        <v/>
      </c>
      <c r="AX5777">
        <f>AQ5777*AR5777*AS5777*AT5777*AU5777*AV5777*AW5777</f>
        <v/>
      </c>
    </row>
    <row r="5778">
      <c r="A5778" t="inlineStr"/>
      <c r="B5778">
        <f>Assumptions!$B$60</f>
        <v/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>
        <f>(1-C5778)*Assumptions!$B$41+(1-D5778)*Assumptions!$B$33+(1-E5778)*Assumptions!$B$32+(1-F5778)*Assumptions!$B$31+(1-G5778)*Assumptions!$B$30+(1-H5778)*Assumptions!$B$29+(1-I5778)*Assumptions!$B$28</f>
        <v/>
      </c>
      <c r="K5778">
        <f>C5778*$J$607+D5778*$F$607+E5778*$G$607+F5778*Assumptions!$B$14+G5778*Assumptions!$B$13+H5778*Assumptions!$B$12+I5778*Assumptions!$B$11+$O$607+$S$607+Assumptions!$B$9</f>
        <v/>
      </c>
      <c r="L5778">
        <f>B5778-J5778</f>
        <v/>
      </c>
      <c r="M5778">
        <f>IF(K5778&gt;0,IF(L5778/K5778&gt;=Assumptions!$B$37,1,0),0)</f>
        <v/>
      </c>
      <c r="N5778">
        <f>K5778+M5778*Assumptions!$B$153</f>
        <v/>
      </c>
      <c r="O5778">
        <f>L5778+M5778*Assumptions!$B$153*Assumptions!$B$37</f>
        <v/>
      </c>
      <c r="P5778">
        <f>IF(N5778&gt;0,O5778/N5778,0)</f>
        <v/>
      </c>
      <c r="Q5778">
        <f>IF(C5778=1,P5778*$J$607,Assumptions!$B$41)</f>
        <v/>
      </c>
      <c r="R5778">
        <f>IF(D5778=1,P5778*$F$607,Assumptions!$B$33)</f>
        <v/>
      </c>
      <c r="S5778">
        <f>IF(E5778=1,P5778*$G$607,Assumptions!$B$32)</f>
        <v/>
      </c>
      <c r="T5778">
        <f>IF(F5778=1,P5778*Assumptions!$B$14,Assumptions!$B$31)</f>
        <v/>
      </c>
      <c r="U5778">
        <f>IF(G5778=1,P5778*Assumptions!$B$13,Assumptions!$B$30)</f>
        <v/>
      </c>
      <c r="V5778">
        <f>IF(H5778=1,P5778*Assumptions!$B$12,Assumptions!$B$29)</f>
        <v/>
      </c>
      <c r="W5778">
        <f>IF(I5778=1,P5778*Assumptions!$B$11,Assumptions!$B$28)</f>
        <v/>
      </c>
      <c r="X5778">
        <f>P5778*($O$607+$S$607)</f>
        <v/>
      </c>
      <c r="Y5778">
        <f>P5778*Assumptions!$B$9</f>
        <v/>
      </c>
      <c r="Z5778">
        <f>IF(M5778=1,(P5778-Assumptions!$B$37)*Assumptions!$B$153,0)</f>
        <v/>
      </c>
      <c r="AA5778">
        <f>Q5778+R5778+S5778+T5778+U5778+V5778+W5778+X5778+Y5778+Z5778</f>
        <v/>
      </c>
      <c r="AB5778" t="n">
        <v>10</v>
      </c>
      <c r="AC5778" t="n">
        <v>74</v>
      </c>
      <c r="AD5778" t="n">
        <v>42</v>
      </c>
      <c r="AE5778" t="n">
        <v>26</v>
      </c>
      <c r="AF5778" t="n">
        <v>2</v>
      </c>
      <c r="AG5778" t="n">
        <v>14</v>
      </c>
      <c r="AH5778" t="n">
        <v>8</v>
      </c>
      <c r="AI5778" t="n">
        <v>11</v>
      </c>
      <c r="AJ5778">
        <f>INDEX($Q$5768:$Q$5895,AC5778+1)</f>
        <v/>
      </c>
      <c r="AK5778">
        <f>INDEX($R$5768:$R$5895,AD5778+1)</f>
        <v/>
      </c>
      <c r="AL5778">
        <f>INDEX($S$5768:$S$5895,AE5778+1)</f>
        <v/>
      </c>
      <c r="AM5778">
        <f>INDEX($T$5768:$T$5895,AF5778+1)</f>
        <v/>
      </c>
      <c r="AN5778">
        <f>INDEX($U$5768:$U$5895,AG5778+1)</f>
        <v/>
      </c>
      <c r="AO5778">
        <f>INDEX($V$5768:$V$5895,AH5778+1)</f>
        <v/>
      </c>
      <c r="AP5778">
        <f>INDEX($W$5768:$W$5895,AI5778+1)</f>
        <v/>
      </c>
      <c r="AQ5778">
        <f>IF(Q5778&gt;=AJ5778-0.01,1,0)</f>
        <v/>
      </c>
      <c r="AR5778">
        <f>IF(R5778&gt;=AK5778-0.01,1,0)</f>
        <v/>
      </c>
      <c r="AS5778">
        <f>IF(S5778&gt;=AL5778-0.01,1,0)</f>
        <v/>
      </c>
      <c r="AT5778">
        <f>IF(T5778&gt;=AM5778-0.01,1,0)</f>
        <v/>
      </c>
      <c r="AU5778">
        <f>IF(U5778&gt;=AN5778-0.01,1,0)</f>
        <v/>
      </c>
      <c r="AV5778">
        <f>IF(V5778&gt;=AO5778-0.01,1,0)</f>
        <v/>
      </c>
      <c r="AW5778">
        <f>IF(W5778&gt;=AP5778-0.01,1,0)</f>
        <v/>
      </c>
      <c r="AX5778">
        <f>AQ5778*AR5778*AS5778*AT5778*AU5778*AV5778*AW5778</f>
        <v/>
      </c>
    </row>
    <row r="5779">
      <c r="A5779" t="inlineStr"/>
      <c r="B5779">
        <f>Assumptions!$B$60</f>
        <v/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1</v>
      </c>
      <c r="I5779" t="n">
        <v>1</v>
      </c>
      <c r="J5779">
        <f>(1-C5779)*Assumptions!$B$41+(1-D5779)*Assumptions!$B$33+(1-E5779)*Assumptions!$B$32+(1-F5779)*Assumptions!$B$31+(1-G5779)*Assumptions!$B$30+(1-H5779)*Assumptions!$B$29+(1-I5779)*Assumptions!$B$28</f>
        <v/>
      </c>
      <c r="K5779">
        <f>C5779*$J$607+D5779*$F$607+E5779*$G$607+F5779*Assumptions!$B$14+G5779*Assumptions!$B$13+H5779*Assumptions!$B$12+I5779*Assumptions!$B$11+$O$607+$S$607+Assumptions!$B$9</f>
        <v/>
      </c>
      <c r="L5779">
        <f>B5779-J5779</f>
        <v/>
      </c>
      <c r="M5779">
        <f>IF(K5779&gt;0,IF(L5779/K5779&gt;=Assumptions!$B$37,1,0),0)</f>
        <v/>
      </c>
      <c r="N5779">
        <f>K5779+M5779*Assumptions!$B$153</f>
        <v/>
      </c>
      <c r="O5779">
        <f>L5779+M5779*Assumptions!$B$153*Assumptions!$B$37</f>
        <v/>
      </c>
      <c r="P5779">
        <f>IF(N5779&gt;0,O5779/N5779,0)</f>
        <v/>
      </c>
      <c r="Q5779">
        <f>IF(C5779=1,P5779*$J$607,Assumptions!$B$41)</f>
        <v/>
      </c>
      <c r="R5779">
        <f>IF(D5779=1,P5779*$F$607,Assumptions!$B$33)</f>
        <v/>
      </c>
      <c r="S5779">
        <f>IF(E5779=1,P5779*$G$607,Assumptions!$B$32)</f>
        <v/>
      </c>
      <c r="T5779">
        <f>IF(F5779=1,P5779*Assumptions!$B$14,Assumptions!$B$31)</f>
        <v/>
      </c>
      <c r="U5779">
        <f>IF(G5779=1,P5779*Assumptions!$B$13,Assumptions!$B$30)</f>
        <v/>
      </c>
      <c r="V5779">
        <f>IF(H5779=1,P5779*Assumptions!$B$12,Assumptions!$B$29)</f>
        <v/>
      </c>
      <c r="W5779">
        <f>IF(I5779=1,P5779*Assumptions!$B$11,Assumptions!$B$28)</f>
        <v/>
      </c>
      <c r="X5779">
        <f>P5779*($O$607+$S$607)</f>
        <v/>
      </c>
      <c r="Y5779">
        <f>P5779*Assumptions!$B$9</f>
        <v/>
      </c>
      <c r="Z5779">
        <f>IF(M5779=1,(P5779-Assumptions!$B$37)*Assumptions!$B$153,0)</f>
        <v/>
      </c>
      <c r="AA5779">
        <f>Q5779+R5779+S5779+T5779+U5779+V5779+W5779+X5779+Y5779+Z5779</f>
        <v/>
      </c>
      <c r="AB5779" t="n">
        <v>11</v>
      </c>
      <c r="AC5779" t="n">
        <v>75</v>
      </c>
      <c r="AD5779" t="n">
        <v>43</v>
      </c>
      <c r="AE5779" t="n">
        <v>27</v>
      </c>
      <c r="AF5779" t="n">
        <v>3</v>
      </c>
      <c r="AG5779" t="n">
        <v>15</v>
      </c>
      <c r="AH5779" t="n">
        <v>9</v>
      </c>
      <c r="AI5779" t="n">
        <v>10</v>
      </c>
      <c r="AJ5779">
        <f>INDEX($Q$5768:$Q$5895,AC5779+1)</f>
        <v/>
      </c>
      <c r="AK5779">
        <f>INDEX($R$5768:$R$5895,AD5779+1)</f>
        <v/>
      </c>
      <c r="AL5779">
        <f>INDEX($S$5768:$S$5895,AE5779+1)</f>
        <v/>
      </c>
      <c r="AM5779">
        <f>INDEX($T$5768:$T$5895,AF5779+1)</f>
        <v/>
      </c>
      <c r="AN5779">
        <f>INDEX($U$5768:$U$5895,AG5779+1)</f>
        <v/>
      </c>
      <c r="AO5779">
        <f>INDEX($V$5768:$V$5895,AH5779+1)</f>
        <v/>
      </c>
      <c r="AP5779">
        <f>INDEX($W$5768:$W$5895,AI5779+1)</f>
        <v/>
      </c>
      <c r="AQ5779">
        <f>IF(Q5779&gt;=AJ5779-0.01,1,0)</f>
        <v/>
      </c>
      <c r="AR5779">
        <f>IF(R5779&gt;=AK5779-0.01,1,0)</f>
        <v/>
      </c>
      <c r="AS5779">
        <f>IF(S5779&gt;=AL5779-0.01,1,0)</f>
        <v/>
      </c>
      <c r="AT5779">
        <f>IF(T5779&gt;=AM5779-0.01,1,0)</f>
        <v/>
      </c>
      <c r="AU5779">
        <f>IF(U5779&gt;=AN5779-0.01,1,0)</f>
        <v/>
      </c>
      <c r="AV5779">
        <f>IF(V5779&gt;=AO5779-0.01,1,0)</f>
        <v/>
      </c>
      <c r="AW5779">
        <f>IF(W5779&gt;=AP5779-0.01,1,0)</f>
        <v/>
      </c>
      <c r="AX5779">
        <f>AQ5779*AR5779*AS5779*AT5779*AU5779*AV5779*AW5779</f>
        <v/>
      </c>
    </row>
    <row r="5780">
      <c r="A5780" t="inlineStr"/>
      <c r="B5780">
        <f>Assumptions!$B$60</f>
        <v/>
      </c>
      <c r="C5780" t="n">
        <v>0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>
        <f>(1-C5780)*Assumptions!$B$41+(1-D5780)*Assumptions!$B$33+(1-E5780)*Assumptions!$B$32+(1-F5780)*Assumptions!$B$31+(1-G5780)*Assumptions!$B$30+(1-H5780)*Assumptions!$B$29+(1-I5780)*Assumptions!$B$28</f>
        <v/>
      </c>
      <c r="K5780">
        <f>C5780*$J$607+D5780*$F$607+E5780*$G$607+F5780*Assumptions!$B$14+G5780*Assumptions!$B$13+H5780*Assumptions!$B$12+I5780*Assumptions!$B$11+$O$607+$S$607+Assumptions!$B$9</f>
        <v/>
      </c>
      <c r="L5780">
        <f>B5780-J5780</f>
        <v/>
      </c>
      <c r="M5780">
        <f>IF(K5780&gt;0,IF(L5780/K5780&gt;=Assumptions!$B$37,1,0),0)</f>
        <v/>
      </c>
      <c r="N5780">
        <f>K5780+M5780*Assumptions!$B$153</f>
        <v/>
      </c>
      <c r="O5780">
        <f>L5780+M5780*Assumptions!$B$153*Assumptions!$B$37</f>
        <v/>
      </c>
      <c r="P5780">
        <f>IF(N5780&gt;0,O5780/N5780,0)</f>
        <v/>
      </c>
      <c r="Q5780">
        <f>IF(C5780=1,P5780*$J$607,Assumptions!$B$41)</f>
        <v/>
      </c>
      <c r="R5780">
        <f>IF(D5780=1,P5780*$F$607,Assumptions!$B$33)</f>
        <v/>
      </c>
      <c r="S5780">
        <f>IF(E5780=1,P5780*$G$607,Assumptions!$B$32)</f>
        <v/>
      </c>
      <c r="T5780">
        <f>IF(F5780=1,P5780*Assumptions!$B$14,Assumptions!$B$31)</f>
        <v/>
      </c>
      <c r="U5780">
        <f>IF(G5780=1,P5780*Assumptions!$B$13,Assumptions!$B$30)</f>
        <v/>
      </c>
      <c r="V5780">
        <f>IF(H5780=1,P5780*Assumptions!$B$12,Assumptions!$B$29)</f>
        <v/>
      </c>
      <c r="W5780">
        <f>IF(I5780=1,P5780*Assumptions!$B$11,Assumptions!$B$28)</f>
        <v/>
      </c>
      <c r="X5780">
        <f>P5780*($O$607+$S$607)</f>
        <v/>
      </c>
      <c r="Y5780">
        <f>P5780*Assumptions!$B$9</f>
        <v/>
      </c>
      <c r="Z5780">
        <f>IF(M5780=1,(P5780-Assumptions!$B$37)*Assumptions!$B$153,0)</f>
        <v/>
      </c>
      <c r="AA5780">
        <f>Q5780+R5780+S5780+T5780+U5780+V5780+W5780+X5780+Y5780+Z5780</f>
        <v/>
      </c>
      <c r="AB5780" t="n">
        <v>12</v>
      </c>
      <c r="AC5780" t="n">
        <v>76</v>
      </c>
      <c r="AD5780" t="n">
        <v>44</v>
      </c>
      <c r="AE5780" t="n">
        <v>28</v>
      </c>
      <c r="AF5780" t="n">
        <v>4</v>
      </c>
      <c r="AG5780" t="n">
        <v>8</v>
      </c>
      <c r="AH5780" t="n">
        <v>14</v>
      </c>
      <c r="AI5780" t="n">
        <v>13</v>
      </c>
      <c r="AJ5780">
        <f>INDEX($Q$5768:$Q$5895,AC5780+1)</f>
        <v/>
      </c>
      <c r="AK5780">
        <f>INDEX($R$5768:$R$5895,AD5780+1)</f>
        <v/>
      </c>
      <c r="AL5780">
        <f>INDEX($S$5768:$S$5895,AE5780+1)</f>
        <v/>
      </c>
      <c r="AM5780">
        <f>INDEX($T$5768:$T$5895,AF5780+1)</f>
        <v/>
      </c>
      <c r="AN5780">
        <f>INDEX($U$5768:$U$5895,AG5780+1)</f>
        <v/>
      </c>
      <c r="AO5780">
        <f>INDEX($V$5768:$V$5895,AH5780+1)</f>
        <v/>
      </c>
      <c r="AP5780">
        <f>INDEX($W$5768:$W$5895,AI5780+1)</f>
        <v/>
      </c>
      <c r="AQ5780">
        <f>IF(Q5780&gt;=AJ5780-0.01,1,0)</f>
        <v/>
      </c>
      <c r="AR5780">
        <f>IF(R5780&gt;=AK5780-0.01,1,0)</f>
        <v/>
      </c>
      <c r="AS5780">
        <f>IF(S5780&gt;=AL5780-0.01,1,0)</f>
        <v/>
      </c>
      <c r="AT5780">
        <f>IF(T5780&gt;=AM5780-0.01,1,0)</f>
        <v/>
      </c>
      <c r="AU5780">
        <f>IF(U5780&gt;=AN5780-0.01,1,0)</f>
        <v/>
      </c>
      <c r="AV5780">
        <f>IF(V5780&gt;=AO5780-0.01,1,0)</f>
        <v/>
      </c>
      <c r="AW5780">
        <f>IF(W5780&gt;=AP5780-0.01,1,0)</f>
        <v/>
      </c>
      <c r="AX5780">
        <f>AQ5780*AR5780*AS5780*AT5780*AU5780*AV5780*AW5780</f>
        <v/>
      </c>
    </row>
    <row r="5781">
      <c r="A5781" t="inlineStr"/>
      <c r="B5781">
        <f>Assumptions!$B$60</f>
        <v/>
      </c>
      <c r="C5781" t="n">
        <v>0</v>
      </c>
      <c r="D5781" t="n">
        <v>0</v>
      </c>
      <c r="E5781" t="n">
        <v>0</v>
      </c>
      <c r="F5781" t="n">
        <v>1</v>
      </c>
      <c r="G5781" t="n">
        <v>1</v>
      </c>
      <c r="H5781" t="n">
        <v>0</v>
      </c>
      <c r="I5781" t="n">
        <v>1</v>
      </c>
      <c r="J5781">
        <f>(1-C5781)*Assumptions!$B$41+(1-D5781)*Assumptions!$B$33+(1-E5781)*Assumptions!$B$32+(1-F5781)*Assumptions!$B$31+(1-G5781)*Assumptions!$B$30+(1-H5781)*Assumptions!$B$29+(1-I5781)*Assumptions!$B$28</f>
        <v/>
      </c>
      <c r="K5781">
        <f>C5781*$J$607+D5781*$F$607+E5781*$G$607+F5781*Assumptions!$B$14+G5781*Assumptions!$B$13+H5781*Assumptions!$B$12+I5781*Assumptions!$B$11+$O$607+$S$607+Assumptions!$B$9</f>
        <v/>
      </c>
      <c r="L5781">
        <f>B5781-J5781</f>
        <v/>
      </c>
      <c r="M5781">
        <f>IF(K5781&gt;0,IF(L5781/K5781&gt;=Assumptions!$B$37,1,0),0)</f>
        <v/>
      </c>
      <c r="N5781">
        <f>K5781+M5781*Assumptions!$B$153</f>
        <v/>
      </c>
      <c r="O5781">
        <f>L5781+M5781*Assumptions!$B$153*Assumptions!$B$37</f>
        <v/>
      </c>
      <c r="P5781">
        <f>IF(N5781&gt;0,O5781/N5781,0)</f>
        <v/>
      </c>
      <c r="Q5781">
        <f>IF(C5781=1,P5781*$J$607,Assumptions!$B$41)</f>
        <v/>
      </c>
      <c r="R5781">
        <f>IF(D5781=1,P5781*$F$607,Assumptions!$B$33)</f>
        <v/>
      </c>
      <c r="S5781">
        <f>IF(E5781=1,P5781*$G$607,Assumptions!$B$32)</f>
        <v/>
      </c>
      <c r="T5781">
        <f>IF(F5781=1,P5781*Assumptions!$B$14,Assumptions!$B$31)</f>
        <v/>
      </c>
      <c r="U5781">
        <f>IF(G5781=1,P5781*Assumptions!$B$13,Assumptions!$B$30)</f>
        <v/>
      </c>
      <c r="V5781">
        <f>IF(H5781=1,P5781*Assumptions!$B$12,Assumptions!$B$29)</f>
        <v/>
      </c>
      <c r="W5781">
        <f>IF(I5781=1,P5781*Assumptions!$B$11,Assumptions!$B$28)</f>
        <v/>
      </c>
      <c r="X5781">
        <f>P5781*($O$607+$S$607)</f>
        <v/>
      </c>
      <c r="Y5781">
        <f>P5781*Assumptions!$B$9</f>
        <v/>
      </c>
      <c r="Z5781">
        <f>IF(M5781=1,(P5781-Assumptions!$B$37)*Assumptions!$B$153,0)</f>
        <v/>
      </c>
      <c r="AA5781">
        <f>Q5781+R5781+S5781+T5781+U5781+V5781+W5781+X5781+Y5781+Z5781</f>
        <v/>
      </c>
      <c r="AB5781" t="n">
        <v>13</v>
      </c>
      <c r="AC5781" t="n">
        <v>77</v>
      </c>
      <c r="AD5781" t="n">
        <v>45</v>
      </c>
      <c r="AE5781" t="n">
        <v>29</v>
      </c>
      <c r="AF5781" t="n">
        <v>5</v>
      </c>
      <c r="AG5781" t="n">
        <v>9</v>
      </c>
      <c r="AH5781" t="n">
        <v>15</v>
      </c>
      <c r="AI5781" t="n">
        <v>12</v>
      </c>
      <c r="AJ5781">
        <f>INDEX($Q$5768:$Q$5895,AC5781+1)</f>
        <v/>
      </c>
      <c r="AK5781">
        <f>INDEX($R$5768:$R$5895,AD5781+1)</f>
        <v/>
      </c>
      <c r="AL5781">
        <f>INDEX($S$5768:$S$5895,AE5781+1)</f>
        <v/>
      </c>
      <c r="AM5781">
        <f>INDEX($T$5768:$T$5895,AF5781+1)</f>
        <v/>
      </c>
      <c r="AN5781">
        <f>INDEX($U$5768:$U$5895,AG5781+1)</f>
        <v/>
      </c>
      <c r="AO5781">
        <f>INDEX($V$5768:$V$5895,AH5781+1)</f>
        <v/>
      </c>
      <c r="AP5781">
        <f>INDEX($W$5768:$W$5895,AI5781+1)</f>
        <v/>
      </c>
      <c r="AQ5781">
        <f>IF(Q5781&gt;=AJ5781-0.01,1,0)</f>
        <v/>
      </c>
      <c r="AR5781">
        <f>IF(R5781&gt;=AK5781-0.01,1,0)</f>
        <v/>
      </c>
      <c r="AS5781">
        <f>IF(S5781&gt;=AL5781-0.01,1,0)</f>
        <v/>
      </c>
      <c r="AT5781">
        <f>IF(T5781&gt;=AM5781-0.01,1,0)</f>
        <v/>
      </c>
      <c r="AU5781">
        <f>IF(U5781&gt;=AN5781-0.01,1,0)</f>
        <v/>
      </c>
      <c r="AV5781">
        <f>IF(V5781&gt;=AO5781-0.01,1,0)</f>
        <v/>
      </c>
      <c r="AW5781">
        <f>IF(W5781&gt;=AP5781-0.01,1,0)</f>
        <v/>
      </c>
      <c r="AX5781">
        <f>AQ5781*AR5781*AS5781*AT5781*AU5781*AV5781*AW5781</f>
        <v/>
      </c>
    </row>
    <row r="5782">
      <c r="A5782" t="inlineStr"/>
      <c r="B5782">
        <f>Assumptions!$B$60</f>
        <v/>
      </c>
      <c r="C5782" t="n">
        <v>0</v>
      </c>
      <c r="D5782" t="n">
        <v>0</v>
      </c>
      <c r="E5782" t="n">
        <v>0</v>
      </c>
      <c r="F5782" t="n">
        <v>1</v>
      </c>
      <c r="G5782" t="n">
        <v>1</v>
      </c>
      <c r="H5782" t="n">
        <v>1</v>
      </c>
      <c r="I5782" t="n">
        <v>0</v>
      </c>
      <c r="J5782">
        <f>(1-C5782)*Assumptions!$B$41+(1-D5782)*Assumptions!$B$33+(1-E5782)*Assumptions!$B$32+(1-F5782)*Assumptions!$B$31+(1-G5782)*Assumptions!$B$30+(1-H5782)*Assumptions!$B$29+(1-I5782)*Assumptions!$B$28</f>
        <v/>
      </c>
      <c r="K5782">
        <f>C5782*$J$607+D5782*$F$607+E5782*$G$607+F5782*Assumptions!$B$14+G5782*Assumptions!$B$13+H5782*Assumptions!$B$12+I5782*Assumptions!$B$11+$O$607+$S$607+Assumptions!$B$9</f>
        <v/>
      </c>
      <c r="L5782">
        <f>B5782-J5782</f>
        <v/>
      </c>
      <c r="M5782">
        <f>IF(K5782&gt;0,IF(L5782/K5782&gt;=Assumptions!$B$37,1,0),0)</f>
        <v/>
      </c>
      <c r="N5782">
        <f>K5782+M5782*Assumptions!$B$153</f>
        <v/>
      </c>
      <c r="O5782">
        <f>L5782+M5782*Assumptions!$B$153*Assumptions!$B$37</f>
        <v/>
      </c>
      <c r="P5782">
        <f>IF(N5782&gt;0,O5782/N5782,0)</f>
        <v/>
      </c>
      <c r="Q5782">
        <f>IF(C5782=1,P5782*$J$607,Assumptions!$B$41)</f>
        <v/>
      </c>
      <c r="R5782">
        <f>IF(D5782=1,P5782*$F$607,Assumptions!$B$33)</f>
        <v/>
      </c>
      <c r="S5782">
        <f>IF(E5782=1,P5782*$G$607,Assumptions!$B$32)</f>
        <v/>
      </c>
      <c r="T5782">
        <f>IF(F5782=1,P5782*Assumptions!$B$14,Assumptions!$B$31)</f>
        <v/>
      </c>
      <c r="U5782">
        <f>IF(G5782=1,P5782*Assumptions!$B$13,Assumptions!$B$30)</f>
        <v/>
      </c>
      <c r="V5782">
        <f>IF(H5782=1,P5782*Assumptions!$B$12,Assumptions!$B$29)</f>
        <v/>
      </c>
      <c r="W5782">
        <f>IF(I5782=1,P5782*Assumptions!$B$11,Assumptions!$B$28)</f>
        <v/>
      </c>
      <c r="X5782">
        <f>P5782*($O$607+$S$607)</f>
        <v/>
      </c>
      <c r="Y5782">
        <f>P5782*Assumptions!$B$9</f>
        <v/>
      </c>
      <c r="Z5782">
        <f>IF(M5782=1,(P5782-Assumptions!$B$37)*Assumptions!$B$153,0)</f>
        <v/>
      </c>
      <c r="AA5782">
        <f>Q5782+R5782+S5782+T5782+U5782+V5782+W5782+X5782+Y5782+Z5782</f>
        <v/>
      </c>
      <c r="AB5782" t="n">
        <v>14</v>
      </c>
      <c r="AC5782" t="n">
        <v>78</v>
      </c>
      <c r="AD5782" t="n">
        <v>46</v>
      </c>
      <c r="AE5782" t="n">
        <v>30</v>
      </c>
      <c r="AF5782" t="n">
        <v>6</v>
      </c>
      <c r="AG5782" t="n">
        <v>10</v>
      </c>
      <c r="AH5782" t="n">
        <v>12</v>
      </c>
      <c r="AI5782" t="n">
        <v>15</v>
      </c>
      <c r="AJ5782">
        <f>INDEX($Q$5768:$Q$5895,AC5782+1)</f>
        <v/>
      </c>
      <c r="AK5782">
        <f>INDEX($R$5768:$R$5895,AD5782+1)</f>
        <v/>
      </c>
      <c r="AL5782">
        <f>INDEX($S$5768:$S$5895,AE5782+1)</f>
        <v/>
      </c>
      <c r="AM5782">
        <f>INDEX($T$5768:$T$5895,AF5782+1)</f>
        <v/>
      </c>
      <c r="AN5782">
        <f>INDEX($U$5768:$U$5895,AG5782+1)</f>
        <v/>
      </c>
      <c r="AO5782">
        <f>INDEX($V$5768:$V$5895,AH5782+1)</f>
        <v/>
      </c>
      <c r="AP5782">
        <f>INDEX($W$5768:$W$5895,AI5782+1)</f>
        <v/>
      </c>
      <c r="AQ5782">
        <f>IF(Q5782&gt;=AJ5782-0.01,1,0)</f>
        <v/>
      </c>
      <c r="AR5782">
        <f>IF(R5782&gt;=AK5782-0.01,1,0)</f>
        <v/>
      </c>
      <c r="AS5782">
        <f>IF(S5782&gt;=AL5782-0.01,1,0)</f>
        <v/>
      </c>
      <c r="AT5782">
        <f>IF(T5782&gt;=AM5782-0.01,1,0)</f>
        <v/>
      </c>
      <c r="AU5782">
        <f>IF(U5782&gt;=AN5782-0.01,1,0)</f>
        <v/>
      </c>
      <c r="AV5782">
        <f>IF(V5782&gt;=AO5782-0.01,1,0)</f>
        <v/>
      </c>
      <c r="AW5782">
        <f>IF(W5782&gt;=AP5782-0.01,1,0)</f>
        <v/>
      </c>
      <c r="AX5782">
        <f>AQ5782*AR5782*AS5782*AT5782*AU5782*AV5782*AW5782</f>
        <v/>
      </c>
    </row>
    <row r="5783">
      <c r="A5783" t="inlineStr"/>
      <c r="B5783">
        <f>Assumptions!$B$60</f>
        <v/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1</v>
      </c>
      <c r="I5783" t="n">
        <v>1</v>
      </c>
      <c r="J5783">
        <f>(1-C5783)*Assumptions!$B$41+(1-D5783)*Assumptions!$B$33+(1-E5783)*Assumptions!$B$32+(1-F5783)*Assumptions!$B$31+(1-G5783)*Assumptions!$B$30+(1-H5783)*Assumptions!$B$29+(1-I5783)*Assumptions!$B$28</f>
        <v/>
      </c>
      <c r="K5783">
        <f>C5783*$J$607+D5783*$F$607+E5783*$G$607+F5783*Assumptions!$B$14+G5783*Assumptions!$B$13+H5783*Assumptions!$B$12+I5783*Assumptions!$B$11+$O$607+$S$607+Assumptions!$B$9</f>
        <v/>
      </c>
      <c r="L5783">
        <f>B5783-J5783</f>
        <v/>
      </c>
      <c r="M5783">
        <f>IF(K5783&gt;0,IF(L5783/K5783&gt;=Assumptions!$B$37,1,0),0)</f>
        <v/>
      </c>
      <c r="N5783">
        <f>K5783+M5783*Assumptions!$B$153</f>
        <v/>
      </c>
      <c r="O5783">
        <f>L5783+M5783*Assumptions!$B$153*Assumptions!$B$37</f>
        <v/>
      </c>
      <c r="P5783">
        <f>IF(N5783&gt;0,O5783/N5783,0)</f>
        <v/>
      </c>
      <c r="Q5783">
        <f>IF(C5783=1,P5783*$J$607,Assumptions!$B$41)</f>
        <v/>
      </c>
      <c r="R5783">
        <f>IF(D5783=1,P5783*$F$607,Assumptions!$B$33)</f>
        <v/>
      </c>
      <c r="S5783">
        <f>IF(E5783=1,P5783*$G$607,Assumptions!$B$32)</f>
        <v/>
      </c>
      <c r="T5783">
        <f>IF(F5783=1,P5783*Assumptions!$B$14,Assumptions!$B$31)</f>
        <v/>
      </c>
      <c r="U5783">
        <f>IF(G5783=1,P5783*Assumptions!$B$13,Assumptions!$B$30)</f>
        <v/>
      </c>
      <c r="V5783">
        <f>IF(H5783=1,P5783*Assumptions!$B$12,Assumptions!$B$29)</f>
        <v/>
      </c>
      <c r="W5783">
        <f>IF(I5783=1,P5783*Assumptions!$B$11,Assumptions!$B$28)</f>
        <v/>
      </c>
      <c r="X5783">
        <f>P5783*($O$607+$S$607)</f>
        <v/>
      </c>
      <c r="Y5783">
        <f>P5783*Assumptions!$B$9</f>
        <v/>
      </c>
      <c r="Z5783">
        <f>IF(M5783=1,(P5783-Assumptions!$B$37)*Assumptions!$B$153,0)</f>
        <v/>
      </c>
      <c r="AA5783">
        <f>Q5783+R5783+S5783+T5783+U5783+V5783+W5783+X5783+Y5783+Z5783</f>
        <v/>
      </c>
      <c r="AB5783" t="n">
        <v>15</v>
      </c>
      <c r="AC5783" t="n">
        <v>79</v>
      </c>
      <c r="AD5783" t="n">
        <v>47</v>
      </c>
      <c r="AE5783" t="n">
        <v>31</v>
      </c>
      <c r="AF5783" t="n">
        <v>7</v>
      </c>
      <c r="AG5783" t="n">
        <v>11</v>
      </c>
      <c r="AH5783" t="n">
        <v>13</v>
      </c>
      <c r="AI5783" t="n">
        <v>14</v>
      </c>
      <c r="AJ5783">
        <f>INDEX($Q$5768:$Q$5895,AC5783+1)</f>
        <v/>
      </c>
      <c r="AK5783">
        <f>INDEX($R$5768:$R$5895,AD5783+1)</f>
        <v/>
      </c>
      <c r="AL5783">
        <f>INDEX($S$5768:$S$5895,AE5783+1)</f>
        <v/>
      </c>
      <c r="AM5783">
        <f>INDEX($T$5768:$T$5895,AF5783+1)</f>
        <v/>
      </c>
      <c r="AN5783">
        <f>INDEX($U$5768:$U$5895,AG5783+1)</f>
        <v/>
      </c>
      <c r="AO5783">
        <f>INDEX($V$5768:$V$5895,AH5783+1)</f>
        <v/>
      </c>
      <c r="AP5783">
        <f>INDEX($W$5768:$W$5895,AI5783+1)</f>
        <v/>
      </c>
      <c r="AQ5783">
        <f>IF(Q5783&gt;=AJ5783-0.01,1,0)</f>
        <v/>
      </c>
      <c r="AR5783">
        <f>IF(R5783&gt;=AK5783-0.01,1,0)</f>
        <v/>
      </c>
      <c r="AS5783">
        <f>IF(S5783&gt;=AL5783-0.01,1,0)</f>
        <v/>
      </c>
      <c r="AT5783">
        <f>IF(T5783&gt;=AM5783-0.01,1,0)</f>
        <v/>
      </c>
      <c r="AU5783">
        <f>IF(U5783&gt;=AN5783-0.01,1,0)</f>
        <v/>
      </c>
      <c r="AV5783">
        <f>IF(V5783&gt;=AO5783-0.01,1,0)</f>
        <v/>
      </c>
      <c r="AW5783">
        <f>IF(W5783&gt;=AP5783-0.01,1,0)</f>
        <v/>
      </c>
      <c r="AX5783">
        <f>AQ5783*AR5783*AS5783*AT5783*AU5783*AV5783*AW5783</f>
        <v/>
      </c>
    </row>
    <row r="5784">
      <c r="A5784" t="inlineStr"/>
      <c r="B5784">
        <f>Assumptions!$B$60</f>
        <v/>
      </c>
      <c r="C5784" t="n">
        <v>0</v>
      </c>
      <c r="D5784" t="n">
        <v>0</v>
      </c>
      <c r="E5784" t="n">
        <v>1</v>
      </c>
      <c r="F5784" t="n">
        <v>0</v>
      </c>
      <c r="G5784" t="n">
        <v>0</v>
      </c>
      <c r="H5784" t="n">
        <v>0</v>
      </c>
      <c r="I5784" t="n">
        <v>0</v>
      </c>
      <c r="J5784">
        <f>(1-C5784)*Assumptions!$B$41+(1-D5784)*Assumptions!$B$33+(1-E5784)*Assumptions!$B$32+(1-F5784)*Assumptions!$B$31+(1-G5784)*Assumptions!$B$30+(1-H5784)*Assumptions!$B$29+(1-I5784)*Assumptions!$B$28</f>
        <v/>
      </c>
      <c r="K5784">
        <f>C5784*$J$607+D5784*$F$607+E5784*$G$607+F5784*Assumptions!$B$14+G5784*Assumptions!$B$13+H5784*Assumptions!$B$12+I5784*Assumptions!$B$11+$O$607+$S$607+Assumptions!$B$9</f>
        <v/>
      </c>
      <c r="L5784">
        <f>B5784-J5784</f>
        <v/>
      </c>
      <c r="M5784">
        <f>IF(K5784&gt;0,IF(L5784/K5784&gt;=Assumptions!$B$37,1,0),0)</f>
        <v/>
      </c>
      <c r="N5784">
        <f>K5784+M5784*Assumptions!$B$153</f>
        <v/>
      </c>
      <c r="O5784">
        <f>L5784+M5784*Assumptions!$B$153*Assumptions!$B$37</f>
        <v/>
      </c>
      <c r="P5784">
        <f>IF(N5784&gt;0,O5784/N5784,0)</f>
        <v/>
      </c>
      <c r="Q5784">
        <f>IF(C5784=1,P5784*$J$607,Assumptions!$B$41)</f>
        <v/>
      </c>
      <c r="R5784">
        <f>IF(D5784=1,P5784*$F$607,Assumptions!$B$33)</f>
        <v/>
      </c>
      <c r="S5784">
        <f>IF(E5784=1,P5784*$G$607,Assumptions!$B$32)</f>
        <v/>
      </c>
      <c r="T5784">
        <f>IF(F5784=1,P5784*Assumptions!$B$14,Assumptions!$B$31)</f>
        <v/>
      </c>
      <c r="U5784">
        <f>IF(G5784=1,P5784*Assumptions!$B$13,Assumptions!$B$30)</f>
        <v/>
      </c>
      <c r="V5784">
        <f>IF(H5784=1,P5784*Assumptions!$B$12,Assumptions!$B$29)</f>
        <v/>
      </c>
      <c r="W5784">
        <f>IF(I5784=1,P5784*Assumptions!$B$11,Assumptions!$B$28)</f>
        <v/>
      </c>
      <c r="X5784">
        <f>P5784*($O$607+$S$607)</f>
        <v/>
      </c>
      <c r="Y5784">
        <f>P5784*Assumptions!$B$9</f>
        <v/>
      </c>
      <c r="Z5784">
        <f>IF(M5784=1,(P5784-Assumptions!$B$37)*Assumptions!$B$153,0)</f>
        <v/>
      </c>
      <c r="AA5784">
        <f>Q5784+R5784+S5784+T5784+U5784+V5784+W5784+X5784+Y5784+Z5784</f>
        <v/>
      </c>
      <c r="AB5784" t="n">
        <v>16</v>
      </c>
      <c r="AC5784" t="n">
        <v>80</v>
      </c>
      <c r="AD5784" t="n">
        <v>48</v>
      </c>
      <c r="AE5784" t="n">
        <v>0</v>
      </c>
      <c r="AF5784" t="n">
        <v>24</v>
      </c>
      <c r="AG5784" t="n">
        <v>20</v>
      </c>
      <c r="AH5784" t="n">
        <v>18</v>
      </c>
      <c r="AI5784" t="n">
        <v>17</v>
      </c>
      <c r="AJ5784">
        <f>INDEX($Q$5768:$Q$5895,AC5784+1)</f>
        <v/>
      </c>
      <c r="AK5784">
        <f>INDEX($R$5768:$R$5895,AD5784+1)</f>
        <v/>
      </c>
      <c r="AL5784">
        <f>INDEX($S$5768:$S$5895,AE5784+1)</f>
        <v/>
      </c>
      <c r="AM5784">
        <f>INDEX($T$5768:$T$5895,AF5784+1)</f>
        <v/>
      </c>
      <c r="AN5784">
        <f>INDEX($U$5768:$U$5895,AG5784+1)</f>
        <v/>
      </c>
      <c r="AO5784">
        <f>INDEX($V$5768:$V$5895,AH5784+1)</f>
        <v/>
      </c>
      <c r="AP5784">
        <f>INDEX($W$5768:$W$5895,AI5784+1)</f>
        <v/>
      </c>
      <c r="AQ5784">
        <f>IF(Q5784&gt;=AJ5784-0.01,1,0)</f>
        <v/>
      </c>
      <c r="AR5784">
        <f>IF(R5784&gt;=AK5784-0.01,1,0)</f>
        <v/>
      </c>
      <c r="AS5784">
        <f>IF(S5784&gt;=AL5784-0.01,1,0)</f>
        <v/>
      </c>
      <c r="AT5784">
        <f>IF(T5784&gt;=AM5784-0.01,1,0)</f>
        <v/>
      </c>
      <c r="AU5784">
        <f>IF(U5784&gt;=AN5784-0.01,1,0)</f>
        <v/>
      </c>
      <c r="AV5784">
        <f>IF(V5784&gt;=AO5784-0.01,1,0)</f>
        <v/>
      </c>
      <c r="AW5784">
        <f>IF(W5784&gt;=AP5784-0.01,1,0)</f>
        <v/>
      </c>
      <c r="AX5784">
        <f>AQ5784*AR5784*AS5784*AT5784*AU5784*AV5784*AW5784</f>
        <v/>
      </c>
    </row>
    <row r="5785">
      <c r="A5785" t="inlineStr"/>
      <c r="B5785">
        <f>Assumptions!$B$60</f>
        <v/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>
        <f>(1-C5785)*Assumptions!$B$41+(1-D5785)*Assumptions!$B$33+(1-E5785)*Assumptions!$B$32+(1-F5785)*Assumptions!$B$31+(1-G5785)*Assumptions!$B$30+(1-H5785)*Assumptions!$B$29+(1-I5785)*Assumptions!$B$28</f>
        <v/>
      </c>
      <c r="K5785">
        <f>C5785*$J$607+D5785*$F$607+E5785*$G$607+F5785*Assumptions!$B$14+G5785*Assumptions!$B$13+H5785*Assumptions!$B$12+I5785*Assumptions!$B$11+$O$607+$S$607+Assumptions!$B$9</f>
        <v/>
      </c>
      <c r="L5785">
        <f>B5785-J5785</f>
        <v/>
      </c>
      <c r="M5785">
        <f>IF(K5785&gt;0,IF(L5785/K5785&gt;=Assumptions!$B$37,1,0),0)</f>
        <v/>
      </c>
      <c r="N5785">
        <f>K5785+M5785*Assumptions!$B$153</f>
        <v/>
      </c>
      <c r="O5785">
        <f>L5785+M5785*Assumptions!$B$153*Assumptions!$B$37</f>
        <v/>
      </c>
      <c r="P5785">
        <f>IF(N5785&gt;0,O5785/N5785,0)</f>
        <v/>
      </c>
      <c r="Q5785">
        <f>IF(C5785=1,P5785*$J$607,Assumptions!$B$41)</f>
        <v/>
      </c>
      <c r="R5785">
        <f>IF(D5785=1,P5785*$F$607,Assumptions!$B$33)</f>
        <v/>
      </c>
      <c r="S5785">
        <f>IF(E5785=1,P5785*$G$607,Assumptions!$B$32)</f>
        <v/>
      </c>
      <c r="T5785">
        <f>IF(F5785=1,P5785*Assumptions!$B$14,Assumptions!$B$31)</f>
        <v/>
      </c>
      <c r="U5785">
        <f>IF(G5785=1,P5785*Assumptions!$B$13,Assumptions!$B$30)</f>
        <v/>
      </c>
      <c r="V5785">
        <f>IF(H5785=1,P5785*Assumptions!$B$12,Assumptions!$B$29)</f>
        <v/>
      </c>
      <c r="W5785">
        <f>IF(I5785=1,P5785*Assumptions!$B$11,Assumptions!$B$28)</f>
        <v/>
      </c>
      <c r="X5785">
        <f>P5785*($O$607+$S$607)</f>
        <v/>
      </c>
      <c r="Y5785">
        <f>P5785*Assumptions!$B$9</f>
        <v/>
      </c>
      <c r="Z5785">
        <f>IF(M5785=1,(P5785-Assumptions!$B$37)*Assumptions!$B$153,0)</f>
        <v/>
      </c>
      <c r="AA5785">
        <f>Q5785+R5785+S5785+T5785+U5785+V5785+W5785+X5785+Y5785+Z5785</f>
        <v/>
      </c>
      <c r="AB5785" t="n">
        <v>17</v>
      </c>
      <c r="AC5785" t="n">
        <v>81</v>
      </c>
      <c r="AD5785" t="n">
        <v>49</v>
      </c>
      <c r="AE5785" t="n">
        <v>1</v>
      </c>
      <c r="AF5785" t="n">
        <v>25</v>
      </c>
      <c r="AG5785" t="n">
        <v>21</v>
      </c>
      <c r="AH5785" t="n">
        <v>19</v>
      </c>
      <c r="AI5785" t="n">
        <v>16</v>
      </c>
      <c r="AJ5785">
        <f>INDEX($Q$5768:$Q$5895,AC5785+1)</f>
        <v/>
      </c>
      <c r="AK5785">
        <f>INDEX($R$5768:$R$5895,AD5785+1)</f>
        <v/>
      </c>
      <c r="AL5785">
        <f>INDEX($S$5768:$S$5895,AE5785+1)</f>
        <v/>
      </c>
      <c r="AM5785">
        <f>INDEX($T$5768:$T$5895,AF5785+1)</f>
        <v/>
      </c>
      <c r="AN5785">
        <f>INDEX($U$5768:$U$5895,AG5785+1)</f>
        <v/>
      </c>
      <c r="AO5785">
        <f>INDEX($V$5768:$V$5895,AH5785+1)</f>
        <v/>
      </c>
      <c r="AP5785">
        <f>INDEX($W$5768:$W$5895,AI5785+1)</f>
        <v/>
      </c>
      <c r="AQ5785">
        <f>IF(Q5785&gt;=AJ5785-0.01,1,0)</f>
        <v/>
      </c>
      <c r="AR5785">
        <f>IF(R5785&gt;=AK5785-0.01,1,0)</f>
        <v/>
      </c>
      <c r="AS5785">
        <f>IF(S5785&gt;=AL5785-0.01,1,0)</f>
        <v/>
      </c>
      <c r="AT5785">
        <f>IF(T5785&gt;=AM5785-0.01,1,0)</f>
        <v/>
      </c>
      <c r="AU5785">
        <f>IF(U5785&gt;=AN5785-0.01,1,0)</f>
        <v/>
      </c>
      <c r="AV5785">
        <f>IF(V5785&gt;=AO5785-0.01,1,0)</f>
        <v/>
      </c>
      <c r="AW5785">
        <f>IF(W5785&gt;=AP5785-0.01,1,0)</f>
        <v/>
      </c>
      <c r="AX5785">
        <f>AQ5785*AR5785*AS5785*AT5785*AU5785*AV5785*AW5785</f>
        <v/>
      </c>
    </row>
    <row r="5786">
      <c r="A5786" t="inlineStr"/>
      <c r="B5786">
        <f>Assumptions!$B$60</f>
        <v/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1</v>
      </c>
      <c r="I5786" t="n">
        <v>0</v>
      </c>
      <c r="J5786">
        <f>(1-C5786)*Assumptions!$B$41+(1-D5786)*Assumptions!$B$33+(1-E5786)*Assumptions!$B$32+(1-F5786)*Assumptions!$B$31+(1-G5786)*Assumptions!$B$30+(1-H5786)*Assumptions!$B$29+(1-I5786)*Assumptions!$B$28</f>
        <v/>
      </c>
      <c r="K5786">
        <f>C5786*$J$607+D5786*$F$607+E5786*$G$607+F5786*Assumptions!$B$14+G5786*Assumptions!$B$13+H5786*Assumptions!$B$12+I5786*Assumptions!$B$11+$O$607+$S$607+Assumptions!$B$9</f>
        <v/>
      </c>
      <c r="L5786">
        <f>B5786-J5786</f>
        <v/>
      </c>
      <c r="M5786">
        <f>IF(K5786&gt;0,IF(L5786/K5786&gt;=Assumptions!$B$37,1,0),0)</f>
        <v/>
      </c>
      <c r="N5786">
        <f>K5786+M5786*Assumptions!$B$153</f>
        <v/>
      </c>
      <c r="O5786">
        <f>L5786+M5786*Assumptions!$B$153*Assumptions!$B$37</f>
        <v/>
      </c>
      <c r="P5786">
        <f>IF(N5786&gt;0,O5786/N5786,0)</f>
        <v/>
      </c>
      <c r="Q5786">
        <f>IF(C5786=1,P5786*$J$607,Assumptions!$B$41)</f>
        <v/>
      </c>
      <c r="R5786">
        <f>IF(D5786=1,P5786*$F$607,Assumptions!$B$33)</f>
        <v/>
      </c>
      <c r="S5786">
        <f>IF(E5786=1,P5786*$G$607,Assumptions!$B$32)</f>
        <v/>
      </c>
      <c r="T5786">
        <f>IF(F5786=1,P5786*Assumptions!$B$14,Assumptions!$B$31)</f>
        <v/>
      </c>
      <c r="U5786">
        <f>IF(G5786=1,P5786*Assumptions!$B$13,Assumptions!$B$30)</f>
        <v/>
      </c>
      <c r="V5786">
        <f>IF(H5786=1,P5786*Assumptions!$B$12,Assumptions!$B$29)</f>
        <v/>
      </c>
      <c r="W5786">
        <f>IF(I5786=1,P5786*Assumptions!$B$11,Assumptions!$B$28)</f>
        <v/>
      </c>
      <c r="X5786">
        <f>P5786*($O$607+$S$607)</f>
        <v/>
      </c>
      <c r="Y5786">
        <f>P5786*Assumptions!$B$9</f>
        <v/>
      </c>
      <c r="Z5786">
        <f>IF(M5786=1,(P5786-Assumptions!$B$37)*Assumptions!$B$153,0)</f>
        <v/>
      </c>
      <c r="AA5786">
        <f>Q5786+R5786+S5786+T5786+U5786+V5786+W5786+X5786+Y5786+Z5786</f>
        <v/>
      </c>
      <c r="AB5786" t="n">
        <v>18</v>
      </c>
      <c r="AC5786" t="n">
        <v>82</v>
      </c>
      <c r="AD5786" t="n">
        <v>50</v>
      </c>
      <c r="AE5786" t="n">
        <v>2</v>
      </c>
      <c r="AF5786" t="n">
        <v>26</v>
      </c>
      <c r="AG5786" t="n">
        <v>22</v>
      </c>
      <c r="AH5786" t="n">
        <v>16</v>
      </c>
      <c r="AI5786" t="n">
        <v>19</v>
      </c>
      <c r="AJ5786">
        <f>INDEX($Q$5768:$Q$5895,AC5786+1)</f>
        <v/>
      </c>
      <c r="AK5786">
        <f>INDEX($R$5768:$R$5895,AD5786+1)</f>
        <v/>
      </c>
      <c r="AL5786">
        <f>INDEX($S$5768:$S$5895,AE5786+1)</f>
        <v/>
      </c>
      <c r="AM5786">
        <f>INDEX($T$5768:$T$5895,AF5786+1)</f>
        <v/>
      </c>
      <c r="AN5786">
        <f>INDEX($U$5768:$U$5895,AG5786+1)</f>
        <v/>
      </c>
      <c r="AO5786">
        <f>INDEX($V$5768:$V$5895,AH5786+1)</f>
        <v/>
      </c>
      <c r="AP5786">
        <f>INDEX($W$5768:$W$5895,AI5786+1)</f>
        <v/>
      </c>
      <c r="AQ5786">
        <f>IF(Q5786&gt;=AJ5786-0.01,1,0)</f>
        <v/>
      </c>
      <c r="AR5786">
        <f>IF(R5786&gt;=AK5786-0.01,1,0)</f>
        <v/>
      </c>
      <c r="AS5786">
        <f>IF(S5786&gt;=AL5786-0.01,1,0)</f>
        <v/>
      </c>
      <c r="AT5786">
        <f>IF(T5786&gt;=AM5786-0.01,1,0)</f>
        <v/>
      </c>
      <c r="AU5786">
        <f>IF(U5786&gt;=AN5786-0.01,1,0)</f>
        <v/>
      </c>
      <c r="AV5786">
        <f>IF(V5786&gt;=AO5786-0.01,1,0)</f>
        <v/>
      </c>
      <c r="AW5786">
        <f>IF(W5786&gt;=AP5786-0.01,1,0)</f>
        <v/>
      </c>
      <c r="AX5786">
        <f>AQ5786*AR5786*AS5786*AT5786*AU5786*AV5786*AW5786</f>
        <v/>
      </c>
    </row>
    <row r="5787">
      <c r="A5787" t="inlineStr"/>
      <c r="B5787">
        <f>Assumptions!$B$60</f>
        <v/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1</v>
      </c>
      <c r="I5787" t="n">
        <v>1</v>
      </c>
      <c r="J5787">
        <f>(1-C5787)*Assumptions!$B$41+(1-D5787)*Assumptions!$B$33+(1-E5787)*Assumptions!$B$32+(1-F5787)*Assumptions!$B$31+(1-G5787)*Assumptions!$B$30+(1-H5787)*Assumptions!$B$29+(1-I5787)*Assumptions!$B$28</f>
        <v/>
      </c>
      <c r="K5787">
        <f>C5787*$J$607+D5787*$F$607+E5787*$G$607+F5787*Assumptions!$B$14+G5787*Assumptions!$B$13+H5787*Assumptions!$B$12+I5787*Assumptions!$B$11+$O$607+$S$607+Assumptions!$B$9</f>
        <v/>
      </c>
      <c r="L5787">
        <f>B5787-J5787</f>
        <v/>
      </c>
      <c r="M5787">
        <f>IF(K5787&gt;0,IF(L5787/K5787&gt;=Assumptions!$B$37,1,0),0)</f>
        <v/>
      </c>
      <c r="N5787">
        <f>K5787+M5787*Assumptions!$B$153</f>
        <v/>
      </c>
      <c r="O5787">
        <f>L5787+M5787*Assumptions!$B$153*Assumptions!$B$37</f>
        <v/>
      </c>
      <c r="P5787">
        <f>IF(N5787&gt;0,O5787/N5787,0)</f>
        <v/>
      </c>
      <c r="Q5787">
        <f>IF(C5787=1,P5787*$J$607,Assumptions!$B$41)</f>
        <v/>
      </c>
      <c r="R5787">
        <f>IF(D5787=1,P5787*$F$607,Assumptions!$B$33)</f>
        <v/>
      </c>
      <c r="S5787">
        <f>IF(E5787=1,P5787*$G$607,Assumptions!$B$32)</f>
        <v/>
      </c>
      <c r="T5787">
        <f>IF(F5787=1,P5787*Assumptions!$B$14,Assumptions!$B$31)</f>
        <v/>
      </c>
      <c r="U5787">
        <f>IF(G5787=1,P5787*Assumptions!$B$13,Assumptions!$B$30)</f>
        <v/>
      </c>
      <c r="V5787">
        <f>IF(H5787=1,P5787*Assumptions!$B$12,Assumptions!$B$29)</f>
        <v/>
      </c>
      <c r="W5787">
        <f>IF(I5787=1,P5787*Assumptions!$B$11,Assumptions!$B$28)</f>
        <v/>
      </c>
      <c r="X5787">
        <f>P5787*($O$607+$S$607)</f>
        <v/>
      </c>
      <c r="Y5787">
        <f>P5787*Assumptions!$B$9</f>
        <v/>
      </c>
      <c r="Z5787">
        <f>IF(M5787=1,(P5787-Assumptions!$B$37)*Assumptions!$B$153,0)</f>
        <v/>
      </c>
      <c r="AA5787">
        <f>Q5787+R5787+S5787+T5787+U5787+V5787+W5787+X5787+Y5787+Z5787</f>
        <v/>
      </c>
      <c r="AB5787" t="n">
        <v>19</v>
      </c>
      <c r="AC5787" t="n">
        <v>83</v>
      </c>
      <c r="AD5787" t="n">
        <v>51</v>
      </c>
      <c r="AE5787" t="n">
        <v>3</v>
      </c>
      <c r="AF5787" t="n">
        <v>27</v>
      </c>
      <c r="AG5787" t="n">
        <v>23</v>
      </c>
      <c r="AH5787" t="n">
        <v>17</v>
      </c>
      <c r="AI5787" t="n">
        <v>18</v>
      </c>
      <c r="AJ5787">
        <f>INDEX($Q$5768:$Q$5895,AC5787+1)</f>
        <v/>
      </c>
      <c r="AK5787">
        <f>INDEX($R$5768:$R$5895,AD5787+1)</f>
        <v/>
      </c>
      <c r="AL5787">
        <f>INDEX($S$5768:$S$5895,AE5787+1)</f>
        <v/>
      </c>
      <c r="AM5787">
        <f>INDEX($T$5768:$T$5895,AF5787+1)</f>
        <v/>
      </c>
      <c r="AN5787">
        <f>INDEX($U$5768:$U$5895,AG5787+1)</f>
        <v/>
      </c>
      <c r="AO5787">
        <f>INDEX($V$5768:$V$5895,AH5787+1)</f>
        <v/>
      </c>
      <c r="AP5787">
        <f>INDEX($W$5768:$W$5895,AI5787+1)</f>
        <v/>
      </c>
      <c r="AQ5787">
        <f>IF(Q5787&gt;=AJ5787-0.01,1,0)</f>
        <v/>
      </c>
      <c r="AR5787">
        <f>IF(R5787&gt;=AK5787-0.01,1,0)</f>
        <v/>
      </c>
      <c r="AS5787">
        <f>IF(S5787&gt;=AL5787-0.01,1,0)</f>
        <v/>
      </c>
      <c r="AT5787">
        <f>IF(T5787&gt;=AM5787-0.01,1,0)</f>
        <v/>
      </c>
      <c r="AU5787">
        <f>IF(U5787&gt;=AN5787-0.01,1,0)</f>
        <v/>
      </c>
      <c r="AV5787">
        <f>IF(V5787&gt;=AO5787-0.01,1,0)</f>
        <v/>
      </c>
      <c r="AW5787">
        <f>IF(W5787&gt;=AP5787-0.01,1,0)</f>
        <v/>
      </c>
      <c r="AX5787">
        <f>AQ5787*AR5787*AS5787*AT5787*AU5787*AV5787*AW5787</f>
        <v/>
      </c>
    </row>
    <row r="5788">
      <c r="A5788" t="inlineStr"/>
      <c r="B5788">
        <f>Assumptions!$B$60</f>
        <v/>
      </c>
      <c r="C5788" t="n">
        <v>0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>
        <f>(1-C5788)*Assumptions!$B$41+(1-D5788)*Assumptions!$B$33+(1-E5788)*Assumptions!$B$32+(1-F5788)*Assumptions!$B$31+(1-G5788)*Assumptions!$B$30+(1-H5788)*Assumptions!$B$29+(1-I5788)*Assumptions!$B$28</f>
        <v/>
      </c>
      <c r="K5788">
        <f>C5788*$J$607+D5788*$F$607+E5788*$G$607+F5788*Assumptions!$B$14+G5788*Assumptions!$B$13+H5788*Assumptions!$B$12+I5788*Assumptions!$B$11+$O$607+$S$607+Assumptions!$B$9</f>
        <v/>
      </c>
      <c r="L5788">
        <f>B5788-J5788</f>
        <v/>
      </c>
      <c r="M5788">
        <f>IF(K5788&gt;0,IF(L5788/K5788&gt;=Assumptions!$B$37,1,0),0)</f>
        <v/>
      </c>
      <c r="N5788">
        <f>K5788+M5788*Assumptions!$B$153</f>
        <v/>
      </c>
      <c r="O5788">
        <f>L5788+M5788*Assumptions!$B$153*Assumptions!$B$37</f>
        <v/>
      </c>
      <c r="P5788">
        <f>IF(N5788&gt;0,O5788/N5788,0)</f>
        <v/>
      </c>
      <c r="Q5788">
        <f>IF(C5788=1,P5788*$J$607,Assumptions!$B$41)</f>
        <v/>
      </c>
      <c r="R5788">
        <f>IF(D5788=1,P5788*$F$607,Assumptions!$B$33)</f>
        <v/>
      </c>
      <c r="S5788">
        <f>IF(E5788=1,P5788*$G$607,Assumptions!$B$32)</f>
        <v/>
      </c>
      <c r="T5788">
        <f>IF(F5788=1,P5788*Assumptions!$B$14,Assumptions!$B$31)</f>
        <v/>
      </c>
      <c r="U5788">
        <f>IF(G5788=1,P5788*Assumptions!$B$13,Assumptions!$B$30)</f>
        <v/>
      </c>
      <c r="V5788">
        <f>IF(H5788=1,P5788*Assumptions!$B$12,Assumptions!$B$29)</f>
        <v/>
      </c>
      <c r="W5788">
        <f>IF(I5788=1,P5788*Assumptions!$B$11,Assumptions!$B$28)</f>
        <v/>
      </c>
      <c r="X5788">
        <f>P5788*($O$607+$S$607)</f>
        <v/>
      </c>
      <c r="Y5788">
        <f>P5788*Assumptions!$B$9</f>
        <v/>
      </c>
      <c r="Z5788">
        <f>IF(M5788=1,(P5788-Assumptions!$B$37)*Assumptions!$B$153,0)</f>
        <v/>
      </c>
      <c r="AA5788">
        <f>Q5788+R5788+S5788+T5788+U5788+V5788+W5788+X5788+Y5788+Z5788</f>
        <v/>
      </c>
      <c r="AB5788" t="n">
        <v>20</v>
      </c>
      <c r="AC5788" t="n">
        <v>84</v>
      </c>
      <c r="AD5788" t="n">
        <v>52</v>
      </c>
      <c r="AE5788" t="n">
        <v>4</v>
      </c>
      <c r="AF5788" t="n">
        <v>28</v>
      </c>
      <c r="AG5788" t="n">
        <v>16</v>
      </c>
      <c r="AH5788" t="n">
        <v>22</v>
      </c>
      <c r="AI5788" t="n">
        <v>21</v>
      </c>
      <c r="AJ5788">
        <f>INDEX($Q$5768:$Q$5895,AC5788+1)</f>
        <v/>
      </c>
      <c r="AK5788">
        <f>INDEX($R$5768:$R$5895,AD5788+1)</f>
        <v/>
      </c>
      <c r="AL5788">
        <f>INDEX($S$5768:$S$5895,AE5788+1)</f>
        <v/>
      </c>
      <c r="AM5788">
        <f>INDEX($T$5768:$T$5895,AF5788+1)</f>
        <v/>
      </c>
      <c r="AN5788">
        <f>INDEX($U$5768:$U$5895,AG5788+1)</f>
        <v/>
      </c>
      <c r="AO5788">
        <f>INDEX($V$5768:$V$5895,AH5788+1)</f>
        <v/>
      </c>
      <c r="AP5788">
        <f>INDEX($W$5768:$W$5895,AI5788+1)</f>
        <v/>
      </c>
      <c r="AQ5788">
        <f>IF(Q5788&gt;=AJ5788-0.01,1,0)</f>
        <v/>
      </c>
      <c r="AR5788">
        <f>IF(R5788&gt;=AK5788-0.01,1,0)</f>
        <v/>
      </c>
      <c r="AS5788">
        <f>IF(S5788&gt;=AL5788-0.01,1,0)</f>
        <v/>
      </c>
      <c r="AT5788">
        <f>IF(T5788&gt;=AM5788-0.01,1,0)</f>
        <v/>
      </c>
      <c r="AU5788">
        <f>IF(U5788&gt;=AN5788-0.01,1,0)</f>
        <v/>
      </c>
      <c r="AV5788">
        <f>IF(V5788&gt;=AO5788-0.01,1,0)</f>
        <v/>
      </c>
      <c r="AW5788">
        <f>IF(W5788&gt;=AP5788-0.01,1,0)</f>
        <v/>
      </c>
      <c r="AX5788">
        <f>AQ5788*AR5788*AS5788*AT5788*AU5788*AV5788*AW5788</f>
        <v/>
      </c>
    </row>
    <row r="5789">
      <c r="A5789" t="inlineStr"/>
      <c r="B5789">
        <f>Assumptions!$B$60</f>
        <v/>
      </c>
      <c r="C5789" t="n">
        <v>0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1</v>
      </c>
      <c r="J5789">
        <f>(1-C5789)*Assumptions!$B$41+(1-D5789)*Assumptions!$B$33+(1-E5789)*Assumptions!$B$32+(1-F5789)*Assumptions!$B$31+(1-G5789)*Assumptions!$B$30+(1-H5789)*Assumptions!$B$29+(1-I5789)*Assumptions!$B$28</f>
        <v/>
      </c>
      <c r="K5789">
        <f>C5789*$J$607+D5789*$F$607+E5789*$G$607+F5789*Assumptions!$B$14+G5789*Assumptions!$B$13+H5789*Assumptions!$B$12+I5789*Assumptions!$B$11+$O$607+$S$607+Assumptions!$B$9</f>
        <v/>
      </c>
      <c r="L5789">
        <f>B5789-J5789</f>
        <v/>
      </c>
      <c r="M5789">
        <f>IF(K5789&gt;0,IF(L5789/K5789&gt;=Assumptions!$B$37,1,0),0)</f>
        <v/>
      </c>
      <c r="N5789">
        <f>K5789+M5789*Assumptions!$B$153</f>
        <v/>
      </c>
      <c r="O5789">
        <f>L5789+M5789*Assumptions!$B$153*Assumptions!$B$37</f>
        <v/>
      </c>
      <c r="P5789">
        <f>IF(N5789&gt;0,O5789/N5789,0)</f>
        <v/>
      </c>
      <c r="Q5789">
        <f>IF(C5789=1,P5789*$J$607,Assumptions!$B$41)</f>
        <v/>
      </c>
      <c r="R5789">
        <f>IF(D5789=1,P5789*$F$607,Assumptions!$B$33)</f>
        <v/>
      </c>
      <c r="S5789">
        <f>IF(E5789=1,P5789*$G$607,Assumptions!$B$32)</f>
        <v/>
      </c>
      <c r="T5789">
        <f>IF(F5789=1,P5789*Assumptions!$B$14,Assumptions!$B$31)</f>
        <v/>
      </c>
      <c r="U5789">
        <f>IF(G5789=1,P5789*Assumptions!$B$13,Assumptions!$B$30)</f>
        <v/>
      </c>
      <c r="V5789">
        <f>IF(H5789=1,P5789*Assumptions!$B$12,Assumptions!$B$29)</f>
        <v/>
      </c>
      <c r="W5789">
        <f>IF(I5789=1,P5789*Assumptions!$B$11,Assumptions!$B$28)</f>
        <v/>
      </c>
      <c r="X5789">
        <f>P5789*($O$607+$S$607)</f>
        <v/>
      </c>
      <c r="Y5789">
        <f>P5789*Assumptions!$B$9</f>
        <v/>
      </c>
      <c r="Z5789">
        <f>IF(M5789=1,(P5789-Assumptions!$B$37)*Assumptions!$B$153,0)</f>
        <v/>
      </c>
      <c r="AA5789">
        <f>Q5789+R5789+S5789+T5789+U5789+V5789+W5789+X5789+Y5789+Z5789</f>
        <v/>
      </c>
      <c r="AB5789" t="n">
        <v>21</v>
      </c>
      <c r="AC5789" t="n">
        <v>85</v>
      </c>
      <c r="AD5789" t="n">
        <v>53</v>
      </c>
      <c r="AE5789" t="n">
        <v>5</v>
      </c>
      <c r="AF5789" t="n">
        <v>29</v>
      </c>
      <c r="AG5789" t="n">
        <v>17</v>
      </c>
      <c r="AH5789" t="n">
        <v>23</v>
      </c>
      <c r="AI5789" t="n">
        <v>20</v>
      </c>
      <c r="AJ5789">
        <f>INDEX($Q$5768:$Q$5895,AC5789+1)</f>
        <v/>
      </c>
      <c r="AK5789">
        <f>INDEX($R$5768:$R$5895,AD5789+1)</f>
        <v/>
      </c>
      <c r="AL5789">
        <f>INDEX($S$5768:$S$5895,AE5789+1)</f>
        <v/>
      </c>
      <c r="AM5789">
        <f>INDEX($T$5768:$T$5895,AF5789+1)</f>
        <v/>
      </c>
      <c r="AN5789">
        <f>INDEX($U$5768:$U$5895,AG5789+1)</f>
        <v/>
      </c>
      <c r="AO5789">
        <f>INDEX($V$5768:$V$5895,AH5789+1)</f>
        <v/>
      </c>
      <c r="AP5789">
        <f>INDEX($W$5768:$W$5895,AI5789+1)</f>
        <v/>
      </c>
      <c r="AQ5789">
        <f>IF(Q5789&gt;=AJ5789-0.01,1,0)</f>
        <v/>
      </c>
      <c r="AR5789">
        <f>IF(R5789&gt;=AK5789-0.01,1,0)</f>
        <v/>
      </c>
      <c r="AS5789">
        <f>IF(S5789&gt;=AL5789-0.01,1,0)</f>
        <v/>
      </c>
      <c r="AT5789">
        <f>IF(T5789&gt;=AM5789-0.01,1,0)</f>
        <v/>
      </c>
      <c r="AU5789">
        <f>IF(U5789&gt;=AN5789-0.01,1,0)</f>
        <v/>
      </c>
      <c r="AV5789">
        <f>IF(V5789&gt;=AO5789-0.01,1,0)</f>
        <v/>
      </c>
      <c r="AW5789">
        <f>IF(W5789&gt;=AP5789-0.01,1,0)</f>
        <v/>
      </c>
      <c r="AX5789">
        <f>AQ5789*AR5789*AS5789*AT5789*AU5789*AV5789*AW5789</f>
        <v/>
      </c>
    </row>
    <row r="5790">
      <c r="A5790" t="inlineStr"/>
      <c r="B5790">
        <f>Assumptions!$B$60</f>
        <v/>
      </c>
      <c r="C5790" t="n">
        <v>0</v>
      </c>
      <c r="D5790" t="n">
        <v>0</v>
      </c>
      <c r="E5790" t="n">
        <v>1</v>
      </c>
      <c r="F5790" t="n">
        <v>0</v>
      </c>
      <c r="G5790" t="n">
        <v>1</v>
      </c>
      <c r="H5790" t="n">
        <v>1</v>
      </c>
      <c r="I5790" t="n">
        <v>0</v>
      </c>
      <c r="J5790">
        <f>(1-C5790)*Assumptions!$B$41+(1-D5790)*Assumptions!$B$33+(1-E5790)*Assumptions!$B$32+(1-F5790)*Assumptions!$B$31+(1-G5790)*Assumptions!$B$30+(1-H5790)*Assumptions!$B$29+(1-I5790)*Assumptions!$B$28</f>
        <v/>
      </c>
      <c r="K5790">
        <f>C5790*$J$607+D5790*$F$607+E5790*$G$607+F5790*Assumptions!$B$14+G5790*Assumptions!$B$13+H5790*Assumptions!$B$12+I5790*Assumptions!$B$11+$O$607+$S$607+Assumptions!$B$9</f>
        <v/>
      </c>
      <c r="L5790">
        <f>B5790-J5790</f>
        <v/>
      </c>
      <c r="M5790">
        <f>IF(K5790&gt;0,IF(L5790/K5790&gt;=Assumptions!$B$37,1,0),0)</f>
        <v/>
      </c>
      <c r="N5790">
        <f>K5790+M5790*Assumptions!$B$153</f>
        <v/>
      </c>
      <c r="O5790">
        <f>L5790+M5790*Assumptions!$B$153*Assumptions!$B$37</f>
        <v/>
      </c>
      <c r="P5790">
        <f>IF(N5790&gt;0,O5790/N5790,0)</f>
        <v/>
      </c>
      <c r="Q5790">
        <f>IF(C5790=1,P5790*$J$607,Assumptions!$B$41)</f>
        <v/>
      </c>
      <c r="R5790">
        <f>IF(D5790=1,P5790*$F$607,Assumptions!$B$33)</f>
        <v/>
      </c>
      <c r="S5790">
        <f>IF(E5790=1,P5790*$G$607,Assumptions!$B$32)</f>
        <v/>
      </c>
      <c r="T5790">
        <f>IF(F5790=1,P5790*Assumptions!$B$14,Assumptions!$B$31)</f>
        <v/>
      </c>
      <c r="U5790">
        <f>IF(G5790=1,P5790*Assumptions!$B$13,Assumptions!$B$30)</f>
        <v/>
      </c>
      <c r="V5790">
        <f>IF(H5790=1,P5790*Assumptions!$B$12,Assumptions!$B$29)</f>
        <v/>
      </c>
      <c r="W5790">
        <f>IF(I5790=1,P5790*Assumptions!$B$11,Assumptions!$B$28)</f>
        <v/>
      </c>
      <c r="X5790">
        <f>P5790*($O$607+$S$607)</f>
        <v/>
      </c>
      <c r="Y5790">
        <f>P5790*Assumptions!$B$9</f>
        <v/>
      </c>
      <c r="Z5790">
        <f>IF(M5790=1,(P5790-Assumptions!$B$37)*Assumptions!$B$153,0)</f>
        <v/>
      </c>
      <c r="AA5790">
        <f>Q5790+R5790+S5790+T5790+U5790+V5790+W5790+X5790+Y5790+Z5790</f>
        <v/>
      </c>
      <c r="AB5790" t="n">
        <v>22</v>
      </c>
      <c r="AC5790" t="n">
        <v>86</v>
      </c>
      <c r="AD5790" t="n">
        <v>54</v>
      </c>
      <c r="AE5790" t="n">
        <v>6</v>
      </c>
      <c r="AF5790" t="n">
        <v>30</v>
      </c>
      <c r="AG5790" t="n">
        <v>18</v>
      </c>
      <c r="AH5790" t="n">
        <v>20</v>
      </c>
      <c r="AI5790" t="n">
        <v>23</v>
      </c>
      <c r="AJ5790">
        <f>INDEX($Q$5768:$Q$5895,AC5790+1)</f>
        <v/>
      </c>
      <c r="AK5790">
        <f>INDEX($R$5768:$R$5895,AD5790+1)</f>
        <v/>
      </c>
      <c r="AL5790">
        <f>INDEX($S$5768:$S$5895,AE5790+1)</f>
        <v/>
      </c>
      <c r="AM5790">
        <f>INDEX($T$5768:$T$5895,AF5790+1)</f>
        <v/>
      </c>
      <c r="AN5790">
        <f>INDEX($U$5768:$U$5895,AG5790+1)</f>
        <v/>
      </c>
      <c r="AO5790">
        <f>INDEX($V$5768:$V$5895,AH5790+1)</f>
        <v/>
      </c>
      <c r="AP5790">
        <f>INDEX($W$5768:$W$5895,AI5790+1)</f>
        <v/>
      </c>
      <c r="AQ5790">
        <f>IF(Q5790&gt;=AJ5790-0.01,1,0)</f>
        <v/>
      </c>
      <c r="AR5790">
        <f>IF(R5790&gt;=AK5790-0.01,1,0)</f>
        <v/>
      </c>
      <c r="AS5790">
        <f>IF(S5790&gt;=AL5790-0.01,1,0)</f>
        <v/>
      </c>
      <c r="AT5790">
        <f>IF(T5790&gt;=AM5790-0.01,1,0)</f>
        <v/>
      </c>
      <c r="AU5790">
        <f>IF(U5790&gt;=AN5790-0.01,1,0)</f>
        <v/>
      </c>
      <c r="AV5790">
        <f>IF(V5790&gt;=AO5790-0.01,1,0)</f>
        <v/>
      </c>
      <c r="AW5790">
        <f>IF(W5790&gt;=AP5790-0.01,1,0)</f>
        <v/>
      </c>
      <c r="AX5790">
        <f>AQ5790*AR5790*AS5790*AT5790*AU5790*AV5790*AW5790</f>
        <v/>
      </c>
    </row>
    <row r="5791">
      <c r="A5791" t="inlineStr"/>
      <c r="B5791">
        <f>Assumptions!$B$60</f>
        <v/>
      </c>
      <c r="C5791" t="n">
        <v>0</v>
      </c>
      <c r="D5791" t="n">
        <v>0</v>
      </c>
      <c r="E5791" t="n">
        <v>1</v>
      </c>
      <c r="F5791" t="n">
        <v>0</v>
      </c>
      <c r="G5791" t="n">
        <v>1</v>
      </c>
      <c r="H5791" t="n">
        <v>1</v>
      </c>
      <c r="I5791" t="n">
        <v>1</v>
      </c>
      <c r="J5791">
        <f>(1-C5791)*Assumptions!$B$41+(1-D5791)*Assumptions!$B$33+(1-E5791)*Assumptions!$B$32+(1-F5791)*Assumptions!$B$31+(1-G5791)*Assumptions!$B$30+(1-H5791)*Assumptions!$B$29+(1-I5791)*Assumptions!$B$28</f>
        <v/>
      </c>
      <c r="K5791">
        <f>C5791*$J$607+D5791*$F$607+E5791*$G$607+F5791*Assumptions!$B$14+G5791*Assumptions!$B$13+H5791*Assumptions!$B$12+I5791*Assumptions!$B$11+$O$607+$S$607+Assumptions!$B$9</f>
        <v/>
      </c>
      <c r="L5791">
        <f>B5791-J5791</f>
        <v/>
      </c>
      <c r="M5791">
        <f>IF(K5791&gt;0,IF(L5791/K5791&gt;=Assumptions!$B$37,1,0),0)</f>
        <v/>
      </c>
      <c r="N5791">
        <f>K5791+M5791*Assumptions!$B$153</f>
        <v/>
      </c>
      <c r="O5791">
        <f>L5791+M5791*Assumptions!$B$153*Assumptions!$B$37</f>
        <v/>
      </c>
      <c r="P5791">
        <f>IF(N5791&gt;0,O5791/N5791,0)</f>
        <v/>
      </c>
      <c r="Q5791">
        <f>IF(C5791=1,P5791*$J$607,Assumptions!$B$41)</f>
        <v/>
      </c>
      <c r="R5791">
        <f>IF(D5791=1,P5791*$F$607,Assumptions!$B$33)</f>
        <v/>
      </c>
      <c r="S5791">
        <f>IF(E5791=1,P5791*$G$607,Assumptions!$B$32)</f>
        <v/>
      </c>
      <c r="T5791">
        <f>IF(F5791=1,P5791*Assumptions!$B$14,Assumptions!$B$31)</f>
        <v/>
      </c>
      <c r="U5791">
        <f>IF(G5791=1,P5791*Assumptions!$B$13,Assumptions!$B$30)</f>
        <v/>
      </c>
      <c r="V5791">
        <f>IF(H5791=1,P5791*Assumptions!$B$12,Assumptions!$B$29)</f>
        <v/>
      </c>
      <c r="W5791">
        <f>IF(I5791=1,P5791*Assumptions!$B$11,Assumptions!$B$28)</f>
        <v/>
      </c>
      <c r="X5791">
        <f>P5791*($O$607+$S$607)</f>
        <v/>
      </c>
      <c r="Y5791">
        <f>P5791*Assumptions!$B$9</f>
        <v/>
      </c>
      <c r="Z5791">
        <f>IF(M5791=1,(P5791-Assumptions!$B$37)*Assumptions!$B$153,0)</f>
        <v/>
      </c>
      <c r="AA5791">
        <f>Q5791+R5791+S5791+T5791+U5791+V5791+W5791+X5791+Y5791+Z5791</f>
        <v/>
      </c>
      <c r="AB5791" t="n">
        <v>23</v>
      </c>
      <c r="AC5791" t="n">
        <v>87</v>
      </c>
      <c r="AD5791" t="n">
        <v>55</v>
      </c>
      <c r="AE5791" t="n">
        <v>7</v>
      </c>
      <c r="AF5791" t="n">
        <v>31</v>
      </c>
      <c r="AG5791" t="n">
        <v>19</v>
      </c>
      <c r="AH5791" t="n">
        <v>21</v>
      </c>
      <c r="AI5791" t="n">
        <v>22</v>
      </c>
      <c r="AJ5791">
        <f>INDEX($Q$5768:$Q$5895,AC5791+1)</f>
        <v/>
      </c>
      <c r="AK5791">
        <f>INDEX($R$5768:$R$5895,AD5791+1)</f>
        <v/>
      </c>
      <c r="AL5791">
        <f>INDEX($S$5768:$S$5895,AE5791+1)</f>
        <v/>
      </c>
      <c r="AM5791">
        <f>INDEX($T$5768:$T$5895,AF5791+1)</f>
        <v/>
      </c>
      <c r="AN5791">
        <f>INDEX($U$5768:$U$5895,AG5791+1)</f>
        <v/>
      </c>
      <c r="AO5791">
        <f>INDEX($V$5768:$V$5895,AH5791+1)</f>
        <v/>
      </c>
      <c r="AP5791">
        <f>INDEX($W$5768:$W$5895,AI5791+1)</f>
        <v/>
      </c>
      <c r="AQ5791">
        <f>IF(Q5791&gt;=AJ5791-0.01,1,0)</f>
        <v/>
      </c>
      <c r="AR5791">
        <f>IF(R5791&gt;=AK5791-0.01,1,0)</f>
        <v/>
      </c>
      <c r="AS5791">
        <f>IF(S5791&gt;=AL5791-0.01,1,0)</f>
        <v/>
      </c>
      <c r="AT5791">
        <f>IF(T5791&gt;=AM5791-0.01,1,0)</f>
        <v/>
      </c>
      <c r="AU5791">
        <f>IF(U5791&gt;=AN5791-0.01,1,0)</f>
        <v/>
      </c>
      <c r="AV5791">
        <f>IF(V5791&gt;=AO5791-0.01,1,0)</f>
        <v/>
      </c>
      <c r="AW5791">
        <f>IF(W5791&gt;=AP5791-0.01,1,0)</f>
        <v/>
      </c>
      <c r="AX5791">
        <f>AQ5791*AR5791*AS5791*AT5791*AU5791*AV5791*AW5791</f>
        <v/>
      </c>
    </row>
    <row r="5792">
      <c r="A5792" t="inlineStr"/>
      <c r="B5792">
        <f>Assumptions!$B$60</f>
        <v/>
      </c>
      <c r="C5792" t="n">
        <v>0</v>
      </c>
      <c r="D5792" t="n">
        <v>0</v>
      </c>
      <c r="E5792" t="n">
        <v>1</v>
      </c>
      <c r="F5792" t="n">
        <v>1</v>
      </c>
      <c r="G5792" t="n">
        <v>0</v>
      </c>
      <c r="H5792" t="n">
        <v>0</v>
      </c>
      <c r="I5792" t="n">
        <v>0</v>
      </c>
      <c r="J5792">
        <f>(1-C5792)*Assumptions!$B$41+(1-D5792)*Assumptions!$B$33+(1-E5792)*Assumptions!$B$32+(1-F5792)*Assumptions!$B$31+(1-G5792)*Assumptions!$B$30+(1-H5792)*Assumptions!$B$29+(1-I5792)*Assumptions!$B$28</f>
        <v/>
      </c>
      <c r="K5792">
        <f>C5792*$J$607+D5792*$F$607+E5792*$G$607+F5792*Assumptions!$B$14+G5792*Assumptions!$B$13+H5792*Assumptions!$B$12+I5792*Assumptions!$B$11+$O$607+$S$607+Assumptions!$B$9</f>
        <v/>
      </c>
      <c r="L5792">
        <f>B5792-J5792</f>
        <v/>
      </c>
      <c r="M5792">
        <f>IF(K5792&gt;0,IF(L5792/K5792&gt;=Assumptions!$B$37,1,0),0)</f>
        <v/>
      </c>
      <c r="N5792">
        <f>K5792+M5792*Assumptions!$B$153</f>
        <v/>
      </c>
      <c r="O5792">
        <f>L5792+M5792*Assumptions!$B$153*Assumptions!$B$37</f>
        <v/>
      </c>
      <c r="P5792">
        <f>IF(N5792&gt;0,O5792/N5792,0)</f>
        <v/>
      </c>
      <c r="Q5792">
        <f>IF(C5792=1,P5792*$J$607,Assumptions!$B$41)</f>
        <v/>
      </c>
      <c r="R5792">
        <f>IF(D5792=1,P5792*$F$607,Assumptions!$B$33)</f>
        <v/>
      </c>
      <c r="S5792">
        <f>IF(E5792=1,P5792*$G$607,Assumptions!$B$32)</f>
        <v/>
      </c>
      <c r="T5792">
        <f>IF(F5792=1,P5792*Assumptions!$B$14,Assumptions!$B$31)</f>
        <v/>
      </c>
      <c r="U5792">
        <f>IF(G5792=1,P5792*Assumptions!$B$13,Assumptions!$B$30)</f>
        <v/>
      </c>
      <c r="V5792">
        <f>IF(H5792=1,P5792*Assumptions!$B$12,Assumptions!$B$29)</f>
        <v/>
      </c>
      <c r="W5792">
        <f>IF(I5792=1,P5792*Assumptions!$B$11,Assumptions!$B$28)</f>
        <v/>
      </c>
      <c r="X5792">
        <f>P5792*($O$607+$S$607)</f>
        <v/>
      </c>
      <c r="Y5792">
        <f>P5792*Assumptions!$B$9</f>
        <v/>
      </c>
      <c r="Z5792">
        <f>IF(M5792=1,(P5792-Assumptions!$B$37)*Assumptions!$B$153,0)</f>
        <v/>
      </c>
      <c r="AA5792">
        <f>Q5792+R5792+S5792+T5792+U5792+V5792+W5792+X5792+Y5792+Z5792</f>
        <v/>
      </c>
      <c r="AB5792" t="n">
        <v>24</v>
      </c>
      <c r="AC5792" t="n">
        <v>88</v>
      </c>
      <c r="AD5792" t="n">
        <v>56</v>
      </c>
      <c r="AE5792" t="n">
        <v>8</v>
      </c>
      <c r="AF5792" t="n">
        <v>16</v>
      </c>
      <c r="AG5792" t="n">
        <v>28</v>
      </c>
      <c r="AH5792" t="n">
        <v>26</v>
      </c>
      <c r="AI5792" t="n">
        <v>25</v>
      </c>
      <c r="AJ5792">
        <f>INDEX($Q$5768:$Q$5895,AC5792+1)</f>
        <v/>
      </c>
      <c r="AK5792">
        <f>INDEX($R$5768:$R$5895,AD5792+1)</f>
        <v/>
      </c>
      <c r="AL5792">
        <f>INDEX($S$5768:$S$5895,AE5792+1)</f>
        <v/>
      </c>
      <c r="AM5792">
        <f>INDEX($T$5768:$T$5895,AF5792+1)</f>
        <v/>
      </c>
      <c r="AN5792">
        <f>INDEX($U$5768:$U$5895,AG5792+1)</f>
        <v/>
      </c>
      <c r="AO5792">
        <f>INDEX($V$5768:$V$5895,AH5792+1)</f>
        <v/>
      </c>
      <c r="AP5792">
        <f>INDEX($W$5768:$W$5895,AI5792+1)</f>
        <v/>
      </c>
      <c r="AQ5792">
        <f>IF(Q5792&gt;=AJ5792-0.01,1,0)</f>
        <v/>
      </c>
      <c r="AR5792">
        <f>IF(R5792&gt;=AK5792-0.01,1,0)</f>
        <v/>
      </c>
      <c r="AS5792">
        <f>IF(S5792&gt;=AL5792-0.01,1,0)</f>
        <v/>
      </c>
      <c r="AT5792">
        <f>IF(T5792&gt;=AM5792-0.01,1,0)</f>
        <v/>
      </c>
      <c r="AU5792">
        <f>IF(U5792&gt;=AN5792-0.01,1,0)</f>
        <v/>
      </c>
      <c r="AV5792">
        <f>IF(V5792&gt;=AO5792-0.01,1,0)</f>
        <v/>
      </c>
      <c r="AW5792">
        <f>IF(W5792&gt;=AP5792-0.01,1,0)</f>
        <v/>
      </c>
      <c r="AX5792">
        <f>AQ5792*AR5792*AS5792*AT5792*AU5792*AV5792*AW5792</f>
        <v/>
      </c>
    </row>
    <row r="5793">
      <c r="A5793" t="inlineStr"/>
      <c r="B5793">
        <f>Assumptions!$B$60</f>
        <v/>
      </c>
      <c r="C5793" t="n">
        <v>0</v>
      </c>
      <c r="D5793" t="n">
        <v>0</v>
      </c>
      <c r="E5793" t="n">
        <v>1</v>
      </c>
      <c r="F5793" t="n">
        <v>1</v>
      </c>
      <c r="G5793" t="n">
        <v>0</v>
      </c>
      <c r="H5793" t="n">
        <v>0</v>
      </c>
      <c r="I5793" t="n">
        <v>1</v>
      </c>
      <c r="J5793">
        <f>(1-C5793)*Assumptions!$B$41+(1-D5793)*Assumptions!$B$33+(1-E5793)*Assumptions!$B$32+(1-F5793)*Assumptions!$B$31+(1-G5793)*Assumptions!$B$30+(1-H5793)*Assumptions!$B$29+(1-I5793)*Assumptions!$B$28</f>
        <v/>
      </c>
      <c r="K5793">
        <f>C5793*$J$607+D5793*$F$607+E5793*$G$607+F5793*Assumptions!$B$14+G5793*Assumptions!$B$13+H5793*Assumptions!$B$12+I5793*Assumptions!$B$11+$O$607+$S$607+Assumptions!$B$9</f>
        <v/>
      </c>
      <c r="L5793">
        <f>B5793-J5793</f>
        <v/>
      </c>
      <c r="M5793">
        <f>IF(K5793&gt;0,IF(L5793/K5793&gt;=Assumptions!$B$37,1,0),0)</f>
        <v/>
      </c>
      <c r="N5793">
        <f>K5793+M5793*Assumptions!$B$153</f>
        <v/>
      </c>
      <c r="O5793">
        <f>L5793+M5793*Assumptions!$B$153*Assumptions!$B$37</f>
        <v/>
      </c>
      <c r="P5793">
        <f>IF(N5793&gt;0,O5793/N5793,0)</f>
        <v/>
      </c>
      <c r="Q5793">
        <f>IF(C5793=1,P5793*$J$607,Assumptions!$B$41)</f>
        <v/>
      </c>
      <c r="R5793">
        <f>IF(D5793=1,P5793*$F$607,Assumptions!$B$33)</f>
        <v/>
      </c>
      <c r="S5793">
        <f>IF(E5793=1,P5793*$G$607,Assumptions!$B$32)</f>
        <v/>
      </c>
      <c r="T5793">
        <f>IF(F5793=1,P5793*Assumptions!$B$14,Assumptions!$B$31)</f>
        <v/>
      </c>
      <c r="U5793">
        <f>IF(G5793=1,P5793*Assumptions!$B$13,Assumptions!$B$30)</f>
        <v/>
      </c>
      <c r="V5793">
        <f>IF(H5793=1,P5793*Assumptions!$B$12,Assumptions!$B$29)</f>
        <v/>
      </c>
      <c r="W5793">
        <f>IF(I5793=1,P5793*Assumptions!$B$11,Assumptions!$B$28)</f>
        <v/>
      </c>
      <c r="X5793">
        <f>P5793*($O$607+$S$607)</f>
        <v/>
      </c>
      <c r="Y5793">
        <f>P5793*Assumptions!$B$9</f>
        <v/>
      </c>
      <c r="Z5793">
        <f>IF(M5793=1,(P5793-Assumptions!$B$37)*Assumptions!$B$153,0)</f>
        <v/>
      </c>
      <c r="AA5793">
        <f>Q5793+R5793+S5793+T5793+U5793+V5793+W5793+X5793+Y5793+Z5793</f>
        <v/>
      </c>
      <c r="AB5793" t="n">
        <v>25</v>
      </c>
      <c r="AC5793" t="n">
        <v>89</v>
      </c>
      <c r="AD5793" t="n">
        <v>57</v>
      </c>
      <c r="AE5793" t="n">
        <v>9</v>
      </c>
      <c r="AF5793" t="n">
        <v>17</v>
      </c>
      <c r="AG5793" t="n">
        <v>29</v>
      </c>
      <c r="AH5793" t="n">
        <v>27</v>
      </c>
      <c r="AI5793" t="n">
        <v>24</v>
      </c>
      <c r="AJ5793">
        <f>INDEX($Q$5768:$Q$5895,AC5793+1)</f>
        <v/>
      </c>
      <c r="AK5793">
        <f>INDEX($R$5768:$R$5895,AD5793+1)</f>
        <v/>
      </c>
      <c r="AL5793">
        <f>INDEX($S$5768:$S$5895,AE5793+1)</f>
        <v/>
      </c>
      <c r="AM5793">
        <f>INDEX($T$5768:$T$5895,AF5793+1)</f>
        <v/>
      </c>
      <c r="AN5793">
        <f>INDEX($U$5768:$U$5895,AG5793+1)</f>
        <v/>
      </c>
      <c r="AO5793">
        <f>INDEX($V$5768:$V$5895,AH5793+1)</f>
        <v/>
      </c>
      <c r="AP5793">
        <f>INDEX($W$5768:$W$5895,AI5793+1)</f>
        <v/>
      </c>
      <c r="AQ5793">
        <f>IF(Q5793&gt;=AJ5793-0.01,1,0)</f>
        <v/>
      </c>
      <c r="AR5793">
        <f>IF(R5793&gt;=AK5793-0.01,1,0)</f>
        <v/>
      </c>
      <c r="AS5793">
        <f>IF(S5793&gt;=AL5793-0.01,1,0)</f>
        <v/>
      </c>
      <c r="AT5793">
        <f>IF(T5793&gt;=AM5793-0.01,1,0)</f>
        <v/>
      </c>
      <c r="AU5793">
        <f>IF(U5793&gt;=AN5793-0.01,1,0)</f>
        <v/>
      </c>
      <c r="AV5793">
        <f>IF(V5793&gt;=AO5793-0.01,1,0)</f>
        <v/>
      </c>
      <c r="AW5793">
        <f>IF(W5793&gt;=AP5793-0.01,1,0)</f>
        <v/>
      </c>
      <c r="AX5793">
        <f>AQ5793*AR5793*AS5793*AT5793*AU5793*AV5793*AW5793</f>
        <v/>
      </c>
    </row>
    <row r="5794">
      <c r="A5794" t="inlineStr"/>
      <c r="B5794">
        <f>Assumptions!$B$60</f>
        <v/>
      </c>
      <c r="C5794" t="n">
        <v>0</v>
      </c>
      <c r="D5794" t="n">
        <v>0</v>
      </c>
      <c r="E5794" t="n">
        <v>1</v>
      </c>
      <c r="F5794" t="n">
        <v>1</v>
      </c>
      <c r="G5794" t="n">
        <v>0</v>
      </c>
      <c r="H5794" t="n">
        <v>1</v>
      </c>
      <c r="I5794" t="n">
        <v>0</v>
      </c>
      <c r="J5794">
        <f>(1-C5794)*Assumptions!$B$41+(1-D5794)*Assumptions!$B$33+(1-E5794)*Assumptions!$B$32+(1-F5794)*Assumptions!$B$31+(1-G5794)*Assumptions!$B$30+(1-H5794)*Assumptions!$B$29+(1-I5794)*Assumptions!$B$28</f>
        <v/>
      </c>
      <c r="K5794">
        <f>C5794*$J$607+D5794*$F$607+E5794*$G$607+F5794*Assumptions!$B$14+G5794*Assumptions!$B$13+H5794*Assumptions!$B$12+I5794*Assumptions!$B$11+$O$607+$S$607+Assumptions!$B$9</f>
        <v/>
      </c>
      <c r="L5794">
        <f>B5794-J5794</f>
        <v/>
      </c>
      <c r="M5794">
        <f>IF(K5794&gt;0,IF(L5794/K5794&gt;=Assumptions!$B$37,1,0),0)</f>
        <v/>
      </c>
      <c r="N5794">
        <f>K5794+M5794*Assumptions!$B$153</f>
        <v/>
      </c>
      <c r="O5794">
        <f>L5794+M5794*Assumptions!$B$153*Assumptions!$B$37</f>
        <v/>
      </c>
      <c r="P5794">
        <f>IF(N5794&gt;0,O5794/N5794,0)</f>
        <v/>
      </c>
      <c r="Q5794">
        <f>IF(C5794=1,P5794*$J$607,Assumptions!$B$41)</f>
        <v/>
      </c>
      <c r="R5794">
        <f>IF(D5794=1,P5794*$F$607,Assumptions!$B$33)</f>
        <v/>
      </c>
      <c r="S5794">
        <f>IF(E5794=1,P5794*$G$607,Assumptions!$B$32)</f>
        <v/>
      </c>
      <c r="T5794">
        <f>IF(F5794=1,P5794*Assumptions!$B$14,Assumptions!$B$31)</f>
        <v/>
      </c>
      <c r="U5794">
        <f>IF(G5794=1,P5794*Assumptions!$B$13,Assumptions!$B$30)</f>
        <v/>
      </c>
      <c r="V5794">
        <f>IF(H5794=1,P5794*Assumptions!$B$12,Assumptions!$B$29)</f>
        <v/>
      </c>
      <c r="W5794">
        <f>IF(I5794=1,P5794*Assumptions!$B$11,Assumptions!$B$28)</f>
        <v/>
      </c>
      <c r="X5794">
        <f>P5794*($O$607+$S$607)</f>
        <v/>
      </c>
      <c r="Y5794">
        <f>P5794*Assumptions!$B$9</f>
        <v/>
      </c>
      <c r="Z5794">
        <f>IF(M5794=1,(P5794-Assumptions!$B$37)*Assumptions!$B$153,0)</f>
        <v/>
      </c>
      <c r="AA5794">
        <f>Q5794+R5794+S5794+T5794+U5794+V5794+W5794+X5794+Y5794+Z5794</f>
        <v/>
      </c>
      <c r="AB5794" t="n">
        <v>26</v>
      </c>
      <c r="AC5794" t="n">
        <v>90</v>
      </c>
      <c r="AD5794" t="n">
        <v>58</v>
      </c>
      <c r="AE5794" t="n">
        <v>10</v>
      </c>
      <c r="AF5794" t="n">
        <v>18</v>
      </c>
      <c r="AG5794" t="n">
        <v>30</v>
      </c>
      <c r="AH5794" t="n">
        <v>24</v>
      </c>
      <c r="AI5794" t="n">
        <v>27</v>
      </c>
      <c r="AJ5794">
        <f>INDEX($Q$5768:$Q$5895,AC5794+1)</f>
        <v/>
      </c>
      <c r="AK5794">
        <f>INDEX($R$5768:$R$5895,AD5794+1)</f>
        <v/>
      </c>
      <c r="AL5794">
        <f>INDEX($S$5768:$S$5895,AE5794+1)</f>
        <v/>
      </c>
      <c r="AM5794">
        <f>INDEX($T$5768:$T$5895,AF5794+1)</f>
        <v/>
      </c>
      <c r="AN5794">
        <f>INDEX($U$5768:$U$5895,AG5794+1)</f>
        <v/>
      </c>
      <c r="AO5794">
        <f>INDEX($V$5768:$V$5895,AH5794+1)</f>
        <v/>
      </c>
      <c r="AP5794">
        <f>INDEX($W$5768:$W$5895,AI5794+1)</f>
        <v/>
      </c>
      <c r="AQ5794">
        <f>IF(Q5794&gt;=AJ5794-0.01,1,0)</f>
        <v/>
      </c>
      <c r="AR5794">
        <f>IF(R5794&gt;=AK5794-0.01,1,0)</f>
        <v/>
      </c>
      <c r="AS5794">
        <f>IF(S5794&gt;=AL5794-0.01,1,0)</f>
        <v/>
      </c>
      <c r="AT5794">
        <f>IF(T5794&gt;=AM5794-0.01,1,0)</f>
        <v/>
      </c>
      <c r="AU5794">
        <f>IF(U5794&gt;=AN5794-0.01,1,0)</f>
        <v/>
      </c>
      <c r="AV5794">
        <f>IF(V5794&gt;=AO5794-0.01,1,0)</f>
        <v/>
      </c>
      <c r="AW5794">
        <f>IF(W5794&gt;=AP5794-0.01,1,0)</f>
        <v/>
      </c>
      <c r="AX5794">
        <f>AQ5794*AR5794*AS5794*AT5794*AU5794*AV5794*AW5794</f>
        <v/>
      </c>
    </row>
    <row r="5795">
      <c r="A5795" t="inlineStr"/>
      <c r="B5795">
        <f>Assumptions!$B$60</f>
        <v/>
      </c>
      <c r="C5795" t="n">
        <v>0</v>
      </c>
      <c r="D5795" t="n">
        <v>0</v>
      </c>
      <c r="E5795" t="n">
        <v>1</v>
      </c>
      <c r="F5795" t="n">
        <v>1</v>
      </c>
      <c r="G5795" t="n">
        <v>0</v>
      </c>
      <c r="H5795" t="n">
        <v>1</v>
      </c>
      <c r="I5795" t="n">
        <v>1</v>
      </c>
      <c r="J5795">
        <f>(1-C5795)*Assumptions!$B$41+(1-D5795)*Assumptions!$B$33+(1-E5795)*Assumptions!$B$32+(1-F5795)*Assumptions!$B$31+(1-G5795)*Assumptions!$B$30+(1-H5795)*Assumptions!$B$29+(1-I5795)*Assumptions!$B$28</f>
        <v/>
      </c>
      <c r="K5795">
        <f>C5795*$J$607+D5795*$F$607+E5795*$G$607+F5795*Assumptions!$B$14+G5795*Assumptions!$B$13+H5795*Assumptions!$B$12+I5795*Assumptions!$B$11+$O$607+$S$607+Assumptions!$B$9</f>
        <v/>
      </c>
      <c r="L5795">
        <f>B5795-J5795</f>
        <v/>
      </c>
      <c r="M5795">
        <f>IF(K5795&gt;0,IF(L5795/K5795&gt;=Assumptions!$B$37,1,0),0)</f>
        <v/>
      </c>
      <c r="N5795">
        <f>K5795+M5795*Assumptions!$B$153</f>
        <v/>
      </c>
      <c r="O5795">
        <f>L5795+M5795*Assumptions!$B$153*Assumptions!$B$37</f>
        <v/>
      </c>
      <c r="P5795">
        <f>IF(N5795&gt;0,O5795/N5795,0)</f>
        <v/>
      </c>
      <c r="Q5795">
        <f>IF(C5795=1,P5795*$J$607,Assumptions!$B$41)</f>
        <v/>
      </c>
      <c r="R5795">
        <f>IF(D5795=1,P5795*$F$607,Assumptions!$B$33)</f>
        <v/>
      </c>
      <c r="S5795">
        <f>IF(E5795=1,P5795*$G$607,Assumptions!$B$32)</f>
        <v/>
      </c>
      <c r="T5795">
        <f>IF(F5795=1,P5795*Assumptions!$B$14,Assumptions!$B$31)</f>
        <v/>
      </c>
      <c r="U5795">
        <f>IF(G5795=1,P5795*Assumptions!$B$13,Assumptions!$B$30)</f>
        <v/>
      </c>
      <c r="V5795">
        <f>IF(H5795=1,P5795*Assumptions!$B$12,Assumptions!$B$29)</f>
        <v/>
      </c>
      <c r="W5795">
        <f>IF(I5795=1,P5795*Assumptions!$B$11,Assumptions!$B$28)</f>
        <v/>
      </c>
      <c r="X5795">
        <f>P5795*($O$607+$S$607)</f>
        <v/>
      </c>
      <c r="Y5795">
        <f>P5795*Assumptions!$B$9</f>
        <v/>
      </c>
      <c r="Z5795">
        <f>IF(M5795=1,(P5795-Assumptions!$B$37)*Assumptions!$B$153,0)</f>
        <v/>
      </c>
      <c r="AA5795">
        <f>Q5795+R5795+S5795+T5795+U5795+V5795+W5795+X5795+Y5795+Z5795</f>
        <v/>
      </c>
      <c r="AB5795" t="n">
        <v>27</v>
      </c>
      <c r="AC5795" t="n">
        <v>91</v>
      </c>
      <c r="AD5795" t="n">
        <v>59</v>
      </c>
      <c r="AE5795" t="n">
        <v>11</v>
      </c>
      <c r="AF5795" t="n">
        <v>19</v>
      </c>
      <c r="AG5795" t="n">
        <v>31</v>
      </c>
      <c r="AH5795" t="n">
        <v>25</v>
      </c>
      <c r="AI5795" t="n">
        <v>26</v>
      </c>
      <c r="AJ5795">
        <f>INDEX($Q$5768:$Q$5895,AC5795+1)</f>
        <v/>
      </c>
      <c r="AK5795">
        <f>INDEX($R$5768:$R$5895,AD5795+1)</f>
        <v/>
      </c>
      <c r="AL5795">
        <f>INDEX($S$5768:$S$5895,AE5795+1)</f>
        <v/>
      </c>
      <c r="AM5795">
        <f>INDEX($T$5768:$T$5895,AF5795+1)</f>
        <v/>
      </c>
      <c r="AN5795">
        <f>INDEX($U$5768:$U$5895,AG5795+1)</f>
        <v/>
      </c>
      <c r="AO5795">
        <f>INDEX($V$5768:$V$5895,AH5795+1)</f>
        <v/>
      </c>
      <c r="AP5795">
        <f>INDEX($W$5768:$W$5895,AI5795+1)</f>
        <v/>
      </c>
      <c r="AQ5795">
        <f>IF(Q5795&gt;=AJ5795-0.01,1,0)</f>
        <v/>
      </c>
      <c r="AR5795">
        <f>IF(R5795&gt;=AK5795-0.01,1,0)</f>
        <v/>
      </c>
      <c r="AS5795">
        <f>IF(S5795&gt;=AL5795-0.01,1,0)</f>
        <v/>
      </c>
      <c r="AT5795">
        <f>IF(T5795&gt;=AM5795-0.01,1,0)</f>
        <v/>
      </c>
      <c r="AU5795">
        <f>IF(U5795&gt;=AN5795-0.01,1,0)</f>
        <v/>
      </c>
      <c r="AV5795">
        <f>IF(V5795&gt;=AO5795-0.01,1,0)</f>
        <v/>
      </c>
      <c r="AW5795">
        <f>IF(W5795&gt;=AP5795-0.01,1,0)</f>
        <v/>
      </c>
      <c r="AX5795">
        <f>AQ5795*AR5795*AS5795*AT5795*AU5795*AV5795*AW5795</f>
        <v/>
      </c>
    </row>
    <row r="5796">
      <c r="A5796" t="inlineStr"/>
      <c r="B5796">
        <f>Assumptions!$B$60</f>
        <v/>
      </c>
      <c r="C5796" t="n">
        <v>0</v>
      </c>
      <c r="D5796" t="n">
        <v>0</v>
      </c>
      <c r="E5796" t="n">
        <v>1</v>
      </c>
      <c r="F5796" t="n">
        <v>1</v>
      </c>
      <c r="G5796" t="n">
        <v>1</v>
      </c>
      <c r="H5796" t="n">
        <v>0</v>
      </c>
      <c r="I5796" t="n">
        <v>0</v>
      </c>
      <c r="J5796">
        <f>(1-C5796)*Assumptions!$B$41+(1-D5796)*Assumptions!$B$33+(1-E5796)*Assumptions!$B$32+(1-F5796)*Assumptions!$B$31+(1-G5796)*Assumptions!$B$30+(1-H5796)*Assumptions!$B$29+(1-I5796)*Assumptions!$B$28</f>
        <v/>
      </c>
      <c r="K5796">
        <f>C5796*$J$607+D5796*$F$607+E5796*$G$607+F5796*Assumptions!$B$14+G5796*Assumptions!$B$13+H5796*Assumptions!$B$12+I5796*Assumptions!$B$11+$O$607+$S$607+Assumptions!$B$9</f>
        <v/>
      </c>
      <c r="L5796">
        <f>B5796-J5796</f>
        <v/>
      </c>
      <c r="M5796">
        <f>IF(K5796&gt;0,IF(L5796/K5796&gt;=Assumptions!$B$37,1,0),0)</f>
        <v/>
      </c>
      <c r="N5796">
        <f>K5796+M5796*Assumptions!$B$153</f>
        <v/>
      </c>
      <c r="O5796">
        <f>L5796+M5796*Assumptions!$B$153*Assumptions!$B$37</f>
        <v/>
      </c>
      <c r="P5796">
        <f>IF(N5796&gt;0,O5796/N5796,0)</f>
        <v/>
      </c>
      <c r="Q5796">
        <f>IF(C5796=1,P5796*$J$607,Assumptions!$B$41)</f>
        <v/>
      </c>
      <c r="R5796">
        <f>IF(D5796=1,P5796*$F$607,Assumptions!$B$33)</f>
        <v/>
      </c>
      <c r="S5796">
        <f>IF(E5796=1,P5796*$G$607,Assumptions!$B$32)</f>
        <v/>
      </c>
      <c r="T5796">
        <f>IF(F5796=1,P5796*Assumptions!$B$14,Assumptions!$B$31)</f>
        <v/>
      </c>
      <c r="U5796">
        <f>IF(G5796=1,P5796*Assumptions!$B$13,Assumptions!$B$30)</f>
        <v/>
      </c>
      <c r="V5796">
        <f>IF(H5796=1,P5796*Assumptions!$B$12,Assumptions!$B$29)</f>
        <v/>
      </c>
      <c r="W5796">
        <f>IF(I5796=1,P5796*Assumptions!$B$11,Assumptions!$B$28)</f>
        <v/>
      </c>
      <c r="X5796">
        <f>P5796*($O$607+$S$607)</f>
        <v/>
      </c>
      <c r="Y5796">
        <f>P5796*Assumptions!$B$9</f>
        <v/>
      </c>
      <c r="Z5796">
        <f>IF(M5796=1,(P5796-Assumptions!$B$37)*Assumptions!$B$153,0)</f>
        <v/>
      </c>
      <c r="AA5796">
        <f>Q5796+R5796+S5796+T5796+U5796+V5796+W5796+X5796+Y5796+Z5796</f>
        <v/>
      </c>
      <c r="AB5796" t="n">
        <v>28</v>
      </c>
      <c r="AC5796" t="n">
        <v>92</v>
      </c>
      <c r="AD5796" t="n">
        <v>60</v>
      </c>
      <c r="AE5796" t="n">
        <v>12</v>
      </c>
      <c r="AF5796" t="n">
        <v>20</v>
      </c>
      <c r="AG5796" t="n">
        <v>24</v>
      </c>
      <c r="AH5796" t="n">
        <v>30</v>
      </c>
      <c r="AI5796" t="n">
        <v>29</v>
      </c>
      <c r="AJ5796">
        <f>INDEX($Q$5768:$Q$5895,AC5796+1)</f>
        <v/>
      </c>
      <c r="AK5796">
        <f>INDEX($R$5768:$R$5895,AD5796+1)</f>
        <v/>
      </c>
      <c r="AL5796">
        <f>INDEX($S$5768:$S$5895,AE5796+1)</f>
        <v/>
      </c>
      <c r="AM5796">
        <f>INDEX($T$5768:$T$5895,AF5796+1)</f>
        <v/>
      </c>
      <c r="AN5796">
        <f>INDEX($U$5768:$U$5895,AG5796+1)</f>
        <v/>
      </c>
      <c r="AO5796">
        <f>INDEX($V$5768:$V$5895,AH5796+1)</f>
        <v/>
      </c>
      <c r="AP5796">
        <f>INDEX($W$5768:$W$5895,AI5796+1)</f>
        <v/>
      </c>
      <c r="AQ5796">
        <f>IF(Q5796&gt;=AJ5796-0.01,1,0)</f>
        <v/>
      </c>
      <c r="AR5796">
        <f>IF(R5796&gt;=AK5796-0.01,1,0)</f>
        <v/>
      </c>
      <c r="AS5796">
        <f>IF(S5796&gt;=AL5796-0.01,1,0)</f>
        <v/>
      </c>
      <c r="AT5796">
        <f>IF(T5796&gt;=AM5796-0.01,1,0)</f>
        <v/>
      </c>
      <c r="AU5796">
        <f>IF(U5796&gt;=AN5796-0.01,1,0)</f>
        <v/>
      </c>
      <c r="AV5796">
        <f>IF(V5796&gt;=AO5796-0.01,1,0)</f>
        <v/>
      </c>
      <c r="AW5796">
        <f>IF(W5796&gt;=AP5796-0.01,1,0)</f>
        <v/>
      </c>
      <c r="AX5796">
        <f>AQ5796*AR5796*AS5796*AT5796*AU5796*AV5796*AW5796</f>
        <v/>
      </c>
    </row>
    <row r="5797">
      <c r="A5797" t="inlineStr"/>
      <c r="B5797">
        <f>Assumptions!$B$60</f>
        <v/>
      </c>
      <c r="C5797" t="n">
        <v>0</v>
      </c>
      <c r="D5797" t="n">
        <v>0</v>
      </c>
      <c r="E5797" t="n">
        <v>1</v>
      </c>
      <c r="F5797" t="n">
        <v>1</v>
      </c>
      <c r="G5797" t="n">
        <v>1</v>
      </c>
      <c r="H5797" t="n">
        <v>0</v>
      </c>
      <c r="I5797" t="n">
        <v>1</v>
      </c>
      <c r="J5797">
        <f>(1-C5797)*Assumptions!$B$41+(1-D5797)*Assumptions!$B$33+(1-E5797)*Assumptions!$B$32+(1-F5797)*Assumptions!$B$31+(1-G5797)*Assumptions!$B$30+(1-H5797)*Assumptions!$B$29+(1-I5797)*Assumptions!$B$28</f>
        <v/>
      </c>
      <c r="K5797">
        <f>C5797*$J$607+D5797*$F$607+E5797*$G$607+F5797*Assumptions!$B$14+G5797*Assumptions!$B$13+H5797*Assumptions!$B$12+I5797*Assumptions!$B$11+$O$607+$S$607+Assumptions!$B$9</f>
        <v/>
      </c>
      <c r="L5797">
        <f>B5797-J5797</f>
        <v/>
      </c>
      <c r="M5797">
        <f>IF(K5797&gt;0,IF(L5797/K5797&gt;=Assumptions!$B$37,1,0),0)</f>
        <v/>
      </c>
      <c r="N5797">
        <f>K5797+M5797*Assumptions!$B$153</f>
        <v/>
      </c>
      <c r="O5797">
        <f>L5797+M5797*Assumptions!$B$153*Assumptions!$B$37</f>
        <v/>
      </c>
      <c r="P5797">
        <f>IF(N5797&gt;0,O5797/N5797,0)</f>
        <v/>
      </c>
      <c r="Q5797">
        <f>IF(C5797=1,P5797*$J$607,Assumptions!$B$41)</f>
        <v/>
      </c>
      <c r="R5797">
        <f>IF(D5797=1,P5797*$F$607,Assumptions!$B$33)</f>
        <v/>
      </c>
      <c r="S5797">
        <f>IF(E5797=1,P5797*$G$607,Assumptions!$B$32)</f>
        <v/>
      </c>
      <c r="T5797">
        <f>IF(F5797=1,P5797*Assumptions!$B$14,Assumptions!$B$31)</f>
        <v/>
      </c>
      <c r="U5797">
        <f>IF(G5797=1,P5797*Assumptions!$B$13,Assumptions!$B$30)</f>
        <v/>
      </c>
      <c r="V5797">
        <f>IF(H5797=1,P5797*Assumptions!$B$12,Assumptions!$B$29)</f>
        <v/>
      </c>
      <c r="W5797">
        <f>IF(I5797=1,P5797*Assumptions!$B$11,Assumptions!$B$28)</f>
        <v/>
      </c>
      <c r="X5797">
        <f>P5797*($O$607+$S$607)</f>
        <v/>
      </c>
      <c r="Y5797">
        <f>P5797*Assumptions!$B$9</f>
        <v/>
      </c>
      <c r="Z5797">
        <f>IF(M5797=1,(P5797-Assumptions!$B$37)*Assumptions!$B$153,0)</f>
        <v/>
      </c>
      <c r="AA5797">
        <f>Q5797+R5797+S5797+T5797+U5797+V5797+W5797+X5797+Y5797+Z5797</f>
        <v/>
      </c>
      <c r="AB5797" t="n">
        <v>29</v>
      </c>
      <c r="AC5797" t="n">
        <v>93</v>
      </c>
      <c r="AD5797" t="n">
        <v>61</v>
      </c>
      <c r="AE5797" t="n">
        <v>13</v>
      </c>
      <c r="AF5797" t="n">
        <v>21</v>
      </c>
      <c r="AG5797" t="n">
        <v>25</v>
      </c>
      <c r="AH5797" t="n">
        <v>31</v>
      </c>
      <c r="AI5797" t="n">
        <v>28</v>
      </c>
      <c r="AJ5797">
        <f>INDEX($Q$5768:$Q$5895,AC5797+1)</f>
        <v/>
      </c>
      <c r="AK5797">
        <f>INDEX($R$5768:$R$5895,AD5797+1)</f>
        <v/>
      </c>
      <c r="AL5797">
        <f>INDEX($S$5768:$S$5895,AE5797+1)</f>
        <v/>
      </c>
      <c r="AM5797">
        <f>INDEX($T$5768:$T$5895,AF5797+1)</f>
        <v/>
      </c>
      <c r="AN5797">
        <f>INDEX($U$5768:$U$5895,AG5797+1)</f>
        <v/>
      </c>
      <c r="AO5797">
        <f>INDEX($V$5768:$V$5895,AH5797+1)</f>
        <v/>
      </c>
      <c r="AP5797">
        <f>INDEX($W$5768:$W$5895,AI5797+1)</f>
        <v/>
      </c>
      <c r="AQ5797">
        <f>IF(Q5797&gt;=AJ5797-0.01,1,0)</f>
        <v/>
      </c>
      <c r="AR5797">
        <f>IF(R5797&gt;=AK5797-0.01,1,0)</f>
        <v/>
      </c>
      <c r="AS5797">
        <f>IF(S5797&gt;=AL5797-0.01,1,0)</f>
        <v/>
      </c>
      <c r="AT5797">
        <f>IF(T5797&gt;=AM5797-0.01,1,0)</f>
        <v/>
      </c>
      <c r="AU5797">
        <f>IF(U5797&gt;=AN5797-0.01,1,0)</f>
        <v/>
      </c>
      <c r="AV5797">
        <f>IF(V5797&gt;=AO5797-0.01,1,0)</f>
        <v/>
      </c>
      <c r="AW5797">
        <f>IF(W5797&gt;=AP5797-0.01,1,0)</f>
        <v/>
      </c>
      <c r="AX5797">
        <f>AQ5797*AR5797*AS5797*AT5797*AU5797*AV5797*AW5797</f>
        <v/>
      </c>
    </row>
    <row r="5798">
      <c r="A5798" t="inlineStr"/>
      <c r="B5798">
        <f>Assumptions!$B$60</f>
        <v/>
      </c>
      <c r="C5798" t="n">
        <v>0</v>
      </c>
      <c r="D5798" t="n">
        <v>0</v>
      </c>
      <c r="E5798" t="n">
        <v>1</v>
      </c>
      <c r="F5798" t="n">
        <v>1</v>
      </c>
      <c r="G5798" t="n">
        <v>1</v>
      </c>
      <c r="H5798" t="n">
        <v>1</v>
      </c>
      <c r="I5798" t="n">
        <v>0</v>
      </c>
      <c r="J5798">
        <f>(1-C5798)*Assumptions!$B$41+(1-D5798)*Assumptions!$B$33+(1-E5798)*Assumptions!$B$32+(1-F5798)*Assumptions!$B$31+(1-G5798)*Assumptions!$B$30+(1-H5798)*Assumptions!$B$29+(1-I5798)*Assumptions!$B$28</f>
        <v/>
      </c>
      <c r="K5798">
        <f>C5798*$J$607+D5798*$F$607+E5798*$G$607+F5798*Assumptions!$B$14+G5798*Assumptions!$B$13+H5798*Assumptions!$B$12+I5798*Assumptions!$B$11+$O$607+$S$607+Assumptions!$B$9</f>
        <v/>
      </c>
      <c r="L5798">
        <f>B5798-J5798</f>
        <v/>
      </c>
      <c r="M5798">
        <f>IF(K5798&gt;0,IF(L5798/K5798&gt;=Assumptions!$B$37,1,0),0)</f>
        <v/>
      </c>
      <c r="N5798">
        <f>K5798+M5798*Assumptions!$B$153</f>
        <v/>
      </c>
      <c r="O5798">
        <f>L5798+M5798*Assumptions!$B$153*Assumptions!$B$37</f>
        <v/>
      </c>
      <c r="P5798">
        <f>IF(N5798&gt;0,O5798/N5798,0)</f>
        <v/>
      </c>
      <c r="Q5798">
        <f>IF(C5798=1,P5798*$J$607,Assumptions!$B$41)</f>
        <v/>
      </c>
      <c r="R5798">
        <f>IF(D5798=1,P5798*$F$607,Assumptions!$B$33)</f>
        <v/>
      </c>
      <c r="S5798">
        <f>IF(E5798=1,P5798*$G$607,Assumptions!$B$32)</f>
        <v/>
      </c>
      <c r="T5798">
        <f>IF(F5798=1,P5798*Assumptions!$B$14,Assumptions!$B$31)</f>
        <v/>
      </c>
      <c r="U5798">
        <f>IF(G5798=1,P5798*Assumptions!$B$13,Assumptions!$B$30)</f>
        <v/>
      </c>
      <c r="V5798">
        <f>IF(H5798=1,P5798*Assumptions!$B$12,Assumptions!$B$29)</f>
        <v/>
      </c>
      <c r="W5798">
        <f>IF(I5798=1,P5798*Assumptions!$B$11,Assumptions!$B$28)</f>
        <v/>
      </c>
      <c r="X5798">
        <f>P5798*($O$607+$S$607)</f>
        <v/>
      </c>
      <c r="Y5798">
        <f>P5798*Assumptions!$B$9</f>
        <v/>
      </c>
      <c r="Z5798">
        <f>IF(M5798=1,(P5798-Assumptions!$B$37)*Assumptions!$B$153,0)</f>
        <v/>
      </c>
      <c r="AA5798">
        <f>Q5798+R5798+S5798+T5798+U5798+V5798+W5798+X5798+Y5798+Z5798</f>
        <v/>
      </c>
      <c r="AB5798" t="n">
        <v>30</v>
      </c>
      <c r="AC5798" t="n">
        <v>94</v>
      </c>
      <c r="AD5798" t="n">
        <v>62</v>
      </c>
      <c r="AE5798" t="n">
        <v>14</v>
      </c>
      <c r="AF5798" t="n">
        <v>22</v>
      </c>
      <c r="AG5798" t="n">
        <v>26</v>
      </c>
      <c r="AH5798" t="n">
        <v>28</v>
      </c>
      <c r="AI5798" t="n">
        <v>31</v>
      </c>
      <c r="AJ5798">
        <f>INDEX($Q$5768:$Q$5895,AC5798+1)</f>
        <v/>
      </c>
      <c r="AK5798">
        <f>INDEX($R$5768:$R$5895,AD5798+1)</f>
        <v/>
      </c>
      <c r="AL5798">
        <f>INDEX($S$5768:$S$5895,AE5798+1)</f>
        <v/>
      </c>
      <c r="AM5798">
        <f>INDEX($T$5768:$T$5895,AF5798+1)</f>
        <v/>
      </c>
      <c r="AN5798">
        <f>INDEX($U$5768:$U$5895,AG5798+1)</f>
        <v/>
      </c>
      <c r="AO5798">
        <f>INDEX($V$5768:$V$5895,AH5798+1)</f>
        <v/>
      </c>
      <c r="AP5798">
        <f>INDEX($W$5768:$W$5895,AI5798+1)</f>
        <v/>
      </c>
      <c r="AQ5798">
        <f>IF(Q5798&gt;=AJ5798-0.01,1,0)</f>
        <v/>
      </c>
      <c r="AR5798">
        <f>IF(R5798&gt;=AK5798-0.01,1,0)</f>
        <v/>
      </c>
      <c r="AS5798">
        <f>IF(S5798&gt;=AL5798-0.01,1,0)</f>
        <v/>
      </c>
      <c r="AT5798">
        <f>IF(T5798&gt;=AM5798-0.01,1,0)</f>
        <v/>
      </c>
      <c r="AU5798">
        <f>IF(U5798&gt;=AN5798-0.01,1,0)</f>
        <v/>
      </c>
      <c r="AV5798">
        <f>IF(V5798&gt;=AO5798-0.01,1,0)</f>
        <v/>
      </c>
      <c r="AW5798">
        <f>IF(W5798&gt;=AP5798-0.01,1,0)</f>
        <v/>
      </c>
      <c r="AX5798">
        <f>AQ5798*AR5798*AS5798*AT5798*AU5798*AV5798*AW5798</f>
        <v/>
      </c>
    </row>
    <row r="5799">
      <c r="A5799" t="inlineStr"/>
      <c r="B5799">
        <f>Assumptions!$B$60</f>
        <v/>
      </c>
      <c r="C5799" t="n">
        <v>0</v>
      </c>
      <c r="D5799" t="n">
        <v>0</v>
      </c>
      <c r="E5799" t="n">
        <v>1</v>
      </c>
      <c r="F5799" t="n">
        <v>1</v>
      </c>
      <c r="G5799" t="n">
        <v>1</v>
      </c>
      <c r="H5799" t="n">
        <v>1</v>
      </c>
      <c r="I5799" t="n">
        <v>1</v>
      </c>
      <c r="J5799">
        <f>(1-C5799)*Assumptions!$B$41+(1-D5799)*Assumptions!$B$33+(1-E5799)*Assumptions!$B$32+(1-F5799)*Assumptions!$B$31+(1-G5799)*Assumptions!$B$30+(1-H5799)*Assumptions!$B$29+(1-I5799)*Assumptions!$B$28</f>
        <v/>
      </c>
      <c r="K5799">
        <f>C5799*$J$607+D5799*$F$607+E5799*$G$607+F5799*Assumptions!$B$14+G5799*Assumptions!$B$13+H5799*Assumptions!$B$12+I5799*Assumptions!$B$11+$O$607+$S$607+Assumptions!$B$9</f>
        <v/>
      </c>
      <c r="L5799">
        <f>B5799-J5799</f>
        <v/>
      </c>
      <c r="M5799">
        <f>IF(K5799&gt;0,IF(L5799/K5799&gt;=Assumptions!$B$37,1,0),0)</f>
        <v/>
      </c>
      <c r="N5799">
        <f>K5799+M5799*Assumptions!$B$153</f>
        <v/>
      </c>
      <c r="O5799">
        <f>L5799+M5799*Assumptions!$B$153*Assumptions!$B$37</f>
        <v/>
      </c>
      <c r="P5799">
        <f>IF(N5799&gt;0,O5799/N5799,0)</f>
        <v/>
      </c>
      <c r="Q5799">
        <f>IF(C5799=1,P5799*$J$607,Assumptions!$B$41)</f>
        <v/>
      </c>
      <c r="R5799">
        <f>IF(D5799=1,P5799*$F$607,Assumptions!$B$33)</f>
        <v/>
      </c>
      <c r="S5799">
        <f>IF(E5799=1,P5799*$G$607,Assumptions!$B$32)</f>
        <v/>
      </c>
      <c r="T5799">
        <f>IF(F5799=1,P5799*Assumptions!$B$14,Assumptions!$B$31)</f>
        <v/>
      </c>
      <c r="U5799">
        <f>IF(G5799=1,P5799*Assumptions!$B$13,Assumptions!$B$30)</f>
        <v/>
      </c>
      <c r="V5799">
        <f>IF(H5799=1,P5799*Assumptions!$B$12,Assumptions!$B$29)</f>
        <v/>
      </c>
      <c r="W5799">
        <f>IF(I5799=1,P5799*Assumptions!$B$11,Assumptions!$B$28)</f>
        <v/>
      </c>
      <c r="X5799">
        <f>P5799*($O$607+$S$607)</f>
        <v/>
      </c>
      <c r="Y5799">
        <f>P5799*Assumptions!$B$9</f>
        <v/>
      </c>
      <c r="Z5799">
        <f>IF(M5799=1,(P5799-Assumptions!$B$37)*Assumptions!$B$153,0)</f>
        <v/>
      </c>
      <c r="AA5799">
        <f>Q5799+R5799+S5799+T5799+U5799+V5799+W5799+X5799+Y5799+Z5799</f>
        <v/>
      </c>
      <c r="AB5799" t="n">
        <v>31</v>
      </c>
      <c r="AC5799" t="n">
        <v>95</v>
      </c>
      <c r="AD5799" t="n">
        <v>63</v>
      </c>
      <c r="AE5799" t="n">
        <v>15</v>
      </c>
      <c r="AF5799" t="n">
        <v>23</v>
      </c>
      <c r="AG5799" t="n">
        <v>27</v>
      </c>
      <c r="AH5799" t="n">
        <v>29</v>
      </c>
      <c r="AI5799" t="n">
        <v>30</v>
      </c>
      <c r="AJ5799">
        <f>INDEX($Q$5768:$Q$5895,AC5799+1)</f>
        <v/>
      </c>
      <c r="AK5799">
        <f>INDEX($R$5768:$R$5895,AD5799+1)</f>
        <v/>
      </c>
      <c r="AL5799">
        <f>INDEX($S$5768:$S$5895,AE5799+1)</f>
        <v/>
      </c>
      <c r="AM5799">
        <f>INDEX($T$5768:$T$5895,AF5799+1)</f>
        <v/>
      </c>
      <c r="AN5799">
        <f>INDEX($U$5768:$U$5895,AG5799+1)</f>
        <v/>
      </c>
      <c r="AO5799">
        <f>INDEX($V$5768:$V$5895,AH5799+1)</f>
        <v/>
      </c>
      <c r="AP5799">
        <f>INDEX($W$5768:$W$5895,AI5799+1)</f>
        <v/>
      </c>
      <c r="AQ5799">
        <f>IF(Q5799&gt;=AJ5799-0.01,1,0)</f>
        <v/>
      </c>
      <c r="AR5799">
        <f>IF(R5799&gt;=AK5799-0.01,1,0)</f>
        <v/>
      </c>
      <c r="AS5799">
        <f>IF(S5799&gt;=AL5799-0.01,1,0)</f>
        <v/>
      </c>
      <c r="AT5799">
        <f>IF(T5799&gt;=AM5799-0.01,1,0)</f>
        <v/>
      </c>
      <c r="AU5799">
        <f>IF(U5799&gt;=AN5799-0.01,1,0)</f>
        <v/>
      </c>
      <c r="AV5799">
        <f>IF(V5799&gt;=AO5799-0.01,1,0)</f>
        <v/>
      </c>
      <c r="AW5799">
        <f>IF(W5799&gt;=AP5799-0.01,1,0)</f>
        <v/>
      </c>
      <c r="AX5799">
        <f>AQ5799*AR5799*AS5799*AT5799*AU5799*AV5799*AW5799</f>
        <v/>
      </c>
    </row>
    <row r="5800">
      <c r="A5800" t="inlineStr"/>
      <c r="B5800">
        <f>Assumptions!$B$60</f>
        <v/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>
        <f>(1-C5800)*Assumptions!$B$41+(1-D5800)*Assumptions!$B$33+(1-E5800)*Assumptions!$B$32+(1-F5800)*Assumptions!$B$31+(1-G5800)*Assumptions!$B$30+(1-H5800)*Assumptions!$B$29+(1-I5800)*Assumptions!$B$28</f>
        <v/>
      </c>
      <c r="K5800">
        <f>C5800*$J$607+D5800*$F$607+E5800*$G$607+F5800*Assumptions!$B$14+G5800*Assumptions!$B$13+H5800*Assumptions!$B$12+I5800*Assumptions!$B$11+$O$607+$S$607+Assumptions!$B$9</f>
        <v/>
      </c>
      <c r="L5800">
        <f>B5800-J5800</f>
        <v/>
      </c>
      <c r="M5800">
        <f>IF(K5800&gt;0,IF(L5800/K5800&gt;=Assumptions!$B$37,1,0),0)</f>
        <v/>
      </c>
      <c r="N5800">
        <f>K5800+M5800*Assumptions!$B$153</f>
        <v/>
      </c>
      <c r="O5800">
        <f>L5800+M5800*Assumptions!$B$153*Assumptions!$B$37</f>
        <v/>
      </c>
      <c r="P5800">
        <f>IF(N5800&gt;0,O5800/N5800,0)</f>
        <v/>
      </c>
      <c r="Q5800">
        <f>IF(C5800=1,P5800*$J$607,Assumptions!$B$41)</f>
        <v/>
      </c>
      <c r="R5800">
        <f>IF(D5800=1,P5800*$F$607,Assumptions!$B$33)</f>
        <v/>
      </c>
      <c r="S5800">
        <f>IF(E5800=1,P5800*$G$607,Assumptions!$B$32)</f>
        <v/>
      </c>
      <c r="T5800">
        <f>IF(F5800=1,P5800*Assumptions!$B$14,Assumptions!$B$31)</f>
        <v/>
      </c>
      <c r="U5800">
        <f>IF(G5800=1,P5800*Assumptions!$B$13,Assumptions!$B$30)</f>
        <v/>
      </c>
      <c r="V5800">
        <f>IF(H5800=1,P5800*Assumptions!$B$12,Assumptions!$B$29)</f>
        <v/>
      </c>
      <c r="W5800">
        <f>IF(I5800=1,P5800*Assumptions!$B$11,Assumptions!$B$28)</f>
        <v/>
      </c>
      <c r="X5800">
        <f>P5800*($O$607+$S$607)</f>
        <v/>
      </c>
      <c r="Y5800">
        <f>P5800*Assumptions!$B$9</f>
        <v/>
      </c>
      <c r="Z5800">
        <f>IF(M5800=1,(P5800-Assumptions!$B$37)*Assumptions!$B$153,0)</f>
        <v/>
      </c>
      <c r="AA5800">
        <f>Q5800+R5800+S5800+T5800+U5800+V5800+W5800+X5800+Y5800+Z5800</f>
        <v/>
      </c>
      <c r="AB5800" t="n">
        <v>32</v>
      </c>
      <c r="AC5800" t="n">
        <v>96</v>
      </c>
      <c r="AD5800" t="n">
        <v>0</v>
      </c>
      <c r="AE5800" t="n">
        <v>48</v>
      </c>
      <c r="AF5800" t="n">
        <v>40</v>
      </c>
      <c r="AG5800" t="n">
        <v>36</v>
      </c>
      <c r="AH5800" t="n">
        <v>34</v>
      </c>
      <c r="AI5800" t="n">
        <v>33</v>
      </c>
      <c r="AJ5800">
        <f>INDEX($Q$5768:$Q$5895,AC5800+1)</f>
        <v/>
      </c>
      <c r="AK5800">
        <f>INDEX($R$5768:$R$5895,AD5800+1)</f>
        <v/>
      </c>
      <c r="AL5800">
        <f>INDEX($S$5768:$S$5895,AE5800+1)</f>
        <v/>
      </c>
      <c r="AM5800">
        <f>INDEX($T$5768:$T$5895,AF5800+1)</f>
        <v/>
      </c>
      <c r="AN5800">
        <f>INDEX($U$5768:$U$5895,AG5800+1)</f>
        <v/>
      </c>
      <c r="AO5800">
        <f>INDEX($V$5768:$V$5895,AH5800+1)</f>
        <v/>
      </c>
      <c r="AP5800">
        <f>INDEX($W$5768:$W$5895,AI5800+1)</f>
        <v/>
      </c>
      <c r="AQ5800">
        <f>IF(Q5800&gt;=AJ5800-0.01,1,0)</f>
        <v/>
      </c>
      <c r="AR5800">
        <f>IF(R5800&gt;=AK5800-0.01,1,0)</f>
        <v/>
      </c>
      <c r="AS5800">
        <f>IF(S5800&gt;=AL5800-0.01,1,0)</f>
        <v/>
      </c>
      <c r="AT5800">
        <f>IF(T5800&gt;=AM5800-0.01,1,0)</f>
        <v/>
      </c>
      <c r="AU5800">
        <f>IF(U5800&gt;=AN5800-0.01,1,0)</f>
        <v/>
      </c>
      <c r="AV5800">
        <f>IF(V5800&gt;=AO5800-0.01,1,0)</f>
        <v/>
      </c>
      <c r="AW5800">
        <f>IF(W5800&gt;=AP5800-0.01,1,0)</f>
        <v/>
      </c>
      <c r="AX5800">
        <f>AQ5800*AR5800*AS5800*AT5800*AU5800*AV5800*AW5800</f>
        <v/>
      </c>
    </row>
    <row r="5801">
      <c r="A5801" t="inlineStr"/>
      <c r="B5801">
        <f>Assumptions!$B$60</f>
        <v/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1</v>
      </c>
      <c r="J5801">
        <f>(1-C5801)*Assumptions!$B$41+(1-D5801)*Assumptions!$B$33+(1-E5801)*Assumptions!$B$32+(1-F5801)*Assumptions!$B$31+(1-G5801)*Assumptions!$B$30+(1-H5801)*Assumptions!$B$29+(1-I5801)*Assumptions!$B$28</f>
        <v/>
      </c>
      <c r="K5801">
        <f>C5801*$J$607+D5801*$F$607+E5801*$G$607+F5801*Assumptions!$B$14+G5801*Assumptions!$B$13+H5801*Assumptions!$B$12+I5801*Assumptions!$B$11+$O$607+$S$607+Assumptions!$B$9</f>
        <v/>
      </c>
      <c r="L5801">
        <f>B5801-J5801</f>
        <v/>
      </c>
      <c r="M5801">
        <f>IF(K5801&gt;0,IF(L5801/K5801&gt;=Assumptions!$B$37,1,0),0)</f>
        <v/>
      </c>
      <c r="N5801">
        <f>K5801+M5801*Assumptions!$B$153</f>
        <v/>
      </c>
      <c r="O5801">
        <f>L5801+M5801*Assumptions!$B$153*Assumptions!$B$37</f>
        <v/>
      </c>
      <c r="P5801">
        <f>IF(N5801&gt;0,O5801/N5801,0)</f>
        <v/>
      </c>
      <c r="Q5801">
        <f>IF(C5801=1,P5801*$J$607,Assumptions!$B$41)</f>
        <v/>
      </c>
      <c r="R5801">
        <f>IF(D5801=1,P5801*$F$607,Assumptions!$B$33)</f>
        <v/>
      </c>
      <c r="S5801">
        <f>IF(E5801=1,P5801*$G$607,Assumptions!$B$32)</f>
        <v/>
      </c>
      <c r="T5801">
        <f>IF(F5801=1,P5801*Assumptions!$B$14,Assumptions!$B$31)</f>
        <v/>
      </c>
      <c r="U5801">
        <f>IF(G5801=1,P5801*Assumptions!$B$13,Assumptions!$B$30)</f>
        <v/>
      </c>
      <c r="V5801">
        <f>IF(H5801=1,P5801*Assumptions!$B$12,Assumptions!$B$29)</f>
        <v/>
      </c>
      <c r="W5801">
        <f>IF(I5801=1,P5801*Assumptions!$B$11,Assumptions!$B$28)</f>
        <v/>
      </c>
      <c r="X5801">
        <f>P5801*($O$607+$S$607)</f>
        <v/>
      </c>
      <c r="Y5801">
        <f>P5801*Assumptions!$B$9</f>
        <v/>
      </c>
      <c r="Z5801">
        <f>IF(M5801=1,(P5801-Assumptions!$B$37)*Assumptions!$B$153,0)</f>
        <v/>
      </c>
      <c r="AA5801">
        <f>Q5801+R5801+S5801+T5801+U5801+V5801+W5801+X5801+Y5801+Z5801</f>
        <v/>
      </c>
      <c r="AB5801" t="n">
        <v>33</v>
      </c>
      <c r="AC5801" t="n">
        <v>97</v>
      </c>
      <c r="AD5801" t="n">
        <v>1</v>
      </c>
      <c r="AE5801" t="n">
        <v>49</v>
      </c>
      <c r="AF5801" t="n">
        <v>41</v>
      </c>
      <c r="AG5801" t="n">
        <v>37</v>
      </c>
      <c r="AH5801" t="n">
        <v>35</v>
      </c>
      <c r="AI5801" t="n">
        <v>32</v>
      </c>
      <c r="AJ5801">
        <f>INDEX($Q$5768:$Q$5895,AC5801+1)</f>
        <v/>
      </c>
      <c r="AK5801">
        <f>INDEX($R$5768:$R$5895,AD5801+1)</f>
        <v/>
      </c>
      <c r="AL5801">
        <f>INDEX($S$5768:$S$5895,AE5801+1)</f>
        <v/>
      </c>
      <c r="AM5801">
        <f>INDEX($T$5768:$T$5895,AF5801+1)</f>
        <v/>
      </c>
      <c r="AN5801">
        <f>INDEX($U$5768:$U$5895,AG5801+1)</f>
        <v/>
      </c>
      <c r="AO5801">
        <f>INDEX($V$5768:$V$5895,AH5801+1)</f>
        <v/>
      </c>
      <c r="AP5801">
        <f>INDEX($W$5768:$W$5895,AI5801+1)</f>
        <v/>
      </c>
      <c r="AQ5801">
        <f>IF(Q5801&gt;=AJ5801-0.01,1,0)</f>
        <v/>
      </c>
      <c r="AR5801">
        <f>IF(R5801&gt;=AK5801-0.01,1,0)</f>
        <v/>
      </c>
      <c r="AS5801">
        <f>IF(S5801&gt;=AL5801-0.01,1,0)</f>
        <v/>
      </c>
      <c r="AT5801">
        <f>IF(T5801&gt;=AM5801-0.01,1,0)</f>
        <v/>
      </c>
      <c r="AU5801">
        <f>IF(U5801&gt;=AN5801-0.01,1,0)</f>
        <v/>
      </c>
      <c r="AV5801">
        <f>IF(V5801&gt;=AO5801-0.01,1,0)</f>
        <v/>
      </c>
      <c r="AW5801">
        <f>IF(W5801&gt;=AP5801-0.01,1,0)</f>
        <v/>
      </c>
      <c r="AX5801">
        <f>AQ5801*AR5801*AS5801*AT5801*AU5801*AV5801*AW5801</f>
        <v/>
      </c>
    </row>
    <row r="5802">
      <c r="A5802" t="inlineStr"/>
      <c r="B5802">
        <f>Assumptions!$B$60</f>
        <v/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>
        <f>(1-C5802)*Assumptions!$B$41+(1-D5802)*Assumptions!$B$33+(1-E5802)*Assumptions!$B$32+(1-F5802)*Assumptions!$B$31+(1-G5802)*Assumptions!$B$30+(1-H5802)*Assumptions!$B$29+(1-I5802)*Assumptions!$B$28</f>
        <v/>
      </c>
      <c r="K5802">
        <f>C5802*$J$607+D5802*$F$607+E5802*$G$607+F5802*Assumptions!$B$14+G5802*Assumptions!$B$13+H5802*Assumptions!$B$12+I5802*Assumptions!$B$11+$O$607+$S$607+Assumptions!$B$9</f>
        <v/>
      </c>
      <c r="L5802">
        <f>B5802-J5802</f>
        <v/>
      </c>
      <c r="M5802">
        <f>IF(K5802&gt;0,IF(L5802/K5802&gt;=Assumptions!$B$37,1,0),0)</f>
        <v/>
      </c>
      <c r="N5802">
        <f>K5802+M5802*Assumptions!$B$153</f>
        <v/>
      </c>
      <c r="O5802">
        <f>L5802+M5802*Assumptions!$B$153*Assumptions!$B$37</f>
        <v/>
      </c>
      <c r="P5802">
        <f>IF(N5802&gt;0,O5802/N5802,0)</f>
        <v/>
      </c>
      <c r="Q5802">
        <f>IF(C5802=1,P5802*$J$607,Assumptions!$B$41)</f>
        <v/>
      </c>
      <c r="R5802">
        <f>IF(D5802=1,P5802*$F$607,Assumptions!$B$33)</f>
        <v/>
      </c>
      <c r="S5802">
        <f>IF(E5802=1,P5802*$G$607,Assumptions!$B$32)</f>
        <v/>
      </c>
      <c r="T5802">
        <f>IF(F5802=1,P5802*Assumptions!$B$14,Assumptions!$B$31)</f>
        <v/>
      </c>
      <c r="U5802">
        <f>IF(G5802=1,P5802*Assumptions!$B$13,Assumptions!$B$30)</f>
        <v/>
      </c>
      <c r="V5802">
        <f>IF(H5802=1,P5802*Assumptions!$B$12,Assumptions!$B$29)</f>
        <v/>
      </c>
      <c r="W5802">
        <f>IF(I5802=1,P5802*Assumptions!$B$11,Assumptions!$B$28)</f>
        <v/>
      </c>
      <c r="X5802">
        <f>P5802*($O$607+$S$607)</f>
        <v/>
      </c>
      <c r="Y5802">
        <f>P5802*Assumptions!$B$9</f>
        <v/>
      </c>
      <c r="Z5802">
        <f>IF(M5802=1,(P5802-Assumptions!$B$37)*Assumptions!$B$153,0)</f>
        <v/>
      </c>
      <c r="AA5802">
        <f>Q5802+R5802+S5802+T5802+U5802+V5802+W5802+X5802+Y5802+Z5802</f>
        <v/>
      </c>
      <c r="AB5802" t="n">
        <v>34</v>
      </c>
      <c r="AC5802" t="n">
        <v>98</v>
      </c>
      <c r="AD5802" t="n">
        <v>2</v>
      </c>
      <c r="AE5802" t="n">
        <v>50</v>
      </c>
      <c r="AF5802" t="n">
        <v>42</v>
      </c>
      <c r="AG5802" t="n">
        <v>38</v>
      </c>
      <c r="AH5802" t="n">
        <v>32</v>
      </c>
      <c r="AI5802" t="n">
        <v>35</v>
      </c>
      <c r="AJ5802">
        <f>INDEX($Q$5768:$Q$5895,AC5802+1)</f>
        <v/>
      </c>
      <c r="AK5802">
        <f>INDEX($R$5768:$R$5895,AD5802+1)</f>
        <v/>
      </c>
      <c r="AL5802">
        <f>INDEX($S$5768:$S$5895,AE5802+1)</f>
        <v/>
      </c>
      <c r="AM5802">
        <f>INDEX($T$5768:$T$5895,AF5802+1)</f>
        <v/>
      </c>
      <c r="AN5802">
        <f>INDEX($U$5768:$U$5895,AG5802+1)</f>
        <v/>
      </c>
      <c r="AO5802">
        <f>INDEX($V$5768:$V$5895,AH5802+1)</f>
        <v/>
      </c>
      <c r="AP5802">
        <f>INDEX($W$5768:$W$5895,AI5802+1)</f>
        <v/>
      </c>
      <c r="AQ5802">
        <f>IF(Q5802&gt;=AJ5802-0.01,1,0)</f>
        <v/>
      </c>
      <c r="AR5802">
        <f>IF(R5802&gt;=AK5802-0.01,1,0)</f>
        <v/>
      </c>
      <c r="AS5802">
        <f>IF(S5802&gt;=AL5802-0.01,1,0)</f>
        <v/>
      </c>
      <c r="AT5802">
        <f>IF(T5802&gt;=AM5802-0.01,1,0)</f>
        <v/>
      </c>
      <c r="AU5802">
        <f>IF(U5802&gt;=AN5802-0.01,1,0)</f>
        <v/>
      </c>
      <c r="AV5802">
        <f>IF(V5802&gt;=AO5802-0.01,1,0)</f>
        <v/>
      </c>
      <c r="AW5802">
        <f>IF(W5802&gt;=AP5802-0.01,1,0)</f>
        <v/>
      </c>
      <c r="AX5802">
        <f>AQ5802*AR5802*AS5802*AT5802*AU5802*AV5802*AW5802</f>
        <v/>
      </c>
    </row>
    <row r="5803">
      <c r="A5803" t="inlineStr"/>
      <c r="B5803">
        <f>Assumptions!$B$60</f>
        <v/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1</v>
      </c>
      <c r="J5803">
        <f>(1-C5803)*Assumptions!$B$41+(1-D5803)*Assumptions!$B$33+(1-E5803)*Assumptions!$B$32+(1-F5803)*Assumptions!$B$31+(1-G5803)*Assumptions!$B$30+(1-H5803)*Assumptions!$B$29+(1-I5803)*Assumptions!$B$28</f>
        <v/>
      </c>
      <c r="K5803">
        <f>C5803*$J$607+D5803*$F$607+E5803*$G$607+F5803*Assumptions!$B$14+G5803*Assumptions!$B$13+H5803*Assumptions!$B$12+I5803*Assumptions!$B$11+$O$607+$S$607+Assumptions!$B$9</f>
        <v/>
      </c>
      <c r="L5803">
        <f>B5803-J5803</f>
        <v/>
      </c>
      <c r="M5803">
        <f>IF(K5803&gt;0,IF(L5803/K5803&gt;=Assumptions!$B$37,1,0),0)</f>
        <v/>
      </c>
      <c r="N5803">
        <f>K5803+M5803*Assumptions!$B$153</f>
        <v/>
      </c>
      <c r="O5803">
        <f>L5803+M5803*Assumptions!$B$153*Assumptions!$B$37</f>
        <v/>
      </c>
      <c r="P5803">
        <f>IF(N5803&gt;0,O5803/N5803,0)</f>
        <v/>
      </c>
      <c r="Q5803">
        <f>IF(C5803=1,P5803*$J$607,Assumptions!$B$41)</f>
        <v/>
      </c>
      <c r="R5803">
        <f>IF(D5803=1,P5803*$F$607,Assumptions!$B$33)</f>
        <v/>
      </c>
      <c r="S5803">
        <f>IF(E5803=1,P5803*$G$607,Assumptions!$B$32)</f>
        <v/>
      </c>
      <c r="T5803">
        <f>IF(F5803=1,P5803*Assumptions!$B$14,Assumptions!$B$31)</f>
        <v/>
      </c>
      <c r="U5803">
        <f>IF(G5803=1,P5803*Assumptions!$B$13,Assumptions!$B$30)</f>
        <v/>
      </c>
      <c r="V5803">
        <f>IF(H5803=1,P5803*Assumptions!$B$12,Assumptions!$B$29)</f>
        <v/>
      </c>
      <c r="W5803">
        <f>IF(I5803=1,P5803*Assumptions!$B$11,Assumptions!$B$28)</f>
        <v/>
      </c>
      <c r="X5803">
        <f>P5803*($O$607+$S$607)</f>
        <v/>
      </c>
      <c r="Y5803">
        <f>P5803*Assumptions!$B$9</f>
        <v/>
      </c>
      <c r="Z5803">
        <f>IF(M5803=1,(P5803-Assumptions!$B$37)*Assumptions!$B$153,0)</f>
        <v/>
      </c>
      <c r="AA5803">
        <f>Q5803+R5803+S5803+T5803+U5803+V5803+W5803+X5803+Y5803+Z5803</f>
        <v/>
      </c>
      <c r="AB5803" t="n">
        <v>35</v>
      </c>
      <c r="AC5803" t="n">
        <v>99</v>
      </c>
      <c r="AD5803" t="n">
        <v>3</v>
      </c>
      <c r="AE5803" t="n">
        <v>51</v>
      </c>
      <c r="AF5803" t="n">
        <v>43</v>
      </c>
      <c r="AG5803" t="n">
        <v>39</v>
      </c>
      <c r="AH5803" t="n">
        <v>33</v>
      </c>
      <c r="AI5803" t="n">
        <v>34</v>
      </c>
      <c r="AJ5803">
        <f>INDEX($Q$5768:$Q$5895,AC5803+1)</f>
        <v/>
      </c>
      <c r="AK5803">
        <f>INDEX($R$5768:$R$5895,AD5803+1)</f>
        <v/>
      </c>
      <c r="AL5803">
        <f>INDEX($S$5768:$S$5895,AE5803+1)</f>
        <v/>
      </c>
      <c r="AM5803">
        <f>INDEX($T$5768:$T$5895,AF5803+1)</f>
        <v/>
      </c>
      <c r="AN5803">
        <f>INDEX($U$5768:$U$5895,AG5803+1)</f>
        <v/>
      </c>
      <c r="AO5803">
        <f>INDEX($V$5768:$V$5895,AH5803+1)</f>
        <v/>
      </c>
      <c r="AP5803">
        <f>INDEX($W$5768:$W$5895,AI5803+1)</f>
        <v/>
      </c>
      <c r="AQ5803">
        <f>IF(Q5803&gt;=AJ5803-0.01,1,0)</f>
        <v/>
      </c>
      <c r="AR5803">
        <f>IF(R5803&gt;=AK5803-0.01,1,0)</f>
        <v/>
      </c>
      <c r="AS5803">
        <f>IF(S5803&gt;=AL5803-0.01,1,0)</f>
        <v/>
      </c>
      <c r="AT5803">
        <f>IF(T5803&gt;=AM5803-0.01,1,0)</f>
        <v/>
      </c>
      <c r="AU5803">
        <f>IF(U5803&gt;=AN5803-0.01,1,0)</f>
        <v/>
      </c>
      <c r="AV5803">
        <f>IF(V5803&gt;=AO5803-0.01,1,0)</f>
        <v/>
      </c>
      <c r="AW5803">
        <f>IF(W5803&gt;=AP5803-0.01,1,0)</f>
        <v/>
      </c>
      <c r="AX5803">
        <f>AQ5803*AR5803*AS5803*AT5803*AU5803*AV5803*AW5803</f>
        <v/>
      </c>
    </row>
    <row r="5804">
      <c r="A5804" t="inlineStr"/>
      <c r="B5804">
        <f>Assumptions!$B$60</f>
        <v/>
      </c>
      <c r="C5804" t="n">
        <v>0</v>
      </c>
      <c r="D5804" t="n">
        <v>1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>
        <f>(1-C5804)*Assumptions!$B$41+(1-D5804)*Assumptions!$B$33+(1-E5804)*Assumptions!$B$32+(1-F5804)*Assumptions!$B$31+(1-G5804)*Assumptions!$B$30+(1-H5804)*Assumptions!$B$29+(1-I5804)*Assumptions!$B$28</f>
        <v/>
      </c>
      <c r="K5804">
        <f>C5804*$J$607+D5804*$F$607+E5804*$G$607+F5804*Assumptions!$B$14+G5804*Assumptions!$B$13+H5804*Assumptions!$B$12+I5804*Assumptions!$B$11+$O$607+$S$607+Assumptions!$B$9</f>
        <v/>
      </c>
      <c r="L5804">
        <f>B5804-J5804</f>
        <v/>
      </c>
      <c r="M5804">
        <f>IF(K5804&gt;0,IF(L5804/K5804&gt;=Assumptions!$B$37,1,0),0)</f>
        <v/>
      </c>
      <c r="N5804">
        <f>K5804+M5804*Assumptions!$B$153</f>
        <v/>
      </c>
      <c r="O5804">
        <f>L5804+M5804*Assumptions!$B$153*Assumptions!$B$37</f>
        <v/>
      </c>
      <c r="P5804">
        <f>IF(N5804&gt;0,O5804/N5804,0)</f>
        <v/>
      </c>
      <c r="Q5804">
        <f>IF(C5804=1,P5804*$J$607,Assumptions!$B$41)</f>
        <v/>
      </c>
      <c r="R5804">
        <f>IF(D5804=1,P5804*$F$607,Assumptions!$B$33)</f>
        <v/>
      </c>
      <c r="S5804">
        <f>IF(E5804=1,P5804*$G$607,Assumptions!$B$32)</f>
        <v/>
      </c>
      <c r="T5804">
        <f>IF(F5804=1,P5804*Assumptions!$B$14,Assumptions!$B$31)</f>
        <v/>
      </c>
      <c r="U5804">
        <f>IF(G5804=1,P5804*Assumptions!$B$13,Assumptions!$B$30)</f>
        <v/>
      </c>
      <c r="V5804">
        <f>IF(H5804=1,P5804*Assumptions!$B$12,Assumptions!$B$29)</f>
        <v/>
      </c>
      <c r="W5804">
        <f>IF(I5804=1,P5804*Assumptions!$B$11,Assumptions!$B$28)</f>
        <v/>
      </c>
      <c r="X5804">
        <f>P5804*($O$607+$S$607)</f>
        <v/>
      </c>
      <c r="Y5804">
        <f>P5804*Assumptions!$B$9</f>
        <v/>
      </c>
      <c r="Z5804">
        <f>IF(M5804=1,(P5804-Assumptions!$B$37)*Assumptions!$B$153,0)</f>
        <v/>
      </c>
      <c r="AA5804">
        <f>Q5804+R5804+S5804+T5804+U5804+V5804+W5804+X5804+Y5804+Z5804</f>
        <v/>
      </c>
      <c r="AB5804" t="n">
        <v>36</v>
      </c>
      <c r="AC5804" t="n">
        <v>100</v>
      </c>
      <c r="AD5804" t="n">
        <v>4</v>
      </c>
      <c r="AE5804" t="n">
        <v>52</v>
      </c>
      <c r="AF5804" t="n">
        <v>44</v>
      </c>
      <c r="AG5804" t="n">
        <v>32</v>
      </c>
      <c r="AH5804" t="n">
        <v>38</v>
      </c>
      <c r="AI5804" t="n">
        <v>37</v>
      </c>
      <c r="AJ5804">
        <f>INDEX($Q$5768:$Q$5895,AC5804+1)</f>
        <v/>
      </c>
      <c r="AK5804">
        <f>INDEX($R$5768:$R$5895,AD5804+1)</f>
        <v/>
      </c>
      <c r="AL5804">
        <f>INDEX($S$5768:$S$5895,AE5804+1)</f>
        <v/>
      </c>
      <c r="AM5804">
        <f>INDEX($T$5768:$T$5895,AF5804+1)</f>
        <v/>
      </c>
      <c r="AN5804">
        <f>INDEX($U$5768:$U$5895,AG5804+1)</f>
        <v/>
      </c>
      <c r="AO5804">
        <f>INDEX($V$5768:$V$5895,AH5804+1)</f>
        <v/>
      </c>
      <c r="AP5804">
        <f>INDEX($W$5768:$W$5895,AI5804+1)</f>
        <v/>
      </c>
      <c r="AQ5804">
        <f>IF(Q5804&gt;=AJ5804-0.01,1,0)</f>
        <v/>
      </c>
      <c r="AR5804">
        <f>IF(R5804&gt;=AK5804-0.01,1,0)</f>
        <v/>
      </c>
      <c r="AS5804">
        <f>IF(S5804&gt;=AL5804-0.01,1,0)</f>
        <v/>
      </c>
      <c r="AT5804">
        <f>IF(T5804&gt;=AM5804-0.01,1,0)</f>
        <v/>
      </c>
      <c r="AU5804">
        <f>IF(U5804&gt;=AN5804-0.01,1,0)</f>
        <v/>
      </c>
      <c r="AV5804">
        <f>IF(V5804&gt;=AO5804-0.01,1,0)</f>
        <v/>
      </c>
      <c r="AW5804">
        <f>IF(W5804&gt;=AP5804-0.01,1,0)</f>
        <v/>
      </c>
      <c r="AX5804">
        <f>AQ5804*AR5804*AS5804*AT5804*AU5804*AV5804*AW5804</f>
        <v/>
      </c>
    </row>
    <row r="5805">
      <c r="A5805" t="inlineStr"/>
      <c r="B5805">
        <f>Assumptions!$B$60</f>
        <v/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0</v>
      </c>
      <c r="I5805" t="n">
        <v>1</v>
      </c>
      <c r="J5805">
        <f>(1-C5805)*Assumptions!$B$41+(1-D5805)*Assumptions!$B$33+(1-E5805)*Assumptions!$B$32+(1-F5805)*Assumptions!$B$31+(1-G5805)*Assumptions!$B$30+(1-H5805)*Assumptions!$B$29+(1-I5805)*Assumptions!$B$28</f>
        <v/>
      </c>
      <c r="K5805">
        <f>C5805*$J$607+D5805*$F$607+E5805*$G$607+F5805*Assumptions!$B$14+G5805*Assumptions!$B$13+H5805*Assumptions!$B$12+I5805*Assumptions!$B$11+$O$607+$S$607+Assumptions!$B$9</f>
        <v/>
      </c>
      <c r="L5805">
        <f>B5805-J5805</f>
        <v/>
      </c>
      <c r="M5805">
        <f>IF(K5805&gt;0,IF(L5805/K5805&gt;=Assumptions!$B$37,1,0),0)</f>
        <v/>
      </c>
      <c r="N5805">
        <f>K5805+M5805*Assumptions!$B$153</f>
        <v/>
      </c>
      <c r="O5805">
        <f>L5805+M5805*Assumptions!$B$153*Assumptions!$B$37</f>
        <v/>
      </c>
      <c r="P5805">
        <f>IF(N5805&gt;0,O5805/N5805,0)</f>
        <v/>
      </c>
      <c r="Q5805">
        <f>IF(C5805=1,P5805*$J$607,Assumptions!$B$41)</f>
        <v/>
      </c>
      <c r="R5805">
        <f>IF(D5805=1,P5805*$F$607,Assumptions!$B$33)</f>
        <v/>
      </c>
      <c r="S5805">
        <f>IF(E5805=1,P5805*$G$607,Assumptions!$B$32)</f>
        <v/>
      </c>
      <c r="T5805">
        <f>IF(F5805=1,P5805*Assumptions!$B$14,Assumptions!$B$31)</f>
        <v/>
      </c>
      <c r="U5805">
        <f>IF(G5805=1,P5805*Assumptions!$B$13,Assumptions!$B$30)</f>
        <v/>
      </c>
      <c r="V5805">
        <f>IF(H5805=1,P5805*Assumptions!$B$12,Assumptions!$B$29)</f>
        <v/>
      </c>
      <c r="W5805">
        <f>IF(I5805=1,P5805*Assumptions!$B$11,Assumptions!$B$28)</f>
        <v/>
      </c>
      <c r="X5805">
        <f>P5805*($O$607+$S$607)</f>
        <v/>
      </c>
      <c r="Y5805">
        <f>P5805*Assumptions!$B$9</f>
        <v/>
      </c>
      <c r="Z5805">
        <f>IF(M5805=1,(P5805-Assumptions!$B$37)*Assumptions!$B$153,0)</f>
        <v/>
      </c>
      <c r="AA5805">
        <f>Q5805+R5805+S5805+T5805+U5805+V5805+W5805+X5805+Y5805+Z5805</f>
        <v/>
      </c>
      <c r="AB5805" t="n">
        <v>37</v>
      </c>
      <c r="AC5805" t="n">
        <v>101</v>
      </c>
      <c r="AD5805" t="n">
        <v>5</v>
      </c>
      <c r="AE5805" t="n">
        <v>53</v>
      </c>
      <c r="AF5805" t="n">
        <v>45</v>
      </c>
      <c r="AG5805" t="n">
        <v>33</v>
      </c>
      <c r="AH5805" t="n">
        <v>39</v>
      </c>
      <c r="AI5805" t="n">
        <v>36</v>
      </c>
      <c r="AJ5805">
        <f>INDEX($Q$5768:$Q$5895,AC5805+1)</f>
        <v/>
      </c>
      <c r="AK5805">
        <f>INDEX($R$5768:$R$5895,AD5805+1)</f>
        <v/>
      </c>
      <c r="AL5805">
        <f>INDEX($S$5768:$S$5895,AE5805+1)</f>
        <v/>
      </c>
      <c r="AM5805">
        <f>INDEX($T$5768:$T$5895,AF5805+1)</f>
        <v/>
      </c>
      <c r="AN5805">
        <f>INDEX($U$5768:$U$5895,AG5805+1)</f>
        <v/>
      </c>
      <c r="AO5805">
        <f>INDEX($V$5768:$V$5895,AH5805+1)</f>
        <v/>
      </c>
      <c r="AP5805">
        <f>INDEX($W$5768:$W$5895,AI5805+1)</f>
        <v/>
      </c>
      <c r="AQ5805">
        <f>IF(Q5805&gt;=AJ5805-0.01,1,0)</f>
        <v/>
      </c>
      <c r="AR5805">
        <f>IF(R5805&gt;=AK5805-0.01,1,0)</f>
        <v/>
      </c>
      <c r="AS5805">
        <f>IF(S5805&gt;=AL5805-0.01,1,0)</f>
        <v/>
      </c>
      <c r="AT5805">
        <f>IF(T5805&gt;=AM5805-0.01,1,0)</f>
        <v/>
      </c>
      <c r="AU5805">
        <f>IF(U5805&gt;=AN5805-0.01,1,0)</f>
        <v/>
      </c>
      <c r="AV5805">
        <f>IF(V5805&gt;=AO5805-0.01,1,0)</f>
        <v/>
      </c>
      <c r="AW5805">
        <f>IF(W5805&gt;=AP5805-0.01,1,0)</f>
        <v/>
      </c>
      <c r="AX5805">
        <f>AQ5805*AR5805*AS5805*AT5805*AU5805*AV5805*AW5805</f>
        <v/>
      </c>
    </row>
    <row r="5806">
      <c r="A5806" t="inlineStr"/>
      <c r="B5806">
        <f>Assumptions!$B$60</f>
        <v/>
      </c>
      <c r="C5806" t="n">
        <v>0</v>
      </c>
      <c r="D5806" t="n">
        <v>1</v>
      </c>
      <c r="E5806" t="n">
        <v>0</v>
      </c>
      <c r="F5806" t="n">
        <v>0</v>
      </c>
      <c r="G5806" t="n">
        <v>1</v>
      </c>
      <c r="H5806" t="n">
        <v>1</v>
      </c>
      <c r="I5806" t="n">
        <v>0</v>
      </c>
      <c r="J5806">
        <f>(1-C5806)*Assumptions!$B$41+(1-D5806)*Assumptions!$B$33+(1-E5806)*Assumptions!$B$32+(1-F5806)*Assumptions!$B$31+(1-G5806)*Assumptions!$B$30+(1-H5806)*Assumptions!$B$29+(1-I5806)*Assumptions!$B$28</f>
        <v/>
      </c>
      <c r="K5806">
        <f>C5806*$J$607+D5806*$F$607+E5806*$G$607+F5806*Assumptions!$B$14+G5806*Assumptions!$B$13+H5806*Assumptions!$B$12+I5806*Assumptions!$B$11+$O$607+$S$607+Assumptions!$B$9</f>
        <v/>
      </c>
      <c r="L5806">
        <f>B5806-J5806</f>
        <v/>
      </c>
      <c r="M5806">
        <f>IF(K5806&gt;0,IF(L5806/K5806&gt;=Assumptions!$B$37,1,0),0)</f>
        <v/>
      </c>
      <c r="N5806">
        <f>K5806+M5806*Assumptions!$B$153</f>
        <v/>
      </c>
      <c r="O5806">
        <f>L5806+M5806*Assumptions!$B$153*Assumptions!$B$37</f>
        <v/>
      </c>
      <c r="P5806">
        <f>IF(N5806&gt;0,O5806/N5806,0)</f>
        <v/>
      </c>
      <c r="Q5806">
        <f>IF(C5806=1,P5806*$J$607,Assumptions!$B$41)</f>
        <v/>
      </c>
      <c r="R5806">
        <f>IF(D5806=1,P5806*$F$607,Assumptions!$B$33)</f>
        <v/>
      </c>
      <c r="S5806">
        <f>IF(E5806=1,P5806*$G$607,Assumptions!$B$32)</f>
        <v/>
      </c>
      <c r="T5806">
        <f>IF(F5806=1,P5806*Assumptions!$B$14,Assumptions!$B$31)</f>
        <v/>
      </c>
      <c r="U5806">
        <f>IF(G5806=1,P5806*Assumptions!$B$13,Assumptions!$B$30)</f>
        <v/>
      </c>
      <c r="V5806">
        <f>IF(H5806=1,P5806*Assumptions!$B$12,Assumptions!$B$29)</f>
        <v/>
      </c>
      <c r="W5806">
        <f>IF(I5806=1,P5806*Assumptions!$B$11,Assumptions!$B$28)</f>
        <v/>
      </c>
      <c r="X5806">
        <f>P5806*($O$607+$S$607)</f>
        <v/>
      </c>
      <c r="Y5806">
        <f>P5806*Assumptions!$B$9</f>
        <v/>
      </c>
      <c r="Z5806">
        <f>IF(M5806=1,(P5806-Assumptions!$B$37)*Assumptions!$B$153,0)</f>
        <v/>
      </c>
      <c r="AA5806">
        <f>Q5806+R5806+S5806+T5806+U5806+V5806+W5806+X5806+Y5806+Z5806</f>
        <v/>
      </c>
      <c r="AB5806" t="n">
        <v>38</v>
      </c>
      <c r="AC5806" t="n">
        <v>102</v>
      </c>
      <c r="AD5806" t="n">
        <v>6</v>
      </c>
      <c r="AE5806" t="n">
        <v>54</v>
      </c>
      <c r="AF5806" t="n">
        <v>46</v>
      </c>
      <c r="AG5806" t="n">
        <v>34</v>
      </c>
      <c r="AH5806" t="n">
        <v>36</v>
      </c>
      <c r="AI5806" t="n">
        <v>39</v>
      </c>
      <c r="AJ5806">
        <f>INDEX($Q$5768:$Q$5895,AC5806+1)</f>
        <v/>
      </c>
      <c r="AK5806">
        <f>INDEX($R$5768:$R$5895,AD5806+1)</f>
        <v/>
      </c>
      <c r="AL5806">
        <f>INDEX($S$5768:$S$5895,AE5806+1)</f>
        <v/>
      </c>
      <c r="AM5806">
        <f>INDEX($T$5768:$T$5895,AF5806+1)</f>
        <v/>
      </c>
      <c r="AN5806">
        <f>INDEX($U$5768:$U$5895,AG5806+1)</f>
        <v/>
      </c>
      <c r="AO5806">
        <f>INDEX($V$5768:$V$5895,AH5806+1)</f>
        <v/>
      </c>
      <c r="AP5806">
        <f>INDEX($W$5768:$W$5895,AI5806+1)</f>
        <v/>
      </c>
      <c r="AQ5806">
        <f>IF(Q5806&gt;=AJ5806-0.01,1,0)</f>
        <v/>
      </c>
      <c r="AR5806">
        <f>IF(R5806&gt;=AK5806-0.01,1,0)</f>
        <v/>
      </c>
      <c r="AS5806">
        <f>IF(S5806&gt;=AL5806-0.01,1,0)</f>
        <v/>
      </c>
      <c r="AT5806">
        <f>IF(T5806&gt;=AM5806-0.01,1,0)</f>
        <v/>
      </c>
      <c r="AU5806">
        <f>IF(U5806&gt;=AN5806-0.01,1,0)</f>
        <v/>
      </c>
      <c r="AV5806">
        <f>IF(V5806&gt;=AO5806-0.01,1,0)</f>
        <v/>
      </c>
      <c r="AW5806">
        <f>IF(W5806&gt;=AP5806-0.01,1,0)</f>
        <v/>
      </c>
      <c r="AX5806">
        <f>AQ5806*AR5806*AS5806*AT5806*AU5806*AV5806*AW5806</f>
        <v/>
      </c>
    </row>
    <row r="5807">
      <c r="A5807" t="inlineStr"/>
      <c r="B5807">
        <f>Assumptions!$B$60</f>
        <v/>
      </c>
      <c r="C5807" t="n">
        <v>0</v>
      </c>
      <c r="D5807" t="n">
        <v>1</v>
      </c>
      <c r="E5807" t="n">
        <v>0</v>
      </c>
      <c r="F5807" t="n">
        <v>0</v>
      </c>
      <c r="G5807" t="n">
        <v>1</v>
      </c>
      <c r="H5807" t="n">
        <v>1</v>
      </c>
      <c r="I5807" t="n">
        <v>1</v>
      </c>
      <c r="J5807">
        <f>(1-C5807)*Assumptions!$B$41+(1-D5807)*Assumptions!$B$33+(1-E5807)*Assumptions!$B$32+(1-F5807)*Assumptions!$B$31+(1-G5807)*Assumptions!$B$30+(1-H5807)*Assumptions!$B$29+(1-I5807)*Assumptions!$B$28</f>
        <v/>
      </c>
      <c r="K5807">
        <f>C5807*$J$607+D5807*$F$607+E5807*$G$607+F5807*Assumptions!$B$14+G5807*Assumptions!$B$13+H5807*Assumptions!$B$12+I5807*Assumptions!$B$11+$O$607+$S$607+Assumptions!$B$9</f>
        <v/>
      </c>
      <c r="L5807">
        <f>B5807-J5807</f>
        <v/>
      </c>
      <c r="M5807">
        <f>IF(K5807&gt;0,IF(L5807/K5807&gt;=Assumptions!$B$37,1,0),0)</f>
        <v/>
      </c>
      <c r="N5807">
        <f>K5807+M5807*Assumptions!$B$153</f>
        <v/>
      </c>
      <c r="O5807">
        <f>L5807+M5807*Assumptions!$B$153*Assumptions!$B$37</f>
        <v/>
      </c>
      <c r="P5807">
        <f>IF(N5807&gt;0,O5807/N5807,0)</f>
        <v/>
      </c>
      <c r="Q5807">
        <f>IF(C5807=1,P5807*$J$607,Assumptions!$B$41)</f>
        <v/>
      </c>
      <c r="R5807">
        <f>IF(D5807=1,P5807*$F$607,Assumptions!$B$33)</f>
        <v/>
      </c>
      <c r="S5807">
        <f>IF(E5807=1,P5807*$G$607,Assumptions!$B$32)</f>
        <v/>
      </c>
      <c r="T5807">
        <f>IF(F5807=1,P5807*Assumptions!$B$14,Assumptions!$B$31)</f>
        <v/>
      </c>
      <c r="U5807">
        <f>IF(G5807=1,P5807*Assumptions!$B$13,Assumptions!$B$30)</f>
        <v/>
      </c>
      <c r="V5807">
        <f>IF(H5807=1,P5807*Assumptions!$B$12,Assumptions!$B$29)</f>
        <v/>
      </c>
      <c r="W5807">
        <f>IF(I5807=1,P5807*Assumptions!$B$11,Assumptions!$B$28)</f>
        <v/>
      </c>
      <c r="X5807">
        <f>P5807*($O$607+$S$607)</f>
        <v/>
      </c>
      <c r="Y5807">
        <f>P5807*Assumptions!$B$9</f>
        <v/>
      </c>
      <c r="Z5807">
        <f>IF(M5807=1,(P5807-Assumptions!$B$37)*Assumptions!$B$153,0)</f>
        <v/>
      </c>
      <c r="AA5807">
        <f>Q5807+R5807+S5807+T5807+U5807+V5807+W5807+X5807+Y5807+Z5807</f>
        <v/>
      </c>
      <c r="AB5807" t="n">
        <v>39</v>
      </c>
      <c r="AC5807" t="n">
        <v>103</v>
      </c>
      <c r="AD5807" t="n">
        <v>7</v>
      </c>
      <c r="AE5807" t="n">
        <v>55</v>
      </c>
      <c r="AF5807" t="n">
        <v>47</v>
      </c>
      <c r="AG5807" t="n">
        <v>35</v>
      </c>
      <c r="AH5807" t="n">
        <v>37</v>
      </c>
      <c r="AI5807" t="n">
        <v>38</v>
      </c>
      <c r="AJ5807">
        <f>INDEX($Q$5768:$Q$5895,AC5807+1)</f>
        <v/>
      </c>
      <c r="AK5807">
        <f>INDEX($R$5768:$R$5895,AD5807+1)</f>
        <v/>
      </c>
      <c r="AL5807">
        <f>INDEX($S$5768:$S$5895,AE5807+1)</f>
        <v/>
      </c>
      <c r="AM5807">
        <f>INDEX($T$5768:$T$5895,AF5807+1)</f>
        <v/>
      </c>
      <c r="AN5807">
        <f>INDEX($U$5768:$U$5895,AG5807+1)</f>
        <v/>
      </c>
      <c r="AO5807">
        <f>INDEX($V$5768:$V$5895,AH5807+1)</f>
        <v/>
      </c>
      <c r="AP5807">
        <f>INDEX($W$5768:$W$5895,AI5807+1)</f>
        <v/>
      </c>
      <c r="AQ5807">
        <f>IF(Q5807&gt;=AJ5807-0.01,1,0)</f>
        <v/>
      </c>
      <c r="AR5807">
        <f>IF(R5807&gt;=AK5807-0.01,1,0)</f>
        <v/>
      </c>
      <c r="AS5807">
        <f>IF(S5807&gt;=AL5807-0.01,1,0)</f>
        <v/>
      </c>
      <c r="AT5807">
        <f>IF(T5807&gt;=AM5807-0.01,1,0)</f>
        <v/>
      </c>
      <c r="AU5807">
        <f>IF(U5807&gt;=AN5807-0.01,1,0)</f>
        <v/>
      </c>
      <c r="AV5807">
        <f>IF(V5807&gt;=AO5807-0.01,1,0)</f>
        <v/>
      </c>
      <c r="AW5807">
        <f>IF(W5807&gt;=AP5807-0.01,1,0)</f>
        <v/>
      </c>
      <c r="AX5807">
        <f>AQ5807*AR5807*AS5807*AT5807*AU5807*AV5807*AW5807</f>
        <v/>
      </c>
    </row>
    <row r="5808">
      <c r="A5808" t="inlineStr"/>
      <c r="B5808">
        <f>Assumptions!$B$60</f>
        <v/>
      </c>
      <c r="C5808" t="n">
        <v>0</v>
      </c>
      <c r="D5808" t="n">
        <v>1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>
        <f>(1-C5808)*Assumptions!$B$41+(1-D5808)*Assumptions!$B$33+(1-E5808)*Assumptions!$B$32+(1-F5808)*Assumptions!$B$31+(1-G5808)*Assumptions!$B$30+(1-H5808)*Assumptions!$B$29+(1-I5808)*Assumptions!$B$28</f>
        <v/>
      </c>
      <c r="K5808">
        <f>C5808*$J$607+D5808*$F$607+E5808*$G$607+F5808*Assumptions!$B$14+G5808*Assumptions!$B$13+H5808*Assumptions!$B$12+I5808*Assumptions!$B$11+$O$607+$S$607+Assumptions!$B$9</f>
        <v/>
      </c>
      <c r="L5808">
        <f>B5808-J5808</f>
        <v/>
      </c>
      <c r="M5808">
        <f>IF(K5808&gt;0,IF(L5808/K5808&gt;=Assumptions!$B$37,1,0),0)</f>
        <v/>
      </c>
      <c r="N5808">
        <f>K5808+M5808*Assumptions!$B$153</f>
        <v/>
      </c>
      <c r="O5808">
        <f>L5808+M5808*Assumptions!$B$153*Assumptions!$B$37</f>
        <v/>
      </c>
      <c r="P5808">
        <f>IF(N5808&gt;0,O5808/N5808,0)</f>
        <v/>
      </c>
      <c r="Q5808">
        <f>IF(C5808=1,P5808*$J$607,Assumptions!$B$41)</f>
        <v/>
      </c>
      <c r="R5808">
        <f>IF(D5808=1,P5808*$F$607,Assumptions!$B$33)</f>
        <v/>
      </c>
      <c r="S5808">
        <f>IF(E5808=1,P5808*$G$607,Assumptions!$B$32)</f>
        <v/>
      </c>
      <c r="T5808">
        <f>IF(F5808=1,P5808*Assumptions!$B$14,Assumptions!$B$31)</f>
        <v/>
      </c>
      <c r="U5808">
        <f>IF(G5808=1,P5808*Assumptions!$B$13,Assumptions!$B$30)</f>
        <v/>
      </c>
      <c r="V5808">
        <f>IF(H5808=1,P5808*Assumptions!$B$12,Assumptions!$B$29)</f>
        <v/>
      </c>
      <c r="W5808">
        <f>IF(I5808=1,P5808*Assumptions!$B$11,Assumptions!$B$28)</f>
        <v/>
      </c>
      <c r="X5808">
        <f>P5808*($O$607+$S$607)</f>
        <v/>
      </c>
      <c r="Y5808">
        <f>P5808*Assumptions!$B$9</f>
        <v/>
      </c>
      <c r="Z5808">
        <f>IF(M5808=1,(P5808-Assumptions!$B$37)*Assumptions!$B$153,0)</f>
        <v/>
      </c>
      <c r="AA5808">
        <f>Q5808+R5808+S5808+T5808+U5808+V5808+W5808+X5808+Y5808+Z5808</f>
        <v/>
      </c>
      <c r="AB5808" t="n">
        <v>40</v>
      </c>
      <c r="AC5808" t="n">
        <v>104</v>
      </c>
      <c r="AD5808" t="n">
        <v>8</v>
      </c>
      <c r="AE5808" t="n">
        <v>56</v>
      </c>
      <c r="AF5808" t="n">
        <v>32</v>
      </c>
      <c r="AG5808" t="n">
        <v>44</v>
      </c>
      <c r="AH5808" t="n">
        <v>42</v>
      </c>
      <c r="AI5808" t="n">
        <v>41</v>
      </c>
      <c r="AJ5808">
        <f>INDEX($Q$5768:$Q$5895,AC5808+1)</f>
        <v/>
      </c>
      <c r="AK5808">
        <f>INDEX($R$5768:$R$5895,AD5808+1)</f>
        <v/>
      </c>
      <c r="AL5808">
        <f>INDEX($S$5768:$S$5895,AE5808+1)</f>
        <v/>
      </c>
      <c r="AM5808">
        <f>INDEX($T$5768:$T$5895,AF5808+1)</f>
        <v/>
      </c>
      <c r="AN5808">
        <f>INDEX($U$5768:$U$5895,AG5808+1)</f>
        <v/>
      </c>
      <c r="AO5808">
        <f>INDEX($V$5768:$V$5895,AH5808+1)</f>
        <v/>
      </c>
      <c r="AP5808">
        <f>INDEX($W$5768:$W$5895,AI5808+1)</f>
        <v/>
      </c>
      <c r="AQ5808">
        <f>IF(Q5808&gt;=AJ5808-0.01,1,0)</f>
        <v/>
      </c>
      <c r="AR5808">
        <f>IF(R5808&gt;=AK5808-0.01,1,0)</f>
        <v/>
      </c>
      <c r="AS5808">
        <f>IF(S5808&gt;=AL5808-0.01,1,0)</f>
        <v/>
      </c>
      <c r="AT5808">
        <f>IF(T5808&gt;=AM5808-0.01,1,0)</f>
        <v/>
      </c>
      <c r="AU5808">
        <f>IF(U5808&gt;=AN5808-0.01,1,0)</f>
        <v/>
      </c>
      <c r="AV5808">
        <f>IF(V5808&gt;=AO5808-0.01,1,0)</f>
        <v/>
      </c>
      <c r="AW5808">
        <f>IF(W5808&gt;=AP5808-0.01,1,0)</f>
        <v/>
      </c>
      <c r="AX5808">
        <f>AQ5808*AR5808*AS5808*AT5808*AU5808*AV5808*AW5808</f>
        <v/>
      </c>
    </row>
    <row r="5809">
      <c r="A5809" t="inlineStr"/>
      <c r="B5809">
        <f>Assumptions!$B$60</f>
        <v/>
      </c>
      <c r="C5809" t="n">
        <v>0</v>
      </c>
      <c r="D5809" t="n">
        <v>1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>
        <f>(1-C5809)*Assumptions!$B$41+(1-D5809)*Assumptions!$B$33+(1-E5809)*Assumptions!$B$32+(1-F5809)*Assumptions!$B$31+(1-G5809)*Assumptions!$B$30+(1-H5809)*Assumptions!$B$29+(1-I5809)*Assumptions!$B$28</f>
        <v/>
      </c>
      <c r="K5809">
        <f>C5809*$J$607+D5809*$F$607+E5809*$G$607+F5809*Assumptions!$B$14+G5809*Assumptions!$B$13+H5809*Assumptions!$B$12+I5809*Assumptions!$B$11+$O$607+$S$607+Assumptions!$B$9</f>
        <v/>
      </c>
      <c r="L5809">
        <f>B5809-J5809</f>
        <v/>
      </c>
      <c r="M5809">
        <f>IF(K5809&gt;0,IF(L5809/K5809&gt;=Assumptions!$B$37,1,0),0)</f>
        <v/>
      </c>
      <c r="N5809">
        <f>K5809+M5809*Assumptions!$B$153</f>
        <v/>
      </c>
      <c r="O5809">
        <f>L5809+M5809*Assumptions!$B$153*Assumptions!$B$37</f>
        <v/>
      </c>
      <c r="P5809">
        <f>IF(N5809&gt;0,O5809/N5809,0)</f>
        <v/>
      </c>
      <c r="Q5809">
        <f>IF(C5809=1,P5809*$J$607,Assumptions!$B$41)</f>
        <v/>
      </c>
      <c r="R5809">
        <f>IF(D5809=1,P5809*$F$607,Assumptions!$B$33)</f>
        <v/>
      </c>
      <c r="S5809">
        <f>IF(E5809=1,P5809*$G$607,Assumptions!$B$32)</f>
        <v/>
      </c>
      <c r="T5809">
        <f>IF(F5809=1,P5809*Assumptions!$B$14,Assumptions!$B$31)</f>
        <v/>
      </c>
      <c r="U5809">
        <f>IF(G5809=1,P5809*Assumptions!$B$13,Assumptions!$B$30)</f>
        <v/>
      </c>
      <c r="V5809">
        <f>IF(H5809=1,P5809*Assumptions!$B$12,Assumptions!$B$29)</f>
        <v/>
      </c>
      <c r="W5809">
        <f>IF(I5809=1,P5809*Assumptions!$B$11,Assumptions!$B$28)</f>
        <v/>
      </c>
      <c r="X5809">
        <f>P5809*($O$607+$S$607)</f>
        <v/>
      </c>
      <c r="Y5809">
        <f>P5809*Assumptions!$B$9</f>
        <v/>
      </c>
      <c r="Z5809">
        <f>IF(M5809=1,(P5809-Assumptions!$B$37)*Assumptions!$B$153,0)</f>
        <v/>
      </c>
      <c r="AA5809">
        <f>Q5809+R5809+S5809+T5809+U5809+V5809+W5809+X5809+Y5809+Z5809</f>
        <v/>
      </c>
      <c r="AB5809" t="n">
        <v>41</v>
      </c>
      <c r="AC5809" t="n">
        <v>105</v>
      </c>
      <c r="AD5809" t="n">
        <v>9</v>
      </c>
      <c r="AE5809" t="n">
        <v>57</v>
      </c>
      <c r="AF5809" t="n">
        <v>33</v>
      </c>
      <c r="AG5809" t="n">
        <v>45</v>
      </c>
      <c r="AH5809" t="n">
        <v>43</v>
      </c>
      <c r="AI5809" t="n">
        <v>40</v>
      </c>
      <c r="AJ5809">
        <f>INDEX($Q$5768:$Q$5895,AC5809+1)</f>
        <v/>
      </c>
      <c r="AK5809">
        <f>INDEX($R$5768:$R$5895,AD5809+1)</f>
        <v/>
      </c>
      <c r="AL5809">
        <f>INDEX($S$5768:$S$5895,AE5809+1)</f>
        <v/>
      </c>
      <c r="AM5809">
        <f>INDEX($T$5768:$T$5895,AF5809+1)</f>
        <v/>
      </c>
      <c r="AN5809">
        <f>INDEX($U$5768:$U$5895,AG5809+1)</f>
        <v/>
      </c>
      <c r="AO5809">
        <f>INDEX($V$5768:$V$5895,AH5809+1)</f>
        <v/>
      </c>
      <c r="AP5809">
        <f>INDEX($W$5768:$W$5895,AI5809+1)</f>
        <v/>
      </c>
      <c r="AQ5809">
        <f>IF(Q5809&gt;=AJ5809-0.01,1,0)</f>
        <v/>
      </c>
      <c r="AR5809">
        <f>IF(R5809&gt;=AK5809-0.01,1,0)</f>
        <v/>
      </c>
      <c r="AS5809">
        <f>IF(S5809&gt;=AL5809-0.01,1,0)</f>
        <v/>
      </c>
      <c r="AT5809">
        <f>IF(T5809&gt;=AM5809-0.01,1,0)</f>
        <v/>
      </c>
      <c r="AU5809">
        <f>IF(U5809&gt;=AN5809-0.01,1,0)</f>
        <v/>
      </c>
      <c r="AV5809">
        <f>IF(V5809&gt;=AO5809-0.01,1,0)</f>
        <v/>
      </c>
      <c r="AW5809">
        <f>IF(W5809&gt;=AP5809-0.01,1,0)</f>
        <v/>
      </c>
      <c r="AX5809">
        <f>AQ5809*AR5809*AS5809*AT5809*AU5809*AV5809*AW5809</f>
        <v/>
      </c>
    </row>
    <row r="5810">
      <c r="A5810" t="inlineStr"/>
      <c r="B5810">
        <f>Assumptions!$B$60</f>
        <v/>
      </c>
      <c r="C5810" t="n">
        <v>0</v>
      </c>
      <c r="D5810" t="n">
        <v>1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>
        <f>(1-C5810)*Assumptions!$B$41+(1-D5810)*Assumptions!$B$33+(1-E5810)*Assumptions!$B$32+(1-F5810)*Assumptions!$B$31+(1-G5810)*Assumptions!$B$30+(1-H5810)*Assumptions!$B$29+(1-I5810)*Assumptions!$B$28</f>
        <v/>
      </c>
      <c r="K5810">
        <f>C5810*$J$607+D5810*$F$607+E5810*$G$607+F5810*Assumptions!$B$14+G5810*Assumptions!$B$13+H5810*Assumptions!$B$12+I5810*Assumptions!$B$11+$O$607+$S$607+Assumptions!$B$9</f>
        <v/>
      </c>
      <c r="L5810">
        <f>B5810-J5810</f>
        <v/>
      </c>
      <c r="M5810">
        <f>IF(K5810&gt;0,IF(L5810/K5810&gt;=Assumptions!$B$37,1,0),0)</f>
        <v/>
      </c>
      <c r="N5810">
        <f>K5810+M5810*Assumptions!$B$153</f>
        <v/>
      </c>
      <c r="O5810">
        <f>L5810+M5810*Assumptions!$B$153*Assumptions!$B$37</f>
        <v/>
      </c>
      <c r="P5810">
        <f>IF(N5810&gt;0,O5810/N5810,0)</f>
        <v/>
      </c>
      <c r="Q5810">
        <f>IF(C5810=1,P5810*$J$607,Assumptions!$B$41)</f>
        <v/>
      </c>
      <c r="R5810">
        <f>IF(D5810=1,P5810*$F$607,Assumptions!$B$33)</f>
        <v/>
      </c>
      <c r="S5810">
        <f>IF(E5810=1,P5810*$G$607,Assumptions!$B$32)</f>
        <v/>
      </c>
      <c r="T5810">
        <f>IF(F5810=1,P5810*Assumptions!$B$14,Assumptions!$B$31)</f>
        <v/>
      </c>
      <c r="U5810">
        <f>IF(G5810=1,P5810*Assumptions!$B$13,Assumptions!$B$30)</f>
        <v/>
      </c>
      <c r="V5810">
        <f>IF(H5810=1,P5810*Assumptions!$B$12,Assumptions!$B$29)</f>
        <v/>
      </c>
      <c r="W5810">
        <f>IF(I5810=1,P5810*Assumptions!$B$11,Assumptions!$B$28)</f>
        <v/>
      </c>
      <c r="X5810">
        <f>P5810*($O$607+$S$607)</f>
        <v/>
      </c>
      <c r="Y5810">
        <f>P5810*Assumptions!$B$9</f>
        <v/>
      </c>
      <c r="Z5810">
        <f>IF(M5810=1,(P5810-Assumptions!$B$37)*Assumptions!$B$153,0)</f>
        <v/>
      </c>
      <c r="AA5810">
        <f>Q5810+R5810+S5810+T5810+U5810+V5810+W5810+X5810+Y5810+Z5810</f>
        <v/>
      </c>
      <c r="AB5810" t="n">
        <v>42</v>
      </c>
      <c r="AC5810" t="n">
        <v>106</v>
      </c>
      <c r="AD5810" t="n">
        <v>10</v>
      </c>
      <c r="AE5810" t="n">
        <v>58</v>
      </c>
      <c r="AF5810" t="n">
        <v>34</v>
      </c>
      <c r="AG5810" t="n">
        <v>46</v>
      </c>
      <c r="AH5810" t="n">
        <v>40</v>
      </c>
      <c r="AI5810" t="n">
        <v>43</v>
      </c>
      <c r="AJ5810">
        <f>INDEX($Q$5768:$Q$5895,AC5810+1)</f>
        <v/>
      </c>
      <c r="AK5810">
        <f>INDEX($R$5768:$R$5895,AD5810+1)</f>
        <v/>
      </c>
      <c r="AL5810">
        <f>INDEX($S$5768:$S$5895,AE5810+1)</f>
        <v/>
      </c>
      <c r="AM5810">
        <f>INDEX($T$5768:$T$5895,AF5810+1)</f>
        <v/>
      </c>
      <c r="AN5810">
        <f>INDEX($U$5768:$U$5895,AG5810+1)</f>
        <v/>
      </c>
      <c r="AO5810">
        <f>INDEX($V$5768:$V$5895,AH5810+1)</f>
        <v/>
      </c>
      <c r="AP5810">
        <f>INDEX($W$5768:$W$5895,AI5810+1)</f>
        <v/>
      </c>
      <c r="AQ5810">
        <f>IF(Q5810&gt;=AJ5810-0.01,1,0)</f>
        <v/>
      </c>
      <c r="AR5810">
        <f>IF(R5810&gt;=AK5810-0.01,1,0)</f>
        <v/>
      </c>
      <c r="AS5810">
        <f>IF(S5810&gt;=AL5810-0.01,1,0)</f>
        <v/>
      </c>
      <c r="AT5810">
        <f>IF(T5810&gt;=AM5810-0.01,1,0)</f>
        <v/>
      </c>
      <c r="AU5810">
        <f>IF(U5810&gt;=AN5810-0.01,1,0)</f>
        <v/>
      </c>
      <c r="AV5810">
        <f>IF(V5810&gt;=AO5810-0.01,1,0)</f>
        <v/>
      </c>
      <c r="AW5810">
        <f>IF(W5810&gt;=AP5810-0.01,1,0)</f>
        <v/>
      </c>
      <c r="AX5810">
        <f>AQ5810*AR5810*AS5810*AT5810*AU5810*AV5810*AW5810</f>
        <v/>
      </c>
    </row>
    <row r="5811">
      <c r="A5811" t="inlineStr"/>
      <c r="B5811">
        <f>Assumptions!$B$60</f>
        <v/>
      </c>
      <c r="C5811" t="n">
        <v>0</v>
      </c>
      <c r="D5811" t="n">
        <v>1</v>
      </c>
      <c r="E5811" t="n">
        <v>0</v>
      </c>
      <c r="F5811" t="n">
        <v>1</v>
      </c>
      <c r="G5811" t="n">
        <v>0</v>
      </c>
      <c r="H5811" t="n">
        <v>1</v>
      </c>
      <c r="I5811" t="n">
        <v>1</v>
      </c>
      <c r="J5811">
        <f>(1-C5811)*Assumptions!$B$41+(1-D5811)*Assumptions!$B$33+(1-E5811)*Assumptions!$B$32+(1-F5811)*Assumptions!$B$31+(1-G5811)*Assumptions!$B$30+(1-H5811)*Assumptions!$B$29+(1-I5811)*Assumptions!$B$28</f>
        <v/>
      </c>
      <c r="K5811">
        <f>C5811*$J$607+D5811*$F$607+E5811*$G$607+F5811*Assumptions!$B$14+G5811*Assumptions!$B$13+H5811*Assumptions!$B$12+I5811*Assumptions!$B$11+$O$607+$S$607+Assumptions!$B$9</f>
        <v/>
      </c>
      <c r="L5811">
        <f>B5811-J5811</f>
        <v/>
      </c>
      <c r="M5811">
        <f>IF(K5811&gt;0,IF(L5811/K5811&gt;=Assumptions!$B$37,1,0),0)</f>
        <v/>
      </c>
      <c r="N5811">
        <f>K5811+M5811*Assumptions!$B$153</f>
        <v/>
      </c>
      <c r="O5811">
        <f>L5811+M5811*Assumptions!$B$153*Assumptions!$B$37</f>
        <v/>
      </c>
      <c r="P5811">
        <f>IF(N5811&gt;0,O5811/N5811,0)</f>
        <v/>
      </c>
      <c r="Q5811">
        <f>IF(C5811=1,P5811*$J$607,Assumptions!$B$41)</f>
        <v/>
      </c>
      <c r="R5811">
        <f>IF(D5811=1,P5811*$F$607,Assumptions!$B$33)</f>
        <v/>
      </c>
      <c r="S5811">
        <f>IF(E5811=1,P5811*$G$607,Assumptions!$B$32)</f>
        <v/>
      </c>
      <c r="T5811">
        <f>IF(F5811=1,P5811*Assumptions!$B$14,Assumptions!$B$31)</f>
        <v/>
      </c>
      <c r="U5811">
        <f>IF(G5811=1,P5811*Assumptions!$B$13,Assumptions!$B$30)</f>
        <v/>
      </c>
      <c r="V5811">
        <f>IF(H5811=1,P5811*Assumptions!$B$12,Assumptions!$B$29)</f>
        <v/>
      </c>
      <c r="W5811">
        <f>IF(I5811=1,P5811*Assumptions!$B$11,Assumptions!$B$28)</f>
        <v/>
      </c>
      <c r="X5811">
        <f>P5811*($O$607+$S$607)</f>
        <v/>
      </c>
      <c r="Y5811">
        <f>P5811*Assumptions!$B$9</f>
        <v/>
      </c>
      <c r="Z5811">
        <f>IF(M5811=1,(P5811-Assumptions!$B$37)*Assumptions!$B$153,0)</f>
        <v/>
      </c>
      <c r="AA5811">
        <f>Q5811+R5811+S5811+T5811+U5811+V5811+W5811+X5811+Y5811+Z5811</f>
        <v/>
      </c>
      <c r="AB5811" t="n">
        <v>43</v>
      </c>
      <c r="AC5811" t="n">
        <v>107</v>
      </c>
      <c r="AD5811" t="n">
        <v>11</v>
      </c>
      <c r="AE5811" t="n">
        <v>59</v>
      </c>
      <c r="AF5811" t="n">
        <v>35</v>
      </c>
      <c r="AG5811" t="n">
        <v>47</v>
      </c>
      <c r="AH5811" t="n">
        <v>41</v>
      </c>
      <c r="AI5811" t="n">
        <v>42</v>
      </c>
      <c r="AJ5811">
        <f>INDEX($Q$5768:$Q$5895,AC5811+1)</f>
        <v/>
      </c>
      <c r="AK5811">
        <f>INDEX($R$5768:$R$5895,AD5811+1)</f>
        <v/>
      </c>
      <c r="AL5811">
        <f>INDEX($S$5768:$S$5895,AE5811+1)</f>
        <v/>
      </c>
      <c r="AM5811">
        <f>INDEX($T$5768:$T$5895,AF5811+1)</f>
        <v/>
      </c>
      <c r="AN5811">
        <f>INDEX($U$5768:$U$5895,AG5811+1)</f>
        <v/>
      </c>
      <c r="AO5811">
        <f>INDEX($V$5768:$V$5895,AH5811+1)</f>
        <v/>
      </c>
      <c r="AP5811">
        <f>INDEX($W$5768:$W$5895,AI5811+1)</f>
        <v/>
      </c>
      <c r="AQ5811">
        <f>IF(Q5811&gt;=AJ5811-0.01,1,0)</f>
        <v/>
      </c>
      <c r="AR5811">
        <f>IF(R5811&gt;=AK5811-0.01,1,0)</f>
        <v/>
      </c>
      <c r="AS5811">
        <f>IF(S5811&gt;=AL5811-0.01,1,0)</f>
        <v/>
      </c>
      <c r="AT5811">
        <f>IF(T5811&gt;=AM5811-0.01,1,0)</f>
        <v/>
      </c>
      <c r="AU5811">
        <f>IF(U5811&gt;=AN5811-0.01,1,0)</f>
        <v/>
      </c>
      <c r="AV5811">
        <f>IF(V5811&gt;=AO5811-0.01,1,0)</f>
        <v/>
      </c>
      <c r="AW5811">
        <f>IF(W5811&gt;=AP5811-0.01,1,0)</f>
        <v/>
      </c>
      <c r="AX5811">
        <f>AQ5811*AR5811*AS5811*AT5811*AU5811*AV5811*AW5811</f>
        <v/>
      </c>
    </row>
    <row r="5812">
      <c r="A5812" t="inlineStr"/>
      <c r="B5812">
        <f>Assumptions!$B$60</f>
        <v/>
      </c>
      <c r="C5812" t="n">
        <v>0</v>
      </c>
      <c r="D5812" t="n">
        <v>1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>
        <f>(1-C5812)*Assumptions!$B$41+(1-D5812)*Assumptions!$B$33+(1-E5812)*Assumptions!$B$32+(1-F5812)*Assumptions!$B$31+(1-G5812)*Assumptions!$B$30+(1-H5812)*Assumptions!$B$29+(1-I5812)*Assumptions!$B$28</f>
        <v/>
      </c>
      <c r="K5812">
        <f>C5812*$J$607+D5812*$F$607+E5812*$G$607+F5812*Assumptions!$B$14+G5812*Assumptions!$B$13+H5812*Assumptions!$B$12+I5812*Assumptions!$B$11+$O$607+$S$607+Assumptions!$B$9</f>
        <v/>
      </c>
      <c r="L5812">
        <f>B5812-J5812</f>
        <v/>
      </c>
      <c r="M5812">
        <f>IF(K5812&gt;0,IF(L5812/K5812&gt;=Assumptions!$B$37,1,0),0)</f>
        <v/>
      </c>
      <c r="N5812">
        <f>K5812+M5812*Assumptions!$B$153</f>
        <v/>
      </c>
      <c r="O5812">
        <f>L5812+M5812*Assumptions!$B$153*Assumptions!$B$37</f>
        <v/>
      </c>
      <c r="P5812">
        <f>IF(N5812&gt;0,O5812/N5812,0)</f>
        <v/>
      </c>
      <c r="Q5812">
        <f>IF(C5812=1,P5812*$J$607,Assumptions!$B$41)</f>
        <v/>
      </c>
      <c r="R5812">
        <f>IF(D5812=1,P5812*$F$607,Assumptions!$B$33)</f>
        <v/>
      </c>
      <c r="S5812">
        <f>IF(E5812=1,P5812*$G$607,Assumptions!$B$32)</f>
        <v/>
      </c>
      <c r="T5812">
        <f>IF(F5812=1,P5812*Assumptions!$B$14,Assumptions!$B$31)</f>
        <v/>
      </c>
      <c r="U5812">
        <f>IF(G5812=1,P5812*Assumptions!$B$13,Assumptions!$B$30)</f>
        <v/>
      </c>
      <c r="V5812">
        <f>IF(H5812=1,P5812*Assumptions!$B$12,Assumptions!$B$29)</f>
        <v/>
      </c>
      <c r="W5812">
        <f>IF(I5812=1,P5812*Assumptions!$B$11,Assumptions!$B$28)</f>
        <v/>
      </c>
      <c r="X5812">
        <f>P5812*($O$607+$S$607)</f>
        <v/>
      </c>
      <c r="Y5812">
        <f>P5812*Assumptions!$B$9</f>
        <v/>
      </c>
      <c r="Z5812">
        <f>IF(M5812=1,(P5812-Assumptions!$B$37)*Assumptions!$B$153,0)</f>
        <v/>
      </c>
      <c r="AA5812">
        <f>Q5812+R5812+S5812+T5812+U5812+V5812+W5812+X5812+Y5812+Z5812</f>
        <v/>
      </c>
      <c r="AB5812" t="n">
        <v>44</v>
      </c>
      <c r="AC5812" t="n">
        <v>108</v>
      </c>
      <c r="AD5812" t="n">
        <v>12</v>
      </c>
      <c r="AE5812" t="n">
        <v>60</v>
      </c>
      <c r="AF5812" t="n">
        <v>36</v>
      </c>
      <c r="AG5812" t="n">
        <v>40</v>
      </c>
      <c r="AH5812" t="n">
        <v>46</v>
      </c>
      <c r="AI5812" t="n">
        <v>45</v>
      </c>
      <c r="AJ5812">
        <f>INDEX($Q$5768:$Q$5895,AC5812+1)</f>
        <v/>
      </c>
      <c r="AK5812">
        <f>INDEX($R$5768:$R$5895,AD5812+1)</f>
        <v/>
      </c>
      <c r="AL5812">
        <f>INDEX($S$5768:$S$5895,AE5812+1)</f>
        <v/>
      </c>
      <c r="AM5812">
        <f>INDEX($T$5768:$T$5895,AF5812+1)</f>
        <v/>
      </c>
      <c r="AN5812">
        <f>INDEX($U$5768:$U$5895,AG5812+1)</f>
        <v/>
      </c>
      <c r="AO5812">
        <f>INDEX($V$5768:$V$5895,AH5812+1)</f>
        <v/>
      </c>
      <c r="AP5812">
        <f>INDEX($W$5768:$W$5895,AI5812+1)</f>
        <v/>
      </c>
      <c r="AQ5812">
        <f>IF(Q5812&gt;=AJ5812-0.01,1,0)</f>
        <v/>
      </c>
      <c r="AR5812">
        <f>IF(R5812&gt;=AK5812-0.01,1,0)</f>
        <v/>
      </c>
      <c r="AS5812">
        <f>IF(S5812&gt;=AL5812-0.01,1,0)</f>
        <v/>
      </c>
      <c r="AT5812">
        <f>IF(T5812&gt;=AM5812-0.01,1,0)</f>
        <v/>
      </c>
      <c r="AU5812">
        <f>IF(U5812&gt;=AN5812-0.01,1,0)</f>
        <v/>
      </c>
      <c r="AV5812">
        <f>IF(V5812&gt;=AO5812-0.01,1,0)</f>
        <v/>
      </c>
      <c r="AW5812">
        <f>IF(W5812&gt;=AP5812-0.01,1,0)</f>
        <v/>
      </c>
      <c r="AX5812">
        <f>AQ5812*AR5812*AS5812*AT5812*AU5812*AV5812*AW5812</f>
        <v/>
      </c>
    </row>
    <row r="5813">
      <c r="A5813" t="inlineStr"/>
      <c r="B5813">
        <f>Assumptions!$B$60</f>
        <v/>
      </c>
      <c r="C5813" t="n">
        <v>0</v>
      </c>
      <c r="D5813" t="n">
        <v>1</v>
      </c>
      <c r="E5813" t="n">
        <v>0</v>
      </c>
      <c r="F5813" t="n">
        <v>1</v>
      </c>
      <c r="G5813" t="n">
        <v>1</v>
      </c>
      <c r="H5813" t="n">
        <v>0</v>
      </c>
      <c r="I5813" t="n">
        <v>1</v>
      </c>
      <c r="J5813">
        <f>(1-C5813)*Assumptions!$B$41+(1-D5813)*Assumptions!$B$33+(1-E5813)*Assumptions!$B$32+(1-F5813)*Assumptions!$B$31+(1-G5813)*Assumptions!$B$30+(1-H5813)*Assumptions!$B$29+(1-I5813)*Assumptions!$B$28</f>
        <v/>
      </c>
      <c r="K5813">
        <f>C5813*$J$607+D5813*$F$607+E5813*$G$607+F5813*Assumptions!$B$14+G5813*Assumptions!$B$13+H5813*Assumptions!$B$12+I5813*Assumptions!$B$11+$O$607+$S$607+Assumptions!$B$9</f>
        <v/>
      </c>
      <c r="L5813">
        <f>B5813-J5813</f>
        <v/>
      </c>
      <c r="M5813">
        <f>IF(K5813&gt;0,IF(L5813/K5813&gt;=Assumptions!$B$37,1,0),0)</f>
        <v/>
      </c>
      <c r="N5813">
        <f>K5813+M5813*Assumptions!$B$153</f>
        <v/>
      </c>
      <c r="O5813">
        <f>L5813+M5813*Assumptions!$B$153*Assumptions!$B$37</f>
        <v/>
      </c>
      <c r="P5813">
        <f>IF(N5813&gt;0,O5813/N5813,0)</f>
        <v/>
      </c>
      <c r="Q5813">
        <f>IF(C5813=1,P5813*$J$607,Assumptions!$B$41)</f>
        <v/>
      </c>
      <c r="R5813">
        <f>IF(D5813=1,P5813*$F$607,Assumptions!$B$33)</f>
        <v/>
      </c>
      <c r="S5813">
        <f>IF(E5813=1,P5813*$G$607,Assumptions!$B$32)</f>
        <v/>
      </c>
      <c r="T5813">
        <f>IF(F5813=1,P5813*Assumptions!$B$14,Assumptions!$B$31)</f>
        <v/>
      </c>
      <c r="U5813">
        <f>IF(G5813=1,P5813*Assumptions!$B$13,Assumptions!$B$30)</f>
        <v/>
      </c>
      <c r="V5813">
        <f>IF(H5813=1,P5813*Assumptions!$B$12,Assumptions!$B$29)</f>
        <v/>
      </c>
      <c r="W5813">
        <f>IF(I5813=1,P5813*Assumptions!$B$11,Assumptions!$B$28)</f>
        <v/>
      </c>
      <c r="X5813">
        <f>P5813*($O$607+$S$607)</f>
        <v/>
      </c>
      <c r="Y5813">
        <f>P5813*Assumptions!$B$9</f>
        <v/>
      </c>
      <c r="Z5813">
        <f>IF(M5813=1,(P5813-Assumptions!$B$37)*Assumptions!$B$153,0)</f>
        <v/>
      </c>
      <c r="AA5813">
        <f>Q5813+R5813+S5813+T5813+U5813+V5813+W5813+X5813+Y5813+Z5813</f>
        <v/>
      </c>
      <c r="AB5813" t="n">
        <v>45</v>
      </c>
      <c r="AC5813" t="n">
        <v>109</v>
      </c>
      <c r="AD5813" t="n">
        <v>13</v>
      </c>
      <c r="AE5813" t="n">
        <v>61</v>
      </c>
      <c r="AF5813" t="n">
        <v>37</v>
      </c>
      <c r="AG5813" t="n">
        <v>41</v>
      </c>
      <c r="AH5813" t="n">
        <v>47</v>
      </c>
      <c r="AI5813" t="n">
        <v>44</v>
      </c>
      <c r="AJ5813">
        <f>INDEX($Q$5768:$Q$5895,AC5813+1)</f>
        <v/>
      </c>
      <c r="AK5813">
        <f>INDEX($R$5768:$R$5895,AD5813+1)</f>
        <v/>
      </c>
      <c r="AL5813">
        <f>INDEX($S$5768:$S$5895,AE5813+1)</f>
        <v/>
      </c>
      <c r="AM5813">
        <f>INDEX($T$5768:$T$5895,AF5813+1)</f>
        <v/>
      </c>
      <c r="AN5813">
        <f>INDEX($U$5768:$U$5895,AG5813+1)</f>
        <v/>
      </c>
      <c r="AO5813">
        <f>INDEX($V$5768:$V$5895,AH5813+1)</f>
        <v/>
      </c>
      <c r="AP5813">
        <f>INDEX($W$5768:$W$5895,AI5813+1)</f>
        <v/>
      </c>
      <c r="AQ5813">
        <f>IF(Q5813&gt;=AJ5813-0.01,1,0)</f>
        <v/>
      </c>
      <c r="AR5813">
        <f>IF(R5813&gt;=AK5813-0.01,1,0)</f>
        <v/>
      </c>
      <c r="AS5813">
        <f>IF(S5813&gt;=AL5813-0.01,1,0)</f>
        <v/>
      </c>
      <c r="AT5813">
        <f>IF(T5813&gt;=AM5813-0.01,1,0)</f>
        <v/>
      </c>
      <c r="AU5813">
        <f>IF(U5813&gt;=AN5813-0.01,1,0)</f>
        <v/>
      </c>
      <c r="AV5813">
        <f>IF(V5813&gt;=AO5813-0.01,1,0)</f>
        <v/>
      </c>
      <c r="AW5813">
        <f>IF(W5813&gt;=AP5813-0.01,1,0)</f>
        <v/>
      </c>
      <c r="AX5813">
        <f>AQ5813*AR5813*AS5813*AT5813*AU5813*AV5813*AW5813</f>
        <v/>
      </c>
    </row>
    <row r="5814">
      <c r="A5814" t="inlineStr"/>
      <c r="B5814">
        <f>Assumptions!$B$60</f>
        <v/>
      </c>
      <c r="C5814" t="n">
        <v>0</v>
      </c>
      <c r="D5814" t="n">
        <v>1</v>
      </c>
      <c r="E5814" t="n">
        <v>0</v>
      </c>
      <c r="F5814" t="n">
        <v>1</v>
      </c>
      <c r="G5814" t="n">
        <v>1</v>
      </c>
      <c r="H5814" t="n">
        <v>1</v>
      </c>
      <c r="I5814" t="n">
        <v>0</v>
      </c>
      <c r="J5814">
        <f>(1-C5814)*Assumptions!$B$41+(1-D5814)*Assumptions!$B$33+(1-E5814)*Assumptions!$B$32+(1-F5814)*Assumptions!$B$31+(1-G5814)*Assumptions!$B$30+(1-H5814)*Assumptions!$B$29+(1-I5814)*Assumptions!$B$28</f>
        <v/>
      </c>
      <c r="K5814">
        <f>C5814*$J$607+D5814*$F$607+E5814*$G$607+F5814*Assumptions!$B$14+G5814*Assumptions!$B$13+H5814*Assumptions!$B$12+I5814*Assumptions!$B$11+$O$607+$S$607+Assumptions!$B$9</f>
        <v/>
      </c>
      <c r="L5814">
        <f>B5814-J5814</f>
        <v/>
      </c>
      <c r="M5814">
        <f>IF(K5814&gt;0,IF(L5814/K5814&gt;=Assumptions!$B$37,1,0),0)</f>
        <v/>
      </c>
      <c r="N5814">
        <f>K5814+M5814*Assumptions!$B$153</f>
        <v/>
      </c>
      <c r="O5814">
        <f>L5814+M5814*Assumptions!$B$153*Assumptions!$B$37</f>
        <v/>
      </c>
      <c r="P5814">
        <f>IF(N5814&gt;0,O5814/N5814,0)</f>
        <v/>
      </c>
      <c r="Q5814">
        <f>IF(C5814=1,P5814*$J$607,Assumptions!$B$41)</f>
        <v/>
      </c>
      <c r="R5814">
        <f>IF(D5814=1,P5814*$F$607,Assumptions!$B$33)</f>
        <v/>
      </c>
      <c r="S5814">
        <f>IF(E5814=1,P5814*$G$607,Assumptions!$B$32)</f>
        <v/>
      </c>
      <c r="T5814">
        <f>IF(F5814=1,P5814*Assumptions!$B$14,Assumptions!$B$31)</f>
        <v/>
      </c>
      <c r="U5814">
        <f>IF(G5814=1,P5814*Assumptions!$B$13,Assumptions!$B$30)</f>
        <v/>
      </c>
      <c r="V5814">
        <f>IF(H5814=1,P5814*Assumptions!$B$12,Assumptions!$B$29)</f>
        <v/>
      </c>
      <c r="W5814">
        <f>IF(I5814=1,P5814*Assumptions!$B$11,Assumptions!$B$28)</f>
        <v/>
      </c>
      <c r="X5814">
        <f>P5814*($O$607+$S$607)</f>
        <v/>
      </c>
      <c r="Y5814">
        <f>P5814*Assumptions!$B$9</f>
        <v/>
      </c>
      <c r="Z5814">
        <f>IF(M5814=1,(P5814-Assumptions!$B$37)*Assumptions!$B$153,0)</f>
        <v/>
      </c>
      <c r="AA5814">
        <f>Q5814+R5814+S5814+T5814+U5814+V5814+W5814+X5814+Y5814+Z5814</f>
        <v/>
      </c>
      <c r="AB5814" t="n">
        <v>46</v>
      </c>
      <c r="AC5814" t="n">
        <v>110</v>
      </c>
      <c r="AD5814" t="n">
        <v>14</v>
      </c>
      <c r="AE5814" t="n">
        <v>62</v>
      </c>
      <c r="AF5814" t="n">
        <v>38</v>
      </c>
      <c r="AG5814" t="n">
        <v>42</v>
      </c>
      <c r="AH5814" t="n">
        <v>44</v>
      </c>
      <c r="AI5814" t="n">
        <v>47</v>
      </c>
      <c r="AJ5814">
        <f>INDEX($Q$5768:$Q$5895,AC5814+1)</f>
        <v/>
      </c>
      <c r="AK5814">
        <f>INDEX($R$5768:$R$5895,AD5814+1)</f>
        <v/>
      </c>
      <c r="AL5814">
        <f>INDEX($S$5768:$S$5895,AE5814+1)</f>
        <v/>
      </c>
      <c r="AM5814">
        <f>INDEX($T$5768:$T$5895,AF5814+1)</f>
        <v/>
      </c>
      <c r="AN5814">
        <f>INDEX($U$5768:$U$5895,AG5814+1)</f>
        <v/>
      </c>
      <c r="AO5814">
        <f>INDEX($V$5768:$V$5895,AH5814+1)</f>
        <v/>
      </c>
      <c r="AP5814">
        <f>INDEX($W$5768:$W$5895,AI5814+1)</f>
        <v/>
      </c>
      <c r="AQ5814">
        <f>IF(Q5814&gt;=AJ5814-0.01,1,0)</f>
        <v/>
      </c>
      <c r="AR5814">
        <f>IF(R5814&gt;=AK5814-0.01,1,0)</f>
        <v/>
      </c>
      <c r="AS5814">
        <f>IF(S5814&gt;=AL5814-0.01,1,0)</f>
        <v/>
      </c>
      <c r="AT5814">
        <f>IF(T5814&gt;=AM5814-0.01,1,0)</f>
        <v/>
      </c>
      <c r="AU5814">
        <f>IF(U5814&gt;=AN5814-0.01,1,0)</f>
        <v/>
      </c>
      <c r="AV5814">
        <f>IF(V5814&gt;=AO5814-0.01,1,0)</f>
        <v/>
      </c>
      <c r="AW5814">
        <f>IF(W5814&gt;=AP5814-0.01,1,0)</f>
        <v/>
      </c>
      <c r="AX5814">
        <f>AQ5814*AR5814*AS5814*AT5814*AU5814*AV5814*AW5814</f>
        <v/>
      </c>
    </row>
    <row r="5815">
      <c r="A5815" t="inlineStr"/>
      <c r="B5815">
        <f>Assumptions!$B$60</f>
        <v/>
      </c>
      <c r="C5815" t="n">
        <v>0</v>
      </c>
      <c r="D5815" t="n">
        <v>1</v>
      </c>
      <c r="E5815" t="n">
        <v>0</v>
      </c>
      <c r="F5815" t="n">
        <v>1</v>
      </c>
      <c r="G5815" t="n">
        <v>1</v>
      </c>
      <c r="H5815" t="n">
        <v>1</v>
      </c>
      <c r="I5815" t="n">
        <v>1</v>
      </c>
      <c r="J5815">
        <f>(1-C5815)*Assumptions!$B$41+(1-D5815)*Assumptions!$B$33+(1-E5815)*Assumptions!$B$32+(1-F5815)*Assumptions!$B$31+(1-G5815)*Assumptions!$B$30+(1-H5815)*Assumptions!$B$29+(1-I5815)*Assumptions!$B$28</f>
        <v/>
      </c>
      <c r="K5815">
        <f>C5815*$J$607+D5815*$F$607+E5815*$G$607+F5815*Assumptions!$B$14+G5815*Assumptions!$B$13+H5815*Assumptions!$B$12+I5815*Assumptions!$B$11+$O$607+$S$607+Assumptions!$B$9</f>
        <v/>
      </c>
      <c r="L5815">
        <f>B5815-J5815</f>
        <v/>
      </c>
      <c r="M5815">
        <f>IF(K5815&gt;0,IF(L5815/K5815&gt;=Assumptions!$B$37,1,0),0)</f>
        <v/>
      </c>
      <c r="N5815">
        <f>K5815+M5815*Assumptions!$B$153</f>
        <v/>
      </c>
      <c r="O5815">
        <f>L5815+M5815*Assumptions!$B$153*Assumptions!$B$37</f>
        <v/>
      </c>
      <c r="P5815">
        <f>IF(N5815&gt;0,O5815/N5815,0)</f>
        <v/>
      </c>
      <c r="Q5815">
        <f>IF(C5815=1,P5815*$J$607,Assumptions!$B$41)</f>
        <v/>
      </c>
      <c r="R5815">
        <f>IF(D5815=1,P5815*$F$607,Assumptions!$B$33)</f>
        <v/>
      </c>
      <c r="S5815">
        <f>IF(E5815=1,P5815*$G$607,Assumptions!$B$32)</f>
        <v/>
      </c>
      <c r="T5815">
        <f>IF(F5815=1,P5815*Assumptions!$B$14,Assumptions!$B$31)</f>
        <v/>
      </c>
      <c r="U5815">
        <f>IF(G5815=1,P5815*Assumptions!$B$13,Assumptions!$B$30)</f>
        <v/>
      </c>
      <c r="V5815">
        <f>IF(H5815=1,P5815*Assumptions!$B$12,Assumptions!$B$29)</f>
        <v/>
      </c>
      <c r="W5815">
        <f>IF(I5815=1,P5815*Assumptions!$B$11,Assumptions!$B$28)</f>
        <v/>
      </c>
      <c r="X5815">
        <f>P5815*($O$607+$S$607)</f>
        <v/>
      </c>
      <c r="Y5815">
        <f>P5815*Assumptions!$B$9</f>
        <v/>
      </c>
      <c r="Z5815">
        <f>IF(M5815=1,(P5815-Assumptions!$B$37)*Assumptions!$B$153,0)</f>
        <v/>
      </c>
      <c r="AA5815">
        <f>Q5815+R5815+S5815+T5815+U5815+V5815+W5815+X5815+Y5815+Z5815</f>
        <v/>
      </c>
      <c r="AB5815" t="n">
        <v>47</v>
      </c>
      <c r="AC5815" t="n">
        <v>111</v>
      </c>
      <c r="AD5815" t="n">
        <v>15</v>
      </c>
      <c r="AE5815" t="n">
        <v>63</v>
      </c>
      <c r="AF5815" t="n">
        <v>39</v>
      </c>
      <c r="AG5815" t="n">
        <v>43</v>
      </c>
      <c r="AH5815" t="n">
        <v>45</v>
      </c>
      <c r="AI5815" t="n">
        <v>46</v>
      </c>
      <c r="AJ5815">
        <f>INDEX($Q$5768:$Q$5895,AC5815+1)</f>
        <v/>
      </c>
      <c r="AK5815">
        <f>INDEX($R$5768:$R$5895,AD5815+1)</f>
        <v/>
      </c>
      <c r="AL5815">
        <f>INDEX($S$5768:$S$5895,AE5815+1)</f>
        <v/>
      </c>
      <c r="AM5815">
        <f>INDEX($T$5768:$T$5895,AF5815+1)</f>
        <v/>
      </c>
      <c r="AN5815">
        <f>INDEX($U$5768:$U$5895,AG5815+1)</f>
        <v/>
      </c>
      <c r="AO5815">
        <f>INDEX($V$5768:$V$5895,AH5815+1)</f>
        <v/>
      </c>
      <c r="AP5815">
        <f>INDEX($W$5768:$W$5895,AI5815+1)</f>
        <v/>
      </c>
      <c r="AQ5815">
        <f>IF(Q5815&gt;=AJ5815-0.01,1,0)</f>
        <v/>
      </c>
      <c r="AR5815">
        <f>IF(R5815&gt;=AK5815-0.01,1,0)</f>
        <v/>
      </c>
      <c r="AS5815">
        <f>IF(S5815&gt;=AL5815-0.01,1,0)</f>
        <v/>
      </c>
      <c r="AT5815">
        <f>IF(T5815&gt;=AM5815-0.01,1,0)</f>
        <v/>
      </c>
      <c r="AU5815">
        <f>IF(U5815&gt;=AN5815-0.01,1,0)</f>
        <v/>
      </c>
      <c r="AV5815">
        <f>IF(V5815&gt;=AO5815-0.01,1,0)</f>
        <v/>
      </c>
      <c r="AW5815">
        <f>IF(W5815&gt;=AP5815-0.01,1,0)</f>
        <v/>
      </c>
      <c r="AX5815">
        <f>AQ5815*AR5815*AS5815*AT5815*AU5815*AV5815*AW5815</f>
        <v/>
      </c>
    </row>
    <row r="5816">
      <c r="A5816" t="inlineStr"/>
      <c r="B5816">
        <f>Assumptions!$B$60</f>
        <v/>
      </c>
      <c r="C5816" t="n">
        <v>0</v>
      </c>
      <c r="D5816" t="n">
        <v>1</v>
      </c>
      <c r="E5816" t="n">
        <v>1</v>
      </c>
      <c r="F5816" t="n">
        <v>0</v>
      </c>
      <c r="G5816" t="n">
        <v>0</v>
      </c>
      <c r="H5816" t="n">
        <v>0</v>
      </c>
      <c r="I5816" t="n">
        <v>0</v>
      </c>
      <c r="J5816">
        <f>(1-C5816)*Assumptions!$B$41+(1-D5816)*Assumptions!$B$33+(1-E5816)*Assumptions!$B$32+(1-F5816)*Assumptions!$B$31+(1-G5816)*Assumptions!$B$30+(1-H5816)*Assumptions!$B$29+(1-I5816)*Assumptions!$B$28</f>
        <v/>
      </c>
      <c r="K5816">
        <f>C5816*$J$607+D5816*$F$607+E5816*$G$607+F5816*Assumptions!$B$14+G5816*Assumptions!$B$13+H5816*Assumptions!$B$12+I5816*Assumptions!$B$11+$O$607+$S$607+Assumptions!$B$9</f>
        <v/>
      </c>
      <c r="L5816">
        <f>B5816-J5816</f>
        <v/>
      </c>
      <c r="M5816">
        <f>IF(K5816&gt;0,IF(L5816/K5816&gt;=Assumptions!$B$37,1,0),0)</f>
        <v/>
      </c>
      <c r="N5816">
        <f>K5816+M5816*Assumptions!$B$153</f>
        <v/>
      </c>
      <c r="O5816">
        <f>L5816+M5816*Assumptions!$B$153*Assumptions!$B$37</f>
        <v/>
      </c>
      <c r="P5816">
        <f>IF(N5816&gt;0,O5816/N5816,0)</f>
        <v/>
      </c>
      <c r="Q5816">
        <f>IF(C5816=1,P5816*$J$607,Assumptions!$B$41)</f>
        <v/>
      </c>
      <c r="R5816">
        <f>IF(D5816=1,P5816*$F$607,Assumptions!$B$33)</f>
        <v/>
      </c>
      <c r="S5816">
        <f>IF(E5816=1,P5816*$G$607,Assumptions!$B$32)</f>
        <v/>
      </c>
      <c r="T5816">
        <f>IF(F5816=1,P5816*Assumptions!$B$14,Assumptions!$B$31)</f>
        <v/>
      </c>
      <c r="U5816">
        <f>IF(G5816=1,P5816*Assumptions!$B$13,Assumptions!$B$30)</f>
        <v/>
      </c>
      <c r="V5816">
        <f>IF(H5816=1,P5816*Assumptions!$B$12,Assumptions!$B$29)</f>
        <v/>
      </c>
      <c r="W5816">
        <f>IF(I5816=1,P5816*Assumptions!$B$11,Assumptions!$B$28)</f>
        <v/>
      </c>
      <c r="X5816">
        <f>P5816*($O$607+$S$607)</f>
        <v/>
      </c>
      <c r="Y5816">
        <f>P5816*Assumptions!$B$9</f>
        <v/>
      </c>
      <c r="Z5816">
        <f>IF(M5816=1,(P5816-Assumptions!$B$37)*Assumptions!$B$153,0)</f>
        <v/>
      </c>
      <c r="AA5816">
        <f>Q5816+R5816+S5816+T5816+U5816+V5816+W5816+X5816+Y5816+Z5816</f>
        <v/>
      </c>
      <c r="AB5816" t="n">
        <v>48</v>
      </c>
      <c r="AC5816" t="n">
        <v>112</v>
      </c>
      <c r="AD5816" t="n">
        <v>16</v>
      </c>
      <c r="AE5816" t="n">
        <v>32</v>
      </c>
      <c r="AF5816" t="n">
        <v>56</v>
      </c>
      <c r="AG5816" t="n">
        <v>52</v>
      </c>
      <c r="AH5816" t="n">
        <v>50</v>
      </c>
      <c r="AI5816" t="n">
        <v>49</v>
      </c>
      <c r="AJ5816">
        <f>INDEX($Q$5768:$Q$5895,AC5816+1)</f>
        <v/>
      </c>
      <c r="AK5816">
        <f>INDEX($R$5768:$R$5895,AD5816+1)</f>
        <v/>
      </c>
      <c r="AL5816">
        <f>INDEX($S$5768:$S$5895,AE5816+1)</f>
        <v/>
      </c>
      <c r="AM5816">
        <f>INDEX($T$5768:$T$5895,AF5816+1)</f>
        <v/>
      </c>
      <c r="AN5816">
        <f>INDEX($U$5768:$U$5895,AG5816+1)</f>
        <v/>
      </c>
      <c r="AO5816">
        <f>INDEX($V$5768:$V$5895,AH5816+1)</f>
        <v/>
      </c>
      <c r="AP5816">
        <f>INDEX($W$5768:$W$5895,AI5816+1)</f>
        <v/>
      </c>
      <c r="AQ5816">
        <f>IF(Q5816&gt;=AJ5816-0.01,1,0)</f>
        <v/>
      </c>
      <c r="AR5816">
        <f>IF(R5816&gt;=AK5816-0.01,1,0)</f>
        <v/>
      </c>
      <c r="AS5816">
        <f>IF(S5816&gt;=AL5816-0.01,1,0)</f>
        <v/>
      </c>
      <c r="AT5816">
        <f>IF(T5816&gt;=AM5816-0.01,1,0)</f>
        <v/>
      </c>
      <c r="AU5816">
        <f>IF(U5816&gt;=AN5816-0.01,1,0)</f>
        <v/>
      </c>
      <c r="AV5816">
        <f>IF(V5816&gt;=AO5816-0.01,1,0)</f>
        <v/>
      </c>
      <c r="AW5816">
        <f>IF(W5816&gt;=AP5816-0.01,1,0)</f>
        <v/>
      </c>
      <c r="AX5816">
        <f>AQ5816*AR5816*AS5816*AT5816*AU5816*AV5816*AW5816</f>
        <v/>
      </c>
    </row>
    <row r="5817">
      <c r="A5817" t="inlineStr"/>
      <c r="B5817">
        <f>Assumptions!$B$60</f>
        <v/>
      </c>
      <c r="C5817" t="n">
        <v>0</v>
      </c>
      <c r="D5817" t="n">
        <v>1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>
        <f>(1-C5817)*Assumptions!$B$41+(1-D5817)*Assumptions!$B$33+(1-E5817)*Assumptions!$B$32+(1-F5817)*Assumptions!$B$31+(1-G5817)*Assumptions!$B$30+(1-H5817)*Assumptions!$B$29+(1-I5817)*Assumptions!$B$28</f>
        <v/>
      </c>
      <c r="K5817">
        <f>C5817*$J$607+D5817*$F$607+E5817*$G$607+F5817*Assumptions!$B$14+G5817*Assumptions!$B$13+H5817*Assumptions!$B$12+I5817*Assumptions!$B$11+$O$607+$S$607+Assumptions!$B$9</f>
        <v/>
      </c>
      <c r="L5817">
        <f>B5817-J5817</f>
        <v/>
      </c>
      <c r="M5817">
        <f>IF(K5817&gt;0,IF(L5817/K5817&gt;=Assumptions!$B$37,1,0),0)</f>
        <v/>
      </c>
      <c r="N5817">
        <f>K5817+M5817*Assumptions!$B$153</f>
        <v/>
      </c>
      <c r="O5817">
        <f>L5817+M5817*Assumptions!$B$153*Assumptions!$B$37</f>
        <v/>
      </c>
      <c r="P5817">
        <f>IF(N5817&gt;0,O5817/N5817,0)</f>
        <v/>
      </c>
      <c r="Q5817">
        <f>IF(C5817=1,P5817*$J$607,Assumptions!$B$41)</f>
        <v/>
      </c>
      <c r="R5817">
        <f>IF(D5817=1,P5817*$F$607,Assumptions!$B$33)</f>
        <v/>
      </c>
      <c r="S5817">
        <f>IF(E5817=1,P5817*$G$607,Assumptions!$B$32)</f>
        <v/>
      </c>
      <c r="T5817">
        <f>IF(F5817=1,P5817*Assumptions!$B$14,Assumptions!$B$31)</f>
        <v/>
      </c>
      <c r="U5817">
        <f>IF(G5817=1,P5817*Assumptions!$B$13,Assumptions!$B$30)</f>
        <v/>
      </c>
      <c r="V5817">
        <f>IF(H5817=1,P5817*Assumptions!$B$12,Assumptions!$B$29)</f>
        <v/>
      </c>
      <c r="W5817">
        <f>IF(I5817=1,P5817*Assumptions!$B$11,Assumptions!$B$28)</f>
        <v/>
      </c>
      <c r="X5817">
        <f>P5817*($O$607+$S$607)</f>
        <v/>
      </c>
      <c r="Y5817">
        <f>P5817*Assumptions!$B$9</f>
        <v/>
      </c>
      <c r="Z5817">
        <f>IF(M5817=1,(P5817-Assumptions!$B$37)*Assumptions!$B$153,0)</f>
        <v/>
      </c>
      <c r="AA5817">
        <f>Q5817+R5817+S5817+T5817+U5817+V5817+W5817+X5817+Y5817+Z5817</f>
        <v/>
      </c>
      <c r="AB5817" t="n">
        <v>49</v>
      </c>
      <c r="AC5817" t="n">
        <v>113</v>
      </c>
      <c r="AD5817" t="n">
        <v>17</v>
      </c>
      <c r="AE5817" t="n">
        <v>33</v>
      </c>
      <c r="AF5817" t="n">
        <v>57</v>
      </c>
      <c r="AG5817" t="n">
        <v>53</v>
      </c>
      <c r="AH5817" t="n">
        <v>51</v>
      </c>
      <c r="AI5817" t="n">
        <v>48</v>
      </c>
      <c r="AJ5817">
        <f>INDEX($Q$5768:$Q$5895,AC5817+1)</f>
        <v/>
      </c>
      <c r="AK5817">
        <f>INDEX($R$5768:$R$5895,AD5817+1)</f>
        <v/>
      </c>
      <c r="AL5817">
        <f>INDEX($S$5768:$S$5895,AE5817+1)</f>
        <v/>
      </c>
      <c r="AM5817">
        <f>INDEX($T$5768:$T$5895,AF5817+1)</f>
        <v/>
      </c>
      <c r="AN5817">
        <f>INDEX($U$5768:$U$5895,AG5817+1)</f>
        <v/>
      </c>
      <c r="AO5817">
        <f>INDEX($V$5768:$V$5895,AH5817+1)</f>
        <v/>
      </c>
      <c r="AP5817">
        <f>INDEX($W$5768:$W$5895,AI5817+1)</f>
        <v/>
      </c>
      <c r="AQ5817">
        <f>IF(Q5817&gt;=AJ5817-0.01,1,0)</f>
        <v/>
      </c>
      <c r="AR5817">
        <f>IF(R5817&gt;=AK5817-0.01,1,0)</f>
        <v/>
      </c>
      <c r="AS5817">
        <f>IF(S5817&gt;=AL5817-0.01,1,0)</f>
        <v/>
      </c>
      <c r="AT5817">
        <f>IF(T5817&gt;=AM5817-0.01,1,0)</f>
        <v/>
      </c>
      <c r="AU5817">
        <f>IF(U5817&gt;=AN5817-0.01,1,0)</f>
        <v/>
      </c>
      <c r="AV5817">
        <f>IF(V5817&gt;=AO5817-0.01,1,0)</f>
        <v/>
      </c>
      <c r="AW5817">
        <f>IF(W5817&gt;=AP5817-0.01,1,0)</f>
        <v/>
      </c>
      <c r="AX5817">
        <f>AQ5817*AR5817*AS5817*AT5817*AU5817*AV5817*AW5817</f>
        <v/>
      </c>
    </row>
    <row r="5818">
      <c r="A5818" t="inlineStr"/>
      <c r="B5818">
        <f>Assumptions!$B$60</f>
        <v/>
      </c>
      <c r="C5818" t="n">
        <v>0</v>
      </c>
      <c r="D5818" t="n">
        <v>1</v>
      </c>
      <c r="E5818" t="n">
        <v>1</v>
      </c>
      <c r="F5818" t="n">
        <v>0</v>
      </c>
      <c r="G5818" t="n">
        <v>0</v>
      </c>
      <c r="H5818" t="n">
        <v>1</v>
      </c>
      <c r="I5818" t="n">
        <v>0</v>
      </c>
      <c r="J5818">
        <f>(1-C5818)*Assumptions!$B$41+(1-D5818)*Assumptions!$B$33+(1-E5818)*Assumptions!$B$32+(1-F5818)*Assumptions!$B$31+(1-G5818)*Assumptions!$B$30+(1-H5818)*Assumptions!$B$29+(1-I5818)*Assumptions!$B$28</f>
        <v/>
      </c>
      <c r="K5818">
        <f>C5818*$J$607+D5818*$F$607+E5818*$G$607+F5818*Assumptions!$B$14+G5818*Assumptions!$B$13+H5818*Assumptions!$B$12+I5818*Assumptions!$B$11+$O$607+$S$607+Assumptions!$B$9</f>
        <v/>
      </c>
      <c r="L5818">
        <f>B5818-J5818</f>
        <v/>
      </c>
      <c r="M5818">
        <f>IF(K5818&gt;0,IF(L5818/K5818&gt;=Assumptions!$B$37,1,0),0)</f>
        <v/>
      </c>
      <c r="N5818">
        <f>K5818+M5818*Assumptions!$B$153</f>
        <v/>
      </c>
      <c r="O5818">
        <f>L5818+M5818*Assumptions!$B$153*Assumptions!$B$37</f>
        <v/>
      </c>
      <c r="P5818">
        <f>IF(N5818&gt;0,O5818/N5818,0)</f>
        <v/>
      </c>
      <c r="Q5818">
        <f>IF(C5818=1,P5818*$J$607,Assumptions!$B$41)</f>
        <v/>
      </c>
      <c r="R5818">
        <f>IF(D5818=1,P5818*$F$607,Assumptions!$B$33)</f>
        <v/>
      </c>
      <c r="S5818">
        <f>IF(E5818=1,P5818*$G$607,Assumptions!$B$32)</f>
        <v/>
      </c>
      <c r="T5818">
        <f>IF(F5818=1,P5818*Assumptions!$B$14,Assumptions!$B$31)</f>
        <v/>
      </c>
      <c r="U5818">
        <f>IF(G5818=1,P5818*Assumptions!$B$13,Assumptions!$B$30)</f>
        <v/>
      </c>
      <c r="V5818">
        <f>IF(H5818=1,P5818*Assumptions!$B$12,Assumptions!$B$29)</f>
        <v/>
      </c>
      <c r="W5818">
        <f>IF(I5818=1,P5818*Assumptions!$B$11,Assumptions!$B$28)</f>
        <v/>
      </c>
      <c r="X5818">
        <f>P5818*($O$607+$S$607)</f>
        <v/>
      </c>
      <c r="Y5818">
        <f>P5818*Assumptions!$B$9</f>
        <v/>
      </c>
      <c r="Z5818">
        <f>IF(M5818=1,(P5818-Assumptions!$B$37)*Assumptions!$B$153,0)</f>
        <v/>
      </c>
      <c r="AA5818">
        <f>Q5818+R5818+S5818+T5818+U5818+V5818+W5818+X5818+Y5818+Z5818</f>
        <v/>
      </c>
      <c r="AB5818" t="n">
        <v>50</v>
      </c>
      <c r="AC5818" t="n">
        <v>114</v>
      </c>
      <c r="AD5818" t="n">
        <v>18</v>
      </c>
      <c r="AE5818" t="n">
        <v>34</v>
      </c>
      <c r="AF5818" t="n">
        <v>58</v>
      </c>
      <c r="AG5818" t="n">
        <v>54</v>
      </c>
      <c r="AH5818" t="n">
        <v>48</v>
      </c>
      <c r="AI5818" t="n">
        <v>51</v>
      </c>
      <c r="AJ5818">
        <f>INDEX($Q$5768:$Q$5895,AC5818+1)</f>
        <v/>
      </c>
      <c r="AK5818">
        <f>INDEX($R$5768:$R$5895,AD5818+1)</f>
        <v/>
      </c>
      <c r="AL5818">
        <f>INDEX($S$5768:$S$5895,AE5818+1)</f>
        <v/>
      </c>
      <c r="AM5818">
        <f>INDEX($T$5768:$T$5895,AF5818+1)</f>
        <v/>
      </c>
      <c r="AN5818">
        <f>INDEX($U$5768:$U$5895,AG5818+1)</f>
        <v/>
      </c>
      <c r="AO5818">
        <f>INDEX($V$5768:$V$5895,AH5818+1)</f>
        <v/>
      </c>
      <c r="AP5818">
        <f>INDEX($W$5768:$W$5895,AI5818+1)</f>
        <v/>
      </c>
      <c r="AQ5818">
        <f>IF(Q5818&gt;=AJ5818-0.01,1,0)</f>
        <v/>
      </c>
      <c r="AR5818">
        <f>IF(R5818&gt;=AK5818-0.01,1,0)</f>
        <v/>
      </c>
      <c r="AS5818">
        <f>IF(S5818&gt;=AL5818-0.01,1,0)</f>
        <v/>
      </c>
      <c r="AT5818">
        <f>IF(T5818&gt;=AM5818-0.01,1,0)</f>
        <v/>
      </c>
      <c r="AU5818">
        <f>IF(U5818&gt;=AN5818-0.01,1,0)</f>
        <v/>
      </c>
      <c r="AV5818">
        <f>IF(V5818&gt;=AO5818-0.01,1,0)</f>
        <v/>
      </c>
      <c r="AW5818">
        <f>IF(W5818&gt;=AP5818-0.01,1,0)</f>
        <v/>
      </c>
      <c r="AX5818">
        <f>AQ5818*AR5818*AS5818*AT5818*AU5818*AV5818*AW5818</f>
        <v/>
      </c>
    </row>
    <row r="5819">
      <c r="A5819" t="inlineStr"/>
      <c r="B5819">
        <f>Assumptions!$B$60</f>
        <v/>
      </c>
      <c r="C5819" t="n">
        <v>0</v>
      </c>
      <c r="D5819" t="n">
        <v>1</v>
      </c>
      <c r="E5819" t="n">
        <v>1</v>
      </c>
      <c r="F5819" t="n">
        <v>0</v>
      </c>
      <c r="G5819" t="n">
        <v>0</v>
      </c>
      <c r="H5819" t="n">
        <v>1</v>
      </c>
      <c r="I5819" t="n">
        <v>1</v>
      </c>
      <c r="J5819">
        <f>(1-C5819)*Assumptions!$B$41+(1-D5819)*Assumptions!$B$33+(1-E5819)*Assumptions!$B$32+(1-F5819)*Assumptions!$B$31+(1-G5819)*Assumptions!$B$30+(1-H5819)*Assumptions!$B$29+(1-I5819)*Assumptions!$B$28</f>
        <v/>
      </c>
      <c r="K5819">
        <f>C5819*$J$607+D5819*$F$607+E5819*$G$607+F5819*Assumptions!$B$14+G5819*Assumptions!$B$13+H5819*Assumptions!$B$12+I5819*Assumptions!$B$11+$O$607+$S$607+Assumptions!$B$9</f>
        <v/>
      </c>
      <c r="L5819">
        <f>B5819-J5819</f>
        <v/>
      </c>
      <c r="M5819">
        <f>IF(K5819&gt;0,IF(L5819/K5819&gt;=Assumptions!$B$37,1,0),0)</f>
        <v/>
      </c>
      <c r="N5819">
        <f>K5819+M5819*Assumptions!$B$153</f>
        <v/>
      </c>
      <c r="O5819">
        <f>L5819+M5819*Assumptions!$B$153*Assumptions!$B$37</f>
        <v/>
      </c>
      <c r="P5819">
        <f>IF(N5819&gt;0,O5819/N5819,0)</f>
        <v/>
      </c>
      <c r="Q5819">
        <f>IF(C5819=1,P5819*$J$607,Assumptions!$B$41)</f>
        <v/>
      </c>
      <c r="R5819">
        <f>IF(D5819=1,P5819*$F$607,Assumptions!$B$33)</f>
        <v/>
      </c>
      <c r="S5819">
        <f>IF(E5819=1,P5819*$G$607,Assumptions!$B$32)</f>
        <v/>
      </c>
      <c r="T5819">
        <f>IF(F5819=1,P5819*Assumptions!$B$14,Assumptions!$B$31)</f>
        <v/>
      </c>
      <c r="U5819">
        <f>IF(G5819=1,P5819*Assumptions!$B$13,Assumptions!$B$30)</f>
        <v/>
      </c>
      <c r="V5819">
        <f>IF(H5819=1,P5819*Assumptions!$B$12,Assumptions!$B$29)</f>
        <v/>
      </c>
      <c r="W5819">
        <f>IF(I5819=1,P5819*Assumptions!$B$11,Assumptions!$B$28)</f>
        <v/>
      </c>
      <c r="X5819">
        <f>P5819*($O$607+$S$607)</f>
        <v/>
      </c>
      <c r="Y5819">
        <f>P5819*Assumptions!$B$9</f>
        <v/>
      </c>
      <c r="Z5819">
        <f>IF(M5819=1,(P5819-Assumptions!$B$37)*Assumptions!$B$153,0)</f>
        <v/>
      </c>
      <c r="AA5819">
        <f>Q5819+R5819+S5819+T5819+U5819+V5819+W5819+X5819+Y5819+Z5819</f>
        <v/>
      </c>
      <c r="AB5819" t="n">
        <v>51</v>
      </c>
      <c r="AC5819" t="n">
        <v>115</v>
      </c>
      <c r="AD5819" t="n">
        <v>19</v>
      </c>
      <c r="AE5819" t="n">
        <v>35</v>
      </c>
      <c r="AF5819" t="n">
        <v>59</v>
      </c>
      <c r="AG5819" t="n">
        <v>55</v>
      </c>
      <c r="AH5819" t="n">
        <v>49</v>
      </c>
      <c r="AI5819" t="n">
        <v>50</v>
      </c>
      <c r="AJ5819">
        <f>INDEX($Q$5768:$Q$5895,AC5819+1)</f>
        <v/>
      </c>
      <c r="AK5819">
        <f>INDEX($R$5768:$R$5895,AD5819+1)</f>
        <v/>
      </c>
      <c r="AL5819">
        <f>INDEX($S$5768:$S$5895,AE5819+1)</f>
        <v/>
      </c>
      <c r="AM5819">
        <f>INDEX($T$5768:$T$5895,AF5819+1)</f>
        <v/>
      </c>
      <c r="AN5819">
        <f>INDEX($U$5768:$U$5895,AG5819+1)</f>
        <v/>
      </c>
      <c r="AO5819">
        <f>INDEX($V$5768:$V$5895,AH5819+1)</f>
        <v/>
      </c>
      <c r="AP5819">
        <f>INDEX($W$5768:$W$5895,AI5819+1)</f>
        <v/>
      </c>
      <c r="AQ5819">
        <f>IF(Q5819&gt;=AJ5819-0.01,1,0)</f>
        <v/>
      </c>
      <c r="AR5819">
        <f>IF(R5819&gt;=AK5819-0.01,1,0)</f>
        <v/>
      </c>
      <c r="AS5819">
        <f>IF(S5819&gt;=AL5819-0.01,1,0)</f>
        <v/>
      </c>
      <c r="AT5819">
        <f>IF(T5819&gt;=AM5819-0.01,1,0)</f>
        <v/>
      </c>
      <c r="AU5819">
        <f>IF(U5819&gt;=AN5819-0.01,1,0)</f>
        <v/>
      </c>
      <c r="AV5819">
        <f>IF(V5819&gt;=AO5819-0.01,1,0)</f>
        <v/>
      </c>
      <c r="AW5819">
        <f>IF(W5819&gt;=AP5819-0.01,1,0)</f>
        <v/>
      </c>
      <c r="AX5819">
        <f>AQ5819*AR5819*AS5819*AT5819*AU5819*AV5819*AW5819</f>
        <v/>
      </c>
    </row>
    <row r="5820">
      <c r="A5820" t="inlineStr"/>
      <c r="B5820">
        <f>Assumptions!$B$60</f>
        <v/>
      </c>
      <c r="C5820" t="n">
        <v>0</v>
      </c>
      <c r="D5820" t="n">
        <v>1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>
        <f>(1-C5820)*Assumptions!$B$41+(1-D5820)*Assumptions!$B$33+(1-E5820)*Assumptions!$B$32+(1-F5820)*Assumptions!$B$31+(1-G5820)*Assumptions!$B$30+(1-H5820)*Assumptions!$B$29+(1-I5820)*Assumptions!$B$28</f>
        <v/>
      </c>
      <c r="K5820">
        <f>C5820*$J$607+D5820*$F$607+E5820*$G$607+F5820*Assumptions!$B$14+G5820*Assumptions!$B$13+H5820*Assumptions!$B$12+I5820*Assumptions!$B$11+$O$607+$S$607+Assumptions!$B$9</f>
        <v/>
      </c>
      <c r="L5820">
        <f>B5820-J5820</f>
        <v/>
      </c>
      <c r="M5820">
        <f>IF(K5820&gt;0,IF(L5820/K5820&gt;=Assumptions!$B$37,1,0),0)</f>
        <v/>
      </c>
      <c r="N5820">
        <f>K5820+M5820*Assumptions!$B$153</f>
        <v/>
      </c>
      <c r="O5820">
        <f>L5820+M5820*Assumptions!$B$153*Assumptions!$B$37</f>
        <v/>
      </c>
      <c r="P5820">
        <f>IF(N5820&gt;0,O5820/N5820,0)</f>
        <v/>
      </c>
      <c r="Q5820">
        <f>IF(C5820=1,P5820*$J$607,Assumptions!$B$41)</f>
        <v/>
      </c>
      <c r="R5820">
        <f>IF(D5820=1,P5820*$F$607,Assumptions!$B$33)</f>
        <v/>
      </c>
      <c r="S5820">
        <f>IF(E5820=1,P5820*$G$607,Assumptions!$B$32)</f>
        <v/>
      </c>
      <c r="T5820">
        <f>IF(F5820=1,P5820*Assumptions!$B$14,Assumptions!$B$31)</f>
        <v/>
      </c>
      <c r="U5820">
        <f>IF(G5820=1,P5820*Assumptions!$B$13,Assumptions!$B$30)</f>
        <v/>
      </c>
      <c r="V5820">
        <f>IF(H5820=1,P5820*Assumptions!$B$12,Assumptions!$B$29)</f>
        <v/>
      </c>
      <c r="W5820">
        <f>IF(I5820=1,P5820*Assumptions!$B$11,Assumptions!$B$28)</f>
        <v/>
      </c>
      <c r="X5820">
        <f>P5820*($O$607+$S$607)</f>
        <v/>
      </c>
      <c r="Y5820">
        <f>P5820*Assumptions!$B$9</f>
        <v/>
      </c>
      <c r="Z5820">
        <f>IF(M5820=1,(P5820-Assumptions!$B$37)*Assumptions!$B$153,0)</f>
        <v/>
      </c>
      <c r="AA5820">
        <f>Q5820+R5820+S5820+T5820+U5820+V5820+W5820+X5820+Y5820+Z5820</f>
        <v/>
      </c>
      <c r="AB5820" t="n">
        <v>52</v>
      </c>
      <c r="AC5820" t="n">
        <v>116</v>
      </c>
      <c r="AD5820" t="n">
        <v>20</v>
      </c>
      <c r="AE5820" t="n">
        <v>36</v>
      </c>
      <c r="AF5820" t="n">
        <v>60</v>
      </c>
      <c r="AG5820" t="n">
        <v>48</v>
      </c>
      <c r="AH5820" t="n">
        <v>54</v>
      </c>
      <c r="AI5820" t="n">
        <v>53</v>
      </c>
      <c r="AJ5820">
        <f>INDEX($Q$5768:$Q$5895,AC5820+1)</f>
        <v/>
      </c>
      <c r="AK5820">
        <f>INDEX($R$5768:$R$5895,AD5820+1)</f>
        <v/>
      </c>
      <c r="AL5820">
        <f>INDEX($S$5768:$S$5895,AE5820+1)</f>
        <v/>
      </c>
      <c r="AM5820">
        <f>INDEX($T$5768:$T$5895,AF5820+1)</f>
        <v/>
      </c>
      <c r="AN5820">
        <f>INDEX($U$5768:$U$5895,AG5820+1)</f>
        <v/>
      </c>
      <c r="AO5820">
        <f>INDEX($V$5768:$V$5895,AH5820+1)</f>
        <v/>
      </c>
      <c r="AP5820">
        <f>INDEX($W$5768:$W$5895,AI5820+1)</f>
        <v/>
      </c>
      <c r="AQ5820">
        <f>IF(Q5820&gt;=AJ5820-0.01,1,0)</f>
        <v/>
      </c>
      <c r="AR5820">
        <f>IF(R5820&gt;=AK5820-0.01,1,0)</f>
        <v/>
      </c>
      <c r="AS5820">
        <f>IF(S5820&gt;=AL5820-0.01,1,0)</f>
        <v/>
      </c>
      <c r="AT5820">
        <f>IF(T5820&gt;=AM5820-0.01,1,0)</f>
        <v/>
      </c>
      <c r="AU5820">
        <f>IF(U5820&gt;=AN5820-0.01,1,0)</f>
        <v/>
      </c>
      <c r="AV5820">
        <f>IF(V5820&gt;=AO5820-0.01,1,0)</f>
        <v/>
      </c>
      <c r="AW5820">
        <f>IF(W5820&gt;=AP5820-0.01,1,0)</f>
        <v/>
      </c>
      <c r="AX5820">
        <f>AQ5820*AR5820*AS5820*AT5820*AU5820*AV5820*AW5820</f>
        <v/>
      </c>
    </row>
    <row r="5821">
      <c r="A5821" t="inlineStr"/>
      <c r="B5821">
        <f>Assumptions!$B$60</f>
        <v/>
      </c>
      <c r="C5821" t="n">
        <v>0</v>
      </c>
      <c r="D5821" t="n">
        <v>1</v>
      </c>
      <c r="E5821" t="n">
        <v>1</v>
      </c>
      <c r="F5821" t="n">
        <v>0</v>
      </c>
      <c r="G5821" t="n">
        <v>1</v>
      </c>
      <c r="H5821" t="n">
        <v>0</v>
      </c>
      <c r="I5821" t="n">
        <v>1</v>
      </c>
      <c r="J5821">
        <f>(1-C5821)*Assumptions!$B$41+(1-D5821)*Assumptions!$B$33+(1-E5821)*Assumptions!$B$32+(1-F5821)*Assumptions!$B$31+(1-G5821)*Assumptions!$B$30+(1-H5821)*Assumptions!$B$29+(1-I5821)*Assumptions!$B$28</f>
        <v/>
      </c>
      <c r="K5821">
        <f>C5821*$J$607+D5821*$F$607+E5821*$G$607+F5821*Assumptions!$B$14+G5821*Assumptions!$B$13+H5821*Assumptions!$B$12+I5821*Assumptions!$B$11+$O$607+$S$607+Assumptions!$B$9</f>
        <v/>
      </c>
      <c r="L5821">
        <f>B5821-J5821</f>
        <v/>
      </c>
      <c r="M5821">
        <f>IF(K5821&gt;0,IF(L5821/K5821&gt;=Assumptions!$B$37,1,0),0)</f>
        <v/>
      </c>
      <c r="N5821">
        <f>K5821+M5821*Assumptions!$B$153</f>
        <v/>
      </c>
      <c r="O5821">
        <f>L5821+M5821*Assumptions!$B$153*Assumptions!$B$37</f>
        <v/>
      </c>
      <c r="P5821">
        <f>IF(N5821&gt;0,O5821/N5821,0)</f>
        <v/>
      </c>
      <c r="Q5821">
        <f>IF(C5821=1,P5821*$J$607,Assumptions!$B$41)</f>
        <v/>
      </c>
      <c r="R5821">
        <f>IF(D5821=1,P5821*$F$607,Assumptions!$B$33)</f>
        <v/>
      </c>
      <c r="S5821">
        <f>IF(E5821=1,P5821*$G$607,Assumptions!$B$32)</f>
        <v/>
      </c>
      <c r="T5821">
        <f>IF(F5821=1,P5821*Assumptions!$B$14,Assumptions!$B$31)</f>
        <v/>
      </c>
      <c r="U5821">
        <f>IF(G5821=1,P5821*Assumptions!$B$13,Assumptions!$B$30)</f>
        <v/>
      </c>
      <c r="V5821">
        <f>IF(H5821=1,P5821*Assumptions!$B$12,Assumptions!$B$29)</f>
        <v/>
      </c>
      <c r="W5821">
        <f>IF(I5821=1,P5821*Assumptions!$B$11,Assumptions!$B$28)</f>
        <v/>
      </c>
      <c r="X5821">
        <f>P5821*($O$607+$S$607)</f>
        <v/>
      </c>
      <c r="Y5821">
        <f>P5821*Assumptions!$B$9</f>
        <v/>
      </c>
      <c r="Z5821">
        <f>IF(M5821=1,(P5821-Assumptions!$B$37)*Assumptions!$B$153,0)</f>
        <v/>
      </c>
      <c r="AA5821">
        <f>Q5821+R5821+S5821+T5821+U5821+V5821+W5821+X5821+Y5821+Z5821</f>
        <v/>
      </c>
      <c r="AB5821" t="n">
        <v>53</v>
      </c>
      <c r="AC5821" t="n">
        <v>117</v>
      </c>
      <c r="AD5821" t="n">
        <v>21</v>
      </c>
      <c r="AE5821" t="n">
        <v>37</v>
      </c>
      <c r="AF5821" t="n">
        <v>61</v>
      </c>
      <c r="AG5821" t="n">
        <v>49</v>
      </c>
      <c r="AH5821" t="n">
        <v>55</v>
      </c>
      <c r="AI5821" t="n">
        <v>52</v>
      </c>
      <c r="AJ5821">
        <f>INDEX($Q$5768:$Q$5895,AC5821+1)</f>
        <v/>
      </c>
      <c r="AK5821">
        <f>INDEX($R$5768:$R$5895,AD5821+1)</f>
        <v/>
      </c>
      <c r="AL5821">
        <f>INDEX($S$5768:$S$5895,AE5821+1)</f>
        <v/>
      </c>
      <c r="AM5821">
        <f>INDEX($T$5768:$T$5895,AF5821+1)</f>
        <v/>
      </c>
      <c r="AN5821">
        <f>INDEX($U$5768:$U$5895,AG5821+1)</f>
        <v/>
      </c>
      <c r="AO5821">
        <f>INDEX($V$5768:$V$5895,AH5821+1)</f>
        <v/>
      </c>
      <c r="AP5821">
        <f>INDEX($W$5768:$W$5895,AI5821+1)</f>
        <v/>
      </c>
      <c r="AQ5821">
        <f>IF(Q5821&gt;=AJ5821-0.01,1,0)</f>
        <v/>
      </c>
      <c r="AR5821">
        <f>IF(R5821&gt;=AK5821-0.01,1,0)</f>
        <v/>
      </c>
      <c r="AS5821">
        <f>IF(S5821&gt;=AL5821-0.01,1,0)</f>
        <v/>
      </c>
      <c r="AT5821">
        <f>IF(T5821&gt;=AM5821-0.01,1,0)</f>
        <v/>
      </c>
      <c r="AU5821">
        <f>IF(U5821&gt;=AN5821-0.01,1,0)</f>
        <v/>
      </c>
      <c r="AV5821">
        <f>IF(V5821&gt;=AO5821-0.01,1,0)</f>
        <v/>
      </c>
      <c r="AW5821">
        <f>IF(W5821&gt;=AP5821-0.01,1,0)</f>
        <v/>
      </c>
      <c r="AX5821">
        <f>AQ5821*AR5821*AS5821*AT5821*AU5821*AV5821*AW5821</f>
        <v/>
      </c>
    </row>
    <row r="5822">
      <c r="A5822" t="inlineStr"/>
      <c r="B5822">
        <f>Assumptions!$B$60</f>
        <v/>
      </c>
      <c r="C5822" t="n">
        <v>0</v>
      </c>
      <c r="D5822" t="n">
        <v>1</v>
      </c>
      <c r="E5822" t="n">
        <v>1</v>
      </c>
      <c r="F5822" t="n">
        <v>0</v>
      </c>
      <c r="G5822" t="n">
        <v>1</v>
      </c>
      <c r="H5822" t="n">
        <v>1</v>
      </c>
      <c r="I5822" t="n">
        <v>0</v>
      </c>
      <c r="J5822">
        <f>(1-C5822)*Assumptions!$B$41+(1-D5822)*Assumptions!$B$33+(1-E5822)*Assumptions!$B$32+(1-F5822)*Assumptions!$B$31+(1-G5822)*Assumptions!$B$30+(1-H5822)*Assumptions!$B$29+(1-I5822)*Assumptions!$B$28</f>
        <v/>
      </c>
      <c r="K5822">
        <f>C5822*$J$607+D5822*$F$607+E5822*$G$607+F5822*Assumptions!$B$14+G5822*Assumptions!$B$13+H5822*Assumptions!$B$12+I5822*Assumptions!$B$11+$O$607+$S$607+Assumptions!$B$9</f>
        <v/>
      </c>
      <c r="L5822">
        <f>B5822-J5822</f>
        <v/>
      </c>
      <c r="M5822">
        <f>IF(K5822&gt;0,IF(L5822/K5822&gt;=Assumptions!$B$37,1,0),0)</f>
        <v/>
      </c>
      <c r="N5822">
        <f>K5822+M5822*Assumptions!$B$153</f>
        <v/>
      </c>
      <c r="O5822">
        <f>L5822+M5822*Assumptions!$B$153*Assumptions!$B$37</f>
        <v/>
      </c>
      <c r="P5822">
        <f>IF(N5822&gt;0,O5822/N5822,0)</f>
        <v/>
      </c>
      <c r="Q5822">
        <f>IF(C5822=1,P5822*$J$607,Assumptions!$B$41)</f>
        <v/>
      </c>
      <c r="R5822">
        <f>IF(D5822=1,P5822*$F$607,Assumptions!$B$33)</f>
        <v/>
      </c>
      <c r="S5822">
        <f>IF(E5822=1,P5822*$G$607,Assumptions!$B$32)</f>
        <v/>
      </c>
      <c r="T5822">
        <f>IF(F5822=1,P5822*Assumptions!$B$14,Assumptions!$B$31)</f>
        <v/>
      </c>
      <c r="U5822">
        <f>IF(G5822=1,P5822*Assumptions!$B$13,Assumptions!$B$30)</f>
        <v/>
      </c>
      <c r="V5822">
        <f>IF(H5822=1,P5822*Assumptions!$B$12,Assumptions!$B$29)</f>
        <v/>
      </c>
      <c r="W5822">
        <f>IF(I5822=1,P5822*Assumptions!$B$11,Assumptions!$B$28)</f>
        <v/>
      </c>
      <c r="X5822">
        <f>P5822*($O$607+$S$607)</f>
        <v/>
      </c>
      <c r="Y5822">
        <f>P5822*Assumptions!$B$9</f>
        <v/>
      </c>
      <c r="Z5822">
        <f>IF(M5822=1,(P5822-Assumptions!$B$37)*Assumptions!$B$153,0)</f>
        <v/>
      </c>
      <c r="AA5822">
        <f>Q5822+R5822+S5822+T5822+U5822+V5822+W5822+X5822+Y5822+Z5822</f>
        <v/>
      </c>
      <c r="AB5822" t="n">
        <v>54</v>
      </c>
      <c r="AC5822" t="n">
        <v>118</v>
      </c>
      <c r="AD5822" t="n">
        <v>22</v>
      </c>
      <c r="AE5822" t="n">
        <v>38</v>
      </c>
      <c r="AF5822" t="n">
        <v>62</v>
      </c>
      <c r="AG5822" t="n">
        <v>50</v>
      </c>
      <c r="AH5822" t="n">
        <v>52</v>
      </c>
      <c r="AI5822" t="n">
        <v>55</v>
      </c>
      <c r="AJ5822">
        <f>INDEX($Q$5768:$Q$5895,AC5822+1)</f>
        <v/>
      </c>
      <c r="AK5822">
        <f>INDEX($R$5768:$R$5895,AD5822+1)</f>
        <v/>
      </c>
      <c r="AL5822">
        <f>INDEX($S$5768:$S$5895,AE5822+1)</f>
        <v/>
      </c>
      <c r="AM5822">
        <f>INDEX($T$5768:$T$5895,AF5822+1)</f>
        <v/>
      </c>
      <c r="AN5822">
        <f>INDEX($U$5768:$U$5895,AG5822+1)</f>
        <v/>
      </c>
      <c r="AO5822">
        <f>INDEX($V$5768:$V$5895,AH5822+1)</f>
        <v/>
      </c>
      <c r="AP5822">
        <f>INDEX($W$5768:$W$5895,AI5822+1)</f>
        <v/>
      </c>
      <c r="AQ5822">
        <f>IF(Q5822&gt;=AJ5822-0.01,1,0)</f>
        <v/>
      </c>
      <c r="AR5822">
        <f>IF(R5822&gt;=AK5822-0.01,1,0)</f>
        <v/>
      </c>
      <c r="AS5822">
        <f>IF(S5822&gt;=AL5822-0.01,1,0)</f>
        <v/>
      </c>
      <c r="AT5822">
        <f>IF(T5822&gt;=AM5822-0.01,1,0)</f>
        <v/>
      </c>
      <c r="AU5822">
        <f>IF(U5822&gt;=AN5822-0.01,1,0)</f>
        <v/>
      </c>
      <c r="AV5822">
        <f>IF(V5822&gt;=AO5822-0.01,1,0)</f>
        <v/>
      </c>
      <c r="AW5822">
        <f>IF(W5822&gt;=AP5822-0.01,1,0)</f>
        <v/>
      </c>
      <c r="AX5822">
        <f>AQ5822*AR5822*AS5822*AT5822*AU5822*AV5822*AW5822</f>
        <v/>
      </c>
    </row>
    <row r="5823">
      <c r="A5823" t="inlineStr"/>
      <c r="B5823">
        <f>Assumptions!$B$60</f>
        <v/>
      </c>
      <c r="C5823" t="n">
        <v>0</v>
      </c>
      <c r="D5823" t="n">
        <v>1</v>
      </c>
      <c r="E5823" t="n">
        <v>1</v>
      </c>
      <c r="F5823" t="n">
        <v>0</v>
      </c>
      <c r="G5823" t="n">
        <v>1</v>
      </c>
      <c r="H5823" t="n">
        <v>1</v>
      </c>
      <c r="I5823" t="n">
        <v>1</v>
      </c>
      <c r="J5823">
        <f>(1-C5823)*Assumptions!$B$41+(1-D5823)*Assumptions!$B$33+(1-E5823)*Assumptions!$B$32+(1-F5823)*Assumptions!$B$31+(1-G5823)*Assumptions!$B$30+(1-H5823)*Assumptions!$B$29+(1-I5823)*Assumptions!$B$28</f>
        <v/>
      </c>
      <c r="K5823">
        <f>C5823*$J$607+D5823*$F$607+E5823*$G$607+F5823*Assumptions!$B$14+G5823*Assumptions!$B$13+H5823*Assumptions!$B$12+I5823*Assumptions!$B$11+$O$607+$S$607+Assumptions!$B$9</f>
        <v/>
      </c>
      <c r="L5823">
        <f>B5823-J5823</f>
        <v/>
      </c>
      <c r="M5823">
        <f>IF(K5823&gt;0,IF(L5823/K5823&gt;=Assumptions!$B$37,1,0),0)</f>
        <v/>
      </c>
      <c r="N5823">
        <f>K5823+M5823*Assumptions!$B$153</f>
        <v/>
      </c>
      <c r="O5823">
        <f>L5823+M5823*Assumptions!$B$153*Assumptions!$B$37</f>
        <v/>
      </c>
      <c r="P5823">
        <f>IF(N5823&gt;0,O5823/N5823,0)</f>
        <v/>
      </c>
      <c r="Q5823">
        <f>IF(C5823=1,P5823*$J$607,Assumptions!$B$41)</f>
        <v/>
      </c>
      <c r="R5823">
        <f>IF(D5823=1,P5823*$F$607,Assumptions!$B$33)</f>
        <v/>
      </c>
      <c r="S5823">
        <f>IF(E5823=1,P5823*$G$607,Assumptions!$B$32)</f>
        <v/>
      </c>
      <c r="T5823">
        <f>IF(F5823=1,P5823*Assumptions!$B$14,Assumptions!$B$31)</f>
        <v/>
      </c>
      <c r="U5823">
        <f>IF(G5823=1,P5823*Assumptions!$B$13,Assumptions!$B$30)</f>
        <v/>
      </c>
      <c r="V5823">
        <f>IF(H5823=1,P5823*Assumptions!$B$12,Assumptions!$B$29)</f>
        <v/>
      </c>
      <c r="W5823">
        <f>IF(I5823=1,P5823*Assumptions!$B$11,Assumptions!$B$28)</f>
        <v/>
      </c>
      <c r="X5823">
        <f>P5823*($O$607+$S$607)</f>
        <v/>
      </c>
      <c r="Y5823">
        <f>P5823*Assumptions!$B$9</f>
        <v/>
      </c>
      <c r="Z5823">
        <f>IF(M5823=1,(P5823-Assumptions!$B$37)*Assumptions!$B$153,0)</f>
        <v/>
      </c>
      <c r="AA5823">
        <f>Q5823+R5823+S5823+T5823+U5823+V5823+W5823+X5823+Y5823+Z5823</f>
        <v/>
      </c>
      <c r="AB5823" t="n">
        <v>55</v>
      </c>
      <c r="AC5823" t="n">
        <v>119</v>
      </c>
      <c r="AD5823" t="n">
        <v>23</v>
      </c>
      <c r="AE5823" t="n">
        <v>39</v>
      </c>
      <c r="AF5823" t="n">
        <v>63</v>
      </c>
      <c r="AG5823" t="n">
        <v>51</v>
      </c>
      <c r="AH5823" t="n">
        <v>53</v>
      </c>
      <c r="AI5823" t="n">
        <v>54</v>
      </c>
      <c r="AJ5823">
        <f>INDEX($Q$5768:$Q$5895,AC5823+1)</f>
        <v/>
      </c>
      <c r="AK5823">
        <f>INDEX($R$5768:$R$5895,AD5823+1)</f>
        <v/>
      </c>
      <c r="AL5823">
        <f>INDEX($S$5768:$S$5895,AE5823+1)</f>
        <v/>
      </c>
      <c r="AM5823">
        <f>INDEX($T$5768:$T$5895,AF5823+1)</f>
        <v/>
      </c>
      <c r="AN5823">
        <f>INDEX($U$5768:$U$5895,AG5823+1)</f>
        <v/>
      </c>
      <c r="AO5823">
        <f>INDEX($V$5768:$V$5895,AH5823+1)</f>
        <v/>
      </c>
      <c r="AP5823">
        <f>INDEX($W$5768:$W$5895,AI5823+1)</f>
        <v/>
      </c>
      <c r="AQ5823">
        <f>IF(Q5823&gt;=AJ5823-0.01,1,0)</f>
        <v/>
      </c>
      <c r="AR5823">
        <f>IF(R5823&gt;=AK5823-0.01,1,0)</f>
        <v/>
      </c>
      <c r="AS5823">
        <f>IF(S5823&gt;=AL5823-0.01,1,0)</f>
        <v/>
      </c>
      <c r="AT5823">
        <f>IF(T5823&gt;=AM5823-0.01,1,0)</f>
        <v/>
      </c>
      <c r="AU5823">
        <f>IF(U5823&gt;=AN5823-0.01,1,0)</f>
        <v/>
      </c>
      <c r="AV5823">
        <f>IF(V5823&gt;=AO5823-0.01,1,0)</f>
        <v/>
      </c>
      <c r="AW5823">
        <f>IF(W5823&gt;=AP5823-0.01,1,0)</f>
        <v/>
      </c>
      <c r="AX5823">
        <f>AQ5823*AR5823*AS5823*AT5823*AU5823*AV5823*AW5823</f>
        <v/>
      </c>
    </row>
    <row r="5824">
      <c r="A5824" t="inlineStr"/>
      <c r="B5824">
        <f>Assumptions!$B$60</f>
        <v/>
      </c>
      <c r="C5824" t="n">
        <v>0</v>
      </c>
      <c r="D5824" t="n">
        <v>1</v>
      </c>
      <c r="E5824" t="n">
        <v>1</v>
      </c>
      <c r="F5824" t="n">
        <v>1</v>
      </c>
      <c r="G5824" t="n">
        <v>0</v>
      </c>
      <c r="H5824" t="n">
        <v>0</v>
      </c>
      <c r="I5824" t="n">
        <v>0</v>
      </c>
      <c r="J5824">
        <f>(1-C5824)*Assumptions!$B$41+(1-D5824)*Assumptions!$B$33+(1-E5824)*Assumptions!$B$32+(1-F5824)*Assumptions!$B$31+(1-G5824)*Assumptions!$B$30+(1-H5824)*Assumptions!$B$29+(1-I5824)*Assumptions!$B$28</f>
        <v/>
      </c>
      <c r="K5824">
        <f>C5824*$J$607+D5824*$F$607+E5824*$G$607+F5824*Assumptions!$B$14+G5824*Assumptions!$B$13+H5824*Assumptions!$B$12+I5824*Assumptions!$B$11+$O$607+$S$607+Assumptions!$B$9</f>
        <v/>
      </c>
      <c r="L5824">
        <f>B5824-J5824</f>
        <v/>
      </c>
      <c r="M5824">
        <f>IF(K5824&gt;0,IF(L5824/K5824&gt;=Assumptions!$B$37,1,0),0)</f>
        <v/>
      </c>
      <c r="N5824">
        <f>K5824+M5824*Assumptions!$B$153</f>
        <v/>
      </c>
      <c r="O5824">
        <f>L5824+M5824*Assumptions!$B$153*Assumptions!$B$37</f>
        <v/>
      </c>
      <c r="P5824">
        <f>IF(N5824&gt;0,O5824/N5824,0)</f>
        <v/>
      </c>
      <c r="Q5824">
        <f>IF(C5824=1,P5824*$J$607,Assumptions!$B$41)</f>
        <v/>
      </c>
      <c r="R5824">
        <f>IF(D5824=1,P5824*$F$607,Assumptions!$B$33)</f>
        <v/>
      </c>
      <c r="S5824">
        <f>IF(E5824=1,P5824*$G$607,Assumptions!$B$32)</f>
        <v/>
      </c>
      <c r="T5824">
        <f>IF(F5824=1,P5824*Assumptions!$B$14,Assumptions!$B$31)</f>
        <v/>
      </c>
      <c r="U5824">
        <f>IF(G5824=1,P5824*Assumptions!$B$13,Assumptions!$B$30)</f>
        <v/>
      </c>
      <c r="V5824">
        <f>IF(H5824=1,P5824*Assumptions!$B$12,Assumptions!$B$29)</f>
        <v/>
      </c>
      <c r="W5824">
        <f>IF(I5824=1,P5824*Assumptions!$B$11,Assumptions!$B$28)</f>
        <v/>
      </c>
      <c r="X5824">
        <f>P5824*($O$607+$S$607)</f>
        <v/>
      </c>
      <c r="Y5824">
        <f>P5824*Assumptions!$B$9</f>
        <v/>
      </c>
      <c r="Z5824">
        <f>IF(M5824=1,(P5824-Assumptions!$B$37)*Assumptions!$B$153,0)</f>
        <v/>
      </c>
      <c r="AA5824">
        <f>Q5824+R5824+S5824+T5824+U5824+V5824+W5824+X5824+Y5824+Z5824</f>
        <v/>
      </c>
      <c r="AB5824" t="n">
        <v>56</v>
      </c>
      <c r="AC5824" t="n">
        <v>120</v>
      </c>
      <c r="AD5824" t="n">
        <v>24</v>
      </c>
      <c r="AE5824" t="n">
        <v>40</v>
      </c>
      <c r="AF5824" t="n">
        <v>48</v>
      </c>
      <c r="AG5824" t="n">
        <v>60</v>
      </c>
      <c r="AH5824" t="n">
        <v>58</v>
      </c>
      <c r="AI5824" t="n">
        <v>57</v>
      </c>
      <c r="AJ5824">
        <f>INDEX($Q$5768:$Q$5895,AC5824+1)</f>
        <v/>
      </c>
      <c r="AK5824">
        <f>INDEX($R$5768:$R$5895,AD5824+1)</f>
        <v/>
      </c>
      <c r="AL5824">
        <f>INDEX($S$5768:$S$5895,AE5824+1)</f>
        <v/>
      </c>
      <c r="AM5824">
        <f>INDEX($T$5768:$T$5895,AF5824+1)</f>
        <v/>
      </c>
      <c r="AN5824">
        <f>INDEX($U$5768:$U$5895,AG5824+1)</f>
        <v/>
      </c>
      <c r="AO5824">
        <f>INDEX($V$5768:$V$5895,AH5824+1)</f>
        <v/>
      </c>
      <c r="AP5824">
        <f>INDEX($W$5768:$W$5895,AI5824+1)</f>
        <v/>
      </c>
      <c r="AQ5824">
        <f>IF(Q5824&gt;=AJ5824-0.01,1,0)</f>
        <v/>
      </c>
      <c r="AR5824">
        <f>IF(R5824&gt;=AK5824-0.01,1,0)</f>
        <v/>
      </c>
      <c r="AS5824">
        <f>IF(S5824&gt;=AL5824-0.01,1,0)</f>
        <v/>
      </c>
      <c r="AT5824">
        <f>IF(T5824&gt;=AM5824-0.01,1,0)</f>
        <v/>
      </c>
      <c r="AU5824">
        <f>IF(U5824&gt;=AN5824-0.01,1,0)</f>
        <v/>
      </c>
      <c r="AV5824">
        <f>IF(V5824&gt;=AO5824-0.01,1,0)</f>
        <v/>
      </c>
      <c r="AW5824">
        <f>IF(W5824&gt;=AP5824-0.01,1,0)</f>
        <v/>
      </c>
      <c r="AX5824">
        <f>AQ5824*AR5824*AS5824*AT5824*AU5824*AV5824*AW5824</f>
        <v/>
      </c>
    </row>
    <row r="5825">
      <c r="A5825" t="inlineStr"/>
      <c r="B5825">
        <f>Assumptions!$B$60</f>
        <v/>
      </c>
      <c r="C5825" t="n">
        <v>0</v>
      </c>
      <c r="D5825" t="n">
        <v>1</v>
      </c>
      <c r="E5825" t="n">
        <v>1</v>
      </c>
      <c r="F5825" t="n">
        <v>1</v>
      </c>
      <c r="G5825" t="n">
        <v>0</v>
      </c>
      <c r="H5825" t="n">
        <v>0</v>
      </c>
      <c r="I5825" t="n">
        <v>1</v>
      </c>
      <c r="J5825">
        <f>(1-C5825)*Assumptions!$B$41+(1-D5825)*Assumptions!$B$33+(1-E5825)*Assumptions!$B$32+(1-F5825)*Assumptions!$B$31+(1-G5825)*Assumptions!$B$30+(1-H5825)*Assumptions!$B$29+(1-I5825)*Assumptions!$B$28</f>
        <v/>
      </c>
      <c r="K5825">
        <f>C5825*$J$607+D5825*$F$607+E5825*$G$607+F5825*Assumptions!$B$14+G5825*Assumptions!$B$13+H5825*Assumptions!$B$12+I5825*Assumptions!$B$11+$O$607+$S$607+Assumptions!$B$9</f>
        <v/>
      </c>
      <c r="L5825">
        <f>B5825-J5825</f>
        <v/>
      </c>
      <c r="M5825">
        <f>IF(K5825&gt;0,IF(L5825/K5825&gt;=Assumptions!$B$37,1,0),0)</f>
        <v/>
      </c>
      <c r="N5825">
        <f>K5825+M5825*Assumptions!$B$153</f>
        <v/>
      </c>
      <c r="O5825">
        <f>L5825+M5825*Assumptions!$B$153*Assumptions!$B$37</f>
        <v/>
      </c>
      <c r="P5825">
        <f>IF(N5825&gt;0,O5825/N5825,0)</f>
        <v/>
      </c>
      <c r="Q5825">
        <f>IF(C5825=1,P5825*$J$607,Assumptions!$B$41)</f>
        <v/>
      </c>
      <c r="R5825">
        <f>IF(D5825=1,P5825*$F$607,Assumptions!$B$33)</f>
        <v/>
      </c>
      <c r="S5825">
        <f>IF(E5825=1,P5825*$G$607,Assumptions!$B$32)</f>
        <v/>
      </c>
      <c r="T5825">
        <f>IF(F5825=1,P5825*Assumptions!$B$14,Assumptions!$B$31)</f>
        <v/>
      </c>
      <c r="U5825">
        <f>IF(G5825=1,P5825*Assumptions!$B$13,Assumptions!$B$30)</f>
        <v/>
      </c>
      <c r="V5825">
        <f>IF(H5825=1,P5825*Assumptions!$B$12,Assumptions!$B$29)</f>
        <v/>
      </c>
      <c r="W5825">
        <f>IF(I5825=1,P5825*Assumptions!$B$11,Assumptions!$B$28)</f>
        <v/>
      </c>
      <c r="X5825">
        <f>P5825*($O$607+$S$607)</f>
        <v/>
      </c>
      <c r="Y5825">
        <f>P5825*Assumptions!$B$9</f>
        <v/>
      </c>
      <c r="Z5825">
        <f>IF(M5825=1,(P5825-Assumptions!$B$37)*Assumptions!$B$153,0)</f>
        <v/>
      </c>
      <c r="AA5825">
        <f>Q5825+R5825+S5825+T5825+U5825+V5825+W5825+X5825+Y5825+Z5825</f>
        <v/>
      </c>
      <c r="AB5825" t="n">
        <v>57</v>
      </c>
      <c r="AC5825" t="n">
        <v>121</v>
      </c>
      <c r="AD5825" t="n">
        <v>25</v>
      </c>
      <c r="AE5825" t="n">
        <v>41</v>
      </c>
      <c r="AF5825" t="n">
        <v>49</v>
      </c>
      <c r="AG5825" t="n">
        <v>61</v>
      </c>
      <c r="AH5825" t="n">
        <v>59</v>
      </c>
      <c r="AI5825" t="n">
        <v>56</v>
      </c>
      <c r="AJ5825">
        <f>INDEX($Q$5768:$Q$5895,AC5825+1)</f>
        <v/>
      </c>
      <c r="AK5825">
        <f>INDEX($R$5768:$R$5895,AD5825+1)</f>
        <v/>
      </c>
      <c r="AL5825">
        <f>INDEX($S$5768:$S$5895,AE5825+1)</f>
        <v/>
      </c>
      <c r="AM5825">
        <f>INDEX($T$5768:$T$5895,AF5825+1)</f>
        <v/>
      </c>
      <c r="AN5825">
        <f>INDEX($U$5768:$U$5895,AG5825+1)</f>
        <v/>
      </c>
      <c r="AO5825">
        <f>INDEX($V$5768:$V$5895,AH5825+1)</f>
        <v/>
      </c>
      <c r="AP5825">
        <f>INDEX($W$5768:$W$5895,AI5825+1)</f>
        <v/>
      </c>
      <c r="AQ5825">
        <f>IF(Q5825&gt;=AJ5825-0.01,1,0)</f>
        <v/>
      </c>
      <c r="AR5825">
        <f>IF(R5825&gt;=AK5825-0.01,1,0)</f>
        <v/>
      </c>
      <c r="AS5825">
        <f>IF(S5825&gt;=AL5825-0.01,1,0)</f>
        <v/>
      </c>
      <c r="AT5825">
        <f>IF(T5825&gt;=AM5825-0.01,1,0)</f>
        <v/>
      </c>
      <c r="AU5825">
        <f>IF(U5825&gt;=AN5825-0.01,1,0)</f>
        <v/>
      </c>
      <c r="AV5825">
        <f>IF(V5825&gt;=AO5825-0.01,1,0)</f>
        <v/>
      </c>
      <c r="AW5825">
        <f>IF(W5825&gt;=AP5825-0.01,1,0)</f>
        <v/>
      </c>
      <c r="AX5825">
        <f>AQ5825*AR5825*AS5825*AT5825*AU5825*AV5825*AW5825</f>
        <v/>
      </c>
    </row>
    <row r="5826">
      <c r="A5826" t="inlineStr"/>
      <c r="B5826">
        <f>Assumptions!$B$60</f>
        <v/>
      </c>
      <c r="C5826" t="n">
        <v>0</v>
      </c>
      <c r="D5826" t="n">
        <v>1</v>
      </c>
      <c r="E5826" t="n">
        <v>1</v>
      </c>
      <c r="F5826" t="n">
        <v>1</v>
      </c>
      <c r="G5826" t="n">
        <v>0</v>
      </c>
      <c r="H5826" t="n">
        <v>1</v>
      </c>
      <c r="I5826" t="n">
        <v>0</v>
      </c>
      <c r="J5826">
        <f>(1-C5826)*Assumptions!$B$41+(1-D5826)*Assumptions!$B$33+(1-E5826)*Assumptions!$B$32+(1-F5826)*Assumptions!$B$31+(1-G5826)*Assumptions!$B$30+(1-H5826)*Assumptions!$B$29+(1-I5826)*Assumptions!$B$28</f>
        <v/>
      </c>
      <c r="K5826">
        <f>C5826*$J$607+D5826*$F$607+E5826*$G$607+F5826*Assumptions!$B$14+G5826*Assumptions!$B$13+H5826*Assumptions!$B$12+I5826*Assumptions!$B$11+$O$607+$S$607+Assumptions!$B$9</f>
        <v/>
      </c>
      <c r="L5826">
        <f>B5826-J5826</f>
        <v/>
      </c>
      <c r="M5826">
        <f>IF(K5826&gt;0,IF(L5826/K5826&gt;=Assumptions!$B$37,1,0),0)</f>
        <v/>
      </c>
      <c r="N5826">
        <f>K5826+M5826*Assumptions!$B$153</f>
        <v/>
      </c>
      <c r="O5826">
        <f>L5826+M5826*Assumptions!$B$153*Assumptions!$B$37</f>
        <v/>
      </c>
      <c r="P5826">
        <f>IF(N5826&gt;0,O5826/N5826,0)</f>
        <v/>
      </c>
      <c r="Q5826">
        <f>IF(C5826=1,P5826*$J$607,Assumptions!$B$41)</f>
        <v/>
      </c>
      <c r="R5826">
        <f>IF(D5826=1,P5826*$F$607,Assumptions!$B$33)</f>
        <v/>
      </c>
      <c r="S5826">
        <f>IF(E5826=1,P5826*$G$607,Assumptions!$B$32)</f>
        <v/>
      </c>
      <c r="T5826">
        <f>IF(F5826=1,P5826*Assumptions!$B$14,Assumptions!$B$31)</f>
        <v/>
      </c>
      <c r="U5826">
        <f>IF(G5826=1,P5826*Assumptions!$B$13,Assumptions!$B$30)</f>
        <v/>
      </c>
      <c r="V5826">
        <f>IF(H5826=1,P5826*Assumptions!$B$12,Assumptions!$B$29)</f>
        <v/>
      </c>
      <c r="W5826">
        <f>IF(I5826=1,P5826*Assumptions!$B$11,Assumptions!$B$28)</f>
        <v/>
      </c>
      <c r="X5826">
        <f>P5826*($O$607+$S$607)</f>
        <v/>
      </c>
      <c r="Y5826">
        <f>P5826*Assumptions!$B$9</f>
        <v/>
      </c>
      <c r="Z5826">
        <f>IF(M5826=1,(P5826-Assumptions!$B$37)*Assumptions!$B$153,0)</f>
        <v/>
      </c>
      <c r="AA5826">
        <f>Q5826+R5826+S5826+T5826+U5826+V5826+W5826+X5826+Y5826+Z5826</f>
        <v/>
      </c>
      <c r="AB5826" t="n">
        <v>58</v>
      </c>
      <c r="AC5826" t="n">
        <v>122</v>
      </c>
      <c r="AD5826" t="n">
        <v>26</v>
      </c>
      <c r="AE5826" t="n">
        <v>42</v>
      </c>
      <c r="AF5826" t="n">
        <v>50</v>
      </c>
      <c r="AG5826" t="n">
        <v>62</v>
      </c>
      <c r="AH5826" t="n">
        <v>56</v>
      </c>
      <c r="AI5826" t="n">
        <v>59</v>
      </c>
      <c r="AJ5826">
        <f>INDEX($Q$5768:$Q$5895,AC5826+1)</f>
        <v/>
      </c>
      <c r="AK5826">
        <f>INDEX($R$5768:$R$5895,AD5826+1)</f>
        <v/>
      </c>
      <c r="AL5826">
        <f>INDEX($S$5768:$S$5895,AE5826+1)</f>
        <v/>
      </c>
      <c r="AM5826">
        <f>INDEX($T$5768:$T$5895,AF5826+1)</f>
        <v/>
      </c>
      <c r="AN5826">
        <f>INDEX($U$5768:$U$5895,AG5826+1)</f>
        <v/>
      </c>
      <c r="AO5826">
        <f>INDEX($V$5768:$V$5895,AH5826+1)</f>
        <v/>
      </c>
      <c r="AP5826">
        <f>INDEX($W$5768:$W$5895,AI5826+1)</f>
        <v/>
      </c>
      <c r="AQ5826">
        <f>IF(Q5826&gt;=AJ5826-0.01,1,0)</f>
        <v/>
      </c>
      <c r="AR5826">
        <f>IF(R5826&gt;=AK5826-0.01,1,0)</f>
        <v/>
      </c>
      <c r="AS5826">
        <f>IF(S5826&gt;=AL5826-0.01,1,0)</f>
        <v/>
      </c>
      <c r="AT5826">
        <f>IF(T5826&gt;=AM5826-0.01,1,0)</f>
        <v/>
      </c>
      <c r="AU5826">
        <f>IF(U5826&gt;=AN5826-0.01,1,0)</f>
        <v/>
      </c>
      <c r="AV5826">
        <f>IF(V5826&gt;=AO5826-0.01,1,0)</f>
        <v/>
      </c>
      <c r="AW5826">
        <f>IF(W5826&gt;=AP5826-0.01,1,0)</f>
        <v/>
      </c>
      <c r="AX5826">
        <f>AQ5826*AR5826*AS5826*AT5826*AU5826*AV5826*AW5826</f>
        <v/>
      </c>
    </row>
    <row r="5827">
      <c r="A5827" t="inlineStr"/>
      <c r="B5827">
        <f>Assumptions!$B$60</f>
        <v/>
      </c>
      <c r="C5827" t="n">
        <v>0</v>
      </c>
      <c r="D5827" t="n">
        <v>1</v>
      </c>
      <c r="E5827" t="n">
        <v>1</v>
      </c>
      <c r="F5827" t="n">
        <v>1</v>
      </c>
      <c r="G5827" t="n">
        <v>0</v>
      </c>
      <c r="H5827" t="n">
        <v>1</v>
      </c>
      <c r="I5827" t="n">
        <v>1</v>
      </c>
      <c r="J5827">
        <f>(1-C5827)*Assumptions!$B$41+(1-D5827)*Assumptions!$B$33+(1-E5827)*Assumptions!$B$32+(1-F5827)*Assumptions!$B$31+(1-G5827)*Assumptions!$B$30+(1-H5827)*Assumptions!$B$29+(1-I5827)*Assumptions!$B$28</f>
        <v/>
      </c>
      <c r="K5827">
        <f>C5827*$J$607+D5827*$F$607+E5827*$G$607+F5827*Assumptions!$B$14+G5827*Assumptions!$B$13+H5827*Assumptions!$B$12+I5827*Assumptions!$B$11+$O$607+$S$607+Assumptions!$B$9</f>
        <v/>
      </c>
      <c r="L5827">
        <f>B5827-J5827</f>
        <v/>
      </c>
      <c r="M5827">
        <f>IF(K5827&gt;0,IF(L5827/K5827&gt;=Assumptions!$B$37,1,0),0)</f>
        <v/>
      </c>
      <c r="N5827">
        <f>K5827+M5827*Assumptions!$B$153</f>
        <v/>
      </c>
      <c r="O5827">
        <f>L5827+M5827*Assumptions!$B$153*Assumptions!$B$37</f>
        <v/>
      </c>
      <c r="P5827">
        <f>IF(N5827&gt;0,O5827/N5827,0)</f>
        <v/>
      </c>
      <c r="Q5827">
        <f>IF(C5827=1,P5827*$J$607,Assumptions!$B$41)</f>
        <v/>
      </c>
      <c r="R5827">
        <f>IF(D5827=1,P5827*$F$607,Assumptions!$B$33)</f>
        <v/>
      </c>
      <c r="S5827">
        <f>IF(E5827=1,P5827*$G$607,Assumptions!$B$32)</f>
        <v/>
      </c>
      <c r="T5827">
        <f>IF(F5827=1,P5827*Assumptions!$B$14,Assumptions!$B$31)</f>
        <v/>
      </c>
      <c r="U5827">
        <f>IF(G5827=1,P5827*Assumptions!$B$13,Assumptions!$B$30)</f>
        <v/>
      </c>
      <c r="V5827">
        <f>IF(H5827=1,P5827*Assumptions!$B$12,Assumptions!$B$29)</f>
        <v/>
      </c>
      <c r="W5827">
        <f>IF(I5827=1,P5827*Assumptions!$B$11,Assumptions!$B$28)</f>
        <v/>
      </c>
      <c r="X5827">
        <f>P5827*($O$607+$S$607)</f>
        <v/>
      </c>
      <c r="Y5827">
        <f>P5827*Assumptions!$B$9</f>
        <v/>
      </c>
      <c r="Z5827">
        <f>IF(M5827=1,(P5827-Assumptions!$B$37)*Assumptions!$B$153,0)</f>
        <v/>
      </c>
      <c r="AA5827">
        <f>Q5827+R5827+S5827+T5827+U5827+V5827+W5827+X5827+Y5827+Z5827</f>
        <v/>
      </c>
      <c r="AB5827" t="n">
        <v>59</v>
      </c>
      <c r="AC5827" t="n">
        <v>123</v>
      </c>
      <c r="AD5827" t="n">
        <v>27</v>
      </c>
      <c r="AE5827" t="n">
        <v>43</v>
      </c>
      <c r="AF5827" t="n">
        <v>51</v>
      </c>
      <c r="AG5827" t="n">
        <v>63</v>
      </c>
      <c r="AH5827" t="n">
        <v>57</v>
      </c>
      <c r="AI5827" t="n">
        <v>58</v>
      </c>
      <c r="AJ5827">
        <f>INDEX($Q$5768:$Q$5895,AC5827+1)</f>
        <v/>
      </c>
      <c r="AK5827">
        <f>INDEX($R$5768:$R$5895,AD5827+1)</f>
        <v/>
      </c>
      <c r="AL5827">
        <f>INDEX($S$5768:$S$5895,AE5827+1)</f>
        <v/>
      </c>
      <c r="AM5827">
        <f>INDEX($T$5768:$T$5895,AF5827+1)</f>
        <v/>
      </c>
      <c r="AN5827">
        <f>INDEX($U$5768:$U$5895,AG5827+1)</f>
        <v/>
      </c>
      <c r="AO5827">
        <f>INDEX($V$5768:$V$5895,AH5827+1)</f>
        <v/>
      </c>
      <c r="AP5827">
        <f>INDEX($W$5768:$W$5895,AI5827+1)</f>
        <v/>
      </c>
      <c r="AQ5827">
        <f>IF(Q5827&gt;=AJ5827-0.01,1,0)</f>
        <v/>
      </c>
      <c r="AR5827">
        <f>IF(R5827&gt;=AK5827-0.01,1,0)</f>
        <v/>
      </c>
      <c r="AS5827">
        <f>IF(S5827&gt;=AL5827-0.01,1,0)</f>
        <v/>
      </c>
      <c r="AT5827">
        <f>IF(T5827&gt;=AM5827-0.01,1,0)</f>
        <v/>
      </c>
      <c r="AU5827">
        <f>IF(U5827&gt;=AN5827-0.01,1,0)</f>
        <v/>
      </c>
      <c r="AV5827">
        <f>IF(V5827&gt;=AO5827-0.01,1,0)</f>
        <v/>
      </c>
      <c r="AW5827">
        <f>IF(W5827&gt;=AP5827-0.01,1,0)</f>
        <v/>
      </c>
      <c r="AX5827">
        <f>AQ5827*AR5827*AS5827*AT5827*AU5827*AV5827*AW5827</f>
        <v/>
      </c>
    </row>
    <row r="5828">
      <c r="A5828" t="inlineStr"/>
      <c r="B5828">
        <f>Assumptions!$B$60</f>
        <v/>
      </c>
      <c r="C5828" t="n">
        <v>0</v>
      </c>
      <c r="D5828" t="n">
        <v>1</v>
      </c>
      <c r="E5828" t="n">
        <v>1</v>
      </c>
      <c r="F5828" t="n">
        <v>1</v>
      </c>
      <c r="G5828" t="n">
        <v>1</v>
      </c>
      <c r="H5828" t="n">
        <v>0</v>
      </c>
      <c r="I5828" t="n">
        <v>0</v>
      </c>
      <c r="J5828">
        <f>(1-C5828)*Assumptions!$B$41+(1-D5828)*Assumptions!$B$33+(1-E5828)*Assumptions!$B$32+(1-F5828)*Assumptions!$B$31+(1-G5828)*Assumptions!$B$30+(1-H5828)*Assumptions!$B$29+(1-I5828)*Assumptions!$B$28</f>
        <v/>
      </c>
      <c r="K5828">
        <f>C5828*$J$607+D5828*$F$607+E5828*$G$607+F5828*Assumptions!$B$14+G5828*Assumptions!$B$13+H5828*Assumptions!$B$12+I5828*Assumptions!$B$11+$O$607+$S$607+Assumptions!$B$9</f>
        <v/>
      </c>
      <c r="L5828">
        <f>B5828-J5828</f>
        <v/>
      </c>
      <c r="M5828">
        <f>IF(K5828&gt;0,IF(L5828/K5828&gt;=Assumptions!$B$37,1,0),0)</f>
        <v/>
      </c>
      <c r="N5828">
        <f>K5828+M5828*Assumptions!$B$153</f>
        <v/>
      </c>
      <c r="O5828">
        <f>L5828+M5828*Assumptions!$B$153*Assumptions!$B$37</f>
        <v/>
      </c>
      <c r="P5828">
        <f>IF(N5828&gt;0,O5828/N5828,0)</f>
        <v/>
      </c>
      <c r="Q5828">
        <f>IF(C5828=1,P5828*$J$607,Assumptions!$B$41)</f>
        <v/>
      </c>
      <c r="R5828">
        <f>IF(D5828=1,P5828*$F$607,Assumptions!$B$33)</f>
        <v/>
      </c>
      <c r="S5828">
        <f>IF(E5828=1,P5828*$G$607,Assumptions!$B$32)</f>
        <v/>
      </c>
      <c r="T5828">
        <f>IF(F5828=1,P5828*Assumptions!$B$14,Assumptions!$B$31)</f>
        <v/>
      </c>
      <c r="U5828">
        <f>IF(G5828=1,P5828*Assumptions!$B$13,Assumptions!$B$30)</f>
        <v/>
      </c>
      <c r="V5828">
        <f>IF(H5828=1,P5828*Assumptions!$B$12,Assumptions!$B$29)</f>
        <v/>
      </c>
      <c r="W5828">
        <f>IF(I5828=1,P5828*Assumptions!$B$11,Assumptions!$B$28)</f>
        <v/>
      </c>
      <c r="X5828">
        <f>P5828*($O$607+$S$607)</f>
        <v/>
      </c>
      <c r="Y5828">
        <f>P5828*Assumptions!$B$9</f>
        <v/>
      </c>
      <c r="Z5828">
        <f>IF(M5828=1,(P5828-Assumptions!$B$37)*Assumptions!$B$153,0)</f>
        <v/>
      </c>
      <c r="AA5828">
        <f>Q5828+R5828+S5828+T5828+U5828+V5828+W5828+X5828+Y5828+Z5828</f>
        <v/>
      </c>
      <c r="AB5828" t="n">
        <v>60</v>
      </c>
      <c r="AC5828" t="n">
        <v>124</v>
      </c>
      <c r="AD5828" t="n">
        <v>28</v>
      </c>
      <c r="AE5828" t="n">
        <v>44</v>
      </c>
      <c r="AF5828" t="n">
        <v>52</v>
      </c>
      <c r="AG5828" t="n">
        <v>56</v>
      </c>
      <c r="AH5828" t="n">
        <v>62</v>
      </c>
      <c r="AI5828" t="n">
        <v>61</v>
      </c>
      <c r="AJ5828">
        <f>INDEX($Q$5768:$Q$5895,AC5828+1)</f>
        <v/>
      </c>
      <c r="AK5828">
        <f>INDEX($R$5768:$R$5895,AD5828+1)</f>
        <v/>
      </c>
      <c r="AL5828">
        <f>INDEX($S$5768:$S$5895,AE5828+1)</f>
        <v/>
      </c>
      <c r="AM5828">
        <f>INDEX($T$5768:$T$5895,AF5828+1)</f>
        <v/>
      </c>
      <c r="AN5828">
        <f>INDEX($U$5768:$U$5895,AG5828+1)</f>
        <v/>
      </c>
      <c r="AO5828">
        <f>INDEX($V$5768:$V$5895,AH5828+1)</f>
        <v/>
      </c>
      <c r="AP5828">
        <f>INDEX($W$5768:$W$5895,AI5828+1)</f>
        <v/>
      </c>
      <c r="AQ5828">
        <f>IF(Q5828&gt;=AJ5828-0.01,1,0)</f>
        <v/>
      </c>
      <c r="AR5828">
        <f>IF(R5828&gt;=AK5828-0.01,1,0)</f>
        <v/>
      </c>
      <c r="AS5828">
        <f>IF(S5828&gt;=AL5828-0.01,1,0)</f>
        <v/>
      </c>
      <c r="AT5828">
        <f>IF(T5828&gt;=AM5828-0.01,1,0)</f>
        <v/>
      </c>
      <c r="AU5828">
        <f>IF(U5828&gt;=AN5828-0.01,1,0)</f>
        <v/>
      </c>
      <c r="AV5828">
        <f>IF(V5828&gt;=AO5828-0.01,1,0)</f>
        <v/>
      </c>
      <c r="AW5828">
        <f>IF(W5828&gt;=AP5828-0.01,1,0)</f>
        <v/>
      </c>
      <c r="AX5828">
        <f>AQ5828*AR5828*AS5828*AT5828*AU5828*AV5828*AW5828</f>
        <v/>
      </c>
    </row>
    <row r="5829">
      <c r="A5829" t="inlineStr"/>
      <c r="B5829">
        <f>Assumptions!$B$60</f>
        <v/>
      </c>
      <c r="C5829" t="n">
        <v>0</v>
      </c>
      <c r="D5829" t="n">
        <v>1</v>
      </c>
      <c r="E5829" t="n">
        <v>1</v>
      </c>
      <c r="F5829" t="n">
        <v>1</v>
      </c>
      <c r="G5829" t="n">
        <v>1</v>
      </c>
      <c r="H5829" t="n">
        <v>0</v>
      </c>
      <c r="I5829" t="n">
        <v>1</v>
      </c>
      <c r="J5829">
        <f>(1-C5829)*Assumptions!$B$41+(1-D5829)*Assumptions!$B$33+(1-E5829)*Assumptions!$B$32+(1-F5829)*Assumptions!$B$31+(1-G5829)*Assumptions!$B$30+(1-H5829)*Assumptions!$B$29+(1-I5829)*Assumptions!$B$28</f>
        <v/>
      </c>
      <c r="K5829">
        <f>C5829*$J$607+D5829*$F$607+E5829*$G$607+F5829*Assumptions!$B$14+G5829*Assumptions!$B$13+H5829*Assumptions!$B$12+I5829*Assumptions!$B$11+$O$607+$S$607+Assumptions!$B$9</f>
        <v/>
      </c>
      <c r="L5829">
        <f>B5829-J5829</f>
        <v/>
      </c>
      <c r="M5829">
        <f>IF(K5829&gt;0,IF(L5829/K5829&gt;=Assumptions!$B$37,1,0),0)</f>
        <v/>
      </c>
      <c r="N5829">
        <f>K5829+M5829*Assumptions!$B$153</f>
        <v/>
      </c>
      <c r="O5829">
        <f>L5829+M5829*Assumptions!$B$153*Assumptions!$B$37</f>
        <v/>
      </c>
      <c r="P5829">
        <f>IF(N5829&gt;0,O5829/N5829,0)</f>
        <v/>
      </c>
      <c r="Q5829">
        <f>IF(C5829=1,P5829*$J$607,Assumptions!$B$41)</f>
        <v/>
      </c>
      <c r="R5829">
        <f>IF(D5829=1,P5829*$F$607,Assumptions!$B$33)</f>
        <v/>
      </c>
      <c r="S5829">
        <f>IF(E5829=1,P5829*$G$607,Assumptions!$B$32)</f>
        <v/>
      </c>
      <c r="T5829">
        <f>IF(F5829=1,P5829*Assumptions!$B$14,Assumptions!$B$31)</f>
        <v/>
      </c>
      <c r="U5829">
        <f>IF(G5829=1,P5829*Assumptions!$B$13,Assumptions!$B$30)</f>
        <v/>
      </c>
      <c r="V5829">
        <f>IF(H5829=1,P5829*Assumptions!$B$12,Assumptions!$B$29)</f>
        <v/>
      </c>
      <c r="W5829">
        <f>IF(I5829=1,P5829*Assumptions!$B$11,Assumptions!$B$28)</f>
        <v/>
      </c>
      <c r="X5829">
        <f>P5829*($O$607+$S$607)</f>
        <v/>
      </c>
      <c r="Y5829">
        <f>P5829*Assumptions!$B$9</f>
        <v/>
      </c>
      <c r="Z5829">
        <f>IF(M5829=1,(P5829-Assumptions!$B$37)*Assumptions!$B$153,0)</f>
        <v/>
      </c>
      <c r="AA5829">
        <f>Q5829+R5829+S5829+T5829+U5829+V5829+W5829+X5829+Y5829+Z5829</f>
        <v/>
      </c>
      <c r="AB5829" t="n">
        <v>61</v>
      </c>
      <c r="AC5829" t="n">
        <v>125</v>
      </c>
      <c r="AD5829" t="n">
        <v>29</v>
      </c>
      <c r="AE5829" t="n">
        <v>45</v>
      </c>
      <c r="AF5829" t="n">
        <v>53</v>
      </c>
      <c r="AG5829" t="n">
        <v>57</v>
      </c>
      <c r="AH5829" t="n">
        <v>63</v>
      </c>
      <c r="AI5829" t="n">
        <v>60</v>
      </c>
      <c r="AJ5829">
        <f>INDEX($Q$5768:$Q$5895,AC5829+1)</f>
        <v/>
      </c>
      <c r="AK5829">
        <f>INDEX($R$5768:$R$5895,AD5829+1)</f>
        <v/>
      </c>
      <c r="AL5829">
        <f>INDEX($S$5768:$S$5895,AE5829+1)</f>
        <v/>
      </c>
      <c r="AM5829">
        <f>INDEX($T$5768:$T$5895,AF5829+1)</f>
        <v/>
      </c>
      <c r="AN5829">
        <f>INDEX($U$5768:$U$5895,AG5829+1)</f>
        <v/>
      </c>
      <c r="AO5829">
        <f>INDEX($V$5768:$V$5895,AH5829+1)</f>
        <v/>
      </c>
      <c r="AP5829">
        <f>INDEX($W$5768:$W$5895,AI5829+1)</f>
        <v/>
      </c>
      <c r="AQ5829">
        <f>IF(Q5829&gt;=AJ5829-0.01,1,0)</f>
        <v/>
      </c>
      <c r="AR5829">
        <f>IF(R5829&gt;=AK5829-0.01,1,0)</f>
        <v/>
      </c>
      <c r="AS5829">
        <f>IF(S5829&gt;=AL5829-0.01,1,0)</f>
        <v/>
      </c>
      <c r="AT5829">
        <f>IF(T5829&gt;=AM5829-0.01,1,0)</f>
        <v/>
      </c>
      <c r="AU5829">
        <f>IF(U5829&gt;=AN5829-0.01,1,0)</f>
        <v/>
      </c>
      <c r="AV5829">
        <f>IF(V5829&gt;=AO5829-0.01,1,0)</f>
        <v/>
      </c>
      <c r="AW5829">
        <f>IF(W5829&gt;=AP5829-0.01,1,0)</f>
        <v/>
      </c>
      <c r="AX5829">
        <f>AQ5829*AR5829*AS5829*AT5829*AU5829*AV5829*AW5829</f>
        <v/>
      </c>
    </row>
    <row r="5830">
      <c r="A5830" t="inlineStr"/>
      <c r="B5830">
        <f>Assumptions!$B$60</f>
        <v/>
      </c>
      <c r="C5830" t="n">
        <v>0</v>
      </c>
      <c r="D5830" t="n">
        <v>1</v>
      </c>
      <c r="E5830" t="n">
        <v>1</v>
      </c>
      <c r="F5830" t="n">
        <v>1</v>
      </c>
      <c r="G5830" t="n">
        <v>1</v>
      </c>
      <c r="H5830" t="n">
        <v>1</v>
      </c>
      <c r="I5830" t="n">
        <v>0</v>
      </c>
      <c r="J5830">
        <f>(1-C5830)*Assumptions!$B$41+(1-D5830)*Assumptions!$B$33+(1-E5830)*Assumptions!$B$32+(1-F5830)*Assumptions!$B$31+(1-G5830)*Assumptions!$B$30+(1-H5830)*Assumptions!$B$29+(1-I5830)*Assumptions!$B$28</f>
        <v/>
      </c>
      <c r="K5830">
        <f>C5830*$J$607+D5830*$F$607+E5830*$G$607+F5830*Assumptions!$B$14+G5830*Assumptions!$B$13+H5830*Assumptions!$B$12+I5830*Assumptions!$B$11+$O$607+$S$607+Assumptions!$B$9</f>
        <v/>
      </c>
      <c r="L5830">
        <f>B5830-J5830</f>
        <v/>
      </c>
      <c r="M5830">
        <f>IF(K5830&gt;0,IF(L5830/K5830&gt;=Assumptions!$B$37,1,0),0)</f>
        <v/>
      </c>
      <c r="N5830">
        <f>K5830+M5830*Assumptions!$B$153</f>
        <v/>
      </c>
      <c r="O5830">
        <f>L5830+M5830*Assumptions!$B$153*Assumptions!$B$37</f>
        <v/>
      </c>
      <c r="P5830">
        <f>IF(N5830&gt;0,O5830/N5830,0)</f>
        <v/>
      </c>
      <c r="Q5830">
        <f>IF(C5830=1,P5830*$J$607,Assumptions!$B$41)</f>
        <v/>
      </c>
      <c r="R5830">
        <f>IF(D5830=1,P5830*$F$607,Assumptions!$B$33)</f>
        <v/>
      </c>
      <c r="S5830">
        <f>IF(E5830=1,P5830*$G$607,Assumptions!$B$32)</f>
        <v/>
      </c>
      <c r="T5830">
        <f>IF(F5830=1,P5830*Assumptions!$B$14,Assumptions!$B$31)</f>
        <v/>
      </c>
      <c r="U5830">
        <f>IF(G5830=1,P5830*Assumptions!$B$13,Assumptions!$B$30)</f>
        <v/>
      </c>
      <c r="V5830">
        <f>IF(H5830=1,P5830*Assumptions!$B$12,Assumptions!$B$29)</f>
        <v/>
      </c>
      <c r="W5830">
        <f>IF(I5830=1,P5830*Assumptions!$B$11,Assumptions!$B$28)</f>
        <v/>
      </c>
      <c r="X5830">
        <f>P5830*($O$607+$S$607)</f>
        <v/>
      </c>
      <c r="Y5830">
        <f>P5830*Assumptions!$B$9</f>
        <v/>
      </c>
      <c r="Z5830">
        <f>IF(M5830=1,(P5830-Assumptions!$B$37)*Assumptions!$B$153,0)</f>
        <v/>
      </c>
      <c r="AA5830">
        <f>Q5830+R5830+S5830+T5830+U5830+V5830+W5830+X5830+Y5830+Z5830</f>
        <v/>
      </c>
      <c r="AB5830" t="n">
        <v>62</v>
      </c>
      <c r="AC5830" t="n">
        <v>126</v>
      </c>
      <c r="AD5830" t="n">
        <v>30</v>
      </c>
      <c r="AE5830" t="n">
        <v>46</v>
      </c>
      <c r="AF5830" t="n">
        <v>54</v>
      </c>
      <c r="AG5830" t="n">
        <v>58</v>
      </c>
      <c r="AH5830" t="n">
        <v>60</v>
      </c>
      <c r="AI5830" t="n">
        <v>63</v>
      </c>
      <c r="AJ5830">
        <f>INDEX($Q$5768:$Q$5895,AC5830+1)</f>
        <v/>
      </c>
      <c r="AK5830">
        <f>INDEX($R$5768:$R$5895,AD5830+1)</f>
        <v/>
      </c>
      <c r="AL5830">
        <f>INDEX($S$5768:$S$5895,AE5830+1)</f>
        <v/>
      </c>
      <c r="AM5830">
        <f>INDEX($T$5768:$T$5895,AF5830+1)</f>
        <v/>
      </c>
      <c r="AN5830">
        <f>INDEX($U$5768:$U$5895,AG5830+1)</f>
        <v/>
      </c>
      <c r="AO5830">
        <f>INDEX($V$5768:$V$5895,AH5830+1)</f>
        <v/>
      </c>
      <c r="AP5830">
        <f>INDEX($W$5768:$W$5895,AI5830+1)</f>
        <v/>
      </c>
      <c r="AQ5830">
        <f>IF(Q5830&gt;=AJ5830-0.01,1,0)</f>
        <v/>
      </c>
      <c r="AR5830">
        <f>IF(R5830&gt;=AK5830-0.01,1,0)</f>
        <v/>
      </c>
      <c r="AS5830">
        <f>IF(S5830&gt;=AL5830-0.01,1,0)</f>
        <v/>
      </c>
      <c r="AT5830">
        <f>IF(T5830&gt;=AM5830-0.01,1,0)</f>
        <v/>
      </c>
      <c r="AU5830">
        <f>IF(U5830&gt;=AN5830-0.01,1,0)</f>
        <v/>
      </c>
      <c r="AV5830">
        <f>IF(V5830&gt;=AO5830-0.01,1,0)</f>
        <v/>
      </c>
      <c r="AW5830">
        <f>IF(W5830&gt;=AP5830-0.01,1,0)</f>
        <v/>
      </c>
      <c r="AX5830">
        <f>AQ5830*AR5830*AS5830*AT5830*AU5830*AV5830*AW5830</f>
        <v/>
      </c>
    </row>
    <row r="5831">
      <c r="A5831" t="inlineStr"/>
      <c r="B5831">
        <f>Assumptions!$B$60</f>
        <v/>
      </c>
      <c r="C5831" t="n">
        <v>0</v>
      </c>
      <c r="D5831" t="n">
        <v>1</v>
      </c>
      <c r="E5831" t="n">
        <v>1</v>
      </c>
      <c r="F5831" t="n">
        <v>1</v>
      </c>
      <c r="G5831" t="n">
        <v>1</v>
      </c>
      <c r="H5831" t="n">
        <v>1</v>
      </c>
      <c r="I5831" t="n">
        <v>1</v>
      </c>
      <c r="J5831">
        <f>(1-C5831)*Assumptions!$B$41+(1-D5831)*Assumptions!$B$33+(1-E5831)*Assumptions!$B$32+(1-F5831)*Assumptions!$B$31+(1-G5831)*Assumptions!$B$30+(1-H5831)*Assumptions!$B$29+(1-I5831)*Assumptions!$B$28</f>
        <v/>
      </c>
      <c r="K5831">
        <f>C5831*$J$607+D5831*$F$607+E5831*$G$607+F5831*Assumptions!$B$14+G5831*Assumptions!$B$13+H5831*Assumptions!$B$12+I5831*Assumptions!$B$11+$O$607+$S$607+Assumptions!$B$9</f>
        <v/>
      </c>
      <c r="L5831">
        <f>B5831-J5831</f>
        <v/>
      </c>
      <c r="M5831">
        <f>IF(K5831&gt;0,IF(L5831/K5831&gt;=Assumptions!$B$37,1,0),0)</f>
        <v/>
      </c>
      <c r="N5831">
        <f>K5831+M5831*Assumptions!$B$153</f>
        <v/>
      </c>
      <c r="O5831">
        <f>L5831+M5831*Assumptions!$B$153*Assumptions!$B$37</f>
        <v/>
      </c>
      <c r="P5831">
        <f>IF(N5831&gt;0,O5831/N5831,0)</f>
        <v/>
      </c>
      <c r="Q5831">
        <f>IF(C5831=1,P5831*$J$607,Assumptions!$B$41)</f>
        <v/>
      </c>
      <c r="R5831">
        <f>IF(D5831=1,P5831*$F$607,Assumptions!$B$33)</f>
        <v/>
      </c>
      <c r="S5831">
        <f>IF(E5831=1,P5831*$G$607,Assumptions!$B$32)</f>
        <v/>
      </c>
      <c r="T5831">
        <f>IF(F5831=1,P5831*Assumptions!$B$14,Assumptions!$B$31)</f>
        <v/>
      </c>
      <c r="U5831">
        <f>IF(G5831=1,P5831*Assumptions!$B$13,Assumptions!$B$30)</f>
        <v/>
      </c>
      <c r="V5831">
        <f>IF(H5831=1,P5831*Assumptions!$B$12,Assumptions!$B$29)</f>
        <v/>
      </c>
      <c r="W5831">
        <f>IF(I5831=1,P5831*Assumptions!$B$11,Assumptions!$B$28)</f>
        <v/>
      </c>
      <c r="X5831">
        <f>P5831*($O$607+$S$607)</f>
        <v/>
      </c>
      <c r="Y5831">
        <f>P5831*Assumptions!$B$9</f>
        <v/>
      </c>
      <c r="Z5831">
        <f>IF(M5831=1,(P5831-Assumptions!$B$37)*Assumptions!$B$153,0)</f>
        <v/>
      </c>
      <c r="AA5831">
        <f>Q5831+R5831+S5831+T5831+U5831+V5831+W5831+X5831+Y5831+Z5831</f>
        <v/>
      </c>
      <c r="AB5831" t="n">
        <v>63</v>
      </c>
      <c r="AC5831" t="n">
        <v>127</v>
      </c>
      <c r="AD5831" t="n">
        <v>31</v>
      </c>
      <c r="AE5831" t="n">
        <v>47</v>
      </c>
      <c r="AF5831" t="n">
        <v>55</v>
      </c>
      <c r="AG5831" t="n">
        <v>59</v>
      </c>
      <c r="AH5831" t="n">
        <v>61</v>
      </c>
      <c r="AI5831" t="n">
        <v>62</v>
      </c>
      <c r="AJ5831">
        <f>INDEX($Q$5768:$Q$5895,AC5831+1)</f>
        <v/>
      </c>
      <c r="AK5831">
        <f>INDEX($R$5768:$R$5895,AD5831+1)</f>
        <v/>
      </c>
      <c r="AL5831">
        <f>INDEX($S$5768:$S$5895,AE5831+1)</f>
        <v/>
      </c>
      <c r="AM5831">
        <f>INDEX($T$5768:$T$5895,AF5831+1)</f>
        <v/>
      </c>
      <c r="AN5831">
        <f>INDEX($U$5768:$U$5895,AG5831+1)</f>
        <v/>
      </c>
      <c r="AO5831">
        <f>INDEX($V$5768:$V$5895,AH5831+1)</f>
        <v/>
      </c>
      <c r="AP5831">
        <f>INDEX($W$5768:$W$5895,AI5831+1)</f>
        <v/>
      </c>
      <c r="AQ5831">
        <f>IF(Q5831&gt;=AJ5831-0.01,1,0)</f>
        <v/>
      </c>
      <c r="AR5831">
        <f>IF(R5831&gt;=AK5831-0.01,1,0)</f>
        <v/>
      </c>
      <c r="AS5831">
        <f>IF(S5831&gt;=AL5831-0.01,1,0)</f>
        <v/>
      </c>
      <c r="AT5831">
        <f>IF(T5831&gt;=AM5831-0.01,1,0)</f>
        <v/>
      </c>
      <c r="AU5831">
        <f>IF(U5831&gt;=AN5831-0.01,1,0)</f>
        <v/>
      </c>
      <c r="AV5831">
        <f>IF(V5831&gt;=AO5831-0.01,1,0)</f>
        <v/>
      </c>
      <c r="AW5831">
        <f>IF(W5831&gt;=AP5831-0.01,1,0)</f>
        <v/>
      </c>
      <c r="AX5831">
        <f>AQ5831*AR5831*AS5831*AT5831*AU5831*AV5831*AW5831</f>
        <v/>
      </c>
    </row>
    <row r="5832">
      <c r="A5832" t="inlineStr"/>
      <c r="B5832">
        <f>Assumptions!$B$60</f>
        <v/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>
        <f>(1-C5832)*Assumptions!$B$41+(1-D5832)*Assumptions!$B$33+(1-E5832)*Assumptions!$B$32+(1-F5832)*Assumptions!$B$31+(1-G5832)*Assumptions!$B$30+(1-H5832)*Assumptions!$B$29+(1-I5832)*Assumptions!$B$28</f>
        <v/>
      </c>
      <c r="K5832">
        <f>C5832*$J$607+D5832*$F$607+E5832*$G$607+F5832*Assumptions!$B$14+G5832*Assumptions!$B$13+H5832*Assumptions!$B$12+I5832*Assumptions!$B$11+$O$607+$S$607+Assumptions!$B$9</f>
        <v/>
      </c>
      <c r="L5832">
        <f>B5832-J5832</f>
        <v/>
      </c>
      <c r="M5832">
        <f>IF(K5832&gt;0,IF(L5832/K5832&gt;=Assumptions!$B$37,1,0),0)</f>
        <v/>
      </c>
      <c r="N5832">
        <f>K5832+M5832*Assumptions!$B$153</f>
        <v/>
      </c>
      <c r="O5832">
        <f>L5832+M5832*Assumptions!$B$153*Assumptions!$B$37</f>
        <v/>
      </c>
      <c r="P5832">
        <f>IF(N5832&gt;0,O5832/N5832,0)</f>
        <v/>
      </c>
      <c r="Q5832">
        <f>IF(C5832=1,P5832*$J$607,Assumptions!$B$41)</f>
        <v/>
      </c>
      <c r="R5832">
        <f>IF(D5832=1,P5832*$F$607,Assumptions!$B$33)</f>
        <v/>
      </c>
      <c r="S5832">
        <f>IF(E5832=1,P5832*$G$607,Assumptions!$B$32)</f>
        <v/>
      </c>
      <c r="T5832">
        <f>IF(F5832=1,P5832*Assumptions!$B$14,Assumptions!$B$31)</f>
        <v/>
      </c>
      <c r="U5832">
        <f>IF(G5832=1,P5832*Assumptions!$B$13,Assumptions!$B$30)</f>
        <v/>
      </c>
      <c r="V5832">
        <f>IF(H5832=1,P5832*Assumptions!$B$12,Assumptions!$B$29)</f>
        <v/>
      </c>
      <c r="W5832">
        <f>IF(I5832=1,P5832*Assumptions!$B$11,Assumptions!$B$28)</f>
        <v/>
      </c>
      <c r="X5832">
        <f>P5832*($O$607+$S$607)</f>
        <v/>
      </c>
      <c r="Y5832">
        <f>P5832*Assumptions!$B$9</f>
        <v/>
      </c>
      <c r="Z5832">
        <f>IF(M5832=1,(P5832-Assumptions!$B$37)*Assumptions!$B$153,0)</f>
        <v/>
      </c>
      <c r="AA5832">
        <f>Q5832+R5832+S5832+T5832+U5832+V5832+W5832+X5832+Y5832+Z5832</f>
        <v/>
      </c>
      <c r="AB5832" t="n">
        <v>64</v>
      </c>
      <c r="AC5832" t="n">
        <v>0</v>
      </c>
      <c r="AD5832" t="n">
        <v>96</v>
      </c>
      <c r="AE5832" t="n">
        <v>80</v>
      </c>
      <c r="AF5832" t="n">
        <v>72</v>
      </c>
      <c r="AG5832" t="n">
        <v>68</v>
      </c>
      <c r="AH5832" t="n">
        <v>66</v>
      </c>
      <c r="AI5832" t="n">
        <v>65</v>
      </c>
      <c r="AJ5832">
        <f>INDEX($Q$5768:$Q$5895,AC5832+1)</f>
        <v/>
      </c>
      <c r="AK5832">
        <f>INDEX($R$5768:$R$5895,AD5832+1)</f>
        <v/>
      </c>
      <c r="AL5832">
        <f>INDEX($S$5768:$S$5895,AE5832+1)</f>
        <v/>
      </c>
      <c r="AM5832">
        <f>INDEX($T$5768:$T$5895,AF5832+1)</f>
        <v/>
      </c>
      <c r="AN5832">
        <f>INDEX($U$5768:$U$5895,AG5832+1)</f>
        <v/>
      </c>
      <c r="AO5832">
        <f>INDEX($V$5768:$V$5895,AH5832+1)</f>
        <v/>
      </c>
      <c r="AP5832">
        <f>INDEX($W$5768:$W$5895,AI5832+1)</f>
        <v/>
      </c>
      <c r="AQ5832">
        <f>IF(Q5832&gt;=AJ5832-0.01,1,0)</f>
        <v/>
      </c>
      <c r="AR5832">
        <f>IF(R5832&gt;=AK5832-0.01,1,0)</f>
        <v/>
      </c>
      <c r="AS5832">
        <f>IF(S5832&gt;=AL5832-0.01,1,0)</f>
        <v/>
      </c>
      <c r="AT5832">
        <f>IF(T5832&gt;=AM5832-0.01,1,0)</f>
        <v/>
      </c>
      <c r="AU5832">
        <f>IF(U5832&gt;=AN5832-0.01,1,0)</f>
        <v/>
      </c>
      <c r="AV5832">
        <f>IF(V5832&gt;=AO5832-0.01,1,0)</f>
        <v/>
      </c>
      <c r="AW5832">
        <f>IF(W5832&gt;=AP5832-0.01,1,0)</f>
        <v/>
      </c>
      <c r="AX5832">
        <f>AQ5832*AR5832*AS5832*AT5832*AU5832*AV5832*AW5832</f>
        <v/>
      </c>
    </row>
    <row r="5833">
      <c r="A5833" t="inlineStr"/>
      <c r="B5833">
        <f>Assumptions!$B$60</f>
        <v/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>
        <f>(1-C5833)*Assumptions!$B$41+(1-D5833)*Assumptions!$B$33+(1-E5833)*Assumptions!$B$32+(1-F5833)*Assumptions!$B$31+(1-G5833)*Assumptions!$B$30+(1-H5833)*Assumptions!$B$29+(1-I5833)*Assumptions!$B$28</f>
        <v/>
      </c>
      <c r="K5833">
        <f>C5833*$J$607+D5833*$F$607+E5833*$G$607+F5833*Assumptions!$B$14+G5833*Assumptions!$B$13+H5833*Assumptions!$B$12+I5833*Assumptions!$B$11+$O$607+$S$607+Assumptions!$B$9</f>
        <v/>
      </c>
      <c r="L5833">
        <f>B5833-J5833</f>
        <v/>
      </c>
      <c r="M5833">
        <f>IF(K5833&gt;0,IF(L5833/K5833&gt;=Assumptions!$B$37,1,0),0)</f>
        <v/>
      </c>
      <c r="N5833">
        <f>K5833+M5833*Assumptions!$B$153</f>
        <v/>
      </c>
      <c r="O5833">
        <f>L5833+M5833*Assumptions!$B$153*Assumptions!$B$37</f>
        <v/>
      </c>
      <c r="P5833">
        <f>IF(N5833&gt;0,O5833/N5833,0)</f>
        <v/>
      </c>
      <c r="Q5833">
        <f>IF(C5833=1,P5833*$J$607,Assumptions!$B$41)</f>
        <v/>
      </c>
      <c r="R5833">
        <f>IF(D5833=1,P5833*$F$607,Assumptions!$B$33)</f>
        <v/>
      </c>
      <c r="S5833">
        <f>IF(E5833=1,P5833*$G$607,Assumptions!$B$32)</f>
        <v/>
      </c>
      <c r="T5833">
        <f>IF(F5833=1,P5833*Assumptions!$B$14,Assumptions!$B$31)</f>
        <v/>
      </c>
      <c r="U5833">
        <f>IF(G5833=1,P5833*Assumptions!$B$13,Assumptions!$B$30)</f>
        <v/>
      </c>
      <c r="V5833">
        <f>IF(H5833=1,P5833*Assumptions!$B$12,Assumptions!$B$29)</f>
        <v/>
      </c>
      <c r="W5833">
        <f>IF(I5833=1,P5833*Assumptions!$B$11,Assumptions!$B$28)</f>
        <v/>
      </c>
      <c r="X5833">
        <f>P5833*($O$607+$S$607)</f>
        <v/>
      </c>
      <c r="Y5833">
        <f>P5833*Assumptions!$B$9</f>
        <v/>
      </c>
      <c r="Z5833">
        <f>IF(M5833=1,(P5833-Assumptions!$B$37)*Assumptions!$B$153,0)</f>
        <v/>
      </c>
      <c r="AA5833">
        <f>Q5833+R5833+S5833+T5833+U5833+V5833+W5833+X5833+Y5833+Z5833</f>
        <v/>
      </c>
      <c r="AB5833" t="n">
        <v>65</v>
      </c>
      <c r="AC5833" t="n">
        <v>1</v>
      </c>
      <c r="AD5833" t="n">
        <v>97</v>
      </c>
      <c r="AE5833" t="n">
        <v>81</v>
      </c>
      <c r="AF5833" t="n">
        <v>73</v>
      </c>
      <c r="AG5833" t="n">
        <v>69</v>
      </c>
      <c r="AH5833" t="n">
        <v>67</v>
      </c>
      <c r="AI5833" t="n">
        <v>64</v>
      </c>
      <c r="AJ5833">
        <f>INDEX($Q$5768:$Q$5895,AC5833+1)</f>
        <v/>
      </c>
      <c r="AK5833">
        <f>INDEX($R$5768:$R$5895,AD5833+1)</f>
        <v/>
      </c>
      <c r="AL5833">
        <f>INDEX($S$5768:$S$5895,AE5833+1)</f>
        <v/>
      </c>
      <c r="AM5833">
        <f>INDEX($T$5768:$T$5895,AF5833+1)</f>
        <v/>
      </c>
      <c r="AN5833">
        <f>INDEX($U$5768:$U$5895,AG5833+1)</f>
        <v/>
      </c>
      <c r="AO5833">
        <f>INDEX($V$5768:$V$5895,AH5833+1)</f>
        <v/>
      </c>
      <c r="AP5833">
        <f>INDEX($W$5768:$W$5895,AI5833+1)</f>
        <v/>
      </c>
      <c r="AQ5833">
        <f>IF(Q5833&gt;=AJ5833-0.01,1,0)</f>
        <v/>
      </c>
      <c r="AR5833">
        <f>IF(R5833&gt;=AK5833-0.01,1,0)</f>
        <v/>
      </c>
      <c r="AS5833">
        <f>IF(S5833&gt;=AL5833-0.01,1,0)</f>
        <v/>
      </c>
      <c r="AT5833">
        <f>IF(T5833&gt;=AM5833-0.01,1,0)</f>
        <v/>
      </c>
      <c r="AU5833">
        <f>IF(U5833&gt;=AN5833-0.01,1,0)</f>
        <v/>
      </c>
      <c r="AV5833">
        <f>IF(V5833&gt;=AO5833-0.01,1,0)</f>
        <v/>
      </c>
      <c r="AW5833">
        <f>IF(W5833&gt;=AP5833-0.01,1,0)</f>
        <v/>
      </c>
      <c r="AX5833">
        <f>AQ5833*AR5833*AS5833*AT5833*AU5833*AV5833*AW5833</f>
        <v/>
      </c>
    </row>
    <row r="5834">
      <c r="A5834" t="inlineStr"/>
      <c r="B5834">
        <f>Assumptions!$B$60</f>
        <v/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>
        <f>(1-C5834)*Assumptions!$B$41+(1-D5834)*Assumptions!$B$33+(1-E5834)*Assumptions!$B$32+(1-F5834)*Assumptions!$B$31+(1-G5834)*Assumptions!$B$30+(1-H5834)*Assumptions!$B$29+(1-I5834)*Assumptions!$B$28</f>
        <v/>
      </c>
      <c r="K5834">
        <f>C5834*$J$607+D5834*$F$607+E5834*$G$607+F5834*Assumptions!$B$14+G5834*Assumptions!$B$13+H5834*Assumptions!$B$12+I5834*Assumptions!$B$11+$O$607+$S$607+Assumptions!$B$9</f>
        <v/>
      </c>
      <c r="L5834">
        <f>B5834-J5834</f>
        <v/>
      </c>
      <c r="M5834">
        <f>IF(K5834&gt;0,IF(L5834/K5834&gt;=Assumptions!$B$37,1,0),0)</f>
        <v/>
      </c>
      <c r="N5834">
        <f>K5834+M5834*Assumptions!$B$153</f>
        <v/>
      </c>
      <c r="O5834">
        <f>L5834+M5834*Assumptions!$B$153*Assumptions!$B$37</f>
        <v/>
      </c>
      <c r="P5834">
        <f>IF(N5834&gt;0,O5834/N5834,0)</f>
        <v/>
      </c>
      <c r="Q5834">
        <f>IF(C5834=1,P5834*$J$607,Assumptions!$B$41)</f>
        <v/>
      </c>
      <c r="R5834">
        <f>IF(D5834=1,P5834*$F$607,Assumptions!$B$33)</f>
        <v/>
      </c>
      <c r="S5834">
        <f>IF(E5834=1,P5834*$G$607,Assumptions!$B$32)</f>
        <v/>
      </c>
      <c r="T5834">
        <f>IF(F5834=1,P5834*Assumptions!$B$14,Assumptions!$B$31)</f>
        <v/>
      </c>
      <c r="U5834">
        <f>IF(G5834=1,P5834*Assumptions!$B$13,Assumptions!$B$30)</f>
        <v/>
      </c>
      <c r="V5834">
        <f>IF(H5834=1,P5834*Assumptions!$B$12,Assumptions!$B$29)</f>
        <v/>
      </c>
      <c r="W5834">
        <f>IF(I5834=1,P5834*Assumptions!$B$11,Assumptions!$B$28)</f>
        <v/>
      </c>
      <c r="X5834">
        <f>P5834*($O$607+$S$607)</f>
        <v/>
      </c>
      <c r="Y5834">
        <f>P5834*Assumptions!$B$9</f>
        <v/>
      </c>
      <c r="Z5834">
        <f>IF(M5834=1,(P5834-Assumptions!$B$37)*Assumptions!$B$153,0)</f>
        <v/>
      </c>
      <c r="AA5834">
        <f>Q5834+R5834+S5834+T5834+U5834+V5834+W5834+X5834+Y5834+Z5834</f>
        <v/>
      </c>
      <c r="AB5834" t="n">
        <v>66</v>
      </c>
      <c r="AC5834" t="n">
        <v>2</v>
      </c>
      <c r="AD5834" t="n">
        <v>98</v>
      </c>
      <c r="AE5834" t="n">
        <v>82</v>
      </c>
      <c r="AF5834" t="n">
        <v>74</v>
      </c>
      <c r="AG5834" t="n">
        <v>70</v>
      </c>
      <c r="AH5834" t="n">
        <v>64</v>
      </c>
      <c r="AI5834" t="n">
        <v>67</v>
      </c>
      <c r="AJ5834">
        <f>INDEX($Q$5768:$Q$5895,AC5834+1)</f>
        <v/>
      </c>
      <c r="AK5834">
        <f>INDEX($R$5768:$R$5895,AD5834+1)</f>
        <v/>
      </c>
      <c r="AL5834">
        <f>INDEX($S$5768:$S$5895,AE5834+1)</f>
        <v/>
      </c>
      <c r="AM5834">
        <f>INDEX($T$5768:$T$5895,AF5834+1)</f>
        <v/>
      </c>
      <c r="AN5834">
        <f>INDEX($U$5768:$U$5895,AG5834+1)</f>
        <v/>
      </c>
      <c r="AO5834">
        <f>INDEX($V$5768:$V$5895,AH5834+1)</f>
        <v/>
      </c>
      <c r="AP5834">
        <f>INDEX($W$5768:$W$5895,AI5834+1)</f>
        <v/>
      </c>
      <c r="AQ5834">
        <f>IF(Q5834&gt;=AJ5834-0.01,1,0)</f>
        <v/>
      </c>
      <c r="AR5834">
        <f>IF(R5834&gt;=AK5834-0.01,1,0)</f>
        <v/>
      </c>
      <c r="AS5834">
        <f>IF(S5834&gt;=AL5834-0.01,1,0)</f>
        <v/>
      </c>
      <c r="AT5834">
        <f>IF(T5834&gt;=AM5834-0.01,1,0)</f>
        <v/>
      </c>
      <c r="AU5834">
        <f>IF(U5834&gt;=AN5834-0.01,1,0)</f>
        <v/>
      </c>
      <c r="AV5834">
        <f>IF(V5834&gt;=AO5834-0.01,1,0)</f>
        <v/>
      </c>
      <c r="AW5834">
        <f>IF(W5834&gt;=AP5834-0.01,1,0)</f>
        <v/>
      </c>
      <c r="AX5834">
        <f>AQ5834*AR5834*AS5834*AT5834*AU5834*AV5834*AW5834</f>
        <v/>
      </c>
    </row>
    <row r="5835">
      <c r="A5835" t="inlineStr"/>
      <c r="B5835">
        <f>Assumptions!$B$60</f>
        <v/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</v>
      </c>
      <c r="J5835">
        <f>(1-C5835)*Assumptions!$B$41+(1-D5835)*Assumptions!$B$33+(1-E5835)*Assumptions!$B$32+(1-F5835)*Assumptions!$B$31+(1-G5835)*Assumptions!$B$30+(1-H5835)*Assumptions!$B$29+(1-I5835)*Assumptions!$B$28</f>
        <v/>
      </c>
      <c r="K5835">
        <f>C5835*$J$607+D5835*$F$607+E5835*$G$607+F5835*Assumptions!$B$14+G5835*Assumptions!$B$13+H5835*Assumptions!$B$12+I5835*Assumptions!$B$11+$O$607+$S$607+Assumptions!$B$9</f>
        <v/>
      </c>
      <c r="L5835">
        <f>B5835-J5835</f>
        <v/>
      </c>
      <c r="M5835">
        <f>IF(K5835&gt;0,IF(L5835/K5835&gt;=Assumptions!$B$37,1,0),0)</f>
        <v/>
      </c>
      <c r="N5835">
        <f>K5835+M5835*Assumptions!$B$153</f>
        <v/>
      </c>
      <c r="O5835">
        <f>L5835+M5835*Assumptions!$B$153*Assumptions!$B$37</f>
        <v/>
      </c>
      <c r="P5835">
        <f>IF(N5835&gt;0,O5835/N5835,0)</f>
        <v/>
      </c>
      <c r="Q5835">
        <f>IF(C5835=1,P5835*$J$607,Assumptions!$B$41)</f>
        <v/>
      </c>
      <c r="R5835">
        <f>IF(D5835=1,P5835*$F$607,Assumptions!$B$33)</f>
        <v/>
      </c>
      <c r="S5835">
        <f>IF(E5835=1,P5835*$G$607,Assumptions!$B$32)</f>
        <v/>
      </c>
      <c r="T5835">
        <f>IF(F5835=1,P5835*Assumptions!$B$14,Assumptions!$B$31)</f>
        <v/>
      </c>
      <c r="U5835">
        <f>IF(G5835=1,P5835*Assumptions!$B$13,Assumptions!$B$30)</f>
        <v/>
      </c>
      <c r="V5835">
        <f>IF(H5835=1,P5835*Assumptions!$B$12,Assumptions!$B$29)</f>
        <v/>
      </c>
      <c r="W5835">
        <f>IF(I5835=1,P5835*Assumptions!$B$11,Assumptions!$B$28)</f>
        <v/>
      </c>
      <c r="X5835">
        <f>P5835*($O$607+$S$607)</f>
        <v/>
      </c>
      <c r="Y5835">
        <f>P5835*Assumptions!$B$9</f>
        <v/>
      </c>
      <c r="Z5835">
        <f>IF(M5835=1,(P5835-Assumptions!$B$37)*Assumptions!$B$153,0)</f>
        <v/>
      </c>
      <c r="AA5835">
        <f>Q5835+R5835+S5835+T5835+U5835+V5835+W5835+X5835+Y5835+Z5835</f>
        <v/>
      </c>
      <c r="AB5835" t="n">
        <v>67</v>
      </c>
      <c r="AC5835" t="n">
        <v>3</v>
      </c>
      <c r="AD5835" t="n">
        <v>99</v>
      </c>
      <c r="AE5835" t="n">
        <v>83</v>
      </c>
      <c r="AF5835" t="n">
        <v>75</v>
      </c>
      <c r="AG5835" t="n">
        <v>71</v>
      </c>
      <c r="AH5835" t="n">
        <v>65</v>
      </c>
      <c r="AI5835" t="n">
        <v>66</v>
      </c>
      <c r="AJ5835">
        <f>INDEX($Q$5768:$Q$5895,AC5835+1)</f>
        <v/>
      </c>
      <c r="AK5835">
        <f>INDEX($R$5768:$R$5895,AD5835+1)</f>
        <v/>
      </c>
      <c r="AL5835">
        <f>INDEX($S$5768:$S$5895,AE5835+1)</f>
        <v/>
      </c>
      <c r="AM5835">
        <f>INDEX($T$5768:$T$5895,AF5835+1)</f>
        <v/>
      </c>
      <c r="AN5835">
        <f>INDEX($U$5768:$U$5895,AG5835+1)</f>
        <v/>
      </c>
      <c r="AO5835">
        <f>INDEX($V$5768:$V$5895,AH5835+1)</f>
        <v/>
      </c>
      <c r="AP5835">
        <f>INDEX($W$5768:$W$5895,AI5835+1)</f>
        <v/>
      </c>
      <c r="AQ5835">
        <f>IF(Q5835&gt;=AJ5835-0.01,1,0)</f>
        <v/>
      </c>
      <c r="AR5835">
        <f>IF(R5835&gt;=AK5835-0.01,1,0)</f>
        <v/>
      </c>
      <c r="AS5835">
        <f>IF(S5835&gt;=AL5835-0.01,1,0)</f>
        <v/>
      </c>
      <c r="AT5835">
        <f>IF(T5835&gt;=AM5835-0.01,1,0)</f>
        <v/>
      </c>
      <c r="AU5835">
        <f>IF(U5835&gt;=AN5835-0.01,1,0)</f>
        <v/>
      </c>
      <c r="AV5835">
        <f>IF(V5835&gt;=AO5835-0.01,1,0)</f>
        <v/>
      </c>
      <c r="AW5835">
        <f>IF(W5835&gt;=AP5835-0.01,1,0)</f>
        <v/>
      </c>
      <c r="AX5835">
        <f>AQ5835*AR5835*AS5835*AT5835*AU5835*AV5835*AW5835</f>
        <v/>
      </c>
    </row>
    <row r="5836">
      <c r="A5836" t="inlineStr"/>
      <c r="B5836">
        <f>Assumptions!$B$60</f>
        <v/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>
        <f>(1-C5836)*Assumptions!$B$41+(1-D5836)*Assumptions!$B$33+(1-E5836)*Assumptions!$B$32+(1-F5836)*Assumptions!$B$31+(1-G5836)*Assumptions!$B$30+(1-H5836)*Assumptions!$B$29+(1-I5836)*Assumptions!$B$28</f>
        <v/>
      </c>
      <c r="K5836">
        <f>C5836*$J$607+D5836*$F$607+E5836*$G$607+F5836*Assumptions!$B$14+G5836*Assumptions!$B$13+H5836*Assumptions!$B$12+I5836*Assumptions!$B$11+$O$607+$S$607+Assumptions!$B$9</f>
        <v/>
      </c>
      <c r="L5836">
        <f>B5836-J5836</f>
        <v/>
      </c>
      <c r="M5836">
        <f>IF(K5836&gt;0,IF(L5836/K5836&gt;=Assumptions!$B$37,1,0),0)</f>
        <v/>
      </c>
      <c r="N5836">
        <f>K5836+M5836*Assumptions!$B$153</f>
        <v/>
      </c>
      <c r="O5836">
        <f>L5836+M5836*Assumptions!$B$153*Assumptions!$B$37</f>
        <v/>
      </c>
      <c r="P5836">
        <f>IF(N5836&gt;0,O5836/N5836,0)</f>
        <v/>
      </c>
      <c r="Q5836">
        <f>IF(C5836=1,P5836*$J$607,Assumptions!$B$41)</f>
        <v/>
      </c>
      <c r="R5836">
        <f>IF(D5836=1,P5836*$F$607,Assumptions!$B$33)</f>
        <v/>
      </c>
      <c r="S5836">
        <f>IF(E5836=1,P5836*$G$607,Assumptions!$B$32)</f>
        <v/>
      </c>
      <c r="T5836">
        <f>IF(F5836=1,P5836*Assumptions!$B$14,Assumptions!$B$31)</f>
        <v/>
      </c>
      <c r="U5836">
        <f>IF(G5836=1,P5836*Assumptions!$B$13,Assumptions!$B$30)</f>
        <v/>
      </c>
      <c r="V5836">
        <f>IF(H5836=1,P5836*Assumptions!$B$12,Assumptions!$B$29)</f>
        <v/>
      </c>
      <c r="W5836">
        <f>IF(I5836=1,P5836*Assumptions!$B$11,Assumptions!$B$28)</f>
        <v/>
      </c>
      <c r="X5836">
        <f>P5836*($O$607+$S$607)</f>
        <v/>
      </c>
      <c r="Y5836">
        <f>P5836*Assumptions!$B$9</f>
        <v/>
      </c>
      <c r="Z5836">
        <f>IF(M5836=1,(P5836-Assumptions!$B$37)*Assumptions!$B$153,0)</f>
        <v/>
      </c>
      <c r="AA5836">
        <f>Q5836+R5836+S5836+T5836+U5836+V5836+W5836+X5836+Y5836+Z5836</f>
        <v/>
      </c>
      <c r="AB5836" t="n">
        <v>68</v>
      </c>
      <c r="AC5836" t="n">
        <v>4</v>
      </c>
      <c r="AD5836" t="n">
        <v>100</v>
      </c>
      <c r="AE5836" t="n">
        <v>84</v>
      </c>
      <c r="AF5836" t="n">
        <v>76</v>
      </c>
      <c r="AG5836" t="n">
        <v>64</v>
      </c>
      <c r="AH5836" t="n">
        <v>70</v>
      </c>
      <c r="AI5836" t="n">
        <v>69</v>
      </c>
      <c r="AJ5836">
        <f>INDEX($Q$5768:$Q$5895,AC5836+1)</f>
        <v/>
      </c>
      <c r="AK5836">
        <f>INDEX($R$5768:$R$5895,AD5836+1)</f>
        <v/>
      </c>
      <c r="AL5836">
        <f>INDEX($S$5768:$S$5895,AE5836+1)</f>
        <v/>
      </c>
      <c r="AM5836">
        <f>INDEX($T$5768:$T$5895,AF5836+1)</f>
        <v/>
      </c>
      <c r="AN5836">
        <f>INDEX($U$5768:$U$5895,AG5836+1)</f>
        <v/>
      </c>
      <c r="AO5836">
        <f>INDEX($V$5768:$V$5895,AH5836+1)</f>
        <v/>
      </c>
      <c r="AP5836">
        <f>INDEX($W$5768:$W$5895,AI5836+1)</f>
        <v/>
      </c>
      <c r="AQ5836">
        <f>IF(Q5836&gt;=AJ5836-0.01,1,0)</f>
        <v/>
      </c>
      <c r="AR5836">
        <f>IF(R5836&gt;=AK5836-0.01,1,0)</f>
        <v/>
      </c>
      <c r="AS5836">
        <f>IF(S5836&gt;=AL5836-0.01,1,0)</f>
        <v/>
      </c>
      <c r="AT5836">
        <f>IF(T5836&gt;=AM5836-0.01,1,0)</f>
        <v/>
      </c>
      <c r="AU5836">
        <f>IF(U5836&gt;=AN5836-0.01,1,0)</f>
        <v/>
      </c>
      <c r="AV5836">
        <f>IF(V5836&gt;=AO5836-0.01,1,0)</f>
        <v/>
      </c>
      <c r="AW5836">
        <f>IF(W5836&gt;=AP5836-0.01,1,0)</f>
        <v/>
      </c>
      <c r="AX5836">
        <f>AQ5836*AR5836*AS5836*AT5836*AU5836*AV5836*AW5836</f>
        <v/>
      </c>
    </row>
    <row r="5837">
      <c r="A5837" t="inlineStr"/>
      <c r="B5837">
        <f>Assumptions!$B$60</f>
        <v/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0</v>
      </c>
      <c r="I5837" t="n">
        <v>1</v>
      </c>
      <c r="J5837">
        <f>(1-C5837)*Assumptions!$B$41+(1-D5837)*Assumptions!$B$33+(1-E5837)*Assumptions!$B$32+(1-F5837)*Assumptions!$B$31+(1-G5837)*Assumptions!$B$30+(1-H5837)*Assumptions!$B$29+(1-I5837)*Assumptions!$B$28</f>
        <v/>
      </c>
      <c r="K5837">
        <f>C5837*$J$607+D5837*$F$607+E5837*$G$607+F5837*Assumptions!$B$14+G5837*Assumptions!$B$13+H5837*Assumptions!$B$12+I5837*Assumptions!$B$11+$O$607+$S$607+Assumptions!$B$9</f>
        <v/>
      </c>
      <c r="L5837">
        <f>B5837-J5837</f>
        <v/>
      </c>
      <c r="M5837">
        <f>IF(K5837&gt;0,IF(L5837/K5837&gt;=Assumptions!$B$37,1,0),0)</f>
        <v/>
      </c>
      <c r="N5837">
        <f>K5837+M5837*Assumptions!$B$153</f>
        <v/>
      </c>
      <c r="O5837">
        <f>L5837+M5837*Assumptions!$B$153*Assumptions!$B$37</f>
        <v/>
      </c>
      <c r="P5837">
        <f>IF(N5837&gt;0,O5837/N5837,0)</f>
        <v/>
      </c>
      <c r="Q5837">
        <f>IF(C5837=1,P5837*$J$607,Assumptions!$B$41)</f>
        <v/>
      </c>
      <c r="R5837">
        <f>IF(D5837=1,P5837*$F$607,Assumptions!$B$33)</f>
        <v/>
      </c>
      <c r="S5837">
        <f>IF(E5837=1,P5837*$G$607,Assumptions!$B$32)</f>
        <v/>
      </c>
      <c r="T5837">
        <f>IF(F5837=1,P5837*Assumptions!$B$14,Assumptions!$B$31)</f>
        <v/>
      </c>
      <c r="U5837">
        <f>IF(G5837=1,P5837*Assumptions!$B$13,Assumptions!$B$30)</f>
        <v/>
      </c>
      <c r="V5837">
        <f>IF(H5837=1,P5837*Assumptions!$B$12,Assumptions!$B$29)</f>
        <v/>
      </c>
      <c r="W5837">
        <f>IF(I5837=1,P5837*Assumptions!$B$11,Assumptions!$B$28)</f>
        <v/>
      </c>
      <c r="X5837">
        <f>P5837*($O$607+$S$607)</f>
        <v/>
      </c>
      <c r="Y5837">
        <f>P5837*Assumptions!$B$9</f>
        <v/>
      </c>
      <c r="Z5837">
        <f>IF(M5837=1,(P5837-Assumptions!$B$37)*Assumptions!$B$153,0)</f>
        <v/>
      </c>
      <c r="AA5837">
        <f>Q5837+R5837+S5837+T5837+U5837+V5837+W5837+X5837+Y5837+Z5837</f>
        <v/>
      </c>
      <c r="AB5837" t="n">
        <v>69</v>
      </c>
      <c r="AC5837" t="n">
        <v>5</v>
      </c>
      <c r="AD5837" t="n">
        <v>101</v>
      </c>
      <c r="AE5837" t="n">
        <v>85</v>
      </c>
      <c r="AF5837" t="n">
        <v>77</v>
      </c>
      <c r="AG5837" t="n">
        <v>65</v>
      </c>
      <c r="AH5837" t="n">
        <v>71</v>
      </c>
      <c r="AI5837" t="n">
        <v>68</v>
      </c>
      <c r="AJ5837">
        <f>INDEX($Q$5768:$Q$5895,AC5837+1)</f>
        <v/>
      </c>
      <c r="AK5837">
        <f>INDEX($R$5768:$R$5895,AD5837+1)</f>
        <v/>
      </c>
      <c r="AL5837">
        <f>INDEX($S$5768:$S$5895,AE5837+1)</f>
        <v/>
      </c>
      <c r="AM5837">
        <f>INDEX($T$5768:$T$5895,AF5837+1)</f>
        <v/>
      </c>
      <c r="AN5837">
        <f>INDEX($U$5768:$U$5895,AG5837+1)</f>
        <v/>
      </c>
      <c r="AO5837">
        <f>INDEX($V$5768:$V$5895,AH5837+1)</f>
        <v/>
      </c>
      <c r="AP5837">
        <f>INDEX($W$5768:$W$5895,AI5837+1)</f>
        <v/>
      </c>
      <c r="AQ5837">
        <f>IF(Q5837&gt;=AJ5837-0.01,1,0)</f>
        <v/>
      </c>
      <c r="AR5837">
        <f>IF(R5837&gt;=AK5837-0.01,1,0)</f>
        <v/>
      </c>
      <c r="AS5837">
        <f>IF(S5837&gt;=AL5837-0.01,1,0)</f>
        <v/>
      </c>
      <c r="AT5837">
        <f>IF(T5837&gt;=AM5837-0.01,1,0)</f>
        <v/>
      </c>
      <c r="AU5837">
        <f>IF(U5837&gt;=AN5837-0.01,1,0)</f>
        <v/>
      </c>
      <c r="AV5837">
        <f>IF(V5837&gt;=AO5837-0.01,1,0)</f>
        <v/>
      </c>
      <c r="AW5837">
        <f>IF(W5837&gt;=AP5837-0.01,1,0)</f>
        <v/>
      </c>
      <c r="AX5837">
        <f>AQ5837*AR5837*AS5837*AT5837*AU5837*AV5837*AW5837</f>
        <v/>
      </c>
    </row>
    <row r="5838">
      <c r="A5838" t="inlineStr"/>
      <c r="B5838">
        <f>Assumptions!$B$60</f>
        <v/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  <c r="I5838" t="n">
        <v>0</v>
      </c>
      <c r="J5838">
        <f>(1-C5838)*Assumptions!$B$41+(1-D5838)*Assumptions!$B$33+(1-E5838)*Assumptions!$B$32+(1-F5838)*Assumptions!$B$31+(1-G5838)*Assumptions!$B$30+(1-H5838)*Assumptions!$B$29+(1-I5838)*Assumptions!$B$28</f>
        <v/>
      </c>
      <c r="K5838">
        <f>C5838*$J$607+D5838*$F$607+E5838*$G$607+F5838*Assumptions!$B$14+G5838*Assumptions!$B$13+H5838*Assumptions!$B$12+I5838*Assumptions!$B$11+$O$607+$S$607+Assumptions!$B$9</f>
        <v/>
      </c>
      <c r="L5838">
        <f>B5838-J5838</f>
        <v/>
      </c>
      <c r="M5838">
        <f>IF(K5838&gt;0,IF(L5838/K5838&gt;=Assumptions!$B$37,1,0),0)</f>
        <v/>
      </c>
      <c r="N5838">
        <f>K5838+M5838*Assumptions!$B$153</f>
        <v/>
      </c>
      <c r="O5838">
        <f>L5838+M5838*Assumptions!$B$153*Assumptions!$B$37</f>
        <v/>
      </c>
      <c r="P5838">
        <f>IF(N5838&gt;0,O5838/N5838,0)</f>
        <v/>
      </c>
      <c r="Q5838">
        <f>IF(C5838=1,P5838*$J$607,Assumptions!$B$41)</f>
        <v/>
      </c>
      <c r="R5838">
        <f>IF(D5838=1,P5838*$F$607,Assumptions!$B$33)</f>
        <v/>
      </c>
      <c r="S5838">
        <f>IF(E5838=1,P5838*$G$607,Assumptions!$B$32)</f>
        <v/>
      </c>
      <c r="T5838">
        <f>IF(F5838=1,P5838*Assumptions!$B$14,Assumptions!$B$31)</f>
        <v/>
      </c>
      <c r="U5838">
        <f>IF(G5838=1,P5838*Assumptions!$B$13,Assumptions!$B$30)</f>
        <v/>
      </c>
      <c r="V5838">
        <f>IF(H5838=1,P5838*Assumptions!$B$12,Assumptions!$B$29)</f>
        <v/>
      </c>
      <c r="W5838">
        <f>IF(I5838=1,P5838*Assumptions!$B$11,Assumptions!$B$28)</f>
        <v/>
      </c>
      <c r="X5838">
        <f>P5838*($O$607+$S$607)</f>
        <v/>
      </c>
      <c r="Y5838">
        <f>P5838*Assumptions!$B$9</f>
        <v/>
      </c>
      <c r="Z5838">
        <f>IF(M5838=1,(P5838-Assumptions!$B$37)*Assumptions!$B$153,0)</f>
        <v/>
      </c>
      <c r="AA5838">
        <f>Q5838+R5838+S5838+T5838+U5838+V5838+W5838+X5838+Y5838+Z5838</f>
        <v/>
      </c>
      <c r="AB5838" t="n">
        <v>70</v>
      </c>
      <c r="AC5838" t="n">
        <v>6</v>
      </c>
      <c r="AD5838" t="n">
        <v>102</v>
      </c>
      <c r="AE5838" t="n">
        <v>86</v>
      </c>
      <c r="AF5838" t="n">
        <v>78</v>
      </c>
      <c r="AG5838" t="n">
        <v>66</v>
      </c>
      <c r="AH5838" t="n">
        <v>68</v>
      </c>
      <c r="AI5838" t="n">
        <v>71</v>
      </c>
      <c r="AJ5838">
        <f>INDEX($Q$5768:$Q$5895,AC5838+1)</f>
        <v/>
      </c>
      <c r="AK5838">
        <f>INDEX($R$5768:$R$5895,AD5838+1)</f>
        <v/>
      </c>
      <c r="AL5838">
        <f>INDEX($S$5768:$S$5895,AE5838+1)</f>
        <v/>
      </c>
      <c r="AM5838">
        <f>INDEX($T$5768:$T$5895,AF5838+1)</f>
        <v/>
      </c>
      <c r="AN5838">
        <f>INDEX($U$5768:$U$5895,AG5838+1)</f>
        <v/>
      </c>
      <c r="AO5838">
        <f>INDEX($V$5768:$V$5895,AH5838+1)</f>
        <v/>
      </c>
      <c r="AP5838">
        <f>INDEX($W$5768:$W$5895,AI5838+1)</f>
        <v/>
      </c>
      <c r="AQ5838">
        <f>IF(Q5838&gt;=AJ5838-0.01,1,0)</f>
        <v/>
      </c>
      <c r="AR5838">
        <f>IF(R5838&gt;=AK5838-0.01,1,0)</f>
        <v/>
      </c>
      <c r="AS5838">
        <f>IF(S5838&gt;=AL5838-0.01,1,0)</f>
        <v/>
      </c>
      <c r="AT5838">
        <f>IF(T5838&gt;=AM5838-0.01,1,0)</f>
        <v/>
      </c>
      <c r="AU5838">
        <f>IF(U5838&gt;=AN5838-0.01,1,0)</f>
        <v/>
      </c>
      <c r="AV5838">
        <f>IF(V5838&gt;=AO5838-0.01,1,0)</f>
        <v/>
      </c>
      <c r="AW5838">
        <f>IF(W5838&gt;=AP5838-0.01,1,0)</f>
        <v/>
      </c>
      <c r="AX5838">
        <f>AQ5838*AR5838*AS5838*AT5838*AU5838*AV5838*AW5838</f>
        <v/>
      </c>
    </row>
    <row r="5839">
      <c r="A5839" t="inlineStr"/>
      <c r="B5839">
        <f>Assumptions!$B$60</f>
        <v/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  <c r="I5839" t="n">
        <v>1</v>
      </c>
      <c r="J5839">
        <f>(1-C5839)*Assumptions!$B$41+(1-D5839)*Assumptions!$B$33+(1-E5839)*Assumptions!$B$32+(1-F5839)*Assumptions!$B$31+(1-G5839)*Assumptions!$B$30+(1-H5839)*Assumptions!$B$29+(1-I5839)*Assumptions!$B$28</f>
        <v/>
      </c>
      <c r="K5839">
        <f>C5839*$J$607+D5839*$F$607+E5839*$G$607+F5839*Assumptions!$B$14+G5839*Assumptions!$B$13+H5839*Assumptions!$B$12+I5839*Assumptions!$B$11+$O$607+$S$607+Assumptions!$B$9</f>
        <v/>
      </c>
      <c r="L5839">
        <f>B5839-J5839</f>
        <v/>
      </c>
      <c r="M5839">
        <f>IF(K5839&gt;0,IF(L5839/K5839&gt;=Assumptions!$B$37,1,0),0)</f>
        <v/>
      </c>
      <c r="N5839">
        <f>K5839+M5839*Assumptions!$B$153</f>
        <v/>
      </c>
      <c r="O5839">
        <f>L5839+M5839*Assumptions!$B$153*Assumptions!$B$37</f>
        <v/>
      </c>
      <c r="P5839">
        <f>IF(N5839&gt;0,O5839/N5839,0)</f>
        <v/>
      </c>
      <c r="Q5839">
        <f>IF(C5839=1,P5839*$J$607,Assumptions!$B$41)</f>
        <v/>
      </c>
      <c r="R5839">
        <f>IF(D5839=1,P5839*$F$607,Assumptions!$B$33)</f>
        <v/>
      </c>
      <c r="S5839">
        <f>IF(E5839=1,P5839*$G$607,Assumptions!$B$32)</f>
        <v/>
      </c>
      <c r="T5839">
        <f>IF(F5839=1,P5839*Assumptions!$B$14,Assumptions!$B$31)</f>
        <v/>
      </c>
      <c r="U5839">
        <f>IF(G5839=1,P5839*Assumptions!$B$13,Assumptions!$B$30)</f>
        <v/>
      </c>
      <c r="V5839">
        <f>IF(H5839=1,P5839*Assumptions!$B$12,Assumptions!$B$29)</f>
        <v/>
      </c>
      <c r="W5839">
        <f>IF(I5839=1,P5839*Assumptions!$B$11,Assumptions!$B$28)</f>
        <v/>
      </c>
      <c r="X5839">
        <f>P5839*($O$607+$S$607)</f>
        <v/>
      </c>
      <c r="Y5839">
        <f>P5839*Assumptions!$B$9</f>
        <v/>
      </c>
      <c r="Z5839">
        <f>IF(M5839=1,(P5839-Assumptions!$B$37)*Assumptions!$B$153,0)</f>
        <v/>
      </c>
      <c r="AA5839">
        <f>Q5839+R5839+S5839+T5839+U5839+V5839+W5839+X5839+Y5839+Z5839</f>
        <v/>
      </c>
      <c r="AB5839" t="n">
        <v>71</v>
      </c>
      <c r="AC5839" t="n">
        <v>7</v>
      </c>
      <c r="AD5839" t="n">
        <v>103</v>
      </c>
      <c r="AE5839" t="n">
        <v>87</v>
      </c>
      <c r="AF5839" t="n">
        <v>79</v>
      </c>
      <c r="AG5839" t="n">
        <v>67</v>
      </c>
      <c r="AH5839" t="n">
        <v>69</v>
      </c>
      <c r="AI5839" t="n">
        <v>70</v>
      </c>
      <c r="AJ5839">
        <f>INDEX($Q$5768:$Q$5895,AC5839+1)</f>
        <v/>
      </c>
      <c r="AK5839">
        <f>INDEX($R$5768:$R$5895,AD5839+1)</f>
        <v/>
      </c>
      <c r="AL5839">
        <f>INDEX($S$5768:$S$5895,AE5839+1)</f>
        <v/>
      </c>
      <c r="AM5839">
        <f>INDEX($T$5768:$T$5895,AF5839+1)</f>
        <v/>
      </c>
      <c r="AN5839">
        <f>INDEX($U$5768:$U$5895,AG5839+1)</f>
        <v/>
      </c>
      <c r="AO5839">
        <f>INDEX($V$5768:$V$5895,AH5839+1)</f>
        <v/>
      </c>
      <c r="AP5839">
        <f>INDEX($W$5768:$W$5895,AI5839+1)</f>
        <v/>
      </c>
      <c r="AQ5839">
        <f>IF(Q5839&gt;=AJ5839-0.01,1,0)</f>
        <v/>
      </c>
      <c r="AR5839">
        <f>IF(R5839&gt;=AK5839-0.01,1,0)</f>
        <v/>
      </c>
      <c r="AS5839">
        <f>IF(S5839&gt;=AL5839-0.01,1,0)</f>
        <v/>
      </c>
      <c r="AT5839">
        <f>IF(T5839&gt;=AM5839-0.01,1,0)</f>
        <v/>
      </c>
      <c r="AU5839">
        <f>IF(U5839&gt;=AN5839-0.01,1,0)</f>
        <v/>
      </c>
      <c r="AV5839">
        <f>IF(V5839&gt;=AO5839-0.01,1,0)</f>
        <v/>
      </c>
      <c r="AW5839">
        <f>IF(W5839&gt;=AP5839-0.01,1,0)</f>
        <v/>
      </c>
      <c r="AX5839">
        <f>AQ5839*AR5839*AS5839*AT5839*AU5839*AV5839*AW5839</f>
        <v/>
      </c>
    </row>
    <row r="5840">
      <c r="A5840" t="inlineStr"/>
      <c r="B5840">
        <f>Assumptions!$B$60</f>
        <v/>
      </c>
      <c r="C5840" t="n">
        <v>1</v>
      </c>
      <c r="D5840" t="n">
        <v>0</v>
      </c>
      <c r="E5840" t="n">
        <v>0</v>
      </c>
      <c r="F5840" t="n">
        <v>1</v>
      </c>
      <c r="G5840" t="n">
        <v>0</v>
      </c>
      <c r="H5840" t="n">
        <v>0</v>
      </c>
      <c r="I5840" t="n">
        <v>0</v>
      </c>
      <c r="J5840">
        <f>(1-C5840)*Assumptions!$B$41+(1-D5840)*Assumptions!$B$33+(1-E5840)*Assumptions!$B$32+(1-F5840)*Assumptions!$B$31+(1-G5840)*Assumptions!$B$30+(1-H5840)*Assumptions!$B$29+(1-I5840)*Assumptions!$B$28</f>
        <v/>
      </c>
      <c r="K5840">
        <f>C5840*$J$607+D5840*$F$607+E5840*$G$607+F5840*Assumptions!$B$14+G5840*Assumptions!$B$13+H5840*Assumptions!$B$12+I5840*Assumptions!$B$11+$O$607+$S$607+Assumptions!$B$9</f>
        <v/>
      </c>
      <c r="L5840">
        <f>B5840-J5840</f>
        <v/>
      </c>
      <c r="M5840">
        <f>IF(K5840&gt;0,IF(L5840/K5840&gt;=Assumptions!$B$37,1,0),0)</f>
        <v/>
      </c>
      <c r="N5840">
        <f>K5840+M5840*Assumptions!$B$153</f>
        <v/>
      </c>
      <c r="O5840">
        <f>L5840+M5840*Assumptions!$B$153*Assumptions!$B$37</f>
        <v/>
      </c>
      <c r="P5840">
        <f>IF(N5840&gt;0,O5840/N5840,0)</f>
        <v/>
      </c>
      <c r="Q5840">
        <f>IF(C5840=1,P5840*$J$607,Assumptions!$B$41)</f>
        <v/>
      </c>
      <c r="R5840">
        <f>IF(D5840=1,P5840*$F$607,Assumptions!$B$33)</f>
        <v/>
      </c>
      <c r="S5840">
        <f>IF(E5840=1,P5840*$G$607,Assumptions!$B$32)</f>
        <v/>
      </c>
      <c r="T5840">
        <f>IF(F5840=1,P5840*Assumptions!$B$14,Assumptions!$B$31)</f>
        <v/>
      </c>
      <c r="U5840">
        <f>IF(G5840=1,P5840*Assumptions!$B$13,Assumptions!$B$30)</f>
        <v/>
      </c>
      <c r="V5840">
        <f>IF(H5840=1,P5840*Assumptions!$B$12,Assumptions!$B$29)</f>
        <v/>
      </c>
      <c r="W5840">
        <f>IF(I5840=1,P5840*Assumptions!$B$11,Assumptions!$B$28)</f>
        <v/>
      </c>
      <c r="X5840">
        <f>P5840*($O$607+$S$607)</f>
        <v/>
      </c>
      <c r="Y5840">
        <f>P5840*Assumptions!$B$9</f>
        <v/>
      </c>
      <c r="Z5840">
        <f>IF(M5840=1,(P5840-Assumptions!$B$37)*Assumptions!$B$153,0)</f>
        <v/>
      </c>
      <c r="AA5840">
        <f>Q5840+R5840+S5840+T5840+U5840+V5840+W5840+X5840+Y5840+Z5840</f>
        <v/>
      </c>
      <c r="AB5840" t="n">
        <v>72</v>
      </c>
      <c r="AC5840" t="n">
        <v>8</v>
      </c>
      <c r="AD5840" t="n">
        <v>104</v>
      </c>
      <c r="AE5840" t="n">
        <v>88</v>
      </c>
      <c r="AF5840" t="n">
        <v>64</v>
      </c>
      <c r="AG5840" t="n">
        <v>76</v>
      </c>
      <c r="AH5840" t="n">
        <v>74</v>
      </c>
      <c r="AI5840" t="n">
        <v>73</v>
      </c>
      <c r="AJ5840">
        <f>INDEX($Q$5768:$Q$5895,AC5840+1)</f>
        <v/>
      </c>
      <c r="AK5840">
        <f>INDEX($R$5768:$R$5895,AD5840+1)</f>
        <v/>
      </c>
      <c r="AL5840">
        <f>INDEX($S$5768:$S$5895,AE5840+1)</f>
        <v/>
      </c>
      <c r="AM5840">
        <f>INDEX($T$5768:$T$5895,AF5840+1)</f>
        <v/>
      </c>
      <c r="AN5840">
        <f>INDEX($U$5768:$U$5895,AG5840+1)</f>
        <v/>
      </c>
      <c r="AO5840">
        <f>INDEX($V$5768:$V$5895,AH5840+1)</f>
        <v/>
      </c>
      <c r="AP5840">
        <f>INDEX($W$5768:$W$5895,AI5840+1)</f>
        <v/>
      </c>
      <c r="AQ5840">
        <f>IF(Q5840&gt;=AJ5840-0.01,1,0)</f>
        <v/>
      </c>
      <c r="AR5840">
        <f>IF(R5840&gt;=AK5840-0.01,1,0)</f>
        <v/>
      </c>
      <c r="AS5840">
        <f>IF(S5840&gt;=AL5840-0.01,1,0)</f>
        <v/>
      </c>
      <c r="AT5840">
        <f>IF(T5840&gt;=AM5840-0.01,1,0)</f>
        <v/>
      </c>
      <c r="AU5840">
        <f>IF(U5840&gt;=AN5840-0.01,1,0)</f>
        <v/>
      </c>
      <c r="AV5840">
        <f>IF(V5840&gt;=AO5840-0.01,1,0)</f>
        <v/>
      </c>
      <c r="AW5840">
        <f>IF(W5840&gt;=AP5840-0.01,1,0)</f>
        <v/>
      </c>
      <c r="AX5840">
        <f>AQ5840*AR5840*AS5840*AT5840*AU5840*AV5840*AW5840</f>
        <v/>
      </c>
    </row>
    <row r="5841">
      <c r="A5841" t="inlineStr"/>
      <c r="B5841">
        <f>Assumptions!$B$60</f>
        <v/>
      </c>
      <c r="C5841" t="n">
        <v>1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1</v>
      </c>
      <c r="J5841">
        <f>(1-C5841)*Assumptions!$B$41+(1-D5841)*Assumptions!$B$33+(1-E5841)*Assumptions!$B$32+(1-F5841)*Assumptions!$B$31+(1-G5841)*Assumptions!$B$30+(1-H5841)*Assumptions!$B$29+(1-I5841)*Assumptions!$B$28</f>
        <v/>
      </c>
      <c r="K5841">
        <f>C5841*$J$607+D5841*$F$607+E5841*$G$607+F5841*Assumptions!$B$14+G5841*Assumptions!$B$13+H5841*Assumptions!$B$12+I5841*Assumptions!$B$11+$O$607+$S$607+Assumptions!$B$9</f>
        <v/>
      </c>
      <c r="L5841">
        <f>B5841-J5841</f>
        <v/>
      </c>
      <c r="M5841">
        <f>IF(K5841&gt;0,IF(L5841/K5841&gt;=Assumptions!$B$37,1,0),0)</f>
        <v/>
      </c>
      <c r="N5841">
        <f>K5841+M5841*Assumptions!$B$153</f>
        <v/>
      </c>
      <c r="O5841">
        <f>L5841+M5841*Assumptions!$B$153*Assumptions!$B$37</f>
        <v/>
      </c>
      <c r="P5841">
        <f>IF(N5841&gt;0,O5841/N5841,0)</f>
        <v/>
      </c>
      <c r="Q5841">
        <f>IF(C5841=1,P5841*$J$607,Assumptions!$B$41)</f>
        <v/>
      </c>
      <c r="R5841">
        <f>IF(D5841=1,P5841*$F$607,Assumptions!$B$33)</f>
        <v/>
      </c>
      <c r="S5841">
        <f>IF(E5841=1,P5841*$G$607,Assumptions!$B$32)</f>
        <v/>
      </c>
      <c r="T5841">
        <f>IF(F5841=1,P5841*Assumptions!$B$14,Assumptions!$B$31)</f>
        <v/>
      </c>
      <c r="U5841">
        <f>IF(G5841=1,P5841*Assumptions!$B$13,Assumptions!$B$30)</f>
        <v/>
      </c>
      <c r="V5841">
        <f>IF(H5841=1,P5841*Assumptions!$B$12,Assumptions!$B$29)</f>
        <v/>
      </c>
      <c r="W5841">
        <f>IF(I5841=1,P5841*Assumptions!$B$11,Assumptions!$B$28)</f>
        <v/>
      </c>
      <c r="X5841">
        <f>P5841*($O$607+$S$607)</f>
        <v/>
      </c>
      <c r="Y5841">
        <f>P5841*Assumptions!$B$9</f>
        <v/>
      </c>
      <c r="Z5841">
        <f>IF(M5841=1,(P5841-Assumptions!$B$37)*Assumptions!$B$153,0)</f>
        <v/>
      </c>
      <c r="AA5841">
        <f>Q5841+R5841+S5841+T5841+U5841+V5841+W5841+X5841+Y5841+Z5841</f>
        <v/>
      </c>
      <c r="AB5841" t="n">
        <v>73</v>
      </c>
      <c r="AC5841" t="n">
        <v>9</v>
      </c>
      <c r="AD5841" t="n">
        <v>105</v>
      </c>
      <c r="AE5841" t="n">
        <v>89</v>
      </c>
      <c r="AF5841" t="n">
        <v>65</v>
      </c>
      <c r="AG5841" t="n">
        <v>77</v>
      </c>
      <c r="AH5841" t="n">
        <v>75</v>
      </c>
      <c r="AI5841" t="n">
        <v>72</v>
      </c>
      <c r="AJ5841">
        <f>INDEX($Q$5768:$Q$5895,AC5841+1)</f>
        <v/>
      </c>
      <c r="AK5841">
        <f>INDEX($R$5768:$R$5895,AD5841+1)</f>
        <v/>
      </c>
      <c r="AL5841">
        <f>INDEX($S$5768:$S$5895,AE5841+1)</f>
        <v/>
      </c>
      <c r="AM5841">
        <f>INDEX($T$5768:$T$5895,AF5841+1)</f>
        <v/>
      </c>
      <c r="AN5841">
        <f>INDEX($U$5768:$U$5895,AG5841+1)</f>
        <v/>
      </c>
      <c r="AO5841">
        <f>INDEX($V$5768:$V$5895,AH5841+1)</f>
        <v/>
      </c>
      <c r="AP5841">
        <f>INDEX($W$5768:$W$5895,AI5841+1)</f>
        <v/>
      </c>
      <c r="AQ5841">
        <f>IF(Q5841&gt;=AJ5841-0.01,1,0)</f>
        <v/>
      </c>
      <c r="AR5841">
        <f>IF(R5841&gt;=AK5841-0.01,1,0)</f>
        <v/>
      </c>
      <c r="AS5841">
        <f>IF(S5841&gt;=AL5841-0.01,1,0)</f>
        <v/>
      </c>
      <c r="AT5841">
        <f>IF(T5841&gt;=AM5841-0.01,1,0)</f>
        <v/>
      </c>
      <c r="AU5841">
        <f>IF(U5841&gt;=AN5841-0.01,1,0)</f>
        <v/>
      </c>
      <c r="AV5841">
        <f>IF(V5841&gt;=AO5841-0.01,1,0)</f>
        <v/>
      </c>
      <c r="AW5841">
        <f>IF(W5841&gt;=AP5841-0.01,1,0)</f>
        <v/>
      </c>
      <c r="AX5841">
        <f>AQ5841*AR5841*AS5841*AT5841*AU5841*AV5841*AW5841</f>
        <v/>
      </c>
    </row>
    <row r="5842">
      <c r="A5842" t="inlineStr"/>
      <c r="B5842">
        <f>Assumptions!$B$60</f>
        <v/>
      </c>
      <c r="C5842" t="n">
        <v>1</v>
      </c>
      <c r="D5842" t="n">
        <v>0</v>
      </c>
      <c r="E5842" t="n">
        <v>0</v>
      </c>
      <c r="F5842" t="n">
        <v>1</v>
      </c>
      <c r="G5842" t="n">
        <v>0</v>
      </c>
      <c r="H5842" t="n">
        <v>1</v>
      </c>
      <c r="I5842" t="n">
        <v>0</v>
      </c>
      <c r="J5842">
        <f>(1-C5842)*Assumptions!$B$41+(1-D5842)*Assumptions!$B$33+(1-E5842)*Assumptions!$B$32+(1-F5842)*Assumptions!$B$31+(1-G5842)*Assumptions!$B$30+(1-H5842)*Assumptions!$B$29+(1-I5842)*Assumptions!$B$28</f>
        <v/>
      </c>
      <c r="K5842">
        <f>C5842*$J$607+D5842*$F$607+E5842*$G$607+F5842*Assumptions!$B$14+G5842*Assumptions!$B$13+H5842*Assumptions!$B$12+I5842*Assumptions!$B$11+$O$607+$S$607+Assumptions!$B$9</f>
        <v/>
      </c>
      <c r="L5842">
        <f>B5842-J5842</f>
        <v/>
      </c>
      <c r="M5842">
        <f>IF(K5842&gt;0,IF(L5842/K5842&gt;=Assumptions!$B$37,1,0),0)</f>
        <v/>
      </c>
      <c r="N5842">
        <f>K5842+M5842*Assumptions!$B$153</f>
        <v/>
      </c>
      <c r="O5842">
        <f>L5842+M5842*Assumptions!$B$153*Assumptions!$B$37</f>
        <v/>
      </c>
      <c r="P5842">
        <f>IF(N5842&gt;0,O5842/N5842,0)</f>
        <v/>
      </c>
      <c r="Q5842">
        <f>IF(C5842=1,P5842*$J$607,Assumptions!$B$41)</f>
        <v/>
      </c>
      <c r="R5842">
        <f>IF(D5842=1,P5842*$F$607,Assumptions!$B$33)</f>
        <v/>
      </c>
      <c r="S5842">
        <f>IF(E5842=1,P5842*$G$607,Assumptions!$B$32)</f>
        <v/>
      </c>
      <c r="T5842">
        <f>IF(F5842=1,P5842*Assumptions!$B$14,Assumptions!$B$31)</f>
        <v/>
      </c>
      <c r="U5842">
        <f>IF(G5842=1,P5842*Assumptions!$B$13,Assumptions!$B$30)</f>
        <v/>
      </c>
      <c r="V5842">
        <f>IF(H5842=1,P5842*Assumptions!$B$12,Assumptions!$B$29)</f>
        <v/>
      </c>
      <c r="W5842">
        <f>IF(I5842=1,P5842*Assumptions!$B$11,Assumptions!$B$28)</f>
        <v/>
      </c>
      <c r="X5842">
        <f>P5842*($O$607+$S$607)</f>
        <v/>
      </c>
      <c r="Y5842">
        <f>P5842*Assumptions!$B$9</f>
        <v/>
      </c>
      <c r="Z5842">
        <f>IF(M5842=1,(P5842-Assumptions!$B$37)*Assumptions!$B$153,0)</f>
        <v/>
      </c>
      <c r="AA5842">
        <f>Q5842+R5842+S5842+T5842+U5842+V5842+W5842+X5842+Y5842+Z5842</f>
        <v/>
      </c>
      <c r="AB5842" t="n">
        <v>74</v>
      </c>
      <c r="AC5842" t="n">
        <v>10</v>
      </c>
      <c r="AD5842" t="n">
        <v>106</v>
      </c>
      <c r="AE5842" t="n">
        <v>90</v>
      </c>
      <c r="AF5842" t="n">
        <v>66</v>
      </c>
      <c r="AG5842" t="n">
        <v>78</v>
      </c>
      <c r="AH5842" t="n">
        <v>72</v>
      </c>
      <c r="AI5842" t="n">
        <v>75</v>
      </c>
      <c r="AJ5842">
        <f>INDEX($Q$5768:$Q$5895,AC5842+1)</f>
        <v/>
      </c>
      <c r="AK5842">
        <f>INDEX($R$5768:$R$5895,AD5842+1)</f>
        <v/>
      </c>
      <c r="AL5842">
        <f>INDEX($S$5768:$S$5895,AE5842+1)</f>
        <v/>
      </c>
      <c r="AM5842">
        <f>INDEX($T$5768:$T$5895,AF5842+1)</f>
        <v/>
      </c>
      <c r="AN5842">
        <f>INDEX($U$5768:$U$5895,AG5842+1)</f>
        <v/>
      </c>
      <c r="AO5842">
        <f>INDEX($V$5768:$V$5895,AH5842+1)</f>
        <v/>
      </c>
      <c r="AP5842">
        <f>INDEX($W$5768:$W$5895,AI5842+1)</f>
        <v/>
      </c>
      <c r="AQ5842">
        <f>IF(Q5842&gt;=AJ5842-0.01,1,0)</f>
        <v/>
      </c>
      <c r="AR5842">
        <f>IF(R5842&gt;=AK5842-0.01,1,0)</f>
        <v/>
      </c>
      <c r="AS5842">
        <f>IF(S5842&gt;=AL5842-0.01,1,0)</f>
        <v/>
      </c>
      <c r="AT5842">
        <f>IF(T5842&gt;=AM5842-0.01,1,0)</f>
        <v/>
      </c>
      <c r="AU5842">
        <f>IF(U5842&gt;=AN5842-0.01,1,0)</f>
        <v/>
      </c>
      <c r="AV5842">
        <f>IF(V5842&gt;=AO5842-0.01,1,0)</f>
        <v/>
      </c>
      <c r="AW5842">
        <f>IF(W5842&gt;=AP5842-0.01,1,0)</f>
        <v/>
      </c>
      <c r="AX5842">
        <f>AQ5842*AR5842*AS5842*AT5842*AU5842*AV5842*AW5842</f>
        <v/>
      </c>
    </row>
    <row r="5843">
      <c r="A5843" t="inlineStr"/>
      <c r="B5843">
        <f>Assumptions!$B$60</f>
        <v/>
      </c>
      <c r="C5843" t="n">
        <v>1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1</v>
      </c>
      <c r="J5843">
        <f>(1-C5843)*Assumptions!$B$41+(1-D5843)*Assumptions!$B$33+(1-E5843)*Assumptions!$B$32+(1-F5843)*Assumptions!$B$31+(1-G5843)*Assumptions!$B$30+(1-H5843)*Assumptions!$B$29+(1-I5843)*Assumptions!$B$28</f>
        <v/>
      </c>
      <c r="K5843">
        <f>C5843*$J$607+D5843*$F$607+E5843*$G$607+F5843*Assumptions!$B$14+G5843*Assumptions!$B$13+H5843*Assumptions!$B$12+I5843*Assumptions!$B$11+$O$607+$S$607+Assumptions!$B$9</f>
        <v/>
      </c>
      <c r="L5843">
        <f>B5843-J5843</f>
        <v/>
      </c>
      <c r="M5843">
        <f>IF(K5843&gt;0,IF(L5843/K5843&gt;=Assumptions!$B$37,1,0),0)</f>
        <v/>
      </c>
      <c r="N5843">
        <f>K5843+M5843*Assumptions!$B$153</f>
        <v/>
      </c>
      <c r="O5843">
        <f>L5843+M5843*Assumptions!$B$153*Assumptions!$B$37</f>
        <v/>
      </c>
      <c r="P5843">
        <f>IF(N5843&gt;0,O5843/N5843,0)</f>
        <v/>
      </c>
      <c r="Q5843">
        <f>IF(C5843=1,P5843*$J$607,Assumptions!$B$41)</f>
        <v/>
      </c>
      <c r="R5843">
        <f>IF(D5843=1,P5843*$F$607,Assumptions!$B$33)</f>
        <v/>
      </c>
      <c r="S5843">
        <f>IF(E5843=1,P5843*$G$607,Assumptions!$B$32)</f>
        <v/>
      </c>
      <c r="T5843">
        <f>IF(F5843=1,P5843*Assumptions!$B$14,Assumptions!$B$31)</f>
        <v/>
      </c>
      <c r="U5843">
        <f>IF(G5843=1,P5843*Assumptions!$B$13,Assumptions!$B$30)</f>
        <v/>
      </c>
      <c r="V5843">
        <f>IF(H5843=1,P5843*Assumptions!$B$12,Assumptions!$B$29)</f>
        <v/>
      </c>
      <c r="W5843">
        <f>IF(I5843=1,P5843*Assumptions!$B$11,Assumptions!$B$28)</f>
        <v/>
      </c>
      <c r="X5843">
        <f>P5843*($O$607+$S$607)</f>
        <v/>
      </c>
      <c r="Y5843">
        <f>P5843*Assumptions!$B$9</f>
        <v/>
      </c>
      <c r="Z5843">
        <f>IF(M5843=1,(P5843-Assumptions!$B$37)*Assumptions!$B$153,0)</f>
        <v/>
      </c>
      <c r="AA5843">
        <f>Q5843+R5843+S5843+T5843+U5843+V5843+W5843+X5843+Y5843+Z5843</f>
        <v/>
      </c>
      <c r="AB5843" t="n">
        <v>75</v>
      </c>
      <c r="AC5843" t="n">
        <v>11</v>
      </c>
      <c r="AD5843" t="n">
        <v>107</v>
      </c>
      <c r="AE5843" t="n">
        <v>91</v>
      </c>
      <c r="AF5843" t="n">
        <v>67</v>
      </c>
      <c r="AG5843" t="n">
        <v>79</v>
      </c>
      <c r="AH5843" t="n">
        <v>73</v>
      </c>
      <c r="AI5843" t="n">
        <v>74</v>
      </c>
      <c r="AJ5843">
        <f>INDEX($Q$5768:$Q$5895,AC5843+1)</f>
        <v/>
      </c>
      <c r="AK5843">
        <f>INDEX($R$5768:$R$5895,AD5843+1)</f>
        <v/>
      </c>
      <c r="AL5843">
        <f>INDEX($S$5768:$S$5895,AE5843+1)</f>
        <v/>
      </c>
      <c r="AM5843">
        <f>INDEX($T$5768:$T$5895,AF5843+1)</f>
        <v/>
      </c>
      <c r="AN5843">
        <f>INDEX($U$5768:$U$5895,AG5843+1)</f>
        <v/>
      </c>
      <c r="AO5843">
        <f>INDEX($V$5768:$V$5895,AH5843+1)</f>
        <v/>
      </c>
      <c r="AP5843">
        <f>INDEX($W$5768:$W$5895,AI5843+1)</f>
        <v/>
      </c>
      <c r="AQ5843">
        <f>IF(Q5843&gt;=AJ5843-0.01,1,0)</f>
        <v/>
      </c>
      <c r="AR5843">
        <f>IF(R5843&gt;=AK5843-0.01,1,0)</f>
        <v/>
      </c>
      <c r="AS5843">
        <f>IF(S5843&gt;=AL5843-0.01,1,0)</f>
        <v/>
      </c>
      <c r="AT5843">
        <f>IF(T5843&gt;=AM5843-0.01,1,0)</f>
        <v/>
      </c>
      <c r="AU5843">
        <f>IF(U5843&gt;=AN5843-0.01,1,0)</f>
        <v/>
      </c>
      <c r="AV5843">
        <f>IF(V5843&gt;=AO5843-0.01,1,0)</f>
        <v/>
      </c>
      <c r="AW5843">
        <f>IF(W5843&gt;=AP5843-0.01,1,0)</f>
        <v/>
      </c>
      <c r="AX5843">
        <f>AQ5843*AR5843*AS5843*AT5843*AU5843*AV5843*AW5843</f>
        <v/>
      </c>
    </row>
    <row r="5844">
      <c r="A5844" t="inlineStr"/>
      <c r="B5844">
        <f>Assumptions!$B$60</f>
        <v/>
      </c>
      <c r="C5844" t="n">
        <v>1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>
        <f>(1-C5844)*Assumptions!$B$41+(1-D5844)*Assumptions!$B$33+(1-E5844)*Assumptions!$B$32+(1-F5844)*Assumptions!$B$31+(1-G5844)*Assumptions!$B$30+(1-H5844)*Assumptions!$B$29+(1-I5844)*Assumptions!$B$28</f>
        <v/>
      </c>
      <c r="K5844">
        <f>C5844*$J$607+D5844*$F$607+E5844*$G$607+F5844*Assumptions!$B$14+G5844*Assumptions!$B$13+H5844*Assumptions!$B$12+I5844*Assumptions!$B$11+$O$607+$S$607+Assumptions!$B$9</f>
        <v/>
      </c>
      <c r="L5844">
        <f>B5844-J5844</f>
        <v/>
      </c>
      <c r="M5844">
        <f>IF(K5844&gt;0,IF(L5844/K5844&gt;=Assumptions!$B$37,1,0),0)</f>
        <v/>
      </c>
      <c r="N5844">
        <f>K5844+M5844*Assumptions!$B$153</f>
        <v/>
      </c>
      <c r="O5844">
        <f>L5844+M5844*Assumptions!$B$153*Assumptions!$B$37</f>
        <v/>
      </c>
      <c r="P5844">
        <f>IF(N5844&gt;0,O5844/N5844,0)</f>
        <v/>
      </c>
      <c r="Q5844">
        <f>IF(C5844=1,P5844*$J$607,Assumptions!$B$41)</f>
        <v/>
      </c>
      <c r="R5844">
        <f>IF(D5844=1,P5844*$F$607,Assumptions!$B$33)</f>
        <v/>
      </c>
      <c r="S5844">
        <f>IF(E5844=1,P5844*$G$607,Assumptions!$B$32)</f>
        <v/>
      </c>
      <c r="T5844">
        <f>IF(F5844=1,P5844*Assumptions!$B$14,Assumptions!$B$31)</f>
        <v/>
      </c>
      <c r="U5844">
        <f>IF(G5844=1,P5844*Assumptions!$B$13,Assumptions!$B$30)</f>
        <v/>
      </c>
      <c r="V5844">
        <f>IF(H5844=1,P5844*Assumptions!$B$12,Assumptions!$B$29)</f>
        <v/>
      </c>
      <c r="W5844">
        <f>IF(I5844=1,P5844*Assumptions!$B$11,Assumptions!$B$28)</f>
        <v/>
      </c>
      <c r="X5844">
        <f>P5844*($O$607+$S$607)</f>
        <v/>
      </c>
      <c r="Y5844">
        <f>P5844*Assumptions!$B$9</f>
        <v/>
      </c>
      <c r="Z5844">
        <f>IF(M5844=1,(P5844-Assumptions!$B$37)*Assumptions!$B$153,0)</f>
        <v/>
      </c>
      <c r="AA5844">
        <f>Q5844+R5844+S5844+T5844+U5844+V5844+W5844+X5844+Y5844+Z5844</f>
        <v/>
      </c>
      <c r="AB5844" t="n">
        <v>76</v>
      </c>
      <c r="AC5844" t="n">
        <v>12</v>
      </c>
      <c r="AD5844" t="n">
        <v>108</v>
      </c>
      <c r="AE5844" t="n">
        <v>92</v>
      </c>
      <c r="AF5844" t="n">
        <v>68</v>
      </c>
      <c r="AG5844" t="n">
        <v>72</v>
      </c>
      <c r="AH5844" t="n">
        <v>78</v>
      </c>
      <c r="AI5844" t="n">
        <v>77</v>
      </c>
      <c r="AJ5844">
        <f>INDEX($Q$5768:$Q$5895,AC5844+1)</f>
        <v/>
      </c>
      <c r="AK5844">
        <f>INDEX($R$5768:$R$5895,AD5844+1)</f>
        <v/>
      </c>
      <c r="AL5844">
        <f>INDEX($S$5768:$S$5895,AE5844+1)</f>
        <v/>
      </c>
      <c r="AM5844">
        <f>INDEX($T$5768:$T$5895,AF5844+1)</f>
        <v/>
      </c>
      <c r="AN5844">
        <f>INDEX($U$5768:$U$5895,AG5844+1)</f>
        <v/>
      </c>
      <c r="AO5844">
        <f>INDEX($V$5768:$V$5895,AH5844+1)</f>
        <v/>
      </c>
      <c r="AP5844">
        <f>INDEX($W$5768:$W$5895,AI5844+1)</f>
        <v/>
      </c>
      <c r="AQ5844">
        <f>IF(Q5844&gt;=AJ5844-0.01,1,0)</f>
        <v/>
      </c>
      <c r="AR5844">
        <f>IF(R5844&gt;=AK5844-0.01,1,0)</f>
        <v/>
      </c>
      <c r="AS5844">
        <f>IF(S5844&gt;=AL5844-0.01,1,0)</f>
        <v/>
      </c>
      <c r="AT5844">
        <f>IF(T5844&gt;=AM5844-0.01,1,0)</f>
        <v/>
      </c>
      <c r="AU5844">
        <f>IF(U5844&gt;=AN5844-0.01,1,0)</f>
        <v/>
      </c>
      <c r="AV5844">
        <f>IF(V5844&gt;=AO5844-0.01,1,0)</f>
        <v/>
      </c>
      <c r="AW5844">
        <f>IF(W5844&gt;=AP5844-0.01,1,0)</f>
        <v/>
      </c>
      <c r="AX5844">
        <f>AQ5844*AR5844*AS5844*AT5844*AU5844*AV5844*AW5844</f>
        <v/>
      </c>
    </row>
    <row r="5845">
      <c r="A5845" t="inlineStr"/>
      <c r="B5845">
        <f>Assumptions!$B$60</f>
        <v/>
      </c>
      <c r="C5845" t="n">
        <v>1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1</v>
      </c>
      <c r="J5845">
        <f>(1-C5845)*Assumptions!$B$41+(1-D5845)*Assumptions!$B$33+(1-E5845)*Assumptions!$B$32+(1-F5845)*Assumptions!$B$31+(1-G5845)*Assumptions!$B$30+(1-H5845)*Assumptions!$B$29+(1-I5845)*Assumptions!$B$28</f>
        <v/>
      </c>
      <c r="K5845">
        <f>C5845*$J$607+D5845*$F$607+E5845*$G$607+F5845*Assumptions!$B$14+G5845*Assumptions!$B$13+H5845*Assumptions!$B$12+I5845*Assumptions!$B$11+$O$607+$S$607+Assumptions!$B$9</f>
        <v/>
      </c>
      <c r="L5845">
        <f>B5845-J5845</f>
        <v/>
      </c>
      <c r="M5845">
        <f>IF(K5845&gt;0,IF(L5845/K5845&gt;=Assumptions!$B$37,1,0),0)</f>
        <v/>
      </c>
      <c r="N5845">
        <f>K5845+M5845*Assumptions!$B$153</f>
        <v/>
      </c>
      <c r="O5845">
        <f>L5845+M5845*Assumptions!$B$153*Assumptions!$B$37</f>
        <v/>
      </c>
      <c r="P5845">
        <f>IF(N5845&gt;0,O5845/N5845,0)</f>
        <v/>
      </c>
      <c r="Q5845">
        <f>IF(C5845=1,P5845*$J$607,Assumptions!$B$41)</f>
        <v/>
      </c>
      <c r="R5845">
        <f>IF(D5845=1,P5845*$F$607,Assumptions!$B$33)</f>
        <v/>
      </c>
      <c r="S5845">
        <f>IF(E5845=1,P5845*$G$607,Assumptions!$B$32)</f>
        <v/>
      </c>
      <c r="T5845">
        <f>IF(F5845=1,P5845*Assumptions!$B$14,Assumptions!$B$31)</f>
        <v/>
      </c>
      <c r="U5845">
        <f>IF(G5845=1,P5845*Assumptions!$B$13,Assumptions!$B$30)</f>
        <v/>
      </c>
      <c r="V5845">
        <f>IF(H5845=1,P5845*Assumptions!$B$12,Assumptions!$B$29)</f>
        <v/>
      </c>
      <c r="W5845">
        <f>IF(I5845=1,P5845*Assumptions!$B$11,Assumptions!$B$28)</f>
        <v/>
      </c>
      <c r="X5845">
        <f>P5845*($O$607+$S$607)</f>
        <v/>
      </c>
      <c r="Y5845">
        <f>P5845*Assumptions!$B$9</f>
        <v/>
      </c>
      <c r="Z5845">
        <f>IF(M5845=1,(P5845-Assumptions!$B$37)*Assumptions!$B$153,0)</f>
        <v/>
      </c>
      <c r="AA5845">
        <f>Q5845+R5845+S5845+T5845+U5845+V5845+W5845+X5845+Y5845+Z5845</f>
        <v/>
      </c>
      <c r="AB5845" t="n">
        <v>77</v>
      </c>
      <c r="AC5845" t="n">
        <v>13</v>
      </c>
      <c r="AD5845" t="n">
        <v>109</v>
      </c>
      <c r="AE5845" t="n">
        <v>93</v>
      </c>
      <c r="AF5845" t="n">
        <v>69</v>
      </c>
      <c r="AG5845" t="n">
        <v>73</v>
      </c>
      <c r="AH5845" t="n">
        <v>79</v>
      </c>
      <c r="AI5845" t="n">
        <v>76</v>
      </c>
      <c r="AJ5845">
        <f>INDEX($Q$5768:$Q$5895,AC5845+1)</f>
        <v/>
      </c>
      <c r="AK5845">
        <f>INDEX($R$5768:$R$5895,AD5845+1)</f>
        <v/>
      </c>
      <c r="AL5845">
        <f>INDEX($S$5768:$S$5895,AE5845+1)</f>
        <v/>
      </c>
      <c r="AM5845">
        <f>INDEX($T$5768:$T$5895,AF5845+1)</f>
        <v/>
      </c>
      <c r="AN5845">
        <f>INDEX($U$5768:$U$5895,AG5845+1)</f>
        <v/>
      </c>
      <c r="AO5845">
        <f>INDEX($V$5768:$V$5895,AH5845+1)</f>
        <v/>
      </c>
      <c r="AP5845">
        <f>INDEX($W$5768:$W$5895,AI5845+1)</f>
        <v/>
      </c>
      <c r="AQ5845">
        <f>IF(Q5845&gt;=AJ5845-0.01,1,0)</f>
        <v/>
      </c>
      <c r="AR5845">
        <f>IF(R5845&gt;=AK5845-0.01,1,0)</f>
        <v/>
      </c>
      <c r="AS5845">
        <f>IF(S5845&gt;=AL5845-0.01,1,0)</f>
        <v/>
      </c>
      <c r="AT5845">
        <f>IF(T5845&gt;=AM5845-0.01,1,0)</f>
        <v/>
      </c>
      <c r="AU5845">
        <f>IF(U5845&gt;=AN5845-0.01,1,0)</f>
        <v/>
      </c>
      <c r="AV5845">
        <f>IF(V5845&gt;=AO5845-0.01,1,0)</f>
        <v/>
      </c>
      <c r="AW5845">
        <f>IF(W5845&gt;=AP5845-0.01,1,0)</f>
        <v/>
      </c>
      <c r="AX5845">
        <f>AQ5845*AR5845*AS5845*AT5845*AU5845*AV5845*AW5845</f>
        <v/>
      </c>
    </row>
    <row r="5846">
      <c r="A5846" t="inlineStr"/>
      <c r="B5846">
        <f>Assumptions!$B$60</f>
        <v/>
      </c>
      <c r="C5846" t="n">
        <v>1</v>
      </c>
      <c r="D5846" t="n">
        <v>0</v>
      </c>
      <c r="E5846" t="n">
        <v>0</v>
      </c>
      <c r="F5846" t="n">
        <v>1</v>
      </c>
      <c r="G5846" t="n">
        <v>1</v>
      </c>
      <c r="H5846" t="n">
        <v>1</v>
      </c>
      <c r="I5846" t="n">
        <v>0</v>
      </c>
      <c r="J5846">
        <f>(1-C5846)*Assumptions!$B$41+(1-D5846)*Assumptions!$B$33+(1-E5846)*Assumptions!$B$32+(1-F5846)*Assumptions!$B$31+(1-G5846)*Assumptions!$B$30+(1-H5846)*Assumptions!$B$29+(1-I5846)*Assumptions!$B$28</f>
        <v/>
      </c>
      <c r="K5846">
        <f>C5846*$J$607+D5846*$F$607+E5846*$G$607+F5846*Assumptions!$B$14+G5846*Assumptions!$B$13+H5846*Assumptions!$B$12+I5846*Assumptions!$B$11+$O$607+$S$607+Assumptions!$B$9</f>
        <v/>
      </c>
      <c r="L5846">
        <f>B5846-J5846</f>
        <v/>
      </c>
      <c r="M5846">
        <f>IF(K5846&gt;0,IF(L5846/K5846&gt;=Assumptions!$B$37,1,0),0)</f>
        <v/>
      </c>
      <c r="N5846">
        <f>K5846+M5846*Assumptions!$B$153</f>
        <v/>
      </c>
      <c r="O5846">
        <f>L5846+M5846*Assumptions!$B$153*Assumptions!$B$37</f>
        <v/>
      </c>
      <c r="P5846">
        <f>IF(N5846&gt;0,O5846/N5846,0)</f>
        <v/>
      </c>
      <c r="Q5846">
        <f>IF(C5846=1,P5846*$J$607,Assumptions!$B$41)</f>
        <v/>
      </c>
      <c r="R5846">
        <f>IF(D5846=1,P5846*$F$607,Assumptions!$B$33)</f>
        <v/>
      </c>
      <c r="S5846">
        <f>IF(E5846=1,P5846*$G$607,Assumptions!$B$32)</f>
        <v/>
      </c>
      <c r="T5846">
        <f>IF(F5846=1,P5846*Assumptions!$B$14,Assumptions!$B$31)</f>
        <v/>
      </c>
      <c r="U5846">
        <f>IF(G5846=1,P5846*Assumptions!$B$13,Assumptions!$B$30)</f>
        <v/>
      </c>
      <c r="V5846">
        <f>IF(H5846=1,P5846*Assumptions!$B$12,Assumptions!$B$29)</f>
        <v/>
      </c>
      <c r="W5846">
        <f>IF(I5846=1,P5846*Assumptions!$B$11,Assumptions!$B$28)</f>
        <v/>
      </c>
      <c r="X5846">
        <f>P5846*($O$607+$S$607)</f>
        <v/>
      </c>
      <c r="Y5846">
        <f>P5846*Assumptions!$B$9</f>
        <v/>
      </c>
      <c r="Z5846">
        <f>IF(M5846=1,(P5846-Assumptions!$B$37)*Assumptions!$B$153,0)</f>
        <v/>
      </c>
      <c r="AA5846">
        <f>Q5846+R5846+S5846+T5846+U5846+V5846+W5846+X5846+Y5846+Z5846</f>
        <v/>
      </c>
      <c r="AB5846" t="n">
        <v>78</v>
      </c>
      <c r="AC5846" t="n">
        <v>14</v>
      </c>
      <c r="AD5846" t="n">
        <v>110</v>
      </c>
      <c r="AE5846" t="n">
        <v>94</v>
      </c>
      <c r="AF5846" t="n">
        <v>70</v>
      </c>
      <c r="AG5846" t="n">
        <v>74</v>
      </c>
      <c r="AH5846" t="n">
        <v>76</v>
      </c>
      <c r="AI5846" t="n">
        <v>79</v>
      </c>
      <c r="AJ5846">
        <f>INDEX($Q$5768:$Q$5895,AC5846+1)</f>
        <v/>
      </c>
      <c r="AK5846">
        <f>INDEX($R$5768:$R$5895,AD5846+1)</f>
        <v/>
      </c>
      <c r="AL5846">
        <f>INDEX($S$5768:$S$5895,AE5846+1)</f>
        <v/>
      </c>
      <c r="AM5846">
        <f>INDEX($T$5768:$T$5895,AF5846+1)</f>
        <v/>
      </c>
      <c r="AN5846">
        <f>INDEX($U$5768:$U$5895,AG5846+1)</f>
        <v/>
      </c>
      <c r="AO5846">
        <f>INDEX($V$5768:$V$5895,AH5846+1)</f>
        <v/>
      </c>
      <c r="AP5846">
        <f>INDEX($W$5768:$W$5895,AI5846+1)</f>
        <v/>
      </c>
      <c r="AQ5846">
        <f>IF(Q5846&gt;=AJ5846-0.01,1,0)</f>
        <v/>
      </c>
      <c r="AR5846">
        <f>IF(R5846&gt;=AK5846-0.01,1,0)</f>
        <v/>
      </c>
      <c r="AS5846">
        <f>IF(S5846&gt;=AL5846-0.01,1,0)</f>
        <v/>
      </c>
      <c r="AT5846">
        <f>IF(T5846&gt;=AM5846-0.01,1,0)</f>
        <v/>
      </c>
      <c r="AU5846">
        <f>IF(U5846&gt;=AN5846-0.01,1,0)</f>
        <v/>
      </c>
      <c r="AV5846">
        <f>IF(V5846&gt;=AO5846-0.01,1,0)</f>
        <v/>
      </c>
      <c r="AW5846">
        <f>IF(W5846&gt;=AP5846-0.01,1,0)</f>
        <v/>
      </c>
      <c r="AX5846">
        <f>AQ5846*AR5846*AS5846*AT5846*AU5846*AV5846*AW5846</f>
        <v/>
      </c>
    </row>
    <row r="5847">
      <c r="A5847" t="inlineStr"/>
      <c r="B5847">
        <f>Assumptions!$B$60</f>
        <v/>
      </c>
      <c r="C5847" t="n">
        <v>1</v>
      </c>
      <c r="D5847" t="n">
        <v>0</v>
      </c>
      <c r="E5847" t="n">
        <v>0</v>
      </c>
      <c r="F5847" t="n">
        <v>1</v>
      </c>
      <c r="G5847" t="n">
        <v>1</v>
      </c>
      <c r="H5847" t="n">
        <v>1</v>
      </c>
      <c r="I5847" t="n">
        <v>1</v>
      </c>
      <c r="J5847">
        <f>(1-C5847)*Assumptions!$B$41+(1-D5847)*Assumptions!$B$33+(1-E5847)*Assumptions!$B$32+(1-F5847)*Assumptions!$B$31+(1-G5847)*Assumptions!$B$30+(1-H5847)*Assumptions!$B$29+(1-I5847)*Assumptions!$B$28</f>
        <v/>
      </c>
      <c r="K5847">
        <f>C5847*$J$607+D5847*$F$607+E5847*$G$607+F5847*Assumptions!$B$14+G5847*Assumptions!$B$13+H5847*Assumptions!$B$12+I5847*Assumptions!$B$11+$O$607+$S$607+Assumptions!$B$9</f>
        <v/>
      </c>
      <c r="L5847">
        <f>B5847-J5847</f>
        <v/>
      </c>
      <c r="M5847">
        <f>IF(K5847&gt;0,IF(L5847/K5847&gt;=Assumptions!$B$37,1,0),0)</f>
        <v/>
      </c>
      <c r="N5847">
        <f>K5847+M5847*Assumptions!$B$153</f>
        <v/>
      </c>
      <c r="O5847">
        <f>L5847+M5847*Assumptions!$B$153*Assumptions!$B$37</f>
        <v/>
      </c>
      <c r="P5847">
        <f>IF(N5847&gt;0,O5847/N5847,0)</f>
        <v/>
      </c>
      <c r="Q5847">
        <f>IF(C5847=1,P5847*$J$607,Assumptions!$B$41)</f>
        <v/>
      </c>
      <c r="R5847">
        <f>IF(D5847=1,P5847*$F$607,Assumptions!$B$33)</f>
        <v/>
      </c>
      <c r="S5847">
        <f>IF(E5847=1,P5847*$G$607,Assumptions!$B$32)</f>
        <v/>
      </c>
      <c r="T5847">
        <f>IF(F5847=1,P5847*Assumptions!$B$14,Assumptions!$B$31)</f>
        <v/>
      </c>
      <c r="U5847">
        <f>IF(G5847=1,P5847*Assumptions!$B$13,Assumptions!$B$30)</f>
        <v/>
      </c>
      <c r="V5847">
        <f>IF(H5847=1,P5847*Assumptions!$B$12,Assumptions!$B$29)</f>
        <v/>
      </c>
      <c r="W5847">
        <f>IF(I5847=1,P5847*Assumptions!$B$11,Assumptions!$B$28)</f>
        <v/>
      </c>
      <c r="X5847">
        <f>P5847*($O$607+$S$607)</f>
        <v/>
      </c>
      <c r="Y5847">
        <f>P5847*Assumptions!$B$9</f>
        <v/>
      </c>
      <c r="Z5847">
        <f>IF(M5847=1,(P5847-Assumptions!$B$37)*Assumptions!$B$153,0)</f>
        <v/>
      </c>
      <c r="AA5847">
        <f>Q5847+R5847+S5847+T5847+U5847+V5847+W5847+X5847+Y5847+Z5847</f>
        <v/>
      </c>
      <c r="AB5847" t="n">
        <v>79</v>
      </c>
      <c r="AC5847" t="n">
        <v>15</v>
      </c>
      <c r="AD5847" t="n">
        <v>111</v>
      </c>
      <c r="AE5847" t="n">
        <v>95</v>
      </c>
      <c r="AF5847" t="n">
        <v>71</v>
      </c>
      <c r="AG5847" t="n">
        <v>75</v>
      </c>
      <c r="AH5847" t="n">
        <v>77</v>
      </c>
      <c r="AI5847" t="n">
        <v>78</v>
      </c>
      <c r="AJ5847">
        <f>INDEX($Q$5768:$Q$5895,AC5847+1)</f>
        <v/>
      </c>
      <c r="AK5847">
        <f>INDEX($R$5768:$R$5895,AD5847+1)</f>
        <v/>
      </c>
      <c r="AL5847">
        <f>INDEX($S$5768:$S$5895,AE5847+1)</f>
        <v/>
      </c>
      <c r="AM5847">
        <f>INDEX($T$5768:$T$5895,AF5847+1)</f>
        <v/>
      </c>
      <c r="AN5847">
        <f>INDEX($U$5768:$U$5895,AG5847+1)</f>
        <v/>
      </c>
      <c r="AO5847">
        <f>INDEX($V$5768:$V$5895,AH5847+1)</f>
        <v/>
      </c>
      <c r="AP5847">
        <f>INDEX($W$5768:$W$5895,AI5847+1)</f>
        <v/>
      </c>
      <c r="AQ5847">
        <f>IF(Q5847&gt;=AJ5847-0.01,1,0)</f>
        <v/>
      </c>
      <c r="AR5847">
        <f>IF(R5847&gt;=AK5847-0.01,1,0)</f>
        <v/>
      </c>
      <c r="AS5847">
        <f>IF(S5847&gt;=AL5847-0.01,1,0)</f>
        <v/>
      </c>
      <c r="AT5847">
        <f>IF(T5847&gt;=AM5847-0.01,1,0)</f>
        <v/>
      </c>
      <c r="AU5847">
        <f>IF(U5847&gt;=AN5847-0.01,1,0)</f>
        <v/>
      </c>
      <c r="AV5847">
        <f>IF(V5847&gt;=AO5847-0.01,1,0)</f>
        <v/>
      </c>
      <c r="AW5847">
        <f>IF(W5847&gt;=AP5847-0.01,1,0)</f>
        <v/>
      </c>
      <c r="AX5847">
        <f>AQ5847*AR5847*AS5847*AT5847*AU5847*AV5847*AW5847</f>
        <v/>
      </c>
    </row>
    <row r="5848">
      <c r="A5848" t="inlineStr"/>
      <c r="B5848">
        <f>Assumptions!$B$60</f>
        <v/>
      </c>
      <c r="C5848" t="n">
        <v>1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>
        <f>(1-C5848)*Assumptions!$B$41+(1-D5848)*Assumptions!$B$33+(1-E5848)*Assumptions!$B$32+(1-F5848)*Assumptions!$B$31+(1-G5848)*Assumptions!$B$30+(1-H5848)*Assumptions!$B$29+(1-I5848)*Assumptions!$B$28</f>
        <v/>
      </c>
      <c r="K5848">
        <f>C5848*$J$607+D5848*$F$607+E5848*$G$607+F5848*Assumptions!$B$14+G5848*Assumptions!$B$13+H5848*Assumptions!$B$12+I5848*Assumptions!$B$11+$O$607+$S$607+Assumptions!$B$9</f>
        <v/>
      </c>
      <c r="L5848">
        <f>B5848-J5848</f>
        <v/>
      </c>
      <c r="M5848">
        <f>IF(K5848&gt;0,IF(L5848/K5848&gt;=Assumptions!$B$37,1,0),0)</f>
        <v/>
      </c>
      <c r="N5848">
        <f>K5848+M5848*Assumptions!$B$153</f>
        <v/>
      </c>
      <c r="O5848">
        <f>L5848+M5848*Assumptions!$B$153*Assumptions!$B$37</f>
        <v/>
      </c>
      <c r="P5848">
        <f>IF(N5848&gt;0,O5848/N5848,0)</f>
        <v/>
      </c>
      <c r="Q5848">
        <f>IF(C5848=1,P5848*$J$607,Assumptions!$B$41)</f>
        <v/>
      </c>
      <c r="R5848">
        <f>IF(D5848=1,P5848*$F$607,Assumptions!$B$33)</f>
        <v/>
      </c>
      <c r="S5848">
        <f>IF(E5848=1,P5848*$G$607,Assumptions!$B$32)</f>
        <v/>
      </c>
      <c r="T5848">
        <f>IF(F5848=1,P5848*Assumptions!$B$14,Assumptions!$B$31)</f>
        <v/>
      </c>
      <c r="U5848">
        <f>IF(G5848=1,P5848*Assumptions!$B$13,Assumptions!$B$30)</f>
        <v/>
      </c>
      <c r="V5848">
        <f>IF(H5848=1,P5848*Assumptions!$B$12,Assumptions!$B$29)</f>
        <v/>
      </c>
      <c r="W5848">
        <f>IF(I5848=1,P5848*Assumptions!$B$11,Assumptions!$B$28)</f>
        <v/>
      </c>
      <c r="X5848">
        <f>P5848*($O$607+$S$607)</f>
        <v/>
      </c>
      <c r="Y5848">
        <f>P5848*Assumptions!$B$9</f>
        <v/>
      </c>
      <c r="Z5848">
        <f>IF(M5848=1,(P5848-Assumptions!$B$37)*Assumptions!$B$153,0)</f>
        <v/>
      </c>
      <c r="AA5848">
        <f>Q5848+R5848+S5848+T5848+U5848+V5848+W5848+X5848+Y5848+Z5848</f>
        <v/>
      </c>
      <c r="AB5848" t="n">
        <v>80</v>
      </c>
      <c r="AC5848" t="n">
        <v>16</v>
      </c>
      <c r="AD5848" t="n">
        <v>112</v>
      </c>
      <c r="AE5848" t="n">
        <v>64</v>
      </c>
      <c r="AF5848" t="n">
        <v>88</v>
      </c>
      <c r="AG5848" t="n">
        <v>84</v>
      </c>
      <c r="AH5848" t="n">
        <v>82</v>
      </c>
      <c r="AI5848" t="n">
        <v>81</v>
      </c>
      <c r="AJ5848">
        <f>INDEX($Q$5768:$Q$5895,AC5848+1)</f>
        <v/>
      </c>
      <c r="AK5848">
        <f>INDEX($R$5768:$R$5895,AD5848+1)</f>
        <v/>
      </c>
      <c r="AL5848">
        <f>INDEX($S$5768:$S$5895,AE5848+1)</f>
        <v/>
      </c>
      <c r="AM5848">
        <f>INDEX($T$5768:$T$5895,AF5848+1)</f>
        <v/>
      </c>
      <c r="AN5848">
        <f>INDEX($U$5768:$U$5895,AG5848+1)</f>
        <v/>
      </c>
      <c r="AO5848">
        <f>INDEX($V$5768:$V$5895,AH5848+1)</f>
        <v/>
      </c>
      <c r="AP5848">
        <f>INDEX($W$5768:$W$5895,AI5848+1)</f>
        <v/>
      </c>
      <c r="AQ5848">
        <f>IF(Q5848&gt;=AJ5848-0.01,1,0)</f>
        <v/>
      </c>
      <c r="AR5848">
        <f>IF(R5848&gt;=AK5848-0.01,1,0)</f>
        <v/>
      </c>
      <c r="AS5848">
        <f>IF(S5848&gt;=AL5848-0.01,1,0)</f>
        <v/>
      </c>
      <c r="AT5848">
        <f>IF(T5848&gt;=AM5848-0.01,1,0)</f>
        <v/>
      </c>
      <c r="AU5848">
        <f>IF(U5848&gt;=AN5848-0.01,1,0)</f>
        <v/>
      </c>
      <c r="AV5848">
        <f>IF(V5848&gt;=AO5848-0.01,1,0)</f>
        <v/>
      </c>
      <c r="AW5848">
        <f>IF(W5848&gt;=AP5848-0.01,1,0)</f>
        <v/>
      </c>
      <c r="AX5848">
        <f>AQ5848*AR5848*AS5848*AT5848*AU5848*AV5848*AW5848</f>
        <v/>
      </c>
    </row>
    <row r="5849">
      <c r="A5849" t="inlineStr"/>
      <c r="B5849">
        <f>Assumptions!$B$60</f>
        <v/>
      </c>
      <c r="C5849" t="n">
        <v>1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>
        <f>(1-C5849)*Assumptions!$B$41+(1-D5849)*Assumptions!$B$33+(1-E5849)*Assumptions!$B$32+(1-F5849)*Assumptions!$B$31+(1-G5849)*Assumptions!$B$30+(1-H5849)*Assumptions!$B$29+(1-I5849)*Assumptions!$B$28</f>
        <v/>
      </c>
      <c r="K5849">
        <f>C5849*$J$607+D5849*$F$607+E5849*$G$607+F5849*Assumptions!$B$14+G5849*Assumptions!$B$13+H5849*Assumptions!$B$12+I5849*Assumptions!$B$11+$O$607+$S$607+Assumptions!$B$9</f>
        <v/>
      </c>
      <c r="L5849">
        <f>B5849-J5849</f>
        <v/>
      </c>
      <c r="M5849">
        <f>IF(K5849&gt;0,IF(L5849/K5849&gt;=Assumptions!$B$37,1,0),0)</f>
        <v/>
      </c>
      <c r="N5849">
        <f>K5849+M5849*Assumptions!$B$153</f>
        <v/>
      </c>
      <c r="O5849">
        <f>L5849+M5849*Assumptions!$B$153*Assumptions!$B$37</f>
        <v/>
      </c>
      <c r="P5849">
        <f>IF(N5849&gt;0,O5849/N5849,0)</f>
        <v/>
      </c>
      <c r="Q5849">
        <f>IF(C5849=1,P5849*$J$607,Assumptions!$B$41)</f>
        <v/>
      </c>
      <c r="R5849">
        <f>IF(D5849=1,P5849*$F$607,Assumptions!$B$33)</f>
        <v/>
      </c>
      <c r="S5849">
        <f>IF(E5849=1,P5849*$G$607,Assumptions!$B$32)</f>
        <v/>
      </c>
      <c r="T5849">
        <f>IF(F5849=1,P5849*Assumptions!$B$14,Assumptions!$B$31)</f>
        <v/>
      </c>
      <c r="U5849">
        <f>IF(G5849=1,P5849*Assumptions!$B$13,Assumptions!$B$30)</f>
        <v/>
      </c>
      <c r="V5849">
        <f>IF(H5849=1,P5849*Assumptions!$B$12,Assumptions!$B$29)</f>
        <v/>
      </c>
      <c r="W5849">
        <f>IF(I5849=1,P5849*Assumptions!$B$11,Assumptions!$B$28)</f>
        <v/>
      </c>
      <c r="X5849">
        <f>P5849*($O$607+$S$607)</f>
        <v/>
      </c>
      <c r="Y5849">
        <f>P5849*Assumptions!$B$9</f>
        <v/>
      </c>
      <c r="Z5849">
        <f>IF(M5849=1,(P5849-Assumptions!$B$37)*Assumptions!$B$153,0)</f>
        <v/>
      </c>
      <c r="AA5849">
        <f>Q5849+R5849+S5849+T5849+U5849+V5849+W5849+X5849+Y5849+Z5849</f>
        <v/>
      </c>
      <c r="AB5849" t="n">
        <v>81</v>
      </c>
      <c r="AC5849" t="n">
        <v>17</v>
      </c>
      <c r="AD5849" t="n">
        <v>113</v>
      </c>
      <c r="AE5849" t="n">
        <v>65</v>
      </c>
      <c r="AF5849" t="n">
        <v>89</v>
      </c>
      <c r="AG5849" t="n">
        <v>85</v>
      </c>
      <c r="AH5849" t="n">
        <v>83</v>
      </c>
      <c r="AI5849" t="n">
        <v>80</v>
      </c>
      <c r="AJ5849">
        <f>INDEX($Q$5768:$Q$5895,AC5849+1)</f>
        <v/>
      </c>
      <c r="AK5849">
        <f>INDEX($R$5768:$R$5895,AD5849+1)</f>
        <v/>
      </c>
      <c r="AL5849">
        <f>INDEX($S$5768:$S$5895,AE5849+1)</f>
        <v/>
      </c>
      <c r="AM5849">
        <f>INDEX($T$5768:$T$5895,AF5849+1)</f>
        <v/>
      </c>
      <c r="AN5849">
        <f>INDEX($U$5768:$U$5895,AG5849+1)</f>
        <v/>
      </c>
      <c r="AO5849">
        <f>INDEX($V$5768:$V$5895,AH5849+1)</f>
        <v/>
      </c>
      <c r="AP5849">
        <f>INDEX($W$5768:$W$5895,AI5849+1)</f>
        <v/>
      </c>
      <c r="AQ5849">
        <f>IF(Q5849&gt;=AJ5849-0.01,1,0)</f>
        <v/>
      </c>
      <c r="AR5849">
        <f>IF(R5849&gt;=AK5849-0.01,1,0)</f>
        <v/>
      </c>
      <c r="AS5849">
        <f>IF(S5849&gt;=AL5849-0.01,1,0)</f>
        <v/>
      </c>
      <c r="AT5849">
        <f>IF(T5849&gt;=AM5849-0.01,1,0)</f>
        <v/>
      </c>
      <c r="AU5849">
        <f>IF(U5849&gt;=AN5849-0.01,1,0)</f>
        <v/>
      </c>
      <c r="AV5849">
        <f>IF(V5849&gt;=AO5849-0.01,1,0)</f>
        <v/>
      </c>
      <c r="AW5849">
        <f>IF(W5849&gt;=AP5849-0.01,1,0)</f>
        <v/>
      </c>
      <c r="AX5849">
        <f>AQ5849*AR5849*AS5849*AT5849*AU5849*AV5849*AW5849</f>
        <v/>
      </c>
    </row>
    <row r="5850">
      <c r="A5850" t="inlineStr"/>
      <c r="B5850">
        <f>Assumptions!$B$60</f>
        <v/>
      </c>
      <c r="C5850" t="n">
        <v>1</v>
      </c>
      <c r="D5850" t="n">
        <v>0</v>
      </c>
      <c r="E5850" t="n">
        <v>1</v>
      </c>
      <c r="F5850" t="n">
        <v>0</v>
      </c>
      <c r="G5850" t="n">
        <v>0</v>
      </c>
      <c r="H5850" t="n">
        <v>1</v>
      </c>
      <c r="I5850" t="n">
        <v>0</v>
      </c>
      <c r="J5850">
        <f>(1-C5850)*Assumptions!$B$41+(1-D5850)*Assumptions!$B$33+(1-E5850)*Assumptions!$B$32+(1-F5850)*Assumptions!$B$31+(1-G5850)*Assumptions!$B$30+(1-H5850)*Assumptions!$B$29+(1-I5850)*Assumptions!$B$28</f>
        <v/>
      </c>
      <c r="K5850">
        <f>C5850*$J$607+D5850*$F$607+E5850*$G$607+F5850*Assumptions!$B$14+G5850*Assumptions!$B$13+H5850*Assumptions!$B$12+I5850*Assumptions!$B$11+$O$607+$S$607+Assumptions!$B$9</f>
        <v/>
      </c>
      <c r="L5850">
        <f>B5850-J5850</f>
        <v/>
      </c>
      <c r="M5850">
        <f>IF(K5850&gt;0,IF(L5850/K5850&gt;=Assumptions!$B$37,1,0),0)</f>
        <v/>
      </c>
      <c r="N5850">
        <f>K5850+M5850*Assumptions!$B$153</f>
        <v/>
      </c>
      <c r="O5850">
        <f>L5850+M5850*Assumptions!$B$153*Assumptions!$B$37</f>
        <v/>
      </c>
      <c r="P5850">
        <f>IF(N5850&gt;0,O5850/N5850,0)</f>
        <v/>
      </c>
      <c r="Q5850">
        <f>IF(C5850=1,P5850*$J$607,Assumptions!$B$41)</f>
        <v/>
      </c>
      <c r="R5850">
        <f>IF(D5850=1,P5850*$F$607,Assumptions!$B$33)</f>
        <v/>
      </c>
      <c r="S5850">
        <f>IF(E5850=1,P5850*$G$607,Assumptions!$B$32)</f>
        <v/>
      </c>
      <c r="T5850">
        <f>IF(F5850=1,P5850*Assumptions!$B$14,Assumptions!$B$31)</f>
        <v/>
      </c>
      <c r="U5850">
        <f>IF(G5850=1,P5850*Assumptions!$B$13,Assumptions!$B$30)</f>
        <v/>
      </c>
      <c r="V5850">
        <f>IF(H5850=1,P5850*Assumptions!$B$12,Assumptions!$B$29)</f>
        <v/>
      </c>
      <c r="W5850">
        <f>IF(I5850=1,P5850*Assumptions!$B$11,Assumptions!$B$28)</f>
        <v/>
      </c>
      <c r="X5850">
        <f>P5850*($O$607+$S$607)</f>
        <v/>
      </c>
      <c r="Y5850">
        <f>P5850*Assumptions!$B$9</f>
        <v/>
      </c>
      <c r="Z5850">
        <f>IF(M5850=1,(P5850-Assumptions!$B$37)*Assumptions!$B$153,0)</f>
        <v/>
      </c>
      <c r="AA5850">
        <f>Q5850+R5850+S5850+T5850+U5850+V5850+W5850+X5850+Y5850+Z5850</f>
        <v/>
      </c>
      <c r="AB5850" t="n">
        <v>82</v>
      </c>
      <c r="AC5850" t="n">
        <v>18</v>
      </c>
      <c r="AD5850" t="n">
        <v>114</v>
      </c>
      <c r="AE5850" t="n">
        <v>66</v>
      </c>
      <c r="AF5850" t="n">
        <v>90</v>
      </c>
      <c r="AG5850" t="n">
        <v>86</v>
      </c>
      <c r="AH5850" t="n">
        <v>80</v>
      </c>
      <c r="AI5850" t="n">
        <v>83</v>
      </c>
      <c r="AJ5850">
        <f>INDEX($Q$5768:$Q$5895,AC5850+1)</f>
        <v/>
      </c>
      <c r="AK5850">
        <f>INDEX($R$5768:$R$5895,AD5850+1)</f>
        <v/>
      </c>
      <c r="AL5850">
        <f>INDEX($S$5768:$S$5895,AE5850+1)</f>
        <v/>
      </c>
      <c r="AM5850">
        <f>INDEX($T$5768:$T$5895,AF5850+1)</f>
        <v/>
      </c>
      <c r="AN5850">
        <f>INDEX($U$5768:$U$5895,AG5850+1)</f>
        <v/>
      </c>
      <c r="AO5850">
        <f>INDEX($V$5768:$V$5895,AH5850+1)</f>
        <v/>
      </c>
      <c r="AP5850">
        <f>INDEX($W$5768:$W$5895,AI5850+1)</f>
        <v/>
      </c>
      <c r="AQ5850">
        <f>IF(Q5850&gt;=AJ5850-0.01,1,0)</f>
        <v/>
      </c>
      <c r="AR5850">
        <f>IF(R5850&gt;=AK5850-0.01,1,0)</f>
        <v/>
      </c>
      <c r="AS5850">
        <f>IF(S5850&gt;=AL5850-0.01,1,0)</f>
        <v/>
      </c>
      <c r="AT5850">
        <f>IF(T5850&gt;=AM5850-0.01,1,0)</f>
        <v/>
      </c>
      <c r="AU5850">
        <f>IF(U5850&gt;=AN5850-0.01,1,0)</f>
        <v/>
      </c>
      <c r="AV5850">
        <f>IF(V5850&gt;=AO5850-0.01,1,0)</f>
        <v/>
      </c>
      <c r="AW5850">
        <f>IF(W5850&gt;=AP5850-0.01,1,0)</f>
        <v/>
      </c>
      <c r="AX5850">
        <f>AQ5850*AR5850*AS5850*AT5850*AU5850*AV5850*AW5850</f>
        <v/>
      </c>
    </row>
    <row r="5851">
      <c r="A5851" t="inlineStr"/>
      <c r="B5851">
        <f>Assumptions!$B$60</f>
        <v/>
      </c>
      <c r="C5851" t="n">
        <v>1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1</v>
      </c>
      <c r="J5851">
        <f>(1-C5851)*Assumptions!$B$41+(1-D5851)*Assumptions!$B$33+(1-E5851)*Assumptions!$B$32+(1-F5851)*Assumptions!$B$31+(1-G5851)*Assumptions!$B$30+(1-H5851)*Assumptions!$B$29+(1-I5851)*Assumptions!$B$28</f>
        <v/>
      </c>
      <c r="K5851">
        <f>C5851*$J$607+D5851*$F$607+E5851*$G$607+F5851*Assumptions!$B$14+G5851*Assumptions!$B$13+H5851*Assumptions!$B$12+I5851*Assumptions!$B$11+$O$607+$S$607+Assumptions!$B$9</f>
        <v/>
      </c>
      <c r="L5851">
        <f>B5851-J5851</f>
        <v/>
      </c>
      <c r="M5851">
        <f>IF(K5851&gt;0,IF(L5851/K5851&gt;=Assumptions!$B$37,1,0),0)</f>
        <v/>
      </c>
      <c r="N5851">
        <f>K5851+M5851*Assumptions!$B$153</f>
        <v/>
      </c>
      <c r="O5851">
        <f>L5851+M5851*Assumptions!$B$153*Assumptions!$B$37</f>
        <v/>
      </c>
      <c r="P5851">
        <f>IF(N5851&gt;0,O5851/N5851,0)</f>
        <v/>
      </c>
      <c r="Q5851">
        <f>IF(C5851=1,P5851*$J$607,Assumptions!$B$41)</f>
        <v/>
      </c>
      <c r="R5851">
        <f>IF(D5851=1,P5851*$F$607,Assumptions!$B$33)</f>
        <v/>
      </c>
      <c r="S5851">
        <f>IF(E5851=1,P5851*$G$607,Assumptions!$B$32)</f>
        <v/>
      </c>
      <c r="T5851">
        <f>IF(F5851=1,P5851*Assumptions!$B$14,Assumptions!$B$31)</f>
        <v/>
      </c>
      <c r="U5851">
        <f>IF(G5851=1,P5851*Assumptions!$B$13,Assumptions!$B$30)</f>
        <v/>
      </c>
      <c r="V5851">
        <f>IF(H5851=1,P5851*Assumptions!$B$12,Assumptions!$B$29)</f>
        <v/>
      </c>
      <c r="W5851">
        <f>IF(I5851=1,P5851*Assumptions!$B$11,Assumptions!$B$28)</f>
        <v/>
      </c>
      <c r="X5851">
        <f>P5851*($O$607+$S$607)</f>
        <v/>
      </c>
      <c r="Y5851">
        <f>P5851*Assumptions!$B$9</f>
        <v/>
      </c>
      <c r="Z5851">
        <f>IF(M5851=1,(P5851-Assumptions!$B$37)*Assumptions!$B$153,0)</f>
        <v/>
      </c>
      <c r="AA5851">
        <f>Q5851+R5851+S5851+T5851+U5851+V5851+W5851+X5851+Y5851+Z5851</f>
        <v/>
      </c>
      <c r="AB5851" t="n">
        <v>83</v>
      </c>
      <c r="AC5851" t="n">
        <v>19</v>
      </c>
      <c r="AD5851" t="n">
        <v>115</v>
      </c>
      <c r="AE5851" t="n">
        <v>67</v>
      </c>
      <c r="AF5851" t="n">
        <v>91</v>
      </c>
      <c r="AG5851" t="n">
        <v>87</v>
      </c>
      <c r="AH5851" t="n">
        <v>81</v>
      </c>
      <c r="AI5851" t="n">
        <v>82</v>
      </c>
      <c r="AJ5851">
        <f>INDEX($Q$5768:$Q$5895,AC5851+1)</f>
        <v/>
      </c>
      <c r="AK5851">
        <f>INDEX($R$5768:$R$5895,AD5851+1)</f>
        <v/>
      </c>
      <c r="AL5851">
        <f>INDEX($S$5768:$S$5895,AE5851+1)</f>
        <v/>
      </c>
      <c r="AM5851">
        <f>INDEX($T$5768:$T$5895,AF5851+1)</f>
        <v/>
      </c>
      <c r="AN5851">
        <f>INDEX($U$5768:$U$5895,AG5851+1)</f>
        <v/>
      </c>
      <c r="AO5851">
        <f>INDEX($V$5768:$V$5895,AH5851+1)</f>
        <v/>
      </c>
      <c r="AP5851">
        <f>INDEX($W$5768:$W$5895,AI5851+1)</f>
        <v/>
      </c>
      <c r="AQ5851">
        <f>IF(Q5851&gt;=AJ5851-0.01,1,0)</f>
        <v/>
      </c>
      <c r="AR5851">
        <f>IF(R5851&gt;=AK5851-0.01,1,0)</f>
        <v/>
      </c>
      <c r="AS5851">
        <f>IF(S5851&gt;=AL5851-0.01,1,0)</f>
        <v/>
      </c>
      <c r="AT5851">
        <f>IF(T5851&gt;=AM5851-0.01,1,0)</f>
        <v/>
      </c>
      <c r="AU5851">
        <f>IF(U5851&gt;=AN5851-0.01,1,0)</f>
        <v/>
      </c>
      <c r="AV5851">
        <f>IF(V5851&gt;=AO5851-0.01,1,0)</f>
        <v/>
      </c>
      <c r="AW5851">
        <f>IF(W5851&gt;=AP5851-0.01,1,0)</f>
        <v/>
      </c>
      <c r="AX5851">
        <f>AQ5851*AR5851*AS5851*AT5851*AU5851*AV5851*AW5851</f>
        <v/>
      </c>
    </row>
    <row r="5852">
      <c r="A5852" t="inlineStr"/>
      <c r="B5852">
        <f>Assumptions!$B$60</f>
        <v/>
      </c>
      <c r="C5852" t="n">
        <v>1</v>
      </c>
      <c r="D5852" t="n">
        <v>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>
        <f>(1-C5852)*Assumptions!$B$41+(1-D5852)*Assumptions!$B$33+(1-E5852)*Assumptions!$B$32+(1-F5852)*Assumptions!$B$31+(1-G5852)*Assumptions!$B$30+(1-H5852)*Assumptions!$B$29+(1-I5852)*Assumptions!$B$28</f>
        <v/>
      </c>
      <c r="K5852">
        <f>C5852*$J$607+D5852*$F$607+E5852*$G$607+F5852*Assumptions!$B$14+G5852*Assumptions!$B$13+H5852*Assumptions!$B$12+I5852*Assumptions!$B$11+$O$607+$S$607+Assumptions!$B$9</f>
        <v/>
      </c>
      <c r="L5852">
        <f>B5852-J5852</f>
        <v/>
      </c>
      <c r="M5852">
        <f>IF(K5852&gt;0,IF(L5852/K5852&gt;=Assumptions!$B$37,1,0),0)</f>
        <v/>
      </c>
      <c r="N5852">
        <f>K5852+M5852*Assumptions!$B$153</f>
        <v/>
      </c>
      <c r="O5852">
        <f>L5852+M5852*Assumptions!$B$153*Assumptions!$B$37</f>
        <v/>
      </c>
      <c r="P5852">
        <f>IF(N5852&gt;0,O5852/N5852,0)</f>
        <v/>
      </c>
      <c r="Q5852">
        <f>IF(C5852=1,P5852*$J$607,Assumptions!$B$41)</f>
        <v/>
      </c>
      <c r="R5852">
        <f>IF(D5852=1,P5852*$F$607,Assumptions!$B$33)</f>
        <v/>
      </c>
      <c r="S5852">
        <f>IF(E5852=1,P5852*$G$607,Assumptions!$B$32)</f>
        <v/>
      </c>
      <c r="T5852">
        <f>IF(F5852=1,P5852*Assumptions!$B$14,Assumptions!$B$31)</f>
        <v/>
      </c>
      <c r="U5852">
        <f>IF(G5852=1,P5852*Assumptions!$B$13,Assumptions!$B$30)</f>
        <v/>
      </c>
      <c r="V5852">
        <f>IF(H5852=1,P5852*Assumptions!$B$12,Assumptions!$B$29)</f>
        <v/>
      </c>
      <c r="W5852">
        <f>IF(I5852=1,P5852*Assumptions!$B$11,Assumptions!$B$28)</f>
        <v/>
      </c>
      <c r="X5852">
        <f>P5852*($O$607+$S$607)</f>
        <v/>
      </c>
      <c r="Y5852">
        <f>P5852*Assumptions!$B$9</f>
        <v/>
      </c>
      <c r="Z5852">
        <f>IF(M5852=1,(P5852-Assumptions!$B$37)*Assumptions!$B$153,0)</f>
        <v/>
      </c>
      <c r="AA5852">
        <f>Q5852+R5852+S5852+T5852+U5852+V5852+W5852+X5852+Y5852+Z5852</f>
        <v/>
      </c>
      <c r="AB5852" t="n">
        <v>84</v>
      </c>
      <c r="AC5852" t="n">
        <v>20</v>
      </c>
      <c r="AD5852" t="n">
        <v>116</v>
      </c>
      <c r="AE5852" t="n">
        <v>68</v>
      </c>
      <c r="AF5852" t="n">
        <v>92</v>
      </c>
      <c r="AG5852" t="n">
        <v>80</v>
      </c>
      <c r="AH5852" t="n">
        <v>86</v>
      </c>
      <c r="AI5852" t="n">
        <v>85</v>
      </c>
      <c r="AJ5852">
        <f>INDEX($Q$5768:$Q$5895,AC5852+1)</f>
        <v/>
      </c>
      <c r="AK5852">
        <f>INDEX($R$5768:$R$5895,AD5852+1)</f>
        <v/>
      </c>
      <c r="AL5852">
        <f>INDEX($S$5768:$S$5895,AE5852+1)</f>
        <v/>
      </c>
      <c r="AM5852">
        <f>INDEX($T$5768:$T$5895,AF5852+1)</f>
        <v/>
      </c>
      <c r="AN5852">
        <f>INDEX($U$5768:$U$5895,AG5852+1)</f>
        <v/>
      </c>
      <c r="AO5852">
        <f>INDEX($V$5768:$V$5895,AH5852+1)</f>
        <v/>
      </c>
      <c r="AP5852">
        <f>INDEX($W$5768:$W$5895,AI5852+1)</f>
        <v/>
      </c>
      <c r="AQ5852">
        <f>IF(Q5852&gt;=AJ5852-0.01,1,0)</f>
        <v/>
      </c>
      <c r="AR5852">
        <f>IF(R5852&gt;=AK5852-0.01,1,0)</f>
        <v/>
      </c>
      <c r="AS5852">
        <f>IF(S5852&gt;=AL5852-0.01,1,0)</f>
        <v/>
      </c>
      <c r="AT5852">
        <f>IF(T5852&gt;=AM5852-0.01,1,0)</f>
        <v/>
      </c>
      <c r="AU5852">
        <f>IF(U5852&gt;=AN5852-0.01,1,0)</f>
        <v/>
      </c>
      <c r="AV5852">
        <f>IF(V5852&gt;=AO5852-0.01,1,0)</f>
        <v/>
      </c>
      <c r="AW5852">
        <f>IF(W5852&gt;=AP5852-0.01,1,0)</f>
        <v/>
      </c>
      <c r="AX5852">
        <f>AQ5852*AR5852*AS5852*AT5852*AU5852*AV5852*AW5852</f>
        <v/>
      </c>
    </row>
    <row r="5853">
      <c r="A5853" t="inlineStr"/>
      <c r="B5853">
        <f>Assumptions!$B$60</f>
        <v/>
      </c>
      <c r="C5853" t="n">
        <v>1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1</v>
      </c>
      <c r="J5853">
        <f>(1-C5853)*Assumptions!$B$41+(1-D5853)*Assumptions!$B$33+(1-E5853)*Assumptions!$B$32+(1-F5853)*Assumptions!$B$31+(1-G5853)*Assumptions!$B$30+(1-H5853)*Assumptions!$B$29+(1-I5853)*Assumptions!$B$28</f>
        <v/>
      </c>
      <c r="K5853">
        <f>C5853*$J$607+D5853*$F$607+E5853*$G$607+F5853*Assumptions!$B$14+G5853*Assumptions!$B$13+H5853*Assumptions!$B$12+I5853*Assumptions!$B$11+$O$607+$S$607+Assumptions!$B$9</f>
        <v/>
      </c>
      <c r="L5853">
        <f>B5853-J5853</f>
        <v/>
      </c>
      <c r="M5853">
        <f>IF(K5853&gt;0,IF(L5853/K5853&gt;=Assumptions!$B$37,1,0),0)</f>
        <v/>
      </c>
      <c r="N5853">
        <f>K5853+M5853*Assumptions!$B$153</f>
        <v/>
      </c>
      <c r="O5853">
        <f>L5853+M5853*Assumptions!$B$153*Assumptions!$B$37</f>
        <v/>
      </c>
      <c r="P5853">
        <f>IF(N5853&gt;0,O5853/N5853,0)</f>
        <v/>
      </c>
      <c r="Q5853">
        <f>IF(C5853=1,P5853*$J$607,Assumptions!$B$41)</f>
        <v/>
      </c>
      <c r="R5853">
        <f>IF(D5853=1,P5853*$F$607,Assumptions!$B$33)</f>
        <v/>
      </c>
      <c r="S5853">
        <f>IF(E5853=1,P5853*$G$607,Assumptions!$B$32)</f>
        <v/>
      </c>
      <c r="T5853">
        <f>IF(F5853=1,P5853*Assumptions!$B$14,Assumptions!$B$31)</f>
        <v/>
      </c>
      <c r="U5853">
        <f>IF(G5853=1,P5853*Assumptions!$B$13,Assumptions!$B$30)</f>
        <v/>
      </c>
      <c r="V5853">
        <f>IF(H5853=1,P5853*Assumptions!$B$12,Assumptions!$B$29)</f>
        <v/>
      </c>
      <c r="W5853">
        <f>IF(I5853=1,P5853*Assumptions!$B$11,Assumptions!$B$28)</f>
        <v/>
      </c>
      <c r="X5853">
        <f>P5853*($O$607+$S$607)</f>
        <v/>
      </c>
      <c r="Y5853">
        <f>P5853*Assumptions!$B$9</f>
        <v/>
      </c>
      <c r="Z5853">
        <f>IF(M5853=1,(P5853-Assumptions!$B$37)*Assumptions!$B$153,0)</f>
        <v/>
      </c>
      <c r="AA5853">
        <f>Q5853+R5853+S5853+T5853+U5853+V5853+W5853+X5853+Y5853+Z5853</f>
        <v/>
      </c>
      <c r="AB5853" t="n">
        <v>85</v>
      </c>
      <c r="AC5853" t="n">
        <v>21</v>
      </c>
      <c r="AD5853" t="n">
        <v>117</v>
      </c>
      <c r="AE5853" t="n">
        <v>69</v>
      </c>
      <c r="AF5853" t="n">
        <v>93</v>
      </c>
      <c r="AG5853" t="n">
        <v>81</v>
      </c>
      <c r="AH5853" t="n">
        <v>87</v>
      </c>
      <c r="AI5853" t="n">
        <v>84</v>
      </c>
      <c r="AJ5853">
        <f>INDEX($Q$5768:$Q$5895,AC5853+1)</f>
        <v/>
      </c>
      <c r="AK5853">
        <f>INDEX($R$5768:$R$5895,AD5853+1)</f>
        <v/>
      </c>
      <c r="AL5853">
        <f>INDEX($S$5768:$S$5895,AE5853+1)</f>
        <v/>
      </c>
      <c r="AM5853">
        <f>INDEX($T$5768:$T$5895,AF5853+1)</f>
        <v/>
      </c>
      <c r="AN5853">
        <f>INDEX($U$5768:$U$5895,AG5853+1)</f>
        <v/>
      </c>
      <c r="AO5853">
        <f>INDEX($V$5768:$V$5895,AH5853+1)</f>
        <v/>
      </c>
      <c r="AP5853">
        <f>INDEX($W$5768:$W$5895,AI5853+1)</f>
        <v/>
      </c>
      <c r="AQ5853">
        <f>IF(Q5853&gt;=AJ5853-0.01,1,0)</f>
        <v/>
      </c>
      <c r="AR5853">
        <f>IF(R5853&gt;=AK5853-0.01,1,0)</f>
        <v/>
      </c>
      <c r="AS5853">
        <f>IF(S5853&gt;=AL5853-0.01,1,0)</f>
        <v/>
      </c>
      <c r="AT5853">
        <f>IF(T5853&gt;=AM5853-0.01,1,0)</f>
        <v/>
      </c>
      <c r="AU5853">
        <f>IF(U5853&gt;=AN5853-0.01,1,0)</f>
        <v/>
      </c>
      <c r="AV5853">
        <f>IF(V5853&gt;=AO5853-0.01,1,0)</f>
        <v/>
      </c>
      <c r="AW5853">
        <f>IF(W5853&gt;=AP5853-0.01,1,0)</f>
        <v/>
      </c>
      <c r="AX5853">
        <f>AQ5853*AR5853*AS5853*AT5853*AU5853*AV5853*AW5853</f>
        <v/>
      </c>
    </row>
    <row r="5854">
      <c r="A5854" t="inlineStr"/>
      <c r="B5854">
        <f>Assumptions!$B$60</f>
        <v/>
      </c>
      <c r="C5854" t="n">
        <v>1</v>
      </c>
      <c r="D5854" t="n">
        <v>0</v>
      </c>
      <c r="E5854" t="n">
        <v>1</v>
      </c>
      <c r="F5854" t="n">
        <v>0</v>
      </c>
      <c r="G5854" t="n">
        <v>1</v>
      </c>
      <c r="H5854" t="n">
        <v>1</v>
      </c>
      <c r="I5854" t="n">
        <v>0</v>
      </c>
      <c r="J5854">
        <f>(1-C5854)*Assumptions!$B$41+(1-D5854)*Assumptions!$B$33+(1-E5854)*Assumptions!$B$32+(1-F5854)*Assumptions!$B$31+(1-G5854)*Assumptions!$B$30+(1-H5854)*Assumptions!$B$29+(1-I5854)*Assumptions!$B$28</f>
        <v/>
      </c>
      <c r="K5854">
        <f>C5854*$J$607+D5854*$F$607+E5854*$G$607+F5854*Assumptions!$B$14+G5854*Assumptions!$B$13+H5854*Assumptions!$B$12+I5854*Assumptions!$B$11+$O$607+$S$607+Assumptions!$B$9</f>
        <v/>
      </c>
      <c r="L5854">
        <f>B5854-J5854</f>
        <v/>
      </c>
      <c r="M5854">
        <f>IF(K5854&gt;0,IF(L5854/K5854&gt;=Assumptions!$B$37,1,0),0)</f>
        <v/>
      </c>
      <c r="N5854">
        <f>K5854+M5854*Assumptions!$B$153</f>
        <v/>
      </c>
      <c r="O5854">
        <f>L5854+M5854*Assumptions!$B$153*Assumptions!$B$37</f>
        <v/>
      </c>
      <c r="P5854">
        <f>IF(N5854&gt;0,O5854/N5854,0)</f>
        <v/>
      </c>
      <c r="Q5854">
        <f>IF(C5854=1,P5854*$J$607,Assumptions!$B$41)</f>
        <v/>
      </c>
      <c r="R5854">
        <f>IF(D5854=1,P5854*$F$607,Assumptions!$B$33)</f>
        <v/>
      </c>
      <c r="S5854">
        <f>IF(E5854=1,P5854*$G$607,Assumptions!$B$32)</f>
        <v/>
      </c>
      <c r="T5854">
        <f>IF(F5854=1,P5854*Assumptions!$B$14,Assumptions!$B$31)</f>
        <v/>
      </c>
      <c r="U5854">
        <f>IF(G5854=1,P5854*Assumptions!$B$13,Assumptions!$B$30)</f>
        <v/>
      </c>
      <c r="V5854">
        <f>IF(H5854=1,P5854*Assumptions!$B$12,Assumptions!$B$29)</f>
        <v/>
      </c>
      <c r="W5854">
        <f>IF(I5854=1,P5854*Assumptions!$B$11,Assumptions!$B$28)</f>
        <v/>
      </c>
      <c r="X5854">
        <f>P5854*($O$607+$S$607)</f>
        <v/>
      </c>
      <c r="Y5854">
        <f>P5854*Assumptions!$B$9</f>
        <v/>
      </c>
      <c r="Z5854">
        <f>IF(M5854=1,(P5854-Assumptions!$B$37)*Assumptions!$B$153,0)</f>
        <v/>
      </c>
      <c r="AA5854">
        <f>Q5854+R5854+S5854+T5854+U5854+V5854+W5854+X5854+Y5854+Z5854</f>
        <v/>
      </c>
      <c r="AB5854" t="n">
        <v>86</v>
      </c>
      <c r="AC5854" t="n">
        <v>22</v>
      </c>
      <c r="AD5854" t="n">
        <v>118</v>
      </c>
      <c r="AE5854" t="n">
        <v>70</v>
      </c>
      <c r="AF5854" t="n">
        <v>94</v>
      </c>
      <c r="AG5854" t="n">
        <v>82</v>
      </c>
      <c r="AH5854" t="n">
        <v>84</v>
      </c>
      <c r="AI5854" t="n">
        <v>87</v>
      </c>
      <c r="AJ5854">
        <f>INDEX($Q$5768:$Q$5895,AC5854+1)</f>
        <v/>
      </c>
      <c r="AK5854">
        <f>INDEX($R$5768:$R$5895,AD5854+1)</f>
        <v/>
      </c>
      <c r="AL5854">
        <f>INDEX($S$5768:$S$5895,AE5854+1)</f>
        <v/>
      </c>
      <c r="AM5854">
        <f>INDEX($T$5768:$T$5895,AF5854+1)</f>
        <v/>
      </c>
      <c r="AN5854">
        <f>INDEX($U$5768:$U$5895,AG5854+1)</f>
        <v/>
      </c>
      <c r="AO5854">
        <f>INDEX($V$5768:$V$5895,AH5854+1)</f>
        <v/>
      </c>
      <c r="AP5854">
        <f>INDEX($W$5768:$W$5895,AI5854+1)</f>
        <v/>
      </c>
      <c r="AQ5854">
        <f>IF(Q5854&gt;=AJ5854-0.01,1,0)</f>
        <v/>
      </c>
      <c r="AR5854">
        <f>IF(R5854&gt;=AK5854-0.01,1,0)</f>
        <v/>
      </c>
      <c r="AS5854">
        <f>IF(S5854&gt;=AL5854-0.01,1,0)</f>
        <v/>
      </c>
      <c r="AT5854">
        <f>IF(T5854&gt;=AM5854-0.01,1,0)</f>
        <v/>
      </c>
      <c r="AU5854">
        <f>IF(U5854&gt;=AN5854-0.01,1,0)</f>
        <v/>
      </c>
      <c r="AV5854">
        <f>IF(V5854&gt;=AO5854-0.01,1,0)</f>
        <v/>
      </c>
      <c r="AW5854">
        <f>IF(W5854&gt;=AP5854-0.01,1,0)</f>
        <v/>
      </c>
      <c r="AX5854">
        <f>AQ5854*AR5854*AS5854*AT5854*AU5854*AV5854*AW5854</f>
        <v/>
      </c>
    </row>
    <row r="5855">
      <c r="A5855" t="inlineStr"/>
      <c r="B5855">
        <f>Assumptions!$B$60</f>
        <v/>
      </c>
      <c r="C5855" t="n">
        <v>1</v>
      </c>
      <c r="D5855" t="n">
        <v>0</v>
      </c>
      <c r="E5855" t="n">
        <v>1</v>
      </c>
      <c r="F5855" t="n">
        <v>0</v>
      </c>
      <c r="G5855" t="n">
        <v>1</v>
      </c>
      <c r="H5855" t="n">
        <v>1</v>
      </c>
      <c r="I5855" t="n">
        <v>1</v>
      </c>
      <c r="J5855">
        <f>(1-C5855)*Assumptions!$B$41+(1-D5855)*Assumptions!$B$33+(1-E5855)*Assumptions!$B$32+(1-F5855)*Assumptions!$B$31+(1-G5855)*Assumptions!$B$30+(1-H5855)*Assumptions!$B$29+(1-I5855)*Assumptions!$B$28</f>
        <v/>
      </c>
      <c r="K5855">
        <f>C5855*$J$607+D5855*$F$607+E5855*$G$607+F5855*Assumptions!$B$14+G5855*Assumptions!$B$13+H5855*Assumptions!$B$12+I5855*Assumptions!$B$11+$O$607+$S$607+Assumptions!$B$9</f>
        <v/>
      </c>
      <c r="L5855">
        <f>B5855-J5855</f>
        <v/>
      </c>
      <c r="M5855">
        <f>IF(K5855&gt;0,IF(L5855/K5855&gt;=Assumptions!$B$37,1,0),0)</f>
        <v/>
      </c>
      <c r="N5855">
        <f>K5855+M5855*Assumptions!$B$153</f>
        <v/>
      </c>
      <c r="O5855">
        <f>L5855+M5855*Assumptions!$B$153*Assumptions!$B$37</f>
        <v/>
      </c>
      <c r="P5855">
        <f>IF(N5855&gt;0,O5855/N5855,0)</f>
        <v/>
      </c>
      <c r="Q5855">
        <f>IF(C5855=1,P5855*$J$607,Assumptions!$B$41)</f>
        <v/>
      </c>
      <c r="R5855">
        <f>IF(D5855=1,P5855*$F$607,Assumptions!$B$33)</f>
        <v/>
      </c>
      <c r="S5855">
        <f>IF(E5855=1,P5855*$G$607,Assumptions!$B$32)</f>
        <v/>
      </c>
      <c r="T5855">
        <f>IF(F5855=1,P5855*Assumptions!$B$14,Assumptions!$B$31)</f>
        <v/>
      </c>
      <c r="U5855">
        <f>IF(G5855=1,P5855*Assumptions!$B$13,Assumptions!$B$30)</f>
        <v/>
      </c>
      <c r="V5855">
        <f>IF(H5855=1,P5855*Assumptions!$B$12,Assumptions!$B$29)</f>
        <v/>
      </c>
      <c r="W5855">
        <f>IF(I5855=1,P5855*Assumptions!$B$11,Assumptions!$B$28)</f>
        <v/>
      </c>
      <c r="X5855">
        <f>P5855*($O$607+$S$607)</f>
        <v/>
      </c>
      <c r="Y5855">
        <f>P5855*Assumptions!$B$9</f>
        <v/>
      </c>
      <c r="Z5855">
        <f>IF(M5855=1,(P5855-Assumptions!$B$37)*Assumptions!$B$153,0)</f>
        <v/>
      </c>
      <c r="AA5855">
        <f>Q5855+R5855+S5855+T5855+U5855+V5855+W5855+X5855+Y5855+Z5855</f>
        <v/>
      </c>
      <c r="AB5855" t="n">
        <v>87</v>
      </c>
      <c r="AC5855" t="n">
        <v>23</v>
      </c>
      <c r="AD5855" t="n">
        <v>119</v>
      </c>
      <c r="AE5855" t="n">
        <v>71</v>
      </c>
      <c r="AF5855" t="n">
        <v>95</v>
      </c>
      <c r="AG5855" t="n">
        <v>83</v>
      </c>
      <c r="AH5855" t="n">
        <v>85</v>
      </c>
      <c r="AI5855" t="n">
        <v>86</v>
      </c>
      <c r="AJ5855">
        <f>INDEX($Q$5768:$Q$5895,AC5855+1)</f>
        <v/>
      </c>
      <c r="AK5855">
        <f>INDEX($R$5768:$R$5895,AD5855+1)</f>
        <v/>
      </c>
      <c r="AL5855">
        <f>INDEX($S$5768:$S$5895,AE5855+1)</f>
        <v/>
      </c>
      <c r="AM5855">
        <f>INDEX($T$5768:$T$5895,AF5855+1)</f>
        <v/>
      </c>
      <c r="AN5855">
        <f>INDEX($U$5768:$U$5895,AG5855+1)</f>
        <v/>
      </c>
      <c r="AO5855">
        <f>INDEX($V$5768:$V$5895,AH5855+1)</f>
        <v/>
      </c>
      <c r="AP5855">
        <f>INDEX($W$5768:$W$5895,AI5855+1)</f>
        <v/>
      </c>
      <c r="AQ5855">
        <f>IF(Q5855&gt;=AJ5855-0.01,1,0)</f>
        <v/>
      </c>
      <c r="AR5855">
        <f>IF(R5855&gt;=AK5855-0.01,1,0)</f>
        <v/>
      </c>
      <c r="AS5855">
        <f>IF(S5855&gt;=AL5855-0.01,1,0)</f>
        <v/>
      </c>
      <c r="AT5855">
        <f>IF(T5855&gt;=AM5855-0.01,1,0)</f>
        <v/>
      </c>
      <c r="AU5855">
        <f>IF(U5855&gt;=AN5855-0.01,1,0)</f>
        <v/>
      </c>
      <c r="AV5855">
        <f>IF(V5855&gt;=AO5855-0.01,1,0)</f>
        <v/>
      </c>
      <c r="AW5855">
        <f>IF(W5855&gt;=AP5855-0.01,1,0)</f>
        <v/>
      </c>
      <c r="AX5855">
        <f>AQ5855*AR5855*AS5855*AT5855*AU5855*AV5855*AW5855</f>
        <v/>
      </c>
    </row>
    <row r="5856">
      <c r="A5856" t="inlineStr"/>
      <c r="B5856">
        <f>Assumptions!$B$60</f>
        <v/>
      </c>
      <c r="C5856" t="n">
        <v>1</v>
      </c>
      <c r="D5856" t="n">
        <v>0</v>
      </c>
      <c r="E5856" t="n">
        <v>1</v>
      </c>
      <c r="F5856" t="n">
        <v>1</v>
      </c>
      <c r="G5856" t="n">
        <v>0</v>
      </c>
      <c r="H5856" t="n">
        <v>0</v>
      </c>
      <c r="I5856" t="n">
        <v>0</v>
      </c>
      <c r="J5856">
        <f>(1-C5856)*Assumptions!$B$41+(1-D5856)*Assumptions!$B$33+(1-E5856)*Assumptions!$B$32+(1-F5856)*Assumptions!$B$31+(1-G5856)*Assumptions!$B$30+(1-H5856)*Assumptions!$B$29+(1-I5856)*Assumptions!$B$28</f>
        <v/>
      </c>
      <c r="K5856">
        <f>C5856*$J$607+D5856*$F$607+E5856*$G$607+F5856*Assumptions!$B$14+G5856*Assumptions!$B$13+H5856*Assumptions!$B$12+I5856*Assumptions!$B$11+$O$607+$S$607+Assumptions!$B$9</f>
        <v/>
      </c>
      <c r="L5856">
        <f>B5856-J5856</f>
        <v/>
      </c>
      <c r="M5856">
        <f>IF(K5856&gt;0,IF(L5856/K5856&gt;=Assumptions!$B$37,1,0),0)</f>
        <v/>
      </c>
      <c r="N5856">
        <f>K5856+M5856*Assumptions!$B$153</f>
        <v/>
      </c>
      <c r="O5856">
        <f>L5856+M5856*Assumptions!$B$153*Assumptions!$B$37</f>
        <v/>
      </c>
      <c r="P5856">
        <f>IF(N5856&gt;0,O5856/N5856,0)</f>
        <v/>
      </c>
      <c r="Q5856">
        <f>IF(C5856=1,P5856*$J$607,Assumptions!$B$41)</f>
        <v/>
      </c>
      <c r="R5856">
        <f>IF(D5856=1,P5856*$F$607,Assumptions!$B$33)</f>
        <v/>
      </c>
      <c r="S5856">
        <f>IF(E5856=1,P5856*$G$607,Assumptions!$B$32)</f>
        <v/>
      </c>
      <c r="T5856">
        <f>IF(F5856=1,P5856*Assumptions!$B$14,Assumptions!$B$31)</f>
        <v/>
      </c>
      <c r="U5856">
        <f>IF(G5856=1,P5856*Assumptions!$B$13,Assumptions!$B$30)</f>
        <v/>
      </c>
      <c r="V5856">
        <f>IF(H5856=1,P5856*Assumptions!$B$12,Assumptions!$B$29)</f>
        <v/>
      </c>
      <c r="W5856">
        <f>IF(I5856=1,P5856*Assumptions!$B$11,Assumptions!$B$28)</f>
        <v/>
      </c>
      <c r="X5856">
        <f>P5856*($O$607+$S$607)</f>
        <v/>
      </c>
      <c r="Y5856">
        <f>P5856*Assumptions!$B$9</f>
        <v/>
      </c>
      <c r="Z5856">
        <f>IF(M5856=1,(P5856-Assumptions!$B$37)*Assumptions!$B$153,0)</f>
        <v/>
      </c>
      <c r="AA5856">
        <f>Q5856+R5856+S5856+T5856+U5856+V5856+W5856+X5856+Y5856+Z5856</f>
        <v/>
      </c>
      <c r="AB5856" t="n">
        <v>88</v>
      </c>
      <c r="AC5856" t="n">
        <v>24</v>
      </c>
      <c r="AD5856" t="n">
        <v>120</v>
      </c>
      <c r="AE5856" t="n">
        <v>72</v>
      </c>
      <c r="AF5856" t="n">
        <v>80</v>
      </c>
      <c r="AG5856" t="n">
        <v>92</v>
      </c>
      <c r="AH5856" t="n">
        <v>90</v>
      </c>
      <c r="AI5856" t="n">
        <v>89</v>
      </c>
      <c r="AJ5856">
        <f>INDEX($Q$5768:$Q$5895,AC5856+1)</f>
        <v/>
      </c>
      <c r="AK5856">
        <f>INDEX($R$5768:$R$5895,AD5856+1)</f>
        <v/>
      </c>
      <c r="AL5856">
        <f>INDEX($S$5768:$S$5895,AE5856+1)</f>
        <v/>
      </c>
      <c r="AM5856">
        <f>INDEX($T$5768:$T$5895,AF5856+1)</f>
        <v/>
      </c>
      <c r="AN5856">
        <f>INDEX($U$5768:$U$5895,AG5856+1)</f>
        <v/>
      </c>
      <c r="AO5856">
        <f>INDEX($V$5768:$V$5895,AH5856+1)</f>
        <v/>
      </c>
      <c r="AP5856">
        <f>INDEX($W$5768:$W$5895,AI5856+1)</f>
        <v/>
      </c>
      <c r="AQ5856">
        <f>IF(Q5856&gt;=AJ5856-0.01,1,0)</f>
        <v/>
      </c>
      <c r="AR5856">
        <f>IF(R5856&gt;=AK5856-0.01,1,0)</f>
        <v/>
      </c>
      <c r="AS5856">
        <f>IF(S5856&gt;=AL5856-0.01,1,0)</f>
        <v/>
      </c>
      <c r="AT5856">
        <f>IF(T5856&gt;=AM5856-0.01,1,0)</f>
        <v/>
      </c>
      <c r="AU5856">
        <f>IF(U5856&gt;=AN5856-0.01,1,0)</f>
        <v/>
      </c>
      <c r="AV5856">
        <f>IF(V5856&gt;=AO5856-0.01,1,0)</f>
        <v/>
      </c>
      <c r="AW5856">
        <f>IF(W5856&gt;=AP5856-0.01,1,0)</f>
        <v/>
      </c>
      <c r="AX5856">
        <f>AQ5856*AR5856*AS5856*AT5856*AU5856*AV5856*AW5856</f>
        <v/>
      </c>
    </row>
    <row r="5857">
      <c r="A5857" t="inlineStr"/>
      <c r="B5857">
        <f>Assumptions!$B$60</f>
        <v/>
      </c>
      <c r="C5857" t="n">
        <v>1</v>
      </c>
      <c r="D5857" t="n">
        <v>0</v>
      </c>
      <c r="E5857" t="n">
        <v>1</v>
      </c>
      <c r="F5857" t="n">
        <v>1</v>
      </c>
      <c r="G5857" t="n">
        <v>0</v>
      </c>
      <c r="H5857" t="n">
        <v>0</v>
      </c>
      <c r="I5857" t="n">
        <v>1</v>
      </c>
      <c r="J5857">
        <f>(1-C5857)*Assumptions!$B$41+(1-D5857)*Assumptions!$B$33+(1-E5857)*Assumptions!$B$32+(1-F5857)*Assumptions!$B$31+(1-G5857)*Assumptions!$B$30+(1-H5857)*Assumptions!$B$29+(1-I5857)*Assumptions!$B$28</f>
        <v/>
      </c>
      <c r="K5857">
        <f>C5857*$J$607+D5857*$F$607+E5857*$G$607+F5857*Assumptions!$B$14+G5857*Assumptions!$B$13+H5857*Assumptions!$B$12+I5857*Assumptions!$B$11+$O$607+$S$607+Assumptions!$B$9</f>
        <v/>
      </c>
      <c r="L5857">
        <f>B5857-J5857</f>
        <v/>
      </c>
      <c r="M5857">
        <f>IF(K5857&gt;0,IF(L5857/K5857&gt;=Assumptions!$B$37,1,0),0)</f>
        <v/>
      </c>
      <c r="N5857">
        <f>K5857+M5857*Assumptions!$B$153</f>
        <v/>
      </c>
      <c r="O5857">
        <f>L5857+M5857*Assumptions!$B$153*Assumptions!$B$37</f>
        <v/>
      </c>
      <c r="P5857">
        <f>IF(N5857&gt;0,O5857/N5857,0)</f>
        <v/>
      </c>
      <c r="Q5857">
        <f>IF(C5857=1,P5857*$J$607,Assumptions!$B$41)</f>
        <v/>
      </c>
      <c r="R5857">
        <f>IF(D5857=1,P5857*$F$607,Assumptions!$B$33)</f>
        <v/>
      </c>
      <c r="S5857">
        <f>IF(E5857=1,P5857*$G$607,Assumptions!$B$32)</f>
        <v/>
      </c>
      <c r="T5857">
        <f>IF(F5857=1,P5857*Assumptions!$B$14,Assumptions!$B$31)</f>
        <v/>
      </c>
      <c r="U5857">
        <f>IF(G5857=1,P5857*Assumptions!$B$13,Assumptions!$B$30)</f>
        <v/>
      </c>
      <c r="V5857">
        <f>IF(H5857=1,P5857*Assumptions!$B$12,Assumptions!$B$29)</f>
        <v/>
      </c>
      <c r="W5857">
        <f>IF(I5857=1,P5857*Assumptions!$B$11,Assumptions!$B$28)</f>
        <v/>
      </c>
      <c r="X5857">
        <f>P5857*($O$607+$S$607)</f>
        <v/>
      </c>
      <c r="Y5857">
        <f>P5857*Assumptions!$B$9</f>
        <v/>
      </c>
      <c r="Z5857">
        <f>IF(M5857=1,(P5857-Assumptions!$B$37)*Assumptions!$B$153,0)</f>
        <v/>
      </c>
      <c r="AA5857">
        <f>Q5857+R5857+S5857+T5857+U5857+V5857+W5857+X5857+Y5857+Z5857</f>
        <v/>
      </c>
      <c r="AB5857" t="n">
        <v>89</v>
      </c>
      <c r="AC5857" t="n">
        <v>25</v>
      </c>
      <c r="AD5857" t="n">
        <v>121</v>
      </c>
      <c r="AE5857" t="n">
        <v>73</v>
      </c>
      <c r="AF5857" t="n">
        <v>81</v>
      </c>
      <c r="AG5857" t="n">
        <v>93</v>
      </c>
      <c r="AH5857" t="n">
        <v>91</v>
      </c>
      <c r="AI5857" t="n">
        <v>88</v>
      </c>
      <c r="AJ5857">
        <f>INDEX($Q$5768:$Q$5895,AC5857+1)</f>
        <v/>
      </c>
      <c r="AK5857">
        <f>INDEX($R$5768:$R$5895,AD5857+1)</f>
        <v/>
      </c>
      <c r="AL5857">
        <f>INDEX($S$5768:$S$5895,AE5857+1)</f>
        <v/>
      </c>
      <c r="AM5857">
        <f>INDEX($T$5768:$T$5895,AF5857+1)</f>
        <v/>
      </c>
      <c r="AN5857">
        <f>INDEX($U$5768:$U$5895,AG5857+1)</f>
        <v/>
      </c>
      <c r="AO5857">
        <f>INDEX($V$5768:$V$5895,AH5857+1)</f>
        <v/>
      </c>
      <c r="AP5857">
        <f>INDEX($W$5768:$W$5895,AI5857+1)</f>
        <v/>
      </c>
      <c r="AQ5857">
        <f>IF(Q5857&gt;=AJ5857-0.01,1,0)</f>
        <v/>
      </c>
      <c r="AR5857">
        <f>IF(R5857&gt;=AK5857-0.01,1,0)</f>
        <v/>
      </c>
      <c r="AS5857">
        <f>IF(S5857&gt;=AL5857-0.01,1,0)</f>
        <v/>
      </c>
      <c r="AT5857">
        <f>IF(T5857&gt;=AM5857-0.01,1,0)</f>
        <v/>
      </c>
      <c r="AU5857">
        <f>IF(U5857&gt;=AN5857-0.01,1,0)</f>
        <v/>
      </c>
      <c r="AV5857">
        <f>IF(V5857&gt;=AO5857-0.01,1,0)</f>
        <v/>
      </c>
      <c r="AW5857">
        <f>IF(W5857&gt;=AP5857-0.01,1,0)</f>
        <v/>
      </c>
      <c r="AX5857">
        <f>AQ5857*AR5857*AS5857*AT5857*AU5857*AV5857*AW5857</f>
        <v/>
      </c>
    </row>
    <row r="5858">
      <c r="A5858" t="inlineStr"/>
      <c r="B5858">
        <f>Assumptions!$B$60</f>
        <v/>
      </c>
      <c r="C5858" t="n">
        <v>1</v>
      </c>
      <c r="D5858" t="n">
        <v>0</v>
      </c>
      <c r="E5858" t="n">
        <v>1</v>
      </c>
      <c r="F5858" t="n">
        <v>1</v>
      </c>
      <c r="G5858" t="n">
        <v>0</v>
      </c>
      <c r="H5858" t="n">
        <v>1</v>
      </c>
      <c r="I5858" t="n">
        <v>0</v>
      </c>
      <c r="J5858">
        <f>(1-C5858)*Assumptions!$B$41+(1-D5858)*Assumptions!$B$33+(1-E5858)*Assumptions!$B$32+(1-F5858)*Assumptions!$B$31+(1-G5858)*Assumptions!$B$30+(1-H5858)*Assumptions!$B$29+(1-I5858)*Assumptions!$B$28</f>
        <v/>
      </c>
      <c r="K5858">
        <f>C5858*$J$607+D5858*$F$607+E5858*$G$607+F5858*Assumptions!$B$14+G5858*Assumptions!$B$13+H5858*Assumptions!$B$12+I5858*Assumptions!$B$11+$O$607+$S$607+Assumptions!$B$9</f>
        <v/>
      </c>
      <c r="L5858">
        <f>B5858-J5858</f>
        <v/>
      </c>
      <c r="M5858">
        <f>IF(K5858&gt;0,IF(L5858/K5858&gt;=Assumptions!$B$37,1,0),0)</f>
        <v/>
      </c>
      <c r="N5858">
        <f>K5858+M5858*Assumptions!$B$153</f>
        <v/>
      </c>
      <c r="O5858">
        <f>L5858+M5858*Assumptions!$B$153*Assumptions!$B$37</f>
        <v/>
      </c>
      <c r="P5858">
        <f>IF(N5858&gt;0,O5858/N5858,0)</f>
        <v/>
      </c>
      <c r="Q5858">
        <f>IF(C5858=1,P5858*$J$607,Assumptions!$B$41)</f>
        <v/>
      </c>
      <c r="R5858">
        <f>IF(D5858=1,P5858*$F$607,Assumptions!$B$33)</f>
        <v/>
      </c>
      <c r="S5858">
        <f>IF(E5858=1,P5858*$G$607,Assumptions!$B$32)</f>
        <v/>
      </c>
      <c r="T5858">
        <f>IF(F5858=1,P5858*Assumptions!$B$14,Assumptions!$B$31)</f>
        <v/>
      </c>
      <c r="U5858">
        <f>IF(G5858=1,P5858*Assumptions!$B$13,Assumptions!$B$30)</f>
        <v/>
      </c>
      <c r="V5858">
        <f>IF(H5858=1,P5858*Assumptions!$B$12,Assumptions!$B$29)</f>
        <v/>
      </c>
      <c r="W5858">
        <f>IF(I5858=1,P5858*Assumptions!$B$11,Assumptions!$B$28)</f>
        <v/>
      </c>
      <c r="X5858">
        <f>P5858*($O$607+$S$607)</f>
        <v/>
      </c>
      <c r="Y5858">
        <f>P5858*Assumptions!$B$9</f>
        <v/>
      </c>
      <c r="Z5858">
        <f>IF(M5858=1,(P5858-Assumptions!$B$37)*Assumptions!$B$153,0)</f>
        <v/>
      </c>
      <c r="AA5858">
        <f>Q5858+R5858+S5858+T5858+U5858+V5858+W5858+X5858+Y5858+Z5858</f>
        <v/>
      </c>
      <c r="AB5858" t="n">
        <v>90</v>
      </c>
      <c r="AC5858" t="n">
        <v>26</v>
      </c>
      <c r="AD5858" t="n">
        <v>122</v>
      </c>
      <c r="AE5858" t="n">
        <v>74</v>
      </c>
      <c r="AF5858" t="n">
        <v>82</v>
      </c>
      <c r="AG5858" t="n">
        <v>94</v>
      </c>
      <c r="AH5858" t="n">
        <v>88</v>
      </c>
      <c r="AI5858" t="n">
        <v>91</v>
      </c>
      <c r="AJ5858">
        <f>INDEX($Q$5768:$Q$5895,AC5858+1)</f>
        <v/>
      </c>
      <c r="AK5858">
        <f>INDEX($R$5768:$R$5895,AD5858+1)</f>
        <v/>
      </c>
      <c r="AL5858">
        <f>INDEX($S$5768:$S$5895,AE5858+1)</f>
        <v/>
      </c>
      <c r="AM5858">
        <f>INDEX($T$5768:$T$5895,AF5858+1)</f>
        <v/>
      </c>
      <c r="AN5858">
        <f>INDEX($U$5768:$U$5895,AG5858+1)</f>
        <v/>
      </c>
      <c r="AO5858">
        <f>INDEX($V$5768:$V$5895,AH5858+1)</f>
        <v/>
      </c>
      <c r="AP5858">
        <f>INDEX($W$5768:$W$5895,AI5858+1)</f>
        <v/>
      </c>
      <c r="AQ5858">
        <f>IF(Q5858&gt;=AJ5858-0.01,1,0)</f>
        <v/>
      </c>
      <c r="AR5858">
        <f>IF(R5858&gt;=AK5858-0.01,1,0)</f>
        <v/>
      </c>
      <c r="AS5858">
        <f>IF(S5858&gt;=AL5858-0.01,1,0)</f>
        <v/>
      </c>
      <c r="AT5858">
        <f>IF(T5858&gt;=AM5858-0.01,1,0)</f>
        <v/>
      </c>
      <c r="AU5858">
        <f>IF(U5858&gt;=AN5858-0.01,1,0)</f>
        <v/>
      </c>
      <c r="AV5858">
        <f>IF(V5858&gt;=AO5858-0.01,1,0)</f>
        <v/>
      </c>
      <c r="AW5858">
        <f>IF(W5858&gt;=AP5858-0.01,1,0)</f>
        <v/>
      </c>
      <c r="AX5858">
        <f>AQ5858*AR5858*AS5858*AT5858*AU5858*AV5858*AW5858</f>
        <v/>
      </c>
    </row>
    <row r="5859">
      <c r="A5859" t="inlineStr"/>
      <c r="B5859">
        <f>Assumptions!$B$60</f>
        <v/>
      </c>
      <c r="C5859" t="n">
        <v>1</v>
      </c>
      <c r="D5859" t="n">
        <v>0</v>
      </c>
      <c r="E5859" t="n">
        <v>1</v>
      </c>
      <c r="F5859" t="n">
        <v>1</v>
      </c>
      <c r="G5859" t="n">
        <v>0</v>
      </c>
      <c r="H5859" t="n">
        <v>1</v>
      </c>
      <c r="I5859" t="n">
        <v>1</v>
      </c>
      <c r="J5859">
        <f>(1-C5859)*Assumptions!$B$41+(1-D5859)*Assumptions!$B$33+(1-E5859)*Assumptions!$B$32+(1-F5859)*Assumptions!$B$31+(1-G5859)*Assumptions!$B$30+(1-H5859)*Assumptions!$B$29+(1-I5859)*Assumptions!$B$28</f>
        <v/>
      </c>
      <c r="K5859">
        <f>C5859*$J$607+D5859*$F$607+E5859*$G$607+F5859*Assumptions!$B$14+G5859*Assumptions!$B$13+H5859*Assumptions!$B$12+I5859*Assumptions!$B$11+$O$607+$S$607+Assumptions!$B$9</f>
        <v/>
      </c>
      <c r="L5859">
        <f>B5859-J5859</f>
        <v/>
      </c>
      <c r="M5859">
        <f>IF(K5859&gt;0,IF(L5859/K5859&gt;=Assumptions!$B$37,1,0),0)</f>
        <v/>
      </c>
      <c r="N5859">
        <f>K5859+M5859*Assumptions!$B$153</f>
        <v/>
      </c>
      <c r="O5859">
        <f>L5859+M5859*Assumptions!$B$153*Assumptions!$B$37</f>
        <v/>
      </c>
      <c r="P5859">
        <f>IF(N5859&gt;0,O5859/N5859,0)</f>
        <v/>
      </c>
      <c r="Q5859">
        <f>IF(C5859=1,P5859*$J$607,Assumptions!$B$41)</f>
        <v/>
      </c>
      <c r="R5859">
        <f>IF(D5859=1,P5859*$F$607,Assumptions!$B$33)</f>
        <v/>
      </c>
      <c r="S5859">
        <f>IF(E5859=1,P5859*$G$607,Assumptions!$B$32)</f>
        <v/>
      </c>
      <c r="T5859">
        <f>IF(F5859=1,P5859*Assumptions!$B$14,Assumptions!$B$31)</f>
        <v/>
      </c>
      <c r="U5859">
        <f>IF(G5859=1,P5859*Assumptions!$B$13,Assumptions!$B$30)</f>
        <v/>
      </c>
      <c r="V5859">
        <f>IF(H5859=1,P5859*Assumptions!$B$12,Assumptions!$B$29)</f>
        <v/>
      </c>
      <c r="W5859">
        <f>IF(I5859=1,P5859*Assumptions!$B$11,Assumptions!$B$28)</f>
        <v/>
      </c>
      <c r="X5859">
        <f>P5859*($O$607+$S$607)</f>
        <v/>
      </c>
      <c r="Y5859">
        <f>P5859*Assumptions!$B$9</f>
        <v/>
      </c>
      <c r="Z5859">
        <f>IF(M5859=1,(P5859-Assumptions!$B$37)*Assumptions!$B$153,0)</f>
        <v/>
      </c>
      <c r="AA5859">
        <f>Q5859+R5859+S5859+T5859+U5859+V5859+W5859+X5859+Y5859+Z5859</f>
        <v/>
      </c>
      <c r="AB5859" t="n">
        <v>91</v>
      </c>
      <c r="AC5859" t="n">
        <v>27</v>
      </c>
      <c r="AD5859" t="n">
        <v>123</v>
      </c>
      <c r="AE5859" t="n">
        <v>75</v>
      </c>
      <c r="AF5859" t="n">
        <v>83</v>
      </c>
      <c r="AG5859" t="n">
        <v>95</v>
      </c>
      <c r="AH5859" t="n">
        <v>89</v>
      </c>
      <c r="AI5859" t="n">
        <v>90</v>
      </c>
      <c r="AJ5859">
        <f>INDEX($Q$5768:$Q$5895,AC5859+1)</f>
        <v/>
      </c>
      <c r="AK5859">
        <f>INDEX($R$5768:$R$5895,AD5859+1)</f>
        <v/>
      </c>
      <c r="AL5859">
        <f>INDEX($S$5768:$S$5895,AE5859+1)</f>
        <v/>
      </c>
      <c r="AM5859">
        <f>INDEX($T$5768:$T$5895,AF5859+1)</f>
        <v/>
      </c>
      <c r="AN5859">
        <f>INDEX($U$5768:$U$5895,AG5859+1)</f>
        <v/>
      </c>
      <c r="AO5859">
        <f>INDEX($V$5768:$V$5895,AH5859+1)</f>
        <v/>
      </c>
      <c r="AP5859">
        <f>INDEX($W$5768:$W$5895,AI5859+1)</f>
        <v/>
      </c>
      <c r="AQ5859">
        <f>IF(Q5859&gt;=AJ5859-0.01,1,0)</f>
        <v/>
      </c>
      <c r="AR5859">
        <f>IF(R5859&gt;=AK5859-0.01,1,0)</f>
        <v/>
      </c>
      <c r="AS5859">
        <f>IF(S5859&gt;=AL5859-0.01,1,0)</f>
        <v/>
      </c>
      <c r="AT5859">
        <f>IF(T5859&gt;=AM5859-0.01,1,0)</f>
        <v/>
      </c>
      <c r="AU5859">
        <f>IF(U5859&gt;=AN5859-0.01,1,0)</f>
        <v/>
      </c>
      <c r="AV5859">
        <f>IF(V5859&gt;=AO5859-0.01,1,0)</f>
        <v/>
      </c>
      <c r="AW5859">
        <f>IF(W5859&gt;=AP5859-0.01,1,0)</f>
        <v/>
      </c>
      <c r="AX5859">
        <f>AQ5859*AR5859*AS5859*AT5859*AU5859*AV5859*AW5859</f>
        <v/>
      </c>
    </row>
    <row r="5860">
      <c r="A5860" t="inlineStr"/>
      <c r="B5860">
        <f>Assumptions!$B$60</f>
        <v/>
      </c>
      <c r="C5860" t="n">
        <v>1</v>
      </c>
      <c r="D5860" t="n">
        <v>0</v>
      </c>
      <c r="E5860" t="n">
        <v>1</v>
      </c>
      <c r="F5860" t="n">
        <v>1</v>
      </c>
      <c r="G5860" t="n">
        <v>1</v>
      </c>
      <c r="H5860" t="n">
        <v>0</v>
      </c>
      <c r="I5860" t="n">
        <v>0</v>
      </c>
      <c r="J5860">
        <f>(1-C5860)*Assumptions!$B$41+(1-D5860)*Assumptions!$B$33+(1-E5860)*Assumptions!$B$32+(1-F5860)*Assumptions!$B$31+(1-G5860)*Assumptions!$B$30+(1-H5860)*Assumptions!$B$29+(1-I5860)*Assumptions!$B$28</f>
        <v/>
      </c>
      <c r="K5860">
        <f>C5860*$J$607+D5860*$F$607+E5860*$G$607+F5860*Assumptions!$B$14+G5860*Assumptions!$B$13+H5860*Assumptions!$B$12+I5860*Assumptions!$B$11+$O$607+$S$607+Assumptions!$B$9</f>
        <v/>
      </c>
      <c r="L5860">
        <f>B5860-J5860</f>
        <v/>
      </c>
      <c r="M5860">
        <f>IF(K5860&gt;0,IF(L5860/K5860&gt;=Assumptions!$B$37,1,0),0)</f>
        <v/>
      </c>
      <c r="N5860">
        <f>K5860+M5860*Assumptions!$B$153</f>
        <v/>
      </c>
      <c r="O5860">
        <f>L5860+M5860*Assumptions!$B$153*Assumptions!$B$37</f>
        <v/>
      </c>
      <c r="P5860">
        <f>IF(N5860&gt;0,O5860/N5860,0)</f>
        <v/>
      </c>
      <c r="Q5860">
        <f>IF(C5860=1,P5860*$J$607,Assumptions!$B$41)</f>
        <v/>
      </c>
      <c r="R5860">
        <f>IF(D5860=1,P5860*$F$607,Assumptions!$B$33)</f>
        <v/>
      </c>
      <c r="S5860">
        <f>IF(E5860=1,P5860*$G$607,Assumptions!$B$32)</f>
        <v/>
      </c>
      <c r="T5860">
        <f>IF(F5860=1,P5860*Assumptions!$B$14,Assumptions!$B$31)</f>
        <v/>
      </c>
      <c r="U5860">
        <f>IF(G5860=1,P5860*Assumptions!$B$13,Assumptions!$B$30)</f>
        <v/>
      </c>
      <c r="V5860">
        <f>IF(H5860=1,P5860*Assumptions!$B$12,Assumptions!$B$29)</f>
        <v/>
      </c>
      <c r="W5860">
        <f>IF(I5860=1,P5860*Assumptions!$B$11,Assumptions!$B$28)</f>
        <v/>
      </c>
      <c r="X5860">
        <f>P5860*($O$607+$S$607)</f>
        <v/>
      </c>
      <c r="Y5860">
        <f>P5860*Assumptions!$B$9</f>
        <v/>
      </c>
      <c r="Z5860">
        <f>IF(M5860=1,(P5860-Assumptions!$B$37)*Assumptions!$B$153,0)</f>
        <v/>
      </c>
      <c r="AA5860">
        <f>Q5860+R5860+S5860+T5860+U5860+V5860+W5860+X5860+Y5860+Z5860</f>
        <v/>
      </c>
      <c r="AB5860" t="n">
        <v>92</v>
      </c>
      <c r="AC5860" t="n">
        <v>28</v>
      </c>
      <c r="AD5860" t="n">
        <v>124</v>
      </c>
      <c r="AE5860" t="n">
        <v>76</v>
      </c>
      <c r="AF5860" t="n">
        <v>84</v>
      </c>
      <c r="AG5860" t="n">
        <v>88</v>
      </c>
      <c r="AH5860" t="n">
        <v>94</v>
      </c>
      <c r="AI5860" t="n">
        <v>93</v>
      </c>
      <c r="AJ5860">
        <f>INDEX($Q$5768:$Q$5895,AC5860+1)</f>
        <v/>
      </c>
      <c r="AK5860">
        <f>INDEX($R$5768:$R$5895,AD5860+1)</f>
        <v/>
      </c>
      <c r="AL5860">
        <f>INDEX($S$5768:$S$5895,AE5860+1)</f>
        <v/>
      </c>
      <c r="AM5860">
        <f>INDEX($T$5768:$T$5895,AF5860+1)</f>
        <v/>
      </c>
      <c r="AN5860">
        <f>INDEX($U$5768:$U$5895,AG5860+1)</f>
        <v/>
      </c>
      <c r="AO5860">
        <f>INDEX($V$5768:$V$5895,AH5860+1)</f>
        <v/>
      </c>
      <c r="AP5860">
        <f>INDEX($W$5768:$W$5895,AI5860+1)</f>
        <v/>
      </c>
      <c r="AQ5860">
        <f>IF(Q5860&gt;=AJ5860-0.01,1,0)</f>
        <v/>
      </c>
      <c r="AR5860">
        <f>IF(R5860&gt;=AK5860-0.01,1,0)</f>
        <v/>
      </c>
      <c r="AS5860">
        <f>IF(S5860&gt;=AL5860-0.01,1,0)</f>
        <v/>
      </c>
      <c r="AT5860">
        <f>IF(T5860&gt;=AM5860-0.01,1,0)</f>
        <v/>
      </c>
      <c r="AU5860">
        <f>IF(U5860&gt;=AN5860-0.01,1,0)</f>
        <v/>
      </c>
      <c r="AV5860">
        <f>IF(V5860&gt;=AO5860-0.01,1,0)</f>
        <v/>
      </c>
      <c r="AW5860">
        <f>IF(W5860&gt;=AP5860-0.01,1,0)</f>
        <v/>
      </c>
      <c r="AX5860">
        <f>AQ5860*AR5860*AS5860*AT5860*AU5860*AV5860*AW5860</f>
        <v/>
      </c>
    </row>
    <row r="5861">
      <c r="A5861" t="inlineStr"/>
      <c r="B5861">
        <f>Assumptions!$B$60</f>
        <v/>
      </c>
      <c r="C5861" t="n">
        <v>1</v>
      </c>
      <c r="D5861" t="n">
        <v>0</v>
      </c>
      <c r="E5861" t="n">
        <v>1</v>
      </c>
      <c r="F5861" t="n">
        <v>1</v>
      </c>
      <c r="G5861" t="n">
        <v>1</v>
      </c>
      <c r="H5861" t="n">
        <v>0</v>
      </c>
      <c r="I5861" t="n">
        <v>1</v>
      </c>
      <c r="J5861">
        <f>(1-C5861)*Assumptions!$B$41+(1-D5861)*Assumptions!$B$33+(1-E5861)*Assumptions!$B$32+(1-F5861)*Assumptions!$B$31+(1-G5861)*Assumptions!$B$30+(1-H5861)*Assumptions!$B$29+(1-I5861)*Assumptions!$B$28</f>
        <v/>
      </c>
      <c r="K5861">
        <f>C5861*$J$607+D5861*$F$607+E5861*$G$607+F5861*Assumptions!$B$14+G5861*Assumptions!$B$13+H5861*Assumptions!$B$12+I5861*Assumptions!$B$11+$O$607+$S$607+Assumptions!$B$9</f>
        <v/>
      </c>
      <c r="L5861">
        <f>B5861-J5861</f>
        <v/>
      </c>
      <c r="M5861">
        <f>IF(K5861&gt;0,IF(L5861/K5861&gt;=Assumptions!$B$37,1,0),0)</f>
        <v/>
      </c>
      <c r="N5861">
        <f>K5861+M5861*Assumptions!$B$153</f>
        <v/>
      </c>
      <c r="O5861">
        <f>L5861+M5861*Assumptions!$B$153*Assumptions!$B$37</f>
        <v/>
      </c>
      <c r="P5861">
        <f>IF(N5861&gt;0,O5861/N5861,0)</f>
        <v/>
      </c>
      <c r="Q5861">
        <f>IF(C5861=1,P5861*$J$607,Assumptions!$B$41)</f>
        <v/>
      </c>
      <c r="R5861">
        <f>IF(D5861=1,P5861*$F$607,Assumptions!$B$33)</f>
        <v/>
      </c>
      <c r="S5861">
        <f>IF(E5861=1,P5861*$G$607,Assumptions!$B$32)</f>
        <v/>
      </c>
      <c r="T5861">
        <f>IF(F5861=1,P5861*Assumptions!$B$14,Assumptions!$B$31)</f>
        <v/>
      </c>
      <c r="U5861">
        <f>IF(G5861=1,P5861*Assumptions!$B$13,Assumptions!$B$30)</f>
        <v/>
      </c>
      <c r="V5861">
        <f>IF(H5861=1,P5861*Assumptions!$B$12,Assumptions!$B$29)</f>
        <v/>
      </c>
      <c r="W5861">
        <f>IF(I5861=1,P5861*Assumptions!$B$11,Assumptions!$B$28)</f>
        <v/>
      </c>
      <c r="X5861">
        <f>P5861*($O$607+$S$607)</f>
        <v/>
      </c>
      <c r="Y5861">
        <f>P5861*Assumptions!$B$9</f>
        <v/>
      </c>
      <c r="Z5861">
        <f>IF(M5861=1,(P5861-Assumptions!$B$37)*Assumptions!$B$153,0)</f>
        <v/>
      </c>
      <c r="AA5861">
        <f>Q5861+R5861+S5861+T5861+U5861+V5861+W5861+X5861+Y5861+Z5861</f>
        <v/>
      </c>
      <c r="AB5861" t="n">
        <v>93</v>
      </c>
      <c r="AC5861" t="n">
        <v>29</v>
      </c>
      <c r="AD5861" t="n">
        <v>125</v>
      </c>
      <c r="AE5861" t="n">
        <v>77</v>
      </c>
      <c r="AF5861" t="n">
        <v>85</v>
      </c>
      <c r="AG5861" t="n">
        <v>89</v>
      </c>
      <c r="AH5861" t="n">
        <v>95</v>
      </c>
      <c r="AI5861" t="n">
        <v>92</v>
      </c>
      <c r="AJ5861">
        <f>INDEX($Q$5768:$Q$5895,AC5861+1)</f>
        <v/>
      </c>
      <c r="AK5861">
        <f>INDEX($R$5768:$R$5895,AD5861+1)</f>
        <v/>
      </c>
      <c r="AL5861">
        <f>INDEX($S$5768:$S$5895,AE5861+1)</f>
        <v/>
      </c>
      <c r="AM5861">
        <f>INDEX($T$5768:$T$5895,AF5861+1)</f>
        <v/>
      </c>
      <c r="AN5861">
        <f>INDEX($U$5768:$U$5895,AG5861+1)</f>
        <v/>
      </c>
      <c r="AO5861">
        <f>INDEX($V$5768:$V$5895,AH5861+1)</f>
        <v/>
      </c>
      <c r="AP5861">
        <f>INDEX($W$5768:$W$5895,AI5861+1)</f>
        <v/>
      </c>
      <c r="AQ5861">
        <f>IF(Q5861&gt;=AJ5861-0.01,1,0)</f>
        <v/>
      </c>
      <c r="AR5861">
        <f>IF(R5861&gt;=AK5861-0.01,1,0)</f>
        <v/>
      </c>
      <c r="AS5861">
        <f>IF(S5861&gt;=AL5861-0.01,1,0)</f>
        <v/>
      </c>
      <c r="AT5861">
        <f>IF(T5861&gt;=AM5861-0.01,1,0)</f>
        <v/>
      </c>
      <c r="AU5861">
        <f>IF(U5861&gt;=AN5861-0.01,1,0)</f>
        <v/>
      </c>
      <c r="AV5861">
        <f>IF(V5861&gt;=AO5861-0.01,1,0)</f>
        <v/>
      </c>
      <c r="AW5861">
        <f>IF(W5861&gt;=AP5861-0.01,1,0)</f>
        <v/>
      </c>
      <c r="AX5861">
        <f>AQ5861*AR5861*AS5861*AT5861*AU5861*AV5861*AW5861</f>
        <v/>
      </c>
    </row>
    <row r="5862">
      <c r="A5862" t="inlineStr"/>
      <c r="B5862">
        <f>Assumptions!$B$60</f>
        <v/>
      </c>
      <c r="C5862" t="n">
        <v>1</v>
      </c>
      <c r="D5862" t="n">
        <v>0</v>
      </c>
      <c r="E5862" t="n">
        <v>1</v>
      </c>
      <c r="F5862" t="n">
        <v>1</v>
      </c>
      <c r="G5862" t="n">
        <v>1</v>
      </c>
      <c r="H5862" t="n">
        <v>1</v>
      </c>
      <c r="I5862" t="n">
        <v>0</v>
      </c>
      <c r="J5862">
        <f>(1-C5862)*Assumptions!$B$41+(1-D5862)*Assumptions!$B$33+(1-E5862)*Assumptions!$B$32+(1-F5862)*Assumptions!$B$31+(1-G5862)*Assumptions!$B$30+(1-H5862)*Assumptions!$B$29+(1-I5862)*Assumptions!$B$28</f>
        <v/>
      </c>
      <c r="K5862">
        <f>C5862*$J$607+D5862*$F$607+E5862*$G$607+F5862*Assumptions!$B$14+G5862*Assumptions!$B$13+H5862*Assumptions!$B$12+I5862*Assumptions!$B$11+$O$607+$S$607+Assumptions!$B$9</f>
        <v/>
      </c>
      <c r="L5862">
        <f>B5862-J5862</f>
        <v/>
      </c>
      <c r="M5862">
        <f>IF(K5862&gt;0,IF(L5862/K5862&gt;=Assumptions!$B$37,1,0),0)</f>
        <v/>
      </c>
      <c r="N5862">
        <f>K5862+M5862*Assumptions!$B$153</f>
        <v/>
      </c>
      <c r="O5862">
        <f>L5862+M5862*Assumptions!$B$153*Assumptions!$B$37</f>
        <v/>
      </c>
      <c r="P5862">
        <f>IF(N5862&gt;0,O5862/N5862,0)</f>
        <v/>
      </c>
      <c r="Q5862">
        <f>IF(C5862=1,P5862*$J$607,Assumptions!$B$41)</f>
        <v/>
      </c>
      <c r="R5862">
        <f>IF(D5862=1,P5862*$F$607,Assumptions!$B$33)</f>
        <v/>
      </c>
      <c r="S5862">
        <f>IF(E5862=1,P5862*$G$607,Assumptions!$B$32)</f>
        <v/>
      </c>
      <c r="T5862">
        <f>IF(F5862=1,P5862*Assumptions!$B$14,Assumptions!$B$31)</f>
        <v/>
      </c>
      <c r="U5862">
        <f>IF(G5862=1,P5862*Assumptions!$B$13,Assumptions!$B$30)</f>
        <v/>
      </c>
      <c r="V5862">
        <f>IF(H5862=1,P5862*Assumptions!$B$12,Assumptions!$B$29)</f>
        <v/>
      </c>
      <c r="W5862">
        <f>IF(I5862=1,P5862*Assumptions!$B$11,Assumptions!$B$28)</f>
        <v/>
      </c>
      <c r="X5862">
        <f>P5862*($O$607+$S$607)</f>
        <v/>
      </c>
      <c r="Y5862">
        <f>P5862*Assumptions!$B$9</f>
        <v/>
      </c>
      <c r="Z5862">
        <f>IF(M5862=1,(P5862-Assumptions!$B$37)*Assumptions!$B$153,0)</f>
        <v/>
      </c>
      <c r="AA5862">
        <f>Q5862+R5862+S5862+T5862+U5862+V5862+W5862+X5862+Y5862+Z5862</f>
        <v/>
      </c>
      <c r="AB5862" t="n">
        <v>94</v>
      </c>
      <c r="AC5862" t="n">
        <v>30</v>
      </c>
      <c r="AD5862" t="n">
        <v>126</v>
      </c>
      <c r="AE5862" t="n">
        <v>78</v>
      </c>
      <c r="AF5862" t="n">
        <v>86</v>
      </c>
      <c r="AG5862" t="n">
        <v>90</v>
      </c>
      <c r="AH5862" t="n">
        <v>92</v>
      </c>
      <c r="AI5862" t="n">
        <v>95</v>
      </c>
      <c r="AJ5862">
        <f>INDEX($Q$5768:$Q$5895,AC5862+1)</f>
        <v/>
      </c>
      <c r="AK5862">
        <f>INDEX($R$5768:$R$5895,AD5862+1)</f>
        <v/>
      </c>
      <c r="AL5862">
        <f>INDEX($S$5768:$S$5895,AE5862+1)</f>
        <v/>
      </c>
      <c r="AM5862">
        <f>INDEX($T$5768:$T$5895,AF5862+1)</f>
        <v/>
      </c>
      <c r="AN5862">
        <f>INDEX($U$5768:$U$5895,AG5862+1)</f>
        <v/>
      </c>
      <c r="AO5862">
        <f>INDEX($V$5768:$V$5895,AH5862+1)</f>
        <v/>
      </c>
      <c r="AP5862">
        <f>INDEX($W$5768:$W$5895,AI5862+1)</f>
        <v/>
      </c>
      <c r="AQ5862">
        <f>IF(Q5862&gt;=AJ5862-0.01,1,0)</f>
        <v/>
      </c>
      <c r="AR5862">
        <f>IF(R5862&gt;=AK5862-0.01,1,0)</f>
        <v/>
      </c>
      <c r="AS5862">
        <f>IF(S5862&gt;=AL5862-0.01,1,0)</f>
        <v/>
      </c>
      <c r="AT5862">
        <f>IF(T5862&gt;=AM5862-0.01,1,0)</f>
        <v/>
      </c>
      <c r="AU5862">
        <f>IF(U5862&gt;=AN5862-0.01,1,0)</f>
        <v/>
      </c>
      <c r="AV5862">
        <f>IF(V5862&gt;=AO5862-0.01,1,0)</f>
        <v/>
      </c>
      <c r="AW5862">
        <f>IF(W5862&gt;=AP5862-0.01,1,0)</f>
        <v/>
      </c>
      <c r="AX5862">
        <f>AQ5862*AR5862*AS5862*AT5862*AU5862*AV5862*AW5862</f>
        <v/>
      </c>
    </row>
    <row r="5863">
      <c r="A5863" t="inlineStr"/>
      <c r="B5863">
        <f>Assumptions!$B$60</f>
        <v/>
      </c>
      <c r="C5863" t="n">
        <v>1</v>
      </c>
      <c r="D5863" t="n">
        <v>0</v>
      </c>
      <c r="E5863" t="n">
        <v>1</v>
      </c>
      <c r="F5863" t="n">
        <v>1</v>
      </c>
      <c r="G5863" t="n">
        <v>1</v>
      </c>
      <c r="H5863" t="n">
        <v>1</v>
      </c>
      <c r="I5863" t="n">
        <v>1</v>
      </c>
      <c r="J5863">
        <f>(1-C5863)*Assumptions!$B$41+(1-D5863)*Assumptions!$B$33+(1-E5863)*Assumptions!$B$32+(1-F5863)*Assumptions!$B$31+(1-G5863)*Assumptions!$B$30+(1-H5863)*Assumptions!$B$29+(1-I5863)*Assumptions!$B$28</f>
        <v/>
      </c>
      <c r="K5863">
        <f>C5863*$J$607+D5863*$F$607+E5863*$G$607+F5863*Assumptions!$B$14+G5863*Assumptions!$B$13+H5863*Assumptions!$B$12+I5863*Assumptions!$B$11+$O$607+$S$607+Assumptions!$B$9</f>
        <v/>
      </c>
      <c r="L5863">
        <f>B5863-J5863</f>
        <v/>
      </c>
      <c r="M5863">
        <f>IF(K5863&gt;0,IF(L5863/K5863&gt;=Assumptions!$B$37,1,0),0)</f>
        <v/>
      </c>
      <c r="N5863">
        <f>K5863+M5863*Assumptions!$B$153</f>
        <v/>
      </c>
      <c r="O5863">
        <f>L5863+M5863*Assumptions!$B$153*Assumptions!$B$37</f>
        <v/>
      </c>
      <c r="P5863">
        <f>IF(N5863&gt;0,O5863/N5863,0)</f>
        <v/>
      </c>
      <c r="Q5863">
        <f>IF(C5863=1,P5863*$J$607,Assumptions!$B$41)</f>
        <v/>
      </c>
      <c r="R5863">
        <f>IF(D5863=1,P5863*$F$607,Assumptions!$B$33)</f>
        <v/>
      </c>
      <c r="S5863">
        <f>IF(E5863=1,P5863*$G$607,Assumptions!$B$32)</f>
        <v/>
      </c>
      <c r="T5863">
        <f>IF(F5863=1,P5863*Assumptions!$B$14,Assumptions!$B$31)</f>
        <v/>
      </c>
      <c r="U5863">
        <f>IF(G5863=1,P5863*Assumptions!$B$13,Assumptions!$B$30)</f>
        <v/>
      </c>
      <c r="V5863">
        <f>IF(H5863=1,P5863*Assumptions!$B$12,Assumptions!$B$29)</f>
        <v/>
      </c>
      <c r="W5863">
        <f>IF(I5863=1,P5863*Assumptions!$B$11,Assumptions!$B$28)</f>
        <v/>
      </c>
      <c r="X5863">
        <f>P5863*($O$607+$S$607)</f>
        <v/>
      </c>
      <c r="Y5863">
        <f>P5863*Assumptions!$B$9</f>
        <v/>
      </c>
      <c r="Z5863">
        <f>IF(M5863=1,(P5863-Assumptions!$B$37)*Assumptions!$B$153,0)</f>
        <v/>
      </c>
      <c r="AA5863">
        <f>Q5863+R5863+S5863+T5863+U5863+V5863+W5863+X5863+Y5863+Z5863</f>
        <v/>
      </c>
      <c r="AB5863" t="n">
        <v>95</v>
      </c>
      <c r="AC5863" t="n">
        <v>31</v>
      </c>
      <c r="AD5863" t="n">
        <v>127</v>
      </c>
      <c r="AE5863" t="n">
        <v>79</v>
      </c>
      <c r="AF5863" t="n">
        <v>87</v>
      </c>
      <c r="AG5863" t="n">
        <v>91</v>
      </c>
      <c r="AH5863" t="n">
        <v>93</v>
      </c>
      <c r="AI5863" t="n">
        <v>94</v>
      </c>
      <c r="AJ5863">
        <f>INDEX($Q$5768:$Q$5895,AC5863+1)</f>
        <v/>
      </c>
      <c r="AK5863">
        <f>INDEX($R$5768:$R$5895,AD5863+1)</f>
        <v/>
      </c>
      <c r="AL5863">
        <f>INDEX($S$5768:$S$5895,AE5863+1)</f>
        <v/>
      </c>
      <c r="AM5863">
        <f>INDEX($T$5768:$T$5895,AF5863+1)</f>
        <v/>
      </c>
      <c r="AN5863">
        <f>INDEX($U$5768:$U$5895,AG5863+1)</f>
        <v/>
      </c>
      <c r="AO5863">
        <f>INDEX($V$5768:$V$5895,AH5863+1)</f>
        <v/>
      </c>
      <c r="AP5863">
        <f>INDEX($W$5768:$W$5895,AI5863+1)</f>
        <v/>
      </c>
      <c r="AQ5863">
        <f>IF(Q5863&gt;=AJ5863-0.01,1,0)</f>
        <v/>
      </c>
      <c r="AR5863">
        <f>IF(R5863&gt;=AK5863-0.01,1,0)</f>
        <v/>
      </c>
      <c r="AS5863">
        <f>IF(S5863&gt;=AL5863-0.01,1,0)</f>
        <v/>
      </c>
      <c r="AT5863">
        <f>IF(T5863&gt;=AM5863-0.01,1,0)</f>
        <v/>
      </c>
      <c r="AU5863">
        <f>IF(U5863&gt;=AN5863-0.01,1,0)</f>
        <v/>
      </c>
      <c r="AV5863">
        <f>IF(V5863&gt;=AO5863-0.01,1,0)</f>
        <v/>
      </c>
      <c r="AW5863">
        <f>IF(W5863&gt;=AP5863-0.01,1,0)</f>
        <v/>
      </c>
      <c r="AX5863">
        <f>AQ5863*AR5863*AS5863*AT5863*AU5863*AV5863*AW5863</f>
        <v/>
      </c>
    </row>
    <row r="5864">
      <c r="A5864" t="inlineStr"/>
      <c r="B5864">
        <f>Assumptions!$B$60</f>
        <v/>
      </c>
      <c r="C5864" t="n">
        <v>1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>
        <f>(1-C5864)*Assumptions!$B$41+(1-D5864)*Assumptions!$B$33+(1-E5864)*Assumptions!$B$32+(1-F5864)*Assumptions!$B$31+(1-G5864)*Assumptions!$B$30+(1-H5864)*Assumptions!$B$29+(1-I5864)*Assumptions!$B$28</f>
        <v/>
      </c>
      <c r="K5864">
        <f>C5864*$J$607+D5864*$F$607+E5864*$G$607+F5864*Assumptions!$B$14+G5864*Assumptions!$B$13+H5864*Assumptions!$B$12+I5864*Assumptions!$B$11+$O$607+$S$607+Assumptions!$B$9</f>
        <v/>
      </c>
      <c r="L5864">
        <f>B5864-J5864</f>
        <v/>
      </c>
      <c r="M5864">
        <f>IF(K5864&gt;0,IF(L5864/K5864&gt;=Assumptions!$B$37,1,0),0)</f>
        <v/>
      </c>
      <c r="N5864">
        <f>K5864+M5864*Assumptions!$B$153</f>
        <v/>
      </c>
      <c r="O5864">
        <f>L5864+M5864*Assumptions!$B$153*Assumptions!$B$37</f>
        <v/>
      </c>
      <c r="P5864">
        <f>IF(N5864&gt;0,O5864/N5864,0)</f>
        <v/>
      </c>
      <c r="Q5864">
        <f>IF(C5864=1,P5864*$J$607,Assumptions!$B$41)</f>
        <v/>
      </c>
      <c r="R5864">
        <f>IF(D5864=1,P5864*$F$607,Assumptions!$B$33)</f>
        <v/>
      </c>
      <c r="S5864">
        <f>IF(E5864=1,P5864*$G$607,Assumptions!$B$32)</f>
        <v/>
      </c>
      <c r="T5864">
        <f>IF(F5864=1,P5864*Assumptions!$B$14,Assumptions!$B$31)</f>
        <v/>
      </c>
      <c r="U5864">
        <f>IF(G5864=1,P5864*Assumptions!$B$13,Assumptions!$B$30)</f>
        <v/>
      </c>
      <c r="V5864">
        <f>IF(H5864=1,P5864*Assumptions!$B$12,Assumptions!$B$29)</f>
        <v/>
      </c>
      <c r="W5864">
        <f>IF(I5864=1,P5864*Assumptions!$B$11,Assumptions!$B$28)</f>
        <v/>
      </c>
      <c r="X5864">
        <f>P5864*($O$607+$S$607)</f>
        <v/>
      </c>
      <c r="Y5864">
        <f>P5864*Assumptions!$B$9</f>
        <v/>
      </c>
      <c r="Z5864">
        <f>IF(M5864=1,(P5864-Assumptions!$B$37)*Assumptions!$B$153,0)</f>
        <v/>
      </c>
      <c r="AA5864">
        <f>Q5864+R5864+S5864+T5864+U5864+V5864+W5864+X5864+Y5864+Z5864</f>
        <v/>
      </c>
      <c r="AB5864" t="n">
        <v>96</v>
      </c>
      <c r="AC5864" t="n">
        <v>32</v>
      </c>
      <c r="AD5864" t="n">
        <v>64</v>
      </c>
      <c r="AE5864" t="n">
        <v>112</v>
      </c>
      <c r="AF5864" t="n">
        <v>104</v>
      </c>
      <c r="AG5864" t="n">
        <v>100</v>
      </c>
      <c r="AH5864" t="n">
        <v>98</v>
      </c>
      <c r="AI5864" t="n">
        <v>97</v>
      </c>
      <c r="AJ5864">
        <f>INDEX($Q$5768:$Q$5895,AC5864+1)</f>
        <v/>
      </c>
      <c r="AK5864">
        <f>INDEX($R$5768:$R$5895,AD5864+1)</f>
        <v/>
      </c>
      <c r="AL5864">
        <f>INDEX($S$5768:$S$5895,AE5864+1)</f>
        <v/>
      </c>
      <c r="AM5864">
        <f>INDEX($T$5768:$T$5895,AF5864+1)</f>
        <v/>
      </c>
      <c r="AN5864">
        <f>INDEX($U$5768:$U$5895,AG5864+1)</f>
        <v/>
      </c>
      <c r="AO5864">
        <f>INDEX($V$5768:$V$5895,AH5864+1)</f>
        <v/>
      </c>
      <c r="AP5864">
        <f>INDEX($W$5768:$W$5895,AI5864+1)</f>
        <v/>
      </c>
      <c r="AQ5864">
        <f>IF(Q5864&gt;=AJ5864-0.01,1,0)</f>
        <v/>
      </c>
      <c r="AR5864">
        <f>IF(R5864&gt;=AK5864-0.01,1,0)</f>
        <v/>
      </c>
      <c r="AS5864">
        <f>IF(S5864&gt;=AL5864-0.01,1,0)</f>
        <v/>
      </c>
      <c r="AT5864">
        <f>IF(T5864&gt;=AM5864-0.01,1,0)</f>
        <v/>
      </c>
      <c r="AU5864">
        <f>IF(U5864&gt;=AN5864-0.01,1,0)</f>
        <v/>
      </c>
      <c r="AV5864">
        <f>IF(V5864&gt;=AO5864-0.01,1,0)</f>
        <v/>
      </c>
      <c r="AW5864">
        <f>IF(W5864&gt;=AP5864-0.01,1,0)</f>
        <v/>
      </c>
      <c r="AX5864">
        <f>AQ5864*AR5864*AS5864*AT5864*AU5864*AV5864*AW5864</f>
        <v/>
      </c>
    </row>
    <row r="5865">
      <c r="A5865" t="inlineStr"/>
      <c r="B5865">
        <f>Assumptions!$B$60</f>
        <v/>
      </c>
      <c r="C5865" t="n">
        <v>1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>
        <f>(1-C5865)*Assumptions!$B$41+(1-D5865)*Assumptions!$B$33+(1-E5865)*Assumptions!$B$32+(1-F5865)*Assumptions!$B$31+(1-G5865)*Assumptions!$B$30+(1-H5865)*Assumptions!$B$29+(1-I5865)*Assumptions!$B$28</f>
        <v/>
      </c>
      <c r="K5865">
        <f>C5865*$J$607+D5865*$F$607+E5865*$G$607+F5865*Assumptions!$B$14+G5865*Assumptions!$B$13+H5865*Assumptions!$B$12+I5865*Assumptions!$B$11+$O$607+$S$607+Assumptions!$B$9</f>
        <v/>
      </c>
      <c r="L5865">
        <f>B5865-J5865</f>
        <v/>
      </c>
      <c r="M5865">
        <f>IF(K5865&gt;0,IF(L5865/K5865&gt;=Assumptions!$B$37,1,0),0)</f>
        <v/>
      </c>
      <c r="N5865">
        <f>K5865+M5865*Assumptions!$B$153</f>
        <v/>
      </c>
      <c r="O5865">
        <f>L5865+M5865*Assumptions!$B$153*Assumptions!$B$37</f>
        <v/>
      </c>
      <c r="P5865">
        <f>IF(N5865&gt;0,O5865/N5865,0)</f>
        <v/>
      </c>
      <c r="Q5865">
        <f>IF(C5865=1,P5865*$J$607,Assumptions!$B$41)</f>
        <v/>
      </c>
      <c r="R5865">
        <f>IF(D5865=1,P5865*$F$607,Assumptions!$B$33)</f>
        <v/>
      </c>
      <c r="S5865">
        <f>IF(E5865=1,P5865*$G$607,Assumptions!$B$32)</f>
        <v/>
      </c>
      <c r="T5865">
        <f>IF(F5865=1,P5865*Assumptions!$B$14,Assumptions!$B$31)</f>
        <v/>
      </c>
      <c r="U5865">
        <f>IF(G5865=1,P5865*Assumptions!$B$13,Assumptions!$B$30)</f>
        <v/>
      </c>
      <c r="V5865">
        <f>IF(H5865=1,P5865*Assumptions!$B$12,Assumptions!$B$29)</f>
        <v/>
      </c>
      <c r="W5865">
        <f>IF(I5865=1,P5865*Assumptions!$B$11,Assumptions!$B$28)</f>
        <v/>
      </c>
      <c r="X5865">
        <f>P5865*($O$607+$S$607)</f>
        <v/>
      </c>
      <c r="Y5865">
        <f>P5865*Assumptions!$B$9</f>
        <v/>
      </c>
      <c r="Z5865">
        <f>IF(M5865=1,(P5865-Assumptions!$B$37)*Assumptions!$B$153,0)</f>
        <v/>
      </c>
      <c r="AA5865">
        <f>Q5865+R5865+S5865+T5865+U5865+V5865+W5865+X5865+Y5865+Z5865</f>
        <v/>
      </c>
      <c r="AB5865" t="n">
        <v>97</v>
      </c>
      <c r="AC5865" t="n">
        <v>33</v>
      </c>
      <c r="AD5865" t="n">
        <v>65</v>
      </c>
      <c r="AE5865" t="n">
        <v>113</v>
      </c>
      <c r="AF5865" t="n">
        <v>105</v>
      </c>
      <c r="AG5865" t="n">
        <v>101</v>
      </c>
      <c r="AH5865" t="n">
        <v>99</v>
      </c>
      <c r="AI5865" t="n">
        <v>96</v>
      </c>
      <c r="AJ5865">
        <f>INDEX($Q$5768:$Q$5895,AC5865+1)</f>
        <v/>
      </c>
      <c r="AK5865">
        <f>INDEX($R$5768:$R$5895,AD5865+1)</f>
        <v/>
      </c>
      <c r="AL5865">
        <f>INDEX($S$5768:$S$5895,AE5865+1)</f>
        <v/>
      </c>
      <c r="AM5865">
        <f>INDEX($T$5768:$T$5895,AF5865+1)</f>
        <v/>
      </c>
      <c r="AN5865">
        <f>INDEX($U$5768:$U$5895,AG5865+1)</f>
        <v/>
      </c>
      <c r="AO5865">
        <f>INDEX($V$5768:$V$5895,AH5865+1)</f>
        <v/>
      </c>
      <c r="AP5865">
        <f>INDEX($W$5768:$W$5895,AI5865+1)</f>
        <v/>
      </c>
      <c r="AQ5865">
        <f>IF(Q5865&gt;=AJ5865-0.01,1,0)</f>
        <v/>
      </c>
      <c r="AR5865">
        <f>IF(R5865&gt;=AK5865-0.01,1,0)</f>
        <v/>
      </c>
      <c r="AS5865">
        <f>IF(S5865&gt;=AL5865-0.01,1,0)</f>
        <v/>
      </c>
      <c r="AT5865">
        <f>IF(T5865&gt;=AM5865-0.01,1,0)</f>
        <v/>
      </c>
      <c r="AU5865">
        <f>IF(U5865&gt;=AN5865-0.01,1,0)</f>
        <v/>
      </c>
      <c r="AV5865">
        <f>IF(V5865&gt;=AO5865-0.01,1,0)</f>
        <v/>
      </c>
      <c r="AW5865">
        <f>IF(W5865&gt;=AP5865-0.01,1,0)</f>
        <v/>
      </c>
      <c r="AX5865">
        <f>AQ5865*AR5865*AS5865*AT5865*AU5865*AV5865*AW5865</f>
        <v/>
      </c>
    </row>
    <row r="5866">
      <c r="A5866" t="inlineStr"/>
      <c r="B5866">
        <f>Assumptions!$B$60</f>
        <v/>
      </c>
      <c r="C5866" t="n">
        <v>1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>
        <f>(1-C5866)*Assumptions!$B$41+(1-D5866)*Assumptions!$B$33+(1-E5866)*Assumptions!$B$32+(1-F5866)*Assumptions!$B$31+(1-G5866)*Assumptions!$B$30+(1-H5866)*Assumptions!$B$29+(1-I5866)*Assumptions!$B$28</f>
        <v/>
      </c>
      <c r="K5866">
        <f>C5866*$J$607+D5866*$F$607+E5866*$G$607+F5866*Assumptions!$B$14+G5866*Assumptions!$B$13+H5866*Assumptions!$B$12+I5866*Assumptions!$B$11+$O$607+$S$607+Assumptions!$B$9</f>
        <v/>
      </c>
      <c r="L5866">
        <f>B5866-J5866</f>
        <v/>
      </c>
      <c r="M5866">
        <f>IF(K5866&gt;0,IF(L5866/K5866&gt;=Assumptions!$B$37,1,0),0)</f>
        <v/>
      </c>
      <c r="N5866">
        <f>K5866+M5866*Assumptions!$B$153</f>
        <v/>
      </c>
      <c r="O5866">
        <f>L5866+M5866*Assumptions!$B$153*Assumptions!$B$37</f>
        <v/>
      </c>
      <c r="P5866">
        <f>IF(N5866&gt;0,O5866/N5866,0)</f>
        <v/>
      </c>
      <c r="Q5866">
        <f>IF(C5866=1,P5866*$J$607,Assumptions!$B$41)</f>
        <v/>
      </c>
      <c r="R5866">
        <f>IF(D5866=1,P5866*$F$607,Assumptions!$B$33)</f>
        <v/>
      </c>
      <c r="S5866">
        <f>IF(E5866=1,P5866*$G$607,Assumptions!$B$32)</f>
        <v/>
      </c>
      <c r="T5866">
        <f>IF(F5866=1,P5866*Assumptions!$B$14,Assumptions!$B$31)</f>
        <v/>
      </c>
      <c r="U5866">
        <f>IF(G5866=1,P5866*Assumptions!$B$13,Assumptions!$B$30)</f>
        <v/>
      </c>
      <c r="V5866">
        <f>IF(H5866=1,P5866*Assumptions!$B$12,Assumptions!$B$29)</f>
        <v/>
      </c>
      <c r="W5866">
        <f>IF(I5866=1,P5866*Assumptions!$B$11,Assumptions!$B$28)</f>
        <v/>
      </c>
      <c r="X5866">
        <f>P5866*($O$607+$S$607)</f>
        <v/>
      </c>
      <c r="Y5866">
        <f>P5866*Assumptions!$B$9</f>
        <v/>
      </c>
      <c r="Z5866">
        <f>IF(M5866=1,(P5866-Assumptions!$B$37)*Assumptions!$B$153,0)</f>
        <v/>
      </c>
      <c r="AA5866">
        <f>Q5866+R5866+S5866+T5866+U5866+V5866+W5866+X5866+Y5866+Z5866</f>
        <v/>
      </c>
      <c r="AB5866" t="n">
        <v>98</v>
      </c>
      <c r="AC5866" t="n">
        <v>34</v>
      </c>
      <c r="AD5866" t="n">
        <v>66</v>
      </c>
      <c r="AE5866" t="n">
        <v>114</v>
      </c>
      <c r="AF5866" t="n">
        <v>106</v>
      </c>
      <c r="AG5866" t="n">
        <v>102</v>
      </c>
      <c r="AH5866" t="n">
        <v>96</v>
      </c>
      <c r="AI5866" t="n">
        <v>99</v>
      </c>
      <c r="AJ5866">
        <f>INDEX($Q$5768:$Q$5895,AC5866+1)</f>
        <v/>
      </c>
      <c r="AK5866">
        <f>INDEX($R$5768:$R$5895,AD5866+1)</f>
        <v/>
      </c>
      <c r="AL5866">
        <f>INDEX($S$5768:$S$5895,AE5866+1)</f>
        <v/>
      </c>
      <c r="AM5866">
        <f>INDEX($T$5768:$T$5895,AF5866+1)</f>
        <v/>
      </c>
      <c r="AN5866">
        <f>INDEX($U$5768:$U$5895,AG5866+1)</f>
        <v/>
      </c>
      <c r="AO5866">
        <f>INDEX($V$5768:$V$5895,AH5866+1)</f>
        <v/>
      </c>
      <c r="AP5866">
        <f>INDEX($W$5768:$W$5895,AI5866+1)</f>
        <v/>
      </c>
      <c r="AQ5866">
        <f>IF(Q5866&gt;=AJ5866-0.01,1,0)</f>
        <v/>
      </c>
      <c r="AR5866">
        <f>IF(R5866&gt;=AK5866-0.01,1,0)</f>
        <v/>
      </c>
      <c r="AS5866">
        <f>IF(S5866&gt;=AL5866-0.01,1,0)</f>
        <v/>
      </c>
      <c r="AT5866">
        <f>IF(T5866&gt;=AM5866-0.01,1,0)</f>
        <v/>
      </c>
      <c r="AU5866">
        <f>IF(U5866&gt;=AN5866-0.01,1,0)</f>
        <v/>
      </c>
      <c r="AV5866">
        <f>IF(V5866&gt;=AO5866-0.01,1,0)</f>
        <v/>
      </c>
      <c r="AW5866">
        <f>IF(W5866&gt;=AP5866-0.01,1,0)</f>
        <v/>
      </c>
      <c r="AX5866">
        <f>AQ5866*AR5866*AS5866*AT5866*AU5866*AV5866*AW5866</f>
        <v/>
      </c>
    </row>
    <row r="5867">
      <c r="A5867" t="inlineStr"/>
      <c r="B5867">
        <f>Assumptions!$B$60</f>
        <v/>
      </c>
      <c r="C5867" t="n">
        <v>1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  <c r="I5867" t="n">
        <v>1</v>
      </c>
      <c r="J5867">
        <f>(1-C5867)*Assumptions!$B$41+(1-D5867)*Assumptions!$B$33+(1-E5867)*Assumptions!$B$32+(1-F5867)*Assumptions!$B$31+(1-G5867)*Assumptions!$B$30+(1-H5867)*Assumptions!$B$29+(1-I5867)*Assumptions!$B$28</f>
        <v/>
      </c>
      <c r="K5867">
        <f>C5867*$J$607+D5867*$F$607+E5867*$G$607+F5867*Assumptions!$B$14+G5867*Assumptions!$B$13+H5867*Assumptions!$B$12+I5867*Assumptions!$B$11+$O$607+$S$607+Assumptions!$B$9</f>
        <v/>
      </c>
      <c r="L5867">
        <f>B5867-J5867</f>
        <v/>
      </c>
      <c r="M5867">
        <f>IF(K5867&gt;0,IF(L5867/K5867&gt;=Assumptions!$B$37,1,0),0)</f>
        <v/>
      </c>
      <c r="N5867">
        <f>K5867+M5867*Assumptions!$B$153</f>
        <v/>
      </c>
      <c r="O5867">
        <f>L5867+M5867*Assumptions!$B$153*Assumptions!$B$37</f>
        <v/>
      </c>
      <c r="P5867">
        <f>IF(N5867&gt;0,O5867/N5867,0)</f>
        <v/>
      </c>
      <c r="Q5867">
        <f>IF(C5867=1,P5867*$J$607,Assumptions!$B$41)</f>
        <v/>
      </c>
      <c r="R5867">
        <f>IF(D5867=1,P5867*$F$607,Assumptions!$B$33)</f>
        <v/>
      </c>
      <c r="S5867">
        <f>IF(E5867=1,P5867*$G$607,Assumptions!$B$32)</f>
        <v/>
      </c>
      <c r="T5867">
        <f>IF(F5867=1,P5867*Assumptions!$B$14,Assumptions!$B$31)</f>
        <v/>
      </c>
      <c r="U5867">
        <f>IF(G5867=1,P5867*Assumptions!$B$13,Assumptions!$B$30)</f>
        <v/>
      </c>
      <c r="V5867">
        <f>IF(H5867=1,P5867*Assumptions!$B$12,Assumptions!$B$29)</f>
        <v/>
      </c>
      <c r="W5867">
        <f>IF(I5867=1,P5867*Assumptions!$B$11,Assumptions!$B$28)</f>
        <v/>
      </c>
      <c r="X5867">
        <f>P5867*($O$607+$S$607)</f>
        <v/>
      </c>
      <c r="Y5867">
        <f>P5867*Assumptions!$B$9</f>
        <v/>
      </c>
      <c r="Z5867">
        <f>IF(M5867=1,(P5867-Assumptions!$B$37)*Assumptions!$B$153,0)</f>
        <v/>
      </c>
      <c r="AA5867">
        <f>Q5867+R5867+S5867+T5867+U5867+V5867+W5867+X5867+Y5867+Z5867</f>
        <v/>
      </c>
      <c r="AB5867" t="n">
        <v>99</v>
      </c>
      <c r="AC5867" t="n">
        <v>35</v>
      </c>
      <c r="AD5867" t="n">
        <v>67</v>
      </c>
      <c r="AE5867" t="n">
        <v>115</v>
      </c>
      <c r="AF5867" t="n">
        <v>107</v>
      </c>
      <c r="AG5867" t="n">
        <v>103</v>
      </c>
      <c r="AH5867" t="n">
        <v>97</v>
      </c>
      <c r="AI5867" t="n">
        <v>98</v>
      </c>
      <c r="AJ5867">
        <f>INDEX($Q$5768:$Q$5895,AC5867+1)</f>
        <v/>
      </c>
      <c r="AK5867">
        <f>INDEX($R$5768:$R$5895,AD5867+1)</f>
        <v/>
      </c>
      <c r="AL5867">
        <f>INDEX($S$5768:$S$5895,AE5867+1)</f>
        <v/>
      </c>
      <c r="AM5867">
        <f>INDEX($T$5768:$T$5895,AF5867+1)</f>
        <v/>
      </c>
      <c r="AN5867">
        <f>INDEX($U$5768:$U$5895,AG5867+1)</f>
        <v/>
      </c>
      <c r="AO5867">
        <f>INDEX($V$5768:$V$5895,AH5867+1)</f>
        <v/>
      </c>
      <c r="AP5867">
        <f>INDEX($W$5768:$W$5895,AI5867+1)</f>
        <v/>
      </c>
      <c r="AQ5867">
        <f>IF(Q5867&gt;=AJ5867-0.01,1,0)</f>
        <v/>
      </c>
      <c r="AR5867">
        <f>IF(R5867&gt;=AK5867-0.01,1,0)</f>
        <v/>
      </c>
      <c r="AS5867">
        <f>IF(S5867&gt;=AL5867-0.01,1,0)</f>
        <v/>
      </c>
      <c r="AT5867">
        <f>IF(T5867&gt;=AM5867-0.01,1,0)</f>
        <v/>
      </c>
      <c r="AU5867">
        <f>IF(U5867&gt;=AN5867-0.01,1,0)</f>
        <v/>
      </c>
      <c r="AV5867">
        <f>IF(V5867&gt;=AO5867-0.01,1,0)</f>
        <v/>
      </c>
      <c r="AW5867">
        <f>IF(W5867&gt;=AP5867-0.01,1,0)</f>
        <v/>
      </c>
      <c r="AX5867">
        <f>AQ5867*AR5867*AS5867*AT5867*AU5867*AV5867*AW5867</f>
        <v/>
      </c>
    </row>
    <row r="5868">
      <c r="A5868" t="inlineStr"/>
      <c r="B5868">
        <f>Assumptions!$B$60</f>
        <v/>
      </c>
      <c r="C5868" t="n">
        <v>1</v>
      </c>
      <c r="D5868" t="n">
        <v>1</v>
      </c>
      <c r="E5868" t="n">
        <v>0</v>
      </c>
      <c r="F5868" t="n">
        <v>0</v>
      </c>
      <c r="G5868" t="n">
        <v>1</v>
      </c>
      <c r="H5868" t="n">
        <v>0</v>
      </c>
      <c r="I5868" t="n">
        <v>0</v>
      </c>
      <c r="J5868">
        <f>(1-C5868)*Assumptions!$B$41+(1-D5868)*Assumptions!$B$33+(1-E5868)*Assumptions!$B$32+(1-F5868)*Assumptions!$B$31+(1-G5868)*Assumptions!$B$30+(1-H5868)*Assumptions!$B$29+(1-I5868)*Assumptions!$B$28</f>
        <v/>
      </c>
      <c r="K5868">
        <f>C5868*$J$607+D5868*$F$607+E5868*$G$607+F5868*Assumptions!$B$14+G5868*Assumptions!$B$13+H5868*Assumptions!$B$12+I5868*Assumptions!$B$11+$O$607+$S$607+Assumptions!$B$9</f>
        <v/>
      </c>
      <c r="L5868">
        <f>B5868-J5868</f>
        <v/>
      </c>
      <c r="M5868">
        <f>IF(K5868&gt;0,IF(L5868/K5868&gt;=Assumptions!$B$37,1,0),0)</f>
        <v/>
      </c>
      <c r="N5868">
        <f>K5868+M5868*Assumptions!$B$153</f>
        <v/>
      </c>
      <c r="O5868">
        <f>L5868+M5868*Assumptions!$B$153*Assumptions!$B$37</f>
        <v/>
      </c>
      <c r="P5868">
        <f>IF(N5868&gt;0,O5868/N5868,0)</f>
        <v/>
      </c>
      <c r="Q5868">
        <f>IF(C5868=1,P5868*$J$607,Assumptions!$B$41)</f>
        <v/>
      </c>
      <c r="R5868">
        <f>IF(D5868=1,P5868*$F$607,Assumptions!$B$33)</f>
        <v/>
      </c>
      <c r="S5868">
        <f>IF(E5868=1,P5868*$G$607,Assumptions!$B$32)</f>
        <v/>
      </c>
      <c r="T5868">
        <f>IF(F5868=1,P5868*Assumptions!$B$14,Assumptions!$B$31)</f>
        <v/>
      </c>
      <c r="U5868">
        <f>IF(G5868=1,P5868*Assumptions!$B$13,Assumptions!$B$30)</f>
        <v/>
      </c>
      <c r="V5868">
        <f>IF(H5868=1,P5868*Assumptions!$B$12,Assumptions!$B$29)</f>
        <v/>
      </c>
      <c r="W5868">
        <f>IF(I5868=1,P5868*Assumptions!$B$11,Assumptions!$B$28)</f>
        <v/>
      </c>
      <c r="X5868">
        <f>P5868*($O$607+$S$607)</f>
        <v/>
      </c>
      <c r="Y5868">
        <f>P5868*Assumptions!$B$9</f>
        <v/>
      </c>
      <c r="Z5868">
        <f>IF(M5868=1,(P5868-Assumptions!$B$37)*Assumptions!$B$153,0)</f>
        <v/>
      </c>
      <c r="AA5868">
        <f>Q5868+R5868+S5868+T5868+U5868+V5868+W5868+X5868+Y5868+Z5868</f>
        <v/>
      </c>
      <c r="AB5868" t="n">
        <v>100</v>
      </c>
      <c r="AC5868" t="n">
        <v>36</v>
      </c>
      <c r="AD5868" t="n">
        <v>68</v>
      </c>
      <c r="AE5868" t="n">
        <v>116</v>
      </c>
      <c r="AF5868" t="n">
        <v>108</v>
      </c>
      <c r="AG5868" t="n">
        <v>96</v>
      </c>
      <c r="AH5868" t="n">
        <v>102</v>
      </c>
      <c r="AI5868" t="n">
        <v>101</v>
      </c>
      <c r="AJ5868">
        <f>INDEX($Q$5768:$Q$5895,AC5868+1)</f>
        <v/>
      </c>
      <c r="AK5868">
        <f>INDEX($R$5768:$R$5895,AD5868+1)</f>
        <v/>
      </c>
      <c r="AL5868">
        <f>INDEX($S$5768:$S$5895,AE5868+1)</f>
        <v/>
      </c>
      <c r="AM5868">
        <f>INDEX($T$5768:$T$5895,AF5868+1)</f>
        <v/>
      </c>
      <c r="AN5868">
        <f>INDEX($U$5768:$U$5895,AG5868+1)</f>
        <v/>
      </c>
      <c r="AO5868">
        <f>INDEX($V$5768:$V$5895,AH5868+1)</f>
        <v/>
      </c>
      <c r="AP5868">
        <f>INDEX($W$5768:$W$5895,AI5868+1)</f>
        <v/>
      </c>
      <c r="AQ5868">
        <f>IF(Q5868&gt;=AJ5868-0.01,1,0)</f>
        <v/>
      </c>
      <c r="AR5868">
        <f>IF(R5868&gt;=AK5868-0.01,1,0)</f>
        <v/>
      </c>
      <c r="AS5868">
        <f>IF(S5868&gt;=AL5868-0.01,1,0)</f>
        <v/>
      </c>
      <c r="AT5868">
        <f>IF(T5868&gt;=AM5868-0.01,1,0)</f>
        <v/>
      </c>
      <c r="AU5868">
        <f>IF(U5868&gt;=AN5868-0.01,1,0)</f>
        <v/>
      </c>
      <c r="AV5868">
        <f>IF(V5868&gt;=AO5868-0.01,1,0)</f>
        <v/>
      </c>
      <c r="AW5868">
        <f>IF(W5868&gt;=AP5868-0.01,1,0)</f>
        <v/>
      </c>
      <c r="AX5868">
        <f>AQ5868*AR5868*AS5868*AT5868*AU5868*AV5868*AW5868</f>
        <v/>
      </c>
    </row>
    <row r="5869">
      <c r="A5869" t="inlineStr"/>
      <c r="B5869">
        <f>Assumptions!$B$60</f>
        <v/>
      </c>
      <c r="C5869" t="n">
        <v>1</v>
      </c>
      <c r="D5869" t="n">
        <v>1</v>
      </c>
      <c r="E5869" t="n">
        <v>0</v>
      </c>
      <c r="F5869" t="n">
        <v>0</v>
      </c>
      <c r="G5869" t="n">
        <v>1</v>
      </c>
      <c r="H5869" t="n">
        <v>0</v>
      </c>
      <c r="I5869" t="n">
        <v>1</v>
      </c>
      <c r="J5869">
        <f>(1-C5869)*Assumptions!$B$41+(1-D5869)*Assumptions!$B$33+(1-E5869)*Assumptions!$B$32+(1-F5869)*Assumptions!$B$31+(1-G5869)*Assumptions!$B$30+(1-H5869)*Assumptions!$B$29+(1-I5869)*Assumptions!$B$28</f>
        <v/>
      </c>
      <c r="K5869">
        <f>C5869*$J$607+D5869*$F$607+E5869*$G$607+F5869*Assumptions!$B$14+G5869*Assumptions!$B$13+H5869*Assumptions!$B$12+I5869*Assumptions!$B$11+$O$607+$S$607+Assumptions!$B$9</f>
        <v/>
      </c>
      <c r="L5869">
        <f>B5869-J5869</f>
        <v/>
      </c>
      <c r="M5869">
        <f>IF(K5869&gt;0,IF(L5869/K5869&gt;=Assumptions!$B$37,1,0),0)</f>
        <v/>
      </c>
      <c r="N5869">
        <f>K5869+M5869*Assumptions!$B$153</f>
        <v/>
      </c>
      <c r="O5869">
        <f>L5869+M5869*Assumptions!$B$153*Assumptions!$B$37</f>
        <v/>
      </c>
      <c r="P5869">
        <f>IF(N5869&gt;0,O5869/N5869,0)</f>
        <v/>
      </c>
      <c r="Q5869">
        <f>IF(C5869=1,P5869*$J$607,Assumptions!$B$41)</f>
        <v/>
      </c>
      <c r="R5869">
        <f>IF(D5869=1,P5869*$F$607,Assumptions!$B$33)</f>
        <v/>
      </c>
      <c r="S5869">
        <f>IF(E5869=1,P5869*$G$607,Assumptions!$B$32)</f>
        <v/>
      </c>
      <c r="T5869">
        <f>IF(F5869=1,P5869*Assumptions!$B$14,Assumptions!$B$31)</f>
        <v/>
      </c>
      <c r="U5869">
        <f>IF(G5869=1,P5869*Assumptions!$B$13,Assumptions!$B$30)</f>
        <v/>
      </c>
      <c r="V5869">
        <f>IF(H5869=1,P5869*Assumptions!$B$12,Assumptions!$B$29)</f>
        <v/>
      </c>
      <c r="W5869">
        <f>IF(I5869=1,P5869*Assumptions!$B$11,Assumptions!$B$28)</f>
        <v/>
      </c>
      <c r="X5869">
        <f>P5869*($O$607+$S$607)</f>
        <v/>
      </c>
      <c r="Y5869">
        <f>P5869*Assumptions!$B$9</f>
        <v/>
      </c>
      <c r="Z5869">
        <f>IF(M5869=1,(P5869-Assumptions!$B$37)*Assumptions!$B$153,0)</f>
        <v/>
      </c>
      <c r="AA5869">
        <f>Q5869+R5869+S5869+T5869+U5869+V5869+W5869+X5869+Y5869+Z5869</f>
        <v/>
      </c>
      <c r="AB5869" t="n">
        <v>101</v>
      </c>
      <c r="AC5869" t="n">
        <v>37</v>
      </c>
      <c r="AD5869" t="n">
        <v>69</v>
      </c>
      <c r="AE5869" t="n">
        <v>117</v>
      </c>
      <c r="AF5869" t="n">
        <v>109</v>
      </c>
      <c r="AG5869" t="n">
        <v>97</v>
      </c>
      <c r="AH5869" t="n">
        <v>103</v>
      </c>
      <c r="AI5869" t="n">
        <v>100</v>
      </c>
      <c r="AJ5869">
        <f>INDEX($Q$5768:$Q$5895,AC5869+1)</f>
        <v/>
      </c>
      <c r="AK5869">
        <f>INDEX($R$5768:$R$5895,AD5869+1)</f>
        <v/>
      </c>
      <c r="AL5869">
        <f>INDEX($S$5768:$S$5895,AE5869+1)</f>
        <v/>
      </c>
      <c r="AM5869">
        <f>INDEX($T$5768:$T$5895,AF5869+1)</f>
        <v/>
      </c>
      <c r="AN5869">
        <f>INDEX($U$5768:$U$5895,AG5869+1)</f>
        <v/>
      </c>
      <c r="AO5869">
        <f>INDEX($V$5768:$V$5895,AH5869+1)</f>
        <v/>
      </c>
      <c r="AP5869">
        <f>INDEX($W$5768:$W$5895,AI5869+1)</f>
        <v/>
      </c>
      <c r="AQ5869">
        <f>IF(Q5869&gt;=AJ5869-0.01,1,0)</f>
        <v/>
      </c>
      <c r="AR5869">
        <f>IF(R5869&gt;=AK5869-0.01,1,0)</f>
        <v/>
      </c>
      <c r="AS5869">
        <f>IF(S5869&gt;=AL5869-0.01,1,0)</f>
        <v/>
      </c>
      <c r="AT5869">
        <f>IF(T5869&gt;=AM5869-0.01,1,0)</f>
        <v/>
      </c>
      <c r="AU5869">
        <f>IF(U5869&gt;=AN5869-0.01,1,0)</f>
        <v/>
      </c>
      <c r="AV5869">
        <f>IF(V5869&gt;=AO5869-0.01,1,0)</f>
        <v/>
      </c>
      <c r="AW5869">
        <f>IF(W5869&gt;=AP5869-0.01,1,0)</f>
        <v/>
      </c>
      <c r="AX5869">
        <f>AQ5869*AR5869*AS5869*AT5869*AU5869*AV5869*AW5869</f>
        <v/>
      </c>
    </row>
    <row r="5870">
      <c r="A5870" t="inlineStr"/>
      <c r="B5870">
        <f>Assumptions!$B$60</f>
        <v/>
      </c>
      <c r="C5870" t="n">
        <v>1</v>
      </c>
      <c r="D5870" t="n">
        <v>1</v>
      </c>
      <c r="E5870" t="n">
        <v>0</v>
      </c>
      <c r="F5870" t="n">
        <v>0</v>
      </c>
      <c r="G5870" t="n">
        <v>1</v>
      </c>
      <c r="H5870" t="n">
        <v>1</v>
      </c>
      <c r="I5870" t="n">
        <v>0</v>
      </c>
      <c r="J5870">
        <f>(1-C5870)*Assumptions!$B$41+(1-D5870)*Assumptions!$B$33+(1-E5870)*Assumptions!$B$32+(1-F5870)*Assumptions!$B$31+(1-G5870)*Assumptions!$B$30+(1-H5870)*Assumptions!$B$29+(1-I5870)*Assumptions!$B$28</f>
        <v/>
      </c>
      <c r="K5870">
        <f>C5870*$J$607+D5870*$F$607+E5870*$G$607+F5870*Assumptions!$B$14+G5870*Assumptions!$B$13+H5870*Assumptions!$B$12+I5870*Assumptions!$B$11+$O$607+$S$607+Assumptions!$B$9</f>
        <v/>
      </c>
      <c r="L5870">
        <f>B5870-J5870</f>
        <v/>
      </c>
      <c r="M5870">
        <f>IF(K5870&gt;0,IF(L5870/K5870&gt;=Assumptions!$B$37,1,0),0)</f>
        <v/>
      </c>
      <c r="N5870">
        <f>K5870+M5870*Assumptions!$B$153</f>
        <v/>
      </c>
      <c r="O5870">
        <f>L5870+M5870*Assumptions!$B$153*Assumptions!$B$37</f>
        <v/>
      </c>
      <c r="P5870">
        <f>IF(N5870&gt;0,O5870/N5870,0)</f>
        <v/>
      </c>
      <c r="Q5870">
        <f>IF(C5870=1,P5870*$J$607,Assumptions!$B$41)</f>
        <v/>
      </c>
      <c r="R5870">
        <f>IF(D5870=1,P5870*$F$607,Assumptions!$B$33)</f>
        <v/>
      </c>
      <c r="S5870">
        <f>IF(E5870=1,P5870*$G$607,Assumptions!$B$32)</f>
        <v/>
      </c>
      <c r="T5870">
        <f>IF(F5870=1,P5870*Assumptions!$B$14,Assumptions!$B$31)</f>
        <v/>
      </c>
      <c r="U5870">
        <f>IF(G5870=1,P5870*Assumptions!$B$13,Assumptions!$B$30)</f>
        <v/>
      </c>
      <c r="V5870">
        <f>IF(H5870=1,P5870*Assumptions!$B$12,Assumptions!$B$29)</f>
        <v/>
      </c>
      <c r="W5870">
        <f>IF(I5870=1,P5870*Assumptions!$B$11,Assumptions!$B$28)</f>
        <v/>
      </c>
      <c r="X5870">
        <f>P5870*($O$607+$S$607)</f>
        <v/>
      </c>
      <c r="Y5870">
        <f>P5870*Assumptions!$B$9</f>
        <v/>
      </c>
      <c r="Z5870">
        <f>IF(M5870=1,(P5870-Assumptions!$B$37)*Assumptions!$B$153,0)</f>
        <v/>
      </c>
      <c r="AA5870">
        <f>Q5870+R5870+S5870+T5870+U5870+V5870+W5870+X5870+Y5870+Z5870</f>
        <v/>
      </c>
      <c r="AB5870" t="n">
        <v>102</v>
      </c>
      <c r="AC5870" t="n">
        <v>38</v>
      </c>
      <c r="AD5870" t="n">
        <v>70</v>
      </c>
      <c r="AE5870" t="n">
        <v>118</v>
      </c>
      <c r="AF5870" t="n">
        <v>110</v>
      </c>
      <c r="AG5870" t="n">
        <v>98</v>
      </c>
      <c r="AH5870" t="n">
        <v>100</v>
      </c>
      <c r="AI5870" t="n">
        <v>103</v>
      </c>
      <c r="AJ5870">
        <f>INDEX($Q$5768:$Q$5895,AC5870+1)</f>
        <v/>
      </c>
      <c r="AK5870">
        <f>INDEX($R$5768:$R$5895,AD5870+1)</f>
        <v/>
      </c>
      <c r="AL5870">
        <f>INDEX($S$5768:$S$5895,AE5870+1)</f>
        <v/>
      </c>
      <c r="AM5870">
        <f>INDEX($T$5768:$T$5895,AF5870+1)</f>
        <v/>
      </c>
      <c r="AN5870">
        <f>INDEX($U$5768:$U$5895,AG5870+1)</f>
        <v/>
      </c>
      <c r="AO5870">
        <f>INDEX($V$5768:$V$5895,AH5870+1)</f>
        <v/>
      </c>
      <c r="AP5870">
        <f>INDEX($W$5768:$W$5895,AI5870+1)</f>
        <v/>
      </c>
      <c r="AQ5870">
        <f>IF(Q5870&gt;=AJ5870-0.01,1,0)</f>
        <v/>
      </c>
      <c r="AR5870">
        <f>IF(R5870&gt;=AK5870-0.01,1,0)</f>
        <v/>
      </c>
      <c r="AS5870">
        <f>IF(S5870&gt;=AL5870-0.01,1,0)</f>
        <v/>
      </c>
      <c r="AT5870">
        <f>IF(T5870&gt;=AM5870-0.01,1,0)</f>
        <v/>
      </c>
      <c r="AU5870">
        <f>IF(U5870&gt;=AN5870-0.01,1,0)</f>
        <v/>
      </c>
      <c r="AV5870">
        <f>IF(V5870&gt;=AO5870-0.01,1,0)</f>
        <v/>
      </c>
      <c r="AW5870">
        <f>IF(W5870&gt;=AP5870-0.01,1,0)</f>
        <v/>
      </c>
      <c r="AX5870">
        <f>AQ5870*AR5870*AS5870*AT5870*AU5870*AV5870*AW5870</f>
        <v/>
      </c>
    </row>
    <row r="5871">
      <c r="A5871" t="inlineStr"/>
      <c r="B5871">
        <f>Assumptions!$B$60</f>
        <v/>
      </c>
      <c r="C5871" t="n">
        <v>1</v>
      </c>
      <c r="D5871" t="n">
        <v>1</v>
      </c>
      <c r="E5871" t="n">
        <v>0</v>
      </c>
      <c r="F5871" t="n">
        <v>0</v>
      </c>
      <c r="G5871" t="n">
        <v>1</v>
      </c>
      <c r="H5871" t="n">
        <v>1</v>
      </c>
      <c r="I5871" t="n">
        <v>1</v>
      </c>
      <c r="J5871">
        <f>(1-C5871)*Assumptions!$B$41+(1-D5871)*Assumptions!$B$33+(1-E5871)*Assumptions!$B$32+(1-F5871)*Assumptions!$B$31+(1-G5871)*Assumptions!$B$30+(1-H5871)*Assumptions!$B$29+(1-I5871)*Assumptions!$B$28</f>
        <v/>
      </c>
      <c r="K5871">
        <f>C5871*$J$607+D5871*$F$607+E5871*$G$607+F5871*Assumptions!$B$14+G5871*Assumptions!$B$13+H5871*Assumptions!$B$12+I5871*Assumptions!$B$11+$O$607+$S$607+Assumptions!$B$9</f>
        <v/>
      </c>
      <c r="L5871">
        <f>B5871-J5871</f>
        <v/>
      </c>
      <c r="M5871">
        <f>IF(K5871&gt;0,IF(L5871/K5871&gt;=Assumptions!$B$37,1,0),0)</f>
        <v/>
      </c>
      <c r="N5871">
        <f>K5871+M5871*Assumptions!$B$153</f>
        <v/>
      </c>
      <c r="O5871">
        <f>L5871+M5871*Assumptions!$B$153*Assumptions!$B$37</f>
        <v/>
      </c>
      <c r="P5871">
        <f>IF(N5871&gt;0,O5871/N5871,0)</f>
        <v/>
      </c>
      <c r="Q5871">
        <f>IF(C5871=1,P5871*$J$607,Assumptions!$B$41)</f>
        <v/>
      </c>
      <c r="R5871">
        <f>IF(D5871=1,P5871*$F$607,Assumptions!$B$33)</f>
        <v/>
      </c>
      <c r="S5871">
        <f>IF(E5871=1,P5871*$G$607,Assumptions!$B$32)</f>
        <v/>
      </c>
      <c r="T5871">
        <f>IF(F5871=1,P5871*Assumptions!$B$14,Assumptions!$B$31)</f>
        <v/>
      </c>
      <c r="U5871">
        <f>IF(G5871=1,P5871*Assumptions!$B$13,Assumptions!$B$30)</f>
        <v/>
      </c>
      <c r="V5871">
        <f>IF(H5871=1,P5871*Assumptions!$B$12,Assumptions!$B$29)</f>
        <v/>
      </c>
      <c r="W5871">
        <f>IF(I5871=1,P5871*Assumptions!$B$11,Assumptions!$B$28)</f>
        <v/>
      </c>
      <c r="X5871">
        <f>P5871*($O$607+$S$607)</f>
        <v/>
      </c>
      <c r="Y5871">
        <f>P5871*Assumptions!$B$9</f>
        <v/>
      </c>
      <c r="Z5871">
        <f>IF(M5871=1,(P5871-Assumptions!$B$37)*Assumptions!$B$153,0)</f>
        <v/>
      </c>
      <c r="AA5871">
        <f>Q5871+R5871+S5871+T5871+U5871+V5871+W5871+X5871+Y5871+Z5871</f>
        <v/>
      </c>
      <c r="AB5871" t="n">
        <v>103</v>
      </c>
      <c r="AC5871" t="n">
        <v>39</v>
      </c>
      <c r="AD5871" t="n">
        <v>71</v>
      </c>
      <c r="AE5871" t="n">
        <v>119</v>
      </c>
      <c r="AF5871" t="n">
        <v>111</v>
      </c>
      <c r="AG5871" t="n">
        <v>99</v>
      </c>
      <c r="AH5871" t="n">
        <v>101</v>
      </c>
      <c r="AI5871" t="n">
        <v>102</v>
      </c>
      <c r="AJ5871">
        <f>INDEX($Q$5768:$Q$5895,AC5871+1)</f>
        <v/>
      </c>
      <c r="AK5871">
        <f>INDEX($R$5768:$R$5895,AD5871+1)</f>
        <v/>
      </c>
      <c r="AL5871">
        <f>INDEX($S$5768:$S$5895,AE5871+1)</f>
        <v/>
      </c>
      <c r="AM5871">
        <f>INDEX($T$5768:$T$5895,AF5871+1)</f>
        <v/>
      </c>
      <c r="AN5871">
        <f>INDEX($U$5768:$U$5895,AG5871+1)</f>
        <v/>
      </c>
      <c r="AO5871">
        <f>INDEX($V$5768:$V$5895,AH5871+1)</f>
        <v/>
      </c>
      <c r="AP5871">
        <f>INDEX($W$5768:$W$5895,AI5871+1)</f>
        <v/>
      </c>
      <c r="AQ5871">
        <f>IF(Q5871&gt;=AJ5871-0.01,1,0)</f>
        <v/>
      </c>
      <c r="AR5871">
        <f>IF(R5871&gt;=AK5871-0.01,1,0)</f>
        <v/>
      </c>
      <c r="AS5871">
        <f>IF(S5871&gt;=AL5871-0.01,1,0)</f>
        <v/>
      </c>
      <c r="AT5871">
        <f>IF(T5871&gt;=AM5871-0.01,1,0)</f>
        <v/>
      </c>
      <c r="AU5871">
        <f>IF(U5871&gt;=AN5871-0.01,1,0)</f>
        <v/>
      </c>
      <c r="AV5871">
        <f>IF(V5871&gt;=AO5871-0.01,1,0)</f>
        <v/>
      </c>
      <c r="AW5871">
        <f>IF(W5871&gt;=AP5871-0.01,1,0)</f>
        <v/>
      </c>
      <c r="AX5871">
        <f>AQ5871*AR5871*AS5871*AT5871*AU5871*AV5871*AW5871</f>
        <v/>
      </c>
    </row>
    <row r="5872">
      <c r="A5872" t="inlineStr"/>
      <c r="B5872">
        <f>Assumptions!$B$60</f>
        <v/>
      </c>
      <c r="C5872" t="n">
        <v>1</v>
      </c>
      <c r="D5872" t="n">
        <v>1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>
        <f>(1-C5872)*Assumptions!$B$41+(1-D5872)*Assumptions!$B$33+(1-E5872)*Assumptions!$B$32+(1-F5872)*Assumptions!$B$31+(1-G5872)*Assumptions!$B$30+(1-H5872)*Assumptions!$B$29+(1-I5872)*Assumptions!$B$28</f>
        <v/>
      </c>
      <c r="K5872">
        <f>C5872*$J$607+D5872*$F$607+E5872*$G$607+F5872*Assumptions!$B$14+G5872*Assumptions!$B$13+H5872*Assumptions!$B$12+I5872*Assumptions!$B$11+$O$607+$S$607+Assumptions!$B$9</f>
        <v/>
      </c>
      <c r="L5872">
        <f>B5872-J5872</f>
        <v/>
      </c>
      <c r="M5872">
        <f>IF(K5872&gt;0,IF(L5872/K5872&gt;=Assumptions!$B$37,1,0),0)</f>
        <v/>
      </c>
      <c r="N5872">
        <f>K5872+M5872*Assumptions!$B$153</f>
        <v/>
      </c>
      <c r="O5872">
        <f>L5872+M5872*Assumptions!$B$153*Assumptions!$B$37</f>
        <v/>
      </c>
      <c r="P5872">
        <f>IF(N5872&gt;0,O5872/N5872,0)</f>
        <v/>
      </c>
      <c r="Q5872">
        <f>IF(C5872=1,P5872*$J$607,Assumptions!$B$41)</f>
        <v/>
      </c>
      <c r="R5872">
        <f>IF(D5872=1,P5872*$F$607,Assumptions!$B$33)</f>
        <v/>
      </c>
      <c r="S5872">
        <f>IF(E5872=1,P5872*$G$607,Assumptions!$B$32)</f>
        <v/>
      </c>
      <c r="T5872">
        <f>IF(F5872=1,P5872*Assumptions!$B$14,Assumptions!$B$31)</f>
        <v/>
      </c>
      <c r="U5872">
        <f>IF(G5872=1,P5872*Assumptions!$B$13,Assumptions!$B$30)</f>
        <v/>
      </c>
      <c r="V5872">
        <f>IF(H5872=1,P5872*Assumptions!$B$12,Assumptions!$B$29)</f>
        <v/>
      </c>
      <c r="W5872">
        <f>IF(I5872=1,P5872*Assumptions!$B$11,Assumptions!$B$28)</f>
        <v/>
      </c>
      <c r="X5872">
        <f>P5872*($O$607+$S$607)</f>
        <v/>
      </c>
      <c r="Y5872">
        <f>P5872*Assumptions!$B$9</f>
        <v/>
      </c>
      <c r="Z5872">
        <f>IF(M5872=1,(P5872-Assumptions!$B$37)*Assumptions!$B$153,0)</f>
        <v/>
      </c>
      <c r="AA5872">
        <f>Q5872+R5872+S5872+T5872+U5872+V5872+W5872+X5872+Y5872+Z5872</f>
        <v/>
      </c>
      <c r="AB5872" t="n">
        <v>104</v>
      </c>
      <c r="AC5872" t="n">
        <v>40</v>
      </c>
      <c r="AD5872" t="n">
        <v>72</v>
      </c>
      <c r="AE5872" t="n">
        <v>120</v>
      </c>
      <c r="AF5872" t="n">
        <v>96</v>
      </c>
      <c r="AG5872" t="n">
        <v>108</v>
      </c>
      <c r="AH5872" t="n">
        <v>106</v>
      </c>
      <c r="AI5872" t="n">
        <v>105</v>
      </c>
      <c r="AJ5872">
        <f>INDEX($Q$5768:$Q$5895,AC5872+1)</f>
        <v/>
      </c>
      <c r="AK5872">
        <f>INDEX($R$5768:$R$5895,AD5872+1)</f>
        <v/>
      </c>
      <c r="AL5872">
        <f>INDEX($S$5768:$S$5895,AE5872+1)</f>
        <v/>
      </c>
      <c r="AM5872">
        <f>INDEX($T$5768:$T$5895,AF5872+1)</f>
        <v/>
      </c>
      <c r="AN5872">
        <f>INDEX($U$5768:$U$5895,AG5872+1)</f>
        <v/>
      </c>
      <c r="AO5872">
        <f>INDEX($V$5768:$V$5895,AH5872+1)</f>
        <v/>
      </c>
      <c r="AP5872">
        <f>INDEX($W$5768:$W$5895,AI5872+1)</f>
        <v/>
      </c>
      <c r="AQ5872">
        <f>IF(Q5872&gt;=AJ5872-0.01,1,0)</f>
        <v/>
      </c>
      <c r="AR5872">
        <f>IF(R5872&gt;=AK5872-0.01,1,0)</f>
        <v/>
      </c>
      <c r="AS5872">
        <f>IF(S5872&gt;=AL5872-0.01,1,0)</f>
        <v/>
      </c>
      <c r="AT5872">
        <f>IF(T5872&gt;=AM5872-0.01,1,0)</f>
        <v/>
      </c>
      <c r="AU5872">
        <f>IF(U5872&gt;=AN5872-0.01,1,0)</f>
        <v/>
      </c>
      <c r="AV5872">
        <f>IF(V5872&gt;=AO5872-0.01,1,0)</f>
        <v/>
      </c>
      <c r="AW5872">
        <f>IF(W5872&gt;=AP5872-0.01,1,0)</f>
        <v/>
      </c>
      <c r="AX5872">
        <f>AQ5872*AR5872*AS5872*AT5872*AU5872*AV5872*AW5872</f>
        <v/>
      </c>
    </row>
    <row r="5873">
      <c r="A5873" t="inlineStr"/>
      <c r="B5873">
        <f>Assumptions!$B$60</f>
        <v/>
      </c>
      <c r="C5873" t="n">
        <v>1</v>
      </c>
      <c r="D5873" t="n">
        <v>1</v>
      </c>
      <c r="E5873" t="n">
        <v>0</v>
      </c>
      <c r="F5873" t="n">
        <v>1</v>
      </c>
      <c r="G5873" t="n">
        <v>0</v>
      </c>
      <c r="H5873" t="n">
        <v>0</v>
      </c>
      <c r="I5873" t="n">
        <v>1</v>
      </c>
      <c r="J5873">
        <f>(1-C5873)*Assumptions!$B$41+(1-D5873)*Assumptions!$B$33+(1-E5873)*Assumptions!$B$32+(1-F5873)*Assumptions!$B$31+(1-G5873)*Assumptions!$B$30+(1-H5873)*Assumptions!$B$29+(1-I5873)*Assumptions!$B$28</f>
        <v/>
      </c>
      <c r="K5873">
        <f>C5873*$J$607+D5873*$F$607+E5873*$G$607+F5873*Assumptions!$B$14+G5873*Assumptions!$B$13+H5873*Assumptions!$B$12+I5873*Assumptions!$B$11+$O$607+$S$607+Assumptions!$B$9</f>
        <v/>
      </c>
      <c r="L5873">
        <f>B5873-J5873</f>
        <v/>
      </c>
      <c r="M5873">
        <f>IF(K5873&gt;0,IF(L5873/K5873&gt;=Assumptions!$B$37,1,0),0)</f>
        <v/>
      </c>
      <c r="N5873">
        <f>K5873+M5873*Assumptions!$B$153</f>
        <v/>
      </c>
      <c r="O5873">
        <f>L5873+M5873*Assumptions!$B$153*Assumptions!$B$37</f>
        <v/>
      </c>
      <c r="P5873">
        <f>IF(N5873&gt;0,O5873/N5873,0)</f>
        <v/>
      </c>
      <c r="Q5873">
        <f>IF(C5873=1,P5873*$J$607,Assumptions!$B$41)</f>
        <v/>
      </c>
      <c r="R5873">
        <f>IF(D5873=1,P5873*$F$607,Assumptions!$B$33)</f>
        <v/>
      </c>
      <c r="S5873">
        <f>IF(E5873=1,P5873*$G$607,Assumptions!$B$32)</f>
        <v/>
      </c>
      <c r="T5873">
        <f>IF(F5873=1,P5873*Assumptions!$B$14,Assumptions!$B$31)</f>
        <v/>
      </c>
      <c r="U5873">
        <f>IF(G5873=1,P5873*Assumptions!$B$13,Assumptions!$B$30)</f>
        <v/>
      </c>
      <c r="V5873">
        <f>IF(H5873=1,P5873*Assumptions!$B$12,Assumptions!$B$29)</f>
        <v/>
      </c>
      <c r="W5873">
        <f>IF(I5873=1,P5873*Assumptions!$B$11,Assumptions!$B$28)</f>
        <v/>
      </c>
      <c r="X5873">
        <f>P5873*($O$607+$S$607)</f>
        <v/>
      </c>
      <c r="Y5873">
        <f>P5873*Assumptions!$B$9</f>
        <v/>
      </c>
      <c r="Z5873">
        <f>IF(M5873=1,(P5873-Assumptions!$B$37)*Assumptions!$B$153,0)</f>
        <v/>
      </c>
      <c r="AA5873">
        <f>Q5873+R5873+S5873+T5873+U5873+V5873+W5873+X5873+Y5873+Z5873</f>
        <v/>
      </c>
      <c r="AB5873" t="n">
        <v>105</v>
      </c>
      <c r="AC5873" t="n">
        <v>41</v>
      </c>
      <c r="AD5873" t="n">
        <v>73</v>
      </c>
      <c r="AE5873" t="n">
        <v>121</v>
      </c>
      <c r="AF5873" t="n">
        <v>97</v>
      </c>
      <c r="AG5873" t="n">
        <v>109</v>
      </c>
      <c r="AH5873" t="n">
        <v>107</v>
      </c>
      <c r="AI5873" t="n">
        <v>104</v>
      </c>
      <c r="AJ5873">
        <f>INDEX($Q$5768:$Q$5895,AC5873+1)</f>
        <v/>
      </c>
      <c r="AK5873">
        <f>INDEX($R$5768:$R$5895,AD5873+1)</f>
        <v/>
      </c>
      <c r="AL5873">
        <f>INDEX($S$5768:$S$5895,AE5873+1)</f>
        <v/>
      </c>
      <c r="AM5873">
        <f>INDEX($T$5768:$T$5895,AF5873+1)</f>
        <v/>
      </c>
      <c r="AN5873">
        <f>INDEX($U$5768:$U$5895,AG5873+1)</f>
        <v/>
      </c>
      <c r="AO5873">
        <f>INDEX($V$5768:$V$5895,AH5873+1)</f>
        <v/>
      </c>
      <c r="AP5873">
        <f>INDEX($W$5768:$W$5895,AI5873+1)</f>
        <v/>
      </c>
      <c r="AQ5873">
        <f>IF(Q5873&gt;=AJ5873-0.01,1,0)</f>
        <v/>
      </c>
      <c r="AR5873">
        <f>IF(R5873&gt;=AK5873-0.01,1,0)</f>
        <v/>
      </c>
      <c r="AS5873">
        <f>IF(S5873&gt;=AL5873-0.01,1,0)</f>
        <v/>
      </c>
      <c r="AT5873">
        <f>IF(T5873&gt;=AM5873-0.01,1,0)</f>
        <v/>
      </c>
      <c r="AU5873">
        <f>IF(U5873&gt;=AN5873-0.01,1,0)</f>
        <v/>
      </c>
      <c r="AV5873">
        <f>IF(V5873&gt;=AO5873-0.01,1,0)</f>
        <v/>
      </c>
      <c r="AW5873">
        <f>IF(W5873&gt;=AP5873-0.01,1,0)</f>
        <v/>
      </c>
      <c r="AX5873">
        <f>AQ5873*AR5873*AS5873*AT5873*AU5873*AV5873*AW5873</f>
        <v/>
      </c>
    </row>
    <row r="5874">
      <c r="A5874" t="inlineStr"/>
      <c r="B5874">
        <f>Assumptions!$B$60</f>
        <v/>
      </c>
      <c r="C5874" t="n">
        <v>1</v>
      </c>
      <c r="D5874" t="n">
        <v>1</v>
      </c>
      <c r="E5874" t="n">
        <v>0</v>
      </c>
      <c r="F5874" t="n">
        <v>1</v>
      </c>
      <c r="G5874" t="n">
        <v>0</v>
      </c>
      <c r="H5874" t="n">
        <v>1</v>
      </c>
      <c r="I5874" t="n">
        <v>0</v>
      </c>
      <c r="J5874">
        <f>(1-C5874)*Assumptions!$B$41+(1-D5874)*Assumptions!$B$33+(1-E5874)*Assumptions!$B$32+(1-F5874)*Assumptions!$B$31+(1-G5874)*Assumptions!$B$30+(1-H5874)*Assumptions!$B$29+(1-I5874)*Assumptions!$B$28</f>
        <v/>
      </c>
      <c r="K5874">
        <f>C5874*$J$607+D5874*$F$607+E5874*$G$607+F5874*Assumptions!$B$14+G5874*Assumptions!$B$13+H5874*Assumptions!$B$12+I5874*Assumptions!$B$11+$O$607+$S$607+Assumptions!$B$9</f>
        <v/>
      </c>
      <c r="L5874">
        <f>B5874-J5874</f>
        <v/>
      </c>
      <c r="M5874">
        <f>IF(K5874&gt;0,IF(L5874/K5874&gt;=Assumptions!$B$37,1,0),0)</f>
        <v/>
      </c>
      <c r="N5874">
        <f>K5874+M5874*Assumptions!$B$153</f>
        <v/>
      </c>
      <c r="O5874">
        <f>L5874+M5874*Assumptions!$B$153*Assumptions!$B$37</f>
        <v/>
      </c>
      <c r="P5874">
        <f>IF(N5874&gt;0,O5874/N5874,0)</f>
        <v/>
      </c>
      <c r="Q5874">
        <f>IF(C5874=1,P5874*$J$607,Assumptions!$B$41)</f>
        <v/>
      </c>
      <c r="R5874">
        <f>IF(D5874=1,P5874*$F$607,Assumptions!$B$33)</f>
        <v/>
      </c>
      <c r="S5874">
        <f>IF(E5874=1,P5874*$G$607,Assumptions!$B$32)</f>
        <v/>
      </c>
      <c r="T5874">
        <f>IF(F5874=1,P5874*Assumptions!$B$14,Assumptions!$B$31)</f>
        <v/>
      </c>
      <c r="U5874">
        <f>IF(G5874=1,P5874*Assumptions!$B$13,Assumptions!$B$30)</f>
        <v/>
      </c>
      <c r="V5874">
        <f>IF(H5874=1,P5874*Assumptions!$B$12,Assumptions!$B$29)</f>
        <v/>
      </c>
      <c r="W5874">
        <f>IF(I5874=1,P5874*Assumptions!$B$11,Assumptions!$B$28)</f>
        <v/>
      </c>
      <c r="X5874">
        <f>P5874*($O$607+$S$607)</f>
        <v/>
      </c>
      <c r="Y5874">
        <f>P5874*Assumptions!$B$9</f>
        <v/>
      </c>
      <c r="Z5874">
        <f>IF(M5874=1,(P5874-Assumptions!$B$37)*Assumptions!$B$153,0)</f>
        <v/>
      </c>
      <c r="AA5874">
        <f>Q5874+R5874+S5874+T5874+U5874+V5874+W5874+X5874+Y5874+Z5874</f>
        <v/>
      </c>
      <c r="AB5874" t="n">
        <v>106</v>
      </c>
      <c r="AC5874" t="n">
        <v>42</v>
      </c>
      <c r="AD5874" t="n">
        <v>74</v>
      </c>
      <c r="AE5874" t="n">
        <v>122</v>
      </c>
      <c r="AF5874" t="n">
        <v>98</v>
      </c>
      <c r="AG5874" t="n">
        <v>110</v>
      </c>
      <c r="AH5874" t="n">
        <v>104</v>
      </c>
      <c r="AI5874" t="n">
        <v>107</v>
      </c>
      <c r="AJ5874">
        <f>INDEX($Q$5768:$Q$5895,AC5874+1)</f>
        <v/>
      </c>
      <c r="AK5874">
        <f>INDEX($R$5768:$R$5895,AD5874+1)</f>
        <v/>
      </c>
      <c r="AL5874">
        <f>INDEX($S$5768:$S$5895,AE5874+1)</f>
        <v/>
      </c>
      <c r="AM5874">
        <f>INDEX($T$5768:$T$5895,AF5874+1)</f>
        <v/>
      </c>
      <c r="AN5874">
        <f>INDEX($U$5768:$U$5895,AG5874+1)</f>
        <v/>
      </c>
      <c r="AO5874">
        <f>INDEX($V$5768:$V$5895,AH5874+1)</f>
        <v/>
      </c>
      <c r="AP5874">
        <f>INDEX($W$5768:$W$5895,AI5874+1)</f>
        <v/>
      </c>
      <c r="AQ5874">
        <f>IF(Q5874&gt;=AJ5874-0.01,1,0)</f>
        <v/>
      </c>
      <c r="AR5874">
        <f>IF(R5874&gt;=AK5874-0.01,1,0)</f>
        <v/>
      </c>
      <c r="AS5874">
        <f>IF(S5874&gt;=AL5874-0.01,1,0)</f>
        <v/>
      </c>
      <c r="AT5874">
        <f>IF(T5874&gt;=AM5874-0.01,1,0)</f>
        <v/>
      </c>
      <c r="AU5874">
        <f>IF(U5874&gt;=AN5874-0.01,1,0)</f>
        <v/>
      </c>
      <c r="AV5874">
        <f>IF(V5874&gt;=AO5874-0.01,1,0)</f>
        <v/>
      </c>
      <c r="AW5874">
        <f>IF(W5874&gt;=AP5874-0.01,1,0)</f>
        <v/>
      </c>
      <c r="AX5874">
        <f>AQ5874*AR5874*AS5874*AT5874*AU5874*AV5874*AW5874</f>
        <v/>
      </c>
    </row>
    <row r="5875">
      <c r="A5875" t="inlineStr"/>
      <c r="B5875">
        <f>Assumptions!$B$60</f>
        <v/>
      </c>
      <c r="C5875" t="n">
        <v>1</v>
      </c>
      <c r="D5875" t="n">
        <v>1</v>
      </c>
      <c r="E5875" t="n">
        <v>0</v>
      </c>
      <c r="F5875" t="n">
        <v>1</v>
      </c>
      <c r="G5875" t="n">
        <v>0</v>
      </c>
      <c r="H5875" t="n">
        <v>1</v>
      </c>
      <c r="I5875" t="n">
        <v>1</v>
      </c>
      <c r="J5875">
        <f>(1-C5875)*Assumptions!$B$41+(1-D5875)*Assumptions!$B$33+(1-E5875)*Assumptions!$B$32+(1-F5875)*Assumptions!$B$31+(1-G5875)*Assumptions!$B$30+(1-H5875)*Assumptions!$B$29+(1-I5875)*Assumptions!$B$28</f>
        <v/>
      </c>
      <c r="K5875">
        <f>C5875*$J$607+D5875*$F$607+E5875*$G$607+F5875*Assumptions!$B$14+G5875*Assumptions!$B$13+H5875*Assumptions!$B$12+I5875*Assumptions!$B$11+$O$607+$S$607+Assumptions!$B$9</f>
        <v/>
      </c>
      <c r="L5875">
        <f>B5875-J5875</f>
        <v/>
      </c>
      <c r="M5875">
        <f>IF(K5875&gt;0,IF(L5875/K5875&gt;=Assumptions!$B$37,1,0),0)</f>
        <v/>
      </c>
      <c r="N5875">
        <f>K5875+M5875*Assumptions!$B$153</f>
        <v/>
      </c>
      <c r="O5875">
        <f>L5875+M5875*Assumptions!$B$153*Assumptions!$B$37</f>
        <v/>
      </c>
      <c r="P5875">
        <f>IF(N5875&gt;0,O5875/N5875,0)</f>
        <v/>
      </c>
      <c r="Q5875">
        <f>IF(C5875=1,P5875*$J$607,Assumptions!$B$41)</f>
        <v/>
      </c>
      <c r="R5875">
        <f>IF(D5875=1,P5875*$F$607,Assumptions!$B$33)</f>
        <v/>
      </c>
      <c r="S5875">
        <f>IF(E5875=1,P5875*$G$607,Assumptions!$B$32)</f>
        <v/>
      </c>
      <c r="T5875">
        <f>IF(F5875=1,P5875*Assumptions!$B$14,Assumptions!$B$31)</f>
        <v/>
      </c>
      <c r="U5875">
        <f>IF(G5875=1,P5875*Assumptions!$B$13,Assumptions!$B$30)</f>
        <v/>
      </c>
      <c r="V5875">
        <f>IF(H5875=1,P5875*Assumptions!$B$12,Assumptions!$B$29)</f>
        <v/>
      </c>
      <c r="W5875">
        <f>IF(I5875=1,P5875*Assumptions!$B$11,Assumptions!$B$28)</f>
        <v/>
      </c>
      <c r="X5875">
        <f>P5875*($O$607+$S$607)</f>
        <v/>
      </c>
      <c r="Y5875">
        <f>P5875*Assumptions!$B$9</f>
        <v/>
      </c>
      <c r="Z5875">
        <f>IF(M5875=1,(P5875-Assumptions!$B$37)*Assumptions!$B$153,0)</f>
        <v/>
      </c>
      <c r="AA5875">
        <f>Q5875+R5875+S5875+T5875+U5875+V5875+W5875+X5875+Y5875+Z5875</f>
        <v/>
      </c>
      <c r="AB5875" t="n">
        <v>107</v>
      </c>
      <c r="AC5875" t="n">
        <v>43</v>
      </c>
      <c r="AD5875" t="n">
        <v>75</v>
      </c>
      <c r="AE5875" t="n">
        <v>123</v>
      </c>
      <c r="AF5875" t="n">
        <v>99</v>
      </c>
      <c r="AG5875" t="n">
        <v>111</v>
      </c>
      <c r="AH5875" t="n">
        <v>105</v>
      </c>
      <c r="AI5875" t="n">
        <v>106</v>
      </c>
      <c r="AJ5875">
        <f>INDEX($Q$5768:$Q$5895,AC5875+1)</f>
        <v/>
      </c>
      <c r="AK5875">
        <f>INDEX($R$5768:$R$5895,AD5875+1)</f>
        <v/>
      </c>
      <c r="AL5875">
        <f>INDEX($S$5768:$S$5895,AE5875+1)</f>
        <v/>
      </c>
      <c r="AM5875">
        <f>INDEX($T$5768:$T$5895,AF5875+1)</f>
        <v/>
      </c>
      <c r="AN5875">
        <f>INDEX($U$5768:$U$5895,AG5875+1)</f>
        <v/>
      </c>
      <c r="AO5875">
        <f>INDEX($V$5768:$V$5895,AH5875+1)</f>
        <v/>
      </c>
      <c r="AP5875">
        <f>INDEX($W$5768:$W$5895,AI5875+1)</f>
        <v/>
      </c>
      <c r="AQ5875">
        <f>IF(Q5875&gt;=AJ5875-0.01,1,0)</f>
        <v/>
      </c>
      <c r="AR5875">
        <f>IF(R5875&gt;=AK5875-0.01,1,0)</f>
        <v/>
      </c>
      <c r="AS5875">
        <f>IF(S5875&gt;=AL5875-0.01,1,0)</f>
        <v/>
      </c>
      <c r="AT5875">
        <f>IF(T5875&gt;=AM5875-0.01,1,0)</f>
        <v/>
      </c>
      <c r="AU5875">
        <f>IF(U5875&gt;=AN5875-0.01,1,0)</f>
        <v/>
      </c>
      <c r="AV5875">
        <f>IF(V5875&gt;=AO5875-0.01,1,0)</f>
        <v/>
      </c>
      <c r="AW5875">
        <f>IF(W5875&gt;=AP5875-0.01,1,0)</f>
        <v/>
      </c>
      <c r="AX5875">
        <f>AQ5875*AR5875*AS5875*AT5875*AU5875*AV5875*AW5875</f>
        <v/>
      </c>
    </row>
    <row r="5876">
      <c r="A5876" t="inlineStr"/>
      <c r="B5876">
        <f>Assumptions!$B$60</f>
        <v/>
      </c>
      <c r="C5876" t="n">
        <v>1</v>
      </c>
      <c r="D5876" t="n">
        <v>1</v>
      </c>
      <c r="E5876" t="n">
        <v>0</v>
      </c>
      <c r="F5876" t="n">
        <v>1</v>
      </c>
      <c r="G5876" t="n">
        <v>1</v>
      </c>
      <c r="H5876" t="n">
        <v>0</v>
      </c>
      <c r="I5876" t="n">
        <v>0</v>
      </c>
      <c r="J5876">
        <f>(1-C5876)*Assumptions!$B$41+(1-D5876)*Assumptions!$B$33+(1-E5876)*Assumptions!$B$32+(1-F5876)*Assumptions!$B$31+(1-G5876)*Assumptions!$B$30+(1-H5876)*Assumptions!$B$29+(1-I5876)*Assumptions!$B$28</f>
        <v/>
      </c>
      <c r="K5876">
        <f>C5876*$J$607+D5876*$F$607+E5876*$G$607+F5876*Assumptions!$B$14+G5876*Assumptions!$B$13+H5876*Assumptions!$B$12+I5876*Assumptions!$B$11+$O$607+$S$607+Assumptions!$B$9</f>
        <v/>
      </c>
      <c r="L5876">
        <f>B5876-J5876</f>
        <v/>
      </c>
      <c r="M5876">
        <f>IF(K5876&gt;0,IF(L5876/K5876&gt;=Assumptions!$B$37,1,0),0)</f>
        <v/>
      </c>
      <c r="N5876">
        <f>K5876+M5876*Assumptions!$B$153</f>
        <v/>
      </c>
      <c r="O5876">
        <f>L5876+M5876*Assumptions!$B$153*Assumptions!$B$37</f>
        <v/>
      </c>
      <c r="P5876">
        <f>IF(N5876&gt;0,O5876/N5876,0)</f>
        <v/>
      </c>
      <c r="Q5876">
        <f>IF(C5876=1,P5876*$J$607,Assumptions!$B$41)</f>
        <v/>
      </c>
      <c r="R5876">
        <f>IF(D5876=1,P5876*$F$607,Assumptions!$B$33)</f>
        <v/>
      </c>
      <c r="S5876">
        <f>IF(E5876=1,P5876*$G$607,Assumptions!$B$32)</f>
        <v/>
      </c>
      <c r="T5876">
        <f>IF(F5876=1,P5876*Assumptions!$B$14,Assumptions!$B$31)</f>
        <v/>
      </c>
      <c r="U5876">
        <f>IF(G5876=1,P5876*Assumptions!$B$13,Assumptions!$B$30)</f>
        <v/>
      </c>
      <c r="V5876">
        <f>IF(H5876=1,P5876*Assumptions!$B$12,Assumptions!$B$29)</f>
        <v/>
      </c>
      <c r="W5876">
        <f>IF(I5876=1,P5876*Assumptions!$B$11,Assumptions!$B$28)</f>
        <v/>
      </c>
      <c r="X5876">
        <f>P5876*($O$607+$S$607)</f>
        <v/>
      </c>
      <c r="Y5876">
        <f>P5876*Assumptions!$B$9</f>
        <v/>
      </c>
      <c r="Z5876">
        <f>IF(M5876=1,(P5876-Assumptions!$B$37)*Assumptions!$B$153,0)</f>
        <v/>
      </c>
      <c r="AA5876">
        <f>Q5876+R5876+S5876+T5876+U5876+V5876+W5876+X5876+Y5876+Z5876</f>
        <v/>
      </c>
      <c r="AB5876" t="n">
        <v>108</v>
      </c>
      <c r="AC5876" t="n">
        <v>44</v>
      </c>
      <c r="AD5876" t="n">
        <v>76</v>
      </c>
      <c r="AE5876" t="n">
        <v>124</v>
      </c>
      <c r="AF5876" t="n">
        <v>100</v>
      </c>
      <c r="AG5876" t="n">
        <v>104</v>
      </c>
      <c r="AH5876" t="n">
        <v>110</v>
      </c>
      <c r="AI5876" t="n">
        <v>109</v>
      </c>
      <c r="AJ5876">
        <f>INDEX($Q$5768:$Q$5895,AC5876+1)</f>
        <v/>
      </c>
      <c r="AK5876">
        <f>INDEX($R$5768:$R$5895,AD5876+1)</f>
        <v/>
      </c>
      <c r="AL5876">
        <f>INDEX($S$5768:$S$5895,AE5876+1)</f>
        <v/>
      </c>
      <c r="AM5876">
        <f>INDEX($T$5768:$T$5895,AF5876+1)</f>
        <v/>
      </c>
      <c r="AN5876">
        <f>INDEX($U$5768:$U$5895,AG5876+1)</f>
        <v/>
      </c>
      <c r="AO5876">
        <f>INDEX($V$5768:$V$5895,AH5876+1)</f>
        <v/>
      </c>
      <c r="AP5876">
        <f>INDEX($W$5768:$W$5895,AI5876+1)</f>
        <v/>
      </c>
      <c r="AQ5876">
        <f>IF(Q5876&gt;=AJ5876-0.01,1,0)</f>
        <v/>
      </c>
      <c r="AR5876">
        <f>IF(R5876&gt;=AK5876-0.01,1,0)</f>
        <v/>
      </c>
      <c r="AS5876">
        <f>IF(S5876&gt;=AL5876-0.01,1,0)</f>
        <v/>
      </c>
      <c r="AT5876">
        <f>IF(T5876&gt;=AM5876-0.01,1,0)</f>
        <v/>
      </c>
      <c r="AU5876">
        <f>IF(U5876&gt;=AN5876-0.01,1,0)</f>
        <v/>
      </c>
      <c r="AV5876">
        <f>IF(V5876&gt;=AO5876-0.01,1,0)</f>
        <v/>
      </c>
      <c r="AW5876">
        <f>IF(W5876&gt;=AP5876-0.01,1,0)</f>
        <v/>
      </c>
      <c r="AX5876">
        <f>AQ5876*AR5876*AS5876*AT5876*AU5876*AV5876*AW5876</f>
        <v/>
      </c>
    </row>
    <row r="5877">
      <c r="A5877" t="inlineStr"/>
      <c r="B5877">
        <f>Assumptions!$B$60</f>
        <v/>
      </c>
      <c r="C5877" t="n">
        <v>1</v>
      </c>
      <c r="D5877" t="n">
        <v>1</v>
      </c>
      <c r="E5877" t="n">
        <v>0</v>
      </c>
      <c r="F5877" t="n">
        <v>1</v>
      </c>
      <c r="G5877" t="n">
        <v>1</v>
      </c>
      <c r="H5877" t="n">
        <v>0</v>
      </c>
      <c r="I5877" t="n">
        <v>1</v>
      </c>
      <c r="J5877">
        <f>(1-C5877)*Assumptions!$B$41+(1-D5877)*Assumptions!$B$33+(1-E5877)*Assumptions!$B$32+(1-F5877)*Assumptions!$B$31+(1-G5877)*Assumptions!$B$30+(1-H5877)*Assumptions!$B$29+(1-I5877)*Assumptions!$B$28</f>
        <v/>
      </c>
      <c r="K5877">
        <f>C5877*$J$607+D5877*$F$607+E5877*$G$607+F5877*Assumptions!$B$14+G5877*Assumptions!$B$13+H5877*Assumptions!$B$12+I5877*Assumptions!$B$11+$O$607+$S$607+Assumptions!$B$9</f>
        <v/>
      </c>
      <c r="L5877">
        <f>B5877-J5877</f>
        <v/>
      </c>
      <c r="M5877">
        <f>IF(K5877&gt;0,IF(L5877/K5877&gt;=Assumptions!$B$37,1,0),0)</f>
        <v/>
      </c>
      <c r="N5877">
        <f>K5877+M5877*Assumptions!$B$153</f>
        <v/>
      </c>
      <c r="O5877">
        <f>L5877+M5877*Assumptions!$B$153*Assumptions!$B$37</f>
        <v/>
      </c>
      <c r="P5877">
        <f>IF(N5877&gt;0,O5877/N5877,0)</f>
        <v/>
      </c>
      <c r="Q5877">
        <f>IF(C5877=1,P5877*$J$607,Assumptions!$B$41)</f>
        <v/>
      </c>
      <c r="R5877">
        <f>IF(D5877=1,P5877*$F$607,Assumptions!$B$33)</f>
        <v/>
      </c>
      <c r="S5877">
        <f>IF(E5877=1,P5877*$G$607,Assumptions!$B$32)</f>
        <v/>
      </c>
      <c r="T5877">
        <f>IF(F5877=1,P5877*Assumptions!$B$14,Assumptions!$B$31)</f>
        <v/>
      </c>
      <c r="U5877">
        <f>IF(G5877=1,P5877*Assumptions!$B$13,Assumptions!$B$30)</f>
        <v/>
      </c>
      <c r="V5877">
        <f>IF(H5877=1,P5877*Assumptions!$B$12,Assumptions!$B$29)</f>
        <v/>
      </c>
      <c r="W5877">
        <f>IF(I5877=1,P5877*Assumptions!$B$11,Assumptions!$B$28)</f>
        <v/>
      </c>
      <c r="X5877">
        <f>P5877*($O$607+$S$607)</f>
        <v/>
      </c>
      <c r="Y5877">
        <f>P5877*Assumptions!$B$9</f>
        <v/>
      </c>
      <c r="Z5877">
        <f>IF(M5877=1,(P5877-Assumptions!$B$37)*Assumptions!$B$153,0)</f>
        <v/>
      </c>
      <c r="AA5877">
        <f>Q5877+R5877+S5877+T5877+U5877+V5877+W5877+X5877+Y5877+Z5877</f>
        <v/>
      </c>
      <c r="AB5877" t="n">
        <v>109</v>
      </c>
      <c r="AC5877" t="n">
        <v>45</v>
      </c>
      <c r="AD5877" t="n">
        <v>77</v>
      </c>
      <c r="AE5877" t="n">
        <v>125</v>
      </c>
      <c r="AF5877" t="n">
        <v>101</v>
      </c>
      <c r="AG5877" t="n">
        <v>105</v>
      </c>
      <c r="AH5877" t="n">
        <v>111</v>
      </c>
      <c r="AI5877" t="n">
        <v>108</v>
      </c>
      <c r="AJ5877">
        <f>INDEX($Q$5768:$Q$5895,AC5877+1)</f>
        <v/>
      </c>
      <c r="AK5877">
        <f>INDEX($R$5768:$R$5895,AD5877+1)</f>
        <v/>
      </c>
      <c r="AL5877">
        <f>INDEX($S$5768:$S$5895,AE5877+1)</f>
        <v/>
      </c>
      <c r="AM5877">
        <f>INDEX($T$5768:$T$5895,AF5877+1)</f>
        <v/>
      </c>
      <c r="AN5877">
        <f>INDEX($U$5768:$U$5895,AG5877+1)</f>
        <v/>
      </c>
      <c r="AO5877">
        <f>INDEX($V$5768:$V$5895,AH5877+1)</f>
        <v/>
      </c>
      <c r="AP5877">
        <f>INDEX($W$5768:$W$5895,AI5877+1)</f>
        <v/>
      </c>
      <c r="AQ5877">
        <f>IF(Q5877&gt;=AJ5877-0.01,1,0)</f>
        <v/>
      </c>
      <c r="AR5877">
        <f>IF(R5877&gt;=AK5877-0.01,1,0)</f>
        <v/>
      </c>
      <c r="AS5877">
        <f>IF(S5877&gt;=AL5877-0.01,1,0)</f>
        <v/>
      </c>
      <c r="AT5877">
        <f>IF(T5877&gt;=AM5877-0.01,1,0)</f>
        <v/>
      </c>
      <c r="AU5877">
        <f>IF(U5877&gt;=AN5877-0.01,1,0)</f>
        <v/>
      </c>
      <c r="AV5877">
        <f>IF(V5877&gt;=AO5877-0.01,1,0)</f>
        <v/>
      </c>
      <c r="AW5877">
        <f>IF(W5877&gt;=AP5877-0.01,1,0)</f>
        <v/>
      </c>
      <c r="AX5877">
        <f>AQ5877*AR5877*AS5877*AT5877*AU5877*AV5877*AW5877</f>
        <v/>
      </c>
    </row>
    <row r="5878">
      <c r="A5878" t="inlineStr"/>
      <c r="B5878">
        <f>Assumptions!$B$60</f>
        <v/>
      </c>
      <c r="C5878" t="n">
        <v>1</v>
      </c>
      <c r="D5878" t="n">
        <v>1</v>
      </c>
      <c r="E5878" t="n">
        <v>0</v>
      </c>
      <c r="F5878" t="n">
        <v>1</v>
      </c>
      <c r="G5878" t="n">
        <v>1</v>
      </c>
      <c r="H5878" t="n">
        <v>1</v>
      </c>
      <c r="I5878" t="n">
        <v>0</v>
      </c>
      <c r="J5878">
        <f>(1-C5878)*Assumptions!$B$41+(1-D5878)*Assumptions!$B$33+(1-E5878)*Assumptions!$B$32+(1-F5878)*Assumptions!$B$31+(1-G5878)*Assumptions!$B$30+(1-H5878)*Assumptions!$B$29+(1-I5878)*Assumptions!$B$28</f>
        <v/>
      </c>
      <c r="K5878">
        <f>C5878*$J$607+D5878*$F$607+E5878*$G$607+F5878*Assumptions!$B$14+G5878*Assumptions!$B$13+H5878*Assumptions!$B$12+I5878*Assumptions!$B$11+$O$607+$S$607+Assumptions!$B$9</f>
        <v/>
      </c>
      <c r="L5878">
        <f>B5878-J5878</f>
        <v/>
      </c>
      <c r="M5878">
        <f>IF(K5878&gt;0,IF(L5878/K5878&gt;=Assumptions!$B$37,1,0),0)</f>
        <v/>
      </c>
      <c r="N5878">
        <f>K5878+M5878*Assumptions!$B$153</f>
        <v/>
      </c>
      <c r="O5878">
        <f>L5878+M5878*Assumptions!$B$153*Assumptions!$B$37</f>
        <v/>
      </c>
      <c r="P5878">
        <f>IF(N5878&gt;0,O5878/N5878,0)</f>
        <v/>
      </c>
      <c r="Q5878">
        <f>IF(C5878=1,P5878*$J$607,Assumptions!$B$41)</f>
        <v/>
      </c>
      <c r="R5878">
        <f>IF(D5878=1,P5878*$F$607,Assumptions!$B$33)</f>
        <v/>
      </c>
      <c r="S5878">
        <f>IF(E5878=1,P5878*$G$607,Assumptions!$B$32)</f>
        <v/>
      </c>
      <c r="T5878">
        <f>IF(F5878=1,P5878*Assumptions!$B$14,Assumptions!$B$31)</f>
        <v/>
      </c>
      <c r="U5878">
        <f>IF(G5878=1,P5878*Assumptions!$B$13,Assumptions!$B$30)</f>
        <v/>
      </c>
      <c r="V5878">
        <f>IF(H5878=1,P5878*Assumptions!$B$12,Assumptions!$B$29)</f>
        <v/>
      </c>
      <c r="W5878">
        <f>IF(I5878=1,P5878*Assumptions!$B$11,Assumptions!$B$28)</f>
        <v/>
      </c>
      <c r="X5878">
        <f>P5878*($O$607+$S$607)</f>
        <v/>
      </c>
      <c r="Y5878">
        <f>P5878*Assumptions!$B$9</f>
        <v/>
      </c>
      <c r="Z5878">
        <f>IF(M5878=1,(P5878-Assumptions!$B$37)*Assumptions!$B$153,0)</f>
        <v/>
      </c>
      <c r="AA5878">
        <f>Q5878+R5878+S5878+T5878+U5878+V5878+W5878+X5878+Y5878+Z5878</f>
        <v/>
      </c>
      <c r="AB5878" t="n">
        <v>110</v>
      </c>
      <c r="AC5878" t="n">
        <v>46</v>
      </c>
      <c r="AD5878" t="n">
        <v>78</v>
      </c>
      <c r="AE5878" t="n">
        <v>126</v>
      </c>
      <c r="AF5878" t="n">
        <v>102</v>
      </c>
      <c r="AG5878" t="n">
        <v>106</v>
      </c>
      <c r="AH5878" t="n">
        <v>108</v>
      </c>
      <c r="AI5878" t="n">
        <v>111</v>
      </c>
      <c r="AJ5878">
        <f>INDEX($Q$5768:$Q$5895,AC5878+1)</f>
        <v/>
      </c>
      <c r="AK5878">
        <f>INDEX($R$5768:$R$5895,AD5878+1)</f>
        <v/>
      </c>
      <c r="AL5878">
        <f>INDEX($S$5768:$S$5895,AE5878+1)</f>
        <v/>
      </c>
      <c r="AM5878">
        <f>INDEX($T$5768:$T$5895,AF5878+1)</f>
        <v/>
      </c>
      <c r="AN5878">
        <f>INDEX($U$5768:$U$5895,AG5878+1)</f>
        <v/>
      </c>
      <c r="AO5878">
        <f>INDEX($V$5768:$V$5895,AH5878+1)</f>
        <v/>
      </c>
      <c r="AP5878">
        <f>INDEX($W$5768:$W$5895,AI5878+1)</f>
        <v/>
      </c>
      <c r="AQ5878">
        <f>IF(Q5878&gt;=AJ5878-0.01,1,0)</f>
        <v/>
      </c>
      <c r="AR5878">
        <f>IF(R5878&gt;=AK5878-0.01,1,0)</f>
        <v/>
      </c>
      <c r="AS5878">
        <f>IF(S5878&gt;=AL5878-0.01,1,0)</f>
        <v/>
      </c>
      <c r="AT5878">
        <f>IF(T5878&gt;=AM5878-0.01,1,0)</f>
        <v/>
      </c>
      <c r="AU5878">
        <f>IF(U5878&gt;=AN5878-0.01,1,0)</f>
        <v/>
      </c>
      <c r="AV5878">
        <f>IF(V5878&gt;=AO5878-0.01,1,0)</f>
        <v/>
      </c>
      <c r="AW5878">
        <f>IF(W5878&gt;=AP5878-0.01,1,0)</f>
        <v/>
      </c>
      <c r="AX5878">
        <f>AQ5878*AR5878*AS5878*AT5878*AU5878*AV5878*AW5878</f>
        <v/>
      </c>
    </row>
    <row r="5879">
      <c r="A5879" t="inlineStr"/>
      <c r="B5879">
        <f>Assumptions!$B$60</f>
        <v/>
      </c>
      <c r="C5879" t="n">
        <v>1</v>
      </c>
      <c r="D5879" t="n">
        <v>1</v>
      </c>
      <c r="E5879" t="n">
        <v>0</v>
      </c>
      <c r="F5879" t="n">
        <v>1</v>
      </c>
      <c r="G5879" t="n">
        <v>1</v>
      </c>
      <c r="H5879" t="n">
        <v>1</v>
      </c>
      <c r="I5879" t="n">
        <v>1</v>
      </c>
      <c r="J5879">
        <f>(1-C5879)*Assumptions!$B$41+(1-D5879)*Assumptions!$B$33+(1-E5879)*Assumptions!$B$32+(1-F5879)*Assumptions!$B$31+(1-G5879)*Assumptions!$B$30+(1-H5879)*Assumptions!$B$29+(1-I5879)*Assumptions!$B$28</f>
        <v/>
      </c>
      <c r="K5879">
        <f>C5879*$J$607+D5879*$F$607+E5879*$G$607+F5879*Assumptions!$B$14+G5879*Assumptions!$B$13+H5879*Assumptions!$B$12+I5879*Assumptions!$B$11+$O$607+$S$607+Assumptions!$B$9</f>
        <v/>
      </c>
      <c r="L5879">
        <f>B5879-J5879</f>
        <v/>
      </c>
      <c r="M5879">
        <f>IF(K5879&gt;0,IF(L5879/K5879&gt;=Assumptions!$B$37,1,0),0)</f>
        <v/>
      </c>
      <c r="N5879">
        <f>K5879+M5879*Assumptions!$B$153</f>
        <v/>
      </c>
      <c r="O5879">
        <f>L5879+M5879*Assumptions!$B$153*Assumptions!$B$37</f>
        <v/>
      </c>
      <c r="P5879">
        <f>IF(N5879&gt;0,O5879/N5879,0)</f>
        <v/>
      </c>
      <c r="Q5879">
        <f>IF(C5879=1,P5879*$J$607,Assumptions!$B$41)</f>
        <v/>
      </c>
      <c r="R5879">
        <f>IF(D5879=1,P5879*$F$607,Assumptions!$B$33)</f>
        <v/>
      </c>
      <c r="S5879">
        <f>IF(E5879=1,P5879*$G$607,Assumptions!$B$32)</f>
        <v/>
      </c>
      <c r="T5879">
        <f>IF(F5879=1,P5879*Assumptions!$B$14,Assumptions!$B$31)</f>
        <v/>
      </c>
      <c r="U5879">
        <f>IF(G5879=1,P5879*Assumptions!$B$13,Assumptions!$B$30)</f>
        <v/>
      </c>
      <c r="V5879">
        <f>IF(H5879=1,P5879*Assumptions!$B$12,Assumptions!$B$29)</f>
        <v/>
      </c>
      <c r="W5879">
        <f>IF(I5879=1,P5879*Assumptions!$B$11,Assumptions!$B$28)</f>
        <v/>
      </c>
      <c r="X5879">
        <f>P5879*($O$607+$S$607)</f>
        <v/>
      </c>
      <c r="Y5879">
        <f>P5879*Assumptions!$B$9</f>
        <v/>
      </c>
      <c r="Z5879">
        <f>IF(M5879=1,(P5879-Assumptions!$B$37)*Assumptions!$B$153,0)</f>
        <v/>
      </c>
      <c r="AA5879">
        <f>Q5879+R5879+S5879+T5879+U5879+V5879+W5879+X5879+Y5879+Z5879</f>
        <v/>
      </c>
      <c r="AB5879" t="n">
        <v>111</v>
      </c>
      <c r="AC5879" t="n">
        <v>47</v>
      </c>
      <c r="AD5879" t="n">
        <v>79</v>
      </c>
      <c r="AE5879" t="n">
        <v>127</v>
      </c>
      <c r="AF5879" t="n">
        <v>103</v>
      </c>
      <c r="AG5879" t="n">
        <v>107</v>
      </c>
      <c r="AH5879" t="n">
        <v>109</v>
      </c>
      <c r="AI5879" t="n">
        <v>110</v>
      </c>
      <c r="AJ5879">
        <f>INDEX($Q$5768:$Q$5895,AC5879+1)</f>
        <v/>
      </c>
      <c r="AK5879">
        <f>INDEX($R$5768:$R$5895,AD5879+1)</f>
        <v/>
      </c>
      <c r="AL5879">
        <f>INDEX($S$5768:$S$5895,AE5879+1)</f>
        <v/>
      </c>
      <c r="AM5879">
        <f>INDEX($T$5768:$T$5895,AF5879+1)</f>
        <v/>
      </c>
      <c r="AN5879">
        <f>INDEX($U$5768:$U$5895,AG5879+1)</f>
        <v/>
      </c>
      <c r="AO5879">
        <f>INDEX($V$5768:$V$5895,AH5879+1)</f>
        <v/>
      </c>
      <c r="AP5879">
        <f>INDEX($W$5768:$W$5895,AI5879+1)</f>
        <v/>
      </c>
      <c r="AQ5879">
        <f>IF(Q5879&gt;=AJ5879-0.01,1,0)</f>
        <v/>
      </c>
      <c r="AR5879">
        <f>IF(R5879&gt;=AK5879-0.01,1,0)</f>
        <v/>
      </c>
      <c r="AS5879">
        <f>IF(S5879&gt;=AL5879-0.01,1,0)</f>
        <v/>
      </c>
      <c r="AT5879">
        <f>IF(T5879&gt;=AM5879-0.01,1,0)</f>
        <v/>
      </c>
      <c r="AU5879">
        <f>IF(U5879&gt;=AN5879-0.01,1,0)</f>
        <v/>
      </c>
      <c r="AV5879">
        <f>IF(V5879&gt;=AO5879-0.01,1,0)</f>
        <v/>
      </c>
      <c r="AW5879">
        <f>IF(W5879&gt;=AP5879-0.01,1,0)</f>
        <v/>
      </c>
      <c r="AX5879">
        <f>AQ5879*AR5879*AS5879*AT5879*AU5879*AV5879*AW5879</f>
        <v/>
      </c>
    </row>
    <row r="5880">
      <c r="A5880" t="inlineStr"/>
      <c r="B5880">
        <f>Assumptions!$B$60</f>
        <v/>
      </c>
      <c r="C5880" t="n">
        <v>1</v>
      </c>
      <c r="D5880" t="n">
        <v>1</v>
      </c>
      <c r="E5880" t="n">
        <v>1</v>
      </c>
      <c r="F5880" t="n">
        <v>0</v>
      </c>
      <c r="G5880" t="n">
        <v>0</v>
      </c>
      <c r="H5880" t="n">
        <v>0</v>
      </c>
      <c r="I5880" t="n">
        <v>0</v>
      </c>
      <c r="J5880">
        <f>(1-C5880)*Assumptions!$B$41+(1-D5880)*Assumptions!$B$33+(1-E5880)*Assumptions!$B$32+(1-F5880)*Assumptions!$B$31+(1-G5880)*Assumptions!$B$30+(1-H5880)*Assumptions!$B$29+(1-I5880)*Assumptions!$B$28</f>
        <v/>
      </c>
      <c r="K5880">
        <f>C5880*$J$607+D5880*$F$607+E5880*$G$607+F5880*Assumptions!$B$14+G5880*Assumptions!$B$13+H5880*Assumptions!$B$12+I5880*Assumptions!$B$11+$O$607+$S$607+Assumptions!$B$9</f>
        <v/>
      </c>
      <c r="L5880">
        <f>B5880-J5880</f>
        <v/>
      </c>
      <c r="M5880">
        <f>IF(K5880&gt;0,IF(L5880/K5880&gt;=Assumptions!$B$37,1,0),0)</f>
        <v/>
      </c>
      <c r="N5880">
        <f>K5880+M5880*Assumptions!$B$153</f>
        <v/>
      </c>
      <c r="O5880">
        <f>L5880+M5880*Assumptions!$B$153*Assumptions!$B$37</f>
        <v/>
      </c>
      <c r="P5880">
        <f>IF(N5880&gt;0,O5880/N5880,0)</f>
        <v/>
      </c>
      <c r="Q5880">
        <f>IF(C5880=1,P5880*$J$607,Assumptions!$B$41)</f>
        <v/>
      </c>
      <c r="R5880">
        <f>IF(D5880=1,P5880*$F$607,Assumptions!$B$33)</f>
        <v/>
      </c>
      <c r="S5880">
        <f>IF(E5880=1,P5880*$G$607,Assumptions!$B$32)</f>
        <v/>
      </c>
      <c r="T5880">
        <f>IF(F5880=1,P5880*Assumptions!$B$14,Assumptions!$B$31)</f>
        <v/>
      </c>
      <c r="U5880">
        <f>IF(G5880=1,P5880*Assumptions!$B$13,Assumptions!$B$30)</f>
        <v/>
      </c>
      <c r="V5880">
        <f>IF(H5880=1,P5880*Assumptions!$B$12,Assumptions!$B$29)</f>
        <v/>
      </c>
      <c r="W5880">
        <f>IF(I5880=1,P5880*Assumptions!$B$11,Assumptions!$B$28)</f>
        <v/>
      </c>
      <c r="X5880">
        <f>P5880*($O$607+$S$607)</f>
        <v/>
      </c>
      <c r="Y5880">
        <f>P5880*Assumptions!$B$9</f>
        <v/>
      </c>
      <c r="Z5880">
        <f>IF(M5880=1,(P5880-Assumptions!$B$37)*Assumptions!$B$153,0)</f>
        <v/>
      </c>
      <c r="AA5880">
        <f>Q5880+R5880+S5880+T5880+U5880+V5880+W5880+X5880+Y5880+Z5880</f>
        <v/>
      </c>
      <c r="AB5880" t="n">
        <v>112</v>
      </c>
      <c r="AC5880" t="n">
        <v>48</v>
      </c>
      <c r="AD5880" t="n">
        <v>80</v>
      </c>
      <c r="AE5880" t="n">
        <v>96</v>
      </c>
      <c r="AF5880" t="n">
        <v>120</v>
      </c>
      <c r="AG5880" t="n">
        <v>116</v>
      </c>
      <c r="AH5880" t="n">
        <v>114</v>
      </c>
      <c r="AI5880" t="n">
        <v>113</v>
      </c>
      <c r="AJ5880">
        <f>INDEX($Q$5768:$Q$5895,AC5880+1)</f>
        <v/>
      </c>
      <c r="AK5880">
        <f>INDEX($R$5768:$R$5895,AD5880+1)</f>
        <v/>
      </c>
      <c r="AL5880">
        <f>INDEX($S$5768:$S$5895,AE5880+1)</f>
        <v/>
      </c>
      <c r="AM5880">
        <f>INDEX($T$5768:$T$5895,AF5880+1)</f>
        <v/>
      </c>
      <c r="AN5880">
        <f>INDEX($U$5768:$U$5895,AG5880+1)</f>
        <v/>
      </c>
      <c r="AO5880">
        <f>INDEX($V$5768:$V$5895,AH5880+1)</f>
        <v/>
      </c>
      <c r="AP5880">
        <f>INDEX($W$5768:$W$5895,AI5880+1)</f>
        <v/>
      </c>
      <c r="AQ5880">
        <f>IF(Q5880&gt;=AJ5880-0.01,1,0)</f>
        <v/>
      </c>
      <c r="AR5880">
        <f>IF(R5880&gt;=AK5880-0.01,1,0)</f>
        <v/>
      </c>
      <c r="AS5880">
        <f>IF(S5880&gt;=AL5880-0.01,1,0)</f>
        <v/>
      </c>
      <c r="AT5880">
        <f>IF(T5880&gt;=AM5880-0.01,1,0)</f>
        <v/>
      </c>
      <c r="AU5880">
        <f>IF(U5880&gt;=AN5880-0.01,1,0)</f>
        <v/>
      </c>
      <c r="AV5880">
        <f>IF(V5880&gt;=AO5880-0.01,1,0)</f>
        <v/>
      </c>
      <c r="AW5880">
        <f>IF(W5880&gt;=AP5880-0.01,1,0)</f>
        <v/>
      </c>
      <c r="AX5880">
        <f>AQ5880*AR5880*AS5880*AT5880*AU5880*AV5880*AW5880</f>
        <v/>
      </c>
    </row>
    <row r="5881">
      <c r="A5881" t="inlineStr"/>
      <c r="B5881">
        <f>Assumptions!$B$60</f>
        <v/>
      </c>
      <c r="C5881" t="n">
        <v>1</v>
      </c>
      <c r="D5881" t="n">
        <v>1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  <c r="J5881">
        <f>(1-C5881)*Assumptions!$B$41+(1-D5881)*Assumptions!$B$33+(1-E5881)*Assumptions!$B$32+(1-F5881)*Assumptions!$B$31+(1-G5881)*Assumptions!$B$30+(1-H5881)*Assumptions!$B$29+(1-I5881)*Assumptions!$B$28</f>
        <v/>
      </c>
      <c r="K5881">
        <f>C5881*$J$607+D5881*$F$607+E5881*$G$607+F5881*Assumptions!$B$14+G5881*Assumptions!$B$13+H5881*Assumptions!$B$12+I5881*Assumptions!$B$11+$O$607+$S$607+Assumptions!$B$9</f>
        <v/>
      </c>
      <c r="L5881">
        <f>B5881-J5881</f>
        <v/>
      </c>
      <c r="M5881">
        <f>IF(K5881&gt;0,IF(L5881/K5881&gt;=Assumptions!$B$37,1,0),0)</f>
        <v/>
      </c>
      <c r="N5881">
        <f>K5881+M5881*Assumptions!$B$153</f>
        <v/>
      </c>
      <c r="O5881">
        <f>L5881+M5881*Assumptions!$B$153*Assumptions!$B$37</f>
        <v/>
      </c>
      <c r="P5881">
        <f>IF(N5881&gt;0,O5881/N5881,0)</f>
        <v/>
      </c>
      <c r="Q5881">
        <f>IF(C5881=1,P5881*$J$607,Assumptions!$B$41)</f>
        <v/>
      </c>
      <c r="R5881">
        <f>IF(D5881=1,P5881*$F$607,Assumptions!$B$33)</f>
        <v/>
      </c>
      <c r="S5881">
        <f>IF(E5881=1,P5881*$G$607,Assumptions!$B$32)</f>
        <v/>
      </c>
      <c r="T5881">
        <f>IF(F5881=1,P5881*Assumptions!$B$14,Assumptions!$B$31)</f>
        <v/>
      </c>
      <c r="U5881">
        <f>IF(G5881=1,P5881*Assumptions!$B$13,Assumptions!$B$30)</f>
        <v/>
      </c>
      <c r="V5881">
        <f>IF(H5881=1,P5881*Assumptions!$B$12,Assumptions!$B$29)</f>
        <v/>
      </c>
      <c r="W5881">
        <f>IF(I5881=1,P5881*Assumptions!$B$11,Assumptions!$B$28)</f>
        <v/>
      </c>
      <c r="X5881">
        <f>P5881*($O$607+$S$607)</f>
        <v/>
      </c>
      <c r="Y5881">
        <f>P5881*Assumptions!$B$9</f>
        <v/>
      </c>
      <c r="Z5881">
        <f>IF(M5881=1,(P5881-Assumptions!$B$37)*Assumptions!$B$153,0)</f>
        <v/>
      </c>
      <c r="AA5881">
        <f>Q5881+R5881+S5881+T5881+U5881+V5881+W5881+X5881+Y5881+Z5881</f>
        <v/>
      </c>
      <c r="AB5881" t="n">
        <v>113</v>
      </c>
      <c r="AC5881" t="n">
        <v>49</v>
      </c>
      <c r="AD5881" t="n">
        <v>81</v>
      </c>
      <c r="AE5881" t="n">
        <v>97</v>
      </c>
      <c r="AF5881" t="n">
        <v>121</v>
      </c>
      <c r="AG5881" t="n">
        <v>117</v>
      </c>
      <c r="AH5881" t="n">
        <v>115</v>
      </c>
      <c r="AI5881" t="n">
        <v>112</v>
      </c>
      <c r="AJ5881">
        <f>INDEX($Q$5768:$Q$5895,AC5881+1)</f>
        <v/>
      </c>
      <c r="AK5881">
        <f>INDEX($R$5768:$R$5895,AD5881+1)</f>
        <v/>
      </c>
      <c r="AL5881">
        <f>INDEX($S$5768:$S$5895,AE5881+1)</f>
        <v/>
      </c>
      <c r="AM5881">
        <f>INDEX($T$5768:$T$5895,AF5881+1)</f>
        <v/>
      </c>
      <c r="AN5881">
        <f>INDEX($U$5768:$U$5895,AG5881+1)</f>
        <v/>
      </c>
      <c r="AO5881">
        <f>INDEX($V$5768:$V$5895,AH5881+1)</f>
        <v/>
      </c>
      <c r="AP5881">
        <f>INDEX($W$5768:$W$5895,AI5881+1)</f>
        <v/>
      </c>
      <c r="AQ5881">
        <f>IF(Q5881&gt;=AJ5881-0.01,1,0)</f>
        <v/>
      </c>
      <c r="AR5881">
        <f>IF(R5881&gt;=AK5881-0.01,1,0)</f>
        <v/>
      </c>
      <c r="AS5881">
        <f>IF(S5881&gt;=AL5881-0.01,1,0)</f>
        <v/>
      </c>
      <c r="AT5881">
        <f>IF(T5881&gt;=AM5881-0.01,1,0)</f>
        <v/>
      </c>
      <c r="AU5881">
        <f>IF(U5881&gt;=AN5881-0.01,1,0)</f>
        <v/>
      </c>
      <c r="AV5881">
        <f>IF(V5881&gt;=AO5881-0.01,1,0)</f>
        <v/>
      </c>
      <c r="AW5881">
        <f>IF(W5881&gt;=AP5881-0.01,1,0)</f>
        <v/>
      </c>
      <c r="AX5881">
        <f>AQ5881*AR5881*AS5881*AT5881*AU5881*AV5881*AW5881</f>
        <v/>
      </c>
    </row>
    <row r="5882">
      <c r="A5882" t="inlineStr"/>
      <c r="B5882">
        <f>Assumptions!$B$60</f>
        <v/>
      </c>
      <c r="C5882" t="n">
        <v>1</v>
      </c>
      <c r="D5882" t="n">
        <v>1</v>
      </c>
      <c r="E5882" t="n">
        <v>1</v>
      </c>
      <c r="F5882" t="n">
        <v>0</v>
      </c>
      <c r="G5882" t="n">
        <v>0</v>
      </c>
      <c r="H5882" t="n">
        <v>1</v>
      </c>
      <c r="I5882" t="n">
        <v>0</v>
      </c>
      <c r="J5882">
        <f>(1-C5882)*Assumptions!$B$41+(1-D5882)*Assumptions!$B$33+(1-E5882)*Assumptions!$B$32+(1-F5882)*Assumptions!$B$31+(1-G5882)*Assumptions!$B$30+(1-H5882)*Assumptions!$B$29+(1-I5882)*Assumptions!$B$28</f>
        <v/>
      </c>
      <c r="K5882">
        <f>C5882*$J$607+D5882*$F$607+E5882*$G$607+F5882*Assumptions!$B$14+G5882*Assumptions!$B$13+H5882*Assumptions!$B$12+I5882*Assumptions!$B$11+$O$607+$S$607+Assumptions!$B$9</f>
        <v/>
      </c>
      <c r="L5882">
        <f>B5882-J5882</f>
        <v/>
      </c>
      <c r="M5882">
        <f>IF(K5882&gt;0,IF(L5882/K5882&gt;=Assumptions!$B$37,1,0),0)</f>
        <v/>
      </c>
      <c r="N5882">
        <f>K5882+M5882*Assumptions!$B$153</f>
        <v/>
      </c>
      <c r="O5882">
        <f>L5882+M5882*Assumptions!$B$153*Assumptions!$B$37</f>
        <v/>
      </c>
      <c r="P5882">
        <f>IF(N5882&gt;0,O5882/N5882,0)</f>
        <v/>
      </c>
      <c r="Q5882">
        <f>IF(C5882=1,P5882*$J$607,Assumptions!$B$41)</f>
        <v/>
      </c>
      <c r="R5882">
        <f>IF(D5882=1,P5882*$F$607,Assumptions!$B$33)</f>
        <v/>
      </c>
      <c r="S5882">
        <f>IF(E5882=1,P5882*$G$607,Assumptions!$B$32)</f>
        <v/>
      </c>
      <c r="T5882">
        <f>IF(F5882=1,P5882*Assumptions!$B$14,Assumptions!$B$31)</f>
        <v/>
      </c>
      <c r="U5882">
        <f>IF(G5882=1,P5882*Assumptions!$B$13,Assumptions!$B$30)</f>
        <v/>
      </c>
      <c r="V5882">
        <f>IF(H5882=1,P5882*Assumptions!$B$12,Assumptions!$B$29)</f>
        <v/>
      </c>
      <c r="W5882">
        <f>IF(I5882=1,P5882*Assumptions!$B$11,Assumptions!$B$28)</f>
        <v/>
      </c>
      <c r="X5882">
        <f>P5882*($O$607+$S$607)</f>
        <v/>
      </c>
      <c r="Y5882">
        <f>P5882*Assumptions!$B$9</f>
        <v/>
      </c>
      <c r="Z5882">
        <f>IF(M5882=1,(P5882-Assumptions!$B$37)*Assumptions!$B$153,0)</f>
        <v/>
      </c>
      <c r="AA5882">
        <f>Q5882+R5882+S5882+T5882+U5882+V5882+W5882+X5882+Y5882+Z5882</f>
        <v/>
      </c>
      <c r="AB5882" t="n">
        <v>114</v>
      </c>
      <c r="AC5882" t="n">
        <v>50</v>
      </c>
      <c r="AD5882" t="n">
        <v>82</v>
      </c>
      <c r="AE5882" t="n">
        <v>98</v>
      </c>
      <c r="AF5882" t="n">
        <v>122</v>
      </c>
      <c r="AG5882" t="n">
        <v>118</v>
      </c>
      <c r="AH5882" t="n">
        <v>112</v>
      </c>
      <c r="AI5882" t="n">
        <v>115</v>
      </c>
      <c r="AJ5882">
        <f>INDEX($Q$5768:$Q$5895,AC5882+1)</f>
        <v/>
      </c>
      <c r="AK5882">
        <f>INDEX($R$5768:$R$5895,AD5882+1)</f>
        <v/>
      </c>
      <c r="AL5882">
        <f>INDEX($S$5768:$S$5895,AE5882+1)</f>
        <v/>
      </c>
      <c r="AM5882">
        <f>INDEX($T$5768:$T$5895,AF5882+1)</f>
        <v/>
      </c>
      <c r="AN5882">
        <f>INDEX($U$5768:$U$5895,AG5882+1)</f>
        <v/>
      </c>
      <c r="AO5882">
        <f>INDEX($V$5768:$V$5895,AH5882+1)</f>
        <v/>
      </c>
      <c r="AP5882">
        <f>INDEX($W$5768:$W$5895,AI5882+1)</f>
        <v/>
      </c>
      <c r="AQ5882">
        <f>IF(Q5882&gt;=AJ5882-0.01,1,0)</f>
        <v/>
      </c>
      <c r="AR5882">
        <f>IF(R5882&gt;=AK5882-0.01,1,0)</f>
        <v/>
      </c>
      <c r="AS5882">
        <f>IF(S5882&gt;=AL5882-0.01,1,0)</f>
        <v/>
      </c>
      <c r="AT5882">
        <f>IF(T5882&gt;=AM5882-0.01,1,0)</f>
        <v/>
      </c>
      <c r="AU5882">
        <f>IF(U5882&gt;=AN5882-0.01,1,0)</f>
        <v/>
      </c>
      <c r="AV5882">
        <f>IF(V5882&gt;=AO5882-0.01,1,0)</f>
        <v/>
      </c>
      <c r="AW5882">
        <f>IF(W5882&gt;=AP5882-0.01,1,0)</f>
        <v/>
      </c>
      <c r="AX5882">
        <f>AQ5882*AR5882*AS5882*AT5882*AU5882*AV5882*AW5882</f>
        <v/>
      </c>
    </row>
    <row r="5883">
      <c r="A5883" t="inlineStr"/>
      <c r="B5883">
        <f>Assumptions!$B$60</f>
        <v/>
      </c>
      <c r="C5883" t="n">
        <v>1</v>
      </c>
      <c r="D5883" t="n">
        <v>1</v>
      </c>
      <c r="E5883" t="n">
        <v>1</v>
      </c>
      <c r="F5883" t="n">
        <v>0</v>
      </c>
      <c r="G5883" t="n">
        <v>0</v>
      </c>
      <c r="H5883" t="n">
        <v>1</v>
      </c>
      <c r="I5883" t="n">
        <v>1</v>
      </c>
      <c r="J5883">
        <f>(1-C5883)*Assumptions!$B$41+(1-D5883)*Assumptions!$B$33+(1-E5883)*Assumptions!$B$32+(1-F5883)*Assumptions!$B$31+(1-G5883)*Assumptions!$B$30+(1-H5883)*Assumptions!$B$29+(1-I5883)*Assumptions!$B$28</f>
        <v/>
      </c>
      <c r="K5883">
        <f>C5883*$J$607+D5883*$F$607+E5883*$G$607+F5883*Assumptions!$B$14+G5883*Assumptions!$B$13+H5883*Assumptions!$B$12+I5883*Assumptions!$B$11+$O$607+$S$607+Assumptions!$B$9</f>
        <v/>
      </c>
      <c r="L5883">
        <f>B5883-J5883</f>
        <v/>
      </c>
      <c r="M5883">
        <f>IF(K5883&gt;0,IF(L5883/K5883&gt;=Assumptions!$B$37,1,0),0)</f>
        <v/>
      </c>
      <c r="N5883">
        <f>K5883+M5883*Assumptions!$B$153</f>
        <v/>
      </c>
      <c r="O5883">
        <f>L5883+M5883*Assumptions!$B$153*Assumptions!$B$37</f>
        <v/>
      </c>
      <c r="P5883">
        <f>IF(N5883&gt;0,O5883/N5883,0)</f>
        <v/>
      </c>
      <c r="Q5883">
        <f>IF(C5883=1,P5883*$J$607,Assumptions!$B$41)</f>
        <v/>
      </c>
      <c r="R5883">
        <f>IF(D5883=1,P5883*$F$607,Assumptions!$B$33)</f>
        <v/>
      </c>
      <c r="S5883">
        <f>IF(E5883=1,P5883*$G$607,Assumptions!$B$32)</f>
        <v/>
      </c>
      <c r="T5883">
        <f>IF(F5883=1,P5883*Assumptions!$B$14,Assumptions!$B$31)</f>
        <v/>
      </c>
      <c r="U5883">
        <f>IF(G5883=1,P5883*Assumptions!$B$13,Assumptions!$B$30)</f>
        <v/>
      </c>
      <c r="V5883">
        <f>IF(H5883=1,P5883*Assumptions!$B$12,Assumptions!$B$29)</f>
        <v/>
      </c>
      <c r="W5883">
        <f>IF(I5883=1,P5883*Assumptions!$B$11,Assumptions!$B$28)</f>
        <v/>
      </c>
      <c r="X5883">
        <f>P5883*($O$607+$S$607)</f>
        <v/>
      </c>
      <c r="Y5883">
        <f>P5883*Assumptions!$B$9</f>
        <v/>
      </c>
      <c r="Z5883">
        <f>IF(M5883=1,(P5883-Assumptions!$B$37)*Assumptions!$B$153,0)</f>
        <v/>
      </c>
      <c r="AA5883">
        <f>Q5883+R5883+S5883+T5883+U5883+V5883+W5883+X5883+Y5883+Z5883</f>
        <v/>
      </c>
      <c r="AB5883" t="n">
        <v>115</v>
      </c>
      <c r="AC5883" t="n">
        <v>51</v>
      </c>
      <c r="AD5883" t="n">
        <v>83</v>
      </c>
      <c r="AE5883" t="n">
        <v>99</v>
      </c>
      <c r="AF5883" t="n">
        <v>123</v>
      </c>
      <c r="AG5883" t="n">
        <v>119</v>
      </c>
      <c r="AH5883" t="n">
        <v>113</v>
      </c>
      <c r="AI5883" t="n">
        <v>114</v>
      </c>
      <c r="AJ5883">
        <f>INDEX($Q$5768:$Q$5895,AC5883+1)</f>
        <v/>
      </c>
      <c r="AK5883">
        <f>INDEX($R$5768:$R$5895,AD5883+1)</f>
        <v/>
      </c>
      <c r="AL5883">
        <f>INDEX($S$5768:$S$5895,AE5883+1)</f>
        <v/>
      </c>
      <c r="AM5883">
        <f>INDEX($T$5768:$T$5895,AF5883+1)</f>
        <v/>
      </c>
      <c r="AN5883">
        <f>INDEX($U$5768:$U$5895,AG5883+1)</f>
        <v/>
      </c>
      <c r="AO5883">
        <f>INDEX($V$5768:$V$5895,AH5883+1)</f>
        <v/>
      </c>
      <c r="AP5883">
        <f>INDEX($W$5768:$W$5895,AI5883+1)</f>
        <v/>
      </c>
      <c r="AQ5883">
        <f>IF(Q5883&gt;=AJ5883-0.01,1,0)</f>
        <v/>
      </c>
      <c r="AR5883">
        <f>IF(R5883&gt;=AK5883-0.01,1,0)</f>
        <v/>
      </c>
      <c r="AS5883">
        <f>IF(S5883&gt;=AL5883-0.01,1,0)</f>
        <v/>
      </c>
      <c r="AT5883">
        <f>IF(T5883&gt;=AM5883-0.01,1,0)</f>
        <v/>
      </c>
      <c r="AU5883">
        <f>IF(U5883&gt;=AN5883-0.01,1,0)</f>
        <v/>
      </c>
      <c r="AV5883">
        <f>IF(V5883&gt;=AO5883-0.01,1,0)</f>
        <v/>
      </c>
      <c r="AW5883">
        <f>IF(W5883&gt;=AP5883-0.01,1,0)</f>
        <v/>
      </c>
      <c r="AX5883">
        <f>AQ5883*AR5883*AS5883*AT5883*AU5883*AV5883*AW5883</f>
        <v/>
      </c>
    </row>
    <row r="5884">
      <c r="A5884" t="inlineStr"/>
      <c r="B5884">
        <f>Assumptions!$B$60</f>
        <v/>
      </c>
      <c r="C5884" t="n">
        <v>1</v>
      </c>
      <c r="D5884" t="n">
        <v>1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>
        <f>(1-C5884)*Assumptions!$B$41+(1-D5884)*Assumptions!$B$33+(1-E5884)*Assumptions!$B$32+(1-F5884)*Assumptions!$B$31+(1-G5884)*Assumptions!$B$30+(1-H5884)*Assumptions!$B$29+(1-I5884)*Assumptions!$B$28</f>
        <v/>
      </c>
      <c r="K5884">
        <f>C5884*$J$607+D5884*$F$607+E5884*$G$607+F5884*Assumptions!$B$14+G5884*Assumptions!$B$13+H5884*Assumptions!$B$12+I5884*Assumptions!$B$11+$O$607+$S$607+Assumptions!$B$9</f>
        <v/>
      </c>
      <c r="L5884">
        <f>B5884-J5884</f>
        <v/>
      </c>
      <c r="M5884">
        <f>IF(K5884&gt;0,IF(L5884/K5884&gt;=Assumptions!$B$37,1,0),0)</f>
        <v/>
      </c>
      <c r="N5884">
        <f>K5884+M5884*Assumptions!$B$153</f>
        <v/>
      </c>
      <c r="O5884">
        <f>L5884+M5884*Assumptions!$B$153*Assumptions!$B$37</f>
        <v/>
      </c>
      <c r="P5884">
        <f>IF(N5884&gt;0,O5884/N5884,0)</f>
        <v/>
      </c>
      <c r="Q5884">
        <f>IF(C5884=1,P5884*$J$607,Assumptions!$B$41)</f>
        <v/>
      </c>
      <c r="R5884">
        <f>IF(D5884=1,P5884*$F$607,Assumptions!$B$33)</f>
        <v/>
      </c>
      <c r="S5884">
        <f>IF(E5884=1,P5884*$G$607,Assumptions!$B$32)</f>
        <v/>
      </c>
      <c r="T5884">
        <f>IF(F5884=1,P5884*Assumptions!$B$14,Assumptions!$B$31)</f>
        <v/>
      </c>
      <c r="U5884">
        <f>IF(G5884=1,P5884*Assumptions!$B$13,Assumptions!$B$30)</f>
        <v/>
      </c>
      <c r="V5884">
        <f>IF(H5884=1,P5884*Assumptions!$B$12,Assumptions!$B$29)</f>
        <v/>
      </c>
      <c r="W5884">
        <f>IF(I5884=1,P5884*Assumptions!$B$11,Assumptions!$B$28)</f>
        <v/>
      </c>
      <c r="X5884">
        <f>P5884*($O$607+$S$607)</f>
        <v/>
      </c>
      <c r="Y5884">
        <f>P5884*Assumptions!$B$9</f>
        <v/>
      </c>
      <c r="Z5884">
        <f>IF(M5884=1,(P5884-Assumptions!$B$37)*Assumptions!$B$153,0)</f>
        <v/>
      </c>
      <c r="AA5884">
        <f>Q5884+R5884+S5884+T5884+U5884+V5884+W5884+X5884+Y5884+Z5884</f>
        <v/>
      </c>
      <c r="AB5884" t="n">
        <v>116</v>
      </c>
      <c r="AC5884" t="n">
        <v>52</v>
      </c>
      <c r="AD5884" t="n">
        <v>84</v>
      </c>
      <c r="AE5884" t="n">
        <v>100</v>
      </c>
      <c r="AF5884" t="n">
        <v>124</v>
      </c>
      <c r="AG5884" t="n">
        <v>112</v>
      </c>
      <c r="AH5884" t="n">
        <v>118</v>
      </c>
      <c r="AI5884" t="n">
        <v>117</v>
      </c>
      <c r="AJ5884">
        <f>INDEX($Q$5768:$Q$5895,AC5884+1)</f>
        <v/>
      </c>
      <c r="AK5884">
        <f>INDEX($R$5768:$R$5895,AD5884+1)</f>
        <v/>
      </c>
      <c r="AL5884">
        <f>INDEX($S$5768:$S$5895,AE5884+1)</f>
        <v/>
      </c>
      <c r="AM5884">
        <f>INDEX($T$5768:$T$5895,AF5884+1)</f>
        <v/>
      </c>
      <c r="AN5884">
        <f>INDEX($U$5768:$U$5895,AG5884+1)</f>
        <v/>
      </c>
      <c r="AO5884">
        <f>INDEX($V$5768:$V$5895,AH5884+1)</f>
        <v/>
      </c>
      <c r="AP5884">
        <f>INDEX($W$5768:$W$5895,AI5884+1)</f>
        <v/>
      </c>
      <c r="AQ5884">
        <f>IF(Q5884&gt;=AJ5884-0.01,1,0)</f>
        <v/>
      </c>
      <c r="AR5884">
        <f>IF(R5884&gt;=AK5884-0.01,1,0)</f>
        <v/>
      </c>
      <c r="AS5884">
        <f>IF(S5884&gt;=AL5884-0.01,1,0)</f>
        <v/>
      </c>
      <c r="AT5884">
        <f>IF(T5884&gt;=AM5884-0.01,1,0)</f>
        <v/>
      </c>
      <c r="AU5884">
        <f>IF(U5884&gt;=AN5884-0.01,1,0)</f>
        <v/>
      </c>
      <c r="AV5884">
        <f>IF(V5884&gt;=AO5884-0.01,1,0)</f>
        <v/>
      </c>
      <c r="AW5884">
        <f>IF(W5884&gt;=AP5884-0.01,1,0)</f>
        <v/>
      </c>
      <c r="AX5884">
        <f>AQ5884*AR5884*AS5884*AT5884*AU5884*AV5884*AW5884</f>
        <v/>
      </c>
    </row>
    <row r="5885">
      <c r="A5885" t="inlineStr"/>
      <c r="B5885">
        <f>Assumptions!$B$60</f>
        <v/>
      </c>
      <c r="C5885" t="n">
        <v>1</v>
      </c>
      <c r="D5885" t="n">
        <v>1</v>
      </c>
      <c r="E5885" t="n">
        <v>1</v>
      </c>
      <c r="F5885" t="n">
        <v>0</v>
      </c>
      <c r="G5885" t="n">
        <v>1</v>
      </c>
      <c r="H5885" t="n">
        <v>0</v>
      </c>
      <c r="I5885" t="n">
        <v>1</v>
      </c>
      <c r="J5885">
        <f>(1-C5885)*Assumptions!$B$41+(1-D5885)*Assumptions!$B$33+(1-E5885)*Assumptions!$B$32+(1-F5885)*Assumptions!$B$31+(1-G5885)*Assumptions!$B$30+(1-H5885)*Assumptions!$B$29+(1-I5885)*Assumptions!$B$28</f>
        <v/>
      </c>
      <c r="K5885">
        <f>C5885*$J$607+D5885*$F$607+E5885*$G$607+F5885*Assumptions!$B$14+G5885*Assumptions!$B$13+H5885*Assumptions!$B$12+I5885*Assumptions!$B$11+$O$607+$S$607+Assumptions!$B$9</f>
        <v/>
      </c>
      <c r="L5885">
        <f>B5885-J5885</f>
        <v/>
      </c>
      <c r="M5885">
        <f>IF(K5885&gt;0,IF(L5885/K5885&gt;=Assumptions!$B$37,1,0),0)</f>
        <v/>
      </c>
      <c r="N5885">
        <f>K5885+M5885*Assumptions!$B$153</f>
        <v/>
      </c>
      <c r="O5885">
        <f>L5885+M5885*Assumptions!$B$153*Assumptions!$B$37</f>
        <v/>
      </c>
      <c r="P5885">
        <f>IF(N5885&gt;0,O5885/N5885,0)</f>
        <v/>
      </c>
      <c r="Q5885">
        <f>IF(C5885=1,P5885*$J$607,Assumptions!$B$41)</f>
        <v/>
      </c>
      <c r="R5885">
        <f>IF(D5885=1,P5885*$F$607,Assumptions!$B$33)</f>
        <v/>
      </c>
      <c r="S5885">
        <f>IF(E5885=1,P5885*$G$607,Assumptions!$B$32)</f>
        <v/>
      </c>
      <c r="T5885">
        <f>IF(F5885=1,P5885*Assumptions!$B$14,Assumptions!$B$31)</f>
        <v/>
      </c>
      <c r="U5885">
        <f>IF(G5885=1,P5885*Assumptions!$B$13,Assumptions!$B$30)</f>
        <v/>
      </c>
      <c r="V5885">
        <f>IF(H5885=1,P5885*Assumptions!$B$12,Assumptions!$B$29)</f>
        <v/>
      </c>
      <c r="W5885">
        <f>IF(I5885=1,P5885*Assumptions!$B$11,Assumptions!$B$28)</f>
        <v/>
      </c>
      <c r="X5885">
        <f>P5885*($O$607+$S$607)</f>
        <v/>
      </c>
      <c r="Y5885">
        <f>P5885*Assumptions!$B$9</f>
        <v/>
      </c>
      <c r="Z5885">
        <f>IF(M5885=1,(P5885-Assumptions!$B$37)*Assumptions!$B$153,0)</f>
        <v/>
      </c>
      <c r="AA5885">
        <f>Q5885+R5885+S5885+T5885+U5885+V5885+W5885+X5885+Y5885+Z5885</f>
        <v/>
      </c>
      <c r="AB5885" t="n">
        <v>117</v>
      </c>
      <c r="AC5885" t="n">
        <v>53</v>
      </c>
      <c r="AD5885" t="n">
        <v>85</v>
      </c>
      <c r="AE5885" t="n">
        <v>101</v>
      </c>
      <c r="AF5885" t="n">
        <v>125</v>
      </c>
      <c r="AG5885" t="n">
        <v>113</v>
      </c>
      <c r="AH5885" t="n">
        <v>119</v>
      </c>
      <c r="AI5885" t="n">
        <v>116</v>
      </c>
      <c r="AJ5885">
        <f>INDEX($Q$5768:$Q$5895,AC5885+1)</f>
        <v/>
      </c>
      <c r="AK5885">
        <f>INDEX($R$5768:$R$5895,AD5885+1)</f>
        <v/>
      </c>
      <c r="AL5885">
        <f>INDEX($S$5768:$S$5895,AE5885+1)</f>
        <v/>
      </c>
      <c r="AM5885">
        <f>INDEX($T$5768:$T$5895,AF5885+1)</f>
        <v/>
      </c>
      <c r="AN5885">
        <f>INDEX($U$5768:$U$5895,AG5885+1)</f>
        <v/>
      </c>
      <c r="AO5885">
        <f>INDEX($V$5768:$V$5895,AH5885+1)</f>
        <v/>
      </c>
      <c r="AP5885">
        <f>INDEX($W$5768:$W$5895,AI5885+1)</f>
        <v/>
      </c>
      <c r="AQ5885">
        <f>IF(Q5885&gt;=AJ5885-0.01,1,0)</f>
        <v/>
      </c>
      <c r="AR5885">
        <f>IF(R5885&gt;=AK5885-0.01,1,0)</f>
        <v/>
      </c>
      <c r="AS5885">
        <f>IF(S5885&gt;=AL5885-0.01,1,0)</f>
        <v/>
      </c>
      <c r="AT5885">
        <f>IF(T5885&gt;=AM5885-0.01,1,0)</f>
        <v/>
      </c>
      <c r="AU5885">
        <f>IF(U5885&gt;=AN5885-0.01,1,0)</f>
        <v/>
      </c>
      <c r="AV5885">
        <f>IF(V5885&gt;=AO5885-0.01,1,0)</f>
        <v/>
      </c>
      <c r="AW5885">
        <f>IF(W5885&gt;=AP5885-0.01,1,0)</f>
        <v/>
      </c>
      <c r="AX5885">
        <f>AQ5885*AR5885*AS5885*AT5885*AU5885*AV5885*AW5885</f>
        <v/>
      </c>
    </row>
    <row r="5886">
      <c r="A5886" t="inlineStr"/>
      <c r="B5886">
        <f>Assumptions!$B$60</f>
        <v/>
      </c>
      <c r="C5886" t="n">
        <v>1</v>
      </c>
      <c r="D5886" t="n">
        <v>1</v>
      </c>
      <c r="E5886" t="n">
        <v>1</v>
      </c>
      <c r="F5886" t="n">
        <v>0</v>
      </c>
      <c r="G5886" t="n">
        <v>1</v>
      </c>
      <c r="H5886" t="n">
        <v>1</v>
      </c>
      <c r="I5886" t="n">
        <v>0</v>
      </c>
      <c r="J5886">
        <f>(1-C5886)*Assumptions!$B$41+(1-D5886)*Assumptions!$B$33+(1-E5886)*Assumptions!$B$32+(1-F5886)*Assumptions!$B$31+(1-G5886)*Assumptions!$B$30+(1-H5886)*Assumptions!$B$29+(1-I5886)*Assumptions!$B$28</f>
        <v/>
      </c>
      <c r="K5886">
        <f>C5886*$J$607+D5886*$F$607+E5886*$G$607+F5886*Assumptions!$B$14+G5886*Assumptions!$B$13+H5886*Assumptions!$B$12+I5886*Assumptions!$B$11+$O$607+$S$607+Assumptions!$B$9</f>
        <v/>
      </c>
      <c r="L5886">
        <f>B5886-J5886</f>
        <v/>
      </c>
      <c r="M5886">
        <f>IF(K5886&gt;0,IF(L5886/K5886&gt;=Assumptions!$B$37,1,0),0)</f>
        <v/>
      </c>
      <c r="N5886">
        <f>K5886+M5886*Assumptions!$B$153</f>
        <v/>
      </c>
      <c r="O5886">
        <f>L5886+M5886*Assumptions!$B$153*Assumptions!$B$37</f>
        <v/>
      </c>
      <c r="P5886">
        <f>IF(N5886&gt;0,O5886/N5886,0)</f>
        <v/>
      </c>
      <c r="Q5886">
        <f>IF(C5886=1,P5886*$J$607,Assumptions!$B$41)</f>
        <v/>
      </c>
      <c r="R5886">
        <f>IF(D5886=1,P5886*$F$607,Assumptions!$B$33)</f>
        <v/>
      </c>
      <c r="S5886">
        <f>IF(E5886=1,P5886*$G$607,Assumptions!$B$32)</f>
        <v/>
      </c>
      <c r="T5886">
        <f>IF(F5886=1,P5886*Assumptions!$B$14,Assumptions!$B$31)</f>
        <v/>
      </c>
      <c r="U5886">
        <f>IF(G5886=1,P5886*Assumptions!$B$13,Assumptions!$B$30)</f>
        <v/>
      </c>
      <c r="V5886">
        <f>IF(H5886=1,P5886*Assumptions!$B$12,Assumptions!$B$29)</f>
        <v/>
      </c>
      <c r="W5886">
        <f>IF(I5886=1,P5886*Assumptions!$B$11,Assumptions!$B$28)</f>
        <v/>
      </c>
      <c r="X5886">
        <f>P5886*($O$607+$S$607)</f>
        <v/>
      </c>
      <c r="Y5886">
        <f>P5886*Assumptions!$B$9</f>
        <v/>
      </c>
      <c r="Z5886">
        <f>IF(M5886=1,(P5886-Assumptions!$B$37)*Assumptions!$B$153,0)</f>
        <v/>
      </c>
      <c r="AA5886">
        <f>Q5886+R5886+S5886+T5886+U5886+V5886+W5886+X5886+Y5886+Z5886</f>
        <v/>
      </c>
      <c r="AB5886" t="n">
        <v>118</v>
      </c>
      <c r="AC5886" t="n">
        <v>54</v>
      </c>
      <c r="AD5886" t="n">
        <v>86</v>
      </c>
      <c r="AE5886" t="n">
        <v>102</v>
      </c>
      <c r="AF5886" t="n">
        <v>126</v>
      </c>
      <c r="AG5886" t="n">
        <v>114</v>
      </c>
      <c r="AH5886" t="n">
        <v>116</v>
      </c>
      <c r="AI5886" t="n">
        <v>119</v>
      </c>
      <c r="AJ5886">
        <f>INDEX($Q$5768:$Q$5895,AC5886+1)</f>
        <v/>
      </c>
      <c r="AK5886">
        <f>INDEX($R$5768:$R$5895,AD5886+1)</f>
        <v/>
      </c>
      <c r="AL5886">
        <f>INDEX($S$5768:$S$5895,AE5886+1)</f>
        <v/>
      </c>
      <c r="AM5886">
        <f>INDEX($T$5768:$T$5895,AF5886+1)</f>
        <v/>
      </c>
      <c r="AN5886">
        <f>INDEX($U$5768:$U$5895,AG5886+1)</f>
        <v/>
      </c>
      <c r="AO5886">
        <f>INDEX($V$5768:$V$5895,AH5886+1)</f>
        <v/>
      </c>
      <c r="AP5886">
        <f>INDEX($W$5768:$W$5895,AI5886+1)</f>
        <v/>
      </c>
      <c r="AQ5886">
        <f>IF(Q5886&gt;=AJ5886-0.01,1,0)</f>
        <v/>
      </c>
      <c r="AR5886">
        <f>IF(R5886&gt;=AK5886-0.01,1,0)</f>
        <v/>
      </c>
      <c r="AS5886">
        <f>IF(S5886&gt;=AL5886-0.01,1,0)</f>
        <v/>
      </c>
      <c r="AT5886">
        <f>IF(T5886&gt;=AM5886-0.01,1,0)</f>
        <v/>
      </c>
      <c r="AU5886">
        <f>IF(U5886&gt;=AN5886-0.01,1,0)</f>
        <v/>
      </c>
      <c r="AV5886">
        <f>IF(V5886&gt;=AO5886-0.01,1,0)</f>
        <v/>
      </c>
      <c r="AW5886">
        <f>IF(W5886&gt;=AP5886-0.01,1,0)</f>
        <v/>
      </c>
      <c r="AX5886">
        <f>AQ5886*AR5886*AS5886*AT5886*AU5886*AV5886*AW5886</f>
        <v/>
      </c>
    </row>
    <row r="5887">
      <c r="A5887" t="inlineStr"/>
      <c r="B5887">
        <f>Assumptions!$B$60</f>
        <v/>
      </c>
      <c r="C5887" t="n">
        <v>1</v>
      </c>
      <c r="D5887" t="n">
        <v>1</v>
      </c>
      <c r="E5887" t="n">
        <v>1</v>
      </c>
      <c r="F5887" t="n">
        <v>0</v>
      </c>
      <c r="G5887" t="n">
        <v>1</v>
      </c>
      <c r="H5887" t="n">
        <v>1</v>
      </c>
      <c r="I5887" t="n">
        <v>1</v>
      </c>
      <c r="J5887">
        <f>(1-C5887)*Assumptions!$B$41+(1-D5887)*Assumptions!$B$33+(1-E5887)*Assumptions!$B$32+(1-F5887)*Assumptions!$B$31+(1-G5887)*Assumptions!$B$30+(1-H5887)*Assumptions!$B$29+(1-I5887)*Assumptions!$B$28</f>
        <v/>
      </c>
      <c r="K5887">
        <f>C5887*$J$607+D5887*$F$607+E5887*$G$607+F5887*Assumptions!$B$14+G5887*Assumptions!$B$13+H5887*Assumptions!$B$12+I5887*Assumptions!$B$11+$O$607+$S$607+Assumptions!$B$9</f>
        <v/>
      </c>
      <c r="L5887">
        <f>B5887-J5887</f>
        <v/>
      </c>
      <c r="M5887">
        <f>IF(K5887&gt;0,IF(L5887/K5887&gt;=Assumptions!$B$37,1,0),0)</f>
        <v/>
      </c>
      <c r="N5887">
        <f>K5887+M5887*Assumptions!$B$153</f>
        <v/>
      </c>
      <c r="O5887">
        <f>L5887+M5887*Assumptions!$B$153*Assumptions!$B$37</f>
        <v/>
      </c>
      <c r="P5887">
        <f>IF(N5887&gt;0,O5887/N5887,0)</f>
        <v/>
      </c>
      <c r="Q5887">
        <f>IF(C5887=1,P5887*$J$607,Assumptions!$B$41)</f>
        <v/>
      </c>
      <c r="R5887">
        <f>IF(D5887=1,P5887*$F$607,Assumptions!$B$33)</f>
        <v/>
      </c>
      <c r="S5887">
        <f>IF(E5887=1,P5887*$G$607,Assumptions!$B$32)</f>
        <v/>
      </c>
      <c r="T5887">
        <f>IF(F5887=1,P5887*Assumptions!$B$14,Assumptions!$B$31)</f>
        <v/>
      </c>
      <c r="U5887">
        <f>IF(G5887=1,P5887*Assumptions!$B$13,Assumptions!$B$30)</f>
        <v/>
      </c>
      <c r="V5887">
        <f>IF(H5887=1,P5887*Assumptions!$B$12,Assumptions!$B$29)</f>
        <v/>
      </c>
      <c r="W5887">
        <f>IF(I5887=1,P5887*Assumptions!$B$11,Assumptions!$B$28)</f>
        <v/>
      </c>
      <c r="X5887">
        <f>P5887*($O$607+$S$607)</f>
        <v/>
      </c>
      <c r="Y5887">
        <f>P5887*Assumptions!$B$9</f>
        <v/>
      </c>
      <c r="Z5887">
        <f>IF(M5887=1,(P5887-Assumptions!$B$37)*Assumptions!$B$153,0)</f>
        <v/>
      </c>
      <c r="AA5887">
        <f>Q5887+R5887+S5887+T5887+U5887+V5887+W5887+X5887+Y5887+Z5887</f>
        <v/>
      </c>
      <c r="AB5887" t="n">
        <v>119</v>
      </c>
      <c r="AC5887" t="n">
        <v>55</v>
      </c>
      <c r="AD5887" t="n">
        <v>87</v>
      </c>
      <c r="AE5887" t="n">
        <v>103</v>
      </c>
      <c r="AF5887" t="n">
        <v>127</v>
      </c>
      <c r="AG5887" t="n">
        <v>115</v>
      </c>
      <c r="AH5887" t="n">
        <v>117</v>
      </c>
      <c r="AI5887" t="n">
        <v>118</v>
      </c>
      <c r="AJ5887">
        <f>INDEX($Q$5768:$Q$5895,AC5887+1)</f>
        <v/>
      </c>
      <c r="AK5887">
        <f>INDEX($R$5768:$R$5895,AD5887+1)</f>
        <v/>
      </c>
      <c r="AL5887">
        <f>INDEX($S$5768:$S$5895,AE5887+1)</f>
        <v/>
      </c>
      <c r="AM5887">
        <f>INDEX($T$5768:$T$5895,AF5887+1)</f>
        <v/>
      </c>
      <c r="AN5887">
        <f>INDEX($U$5768:$U$5895,AG5887+1)</f>
        <v/>
      </c>
      <c r="AO5887">
        <f>INDEX($V$5768:$V$5895,AH5887+1)</f>
        <v/>
      </c>
      <c r="AP5887">
        <f>INDEX($W$5768:$W$5895,AI5887+1)</f>
        <v/>
      </c>
      <c r="AQ5887">
        <f>IF(Q5887&gt;=AJ5887-0.01,1,0)</f>
        <v/>
      </c>
      <c r="AR5887">
        <f>IF(R5887&gt;=AK5887-0.01,1,0)</f>
        <v/>
      </c>
      <c r="AS5887">
        <f>IF(S5887&gt;=AL5887-0.01,1,0)</f>
        <v/>
      </c>
      <c r="AT5887">
        <f>IF(T5887&gt;=AM5887-0.01,1,0)</f>
        <v/>
      </c>
      <c r="AU5887">
        <f>IF(U5887&gt;=AN5887-0.01,1,0)</f>
        <v/>
      </c>
      <c r="AV5887">
        <f>IF(V5887&gt;=AO5887-0.01,1,0)</f>
        <v/>
      </c>
      <c r="AW5887">
        <f>IF(W5887&gt;=AP5887-0.01,1,0)</f>
        <v/>
      </c>
      <c r="AX5887">
        <f>AQ5887*AR5887*AS5887*AT5887*AU5887*AV5887*AW5887</f>
        <v/>
      </c>
    </row>
    <row r="5888">
      <c r="A5888" t="inlineStr"/>
      <c r="B5888">
        <f>Assumptions!$B$60</f>
        <v/>
      </c>
      <c r="C5888" t="n">
        <v>1</v>
      </c>
      <c r="D5888" t="n">
        <v>1</v>
      </c>
      <c r="E5888" t="n">
        <v>1</v>
      </c>
      <c r="F5888" t="n">
        <v>1</v>
      </c>
      <c r="G5888" t="n">
        <v>0</v>
      </c>
      <c r="H5888" t="n">
        <v>0</v>
      </c>
      <c r="I5888" t="n">
        <v>0</v>
      </c>
      <c r="J5888">
        <f>(1-C5888)*Assumptions!$B$41+(1-D5888)*Assumptions!$B$33+(1-E5888)*Assumptions!$B$32+(1-F5888)*Assumptions!$B$31+(1-G5888)*Assumptions!$B$30+(1-H5888)*Assumptions!$B$29+(1-I5888)*Assumptions!$B$28</f>
        <v/>
      </c>
      <c r="K5888">
        <f>C5888*$J$607+D5888*$F$607+E5888*$G$607+F5888*Assumptions!$B$14+G5888*Assumptions!$B$13+H5888*Assumptions!$B$12+I5888*Assumptions!$B$11+$O$607+$S$607+Assumptions!$B$9</f>
        <v/>
      </c>
      <c r="L5888">
        <f>B5888-J5888</f>
        <v/>
      </c>
      <c r="M5888">
        <f>IF(K5888&gt;0,IF(L5888/K5888&gt;=Assumptions!$B$37,1,0),0)</f>
        <v/>
      </c>
      <c r="N5888">
        <f>K5888+M5888*Assumptions!$B$153</f>
        <v/>
      </c>
      <c r="O5888">
        <f>L5888+M5888*Assumptions!$B$153*Assumptions!$B$37</f>
        <v/>
      </c>
      <c r="P5888">
        <f>IF(N5888&gt;0,O5888/N5888,0)</f>
        <v/>
      </c>
      <c r="Q5888">
        <f>IF(C5888=1,P5888*$J$607,Assumptions!$B$41)</f>
        <v/>
      </c>
      <c r="R5888">
        <f>IF(D5888=1,P5888*$F$607,Assumptions!$B$33)</f>
        <v/>
      </c>
      <c r="S5888">
        <f>IF(E5888=1,P5888*$G$607,Assumptions!$B$32)</f>
        <v/>
      </c>
      <c r="T5888">
        <f>IF(F5888=1,P5888*Assumptions!$B$14,Assumptions!$B$31)</f>
        <v/>
      </c>
      <c r="U5888">
        <f>IF(G5888=1,P5888*Assumptions!$B$13,Assumptions!$B$30)</f>
        <v/>
      </c>
      <c r="V5888">
        <f>IF(H5888=1,P5888*Assumptions!$B$12,Assumptions!$B$29)</f>
        <v/>
      </c>
      <c r="W5888">
        <f>IF(I5888=1,P5888*Assumptions!$B$11,Assumptions!$B$28)</f>
        <v/>
      </c>
      <c r="X5888">
        <f>P5888*($O$607+$S$607)</f>
        <v/>
      </c>
      <c r="Y5888">
        <f>P5888*Assumptions!$B$9</f>
        <v/>
      </c>
      <c r="Z5888">
        <f>IF(M5888=1,(P5888-Assumptions!$B$37)*Assumptions!$B$153,0)</f>
        <v/>
      </c>
      <c r="AA5888">
        <f>Q5888+R5888+S5888+T5888+U5888+V5888+W5888+X5888+Y5888+Z5888</f>
        <v/>
      </c>
      <c r="AB5888" t="n">
        <v>120</v>
      </c>
      <c r="AC5888" t="n">
        <v>56</v>
      </c>
      <c r="AD5888" t="n">
        <v>88</v>
      </c>
      <c r="AE5888" t="n">
        <v>104</v>
      </c>
      <c r="AF5888" t="n">
        <v>112</v>
      </c>
      <c r="AG5888" t="n">
        <v>124</v>
      </c>
      <c r="AH5888" t="n">
        <v>122</v>
      </c>
      <c r="AI5888" t="n">
        <v>121</v>
      </c>
      <c r="AJ5888">
        <f>INDEX($Q$5768:$Q$5895,AC5888+1)</f>
        <v/>
      </c>
      <c r="AK5888">
        <f>INDEX($R$5768:$R$5895,AD5888+1)</f>
        <v/>
      </c>
      <c r="AL5888">
        <f>INDEX($S$5768:$S$5895,AE5888+1)</f>
        <v/>
      </c>
      <c r="AM5888">
        <f>INDEX($T$5768:$T$5895,AF5888+1)</f>
        <v/>
      </c>
      <c r="AN5888">
        <f>INDEX($U$5768:$U$5895,AG5888+1)</f>
        <v/>
      </c>
      <c r="AO5888">
        <f>INDEX($V$5768:$V$5895,AH5888+1)</f>
        <v/>
      </c>
      <c r="AP5888">
        <f>INDEX($W$5768:$W$5895,AI5888+1)</f>
        <v/>
      </c>
      <c r="AQ5888">
        <f>IF(Q5888&gt;=AJ5888-0.01,1,0)</f>
        <v/>
      </c>
      <c r="AR5888">
        <f>IF(R5888&gt;=AK5888-0.01,1,0)</f>
        <v/>
      </c>
      <c r="AS5888">
        <f>IF(S5888&gt;=AL5888-0.01,1,0)</f>
        <v/>
      </c>
      <c r="AT5888">
        <f>IF(T5888&gt;=AM5888-0.01,1,0)</f>
        <v/>
      </c>
      <c r="AU5888">
        <f>IF(U5888&gt;=AN5888-0.01,1,0)</f>
        <v/>
      </c>
      <c r="AV5888">
        <f>IF(V5888&gt;=AO5888-0.01,1,0)</f>
        <v/>
      </c>
      <c r="AW5888">
        <f>IF(W5888&gt;=AP5888-0.01,1,0)</f>
        <v/>
      </c>
      <c r="AX5888">
        <f>AQ5888*AR5888*AS5888*AT5888*AU5888*AV5888*AW5888</f>
        <v/>
      </c>
    </row>
    <row r="5889">
      <c r="A5889" t="inlineStr"/>
      <c r="B5889">
        <f>Assumptions!$B$60</f>
        <v/>
      </c>
      <c r="C5889" t="n">
        <v>1</v>
      </c>
      <c r="D5889" t="n">
        <v>1</v>
      </c>
      <c r="E5889" t="n">
        <v>1</v>
      </c>
      <c r="F5889" t="n">
        <v>1</v>
      </c>
      <c r="G5889" t="n">
        <v>0</v>
      </c>
      <c r="H5889" t="n">
        <v>0</v>
      </c>
      <c r="I5889" t="n">
        <v>1</v>
      </c>
      <c r="J5889">
        <f>(1-C5889)*Assumptions!$B$41+(1-D5889)*Assumptions!$B$33+(1-E5889)*Assumptions!$B$32+(1-F5889)*Assumptions!$B$31+(1-G5889)*Assumptions!$B$30+(1-H5889)*Assumptions!$B$29+(1-I5889)*Assumptions!$B$28</f>
        <v/>
      </c>
      <c r="K5889">
        <f>C5889*$J$607+D5889*$F$607+E5889*$G$607+F5889*Assumptions!$B$14+G5889*Assumptions!$B$13+H5889*Assumptions!$B$12+I5889*Assumptions!$B$11+$O$607+$S$607+Assumptions!$B$9</f>
        <v/>
      </c>
      <c r="L5889">
        <f>B5889-J5889</f>
        <v/>
      </c>
      <c r="M5889">
        <f>IF(K5889&gt;0,IF(L5889/K5889&gt;=Assumptions!$B$37,1,0),0)</f>
        <v/>
      </c>
      <c r="N5889">
        <f>K5889+M5889*Assumptions!$B$153</f>
        <v/>
      </c>
      <c r="O5889">
        <f>L5889+M5889*Assumptions!$B$153*Assumptions!$B$37</f>
        <v/>
      </c>
      <c r="P5889">
        <f>IF(N5889&gt;0,O5889/N5889,0)</f>
        <v/>
      </c>
      <c r="Q5889">
        <f>IF(C5889=1,P5889*$J$607,Assumptions!$B$41)</f>
        <v/>
      </c>
      <c r="R5889">
        <f>IF(D5889=1,P5889*$F$607,Assumptions!$B$33)</f>
        <v/>
      </c>
      <c r="S5889">
        <f>IF(E5889=1,P5889*$G$607,Assumptions!$B$32)</f>
        <v/>
      </c>
      <c r="T5889">
        <f>IF(F5889=1,P5889*Assumptions!$B$14,Assumptions!$B$31)</f>
        <v/>
      </c>
      <c r="U5889">
        <f>IF(G5889=1,P5889*Assumptions!$B$13,Assumptions!$B$30)</f>
        <v/>
      </c>
      <c r="V5889">
        <f>IF(H5889=1,P5889*Assumptions!$B$12,Assumptions!$B$29)</f>
        <v/>
      </c>
      <c r="W5889">
        <f>IF(I5889=1,P5889*Assumptions!$B$11,Assumptions!$B$28)</f>
        <v/>
      </c>
      <c r="X5889">
        <f>P5889*($O$607+$S$607)</f>
        <v/>
      </c>
      <c r="Y5889">
        <f>P5889*Assumptions!$B$9</f>
        <v/>
      </c>
      <c r="Z5889">
        <f>IF(M5889=1,(P5889-Assumptions!$B$37)*Assumptions!$B$153,0)</f>
        <v/>
      </c>
      <c r="AA5889">
        <f>Q5889+R5889+S5889+T5889+U5889+V5889+W5889+X5889+Y5889+Z5889</f>
        <v/>
      </c>
      <c r="AB5889" t="n">
        <v>121</v>
      </c>
      <c r="AC5889" t="n">
        <v>57</v>
      </c>
      <c r="AD5889" t="n">
        <v>89</v>
      </c>
      <c r="AE5889" t="n">
        <v>105</v>
      </c>
      <c r="AF5889" t="n">
        <v>113</v>
      </c>
      <c r="AG5889" t="n">
        <v>125</v>
      </c>
      <c r="AH5889" t="n">
        <v>123</v>
      </c>
      <c r="AI5889" t="n">
        <v>120</v>
      </c>
      <c r="AJ5889">
        <f>INDEX($Q$5768:$Q$5895,AC5889+1)</f>
        <v/>
      </c>
      <c r="AK5889">
        <f>INDEX($R$5768:$R$5895,AD5889+1)</f>
        <v/>
      </c>
      <c r="AL5889">
        <f>INDEX($S$5768:$S$5895,AE5889+1)</f>
        <v/>
      </c>
      <c r="AM5889">
        <f>INDEX($T$5768:$T$5895,AF5889+1)</f>
        <v/>
      </c>
      <c r="AN5889">
        <f>INDEX($U$5768:$U$5895,AG5889+1)</f>
        <v/>
      </c>
      <c r="AO5889">
        <f>INDEX($V$5768:$V$5895,AH5889+1)</f>
        <v/>
      </c>
      <c r="AP5889">
        <f>INDEX($W$5768:$W$5895,AI5889+1)</f>
        <v/>
      </c>
      <c r="AQ5889">
        <f>IF(Q5889&gt;=AJ5889-0.01,1,0)</f>
        <v/>
      </c>
      <c r="AR5889">
        <f>IF(R5889&gt;=AK5889-0.01,1,0)</f>
        <v/>
      </c>
      <c r="AS5889">
        <f>IF(S5889&gt;=AL5889-0.01,1,0)</f>
        <v/>
      </c>
      <c r="AT5889">
        <f>IF(T5889&gt;=AM5889-0.01,1,0)</f>
        <v/>
      </c>
      <c r="AU5889">
        <f>IF(U5889&gt;=AN5889-0.01,1,0)</f>
        <v/>
      </c>
      <c r="AV5889">
        <f>IF(V5889&gt;=AO5889-0.01,1,0)</f>
        <v/>
      </c>
      <c r="AW5889">
        <f>IF(W5889&gt;=AP5889-0.01,1,0)</f>
        <v/>
      </c>
      <c r="AX5889">
        <f>AQ5889*AR5889*AS5889*AT5889*AU5889*AV5889*AW5889</f>
        <v/>
      </c>
    </row>
    <row r="5890">
      <c r="A5890" t="inlineStr"/>
      <c r="B5890">
        <f>Assumptions!$B$60</f>
        <v/>
      </c>
      <c r="C5890" t="n">
        <v>1</v>
      </c>
      <c r="D5890" t="n">
        <v>1</v>
      </c>
      <c r="E5890" t="n">
        <v>1</v>
      </c>
      <c r="F5890" t="n">
        <v>1</v>
      </c>
      <c r="G5890" t="n">
        <v>0</v>
      </c>
      <c r="H5890" t="n">
        <v>1</v>
      </c>
      <c r="I5890" t="n">
        <v>0</v>
      </c>
      <c r="J5890">
        <f>(1-C5890)*Assumptions!$B$41+(1-D5890)*Assumptions!$B$33+(1-E5890)*Assumptions!$B$32+(1-F5890)*Assumptions!$B$31+(1-G5890)*Assumptions!$B$30+(1-H5890)*Assumptions!$B$29+(1-I5890)*Assumptions!$B$28</f>
        <v/>
      </c>
      <c r="K5890">
        <f>C5890*$J$607+D5890*$F$607+E5890*$G$607+F5890*Assumptions!$B$14+G5890*Assumptions!$B$13+H5890*Assumptions!$B$12+I5890*Assumptions!$B$11+$O$607+$S$607+Assumptions!$B$9</f>
        <v/>
      </c>
      <c r="L5890">
        <f>B5890-J5890</f>
        <v/>
      </c>
      <c r="M5890">
        <f>IF(K5890&gt;0,IF(L5890/K5890&gt;=Assumptions!$B$37,1,0),0)</f>
        <v/>
      </c>
      <c r="N5890">
        <f>K5890+M5890*Assumptions!$B$153</f>
        <v/>
      </c>
      <c r="O5890">
        <f>L5890+M5890*Assumptions!$B$153*Assumptions!$B$37</f>
        <v/>
      </c>
      <c r="P5890">
        <f>IF(N5890&gt;0,O5890/N5890,0)</f>
        <v/>
      </c>
      <c r="Q5890">
        <f>IF(C5890=1,P5890*$J$607,Assumptions!$B$41)</f>
        <v/>
      </c>
      <c r="R5890">
        <f>IF(D5890=1,P5890*$F$607,Assumptions!$B$33)</f>
        <v/>
      </c>
      <c r="S5890">
        <f>IF(E5890=1,P5890*$G$607,Assumptions!$B$32)</f>
        <v/>
      </c>
      <c r="T5890">
        <f>IF(F5890=1,P5890*Assumptions!$B$14,Assumptions!$B$31)</f>
        <v/>
      </c>
      <c r="U5890">
        <f>IF(G5890=1,P5890*Assumptions!$B$13,Assumptions!$B$30)</f>
        <v/>
      </c>
      <c r="V5890">
        <f>IF(H5890=1,P5890*Assumptions!$B$12,Assumptions!$B$29)</f>
        <v/>
      </c>
      <c r="W5890">
        <f>IF(I5890=1,P5890*Assumptions!$B$11,Assumptions!$B$28)</f>
        <v/>
      </c>
      <c r="X5890">
        <f>P5890*($O$607+$S$607)</f>
        <v/>
      </c>
      <c r="Y5890">
        <f>P5890*Assumptions!$B$9</f>
        <v/>
      </c>
      <c r="Z5890">
        <f>IF(M5890=1,(P5890-Assumptions!$B$37)*Assumptions!$B$153,0)</f>
        <v/>
      </c>
      <c r="AA5890">
        <f>Q5890+R5890+S5890+T5890+U5890+V5890+W5890+X5890+Y5890+Z5890</f>
        <v/>
      </c>
      <c r="AB5890" t="n">
        <v>122</v>
      </c>
      <c r="AC5890" t="n">
        <v>58</v>
      </c>
      <c r="AD5890" t="n">
        <v>90</v>
      </c>
      <c r="AE5890" t="n">
        <v>106</v>
      </c>
      <c r="AF5890" t="n">
        <v>114</v>
      </c>
      <c r="AG5890" t="n">
        <v>126</v>
      </c>
      <c r="AH5890" t="n">
        <v>120</v>
      </c>
      <c r="AI5890" t="n">
        <v>123</v>
      </c>
      <c r="AJ5890">
        <f>INDEX($Q$5768:$Q$5895,AC5890+1)</f>
        <v/>
      </c>
      <c r="AK5890">
        <f>INDEX($R$5768:$R$5895,AD5890+1)</f>
        <v/>
      </c>
      <c r="AL5890">
        <f>INDEX($S$5768:$S$5895,AE5890+1)</f>
        <v/>
      </c>
      <c r="AM5890">
        <f>INDEX($T$5768:$T$5895,AF5890+1)</f>
        <v/>
      </c>
      <c r="AN5890">
        <f>INDEX($U$5768:$U$5895,AG5890+1)</f>
        <v/>
      </c>
      <c r="AO5890">
        <f>INDEX($V$5768:$V$5895,AH5890+1)</f>
        <v/>
      </c>
      <c r="AP5890">
        <f>INDEX($W$5768:$W$5895,AI5890+1)</f>
        <v/>
      </c>
      <c r="AQ5890">
        <f>IF(Q5890&gt;=AJ5890-0.01,1,0)</f>
        <v/>
      </c>
      <c r="AR5890">
        <f>IF(R5890&gt;=AK5890-0.01,1,0)</f>
        <v/>
      </c>
      <c r="AS5890">
        <f>IF(S5890&gt;=AL5890-0.01,1,0)</f>
        <v/>
      </c>
      <c r="AT5890">
        <f>IF(T5890&gt;=AM5890-0.01,1,0)</f>
        <v/>
      </c>
      <c r="AU5890">
        <f>IF(U5890&gt;=AN5890-0.01,1,0)</f>
        <v/>
      </c>
      <c r="AV5890">
        <f>IF(V5890&gt;=AO5890-0.01,1,0)</f>
        <v/>
      </c>
      <c r="AW5890">
        <f>IF(W5890&gt;=AP5890-0.01,1,0)</f>
        <v/>
      </c>
      <c r="AX5890">
        <f>AQ5890*AR5890*AS5890*AT5890*AU5890*AV5890*AW5890</f>
        <v/>
      </c>
    </row>
    <row r="5891">
      <c r="A5891" t="inlineStr"/>
      <c r="B5891">
        <f>Assumptions!$B$60</f>
        <v/>
      </c>
      <c r="C5891" t="n">
        <v>1</v>
      </c>
      <c r="D5891" t="n">
        <v>1</v>
      </c>
      <c r="E5891" t="n">
        <v>1</v>
      </c>
      <c r="F5891" t="n">
        <v>1</v>
      </c>
      <c r="G5891" t="n">
        <v>0</v>
      </c>
      <c r="H5891" t="n">
        <v>1</v>
      </c>
      <c r="I5891" t="n">
        <v>1</v>
      </c>
      <c r="J5891">
        <f>(1-C5891)*Assumptions!$B$41+(1-D5891)*Assumptions!$B$33+(1-E5891)*Assumptions!$B$32+(1-F5891)*Assumptions!$B$31+(1-G5891)*Assumptions!$B$30+(1-H5891)*Assumptions!$B$29+(1-I5891)*Assumptions!$B$28</f>
        <v/>
      </c>
      <c r="K5891">
        <f>C5891*$J$607+D5891*$F$607+E5891*$G$607+F5891*Assumptions!$B$14+G5891*Assumptions!$B$13+H5891*Assumptions!$B$12+I5891*Assumptions!$B$11+$O$607+$S$607+Assumptions!$B$9</f>
        <v/>
      </c>
      <c r="L5891">
        <f>B5891-J5891</f>
        <v/>
      </c>
      <c r="M5891">
        <f>IF(K5891&gt;0,IF(L5891/K5891&gt;=Assumptions!$B$37,1,0),0)</f>
        <v/>
      </c>
      <c r="N5891">
        <f>K5891+M5891*Assumptions!$B$153</f>
        <v/>
      </c>
      <c r="O5891">
        <f>L5891+M5891*Assumptions!$B$153*Assumptions!$B$37</f>
        <v/>
      </c>
      <c r="P5891">
        <f>IF(N5891&gt;0,O5891/N5891,0)</f>
        <v/>
      </c>
      <c r="Q5891">
        <f>IF(C5891=1,P5891*$J$607,Assumptions!$B$41)</f>
        <v/>
      </c>
      <c r="R5891">
        <f>IF(D5891=1,P5891*$F$607,Assumptions!$B$33)</f>
        <v/>
      </c>
      <c r="S5891">
        <f>IF(E5891=1,P5891*$G$607,Assumptions!$B$32)</f>
        <v/>
      </c>
      <c r="T5891">
        <f>IF(F5891=1,P5891*Assumptions!$B$14,Assumptions!$B$31)</f>
        <v/>
      </c>
      <c r="U5891">
        <f>IF(G5891=1,P5891*Assumptions!$B$13,Assumptions!$B$30)</f>
        <v/>
      </c>
      <c r="V5891">
        <f>IF(H5891=1,P5891*Assumptions!$B$12,Assumptions!$B$29)</f>
        <v/>
      </c>
      <c r="W5891">
        <f>IF(I5891=1,P5891*Assumptions!$B$11,Assumptions!$B$28)</f>
        <v/>
      </c>
      <c r="X5891">
        <f>P5891*($O$607+$S$607)</f>
        <v/>
      </c>
      <c r="Y5891">
        <f>P5891*Assumptions!$B$9</f>
        <v/>
      </c>
      <c r="Z5891">
        <f>IF(M5891=1,(P5891-Assumptions!$B$37)*Assumptions!$B$153,0)</f>
        <v/>
      </c>
      <c r="AA5891">
        <f>Q5891+R5891+S5891+T5891+U5891+V5891+W5891+X5891+Y5891+Z5891</f>
        <v/>
      </c>
      <c r="AB5891" t="n">
        <v>123</v>
      </c>
      <c r="AC5891" t="n">
        <v>59</v>
      </c>
      <c r="AD5891" t="n">
        <v>91</v>
      </c>
      <c r="AE5891" t="n">
        <v>107</v>
      </c>
      <c r="AF5891" t="n">
        <v>115</v>
      </c>
      <c r="AG5891" t="n">
        <v>127</v>
      </c>
      <c r="AH5891" t="n">
        <v>121</v>
      </c>
      <c r="AI5891" t="n">
        <v>122</v>
      </c>
      <c r="AJ5891">
        <f>INDEX($Q$5768:$Q$5895,AC5891+1)</f>
        <v/>
      </c>
      <c r="AK5891">
        <f>INDEX($R$5768:$R$5895,AD5891+1)</f>
        <v/>
      </c>
      <c r="AL5891">
        <f>INDEX($S$5768:$S$5895,AE5891+1)</f>
        <v/>
      </c>
      <c r="AM5891">
        <f>INDEX($T$5768:$T$5895,AF5891+1)</f>
        <v/>
      </c>
      <c r="AN5891">
        <f>INDEX($U$5768:$U$5895,AG5891+1)</f>
        <v/>
      </c>
      <c r="AO5891">
        <f>INDEX($V$5768:$V$5895,AH5891+1)</f>
        <v/>
      </c>
      <c r="AP5891">
        <f>INDEX($W$5768:$W$5895,AI5891+1)</f>
        <v/>
      </c>
      <c r="AQ5891">
        <f>IF(Q5891&gt;=AJ5891-0.01,1,0)</f>
        <v/>
      </c>
      <c r="AR5891">
        <f>IF(R5891&gt;=AK5891-0.01,1,0)</f>
        <v/>
      </c>
      <c r="AS5891">
        <f>IF(S5891&gt;=AL5891-0.01,1,0)</f>
        <v/>
      </c>
      <c r="AT5891">
        <f>IF(T5891&gt;=AM5891-0.01,1,0)</f>
        <v/>
      </c>
      <c r="AU5891">
        <f>IF(U5891&gt;=AN5891-0.01,1,0)</f>
        <v/>
      </c>
      <c r="AV5891">
        <f>IF(V5891&gt;=AO5891-0.01,1,0)</f>
        <v/>
      </c>
      <c r="AW5891">
        <f>IF(W5891&gt;=AP5891-0.01,1,0)</f>
        <v/>
      </c>
      <c r="AX5891">
        <f>AQ5891*AR5891*AS5891*AT5891*AU5891*AV5891*AW5891</f>
        <v/>
      </c>
    </row>
    <row r="5892">
      <c r="A5892" t="inlineStr"/>
      <c r="B5892">
        <f>Assumptions!$B$60</f>
        <v/>
      </c>
      <c r="C5892" t="n">
        <v>1</v>
      </c>
      <c r="D5892" t="n">
        <v>1</v>
      </c>
      <c r="E5892" t="n">
        <v>1</v>
      </c>
      <c r="F5892" t="n">
        <v>1</v>
      </c>
      <c r="G5892" t="n">
        <v>1</v>
      </c>
      <c r="H5892" t="n">
        <v>0</v>
      </c>
      <c r="I5892" t="n">
        <v>0</v>
      </c>
      <c r="J5892">
        <f>(1-C5892)*Assumptions!$B$41+(1-D5892)*Assumptions!$B$33+(1-E5892)*Assumptions!$B$32+(1-F5892)*Assumptions!$B$31+(1-G5892)*Assumptions!$B$30+(1-H5892)*Assumptions!$B$29+(1-I5892)*Assumptions!$B$28</f>
        <v/>
      </c>
      <c r="K5892">
        <f>C5892*$J$607+D5892*$F$607+E5892*$G$607+F5892*Assumptions!$B$14+G5892*Assumptions!$B$13+H5892*Assumptions!$B$12+I5892*Assumptions!$B$11+$O$607+$S$607+Assumptions!$B$9</f>
        <v/>
      </c>
      <c r="L5892">
        <f>B5892-J5892</f>
        <v/>
      </c>
      <c r="M5892">
        <f>IF(K5892&gt;0,IF(L5892/K5892&gt;=Assumptions!$B$37,1,0),0)</f>
        <v/>
      </c>
      <c r="N5892">
        <f>K5892+M5892*Assumptions!$B$153</f>
        <v/>
      </c>
      <c r="O5892">
        <f>L5892+M5892*Assumptions!$B$153*Assumptions!$B$37</f>
        <v/>
      </c>
      <c r="P5892">
        <f>IF(N5892&gt;0,O5892/N5892,0)</f>
        <v/>
      </c>
      <c r="Q5892">
        <f>IF(C5892=1,P5892*$J$607,Assumptions!$B$41)</f>
        <v/>
      </c>
      <c r="R5892">
        <f>IF(D5892=1,P5892*$F$607,Assumptions!$B$33)</f>
        <v/>
      </c>
      <c r="S5892">
        <f>IF(E5892=1,P5892*$G$607,Assumptions!$B$32)</f>
        <v/>
      </c>
      <c r="T5892">
        <f>IF(F5892=1,P5892*Assumptions!$B$14,Assumptions!$B$31)</f>
        <v/>
      </c>
      <c r="U5892">
        <f>IF(G5892=1,P5892*Assumptions!$B$13,Assumptions!$B$30)</f>
        <v/>
      </c>
      <c r="V5892">
        <f>IF(H5892=1,P5892*Assumptions!$B$12,Assumptions!$B$29)</f>
        <v/>
      </c>
      <c r="W5892">
        <f>IF(I5892=1,P5892*Assumptions!$B$11,Assumptions!$B$28)</f>
        <v/>
      </c>
      <c r="X5892">
        <f>P5892*($O$607+$S$607)</f>
        <v/>
      </c>
      <c r="Y5892">
        <f>P5892*Assumptions!$B$9</f>
        <v/>
      </c>
      <c r="Z5892">
        <f>IF(M5892=1,(P5892-Assumptions!$B$37)*Assumptions!$B$153,0)</f>
        <v/>
      </c>
      <c r="AA5892">
        <f>Q5892+R5892+S5892+T5892+U5892+V5892+W5892+X5892+Y5892+Z5892</f>
        <v/>
      </c>
      <c r="AB5892" t="n">
        <v>124</v>
      </c>
      <c r="AC5892" t="n">
        <v>60</v>
      </c>
      <c r="AD5892" t="n">
        <v>92</v>
      </c>
      <c r="AE5892" t="n">
        <v>108</v>
      </c>
      <c r="AF5892" t="n">
        <v>116</v>
      </c>
      <c r="AG5892" t="n">
        <v>120</v>
      </c>
      <c r="AH5892" t="n">
        <v>126</v>
      </c>
      <c r="AI5892" t="n">
        <v>125</v>
      </c>
      <c r="AJ5892">
        <f>INDEX($Q$5768:$Q$5895,AC5892+1)</f>
        <v/>
      </c>
      <c r="AK5892">
        <f>INDEX($R$5768:$R$5895,AD5892+1)</f>
        <v/>
      </c>
      <c r="AL5892">
        <f>INDEX($S$5768:$S$5895,AE5892+1)</f>
        <v/>
      </c>
      <c r="AM5892">
        <f>INDEX($T$5768:$T$5895,AF5892+1)</f>
        <v/>
      </c>
      <c r="AN5892">
        <f>INDEX($U$5768:$U$5895,AG5892+1)</f>
        <v/>
      </c>
      <c r="AO5892">
        <f>INDEX($V$5768:$V$5895,AH5892+1)</f>
        <v/>
      </c>
      <c r="AP5892">
        <f>INDEX($W$5768:$W$5895,AI5892+1)</f>
        <v/>
      </c>
      <c r="AQ5892">
        <f>IF(Q5892&gt;=AJ5892-0.01,1,0)</f>
        <v/>
      </c>
      <c r="AR5892">
        <f>IF(R5892&gt;=AK5892-0.01,1,0)</f>
        <v/>
      </c>
      <c r="AS5892">
        <f>IF(S5892&gt;=AL5892-0.01,1,0)</f>
        <v/>
      </c>
      <c r="AT5892">
        <f>IF(T5892&gt;=AM5892-0.01,1,0)</f>
        <v/>
      </c>
      <c r="AU5892">
        <f>IF(U5892&gt;=AN5892-0.01,1,0)</f>
        <v/>
      </c>
      <c r="AV5892">
        <f>IF(V5892&gt;=AO5892-0.01,1,0)</f>
        <v/>
      </c>
      <c r="AW5892">
        <f>IF(W5892&gt;=AP5892-0.01,1,0)</f>
        <v/>
      </c>
      <c r="AX5892">
        <f>AQ5892*AR5892*AS5892*AT5892*AU5892*AV5892*AW5892</f>
        <v/>
      </c>
    </row>
    <row r="5893">
      <c r="A5893" t="inlineStr"/>
      <c r="B5893">
        <f>Assumptions!$B$60</f>
        <v/>
      </c>
      <c r="C5893" t="n">
        <v>1</v>
      </c>
      <c r="D5893" t="n">
        <v>1</v>
      </c>
      <c r="E5893" t="n">
        <v>1</v>
      </c>
      <c r="F5893" t="n">
        <v>1</v>
      </c>
      <c r="G5893" t="n">
        <v>1</v>
      </c>
      <c r="H5893" t="n">
        <v>0</v>
      </c>
      <c r="I5893" t="n">
        <v>1</v>
      </c>
      <c r="J5893">
        <f>(1-C5893)*Assumptions!$B$41+(1-D5893)*Assumptions!$B$33+(1-E5893)*Assumptions!$B$32+(1-F5893)*Assumptions!$B$31+(1-G5893)*Assumptions!$B$30+(1-H5893)*Assumptions!$B$29+(1-I5893)*Assumptions!$B$28</f>
        <v/>
      </c>
      <c r="K5893">
        <f>C5893*$J$607+D5893*$F$607+E5893*$G$607+F5893*Assumptions!$B$14+G5893*Assumptions!$B$13+H5893*Assumptions!$B$12+I5893*Assumptions!$B$11+$O$607+$S$607+Assumptions!$B$9</f>
        <v/>
      </c>
      <c r="L5893">
        <f>B5893-J5893</f>
        <v/>
      </c>
      <c r="M5893">
        <f>IF(K5893&gt;0,IF(L5893/K5893&gt;=Assumptions!$B$37,1,0),0)</f>
        <v/>
      </c>
      <c r="N5893">
        <f>K5893+M5893*Assumptions!$B$153</f>
        <v/>
      </c>
      <c r="O5893">
        <f>L5893+M5893*Assumptions!$B$153*Assumptions!$B$37</f>
        <v/>
      </c>
      <c r="P5893">
        <f>IF(N5893&gt;0,O5893/N5893,0)</f>
        <v/>
      </c>
      <c r="Q5893">
        <f>IF(C5893=1,P5893*$J$607,Assumptions!$B$41)</f>
        <v/>
      </c>
      <c r="R5893">
        <f>IF(D5893=1,P5893*$F$607,Assumptions!$B$33)</f>
        <v/>
      </c>
      <c r="S5893">
        <f>IF(E5893=1,P5893*$G$607,Assumptions!$B$32)</f>
        <v/>
      </c>
      <c r="T5893">
        <f>IF(F5893=1,P5893*Assumptions!$B$14,Assumptions!$B$31)</f>
        <v/>
      </c>
      <c r="U5893">
        <f>IF(G5893=1,P5893*Assumptions!$B$13,Assumptions!$B$30)</f>
        <v/>
      </c>
      <c r="V5893">
        <f>IF(H5893=1,P5893*Assumptions!$B$12,Assumptions!$B$29)</f>
        <v/>
      </c>
      <c r="W5893">
        <f>IF(I5893=1,P5893*Assumptions!$B$11,Assumptions!$B$28)</f>
        <v/>
      </c>
      <c r="X5893">
        <f>P5893*($O$607+$S$607)</f>
        <v/>
      </c>
      <c r="Y5893">
        <f>P5893*Assumptions!$B$9</f>
        <v/>
      </c>
      <c r="Z5893">
        <f>IF(M5893=1,(P5893-Assumptions!$B$37)*Assumptions!$B$153,0)</f>
        <v/>
      </c>
      <c r="AA5893">
        <f>Q5893+R5893+S5893+T5893+U5893+V5893+W5893+X5893+Y5893+Z5893</f>
        <v/>
      </c>
      <c r="AB5893" t="n">
        <v>125</v>
      </c>
      <c r="AC5893" t="n">
        <v>61</v>
      </c>
      <c r="AD5893" t="n">
        <v>93</v>
      </c>
      <c r="AE5893" t="n">
        <v>109</v>
      </c>
      <c r="AF5893" t="n">
        <v>117</v>
      </c>
      <c r="AG5893" t="n">
        <v>121</v>
      </c>
      <c r="AH5893" t="n">
        <v>127</v>
      </c>
      <c r="AI5893" t="n">
        <v>124</v>
      </c>
      <c r="AJ5893">
        <f>INDEX($Q$5768:$Q$5895,AC5893+1)</f>
        <v/>
      </c>
      <c r="AK5893">
        <f>INDEX($R$5768:$R$5895,AD5893+1)</f>
        <v/>
      </c>
      <c r="AL5893">
        <f>INDEX($S$5768:$S$5895,AE5893+1)</f>
        <v/>
      </c>
      <c r="AM5893">
        <f>INDEX($T$5768:$T$5895,AF5893+1)</f>
        <v/>
      </c>
      <c r="AN5893">
        <f>INDEX($U$5768:$U$5895,AG5893+1)</f>
        <v/>
      </c>
      <c r="AO5893">
        <f>INDEX($V$5768:$V$5895,AH5893+1)</f>
        <v/>
      </c>
      <c r="AP5893">
        <f>INDEX($W$5768:$W$5895,AI5893+1)</f>
        <v/>
      </c>
      <c r="AQ5893">
        <f>IF(Q5893&gt;=AJ5893-0.01,1,0)</f>
        <v/>
      </c>
      <c r="AR5893">
        <f>IF(R5893&gt;=AK5893-0.01,1,0)</f>
        <v/>
      </c>
      <c r="AS5893">
        <f>IF(S5893&gt;=AL5893-0.01,1,0)</f>
        <v/>
      </c>
      <c r="AT5893">
        <f>IF(T5893&gt;=AM5893-0.01,1,0)</f>
        <v/>
      </c>
      <c r="AU5893">
        <f>IF(U5893&gt;=AN5893-0.01,1,0)</f>
        <v/>
      </c>
      <c r="AV5893">
        <f>IF(V5893&gt;=AO5893-0.01,1,0)</f>
        <v/>
      </c>
      <c r="AW5893">
        <f>IF(W5893&gt;=AP5893-0.01,1,0)</f>
        <v/>
      </c>
      <c r="AX5893">
        <f>AQ5893*AR5893*AS5893*AT5893*AU5893*AV5893*AW5893</f>
        <v/>
      </c>
    </row>
    <row r="5894">
      <c r="A5894" t="inlineStr"/>
      <c r="B5894">
        <f>Assumptions!$B$60</f>
        <v/>
      </c>
      <c r="C5894" t="n">
        <v>1</v>
      </c>
      <c r="D5894" t="n">
        <v>1</v>
      </c>
      <c r="E5894" t="n">
        <v>1</v>
      </c>
      <c r="F5894" t="n">
        <v>1</v>
      </c>
      <c r="G5894" t="n">
        <v>1</v>
      </c>
      <c r="H5894" t="n">
        <v>1</v>
      </c>
      <c r="I5894" t="n">
        <v>0</v>
      </c>
      <c r="J5894">
        <f>(1-C5894)*Assumptions!$B$41+(1-D5894)*Assumptions!$B$33+(1-E5894)*Assumptions!$B$32+(1-F5894)*Assumptions!$B$31+(1-G5894)*Assumptions!$B$30+(1-H5894)*Assumptions!$B$29+(1-I5894)*Assumptions!$B$28</f>
        <v/>
      </c>
      <c r="K5894">
        <f>C5894*$J$607+D5894*$F$607+E5894*$G$607+F5894*Assumptions!$B$14+G5894*Assumptions!$B$13+H5894*Assumptions!$B$12+I5894*Assumptions!$B$11+$O$607+$S$607+Assumptions!$B$9</f>
        <v/>
      </c>
      <c r="L5894">
        <f>B5894-J5894</f>
        <v/>
      </c>
      <c r="M5894">
        <f>IF(K5894&gt;0,IF(L5894/K5894&gt;=Assumptions!$B$37,1,0),0)</f>
        <v/>
      </c>
      <c r="N5894">
        <f>K5894+M5894*Assumptions!$B$153</f>
        <v/>
      </c>
      <c r="O5894">
        <f>L5894+M5894*Assumptions!$B$153*Assumptions!$B$37</f>
        <v/>
      </c>
      <c r="P5894">
        <f>IF(N5894&gt;0,O5894/N5894,0)</f>
        <v/>
      </c>
      <c r="Q5894">
        <f>IF(C5894=1,P5894*$J$607,Assumptions!$B$41)</f>
        <v/>
      </c>
      <c r="R5894">
        <f>IF(D5894=1,P5894*$F$607,Assumptions!$B$33)</f>
        <v/>
      </c>
      <c r="S5894">
        <f>IF(E5894=1,P5894*$G$607,Assumptions!$B$32)</f>
        <v/>
      </c>
      <c r="T5894">
        <f>IF(F5894=1,P5894*Assumptions!$B$14,Assumptions!$B$31)</f>
        <v/>
      </c>
      <c r="U5894">
        <f>IF(G5894=1,P5894*Assumptions!$B$13,Assumptions!$B$30)</f>
        <v/>
      </c>
      <c r="V5894">
        <f>IF(H5894=1,P5894*Assumptions!$B$12,Assumptions!$B$29)</f>
        <v/>
      </c>
      <c r="W5894">
        <f>IF(I5894=1,P5894*Assumptions!$B$11,Assumptions!$B$28)</f>
        <v/>
      </c>
      <c r="X5894">
        <f>P5894*($O$607+$S$607)</f>
        <v/>
      </c>
      <c r="Y5894">
        <f>P5894*Assumptions!$B$9</f>
        <v/>
      </c>
      <c r="Z5894">
        <f>IF(M5894=1,(P5894-Assumptions!$B$37)*Assumptions!$B$153,0)</f>
        <v/>
      </c>
      <c r="AA5894">
        <f>Q5894+R5894+S5894+T5894+U5894+V5894+W5894+X5894+Y5894+Z5894</f>
        <v/>
      </c>
      <c r="AB5894" t="n">
        <v>126</v>
      </c>
      <c r="AC5894" t="n">
        <v>62</v>
      </c>
      <c r="AD5894" t="n">
        <v>94</v>
      </c>
      <c r="AE5894" t="n">
        <v>110</v>
      </c>
      <c r="AF5894" t="n">
        <v>118</v>
      </c>
      <c r="AG5894" t="n">
        <v>122</v>
      </c>
      <c r="AH5894" t="n">
        <v>124</v>
      </c>
      <c r="AI5894" t="n">
        <v>127</v>
      </c>
      <c r="AJ5894">
        <f>INDEX($Q$5768:$Q$5895,AC5894+1)</f>
        <v/>
      </c>
      <c r="AK5894">
        <f>INDEX($R$5768:$R$5895,AD5894+1)</f>
        <v/>
      </c>
      <c r="AL5894">
        <f>INDEX($S$5768:$S$5895,AE5894+1)</f>
        <v/>
      </c>
      <c r="AM5894">
        <f>INDEX($T$5768:$T$5895,AF5894+1)</f>
        <v/>
      </c>
      <c r="AN5894">
        <f>INDEX($U$5768:$U$5895,AG5894+1)</f>
        <v/>
      </c>
      <c r="AO5894">
        <f>INDEX($V$5768:$V$5895,AH5894+1)</f>
        <v/>
      </c>
      <c r="AP5894">
        <f>INDEX($W$5768:$W$5895,AI5894+1)</f>
        <v/>
      </c>
      <c r="AQ5894">
        <f>IF(Q5894&gt;=AJ5894-0.01,1,0)</f>
        <v/>
      </c>
      <c r="AR5894">
        <f>IF(R5894&gt;=AK5894-0.01,1,0)</f>
        <v/>
      </c>
      <c r="AS5894">
        <f>IF(S5894&gt;=AL5894-0.01,1,0)</f>
        <v/>
      </c>
      <c r="AT5894">
        <f>IF(T5894&gt;=AM5894-0.01,1,0)</f>
        <v/>
      </c>
      <c r="AU5894">
        <f>IF(U5894&gt;=AN5894-0.01,1,0)</f>
        <v/>
      </c>
      <c r="AV5894">
        <f>IF(V5894&gt;=AO5894-0.01,1,0)</f>
        <v/>
      </c>
      <c r="AW5894">
        <f>IF(W5894&gt;=AP5894-0.01,1,0)</f>
        <v/>
      </c>
      <c r="AX5894">
        <f>AQ5894*AR5894*AS5894*AT5894*AU5894*AV5894*AW5894</f>
        <v/>
      </c>
    </row>
    <row r="5895">
      <c r="A5895" t="inlineStr"/>
      <c r="B5895">
        <f>Assumptions!$B$60</f>
        <v/>
      </c>
      <c r="C5895" t="n">
        <v>1</v>
      </c>
      <c r="D5895" t="n">
        <v>1</v>
      </c>
      <c r="E5895" t="n">
        <v>1</v>
      </c>
      <c r="F5895" t="n">
        <v>1</v>
      </c>
      <c r="G5895" t="n">
        <v>1</v>
      </c>
      <c r="H5895" t="n">
        <v>1</v>
      </c>
      <c r="I5895" t="n">
        <v>1</v>
      </c>
      <c r="J5895">
        <f>(1-C5895)*Assumptions!$B$41+(1-D5895)*Assumptions!$B$33+(1-E5895)*Assumptions!$B$32+(1-F5895)*Assumptions!$B$31+(1-G5895)*Assumptions!$B$30+(1-H5895)*Assumptions!$B$29+(1-I5895)*Assumptions!$B$28</f>
        <v/>
      </c>
      <c r="K5895">
        <f>C5895*$J$607+D5895*$F$607+E5895*$G$607+F5895*Assumptions!$B$14+G5895*Assumptions!$B$13+H5895*Assumptions!$B$12+I5895*Assumptions!$B$11+$O$607+$S$607+Assumptions!$B$9</f>
        <v/>
      </c>
      <c r="L5895">
        <f>B5895-J5895</f>
        <v/>
      </c>
      <c r="M5895">
        <f>IF(K5895&gt;0,IF(L5895/K5895&gt;=Assumptions!$B$37,1,0),0)</f>
        <v/>
      </c>
      <c r="N5895">
        <f>K5895+M5895*Assumptions!$B$153</f>
        <v/>
      </c>
      <c r="O5895">
        <f>L5895+M5895*Assumptions!$B$153*Assumptions!$B$37</f>
        <v/>
      </c>
      <c r="P5895">
        <f>IF(N5895&gt;0,O5895/N5895,0)</f>
        <v/>
      </c>
      <c r="Q5895">
        <f>IF(C5895=1,P5895*$J$607,Assumptions!$B$41)</f>
        <v/>
      </c>
      <c r="R5895">
        <f>IF(D5895=1,P5895*$F$607,Assumptions!$B$33)</f>
        <v/>
      </c>
      <c r="S5895">
        <f>IF(E5895=1,P5895*$G$607,Assumptions!$B$32)</f>
        <v/>
      </c>
      <c r="T5895">
        <f>IF(F5895=1,P5895*Assumptions!$B$14,Assumptions!$B$31)</f>
        <v/>
      </c>
      <c r="U5895">
        <f>IF(G5895=1,P5895*Assumptions!$B$13,Assumptions!$B$30)</f>
        <v/>
      </c>
      <c r="V5895">
        <f>IF(H5895=1,P5895*Assumptions!$B$12,Assumptions!$B$29)</f>
        <v/>
      </c>
      <c r="W5895">
        <f>IF(I5895=1,P5895*Assumptions!$B$11,Assumptions!$B$28)</f>
        <v/>
      </c>
      <c r="X5895">
        <f>P5895*($O$607+$S$607)</f>
        <v/>
      </c>
      <c r="Y5895">
        <f>P5895*Assumptions!$B$9</f>
        <v/>
      </c>
      <c r="Z5895">
        <f>IF(M5895=1,(P5895-Assumptions!$B$37)*Assumptions!$B$153,0)</f>
        <v/>
      </c>
      <c r="AA5895">
        <f>Q5895+R5895+S5895+T5895+U5895+V5895+W5895+X5895+Y5895+Z5895</f>
        <v/>
      </c>
      <c r="AB5895" t="n">
        <v>127</v>
      </c>
      <c r="AC5895" t="n">
        <v>63</v>
      </c>
      <c r="AD5895" t="n">
        <v>95</v>
      </c>
      <c r="AE5895" t="n">
        <v>111</v>
      </c>
      <c r="AF5895" t="n">
        <v>119</v>
      </c>
      <c r="AG5895" t="n">
        <v>123</v>
      </c>
      <c r="AH5895" t="n">
        <v>125</v>
      </c>
      <c r="AI5895" t="n">
        <v>126</v>
      </c>
      <c r="AJ5895">
        <f>INDEX($Q$5768:$Q$5895,AC5895+1)</f>
        <v/>
      </c>
      <c r="AK5895">
        <f>INDEX($R$5768:$R$5895,AD5895+1)</f>
        <v/>
      </c>
      <c r="AL5895">
        <f>INDEX($S$5768:$S$5895,AE5895+1)</f>
        <v/>
      </c>
      <c r="AM5895">
        <f>INDEX($T$5768:$T$5895,AF5895+1)</f>
        <v/>
      </c>
      <c r="AN5895">
        <f>INDEX($U$5768:$U$5895,AG5895+1)</f>
        <v/>
      </c>
      <c r="AO5895">
        <f>INDEX($V$5768:$V$5895,AH5895+1)</f>
        <v/>
      </c>
      <c r="AP5895">
        <f>INDEX($W$5768:$W$5895,AI5895+1)</f>
        <v/>
      </c>
      <c r="AQ5895">
        <f>IF(Q5895&gt;=AJ5895-0.01,1,0)</f>
        <v/>
      </c>
      <c r="AR5895">
        <f>IF(R5895&gt;=AK5895-0.01,1,0)</f>
        <v/>
      </c>
      <c r="AS5895">
        <f>IF(S5895&gt;=AL5895-0.01,1,0)</f>
        <v/>
      </c>
      <c r="AT5895">
        <f>IF(T5895&gt;=AM5895-0.01,1,0)</f>
        <v/>
      </c>
      <c r="AU5895">
        <f>IF(U5895&gt;=AN5895-0.01,1,0)</f>
        <v/>
      </c>
      <c r="AV5895">
        <f>IF(V5895&gt;=AO5895-0.01,1,0)</f>
        <v/>
      </c>
      <c r="AW5895">
        <f>IF(W5895&gt;=AP5895-0.01,1,0)</f>
        <v/>
      </c>
      <c r="AX5895">
        <f>AQ5895*AR5895*AS5895*AT5895*AU5895*AV5895*AW5895</f>
        <v/>
      </c>
    </row>
    <row r="5896">
      <c r="A5896" t="inlineStr">
        <is>
          <t>esop_15_pre_1400M</t>
        </is>
      </c>
      <c r="B5896">
        <f>Assumptions!$B$60</f>
        <v/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>
        <f>(1-C5896)*Assumptions!$B$41+(1-D5896)*Assumptions!$B$33+(1-E5896)*Assumptions!$B$32+(1-F5896)*Assumptions!$B$31+(1-G5896)*Assumptions!$B$30+(1-H5896)*Assumptions!$B$29+(1-I5896)*Assumptions!$B$28</f>
        <v/>
      </c>
      <c r="K5896">
        <f>C5896*$J$682+D5896*$F$682+E5896*$G$682+F5896*Assumptions!$B$14+G5896*Assumptions!$B$13+H5896*Assumptions!$B$12+I5896*Assumptions!$B$11+$O$682+$S$682+Assumptions!$B$9</f>
        <v/>
      </c>
      <c r="L5896">
        <f>B5896-J5896</f>
        <v/>
      </c>
      <c r="M5896">
        <f>IF(K5896&gt;0,IF(L5896/K5896&gt;=Assumptions!$B$37,1,0),0)</f>
        <v/>
      </c>
      <c r="N5896">
        <f>K5896+M5896*Assumptions!$B$153</f>
        <v/>
      </c>
      <c r="O5896">
        <f>L5896+M5896*Assumptions!$B$153*Assumptions!$B$37</f>
        <v/>
      </c>
      <c r="P5896">
        <f>IF(N5896&gt;0,O5896/N5896,0)</f>
        <v/>
      </c>
      <c r="Q5896">
        <f>IF(C5896=1,P5896*$J$682,Assumptions!$B$41)</f>
        <v/>
      </c>
      <c r="R5896">
        <f>IF(D5896=1,P5896*$F$682,Assumptions!$B$33)</f>
        <v/>
      </c>
      <c r="S5896">
        <f>IF(E5896=1,P5896*$G$682,Assumptions!$B$32)</f>
        <v/>
      </c>
      <c r="T5896">
        <f>IF(F5896=1,P5896*Assumptions!$B$14,Assumptions!$B$31)</f>
        <v/>
      </c>
      <c r="U5896">
        <f>IF(G5896=1,P5896*Assumptions!$B$13,Assumptions!$B$30)</f>
        <v/>
      </c>
      <c r="V5896">
        <f>IF(H5896=1,P5896*Assumptions!$B$12,Assumptions!$B$29)</f>
        <v/>
      </c>
      <c r="W5896">
        <f>IF(I5896=1,P5896*Assumptions!$B$11,Assumptions!$B$28)</f>
        <v/>
      </c>
      <c r="X5896">
        <f>P5896*($O$682+$S$682)</f>
        <v/>
      </c>
      <c r="Y5896">
        <f>P5896*Assumptions!$B$9</f>
        <v/>
      </c>
      <c r="Z5896">
        <f>IF(M5896=1,(P5896-Assumptions!$B$37)*Assumptions!$B$153,0)</f>
        <v/>
      </c>
      <c r="AA5896">
        <f>Q5896+R5896+S5896+T5896+U5896+V5896+W5896+X5896+Y5896+Z5896</f>
        <v/>
      </c>
      <c r="AB5896" t="n">
        <v>0</v>
      </c>
      <c r="AC5896" t="n">
        <v>64</v>
      </c>
      <c r="AD5896" t="n">
        <v>32</v>
      </c>
      <c r="AE5896" t="n">
        <v>16</v>
      </c>
      <c r="AF5896" t="n">
        <v>8</v>
      </c>
      <c r="AG5896" t="n">
        <v>4</v>
      </c>
      <c r="AH5896" t="n">
        <v>2</v>
      </c>
      <c r="AI5896" t="n">
        <v>1</v>
      </c>
      <c r="AJ5896">
        <f>INDEX($Q$5896:$Q$6023,AC5896+1)</f>
        <v/>
      </c>
      <c r="AK5896">
        <f>INDEX($R$5896:$R$6023,AD5896+1)</f>
        <v/>
      </c>
      <c r="AL5896">
        <f>INDEX($S$5896:$S$6023,AE5896+1)</f>
        <v/>
      </c>
      <c r="AM5896">
        <f>INDEX($T$5896:$T$6023,AF5896+1)</f>
        <v/>
      </c>
      <c r="AN5896">
        <f>INDEX($U$5896:$U$6023,AG5896+1)</f>
        <v/>
      </c>
      <c r="AO5896">
        <f>INDEX($V$5896:$V$6023,AH5896+1)</f>
        <v/>
      </c>
      <c r="AP5896">
        <f>INDEX($W$5896:$W$6023,AI5896+1)</f>
        <v/>
      </c>
      <c r="AQ5896">
        <f>IF(Q5896&gt;=AJ5896-0.01,1,0)</f>
        <v/>
      </c>
      <c r="AR5896">
        <f>IF(R5896&gt;=AK5896-0.01,1,0)</f>
        <v/>
      </c>
      <c r="AS5896">
        <f>IF(S5896&gt;=AL5896-0.01,1,0)</f>
        <v/>
      </c>
      <c r="AT5896">
        <f>IF(T5896&gt;=AM5896-0.01,1,0)</f>
        <v/>
      </c>
      <c r="AU5896">
        <f>IF(U5896&gt;=AN5896-0.01,1,0)</f>
        <v/>
      </c>
      <c r="AV5896">
        <f>IF(V5896&gt;=AO5896-0.01,1,0)</f>
        <v/>
      </c>
      <c r="AW5896">
        <f>IF(W5896&gt;=AP5896-0.01,1,0)</f>
        <v/>
      </c>
      <c r="AX5896">
        <f>AQ5896*AR5896*AS5896*AT5896*AU5896*AV5896*AW5896</f>
        <v/>
      </c>
    </row>
    <row r="5897">
      <c r="A5897" t="inlineStr"/>
      <c r="B5897">
        <f>Assumptions!$B$60</f>
        <v/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>
        <f>(1-C5897)*Assumptions!$B$41+(1-D5897)*Assumptions!$B$33+(1-E5897)*Assumptions!$B$32+(1-F5897)*Assumptions!$B$31+(1-G5897)*Assumptions!$B$30+(1-H5897)*Assumptions!$B$29+(1-I5897)*Assumptions!$B$28</f>
        <v/>
      </c>
      <c r="K5897">
        <f>C5897*$J$682+D5897*$F$682+E5897*$G$682+F5897*Assumptions!$B$14+G5897*Assumptions!$B$13+H5897*Assumptions!$B$12+I5897*Assumptions!$B$11+$O$682+$S$682+Assumptions!$B$9</f>
        <v/>
      </c>
      <c r="L5897">
        <f>B5897-J5897</f>
        <v/>
      </c>
      <c r="M5897">
        <f>IF(K5897&gt;0,IF(L5897/K5897&gt;=Assumptions!$B$37,1,0),0)</f>
        <v/>
      </c>
      <c r="N5897">
        <f>K5897+M5897*Assumptions!$B$153</f>
        <v/>
      </c>
      <c r="O5897">
        <f>L5897+M5897*Assumptions!$B$153*Assumptions!$B$37</f>
        <v/>
      </c>
      <c r="P5897">
        <f>IF(N5897&gt;0,O5897/N5897,0)</f>
        <v/>
      </c>
      <c r="Q5897">
        <f>IF(C5897=1,P5897*$J$682,Assumptions!$B$41)</f>
        <v/>
      </c>
      <c r="R5897">
        <f>IF(D5897=1,P5897*$F$682,Assumptions!$B$33)</f>
        <v/>
      </c>
      <c r="S5897">
        <f>IF(E5897=1,P5897*$G$682,Assumptions!$B$32)</f>
        <v/>
      </c>
      <c r="T5897">
        <f>IF(F5897=1,P5897*Assumptions!$B$14,Assumptions!$B$31)</f>
        <v/>
      </c>
      <c r="U5897">
        <f>IF(G5897=1,P5897*Assumptions!$B$13,Assumptions!$B$30)</f>
        <v/>
      </c>
      <c r="V5897">
        <f>IF(H5897=1,P5897*Assumptions!$B$12,Assumptions!$B$29)</f>
        <v/>
      </c>
      <c r="W5897">
        <f>IF(I5897=1,P5897*Assumptions!$B$11,Assumptions!$B$28)</f>
        <v/>
      </c>
      <c r="X5897">
        <f>P5897*($O$682+$S$682)</f>
        <v/>
      </c>
      <c r="Y5897">
        <f>P5897*Assumptions!$B$9</f>
        <v/>
      </c>
      <c r="Z5897">
        <f>IF(M5897=1,(P5897-Assumptions!$B$37)*Assumptions!$B$153,0)</f>
        <v/>
      </c>
      <c r="AA5897">
        <f>Q5897+R5897+S5897+T5897+U5897+V5897+W5897+X5897+Y5897+Z5897</f>
        <v/>
      </c>
      <c r="AB5897" t="n">
        <v>1</v>
      </c>
      <c r="AC5897" t="n">
        <v>65</v>
      </c>
      <c r="AD5897" t="n">
        <v>33</v>
      </c>
      <c r="AE5897" t="n">
        <v>17</v>
      </c>
      <c r="AF5897" t="n">
        <v>9</v>
      </c>
      <c r="AG5897" t="n">
        <v>5</v>
      </c>
      <c r="AH5897" t="n">
        <v>3</v>
      </c>
      <c r="AI5897" t="n">
        <v>0</v>
      </c>
      <c r="AJ5897">
        <f>INDEX($Q$5896:$Q$6023,AC5897+1)</f>
        <v/>
      </c>
      <c r="AK5897">
        <f>INDEX($R$5896:$R$6023,AD5897+1)</f>
        <v/>
      </c>
      <c r="AL5897">
        <f>INDEX($S$5896:$S$6023,AE5897+1)</f>
        <v/>
      </c>
      <c r="AM5897">
        <f>INDEX($T$5896:$T$6023,AF5897+1)</f>
        <v/>
      </c>
      <c r="AN5897">
        <f>INDEX($U$5896:$U$6023,AG5897+1)</f>
        <v/>
      </c>
      <c r="AO5897">
        <f>INDEX($V$5896:$V$6023,AH5897+1)</f>
        <v/>
      </c>
      <c r="AP5897">
        <f>INDEX($W$5896:$W$6023,AI5897+1)</f>
        <v/>
      </c>
      <c r="AQ5897">
        <f>IF(Q5897&gt;=AJ5897-0.01,1,0)</f>
        <v/>
      </c>
      <c r="AR5897">
        <f>IF(R5897&gt;=AK5897-0.01,1,0)</f>
        <v/>
      </c>
      <c r="AS5897">
        <f>IF(S5897&gt;=AL5897-0.01,1,0)</f>
        <v/>
      </c>
      <c r="AT5897">
        <f>IF(T5897&gt;=AM5897-0.01,1,0)</f>
        <v/>
      </c>
      <c r="AU5897">
        <f>IF(U5897&gt;=AN5897-0.01,1,0)</f>
        <v/>
      </c>
      <c r="AV5897">
        <f>IF(V5897&gt;=AO5897-0.01,1,0)</f>
        <v/>
      </c>
      <c r="AW5897">
        <f>IF(W5897&gt;=AP5897-0.01,1,0)</f>
        <v/>
      </c>
      <c r="AX5897">
        <f>AQ5897*AR5897*AS5897*AT5897*AU5897*AV5897*AW5897</f>
        <v/>
      </c>
    </row>
    <row r="5898">
      <c r="A5898" t="inlineStr"/>
      <c r="B5898">
        <f>Assumptions!$B$60</f>
        <v/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>
        <f>(1-C5898)*Assumptions!$B$41+(1-D5898)*Assumptions!$B$33+(1-E5898)*Assumptions!$B$32+(1-F5898)*Assumptions!$B$31+(1-G5898)*Assumptions!$B$30+(1-H5898)*Assumptions!$B$29+(1-I5898)*Assumptions!$B$28</f>
        <v/>
      </c>
      <c r="K5898">
        <f>C5898*$J$682+D5898*$F$682+E5898*$G$682+F5898*Assumptions!$B$14+G5898*Assumptions!$B$13+H5898*Assumptions!$B$12+I5898*Assumptions!$B$11+$O$682+$S$682+Assumptions!$B$9</f>
        <v/>
      </c>
      <c r="L5898">
        <f>B5898-J5898</f>
        <v/>
      </c>
      <c r="M5898">
        <f>IF(K5898&gt;0,IF(L5898/K5898&gt;=Assumptions!$B$37,1,0),0)</f>
        <v/>
      </c>
      <c r="N5898">
        <f>K5898+M5898*Assumptions!$B$153</f>
        <v/>
      </c>
      <c r="O5898">
        <f>L5898+M5898*Assumptions!$B$153*Assumptions!$B$37</f>
        <v/>
      </c>
      <c r="P5898">
        <f>IF(N5898&gt;0,O5898/N5898,0)</f>
        <v/>
      </c>
      <c r="Q5898">
        <f>IF(C5898=1,P5898*$J$682,Assumptions!$B$41)</f>
        <v/>
      </c>
      <c r="R5898">
        <f>IF(D5898=1,P5898*$F$682,Assumptions!$B$33)</f>
        <v/>
      </c>
      <c r="S5898">
        <f>IF(E5898=1,P5898*$G$682,Assumptions!$B$32)</f>
        <v/>
      </c>
      <c r="T5898">
        <f>IF(F5898=1,P5898*Assumptions!$B$14,Assumptions!$B$31)</f>
        <v/>
      </c>
      <c r="U5898">
        <f>IF(G5898=1,P5898*Assumptions!$B$13,Assumptions!$B$30)</f>
        <v/>
      </c>
      <c r="V5898">
        <f>IF(H5898=1,P5898*Assumptions!$B$12,Assumptions!$B$29)</f>
        <v/>
      </c>
      <c r="W5898">
        <f>IF(I5898=1,P5898*Assumptions!$B$11,Assumptions!$B$28)</f>
        <v/>
      </c>
      <c r="X5898">
        <f>P5898*($O$682+$S$682)</f>
        <v/>
      </c>
      <c r="Y5898">
        <f>P5898*Assumptions!$B$9</f>
        <v/>
      </c>
      <c r="Z5898">
        <f>IF(M5898=1,(P5898-Assumptions!$B$37)*Assumptions!$B$153,0)</f>
        <v/>
      </c>
      <c r="AA5898">
        <f>Q5898+R5898+S5898+T5898+U5898+V5898+W5898+X5898+Y5898+Z5898</f>
        <v/>
      </c>
      <c r="AB5898" t="n">
        <v>2</v>
      </c>
      <c r="AC5898" t="n">
        <v>66</v>
      </c>
      <c r="AD5898" t="n">
        <v>34</v>
      </c>
      <c r="AE5898" t="n">
        <v>18</v>
      </c>
      <c r="AF5898" t="n">
        <v>10</v>
      </c>
      <c r="AG5898" t="n">
        <v>6</v>
      </c>
      <c r="AH5898" t="n">
        <v>0</v>
      </c>
      <c r="AI5898" t="n">
        <v>3</v>
      </c>
      <c r="AJ5898">
        <f>INDEX($Q$5896:$Q$6023,AC5898+1)</f>
        <v/>
      </c>
      <c r="AK5898">
        <f>INDEX($R$5896:$R$6023,AD5898+1)</f>
        <v/>
      </c>
      <c r="AL5898">
        <f>INDEX($S$5896:$S$6023,AE5898+1)</f>
        <v/>
      </c>
      <c r="AM5898">
        <f>INDEX($T$5896:$T$6023,AF5898+1)</f>
        <v/>
      </c>
      <c r="AN5898">
        <f>INDEX($U$5896:$U$6023,AG5898+1)</f>
        <v/>
      </c>
      <c r="AO5898">
        <f>INDEX($V$5896:$V$6023,AH5898+1)</f>
        <v/>
      </c>
      <c r="AP5898">
        <f>INDEX($W$5896:$W$6023,AI5898+1)</f>
        <v/>
      </c>
      <c r="AQ5898">
        <f>IF(Q5898&gt;=AJ5898-0.01,1,0)</f>
        <v/>
      </c>
      <c r="AR5898">
        <f>IF(R5898&gt;=AK5898-0.01,1,0)</f>
        <v/>
      </c>
      <c r="AS5898">
        <f>IF(S5898&gt;=AL5898-0.01,1,0)</f>
        <v/>
      </c>
      <c r="AT5898">
        <f>IF(T5898&gt;=AM5898-0.01,1,0)</f>
        <v/>
      </c>
      <c r="AU5898">
        <f>IF(U5898&gt;=AN5898-0.01,1,0)</f>
        <v/>
      </c>
      <c r="AV5898">
        <f>IF(V5898&gt;=AO5898-0.01,1,0)</f>
        <v/>
      </c>
      <c r="AW5898">
        <f>IF(W5898&gt;=AP5898-0.01,1,0)</f>
        <v/>
      </c>
      <c r="AX5898">
        <f>AQ5898*AR5898*AS5898*AT5898*AU5898*AV5898*AW5898</f>
        <v/>
      </c>
    </row>
    <row r="5899">
      <c r="A5899" t="inlineStr"/>
      <c r="B5899">
        <f>Assumptions!$B$60</f>
        <v/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</v>
      </c>
      <c r="J5899">
        <f>(1-C5899)*Assumptions!$B$41+(1-D5899)*Assumptions!$B$33+(1-E5899)*Assumptions!$B$32+(1-F5899)*Assumptions!$B$31+(1-G5899)*Assumptions!$B$30+(1-H5899)*Assumptions!$B$29+(1-I5899)*Assumptions!$B$28</f>
        <v/>
      </c>
      <c r="K5899">
        <f>C5899*$J$682+D5899*$F$682+E5899*$G$682+F5899*Assumptions!$B$14+G5899*Assumptions!$B$13+H5899*Assumptions!$B$12+I5899*Assumptions!$B$11+$O$682+$S$682+Assumptions!$B$9</f>
        <v/>
      </c>
      <c r="L5899">
        <f>B5899-J5899</f>
        <v/>
      </c>
      <c r="M5899">
        <f>IF(K5899&gt;0,IF(L5899/K5899&gt;=Assumptions!$B$37,1,0),0)</f>
        <v/>
      </c>
      <c r="N5899">
        <f>K5899+M5899*Assumptions!$B$153</f>
        <v/>
      </c>
      <c r="O5899">
        <f>L5899+M5899*Assumptions!$B$153*Assumptions!$B$37</f>
        <v/>
      </c>
      <c r="P5899">
        <f>IF(N5899&gt;0,O5899/N5899,0)</f>
        <v/>
      </c>
      <c r="Q5899">
        <f>IF(C5899=1,P5899*$J$682,Assumptions!$B$41)</f>
        <v/>
      </c>
      <c r="R5899">
        <f>IF(D5899=1,P5899*$F$682,Assumptions!$B$33)</f>
        <v/>
      </c>
      <c r="S5899">
        <f>IF(E5899=1,P5899*$G$682,Assumptions!$B$32)</f>
        <v/>
      </c>
      <c r="T5899">
        <f>IF(F5899=1,P5899*Assumptions!$B$14,Assumptions!$B$31)</f>
        <v/>
      </c>
      <c r="U5899">
        <f>IF(G5899=1,P5899*Assumptions!$B$13,Assumptions!$B$30)</f>
        <v/>
      </c>
      <c r="V5899">
        <f>IF(H5899=1,P5899*Assumptions!$B$12,Assumptions!$B$29)</f>
        <v/>
      </c>
      <c r="W5899">
        <f>IF(I5899=1,P5899*Assumptions!$B$11,Assumptions!$B$28)</f>
        <v/>
      </c>
      <c r="X5899">
        <f>P5899*($O$682+$S$682)</f>
        <v/>
      </c>
      <c r="Y5899">
        <f>P5899*Assumptions!$B$9</f>
        <v/>
      </c>
      <c r="Z5899">
        <f>IF(M5899=1,(P5899-Assumptions!$B$37)*Assumptions!$B$153,0)</f>
        <v/>
      </c>
      <c r="AA5899">
        <f>Q5899+R5899+S5899+T5899+U5899+V5899+W5899+X5899+Y5899+Z5899</f>
        <v/>
      </c>
      <c r="AB5899" t="n">
        <v>3</v>
      </c>
      <c r="AC5899" t="n">
        <v>67</v>
      </c>
      <c r="AD5899" t="n">
        <v>35</v>
      </c>
      <c r="AE5899" t="n">
        <v>19</v>
      </c>
      <c r="AF5899" t="n">
        <v>11</v>
      </c>
      <c r="AG5899" t="n">
        <v>7</v>
      </c>
      <c r="AH5899" t="n">
        <v>1</v>
      </c>
      <c r="AI5899" t="n">
        <v>2</v>
      </c>
      <c r="AJ5899">
        <f>INDEX($Q$5896:$Q$6023,AC5899+1)</f>
        <v/>
      </c>
      <c r="AK5899">
        <f>INDEX($R$5896:$R$6023,AD5899+1)</f>
        <v/>
      </c>
      <c r="AL5899">
        <f>INDEX($S$5896:$S$6023,AE5899+1)</f>
        <v/>
      </c>
      <c r="AM5899">
        <f>INDEX($T$5896:$T$6023,AF5899+1)</f>
        <v/>
      </c>
      <c r="AN5899">
        <f>INDEX($U$5896:$U$6023,AG5899+1)</f>
        <v/>
      </c>
      <c r="AO5899">
        <f>INDEX($V$5896:$V$6023,AH5899+1)</f>
        <v/>
      </c>
      <c r="AP5899">
        <f>INDEX($W$5896:$W$6023,AI5899+1)</f>
        <v/>
      </c>
      <c r="AQ5899">
        <f>IF(Q5899&gt;=AJ5899-0.01,1,0)</f>
        <v/>
      </c>
      <c r="AR5899">
        <f>IF(R5899&gt;=AK5899-0.01,1,0)</f>
        <v/>
      </c>
      <c r="AS5899">
        <f>IF(S5899&gt;=AL5899-0.01,1,0)</f>
        <v/>
      </c>
      <c r="AT5899">
        <f>IF(T5899&gt;=AM5899-0.01,1,0)</f>
        <v/>
      </c>
      <c r="AU5899">
        <f>IF(U5899&gt;=AN5899-0.01,1,0)</f>
        <v/>
      </c>
      <c r="AV5899">
        <f>IF(V5899&gt;=AO5899-0.01,1,0)</f>
        <v/>
      </c>
      <c r="AW5899">
        <f>IF(W5899&gt;=AP5899-0.01,1,0)</f>
        <v/>
      </c>
      <c r="AX5899">
        <f>AQ5899*AR5899*AS5899*AT5899*AU5899*AV5899*AW5899</f>
        <v/>
      </c>
    </row>
    <row r="5900">
      <c r="A5900" t="inlineStr"/>
      <c r="B5900">
        <f>Assumptions!$B$60</f>
        <v/>
      </c>
      <c r="C5900" t="n">
        <v>0</v>
      </c>
      <c r="D5900" t="n">
        <v>0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>
        <f>(1-C5900)*Assumptions!$B$41+(1-D5900)*Assumptions!$B$33+(1-E5900)*Assumptions!$B$32+(1-F5900)*Assumptions!$B$31+(1-G5900)*Assumptions!$B$30+(1-H5900)*Assumptions!$B$29+(1-I5900)*Assumptions!$B$28</f>
        <v/>
      </c>
      <c r="K5900">
        <f>C5900*$J$682+D5900*$F$682+E5900*$G$682+F5900*Assumptions!$B$14+G5900*Assumptions!$B$13+H5900*Assumptions!$B$12+I5900*Assumptions!$B$11+$O$682+$S$682+Assumptions!$B$9</f>
        <v/>
      </c>
      <c r="L5900">
        <f>B5900-J5900</f>
        <v/>
      </c>
      <c r="M5900">
        <f>IF(K5900&gt;0,IF(L5900/K5900&gt;=Assumptions!$B$37,1,0),0)</f>
        <v/>
      </c>
      <c r="N5900">
        <f>K5900+M5900*Assumptions!$B$153</f>
        <v/>
      </c>
      <c r="O5900">
        <f>L5900+M5900*Assumptions!$B$153*Assumptions!$B$37</f>
        <v/>
      </c>
      <c r="P5900">
        <f>IF(N5900&gt;0,O5900/N5900,0)</f>
        <v/>
      </c>
      <c r="Q5900">
        <f>IF(C5900=1,P5900*$J$682,Assumptions!$B$41)</f>
        <v/>
      </c>
      <c r="R5900">
        <f>IF(D5900=1,P5900*$F$682,Assumptions!$B$33)</f>
        <v/>
      </c>
      <c r="S5900">
        <f>IF(E5900=1,P5900*$G$682,Assumptions!$B$32)</f>
        <v/>
      </c>
      <c r="T5900">
        <f>IF(F5900=1,P5900*Assumptions!$B$14,Assumptions!$B$31)</f>
        <v/>
      </c>
      <c r="U5900">
        <f>IF(G5900=1,P5900*Assumptions!$B$13,Assumptions!$B$30)</f>
        <v/>
      </c>
      <c r="V5900">
        <f>IF(H5900=1,P5900*Assumptions!$B$12,Assumptions!$B$29)</f>
        <v/>
      </c>
      <c r="W5900">
        <f>IF(I5900=1,P5900*Assumptions!$B$11,Assumptions!$B$28)</f>
        <v/>
      </c>
      <c r="X5900">
        <f>P5900*($O$682+$S$682)</f>
        <v/>
      </c>
      <c r="Y5900">
        <f>P5900*Assumptions!$B$9</f>
        <v/>
      </c>
      <c r="Z5900">
        <f>IF(M5900=1,(P5900-Assumptions!$B$37)*Assumptions!$B$153,0)</f>
        <v/>
      </c>
      <c r="AA5900">
        <f>Q5900+R5900+S5900+T5900+U5900+V5900+W5900+X5900+Y5900+Z5900</f>
        <v/>
      </c>
      <c r="AB5900" t="n">
        <v>4</v>
      </c>
      <c r="AC5900" t="n">
        <v>68</v>
      </c>
      <c r="AD5900" t="n">
        <v>36</v>
      </c>
      <c r="AE5900" t="n">
        <v>20</v>
      </c>
      <c r="AF5900" t="n">
        <v>12</v>
      </c>
      <c r="AG5900" t="n">
        <v>0</v>
      </c>
      <c r="AH5900" t="n">
        <v>6</v>
      </c>
      <c r="AI5900" t="n">
        <v>5</v>
      </c>
      <c r="AJ5900">
        <f>INDEX($Q$5896:$Q$6023,AC5900+1)</f>
        <v/>
      </c>
      <c r="AK5900">
        <f>INDEX($R$5896:$R$6023,AD5900+1)</f>
        <v/>
      </c>
      <c r="AL5900">
        <f>INDEX($S$5896:$S$6023,AE5900+1)</f>
        <v/>
      </c>
      <c r="AM5900">
        <f>INDEX($T$5896:$T$6023,AF5900+1)</f>
        <v/>
      </c>
      <c r="AN5900">
        <f>INDEX($U$5896:$U$6023,AG5900+1)</f>
        <v/>
      </c>
      <c r="AO5900">
        <f>INDEX($V$5896:$V$6023,AH5900+1)</f>
        <v/>
      </c>
      <c r="AP5900">
        <f>INDEX($W$5896:$W$6023,AI5900+1)</f>
        <v/>
      </c>
      <c r="AQ5900">
        <f>IF(Q5900&gt;=AJ5900-0.01,1,0)</f>
        <v/>
      </c>
      <c r="AR5900">
        <f>IF(R5900&gt;=AK5900-0.01,1,0)</f>
        <v/>
      </c>
      <c r="AS5900">
        <f>IF(S5900&gt;=AL5900-0.01,1,0)</f>
        <v/>
      </c>
      <c r="AT5900">
        <f>IF(T5900&gt;=AM5900-0.01,1,0)</f>
        <v/>
      </c>
      <c r="AU5900">
        <f>IF(U5900&gt;=AN5900-0.01,1,0)</f>
        <v/>
      </c>
      <c r="AV5900">
        <f>IF(V5900&gt;=AO5900-0.01,1,0)</f>
        <v/>
      </c>
      <c r="AW5900">
        <f>IF(W5900&gt;=AP5900-0.01,1,0)</f>
        <v/>
      </c>
      <c r="AX5900">
        <f>AQ5900*AR5900*AS5900*AT5900*AU5900*AV5900*AW5900</f>
        <v/>
      </c>
    </row>
    <row r="5901">
      <c r="A5901" t="inlineStr"/>
      <c r="B5901">
        <f>Assumptions!$B$60</f>
        <v/>
      </c>
      <c r="C5901" t="n">
        <v>0</v>
      </c>
      <c r="D5901" t="n">
        <v>0</v>
      </c>
      <c r="E5901" t="n">
        <v>0</v>
      </c>
      <c r="F5901" t="n">
        <v>0</v>
      </c>
      <c r="G5901" t="n">
        <v>1</v>
      </c>
      <c r="H5901" t="n">
        <v>0</v>
      </c>
      <c r="I5901" t="n">
        <v>1</v>
      </c>
      <c r="J5901">
        <f>(1-C5901)*Assumptions!$B$41+(1-D5901)*Assumptions!$B$33+(1-E5901)*Assumptions!$B$32+(1-F5901)*Assumptions!$B$31+(1-G5901)*Assumptions!$B$30+(1-H5901)*Assumptions!$B$29+(1-I5901)*Assumptions!$B$28</f>
        <v/>
      </c>
      <c r="K5901">
        <f>C5901*$J$682+D5901*$F$682+E5901*$G$682+F5901*Assumptions!$B$14+G5901*Assumptions!$B$13+H5901*Assumptions!$B$12+I5901*Assumptions!$B$11+$O$682+$S$682+Assumptions!$B$9</f>
        <v/>
      </c>
      <c r="L5901">
        <f>B5901-J5901</f>
        <v/>
      </c>
      <c r="M5901">
        <f>IF(K5901&gt;0,IF(L5901/K5901&gt;=Assumptions!$B$37,1,0),0)</f>
        <v/>
      </c>
      <c r="N5901">
        <f>K5901+M5901*Assumptions!$B$153</f>
        <v/>
      </c>
      <c r="O5901">
        <f>L5901+M5901*Assumptions!$B$153*Assumptions!$B$37</f>
        <v/>
      </c>
      <c r="P5901">
        <f>IF(N5901&gt;0,O5901/N5901,0)</f>
        <v/>
      </c>
      <c r="Q5901">
        <f>IF(C5901=1,P5901*$J$682,Assumptions!$B$41)</f>
        <v/>
      </c>
      <c r="R5901">
        <f>IF(D5901=1,P5901*$F$682,Assumptions!$B$33)</f>
        <v/>
      </c>
      <c r="S5901">
        <f>IF(E5901=1,P5901*$G$682,Assumptions!$B$32)</f>
        <v/>
      </c>
      <c r="T5901">
        <f>IF(F5901=1,P5901*Assumptions!$B$14,Assumptions!$B$31)</f>
        <v/>
      </c>
      <c r="U5901">
        <f>IF(G5901=1,P5901*Assumptions!$B$13,Assumptions!$B$30)</f>
        <v/>
      </c>
      <c r="V5901">
        <f>IF(H5901=1,P5901*Assumptions!$B$12,Assumptions!$B$29)</f>
        <v/>
      </c>
      <c r="W5901">
        <f>IF(I5901=1,P5901*Assumptions!$B$11,Assumptions!$B$28)</f>
        <v/>
      </c>
      <c r="X5901">
        <f>P5901*($O$682+$S$682)</f>
        <v/>
      </c>
      <c r="Y5901">
        <f>P5901*Assumptions!$B$9</f>
        <v/>
      </c>
      <c r="Z5901">
        <f>IF(M5901=1,(P5901-Assumptions!$B$37)*Assumptions!$B$153,0)</f>
        <v/>
      </c>
      <c r="AA5901">
        <f>Q5901+R5901+S5901+T5901+U5901+V5901+W5901+X5901+Y5901+Z5901</f>
        <v/>
      </c>
      <c r="AB5901" t="n">
        <v>5</v>
      </c>
      <c r="AC5901" t="n">
        <v>69</v>
      </c>
      <c r="AD5901" t="n">
        <v>37</v>
      </c>
      <c r="AE5901" t="n">
        <v>21</v>
      </c>
      <c r="AF5901" t="n">
        <v>13</v>
      </c>
      <c r="AG5901" t="n">
        <v>1</v>
      </c>
      <c r="AH5901" t="n">
        <v>7</v>
      </c>
      <c r="AI5901" t="n">
        <v>4</v>
      </c>
      <c r="AJ5901">
        <f>INDEX($Q$5896:$Q$6023,AC5901+1)</f>
        <v/>
      </c>
      <c r="AK5901">
        <f>INDEX($R$5896:$R$6023,AD5901+1)</f>
        <v/>
      </c>
      <c r="AL5901">
        <f>INDEX($S$5896:$S$6023,AE5901+1)</f>
        <v/>
      </c>
      <c r="AM5901">
        <f>INDEX($T$5896:$T$6023,AF5901+1)</f>
        <v/>
      </c>
      <c r="AN5901">
        <f>INDEX($U$5896:$U$6023,AG5901+1)</f>
        <v/>
      </c>
      <c r="AO5901">
        <f>INDEX($V$5896:$V$6023,AH5901+1)</f>
        <v/>
      </c>
      <c r="AP5901">
        <f>INDEX($W$5896:$W$6023,AI5901+1)</f>
        <v/>
      </c>
      <c r="AQ5901">
        <f>IF(Q5901&gt;=AJ5901-0.01,1,0)</f>
        <v/>
      </c>
      <c r="AR5901">
        <f>IF(R5901&gt;=AK5901-0.01,1,0)</f>
        <v/>
      </c>
      <c r="AS5901">
        <f>IF(S5901&gt;=AL5901-0.01,1,0)</f>
        <v/>
      </c>
      <c r="AT5901">
        <f>IF(T5901&gt;=AM5901-0.01,1,0)</f>
        <v/>
      </c>
      <c r="AU5901">
        <f>IF(U5901&gt;=AN5901-0.01,1,0)</f>
        <v/>
      </c>
      <c r="AV5901">
        <f>IF(V5901&gt;=AO5901-0.01,1,0)</f>
        <v/>
      </c>
      <c r="AW5901">
        <f>IF(W5901&gt;=AP5901-0.01,1,0)</f>
        <v/>
      </c>
      <c r="AX5901">
        <f>AQ5901*AR5901*AS5901*AT5901*AU5901*AV5901*AW5901</f>
        <v/>
      </c>
    </row>
    <row r="5902">
      <c r="A5902" t="inlineStr"/>
      <c r="B5902">
        <f>Assumptions!$B$60</f>
        <v/>
      </c>
      <c r="C5902" t="n">
        <v>0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  <c r="I5902" t="n">
        <v>0</v>
      </c>
      <c r="J5902">
        <f>(1-C5902)*Assumptions!$B$41+(1-D5902)*Assumptions!$B$33+(1-E5902)*Assumptions!$B$32+(1-F5902)*Assumptions!$B$31+(1-G5902)*Assumptions!$B$30+(1-H5902)*Assumptions!$B$29+(1-I5902)*Assumptions!$B$28</f>
        <v/>
      </c>
      <c r="K5902">
        <f>C5902*$J$682+D5902*$F$682+E5902*$G$682+F5902*Assumptions!$B$14+G5902*Assumptions!$B$13+H5902*Assumptions!$B$12+I5902*Assumptions!$B$11+$O$682+$S$682+Assumptions!$B$9</f>
        <v/>
      </c>
      <c r="L5902">
        <f>B5902-J5902</f>
        <v/>
      </c>
      <c r="M5902">
        <f>IF(K5902&gt;0,IF(L5902/K5902&gt;=Assumptions!$B$37,1,0),0)</f>
        <v/>
      </c>
      <c r="N5902">
        <f>K5902+M5902*Assumptions!$B$153</f>
        <v/>
      </c>
      <c r="O5902">
        <f>L5902+M5902*Assumptions!$B$153*Assumptions!$B$37</f>
        <v/>
      </c>
      <c r="P5902">
        <f>IF(N5902&gt;0,O5902/N5902,0)</f>
        <v/>
      </c>
      <c r="Q5902">
        <f>IF(C5902=1,P5902*$J$682,Assumptions!$B$41)</f>
        <v/>
      </c>
      <c r="R5902">
        <f>IF(D5902=1,P5902*$F$682,Assumptions!$B$33)</f>
        <v/>
      </c>
      <c r="S5902">
        <f>IF(E5902=1,P5902*$G$682,Assumptions!$B$32)</f>
        <v/>
      </c>
      <c r="T5902">
        <f>IF(F5902=1,P5902*Assumptions!$B$14,Assumptions!$B$31)</f>
        <v/>
      </c>
      <c r="U5902">
        <f>IF(G5902=1,P5902*Assumptions!$B$13,Assumptions!$B$30)</f>
        <v/>
      </c>
      <c r="V5902">
        <f>IF(H5902=1,P5902*Assumptions!$B$12,Assumptions!$B$29)</f>
        <v/>
      </c>
      <c r="W5902">
        <f>IF(I5902=1,P5902*Assumptions!$B$11,Assumptions!$B$28)</f>
        <v/>
      </c>
      <c r="X5902">
        <f>P5902*($O$682+$S$682)</f>
        <v/>
      </c>
      <c r="Y5902">
        <f>P5902*Assumptions!$B$9</f>
        <v/>
      </c>
      <c r="Z5902">
        <f>IF(M5902=1,(P5902-Assumptions!$B$37)*Assumptions!$B$153,0)</f>
        <v/>
      </c>
      <c r="AA5902">
        <f>Q5902+R5902+S5902+T5902+U5902+V5902+W5902+X5902+Y5902+Z5902</f>
        <v/>
      </c>
      <c r="AB5902" t="n">
        <v>6</v>
      </c>
      <c r="AC5902" t="n">
        <v>70</v>
      </c>
      <c r="AD5902" t="n">
        <v>38</v>
      </c>
      <c r="AE5902" t="n">
        <v>22</v>
      </c>
      <c r="AF5902" t="n">
        <v>14</v>
      </c>
      <c r="AG5902" t="n">
        <v>2</v>
      </c>
      <c r="AH5902" t="n">
        <v>4</v>
      </c>
      <c r="AI5902" t="n">
        <v>7</v>
      </c>
      <c r="AJ5902">
        <f>INDEX($Q$5896:$Q$6023,AC5902+1)</f>
        <v/>
      </c>
      <c r="AK5902">
        <f>INDEX($R$5896:$R$6023,AD5902+1)</f>
        <v/>
      </c>
      <c r="AL5902">
        <f>INDEX($S$5896:$S$6023,AE5902+1)</f>
        <v/>
      </c>
      <c r="AM5902">
        <f>INDEX($T$5896:$T$6023,AF5902+1)</f>
        <v/>
      </c>
      <c r="AN5902">
        <f>INDEX($U$5896:$U$6023,AG5902+1)</f>
        <v/>
      </c>
      <c r="AO5902">
        <f>INDEX($V$5896:$V$6023,AH5902+1)</f>
        <v/>
      </c>
      <c r="AP5902">
        <f>INDEX($W$5896:$W$6023,AI5902+1)</f>
        <v/>
      </c>
      <c r="AQ5902">
        <f>IF(Q5902&gt;=AJ5902-0.01,1,0)</f>
        <v/>
      </c>
      <c r="AR5902">
        <f>IF(R5902&gt;=AK5902-0.01,1,0)</f>
        <v/>
      </c>
      <c r="AS5902">
        <f>IF(S5902&gt;=AL5902-0.01,1,0)</f>
        <v/>
      </c>
      <c r="AT5902">
        <f>IF(T5902&gt;=AM5902-0.01,1,0)</f>
        <v/>
      </c>
      <c r="AU5902">
        <f>IF(U5902&gt;=AN5902-0.01,1,0)</f>
        <v/>
      </c>
      <c r="AV5902">
        <f>IF(V5902&gt;=AO5902-0.01,1,0)</f>
        <v/>
      </c>
      <c r="AW5902">
        <f>IF(W5902&gt;=AP5902-0.01,1,0)</f>
        <v/>
      </c>
      <c r="AX5902">
        <f>AQ5902*AR5902*AS5902*AT5902*AU5902*AV5902*AW5902</f>
        <v/>
      </c>
    </row>
    <row r="5903">
      <c r="A5903" t="inlineStr"/>
      <c r="B5903">
        <f>Assumptions!$B$60</f>
        <v/>
      </c>
      <c r="C5903" t="n">
        <v>0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  <c r="I5903" t="n">
        <v>1</v>
      </c>
      <c r="J5903">
        <f>(1-C5903)*Assumptions!$B$41+(1-D5903)*Assumptions!$B$33+(1-E5903)*Assumptions!$B$32+(1-F5903)*Assumptions!$B$31+(1-G5903)*Assumptions!$B$30+(1-H5903)*Assumptions!$B$29+(1-I5903)*Assumptions!$B$28</f>
        <v/>
      </c>
      <c r="K5903">
        <f>C5903*$J$682+D5903*$F$682+E5903*$G$682+F5903*Assumptions!$B$14+G5903*Assumptions!$B$13+H5903*Assumptions!$B$12+I5903*Assumptions!$B$11+$O$682+$S$682+Assumptions!$B$9</f>
        <v/>
      </c>
      <c r="L5903">
        <f>B5903-J5903</f>
        <v/>
      </c>
      <c r="M5903">
        <f>IF(K5903&gt;0,IF(L5903/K5903&gt;=Assumptions!$B$37,1,0),0)</f>
        <v/>
      </c>
      <c r="N5903">
        <f>K5903+M5903*Assumptions!$B$153</f>
        <v/>
      </c>
      <c r="O5903">
        <f>L5903+M5903*Assumptions!$B$153*Assumptions!$B$37</f>
        <v/>
      </c>
      <c r="P5903">
        <f>IF(N5903&gt;0,O5903/N5903,0)</f>
        <v/>
      </c>
      <c r="Q5903">
        <f>IF(C5903=1,P5903*$J$682,Assumptions!$B$41)</f>
        <v/>
      </c>
      <c r="R5903">
        <f>IF(D5903=1,P5903*$F$682,Assumptions!$B$33)</f>
        <v/>
      </c>
      <c r="S5903">
        <f>IF(E5903=1,P5903*$G$682,Assumptions!$B$32)</f>
        <v/>
      </c>
      <c r="T5903">
        <f>IF(F5903=1,P5903*Assumptions!$B$14,Assumptions!$B$31)</f>
        <v/>
      </c>
      <c r="U5903">
        <f>IF(G5903=1,P5903*Assumptions!$B$13,Assumptions!$B$30)</f>
        <v/>
      </c>
      <c r="V5903">
        <f>IF(H5903=1,P5903*Assumptions!$B$12,Assumptions!$B$29)</f>
        <v/>
      </c>
      <c r="W5903">
        <f>IF(I5903=1,P5903*Assumptions!$B$11,Assumptions!$B$28)</f>
        <v/>
      </c>
      <c r="X5903">
        <f>P5903*($O$682+$S$682)</f>
        <v/>
      </c>
      <c r="Y5903">
        <f>P5903*Assumptions!$B$9</f>
        <v/>
      </c>
      <c r="Z5903">
        <f>IF(M5903=1,(P5903-Assumptions!$B$37)*Assumptions!$B$153,0)</f>
        <v/>
      </c>
      <c r="AA5903">
        <f>Q5903+R5903+S5903+T5903+U5903+V5903+W5903+X5903+Y5903+Z5903</f>
        <v/>
      </c>
      <c r="AB5903" t="n">
        <v>7</v>
      </c>
      <c r="AC5903" t="n">
        <v>71</v>
      </c>
      <c r="AD5903" t="n">
        <v>39</v>
      </c>
      <c r="AE5903" t="n">
        <v>23</v>
      </c>
      <c r="AF5903" t="n">
        <v>15</v>
      </c>
      <c r="AG5903" t="n">
        <v>3</v>
      </c>
      <c r="AH5903" t="n">
        <v>5</v>
      </c>
      <c r="AI5903" t="n">
        <v>6</v>
      </c>
      <c r="AJ5903">
        <f>INDEX($Q$5896:$Q$6023,AC5903+1)</f>
        <v/>
      </c>
      <c r="AK5903">
        <f>INDEX($R$5896:$R$6023,AD5903+1)</f>
        <v/>
      </c>
      <c r="AL5903">
        <f>INDEX($S$5896:$S$6023,AE5903+1)</f>
        <v/>
      </c>
      <c r="AM5903">
        <f>INDEX($T$5896:$T$6023,AF5903+1)</f>
        <v/>
      </c>
      <c r="AN5903">
        <f>INDEX($U$5896:$U$6023,AG5903+1)</f>
        <v/>
      </c>
      <c r="AO5903">
        <f>INDEX($V$5896:$V$6023,AH5903+1)</f>
        <v/>
      </c>
      <c r="AP5903">
        <f>INDEX($W$5896:$W$6023,AI5903+1)</f>
        <v/>
      </c>
      <c r="AQ5903">
        <f>IF(Q5903&gt;=AJ5903-0.01,1,0)</f>
        <v/>
      </c>
      <c r="AR5903">
        <f>IF(R5903&gt;=AK5903-0.01,1,0)</f>
        <v/>
      </c>
      <c r="AS5903">
        <f>IF(S5903&gt;=AL5903-0.01,1,0)</f>
        <v/>
      </c>
      <c r="AT5903">
        <f>IF(T5903&gt;=AM5903-0.01,1,0)</f>
        <v/>
      </c>
      <c r="AU5903">
        <f>IF(U5903&gt;=AN5903-0.01,1,0)</f>
        <v/>
      </c>
      <c r="AV5903">
        <f>IF(V5903&gt;=AO5903-0.01,1,0)</f>
        <v/>
      </c>
      <c r="AW5903">
        <f>IF(W5903&gt;=AP5903-0.01,1,0)</f>
        <v/>
      </c>
      <c r="AX5903">
        <f>AQ5903*AR5903*AS5903*AT5903*AU5903*AV5903*AW5903</f>
        <v/>
      </c>
    </row>
    <row r="5904">
      <c r="A5904" t="inlineStr"/>
      <c r="B5904">
        <f>Assumptions!$B$60</f>
        <v/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>
        <f>(1-C5904)*Assumptions!$B$41+(1-D5904)*Assumptions!$B$33+(1-E5904)*Assumptions!$B$32+(1-F5904)*Assumptions!$B$31+(1-G5904)*Assumptions!$B$30+(1-H5904)*Assumptions!$B$29+(1-I5904)*Assumptions!$B$28</f>
        <v/>
      </c>
      <c r="K5904">
        <f>C5904*$J$682+D5904*$F$682+E5904*$G$682+F5904*Assumptions!$B$14+G5904*Assumptions!$B$13+H5904*Assumptions!$B$12+I5904*Assumptions!$B$11+$O$682+$S$682+Assumptions!$B$9</f>
        <v/>
      </c>
      <c r="L5904">
        <f>B5904-J5904</f>
        <v/>
      </c>
      <c r="M5904">
        <f>IF(K5904&gt;0,IF(L5904/K5904&gt;=Assumptions!$B$37,1,0),0)</f>
        <v/>
      </c>
      <c r="N5904">
        <f>K5904+M5904*Assumptions!$B$153</f>
        <v/>
      </c>
      <c r="O5904">
        <f>L5904+M5904*Assumptions!$B$153*Assumptions!$B$37</f>
        <v/>
      </c>
      <c r="P5904">
        <f>IF(N5904&gt;0,O5904/N5904,0)</f>
        <v/>
      </c>
      <c r="Q5904">
        <f>IF(C5904=1,P5904*$J$682,Assumptions!$B$41)</f>
        <v/>
      </c>
      <c r="R5904">
        <f>IF(D5904=1,P5904*$F$682,Assumptions!$B$33)</f>
        <v/>
      </c>
      <c r="S5904">
        <f>IF(E5904=1,P5904*$G$682,Assumptions!$B$32)</f>
        <v/>
      </c>
      <c r="T5904">
        <f>IF(F5904=1,P5904*Assumptions!$B$14,Assumptions!$B$31)</f>
        <v/>
      </c>
      <c r="U5904">
        <f>IF(G5904=1,P5904*Assumptions!$B$13,Assumptions!$B$30)</f>
        <v/>
      </c>
      <c r="V5904">
        <f>IF(H5904=1,P5904*Assumptions!$B$12,Assumptions!$B$29)</f>
        <v/>
      </c>
      <c r="W5904">
        <f>IF(I5904=1,P5904*Assumptions!$B$11,Assumptions!$B$28)</f>
        <v/>
      </c>
      <c r="X5904">
        <f>P5904*($O$682+$S$682)</f>
        <v/>
      </c>
      <c r="Y5904">
        <f>P5904*Assumptions!$B$9</f>
        <v/>
      </c>
      <c r="Z5904">
        <f>IF(M5904=1,(P5904-Assumptions!$B$37)*Assumptions!$B$153,0)</f>
        <v/>
      </c>
      <c r="AA5904">
        <f>Q5904+R5904+S5904+T5904+U5904+V5904+W5904+X5904+Y5904+Z5904</f>
        <v/>
      </c>
      <c r="AB5904" t="n">
        <v>8</v>
      </c>
      <c r="AC5904" t="n">
        <v>72</v>
      </c>
      <c r="AD5904" t="n">
        <v>40</v>
      </c>
      <c r="AE5904" t="n">
        <v>24</v>
      </c>
      <c r="AF5904" t="n">
        <v>0</v>
      </c>
      <c r="AG5904" t="n">
        <v>12</v>
      </c>
      <c r="AH5904" t="n">
        <v>10</v>
      </c>
      <c r="AI5904" t="n">
        <v>9</v>
      </c>
      <c r="AJ5904">
        <f>INDEX($Q$5896:$Q$6023,AC5904+1)</f>
        <v/>
      </c>
      <c r="AK5904">
        <f>INDEX($R$5896:$R$6023,AD5904+1)</f>
        <v/>
      </c>
      <c r="AL5904">
        <f>INDEX($S$5896:$S$6023,AE5904+1)</f>
        <v/>
      </c>
      <c r="AM5904">
        <f>INDEX($T$5896:$T$6023,AF5904+1)</f>
        <v/>
      </c>
      <c r="AN5904">
        <f>INDEX($U$5896:$U$6023,AG5904+1)</f>
        <v/>
      </c>
      <c r="AO5904">
        <f>INDEX($V$5896:$V$6023,AH5904+1)</f>
        <v/>
      </c>
      <c r="AP5904">
        <f>INDEX($W$5896:$W$6023,AI5904+1)</f>
        <v/>
      </c>
      <c r="AQ5904">
        <f>IF(Q5904&gt;=AJ5904-0.01,1,0)</f>
        <v/>
      </c>
      <c r="AR5904">
        <f>IF(R5904&gt;=AK5904-0.01,1,0)</f>
        <v/>
      </c>
      <c r="AS5904">
        <f>IF(S5904&gt;=AL5904-0.01,1,0)</f>
        <v/>
      </c>
      <c r="AT5904">
        <f>IF(T5904&gt;=AM5904-0.01,1,0)</f>
        <v/>
      </c>
      <c r="AU5904">
        <f>IF(U5904&gt;=AN5904-0.01,1,0)</f>
        <v/>
      </c>
      <c r="AV5904">
        <f>IF(V5904&gt;=AO5904-0.01,1,0)</f>
        <v/>
      </c>
      <c r="AW5904">
        <f>IF(W5904&gt;=AP5904-0.01,1,0)</f>
        <v/>
      </c>
      <c r="AX5904">
        <f>AQ5904*AR5904*AS5904*AT5904*AU5904*AV5904*AW5904</f>
        <v/>
      </c>
    </row>
    <row r="5905">
      <c r="A5905" t="inlineStr"/>
      <c r="B5905">
        <f>Assumptions!$B$60</f>
        <v/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0</v>
      </c>
      <c r="I5905" t="n">
        <v>1</v>
      </c>
      <c r="J5905">
        <f>(1-C5905)*Assumptions!$B$41+(1-D5905)*Assumptions!$B$33+(1-E5905)*Assumptions!$B$32+(1-F5905)*Assumptions!$B$31+(1-G5905)*Assumptions!$B$30+(1-H5905)*Assumptions!$B$29+(1-I5905)*Assumptions!$B$28</f>
        <v/>
      </c>
      <c r="K5905">
        <f>C5905*$J$682+D5905*$F$682+E5905*$G$682+F5905*Assumptions!$B$14+G5905*Assumptions!$B$13+H5905*Assumptions!$B$12+I5905*Assumptions!$B$11+$O$682+$S$682+Assumptions!$B$9</f>
        <v/>
      </c>
      <c r="L5905">
        <f>B5905-J5905</f>
        <v/>
      </c>
      <c r="M5905">
        <f>IF(K5905&gt;0,IF(L5905/K5905&gt;=Assumptions!$B$37,1,0),0)</f>
        <v/>
      </c>
      <c r="N5905">
        <f>K5905+M5905*Assumptions!$B$153</f>
        <v/>
      </c>
      <c r="O5905">
        <f>L5905+M5905*Assumptions!$B$153*Assumptions!$B$37</f>
        <v/>
      </c>
      <c r="P5905">
        <f>IF(N5905&gt;0,O5905/N5905,0)</f>
        <v/>
      </c>
      <c r="Q5905">
        <f>IF(C5905=1,P5905*$J$682,Assumptions!$B$41)</f>
        <v/>
      </c>
      <c r="R5905">
        <f>IF(D5905=1,P5905*$F$682,Assumptions!$B$33)</f>
        <v/>
      </c>
      <c r="S5905">
        <f>IF(E5905=1,P5905*$G$682,Assumptions!$B$32)</f>
        <v/>
      </c>
      <c r="T5905">
        <f>IF(F5905=1,P5905*Assumptions!$B$14,Assumptions!$B$31)</f>
        <v/>
      </c>
      <c r="U5905">
        <f>IF(G5905=1,P5905*Assumptions!$B$13,Assumptions!$B$30)</f>
        <v/>
      </c>
      <c r="V5905">
        <f>IF(H5905=1,P5905*Assumptions!$B$12,Assumptions!$B$29)</f>
        <v/>
      </c>
      <c r="W5905">
        <f>IF(I5905=1,P5905*Assumptions!$B$11,Assumptions!$B$28)</f>
        <v/>
      </c>
      <c r="X5905">
        <f>P5905*($O$682+$S$682)</f>
        <v/>
      </c>
      <c r="Y5905">
        <f>P5905*Assumptions!$B$9</f>
        <v/>
      </c>
      <c r="Z5905">
        <f>IF(M5905=1,(P5905-Assumptions!$B$37)*Assumptions!$B$153,0)</f>
        <v/>
      </c>
      <c r="AA5905">
        <f>Q5905+R5905+S5905+T5905+U5905+V5905+W5905+X5905+Y5905+Z5905</f>
        <v/>
      </c>
      <c r="AB5905" t="n">
        <v>9</v>
      </c>
      <c r="AC5905" t="n">
        <v>73</v>
      </c>
      <c r="AD5905" t="n">
        <v>41</v>
      </c>
      <c r="AE5905" t="n">
        <v>25</v>
      </c>
      <c r="AF5905" t="n">
        <v>1</v>
      </c>
      <c r="AG5905" t="n">
        <v>13</v>
      </c>
      <c r="AH5905" t="n">
        <v>11</v>
      </c>
      <c r="AI5905" t="n">
        <v>8</v>
      </c>
      <c r="AJ5905">
        <f>INDEX($Q$5896:$Q$6023,AC5905+1)</f>
        <v/>
      </c>
      <c r="AK5905">
        <f>INDEX($R$5896:$R$6023,AD5905+1)</f>
        <v/>
      </c>
      <c r="AL5905">
        <f>INDEX($S$5896:$S$6023,AE5905+1)</f>
        <v/>
      </c>
      <c r="AM5905">
        <f>INDEX($T$5896:$T$6023,AF5905+1)</f>
        <v/>
      </c>
      <c r="AN5905">
        <f>INDEX($U$5896:$U$6023,AG5905+1)</f>
        <v/>
      </c>
      <c r="AO5905">
        <f>INDEX($V$5896:$V$6023,AH5905+1)</f>
        <v/>
      </c>
      <c r="AP5905">
        <f>INDEX($W$5896:$W$6023,AI5905+1)</f>
        <v/>
      </c>
      <c r="AQ5905">
        <f>IF(Q5905&gt;=AJ5905-0.01,1,0)</f>
        <v/>
      </c>
      <c r="AR5905">
        <f>IF(R5905&gt;=AK5905-0.01,1,0)</f>
        <v/>
      </c>
      <c r="AS5905">
        <f>IF(S5905&gt;=AL5905-0.01,1,0)</f>
        <v/>
      </c>
      <c r="AT5905">
        <f>IF(T5905&gt;=AM5905-0.01,1,0)</f>
        <v/>
      </c>
      <c r="AU5905">
        <f>IF(U5905&gt;=AN5905-0.01,1,0)</f>
        <v/>
      </c>
      <c r="AV5905">
        <f>IF(V5905&gt;=AO5905-0.01,1,0)</f>
        <v/>
      </c>
      <c r="AW5905">
        <f>IF(W5905&gt;=AP5905-0.01,1,0)</f>
        <v/>
      </c>
      <c r="AX5905">
        <f>AQ5905*AR5905*AS5905*AT5905*AU5905*AV5905*AW5905</f>
        <v/>
      </c>
    </row>
    <row r="5906">
      <c r="A5906" t="inlineStr"/>
      <c r="B5906">
        <f>Assumptions!$B$60</f>
        <v/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>
        <f>(1-C5906)*Assumptions!$B$41+(1-D5906)*Assumptions!$B$33+(1-E5906)*Assumptions!$B$32+(1-F5906)*Assumptions!$B$31+(1-G5906)*Assumptions!$B$30+(1-H5906)*Assumptions!$B$29+(1-I5906)*Assumptions!$B$28</f>
        <v/>
      </c>
      <c r="K5906">
        <f>C5906*$J$682+D5906*$F$682+E5906*$G$682+F5906*Assumptions!$B$14+G5906*Assumptions!$B$13+H5906*Assumptions!$B$12+I5906*Assumptions!$B$11+$O$682+$S$682+Assumptions!$B$9</f>
        <v/>
      </c>
      <c r="L5906">
        <f>B5906-J5906</f>
        <v/>
      </c>
      <c r="M5906">
        <f>IF(K5906&gt;0,IF(L5906/K5906&gt;=Assumptions!$B$37,1,0),0)</f>
        <v/>
      </c>
      <c r="N5906">
        <f>K5906+M5906*Assumptions!$B$153</f>
        <v/>
      </c>
      <c r="O5906">
        <f>L5906+M5906*Assumptions!$B$153*Assumptions!$B$37</f>
        <v/>
      </c>
      <c r="P5906">
        <f>IF(N5906&gt;0,O5906/N5906,0)</f>
        <v/>
      </c>
      <c r="Q5906">
        <f>IF(C5906=1,P5906*$J$682,Assumptions!$B$41)</f>
        <v/>
      </c>
      <c r="R5906">
        <f>IF(D5906=1,P5906*$F$682,Assumptions!$B$33)</f>
        <v/>
      </c>
      <c r="S5906">
        <f>IF(E5906=1,P5906*$G$682,Assumptions!$B$32)</f>
        <v/>
      </c>
      <c r="T5906">
        <f>IF(F5906=1,P5906*Assumptions!$B$14,Assumptions!$B$31)</f>
        <v/>
      </c>
      <c r="U5906">
        <f>IF(G5906=1,P5906*Assumptions!$B$13,Assumptions!$B$30)</f>
        <v/>
      </c>
      <c r="V5906">
        <f>IF(H5906=1,P5906*Assumptions!$B$12,Assumptions!$B$29)</f>
        <v/>
      </c>
      <c r="W5906">
        <f>IF(I5906=1,P5906*Assumptions!$B$11,Assumptions!$B$28)</f>
        <v/>
      </c>
      <c r="X5906">
        <f>P5906*($O$682+$S$682)</f>
        <v/>
      </c>
      <c r="Y5906">
        <f>P5906*Assumptions!$B$9</f>
        <v/>
      </c>
      <c r="Z5906">
        <f>IF(M5906=1,(P5906-Assumptions!$B$37)*Assumptions!$B$153,0)</f>
        <v/>
      </c>
      <c r="AA5906">
        <f>Q5906+R5906+S5906+T5906+U5906+V5906+W5906+X5906+Y5906+Z5906</f>
        <v/>
      </c>
      <c r="AB5906" t="n">
        <v>10</v>
      </c>
      <c r="AC5906" t="n">
        <v>74</v>
      </c>
      <c r="AD5906" t="n">
        <v>42</v>
      </c>
      <c r="AE5906" t="n">
        <v>26</v>
      </c>
      <c r="AF5906" t="n">
        <v>2</v>
      </c>
      <c r="AG5906" t="n">
        <v>14</v>
      </c>
      <c r="AH5906" t="n">
        <v>8</v>
      </c>
      <c r="AI5906" t="n">
        <v>11</v>
      </c>
      <c r="AJ5906">
        <f>INDEX($Q$5896:$Q$6023,AC5906+1)</f>
        <v/>
      </c>
      <c r="AK5906">
        <f>INDEX($R$5896:$R$6023,AD5906+1)</f>
        <v/>
      </c>
      <c r="AL5906">
        <f>INDEX($S$5896:$S$6023,AE5906+1)</f>
        <v/>
      </c>
      <c r="AM5906">
        <f>INDEX($T$5896:$T$6023,AF5906+1)</f>
        <v/>
      </c>
      <c r="AN5906">
        <f>INDEX($U$5896:$U$6023,AG5906+1)</f>
        <v/>
      </c>
      <c r="AO5906">
        <f>INDEX($V$5896:$V$6023,AH5906+1)</f>
        <v/>
      </c>
      <c r="AP5906">
        <f>INDEX($W$5896:$W$6023,AI5906+1)</f>
        <v/>
      </c>
      <c r="AQ5906">
        <f>IF(Q5906&gt;=AJ5906-0.01,1,0)</f>
        <v/>
      </c>
      <c r="AR5906">
        <f>IF(R5906&gt;=AK5906-0.01,1,0)</f>
        <v/>
      </c>
      <c r="AS5906">
        <f>IF(S5906&gt;=AL5906-0.01,1,0)</f>
        <v/>
      </c>
      <c r="AT5906">
        <f>IF(T5906&gt;=AM5906-0.01,1,0)</f>
        <v/>
      </c>
      <c r="AU5906">
        <f>IF(U5906&gt;=AN5906-0.01,1,0)</f>
        <v/>
      </c>
      <c r="AV5906">
        <f>IF(V5906&gt;=AO5906-0.01,1,0)</f>
        <v/>
      </c>
      <c r="AW5906">
        <f>IF(W5906&gt;=AP5906-0.01,1,0)</f>
        <v/>
      </c>
      <c r="AX5906">
        <f>AQ5906*AR5906*AS5906*AT5906*AU5906*AV5906*AW5906</f>
        <v/>
      </c>
    </row>
    <row r="5907">
      <c r="A5907" t="inlineStr"/>
      <c r="B5907">
        <f>Assumptions!$B$60</f>
        <v/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1</v>
      </c>
      <c r="J5907">
        <f>(1-C5907)*Assumptions!$B$41+(1-D5907)*Assumptions!$B$33+(1-E5907)*Assumptions!$B$32+(1-F5907)*Assumptions!$B$31+(1-G5907)*Assumptions!$B$30+(1-H5907)*Assumptions!$B$29+(1-I5907)*Assumptions!$B$28</f>
        <v/>
      </c>
      <c r="K5907">
        <f>C5907*$J$682+D5907*$F$682+E5907*$G$682+F5907*Assumptions!$B$14+G5907*Assumptions!$B$13+H5907*Assumptions!$B$12+I5907*Assumptions!$B$11+$O$682+$S$682+Assumptions!$B$9</f>
        <v/>
      </c>
      <c r="L5907">
        <f>B5907-J5907</f>
        <v/>
      </c>
      <c r="M5907">
        <f>IF(K5907&gt;0,IF(L5907/K5907&gt;=Assumptions!$B$37,1,0),0)</f>
        <v/>
      </c>
      <c r="N5907">
        <f>K5907+M5907*Assumptions!$B$153</f>
        <v/>
      </c>
      <c r="O5907">
        <f>L5907+M5907*Assumptions!$B$153*Assumptions!$B$37</f>
        <v/>
      </c>
      <c r="P5907">
        <f>IF(N5907&gt;0,O5907/N5907,0)</f>
        <v/>
      </c>
      <c r="Q5907">
        <f>IF(C5907=1,P5907*$J$682,Assumptions!$B$41)</f>
        <v/>
      </c>
      <c r="R5907">
        <f>IF(D5907=1,P5907*$F$682,Assumptions!$B$33)</f>
        <v/>
      </c>
      <c r="S5907">
        <f>IF(E5907=1,P5907*$G$682,Assumptions!$B$32)</f>
        <v/>
      </c>
      <c r="T5907">
        <f>IF(F5907=1,P5907*Assumptions!$B$14,Assumptions!$B$31)</f>
        <v/>
      </c>
      <c r="U5907">
        <f>IF(G5907=1,P5907*Assumptions!$B$13,Assumptions!$B$30)</f>
        <v/>
      </c>
      <c r="V5907">
        <f>IF(H5907=1,P5907*Assumptions!$B$12,Assumptions!$B$29)</f>
        <v/>
      </c>
      <c r="W5907">
        <f>IF(I5907=1,P5907*Assumptions!$B$11,Assumptions!$B$28)</f>
        <v/>
      </c>
      <c r="X5907">
        <f>P5907*($O$682+$S$682)</f>
        <v/>
      </c>
      <c r="Y5907">
        <f>P5907*Assumptions!$B$9</f>
        <v/>
      </c>
      <c r="Z5907">
        <f>IF(M5907=1,(P5907-Assumptions!$B$37)*Assumptions!$B$153,0)</f>
        <v/>
      </c>
      <c r="AA5907">
        <f>Q5907+R5907+S5907+T5907+U5907+V5907+W5907+X5907+Y5907+Z5907</f>
        <v/>
      </c>
      <c r="AB5907" t="n">
        <v>11</v>
      </c>
      <c r="AC5907" t="n">
        <v>75</v>
      </c>
      <c r="AD5907" t="n">
        <v>43</v>
      </c>
      <c r="AE5907" t="n">
        <v>27</v>
      </c>
      <c r="AF5907" t="n">
        <v>3</v>
      </c>
      <c r="AG5907" t="n">
        <v>15</v>
      </c>
      <c r="AH5907" t="n">
        <v>9</v>
      </c>
      <c r="AI5907" t="n">
        <v>10</v>
      </c>
      <c r="AJ5907">
        <f>INDEX($Q$5896:$Q$6023,AC5907+1)</f>
        <v/>
      </c>
      <c r="AK5907">
        <f>INDEX($R$5896:$R$6023,AD5907+1)</f>
        <v/>
      </c>
      <c r="AL5907">
        <f>INDEX($S$5896:$S$6023,AE5907+1)</f>
        <v/>
      </c>
      <c r="AM5907">
        <f>INDEX($T$5896:$T$6023,AF5907+1)</f>
        <v/>
      </c>
      <c r="AN5907">
        <f>INDEX($U$5896:$U$6023,AG5907+1)</f>
        <v/>
      </c>
      <c r="AO5907">
        <f>INDEX($V$5896:$V$6023,AH5907+1)</f>
        <v/>
      </c>
      <c r="AP5907">
        <f>INDEX($W$5896:$W$6023,AI5907+1)</f>
        <v/>
      </c>
      <c r="AQ5907">
        <f>IF(Q5907&gt;=AJ5907-0.01,1,0)</f>
        <v/>
      </c>
      <c r="AR5907">
        <f>IF(R5907&gt;=AK5907-0.01,1,0)</f>
        <v/>
      </c>
      <c r="AS5907">
        <f>IF(S5907&gt;=AL5907-0.01,1,0)</f>
        <v/>
      </c>
      <c r="AT5907">
        <f>IF(T5907&gt;=AM5907-0.01,1,0)</f>
        <v/>
      </c>
      <c r="AU5907">
        <f>IF(U5907&gt;=AN5907-0.01,1,0)</f>
        <v/>
      </c>
      <c r="AV5907">
        <f>IF(V5907&gt;=AO5907-0.01,1,0)</f>
        <v/>
      </c>
      <c r="AW5907">
        <f>IF(W5907&gt;=AP5907-0.01,1,0)</f>
        <v/>
      </c>
      <c r="AX5907">
        <f>AQ5907*AR5907*AS5907*AT5907*AU5907*AV5907*AW5907</f>
        <v/>
      </c>
    </row>
    <row r="5908">
      <c r="A5908" t="inlineStr"/>
      <c r="B5908">
        <f>Assumptions!$B$60</f>
        <v/>
      </c>
      <c r="C5908" t="n">
        <v>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  <c r="J5908">
        <f>(1-C5908)*Assumptions!$B$41+(1-D5908)*Assumptions!$B$33+(1-E5908)*Assumptions!$B$32+(1-F5908)*Assumptions!$B$31+(1-G5908)*Assumptions!$B$30+(1-H5908)*Assumptions!$B$29+(1-I5908)*Assumptions!$B$28</f>
        <v/>
      </c>
      <c r="K5908">
        <f>C5908*$J$682+D5908*$F$682+E5908*$G$682+F5908*Assumptions!$B$14+G5908*Assumptions!$B$13+H5908*Assumptions!$B$12+I5908*Assumptions!$B$11+$O$682+$S$682+Assumptions!$B$9</f>
        <v/>
      </c>
      <c r="L5908">
        <f>B5908-J5908</f>
        <v/>
      </c>
      <c r="M5908">
        <f>IF(K5908&gt;0,IF(L5908/K5908&gt;=Assumptions!$B$37,1,0),0)</f>
        <v/>
      </c>
      <c r="N5908">
        <f>K5908+M5908*Assumptions!$B$153</f>
        <v/>
      </c>
      <c r="O5908">
        <f>L5908+M5908*Assumptions!$B$153*Assumptions!$B$37</f>
        <v/>
      </c>
      <c r="P5908">
        <f>IF(N5908&gt;0,O5908/N5908,0)</f>
        <v/>
      </c>
      <c r="Q5908">
        <f>IF(C5908=1,P5908*$J$682,Assumptions!$B$41)</f>
        <v/>
      </c>
      <c r="R5908">
        <f>IF(D5908=1,P5908*$F$682,Assumptions!$B$33)</f>
        <v/>
      </c>
      <c r="S5908">
        <f>IF(E5908=1,P5908*$G$682,Assumptions!$B$32)</f>
        <v/>
      </c>
      <c r="T5908">
        <f>IF(F5908=1,P5908*Assumptions!$B$14,Assumptions!$B$31)</f>
        <v/>
      </c>
      <c r="U5908">
        <f>IF(G5908=1,P5908*Assumptions!$B$13,Assumptions!$B$30)</f>
        <v/>
      </c>
      <c r="V5908">
        <f>IF(H5908=1,P5908*Assumptions!$B$12,Assumptions!$B$29)</f>
        <v/>
      </c>
      <c r="W5908">
        <f>IF(I5908=1,P5908*Assumptions!$B$11,Assumptions!$B$28)</f>
        <v/>
      </c>
      <c r="X5908">
        <f>P5908*($O$682+$S$682)</f>
        <v/>
      </c>
      <c r="Y5908">
        <f>P5908*Assumptions!$B$9</f>
        <v/>
      </c>
      <c r="Z5908">
        <f>IF(M5908=1,(P5908-Assumptions!$B$37)*Assumptions!$B$153,0)</f>
        <v/>
      </c>
      <c r="AA5908">
        <f>Q5908+R5908+S5908+T5908+U5908+V5908+W5908+X5908+Y5908+Z5908</f>
        <v/>
      </c>
      <c r="AB5908" t="n">
        <v>12</v>
      </c>
      <c r="AC5908" t="n">
        <v>76</v>
      </c>
      <c r="AD5908" t="n">
        <v>44</v>
      </c>
      <c r="AE5908" t="n">
        <v>28</v>
      </c>
      <c r="AF5908" t="n">
        <v>4</v>
      </c>
      <c r="AG5908" t="n">
        <v>8</v>
      </c>
      <c r="AH5908" t="n">
        <v>14</v>
      </c>
      <c r="AI5908" t="n">
        <v>13</v>
      </c>
      <c r="AJ5908">
        <f>INDEX($Q$5896:$Q$6023,AC5908+1)</f>
        <v/>
      </c>
      <c r="AK5908">
        <f>INDEX($R$5896:$R$6023,AD5908+1)</f>
        <v/>
      </c>
      <c r="AL5908">
        <f>INDEX($S$5896:$S$6023,AE5908+1)</f>
        <v/>
      </c>
      <c r="AM5908">
        <f>INDEX($T$5896:$T$6023,AF5908+1)</f>
        <v/>
      </c>
      <c r="AN5908">
        <f>INDEX($U$5896:$U$6023,AG5908+1)</f>
        <v/>
      </c>
      <c r="AO5908">
        <f>INDEX($V$5896:$V$6023,AH5908+1)</f>
        <v/>
      </c>
      <c r="AP5908">
        <f>INDEX($W$5896:$W$6023,AI5908+1)</f>
        <v/>
      </c>
      <c r="AQ5908">
        <f>IF(Q5908&gt;=AJ5908-0.01,1,0)</f>
        <v/>
      </c>
      <c r="AR5908">
        <f>IF(R5908&gt;=AK5908-0.01,1,0)</f>
        <v/>
      </c>
      <c r="AS5908">
        <f>IF(S5908&gt;=AL5908-0.01,1,0)</f>
        <v/>
      </c>
      <c r="AT5908">
        <f>IF(T5908&gt;=AM5908-0.01,1,0)</f>
        <v/>
      </c>
      <c r="AU5908">
        <f>IF(U5908&gt;=AN5908-0.01,1,0)</f>
        <v/>
      </c>
      <c r="AV5908">
        <f>IF(V5908&gt;=AO5908-0.01,1,0)</f>
        <v/>
      </c>
      <c r="AW5908">
        <f>IF(W5908&gt;=AP5908-0.01,1,0)</f>
        <v/>
      </c>
      <c r="AX5908">
        <f>AQ5908*AR5908*AS5908*AT5908*AU5908*AV5908*AW5908</f>
        <v/>
      </c>
    </row>
    <row r="5909">
      <c r="A5909" t="inlineStr"/>
      <c r="B5909">
        <f>Assumptions!$B$60</f>
        <v/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1</v>
      </c>
      <c r="J5909">
        <f>(1-C5909)*Assumptions!$B$41+(1-D5909)*Assumptions!$B$33+(1-E5909)*Assumptions!$B$32+(1-F5909)*Assumptions!$B$31+(1-G5909)*Assumptions!$B$30+(1-H5909)*Assumptions!$B$29+(1-I5909)*Assumptions!$B$28</f>
        <v/>
      </c>
      <c r="K5909">
        <f>C5909*$J$682+D5909*$F$682+E5909*$G$682+F5909*Assumptions!$B$14+G5909*Assumptions!$B$13+H5909*Assumptions!$B$12+I5909*Assumptions!$B$11+$O$682+$S$682+Assumptions!$B$9</f>
        <v/>
      </c>
      <c r="L5909">
        <f>B5909-J5909</f>
        <v/>
      </c>
      <c r="M5909">
        <f>IF(K5909&gt;0,IF(L5909/K5909&gt;=Assumptions!$B$37,1,0),0)</f>
        <v/>
      </c>
      <c r="N5909">
        <f>K5909+M5909*Assumptions!$B$153</f>
        <v/>
      </c>
      <c r="O5909">
        <f>L5909+M5909*Assumptions!$B$153*Assumptions!$B$37</f>
        <v/>
      </c>
      <c r="P5909">
        <f>IF(N5909&gt;0,O5909/N5909,0)</f>
        <v/>
      </c>
      <c r="Q5909">
        <f>IF(C5909=1,P5909*$J$682,Assumptions!$B$41)</f>
        <v/>
      </c>
      <c r="R5909">
        <f>IF(D5909=1,P5909*$F$682,Assumptions!$B$33)</f>
        <v/>
      </c>
      <c r="S5909">
        <f>IF(E5909=1,P5909*$G$682,Assumptions!$B$32)</f>
        <v/>
      </c>
      <c r="T5909">
        <f>IF(F5909=1,P5909*Assumptions!$B$14,Assumptions!$B$31)</f>
        <v/>
      </c>
      <c r="U5909">
        <f>IF(G5909=1,P5909*Assumptions!$B$13,Assumptions!$B$30)</f>
        <v/>
      </c>
      <c r="V5909">
        <f>IF(H5909=1,P5909*Assumptions!$B$12,Assumptions!$B$29)</f>
        <v/>
      </c>
      <c r="W5909">
        <f>IF(I5909=1,P5909*Assumptions!$B$11,Assumptions!$B$28)</f>
        <v/>
      </c>
      <c r="X5909">
        <f>P5909*($O$682+$S$682)</f>
        <v/>
      </c>
      <c r="Y5909">
        <f>P5909*Assumptions!$B$9</f>
        <v/>
      </c>
      <c r="Z5909">
        <f>IF(M5909=1,(P5909-Assumptions!$B$37)*Assumptions!$B$153,0)</f>
        <v/>
      </c>
      <c r="AA5909">
        <f>Q5909+R5909+S5909+T5909+U5909+V5909+W5909+X5909+Y5909+Z5909</f>
        <v/>
      </c>
      <c r="AB5909" t="n">
        <v>13</v>
      </c>
      <c r="AC5909" t="n">
        <v>77</v>
      </c>
      <c r="AD5909" t="n">
        <v>45</v>
      </c>
      <c r="AE5909" t="n">
        <v>29</v>
      </c>
      <c r="AF5909" t="n">
        <v>5</v>
      </c>
      <c r="AG5909" t="n">
        <v>9</v>
      </c>
      <c r="AH5909" t="n">
        <v>15</v>
      </c>
      <c r="AI5909" t="n">
        <v>12</v>
      </c>
      <c r="AJ5909">
        <f>INDEX($Q$5896:$Q$6023,AC5909+1)</f>
        <v/>
      </c>
      <c r="AK5909">
        <f>INDEX($R$5896:$R$6023,AD5909+1)</f>
        <v/>
      </c>
      <c r="AL5909">
        <f>INDEX($S$5896:$S$6023,AE5909+1)</f>
        <v/>
      </c>
      <c r="AM5909">
        <f>INDEX($T$5896:$T$6023,AF5909+1)</f>
        <v/>
      </c>
      <c r="AN5909">
        <f>INDEX($U$5896:$U$6023,AG5909+1)</f>
        <v/>
      </c>
      <c r="AO5909">
        <f>INDEX($V$5896:$V$6023,AH5909+1)</f>
        <v/>
      </c>
      <c r="AP5909">
        <f>INDEX($W$5896:$W$6023,AI5909+1)</f>
        <v/>
      </c>
      <c r="AQ5909">
        <f>IF(Q5909&gt;=AJ5909-0.01,1,0)</f>
        <v/>
      </c>
      <c r="AR5909">
        <f>IF(R5909&gt;=AK5909-0.01,1,0)</f>
        <v/>
      </c>
      <c r="AS5909">
        <f>IF(S5909&gt;=AL5909-0.01,1,0)</f>
        <v/>
      </c>
      <c r="AT5909">
        <f>IF(T5909&gt;=AM5909-0.01,1,0)</f>
        <v/>
      </c>
      <c r="AU5909">
        <f>IF(U5909&gt;=AN5909-0.01,1,0)</f>
        <v/>
      </c>
      <c r="AV5909">
        <f>IF(V5909&gt;=AO5909-0.01,1,0)</f>
        <v/>
      </c>
      <c r="AW5909">
        <f>IF(W5909&gt;=AP5909-0.01,1,0)</f>
        <v/>
      </c>
      <c r="AX5909">
        <f>AQ5909*AR5909*AS5909*AT5909*AU5909*AV5909*AW5909</f>
        <v/>
      </c>
    </row>
    <row r="5910">
      <c r="A5910" t="inlineStr"/>
      <c r="B5910">
        <f>Assumptions!$B$60</f>
        <v/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1</v>
      </c>
      <c r="I5910" t="n">
        <v>0</v>
      </c>
      <c r="J5910">
        <f>(1-C5910)*Assumptions!$B$41+(1-D5910)*Assumptions!$B$33+(1-E5910)*Assumptions!$B$32+(1-F5910)*Assumptions!$B$31+(1-G5910)*Assumptions!$B$30+(1-H5910)*Assumptions!$B$29+(1-I5910)*Assumptions!$B$28</f>
        <v/>
      </c>
      <c r="K5910">
        <f>C5910*$J$682+D5910*$F$682+E5910*$G$682+F5910*Assumptions!$B$14+G5910*Assumptions!$B$13+H5910*Assumptions!$B$12+I5910*Assumptions!$B$11+$O$682+$S$682+Assumptions!$B$9</f>
        <v/>
      </c>
      <c r="L5910">
        <f>B5910-J5910</f>
        <v/>
      </c>
      <c r="M5910">
        <f>IF(K5910&gt;0,IF(L5910/K5910&gt;=Assumptions!$B$37,1,0),0)</f>
        <v/>
      </c>
      <c r="N5910">
        <f>K5910+M5910*Assumptions!$B$153</f>
        <v/>
      </c>
      <c r="O5910">
        <f>L5910+M5910*Assumptions!$B$153*Assumptions!$B$37</f>
        <v/>
      </c>
      <c r="P5910">
        <f>IF(N5910&gt;0,O5910/N5910,0)</f>
        <v/>
      </c>
      <c r="Q5910">
        <f>IF(C5910=1,P5910*$J$682,Assumptions!$B$41)</f>
        <v/>
      </c>
      <c r="R5910">
        <f>IF(D5910=1,P5910*$F$682,Assumptions!$B$33)</f>
        <v/>
      </c>
      <c r="S5910">
        <f>IF(E5910=1,P5910*$G$682,Assumptions!$B$32)</f>
        <v/>
      </c>
      <c r="T5910">
        <f>IF(F5910=1,P5910*Assumptions!$B$14,Assumptions!$B$31)</f>
        <v/>
      </c>
      <c r="U5910">
        <f>IF(G5910=1,P5910*Assumptions!$B$13,Assumptions!$B$30)</f>
        <v/>
      </c>
      <c r="V5910">
        <f>IF(H5910=1,P5910*Assumptions!$B$12,Assumptions!$B$29)</f>
        <v/>
      </c>
      <c r="W5910">
        <f>IF(I5910=1,P5910*Assumptions!$B$11,Assumptions!$B$28)</f>
        <v/>
      </c>
      <c r="X5910">
        <f>P5910*($O$682+$S$682)</f>
        <v/>
      </c>
      <c r="Y5910">
        <f>P5910*Assumptions!$B$9</f>
        <v/>
      </c>
      <c r="Z5910">
        <f>IF(M5910=1,(P5910-Assumptions!$B$37)*Assumptions!$B$153,0)</f>
        <v/>
      </c>
      <c r="AA5910">
        <f>Q5910+R5910+S5910+T5910+U5910+V5910+W5910+X5910+Y5910+Z5910</f>
        <v/>
      </c>
      <c r="AB5910" t="n">
        <v>14</v>
      </c>
      <c r="AC5910" t="n">
        <v>78</v>
      </c>
      <c r="AD5910" t="n">
        <v>46</v>
      </c>
      <c r="AE5910" t="n">
        <v>30</v>
      </c>
      <c r="AF5910" t="n">
        <v>6</v>
      </c>
      <c r="AG5910" t="n">
        <v>10</v>
      </c>
      <c r="AH5910" t="n">
        <v>12</v>
      </c>
      <c r="AI5910" t="n">
        <v>15</v>
      </c>
      <c r="AJ5910">
        <f>INDEX($Q$5896:$Q$6023,AC5910+1)</f>
        <v/>
      </c>
      <c r="AK5910">
        <f>INDEX($R$5896:$R$6023,AD5910+1)</f>
        <v/>
      </c>
      <c r="AL5910">
        <f>INDEX($S$5896:$S$6023,AE5910+1)</f>
        <v/>
      </c>
      <c r="AM5910">
        <f>INDEX($T$5896:$T$6023,AF5910+1)</f>
        <v/>
      </c>
      <c r="AN5910">
        <f>INDEX($U$5896:$U$6023,AG5910+1)</f>
        <v/>
      </c>
      <c r="AO5910">
        <f>INDEX($V$5896:$V$6023,AH5910+1)</f>
        <v/>
      </c>
      <c r="AP5910">
        <f>INDEX($W$5896:$W$6023,AI5910+1)</f>
        <v/>
      </c>
      <c r="AQ5910">
        <f>IF(Q5910&gt;=AJ5910-0.01,1,0)</f>
        <v/>
      </c>
      <c r="AR5910">
        <f>IF(R5910&gt;=AK5910-0.01,1,0)</f>
        <v/>
      </c>
      <c r="AS5910">
        <f>IF(S5910&gt;=AL5910-0.01,1,0)</f>
        <v/>
      </c>
      <c r="AT5910">
        <f>IF(T5910&gt;=AM5910-0.01,1,0)</f>
        <v/>
      </c>
      <c r="AU5910">
        <f>IF(U5910&gt;=AN5910-0.01,1,0)</f>
        <v/>
      </c>
      <c r="AV5910">
        <f>IF(V5910&gt;=AO5910-0.01,1,0)</f>
        <v/>
      </c>
      <c r="AW5910">
        <f>IF(W5910&gt;=AP5910-0.01,1,0)</f>
        <v/>
      </c>
      <c r="AX5910">
        <f>AQ5910*AR5910*AS5910*AT5910*AU5910*AV5910*AW5910</f>
        <v/>
      </c>
    </row>
    <row r="5911">
      <c r="A5911" t="inlineStr"/>
      <c r="B5911">
        <f>Assumptions!$B$60</f>
        <v/>
      </c>
      <c r="C5911" t="n">
        <v>0</v>
      </c>
      <c r="D5911" t="n">
        <v>0</v>
      </c>
      <c r="E5911" t="n">
        <v>0</v>
      </c>
      <c r="F5911" t="n">
        <v>1</v>
      </c>
      <c r="G5911" t="n">
        <v>1</v>
      </c>
      <c r="H5911" t="n">
        <v>1</v>
      </c>
      <c r="I5911" t="n">
        <v>1</v>
      </c>
      <c r="J5911">
        <f>(1-C5911)*Assumptions!$B$41+(1-D5911)*Assumptions!$B$33+(1-E5911)*Assumptions!$B$32+(1-F5911)*Assumptions!$B$31+(1-G5911)*Assumptions!$B$30+(1-H5911)*Assumptions!$B$29+(1-I5911)*Assumptions!$B$28</f>
        <v/>
      </c>
      <c r="K5911">
        <f>C5911*$J$682+D5911*$F$682+E5911*$G$682+F5911*Assumptions!$B$14+G5911*Assumptions!$B$13+H5911*Assumptions!$B$12+I5911*Assumptions!$B$11+$O$682+$S$682+Assumptions!$B$9</f>
        <v/>
      </c>
      <c r="L5911">
        <f>B5911-J5911</f>
        <v/>
      </c>
      <c r="M5911">
        <f>IF(K5911&gt;0,IF(L5911/K5911&gt;=Assumptions!$B$37,1,0),0)</f>
        <v/>
      </c>
      <c r="N5911">
        <f>K5911+M5911*Assumptions!$B$153</f>
        <v/>
      </c>
      <c r="O5911">
        <f>L5911+M5911*Assumptions!$B$153*Assumptions!$B$37</f>
        <v/>
      </c>
      <c r="P5911">
        <f>IF(N5911&gt;0,O5911/N5911,0)</f>
        <v/>
      </c>
      <c r="Q5911">
        <f>IF(C5911=1,P5911*$J$682,Assumptions!$B$41)</f>
        <v/>
      </c>
      <c r="R5911">
        <f>IF(D5911=1,P5911*$F$682,Assumptions!$B$33)</f>
        <v/>
      </c>
      <c r="S5911">
        <f>IF(E5911=1,P5911*$G$682,Assumptions!$B$32)</f>
        <v/>
      </c>
      <c r="T5911">
        <f>IF(F5911=1,P5911*Assumptions!$B$14,Assumptions!$B$31)</f>
        <v/>
      </c>
      <c r="U5911">
        <f>IF(G5911=1,P5911*Assumptions!$B$13,Assumptions!$B$30)</f>
        <v/>
      </c>
      <c r="V5911">
        <f>IF(H5911=1,P5911*Assumptions!$B$12,Assumptions!$B$29)</f>
        <v/>
      </c>
      <c r="W5911">
        <f>IF(I5911=1,P5911*Assumptions!$B$11,Assumptions!$B$28)</f>
        <v/>
      </c>
      <c r="X5911">
        <f>P5911*($O$682+$S$682)</f>
        <v/>
      </c>
      <c r="Y5911">
        <f>P5911*Assumptions!$B$9</f>
        <v/>
      </c>
      <c r="Z5911">
        <f>IF(M5911=1,(P5911-Assumptions!$B$37)*Assumptions!$B$153,0)</f>
        <v/>
      </c>
      <c r="AA5911">
        <f>Q5911+R5911+S5911+T5911+U5911+V5911+W5911+X5911+Y5911+Z5911</f>
        <v/>
      </c>
      <c r="AB5911" t="n">
        <v>15</v>
      </c>
      <c r="AC5911" t="n">
        <v>79</v>
      </c>
      <c r="AD5911" t="n">
        <v>47</v>
      </c>
      <c r="AE5911" t="n">
        <v>31</v>
      </c>
      <c r="AF5911" t="n">
        <v>7</v>
      </c>
      <c r="AG5911" t="n">
        <v>11</v>
      </c>
      <c r="AH5911" t="n">
        <v>13</v>
      </c>
      <c r="AI5911" t="n">
        <v>14</v>
      </c>
      <c r="AJ5911">
        <f>INDEX($Q$5896:$Q$6023,AC5911+1)</f>
        <v/>
      </c>
      <c r="AK5911">
        <f>INDEX($R$5896:$R$6023,AD5911+1)</f>
        <v/>
      </c>
      <c r="AL5911">
        <f>INDEX($S$5896:$S$6023,AE5911+1)</f>
        <v/>
      </c>
      <c r="AM5911">
        <f>INDEX($T$5896:$T$6023,AF5911+1)</f>
        <v/>
      </c>
      <c r="AN5911">
        <f>INDEX($U$5896:$U$6023,AG5911+1)</f>
        <v/>
      </c>
      <c r="AO5911">
        <f>INDEX($V$5896:$V$6023,AH5911+1)</f>
        <v/>
      </c>
      <c r="AP5911">
        <f>INDEX($W$5896:$W$6023,AI5911+1)</f>
        <v/>
      </c>
      <c r="AQ5911">
        <f>IF(Q5911&gt;=AJ5911-0.01,1,0)</f>
        <v/>
      </c>
      <c r="AR5911">
        <f>IF(R5911&gt;=AK5911-0.01,1,0)</f>
        <v/>
      </c>
      <c r="AS5911">
        <f>IF(S5911&gt;=AL5911-0.01,1,0)</f>
        <v/>
      </c>
      <c r="AT5911">
        <f>IF(T5911&gt;=AM5911-0.01,1,0)</f>
        <v/>
      </c>
      <c r="AU5911">
        <f>IF(U5911&gt;=AN5911-0.01,1,0)</f>
        <v/>
      </c>
      <c r="AV5911">
        <f>IF(V5911&gt;=AO5911-0.01,1,0)</f>
        <v/>
      </c>
      <c r="AW5911">
        <f>IF(W5911&gt;=AP5911-0.01,1,0)</f>
        <v/>
      </c>
      <c r="AX5911">
        <f>AQ5911*AR5911*AS5911*AT5911*AU5911*AV5911*AW5911</f>
        <v/>
      </c>
    </row>
    <row r="5912">
      <c r="A5912" t="inlineStr"/>
      <c r="B5912">
        <f>Assumptions!$B$60</f>
        <v/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0</v>
      </c>
      <c r="J5912">
        <f>(1-C5912)*Assumptions!$B$41+(1-D5912)*Assumptions!$B$33+(1-E5912)*Assumptions!$B$32+(1-F5912)*Assumptions!$B$31+(1-G5912)*Assumptions!$B$30+(1-H5912)*Assumptions!$B$29+(1-I5912)*Assumptions!$B$28</f>
        <v/>
      </c>
      <c r="K5912">
        <f>C5912*$J$682+D5912*$F$682+E5912*$G$682+F5912*Assumptions!$B$14+G5912*Assumptions!$B$13+H5912*Assumptions!$B$12+I5912*Assumptions!$B$11+$O$682+$S$682+Assumptions!$B$9</f>
        <v/>
      </c>
      <c r="L5912">
        <f>B5912-J5912</f>
        <v/>
      </c>
      <c r="M5912">
        <f>IF(K5912&gt;0,IF(L5912/K5912&gt;=Assumptions!$B$37,1,0),0)</f>
        <v/>
      </c>
      <c r="N5912">
        <f>K5912+M5912*Assumptions!$B$153</f>
        <v/>
      </c>
      <c r="O5912">
        <f>L5912+M5912*Assumptions!$B$153*Assumptions!$B$37</f>
        <v/>
      </c>
      <c r="P5912">
        <f>IF(N5912&gt;0,O5912/N5912,0)</f>
        <v/>
      </c>
      <c r="Q5912">
        <f>IF(C5912=1,P5912*$J$682,Assumptions!$B$41)</f>
        <v/>
      </c>
      <c r="R5912">
        <f>IF(D5912=1,P5912*$F$682,Assumptions!$B$33)</f>
        <v/>
      </c>
      <c r="S5912">
        <f>IF(E5912=1,P5912*$G$682,Assumptions!$B$32)</f>
        <v/>
      </c>
      <c r="T5912">
        <f>IF(F5912=1,P5912*Assumptions!$B$14,Assumptions!$B$31)</f>
        <v/>
      </c>
      <c r="U5912">
        <f>IF(G5912=1,P5912*Assumptions!$B$13,Assumptions!$B$30)</f>
        <v/>
      </c>
      <c r="V5912">
        <f>IF(H5912=1,P5912*Assumptions!$B$12,Assumptions!$B$29)</f>
        <v/>
      </c>
      <c r="W5912">
        <f>IF(I5912=1,P5912*Assumptions!$B$11,Assumptions!$B$28)</f>
        <v/>
      </c>
      <c r="X5912">
        <f>P5912*($O$682+$S$682)</f>
        <v/>
      </c>
      <c r="Y5912">
        <f>P5912*Assumptions!$B$9</f>
        <v/>
      </c>
      <c r="Z5912">
        <f>IF(M5912=1,(P5912-Assumptions!$B$37)*Assumptions!$B$153,0)</f>
        <v/>
      </c>
      <c r="AA5912">
        <f>Q5912+R5912+S5912+T5912+U5912+V5912+W5912+X5912+Y5912+Z5912</f>
        <v/>
      </c>
      <c r="AB5912" t="n">
        <v>16</v>
      </c>
      <c r="AC5912" t="n">
        <v>80</v>
      </c>
      <c r="AD5912" t="n">
        <v>48</v>
      </c>
      <c r="AE5912" t="n">
        <v>0</v>
      </c>
      <c r="AF5912" t="n">
        <v>24</v>
      </c>
      <c r="AG5912" t="n">
        <v>20</v>
      </c>
      <c r="AH5912" t="n">
        <v>18</v>
      </c>
      <c r="AI5912" t="n">
        <v>17</v>
      </c>
      <c r="AJ5912">
        <f>INDEX($Q$5896:$Q$6023,AC5912+1)</f>
        <v/>
      </c>
      <c r="AK5912">
        <f>INDEX($R$5896:$R$6023,AD5912+1)</f>
        <v/>
      </c>
      <c r="AL5912">
        <f>INDEX($S$5896:$S$6023,AE5912+1)</f>
        <v/>
      </c>
      <c r="AM5912">
        <f>INDEX($T$5896:$T$6023,AF5912+1)</f>
        <v/>
      </c>
      <c r="AN5912">
        <f>INDEX($U$5896:$U$6023,AG5912+1)</f>
        <v/>
      </c>
      <c r="AO5912">
        <f>INDEX($V$5896:$V$6023,AH5912+1)</f>
        <v/>
      </c>
      <c r="AP5912">
        <f>INDEX($W$5896:$W$6023,AI5912+1)</f>
        <v/>
      </c>
      <c r="AQ5912">
        <f>IF(Q5912&gt;=AJ5912-0.01,1,0)</f>
        <v/>
      </c>
      <c r="AR5912">
        <f>IF(R5912&gt;=AK5912-0.01,1,0)</f>
        <v/>
      </c>
      <c r="AS5912">
        <f>IF(S5912&gt;=AL5912-0.01,1,0)</f>
        <v/>
      </c>
      <c r="AT5912">
        <f>IF(T5912&gt;=AM5912-0.01,1,0)</f>
        <v/>
      </c>
      <c r="AU5912">
        <f>IF(U5912&gt;=AN5912-0.01,1,0)</f>
        <v/>
      </c>
      <c r="AV5912">
        <f>IF(V5912&gt;=AO5912-0.01,1,0)</f>
        <v/>
      </c>
      <c r="AW5912">
        <f>IF(W5912&gt;=AP5912-0.01,1,0)</f>
        <v/>
      </c>
      <c r="AX5912">
        <f>AQ5912*AR5912*AS5912*AT5912*AU5912*AV5912*AW5912</f>
        <v/>
      </c>
    </row>
    <row r="5913">
      <c r="A5913" t="inlineStr"/>
      <c r="B5913">
        <f>Assumptions!$B$60</f>
        <v/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>
        <f>(1-C5913)*Assumptions!$B$41+(1-D5913)*Assumptions!$B$33+(1-E5913)*Assumptions!$B$32+(1-F5913)*Assumptions!$B$31+(1-G5913)*Assumptions!$B$30+(1-H5913)*Assumptions!$B$29+(1-I5913)*Assumptions!$B$28</f>
        <v/>
      </c>
      <c r="K5913">
        <f>C5913*$J$682+D5913*$F$682+E5913*$G$682+F5913*Assumptions!$B$14+G5913*Assumptions!$B$13+H5913*Assumptions!$B$12+I5913*Assumptions!$B$11+$O$682+$S$682+Assumptions!$B$9</f>
        <v/>
      </c>
      <c r="L5913">
        <f>B5913-J5913</f>
        <v/>
      </c>
      <c r="M5913">
        <f>IF(K5913&gt;0,IF(L5913/K5913&gt;=Assumptions!$B$37,1,0),0)</f>
        <v/>
      </c>
      <c r="N5913">
        <f>K5913+M5913*Assumptions!$B$153</f>
        <v/>
      </c>
      <c r="O5913">
        <f>L5913+M5913*Assumptions!$B$153*Assumptions!$B$37</f>
        <v/>
      </c>
      <c r="P5913">
        <f>IF(N5913&gt;0,O5913/N5913,0)</f>
        <v/>
      </c>
      <c r="Q5913">
        <f>IF(C5913=1,P5913*$J$682,Assumptions!$B$41)</f>
        <v/>
      </c>
      <c r="R5913">
        <f>IF(D5913=1,P5913*$F$682,Assumptions!$B$33)</f>
        <v/>
      </c>
      <c r="S5913">
        <f>IF(E5913=1,P5913*$G$682,Assumptions!$B$32)</f>
        <v/>
      </c>
      <c r="T5913">
        <f>IF(F5913=1,P5913*Assumptions!$B$14,Assumptions!$B$31)</f>
        <v/>
      </c>
      <c r="U5913">
        <f>IF(G5913=1,P5913*Assumptions!$B$13,Assumptions!$B$30)</f>
        <v/>
      </c>
      <c r="V5913">
        <f>IF(H5913=1,P5913*Assumptions!$B$12,Assumptions!$B$29)</f>
        <v/>
      </c>
      <c r="W5913">
        <f>IF(I5913=1,P5913*Assumptions!$B$11,Assumptions!$B$28)</f>
        <v/>
      </c>
      <c r="X5913">
        <f>P5913*($O$682+$S$682)</f>
        <v/>
      </c>
      <c r="Y5913">
        <f>P5913*Assumptions!$B$9</f>
        <v/>
      </c>
      <c r="Z5913">
        <f>IF(M5913=1,(P5913-Assumptions!$B$37)*Assumptions!$B$153,0)</f>
        <v/>
      </c>
      <c r="AA5913">
        <f>Q5913+R5913+S5913+T5913+U5913+V5913+W5913+X5913+Y5913+Z5913</f>
        <v/>
      </c>
      <c r="AB5913" t="n">
        <v>17</v>
      </c>
      <c r="AC5913" t="n">
        <v>81</v>
      </c>
      <c r="AD5913" t="n">
        <v>49</v>
      </c>
      <c r="AE5913" t="n">
        <v>1</v>
      </c>
      <c r="AF5913" t="n">
        <v>25</v>
      </c>
      <c r="AG5913" t="n">
        <v>21</v>
      </c>
      <c r="AH5913" t="n">
        <v>19</v>
      </c>
      <c r="AI5913" t="n">
        <v>16</v>
      </c>
      <c r="AJ5913">
        <f>INDEX($Q$5896:$Q$6023,AC5913+1)</f>
        <v/>
      </c>
      <c r="AK5913">
        <f>INDEX($R$5896:$R$6023,AD5913+1)</f>
        <v/>
      </c>
      <c r="AL5913">
        <f>INDEX($S$5896:$S$6023,AE5913+1)</f>
        <v/>
      </c>
      <c r="AM5913">
        <f>INDEX($T$5896:$T$6023,AF5913+1)</f>
        <v/>
      </c>
      <c r="AN5913">
        <f>INDEX($U$5896:$U$6023,AG5913+1)</f>
        <v/>
      </c>
      <c r="AO5913">
        <f>INDEX($V$5896:$V$6023,AH5913+1)</f>
        <v/>
      </c>
      <c r="AP5913">
        <f>INDEX($W$5896:$W$6023,AI5913+1)</f>
        <v/>
      </c>
      <c r="AQ5913">
        <f>IF(Q5913&gt;=AJ5913-0.01,1,0)</f>
        <v/>
      </c>
      <c r="AR5913">
        <f>IF(R5913&gt;=AK5913-0.01,1,0)</f>
        <v/>
      </c>
      <c r="AS5913">
        <f>IF(S5913&gt;=AL5913-0.01,1,0)</f>
        <v/>
      </c>
      <c r="AT5913">
        <f>IF(T5913&gt;=AM5913-0.01,1,0)</f>
        <v/>
      </c>
      <c r="AU5913">
        <f>IF(U5913&gt;=AN5913-0.01,1,0)</f>
        <v/>
      </c>
      <c r="AV5913">
        <f>IF(V5913&gt;=AO5913-0.01,1,0)</f>
        <v/>
      </c>
      <c r="AW5913">
        <f>IF(W5913&gt;=AP5913-0.01,1,0)</f>
        <v/>
      </c>
      <c r="AX5913">
        <f>AQ5913*AR5913*AS5913*AT5913*AU5913*AV5913*AW5913</f>
        <v/>
      </c>
    </row>
    <row r="5914">
      <c r="A5914" t="inlineStr"/>
      <c r="B5914">
        <f>Assumptions!$B$60</f>
        <v/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>
        <f>(1-C5914)*Assumptions!$B$41+(1-D5914)*Assumptions!$B$33+(1-E5914)*Assumptions!$B$32+(1-F5914)*Assumptions!$B$31+(1-G5914)*Assumptions!$B$30+(1-H5914)*Assumptions!$B$29+(1-I5914)*Assumptions!$B$28</f>
        <v/>
      </c>
      <c r="K5914">
        <f>C5914*$J$682+D5914*$F$682+E5914*$G$682+F5914*Assumptions!$B$14+G5914*Assumptions!$B$13+H5914*Assumptions!$B$12+I5914*Assumptions!$B$11+$O$682+$S$682+Assumptions!$B$9</f>
        <v/>
      </c>
      <c r="L5914">
        <f>B5914-J5914</f>
        <v/>
      </c>
      <c r="M5914">
        <f>IF(K5914&gt;0,IF(L5914/K5914&gt;=Assumptions!$B$37,1,0),0)</f>
        <v/>
      </c>
      <c r="N5914">
        <f>K5914+M5914*Assumptions!$B$153</f>
        <v/>
      </c>
      <c r="O5914">
        <f>L5914+M5914*Assumptions!$B$153*Assumptions!$B$37</f>
        <v/>
      </c>
      <c r="P5914">
        <f>IF(N5914&gt;0,O5914/N5914,0)</f>
        <v/>
      </c>
      <c r="Q5914">
        <f>IF(C5914=1,P5914*$J$682,Assumptions!$B$41)</f>
        <v/>
      </c>
      <c r="R5914">
        <f>IF(D5914=1,P5914*$F$682,Assumptions!$B$33)</f>
        <v/>
      </c>
      <c r="S5914">
        <f>IF(E5914=1,P5914*$G$682,Assumptions!$B$32)</f>
        <v/>
      </c>
      <c r="T5914">
        <f>IF(F5914=1,P5914*Assumptions!$B$14,Assumptions!$B$31)</f>
        <v/>
      </c>
      <c r="U5914">
        <f>IF(G5914=1,P5914*Assumptions!$B$13,Assumptions!$B$30)</f>
        <v/>
      </c>
      <c r="V5914">
        <f>IF(H5914=1,P5914*Assumptions!$B$12,Assumptions!$B$29)</f>
        <v/>
      </c>
      <c r="W5914">
        <f>IF(I5914=1,P5914*Assumptions!$B$11,Assumptions!$B$28)</f>
        <v/>
      </c>
      <c r="X5914">
        <f>P5914*($O$682+$S$682)</f>
        <v/>
      </c>
      <c r="Y5914">
        <f>P5914*Assumptions!$B$9</f>
        <v/>
      </c>
      <c r="Z5914">
        <f>IF(M5914=1,(P5914-Assumptions!$B$37)*Assumptions!$B$153,0)</f>
        <v/>
      </c>
      <c r="AA5914">
        <f>Q5914+R5914+S5914+T5914+U5914+V5914+W5914+X5914+Y5914+Z5914</f>
        <v/>
      </c>
      <c r="AB5914" t="n">
        <v>18</v>
      </c>
      <c r="AC5914" t="n">
        <v>82</v>
      </c>
      <c r="AD5914" t="n">
        <v>50</v>
      </c>
      <c r="AE5914" t="n">
        <v>2</v>
      </c>
      <c r="AF5914" t="n">
        <v>26</v>
      </c>
      <c r="AG5914" t="n">
        <v>22</v>
      </c>
      <c r="AH5914" t="n">
        <v>16</v>
      </c>
      <c r="AI5914" t="n">
        <v>19</v>
      </c>
      <c r="AJ5914">
        <f>INDEX($Q$5896:$Q$6023,AC5914+1)</f>
        <v/>
      </c>
      <c r="AK5914">
        <f>INDEX($R$5896:$R$6023,AD5914+1)</f>
        <v/>
      </c>
      <c r="AL5914">
        <f>INDEX($S$5896:$S$6023,AE5914+1)</f>
        <v/>
      </c>
      <c r="AM5914">
        <f>INDEX($T$5896:$T$6023,AF5914+1)</f>
        <v/>
      </c>
      <c r="AN5914">
        <f>INDEX($U$5896:$U$6023,AG5914+1)</f>
        <v/>
      </c>
      <c r="AO5914">
        <f>INDEX($V$5896:$V$6023,AH5914+1)</f>
        <v/>
      </c>
      <c r="AP5914">
        <f>INDEX($W$5896:$W$6023,AI5914+1)</f>
        <v/>
      </c>
      <c r="AQ5914">
        <f>IF(Q5914&gt;=AJ5914-0.01,1,0)</f>
        <v/>
      </c>
      <c r="AR5914">
        <f>IF(R5914&gt;=AK5914-0.01,1,0)</f>
        <v/>
      </c>
      <c r="AS5914">
        <f>IF(S5914&gt;=AL5914-0.01,1,0)</f>
        <v/>
      </c>
      <c r="AT5914">
        <f>IF(T5914&gt;=AM5914-0.01,1,0)</f>
        <v/>
      </c>
      <c r="AU5914">
        <f>IF(U5914&gt;=AN5914-0.01,1,0)</f>
        <v/>
      </c>
      <c r="AV5914">
        <f>IF(V5914&gt;=AO5914-0.01,1,0)</f>
        <v/>
      </c>
      <c r="AW5914">
        <f>IF(W5914&gt;=AP5914-0.01,1,0)</f>
        <v/>
      </c>
      <c r="AX5914">
        <f>AQ5914*AR5914*AS5914*AT5914*AU5914*AV5914*AW5914</f>
        <v/>
      </c>
    </row>
    <row r="5915">
      <c r="A5915" t="inlineStr"/>
      <c r="B5915">
        <f>Assumptions!$B$60</f>
        <v/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1</v>
      </c>
      <c r="I5915" t="n">
        <v>1</v>
      </c>
      <c r="J5915">
        <f>(1-C5915)*Assumptions!$B$41+(1-D5915)*Assumptions!$B$33+(1-E5915)*Assumptions!$B$32+(1-F5915)*Assumptions!$B$31+(1-G5915)*Assumptions!$B$30+(1-H5915)*Assumptions!$B$29+(1-I5915)*Assumptions!$B$28</f>
        <v/>
      </c>
      <c r="K5915">
        <f>C5915*$J$682+D5915*$F$682+E5915*$G$682+F5915*Assumptions!$B$14+G5915*Assumptions!$B$13+H5915*Assumptions!$B$12+I5915*Assumptions!$B$11+$O$682+$S$682+Assumptions!$B$9</f>
        <v/>
      </c>
      <c r="L5915">
        <f>B5915-J5915</f>
        <v/>
      </c>
      <c r="M5915">
        <f>IF(K5915&gt;0,IF(L5915/K5915&gt;=Assumptions!$B$37,1,0),0)</f>
        <v/>
      </c>
      <c r="N5915">
        <f>K5915+M5915*Assumptions!$B$153</f>
        <v/>
      </c>
      <c r="O5915">
        <f>L5915+M5915*Assumptions!$B$153*Assumptions!$B$37</f>
        <v/>
      </c>
      <c r="P5915">
        <f>IF(N5915&gt;0,O5915/N5915,0)</f>
        <v/>
      </c>
      <c r="Q5915">
        <f>IF(C5915=1,P5915*$J$682,Assumptions!$B$41)</f>
        <v/>
      </c>
      <c r="R5915">
        <f>IF(D5915=1,P5915*$F$682,Assumptions!$B$33)</f>
        <v/>
      </c>
      <c r="S5915">
        <f>IF(E5915=1,P5915*$G$682,Assumptions!$B$32)</f>
        <v/>
      </c>
      <c r="T5915">
        <f>IF(F5915=1,P5915*Assumptions!$B$14,Assumptions!$B$31)</f>
        <v/>
      </c>
      <c r="U5915">
        <f>IF(G5915=1,P5915*Assumptions!$B$13,Assumptions!$B$30)</f>
        <v/>
      </c>
      <c r="V5915">
        <f>IF(H5915=1,P5915*Assumptions!$B$12,Assumptions!$B$29)</f>
        <v/>
      </c>
      <c r="W5915">
        <f>IF(I5915=1,P5915*Assumptions!$B$11,Assumptions!$B$28)</f>
        <v/>
      </c>
      <c r="X5915">
        <f>P5915*($O$682+$S$682)</f>
        <v/>
      </c>
      <c r="Y5915">
        <f>P5915*Assumptions!$B$9</f>
        <v/>
      </c>
      <c r="Z5915">
        <f>IF(M5915=1,(P5915-Assumptions!$B$37)*Assumptions!$B$153,0)</f>
        <v/>
      </c>
      <c r="AA5915">
        <f>Q5915+R5915+S5915+T5915+U5915+V5915+W5915+X5915+Y5915+Z5915</f>
        <v/>
      </c>
      <c r="AB5915" t="n">
        <v>19</v>
      </c>
      <c r="AC5915" t="n">
        <v>83</v>
      </c>
      <c r="AD5915" t="n">
        <v>51</v>
      </c>
      <c r="AE5915" t="n">
        <v>3</v>
      </c>
      <c r="AF5915" t="n">
        <v>27</v>
      </c>
      <c r="AG5915" t="n">
        <v>23</v>
      </c>
      <c r="AH5915" t="n">
        <v>17</v>
      </c>
      <c r="AI5915" t="n">
        <v>18</v>
      </c>
      <c r="AJ5915">
        <f>INDEX($Q$5896:$Q$6023,AC5915+1)</f>
        <v/>
      </c>
      <c r="AK5915">
        <f>INDEX($R$5896:$R$6023,AD5915+1)</f>
        <v/>
      </c>
      <c r="AL5915">
        <f>INDEX($S$5896:$S$6023,AE5915+1)</f>
        <v/>
      </c>
      <c r="AM5915">
        <f>INDEX($T$5896:$T$6023,AF5915+1)</f>
        <v/>
      </c>
      <c r="AN5915">
        <f>INDEX($U$5896:$U$6023,AG5915+1)</f>
        <v/>
      </c>
      <c r="AO5915">
        <f>INDEX($V$5896:$V$6023,AH5915+1)</f>
        <v/>
      </c>
      <c r="AP5915">
        <f>INDEX($W$5896:$W$6023,AI5915+1)</f>
        <v/>
      </c>
      <c r="AQ5915">
        <f>IF(Q5915&gt;=AJ5915-0.01,1,0)</f>
        <v/>
      </c>
      <c r="AR5915">
        <f>IF(R5915&gt;=AK5915-0.01,1,0)</f>
        <v/>
      </c>
      <c r="AS5915">
        <f>IF(S5915&gt;=AL5915-0.01,1,0)</f>
        <v/>
      </c>
      <c r="AT5915">
        <f>IF(T5915&gt;=AM5915-0.01,1,0)</f>
        <v/>
      </c>
      <c r="AU5915">
        <f>IF(U5915&gt;=AN5915-0.01,1,0)</f>
        <v/>
      </c>
      <c r="AV5915">
        <f>IF(V5915&gt;=AO5915-0.01,1,0)</f>
        <v/>
      </c>
      <c r="AW5915">
        <f>IF(W5915&gt;=AP5915-0.01,1,0)</f>
        <v/>
      </c>
      <c r="AX5915">
        <f>AQ5915*AR5915*AS5915*AT5915*AU5915*AV5915*AW5915</f>
        <v/>
      </c>
    </row>
    <row r="5916">
      <c r="A5916" t="inlineStr"/>
      <c r="B5916">
        <f>Assumptions!$B$60</f>
        <v/>
      </c>
      <c r="C5916" t="n">
        <v>0</v>
      </c>
      <c r="D5916" t="n">
        <v>0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>
        <f>(1-C5916)*Assumptions!$B$41+(1-D5916)*Assumptions!$B$33+(1-E5916)*Assumptions!$B$32+(1-F5916)*Assumptions!$B$31+(1-G5916)*Assumptions!$B$30+(1-H5916)*Assumptions!$B$29+(1-I5916)*Assumptions!$B$28</f>
        <v/>
      </c>
      <c r="K5916">
        <f>C5916*$J$682+D5916*$F$682+E5916*$G$682+F5916*Assumptions!$B$14+G5916*Assumptions!$B$13+H5916*Assumptions!$B$12+I5916*Assumptions!$B$11+$O$682+$S$682+Assumptions!$B$9</f>
        <v/>
      </c>
      <c r="L5916">
        <f>B5916-J5916</f>
        <v/>
      </c>
      <c r="M5916">
        <f>IF(K5916&gt;0,IF(L5916/K5916&gt;=Assumptions!$B$37,1,0),0)</f>
        <v/>
      </c>
      <c r="N5916">
        <f>K5916+M5916*Assumptions!$B$153</f>
        <v/>
      </c>
      <c r="O5916">
        <f>L5916+M5916*Assumptions!$B$153*Assumptions!$B$37</f>
        <v/>
      </c>
      <c r="P5916">
        <f>IF(N5916&gt;0,O5916/N5916,0)</f>
        <v/>
      </c>
      <c r="Q5916">
        <f>IF(C5916=1,P5916*$J$682,Assumptions!$B$41)</f>
        <v/>
      </c>
      <c r="R5916">
        <f>IF(D5916=1,P5916*$F$682,Assumptions!$B$33)</f>
        <v/>
      </c>
      <c r="S5916">
        <f>IF(E5916=1,P5916*$G$682,Assumptions!$B$32)</f>
        <v/>
      </c>
      <c r="T5916">
        <f>IF(F5916=1,P5916*Assumptions!$B$14,Assumptions!$B$31)</f>
        <v/>
      </c>
      <c r="U5916">
        <f>IF(G5916=1,P5916*Assumptions!$B$13,Assumptions!$B$30)</f>
        <v/>
      </c>
      <c r="V5916">
        <f>IF(H5916=1,P5916*Assumptions!$B$12,Assumptions!$B$29)</f>
        <v/>
      </c>
      <c r="W5916">
        <f>IF(I5916=1,P5916*Assumptions!$B$11,Assumptions!$B$28)</f>
        <v/>
      </c>
      <c r="X5916">
        <f>P5916*($O$682+$S$682)</f>
        <v/>
      </c>
      <c r="Y5916">
        <f>P5916*Assumptions!$B$9</f>
        <v/>
      </c>
      <c r="Z5916">
        <f>IF(M5916=1,(P5916-Assumptions!$B$37)*Assumptions!$B$153,0)</f>
        <v/>
      </c>
      <c r="AA5916">
        <f>Q5916+R5916+S5916+T5916+U5916+V5916+W5916+X5916+Y5916+Z5916</f>
        <v/>
      </c>
      <c r="AB5916" t="n">
        <v>20</v>
      </c>
      <c r="AC5916" t="n">
        <v>84</v>
      </c>
      <c r="AD5916" t="n">
        <v>52</v>
      </c>
      <c r="AE5916" t="n">
        <v>4</v>
      </c>
      <c r="AF5916" t="n">
        <v>28</v>
      </c>
      <c r="AG5916" t="n">
        <v>16</v>
      </c>
      <c r="AH5916" t="n">
        <v>22</v>
      </c>
      <c r="AI5916" t="n">
        <v>21</v>
      </c>
      <c r="AJ5916">
        <f>INDEX($Q$5896:$Q$6023,AC5916+1)</f>
        <v/>
      </c>
      <c r="AK5916">
        <f>INDEX($R$5896:$R$6023,AD5916+1)</f>
        <v/>
      </c>
      <c r="AL5916">
        <f>INDEX($S$5896:$S$6023,AE5916+1)</f>
        <v/>
      </c>
      <c r="AM5916">
        <f>INDEX($T$5896:$T$6023,AF5916+1)</f>
        <v/>
      </c>
      <c r="AN5916">
        <f>INDEX($U$5896:$U$6023,AG5916+1)</f>
        <v/>
      </c>
      <c r="AO5916">
        <f>INDEX($V$5896:$V$6023,AH5916+1)</f>
        <v/>
      </c>
      <c r="AP5916">
        <f>INDEX($W$5896:$W$6023,AI5916+1)</f>
        <v/>
      </c>
      <c r="AQ5916">
        <f>IF(Q5916&gt;=AJ5916-0.01,1,0)</f>
        <v/>
      </c>
      <c r="AR5916">
        <f>IF(R5916&gt;=AK5916-0.01,1,0)</f>
        <v/>
      </c>
      <c r="AS5916">
        <f>IF(S5916&gt;=AL5916-0.01,1,0)</f>
        <v/>
      </c>
      <c r="AT5916">
        <f>IF(T5916&gt;=AM5916-0.01,1,0)</f>
        <v/>
      </c>
      <c r="AU5916">
        <f>IF(U5916&gt;=AN5916-0.01,1,0)</f>
        <v/>
      </c>
      <c r="AV5916">
        <f>IF(V5916&gt;=AO5916-0.01,1,0)</f>
        <v/>
      </c>
      <c r="AW5916">
        <f>IF(W5916&gt;=AP5916-0.01,1,0)</f>
        <v/>
      </c>
      <c r="AX5916">
        <f>AQ5916*AR5916*AS5916*AT5916*AU5916*AV5916*AW5916</f>
        <v/>
      </c>
    </row>
    <row r="5917">
      <c r="A5917" t="inlineStr"/>
      <c r="B5917">
        <f>Assumptions!$B$60</f>
        <v/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1</v>
      </c>
      <c r="J5917">
        <f>(1-C5917)*Assumptions!$B$41+(1-D5917)*Assumptions!$B$33+(1-E5917)*Assumptions!$B$32+(1-F5917)*Assumptions!$B$31+(1-G5917)*Assumptions!$B$30+(1-H5917)*Assumptions!$B$29+(1-I5917)*Assumptions!$B$28</f>
        <v/>
      </c>
      <c r="K5917">
        <f>C5917*$J$682+D5917*$F$682+E5917*$G$682+F5917*Assumptions!$B$14+G5917*Assumptions!$B$13+H5917*Assumptions!$B$12+I5917*Assumptions!$B$11+$O$682+$S$682+Assumptions!$B$9</f>
        <v/>
      </c>
      <c r="L5917">
        <f>B5917-J5917</f>
        <v/>
      </c>
      <c r="M5917">
        <f>IF(K5917&gt;0,IF(L5917/K5917&gt;=Assumptions!$B$37,1,0),0)</f>
        <v/>
      </c>
      <c r="N5917">
        <f>K5917+M5917*Assumptions!$B$153</f>
        <v/>
      </c>
      <c r="O5917">
        <f>L5917+M5917*Assumptions!$B$153*Assumptions!$B$37</f>
        <v/>
      </c>
      <c r="P5917">
        <f>IF(N5917&gt;0,O5917/N5917,0)</f>
        <v/>
      </c>
      <c r="Q5917">
        <f>IF(C5917=1,P5917*$J$682,Assumptions!$B$41)</f>
        <v/>
      </c>
      <c r="R5917">
        <f>IF(D5917=1,P5917*$F$682,Assumptions!$B$33)</f>
        <v/>
      </c>
      <c r="S5917">
        <f>IF(E5917=1,P5917*$G$682,Assumptions!$B$32)</f>
        <v/>
      </c>
      <c r="T5917">
        <f>IF(F5917=1,P5917*Assumptions!$B$14,Assumptions!$B$31)</f>
        <v/>
      </c>
      <c r="U5917">
        <f>IF(G5917=1,P5917*Assumptions!$B$13,Assumptions!$B$30)</f>
        <v/>
      </c>
      <c r="V5917">
        <f>IF(H5917=1,P5917*Assumptions!$B$12,Assumptions!$B$29)</f>
        <v/>
      </c>
      <c r="W5917">
        <f>IF(I5917=1,P5917*Assumptions!$B$11,Assumptions!$B$28)</f>
        <v/>
      </c>
      <c r="X5917">
        <f>P5917*($O$682+$S$682)</f>
        <v/>
      </c>
      <c r="Y5917">
        <f>P5917*Assumptions!$B$9</f>
        <v/>
      </c>
      <c r="Z5917">
        <f>IF(M5917=1,(P5917-Assumptions!$B$37)*Assumptions!$B$153,0)</f>
        <v/>
      </c>
      <c r="AA5917">
        <f>Q5917+R5917+S5917+T5917+U5917+V5917+W5917+X5917+Y5917+Z5917</f>
        <v/>
      </c>
      <c r="AB5917" t="n">
        <v>21</v>
      </c>
      <c r="AC5917" t="n">
        <v>85</v>
      </c>
      <c r="AD5917" t="n">
        <v>53</v>
      </c>
      <c r="AE5917" t="n">
        <v>5</v>
      </c>
      <c r="AF5917" t="n">
        <v>29</v>
      </c>
      <c r="AG5917" t="n">
        <v>17</v>
      </c>
      <c r="AH5917" t="n">
        <v>23</v>
      </c>
      <c r="AI5917" t="n">
        <v>20</v>
      </c>
      <c r="AJ5917">
        <f>INDEX($Q$5896:$Q$6023,AC5917+1)</f>
        <v/>
      </c>
      <c r="AK5917">
        <f>INDEX($R$5896:$R$6023,AD5917+1)</f>
        <v/>
      </c>
      <c r="AL5917">
        <f>INDEX($S$5896:$S$6023,AE5917+1)</f>
        <v/>
      </c>
      <c r="AM5917">
        <f>INDEX($T$5896:$T$6023,AF5917+1)</f>
        <v/>
      </c>
      <c r="AN5917">
        <f>INDEX($U$5896:$U$6023,AG5917+1)</f>
        <v/>
      </c>
      <c r="AO5917">
        <f>INDEX($V$5896:$V$6023,AH5917+1)</f>
        <v/>
      </c>
      <c r="AP5917">
        <f>INDEX($W$5896:$W$6023,AI5917+1)</f>
        <v/>
      </c>
      <c r="AQ5917">
        <f>IF(Q5917&gt;=AJ5917-0.01,1,0)</f>
        <v/>
      </c>
      <c r="AR5917">
        <f>IF(R5917&gt;=AK5917-0.01,1,0)</f>
        <v/>
      </c>
      <c r="AS5917">
        <f>IF(S5917&gt;=AL5917-0.01,1,0)</f>
        <v/>
      </c>
      <c r="AT5917">
        <f>IF(T5917&gt;=AM5917-0.01,1,0)</f>
        <v/>
      </c>
      <c r="AU5917">
        <f>IF(U5917&gt;=AN5917-0.01,1,0)</f>
        <v/>
      </c>
      <c r="AV5917">
        <f>IF(V5917&gt;=AO5917-0.01,1,0)</f>
        <v/>
      </c>
      <c r="AW5917">
        <f>IF(W5917&gt;=AP5917-0.01,1,0)</f>
        <v/>
      </c>
      <c r="AX5917">
        <f>AQ5917*AR5917*AS5917*AT5917*AU5917*AV5917*AW5917</f>
        <v/>
      </c>
    </row>
    <row r="5918">
      <c r="A5918" t="inlineStr"/>
      <c r="B5918">
        <f>Assumptions!$B$60</f>
        <v/>
      </c>
      <c r="C5918" t="n">
        <v>0</v>
      </c>
      <c r="D5918" t="n">
        <v>0</v>
      </c>
      <c r="E5918" t="n">
        <v>1</v>
      </c>
      <c r="F5918" t="n">
        <v>0</v>
      </c>
      <c r="G5918" t="n">
        <v>1</v>
      </c>
      <c r="H5918" t="n">
        <v>1</v>
      </c>
      <c r="I5918" t="n">
        <v>0</v>
      </c>
      <c r="J5918">
        <f>(1-C5918)*Assumptions!$B$41+(1-D5918)*Assumptions!$B$33+(1-E5918)*Assumptions!$B$32+(1-F5918)*Assumptions!$B$31+(1-G5918)*Assumptions!$B$30+(1-H5918)*Assumptions!$B$29+(1-I5918)*Assumptions!$B$28</f>
        <v/>
      </c>
      <c r="K5918">
        <f>C5918*$J$682+D5918*$F$682+E5918*$G$682+F5918*Assumptions!$B$14+G5918*Assumptions!$B$13+H5918*Assumptions!$B$12+I5918*Assumptions!$B$11+$O$682+$S$682+Assumptions!$B$9</f>
        <v/>
      </c>
      <c r="L5918">
        <f>B5918-J5918</f>
        <v/>
      </c>
      <c r="M5918">
        <f>IF(K5918&gt;0,IF(L5918/K5918&gt;=Assumptions!$B$37,1,0),0)</f>
        <v/>
      </c>
      <c r="N5918">
        <f>K5918+M5918*Assumptions!$B$153</f>
        <v/>
      </c>
      <c r="O5918">
        <f>L5918+M5918*Assumptions!$B$153*Assumptions!$B$37</f>
        <v/>
      </c>
      <c r="P5918">
        <f>IF(N5918&gt;0,O5918/N5918,0)</f>
        <v/>
      </c>
      <c r="Q5918">
        <f>IF(C5918=1,P5918*$J$682,Assumptions!$B$41)</f>
        <v/>
      </c>
      <c r="R5918">
        <f>IF(D5918=1,P5918*$F$682,Assumptions!$B$33)</f>
        <v/>
      </c>
      <c r="S5918">
        <f>IF(E5918=1,P5918*$G$682,Assumptions!$B$32)</f>
        <v/>
      </c>
      <c r="T5918">
        <f>IF(F5918=1,P5918*Assumptions!$B$14,Assumptions!$B$31)</f>
        <v/>
      </c>
      <c r="U5918">
        <f>IF(G5918=1,P5918*Assumptions!$B$13,Assumptions!$B$30)</f>
        <v/>
      </c>
      <c r="V5918">
        <f>IF(H5918=1,P5918*Assumptions!$B$12,Assumptions!$B$29)</f>
        <v/>
      </c>
      <c r="W5918">
        <f>IF(I5918=1,P5918*Assumptions!$B$11,Assumptions!$B$28)</f>
        <v/>
      </c>
      <c r="X5918">
        <f>P5918*($O$682+$S$682)</f>
        <v/>
      </c>
      <c r="Y5918">
        <f>P5918*Assumptions!$B$9</f>
        <v/>
      </c>
      <c r="Z5918">
        <f>IF(M5918=1,(P5918-Assumptions!$B$37)*Assumptions!$B$153,0)</f>
        <v/>
      </c>
      <c r="AA5918">
        <f>Q5918+R5918+S5918+T5918+U5918+V5918+W5918+X5918+Y5918+Z5918</f>
        <v/>
      </c>
      <c r="AB5918" t="n">
        <v>22</v>
      </c>
      <c r="AC5918" t="n">
        <v>86</v>
      </c>
      <c r="AD5918" t="n">
        <v>54</v>
      </c>
      <c r="AE5918" t="n">
        <v>6</v>
      </c>
      <c r="AF5918" t="n">
        <v>30</v>
      </c>
      <c r="AG5918" t="n">
        <v>18</v>
      </c>
      <c r="AH5918" t="n">
        <v>20</v>
      </c>
      <c r="AI5918" t="n">
        <v>23</v>
      </c>
      <c r="AJ5918">
        <f>INDEX($Q$5896:$Q$6023,AC5918+1)</f>
        <v/>
      </c>
      <c r="AK5918">
        <f>INDEX($R$5896:$R$6023,AD5918+1)</f>
        <v/>
      </c>
      <c r="AL5918">
        <f>INDEX($S$5896:$S$6023,AE5918+1)</f>
        <v/>
      </c>
      <c r="AM5918">
        <f>INDEX($T$5896:$T$6023,AF5918+1)</f>
        <v/>
      </c>
      <c r="AN5918">
        <f>INDEX($U$5896:$U$6023,AG5918+1)</f>
        <v/>
      </c>
      <c r="AO5918">
        <f>INDEX($V$5896:$V$6023,AH5918+1)</f>
        <v/>
      </c>
      <c r="AP5918">
        <f>INDEX($W$5896:$W$6023,AI5918+1)</f>
        <v/>
      </c>
      <c r="AQ5918">
        <f>IF(Q5918&gt;=AJ5918-0.01,1,0)</f>
        <v/>
      </c>
      <c r="AR5918">
        <f>IF(R5918&gt;=AK5918-0.01,1,0)</f>
        <v/>
      </c>
      <c r="AS5918">
        <f>IF(S5918&gt;=AL5918-0.01,1,0)</f>
        <v/>
      </c>
      <c r="AT5918">
        <f>IF(T5918&gt;=AM5918-0.01,1,0)</f>
        <v/>
      </c>
      <c r="AU5918">
        <f>IF(U5918&gt;=AN5918-0.01,1,0)</f>
        <v/>
      </c>
      <c r="AV5918">
        <f>IF(V5918&gt;=AO5918-0.01,1,0)</f>
        <v/>
      </c>
      <c r="AW5918">
        <f>IF(W5918&gt;=AP5918-0.01,1,0)</f>
        <v/>
      </c>
      <c r="AX5918">
        <f>AQ5918*AR5918*AS5918*AT5918*AU5918*AV5918*AW5918</f>
        <v/>
      </c>
    </row>
    <row r="5919">
      <c r="A5919" t="inlineStr"/>
      <c r="B5919">
        <f>Assumptions!$B$60</f>
        <v/>
      </c>
      <c r="C5919" t="n">
        <v>0</v>
      </c>
      <c r="D5919" t="n">
        <v>0</v>
      </c>
      <c r="E5919" t="n">
        <v>1</v>
      </c>
      <c r="F5919" t="n">
        <v>0</v>
      </c>
      <c r="G5919" t="n">
        <v>1</v>
      </c>
      <c r="H5919" t="n">
        <v>1</v>
      </c>
      <c r="I5919" t="n">
        <v>1</v>
      </c>
      <c r="J5919">
        <f>(1-C5919)*Assumptions!$B$41+(1-D5919)*Assumptions!$B$33+(1-E5919)*Assumptions!$B$32+(1-F5919)*Assumptions!$B$31+(1-G5919)*Assumptions!$B$30+(1-H5919)*Assumptions!$B$29+(1-I5919)*Assumptions!$B$28</f>
        <v/>
      </c>
      <c r="K5919">
        <f>C5919*$J$682+D5919*$F$682+E5919*$G$682+F5919*Assumptions!$B$14+G5919*Assumptions!$B$13+H5919*Assumptions!$B$12+I5919*Assumptions!$B$11+$O$682+$S$682+Assumptions!$B$9</f>
        <v/>
      </c>
      <c r="L5919">
        <f>B5919-J5919</f>
        <v/>
      </c>
      <c r="M5919">
        <f>IF(K5919&gt;0,IF(L5919/K5919&gt;=Assumptions!$B$37,1,0),0)</f>
        <v/>
      </c>
      <c r="N5919">
        <f>K5919+M5919*Assumptions!$B$153</f>
        <v/>
      </c>
      <c r="O5919">
        <f>L5919+M5919*Assumptions!$B$153*Assumptions!$B$37</f>
        <v/>
      </c>
      <c r="P5919">
        <f>IF(N5919&gt;0,O5919/N5919,0)</f>
        <v/>
      </c>
      <c r="Q5919">
        <f>IF(C5919=1,P5919*$J$682,Assumptions!$B$41)</f>
        <v/>
      </c>
      <c r="R5919">
        <f>IF(D5919=1,P5919*$F$682,Assumptions!$B$33)</f>
        <v/>
      </c>
      <c r="S5919">
        <f>IF(E5919=1,P5919*$G$682,Assumptions!$B$32)</f>
        <v/>
      </c>
      <c r="T5919">
        <f>IF(F5919=1,P5919*Assumptions!$B$14,Assumptions!$B$31)</f>
        <v/>
      </c>
      <c r="U5919">
        <f>IF(G5919=1,P5919*Assumptions!$B$13,Assumptions!$B$30)</f>
        <v/>
      </c>
      <c r="V5919">
        <f>IF(H5919=1,P5919*Assumptions!$B$12,Assumptions!$B$29)</f>
        <v/>
      </c>
      <c r="W5919">
        <f>IF(I5919=1,P5919*Assumptions!$B$11,Assumptions!$B$28)</f>
        <v/>
      </c>
      <c r="X5919">
        <f>P5919*($O$682+$S$682)</f>
        <v/>
      </c>
      <c r="Y5919">
        <f>P5919*Assumptions!$B$9</f>
        <v/>
      </c>
      <c r="Z5919">
        <f>IF(M5919=1,(P5919-Assumptions!$B$37)*Assumptions!$B$153,0)</f>
        <v/>
      </c>
      <c r="AA5919">
        <f>Q5919+R5919+S5919+T5919+U5919+V5919+W5919+X5919+Y5919+Z5919</f>
        <v/>
      </c>
      <c r="AB5919" t="n">
        <v>23</v>
      </c>
      <c r="AC5919" t="n">
        <v>87</v>
      </c>
      <c r="AD5919" t="n">
        <v>55</v>
      </c>
      <c r="AE5919" t="n">
        <v>7</v>
      </c>
      <c r="AF5919" t="n">
        <v>31</v>
      </c>
      <c r="AG5919" t="n">
        <v>19</v>
      </c>
      <c r="AH5919" t="n">
        <v>21</v>
      </c>
      <c r="AI5919" t="n">
        <v>22</v>
      </c>
      <c r="AJ5919">
        <f>INDEX($Q$5896:$Q$6023,AC5919+1)</f>
        <v/>
      </c>
      <c r="AK5919">
        <f>INDEX($R$5896:$R$6023,AD5919+1)</f>
        <v/>
      </c>
      <c r="AL5919">
        <f>INDEX($S$5896:$S$6023,AE5919+1)</f>
        <v/>
      </c>
      <c r="AM5919">
        <f>INDEX($T$5896:$T$6023,AF5919+1)</f>
        <v/>
      </c>
      <c r="AN5919">
        <f>INDEX($U$5896:$U$6023,AG5919+1)</f>
        <v/>
      </c>
      <c r="AO5919">
        <f>INDEX($V$5896:$V$6023,AH5919+1)</f>
        <v/>
      </c>
      <c r="AP5919">
        <f>INDEX($W$5896:$W$6023,AI5919+1)</f>
        <v/>
      </c>
      <c r="AQ5919">
        <f>IF(Q5919&gt;=AJ5919-0.01,1,0)</f>
        <v/>
      </c>
      <c r="AR5919">
        <f>IF(R5919&gt;=AK5919-0.01,1,0)</f>
        <v/>
      </c>
      <c r="AS5919">
        <f>IF(S5919&gt;=AL5919-0.01,1,0)</f>
        <v/>
      </c>
      <c r="AT5919">
        <f>IF(T5919&gt;=AM5919-0.01,1,0)</f>
        <v/>
      </c>
      <c r="AU5919">
        <f>IF(U5919&gt;=AN5919-0.01,1,0)</f>
        <v/>
      </c>
      <c r="AV5919">
        <f>IF(V5919&gt;=AO5919-0.01,1,0)</f>
        <v/>
      </c>
      <c r="AW5919">
        <f>IF(W5919&gt;=AP5919-0.01,1,0)</f>
        <v/>
      </c>
      <c r="AX5919">
        <f>AQ5919*AR5919*AS5919*AT5919*AU5919*AV5919*AW5919</f>
        <v/>
      </c>
    </row>
    <row r="5920">
      <c r="A5920" t="inlineStr"/>
      <c r="B5920">
        <f>Assumptions!$B$60</f>
        <v/>
      </c>
      <c r="C5920" t="n">
        <v>0</v>
      </c>
      <c r="D5920" t="n">
        <v>0</v>
      </c>
      <c r="E5920" t="n">
        <v>1</v>
      </c>
      <c r="F5920" t="n">
        <v>1</v>
      </c>
      <c r="G5920" t="n">
        <v>0</v>
      </c>
      <c r="H5920" t="n">
        <v>0</v>
      </c>
      <c r="I5920" t="n">
        <v>0</v>
      </c>
      <c r="J5920">
        <f>(1-C5920)*Assumptions!$B$41+(1-D5920)*Assumptions!$B$33+(1-E5920)*Assumptions!$B$32+(1-F5920)*Assumptions!$B$31+(1-G5920)*Assumptions!$B$30+(1-H5920)*Assumptions!$B$29+(1-I5920)*Assumptions!$B$28</f>
        <v/>
      </c>
      <c r="K5920">
        <f>C5920*$J$682+D5920*$F$682+E5920*$G$682+F5920*Assumptions!$B$14+G5920*Assumptions!$B$13+H5920*Assumptions!$B$12+I5920*Assumptions!$B$11+$O$682+$S$682+Assumptions!$B$9</f>
        <v/>
      </c>
      <c r="L5920">
        <f>B5920-J5920</f>
        <v/>
      </c>
      <c r="M5920">
        <f>IF(K5920&gt;0,IF(L5920/K5920&gt;=Assumptions!$B$37,1,0),0)</f>
        <v/>
      </c>
      <c r="N5920">
        <f>K5920+M5920*Assumptions!$B$153</f>
        <v/>
      </c>
      <c r="O5920">
        <f>L5920+M5920*Assumptions!$B$153*Assumptions!$B$37</f>
        <v/>
      </c>
      <c r="P5920">
        <f>IF(N5920&gt;0,O5920/N5920,0)</f>
        <v/>
      </c>
      <c r="Q5920">
        <f>IF(C5920=1,P5920*$J$682,Assumptions!$B$41)</f>
        <v/>
      </c>
      <c r="R5920">
        <f>IF(D5920=1,P5920*$F$682,Assumptions!$B$33)</f>
        <v/>
      </c>
      <c r="S5920">
        <f>IF(E5920=1,P5920*$G$682,Assumptions!$B$32)</f>
        <v/>
      </c>
      <c r="T5920">
        <f>IF(F5920=1,P5920*Assumptions!$B$14,Assumptions!$B$31)</f>
        <v/>
      </c>
      <c r="U5920">
        <f>IF(G5920=1,P5920*Assumptions!$B$13,Assumptions!$B$30)</f>
        <v/>
      </c>
      <c r="V5920">
        <f>IF(H5920=1,P5920*Assumptions!$B$12,Assumptions!$B$29)</f>
        <v/>
      </c>
      <c r="W5920">
        <f>IF(I5920=1,P5920*Assumptions!$B$11,Assumptions!$B$28)</f>
        <v/>
      </c>
      <c r="X5920">
        <f>P5920*($O$682+$S$682)</f>
        <v/>
      </c>
      <c r="Y5920">
        <f>P5920*Assumptions!$B$9</f>
        <v/>
      </c>
      <c r="Z5920">
        <f>IF(M5920=1,(P5920-Assumptions!$B$37)*Assumptions!$B$153,0)</f>
        <v/>
      </c>
      <c r="AA5920">
        <f>Q5920+R5920+S5920+T5920+U5920+V5920+W5920+X5920+Y5920+Z5920</f>
        <v/>
      </c>
      <c r="AB5920" t="n">
        <v>24</v>
      </c>
      <c r="AC5920" t="n">
        <v>88</v>
      </c>
      <c r="AD5920" t="n">
        <v>56</v>
      </c>
      <c r="AE5920" t="n">
        <v>8</v>
      </c>
      <c r="AF5920" t="n">
        <v>16</v>
      </c>
      <c r="AG5920" t="n">
        <v>28</v>
      </c>
      <c r="AH5920" t="n">
        <v>26</v>
      </c>
      <c r="AI5920" t="n">
        <v>25</v>
      </c>
      <c r="AJ5920">
        <f>INDEX($Q$5896:$Q$6023,AC5920+1)</f>
        <v/>
      </c>
      <c r="AK5920">
        <f>INDEX($R$5896:$R$6023,AD5920+1)</f>
        <v/>
      </c>
      <c r="AL5920">
        <f>INDEX($S$5896:$S$6023,AE5920+1)</f>
        <v/>
      </c>
      <c r="AM5920">
        <f>INDEX($T$5896:$T$6023,AF5920+1)</f>
        <v/>
      </c>
      <c r="AN5920">
        <f>INDEX($U$5896:$U$6023,AG5920+1)</f>
        <v/>
      </c>
      <c r="AO5920">
        <f>INDEX($V$5896:$V$6023,AH5920+1)</f>
        <v/>
      </c>
      <c r="AP5920">
        <f>INDEX($W$5896:$W$6023,AI5920+1)</f>
        <v/>
      </c>
      <c r="AQ5920">
        <f>IF(Q5920&gt;=AJ5920-0.01,1,0)</f>
        <v/>
      </c>
      <c r="AR5920">
        <f>IF(R5920&gt;=AK5920-0.01,1,0)</f>
        <v/>
      </c>
      <c r="AS5920">
        <f>IF(S5920&gt;=AL5920-0.01,1,0)</f>
        <v/>
      </c>
      <c r="AT5920">
        <f>IF(T5920&gt;=AM5920-0.01,1,0)</f>
        <v/>
      </c>
      <c r="AU5920">
        <f>IF(U5920&gt;=AN5920-0.01,1,0)</f>
        <v/>
      </c>
      <c r="AV5920">
        <f>IF(V5920&gt;=AO5920-0.01,1,0)</f>
        <v/>
      </c>
      <c r="AW5920">
        <f>IF(W5920&gt;=AP5920-0.01,1,0)</f>
        <v/>
      </c>
      <c r="AX5920">
        <f>AQ5920*AR5920*AS5920*AT5920*AU5920*AV5920*AW5920</f>
        <v/>
      </c>
    </row>
    <row r="5921">
      <c r="A5921" t="inlineStr"/>
      <c r="B5921">
        <f>Assumptions!$B$60</f>
        <v/>
      </c>
      <c r="C5921" t="n">
        <v>0</v>
      </c>
      <c r="D5921" t="n">
        <v>0</v>
      </c>
      <c r="E5921" t="n">
        <v>1</v>
      </c>
      <c r="F5921" t="n">
        <v>1</v>
      </c>
      <c r="G5921" t="n">
        <v>0</v>
      </c>
      <c r="H5921" t="n">
        <v>0</v>
      </c>
      <c r="I5921" t="n">
        <v>1</v>
      </c>
      <c r="J5921">
        <f>(1-C5921)*Assumptions!$B$41+(1-D5921)*Assumptions!$B$33+(1-E5921)*Assumptions!$B$32+(1-F5921)*Assumptions!$B$31+(1-G5921)*Assumptions!$B$30+(1-H5921)*Assumptions!$B$29+(1-I5921)*Assumptions!$B$28</f>
        <v/>
      </c>
      <c r="K5921">
        <f>C5921*$J$682+D5921*$F$682+E5921*$G$682+F5921*Assumptions!$B$14+G5921*Assumptions!$B$13+H5921*Assumptions!$B$12+I5921*Assumptions!$B$11+$O$682+$S$682+Assumptions!$B$9</f>
        <v/>
      </c>
      <c r="L5921">
        <f>B5921-J5921</f>
        <v/>
      </c>
      <c r="M5921">
        <f>IF(K5921&gt;0,IF(L5921/K5921&gt;=Assumptions!$B$37,1,0),0)</f>
        <v/>
      </c>
      <c r="N5921">
        <f>K5921+M5921*Assumptions!$B$153</f>
        <v/>
      </c>
      <c r="O5921">
        <f>L5921+M5921*Assumptions!$B$153*Assumptions!$B$37</f>
        <v/>
      </c>
      <c r="P5921">
        <f>IF(N5921&gt;0,O5921/N5921,0)</f>
        <v/>
      </c>
      <c r="Q5921">
        <f>IF(C5921=1,P5921*$J$682,Assumptions!$B$41)</f>
        <v/>
      </c>
      <c r="R5921">
        <f>IF(D5921=1,P5921*$F$682,Assumptions!$B$33)</f>
        <v/>
      </c>
      <c r="S5921">
        <f>IF(E5921=1,P5921*$G$682,Assumptions!$B$32)</f>
        <v/>
      </c>
      <c r="T5921">
        <f>IF(F5921=1,P5921*Assumptions!$B$14,Assumptions!$B$31)</f>
        <v/>
      </c>
      <c r="U5921">
        <f>IF(G5921=1,P5921*Assumptions!$B$13,Assumptions!$B$30)</f>
        <v/>
      </c>
      <c r="V5921">
        <f>IF(H5921=1,P5921*Assumptions!$B$12,Assumptions!$B$29)</f>
        <v/>
      </c>
      <c r="W5921">
        <f>IF(I5921=1,P5921*Assumptions!$B$11,Assumptions!$B$28)</f>
        <v/>
      </c>
      <c r="X5921">
        <f>P5921*($O$682+$S$682)</f>
        <v/>
      </c>
      <c r="Y5921">
        <f>P5921*Assumptions!$B$9</f>
        <v/>
      </c>
      <c r="Z5921">
        <f>IF(M5921=1,(P5921-Assumptions!$B$37)*Assumptions!$B$153,0)</f>
        <v/>
      </c>
      <c r="AA5921">
        <f>Q5921+R5921+S5921+T5921+U5921+V5921+W5921+X5921+Y5921+Z5921</f>
        <v/>
      </c>
      <c r="AB5921" t="n">
        <v>25</v>
      </c>
      <c r="AC5921" t="n">
        <v>89</v>
      </c>
      <c r="AD5921" t="n">
        <v>57</v>
      </c>
      <c r="AE5921" t="n">
        <v>9</v>
      </c>
      <c r="AF5921" t="n">
        <v>17</v>
      </c>
      <c r="AG5921" t="n">
        <v>29</v>
      </c>
      <c r="AH5921" t="n">
        <v>27</v>
      </c>
      <c r="AI5921" t="n">
        <v>24</v>
      </c>
      <c r="AJ5921">
        <f>INDEX($Q$5896:$Q$6023,AC5921+1)</f>
        <v/>
      </c>
      <c r="AK5921">
        <f>INDEX($R$5896:$R$6023,AD5921+1)</f>
        <v/>
      </c>
      <c r="AL5921">
        <f>INDEX($S$5896:$S$6023,AE5921+1)</f>
        <v/>
      </c>
      <c r="AM5921">
        <f>INDEX($T$5896:$T$6023,AF5921+1)</f>
        <v/>
      </c>
      <c r="AN5921">
        <f>INDEX($U$5896:$U$6023,AG5921+1)</f>
        <v/>
      </c>
      <c r="AO5921">
        <f>INDEX($V$5896:$V$6023,AH5921+1)</f>
        <v/>
      </c>
      <c r="AP5921">
        <f>INDEX($W$5896:$W$6023,AI5921+1)</f>
        <v/>
      </c>
      <c r="AQ5921">
        <f>IF(Q5921&gt;=AJ5921-0.01,1,0)</f>
        <v/>
      </c>
      <c r="AR5921">
        <f>IF(R5921&gt;=AK5921-0.01,1,0)</f>
        <v/>
      </c>
      <c r="AS5921">
        <f>IF(S5921&gt;=AL5921-0.01,1,0)</f>
        <v/>
      </c>
      <c r="AT5921">
        <f>IF(T5921&gt;=AM5921-0.01,1,0)</f>
        <v/>
      </c>
      <c r="AU5921">
        <f>IF(U5921&gt;=AN5921-0.01,1,0)</f>
        <v/>
      </c>
      <c r="AV5921">
        <f>IF(V5921&gt;=AO5921-0.01,1,0)</f>
        <v/>
      </c>
      <c r="AW5921">
        <f>IF(W5921&gt;=AP5921-0.01,1,0)</f>
        <v/>
      </c>
      <c r="AX5921">
        <f>AQ5921*AR5921*AS5921*AT5921*AU5921*AV5921*AW5921</f>
        <v/>
      </c>
    </row>
    <row r="5922">
      <c r="A5922" t="inlineStr"/>
      <c r="B5922">
        <f>Assumptions!$B$60</f>
        <v/>
      </c>
      <c r="C5922" t="n">
        <v>0</v>
      </c>
      <c r="D5922" t="n">
        <v>0</v>
      </c>
      <c r="E5922" t="n">
        <v>1</v>
      </c>
      <c r="F5922" t="n">
        <v>1</v>
      </c>
      <c r="G5922" t="n">
        <v>0</v>
      </c>
      <c r="H5922" t="n">
        <v>1</v>
      </c>
      <c r="I5922" t="n">
        <v>0</v>
      </c>
      <c r="J5922">
        <f>(1-C5922)*Assumptions!$B$41+(1-D5922)*Assumptions!$B$33+(1-E5922)*Assumptions!$B$32+(1-F5922)*Assumptions!$B$31+(1-G5922)*Assumptions!$B$30+(1-H5922)*Assumptions!$B$29+(1-I5922)*Assumptions!$B$28</f>
        <v/>
      </c>
      <c r="K5922">
        <f>C5922*$J$682+D5922*$F$682+E5922*$G$682+F5922*Assumptions!$B$14+G5922*Assumptions!$B$13+H5922*Assumptions!$B$12+I5922*Assumptions!$B$11+$O$682+$S$682+Assumptions!$B$9</f>
        <v/>
      </c>
      <c r="L5922">
        <f>B5922-J5922</f>
        <v/>
      </c>
      <c r="M5922">
        <f>IF(K5922&gt;0,IF(L5922/K5922&gt;=Assumptions!$B$37,1,0),0)</f>
        <v/>
      </c>
      <c r="N5922">
        <f>K5922+M5922*Assumptions!$B$153</f>
        <v/>
      </c>
      <c r="O5922">
        <f>L5922+M5922*Assumptions!$B$153*Assumptions!$B$37</f>
        <v/>
      </c>
      <c r="P5922">
        <f>IF(N5922&gt;0,O5922/N5922,0)</f>
        <v/>
      </c>
      <c r="Q5922">
        <f>IF(C5922=1,P5922*$J$682,Assumptions!$B$41)</f>
        <v/>
      </c>
      <c r="R5922">
        <f>IF(D5922=1,P5922*$F$682,Assumptions!$B$33)</f>
        <v/>
      </c>
      <c r="S5922">
        <f>IF(E5922=1,P5922*$G$682,Assumptions!$B$32)</f>
        <v/>
      </c>
      <c r="T5922">
        <f>IF(F5922=1,P5922*Assumptions!$B$14,Assumptions!$B$31)</f>
        <v/>
      </c>
      <c r="U5922">
        <f>IF(G5922=1,P5922*Assumptions!$B$13,Assumptions!$B$30)</f>
        <v/>
      </c>
      <c r="V5922">
        <f>IF(H5922=1,P5922*Assumptions!$B$12,Assumptions!$B$29)</f>
        <v/>
      </c>
      <c r="W5922">
        <f>IF(I5922=1,P5922*Assumptions!$B$11,Assumptions!$B$28)</f>
        <v/>
      </c>
      <c r="X5922">
        <f>P5922*($O$682+$S$682)</f>
        <v/>
      </c>
      <c r="Y5922">
        <f>P5922*Assumptions!$B$9</f>
        <v/>
      </c>
      <c r="Z5922">
        <f>IF(M5922=1,(P5922-Assumptions!$B$37)*Assumptions!$B$153,0)</f>
        <v/>
      </c>
      <c r="AA5922">
        <f>Q5922+R5922+S5922+T5922+U5922+V5922+W5922+X5922+Y5922+Z5922</f>
        <v/>
      </c>
      <c r="AB5922" t="n">
        <v>26</v>
      </c>
      <c r="AC5922" t="n">
        <v>90</v>
      </c>
      <c r="AD5922" t="n">
        <v>58</v>
      </c>
      <c r="AE5922" t="n">
        <v>10</v>
      </c>
      <c r="AF5922" t="n">
        <v>18</v>
      </c>
      <c r="AG5922" t="n">
        <v>30</v>
      </c>
      <c r="AH5922" t="n">
        <v>24</v>
      </c>
      <c r="AI5922" t="n">
        <v>27</v>
      </c>
      <c r="AJ5922">
        <f>INDEX($Q$5896:$Q$6023,AC5922+1)</f>
        <v/>
      </c>
      <c r="AK5922">
        <f>INDEX($R$5896:$R$6023,AD5922+1)</f>
        <v/>
      </c>
      <c r="AL5922">
        <f>INDEX($S$5896:$S$6023,AE5922+1)</f>
        <v/>
      </c>
      <c r="AM5922">
        <f>INDEX($T$5896:$T$6023,AF5922+1)</f>
        <v/>
      </c>
      <c r="AN5922">
        <f>INDEX($U$5896:$U$6023,AG5922+1)</f>
        <v/>
      </c>
      <c r="AO5922">
        <f>INDEX($V$5896:$V$6023,AH5922+1)</f>
        <v/>
      </c>
      <c r="AP5922">
        <f>INDEX($W$5896:$W$6023,AI5922+1)</f>
        <v/>
      </c>
      <c r="AQ5922">
        <f>IF(Q5922&gt;=AJ5922-0.01,1,0)</f>
        <v/>
      </c>
      <c r="AR5922">
        <f>IF(R5922&gt;=AK5922-0.01,1,0)</f>
        <v/>
      </c>
      <c r="AS5922">
        <f>IF(S5922&gt;=AL5922-0.01,1,0)</f>
        <v/>
      </c>
      <c r="AT5922">
        <f>IF(T5922&gt;=AM5922-0.01,1,0)</f>
        <v/>
      </c>
      <c r="AU5922">
        <f>IF(U5922&gt;=AN5922-0.01,1,0)</f>
        <v/>
      </c>
      <c r="AV5922">
        <f>IF(V5922&gt;=AO5922-0.01,1,0)</f>
        <v/>
      </c>
      <c r="AW5922">
        <f>IF(W5922&gt;=AP5922-0.01,1,0)</f>
        <v/>
      </c>
      <c r="AX5922">
        <f>AQ5922*AR5922*AS5922*AT5922*AU5922*AV5922*AW5922</f>
        <v/>
      </c>
    </row>
    <row r="5923">
      <c r="A5923" t="inlineStr"/>
      <c r="B5923">
        <f>Assumptions!$B$60</f>
        <v/>
      </c>
      <c r="C5923" t="n">
        <v>0</v>
      </c>
      <c r="D5923" t="n">
        <v>0</v>
      </c>
      <c r="E5923" t="n">
        <v>1</v>
      </c>
      <c r="F5923" t="n">
        <v>1</v>
      </c>
      <c r="G5923" t="n">
        <v>0</v>
      </c>
      <c r="H5923" t="n">
        <v>1</v>
      </c>
      <c r="I5923" t="n">
        <v>1</v>
      </c>
      <c r="J5923">
        <f>(1-C5923)*Assumptions!$B$41+(1-D5923)*Assumptions!$B$33+(1-E5923)*Assumptions!$B$32+(1-F5923)*Assumptions!$B$31+(1-G5923)*Assumptions!$B$30+(1-H5923)*Assumptions!$B$29+(1-I5923)*Assumptions!$B$28</f>
        <v/>
      </c>
      <c r="K5923">
        <f>C5923*$J$682+D5923*$F$682+E5923*$G$682+F5923*Assumptions!$B$14+G5923*Assumptions!$B$13+H5923*Assumptions!$B$12+I5923*Assumptions!$B$11+$O$682+$S$682+Assumptions!$B$9</f>
        <v/>
      </c>
      <c r="L5923">
        <f>B5923-J5923</f>
        <v/>
      </c>
      <c r="M5923">
        <f>IF(K5923&gt;0,IF(L5923/K5923&gt;=Assumptions!$B$37,1,0),0)</f>
        <v/>
      </c>
      <c r="N5923">
        <f>K5923+M5923*Assumptions!$B$153</f>
        <v/>
      </c>
      <c r="O5923">
        <f>L5923+M5923*Assumptions!$B$153*Assumptions!$B$37</f>
        <v/>
      </c>
      <c r="P5923">
        <f>IF(N5923&gt;0,O5923/N5923,0)</f>
        <v/>
      </c>
      <c r="Q5923">
        <f>IF(C5923=1,P5923*$J$682,Assumptions!$B$41)</f>
        <v/>
      </c>
      <c r="R5923">
        <f>IF(D5923=1,P5923*$F$682,Assumptions!$B$33)</f>
        <v/>
      </c>
      <c r="S5923">
        <f>IF(E5923=1,P5923*$G$682,Assumptions!$B$32)</f>
        <v/>
      </c>
      <c r="T5923">
        <f>IF(F5923=1,P5923*Assumptions!$B$14,Assumptions!$B$31)</f>
        <v/>
      </c>
      <c r="U5923">
        <f>IF(G5923=1,P5923*Assumptions!$B$13,Assumptions!$B$30)</f>
        <v/>
      </c>
      <c r="V5923">
        <f>IF(H5923=1,P5923*Assumptions!$B$12,Assumptions!$B$29)</f>
        <v/>
      </c>
      <c r="W5923">
        <f>IF(I5923=1,P5923*Assumptions!$B$11,Assumptions!$B$28)</f>
        <v/>
      </c>
      <c r="X5923">
        <f>P5923*($O$682+$S$682)</f>
        <v/>
      </c>
      <c r="Y5923">
        <f>P5923*Assumptions!$B$9</f>
        <v/>
      </c>
      <c r="Z5923">
        <f>IF(M5923=1,(P5923-Assumptions!$B$37)*Assumptions!$B$153,0)</f>
        <v/>
      </c>
      <c r="AA5923">
        <f>Q5923+R5923+S5923+T5923+U5923+V5923+W5923+X5923+Y5923+Z5923</f>
        <v/>
      </c>
      <c r="AB5923" t="n">
        <v>27</v>
      </c>
      <c r="AC5923" t="n">
        <v>91</v>
      </c>
      <c r="AD5923" t="n">
        <v>59</v>
      </c>
      <c r="AE5923" t="n">
        <v>11</v>
      </c>
      <c r="AF5923" t="n">
        <v>19</v>
      </c>
      <c r="AG5923" t="n">
        <v>31</v>
      </c>
      <c r="AH5923" t="n">
        <v>25</v>
      </c>
      <c r="AI5923" t="n">
        <v>26</v>
      </c>
      <c r="AJ5923">
        <f>INDEX($Q$5896:$Q$6023,AC5923+1)</f>
        <v/>
      </c>
      <c r="AK5923">
        <f>INDEX($R$5896:$R$6023,AD5923+1)</f>
        <v/>
      </c>
      <c r="AL5923">
        <f>INDEX($S$5896:$S$6023,AE5923+1)</f>
        <v/>
      </c>
      <c r="AM5923">
        <f>INDEX($T$5896:$T$6023,AF5923+1)</f>
        <v/>
      </c>
      <c r="AN5923">
        <f>INDEX($U$5896:$U$6023,AG5923+1)</f>
        <v/>
      </c>
      <c r="AO5923">
        <f>INDEX($V$5896:$V$6023,AH5923+1)</f>
        <v/>
      </c>
      <c r="AP5923">
        <f>INDEX($W$5896:$W$6023,AI5923+1)</f>
        <v/>
      </c>
      <c r="AQ5923">
        <f>IF(Q5923&gt;=AJ5923-0.01,1,0)</f>
        <v/>
      </c>
      <c r="AR5923">
        <f>IF(R5923&gt;=AK5923-0.01,1,0)</f>
        <v/>
      </c>
      <c r="AS5923">
        <f>IF(S5923&gt;=AL5923-0.01,1,0)</f>
        <v/>
      </c>
      <c r="AT5923">
        <f>IF(T5923&gt;=AM5923-0.01,1,0)</f>
        <v/>
      </c>
      <c r="AU5923">
        <f>IF(U5923&gt;=AN5923-0.01,1,0)</f>
        <v/>
      </c>
      <c r="AV5923">
        <f>IF(V5923&gt;=AO5923-0.01,1,0)</f>
        <v/>
      </c>
      <c r="AW5923">
        <f>IF(W5923&gt;=AP5923-0.01,1,0)</f>
        <v/>
      </c>
      <c r="AX5923">
        <f>AQ5923*AR5923*AS5923*AT5923*AU5923*AV5923*AW5923</f>
        <v/>
      </c>
    </row>
    <row r="5924">
      <c r="A5924" t="inlineStr"/>
      <c r="B5924">
        <f>Assumptions!$B$60</f>
        <v/>
      </c>
      <c r="C5924" t="n">
        <v>0</v>
      </c>
      <c r="D5924" t="n">
        <v>0</v>
      </c>
      <c r="E5924" t="n">
        <v>1</v>
      </c>
      <c r="F5924" t="n">
        <v>1</v>
      </c>
      <c r="G5924" t="n">
        <v>1</v>
      </c>
      <c r="H5924" t="n">
        <v>0</v>
      </c>
      <c r="I5924" t="n">
        <v>0</v>
      </c>
      <c r="J5924">
        <f>(1-C5924)*Assumptions!$B$41+(1-D5924)*Assumptions!$B$33+(1-E5924)*Assumptions!$B$32+(1-F5924)*Assumptions!$B$31+(1-G5924)*Assumptions!$B$30+(1-H5924)*Assumptions!$B$29+(1-I5924)*Assumptions!$B$28</f>
        <v/>
      </c>
      <c r="K5924">
        <f>C5924*$J$682+D5924*$F$682+E5924*$G$682+F5924*Assumptions!$B$14+G5924*Assumptions!$B$13+H5924*Assumptions!$B$12+I5924*Assumptions!$B$11+$O$682+$S$682+Assumptions!$B$9</f>
        <v/>
      </c>
      <c r="L5924">
        <f>B5924-J5924</f>
        <v/>
      </c>
      <c r="M5924">
        <f>IF(K5924&gt;0,IF(L5924/K5924&gt;=Assumptions!$B$37,1,0),0)</f>
        <v/>
      </c>
      <c r="N5924">
        <f>K5924+M5924*Assumptions!$B$153</f>
        <v/>
      </c>
      <c r="O5924">
        <f>L5924+M5924*Assumptions!$B$153*Assumptions!$B$37</f>
        <v/>
      </c>
      <c r="P5924">
        <f>IF(N5924&gt;0,O5924/N5924,0)</f>
        <v/>
      </c>
      <c r="Q5924">
        <f>IF(C5924=1,P5924*$J$682,Assumptions!$B$41)</f>
        <v/>
      </c>
      <c r="R5924">
        <f>IF(D5924=1,P5924*$F$682,Assumptions!$B$33)</f>
        <v/>
      </c>
      <c r="S5924">
        <f>IF(E5924=1,P5924*$G$682,Assumptions!$B$32)</f>
        <v/>
      </c>
      <c r="T5924">
        <f>IF(F5924=1,P5924*Assumptions!$B$14,Assumptions!$B$31)</f>
        <v/>
      </c>
      <c r="U5924">
        <f>IF(G5924=1,P5924*Assumptions!$B$13,Assumptions!$B$30)</f>
        <v/>
      </c>
      <c r="V5924">
        <f>IF(H5924=1,P5924*Assumptions!$B$12,Assumptions!$B$29)</f>
        <v/>
      </c>
      <c r="W5924">
        <f>IF(I5924=1,P5924*Assumptions!$B$11,Assumptions!$B$28)</f>
        <v/>
      </c>
      <c r="X5924">
        <f>P5924*($O$682+$S$682)</f>
        <v/>
      </c>
      <c r="Y5924">
        <f>P5924*Assumptions!$B$9</f>
        <v/>
      </c>
      <c r="Z5924">
        <f>IF(M5924=1,(P5924-Assumptions!$B$37)*Assumptions!$B$153,0)</f>
        <v/>
      </c>
      <c r="AA5924">
        <f>Q5924+R5924+S5924+T5924+U5924+V5924+W5924+X5924+Y5924+Z5924</f>
        <v/>
      </c>
      <c r="AB5924" t="n">
        <v>28</v>
      </c>
      <c r="AC5924" t="n">
        <v>92</v>
      </c>
      <c r="AD5924" t="n">
        <v>60</v>
      </c>
      <c r="AE5924" t="n">
        <v>12</v>
      </c>
      <c r="AF5924" t="n">
        <v>20</v>
      </c>
      <c r="AG5924" t="n">
        <v>24</v>
      </c>
      <c r="AH5924" t="n">
        <v>30</v>
      </c>
      <c r="AI5924" t="n">
        <v>29</v>
      </c>
      <c r="AJ5924">
        <f>INDEX($Q$5896:$Q$6023,AC5924+1)</f>
        <v/>
      </c>
      <c r="AK5924">
        <f>INDEX($R$5896:$R$6023,AD5924+1)</f>
        <v/>
      </c>
      <c r="AL5924">
        <f>INDEX($S$5896:$S$6023,AE5924+1)</f>
        <v/>
      </c>
      <c r="AM5924">
        <f>INDEX($T$5896:$T$6023,AF5924+1)</f>
        <v/>
      </c>
      <c r="AN5924">
        <f>INDEX($U$5896:$U$6023,AG5924+1)</f>
        <v/>
      </c>
      <c r="AO5924">
        <f>INDEX($V$5896:$V$6023,AH5924+1)</f>
        <v/>
      </c>
      <c r="AP5924">
        <f>INDEX($W$5896:$W$6023,AI5924+1)</f>
        <v/>
      </c>
      <c r="AQ5924">
        <f>IF(Q5924&gt;=AJ5924-0.01,1,0)</f>
        <v/>
      </c>
      <c r="AR5924">
        <f>IF(R5924&gt;=AK5924-0.01,1,0)</f>
        <v/>
      </c>
      <c r="AS5924">
        <f>IF(S5924&gt;=AL5924-0.01,1,0)</f>
        <v/>
      </c>
      <c r="AT5924">
        <f>IF(T5924&gt;=AM5924-0.01,1,0)</f>
        <v/>
      </c>
      <c r="AU5924">
        <f>IF(U5924&gt;=AN5924-0.01,1,0)</f>
        <v/>
      </c>
      <c r="AV5924">
        <f>IF(V5924&gt;=AO5924-0.01,1,0)</f>
        <v/>
      </c>
      <c r="AW5924">
        <f>IF(W5924&gt;=AP5924-0.01,1,0)</f>
        <v/>
      </c>
      <c r="AX5924">
        <f>AQ5924*AR5924*AS5924*AT5924*AU5924*AV5924*AW5924</f>
        <v/>
      </c>
    </row>
    <row r="5925">
      <c r="A5925" t="inlineStr"/>
      <c r="B5925">
        <f>Assumptions!$B$60</f>
        <v/>
      </c>
      <c r="C5925" t="n">
        <v>0</v>
      </c>
      <c r="D5925" t="n">
        <v>0</v>
      </c>
      <c r="E5925" t="n">
        <v>1</v>
      </c>
      <c r="F5925" t="n">
        <v>1</v>
      </c>
      <c r="G5925" t="n">
        <v>1</v>
      </c>
      <c r="H5925" t="n">
        <v>0</v>
      </c>
      <c r="I5925" t="n">
        <v>1</v>
      </c>
      <c r="J5925">
        <f>(1-C5925)*Assumptions!$B$41+(1-D5925)*Assumptions!$B$33+(1-E5925)*Assumptions!$B$32+(1-F5925)*Assumptions!$B$31+(1-G5925)*Assumptions!$B$30+(1-H5925)*Assumptions!$B$29+(1-I5925)*Assumptions!$B$28</f>
        <v/>
      </c>
      <c r="K5925">
        <f>C5925*$J$682+D5925*$F$682+E5925*$G$682+F5925*Assumptions!$B$14+G5925*Assumptions!$B$13+H5925*Assumptions!$B$12+I5925*Assumptions!$B$11+$O$682+$S$682+Assumptions!$B$9</f>
        <v/>
      </c>
      <c r="L5925">
        <f>B5925-J5925</f>
        <v/>
      </c>
      <c r="M5925">
        <f>IF(K5925&gt;0,IF(L5925/K5925&gt;=Assumptions!$B$37,1,0),0)</f>
        <v/>
      </c>
      <c r="N5925">
        <f>K5925+M5925*Assumptions!$B$153</f>
        <v/>
      </c>
      <c r="O5925">
        <f>L5925+M5925*Assumptions!$B$153*Assumptions!$B$37</f>
        <v/>
      </c>
      <c r="P5925">
        <f>IF(N5925&gt;0,O5925/N5925,0)</f>
        <v/>
      </c>
      <c r="Q5925">
        <f>IF(C5925=1,P5925*$J$682,Assumptions!$B$41)</f>
        <v/>
      </c>
      <c r="R5925">
        <f>IF(D5925=1,P5925*$F$682,Assumptions!$B$33)</f>
        <v/>
      </c>
      <c r="S5925">
        <f>IF(E5925=1,P5925*$G$682,Assumptions!$B$32)</f>
        <v/>
      </c>
      <c r="T5925">
        <f>IF(F5925=1,P5925*Assumptions!$B$14,Assumptions!$B$31)</f>
        <v/>
      </c>
      <c r="U5925">
        <f>IF(G5925=1,P5925*Assumptions!$B$13,Assumptions!$B$30)</f>
        <v/>
      </c>
      <c r="V5925">
        <f>IF(H5925=1,P5925*Assumptions!$B$12,Assumptions!$B$29)</f>
        <v/>
      </c>
      <c r="W5925">
        <f>IF(I5925=1,P5925*Assumptions!$B$11,Assumptions!$B$28)</f>
        <v/>
      </c>
      <c r="X5925">
        <f>P5925*($O$682+$S$682)</f>
        <v/>
      </c>
      <c r="Y5925">
        <f>P5925*Assumptions!$B$9</f>
        <v/>
      </c>
      <c r="Z5925">
        <f>IF(M5925=1,(P5925-Assumptions!$B$37)*Assumptions!$B$153,0)</f>
        <v/>
      </c>
      <c r="AA5925">
        <f>Q5925+R5925+S5925+T5925+U5925+V5925+W5925+X5925+Y5925+Z5925</f>
        <v/>
      </c>
      <c r="AB5925" t="n">
        <v>29</v>
      </c>
      <c r="AC5925" t="n">
        <v>93</v>
      </c>
      <c r="AD5925" t="n">
        <v>61</v>
      </c>
      <c r="AE5925" t="n">
        <v>13</v>
      </c>
      <c r="AF5925" t="n">
        <v>21</v>
      </c>
      <c r="AG5925" t="n">
        <v>25</v>
      </c>
      <c r="AH5925" t="n">
        <v>31</v>
      </c>
      <c r="AI5925" t="n">
        <v>28</v>
      </c>
      <c r="AJ5925">
        <f>INDEX($Q$5896:$Q$6023,AC5925+1)</f>
        <v/>
      </c>
      <c r="AK5925">
        <f>INDEX($R$5896:$R$6023,AD5925+1)</f>
        <v/>
      </c>
      <c r="AL5925">
        <f>INDEX($S$5896:$S$6023,AE5925+1)</f>
        <v/>
      </c>
      <c r="AM5925">
        <f>INDEX($T$5896:$T$6023,AF5925+1)</f>
        <v/>
      </c>
      <c r="AN5925">
        <f>INDEX($U$5896:$U$6023,AG5925+1)</f>
        <v/>
      </c>
      <c r="AO5925">
        <f>INDEX($V$5896:$V$6023,AH5925+1)</f>
        <v/>
      </c>
      <c r="AP5925">
        <f>INDEX($W$5896:$W$6023,AI5925+1)</f>
        <v/>
      </c>
      <c r="AQ5925">
        <f>IF(Q5925&gt;=AJ5925-0.01,1,0)</f>
        <v/>
      </c>
      <c r="AR5925">
        <f>IF(R5925&gt;=AK5925-0.01,1,0)</f>
        <v/>
      </c>
      <c r="AS5925">
        <f>IF(S5925&gt;=AL5925-0.01,1,0)</f>
        <v/>
      </c>
      <c r="AT5925">
        <f>IF(T5925&gt;=AM5925-0.01,1,0)</f>
        <v/>
      </c>
      <c r="AU5925">
        <f>IF(U5925&gt;=AN5925-0.01,1,0)</f>
        <v/>
      </c>
      <c r="AV5925">
        <f>IF(V5925&gt;=AO5925-0.01,1,0)</f>
        <v/>
      </c>
      <c r="AW5925">
        <f>IF(W5925&gt;=AP5925-0.01,1,0)</f>
        <v/>
      </c>
      <c r="AX5925">
        <f>AQ5925*AR5925*AS5925*AT5925*AU5925*AV5925*AW5925</f>
        <v/>
      </c>
    </row>
    <row r="5926">
      <c r="A5926" t="inlineStr"/>
      <c r="B5926">
        <f>Assumptions!$B$60</f>
        <v/>
      </c>
      <c r="C5926" t="n">
        <v>0</v>
      </c>
      <c r="D5926" t="n">
        <v>0</v>
      </c>
      <c r="E5926" t="n">
        <v>1</v>
      </c>
      <c r="F5926" t="n">
        <v>1</v>
      </c>
      <c r="G5926" t="n">
        <v>1</v>
      </c>
      <c r="H5926" t="n">
        <v>1</v>
      </c>
      <c r="I5926" t="n">
        <v>0</v>
      </c>
      <c r="J5926">
        <f>(1-C5926)*Assumptions!$B$41+(1-D5926)*Assumptions!$B$33+(1-E5926)*Assumptions!$B$32+(1-F5926)*Assumptions!$B$31+(1-G5926)*Assumptions!$B$30+(1-H5926)*Assumptions!$B$29+(1-I5926)*Assumptions!$B$28</f>
        <v/>
      </c>
      <c r="K5926">
        <f>C5926*$J$682+D5926*$F$682+E5926*$G$682+F5926*Assumptions!$B$14+G5926*Assumptions!$B$13+H5926*Assumptions!$B$12+I5926*Assumptions!$B$11+$O$682+$S$682+Assumptions!$B$9</f>
        <v/>
      </c>
      <c r="L5926">
        <f>B5926-J5926</f>
        <v/>
      </c>
      <c r="M5926">
        <f>IF(K5926&gt;0,IF(L5926/K5926&gt;=Assumptions!$B$37,1,0),0)</f>
        <v/>
      </c>
      <c r="N5926">
        <f>K5926+M5926*Assumptions!$B$153</f>
        <v/>
      </c>
      <c r="O5926">
        <f>L5926+M5926*Assumptions!$B$153*Assumptions!$B$37</f>
        <v/>
      </c>
      <c r="P5926">
        <f>IF(N5926&gt;0,O5926/N5926,0)</f>
        <v/>
      </c>
      <c r="Q5926">
        <f>IF(C5926=1,P5926*$J$682,Assumptions!$B$41)</f>
        <v/>
      </c>
      <c r="R5926">
        <f>IF(D5926=1,P5926*$F$682,Assumptions!$B$33)</f>
        <v/>
      </c>
      <c r="S5926">
        <f>IF(E5926=1,P5926*$G$682,Assumptions!$B$32)</f>
        <v/>
      </c>
      <c r="T5926">
        <f>IF(F5926=1,P5926*Assumptions!$B$14,Assumptions!$B$31)</f>
        <v/>
      </c>
      <c r="U5926">
        <f>IF(G5926=1,P5926*Assumptions!$B$13,Assumptions!$B$30)</f>
        <v/>
      </c>
      <c r="V5926">
        <f>IF(H5926=1,P5926*Assumptions!$B$12,Assumptions!$B$29)</f>
        <v/>
      </c>
      <c r="W5926">
        <f>IF(I5926=1,P5926*Assumptions!$B$11,Assumptions!$B$28)</f>
        <v/>
      </c>
      <c r="X5926">
        <f>P5926*($O$682+$S$682)</f>
        <v/>
      </c>
      <c r="Y5926">
        <f>P5926*Assumptions!$B$9</f>
        <v/>
      </c>
      <c r="Z5926">
        <f>IF(M5926=1,(P5926-Assumptions!$B$37)*Assumptions!$B$153,0)</f>
        <v/>
      </c>
      <c r="AA5926">
        <f>Q5926+R5926+S5926+T5926+U5926+V5926+W5926+X5926+Y5926+Z5926</f>
        <v/>
      </c>
      <c r="AB5926" t="n">
        <v>30</v>
      </c>
      <c r="AC5926" t="n">
        <v>94</v>
      </c>
      <c r="AD5926" t="n">
        <v>62</v>
      </c>
      <c r="AE5926" t="n">
        <v>14</v>
      </c>
      <c r="AF5926" t="n">
        <v>22</v>
      </c>
      <c r="AG5926" t="n">
        <v>26</v>
      </c>
      <c r="AH5926" t="n">
        <v>28</v>
      </c>
      <c r="AI5926" t="n">
        <v>31</v>
      </c>
      <c r="AJ5926">
        <f>INDEX($Q$5896:$Q$6023,AC5926+1)</f>
        <v/>
      </c>
      <c r="AK5926">
        <f>INDEX($R$5896:$R$6023,AD5926+1)</f>
        <v/>
      </c>
      <c r="AL5926">
        <f>INDEX($S$5896:$S$6023,AE5926+1)</f>
        <v/>
      </c>
      <c r="AM5926">
        <f>INDEX($T$5896:$T$6023,AF5926+1)</f>
        <v/>
      </c>
      <c r="AN5926">
        <f>INDEX($U$5896:$U$6023,AG5926+1)</f>
        <v/>
      </c>
      <c r="AO5926">
        <f>INDEX($V$5896:$V$6023,AH5926+1)</f>
        <v/>
      </c>
      <c r="AP5926">
        <f>INDEX($W$5896:$W$6023,AI5926+1)</f>
        <v/>
      </c>
      <c r="AQ5926">
        <f>IF(Q5926&gt;=AJ5926-0.01,1,0)</f>
        <v/>
      </c>
      <c r="AR5926">
        <f>IF(R5926&gt;=AK5926-0.01,1,0)</f>
        <v/>
      </c>
      <c r="AS5926">
        <f>IF(S5926&gt;=AL5926-0.01,1,0)</f>
        <v/>
      </c>
      <c r="AT5926">
        <f>IF(T5926&gt;=AM5926-0.01,1,0)</f>
        <v/>
      </c>
      <c r="AU5926">
        <f>IF(U5926&gt;=AN5926-0.01,1,0)</f>
        <v/>
      </c>
      <c r="AV5926">
        <f>IF(V5926&gt;=AO5926-0.01,1,0)</f>
        <v/>
      </c>
      <c r="AW5926">
        <f>IF(W5926&gt;=AP5926-0.01,1,0)</f>
        <v/>
      </c>
      <c r="AX5926">
        <f>AQ5926*AR5926*AS5926*AT5926*AU5926*AV5926*AW5926</f>
        <v/>
      </c>
    </row>
    <row r="5927">
      <c r="A5927" t="inlineStr"/>
      <c r="B5927">
        <f>Assumptions!$B$60</f>
        <v/>
      </c>
      <c r="C5927" t="n">
        <v>0</v>
      </c>
      <c r="D5927" t="n">
        <v>0</v>
      </c>
      <c r="E5927" t="n">
        <v>1</v>
      </c>
      <c r="F5927" t="n">
        <v>1</v>
      </c>
      <c r="G5927" t="n">
        <v>1</v>
      </c>
      <c r="H5927" t="n">
        <v>1</v>
      </c>
      <c r="I5927" t="n">
        <v>1</v>
      </c>
      <c r="J5927">
        <f>(1-C5927)*Assumptions!$B$41+(1-D5927)*Assumptions!$B$33+(1-E5927)*Assumptions!$B$32+(1-F5927)*Assumptions!$B$31+(1-G5927)*Assumptions!$B$30+(1-H5927)*Assumptions!$B$29+(1-I5927)*Assumptions!$B$28</f>
        <v/>
      </c>
      <c r="K5927">
        <f>C5927*$J$682+D5927*$F$682+E5927*$G$682+F5927*Assumptions!$B$14+G5927*Assumptions!$B$13+H5927*Assumptions!$B$12+I5927*Assumptions!$B$11+$O$682+$S$682+Assumptions!$B$9</f>
        <v/>
      </c>
      <c r="L5927">
        <f>B5927-J5927</f>
        <v/>
      </c>
      <c r="M5927">
        <f>IF(K5927&gt;0,IF(L5927/K5927&gt;=Assumptions!$B$37,1,0),0)</f>
        <v/>
      </c>
      <c r="N5927">
        <f>K5927+M5927*Assumptions!$B$153</f>
        <v/>
      </c>
      <c r="O5927">
        <f>L5927+M5927*Assumptions!$B$153*Assumptions!$B$37</f>
        <v/>
      </c>
      <c r="P5927">
        <f>IF(N5927&gt;0,O5927/N5927,0)</f>
        <v/>
      </c>
      <c r="Q5927">
        <f>IF(C5927=1,P5927*$J$682,Assumptions!$B$41)</f>
        <v/>
      </c>
      <c r="R5927">
        <f>IF(D5927=1,P5927*$F$682,Assumptions!$B$33)</f>
        <v/>
      </c>
      <c r="S5927">
        <f>IF(E5927=1,P5927*$G$682,Assumptions!$B$32)</f>
        <v/>
      </c>
      <c r="T5927">
        <f>IF(F5927=1,P5927*Assumptions!$B$14,Assumptions!$B$31)</f>
        <v/>
      </c>
      <c r="U5927">
        <f>IF(G5927=1,P5927*Assumptions!$B$13,Assumptions!$B$30)</f>
        <v/>
      </c>
      <c r="V5927">
        <f>IF(H5927=1,P5927*Assumptions!$B$12,Assumptions!$B$29)</f>
        <v/>
      </c>
      <c r="W5927">
        <f>IF(I5927=1,P5927*Assumptions!$B$11,Assumptions!$B$28)</f>
        <v/>
      </c>
      <c r="X5927">
        <f>P5927*($O$682+$S$682)</f>
        <v/>
      </c>
      <c r="Y5927">
        <f>P5927*Assumptions!$B$9</f>
        <v/>
      </c>
      <c r="Z5927">
        <f>IF(M5927=1,(P5927-Assumptions!$B$37)*Assumptions!$B$153,0)</f>
        <v/>
      </c>
      <c r="AA5927">
        <f>Q5927+R5927+S5927+T5927+U5927+V5927+W5927+X5927+Y5927+Z5927</f>
        <v/>
      </c>
      <c r="AB5927" t="n">
        <v>31</v>
      </c>
      <c r="AC5927" t="n">
        <v>95</v>
      </c>
      <c r="AD5927" t="n">
        <v>63</v>
      </c>
      <c r="AE5927" t="n">
        <v>15</v>
      </c>
      <c r="AF5927" t="n">
        <v>23</v>
      </c>
      <c r="AG5927" t="n">
        <v>27</v>
      </c>
      <c r="AH5927" t="n">
        <v>29</v>
      </c>
      <c r="AI5927" t="n">
        <v>30</v>
      </c>
      <c r="AJ5927">
        <f>INDEX($Q$5896:$Q$6023,AC5927+1)</f>
        <v/>
      </c>
      <c r="AK5927">
        <f>INDEX($R$5896:$R$6023,AD5927+1)</f>
        <v/>
      </c>
      <c r="AL5927">
        <f>INDEX($S$5896:$S$6023,AE5927+1)</f>
        <v/>
      </c>
      <c r="AM5927">
        <f>INDEX($T$5896:$T$6023,AF5927+1)</f>
        <v/>
      </c>
      <c r="AN5927">
        <f>INDEX($U$5896:$U$6023,AG5927+1)</f>
        <v/>
      </c>
      <c r="AO5927">
        <f>INDEX($V$5896:$V$6023,AH5927+1)</f>
        <v/>
      </c>
      <c r="AP5927">
        <f>INDEX($W$5896:$W$6023,AI5927+1)</f>
        <v/>
      </c>
      <c r="AQ5927">
        <f>IF(Q5927&gt;=AJ5927-0.01,1,0)</f>
        <v/>
      </c>
      <c r="AR5927">
        <f>IF(R5927&gt;=AK5927-0.01,1,0)</f>
        <v/>
      </c>
      <c r="AS5927">
        <f>IF(S5927&gt;=AL5927-0.01,1,0)</f>
        <v/>
      </c>
      <c r="AT5927">
        <f>IF(T5927&gt;=AM5927-0.01,1,0)</f>
        <v/>
      </c>
      <c r="AU5927">
        <f>IF(U5927&gt;=AN5927-0.01,1,0)</f>
        <v/>
      </c>
      <c r="AV5927">
        <f>IF(V5927&gt;=AO5927-0.01,1,0)</f>
        <v/>
      </c>
      <c r="AW5927">
        <f>IF(W5927&gt;=AP5927-0.01,1,0)</f>
        <v/>
      </c>
      <c r="AX5927">
        <f>AQ5927*AR5927*AS5927*AT5927*AU5927*AV5927*AW5927</f>
        <v/>
      </c>
    </row>
    <row r="5928">
      <c r="A5928" t="inlineStr"/>
      <c r="B5928">
        <f>Assumptions!$B$60</f>
        <v/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>
        <f>(1-C5928)*Assumptions!$B$41+(1-D5928)*Assumptions!$B$33+(1-E5928)*Assumptions!$B$32+(1-F5928)*Assumptions!$B$31+(1-G5928)*Assumptions!$B$30+(1-H5928)*Assumptions!$B$29+(1-I5928)*Assumptions!$B$28</f>
        <v/>
      </c>
      <c r="K5928">
        <f>C5928*$J$682+D5928*$F$682+E5928*$G$682+F5928*Assumptions!$B$14+G5928*Assumptions!$B$13+H5928*Assumptions!$B$12+I5928*Assumptions!$B$11+$O$682+$S$682+Assumptions!$B$9</f>
        <v/>
      </c>
      <c r="L5928">
        <f>B5928-J5928</f>
        <v/>
      </c>
      <c r="M5928">
        <f>IF(K5928&gt;0,IF(L5928/K5928&gt;=Assumptions!$B$37,1,0),0)</f>
        <v/>
      </c>
      <c r="N5928">
        <f>K5928+M5928*Assumptions!$B$153</f>
        <v/>
      </c>
      <c r="O5928">
        <f>L5928+M5928*Assumptions!$B$153*Assumptions!$B$37</f>
        <v/>
      </c>
      <c r="P5928">
        <f>IF(N5928&gt;0,O5928/N5928,0)</f>
        <v/>
      </c>
      <c r="Q5928">
        <f>IF(C5928=1,P5928*$J$682,Assumptions!$B$41)</f>
        <v/>
      </c>
      <c r="R5928">
        <f>IF(D5928=1,P5928*$F$682,Assumptions!$B$33)</f>
        <v/>
      </c>
      <c r="S5928">
        <f>IF(E5928=1,P5928*$G$682,Assumptions!$B$32)</f>
        <v/>
      </c>
      <c r="T5928">
        <f>IF(F5928=1,P5928*Assumptions!$B$14,Assumptions!$B$31)</f>
        <v/>
      </c>
      <c r="U5928">
        <f>IF(G5928=1,P5928*Assumptions!$B$13,Assumptions!$B$30)</f>
        <v/>
      </c>
      <c r="V5928">
        <f>IF(H5928=1,P5928*Assumptions!$B$12,Assumptions!$B$29)</f>
        <v/>
      </c>
      <c r="W5928">
        <f>IF(I5928=1,P5928*Assumptions!$B$11,Assumptions!$B$28)</f>
        <v/>
      </c>
      <c r="X5928">
        <f>P5928*($O$682+$S$682)</f>
        <v/>
      </c>
      <c r="Y5928">
        <f>P5928*Assumptions!$B$9</f>
        <v/>
      </c>
      <c r="Z5928">
        <f>IF(M5928=1,(P5928-Assumptions!$B$37)*Assumptions!$B$153,0)</f>
        <v/>
      </c>
      <c r="AA5928">
        <f>Q5928+R5928+S5928+T5928+U5928+V5928+W5928+X5928+Y5928+Z5928</f>
        <v/>
      </c>
      <c r="AB5928" t="n">
        <v>32</v>
      </c>
      <c r="AC5928" t="n">
        <v>96</v>
      </c>
      <c r="AD5928" t="n">
        <v>0</v>
      </c>
      <c r="AE5928" t="n">
        <v>48</v>
      </c>
      <c r="AF5928" t="n">
        <v>40</v>
      </c>
      <c r="AG5928" t="n">
        <v>36</v>
      </c>
      <c r="AH5928" t="n">
        <v>34</v>
      </c>
      <c r="AI5928" t="n">
        <v>33</v>
      </c>
      <c r="AJ5928">
        <f>INDEX($Q$5896:$Q$6023,AC5928+1)</f>
        <v/>
      </c>
      <c r="AK5928">
        <f>INDEX($R$5896:$R$6023,AD5928+1)</f>
        <v/>
      </c>
      <c r="AL5928">
        <f>INDEX($S$5896:$S$6023,AE5928+1)</f>
        <v/>
      </c>
      <c r="AM5928">
        <f>INDEX($T$5896:$T$6023,AF5928+1)</f>
        <v/>
      </c>
      <c r="AN5928">
        <f>INDEX($U$5896:$U$6023,AG5928+1)</f>
        <v/>
      </c>
      <c r="AO5928">
        <f>INDEX($V$5896:$V$6023,AH5928+1)</f>
        <v/>
      </c>
      <c r="AP5928">
        <f>INDEX($W$5896:$W$6023,AI5928+1)</f>
        <v/>
      </c>
      <c r="AQ5928">
        <f>IF(Q5928&gt;=AJ5928-0.01,1,0)</f>
        <v/>
      </c>
      <c r="AR5928">
        <f>IF(R5928&gt;=AK5928-0.01,1,0)</f>
        <v/>
      </c>
      <c r="AS5928">
        <f>IF(S5928&gt;=AL5928-0.01,1,0)</f>
        <v/>
      </c>
      <c r="AT5928">
        <f>IF(T5928&gt;=AM5928-0.01,1,0)</f>
        <v/>
      </c>
      <c r="AU5928">
        <f>IF(U5928&gt;=AN5928-0.01,1,0)</f>
        <v/>
      </c>
      <c r="AV5928">
        <f>IF(V5928&gt;=AO5928-0.01,1,0)</f>
        <v/>
      </c>
      <c r="AW5928">
        <f>IF(W5928&gt;=AP5928-0.01,1,0)</f>
        <v/>
      </c>
      <c r="AX5928">
        <f>AQ5928*AR5928*AS5928*AT5928*AU5928*AV5928*AW5928</f>
        <v/>
      </c>
    </row>
    <row r="5929">
      <c r="A5929" t="inlineStr"/>
      <c r="B5929">
        <f>Assumptions!$B$60</f>
        <v/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>
        <f>(1-C5929)*Assumptions!$B$41+(1-D5929)*Assumptions!$B$33+(1-E5929)*Assumptions!$B$32+(1-F5929)*Assumptions!$B$31+(1-G5929)*Assumptions!$B$30+(1-H5929)*Assumptions!$B$29+(1-I5929)*Assumptions!$B$28</f>
        <v/>
      </c>
      <c r="K5929">
        <f>C5929*$J$682+D5929*$F$682+E5929*$G$682+F5929*Assumptions!$B$14+G5929*Assumptions!$B$13+H5929*Assumptions!$B$12+I5929*Assumptions!$B$11+$O$682+$S$682+Assumptions!$B$9</f>
        <v/>
      </c>
      <c r="L5929">
        <f>B5929-J5929</f>
        <v/>
      </c>
      <c r="M5929">
        <f>IF(K5929&gt;0,IF(L5929/K5929&gt;=Assumptions!$B$37,1,0),0)</f>
        <v/>
      </c>
      <c r="N5929">
        <f>K5929+M5929*Assumptions!$B$153</f>
        <v/>
      </c>
      <c r="O5929">
        <f>L5929+M5929*Assumptions!$B$153*Assumptions!$B$37</f>
        <v/>
      </c>
      <c r="P5929">
        <f>IF(N5929&gt;0,O5929/N5929,0)</f>
        <v/>
      </c>
      <c r="Q5929">
        <f>IF(C5929=1,P5929*$J$682,Assumptions!$B$41)</f>
        <v/>
      </c>
      <c r="R5929">
        <f>IF(D5929=1,P5929*$F$682,Assumptions!$B$33)</f>
        <v/>
      </c>
      <c r="S5929">
        <f>IF(E5929=1,P5929*$G$682,Assumptions!$B$32)</f>
        <v/>
      </c>
      <c r="T5929">
        <f>IF(F5929=1,P5929*Assumptions!$B$14,Assumptions!$B$31)</f>
        <v/>
      </c>
      <c r="U5929">
        <f>IF(G5929=1,P5929*Assumptions!$B$13,Assumptions!$B$30)</f>
        <v/>
      </c>
      <c r="V5929">
        <f>IF(H5929=1,P5929*Assumptions!$B$12,Assumptions!$B$29)</f>
        <v/>
      </c>
      <c r="W5929">
        <f>IF(I5929=1,P5929*Assumptions!$B$11,Assumptions!$B$28)</f>
        <v/>
      </c>
      <c r="X5929">
        <f>P5929*($O$682+$S$682)</f>
        <v/>
      </c>
      <c r="Y5929">
        <f>P5929*Assumptions!$B$9</f>
        <v/>
      </c>
      <c r="Z5929">
        <f>IF(M5929=1,(P5929-Assumptions!$B$37)*Assumptions!$B$153,0)</f>
        <v/>
      </c>
      <c r="AA5929">
        <f>Q5929+R5929+S5929+T5929+U5929+V5929+W5929+X5929+Y5929+Z5929</f>
        <v/>
      </c>
      <c r="AB5929" t="n">
        <v>33</v>
      </c>
      <c r="AC5929" t="n">
        <v>97</v>
      </c>
      <c r="AD5929" t="n">
        <v>1</v>
      </c>
      <c r="AE5929" t="n">
        <v>49</v>
      </c>
      <c r="AF5929" t="n">
        <v>41</v>
      </c>
      <c r="AG5929" t="n">
        <v>37</v>
      </c>
      <c r="AH5929" t="n">
        <v>35</v>
      </c>
      <c r="AI5929" t="n">
        <v>32</v>
      </c>
      <c r="AJ5929">
        <f>INDEX($Q$5896:$Q$6023,AC5929+1)</f>
        <v/>
      </c>
      <c r="AK5929">
        <f>INDEX($R$5896:$R$6023,AD5929+1)</f>
        <v/>
      </c>
      <c r="AL5929">
        <f>INDEX($S$5896:$S$6023,AE5929+1)</f>
        <v/>
      </c>
      <c r="AM5929">
        <f>INDEX($T$5896:$T$6023,AF5929+1)</f>
        <v/>
      </c>
      <c r="AN5929">
        <f>INDEX($U$5896:$U$6023,AG5929+1)</f>
        <v/>
      </c>
      <c r="AO5929">
        <f>INDEX($V$5896:$V$6023,AH5929+1)</f>
        <v/>
      </c>
      <c r="AP5929">
        <f>INDEX($W$5896:$W$6023,AI5929+1)</f>
        <v/>
      </c>
      <c r="AQ5929">
        <f>IF(Q5929&gt;=AJ5929-0.01,1,0)</f>
        <v/>
      </c>
      <c r="AR5929">
        <f>IF(R5929&gt;=AK5929-0.01,1,0)</f>
        <v/>
      </c>
      <c r="AS5929">
        <f>IF(S5929&gt;=AL5929-0.01,1,0)</f>
        <v/>
      </c>
      <c r="AT5929">
        <f>IF(T5929&gt;=AM5929-0.01,1,0)</f>
        <v/>
      </c>
      <c r="AU5929">
        <f>IF(U5929&gt;=AN5929-0.01,1,0)</f>
        <v/>
      </c>
      <c r="AV5929">
        <f>IF(V5929&gt;=AO5929-0.01,1,0)</f>
        <v/>
      </c>
      <c r="AW5929">
        <f>IF(W5929&gt;=AP5929-0.01,1,0)</f>
        <v/>
      </c>
      <c r="AX5929">
        <f>AQ5929*AR5929*AS5929*AT5929*AU5929*AV5929*AW5929</f>
        <v/>
      </c>
    </row>
    <row r="5930">
      <c r="A5930" t="inlineStr"/>
      <c r="B5930">
        <f>Assumptions!$B$60</f>
        <v/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>
        <f>(1-C5930)*Assumptions!$B$41+(1-D5930)*Assumptions!$B$33+(1-E5930)*Assumptions!$B$32+(1-F5930)*Assumptions!$B$31+(1-G5930)*Assumptions!$B$30+(1-H5930)*Assumptions!$B$29+(1-I5930)*Assumptions!$B$28</f>
        <v/>
      </c>
      <c r="K5930">
        <f>C5930*$J$682+D5930*$F$682+E5930*$G$682+F5930*Assumptions!$B$14+G5930*Assumptions!$B$13+H5930*Assumptions!$B$12+I5930*Assumptions!$B$11+$O$682+$S$682+Assumptions!$B$9</f>
        <v/>
      </c>
      <c r="L5930">
        <f>B5930-J5930</f>
        <v/>
      </c>
      <c r="M5930">
        <f>IF(K5930&gt;0,IF(L5930/K5930&gt;=Assumptions!$B$37,1,0),0)</f>
        <v/>
      </c>
      <c r="N5930">
        <f>K5930+M5930*Assumptions!$B$153</f>
        <v/>
      </c>
      <c r="O5930">
        <f>L5930+M5930*Assumptions!$B$153*Assumptions!$B$37</f>
        <v/>
      </c>
      <c r="P5930">
        <f>IF(N5930&gt;0,O5930/N5930,0)</f>
        <v/>
      </c>
      <c r="Q5930">
        <f>IF(C5930=1,P5930*$J$682,Assumptions!$B$41)</f>
        <v/>
      </c>
      <c r="R5930">
        <f>IF(D5930=1,P5930*$F$682,Assumptions!$B$33)</f>
        <v/>
      </c>
      <c r="S5930">
        <f>IF(E5930=1,P5930*$G$682,Assumptions!$B$32)</f>
        <v/>
      </c>
      <c r="T5930">
        <f>IF(F5930=1,P5930*Assumptions!$B$14,Assumptions!$B$31)</f>
        <v/>
      </c>
      <c r="U5930">
        <f>IF(G5930=1,P5930*Assumptions!$B$13,Assumptions!$B$30)</f>
        <v/>
      </c>
      <c r="V5930">
        <f>IF(H5930=1,P5930*Assumptions!$B$12,Assumptions!$B$29)</f>
        <v/>
      </c>
      <c r="W5930">
        <f>IF(I5930=1,P5930*Assumptions!$B$11,Assumptions!$B$28)</f>
        <v/>
      </c>
      <c r="X5930">
        <f>P5930*($O$682+$S$682)</f>
        <v/>
      </c>
      <c r="Y5930">
        <f>P5930*Assumptions!$B$9</f>
        <v/>
      </c>
      <c r="Z5930">
        <f>IF(M5930=1,(P5930-Assumptions!$B$37)*Assumptions!$B$153,0)</f>
        <v/>
      </c>
      <c r="AA5930">
        <f>Q5930+R5930+S5930+T5930+U5930+V5930+W5930+X5930+Y5930+Z5930</f>
        <v/>
      </c>
      <c r="AB5930" t="n">
        <v>34</v>
      </c>
      <c r="AC5930" t="n">
        <v>98</v>
      </c>
      <c r="AD5930" t="n">
        <v>2</v>
      </c>
      <c r="AE5930" t="n">
        <v>50</v>
      </c>
      <c r="AF5930" t="n">
        <v>42</v>
      </c>
      <c r="AG5930" t="n">
        <v>38</v>
      </c>
      <c r="AH5930" t="n">
        <v>32</v>
      </c>
      <c r="AI5930" t="n">
        <v>35</v>
      </c>
      <c r="AJ5930">
        <f>INDEX($Q$5896:$Q$6023,AC5930+1)</f>
        <v/>
      </c>
      <c r="AK5930">
        <f>INDEX($R$5896:$R$6023,AD5930+1)</f>
        <v/>
      </c>
      <c r="AL5930">
        <f>INDEX($S$5896:$S$6023,AE5930+1)</f>
        <v/>
      </c>
      <c r="AM5930">
        <f>INDEX($T$5896:$T$6023,AF5930+1)</f>
        <v/>
      </c>
      <c r="AN5930">
        <f>INDEX($U$5896:$U$6023,AG5930+1)</f>
        <v/>
      </c>
      <c r="AO5930">
        <f>INDEX($V$5896:$V$6023,AH5930+1)</f>
        <v/>
      </c>
      <c r="AP5930">
        <f>INDEX($W$5896:$W$6023,AI5930+1)</f>
        <v/>
      </c>
      <c r="AQ5930">
        <f>IF(Q5930&gt;=AJ5930-0.01,1,0)</f>
        <v/>
      </c>
      <c r="AR5930">
        <f>IF(R5930&gt;=AK5930-0.01,1,0)</f>
        <v/>
      </c>
      <c r="AS5930">
        <f>IF(S5930&gt;=AL5930-0.01,1,0)</f>
        <v/>
      </c>
      <c r="AT5930">
        <f>IF(T5930&gt;=AM5930-0.01,1,0)</f>
        <v/>
      </c>
      <c r="AU5930">
        <f>IF(U5930&gt;=AN5930-0.01,1,0)</f>
        <v/>
      </c>
      <c r="AV5930">
        <f>IF(V5930&gt;=AO5930-0.01,1,0)</f>
        <v/>
      </c>
      <c r="AW5930">
        <f>IF(W5930&gt;=AP5930-0.01,1,0)</f>
        <v/>
      </c>
      <c r="AX5930">
        <f>AQ5930*AR5930*AS5930*AT5930*AU5930*AV5930*AW5930</f>
        <v/>
      </c>
    </row>
    <row r="5931">
      <c r="A5931" t="inlineStr"/>
      <c r="B5931">
        <f>Assumptions!$B$60</f>
        <v/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1</v>
      </c>
      <c r="J5931">
        <f>(1-C5931)*Assumptions!$B$41+(1-D5931)*Assumptions!$B$33+(1-E5931)*Assumptions!$B$32+(1-F5931)*Assumptions!$B$31+(1-G5931)*Assumptions!$B$30+(1-H5931)*Assumptions!$B$29+(1-I5931)*Assumptions!$B$28</f>
        <v/>
      </c>
      <c r="K5931">
        <f>C5931*$J$682+D5931*$F$682+E5931*$G$682+F5931*Assumptions!$B$14+G5931*Assumptions!$B$13+H5931*Assumptions!$B$12+I5931*Assumptions!$B$11+$O$682+$S$682+Assumptions!$B$9</f>
        <v/>
      </c>
      <c r="L5931">
        <f>B5931-J5931</f>
        <v/>
      </c>
      <c r="M5931">
        <f>IF(K5931&gt;0,IF(L5931/K5931&gt;=Assumptions!$B$37,1,0),0)</f>
        <v/>
      </c>
      <c r="N5931">
        <f>K5931+M5931*Assumptions!$B$153</f>
        <v/>
      </c>
      <c r="O5931">
        <f>L5931+M5931*Assumptions!$B$153*Assumptions!$B$37</f>
        <v/>
      </c>
      <c r="P5931">
        <f>IF(N5931&gt;0,O5931/N5931,0)</f>
        <v/>
      </c>
      <c r="Q5931">
        <f>IF(C5931=1,P5931*$J$682,Assumptions!$B$41)</f>
        <v/>
      </c>
      <c r="R5931">
        <f>IF(D5931=1,P5931*$F$682,Assumptions!$B$33)</f>
        <v/>
      </c>
      <c r="S5931">
        <f>IF(E5931=1,P5931*$G$682,Assumptions!$B$32)</f>
        <v/>
      </c>
      <c r="T5931">
        <f>IF(F5931=1,P5931*Assumptions!$B$14,Assumptions!$B$31)</f>
        <v/>
      </c>
      <c r="U5931">
        <f>IF(G5931=1,P5931*Assumptions!$B$13,Assumptions!$B$30)</f>
        <v/>
      </c>
      <c r="V5931">
        <f>IF(H5931=1,P5931*Assumptions!$B$12,Assumptions!$B$29)</f>
        <v/>
      </c>
      <c r="W5931">
        <f>IF(I5931=1,P5931*Assumptions!$B$11,Assumptions!$B$28)</f>
        <v/>
      </c>
      <c r="X5931">
        <f>P5931*($O$682+$S$682)</f>
        <v/>
      </c>
      <c r="Y5931">
        <f>P5931*Assumptions!$B$9</f>
        <v/>
      </c>
      <c r="Z5931">
        <f>IF(M5931=1,(P5931-Assumptions!$B$37)*Assumptions!$B$153,0)</f>
        <v/>
      </c>
      <c r="AA5931">
        <f>Q5931+R5931+S5931+T5931+U5931+V5931+W5931+X5931+Y5931+Z5931</f>
        <v/>
      </c>
      <c r="AB5931" t="n">
        <v>35</v>
      </c>
      <c r="AC5931" t="n">
        <v>99</v>
      </c>
      <c r="AD5931" t="n">
        <v>3</v>
      </c>
      <c r="AE5931" t="n">
        <v>51</v>
      </c>
      <c r="AF5931" t="n">
        <v>43</v>
      </c>
      <c r="AG5931" t="n">
        <v>39</v>
      </c>
      <c r="AH5931" t="n">
        <v>33</v>
      </c>
      <c r="AI5931" t="n">
        <v>34</v>
      </c>
      <c r="AJ5931">
        <f>INDEX($Q$5896:$Q$6023,AC5931+1)</f>
        <v/>
      </c>
      <c r="AK5931">
        <f>INDEX($R$5896:$R$6023,AD5931+1)</f>
        <v/>
      </c>
      <c r="AL5931">
        <f>INDEX($S$5896:$S$6023,AE5931+1)</f>
        <v/>
      </c>
      <c r="AM5931">
        <f>INDEX($T$5896:$T$6023,AF5931+1)</f>
        <v/>
      </c>
      <c r="AN5931">
        <f>INDEX($U$5896:$U$6023,AG5931+1)</f>
        <v/>
      </c>
      <c r="AO5931">
        <f>INDEX($V$5896:$V$6023,AH5931+1)</f>
        <v/>
      </c>
      <c r="AP5931">
        <f>INDEX($W$5896:$W$6023,AI5931+1)</f>
        <v/>
      </c>
      <c r="AQ5931">
        <f>IF(Q5931&gt;=AJ5931-0.01,1,0)</f>
        <v/>
      </c>
      <c r="AR5931">
        <f>IF(R5931&gt;=AK5931-0.01,1,0)</f>
        <v/>
      </c>
      <c r="AS5931">
        <f>IF(S5931&gt;=AL5931-0.01,1,0)</f>
        <v/>
      </c>
      <c r="AT5931">
        <f>IF(T5931&gt;=AM5931-0.01,1,0)</f>
        <v/>
      </c>
      <c r="AU5931">
        <f>IF(U5931&gt;=AN5931-0.01,1,0)</f>
        <v/>
      </c>
      <c r="AV5931">
        <f>IF(V5931&gt;=AO5931-0.01,1,0)</f>
        <v/>
      </c>
      <c r="AW5931">
        <f>IF(W5931&gt;=AP5931-0.01,1,0)</f>
        <v/>
      </c>
      <c r="AX5931">
        <f>AQ5931*AR5931*AS5931*AT5931*AU5931*AV5931*AW5931</f>
        <v/>
      </c>
    </row>
    <row r="5932">
      <c r="A5932" t="inlineStr"/>
      <c r="B5932">
        <f>Assumptions!$B$60</f>
        <v/>
      </c>
      <c r="C5932" t="n">
        <v>0</v>
      </c>
      <c r="D5932" t="n">
        <v>1</v>
      </c>
      <c r="E5932" t="n">
        <v>0</v>
      </c>
      <c r="F5932" t="n">
        <v>0</v>
      </c>
      <c r="G5932" t="n">
        <v>1</v>
      </c>
      <c r="H5932" t="n">
        <v>0</v>
      </c>
      <c r="I5932" t="n">
        <v>0</v>
      </c>
      <c r="J5932">
        <f>(1-C5932)*Assumptions!$B$41+(1-D5932)*Assumptions!$B$33+(1-E5932)*Assumptions!$B$32+(1-F5932)*Assumptions!$B$31+(1-G5932)*Assumptions!$B$30+(1-H5932)*Assumptions!$B$29+(1-I5932)*Assumptions!$B$28</f>
        <v/>
      </c>
      <c r="K5932">
        <f>C5932*$J$682+D5932*$F$682+E5932*$G$682+F5932*Assumptions!$B$14+G5932*Assumptions!$B$13+H5932*Assumptions!$B$12+I5932*Assumptions!$B$11+$O$682+$S$682+Assumptions!$B$9</f>
        <v/>
      </c>
      <c r="L5932">
        <f>B5932-J5932</f>
        <v/>
      </c>
      <c r="M5932">
        <f>IF(K5932&gt;0,IF(L5932/K5932&gt;=Assumptions!$B$37,1,0),0)</f>
        <v/>
      </c>
      <c r="N5932">
        <f>K5932+M5932*Assumptions!$B$153</f>
        <v/>
      </c>
      <c r="O5932">
        <f>L5932+M5932*Assumptions!$B$153*Assumptions!$B$37</f>
        <v/>
      </c>
      <c r="P5932">
        <f>IF(N5932&gt;0,O5932/N5932,0)</f>
        <v/>
      </c>
      <c r="Q5932">
        <f>IF(C5932=1,P5932*$J$682,Assumptions!$B$41)</f>
        <v/>
      </c>
      <c r="R5932">
        <f>IF(D5932=1,P5932*$F$682,Assumptions!$B$33)</f>
        <v/>
      </c>
      <c r="S5932">
        <f>IF(E5932=1,P5932*$G$682,Assumptions!$B$32)</f>
        <v/>
      </c>
      <c r="T5932">
        <f>IF(F5932=1,P5932*Assumptions!$B$14,Assumptions!$B$31)</f>
        <v/>
      </c>
      <c r="U5932">
        <f>IF(G5932=1,P5932*Assumptions!$B$13,Assumptions!$B$30)</f>
        <v/>
      </c>
      <c r="V5932">
        <f>IF(H5932=1,P5932*Assumptions!$B$12,Assumptions!$B$29)</f>
        <v/>
      </c>
      <c r="W5932">
        <f>IF(I5932=1,P5932*Assumptions!$B$11,Assumptions!$B$28)</f>
        <v/>
      </c>
      <c r="X5932">
        <f>P5932*($O$682+$S$682)</f>
        <v/>
      </c>
      <c r="Y5932">
        <f>P5932*Assumptions!$B$9</f>
        <v/>
      </c>
      <c r="Z5932">
        <f>IF(M5932=1,(P5932-Assumptions!$B$37)*Assumptions!$B$153,0)</f>
        <v/>
      </c>
      <c r="AA5932">
        <f>Q5932+R5932+S5932+T5932+U5932+V5932+W5932+X5932+Y5932+Z5932</f>
        <v/>
      </c>
      <c r="AB5932" t="n">
        <v>36</v>
      </c>
      <c r="AC5932" t="n">
        <v>100</v>
      </c>
      <c r="AD5932" t="n">
        <v>4</v>
      </c>
      <c r="AE5932" t="n">
        <v>52</v>
      </c>
      <c r="AF5932" t="n">
        <v>44</v>
      </c>
      <c r="AG5932" t="n">
        <v>32</v>
      </c>
      <c r="AH5932" t="n">
        <v>38</v>
      </c>
      <c r="AI5932" t="n">
        <v>37</v>
      </c>
      <c r="AJ5932">
        <f>INDEX($Q$5896:$Q$6023,AC5932+1)</f>
        <v/>
      </c>
      <c r="AK5932">
        <f>INDEX($R$5896:$R$6023,AD5932+1)</f>
        <v/>
      </c>
      <c r="AL5932">
        <f>INDEX($S$5896:$S$6023,AE5932+1)</f>
        <v/>
      </c>
      <c r="AM5932">
        <f>INDEX($T$5896:$T$6023,AF5932+1)</f>
        <v/>
      </c>
      <c r="AN5932">
        <f>INDEX($U$5896:$U$6023,AG5932+1)</f>
        <v/>
      </c>
      <c r="AO5932">
        <f>INDEX($V$5896:$V$6023,AH5932+1)</f>
        <v/>
      </c>
      <c r="AP5932">
        <f>INDEX($W$5896:$W$6023,AI5932+1)</f>
        <v/>
      </c>
      <c r="AQ5932">
        <f>IF(Q5932&gt;=AJ5932-0.01,1,0)</f>
        <v/>
      </c>
      <c r="AR5932">
        <f>IF(R5932&gt;=AK5932-0.01,1,0)</f>
        <v/>
      </c>
      <c r="AS5932">
        <f>IF(S5932&gt;=AL5932-0.01,1,0)</f>
        <v/>
      </c>
      <c r="AT5932">
        <f>IF(T5932&gt;=AM5932-0.01,1,0)</f>
        <v/>
      </c>
      <c r="AU5932">
        <f>IF(U5932&gt;=AN5932-0.01,1,0)</f>
        <v/>
      </c>
      <c r="AV5932">
        <f>IF(V5932&gt;=AO5932-0.01,1,0)</f>
        <v/>
      </c>
      <c r="AW5932">
        <f>IF(W5932&gt;=AP5932-0.01,1,0)</f>
        <v/>
      </c>
      <c r="AX5932">
        <f>AQ5932*AR5932*AS5932*AT5932*AU5932*AV5932*AW5932</f>
        <v/>
      </c>
    </row>
    <row r="5933">
      <c r="A5933" t="inlineStr"/>
      <c r="B5933">
        <f>Assumptions!$B$60</f>
        <v/>
      </c>
      <c r="C5933" t="n">
        <v>0</v>
      </c>
      <c r="D5933" t="n">
        <v>1</v>
      </c>
      <c r="E5933" t="n">
        <v>0</v>
      </c>
      <c r="F5933" t="n">
        <v>0</v>
      </c>
      <c r="G5933" t="n">
        <v>1</v>
      </c>
      <c r="H5933" t="n">
        <v>0</v>
      </c>
      <c r="I5933" t="n">
        <v>1</v>
      </c>
      <c r="J5933">
        <f>(1-C5933)*Assumptions!$B$41+(1-D5933)*Assumptions!$B$33+(1-E5933)*Assumptions!$B$32+(1-F5933)*Assumptions!$B$31+(1-G5933)*Assumptions!$B$30+(1-H5933)*Assumptions!$B$29+(1-I5933)*Assumptions!$B$28</f>
        <v/>
      </c>
      <c r="K5933">
        <f>C5933*$J$682+D5933*$F$682+E5933*$G$682+F5933*Assumptions!$B$14+G5933*Assumptions!$B$13+H5933*Assumptions!$B$12+I5933*Assumptions!$B$11+$O$682+$S$682+Assumptions!$B$9</f>
        <v/>
      </c>
      <c r="L5933">
        <f>B5933-J5933</f>
        <v/>
      </c>
      <c r="M5933">
        <f>IF(K5933&gt;0,IF(L5933/K5933&gt;=Assumptions!$B$37,1,0),0)</f>
        <v/>
      </c>
      <c r="N5933">
        <f>K5933+M5933*Assumptions!$B$153</f>
        <v/>
      </c>
      <c r="O5933">
        <f>L5933+M5933*Assumptions!$B$153*Assumptions!$B$37</f>
        <v/>
      </c>
      <c r="P5933">
        <f>IF(N5933&gt;0,O5933/N5933,0)</f>
        <v/>
      </c>
      <c r="Q5933">
        <f>IF(C5933=1,P5933*$J$682,Assumptions!$B$41)</f>
        <v/>
      </c>
      <c r="R5933">
        <f>IF(D5933=1,P5933*$F$682,Assumptions!$B$33)</f>
        <v/>
      </c>
      <c r="S5933">
        <f>IF(E5933=1,P5933*$G$682,Assumptions!$B$32)</f>
        <v/>
      </c>
      <c r="T5933">
        <f>IF(F5933=1,P5933*Assumptions!$B$14,Assumptions!$B$31)</f>
        <v/>
      </c>
      <c r="U5933">
        <f>IF(G5933=1,P5933*Assumptions!$B$13,Assumptions!$B$30)</f>
        <v/>
      </c>
      <c r="V5933">
        <f>IF(H5933=1,P5933*Assumptions!$B$12,Assumptions!$B$29)</f>
        <v/>
      </c>
      <c r="W5933">
        <f>IF(I5933=1,P5933*Assumptions!$B$11,Assumptions!$B$28)</f>
        <v/>
      </c>
      <c r="X5933">
        <f>P5933*($O$682+$S$682)</f>
        <v/>
      </c>
      <c r="Y5933">
        <f>P5933*Assumptions!$B$9</f>
        <v/>
      </c>
      <c r="Z5933">
        <f>IF(M5933=1,(P5933-Assumptions!$B$37)*Assumptions!$B$153,0)</f>
        <v/>
      </c>
      <c r="AA5933">
        <f>Q5933+R5933+S5933+T5933+U5933+V5933+W5933+X5933+Y5933+Z5933</f>
        <v/>
      </c>
      <c r="AB5933" t="n">
        <v>37</v>
      </c>
      <c r="AC5933" t="n">
        <v>101</v>
      </c>
      <c r="AD5933" t="n">
        <v>5</v>
      </c>
      <c r="AE5933" t="n">
        <v>53</v>
      </c>
      <c r="AF5933" t="n">
        <v>45</v>
      </c>
      <c r="AG5933" t="n">
        <v>33</v>
      </c>
      <c r="AH5933" t="n">
        <v>39</v>
      </c>
      <c r="AI5933" t="n">
        <v>36</v>
      </c>
      <c r="AJ5933">
        <f>INDEX($Q$5896:$Q$6023,AC5933+1)</f>
        <v/>
      </c>
      <c r="AK5933">
        <f>INDEX($R$5896:$R$6023,AD5933+1)</f>
        <v/>
      </c>
      <c r="AL5933">
        <f>INDEX($S$5896:$S$6023,AE5933+1)</f>
        <v/>
      </c>
      <c r="AM5933">
        <f>INDEX($T$5896:$T$6023,AF5933+1)</f>
        <v/>
      </c>
      <c r="AN5933">
        <f>INDEX($U$5896:$U$6023,AG5933+1)</f>
        <v/>
      </c>
      <c r="AO5933">
        <f>INDEX($V$5896:$V$6023,AH5933+1)</f>
        <v/>
      </c>
      <c r="AP5933">
        <f>INDEX($W$5896:$W$6023,AI5933+1)</f>
        <v/>
      </c>
      <c r="AQ5933">
        <f>IF(Q5933&gt;=AJ5933-0.01,1,0)</f>
        <v/>
      </c>
      <c r="AR5933">
        <f>IF(R5933&gt;=AK5933-0.01,1,0)</f>
        <v/>
      </c>
      <c r="AS5933">
        <f>IF(S5933&gt;=AL5933-0.01,1,0)</f>
        <v/>
      </c>
      <c r="AT5933">
        <f>IF(T5933&gt;=AM5933-0.01,1,0)</f>
        <v/>
      </c>
      <c r="AU5933">
        <f>IF(U5933&gt;=AN5933-0.01,1,0)</f>
        <v/>
      </c>
      <c r="AV5933">
        <f>IF(V5933&gt;=AO5933-0.01,1,0)</f>
        <v/>
      </c>
      <c r="AW5933">
        <f>IF(W5933&gt;=AP5933-0.01,1,0)</f>
        <v/>
      </c>
      <c r="AX5933">
        <f>AQ5933*AR5933*AS5933*AT5933*AU5933*AV5933*AW5933</f>
        <v/>
      </c>
    </row>
    <row r="5934">
      <c r="A5934" t="inlineStr"/>
      <c r="B5934">
        <f>Assumptions!$B$60</f>
        <v/>
      </c>
      <c r="C5934" t="n">
        <v>0</v>
      </c>
      <c r="D5934" t="n">
        <v>1</v>
      </c>
      <c r="E5934" t="n">
        <v>0</v>
      </c>
      <c r="F5934" t="n">
        <v>0</v>
      </c>
      <c r="G5934" t="n">
        <v>1</v>
      </c>
      <c r="H5934" t="n">
        <v>1</v>
      </c>
      <c r="I5934" t="n">
        <v>0</v>
      </c>
      <c r="J5934">
        <f>(1-C5934)*Assumptions!$B$41+(1-D5934)*Assumptions!$B$33+(1-E5934)*Assumptions!$B$32+(1-F5934)*Assumptions!$B$31+(1-G5934)*Assumptions!$B$30+(1-H5934)*Assumptions!$B$29+(1-I5934)*Assumptions!$B$28</f>
        <v/>
      </c>
      <c r="K5934">
        <f>C5934*$J$682+D5934*$F$682+E5934*$G$682+F5934*Assumptions!$B$14+G5934*Assumptions!$B$13+H5934*Assumptions!$B$12+I5934*Assumptions!$B$11+$O$682+$S$682+Assumptions!$B$9</f>
        <v/>
      </c>
      <c r="L5934">
        <f>B5934-J5934</f>
        <v/>
      </c>
      <c r="M5934">
        <f>IF(K5934&gt;0,IF(L5934/K5934&gt;=Assumptions!$B$37,1,0),0)</f>
        <v/>
      </c>
      <c r="N5934">
        <f>K5934+M5934*Assumptions!$B$153</f>
        <v/>
      </c>
      <c r="O5934">
        <f>L5934+M5934*Assumptions!$B$153*Assumptions!$B$37</f>
        <v/>
      </c>
      <c r="P5934">
        <f>IF(N5934&gt;0,O5934/N5934,0)</f>
        <v/>
      </c>
      <c r="Q5934">
        <f>IF(C5934=1,P5934*$J$682,Assumptions!$B$41)</f>
        <v/>
      </c>
      <c r="R5934">
        <f>IF(D5934=1,P5934*$F$682,Assumptions!$B$33)</f>
        <v/>
      </c>
      <c r="S5934">
        <f>IF(E5934=1,P5934*$G$682,Assumptions!$B$32)</f>
        <v/>
      </c>
      <c r="T5934">
        <f>IF(F5934=1,P5934*Assumptions!$B$14,Assumptions!$B$31)</f>
        <v/>
      </c>
      <c r="U5934">
        <f>IF(G5934=1,P5934*Assumptions!$B$13,Assumptions!$B$30)</f>
        <v/>
      </c>
      <c r="V5934">
        <f>IF(H5934=1,P5934*Assumptions!$B$12,Assumptions!$B$29)</f>
        <v/>
      </c>
      <c r="W5934">
        <f>IF(I5934=1,P5934*Assumptions!$B$11,Assumptions!$B$28)</f>
        <v/>
      </c>
      <c r="X5934">
        <f>P5934*($O$682+$S$682)</f>
        <v/>
      </c>
      <c r="Y5934">
        <f>P5934*Assumptions!$B$9</f>
        <v/>
      </c>
      <c r="Z5934">
        <f>IF(M5934=1,(P5934-Assumptions!$B$37)*Assumptions!$B$153,0)</f>
        <v/>
      </c>
      <c r="AA5934">
        <f>Q5934+R5934+S5934+T5934+U5934+V5934+W5934+X5934+Y5934+Z5934</f>
        <v/>
      </c>
      <c r="AB5934" t="n">
        <v>38</v>
      </c>
      <c r="AC5934" t="n">
        <v>102</v>
      </c>
      <c r="AD5934" t="n">
        <v>6</v>
      </c>
      <c r="AE5934" t="n">
        <v>54</v>
      </c>
      <c r="AF5934" t="n">
        <v>46</v>
      </c>
      <c r="AG5934" t="n">
        <v>34</v>
      </c>
      <c r="AH5934" t="n">
        <v>36</v>
      </c>
      <c r="AI5934" t="n">
        <v>39</v>
      </c>
      <c r="AJ5934">
        <f>INDEX($Q$5896:$Q$6023,AC5934+1)</f>
        <v/>
      </c>
      <c r="AK5934">
        <f>INDEX($R$5896:$R$6023,AD5934+1)</f>
        <v/>
      </c>
      <c r="AL5934">
        <f>INDEX($S$5896:$S$6023,AE5934+1)</f>
        <v/>
      </c>
      <c r="AM5934">
        <f>INDEX($T$5896:$T$6023,AF5934+1)</f>
        <v/>
      </c>
      <c r="AN5934">
        <f>INDEX($U$5896:$U$6023,AG5934+1)</f>
        <v/>
      </c>
      <c r="AO5934">
        <f>INDEX($V$5896:$V$6023,AH5934+1)</f>
        <v/>
      </c>
      <c r="AP5934">
        <f>INDEX($W$5896:$W$6023,AI5934+1)</f>
        <v/>
      </c>
      <c r="AQ5934">
        <f>IF(Q5934&gt;=AJ5934-0.01,1,0)</f>
        <v/>
      </c>
      <c r="AR5934">
        <f>IF(R5934&gt;=AK5934-0.01,1,0)</f>
        <v/>
      </c>
      <c r="AS5934">
        <f>IF(S5934&gt;=AL5934-0.01,1,0)</f>
        <v/>
      </c>
      <c r="AT5934">
        <f>IF(T5934&gt;=AM5934-0.01,1,0)</f>
        <v/>
      </c>
      <c r="AU5934">
        <f>IF(U5934&gt;=AN5934-0.01,1,0)</f>
        <v/>
      </c>
      <c r="AV5934">
        <f>IF(V5934&gt;=AO5934-0.01,1,0)</f>
        <v/>
      </c>
      <c r="AW5934">
        <f>IF(W5934&gt;=AP5934-0.01,1,0)</f>
        <v/>
      </c>
      <c r="AX5934">
        <f>AQ5934*AR5934*AS5934*AT5934*AU5934*AV5934*AW5934</f>
        <v/>
      </c>
    </row>
    <row r="5935">
      <c r="A5935" t="inlineStr"/>
      <c r="B5935">
        <f>Assumptions!$B$60</f>
        <v/>
      </c>
      <c r="C5935" t="n">
        <v>0</v>
      </c>
      <c r="D5935" t="n">
        <v>1</v>
      </c>
      <c r="E5935" t="n">
        <v>0</v>
      </c>
      <c r="F5935" t="n">
        <v>0</v>
      </c>
      <c r="G5935" t="n">
        <v>1</v>
      </c>
      <c r="H5935" t="n">
        <v>1</v>
      </c>
      <c r="I5935" t="n">
        <v>1</v>
      </c>
      <c r="J5935">
        <f>(1-C5935)*Assumptions!$B$41+(1-D5935)*Assumptions!$B$33+(1-E5935)*Assumptions!$B$32+(1-F5935)*Assumptions!$B$31+(1-G5935)*Assumptions!$B$30+(1-H5935)*Assumptions!$B$29+(1-I5935)*Assumptions!$B$28</f>
        <v/>
      </c>
      <c r="K5935">
        <f>C5935*$J$682+D5935*$F$682+E5935*$G$682+F5935*Assumptions!$B$14+G5935*Assumptions!$B$13+H5935*Assumptions!$B$12+I5935*Assumptions!$B$11+$O$682+$S$682+Assumptions!$B$9</f>
        <v/>
      </c>
      <c r="L5935">
        <f>B5935-J5935</f>
        <v/>
      </c>
      <c r="M5935">
        <f>IF(K5935&gt;0,IF(L5935/K5935&gt;=Assumptions!$B$37,1,0),0)</f>
        <v/>
      </c>
      <c r="N5935">
        <f>K5935+M5935*Assumptions!$B$153</f>
        <v/>
      </c>
      <c r="O5935">
        <f>L5935+M5935*Assumptions!$B$153*Assumptions!$B$37</f>
        <v/>
      </c>
      <c r="P5935">
        <f>IF(N5935&gt;0,O5935/N5935,0)</f>
        <v/>
      </c>
      <c r="Q5935">
        <f>IF(C5935=1,P5935*$J$682,Assumptions!$B$41)</f>
        <v/>
      </c>
      <c r="R5935">
        <f>IF(D5935=1,P5935*$F$682,Assumptions!$B$33)</f>
        <v/>
      </c>
      <c r="S5935">
        <f>IF(E5935=1,P5935*$G$682,Assumptions!$B$32)</f>
        <v/>
      </c>
      <c r="T5935">
        <f>IF(F5935=1,P5935*Assumptions!$B$14,Assumptions!$B$31)</f>
        <v/>
      </c>
      <c r="U5935">
        <f>IF(G5935=1,P5935*Assumptions!$B$13,Assumptions!$B$30)</f>
        <v/>
      </c>
      <c r="V5935">
        <f>IF(H5935=1,P5935*Assumptions!$B$12,Assumptions!$B$29)</f>
        <v/>
      </c>
      <c r="W5935">
        <f>IF(I5935=1,P5935*Assumptions!$B$11,Assumptions!$B$28)</f>
        <v/>
      </c>
      <c r="X5935">
        <f>P5935*($O$682+$S$682)</f>
        <v/>
      </c>
      <c r="Y5935">
        <f>P5935*Assumptions!$B$9</f>
        <v/>
      </c>
      <c r="Z5935">
        <f>IF(M5935=1,(P5935-Assumptions!$B$37)*Assumptions!$B$153,0)</f>
        <v/>
      </c>
      <c r="AA5935">
        <f>Q5935+R5935+S5935+T5935+U5935+V5935+W5935+X5935+Y5935+Z5935</f>
        <v/>
      </c>
      <c r="AB5935" t="n">
        <v>39</v>
      </c>
      <c r="AC5935" t="n">
        <v>103</v>
      </c>
      <c r="AD5935" t="n">
        <v>7</v>
      </c>
      <c r="AE5935" t="n">
        <v>55</v>
      </c>
      <c r="AF5935" t="n">
        <v>47</v>
      </c>
      <c r="AG5935" t="n">
        <v>35</v>
      </c>
      <c r="AH5935" t="n">
        <v>37</v>
      </c>
      <c r="AI5935" t="n">
        <v>38</v>
      </c>
      <c r="AJ5935">
        <f>INDEX($Q$5896:$Q$6023,AC5935+1)</f>
        <v/>
      </c>
      <c r="AK5935">
        <f>INDEX($R$5896:$R$6023,AD5935+1)</f>
        <v/>
      </c>
      <c r="AL5935">
        <f>INDEX($S$5896:$S$6023,AE5935+1)</f>
        <v/>
      </c>
      <c r="AM5935">
        <f>INDEX($T$5896:$T$6023,AF5935+1)</f>
        <v/>
      </c>
      <c r="AN5935">
        <f>INDEX($U$5896:$U$6023,AG5935+1)</f>
        <v/>
      </c>
      <c r="AO5935">
        <f>INDEX($V$5896:$V$6023,AH5935+1)</f>
        <v/>
      </c>
      <c r="AP5935">
        <f>INDEX($W$5896:$W$6023,AI5935+1)</f>
        <v/>
      </c>
      <c r="AQ5935">
        <f>IF(Q5935&gt;=AJ5935-0.01,1,0)</f>
        <v/>
      </c>
      <c r="AR5935">
        <f>IF(R5935&gt;=AK5935-0.01,1,0)</f>
        <v/>
      </c>
      <c r="AS5935">
        <f>IF(S5935&gt;=AL5935-0.01,1,0)</f>
        <v/>
      </c>
      <c r="AT5935">
        <f>IF(T5935&gt;=AM5935-0.01,1,0)</f>
        <v/>
      </c>
      <c r="AU5935">
        <f>IF(U5935&gt;=AN5935-0.01,1,0)</f>
        <v/>
      </c>
      <c r="AV5935">
        <f>IF(V5935&gt;=AO5935-0.01,1,0)</f>
        <v/>
      </c>
      <c r="AW5935">
        <f>IF(W5935&gt;=AP5935-0.01,1,0)</f>
        <v/>
      </c>
      <c r="AX5935">
        <f>AQ5935*AR5935*AS5935*AT5935*AU5935*AV5935*AW5935</f>
        <v/>
      </c>
    </row>
    <row r="5936">
      <c r="A5936" t="inlineStr"/>
      <c r="B5936">
        <f>Assumptions!$B$60</f>
        <v/>
      </c>
      <c r="C5936" t="n">
        <v>0</v>
      </c>
      <c r="D5936" t="n">
        <v>1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>
        <f>(1-C5936)*Assumptions!$B$41+(1-D5936)*Assumptions!$B$33+(1-E5936)*Assumptions!$B$32+(1-F5936)*Assumptions!$B$31+(1-G5936)*Assumptions!$B$30+(1-H5936)*Assumptions!$B$29+(1-I5936)*Assumptions!$B$28</f>
        <v/>
      </c>
      <c r="K5936">
        <f>C5936*$J$682+D5936*$F$682+E5936*$G$682+F5936*Assumptions!$B$14+G5936*Assumptions!$B$13+H5936*Assumptions!$B$12+I5936*Assumptions!$B$11+$O$682+$S$682+Assumptions!$B$9</f>
        <v/>
      </c>
      <c r="L5936">
        <f>B5936-J5936</f>
        <v/>
      </c>
      <c r="M5936">
        <f>IF(K5936&gt;0,IF(L5936/K5936&gt;=Assumptions!$B$37,1,0),0)</f>
        <v/>
      </c>
      <c r="N5936">
        <f>K5936+M5936*Assumptions!$B$153</f>
        <v/>
      </c>
      <c r="O5936">
        <f>L5936+M5936*Assumptions!$B$153*Assumptions!$B$37</f>
        <v/>
      </c>
      <c r="P5936">
        <f>IF(N5936&gt;0,O5936/N5936,0)</f>
        <v/>
      </c>
      <c r="Q5936">
        <f>IF(C5936=1,P5936*$J$682,Assumptions!$B$41)</f>
        <v/>
      </c>
      <c r="R5936">
        <f>IF(D5936=1,P5936*$F$682,Assumptions!$B$33)</f>
        <v/>
      </c>
      <c r="S5936">
        <f>IF(E5936=1,P5936*$G$682,Assumptions!$B$32)</f>
        <v/>
      </c>
      <c r="T5936">
        <f>IF(F5936=1,P5936*Assumptions!$B$14,Assumptions!$B$31)</f>
        <v/>
      </c>
      <c r="U5936">
        <f>IF(G5936=1,P5936*Assumptions!$B$13,Assumptions!$B$30)</f>
        <v/>
      </c>
      <c r="V5936">
        <f>IF(H5936=1,P5936*Assumptions!$B$12,Assumptions!$B$29)</f>
        <v/>
      </c>
      <c r="W5936">
        <f>IF(I5936=1,P5936*Assumptions!$B$11,Assumptions!$B$28)</f>
        <v/>
      </c>
      <c r="X5936">
        <f>P5936*($O$682+$S$682)</f>
        <v/>
      </c>
      <c r="Y5936">
        <f>P5936*Assumptions!$B$9</f>
        <v/>
      </c>
      <c r="Z5936">
        <f>IF(M5936=1,(P5936-Assumptions!$B$37)*Assumptions!$B$153,0)</f>
        <v/>
      </c>
      <c r="AA5936">
        <f>Q5936+R5936+S5936+T5936+U5936+V5936+W5936+X5936+Y5936+Z5936</f>
        <v/>
      </c>
      <c r="AB5936" t="n">
        <v>40</v>
      </c>
      <c r="AC5936" t="n">
        <v>104</v>
      </c>
      <c r="AD5936" t="n">
        <v>8</v>
      </c>
      <c r="AE5936" t="n">
        <v>56</v>
      </c>
      <c r="AF5936" t="n">
        <v>32</v>
      </c>
      <c r="AG5936" t="n">
        <v>44</v>
      </c>
      <c r="AH5936" t="n">
        <v>42</v>
      </c>
      <c r="AI5936" t="n">
        <v>41</v>
      </c>
      <c r="AJ5936">
        <f>INDEX($Q$5896:$Q$6023,AC5936+1)</f>
        <v/>
      </c>
      <c r="AK5936">
        <f>INDEX($R$5896:$R$6023,AD5936+1)</f>
        <v/>
      </c>
      <c r="AL5936">
        <f>INDEX($S$5896:$S$6023,AE5936+1)</f>
        <v/>
      </c>
      <c r="AM5936">
        <f>INDEX($T$5896:$T$6023,AF5936+1)</f>
        <v/>
      </c>
      <c r="AN5936">
        <f>INDEX($U$5896:$U$6023,AG5936+1)</f>
        <v/>
      </c>
      <c r="AO5936">
        <f>INDEX($V$5896:$V$6023,AH5936+1)</f>
        <v/>
      </c>
      <c r="AP5936">
        <f>INDEX($W$5896:$W$6023,AI5936+1)</f>
        <v/>
      </c>
      <c r="AQ5936">
        <f>IF(Q5936&gt;=AJ5936-0.01,1,0)</f>
        <v/>
      </c>
      <c r="AR5936">
        <f>IF(R5936&gt;=AK5936-0.01,1,0)</f>
        <v/>
      </c>
      <c r="AS5936">
        <f>IF(S5936&gt;=AL5936-0.01,1,0)</f>
        <v/>
      </c>
      <c r="AT5936">
        <f>IF(T5936&gt;=AM5936-0.01,1,0)</f>
        <v/>
      </c>
      <c r="AU5936">
        <f>IF(U5936&gt;=AN5936-0.01,1,0)</f>
        <v/>
      </c>
      <c r="AV5936">
        <f>IF(V5936&gt;=AO5936-0.01,1,0)</f>
        <v/>
      </c>
      <c r="AW5936">
        <f>IF(W5936&gt;=AP5936-0.01,1,0)</f>
        <v/>
      </c>
      <c r="AX5936">
        <f>AQ5936*AR5936*AS5936*AT5936*AU5936*AV5936*AW5936</f>
        <v/>
      </c>
    </row>
    <row r="5937">
      <c r="A5937" t="inlineStr"/>
      <c r="B5937">
        <f>Assumptions!$B$60</f>
        <v/>
      </c>
      <c r="C5937" t="n">
        <v>0</v>
      </c>
      <c r="D5937" t="n">
        <v>1</v>
      </c>
      <c r="E5937" t="n">
        <v>0</v>
      </c>
      <c r="F5937" t="n">
        <v>1</v>
      </c>
      <c r="G5937" t="n">
        <v>0</v>
      </c>
      <c r="H5937" t="n">
        <v>0</v>
      </c>
      <c r="I5937" t="n">
        <v>1</v>
      </c>
      <c r="J5937">
        <f>(1-C5937)*Assumptions!$B$41+(1-D5937)*Assumptions!$B$33+(1-E5937)*Assumptions!$B$32+(1-F5937)*Assumptions!$B$31+(1-G5937)*Assumptions!$B$30+(1-H5937)*Assumptions!$B$29+(1-I5937)*Assumptions!$B$28</f>
        <v/>
      </c>
      <c r="K5937">
        <f>C5937*$J$682+D5937*$F$682+E5937*$G$682+F5937*Assumptions!$B$14+G5937*Assumptions!$B$13+H5937*Assumptions!$B$12+I5937*Assumptions!$B$11+$O$682+$S$682+Assumptions!$B$9</f>
        <v/>
      </c>
      <c r="L5937">
        <f>B5937-J5937</f>
        <v/>
      </c>
      <c r="M5937">
        <f>IF(K5937&gt;0,IF(L5937/K5937&gt;=Assumptions!$B$37,1,0),0)</f>
        <v/>
      </c>
      <c r="N5937">
        <f>K5937+M5937*Assumptions!$B$153</f>
        <v/>
      </c>
      <c r="O5937">
        <f>L5937+M5937*Assumptions!$B$153*Assumptions!$B$37</f>
        <v/>
      </c>
      <c r="P5937">
        <f>IF(N5937&gt;0,O5937/N5937,0)</f>
        <v/>
      </c>
      <c r="Q5937">
        <f>IF(C5937=1,P5937*$J$682,Assumptions!$B$41)</f>
        <v/>
      </c>
      <c r="R5937">
        <f>IF(D5937=1,P5937*$F$682,Assumptions!$B$33)</f>
        <v/>
      </c>
      <c r="S5937">
        <f>IF(E5937=1,P5937*$G$682,Assumptions!$B$32)</f>
        <v/>
      </c>
      <c r="T5937">
        <f>IF(F5937=1,P5937*Assumptions!$B$14,Assumptions!$B$31)</f>
        <v/>
      </c>
      <c r="U5937">
        <f>IF(G5937=1,P5937*Assumptions!$B$13,Assumptions!$B$30)</f>
        <v/>
      </c>
      <c r="V5937">
        <f>IF(H5937=1,P5937*Assumptions!$B$12,Assumptions!$B$29)</f>
        <v/>
      </c>
      <c r="W5937">
        <f>IF(I5937=1,P5937*Assumptions!$B$11,Assumptions!$B$28)</f>
        <v/>
      </c>
      <c r="X5937">
        <f>P5937*($O$682+$S$682)</f>
        <v/>
      </c>
      <c r="Y5937">
        <f>P5937*Assumptions!$B$9</f>
        <v/>
      </c>
      <c r="Z5937">
        <f>IF(M5937=1,(P5937-Assumptions!$B$37)*Assumptions!$B$153,0)</f>
        <v/>
      </c>
      <c r="AA5937">
        <f>Q5937+R5937+S5937+T5937+U5937+V5937+W5937+X5937+Y5937+Z5937</f>
        <v/>
      </c>
      <c r="AB5937" t="n">
        <v>41</v>
      </c>
      <c r="AC5937" t="n">
        <v>105</v>
      </c>
      <c r="AD5937" t="n">
        <v>9</v>
      </c>
      <c r="AE5937" t="n">
        <v>57</v>
      </c>
      <c r="AF5937" t="n">
        <v>33</v>
      </c>
      <c r="AG5937" t="n">
        <v>45</v>
      </c>
      <c r="AH5937" t="n">
        <v>43</v>
      </c>
      <c r="AI5937" t="n">
        <v>40</v>
      </c>
      <c r="AJ5937">
        <f>INDEX($Q$5896:$Q$6023,AC5937+1)</f>
        <v/>
      </c>
      <c r="AK5937">
        <f>INDEX($R$5896:$R$6023,AD5937+1)</f>
        <v/>
      </c>
      <c r="AL5937">
        <f>INDEX($S$5896:$S$6023,AE5937+1)</f>
        <v/>
      </c>
      <c r="AM5937">
        <f>INDEX($T$5896:$T$6023,AF5937+1)</f>
        <v/>
      </c>
      <c r="AN5937">
        <f>INDEX($U$5896:$U$6023,AG5937+1)</f>
        <v/>
      </c>
      <c r="AO5937">
        <f>INDEX($V$5896:$V$6023,AH5937+1)</f>
        <v/>
      </c>
      <c r="AP5937">
        <f>INDEX($W$5896:$W$6023,AI5937+1)</f>
        <v/>
      </c>
      <c r="AQ5937">
        <f>IF(Q5937&gt;=AJ5937-0.01,1,0)</f>
        <v/>
      </c>
      <c r="AR5937">
        <f>IF(R5937&gt;=AK5937-0.01,1,0)</f>
        <v/>
      </c>
      <c r="AS5937">
        <f>IF(S5937&gt;=AL5937-0.01,1,0)</f>
        <v/>
      </c>
      <c r="AT5937">
        <f>IF(T5937&gt;=AM5937-0.01,1,0)</f>
        <v/>
      </c>
      <c r="AU5937">
        <f>IF(U5937&gt;=AN5937-0.01,1,0)</f>
        <v/>
      </c>
      <c r="AV5937">
        <f>IF(V5937&gt;=AO5937-0.01,1,0)</f>
        <v/>
      </c>
      <c r="AW5937">
        <f>IF(W5937&gt;=AP5937-0.01,1,0)</f>
        <v/>
      </c>
      <c r="AX5937">
        <f>AQ5937*AR5937*AS5937*AT5937*AU5937*AV5937*AW5937</f>
        <v/>
      </c>
    </row>
    <row r="5938">
      <c r="A5938" t="inlineStr"/>
      <c r="B5938">
        <f>Assumptions!$B$60</f>
        <v/>
      </c>
      <c r="C5938" t="n">
        <v>0</v>
      </c>
      <c r="D5938" t="n">
        <v>1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>
        <f>(1-C5938)*Assumptions!$B$41+(1-D5938)*Assumptions!$B$33+(1-E5938)*Assumptions!$B$32+(1-F5938)*Assumptions!$B$31+(1-G5938)*Assumptions!$B$30+(1-H5938)*Assumptions!$B$29+(1-I5938)*Assumptions!$B$28</f>
        <v/>
      </c>
      <c r="K5938">
        <f>C5938*$J$682+D5938*$F$682+E5938*$G$682+F5938*Assumptions!$B$14+G5938*Assumptions!$B$13+H5938*Assumptions!$B$12+I5938*Assumptions!$B$11+$O$682+$S$682+Assumptions!$B$9</f>
        <v/>
      </c>
      <c r="L5938">
        <f>B5938-J5938</f>
        <v/>
      </c>
      <c r="M5938">
        <f>IF(K5938&gt;0,IF(L5938/K5938&gt;=Assumptions!$B$37,1,0),0)</f>
        <v/>
      </c>
      <c r="N5938">
        <f>K5938+M5938*Assumptions!$B$153</f>
        <v/>
      </c>
      <c r="O5938">
        <f>L5938+M5938*Assumptions!$B$153*Assumptions!$B$37</f>
        <v/>
      </c>
      <c r="P5938">
        <f>IF(N5938&gt;0,O5938/N5938,0)</f>
        <v/>
      </c>
      <c r="Q5938">
        <f>IF(C5938=1,P5938*$J$682,Assumptions!$B$41)</f>
        <v/>
      </c>
      <c r="R5938">
        <f>IF(D5938=1,P5938*$F$682,Assumptions!$B$33)</f>
        <v/>
      </c>
      <c r="S5938">
        <f>IF(E5938=1,P5938*$G$682,Assumptions!$B$32)</f>
        <v/>
      </c>
      <c r="T5938">
        <f>IF(F5938=1,P5938*Assumptions!$B$14,Assumptions!$B$31)</f>
        <v/>
      </c>
      <c r="U5938">
        <f>IF(G5938=1,P5938*Assumptions!$B$13,Assumptions!$B$30)</f>
        <v/>
      </c>
      <c r="V5938">
        <f>IF(H5938=1,P5938*Assumptions!$B$12,Assumptions!$B$29)</f>
        <v/>
      </c>
      <c r="W5938">
        <f>IF(I5938=1,P5938*Assumptions!$B$11,Assumptions!$B$28)</f>
        <v/>
      </c>
      <c r="X5938">
        <f>P5938*($O$682+$S$682)</f>
        <v/>
      </c>
      <c r="Y5938">
        <f>P5938*Assumptions!$B$9</f>
        <v/>
      </c>
      <c r="Z5938">
        <f>IF(M5938=1,(P5938-Assumptions!$B$37)*Assumptions!$B$153,0)</f>
        <v/>
      </c>
      <c r="AA5938">
        <f>Q5938+R5938+S5938+T5938+U5938+V5938+W5938+X5938+Y5938+Z5938</f>
        <v/>
      </c>
      <c r="AB5938" t="n">
        <v>42</v>
      </c>
      <c r="AC5938" t="n">
        <v>106</v>
      </c>
      <c r="AD5938" t="n">
        <v>10</v>
      </c>
      <c r="AE5938" t="n">
        <v>58</v>
      </c>
      <c r="AF5938" t="n">
        <v>34</v>
      </c>
      <c r="AG5938" t="n">
        <v>46</v>
      </c>
      <c r="AH5938" t="n">
        <v>40</v>
      </c>
      <c r="AI5938" t="n">
        <v>43</v>
      </c>
      <c r="AJ5938">
        <f>INDEX($Q$5896:$Q$6023,AC5938+1)</f>
        <v/>
      </c>
      <c r="AK5938">
        <f>INDEX($R$5896:$R$6023,AD5938+1)</f>
        <v/>
      </c>
      <c r="AL5938">
        <f>INDEX($S$5896:$S$6023,AE5938+1)</f>
        <v/>
      </c>
      <c r="AM5938">
        <f>INDEX($T$5896:$T$6023,AF5938+1)</f>
        <v/>
      </c>
      <c r="AN5938">
        <f>INDEX($U$5896:$U$6023,AG5938+1)</f>
        <v/>
      </c>
      <c r="AO5938">
        <f>INDEX($V$5896:$V$6023,AH5938+1)</f>
        <v/>
      </c>
      <c r="AP5938">
        <f>INDEX($W$5896:$W$6023,AI5938+1)</f>
        <v/>
      </c>
      <c r="AQ5938">
        <f>IF(Q5938&gt;=AJ5938-0.01,1,0)</f>
        <v/>
      </c>
      <c r="AR5938">
        <f>IF(R5938&gt;=AK5938-0.01,1,0)</f>
        <v/>
      </c>
      <c r="AS5938">
        <f>IF(S5938&gt;=AL5938-0.01,1,0)</f>
        <v/>
      </c>
      <c r="AT5938">
        <f>IF(T5938&gt;=AM5938-0.01,1,0)</f>
        <v/>
      </c>
      <c r="AU5938">
        <f>IF(U5938&gt;=AN5938-0.01,1,0)</f>
        <v/>
      </c>
      <c r="AV5938">
        <f>IF(V5938&gt;=AO5938-0.01,1,0)</f>
        <v/>
      </c>
      <c r="AW5938">
        <f>IF(W5938&gt;=AP5938-0.01,1,0)</f>
        <v/>
      </c>
      <c r="AX5938">
        <f>AQ5938*AR5938*AS5938*AT5938*AU5938*AV5938*AW5938</f>
        <v/>
      </c>
    </row>
    <row r="5939">
      <c r="A5939" t="inlineStr"/>
      <c r="B5939">
        <f>Assumptions!$B$60</f>
        <v/>
      </c>
      <c r="C5939" t="n">
        <v>0</v>
      </c>
      <c r="D5939" t="n">
        <v>1</v>
      </c>
      <c r="E5939" t="n">
        <v>0</v>
      </c>
      <c r="F5939" t="n">
        <v>1</v>
      </c>
      <c r="G5939" t="n">
        <v>0</v>
      </c>
      <c r="H5939" t="n">
        <v>1</v>
      </c>
      <c r="I5939" t="n">
        <v>1</v>
      </c>
      <c r="J5939">
        <f>(1-C5939)*Assumptions!$B$41+(1-D5939)*Assumptions!$B$33+(1-E5939)*Assumptions!$B$32+(1-F5939)*Assumptions!$B$31+(1-G5939)*Assumptions!$B$30+(1-H5939)*Assumptions!$B$29+(1-I5939)*Assumptions!$B$28</f>
        <v/>
      </c>
      <c r="K5939">
        <f>C5939*$J$682+D5939*$F$682+E5939*$G$682+F5939*Assumptions!$B$14+G5939*Assumptions!$B$13+H5939*Assumptions!$B$12+I5939*Assumptions!$B$11+$O$682+$S$682+Assumptions!$B$9</f>
        <v/>
      </c>
      <c r="L5939">
        <f>B5939-J5939</f>
        <v/>
      </c>
      <c r="M5939">
        <f>IF(K5939&gt;0,IF(L5939/K5939&gt;=Assumptions!$B$37,1,0),0)</f>
        <v/>
      </c>
      <c r="N5939">
        <f>K5939+M5939*Assumptions!$B$153</f>
        <v/>
      </c>
      <c r="O5939">
        <f>L5939+M5939*Assumptions!$B$153*Assumptions!$B$37</f>
        <v/>
      </c>
      <c r="P5939">
        <f>IF(N5939&gt;0,O5939/N5939,0)</f>
        <v/>
      </c>
      <c r="Q5939">
        <f>IF(C5939=1,P5939*$J$682,Assumptions!$B$41)</f>
        <v/>
      </c>
      <c r="R5939">
        <f>IF(D5939=1,P5939*$F$682,Assumptions!$B$33)</f>
        <v/>
      </c>
      <c r="S5939">
        <f>IF(E5939=1,P5939*$G$682,Assumptions!$B$32)</f>
        <v/>
      </c>
      <c r="T5939">
        <f>IF(F5939=1,P5939*Assumptions!$B$14,Assumptions!$B$31)</f>
        <v/>
      </c>
      <c r="U5939">
        <f>IF(G5939=1,P5939*Assumptions!$B$13,Assumptions!$B$30)</f>
        <v/>
      </c>
      <c r="V5939">
        <f>IF(H5939=1,P5939*Assumptions!$B$12,Assumptions!$B$29)</f>
        <v/>
      </c>
      <c r="W5939">
        <f>IF(I5939=1,P5939*Assumptions!$B$11,Assumptions!$B$28)</f>
        <v/>
      </c>
      <c r="X5939">
        <f>P5939*($O$682+$S$682)</f>
        <v/>
      </c>
      <c r="Y5939">
        <f>P5939*Assumptions!$B$9</f>
        <v/>
      </c>
      <c r="Z5939">
        <f>IF(M5939=1,(P5939-Assumptions!$B$37)*Assumptions!$B$153,0)</f>
        <v/>
      </c>
      <c r="AA5939">
        <f>Q5939+R5939+S5939+T5939+U5939+V5939+W5939+X5939+Y5939+Z5939</f>
        <v/>
      </c>
      <c r="AB5939" t="n">
        <v>43</v>
      </c>
      <c r="AC5939" t="n">
        <v>107</v>
      </c>
      <c r="AD5939" t="n">
        <v>11</v>
      </c>
      <c r="AE5939" t="n">
        <v>59</v>
      </c>
      <c r="AF5939" t="n">
        <v>35</v>
      </c>
      <c r="AG5939" t="n">
        <v>47</v>
      </c>
      <c r="AH5939" t="n">
        <v>41</v>
      </c>
      <c r="AI5939" t="n">
        <v>42</v>
      </c>
      <c r="AJ5939">
        <f>INDEX($Q$5896:$Q$6023,AC5939+1)</f>
        <v/>
      </c>
      <c r="AK5939">
        <f>INDEX($R$5896:$R$6023,AD5939+1)</f>
        <v/>
      </c>
      <c r="AL5939">
        <f>INDEX($S$5896:$S$6023,AE5939+1)</f>
        <v/>
      </c>
      <c r="AM5939">
        <f>INDEX($T$5896:$T$6023,AF5939+1)</f>
        <v/>
      </c>
      <c r="AN5939">
        <f>INDEX($U$5896:$U$6023,AG5939+1)</f>
        <v/>
      </c>
      <c r="AO5939">
        <f>INDEX($V$5896:$V$6023,AH5939+1)</f>
        <v/>
      </c>
      <c r="AP5939">
        <f>INDEX($W$5896:$W$6023,AI5939+1)</f>
        <v/>
      </c>
      <c r="AQ5939">
        <f>IF(Q5939&gt;=AJ5939-0.01,1,0)</f>
        <v/>
      </c>
      <c r="AR5939">
        <f>IF(R5939&gt;=AK5939-0.01,1,0)</f>
        <v/>
      </c>
      <c r="AS5939">
        <f>IF(S5939&gt;=AL5939-0.01,1,0)</f>
        <v/>
      </c>
      <c r="AT5939">
        <f>IF(T5939&gt;=AM5939-0.01,1,0)</f>
        <v/>
      </c>
      <c r="AU5939">
        <f>IF(U5939&gt;=AN5939-0.01,1,0)</f>
        <v/>
      </c>
      <c r="AV5939">
        <f>IF(V5939&gt;=AO5939-0.01,1,0)</f>
        <v/>
      </c>
      <c r="AW5939">
        <f>IF(W5939&gt;=AP5939-0.01,1,0)</f>
        <v/>
      </c>
      <c r="AX5939">
        <f>AQ5939*AR5939*AS5939*AT5939*AU5939*AV5939*AW5939</f>
        <v/>
      </c>
    </row>
    <row r="5940">
      <c r="A5940" t="inlineStr"/>
      <c r="B5940">
        <f>Assumptions!$B$60</f>
        <v/>
      </c>
      <c r="C5940" t="n">
        <v>0</v>
      </c>
      <c r="D5940" t="n">
        <v>1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>
        <f>(1-C5940)*Assumptions!$B$41+(1-D5940)*Assumptions!$B$33+(1-E5940)*Assumptions!$B$32+(1-F5940)*Assumptions!$B$31+(1-G5940)*Assumptions!$B$30+(1-H5940)*Assumptions!$B$29+(1-I5940)*Assumptions!$B$28</f>
        <v/>
      </c>
      <c r="K5940">
        <f>C5940*$J$682+D5940*$F$682+E5940*$G$682+F5940*Assumptions!$B$14+G5940*Assumptions!$B$13+H5940*Assumptions!$B$12+I5940*Assumptions!$B$11+$O$682+$S$682+Assumptions!$B$9</f>
        <v/>
      </c>
      <c r="L5940">
        <f>B5940-J5940</f>
        <v/>
      </c>
      <c r="M5940">
        <f>IF(K5940&gt;0,IF(L5940/K5940&gt;=Assumptions!$B$37,1,0),0)</f>
        <v/>
      </c>
      <c r="N5940">
        <f>K5940+M5940*Assumptions!$B$153</f>
        <v/>
      </c>
      <c r="O5940">
        <f>L5940+M5940*Assumptions!$B$153*Assumptions!$B$37</f>
        <v/>
      </c>
      <c r="P5940">
        <f>IF(N5940&gt;0,O5940/N5940,0)</f>
        <v/>
      </c>
      <c r="Q5940">
        <f>IF(C5940=1,P5940*$J$682,Assumptions!$B$41)</f>
        <v/>
      </c>
      <c r="R5940">
        <f>IF(D5940=1,P5940*$F$682,Assumptions!$B$33)</f>
        <v/>
      </c>
      <c r="S5940">
        <f>IF(E5940=1,P5940*$G$682,Assumptions!$B$32)</f>
        <v/>
      </c>
      <c r="T5940">
        <f>IF(F5940=1,P5940*Assumptions!$B$14,Assumptions!$B$31)</f>
        <v/>
      </c>
      <c r="U5940">
        <f>IF(G5940=1,P5940*Assumptions!$B$13,Assumptions!$B$30)</f>
        <v/>
      </c>
      <c r="V5940">
        <f>IF(H5940=1,P5940*Assumptions!$B$12,Assumptions!$B$29)</f>
        <v/>
      </c>
      <c r="W5940">
        <f>IF(I5940=1,P5940*Assumptions!$B$11,Assumptions!$B$28)</f>
        <v/>
      </c>
      <c r="X5940">
        <f>P5940*($O$682+$S$682)</f>
        <v/>
      </c>
      <c r="Y5940">
        <f>P5940*Assumptions!$B$9</f>
        <v/>
      </c>
      <c r="Z5940">
        <f>IF(M5940=1,(P5940-Assumptions!$B$37)*Assumptions!$B$153,0)</f>
        <v/>
      </c>
      <c r="AA5940">
        <f>Q5940+R5940+S5940+T5940+U5940+V5940+W5940+X5940+Y5940+Z5940</f>
        <v/>
      </c>
      <c r="AB5940" t="n">
        <v>44</v>
      </c>
      <c r="AC5940" t="n">
        <v>108</v>
      </c>
      <c r="AD5940" t="n">
        <v>12</v>
      </c>
      <c r="AE5940" t="n">
        <v>60</v>
      </c>
      <c r="AF5940" t="n">
        <v>36</v>
      </c>
      <c r="AG5940" t="n">
        <v>40</v>
      </c>
      <c r="AH5940" t="n">
        <v>46</v>
      </c>
      <c r="AI5940" t="n">
        <v>45</v>
      </c>
      <c r="AJ5940">
        <f>INDEX($Q$5896:$Q$6023,AC5940+1)</f>
        <v/>
      </c>
      <c r="AK5940">
        <f>INDEX($R$5896:$R$6023,AD5940+1)</f>
        <v/>
      </c>
      <c r="AL5940">
        <f>INDEX($S$5896:$S$6023,AE5940+1)</f>
        <v/>
      </c>
      <c r="AM5940">
        <f>INDEX($T$5896:$T$6023,AF5940+1)</f>
        <v/>
      </c>
      <c r="AN5940">
        <f>INDEX($U$5896:$U$6023,AG5940+1)</f>
        <v/>
      </c>
      <c r="AO5940">
        <f>INDEX($V$5896:$V$6023,AH5940+1)</f>
        <v/>
      </c>
      <c r="AP5940">
        <f>INDEX($W$5896:$W$6023,AI5940+1)</f>
        <v/>
      </c>
      <c r="AQ5940">
        <f>IF(Q5940&gt;=AJ5940-0.01,1,0)</f>
        <v/>
      </c>
      <c r="AR5940">
        <f>IF(R5940&gt;=AK5940-0.01,1,0)</f>
        <v/>
      </c>
      <c r="AS5940">
        <f>IF(S5940&gt;=AL5940-0.01,1,0)</f>
        <v/>
      </c>
      <c r="AT5940">
        <f>IF(T5940&gt;=AM5940-0.01,1,0)</f>
        <v/>
      </c>
      <c r="AU5940">
        <f>IF(U5940&gt;=AN5940-0.01,1,0)</f>
        <v/>
      </c>
      <c r="AV5940">
        <f>IF(V5940&gt;=AO5940-0.01,1,0)</f>
        <v/>
      </c>
      <c r="AW5940">
        <f>IF(W5940&gt;=AP5940-0.01,1,0)</f>
        <v/>
      </c>
      <c r="AX5940">
        <f>AQ5940*AR5940*AS5940*AT5940*AU5940*AV5940*AW5940</f>
        <v/>
      </c>
    </row>
    <row r="5941">
      <c r="A5941" t="inlineStr"/>
      <c r="B5941">
        <f>Assumptions!$B$60</f>
        <v/>
      </c>
      <c r="C5941" t="n">
        <v>0</v>
      </c>
      <c r="D5941" t="n">
        <v>1</v>
      </c>
      <c r="E5941" t="n">
        <v>0</v>
      </c>
      <c r="F5941" t="n">
        <v>1</v>
      </c>
      <c r="G5941" t="n">
        <v>1</v>
      </c>
      <c r="H5941" t="n">
        <v>0</v>
      </c>
      <c r="I5941" t="n">
        <v>1</v>
      </c>
      <c r="J5941">
        <f>(1-C5941)*Assumptions!$B$41+(1-D5941)*Assumptions!$B$33+(1-E5941)*Assumptions!$B$32+(1-F5941)*Assumptions!$B$31+(1-G5941)*Assumptions!$B$30+(1-H5941)*Assumptions!$B$29+(1-I5941)*Assumptions!$B$28</f>
        <v/>
      </c>
      <c r="K5941">
        <f>C5941*$J$682+D5941*$F$682+E5941*$G$682+F5941*Assumptions!$B$14+G5941*Assumptions!$B$13+H5941*Assumptions!$B$12+I5941*Assumptions!$B$11+$O$682+$S$682+Assumptions!$B$9</f>
        <v/>
      </c>
      <c r="L5941">
        <f>B5941-J5941</f>
        <v/>
      </c>
      <c r="M5941">
        <f>IF(K5941&gt;0,IF(L5941/K5941&gt;=Assumptions!$B$37,1,0),0)</f>
        <v/>
      </c>
      <c r="N5941">
        <f>K5941+M5941*Assumptions!$B$153</f>
        <v/>
      </c>
      <c r="O5941">
        <f>L5941+M5941*Assumptions!$B$153*Assumptions!$B$37</f>
        <v/>
      </c>
      <c r="P5941">
        <f>IF(N5941&gt;0,O5941/N5941,0)</f>
        <v/>
      </c>
      <c r="Q5941">
        <f>IF(C5941=1,P5941*$J$682,Assumptions!$B$41)</f>
        <v/>
      </c>
      <c r="R5941">
        <f>IF(D5941=1,P5941*$F$682,Assumptions!$B$33)</f>
        <v/>
      </c>
      <c r="S5941">
        <f>IF(E5941=1,P5941*$G$682,Assumptions!$B$32)</f>
        <v/>
      </c>
      <c r="T5941">
        <f>IF(F5941=1,P5941*Assumptions!$B$14,Assumptions!$B$31)</f>
        <v/>
      </c>
      <c r="U5941">
        <f>IF(G5941=1,P5941*Assumptions!$B$13,Assumptions!$B$30)</f>
        <v/>
      </c>
      <c r="V5941">
        <f>IF(H5941=1,P5941*Assumptions!$B$12,Assumptions!$B$29)</f>
        <v/>
      </c>
      <c r="W5941">
        <f>IF(I5941=1,P5941*Assumptions!$B$11,Assumptions!$B$28)</f>
        <v/>
      </c>
      <c r="X5941">
        <f>P5941*($O$682+$S$682)</f>
        <v/>
      </c>
      <c r="Y5941">
        <f>P5941*Assumptions!$B$9</f>
        <v/>
      </c>
      <c r="Z5941">
        <f>IF(M5941=1,(P5941-Assumptions!$B$37)*Assumptions!$B$153,0)</f>
        <v/>
      </c>
      <c r="AA5941">
        <f>Q5941+R5941+S5941+T5941+U5941+V5941+W5941+X5941+Y5941+Z5941</f>
        <v/>
      </c>
      <c r="AB5941" t="n">
        <v>45</v>
      </c>
      <c r="AC5941" t="n">
        <v>109</v>
      </c>
      <c r="AD5941" t="n">
        <v>13</v>
      </c>
      <c r="AE5941" t="n">
        <v>61</v>
      </c>
      <c r="AF5941" t="n">
        <v>37</v>
      </c>
      <c r="AG5941" t="n">
        <v>41</v>
      </c>
      <c r="AH5941" t="n">
        <v>47</v>
      </c>
      <c r="AI5941" t="n">
        <v>44</v>
      </c>
      <c r="AJ5941">
        <f>INDEX($Q$5896:$Q$6023,AC5941+1)</f>
        <v/>
      </c>
      <c r="AK5941">
        <f>INDEX($R$5896:$R$6023,AD5941+1)</f>
        <v/>
      </c>
      <c r="AL5941">
        <f>INDEX($S$5896:$S$6023,AE5941+1)</f>
        <v/>
      </c>
      <c r="AM5941">
        <f>INDEX($T$5896:$T$6023,AF5941+1)</f>
        <v/>
      </c>
      <c r="AN5941">
        <f>INDEX($U$5896:$U$6023,AG5941+1)</f>
        <v/>
      </c>
      <c r="AO5941">
        <f>INDEX($V$5896:$V$6023,AH5941+1)</f>
        <v/>
      </c>
      <c r="AP5941">
        <f>INDEX($W$5896:$W$6023,AI5941+1)</f>
        <v/>
      </c>
      <c r="AQ5941">
        <f>IF(Q5941&gt;=AJ5941-0.01,1,0)</f>
        <v/>
      </c>
      <c r="AR5941">
        <f>IF(R5941&gt;=AK5941-0.01,1,0)</f>
        <v/>
      </c>
      <c r="AS5941">
        <f>IF(S5941&gt;=AL5941-0.01,1,0)</f>
        <v/>
      </c>
      <c r="AT5941">
        <f>IF(T5941&gt;=AM5941-0.01,1,0)</f>
        <v/>
      </c>
      <c r="AU5941">
        <f>IF(U5941&gt;=AN5941-0.01,1,0)</f>
        <v/>
      </c>
      <c r="AV5941">
        <f>IF(V5941&gt;=AO5941-0.01,1,0)</f>
        <v/>
      </c>
      <c r="AW5941">
        <f>IF(W5941&gt;=AP5941-0.01,1,0)</f>
        <v/>
      </c>
      <c r="AX5941">
        <f>AQ5941*AR5941*AS5941*AT5941*AU5941*AV5941*AW5941</f>
        <v/>
      </c>
    </row>
    <row r="5942">
      <c r="A5942" t="inlineStr"/>
      <c r="B5942">
        <f>Assumptions!$B$60</f>
        <v/>
      </c>
      <c r="C5942" t="n">
        <v>0</v>
      </c>
      <c r="D5942" t="n">
        <v>1</v>
      </c>
      <c r="E5942" t="n">
        <v>0</v>
      </c>
      <c r="F5942" t="n">
        <v>1</v>
      </c>
      <c r="G5942" t="n">
        <v>1</v>
      </c>
      <c r="H5942" t="n">
        <v>1</v>
      </c>
      <c r="I5942" t="n">
        <v>0</v>
      </c>
      <c r="J5942">
        <f>(1-C5942)*Assumptions!$B$41+(1-D5942)*Assumptions!$B$33+(1-E5942)*Assumptions!$B$32+(1-F5942)*Assumptions!$B$31+(1-G5942)*Assumptions!$B$30+(1-H5942)*Assumptions!$B$29+(1-I5942)*Assumptions!$B$28</f>
        <v/>
      </c>
      <c r="K5942">
        <f>C5942*$J$682+D5942*$F$682+E5942*$G$682+F5942*Assumptions!$B$14+G5942*Assumptions!$B$13+H5942*Assumptions!$B$12+I5942*Assumptions!$B$11+$O$682+$S$682+Assumptions!$B$9</f>
        <v/>
      </c>
      <c r="L5942">
        <f>B5942-J5942</f>
        <v/>
      </c>
      <c r="M5942">
        <f>IF(K5942&gt;0,IF(L5942/K5942&gt;=Assumptions!$B$37,1,0),0)</f>
        <v/>
      </c>
      <c r="N5942">
        <f>K5942+M5942*Assumptions!$B$153</f>
        <v/>
      </c>
      <c r="O5942">
        <f>L5942+M5942*Assumptions!$B$153*Assumptions!$B$37</f>
        <v/>
      </c>
      <c r="P5942">
        <f>IF(N5942&gt;0,O5942/N5942,0)</f>
        <v/>
      </c>
      <c r="Q5942">
        <f>IF(C5942=1,P5942*$J$682,Assumptions!$B$41)</f>
        <v/>
      </c>
      <c r="R5942">
        <f>IF(D5942=1,P5942*$F$682,Assumptions!$B$33)</f>
        <v/>
      </c>
      <c r="S5942">
        <f>IF(E5942=1,P5942*$G$682,Assumptions!$B$32)</f>
        <v/>
      </c>
      <c r="T5942">
        <f>IF(F5942=1,P5942*Assumptions!$B$14,Assumptions!$B$31)</f>
        <v/>
      </c>
      <c r="U5942">
        <f>IF(G5942=1,P5942*Assumptions!$B$13,Assumptions!$B$30)</f>
        <v/>
      </c>
      <c r="V5942">
        <f>IF(H5942=1,P5942*Assumptions!$B$12,Assumptions!$B$29)</f>
        <v/>
      </c>
      <c r="W5942">
        <f>IF(I5942=1,P5942*Assumptions!$B$11,Assumptions!$B$28)</f>
        <v/>
      </c>
      <c r="X5942">
        <f>P5942*($O$682+$S$682)</f>
        <v/>
      </c>
      <c r="Y5942">
        <f>P5942*Assumptions!$B$9</f>
        <v/>
      </c>
      <c r="Z5942">
        <f>IF(M5942=1,(P5942-Assumptions!$B$37)*Assumptions!$B$153,0)</f>
        <v/>
      </c>
      <c r="AA5942">
        <f>Q5942+R5942+S5942+T5942+U5942+V5942+W5942+X5942+Y5942+Z5942</f>
        <v/>
      </c>
      <c r="AB5942" t="n">
        <v>46</v>
      </c>
      <c r="AC5942" t="n">
        <v>110</v>
      </c>
      <c r="AD5942" t="n">
        <v>14</v>
      </c>
      <c r="AE5942" t="n">
        <v>62</v>
      </c>
      <c r="AF5942" t="n">
        <v>38</v>
      </c>
      <c r="AG5942" t="n">
        <v>42</v>
      </c>
      <c r="AH5942" t="n">
        <v>44</v>
      </c>
      <c r="AI5942" t="n">
        <v>47</v>
      </c>
      <c r="AJ5942">
        <f>INDEX($Q$5896:$Q$6023,AC5942+1)</f>
        <v/>
      </c>
      <c r="AK5942">
        <f>INDEX($R$5896:$R$6023,AD5942+1)</f>
        <v/>
      </c>
      <c r="AL5942">
        <f>INDEX($S$5896:$S$6023,AE5942+1)</f>
        <v/>
      </c>
      <c r="AM5942">
        <f>INDEX($T$5896:$T$6023,AF5942+1)</f>
        <v/>
      </c>
      <c r="AN5942">
        <f>INDEX($U$5896:$U$6023,AG5942+1)</f>
        <v/>
      </c>
      <c r="AO5942">
        <f>INDEX($V$5896:$V$6023,AH5942+1)</f>
        <v/>
      </c>
      <c r="AP5942">
        <f>INDEX($W$5896:$W$6023,AI5942+1)</f>
        <v/>
      </c>
      <c r="AQ5942">
        <f>IF(Q5942&gt;=AJ5942-0.01,1,0)</f>
        <v/>
      </c>
      <c r="AR5942">
        <f>IF(R5942&gt;=AK5942-0.01,1,0)</f>
        <v/>
      </c>
      <c r="AS5942">
        <f>IF(S5942&gt;=AL5942-0.01,1,0)</f>
        <v/>
      </c>
      <c r="AT5942">
        <f>IF(T5942&gt;=AM5942-0.01,1,0)</f>
        <v/>
      </c>
      <c r="AU5942">
        <f>IF(U5942&gt;=AN5942-0.01,1,0)</f>
        <v/>
      </c>
      <c r="AV5942">
        <f>IF(V5942&gt;=AO5942-0.01,1,0)</f>
        <v/>
      </c>
      <c r="AW5942">
        <f>IF(W5942&gt;=AP5942-0.01,1,0)</f>
        <v/>
      </c>
      <c r="AX5942">
        <f>AQ5942*AR5942*AS5942*AT5942*AU5942*AV5942*AW5942</f>
        <v/>
      </c>
    </row>
    <row r="5943">
      <c r="A5943" t="inlineStr"/>
      <c r="B5943">
        <f>Assumptions!$B$60</f>
        <v/>
      </c>
      <c r="C5943" t="n">
        <v>0</v>
      </c>
      <c r="D5943" t="n">
        <v>1</v>
      </c>
      <c r="E5943" t="n">
        <v>0</v>
      </c>
      <c r="F5943" t="n">
        <v>1</v>
      </c>
      <c r="G5943" t="n">
        <v>1</v>
      </c>
      <c r="H5943" t="n">
        <v>1</v>
      </c>
      <c r="I5943" t="n">
        <v>1</v>
      </c>
      <c r="J5943">
        <f>(1-C5943)*Assumptions!$B$41+(1-D5943)*Assumptions!$B$33+(1-E5943)*Assumptions!$B$32+(1-F5943)*Assumptions!$B$31+(1-G5943)*Assumptions!$B$30+(1-H5943)*Assumptions!$B$29+(1-I5943)*Assumptions!$B$28</f>
        <v/>
      </c>
      <c r="K5943">
        <f>C5943*$J$682+D5943*$F$682+E5943*$G$682+F5943*Assumptions!$B$14+G5943*Assumptions!$B$13+H5943*Assumptions!$B$12+I5943*Assumptions!$B$11+$O$682+$S$682+Assumptions!$B$9</f>
        <v/>
      </c>
      <c r="L5943">
        <f>B5943-J5943</f>
        <v/>
      </c>
      <c r="M5943">
        <f>IF(K5943&gt;0,IF(L5943/K5943&gt;=Assumptions!$B$37,1,0),0)</f>
        <v/>
      </c>
      <c r="N5943">
        <f>K5943+M5943*Assumptions!$B$153</f>
        <v/>
      </c>
      <c r="O5943">
        <f>L5943+M5943*Assumptions!$B$153*Assumptions!$B$37</f>
        <v/>
      </c>
      <c r="P5943">
        <f>IF(N5943&gt;0,O5943/N5943,0)</f>
        <v/>
      </c>
      <c r="Q5943">
        <f>IF(C5943=1,P5943*$J$682,Assumptions!$B$41)</f>
        <v/>
      </c>
      <c r="R5943">
        <f>IF(D5943=1,P5943*$F$682,Assumptions!$B$33)</f>
        <v/>
      </c>
      <c r="S5943">
        <f>IF(E5943=1,P5943*$G$682,Assumptions!$B$32)</f>
        <v/>
      </c>
      <c r="T5943">
        <f>IF(F5943=1,P5943*Assumptions!$B$14,Assumptions!$B$31)</f>
        <v/>
      </c>
      <c r="U5943">
        <f>IF(G5943=1,P5943*Assumptions!$B$13,Assumptions!$B$30)</f>
        <v/>
      </c>
      <c r="V5943">
        <f>IF(H5943=1,P5943*Assumptions!$B$12,Assumptions!$B$29)</f>
        <v/>
      </c>
      <c r="W5943">
        <f>IF(I5943=1,P5943*Assumptions!$B$11,Assumptions!$B$28)</f>
        <v/>
      </c>
      <c r="X5943">
        <f>P5943*($O$682+$S$682)</f>
        <v/>
      </c>
      <c r="Y5943">
        <f>P5943*Assumptions!$B$9</f>
        <v/>
      </c>
      <c r="Z5943">
        <f>IF(M5943=1,(P5943-Assumptions!$B$37)*Assumptions!$B$153,0)</f>
        <v/>
      </c>
      <c r="AA5943">
        <f>Q5943+R5943+S5943+T5943+U5943+V5943+W5943+X5943+Y5943+Z5943</f>
        <v/>
      </c>
      <c r="AB5943" t="n">
        <v>47</v>
      </c>
      <c r="AC5943" t="n">
        <v>111</v>
      </c>
      <c r="AD5943" t="n">
        <v>15</v>
      </c>
      <c r="AE5943" t="n">
        <v>63</v>
      </c>
      <c r="AF5943" t="n">
        <v>39</v>
      </c>
      <c r="AG5943" t="n">
        <v>43</v>
      </c>
      <c r="AH5943" t="n">
        <v>45</v>
      </c>
      <c r="AI5943" t="n">
        <v>46</v>
      </c>
      <c r="AJ5943">
        <f>INDEX($Q$5896:$Q$6023,AC5943+1)</f>
        <v/>
      </c>
      <c r="AK5943">
        <f>INDEX($R$5896:$R$6023,AD5943+1)</f>
        <v/>
      </c>
      <c r="AL5943">
        <f>INDEX($S$5896:$S$6023,AE5943+1)</f>
        <v/>
      </c>
      <c r="AM5943">
        <f>INDEX($T$5896:$T$6023,AF5943+1)</f>
        <v/>
      </c>
      <c r="AN5943">
        <f>INDEX($U$5896:$U$6023,AG5943+1)</f>
        <v/>
      </c>
      <c r="AO5943">
        <f>INDEX($V$5896:$V$6023,AH5943+1)</f>
        <v/>
      </c>
      <c r="AP5943">
        <f>INDEX($W$5896:$W$6023,AI5943+1)</f>
        <v/>
      </c>
      <c r="AQ5943">
        <f>IF(Q5943&gt;=AJ5943-0.01,1,0)</f>
        <v/>
      </c>
      <c r="AR5943">
        <f>IF(R5943&gt;=AK5943-0.01,1,0)</f>
        <v/>
      </c>
      <c r="AS5943">
        <f>IF(S5943&gt;=AL5943-0.01,1,0)</f>
        <v/>
      </c>
      <c r="AT5943">
        <f>IF(T5943&gt;=AM5943-0.01,1,0)</f>
        <v/>
      </c>
      <c r="AU5943">
        <f>IF(U5943&gt;=AN5943-0.01,1,0)</f>
        <v/>
      </c>
      <c r="AV5943">
        <f>IF(V5943&gt;=AO5943-0.01,1,0)</f>
        <v/>
      </c>
      <c r="AW5943">
        <f>IF(W5943&gt;=AP5943-0.01,1,0)</f>
        <v/>
      </c>
      <c r="AX5943">
        <f>AQ5943*AR5943*AS5943*AT5943*AU5943*AV5943*AW5943</f>
        <v/>
      </c>
    </row>
    <row r="5944">
      <c r="A5944" t="inlineStr"/>
      <c r="B5944">
        <f>Assumptions!$B$60</f>
        <v/>
      </c>
      <c r="C5944" t="n">
        <v>0</v>
      </c>
      <c r="D5944" t="n">
        <v>1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>
        <f>(1-C5944)*Assumptions!$B$41+(1-D5944)*Assumptions!$B$33+(1-E5944)*Assumptions!$B$32+(1-F5944)*Assumptions!$B$31+(1-G5944)*Assumptions!$B$30+(1-H5944)*Assumptions!$B$29+(1-I5944)*Assumptions!$B$28</f>
        <v/>
      </c>
      <c r="K5944">
        <f>C5944*$J$682+D5944*$F$682+E5944*$G$682+F5944*Assumptions!$B$14+G5944*Assumptions!$B$13+H5944*Assumptions!$B$12+I5944*Assumptions!$B$11+$O$682+$S$682+Assumptions!$B$9</f>
        <v/>
      </c>
      <c r="L5944">
        <f>B5944-J5944</f>
        <v/>
      </c>
      <c r="M5944">
        <f>IF(K5944&gt;0,IF(L5944/K5944&gt;=Assumptions!$B$37,1,0),0)</f>
        <v/>
      </c>
      <c r="N5944">
        <f>K5944+M5944*Assumptions!$B$153</f>
        <v/>
      </c>
      <c r="O5944">
        <f>L5944+M5944*Assumptions!$B$153*Assumptions!$B$37</f>
        <v/>
      </c>
      <c r="P5944">
        <f>IF(N5944&gt;0,O5944/N5944,0)</f>
        <v/>
      </c>
      <c r="Q5944">
        <f>IF(C5944=1,P5944*$J$682,Assumptions!$B$41)</f>
        <v/>
      </c>
      <c r="R5944">
        <f>IF(D5944=1,P5944*$F$682,Assumptions!$B$33)</f>
        <v/>
      </c>
      <c r="S5944">
        <f>IF(E5944=1,P5944*$G$682,Assumptions!$B$32)</f>
        <v/>
      </c>
      <c r="T5944">
        <f>IF(F5944=1,P5944*Assumptions!$B$14,Assumptions!$B$31)</f>
        <v/>
      </c>
      <c r="U5944">
        <f>IF(G5944=1,P5944*Assumptions!$B$13,Assumptions!$B$30)</f>
        <v/>
      </c>
      <c r="V5944">
        <f>IF(H5944=1,P5944*Assumptions!$B$12,Assumptions!$B$29)</f>
        <v/>
      </c>
      <c r="W5944">
        <f>IF(I5944=1,P5944*Assumptions!$B$11,Assumptions!$B$28)</f>
        <v/>
      </c>
      <c r="X5944">
        <f>P5944*($O$682+$S$682)</f>
        <v/>
      </c>
      <c r="Y5944">
        <f>P5944*Assumptions!$B$9</f>
        <v/>
      </c>
      <c r="Z5944">
        <f>IF(M5944=1,(P5944-Assumptions!$B$37)*Assumptions!$B$153,0)</f>
        <v/>
      </c>
      <c r="AA5944">
        <f>Q5944+R5944+S5944+T5944+U5944+V5944+W5944+X5944+Y5944+Z5944</f>
        <v/>
      </c>
      <c r="AB5944" t="n">
        <v>48</v>
      </c>
      <c r="AC5944" t="n">
        <v>112</v>
      </c>
      <c r="AD5944" t="n">
        <v>16</v>
      </c>
      <c r="AE5944" t="n">
        <v>32</v>
      </c>
      <c r="AF5944" t="n">
        <v>56</v>
      </c>
      <c r="AG5944" t="n">
        <v>52</v>
      </c>
      <c r="AH5944" t="n">
        <v>50</v>
      </c>
      <c r="AI5944" t="n">
        <v>49</v>
      </c>
      <c r="AJ5944">
        <f>INDEX($Q$5896:$Q$6023,AC5944+1)</f>
        <v/>
      </c>
      <c r="AK5944">
        <f>INDEX($R$5896:$R$6023,AD5944+1)</f>
        <v/>
      </c>
      <c r="AL5944">
        <f>INDEX($S$5896:$S$6023,AE5944+1)</f>
        <v/>
      </c>
      <c r="AM5944">
        <f>INDEX($T$5896:$T$6023,AF5944+1)</f>
        <v/>
      </c>
      <c r="AN5944">
        <f>INDEX($U$5896:$U$6023,AG5944+1)</f>
        <v/>
      </c>
      <c r="AO5944">
        <f>INDEX($V$5896:$V$6023,AH5944+1)</f>
        <v/>
      </c>
      <c r="AP5944">
        <f>INDEX($W$5896:$W$6023,AI5944+1)</f>
        <v/>
      </c>
      <c r="AQ5944">
        <f>IF(Q5944&gt;=AJ5944-0.01,1,0)</f>
        <v/>
      </c>
      <c r="AR5944">
        <f>IF(R5944&gt;=AK5944-0.01,1,0)</f>
        <v/>
      </c>
      <c r="AS5944">
        <f>IF(S5944&gt;=AL5944-0.01,1,0)</f>
        <v/>
      </c>
      <c r="AT5944">
        <f>IF(T5944&gt;=AM5944-0.01,1,0)</f>
        <v/>
      </c>
      <c r="AU5944">
        <f>IF(U5944&gt;=AN5944-0.01,1,0)</f>
        <v/>
      </c>
      <c r="AV5944">
        <f>IF(V5944&gt;=AO5944-0.01,1,0)</f>
        <v/>
      </c>
      <c r="AW5944">
        <f>IF(W5944&gt;=AP5944-0.01,1,0)</f>
        <v/>
      </c>
      <c r="AX5944">
        <f>AQ5944*AR5944*AS5944*AT5944*AU5944*AV5944*AW5944</f>
        <v/>
      </c>
    </row>
    <row r="5945">
      <c r="A5945" t="inlineStr"/>
      <c r="B5945">
        <f>Assumptions!$B$60</f>
        <v/>
      </c>
      <c r="C5945" t="n">
        <v>0</v>
      </c>
      <c r="D5945" t="n">
        <v>1</v>
      </c>
      <c r="E5945" t="n">
        <v>1</v>
      </c>
      <c r="F5945" t="n">
        <v>0</v>
      </c>
      <c r="G5945" t="n">
        <v>0</v>
      </c>
      <c r="H5945" t="n">
        <v>0</v>
      </c>
      <c r="I5945" t="n">
        <v>1</v>
      </c>
      <c r="J5945">
        <f>(1-C5945)*Assumptions!$B$41+(1-D5945)*Assumptions!$B$33+(1-E5945)*Assumptions!$B$32+(1-F5945)*Assumptions!$B$31+(1-G5945)*Assumptions!$B$30+(1-H5945)*Assumptions!$B$29+(1-I5945)*Assumptions!$B$28</f>
        <v/>
      </c>
      <c r="K5945">
        <f>C5945*$J$682+D5945*$F$682+E5945*$G$682+F5945*Assumptions!$B$14+G5945*Assumptions!$B$13+H5945*Assumptions!$B$12+I5945*Assumptions!$B$11+$O$682+$S$682+Assumptions!$B$9</f>
        <v/>
      </c>
      <c r="L5945">
        <f>B5945-J5945</f>
        <v/>
      </c>
      <c r="M5945">
        <f>IF(K5945&gt;0,IF(L5945/K5945&gt;=Assumptions!$B$37,1,0),0)</f>
        <v/>
      </c>
      <c r="N5945">
        <f>K5945+M5945*Assumptions!$B$153</f>
        <v/>
      </c>
      <c r="O5945">
        <f>L5945+M5945*Assumptions!$B$153*Assumptions!$B$37</f>
        <v/>
      </c>
      <c r="P5945">
        <f>IF(N5945&gt;0,O5945/N5945,0)</f>
        <v/>
      </c>
      <c r="Q5945">
        <f>IF(C5945=1,P5945*$J$682,Assumptions!$B$41)</f>
        <v/>
      </c>
      <c r="R5945">
        <f>IF(D5945=1,P5945*$F$682,Assumptions!$B$33)</f>
        <v/>
      </c>
      <c r="S5945">
        <f>IF(E5945=1,P5945*$G$682,Assumptions!$B$32)</f>
        <v/>
      </c>
      <c r="T5945">
        <f>IF(F5945=1,P5945*Assumptions!$B$14,Assumptions!$B$31)</f>
        <v/>
      </c>
      <c r="U5945">
        <f>IF(G5945=1,P5945*Assumptions!$B$13,Assumptions!$B$30)</f>
        <v/>
      </c>
      <c r="V5945">
        <f>IF(H5945=1,P5945*Assumptions!$B$12,Assumptions!$B$29)</f>
        <v/>
      </c>
      <c r="W5945">
        <f>IF(I5945=1,P5945*Assumptions!$B$11,Assumptions!$B$28)</f>
        <v/>
      </c>
      <c r="X5945">
        <f>P5945*($O$682+$S$682)</f>
        <v/>
      </c>
      <c r="Y5945">
        <f>P5945*Assumptions!$B$9</f>
        <v/>
      </c>
      <c r="Z5945">
        <f>IF(M5945=1,(P5945-Assumptions!$B$37)*Assumptions!$B$153,0)</f>
        <v/>
      </c>
      <c r="AA5945">
        <f>Q5945+R5945+S5945+T5945+U5945+V5945+W5945+X5945+Y5945+Z5945</f>
        <v/>
      </c>
      <c r="AB5945" t="n">
        <v>49</v>
      </c>
      <c r="AC5945" t="n">
        <v>113</v>
      </c>
      <c r="AD5945" t="n">
        <v>17</v>
      </c>
      <c r="AE5945" t="n">
        <v>33</v>
      </c>
      <c r="AF5945" t="n">
        <v>57</v>
      </c>
      <c r="AG5945" t="n">
        <v>53</v>
      </c>
      <c r="AH5945" t="n">
        <v>51</v>
      </c>
      <c r="AI5945" t="n">
        <v>48</v>
      </c>
      <c r="AJ5945">
        <f>INDEX($Q$5896:$Q$6023,AC5945+1)</f>
        <v/>
      </c>
      <c r="AK5945">
        <f>INDEX($R$5896:$R$6023,AD5945+1)</f>
        <v/>
      </c>
      <c r="AL5945">
        <f>INDEX($S$5896:$S$6023,AE5945+1)</f>
        <v/>
      </c>
      <c r="AM5945">
        <f>INDEX($T$5896:$T$6023,AF5945+1)</f>
        <v/>
      </c>
      <c r="AN5945">
        <f>INDEX($U$5896:$U$6023,AG5945+1)</f>
        <v/>
      </c>
      <c r="AO5945">
        <f>INDEX($V$5896:$V$6023,AH5945+1)</f>
        <v/>
      </c>
      <c r="AP5945">
        <f>INDEX($W$5896:$W$6023,AI5945+1)</f>
        <v/>
      </c>
      <c r="AQ5945">
        <f>IF(Q5945&gt;=AJ5945-0.01,1,0)</f>
        <v/>
      </c>
      <c r="AR5945">
        <f>IF(R5945&gt;=AK5945-0.01,1,0)</f>
        <v/>
      </c>
      <c r="AS5945">
        <f>IF(S5945&gt;=AL5945-0.01,1,0)</f>
        <v/>
      </c>
      <c r="AT5945">
        <f>IF(T5945&gt;=AM5945-0.01,1,0)</f>
        <v/>
      </c>
      <c r="AU5945">
        <f>IF(U5945&gt;=AN5945-0.01,1,0)</f>
        <v/>
      </c>
      <c r="AV5945">
        <f>IF(V5945&gt;=AO5945-0.01,1,0)</f>
        <v/>
      </c>
      <c r="AW5945">
        <f>IF(W5945&gt;=AP5945-0.01,1,0)</f>
        <v/>
      </c>
      <c r="AX5945">
        <f>AQ5945*AR5945*AS5945*AT5945*AU5945*AV5945*AW5945</f>
        <v/>
      </c>
    </row>
    <row r="5946">
      <c r="A5946" t="inlineStr"/>
      <c r="B5946">
        <f>Assumptions!$B$60</f>
        <v/>
      </c>
      <c r="C5946" t="n">
        <v>0</v>
      </c>
      <c r="D5946" t="n">
        <v>1</v>
      </c>
      <c r="E5946" t="n">
        <v>1</v>
      </c>
      <c r="F5946" t="n">
        <v>0</v>
      </c>
      <c r="G5946" t="n">
        <v>0</v>
      </c>
      <c r="H5946" t="n">
        <v>1</v>
      </c>
      <c r="I5946" t="n">
        <v>0</v>
      </c>
      <c r="J5946">
        <f>(1-C5946)*Assumptions!$B$41+(1-D5946)*Assumptions!$B$33+(1-E5946)*Assumptions!$B$32+(1-F5946)*Assumptions!$B$31+(1-G5946)*Assumptions!$B$30+(1-H5946)*Assumptions!$B$29+(1-I5946)*Assumptions!$B$28</f>
        <v/>
      </c>
      <c r="K5946">
        <f>C5946*$J$682+D5946*$F$682+E5946*$G$682+F5946*Assumptions!$B$14+G5946*Assumptions!$B$13+H5946*Assumptions!$B$12+I5946*Assumptions!$B$11+$O$682+$S$682+Assumptions!$B$9</f>
        <v/>
      </c>
      <c r="L5946">
        <f>B5946-J5946</f>
        <v/>
      </c>
      <c r="M5946">
        <f>IF(K5946&gt;0,IF(L5946/K5946&gt;=Assumptions!$B$37,1,0),0)</f>
        <v/>
      </c>
      <c r="N5946">
        <f>K5946+M5946*Assumptions!$B$153</f>
        <v/>
      </c>
      <c r="O5946">
        <f>L5946+M5946*Assumptions!$B$153*Assumptions!$B$37</f>
        <v/>
      </c>
      <c r="P5946">
        <f>IF(N5946&gt;0,O5946/N5946,0)</f>
        <v/>
      </c>
      <c r="Q5946">
        <f>IF(C5946=1,P5946*$J$682,Assumptions!$B$41)</f>
        <v/>
      </c>
      <c r="R5946">
        <f>IF(D5946=1,P5946*$F$682,Assumptions!$B$33)</f>
        <v/>
      </c>
      <c r="S5946">
        <f>IF(E5946=1,P5946*$G$682,Assumptions!$B$32)</f>
        <v/>
      </c>
      <c r="T5946">
        <f>IF(F5946=1,P5946*Assumptions!$B$14,Assumptions!$B$31)</f>
        <v/>
      </c>
      <c r="U5946">
        <f>IF(G5946=1,P5946*Assumptions!$B$13,Assumptions!$B$30)</f>
        <v/>
      </c>
      <c r="V5946">
        <f>IF(H5946=1,P5946*Assumptions!$B$12,Assumptions!$B$29)</f>
        <v/>
      </c>
      <c r="W5946">
        <f>IF(I5946=1,P5946*Assumptions!$B$11,Assumptions!$B$28)</f>
        <v/>
      </c>
      <c r="X5946">
        <f>P5946*($O$682+$S$682)</f>
        <v/>
      </c>
      <c r="Y5946">
        <f>P5946*Assumptions!$B$9</f>
        <v/>
      </c>
      <c r="Z5946">
        <f>IF(M5946=1,(P5946-Assumptions!$B$37)*Assumptions!$B$153,0)</f>
        <v/>
      </c>
      <c r="AA5946">
        <f>Q5946+R5946+S5946+T5946+U5946+V5946+W5946+X5946+Y5946+Z5946</f>
        <v/>
      </c>
      <c r="AB5946" t="n">
        <v>50</v>
      </c>
      <c r="AC5946" t="n">
        <v>114</v>
      </c>
      <c r="AD5946" t="n">
        <v>18</v>
      </c>
      <c r="AE5946" t="n">
        <v>34</v>
      </c>
      <c r="AF5946" t="n">
        <v>58</v>
      </c>
      <c r="AG5946" t="n">
        <v>54</v>
      </c>
      <c r="AH5946" t="n">
        <v>48</v>
      </c>
      <c r="AI5946" t="n">
        <v>51</v>
      </c>
      <c r="AJ5946">
        <f>INDEX($Q$5896:$Q$6023,AC5946+1)</f>
        <v/>
      </c>
      <c r="AK5946">
        <f>INDEX($R$5896:$R$6023,AD5946+1)</f>
        <v/>
      </c>
      <c r="AL5946">
        <f>INDEX($S$5896:$S$6023,AE5946+1)</f>
        <v/>
      </c>
      <c r="AM5946">
        <f>INDEX($T$5896:$T$6023,AF5946+1)</f>
        <v/>
      </c>
      <c r="AN5946">
        <f>INDEX($U$5896:$U$6023,AG5946+1)</f>
        <v/>
      </c>
      <c r="AO5946">
        <f>INDEX($V$5896:$V$6023,AH5946+1)</f>
        <v/>
      </c>
      <c r="AP5946">
        <f>INDEX($W$5896:$W$6023,AI5946+1)</f>
        <v/>
      </c>
      <c r="AQ5946">
        <f>IF(Q5946&gt;=AJ5946-0.01,1,0)</f>
        <v/>
      </c>
      <c r="AR5946">
        <f>IF(R5946&gt;=AK5946-0.01,1,0)</f>
        <v/>
      </c>
      <c r="AS5946">
        <f>IF(S5946&gt;=AL5946-0.01,1,0)</f>
        <v/>
      </c>
      <c r="AT5946">
        <f>IF(T5946&gt;=AM5946-0.01,1,0)</f>
        <v/>
      </c>
      <c r="AU5946">
        <f>IF(U5946&gt;=AN5946-0.01,1,0)</f>
        <v/>
      </c>
      <c r="AV5946">
        <f>IF(V5946&gt;=AO5946-0.01,1,0)</f>
        <v/>
      </c>
      <c r="AW5946">
        <f>IF(W5946&gt;=AP5946-0.01,1,0)</f>
        <v/>
      </c>
      <c r="AX5946">
        <f>AQ5946*AR5946*AS5946*AT5946*AU5946*AV5946*AW5946</f>
        <v/>
      </c>
    </row>
    <row r="5947">
      <c r="A5947" t="inlineStr"/>
      <c r="B5947">
        <f>Assumptions!$B$60</f>
        <v/>
      </c>
      <c r="C5947" t="n">
        <v>0</v>
      </c>
      <c r="D5947" t="n">
        <v>1</v>
      </c>
      <c r="E5947" t="n">
        <v>1</v>
      </c>
      <c r="F5947" t="n">
        <v>0</v>
      </c>
      <c r="G5947" t="n">
        <v>0</v>
      </c>
      <c r="H5947" t="n">
        <v>1</v>
      </c>
      <c r="I5947" t="n">
        <v>1</v>
      </c>
      <c r="J5947">
        <f>(1-C5947)*Assumptions!$B$41+(1-D5947)*Assumptions!$B$33+(1-E5947)*Assumptions!$B$32+(1-F5947)*Assumptions!$B$31+(1-G5947)*Assumptions!$B$30+(1-H5947)*Assumptions!$B$29+(1-I5947)*Assumptions!$B$28</f>
        <v/>
      </c>
      <c r="K5947">
        <f>C5947*$J$682+D5947*$F$682+E5947*$G$682+F5947*Assumptions!$B$14+G5947*Assumptions!$B$13+H5947*Assumptions!$B$12+I5947*Assumptions!$B$11+$O$682+$S$682+Assumptions!$B$9</f>
        <v/>
      </c>
      <c r="L5947">
        <f>B5947-J5947</f>
        <v/>
      </c>
      <c r="M5947">
        <f>IF(K5947&gt;0,IF(L5947/K5947&gt;=Assumptions!$B$37,1,0),0)</f>
        <v/>
      </c>
      <c r="N5947">
        <f>K5947+M5947*Assumptions!$B$153</f>
        <v/>
      </c>
      <c r="O5947">
        <f>L5947+M5947*Assumptions!$B$153*Assumptions!$B$37</f>
        <v/>
      </c>
      <c r="P5947">
        <f>IF(N5947&gt;0,O5947/N5947,0)</f>
        <v/>
      </c>
      <c r="Q5947">
        <f>IF(C5947=1,P5947*$J$682,Assumptions!$B$41)</f>
        <v/>
      </c>
      <c r="R5947">
        <f>IF(D5947=1,P5947*$F$682,Assumptions!$B$33)</f>
        <v/>
      </c>
      <c r="S5947">
        <f>IF(E5947=1,P5947*$G$682,Assumptions!$B$32)</f>
        <v/>
      </c>
      <c r="T5947">
        <f>IF(F5947=1,P5947*Assumptions!$B$14,Assumptions!$B$31)</f>
        <v/>
      </c>
      <c r="U5947">
        <f>IF(G5947=1,P5947*Assumptions!$B$13,Assumptions!$B$30)</f>
        <v/>
      </c>
      <c r="V5947">
        <f>IF(H5947=1,P5947*Assumptions!$B$12,Assumptions!$B$29)</f>
        <v/>
      </c>
      <c r="W5947">
        <f>IF(I5947=1,P5947*Assumptions!$B$11,Assumptions!$B$28)</f>
        <v/>
      </c>
      <c r="X5947">
        <f>P5947*($O$682+$S$682)</f>
        <v/>
      </c>
      <c r="Y5947">
        <f>P5947*Assumptions!$B$9</f>
        <v/>
      </c>
      <c r="Z5947">
        <f>IF(M5947=1,(P5947-Assumptions!$B$37)*Assumptions!$B$153,0)</f>
        <v/>
      </c>
      <c r="AA5947">
        <f>Q5947+R5947+S5947+T5947+U5947+V5947+W5947+X5947+Y5947+Z5947</f>
        <v/>
      </c>
      <c r="AB5947" t="n">
        <v>51</v>
      </c>
      <c r="AC5947" t="n">
        <v>115</v>
      </c>
      <c r="AD5947" t="n">
        <v>19</v>
      </c>
      <c r="AE5947" t="n">
        <v>35</v>
      </c>
      <c r="AF5947" t="n">
        <v>59</v>
      </c>
      <c r="AG5947" t="n">
        <v>55</v>
      </c>
      <c r="AH5947" t="n">
        <v>49</v>
      </c>
      <c r="AI5947" t="n">
        <v>50</v>
      </c>
      <c r="AJ5947">
        <f>INDEX($Q$5896:$Q$6023,AC5947+1)</f>
        <v/>
      </c>
      <c r="AK5947">
        <f>INDEX($R$5896:$R$6023,AD5947+1)</f>
        <v/>
      </c>
      <c r="AL5947">
        <f>INDEX($S$5896:$S$6023,AE5947+1)</f>
        <v/>
      </c>
      <c r="AM5947">
        <f>INDEX($T$5896:$T$6023,AF5947+1)</f>
        <v/>
      </c>
      <c r="AN5947">
        <f>INDEX($U$5896:$U$6023,AG5947+1)</f>
        <v/>
      </c>
      <c r="AO5947">
        <f>INDEX($V$5896:$V$6023,AH5947+1)</f>
        <v/>
      </c>
      <c r="AP5947">
        <f>INDEX($W$5896:$W$6023,AI5947+1)</f>
        <v/>
      </c>
      <c r="AQ5947">
        <f>IF(Q5947&gt;=AJ5947-0.01,1,0)</f>
        <v/>
      </c>
      <c r="AR5947">
        <f>IF(R5947&gt;=AK5947-0.01,1,0)</f>
        <v/>
      </c>
      <c r="AS5947">
        <f>IF(S5947&gt;=AL5947-0.01,1,0)</f>
        <v/>
      </c>
      <c r="AT5947">
        <f>IF(T5947&gt;=AM5947-0.01,1,0)</f>
        <v/>
      </c>
      <c r="AU5947">
        <f>IF(U5947&gt;=AN5947-0.01,1,0)</f>
        <v/>
      </c>
      <c r="AV5947">
        <f>IF(V5947&gt;=AO5947-0.01,1,0)</f>
        <v/>
      </c>
      <c r="AW5947">
        <f>IF(W5947&gt;=AP5947-0.01,1,0)</f>
        <v/>
      </c>
      <c r="AX5947">
        <f>AQ5947*AR5947*AS5947*AT5947*AU5947*AV5947*AW5947</f>
        <v/>
      </c>
    </row>
    <row r="5948">
      <c r="A5948" t="inlineStr"/>
      <c r="B5948">
        <f>Assumptions!$B$60</f>
        <v/>
      </c>
      <c r="C5948" t="n">
        <v>0</v>
      </c>
      <c r="D5948" t="n">
        <v>1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>
        <f>(1-C5948)*Assumptions!$B$41+(1-D5948)*Assumptions!$B$33+(1-E5948)*Assumptions!$B$32+(1-F5948)*Assumptions!$B$31+(1-G5948)*Assumptions!$B$30+(1-H5948)*Assumptions!$B$29+(1-I5948)*Assumptions!$B$28</f>
        <v/>
      </c>
      <c r="K5948">
        <f>C5948*$J$682+D5948*$F$682+E5948*$G$682+F5948*Assumptions!$B$14+G5948*Assumptions!$B$13+H5948*Assumptions!$B$12+I5948*Assumptions!$B$11+$O$682+$S$682+Assumptions!$B$9</f>
        <v/>
      </c>
      <c r="L5948">
        <f>B5948-J5948</f>
        <v/>
      </c>
      <c r="M5948">
        <f>IF(K5948&gt;0,IF(L5948/K5948&gt;=Assumptions!$B$37,1,0),0)</f>
        <v/>
      </c>
      <c r="N5948">
        <f>K5948+M5948*Assumptions!$B$153</f>
        <v/>
      </c>
      <c r="O5948">
        <f>L5948+M5948*Assumptions!$B$153*Assumptions!$B$37</f>
        <v/>
      </c>
      <c r="P5948">
        <f>IF(N5948&gt;0,O5948/N5948,0)</f>
        <v/>
      </c>
      <c r="Q5948">
        <f>IF(C5948=1,P5948*$J$682,Assumptions!$B$41)</f>
        <v/>
      </c>
      <c r="R5948">
        <f>IF(D5948=1,P5948*$F$682,Assumptions!$B$33)</f>
        <v/>
      </c>
      <c r="S5948">
        <f>IF(E5948=1,P5948*$G$682,Assumptions!$B$32)</f>
        <v/>
      </c>
      <c r="T5948">
        <f>IF(F5948=1,P5948*Assumptions!$B$14,Assumptions!$B$31)</f>
        <v/>
      </c>
      <c r="U5948">
        <f>IF(G5948=1,P5948*Assumptions!$B$13,Assumptions!$B$30)</f>
        <v/>
      </c>
      <c r="V5948">
        <f>IF(H5948=1,P5948*Assumptions!$B$12,Assumptions!$B$29)</f>
        <v/>
      </c>
      <c r="W5948">
        <f>IF(I5948=1,P5948*Assumptions!$B$11,Assumptions!$B$28)</f>
        <v/>
      </c>
      <c r="X5948">
        <f>P5948*($O$682+$S$682)</f>
        <v/>
      </c>
      <c r="Y5948">
        <f>P5948*Assumptions!$B$9</f>
        <v/>
      </c>
      <c r="Z5948">
        <f>IF(M5948=1,(P5948-Assumptions!$B$37)*Assumptions!$B$153,0)</f>
        <v/>
      </c>
      <c r="AA5948">
        <f>Q5948+R5948+S5948+T5948+U5948+V5948+W5948+X5948+Y5948+Z5948</f>
        <v/>
      </c>
      <c r="AB5948" t="n">
        <v>52</v>
      </c>
      <c r="AC5948" t="n">
        <v>116</v>
      </c>
      <c r="AD5948" t="n">
        <v>20</v>
      </c>
      <c r="AE5948" t="n">
        <v>36</v>
      </c>
      <c r="AF5948" t="n">
        <v>60</v>
      </c>
      <c r="AG5948" t="n">
        <v>48</v>
      </c>
      <c r="AH5948" t="n">
        <v>54</v>
      </c>
      <c r="AI5948" t="n">
        <v>53</v>
      </c>
      <c r="AJ5948">
        <f>INDEX($Q$5896:$Q$6023,AC5948+1)</f>
        <v/>
      </c>
      <c r="AK5948">
        <f>INDEX($R$5896:$R$6023,AD5948+1)</f>
        <v/>
      </c>
      <c r="AL5948">
        <f>INDEX($S$5896:$S$6023,AE5948+1)</f>
        <v/>
      </c>
      <c r="AM5948">
        <f>INDEX($T$5896:$T$6023,AF5948+1)</f>
        <v/>
      </c>
      <c r="AN5948">
        <f>INDEX($U$5896:$U$6023,AG5948+1)</f>
        <v/>
      </c>
      <c r="AO5948">
        <f>INDEX($V$5896:$V$6023,AH5948+1)</f>
        <v/>
      </c>
      <c r="AP5948">
        <f>INDEX($W$5896:$W$6023,AI5948+1)</f>
        <v/>
      </c>
      <c r="AQ5948">
        <f>IF(Q5948&gt;=AJ5948-0.01,1,0)</f>
        <v/>
      </c>
      <c r="AR5948">
        <f>IF(R5948&gt;=AK5948-0.01,1,0)</f>
        <v/>
      </c>
      <c r="AS5948">
        <f>IF(S5948&gt;=AL5948-0.01,1,0)</f>
        <v/>
      </c>
      <c r="AT5948">
        <f>IF(T5948&gt;=AM5948-0.01,1,0)</f>
        <v/>
      </c>
      <c r="AU5948">
        <f>IF(U5948&gt;=AN5948-0.01,1,0)</f>
        <v/>
      </c>
      <c r="AV5948">
        <f>IF(V5948&gt;=AO5948-0.01,1,0)</f>
        <v/>
      </c>
      <c r="AW5948">
        <f>IF(W5948&gt;=AP5948-0.01,1,0)</f>
        <v/>
      </c>
      <c r="AX5948">
        <f>AQ5948*AR5948*AS5948*AT5948*AU5948*AV5948*AW5948</f>
        <v/>
      </c>
    </row>
    <row r="5949">
      <c r="A5949" t="inlineStr"/>
      <c r="B5949">
        <f>Assumptions!$B$60</f>
        <v/>
      </c>
      <c r="C5949" t="n">
        <v>0</v>
      </c>
      <c r="D5949" t="n">
        <v>1</v>
      </c>
      <c r="E5949" t="n">
        <v>1</v>
      </c>
      <c r="F5949" t="n">
        <v>0</v>
      </c>
      <c r="G5949" t="n">
        <v>1</v>
      </c>
      <c r="H5949" t="n">
        <v>0</v>
      </c>
      <c r="I5949" t="n">
        <v>1</v>
      </c>
      <c r="J5949">
        <f>(1-C5949)*Assumptions!$B$41+(1-D5949)*Assumptions!$B$33+(1-E5949)*Assumptions!$B$32+(1-F5949)*Assumptions!$B$31+(1-G5949)*Assumptions!$B$30+(1-H5949)*Assumptions!$B$29+(1-I5949)*Assumptions!$B$28</f>
        <v/>
      </c>
      <c r="K5949">
        <f>C5949*$J$682+D5949*$F$682+E5949*$G$682+F5949*Assumptions!$B$14+G5949*Assumptions!$B$13+H5949*Assumptions!$B$12+I5949*Assumptions!$B$11+$O$682+$S$682+Assumptions!$B$9</f>
        <v/>
      </c>
      <c r="L5949">
        <f>B5949-J5949</f>
        <v/>
      </c>
      <c r="M5949">
        <f>IF(K5949&gt;0,IF(L5949/K5949&gt;=Assumptions!$B$37,1,0),0)</f>
        <v/>
      </c>
      <c r="N5949">
        <f>K5949+M5949*Assumptions!$B$153</f>
        <v/>
      </c>
      <c r="O5949">
        <f>L5949+M5949*Assumptions!$B$153*Assumptions!$B$37</f>
        <v/>
      </c>
      <c r="P5949">
        <f>IF(N5949&gt;0,O5949/N5949,0)</f>
        <v/>
      </c>
      <c r="Q5949">
        <f>IF(C5949=1,P5949*$J$682,Assumptions!$B$41)</f>
        <v/>
      </c>
      <c r="R5949">
        <f>IF(D5949=1,P5949*$F$682,Assumptions!$B$33)</f>
        <v/>
      </c>
      <c r="S5949">
        <f>IF(E5949=1,P5949*$G$682,Assumptions!$B$32)</f>
        <v/>
      </c>
      <c r="T5949">
        <f>IF(F5949=1,P5949*Assumptions!$B$14,Assumptions!$B$31)</f>
        <v/>
      </c>
      <c r="U5949">
        <f>IF(G5949=1,P5949*Assumptions!$B$13,Assumptions!$B$30)</f>
        <v/>
      </c>
      <c r="V5949">
        <f>IF(H5949=1,P5949*Assumptions!$B$12,Assumptions!$B$29)</f>
        <v/>
      </c>
      <c r="W5949">
        <f>IF(I5949=1,P5949*Assumptions!$B$11,Assumptions!$B$28)</f>
        <v/>
      </c>
      <c r="X5949">
        <f>P5949*($O$682+$S$682)</f>
        <v/>
      </c>
      <c r="Y5949">
        <f>P5949*Assumptions!$B$9</f>
        <v/>
      </c>
      <c r="Z5949">
        <f>IF(M5949=1,(P5949-Assumptions!$B$37)*Assumptions!$B$153,0)</f>
        <v/>
      </c>
      <c r="AA5949">
        <f>Q5949+R5949+S5949+T5949+U5949+V5949+W5949+X5949+Y5949+Z5949</f>
        <v/>
      </c>
      <c r="AB5949" t="n">
        <v>53</v>
      </c>
      <c r="AC5949" t="n">
        <v>117</v>
      </c>
      <c r="AD5949" t="n">
        <v>21</v>
      </c>
      <c r="AE5949" t="n">
        <v>37</v>
      </c>
      <c r="AF5949" t="n">
        <v>61</v>
      </c>
      <c r="AG5949" t="n">
        <v>49</v>
      </c>
      <c r="AH5949" t="n">
        <v>55</v>
      </c>
      <c r="AI5949" t="n">
        <v>52</v>
      </c>
      <c r="AJ5949">
        <f>INDEX($Q$5896:$Q$6023,AC5949+1)</f>
        <v/>
      </c>
      <c r="AK5949">
        <f>INDEX($R$5896:$R$6023,AD5949+1)</f>
        <v/>
      </c>
      <c r="AL5949">
        <f>INDEX($S$5896:$S$6023,AE5949+1)</f>
        <v/>
      </c>
      <c r="AM5949">
        <f>INDEX($T$5896:$T$6023,AF5949+1)</f>
        <v/>
      </c>
      <c r="AN5949">
        <f>INDEX($U$5896:$U$6023,AG5949+1)</f>
        <v/>
      </c>
      <c r="AO5949">
        <f>INDEX($V$5896:$V$6023,AH5949+1)</f>
        <v/>
      </c>
      <c r="AP5949">
        <f>INDEX($W$5896:$W$6023,AI5949+1)</f>
        <v/>
      </c>
      <c r="AQ5949">
        <f>IF(Q5949&gt;=AJ5949-0.01,1,0)</f>
        <v/>
      </c>
      <c r="AR5949">
        <f>IF(R5949&gt;=AK5949-0.01,1,0)</f>
        <v/>
      </c>
      <c r="AS5949">
        <f>IF(S5949&gt;=AL5949-0.01,1,0)</f>
        <v/>
      </c>
      <c r="AT5949">
        <f>IF(T5949&gt;=AM5949-0.01,1,0)</f>
        <v/>
      </c>
      <c r="AU5949">
        <f>IF(U5949&gt;=AN5949-0.01,1,0)</f>
        <v/>
      </c>
      <c r="AV5949">
        <f>IF(V5949&gt;=AO5949-0.01,1,0)</f>
        <v/>
      </c>
      <c r="AW5949">
        <f>IF(W5949&gt;=AP5949-0.01,1,0)</f>
        <v/>
      </c>
      <c r="AX5949">
        <f>AQ5949*AR5949*AS5949*AT5949*AU5949*AV5949*AW5949</f>
        <v/>
      </c>
    </row>
    <row r="5950">
      <c r="A5950" t="inlineStr"/>
      <c r="B5950">
        <f>Assumptions!$B$60</f>
        <v/>
      </c>
      <c r="C5950" t="n">
        <v>0</v>
      </c>
      <c r="D5950" t="n">
        <v>1</v>
      </c>
      <c r="E5950" t="n">
        <v>1</v>
      </c>
      <c r="F5950" t="n">
        <v>0</v>
      </c>
      <c r="G5950" t="n">
        <v>1</v>
      </c>
      <c r="H5950" t="n">
        <v>1</v>
      </c>
      <c r="I5950" t="n">
        <v>0</v>
      </c>
      <c r="J5950">
        <f>(1-C5950)*Assumptions!$B$41+(1-D5950)*Assumptions!$B$33+(1-E5950)*Assumptions!$B$32+(1-F5950)*Assumptions!$B$31+(1-G5950)*Assumptions!$B$30+(1-H5950)*Assumptions!$B$29+(1-I5950)*Assumptions!$B$28</f>
        <v/>
      </c>
      <c r="K5950">
        <f>C5950*$J$682+D5950*$F$682+E5950*$G$682+F5950*Assumptions!$B$14+G5950*Assumptions!$B$13+H5950*Assumptions!$B$12+I5950*Assumptions!$B$11+$O$682+$S$682+Assumptions!$B$9</f>
        <v/>
      </c>
      <c r="L5950">
        <f>B5950-J5950</f>
        <v/>
      </c>
      <c r="M5950">
        <f>IF(K5950&gt;0,IF(L5950/K5950&gt;=Assumptions!$B$37,1,0),0)</f>
        <v/>
      </c>
      <c r="N5950">
        <f>K5950+M5950*Assumptions!$B$153</f>
        <v/>
      </c>
      <c r="O5950">
        <f>L5950+M5950*Assumptions!$B$153*Assumptions!$B$37</f>
        <v/>
      </c>
      <c r="P5950">
        <f>IF(N5950&gt;0,O5950/N5950,0)</f>
        <v/>
      </c>
      <c r="Q5950">
        <f>IF(C5950=1,P5950*$J$682,Assumptions!$B$41)</f>
        <v/>
      </c>
      <c r="R5950">
        <f>IF(D5950=1,P5950*$F$682,Assumptions!$B$33)</f>
        <v/>
      </c>
      <c r="S5950">
        <f>IF(E5950=1,P5950*$G$682,Assumptions!$B$32)</f>
        <v/>
      </c>
      <c r="T5950">
        <f>IF(F5950=1,P5950*Assumptions!$B$14,Assumptions!$B$31)</f>
        <v/>
      </c>
      <c r="U5950">
        <f>IF(G5950=1,P5950*Assumptions!$B$13,Assumptions!$B$30)</f>
        <v/>
      </c>
      <c r="V5950">
        <f>IF(H5950=1,P5950*Assumptions!$B$12,Assumptions!$B$29)</f>
        <v/>
      </c>
      <c r="W5950">
        <f>IF(I5950=1,P5950*Assumptions!$B$11,Assumptions!$B$28)</f>
        <v/>
      </c>
      <c r="X5950">
        <f>P5950*($O$682+$S$682)</f>
        <v/>
      </c>
      <c r="Y5950">
        <f>P5950*Assumptions!$B$9</f>
        <v/>
      </c>
      <c r="Z5950">
        <f>IF(M5950=1,(P5950-Assumptions!$B$37)*Assumptions!$B$153,0)</f>
        <v/>
      </c>
      <c r="AA5950">
        <f>Q5950+R5950+S5950+T5950+U5950+V5950+W5950+X5950+Y5950+Z5950</f>
        <v/>
      </c>
      <c r="AB5950" t="n">
        <v>54</v>
      </c>
      <c r="AC5950" t="n">
        <v>118</v>
      </c>
      <c r="AD5950" t="n">
        <v>22</v>
      </c>
      <c r="AE5950" t="n">
        <v>38</v>
      </c>
      <c r="AF5950" t="n">
        <v>62</v>
      </c>
      <c r="AG5950" t="n">
        <v>50</v>
      </c>
      <c r="AH5950" t="n">
        <v>52</v>
      </c>
      <c r="AI5950" t="n">
        <v>55</v>
      </c>
      <c r="AJ5950">
        <f>INDEX($Q$5896:$Q$6023,AC5950+1)</f>
        <v/>
      </c>
      <c r="AK5950">
        <f>INDEX($R$5896:$R$6023,AD5950+1)</f>
        <v/>
      </c>
      <c r="AL5950">
        <f>INDEX($S$5896:$S$6023,AE5950+1)</f>
        <v/>
      </c>
      <c r="AM5950">
        <f>INDEX($T$5896:$T$6023,AF5950+1)</f>
        <v/>
      </c>
      <c r="AN5950">
        <f>INDEX($U$5896:$U$6023,AG5950+1)</f>
        <v/>
      </c>
      <c r="AO5950">
        <f>INDEX($V$5896:$V$6023,AH5950+1)</f>
        <v/>
      </c>
      <c r="AP5950">
        <f>INDEX($W$5896:$W$6023,AI5950+1)</f>
        <v/>
      </c>
      <c r="AQ5950">
        <f>IF(Q5950&gt;=AJ5950-0.01,1,0)</f>
        <v/>
      </c>
      <c r="AR5950">
        <f>IF(R5950&gt;=AK5950-0.01,1,0)</f>
        <v/>
      </c>
      <c r="AS5950">
        <f>IF(S5950&gt;=AL5950-0.01,1,0)</f>
        <v/>
      </c>
      <c r="AT5950">
        <f>IF(T5950&gt;=AM5950-0.01,1,0)</f>
        <v/>
      </c>
      <c r="AU5950">
        <f>IF(U5950&gt;=AN5950-0.01,1,0)</f>
        <v/>
      </c>
      <c r="AV5950">
        <f>IF(V5950&gt;=AO5950-0.01,1,0)</f>
        <v/>
      </c>
      <c r="AW5950">
        <f>IF(W5950&gt;=AP5950-0.01,1,0)</f>
        <v/>
      </c>
      <c r="AX5950">
        <f>AQ5950*AR5950*AS5950*AT5950*AU5950*AV5950*AW5950</f>
        <v/>
      </c>
    </row>
    <row r="5951">
      <c r="A5951" t="inlineStr"/>
      <c r="B5951">
        <f>Assumptions!$B$60</f>
        <v/>
      </c>
      <c r="C5951" t="n">
        <v>0</v>
      </c>
      <c r="D5951" t="n">
        <v>1</v>
      </c>
      <c r="E5951" t="n">
        <v>1</v>
      </c>
      <c r="F5951" t="n">
        <v>0</v>
      </c>
      <c r="G5951" t="n">
        <v>1</v>
      </c>
      <c r="H5951" t="n">
        <v>1</v>
      </c>
      <c r="I5951" t="n">
        <v>1</v>
      </c>
      <c r="J5951">
        <f>(1-C5951)*Assumptions!$B$41+(1-D5951)*Assumptions!$B$33+(1-E5951)*Assumptions!$B$32+(1-F5951)*Assumptions!$B$31+(1-G5951)*Assumptions!$B$30+(1-H5951)*Assumptions!$B$29+(1-I5951)*Assumptions!$B$28</f>
        <v/>
      </c>
      <c r="K5951">
        <f>C5951*$J$682+D5951*$F$682+E5951*$G$682+F5951*Assumptions!$B$14+G5951*Assumptions!$B$13+H5951*Assumptions!$B$12+I5951*Assumptions!$B$11+$O$682+$S$682+Assumptions!$B$9</f>
        <v/>
      </c>
      <c r="L5951">
        <f>B5951-J5951</f>
        <v/>
      </c>
      <c r="M5951">
        <f>IF(K5951&gt;0,IF(L5951/K5951&gt;=Assumptions!$B$37,1,0),0)</f>
        <v/>
      </c>
      <c r="N5951">
        <f>K5951+M5951*Assumptions!$B$153</f>
        <v/>
      </c>
      <c r="O5951">
        <f>L5951+M5951*Assumptions!$B$153*Assumptions!$B$37</f>
        <v/>
      </c>
      <c r="P5951">
        <f>IF(N5951&gt;0,O5951/N5951,0)</f>
        <v/>
      </c>
      <c r="Q5951">
        <f>IF(C5951=1,P5951*$J$682,Assumptions!$B$41)</f>
        <v/>
      </c>
      <c r="R5951">
        <f>IF(D5951=1,P5951*$F$682,Assumptions!$B$33)</f>
        <v/>
      </c>
      <c r="S5951">
        <f>IF(E5951=1,P5951*$G$682,Assumptions!$B$32)</f>
        <v/>
      </c>
      <c r="T5951">
        <f>IF(F5951=1,P5951*Assumptions!$B$14,Assumptions!$B$31)</f>
        <v/>
      </c>
      <c r="U5951">
        <f>IF(G5951=1,P5951*Assumptions!$B$13,Assumptions!$B$30)</f>
        <v/>
      </c>
      <c r="V5951">
        <f>IF(H5951=1,P5951*Assumptions!$B$12,Assumptions!$B$29)</f>
        <v/>
      </c>
      <c r="W5951">
        <f>IF(I5951=1,P5951*Assumptions!$B$11,Assumptions!$B$28)</f>
        <v/>
      </c>
      <c r="X5951">
        <f>P5951*($O$682+$S$682)</f>
        <v/>
      </c>
      <c r="Y5951">
        <f>P5951*Assumptions!$B$9</f>
        <v/>
      </c>
      <c r="Z5951">
        <f>IF(M5951=1,(P5951-Assumptions!$B$37)*Assumptions!$B$153,0)</f>
        <v/>
      </c>
      <c r="AA5951">
        <f>Q5951+R5951+S5951+T5951+U5951+V5951+W5951+X5951+Y5951+Z5951</f>
        <v/>
      </c>
      <c r="AB5951" t="n">
        <v>55</v>
      </c>
      <c r="AC5951" t="n">
        <v>119</v>
      </c>
      <c r="AD5951" t="n">
        <v>23</v>
      </c>
      <c r="AE5951" t="n">
        <v>39</v>
      </c>
      <c r="AF5951" t="n">
        <v>63</v>
      </c>
      <c r="AG5951" t="n">
        <v>51</v>
      </c>
      <c r="AH5951" t="n">
        <v>53</v>
      </c>
      <c r="AI5951" t="n">
        <v>54</v>
      </c>
      <c r="AJ5951">
        <f>INDEX($Q$5896:$Q$6023,AC5951+1)</f>
        <v/>
      </c>
      <c r="AK5951">
        <f>INDEX($R$5896:$R$6023,AD5951+1)</f>
        <v/>
      </c>
      <c r="AL5951">
        <f>INDEX($S$5896:$S$6023,AE5951+1)</f>
        <v/>
      </c>
      <c r="AM5951">
        <f>INDEX($T$5896:$T$6023,AF5951+1)</f>
        <v/>
      </c>
      <c r="AN5951">
        <f>INDEX($U$5896:$U$6023,AG5951+1)</f>
        <v/>
      </c>
      <c r="AO5951">
        <f>INDEX($V$5896:$V$6023,AH5951+1)</f>
        <v/>
      </c>
      <c r="AP5951">
        <f>INDEX($W$5896:$W$6023,AI5951+1)</f>
        <v/>
      </c>
      <c r="AQ5951">
        <f>IF(Q5951&gt;=AJ5951-0.01,1,0)</f>
        <v/>
      </c>
      <c r="AR5951">
        <f>IF(R5951&gt;=AK5951-0.01,1,0)</f>
        <v/>
      </c>
      <c r="AS5951">
        <f>IF(S5951&gt;=AL5951-0.01,1,0)</f>
        <v/>
      </c>
      <c r="AT5951">
        <f>IF(T5951&gt;=AM5951-0.01,1,0)</f>
        <v/>
      </c>
      <c r="AU5951">
        <f>IF(U5951&gt;=AN5951-0.01,1,0)</f>
        <v/>
      </c>
      <c r="AV5951">
        <f>IF(V5951&gt;=AO5951-0.01,1,0)</f>
        <v/>
      </c>
      <c r="AW5951">
        <f>IF(W5951&gt;=AP5951-0.01,1,0)</f>
        <v/>
      </c>
      <c r="AX5951">
        <f>AQ5951*AR5951*AS5951*AT5951*AU5951*AV5951*AW5951</f>
        <v/>
      </c>
    </row>
    <row r="5952">
      <c r="A5952" t="inlineStr"/>
      <c r="B5952">
        <f>Assumptions!$B$60</f>
        <v/>
      </c>
      <c r="C5952" t="n">
        <v>0</v>
      </c>
      <c r="D5952" t="n">
        <v>1</v>
      </c>
      <c r="E5952" t="n">
        <v>1</v>
      </c>
      <c r="F5952" t="n">
        <v>1</v>
      </c>
      <c r="G5952" t="n">
        <v>0</v>
      </c>
      <c r="H5952" t="n">
        <v>0</v>
      </c>
      <c r="I5952" t="n">
        <v>0</v>
      </c>
      <c r="J5952">
        <f>(1-C5952)*Assumptions!$B$41+(1-D5952)*Assumptions!$B$33+(1-E5952)*Assumptions!$B$32+(1-F5952)*Assumptions!$B$31+(1-G5952)*Assumptions!$B$30+(1-H5952)*Assumptions!$B$29+(1-I5952)*Assumptions!$B$28</f>
        <v/>
      </c>
      <c r="K5952">
        <f>C5952*$J$682+D5952*$F$682+E5952*$G$682+F5952*Assumptions!$B$14+G5952*Assumptions!$B$13+H5952*Assumptions!$B$12+I5952*Assumptions!$B$11+$O$682+$S$682+Assumptions!$B$9</f>
        <v/>
      </c>
      <c r="L5952">
        <f>B5952-J5952</f>
        <v/>
      </c>
      <c r="M5952">
        <f>IF(K5952&gt;0,IF(L5952/K5952&gt;=Assumptions!$B$37,1,0),0)</f>
        <v/>
      </c>
      <c r="N5952">
        <f>K5952+M5952*Assumptions!$B$153</f>
        <v/>
      </c>
      <c r="O5952">
        <f>L5952+M5952*Assumptions!$B$153*Assumptions!$B$37</f>
        <v/>
      </c>
      <c r="P5952">
        <f>IF(N5952&gt;0,O5952/N5952,0)</f>
        <v/>
      </c>
      <c r="Q5952">
        <f>IF(C5952=1,P5952*$J$682,Assumptions!$B$41)</f>
        <v/>
      </c>
      <c r="R5952">
        <f>IF(D5952=1,P5952*$F$682,Assumptions!$B$33)</f>
        <v/>
      </c>
      <c r="S5952">
        <f>IF(E5952=1,P5952*$G$682,Assumptions!$B$32)</f>
        <v/>
      </c>
      <c r="T5952">
        <f>IF(F5952=1,P5952*Assumptions!$B$14,Assumptions!$B$31)</f>
        <v/>
      </c>
      <c r="U5952">
        <f>IF(G5952=1,P5952*Assumptions!$B$13,Assumptions!$B$30)</f>
        <v/>
      </c>
      <c r="V5952">
        <f>IF(H5952=1,P5952*Assumptions!$B$12,Assumptions!$B$29)</f>
        <v/>
      </c>
      <c r="W5952">
        <f>IF(I5952=1,P5952*Assumptions!$B$11,Assumptions!$B$28)</f>
        <v/>
      </c>
      <c r="X5952">
        <f>P5952*($O$682+$S$682)</f>
        <v/>
      </c>
      <c r="Y5952">
        <f>P5952*Assumptions!$B$9</f>
        <v/>
      </c>
      <c r="Z5952">
        <f>IF(M5952=1,(P5952-Assumptions!$B$37)*Assumptions!$B$153,0)</f>
        <v/>
      </c>
      <c r="AA5952">
        <f>Q5952+R5952+S5952+T5952+U5952+V5952+W5952+X5952+Y5952+Z5952</f>
        <v/>
      </c>
      <c r="AB5952" t="n">
        <v>56</v>
      </c>
      <c r="AC5952" t="n">
        <v>120</v>
      </c>
      <c r="AD5952" t="n">
        <v>24</v>
      </c>
      <c r="AE5952" t="n">
        <v>40</v>
      </c>
      <c r="AF5952" t="n">
        <v>48</v>
      </c>
      <c r="AG5952" t="n">
        <v>60</v>
      </c>
      <c r="AH5952" t="n">
        <v>58</v>
      </c>
      <c r="AI5952" t="n">
        <v>57</v>
      </c>
      <c r="AJ5952">
        <f>INDEX($Q$5896:$Q$6023,AC5952+1)</f>
        <v/>
      </c>
      <c r="AK5952">
        <f>INDEX($R$5896:$R$6023,AD5952+1)</f>
        <v/>
      </c>
      <c r="AL5952">
        <f>INDEX($S$5896:$S$6023,AE5952+1)</f>
        <v/>
      </c>
      <c r="AM5952">
        <f>INDEX($T$5896:$T$6023,AF5952+1)</f>
        <v/>
      </c>
      <c r="AN5952">
        <f>INDEX($U$5896:$U$6023,AG5952+1)</f>
        <v/>
      </c>
      <c r="AO5952">
        <f>INDEX($V$5896:$V$6023,AH5952+1)</f>
        <v/>
      </c>
      <c r="AP5952">
        <f>INDEX($W$5896:$W$6023,AI5952+1)</f>
        <v/>
      </c>
      <c r="AQ5952">
        <f>IF(Q5952&gt;=AJ5952-0.01,1,0)</f>
        <v/>
      </c>
      <c r="AR5952">
        <f>IF(R5952&gt;=AK5952-0.01,1,0)</f>
        <v/>
      </c>
      <c r="AS5952">
        <f>IF(S5952&gt;=AL5952-0.01,1,0)</f>
        <v/>
      </c>
      <c r="AT5952">
        <f>IF(T5952&gt;=AM5952-0.01,1,0)</f>
        <v/>
      </c>
      <c r="AU5952">
        <f>IF(U5952&gt;=AN5952-0.01,1,0)</f>
        <v/>
      </c>
      <c r="AV5952">
        <f>IF(V5952&gt;=AO5952-0.01,1,0)</f>
        <v/>
      </c>
      <c r="AW5952">
        <f>IF(W5952&gt;=AP5952-0.01,1,0)</f>
        <v/>
      </c>
      <c r="AX5952">
        <f>AQ5952*AR5952*AS5952*AT5952*AU5952*AV5952*AW5952</f>
        <v/>
      </c>
    </row>
    <row r="5953">
      <c r="A5953" t="inlineStr"/>
      <c r="B5953">
        <f>Assumptions!$B$60</f>
        <v/>
      </c>
      <c r="C5953" t="n">
        <v>0</v>
      </c>
      <c r="D5953" t="n">
        <v>1</v>
      </c>
      <c r="E5953" t="n">
        <v>1</v>
      </c>
      <c r="F5953" t="n">
        <v>1</v>
      </c>
      <c r="G5953" t="n">
        <v>0</v>
      </c>
      <c r="H5953" t="n">
        <v>0</v>
      </c>
      <c r="I5953" t="n">
        <v>1</v>
      </c>
      <c r="J5953">
        <f>(1-C5953)*Assumptions!$B$41+(1-D5953)*Assumptions!$B$33+(1-E5953)*Assumptions!$B$32+(1-F5953)*Assumptions!$B$31+(1-G5953)*Assumptions!$B$30+(1-H5953)*Assumptions!$B$29+(1-I5953)*Assumptions!$B$28</f>
        <v/>
      </c>
      <c r="K5953">
        <f>C5953*$J$682+D5953*$F$682+E5953*$G$682+F5953*Assumptions!$B$14+G5953*Assumptions!$B$13+H5953*Assumptions!$B$12+I5953*Assumptions!$B$11+$O$682+$S$682+Assumptions!$B$9</f>
        <v/>
      </c>
      <c r="L5953">
        <f>B5953-J5953</f>
        <v/>
      </c>
      <c r="M5953">
        <f>IF(K5953&gt;0,IF(L5953/K5953&gt;=Assumptions!$B$37,1,0),0)</f>
        <v/>
      </c>
      <c r="N5953">
        <f>K5953+M5953*Assumptions!$B$153</f>
        <v/>
      </c>
      <c r="O5953">
        <f>L5953+M5953*Assumptions!$B$153*Assumptions!$B$37</f>
        <v/>
      </c>
      <c r="P5953">
        <f>IF(N5953&gt;0,O5953/N5953,0)</f>
        <v/>
      </c>
      <c r="Q5953">
        <f>IF(C5953=1,P5953*$J$682,Assumptions!$B$41)</f>
        <v/>
      </c>
      <c r="R5953">
        <f>IF(D5953=1,P5953*$F$682,Assumptions!$B$33)</f>
        <v/>
      </c>
      <c r="S5953">
        <f>IF(E5953=1,P5953*$G$682,Assumptions!$B$32)</f>
        <v/>
      </c>
      <c r="T5953">
        <f>IF(F5953=1,P5953*Assumptions!$B$14,Assumptions!$B$31)</f>
        <v/>
      </c>
      <c r="U5953">
        <f>IF(G5953=1,P5953*Assumptions!$B$13,Assumptions!$B$30)</f>
        <v/>
      </c>
      <c r="V5953">
        <f>IF(H5953=1,P5953*Assumptions!$B$12,Assumptions!$B$29)</f>
        <v/>
      </c>
      <c r="W5953">
        <f>IF(I5953=1,P5953*Assumptions!$B$11,Assumptions!$B$28)</f>
        <v/>
      </c>
      <c r="X5953">
        <f>P5953*($O$682+$S$682)</f>
        <v/>
      </c>
      <c r="Y5953">
        <f>P5953*Assumptions!$B$9</f>
        <v/>
      </c>
      <c r="Z5953">
        <f>IF(M5953=1,(P5953-Assumptions!$B$37)*Assumptions!$B$153,0)</f>
        <v/>
      </c>
      <c r="AA5953">
        <f>Q5953+R5953+S5953+T5953+U5953+V5953+W5953+X5953+Y5953+Z5953</f>
        <v/>
      </c>
      <c r="AB5953" t="n">
        <v>57</v>
      </c>
      <c r="AC5953" t="n">
        <v>121</v>
      </c>
      <c r="AD5953" t="n">
        <v>25</v>
      </c>
      <c r="AE5953" t="n">
        <v>41</v>
      </c>
      <c r="AF5953" t="n">
        <v>49</v>
      </c>
      <c r="AG5953" t="n">
        <v>61</v>
      </c>
      <c r="AH5953" t="n">
        <v>59</v>
      </c>
      <c r="AI5953" t="n">
        <v>56</v>
      </c>
      <c r="AJ5953">
        <f>INDEX($Q$5896:$Q$6023,AC5953+1)</f>
        <v/>
      </c>
      <c r="AK5953">
        <f>INDEX($R$5896:$R$6023,AD5953+1)</f>
        <v/>
      </c>
      <c r="AL5953">
        <f>INDEX($S$5896:$S$6023,AE5953+1)</f>
        <v/>
      </c>
      <c r="AM5953">
        <f>INDEX($T$5896:$T$6023,AF5953+1)</f>
        <v/>
      </c>
      <c r="AN5953">
        <f>INDEX($U$5896:$U$6023,AG5953+1)</f>
        <v/>
      </c>
      <c r="AO5953">
        <f>INDEX($V$5896:$V$6023,AH5953+1)</f>
        <v/>
      </c>
      <c r="AP5953">
        <f>INDEX($W$5896:$W$6023,AI5953+1)</f>
        <v/>
      </c>
      <c r="AQ5953">
        <f>IF(Q5953&gt;=AJ5953-0.01,1,0)</f>
        <v/>
      </c>
      <c r="AR5953">
        <f>IF(R5953&gt;=AK5953-0.01,1,0)</f>
        <v/>
      </c>
      <c r="AS5953">
        <f>IF(S5953&gt;=AL5953-0.01,1,0)</f>
        <v/>
      </c>
      <c r="AT5953">
        <f>IF(T5953&gt;=AM5953-0.01,1,0)</f>
        <v/>
      </c>
      <c r="AU5953">
        <f>IF(U5953&gt;=AN5953-0.01,1,0)</f>
        <v/>
      </c>
      <c r="AV5953">
        <f>IF(V5953&gt;=AO5953-0.01,1,0)</f>
        <v/>
      </c>
      <c r="AW5953">
        <f>IF(W5953&gt;=AP5953-0.01,1,0)</f>
        <v/>
      </c>
      <c r="AX5953">
        <f>AQ5953*AR5953*AS5953*AT5953*AU5953*AV5953*AW5953</f>
        <v/>
      </c>
    </row>
    <row r="5954">
      <c r="A5954" t="inlineStr"/>
      <c r="B5954">
        <f>Assumptions!$B$60</f>
        <v/>
      </c>
      <c r="C5954" t="n">
        <v>0</v>
      </c>
      <c r="D5954" t="n">
        <v>1</v>
      </c>
      <c r="E5954" t="n">
        <v>1</v>
      </c>
      <c r="F5954" t="n">
        <v>1</v>
      </c>
      <c r="G5954" t="n">
        <v>0</v>
      </c>
      <c r="H5954" t="n">
        <v>1</v>
      </c>
      <c r="I5954" t="n">
        <v>0</v>
      </c>
      <c r="J5954">
        <f>(1-C5954)*Assumptions!$B$41+(1-D5954)*Assumptions!$B$33+(1-E5954)*Assumptions!$B$32+(1-F5954)*Assumptions!$B$31+(1-G5954)*Assumptions!$B$30+(1-H5954)*Assumptions!$B$29+(1-I5954)*Assumptions!$B$28</f>
        <v/>
      </c>
      <c r="K5954">
        <f>C5954*$J$682+D5954*$F$682+E5954*$G$682+F5954*Assumptions!$B$14+G5954*Assumptions!$B$13+H5954*Assumptions!$B$12+I5954*Assumptions!$B$11+$O$682+$S$682+Assumptions!$B$9</f>
        <v/>
      </c>
      <c r="L5954">
        <f>B5954-J5954</f>
        <v/>
      </c>
      <c r="M5954">
        <f>IF(K5954&gt;0,IF(L5954/K5954&gt;=Assumptions!$B$37,1,0),0)</f>
        <v/>
      </c>
      <c r="N5954">
        <f>K5954+M5954*Assumptions!$B$153</f>
        <v/>
      </c>
      <c r="O5954">
        <f>L5954+M5954*Assumptions!$B$153*Assumptions!$B$37</f>
        <v/>
      </c>
      <c r="P5954">
        <f>IF(N5954&gt;0,O5954/N5954,0)</f>
        <v/>
      </c>
      <c r="Q5954">
        <f>IF(C5954=1,P5954*$J$682,Assumptions!$B$41)</f>
        <v/>
      </c>
      <c r="R5954">
        <f>IF(D5954=1,P5954*$F$682,Assumptions!$B$33)</f>
        <v/>
      </c>
      <c r="S5954">
        <f>IF(E5954=1,P5954*$G$682,Assumptions!$B$32)</f>
        <v/>
      </c>
      <c r="T5954">
        <f>IF(F5954=1,P5954*Assumptions!$B$14,Assumptions!$B$31)</f>
        <v/>
      </c>
      <c r="U5954">
        <f>IF(G5954=1,P5954*Assumptions!$B$13,Assumptions!$B$30)</f>
        <v/>
      </c>
      <c r="V5954">
        <f>IF(H5954=1,P5954*Assumptions!$B$12,Assumptions!$B$29)</f>
        <v/>
      </c>
      <c r="W5954">
        <f>IF(I5954=1,P5954*Assumptions!$B$11,Assumptions!$B$28)</f>
        <v/>
      </c>
      <c r="X5954">
        <f>P5954*($O$682+$S$682)</f>
        <v/>
      </c>
      <c r="Y5954">
        <f>P5954*Assumptions!$B$9</f>
        <v/>
      </c>
      <c r="Z5954">
        <f>IF(M5954=1,(P5954-Assumptions!$B$37)*Assumptions!$B$153,0)</f>
        <v/>
      </c>
      <c r="AA5954">
        <f>Q5954+R5954+S5954+T5954+U5954+V5954+W5954+X5954+Y5954+Z5954</f>
        <v/>
      </c>
      <c r="AB5954" t="n">
        <v>58</v>
      </c>
      <c r="AC5954" t="n">
        <v>122</v>
      </c>
      <c r="AD5954" t="n">
        <v>26</v>
      </c>
      <c r="AE5954" t="n">
        <v>42</v>
      </c>
      <c r="AF5954" t="n">
        <v>50</v>
      </c>
      <c r="AG5954" t="n">
        <v>62</v>
      </c>
      <c r="AH5954" t="n">
        <v>56</v>
      </c>
      <c r="AI5954" t="n">
        <v>59</v>
      </c>
      <c r="AJ5954">
        <f>INDEX($Q$5896:$Q$6023,AC5954+1)</f>
        <v/>
      </c>
      <c r="AK5954">
        <f>INDEX($R$5896:$R$6023,AD5954+1)</f>
        <v/>
      </c>
      <c r="AL5954">
        <f>INDEX($S$5896:$S$6023,AE5954+1)</f>
        <v/>
      </c>
      <c r="AM5954">
        <f>INDEX($T$5896:$T$6023,AF5954+1)</f>
        <v/>
      </c>
      <c r="AN5954">
        <f>INDEX($U$5896:$U$6023,AG5954+1)</f>
        <v/>
      </c>
      <c r="AO5954">
        <f>INDEX($V$5896:$V$6023,AH5954+1)</f>
        <v/>
      </c>
      <c r="AP5954">
        <f>INDEX($W$5896:$W$6023,AI5954+1)</f>
        <v/>
      </c>
      <c r="AQ5954">
        <f>IF(Q5954&gt;=AJ5954-0.01,1,0)</f>
        <v/>
      </c>
      <c r="AR5954">
        <f>IF(R5954&gt;=AK5954-0.01,1,0)</f>
        <v/>
      </c>
      <c r="AS5954">
        <f>IF(S5954&gt;=AL5954-0.01,1,0)</f>
        <v/>
      </c>
      <c r="AT5954">
        <f>IF(T5954&gt;=AM5954-0.01,1,0)</f>
        <v/>
      </c>
      <c r="AU5954">
        <f>IF(U5954&gt;=AN5954-0.01,1,0)</f>
        <v/>
      </c>
      <c r="AV5954">
        <f>IF(V5954&gt;=AO5954-0.01,1,0)</f>
        <v/>
      </c>
      <c r="AW5954">
        <f>IF(W5954&gt;=AP5954-0.01,1,0)</f>
        <v/>
      </c>
      <c r="AX5954">
        <f>AQ5954*AR5954*AS5954*AT5954*AU5954*AV5954*AW5954</f>
        <v/>
      </c>
    </row>
    <row r="5955">
      <c r="A5955" t="inlineStr"/>
      <c r="B5955">
        <f>Assumptions!$B$60</f>
        <v/>
      </c>
      <c r="C5955" t="n">
        <v>0</v>
      </c>
      <c r="D5955" t="n">
        <v>1</v>
      </c>
      <c r="E5955" t="n">
        <v>1</v>
      </c>
      <c r="F5955" t="n">
        <v>1</v>
      </c>
      <c r="G5955" t="n">
        <v>0</v>
      </c>
      <c r="H5955" t="n">
        <v>1</v>
      </c>
      <c r="I5955" t="n">
        <v>1</v>
      </c>
      <c r="J5955">
        <f>(1-C5955)*Assumptions!$B$41+(1-D5955)*Assumptions!$B$33+(1-E5955)*Assumptions!$B$32+(1-F5955)*Assumptions!$B$31+(1-G5955)*Assumptions!$B$30+(1-H5955)*Assumptions!$B$29+(1-I5955)*Assumptions!$B$28</f>
        <v/>
      </c>
      <c r="K5955">
        <f>C5955*$J$682+D5955*$F$682+E5955*$G$682+F5955*Assumptions!$B$14+G5955*Assumptions!$B$13+H5955*Assumptions!$B$12+I5955*Assumptions!$B$11+$O$682+$S$682+Assumptions!$B$9</f>
        <v/>
      </c>
      <c r="L5955">
        <f>B5955-J5955</f>
        <v/>
      </c>
      <c r="M5955">
        <f>IF(K5955&gt;0,IF(L5955/K5955&gt;=Assumptions!$B$37,1,0),0)</f>
        <v/>
      </c>
      <c r="N5955">
        <f>K5955+M5955*Assumptions!$B$153</f>
        <v/>
      </c>
      <c r="O5955">
        <f>L5955+M5955*Assumptions!$B$153*Assumptions!$B$37</f>
        <v/>
      </c>
      <c r="P5955">
        <f>IF(N5955&gt;0,O5955/N5955,0)</f>
        <v/>
      </c>
      <c r="Q5955">
        <f>IF(C5955=1,P5955*$J$682,Assumptions!$B$41)</f>
        <v/>
      </c>
      <c r="R5955">
        <f>IF(D5955=1,P5955*$F$682,Assumptions!$B$33)</f>
        <v/>
      </c>
      <c r="S5955">
        <f>IF(E5955=1,P5955*$G$682,Assumptions!$B$32)</f>
        <v/>
      </c>
      <c r="T5955">
        <f>IF(F5955=1,P5955*Assumptions!$B$14,Assumptions!$B$31)</f>
        <v/>
      </c>
      <c r="U5955">
        <f>IF(G5955=1,P5955*Assumptions!$B$13,Assumptions!$B$30)</f>
        <v/>
      </c>
      <c r="V5955">
        <f>IF(H5955=1,P5955*Assumptions!$B$12,Assumptions!$B$29)</f>
        <v/>
      </c>
      <c r="W5955">
        <f>IF(I5955=1,P5955*Assumptions!$B$11,Assumptions!$B$28)</f>
        <v/>
      </c>
      <c r="X5955">
        <f>P5955*($O$682+$S$682)</f>
        <v/>
      </c>
      <c r="Y5955">
        <f>P5955*Assumptions!$B$9</f>
        <v/>
      </c>
      <c r="Z5955">
        <f>IF(M5955=1,(P5955-Assumptions!$B$37)*Assumptions!$B$153,0)</f>
        <v/>
      </c>
      <c r="AA5955">
        <f>Q5955+R5955+S5955+T5955+U5955+V5955+W5955+X5955+Y5955+Z5955</f>
        <v/>
      </c>
      <c r="AB5955" t="n">
        <v>59</v>
      </c>
      <c r="AC5955" t="n">
        <v>123</v>
      </c>
      <c r="AD5955" t="n">
        <v>27</v>
      </c>
      <c r="AE5955" t="n">
        <v>43</v>
      </c>
      <c r="AF5955" t="n">
        <v>51</v>
      </c>
      <c r="AG5955" t="n">
        <v>63</v>
      </c>
      <c r="AH5955" t="n">
        <v>57</v>
      </c>
      <c r="AI5955" t="n">
        <v>58</v>
      </c>
      <c r="AJ5955">
        <f>INDEX($Q$5896:$Q$6023,AC5955+1)</f>
        <v/>
      </c>
      <c r="AK5955">
        <f>INDEX($R$5896:$R$6023,AD5955+1)</f>
        <v/>
      </c>
      <c r="AL5955">
        <f>INDEX($S$5896:$S$6023,AE5955+1)</f>
        <v/>
      </c>
      <c r="AM5955">
        <f>INDEX($T$5896:$T$6023,AF5955+1)</f>
        <v/>
      </c>
      <c r="AN5955">
        <f>INDEX($U$5896:$U$6023,AG5955+1)</f>
        <v/>
      </c>
      <c r="AO5955">
        <f>INDEX($V$5896:$V$6023,AH5955+1)</f>
        <v/>
      </c>
      <c r="AP5955">
        <f>INDEX($W$5896:$W$6023,AI5955+1)</f>
        <v/>
      </c>
      <c r="AQ5955">
        <f>IF(Q5955&gt;=AJ5955-0.01,1,0)</f>
        <v/>
      </c>
      <c r="AR5955">
        <f>IF(R5955&gt;=AK5955-0.01,1,0)</f>
        <v/>
      </c>
      <c r="AS5955">
        <f>IF(S5955&gt;=AL5955-0.01,1,0)</f>
        <v/>
      </c>
      <c r="AT5955">
        <f>IF(T5955&gt;=AM5955-0.01,1,0)</f>
        <v/>
      </c>
      <c r="AU5955">
        <f>IF(U5955&gt;=AN5955-0.01,1,0)</f>
        <v/>
      </c>
      <c r="AV5955">
        <f>IF(V5955&gt;=AO5955-0.01,1,0)</f>
        <v/>
      </c>
      <c r="AW5955">
        <f>IF(W5955&gt;=AP5955-0.01,1,0)</f>
        <v/>
      </c>
      <c r="AX5955">
        <f>AQ5955*AR5955*AS5955*AT5955*AU5955*AV5955*AW5955</f>
        <v/>
      </c>
    </row>
    <row r="5956">
      <c r="A5956" t="inlineStr"/>
      <c r="B5956">
        <f>Assumptions!$B$60</f>
        <v/>
      </c>
      <c r="C5956" t="n">
        <v>0</v>
      </c>
      <c r="D5956" t="n">
        <v>1</v>
      </c>
      <c r="E5956" t="n">
        <v>1</v>
      </c>
      <c r="F5956" t="n">
        <v>1</v>
      </c>
      <c r="G5956" t="n">
        <v>1</v>
      </c>
      <c r="H5956" t="n">
        <v>0</v>
      </c>
      <c r="I5956" t="n">
        <v>0</v>
      </c>
      <c r="J5956">
        <f>(1-C5956)*Assumptions!$B$41+(1-D5956)*Assumptions!$B$33+(1-E5956)*Assumptions!$B$32+(1-F5956)*Assumptions!$B$31+(1-G5956)*Assumptions!$B$30+(1-H5956)*Assumptions!$B$29+(1-I5956)*Assumptions!$B$28</f>
        <v/>
      </c>
      <c r="K5956">
        <f>C5956*$J$682+D5956*$F$682+E5956*$G$682+F5956*Assumptions!$B$14+G5956*Assumptions!$B$13+H5956*Assumptions!$B$12+I5956*Assumptions!$B$11+$O$682+$S$682+Assumptions!$B$9</f>
        <v/>
      </c>
      <c r="L5956">
        <f>B5956-J5956</f>
        <v/>
      </c>
      <c r="M5956">
        <f>IF(K5956&gt;0,IF(L5956/K5956&gt;=Assumptions!$B$37,1,0),0)</f>
        <v/>
      </c>
      <c r="N5956">
        <f>K5956+M5956*Assumptions!$B$153</f>
        <v/>
      </c>
      <c r="O5956">
        <f>L5956+M5956*Assumptions!$B$153*Assumptions!$B$37</f>
        <v/>
      </c>
      <c r="P5956">
        <f>IF(N5956&gt;0,O5956/N5956,0)</f>
        <v/>
      </c>
      <c r="Q5956">
        <f>IF(C5956=1,P5956*$J$682,Assumptions!$B$41)</f>
        <v/>
      </c>
      <c r="R5956">
        <f>IF(D5956=1,P5956*$F$682,Assumptions!$B$33)</f>
        <v/>
      </c>
      <c r="S5956">
        <f>IF(E5956=1,P5956*$G$682,Assumptions!$B$32)</f>
        <v/>
      </c>
      <c r="T5956">
        <f>IF(F5956=1,P5956*Assumptions!$B$14,Assumptions!$B$31)</f>
        <v/>
      </c>
      <c r="U5956">
        <f>IF(G5956=1,P5956*Assumptions!$B$13,Assumptions!$B$30)</f>
        <v/>
      </c>
      <c r="V5956">
        <f>IF(H5956=1,P5956*Assumptions!$B$12,Assumptions!$B$29)</f>
        <v/>
      </c>
      <c r="W5956">
        <f>IF(I5956=1,P5956*Assumptions!$B$11,Assumptions!$B$28)</f>
        <v/>
      </c>
      <c r="X5956">
        <f>P5956*($O$682+$S$682)</f>
        <v/>
      </c>
      <c r="Y5956">
        <f>P5956*Assumptions!$B$9</f>
        <v/>
      </c>
      <c r="Z5956">
        <f>IF(M5956=1,(P5956-Assumptions!$B$37)*Assumptions!$B$153,0)</f>
        <v/>
      </c>
      <c r="AA5956">
        <f>Q5956+R5956+S5956+T5956+U5956+V5956+W5956+X5956+Y5956+Z5956</f>
        <v/>
      </c>
      <c r="AB5956" t="n">
        <v>60</v>
      </c>
      <c r="AC5956" t="n">
        <v>124</v>
      </c>
      <c r="AD5956" t="n">
        <v>28</v>
      </c>
      <c r="AE5956" t="n">
        <v>44</v>
      </c>
      <c r="AF5956" t="n">
        <v>52</v>
      </c>
      <c r="AG5956" t="n">
        <v>56</v>
      </c>
      <c r="AH5956" t="n">
        <v>62</v>
      </c>
      <c r="AI5956" t="n">
        <v>61</v>
      </c>
      <c r="AJ5956">
        <f>INDEX($Q$5896:$Q$6023,AC5956+1)</f>
        <v/>
      </c>
      <c r="AK5956">
        <f>INDEX($R$5896:$R$6023,AD5956+1)</f>
        <v/>
      </c>
      <c r="AL5956">
        <f>INDEX($S$5896:$S$6023,AE5956+1)</f>
        <v/>
      </c>
      <c r="AM5956">
        <f>INDEX($T$5896:$T$6023,AF5956+1)</f>
        <v/>
      </c>
      <c r="AN5956">
        <f>INDEX($U$5896:$U$6023,AG5956+1)</f>
        <v/>
      </c>
      <c r="AO5956">
        <f>INDEX($V$5896:$V$6023,AH5956+1)</f>
        <v/>
      </c>
      <c r="AP5956">
        <f>INDEX($W$5896:$W$6023,AI5956+1)</f>
        <v/>
      </c>
      <c r="AQ5956">
        <f>IF(Q5956&gt;=AJ5956-0.01,1,0)</f>
        <v/>
      </c>
      <c r="AR5956">
        <f>IF(R5956&gt;=AK5956-0.01,1,0)</f>
        <v/>
      </c>
      <c r="AS5956">
        <f>IF(S5956&gt;=AL5956-0.01,1,0)</f>
        <v/>
      </c>
      <c r="AT5956">
        <f>IF(T5956&gt;=AM5956-0.01,1,0)</f>
        <v/>
      </c>
      <c r="AU5956">
        <f>IF(U5956&gt;=AN5956-0.01,1,0)</f>
        <v/>
      </c>
      <c r="AV5956">
        <f>IF(V5956&gt;=AO5956-0.01,1,0)</f>
        <v/>
      </c>
      <c r="AW5956">
        <f>IF(W5956&gt;=AP5956-0.01,1,0)</f>
        <v/>
      </c>
      <c r="AX5956">
        <f>AQ5956*AR5956*AS5956*AT5956*AU5956*AV5956*AW5956</f>
        <v/>
      </c>
    </row>
    <row r="5957">
      <c r="A5957" t="inlineStr"/>
      <c r="B5957">
        <f>Assumptions!$B$60</f>
        <v/>
      </c>
      <c r="C5957" t="n">
        <v>0</v>
      </c>
      <c r="D5957" t="n">
        <v>1</v>
      </c>
      <c r="E5957" t="n">
        <v>1</v>
      </c>
      <c r="F5957" t="n">
        <v>1</v>
      </c>
      <c r="G5957" t="n">
        <v>1</v>
      </c>
      <c r="H5957" t="n">
        <v>0</v>
      </c>
      <c r="I5957" t="n">
        <v>1</v>
      </c>
      <c r="J5957">
        <f>(1-C5957)*Assumptions!$B$41+(1-D5957)*Assumptions!$B$33+(1-E5957)*Assumptions!$B$32+(1-F5957)*Assumptions!$B$31+(1-G5957)*Assumptions!$B$30+(1-H5957)*Assumptions!$B$29+(1-I5957)*Assumptions!$B$28</f>
        <v/>
      </c>
      <c r="K5957">
        <f>C5957*$J$682+D5957*$F$682+E5957*$G$682+F5957*Assumptions!$B$14+G5957*Assumptions!$B$13+H5957*Assumptions!$B$12+I5957*Assumptions!$B$11+$O$682+$S$682+Assumptions!$B$9</f>
        <v/>
      </c>
      <c r="L5957">
        <f>B5957-J5957</f>
        <v/>
      </c>
      <c r="M5957">
        <f>IF(K5957&gt;0,IF(L5957/K5957&gt;=Assumptions!$B$37,1,0),0)</f>
        <v/>
      </c>
      <c r="N5957">
        <f>K5957+M5957*Assumptions!$B$153</f>
        <v/>
      </c>
      <c r="O5957">
        <f>L5957+M5957*Assumptions!$B$153*Assumptions!$B$37</f>
        <v/>
      </c>
      <c r="P5957">
        <f>IF(N5957&gt;0,O5957/N5957,0)</f>
        <v/>
      </c>
      <c r="Q5957">
        <f>IF(C5957=1,P5957*$J$682,Assumptions!$B$41)</f>
        <v/>
      </c>
      <c r="R5957">
        <f>IF(D5957=1,P5957*$F$682,Assumptions!$B$33)</f>
        <v/>
      </c>
      <c r="S5957">
        <f>IF(E5957=1,P5957*$G$682,Assumptions!$B$32)</f>
        <v/>
      </c>
      <c r="T5957">
        <f>IF(F5957=1,P5957*Assumptions!$B$14,Assumptions!$B$31)</f>
        <v/>
      </c>
      <c r="U5957">
        <f>IF(G5957=1,P5957*Assumptions!$B$13,Assumptions!$B$30)</f>
        <v/>
      </c>
      <c r="V5957">
        <f>IF(H5957=1,P5957*Assumptions!$B$12,Assumptions!$B$29)</f>
        <v/>
      </c>
      <c r="W5957">
        <f>IF(I5957=1,P5957*Assumptions!$B$11,Assumptions!$B$28)</f>
        <v/>
      </c>
      <c r="X5957">
        <f>P5957*($O$682+$S$682)</f>
        <v/>
      </c>
      <c r="Y5957">
        <f>P5957*Assumptions!$B$9</f>
        <v/>
      </c>
      <c r="Z5957">
        <f>IF(M5957=1,(P5957-Assumptions!$B$37)*Assumptions!$B$153,0)</f>
        <v/>
      </c>
      <c r="AA5957">
        <f>Q5957+R5957+S5957+T5957+U5957+V5957+W5957+X5957+Y5957+Z5957</f>
        <v/>
      </c>
      <c r="AB5957" t="n">
        <v>61</v>
      </c>
      <c r="AC5957" t="n">
        <v>125</v>
      </c>
      <c r="AD5957" t="n">
        <v>29</v>
      </c>
      <c r="AE5957" t="n">
        <v>45</v>
      </c>
      <c r="AF5957" t="n">
        <v>53</v>
      </c>
      <c r="AG5957" t="n">
        <v>57</v>
      </c>
      <c r="AH5957" t="n">
        <v>63</v>
      </c>
      <c r="AI5957" t="n">
        <v>60</v>
      </c>
      <c r="AJ5957">
        <f>INDEX($Q$5896:$Q$6023,AC5957+1)</f>
        <v/>
      </c>
      <c r="AK5957">
        <f>INDEX($R$5896:$R$6023,AD5957+1)</f>
        <v/>
      </c>
      <c r="AL5957">
        <f>INDEX($S$5896:$S$6023,AE5957+1)</f>
        <v/>
      </c>
      <c r="AM5957">
        <f>INDEX($T$5896:$T$6023,AF5957+1)</f>
        <v/>
      </c>
      <c r="AN5957">
        <f>INDEX($U$5896:$U$6023,AG5957+1)</f>
        <v/>
      </c>
      <c r="AO5957">
        <f>INDEX($V$5896:$V$6023,AH5957+1)</f>
        <v/>
      </c>
      <c r="AP5957">
        <f>INDEX($W$5896:$W$6023,AI5957+1)</f>
        <v/>
      </c>
      <c r="AQ5957">
        <f>IF(Q5957&gt;=AJ5957-0.01,1,0)</f>
        <v/>
      </c>
      <c r="AR5957">
        <f>IF(R5957&gt;=AK5957-0.01,1,0)</f>
        <v/>
      </c>
      <c r="AS5957">
        <f>IF(S5957&gt;=AL5957-0.01,1,0)</f>
        <v/>
      </c>
      <c r="AT5957">
        <f>IF(T5957&gt;=AM5957-0.01,1,0)</f>
        <v/>
      </c>
      <c r="AU5957">
        <f>IF(U5957&gt;=AN5957-0.01,1,0)</f>
        <v/>
      </c>
      <c r="AV5957">
        <f>IF(V5957&gt;=AO5957-0.01,1,0)</f>
        <v/>
      </c>
      <c r="AW5957">
        <f>IF(W5957&gt;=AP5957-0.01,1,0)</f>
        <v/>
      </c>
      <c r="AX5957">
        <f>AQ5957*AR5957*AS5957*AT5957*AU5957*AV5957*AW5957</f>
        <v/>
      </c>
    </row>
    <row r="5958">
      <c r="A5958" t="inlineStr"/>
      <c r="B5958">
        <f>Assumptions!$B$60</f>
        <v/>
      </c>
      <c r="C5958" t="n">
        <v>0</v>
      </c>
      <c r="D5958" t="n">
        <v>1</v>
      </c>
      <c r="E5958" t="n">
        <v>1</v>
      </c>
      <c r="F5958" t="n">
        <v>1</v>
      </c>
      <c r="G5958" t="n">
        <v>1</v>
      </c>
      <c r="H5958" t="n">
        <v>1</v>
      </c>
      <c r="I5958" t="n">
        <v>0</v>
      </c>
      <c r="J5958">
        <f>(1-C5958)*Assumptions!$B$41+(1-D5958)*Assumptions!$B$33+(1-E5958)*Assumptions!$B$32+(1-F5958)*Assumptions!$B$31+(1-G5958)*Assumptions!$B$30+(1-H5958)*Assumptions!$B$29+(1-I5958)*Assumptions!$B$28</f>
        <v/>
      </c>
      <c r="K5958">
        <f>C5958*$J$682+D5958*$F$682+E5958*$G$682+F5958*Assumptions!$B$14+G5958*Assumptions!$B$13+H5958*Assumptions!$B$12+I5958*Assumptions!$B$11+$O$682+$S$682+Assumptions!$B$9</f>
        <v/>
      </c>
      <c r="L5958">
        <f>B5958-J5958</f>
        <v/>
      </c>
      <c r="M5958">
        <f>IF(K5958&gt;0,IF(L5958/K5958&gt;=Assumptions!$B$37,1,0),0)</f>
        <v/>
      </c>
      <c r="N5958">
        <f>K5958+M5958*Assumptions!$B$153</f>
        <v/>
      </c>
      <c r="O5958">
        <f>L5958+M5958*Assumptions!$B$153*Assumptions!$B$37</f>
        <v/>
      </c>
      <c r="P5958">
        <f>IF(N5958&gt;0,O5958/N5958,0)</f>
        <v/>
      </c>
      <c r="Q5958">
        <f>IF(C5958=1,P5958*$J$682,Assumptions!$B$41)</f>
        <v/>
      </c>
      <c r="R5958">
        <f>IF(D5958=1,P5958*$F$682,Assumptions!$B$33)</f>
        <v/>
      </c>
      <c r="S5958">
        <f>IF(E5958=1,P5958*$G$682,Assumptions!$B$32)</f>
        <v/>
      </c>
      <c r="T5958">
        <f>IF(F5958=1,P5958*Assumptions!$B$14,Assumptions!$B$31)</f>
        <v/>
      </c>
      <c r="U5958">
        <f>IF(G5958=1,P5958*Assumptions!$B$13,Assumptions!$B$30)</f>
        <v/>
      </c>
      <c r="V5958">
        <f>IF(H5958=1,P5958*Assumptions!$B$12,Assumptions!$B$29)</f>
        <v/>
      </c>
      <c r="W5958">
        <f>IF(I5958=1,P5958*Assumptions!$B$11,Assumptions!$B$28)</f>
        <v/>
      </c>
      <c r="X5958">
        <f>P5958*($O$682+$S$682)</f>
        <v/>
      </c>
      <c r="Y5958">
        <f>P5958*Assumptions!$B$9</f>
        <v/>
      </c>
      <c r="Z5958">
        <f>IF(M5958=1,(P5958-Assumptions!$B$37)*Assumptions!$B$153,0)</f>
        <v/>
      </c>
      <c r="AA5958">
        <f>Q5958+R5958+S5958+T5958+U5958+V5958+W5958+X5958+Y5958+Z5958</f>
        <v/>
      </c>
      <c r="AB5958" t="n">
        <v>62</v>
      </c>
      <c r="AC5958" t="n">
        <v>126</v>
      </c>
      <c r="AD5958" t="n">
        <v>30</v>
      </c>
      <c r="AE5958" t="n">
        <v>46</v>
      </c>
      <c r="AF5958" t="n">
        <v>54</v>
      </c>
      <c r="AG5958" t="n">
        <v>58</v>
      </c>
      <c r="AH5958" t="n">
        <v>60</v>
      </c>
      <c r="AI5958" t="n">
        <v>63</v>
      </c>
      <c r="AJ5958">
        <f>INDEX($Q$5896:$Q$6023,AC5958+1)</f>
        <v/>
      </c>
      <c r="AK5958">
        <f>INDEX($R$5896:$R$6023,AD5958+1)</f>
        <v/>
      </c>
      <c r="AL5958">
        <f>INDEX($S$5896:$S$6023,AE5958+1)</f>
        <v/>
      </c>
      <c r="AM5958">
        <f>INDEX($T$5896:$T$6023,AF5958+1)</f>
        <v/>
      </c>
      <c r="AN5958">
        <f>INDEX($U$5896:$U$6023,AG5958+1)</f>
        <v/>
      </c>
      <c r="AO5958">
        <f>INDEX($V$5896:$V$6023,AH5958+1)</f>
        <v/>
      </c>
      <c r="AP5958">
        <f>INDEX($W$5896:$W$6023,AI5958+1)</f>
        <v/>
      </c>
      <c r="AQ5958">
        <f>IF(Q5958&gt;=AJ5958-0.01,1,0)</f>
        <v/>
      </c>
      <c r="AR5958">
        <f>IF(R5958&gt;=AK5958-0.01,1,0)</f>
        <v/>
      </c>
      <c r="AS5958">
        <f>IF(S5958&gt;=AL5958-0.01,1,0)</f>
        <v/>
      </c>
      <c r="AT5958">
        <f>IF(T5958&gt;=AM5958-0.01,1,0)</f>
        <v/>
      </c>
      <c r="AU5958">
        <f>IF(U5958&gt;=AN5958-0.01,1,0)</f>
        <v/>
      </c>
      <c r="AV5958">
        <f>IF(V5958&gt;=AO5958-0.01,1,0)</f>
        <v/>
      </c>
      <c r="AW5958">
        <f>IF(W5958&gt;=AP5958-0.01,1,0)</f>
        <v/>
      </c>
      <c r="AX5958">
        <f>AQ5958*AR5958*AS5958*AT5958*AU5958*AV5958*AW5958</f>
        <v/>
      </c>
    </row>
    <row r="5959">
      <c r="A5959" t="inlineStr"/>
      <c r="B5959">
        <f>Assumptions!$B$60</f>
        <v/>
      </c>
      <c r="C5959" t="n">
        <v>0</v>
      </c>
      <c r="D5959" t="n">
        <v>1</v>
      </c>
      <c r="E5959" t="n">
        <v>1</v>
      </c>
      <c r="F5959" t="n">
        <v>1</v>
      </c>
      <c r="G5959" t="n">
        <v>1</v>
      </c>
      <c r="H5959" t="n">
        <v>1</v>
      </c>
      <c r="I5959" t="n">
        <v>1</v>
      </c>
      <c r="J5959">
        <f>(1-C5959)*Assumptions!$B$41+(1-D5959)*Assumptions!$B$33+(1-E5959)*Assumptions!$B$32+(1-F5959)*Assumptions!$B$31+(1-G5959)*Assumptions!$B$30+(1-H5959)*Assumptions!$B$29+(1-I5959)*Assumptions!$B$28</f>
        <v/>
      </c>
      <c r="K5959">
        <f>C5959*$J$682+D5959*$F$682+E5959*$G$682+F5959*Assumptions!$B$14+G5959*Assumptions!$B$13+H5959*Assumptions!$B$12+I5959*Assumptions!$B$11+$O$682+$S$682+Assumptions!$B$9</f>
        <v/>
      </c>
      <c r="L5959">
        <f>B5959-J5959</f>
        <v/>
      </c>
      <c r="M5959">
        <f>IF(K5959&gt;0,IF(L5959/K5959&gt;=Assumptions!$B$37,1,0),0)</f>
        <v/>
      </c>
      <c r="N5959">
        <f>K5959+M5959*Assumptions!$B$153</f>
        <v/>
      </c>
      <c r="O5959">
        <f>L5959+M5959*Assumptions!$B$153*Assumptions!$B$37</f>
        <v/>
      </c>
      <c r="P5959">
        <f>IF(N5959&gt;0,O5959/N5959,0)</f>
        <v/>
      </c>
      <c r="Q5959">
        <f>IF(C5959=1,P5959*$J$682,Assumptions!$B$41)</f>
        <v/>
      </c>
      <c r="R5959">
        <f>IF(D5959=1,P5959*$F$682,Assumptions!$B$33)</f>
        <v/>
      </c>
      <c r="S5959">
        <f>IF(E5959=1,P5959*$G$682,Assumptions!$B$32)</f>
        <v/>
      </c>
      <c r="T5959">
        <f>IF(F5959=1,P5959*Assumptions!$B$14,Assumptions!$B$31)</f>
        <v/>
      </c>
      <c r="U5959">
        <f>IF(G5959=1,P5959*Assumptions!$B$13,Assumptions!$B$30)</f>
        <v/>
      </c>
      <c r="V5959">
        <f>IF(H5959=1,P5959*Assumptions!$B$12,Assumptions!$B$29)</f>
        <v/>
      </c>
      <c r="W5959">
        <f>IF(I5959=1,P5959*Assumptions!$B$11,Assumptions!$B$28)</f>
        <v/>
      </c>
      <c r="X5959">
        <f>P5959*($O$682+$S$682)</f>
        <v/>
      </c>
      <c r="Y5959">
        <f>P5959*Assumptions!$B$9</f>
        <v/>
      </c>
      <c r="Z5959">
        <f>IF(M5959=1,(P5959-Assumptions!$B$37)*Assumptions!$B$153,0)</f>
        <v/>
      </c>
      <c r="AA5959">
        <f>Q5959+R5959+S5959+T5959+U5959+V5959+W5959+X5959+Y5959+Z5959</f>
        <v/>
      </c>
      <c r="AB5959" t="n">
        <v>63</v>
      </c>
      <c r="AC5959" t="n">
        <v>127</v>
      </c>
      <c r="AD5959" t="n">
        <v>31</v>
      </c>
      <c r="AE5959" t="n">
        <v>47</v>
      </c>
      <c r="AF5959" t="n">
        <v>55</v>
      </c>
      <c r="AG5959" t="n">
        <v>59</v>
      </c>
      <c r="AH5959" t="n">
        <v>61</v>
      </c>
      <c r="AI5959" t="n">
        <v>62</v>
      </c>
      <c r="AJ5959">
        <f>INDEX($Q$5896:$Q$6023,AC5959+1)</f>
        <v/>
      </c>
      <c r="AK5959">
        <f>INDEX($R$5896:$R$6023,AD5959+1)</f>
        <v/>
      </c>
      <c r="AL5959">
        <f>INDEX($S$5896:$S$6023,AE5959+1)</f>
        <v/>
      </c>
      <c r="AM5959">
        <f>INDEX($T$5896:$T$6023,AF5959+1)</f>
        <v/>
      </c>
      <c r="AN5959">
        <f>INDEX($U$5896:$U$6023,AG5959+1)</f>
        <v/>
      </c>
      <c r="AO5959">
        <f>INDEX($V$5896:$V$6023,AH5959+1)</f>
        <v/>
      </c>
      <c r="AP5959">
        <f>INDEX($W$5896:$W$6023,AI5959+1)</f>
        <v/>
      </c>
      <c r="AQ5959">
        <f>IF(Q5959&gt;=AJ5959-0.01,1,0)</f>
        <v/>
      </c>
      <c r="AR5959">
        <f>IF(R5959&gt;=AK5959-0.01,1,0)</f>
        <v/>
      </c>
      <c r="AS5959">
        <f>IF(S5959&gt;=AL5959-0.01,1,0)</f>
        <v/>
      </c>
      <c r="AT5959">
        <f>IF(T5959&gt;=AM5959-0.01,1,0)</f>
        <v/>
      </c>
      <c r="AU5959">
        <f>IF(U5959&gt;=AN5959-0.01,1,0)</f>
        <v/>
      </c>
      <c r="AV5959">
        <f>IF(V5959&gt;=AO5959-0.01,1,0)</f>
        <v/>
      </c>
      <c r="AW5959">
        <f>IF(W5959&gt;=AP5959-0.01,1,0)</f>
        <v/>
      </c>
      <c r="AX5959">
        <f>AQ5959*AR5959*AS5959*AT5959*AU5959*AV5959*AW5959</f>
        <v/>
      </c>
    </row>
    <row r="5960">
      <c r="A5960" t="inlineStr"/>
      <c r="B5960">
        <f>Assumptions!$B$60</f>
        <v/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>
        <f>(1-C5960)*Assumptions!$B$41+(1-D5960)*Assumptions!$B$33+(1-E5960)*Assumptions!$B$32+(1-F5960)*Assumptions!$B$31+(1-G5960)*Assumptions!$B$30+(1-H5960)*Assumptions!$B$29+(1-I5960)*Assumptions!$B$28</f>
        <v/>
      </c>
      <c r="K5960">
        <f>C5960*$J$682+D5960*$F$682+E5960*$G$682+F5960*Assumptions!$B$14+G5960*Assumptions!$B$13+H5960*Assumptions!$B$12+I5960*Assumptions!$B$11+$O$682+$S$682+Assumptions!$B$9</f>
        <v/>
      </c>
      <c r="L5960">
        <f>B5960-J5960</f>
        <v/>
      </c>
      <c r="M5960">
        <f>IF(K5960&gt;0,IF(L5960/K5960&gt;=Assumptions!$B$37,1,0),0)</f>
        <v/>
      </c>
      <c r="N5960">
        <f>K5960+M5960*Assumptions!$B$153</f>
        <v/>
      </c>
      <c r="O5960">
        <f>L5960+M5960*Assumptions!$B$153*Assumptions!$B$37</f>
        <v/>
      </c>
      <c r="P5960">
        <f>IF(N5960&gt;0,O5960/N5960,0)</f>
        <v/>
      </c>
      <c r="Q5960">
        <f>IF(C5960=1,P5960*$J$682,Assumptions!$B$41)</f>
        <v/>
      </c>
      <c r="R5960">
        <f>IF(D5960=1,P5960*$F$682,Assumptions!$B$33)</f>
        <v/>
      </c>
      <c r="S5960">
        <f>IF(E5960=1,P5960*$G$682,Assumptions!$B$32)</f>
        <v/>
      </c>
      <c r="T5960">
        <f>IF(F5960=1,P5960*Assumptions!$B$14,Assumptions!$B$31)</f>
        <v/>
      </c>
      <c r="U5960">
        <f>IF(G5960=1,P5960*Assumptions!$B$13,Assumptions!$B$30)</f>
        <v/>
      </c>
      <c r="V5960">
        <f>IF(H5960=1,P5960*Assumptions!$B$12,Assumptions!$B$29)</f>
        <v/>
      </c>
      <c r="W5960">
        <f>IF(I5960=1,P5960*Assumptions!$B$11,Assumptions!$B$28)</f>
        <v/>
      </c>
      <c r="X5960">
        <f>P5960*($O$682+$S$682)</f>
        <v/>
      </c>
      <c r="Y5960">
        <f>P5960*Assumptions!$B$9</f>
        <v/>
      </c>
      <c r="Z5960">
        <f>IF(M5960=1,(P5960-Assumptions!$B$37)*Assumptions!$B$153,0)</f>
        <v/>
      </c>
      <c r="AA5960">
        <f>Q5960+R5960+S5960+T5960+U5960+V5960+W5960+X5960+Y5960+Z5960</f>
        <v/>
      </c>
      <c r="AB5960" t="n">
        <v>64</v>
      </c>
      <c r="AC5960" t="n">
        <v>0</v>
      </c>
      <c r="AD5960" t="n">
        <v>96</v>
      </c>
      <c r="AE5960" t="n">
        <v>80</v>
      </c>
      <c r="AF5960" t="n">
        <v>72</v>
      </c>
      <c r="AG5960" t="n">
        <v>68</v>
      </c>
      <c r="AH5960" t="n">
        <v>66</v>
      </c>
      <c r="AI5960" t="n">
        <v>65</v>
      </c>
      <c r="AJ5960">
        <f>INDEX($Q$5896:$Q$6023,AC5960+1)</f>
        <v/>
      </c>
      <c r="AK5960">
        <f>INDEX($R$5896:$R$6023,AD5960+1)</f>
        <v/>
      </c>
      <c r="AL5960">
        <f>INDEX($S$5896:$S$6023,AE5960+1)</f>
        <v/>
      </c>
      <c r="AM5960">
        <f>INDEX($T$5896:$T$6023,AF5960+1)</f>
        <v/>
      </c>
      <c r="AN5960">
        <f>INDEX($U$5896:$U$6023,AG5960+1)</f>
        <v/>
      </c>
      <c r="AO5960">
        <f>INDEX($V$5896:$V$6023,AH5960+1)</f>
        <v/>
      </c>
      <c r="AP5960">
        <f>INDEX($W$5896:$W$6023,AI5960+1)</f>
        <v/>
      </c>
      <c r="AQ5960">
        <f>IF(Q5960&gt;=AJ5960-0.01,1,0)</f>
        <v/>
      </c>
      <c r="AR5960">
        <f>IF(R5960&gt;=AK5960-0.01,1,0)</f>
        <v/>
      </c>
      <c r="AS5960">
        <f>IF(S5960&gt;=AL5960-0.01,1,0)</f>
        <v/>
      </c>
      <c r="AT5960">
        <f>IF(T5960&gt;=AM5960-0.01,1,0)</f>
        <v/>
      </c>
      <c r="AU5960">
        <f>IF(U5960&gt;=AN5960-0.01,1,0)</f>
        <v/>
      </c>
      <c r="AV5960">
        <f>IF(V5960&gt;=AO5960-0.01,1,0)</f>
        <v/>
      </c>
      <c r="AW5960">
        <f>IF(W5960&gt;=AP5960-0.01,1,0)</f>
        <v/>
      </c>
      <c r="AX5960">
        <f>AQ5960*AR5960*AS5960*AT5960*AU5960*AV5960*AW5960</f>
        <v/>
      </c>
    </row>
    <row r="5961">
      <c r="A5961" t="inlineStr"/>
      <c r="B5961">
        <f>Assumptions!$B$60</f>
        <v/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>
        <f>(1-C5961)*Assumptions!$B$41+(1-D5961)*Assumptions!$B$33+(1-E5961)*Assumptions!$B$32+(1-F5961)*Assumptions!$B$31+(1-G5961)*Assumptions!$B$30+(1-H5961)*Assumptions!$B$29+(1-I5961)*Assumptions!$B$28</f>
        <v/>
      </c>
      <c r="K5961">
        <f>C5961*$J$682+D5961*$F$682+E5961*$G$682+F5961*Assumptions!$B$14+G5961*Assumptions!$B$13+H5961*Assumptions!$B$12+I5961*Assumptions!$B$11+$O$682+$S$682+Assumptions!$B$9</f>
        <v/>
      </c>
      <c r="L5961">
        <f>B5961-J5961</f>
        <v/>
      </c>
      <c r="M5961">
        <f>IF(K5961&gt;0,IF(L5961/K5961&gt;=Assumptions!$B$37,1,0),0)</f>
        <v/>
      </c>
      <c r="N5961">
        <f>K5961+M5961*Assumptions!$B$153</f>
        <v/>
      </c>
      <c r="O5961">
        <f>L5961+M5961*Assumptions!$B$153*Assumptions!$B$37</f>
        <v/>
      </c>
      <c r="P5961">
        <f>IF(N5961&gt;0,O5961/N5961,0)</f>
        <v/>
      </c>
      <c r="Q5961">
        <f>IF(C5961=1,P5961*$J$682,Assumptions!$B$41)</f>
        <v/>
      </c>
      <c r="R5961">
        <f>IF(D5961=1,P5961*$F$682,Assumptions!$B$33)</f>
        <v/>
      </c>
      <c r="S5961">
        <f>IF(E5961=1,P5961*$G$682,Assumptions!$B$32)</f>
        <v/>
      </c>
      <c r="T5961">
        <f>IF(F5961=1,P5961*Assumptions!$B$14,Assumptions!$B$31)</f>
        <v/>
      </c>
      <c r="U5961">
        <f>IF(G5961=1,P5961*Assumptions!$B$13,Assumptions!$B$30)</f>
        <v/>
      </c>
      <c r="V5961">
        <f>IF(H5961=1,P5961*Assumptions!$B$12,Assumptions!$B$29)</f>
        <v/>
      </c>
      <c r="W5961">
        <f>IF(I5961=1,P5961*Assumptions!$B$11,Assumptions!$B$28)</f>
        <v/>
      </c>
      <c r="X5961">
        <f>P5961*($O$682+$S$682)</f>
        <v/>
      </c>
      <c r="Y5961">
        <f>P5961*Assumptions!$B$9</f>
        <v/>
      </c>
      <c r="Z5961">
        <f>IF(M5961=1,(P5961-Assumptions!$B$37)*Assumptions!$B$153,0)</f>
        <v/>
      </c>
      <c r="AA5961">
        <f>Q5961+R5961+S5961+T5961+U5961+V5961+W5961+X5961+Y5961+Z5961</f>
        <v/>
      </c>
      <c r="AB5961" t="n">
        <v>65</v>
      </c>
      <c r="AC5961" t="n">
        <v>1</v>
      </c>
      <c r="AD5961" t="n">
        <v>97</v>
      </c>
      <c r="AE5961" t="n">
        <v>81</v>
      </c>
      <c r="AF5961" t="n">
        <v>73</v>
      </c>
      <c r="AG5961" t="n">
        <v>69</v>
      </c>
      <c r="AH5961" t="n">
        <v>67</v>
      </c>
      <c r="AI5961" t="n">
        <v>64</v>
      </c>
      <c r="AJ5961">
        <f>INDEX($Q$5896:$Q$6023,AC5961+1)</f>
        <v/>
      </c>
      <c r="AK5961">
        <f>INDEX($R$5896:$R$6023,AD5961+1)</f>
        <v/>
      </c>
      <c r="AL5961">
        <f>INDEX($S$5896:$S$6023,AE5961+1)</f>
        <v/>
      </c>
      <c r="AM5961">
        <f>INDEX($T$5896:$T$6023,AF5961+1)</f>
        <v/>
      </c>
      <c r="AN5961">
        <f>INDEX($U$5896:$U$6023,AG5961+1)</f>
        <v/>
      </c>
      <c r="AO5961">
        <f>INDEX($V$5896:$V$6023,AH5961+1)</f>
        <v/>
      </c>
      <c r="AP5961">
        <f>INDEX($W$5896:$W$6023,AI5961+1)</f>
        <v/>
      </c>
      <c r="AQ5961">
        <f>IF(Q5961&gt;=AJ5961-0.01,1,0)</f>
        <v/>
      </c>
      <c r="AR5961">
        <f>IF(R5961&gt;=AK5961-0.01,1,0)</f>
        <v/>
      </c>
      <c r="AS5961">
        <f>IF(S5961&gt;=AL5961-0.01,1,0)</f>
        <v/>
      </c>
      <c r="AT5961">
        <f>IF(T5961&gt;=AM5961-0.01,1,0)</f>
        <v/>
      </c>
      <c r="AU5961">
        <f>IF(U5961&gt;=AN5961-0.01,1,0)</f>
        <v/>
      </c>
      <c r="AV5961">
        <f>IF(V5961&gt;=AO5961-0.01,1,0)</f>
        <v/>
      </c>
      <c r="AW5961">
        <f>IF(W5961&gt;=AP5961-0.01,1,0)</f>
        <v/>
      </c>
      <c r="AX5961">
        <f>AQ5961*AR5961*AS5961*AT5961*AU5961*AV5961*AW5961</f>
        <v/>
      </c>
    </row>
    <row r="5962">
      <c r="A5962" t="inlineStr"/>
      <c r="B5962">
        <f>Assumptions!$B$60</f>
        <v/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0</v>
      </c>
      <c r="J5962">
        <f>(1-C5962)*Assumptions!$B$41+(1-D5962)*Assumptions!$B$33+(1-E5962)*Assumptions!$B$32+(1-F5962)*Assumptions!$B$31+(1-G5962)*Assumptions!$B$30+(1-H5962)*Assumptions!$B$29+(1-I5962)*Assumptions!$B$28</f>
        <v/>
      </c>
      <c r="K5962">
        <f>C5962*$J$682+D5962*$F$682+E5962*$G$682+F5962*Assumptions!$B$14+G5962*Assumptions!$B$13+H5962*Assumptions!$B$12+I5962*Assumptions!$B$11+$O$682+$S$682+Assumptions!$B$9</f>
        <v/>
      </c>
      <c r="L5962">
        <f>B5962-J5962</f>
        <v/>
      </c>
      <c r="M5962">
        <f>IF(K5962&gt;0,IF(L5962/K5962&gt;=Assumptions!$B$37,1,0),0)</f>
        <v/>
      </c>
      <c r="N5962">
        <f>K5962+M5962*Assumptions!$B$153</f>
        <v/>
      </c>
      <c r="O5962">
        <f>L5962+M5962*Assumptions!$B$153*Assumptions!$B$37</f>
        <v/>
      </c>
      <c r="P5962">
        <f>IF(N5962&gt;0,O5962/N5962,0)</f>
        <v/>
      </c>
      <c r="Q5962">
        <f>IF(C5962=1,P5962*$J$682,Assumptions!$B$41)</f>
        <v/>
      </c>
      <c r="R5962">
        <f>IF(D5962=1,P5962*$F$682,Assumptions!$B$33)</f>
        <v/>
      </c>
      <c r="S5962">
        <f>IF(E5962=1,P5962*$G$682,Assumptions!$B$32)</f>
        <v/>
      </c>
      <c r="T5962">
        <f>IF(F5962=1,P5962*Assumptions!$B$14,Assumptions!$B$31)</f>
        <v/>
      </c>
      <c r="U5962">
        <f>IF(G5962=1,P5962*Assumptions!$B$13,Assumptions!$B$30)</f>
        <v/>
      </c>
      <c r="V5962">
        <f>IF(H5962=1,P5962*Assumptions!$B$12,Assumptions!$B$29)</f>
        <v/>
      </c>
      <c r="W5962">
        <f>IF(I5962=1,P5962*Assumptions!$B$11,Assumptions!$B$28)</f>
        <v/>
      </c>
      <c r="X5962">
        <f>P5962*($O$682+$S$682)</f>
        <v/>
      </c>
      <c r="Y5962">
        <f>P5962*Assumptions!$B$9</f>
        <v/>
      </c>
      <c r="Z5962">
        <f>IF(M5962=1,(P5962-Assumptions!$B$37)*Assumptions!$B$153,0)</f>
        <v/>
      </c>
      <c r="AA5962">
        <f>Q5962+R5962+S5962+T5962+U5962+V5962+W5962+X5962+Y5962+Z5962</f>
        <v/>
      </c>
      <c r="AB5962" t="n">
        <v>66</v>
      </c>
      <c r="AC5962" t="n">
        <v>2</v>
      </c>
      <c r="AD5962" t="n">
        <v>98</v>
      </c>
      <c r="AE5962" t="n">
        <v>82</v>
      </c>
      <c r="AF5962" t="n">
        <v>74</v>
      </c>
      <c r="AG5962" t="n">
        <v>70</v>
      </c>
      <c r="AH5962" t="n">
        <v>64</v>
      </c>
      <c r="AI5962" t="n">
        <v>67</v>
      </c>
      <c r="AJ5962">
        <f>INDEX($Q$5896:$Q$6023,AC5962+1)</f>
        <v/>
      </c>
      <c r="AK5962">
        <f>INDEX($R$5896:$R$6023,AD5962+1)</f>
        <v/>
      </c>
      <c r="AL5962">
        <f>INDEX($S$5896:$S$6023,AE5962+1)</f>
        <v/>
      </c>
      <c r="AM5962">
        <f>INDEX($T$5896:$T$6023,AF5962+1)</f>
        <v/>
      </c>
      <c r="AN5962">
        <f>INDEX($U$5896:$U$6023,AG5962+1)</f>
        <v/>
      </c>
      <c r="AO5962">
        <f>INDEX($V$5896:$V$6023,AH5962+1)</f>
        <v/>
      </c>
      <c r="AP5962">
        <f>INDEX($W$5896:$W$6023,AI5962+1)</f>
        <v/>
      </c>
      <c r="AQ5962">
        <f>IF(Q5962&gt;=AJ5962-0.01,1,0)</f>
        <v/>
      </c>
      <c r="AR5962">
        <f>IF(R5962&gt;=AK5962-0.01,1,0)</f>
        <v/>
      </c>
      <c r="AS5962">
        <f>IF(S5962&gt;=AL5962-0.01,1,0)</f>
        <v/>
      </c>
      <c r="AT5962">
        <f>IF(T5962&gt;=AM5962-0.01,1,0)</f>
        <v/>
      </c>
      <c r="AU5962">
        <f>IF(U5962&gt;=AN5962-0.01,1,0)</f>
        <v/>
      </c>
      <c r="AV5962">
        <f>IF(V5962&gt;=AO5962-0.01,1,0)</f>
        <v/>
      </c>
      <c r="AW5962">
        <f>IF(W5962&gt;=AP5962-0.01,1,0)</f>
        <v/>
      </c>
      <c r="AX5962">
        <f>AQ5962*AR5962*AS5962*AT5962*AU5962*AV5962*AW5962</f>
        <v/>
      </c>
    </row>
    <row r="5963">
      <c r="A5963" t="inlineStr"/>
      <c r="B5963">
        <f>Assumptions!$B$60</f>
        <v/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</v>
      </c>
      <c r="J5963">
        <f>(1-C5963)*Assumptions!$B$41+(1-D5963)*Assumptions!$B$33+(1-E5963)*Assumptions!$B$32+(1-F5963)*Assumptions!$B$31+(1-G5963)*Assumptions!$B$30+(1-H5963)*Assumptions!$B$29+(1-I5963)*Assumptions!$B$28</f>
        <v/>
      </c>
      <c r="K5963">
        <f>C5963*$J$682+D5963*$F$682+E5963*$G$682+F5963*Assumptions!$B$14+G5963*Assumptions!$B$13+H5963*Assumptions!$B$12+I5963*Assumptions!$B$11+$O$682+$S$682+Assumptions!$B$9</f>
        <v/>
      </c>
      <c r="L5963">
        <f>B5963-J5963</f>
        <v/>
      </c>
      <c r="M5963">
        <f>IF(K5963&gt;0,IF(L5963/K5963&gt;=Assumptions!$B$37,1,0),0)</f>
        <v/>
      </c>
      <c r="N5963">
        <f>K5963+M5963*Assumptions!$B$153</f>
        <v/>
      </c>
      <c r="O5963">
        <f>L5963+M5963*Assumptions!$B$153*Assumptions!$B$37</f>
        <v/>
      </c>
      <c r="P5963">
        <f>IF(N5963&gt;0,O5963/N5963,0)</f>
        <v/>
      </c>
      <c r="Q5963">
        <f>IF(C5963=1,P5963*$J$682,Assumptions!$B$41)</f>
        <v/>
      </c>
      <c r="R5963">
        <f>IF(D5963=1,P5963*$F$682,Assumptions!$B$33)</f>
        <v/>
      </c>
      <c r="S5963">
        <f>IF(E5963=1,P5963*$G$682,Assumptions!$B$32)</f>
        <v/>
      </c>
      <c r="T5963">
        <f>IF(F5963=1,P5963*Assumptions!$B$14,Assumptions!$B$31)</f>
        <v/>
      </c>
      <c r="U5963">
        <f>IF(G5963=1,P5963*Assumptions!$B$13,Assumptions!$B$30)</f>
        <v/>
      </c>
      <c r="V5963">
        <f>IF(H5963=1,P5963*Assumptions!$B$12,Assumptions!$B$29)</f>
        <v/>
      </c>
      <c r="W5963">
        <f>IF(I5963=1,P5963*Assumptions!$B$11,Assumptions!$B$28)</f>
        <v/>
      </c>
      <c r="X5963">
        <f>P5963*($O$682+$S$682)</f>
        <v/>
      </c>
      <c r="Y5963">
        <f>P5963*Assumptions!$B$9</f>
        <v/>
      </c>
      <c r="Z5963">
        <f>IF(M5963=1,(P5963-Assumptions!$B$37)*Assumptions!$B$153,0)</f>
        <v/>
      </c>
      <c r="AA5963">
        <f>Q5963+R5963+S5963+T5963+U5963+V5963+W5963+X5963+Y5963+Z5963</f>
        <v/>
      </c>
      <c r="AB5963" t="n">
        <v>67</v>
      </c>
      <c r="AC5963" t="n">
        <v>3</v>
      </c>
      <c r="AD5963" t="n">
        <v>99</v>
      </c>
      <c r="AE5963" t="n">
        <v>83</v>
      </c>
      <c r="AF5963" t="n">
        <v>75</v>
      </c>
      <c r="AG5963" t="n">
        <v>71</v>
      </c>
      <c r="AH5963" t="n">
        <v>65</v>
      </c>
      <c r="AI5963" t="n">
        <v>66</v>
      </c>
      <c r="AJ5963">
        <f>INDEX($Q$5896:$Q$6023,AC5963+1)</f>
        <v/>
      </c>
      <c r="AK5963">
        <f>INDEX($R$5896:$R$6023,AD5963+1)</f>
        <v/>
      </c>
      <c r="AL5963">
        <f>INDEX($S$5896:$S$6023,AE5963+1)</f>
        <v/>
      </c>
      <c r="AM5963">
        <f>INDEX($T$5896:$T$6023,AF5963+1)</f>
        <v/>
      </c>
      <c r="AN5963">
        <f>INDEX($U$5896:$U$6023,AG5963+1)</f>
        <v/>
      </c>
      <c r="AO5963">
        <f>INDEX($V$5896:$V$6023,AH5963+1)</f>
        <v/>
      </c>
      <c r="AP5963">
        <f>INDEX($W$5896:$W$6023,AI5963+1)</f>
        <v/>
      </c>
      <c r="AQ5963">
        <f>IF(Q5963&gt;=AJ5963-0.01,1,0)</f>
        <v/>
      </c>
      <c r="AR5963">
        <f>IF(R5963&gt;=AK5963-0.01,1,0)</f>
        <v/>
      </c>
      <c r="AS5963">
        <f>IF(S5963&gt;=AL5963-0.01,1,0)</f>
        <v/>
      </c>
      <c r="AT5963">
        <f>IF(T5963&gt;=AM5963-0.01,1,0)</f>
        <v/>
      </c>
      <c r="AU5963">
        <f>IF(U5963&gt;=AN5963-0.01,1,0)</f>
        <v/>
      </c>
      <c r="AV5963">
        <f>IF(V5963&gt;=AO5963-0.01,1,0)</f>
        <v/>
      </c>
      <c r="AW5963">
        <f>IF(W5963&gt;=AP5963-0.01,1,0)</f>
        <v/>
      </c>
      <c r="AX5963">
        <f>AQ5963*AR5963*AS5963*AT5963*AU5963*AV5963*AW5963</f>
        <v/>
      </c>
    </row>
    <row r="5964">
      <c r="A5964" t="inlineStr"/>
      <c r="B5964">
        <f>Assumptions!$B$60</f>
        <v/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>
        <f>(1-C5964)*Assumptions!$B$41+(1-D5964)*Assumptions!$B$33+(1-E5964)*Assumptions!$B$32+(1-F5964)*Assumptions!$B$31+(1-G5964)*Assumptions!$B$30+(1-H5964)*Assumptions!$B$29+(1-I5964)*Assumptions!$B$28</f>
        <v/>
      </c>
      <c r="K5964">
        <f>C5964*$J$682+D5964*$F$682+E5964*$G$682+F5964*Assumptions!$B$14+G5964*Assumptions!$B$13+H5964*Assumptions!$B$12+I5964*Assumptions!$B$11+$O$682+$S$682+Assumptions!$B$9</f>
        <v/>
      </c>
      <c r="L5964">
        <f>B5964-J5964</f>
        <v/>
      </c>
      <c r="M5964">
        <f>IF(K5964&gt;0,IF(L5964/K5964&gt;=Assumptions!$B$37,1,0),0)</f>
        <v/>
      </c>
      <c r="N5964">
        <f>K5964+M5964*Assumptions!$B$153</f>
        <v/>
      </c>
      <c r="O5964">
        <f>L5964+M5964*Assumptions!$B$153*Assumptions!$B$37</f>
        <v/>
      </c>
      <c r="P5964">
        <f>IF(N5964&gt;0,O5964/N5964,0)</f>
        <v/>
      </c>
      <c r="Q5964">
        <f>IF(C5964=1,P5964*$J$682,Assumptions!$B$41)</f>
        <v/>
      </c>
      <c r="R5964">
        <f>IF(D5964=1,P5964*$F$682,Assumptions!$B$33)</f>
        <v/>
      </c>
      <c r="S5964">
        <f>IF(E5964=1,P5964*$G$682,Assumptions!$B$32)</f>
        <v/>
      </c>
      <c r="T5964">
        <f>IF(F5964=1,P5964*Assumptions!$B$14,Assumptions!$B$31)</f>
        <v/>
      </c>
      <c r="U5964">
        <f>IF(G5964=1,P5964*Assumptions!$B$13,Assumptions!$B$30)</f>
        <v/>
      </c>
      <c r="V5964">
        <f>IF(H5964=1,P5964*Assumptions!$B$12,Assumptions!$B$29)</f>
        <v/>
      </c>
      <c r="W5964">
        <f>IF(I5964=1,P5964*Assumptions!$B$11,Assumptions!$B$28)</f>
        <v/>
      </c>
      <c r="X5964">
        <f>P5964*($O$682+$S$682)</f>
        <v/>
      </c>
      <c r="Y5964">
        <f>P5964*Assumptions!$B$9</f>
        <v/>
      </c>
      <c r="Z5964">
        <f>IF(M5964=1,(P5964-Assumptions!$B$37)*Assumptions!$B$153,0)</f>
        <v/>
      </c>
      <c r="AA5964">
        <f>Q5964+R5964+S5964+T5964+U5964+V5964+W5964+X5964+Y5964+Z5964</f>
        <v/>
      </c>
      <c r="AB5964" t="n">
        <v>68</v>
      </c>
      <c r="AC5964" t="n">
        <v>4</v>
      </c>
      <c r="AD5964" t="n">
        <v>100</v>
      </c>
      <c r="AE5964" t="n">
        <v>84</v>
      </c>
      <c r="AF5964" t="n">
        <v>76</v>
      </c>
      <c r="AG5964" t="n">
        <v>64</v>
      </c>
      <c r="AH5964" t="n">
        <v>70</v>
      </c>
      <c r="AI5964" t="n">
        <v>69</v>
      </c>
      <c r="AJ5964">
        <f>INDEX($Q$5896:$Q$6023,AC5964+1)</f>
        <v/>
      </c>
      <c r="AK5964">
        <f>INDEX($R$5896:$R$6023,AD5964+1)</f>
        <v/>
      </c>
      <c r="AL5964">
        <f>INDEX($S$5896:$S$6023,AE5964+1)</f>
        <v/>
      </c>
      <c r="AM5964">
        <f>INDEX($T$5896:$T$6023,AF5964+1)</f>
        <v/>
      </c>
      <c r="AN5964">
        <f>INDEX($U$5896:$U$6023,AG5964+1)</f>
        <v/>
      </c>
      <c r="AO5964">
        <f>INDEX($V$5896:$V$6023,AH5964+1)</f>
        <v/>
      </c>
      <c r="AP5964">
        <f>INDEX($W$5896:$W$6023,AI5964+1)</f>
        <v/>
      </c>
      <c r="AQ5964">
        <f>IF(Q5964&gt;=AJ5964-0.01,1,0)</f>
        <v/>
      </c>
      <c r="AR5964">
        <f>IF(R5964&gt;=AK5964-0.01,1,0)</f>
        <v/>
      </c>
      <c r="AS5964">
        <f>IF(S5964&gt;=AL5964-0.01,1,0)</f>
        <v/>
      </c>
      <c r="AT5964">
        <f>IF(T5964&gt;=AM5964-0.01,1,0)</f>
        <v/>
      </c>
      <c r="AU5964">
        <f>IF(U5964&gt;=AN5964-0.01,1,0)</f>
        <v/>
      </c>
      <c r="AV5964">
        <f>IF(V5964&gt;=AO5964-0.01,1,0)</f>
        <v/>
      </c>
      <c r="AW5964">
        <f>IF(W5964&gt;=AP5964-0.01,1,0)</f>
        <v/>
      </c>
      <c r="AX5964">
        <f>AQ5964*AR5964*AS5964*AT5964*AU5964*AV5964*AW5964</f>
        <v/>
      </c>
    </row>
    <row r="5965">
      <c r="A5965" t="inlineStr"/>
      <c r="B5965">
        <f>Assumptions!$B$60</f>
        <v/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0</v>
      </c>
      <c r="I5965" t="n">
        <v>1</v>
      </c>
      <c r="J5965">
        <f>(1-C5965)*Assumptions!$B$41+(1-D5965)*Assumptions!$B$33+(1-E5965)*Assumptions!$B$32+(1-F5965)*Assumptions!$B$31+(1-G5965)*Assumptions!$B$30+(1-H5965)*Assumptions!$B$29+(1-I5965)*Assumptions!$B$28</f>
        <v/>
      </c>
      <c r="K5965">
        <f>C5965*$J$682+D5965*$F$682+E5965*$G$682+F5965*Assumptions!$B$14+G5965*Assumptions!$B$13+H5965*Assumptions!$B$12+I5965*Assumptions!$B$11+$O$682+$S$682+Assumptions!$B$9</f>
        <v/>
      </c>
      <c r="L5965">
        <f>B5965-J5965</f>
        <v/>
      </c>
      <c r="M5965">
        <f>IF(K5965&gt;0,IF(L5965/K5965&gt;=Assumptions!$B$37,1,0),0)</f>
        <v/>
      </c>
      <c r="N5965">
        <f>K5965+M5965*Assumptions!$B$153</f>
        <v/>
      </c>
      <c r="O5965">
        <f>L5965+M5965*Assumptions!$B$153*Assumptions!$B$37</f>
        <v/>
      </c>
      <c r="P5965">
        <f>IF(N5965&gt;0,O5965/N5965,0)</f>
        <v/>
      </c>
      <c r="Q5965">
        <f>IF(C5965=1,P5965*$J$682,Assumptions!$B$41)</f>
        <v/>
      </c>
      <c r="R5965">
        <f>IF(D5965=1,P5965*$F$682,Assumptions!$B$33)</f>
        <v/>
      </c>
      <c r="S5965">
        <f>IF(E5965=1,P5965*$G$682,Assumptions!$B$32)</f>
        <v/>
      </c>
      <c r="T5965">
        <f>IF(F5965=1,P5965*Assumptions!$B$14,Assumptions!$B$31)</f>
        <v/>
      </c>
      <c r="U5965">
        <f>IF(G5965=1,P5965*Assumptions!$B$13,Assumptions!$B$30)</f>
        <v/>
      </c>
      <c r="V5965">
        <f>IF(H5965=1,P5965*Assumptions!$B$12,Assumptions!$B$29)</f>
        <v/>
      </c>
      <c r="W5965">
        <f>IF(I5965=1,P5965*Assumptions!$B$11,Assumptions!$B$28)</f>
        <v/>
      </c>
      <c r="X5965">
        <f>P5965*($O$682+$S$682)</f>
        <v/>
      </c>
      <c r="Y5965">
        <f>P5965*Assumptions!$B$9</f>
        <v/>
      </c>
      <c r="Z5965">
        <f>IF(M5965=1,(P5965-Assumptions!$B$37)*Assumptions!$B$153,0)</f>
        <v/>
      </c>
      <c r="AA5965">
        <f>Q5965+R5965+S5965+T5965+U5965+V5965+W5965+X5965+Y5965+Z5965</f>
        <v/>
      </c>
      <c r="AB5965" t="n">
        <v>69</v>
      </c>
      <c r="AC5965" t="n">
        <v>5</v>
      </c>
      <c r="AD5965" t="n">
        <v>101</v>
      </c>
      <c r="AE5965" t="n">
        <v>85</v>
      </c>
      <c r="AF5965" t="n">
        <v>77</v>
      </c>
      <c r="AG5965" t="n">
        <v>65</v>
      </c>
      <c r="AH5965" t="n">
        <v>71</v>
      </c>
      <c r="AI5965" t="n">
        <v>68</v>
      </c>
      <c r="AJ5965">
        <f>INDEX($Q$5896:$Q$6023,AC5965+1)</f>
        <v/>
      </c>
      <c r="AK5965">
        <f>INDEX($R$5896:$R$6023,AD5965+1)</f>
        <v/>
      </c>
      <c r="AL5965">
        <f>INDEX($S$5896:$S$6023,AE5965+1)</f>
        <v/>
      </c>
      <c r="AM5965">
        <f>INDEX($T$5896:$T$6023,AF5965+1)</f>
        <v/>
      </c>
      <c r="AN5965">
        <f>INDEX($U$5896:$U$6023,AG5965+1)</f>
        <v/>
      </c>
      <c r="AO5965">
        <f>INDEX($V$5896:$V$6023,AH5965+1)</f>
        <v/>
      </c>
      <c r="AP5965">
        <f>INDEX($W$5896:$W$6023,AI5965+1)</f>
        <v/>
      </c>
      <c r="AQ5965">
        <f>IF(Q5965&gt;=AJ5965-0.01,1,0)</f>
        <v/>
      </c>
      <c r="AR5965">
        <f>IF(R5965&gt;=AK5965-0.01,1,0)</f>
        <v/>
      </c>
      <c r="AS5965">
        <f>IF(S5965&gt;=AL5965-0.01,1,0)</f>
        <v/>
      </c>
      <c r="AT5965">
        <f>IF(T5965&gt;=AM5965-0.01,1,0)</f>
        <v/>
      </c>
      <c r="AU5965">
        <f>IF(U5965&gt;=AN5965-0.01,1,0)</f>
        <v/>
      </c>
      <c r="AV5965">
        <f>IF(V5965&gt;=AO5965-0.01,1,0)</f>
        <v/>
      </c>
      <c r="AW5965">
        <f>IF(W5965&gt;=AP5965-0.01,1,0)</f>
        <v/>
      </c>
      <c r="AX5965">
        <f>AQ5965*AR5965*AS5965*AT5965*AU5965*AV5965*AW5965</f>
        <v/>
      </c>
    </row>
    <row r="5966">
      <c r="A5966" t="inlineStr"/>
      <c r="B5966">
        <f>Assumptions!$B$60</f>
        <v/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  <c r="I5966" t="n">
        <v>0</v>
      </c>
      <c r="J5966">
        <f>(1-C5966)*Assumptions!$B$41+(1-D5966)*Assumptions!$B$33+(1-E5966)*Assumptions!$B$32+(1-F5966)*Assumptions!$B$31+(1-G5966)*Assumptions!$B$30+(1-H5966)*Assumptions!$B$29+(1-I5966)*Assumptions!$B$28</f>
        <v/>
      </c>
      <c r="K5966">
        <f>C5966*$J$682+D5966*$F$682+E5966*$G$682+F5966*Assumptions!$B$14+G5966*Assumptions!$B$13+H5966*Assumptions!$B$12+I5966*Assumptions!$B$11+$O$682+$S$682+Assumptions!$B$9</f>
        <v/>
      </c>
      <c r="L5966">
        <f>B5966-J5966</f>
        <v/>
      </c>
      <c r="M5966">
        <f>IF(K5966&gt;0,IF(L5966/K5966&gt;=Assumptions!$B$37,1,0),0)</f>
        <v/>
      </c>
      <c r="N5966">
        <f>K5966+M5966*Assumptions!$B$153</f>
        <v/>
      </c>
      <c r="O5966">
        <f>L5966+M5966*Assumptions!$B$153*Assumptions!$B$37</f>
        <v/>
      </c>
      <c r="P5966">
        <f>IF(N5966&gt;0,O5966/N5966,0)</f>
        <v/>
      </c>
      <c r="Q5966">
        <f>IF(C5966=1,P5966*$J$682,Assumptions!$B$41)</f>
        <v/>
      </c>
      <c r="R5966">
        <f>IF(D5966=1,P5966*$F$682,Assumptions!$B$33)</f>
        <v/>
      </c>
      <c r="S5966">
        <f>IF(E5966=1,P5966*$G$682,Assumptions!$B$32)</f>
        <v/>
      </c>
      <c r="T5966">
        <f>IF(F5966=1,P5966*Assumptions!$B$14,Assumptions!$B$31)</f>
        <v/>
      </c>
      <c r="U5966">
        <f>IF(G5966=1,P5966*Assumptions!$B$13,Assumptions!$B$30)</f>
        <v/>
      </c>
      <c r="V5966">
        <f>IF(H5966=1,P5966*Assumptions!$B$12,Assumptions!$B$29)</f>
        <v/>
      </c>
      <c r="W5966">
        <f>IF(I5966=1,P5966*Assumptions!$B$11,Assumptions!$B$28)</f>
        <v/>
      </c>
      <c r="X5966">
        <f>P5966*($O$682+$S$682)</f>
        <v/>
      </c>
      <c r="Y5966">
        <f>P5966*Assumptions!$B$9</f>
        <v/>
      </c>
      <c r="Z5966">
        <f>IF(M5966=1,(P5966-Assumptions!$B$37)*Assumptions!$B$153,0)</f>
        <v/>
      </c>
      <c r="AA5966">
        <f>Q5966+R5966+S5966+T5966+U5966+V5966+W5966+X5966+Y5966+Z5966</f>
        <v/>
      </c>
      <c r="AB5966" t="n">
        <v>70</v>
      </c>
      <c r="AC5966" t="n">
        <v>6</v>
      </c>
      <c r="AD5966" t="n">
        <v>102</v>
      </c>
      <c r="AE5966" t="n">
        <v>86</v>
      </c>
      <c r="AF5966" t="n">
        <v>78</v>
      </c>
      <c r="AG5966" t="n">
        <v>66</v>
      </c>
      <c r="AH5966" t="n">
        <v>68</v>
      </c>
      <c r="AI5966" t="n">
        <v>71</v>
      </c>
      <c r="AJ5966">
        <f>INDEX($Q$5896:$Q$6023,AC5966+1)</f>
        <v/>
      </c>
      <c r="AK5966">
        <f>INDEX($R$5896:$R$6023,AD5966+1)</f>
        <v/>
      </c>
      <c r="AL5966">
        <f>INDEX($S$5896:$S$6023,AE5966+1)</f>
        <v/>
      </c>
      <c r="AM5966">
        <f>INDEX($T$5896:$T$6023,AF5966+1)</f>
        <v/>
      </c>
      <c r="AN5966">
        <f>INDEX($U$5896:$U$6023,AG5966+1)</f>
        <v/>
      </c>
      <c r="AO5966">
        <f>INDEX($V$5896:$V$6023,AH5966+1)</f>
        <v/>
      </c>
      <c r="AP5966">
        <f>INDEX($W$5896:$W$6023,AI5966+1)</f>
        <v/>
      </c>
      <c r="AQ5966">
        <f>IF(Q5966&gt;=AJ5966-0.01,1,0)</f>
        <v/>
      </c>
      <c r="AR5966">
        <f>IF(R5966&gt;=AK5966-0.01,1,0)</f>
        <v/>
      </c>
      <c r="AS5966">
        <f>IF(S5966&gt;=AL5966-0.01,1,0)</f>
        <v/>
      </c>
      <c r="AT5966">
        <f>IF(T5966&gt;=AM5966-0.01,1,0)</f>
        <v/>
      </c>
      <c r="AU5966">
        <f>IF(U5966&gt;=AN5966-0.01,1,0)</f>
        <v/>
      </c>
      <c r="AV5966">
        <f>IF(V5966&gt;=AO5966-0.01,1,0)</f>
        <v/>
      </c>
      <c r="AW5966">
        <f>IF(W5966&gt;=AP5966-0.01,1,0)</f>
        <v/>
      </c>
      <c r="AX5966">
        <f>AQ5966*AR5966*AS5966*AT5966*AU5966*AV5966*AW5966</f>
        <v/>
      </c>
    </row>
    <row r="5967">
      <c r="A5967" t="inlineStr"/>
      <c r="B5967">
        <f>Assumptions!$B$60</f>
        <v/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  <c r="I5967" t="n">
        <v>1</v>
      </c>
      <c r="J5967">
        <f>(1-C5967)*Assumptions!$B$41+(1-D5967)*Assumptions!$B$33+(1-E5967)*Assumptions!$B$32+(1-F5967)*Assumptions!$B$31+(1-G5967)*Assumptions!$B$30+(1-H5967)*Assumptions!$B$29+(1-I5967)*Assumptions!$B$28</f>
        <v/>
      </c>
      <c r="K5967">
        <f>C5967*$J$682+D5967*$F$682+E5967*$G$682+F5967*Assumptions!$B$14+G5967*Assumptions!$B$13+H5967*Assumptions!$B$12+I5967*Assumptions!$B$11+$O$682+$S$682+Assumptions!$B$9</f>
        <v/>
      </c>
      <c r="L5967">
        <f>B5967-J5967</f>
        <v/>
      </c>
      <c r="M5967">
        <f>IF(K5967&gt;0,IF(L5967/K5967&gt;=Assumptions!$B$37,1,0),0)</f>
        <v/>
      </c>
      <c r="N5967">
        <f>K5967+M5967*Assumptions!$B$153</f>
        <v/>
      </c>
      <c r="O5967">
        <f>L5967+M5967*Assumptions!$B$153*Assumptions!$B$37</f>
        <v/>
      </c>
      <c r="P5967">
        <f>IF(N5967&gt;0,O5967/N5967,0)</f>
        <v/>
      </c>
      <c r="Q5967">
        <f>IF(C5967=1,P5967*$J$682,Assumptions!$B$41)</f>
        <v/>
      </c>
      <c r="R5967">
        <f>IF(D5967=1,P5967*$F$682,Assumptions!$B$33)</f>
        <v/>
      </c>
      <c r="S5967">
        <f>IF(E5967=1,P5967*$G$682,Assumptions!$B$32)</f>
        <v/>
      </c>
      <c r="T5967">
        <f>IF(F5967=1,P5967*Assumptions!$B$14,Assumptions!$B$31)</f>
        <v/>
      </c>
      <c r="U5967">
        <f>IF(G5967=1,P5967*Assumptions!$B$13,Assumptions!$B$30)</f>
        <v/>
      </c>
      <c r="V5967">
        <f>IF(H5967=1,P5967*Assumptions!$B$12,Assumptions!$B$29)</f>
        <v/>
      </c>
      <c r="W5967">
        <f>IF(I5967=1,P5967*Assumptions!$B$11,Assumptions!$B$28)</f>
        <v/>
      </c>
      <c r="X5967">
        <f>P5967*($O$682+$S$682)</f>
        <v/>
      </c>
      <c r="Y5967">
        <f>P5967*Assumptions!$B$9</f>
        <v/>
      </c>
      <c r="Z5967">
        <f>IF(M5967=1,(P5967-Assumptions!$B$37)*Assumptions!$B$153,0)</f>
        <v/>
      </c>
      <c r="AA5967">
        <f>Q5967+R5967+S5967+T5967+U5967+V5967+W5967+X5967+Y5967+Z5967</f>
        <v/>
      </c>
      <c r="AB5967" t="n">
        <v>71</v>
      </c>
      <c r="AC5967" t="n">
        <v>7</v>
      </c>
      <c r="AD5967" t="n">
        <v>103</v>
      </c>
      <c r="AE5967" t="n">
        <v>87</v>
      </c>
      <c r="AF5967" t="n">
        <v>79</v>
      </c>
      <c r="AG5967" t="n">
        <v>67</v>
      </c>
      <c r="AH5967" t="n">
        <v>69</v>
      </c>
      <c r="AI5967" t="n">
        <v>70</v>
      </c>
      <c r="AJ5967">
        <f>INDEX($Q$5896:$Q$6023,AC5967+1)</f>
        <v/>
      </c>
      <c r="AK5967">
        <f>INDEX($R$5896:$R$6023,AD5967+1)</f>
        <v/>
      </c>
      <c r="AL5967">
        <f>INDEX($S$5896:$S$6023,AE5967+1)</f>
        <v/>
      </c>
      <c r="AM5967">
        <f>INDEX($T$5896:$T$6023,AF5967+1)</f>
        <v/>
      </c>
      <c r="AN5967">
        <f>INDEX($U$5896:$U$6023,AG5967+1)</f>
        <v/>
      </c>
      <c r="AO5967">
        <f>INDEX($V$5896:$V$6023,AH5967+1)</f>
        <v/>
      </c>
      <c r="AP5967">
        <f>INDEX($W$5896:$W$6023,AI5967+1)</f>
        <v/>
      </c>
      <c r="AQ5967">
        <f>IF(Q5967&gt;=AJ5967-0.01,1,0)</f>
        <v/>
      </c>
      <c r="AR5967">
        <f>IF(R5967&gt;=AK5967-0.01,1,0)</f>
        <v/>
      </c>
      <c r="AS5967">
        <f>IF(S5967&gt;=AL5967-0.01,1,0)</f>
        <v/>
      </c>
      <c r="AT5967">
        <f>IF(T5967&gt;=AM5967-0.01,1,0)</f>
        <v/>
      </c>
      <c r="AU5967">
        <f>IF(U5967&gt;=AN5967-0.01,1,0)</f>
        <v/>
      </c>
      <c r="AV5967">
        <f>IF(V5967&gt;=AO5967-0.01,1,0)</f>
        <v/>
      </c>
      <c r="AW5967">
        <f>IF(W5967&gt;=AP5967-0.01,1,0)</f>
        <v/>
      </c>
      <c r="AX5967">
        <f>AQ5967*AR5967*AS5967*AT5967*AU5967*AV5967*AW5967</f>
        <v/>
      </c>
    </row>
    <row r="5968">
      <c r="A5968" t="inlineStr"/>
      <c r="B5968">
        <f>Assumptions!$B$60</f>
        <v/>
      </c>
      <c r="C5968" t="n">
        <v>1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0</v>
      </c>
      <c r="J5968">
        <f>(1-C5968)*Assumptions!$B$41+(1-D5968)*Assumptions!$B$33+(1-E5968)*Assumptions!$B$32+(1-F5968)*Assumptions!$B$31+(1-G5968)*Assumptions!$B$30+(1-H5968)*Assumptions!$B$29+(1-I5968)*Assumptions!$B$28</f>
        <v/>
      </c>
      <c r="K5968">
        <f>C5968*$J$682+D5968*$F$682+E5968*$G$682+F5968*Assumptions!$B$14+G5968*Assumptions!$B$13+H5968*Assumptions!$B$12+I5968*Assumptions!$B$11+$O$682+$S$682+Assumptions!$B$9</f>
        <v/>
      </c>
      <c r="L5968">
        <f>B5968-J5968</f>
        <v/>
      </c>
      <c r="M5968">
        <f>IF(K5968&gt;0,IF(L5968/K5968&gt;=Assumptions!$B$37,1,0),0)</f>
        <v/>
      </c>
      <c r="N5968">
        <f>K5968+M5968*Assumptions!$B$153</f>
        <v/>
      </c>
      <c r="O5968">
        <f>L5968+M5968*Assumptions!$B$153*Assumptions!$B$37</f>
        <v/>
      </c>
      <c r="P5968">
        <f>IF(N5968&gt;0,O5968/N5968,0)</f>
        <v/>
      </c>
      <c r="Q5968">
        <f>IF(C5968=1,P5968*$J$682,Assumptions!$B$41)</f>
        <v/>
      </c>
      <c r="R5968">
        <f>IF(D5968=1,P5968*$F$682,Assumptions!$B$33)</f>
        <v/>
      </c>
      <c r="S5968">
        <f>IF(E5968=1,P5968*$G$682,Assumptions!$B$32)</f>
        <v/>
      </c>
      <c r="T5968">
        <f>IF(F5968=1,P5968*Assumptions!$B$14,Assumptions!$B$31)</f>
        <v/>
      </c>
      <c r="U5968">
        <f>IF(G5968=1,P5968*Assumptions!$B$13,Assumptions!$B$30)</f>
        <v/>
      </c>
      <c r="V5968">
        <f>IF(H5968=1,P5968*Assumptions!$B$12,Assumptions!$B$29)</f>
        <v/>
      </c>
      <c r="W5968">
        <f>IF(I5968=1,P5968*Assumptions!$B$11,Assumptions!$B$28)</f>
        <v/>
      </c>
      <c r="X5968">
        <f>P5968*($O$682+$S$682)</f>
        <v/>
      </c>
      <c r="Y5968">
        <f>P5968*Assumptions!$B$9</f>
        <v/>
      </c>
      <c r="Z5968">
        <f>IF(M5968=1,(P5968-Assumptions!$B$37)*Assumptions!$B$153,0)</f>
        <v/>
      </c>
      <c r="AA5968">
        <f>Q5968+R5968+S5968+T5968+U5968+V5968+W5968+X5968+Y5968+Z5968</f>
        <v/>
      </c>
      <c r="AB5968" t="n">
        <v>72</v>
      </c>
      <c r="AC5968" t="n">
        <v>8</v>
      </c>
      <c r="AD5968" t="n">
        <v>104</v>
      </c>
      <c r="AE5968" t="n">
        <v>88</v>
      </c>
      <c r="AF5968" t="n">
        <v>64</v>
      </c>
      <c r="AG5968" t="n">
        <v>76</v>
      </c>
      <c r="AH5968" t="n">
        <v>74</v>
      </c>
      <c r="AI5968" t="n">
        <v>73</v>
      </c>
      <c r="AJ5968">
        <f>INDEX($Q$5896:$Q$6023,AC5968+1)</f>
        <v/>
      </c>
      <c r="AK5968">
        <f>INDEX($R$5896:$R$6023,AD5968+1)</f>
        <v/>
      </c>
      <c r="AL5968">
        <f>INDEX($S$5896:$S$6023,AE5968+1)</f>
        <v/>
      </c>
      <c r="AM5968">
        <f>INDEX($T$5896:$T$6023,AF5968+1)</f>
        <v/>
      </c>
      <c r="AN5968">
        <f>INDEX($U$5896:$U$6023,AG5968+1)</f>
        <v/>
      </c>
      <c r="AO5968">
        <f>INDEX($V$5896:$V$6023,AH5968+1)</f>
        <v/>
      </c>
      <c r="AP5968">
        <f>INDEX($W$5896:$W$6023,AI5968+1)</f>
        <v/>
      </c>
      <c r="AQ5968">
        <f>IF(Q5968&gt;=AJ5968-0.01,1,0)</f>
        <v/>
      </c>
      <c r="AR5968">
        <f>IF(R5968&gt;=AK5968-0.01,1,0)</f>
        <v/>
      </c>
      <c r="AS5968">
        <f>IF(S5968&gt;=AL5968-0.01,1,0)</f>
        <v/>
      </c>
      <c r="AT5968">
        <f>IF(T5968&gt;=AM5968-0.01,1,0)</f>
        <v/>
      </c>
      <c r="AU5968">
        <f>IF(U5968&gt;=AN5968-0.01,1,0)</f>
        <v/>
      </c>
      <c r="AV5968">
        <f>IF(V5968&gt;=AO5968-0.01,1,0)</f>
        <v/>
      </c>
      <c r="AW5968">
        <f>IF(W5968&gt;=AP5968-0.01,1,0)</f>
        <v/>
      </c>
      <c r="AX5968">
        <f>AQ5968*AR5968*AS5968*AT5968*AU5968*AV5968*AW5968</f>
        <v/>
      </c>
    </row>
    <row r="5969">
      <c r="A5969" t="inlineStr"/>
      <c r="B5969">
        <f>Assumptions!$B$60</f>
        <v/>
      </c>
      <c r="C5969" t="n">
        <v>1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1</v>
      </c>
      <c r="J5969">
        <f>(1-C5969)*Assumptions!$B$41+(1-D5969)*Assumptions!$B$33+(1-E5969)*Assumptions!$B$32+(1-F5969)*Assumptions!$B$31+(1-G5969)*Assumptions!$B$30+(1-H5969)*Assumptions!$B$29+(1-I5969)*Assumptions!$B$28</f>
        <v/>
      </c>
      <c r="K5969">
        <f>C5969*$J$682+D5969*$F$682+E5969*$G$682+F5969*Assumptions!$B$14+G5969*Assumptions!$B$13+H5969*Assumptions!$B$12+I5969*Assumptions!$B$11+$O$682+$S$682+Assumptions!$B$9</f>
        <v/>
      </c>
      <c r="L5969">
        <f>B5969-J5969</f>
        <v/>
      </c>
      <c r="M5969">
        <f>IF(K5969&gt;0,IF(L5969/K5969&gt;=Assumptions!$B$37,1,0),0)</f>
        <v/>
      </c>
      <c r="N5969">
        <f>K5969+M5969*Assumptions!$B$153</f>
        <v/>
      </c>
      <c r="O5969">
        <f>L5969+M5969*Assumptions!$B$153*Assumptions!$B$37</f>
        <v/>
      </c>
      <c r="P5969">
        <f>IF(N5969&gt;0,O5969/N5969,0)</f>
        <v/>
      </c>
      <c r="Q5969">
        <f>IF(C5969=1,P5969*$J$682,Assumptions!$B$41)</f>
        <v/>
      </c>
      <c r="R5969">
        <f>IF(D5969=1,P5969*$F$682,Assumptions!$B$33)</f>
        <v/>
      </c>
      <c r="S5969">
        <f>IF(E5969=1,P5969*$G$682,Assumptions!$B$32)</f>
        <v/>
      </c>
      <c r="T5969">
        <f>IF(F5969=1,P5969*Assumptions!$B$14,Assumptions!$B$31)</f>
        <v/>
      </c>
      <c r="U5969">
        <f>IF(G5969=1,P5969*Assumptions!$B$13,Assumptions!$B$30)</f>
        <v/>
      </c>
      <c r="V5969">
        <f>IF(H5969=1,P5969*Assumptions!$B$12,Assumptions!$B$29)</f>
        <v/>
      </c>
      <c r="W5969">
        <f>IF(I5969=1,P5969*Assumptions!$B$11,Assumptions!$B$28)</f>
        <v/>
      </c>
      <c r="X5969">
        <f>P5969*($O$682+$S$682)</f>
        <v/>
      </c>
      <c r="Y5969">
        <f>P5969*Assumptions!$B$9</f>
        <v/>
      </c>
      <c r="Z5969">
        <f>IF(M5969=1,(P5969-Assumptions!$B$37)*Assumptions!$B$153,0)</f>
        <v/>
      </c>
      <c r="AA5969">
        <f>Q5969+R5969+S5969+T5969+U5969+V5969+W5969+X5969+Y5969+Z5969</f>
        <v/>
      </c>
      <c r="AB5969" t="n">
        <v>73</v>
      </c>
      <c r="AC5969" t="n">
        <v>9</v>
      </c>
      <c r="AD5969" t="n">
        <v>105</v>
      </c>
      <c r="AE5969" t="n">
        <v>89</v>
      </c>
      <c r="AF5969" t="n">
        <v>65</v>
      </c>
      <c r="AG5969" t="n">
        <v>77</v>
      </c>
      <c r="AH5969" t="n">
        <v>75</v>
      </c>
      <c r="AI5969" t="n">
        <v>72</v>
      </c>
      <c r="AJ5969">
        <f>INDEX($Q$5896:$Q$6023,AC5969+1)</f>
        <v/>
      </c>
      <c r="AK5969">
        <f>INDEX($R$5896:$R$6023,AD5969+1)</f>
        <v/>
      </c>
      <c r="AL5969">
        <f>INDEX($S$5896:$S$6023,AE5969+1)</f>
        <v/>
      </c>
      <c r="AM5969">
        <f>INDEX($T$5896:$T$6023,AF5969+1)</f>
        <v/>
      </c>
      <c r="AN5969">
        <f>INDEX($U$5896:$U$6023,AG5969+1)</f>
        <v/>
      </c>
      <c r="AO5969">
        <f>INDEX($V$5896:$V$6023,AH5969+1)</f>
        <v/>
      </c>
      <c r="AP5969">
        <f>INDEX($W$5896:$W$6023,AI5969+1)</f>
        <v/>
      </c>
      <c r="AQ5969">
        <f>IF(Q5969&gt;=AJ5969-0.01,1,0)</f>
        <v/>
      </c>
      <c r="AR5969">
        <f>IF(R5969&gt;=AK5969-0.01,1,0)</f>
        <v/>
      </c>
      <c r="AS5969">
        <f>IF(S5969&gt;=AL5969-0.01,1,0)</f>
        <v/>
      </c>
      <c r="AT5969">
        <f>IF(T5969&gt;=AM5969-0.01,1,0)</f>
        <v/>
      </c>
      <c r="AU5969">
        <f>IF(U5969&gt;=AN5969-0.01,1,0)</f>
        <v/>
      </c>
      <c r="AV5969">
        <f>IF(V5969&gt;=AO5969-0.01,1,0)</f>
        <v/>
      </c>
      <c r="AW5969">
        <f>IF(W5969&gt;=AP5969-0.01,1,0)</f>
        <v/>
      </c>
      <c r="AX5969">
        <f>AQ5969*AR5969*AS5969*AT5969*AU5969*AV5969*AW5969</f>
        <v/>
      </c>
    </row>
    <row r="5970">
      <c r="A5970" t="inlineStr"/>
      <c r="B5970">
        <f>Assumptions!$B$60</f>
        <v/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0</v>
      </c>
      <c r="J5970">
        <f>(1-C5970)*Assumptions!$B$41+(1-D5970)*Assumptions!$B$33+(1-E5970)*Assumptions!$B$32+(1-F5970)*Assumptions!$B$31+(1-G5970)*Assumptions!$B$30+(1-H5970)*Assumptions!$B$29+(1-I5970)*Assumptions!$B$28</f>
        <v/>
      </c>
      <c r="K5970">
        <f>C5970*$J$682+D5970*$F$682+E5970*$G$682+F5970*Assumptions!$B$14+G5970*Assumptions!$B$13+H5970*Assumptions!$B$12+I5970*Assumptions!$B$11+$O$682+$S$682+Assumptions!$B$9</f>
        <v/>
      </c>
      <c r="L5970">
        <f>B5970-J5970</f>
        <v/>
      </c>
      <c r="M5970">
        <f>IF(K5970&gt;0,IF(L5970/K5970&gt;=Assumptions!$B$37,1,0),0)</f>
        <v/>
      </c>
      <c r="N5970">
        <f>K5970+M5970*Assumptions!$B$153</f>
        <v/>
      </c>
      <c r="O5970">
        <f>L5970+M5970*Assumptions!$B$153*Assumptions!$B$37</f>
        <v/>
      </c>
      <c r="P5970">
        <f>IF(N5970&gt;0,O5970/N5970,0)</f>
        <v/>
      </c>
      <c r="Q5970">
        <f>IF(C5970=1,P5970*$J$682,Assumptions!$B$41)</f>
        <v/>
      </c>
      <c r="R5970">
        <f>IF(D5970=1,P5970*$F$682,Assumptions!$B$33)</f>
        <v/>
      </c>
      <c r="S5970">
        <f>IF(E5970=1,P5970*$G$682,Assumptions!$B$32)</f>
        <v/>
      </c>
      <c r="T5970">
        <f>IF(F5970=1,P5970*Assumptions!$B$14,Assumptions!$B$31)</f>
        <v/>
      </c>
      <c r="U5970">
        <f>IF(G5970=1,P5970*Assumptions!$B$13,Assumptions!$B$30)</f>
        <v/>
      </c>
      <c r="V5970">
        <f>IF(H5970=1,P5970*Assumptions!$B$12,Assumptions!$B$29)</f>
        <v/>
      </c>
      <c r="W5970">
        <f>IF(I5970=1,P5970*Assumptions!$B$11,Assumptions!$B$28)</f>
        <v/>
      </c>
      <c r="X5970">
        <f>P5970*($O$682+$S$682)</f>
        <v/>
      </c>
      <c r="Y5970">
        <f>P5970*Assumptions!$B$9</f>
        <v/>
      </c>
      <c r="Z5970">
        <f>IF(M5970=1,(P5970-Assumptions!$B$37)*Assumptions!$B$153,0)</f>
        <v/>
      </c>
      <c r="AA5970">
        <f>Q5970+R5970+S5970+T5970+U5970+V5970+W5970+X5970+Y5970+Z5970</f>
        <v/>
      </c>
      <c r="AB5970" t="n">
        <v>74</v>
      </c>
      <c r="AC5970" t="n">
        <v>10</v>
      </c>
      <c r="AD5970" t="n">
        <v>106</v>
      </c>
      <c r="AE5970" t="n">
        <v>90</v>
      </c>
      <c r="AF5970" t="n">
        <v>66</v>
      </c>
      <c r="AG5970" t="n">
        <v>78</v>
      </c>
      <c r="AH5970" t="n">
        <v>72</v>
      </c>
      <c r="AI5970" t="n">
        <v>75</v>
      </c>
      <c r="AJ5970">
        <f>INDEX($Q$5896:$Q$6023,AC5970+1)</f>
        <v/>
      </c>
      <c r="AK5970">
        <f>INDEX($R$5896:$R$6023,AD5970+1)</f>
        <v/>
      </c>
      <c r="AL5970">
        <f>INDEX($S$5896:$S$6023,AE5970+1)</f>
        <v/>
      </c>
      <c r="AM5970">
        <f>INDEX($T$5896:$T$6023,AF5970+1)</f>
        <v/>
      </c>
      <c r="AN5970">
        <f>INDEX($U$5896:$U$6023,AG5970+1)</f>
        <v/>
      </c>
      <c r="AO5970">
        <f>INDEX($V$5896:$V$6023,AH5970+1)</f>
        <v/>
      </c>
      <c r="AP5970">
        <f>INDEX($W$5896:$W$6023,AI5970+1)</f>
        <v/>
      </c>
      <c r="AQ5970">
        <f>IF(Q5970&gt;=AJ5970-0.01,1,0)</f>
        <v/>
      </c>
      <c r="AR5970">
        <f>IF(R5970&gt;=AK5970-0.01,1,0)</f>
        <v/>
      </c>
      <c r="AS5970">
        <f>IF(S5970&gt;=AL5970-0.01,1,0)</f>
        <v/>
      </c>
      <c r="AT5970">
        <f>IF(T5970&gt;=AM5970-0.01,1,0)</f>
        <v/>
      </c>
      <c r="AU5970">
        <f>IF(U5970&gt;=AN5970-0.01,1,0)</f>
        <v/>
      </c>
      <c r="AV5970">
        <f>IF(V5970&gt;=AO5970-0.01,1,0)</f>
        <v/>
      </c>
      <c r="AW5970">
        <f>IF(W5970&gt;=AP5970-0.01,1,0)</f>
        <v/>
      </c>
      <c r="AX5970">
        <f>AQ5970*AR5970*AS5970*AT5970*AU5970*AV5970*AW5970</f>
        <v/>
      </c>
    </row>
    <row r="5971">
      <c r="A5971" t="inlineStr"/>
      <c r="B5971">
        <f>Assumptions!$B$60</f>
        <v/>
      </c>
      <c r="C5971" t="n">
        <v>1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  <c r="I5971" t="n">
        <v>1</v>
      </c>
      <c r="J5971">
        <f>(1-C5971)*Assumptions!$B$41+(1-D5971)*Assumptions!$B$33+(1-E5971)*Assumptions!$B$32+(1-F5971)*Assumptions!$B$31+(1-G5971)*Assumptions!$B$30+(1-H5971)*Assumptions!$B$29+(1-I5971)*Assumptions!$B$28</f>
        <v/>
      </c>
      <c r="K5971">
        <f>C5971*$J$682+D5971*$F$682+E5971*$G$682+F5971*Assumptions!$B$14+G5971*Assumptions!$B$13+H5971*Assumptions!$B$12+I5971*Assumptions!$B$11+$O$682+$S$682+Assumptions!$B$9</f>
        <v/>
      </c>
      <c r="L5971">
        <f>B5971-J5971</f>
        <v/>
      </c>
      <c r="M5971">
        <f>IF(K5971&gt;0,IF(L5971/K5971&gt;=Assumptions!$B$37,1,0),0)</f>
        <v/>
      </c>
      <c r="N5971">
        <f>K5971+M5971*Assumptions!$B$153</f>
        <v/>
      </c>
      <c r="O5971">
        <f>L5971+M5971*Assumptions!$B$153*Assumptions!$B$37</f>
        <v/>
      </c>
      <c r="P5971">
        <f>IF(N5971&gt;0,O5971/N5971,0)</f>
        <v/>
      </c>
      <c r="Q5971">
        <f>IF(C5971=1,P5971*$J$682,Assumptions!$B$41)</f>
        <v/>
      </c>
      <c r="R5971">
        <f>IF(D5971=1,P5971*$F$682,Assumptions!$B$33)</f>
        <v/>
      </c>
      <c r="S5971">
        <f>IF(E5971=1,P5971*$G$682,Assumptions!$B$32)</f>
        <v/>
      </c>
      <c r="T5971">
        <f>IF(F5971=1,P5971*Assumptions!$B$14,Assumptions!$B$31)</f>
        <v/>
      </c>
      <c r="U5971">
        <f>IF(G5971=1,P5971*Assumptions!$B$13,Assumptions!$B$30)</f>
        <v/>
      </c>
      <c r="V5971">
        <f>IF(H5971=1,P5971*Assumptions!$B$12,Assumptions!$B$29)</f>
        <v/>
      </c>
      <c r="W5971">
        <f>IF(I5971=1,P5971*Assumptions!$B$11,Assumptions!$B$28)</f>
        <v/>
      </c>
      <c r="X5971">
        <f>P5971*($O$682+$S$682)</f>
        <v/>
      </c>
      <c r="Y5971">
        <f>P5971*Assumptions!$B$9</f>
        <v/>
      </c>
      <c r="Z5971">
        <f>IF(M5971=1,(P5971-Assumptions!$B$37)*Assumptions!$B$153,0)</f>
        <v/>
      </c>
      <c r="AA5971">
        <f>Q5971+R5971+S5971+T5971+U5971+V5971+W5971+X5971+Y5971+Z5971</f>
        <v/>
      </c>
      <c r="AB5971" t="n">
        <v>75</v>
      </c>
      <c r="AC5971" t="n">
        <v>11</v>
      </c>
      <c r="AD5971" t="n">
        <v>107</v>
      </c>
      <c r="AE5971" t="n">
        <v>91</v>
      </c>
      <c r="AF5971" t="n">
        <v>67</v>
      </c>
      <c r="AG5971" t="n">
        <v>79</v>
      </c>
      <c r="AH5971" t="n">
        <v>73</v>
      </c>
      <c r="AI5971" t="n">
        <v>74</v>
      </c>
      <c r="AJ5971">
        <f>INDEX($Q$5896:$Q$6023,AC5971+1)</f>
        <v/>
      </c>
      <c r="AK5971">
        <f>INDEX($R$5896:$R$6023,AD5971+1)</f>
        <v/>
      </c>
      <c r="AL5971">
        <f>INDEX($S$5896:$S$6023,AE5971+1)</f>
        <v/>
      </c>
      <c r="AM5971">
        <f>INDEX($T$5896:$T$6023,AF5971+1)</f>
        <v/>
      </c>
      <c r="AN5971">
        <f>INDEX($U$5896:$U$6023,AG5971+1)</f>
        <v/>
      </c>
      <c r="AO5971">
        <f>INDEX($V$5896:$V$6023,AH5971+1)</f>
        <v/>
      </c>
      <c r="AP5971">
        <f>INDEX($W$5896:$W$6023,AI5971+1)</f>
        <v/>
      </c>
      <c r="AQ5971">
        <f>IF(Q5971&gt;=AJ5971-0.01,1,0)</f>
        <v/>
      </c>
      <c r="AR5971">
        <f>IF(R5971&gt;=AK5971-0.01,1,0)</f>
        <v/>
      </c>
      <c r="AS5971">
        <f>IF(S5971&gt;=AL5971-0.01,1,0)</f>
        <v/>
      </c>
      <c r="AT5971">
        <f>IF(T5971&gt;=AM5971-0.01,1,0)</f>
        <v/>
      </c>
      <c r="AU5971">
        <f>IF(U5971&gt;=AN5971-0.01,1,0)</f>
        <v/>
      </c>
      <c r="AV5971">
        <f>IF(V5971&gt;=AO5971-0.01,1,0)</f>
        <v/>
      </c>
      <c r="AW5971">
        <f>IF(W5971&gt;=AP5971-0.01,1,0)</f>
        <v/>
      </c>
      <c r="AX5971">
        <f>AQ5971*AR5971*AS5971*AT5971*AU5971*AV5971*AW5971</f>
        <v/>
      </c>
    </row>
    <row r="5972">
      <c r="A5972" t="inlineStr"/>
      <c r="B5972">
        <f>Assumptions!$B$60</f>
        <v/>
      </c>
      <c r="C5972" t="n">
        <v>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  <c r="J5972">
        <f>(1-C5972)*Assumptions!$B$41+(1-D5972)*Assumptions!$B$33+(1-E5972)*Assumptions!$B$32+(1-F5972)*Assumptions!$B$31+(1-G5972)*Assumptions!$B$30+(1-H5972)*Assumptions!$B$29+(1-I5972)*Assumptions!$B$28</f>
        <v/>
      </c>
      <c r="K5972">
        <f>C5972*$J$682+D5972*$F$682+E5972*$G$682+F5972*Assumptions!$B$14+G5972*Assumptions!$B$13+H5972*Assumptions!$B$12+I5972*Assumptions!$B$11+$O$682+$S$682+Assumptions!$B$9</f>
        <v/>
      </c>
      <c r="L5972">
        <f>B5972-J5972</f>
        <v/>
      </c>
      <c r="M5972">
        <f>IF(K5972&gt;0,IF(L5972/K5972&gt;=Assumptions!$B$37,1,0),0)</f>
        <v/>
      </c>
      <c r="N5972">
        <f>K5972+M5972*Assumptions!$B$153</f>
        <v/>
      </c>
      <c r="O5972">
        <f>L5972+M5972*Assumptions!$B$153*Assumptions!$B$37</f>
        <v/>
      </c>
      <c r="P5972">
        <f>IF(N5972&gt;0,O5972/N5972,0)</f>
        <v/>
      </c>
      <c r="Q5972">
        <f>IF(C5972=1,P5972*$J$682,Assumptions!$B$41)</f>
        <v/>
      </c>
      <c r="R5972">
        <f>IF(D5972=1,P5972*$F$682,Assumptions!$B$33)</f>
        <v/>
      </c>
      <c r="S5972">
        <f>IF(E5972=1,P5972*$G$682,Assumptions!$B$32)</f>
        <v/>
      </c>
      <c r="T5972">
        <f>IF(F5972=1,P5972*Assumptions!$B$14,Assumptions!$B$31)</f>
        <v/>
      </c>
      <c r="U5972">
        <f>IF(G5972=1,P5972*Assumptions!$B$13,Assumptions!$B$30)</f>
        <v/>
      </c>
      <c r="V5972">
        <f>IF(H5972=1,P5972*Assumptions!$B$12,Assumptions!$B$29)</f>
        <v/>
      </c>
      <c r="W5972">
        <f>IF(I5972=1,P5972*Assumptions!$B$11,Assumptions!$B$28)</f>
        <v/>
      </c>
      <c r="X5972">
        <f>P5972*($O$682+$S$682)</f>
        <v/>
      </c>
      <c r="Y5972">
        <f>P5972*Assumptions!$B$9</f>
        <v/>
      </c>
      <c r="Z5972">
        <f>IF(M5972=1,(P5972-Assumptions!$B$37)*Assumptions!$B$153,0)</f>
        <v/>
      </c>
      <c r="AA5972">
        <f>Q5972+R5972+S5972+T5972+U5972+V5972+W5972+X5972+Y5972+Z5972</f>
        <v/>
      </c>
      <c r="AB5972" t="n">
        <v>76</v>
      </c>
      <c r="AC5972" t="n">
        <v>12</v>
      </c>
      <c r="AD5972" t="n">
        <v>108</v>
      </c>
      <c r="AE5972" t="n">
        <v>92</v>
      </c>
      <c r="AF5972" t="n">
        <v>68</v>
      </c>
      <c r="AG5972" t="n">
        <v>72</v>
      </c>
      <c r="AH5972" t="n">
        <v>78</v>
      </c>
      <c r="AI5972" t="n">
        <v>77</v>
      </c>
      <c r="AJ5972">
        <f>INDEX($Q$5896:$Q$6023,AC5972+1)</f>
        <v/>
      </c>
      <c r="AK5972">
        <f>INDEX($R$5896:$R$6023,AD5972+1)</f>
        <v/>
      </c>
      <c r="AL5972">
        <f>INDEX($S$5896:$S$6023,AE5972+1)</f>
        <v/>
      </c>
      <c r="AM5972">
        <f>INDEX($T$5896:$T$6023,AF5972+1)</f>
        <v/>
      </c>
      <c r="AN5972">
        <f>INDEX($U$5896:$U$6023,AG5972+1)</f>
        <v/>
      </c>
      <c r="AO5972">
        <f>INDEX($V$5896:$V$6023,AH5972+1)</f>
        <v/>
      </c>
      <c r="AP5972">
        <f>INDEX($W$5896:$W$6023,AI5972+1)</f>
        <v/>
      </c>
      <c r="AQ5972">
        <f>IF(Q5972&gt;=AJ5972-0.01,1,0)</f>
        <v/>
      </c>
      <c r="AR5972">
        <f>IF(R5972&gt;=AK5972-0.01,1,0)</f>
        <v/>
      </c>
      <c r="AS5972">
        <f>IF(S5972&gt;=AL5972-0.01,1,0)</f>
        <v/>
      </c>
      <c r="AT5972">
        <f>IF(T5972&gt;=AM5972-0.01,1,0)</f>
        <v/>
      </c>
      <c r="AU5972">
        <f>IF(U5972&gt;=AN5972-0.01,1,0)</f>
        <v/>
      </c>
      <c r="AV5972">
        <f>IF(V5972&gt;=AO5972-0.01,1,0)</f>
        <v/>
      </c>
      <c r="AW5972">
        <f>IF(W5972&gt;=AP5972-0.01,1,0)</f>
        <v/>
      </c>
      <c r="AX5972">
        <f>AQ5972*AR5972*AS5972*AT5972*AU5972*AV5972*AW5972</f>
        <v/>
      </c>
    </row>
    <row r="5973">
      <c r="A5973" t="inlineStr"/>
      <c r="B5973">
        <f>Assumptions!$B$60</f>
        <v/>
      </c>
      <c r="C5973" t="n">
        <v>1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1</v>
      </c>
      <c r="J5973">
        <f>(1-C5973)*Assumptions!$B$41+(1-D5973)*Assumptions!$B$33+(1-E5973)*Assumptions!$B$32+(1-F5973)*Assumptions!$B$31+(1-G5973)*Assumptions!$B$30+(1-H5973)*Assumptions!$B$29+(1-I5973)*Assumptions!$B$28</f>
        <v/>
      </c>
      <c r="K5973">
        <f>C5973*$J$682+D5973*$F$682+E5973*$G$682+F5973*Assumptions!$B$14+G5973*Assumptions!$B$13+H5973*Assumptions!$B$12+I5973*Assumptions!$B$11+$O$682+$S$682+Assumptions!$B$9</f>
        <v/>
      </c>
      <c r="L5973">
        <f>B5973-J5973</f>
        <v/>
      </c>
      <c r="M5973">
        <f>IF(K5973&gt;0,IF(L5973/K5973&gt;=Assumptions!$B$37,1,0),0)</f>
        <v/>
      </c>
      <c r="N5973">
        <f>K5973+M5973*Assumptions!$B$153</f>
        <v/>
      </c>
      <c r="O5973">
        <f>L5973+M5973*Assumptions!$B$153*Assumptions!$B$37</f>
        <v/>
      </c>
      <c r="P5973">
        <f>IF(N5973&gt;0,O5973/N5973,0)</f>
        <v/>
      </c>
      <c r="Q5973">
        <f>IF(C5973=1,P5973*$J$682,Assumptions!$B$41)</f>
        <v/>
      </c>
      <c r="R5973">
        <f>IF(D5973=1,P5973*$F$682,Assumptions!$B$33)</f>
        <v/>
      </c>
      <c r="S5973">
        <f>IF(E5973=1,P5973*$G$682,Assumptions!$B$32)</f>
        <v/>
      </c>
      <c r="T5973">
        <f>IF(F5973=1,P5973*Assumptions!$B$14,Assumptions!$B$31)</f>
        <v/>
      </c>
      <c r="U5973">
        <f>IF(G5973=1,P5973*Assumptions!$B$13,Assumptions!$B$30)</f>
        <v/>
      </c>
      <c r="V5973">
        <f>IF(H5973=1,P5973*Assumptions!$B$12,Assumptions!$B$29)</f>
        <v/>
      </c>
      <c r="W5973">
        <f>IF(I5973=1,P5973*Assumptions!$B$11,Assumptions!$B$28)</f>
        <v/>
      </c>
      <c r="X5973">
        <f>P5973*($O$682+$S$682)</f>
        <v/>
      </c>
      <c r="Y5973">
        <f>P5973*Assumptions!$B$9</f>
        <v/>
      </c>
      <c r="Z5973">
        <f>IF(M5973=1,(P5973-Assumptions!$B$37)*Assumptions!$B$153,0)</f>
        <v/>
      </c>
      <c r="AA5973">
        <f>Q5973+R5973+S5973+T5973+U5973+V5973+W5973+X5973+Y5973+Z5973</f>
        <v/>
      </c>
      <c r="AB5973" t="n">
        <v>77</v>
      </c>
      <c r="AC5973" t="n">
        <v>13</v>
      </c>
      <c r="AD5973" t="n">
        <v>109</v>
      </c>
      <c r="AE5973" t="n">
        <v>93</v>
      </c>
      <c r="AF5973" t="n">
        <v>69</v>
      </c>
      <c r="AG5973" t="n">
        <v>73</v>
      </c>
      <c r="AH5973" t="n">
        <v>79</v>
      </c>
      <c r="AI5973" t="n">
        <v>76</v>
      </c>
      <c r="AJ5973">
        <f>INDEX($Q$5896:$Q$6023,AC5973+1)</f>
        <v/>
      </c>
      <c r="AK5973">
        <f>INDEX($R$5896:$R$6023,AD5973+1)</f>
        <v/>
      </c>
      <c r="AL5973">
        <f>INDEX($S$5896:$S$6023,AE5973+1)</f>
        <v/>
      </c>
      <c r="AM5973">
        <f>INDEX($T$5896:$T$6023,AF5973+1)</f>
        <v/>
      </c>
      <c r="AN5973">
        <f>INDEX($U$5896:$U$6023,AG5973+1)</f>
        <v/>
      </c>
      <c r="AO5973">
        <f>INDEX($V$5896:$V$6023,AH5973+1)</f>
        <v/>
      </c>
      <c r="AP5973">
        <f>INDEX($W$5896:$W$6023,AI5973+1)</f>
        <v/>
      </c>
      <c r="AQ5973">
        <f>IF(Q5973&gt;=AJ5973-0.01,1,0)</f>
        <v/>
      </c>
      <c r="AR5973">
        <f>IF(R5973&gt;=AK5973-0.01,1,0)</f>
        <v/>
      </c>
      <c r="AS5973">
        <f>IF(S5973&gt;=AL5973-0.01,1,0)</f>
        <v/>
      </c>
      <c r="AT5973">
        <f>IF(T5973&gt;=AM5973-0.01,1,0)</f>
        <v/>
      </c>
      <c r="AU5973">
        <f>IF(U5973&gt;=AN5973-0.01,1,0)</f>
        <v/>
      </c>
      <c r="AV5973">
        <f>IF(V5973&gt;=AO5973-0.01,1,0)</f>
        <v/>
      </c>
      <c r="AW5973">
        <f>IF(W5973&gt;=AP5973-0.01,1,0)</f>
        <v/>
      </c>
      <c r="AX5973">
        <f>AQ5973*AR5973*AS5973*AT5973*AU5973*AV5973*AW5973</f>
        <v/>
      </c>
    </row>
    <row r="5974">
      <c r="A5974" t="inlineStr"/>
      <c r="B5974">
        <f>Assumptions!$B$60</f>
        <v/>
      </c>
      <c r="C5974" t="n">
        <v>1</v>
      </c>
      <c r="D5974" t="n">
        <v>0</v>
      </c>
      <c r="E5974" t="n">
        <v>0</v>
      </c>
      <c r="F5974" t="n">
        <v>1</v>
      </c>
      <c r="G5974" t="n">
        <v>1</v>
      </c>
      <c r="H5974" t="n">
        <v>1</v>
      </c>
      <c r="I5974" t="n">
        <v>0</v>
      </c>
      <c r="J5974">
        <f>(1-C5974)*Assumptions!$B$41+(1-D5974)*Assumptions!$B$33+(1-E5974)*Assumptions!$B$32+(1-F5974)*Assumptions!$B$31+(1-G5974)*Assumptions!$B$30+(1-H5974)*Assumptions!$B$29+(1-I5974)*Assumptions!$B$28</f>
        <v/>
      </c>
      <c r="K5974">
        <f>C5974*$J$682+D5974*$F$682+E5974*$G$682+F5974*Assumptions!$B$14+G5974*Assumptions!$B$13+H5974*Assumptions!$B$12+I5974*Assumptions!$B$11+$O$682+$S$682+Assumptions!$B$9</f>
        <v/>
      </c>
      <c r="L5974">
        <f>B5974-J5974</f>
        <v/>
      </c>
      <c r="M5974">
        <f>IF(K5974&gt;0,IF(L5974/K5974&gt;=Assumptions!$B$37,1,0),0)</f>
        <v/>
      </c>
      <c r="N5974">
        <f>K5974+M5974*Assumptions!$B$153</f>
        <v/>
      </c>
      <c r="O5974">
        <f>L5974+M5974*Assumptions!$B$153*Assumptions!$B$37</f>
        <v/>
      </c>
      <c r="P5974">
        <f>IF(N5974&gt;0,O5974/N5974,0)</f>
        <v/>
      </c>
      <c r="Q5974">
        <f>IF(C5974=1,P5974*$J$682,Assumptions!$B$41)</f>
        <v/>
      </c>
      <c r="R5974">
        <f>IF(D5974=1,P5974*$F$682,Assumptions!$B$33)</f>
        <v/>
      </c>
      <c r="S5974">
        <f>IF(E5974=1,P5974*$G$682,Assumptions!$B$32)</f>
        <v/>
      </c>
      <c r="T5974">
        <f>IF(F5974=1,P5974*Assumptions!$B$14,Assumptions!$B$31)</f>
        <v/>
      </c>
      <c r="U5974">
        <f>IF(G5974=1,P5974*Assumptions!$B$13,Assumptions!$B$30)</f>
        <v/>
      </c>
      <c r="V5974">
        <f>IF(H5974=1,P5974*Assumptions!$B$12,Assumptions!$B$29)</f>
        <v/>
      </c>
      <c r="W5974">
        <f>IF(I5974=1,P5974*Assumptions!$B$11,Assumptions!$B$28)</f>
        <v/>
      </c>
      <c r="X5974">
        <f>P5974*($O$682+$S$682)</f>
        <v/>
      </c>
      <c r="Y5974">
        <f>P5974*Assumptions!$B$9</f>
        <v/>
      </c>
      <c r="Z5974">
        <f>IF(M5974=1,(P5974-Assumptions!$B$37)*Assumptions!$B$153,0)</f>
        <v/>
      </c>
      <c r="AA5974">
        <f>Q5974+R5974+S5974+T5974+U5974+V5974+W5974+X5974+Y5974+Z5974</f>
        <v/>
      </c>
      <c r="AB5974" t="n">
        <v>78</v>
      </c>
      <c r="AC5974" t="n">
        <v>14</v>
      </c>
      <c r="AD5974" t="n">
        <v>110</v>
      </c>
      <c r="AE5974" t="n">
        <v>94</v>
      </c>
      <c r="AF5974" t="n">
        <v>70</v>
      </c>
      <c r="AG5974" t="n">
        <v>74</v>
      </c>
      <c r="AH5974" t="n">
        <v>76</v>
      </c>
      <c r="AI5974" t="n">
        <v>79</v>
      </c>
      <c r="AJ5974">
        <f>INDEX($Q$5896:$Q$6023,AC5974+1)</f>
        <v/>
      </c>
      <c r="AK5974">
        <f>INDEX($R$5896:$R$6023,AD5974+1)</f>
        <v/>
      </c>
      <c r="AL5974">
        <f>INDEX($S$5896:$S$6023,AE5974+1)</f>
        <v/>
      </c>
      <c r="AM5974">
        <f>INDEX($T$5896:$T$6023,AF5974+1)</f>
        <v/>
      </c>
      <c r="AN5974">
        <f>INDEX($U$5896:$U$6023,AG5974+1)</f>
        <v/>
      </c>
      <c r="AO5974">
        <f>INDEX($V$5896:$V$6023,AH5974+1)</f>
        <v/>
      </c>
      <c r="AP5974">
        <f>INDEX($W$5896:$W$6023,AI5974+1)</f>
        <v/>
      </c>
      <c r="AQ5974">
        <f>IF(Q5974&gt;=AJ5974-0.01,1,0)</f>
        <v/>
      </c>
      <c r="AR5974">
        <f>IF(R5974&gt;=AK5974-0.01,1,0)</f>
        <v/>
      </c>
      <c r="AS5974">
        <f>IF(S5974&gt;=AL5974-0.01,1,0)</f>
        <v/>
      </c>
      <c r="AT5974">
        <f>IF(T5974&gt;=AM5974-0.01,1,0)</f>
        <v/>
      </c>
      <c r="AU5974">
        <f>IF(U5974&gt;=AN5974-0.01,1,0)</f>
        <v/>
      </c>
      <c r="AV5974">
        <f>IF(V5974&gt;=AO5974-0.01,1,0)</f>
        <v/>
      </c>
      <c r="AW5974">
        <f>IF(W5974&gt;=AP5974-0.01,1,0)</f>
        <v/>
      </c>
      <c r="AX5974">
        <f>AQ5974*AR5974*AS5974*AT5974*AU5974*AV5974*AW5974</f>
        <v/>
      </c>
    </row>
    <row r="5975">
      <c r="A5975" t="inlineStr"/>
      <c r="B5975">
        <f>Assumptions!$B$60</f>
        <v/>
      </c>
      <c r="C5975" t="n">
        <v>1</v>
      </c>
      <c r="D5975" t="n">
        <v>0</v>
      </c>
      <c r="E5975" t="n">
        <v>0</v>
      </c>
      <c r="F5975" t="n">
        <v>1</v>
      </c>
      <c r="G5975" t="n">
        <v>1</v>
      </c>
      <c r="H5975" t="n">
        <v>1</v>
      </c>
      <c r="I5975" t="n">
        <v>1</v>
      </c>
      <c r="J5975">
        <f>(1-C5975)*Assumptions!$B$41+(1-D5975)*Assumptions!$B$33+(1-E5975)*Assumptions!$B$32+(1-F5975)*Assumptions!$B$31+(1-G5975)*Assumptions!$B$30+(1-H5975)*Assumptions!$B$29+(1-I5975)*Assumptions!$B$28</f>
        <v/>
      </c>
      <c r="K5975">
        <f>C5975*$J$682+D5975*$F$682+E5975*$G$682+F5975*Assumptions!$B$14+G5975*Assumptions!$B$13+H5975*Assumptions!$B$12+I5975*Assumptions!$B$11+$O$682+$S$682+Assumptions!$B$9</f>
        <v/>
      </c>
      <c r="L5975">
        <f>B5975-J5975</f>
        <v/>
      </c>
      <c r="M5975">
        <f>IF(K5975&gt;0,IF(L5975/K5975&gt;=Assumptions!$B$37,1,0),0)</f>
        <v/>
      </c>
      <c r="N5975">
        <f>K5975+M5975*Assumptions!$B$153</f>
        <v/>
      </c>
      <c r="O5975">
        <f>L5975+M5975*Assumptions!$B$153*Assumptions!$B$37</f>
        <v/>
      </c>
      <c r="P5975">
        <f>IF(N5975&gt;0,O5975/N5975,0)</f>
        <v/>
      </c>
      <c r="Q5975">
        <f>IF(C5975=1,P5975*$J$682,Assumptions!$B$41)</f>
        <v/>
      </c>
      <c r="R5975">
        <f>IF(D5975=1,P5975*$F$682,Assumptions!$B$33)</f>
        <v/>
      </c>
      <c r="S5975">
        <f>IF(E5975=1,P5975*$G$682,Assumptions!$B$32)</f>
        <v/>
      </c>
      <c r="T5975">
        <f>IF(F5975=1,P5975*Assumptions!$B$14,Assumptions!$B$31)</f>
        <v/>
      </c>
      <c r="U5975">
        <f>IF(G5975=1,P5975*Assumptions!$B$13,Assumptions!$B$30)</f>
        <v/>
      </c>
      <c r="V5975">
        <f>IF(H5975=1,P5975*Assumptions!$B$12,Assumptions!$B$29)</f>
        <v/>
      </c>
      <c r="W5975">
        <f>IF(I5975=1,P5975*Assumptions!$B$11,Assumptions!$B$28)</f>
        <v/>
      </c>
      <c r="X5975">
        <f>P5975*($O$682+$S$682)</f>
        <v/>
      </c>
      <c r="Y5975">
        <f>P5975*Assumptions!$B$9</f>
        <v/>
      </c>
      <c r="Z5975">
        <f>IF(M5975=1,(P5975-Assumptions!$B$37)*Assumptions!$B$153,0)</f>
        <v/>
      </c>
      <c r="AA5975">
        <f>Q5975+R5975+S5975+T5975+U5975+V5975+W5975+X5975+Y5975+Z5975</f>
        <v/>
      </c>
      <c r="AB5975" t="n">
        <v>79</v>
      </c>
      <c r="AC5975" t="n">
        <v>15</v>
      </c>
      <c r="AD5975" t="n">
        <v>111</v>
      </c>
      <c r="AE5975" t="n">
        <v>95</v>
      </c>
      <c r="AF5975" t="n">
        <v>71</v>
      </c>
      <c r="AG5975" t="n">
        <v>75</v>
      </c>
      <c r="AH5975" t="n">
        <v>77</v>
      </c>
      <c r="AI5975" t="n">
        <v>78</v>
      </c>
      <c r="AJ5975">
        <f>INDEX($Q$5896:$Q$6023,AC5975+1)</f>
        <v/>
      </c>
      <c r="AK5975">
        <f>INDEX($R$5896:$R$6023,AD5975+1)</f>
        <v/>
      </c>
      <c r="AL5975">
        <f>INDEX($S$5896:$S$6023,AE5975+1)</f>
        <v/>
      </c>
      <c r="AM5975">
        <f>INDEX($T$5896:$T$6023,AF5975+1)</f>
        <v/>
      </c>
      <c r="AN5975">
        <f>INDEX($U$5896:$U$6023,AG5975+1)</f>
        <v/>
      </c>
      <c r="AO5975">
        <f>INDEX($V$5896:$V$6023,AH5975+1)</f>
        <v/>
      </c>
      <c r="AP5975">
        <f>INDEX($W$5896:$W$6023,AI5975+1)</f>
        <v/>
      </c>
      <c r="AQ5975">
        <f>IF(Q5975&gt;=AJ5975-0.01,1,0)</f>
        <v/>
      </c>
      <c r="AR5975">
        <f>IF(R5975&gt;=AK5975-0.01,1,0)</f>
        <v/>
      </c>
      <c r="AS5975">
        <f>IF(S5975&gt;=AL5975-0.01,1,0)</f>
        <v/>
      </c>
      <c r="AT5975">
        <f>IF(T5975&gt;=AM5975-0.01,1,0)</f>
        <v/>
      </c>
      <c r="AU5975">
        <f>IF(U5975&gt;=AN5975-0.01,1,0)</f>
        <v/>
      </c>
      <c r="AV5975">
        <f>IF(V5975&gt;=AO5975-0.01,1,0)</f>
        <v/>
      </c>
      <c r="AW5975">
        <f>IF(W5975&gt;=AP5975-0.01,1,0)</f>
        <v/>
      </c>
      <c r="AX5975">
        <f>AQ5975*AR5975*AS5975*AT5975*AU5975*AV5975*AW5975</f>
        <v/>
      </c>
    </row>
    <row r="5976">
      <c r="A5976" t="inlineStr"/>
      <c r="B5976">
        <f>Assumptions!$B$60</f>
        <v/>
      </c>
      <c r="C5976" t="n">
        <v>1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0</v>
      </c>
      <c r="J5976">
        <f>(1-C5976)*Assumptions!$B$41+(1-D5976)*Assumptions!$B$33+(1-E5976)*Assumptions!$B$32+(1-F5976)*Assumptions!$B$31+(1-G5976)*Assumptions!$B$30+(1-H5976)*Assumptions!$B$29+(1-I5976)*Assumptions!$B$28</f>
        <v/>
      </c>
      <c r="K5976">
        <f>C5976*$J$682+D5976*$F$682+E5976*$G$682+F5976*Assumptions!$B$14+G5976*Assumptions!$B$13+H5976*Assumptions!$B$12+I5976*Assumptions!$B$11+$O$682+$S$682+Assumptions!$B$9</f>
        <v/>
      </c>
      <c r="L5976">
        <f>B5976-J5976</f>
        <v/>
      </c>
      <c r="M5976">
        <f>IF(K5976&gt;0,IF(L5976/K5976&gt;=Assumptions!$B$37,1,0),0)</f>
        <v/>
      </c>
      <c r="N5976">
        <f>K5976+M5976*Assumptions!$B$153</f>
        <v/>
      </c>
      <c r="O5976">
        <f>L5976+M5976*Assumptions!$B$153*Assumptions!$B$37</f>
        <v/>
      </c>
      <c r="P5976">
        <f>IF(N5976&gt;0,O5976/N5976,0)</f>
        <v/>
      </c>
      <c r="Q5976">
        <f>IF(C5976=1,P5976*$J$682,Assumptions!$B$41)</f>
        <v/>
      </c>
      <c r="R5976">
        <f>IF(D5976=1,P5976*$F$682,Assumptions!$B$33)</f>
        <v/>
      </c>
      <c r="S5976">
        <f>IF(E5976=1,P5976*$G$682,Assumptions!$B$32)</f>
        <v/>
      </c>
      <c r="T5976">
        <f>IF(F5976=1,P5976*Assumptions!$B$14,Assumptions!$B$31)</f>
        <v/>
      </c>
      <c r="U5976">
        <f>IF(G5976=1,P5976*Assumptions!$B$13,Assumptions!$B$30)</f>
        <v/>
      </c>
      <c r="V5976">
        <f>IF(H5976=1,P5976*Assumptions!$B$12,Assumptions!$B$29)</f>
        <v/>
      </c>
      <c r="W5976">
        <f>IF(I5976=1,P5976*Assumptions!$B$11,Assumptions!$B$28)</f>
        <v/>
      </c>
      <c r="X5976">
        <f>P5976*($O$682+$S$682)</f>
        <v/>
      </c>
      <c r="Y5976">
        <f>P5976*Assumptions!$B$9</f>
        <v/>
      </c>
      <c r="Z5976">
        <f>IF(M5976=1,(P5976-Assumptions!$B$37)*Assumptions!$B$153,0)</f>
        <v/>
      </c>
      <c r="AA5976">
        <f>Q5976+R5976+S5976+T5976+U5976+V5976+W5976+X5976+Y5976+Z5976</f>
        <v/>
      </c>
      <c r="AB5976" t="n">
        <v>80</v>
      </c>
      <c r="AC5976" t="n">
        <v>16</v>
      </c>
      <c r="AD5976" t="n">
        <v>112</v>
      </c>
      <c r="AE5976" t="n">
        <v>64</v>
      </c>
      <c r="AF5976" t="n">
        <v>88</v>
      </c>
      <c r="AG5976" t="n">
        <v>84</v>
      </c>
      <c r="AH5976" t="n">
        <v>82</v>
      </c>
      <c r="AI5976" t="n">
        <v>81</v>
      </c>
      <c r="AJ5976">
        <f>INDEX($Q$5896:$Q$6023,AC5976+1)</f>
        <v/>
      </c>
      <c r="AK5976">
        <f>INDEX($R$5896:$R$6023,AD5976+1)</f>
        <v/>
      </c>
      <c r="AL5976">
        <f>INDEX($S$5896:$S$6023,AE5976+1)</f>
        <v/>
      </c>
      <c r="AM5976">
        <f>INDEX($T$5896:$T$6023,AF5976+1)</f>
        <v/>
      </c>
      <c r="AN5976">
        <f>INDEX($U$5896:$U$6023,AG5976+1)</f>
        <v/>
      </c>
      <c r="AO5976">
        <f>INDEX($V$5896:$V$6023,AH5976+1)</f>
        <v/>
      </c>
      <c r="AP5976">
        <f>INDEX($W$5896:$W$6023,AI5976+1)</f>
        <v/>
      </c>
      <c r="AQ5976">
        <f>IF(Q5976&gt;=AJ5976-0.01,1,0)</f>
        <v/>
      </c>
      <c r="AR5976">
        <f>IF(R5976&gt;=AK5976-0.01,1,0)</f>
        <v/>
      </c>
      <c r="AS5976">
        <f>IF(S5976&gt;=AL5976-0.01,1,0)</f>
        <v/>
      </c>
      <c r="AT5976">
        <f>IF(T5976&gt;=AM5976-0.01,1,0)</f>
        <v/>
      </c>
      <c r="AU5976">
        <f>IF(U5976&gt;=AN5976-0.01,1,0)</f>
        <v/>
      </c>
      <c r="AV5976">
        <f>IF(V5976&gt;=AO5976-0.01,1,0)</f>
        <v/>
      </c>
      <c r="AW5976">
        <f>IF(W5976&gt;=AP5976-0.01,1,0)</f>
        <v/>
      </c>
      <c r="AX5976">
        <f>AQ5976*AR5976*AS5976*AT5976*AU5976*AV5976*AW5976</f>
        <v/>
      </c>
    </row>
    <row r="5977">
      <c r="A5977" t="inlineStr"/>
      <c r="B5977">
        <f>Assumptions!$B$60</f>
        <v/>
      </c>
      <c r="C5977" t="n">
        <v>1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  <c r="J5977">
        <f>(1-C5977)*Assumptions!$B$41+(1-D5977)*Assumptions!$B$33+(1-E5977)*Assumptions!$B$32+(1-F5977)*Assumptions!$B$31+(1-G5977)*Assumptions!$B$30+(1-H5977)*Assumptions!$B$29+(1-I5977)*Assumptions!$B$28</f>
        <v/>
      </c>
      <c r="K5977">
        <f>C5977*$J$682+D5977*$F$682+E5977*$G$682+F5977*Assumptions!$B$14+G5977*Assumptions!$B$13+H5977*Assumptions!$B$12+I5977*Assumptions!$B$11+$O$682+$S$682+Assumptions!$B$9</f>
        <v/>
      </c>
      <c r="L5977">
        <f>B5977-J5977</f>
        <v/>
      </c>
      <c r="M5977">
        <f>IF(K5977&gt;0,IF(L5977/K5977&gt;=Assumptions!$B$37,1,0),0)</f>
        <v/>
      </c>
      <c r="N5977">
        <f>K5977+M5977*Assumptions!$B$153</f>
        <v/>
      </c>
      <c r="O5977">
        <f>L5977+M5977*Assumptions!$B$153*Assumptions!$B$37</f>
        <v/>
      </c>
      <c r="P5977">
        <f>IF(N5977&gt;0,O5977/N5977,0)</f>
        <v/>
      </c>
      <c r="Q5977">
        <f>IF(C5977=1,P5977*$J$682,Assumptions!$B$41)</f>
        <v/>
      </c>
      <c r="R5977">
        <f>IF(D5977=1,P5977*$F$682,Assumptions!$B$33)</f>
        <v/>
      </c>
      <c r="S5977">
        <f>IF(E5977=1,P5977*$G$682,Assumptions!$B$32)</f>
        <v/>
      </c>
      <c r="T5977">
        <f>IF(F5977=1,P5977*Assumptions!$B$14,Assumptions!$B$31)</f>
        <v/>
      </c>
      <c r="U5977">
        <f>IF(G5977=1,P5977*Assumptions!$B$13,Assumptions!$B$30)</f>
        <v/>
      </c>
      <c r="V5977">
        <f>IF(H5977=1,P5977*Assumptions!$B$12,Assumptions!$B$29)</f>
        <v/>
      </c>
      <c r="W5977">
        <f>IF(I5977=1,P5977*Assumptions!$B$11,Assumptions!$B$28)</f>
        <v/>
      </c>
      <c r="X5977">
        <f>P5977*($O$682+$S$682)</f>
        <v/>
      </c>
      <c r="Y5977">
        <f>P5977*Assumptions!$B$9</f>
        <v/>
      </c>
      <c r="Z5977">
        <f>IF(M5977=1,(P5977-Assumptions!$B$37)*Assumptions!$B$153,0)</f>
        <v/>
      </c>
      <c r="AA5977">
        <f>Q5977+R5977+S5977+T5977+U5977+V5977+W5977+X5977+Y5977+Z5977</f>
        <v/>
      </c>
      <c r="AB5977" t="n">
        <v>81</v>
      </c>
      <c r="AC5977" t="n">
        <v>17</v>
      </c>
      <c r="AD5977" t="n">
        <v>113</v>
      </c>
      <c r="AE5977" t="n">
        <v>65</v>
      </c>
      <c r="AF5977" t="n">
        <v>89</v>
      </c>
      <c r="AG5977" t="n">
        <v>85</v>
      </c>
      <c r="AH5977" t="n">
        <v>83</v>
      </c>
      <c r="AI5977" t="n">
        <v>80</v>
      </c>
      <c r="AJ5977">
        <f>INDEX($Q$5896:$Q$6023,AC5977+1)</f>
        <v/>
      </c>
      <c r="AK5977">
        <f>INDEX($R$5896:$R$6023,AD5977+1)</f>
        <v/>
      </c>
      <c r="AL5977">
        <f>INDEX($S$5896:$S$6023,AE5977+1)</f>
        <v/>
      </c>
      <c r="AM5977">
        <f>INDEX($T$5896:$T$6023,AF5977+1)</f>
        <v/>
      </c>
      <c r="AN5977">
        <f>INDEX($U$5896:$U$6023,AG5977+1)</f>
        <v/>
      </c>
      <c r="AO5977">
        <f>INDEX($V$5896:$V$6023,AH5977+1)</f>
        <v/>
      </c>
      <c r="AP5977">
        <f>INDEX($W$5896:$W$6023,AI5977+1)</f>
        <v/>
      </c>
      <c r="AQ5977">
        <f>IF(Q5977&gt;=AJ5977-0.01,1,0)</f>
        <v/>
      </c>
      <c r="AR5977">
        <f>IF(R5977&gt;=AK5977-0.01,1,0)</f>
        <v/>
      </c>
      <c r="AS5977">
        <f>IF(S5977&gt;=AL5977-0.01,1,0)</f>
        <v/>
      </c>
      <c r="AT5977">
        <f>IF(T5977&gt;=AM5977-0.01,1,0)</f>
        <v/>
      </c>
      <c r="AU5977">
        <f>IF(U5977&gt;=AN5977-0.01,1,0)</f>
        <v/>
      </c>
      <c r="AV5977">
        <f>IF(V5977&gt;=AO5977-0.01,1,0)</f>
        <v/>
      </c>
      <c r="AW5977">
        <f>IF(W5977&gt;=AP5977-0.01,1,0)</f>
        <v/>
      </c>
      <c r="AX5977">
        <f>AQ5977*AR5977*AS5977*AT5977*AU5977*AV5977*AW5977</f>
        <v/>
      </c>
    </row>
    <row r="5978">
      <c r="A5978" t="inlineStr"/>
      <c r="B5978">
        <f>Assumptions!$B$60</f>
        <v/>
      </c>
      <c r="C5978" t="n">
        <v>1</v>
      </c>
      <c r="D5978" t="n">
        <v>0</v>
      </c>
      <c r="E5978" t="n">
        <v>1</v>
      </c>
      <c r="F5978" t="n">
        <v>0</v>
      </c>
      <c r="G5978" t="n">
        <v>0</v>
      </c>
      <c r="H5978" t="n">
        <v>1</v>
      </c>
      <c r="I5978" t="n">
        <v>0</v>
      </c>
      <c r="J5978">
        <f>(1-C5978)*Assumptions!$B$41+(1-D5978)*Assumptions!$B$33+(1-E5978)*Assumptions!$B$32+(1-F5978)*Assumptions!$B$31+(1-G5978)*Assumptions!$B$30+(1-H5978)*Assumptions!$B$29+(1-I5978)*Assumptions!$B$28</f>
        <v/>
      </c>
      <c r="K5978">
        <f>C5978*$J$682+D5978*$F$682+E5978*$G$682+F5978*Assumptions!$B$14+G5978*Assumptions!$B$13+H5978*Assumptions!$B$12+I5978*Assumptions!$B$11+$O$682+$S$682+Assumptions!$B$9</f>
        <v/>
      </c>
      <c r="L5978">
        <f>B5978-J5978</f>
        <v/>
      </c>
      <c r="M5978">
        <f>IF(K5978&gt;0,IF(L5978/K5978&gt;=Assumptions!$B$37,1,0),0)</f>
        <v/>
      </c>
      <c r="N5978">
        <f>K5978+M5978*Assumptions!$B$153</f>
        <v/>
      </c>
      <c r="O5978">
        <f>L5978+M5978*Assumptions!$B$153*Assumptions!$B$37</f>
        <v/>
      </c>
      <c r="P5978">
        <f>IF(N5978&gt;0,O5978/N5978,0)</f>
        <v/>
      </c>
      <c r="Q5978">
        <f>IF(C5978=1,P5978*$J$682,Assumptions!$B$41)</f>
        <v/>
      </c>
      <c r="R5978">
        <f>IF(D5978=1,P5978*$F$682,Assumptions!$B$33)</f>
        <v/>
      </c>
      <c r="S5978">
        <f>IF(E5978=1,P5978*$G$682,Assumptions!$B$32)</f>
        <v/>
      </c>
      <c r="T5978">
        <f>IF(F5978=1,P5978*Assumptions!$B$14,Assumptions!$B$31)</f>
        <v/>
      </c>
      <c r="U5978">
        <f>IF(G5978=1,P5978*Assumptions!$B$13,Assumptions!$B$30)</f>
        <v/>
      </c>
      <c r="V5978">
        <f>IF(H5978=1,P5978*Assumptions!$B$12,Assumptions!$B$29)</f>
        <v/>
      </c>
      <c r="W5978">
        <f>IF(I5978=1,P5978*Assumptions!$B$11,Assumptions!$B$28)</f>
        <v/>
      </c>
      <c r="X5978">
        <f>P5978*($O$682+$S$682)</f>
        <v/>
      </c>
      <c r="Y5978">
        <f>P5978*Assumptions!$B$9</f>
        <v/>
      </c>
      <c r="Z5978">
        <f>IF(M5978=1,(P5978-Assumptions!$B$37)*Assumptions!$B$153,0)</f>
        <v/>
      </c>
      <c r="AA5978">
        <f>Q5978+R5978+S5978+T5978+U5978+V5978+W5978+X5978+Y5978+Z5978</f>
        <v/>
      </c>
      <c r="AB5978" t="n">
        <v>82</v>
      </c>
      <c r="AC5978" t="n">
        <v>18</v>
      </c>
      <c r="AD5978" t="n">
        <v>114</v>
      </c>
      <c r="AE5978" t="n">
        <v>66</v>
      </c>
      <c r="AF5978" t="n">
        <v>90</v>
      </c>
      <c r="AG5978" t="n">
        <v>86</v>
      </c>
      <c r="AH5978" t="n">
        <v>80</v>
      </c>
      <c r="AI5978" t="n">
        <v>83</v>
      </c>
      <c r="AJ5978">
        <f>INDEX($Q$5896:$Q$6023,AC5978+1)</f>
        <v/>
      </c>
      <c r="AK5978">
        <f>INDEX($R$5896:$R$6023,AD5978+1)</f>
        <v/>
      </c>
      <c r="AL5978">
        <f>INDEX($S$5896:$S$6023,AE5978+1)</f>
        <v/>
      </c>
      <c r="AM5978">
        <f>INDEX($T$5896:$T$6023,AF5978+1)</f>
        <v/>
      </c>
      <c r="AN5978">
        <f>INDEX($U$5896:$U$6023,AG5978+1)</f>
        <v/>
      </c>
      <c r="AO5978">
        <f>INDEX($V$5896:$V$6023,AH5978+1)</f>
        <v/>
      </c>
      <c r="AP5978">
        <f>INDEX($W$5896:$W$6023,AI5978+1)</f>
        <v/>
      </c>
      <c r="AQ5978">
        <f>IF(Q5978&gt;=AJ5978-0.01,1,0)</f>
        <v/>
      </c>
      <c r="AR5978">
        <f>IF(R5978&gt;=AK5978-0.01,1,0)</f>
        <v/>
      </c>
      <c r="AS5978">
        <f>IF(S5978&gt;=AL5978-0.01,1,0)</f>
        <v/>
      </c>
      <c r="AT5978">
        <f>IF(T5978&gt;=AM5978-0.01,1,0)</f>
        <v/>
      </c>
      <c r="AU5978">
        <f>IF(U5978&gt;=AN5978-0.01,1,0)</f>
        <v/>
      </c>
      <c r="AV5978">
        <f>IF(V5978&gt;=AO5978-0.01,1,0)</f>
        <v/>
      </c>
      <c r="AW5978">
        <f>IF(W5978&gt;=AP5978-0.01,1,0)</f>
        <v/>
      </c>
      <c r="AX5978">
        <f>AQ5978*AR5978*AS5978*AT5978*AU5978*AV5978*AW5978</f>
        <v/>
      </c>
    </row>
    <row r="5979">
      <c r="A5979" t="inlineStr"/>
      <c r="B5979">
        <f>Assumptions!$B$60</f>
        <v/>
      </c>
      <c r="C5979" t="n">
        <v>1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1</v>
      </c>
      <c r="J5979">
        <f>(1-C5979)*Assumptions!$B$41+(1-D5979)*Assumptions!$B$33+(1-E5979)*Assumptions!$B$32+(1-F5979)*Assumptions!$B$31+(1-G5979)*Assumptions!$B$30+(1-H5979)*Assumptions!$B$29+(1-I5979)*Assumptions!$B$28</f>
        <v/>
      </c>
      <c r="K5979">
        <f>C5979*$J$682+D5979*$F$682+E5979*$G$682+F5979*Assumptions!$B$14+G5979*Assumptions!$B$13+H5979*Assumptions!$B$12+I5979*Assumptions!$B$11+$O$682+$S$682+Assumptions!$B$9</f>
        <v/>
      </c>
      <c r="L5979">
        <f>B5979-J5979</f>
        <v/>
      </c>
      <c r="M5979">
        <f>IF(K5979&gt;0,IF(L5979/K5979&gt;=Assumptions!$B$37,1,0),0)</f>
        <v/>
      </c>
      <c r="N5979">
        <f>K5979+M5979*Assumptions!$B$153</f>
        <v/>
      </c>
      <c r="O5979">
        <f>L5979+M5979*Assumptions!$B$153*Assumptions!$B$37</f>
        <v/>
      </c>
      <c r="P5979">
        <f>IF(N5979&gt;0,O5979/N5979,0)</f>
        <v/>
      </c>
      <c r="Q5979">
        <f>IF(C5979=1,P5979*$J$682,Assumptions!$B$41)</f>
        <v/>
      </c>
      <c r="R5979">
        <f>IF(D5979=1,P5979*$F$682,Assumptions!$B$33)</f>
        <v/>
      </c>
      <c r="S5979">
        <f>IF(E5979=1,P5979*$G$682,Assumptions!$B$32)</f>
        <v/>
      </c>
      <c r="T5979">
        <f>IF(F5979=1,P5979*Assumptions!$B$14,Assumptions!$B$31)</f>
        <v/>
      </c>
      <c r="U5979">
        <f>IF(G5979=1,P5979*Assumptions!$B$13,Assumptions!$B$30)</f>
        <v/>
      </c>
      <c r="V5979">
        <f>IF(H5979=1,P5979*Assumptions!$B$12,Assumptions!$B$29)</f>
        <v/>
      </c>
      <c r="W5979">
        <f>IF(I5979=1,P5979*Assumptions!$B$11,Assumptions!$B$28)</f>
        <v/>
      </c>
      <c r="X5979">
        <f>P5979*($O$682+$S$682)</f>
        <v/>
      </c>
      <c r="Y5979">
        <f>P5979*Assumptions!$B$9</f>
        <v/>
      </c>
      <c r="Z5979">
        <f>IF(M5979=1,(P5979-Assumptions!$B$37)*Assumptions!$B$153,0)</f>
        <v/>
      </c>
      <c r="AA5979">
        <f>Q5979+R5979+S5979+T5979+U5979+V5979+W5979+X5979+Y5979+Z5979</f>
        <v/>
      </c>
      <c r="AB5979" t="n">
        <v>83</v>
      </c>
      <c r="AC5979" t="n">
        <v>19</v>
      </c>
      <c r="AD5979" t="n">
        <v>115</v>
      </c>
      <c r="AE5979" t="n">
        <v>67</v>
      </c>
      <c r="AF5979" t="n">
        <v>91</v>
      </c>
      <c r="AG5979" t="n">
        <v>87</v>
      </c>
      <c r="AH5979" t="n">
        <v>81</v>
      </c>
      <c r="AI5979" t="n">
        <v>82</v>
      </c>
      <c r="AJ5979">
        <f>INDEX($Q$5896:$Q$6023,AC5979+1)</f>
        <v/>
      </c>
      <c r="AK5979">
        <f>INDEX($R$5896:$R$6023,AD5979+1)</f>
        <v/>
      </c>
      <c r="AL5979">
        <f>INDEX($S$5896:$S$6023,AE5979+1)</f>
        <v/>
      </c>
      <c r="AM5979">
        <f>INDEX($T$5896:$T$6023,AF5979+1)</f>
        <v/>
      </c>
      <c r="AN5979">
        <f>INDEX($U$5896:$U$6023,AG5979+1)</f>
        <v/>
      </c>
      <c r="AO5979">
        <f>INDEX($V$5896:$V$6023,AH5979+1)</f>
        <v/>
      </c>
      <c r="AP5979">
        <f>INDEX($W$5896:$W$6023,AI5979+1)</f>
        <v/>
      </c>
      <c r="AQ5979">
        <f>IF(Q5979&gt;=AJ5979-0.01,1,0)</f>
        <v/>
      </c>
      <c r="AR5979">
        <f>IF(R5979&gt;=AK5979-0.01,1,0)</f>
        <v/>
      </c>
      <c r="AS5979">
        <f>IF(S5979&gt;=AL5979-0.01,1,0)</f>
        <v/>
      </c>
      <c r="AT5979">
        <f>IF(T5979&gt;=AM5979-0.01,1,0)</f>
        <v/>
      </c>
      <c r="AU5979">
        <f>IF(U5979&gt;=AN5979-0.01,1,0)</f>
        <v/>
      </c>
      <c r="AV5979">
        <f>IF(V5979&gt;=AO5979-0.01,1,0)</f>
        <v/>
      </c>
      <c r="AW5979">
        <f>IF(W5979&gt;=AP5979-0.01,1,0)</f>
        <v/>
      </c>
      <c r="AX5979">
        <f>AQ5979*AR5979*AS5979*AT5979*AU5979*AV5979*AW5979</f>
        <v/>
      </c>
    </row>
    <row r="5980">
      <c r="A5980" t="inlineStr"/>
      <c r="B5980">
        <f>Assumptions!$B$60</f>
        <v/>
      </c>
      <c r="C5980" t="n">
        <v>1</v>
      </c>
      <c r="D5980" t="n">
        <v>0</v>
      </c>
      <c r="E5980" t="n">
        <v>1</v>
      </c>
      <c r="F5980" t="n">
        <v>0</v>
      </c>
      <c r="G5980" t="n">
        <v>1</v>
      </c>
      <c r="H5980" t="n">
        <v>0</v>
      </c>
      <c r="I5980" t="n">
        <v>0</v>
      </c>
      <c r="J5980">
        <f>(1-C5980)*Assumptions!$B$41+(1-D5980)*Assumptions!$B$33+(1-E5980)*Assumptions!$B$32+(1-F5980)*Assumptions!$B$31+(1-G5980)*Assumptions!$B$30+(1-H5980)*Assumptions!$B$29+(1-I5980)*Assumptions!$B$28</f>
        <v/>
      </c>
      <c r="K5980">
        <f>C5980*$J$682+D5980*$F$682+E5980*$G$682+F5980*Assumptions!$B$14+G5980*Assumptions!$B$13+H5980*Assumptions!$B$12+I5980*Assumptions!$B$11+$O$682+$S$682+Assumptions!$B$9</f>
        <v/>
      </c>
      <c r="L5980">
        <f>B5980-J5980</f>
        <v/>
      </c>
      <c r="M5980">
        <f>IF(K5980&gt;0,IF(L5980/K5980&gt;=Assumptions!$B$37,1,0),0)</f>
        <v/>
      </c>
      <c r="N5980">
        <f>K5980+M5980*Assumptions!$B$153</f>
        <v/>
      </c>
      <c r="O5980">
        <f>L5980+M5980*Assumptions!$B$153*Assumptions!$B$37</f>
        <v/>
      </c>
      <c r="P5980">
        <f>IF(N5980&gt;0,O5980/N5980,0)</f>
        <v/>
      </c>
      <c r="Q5980">
        <f>IF(C5980=1,P5980*$J$682,Assumptions!$B$41)</f>
        <v/>
      </c>
      <c r="R5980">
        <f>IF(D5980=1,P5980*$F$682,Assumptions!$B$33)</f>
        <v/>
      </c>
      <c r="S5980">
        <f>IF(E5980=1,P5980*$G$682,Assumptions!$B$32)</f>
        <v/>
      </c>
      <c r="T5980">
        <f>IF(F5980=1,P5980*Assumptions!$B$14,Assumptions!$B$31)</f>
        <v/>
      </c>
      <c r="U5980">
        <f>IF(G5980=1,P5980*Assumptions!$B$13,Assumptions!$B$30)</f>
        <v/>
      </c>
      <c r="V5980">
        <f>IF(H5980=1,P5980*Assumptions!$B$12,Assumptions!$B$29)</f>
        <v/>
      </c>
      <c r="W5980">
        <f>IF(I5980=1,P5980*Assumptions!$B$11,Assumptions!$B$28)</f>
        <v/>
      </c>
      <c r="X5980">
        <f>P5980*($O$682+$S$682)</f>
        <v/>
      </c>
      <c r="Y5980">
        <f>P5980*Assumptions!$B$9</f>
        <v/>
      </c>
      <c r="Z5980">
        <f>IF(M5980=1,(P5980-Assumptions!$B$37)*Assumptions!$B$153,0)</f>
        <v/>
      </c>
      <c r="AA5980">
        <f>Q5980+R5980+S5980+T5980+U5980+V5980+W5980+X5980+Y5980+Z5980</f>
        <v/>
      </c>
      <c r="AB5980" t="n">
        <v>84</v>
      </c>
      <c r="AC5980" t="n">
        <v>20</v>
      </c>
      <c r="AD5980" t="n">
        <v>116</v>
      </c>
      <c r="AE5980" t="n">
        <v>68</v>
      </c>
      <c r="AF5980" t="n">
        <v>92</v>
      </c>
      <c r="AG5980" t="n">
        <v>80</v>
      </c>
      <c r="AH5980" t="n">
        <v>86</v>
      </c>
      <c r="AI5980" t="n">
        <v>85</v>
      </c>
      <c r="AJ5980">
        <f>INDEX($Q$5896:$Q$6023,AC5980+1)</f>
        <v/>
      </c>
      <c r="AK5980">
        <f>INDEX($R$5896:$R$6023,AD5980+1)</f>
        <v/>
      </c>
      <c r="AL5980">
        <f>INDEX($S$5896:$S$6023,AE5980+1)</f>
        <v/>
      </c>
      <c r="AM5980">
        <f>INDEX($T$5896:$T$6023,AF5980+1)</f>
        <v/>
      </c>
      <c r="AN5980">
        <f>INDEX($U$5896:$U$6023,AG5980+1)</f>
        <v/>
      </c>
      <c r="AO5980">
        <f>INDEX($V$5896:$V$6023,AH5980+1)</f>
        <v/>
      </c>
      <c r="AP5980">
        <f>INDEX($W$5896:$W$6023,AI5980+1)</f>
        <v/>
      </c>
      <c r="AQ5980">
        <f>IF(Q5980&gt;=AJ5980-0.01,1,0)</f>
        <v/>
      </c>
      <c r="AR5980">
        <f>IF(R5980&gt;=AK5980-0.01,1,0)</f>
        <v/>
      </c>
      <c r="AS5980">
        <f>IF(S5980&gt;=AL5980-0.01,1,0)</f>
        <v/>
      </c>
      <c r="AT5980">
        <f>IF(T5980&gt;=AM5980-0.01,1,0)</f>
        <v/>
      </c>
      <c r="AU5980">
        <f>IF(U5980&gt;=AN5980-0.01,1,0)</f>
        <v/>
      </c>
      <c r="AV5980">
        <f>IF(V5980&gt;=AO5980-0.01,1,0)</f>
        <v/>
      </c>
      <c r="AW5980">
        <f>IF(W5980&gt;=AP5980-0.01,1,0)</f>
        <v/>
      </c>
      <c r="AX5980">
        <f>AQ5980*AR5980*AS5980*AT5980*AU5980*AV5980*AW5980</f>
        <v/>
      </c>
    </row>
    <row r="5981">
      <c r="A5981" t="inlineStr"/>
      <c r="B5981">
        <f>Assumptions!$B$60</f>
        <v/>
      </c>
      <c r="C5981" t="n">
        <v>1</v>
      </c>
      <c r="D5981" t="n">
        <v>0</v>
      </c>
      <c r="E5981" t="n">
        <v>1</v>
      </c>
      <c r="F5981" t="n">
        <v>0</v>
      </c>
      <c r="G5981" t="n">
        <v>1</v>
      </c>
      <c r="H5981" t="n">
        <v>0</v>
      </c>
      <c r="I5981" t="n">
        <v>1</v>
      </c>
      <c r="J5981">
        <f>(1-C5981)*Assumptions!$B$41+(1-D5981)*Assumptions!$B$33+(1-E5981)*Assumptions!$B$32+(1-F5981)*Assumptions!$B$31+(1-G5981)*Assumptions!$B$30+(1-H5981)*Assumptions!$B$29+(1-I5981)*Assumptions!$B$28</f>
        <v/>
      </c>
      <c r="K5981">
        <f>C5981*$J$682+D5981*$F$682+E5981*$G$682+F5981*Assumptions!$B$14+G5981*Assumptions!$B$13+H5981*Assumptions!$B$12+I5981*Assumptions!$B$11+$O$682+$S$682+Assumptions!$B$9</f>
        <v/>
      </c>
      <c r="L5981">
        <f>B5981-J5981</f>
        <v/>
      </c>
      <c r="M5981">
        <f>IF(K5981&gt;0,IF(L5981/K5981&gt;=Assumptions!$B$37,1,0),0)</f>
        <v/>
      </c>
      <c r="N5981">
        <f>K5981+M5981*Assumptions!$B$153</f>
        <v/>
      </c>
      <c r="O5981">
        <f>L5981+M5981*Assumptions!$B$153*Assumptions!$B$37</f>
        <v/>
      </c>
      <c r="P5981">
        <f>IF(N5981&gt;0,O5981/N5981,0)</f>
        <v/>
      </c>
      <c r="Q5981">
        <f>IF(C5981=1,P5981*$J$682,Assumptions!$B$41)</f>
        <v/>
      </c>
      <c r="R5981">
        <f>IF(D5981=1,P5981*$F$682,Assumptions!$B$33)</f>
        <v/>
      </c>
      <c r="S5981">
        <f>IF(E5981=1,P5981*$G$682,Assumptions!$B$32)</f>
        <v/>
      </c>
      <c r="T5981">
        <f>IF(F5981=1,P5981*Assumptions!$B$14,Assumptions!$B$31)</f>
        <v/>
      </c>
      <c r="U5981">
        <f>IF(G5981=1,P5981*Assumptions!$B$13,Assumptions!$B$30)</f>
        <v/>
      </c>
      <c r="V5981">
        <f>IF(H5981=1,P5981*Assumptions!$B$12,Assumptions!$B$29)</f>
        <v/>
      </c>
      <c r="W5981">
        <f>IF(I5981=1,P5981*Assumptions!$B$11,Assumptions!$B$28)</f>
        <v/>
      </c>
      <c r="X5981">
        <f>P5981*($O$682+$S$682)</f>
        <v/>
      </c>
      <c r="Y5981">
        <f>P5981*Assumptions!$B$9</f>
        <v/>
      </c>
      <c r="Z5981">
        <f>IF(M5981=1,(P5981-Assumptions!$B$37)*Assumptions!$B$153,0)</f>
        <v/>
      </c>
      <c r="AA5981">
        <f>Q5981+R5981+S5981+T5981+U5981+V5981+W5981+X5981+Y5981+Z5981</f>
        <v/>
      </c>
      <c r="AB5981" t="n">
        <v>85</v>
      </c>
      <c r="AC5981" t="n">
        <v>21</v>
      </c>
      <c r="AD5981" t="n">
        <v>117</v>
      </c>
      <c r="AE5981" t="n">
        <v>69</v>
      </c>
      <c r="AF5981" t="n">
        <v>93</v>
      </c>
      <c r="AG5981" t="n">
        <v>81</v>
      </c>
      <c r="AH5981" t="n">
        <v>87</v>
      </c>
      <c r="AI5981" t="n">
        <v>84</v>
      </c>
      <c r="AJ5981">
        <f>INDEX($Q$5896:$Q$6023,AC5981+1)</f>
        <v/>
      </c>
      <c r="AK5981">
        <f>INDEX($R$5896:$R$6023,AD5981+1)</f>
        <v/>
      </c>
      <c r="AL5981">
        <f>INDEX($S$5896:$S$6023,AE5981+1)</f>
        <v/>
      </c>
      <c r="AM5981">
        <f>INDEX($T$5896:$T$6023,AF5981+1)</f>
        <v/>
      </c>
      <c r="AN5981">
        <f>INDEX($U$5896:$U$6023,AG5981+1)</f>
        <v/>
      </c>
      <c r="AO5981">
        <f>INDEX($V$5896:$V$6023,AH5981+1)</f>
        <v/>
      </c>
      <c r="AP5981">
        <f>INDEX($W$5896:$W$6023,AI5981+1)</f>
        <v/>
      </c>
      <c r="AQ5981">
        <f>IF(Q5981&gt;=AJ5981-0.01,1,0)</f>
        <v/>
      </c>
      <c r="AR5981">
        <f>IF(R5981&gt;=AK5981-0.01,1,0)</f>
        <v/>
      </c>
      <c r="AS5981">
        <f>IF(S5981&gt;=AL5981-0.01,1,0)</f>
        <v/>
      </c>
      <c r="AT5981">
        <f>IF(T5981&gt;=AM5981-0.01,1,0)</f>
        <v/>
      </c>
      <c r="AU5981">
        <f>IF(U5981&gt;=AN5981-0.01,1,0)</f>
        <v/>
      </c>
      <c r="AV5981">
        <f>IF(V5981&gt;=AO5981-0.01,1,0)</f>
        <v/>
      </c>
      <c r="AW5981">
        <f>IF(W5981&gt;=AP5981-0.01,1,0)</f>
        <v/>
      </c>
      <c r="AX5981">
        <f>AQ5981*AR5981*AS5981*AT5981*AU5981*AV5981*AW5981</f>
        <v/>
      </c>
    </row>
    <row r="5982">
      <c r="A5982" t="inlineStr"/>
      <c r="B5982">
        <f>Assumptions!$B$60</f>
        <v/>
      </c>
      <c r="C5982" t="n">
        <v>1</v>
      </c>
      <c r="D5982" t="n">
        <v>0</v>
      </c>
      <c r="E5982" t="n">
        <v>1</v>
      </c>
      <c r="F5982" t="n">
        <v>0</v>
      </c>
      <c r="G5982" t="n">
        <v>1</v>
      </c>
      <c r="H5982" t="n">
        <v>1</v>
      </c>
      <c r="I5982" t="n">
        <v>0</v>
      </c>
      <c r="J5982">
        <f>(1-C5982)*Assumptions!$B$41+(1-D5982)*Assumptions!$B$33+(1-E5982)*Assumptions!$B$32+(1-F5982)*Assumptions!$B$31+(1-G5982)*Assumptions!$B$30+(1-H5982)*Assumptions!$B$29+(1-I5982)*Assumptions!$B$28</f>
        <v/>
      </c>
      <c r="K5982">
        <f>C5982*$J$682+D5982*$F$682+E5982*$G$682+F5982*Assumptions!$B$14+G5982*Assumptions!$B$13+H5982*Assumptions!$B$12+I5982*Assumptions!$B$11+$O$682+$S$682+Assumptions!$B$9</f>
        <v/>
      </c>
      <c r="L5982">
        <f>B5982-J5982</f>
        <v/>
      </c>
      <c r="M5982">
        <f>IF(K5982&gt;0,IF(L5982/K5982&gt;=Assumptions!$B$37,1,0),0)</f>
        <v/>
      </c>
      <c r="N5982">
        <f>K5982+M5982*Assumptions!$B$153</f>
        <v/>
      </c>
      <c r="O5982">
        <f>L5982+M5982*Assumptions!$B$153*Assumptions!$B$37</f>
        <v/>
      </c>
      <c r="P5982">
        <f>IF(N5982&gt;0,O5982/N5982,0)</f>
        <v/>
      </c>
      <c r="Q5982">
        <f>IF(C5982=1,P5982*$J$682,Assumptions!$B$41)</f>
        <v/>
      </c>
      <c r="R5982">
        <f>IF(D5982=1,P5982*$F$682,Assumptions!$B$33)</f>
        <v/>
      </c>
      <c r="S5982">
        <f>IF(E5982=1,P5982*$G$682,Assumptions!$B$32)</f>
        <v/>
      </c>
      <c r="T5982">
        <f>IF(F5982=1,P5982*Assumptions!$B$14,Assumptions!$B$31)</f>
        <v/>
      </c>
      <c r="U5982">
        <f>IF(G5982=1,P5982*Assumptions!$B$13,Assumptions!$B$30)</f>
        <v/>
      </c>
      <c r="V5982">
        <f>IF(H5982=1,P5982*Assumptions!$B$12,Assumptions!$B$29)</f>
        <v/>
      </c>
      <c r="W5982">
        <f>IF(I5982=1,P5982*Assumptions!$B$11,Assumptions!$B$28)</f>
        <v/>
      </c>
      <c r="X5982">
        <f>P5982*($O$682+$S$682)</f>
        <v/>
      </c>
      <c r="Y5982">
        <f>P5982*Assumptions!$B$9</f>
        <v/>
      </c>
      <c r="Z5982">
        <f>IF(M5982=1,(P5982-Assumptions!$B$37)*Assumptions!$B$153,0)</f>
        <v/>
      </c>
      <c r="AA5982">
        <f>Q5982+R5982+S5982+T5982+U5982+V5982+W5982+X5982+Y5982+Z5982</f>
        <v/>
      </c>
      <c r="AB5982" t="n">
        <v>86</v>
      </c>
      <c r="AC5982" t="n">
        <v>22</v>
      </c>
      <c r="AD5982" t="n">
        <v>118</v>
      </c>
      <c r="AE5982" t="n">
        <v>70</v>
      </c>
      <c r="AF5982" t="n">
        <v>94</v>
      </c>
      <c r="AG5982" t="n">
        <v>82</v>
      </c>
      <c r="AH5982" t="n">
        <v>84</v>
      </c>
      <c r="AI5982" t="n">
        <v>87</v>
      </c>
      <c r="AJ5982">
        <f>INDEX($Q$5896:$Q$6023,AC5982+1)</f>
        <v/>
      </c>
      <c r="AK5982">
        <f>INDEX($R$5896:$R$6023,AD5982+1)</f>
        <v/>
      </c>
      <c r="AL5982">
        <f>INDEX($S$5896:$S$6023,AE5982+1)</f>
        <v/>
      </c>
      <c r="AM5982">
        <f>INDEX($T$5896:$T$6023,AF5982+1)</f>
        <v/>
      </c>
      <c r="AN5982">
        <f>INDEX($U$5896:$U$6023,AG5982+1)</f>
        <v/>
      </c>
      <c r="AO5982">
        <f>INDEX($V$5896:$V$6023,AH5982+1)</f>
        <v/>
      </c>
      <c r="AP5982">
        <f>INDEX($W$5896:$W$6023,AI5982+1)</f>
        <v/>
      </c>
      <c r="AQ5982">
        <f>IF(Q5982&gt;=AJ5982-0.01,1,0)</f>
        <v/>
      </c>
      <c r="AR5982">
        <f>IF(R5982&gt;=AK5982-0.01,1,0)</f>
        <v/>
      </c>
      <c r="AS5982">
        <f>IF(S5982&gt;=AL5982-0.01,1,0)</f>
        <v/>
      </c>
      <c r="AT5982">
        <f>IF(T5982&gt;=AM5982-0.01,1,0)</f>
        <v/>
      </c>
      <c r="AU5982">
        <f>IF(U5982&gt;=AN5982-0.01,1,0)</f>
        <v/>
      </c>
      <c r="AV5982">
        <f>IF(V5982&gt;=AO5982-0.01,1,0)</f>
        <v/>
      </c>
      <c r="AW5982">
        <f>IF(W5982&gt;=AP5982-0.01,1,0)</f>
        <v/>
      </c>
      <c r="AX5982">
        <f>AQ5982*AR5982*AS5982*AT5982*AU5982*AV5982*AW5982</f>
        <v/>
      </c>
    </row>
    <row r="5983">
      <c r="A5983" t="inlineStr"/>
      <c r="B5983">
        <f>Assumptions!$B$60</f>
        <v/>
      </c>
      <c r="C5983" t="n">
        <v>1</v>
      </c>
      <c r="D5983" t="n">
        <v>0</v>
      </c>
      <c r="E5983" t="n">
        <v>1</v>
      </c>
      <c r="F5983" t="n">
        <v>0</v>
      </c>
      <c r="G5983" t="n">
        <v>1</v>
      </c>
      <c r="H5983" t="n">
        <v>1</v>
      </c>
      <c r="I5983" t="n">
        <v>1</v>
      </c>
      <c r="J5983">
        <f>(1-C5983)*Assumptions!$B$41+(1-D5983)*Assumptions!$B$33+(1-E5983)*Assumptions!$B$32+(1-F5983)*Assumptions!$B$31+(1-G5983)*Assumptions!$B$30+(1-H5983)*Assumptions!$B$29+(1-I5983)*Assumptions!$B$28</f>
        <v/>
      </c>
      <c r="K5983">
        <f>C5983*$J$682+D5983*$F$682+E5983*$G$682+F5983*Assumptions!$B$14+G5983*Assumptions!$B$13+H5983*Assumptions!$B$12+I5983*Assumptions!$B$11+$O$682+$S$682+Assumptions!$B$9</f>
        <v/>
      </c>
      <c r="L5983">
        <f>B5983-J5983</f>
        <v/>
      </c>
      <c r="M5983">
        <f>IF(K5983&gt;0,IF(L5983/K5983&gt;=Assumptions!$B$37,1,0),0)</f>
        <v/>
      </c>
      <c r="N5983">
        <f>K5983+M5983*Assumptions!$B$153</f>
        <v/>
      </c>
      <c r="O5983">
        <f>L5983+M5983*Assumptions!$B$153*Assumptions!$B$37</f>
        <v/>
      </c>
      <c r="P5983">
        <f>IF(N5983&gt;0,O5983/N5983,0)</f>
        <v/>
      </c>
      <c r="Q5983">
        <f>IF(C5983=1,P5983*$J$682,Assumptions!$B$41)</f>
        <v/>
      </c>
      <c r="R5983">
        <f>IF(D5983=1,P5983*$F$682,Assumptions!$B$33)</f>
        <v/>
      </c>
      <c r="S5983">
        <f>IF(E5983=1,P5983*$G$682,Assumptions!$B$32)</f>
        <v/>
      </c>
      <c r="T5983">
        <f>IF(F5983=1,P5983*Assumptions!$B$14,Assumptions!$B$31)</f>
        <v/>
      </c>
      <c r="U5983">
        <f>IF(G5983=1,P5983*Assumptions!$B$13,Assumptions!$B$30)</f>
        <v/>
      </c>
      <c r="V5983">
        <f>IF(H5983=1,P5983*Assumptions!$B$12,Assumptions!$B$29)</f>
        <v/>
      </c>
      <c r="W5983">
        <f>IF(I5983=1,P5983*Assumptions!$B$11,Assumptions!$B$28)</f>
        <v/>
      </c>
      <c r="X5983">
        <f>P5983*($O$682+$S$682)</f>
        <v/>
      </c>
      <c r="Y5983">
        <f>P5983*Assumptions!$B$9</f>
        <v/>
      </c>
      <c r="Z5983">
        <f>IF(M5983=1,(P5983-Assumptions!$B$37)*Assumptions!$B$153,0)</f>
        <v/>
      </c>
      <c r="AA5983">
        <f>Q5983+R5983+S5983+T5983+U5983+V5983+W5983+X5983+Y5983+Z5983</f>
        <v/>
      </c>
      <c r="AB5983" t="n">
        <v>87</v>
      </c>
      <c r="AC5983" t="n">
        <v>23</v>
      </c>
      <c r="AD5983" t="n">
        <v>119</v>
      </c>
      <c r="AE5983" t="n">
        <v>71</v>
      </c>
      <c r="AF5983" t="n">
        <v>95</v>
      </c>
      <c r="AG5983" t="n">
        <v>83</v>
      </c>
      <c r="AH5983" t="n">
        <v>85</v>
      </c>
      <c r="AI5983" t="n">
        <v>86</v>
      </c>
      <c r="AJ5983">
        <f>INDEX($Q$5896:$Q$6023,AC5983+1)</f>
        <v/>
      </c>
      <c r="AK5983">
        <f>INDEX($R$5896:$R$6023,AD5983+1)</f>
        <v/>
      </c>
      <c r="AL5983">
        <f>INDEX($S$5896:$S$6023,AE5983+1)</f>
        <v/>
      </c>
      <c r="AM5983">
        <f>INDEX($T$5896:$T$6023,AF5983+1)</f>
        <v/>
      </c>
      <c r="AN5983">
        <f>INDEX($U$5896:$U$6023,AG5983+1)</f>
        <v/>
      </c>
      <c r="AO5983">
        <f>INDEX($V$5896:$V$6023,AH5983+1)</f>
        <v/>
      </c>
      <c r="AP5983">
        <f>INDEX($W$5896:$W$6023,AI5983+1)</f>
        <v/>
      </c>
      <c r="AQ5983">
        <f>IF(Q5983&gt;=AJ5983-0.01,1,0)</f>
        <v/>
      </c>
      <c r="AR5983">
        <f>IF(R5983&gt;=AK5983-0.01,1,0)</f>
        <v/>
      </c>
      <c r="AS5983">
        <f>IF(S5983&gt;=AL5983-0.01,1,0)</f>
        <v/>
      </c>
      <c r="AT5983">
        <f>IF(T5983&gt;=AM5983-0.01,1,0)</f>
        <v/>
      </c>
      <c r="AU5983">
        <f>IF(U5983&gt;=AN5983-0.01,1,0)</f>
        <v/>
      </c>
      <c r="AV5983">
        <f>IF(V5983&gt;=AO5983-0.01,1,0)</f>
        <v/>
      </c>
      <c r="AW5983">
        <f>IF(W5983&gt;=AP5983-0.01,1,0)</f>
        <v/>
      </c>
      <c r="AX5983">
        <f>AQ5983*AR5983*AS5983*AT5983*AU5983*AV5983*AW5983</f>
        <v/>
      </c>
    </row>
    <row r="5984">
      <c r="A5984" t="inlineStr"/>
      <c r="B5984">
        <f>Assumptions!$B$60</f>
        <v/>
      </c>
      <c r="C5984" t="n">
        <v>1</v>
      </c>
      <c r="D5984" t="n">
        <v>0</v>
      </c>
      <c r="E5984" t="n">
        <v>1</v>
      </c>
      <c r="F5984" t="n">
        <v>1</v>
      </c>
      <c r="G5984" t="n">
        <v>0</v>
      </c>
      <c r="H5984" t="n">
        <v>0</v>
      </c>
      <c r="I5984" t="n">
        <v>0</v>
      </c>
      <c r="J5984">
        <f>(1-C5984)*Assumptions!$B$41+(1-D5984)*Assumptions!$B$33+(1-E5984)*Assumptions!$B$32+(1-F5984)*Assumptions!$B$31+(1-G5984)*Assumptions!$B$30+(1-H5984)*Assumptions!$B$29+(1-I5984)*Assumptions!$B$28</f>
        <v/>
      </c>
      <c r="K5984">
        <f>C5984*$J$682+D5984*$F$682+E5984*$G$682+F5984*Assumptions!$B$14+G5984*Assumptions!$B$13+H5984*Assumptions!$B$12+I5984*Assumptions!$B$11+$O$682+$S$682+Assumptions!$B$9</f>
        <v/>
      </c>
      <c r="L5984">
        <f>B5984-J5984</f>
        <v/>
      </c>
      <c r="M5984">
        <f>IF(K5984&gt;0,IF(L5984/K5984&gt;=Assumptions!$B$37,1,0),0)</f>
        <v/>
      </c>
      <c r="N5984">
        <f>K5984+M5984*Assumptions!$B$153</f>
        <v/>
      </c>
      <c r="O5984">
        <f>L5984+M5984*Assumptions!$B$153*Assumptions!$B$37</f>
        <v/>
      </c>
      <c r="P5984">
        <f>IF(N5984&gt;0,O5984/N5984,0)</f>
        <v/>
      </c>
      <c r="Q5984">
        <f>IF(C5984=1,P5984*$J$682,Assumptions!$B$41)</f>
        <v/>
      </c>
      <c r="R5984">
        <f>IF(D5984=1,P5984*$F$682,Assumptions!$B$33)</f>
        <v/>
      </c>
      <c r="S5984">
        <f>IF(E5984=1,P5984*$G$682,Assumptions!$B$32)</f>
        <v/>
      </c>
      <c r="T5984">
        <f>IF(F5984=1,P5984*Assumptions!$B$14,Assumptions!$B$31)</f>
        <v/>
      </c>
      <c r="U5984">
        <f>IF(G5984=1,P5984*Assumptions!$B$13,Assumptions!$B$30)</f>
        <v/>
      </c>
      <c r="V5984">
        <f>IF(H5984=1,P5984*Assumptions!$B$12,Assumptions!$B$29)</f>
        <v/>
      </c>
      <c r="W5984">
        <f>IF(I5984=1,P5984*Assumptions!$B$11,Assumptions!$B$28)</f>
        <v/>
      </c>
      <c r="X5984">
        <f>P5984*($O$682+$S$682)</f>
        <v/>
      </c>
      <c r="Y5984">
        <f>P5984*Assumptions!$B$9</f>
        <v/>
      </c>
      <c r="Z5984">
        <f>IF(M5984=1,(P5984-Assumptions!$B$37)*Assumptions!$B$153,0)</f>
        <v/>
      </c>
      <c r="AA5984">
        <f>Q5984+R5984+S5984+T5984+U5984+V5984+W5984+X5984+Y5984+Z5984</f>
        <v/>
      </c>
      <c r="AB5984" t="n">
        <v>88</v>
      </c>
      <c r="AC5984" t="n">
        <v>24</v>
      </c>
      <c r="AD5984" t="n">
        <v>120</v>
      </c>
      <c r="AE5984" t="n">
        <v>72</v>
      </c>
      <c r="AF5984" t="n">
        <v>80</v>
      </c>
      <c r="AG5984" t="n">
        <v>92</v>
      </c>
      <c r="AH5984" t="n">
        <v>90</v>
      </c>
      <c r="AI5984" t="n">
        <v>89</v>
      </c>
      <c r="AJ5984">
        <f>INDEX($Q$5896:$Q$6023,AC5984+1)</f>
        <v/>
      </c>
      <c r="AK5984">
        <f>INDEX($R$5896:$R$6023,AD5984+1)</f>
        <v/>
      </c>
      <c r="AL5984">
        <f>INDEX($S$5896:$S$6023,AE5984+1)</f>
        <v/>
      </c>
      <c r="AM5984">
        <f>INDEX($T$5896:$T$6023,AF5984+1)</f>
        <v/>
      </c>
      <c r="AN5984">
        <f>INDEX($U$5896:$U$6023,AG5984+1)</f>
        <v/>
      </c>
      <c r="AO5984">
        <f>INDEX($V$5896:$V$6023,AH5984+1)</f>
        <v/>
      </c>
      <c r="AP5984">
        <f>INDEX($W$5896:$W$6023,AI5984+1)</f>
        <v/>
      </c>
      <c r="AQ5984">
        <f>IF(Q5984&gt;=AJ5984-0.01,1,0)</f>
        <v/>
      </c>
      <c r="AR5984">
        <f>IF(R5984&gt;=AK5984-0.01,1,0)</f>
        <v/>
      </c>
      <c r="AS5984">
        <f>IF(S5984&gt;=AL5984-0.01,1,0)</f>
        <v/>
      </c>
      <c r="AT5984">
        <f>IF(T5984&gt;=AM5984-0.01,1,0)</f>
        <v/>
      </c>
      <c r="AU5984">
        <f>IF(U5984&gt;=AN5984-0.01,1,0)</f>
        <v/>
      </c>
      <c r="AV5984">
        <f>IF(V5984&gt;=AO5984-0.01,1,0)</f>
        <v/>
      </c>
      <c r="AW5984">
        <f>IF(W5984&gt;=AP5984-0.01,1,0)</f>
        <v/>
      </c>
      <c r="AX5984">
        <f>AQ5984*AR5984*AS5984*AT5984*AU5984*AV5984*AW5984</f>
        <v/>
      </c>
    </row>
    <row r="5985">
      <c r="A5985" t="inlineStr"/>
      <c r="B5985">
        <f>Assumptions!$B$60</f>
        <v/>
      </c>
      <c r="C5985" t="n">
        <v>1</v>
      </c>
      <c r="D5985" t="n">
        <v>0</v>
      </c>
      <c r="E5985" t="n">
        <v>1</v>
      </c>
      <c r="F5985" t="n">
        <v>1</v>
      </c>
      <c r="G5985" t="n">
        <v>0</v>
      </c>
      <c r="H5985" t="n">
        <v>0</v>
      </c>
      <c r="I5985" t="n">
        <v>1</v>
      </c>
      <c r="J5985">
        <f>(1-C5985)*Assumptions!$B$41+(1-D5985)*Assumptions!$B$33+(1-E5985)*Assumptions!$B$32+(1-F5985)*Assumptions!$B$31+(1-G5985)*Assumptions!$B$30+(1-H5985)*Assumptions!$B$29+(1-I5985)*Assumptions!$B$28</f>
        <v/>
      </c>
      <c r="K5985">
        <f>C5985*$J$682+D5985*$F$682+E5985*$G$682+F5985*Assumptions!$B$14+G5985*Assumptions!$B$13+H5985*Assumptions!$B$12+I5985*Assumptions!$B$11+$O$682+$S$682+Assumptions!$B$9</f>
        <v/>
      </c>
      <c r="L5985">
        <f>B5985-J5985</f>
        <v/>
      </c>
      <c r="M5985">
        <f>IF(K5985&gt;0,IF(L5985/K5985&gt;=Assumptions!$B$37,1,0),0)</f>
        <v/>
      </c>
      <c r="N5985">
        <f>K5985+M5985*Assumptions!$B$153</f>
        <v/>
      </c>
      <c r="O5985">
        <f>L5985+M5985*Assumptions!$B$153*Assumptions!$B$37</f>
        <v/>
      </c>
      <c r="P5985">
        <f>IF(N5985&gt;0,O5985/N5985,0)</f>
        <v/>
      </c>
      <c r="Q5985">
        <f>IF(C5985=1,P5985*$J$682,Assumptions!$B$41)</f>
        <v/>
      </c>
      <c r="R5985">
        <f>IF(D5985=1,P5985*$F$682,Assumptions!$B$33)</f>
        <v/>
      </c>
      <c r="S5985">
        <f>IF(E5985=1,P5985*$G$682,Assumptions!$B$32)</f>
        <v/>
      </c>
      <c r="T5985">
        <f>IF(F5985=1,P5985*Assumptions!$B$14,Assumptions!$B$31)</f>
        <v/>
      </c>
      <c r="U5985">
        <f>IF(G5985=1,P5985*Assumptions!$B$13,Assumptions!$B$30)</f>
        <v/>
      </c>
      <c r="V5985">
        <f>IF(H5985=1,P5985*Assumptions!$B$12,Assumptions!$B$29)</f>
        <v/>
      </c>
      <c r="W5985">
        <f>IF(I5985=1,P5985*Assumptions!$B$11,Assumptions!$B$28)</f>
        <v/>
      </c>
      <c r="X5985">
        <f>P5985*($O$682+$S$682)</f>
        <v/>
      </c>
      <c r="Y5985">
        <f>P5985*Assumptions!$B$9</f>
        <v/>
      </c>
      <c r="Z5985">
        <f>IF(M5985=1,(P5985-Assumptions!$B$37)*Assumptions!$B$153,0)</f>
        <v/>
      </c>
      <c r="AA5985">
        <f>Q5985+R5985+S5985+T5985+U5985+V5985+W5985+X5985+Y5985+Z5985</f>
        <v/>
      </c>
      <c r="AB5985" t="n">
        <v>89</v>
      </c>
      <c r="AC5985" t="n">
        <v>25</v>
      </c>
      <c r="AD5985" t="n">
        <v>121</v>
      </c>
      <c r="AE5985" t="n">
        <v>73</v>
      </c>
      <c r="AF5985" t="n">
        <v>81</v>
      </c>
      <c r="AG5985" t="n">
        <v>93</v>
      </c>
      <c r="AH5985" t="n">
        <v>91</v>
      </c>
      <c r="AI5985" t="n">
        <v>88</v>
      </c>
      <c r="AJ5985">
        <f>INDEX($Q$5896:$Q$6023,AC5985+1)</f>
        <v/>
      </c>
      <c r="AK5985">
        <f>INDEX($R$5896:$R$6023,AD5985+1)</f>
        <v/>
      </c>
      <c r="AL5985">
        <f>INDEX($S$5896:$S$6023,AE5985+1)</f>
        <v/>
      </c>
      <c r="AM5985">
        <f>INDEX($T$5896:$T$6023,AF5985+1)</f>
        <v/>
      </c>
      <c r="AN5985">
        <f>INDEX($U$5896:$U$6023,AG5985+1)</f>
        <v/>
      </c>
      <c r="AO5985">
        <f>INDEX($V$5896:$V$6023,AH5985+1)</f>
        <v/>
      </c>
      <c r="AP5985">
        <f>INDEX($W$5896:$W$6023,AI5985+1)</f>
        <v/>
      </c>
      <c r="AQ5985">
        <f>IF(Q5985&gt;=AJ5985-0.01,1,0)</f>
        <v/>
      </c>
      <c r="AR5985">
        <f>IF(R5985&gt;=AK5985-0.01,1,0)</f>
        <v/>
      </c>
      <c r="AS5985">
        <f>IF(S5985&gt;=AL5985-0.01,1,0)</f>
        <v/>
      </c>
      <c r="AT5985">
        <f>IF(T5985&gt;=AM5985-0.01,1,0)</f>
        <v/>
      </c>
      <c r="AU5985">
        <f>IF(U5985&gt;=AN5985-0.01,1,0)</f>
        <v/>
      </c>
      <c r="AV5985">
        <f>IF(V5985&gt;=AO5985-0.01,1,0)</f>
        <v/>
      </c>
      <c r="AW5985">
        <f>IF(W5985&gt;=AP5985-0.01,1,0)</f>
        <v/>
      </c>
      <c r="AX5985">
        <f>AQ5985*AR5985*AS5985*AT5985*AU5985*AV5985*AW5985</f>
        <v/>
      </c>
    </row>
    <row r="5986">
      <c r="A5986" t="inlineStr"/>
      <c r="B5986">
        <f>Assumptions!$B$60</f>
        <v/>
      </c>
      <c r="C5986" t="n">
        <v>1</v>
      </c>
      <c r="D5986" t="n">
        <v>0</v>
      </c>
      <c r="E5986" t="n">
        <v>1</v>
      </c>
      <c r="F5986" t="n">
        <v>1</v>
      </c>
      <c r="G5986" t="n">
        <v>0</v>
      </c>
      <c r="H5986" t="n">
        <v>1</v>
      </c>
      <c r="I5986" t="n">
        <v>0</v>
      </c>
      <c r="J5986">
        <f>(1-C5986)*Assumptions!$B$41+(1-D5986)*Assumptions!$B$33+(1-E5986)*Assumptions!$B$32+(1-F5986)*Assumptions!$B$31+(1-G5986)*Assumptions!$B$30+(1-H5986)*Assumptions!$B$29+(1-I5986)*Assumptions!$B$28</f>
        <v/>
      </c>
      <c r="K5986">
        <f>C5986*$J$682+D5986*$F$682+E5986*$G$682+F5986*Assumptions!$B$14+G5986*Assumptions!$B$13+H5986*Assumptions!$B$12+I5986*Assumptions!$B$11+$O$682+$S$682+Assumptions!$B$9</f>
        <v/>
      </c>
      <c r="L5986">
        <f>B5986-J5986</f>
        <v/>
      </c>
      <c r="M5986">
        <f>IF(K5986&gt;0,IF(L5986/K5986&gt;=Assumptions!$B$37,1,0),0)</f>
        <v/>
      </c>
      <c r="N5986">
        <f>K5986+M5986*Assumptions!$B$153</f>
        <v/>
      </c>
      <c r="O5986">
        <f>L5986+M5986*Assumptions!$B$153*Assumptions!$B$37</f>
        <v/>
      </c>
      <c r="P5986">
        <f>IF(N5986&gt;0,O5986/N5986,0)</f>
        <v/>
      </c>
      <c r="Q5986">
        <f>IF(C5986=1,P5986*$J$682,Assumptions!$B$41)</f>
        <v/>
      </c>
      <c r="R5986">
        <f>IF(D5986=1,P5986*$F$682,Assumptions!$B$33)</f>
        <v/>
      </c>
      <c r="S5986">
        <f>IF(E5986=1,P5986*$G$682,Assumptions!$B$32)</f>
        <v/>
      </c>
      <c r="T5986">
        <f>IF(F5986=1,P5986*Assumptions!$B$14,Assumptions!$B$31)</f>
        <v/>
      </c>
      <c r="U5986">
        <f>IF(G5986=1,P5986*Assumptions!$B$13,Assumptions!$B$30)</f>
        <v/>
      </c>
      <c r="V5986">
        <f>IF(H5986=1,P5986*Assumptions!$B$12,Assumptions!$B$29)</f>
        <v/>
      </c>
      <c r="W5986">
        <f>IF(I5986=1,P5986*Assumptions!$B$11,Assumptions!$B$28)</f>
        <v/>
      </c>
      <c r="X5986">
        <f>P5986*($O$682+$S$682)</f>
        <v/>
      </c>
      <c r="Y5986">
        <f>P5986*Assumptions!$B$9</f>
        <v/>
      </c>
      <c r="Z5986">
        <f>IF(M5986=1,(P5986-Assumptions!$B$37)*Assumptions!$B$153,0)</f>
        <v/>
      </c>
      <c r="AA5986">
        <f>Q5986+R5986+S5986+T5986+U5986+V5986+W5986+X5986+Y5986+Z5986</f>
        <v/>
      </c>
      <c r="AB5986" t="n">
        <v>90</v>
      </c>
      <c r="AC5986" t="n">
        <v>26</v>
      </c>
      <c r="AD5986" t="n">
        <v>122</v>
      </c>
      <c r="AE5986" t="n">
        <v>74</v>
      </c>
      <c r="AF5986" t="n">
        <v>82</v>
      </c>
      <c r="AG5986" t="n">
        <v>94</v>
      </c>
      <c r="AH5986" t="n">
        <v>88</v>
      </c>
      <c r="AI5986" t="n">
        <v>91</v>
      </c>
      <c r="AJ5986">
        <f>INDEX($Q$5896:$Q$6023,AC5986+1)</f>
        <v/>
      </c>
      <c r="AK5986">
        <f>INDEX($R$5896:$R$6023,AD5986+1)</f>
        <v/>
      </c>
      <c r="AL5986">
        <f>INDEX($S$5896:$S$6023,AE5986+1)</f>
        <v/>
      </c>
      <c r="AM5986">
        <f>INDEX($T$5896:$T$6023,AF5986+1)</f>
        <v/>
      </c>
      <c r="AN5986">
        <f>INDEX($U$5896:$U$6023,AG5986+1)</f>
        <v/>
      </c>
      <c r="AO5986">
        <f>INDEX($V$5896:$V$6023,AH5986+1)</f>
        <v/>
      </c>
      <c r="AP5986">
        <f>INDEX($W$5896:$W$6023,AI5986+1)</f>
        <v/>
      </c>
      <c r="AQ5986">
        <f>IF(Q5986&gt;=AJ5986-0.01,1,0)</f>
        <v/>
      </c>
      <c r="AR5986">
        <f>IF(R5986&gt;=AK5986-0.01,1,0)</f>
        <v/>
      </c>
      <c r="AS5986">
        <f>IF(S5986&gt;=AL5986-0.01,1,0)</f>
        <v/>
      </c>
      <c r="AT5986">
        <f>IF(T5986&gt;=AM5986-0.01,1,0)</f>
        <v/>
      </c>
      <c r="AU5986">
        <f>IF(U5986&gt;=AN5986-0.01,1,0)</f>
        <v/>
      </c>
      <c r="AV5986">
        <f>IF(V5986&gt;=AO5986-0.01,1,0)</f>
        <v/>
      </c>
      <c r="AW5986">
        <f>IF(W5986&gt;=AP5986-0.01,1,0)</f>
        <v/>
      </c>
      <c r="AX5986">
        <f>AQ5986*AR5986*AS5986*AT5986*AU5986*AV5986*AW5986</f>
        <v/>
      </c>
    </row>
    <row r="5987">
      <c r="A5987" t="inlineStr"/>
      <c r="B5987">
        <f>Assumptions!$B$60</f>
        <v/>
      </c>
      <c r="C5987" t="n">
        <v>1</v>
      </c>
      <c r="D5987" t="n">
        <v>0</v>
      </c>
      <c r="E5987" t="n">
        <v>1</v>
      </c>
      <c r="F5987" t="n">
        <v>1</v>
      </c>
      <c r="G5987" t="n">
        <v>0</v>
      </c>
      <c r="H5987" t="n">
        <v>1</v>
      </c>
      <c r="I5987" t="n">
        <v>1</v>
      </c>
      <c r="J5987">
        <f>(1-C5987)*Assumptions!$B$41+(1-D5987)*Assumptions!$B$33+(1-E5987)*Assumptions!$B$32+(1-F5987)*Assumptions!$B$31+(1-G5987)*Assumptions!$B$30+(1-H5987)*Assumptions!$B$29+(1-I5987)*Assumptions!$B$28</f>
        <v/>
      </c>
      <c r="K5987">
        <f>C5987*$J$682+D5987*$F$682+E5987*$G$682+F5987*Assumptions!$B$14+G5987*Assumptions!$B$13+H5987*Assumptions!$B$12+I5987*Assumptions!$B$11+$O$682+$S$682+Assumptions!$B$9</f>
        <v/>
      </c>
      <c r="L5987">
        <f>B5987-J5987</f>
        <v/>
      </c>
      <c r="M5987">
        <f>IF(K5987&gt;0,IF(L5987/K5987&gt;=Assumptions!$B$37,1,0),0)</f>
        <v/>
      </c>
      <c r="N5987">
        <f>K5987+M5987*Assumptions!$B$153</f>
        <v/>
      </c>
      <c r="O5987">
        <f>L5987+M5987*Assumptions!$B$153*Assumptions!$B$37</f>
        <v/>
      </c>
      <c r="P5987">
        <f>IF(N5987&gt;0,O5987/N5987,0)</f>
        <v/>
      </c>
      <c r="Q5987">
        <f>IF(C5987=1,P5987*$J$682,Assumptions!$B$41)</f>
        <v/>
      </c>
      <c r="R5987">
        <f>IF(D5987=1,P5987*$F$682,Assumptions!$B$33)</f>
        <v/>
      </c>
      <c r="S5987">
        <f>IF(E5987=1,P5987*$G$682,Assumptions!$B$32)</f>
        <v/>
      </c>
      <c r="T5987">
        <f>IF(F5987=1,P5987*Assumptions!$B$14,Assumptions!$B$31)</f>
        <v/>
      </c>
      <c r="U5987">
        <f>IF(G5987=1,P5987*Assumptions!$B$13,Assumptions!$B$30)</f>
        <v/>
      </c>
      <c r="V5987">
        <f>IF(H5987=1,P5987*Assumptions!$B$12,Assumptions!$B$29)</f>
        <v/>
      </c>
      <c r="W5987">
        <f>IF(I5987=1,P5987*Assumptions!$B$11,Assumptions!$B$28)</f>
        <v/>
      </c>
      <c r="X5987">
        <f>P5987*($O$682+$S$682)</f>
        <v/>
      </c>
      <c r="Y5987">
        <f>P5987*Assumptions!$B$9</f>
        <v/>
      </c>
      <c r="Z5987">
        <f>IF(M5987=1,(P5987-Assumptions!$B$37)*Assumptions!$B$153,0)</f>
        <v/>
      </c>
      <c r="AA5987">
        <f>Q5987+R5987+S5987+T5987+U5987+V5987+W5987+X5987+Y5987+Z5987</f>
        <v/>
      </c>
      <c r="AB5987" t="n">
        <v>91</v>
      </c>
      <c r="AC5987" t="n">
        <v>27</v>
      </c>
      <c r="AD5987" t="n">
        <v>123</v>
      </c>
      <c r="AE5987" t="n">
        <v>75</v>
      </c>
      <c r="AF5987" t="n">
        <v>83</v>
      </c>
      <c r="AG5987" t="n">
        <v>95</v>
      </c>
      <c r="AH5987" t="n">
        <v>89</v>
      </c>
      <c r="AI5987" t="n">
        <v>90</v>
      </c>
      <c r="AJ5987">
        <f>INDEX($Q$5896:$Q$6023,AC5987+1)</f>
        <v/>
      </c>
      <c r="AK5987">
        <f>INDEX($R$5896:$R$6023,AD5987+1)</f>
        <v/>
      </c>
      <c r="AL5987">
        <f>INDEX($S$5896:$S$6023,AE5987+1)</f>
        <v/>
      </c>
      <c r="AM5987">
        <f>INDEX($T$5896:$T$6023,AF5987+1)</f>
        <v/>
      </c>
      <c r="AN5987">
        <f>INDEX($U$5896:$U$6023,AG5987+1)</f>
        <v/>
      </c>
      <c r="AO5987">
        <f>INDEX($V$5896:$V$6023,AH5987+1)</f>
        <v/>
      </c>
      <c r="AP5987">
        <f>INDEX($W$5896:$W$6023,AI5987+1)</f>
        <v/>
      </c>
      <c r="AQ5987">
        <f>IF(Q5987&gt;=AJ5987-0.01,1,0)</f>
        <v/>
      </c>
      <c r="AR5987">
        <f>IF(R5987&gt;=AK5987-0.01,1,0)</f>
        <v/>
      </c>
      <c r="AS5987">
        <f>IF(S5987&gt;=AL5987-0.01,1,0)</f>
        <v/>
      </c>
      <c r="AT5987">
        <f>IF(T5987&gt;=AM5987-0.01,1,0)</f>
        <v/>
      </c>
      <c r="AU5987">
        <f>IF(U5987&gt;=AN5987-0.01,1,0)</f>
        <v/>
      </c>
      <c r="AV5987">
        <f>IF(V5987&gt;=AO5987-0.01,1,0)</f>
        <v/>
      </c>
      <c r="AW5987">
        <f>IF(W5987&gt;=AP5987-0.01,1,0)</f>
        <v/>
      </c>
      <c r="AX5987">
        <f>AQ5987*AR5987*AS5987*AT5987*AU5987*AV5987*AW5987</f>
        <v/>
      </c>
    </row>
    <row r="5988">
      <c r="A5988" t="inlineStr"/>
      <c r="B5988">
        <f>Assumptions!$B$60</f>
        <v/>
      </c>
      <c r="C5988" t="n">
        <v>1</v>
      </c>
      <c r="D5988" t="n">
        <v>0</v>
      </c>
      <c r="E5988" t="n">
        <v>1</v>
      </c>
      <c r="F5988" t="n">
        <v>1</v>
      </c>
      <c r="G5988" t="n">
        <v>1</v>
      </c>
      <c r="H5988" t="n">
        <v>0</v>
      </c>
      <c r="I5988" t="n">
        <v>0</v>
      </c>
      <c r="J5988">
        <f>(1-C5988)*Assumptions!$B$41+(1-D5988)*Assumptions!$B$33+(1-E5988)*Assumptions!$B$32+(1-F5988)*Assumptions!$B$31+(1-G5988)*Assumptions!$B$30+(1-H5988)*Assumptions!$B$29+(1-I5988)*Assumptions!$B$28</f>
        <v/>
      </c>
      <c r="K5988">
        <f>C5988*$J$682+D5988*$F$682+E5988*$G$682+F5988*Assumptions!$B$14+G5988*Assumptions!$B$13+H5988*Assumptions!$B$12+I5988*Assumptions!$B$11+$O$682+$S$682+Assumptions!$B$9</f>
        <v/>
      </c>
      <c r="L5988">
        <f>B5988-J5988</f>
        <v/>
      </c>
      <c r="M5988">
        <f>IF(K5988&gt;0,IF(L5988/K5988&gt;=Assumptions!$B$37,1,0),0)</f>
        <v/>
      </c>
      <c r="N5988">
        <f>K5988+M5988*Assumptions!$B$153</f>
        <v/>
      </c>
      <c r="O5988">
        <f>L5988+M5988*Assumptions!$B$153*Assumptions!$B$37</f>
        <v/>
      </c>
      <c r="P5988">
        <f>IF(N5988&gt;0,O5988/N5988,0)</f>
        <v/>
      </c>
      <c r="Q5988">
        <f>IF(C5988=1,P5988*$J$682,Assumptions!$B$41)</f>
        <v/>
      </c>
      <c r="R5988">
        <f>IF(D5988=1,P5988*$F$682,Assumptions!$B$33)</f>
        <v/>
      </c>
      <c r="S5988">
        <f>IF(E5988=1,P5988*$G$682,Assumptions!$B$32)</f>
        <v/>
      </c>
      <c r="T5988">
        <f>IF(F5988=1,P5988*Assumptions!$B$14,Assumptions!$B$31)</f>
        <v/>
      </c>
      <c r="U5988">
        <f>IF(G5988=1,P5988*Assumptions!$B$13,Assumptions!$B$30)</f>
        <v/>
      </c>
      <c r="V5988">
        <f>IF(H5988=1,P5988*Assumptions!$B$12,Assumptions!$B$29)</f>
        <v/>
      </c>
      <c r="W5988">
        <f>IF(I5988=1,P5988*Assumptions!$B$11,Assumptions!$B$28)</f>
        <v/>
      </c>
      <c r="X5988">
        <f>P5988*($O$682+$S$682)</f>
        <v/>
      </c>
      <c r="Y5988">
        <f>P5988*Assumptions!$B$9</f>
        <v/>
      </c>
      <c r="Z5988">
        <f>IF(M5988=1,(P5988-Assumptions!$B$37)*Assumptions!$B$153,0)</f>
        <v/>
      </c>
      <c r="AA5988">
        <f>Q5988+R5988+S5988+T5988+U5988+V5988+W5988+X5988+Y5988+Z5988</f>
        <v/>
      </c>
      <c r="AB5988" t="n">
        <v>92</v>
      </c>
      <c r="AC5988" t="n">
        <v>28</v>
      </c>
      <c r="AD5988" t="n">
        <v>124</v>
      </c>
      <c r="AE5988" t="n">
        <v>76</v>
      </c>
      <c r="AF5988" t="n">
        <v>84</v>
      </c>
      <c r="AG5988" t="n">
        <v>88</v>
      </c>
      <c r="AH5988" t="n">
        <v>94</v>
      </c>
      <c r="AI5988" t="n">
        <v>93</v>
      </c>
      <c r="AJ5988">
        <f>INDEX($Q$5896:$Q$6023,AC5988+1)</f>
        <v/>
      </c>
      <c r="AK5988">
        <f>INDEX($R$5896:$R$6023,AD5988+1)</f>
        <v/>
      </c>
      <c r="AL5988">
        <f>INDEX($S$5896:$S$6023,AE5988+1)</f>
        <v/>
      </c>
      <c r="AM5988">
        <f>INDEX($T$5896:$T$6023,AF5988+1)</f>
        <v/>
      </c>
      <c r="AN5988">
        <f>INDEX($U$5896:$U$6023,AG5988+1)</f>
        <v/>
      </c>
      <c r="AO5988">
        <f>INDEX($V$5896:$V$6023,AH5988+1)</f>
        <v/>
      </c>
      <c r="AP5988">
        <f>INDEX($W$5896:$W$6023,AI5988+1)</f>
        <v/>
      </c>
      <c r="AQ5988">
        <f>IF(Q5988&gt;=AJ5988-0.01,1,0)</f>
        <v/>
      </c>
      <c r="AR5988">
        <f>IF(R5988&gt;=AK5988-0.01,1,0)</f>
        <v/>
      </c>
      <c r="AS5988">
        <f>IF(S5988&gt;=AL5988-0.01,1,0)</f>
        <v/>
      </c>
      <c r="AT5988">
        <f>IF(T5988&gt;=AM5988-0.01,1,0)</f>
        <v/>
      </c>
      <c r="AU5988">
        <f>IF(U5988&gt;=AN5988-0.01,1,0)</f>
        <v/>
      </c>
      <c r="AV5988">
        <f>IF(V5988&gt;=AO5988-0.01,1,0)</f>
        <v/>
      </c>
      <c r="AW5988">
        <f>IF(W5988&gt;=AP5988-0.01,1,0)</f>
        <v/>
      </c>
      <c r="AX5988">
        <f>AQ5988*AR5988*AS5988*AT5988*AU5988*AV5988*AW5988</f>
        <v/>
      </c>
    </row>
    <row r="5989">
      <c r="A5989" t="inlineStr"/>
      <c r="B5989">
        <f>Assumptions!$B$60</f>
        <v/>
      </c>
      <c r="C5989" t="n">
        <v>1</v>
      </c>
      <c r="D5989" t="n">
        <v>0</v>
      </c>
      <c r="E5989" t="n">
        <v>1</v>
      </c>
      <c r="F5989" t="n">
        <v>1</v>
      </c>
      <c r="G5989" t="n">
        <v>1</v>
      </c>
      <c r="H5989" t="n">
        <v>0</v>
      </c>
      <c r="I5989" t="n">
        <v>1</v>
      </c>
      <c r="J5989">
        <f>(1-C5989)*Assumptions!$B$41+(1-D5989)*Assumptions!$B$33+(1-E5989)*Assumptions!$B$32+(1-F5989)*Assumptions!$B$31+(1-G5989)*Assumptions!$B$30+(1-H5989)*Assumptions!$B$29+(1-I5989)*Assumptions!$B$28</f>
        <v/>
      </c>
      <c r="K5989">
        <f>C5989*$J$682+D5989*$F$682+E5989*$G$682+F5989*Assumptions!$B$14+G5989*Assumptions!$B$13+H5989*Assumptions!$B$12+I5989*Assumptions!$B$11+$O$682+$S$682+Assumptions!$B$9</f>
        <v/>
      </c>
      <c r="L5989">
        <f>B5989-J5989</f>
        <v/>
      </c>
      <c r="M5989">
        <f>IF(K5989&gt;0,IF(L5989/K5989&gt;=Assumptions!$B$37,1,0),0)</f>
        <v/>
      </c>
      <c r="N5989">
        <f>K5989+M5989*Assumptions!$B$153</f>
        <v/>
      </c>
      <c r="O5989">
        <f>L5989+M5989*Assumptions!$B$153*Assumptions!$B$37</f>
        <v/>
      </c>
      <c r="P5989">
        <f>IF(N5989&gt;0,O5989/N5989,0)</f>
        <v/>
      </c>
      <c r="Q5989">
        <f>IF(C5989=1,P5989*$J$682,Assumptions!$B$41)</f>
        <v/>
      </c>
      <c r="R5989">
        <f>IF(D5989=1,P5989*$F$682,Assumptions!$B$33)</f>
        <v/>
      </c>
      <c r="S5989">
        <f>IF(E5989=1,P5989*$G$682,Assumptions!$B$32)</f>
        <v/>
      </c>
      <c r="T5989">
        <f>IF(F5989=1,P5989*Assumptions!$B$14,Assumptions!$B$31)</f>
        <v/>
      </c>
      <c r="U5989">
        <f>IF(G5989=1,P5989*Assumptions!$B$13,Assumptions!$B$30)</f>
        <v/>
      </c>
      <c r="V5989">
        <f>IF(H5989=1,P5989*Assumptions!$B$12,Assumptions!$B$29)</f>
        <v/>
      </c>
      <c r="W5989">
        <f>IF(I5989=1,P5989*Assumptions!$B$11,Assumptions!$B$28)</f>
        <v/>
      </c>
      <c r="X5989">
        <f>P5989*($O$682+$S$682)</f>
        <v/>
      </c>
      <c r="Y5989">
        <f>P5989*Assumptions!$B$9</f>
        <v/>
      </c>
      <c r="Z5989">
        <f>IF(M5989=1,(P5989-Assumptions!$B$37)*Assumptions!$B$153,0)</f>
        <v/>
      </c>
      <c r="AA5989">
        <f>Q5989+R5989+S5989+T5989+U5989+V5989+W5989+X5989+Y5989+Z5989</f>
        <v/>
      </c>
      <c r="AB5989" t="n">
        <v>93</v>
      </c>
      <c r="AC5989" t="n">
        <v>29</v>
      </c>
      <c r="AD5989" t="n">
        <v>125</v>
      </c>
      <c r="AE5989" t="n">
        <v>77</v>
      </c>
      <c r="AF5989" t="n">
        <v>85</v>
      </c>
      <c r="AG5989" t="n">
        <v>89</v>
      </c>
      <c r="AH5989" t="n">
        <v>95</v>
      </c>
      <c r="AI5989" t="n">
        <v>92</v>
      </c>
      <c r="AJ5989">
        <f>INDEX($Q$5896:$Q$6023,AC5989+1)</f>
        <v/>
      </c>
      <c r="AK5989">
        <f>INDEX($R$5896:$R$6023,AD5989+1)</f>
        <v/>
      </c>
      <c r="AL5989">
        <f>INDEX($S$5896:$S$6023,AE5989+1)</f>
        <v/>
      </c>
      <c r="AM5989">
        <f>INDEX($T$5896:$T$6023,AF5989+1)</f>
        <v/>
      </c>
      <c r="AN5989">
        <f>INDEX($U$5896:$U$6023,AG5989+1)</f>
        <v/>
      </c>
      <c r="AO5989">
        <f>INDEX($V$5896:$V$6023,AH5989+1)</f>
        <v/>
      </c>
      <c r="AP5989">
        <f>INDEX($W$5896:$W$6023,AI5989+1)</f>
        <v/>
      </c>
      <c r="AQ5989">
        <f>IF(Q5989&gt;=AJ5989-0.01,1,0)</f>
        <v/>
      </c>
      <c r="AR5989">
        <f>IF(R5989&gt;=AK5989-0.01,1,0)</f>
        <v/>
      </c>
      <c r="AS5989">
        <f>IF(S5989&gt;=AL5989-0.01,1,0)</f>
        <v/>
      </c>
      <c r="AT5989">
        <f>IF(T5989&gt;=AM5989-0.01,1,0)</f>
        <v/>
      </c>
      <c r="AU5989">
        <f>IF(U5989&gt;=AN5989-0.01,1,0)</f>
        <v/>
      </c>
      <c r="AV5989">
        <f>IF(V5989&gt;=AO5989-0.01,1,0)</f>
        <v/>
      </c>
      <c r="AW5989">
        <f>IF(W5989&gt;=AP5989-0.01,1,0)</f>
        <v/>
      </c>
      <c r="AX5989">
        <f>AQ5989*AR5989*AS5989*AT5989*AU5989*AV5989*AW5989</f>
        <v/>
      </c>
    </row>
    <row r="5990">
      <c r="A5990" t="inlineStr"/>
      <c r="B5990">
        <f>Assumptions!$B$60</f>
        <v/>
      </c>
      <c r="C5990" t="n">
        <v>1</v>
      </c>
      <c r="D5990" t="n">
        <v>0</v>
      </c>
      <c r="E5990" t="n">
        <v>1</v>
      </c>
      <c r="F5990" t="n">
        <v>1</v>
      </c>
      <c r="G5990" t="n">
        <v>1</v>
      </c>
      <c r="H5990" t="n">
        <v>1</v>
      </c>
      <c r="I5990" t="n">
        <v>0</v>
      </c>
      <c r="J5990">
        <f>(1-C5990)*Assumptions!$B$41+(1-D5990)*Assumptions!$B$33+(1-E5990)*Assumptions!$B$32+(1-F5990)*Assumptions!$B$31+(1-G5990)*Assumptions!$B$30+(1-H5990)*Assumptions!$B$29+(1-I5990)*Assumptions!$B$28</f>
        <v/>
      </c>
      <c r="K5990">
        <f>C5990*$J$682+D5990*$F$682+E5990*$G$682+F5990*Assumptions!$B$14+G5990*Assumptions!$B$13+H5990*Assumptions!$B$12+I5990*Assumptions!$B$11+$O$682+$S$682+Assumptions!$B$9</f>
        <v/>
      </c>
      <c r="L5990">
        <f>B5990-J5990</f>
        <v/>
      </c>
      <c r="M5990">
        <f>IF(K5990&gt;0,IF(L5990/K5990&gt;=Assumptions!$B$37,1,0),0)</f>
        <v/>
      </c>
      <c r="N5990">
        <f>K5990+M5990*Assumptions!$B$153</f>
        <v/>
      </c>
      <c r="O5990">
        <f>L5990+M5990*Assumptions!$B$153*Assumptions!$B$37</f>
        <v/>
      </c>
      <c r="P5990">
        <f>IF(N5990&gt;0,O5990/N5990,0)</f>
        <v/>
      </c>
      <c r="Q5990">
        <f>IF(C5990=1,P5990*$J$682,Assumptions!$B$41)</f>
        <v/>
      </c>
      <c r="R5990">
        <f>IF(D5990=1,P5990*$F$682,Assumptions!$B$33)</f>
        <v/>
      </c>
      <c r="S5990">
        <f>IF(E5990=1,P5990*$G$682,Assumptions!$B$32)</f>
        <v/>
      </c>
      <c r="T5990">
        <f>IF(F5990=1,P5990*Assumptions!$B$14,Assumptions!$B$31)</f>
        <v/>
      </c>
      <c r="U5990">
        <f>IF(G5990=1,P5990*Assumptions!$B$13,Assumptions!$B$30)</f>
        <v/>
      </c>
      <c r="V5990">
        <f>IF(H5990=1,P5990*Assumptions!$B$12,Assumptions!$B$29)</f>
        <v/>
      </c>
      <c r="W5990">
        <f>IF(I5990=1,P5990*Assumptions!$B$11,Assumptions!$B$28)</f>
        <v/>
      </c>
      <c r="X5990">
        <f>P5990*($O$682+$S$682)</f>
        <v/>
      </c>
      <c r="Y5990">
        <f>P5990*Assumptions!$B$9</f>
        <v/>
      </c>
      <c r="Z5990">
        <f>IF(M5990=1,(P5990-Assumptions!$B$37)*Assumptions!$B$153,0)</f>
        <v/>
      </c>
      <c r="AA5990">
        <f>Q5990+R5990+S5990+T5990+U5990+V5990+W5990+X5990+Y5990+Z5990</f>
        <v/>
      </c>
      <c r="AB5990" t="n">
        <v>94</v>
      </c>
      <c r="AC5990" t="n">
        <v>30</v>
      </c>
      <c r="AD5990" t="n">
        <v>126</v>
      </c>
      <c r="AE5990" t="n">
        <v>78</v>
      </c>
      <c r="AF5990" t="n">
        <v>86</v>
      </c>
      <c r="AG5990" t="n">
        <v>90</v>
      </c>
      <c r="AH5990" t="n">
        <v>92</v>
      </c>
      <c r="AI5990" t="n">
        <v>95</v>
      </c>
      <c r="AJ5990">
        <f>INDEX($Q$5896:$Q$6023,AC5990+1)</f>
        <v/>
      </c>
      <c r="AK5990">
        <f>INDEX($R$5896:$R$6023,AD5990+1)</f>
        <v/>
      </c>
      <c r="AL5990">
        <f>INDEX($S$5896:$S$6023,AE5990+1)</f>
        <v/>
      </c>
      <c r="AM5990">
        <f>INDEX($T$5896:$T$6023,AF5990+1)</f>
        <v/>
      </c>
      <c r="AN5990">
        <f>INDEX($U$5896:$U$6023,AG5990+1)</f>
        <v/>
      </c>
      <c r="AO5990">
        <f>INDEX($V$5896:$V$6023,AH5990+1)</f>
        <v/>
      </c>
      <c r="AP5990">
        <f>INDEX($W$5896:$W$6023,AI5990+1)</f>
        <v/>
      </c>
      <c r="AQ5990">
        <f>IF(Q5990&gt;=AJ5990-0.01,1,0)</f>
        <v/>
      </c>
      <c r="AR5990">
        <f>IF(R5990&gt;=AK5990-0.01,1,0)</f>
        <v/>
      </c>
      <c r="AS5990">
        <f>IF(S5990&gt;=AL5990-0.01,1,0)</f>
        <v/>
      </c>
      <c r="AT5990">
        <f>IF(T5990&gt;=AM5990-0.01,1,0)</f>
        <v/>
      </c>
      <c r="AU5990">
        <f>IF(U5990&gt;=AN5990-0.01,1,0)</f>
        <v/>
      </c>
      <c r="AV5990">
        <f>IF(V5990&gt;=AO5990-0.01,1,0)</f>
        <v/>
      </c>
      <c r="AW5990">
        <f>IF(W5990&gt;=AP5990-0.01,1,0)</f>
        <v/>
      </c>
      <c r="AX5990">
        <f>AQ5990*AR5990*AS5990*AT5990*AU5990*AV5990*AW5990</f>
        <v/>
      </c>
    </row>
    <row r="5991">
      <c r="A5991" t="inlineStr"/>
      <c r="B5991">
        <f>Assumptions!$B$60</f>
        <v/>
      </c>
      <c r="C5991" t="n">
        <v>1</v>
      </c>
      <c r="D5991" t="n">
        <v>0</v>
      </c>
      <c r="E5991" t="n">
        <v>1</v>
      </c>
      <c r="F5991" t="n">
        <v>1</v>
      </c>
      <c r="G5991" t="n">
        <v>1</v>
      </c>
      <c r="H5991" t="n">
        <v>1</v>
      </c>
      <c r="I5991" t="n">
        <v>1</v>
      </c>
      <c r="J5991">
        <f>(1-C5991)*Assumptions!$B$41+(1-D5991)*Assumptions!$B$33+(1-E5991)*Assumptions!$B$32+(1-F5991)*Assumptions!$B$31+(1-G5991)*Assumptions!$B$30+(1-H5991)*Assumptions!$B$29+(1-I5991)*Assumptions!$B$28</f>
        <v/>
      </c>
      <c r="K5991">
        <f>C5991*$J$682+D5991*$F$682+E5991*$G$682+F5991*Assumptions!$B$14+G5991*Assumptions!$B$13+H5991*Assumptions!$B$12+I5991*Assumptions!$B$11+$O$682+$S$682+Assumptions!$B$9</f>
        <v/>
      </c>
      <c r="L5991">
        <f>B5991-J5991</f>
        <v/>
      </c>
      <c r="M5991">
        <f>IF(K5991&gt;0,IF(L5991/K5991&gt;=Assumptions!$B$37,1,0),0)</f>
        <v/>
      </c>
      <c r="N5991">
        <f>K5991+M5991*Assumptions!$B$153</f>
        <v/>
      </c>
      <c r="O5991">
        <f>L5991+M5991*Assumptions!$B$153*Assumptions!$B$37</f>
        <v/>
      </c>
      <c r="P5991">
        <f>IF(N5991&gt;0,O5991/N5991,0)</f>
        <v/>
      </c>
      <c r="Q5991">
        <f>IF(C5991=1,P5991*$J$682,Assumptions!$B$41)</f>
        <v/>
      </c>
      <c r="R5991">
        <f>IF(D5991=1,P5991*$F$682,Assumptions!$B$33)</f>
        <v/>
      </c>
      <c r="S5991">
        <f>IF(E5991=1,P5991*$G$682,Assumptions!$B$32)</f>
        <v/>
      </c>
      <c r="T5991">
        <f>IF(F5991=1,P5991*Assumptions!$B$14,Assumptions!$B$31)</f>
        <v/>
      </c>
      <c r="U5991">
        <f>IF(G5991=1,P5991*Assumptions!$B$13,Assumptions!$B$30)</f>
        <v/>
      </c>
      <c r="V5991">
        <f>IF(H5991=1,P5991*Assumptions!$B$12,Assumptions!$B$29)</f>
        <v/>
      </c>
      <c r="W5991">
        <f>IF(I5991=1,P5991*Assumptions!$B$11,Assumptions!$B$28)</f>
        <v/>
      </c>
      <c r="X5991">
        <f>P5991*($O$682+$S$682)</f>
        <v/>
      </c>
      <c r="Y5991">
        <f>P5991*Assumptions!$B$9</f>
        <v/>
      </c>
      <c r="Z5991">
        <f>IF(M5991=1,(P5991-Assumptions!$B$37)*Assumptions!$B$153,0)</f>
        <v/>
      </c>
      <c r="AA5991">
        <f>Q5991+R5991+S5991+T5991+U5991+V5991+W5991+X5991+Y5991+Z5991</f>
        <v/>
      </c>
      <c r="AB5991" t="n">
        <v>95</v>
      </c>
      <c r="AC5991" t="n">
        <v>31</v>
      </c>
      <c r="AD5991" t="n">
        <v>127</v>
      </c>
      <c r="AE5991" t="n">
        <v>79</v>
      </c>
      <c r="AF5991" t="n">
        <v>87</v>
      </c>
      <c r="AG5991" t="n">
        <v>91</v>
      </c>
      <c r="AH5991" t="n">
        <v>93</v>
      </c>
      <c r="AI5991" t="n">
        <v>94</v>
      </c>
      <c r="AJ5991">
        <f>INDEX($Q$5896:$Q$6023,AC5991+1)</f>
        <v/>
      </c>
      <c r="AK5991">
        <f>INDEX($R$5896:$R$6023,AD5991+1)</f>
        <v/>
      </c>
      <c r="AL5991">
        <f>INDEX($S$5896:$S$6023,AE5991+1)</f>
        <v/>
      </c>
      <c r="AM5991">
        <f>INDEX($T$5896:$T$6023,AF5991+1)</f>
        <v/>
      </c>
      <c r="AN5991">
        <f>INDEX($U$5896:$U$6023,AG5991+1)</f>
        <v/>
      </c>
      <c r="AO5991">
        <f>INDEX($V$5896:$V$6023,AH5991+1)</f>
        <v/>
      </c>
      <c r="AP5991">
        <f>INDEX($W$5896:$W$6023,AI5991+1)</f>
        <v/>
      </c>
      <c r="AQ5991">
        <f>IF(Q5991&gt;=AJ5991-0.01,1,0)</f>
        <v/>
      </c>
      <c r="AR5991">
        <f>IF(R5991&gt;=AK5991-0.01,1,0)</f>
        <v/>
      </c>
      <c r="AS5991">
        <f>IF(S5991&gt;=AL5991-0.01,1,0)</f>
        <v/>
      </c>
      <c r="AT5991">
        <f>IF(T5991&gt;=AM5991-0.01,1,0)</f>
        <v/>
      </c>
      <c r="AU5991">
        <f>IF(U5991&gt;=AN5991-0.01,1,0)</f>
        <v/>
      </c>
      <c r="AV5991">
        <f>IF(V5991&gt;=AO5991-0.01,1,0)</f>
        <v/>
      </c>
      <c r="AW5991">
        <f>IF(W5991&gt;=AP5991-0.01,1,0)</f>
        <v/>
      </c>
      <c r="AX5991">
        <f>AQ5991*AR5991*AS5991*AT5991*AU5991*AV5991*AW5991</f>
        <v/>
      </c>
    </row>
    <row r="5992">
      <c r="A5992" t="inlineStr"/>
      <c r="B5992">
        <f>Assumptions!$B$60</f>
        <v/>
      </c>
      <c r="C5992" t="n">
        <v>1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>
        <f>(1-C5992)*Assumptions!$B$41+(1-D5992)*Assumptions!$B$33+(1-E5992)*Assumptions!$B$32+(1-F5992)*Assumptions!$B$31+(1-G5992)*Assumptions!$B$30+(1-H5992)*Assumptions!$B$29+(1-I5992)*Assumptions!$B$28</f>
        <v/>
      </c>
      <c r="K5992">
        <f>C5992*$J$682+D5992*$F$682+E5992*$G$682+F5992*Assumptions!$B$14+G5992*Assumptions!$B$13+H5992*Assumptions!$B$12+I5992*Assumptions!$B$11+$O$682+$S$682+Assumptions!$B$9</f>
        <v/>
      </c>
      <c r="L5992">
        <f>B5992-J5992</f>
        <v/>
      </c>
      <c r="M5992">
        <f>IF(K5992&gt;0,IF(L5992/K5992&gt;=Assumptions!$B$37,1,0),0)</f>
        <v/>
      </c>
      <c r="N5992">
        <f>K5992+M5992*Assumptions!$B$153</f>
        <v/>
      </c>
      <c r="O5992">
        <f>L5992+M5992*Assumptions!$B$153*Assumptions!$B$37</f>
        <v/>
      </c>
      <c r="P5992">
        <f>IF(N5992&gt;0,O5992/N5992,0)</f>
        <v/>
      </c>
      <c r="Q5992">
        <f>IF(C5992=1,P5992*$J$682,Assumptions!$B$41)</f>
        <v/>
      </c>
      <c r="R5992">
        <f>IF(D5992=1,P5992*$F$682,Assumptions!$B$33)</f>
        <v/>
      </c>
      <c r="S5992">
        <f>IF(E5992=1,P5992*$G$682,Assumptions!$B$32)</f>
        <v/>
      </c>
      <c r="T5992">
        <f>IF(F5992=1,P5992*Assumptions!$B$14,Assumptions!$B$31)</f>
        <v/>
      </c>
      <c r="U5992">
        <f>IF(G5992=1,P5992*Assumptions!$B$13,Assumptions!$B$30)</f>
        <v/>
      </c>
      <c r="V5992">
        <f>IF(H5992=1,P5992*Assumptions!$B$12,Assumptions!$B$29)</f>
        <v/>
      </c>
      <c r="W5992">
        <f>IF(I5992=1,P5992*Assumptions!$B$11,Assumptions!$B$28)</f>
        <v/>
      </c>
      <c r="X5992">
        <f>P5992*($O$682+$S$682)</f>
        <v/>
      </c>
      <c r="Y5992">
        <f>P5992*Assumptions!$B$9</f>
        <v/>
      </c>
      <c r="Z5992">
        <f>IF(M5992=1,(P5992-Assumptions!$B$37)*Assumptions!$B$153,0)</f>
        <v/>
      </c>
      <c r="AA5992">
        <f>Q5992+R5992+S5992+T5992+U5992+V5992+W5992+X5992+Y5992+Z5992</f>
        <v/>
      </c>
      <c r="AB5992" t="n">
        <v>96</v>
      </c>
      <c r="AC5992" t="n">
        <v>32</v>
      </c>
      <c r="AD5992" t="n">
        <v>64</v>
      </c>
      <c r="AE5992" t="n">
        <v>112</v>
      </c>
      <c r="AF5992" t="n">
        <v>104</v>
      </c>
      <c r="AG5992" t="n">
        <v>100</v>
      </c>
      <c r="AH5992" t="n">
        <v>98</v>
      </c>
      <c r="AI5992" t="n">
        <v>97</v>
      </c>
      <c r="AJ5992">
        <f>INDEX($Q$5896:$Q$6023,AC5992+1)</f>
        <v/>
      </c>
      <c r="AK5992">
        <f>INDEX($R$5896:$R$6023,AD5992+1)</f>
        <v/>
      </c>
      <c r="AL5992">
        <f>INDEX($S$5896:$S$6023,AE5992+1)</f>
        <v/>
      </c>
      <c r="AM5992">
        <f>INDEX($T$5896:$T$6023,AF5992+1)</f>
        <v/>
      </c>
      <c r="AN5992">
        <f>INDEX($U$5896:$U$6023,AG5992+1)</f>
        <v/>
      </c>
      <c r="AO5992">
        <f>INDEX($V$5896:$V$6023,AH5992+1)</f>
        <v/>
      </c>
      <c r="AP5992">
        <f>INDEX($W$5896:$W$6023,AI5992+1)</f>
        <v/>
      </c>
      <c r="AQ5992">
        <f>IF(Q5992&gt;=AJ5992-0.01,1,0)</f>
        <v/>
      </c>
      <c r="AR5992">
        <f>IF(R5992&gt;=AK5992-0.01,1,0)</f>
        <v/>
      </c>
      <c r="AS5992">
        <f>IF(S5992&gt;=AL5992-0.01,1,0)</f>
        <v/>
      </c>
      <c r="AT5992">
        <f>IF(T5992&gt;=AM5992-0.01,1,0)</f>
        <v/>
      </c>
      <c r="AU5992">
        <f>IF(U5992&gt;=AN5992-0.01,1,0)</f>
        <v/>
      </c>
      <c r="AV5992">
        <f>IF(V5992&gt;=AO5992-0.01,1,0)</f>
        <v/>
      </c>
      <c r="AW5992">
        <f>IF(W5992&gt;=AP5992-0.01,1,0)</f>
        <v/>
      </c>
      <c r="AX5992">
        <f>AQ5992*AR5992*AS5992*AT5992*AU5992*AV5992*AW5992</f>
        <v/>
      </c>
    </row>
    <row r="5993">
      <c r="A5993" t="inlineStr"/>
      <c r="B5993">
        <f>Assumptions!$B$60</f>
        <v/>
      </c>
      <c r="C5993" t="n">
        <v>1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>
        <f>(1-C5993)*Assumptions!$B$41+(1-D5993)*Assumptions!$B$33+(1-E5993)*Assumptions!$B$32+(1-F5993)*Assumptions!$B$31+(1-G5993)*Assumptions!$B$30+(1-H5993)*Assumptions!$B$29+(1-I5993)*Assumptions!$B$28</f>
        <v/>
      </c>
      <c r="K5993">
        <f>C5993*$J$682+D5993*$F$682+E5993*$G$682+F5993*Assumptions!$B$14+G5993*Assumptions!$B$13+H5993*Assumptions!$B$12+I5993*Assumptions!$B$11+$O$682+$S$682+Assumptions!$B$9</f>
        <v/>
      </c>
      <c r="L5993">
        <f>B5993-J5993</f>
        <v/>
      </c>
      <c r="M5993">
        <f>IF(K5993&gt;0,IF(L5993/K5993&gt;=Assumptions!$B$37,1,0),0)</f>
        <v/>
      </c>
      <c r="N5993">
        <f>K5993+M5993*Assumptions!$B$153</f>
        <v/>
      </c>
      <c r="O5993">
        <f>L5993+M5993*Assumptions!$B$153*Assumptions!$B$37</f>
        <v/>
      </c>
      <c r="P5993">
        <f>IF(N5993&gt;0,O5993/N5993,0)</f>
        <v/>
      </c>
      <c r="Q5993">
        <f>IF(C5993=1,P5993*$J$682,Assumptions!$B$41)</f>
        <v/>
      </c>
      <c r="R5993">
        <f>IF(D5993=1,P5993*$F$682,Assumptions!$B$33)</f>
        <v/>
      </c>
      <c r="S5993">
        <f>IF(E5993=1,P5993*$G$682,Assumptions!$B$32)</f>
        <v/>
      </c>
      <c r="T5993">
        <f>IF(F5993=1,P5993*Assumptions!$B$14,Assumptions!$B$31)</f>
        <v/>
      </c>
      <c r="U5993">
        <f>IF(G5993=1,P5993*Assumptions!$B$13,Assumptions!$B$30)</f>
        <v/>
      </c>
      <c r="V5993">
        <f>IF(H5993=1,P5993*Assumptions!$B$12,Assumptions!$B$29)</f>
        <v/>
      </c>
      <c r="W5993">
        <f>IF(I5993=1,P5993*Assumptions!$B$11,Assumptions!$B$28)</f>
        <v/>
      </c>
      <c r="X5993">
        <f>P5993*($O$682+$S$682)</f>
        <v/>
      </c>
      <c r="Y5993">
        <f>P5993*Assumptions!$B$9</f>
        <v/>
      </c>
      <c r="Z5993">
        <f>IF(M5993=1,(P5993-Assumptions!$B$37)*Assumptions!$B$153,0)</f>
        <v/>
      </c>
      <c r="AA5993">
        <f>Q5993+R5993+S5993+T5993+U5993+V5993+W5993+X5993+Y5993+Z5993</f>
        <v/>
      </c>
      <c r="AB5993" t="n">
        <v>97</v>
      </c>
      <c r="AC5993" t="n">
        <v>33</v>
      </c>
      <c r="AD5993" t="n">
        <v>65</v>
      </c>
      <c r="AE5993" t="n">
        <v>113</v>
      </c>
      <c r="AF5993" t="n">
        <v>105</v>
      </c>
      <c r="AG5993" t="n">
        <v>101</v>
      </c>
      <c r="AH5993" t="n">
        <v>99</v>
      </c>
      <c r="AI5993" t="n">
        <v>96</v>
      </c>
      <c r="AJ5993">
        <f>INDEX($Q$5896:$Q$6023,AC5993+1)</f>
        <v/>
      </c>
      <c r="AK5993">
        <f>INDEX($R$5896:$R$6023,AD5993+1)</f>
        <v/>
      </c>
      <c r="AL5993">
        <f>INDEX($S$5896:$S$6023,AE5993+1)</f>
        <v/>
      </c>
      <c r="AM5993">
        <f>INDEX($T$5896:$T$6023,AF5993+1)</f>
        <v/>
      </c>
      <c r="AN5993">
        <f>INDEX($U$5896:$U$6023,AG5993+1)</f>
        <v/>
      </c>
      <c r="AO5993">
        <f>INDEX($V$5896:$V$6023,AH5993+1)</f>
        <v/>
      </c>
      <c r="AP5993">
        <f>INDEX($W$5896:$W$6023,AI5993+1)</f>
        <v/>
      </c>
      <c r="AQ5993">
        <f>IF(Q5993&gt;=AJ5993-0.01,1,0)</f>
        <v/>
      </c>
      <c r="AR5993">
        <f>IF(R5993&gt;=AK5993-0.01,1,0)</f>
        <v/>
      </c>
      <c r="AS5993">
        <f>IF(S5993&gt;=AL5993-0.01,1,0)</f>
        <v/>
      </c>
      <c r="AT5993">
        <f>IF(T5993&gt;=AM5993-0.01,1,0)</f>
        <v/>
      </c>
      <c r="AU5993">
        <f>IF(U5993&gt;=AN5993-0.01,1,0)</f>
        <v/>
      </c>
      <c r="AV5993">
        <f>IF(V5993&gt;=AO5993-0.01,1,0)</f>
        <v/>
      </c>
      <c r="AW5993">
        <f>IF(W5993&gt;=AP5993-0.01,1,0)</f>
        <v/>
      </c>
      <c r="AX5993">
        <f>AQ5993*AR5993*AS5993*AT5993*AU5993*AV5993*AW5993</f>
        <v/>
      </c>
    </row>
    <row r="5994">
      <c r="A5994" t="inlineStr"/>
      <c r="B5994">
        <f>Assumptions!$B$60</f>
        <v/>
      </c>
      <c r="C5994" t="n">
        <v>1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>
        <f>(1-C5994)*Assumptions!$B$41+(1-D5994)*Assumptions!$B$33+(1-E5994)*Assumptions!$B$32+(1-F5994)*Assumptions!$B$31+(1-G5994)*Assumptions!$B$30+(1-H5994)*Assumptions!$B$29+(1-I5994)*Assumptions!$B$28</f>
        <v/>
      </c>
      <c r="K5994">
        <f>C5994*$J$682+D5994*$F$682+E5994*$G$682+F5994*Assumptions!$B$14+G5994*Assumptions!$B$13+H5994*Assumptions!$B$12+I5994*Assumptions!$B$11+$O$682+$S$682+Assumptions!$B$9</f>
        <v/>
      </c>
      <c r="L5994">
        <f>B5994-J5994</f>
        <v/>
      </c>
      <c r="M5994">
        <f>IF(K5994&gt;0,IF(L5994/K5994&gt;=Assumptions!$B$37,1,0),0)</f>
        <v/>
      </c>
      <c r="N5994">
        <f>K5994+M5994*Assumptions!$B$153</f>
        <v/>
      </c>
      <c r="O5994">
        <f>L5994+M5994*Assumptions!$B$153*Assumptions!$B$37</f>
        <v/>
      </c>
      <c r="P5994">
        <f>IF(N5994&gt;0,O5994/N5994,0)</f>
        <v/>
      </c>
      <c r="Q5994">
        <f>IF(C5994=1,P5994*$J$682,Assumptions!$B$41)</f>
        <v/>
      </c>
      <c r="R5994">
        <f>IF(D5994=1,P5994*$F$682,Assumptions!$B$33)</f>
        <v/>
      </c>
      <c r="S5994">
        <f>IF(E5994=1,P5994*$G$682,Assumptions!$B$32)</f>
        <v/>
      </c>
      <c r="T5994">
        <f>IF(F5994=1,P5994*Assumptions!$B$14,Assumptions!$B$31)</f>
        <v/>
      </c>
      <c r="U5994">
        <f>IF(G5994=1,P5994*Assumptions!$B$13,Assumptions!$B$30)</f>
        <v/>
      </c>
      <c r="V5994">
        <f>IF(H5994=1,P5994*Assumptions!$B$12,Assumptions!$B$29)</f>
        <v/>
      </c>
      <c r="W5994">
        <f>IF(I5994=1,P5994*Assumptions!$B$11,Assumptions!$B$28)</f>
        <v/>
      </c>
      <c r="X5994">
        <f>P5994*($O$682+$S$682)</f>
        <v/>
      </c>
      <c r="Y5994">
        <f>P5994*Assumptions!$B$9</f>
        <v/>
      </c>
      <c r="Z5994">
        <f>IF(M5994=1,(P5994-Assumptions!$B$37)*Assumptions!$B$153,0)</f>
        <v/>
      </c>
      <c r="AA5994">
        <f>Q5994+R5994+S5994+T5994+U5994+V5994+W5994+X5994+Y5994+Z5994</f>
        <v/>
      </c>
      <c r="AB5994" t="n">
        <v>98</v>
      </c>
      <c r="AC5994" t="n">
        <v>34</v>
      </c>
      <c r="AD5994" t="n">
        <v>66</v>
      </c>
      <c r="AE5994" t="n">
        <v>114</v>
      </c>
      <c r="AF5994" t="n">
        <v>106</v>
      </c>
      <c r="AG5994" t="n">
        <v>102</v>
      </c>
      <c r="AH5994" t="n">
        <v>96</v>
      </c>
      <c r="AI5994" t="n">
        <v>99</v>
      </c>
      <c r="AJ5994">
        <f>INDEX($Q$5896:$Q$6023,AC5994+1)</f>
        <v/>
      </c>
      <c r="AK5994">
        <f>INDEX($R$5896:$R$6023,AD5994+1)</f>
        <v/>
      </c>
      <c r="AL5994">
        <f>INDEX($S$5896:$S$6023,AE5994+1)</f>
        <v/>
      </c>
      <c r="AM5994">
        <f>INDEX($T$5896:$T$6023,AF5994+1)</f>
        <v/>
      </c>
      <c r="AN5994">
        <f>INDEX($U$5896:$U$6023,AG5994+1)</f>
        <v/>
      </c>
      <c r="AO5994">
        <f>INDEX($V$5896:$V$6023,AH5994+1)</f>
        <v/>
      </c>
      <c r="AP5994">
        <f>INDEX($W$5896:$W$6023,AI5994+1)</f>
        <v/>
      </c>
      <c r="AQ5994">
        <f>IF(Q5994&gt;=AJ5994-0.01,1,0)</f>
        <v/>
      </c>
      <c r="AR5994">
        <f>IF(R5994&gt;=AK5994-0.01,1,0)</f>
        <v/>
      </c>
      <c r="AS5994">
        <f>IF(S5994&gt;=AL5994-0.01,1,0)</f>
        <v/>
      </c>
      <c r="AT5994">
        <f>IF(T5994&gt;=AM5994-0.01,1,0)</f>
        <v/>
      </c>
      <c r="AU5994">
        <f>IF(U5994&gt;=AN5994-0.01,1,0)</f>
        <v/>
      </c>
      <c r="AV5994">
        <f>IF(V5994&gt;=AO5994-0.01,1,0)</f>
        <v/>
      </c>
      <c r="AW5994">
        <f>IF(W5994&gt;=AP5994-0.01,1,0)</f>
        <v/>
      </c>
      <c r="AX5994">
        <f>AQ5994*AR5994*AS5994*AT5994*AU5994*AV5994*AW5994</f>
        <v/>
      </c>
    </row>
    <row r="5995">
      <c r="A5995" t="inlineStr"/>
      <c r="B5995">
        <f>Assumptions!$B$60</f>
        <v/>
      </c>
      <c r="C5995" t="n">
        <v>1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  <c r="I5995" t="n">
        <v>1</v>
      </c>
      <c r="J5995">
        <f>(1-C5995)*Assumptions!$B$41+(1-D5995)*Assumptions!$B$33+(1-E5995)*Assumptions!$B$32+(1-F5995)*Assumptions!$B$31+(1-G5995)*Assumptions!$B$30+(1-H5995)*Assumptions!$B$29+(1-I5995)*Assumptions!$B$28</f>
        <v/>
      </c>
      <c r="K5995">
        <f>C5995*$J$682+D5995*$F$682+E5995*$G$682+F5995*Assumptions!$B$14+G5995*Assumptions!$B$13+H5995*Assumptions!$B$12+I5995*Assumptions!$B$11+$O$682+$S$682+Assumptions!$B$9</f>
        <v/>
      </c>
      <c r="L5995">
        <f>B5995-J5995</f>
        <v/>
      </c>
      <c r="M5995">
        <f>IF(K5995&gt;0,IF(L5995/K5995&gt;=Assumptions!$B$37,1,0),0)</f>
        <v/>
      </c>
      <c r="N5995">
        <f>K5995+M5995*Assumptions!$B$153</f>
        <v/>
      </c>
      <c r="O5995">
        <f>L5995+M5995*Assumptions!$B$153*Assumptions!$B$37</f>
        <v/>
      </c>
      <c r="P5995">
        <f>IF(N5995&gt;0,O5995/N5995,0)</f>
        <v/>
      </c>
      <c r="Q5995">
        <f>IF(C5995=1,P5995*$J$682,Assumptions!$B$41)</f>
        <v/>
      </c>
      <c r="R5995">
        <f>IF(D5995=1,P5995*$F$682,Assumptions!$B$33)</f>
        <v/>
      </c>
      <c r="S5995">
        <f>IF(E5995=1,P5995*$G$682,Assumptions!$B$32)</f>
        <v/>
      </c>
      <c r="T5995">
        <f>IF(F5995=1,P5995*Assumptions!$B$14,Assumptions!$B$31)</f>
        <v/>
      </c>
      <c r="U5995">
        <f>IF(G5995=1,P5995*Assumptions!$B$13,Assumptions!$B$30)</f>
        <v/>
      </c>
      <c r="V5995">
        <f>IF(H5995=1,P5995*Assumptions!$B$12,Assumptions!$B$29)</f>
        <v/>
      </c>
      <c r="W5995">
        <f>IF(I5995=1,P5995*Assumptions!$B$11,Assumptions!$B$28)</f>
        <v/>
      </c>
      <c r="X5995">
        <f>P5995*($O$682+$S$682)</f>
        <v/>
      </c>
      <c r="Y5995">
        <f>P5995*Assumptions!$B$9</f>
        <v/>
      </c>
      <c r="Z5995">
        <f>IF(M5995=1,(P5995-Assumptions!$B$37)*Assumptions!$B$153,0)</f>
        <v/>
      </c>
      <c r="AA5995">
        <f>Q5995+R5995+S5995+T5995+U5995+V5995+W5995+X5995+Y5995+Z5995</f>
        <v/>
      </c>
      <c r="AB5995" t="n">
        <v>99</v>
      </c>
      <c r="AC5995" t="n">
        <v>35</v>
      </c>
      <c r="AD5995" t="n">
        <v>67</v>
      </c>
      <c r="AE5995" t="n">
        <v>115</v>
      </c>
      <c r="AF5995" t="n">
        <v>107</v>
      </c>
      <c r="AG5995" t="n">
        <v>103</v>
      </c>
      <c r="AH5995" t="n">
        <v>97</v>
      </c>
      <c r="AI5995" t="n">
        <v>98</v>
      </c>
      <c r="AJ5995">
        <f>INDEX($Q$5896:$Q$6023,AC5995+1)</f>
        <v/>
      </c>
      <c r="AK5995">
        <f>INDEX($R$5896:$R$6023,AD5995+1)</f>
        <v/>
      </c>
      <c r="AL5995">
        <f>INDEX($S$5896:$S$6023,AE5995+1)</f>
        <v/>
      </c>
      <c r="AM5995">
        <f>INDEX($T$5896:$T$6023,AF5995+1)</f>
        <v/>
      </c>
      <c r="AN5995">
        <f>INDEX($U$5896:$U$6023,AG5995+1)</f>
        <v/>
      </c>
      <c r="AO5995">
        <f>INDEX($V$5896:$V$6023,AH5995+1)</f>
        <v/>
      </c>
      <c r="AP5995">
        <f>INDEX($W$5896:$W$6023,AI5995+1)</f>
        <v/>
      </c>
      <c r="AQ5995">
        <f>IF(Q5995&gt;=AJ5995-0.01,1,0)</f>
        <v/>
      </c>
      <c r="AR5995">
        <f>IF(R5995&gt;=AK5995-0.01,1,0)</f>
        <v/>
      </c>
      <c r="AS5995">
        <f>IF(S5995&gt;=AL5995-0.01,1,0)</f>
        <v/>
      </c>
      <c r="AT5995">
        <f>IF(T5995&gt;=AM5995-0.01,1,0)</f>
        <v/>
      </c>
      <c r="AU5995">
        <f>IF(U5995&gt;=AN5995-0.01,1,0)</f>
        <v/>
      </c>
      <c r="AV5995">
        <f>IF(V5995&gt;=AO5995-0.01,1,0)</f>
        <v/>
      </c>
      <c r="AW5995">
        <f>IF(W5995&gt;=AP5995-0.01,1,0)</f>
        <v/>
      </c>
      <c r="AX5995">
        <f>AQ5995*AR5995*AS5995*AT5995*AU5995*AV5995*AW5995</f>
        <v/>
      </c>
    </row>
    <row r="5996">
      <c r="A5996" t="inlineStr"/>
      <c r="B5996">
        <f>Assumptions!$B$60</f>
        <v/>
      </c>
      <c r="C5996" t="n">
        <v>1</v>
      </c>
      <c r="D5996" t="n">
        <v>1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>
        <f>(1-C5996)*Assumptions!$B$41+(1-D5996)*Assumptions!$B$33+(1-E5996)*Assumptions!$B$32+(1-F5996)*Assumptions!$B$31+(1-G5996)*Assumptions!$B$30+(1-H5996)*Assumptions!$B$29+(1-I5996)*Assumptions!$B$28</f>
        <v/>
      </c>
      <c r="K5996">
        <f>C5996*$J$682+D5996*$F$682+E5996*$G$682+F5996*Assumptions!$B$14+G5996*Assumptions!$B$13+H5996*Assumptions!$B$12+I5996*Assumptions!$B$11+$O$682+$S$682+Assumptions!$B$9</f>
        <v/>
      </c>
      <c r="L5996">
        <f>B5996-J5996</f>
        <v/>
      </c>
      <c r="M5996">
        <f>IF(K5996&gt;0,IF(L5996/K5996&gt;=Assumptions!$B$37,1,0),0)</f>
        <v/>
      </c>
      <c r="N5996">
        <f>K5996+M5996*Assumptions!$B$153</f>
        <v/>
      </c>
      <c r="O5996">
        <f>L5996+M5996*Assumptions!$B$153*Assumptions!$B$37</f>
        <v/>
      </c>
      <c r="P5996">
        <f>IF(N5996&gt;0,O5996/N5996,0)</f>
        <v/>
      </c>
      <c r="Q5996">
        <f>IF(C5996=1,P5996*$J$682,Assumptions!$B$41)</f>
        <v/>
      </c>
      <c r="R5996">
        <f>IF(D5996=1,P5996*$F$682,Assumptions!$B$33)</f>
        <v/>
      </c>
      <c r="S5996">
        <f>IF(E5996=1,P5996*$G$682,Assumptions!$B$32)</f>
        <v/>
      </c>
      <c r="T5996">
        <f>IF(F5996=1,P5996*Assumptions!$B$14,Assumptions!$B$31)</f>
        <v/>
      </c>
      <c r="U5996">
        <f>IF(G5996=1,P5996*Assumptions!$B$13,Assumptions!$B$30)</f>
        <v/>
      </c>
      <c r="V5996">
        <f>IF(H5996=1,P5996*Assumptions!$B$12,Assumptions!$B$29)</f>
        <v/>
      </c>
      <c r="W5996">
        <f>IF(I5996=1,P5996*Assumptions!$B$11,Assumptions!$B$28)</f>
        <v/>
      </c>
      <c r="X5996">
        <f>P5996*($O$682+$S$682)</f>
        <v/>
      </c>
      <c r="Y5996">
        <f>P5996*Assumptions!$B$9</f>
        <v/>
      </c>
      <c r="Z5996">
        <f>IF(M5996=1,(P5996-Assumptions!$B$37)*Assumptions!$B$153,0)</f>
        <v/>
      </c>
      <c r="AA5996">
        <f>Q5996+R5996+S5996+T5996+U5996+V5996+W5996+X5996+Y5996+Z5996</f>
        <v/>
      </c>
      <c r="AB5996" t="n">
        <v>100</v>
      </c>
      <c r="AC5996" t="n">
        <v>36</v>
      </c>
      <c r="AD5996" t="n">
        <v>68</v>
      </c>
      <c r="AE5996" t="n">
        <v>116</v>
      </c>
      <c r="AF5996" t="n">
        <v>108</v>
      </c>
      <c r="AG5996" t="n">
        <v>96</v>
      </c>
      <c r="AH5996" t="n">
        <v>102</v>
      </c>
      <c r="AI5996" t="n">
        <v>101</v>
      </c>
      <c r="AJ5996">
        <f>INDEX($Q$5896:$Q$6023,AC5996+1)</f>
        <v/>
      </c>
      <c r="AK5996">
        <f>INDEX($R$5896:$R$6023,AD5996+1)</f>
        <v/>
      </c>
      <c r="AL5996">
        <f>INDEX($S$5896:$S$6023,AE5996+1)</f>
        <v/>
      </c>
      <c r="AM5996">
        <f>INDEX($T$5896:$T$6023,AF5996+1)</f>
        <v/>
      </c>
      <c r="AN5996">
        <f>INDEX($U$5896:$U$6023,AG5996+1)</f>
        <v/>
      </c>
      <c r="AO5996">
        <f>INDEX($V$5896:$V$6023,AH5996+1)</f>
        <v/>
      </c>
      <c r="AP5996">
        <f>INDEX($W$5896:$W$6023,AI5996+1)</f>
        <v/>
      </c>
      <c r="AQ5996">
        <f>IF(Q5996&gt;=AJ5996-0.01,1,0)</f>
        <v/>
      </c>
      <c r="AR5996">
        <f>IF(R5996&gt;=AK5996-0.01,1,0)</f>
        <v/>
      </c>
      <c r="AS5996">
        <f>IF(S5996&gt;=AL5996-0.01,1,0)</f>
        <v/>
      </c>
      <c r="AT5996">
        <f>IF(T5996&gt;=AM5996-0.01,1,0)</f>
        <v/>
      </c>
      <c r="AU5996">
        <f>IF(U5996&gt;=AN5996-0.01,1,0)</f>
        <v/>
      </c>
      <c r="AV5996">
        <f>IF(V5996&gt;=AO5996-0.01,1,0)</f>
        <v/>
      </c>
      <c r="AW5996">
        <f>IF(W5996&gt;=AP5996-0.01,1,0)</f>
        <v/>
      </c>
      <c r="AX5996">
        <f>AQ5996*AR5996*AS5996*AT5996*AU5996*AV5996*AW5996</f>
        <v/>
      </c>
    </row>
    <row r="5997">
      <c r="A5997" t="inlineStr"/>
      <c r="B5997">
        <f>Assumptions!$B$60</f>
        <v/>
      </c>
      <c r="C5997" t="n">
        <v>1</v>
      </c>
      <c r="D5997" t="n">
        <v>1</v>
      </c>
      <c r="E5997" t="n">
        <v>0</v>
      </c>
      <c r="F5997" t="n">
        <v>0</v>
      </c>
      <c r="G5997" t="n">
        <v>1</v>
      </c>
      <c r="H5997" t="n">
        <v>0</v>
      </c>
      <c r="I5997" t="n">
        <v>1</v>
      </c>
      <c r="J5997">
        <f>(1-C5997)*Assumptions!$B$41+(1-D5997)*Assumptions!$B$33+(1-E5997)*Assumptions!$B$32+(1-F5997)*Assumptions!$B$31+(1-G5997)*Assumptions!$B$30+(1-H5997)*Assumptions!$B$29+(1-I5997)*Assumptions!$B$28</f>
        <v/>
      </c>
      <c r="K5997">
        <f>C5997*$J$682+D5997*$F$682+E5997*$G$682+F5997*Assumptions!$B$14+G5997*Assumptions!$B$13+H5997*Assumptions!$B$12+I5997*Assumptions!$B$11+$O$682+$S$682+Assumptions!$B$9</f>
        <v/>
      </c>
      <c r="L5997">
        <f>B5997-J5997</f>
        <v/>
      </c>
      <c r="M5997">
        <f>IF(K5997&gt;0,IF(L5997/K5997&gt;=Assumptions!$B$37,1,0),0)</f>
        <v/>
      </c>
      <c r="N5997">
        <f>K5997+M5997*Assumptions!$B$153</f>
        <v/>
      </c>
      <c r="O5997">
        <f>L5997+M5997*Assumptions!$B$153*Assumptions!$B$37</f>
        <v/>
      </c>
      <c r="P5997">
        <f>IF(N5997&gt;0,O5997/N5997,0)</f>
        <v/>
      </c>
      <c r="Q5997">
        <f>IF(C5997=1,P5997*$J$682,Assumptions!$B$41)</f>
        <v/>
      </c>
      <c r="R5997">
        <f>IF(D5997=1,P5997*$F$682,Assumptions!$B$33)</f>
        <v/>
      </c>
      <c r="S5997">
        <f>IF(E5997=1,P5997*$G$682,Assumptions!$B$32)</f>
        <v/>
      </c>
      <c r="T5997">
        <f>IF(F5997=1,P5997*Assumptions!$B$14,Assumptions!$B$31)</f>
        <v/>
      </c>
      <c r="U5997">
        <f>IF(G5997=1,P5997*Assumptions!$B$13,Assumptions!$B$30)</f>
        <v/>
      </c>
      <c r="V5997">
        <f>IF(H5997=1,P5997*Assumptions!$B$12,Assumptions!$B$29)</f>
        <v/>
      </c>
      <c r="W5997">
        <f>IF(I5997=1,P5997*Assumptions!$B$11,Assumptions!$B$28)</f>
        <v/>
      </c>
      <c r="X5997">
        <f>P5997*($O$682+$S$682)</f>
        <v/>
      </c>
      <c r="Y5997">
        <f>P5997*Assumptions!$B$9</f>
        <v/>
      </c>
      <c r="Z5997">
        <f>IF(M5997=1,(P5997-Assumptions!$B$37)*Assumptions!$B$153,0)</f>
        <v/>
      </c>
      <c r="AA5997">
        <f>Q5997+R5997+S5997+T5997+U5997+V5997+W5997+X5997+Y5997+Z5997</f>
        <v/>
      </c>
      <c r="AB5997" t="n">
        <v>101</v>
      </c>
      <c r="AC5997" t="n">
        <v>37</v>
      </c>
      <c r="AD5997" t="n">
        <v>69</v>
      </c>
      <c r="AE5997" t="n">
        <v>117</v>
      </c>
      <c r="AF5997" t="n">
        <v>109</v>
      </c>
      <c r="AG5997" t="n">
        <v>97</v>
      </c>
      <c r="AH5997" t="n">
        <v>103</v>
      </c>
      <c r="AI5997" t="n">
        <v>100</v>
      </c>
      <c r="AJ5997">
        <f>INDEX($Q$5896:$Q$6023,AC5997+1)</f>
        <v/>
      </c>
      <c r="AK5997">
        <f>INDEX($R$5896:$R$6023,AD5997+1)</f>
        <v/>
      </c>
      <c r="AL5997">
        <f>INDEX($S$5896:$S$6023,AE5997+1)</f>
        <v/>
      </c>
      <c r="AM5997">
        <f>INDEX($T$5896:$T$6023,AF5997+1)</f>
        <v/>
      </c>
      <c r="AN5997">
        <f>INDEX($U$5896:$U$6023,AG5997+1)</f>
        <v/>
      </c>
      <c r="AO5997">
        <f>INDEX($V$5896:$V$6023,AH5997+1)</f>
        <v/>
      </c>
      <c r="AP5997">
        <f>INDEX($W$5896:$W$6023,AI5997+1)</f>
        <v/>
      </c>
      <c r="AQ5997">
        <f>IF(Q5997&gt;=AJ5997-0.01,1,0)</f>
        <v/>
      </c>
      <c r="AR5997">
        <f>IF(R5997&gt;=AK5997-0.01,1,0)</f>
        <v/>
      </c>
      <c r="AS5997">
        <f>IF(S5997&gt;=AL5997-0.01,1,0)</f>
        <v/>
      </c>
      <c r="AT5997">
        <f>IF(T5997&gt;=AM5997-0.01,1,0)</f>
        <v/>
      </c>
      <c r="AU5997">
        <f>IF(U5997&gt;=AN5997-0.01,1,0)</f>
        <v/>
      </c>
      <c r="AV5997">
        <f>IF(V5997&gt;=AO5997-0.01,1,0)</f>
        <v/>
      </c>
      <c r="AW5997">
        <f>IF(W5997&gt;=AP5997-0.01,1,0)</f>
        <v/>
      </c>
      <c r="AX5997">
        <f>AQ5997*AR5997*AS5997*AT5997*AU5997*AV5997*AW5997</f>
        <v/>
      </c>
    </row>
    <row r="5998">
      <c r="A5998" t="inlineStr"/>
      <c r="B5998">
        <f>Assumptions!$B$60</f>
        <v/>
      </c>
      <c r="C5998" t="n">
        <v>1</v>
      </c>
      <c r="D5998" t="n">
        <v>1</v>
      </c>
      <c r="E5998" t="n">
        <v>0</v>
      </c>
      <c r="F5998" t="n">
        <v>0</v>
      </c>
      <c r="G5998" t="n">
        <v>1</v>
      </c>
      <c r="H5998" t="n">
        <v>1</v>
      </c>
      <c r="I5998" t="n">
        <v>0</v>
      </c>
      <c r="J5998">
        <f>(1-C5998)*Assumptions!$B$41+(1-D5998)*Assumptions!$B$33+(1-E5998)*Assumptions!$B$32+(1-F5998)*Assumptions!$B$31+(1-G5998)*Assumptions!$B$30+(1-H5998)*Assumptions!$B$29+(1-I5998)*Assumptions!$B$28</f>
        <v/>
      </c>
      <c r="K5998">
        <f>C5998*$J$682+D5998*$F$682+E5998*$G$682+F5998*Assumptions!$B$14+G5998*Assumptions!$B$13+H5998*Assumptions!$B$12+I5998*Assumptions!$B$11+$O$682+$S$682+Assumptions!$B$9</f>
        <v/>
      </c>
      <c r="L5998">
        <f>B5998-J5998</f>
        <v/>
      </c>
      <c r="M5998">
        <f>IF(K5998&gt;0,IF(L5998/K5998&gt;=Assumptions!$B$37,1,0),0)</f>
        <v/>
      </c>
      <c r="N5998">
        <f>K5998+M5998*Assumptions!$B$153</f>
        <v/>
      </c>
      <c r="O5998">
        <f>L5998+M5998*Assumptions!$B$153*Assumptions!$B$37</f>
        <v/>
      </c>
      <c r="P5998">
        <f>IF(N5998&gt;0,O5998/N5998,0)</f>
        <v/>
      </c>
      <c r="Q5998">
        <f>IF(C5998=1,P5998*$J$682,Assumptions!$B$41)</f>
        <v/>
      </c>
      <c r="R5998">
        <f>IF(D5998=1,P5998*$F$682,Assumptions!$B$33)</f>
        <v/>
      </c>
      <c r="S5998">
        <f>IF(E5998=1,P5998*$G$682,Assumptions!$B$32)</f>
        <v/>
      </c>
      <c r="T5998">
        <f>IF(F5998=1,P5998*Assumptions!$B$14,Assumptions!$B$31)</f>
        <v/>
      </c>
      <c r="U5998">
        <f>IF(G5998=1,P5998*Assumptions!$B$13,Assumptions!$B$30)</f>
        <v/>
      </c>
      <c r="V5998">
        <f>IF(H5998=1,P5998*Assumptions!$B$12,Assumptions!$B$29)</f>
        <v/>
      </c>
      <c r="W5998">
        <f>IF(I5998=1,P5998*Assumptions!$B$11,Assumptions!$B$28)</f>
        <v/>
      </c>
      <c r="X5998">
        <f>P5998*($O$682+$S$682)</f>
        <v/>
      </c>
      <c r="Y5998">
        <f>P5998*Assumptions!$B$9</f>
        <v/>
      </c>
      <c r="Z5998">
        <f>IF(M5998=1,(P5998-Assumptions!$B$37)*Assumptions!$B$153,0)</f>
        <v/>
      </c>
      <c r="AA5998">
        <f>Q5998+R5998+S5998+T5998+U5998+V5998+W5998+X5998+Y5998+Z5998</f>
        <v/>
      </c>
      <c r="AB5998" t="n">
        <v>102</v>
      </c>
      <c r="AC5998" t="n">
        <v>38</v>
      </c>
      <c r="AD5998" t="n">
        <v>70</v>
      </c>
      <c r="AE5998" t="n">
        <v>118</v>
      </c>
      <c r="AF5998" t="n">
        <v>110</v>
      </c>
      <c r="AG5998" t="n">
        <v>98</v>
      </c>
      <c r="AH5998" t="n">
        <v>100</v>
      </c>
      <c r="AI5998" t="n">
        <v>103</v>
      </c>
      <c r="AJ5998">
        <f>INDEX($Q$5896:$Q$6023,AC5998+1)</f>
        <v/>
      </c>
      <c r="AK5998">
        <f>INDEX($R$5896:$R$6023,AD5998+1)</f>
        <v/>
      </c>
      <c r="AL5998">
        <f>INDEX($S$5896:$S$6023,AE5998+1)</f>
        <v/>
      </c>
      <c r="AM5998">
        <f>INDEX($T$5896:$T$6023,AF5998+1)</f>
        <v/>
      </c>
      <c r="AN5998">
        <f>INDEX($U$5896:$U$6023,AG5998+1)</f>
        <v/>
      </c>
      <c r="AO5998">
        <f>INDEX($V$5896:$V$6023,AH5998+1)</f>
        <v/>
      </c>
      <c r="AP5998">
        <f>INDEX($W$5896:$W$6023,AI5998+1)</f>
        <v/>
      </c>
      <c r="AQ5998">
        <f>IF(Q5998&gt;=AJ5998-0.01,1,0)</f>
        <v/>
      </c>
      <c r="AR5998">
        <f>IF(R5998&gt;=AK5998-0.01,1,0)</f>
        <v/>
      </c>
      <c r="AS5998">
        <f>IF(S5998&gt;=AL5998-0.01,1,0)</f>
        <v/>
      </c>
      <c r="AT5998">
        <f>IF(T5998&gt;=AM5998-0.01,1,0)</f>
        <v/>
      </c>
      <c r="AU5998">
        <f>IF(U5998&gt;=AN5998-0.01,1,0)</f>
        <v/>
      </c>
      <c r="AV5998">
        <f>IF(V5998&gt;=AO5998-0.01,1,0)</f>
        <v/>
      </c>
      <c r="AW5998">
        <f>IF(W5998&gt;=AP5998-0.01,1,0)</f>
        <v/>
      </c>
      <c r="AX5998">
        <f>AQ5998*AR5998*AS5998*AT5998*AU5998*AV5998*AW5998</f>
        <v/>
      </c>
    </row>
    <row r="5999">
      <c r="A5999" t="inlineStr"/>
      <c r="B5999">
        <f>Assumptions!$B$60</f>
        <v/>
      </c>
      <c r="C5999" t="n">
        <v>1</v>
      </c>
      <c r="D5999" t="n">
        <v>1</v>
      </c>
      <c r="E5999" t="n">
        <v>0</v>
      </c>
      <c r="F5999" t="n">
        <v>0</v>
      </c>
      <c r="G5999" t="n">
        <v>1</v>
      </c>
      <c r="H5999" t="n">
        <v>1</v>
      </c>
      <c r="I5999" t="n">
        <v>1</v>
      </c>
      <c r="J5999">
        <f>(1-C5999)*Assumptions!$B$41+(1-D5999)*Assumptions!$B$33+(1-E5999)*Assumptions!$B$32+(1-F5999)*Assumptions!$B$31+(1-G5999)*Assumptions!$B$30+(1-H5999)*Assumptions!$B$29+(1-I5999)*Assumptions!$B$28</f>
        <v/>
      </c>
      <c r="K5999">
        <f>C5999*$J$682+D5999*$F$682+E5999*$G$682+F5999*Assumptions!$B$14+G5999*Assumptions!$B$13+H5999*Assumptions!$B$12+I5999*Assumptions!$B$11+$O$682+$S$682+Assumptions!$B$9</f>
        <v/>
      </c>
      <c r="L5999">
        <f>B5999-J5999</f>
        <v/>
      </c>
      <c r="M5999">
        <f>IF(K5999&gt;0,IF(L5999/K5999&gt;=Assumptions!$B$37,1,0),0)</f>
        <v/>
      </c>
      <c r="N5999">
        <f>K5999+M5999*Assumptions!$B$153</f>
        <v/>
      </c>
      <c r="O5999">
        <f>L5999+M5999*Assumptions!$B$153*Assumptions!$B$37</f>
        <v/>
      </c>
      <c r="P5999">
        <f>IF(N5999&gt;0,O5999/N5999,0)</f>
        <v/>
      </c>
      <c r="Q5999">
        <f>IF(C5999=1,P5999*$J$682,Assumptions!$B$41)</f>
        <v/>
      </c>
      <c r="R5999">
        <f>IF(D5999=1,P5999*$F$682,Assumptions!$B$33)</f>
        <v/>
      </c>
      <c r="S5999">
        <f>IF(E5999=1,P5999*$G$682,Assumptions!$B$32)</f>
        <v/>
      </c>
      <c r="T5999">
        <f>IF(F5999=1,P5999*Assumptions!$B$14,Assumptions!$B$31)</f>
        <v/>
      </c>
      <c r="U5999">
        <f>IF(G5999=1,P5999*Assumptions!$B$13,Assumptions!$B$30)</f>
        <v/>
      </c>
      <c r="V5999">
        <f>IF(H5999=1,P5999*Assumptions!$B$12,Assumptions!$B$29)</f>
        <v/>
      </c>
      <c r="W5999">
        <f>IF(I5999=1,P5999*Assumptions!$B$11,Assumptions!$B$28)</f>
        <v/>
      </c>
      <c r="X5999">
        <f>P5999*($O$682+$S$682)</f>
        <v/>
      </c>
      <c r="Y5999">
        <f>P5999*Assumptions!$B$9</f>
        <v/>
      </c>
      <c r="Z5999">
        <f>IF(M5999=1,(P5999-Assumptions!$B$37)*Assumptions!$B$153,0)</f>
        <v/>
      </c>
      <c r="AA5999">
        <f>Q5999+R5999+S5999+T5999+U5999+V5999+W5999+X5999+Y5999+Z5999</f>
        <v/>
      </c>
      <c r="AB5999" t="n">
        <v>103</v>
      </c>
      <c r="AC5999" t="n">
        <v>39</v>
      </c>
      <c r="AD5999" t="n">
        <v>71</v>
      </c>
      <c r="AE5999" t="n">
        <v>119</v>
      </c>
      <c r="AF5999" t="n">
        <v>111</v>
      </c>
      <c r="AG5999" t="n">
        <v>99</v>
      </c>
      <c r="AH5999" t="n">
        <v>101</v>
      </c>
      <c r="AI5999" t="n">
        <v>102</v>
      </c>
      <c r="AJ5999">
        <f>INDEX($Q$5896:$Q$6023,AC5999+1)</f>
        <v/>
      </c>
      <c r="AK5999">
        <f>INDEX($R$5896:$R$6023,AD5999+1)</f>
        <v/>
      </c>
      <c r="AL5999">
        <f>INDEX($S$5896:$S$6023,AE5999+1)</f>
        <v/>
      </c>
      <c r="AM5999">
        <f>INDEX($T$5896:$T$6023,AF5999+1)</f>
        <v/>
      </c>
      <c r="AN5999">
        <f>INDEX($U$5896:$U$6023,AG5999+1)</f>
        <v/>
      </c>
      <c r="AO5999">
        <f>INDEX($V$5896:$V$6023,AH5999+1)</f>
        <v/>
      </c>
      <c r="AP5999">
        <f>INDEX($W$5896:$W$6023,AI5999+1)</f>
        <v/>
      </c>
      <c r="AQ5999">
        <f>IF(Q5999&gt;=AJ5999-0.01,1,0)</f>
        <v/>
      </c>
      <c r="AR5999">
        <f>IF(R5999&gt;=AK5999-0.01,1,0)</f>
        <v/>
      </c>
      <c r="AS5999">
        <f>IF(S5999&gt;=AL5999-0.01,1,0)</f>
        <v/>
      </c>
      <c r="AT5999">
        <f>IF(T5999&gt;=AM5999-0.01,1,0)</f>
        <v/>
      </c>
      <c r="AU5999">
        <f>IF(U5999&gt;=AN5999-0.01,1,0)</f>
        <v/>
      </c>
      <c r="AV5999">
        <f>IF(V5999&gt;=AO5999-0.01,1,0)</f>
        <v/>
      </c>
      <c r="AW5999">
        <f>IF(W5999&gt;=AP5999-0.01,1,0)</f>
        <v/>
      </c>
      <c r="AX5999">
        <f>AQ5999*AR5999*AS5999*AT5999*AU5999*AV5999*AW5999</f>
        <v/>
      </c>
    </row>
    <row r="6000">
      <c r="A6000" t="inlineStr"/>
      <c r="B6000">
        <f>Assumptions!$B$60</f>
        <v/>
      </c>
      <c r="C6000" t="n">
        <v>1</v>
      </c>
      <c r="D6000" t="n">
        <v>1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>
        <f>(1-C6000)*Assumptions!$B$41+(1-D6000)*Assumptions!$B$33+(1-E6000)*Assumptions!$B$32+(1-F6000)*Assumptions!$B$31+(1-G6000)*Assumptions!$B$30+(1-H6000)*Assumptions!$B$29+(1-I6000)*Assumptions!$B$28</f>
        <v/>
      </c>
      <c r="K6000">
        <f>C6000*$J$682+D6000*$F$682+E6000*$G$682+F6000*Assumptions!$B$14+G6000*Assumptions!$B$13+H6000*Assumptions!$B$12+I6000*Assumptions!$B$11+$O$682+$S$682+Assumptions!$B$9</f>
        <v/>
      </c>
      <c r="L6000">
        <f>B6000-J6000</f>
        <v/>
      </c>
      <c r="M6000">
        <f>IF(K6000&gt;0,IF(L6000/K6000&gt;=Assumptions!$B$37,1,0),0)</f>
        <v/>
      </c>
      <c r="N6000">
        <f>K6000+M6000*Assumptions!$B$153</f>
        <v/>
      </c>
      <c r="O6000">
        <f>L6000+M6000*Assumptions!$B$153*Assumptions!$B$37</f>
        <v/>
      </c>
      <c r="P6000">
        <f>IF(N6000&gt;0,O6000/N6000,0)</f>
        <v/>
      </c>
      <c r="Q6000">
        <f>IF(C6000=1,P6000*$J$682,Assumptions!$B$41)</f>
        <v/>
      </c>
      <c r="R6000">
        <f>IF(D6000=1,P6000*$F$682,Assumptions!$B$33)</f>
        <v/>
      </c>
      <c r="S6000">
        <f>IF(E6000=1,P6000*$G$682,Assumptions!$B$32)</f>
        <v/>
      </c>
      <c r="T6000">
        <f>IF(F6000=1,P6000*Assumptions!$B$14,Assumptions!$B$31)</f>
        <v/>
      </c>
      <c r="U6000">
        <f>IF(G6000=1,P6000*Assumptions!$B$13,Assumptions!$B$30)</f>
        <v/>
      </c>
      <c r="V6000">
        <f>IF(H6000=1,P6000*Assumptions!$B$12,Assumptions!$B$29)</f>
        <v/>
      </c>
      <c r="W6000">
        <f>IF(I6000=1,P6000*Assumptions!$B$11,Assumptions!$B$28)</f>
        <v/>
      </c>
      <c r="X6000">
        <f>P6000*($O$682+$S$682)</f>
        <v/>
      </c>
      <c r="Y6000">
        <f>P6000*Assumptions!$B$9</f>
        <v/>
      </c>
      <c r="Z6000">
        <f>IF(M6000=1,(P6000-Assumptions!$B$37)*Assumptions!$B$153,0)</f>
        <v/>
      </c>
      <c r="AA6000">
        <f>Q6000+R6000+S6000+T6000+U6000+V6000+W6000+X6000+Y6000+Z6000</f>
        <v/>
      </c>
      <c r="AB6000" t="n">
        <v>104</v>
      </c>
      <c r="AC6000" t="n">
        <v>40</v>
      </c>
      <c r="AD6000" t="n">
        <v>72</v>
      </c>
      <c r="AE6000" t="n">
        <v>120</v>
      </c>
      <c r="AF6000" t="n">
        <v>96</v>
      </c>
      <c r="AG6000" t="n">
        <v>108</v>
      </c>
      <c r="AH6000" t="n">
        <v>106</v>
      </c>
      <c r="AI6000" t="n">
        <v>105</v>
      </c>
      <c r="AJ6000">
        <f>INDEX($Q$5896:$Q$6023,AC6000+1)</f>
        <v/>
      </c>
      <c r="AK6000">
        <f>INDEX($R$5896:$R$6023,AD6000+1)</f>
        <v/>
      </c>
      <c r="AL6000">
        <f>INDEX($S$5896:$S$6023,AE6000+1)</f>
        <v/>
      </c>
      <c r="AM6000">
        <f>INDEX($T$5896:$T$6023,AF6000+1)</f>
        <v/>
      </c>
      <c r="AN6000">
        <f>INDEX($U$5896:$U$6023,AG6000+1)</f>
        <v/>
      </c>
      <c r="AO6000">
        <f>INDEX($V$5896:$V$6023,AH6000+1)</f>
        <v/>
      </c>
      <c r="AP6000">
        <f>INDEX($W$5896:$W$6023,AI6000+1)</f>
        <v/>
      </c>
      <c r="AQ6000">
        <f>IF(Q6000&gt;=AJ6000-0.01,1,0)</f>
        <v/>
      </c>
      <c r="AR6000">
        <f>IF(R6000&gt;=AK6000-0.01,1,0)</f>
        <v/>
      </c>
      <c r="AS6000">
        <f>IF(S6000&gt;=AL6000-0.01,1,0)</f>
        <v/>
      </c>
      <c r="AT6000">
        <f>IF(T6000&gt;=AM6000-0.01,1,0)</f>
        <v/>
      </c>
      <c r="AU6000">
        <f>IF(U6000&gt;=AN6000-0.01,1,0)</f>
        <v/>
      </c>
      <c r="AV6000">
        <f>IF(V6000&gt;=AO6000-0.01,1,0)</f>
        <v/>
      </c>
      <c r="AW6000">
        <f>IF(W6000&gt;=AP6000-0.01,1,0)</f>
        <v/>
      </c>
      <c r="AX6000">
        <f>AQ6000*AR6000*AS6000*AT6000*AU6000*AV6000*AW6000</f>
        <v/>
      </c>
    </row>
    <row r="6001">
      <c r="A6001" t="inlineStr"/>
      <c r="B6001">
        <f>Assumptions!$B$60</f>
        <v/>
      </c>
      <c r="C6001" t="n">
        <v>1</v>
      </c>
      <c r="D6001" t="n">
        <v>1</v>
      </c>
      <c r="E6001" t="n">
        <v>0</v>
      </c>
      <c r="F6001" t="n">
        <v>1</v>
      </c>
      <c r="G6001" t="n">
        <v>0</v>
      </c>
      <c r="H6001" t="n">
        <v>0</v>
      </c>
      <c r="I6001" t="n">
        <v>1</v>
      </c>
      <c r="J6001">
        <f>(1-C6001)*Assumptions!$B$41+(1-D6001)*Assumptions!$B$33+(1-E6001)*Assumptions!$B$32+(1-F6001)*Assumptions!$B$31+(1-G6001)*Assumptions!$B$30+(1-H6001)*Assumptions!$B$29+(1-I6001)*Assumptions!$B$28</f>
        <v/>
      </c>
      <c r="K6001">
        <f>C6001*$J$682+D6001*$F$682+E6001*$G$682+F6001*Assumptions!$B$14+G6001*Assumptions!$B$13+H6001*Assumptions!$B$12+I6001*Assumptions!$B$11+$O$682+$S$682+Assumptions!$B$9</f>
        <v/>
      </c>
      <c r="L6001">
        <f>B6001-J6001</f>
        <v/>
      </c>
      <c r="M6001">
        <f>IF(K6001&gt;0,IF(L6001/K6001&gt;=Assumptions!$B$37,1,0),0)</f>
        <v/>
      </c>
      <c r="N6001">
        <f>K6001+M6001*Assumptions!$B$153</f>
        <v/>
      </c>
      <c r="O6001">
        <f>L6001+M6001*Assumptions!$B$153*Assumptions!$B$37</f>
        <v/>
      </c>
      <c r="P6001">
        <f>IF(N6001&gt;0,O6001/N6001,0)</f>
        <v/>
      </c>
      <c r="Q6001">
        <f>IF(C6001=1,P6001*$J$682,Assumptions!$B$41)</f>
        <v/>
      </c>
      <c r="R6001">
        <f>IF(D6001=1,P6001*$F$682,Assumptions!$B$33)</f>
        <v/>
      </c>
      <c r="S6001">
        <f>IF(E6001=1,P6001*$G$682,Assumptions!$B$32)</f>
        <v/>
      </c>
      <c r="T6001">
        <f>IF(F6001=1,P6001*Assumptions!$B$14,Assumptions!$B$31)</f>
        <v/>
      </c>
      <c r="U6001">
        <f>IF(G6001=1,P6001*Assumptions!$B$13,Assumptions!$B$30)</f>
        <v/>
      </c>
      <c r="V6001">
        <f>IF(H6001=1,P6001*Assumptions!$B$12,Assumptions!$B$29)</f>
        <v/>
      </c>
      <c r="W6001">
        <f>IF(I6001=1,P6001*Assumptions!$B$11,Assumptions!$B$28)</f>
        <v/>
      </c>
      <c r="X6001">
        <f>P6001*($O$682+$S$682)</f>
        <v/>
      </c>
      <c r="Y6001">
        <f>P6001*Assumptions!$B$9</f>
        <v/>
      </c>
      <c r="Z6001">
        <f>IF(M6001=1,(P6001-Assumptions!$B$37)*Assumptions!$B$153,0)</f>
        <v/>
      </c>
      <c r="AA6001">
        <f>Q6001+R6001+S6001+T6001+U6001+V6001+W6001+X6001+Y6001+Z6001</f>
        <v/>
      </c>
      <c r="AB6001" t="n">
        <v>105</v>
      </c>
      <c r="AC6001" t="n">
        <v>41</v>
      </c>
      <c r="AD6001" t="n">
        <v>73</v>
      </c>
      <c r="AE6001" t="n">
        <v>121</v>
      </c>
      <c r="AF6001" t="n">
        <v>97</v>
      </c>
      <c r="AG6001" t="n">
        <v>109</v>
      </c>
      <c r="AH6001" t="n">
        <v>107</v>
      </c>
      <c r="AI6001" t="n">
        <v>104</v>
      </c>
      <c r="AJ6001">
        <f>INDEX($Q$5896:$Q$6023,AC6001+1)</f>
        <v/>
      </c>
      <c r="AK6001">
        <f>INDEX($R$5896:$R$6023,AD6001+1)</f>
        <v/>
      </c>
      <c r="AL6001">
        <f>INDEX($S$5896:$S$6023,AE6001+1)</f>
        <v/>
      </c>
      <c r="AM6001">
        <f>INDEX($T$5896:$T$6023,AF6001+1)</f>
        <v/>
      </c>
      <c r="AN6001">
        <f>INDEX($U$5896:$U$6023,AG6001+1)</f>
        <v/>
      </c>
      <c r="AO6001">
        <f>INDEX($V$5896:$V$6023,AH6001+1)</f>
        <v/>
      </c>
      <c r="AP6001">
        <f>INDEX($W$5896:$W$6023,AI6001+1)</f>
        <v/>
      </c>
      <c r="AQ6001">
        <f>IF(Q6001&gt;=AJ6001-0.01,1,0)</f>
        <v/>
      </c>
      <c r="AR6001">
        <f>IF(R6001&gt;=AK6001-0.01,1,0)</f>
        <v/>
      </c>
      <c r="AS6001">
        <f>IF(S6001&gt;=AL6001-0.01,1,0)</f>
        <v/>
      </c>
      <c r="AT6001">
        <f>IF(T6001&gt;=AM6001-0.01,1,0)</f>
        <v/>
      </c>
      <c r="AU6001">
        <f>IF(U6001&gt;=AN6001-0.01,1,0)</f>
        <v/>
      </c>
      <c r="AV6001">
        <f>IF(V6001&gt;=AO6001-0.01,1,0)</f>
        <v/>
      </c>
      <c r="AW6001">
        <f>IF(W6001&gt;=AP6001-0.01,1,0)</f>
        <v/>
      </c>
      <c r="AX6001">
        <f>AQ6001*AR6001*AS6001*AT6001*AU6001*AV6001*AW6001</f>
        <v/>
      </c>
    </row>
    <row r="6002">
      <c r="A6002" t="inlineStr"/>
      <c r="B6002">
        <f>Assumptions!$B$60</f>
        <v/>
      </c>
      <c r="C6002" t="n">
        <v>1</v>
      </c>
      <c r="D6002" t="n">
        <v>1</v>
      </c>
      <c r="E6002" t="n">
        <v>0</v>
      </c>
      <c r="F6002" t="n">
        <v>1</v>
      </c>
      <c r="G6002" t="n">
        <v>0</v>
      </c>
      <c r="H6002" t="n">
        <v>1</v>
      </c>
      <c r="I6002" t="n">
        <v>0</v>
      </c>
      <c r="J6002">
        <f>(1-C6002)*Assumptions!$B$41+(1-D6002)*Assumptions!$B$33+(1-E6002)*Assumptions!$B$32+(1-F6002)*Assumptions!$B$31+(1-G6002)*Assumptions!$B$30+(1-H6002)*Assumptions!$B$29+(1-I6002)*Assumptions!$B$28</f>
        <v/>
      </c>
      <c r="K6002">
        <f>C6002*$J$682+D6002*$F$682+E6002*$G$682+F6002*Assumptions!$B$14+G6002*Assumptions!$B$13+H6002*Assumptions!$B$12+I6002*Assumptions!$B$11+$O$682+$S$682+Assumptions!$B$9</f>
        <v/>
      </c>
      <c r="L6002">
        <f>B6002-J6002</f>
        <v/>
      </c>
      <c r="M6002">
        <f>IF(K6002&gt;0,IF(L6002/K6002&gt;=Assumptions!$B$37,1,0),0)</f>
        <v/>
      </c>
      <c r="N6002">
        <f>K6002+M6002*Assumptions!$B$153</f>
        <v/>
      </c>
      <c r="O6002">
        <f>L6002+M6002*Assumptions!$B$153*Assumptions!$B$37</f>
        <v/>
      </c>
      <c r="P6002">
        <f>IF(N6002&gt;0,O6002/N6002,0)</f>
        <v/>
      </c>
      <c r="Q6002">
        <f>IF(C6002=1,P6002*$J$682,Assumptions!$B$41)</f>
        <v/>
      </c>
      <c r="R6002">
        <f>IF(D6002=1,P6002*$F$682,Assumptions!$B$33)</f>
        <v/>
      </c>
      <c r="S6002">
        <f>IF(E6002=1,P6002*$G$682,Assumptions!$B$32)</f>
        <v/>
      </c>
      <c r="T6002">
        <f>IF(F6002=1,P6002*Assumptions!$B$14,Assumptions!$B$31)</f>
        <v/>
      </c>
      <c r="U6002">
        <f>IF(G6002=1,P6002*Assumptions!$B$13,Assumptions!$B$30)</f>
        <v/>
      </c>
      <c r="V6002">
        <f>IF(H6002=1,P6002*Assumptions!$B$12,Assumptions!$B$29)</f>
        <v/>
      </c>
      <c r="W6002">
        <f>IF(I6002=1,P6002*Assumptions!$B$11,Assumptions!$B$28)</f>
        <v/>
      </c>
      <c r="X6002">
        <f>P6002*($O$682+$S$682)</f>
        <v/>
      </c>
      <c r="Y6002">
        <f>P6002*Assumptions!$B$9</f>
        <v/>
      </c>
      <c r="Z6002">
        <f>IF(M6002=1,(P6002-Assumptions!$B$37)*Assumptions!$B$153,0)</f>
        <v/>
      </c>
      <c r="AA6002">
        <f>Q6002+R6002+S6002+T6002+U6002+V6002+W6002+X6002+Y6002+Z6002</f>
        <v/>
      </c>
      <c r="AB6002" t="n">
        <v>106</v>
      </c>
      <c r="AC6002" t="n">
        <v>42</v>
      </c>
      <c r="AD6002" t="n">
        <v>74</v>
      </c>
      <c r="AE6002" t="n">
        <v>122</v>
      </c>
      <c r="AF6002" t="n">
        <v>98</v>
      </c>
      <c r="AG6002" t="n">
        <v>110</v>
      </c>
      <c r="AH6002" t="n">
        <v>104</v>
      </c>
      <c r="AI6002" t="n">
        <v>107</v>
      </c>
      <c r="AJ6002">
        <f>INDEX($Q$5896:$Q$6023,AC6002+1)</f>
        <v/>
      </c>
      <c r="AK6002">
        <f>INDEX($R$5896:$R$6023,AD6002+1)</f>
        <v/>
      </c>
      <c r="AL6002">
        <f>INDEX($S$5896:$S$6023,AE6002+1)</f>
        <v/>
      </c>
      <c r="AM6002">
        <f>INDEX($T$5896:$T$6023,AF6002+1)</f>
        <v/>
      </c>
      <c r="AN6002">
        <f>INDEX($U$5896:$U$6023,AG6002+1)</f>
        <v/>
      </c>
      <c r="AO6002">
        <f>INDEX($V$5896:$V$6023,AH6002+1)</f>
        <v/>
      </c>
      <c r="AP6002">
        <f>INDEX($W$5896:$W$6023,AI6002+1)</f>
        <v/>
      </c>
      <c r="AQ6002">
        <f>IF(Q6002&gt;=AJ6002-0.01,1,0)</f>
        <v/>
      </c>
      <c r="AR6002">
        <f>IF(R6002&gt;=AK6002-0.01,1,0)</f>
        <v/>
      </c>
      <c r="AS6002">
        <f>IF(S6002&gt;=AL6002-0.01,1,0)</f>
        <v/>
      </c>
      <c r="AT6002">
        <f>IF(T6002&gt;=AM6002-0.01,1,0)</f>
        <v/>
      </c>
      <c r="AU6002">
        <f>IF(U6002&gt;=AN6002-0.01,1,0)</f>
        <v/>
      </c>
      <c r="AV6002">
        <f>IF(V6002&gt;=AO6002-0.01,1,0)</f>
        <v/>
      </c>
      <c r="AW6002">
        <f>IF(W6002&gt;=AP6002-0.01,1,0)</f>
        <v/>
      </c>
      <c r="AX6002">
        <f>AQ6002*AR6002*AS6002*AT6002*AU6002*AV6002*AW6002</f>
        <v/>
      </c>
    </row>
    <row r="6003">
      <c r="A6003" t="inlineStr"/>
      <c r="B6003">
        <f>Assumptions!$B$60</f>
        <v/>
      </c>
      <c r="C6003" t="n">
        <v>1</v>
      </c>
      <c r="D6003" t="n">
        <v>1</v>
      </c>
      <c r="E6003" t="n">
        <v>0</v>
      </c>
      <c r="F6003" t="n">
        <v>1</v>
      </c>
      <c r="G6003" t="n">
        <v>0</v>
      </c>
      <c r="H6003" t="n">
        <v>1</v>
      </c>
      <c r="I6003" t="n">
        <v>1</v>
      </c>
      <c r="J6003">
        <f>(1-C6003)*Assumptions!$B$41+(1-D6003)*Assumptions!$B$33+(1-E6003)*Assumptions!$B$32+(1-F6003)*Assumptions!$B$31+(1-G6003)*Assumptions!$B$30+(1-H6003)*Assumptions!$B$29+(1-I6003)*Assumptions!$B$28</f>
        <v/>
      </c>
      <c r="K6003">
        <f>C6003*$J$682+D6003*$F$682+E6003*$G$682+F6003*Assumptions!$B$14+G6003*Assumptions!$B$13+H6003*Assumptions!$B$12+I6003*Assumptions!$B$11+$O$682+$S$682+Assumptions!$B$9</f>
        <v/>
      </c>
      <c r="L6003">
        <f>B6003-J6003</f>
        <v/>
      </c>
      <c r="M6003">
        <f>IF(K6003&gt;0,IF(L6003/K6003&gt;=Assumptions!$B$37,1,0),0)</f>
        <v/>
      </c>
      <c r="N6003">
        <f>K6003+M6003*Assumptions!$B$153</f>
        <v/>
      </c>
      <c r="O6003">
        <f>L6003+M6003*Assumptions!$B$153*Assumptions!$B$37</f>
        <v/>
      </c>
      <c r="P6003">
        <f>IF(N6003&gt;0,O6003/N6003,0)</f>
        <v/>
      </c>
      <c r="Q6003">
        <f>IF(C6003=1,P6003*$J$682,Assumptions!$B$41)</f>
        <v/>
      </c>
      <c r="R6003">
        <f>IF(D6003=1,P6003*$F$682,Assumptions!$B$33)</f>
        <v/>
      </c>
      <c r="S6003">
        <f>IF(E6003=1,P6003*$G$682,Assumptions!$B$32)</f>
        <v/>
      </c>
      <c r="T6003">
        <f>IF(F6003=1,P6003*Assumptions!$B$14,Assumptions!$B$31)</f>
        <v/>
      </c>
      <c r="U6003">
        <f>IF(G6003=1,P6003*Assumptions!$B$13,Assumptions!$B$30)</f>
        <v/>
      </c>
      <c r="V6003">
        <f>IF(H6003=1,P6003*Assumptions!$B$12,Assumptions!$B$29)</f>
        <v/>
      </c>
      <c r="W6003">
        <f>IF(I6003=1,P6003*Assumptions!$B$11,Assumptions!$B$28)</f>
        <v/>
      </c>
      <c r="X6003">
        <f>P6003*($O$682+$S$682)</f>
        <v/>
      </c>
      <c r="Y6003">
        <f>P6003*Assumptions!$B$9</f>
        <v/>
      </c>
      <c r="Z6003">
        <f>IF(M6003=1,(P6003-Assumptions!$B$37)*Assumptions!$B$153,0)</f>
        <v/>
      </c>
      <c r="AA6003">
        <f>Q6003+R6003+S6003+T6003+U6003+V6003+W6003+X6003+Y6003+Z6003</f>
        <v/>
      </c>
      <c r="AB6003" t="n">
        <v>107</v>
      </c>
      <c r="AC6003" t="n">
        <v>43</v>
      </c>
      <c r="AD6003" t="n">
        <v>75</v>
      </c>
      <c r="AE6003" t="n">
        <v>123</v>
      </c>
      <c r="AF6003" t="n">
        <v>99</v>
      </c>
      <c r="AG6003" t="n">
        <v>111</v>
      </c>
      <c r="AH6003" t="n">
        <v>105</v>
      </c>
      <c r="AI6003" t="n">
        <v>106</v>
      </c>
      <c r="AJ6003">
        <f>INDEX($Q$5896:$Q$6023,AC6003+1)</f>
        <v/>
      </c>
      <c r="AK6003">
        <f>INDEX($R$5896:$R$6023,AD6003+1)</f>
        <v/>
      </c>
      <c r="AL6003">
        <f>INDEX($S$5896:$S$6023,AE6003+1)</f>
        <v/>
      </c>
      <c r="AM6003">
        <f>INDEX($T$5896:$T$6023,AF6003+1)</f>
        <v/>
      </c>
      <c r="AN6003">
        <f>INDEX($U$5896:$U$6023,AG6003+1)</f>
        <v/>
      </c>
      <c r="AO6003">
        <f>INDEX($V$5896:$V$6023,AH6003+1)</f>
        <v/>
      </c>
      <c r="AP6003">
        <f>INDEX($W$5896:$W$6023,AI6003+1)</f>
        <v/>
      </c>
      <c r="AQ6003">
        <f>IF(Q6003&gt;=AJ6003-0.01,1,0)</f>
        <v/>
      </c>
      <c r="AR6003">
        <f>IF(R6003&gt;=AK6003-0.01,1,0)</f>
        <v/>
      </c>
      <c r="AS6003">
        <f>IF(S6003&gt;=AL6003-0.01,1,0)</f>
        <v/>
      </c>
      <c r="AT6003">
        <f>IF(T6003&gt;=AM6003-0.01,1,0)</f>
        <v/>
      </c>
      <c r="AU6003">
        <f>IF(U6003&gt;=AN6003-0.01,1,0)</f>
        <v/>
      </c>
      <c r="AV6003">
        <f>IF(V6003&gt;=AO6003-0.01,1,0)</f>
        <v/>
      </c>
      <c r="AW6003">
        <f>IF(W6003&gt;=AP6003-0.01,1,0)</f>
        <v/>
      </c>
      <c r="AX6003">
        <f>AQ6003*AR6003*AS6003*AT6003*AU6003*AV6003*AW6003</f>
        <v/>
      </c>
    </row>
    <row r="6004">
      <c r="A6004" t="inlineStr"/>
      <c r="B6004">
        <f>Assumptions!$B$60</f>
        <v/>
      </c>
      <c r="C6004" t="n">
        <v>1</v>
      </c>
      <c r="D6004" t="n">
        <v>1</v>
      </c>
      <c r="E6004" t="n">
        <v>0</v>
      </c>
      <c r="F6004" t="n">
        <v>1</v>
      </c>
      <c r="G6004" t="n">
        <v>1</v>
      </c>
      <c r="H6004" t="n">
        <v>0</v>
      </c>
      <c r="I6004" t="n">
        <v>0</v>
      </c>
      <c r="J6004">
        <f>(1-C6004)*Assumptions!$B$41+(1-D6004)*Assumptions!$B$33+(1-E6004)*Assumptions!$B$32+(1-F6004)*Assumptions!$B$31+(1-G6004)*Assumptions!$B$30+(1-H6004)*Assumptions!$B$29+(1-I6004)*Assumptions!$B$28</f>
        <v/>
      </c>
      <c r="K6004">
        <f>C6004*$J$682+D6004*$F$682+E6004*$G$682+F6004*Assumptions!$B$14+G6004*Assumptions!$B$13+H6004*Assumptions!$B$12+I6004*Assumptions!$B$11+$O$682+$S$682+Assumptions!$B$9</f>
        <v/>
      </c>
      <c r="L6004">
        <f>B6004-J6004</f>
        <v/>
      </c>
      <c r="M6004">
        <f>IF(K6004&gt;0,IF(L6004/K6004&gt;=Assumptions!$B$37,1,0),0)</f>
        <v/>
      </c>
      <c r="N6004">
        <f>K6004+M6004*Assumptions!$B$153</f>
        <v/>
      </c>
      <c r="O6004">
        <f>L6004+M6004*Assumptions!$B$153*Assumptions!$B$37</f>
        <v/>
      </c>
      <c r="P6004">
        <f>IF(N6004&gt;0,O6004/N6004,0)</f>
        <v/>
      </c>
      <c r="Q6004">
        <f>IF(C6004=1,P6004*$J$682,Assumptions!$B$41)</f>
        <v/>
      </c>
      <c r="R6004">
        <f>IF(D6004=1,P6004*$F$682,Assumptions!$B$33)</f>
        <v/>
      </c>
      <c r="S6004">
        <f>IF(E6004=1,P6004*$G$682,Assumptions!$B$32)</f>
        <v/>
      </c>
      <c r="T6004">
        <f>IF(F6004=1,P6004*Assumptions!$B$14,Assumptions!$B$31)</f>
        <v/>
      </c>
      <c r="U6004">
        <f>IF(G6004=1,P6004*Assumptions!$B$13,Assumptions!$B$30)</f>
        <v/>
      </c>
      <c r="V6004">
        <f>IF(H6004=1,P6004*Assumptions!$B$12,Assumptions!$B$29)</f>
        <v/>
      </c>
      <c r="W6004">
        <f>IF(I6004=1,P6004*Assumptions!$B$11,Assumptions!$B$28)</f>
        <v/>
      </c>
      <c r="X6004">
        <f>P6004*($O$682+$S$682)</f>
        <v/>
      </c>
      <c r="Y6004">
        <f>P6004*Assumptions!$B$9</f>
        <v/>
      </c>
      <c r="Z6004">
        <f>IF(M6004=1,(P6004-Assumptions!$B$37)*Assumptions!$B$153,0)</f>
        <v/>
      </c>
      <c r="AA6004">
        <f>Q6004+R6004+S6004+T6004+U6004+V6004+W6004+X6004+Y6004+Z6004</f>
        <v/>
      </c>
      <c r="AB6004" t="n">
        <v>108</v>
      </c>
      <c r="AC6004" t="n">
        <v>44</v>
      </c>
      <c r="AD6004" t="n">
        <v>76</v>
      </c>
      <c r="AE6004" t="n">
        <v>124</v>
      </c>
      <c r="AF6004" t="n">
        <v>100</v>
      </c>
      <c r="AG6004" t="n">
        <v>104</v>
      </c>
      <c r="AH6004" t="n">
        <v>110</v>
      </c>
      <c r="AI6004" t="n">
        <v>109</v>
      </c>
      <c r="AJ6004">
        <f>INDEX($Q$5896:$Q$6023,AC6004+1)</f>
        <v/>
      </c>
      <c r="AK6004">
        <f>INDEX($R$5896:$R$6023,AD6004+1)</f>
        <v/>
      </c>
      <c r="AL6004">
        <f>INDEX($S$5896:$S$6023,AE6004+1)</f>
        <v/>
      </c>
      <c r="AM6004">
        <f>INDEX($T$5896:$T$6023,AF6004+1)</f>
        <v/>
      </c>
      <c r="AN6004">
        <f>INDEX($U$5896:$U$6023,AG6004+1)</f>
        <v/>
      </c>
      <c r="AO6004">
        <f>INDEX($V$5896:$V$6023,AH6004+1)</f>
        <v/>
      </c>
      <c r="AP6004">
        <f>INDEX($W$5896:$W$6023,AI6004+1)</f>
        <v/>
      </c>
      <c r="AQ6004">
        <f>IF(Q6004&gt;=AJ6004-0.01,1,0)</f>
        <v/>
      </c>
      <c r="AR6004">
        <f>IF(R6004&gt;=AK6004-0.01,1,0)</f>
        <v/>
      </c>
      <c r="AS6004">
        <f>IF(S6004&gt;=AL6004-0.01,1,0)</f>
        <v/>
      </c>
      <c r="AT6004">
        <f>IF(T6004&gt;=AM6004-0.01,1,0)</f>
        <v/>
      </c>
      <c r="AU6004">
        <f>IF(U6004&gt;=AN6004-0.01,1,0)</f>
        <v/>
      </c>
      <c r="AV6004">
        <f>IF(V6004&gt;=AO6004-0.01,1,0)</f>
        <v/>
      </c>
      <c r="AW6004">
        <f>IF(W6004&gt;=AP6004-0.01,1,0)</f>
        <v/>
      </c>
      <c r="AX6004">
        <f>AQ6004*AR6004*AS6004*AT6004*AU6004*AV6004*AW6004</f>
        <v/>
      </c>
    </row>
    <row r="6005">
      <c r="A6005" t="inlineStr"/>
      <c r="B6005">
        <f>Assumptions!$B$60</f>
        <v/>
      </c>
      <c r="C6005" t="n">
        <v>1</v>
      </c>
      <c r="D6005" t="n">
        <v>1</v>
      </c>
      <c r="E6005" t="n">
        <v>0</v>
      </c>
      <c r="F6005" t="n">
        <v>1</v>
      </c>
      <c r="G6005" t="n">
        <v>1</v>
      </c>
      <c r="H6005" t="n">
        <v>0</v>
      </c>
      <c r="I6005" t="n">
        <v>1</v>
      </c>
      <c r="J6005">
        <f>(1-C6005)*Assumptions!$B$41+(1-D6005)*Assumptions!$B$33+(1-E6005)*Assumptions!$B$32+(1-F6005)*Assumptions!$B$31+(1-G6005)*Assumptions!$B$30+(1-H6005)*Assumptions!$B$29+(1-I6005)*Assumptions!$B$28</f>
        <v/>
      </c>
      <c r="K6005">
        <f>C6005*$J$682+D6005*$F$682+E6005*$G$682+F6005*Assumptions!$B$14+G6005*Assumptions!$B$13+H6005*Assumptions!$B$12+I6005*Assumptions!$B$11+$O$682+$S$682+Assumptions!$B$9</f>
        <v/>
      </c>
      <c r="L6005">
        <f>B6005-J6005</f>
        <v/>
      </c>
      <c r="M6005">
        <f>IF(K6005&gt;0,IF(L6005/K6005&gt;=Assumptions!$B$37,1,0),0)</f>
        <v/>
      </c>
      <c r="N6005">
        <f>K6005+M6005*Assumptions!$B$153</f>
        <v/>
      </c>
      <c r="O6005">
        <f>L6005+M6005*Assumptions!$B$153*Assumptions!$B$37</f>
        <v/>
      </c>
      <c r="P6005">
        <f>IF(N6005&gt;0,O6005/N6005,0)</f>
        <v/>
      </c>
      <c r="Q6005">
        <f>IF(C6005=1,P6005*$J$682,Assumptions!$B$41)</f>
        <v/>
      </c>
      <c r="R6005">
        <f>IF(D6005=1,P6005*$F$682,Assumptions!$B$33)</f>
        <v/>
      </c>
      <c r="S6005">
        <f>IF(E6005=1,P6005*$G$682,Assumptions!$B$32)</f>
        <v/>
      </c>
      <c r="T6005">
        <f>IF(F6005=1,P6005*Assumptions!$B$14,Assumptions!$B$31)</f>
        <v/>
      </c>
      <c r="U6005">
        <f>IF(G6005=1,P6005*Assumptions!$B$13,Assumptions!$B$30)</f>
        <v/>
      </c>
      <c r="V6005">
        <f>IF(H6005=1,P6005*Assumptions!$B$12,Assumptions!$B$29)</f>
        <v/>
      </c>
      <c r="W6005">
        <f>IF(I6005=1,P6005*Assumptions!$B$11,Assumptions!$B$28)</f>
        <v/>
      </c>
      <c r="X6005">
        <f>P6005*($O$682+$S$682)</f>
        <v/>
      </c>
      <c r="Y6005">
        <f>P6005*Assumptions!$B$9</f>
        <v/>
      </c>
      <c r="Z6005">
        <f>IF(M6005=1,(P6005-Assumptions!$B$37)*Assumptions!$B$153,0)</f>
        <v/>
      </c>
      <c r="AA6005">
        <f>Q6005+R6005+S6005+T6005+U6005+V6005+W6005+X6005+Y6005+Z6005</f>
        <v/>
      </c>
      <c r="AB6005" t="n">
        <v>109</v>
      </c>
      <c r="AC6005" t="n">
        <v>45</v>
      </c>
      <c r="AD6005" t="n">
        <v>77</v>
      </c>
      <c r="AE6005" t="n">
        <v>125</v>
      </c>
      <c r="AF6005" t="n">
        <v>101</v>
      </c>
      <c r="AG6005" t="n">
        <v>105</v>
      </c>
      <c r="AH6005" t="n">
        <v>111</v>
      </c>
      <c r="AI6005" t="n">
        <v>108</v>
      </c>
      <c r="AJ6005">
        <f>INDEX($Q$5896:$Q$6023,AC6005+1)</f>
        <v/>
      </c>
      <c r="AK6005">
        <f>INDEX($R$5896:$R$6023,AD6005+1)</f>
        <v/>
      </c>
      <c r="AL6005">
        <f>INDEX($S$5896:$S$6023,AE6005+1)</f>
        <v/>
      </c>
      <c r="AM6005">
        <f>INDEX($T$5896:$T$6023,AF6005+1)</f>
        <v/>
      </c>
      <c r="AN6005">
        <f>INDEX($U$5896:$U$6023,AG6005+1)</f>
        <v/>
      </c>
      <c r="AO6005">
        <f>INDEX($V$5896:$V$6023,AH6005+1)</f>
        <v/>
      </c>
      <c r="AP6005">
        <f>INDEX($W$5896:$W$6023,AI6005+1)</f>
        <v/>
      </c>
      <c r="AQ6005">
        <f>IF(Q6005&gt;=AJ6005-0.01,1,0)</f>
        <v/>
      </c>
      <c r="AR6005">
        <f>IF(R6005&gt;=AK6005-0.01,1,0)</f>
        <v/>
      </c>
      <c r="AS6005">
        <f>IF(S6005&gt;=AL6005-0.01,1,0)</f>
        <v/>
      </c>
      <c r="AT6005">
        <f>IF(T6005&gt;=AM6005-0.01,1,0)</f>
        <v/>
      </c>
      <c r="AU6005">
        <f>IF(U6005&gt;=AN6005-0.01,1,0)</f>
        <v/>
      </c>
      <c r="AV6005">
        <f>IF(V6005&gt;=AO6005-0.01,1,0)</f>
        <v/>
      </c>
      <c r="AW6005">
        <f>IF(W6005&gt;=AP6005-0.01,1,0)</f>
        <v/>
      </c>
      <c r="AX6005">
        <f>AQ6005*AR6005*AS6005*AT6005*AU6005*AV6005*AW6005</f>
        <v/>
      </c>
    </row>
    <row r="6006">
      <c r="A6006" t="inlineStr"/>
      <c r="B6006">
        <f>Assumptions!$B$60</f>
        <v/>
      </c>
      <c r="C6006" t="n">
        <v>1</v>
      </c>
      <c r="D6006" t="n">
        <v>1</v>
      </c>
      <c r="E6006" t="n">
        <v>0</v>
      </c>
      <c r="F6006" t="n">
        <v>1</v>
      </c>
      <c r="G6006" t="n">
        <v>1</v>
      </c>
      <c r="H6006" t="n">
        <v>1</v>
      </c>
      <c r="I6006" t="n">
        <v>0</v>
      </c>
      <c r="J6006">
        <f>(1-C6006)*Assumptions!$B$41+(1-D6006)*Assumptions!$B$33+(1-E6006)*Assumptions!$B$32+(1-F6006)*Assumptions!$B$31+(1-G6006)*Assumptions!$B$30+(1-H6006)*Assumptions!$B$29+(1-I6006)*Assumptions!$B$28</f>
        <v/>
      </c>
      <c r="K6006">
        <f>C6006*$J$682+D6006*$F$682+E6006*$G$682+F6006*Assumptions!$B$14+G6006*Assumptions!$B$13+H6006*Assumptions!$B$12+I6006*Assumptions!$B$11+$O$682+$S$682+Assumptions!$B$9</f>
        <v/>
      </c>
      <c r="L6006">
        <f>B6006-J6006</f>
        <v/>
      </c>
      <c r="M6006">
        <f>IF(K6006&gt;0,IF(L6006/K6006&gt;=Assumptions!$B$37,1,0),0)</f>
        <v/>
      </c>
      <c r="N6006">
        <f>K6006+M6006*Assumptions!$B$153</f>
        <v/>
      </c>
      <c r="O6006">
        <f>L6006+M6006*Assumptions!$B$153*Assumptions!$B$37</f>
        <v/>
      </c>
      <c r="P6006">
        <f>IF(N6006&gt;0,O6006/N6006,0)</f>
        <v/>
      </c>
      <c r="Q6006">
        <f>IF(C6006=1,P6006*$J$682,Assumptions!$B$41)</f>
        <v/>
      </c>
      <c r="R6006">
        <f>IF(D6006=1,P6006*$F$682,Assumptions!$B$33)</f>
        <v/>
      </c>
      <c r="S6006">
        <f>IF(E6006=1,P6006*$G$682,Assumptions!$B$32)</f>
        <v/>
      </c>
      <c r="T6006">
        <f>IF(F6006=1,P6006*Assumptions!$B$14,Assumptions!$B$31)</f>
        <v/>
      </c>
      <c r="U6006">
        <f>IF(G6006=1,P6006*Assumptions!$B$13,Assumptions!$B$30)</f>
        <v/>
      </c>
      <c r="V6006">
        <f>IF(H6006=1,P6006*Assumptions!$B$12,Assumptions!$B$29)</f>
        <v/>
      </c>
      <c r="W6006">
        <f>IF(I6006=1,P6006*Assumptions!$B$11,Assumptions!$B$28)</f>
        <v/>
      </c>
      <c r="X6006">
        <f>P6006*($O$682+$S$682)</f>
        <v/>
      </c>
      <c r="Y6006">
        <f>P6006*Assumptions!$B$9</f>
        <v/>
      </c>
      <c r="Z6006">
        <f>IF(M6006=1,(P6006-Assumptions!$B$37)*Assumptions!$B$153,0)</f>
        <v/>
      </c>
      <c r="AA6006">
        <f>Q6006+R6006+S6006+T6006+U6006+V6006+W6006+X6006+Y6006+Z6006</f>
        <v/>
      </c>
      <c r="AB6006" t="n">
        <v>110</v>
      </c>
      <c r="AC6006" t="n">
        <v>46</v>
      </c>
      <c r="AD6006" t="n">
        <v>78</v>
      </c>
      <c r="AE6006" t="n">
        <v>126</v>
      </c>
      <c r="AF6006" t="n">
        <v>102</v>
      </c>
      <c r="AG6006" t="n">
        <v>106</v>
      </c>
      <c r="AH6006" t="n">
        <v>108</v>
      </c>
      <c r="AI6006" t="n">
        <v>111</v>
      </c>
      <c r="AJ6006">
        <f>INDEX($Q$5896:$Q$6023,AC6006+1)</f>
        <v/>
      </c>
      <c r="AK6006">
        <f>INDEX($R$5896:$R$6023,AD6006+1)</f>
        <v/>
      </c>
      <c r="AL6006">
        <f>INDEX($S$5896:$S$6023,AE6006+1)</f>
        <v/>
      </c>
      <c r="AM6006">
        <f>INDEX($T$5896:$T$6023,AF6006+1)</f>
        <v/>
      </c>
      <c r="AN6006">
        <f>INDEX($U$5896:$U$6023,AG6006+1)</f>
        <v/>
      </c>
      <c r="AO6006">
        <f>INDEX($V$5896:$V$6023,AH6006+1)</f>
        <v/>
      </c>
      <c r="AP6006">
        <f>INDEX($W$5896:$W$6023,AI6006+1)</f>
        <v/>
      </c>
      <c r="AQ6006">
        <f>IF(Q6006&gt;=AJ6006-0.01,1,0)</f>
        <v/>
      </c>
      <c r="AR6006">
        <f>IF(R6006&gt;=AK6006-0.01,1,0)</f>
        <v/>
      </c>
      <c r="AS6006">
        <f>IF(S6006&gt;=AL6006-0.01,1,0)</f>
        <v/>
      </c>
      <c r="AT6006">
        <f>IF(T6006&gt;=AM6006-0.01,1,0)</f>
        <v/>
      </c>
      <c r="AU6006">
        <f>IF(U6006&gt;=AN6006-0.01,1,0)</f>
        <v/>
      </c>
      <c r="AV6006">
        <f>IF(V6006&gt;=AO6006-0.01,1,0)</f>
        <v/>
      </c>
      <c r="AW6006">
        <f>IF(W6006&gt;=AP6006-0.01,1,0)</f>
        <v/>
      </c>
      <c r="AX6006">
        <f>AQ6006*AR6006*AS6006*AT6006*AU6006*AV6006*AW6006</f>
        <v/>
      </c>
    </row>
    <row r="6007">
      <c r="A6007" t="inlineStr"/>
      <c r="B6007">
        <f>Assumptions!$B$60</f>
        <v/>
      </c>
      <c r="C6007" t="n">
        <v>1</v>
      </c>
      <c r="D6007" t="n">
        <v>1</v>
      </c>
      <c r="E6007" t="n">
        <v>0</v>
      </c>
      <c r="F6007" t="n">
        <v>1</v>
      </c>
      <c r="G6007" t="n">
        <v>1</v>
      </c>
      <c r="H6007" t="n">
        <v>1</v>
      </c>
      <c r="I6007" t="n">
        <v>1</v>
      </c>
      <c r="J6007">
        <f>(1-C6007)*Assumptions!$B$41+(1-D6007)*Assumptions!$B$33+(1-E6007)*Assumptions!$B$32+(1-F6007)*Assumptions!$B$31+(1-G6007)*Assumptions!$B$30+(1-H6007)*Assumptions!$B$29+(1-I6007)*Assumptions!$B$28</f>
        <v/>
      </c>
      <c r="K6007">
        <f>C6007*$J$682+D6007*$F$682+E6007*$G$682+F6007*Assumptions!$B$14+G6007*Assumptions!$B$13+H6007*Assumptions!$B$12+I6007*Assumptions!$B$11+$O$682+$S$682+Assumptions!$B$9</f>
        <v/>
      </c>
      <c r="L6007">
        <f>B6007-J6007</f>
        <v/>
      </c>
      <c r="M6007">
        <f>IF(K6007&gt;0,IF(L6007/K6007&gt;=Assumptions!$B$37,1,0),0)</f>
        <v/>
      </c>
      <c r="N6007">
        <f>K6007+M6007*Assumptions!$B$153</f>
        <v/>
      </c>
      <c r="O6007">
        <f>L6007+M6007*Assumptions!$B$153*Assumptions!$B$37</f>
        <v/>
      </c>
      <c r="P6007">
        <f>IF(N6007&gt;0,O6007/N6007,0)</f>
        <v/>
      </c>
      <c r="Q6007">
        <f>IF(C6007=1,P6007*$J$682,Assumptions!$B$41)</f>
        <v/>
      </c>
      <c r="R6007">
        <f>IF(D6007=1,P6007*$F$682,Assumptions!$B$33)</f>
        <v/>
      </c>
      <c r="S6007">
        <f>IF(E6007=1,P6007*$G$682,Assumptions!$B$32)</f>
        <v/>
      </c>
      <c r="T6007">
        <f>IF(F6007=1,P6007*Assumptions!$B$14,Assumptions!$B$31)</f>
        <v/>
      </c>
      <c r="U6007">
        <f>IF(G6007=1,P6007*Assumptions!$B$13,Assumptions!$B$30)</f>
        <v/>
      </c>
      <c r="V6007">
        <f>IF(H6007=1,P6007*Assumptions!$B$12,Assumptions!$B$29)</f>
        <v/>
      </c>
      <c r="W6007">
        <f>IF(I6007=1,P6007*Assumptions!$B$11,Assumptions!$B$28)</f>
        <v/>
      </c>
      <c r="X6007">
        <f>P6007*($O$682+$S$682)</f>
        <v/>
      </c>
      <c r="Y6007">
        <f>P6007*Assumptions!$B$9</f>
        <v/>
      </c>
      <c r="Z6007">
        <f>IF(M6007=1,(P6007-Assumptions!$B$37)*Assumptions!$B$153,0)</f>
        <v/>
      </c>
      <c r="AA6007">
        <f>Q6007+R6007+S6007+T6007+U6007+V6007+W6007+X6007+Y6007+Z6007</f>
        <v/>
      </c>
      <c r="AB6007" t="n">
        <v>111</v>
      </c>
      <c r="AC6007" t="n">
        <v>47</v>
      </c>
      <c r="AD6007" t="n">
        <v>79</v>
      </c>
      <c r="AE6007" t="n">
        <v>127</v>
      </c>
      <c r="AF6007" t="n">
        <v>103</v>
      </c>
      <c r="AG6007" t="n">
        <v>107</v>
      </c>
      <c r="AH6007" t="n">
        <v>109</v>
      </c>
      <c r="AI6007" t="n">
        <v>110</v>
      </c>
      <c r="AJ6007">
        <f>INDEX($Q$5896:$Q$6023,AC6007+1)</f>
        <v/>
      </c>
      <c r="AK6007">
        <f>INDEX($R$5896:$R$6023,AD6007+1)</f>
        <v/>
      </c>
      <c r="AL6007">
        <f>INDEX($S$5896:$S$6023,AE6007+1)</f>
        <v/>
      </c>
      <c r="AM6007">
        <f>INDEX($T$5896:$T$6023,AF6007+1)</f>
        <v/>
      </c>
      <c r="AN6007">
        <f>INDEX($U$5896:$U$6023,AG6007+1)</f>
        <v/>
      </c>
      <c r="AO6007">
        <f>INDEX($V$5896:$V$6023,AH6007+1)</f>
        <v/>
      </c>
      <c r="AP6007">
        <f>INDEX($W$5896:$W$6023,AI6007+1)</f>
        <v/>
      </c>
      <c r="AQ6007">
        <f>IF(Q6007&gt;=AJ6007-0.01,1,0)</f>
        <v/>
      </c>
      <c r="AR6007">
        <f>IF(R6007&gt;=AK6007-0.01,1,0)</f>
        <v/>
      </c>
      <c r="AS6007">
        <f>IF(S6007&gt;=AL6007-0.01,1,0)</f>
        <v/>
      </c>
      <c r="AT6007">
        <f>IF(T6007&gt;=AM6007-0.01,1,0)</f>
        <v/>
      </c>
      <c r="AU6007">
        <f>IF(U6007&gt;=AN6007-0.01,1,0)</f>
        <v/>
      </c>
      <c r="AV6007">
        <f>IF(V6007&gt;=AO6007-0.01,1,0)</f>
        <v/>
      </c>
      <c r="AW6007">
        <f>IF(W6007&gt;=AP6007-0.01,1,0)</f>
        <v/>
      </c>
      <c r="AX6007">
        <f>AQ6007*AR6007*AS6007*AT6007*AU6007*AV6007*AW6007</f>
        <v/>
      </c>
    </row>
    <row r="6008">
      <c r="A6008" t="inlineStr"/>
      <c r="B6008">
        <f>Assumptions!$B$60</f>
        <v/>
      </c>
      <c r="C6008" t="n">
        <v>1</v>
      </c>
      <c r="D6008" t="n">
        <v>1</v>
      </c>
      <c r="E6008" t="n">
        <v>1</v>
      </c>
      <c r="F6008" t="n">
        <v>0</v>
      </c>
      <c r="G6008" t="n">
        <v>0</v>
      </c>
      <c r="H6008" t="n">
        <v>0</v>
      </c>
      <c r="I6008" t="n">
        <v>0</v>
      </c>
      <c r="J6008">
        <f>(1-C6008)*Assumptions!$B$41+(1-D6008)*Assumptions!$B$33+(1-E6008)*Assumptions!$B$32+(1-F6008)*Assumptions!$B$31+(1-G6008)*Assumptions!$B$30+(1-H6008)*Assumptions!$B$29+(1-I6008)*Assumptions!$B$28</f>
        <v/>
      </c>
      <c r="K6008">
        <f>C6008*$J$682+D6008*$F$682+E6008*$G$682+F6008*Assumptions!$B$14+G6008*Assumptions!$B$13+H6008*Assumptions!$B$12+I6008*Assumptions!$B$11+$O$682+$S$682+Assumptions!$B$9</f>
        <v/>
      </c>
      <c r="L6008">
        <f>B6008-J6008</f>
        <v/>
      </c>
      <c r="M6008">
        <f>IF(K6008&gt;0,IF(L6008/K6008&gt;=Assumptions!$B$37,1,0),0)</f>
        <v/>
      </c>
      <c r="N6008">
        <f>K6008+M6008*Assumptions!$B$153</f>
        <v/>
      </c>
      <c r="O6008">
        <f>L6008+M6008*Assumptions!$B$153*Assumptions!$B$37</f>
        <v/>
      </c>
      <c r="P6008">
        <f>IF(N6008&gt;0,O6008/N6008,0)</f>
        <v/>
      </c>
      <c r="Q6008">
        <f>IF(C6008=1,P6008*$J$682,Assumptions!$B$41)</f>
        <v/>
      </c>
      <c r="R6008">
        <f>IF(D6008=1,P6008*$F$682,Assumptions!$B$33)</f>
        <v/>
      </c>
      <c r="S6008">
        <f>IF(E6008=1,P6008*$G$682,Assumptions!$B$32)</f>
        <v/>
      </c>
      <c r="T6008">
        <f>IF(F6008=1,P6008*Assumptions!$B$14,Assumptions!$B$31)</f>
        <v/>
      </c>
      <c r="U6008">
        <f>IF(G6008=1,P6008*Assumptions!$B$13,Assumptions!$B$30)</f>
        <v/>
      </c>
      <c r="V6008">
        <f>IF(H6008=1,P6008*Assumptions!$B$12,Assumptions!$B$29)</f>
        <v/>
      </c>
      <c r="W6008">
        <f>IF(I6008=1,P6008*Assumptions!$B$11,Assumptions!$B$28)</f>
        <v/>
      </c>
      <c r="X6008">
        <f>P6008*($O$682+$S$682)</f>
        <v/>
      </c>
      <c r="Y6008">
        <f>P6008*Assumptions!$B$9</f>
        <v/>
      </c>
      <c r="Z6008">
        <f>IF(M6008=1,(P6008-Assumptions!$B$37)*Assumptions!$B$153,0)</f>
        <v/>
      </c>
      <c r="AA6008">
        <f>Q6008+R6008+S6008+T6008+U6008+V6008+W6008+X6008+Y6008+Z6008</f>
        <v/>
      </c>
      <c r="AB6008" t="n">
        <v>112</v>
      </c>
      <c r="AC6008" t="n">
        <v>48</v>
      </c>
      <c r="AD6008" t="n">
        <v>80</v>
      </c>
      <c r="AE6008" t="n">
        <v>96</v>
      </c>
      <c r="AF6008" t="n">
        <v>120</v>
      </c>
      <c r="AG6008" t="n">
        <v>116</v>
      </c>
      <c r="AH6008" t="n">
        <v>114</v>
      </c>
      <c r="AI6008" t="n">
        <v>113</v>
      </c>
      <c r="AJ6008">
        <f>INDEX($Q$5896:$Q$6023,AC6008+1)</f>
        <v/>
      </c>
      <c r="AK6008">
        <f>INDEX($R$5896:$R$6023,AD6008+1)</f>
        <v/>
      </c>
      <c r="AL6008">
        <f>INDEX($S$5896:$S$6023,AE6008+1)</f>
        <v/>
      </c>
      <c r="AM6008">
        <f>INDEX($T$5896:$T$6023,AF6008+1)</f>
        <v/>
      </c>
      <c r="AN6008">
        <f>INDEX($U$5896:$U$6023,AG6008+1)</f>
        <v/>
      </c>
      <c r="AO6008">
        <f>INDEX($V$5896:$V$6023,AH6008+1)</f>
        <v/>
      </c>
      <c r="AP6008">
        <f>INDEX($W$5896:$W$6023,AI6008+1)</f>
        <v/>
      </c>
      <c r="AQ6008">
        <f>IF(Q6008&gt;=AJ6008-0.01,1,0)</f>
        <v/>
      </c>
      <c r="AR6008">
        <f>IF(R6008&gt;=AK6008-0.01,1,0)</f>
        <v/>
      </c>
      <c r="AS6008">
        <f>IF(S6008&gt;=AL6008-0.01,1,0)</f>
        <v/>
      </c>
      <c r="AT6008">
        <f>IF(T6008&gt;=AM6008-0.01,1,0)</f>
        <v/>
      </c>
      <c r="AU6008">
        <f>IF(U6008&gt;=AN6008-0.01,1,0)</f>
        <v/>
      </c>
      <c r="AV6008">
        <f>IF(V6008&gt;=AO6008-0.01,1,0)</f>
        <v/>
      </c>
      <c r="AW6008">
        <f>IF(W6008&gt;=AP6008-0.01,1,0)</f>
        <v/>
      </c>
      <c r="AX6008">
        <f>AQ6008*AR6008*AS6008*AT6008*AU6008*AV6008*AW6008</f>
        <v/>
      </c>
    </row>
    <row r="6009">
      <c r="A6009" t="inlineStr"/>
      <c r="B6009">
        <f>Assumptions!$B$60</f>
        <v/>
      </c>
      <c r="C6009" t="n">
        <v>1</v>
      </c>
      <c r="D6009" t="n">
        <v>1</v>
      </c>
      <c r="E6009" t="n">
        <v>1</v>
      </c>
      <c r="F6009" t="n">
        <v>0</v>
      </c>
      <c r="G6009" t="n">
        <v>0</v>
      </c>
      <c r="H6009" t="n">
        <v>0</v>
      </c>
      <c r="I6009" t="n">
        <v>1</v>
      </c>
      <c r="J6009">
        <f>(1-C6009)*Assumptions!$B$41+(1-D6009)*Assumptions!$B$33+(1-E6009)*Assumptions!$B$32+(1-F6009)*Assumptions!$B$31+(1-G6009)*Assumptions!$B$30+(1-H6009)*Assumptions!$B$29+(1-I6009)*Assumptions!$B$28</f>
        <v/>
      </c>
      <c r="K6009">
        <f>C6009*$J$682+D6009*$F$682+E6009*$G$682+F6009*Assumptions!$B$14+G6009*Assumptions!$B$13+H6009*Assumptions!$B$12+I6009*Assumptions!$B$11+$O$682+$S$682+Assumptions!$B$9</f>
        <v/>
      </c>
      <c r="L6009">
        <f>B6009-J6009</f>
        <v/>
      </c>
      <c r="M6009">
        <f>IF(K6009&gt;0,IF(L6009/K6009&gt;=Assumptions!$B$37,1,0),0)</f>
        <v/>
      </c>
      <c r="N6009">
        <f>K6009+M6009*Assumptions!$B$153</f>
        <v/>
      </c>
      <c r="O6009">
        <f>L6009+M6009*Assumptions!$B$153*Assumptions!$B$37</f>
        <v/>
      </c>
      <c r="P6009">
        <f>IF(N6009&gt;0,O6009/N6009,0)</f>
        <v/>
      </c>
      <c r="Q6009">
        <f>IF(C6009=1,P6009*$J$682,Assumptions!$B$41)</f>
        <v/>
      </c>
      <c r="R6009">
        <f>IF(D6009=1,P6009*$F$682,Assumptions!$B$33)</f>
        <v/>
      </c>
      <c r="S6009">
        <f>IF(E6009=1,P6009*$G$682,Assumptions!$B$32)</f>
        <v/>
      </c>
      <c r="T6009">
        <f>IF(F6009=1,P6009*Assumptions!$B$14,Assumptions!$B$31)</f>
        <v/>
      </c>
      <c r="U6009">
        <f>IF(G6009=1,P6009*Assumptions!$B$13,Assumptions!$B$30)</f>
        <v/>
      </c>
      <c r="V6009">
        <f>IF(H6009=1,P6009*Assumptions!$B$12,Assumptions!$B$29)</f>
        <v/>
      </c>
      <c r="W6009">
        <f>IF(I6009=1,P6009*Assumptions!$B$11,Assumptions!$B$28)</f>
        <v/>
      </c>
      <c r="X6009">
        <f>P6009*($O$682+$S$682)</f>
        <v/>
      </c>
      <c r="Y6009">
        <f>P6009*Assumptions!$B$9</f>
        <v/>
      </c>
      <c r="Z6009">
        <f>IF(M6009=1,(P6009-Assumptions!$B$37)*Assumptions!$B$153,0)</f>
        <v/>
      </c>
      <c r="AA6009">
        <f>Q6009+R6009+S6009+T6009+U6009+V6009+W6009+X6009+Y6009+Z6009</f>
        <v/>
      </c>
      <c r="AB6009" t="n">
        <v>113</v>
      </c>
      <c r="AC6009" t="n">
        <v>49</v>
      </c>
      <c r="AD6009" t="n">
        <v>81</v>
      </c>
      <c r="AE6009" t="n">
        <v>97</v>
      </c>
      <c r="AF6009" t="n">
        <v>121</v>
      </c>
      <c r="AG6009" t="n">
        <v>117</v>
      </c>
      <c r="AH6009" t="n">
        <v>115</v>
      </c>
      <c r="AI6009" t="n">
        <v>112</v>
      </c>
      <c r="AJ6009">
        <f>INDEX($Q$5896:$Q$6023,AC6009+1)</f>
        <v/>
      </c>
      <c r="AK6009">
        <f>INDEX($R$5896:$R$6023,AD6009+1)</f>
        <v/>
      </c>
      <c r="AL6009">
        <f>INDEX($S$5896:$S$6023,AE6009+1)</f>
        <v/>
      </c>
      <c r="AM6009">
        <f>INDEX($T$5896:$T$6023,AF6009+1)</f>
        <v/>
      </c>
      <c r="AN6009">
        <f>INDEX($U$5896:$U$6023,AG6009+1)</f>
        <v/>
      </c>
      <c r="AO6009">
        <f>INDEX($V$5896:$V$6023,AH6009+1)</f>
        <v/>
      </c>
      <c r="AP6009">
        <f>INDEX($W$5896:$W$6023,AI6009+1)</f>
        <v/>
      </c>
      <c r="AQ6009">
        <f>IF(Q6009&gt;=AJ6009-0.01,1,0)</f>
        <v/>
      </c>
      <c r="AR6009">
        <f>IF(R6009&gt;=AK6009-0.01,1,0)</f>
        <v/>
      </c>
      <c r="AS6009">
        <f>IF(S6009&gt;=AL6009-0.01,1,0)</f>
        <v/>
      </c>
      <c r="AT6009">
        <f>IF(T6009&gt;=AM6009-0.01,1,0)</f>
        <v/>
      </c>
      <c r="AU6009">
        <f>IF(U6009&gt;=AN6009-0.01,1,0)</f>
        <v/>
      </c>
      <c r="AV6009">
        <f>IF(V6009&gt;=AO6009-0.01,1,0)</f>
        <v/>
      </c>
      <c r="AW6009">
        <f>IF(W6009&gt;=AP6009-0.01,1,0)</f>
        <v/>
      </c>
      <c r="AX6009">
        <f>AQ6009*AR6009*AS6009*AT6009*AU6009*AV6009*AW6009</f>
        <v/>
      </c>
    </row>
    <row r="6010">
      <c r="A6010" t="inlineStr"/>
      <c r="B6010">
        <f>Assumptions!$B$60</f>
        <v/>
      </c>
      <c r="C6010" t="n">
        <v>1</v>
      </c>
      <c r="D6010" t="n">
        <v>1</v>
      </c>
      <c r="E6010" t="n">
        <v>1</v>
      </c>
      <c r="F6010" t="n">
        <v>0</v>
      </c>
      <c r="G6010" t="n">
        <v>0</v>
      </c>
      <c r="H6010" t="n">
        <v>1</v>
      </c>
      <c r="I6010" t="n">
        <v>0</v>
      </c>
      <c r="J6010">
        <f>(1-C6010)*Assumptions!$B$41+(1-D6010)*Assumptions!$B$33+(1-E6010)*Assumptions!$B$32+(1-F6010)*Assumptions!$B$31+(1-G6010)*Assumptions!$B$30+(1-H6010)*Assumptions!$B$29+(1-I6010)*Assumptions!$B$28</f>
        <v/>
      </c>
      <c r="K6010">
        <f>C6010*$J$682+D6010*$F$682+E6010*$G$682+F6010*Assumptions!$B$14+G6010*Assumptions!$B$13+H6010*Assumptions!$B$12+I6010*Assumptions!$B$11+$O$682+$S$682+Assumptions!$B$9</f>
        <v/>
      </c>
      <c r="L6010">
        <f>B6010-J6010</f>
        <v/>
      </c>
      <c r="M6010">
        <f>IF(K6010&gt;0,IF(L6010/K6010&gt;=Assumptions!$B$37,1,0),0)</f>
        <v/>
      </c>
      <c r="N6010">
        <f>K6010+M6010*Assumptions!$B$153</f>
        <v/>
      </c>
      <c r="O6010">
        <f>L6010+M6010*Assumptions!$B$153*Assumptions!$B$37</f>
        <v/>
      </c>
      <c r="P6010">
        <f>IF(N6010&gt;0,O6010/N6010,0)</f>
        <v/>
      </c>
      <c r="Q6010">
        <f>IF(C6010=1,P6010*$J$682,Assumptions!$B$41)</f>
        <v/>
      </c>
      <c r="R6010">
        <f>IF(D6010=1,P6010*$F$682,Assumptions!$B$33)</f>
        <v/>
      </c>
      <c r="S6010">
        <f>IF(E6010=1,P6010*$G$682,Assumptions!$B$32)</f>
        <v/>
      </c>
      <c r="T6010">
        <f>IF(F6010=1,P6010*Assumptions!$B$14,Assumptions!$B$31)</f>
        <v/>
      </c>
      <c r="U6010">
        <f>IF(G6010=1,P6010*Assumptions!$B$13,Assumptions!$B$30)</f>
        <v/>
      </c>
      <c r="V6010">
        <f>IF(H6010=1,P6010*Assumptions!$B$12,Assumptions!$B$29)</f>
        <v/>
      </c>
      <c r="W6010">
        <f>IF(I6010=1,P6010*Assumptions!$B$11,Assumptions!$B$28)</f>
        <v/>
      </c>
      <c r="X6010">
        <f>P6010*($O$682+$S$682)</f>
        <v/>
      </c>
      <c r="Y6010">
        <f>P6010*Assumptions!$B$9</f>
        <v/>
      </c>
      <c r="Z6010">
        <f>IF(M6010=1,(P6010-Assumptions!$B$37)*Assumptions!$B$153,0)</f>
        <v/>
      </c>
      <c r="AA6010">
        <f>Q6010+R6010+S6010+T6010+U6010+V6010+W6010+X6010+Y6010+Z6010</f>
        <v/>
      </c>
      <c r="AB6010" t="n">
        <v>114</v>
      </c>
      <c r="AC6010" t="n">
        <v>50</v>
      </c>
      <c r="AD6010" t="n">
        <v>82</v>
      </c>
      <c r="AE6010" t="n">
        <v>98</v>
      </c>
      <c r="AF6010" t="n">
        <v>122</v>
      </c>
      <c r="AG6010" t="n">
        <v>118</v>
      </c>
      <c r="AH6010" t="n">
        <v>112</v>
      </c>
      <c r="AI6010" t="n">
        <v>115</v>
      </c>
      <c r="AJ6010">
        <f>INDEX($Q$5896:$Q$6023,AC6010+1)</f>
        <v/>
      </c>
      <c r="AK6010">
        <f>INDEX($R$5896:$R$6023,AD6010+1)</f>
        <v/>
      </c>
      <c r="AL6010">
        <f>INDEX($S$5896:$S$6023,AE6010+1)</f>
        <v/>
      </c>
      <c r="AM6010">
        <f>INDEX($T$5896:$T$6023,AF6010+1)</f>
        <v/>
      </c>
      <c r="AN6010">
        <f>INDEX($U$5896:$U$6023,AG6010+1)</f>
        <v/>
      </c>
      <c r="AO6010">
        <f>INDEX($V$5896:$V$6023,AH6010+1)</f>
        <v/>
      </c>
      <c r="AP6010">
        <f>INDEX($W$5896:$W$6023,AI6010+1)</f>
        <v/>
      </c>
      <c r="AQ6010">
        <f>IF(Q6010&gt;=AJ6010-0.01,1,0)</f>
        <v/>
      </c>
      <c r="AR6010">
        <f>IF(R6010&gt;=AK6010-0.01,1,0)</f>
        <v/>
      </c>
      <c r="AS6010">
        <f>IF(S6010&gt;=AL6010-0.01,1,0)</f>
        <v/>
      </c>
      <c r="AT6010">
        <f>IF(T6010&gt;=AM6010-0.01,1,0)</f>
        <v/>
      </c>
      <c r="AU6010">
        <f>IF(U6010&gt;=AN6010-0.01,1,0)</f>
        <v/>
      </c>
      <c r="AV6010">
        <f>IF(V6010&gt;=AO6010-0.01,1,0)</f>
        <v/>
      </c>
      <c r="AW6010">
        <f>IF(W6010&gt;=AP6010-0.01,1,0)</f>
        <v/>
      </c>
      <c r="AX6010">
        <f>AQ6010*AR6010*AS6010*AT6010*AU6010*AV6010*AW6010</f>
        <v/>
      </c>
    </row>
    <row r="6011">
      <c r="A6011" t="inlineStr"/>
      <c r="B6011">
        <f>Assumptions!$B$60</f>
        <v/>
      </c>
      <c r="C6011" t="n">
        <v>1</v>
      </c>
      <c r="D6011" t="n">
        <v>1</v>
      </c>
      <c r="E6011" t="n">
        <v>1</v>
      </c>
      <c r="F6011" t="n">
        <v>0</v>
      </c>
      <c r="G6011" t="n">
        <v>0</v>
      </c>
      <c r="H6011" t="n">
        <v>1</v>
      </c>
      <c r="I6011" t="n">
        <v>1</v>
      </c>
      <c r="J6011">
        <f>(1-C6011)*Assumptions!$B$41+(1-D6011)*Assumptions!$B$33+(1-E6011)*Assumptions!$B$32+(1-F6011)*Assumptions!$B$31+(1-G6011)*Assumptions!$B$30+(1-H6011)*Assumptions!$B$29+(1-I6011)*Assumptions!$B$28</f>
        <v/>
      </c>
      <c r="K6011">
        <f>C6011*$J$682+D6011*$F$682+E6011*$G$682+F6011*Assumptions!$B$14+G6011*Assumptions!$B$13+H6011*Assumptions!$B$12+I6011*Assumptions!$B$11+$O$682+$S$682+Assumptions!$B$9</f>
        <v/>
      </c>
      <c r="L6011">
        <f>B6011-J6011</f>
        <v/>
      </c>
      <c r="M6011">
        <f>IF(K6011&gt;0,IF(L6011/K6011&gt;=Assumptions!$B$37,1,0),0)</f>
        <v/>
      </c>
      <c r="N6011">
        <f>K6011+M6011*Assumptions!$B$153</f>
        <v/>
      </c>
      <c r="O6011">
        <f>L6011+M6011*Assumptions!$B$153*Assumptions!$B$37</f>
        <v/>
      </c>
      <c r="P6011">
        <f>IF(N6011&gt;0,O6011/N6011,0)</f>
        <v/>
      </c>
      <c r="Q6011">
        <f>IF(C6011=1,P6011*$J$682,Assumptions!$B$41)</f>
        <v/>
      </c>
      <c r="R6011">
        <f>IF(D6011=1,P6011*$F$682,Assumptions!$B$33)</f>
        <v/>
      </c>
      <c r="S6011">
        <f>IF(E6011=1,P6011*$G$682,Assumptions!$B$32)</f>
        <v/>
      </c>
      <c r="T6011">
        <f>IF(F6011=1,P6011*Assumptions!$B$14,Assumptions!$B$31)</f>
        <v/>
      </c>
      <c r="U6011">
        <f>IF(G6011=1,P6011*Assumptions!$B$13,Assumptions!$B$30)</f>
        <v/>
      </c>
      <c r="V6011">
        <f>IF(H6011=1,P6011*Assumptions!$B$12,Assumptions!$B$29)</f>
        <v/>
      </c>
      <c r="W6011">
        <f>IF(I6011=1,P6011*Assumptions!$B$11,Assumptions!$B$28)</f>
        <v/>
      </c>
      <c r="X6011">
        <f>P6011*($O$682+$S$682)</f>
        <v/>
      </c>
      <c r="Y6011">
        <f>P6011*Assumptions!$B$9</f>
        <v/>
      </c>
      <c r="Z6011">
        <f>IF(M6011=1,(P6011-Assumptions!$B$37)*Assumptions!$B$153,0)</f>
        <v/>
      </c>
      <c r="AA6011">
        <f>Q6011+R6011+S6011+T6011+U6011+V6011+W6011+X6011+Y6011+Z6011</f>
        <v/>
      </c>
      <c r="AB6011" t="n">
        <v>115</v>
      </c>
      <c r="AC6011" t="n">
        <v>51</v>
      </c>
      <c r="AD6011" t="n">
        <v>83</v>
      </c>
      <c r="AE6011" t="n">
        <v>99</v>
      </c>
      <c r="AF6011" t="n">
        <v>123</v>
      </c>
      <c r="AG6011" t="n">
        <v>119</v>
      </c>
      <c r="AH6011" t="n">
        <v>113</v>
      </c>
      <c r="AI6011" t="n">
        <v>114</v>
      </c>
      <c r="AJ6011">
        <f>INDEX($Q$5896:$Q$6023,AC6011+1)</f>
        <v/>
      </c>
      <c r="AK6011">
        <f>INDEX($R$5896:$R$6023,AD6011+1)</f>
        <v/>
      </c>
      <c r="AL6011">
        <f>INDEX($S$5896:$S$6023,AE6011+1)</f>
        <v/>
      </c>
      <c r="AM6011">
        <f>INDEX($T$5896:$T$6023,AF6011+1)</f>
        <v/>
      </c>
      <c r="AN6011">
        <f>INDEX($U$5896:$U$6023,AG6011+1)</f>
        <v/>
      </c>
      <c r="AO6011">
        <f>INDEX($V$5896:$V$6023,AH6011+1)</f>
        <v/>
      </c>
      <c r="AP6011">
        <f>INDEX($W$5896:$W$6023,AI6011+1)</f>
        <v/>
      </c>
      <c r="AQ6011">
        <f>IF(Q6011&gt;=AJ6011-0.01,1,0)</f>
        <v/>
      </c>
      <c r="AR6011">
        <f>IF(R6011&gt;=AK6011-0.01,1,0)</f>
        <v/>
      </c>
      <c r="AS6011">
        <f>IF(S6011&gt;=AL6011-0.01,1,0)</f>
        <v/>
      </c>
      <c r="AT6011">
        <f>IF(T6011&gt;=AM6011-0.01,1,0)</f>
        <v/>
      </c>
      <c r="AU6011">
        <f>IF(U6011&gt;=AN6011-0.01,1,0)</f>
        <v/>
      </c>
      <c r="AV6011">
        <f>IF(V6011&gt;=AO6011-0.01,1,0)</f>
        <v/>
      </c>
      <c r="AW6011">
        <f>IF(W6011&gt;=AP6011-0.01,1,0)</f>
        <v/>
      </c>
      <c r="AX6011">
        <f>AQ6011*AR6011*AS6011*AT6011*AU6011*AV6011*AW6011</f>
        <v/>
      </c>
    </row>
    <row r="6012">
      <c r="A6012" t="inlineStr"/>
      <c r="B6012">
        <f>Assumptions!$B$60</f>
        <v/>
      </c>
      <c r="C6012" t="n">
        <v>1</v>
      </c>
      <c r="D6012" t="n">
        <v>1</v>
      </c>
      <c r="E6012" t="n">
        <v>1</v>
      </c>
      <c r="F6012" t="n">
        <v>0</v>
      </c>
      <c r="G6012" t="n">
        <v>1</v>
      </c>
      <c r="H6012" t="n">
        <v>0</v>
      </c>
      <c r="I6012" t="n">
        <v>0</v>
      </c>
      <c r="J6012">
        <f>(1-C6012)*Assumptions!$B$41+(1-D6012)*Assumptions!$B$33+(1-E6012)*Assumptions!$B$32+(1-F6012)*Assumptions!$B$31+(1-G6012)*Assumptions!$B$30+(1-H6012)*Assumptions!$B$29+(1-I6012)*Assumptions!$B$28</f>
        <v/>
      </c>
      <c r="K6012">
        <f>C6012*$J$682+D6012*$F$682+E6012*$G$682+F6012*Assumptions!$B$14+G6012*Assumptions!$B$13+H6012*Assumptions!$B$12+I6012*Assumptions!$B$11+$O$682+$S$682+Assumptions!$B$9</f>
        <v/>
      </c>
      <c r="L6012">
        <f>B6012-J6012</f>
        <v/>
      </c>
      <c r="M6012">
        <f>IF(K6012&gt;0,IF(L6012/K6012&gt;=Assumptions!$B$37,1,0),0)</f>
        <v/>
      </c>
      <c r="N6012">
        <f>K6012+M6012*Assumptions!$B$153</f>
        <v/>
      </c>
      <c r="O6012">
        <f>L6012+M6012*Assumptions!$B$153*Assumptions!$B$37</f>
        <v/>
      </c>
      <c r="P6012">
        <f>IF(N6012&gt;0,O6012/N6012,0)</f>
        <v/>
      </c>
      <c r="Q6012">
        <f>IF(C6012=1,P6012*$J$682,Assumptions!$B$41)</f>
        <v/>
      </c>
      <c r="R6012">
        <f>IF(D6012=1,P6012*$F$682,Assumptions!$B$33)</f>
        <v/>
      </c>
      <c r="S6012">
        <f>IF(E6012=1,P6012*$G$682,Assumptions!$B$32)</f>
        <v/>
      </c>
      <c r="T6012">
        <f>IF(F6012=1,P6012*Assumptions!$B$14,Assumptions!$B$31)</f>
        <v/>
      </c>
      <c r="U6012">
        <f>IF(G6012=1,P6012*Assumptions!$B$13,Assumptions!$B$30)</f>
        <v/>
      </c>
      <c r="V6012">
        <f>IF(H6012=1,P6012*Assumptions!$B$12,Assumptions!$B$29)</f>
        <v/>
      </c>
      <c r="W6012">
        <f>IF(I6012=1,P6012*Assumptions!$B$11,Assumptions!$B$28)</f>
        <v/>
      </c>
      <c r="X6012">
        <f>P6012*($O$682+$S$682)</f>
        <v/>
      </c>
      <c r="Y6012">
        <f>P6012*Assumptions!$B$9</f>
        <v/>
      </c>
      <c r="Z6012">
        <f>IF(M6012=1,(P6012-Assumptions!$B$37)*Assumptions!$B$153,0)</f>
        <v/>
      </c>
      <c r="AA6012">
        <f>Q6012+R6012+S6012+T6012+U6012+V6012+W6012+X6012+Y6012+Z6012</f>
        <v/>
      </c>
      <c r="AB6012" t="n">
        <v>116</v>
      </c>
      <c r="AC6012" t="n">
        <v>52</v>
      </c>
      <c r="AD6012" t="n">
        <v>84</v>
      </c>
      <c r="AE6012" t="n">
        <v>100</v>
      </c>
      <c r="AF6012" t="n">
        <v>124</v>
      </c>
      <c r="AG6012" t="n">
        <v>112</v>
      </c>
      <c r="AH6012" t="n">
        <v>118</v>
      </c>
      <c r="AI6012" t="n">
        <v>117</v>
      </c>
      <c r="AJ6012">
        <f>INDEX($Q$5896:$Q$6023,AC6012+1)</f>
        <v/>
      </c>
      <c r="AK6012">
        <f>INDEX($R$5896:$R$6023,AD6012+1)</f>
        <v/>
      </c>
      <c r="AL6012">
        <f>INDEX($S$5896:$S$6023,AE6012+1)</f>
        <v/>
      </c>
      <c r="AM6012">
        <f>INDEX($T$5896:$T$6023,AF6012+1)</f>
        <v/>
      </c>
      <c r="AN6012">
        <f>INDEX($U$5896:$U$6023,AG6012+1)</f>
        <v/>
      </c>
      <c r="AO6012">
        <f>INDEX($V$5896:$V$6023,AH6012+1)</f>
        <v/>
      </c>
      <c r="AP6012">
        <f>INDEX($W$5896:$W$6023,AI6012+1)</f>
        <v/>
      </c>
      <c r="AQ6012">
        <f>IF(Q6012&gt;=AJ6012-0.01,1,0)</f>
        <v/>
      </c>
      <c r="AR6012">
        <f>IF(R6012&gt;=AK6012-0.01,1,0)</f>
        <v/>
      </c>
      <c r="AS6012">
        <f>IF(S6012&gt;=AL6012-0.01,1,0)</f>
        <v/>
      </c>
      <c r="AT6012">
        <f>IF(T6012&gt;=AM6012-0.01,1,0)</f>
        <v/>
      </c>
      <c r="AU6012">
        <f>IF(U6012&gt;=AN6012-0.01,1,0)</f>
        <v/>
      </c>
      <c r="AV6012">
        <f>IF(V6012&gt;=AO6012-0.01,1,0)</f>
        <v/>
      </c>
      <c r="AW6012">
        <f>IF(W6012&gt;=AP6012-0.01,1,0)</f>
        <v/>
      </c>
      <c r="AX6012">
        <f>AQ6012*AR6012*AS6012*AT6012*AU6012*AV6012*AW6012</f>
        <v/>
      </c>
    </row>
    <row r="6013">
      <c r="A6013" t="inlineStr"/>
      <c r="B6013">
        <f>Assumptions!$B$60</f>
        <v/>
      </c>
      <c r="C6013" t="n">
        <v>1</v>
      </c>
      <c r="D6013" t="n">
        <v>1</v>
      </c>
      <c r="E6013" t="n">
        <v>1</v>
      </c>
      <c r="F6013" t="n">
        <v>0</v>
      </c>
      <c r="G6013" t="n">
        <v>1</v>
      </c>
      <c r="H6013" t="n">
        <v>0</v>
      </c>
      <c r="I6013" t="n">
        <v>1</v>
      </c>
      <c r="J6013">
        <f>(1-C6013)*Assumptions!$B$41+(1-D6013)*Assumptions!$B$33+(1-E6013)*Assumptions!$B$32+(1-F6013)*Assumptions!$B$31+(1-G6013)*Assumptions!$B$30+(1-H6013)*Assumptions!$B$29+(1-I6013)*Assumptions!$B$28</f>
        <v/>
      </c>
      <c r="K6013">
        <f>C6013*$J$682+D6013*$F$682+E6013*$G$682+F6013*Assumptions!$B$14+G6013*Assumptions!$B$13+H6013*Assumptions!$B$12+I6013*Assumptions!$B$11+$O$682+$S$682+Assumptions!$B$9</f>
        <v/>
      </c>
      <c r="L6013">
        <f>B6013-J6013</f>
        <v/>
      </c>
      <c r="M6013">
        <f>IF(K6013&gt;0,IF(L6013/K6013&gt;=Assumptions!$B$37,1,0),0)</f>
        <v/>
      </c>
      <c r="N6013">
        <f>K6013+M6013*Assumptions!$B$153</f>
        <v/>
      </c>
      <c r="O6013">
        <f>L6013+M6013*Assumptions!$B$153*Assumptions!$B$37</f>
        <v/>
      </c>
      <c r="P6013">
        <f>IF(N6013&gt;0,O6013/N6013,0)</f>
        <v/>
      </c>
      <c r="Q6013">
        <f>IF(C6013=1,P6013*$J$682,Assumptions!$B$41)</f>
        <v/>
      </c>
      <c r="R6013">
        <f>IF(D6013=1,P6013*$F$682,Assumptions!$B$33)</f>
        <v/>
      </c>
      <c r="S6013">
        <f>IF(E6013=1,P6013*$G$682,Assumptions!$B$32)</f>
        <v/>
      </c>
      <c r="T6013">
        <f>IF(F6013=1,P6013*Assumptions!$B$14,Assumptions!$B$31)</f>
        <v/>
      </c>
      <c r="U6013">
        <f>IF(G6013=1,P6013*Assumptions!$B$13,Assumptions!$B$30)</f>
        <v/>
      </c>
      <c r="V6013">
        <f>IF(H6013=1,P6013*Assumptions!$B$12,Assumptions!$B$29)</f>
        <v/>
      </c>
      <c r="W6013">
        <f>IF(I6013=1,P6013*Assumptions!$B$11,Assumptions!$B$28)</f>
        <v/>
      </c>
      <c r="X6013">
        <f>P6013*($O$682+$S$682)</f>
        <v/>
      </c>
      <c r="Y6013">
        <f>P6013*Assumptions!$B$9</f>
        <v/>
      </c>
      <c r="Z6013">
        <f>IF(M6013=1,(P6013-Assumptions!$B$37)*Assumptions!$B$153,0)</f>
        <v/>
      </c>
      <c r="AA6013">
        <f>Q6013+R6013+S6013+T6013+U6013+V6013+W6013+X6013+Y6013+Z6013</f>
        <v/>
      </c>
      <c r="AB6013" t="n">
        <v>117</v>
      </c>
      <c r="AC6013" t="n">
        <v>53</v>
      </c>
      <c r="AD6013" t="n">
        <v>85</v>
      </c>
      <c r="AE6013" t="n">
        <v>101</v>
      </c>
      <c r="AF6013" t="n">
        <v>125</v>
      </c>
      <c r="AG6013" t="n">
        <v>113</v>
      </c>
      <c r="AH6013" t="n">
        <v>119</v>
      </c>
      <c r="AI6013" t="n">
        <v>116</v>
      </c>
      <c r="AJ6013">
        <f>INDEX($Q$5896:$Q$6023,AC6013+1)</f>
        <v/>
      </c>
      <c r="AK6013">
        <f>INDEX($R$5896:$R$6023,AD6013+1)</f>
        <v/>
      </c>
      <c r="AL6013">
        <f>INDEX($S$5896:$S$6023,AE6013+1)</f>
        <v/>
      </c>
      <c r="AM6013">
        <f>INDEX($T$5896:$T$6023,AF6013+1)</f>
        <v/>
      </c>
      <c r="AN6013">
        <f>INDEX($U$5896:$U$6023,AG6013+1)</f>
        <v/>
      </c>
      <c r="AO6013">
        <f>INDEX($V$5896:$V$6023,AH6013+1)</f>
        <v/>
      </c>
      <c r="AP6013">
        <f>INDEX($W$5896:$W$6023,AI6013+1)</f>
        <v/>
      </c>
      <c r="AQ6013">
        <f>IF(Q6013&gt;=AJ6013-0.01,1,0)</f>
        <v/>
      </c>
      <c r="AR6013">
        <f>IF(R6013&gt;=AK6013-0.01,1,0)</f>
        <v/>
      </c>
      <c r="AS6013">
        <f>IF(S6013&gt;=AL6013-0.01,1,0)</f>
        <v/>
      </c>
      <c r="AT6013">
        <f>IF(T6013&gt;=AM6013-0.01,1,0)</f>
        <v/>
      </c>
      <c r="AU6013">
        <f>IF(U6013&gt;=AN6013-0.01,1,0)</f>
        <v/>
      </c>
      <c r="AV6013">
        <f>IF(V6013&gt;=AO6013-0.01,1,0)</f>
        <v/>
      </c>
      <c r="AW6013">
        <f>IF(W6013&gt;=AP6013-0.01,1,0)</f>
        <v/>
      </c>
      <c r="AX6013">
        <f>AQ6013*AR6013*AS6013*AT6013*AU6013*AV6013*AW6013</f>
        <v/>
      </c>
    </row>
    <row r="6014">
      <c r="A6014" t="inlineStr"/>
      <c r="B6014">
        <f>Assumptions!$B$60</f>
        <v/>
      </c>
      <c r="C6014" t="n">
        <v>1</v>
      </c>
      <c r="D6014" t="n">
        <v>1</v>
      </c>
      <c r="E6014" t="n">
        <v>1</v>
      </c>
      <c r="F6014" t="n">
        <v>0</v>
      </c>
      <c r="G6014" t="n">
        <v>1</v>
      </c>
      <c r="H6014" t="n">
        <v>1</v>
      </c>
      <c r="I6014" t="n">
        <v>0</v>
      </c>
      <c r="J6014">
        <f>(1-C6014)*Assumptions!$B$41+(1-D6014)*Assumptions!$B$33+(1-E6014)*Assumptions!$B$32+(1-F6014)*Assumptions!$B$31+(1-G6014)*Assumptions!$B$30+(1-H6014)*Assumptions!$B$29+(1-I6014)*Assumptions!$B$28</f>
        <v/>
      </c>
      <c r="K6014">
        <f>C6014*$J$682+D6014*$F$682+E6014*$G$682+F6014*Assumptions!$B$14+G6014*Assumptions!$B$13+H6014*Assumptions!$B$12+I6014*Assumptions!$B$11+$O$682+$S$682+Assumptions!$B$9</f>
        <v/>
      </c>
      <c r="L6014">
        <f>B6014-J6014</f>
        <v/>
      </c>
      <c r="M6014">
        <f>IF(K6014&gt;0,IF(L6014/K6014&gt;=Assumptions!$B$37,1,0),0)</f>
        <v/>
      </c>
      <c r="N6014">
        <f>K6014+M6014*Assumptions!$B$153</f>
        <v/>
      </c>
      <c r="O6014">
        <f>L6014+M6014*Assumptions!$B$153*Assumptions!$B$37</f>
        <v/>
      </c>
      <c r="P6014">
        <f>IF(N6014&gt;0,O6014/N6014,0)</f>
        <v/>
      </c>
      <c r="Q6014">
        <f>IF(C6014=1,P6014*$J$682,Assumptions!$B$41)</f>
        <v/>
      </c>
      <c r="R6014">
        <f>IF(D6014=1,P6014*$F$682,Assumptions!$B$33)</f>
        <v/>
      </c>
      <c r="S6014">
        <f>IF(E6014=1,P6014*$G$682,Assumptions!$B$32)</f>
        <v/>
      </c>
      <c r="T6014">
        <f>IF(F6014=1,P6014*Assumptions!$B$14,Assumptions!$B$31)</f>
        <v/>
      </c>
      <c r="U6014">
        <f>IF(G6014=1,P6014*Assumptions!$B$13,Assumptions!$B$30)</f>
        <v/>
      </c>
      <c r="V6014">
        <f>IF(H6014=1,P6014*Assumptions!$B$12,Assumptions!$B$29)</f>
        <v/>
      </c>
      <c r="W6014">
        <f>IF(I6014=1,P6014*Assumptions!$B$11,Assumptions!$B$28)</f>
        <v/>
      </c>
      <c r="X6014">
        <f>P6014*($O$682+$S$682)</f>
        <v/>
      </c>
      <c r="Y6014">
        <f>P6014*Assumptions!$B$9</f>
        <v/>
      </c>
      <c r="Z6014">
        <f>IF(M6014=1,(P6014-Assumptions!$B$37)*Assumptions!$B$153,0)</f>
        <v/>
      </c>
      <c r="AA6014">
        <f>Q6014+R6014+S6014+T6014+U6014+V6014+W6014+X6014+Y6014+Z6014</f>
        <v/>
      </c>
      <c r="AB6014" t="n">
        <v>118</v>
      </c>
      <c r="AC6014" t="n">
        <v>54</v>
      </c>
      <c r="AD6014" t="n">
        <v>86</v>
      </c>
      <c r="AE6014" t="n">
        <v>102</v>
      </c>
      <c r="AF6014" t="n">
        <v>126</v>
      </c>
      <c r="AG6014" t="n">
        <v>114</v>
      </c>
      <c r="AH6014" t="n">
        <v>116</v>
      </c>
      <c r="AI6014" t="n">
        <v>119</v>
      </c>
      <c r="AJ6014">
        <f>INDEX($Q$5896:$Q$6023,AC6014+1)</f>
        <v/>
      </c>
      <c r="AK6014">
        <f>INDEX($R$5896:$R$6023,AD6014+1)</f>
        <v/>
      </c>
      <c r="AL6014">
        <f>INDEX($S$5896:$S$6023,AE6014+1)</f>
        <v/>
      </c>
      <c r="AM6014">
        <f>INDEX($T$5896:$T$6023,AF6014+1)</f>
        <v/>
      </c>
      <c r="AN6014">
        <f>INDEX($U$5896:$U$6023,AG6014+1)</f>
        <v/>
      </c>
      <c r="AO6014">
        <f>INDEX($V$5896:$V$6023,AH6014+1)</f>
        <v/>
      </c>
      <c r="AP6014">
        <f>INDEX($W$5896:$W$6023,AI6014+1)</f>
        <v/>
      </c>
      <c r="AQ6014">
        <f>IF(Q6014&gt;=AJ6014-0.01,1,0)</f>
        <v/>
      </c>
      <c r="AR6014">
        <f>IF(R6014&gt;=AK6014-0.01,1,0)</f>
        <v/>
      </c>
      <c r="AS6014">
        <f>IF(S6014&gt;=AL6014-0.01,1,0)</f>
        <v/>
      </c>
      <c r="AT6014">
        <f>IF(T6014&gt;=AM6014-0.01,1,0)</f>
        <v/>
      </c>
      <c r="AU6014">
        <f>IF(U6014&gt;=AN6014-0.01,1,0)</f>
        <v/>
      </c>
      <c r="AV6014">
        <f>IF(V6014&gt;=AO6014-0.01,1,0)</f>
        <v/>
      </c>
      <c r="AW6014">
        <f>IF(W6014&gt;=AP6014-0.01,1,0)</f>
        <v/>
      </c>
      <c r="AX6014">
        <f>AQ6014*AR6014*AS6014*AT6014*AU6014*AV6014*AW6014</f>
        <v/>
      </c>
    </row>
    <row r="6015">
      <c r="A6015" t="inlineStr"/>
      <c r="B6015">
        <f>Assumptions!$B$60</f>
        <v/>
      </c>
      <c r="C6015" t="n">
        <v>1</v>
      </c>
      <c r="D6015" t="n">
        <v>1</v>
      </c>
      <c r="E6015" t="n">
        <v>1</v>
      </c>
      <c r="F6015" t="n">
        <v>0</v>
      </c>
      <c r="G6015" t="n">
        <v>1</v>
      </c>
      <c r="H6015" t="n">
        <v>1</v>
      </c>
      <c r="I6015" t="n">
        <v>1</v>
      </c>
      <c r="J6015">
        <f>(1-C6015)*Assumptions!$B$41+(1-D6015)*Assumptions!$B$33+(1-E6015)*Assumptions!$B$32+(1-F6015)*Assumptions!$B$31+(1-G6015)*Assumptions!$B$30+(1-H6015)*Assumptions!$B$29+(1-I6015)*Assumptions!$B$28</f>
        <v/>
      </c>
      <c r="K6015">
        <f>C6015*$J$682+D6015*$F$682+E6015*$G$682+F6015*Assumptions!$B$14+G6015*Assumptions!$B$13+H6015*Assumptions!$B$12+I6015*Assumptions!$B$11+$O$682+$S$682+Assumptions!$B$9</f>
        <v/>
      </c>
      <c r="L6015">
        <f>B6015-J6015</f>
        <v/>
      </c>
      <c r="M6015">
        <f>IF(K6015&gt;0,IF(L6015/K6015&gt;=Assumptions!$B$37,1,0),0)</f>
        <v/>
      </c>
      <c r="N6015">
        <f>K6015+M6015*Assumptions!$B$153</f>
        <v/>
      </c>
      <c r="O6015">
        <f>L6015+M6015*Assumptions!$B$153*Assumptions!$B$37</f>
        <v/>
      </c>
      <c r="P6015">
        <f>IF(N6015&gt;0,O6015/N6015,0)</f>
        <v/>
      </c>
      <c r="Q6015">
        <f>IF(C6015=1,P6015*$J$682,Assumptions!$B$41)</f>
        <v/>
      </c>
      <c r="R6015">
        <f>IF(D6015=1,P6015*$F$682,Assumptions!$B$33)</f>
        <v/>
      </c>
      <c r="S6015">
        <f>IF(E6015=1,P6015*$G$682,Assumptions!$B$32)</f>
        <v/>
      </c>
      <c r="T6015">
        <f>IF(F6015=1,P6015*Assumptions!$B$14,Assumptions!$B$31)</f>
        <v/>
      </c>
      <c r="U6015">
        <f>IF(G6015=1,P6015*Assumptions!$B$13,Assumptions!$B$30)</f>
        <v/>
      </c>
      <c r="V6015">
        <f>IF(H6015=1,P6015*Assumptions!$B$12,Assumptions!$B$29)</f>
        <v/>
      </c>
      <c r="W6015">
        <f>IF(I6015=1,P6015*Assumptions!$B$11,Assumptions!$B$28)</f>
        <v/>
      </c>
      <c r="X6015">
        <f>P6015*($O$682+$S$682)</f>
        <v/>
      </c>
      <c r="Y6015">
        <f>P6015*Assumptions!$B$9</f>
        <v/>
      </c>
      <c r="Z6015">
        <f>IF(M6015=1,(P6015-Assumptions!$B$37)*Assumptions!$B$153,0)</f>
        <v/>
      </c>
      <c r="AA6015">
        <f>Q6015+R6015+S6015+T6015+U6015+V6015+W6015+X6015+Y6015+Z6015</f>
        <v/>
      </c>
      <c r="AB6015" t="n">
        <v>119</v>
      </c>
      <c r="AC6015" t="n">
        <v>55</v>
      </c>
      <c r="AD6015" t="n">
        <v>87</v>
      </c>
      <c r="AE6015" t="n">
        <v>103</v>
      </c>
      <c r="AF6015" t="n">
        <v>127</v>
      </c>
      <c r="AG6015" t="n">
        <v>115</v>
      </c>
      <c r="AH6015" t="n">
        <v>117</v>
      </c>
      <c r="AI6015" t="n">
        <v>118</v>
      </c>
      <c r="AJ6015">
        <f>INDEX($Q$5896:$Q$6023,AC6015+1)</f>
        <v/>
      </c>
      <c r="AK6015">
        <f>INDEX($R$5896:$R$6023,AD6015+1)</f>
        <v/>
      </c>
      <c r="AL6015">
        <f>INDEX($S$5896:$S$6023,AE6015+1)</f>
        <v/>
      </c>
      <c r="AM6015">
        <f>INDEX($T$5896:$T$6023,AF6015+1)</f>
        <v/>
      </c>
      <c r="AN6015">
        <f>INDEX($U$5896:$U$6023,AG6015+1)</f>
        <v/>
      </c>
      <c r="AO6015">
        <f>INDEX($V$5896:$V$6023,AH6015+1)</f>
        <v/>
      </c>
      <c r="AP6015">
        <f>INDEX($W$5896:$W$6023,AI6015+1)</f>
        <v/>
      </c>
      <c r="AQ6015">
        <f>IF(Q6015&gt;=AJ6015-0.01,1,0)</f>
        <v/>
      </c>
      <c r="AR6015">
        <f>IF(R6015&gt;=AK6015-0.01,1,0)</f>
        <v/>
      </c>
      <c r="AS6015">
        <f>IF(S6015&gt;=AL6015-0.01,1,0)</f>
        <v/>
      </c>
      <c r="AT6015">
        <f>IF(T6015&gt;=AM6015-0.01,1,0)</f>
        <v/>
      </c>
      <c r="AU6015">
        <f>IF(U6015&gt;=AN6015-0.01,1,0)</f>
        <v/>
      </c>
      <c r="AV6015">
        <f>IF(V6015&gt;=AO6015-0.01,1,0)</f>
        <v/>
      </c>
      <c r="AW6015">
        <f>IF(W6015&gt;=AP6015-0.01,1,0)</f>
        <v/>
      </c>
      <c r="AX6015">
        <f>AQ6015*AR6015*AS6015*AT6015*AU6015*AV6015*AW6015</f>
        <v/>
      </c>
    </row>
    <row r="6016">
      <c r="A6016" t="inlineStr"/>
      <c r="B6016">
        <f>Assumptions!$B$60</f>
        <v/>
      </c>
      <c r="C6016" t="n">
        <v>1</v>
      </c>
      <c r="D6016" t="n">
        <v>1</v>
      </c>
      <c r="E6016" t="n">
        <v>1</v>
      </c>
      <c r="F6016" t="n">
        <v>1</v>
      </c>
      <c r="G6016" t="n">
        <v>0</v>
      </c>
      <c r="H6016" t="n">
        <v>0</v>
      </c>
      <c r="I6016" t="n">
        <v>0</v>
      </c>
      <c r="J6016">
        <f>(1-C6016)*Assumptions!$B$41+(1-D6016)*Assumptions!$B$33+(1-E6016)*Assumptions!$B$32+(1-F6016)*Assumptions!$B$31+(1-G6016)*Assumptions!$B$30+(1-H6016)*Assumptions!$B$29+(1-I6016)*Assumptions!$B$28</f>
        <v/>
      </c>
      <c r="K6016">
        <f>C6016*$J$682+D6016*$F$682+E6016*$G$682+F6016*Assumptions!$B$14+G6016*Assumptions!$B$13+H6016*Assumptions!$B$12+I6016*Assumptions!$B$11+$O$682+$S$682+Assumptions!$B$9</f>
        <v/>
      </c>
      <c r="L6016">
        <f>B6016-J6016</f>
        <v/>
      </c>
      <c r="M6016">
        <f>IF(K6016&gt;0,IF(L6016/K6016&gt;=Assumptions!$B$37,1,0),0)</f>
        <v/>
      </c>
      <c r="N6016">
        <f>K6016+M6016*Assumptions!$B$153</f>
        <v/>
      </c>
      <c r="O6016">
        <f>L6016+M6016*Assumptions!$B$153*Assumptions!$B$37</f>
        <v/>
      </c>
      <c r="P6016">
        <f>IF(N6016&gt;0,O6016/N6016,0)</f>
        <v/>
      </c>
      <c r="Q6016">
        <f>IF(C6016=1,P6016*$J$682,Assumptions!$B$41)</f>
        <v/>
      </c>
      <c r="R6016">
        <f>IF(D6016=1,P6016*$F$682,Assumptions!$B$33)</f>
        <v/>
      </c>
      <c r="S6016">
        <f>IF(E6016=1,P6016*$G$682,Assumptions!$B$32)</f>
        <v/>
      </c>
      <c r="T6016">
        <f>IF(F6016=1,P6016*Assumptions!$B$14,Assumptions!$B$31)</f>
        <v/>
      </c>
      <c r="U6016">
        <f>IF(G6016=1,P6016*Assumptions!$B$13,Assumptions!$B$30)</f>
        <v/>
      </c>
      <c r="V6016">
        <f>IF(H6016=1,P6016*Assumptions!$B$12,Assumptions!$B$29)</f>
        <v/>
      </c>
      <c r="W6016">
        <f>IF(I6016=1,P6016*Assumptions!$B$11,Assumptions!$B$28)</f>
        <v/>
      </c>
      <c r="X6016">
        <f>P6016*($O$682+$S$682)</f>
        <v/>
      </c>
      <c r="Y6016">
        <f>P6016*Assumptions!$B$9</f>
        <v/>
      </c>
      <c r="Z6016">
        <f>IF(M6016=1,(P6016-Assumptions!$B$37)*Assumptions!$B$153,0)</f>
        <v/>
      </c>
      <c r="AA6016">
        <f>Q6016+R6016+S6016+T6016+U6016+V6016+W6016+X6016+Y6016+Z6016</f>
        <v/>
      </c>
      <c r="AB6016" t="n">
        <v>120</v>
      </c>
      <c r="AC6016" t="n">
        <v>56</v>
      </c>
      <c r="AD6016" t="n">
        <v>88</v>
      </c>
      <c r="AE6016" t="n">
        <v>104</v>
      </c>
      <c r="AF6016" t="n">
        <v>112</v>
      </c>
      <c r="AG6016" t="n">
        <v>124</v>
      </c>
      <c r="AH6016" t="n">
        <v>122</v>
      </c>
      <c r="AI6016" t="n">
        <v>121</v>
      </c>
      <c r="AJ6016">
        <f>INDEX($Q$5896:$Q$6023,AC6016+1)</f>
        <v/>
      </c>
      <c r="AK6016">
        <f>INDEX($R$5896:$R$6023,AD6016+1)</f>
        <v/>
      </c>
      <c r="AL6016">
        <f>INDEX($S$5896:$S$6023,AE6016+1)</f>
        <v/>
      </c>
      <c r="AM6016">
        <f>INDEX($T$5896:$T$6023,AF6016+1)</f>
        <v/>
      </c>
      <c r="AN6016">
        <f>INDEX($U$5896:$U$6023,AG6016+1)</f>
        <v/>
      </c>
      <c r="AO6016">
        <f>INDEX($V$5896:$V$6023,AH6016+1)</f>
        <v/>
      </c>
      <c r="AP6016">
        <f>INDEX($W$5896:$W$6023,AI6016+1)</f>
        <v/>
      </c>
      <c r="AQ6016">
        <f>IF(Q6016&gt;=AJ6016-0.01,1,0)</f>
        <v/>
      </c>
      <c r="AR6016">
        <f>IF(R6016&gt;=AK6016-0.01,1,0)</f>
        <v/>
      </c>
      <c r="AS6016">
        <f>IF(S6016&gt;=AL6016-0.01,1,0)</f>
        <v/>
      </c>
      <c r="AT6016">
        <f>IF(T6016&gt;=AM6016-0.01,1,0)</f>
        <v/>
      </c>
      <c r="AU6016">
        <f>IF(U6016&gt;=AN6016-0.01,1,0)</f>
        <v/>
      </c>
      <c r="AV6016">
        <f>IF(V6016&gt;=AO6016-0.01,1,0)</f>
        <v/>
      </c>
      <c r="AW6016">
        <f>IF(W6016&gt;=AP6016-0.01,1,0)</f>
        <v/>
      </c>
      <c r="AX6016">
        <f>AQ6016*AR6016*AS6016*AT6016*AU6016*AV6016*AW6016</f>
        <v/>
      </c>
    </row>
    <row r="6017">
      <c r="A6017" t="inlineStr"/>
      <c r="B6017">
        <f>Assumptions!$B$60</f>
        <v/>
      </c>
      <c r="C6017" t="n">
        <v>1</v>
      </c>
      <c r="D6017" t="n">
        <v>1</v>
      </c>
      <c r="E6017" t="n">
        <v>1</v>
      </c>
      <c r="F6017" t="n">
        <v>1</v>
      </c>
      <c r="G6017" t="n">
        <v>0</v>
      </c>
      <c r="H6017" t="n">
        <v>0</v>
      </c>
      <c r="I6017" t="n">
        <v>1</v>
      </c>
      <c r="J6017">
        <f>(1-C6017)*Assumptions!$B$41+(1-D6017)*Assumptions!$B$33+(1-E6017)*Assumptions!$B$32+(1-F6017)*Assumptions!$B$31+(1-G6017)*Assumptions!$B$30+(1-H6017)*Assumptions!$B$29+(1-I6017)*Assumptions!$B$28</f>
        <v/>
      </c>
      <c r="K6017">
        <f>C6017*$J$682+D6017*$F$682+E6017*$G$682+F6017*Assumptions!$B$14+G6017*Assumptions!$B$13+H6017*Assumptions!$B$12+I6017*Assumptions!$B$11+$O$682+$S$682+Assumptions!$B$9</f>
        <v/>
      </c>
      <c r="L6017">
        <f>B6017-J6017</f>
        <v/>
      </c>
      <c r="M6017">
        <f>IF(K6017&gt;0,IF(L6017/K6017&gt;=Assumptions!$B$37,1,0),0)</f>
        <v/>
      </c>
      <c r="N6017">
        <f>K6017+M6017*Assumptions!$B$153</f>
        <v/>
      </c>
      <c r="O6017">
        <f>L6017+M6017*Assumptions!$B$153*Assumptions!$B$37</f>
        <v/>
      </c>
      <c r="P6017">
        <f>IF(N6017&gt;0,O6017/N6017,0)</f>
        <v/>
      </c>
      <c r="Q6017">
        <f>IF(C6017=1,P6017*$J$682,Assumptions!$B$41)</f>
        <v/>
      </c>
      <c r="R6017">
        <f>IF(D6017=1,P6017*$F$682,Assumptions!$B$33)</f>
        <v/>
      </c>
      <c r="S6017">
        <f>IF(E6017=1,P6017*$G$682,Assumptions!$B$32)</f>
        <v/>
      </c>
      <c r="T6017">
        <f>IF(F6017=1,P6017*Assumptions!$B$14,Assumptions!$B$31)</f>
        <v/>
      </c>
      <c r="U6017">
        <f>IF(G6017=1,P6017*Assumptions!$B$13,Assumptions!$B$30)</f>
        <v/>
      </c>
      <c r="V6017">
        <f>IF(H6017=1,P6017*Assumptions!$B$12,Assumptions!$B$29)</f>
        <v/>
      </c>
      <c r="W6017">
        <f>IF(I6017=1,P6017*Assumptions!$B$11,Assumptions!$B$28)</f>
        <v/>
      </c>
      <c r="X6017">
        <f>P6017*($O$682+$S$682)</f>
        <v/>
      </c>
      <c r="Y6017">
        <f>P6017*Assumptions!$B$9</f>
        <v/>
      </c>
      <c r="Z6017">
        <f>IF(M6017=1,(P6017-Assumptions!$B$37)*Assumptions!$B$153,0)</f>
        <v/>
      </c>
      <c r="AA6017">
        <f>Q6017+R6017+S6017+T6017+U6017+V6017+W6017+X6017+Y6017+Z6017</f>
        <v/>
      </c>
      <c r="AB6017" t="n">
        <v>121</v>
      </c>
      <c r="AC6017" t="n">
        <v>57</v>
      </c>
      <c r="AD6017" t="n">
        <v>89</v>
      </c>
      <c r="AE6017" t="n">
        <v>105</v>
      </c>
      <c r="AF6017" t="n">
        <v>113</v>
      </c>
      <c r="AG6017" t="n">
        <v>125</v>
      </c>
      <c r="AH6017" t="n">
        <v>123</v>
      </c>
      <c r="AI6017" t="n">
        <v>120</v>
      </c>
      <c r="AJ6017">
        <f>INDEX($Q$5896:$Q$6023,AC6017+1)</f>
        <v/>
      </c>
      <c r="AK6017">
        <f>INDEX($R$5896:$R$6023,AD6017+1)</f>
        <v/>
      </c>
      <c r="AL6017">
        <f>INDEX($S$5896:$S$6023,AE6017+1)</f>
        <v/>
      </c>
      <c r="AM6017">
        <f>INDEX($T$5896:$T$6023,AF6017+1)</f>
        <v/>
      </c>
      <c r="AN6017">
        <f>INDEX($U$5896:$U$6023,AG6017+1)</f>
        <v/>
      </c>
      <c r="AO6017">
        <f>INDEX($V$5896:$V$6023,AH6017+1)</f>
        <v/>
      </c>
      <c r="AP6017">
        <f>INDEX($W$5896:$W$6023,AI6017+1)</f>
        <v/>
      </c>
      <c r="AQ6017">
        <f>IF(Q6017&gt;=AJ6017-0.01,1,0)</f>
        <v/>
      </c>
      <c r="AR6017">
        <f>IF(R6017&gt;=AK6017-0.01,1,0)</f>
        <v/>
      </c>
      <c r="AS6017">
        <f>IF(S6017&gt;=AL6017-0.01,1,0)</f>
        <v/>
      </c>
      <c r="AT6017">
        <f>IF(T6017&gt;=AM6017-0.01,1,0)</f>
        <v/>
      </c>
      <c r="AU6017">
        <f>IF(U6017&gt;=AN6017-0.01,1,0)</f>
        <v/>
      </c>
      <c r="AV6017">
        <f>IF(V6017&gt;=AO6017-0.01,1,0)</f>
        <v/>
      </c>
      <c r="AW6017">
        <f>IF(W6017&gt;=AP6017-0.01,1,0)</f>
        <v/>
      </c>
      <c r="AX6017">
        <f>AQ6017*AR6017*AS6017*AT6017*AU6017*AV6017*AW6017</f>
        <v/>
      </c>
    </row>
    <row r="6018">
      <c r="A6018" t="inlineStr"/>
      <c r="B6018">
        <f>Assumptions!$B$60</f>
        <v/>
      </c>
      <c r="C6018" t="n">
        <v>1</v>
      </c>
      <c r="D6018" t="n">
        <v>1</v>
      </c>
      <c r="E6018" t="n">
        <v>1</v>
      </c>
      <c r="F6018" t="n">
        <v>1</v>
      </c>
      <c r="G6018" t="n">
        <v>0</v>
      </c>
      <c r="H6018" t="n">
        <v>1</v>
      </c>
      <c r="I6018" t="n">
        <v>0</v>
      </c>
      <c r="J6018">
        <f>(1-C6018)*Assumptions!$B$41+(1-D6018)*Assumptions!$B$33+(1-E6018)*Assumptions!$B$32+(1-F6018)*Assumptions!$B$31+(1-G6018)*Assumptions!$B$30+(1-H6018)*Assumptions!$B$29+(1-I6018)*Assumptions!$B$28</f>
        <v/>
      </c>
      <c r="K6018">
        <f>C6018*$J$682+D6018*$F$682+E6018*$G$682+F6018*Assumptions!$B$14+G6018*Assumptions!$B$13+H6018*Assumptions!$B$12+I6018*Assumptions!$B$11+$O$682+$S$682+Assumptions!$B$9</f>
        <v/>
      </c>
      <c r="L6018">
        <f>B6018-J6018</f>
        <v/>
      </c>
      <c r="M6018">
        <f>IF(K6018&gt;0,IF(L6018/K6018&gt;=Assumptions!$B$37,1,0),0)</f>
        <v/>
      </c>
      <c r="N6018">
        <f>K6018+M6018*Assumptions!$B$153</f>
        <v/>
      </c>
      <c r="O6018">
        <f>L6018+M6018*Assumptions!$B$153*Assumptions!$B$37</f>
        <v/>
      </c>
      <c r="P6018">
        <f>IF(N6018&gt;0,O6018/N6018,0)</f>
        <v/>
      </c>
      <c r="Q6018">
        <f>IF(C6018=1,P6018*$J$682,Assumptions!$B$41)</f>
        <v/>
      </c>
      <c r="R6018">
        <f>IF(D6018=1,P6018*$F$682,Assumptions!$B$33)</f>
        <v/>
      </c>
      <c r="S6018">
        <f>IF(E6018=1,P6018*$G$682,Assumptions!$B$32)</f>
        <v/>
      </c>
      <c r="T6018">
        <f>IF(F6018=1,P6018*Assumptions!$B$14,Assumptions!$B$31)</f>
        <v/>
      </c>
      <c r="U6018">
        <f>IF(G6018=1,P6018*Assumptions!$B$13,Assumptions!$B$30)</f>
        <v/>
      </c>
      <c r="V6018">
        <f>IF(H6018=1,P6018*Assumptions!$B$12,Assumptions!$B$29)</f>
        <v/>
      </c>
      <c r="W6018">
        <f>IF(I6018=1,P6018*Assumptions!$B$11,Assumptions!$B$28)</f>
        <v/>
      </c>
      <c r="X6018">
        <f>P6018*($O$682+$S$682)</f>
        <v/>
      </c>
      <c r="Y6018">
        <f>P6018*Assumptions!$B$9</f>
        <v/>
      </c>
      <c r="Z6018">
        <f>IF(M6018=1,(P6018-Assumptions!$B$37)*Assumptions!$B$153,0)</f>
        <v/>
      </c>
      <c r="AA6018">
        <f>Q6018+R6018+S6018+T6018+U6018+V6018+W6018+X6018+Y6018+Z6018</f>
        <v/>
      </c>
      <c r="AB6018" t="n">
        <v>122</v>
      </c>
      <c r="AC6018" t="n">
        <v>58</v>
      </c>
      <c r="AD6018" t="n">
        <v>90</v>
      </c>
      <c r="AE6018" t="n">
        <v>106</v>
      </c>
      <c r="AF6018" t="n">
        <v>114</v>
      </c>
      <c r="AG6018" t="n">
        <v>126</v>
      </c>
      <c r="AH6018" t="n">
        <v>120</v>
      </c>
      <c r="AI6018" t="n">
        <v>123</v>
      </c>
      <c r="AJ6018">
        <f>INDEX($Q$5896:$Q$6023,AC6018+1)</f>
        <v/>
      </c>
      <c r="AK6018">
        <f>INDEX($R$5896:$R$6023,AD6018+1)</f>
        <v/>
      </c>
      <c r="AL6018">
        <f>INDEX($S$5896:$S$6023,AE6018+1)</f>
        <v/>
      </c>
      <c r="AM6018">
        <f>INDEX($T$5896:$T$6023,AF6018+1)</f>
        <v/>
      </c>
      <c r="AN6018">
        <f>INDEX($U$5896:$U$6023,AG6018+1)</f>
        <v/>
      </c>
      <c r="AO6018">
        <f>INDEX($V$5896:$V$6023,AH6018+1)</f>
        <v/>
      </c>
      <c r="AP6018">
        <f>INDEX($W$5896:$W$6023,AI6018+1)</f>
        <v/>
      </c>
      <c r="AQ6018">
        <f>IF(Q6018&gt;=AJ6018-0.01,1,0)</f>
        <v/>
      </c>
      <c r="AR6018">
        <f>IF(R6018&gt;=AK6018-0.01,1,0)</f>
        <v/>
      </c>
      <c r="AS6018">
        <f>IF(S6018&gt;=AL6018-0.01,1,0)</f>
        <v/>
      </c>
      <c r="AT6018">
        <f>IF(T6018&gt;=AM6018-0.01,1,0)</f>
        <v/>
      </c>
      <c r="AU6018">
        <f>IF(U6018&gt;=AN6018-0.01,1,0)</f>
        <v/>
      </c>
      <c r="AV6018">
        <f>IF(V6018&gt;=AO6018-0.01,1,0)</f>
        <v/>
      </c>
      <c r="AW6018">
        <f>IF(W6018&gt;=AP6018-0.01,1,0)</f>
        <v/>
      </c>
      <c r="AX6018">
        <f>AQ6018*AR6018*AS6018*AT6018*AU6018*AV6018*AW6018</f>
        <v/>
      </c>
    </row>
    <row r="6019">
      <c r="A6019" t="inlineStr"/>
      <c r="B6019">
        <f>Assumptions!$B$60</f>
        <v/>
      </c>
      <c r="C6019" t="n">
        <v>1</v>
      </c>
      <c r="D6019" t="n">
        <v>1</v>
      </c>
      <c r="E6019" t="n">
        <v>1</v>
      </c>
      <c r="F6019" t="n">
        <v>1</v>
      </c>
      <c r="G6019" t="n">
        <v>0</v>
      </c>
      <c r="H6019" t="n">
        <v>1</v>
      </c>
      <c r="I6019" t="n">
        <v>1</v>
      </c>
      <c r="J6019">
        <f>(1-C6019)*Assumptions!$B$41+(1-D6019)*Assumptions!$B$33+(1-E6019)*Assumptions!$B$32+(1-F6019)*Assumptions!$B$31+(1-G6019)*Assumptions!$B$30+(1-H6019)*Assumptions!$B$29+(1-I6019)*Assumptions!$B$28</f>
        <v/>
      </c>
      <c r="K6019">
        <f>C6019*$J$682+D6019*$F$682+E6019*$G$682+F6019*Assumptions!$B$14+G6019*Assumptions!$B$13+H6019*Assumptions!$B$12+I6019*Assumptions!$B$11+$O$682+$S$682+Assumptions!$B$9</f>
        <v/>
      </c>
      <c r="L6019">
        <f>B6019-J6019</f>
        <v/>
      </c>
      <c r="M6019">
        <f>IF(K6019&gt;0,IF(L6019/K6019&gt;=Assumptions!$B$37,1,0),0)</f>
        <v/>
      </c>
      <c r="N6019">
        <f>K6019+M6019*Assumptions!$B$153</f>
        <v/>
      </c>
      <c r="O6019">
        <f>L6019+M6019*Assumptions!$B$153*Assumptions!$B$37</f>
        <v/>
      </c>
      <c r="P6019">
        <f>IF(N6019&gt;0,O6019/N6019,0)</f>
        <v/>
      </c>
      <c r="Q6019">
        <f>IF(C6019=1,P6019*$J$682,Assumptions!$B$41)</f>
        <v/>
      </c>
      <c r="R6019">
        <f>IF(D6019=1,P6019*$F$682,Assumptions!$B$33)</f>
        <v/>
      </c>
      <c r="S6019">
        <f>IF(E6019=1,P6019*$G$682,Assumptions!$B$32)</f>
        <v/>
      </c>
      <c r="T6019">
        <f>IF(F6019=1,P6019*Assumptions!$B$14,Assumptions!$B$31)</f>
        <v/>
      </c>
      <c r="U6019">
        <f>IF(G6019=1,P6019*Assumptions!$B$13,Assumptions!$B$30)</f>
        <v/>
      </c>
      <c r="V6019">
        <f>IF(H6019=1,P6019*Assumptions!$B$12,Assumptions!$B$29)</f>
        <v/>
      </c>
      <c r="W6019">
        <f>IF(I6019=1,P6019*Assumptions!$B$11,Assumptions!$B$28)</f>
        <v/>
      </c>
      <c r="X6019">
        <f>P6019*($O$682+$S$682)</f>
        <v/>
      </c>
      <c r="Y6019">
        <f>P6019*Assumptions!$B$9</f>
        <v/>
      </c>
      <c r="Z6019">
        <f>IF(M6019=1,(P6019-Assumptions!$B$37)*Assumptions!$B$153,0)</f>
        <v/>
      </c>
      <c r="AA6019">
        <f>Q6019+R6019+S6019+T6019+U6019+V6019+W6019+X6019+Y6019+Z6019</f>
        <v/>
      </c>
      <c r="AB6019" t="n">
        <v>123</v>
      </c>
      <c r="AC6019" t="n">
        <v>59</v>
      </c>
      <c r="AD6019" t="n">
        <v>91</v>
      </c>
      <c r="AE6019" t="n">
        <v>107</v>
      </c>
      <c r="AF6019" t="n">
        <v>115</v>
      </c>
      <c r="AG6019" t="n">
        <v>127</v>
      </c>
      <c r="AH6019" t="n">
        <v>121</v>
      </c>
      <c r="AI6019" t="n">
        <v>122</v>
      </c>
      <c r="AJ6019">
        <f>INDEX($Q$5896:$Q$6023,AC6019+1)</f>
        <v/>
      </c>
      <c r="AK6019">
        <f>INDEX($R$5896:$R$6023,AD6019+1)</f>
        <v/>
      </c>
      <c r="AL6019">
        <f>INDEX($S$5896:$S$6023,AE6019+1)</f>
        <v/>
      </c>
      <c r="AM6019">
        <f>INDEX($T$5896:$T$6023,AF6019+1)</f>
        <v/>
      </c>
      <c r="AN6019">
        <f>INDEX($U$5896:$U$6023,AG6019+1)</f>
        <v/>
      </c>
      <c r="AO6019">
        <f>INDEX($V$5896:$V$6023,AH6019+1)</f>
        <v/>
      </c>
      <c r="AP6019">
        <f>INDEX($W$5896:$W$6023,AI6019+1)</f>
        <v/>
      </c>
      <c r="AQ6019">
        <f>IF(Q6019&gt;=AJ6019-0.01,1,0)</f>
        <v/>
      </c>
      <c r="AR6019">
        <f>IF(R6019&gt;=AK6019-0.01,1,0)</f>
        <v/>
      </c>
      <c r="AS6019">
        <f>IF(S6019&gt;=AL6019-0.01,1,0)</f>
        <v/>
      </c>
      <c r="AT6019">
        <f>IF(T6019&gt;=AM6019-0.01,1,0)</f>
        <v/>
      </c>
      <c r="AU6019">
        <f>IF(U6019&gt;=AN6019-0.01,1,0)</f>
        <v/>
      </c>
      <c r="AV6019">
        <f>IF(V6019&gt;=AO6019-0.01,1,0)</f>
        <v/>
      </c>
      <c r="AW6019">
        <f>IF(W6019&gt;=AP6019-0.01,1,0)</f>
        <v/>
      </c>
      <c r="AX6019">
        <f>AQ6019*AR6019*AS6019*AT6019*AU6019*AV6019*AW6019</f>
        <v/>
      </c>
    </row>
    <row r="6020">
      <c r="A6020" t="inlineStr"/>
      <c r="B6020">
        <f>Assumptions!$B$60</f>
        <v/>
      </c>
      <c r="C6020" t="n">
        <v>1</v>
      </c>
      <c r="D6020" t="n">
        <v>1</v>
      </c>
      <c r="E6020" t="n">
        <v>1</v>
      </c>
      <c r="F6020" t="n">
        <v>1</v>
      </c>
      <c r="G6020" t="n">
        <v>1</v>
      </c>
      <c r="H6020" t="n">
        <v>0</v>
      </c>
      <c r="I6020" t="n">
        <v>0</v>
      </c>
      <c r="J6020">
        <f>(1-C6020)*Assumptions!$B$41+(1-D6020)*Assumptions!$B$33+(1-E6020)*Assumptions!$B$32+(1-F6020)*Assumptions!$B$31+(1-G6020)*Assumptions!$B$30+(1-H6020)*Assumptions!$B$29+(1-I6020)*Assumptions!$B$28</f>
        <v/>
      </c>
      <c r="K6020">
        <f>C6020*$J$682+D6020*$F$682+E6020*$G$682+F6020*Assumptions!$B$14+G6020*Assumptions!$B$13+H6020*Assumptions!$B$12+I6020*Assumptions!$B$11+$O$682+$S$682+Assumptions!$B$9</f>
        <v/>
      </c>
      <c r="L6020">
        <f>B6020-J6020</f>
        <v/>
      </c>
      <c r="M6020">
        <f>IF(K6020&gt;0,IF(L6020/K6020&gt;=Assumptions!$B$37,1,0),0)</f>
        <v/>
      </c>
      <c r="N6020">
        <f>K6020+M6020*Assumptions!$B$153</f>
        <v/>
      </c>
      <c r="O6020">
        <f>L6020+M6020*Assumptions!$B$153*Assumptions!$B$37</f>
        <v/>
      </c>
      <c r="P6020">
        <f>IF(N6020&gt;0,O6020/N6020,0)</f>
        <v/>
      </c>
      <c r="Q6020">
        <f>IF(C6020=1,P6020*$J$682,Assumptions!$B$41)</f>
        <v/>
      </c>
      <c r="R6020">
        <f>IF(D6020=1,P6020*$F$682,Assumptions!$B$33)</f>
        <v/>
      </c>
      <c r="S6020">
        <f>IF(E6020=1,P6020*$G$682,Assumptions!$B$32)</f>
        <v/>
      </c>
      <c r="T6020">
        <f>IF(F6020=1,P6020*Assumptions!$B$14,Assumptions!$B$31)</f>
        <v/>
      </c>
      <c r="U6020">
        <f>IF(G6020=1,P6020*Assumptions!$B$13,Assumptions!$B$30)</f>
        <v/>
      </c>
      <c r="V6020">
        <f>IF(H6020=1,P6020*Assumptions!$B$12,Assumptions!$B$29)</f>
        <v/>
      </c>
      <c r="W6020">
        <f>IF(I6020=1,P6020*Assumptions!$B$11,Assumptions!$B$28)</f>
        <v/>
      </c>
      <c r="X6020">
        <f>P6020*($O$682+$S$682)</f>
        <v/>
      </c>
      <c r="Y6020">
        <f>P6020*Assumptions!$B$9</f>
        <v/>
      </c>
      <c r="Z6020">
        <f>IF(M6020=1,(P6020-Assumptions!$B$37)*Assumptions!$B$153,0)</f>
        <v/>
      </c>
      <c r="AA6020">
        <f>Q6020+R6020+S6020+T6020+U6020+V6020+W6020+X6020+Y6020+Z6020</f>
        <v/>
      </c>
      <c r="AB6020" t="n">
        <v>124</v>
      </c>
      <c r="AC6020" t="n">
        <v>60</v>
      </c>
      <c r="AD6020" t="n">
        <v>92</v>
      </c>
      <c r="AE6020" t="n">
        <v>108</v>
      </c>
      <c r="AF6020" t="n">
        <v>116</v>
      </c>
      <c r="AG6020" t="n">
        <v>120</v>
      </c>
      <c r="AH6020" t="n">
        <v>126</v>
      </c>
      <c r="AI6020" t="n">
        <v>125</v>
      </c>
      <c r="AJ6020">
        <f>INDEX($Q$5896:$Q$6023,AC6020+1)</f>
        <v/>
      </c>
      <c r="AK6020">
        <f>INDEX($R$5896:$R$6023,AD6020+1)</f>
        <v/>
      </c>
      <c r="AL6020">
        <f>INDEX($S$5896:$S$6023,AE6020+1)</f>
        <v/>
      </c>
      <c r="AM6020">
        <f>INDEX($T$5896:$T$6023,AF6020+1)</f>
        <v/>
      </c>
      <c r="AN6020">
        <f>INDEX($U$5896:$U$6023,AG6020+1)</f>
        <v/>
      </c>
      <c r="AO6020">
        <f>INDEX($V$5896:$V$6023,AH6020+1)</f>
        <v/>
      </c>
      <c r="AP6020">
        <f>INDEX($W$5896:$W$6023,AI6020+1)</f>
        <v/>
      </c>
      <c r="AQ6020">
        <f>IF(Q6020&gt;=AJ6020-0.01,1,0)</f>
        <v/>
      </c>
      <c r="AR6020">
        <f>IF(R6020&gt;=AK6020-0.01,1,0)</f>
        <v/>
      </c>
      <c r="AS6020">
        <f>IF(S6020&gt;=AL6020-0.01,1,0)</f>
        <v/>
      </c>
      <c r="AT6020">
        <f>IF(T6020&gt;=AM6020-0.01,1,0)</f>
        <v/>
      </c>
      <c r="AU6020">
        <f>IF(U6020&gt;=AN6020-0.01,1,0)</f>
        <v/>
      </c>
      <c r="AV6020">
        <f>IF(V6020&gt;=AO6020-0.01,1,0)</f>
        <v/>
      </c>
      <c r="AW6020">
        <f>IF(W6020&gt;=AP6020-0.01,1,0)</f>
        <v/>
      </c>
      <c r="AX6020">
        <f>AQ6020*AR6020*AS6020*AT6020*AU6020*AV6020*AW6020</f>
        <v/>
      </c>
    </row>
    <row r="6021">
      <c r="A6021" t="inlineStr"/>
      <c r="B6021">
        <f>Assumptions!$B$60</f>
        <v/>
      </c>
      <c r="C6021" t="n">
        <v>1</v>
      </c>
      <c r="D6021" t="n">
        <v>1</v>
      </c>
      <c r="E6021" t="n">
        <v>1</v>
      </c>
      <c r="F6021" t="n">
        <v>1</v>
      </c>
      <c r="G6021" t="n">
        <v>1</v>
      </c>
      <c r="H6021" t="n">
        <v>0</v>
      </c>
      <c r="I6021" t="n">
        <v>1</v>
      </c>
      <c r="J6021">
        <f>(1-C6021)*Assumptions!$B$41+(1-D6021)*Assumptions!$B$33+(1-E6021)*Assumptions!$B$32+(1-F6021)*Assumptions!$B$31+(1-G6021)*Assumptions!$B$30+(1-H6021)*Assumptions!$B$29+(1-I6021)*Assumptions!$B$28</f>
        <v/>
      </c>
      <c r="K6021">
        <f>C6021*$J$682+D6021*$F$682+E6021*$G$682+F6021*Assumptions!$B$14+G6021*Assumptions!$B$13+H6021*Assumptions!$B$12+I6021*Assumptions!$B$11+$O$682+$S$682+Assumptions!$B$9</f>
        <v/>
      </c>
      <c r="L6021">
        <f>B6021-J6021</f>
        <v/>
      </c>
      <c r="M6021">
        <f>IF(K6021&gt;0,IF(L6021/K6021&gt;=Assumptions!$B$37,1,0),0)</f>
        <v/>
      </c>
      <c r="N6021">
        <f>K6021+M6021*Assumptions!$B$153</f>
        <v/>
      </c>
      <c r="O6021">
        <f>L6021+M6021*Assumptions!$B$153*Assumptions!$B$37</f>
        <v/>
      </c>
      <c r="P6021">
        <f>IF(N6021&gt;0,O6021/N6021,0)</f>
        <v/>
      </c>
      <c r="Q6021">
        <f>IF(C6021=1,P6021*$J$682,Assumptions!$B$41)</f>
        <v/>
      </c>
      <c r="R6021">
        <f>IF(D6021=1,P6021*$F$682,Assumptions!$B$33)</f>
        <v/>
      </c>
      <c r="S6021">
        <f>IF(E6021=1,P6021*$G$682,Assumptions!$B$32)</f>
        <v/>
      </c>
      <c r="T6021">
        <f>IF(F6021=1,P6021*Assumptions!$B$14,Assumptions!$B$31)</f>
        <v/>
      </c>
      <c r="U6021">
        <f>IF(G6021=1,P6021*Assumptions!$B$13,Assumptions!$B$30)</f>
        <v/>
      </c>
      <c r="V6021">
        <f>IF(H6021=1,P6021*Assumptions!$B$12,Assumptions!$B$29)</f>
        <v/>
      </c>
      <c r="W6021">
        <f>IF(I6021=1,P6021*Assumptions!$B$11,Assumptions!$B$28)</f>
        <v/>
      </c>
      <c r="X6021">
        <f>P6021*($O$682+$S$682)</f>
        <v/>
      </c>
      <c r="Y6021">
        <f>P6021*Assumptions!$B$9</f>
        <v/>
      </c>
      <c r="Z6021">
        <f>IF(M6021=1,(P6021-Assumptions!$B$37)*Assumptions!$B$153,0)</f>
        <v/>
      </c>
      <c r="AA6021">
        <f>Q6021+R6021+S6021+T6021+U6021+V6021+W6021+X6021+Y6021+Z6021</f>
        <v/>
      </c>
      <c r="AB6021" t="n">
        <v>125</v>
      </c>
      <c r="AC6021" t="n">
        <v>61</v>
      </c>
      <c r="AD6021" t="n">
        <v>93</v>
      </c>
      <c r="AE6021" t="n">
        <v>109</v>
      </c>
      <c r="AF6021" t="n">
        <v>117</v>
      </c>
      <c r="AG6021" t="n">
        <v>121</v>
      </c>
      <c r="AH6021" t="n">
        <v>127</v>
      </c>
      <c r="AI6021" t="n">
        <v>124</v>
      </c>
      <c r="AJ6021">
        <f>INDEX($Q$5896:$Q$6023,AC6021+1)</f>
        <v/>
      </c>
      <c r="AK6021">
        <f>INDEX($R$5896:$R$6023,AD6021+1)</f>
        <v/>
      </c>
      <c r="AL6021">
        <f>INDEX($S$5896:$S$6023,AE6021+1)</f>
        <v/>
      </c>
      <c r="AM6021">
        <f>INDEX($T$5896:$T$6023,AF6021+1)</f>
        <v/>
      </c>
      <c r="AN6021">
        <f>INDEX($U$5896:$U$6023,AG6021+1)</f>
        <v/>
      </c>
      <c r="AO6021">
        <f>INDEX($V$5896:$V$6023,AH6021+1)</f>
        <v/>
      </c>
      <c r="AP6021">
        <f>INDEX($W$5896:$W$6023,AI6021+1)</f>
        <v/>
      </c>
      <c r="AQ6021">
        <f>IF(Q6021&gt;=AJ6021-0.01,1,0)</f>
        <v/>
      </c>
      <c r="AR6021">
        <f>IF(R6021&gt;=AK6021-0.01,1,0)</f>
        <v/>
      </c>
      <c r="AS6021">
        <f>IF(S6021&gt;=AL6021-0.01,1,0)</f>
        <v/>
      </c>
      <c r="AT6021">
        <f>IF(T6021&gt;=AM6021-0.01,1,0)</f>
        <v/>
      </c>
      <c r="AU6021">
        <f>IF(U6021&gt;=AN6021-0.01,1,0)</f>
        <v/>
      </c>
      <c r="AV6021">
        <f>IF(V6021&gt;=AO6021-0.01,1,0)</f>
        <v/>
      </c>
      <c r="AW6021">
        <f>IF(W6021&gt;=AP6021-0.01,1,0)</f>
        <v/>
      </c>
      <c r="AX6021">
        <f>AQ6021*AR6021*AS6021*AT6021*AU6021*AV6021*AW6021</f>
        <v/>
      </c>
    </row>
    <row r="6022">
      <c r="A6022" t="inlineStr"/>
      <c r="B6022">
        <f>Assumptions!$B$60</f>
        <v/>
      </c>
      <c r="C6022" t="n">
        <v>1</v>
      </c>
      <c r="D6022" t="n">
        <v>1</v>
      </c>
      <c r="E6022" t="n">
        <v>1</v>
      </c>
      <c r="F6022" t="n">
        <v>1</v>
      </c>
      <c r="G6022" t="n">
        <v>1</v>
      </c>
      <c r="H6022" t="n">
        <v>1</v>
      </c>
      <c r="I6022" t="n">
        <v>0</v>
      </c>
      <c r="J6022">
        <f>(1-C6022)*Assumptions!$B$41+(1-D6022)*Assumptions!$B$33+(1-E6022)*Assumptions!$B$32+(1-F6022)*Assumptions!$B$31+(1-G6022)*Assumptions!$B$30+(1-H6022)*Assumptions!$B$29+(1-I6022)*Assumptions!$B$28</f>
        <v/>
      </c>
      <c r="K6022">
        <f>C6022*$J$682+D6022*$F$682+E6022*$G$682+F6022*Assumptions!$B$14+G6022*Assumptions!$B$13+H6022*Assumptions!$B$12+I6022*Assumptions!$B$11+$O$682+$S$682+Assumptions!$B$9</f>
        <v/>
      </c>
      <c r="L6022">
        <f>B6022-J6022</f>
        <v/>
      </c>
      <c r="M6022">
        <f>IF(K6022&gt;0,IF(L6022/K6022&gt;=Assumptions!$B$37,1,0),0)</f>
        <v/>
      </c>
      <c r="N6022">
        <f>K6022+M6022*Assumptions!$B$153</f>
        <v/>
      </c>
      <c r="O6022">
        <f>L6022+M6022*Assumptions!$B$153*Assumptions!$B$37</f>
        <v/>
      </c>
      <c r="P6022">
        <f>IF(N6022&gt;0,O6022/N6022,0)</f>
        <v/>
      </c>
      <c r="Q6022">
        <f>IF(C6022=1,P6022*$J$682,Assumptions!$B$41)</f>
        <v/>
      </c>
      <c r="R6022">
        <f>IF(D6022=1,P6022*$F$682,Assumptions!$B$33)</f>
        <v/>
      </c>
      <c r="S6022">
        <f>IF(E6022=1,P6022*$G$682,Assumptions!$B$32)</f>
        <v/>
      </c>
      <c r="T6022">
        <f>IF(F6022=1,P6022*Assumptions!$B$14,Assumptions!$B$31)</f>
        <v/>
      </c>
      <c r="U6022">
        <f>IF(G6022=1,P6022*Assumptions!$B$13,Assumptions!$B$30)</f>
        <v/>
      </c>
      <c r="V6022">
        <f>IF(H6022=1,P6022*Assumptions!$B$12,Assumptions!$B$29)</f>
        <v/>
      </c>
      <c r="W6022">
        <f>IF(I6022=1,P6022*Assumptions!$B$11,Assumptions!$B$28)</f>
        <v/>
      </c>
      <c r="X6022">
        <f>P6022*($O$682+$S$682)</f>
        <v/>
      </c>
      <c r="Y6022">
        <f>P6022*Assumptions!$B$9</f>
        <v/>
      </c>
      <c r="Z6022">
        <f>IF(M6022=1,(P6022-Assumptions!$B$37)*Assumptions!$B$153,0)</f>
        <v/>
      </c>
      <c r="AA6022">
        <f>Q6022+R6022+S6022+T6022+U6022+V6022+W6022+X6022+Y6022+Z6022</f>
        <v/>
      </c>
      <c r="AB6022" t="n">
        <v>126</v>
      </c>
      <c r="AC6022" t="n">
        <v>62</v>
      </c>
      <c r="AD6022" t="n">
        <v>94</v>
      </c>
      <c r="AE6022" t="n">
        <v>110</v>
      </c>
      <c r="AF6022" t="n">
        <v>118</v>
      </c>
      <c r="AG6022" t="n">
        <v>122</v>
      </c>
      <c r="AH6022" t="n">
        <v>124</v>
      </c>
      <c r="AI6022" t="n">
        <v>127</v>
      </c>
      <c r="AJ6022">
        <f>INDEX($Q$5896:$Q$6023,AC6022+1)</f>
        <v/>
      </c>
      <c r="AK6022">
        <f>INDEX($R$5896:$R$6023,AD6022+1)</f>
        <v/>
      </c>
      <c r="AL6022">
        <f>INDEX($S$5896:$S$6023,AE6022+1)</f>
        <v/>
      </c>
      <c r="AM6022">
        <f>INDEX($T$5896:$T$6023,AF6022+1)</f>
        <v/>
      </c>
      <c r="AN6022">
        <f>INDEX($U$5896:$U$6023,AG6022+1)</f>
        <v/>
      </c>
      <c r="AO6022">
        <f>INDEX($V$5896:$V$6023,AH6022+1)</f>
        <v/>
      </c>
      <c r="AP6022">
        <f>INDEX($W$5896:$W$6023,AI6022+1)</f>
        <v/>
      </c>
      <c r="AQ6022">
        <f>IF(Q6022&gt;=AJ6022-0.01,1,0)</f>
        <v/>
      </c>
      <c r="AR6022">
        <f>IF(R6022&gt;=AK6022-0.01,1,0)</f>
        <v/>
      </c>
      <c r="AS6022">
        <f>IF(S6022&gt;=AL6022-0.01,1,0)</f>
        <v/>
      </c>
      <c r="AT6022">
        <f>IF(T6022&gt;=AM6022-0.01,1,0)</f>
        <v/>
      </c>
      <c r="AU6022">
        <f>IF(U6022&gt;=AN6022-0.01,1,0)</f>
        <v/>
      </c>
      <c r="AV6022">
        <f>IF(V6022&gt;=AO6022-0.01,1,0)</f>
        <v/>
      </c>
      <c r="AW6022">
        <f>IF(W6022&gt;=AP6022-0.01,1,0)</f>
        <v/>
      </c>
      <c r="AX6022">
        <f>AQ6022*AR6022*AS6022*AT6022*AU6022*AV6022*AW6022</f>
        <v/>
      </c>
    </row>
    <row r="6023">
      <c r="A6023" t="inlineStr"/>
      <c r="B6023">
        <f>Assumptions!$B$60</f>
        <v/>
      </c>
      <c r="C6023" t="n">
        <v>1</v>
      </c>
      <c r="D6023" t="n">
        <v>1</v>
      </c>
      <c r="E6023" t="n">
        <v>1</v>
      </c>
      <c r="F6023" t="n">
        <v>1</v>
      </c>
      <c r="G6023" t="n">
        <v>1</v>
      </c>
      <c r="H6023" t="n">
        <v>1</v>
      </c>
      <c r="I6023" t="n">
        <v>1</v>
      </c>
      <c r="J6023">
        <f>(1-C6023)*Assumptions!$B$41+(1-D6023)*Assumptions!$B$33+(1-E6023)*Assumptions!$B$32+(1-F6023)*Assumptions!$B$31+(1-G6023)*Assumptions!$B$30+(1-H6023)*Assumptions!$B$29+(1-I6023)*Assumptions!$B$28</f>
        <v/>
      </c>
      <c r="K6023">
        <f>C6023*$J$682+D6023*$F$682+E6023*$G$682+F6023*Assumptions!$B$14+G6023*Assumptions!$B$13+H6023*Assumptions!$B$12+I6023*Assumptions!$B$11+$O$682+$S$682+Assumptions!$B$9</f>
        <v/>
      </c>
      <c r="L6023">
        <f>B6023-J6023</f>
        <v/>
      </c>
      <c r="M6023">
        <f>IF(K6023&gt;0,IF(L6023/K6023&gt;=Assumptions!$B$37,1,0),0)</f>
        <v/>
      </c>
      <c r="N6023">
        <f>K6023+M6023*Assumptions!$B$153</f>
        <v/>
      </c>
      <c r="O6023">
        <f>L6023+M6023*Assumptions!$B$153*Assumptions!$B$37</f>
        <v/>
      </c>
      <c r="P6023">
        <f>IF(N6023&gt;0,O6023/N6023,0)</f>
        <v/>
      </c>
      <c r="Q6023">
        <f>IF(C6023=1,P6023*$J$682,Assumptions!$B$41)</f>
        <v/>
      </c>
      <c r="R6023">
        <f>IF(D6023=1,P6023*$F$682,Assumptions!$B$33)</f>
        <v/>
      </c>
      <c r="S6023">
        <f>IF(E6023=1,P6023*$G$682,Assumptions!$B$32)</f>
        <v/>
      </c>
      <c r="T6023">
        <f>IF(F6023=1,P6023*Assumptions!$B$14,Assumptions!$B$31)</f>
        <v/>
      </c>
      <c r="U6023">
        <f>IF(G6023=1,P6023*Assumptions!$B$13,Assumptions!$B$30)</f>
        <v/>
      </c>
      <c r="V6023">
        <f>IF(H6023=1,P6023*Assumptions!$B$12,Assumptions!$B$29)</f>
        <v/>
      </c>
      <c r="W6023">
        <f>IF(I6023=1,P6023*Assumptions!$B$11,Assumptions!$B$28)</f>
        <v/>
      </c>
      <c r="X6023">
        <f>P6023*($O$682+$S$682)</f>
        <v/>
      </c>
      <c r="Y6023">
        <f>P6023*Assumptions!$B$9</f>
        <v/>
      </c>
      <c r="Z6023">
        <f>IF(M6023=1,(P6023-Assumptions!$B$37)*Assumptions!$B$153,0)</f>
        <v/>
      </c>
      <c r="AA6023">
        <f>Q6023+R6023+S6023+T6023+U6023+V6023+W6023+X6023+Y6023+Z6023</f>
        <v/>
      </c>
      <c r="AB6023" t="n">
        <v>127</v>
      </c>
      <c r="AC6023" t="n">
        <v>63</v>
      </c>
      <c r="AD6023" t="n">
        <v>95</v>
      </c>
      <c r="AE6023" t="n">
        <v>111</v>
      </c>
      <c r="AF6023" t="n">
        <v>119</v>
      </c>
      <c r="AG6023" t="n">
        <v>123</v>
      </c>
      <c r="AH6023" t="n">
        <v>125</v>
      </c>
      <c r="AI6023" t="n">
        <v>126</v>
      </c>
      <c r="AJ6023">
        <f>INDEX($Q$5896:$Q$6023,AC6023+1)</f>
        <v/>
      </c>
      <c r="AK6023">
        <f>INDEX($R$5896:$R$6023,AD6023+1)</f>
        <v/>
      </c>
      <c r="AL6023">
        <f>INDEX($S$5896:$S$6023,AE6023+1)</f>
        <v/>
      </c>
      <c r="AM6023">
        <f>INDEX($T$5896:$T$6023,AF6023+1)</f>
        <v/>
      </c>
      <c r="AN6023">
        <f>INDEX($U$5896:$U$6023,AG6023+1)</f>
        <v/>
      </c>
      <c r="AO6023">
        <f>INDEX($V$5896:$V$6023,AH6023+1)</f>
        <v/>
      </c>
      <c r="AP6023">
        <f>INDEX($W$5896:$W$6023,AI6023+1)</f>
        <v/>
      </c>
      <c r="AQ6023">
        <f>IF(Q6023&gt;=AJ6023-0.01,1,0)</f>
        <v/>
      </c>
      <c r="AR6023">
        <f>IF(R6023&gt;=AK6023-0.01,1,0)</f>
        <v/>
      </c>
      <c r="AS6023">
        <f>IF(S6023&gt;=AL6023-0.01,1,0)</f>
        <v/>
      </c>
      <c r="AT6023">
        <f>IF(T6023&gt;=AM6023-0.01,1,0)</f>
        <v/>
      </c>
      <c r="AU6023">
        <f>IF(U6023&gt;=AN6023-0.01,1,0)</f>
        <v/>
      </c>
      <c r="AV6023">
        <f>IF(V6023&gt;=AO6023-0.01,1,0)</f>
        <v/>
      </c>
      <c r="AW6023">
        <f>IF(W6023&gt;=AP6023-0.01,1,0)</f>
        <v/>
      </c>
      <c r="AX6023">
        <f>AQ6023*AR6023*AS6023*AT6023*AU6023*AV6023*AW6023</f>
        <v/>
      </c>
    </row>
    <row r="6024">
      <c r="A6024" t="inlineStr">
        <is>
          <t>esop_15_pre_1800M</t>
        </is>
      </c>
      <c r="B6024">
        <f>Assumptions!$B$60</f>
        <v/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>
        <f>(1-C6024)*Assumptions!$B$41+(1-D6024)*Assumptions!$B$33+(1-E6024)*Assumptions!$B$32+(1-F6024)*Assumptions!$B$31+(1-G6024)*Assumptions!$B$30+(1-H6024)*Assumptions!$B$29+(1-I6024)*Assumptions!$B$28</f>
        <v/>
      </c>
      <c r="K6024">
        <f>C6024*$J$757+D6024*$F$757+E6024*$G$757+F6024*Assumptions!$B$14+G6024*Assumptions!$B$13+H6024*Assumptions!$B$12+I6024*Assumptions!$B$11+$O$757+$S$757+Assumptions!$B$9</f>
        <v/>
      </c>
      <c r="L6024">
        <f>B6024-J6024</f>
        <v/>
      </c>
      <c r="M6024">
        <f>IF(K6024&gt;0,IF(L6024/K6024&gt;=Assumptions!$B$37,1,0),0)</f>
        <v/>
      </c>
      <c r="N6024">
        <f>K6024+M6024*Assumptions!$B$153</f>
        <v/>
      </c>
      <c r="O6024">
        <f>L6024+M6024*Assumptions!$B$153*Assumptions!$B$37</f>
        <v/>
      </c>
      <c r="P6024">
        <f>IF(N6024&gt;0,O6024/N6024,0)</f>
        <v/>
      </c>
      <c r="Q6024">
        <f>IF(C6024=1,P6024*$J$757,Assumptions!$B$41)</f>
        <v/>
      </c>
      <c r="R6024">
        <f>IF(D6024=1,P6024*$F$757,Assumptions!$B$33)</f>
        <v/>
      </c>
      <c r="S6024">
        <f>IF(E6024=1,P6024*$G$757,Assumptions!$B$32)</f>
        <v/>
      </c>
      <c r="T6024">
        <f>IF(F6024=1,P6024*Assumptions!$B$14,Assumptions!$B$31)</f>
        <v/>
      </c>
      <c r="U6024">
        <f>IF(G6024=1,P6024*Assumptions!$B$13,Assumptions!$B$30)</f>
        <v/>
      </c>
      <c r="V6024">
        <f>IF(H6024=1,P6024*Assumptions!$B$12,Assumptions!$B$29)</f>
        <v/>
      </c>
      <c r="W6024">
        <f>IF(I6024=1,P6024*Assumptions!$B$11,Assumptions!$B$28)</f>
        <v/>
      </c>
      <c r="X6024">
        <f>P6024*($O$757+$S$757)</f>
        <v/>
      </c>
      <c r="Y6024">
        <f>P6024*Assumptions!$B$9</f>
        <v/>
      </c>
      <c r="Z6024">
        <f>IF(M6024=1,(P6024-Assumptions!$B$37)*Assumptions!$B$153,0)</f>
        <v/>
      </c>
      <c r="AA6024">
        <f>Q6024+R6024+S6024+T6024+U6024+V6024+W6024+X6024+Y6024+Z6024</f>
        <v/>
      </c>
      <c r="AB6024" t="n">
        <v>0</v>
      </c>
      <c r="AC6024" t="n">
        <v>64</v>
      </c>
      <c r="AD6024" t="n">
        <v>32</v>
      </c>
      <c r="AE6024" t="n">
        <v>16</v>
      </c>
      <c r="AF6024" t="n">
        <v>8</v>
      </c>
      <c r="AG6024" t="n">
        <v>4</v>
      </c>
      <c r="AH6024" t="n">
        <v>2</v>
      </c>
      <c r="AI6024" t="n">
        <v>1</v>
      </c>
      <c r="AJ6024">
        <f>INDEX($Q$6024:$Q$6151,AC6024+1)</f>
        <v/>
      </c>
      <c r="AK6024">
        <f>INDEX($R$6024:$R$6151,AD6024+1)</f>
        <v/>
      </c>
      <c r="AL6024">
        <f>INDEX($S$6024:$S$6151,AE6024+1)</f>
        <v/>
      </c>
      <c r="AM6024">
        <f>INDEX($T$6024:$T$6151,AF6024+1)</f>
        <v/>
      </c>
      <c r="AN6024">
        <f>INDEX($U$6024:$U$6151,AG6024+1)</f>
        <v/>
      </c>
      <c r="AO6024">
        <f>INDEX($V$6024:$V$6151,AH6024+1)</f>
        <v/>
      </c>
      <c r="AP6024">
        <f>INDEX($W$6024:$W$6151,AI6024+1)</f>
        <v/>
      </c>
      <c r="AQ6024">
        <f>IF(Q6024&gt;=AJ6024-0.01,1,0)</f>
        <v/>
      </c>
      <c r="AR6024">
        <f>IF(R6024&gt;=AK6024-0.01,1,0)</f>
        <v/>
      </c>
      <c r="AS6024">
        <f>IF(S6024&gt;=AL6024-0.01,1,0)</f>
        <v/>
      </c>
      <c r="AT6024">
        <f>IF(T6024&gt;=AM6024-0.01,1,0)</f>
        <v/>
      </c>
      <c r="AU6024">
        <f>IF(U6024&gt;=AN6024-0.01,1,0)</f>
        <v/>
      </c>
      <c r="AV6024">
        <f>IF(V6024&gt;=AO6024-0.01,1,0)</f>
        <v/>
      </c>
      <c r="AW6024">
        <f>IF(W6024&gt;=AP6024-0.01,1,0)</f>
        <v/>
      </c>
      <c r="AX6024">
        <f>AQ6024*AR6024*AS6024*AT6024*AU6024*AV6024*AW6024</f>
        <v/>
      </c>
    </row>
    <row r="6025">
      <c r="A6025" t="inlineStr"/>
      <c r="B6025">
        <f>Assumptions!$B$60</f>
        <v/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</v>
      </c>
      <c r="J6025">
        <f>(1-C6025)*Assumptions!$B$41+(1-D6025)*Assumptions!$B$33+(1-E6025)*Assumptions!$B$32+(1-F6025)*Assumptions!$B$31+(1-G6025)*Assumptions!$B$30+(1-H6025)*Assumptions!$B$29+(1-I6025)*Assumptions!$B$28</f>
        <v/>
      </c>
      <c r="K6025">
        <f>C6025*$J$757+D6025*$F$757+E6025*$G$757+F6025*Assumptions!$B$14+G6025*Assumptions!$B$13+H6025*Assumptions!$B$12+I6025*Assumptions!$B$11+$O$757+$S$757+Assumptions!$B$9</f>
        <v/>
      </c>
      <c r="L6025">
        <f>B6025-J6025</f>
        <v/>
      </c>
      <c r="M6025">
        <f>IF(K6025&gt;0,IF(L6025/K6025&gt;=Assumptions!$B$37,1,0),0)</f>
        <v/>
      </c>
      <c r="N6025">
        <f>K6025+M6025*Assumptions!$B$153</f>
        <v/>
      </c>
      <c r="O6025">
        <f>L6025+M6025*Assumptions!$B$153*Assumptions!$B$37</f>
        <v/>
      </c>
      <c r="P6025">
        <f>IF(N6025&gt;0,O6025/N6025,0)</f>
        <v/>
      </c>
      <c r="Q6025">
        <f>IF(C6025=1,P6025*$J$757,Assumptions!$B$41)</f>
        <v/>
      </c>
      <c r="R6025">
        <f>IF(D6025=1,P6025*$F$757,Assumptions!$B$33)</f>
        <v/>
      </c>
      <c r="S6025">
        <f>IF(E6025=1,P6025*$G$757,Assumptions!$B$32)</f>
        <v/>
      </c>
      <c r="T6025">
        <f>IF(F6025=1,P6025*Assumptions!$B$14,Assumptions!$B$31)</f>
        <v/>
      </c>
      <c r="U6025">
        <f>IF(G6025=1,P6025*Assumptions!$B$13,Assumptions!$B$30)</f>
        <v/>
      </c>
      <c r="V6025">
        <f>IF(H6025=1,P6025*Assumptions!$B$12,Assumptions!$B$29)</f>
        <v/>
      </c>
      <c r="W6025">
        <f>IF(I6025=1,P6025*Assumptions!$B$11,Assumptions!$B$28)</f>
        <v/>
      </c>
      <c r="X6025">
        <f>P6025*($O$757+$S$757)</f>
        <v/>
      </c>
      <c r="Y6025">
        <f>P6025*Assumptions!$B$9</f>
        <v/>
      </c>
      <c r="Z6025">
        <f>IF(M6025=1,(P6025-Assumptions!$B$37)*Assumptions!$B$153,0)</f>
        <v/>
      </c>
      <c r="AA6025">
        <f>Q6025+R6025+S6025+T6025+U6025+V6025+W6025+X6025+Y6025+Z6025</f>
        <v/>
      </c>
      <c r="AB6025" t="n">
        <v>1</v>
      </c>
      <c r="AC6025" t="n">
        <v>65</v>
      </c>
      <c r="AD6025" t="n">
        <v>33</v>
      </c>
      <c r="AE6025" t="n">
        <v>17</v>
      </c>
      <c r="AF6025" t="n">
        <v>9</v>
      </c>
      <c r="AG6025" t="n">
        <v>5</v>
      </c>
      <c r="AH6025" t="n">
        <v>3</v>
      </c>
      <c r="AI6025" t="n">
        <v>0</v>
      </c>
      <c r="AJ6025">
        <f>INDEX($Q$6024:$Q$6151,AC6025+1)</f>
        <v/>
      </c>
      <c r="AK6025">
        <f>INDEX($R$6024:$R$6151,AD6025+1)</f>
        <v/>
      </c>
      <c r="AL6025">
        <f>INDEX($S$6024:$S$6151,AE6025+1)</f>
        <v/>
      </c>
      <c r="AM6025">
        <f>INDEX($T$6024:$T$6151,AF6025+1)</f>
        <v/>
      </c>
      <c r="AN6025">
        <f>INDEX($U$6024:$U$6151,AG6025+1)</f>
        <v/>
      </c>
      <c r="AO6025">
        <f>INDEX($V$6024:$V$6151,AH6025+1)</f>
        <v/>
      </c>
      <c r="AP6025">
        <f>INDEX($W$6024:$W$6151,AI6025+1)</f>
        <v/>
      </c>
      <c r="AQ6025">
        <f>IF(Q6025&gt;=AJ6025-0.01,1,0)</f>
        <v/>
      </c>
      <c r="AR6025">
        <f>IF(R6025&gt;=AK6025-0.01,1,0)</f>
        <v/>
      </c>
      <c r="AS6025">
        <f>IF(S6025&gt;=AL6025-0.01,1,0)</f>
        <v/>
      </c>
      <c r="AT6025">
        <f>IF(T6025&gt;=AM6025-0.01,1,0)</f>
        <v/>
      </c>
      <c r="AU6025">
        <f>IF(U6025&gt;=AN6025-0.01,1,0)</f>
        <v/>
      </c>
      <c r="AV6025">
        <f>IF(V6025&gt;=AO6025-0.01,1,0)</f>
        <v/>
      </c>
      <c r="AW6025">
        <f>IF(W6025&gt;=AP6025-0.01,1,0)</f>
        <v/>
      </c>
      <c r="AX6025">
        <f>AQ6025*AR6025*AS6025*AT6025*AU6025*AV6025*AW6025</f>
        <v/>
      </c>
    </row>
    <row r="6026">
      <c r="A6026" t="inlineStr"/>
      <c r="B6026">
        <f>Assumptions!$B$60</f>
        <v/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0</v>
      </c>
      <c r="J6026">
        <f>(1-C6026)*Assumptions!$B$41+(1-D6026)*Assumptions!$B$33+(1-E6026)*Assumptions!$B$32+(1-F6026)*Assumptions!$B$31+(1-G6026)*Assumptions!$B$30+(1-H6026)*Assumptions!$B$29+(1-I6026)*Assumptions!$B$28</f>
        <v/>
      </c>
      <c r="K6026">
        <f>C6026*$J$757+D6026*$F$757+E6026*$G$757+F6026*Assumptions!$B$14+G6026*Assumptions!$B$13+H6026*Assumptions!$B$12+I6026*Assumptions!$B$11+$O$757+$S$757+Assumptions!$B$9</f>
        <v/>
      </c>
      <c r="L6026">
        <f>B6026-J6026</f>
        <v/>
      </c>
      <c r="M6026">
        <f>IF(K6026&gt;0,IF(L6026/K6026&gt;=Assumptions!$B$37,1,0),0)</f>
        <v/>
      </c>
      <c r="N6026">
        <f>K6026+M6026*Assumptions!$B$153</f>
        <v/>
      </c>
      <c r="O6026">
        <f>L6026+M6026*Assumptions!$B$153*Assumptions!$B$37</f>
        <v/>
      </c>
      <c r="P6026">
        <f>IF(N6026&gt;0,O6026/N6026,0)</f>
        <v/>
      </c>
      <c r="Q6026">
        <f>IF(C6026=1,P6026*$J$757,Assumptions!$B$41)</f>
        <v/>
      </c>
      <c r="R6026">
        <f>IF(D6026=1,P6026*$F$757,Assumptions!$B$33)</f>
        <v/>
      </c>
      <c r="S6026">
        <f>IF(E6026=1,P6026*$G$757,Assumptions!$B$32)</f>
        <v/>
      </c>
      <c r="T6026">
        <f>IF(F6026=1,P6026*Assumptions!$B$14,Assumptions!$B$31)</f>
        <v/>
      </c>
      <c r="U6026">
        <f>IF(G6026=1,P6026*Assumptions!$B$13,Assumptions!$B$30)</f>
        <v/>
      </c>
      <c r="V6026">
        <f>IF(H6026=1,P6026*Assumptions!$B$12,Assumptions!$B$29)</f>
        <v/>
      </c>
      <c r="W6026">
        <f>IF(I6026=1,P6026*Assumptions!$B$11,Assumptions!$B$28)</f>
        <v/>
      </c>
      <c r="X6026">
        <f>P6026*($O$757+$S$757)</f>
        <v/>
      </c>
      <c r="Y6026">
        <f>P6026*Assumptions!$B$9</f>
        <v/>
      </c>
      <c r="Z6026">
        <f>IF(M6026=1,(P6026-Assumptions!$B$37)*Assumptions!$B$153,0)</f>
        <v/>
      </c>
      <c r="AA6026">
        <f>Q6026+R6026+S6026+T6026+U6026+V6026+W6026+X6026+Y6026+Z6026</f>
        <v/>
      </c>
      <c r="AB6026" t="n">
        <v>2</v>
      </c>
      <c r="AC6026" t="n">
        <v>66</v>
      </c>
      <c r="AD6026" t="n">
        <v>34</v>
      </c>
      <c r="AE6026" t="n">
        <v>18</v>
      </c>
      <c r="AF6026" t="n">
        <v>10</v>
      </c>
      <c r="AG6026" t="n">
        <v>6</v>
      </c>
      <c r="AH6026" t="n">
        <v>0</v>
      </c>
      <c r="AI6026" t="n">
        <v>3</v>
      </c>
      <c r="AJ6026">
        <f>INDEX($Q$6024:$Q$6151,AC6026+1)</f>
        <v/>
      </c>
      <c r="AK6026">
        <f>INDEX($R$6024:$R$6151,AD6026+1)</f>
        <v/>
      </c>
      <c r="AL6026">
        <f>INDEX($S$6024:$S$6151,AE6026+1)</f>
        <v/>
      </c>
      <c r="AM6026">
        <f>INDEX($T$6024:$T$6151,AF6026+1)</f>
        <v/>
      </c>
      <c r="AN6026">
        <f>INDEX($U$6024:$U$6151,AG6026+1)</f>
        <v/>
      </c>
      <c r="AO6026">
        <f>INDEX($V$6024:$V$6151,AH6026+1)</f>
        <v/>
      </c>
      <c r="AP6026">
        <f>INDEX($W$6024:$W$6151,AI6026+1)</f>
        <v/>
      </c>
      <c r="AQ6026">
        <f>IF(Q6026&gt;=AJ6026-0.01,1,0)</f>
        <v/>
      </c>
      <c r="AR6026">
        <f>IF(R6026&gt;=AK6026-0.01,1,0)</f>
        <v/>
      </c>
      <c r="AS6026">
        <f>IF(S6026&gt;=AL6026-0.01,1,0)</f>
        <v/>
      </c>
      <c r="AT6026">
        <f>IF(T6026&gt;=AM6026-0.01,1,0)</f>
        <v/>
      </c>
      <c r="AU6026">
        <f>IF(U6026&gt;=AN6026-0.01,1,0)</f>
        <v/>
      </c>
      <c r="AV6026">
        <f>IF(V6026&gt;=AO6026-0.01,1,0)</f>
        <v/>
      </c>
      <c r="AW6026">
        <f>IF(W6026&gt;=AP6026-0.01,1,0)</f>
        <v/>
      </c>
      <c r="AX6026">
        <f>AQ6026*AR6026*AS6026*AT6026*AU6026*AV6026*AW6026</f>
        <v/>
      </c>
    </row>
    <row r="6027">
      <c r="A6027" t="inlineStr"/>
      <c r="B6027">
        <f>Assumptions!$B$60</f>
        <v/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</v>
      </c>
      <c r="J6027">
        <f>(1-C6027)*Assumptions!$B$41+(1-D6027)*Assumptions!$B$33+(1-E6027)*Assumptions!$B$32+(1-F6027)*Assumptions!$B$31+(1-G6027)*Assumptions!$B$30+(1-H6027)*Assumptions!$B$29+(1-I6027)*Assumptions!$B$28</f>
        <v/>
      </c>
      <c r="K6027">
        <f>C6027*$J$757+D6027*$F$757+E6027*$G$757+F6027*Assumptions!$B$14+G6027*Assumptions!$B$13+H6027*Assumptions!$B$12+I6027*Assumptions!$B$11+$O$757+$S$757+Assumptions!$B$9</f>
        <v/>
      </c>
      <c r="L6027">
        <f>B6027-J6027</f>
        <v/>
      </c>
      <c r="M6027">
        <f>IF(K6027&gt;0,IF(L6027/K6027&gt;=Assumptions!$B$37,1,0),0)</f>
        <v/>
      </c>
      <c r="N6027">
        <f>K6027+M6027*Assumptions!$B$153</f>
        <v/>
      </c>
      <c r="O6027">
        <f>L6027+M6027*Assumptions!$B$153*Assumptions!$B$37</f>
        <v/>
      </c>
      <c r="P6027">
        <f>IF(N6027&gt;0,O6027/N6027,0)</f>
        <v/>
      </c>
      <c r="Q6027">
        <f>IF(C6027=1,P6027*$J$757,Assumptions!$B$41)</f>
        <v/>
      </c>
      <c r="R6027">
        <f>IF(D6027=1,P6027*$F$757,Assumptions!$B$33)</f>
        <v/>
      </c>
      <c r="S6027">
        <f>IF(E6027=1,P6027*$G$757,Assumptions!$B$32)</f>
        <v/>
      </c>
      <c r="T6027">
        <f>IF(F6027=1,P6027*Assumptions!$B$14,Assumptions!$B$31)</f>
        <v/>
      </c>
      <c r="U6027">
        <f>IF(G6027=1,P6027*Assumptions!$B$13,Assumptions!$B$30)</f>
        <v/>
      </c>
      <c r="V6027">
        <f>IF(H6027=1,P6027*Assumptions!$B$12,Assumptions!$B$29)</f>
        <v/>
      </c>
      <c r="W6027">
        <f>IF(I6027=1,P6027*Assumptions!$B$11,Assumptions!$B$28)</f>
        <v/>
      </c>
      <c r="X6027">
        <f>P6027*($O$757+$S$757)</f>
        <v/>
      </c>
      <c r="Y6027">
        <f>P6027*Assumptions!$B$9</f>
        <v/>
      </c>
      <c r="Z6027">
        <f>IF(M6027=1,(P6027-Assumptions!$B$37)*Assumptions!$B$153,0)</f>
        <v/>
      </c>
      <c r="AA6027">
        <f>Q6027+R6027+S6027+T6027+U6027+V6027+W6027+X6027+Y6027+Z6027</f>
        <v/>
      </c>
      <c r="AB6027" t="n">
        <v>3</v>
      </c>
      <c r="AC6027" t="n">
        <v>67</v>
      </c>
      <c r="AD6027" t="n">
        <v>35</v>
      </c>
      <c r="AE6027" t="n">
        <v>19</v>
      </c>
      <c r="AF6027" t="n">
        <v>11</v>
      </c>
      <c r="AG6027" t="n">
        <v>7</v>
      </c>
      <c r="AH6027" t="n">
        <v>1</v>
      </c>
      <c r="AI6027" t="n">
        <v>2</v>
      </c>
      <c r="AJ6027">
        <f>INDEX($Q$6024:$Q$6151,AC6027+1)</f>
        <v/>
      </c>
      <c r="AK6027">
        <f>INDEX($R$6024:$R$6151,AD6027+1)</f>
        <v/>
      </c>
      <c r="AL6027">
        <f>INDEX($S$6024:$S$6151,AE6027+1)</f>
        <v/>
      </c>
      <c r="AM6027">
        <f>INDEX($T$6024:$T$6151,AF6027+1)</f>
        <v/>
      </c>
      <c r="AN6027">
        <f>INDEX($U$6024:$U$6151,AG6027+1)</f>
        <v/>
      </c>
      <c r="AO6027">
        <f>INDEX($V$6024:$V$6151,AH6027+1)</f>
        <v/>
      </c>
      <c r="AP6027">
        <f>INDEX($W$6024:$W$6151,AI6027+1)</f>
        <v/>
      </c>
      <c r="AQ6027">
        <f>IF(Q6027&gt;=AJ6027-0.01,1,0)</f>
        <v/>
      </c>
      <c r="AR6027">
        <f>IF(R6027&gt;=AK6027-0.01,1,0)</f>
        <v/>
      </c>
      <c r="AS6027">
        <f>IF(S6027&gt;=AL6027-0.01,1,0)</f>
        <v/>
      </c>
      <c r="AT6027">
        <f>IF(T6027&gt;=AM6027-0.01,1,0)</f>
        <v/>
      </c>
      <c r="AU6027">
        <f>IF(U6027&gt;=AN6027-0.01,1,0)</f>
        <v/>
      </c>
      <c r="AV6027">
        <f>IF(V6027&gt;=AO6027-0.01,1,0)</f>
        <v/>
      </c>
      <c r="AW6027">
        <f>IF(W6027&gt;=AP6027-0.01,1,0)</f>
        <v/>
      </c>
      <c r="AX6027">
        <f>AQ6027*AR6027*AS6027*AT6027*AU6027*AV6027*AW6027</f>
        <v/>
      </c>
    </row>
    <row r="6028">
      <c r="A6028" t="inlineStr"/>
      <c r="B6028">
        <f>Assumptions!$B$60</f>
        <v/>
      </c>
      <c r="C6028" t="n">
        <v>0</v>
      </c>
      <c r="D6028" t="n">
        <v>0</v>
      </c>
      <c r="E6028" t="n">
        <v>0</v>
      </c>
      <c r="F6028" t="n">
        <v>0</v>
      </c>
      <c r="G6028" t="n">
        <v>1</v>
      </c>
      <c r="H6028" t="n">
        <v>0</v>
      </c>
      <c r="I6028" t="n">
        <v>0</v>
      </c>
      <c r="J6028">
        <f>(1-C6028)*Assumptions!$B$41+(1-D6028)*Assumptions!$B$33+(1-E6028)*Assumptions!$B$32+(1-F6028)*Assumptions!$B$31+(1-G6028)*Assumptions!$B$30+(1-H6028)*Assumptions!$B$29+(1-I6028)*Assumptions!$B$28</f>
        <v/>
      </c>
      <c r="K6028">
        <f>C6028*$J$757+D6028*$F$757+E6028*$G$757+F6028*Assumptions!$B$14+G6028*Assumptions!$B$13+H6028*Assumptions!$B$12+I6028*Assumptions!$B$11+$O$757+$S$757+Assumptions!$B$9</f>
        <v/>
      </c>
      <c r="L6028">
        <f>B6028-J6028</f>
        <v/>
      </c>
      <c r="M6028">
        <f>IF(K6028&gt;0,IF(L6028/K6028&gt;=Assumptions!$B$37,1,0),0)</f>
        <v/>
      </c>
      <c r="N6028">
        <f>K6028+M6028*Assumptions!$B$153</f>
        <v/>
      </c>
      <c r="O6028">
        <f>L6028+M6028*Assumptions!$B$153*Assumptions!$B$37</f>
        <v/>
      </c>
      <c r="P6028">
        <f>IF(N6028&gt;0,O6028/N6028,0)</f>
        <v/>
      </c>
      <c r="Q6028">
        <f>IF(C6028=1,P6028*$J$757,Assumptions!$B$41)</f>
        <v/>
      </c>
      <c r="R6028">
        <f>IF(D6028=1,P6028*$F$757,Assumptions!$B$33)</f>
        <v/>
      </c>
      <c r="S6028">
        <f>IF(E6028=1,P6028*$G$757,Assumptions!$B$32)</f>
        <v/>
      </c>
      <c r="T6028">
        <f>IF(F6028=1,P6028*Assumptions!$B$14,Assumptions!$B$31)</f>
        <v/>
      </c>
      <c r="U6028">
        <f>IF(G6028=1,P6028*Assumptions!$B$13,Assumptions!$B$30)</f>
        <v/>
      </c>
      <c r="V6028">
        <f>IF(H6028=1,P6028*Assumptions!$B$12,Assumptions!$B$29)</f>
        <v/>
      </c>
      <c r="W6028">
        <f>IF(I6028=1,P6028*Assumptions!$B$11,Assumptions!$B$28)</f>
        <v/>
      </c>
      <c r="X6028">
        <f>P6028*($O$757+$S$757)</f>
        <v/>
      </c>
      <c r="Y6028">
        <f>P6028*Assumptions!$B$9</f>
        <v/>
      </c>
      <c r="Z6028">
        <f>IF(M6028=1,(P6028-Assumptions!$B$37)*Assumptions!$B$153,0)</f>
        <v/>
      </c>
      <c r="AA6028">
        <f>Q6028+R6028+S6028+T6028+U6028+V6028+W6028+X6028+Y6028+Z6028</f>
        <v/>
      </c>
      <c r="AB6028" t="n">
        <v>4</v>
      </c>
      <c r="AC6028" t="n">
        <v>68</v>
      </c>
      <c r="AD6028" t="n">
        <v>36</v>
      </c>
      <c r="AE6028" t="n">
        <v>20</v>
      </c>
      <c r="AF6028" t="n">
        <v>12</v>
      </c>
      <c r="AG6028" t="n">
        <v>0</v>
      </c>
      <c r="AH6028" t="n">
        <v>6</v>
      </c>
      <c r="AI6028" t="n">
        <v>5</v>
      </c>
      <c r="AJ6028">
        <f>INDEX($Q$6024:$Q$6151,AC6028+1)</f>
        <v/>
      </c>
      <c r="AK6028">
        <f>INDEX($R$6024:$R$6151,AD6028+1)</f>
        <v/>
      </c>
      <c r="AL6028">
        <f>INDEX($S$6024:$S$6151,AE6028+1)</f>
        <v/>
      </c>
      <c r="AM6028">
        <f>INDEX($T$6024:$T$6151,AF6028+1)</f>
        <v/>
      </c>
      <c r="AN6028">
        <f>INDEX($U$6024:$U$6151,AG6028+1)</f>
        <v/>
      </c>
      <c r="AO6028">
        <f>INDEX($V$6024:$V$6151,AH6028+1)</f>
        <v/>
      </c>
      <c r="AP6028">
        <f>INDEX($W$6024:$W$6151,AI6028+1)</f>
        <v/>
      </c>
      <c r="AQ6028">
        <f>IF(Q6028&gt;=AJ6028-0.01,1,0)</f>
        <v/>
      </c>
      <c r="AR6028">
        <f>IF(R6028&gt;=AK6028-0.01,1,0)</f>
        <v/>
      </c>
      <c r="AS6028">
        <f>IF(S6028&gt;=AL6028-0.01,1,0)</f>
        <v/>
      </c>
      <c r="AT6028">
        <f>IF(T6028&gt;=AM6028-0.01,1,0)</f>
        <v/>
      </c>
      <c r="AU6028">
        <f>IF(U6028&gt;=AN6028-0.01,1,0)</f>
        <v/>
      </c>
      <c r="AV6028">
        <f>IF(V6028&gt;=AO6028-0.01,1,0)</f>
        <v/>
      </c>
      <c r="AW6028">
        <f>IF(W6028&gt;=AP6028-0.01,1,0)</f>
        <v/>
      </c>
      <c r="AX6028">
        <f>AQ6028*AR6028*AS6028*AT6028*AU6028*AV6028*AW6028</f>
        <v/>
      </c>
    </row>
    <row r="6029">
      <c r="A6029" t="inlineStr"/>
      <c r="B6029">
        <f>Assumptions!$B$60</f>
        <v/>
      </c>
      <c r="C6029" t="n">
        <v>0</v>
      </c>
      <c r="D6029" t="n">
        <v>0</v>
      </c>
      <c r="E6029" t="n">
        <v>0</v>
      </c>
      <c r="F6029" t="n">
        <v>0</v>
      </c>
      <c r="G6029" t="n">
        <v>1</v>
      </c>
      <c r="H6029" t="n">
        <v>0</v>
      </c>
      <c r="I6029" t="n">
        <v>1</v>
      </c>
      <c r="J6029">
        <f>(1-C6029)*Assumptions!$B$41+(1-D6029)*Assumptions!$B$33+(1-E6029)*Assumptions!$B$32+(1-F6029)*Assumptions!$B$31+(1-G6029)*Assumptions!$B$30+(1-H6029)*Assumptions!$B$29+(1-I6029)*Assumptions!$B$28</f>
        <v/>
      </c>
      <c r="K6029">
        <f>C6029*$J$757+D6029*$F$757+E6029*$G$757+F6029*Assumptions!$B$14+G6029*Assumptions!$B$13+H6029*Assumptions!$B$12+I6029*Assumptions!$B$11+$O$757+$S$757+Assumptions!$B$9</f>
        <v/>
      </c>
      <c r="L6029">
        <f>B6029-J6029</f>
        <v/>
      </c>
      <c r="M6029">
        <f>IF(K6029&gt;0,IF(L6029/K6029&gt;=Assumptions!$B$37,1,0),0)</f>
        <v/>
      </c>
      <c r="N6029">
        <f>K6029+M6029*Assumptions!$B$153</f>
        <v/>
      </c>
      <c r="O6029">
        <f>L6029+M6029*Assumptions!$B$153*Assumptions!$B$37</f>
        <v/>
      </c>
      <c r="P6029">
        <f>IF(N6029&gt;0,O6029/N6029,0)</f>
        <v/>
      </c>
      <c r="Q6029">
        <f>IF(C6029=1,P6029*$J$757,Assumptions!$B$41)</f>
        <v/>
      </c>
      <c r="R6029">
        <f>IF(D6029=1,P6029*$F$757,Assumptions!$B$33)</f>
        <v/>
      </c>
      <c r="S6029">
        <f>IF(E6029=1,P6029*$G$757,Assumptions!$B$32)</f>
        <v/>
      </c>
      <c r="T6029">
        <f>IF(F6029=1,P6029*Assumptions!$B$14,Assumptions!$B$31)</f>
        <v/>
      </c>
      <c r="U6029">
        <f>IF(G6029=1,P6029*Assumptions!$B$13,Assumptions!$B$30)</f>
        <v/>
      </c>
      <c r="V6029">
        <f>IF(H6029=1,P6029*Assumptions!$B$12,Assumptions!$B$29)</f>
        <v/>
      </c>
      <c r="W6029">
        <f>IF(I6029=1,P6029*Assumptions!$B$11,Assumptions!$B$28)</f>
        <v/>
      </c>
      <c r="X6029">
        <f>P6029*($O$757+$S$757)</f>
        <v/>
      </c>
      <c r="Y6029">
        <f>P6029*Assumptions!$B$9</f>
        <v/>
      </c>
      <c r="Z6029">
        <f>IF(M6029=1,(P6029-Assumptions!$B$37)*Assumptions!$B$153,0)</f>
        <v/>
      </c>
      <c r="AA6029">
        <f>Q6029+R6029+S6029+T6029+U6029+V6029+W6029+X6029+Y6029+Z6029</f>
        <v/>
      </c>
      <c r="AB6029" t="n">
        <v>5</v>
      </c>
      <c r="AC6029" t="n">
        <v>69</v>
      </c>
      <c r="AD6029" t="n">
        <v>37</v>
      </c>
      <c r="AE6029" t="n">
        <v>21</v>
      </c>
      <c r="AF6029" t="n">
        <v>13</v>
      </c>
      <c r="AG6029" t="n">
        <v>1</v>
      </c>
      <c r="AH6029" t="n">
        <v>7</v>
      </c>
      <c r="AI6029" t="n">
        <v>4</v>
      </c>
      <c r="AJ6029">
        <f>INDEX($Q$6024:$Q$6151,AC6029+1)</f>
        <v/>
      </c>
      <c r="AK6029">
        <f>INDEX($R$6024:$R$6151,AD6029+1)</f>
        <v/>
      </c>
      <c r="AL6029">
        <f>INDEX($S$6024:$S$6151,AE6029+1)</f>
        <v/>
      </c>
      <c r="AM6029">
        <f>INDEX($T$6024:$T$6151,AF6029+1)</f>
        <v/>
      </c>
      <c r="AN6029">
        <f>INDEX($U$6024:$U$6151,AG6029+1)</f>
        <v/>
      </c>
      <c r="AO6029">
        <f>INDEX($V$6024:$V$6151,AH6029+1)</f>
        <v/>
      </c>
      <c r="AP6029">
        <f>INDEX($W$6024:$W$6151,AI6029+1)</f>
        <v/>
      </c>
      <c r="AQ6029">
        <f>IF(Q6029&gt;=AJ6029-0.01,1,0)</f>
        <v/>
      </c>
      <c r="AR6029">
        <f>IF(R6029&gt;=AK6029-0.01,1,0)</f>
        <v/>
      </c>
      <c r="AS6029">
        <f>IF(S6029&gt;=AL6029-0.01,1,0)</f>
        <v/>
      </c>
      <c r="AT6029">
        <f>IF(T6029&gt;=AM6029-0.01,1,0)</f>
        <v/>
      </c>
      <c r="AU6029">
        <f>IF(U6029&gt;=AN6029-0.01,1,0)</f>
        <v/>
      </c>
      <c r="AV6029">
        <f>IF(V6029&gt;=AO6029-0.01,1,0)</f>
        <v/>
      </c>
      <c r="AW6029">
        <f>IF(W6029&gt;=AP6029-0.01,1,0)</f>
        <v/>
      </c>
      <c r="AX6029">
        <f>AQ6029*AR6029*AS6029*AT6029*AU6029*AV6029*AW6029</f>
        <v/>
      </c>
    </row>
    <row r="6030">
      <c r="A6030" t="inlineStr"/>
      <c r="B6030">
        <f>Assumptions!$B$60</f>
        <v/>
      </c>
      <c r="C6030" t="n">
        <v>0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  <c r="I6030" t="n">
        <v>0</v>
      </c>
      <c r="J6030">
        <f>(1-C6030)*Assumptions!$B$41+(1-D6030)*Assumptions!$B$33+(1-E6030)*Assumptions!$B$32+(1-F6030)*Assumptions!$B$31+(1-G6030)*Assumptions!$B$30+(1-H6030)*Assumptions!$B$29+(1-I6030)*Assumptions!$B$28</f>
        <v/>
      </c>
      <c r="K6030">
        <f>C6030*$J$757+D6030*$F$757+E6030*$G$757+F6030*Assumptions!$B$14+G6030*Assumptions!$B$13+H6030*Assumptions!$B$12+I6030*Assumptions!$B$11+$O$757+$S$757+Assumptions!$B$9</f>
        <v/>
      </c>
      <c r="L6030">
        <f>B6030-J6030</f>
        <v/>
      </c>
      <c r="M6030">
        <f>IF(K6030&gt;0,IF(L6030/K6030&gt;=Assumptions!$B$37,1,0),0)</f>
        <v/>
      </c>
      <c r="N6030">
        <f>K6030+M6030*Assumptions!$B$153</f>
        <v/>
      </c>
      <c r="O6030">
        <f>L6030+M6030*Assumptions!$B$153*Assumptions!$B$37</f>
        <v/>
      </c>
      <c r="P6030">
        <f>IF(N6030&gt;0,O6030/N6030,0)</f>
        <v/>
      </c>
      <c r="Q6030">
        <f>IF(C6030=1,P6030*$J$757,Assumptions!$B$41)</f>
        <v/>
      </c>
      <c r="R6030">
        <f>IF(D6030=1,P6030*$F$757,Assumptions!$B$33)</f>
        <v/>
      </c>
      <c r="S6030">
        <f>IF(E6030=1,P6030*$G$757,Assumptions!$B$32)</f>
        <v/>
      </c>
      <c r="T6030">
        <f>IF(F6030=1,P6030*Assumptions!$B$14,Assumptions!$B$31)</f>
        <v/>
      </c>
      <c r="U6030">
        <f>IF(G6030=1,P6030*Assumptions!$B$13,Assumptions!$B$30)</f>
        <v/>
      </c>
      <c r="V6030">
        <f>IF(H6030=1,P6030*Assumptions!$B$12,Assumptions!$B$29)</f>
        <v/>
      </c>
      <c r="W6030">
        <f>IF(I6030=1,P6030*Assumptions!$B$11,Assumptions!$B$28)</f>
        <v/>
      </c>
      <c r="X6030">
        <f>P6030*($O$757+$S$757)</f>
        <v/>
      </c>
      <c r="Y6030">
        <f>P6030*Assumptions!$B$9</f>
        <v/>
      </c>
      <c r="Z6030">
        <f>IF(M6030=1,(P6030-Assumptions!$B$37)*Assumptions!$B$153,0)</f>
        <v/>
      </c>
      <c r="AA6030">
        <f>Q6030+R6030+S6030+T6030+U6030+V6030+W6030+X6030+Y6030+Z6030</f>
        <v/>
      </c>
      <c r="AB6030" t="n">
        <v>6</v>
      </c>
      <c r="AC6030" t="n">
        <v>70</v>
      </c>
      <c r="AD6030" t="n">
        <v>38</v>
      </c>
      <c r="AE6030" t="n">
        <v>22</v>
      </c>
      <c r="AF6030" t="n">
        <v>14</v>
      </c>
      <c r="AG6030" t="n">
        <v>2</v>
      </c>
      <c r="AH6030" t="n">
        <v>4</v>
      </c>
      <c r="AI6030" t="n">
        <v>7</v>
      </c>
      <c r="AJ6030">
        <f>INDEX($Q$6024:$Q$6151,AC6030+1)</f>
        <v/>
      </c>
      <c r="AK6030">
        <f>INDEX($R$6024:$R$6151,AD6030+1)</f>
        <v/>
      </c>
      <c r="AL6030">
        <f>INDEX($S$6024:$S$6151,AE6030+1)</f>
        <v/>
      </c>
      <c r="AM6030">
        <f>INDEX($T$6024:$T$6151,AF6030+1)</f>
        <v/>
      </c>
      <c r="AN6030">
        <f>INDEX($U$6024:$U$6151,AG6030+1)</f>
        <v/>
      </c>
      <c r="AO6030">
        <f>INDEX($V$6024:$V$6151,AH6030+1)</f>
        <v/>
      </c>
      <c r="AP6030">
        <f>INDEX($W$6024:$W$6151,AI6030+1)</f>
        <v/>
      </c>
      <c r="AQ6030">
        <f>IF(Q6030&gt;=AJ6030-0.01,1,0)</f>
        <v/>
      </c>
      <c r="AR6030">
        <f>IF(R6030&gt;=AK6030-0.01,1,0)</f>
        <v/>
      </c>
      <c r="AS6030">
        <f>IF(S6030&gt;=AL6030-0.01,1,0)</f>
        <v/>
      </c>
      <c r="AT6030">
        <f>IF(T6030&gt;=AM6030-0.01,1,0)</f>
        <v/>
      </c>
      <c r="AU6030">
        <f>IF(U6030&gt;=AN6030-0.01,1,0)</f>
        <v/>
      </c>
      <c r="AV6030">
        <f>IF(V6030&gt;=AO6030-0.01,1,0)</f>
        <v/>
      </c>
      <c r="AW6030">
        <f>IF(W6030&gt;=AP6030-0.01,1,0)</f>
        <v/>
      </c>
      <c r="AX6030">
        <f>AQ6030*AR6030*AS6030*AT6030*AU6030*AV6030*AW6030</f>
        <v/>
      </c>
    </row>
    <row r="6031">
      <c r="A6031" t="inlineStr"/>
      <c r="B6031">
        <f>Assumptions!$B$60</f>
        <v/>
      </c>
      <c r="C6031" t="n">
        <v>0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  <c r="I6031" t="n">
        <v>1</v>
      </c>
      <c r="J6031">
        <f>(1-C6031)*Assumptions!$B$41+(1-D6031)*Assumptions!$B$33+(1-E6031)*Assumptions!$B$32+(1-F6031)*Assumptions!$B$31+(1-G6031)*Assumptions!$B$30+(1-H6031)*Assumptions!$B$29+(1-I6031)*Assumptions!$B$28</f>
        <v/>
      </c>
      <c r="K6031">
        <f>C6031*$J$757+D6031*$F$757+E6031*$G$757+F6031*Assumptions!$B$14+G6031*Assumptions!$B$13+H6031*Assumptions!$B$12+I6031*Assumptions!$B$11+$O$757+$S$757+Assumptions!$B$9</f>
        <v/>
      </c>
      <c r="L6031">
        <f>B6031-J6031</f>
        <v/>
      </c>
      <c r="M6031">
        <f>IF(K6031&gt;0,IF(L6031/K6031&gt;=Assumptions!$B$37,1,0),0)</f>
        <v/>
      </c>
      <c r="N6031">
        <f>K6031+M6031*Assumptions!$B$153</f>
        <v/>
      </c>
      <c r="O6031">
        <f>L6031+M6031*Assumptions!$B$153*Assumptions!$B$37</f>
        <v/>
      </c>
      <c r="P6031">
        <f>IF(N6031&gt;0,O6031/N6031,0)</f>
        <v/>
      </c>
      <c r="Q6031">
        <f>IF(C6031=1,P6031*$J$757,Assumptions!$B$41)</f>
        <v/>
      </c>
      <c r="R6031">
        <f>IF(D6031=1,P6031*$F$757,Assumptions!$B$33)</f>
        <v/>
      </c>
      <c r="S6031">
        <f>IF(E6031=1,P6031*$G$757,Assumptions!$B$32)</f>
        <v/>
      </c>
      <c r="T6031">
        <f>IF(F6031=1,P6031*Assumptions!$B$14,Assumptions!$B$31)</f>
        <v/>
      </c>
      <c r="U6031">
        <f>IF(G6031=1,P6031*Assumptions!$B$13,Assumptions!$B$30)</f>
        <v/>
      </c>
      <c r="V6031">
        <f>IF(H6031=1,P6031*Assumptions!$B$12,Assumptions!$B$29)</f>
        <v/>
      </c>
      <c r="W6031">
        <f>IF(I6031=1,P6031*Assumptions!$B$11,Assumptions!$B$28)</f>
        <v/>
      </c>
      <c r="X6031">
        <f>P6031*($O$757+$S$757)</f>
        <v/>
      </c>
      <c r="Y6031">
        <f>P6031*Assumptions!$B$9</f>
        <v/>
      </c>
      <c r="Z6031">
        <f>IF(M6031=1,(P6031-Assumptions!$B$37)*Assumptions!$B$153,0)</f>
        <v/>
      </c>
      <c r="AA6031">
        <f>Q6031+R6031+S6031+T6031+U6031+V6031+W6031+X6031+Y6031+Z6031</f>
        <v/>
      </c>
      <c r="AB6031" t="n">
        <v>7</v>
      </c>
      <c r="AC6031" t="n">
        <v>71</v>
      </c>
      <c r="AD6031" t="n">
        <v>39</v>
      </c>
      <c r="AE6031" t="n">
        <v>23</v>
      </c>
      <c r="AF6031" t="n">
        <v>15</v>
      </c>
      <c r="AG6031" t="n">
        <v>3</v>
      </c>
      <c r="AH6031" t="n">
        <v>5</v>
      </c>
      <c r="AI6031" t="n">
        <v>6</v>
      </c>
      <c r="AJ6031">
        <f>INDEX($Q$6024:$Q$6151,AC6031+1)</f>
        <v/>
      </c>
      <c r="AK6031">
        <f>INDEX($R$6024:$R$6151,AD6031+1)</f>
        <v/>
      </c>
      <c r="AL6031">
        <f>INDEX($S$6024:$S$6151,AE6031+1)</f>
        <v/>
      </c>
      <c r="AM6031">
        <f>INDEX($T$6024:$T$6151,AF6031+1)</f>
        <v/>
      </c>
      <c r="AN6031">
        <f>INDEX($U$6024:$U$6151,AG6031+1)</f>
        <v/>
      </c>
      <c r="AO6031">
        <f>INDEX($V$6024:$V$6151,AH6031+1)</f>
        <v/>
      </c>
      <c r="AP6031">
        <f>INDEX($W$6024:$W$6151,AI6031+1)</f>
        <v/>
      </c>
      <c r="AQ6031">
        <f>IF(Q6031&gt;=AJ6031-0.01,1,0)</f>
        <v/>
      </c>
      <c r="AR6031">
        <f>IF(R6031&gt;=AK6031-0.01,1,0)</f>
        <v/>
      </c>
      <c r="AS6031">
        <f>IF(S6031&gt;=AL6031-0.01,1,0)</f>
        <v/>
      </c>
      <c r="AT6031">
        <f>IF(T6031&gt;=AM6031-0.01,1,0)</f>
        <v/>
      </c>
      <c r="AU6031">
        <f>IF(U6031&gt;=AN6031-0.01,1,0)</f>
        <v/>
      </c>
      <c r="AV6031">
        <f>IF(V6031&gt;=AO6031-0.01,1,0)</f>
        <v/>
      </c>
      <c r="AW6031">
        <f>IF(W6031&gt;=AP6031-0.01,1,0)</f>
        <v/>
      </c>
      <c r="AX6031">
        <f>AQ6031*AR6031*AS6031*AT6031*AU6031*AV6031*AW6031</f>
        <v/>
      </c>
    </row>
    <row r="6032">
      <c r="A6032" t="inlineStr"/>
      <c r="B6032">
        <f>Assumptions!$B$60</f>
        <v/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>
        <f>(1-C6032)*Assumptions!$B$41+(1-D6032)*Assumptions!$B$33+(1-E6032)*Assumptions!$B$32+(1-F6032)*Assumptions!$B$31+(1-G6032)*Assumptions!$B$30+(1-H6032)*Assumptions!$B$29+(1-I6032)*Assumptions!$B$28</f>
        <v/>
      </c>
      <c r="K6032">
        <f>C6032*$J$757+D6032*$F$757+E6032*$G$757+F6032*Assumptions!$B$14+G6032*Assumptions!$B$13+H6032*Assumptions!$B$12+I6032*Assumptions!$B$11+$O$757+$S$757+Assumptions!$B$9</f>
        <v/>
      </c>
      <c r="L6032">
        <f>B6032-J6032</f>
        <v/>
      </c>
      <c r="M6032">
        <f>IF(K6032&gt;0,IF(L6032/K6032&gt;=Assumptions!$B$37,1,0),0)</f>
        <v/>
      </c>
      <c r="N6032">
        <f>K6032+M6032*Assumptions!$B$153</f>
        <v/>
      </c>
      <c r="O6032">
        <f>L6032+M6032*Assumptions!$B$153*Assumptions!$B$37</f>
        <v/>
      </c>
      <c r="P6032">
        <f>IF(N6032&gt;0,O6032/N6032,0)</f>
        <v/>
      </c>
      <c r="Q6032">
        <f>IF(C6032=1,P6032*$J$757,Assumptions!$B$41)</f>
        <v/>
      </c>
      <c r="R6032">
        <f>IF(D6032=1,P6032*$F$757,Assumptions!$B$33)</f>
        <v/>
      </c>
      <c r="S6032">
        <f>IF(E6032=1,P6032*$G$757,Assumptions!$B$32)</f>
        <v/>
      </c>
      <c r="T6032">
        <f>IF(F6032=1,P6032*Assumptions!$B$14,Assumptions!$B$31)</f>
        <v/>
      </c>
      <c r="U6032">
        <f>IF(G6032=1,P6032*Assumptions!$B$13,Assumptions!$B$30)</f>
        <v/>
      </c>
      <c r="V6032">
        <f>IF(H6032=1,P6032*Assumptions!$B$12,Assumptions!$B$29)</f>
        <v/>
      </c>
      <c r="W6032">
        <f>IF(I6032=1,P6032*Assumptions!$B$11,Assumptions!$B$28)</f>
        <v/>
      </c>
      <c r="X6032">
        <f>P6032*($O$757+$S$757)</f>
        <v/>
      </c>
      <c r="Y6032">
        <f>P6032*Assumptions!$B$9</f>
        <v/>
      </c>
      <c r="Z6032">
        <f>IF(M6032=1,(P6032-Assumptions!$B$37)*Assumptions!$B$153,0)</f>
        <v/>
      </c>
      <c r="AA6032">
        <f>Q6032+R6032+S6032+T6032+U6032+V6032+W6032+X6032+Y6032+Z6032</f>
        <v/>
      </c>
      <c r="AB6032" t="n">
        <v>8</v>
      </c>
      <c r="AC6032" t="n">
        <v>72</v>
      </c>
      <c r="AD6032" t="n">
        <v>40</v>
      </c>
      <c r="AE6032" t="n">
        <v>24</v>
      </c>
      <c r="AF6032" t="n">
        <v>0</v>
      </c>
      <c r="AG6032" t="n">
        <v>12</v>
      </c>
      <c r="AH6032" t="n">
        <v>10</v>
      </c>
      <c r="AI6032" t="n">
        <v>9</v>
      </c>
      <c r="AJ6032">
        <f>INDEX($Q$6024:$Q$6151,AC6032+1)</f>
        <v/>
      </c>
      <c r="AK6032">
        <f>INDEX($R$6024:$R$6151,AD6032+1)</f>
        <v/>
      </c>
      <c r="AL6032">
        <f>INDEX($S$6024:$S$6151,AE6032+1)</f>
        <v/>
      </c>
      <c r="AM6032">
        <f>INDEX($T$6024:$T$6151,AF6032+1)</f>
        <v/>
      </c>
      <c r="AN6032">
        <f>INDEX($U$6024:$U$6151,AG6032+1)</f>
        <v/>
      </c>
      <c r="AO6032">
        <f>INDEX($V$6024:$V$6151,AH6032+1)</f>
        <v/>
      </c>
      <c r="AP6032">
        <f>INDEX($W$6024:$W$6151,AI6032+1)</f>
        <v/>
      </c>
      <c r="AQ6032">
        <f>IF(Q6032&gt;=AJ6032-0.01,1,0)</f>
        <v/>
      </c>
      <c r="AR6032">
        <f>IF(R6032&gt;=AK6032-0.01,1,0)</f>
        <v/>
      </c>
      <c r="AS6032">
        <f>IF(S6032&gt;=AL6032-0.01,1,0)</f>
        <v/>
      </c>
      <c r="AT6032">
        <f>IF(T6032&gt;=AM6032-0.01,1,0)</f>
        <v/>
      </c>
      <c r="AU6032">
        <f>IF(U6032&gt;=AN6032-0.01,1,0)</f>
        <v/>
      </c>
      <c r="AV6032">
        <f>IF(V6032&gt;=AO6032-0.01,1,0)</f>
        <v/>
      </c>
      <c r="AW6032">
        <f>IF(W6032&gt;=AP6032-0.01,1,0)</f>
        <v/>
      </c>
      <c r="AX6032">
        <f>AQ6032*AR6032*AS6032*AT6032*AU6032*AV6032*AW6032</f>
        <v/>
      </c>
    </row>
    <row r="6033">
      <c r="A6033" t="inlineStr"/>
      <c r="B6033">
        <f>Assumptions!$B$60</f>
        <v/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0</v>
      </c>
      <c r="I6033" t="n">
        <v>1</v>
      </c>
      <c r="J6033">
        <f>(1-C6033)*Assumptions!$B$41+(1-D6033)*Assumptions!$B$33+(1-E6033)*Assumptions!$B$32+(1-F6033)*Assumptions!$B$31+(1-G6033)*Assumptions!$B$30+(1-H6033)*Assumptions!$B$29+(1-I6033)*Assumptions!$B$28</f>
        <v/>
      </c>
      <c r="K6033">
        <f>C6033*$J$757+D6033*$F$757+E6033*$G$757+F6033*Assumptions!$B$14+G6033*Assumptions!$B$13+H6033*Assumptions!$B$12+I6033*Assumptions!$B$11+$O$757+$S$757+Assumptions!$B$9</f>
        <v/>
      </c>
      <c r="L6033">
        <f>B6033-J6033</f>
        <v/>
      </c>
      <c r="M6033">
        <f>IF(K6033&gt;0,IF(L6033/K6033&gt;=Assumptions!$B$37,1,0),0)</f>
        <v/>
      </c>
      <c r="N6033">
        <f>K6033+M6033*Assumptions!$B$153</f>
        <v/>
      </c>
      <c r="O6033">
        <f>L6033+M6033*Assumptions!$B$153*Assumptions!$B$37</f>
        <v/>
      </c>
      <c r="P6033">
        <f>IF(N6033&gt;0,O6033/N6033,0)</f>
        <v/>
      </c>
      <c r="Q6033">
        <f>IF(C6033=1,P6033*$J$757,Assumptions!$B$41)</f>
        <v/>
      </c>
      <c r="R6033">
        <f>IF(D6033=1,P6033*$F$757,Assumptions!$B$33)</f>
        <v/>
      </c>
      <c r="S6033">
        <f>IF(E6033=1,P6033*$G$757,Assumptions!$B$32)</f>
        <v/>
      </c>
      <c r="T6033">
        <f>IF(F6033=1,P6033*Assumptions!$B$14,Assumptions!$B$31)</f>
        <v/>
      </c>
      <c r="U6033">
        <f>IF(G6033=1,P6033*Assumptions!$B$13,Assumptions!$B$30)</f>
        <v/>
      </c>
      <c r="V6033">
        <f>IF(H6033=1,P6033*Assumptions!$B$12,Assumptions!$B$29)</f>
        <v/>
      </c>
      <c r="W6033">
        <f>IF(I6033=1,P6033*Assumptions!$B$11,Assumptions!$B$28)</f>
        <v/>
      </c>
      <c r="X6033">
        <f>P6033*($O$757+$S$757)</f>
        <v/>
      </c>
      <c r="Y6033">
        <f>P6033*Assumptions!$B$9</f>
        <v/>
      </c>
      <c r="Z6033">
        <f>IF(M6033=1,(P6033-Assumptions!$B$37)*Assumptions!$B$153,0)</f>
        <v/>
      </c>
      <c r="AA6033">
        <f>Q6033+R6033+S6033+T6033+U6033+V6033+W6033+X6033+Y6033+Z6033</f>
        <v/>
      </c>
      <c r="AB6033" t="n">
        <v>9</v>
      </c>
      <c r="AC6033" t="n">
        <v>73</v>
      </c>
      <c r="AD6033" t="n">
        <v>41</v>
      </c>
      <c r="AE6033" t="n">
        <v>25</v>
      </c>
      <c r="AF6033" t="n">
        <v>1</v>
      </c>
      <c r="AG6033" t="n">
        <v>13</v>
      </c>
      <c r="AH6033" t="n">
        <v>11</v>
      </c>
      <c r="AI6033" t="n">
        <v>8</v>
      </c>
      <c r="AJ6033">
        <f>INDEX($Q$6024:$Q$6151,AC6033+1)</f>
        <v/>
      </c>
      <c r="AK6033">
        <f>INDEX($R$6024:$R$6151,AD6033+1)</f>
        <v/>
      </c>
      <c r="AL6033">
        <f>INDEX($S$6024:$S$6151,AE6033+1)</f>
        <v/>
      </c>
      <c r="AM6033">
        <f>INDEX($T$6024:$T$6151,AF6033+1)</f>
        <v/>
      </c>
      <c r="AN6033">
        <f>INDEX($U$6024:$U$6151,AG6033+1)</f>
        <v/>
      </c>
      <c r="AO6033">
        <f>INDEX($V$6024:$V$6151,AH6033+1)</f>
        <v/>
      </c>
      <c r="AP6033">
        <f>INDEX($W$6024:$W$6151,AI6033+1)</f>
        <v/>
      </c>
      <c r="AQ6033">
        <f>IF(Q6033&gt;=AJ6033-0.01,1,0)</f>
        <v/>
      </c>
      <c r="AR6033">
        <f>IF(R6033&gt;=AK6033-0.01,1,0)</f>
        <v/>
      </c>
      <c r="AS6033">
        <f>IF(S6033&gt;=AL6033-0.01,1,0)</f>
        <v/>
      </c>
      <c r="AT6033">
        <f>IF(T6033&gt;=AM6033-0.01,1,0)</f>
        <v/>
      </c>
      <c r="AU6033">
        <f>IF(U6033&gt;=AN6033-0.01,1,0)</f>
        <v/>
      </c>
      <c r="AV6033">
        <f>IF(V6033&gt;=AO6033-0.01,1,0)</f>
        <v/>
      </c>
      <c r="AW6033">
        <f>IF(W6033&gt;=AP6033-0.01,1,0)</f>
        <v/>
      </c>
      <c r="AX6033">
        <f>AQ6033*AR6033*AS6033*AT6033*AU6033*AV6033*AW6033</f>
        <v/>
      </c>
    </row>
    <row r="6034">
      <c r="A6034" t="inlineStr"/>
      <c r="B6034">
        <f>Assumptions!$B$60</f>
        <v/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  <c r="I6034" t="n">
        <v>0</v>
      </c>
      <c r="J6034">
        <f>(1-C6034)*Assumptions!$B$41+(1-D6034)*Assumptions!$B$33+(1-E6034)*Assumptions!$B$32+(1-F6034)*Assumptions!$B$31+(1-G6034)*Assumptions!$B$30+(1-H6034)*Assumptions!$B$29+(1-I6034)*Assumptions!$B$28</f>
        <v/>
      </c>
      <c r="K6034">
        <f>C6034*$J$757+D6034*$F$757+E6034*$G$757+F6034*Assumptions!$B$14+G6034*Assumptions!$B$13+H6034*Assumptions!$B$12+I6034*Assumptions!$B$11+$O$757+$S$757+Assumptions!$B$9</f>
        <v/>
      </c>
      <c r="L6034">
        <f>B6034-J6034</f>
        <v/>
      </c>
      <c r="M6034">
        <f>IF(K6034&gt;0,IF(L6034/K6034&gt;=Assumptions!$B$37,1,0),0)</f>
        <v/>
      </c>
      <c r="N6034">
        <f>K6034+M6034*Assumptions!$B$153</f>
        <v/>
      </c>
      <c r="O6034">
        <f>L6034+M6034*Assumptions!$B$153*Assumptions!$B$37</f>
        <v/>
      </c>
      <c r="P6034">
        <f>IF(N6034&gt;0,O6034/N6034,0)</f>
        <v/>
      </c>
      <c r="Q6034">
        <f>IF(C6034=1,P6034*$J$757,Assumptions!$B$41)</f>
        <v/>
      </c>
      <c r="R6034">
        <f>IF(D6034=1,P6034*$F$757,Assumptions!$B$33)</f>
        <v/>
      </c>
      <c r="S6034">
        <f>IF(E6034=1,P6034*$G$757,Assumptions!$B$32)</f>
        <v/>
      </c>
      <c r="T6034">
        <f>IF(F6034=1,P6034*Assumptions!$B$14,Assumptions!$B$31)</f>
        <v/>
      </c>
      <c r="U6034">
        <f>IF(G6034=1,P6034*Assumptions!$B$13,Assumptions!$B$30)</f>
        <v/>
      </c>
      <c r="V6034">
        <f>IF(H6034=1,P6034*Assumptions!$B$12,Assumptions!$B$29)</f>
        <v/>
      </c>
      <c r="W6034">
        <f>IF(I6034=1,P6034*Assumptions!$B$11,Assumptions!$B$28)</f>
        <v/>
      </c>
      <c r="X6034">
        <f>P6034*($O$757+$S$757)</f>
        <v/>
      </c>
      <c r="Y6034">
        <f>P6034*Assumptions!$B$9</f>
        <v/>
      </c>
      <c r="Z6034">
        <f>IF(M6034=1,(P6034-Assumptions!$B$37)*Assumptions!$B$153,0)</f>
        <v/>
      </c>
      <c r="AA6034">
        <f>Q6034+R6034+S6034+T6034+U6034+V6034+W6034+X6034+Y6034+Z6034</f>
        <v/>
      </c>
      <c r="AB6034" t="n">
        <v>10</v>
      </c>
      <c r="AC6034" t="n">
        <v>74</v>
      </c>
      <c r="AD6034" t="n">
        <v>42</v>
      </c>
      <c r="AE6034" t="n">
        <v>26</v>
      </c>
      <c r="AF6034" t="n">
        <v>2</v>
      </c>
      <c r="AG6034" t="n">
        <v>14</v>
      </c>
      <c r="AH6034" t="n">
        <v>8</v>
      </c>
      <c r="AI6034" t="n">
        <v>11</v>
      </c>
      <c r="AJ6034">
        <f>INDEX($Q$6024:$Q$6151,AC6034+1)</f>
        <v/>
      </c>
      <c r="AK6034">
        <f>INDEX($R$6024:$R$6151,AD6034+1)</f>
        <v/>
      </c>
      <c r="AL6034">
        <f>INDEX($S$6024:$S$6151,AE6034+1)</f>
        <v/>
      </c>
      <c r="AM6034">
        <f>INDEX($T$6024:$T$6151,AF6034+1)</f>
        <v/>
      </c>
      <c r="AN6034">
        <f>INDEX($U$6024:$U$6151,AG6034+1)</f>
        <v/>
      </c>
      <c r="AO6034">
        <f>INDEX($V$6024:$V$6151,AH6034+1)</f>
        <v/>
      </c>
      <c r="AP6034">
        <f>INDEX($W$6024:$W$6151,AI6034+1)</f>
        <v/>
      </c>
      <c r="AQ6034">
        <f>IF(Q6034&gt;=AJ6034-0.01,1,0)</f>
        <v/>
      </c>
      <c r="AR6034">
        <f>IF(R6034&gt;=AK6034-0.01,1,0)</f>
        <v/>
      </c>
      <c r="AS6034">
        <f>IF(S6034&gt;=AL6034-0.01,1,0)</f>
        <v/>
      </c>
      <c r="AT6034">
        <f>IF(T6034&gt;=AM6034-0.01,1,0)</f>
        <v/>
      </c>
      <c r="AU6034">
        <f>IF(U6034&gt;=AN6034-0.01,1,0)</f>
        <v/>
      </c>
      <c r="AV6034">
        <f>IF(V6034&gt;=AO6034-0.01,1,0)</f>
        <v/>
      </c>
      <c r="AW6034">
        <f>IF(W6034&gt;=AP6034-0.01,1,0)</f>
        <v/>
      </c>
      <c r="AX6034">
        <f>AQ6034*AR6034*AS6034*AT6034*AU6034*AV6034*AW6034</f>
        <v/>
      </c>
    </row>
    <row r="6035">
      <c r="A6035" t="inlineStr"/>
      <c r="B6035">
        <f>Assumptions!$B$60</f>
        <v/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  <c r="I6035" t="n">
        <v>1</v>
      </c>
      <c r="J6035">
        <f>(1-C6035)*Assumptions!$B$41+(1-D6035)*Assumptions!$B$33+(1-E6035)*Assumptions!$B$32+(1-F6035)*Assumptions!$B$31+(1-G6035)*Assumptions!$B$30+(1-H6035)*Assumptions!$B$29+(1-I6035)*Assumptions!$B$28</f>
        <v/>
      </c>
      <c r="K6035">
        <f>C6035*$J$757+D6035*$F$757+E6035*$G$757+F6035*Assumptions!$B$14+G6035*Assumptions!$B$13+H6035*Assumptions!$B$12+I6035*Assumptions!$B$11+$O$757+$S$757+Assumptions!$B$9</f>
        <v/>
      </c>
      <c r="L6035">
        <f>B6035-J6035</f>
        <v/>
      </c>
      <c r="M6035">
        <f>IF(K6035&gt;0,IF(L6035/K6035&gt;=Assumptions!$B$37,1,0),0)</f>
        <v/>
      </c>
      <c r="N6035">
        <f>K6035+M6035*Assumptions!$B$153</f>
        <v/>
      </c>
      <c r="O6035">
        <f>L6035+M6035*Assumptions!$B$153*Assumptions!$B$37</f>
        <v/>
      </c>
      <c r="P6035">
        <f>IF(N6035&gt;0,O6035/N6035,0)</f>
        <v/>
      </c>
      <c r="Q6035">
        <f>IF(C6035=1,P6035*$J$757,Assumptions!$B$41)</f>
        <v/>
      </c>
      <c r="R6035">
        <f>IF(D6035=1,P6035*$F$757,Assumptions!$B$33)</f>
        <v/>
      </c>
      <c r="S6035">
        <f>IF(E6035=1,P6035*$G$757,Assumptions!$B$32)</f>
        <v/>
      </c>
      <c r="T6035">
        <f>IF(F6035=1,P6035*Assumptions!$B$14,Assumptions!$B$31)</f>
        <v/>
      </c>
      <c r="U6035">
        <f>IF(G6035=1,P6035*Assumptions!$B$13,Assumptions!$B$30)</f>
        <v/>
      </c>
      <c r="V6035">
        <f>IF(H6035=1,P6035*Assumptions!$B$12,Assumptions!$B$29)</f>
        <v/>
      </c>
      <c r="W6035">
        <f>IF(I6035=1,P6035*Assumptions!$B$11,Assumptions!$B$28)</f>
        <v/>
      </c>
      <c r="X6035">
        <f>P6035*($O$757+$S$757)</f>
        <v/>
      </c>
      <c r="Y6035">
        <f>P6035*Assumptions!$B$9</f>
        <v/>
      </c>
      <c r="Z6035">
        <f>IF(M6035=1,(P6035-Assumptions!$B$37)*Assumptions!$B$153,0)</f>
        <v/>
      </c>
      <c r="AA6035">
        <f>Q6035+R6035+S6035+T6035+U6035+V6035+W6035+X6035+Y6035+Z6035</f>
        <v/>
      </c>
      <c r="AB6035" t="n">
        <v>11</v>
      </c>
      <c r="AC6035" t="n">
        <v>75</v>
      </c>
      <c r="AD6035" t="n">
        <v>43</v>
      </c>
      <c r="AE6035" t="n">
        <v>27</v>
      </c>
      <c r="AF6035" t="n">
        <v>3</v>
      </c>
      <c r="AG6035" t="n">
        <v>15</v>
      </c>
      <c r="AH6035" t="n">
        <v>9</v>
      </c>
      <c r="AI6035" t="n">
        <v>10</v>
      </c>
      <c r="AJ6035">
        <f>INDEX($Q$6024:$Q$6151,AC6035+1)</f>
        <v/>
      </c>
      <c r="AK6035">
        <f>INDEX($R$6024:$R$6151,AD6035+1)</f>
        <v/>
      </c>
      <c r="AL6035">
        <f>INDEX($S$6024:$S$6151,AE6035+1)</f>
        <v/>
      </c>
      <c r="AM6035">
        <f>INDEX($T$6024:$T$6151,AF6035+1)</f>
        <v/>
      </c>
      <c r="AN6035">
        <f>INDEX($U$6024:$U$6151,AG6035+1)</f>
        <v/>
      </c>
      <c r="AO6035">
        <f>INDEX($V$6024:$V$6151,AH6035+1)</f>
        <v/>
      </c>
      <c r="AP6035">
        <f>INDEX($W$6024:$W$6151,AI6035+1)</f>
        <v/>
      </c>
      <c r="AQ6035">
        <f>IF(Q6035&gt;=AJ6035-0.01,1,0)</f>
        <v/>
      </c>
      <c r="AR6035">
        <f>IF(R6035&gt;=AK6035-0.01,1,0)</f>
        <v/>
      </c>
      <c r="AS6035">
        <f>IF(S6035&gt;=AL6035-0.01,1,0)</f>
        <v/>
      </c>
      <c r="AT6035">
        <f>IF(T6035&gt;=AM6035-0.01,1,0)</f>
        <v/>
      </c>
      <c r="AU6035">
        <f>IF(U6035&gt;=AN6035-0.01,1,0)</f>
        <v/>
      </c>
      <c r="AV6035">
        <f>IF(V6035&gt;=AO6035-0.01,1,0)</f>
        <v/>
      </c>
      <c r="AW6035">
        <f>IF(W6035&gt;=AP6035-0.01,1,0)</f>
        <v/>
      </c>
      <c r="AX6035">
        <f>AQ6035*AR6035*AS6035*AT6035*AU6035*AV6035*AW6035</f>
        <v/>
      </c>
    </row>
    <row r="6036">
      <c r="A6036" t="inlineStr"/>
      <c r="B6036">
        <f>Assumptions!$B$60</f>
        <v/>
      </c>
      <c r="C6036" t="n">
        <v>0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  <c r="J6036">
        <f>(1-C6036)*Assumptions!$B$41+(1-D6036)*Assumptions!$B$33+(1-E6036)*Assumptions!$B$32+(1-F6036)*Assumptions!$B$31+(1-G6036)*Assumptions!$B$30+(1-H6036)*Assumptions!$B$29+(1-I6036)*Assumptions!$B$28</f>
        <v/>
      </c>
      <c r="K6036">
        <f>C6036*$J$757+D6036*$F$757+E6036*$G$757+F6036*Assumptions!$B$14+G6036*Assumptions!$B$13+H6036*Assumptions!$B$12+I6036*Assumptions!$B$11+$O$757+$S$757+Assumptions!$B$9</f>
        <v/>
      </c>
      <c r="L6036">
        <f>B6036-J6036</f>
        <v/>
      </c>
      <c r="M6036">
        <f>IF(K6036&gt;0,IF(L6036/K6036&gt;=Assumptions!$B$37,1,0),0)</f>
        <v/>
      </c>
      <c r="N6036">
        <f>K6036+M6036*Assumptions!$B$153</f>
        <v/>
      </c>
      <c r="O6036">
        <f>L6036+M6036*Assumptions!$B$153*Assumptions!$B$37</f>
        <v/>
      </c>
      <c r="P6036">
        <f>IF(N6036&gt;0,O6036/N6036,0)</f>
        <v/>
      </c>
      <c r="Q6036">
        <f>IF(C6036=1,P6036*$J$757,Assumptions!$B$41)</f>
        <v/>
      </c>
      <c r="R6036">
        <f>IF(D6036=1,P6036*$F$757,Assumptions!$B$33)</f>
        <v/>
      </c>
      <c r="S6036">
        <f>IF(E6036=1,P6036*$G$757,Assumptions!$B$32)</f>
        <v/>
      </c>
      <c r="T6036">
        <f>IF(F6036=1,P6036*Assumptions!$B$14,Assumptions!$B$31)</f>
        <v/>
      </c>
      <c r="U6036">
        <f>IF(G6036=1,P6036*Assumptions!$B$13,Assumptions!$B$30)</f>
        <v/>
      </c>
      <c r="V6036">
        <f>IF(H6036=1,P6036*Assumptions!$B$12,Assumptions!$B$29)</f>
        <v/>
      </c>
      <c r="W6036">
        <f>IF(I6036=1,P6036*Assumptions!$B$11,Assumptions!$B$28)</f>
        <v/>
      </c>
      <c r="X6036">
        <f>P6036*($O$757+$S$757)</f>
        <v/>
      </c>
      <c r="Y6036">
        <f>P6036*Assumptions!$B$9</f>
        <v/>
      </c>
      <c r="Z6036">
        <f>IF(M6036=1,(P6036-Assumptions!$B$37)*Assumptions!$B$153,0)</f>
        <v/>
      </c>
      <c r="AA6036">
        <f>Q6036+R6036+S6036+T6036+U6036+V6036+W6036+X6036+Y6036+Z6036</f>
        <v/>
      </c>
      <c r="AB6036" t="n">
        <v>12</v>
      </c>
      <c r="AC6036" t="n">
        <v>76</v>
      </c>
      <c r="AD6036" t="n">
        <v>44</v>
      </c>
      <c r="AE6036" t="n">
        <v>28</v>
      </c>
      <c r="AF6036" t="n">
        <v>4</v>
      </c>
      <c r="AG6036" t="n">
        <v>8</v>
      </c>
      <c r="AH6036" t="n">
        <v>14</v>
      </c>
      <c r="AI6036" t="n">
        <v>13</v>
      </c>
      <c r="AJ6036">
        <f>INDEX($Q$6024:$Q$6151,AC6036+1)</f>
        <v/>
      </c>
      <c r="AK6036">
        <f>INDEX($R$6024:$R$6151,AD6036+1)</f>
        <v/>
      </c>
      <c r="AL6036">
        <f>INDEX($S$6024:$S$6151,AE6036+1)</f>
        <v/>
      </c>
      <c r="AM6036">
        <f>INDEX($T$6024:$T$6151,AF6036+1)</f>
        <v/>
      </c>
      <c r="AN6036">
        <f>INDEX($U$6024:$U$6151,AG6036+1)</f>
        <v/>
      </c>
      <c r="AO6036">
        <f>INDEX($V$6024:$V$6151,AH6036+1)</f>
        <v/>
      </c>
      <c r="AP6036">
        <f>INDEX($W$6024:$W$6151,AI6036+1)</f>
        <v/>
      </c>
      <c r="AQ6036">
        <f>IF(Q6036&gt;=AJ6036-0.01,1,0)</f>
        <v/>
      </c>
      <c r="AR6036">
        <f>IF(R6036&gt;=AK6036-0.01,1,0)</f>
        <v/>
      </c>
      <c r="AS6036">
        <f>IF(S6036&gt;=AL6036-0.01,1,0)</f>
        <v/>
      </c>
      <c r="AT6036">
        <f>IF(T6036&gt;=AM6036-0.01,1,0)</f>
        <v/>
      </c>
      <c r="AU6036">
        <f>IF(U6036&gt;=AN6036-0.01,1,0)</f>
        <v/>
      </c>
      <c r="AV6036">
        <f>IF(V6036&gt;=AO6036-0.01,1,0)</f>
        <v/>
      </c>
      <c r="AW6036">
        <f>IF(W6036&gt;=AP6036-0.01,1,0)</f>
        <v/>
      </c>
      <c r="AX6036">
        <f>AQ6036*AR6036*AS6036*AT6036*AU6036*AV6036*AW6036</f>
        <v/>
      </c>
    </row>
    <row r="6037">
      <c r="A6037" t="inlineStr"/>
      <c r="B6037">
        <f>Assumptions!$B$60</f>
        <v/>
      </c>
      <c r="C6037" t="n">
        <v>0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1</v>
      </c>
      <c r="J6037">
        <f>(1-C6037)*Assumptions!$B$41+(1-D6037)*Assumptions!$B$33+(1-E6037)*Assumptions!$B$32+(1-F6037)*Assumptions!$B$31+(1-G6037)*Assumptions!$B$30+(1-H6037)*Assumptions!$B$29+(1-I6037)*Assumptions!$B$28</f>
        <v/>
      </c>
      <c r="K6037">
        <f>C6037*$J$757+D6037*$F$757+E6037*$G$757+F6037*Assumptions!$B$14+G6037*Assumptions!$B$13+H6037*Assumptions!$B$12+I6037*Assumptions!$B$11+$O$757+$S$757+Assumptions!$B$9</f>
        <v/>
      </c>
      <c r="L6037">
        <f>B6037-J6037</f>
        <v/>
      </c>
      <c r="M6037">
        <f>IF(K6037&gt;0,IF(L6037/K6037&gt;=Assumptions!$B$37,1,0),0)</f>
        <v/>
      </c>
      <c r="N6037">
        <f>K6037+M6037*Assumptions!$B$153</f>
        <v/>
      </c>
      <c r="O6037">
        <f>L6037+M6037*Assumptions!$B$153*Assumptions!$B$37</f>
        <v/>
      </c>
      <c r="P6037">
        <f>IF(N6037&gt;0,O6037/N6037,0)</f>
        <v/>
      </c>
      <c r="Q6037">
        <f>IF(C6037=1,P6037*$J$757,Assumptions!$B$41)</f>
        <v/>
      </c>
      <c r="R6037">
        <f>IF(D6037=1,P6037*$F$757,Assumptions!$B$33)</f>
        <v/>
      </c>
      <c r="S6037">
        <f>IF(E6037=1,P6037*$G$757,Assumptions!$B$32)</f>
        <v/>
      </c>
      <c r="T6037">
        <f>IF(F6037=1,P6037*Assumptions!$B$14,Assumptions!$B$31)</f>
        <v/>
      </c>
      <c r="U6037">
        <f>IF(G6037=1,P6037*Assumptions!$B$13,Assumptions!$B$30)</f>
        <v/>
      </c>
      <c r="V6037">
        <f>IF(H6037=1,P6037*Assumptions!$B$12,Assumptions!$B$29)</f>
        <v/>
      </c>
      <c r="W6037">
        <f>IF(I6037=1,P6037*Assumptions!$B$11,Assumptions!$B$28)</f>
        <v/>
      </c>
      <c r="X6037">
        <f>P6037*($O$757+$S$757)</f>
        <v/>
      </c>
      <c r="Y6037">
        <f>P6037*Assumptions!$B$9</f>
        <v/>
      </c>
      <c r="Z6037">
        <f>IF(M6037=1,(P6037-Assumptions!$B$37)*Assumptions!$B$153,0)</f>
        <v/>
      </c>
      <c r="AA6037">
        <f>Q6037+R6037+S6037+T6037+U6037+V6037+W6037+X6037+Y6037+Z6037</f>
        <v/>
      </c>
      <c r="AB6037" t="n">
        <v>13</v>
      </c>
      <c r="AC6037" t="n">
        <v>77</v>
      </c>
      <c r="AD6037" t="n">
        <v>45</v>
      </c>
      <c r="AE6037" t="n">
        <v>29</v>
      </c>
      <c r="AF6037" t="n">
        <v>5</v>
      </c>
      <c r="AG6037" t="n">
        <v>9</v>
      </c>
      <c r="AH6037" t="n">
        <v>15</v>
      </c>
      <c r="AI6037" t="n">
        <v>12</v>
      </c>
      <c r="AJ6037">
        <f>INDEX($Q$6024:$Q$6151,AC6037+1)</f>
        <v/>
      </c>
      <c r="AK6037">
        <f>INDEX($R$6024:$R$6151,AD6037+1)</f>
        <v/>
      </c>
      <c r="AL6037">
        <f>INDEX($S$6024:$S$6151,AE6037+1)</f>
        <v/>
      </c>
      <c r="AM6037">
        <f>INDEX($T$6024:$T$6151,AF6037+1)</f>
        <v/>
      </c>
      <c r="AN6037">
        <f>INDEX($U$6024:$U$6151,AG6037+1)</f>
        <v/>
      </c>
      <c r="AO6037">
        <f>INDEX($V$6024:$V$6151,AH6037+1)</f>
        <v/>
      </c>
      <c r="AP6037">
        <f>INDEX($W$6024:$W$6151,AI6037+1)</f>
        <v/>
      </c>
      <c r="AQ6037">
        <f>IF(Q6037&gt;=AJ6037-0.01,1,0)</f>
        <v/>
      </c>
      <c r="AR6037">
        <f>IF(R6037&gt;=AK6037-0.01,1,0)</f>
        <v/>
      </c>
      <c r="AS6037">
        <f>IF(S6037&gt;=AL6037-0.01,1,0)</f>
        <v/>
      </c>
      <c r="AT6037">
        <f>IF(T6037&gt;=AM6037-0.01,1,0)</f>
        <v/>
      </c>
      <c r="AU6037">
        <f>IF(U6037&gt;=AN6037-0.01,1,0)</f>
        <v/>
      </c>
      <c r="AV6037">
        <f>IF(V6037&gt;=AO6037-0.01,1,0)</f>
        <v/>
      </c>
      <c r="AW6037">
        <f>IF(W6037&gt;=AP6037-0.01,1,0)</f>
        <v/>
      </c>
      <c r="AX6037">
        <f>AQ6037*AR6037*AS6037*AT6037*AU6037*AV6037*AW6037</f>
        <v/>
      </c>
    </row>
    <row r="6038">
      <c r="A6038" t="inlineStr"/>
      <c r="B6038">
        <f>Assumptions!$B$60</f>
        <v/>
      </c>
      <c r="C6038" t="n">
        <v>0</v>
      </c>
      <c r="D6038" t="n">
        <v>0</v>
      </c>
      <c r="E6038" t="n">
        <v>0</v>
      </c>
      <c r="F6038" t="n">
        <v>1</v>
      </c>
      <c r="G6038" t="n">
        <v>1</v>
      </c>
      <c r="H6038" t="n">
        <v>1</v>
      </c>
      <c r="I6038" t="n">
        <v>0</v>
      </c>
      <c r="J6038">
        <f>(1-C6038)*Assumptions!$B$41+(1-D6038)*Assumptions!$B$33+(1-E6038)*Assumptions!$B$32+(1-F6038)*Assumptions!$B$31+(1-G6038)*Assumptions!$B$30+(1-H6038)*Assumptions!$B$29+(1-I6038)*Assumptions!$B$28</f>
        <v/>
      </c>
      <c r="K6038">
        <f>C6038*$J$757+D6038*$F$757+E6038*$G$757+F6038*Assumptions!$B$14+G6038*Assumptions!$B$13+H6038*Assumptions!$B$12+I6038*Assumptions!$B$11+$O$757+$S$757+Assumptions!$B$9</f>
        <v/>
      </c>
      <c r="L6038">
        <f>B6038-J6038</f>
        <v/>
      </c>
      <c r="M6038">
        <f>IF(K6038&gt;0,IF(L6038/K6038&gt;=Assumptions!$B$37,1,0),0)</f>
        <v/>
      </c>
      <c r="N6038">
        <f>K6038+M6038*Assumptions!$B$153</f>
        <v/>
      </c>
      <c r="O6038">
        <f>L6038+M6038*Assumptions!$B$153*Assumptions!$B$37</f>
        <v/>
      </c>
      <c r="P6038">
        <f>IF(N6038&gt;0,O6038/N6038,0)</f>
        <v/>
      </c>
      <c r="Q6038">
        <f>IF(C6038=1,P6038*$J$757,Assumptions!$B$41)</f>
        <v/>
      </c>
      <c r="R6038">
        <f>IF(D6038=1,P6038*$F$757,Assumptions!$B$33)</f>
        <v/>
      </c>
      <c r="S6038">
        <f>IF(E6038=1,P6038*$G$757,Assumptions!$B$32)</f>
        <v/>
      </c>
      <c r="T6038">
        <f>IF(F6038=1,P6038*Assumptions!$B$14,Assumptions!$B$31)</f>
        <v/>
      </c>
      <c r="U6038">
        <f>IF(G6038=1,P6038*Assumptions!$B$13,Assumptions!$B$30)</f>
        <v/>
      </c>
      <c r="V6038">
        <f>IF(H6038=1,P6038*Assumptions!$B$12,Assumptions!$B$29)</f>
        <v/>
      </c>
      <c r="W6038">
        <f>IF(I6038=1,P6038*Assumptions!$B$11,Assumptions!$B$28)</f>
        <v/>
      </c>
      <c r="X6038">
        <f>P6038*($O$757+$S$757)</f>
        <v/>
      </c>
      <c r="Y6038">
        <f>P6038*Assumptions!$B$9</f>
        <v/>
      </c>
      <c r="Z6038">
        <f>IF(M6038=1,(P6038-Assumptions!$B$37)*Assumptions!$B$153,0)</f>
        <v/>
      </c>
      <c r="AA6038">
        <f>Q6038+R6038+S6038+T6038+U6038+V6038+W6038+X6038+Y6038+Z6038</f>
        <v/>
      </c>
      <c r="AB6038" t="n">
        <v>14</v>
      </c>
      <c r="AC6038" t="n">
        <v>78</v>
      </c>
      <c r="AD6038" t="n">
        <v>46</v>
      </c>
      <c r="AE6038" t="n">
        <v>30</v>
      </c>
      <c r="AF6038" t="n">
        <v>6</v>
      </c>
      <c r="AG6038" t="n">
        <v>10</v>
      </c>
      <c r="AH6038" t="n">
        <v>12</v>
      </c>
      <c r="AI6038" t="n">
        <v>15</v>
      </c>
      <c r="AJ6038">
        <f>INDEX($Q$6024:$Q$6151,AC6038+1)</f>
        <v/>
      </c>
      <c r="AK6038">
        <f>INDEX($R$6024:$R$6151,AD6038+1)</f>
        <v/>
      </c>
      <c r="AL6038">
        <f>INDEX($S$6024:$S$6151,AE6038+1)</f>
        <v/>
      </c>
      <c r="AM6038">
        <f>INDEX($T$6024:$T$6151,AF6038+1)</f>
        <v/>
      </c>
      <c r="AN6038">
        <f>INDEX($U$6024:$U$6151,AG6038+1)</f>
        <v/>
      </c>
      <c r="AO6038">
        <f>INDEX($V$6024:$V$6151,AH6038+1)</f>
        <v/>
      </c>
      <c r="AP6038">
        <f>INDEX($W$6024:$W$6151,AI6038+1)</f>
        <v/>
      </c>
      <c r="AQ6038">
        <f>IF(Q6038&gt;=AJ6038-0.01,1,0)</f>
        <v/>
      </c>
      <c r="AR6038">
        <f>IF(R6038&gt;=AK6038-0.01,1,0)</f>
        <v/>
      </c>
      <c r="AS6038">
        <f>IF(S6038&gt;=AL6038-0.01,1,0)</f>
        <v/>
      </c>
      <c r="AT6038">
        <f>IF(T6038&gt;=AM6038-0.01,1,0)</f>
        <v/>
      </c>
      <c r="AU6038">
        <f>IF(U6038&gt;=AN6038-0.01,1,0)</f>
        <v/>
      </c>
      <c r="AV6038">
        <f>IF(V6038&gt;=AO6038-0.01,1,0)</f>
        <v/>
      </c>
      <c r="AW6038">
        <f>IF(W6038&gt;=AP6038-0.01,1,0)</f>
        <v/>
      </c>
      <c r="AX6038">
        <f>AQ6038*AR6038*AS6038*AT6038*AU6038*AV6038*AW6038</f>
        <v/>
      </c>
    </row>
    <row r="6039">
      <c r="A6039" t="inlineStr"/>
      <c r="B6039">
        <f>Assumptions!$B$60</f>
        <v/>
      </c>
      <c r="C6039" t="n">
        <v>0</v>
      </c>
      <c r="D6039" t="n">
        <v>0</v>
      </c>
      <c r="E6039" t="n">
        <v>0</v>
      </c>
      <c r="F6039" t="n">
        <v>1</v>
      </c>
      <c r="G6039" t="n">
        <v>1</v>
      </c>
      <c r="H6039" t="n">
        <v>1</v>
      </c>
      <c r="I6039" t="n">
        <v>1</v>
      </c>
      <c r="J6039">
        <f>(1-C6039)*Assumptions!$B$41+(1-D6039)*Assumptions!$B$33+(1-E6039)*Assumptions!$B$32+(1-F6039)*Assumptions!$B$31+(1-G6039)*Assumptions!$B$30+(1-H6039)*Assumptions!$B$29+(1-I6039)*Assumptions!$B$28</f>
        <v/>
      </c>
      <c r="K6039">
        <f>C6039*$J$757+D6039*$F$757+E6039*$G$757+F6039*Assumptions!$B$14+G6039*Assumptions!$B$13+H6039*Assumptions!$B$12+I6039*Assumptions!$B$11+$O$757+$S$757+Assumptions!$B$9</f>
        <v/>
      </c>
      <c r="L6039">
        <f>B6039-J6039</f>
        <v/>
      </c>
      <c r="M6039">
        <f>IF(K6039&gt;0,IF(L6039/K6039&gt;=Assumptions!$B$37,1,0),0)</f>
        <v/>
      </c>
      <c r="N6039">
        <f>K6039+M6039*Assumptions!$B$153</f>
        <v/>
      </c>
      <c r="O6039">
        <f>L6039+M6039*Assumptions!$B$153*Assumptions!$B$37</f>
        <v/>
      </c>
      <c r="P6039">
        <f>IF(N6039&gt;0,O6039/N6039,0)</f>
        <v/>
      </c>
      <c r="Q6039">
        <f>IF(C6039=1,P6039*$J$757,Assumptions!$B$41)</f>
        <v/>
      </c>
      <c r="R6039">
        <f>IF(D6039=1,P6039*$F$757,Assumptions!$B$33)</f>
        <v/>
      </c>
      <c r="S6039">
        <f>IF(E6039=1,P6039*$G$757,Assumptions!$B$32)</f>
        <v/>
      </c>
      <c r="T6039">
        <f>IF(F6039=1,P6039*Assumptions!$B$14,Assumptions!$B$31)</f>
        <v/>
      </c>
      <c r="U6039">
        <f>IF(G6039=1,P6039*Assumptions!$B$13,Assumptions!$B$30)</f>
        <v/>
      </c>
      <c r="V6039">
        <f>IF(H6039=1,P6039*Assumptions!$B$12,Assumptions!$B$29)</f>
        <v/>
      </c>
      <c r="W6039">
        <f>IF(I6039=1,P6039*Assumptions!$B$11,Assumptions!$B$28)</f>
        <v/>
      </c>
      <c r="X6039">
        <f>P6039*($O$757+$S$757)</f>
        <v/>
      </c>
      <c r="Y6039">
        <f>P6039*Assumptions!$B$9</f>
        <v/>
      </c>
      <c r="Z6039">
        <f>IF(M6039=1,(P6039-Assumptions!$B$37)*Assumptions!$B$153,0)</f>
        <v/>
      </c>
      <c r="AA6039">
        <f>Q6039+R6039+S6039+T6039+U6039+V6039+W6039+X6039+Y6039+Z6039</f>
        <v/>
      </c>
      <c r="AB6039" t="n">
        <v>15</v>
      </c>
      <c r="AC6039" t="n">
        <v>79</v>
      </c>
      <c r="AD6039" t="n">
        <v>47</v>
      </c>
      <c r="AE6039" t="n">
        <v>31</v>
      </c>
      <c r="AF6039" t="n">
        <v>7</v>
      </c>
      <c r="AG6039" t="n">
        <v>11</v>
      </c>
      <c r="AH6039" t="n">
        <v>13</v>
      </c>
      <c r="AI6039" t="n">
        <v>14</v>
      </c>
      <c r="AJ6039">
        <f>INDEX($Q$6024:$Q$6151,AC6039+1)</f>
        <v/>
      </c>
      <c r="AK6039">
        <f>INDEX($R$6024:$R$6151,AD6039+1)</f>
        <v/>
      </c>
      <c r="AL6039">
        <f>INDEX($S$6024:$S$6151,AE6039+1)</f>
        <v/>
      </c>
      <c r="AM6039">
        <f>INDEX($T$6024:$T$6151,AF6039+1)</f>
        <v/>
      </c>
      <c r="AN6039">
        <f>INDEX($U$6024:$U$6151,AG6039+1)</f>
        <v/>
      </c>
      <c r="AO6039">
        <f>INDEX($V$6024:$V$6151,AH6039+1)</f>
        <v/>
      </c>
      <c r="AP6039">
        <f>INDEX($W$6024:$W$6151,AI6039+1)</f>
        <v/>
      </c>
      <c r="AQ6039">
        <f>IF(Q6039&gt;=AJ6039-0.01,1,0)</f>
        <v/>
      </c>
      <c r="AR6039">
        <f>IF(R6039&gt;=AK6039-0.01,1,0)</f>
        <v/>
      </c>
      <c r="AS6039">
        <f>IF(S6039&gt;=AL6039-0.01,1,0)</f>
        <v/>
      </c>
      <c r="AT6039">
        <f>IF(T6039&gt;=AM6039-0.01,1,0)</f>
        <v/>
      </c>
      <c r="AU6039">
        <f>IF(U6039&gt;=AN6039-0.01,1,0)</f>
        <v/>
      </c>
      <c r="AV6039">
        <f>IF(V6039&gt;=AO6039-0.01,1,0)</f>
        <v/>
      </c>
      <c r="AW6039">
        <f>IF(W6039&gt;=AP6039-0.01,1,0)</f>
        <v/>
      </c>
      <c r="AX6039">
        <f>AQ6039*AR6039*AS6039*AT6039*AU6039*AV6039*AW6039</f>
        <v/>
      </c>
    </row>
    <row r="6040">
      <c r="A6040" t="inlineStr"/>
      <c r="B6040">
        <f>Assumptions!$B$60</f>
        <v/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0</v>
      </c>
      <c r="I6040" t="n">
        <v>0</v>
      </c>
      <c r="J6040">
        <f>(1-C6040)*Assumptions!$B$41+(1-D6040)*Assumptions!$B$33+(1-E6040)*Assumptions!$B$32+(1-F6040)*Assumptions!$B$31+(1-G6040)*Assumptions!$B$30+(1-H6040)*Assumptions!$B$29+(1-I6040)*Assumptions!$B$28</f>
        <v/>
      </c>
      <c r="K6040">
        <f>C6040*$J$757+D6040*$F$757+E6040*$G$757+F6040*Assumptions!$B$14+G6040*Assumptions!$B$13+H6040*Assumptions!$B$12+I6040*Assumptions!$B$11+$O$757+$S$757+Assumptions!$B$9</f>
        <v/>
      </c>
      <c r="L6040">
        <f>B6040-J6040</f>
        <v/>
      </c>
      <c r="M6040">
        <f>IF(K6040&gt;0,IF(L6040/K6040&gt;=Assumptions!$B$37,1,0),0)</f>
        <v/>
      </c>
      <c r="N6040">
        <f>K6040+M6040*Assumptions!$B$153</f>
        <v/>
      </c>
      <c r="O6040">
        <f>L6040+M6040*Assumptions!$B$153*Assumptions!$B$37</f>
        <v/>
      </c>
      <c r="P6040">
        <f>IF(N6040&gt;0,O6040/N6040,0)</f>
        <v/>
      </c>
      <c r="Q6040">
        <f>IF(C6040=1,P6040*$J$757,Assumptions!$B$41)</f>
        <v/>
      </c>
      <c r="R6040">
        <f>IF(D6040=1,P6040*$F$757,Assumptions!$B$33)</f>
        <v/>
      </c>
      <c r="S6040">
        <f>IF(E6040=1,P6040*$G$757,Assumptions!$B$32)</f>
        <v/>
      </c>
      <c r="T6040">
        <f>IF(F6040=1,P6040*Assumptions!$B$14,Assumptions!$B$31)</f>
        <v/>
      </c>
      <c r="U6040">
        <f>IF(G6040=1,P6040*Assumptions!$B$13,Assumptions!$B$30)</f>
        <v/>
      </c>
      <c r="V6040">
        <f>IF(H6040=1,P6040*Assumptions!$B$12,Assumptions!$B$29)</f>
        <v/>
      </c>
      <c r="W6040">
        <f>IF(I6040=1,P6040*Assumptions!$B$11,Assumptions!$B$28)</f>
        <v/>
      </c>
      <c r="X6040">
        <f>P6040*($O$757+$S$757)</f>
        <v/>
      </c>
      <c r="Y6040">
        <f>P6040*Assumptions!$B$9</f>
        <v/>
      </c>
      <c r="Z6040">
        <f>IF(M6040=1,(P6040-Assumptions!$B$37)*Assumptions!$B$153,0)</f>
        <v/>
      </c>
      <c r="AA6040">
        <f>Q6040+R6040+S6040+T6040+U6040+V6040+W6040+X6040+Y6040+Z6040</f>
        <v/>
      </c>
      <c r="AB6040" t="n">
        <v>16</v>
      </c>
      <c r="AC6040" t="n">
        <v>80</v>
      </c>
      <c r="AD6040" t="n">
        <v>48</v>
      </c>
      <c r="AE6040" t="n">
        <v>0</v>
      </c>
      <c r="AF6040" t="n">
        <v>24</v>
      </c>
      <c r="AG6040" t="n">
        <v>20</v>
      </c>
      <c r="AH6040" t="n">
        <v>18</v>
      </c>
      <c r="AI6040" t="n">
        <v>17</v>
      </c>
      <c r="AJ6040">
        <f>INDEX($Q$6024:$Q$6151,AC6040+1)</f>
        <v/>
      </c>
      <c r="AK6040">
        <f>INDEX($R$6024:$R$6151,AD6040+1)</f>
        <v/>
      </c>
      <c r="AL6040">
        <f>INDEX($S$6024:$S$6151,AE6040+1)</f>
        <v/>
      </c>
      <c r="AM6040">
        <f>INDEX($T$6024:$T$6151,AF6040+1)</f>
        <v/>
      </c>
      <c r="AN6040">
        <f>INDEX($U$6024:$U$6151,AG6040+1)</f>
        <v/>
      </c>
      <c r="AO6040">
        <f>INDEX($V$6024:$V$6151,AH6040+1)</f>
        <v/>
      </c>
      <c r="AP6040">
        <f>INDEX($W$6024:$W$6151,AI6040+1)</f>
        <v/>
      </c>
      <c r="AQ6040">
        <f>IF(Q6040&gt;=AJ6040-0.01,1,0)</f>
        <v/>
      </c>
      <c r="AR6040">
        <f>IF(R6040&gt;=AK6040-0.01,1,0)</f>
        <v/>
      </c>
      <c r="AS6040">
        <f>IF(S6040&gt;=AL6040-0.01,1,0)</f>
        <v/>
      </c>
      <c r="AT6040">
        <f>IF(T6040&gt;=AM6040-0.01,1,0)</f>
        <v/>
      </c>
      <c r="AU6040">
        <f>IF(U6040&gt;=AN6040-0.01,1,0)</f>
        <v/>
      </c>
      <c r="AV6040">
        <f>IF(V6040&gt;=AO6040-0.01,1,0)</f>
        <v/>
      </c>
      <c r="AW6040">
        <f>IF(W6040&gt;=AP6040-0.01,1,0)</f>
        <v/>
      </c>
      <c r="AX6040">
        <f>AQ6040*AR6040*AS6040*AT6040*AU6040*AV6040*AW6040</f>
        <v/>
      </c>
    </row>
    <row r="6041">
      <c r="A6041" t="inlineStr"/>
      <c r="B6041">
        <f>Assumptions!$B$60</f>
        <v/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0</v>
      </c>
      <c r="I6041" t="n">
        <v>1</v>
      </c>
      <c r="J6041">
        <f>(1-C6041)*Assumptions!$B$41+(1-D6041)*Assumptions!$B$33+(1-E6041)*Assumptions!$B$32+(1-F6041)*Assumptions!$B$31+(1-G6041)*Assumptions!$B$30+(1-H6041)*Assumptions!$B$29+(1-I6041)*Assumptions!$B$28</f>
        <v/>
      </c>
      <c r="K6041">
        <f>C6041*$J$757+D6041*$F$757+E6041*$G$757+F6041*Assumptions!$B$14+G6041*Assumptions!$B$13+H6041*Assumptions!$B$12+I6041*Assumptions!$B$11+$O$757+$S$757+Assumptions!$B$9</f>
        <v/>
      </c>
      <c r="L6041">
        <f>B6041-J6041</f>
        <v/>
      </c>
      <c r="M6041">
        <f>IF(K6041&gt;0,IF(L6041/K6041&gt;=Assumptions!$B$37,1,0),0)</f>
        <v/>
      </c>
      <c r="N6041">
        <f>K6041+M6041*Assumptions!$B$153</f>
        <v/>
      </c>
      <c r="O6041">
        <f>L6041+M6041*Assumptions!$B$153*Assumptions!$B$37</f>
        <v/>
      </c>
      <c r="P6041">
        <f>IF(N6041&gt;0,O6041/N6041,0)</f>
        <v/>
      </c>
      <c r="Q6041">
        <f>IF(C6041=1,P6041*$J$757,Assumptions!$B$41)</f>
        <v/>
      </c>
      <c r="R6041">
        <f>IF(D6041=1,P6041*$F$757,Assumptions!$B$33)</f>
        <v/>
      </c>
      <c r="S6041">
        <f>IF(E6041=1,P6041*$G$757,Assumptions!$B$32)</f>
        <v/>
      </c>
      <c r="T6041">
        <f>IF(F6041=1,P6041*Assumptions!$B$14,Assumptions!$B$31)</f>
        <v/>
      </c>
      <c r="U6041">
        <f>IF(G6041=1,P6041*Assumptions!$B$13,Assumptions!$B$30)</f>
        <v/>
      </c>
      <c r="V6041">
        <f>IF(H6041=1,P6041*Assumptions!$B$12,Assumptions!$B$29)</f>
        <v/>
      </c>
      <c r="W6041">
        <f>IF(I6041=1,P6041*Assumptions!$B$11,Assumptions!$B$28)</f>
        <v/>
      </c>
      <c r="X6041">
        <f>P6041*($O$757+$S$757)</f>
        <v/>
      </c>
      <c r="Y6041">
        <f>P6041*Assumptions!$B$9</f>
        <v/>
      </c>
      <c r="Z6041">
        <f>IF(M6041=1,(P6041-Assumptions!$B$37)*Assumptions!$B$153,0)</f>
        <v/>
      </c>
      <c r="AA6041">
        <f>Q6041+R6041+S6041+T6041+U6041+V6041+W6041+X6041+Y6041+Z6041</f>
        <v/>
      </c>
      <c r="AB6041" t="n">
        <v>17</v>
      </c>
      <c r="AC6041" t="n">
        <v>81</v>
      </c>
      <c r="AD6041" t="n">
        <v>49</v>
      </c>
      <c r="AE6041" t="n">
        <v>1</v>
      </c>
      <c r="AF6041" t="n">
        <v>25</v>
      </c>
      <c r="AG6041" t="n">
        <v>21</v>
      </c>
      <c r="AH6041" t="n">
        <v>19</v>
      </c>
      <c r="AI6041" t="n">
        <v>16</v>
      </c>
      <c r="AJ6041">
        <f>INDEX($Q$6024:$Q$6151,AC6041+1)</f>
        <v/>
      </c>
      <c r="AK6041">
        <f>INDEX($R$6024:$R$6151,AD6041+1)</f>
        <v/>
      </c>
      <c r="AL6041">
        <f>INDEX($S$6024:$S$6151,AE6041+1)</f>
        <v/>
      </c>
      <c r="AM6041">
        <f>INDEX($T$6024:$T$6151,AF6041+1)</f>
        <v/>
      </c>
      <c r="AN6041">
        <f>INDEX($U$6024:$U$6151,AG6041+1)</f>
        <v/>
      </c>
      <c r="AO6041">
        <f>INDEX($V$6024:$V$6151,AH6041+1)</f>
        <v/>
      </c>
      <c r="AP6041">
        <f>INDEX($W$6024:$W$6151,AI6041+1)</f>
        <v/>
      </c>
      <c r="AQ6041">
        <f>IF(Q6041&gt;=AJ6041-0.01,1,0)</f>
        <v/>
      </c>
      <c r="AR6041">
        <f>IF(R6041&gt;=AK6041-0.01,1,0)</f>
        <v/>
      </c>
      <c r="AS6041">
        <f>IF(S6041&gt;=AL6041-0.01,1,0)</f>
        <v/>
      </c>
      <c r="AT6041">
        <f>IF(T6041&gt;=AM6041-0.01,1,0)</f>
        <v/>
      </c>
      <c r="AU6041">
        <f>IF(U6041&gt;=AN6041-0.01,1,0)</f>
        <v/>
      </c>
      <c r="AV6041">
        <f>IF(V6041&gt;=AO6041-0.01,1,0)</f>
        <v/>
      </c>
      <c r="AW6041">
        <f>IF(W6041&gt;=AP6041-0.01,1,0)</f>
        <v/>
      </c>
      <c r="AX6041">
        <f>AQ6041*AR6041*AS6041*AT6041*AU6041*AV6041*AW6041</f>
        <v/>
      </c>
    </row>
    <row r="6042">
      <c r="A6042" t="inlineStr"/>
      <c r="B6042">
        <f>Assumptions!$B$60</f>
        <v/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  <c r="I6042" t="n">
        <v>0</v>
      </c>
      <c r="J6042">
        <f>(1-C6042)*Assumptions!$B$41+(1-D6042)*Assumptions!$B$33+(1-E6042)*Assumptions!$B$32+(1-F6042)*Assumptions!$B$31+(1-G6042)*Assumptions!$B$30+(1-H6042)*Assumptions!$B$29+(1-I6042)*Assumptions!$B$28</f>
        <v/>
      </c>
      <c r="K6042">
        <f>C6042*$J$757+D6042*$F$757+E6042*$G$757+F6042*Assumptions!$B$14+G6042*Assumptions!$B$13+H6042*Assumptions!$B$12+I6042*Assumptions!$B$11+$O$757+$S$757+Assumptions!$B$9</f>
        <v/>
      </c>
      <c r="L6042">
        <f>B6042-J6042</f>
        <v/>
      </c>
      <c r="M6042">
        <f>IF(K6042&gt;0,IF(L6042/K6042&gt;=Assumptions!$B$37,1,0),0)</f>
        <v/>
      </c>
      <c r="N6042">
        <f>K6042+M6042*Assumptions!$B$153</f>
        <v/>
      </c>
      <c r="O6042">
        <f>L6042+M6042*Assumptions!$B$153*Assumptions!$B$37</f>
        <v/>
      </c>
      <c r="P6042">
        <f>IF(N6042&gt;0,O6042/N6042,0)</f>
        <v/>
      </c>
      <c r="Q6042">
        <f>IF(C6042=1,P6042*$J$757,Assumptions!$B$41)</f>
        <v/>
      </c>
      <c r="R6042">
        <f>IF(D6042=1,P6042*$F$757,Assumptions!$B$33)</f>
        <v/>
      </c>
      <c r="S6042">
        <f>IF(E6042=1,P6042*$G$757,Assumptions!$B$32)</f>
        <v/>
      </c>
      <c r="T6042">
        <f>IF(F6042=1,P6042*Assumptions!$B$14,Assumptions!$B$31)</f>
        <v/>
      </c>
      <c r="U6042">
        <f>IF(G6042=1,P6042*Assumptions!$B$13,Assumptions!$B$30)</f>
        <v/>
      </c>
      <c r="V6042">
        <f>IF(H6042=1,P6042*Assumptions!$B$12,Assumptions!$B$29)</f>
        <v/>
      </c>
      <c r="W6042">
        <f>IF(I6042=1,P6042*Assumptions!$B$11,Assumptions!$B$28)</f>
        <v/>
      </c>
      <c r="X6042">
        <f>P6042*($O$757+$S$757)</f>
        <v/>
      </c>
      <c r="Y6042">
        <f>P6042*Assumptions!$B$9</f>
        <v/>
      </c>
      <c r="Z6042">
        <f>IF(M6042=1,(P6042-Assumptions!$B$37)*Assumptions!$B$153,0)</f>
        <v/>
      </c>
      <c r="AA6042">
        <f>Q6042+R6042+S6042+T6042+U6042+V6042+W6042+X6042+Y6042+Z6042</f>
        <v/>
      </c>
      <c r="AB6042" t="n">
        <v>18</v>
      </c>
      <c r="AC6042" t="n">
        <v>82</v>
      </c>
      <c r="AD6042" t="n">
        <v>50</v>
      </c>
      <c r="AE6042" t="n">
        <v>2</v>
      </c>
      <c r="AF6042" t="n">
        <v>26</v>
      </c>
      <c r="AG6042" t="n">
        <v>22</v>
      </c>
      <c r="AH6042" t="n">
        <v>16</v>
      </c>
      <c r="AI6042" t="n">
        <v>19</v>
      </c>
      <c r="AJ6042">
        <f>INDEX($Q$6024:$Q$6151,AC6042+1)</f>
        <v/>
      </c>
      <c r="AK6042">
        <f>INDEX($R$6024:$R$6151,AD6042+1)</f>
        <v/>
      </c>
      <c r="AL6042">
        <f>INDEX($S$6024:$S$6151,AE6042+1)</f>
        <v/>
      </c>
      <c r="AM6042">
        <f>INDEX($T$6024:$T$6151,AF6042+1)</f>
        <v/>
      </c>
      <c r="AN6042">
        <f>INDEX($U$6024:$U$6151,AG6042+1)</f>
        <v/>
      </c>
      <c r="AO6042">
        <f>INDEX($V$6024:$V$6151,AH6042+1)</f>
        <v/>
      </c>
      <c r="AP6042">
        <f>INDEX($W$6024:$W$6151,AI6042+1)</f>
        <v/>
      </c>
      <c r="AQ6042">
        <f>IF(Q6042&gt;=AJ6042-0.01,1,0)</f>
        <v/>
      </c>
      <c r="AR6042">
        <f>IF(R6042&gt;=AK6042-0.01,1,0)</f>
        <v/>
      </c>
      <c r="AS6042">
        <f>IF(S6042&gt;=AL6042-0.01,1,0)</f>
        <v/>
      </c>
      <c r="AT6042">
        <f>IF(T6042&gt;=AM6042-0.01,1,0)</f>
        <v/>
      </c>
      <c r="AU6042">
        <f>IF(U6042&gt;=AN6042-0.01,1,0)</f>
        <v/>
      </c>
      <c r="AV6042">
        <f>IF(V6042&gt;=AO6042-0.01,1,0)</f>
        <v/>
      </c>
      <c r="AW6042">
        <f>IF(W6042&gt;=AP6042-0.01,1,0)</f>
        <v/>
      </c>
      <c r="AX6042">
        <f>AQ6042*AR6042*AS6042*AT6042*AU6042*AV6042*AW6042</f>
        <v/>
      </c>
    </row>
    <row r="6043">
      <c r="A6043" t="inlineStr"/>
      <c r="B6043">
        <f>Assumptions!$B$60</f>
        <v/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  <c r="I6043" t="n">
        <v>1</v>
      </c>
      <c r="J6043">
        <f>(1-C6043)*Assumptions!$B$41+(1-D6043)*Assumptions!$B$33+(1-E6043)*Assumptions!$B$32+(1-F6043)*Assumptions!$B$31+(1-G6043)*Assumptions!$B$30+(1-H6043)*Assumptions!$B$29+(1-I6043)*Assumptions!$B$28</f>
        <v/>
      </c>
      <c r="K6043">
        <f>C6043*$J$757+D6043*$F$757+E6043*$G$757+F6043*Assumptions!$B$14+G6043*Assumptions!$B$13+H6043*Assumptions!$B$12+I6043*Assumptions!$B$11+$O$757+$S$757+Assumptions!$B$9</f>
        <v/>
      </c>
      <c r="L6043">
        <f>B6043-J6043</f>
        <v/>
      </c>
      <c r="M6043">
        <f>IF(K6043&gt;0,IF(L6043/K6043&gt;=Assumptions!$B$37,1,0),0)</f>
        <v/>
      </c>
      <c r="N6043">
        <f>K6043+M6043*Assumptions!$B$153</f>
        <v/>
      </c>
      <c r="O6043">
        <f>L6043+M6043*Assumptions!$B$153*Assumptions!$B$37</f>
        <v/>
      </c>
      <c r="P6043">
        <f>IF(N6043&gt;0,O6043/N6043,0)</f>
        <v/>
      </c>
      <c r="Q6043">
        <f>IF(C6043=1,P6043*$J$757,Assumptions!$B$41)</f>
        <v/>
      </c>
      <c r="R6043">
        <f>IF(D6043=1,P6043*$F$757,Assumptions!$B$33)</f>
        <v/>
      </c>
      <c r="S6043">
        <f>IF(E6043=1,P6043*$G$757,Assumptions!$B$32)</f>
        <v/>
      </c>
      <c r="T6043">
        <f>IF(F6043=1,P6043*Assumptions!$B$14,Assumptions!$B$31)</f>
        <v/>
      </c>
      <c r="U6043">
        <f>IF(G6043=1,P6043*Assumptions!$B$13,Assumptions!$B$30)</f>
        <v/>
      </c>
      <c r="V6043">
        <f>IF(H6043=1,P6043*Assumptions!$B$12,Assumptions!$B$29)</f>
        <v/>
      </c>
      <c r="W6043">
        <f>IF(I6043=1,P6043*Assumptions!$B$11,Assumptions!$B$28)</f>
        <v/>
      </c>
      <c r="X6043">
        <f>P6043*($O$757+$S$757)</f>
        <v/>
      </c>
      <c r="Y6043">
        <f>P6043*Assumptions!$B$9</f>
        <v/>
      </c>
      <c r="Z6043">
        <f>IF(M6043=1,(P6043-Assumptions!$B$37)*Assumptions!$B$153,0)</f>
        <v/>
      </c>
      <c r="AA6043">
        <f>Q6043+R6043+S6043+T6043+U6043+V6043+W6043+X6043+Y6043+Z6043</f>
        <v/>
      </c>
      <c r="AB6043" t="n">
        <v>19</v>
      </c>
      <c r="AC6043" t="n">
        <v>83</v>
      </c>
      <c r="AD6043" t="n">
        <v>51</v>
      </c>
      <c r="AE6043" t="n">
        <v>3</v>
      </c>
      <c r="AF6043" t="n">
        <v>27</v>
      </c>
      <c r="AG6043" t="n">
        <v>23</v>
      </c>
      <c r="AH6043" t="n">
        <v>17</v>
      </c>
      <c r="AI6043" t="n">
        <v>18</v>
      </c>
      <c r="AJ6043">
        <f>INDEX($Q$6024:$Q$6151,AC6043+1)</f>
        <v/>
      </c>
      <c r="AK6043">
        <f>INDEX($R$6024:$R$6151,AD6043+1)</f>
        <v/>
      </c>
      <c r="AL6043">
        <f>INDEX($S$6024:$S$6151,AE6043+1)</f>
        <v/>
      </c>
      <c r="AM6043">
        <f>INDEX($T$6024:$T$6151,AF6043+1)</f>
        <v/>
      </c>
      <c r="AN6043">
        <f>INDEX($U$6024:$U$6151,AG6043+1)</f>
        <v/>
      </c>
      <c r="AO6043">
        <f>INDEX($V$6024:$V$6151,AH6043+1)</f>
        <v/>
      </c>
      <c r="AP6043">
        <f>INDEX($W$6024:$W$6151,AI6043+1)</f>
        <v/>
      </c>
      <c r="AQ6043">
        <f>IF(Q6043&gt;=AJ6043-0.01,1,0)</f>
        <v/>
      </c>
      <c r="AR6043">
        <f>IF(R6043&gt;=AK6043-0.01,1,0)</f>
        <v/>
      </c>
      <c r="AS6043">
        <f>IF(S6043&gt;=AL6043-0.01,1,0)</f>
        <v/>
      </c>
      <c r="AT6043">
        <f>IF(T6043&gt;=AM6043-0.01,1,0)</f>
        <v/>
      </c>
      <c r="AU6043">
        <f>IF(U6043&gt;=AN6043-0.01,1,0)</f>
        <v/>
      </c>
      <c r="AV6043">
        <f>IF(V6043&gt;=AO6043-0.01,1,0)</f>
        <v/>
      </c>
      <c r="AW6043">
        <f>IF(W6043&gt;=AP6043-0.01,1,0)</f>
        <v/>
      </c>
      <c r="AX6043">
        <f>AQ6043*AR6043*AS6043*AT6043*AU6043*AV6043*AW6043</f>
        <v/>
      </c>
    </row>
    <row r="6044">
      <c r="A6044" t="inlineStr"/>
      <c r="B6044">
        <f>Assumptions!$B$60</f>
        <v/>
      </c>
      <c r="C6044" t="n">
        <v>0</v>
      </c>
      <c r="D6044" t="n">
        <v>0</v>
      </c>
      <c r="E6044" t="n">
        <v>1</v>
      </c>
      <c r="F6044" t="n">
        <v>0</v>
      </c>
      <c r="G6044" t="n">
        <v>1</v>
      </c>
      <c r="H6044" t="n">
        <v>0</v>
      </c>
      <c r="I6044" t="n">
        <v>0</v>
      </c>
      <c r="J6044">
        <f>(1-C6044)*Assumptions!$B$41+(1-D6044)*Assumptions!$B$33+(1-E6044)*Assumptions!$B$32+(1-F6044)*Assumptions!$B$31+(1-G6044)*Assumptions!$B$30+(1-H6044)*Assumptions!$B$29+(1-I6044)*Assumptions!$B$28</f>
        <v/>
      </c>
      <c r="K6044">
        <f>C6044*$J$757+D6044*$F$757+E6044*$G$757+F6044*Assumptions!$B$14+G6044*Assumptions!$B$13+H6044*Assumptions!$B$12+I6044*Assumptions!$B$11+$O$757+$S$757+Assumptions!$B$9</f>
        <v/>
      </c>
      <c r="L6044">
        <f>B6044-J6044</f>
        <v/>
      </c>
      <c r="M6044">
        <f>IF(K6044&gt;0,IF(L6044/K6044&gt;=Assumptions!$B$37,1,0),0)</f>
        <v/>
      </c>
      <c r="N6044">
        <f>K6044+M6044*Assumptions!$B$153</f>
        <v/>
      </c>
      <c r="O6044">
        <f>L6044+M6044*Assumptions!$B$153*Assumptions!$B$37</f>
        <v/>
      </c>
      <c r="P6044">
        <f>IF(N6044&gt;0,O6044/N6044,0)</f>
        <v/>
      </c>
      <c r="Q6044">
        <f>IF(C6044=1,P6044*$J$757,Assumptions!$B$41)</f>
        <v/>
      </c>
      <c r="R6044">
        <f>IF(D6044=1,P6044*$F$757,Assumptions!$B$33)</f>
        <v/>
      </c>
      <c r="S6044">
        <f>IF(E6044=1,P6044*$G$757,Assumptions!$B$32)</f>
        <v/>
      </c>
      <c r="T6044">
        <f>IF(F6044=1,P6044*Assumptions!$B$14,Assumptions!$B$31)</f>
        <v/>
      </c>
      <c r="U6044">
        <f>IF(G6044=1,P6044*Assumptions!$B$13,Assumptions!$B$30)</f>
        <v/>
      </c>
      <c r="V6044">
        <f>IF(H6044=1,P6044*Assumptions!$B$12,Assumptions!$B$29)</f>
        <v/>
      </c>
      <c r="W6044">
        <f>IF(I6044=1,P6044*Assumptions!$B$11,Assumptions!$B$28)</f>
        <v/>
      </c>
      <c r="X6044">
        <f>P6044*($O$757+$S$757)</f>
        <v/>
      </c>
      <c r="Y6044">
        <f>P6044*Assumptions!$B$9</f>
        <v/>
      </c>
      <c r="Z6044">
        <f>IF(M6044=1,(P6044-Assumptions!$B$37)*Assumptions!$B$153,0)</f>
        <v/>
      </c>
      <c r="AA6044">
        <f>Q6044+R6044+S6044+T6044+U6044+V6044+W6044+X6044+Y6044+Z6044</f>
        <v/>
      </c>
      <c r="AB6044" t="n">
        <v>20</v>
      </c>
      <c r="AC6044" t="n">
        <v>84</v>
      </c>
      <c r="AD6044" t="n">
        <v>52</v>
      </c>
      <c r="AE6044" t="n">
        <v>4</v>
      </c>
      <c r="AF6044" t="n">
        <v>28</v>
      </c>
      <c r="AG6044" t="n">
        <v>16</v>
      </c>
      <c r="AH6044" t="n">
        <v>22</v>
      </c>
      <c r="AI6044" t="n">
        <v>21</v>
      </c>
      <c r="AJ6044">
        <f>INDEX($Q$6024:$Q$6151,AC6044+1)</f>
        <v/>
      </c>
      <c r="AK6044">
        <f>INDEX($R$6024:$R$6151,AD6044+1)</f>
        <v/>
      </c>
      <c r="AL6044">
        <f>INDEX($S$6024:$S$6151,AE6044+1)</f>
        <v/>
      </c>
      <c r="AM6044">
        <f>INDEX($T$6024:$T$6151,AF6044+1)</f>
        <v/>
      </c>
      <c r="AN6044">
        <f>INDEX($U$6024:$U$6151,AG6044+1)</f>
        <v/>
      </c>
      <c r="AO6044">
        <f>INDEX($V$6024:$V$6151,AH6044+1)</f>
        <v/>
      </c>
      <c r="AP6044">
        <f>INDEX($W$6024:$W$6151,AI6044+1)</f>
        <v/>
      </c>
      <c r="AQ6044">
        <f>IF(Q6044&gt;=AJ6044-0.01,1,0)</f>
        <v/>
      </c>
      <c r="AR6044">
        <f>IF(R6044&gt;=AK6044-0.01,1,0)</f>
        <v/>
      </c>
      <c r="AS6044">
        <f>IF(S6044&gt;=AL6044-0.01,1,0)</f>
        <v/>
      </c>
      <c r="AT6044">
        <f>IF(T6044&gt;=AM6044-0.01,1,0)</f>
        <v/>
      </c>
      <c r="AU6044">
        <f>IF(U6044&gt;=AN6044-0.01,1,0)</f>
        <v/>
      </c>
      <c r="AV6044">
        <f>IF(V6044&gt;=AO6044-0.01,1,0)</f>
        <v/>
      </c>
      <c r="AW6044">
        <f>IF(W6044&gt;=AP6044-0.01,1,0)</f>
        <v/>
      </c>
      <c r="AX6044">
        <f>AQ6044*AR6044*AS6044*AT6044*AU6044*AV6044*AW6044</f>
        <v/>
      </c>
    </row>
    <row r="6045">
      <c r="A6045" t="inlineStr"/>
      <c r="B6045">
        <f>Assumptions!$B$60</f>
        <v/>
      </c>
      <c r="C6045" t="n">
        <v>0</v>
      </c>
      <c r="D6045" t="n">
        <v>0</v>
      </c>
      <c r="E6045" t="n">
        <v>1</v>
      </c>
      <c r="F6045" t="n">
        <v>0</v>
      </c>
      <c r="G6045" t="n">
        <v>1</v>
      </c>
      <c r="H6045" t="n">
        <v>0</v>
      </c>
      <c r="I6045" t="n">
        <v>1</v>
      </c>
      <c r="J6045">
        <f>(1-C6045)*Assumptions!$B$41+(1-D6045)*Assumptions!$B$33+(1-E6045)*Assumptions!$B$32+(1-F6045)*Assumptions!$B$31+(1-G6045)*Assumptions!$B$30+(1-H6045)*Assumptions!$B$29+(1-I6045)*Assumptions!$B$28</f>
        <v/>
      </c>
      <c r="K6045">
        <f>C6045*$J$757+D6045*$F$757+E6045*$G$757+F6045*Assumptions!$B$14+G6045*Assumptions!$B$13+H6045*Assumptions!$B$12+I6045*Assumptions!$B$11+$O$757+$S$757+Assumptions!$B$9</f>
        <v/>
      </c>
      <c r="L6045">
        <f>B6045-J6045</f>
        <v/>
      </c>
      <c r="M6045">
        <f>IF(K6045&gt;0,IF(L6045/K6045&gt;=Assumptions!$B$37,1,0),0)</f>
        <v/>
      </c>
      <c r="N6045">
        <f>K6045+M6045*Assumptions!$B$153</f>
        <v/>
      </c>
      <c r="O6045">
        <f>L6045+M6045*Assumptions!$B$153*Assumptions!$B$37</f>
        <v/>
      </c>
      <c r="P6045">
        <f>IF(N6045&gt;0,O6045/N6045,0)</f>
        <v/>
      </c>
      <c r="Q6045">
        <f>IF(C6045=1,P6045*$J$757,Assumptions!$B$41)</f>
        <v/>
      </c>
      <c r="R6045">
        <f>IF(D6045=1,P6045*$F$757,Assumptions!$B$33)</f>
        <v/>
      </c>
      <c r="S6045">
        <f>IF(E6045=1,P6045*$G$757,Assumptions!$B$32)</f>
        <v/>
      </c>
      <c r="T6045">
        <f>IF(F6045=1,P6045*Assumptions!$B$14,Assumptions!$B$31)</f>
        <v/>
      </c>
      <c r="U6045">
        <f>IF(G6045=1,P6045*Assumptions!$B$13,Assumptions!$B$30)</f>
        <v/>
      </c>
      <c r="V6045">
        <f>IF(H6045=1,P6045*Assumptions!$B$12,Assumptions!$B$29)</f>
        <v/>
      </c>
      <c r="W6045">
        <f>IF(I6045=1,P6045*Assumptions!$B$11,Assumptions!$B$28)</f>
        <v/>
      </c>
      <c r="X6045">
        <f>P6045*($O$757+$S$757)</f>
        <v/>
      </c>
      <c r="Y6045">
        <f>P6045*Assumptions!$B$9</f>
        <v/>
      </c>
      <c r="Z6045">
        <f>IF(M6045=1,(P6045-Assumptions!$B$37)*Assumptions!$B$153,0)</f>
        <v/>
      </c>
      <c r="AA6045">
        <f>Q6045+R6045+S6045+T6045+U6045+V6045+W6045+X6045+Y6045+Z6045</f>
        <v/>
      </c>
      <c r="AB6045" t="n">
        <v>21</v>
      </c>
      <c r="AC6045" t="n">
        <v>85</v>
      </c>
      <c r="AD6045" t="n">
        <v>53</v>
      </c>
      <c r="AE6045" t="n">
        <v>5</v>
      </c>
      <c r="AF6045" t="n">
        <v>29</v>
      </c>
      <c r="AG6045" t="n">
        <v>17</v>
      </c>
      <c r="AH6045" t="n">
        <v>23</v>
      </c>
      <c r="AI6045" t="n">
        <v>20</v>
      </c>
      <c r="AJ6045">
        <f>INDEX($Q$6024:$Q$6151,AC6045+1)</f>
        <v/>
      </c>
      <c r="AK6045">
        <f>INDEX($R$6024:$R$6151,AD6045+1)</f>
        <v/>
      </c>
      <c r="AL6045">
        <f>INDEX($S$6024:$S$6151,AE6045+1)</f>
        <v/>
      </c>
      <c r="AM6045">
        <f>INDEX($T$6024:$T$6151,AF6045+1)</f>
        <v/>
      </c>
      <c r="AN6045">
        <f>INDEX($U$6024:$U$6151,AG6045+1)</f>
        <v/>
      </c>
      <c r="AO6045">
        <f>INDEX($V$6024:$V$6151,AH6045+1)</f>
        <v/>
      </c>
      <c r="AP6045">
        <f>INDEX($W$6024:$W$6151,AI6045+1)</f>
        <v/>
      </c>
      <c r="AQ6045">
        <f>IF(Q6045&gt;=AJ6045-0.01,1,0)</f>
        <v/>
      </c>
      <c r="AR6045">
        <f>IF(R6045&gt;=AK6045-0.01,1,0)</f>
        <v/>
      </c>
      <c r="AS6045">
        <f>IF(S6045&gt;=AL6045-0.01,1,0)</f>
        <v/>
      </c>
      <c r="AT6045">
        <f>IF(T6045&gt;=AM6045-0.01,1,0)</f>
        <v/>
      </c>
      <c r="AU6045">
        <f>IF(U6045&gt;=AN6045-0.01,1,0)</f>
        <v/>
      </c>
      <c r="AV6045">
        <f>IF(V6045&gt;=AO6045-0.01,1,0)</f>
        <v/>
      </c>
      <c r="AW6045">
        <f>IF(W6045&gt;=AP6045-0.01,1,0)</f>
        <v/>
      </c>
      <c r="AX6045">
        <f>AQ6045*AR6045*AS6045*AT6045*AU6045*AV6045*AW6045</f>
        <v/>
      </c>
    </row>
    <row r="6046">
      <c r="A6046" t="inlineStr"/>
      <c r="B6046">
        <f>Assumptions!$B$60</f>
        <v/>
      </c>
      <c r="C6046" t="n">
        <v>0</v>
      </c>
      <c r="D6046" t="n">
        <v>0</v>
      </c>
      <c r="E6046" t="n">
        <v>1</v>
      </c>
      <c r="F6046" t="n">
        <v>0</v>
      </c>
      <c r="G6046" t="n">
        <v>1</v>
      </c>
      <c r="H6046" t="n">
        <v>1</v>
      </c>
      <c r="I6046" t="n">
        <v>0</v>
      </c>
      <c r="J6046">
        <f>(1-C6046)*Assumptions!$B$41+(1-D6046)*Assumptions!$B$33+(1-E6046)*Assumptions!$B$32+(1-F6046)*Assumptions!$B$31+(1-G6046)*Assumptions!$B$30+(1-H6046)*Assumptions!$B$29+(1-I6046)*Assumptions!$B$28</f>
        <v/>
      </c>
      <c r="K6046">
        <f>C6046*$J$757+D6046*$F$757+E6046*$G$757+F6046*Assumptions!$B$14+G6046*Assumptions!$B$13+H6046*Assumptions!$B$12+I6046*Assumptions!$B$11+$O$757+$S$757+Assumptions!$B$9</f>
        <v/>
      </c>
      <c r="L6046">
        <f>B6046-J6046</f>
        <v/>
      </c>
      <c r="M6046">
        <f>IF(K6046&gt;0,IF(L6046/K6046&gt;=Assumptions!$B$37,1,0),0)</f>
        <v/>
      </c>
      <c r="N6046">
        <f>K6046+M6046*Assumptions!$B$153</f>
        <v/>
      </c>
      <c r="O6046">
        <f>L6046+M6046*Assumptions!$B$153*Assumptions!$B$37</f>
        <v/>
      </c>
      <c r="P6046">
        <f>IF(N6046&gt;0,O6046/N6046,0)</f>
        <v/>
      </c>
      <c r="Q6046">
        <f>IF(C6046=1,P6046*$J$757,Assumptions!$B$41)</f>
        <v/>
      </c>
      <c r="R6046">
        <f>IF(D6046=1,P6046*$F$757,Assumptions!$B$33)</f>
        <v/>
      </c>
      <c r="S6046">
        <f>IF(E6046=1,P6046*$G$757,Assumptions!$B$32)</f>
        <v/>
      </c>
      <c r="T6046">
        <f>IF(F6046=1,P6046*Assumptions!$B$14,Assumptions!$B$31)</f>
        <v/>
      </c>
      <c r="U6046">
        <f>IF(G6046=1,P6046*Assumptions!$B$13,Assumptions!$B$30)</f>
        <v/>
      </c>
      <c r="V6046">
        <f>IF(H6046=1,P6046*Assumptions!$B$12,Assumptions!$B$29)</f>
        <v/>
      </c>
      <c r="W6046">
        <f>IF(I6046=1,P6046*Assumptions!$B$11,Assumptions!$B$28)</f>
        <v/>
      </c>
      <c r="X6046">
        <f>P6046*($O$757+$S$757)</f>
        <v/>
      </c>
      <c r="Y6046">
        <f>P6046*Assumptions!$B$9</f>
        <v/>
      </c>
      <c r="Z6046">
        <f>IF(M6046=1,(P6046-Assumptions!$B$37)*Assumptions!$B$153,0)</f>
        <v/>
      </c>
      <c r="AA6046">
        <f>Q6046+R6046+S6046+T6046+U6046+V6046+W6046+X6046+Y6046+Z6046</f>
        <v/>
      </c>
      <c r="AB6046" t="n">
        <v>22</v>
      </c>
      <c r="AC6046" t="n">
        <v>86</v>
      </c>
      <c r="AD6046" t="n">
        <v>54</v>
      </c>
      <c r="AE6046" t="n">
        <v>6</v>
      </c>
      <c r="AF6046" t="n">
        <v>30</v>
      </c>
      <c r="AG6046" t="n">
        <v>18</v>
      </c>
      <c r="AH6046" t="n">
        <v>20</v>
      </c>
      <c r="AI6046" t="n">
        <v>23</v>
      </c>
      <c r="AJ6046">
        <f>INDEX($Q$6024:$Q$6151,AC6046+1)</f>
        <v/>
      </c>
      <c r="AK6046">
        <f>INDEX($R$6024:$R$6151,AD6046+1)</f>
        <v/>
      </c>
      <c r="AL6046">
        <f>INDEX($S$6024:$S$6151,AE6046+1)</f>
        <v/>
      </c>
      <c r="AM6046">
        <f>INDEX($T$6024:$T$6151,AF6046+1)</f>
        <v/>
      </c>
      <c r="AN6046">
        <f>INDEX($U$6024:$U$6151,AG6046+1)</f>
        <v/>
      </c>
      <c r="AO6046">
        <f>INDEX($V$6024:$V$6151,AH6046+1)</f>
        <v/>
      </c>
      <c r="AP6046">
        <f>INDEX($W$6024:$W$6151,AI6046+1)</f>
        <v/>
      </c>
      <c r="AQ6046">
        <f>IF(Q6046&gt;=AJ6046-0.01,1,0)</f>
        <v/>
      </c>
      <c r="AR6046">
        <f>IF(R6046&gt;=AK6046-0.01,1,0)</f>
        <v/>
      </c>
      <c r="AS6046">
        <f>IF(S6046&gt;=AL6046-0.01,1,0)</f>
        <v/>
      </c>
      <c r="AT6046">
        <f>IF(T6046&gt;=AM6046-0.01,1,0)</f>
        <v/>
      </c>
      <c r="AU6046">
        <f>IF(U6046&gt;=AN6046-0.01,1,0)</f>
        <v/>
      </c>
      <c r="AV6046">
        <f>IF(V6046&gt;=AO6046-0.01,1,0)</f>
        <v/>
      </c>
      <c r="AW6046">
        <f>IF(W6046&gt;=AP6046-0.01,1,0)</f>
        <v/>
      </c>
      <c r="AX6046">
        <f>AQ6046*AR6046*AS6046*AT6046*AU6046*AV6046*AW6046</f>
        <v/>
      </c>
    </row>
    <row r="6047">
      <c r="A6047" t="inlineStr"/>
      <c r="B6047">
        <f>Assumptions!$B$60</f>
        <v/>
      </c>
      <c r="C6047" t="n">
        <v>0</v>
      </c>
      <c r="D6047" t="n">
        <v>0</v>
      </c>
      <c r="E6047" t="n">
        <v>1</v>
      </c>
      <c r="F6047" t="n">
        <v>0</v>
      </c>
      <c r="G6047" t="n">
        <v>1</v>
      </c>
      <c r="H6047" t="n">
        <v>1</v>
      </c>
      <c r="I6047" t="n">
        <v>1</v>
      </c>
      <c r="J6047">
        <f>(1-C6047)*Assumptions!$B$41+(1-D6047)*Assumptions!$B$33+(1-E6047)*Assumptions!$B$32+(1-F6047)*Assumptions!$B$31+(1-G6047)*Assumptions!$B$30+(1-H6047)*Assumptions!$B$29+(1-I6047)*Assumptions!$B$28</f>
        <v/>
      </c>
      <c r="K6047">
        <f>C6047*$J$757+D6047*$F$757+E6047*$G$757+F6047*Assumptions!$B$14+G6047*Assumptions!$B$13+H6047*Assumptions!$B$12+I6047*Assumptions!$B$11+$O$757+$S$757+Assumptions!$B$9</f>
        <v/>
      </c>
      <c r="L6047">
        <f>B6047-J6047</f>
        <v/>
      </c>
      <c r="M6047">
        <f>IF(K6047&gt;0,IF(L6047/K6047&gt;=Assumptions!$B$37,1,0),0)</f>
        <v/>
      </c>
      <c r="N6047">
        <f>K6047+M6047*Assumptions!$B$153</f>
        <v/>
      </c>
      <c r="O6047">
        <f>L6047+M6047*Assumptions!$B$153*Assumptions!$B$37</f>
        <v/>
      </c>
      <c r="P6047">
        <f>IF(N6047&gt;0,O6047/N6047,0)</f>
        <v/>
      </c>
      <c r="Q6047">
        <f>IF(C6047=1,P6047*$J$757,Assumptions!$B$41)</f>
        <v/>
      </c>
      <c r="R6047">
        <f>IF(D6047=1,P6047*$F$757,Assumptions!$B$33)</f>
        <v/>
      </c>
      <c r="S6047">
        <f>IF(E6047=1,P6047*$G$757,Assumptions!$B$32)</f>
        <v/>
      </c>
      <c r="T6047">
        <f>IF(F6047=1,P6047*Assumptions!$B$14,Assumptions!$B$31)</f>
        <v/>
      </c>
      <c r="U6047">
        <f>IF(G6047=1,P6047*Assumptions!$B$13,Assumptions!$B$30)</f>
        <v/>
      </c>
      <c r="V6047">
        <f>IF(H6047=1,P6047*Assumptions!$B$12,Assumptions!$B$29)</f>
        <v/>
      </c>
      <c r="W6047">
        <f>IF(I6047=1,P6047*Assumptions!$B$11,Assumptions!$B$28)</f>
        <v/>
      </c>
      <c r="X6047">
        <f>P6047*($O$757+$S$757)</f>
        <v/>
      </c>
      <c r="Y6047">
        <f>P6047*Assumptions!$B$9</f>
        <v/>
      </c>
      <c r="Z6047">
        <f>IF(M6047=1,(P6047-Assumptions!$B$37)*Assumptions!$B$153,0)</f>
        <v/>
      </c>
      <c r="AA6047">
        <f>Q6047+R6047+S6047+T6047+U6047+V6047+W6047+X6047+Y6047+Z6047</f>
        <v/>
      </c>
      <c r="AB6047" t="n">
        <v>23</v>
      </c>
      <c r="AC6047" t="n">
        <v>87</v>
      </c>
      <c r="AD6047" t="n">
        <v>55</v>
      </c>
      <c r="AE6047" t="n">
        <v>7</v>
      </c>
      <c r="AF6047" t="n">
        <v>31</v>
      </c>
      <c r="AG6047" t="n">
        <v>19</v>
      </c>
      <c r="AH6047" t="n">
        <v>21</v>
      </c>
      <c r="AI6047" t="n">
        <v>22</v>
      </c>
      <c r="AJ6047">
        <f>INDEX($Q$6024:$Q$6151,AC6047+1)</f>
        <v/>
      </c>
      <c r="AK6047">
        <f>INDEX($R$6024:$R$6151,AD6047+1)</f>
        <v/>
      </c>
      <c r="AL6047">
        <f>INDEX($S$6024:$S$6151,AE6047+1)</f>
        <v/>
      </c>
      <c r="AM6047">
        <f>INDEX($T$6024:$T$6151,AF6047+1)</f>
        <v/>
      </c>
      <c r="AN6047">
        <f>INDEX($U$6024:$U$6151,AG6047+1)</f>
        <v/>
      </c>
      <c r="AO6047">
        <f>INDEX($V$6024:$V$6151,AH6047+1)</f>
        <v/>
      </c>
      <c r="AP6047">
        <f>INDEX($W$6024:$W$6151,AI6047+1)</f>
        <v/>
      </c>
      <c r="AQ6047">
        <f>IF(Q6047&gt;=AJ6047-0.01,1,0)</f>
        <v/>
      </c>
      <c r="AR6047">
        <f>IF(R6047&gt;=AK6047-0.01,1,0)</f>
        <v/>
      </c>
      <c r="AS6047">
        <f>IF(S6047&gt;=AL6047-0.01,1,0)</f>
        <v/>
      </c>
      <c r="AT6047">
        <f>IF(T6047&gt;=AM6047-0.01,1,0)</f>
        <v/>
      </c>
      <c r="AU6047">
        <f>IF(U6047&gt;=AN6047-0.01,1,0)</f>
        <v/>
      </c>
      <c r="AV6047">
        <f>IF(V6047&gt;=AO6047-0.01,1,0)</f>
        <v/>
      </c>
      <c r="AW6047">
        <f>IF(W6047&gt;=AP6047-0.01,1,0)</f>
        <v/>
      </c>
      <c r="AX6047">
        <f>AQ6047*AR6047*AS6047*AT6047*AU6047*AV6047*AW6047</f>
        <v/>
      </c>
    </row>
    <row r="6048">
      <c r="A6048" t="inlineStr"/>
      <c r="B6048">
        <f>Assumptions!$B$60</f>
        <v/>
      </c>
      <c r="C6048" t="n">
        <v>0</v>
      </c>
      <c r="D6048" t="n">
        <v>0</v>
      </c>
      <c r="E6048" t="n">
        <v>1</v>
      </c>
      <c r="F6048" t="n">
        <v>1</v>
      </c>
      <c r="G6048" t="n">
        <v>0</v>
      </c>
      <c r="H6048" t="n">
        <v>0</v>
      </c>
      <c r="I6048" t="n">
        <v>0</v>
      </c>
      <c r="J6048">
        <f>(1-C6048)*Assumptions!$B$41+(1-D6048)*Assumptions!$B$33+(1-E6048)*Assumptions!$B$32+(1-F6048)*Assumptions!$B$31+(1-G6048)*Assumptions!$B$30+(1-H6048)*Assumptions!$B$29+(1-I6048)*Assumptions!$B$28</f>
        <v/>
      </c>
      <c r="K6048">
        <f>C6048*$J$757+D6048*$F$757+E6048*$G$757+F6048*Assumptions!$B$14+G6048*Assumptions!$B$13+H6048*Assumptions!$B$12+I6048*Assumptions!$B$11+$O$757+$S$757+Assumptions!$B$9</f>
        <v/>
      </c>
      <c r="L6048">
        <f>B6048-J6048</f>
        <v/>
      </c>
      <c r="M6048">
        <f>IF(K6048&gt;0,IF(L6048/K6048&gt;=Assumptions!$B$37,1,0),0)</f>
        <v/>
      </c>
      <c r="N6048">
        <f>K6048+M6048*Assumptions!$B$153</f>
        <v/>
      </c>
      <c r="O6048">
        <f>L6048+M6048*Assumptions!$B$153*Assumptions!$B$37</f>
        <v/>
      </c>
      <c r="P6048">
        <f>IF(N6048&gt;0,O6048/N6048,0)</f>
        <v/>
      </c>
      <c r="Q6048">
        <f>IF(C6048=1,P6048*$J$757,Assumptions!$B$41)</f>
        <v/>
      </c>
      <c r="R6048">
        <f>IF(D6048=1,P6048*$F$757,Assumptions!$B$33)</f>
        <v/>
      </c>
      <c r="S6048">
        <f>IF(E6048=1,P6048*$G$757,Assumptions!$B$32)</f>
        <v/>
      </c>
      <c r="T6048">
        <f>IF(F6048=1,P6048*Assumptions!$B$14,Assumptions!$B$31)</f>
        <v/>
      </c>
      <c r="U6048">
        <f>IF(G6048=1,P6048*Assumptions!$B$13,Assumptions!$B$30)</f>
        <v/>
      </c>
      <c r="V6048">
        <f>IF(H6048=1,P6048*Assumptions!$B$12,Assumptions!$B$29)</f>
        <v/>
      </c>
      <c r="W6048">
        <f>IF(I6048=1,P6048*Assumptions!$B$11,Assumptions!$B$28)</f>
        <v/>
      </c>
      <c r="X6048">
        <f>P6048*($O$757+$S$757)</f>
        <v/>
      </c>
      <c r="Y6048">
        <f>P6048*Assumptions!$B$9</f>
        <v/>
      </c>
      <c r="Z6048">
        <f>IF(M6048=1,(P6048-Assumptions!$B$37)*Assumptions!$B$153,0)</f>
        <v/>
      </c>
      <c r="AA6048">
        <f>Q6048+R6048+S6048+T6048+U6048+V6048+W6048+X6048+Y6048+Z6048</f>
        <v/>
      </c>
      <c r="AB6048" t="n">
        <v>24</v>
      </c>
      <c r="AC6048" t="n">
        <v>88</v>
      </c>
      <c r="AD6048" t="n">
        <v>56</v>
      </c>
      <c r="AE6048" t="n">
        <v>8</v>
      </c>
      <c r="AF6048" t="n">
        <v>16</v>
      </c>
      <c r="AG6048" t="n">
        <v>28</v>
      </c>
      <c r="AH6048" t="n">
        <v>26</v>
      </c>
      <c r="AI6048" t="n">
        <v>25</v>
      </c>
      <c r="AJ6048">
        <f>INDEX($Q$6024:$Q$6151,AC6048+1)</f>
        <v/>
      </c>
      <c r="AK6048">
        <f>INDEX($R$6024:$R$6151,AD6048+1)</f>
        <v/>
      </c>
      <c r="AL6048">
        <f>INDEX($S$6024:$S$6151,AE6048+1)</f>
        <v/>
      </c>
      <c r="AM6048">
        <f>INDEX($T$6024:$T$6151,AF6048+1)</f>
        <v/>
      </c>
      <c r="AN6048">
        <f>INDEX($U$6024:$U$6151,AG6048+1)</f>
        <v/>
      </c>
      <c r="AO6048">
        <f>INDEX($V$6024:$V$6151,AH6048+1)</f>
        <v/>
      </c>
      <c r="AP6048">
        <f>INDEX($W$6024:$W$6151,AI6048+1)</f>
        <v/>
      </c>
      <c r="AQ6048">
        <f>IF(Q6048&gt;=AJ6048-0.01,1,0)</f>
        <v/>
      </c>
      <c r="AR6048">
        <f>IF(R6048&gt;=AK6048-0.01,1,0)</f>
        <v/>
      </c>
      <c r="AS6048">
        <f>IF(S6048&gt;=AL6048-0.01,1,0)</f>
        <v/>
      </c>
      <c r="AT6048">
        <f>IF(T6048&gt;=AM6048-0.01,1,0)</f>
        <v/>
      </c>
      <c r="AU6048">
        <f>IF(U6048&gt;=AN6048-0.01,1,0)</f>
        <v/>
      </c>
      <c r="AV6048">
        <f>IF(V6048&gt;=AO6048-0.01,1,0)</f>
        <v/>
      </c>
      <c r="AW6048">
        <f>IF(W6048&gt;=AP6048-0.01,1,0)</f>
        <v/>
      </c>
      <c r="AX6048">
        <f>AQ6048*AR6048*AS6048*AT6048*AU6048*AV6048*AW6048</f>
        <v/>
      </c>
    </row>
    <row r="6049">
      <c r="A6049" t="inlineStr"/>
      <c r="B6049">
        <f>Assumptions!$B$60</f>
        <v/>
      </c>
      <c r="C6049" t="n">
        <v>0</v>
      </c>
      <c r="D6049" t="n">
        <v>0</v>
      </c>
      <c r="E6049" t="n">
        <v>1</v>
      </c>
      <c r="F6049" t="n">
        <v>1</v>
      </c>
      <c r="G6049" t="n">
        <v>0</v>
      </c>
      <c r="H6049" t="n">
        <v>0</v>
      </c>
      <c r="I6049" t="n">
        <v>1</v>
      </c>
      <c r="J6049">
        <f>(1-C6049)*Assumptions!$B$41+(1-D6049)*Assumptions!$B$33+(1-E6049)*Assumptions!$B$32+(1-F6049)*Assumptions!$B$31+(1-G6049)*Assumptions!$B$30+(1-H6049)*Assumptions!$B$29+(1-I6049)*Assumptions!$B$28</f>
        <v/>
      </c>
      <c r="K6049">
        <f>C6049*$J$757+D6049*$F$757+E6049*$G$757+F6049*Assumptions!$B$14+G6049*Assumptions!$B$13+H6049*Assumptions!$B$12+I6049*Assumptions!$B$11+$O$757+$S$757+Assumptions!$B$9</f>
        <v/>
      </c>
      <c r="L6049">
        <f>B6049-J6049</f>
        <v/>
      </c>
      <c r="M6049">
        <f>IF(K6049&gt;0,IF(L6049/K6049&gt;=Assumptions!$B$37,1,0),0)</f>
        <v/>
      </c>
      <c r="N6049">
        <f>K6049+M6049*Assumptions!$B$153</f>
        <v/>
      </c>
      <c r="O6049">
        <f>L6049+M6049*Assumptions!$B$153*Assumptions!$B$37</f>
        <v/>
      </c>
      <c r="P6049">
        <f>IF(N6049&gt;0,O6049/N6049,0)</f>
        <v/>
      </c>
      <c r="Q6049">
        <f>IF(C6049=1,P6049*$J$757,Assumptions!$B$41)</f>
        <v/>
      </c>
      <c r="R6049">
        <f>IF(D6049=1,P6049*$F$757,Assumptions!$B$33)</f>
        <v/>
      </c>
      <c r="S6049">
        <f>IF(E6049=1,P6049*$G$757,Assumptions!$B$32)</f>
        <v/>
      </c>
      <c r="T6049">
        <f>IF(F6049=1,P6049*Assumptions!$B$14,Assumptions!$B$31)</f>
        <v/>
      </c>
      <c r="U6049">
        <f>IF(G6049=1,P6049*Assumptions!$B$13,Assumptions!$B$30)</f>
        <v/>
      </c>
      <c r="V6049">
        <f>IF(H6049=1,P6049*Assumptions!$B$12,Assumptions!$B$29)</f>
        <v/>
      </c>
      <c r="W6049">
        <f>IF(I6049=1,P6049*Assumptions!$B$11,Assumptions!$B$28)</f>
        <v/>
      </c>
      <c r="X6049">
        <f>P6049*($O$757+$S$757)</f>
        <v/>
      </c>
      <c r="Y6049">
        <f>P6049*Assumptions!$B$9</f>
        <v/>
      </c>
      <c r="Z6049">
        <f>IF(M6049=1,(P6049-Assumptions!$B$37)*Assumptions!$B$153,0)</f>
        <v/>
      </c>
      <c r="AA6049">
        <f>Q6049+R6049+S6049+T6049+U6049+V6049+W6049+X6049+Y6049+Z6049</f>
        <v/>
      </c>
      <c r="AB6049" t="n">
        <v>25</v>
      </c>
      <c r="AC6049" t="n">
        <v>89</v>
      </c>
      <c r="AD6049" t="n">
        <v>57</v>
      </c>
      <c r="AE6049" t="n">
        <v>9</v>
      </c>
      <c r="AF6049" t="n">
        <v>17</v>
      </c>
      <c r="AG6049" t="n">
        <v>29</v>
      </c>
      <c r="AH6049" t="n">
        <v>27</v>
      </c>
      <c r="AI6049" t="n">
        <v>24</v>
      </c>
      <c r="AJ6049">
        <f>INDEX($Q$6024:$Q$6151,AC6049+1)</f>
        <v/>
      </c>
      <c r="AK6049">
        <f>INDEX($R$6024:$R$6151,AD6049+1)</f>
        <v/>
      </c>
      <c r="AL6049">
        <f>INDEX($S$6024:$S$6151,AE6049+1)</f>
        <v/>
      </c>
      <c r="AM6049">
        <f>INDEX($T$6024:$T$6151,AF6049+1)</f>
        <v/>
      </c>
      <c r="AN6049">
        <f>INDEX($U$6024:$U$6151,AG6049+1)</f>
        <v/>
      </c>
      <c r="AO6049">
        <f>INDEX($V$6024:$V$6151,AH6049+1)</f>
        <v/>
      </c>
      <c r="AP6049">
        <f>INDEX($W$6024:$W$6151,AI6049+1)</f>
        <v/>
      </c>
      <c r="AQ6049">
        <f>IF(Q6049&gt;=AJ6049-0.01,1,0)</f>
        <v/>
      </c>
      <c r="AR6049">
        <f>IF(R6049&gt;=AK6049-0.01,1,0)</f>
        <v/>
      </c>
      <c r="AS6049">
        <f>IF(S6049&gt;=AL6049-0.01,1,0)</f>
        <v/>
      </c>
      <c r="AT6049">
        <f>IF(T6049&gt;=AM6049-0.01,1,0)</f>
        <v/>
      </c>
      <c r="AU6049">
        <f>IF(U6049&gt;=AN6049-0.01,1,0)</f>
        <v/>
      </c>
      <c r="AV6049">
        <f>IF(V6049&gt;=AO6049-0.01,1,0)</f>
        <v/>
      </c>
      <c r="AW6049">
        <f>IF(W6049&gt;=AP6049-0.01,1,0)</f>
        <v/>
      </c>
      <c r="AX6049">
        <f>AQ6049*AR6049*AS6049*AT6049*AU6049*AV6049*AW6049</f>
        <v/>
      </c>
    </row>
    <row r="6050">
      <c r="A6050" t="inlineStr"/>
      <c r="B6050">
        <f>Assumptions!$B$60</f>
        <v/>
      </c>
      <c r="C6050" t="n">
        <v>0</v>
      </c>
      <c r="D6050" t="n">
        <v>0</v>
      </c>
      <c r="E6050" t="n">
        <v>1</v>
      </c>
      <c r="F6050" t="n">
        <v>1</v>
      </c>
      <c r="G6050" t="n">
        <v>0</v>
      </c>
      <c r="H6050" t="n">
        <v>1</v>
      </c>
      <c r="I6050" t="n">
        <v>0</v>
      </c>
      <c r="J6050">
        <f>(1-C6050)*Assumptions!$B$41+(1-D6050)*Assumptions!$B$33+(1-E6050)*Assumptions!$B$32+(1-F6050)*Assumptions!$B$31+(1-G6050)*Assumptions!$B$30+(1-H6050)*Assumptions!$B$29+(1-I6050)*Assumptions!$B$28</f>
        <v/>
      </c>
      <c r="K6050">
        <f>C6050*$J$757+D6050*$F$757+E6050*$G$757+F6050*Assumptions!$B$14+G6050*Assumptions!$B$13+H6050*Assumptions!$B$12+I6050*Assumptions!$B$11+$O$757+$S$757+Assumptions!$B$9</f>
        <v/>
      </c>
      <c r="L6050">
        <f>B6050-J6050</f>
        <v/>
      </c>
      <c r="M6050">
        <f>IF(K6050&gt;0,IF(L6050/K6050&gt;=Assumptions!$B$37,1,0),0)</f>
        <v/>
      </c>
      <c r="N6050">
        <f>K6050+M6050*Assumptions!$B$153</f>
        <v/>
      </c>
      <c r="O6050">
        <f>L6050+M6050*Assumptions!$B$153*Assumptions!$B$37</f>
        <v/>
      </c>
      <c r="P6050">
        <f>IF(N6050&gt;0,O6050/N6050,0)</f>
        <v/>
      </c>
      <c r="Q6050">
        <f>IF(C6050=1,P6050*$J$757,Assumptions!$B$41)</f>
        <v/>
      </c>
      <c r="R6050">
        <f>IF(D6050=1,P6050*$F$757,Assumptions!$B$33)</f>
        <v/>
      </c>
      <c r="S6050">
        <f>IF(E6050=1,P6050*$G$757,Assumptions!$B$32)</f>
        <v/>
      </c>
      <c r="T6050">
        <f>IF(F6050=1,P6050*Assumptions!$B$14,Assumptions!$B$31)</f>
        <v/>
      </c>
      <c r="U6050">
        <f>IF(G6050=1,P6050*Assumptions!$B$13,Assumptions!$B$30)</f>
        <v/>
      </c>
      <c r="V6050">
        <f>IF(H6050=1,P6050*Assumptions!$B$12,Assumptions!$B$29)</f>
        <v/>
      </c>
      <c r="W6050">
        <f>IF(I6050=1,P6050*Assumptions!$B$11,Assumptions!$B$28)</f>
        <v/>
      </c>
      <c r="X6050">
        <f>P6050*($O$757+$S$757)</f>
        <v/>
      </c>
      <c r="Y6050">
        <f>P6050*Assumptions!$B$9</f>
        <v/>
      </c>
      <c r="Z6050">
        <f>IF(M6050=1,(P6050-Assumptions!$B$37)*Assumptions!$B$153,0)</f>
        <v/>
      </c>
      <c r="AA6050">
        <f>Q6050+R6050+S6050+T6050+U6050+V6050+W6050+X6050+Y6050+Z6050</f>
        <v/>
      </c>
      <c r="AB6050" t="n">
        <v>26</v>
      </c>
      <c r="AC6050" t="n">
        <v>90</v>
      </c>
      <c r="AD6050" t="n">
        <v>58</v>
      </c>
      <c r="AE6050" t="n">
        <v>10</v>
      </c>
      <c r="AF6050" t="n">
        <v>18</v>
      </c>
      <c r="AG6050" t="n">
        <v>30</v>
      </c>
      <c r="AH6050" t="n">
        <v>24</v>
      </c>
      <c r="AI6050" t="n">
        <v>27</v>
      </c>
      <c r="AJ6050">
        <f>INDEX($Q$6024:$Q$6151,AC6050+1)</f>
        <v/>
      </c>
      <c r="AK6050">
        <f>INDEX($R$6024:$R$6151,AD6050+1)</f>
        <v/>
      </c>
      <c r="AL6050">
        <f>INDEX($S$6024:$S$6151,AE6050+1)</f>
        <v/>
      </c>
      <c r="AM6050">
        <f>INDEX($T$6024:$T$6151,AF6050+1)</f>
        <v/>
      </c>
      <c r="AN6050">
        <f>INDEX($U$6024:$U$6151,AG6050+1)</f>
        <v/>
      </c>
      <c r="AO6050">
        <f>INDEX($V$6024:$V$6151,AH6050+1)</f>
        <v/>
      </c>
      <c r="AP6050">
        <f>INDEX($W$6024:$W$6151,AI6050+1)</f>
        <v/>
      </c>
      <c r="AQ6050">
        <f>IF(Q6050&gt;=AJ6050-0.01,1,0)</f>
        <v/>
      </c>
      <c r="AR6050">
        <f>IF(R6050&gt;=AK6050-0.01,1,0)</f>
        <v/>
      </c>
      <c r="AS6050">
        <f>IF(S6050&gt;=AL6050-0.01,1,0)</f>
        <v/>
      </c>
      <c r="AT6050">
        <f>IF(T6050&gt;=AM6050-0.01,1,0)</f>
        <v/>
      </c>
      <c r="AU6050">
        <f>IF(U6050&gt;=AN6050-0.01,1,0)</f>
        <v/>
      </c>
      <c r="AV6050">
        <f>IF(V6050&gt;=AO6050-0.01,1,0)</f>
        <v/>
      </c>
      <c r="AW6050">
        <f>IF(W6050&gt;=AP6050-0.01,1,0)</f>
        <v/>
      </c>
      <c r="AX6050">
        <f>AQ6050*AR6050*AS6050*AT6050*AU6050*AV6050*AW6050</f>
        <v/>
      </c>
    </row>
    <row r="6051">
      <c r="A6051" t="inlineStr"/>
      <c r="B6051">
        <f>Assumptions!$B$60</f>
        <v/>
      </c>
      <c r="C6051" t="n">
        <v>0</v>
      </c>
      <c r="D6051" t="n">
        <v>0</v>
      </c>
      <c r="E6051" t="n">
        <v>1</v>
      </c>
      <c r="F6051" t="n">
        <v>1</v>
      </c>
      <c r="G6051" t="n">
        <v>0</v>
      </c>
      <c r="H6051" t="n">
        <v>1</v>
      </c>
      <c r="I6051" t="n">
        <v>1</v>
      </c>
      <c r="J6051">
        <f>(1-C6051)*Assumptions!$B$41+(1-D6051)*Assumptions!$B$33+(1-E6051)*Assumptions!$B$32+(1-F6051)*Assumptions!$B$31+(1-G6051)*Assumptions!$B$30+(1-H6051)*Assumptions!$B$29+(1-I6051)*Assumptions!$B$28</f>
        <v/>
      </c>
      <c r="K6051">
        <f>C6051*$J$757+D6051*$F$757+E6051*$G$757+F6051*Assumptions!$B$14+G6051*Assumptions!$B$13+H6051*Assumptions!$B$12+I6051*Assumptions!$B$11+$O$757+$S$757+Assumptions!$B$9</f>
        <v/>
      </c>
      <c r="L6051">
        <f>B6051-J6051</f>
        <v/>
      </c>
      <c r="M6051">
        <f>IF(K6051&gt;0,IF(L6051/K6051&gt;=Assumptions!$B$37,1,0),0)</f>
        <v/>
      </c>
      <c r="N6051">
        <f>K6051+M6051*Assumptions!$B$153</f>
        <v/>
      </c>
      <c r="O6051">
        <f>L6051+M6051*Assumptions!$B$153*Assumptions!$B$37</f>
        <v/>
      </c>
      <c r="P6051">
        <f>IF(N6051&gt;0,O6051/N6051,0)</f>
        <v/>
      </c>
      <c r="Q6051">
        <f>IF(C6051=1,P6051*$J$757,Assumptions!$B$41)</f>
        <v/>
      </c>
      <c r="R6051">
        <f>IF(D6051=1,P6051*$F$757,Assumptions!$B$33)</f>
        <v/>
      </c>
      <c r="S6051">
        <f>IF(E6051=1,P6051*$G$757,Assumptions!$B$32)</f>
        <v/>
      </c>
      <c r="T6051">
        <f>IF(F6051=1,P6051*Assumptions!$B$14,Assumptions!$B$31)</f>
        <v/>
      </c>
      <c r="U6051">
        <f>IF(G6051=1,P6051*Assumptions!$B$13,Assumptions!$B$30)</f>
        <v/>
      </c>
      <c r="V6051">
        <f>IF(H6051=1,P6051*Assumptions!$B$12,Assumptions!$B$29)</f>
        <v/>
      </c>
      <c r="W6051">
        <f>IF(I6051=1,P6051*Assumptions!$B$11,Assumptions!$B$28)</f>
        <v/>
      </c>
      <c r="X6051">
        <f>P6051*($O$757+$S$757)</f>
        <v/>
      </c>
      <c r="Y6051">
        <f>P6051*Assumptions!$B$9</f>
        <v/>
      </c>
      <c r="Z6051">
        <f>IF(M6051=1,(P6051-Assumptions!$B$37)*Assumptions!$B$153,0)</f>
        <v/>
      </c>
      <c r="AA6051">
        <f>Q6051+R6051+S6051+T6051+U6051+V6051+W6051+X6051+Y6051+Z6051</f>
        <v/>
      </c>
      <c r="AB6051" t="n">
        <v>27</v>
      </c>
      <c r="AC6051" t="n">
        <v>91</v>
      </c>
      <c r="AD6051" t="n">
        <v>59</v>
      </c>
      <c r="AE6051" t="n">
        <v>11</v>
      </c>
      <c r="AF6051" t="n">
        <v>19</v>
      </c>
      <c r="AG6051" t="n">
        <v>31</v>
      </c>
      <c r="AH6051" t="n">
        <v>25</v>
      </c>
      <c r="AI6051" t="n">
        <v>26</v>
      </c>
      <c r="AJ6051">
        <f>INDEX($Q$6024:$Q$6151,AC6051+1)</f>
        <v/>
      </c>
      <c r="AK6051">
        <f>INDEX($R$6024:$R$6151,AD6051+1)</f>
        <v/>
      </c>
      <c r="AL6051">
        <f>INDEX($S$6024:$S$6151,AE6051+1)</f>
        <v/>
      </c>
      <c r="AM6051">
        <f>INDEX($T$6024:$T$6151,AF6051+1)</f>
        <v/>
      </c>
      <c r="AN6051">
        <f>INDEX($U$6024:$U$6151,AG6051+1)</f>
        <v/>
      </c>
      <c r="AO6051">
        <f>INDEX($V$6024:$V$6151,AH6051+1)</f>
        <v/>
      </c>
      <c r="AP6051">
        <f>INDEX($W$6024:$W$6151,AI6051+1)</f>
        <v/>
      </c>
      <c r="AQ6051">
        <f>IF(Q6051&gt;=AJ6051-0.01,1,0)</f>
        <v/>
      </c>
      <c r="AR6051">
        <f>IF(R6051&gt;=AK6051-0.01,1,0)</f>
        <v/>
      </c>
      <c r="AS6051">
        <f>IF(S6051&gt;=AL6051-0.01,1,0)</f>
        <v/>
      </c>
      <c r="AT6051">
        <f>IF(T6051&gt;=AM6051-0.01,1,0)</f>
        <v/>
      </c>
      <c r="AU6051">
        <f>IF(U6051&gt;=AN6051-0.01,1,0)</f>
        <v/>
      </c>
      <c r="AV6051">
        <f>IF(V6051&gt;=AO6051-0.01,1,0)</f>
        <v/>
      </c>
      <c r="AW6051">
        <f>IF(W6051&gt;=AP6051-0.01,1,0)</f>
        <v/>
      </c>
      <c r="AX6051">
        <f>AQ6051*AR6051*AS6051*AT6051*AU6051*AV6051*AW6051</f>
        <v/>
      </c>
    </row>
    <row r="6052">
      <c r="A6052" t="inlineStr"/>
      <c r="B6052">
        <f>Assumptions!$B$60</f>
        <v/>
      </c>
      <c r="C6052" t="n">
        <v>0</v>
      </c>
      <c r="D6052" t="n">
        <v>0</v>
      </c>
      <c r="E6052" t="n">
        <v>1</v>
      </c>
      <c r="F6052" t="n">
        <v>1</v>
      </c>
      <c r="G6052" t="n">
        <v>1</v>
      </c>
      <c r="H6052" t="n">
        <v>0</v>
      </c>
      <c r="I6052" t="n">
        <v>0</v>
      </c>
      <c r="J6052">
        <f>(1-C6052)*Assumptions!$B$41+(1-D6052)*Assumptions!$B$33+(1-E6052)*Assumptions!$B$32+(1-F6052)*Assumptions!$B$31+(1-G6052)*Assumptions!$B$30+(1-H6052)*Assumptions!$B$29+(1-I6052)*Assumptions!$B$28</f>
        <v/>
      </c>
      <c r="K6052">
        <f>C6052*$J$757+D6052*$F$757+E6052*$G$757+F6052*Assumptions!$B$14+G6052*Assumptions!$B$13+H6052*Assumptions!$B$12+I6052*Assumptions!$B$11+$O$757+$S$757+Assumptions!$B$9</f>
        <v/>
      </c>
      <c r="L6052">
        <f>B6052-J6052</f>
        <v/>
      </c>
      <c r="M6052">
        <f>IF(K6052&gt;0,IF(L6052/K6052&gt;=Assumptions!$B$37,1,0),0)</f>
        <v/>
      </c>
      <c r="N6052">
        <f>K6052+M6052*Assumptions!$B$153</f>
        <v/>
      </c>
      <c r="O6052">
        <f>L6052+M6052*Assumptions!$B$153*Assumptions!$B$37</f>
        <v/>
      </c>
      <c r="P6052">
        <f>IF(N6052&gt;0,O6052/N6052,0)</f>
        <v/>
      </c>
      <c r="Q6052">
        <f>IF(C6052=1,P6052*$J$757,Assumptions!$B$41)</f>
        <v/>
      </c>
      <c r="R6052">
        <f>IF(D6052=1,P6052*$F$757,Assumptions!$B$33)</f>
        <v/>
      </c>
      <c r="S6052">
        <f>IF(E6052=1,P6052*$G$757,Assumptions!$B$32)</f>
        <v/>
      </c>
      <c r="T6052">
        <f>IF(F6052=1,P6052*Assumptions!$B$14,Assumptions!$B$31)</f>
        <v/>
      </c>
      <c r="U6052">
        <f>IF(G6052=1,P6052*Assumptions!$B$13,Assumptions!$B$30)</f>
        <v/>
      </c>
      <c r="V6052">
        <f>IF(H6052=1,P6052*Assumptions!$B$12,Assumptions!$B$29)</f>
        <v/>
      </c>
      <c r="W6052">
        <f>IF(I6052=1,P6052*Assumptions!$B$11,Assumptions!$B$28)</f>
        <v/>
      </c>
      <c r="X6052">
        <f>P6052*($O$757+$S$757)</f>
        <v/>
      </c>
      <c r="Y6052">
        <f>P6052*Assumptions!$B$9</f>
        <v/>
      </c>
      <c r="Z6052">
        <f>IF(M6052=1,(P6052-Assumptions!$B$37)*Assumptions!$B$153,0)</f>
        <v/>
      </c>
      <c r="AA6052">
        <f>Q6052+R6052+S6052+T6052+U6052+V6052+W6052+X6052+Y6052+Z6052</f>
        <v/>
      </c>
      <c r="AB6052" t="n">
        <v>28</v>
      </c>
      <c r="AC6052" t="n">
        <v>92</v>
      </c>
      <c r="AD6052" t="n">
        <v>60</v>
      </c>
      <c r="AE6052" t="n">
        <v>12</v>
      </c>
      <c r="AF6052" t="n">
        <v>20</v>
      </c>
      <c r="AG6052" t="n">
        <v>24</v>
      </c>
      <c r="AH6052" t="n">
        <v>30</v>
      </c>
      <c r="AI6052" t="n">
        <v>29</v>
      </c>
      <c r="AJ6052">
        <f>INDEX($Q$6024:$Q$6151,AC6052+1)</f>
        <v/>
      </c>
      <c r="AK6052">
        <f>INDEX($R$6024:$R$6151,AD6052+1)</f>
        <v/>
      </c>
      <c r="AL6052">
        <f>INDEX($S$6024:$S$6151,AE6052+1)</f>
        <v/>
      </c>
      <c r="AM6052">
        <f>INDEX($T$6024:$T$6151,AF6052+1)</f>
        <v/>
      </c>
      <c r="AN6052">
        <f>INDEX($U$6024:$U$6151,AG6052+1)</f>
        <v/>
      </c>
      <c r="AO6052">
        <f>INDEX($V$6024:$V$6151,AH6052+1)</f>
        <v/>
      </c>
      <c r="AP6052">
        <f>INDEX($W$6024:$W$6151,AI6052+1)</f>
        <v/>
      </c>
      <c r="AQ6052">
        <f>IF(Q6052&gt;=AJ6052-0.01,1,0)</f>
        <v/>
      </c>
      <c r="AR6052">
        <f>IF(R6052&gt;=AK6052-0.01,1,0)</f>
        <v/>
      </c>
      <c r="AS6052">
        <f>IF(S6052&gt;=AL6052-0.01,1,0)</f>
        <v/>
      </c>
      <c r="AT6052">
        <f>IF(T6052&gt;=AM6052-0.01,1,0)</f>
        <v/>
      </c>
      <c r="AU6052">
        <f>IF(U6052&gt;=AN6052-0.01,1,0)</f>
        <v/>
      </c>
      <c r="AV6052">
        <f>IF(V6052&gt;=AO6052-0.01,1,0)</f>
        <v/>
      </c>
      <c r="AW6052">
        <f>IF(W6052&gt;=AP6052-0.01,1,0)</f>
        <v/>
      </c>
      <c r="AX6052">
        <f>AQ6052*AR6052*AS6052*AT6052*AU6052*AV6052*AW6052</f>
        <v/>
      </c>
    </row>
    <row r="6053">
      <c r="A6053" t="inlineStr"/>
      <c r="B6053">
        <f>Assumptions!$B$60</f>
        <v/>
      </c>
      <c r="C6053" t="n">
        <v>0</v>
      </c>
      <c r="D6053" t="n">
        <v>0</v>
      </c>
      <c r="E6053" t="n">
        <v>1</v>
      </c>
      <c r="F6053" t="n">
        <v>1</v>
      </c>
      <c r="G6053" t="n">
        <v>1</v>
      </c>
      <c r="H6053" t="n">
        <v>0</v>
      </c>
      <c r="I6053" t="n">
        <v>1</v>
      </c>
      <c r="J6053">
        <f>(1-C6053)*Assumptions!$B$41+(1-D6053)*Assumptions!$B$33+(1-E6053)*Assumptions!$B$32+(1-F6053)*Assumptions!$B$31+(1-G6053)*Assumptions!$B$30+(1-H6053)*Assumptions!$B$29+(1-I6053)*Assumptions!$B$28</f>
        <v/>
      </c>
      <c r="K6053">
        <f>C6053*$J$757+D6053*$F$757+E6053*$G$757+F6053*Assumptions!$B$14+G6053*Assumptions!$B$13+H6053*Assumptions!$B$12+I6053*Assumptions!$B$11+$O$757+$S$757+Assumptions!$B$9</f>
        <v/>
      </c>
      <c r="L6053">
        <f>B6053-J6053</f>
        <v/>
      </c>
      <c r="M6053">
        <f>IF(K6053&gt;0,IF(L6053/K6053&gt;=Assumptions!$B$37,1,0),0)</f>
        <v/>
      </c>
      <c r="N6053">
        <f>K6053+M6053*Assumptions!$B$153</f>
        <v/>
      </c>
      <c r="O6053">
        <f>L6053+M6053*Assumptions!$B$153*Assumptions!$B$37</f>
        <v/>
      </c>
      <c r="P6053">
        <f>IF(N6053&gt;0,O6053/N6053,0)</f>
        <v/>
      </c>
      <c r="Q6053">
        <f>IF(C6053=1,P6053*$J$757,Assumptions!$B$41)</f>
        <v/>
      </c>
      <c r="R6053">
        <f>IF(D6053=1,P6053*$F$757,Assumptions!$B$33)</f>
        <v/>
      </c>
      <c r="S6053">
        <f>IF(E6053=1,P6053*$G$757,Assumptions!$B$32)</f>
        <v/>
      </c>
      <c r="T6053">
        <f>IF(F6053=1,P6053*Assumptions!$B$14,Assumptions!$B$31)</f>
        <v/>
      </c>
      <c r="U6053">
        <f>IF(G6053=1,P6053*Assumptions!$B$13,Assumptions!$B$30)</f>
        <v/>
      </c>
      <c r="V6053">
        <f>IF(H6053=1,P6053*Assumptions!$B$12,Assumptions!$B$29)</f>
        <v/>
      </c>
      <c r="W6053">
        <f>IF(I6053=1,P6053*Assumptions!$B$11,Assumptions!$B$28)</f>
        <v/>
      </c>
      <c r="X6053">
        <f>P6053*($O$757+$S$757)</f>
        <v/>
      </c>
      <c r="Y6053">
        <f>P6053*Assumptions!$B$9</f>
        <v/>
      </c>
      <c r="Z6053">
        <f>IF(M6053=1,(P6053-Assumptions!$B$37)*Assumptions!$B$153,0)</f>
        <v/>
      </c>
      <c r="AA6053">
        <f>Q6053+R6053+S6053+T6053+U6053+V6053+W6053+X6053+Y6053+Z6053</f>
        <v/>
      </c>
      <c r="AB6053" t="n">
        <v>29</v>
      </c>
      <c r="AC6053" t="n">
        <v>93</v>
      </c>
      <c r="AD6053" t="n">
        <v>61</v>
      </c>
      <c r="AE6053" t="n">
        <v>13</v>
      </c>
      <c r="AF6053" t="n">
        <v>21</v>
      </c>
      <c r="AG6053" t="n">
        <v>25</v>
      </c>
      <c r="AH6053" t="n">
        <v>31</v>
      </c>
      <c r="AI6053" t="n">
        <v>28</v>
      </c>
      <c r="AJ6053">
        <f>INDEX($Q$6024:$Q$6151,AC6053+1)</f>
        <v/>
      </c>
      <c r="AK6053">
        <f>INDEX($R$6024:$R$6151,AD6053+1)</f>
        <v/>
      </c>
      <c r="AL6053">
        <f>INDEX($S$6024:$S$6151,AE6053+1)</f>
        <v/>
      </c>
      <c r="AM6053">
        <f>INDEX($T$6024:$T$6151,AF6053+1)</f>
        <v/>
      </c>
      <c r="AN6053">
        <f>INDEX($U$6024:$U$6151,AG6053+1)</f>
        <v/>
      </c>
      <c r="AO6053">
        <f>INDEX($V$6024:$V$6151,AH6053+1)</f>
        <v/>
      </c>
      <c r="AP6053">
        <f>INDEX($W$6024:$W$6151,AI6053+1)</f>
        <v/>
      </c>
      <c r="AQ6053">
        <f>IF(Q6053&gt;=AJ6053-0.01,1,0)</f>
        <v/>
      </c>
      <c r="AR6053">
        <f>IF(R6053&gt;=AK6053-0.01,1,0)</f>
        <v/>
      </c>
      <c r="AS6053">
        <f>IF(S6053&gt;=AL6053-0.01,1,0)</f>
        <v/>
      </c>
      <c r="AT6053">
        <f>IF(T6053&gt;=AM6053-0.01,1,0)</f>
        <v/>
      </c>
      <c r="AU6053">
        <f>IF(U6053&gt;=AN6053-0.01,1,0)</f>
        <v/>
      </c>
      <c r="AV6053">
        <f>IF(V6053&gt;=AO6053-0.01,1,0)</f>
        <v/>
      </c>
      <c r="AW6053">
        <f>IF(W6053&gt;=AP6053-0.01,1,0)</f>
        <v/>
      </c>
      <c r="AX6053">
        <f>AQ6053*AR6053*AS6053*AT6053*AU6053*AV6053*AW6053</f>
        <v/>
      </c>
    </row>
    <row r="6054">
      <c r="A6054" t="inlineStr"/>
      <c r="B6054">
        <f>Assumptions!$B$60</f>
        <v/>
      </c>
      <c r="C6054" t="n">
        <v>0</v>
      </c>
      <c r="D6054" t="n">
        <v>0</v>
      </c>
      <c r="E6054" t="n">
        <v>1</v>
      </c>
      <c r="F6054" t="n">
        <v>1</v>
      </c>
      <c r="G6054" t="n">
        <v>1</v>
      </c>
      <c r="H6054" t="n">
        <v>1</v>
      </c>
      <c r="I6054" t="n">
        <v>0</v>
      </c>
      <c r="J6054">
        <f>(1-C6054)*Assumptions!$B$41+(1-D6054)*Assumptions!$B$33+(1-E6054)*Assumptions!$B$32+(1-F6054)*Assumptions!$B$31+(1-G6054)*Assumptions!$B$30+(1-H6054)*Assumptions!$B$29+(1-I6054)*Assumptions!$B$28</f>
        <v/>
      </c>
      <c r="K6054">
        <f>C6054*$J$757+D6054*$F$757+E6054*$G$757+F6054*Assumptions!$B$14+G6054*Assumptions!$B$13+H6054*Assumptions!$B$12+I6054*Assumptions!$B$11+$O$757+$S$757+Assumptions!$B$9</f>
        <v/>
      </c>
      <c r="L6054">
        <f>B6054-J6054</f>
        <v/>
      </c>
      <c r="M6054">
        <f>IF(K6054&gt;0,IF(L6054/K6054&gt;=Assumptions!$B$37,1,0),0)</f>
        <v/>
      </c>
      <c r="N6054">
        <f>K6054+M6054*Assumptions!$B$153</f>
        <v/>
      </c>
      <c r="O6054">
        <f>L6054+M6054*Assumptions!$B$153*Assumptions!$B$37</f>
        <v/>
      </c>
      <c r="P6054">
        <f>IF(N6054&gt;0,O6054/N6054,0)</f>
        <v/>
      </c>
      <c r="Q6054">
        <f>IF(C6054=1,P6054*$J$757,Assumptions!$B$41)</f>
        <v/>
      </c>
      <c r="R6054">
        <f>IF(D6054=1,P6054*$F$757,Assumptions!$B$33)</f>
        <v/>
      </c>
      <c r="S6054">
        <f>IF(E6054=1,P6054*$G$757,Assumptions!$B$32)</f>
        <v/>
      </c>
      <c r="T6054">
        <f>IF(F6054=1,P6054*Assumptions!$B$14,Assumptions!$B$31)</f>
        <v/>
      </c>
      <c r="U6054">
        <f>IF(G6054=1,P6054*Assumptions!$B$13,Assumptions!$B$30)</f>
        <v/>
      </c>
      <c r="V6054">
        <f>IF(H6054=1,P6054*Assumptions!$B$12,Assumptions!$B$29)</f>
        <v/>
      </c>
      <c r="W6054">
        <f>IF(I6054=1,P6054*Assumptions!$B$11,Assumptions!$B$28)</f>
        <v/>
      </c>
      <c r="X6054">
        <f>P6054*($O$757+$S$757)</f>
        <v/>
      </c>
      <c r="Y6054">
        <f>P6054*Assumptions!$B$9</f>
        <v/>
      </c>
      <c r="Z6054">
        <f>IF(M6054=1,(P6054-Assumptions!$B$37)*Assumptions!$B$153,0)</f>
        <v/>
      </c>
      <c r="AA6054">
        <f>Q6054+R6054+S6054+T6054+U6054+V6054+W6054+X6054+Y6054+Z6054</f>
        <v/>
      </c>
      <c r="AB6054" t="n">
        <v>30</v>
      </c>
      <c r="AC6054" t="n">
        <v>94</v>
      </c>
      <c r="AD6054" t="n">
        <v>62</v>
      </c>
      <c r="AE6054" t="n">
        <v>14</v>
      </c>
      <c r="AF6054" t="n">
        <v>22</v>
      </c>
      <c r="AG6054" t="n">
        <v>26</v>
      </c>
      <c r="AH6054" t="n">
        <v>28</v>
      </c>
      <c r="AI6054" t="n">
        <v>31</v>
      </c>
      <c r="AJ6054">
        <f>INDEX($Q$6024:$Q$6151,AC6054+1)</f>
        <v/>
      </c>
      <c r="AK6054">
        <f>INDEX($R$6024:$R$6151,AD6054+1)</f>
        <v/>
      </c>
      <c r="AL6054">
        <f>INDEX($S$6024:$S$6151,AE6054+1)</f>
        <v/>
      </c>
      <c r="AM6054">
        <f>INDEX($T$6024:$T$6151,AF6054+1)</f>
        <v/>
      </c>
      <c r="AN6054">
        <f>INDEX($U$6024:$U$6151,AG6054+1)</f>
        <v/>
      </c>
      <c r="AO6054">
        <f>INDEX($V$6024:$V$6151,AH6054+1)</f>
        <v/>
      </c>
      <c r="AP6054">
        <f>INDEX($W$6024:$W$6151,AI6054+1)</f>
        <v/>
      </c>
      <c r="AQ6054">
        <f>IF(Q6054&gt;=AJ6054-0.01,1,0)</f>
        <v/>
      </c>
      <c r="AR6054">
        <f>IF(R6054&gt;=AK6054-0.01,1,0)</f>
        <v/>
      </c>
      <c r="AS6054">
        <f>IF(S6054&gt;=AL6054-0.01,1,0)</f>
        <v/>
      </c>
      <c r="AT6054">
        <f>IF(T6054&gt;=AM6054-0.01,1,0)</f>
        <v/>
      </c>
      <c r="AU6054">
        <f>IF(U6054&gt;=AN6054-0.01,1,0)</f>
        <v/>
      </c>
      <c r="AV6054">
        <f>IF(V6054&gt;=AO6054-0.01,1,0)</f>
        <v/>
      </c>
      <c r="AW6054">
        <f>IF(W6054&gt;=AP6054-0.01,1,0)</f>
        <v/>
      </c>
      <c r="AX6054">
        <f>AQ6054*AR6054*AS6054*AT6054*AU6054*AV6054*AW6054</f>
        <v/>
      </c>
    </row>
    <row r="6055">
      <c r="A6055" t="inlineStr"/>
      <c r="B6055">
        <f>Assumptions!$B$60</f>
        <v/>
      </c>
      <c r="C6055" t="n">
        <v>0</v>
      </c>
      <c r="D6055" t="n">
        <v>0</v>
      </c>
      <c r="E6055" t="n">
        <v>1</v>
      </c>
      <c r="F6055" t="n">
        <v>1</v>
      </c>
      <c r="G6055" t="n">
        <v>1</v>
      </c>
      <c r="H6055" t="n">
        <v>1</v>
      </c>
      <c r="I6055" t="n">
        <v>1</v>
      </c>
      <c r="J6055">
        <f>(1-C6055)*Assumptions!$B$41+(1-D6055)*Assumptions!$B$33+(1-E6055)*Assumptions!$B$32+(1-F6055)*Assumptions!$B$31+(1-G6055)*Assumptions!$B$30+(1-H6055)*Assumptions!$B$29+(1-I6055)*Assumptions!$B$28</f>
        <v/>
      </c>
      <c r="K6055">
        <f>C6055*$J$757+D6055*$F$757+E6055*$G$757+F6055*Assumptions!$B$14+G6055*Assumptions!$B$13+H6055*Assumptions!$B$12+I6055*Assumptions!$B$11+$O$757+$S$757+Assumptions!$B$9</f>
        <v/>
      </c>
      <c r="L6055">
        <f>B6055-J6055</f>
        <v/>
      </c>
      <c r="M6055">
        <f>IF(K6055&gt;0,IF(L6055/K6055&gt;=Assumptions!$B$37,1,0),0)</f>
        <v/>
      </c>
      <c r="N6055">
        <f>K6055+M6055*Assumptions!$B$153</f>
        <v/>
      </c>
      <c r="O6055">
        <f>L6055+M6055*Assumptions!$B$153*Assumptions!$B$37</f>
        <v/>
      </c>
      <c r="P6055">
        <f>IF(N6055&gt;0,O6055/N6055,0)</f>
        <v/>
      </c>
      <c r="Q6055">
        <f>IF(C6055=1,P6055*$J$757,Assumptions!$B$41)</f>
        <v/>
      </c>
      <c r="R6055">
        <f>IF(D6055=1,P6055*$F$757,Assumptions!$B$33)</f>
        <v/>
      </c>
      <c r="S6055">
        <f>IF(E6055=1,P6055*$G$757,Assumptions!$B$32)</f>
        <v/>
      </c>
      <c r="T6055">
        <f>IF(F6055=1,P6055*Assumptions!$B$14,Assumptions!$B$31)</f>
        <v/>
      </c>
      <c r="U6055">
        <f>IF(G6055=1,P6055*Assumptions!$B$13,Assumptions!$B$30)</f>
        <v/>
      </c>
      <c r="V6055">
        <f>IF(H6055=1,P6055*Assumptions!$B$12,Assumptions!$B$29)</f>
        <v/>
      </c>
      <c r="W6055">
        <f>IF(I6055=1,P6055*Assumptions!$B$11,Assumptions!$B$28)</f>
        <v/>
      </c>
      <c r="X6055">
        <f>P6055*($O$757+$S$757)</f>
        <v/>
      </c>
      <c r="Y6055">
        <f>P6055*Assumptions!$B$9</f>
        <v/>
      </c>
      <c r="Z6055">
        <f>IF(M6055=1,(P6055-Assumptions!$B$37)*Assumptions!$B$153,0)</f>
        <v/>
      </c>
      <c r="AA6055">
        <f>Q6055+R6055+S6055+T6055+U6055+V6055+W6055+X6055+Y6055+Z6055</f>
        <v/>
      </c>
      <c r="AB6055" t="n">
        <v>31</v>
      </c>
      <c r="AC6055" t="n">
        <v>95</v>
      </c>
      <c r="AD6055" t="n">
        <v>63</v>
      </c>
      <c r="AE6055" t="n">
        <v>15</v>
      </c>
      <c r="AF6055" t="n">
        <v>23</v>
      </c>
      <c r="AG6055" t="n">
        <v>27</v>
      </c>
      <c r="AH6055" t="n">
        <v>29</v>
      </c>
      <c r="AI6055" t="n">
        <v>30</v>
      </c>
      <c r="AJ6055">
        <f>INDEX($Q$6024:$Q$6151,AC6055+1)</f>
        <v/>
      </c>
      <c r="AK6055">
        <f>INDEX($R$6024:$R$6151,AD6055+1)</f>
        <v/>
      </c>
      <c r="AL6055">
        <f>INDEX($S$6024:$S$6151,AE6055+1)</f>
        <v/>
      </c>
      <c r="AM6055">
        <f>INDEX($T$6024:$T$6151,AF6055+1)</f>
        <v/>
      </c>
      <c r="AN6055">
        <f>INDEX($U$6024:$U$6151,AG6055+1)</f>
        <v/>
      </c>
      <c r="AO6055">
        <f>INDEX($V$6024:$V$6151,AH6055+1)</f>
        <v/>
      </c>
      <c r="AP6055">
        <f>INDEX($W$6024:$W$6151,AI6055+1)</f>
        <v/>
      </c>
      <c r="AQ6055">
        <f>IF(Q6055&gt;=AJ6055-0.01,1,0)</f>
        <v/>
      </c>
      <c r="AR6055">
        <f>IF(R6055&gt;=AK6055-0.01,1,0)</f>
        <v/>
      </c>
      <c r="AS6055">
        <f>IF(S6055&gt;=AL6055-0.01,1,0)</f>
        <v/>
      </c>
      <c r="AT6055">
        <f>IF(T6055&gt;=AM6055-0.01,1,0)</f>
        <v/>
      </c>
      <c r="AU6055">
        <f>IF(U6055&gt;=AN6055-0.01,1,0)</f>
        <v/>
      </c>
      <c r="AV6055">
        <f>IF(V6055&gt;=AO6055-0.01,1,0)</f>
        <v/>
      </c>
      <c r="AW6055">
        <f>IF(W6055&gt;=AP6055-0.01,1,0)</f>
        <v/>
      </c>
      <c r="AX6055">
        <f>AQ6055*AR6055*AS6055*AT6055*AU6055*AV6055*AW6055</f>
        <v/>
      </c>
    </row>
    <row r="6056">
      <c r="A6056" t="inlineStr"/>
      <c r="B6056">
        <f>Assumptions!$B$60</f>
        <v/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>
        <f>(1-C6056)*Assumptions!$B$41+(1-D6056)*Assumptions!$B$33+(1-E6056)*Assumptions!$B$32+(1-F6056)*Assumptions!$B$31+(1-G6056)*Assumptions!$B$30+(1-H6056)*Assumptions!$B$29+(1-I6056)*Assumptions!$B$28</f>
        <v/>
      </c>
      <c r="K6056">
        <f>C6056*$J$757+D6056*$F$757+E6056*$G$757+F6056*Assumptions!$B$14+G6056*Assumptions!$B$13+H6056*Assumptions!$B$12+I6056*Assumptions!$B$11+$O$757+$S$757+Assumptions!$B$9</f>
        <v/>
      </c>
      <c r="L6056">
        <f>B6056-J6056</f>
        <v/>
      </c>
      <c r="M6056">
        <f>IF(K6056&gt;0,IF(L6056/K6056&gt;=Assumptions!$B$37,1,0),0)</f>
        <v/>
      </c>
      <c r="N6056">
        <f>K6056+M6056*Assumptions!$B$153</f>
        <v/>
      </c>
      <c r="O6056">
        <f>L6056+M6056*Assumptions!$B$153*Assumptions!$B$37</f>
        <v/>
      </c>
      <c r="P6056">
        <f>IF(N6056&gt;0,O6056/N6056,0)</f>
        <v/>
      </c>
      <c r="Q6056">
        <f>IF(C6056=1,P6056*$J$757,Assumptions!$B$41)</f>
        <v/>
      </c>
      <c r="R6056">
        <f>IF(D6056=1,P6056*$F$757,Assumptions!$B$33)</f>
        <v/>
      </c>
      <c r="S6056">
        <f>IF(E6056=1,P6056*$G$757,Assumptions!$B$32)</f>
        <v/>
      </c>
      <c r="T6056">
        <f>IF(F6056=1,P6056*Assumptions!$B$14,Assumptions!$B$31)</f>
        <v/>
      </c>
      <c r="U6056">
        <f>IF(G6056=1,P6056*Assumptions!$B$13,Assumptions!$B$30)</f>
        <v/>
      </c>
      <c r="V6056">
        <f>IF(H6056=1,P6056*Assumptions!$B$12,Assumptions!$B$29)</f>
        <v/>
      </c>
      <c r="W6056">
        <f>IF(I6056=1,P6056*Assumptions!$B$11,Assumptions!$B$28)</f>
        <v/>
      </c>
      <c r="X6056">
        <f>P6056*($O$757+$S$757)</f>
        <v/>
      </c>
      <c r="Y6056">
        <f>P6056*Assumptions!$B$9</f>
        <v/>
      </c>
      <c r="Z6056">
        <f>IF(M6056=1,(P6056-Assumptions!$B$37)*Assumptions!$B$153,0)</f>
        <v/>
      </c>
      <c r="AA6056">
        <f>Q6056+R6056+S6056+T6056+U6056+V6056+W6056+X6056+Y6056+Z6056</f>
        <v/>
      </c>
      <c r="AB6056" t="n">
        <v>32</v>
      </c>
      <c r="AC6056" t="n">
        <v>96</v>
      </c>
      <c r="AD6056" t="n">
        <v>0</v>
      </c>
      <c r="AE6056" t="n">
        <v>48</v>
      </c>
      <c r="AF6056" t="n">
        <v>40</v>
      </c>
      <c r="AG6056" t="n">
        <v>36</v>
      </c>
      <c r="AH6056" t="n">
        <v>34</v>
      </c>
      <c r="AI6056" t="n">
        <v>33</v>
      </c>
      <c r="AJ6056">
        <f>INDEX($Q$6024:$Q$6151,AC6056+1)</f>
        <v/>
      </c>
      <c r="AK6056">
        <f>INDEX($R$6024:$R$6151,AD6056+1)</f>
        <v/>
      </c>
      <c r="AL6056">
        <f>INDEX($S$6024:$S$6151,AE6056+1)</f>
        <v/>
      </c>
      <c r="AM6056">
        <f>INDEX($T$6024:$T$6151,AF6056+1)</f>
        <v/>
      </c>
      <c r="AN6056">
        <f>INDEX($U$6024:$U$6151,AG6056+1)</f>
        <v/>
      </c>
      <c r="AO6056">
        <f>INDEX($V$6024:$V$6151,AH6056+1)</f>
        <v/>
      </c>
      <c r="AP6056">
        <f>INDEX($W$6024:$W$6151,AI6056+1)</f>
        <v/>
      </c>
      <c r="AQ6056">
        <f>IF(Q6056&gt;=AJ6056-0.01,1,0)</f>
        <v/>
      </c>
      <c r="AR6056">
        <f>IF(R6056&gt;=AK6056-0.01,1,0)</f>
        <v/>
      </c>
      <c r="AS6056">
        <f>IF(S6056&gt;=AL6056-0.01,1,0)</f>
        <v/>
      </c>
      <c r="AT6056">
        <f>IF(T6056&gt;=AM6056-0.01,1,0)</f>
        <v/>
      </c>
      <c r="AU6056">
        <f>IF(U6056&gt;=AN6056-0.01,1,0)</f>
        <v/>
      </c>
      <c r="AV6056">
        <f>IF(V6056&gt;=AO6056-0.01,1,0)</f>
        <v/>
      </c>
      <c r="AW6056">
        <f>IF(W6056&gt;=AP6056-0.01,1,0)</f>
        <v/>
      </c>
      <c r="AX6056">
        <f>AQ6056*AR6056*AS6056*AT6056*AU6056*AV6056*AW6056</f>
        <v/>
      </c>
    </row>
    <row r="6057">
      <c r="A6057" t="inlineStr"/>
      <c r="B6057">
        <f>Assumptions!$B$60</f>
        <v/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0</v>
      </c>
      <c r="I6057" t="n">
        <v>1</v>
      </c>
      <c r="J6057">
        <f>(1-C6057)*Assumptions!$B$41+(1-D6057)*Assumptions!$B$33+(1-E6057)*Assumptions!$B$32+(1-F6057)*Assumptions!$B$31+(1-G6057)*Assumptions!$B$30+(1-H6057)*Assumptions!$B$29+(1-I6057)*Assumptions!$B$28</f>
        <v/>
      </c>
      <c r="K6057">
        <f>C6057*$J$757+D6057*$F$757+E6057*$G$757+F6057*Assumptions!$B$14+G6057*Assumptions!$B$13+H6057*Assumptions!$B$12+I6057*Assumptions!$B$11+$O$757+$S$757+Assumptions!$B$9</f>
        <v/>
      </c>
      <c r="L6057">
        <f>B6057-J6057</f>
        <v/>
      </c>
      <c r="M6057">
        <f>IF(K6057&gt;0,IF(L6057/K6057&gt;=Assumptions!$B$37,1,0),0)</f>
        <v/>
      </c>
      <c r="N6057">
        <f>K6057+M6057*Assumptions!$B$153</f>
        <v/>
      </c>
      <c r="O6057">
        <f>L6057+M6057*Assumptions!$B$153*Assumptions!$B$37</f>
        <v/>
      </c>
      <c r="P6057">
        <f>IF(N6057&gt;0,O6057/N6057,0)</f>
        <v/>
      </c>
      <c r="Q6057">
        <f>IF(C6057=1,P6057*$J$757,Assumptions!$B$41)</f>
        <v/>
      </c>
      <c r="R6057">
        <f>IF(D6057=1,P6057*$F$757,Assumptions!$B$33)</f>
        <v/>
      </c>
      <c r="S6057">
        <f>IF(E6057=1,P6057*$G$757,Assumptions!$B$32)</f>
        <v/>
      </c>
      <c r="T6057">
        <f>IF(F6057=1,P6057*Assumptions!$B$14,Assumptions!$B$31)</f>
        <v/>
      </c>
      <c r="U6057">
        <f>IF(G6057=1,P6057*Assumptions!$B$13,Assumptions!$B$30)</f>
        <v/>
      </c>
      <c r="V6057">
        <f>IF(H6057=1,P6057*Assumptions!$B$12,Assumptions!$B$29)</f>
        <v/>
      </c>
      <c r="W6057">
        <f>IF(I6057=1,P6057*Assumptions!$B$11,Assumptions!$B$28)</f>
        <v/>
      </c>
      <c r="X6057">
        <f>P6057*($O$757+$S$757)</f>
        <v/>
      </c>
      <c r="Y6057">
        <f>P6057*Assumptions!$B$9</f>
        <v/>
      </c>
      <c r="Z6057">
        <f>IF(M6057=1,(P6057-Assumptions!$B$37)*Assumptions!$B$153,0)</f>
        <v/>
      </c>
      <c r="AA6057">
        <f>Q6057+R6057+S6057+T6057+U6057+V6057+W6057+X6057+Y6057+Z6057</f>
        <v/>
      </c>
      <c r="AB6057" t="n">
        <v>33</v>
      </c>
      <c r="AC6057" t="n">
        <v>97</v>
      </c>
      <c r="AD6057" t="n">
        <v>1</v>
      </c>
      <c r="AE6057" t="n">
        <v>49</v>
      </c>
      <c r="AF6057" t="n">
        <v>41</v>
      </c>
      <c r="AG6057" t="n">
        <v>37</v>
      </c>
      <c r="AH6057" t="n">
        <v>35</v>
      </c>
      <c r="AI6057" t="n">
        <v>32</v>
      </c>
      <c r="AJ6057">
        <f>INDEX($Q$6024:$Q$6151,AC6057+1)</f>
        <v/>
      </c>
      <c r="AK6057">
        <f>INDEX($R$6024:$R$6151,AD6057+1)</f>
        <v/>
      </c>
      <c r="AL6057">
        <f>INDEX($S$6024:$S$6151,AE6057+1)</f>
        <v/>
      </c>
      <c r="AM6057">
        <f>INDEX($T$6024:$T$6151,AF6057+1)</f>
        <v/>
      </c>
      <c r="AN6057">
        <f>INDEX($U$6024:$U$6151,AG6057+1)</f>
        <v/>
      </c>
      <c r="AO6057">
        <f>INDEX($V$6024:$V$6151,AH6057+1)</f>
        <v/>
      </c>
      <c r="AP6057">
        <f>INDEX($W$6024:$W$6151,AI6057+1)</f>
        <v/>
      </c>
      <c r="AQ6057">
        <f>IF(Q6057&gt;=AJ6057-0.01,1,0)</f>
        <v/>
      </c>
      <c r="AR6057">
        <f>IF(R6057&gt;=AK6057-0.01,1,0)</f>
        <v/>
      </c>
      <c r="AS6057">
        <f>IF(S6057&gt;=AL6057-0.01,1,0)</f>
        <v/>
      </c>
      <c r="AT6057">
        <f>IF(T6057&gt;=AM6057-0.01,1,0)</f>
        <v/>
      </c>
      <c r="AU6057">
        <f>IF(U6057&gt;=AN6057-0.01,1,0)</f>
        <v/>
      </c>
      <c r="AV6057">
        <f>IF(V6057&gt;=AO6057-0.01,1,0)</f>
        <v/>
      </c>
      <c r="AW6057">
        <f>IF(W6057&gt;=AP6057-0.01,1,0)</f>
        <v/>
      </c>
      <c r="AX6057">
        <f>AQ6057*AR6057*AS6057*AT6057*AU6057*AV6057*AW6057</f>
        <v/>
      </c>
    </row>
    <row r="6058">
      <c r="A6058" t="inlineStr"/>
      <c r="B6058">
        <f>Assumptions!$B$60</f>
        <v/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  <c r="I6058" t="n">
        <v>0</v>
      </c>
      <c r="J6058">
        <f>(1-C6058)*Assumptions!$B$41+(1-D6058)*Assumptions!$B$33+(1-E6058)*Assumptions!$B$32+(1-F6058)*Assumptions!$B$31+(1-G6058)*Assumptions!$B$30+(1-H6058)*Assumptions!$B$29+(1-I6058)*Assumptions!$B$28</f>
        <v/>
      </c>
      <c r="K6058">
        <f>C6058*$J$757+D6058*$F$757+E6058*$G$757+F6058*Assumptions!$B$14+G6058*Assumptions!$B$13+H6058*Assumptions!$B$12+I6058*Assumptions!$B$11+$O$757+$S$757+Assumptions!$B$9</f>
        <v/>
      </c>
      <c r="L6058">
        <f>B6058-J6058</f>
        <v/>
      </c>
      <c r="M6058">
        <f>IF(K6058&gt;0,IF(L6058/K6058&gt;=Assumptions!$B$37,1,0),0)</f>
        <v/>
      </c>
      <c r="N6058">
        <f>K6058+M6058*Assumptions!$B$153</f>
        <v/>
      </c>
      <c r="O6058">
        <f>L6058+M6058*Assumptions!$B$153*Assumptions!$B$37</f>
        <v/>
      </c>
      <c r="P6058">
        <f>IF(N6058&gt;0,O6058/N6058,0)</f>
        <v/>
      </c>
      <c r="Q6058">
        <f>IF(C6058=1,P6058*$J$757,Assumptions!$B$41)</f>
        <v/>
      </c>
      <c r="R6058">
        <f>IF(D6058=1,P6058*$F$757,Assumptions!$B$33)</f>
        <v/>
      </c>
      <c r="S6058">
        <f>IF(E6058=1,P6058*$G$757,Assumptions!$B$32)</f>
        <v/>
      </c>
      <c r="T6058">
        <f>IF(F6058=1,P6058*Assumptions!$B$14,Assumptions!$B$31)</f>
        <v/>
      </c>
      <c r="U6058">
        <f>IF(G6058=1,P6058*Assumptions!$B$13,Assumptions!$B$30)</f>
        <v/>
      </c>
      <c r="V6058">
        <f>IF(H6058=1,P6058*Assumptions!$B$12,Assumptions!$B$29)</f>
        <v/>
      </c>
      <c r="W6058">
        <f>IF(I6058=1,P6058*Assumptions!$B$11,Assumptions!$B$28)</f>
        <v/>
      </c>
      <c r="X6058">
        <f>P6058*($O$757+$S$757)</f>
        <v/>
      </c>
      <c r="Y6058">
        <f>P6058*Assumptions!$B$9</f>
        <v/>
      </c>
      <c r="Z6058">
        <f>IF(M6058=1,(P6058-Assumptions!$B$37)*Assumptions!$B$153,0)</f>
        <v/>
      </c>
      <c r="AA6058">
        <f>Q6058+R6058+S6058+T6058+U6058+V6058+W6058+X6058+Y6058+Z6058</f>
        <v/>
      </c>
      <c r="AB6058" t="n">
        <v>34</v>
      </c>
      <c r="AC6058" t="n">
        <v>98</v>
      </c>
      <c r="AD6058" t="n">
        <v>2</v>
      </c>
      <c r="AE6058" t="n">
        <v>50</v>
      </c>
      <c r="AF6058" t="n">
        <v>42</v>
      </c>
      <c r="AG6058" t="n">
        <v>38</v>
      </c>
      <c r="AH6058" t="n">
        <v>32</v>
      </c>
      <c r="AI6058" t="n">
        <v>35</v>
      </c>
      <c r="AJ6058">
        <f>INDEX($Q$6024:$Q$6151,AC6058+1)</f>
        <v/>
      </c>
      <c r="AK6058">
        <f>INDEX($R$6024:$R$6151,AD6058+1)</f>
        <v/>
      </c>
      <c r="AL6058">
        <f>INDEX($S$6024:$S$6151,AE6058+1)</f>
        <v/>
      </c>
      <c r="AM6058">
        <f>INDEX($T$6024:$T$6151,AF6058+1)</f>
        <v/>
      </c>
      <c r="AN6058">
        <f>INDEX($U$6024:$U$6151,AG6058+1)</f>
        <v/>
      </c>
      <c r="AO6058">
        <f>INDEX($V$6024:$V$6151,AH6058+1)</f>
        <v/>
      </c>
      <c r="AP6058">
        <f>INDEX($W$6024:$W$6151,AI6058+1)</f>
        <v/>
      </c>
      <c r="AQ6058">
        <f>IF(Q6058&gt;=AJ6058-0.01,1,0)</f>
        <v/>
      </c>
      <c r="AR6058">
        <f>IF(R6058&gt;=AK6058-0.01,1,0)</f>
        <v/>
      </c>
      <c r="AS6058">
        <f>IF(S6058&gt;=AL6058-0.01,1,0)</f>
        <v/>
      </c>
      <c r="AT6058">
        <f>IF(T6058&gt;=AM6058-0.01,1,0)</f>
        <v/>
      </c>
      <c r="AU6058">
        <f>IF(U6058&gt;=AN6058-0.01,1,0)</f>
        <v/>
      </c>
      <c r="AV6058">
        <f>IF(V6058&gt;=AO6058-0.01,1,0)</f>
        <v/>
      </c>
      <c r="AW6058">
        <f>IF(W6058&gt;=AP6058-0.01,1,0)</f>
        <v/>
      </c>
      <c r="AX6058">
        <f>AQ6058*AR6058*AS6058*AT6058*AU6058*AV6058*AW6058</f>
        <v/>
      </c>
    </row>
    <row r="6059">
      <c r="A6059" t="inlineStr"/>
      <c r="B6059">
        <f>Assumptions!$B$60</f>
        <v/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  <c r="I6059" t="n">
        <v>1</v>
      </c>
      <c r="J6059">
        <f>(1-C6059)*Assumptions!$B$41+(1-D6059)*Assumptions!$B$33+(1-E6059)*Assumptions!$B$32+(1-F6059)*Assumptions!$B$31+(1-G6059)*Assumptions!$B$30+(1-H6059)*Assumptions!$B$29+(1-I6059)*Assumptions!$B$28</f>
        <v/>
      </c>
      <c r="K6059">
        <f>C6059*$J$757+D6059*$F$757+E6059*$G$757+F6059*Assumptions!$B$14+G6059*Assumptions!$B$13+H6059*Assumptions!$B$12+I6059*Assumptions!$B$11+$O$757+$S$757+Assumptions!$B$9</f>
        <v/>
      </c>
      <c r="L6059">
        <f>B6059-J6059</f>
        <v/>
      </c>
      <c r="M6059">
        <f>IF(K6059&gt;0,IF(L6059/K6059&gt;=Assumptions!$B$37,1,0),0)</f>
        <v/>
      </c>
      <c r="N6059">
        <f>K6059+M6059*Assumptions!$B$153</f>
        <v/>
      </c>
      <c r="O6059">
        <f>L6059+M6059*Assumptions!$B$153*Assumptions!$B$37</f>
        <v/>
      </c>
      <c r="P6059">
        <f>IF(N6059&gt;0,O6059/N6059,0)</f>
        <v/>
      </c>
      <c r="Q6059">
        <f>IF(C6059=1,P6059*$J$757,Assumptions!$B$41)</f>
        <v/>
      </c>
      <c r="R6059">
        <f>IF(D6059=1,P6059*$F$757,Assumptions!$B$33)</f>
        <v/>
      </c>
      <c r="S6059">
        <f>IF(E6059=1,P6059*$G$757,Assumptions!$B$32)</f>
        <v/>
      </c>
      <c r="T6059">
        <f>IF(F6059=1,P6059*Assumptions!$B$14,Assumptions!$B$31)</f>
        <v/>
      </c>
      <c r="U6059">
        <f>IF(G6059=1,P6059*Assumptions!$B$13,Assumptions!$B$30)</f>
        <v/>
      </c>
      <c r="V6059">
        <f>IF(H6059=1,P6059*Assumptions!$B$12,Assumptions!$B$29)</f>
        <v/>
      </c>
      <c r="W6059">
        <f>IF(I6059=1,P6059*Assumptions!$B$11,Assumptions!$B$28)</f>
        <v/>
      </c>
      <c r="X6059">
        <f>P6059*($O$757+$S$757)</f>
        <v/>
      </c>
      <c r="Y6059">
        <f>P6059*Assumptions!$B$9</f>
        <v/>
      </c>
      <c r="Z6059">
        <f>IF(M6059=1,(P6059-Assumptions!$B$37)*Assumptions!$B$153,0)</f>
        <v/>
      </c>
      <c r="AA6059">
        <f>Q6059+R6059+S6059+T6059+U6059+V6059+W6059+X6059+Y6059+Z6059</f>
        <v/>
      </c>
      <c r="AB6059" t="n">
        <v>35</v>
      </c>
      <c r="AC6059" t="n">
        <v>99</v>
      </c>
      <c r="AD6059" t="n">
        <v>3</v>
      </c>
      <c r="AE6059" t="n">
        <v>51</v>
      </c>
      <c r="AF6059" t="n">
        <v>43</v>
      </c>
      <c r="AG6059" t="n">
        <v>39</v>
      </c>
      <c r="AH6059" t="n">
        <v>33</v>
      </c>
      <c r="AI6059" t="n">
        <v>34</v>
      </c>
      <c r="AJ6059">
        <f>INDEX($Q$6024:$Q$6151,AC6059+1)</f>
        <v/>
      </c>
      <c r="AK6059">
        <f>INDEX($R$6024:$R$6151,AD6059+1)</f>
        <v/>
      </c>
      <c r="AL6059">
        <f>INDEX($S$6024:$S$6151,AE6059+1)</f>
        <v/>
      </c>
      <c r="AM6059">
        <f>INDEX($T$6024:$T$6151,AF6059+1)</f>
        <v/>
      </c>
      <c r="AN6059">
        <f>INDEX($U$6024:$U$6151,AG6059+1)</f>
        <v/>
      </c>
      <c r="AO6059">
        <f>INDEX($V$6024:$V$6151,AH6059+1)</f>
        <v/>
      </c>
      <c r="AP6059">
        <f>INDEX($W$6024:$W$6151,AI6059+1)</f>
        <v/>
      </c>
      <c r="AQ6059">
        <f>IF(Q6059&gt;=AJ6059-0.01,1,0)</f>
        <v/>
      </c>
      <c r="AR6059">
        <f>IF(R6059&gt;=AK6059-0.01,1,0)</f>
        <v/>
      </c>
      <c r="AS6059">
        <f>IF(S6059&gt;=AL6059-0.01,1,0)</f>
        <v/>
      </c>
      <c r="AT6059">
        <f>IF(T6059&gt;=AM6059-0.01,1,0)</f>
        <v/>
      </c>
      <c r="AU6059">
        <f>IF(U6059&gt;=AN6059-0.01,1,0)</f>
        <v/>
      </c>
      <c r="AV6059">
        <f>IF(V6059&gt;=AO6059-0.01,1,0)</f>
        <v/>
      </c>
      <c r="AW6059">
        <f>IF(W6059&gt;=AP6059-0.01,1,0)</f>
        <v/>
      </c>
      <c r="AX6059">
        <f>AQ6059*AR6059*AS6059*AT6059*AU6059*AV6059*AW6059</f>
        <v/>
      </c>
    </row>
    <row r="6060">
      <c r="A6060" t="inlineStr"/>
      <c r="B6060">
        <f>Assumptions!$B$60</f>
        <v/>
      </c>
      <c r="C6060" t="n">
        <v>0</v>
      </c>
      <c r="D6060" t="n">
        <v>1</v>
      </c>
      <c r="E6060" t="n">
        <v>0</v>
      </c>
      <c r="F6060" t="n">
        <v>0</v>
      </c>
      <c r="G6060" t="n">
        <v>1</v>
      </c>
      <c r="H6060" t="n">
        <v>0</v>
      </c>
      <c r="I6060" t="n">
        <v>0</v>
      </c>
      <c r="J6060">
        <f>(1-C6060)*Assumptions!$B$41+(1-D6060)*Assumptions!$B$33+(1-E6060)*Assumptions!$B$32+(1-F6060)*Assumptions!$B$31+(1-G6060)*Assumptions!$B$30+(1-H6060)*Assumptions!$B$29+(1-I6060)*Assumptions!$B$28</f>
        <v/>
      </c>
      <c r="K6060">
        <f>C6060*$J$757+D6060*$F$757+E6060*$G$757+F6060*Assumptions!$B$14+G6060*Assumptions!$B$13+H6060*Assumptions!$B$12+I6060*Assumptions!$B$11+$O$757+$S$757+Assumptions!$B$9</f>
        <v/>
      </c>
      <c r="L6060">
        <f>B6060-J6060</f>
        <v/>
      </c>
      <c r="M6060">
        <f>IF(K6060&gt;0,IF(L6060/K6060&gt;=Assumptions!$B$37,1,0),0)</f>
        <v/>
      </c>
      <c r="N6060">
        <f>K6060+M6060*Assumptions!$B$153</f>
        <v/>
      </c>
      <c r="O6060">
        <f>L6060+M6060*Assumptions!$B$153*Assumptions!$B$37</f>
        <v/>
      </c>
      <c r="P6060">
        <f>IF(N6060&gt;0,O6060/N6060,0)</f>
        <v/>
      </c>
      <c r="Q6060">
        <f>IF(C6060=1,P6060*$J$757,Assumptions!$B$41)</f>
        <v/>
      </c>
      <c r="R6060">
        <f>IF(D6060=1,P6060*$F$757,Assumptions!$B$33)</f>
        <v/>
      </c>
      <c r="S6060">
        <f>IF(E6060=1,P6060*$G$757,Assumptions!$B$32)</f>
        <v/>
      </c>
      <c r="T6060">
        <f>IF(F6060=1,P6060*Assumptions!$B$14,Assumptions!$B$31)</f>
        <v/>
      </c>
      <c r="U6060">
        <f>IF(G6060=1,P6060*Assumptions!$B$13,Assumptions!$B$30)</f>
        <v/>
      </c>
      <c r="V6060">
        <f>IF(H6060=1,P6060*Assumptions!$B$12,Assumptions!$B$29)</f>
        <v/>
      </c>
      <c r="W6060">
        <f>IF(I6060=1,P6060*Assumptions!$B$11,Assumptions!$B$28)</f>
        <v/>
      </c>
      <c r="X6060">
        <f>P6060*($O$757+$S$757)</f>
        <v/>
      </c>
      <c r="Y6060">
        <f>P6060*Assumptions!$B$9</f>
        <v/>
      </c>
      <c r="Z6060">
        <f>IF(M6060=1,(P6060-Assumptions!$B$37)*Assumptions!$B$153,0)</f>
        <v/>
      </c>
      <c r="AA6060">
        <f>Q6060+R6060+S6060+T6060+U6060+V6060+W6060+X6060+Y6060+Z6060</f>
        <v/>
      </c>
      <c r="AB6060" t="n">
        <v>36</v>
      </c>
      <c r="AC6060" t="n">
        <v>100</v>
      </c>
      <c r="AD6060" t="n">
        <v>4</v>
      </c>
      <c r="AE6060" t="n">
        <v>52</v>
      </c>
      <c r="AF6060" t="n">
        <v>44</v>
      </c>
      <c r="AG6060" t="n">
        <v>32</v>
      </c>
      <c r="AH6060" t="n">
        <v>38</v>
      </c>
      <c r="AI6060" t="n">
        <v>37</v>
      </c>
      <c r="AJ6060">
        <f>INDEX($Q$6024:$Q$6151,AC6060+1)</f>
        <v/>
      </c>
      <c r="AK6060">
        <f>INDEX($R$6024:$R$6151,AD6060+1)</f>
        <v/>
      </c>
      <c r="AL6060">
        <f>INDEX($S$6024:$S$6151,AE6060+1)</f>
        <v/>
      </c>
      <c r="AM6060">
        <f>INDEX($T$6024:$T$6151,AF6060+1)</f>
        <v/>
      </c>
      <c r="AN6060">
        <f>INDEX($U$6024:$U$6151,AG6060+1)</f>
        <v/>
      </c>
      <c r="AO6060">
        <f>INDEX($V$6024:$V$6151,AH6060+1)</f>
        <v/>
      </c>
      <c r="AP6060">
        <f>INDEX($W$6024:$W$6151,AI6060+1)</f>
        <v/>
      </c>
      <c r="AQ6060">
        <f>IF(Q6060&gt;=AJ6060-0.01,1,0)</f>
        <v/>
      </c>
      <c r="AR6060">
        <f>IF(R6060&gt;=AK6060-0.01,1,0)</f>
        <v/>
      </c>
      <c r="AS6060">
        <f>IF(S6060&gt;=AL6060-0.01,1,0)</f>
        <v/>
      </c>
      <c r="AT6060">
        <f>IF(T6060&gt;=AM6060-0.01,1,0)</f>
        <v/>
      </c>
      <c r="AU6060">
        <f>IF(U6060&gt;=AN6060-0.01,1,0)</f>
        <v/>
      </c>
      <c r="AV6060">
        <f>IF(V6060&gt;=AO6060-0.01,1,0)</f>
        <v/>
      </c>
      <c r="AW6060">
        <f>IF(W6060&gt;=AP6060-0.01,1,0)</f>
        <v/>
      </c>
      <c r="AX6060">
        <f>AQ6060*AR6060*AS6060*AT6060*AU6060*AV6060*AW6060</f>
        <v/>
      </c>
    </row>
    <row r="6061">
      <c r="A6061" t="inlineStr"/>
      <c r="B6061">
        <f>Assumptions!$B$60</f>
        <v/>
      </c>
      <c r="C6061" t="n">
        <v>0</v>
      </c>
      <c r="D6061" t="n">
        <v>1</v>
      </c>
      <c r="E6061" t="n">
        <v>0</v>
      </c>
      <c r="F6061" t="n">
        <v>0</v>
      </c>
      <c r="G6061" t="n">
        <v>1</v>
      </c>
      <c r="H6061" t="n">
        <v>0</v>
      </c>
      <c r="I6061" t="n">
        <v>1</v>
      </c>
      <c r="J6061">
        <f>(1-C6061)*Assumptions!$B$41+(1-D6061)*Assumptions!$B$33+(1-E6061)*Assumptions!$B$32+(1-F6061)*Assumptions!$B$31+(1-G6061)*Assumptions!$B$30+(1-H6061)*Assumptions!$B$29+(1-I6061)*Assumptions!$B$28</f>
        <v/>
      </c>
      <c r="K6061">
        <f>C6061*$J$757+D6061*$F$757+E6061*$G$757+F6061*Assumptions!$B$14+G6061*Assumptions!$B$13+H6061*Assumptions!$B$12+I6061*Assumptions!$B$11+$O$757+$S$757+Assumptions!$B$9</f>
        <v/>
      </c>
      <c r="L6061">
        <f>B6061-J6061</f>
        <v/>
      </c>
      <c r="M6061">
        <f>IF(K6061&gt;0,IF(L6061/K6061&gt;=Assumptions!$B$37,1,0),0)</f>
        <v/>
      </c>
      <c r="N6061">
        <f>K6061+M6061*Assumptions!$B$153</f>
        <v/>
      </c>
      <c r="O6061">
        <f>L6061+M6061*Assumptions!$B$153*Assumptions!$B$37</f>
        <v/>
      </c>
      <c r="P6061">
        <f>IF(N6061&gt;0,O6061/N6061,0)</f>
        <v/>
      </c>
      <c r="Q6061">
        <f>IF(C6061=1,P6061*$J$757,Assumptions!$B$41)</f>
        <v/>
      </c>
      <c r="R6061">
        <f>IF(D6061=1,P6061*$F$757,Assumptions!$B$33)</f>
        <v/>
      </c>
      <c r="S6061">
        <f>IF(E6061=1,P6061*$G$757,Assumptions!$B$32)</f>
        <v/>
      </c>
      <c r="T6061">
        <f>IF(F6061=1,P6061*Assumptions!$B$14,Assumptions!$B$31)</f>
        <v/>
      </c>
      <c r="U6061">
        <f>IF(G6061=1,P6061*Assumptions!$B$13,Assumptions!$B$30)</f>
        <v/>
      </c>
      <c r="V6061">
        <f>IF(H6061=1,P6061*Assumptions!$B$12,Assumptions!$B$29)</f>
        <v/>
      </c>
      <c r="W6061">
        <f>IF(I6061=1,P6061*Assumptions!$B$11,Assumptions!$B$28)</f>
        <v/>
      </c>
      <c r="X6061">
        <f>P6061*($O$757+$S$757)</f>
        <v/>
      </c>
      <c r="Y6061">
        <f>P6061*Assumptions!$B$9</f>
        <v/>
      </c>
      <c r="Z6061">
        <f>IF(M6061=1,(P6061-Assumptions!$B$37)*Assumptions!$B$153,0)</f>
        <v/>
      </c>
      <c r="AA6061">
        <f>Q6061+R6061+S6061+T6061+U6061+V6061+W6061+X6061+Y6061+Z6061</f>
        <v/>
      </c>
      <c r="AB6061" t="n">
        <v>37</v>
      </c>
      <c r="AC6061" t="n">
        <v>101</v>
      </c>
      <c r="AD6061" t="n">
        <v>5</v>
      </c>
      <c r="AE6061" t="n">
        <v>53</v>
      </c>
      <c r="AF6061" t="n">
        <v>45</v>
      </c>
      <c r="AG6061" t="n">
        <v>33</v>
      </c>
      <c r="AH6061" t="n">
        <v>39</v>
      </c>
      <c r="AI6061" t="n">
        <v>36</v>
      </c>
      <c r="AJ6061">
        <f>INDEX($Q$6024:$Q$6151,AC6061+1)</f>
        <v/>
      </c>
      <c r="AK6061">
        <f>INDEX($R$6024:$R$6151,AD6061+1)</f>
        <v/>
      </c>
      <c r="AL6061">
        <f>INDEX($S$6024:$S$6151,AE6061+1)</f>
        <v/>
      </c>
      <c r="AM6061">
        <f>INDEX($T$6024:$T$6151,AF6061+1)</f>
        <v/>
      </c>
      <c r="AN6061">
        <f>INDEX($U$6024:$U$6151,AG6061+1)</f>
        <v/>
      </c>
      <c r="AO6061">
        <f>INDEX($V$6024:$V$6151,AH6061+1)</f>
        <v/>
      </c>
      <c r="AP6061">
        <f>INDEX($W$6024:$W$6151,AI6061+1)</f>
        <v/>
      </c>
      <c r="AQ6061">
        <f>IF(Q6061&gt;=AJ6061-0.01,1,0)</f>
        <v/>
      </c>
      <c r="AR6061">
        <f>IF(R6061&gt;=AK6061-0.01,1,0)</f>
        <v/>
      </c>
      <c r="AS6061">
        <f>IF(S6061&gt;=AL6061-0.01,1,0)</f>
        <v/>
      </c>
      <c r="AT6061">
        <f>IF(T6061&gt;=AM6061-0.01,1,0)</f>
        <v/>
      </c>
      <c r="AU6061">
        <f>IF(U6061&gt;=AN6061-0.01,1,0)</f>
        <v/>
      </c>
      <c r="AV6061">
        <f>IF(V6061&gt;=AO6061-0.01,1,0)</f>
        <v/>
      </c>
      <c r="AW6061">
        <f>IF(W6061&gt;=AP6061-0.01,1,0)</f>
        <v/>
      </c>
      <c r="AX6061">
        <f>AQ6061*AR6061*AS6061*AT6061*AU6061*AV6061*AW6061</f>
        <v/>
      </c>
    </row>
    <row r="6062">
      <c r="A6062" t="inlineStr"/>
      <c r="B6062">
        <f>Assumptions!$B$60</f>
        <v/>
      </c>
      <c r="C6062" t="n">
        <v>0</v>
      </c>
      <c r="D6062" t="n">
        <v>1</v>
      </c>
      <c r="E6062" t="n">
        <v>0</v>
      </c>
      <c r="F6062" t="n">
        <v>0</v>
      </c>
      <c r="G6062" t="n">
        <v>1</v>
      </c>
      <c r="H6062" t="n">
        <v>1</v>
      </c>
      <c r="I6062" t="n">
        <v>0</v>
      </c>
      <c r="J6062">
        <f>(1-C6062)*Assumptions!$B$41+(1-D6062)*Assumptions!$B$33+(1-E6062)*Assumptions!$B$32+(1-F6062)*Assumptions!$B$31+(1-G6062)*Assumptions!$B$30+(1-H6062)*Assumptions!$B$29+(1-I6062)*Assumptions!$B$28</f>
        <v/>
      </c>
      <c r="K6062">
        <f>C6062*$J$757+D6062*$F$757+E6062*$G$757+F6062*Assumptions!$B$14+G6062*Assumptions!$B$13+H6062*Assumptions!$B$12+I6062*Assumptions!$B$11+$O$757+$S$757+Assumptions!$B$9</f>
        <v/>
      </c>
      <c r="L6062">
        <f>B6062-J6062</f>
        <v/>
      </c>
      <c r="M6062">
        <f>IF(K6062&gt;0,IF(L6062/K6062&gt;=Assumptions!$B$37,1,0),0)</f>
        <v/>
      </c>
      <c r="N6062">
        <f>K6062+M6062*Assumptions!$B$153</f>
        <v/>
      </c>
      <c r="O6062">
        <f>L6062+M6062*Assumptions!$B$153*Assumptions!$B$37</f>
        <v/>
      </c>
      <c r="P6062">
        <f>IF(N6062&gt;0,O6062/N6062,0)</f>
        <v/>
      </c>
      <c r="Q6062">
        <f>IF(C6062=1,P6062*$J$757,Assumptions!$B$41)</f>
        <v/>
      </c>
      <c r="R6062">
        <f>IF(D6062=1,P6062*$F$757,Assumptions!$B$33)</f>
        <v/>
      </c>
      <c r="S6062">
        <f>IF(E6062=1,P6062*$G$757,Assumptions!$B$32)</f>
        <v/>
      </c>
      <c r="T6062">
        <f>IF(F6062=1,P6062*Assumptions!$B$14,Assumptions!$B$31)</f>
        <v/>
      </c>
      <c r="U6062">
        <f>IF(G6062=1,P6062*Assumptions!$B$13,Assumptions!$B$30)</f>
        <v/>
      </c>
      <c r="V6062">
        <f>IF(H6062=1,P6062*Assumptions!$B$12,Assumptions!$B$29)</f>
        <v/>
      </c>
      <c r="W6062">
        <f>IF(I6062=1,P6062*Assumptions!$B$11,Assumptions!$B$28)</f>
        <v/>
      </c>
      <c r="X6062">
        <f>P6062*($O$757+$S$757)</f>
        <v/>
      </c>
      <c r="Y6062">
        <f>P6062*Assumptions!$B$9</f>
        <v/>
      </c>
      <c r="Z6062">
        <f>IF(M6062=1,(P6062-Assumptions!$B$37)*Assumptions!$B$153,0)</f>
        <v/>
      </c>
      <c r="AA6062">
        <f>Q6062+R6062+S6062+T6062+U6062+V6062+W6062+X6062+Y6062+Z6062</f>
        <v/>
      </c>
      <c r="AB6062" t="n">
        <v>38</v>
      </c>
      <c r="AC6062" t="n">
        <v>102</v>
      </c>
      <c r="AD6062" t="n">
        <v>6</v>
      </c>
      <c r="AE6062" t="n">
        <v>54</v>
      </c>
      <c r="AF6062" t="n">
        <v>46</v>
      </c>
      <c r="AG6062" t="n">
        <v>34</v>
      </c>
      <c r="AH6062" t="n">
        <v>36</v>
      </c>
      <c r="AI6062" t="n">
        <v>39</v>
      </c>
      <c r="AJ6062">
        <f>INDEX($Q$6024:$Q$6151,AC6062+1)</f>
        <v/>
      </c>
      <c r="AK6062">
        <f>INDEX($R$6024:$R$6151,AD6062+1)</f>
        <v/>
      </c>
      <c r="AL6062">
        <f>INDEX($S$6024:$S$6151,AE6062+1)</f>
        <v/>
      </c>
      <c r="AM6062">
        <f>INDEX($T$6024:$T$6151,AF6062+1)</f>
        <v/>
      </c>
      <c r="AN6062">
        <f>INDEX($U$6024:$U$6151,AG6062+1)</f>
        <v/>
      </c>
      <c r="AO6062">
        <f>INDEX($V$6024:$V$6151,AH6062+1)</f>
        <v/>
      </c>
      <c r="AP6062">
        <f>INDEX($W$6024:$W$6151,AI6062+1)</f>
        <v/>
      </c>
      <c r="AQ6062">
        <f>IF(Q6062&gt;=AJ6062-0.01,1,0)</f>
        <v/>
      </c>
      <c r="AR6062">
        <f>IF(R6062&gt;=AK6062-0.01,1,0)</f>
        <v/>
      </c>
      <c r="AS6062">
        <f>IF(S6062&gt;=AL6062-0.01,1,0)</f>
        <v/>
      </c>
      <c r="AT6062">
        <f>IF(T6062&gt;=AM6062-0.01,1,0)</f>
        <v/>
      </c>
      <c r="AU6062">
        <f>IF(U6062&gt;=AN6062-0.01,1,0)</f>
        <v/>
      </c>
      <c r="AV6062">
        <f>IF(V6062&gt;=AO6062-0.01,1,0)</f>
        <v/>
      </c>
      <c r="AW6062">
        <f>IF(W6062&gt;=AP6062-0.01,1,0)</f>
        <v/>
      </c>
      <c r="AX6062">
        <f>AQ6062*AR6062*AS6062*AT6062*AU6062*AV6062*AW6062</f>
        <v/>
      </c>
    </row>
    <row r="6063">
      <c r="A6063" t="inlineStr"/>
      <c r="B6063">
        <f>Assumptions!$B$60</f>
        <v/>
      </c>
      <c r="C6063" t="n">
        <v>0</v>
      </c>
      <c r="D6063" t="n">
        <v>1</v>
      </c>
      <c r="E6063" t="n">
        <v>0</v>
      </c>
      <c r="F6063" t="n">
        <v>0</v>
      </c>
      <c r="G6063" t="n">
        <v>1</v>
      </c>
      <c r="H6063" t="n">
        <v>1</v>
      </c>
      <c r="I6063" t="n">
        <v>1</v>
      </c>
      <c r="J6063">
        <f>(1-C6063)*Assumptions!$B$41+(1-D6063)*Assumptions!$B$33+(1-E6063)*Assumptions!$B$32+(1-F6063)*Assumptions!$B$31+(1-G6063)*Assumptions!$B$30+(1-H6063)*Assumptions!$B$29+(1-I6063)*Assumptions!$B$28</f>
        <v/>
      </c>
      <c r="K6063">
        <f>C6063*$J$757+D6063*$F$757+E6063*$G$757+F6063*Assumptions!$B$14+G6063*Assumptions!$B$13+H6063*Assumptions!$B$12+I6063*Assumptions!$B$11+$O$757+$S$757+Assumptions!$B$9</f>
        <v/>
      </c>
      <c r="L6063">
        <f>B6063-J6063</f>
        <v/>
      </c>
      <c r="M6063">
        <f>IF(K6063&gt;0,IF(L6063/K6063&gt;=Assumptions!$B$37,1,0),0)</f>
        <v/>
      </c>
      <c r="N6063">
        <f>K6063+M6063*Assumptions!$B$153</f>
        <v/>
      </c>
      <c r="O6063">
        <f>L6063+M6063*Assumptions!$B$153*Assumptions!$B$37</f>
        <v/>
      </c>
      <c r="P6063">
        <f>IF(N6063&gt;0,O6063/N6063,0)</f>
        <v/>
      </c>
      <c r="Q6063">
        <f>IF(C6063=1,P6063*$J$757,Assumptions!$B$41)</f>
        <v/>
      </c>
      <c r="R6063">
        <f>IF(D6063=1,P6063*$F$757,Assumptions!$B$33)</f>
        <v/>
      </c>
      <c r="S6063">
        <f>IF(E6063=1,P6063*$G$757,Assumptions!$B$32)</f>
        <v/>
      </c>
      <c r="T6063">
        <f>IF(F6063=1,P6063*Assumptions!$B$14,Assumptions!$B$31)</f>
        <v/>
      </c>
      <c r="U6063">
        <f>IF(G6063=1,P6063*Assumptions!$B$13,Assumptions!$B$30)</f>
        <v/>
      </c>
      <c r="V6063">
        <f>IF(H6063=1,P6063*Assumptions!$B$12,Assumptions!$B$29)</f>
        <v/>
      </c>
      <c r="W6063">
        <f>IF(I6063=1,P6063*Assumptions!$B$11,Assumptions!$B$28)</f>
        <v/>
      </c>
      <c r="X6063">
        <f>P6063*($O$757+$S$757)</f>
        <v/>
      </c>
      <c r="Y6063">
        <f>P6063*Assumptions!$B$9</f>
        <v/>
      </c>
      <c r="Z6063">
        <f>IF(M6063=1,(P6063-Assumptions!$B$37)*Assumptions!$B$153,0)</f>
        <v/>
      </c>
      <c r="AA6063">
        <f>Q6063+R6063+S6063+T6063+U6063+V6063+W6063+X6063+Y6063+Z6063</f>
        <v/>
      </c>
      <c r="AB6063" t="n">
        <v>39</v>
      </c>
      <c r="AC6063" t="n">
        <v>103</v>
      </c>
      <c r="AD6063" t="n">
        <v>7</v>
      </c>
      <c r="AE6063" t="n">
        <v>55</v>
      </c>
      <c r="AF6063" t="n">
        <v>47</v>
      </c>
      <c r="AG6063" t="n">
        <v>35</v>
      </c>
      <c r="AH6063" t="n">
        <v>37</v>
      </c>
      <c r="AI6063" t="n">
        <v>38</v>
      </c>
      <c r="AJ6063">
        <f>INDEX($Q$6024:$Q$6151,AC6063+1)</f>
        <v/>
      </c>
      <c r="AK6063">
        <f>INDEX($R$6024:$R$6151,AD6063+1)</f>
        <v/>
      </c>
      <c r="AL6063">
        <f>INDEX($S$6024:$S$6151,AE6063+1)</f>
        <v/>
      </c>
      <c r="AM6063">
        <f>INDEX($T$6024:$T$6151,AF6063+1)</f>
        <v/>
      </c>
      <c r="AN6063">
        <f>INDEX($U$6024:$U$6151,AG6063+1)</f>
        <v/>
      </c>
      <c r="AO6063">
        <f>INDEX($V$6024:$V$6151,AH6063+1)</f>
        <v/>
      </c>
      <c r="AP6063">
        <f>INDEX($W$6024:$W$6151,AI6063+1)</f>
        <v/>
      </c>
      <c r="AQ6063">
        <f>IF(Q6063&gt;=AJ6063-0.01,1,0)</f>
        <v/>
      </c>
      <c r="AR6063">
        <f>IF(R6063&gt;=AK6063-0.01,1,0)</f>
        <v/>
      </c>
      <c r="AS6063">
        <f>IF(S6063&gt;=AL6063-0.01,1,0)</f>
        <v/>
      </c>
      <c r="AT6063">
        <f>IF(T6063&gt;=AM6063-0.01,1,0)</f>
        <v/>
      </c>
      <c r="AU6063">
        <f>IF(U6063&gt;=AN6063-0.01,1,0)</f>
        <v/>
      </c>
      <c r="AV6063">
        <f>IF(V6063&gt;=AO6063-0.01,1,0)</f>
        <v/>
      </c>
      <c r="AW6063">
        <f>IF(W6063&gt;=AP6063-0.01,1,0)</f>
        <v/>
      </c>
      <c r="AX6063">
        <f>AQ6063*AR6063*AS6063*AT6063*AU6063*AV6063*AW6063</f>
        <v/>
      </c>
    </row>
    <row r="6064">
      <c r="A6064" t="inlineStr"/>
      <c r="B6064">
        <f>Assumptions!$B$60</f>
        <v/>
      </c>
      <c r="C6064" t="n">
        <v>0</v>
      </c>
      <c r="D6064" t="n">
        <v>1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>
        <f>(1-C6064)*Assumptions!$B$41+(1-D6064)*Assumptions!$B$33+(1-E6064)*Assumptions!$B$32+(1-F6064)*Assumptions!$B$31+(1-G6064)*Assumptions!$B$30+(1-H6064)*Assumptions!$B$29+(1-I6064)*Assumptions!$B$28</f>
        <v/>
      </c>
      <c r="K6064">
        <f>C6064*$J$757+D6064*$F$757+E6064*$G$757+F6064*Assumptions!$B$14+G6064*Assumptions!$B$13+H6064*Assumptions!$B$12+I6064*Assumptions!$B$11+$O$757+$S$757+Assumptions!$B$9</f>
        <v/>
      </c>
      <c r="L6064">
        <f>B6064-J6064</f>
        <v/>
      </c>
      <c r="M6064">
        <f>IF(K6064&gt;0,IF(L6064/K6064&gt;=Assumptions!$B$37,1,0),0)</f>
        <v/>
      </c>
      <c r="N6064">
        <f>K6064+M6064*Assumptions!$B$153</f>
        <v/>
      </c>
      <c r="O6064">
        <f>L6064+M6064*Assumptions!$B$153*Assumptions!$B$37</f>
        <v/>
      </c>
      <c r="P6064">
        <f>IF(N6064&gt;0,O6064/N6064,0)</f>
        <v/>
      </c>
      <c r="Q6064">
        <f>IF(C6064=1,P6064*$J$757,Assumptions!$B$41)</f>
        <v/>
      </c>
      <c r="R6064">
        <f>IF(D6064=1,P6064*$F$757,Assumptions!$B$33)</f>
        <v/>
      </c>
      <c r="S6064">
        <f>IF(E6064=1,P6064*$G$757,Assumptions!$B$32)</f>
        <v/>
      </c>
      <c r="T6064">
        <f>IF(F6064=1,P6064*Assumptions!$B$14,Assumptions!$B$31)</f>
        <v/>
      </c>
      <c r="U6064">
        <f>IF(G6064=1,P6064*Assumptions!$B$13,Assumptions!$B$30)</f>
        <v/>
      </c>
      <c r="V6064">
        <f>IF(H6064=1,P6064*Assumptions!$B$12,Assumptions!$B$29)</f>
        <v/>
      </c>
      <c r="W6064">
        <f>IF(I6064=1,P6064*Assumptions!$B$11,Assumptions!$B$28)</f>
        <v/>
      </c>
      <c r="X6064">
        <f>P6064*($O$757+$S$757)</f>
        <v/>
      </c>
      <c r="Y6064">
        <f>P6064*Assumptions!$B$9</f>
        <v/>
      </c>
      <c r="Z6064">
        <f>IF(M6064=1,(P6064-Assumptions!$B$37)*Assumptions!$B$153,0)</f>
        <v/>
      </c>
      <c r="AA6064">
        <f>Q6064+R6064+S6064+T6064+U6064+V6064+W6064+X6064+Y6064+Z6064</f>
        <v/>
      </c>
      <c r="AB6064" t="n">
        <v>40</v>
      </c>
      <c r="AC6064" t="n">
        <v>104</v>
      </c>
      <c r="AD6064" t="n">
        <v>8</v>
      </c>
      <c r="AE6064" t="n">
        <v>56</v>
      </c>
      <c r="AF6064" t="n">
        <v>32</v>
      </c>
      <c r="AG6064" t="n">
        <v>44</v>
      </c>
      <c r="AH6064" t="n">
        <v>42</v>
      </c>
      <c r="AI6064" t="n">
        <v>41</v>
      </c>
      <c r="AJ6064">
        <f>INDEX($Q$6024:$Q$6151,AC6064+1)</f>
        <v/>
      </c>
      <c r="AK6064">
        <f>INDEX($R$6024:$R$6151,AD6064+1)</f>
        <v/>
      </c>
      <c r="AL6064">
        <f>INDEX($S$6024:$S$6151,AE6064+1)</f>
        <v/>
      </c>
      <c r="AM6064">
        <f>INDEX($T$6024:$T$6151,AF6064+1)</f>
        <v/>
      </c>
      <c r="AN6064">
        <f>INDEX($U$6024:$U$6151,AG6064+1)</f>
        <v/>
      </c>
      <c r="AO6064">
        <f>INDEX($V$6024:$V$6151,AH6064+1)</f>
        <v/>
      </c>
      <c r="AP6064">
        <f>INDEX($W$6024:$W$6151,AI6064+1)</f>
        <v/>
      </c>
      <c r="AQ6064">
        <f>IF(Q6064&gt;=AJ6064-0.01,1,0)</f>
        <v/>
      </c>
      <c r="AR6064">
        <f>IF(R6064&gt;=AK6064-0.01,1,0)</f>
        <v/>
      </c>
      <c r="AS6064">
        <f>IF(S6064&gt;=AL6064-0.01,1,0)</f>
        <v/>
      </c>
      <c r="AT6064">
        <f>IF(T6064&gt;=AM6064-0.01,1,0)</f>
        <v/>
      </c>
      <c r="AU6064">
        <f>IF(U6064&gt;=AN6064-0.01,1,0)</f>
        <v/>
      </c>
      <c r="AV6064">
        <f>IF(V6064&gt;=AO6064-0.01,1,0)</f>
        <v/>
      </c>
      <c r="AW6064">
        <f>IF(W6064&gt;=AP6064-0.01,1,0)</f>
        <v/>
      </c>
      <c r="AX6064">
        <f>AQ6064*AR6064*AS6064*AT6064*AU6064*AV6064*AW6064</f>
        <v/>
      </c>
    </row>
    <row r="6065">
      <c r="A6065" t="inlineStr"/>
      <c r="B6065">
        <f>Assumptions!$B$60</f>
        <v/>
      </c>
      <c r="C6065" t="n">
        <v>0</v>
      </c>
      <c r="D6065" t="n">
        <v>1</v>
      </c>
      <c r="E6065" t="n">
        <v>0</v>
      </c>
      <c r="F6065" t="n">
        <v>1</v>
      </c>
      <c r="G6065" t="n">
        <v>0</v>
      </c>
      <c r="H6065" t="n">
        <v>0</v>
      </c>
      <c r="I6065" t="n">
        <v>1</v>
      </c>
      <c r="J6065">
        <f>(1-C6065)*Assumptions!$B$41+(1-D6065)*Assumptions!$B$33+(1-E6065)*Assumptions!$B$32+(1-F6065)*Assumptions!$B$31+(1-G6065)*Assumptions!$B$30+(1-H6065)*Assumptions!$B$29+(1-I6065)*Assumptions!$B$28</f>
        <v/>
      </c>
      <c r="K6065">
        <f>C6065*$J$757+D6065*$F$757+E6065*$G$757+F6065*Assumptions!$B$14+G6065*Assumptions!$B$13+H6065*Assumptions!$B$12+I6065*Assumptions!$B$11+$O$757+$S$757+Assumptions!$B$9</f>
        <v/>
      </c>
      <c r="L6065">
        <f>B6065-J6065</f>
        <v/>
      </c>
      <c r="M6065">
        <f>IF(K6065&gt;0,IF(L6065/K6065&gt;=Assumptions!$B$37,1,0),0)</f>
        <v/>
      </c>
      <c r="N6065">
        <f>K6065+M6065*Assumptions!$B$153</f>
        <v/>
      </c>
      <c r="O6065">
        <f>L6065+M6065*Assumptions!$B$153*Assumptions!$B$37</f>
        <v/>
      </c>
      <c r="P6065">
        <f>IF(N6065&gt;0,O6065/N6065,0)</f>
        <v/>
      </c>
      <c r="Q6065">
        <f>IF(C6065=1,P6065*$J$757,Assumptions!$B$41)</f>
        <v/>
      </c>
      <c r="R6065">
        <f>IF(D6065=1,P6065*$F$757,Assumptions!$B$33)</f>
        <v/>
      </c>
      <c r="S6065">
        <f>IF(E6065=1,P6065*$G$757,Assumptions!$B$32)</f>
        <v/>
      </c>
      <c r="T6065">
        <f>IF(F6065=1,P6065*Assumptions!$B$14,Assumptions!$B$31)</f>
        <v/>
      </c>
      <c r="U6065">
        <f>IF(G6065=1,P6065*Assumptions!$B$13,Assumptions!$B$30)</f>
        <v/>
      </c>
      <c r="V6065">
        <f>IF(H6065=1,P6065*Assumptions!$B$12,Assumptions!$B$29)</f>
        <v/>
      </c>
      <c r="W6065">
        <f>IF(I6065=1,P6065*Assumptions!$B$11,Assumptions!$B$28)</f>
        <v/>
      </c>
      <c r="X6065">
        <f>P6065*($O$757+$S$757)</f>
        <v/>
      </c>
      <c r="Y6065">
        <f>P6065*Assumptions!$B$9</f>
        <v/>
      </c>
      <c r="Z6065">
        <f>IF(M6065=1,(P6065-Assumptions!$B$37)*Assumptions!$B$153,0)</f>
        <v/>
      </c>
      <c r="AA6065">
        <f>Q6065+R6065+S6065+T6065+U6065+V6065+W6065+X6065+Y6065+Z6065</f>
        <v/>
      </c>
      <c r="AB6065" t="n">
        <v>41</v>
      </c>
      <c r="AC6065" t="n">
        <v>105</v>
      </c>
      <c r="AD6065" t="n">
        <v>9</v>
      </c>
      <c r="AE6065" t="n">
        <v>57</v>
      </c>
      <c r="AF6065" t="n">
        <v>33</v>
      </c>
      <c r="AG6065" t="n">
        <v>45</v>
      </c>
      <c r="AH6065" t="n">
        <v>43</v>
      </c>
      <c r="AI6065" t="n">
        <v>40</v>
      </c>
      <c r="AJ6065">
        <f>INDEX($Q$6024:$Q$6151,AC6065+1)</f>
        <v/>
      </c>
      <c r="AK6065">
        <f>INDEX($R$6024:$R$6151,AD6065+1)</f>
        <v/>
      </c>
      <c r="AL6065">
        <f>INDEX($S$6024:$S$6151,AE6065+1)</f>
        <v/>
      </c>
      <c r="AM6065">
        <f>INDEX($T$6024:$T$6151,AF6065+1)</f>
        <v/>
      </c>
      <c r="AN6065">
        <f>INDEX($U$6024:$U$6151,AG6065+1)</f>
        <v/>
      </c>
      <c r="AO6065">
        <f>INDEX($V$6024:$V$6151,AH6065+1)</f>
        <v/>
      </c>
      <c r="AP6065">
        <f>INDEX($W$6024:$W$6151,AI6065+1)</f>
        <v/>
      </c>
      <c r="AQ6065">
        <f>IF(Q6065&gt;=AJ6065-0.01,1,0)</f>
        <v/>
      </c>
      <c r="AR6065">
        <f>IF(R6065&gt;=AK6065-0.01,1,0)</f>
        <v/>
      </c>
      <c r="AS6065">
        <f>IF(S6065&gt;=AL6065-0.01,1,0)</f>
        <v/>
      </c>
      <c r="AT6065">
        <f>IF(T6065&gt;=AM6065-0.01,1,0)</f>
        <v/>
      </c>
      <c r="AU6065">
        <f>IF(U6065&gt;=AN6065-0.01,1,0)</f>
        <v/>
      </c>
      <c r="AV6065">
        <f>IF(V6065&gt;=AO6065-0.01,1,0)</f>
        <v/>
      </c>
      <c r="AW6065">
        <f>IF(W6065&gt;=AP6065-0.01,1,0)</f>
        <v/>
      </c>
      <c r="AX6065">
        <f>AQ6065*AR6065*AS6065*AT6065*AU6065*AV6065*AW6065</f>
        <v/>
      </c>
    </row>
    <row r="6066">
      <c r="A6066" t="inlineStr"/>
      <c r="B6066">
        <f>Assumptions!$B$60</f>
        <v/>
      </c>
      <c r="C6066" t="n">
        <v>0</v>
      </c>
      <c r="D6066" t="n">
        <v>1</v>
      </c>
      <c r="E6066" t="n">
        <v>0</v>
      </c>
      <c r="F6066" t="n">
        <v>1</v>
      </c>
      <c r="G6066" t="n">
        <v>0</v>
      </c>
      <c r="H6066" t="n">
        <v>1</v>
      </c>
      <c r="I6066" t="n">
        <v>0</v>
      </c>
      <c r="J6066">
        <f>(1-C6066)*Assumptions!$B$41+(1-D6066)*Assumptions!$B$33+(1-E6066)*Assumptions!$B$32+(1-F6066)*Assumptions!$B$31+(1-G6066)*Assumptions!$B$30+(1-H6066)*Assumptions!$B$29+(1-I6066)*Assumptions!$B$28</f>
        <v/>
      </c>
      <c r="K6066">
        <f>C6066*$J$757+D6066*$F$757+E6066*$G$757+F6066*Assumptions!$B$14+G6066*Assumptions!$B$13+H6066*Assumptions!$B$12+I6066*Assumptions!$B$11+$O$757+$S$757+Assumptions!$B$9</f>
        <v/>
      </c>
      <c r="L6066">
        <f>B6066-J6066</f>
        <v/>
      </c>
      <c r="M6066">
        <f>IF(K6066&gt;0,IF(L6066/K6066&gt;=Assumptions!$B$37,1,0),0)</f>
        <v/>
      </c>
      <c r="N6066">
        <f>K6066+M6066*Assumptions!$B$153</f>
        <v/>
      </c>
      <c r="O6066">
        <f>L6066+M6066*Assumptions!$B$153*Assumptions!$B$37</f>
        <v/>
      </c>
      <c r="P6066">
        <f>IF(N6066&gt;0,O6066/N6066,0)</f>
        <v/>
      </c>
      <c r="Q6066">
        <f>IF(C6066=1,P6066*$J$757,Assumptions!$B$41)</f>
        <v/>
      </c>
      <c r="R6066">
        <f>IF(D6066=1,P6066*$F$757,Assumptions!$B$33)</f>
        <v/>
      </c>
      <c r="S6066">
        <f>IF(E6066=1,P6066*$G$757,Assumptions!$B$32)</f>
        <v/>
      </c>
      <c r="T6066">
        <f>IF(F6066=1,P6066*Assumptions!$B$14,Assumptions!$B$31)</f>
        <v/>
      </c>
      <c r="U6066">
        <f>IF(G6066=1,P6066*Assumptions!$B$13,Assumptions!$B$30)</f>
        <v/>
      </c>
      <c r="V6066">
        <f>IF(H6066=1,P6066*Assumptions!$B$12,Assumptions!$B$29)</f>
        <v/>
      </c>
      <c r="W6066">
        <f>IF(I6066=1,P6066*Assumptions!$B$11,Assumptions!$B$28)</f>
        <v/>
      </c>
      <c r="X6066">
        <f>P6066*($O$757+$S$757)</f>
        <v/>
      </c>
      <c r="Y6066">
        <f>P6066*Assumptions!$B$9</f>
        <v/>
      </c>
      <c r="Z6066">
        <f>IF(M6066=1,(P6066-Assumptions!$B$37)*Assumptions!$B$153,0)</f>
        <v/>
      </c>
      <c r="AA6066">
        <f>Q6066+R6066+S6066+T6066+U6066+V6066+W6066+X6066+Y6066+Z6066</f>
        <v/>
      </c>
      <c r="AB6066" t="n">
        <v>42</v>
      </c>
      <c r="AC6066" t="n">
        <v>106</v>
      </c>
      <c r="AD6066" t="n">
        <v>10</v>
      </c>
      <c r="AE6066" t="n">
        <v>58</v>
      </c>
      <c r="AF6066" t="n">
        <v>34</v>
      </c>
      <c r="AG6066" t="n">
        <v>46</v>
      </c>
      <c r="AH6066" t="n">
        <v>40</v>
      </c>
      <c r="AI6066" t="n">
        <v>43</v>
      </c>
      <c r="AJ6066">
        <f>INDEX($Q$6024:$Q$6151,AC6066+1)</f>
        <v/>
      </c>
      <c r="AK6066">
        <f>INDEX($R$6024:$R$6151,AD6066+1)</f>
        <v/>
      </c>
      <c r="AL6066">
        <f>INDEX($S$6024:$S$6151,AE6066+1)</f>
        <v/>
      </c>
      <c r="AM6066">
        <f>INDEX($T$6024:$T$6151,AF6066+1)</f>
        <v/>
      </c>
      <c r="AN6066">
        <f>INDEX($U$6024:$U$6151,AG6066+1)</f>
        <v/>
      </c>
      <c r="AO6066">
        <f>INDEX($V$6024:$V$6151,AH6066+1)</f>
        <v/>
      </c>
      <c r="AP6066">
        <f>INDEX($W$6024:$W$6151,AI6066+1)</f>
        <v/>
      </c>
      <c r="AQ6066">
        <f>IF(Q6066&gt;=AJ6066-0.01,1,0)</f>
        <v/>
      </c>
      <c r="AR6066">
        <f>IF(R6066&gt;=AK6066-0.01,1,0)</f>
        <v/>
      </c>
      <c r="AS6066">
        <f>IF(S6066&gt;=AL6066-0.01,1,0)</f>
        <v/>
      </c>
      <c r="AT6066">
        <f>IF(T6066&gt;=AM6066-0.01,1,0)</f>
        <v/>
      </c>
      <c r="AU6066">
        <f>IF(U6066&gt;=AN6066-0.01,1,0)</f>
        <v/>
      </c>
      <c r="AV6066">
        <f>IF(V6066&gt;=AO6066-0.01,1,0)</f>
        <v/>
      </c>
      <c r="AW6066">
        <f>IF(W6066&gt;=AP6066-0.01,1,0)</f>
        <v/>
      </c>
      <c r="AX6066">
        <f>AQ6066*AR6066*AS6066*AT6066*AU6066*AV6066*AW6066</f>
        <v/>
      </c>
    </row>
    <row r="6067">
      <c r="A6067" t="inlineStr"/>
      <c r="B6067">
        <f>Assumptions!$B$60</f>
        <v/>
      </c>
      <c r="C6067" t="n">
        <v>0</v>
      </c>
      <c r="D6067" t="n">
        <v>1</v>
      </c>
      <c r="E6067" t="n">
        <v>0</v>
      </c>
      <c r="F6067" t="n">
        <v>1</v>
      </c>
      <c r="G6067" t="n">
        <v>0</v>
      </c>
      <c r="H6067" t="n">
        <v>1</v>
      </c>
      <c r="I6067" t="n">
        <v>1</v>
      </c>
      <c r="J6067">
        <f>(1-C6067)*Assumptions!$B$41+(1-D6067)*Assumptions!$B$33+(1-E6067)*Assumptions!$B$32+(1-F6067)*Assumptions!$B$31+(1-G6067)*Assumptions!$B$30+(1-H6067)*Assumptions!$B$29+(1-I6067)*Assumptions!$B$28</f>
        <v/>
      </c>
      <c r="K6067">
        <f>C6067*$J$757+D6067*$F$757+E6067*$G$757+F6067*Assumptions!$B$14+G6067*Assumptions!$B$13+H6067*Assumptions!$B$12+I6067*Assumptions!$B$11+$O$757+$S$757+Assumptions!$B$9</f>
        <v/>
      </c>
      <c r="L6067">
        <f>B6067-J6067</f>
        <v/>
      </c>
      <c r="M6067">
        <f>IF(K6067&gt;0,IF(L6067/K6067&gt;=Assumptions!$B$37,1,0),0)</f>
        <v/>
      </c>
      <c r="N6067">
        <f>K6067+M6067*Assumptions!$B$153</f>
        <v/>
      </c>
      <c r="O6067">
        <f>L6067+M6067*Assumptions!$B$153*Assumptions!$B$37</f>
        <v/>
      </c>
      <c r="P6067">
        <f>IF(N6067&gt;0,O6067/N6067,0)</f>
        <v/>
      </c>
      <c r="Q6067">
        <f>IF(C6067=1,P6067*$J$757,Assumptions!$B$41)</f>
        <v/>
      </c>
      <c r="R6067">
        <f>IF(D6067=1,P6067*$F$757,Assumptions!$B$33)</f>
        <v/>
      </c>
      <c r="S6067">
        <f>IF(E6067=1,P6067*$G$757,Assumptions!$B$32)</f>
        <v/>
      </c>
      <c r="T6067">
        <f>IF(F6067=1,P6067*Assumptions!$B$14,Assumptions!$B$31)</f>
        <v/>
      </c>
      <c r="U6067">
        <f>IF(G6067=1,P6067*Assumptions!$B$13,Assumptions!$B$30)</f>
        <v/>
      </c>
      <c r="V6067">
        <f>IF(H6067=1,P6067*Assumptions!$B$12,Assumptions!$B$29)</f>
        <v/>
      </c>
      <c r="W6067">
        <f>IF(I6067=1,P6067*Assumptions!$B$11,Assumptions!$B$28)</f>
        <v/>
      </c>
      <c r="X6067">
        <f>P6067*($O$757+$S$757)</f>
        <v/>
      </c>
      <c r="Y6067">
        <f>P6067*Assumptions!$B$9</f>
        <v/>
      </c>
      <c r="Z6067">
        <f>IF(M6067=1,(P6067-Assumptions!$B$37)*Assumptions!$B$153,0)</f>
        <v/>
      </c>
      <c r="AA6067">
        <f>Q6067+R6067+S6067+T6067+U6067+V6067+W6067+X6067+Y6067+Z6067</f>
        <v/>
      </c>
      <c r="AB6067" t="n">
        <v>43</v>
      </c>
      <c r="AC6067" t="n">
        <v>107</v>
      </c>
      <c r="AD6067" t="n">
        <v>11</v>
      </c>
      <c r="AE6067" t="n">
        <v>59</v>
      </c>
      <c r="AF6067" t="n">
        <v>35</v>
      </c>
      <c r="AG6067" t="n">
        <v>47</v>
      </c>
      <c r="AH6067" t="n">
        <v>41</v>
      </c>
      <c r="AI6067" t="n">
        <v>42</v>
      </c>
      <c r="AJ6067">
        <f>INDEX($Q$6024:$Q$6151,AC6067+1)</f>
        <v/>
      </c>
      <c r="AK6067">
        <f>INDEX($R$6024:$R$6151,AD6067+1)</f>
        <v/>
      </c>
      <c r="AL6067">
        <f>INDEX($S$6024:$S$6151,AE6067+1)</f>
        <v/>
      </c>
      <c r="AM6067">
        <f>INDEX($T$6024:$T$6151,AF6067+1)</f>
        <v/>
      </c>
      <c r="AN6067">
        <f>INDEX($U$6024:$U$6151,AG6067+1)</f>
        <v/>
      </c>
      <c r="AO6067">
        <f>INDEX($V$6024:$V$6151,AH6067+1)</f>
        <v/>
      </c>
      <c r="AP6067">
        <f>INDEX($W$6024:$W$6151,AI6067+1)</f>
        <v/>
      </c>
      <c r="AQ6067">
        <f>IF(Q6067&gt;=AJ6067-0.01,1,0)</f>
        <v/>
      </c>
      <c r="AR6067">
        <f>IF(R6067&gt;=AK6067-0.01,1,0)</f>
        <v/>
      </c>
      <c r="AS6067">
        <f>IF(S6067&gt;=AL6067-0.01,1,0)</f>
        <v/>
      </c>
      <c r="AT6067">
        <f>IF(T6067&gt;=AM6067-0.01,1,0)</f>
        <v/>
      </c>
      <c r="AU6067">
        <f>IF(U6067&gt;=AN6067-0.01,1,0)</f>
        <v/>
      </c>
      <c r="AV6067">
        <f>IF(V6067&gt;=AO6067-0.01,1,0)</f>
        <v/>
      </c>
      <c r="AW6067">
        <f>IF(W6067&gt;=AP6067-0.01,1,0)</f>
        <v/>
      </c>
      <c r="AX6067">
        <f>AQ6067*AR6067*AS6067*AT6067*AU6067*AV6067*AW6067</f>
        <v/>
      </c>
    </row>
    <row r="6068">
      <c r="A6068" t="inlineStr"/>
      <c r="B6068">
        <f>Assumptions!$B$60</f>
        <v/>
      </c>
      <c r="C6068" t="n">
        <v>0</v>
      </c>
      <c r="D6068" t="n">
        <v>1</v>
      </c>
      <c r="E6068" t="n">
        <v>0</v>
      </c>
      <c r="F6068" t="n">
        <v>1</v>
      </c>
      <c r="G6068" t="n">
        <v>1</v>
      </c>
      <c r="H6068" t="n">
        <v>0</v>
      </c>
      <c r="I6068" t="n">
        <v>0</v>
      </c>
      <c r="J6068">
        <f>(1-C6068)*Assumptions!$B$41+(1-D6068)*Assumptions!$B$33+(1-E6068)*Assumptions!$B$32+(1-F6068)*Assumptions!$B$31+(1-G6068)*Assumptions!$B$30+(1-H6068)*Assumptions!$B$29+(1-I6068)*Assumptions!$B$28</f>
        <v/>
      </c>
      <c r="K6068">
        <f>C6068*$J$757+D6068*$F$757+E6068*$G$757+F6068*Assumptions!$B$14+G6068*Assumptions!$B$13+H6068*Assumptions!$B$12+I6068*Assumptions!$B$11+$O$757+$S$757+Assumptions!$B$9</f>
        <v/>
      </c>
      <c r="L6068">
        <f>B6068-J6068</f>
        <v/>
      </c>
      <c r="M6068">
        <f>IF(K6068&gt;0,IF(L6068/K6068&gt;=Assumptions!$B$37,1,0),0)</f>
        <v/>
      </c>
      <c r="N6068">
        <f>K6068+M6068*Assumptions!$B$153</f>
        <v/>
      </c>
      <c r="O6068">
        <f>L6068+M6068*Assumptions!$B$153*Assumptions!$B$37</f>
        <v/>
      </c>
      <c r="P6068">
        <f>IF(N6068&gt;0,O6068/N6068,0)</f>
        <v/>
      </c>
      <c r="Q6068">
        <f>IF(C6068=1,P6068*$J$757,Assumptions!$B$41)</f>
        <v/>
      </c>
      <c r="R6068">
        <f>IF(D6068=1,P6068*$F$757,Assumptions!$B$33)</f>
        <v/>
      </c>
      <c r="S6068">
        <f>IF(E6068=1,P6068*$G$757,Assumptions!$B$32)</f>
        <v/>
      </c>
      <c r="T6068">
        <f>IF(F6068=1,P6068*Assumptions!$B$14,Assumptions!$B$31)</f>
        <v/>
      </c>
      <c r="U6068">
        <f>IF(G6068=1,P6068*Assumptions!$B$13,Assumptions!$B$30)</f>
        <v/>
      </c>
      <c r="V6068">
        <f>IF(H6068=1,P6068*Assumptions!$B$12,Assumptions!$B$29)</f>
        <v/>
      </c>
      <c r="W6068">
        <f>IF(I6068=1,P6068*Assumptions!$B$11,Assumptions!$B$28)</f>
        <v/>
      </c>
      <c r="X6068">
        <f>P6068*($O$757+$S$757)</f>
        <v/>
      </c>
      <c r="Y6068">
        <f>P6068*Assumptions!$B$9</f>
        <v/>
      </c>
      <c r="Z6068">
        <f>IF(M6068=1,(P6068-Assumptions!$B$37)*Assumptions!$B$153,0)</f>
        <v/>
      </c>
      <c r="AA6068">
        <f>Q6068+R6068+S6068+T6068+U6068+V6068+W6068+X6068+Y6068+Z6068</f>
        <v/>
      </c>
      <c r="AB6068" t="n">
        <v>44</v>
      </c>
      <c r="AC6068" t="n">
        <v>108</v>
      </c>
      <c r="AD6068" t="n">
        <v>12</v>
      </c>
      <c r="AE6068" t="n">
        <v>60</v>
      </c>
      <c r="AF6068" t="n">
        <v>36</v>
      </c>
      <c r="AG6068" t="n">
        <v>40</v>
      </c>
      <c r="AH6068" t="n">
        <v>46</v>
      </c>
      <c r="AI6068" t="n">
        <v>45</v>
      </c>
      <c r="AJ6068">
        <f>INDEX($Q$6024:$Q$6151,AC6068+1)</f>
        <v/>
      </c>
      <c r="AK6068">
        <f>INDEX($R$6024:$R$6151,AD6068+1)</f>
        <v/>
      </c>
      <c r="AL6068">
        <f>INDEX($S$6024:$S$6151,AE6068+1)</f>
        <v/>
      </c>
      <c r="AM6068">
        <f>INDEX($T$6024:$T$6151,AF6068+1)</f>
        <v/>
      </c>
      <c r="AN6068">
        <f>INDEX($U$6024:$U$6151,AG6068+1)</f>
        <v/>
      </c>
      <c r="AO6068">
        <f>INDEX($V$6024:$V$6151,AH6068+1)</f>
        <v/>
      </c>
      <c r="AP6068">
        <f>INDEX($W$6024:$W$6151,AI6068+1)</f>
        <v/>
      </c>
      <c r="AQ6068">
        <f>IF(Q6068&gt;=AJ6068-0.01,1,0)</f>
        <v/>
      </c>
      <c r="AR6068">
        <f>IF(R6068&gt;=AK6068-0.01,1,0)</f>
        <v/>
      </c>
      <c r="AS6068">
        <f>IF(S6068&gt;=AL6068-0.01,1,0)</f>
        <v/>
      </c>
      <c r="AT6068">
        <f>IF(T6068&gt;=AM6068-0.01,1,0)</f>
        <v/>
      </c>
      <c r="AU6068">
        <f>IF(U6068&gt;=AN6068-0.01,1,0)</f>
        <v/>
      </c>
      <c r="AV6068">
        <f>IF(V6068&gt;=AO6068-0.01,1,0)</f>
        <v/>
      </c>
      <c r="AW6068">
        <f>IF(W6068&gt;=AP6068-0.01,1,0)</f>
        <v/>
      </c>
      <c r="AX6068">
        <f>AQ6068*AR6068*AS6068*AT6068*AU6068*AV6068*AW6068</f>
        <v/>
      </c>
    </row>
    <row r="6069">
      <c r="A6069" t="inlineStr"/>
      <c r="B6069">
        <f>Assumptions!$B$60</f>
        <v/>
      </c>
      <c r="C6069" t="n">
        <v>0</v>
      </c>
      <c r="D6069" t="n">
        <v>1</v>
      </c>
      <c r="E6069" t="n">
        <v>0</v>
      </c>
      <c r="F6069" t="n">
        <v>1</v>
      </c>
      <c r="G6069" t="n">
        <v>1</v>
      </c>
      <c r="H6069" t="n">
        <v>0</v>
      </c>
      <c r="I6069" t="n">
        <v>1</v>
      </c>
      <c r="J6069">
        <f>(1-C6069)*Assumptions!$B$41+(1-D6069)*Assumptions!$B$33+(1-E6069)*Assumptions!$B$32+(1-F6069)*Assumptions!$B$31+(1-G6069)*Assumptions!$B$30+(1-H6069)*Assumptions!$B$29+(1-I6069)*Assumptions!$B$28</f>
        <v/>
      </c>
      <c r="K6069">
        <f>C6069*$J$757+D6069*$F$757+E6069*$G$757+F6069*Assumptions!$B$14+G6069*Assumptions!$B$13+H6069*Assumptions!$B$12+I6069*Assumptions!$B$11+$O$757+$S$757+Assumptions!$B$9</f>
        <v/>
      </c>
      <c r="L6069">
        <f>B6069-J6069</f>
        <v/>
      </c>
      <c r="M6069">
        <f>IF(K6069&gt;0,IF(L6069/K6069&gt;=Assumptions!$B$37,1,0),0)</f>
        <v/>
      </c>
      <c r="N6069">
        <f>K6069+M6069*Assumptions!$B$153</f>
        <v/>
      </c>
      <c r="O6069">
        <f>L6069+M6069*Assumptions!$B$153*Assumptions!$B$37</f>
        <v/>
      </c>
      <c r="P6069">
        <f>IF(N6069&gt;0,O6069/N6069,0)</f>
        <v/>
      </c>
      <c r="Q6069">
        <f>IF(C6069=1,P6069*$J$757,Assumptions!$B$41)</f>
        <v/>
      </c>
      <c r="R6069">
        <f>IF(D6069=1,P6069*$F$757,Assumptions!$B$33)</f>
        <v/>
      </c>
      <c r="S6069">
        <f>IF(E6069=1,P6069*$G$757,Assumptions!$B$32)</f>
        <v/>
      </c>
      <c r="T6069">
        <f>IF(F6069=1,P6069*Assumptions!$B$14,Assumptions!$B$31)</f>
        <v/>
      </c>
      <c r="U6069">
        <f>IF(G6069=1,P6069*Assumptions!$B$13,Assumptions!$B$30)</f>
        <v/>
      </c>
      <c r="V6069">
        <f>IF(H6069=1,P6069*Assumptions!$B$12,Assumptions!$B$29)</f>
        <v/>
      </c>
      <c r="W6069">
        <f>IF(I6069=1,P6069*Assumptions!$B$11,Assumptions!$B$28)</f>
        <v/>
      </c>
      <c r="X6069">
        <f>P6069*($O$757+$S$757)</f>
        <v/>
      </c>
      <c r="Y6069">
        <f>P6069*Assumptions!$B$9</f>
        <v/>
      </c>
      <c r="Z6069">
        <f>IF(M6069=1,(P6069-Assumptions!$B$37)*Assumptions!$B$153,0)</f>
        <v/>
      </c>
      <c r="AA6069">
        <f>Q6069+R6069+S6069+T6069+U6069+V6069+W6069+X6069+Y6069+Z6069</f>
        <v/>
      </c>
      <c r="AB6069" t="n">
        <v>45</v>
      </c>
      <c r="AC6069" t="n">
        <v>109</v>
      </c>
      <c r="AD6069" t="n">
        <v>13</v>
      </c>
      <c r="AE6069" t="n">
        <v>61</v>
      </c>
      <c r="AF6069" t="n">
        <v>37</v>
      </c>
      <c r="AG6069" t="n">
        <v>41</v>
      </c>
      <c r="AH6069" t="n">
        <v>47</v>
      </c>
      <c r="AI6069" t="n">
        <v>44</v>
      </c>
      <c r="AJ6069">
        <f>INDEX($Q$6024:$Q$6151,AC6069+1)</f>
        <v/>
      </c>
      <c r="AK6069">
        <f>INDEX($R$6024:$R$6151,AD6069+1)</f>
        <v/>
      </c>
      <c r="AL6069">
        <f>INDEX($S$6024:$S$6151,AE6069+1)</f>
        <v/>
      </c>
      <c r="AM6069">
        <f>INDEX($T$6024:$T$6151,AF6069+1)</f>
        <v/>
      </c>
      <c r="AN6069">
        <f>INDEX($U$6024:$U$6151,AG6069+1)</f>
        <v/>
      </c>
      <c r="AO6069">
        <f>INDEX($V$6024:$V$6151,AH6069+1)</f>
        <v/>
      </c>
      <c r="AP6069">
        <f>INDEX($W$6024:$W$6151,AI6069+1)</f>
        <v/>
      </c>
      <c r="AQ6069">
        <f>IF(Q6069&gt;=AJ6069-0.01,1,0)</f>
        <v/>
      </c>
      <c r="AR6069">
        <f>IF(R6069&gt;=AK6069-0.01,1,0)</f>
        <v/>
      </c>
      <c r="AS6069">
        <f>IF(S6069&gt;=AL6069-0.01,1,0)</f>
        <v/>
      </c>
      <c r="AT6069">
        <f>IF(T6069&gt;=AM6069-0.01,1,0)</f>
        <v/>
      </c>
      <c r="AU6069">
        <f>IF(U6069&gt;=AN6069-0.01,1,0)</f>
        <v/>
      </c>
      <c r="AV6069">
        <f>IF(V6069&gt;=AO6069-0.01,1,0)</f>
        <v/>
      </c>
      <c r="AW6069">
        <f>IF(W6069&gt;=AP6069-0.01,1,0)</f>
        <v/>
      </c>
      <c r="AX6069">
        <f>AQ6069*AR6069*AS6069*AT6069*AU6069*AV6069*AW6069</f>
        <v/>
      </c>
    </row>
    <row r="6070">
      <c r="A6070" t="inlineStr"/>
      <c r="B6070">
        <f>Assumptions!$B$60</f>
        <v/>
      </c>
      <c r="C6070" t="n">
        <v>0</v>
      </c>
      <c r="D6070" t="n">
        <v>1</v>
      </c>
      <c r="E6070" t="n">
        <v>0</v>
      </c>
      <c r="F6070" t="n">
        <v>1</v>
      </c>
      <c r="G6070" t="n">
        <v>1</v>
      </c>
      <c r="H6070" t="n">
        <v>1</v>
      </c>
      <c r="I6070" t="n">
        <v>0</v>
      </c>
      <c r="J6070">
        <f>(1-C6070)*Assumptions!$B$41+(1-D6070)*Assumptions!$B$33+(1-E6070)*Assumptions!$B$32+(1-F6070)*Assumptions!$B$31+(1-G6070)*Assumptions!$B$30+(1-H6070)*Assumptions!$B$29+(1-I6070)*Assumptions!$B$28</f>
        <v/>
      </c>
      <c r="K6070">
        <f>C6070*$J$757+D6070*$F$757+E6070*$G$757+F6070*Assumptions!$B$14+G6070*Assumptions!$B$13+H6070*Assumptions!$B$12+I6070*Assumptions!$B$11+$O$757+$S$757+Assumptions!$B$9</f>
        <v/>
      </c>
      <c r="L6070">
        <f>B6070-J6070</f>
        <v/>
      </c>
      <c r="M6070">
        <f>IF(K6070&gt;0,IF(L6070/K6070&gt;=Assumptions!$B$37,1,0),0)</f>
        <v/>
      </c>
      <c r="N6070">
        <f>K6070+M6070*Assumptions!$B$153</f>
        <v/>
      </c>
      <c r="O6070">
        <f>L6070+M6070*Assumptions!$B$153*Assumptions!$B$37</f>
        <v/>
      </c>
      <c r="P6070">
        <f>IF(N6070&gt;0,O6070/N6070,0)</f>
        <v/>
      </c>
      <c r="Q6070">
        <f>IF(C6070=1,P6070*$J$757,Assumptions!$B$41)</f>
        <v/>
      </c>
      <c r="R6070">
        <f>IF(D6070=1,P6070*$F$757,Assumptions!$B$33)</f>
        <v/>
      </c>
      <c r="S6070">
        <f>IF(E6070=1,P6070*$G$757,Assumptions!$B$32)</f>
        <v/>
      </c>
      <c r="T6070">
        <f>IF(F6070=1,P6070*Assumptions!$B$14,Assumptions!$B$31)</f>
        <v/>
      </c>
      <c r="U6070">
        <f>IF(G6070=1,P6070*Assumptions!$B$13,Assumptions!$B$30)</f>
        <v/>
      </c>
      <c r="V6070">
        <f>IF(H6070=1,P6070*Assumptions!$B$12,Assumptions!$B$29)</f>
        <v/>
      </c>
      <c r="W6070">
        <f>IF(I6070=1,P6070*Assumptions!$B$11,Assumptions!$B$28)</f>
        <v/>
      </c>
      <c r="X6070">
        <f>P6070*($O$757+$S$757)</f>
        <v/>
      </c>
      <c r="Y6070">
        <f>P6070*Assumptions!$B$9</f>
        <v/>
      </c>
      <c r="Z6070">
        <f>IF(M6070=1,(P6070-Assumptions!$B$37)*Assumptions!$B$153,0)</f>
        <v/>
      </c>
      <c r="AA6070">
        <f>Q6070+R6070+S6070+T6070+U6070+V6070+W6070+X6070+Y6070+Z6070</f>
        <v/>
      </c>
      <c r="AB6070" t="n">
        <v>46</v>
      </c>
      <c r="AC6070" t="n">
        <v>110</v>
      </c>
      <c r="AD6070" t="n">
        <v>14</v>
      </c>
      <c r="AE6070" t="n">
        <v>62</v>
      </c>
      <c r="AF6070" t="n">
        <v>38</v>
      </c>
      <c r="AG6070" t="n">
        <v>42</v>
      </c>
      <c r="AH6070" t="n">
        <v>44</v>
      </c>
      <c r="AI6070" t="n">
        <v>47</v>
      </c>
      <c r="AJ6070">
        <f>INDEX($Q$6024:$Q$6151,AC6070+1)</f>
        <v/>
      </c>
      <c r="AK6070">
        <f>INDEX($R$6024:$R$6151,AD6070+1)</f>
        <v/>
      </c>
      <c r="AL6070">
        <f>INDEX($S$6024:$S$6151,AE6070+1)</f>
        <v/>
      </c>
      <c r="AM6070">
        <f>INDEX($T$6024:$T$6151,AF6070+1)</f>
        <v/>
      </c>
      <c r="AN6070">
        <f>INDEX($U$6024:$U$6151,AG6070+1)</f>
        <v/>
      </c>
      <c r="AO6070">
        <f>INDEX($V$6024:$V$6151,AH6070+1)</f>
        <v/>
      </c>
      <c r="AP6070">
        <f>INDEX($W$6024:$W$6151,AI6070+1)</f>
        <v/>
      </c>
      <c r="AQ6070">
        <f>IF(Q6070&gt;=AJ6070-0.01,1,0)</f>
        <v/>
      </c>
      <c r="AR6070">
        <f>IF(R6070&gt;=AK6070-0.01,1,0)</f>
        <v/>
      </c>
      <c r="AS6070">
        <f>IF(S6070&gt;=AL6070-0.01,1,0)</f>
        <v/>
      </c>
      <c r="AT6070">
        <f>IF(T6070&gt;=AM6070-0.01,1,0)</f>
        <v/>
      </c>
      <c r="AU6070">
        <f>IF(U6070&gt;=AN6070-0.01,1,0)</f>
        <v/>
      </c>
      <c r="AV6070">
        <f>IF(V6070&gt;=AO6070-0.01,1,0)</f>
        <v/>
      </c>
      <c r="AW6070">
        <f>IF(W6070&gt;=AP6070-0.01,1,0)</f>
        <v/>
      </c>
      <c r="AX6070">
        <f>AQ6070*AR6070*AS6070*AT6070*AU6070*AV6070*AW6070</f>
        <v/>
      </c>
    </row>
    <row r="6071">
      <c r="A6071" t="inlineStr"/>
      <c r="B6071">
        <f>Assumptions!$B$60</f>
        <v/>
      </c>
      <c r="C6071" t="n">
        <v>0</v>
      </c>
      <c r="D6071" t="n">
        <v>1</v>
      </c>
      <c r="E6071" t="n">
        <v>0</v>
      </c>
      <c r="F6071" t="n">
        <v>1</v>
      </c>
      <c r="G6071" t="n">
        <v>1</v>
      </c>
      <c r="H6071" t="n">
        <v>1</v>
      </c>
      <c r="I6071" t="n">
        <v>1</v>
      </c>
      <c r="J6071">
        <f>(1-C6071)*Assumptions!$B$41+(1-D6071)*Assumptions!$B$33+(1-E6071)*Assumptions!$B$32+(1-F6071)*Assumptions!$B$31+(1-G6071)*Assumptions!$B$30+(1-H6071)*Assumptions!$B$29+(1-I6071)*Assumptions!$B$28</f>
        <v/>
      </c>
      <c r="K6071">
        <f>C6071*$J$757+D6071*$F$757+E6071*$G$757+F6071*Assumptions!$B$14+G6071*Assumptions!$B$13+H6071*Assumptions!$B$12+I6071*Assumptions!$B$11+$O$757+$S$757+Assumptions!$B$9</f>
        <v/>
      </c>
      <c r="L6071">
        <f>B6071-J6071</f>
        <v/>
      </c>
      <c r="M6071">
        <f>IF(K6071&gt;0,IF(L6071/K6071&gt;=Assumptions!$B$37,1,0),0)</f>
        <v/>
      </c>
      <c r="N6071">
        <f>K6071+M6071*Assumptions!$B$153</f>
        <v/>
      </c>
      <c r="O6071">
        <f>L6071+M6071*Assumptions!$B$153*Assumptions!$B$37</f>
        <v/>
      </c>
      <c r="P6071">
        <f>IF(N6071&gt;0,O6071/N6071,0)</f>
        <v/>
      </c>
      <c r="Q6071">
        <f>IF(C6071=1,P6071*$J$757,Assumptions!$B$41)</f>
        <v/>
      </c>
      <c r="R6071">
        <f>IF(D6071=1,P6071*$F$757,Assumptions!$B$33)</f>
        <v/>
      </c>
      <c r="S6071">
        <f>IF(E6071=1,P6071*$G$757,Assumptions!$B$32)</f>
        <v/>
      </c>
      <c r="T6071">
        <f>IF(F6071=1,P6071*Assumptions!$B$14,Assumptions!$B$31)</f>
        <v/>
      </c>
      <c r="U6071">
        <f>IF(G6071=1,P6071*Assumptions!$B$13,Assumptions!$B$30)</f>
        <v/>
      </c>
      <c r="V6071">
        <f>IF(H6071=1,P6071*Assumptions!$B$12,Assumptions!$B$29)</f>
        <v/>
      </c>
      <c r="W6071">
        <f>IF(I6071=1,P6071*Assumptions!$B$11,Assumptions!$B$28)</f>
        <v/>
      </c>
      <c r="X6071">
        <f>P6071*($O$757+$S$757)</f>
        <v/>
      </c>
      <c r="Y6071">
        <f>P6071*Assumptions!$B$9</f>
        <v/>
      </c>
      <c r="Z6071">
        <f>IF(M6071=1,(P6071-Assumptions!$B$37)*Assumptions!$B$153,0)</f>
        <v/>
      </c>
      <c r="AA6071">
        <f>Q6071+R6071+S6071+T6071+U6071+V6071+W6071+X6071+Y6071+Z6071</f>
        <v/>
      </c>
      <c r="AB6071" t="n">
        <v>47</v>
      </c>
      <c r="AC6071" t="n">
        <v>111</v>
      </c>
      <c r="AD6071" t="n">
        <v>15</v>
      </c>
      <c r="AE6071" t="n">
        <v>63</v>
      </c>
      <c r="AF6071" t="n">
        <v>39</v>
      </c>
      <c r="AG6071" t="n">
        <v>43</v>
      </c>
      <c r="AH6071" t="n">
        <v>45</v>
      </c>
      <c r="AI6071" t="n">
        <v>46</v>
      </c>
      <c r="AJ6071">
        <f>INDEX($Q$6024:$Q$6151,AC6071+1)</f>
        <v/>
      </c>
      <c r="AK6071">
        <f>INDEX($R$6024:$R$6151,AD6071+1)</f>
        <v/>
      </c>
      <c r="AL6071">
        <f>INDEX($S$6024:$S$6151,AE6071+1)</f>
        <v/>
      </c>
      <c r="AM6071">
        <f>INDEX($T$6024:$T$6151,AF6071+1)</f>
        <v/>
      </c>
      <c r="AN6071">
        <f>INDEX($U$6024:$U$6151,AG6071+1)</f>
        <v/>
      </c>
      <c r="AO6071">
        <f>INDEX($V$6024:$V$6151,AH6071+1)</f>
        <v/>
      </c>
      <c r="AP6071">
        <f>INDEX($W$6024:$W$6151,AI6071+1)</f>
        <v/>
      </c>
      <c r="AQ6071">
        <f>IF(Q6071&gt;=AJ6071-0.01,1,0)</f>
        <v/>
      </c>
      <c r="AR6071">
        <f>IF(R6071&gt;=AK6071-0.01,1,0)</f>
        <v/>
      </c>
      <c r="AS6071">
        <f>IF(S6071&gt;=AL6071-0.01,1,0)</f>
        <v/>
      </c>
      <c r="AT6071">
        <f>IF(T6071&gt;=AM6071-0.01,1,0)</f>
        <v/>
      </c>
      <c r="AU6071">
        <f>IF(U6071&gt;=AN6071-0.01,1,0)</f>
        <v/>
      </c>
      <c r="AV6071">
        <f>IF(V6071&gt;=AO6071-0.01,1,0)</f>
        <v/>
      </c>
      <c r="AW6071">
        <f>IF(W6071&gt;=AP6071-0.01,1,0)</f>
        <v/>
      </c>
      <c r="AX6071">
        <f>AQ6071*AR6071*AS6071*AT6071*AU6071*AV6071*AW6071</f>
        <v/>
      </c>
    </row>
    <row r="6072">
      <c r="A6072" t="inlineStr"/>
      <c r="B6072">
        <f>Assumptions!$B$60</f>
        <v/>
      </c>
      <c r="C6072" t="n">
        <v>0</v>
      </c>
      <c r="D6072" t="n">
        <v>1</v>
      </c>
      <c r="E6072" t="n">
        <v>1</v>
      </c>
      <c r="F6072" t="n">
        <v>0</v>
      </c>
      <c r="G6072" t="n">
        <v>0</v>
      </c>
      <c r="H6072" t="n">
        <v>0</v>
      </c>
      <c r="I6072" t="n">
        <v>0</v>
      </c>
      <c r="J6072">
        <f>(1-C6072)*Assumptions!$B$41+(1-D6072)*Assumptions!$B$33+(1-E6072)*Assumptions!$B$32+(1-F6072)*Assumptions!$B$31+(1-G6072)*Assumptions!$B$30+(1-H6072)*Assumptions!$B$29+(1-I6072)*Assumptions!$B$28</f>
        <v/>
      </c>
      <c r="K6072">
        <f>C6072*$J$757+D6072*$F$757+E6072*$G$757+F6072*Assumptions!$B$14+G6072*Assumptions!$B$13+H6072*Assumptions!$B$12+I6072*Assumptions!$B$11+$O$757+$S$757+Assumptions!$B$9</f>
        <v/>
      </c>
      <c r="L6072">
        <f>B6072-J6072</f>
        <v/>
      </c>
      <c r="M6072">
        <f>IF(K6072&gt;0,IF(L6072/K6072&gt;=Assumptions!$B$37,1,0),0)</f>
        <v/>
      </c>
      <c r="N6072">
        <f>K6072+M6072*Assumptions!$B$153</f>
        <v/>
      </c>
      <c r="O6072">
        <f>L6072+M6072*Assumptions!$B$153*Assumptions!$B$37</f>
        <v/>
      </c>
      <c r="P6072">
        <f>IF(N6072&gt;0,O6072/N6072,0)</f>
        <v/>
      </c>
      <c r="Q6072">
        <f>IF(C6072=1,P6072*$J$757,Assumptions!$B$41)</f>
        <v/>
      </c>
      <c r="R6072">
        <f>IF(D6072=1,P6072*$F$757,Assumptions!$B$33)</f>
        <v/>
      </c>
      <c r="S6072">
        <f>IF(E6072=1,P6072*$G$757,Assumptions!$B$32)</f>
        <v/>
      </c>
      <c r="T6072">
        <f>IF(F6072=1,P6072*Assumptions!$B$14,Assumptions!$B$31)</f>
        <v/>
      </c>
      <c r="U6072">
        <f>IF(G6072=1,P6072*Assumptions!$B$13,Assumptions!$B$30)</f>
        <v/>
      </c>
      <c r="V6072">
        <f>IF(H6072=1,P6072*Assumptions!$B$12,Assumptions!$B$29)</f>
        <v/>
      </c>
      <c r="W6072">
        <f>IF(I6072=1,P6072*Assumptions!$B$11,Assumptions!$B$28)</f>
        <v/>
      </c>
      <c r="X6072">
        <f>P6072*($O$757+$S$757)</f>
        <v/>
      </c>
      <c r="Y6072">
        <f>P6072*Assumptions!$B$9</f>
        <v/>
      </c>
      <c r="Z6072">
        <f>IF(M6072=1,(P6072-Assumptions!$B$37)*Assumptions!$B$153,0)</f>
        <v/>
      </c>
      <c r="AA6072">
        <f>Q6072+R6072+S6072+T6072+U6072+V6072+W6072+X6072+Y6072+Z6072</f>
        <v/>
      </c>
      <c r="AB6072" t="n">
        <v>48</v>
      </c>
      <c r="AC6072" t="n">
        <v>112</v>
      </c>
      <c r="AD6072" t="n">
        <v>16</v>
      </c>
      <c r="AE6072" t="n">
        <v>32</v>
      </c>
      <c r="AF6072" t="n">
        <v>56</v>
      </c>
      <c r="AG6072" t="n">
        <v>52</v>
      </c>
      <c r="AH6072" t="n">
        <v>50</v>
      </c>
      <c r="AI6072" t="n">
        <v>49</v>
      </c>
      <c r="AJ6072">
        <f>INDEX($Q$6024:$Q$6151,AC6072+1)</f>
        <v/>
      </c>
      <c r="AK6072">
        <f>INDEX($R$6024:$R$6151,AD6072+1)</f>
        <v/>
      </c>
      <c r="AL6072">
        <f>INDEX($S$6024:$S$6151,AE6072+1)</f>
        <v/>
      </c>
      <c r="AM6072">
        <f>INDEX($T$6024:$T$6151,AF6072+1)</f>
        <v/>
      </c>
      <c r="AN6072">
        <f>INDEX($U$6024:$U$6151,AG6072+1)</f>
        <v/>
      </c>
      <c r="AO6072">
        <f>INDEX($V$6024:$V$6151,AH6072+1)</f>
        <v/>
      </c>
      <c r="AP6072">
        <f>INDEX($W$6024:$W$6151,AI6072+1)</f>
        <v/>
      </c>
      <c r="AQ6072">
        <f>IF(Q6072&gt;=AJ6072-0.01,1,0)</f>
        <v/>
      </c>
      <c r="AR6072">
        <f>IF(R6072&gt;=AK6072-0.01,1,0)</f>
        <v/>
      </c>
      <c r="AS6072">
        <f>IF(S6072&gt;=AL6072-0.01,1,0)</f>
        <v/>
      </c>
      <c r="AT6072">
        <f>IF(T6072&gt;=AM6072-0.01,1,0)</f>
        <v/>
      </c>
      <c r="AU6072">
        <f>IF(U6072&gt;=AN6072-0.01,1,0)</f>
        <v/>
      </c>
      <c r="AV6072">
        <f>IF(V6072&gt;=AO6072-0.01,1,0)</f>
        <v/>
      </c>
      <c r="AW6072">
        <f>IF(W6072&gt;=AP6072-0.01,1,0)</f>
        <v/>
      </c>
      <c r="AX6072">
        <f>AQ6072*AR6072*AS6072*AT6072*AU6072*AV6072*AW6072</f>
        <v/>
      </c>
    </row>
    <row r="6073">
      <c r="A6073" t="inlineStr"/>
      <c r="B6073">
        <f>Assumptions!$B$60</f>
        <v/>
      </c>
      <c r="C6073" t="n">
        <v>0</v>
      </c>
      <c r="D6073" t="n">
        <v>1</v>
      </c>
      <c r="E6073" t="n">
        <v>1</v>
      </c>
      <c r="F6073" t="n">
        <v>0</v>
      </c>
      <c r="G6073" t="n">
        <v>0</v>
      </c>
      <c r="H6073" t="n">
        <v>0</v>
      </c>
      <c r="I6073" t="n">
        <v>1</v>
      </c>
      <c r="J6073">
        <f>(1-C6073)*Assumptions!$B$41+(1-D6073)*Assumptions!$B$33+(1-E6073)*Assumptions!$B$32+(1-F6073)*Assumptions!$B$31+(1-G6073)*Assumptions!$B$30+(1-H6073)*Assumptions!$B$29+(1-I6073)*Assumptions!$B$28</f>
        <v/>
      </c>
      <c r="K6073">
        <f>C6073*$J$757+D6073*$F$757+E6073*$G$757+F6073*Assumptions!$B$14+G6073*Assumptions!$B$13+H6073*Assumptions!$B$12+I6073*Assumptions!$B$11+$O$757+$S$757+Assumptions!$B$9</f>
        <v/>
      </c>
      <c r="L6073">
        <f>B6073-J6073</f>
        <v/>
      </c>
      <c r="M6073">
        <f>IF(K6073&gt;0,IF(L6073/K6073&gt;=Assumptions!$B$37,1,0),0)</f>
        <v/>
      </c>
      <c r="N6073">
        <f>K6073+M6073*Assumptions!$B$153</f>
        <v/>
      </c>
      <c r="O6073">
        <f>L6073+M6073*Assumptions!$B$153*Assumptions!$B$37</f>
        <v/>
      </c>
      <c r="P6073">
        <f>IF(N6073&gt;0,O6073/N6073,0)</f>
        <v/>
      </c>
      <c r="Q6073">
        <f>IF(C6073=1,P6073*$J$757,Assumptions!$B$41)</f>
        <v/>
      </c>
      <c r="R6073">
        <f>IF(D6073=1,P6073*$F$757,Assumptions!$B$33)</f>
        <v/>
      </c>
      <c r="S6073">
        <f>IF(E6073=1,P6073*$G$757,Assumptions!$B$32)</f>
        <v/>
      </c>
      <c r="T6073">
        <f>IF(F6073=1,P6073*Assumptions!$B$14,Assumptions!$B$31)</f>
        <v/>
      </c>
      <c r="U6073">
        <f>IF(G6073=1,P6073*Assumptions!$B$13,Assumptions!$B$30)</f>
        <v/>
      </c>
      <c r="V6073">
        <f>IF(H6073=1,P6073*Assumptions!$B$12,Assumptions!$B$29)</f>
        <v/>
      </c>
      <c r="W6073">
        <f>IF(I6073=1,P6073*Assumptions!$B$11,Assumptions!$B$28)</f>
        <v/>
      </c>
      <c r="X6073">
        <f>P6073*($O$757+$S$757)</f>
        <v/>
      </c>
      <c r="Y6073">
        <f>P6073*Assumptions!$B$9</f>
        <v/>
      </c>
      <c r="Z6073">
        <f>IF(M6073=1,(P6073-Assumptions!$B$37)*Assumptions!$B$153,0)</f>
        <v/>
      </c>
      <c r="AA6073">
        <f>Q6073+R6073+S6073+T6073+U6073+V6073+W6073+X6073+Y6073+Z6073</f>
        <v/>
      </c>
      <c r="AB6073" t="n">
        <v>49</v>
      </c>
      <c r="AC6073" t="n">
        <v>113</v>
      </c>
      <c r="AD6073" t="n">
        <v>17</v>
      </c>
      <c r="AE6073" t="n">
        <v>33</v>
      </c>
      <c r="AF6073" t="n">
        <v>57</v>
      </c>
      <c r="AG6073" t="n">
        <v>53</v>
      </c>
      <c r="AH6073" t="n">
        <v>51</v>
      </c>
      <c r="AI6073" t="n">
        <v>48</v>
      </c>
      <c r="AJ6073">
        <f>INDEX($Q$6024:$Q$6151,AC6073+1)</f>
        <v/>
      </c>
      <c r="AK6073">
        <f>INDEX($R$6024:$R$6151,AD6073+1)</f>
        <v/>
      </c>
      <c r="AL6073">
        <f>INDEX($S$6024:$S$6151,AE6073+1)</f>
        <v/>
      </c>
      <c r="AM6073">
        <f>INDEX($T$6024:$T$6151,AF6073+1)</f>
        <v/>
      </c>
      <c r="AN6073">
        <f>INDEX($U$6024:$U$6151,AG6073+1)</f>
        <v/>
      </c>
      <c r="AO6073">
        <f>INDEX($V$6024:$V$6151,AH6073+1)</f>
        <v/>
      </c>
      <c r="AP6073">
        <f>INDEX($W$6024:$W$6151,AI6073+1)</f>
        <v/>
      </c>
      <c r="AQ6073">
        <f>IF(Q6073&gt;=AJ6073-0.01,1,0)</f>
        <v/>
      </c>
      <c r="AR6073">
        <f>IF(R6073&gt;=AK6073-0.01,1,0)</f>
        <v/>
      </c>
      <c r="AS6073">
        <f>IF(S6073&gt;=AL6073-0.01,1,0)</f>
        <v/>
      </c>
      <c r="AT6073">
        <f>IF(T6073&gt;=AM6073-0.01,1,0)</f>
        <v/>
      </c>
      <c r="AU6073">
        <f>IF(U6073&gt;=AN6073-0.01,1,0)</f>
        <v/>
      </c>
      <c r="AV6073">
        <f>IF(V6073&gt;=AO6073-0.01,1,0)</f>
        <v/>
      </c>
      <c r="AW6073">
        <f>IF(W6073&gt;=AP6073-0.01,1,0)</f>
        <v/>
      </c>
      <c r="AX6073">
        <f>AQ6073*AR6073*AS6073*AT6073*AU6073*AV6073*AW6073</f>
        <v/>
      </c>
    </row>
    <row r="6074">
      <c r="A6074" t="inlineStr"/>
      <c r="B6074">
        <f>Assumptions!$B$60</f>
        <v/>
      </c>
      <c r="C6074" t="n">
        <v>0</v>
      </c>
      <c r="D6074" t="n">
        <v>1</v>
      </c>
      <c r="E6074" t="n">
        <v>1</v>
      </c>
      <c r="F6074" t="n">
        <v>0</v>
      </c>
      <c r="G6074" t="n">
        <v>0</v>
      </c>
      <c r="H6074" t="n">
        <v>1</v>
      </c>
      <c r="I6074" t="n">
        <v>0</v>
      </c>
      <c r="J6074">
        <f>(1-C6074)*Assumptions!$B$41+(1-D6074)*Assumptions!$B$33+(1-E6074)*Assumptions!$B$32+(1-F6074)*Assumptions!$B$31+(1-G6074)*Assumptions!$B$30+(1-H6074)*Assumptions!$B$29+(1-I6074)*Assumptions!$B$28</f>
        <v/>
      </c>
      <c r="K6074">
        <f>C6074*$J$757+D6074*$F$757+E6074*$G$757+F6074*Assumptions!$B$14+G6074*Assumptions!$B$13+H6074*Assumptions!$B$12+I6074*Assumptions!$B$11+$O$757+$S$757+Assumptions!$B$9</f>
        <v/>
      </c>
      <c r="L6074">
        <f>B6074-J6074</f>
        <v/>
      </c>
      <c r="M6074">
        <f>IF(K6074&gt;0,IF(L6074/K6074&gt;=Assumptions!$B$37,1,0),0)</f>
        <v/>
      </c>
      <c r="N6074">
        <f>K6074+M6074*Assumptions!$B$153</f>
        <v/>
      </c>
      <c r="O6074">
        <f>L6074+M6074*Assumptions!$B$153*Assumptions!$B$37</f>
        <v/>
      </c>
      <c r="P6074">
        <f>IF(N6074&gt;0,O6074/N6074,0)</f>
        <v/>
      </c>
      <c r="Q6074">
        <f>IF(C6074=1,P6074*$J$757,Assumptions!$B$41)</f>
        <v/>
      </c>
      <c r="R6074">
        <f>IF(D6074=1,P6074*$F$757,Assumptions!$B$33)</f>
        <v/>
      </c>
      <c r="S6074">
        <f>IF(E6074=1,P6074*$G$757,Assumptions!$B$32)</f>
        <v/>
      </c>
      <c r="T6074">
        <f>IF(F6074=1,P6074*Assumptions!$B$14,Assumptions!$B$31)</f>
        <v/>
      </c>
      <c r="U6074">
        <f>IF(G6074=1,P6074*Assumptions!$B$13,Assumptions!$B$30)</f>
        <v/>
      </c>
      <c r="V6074">
        <f>IF(H6074=1,P6074*Assumptions!$B$12,Assumptions!$B$29)</f>
        <v/>
      </c>
      <c r="W6074">
        <f>IF(I6074=1,P6074*Assumptions!$B$11,Assumptions!$B$28)</f>
        <v/>
      </c>
      <c r="X6074">
        <f>P6074*($O$757+$S$757)</f>
        <v/>
      </c>
      <c r="Y6074">
        <f>P6074*Assumptions!$B$9</f>
        <v/>
      </c>
      <c r="Z6074">
        <f>IF(M6074=1,(P6074-Assumptions!$B$37)*Assumptions!$B$153,0)</f>
        <v/>
      </c>
      <c r="AA6074">
        <f>Q6074+R6074+S6074+T6074+U6074+V6074+W6074+X6074+Y6074+Z6074</f>
        <v/>
      </c>
      <c r="AB6074" t="n">
        <v>50</v>
      </c>
      <c r="AC6074" t="n">
        <v>114</v>
      </c>
      <c r="AD6074" t="n">
        <v>18</v>
      </c>
      <c r="AE6074" t="n">
        <v>34</v>
      </c>
      <c r="AF6074" t="n">
        <v>58</v>
      </c>
      <c r="AG6074" t="n">
        <v>54</v>
      </c>
      <c r="AH6074" t="n">
        <v>48</v>
      </c>
      <c r="AI6074" t="n">
        <v>51</v>
      </c>
      <c r="AJ6074">
        <f>INDEX($Q$6024:$Q$6151,AC6074+1)</f>
        <v/>
      </c>
      <c r="AK6074">
        <f>INDEX($R$6024:$R$6151,AD6074+1)</f>
        <v/>
      </c>
      <c r="AL6074">
        <f>INDEX($S$6024:$S$6151,AE6074+1)</f>
        <v/>
      </c>
      <c r="AM6074">
        <f>INDEX($T$6024:$T$6151,AF6074+1)</f>
        <v/>
      </c>
      <c r="AN6074">
        <f>INDEX($U$6024:$U$6151,AG6074+1)</f>
        <v/>
      </c>
      <c r="AO6074">
        <f>INDEX($V$6024:$V$6151,AH6074+1)</f>
        <v/>
      </c>
      <c r="AP6074">
        <f>INDEX($W$6024:$W$6151,AI6074+1)</f>
        <v/>
      </c>
      <c r="AQ6074">
        <f>IF(Q6074&gt;=AJ6074-0.01,1,0)</f>
        <v/>
      </c>
      <c r="AR6074">
        <f>IF(R6074&gt;=AK6074-0.01,1,0)</f>
        <v/>
      </c>
      <c r="AS6074">
        <f>IF(S6074&gt;=AL6074-0.01,1,0)</f>
        <v/>
      </c>
      <c r="AT6074">
        <f>IF(T6074&gt;=AM6074-0.01,1,0)</f>
        <v/>
      </c>
      <c r="AU6074">
        <f>IF(U6074&gt;=AN6074-0.01,1,0)</f>
        <v/>
      </c>
      <c r="AV6074">
        <f>IF(V6074&gt;=AO6074-0.01,1,0)</f>
        <v/>
      </c>
      <c r="AW6074">
        <f>IF(W6074&gt;=AP6074-0.01,1,0)</f>
        <v/>
      </c>
      <c r="AX6074">
        <f>AQ6074*AR6074*AS6074*AT6074*AU6074*AV6074*AW6074</f>
        <v/>
      </c>
    </row>
    <row r="6075">
      <c r="A6075" t="inlineStr"/>
      <c r="B6075">
        <f>Assumptions!$B$60</f>
        <v/>
      </c>
      <c r="C6075" t="n">
        <v>0</v>
      </c>
      <c r="D6075" t="n">
        <v>1</v>
      </c>
      <c r="E6075" t="n">
        <v>1</v>
      </c>
      <c r="F6075" t="n">
        <v>0</v>
      </c>
      <c r="G6075" t="n">
        <v>0</v>
      </c>
      <c r="H6075" t="n">
        <v>1</v>
      </c>
      <c r="I6075" t="n">
        <v>1</v>
      </c>
      <c r="J6075">
        <f>(1-C6075)*Assumptions!$B$41+(1-D6075)*Assumptions!$B$33+(1-E6075)*Assumptions!$B$32+(1-F6075)*Assumptions!$B$31+(1-G6075)*Assumptions!$B$30+(1-H6075)*Assumptions!$B$29+(1-I6075)*Assumptions!$B$28</f>
        <v/>
      </c>
      <c r="K6075">
        <f>C6075*$J$757+D6075*$F$757+E6075*$G$757+F6075*Assumptions!$B$14+G6075*Assumptions!$B$13+H6075*Assumptions!$B$12+I6075*Assumptions!$B$11+$O$757+$S$757+Assumptions!$B$9</f>
        <v/>
      </c>
      <c r="L6075">
        <f>B6075-J6075</f>
        <v/>
      </c>
      <c r="M6075">
        <f>IF(K6075&gt;0,IF(L6075/K6075&gt;=Assumptions!$B$37,1,0),0)</f>
        <v/>
      </c>
      <c r="N6075">
        <f>K6075+M6075*Assumptions!$B$153</f>
        <v/>
      </c>
      <c r="O6075">
        <f>L6075+M6075*Assumptions!$B$153*Assumptions!$B$37</f>
        <v/>
      </c>
      <c r="P6075">
        <f>IF(N6075&gt;0,O6075/N6075,0)</f>
        <v/>
      </c>
      <c r="Q6075">
        <f>IF(C6075=1,P6075*$J$757,Assumptions!$B$41)</f>
        <v/>
      </c>
      <c r="R6075">
        <f>IF(D6075=1,P6075*$F$757,Assumptions!$B$33)</f>
        <v/>
      </c>
      <c r="S6075">
        <f>IF(E6075=1,P6075*$G$757,Assumptions!$B$32)</f>
        <v/>
      </c>
      <c r="T6075">
        <f>IF(F6075=1,P6075*Assumptions!$B$14,Assumptions!$B$31)</f>
        <v/>
      </c>
      <c r="U6075">
        <f>IF(G6075=1,P6075*Assumptions!$B$13,Assumptions!$B$30)</f>
        <v/>
      </c>
      <c r="V6075">
        <f>IF(H6075=1,P6075*Assumptions!$B$12,Assumptions!$B$29)</f>
        <v/>
      </c>
      <c r="W6075">
        <f>IF(I6075=1,P6075*Assumptions!$B$11,Assumptions!$B$28)</f>
        <v/>
      </c>
      <c r="X6075">
        <f>P6075*($O$757+$S$757)</f>
        <v/>
      </c>
      <c r="Y6075">
        <f>P6075*Assumptions!$B$9</f>
        <v/>
      </c>
      <c r="Z6075">
        <f>IF(M6075=1,(P6075-Assumptions!$B$37)*Assumptions!$B$153,0)</f>
        <v/>
      </c>
      <c r="AA6075">
        <f>Q6075+R6075+S6075+T6075+U6075+V6075+W6075+X6075+Y6075+Z6075</f>
        <v/>
      </c>
      <c r="AB6075" t="n">
        <v>51</v>
      </c>
      <c r="AC6075" t="n">
        <v>115</v>
      </c>
      <c r="AD6075" t="n">
        <v>19</v>
      </c>
      <c r="AE6075" t="n">
        <v>35</v>
      </c>
      <c r="AF6075" t="n">
        <v>59</v>
      </c>
      <c r="AG6075" t="n">
        <v>55</v>
      </c>
      <c r="AH6075" t="n">
        <v>49</v>
      </c>
      <c r="AI6075" t="n">
        <v>50</v>
      </c>
      <c r="AJ6075">
        <f>INDEX($Q$6024:$Q$6151,AC6075+1)</f>
        <v/>
      </c>
      <c r="AK6075">
        <f>INDEX($R$6024:$R$6151,AD6075+1)</f>
        <v/>
      </c>
      <c r="AL6075">
        <f>INDEX($S$6024:$S$6151,AE6075+1)</f>
        <v/>
      </c>
      <c r="AM6075">
        <f>INDEX($T$6024:$T$6151,AF6075+1)</f>
        <v/>
      </c>
      <c r="AN6075">
        <f>INDEX($U$6024:$U$6151,AG6075+1)</f>
        <v/>
      </c>
      <c r="AO6075">
        <f>INDEX($V$6024:$V$6151,AH6075+1)</f>
        <v/>
      </c>
      <c r="AP6075">
        <f>INDEX($W$6024:$W$6151,AI6075+1)</f>
        <v/>
      </c>
      <c r="AQ6075">
        <f>IF(Q6075&gt;=AJ6075-0.01,1,0)</f>
        <v/>
      </c>
      <c r="AR6075">
        <f>IF(R6075&gt;=AK6075-0.01,1,0)</f>
        <v/>
      </c>
      <c r="AS6075">
        <f>IF(S6075&gt;=AL6075-0.01,1,0)</f>
        <v/>
      </c>
      <c r="AT6075">
        <f>IF(T6075&gt;=AM6075-0.01,1,0)</f>
        <v/>
      </c>
      <c r="AU6075">
        <f>IF(U6075&gt;=AN6075-0.01,1,0)</f>
        <v/>
      </c>
      <c r="AV6075">
        <f>IF(V6075&gt;=AO6075-0.01,1,0)</f>
        <v/>
      </c>
      <c r="AW6075">
        <f>IF(W6075&gt;=AP6075-0.01,1,0)</f>
        <v/>
      </c>
      <c r="AX6075">
        <f>AQ6075*AR6075*AS6075*AT6075*AU6075*AV6075*AW6075</f>
        <v/>
      </c>
    </row>
    <row r="6076">
      <c r="A6076" t="inlineStr"/>
      <c r="B6076">
        <f>Assumptions!$B$60</f>
        <v/>
      </c>
      <c r="C6076" t="n">
        <v>0</v>
      </c>
      <c r="D6076" t="n">
        <v>1</v>
      </c>
      <c r="E6076" t="n">
        <v>1</v>
      </c>
      <c r="F6076" t="n">
        <v>0</v>
      </c>
      <c r="G6076" t="n">
        <v>1</v>
      </c>
      <c r="H6076" t="n">
        <v>0</v>
      </c>
      <c r="I6076" t="n">
        <v>0</v>
      </c>
      <c r="J6076">
        <f>(1-C6076)*Assumptions!$B$41+(1-D6076)*Assumptions!$B$33+(1-E6076)*Assumptions!$B$32+(1-F6076)*Assumptions!$B$31+(1-G6076)*Assumptions!$B$30+(1-H6076)*Assumptions!$B$29+(1-I6076)*Assumptions!$B$28</f>
        <v/>
      </c>
      <c r="K6076">
        <f>C6076*$J$757+D6076*$F$757+E6076*$G$757+F6076*Assumptions!$B$14+G6076*Assumptions!$B$13+H6076*Assumptions!$B$12+I6076*Assumptions!$B$11+$O$757+$S$757+Assumptions!$B$9</f>
        <v/>
      </c>
      <c r="L6076">
        <f>B6076-J6076</f>
        <v/>
      </c>
      <c r="M6076">
        <f>IF(K6076&gt;0,IF(L6076/K6076&gt;=Assumptions!$B$37,1,0),0)</f>
        <v/>
      </c>
      <c r="N6076">
        <f>K6076+M6076*Assumptions!$B$153</f>
        <v/>
      </c>
      <c r="O6076">
        <f>L6076+M6076*Assumptions!$B$153*Assumptions!$B$37</f>
        <v/>
      </c>
      <c r="P6076">
        <f>IF(N6076&gt;0,O6076/N6076,0)</f>
        <v/>
      </c>
      <c r="Q6076">
        <f>IF(C6076=1,P6076*$J$757,Assumptions!$B$41)</f>
        <v/>
      </c>
      <c r="R6076">
        <f>IF(D6076=1,P6076*$F$757,Assumptions!$B$33)</f>
        <v/>
      </c>
      <c r="S6076">
        <f>IF(E6076=1,P6076*$G$757,Assumptions!$B$32)</f>
        <v/>
      </c>
      <c r="T6076">
        <f>IF(F6076=1,P6076*Assumptions!$B$14,Assumptions!$B$31)</f>
        <v/>
      </c>
      <c r="U6076">
        <f>IF(G6076=1,P6076*Assumptions!$B$13,Assumptions!$B$30)</f>
        <v/>
      </c>
      <c r="V6076">
        <f>IF(H6076=1,P6076*Assumptions!$B$12,Assumptions!$B$29)</f>
        <v/>
      </c>
      <c r="W6076">
        <f>IF(I6076=1,P6076*Assumptions!$B$11,Assumptions!$B$28)</f>
        <v/>
      </c>
      <c r="X6076">
        <f>P6076*($O$757+$S$757)</f>
        <v/>
      </c>
      <c r="Y6076">
        <f>P6076*Assumptions!$B$9</f>
        <v/>
      </c>
      <c r="Z6076">
        <f>IF(M6076=1,(P6076-Assumptions!$B$37)*Assumptions!$B$153,0)</f>
        <v/>
      </c>
      <c r="AA6076">
        <f>Q6076+R6076+S6076+T6076+U6076+V6076+W6076+X6076+Y6076+Z6076</f>
        <v/>
      </c>
      <c r="AB6076" t="n">
        <v>52</v>
      </c>
      <c r="AC6076" t="n">
        <v>116</v>
      </c>
      <c r="AD6076" t="n">
        <v>20</v>
      </c>
      <c r="AE6076" t="n">
        <v>36</v>
      </c>
      <c r="AF6076" t="n">
        <v>60</v>
      </c>
      <c r="AG6076" t="n">
        <v>48</v>
      </c>
      <c r="AH6076" t="n">
        <v>54</v>
      </c>
      <c r="AI6076" t="n">
        <v>53</v>
      </c>
      <c r="AJ6076">
        <f>INDEX($Q$6024:$Q$6151,AC6076+1)</f>
        <v/>
      </c>
      <c r="AK6076">
        <f>INDEX($R$6024:$R$6151,AD6076+1)</f>
        <v/>
      </c>
      <c r="AL6076">
        <f>INDEX($S$6024:$S$6151,AE6076+1)</f>
        <v/>
      </c>
      <c r="AM6076">
        <f>INDEX($T$6024:$T$6151,AF6076+1)</f>
        <v/>
      </c>
      <c r="AN6076">
        <f>INDEX($U$6024:$U$6151,AG6076+1)</f>
        <v/>
      </c>
      <c r="AO6076">
        <f>INDEX($V$6024:$V$6151,AH6076+1)</f>
        <v/>
      </c>
      <c r="AP6076">
        <f>INDEX($W$6024:$W$6151,AI6076+1)</f>
        <v/>
      </c>
      <c r="AQ6076">
        <f>IF(Q6076&gt;=AJ6076-0.01,1,0)</f>
        <v/>
      </c>
      <c r="AR6076">
        <f>IF(R6076&gt;=AK6076-0.01,1,0)</f>
        <v/>
      </c>
      <c r="AS6076">
        <f>IF(S6076&gt;=AL6076-0.01,1,0)</f>
        <v/>
      </c>
      <c r="AT6076">
        <f>IF(T6076&gt;=AM6076-0.01,1,0)</f>
        <v/>
      </c>
      <c r="AU6076">
        <f>IF(U6076&gt;=AN6076-0.01,1,0)</f>
        <v/>
      </c>
      <c r="AV6076">
        <f>IF(V6076&gt;=AO6076-0.01,1,0)</f>
        <v/>
      </c>
      <c r="AW6076">
        <f>IF(W6076&gt;=AP6076-0.01,1,0)</f>
        <v/>
      </c>
      <c r="AX6076">
        <f>AQ6076*AR6076*AS6076*AT6076*AU6076*AV6076*AW6076</f>
        <v/>
      </c>
    </row>
    <row r="6077">
      <c r="A6077" t="inlineStr"/>
      <c r="B6077">
        <f>Assumptions!$B$60</f>
        <v/>
      </c>
      <c r="C6077" t="n">
        <v>0</v>
      </c>
      <c r="D6077" t="n">
        <v>1</v>
      </c>
      <c r="E6077" t="n">
        <v>1</v>
      </c>
      <c r="F6077" t="n">
        <v>0</v>
      </c>
      <c r="G6077" t="n">
        <v>1</v>
      </c>
      <c r="H6077" t="n">
        <v>0</v>
      </c>
      <c r="I6077" t="n">
        <v>1</v>
      </c>
      <c r="J6077">
        <f>(1-C6077)*Assumptions!$B$41+(1-D6077)*Assumptions!$B$33+(1-E6077)*Assumptions!$B$32+(1-F6077)*Assumptions!$B$31+(1-G6077)*Assumptions!$B$30+(1-H6077)*Assumptions!$B$29+(1-I6077)*Assumptions!$B$28</f>
        <v/>
      </c>
      <c r="K6077">
        <f>C6077*$J$757+D6077*$F$757+E6077*$G$757+F6077*Assumptions!$B$14+G6077*Assumptions!$B$13+H6077*Assumptions!$B$12+I6077*Assumptions!$B$11+$O$757+$S$757+Assumptions!$B$9</f>
        <v/>
      </c>
      <c r="L6077">
        <f>B6077-J6077</f>
        <v/>
      </c>
      <c r="M6077">
        <f>IF(K6077&gt;0,IF(L6077/K6077&gt;=Assumptions!$B$37,1,0),0)</f>
        <v/>
      </c>
      <c r="N6077">
        <f>K6077+M6077*Assumptions!$B$153</f>
        <v/>
      </c>
      <c r="O6077">
        <f>L6077+M6077*Assumptions!$B$153*Assumptions!$B$37</f>
        <v/>
      </c>
      <c r="P6077">
        <f>IF(N6077&gt;0,O6077/N6077,0)</f>
        <v/>
      </c>
      <c r="Q6077">
        <f>IF(C6077=1,P6077*$J$757,Assumptions!$B$41)</f>
        <v/>
      </c>
      <c r="R6077">
        <f>IF(D6077=1,P6077*$F$757,Assumptions!$B$33)</f>
        <v/>
      </c>
      <c r="S6077">
        <f>IF(E6077=1,P6077*$G$757,Assumptions!$B$32)</f>
        <v/>
      </c>
      <c r="T6077">
        <f>IF(F6077=1,P6077*Assumptions!$B$14,Assumptions!$B$31)</f>
        <v/>
      </c>
      <c r="U6077">
        <f>IF(G6077=1,P6077*Assumptions!$B$13,Assumptions!$B$30)</f>
        <v/>
      </c>
      <c r="V6077">
        <f>IF(H6077=1,P6077*Assumptions!$B$12,Assumptions!$B$29)</f>
        <v/>
      </c>
      <c r="W6077">
        <f>IF(I6077=1,P6077*Assumptions!$B$11,Assumptions!$B$28)</f>
        <v/>
      </c>
      <c r="X6077">
        <f>P6077*($O$757+$S$757)</f>
        <v/>
      </c>
      <c r="Y6077">
        <f>P6077*Assumptions!$B$9</f>
        <v/>
      </c>
      <c r="Z6077">
        <f>IF(M6077=1,(P6077-Assumptions!$B$37)*Assumptions!$B$153,0)</f>
        <v/>
      </c>
      <c r="AA6077">
        <f>Q6077+R6077+S6077+T6077+U6077+V6077+W6077+X6077+Y6077+Z6077</f>
        <v/>
      </c>
      <c r="AB6077" t="n">
        <v>53</v>
      </c>
      <c r="AC6077" t="n">
        <v>117</v>
      </c>
      <c r="AD6077" t="n">
        <v>21</v>
      </c>
      <c r="AE6077" t="n">
        <v>37</v>
      </c>
      <c r="AF6077" t="n">
        <v>61</v>
      </c>
      <c r="AG6077" t="n">
        <v>49</v>
      </c>
      <c r="AH6077" t="n">
        <v>55</v>
      </c>
      <c r="AI6077" t="n">
        <v>52</v>
      </c>
      <c r="AJ6077">
        <f>INDEX($Q$6024:$Q$6151,AC6077+1)</f>
        <v/>
      </c>
      <c r="AK6077">
        <f>INDEX($R$6024:$R$6151,AD6077+1)</f>
        <v/>
      </c>
      <c r="AL6077">
        <f>INDEX($S$6024:$S$6151,AE6077+1)</f>
        <v/>
      </c>
      <c r="AM6077">
        <f>INDEX($T$6024:$T$6151,AF6077+1)</f>
        <v/>
      </c>
      <c r="AN6077">
        <f>INDEX($U$6024:$U$6151,AG6077+1)</f>
        <v/>
      </c>
      <c r="AO6077">
        <f>INDEX($V$6024:$V$6151,AH6077+1)</f>
        <v/>
      </c>
      <c r="AP6077">
        <f>INDEX($W$6024:$W$6151,AI6077+1)</f>
        <v/>
      </c>
      <c r="AQ6077">
        <f>IF(Q6077&gt;=AJ6077-0.01,1,0)</f>
        <v/>
      </c>
      <c r="AR6077">
        <f>IF(R6077&gt;=AK6077-0.01,1,0)</f>
        <v/>
      </c>
      <c r="AS6077">
        <f>IF(S6077&gt;=AL6077-0.01,1,0)</f>
        <v/>
      </c>
      <c r="AT6077">
        <f>IF(T6077&gt;=AM6077-0.01,1,0)</f>
        <v/>
      </c>
      <c r="AU6077">
        <f>IF(U6077&gt;=AN6077-0.01,1,0)</f>
        <v/>
      </c>
      <c r="AV6077">
        <f>IF(V6077&gt;=AO6077-0.01,1,0)</f>
        <v/>
      </c>
      <c r="AW6077">
        <f>IF(W6077&gt;=AP6077-0.01,1,0)</f>
        <v/>
      </c>
      <c r="AX6077">
        <f>AQ6077*AR6077*AS6077*AT6077*AU6077*AV6077*AW6077</f>
        <v/>
      </c>
    </row>
    <row r="6078">
      <c r="A6078" t="inlineStr"/>
      <c r="B6078">
        <f>Assumptions!$B$60</f>
        <v/>
      </c>
      <c r="C6078" t="n">
        <v>0</v>
      </c>
      <c r="D6078" t="n">
        <v>1</v>
      </c>
      <c r="E6078" t="n">
        <v>1</v>
      </c>
      <c r="F6078" t="n">
        <v>0</v>
      </c>
      <c r="G6078" t="n">
        <v>1</v>
      </c>
      <c r="H6078" t="n">
        <v>1</v>
      </c>
      <c r="I6078" t="n">
        <v>0</v>
      </c>
      <c r="J6078">
        <f>(1-C6078)*Assumptions!$B$41+(1-D6078)*Assumptions!$B$33+(1-E6078)*Assumptions!$B$32+(1-F6078)*Assumptions!$B$31+(1-G6078)*Assumptions!$B$30+(1-H6078)*Assumptions!$B$29+(1-I6078)*Assumptions!$B$28</f>
        <v/>
      </c>
      <c r="K6078">
        <f>C6078*$J$757+D6078*$F$757+E6078*$G$757+F6078*Assumptions!$B$14+G6078*Assumptions!$B$13+H6078*Assumptions!$B$12+I6078*Assumptions!$B$11+$O$757+$S$757+Assumptions!$B$9</f>
        <v/>
      </c>
      <c r="L6078">
        <f>B6078-J6078</f>
        <v/>
      </c>
      <c r="M6078">
        <f>IF(K6078&gt;0,IF(L6078/K6078&gt;=Assumptions!$B$37,1,0),0)</f>
        <v/>
      </c>
      <c r="N6078">
        <f>K6078+M6078*Assumptions!$B$153</f>
        <v/>
      </c>
      <c r="O6078">
        <f>L6078+M6078*Assumptions!$B$153*Assumptions!$B$37</f>
        <v/>
      </c>
      <c r="P6078">
        <f>IF(N6078&gt;0,O6078/N6078,0)</f>
        <v/>
      </c>
      <c r="Q6078">
        <f>IF(C6078=1,P6078*$J$757,Assumptions!$B$41)</f>
        <v/>
      </c>
      <c r="R6078">
        <f>IF(D6078=1,P6078*$F$757,Assumptions!$B$33)</f>
        <v/>
      </c>
      <c r="S6078">
        <f>IF(E6078=1,P6078*$G$757,Assumptions!$B$32)</f>
        <v/>
      </c>
      <c r="T6078">
        <f>IF(F6078=1,P6078*Assumptions!$B$14,Assumptions!$B$31)</f>
        <v/>
      </c>
      <c r="U6078">
        <f>IF(G6078=1,P6078*Assumptions!$B$13,Assumptions!$B$30)</f>
        <v/>
      </c>
      <c r="V6078">
        <f>IF(H6078=1,P6078*Assumptions!$B$12,Assumptions!$B$29)</f>
        <v/>
      </c>
      <c r="W6078">
        <f>IF(I6078=1,P6078*Assumptions!$B$11,Assumptions!$B$28)</f>
        <v/>
      </c>
      <c r="X6078">
        <f>P6078*($O$757+$S$757)</f>
        <v/>
      </c>
      <c r="Y6078">
        <f>P6078*Assumptions!$B$9</f>
        <v/>
      </c>
      <c r="Z6078">
        <f>IF(M6078=1,(P6078-Assumptions!$B$37)*Assumptions!$B$153,0)</f>
        <v/>
      </c>
      <c r="AA6078">
        <f>Q6078+R6078+S6078+T6078+U6078+V6078+W6078+X6078+Y6078+Z6078</f>
        <v/>
      </c>
      <c r="AB6078" t="n">
        <v>54</v>
      </c>
      <c r="AC6078" t="n">
        <v>118</v>
      </c>
      <c r="AD6078" t="n">
        <v>22</v>
      </c>
      <c r="AE6078" t="n">
        <v>38</v>
      </c>
      <c r="AF6078" t="n">
        <v>62</v>
      </c>
      <c r="AG6078" t="n">
        <v>50</v>
      </c>
      <c r="AH6078" t="n">
        <v>52</v>
      </c>
      <c r="AI6078" t="n">
        <v>55</v>
      </c>
      <c r="AJ6078">
        <f>INDEX($Q$6024:$Q$6151,AC6078+1)</f>
        <v/>
      </c>
      <c r="AK6078">
        <f>INDEX($R$6024:$R$6151,AD6078+1)</f>
        <v/>
      </c>
      <c r="AL6078">
        <f>INDEX($S$6024:$S$6151,AE6078+1)</f>
        <v/>
      </c>
      <c r="AM6078">
        <f>INDEX($T$6024:$T$6151,AF6078+1)</f>
        <v/>
      </c>
      <c r="AN6078">
        <f>INDEX($U$6024:$U$6151,AG6078+1)</f>
        <v/>
      </c>
      <c r="AO6078">
        <f>INDEX($V$6024:$V$6151,AH6078+1)</f>
        <v/>
      </c>
      <c r="AP6078">
        <f>INDEX($W$6024:$W$6151,AI6078+1)</f>
        <v/>
      </c>
      <c r="AQ6078">
        <f>IF(Q6078&gt;=AJ6078-0.01,1,0)</f>
        <v/>
      </c>
      <c r="AR6078">
        <f>IF(R6078&gt;=AK6078-0.01,1,0)</f>
        <v/>
      </c>
      <c r="AS6078">
        <f>IF(S6078&gt;=AL6078-0.01,1,0)</f>
        <v/>
      </c>
      <c r="AT6078">
        <f>IF(T6078&gt;=AM6078-0.01,1,0)</f>
        <v/>
      </c>
      <c r="AU6078">
        <f>IF(U6078&gt;=AN6078-0.01,1,0)</f>
        <v/>
      </c>
      <c r="AV6078">
        <f>IF(V6078&gt;=AO6078-0.01,1,0)</f>
        <v/>
      </c>
      <c r="AW6078">
        <f>IF(W6078&gt;=AP6078-0.01,1,0)</f>
        <v/>
      </c>
      <c r="AX6078">
        <f>AQ6078*AR6078*AS6078*AT6078*AU6078*AV6078*AW6078</f>
        <v/>
      </c>
    </row>
    <row r="6079">
      <c r="A6079" t="inlineStr"/>
      <c r="B6079">
        <f>Assumptions!$B$60</f>
        <v/>
      </c>
      <c r="C6079" t="n">
        <v>0</v>
      </c>
      <c r="D6079" t="n">
        <v>1</v>
      </c>
      <c r="E6079" t="n">
        <v>1</v>
      </c>
      <c r="F6079" t="n">
        <v>0</v>
      </c>
      <c r="G6079" t="n">
        <v>1</v>
      </c>
      <c r="H6079" t="n">
        <v>1</v>
      </c>
      <c r="I6079" t="n">
        <v>1</v>
      </c>
      <c r="J6079">
        <f>(1-C6079)*Assumptions!$B$41+(1-D6079)*Assumptions!$B$33+(1-E6079)*Assumptions!$B$32+(1-F6079)*Assumptions!$B$31+(1-G6079)*Assumptions!$B$30+(1-H6079)*Assumptions!$B$29+(1-I6079)*Assumptions!$B$28</f>
        <v/>
      </c>
      <c r="K6079">
        <f>C6079*$J$757+D6079*$F$757+E6079*$G$757+F6079*Assumptions!$B$14+G6079*Assumptions!$B$13+H6079*Assumptions!$B$12+I6079*Assumptions!$B$11+$O$757+$S$757+Assumptions!$B$9</f>
        <v/>
      </c>
      <c r="L6079">
        <f>B6079-J6079</f>
        <v/>
      </c>
      <c r="M6079">
        <f>IF(K6079&gt;0,IF(L6079/K6079&gt;=Assumptions!$B$37,1,0),0)</f>
        <v/>
      </c>
      <c r="N6079">
        <f>K6079+M6079*Assumptions!$B$153</f>
        <v/>
      </c>
      <c r="O6079">
        <f>L6079+M6079*Assumptions!$B$153*Assumptions!$B$37</f>
        <v/>
      </c>
      <c r="P6079">
        <f>IF(N6079&gt;0,O6079/N6079,0)</f>
        <v/>
      </c>
      <c r="Q6079">
        <f>IF(C6079=1,P6079*$J$757,Assumptions!$B$41)</f>
        <v/>
      </c>
      <c r="R6079">
        <f>IF(D6079=1,P6079*$F$757,Assumptions!$B$33)</f>
        <v/>
      </c>
      <c r="S6079">
        <f>IF(E6079=1,P6079*$G$757,Assumptions!$B$32)</f>
        <v/>
      </c>
      <c r="T6079">
        <f>IF(F6079=1,P6079*Assumptions!$B$14,Assumptions!$B$31)</f>
        <v/>
      </c>
      <c r="U6079">
        <f>IF(G6079=1,P6079*Assumptions!$B$13,Assumptions!$B$30)</f>
        <v/>
      </c>
      <c r="V6079">
        <f>IF(H6079=1,P6079*Assumptions!$B$12,Assumptions!$B$29)</f>
        <v/>
      </c>
      <c r="W6079">
        <f>IF(I6079=1,P6079*Assumptions!$B$11,Assumptions!$B$28)</f>
        <v/>
      </c>
      <c r="X6079">
        <f>P6079*($O$757+$S$757)</f>
        <v/>
      </c>
      <c r="Y6079">
        <f>P6079*Assumptions!$B$9</f>
        <v/>
      </c>
      <c r="Z6079">
        <f>IF(M6079=1,(P6079-Assumptions!$B$37)*Assumptions!$B$153,0)</f>
        <v/>
      </c>
      <c r="AA6079">
        <f>Q6079+R6079+S6079+T6079+U6079+V6079+W6079+X6079+Y6079+Z6079</f>
        <v/>
      </c>
      <c r="AB6079" t="n">
        <v>55</v>
      </c>
      <c r="AC6079" t="n">
        <v>119</v>
      </c>
      <c r="AD6079" t="n">
        <v>23</v>
      </c>
      <c r="AE6079" t="n">
        <v>39</v>
      </c>
      <c r="AF6079" t="n">
        <v>63</v>
      </c>
      <c r="AG6079" t="n">
        <v>51</v>
      </c>
      <c r="AH6079" t="n">
        <v>53</v>
      </c>
      <c r="AI6079" t="n">
        <v>54</v>
      </c>
      <c r="AJ6079">
        <f>INDEX($Q$6024:$Q$6151,AC6079+1)</f>
        <v/>
      </c>
      <c r="AK6079">
        <f>INDEX($R$6024:$R$6151,AD6079+1)</f>
        <v/>
      </c>
      <c r="AL6079">
        <f>INDEX($S$6024:$S$6151,AE6079+1)</f>
        <v/>
      </c>
      <c r="AM6079">
        <f>INDEX($T$6024:$T$6151,AF6079+1)</f>
        <v/>
      </c>
      <c r="AN6079">
        <f>INDEX($U$6024:$U$6151,AG6079+1)</f>
        <v/>
      </c>
      <c r="AO6079">
        <f>INDEX($V$6024:$V$6151,AH6079+1)</f>
        <v/>
      </c>
      <c r="AP6079">
        <f>INDEX($W$6024:$W$6151,AI6079+1)</f>
        <v/>
      </c>
      <c r="AQ6079">
        <f>IF(Q6079&gt;=AJ6079-0.01,1,0)</f>
        <v/>
      </c>
      <c r="AR6079">
        <f>IF(R6079&gt;=AK6079-0.01,1,0)</f>
        <v/>
      </c>
      <c r="AS6079">
        <f>IF(S6079&gt;=AL6079-0.01,1,0)</f>
        <v/>
      </c>
      <c r="AT6079">
        <f>IF(T6079&gt;=AM6079-0.01,1,0)</f>
        <v/>
      </c>
      <c r="AU6079">
        <f>IF(U6079&gt;=AN6079-0.01,1,0)</f>
        <v/>
      </c>
      <c r="AV6079">
        <f>IF(V6079&gt;=AO6079-0.01,1,0)</f>
        <v/>
      </c>
      <c r="AW6079">
        <f>IF(W6079&gt;=AP6079-0.01,1,0)</f>
        <v/>
      </c>
      <c r="AX6079">
        <f>AQ6079*AR6079*AS6079*AT6079*AU6079*AV6079*AW6079</f>
        <v/>
      </c>
    </row>
    <row r="6080">
      <c r="A6080" t="inlineStr"/>
      <c r="B6080">
        <f>Assumptions!$B$60</f>
        <v/>
      </c>
      <c r="C6080" t="n">
        <v>0</v>
      </c>
      <c r="D6080" t="n">
        <v>1</v>
      </c>
      <c r="E6080" t="n">
        <v>1</v>
      </c>
      <c r="F6080" t="n">
        <v>1</v>
      </c>
      <c r="G6080" t="n">
        <v>0</v>
      </c>
      <c r="H6080" t="n">
        <v>0</v>
      </c>
      <c r="I6080" t="n">
        <v>0</v>
      </c>
      <c r="J6080">
        <f>(1-C6080)*Assumptions!$B$41+(1-D6080)*Assumptions!$B$33+(1-E6080)*Assumptions!$B$32+(1-F6080)*Assumptions!$B$31+(1-G6080)*Assumptions!$B$30+(1-H6080)*Assumptions!$B$29+(1-I6080)*Assumptions!$B$28</f>
        <v/>
      </c>
      <c r="K6080">
        <f>C6080*$J$757+D6080*$F$757+E6080*$G$757+F6080*Assumptions!$B$14+G6080*Assumptions!$B$13+H6080*Assumptions!$B$12+I6080*Assumptions!$B$11+$O$757+$S$757+Assumptions!$B$9</f>
        <v/>
      </c>
      <c r="L6080">
        <f>B6080-J6080</f>
        <v/>
      </c>
      <c r="M6080">
        <f>IF(K6080&gt;0,IF(L6080/K6080&gt;=Assumptions!$B$37,1,0),0)</f>
        <v/>
      </c>
      <c r="N6080">
        <f>K6080+M6080*Assumptions!$B$153</f>
        <v/>
      </c>
      <c r="O6080">
        <f>L6080+M6080*Assumptions!$B$153*Assumptions!$B$37</f>
        <v/>
      </c>
      <c r="P6080">
        <f>IF(N6080&gt;0,O6080/N6080,0)</f>
        <v/>
      </c>
      <c r="Q6080">
        <f>IF(C6080=1,P6080*$J$757,Assumptions!$B$41)</f>
        <v/>
      </c>
      <c r="R6080">
        <f>IF(D6080=1,P6080*$F$757,Assumptions!$B$33)</f>
        <v/>
      </c>
      <c r="S6080">
        <f>IF(E6080=1,P6080*$G$757,Assumptions!$B$32)</f>
        <v/>
      </c>
      <c r="T6080">
        <f>IF(F6080=1,P6080*Assumptions!$B$14,Assumptions!$B$31)</f>
        <v/>
      </c>
      <c r="U6080">
        <f>IF(G6080=1,P6080*Assumptions!$B$13,Assumptions!$B$30)</f>
        <v/>
      </c>
      <c r="V6080">
        <f>IF(H6080=1,P6080*Assumptions!$B$12,Assumptions!$B$29)</f>
        <v/>
      </c>
      <c r="W6080">
        <f>IF(I6080=1,P6080*Assumptions!$B$11,Assumptions!$B$28)</f>
        <v/>
      </c>
      <c r="X6080">
        <f>P6080*($O$757+$S$757)</f>
        <v/>
      </c>
      <c r="Y6080">
        <f>P6080*Assumptions!$B$9</f>
        <v/>
      </c>
      <c r="Z6080">
        <f>IF(M6080=1,(P6080-Assumptions!$B$37)*Assumptions!$B$153,0)</f>
        <v/>
      </c>
      <c r="AA6080">
        <f>Q6080+R6080+S6080+T6080+U6080+V6080+W6080+X6080+Y6080+Z6080</f>
        <v/>
      </c>
      <c r="AB6080" t="n">
        <v>56</v>
      </c>
      <c r="AC6080" t="n">
        <v>120</v>
      </c>
      <c r="AD6080" t="n">
        <v>24</v>
      </c>
      <c r="AE6080" t="n">
        <v>40</v>
      </c>
      <c r="AF6080" t="n">
        <v>48</v>
      </c>
      <c r="AG6080" t="n">
        <v>60</v>
      </c>
      <c r="AH6080" t="n">
        <v>58</v>
      </c>
      <c r="AI6080" t="n">
        <v>57</v>
      </c>
      <c r="AJ6080">
        <f>INDEX($Q$6024:$Q$6151,AC6080+1)</f>
        <v/>
      </c>
      <c r="AK6080">
        <f>INDEX($R$6024:$R$6151,AD6080+1)</f>
        <v/>
      </c>
      <c r="AL6080">
        <f>INDEX($S$6024:$S$6151,AE6080+1)</f>
        <v/>
      </c>
      <c r="AM6080">
        <f>INDEX($T$6024:$T$6151,AF6080+1)</f>
        <v/>
      </c>
      <c r="AN6080">
        <f>INDEX($U$6024:$U$6151,AG6080+1)</f>
        <v/>
      </c>
      <c r="AO6080">
        <f>INDEX($V$6024:$V$6151,AH6080+1)</f>
        <v/>
      </c>
      <c r="AP6080">
        <f>INDEX($W$6024:$W$6151,AI6080+1)</f>
        <v/>
      </c>
      <c r="AQ6080">
        <f>IF(Q6080&gt;=AJ6080-0.01,1,0)</f>
        <v/>
      </c>
      <c r="AR6080">
        <f>IF(R6080&gt;=AK6080-0.01,1,0)</f>
        <v/>
      </c>
      <c r="AS6080">
        <f>IF(S6080&gt;=AL6080-0.01,1,0)</f>
        <v/>
      </c>
      <c r="AT6080">
        <f>IF(T6080&gt;=AM6080-0.01,1,0)</f>
        <v/>
      </c>
      <c r="AU6080">
        <f>IF(U6080&gt;=AN6080-0.01,1,0)</f>
        <v/>
      </c>
      <c r="AV6080">
        <f>IF(V6080&gt;=AO6080-0.01,1,0)</f>
        <v/>
      </c>
      <c r="AW6080">
        <f>IF(W6080&gt;=AP6080-0.01,1,0)</f>
        <v/>
      </c>
      <c r="AX6080">
        <f>AQ6080*AR6080*AS6080*AT6080*AU6080*AV6080*AW6080</f>
        <v/>
      </c>
    </row>
    <row r="6081">
      <c r="A6081" t="inlineStr"/>
      <c r="B6081">
        <f>Assumptions!$B$60</f>
        <v/>
      </c>
      <c r="C6081" t="n">
        <v>0</v>
      </c>
      <c r="D6081" t="n">
        <v>1</v>
      </c>
      <c r="E6081" t="n">
        <v>1</v>
      </c>
      <c r="F6081" t="n">
        <v>1</v>
      </c>
      <c r="G6081" t="n">
        <v>0</v>
      </c>
      <c r="H6081" t="n">
        <v>0</v>
      </c>
      <c r="I6081" t="n">
        <v>1</v>
      </c>
      <c r="J6081">
        <f>(1-C6081)*Assumptions!$B$41+(1-D6081)*Assumptions!$B$33+(1-E6081)*Assumptions!$B$32+(1-F6081)*Assumptions!$B$31+(1-G6081)*Assumptions!$B$30+(1-H6081)*Assumptions!$B$29+(1-I6081)*Assumptions!$B$28</f>
        <v/>
      </c>
      <c r="K6081">
        <f>C6081*$J$757+D6081*$F$757+E6081*$G$757+F6081*Assumptions!$B$14+G6081*Assumptions!$B$13+H6081*Assumptions!$B$12+I6081*Assumptions!$B$11+$O$757+$S$757+Assumptions!$B$9</f>
        <v/>
      </c>
      <c r="L6081">
        <f>B6081-J6081</f>
        <v/>
      </c>
      <c r="M6081">
        <f>IF(K6081&gt;0,IF(L6081/K6081&gt;=Assumptions!$B$37,1,0),0)</f>
        <v/>
      </c>
      <c r="N6081">
        <f>K6081+M6081*Assumptions!$B$153</f>
        <v/>
      </c>
      <c r="O6081">
        <f>L6081+M6081*Assumptions!$B$153*Assumptions!$B$37</f>
        <v/>
      </c>
      <c r="P6081">
        <f>IF(N6081&gt;0,O6081/N6081,0)</f>
        <v/>
      </c>
      <c r="Q6081">
        <f>IF(C6081=1,P6081*$J$757,Assumptions!$B$41)</f>
        <v/>
      </c>
      <c r="R6081">
        <f>IF(D6081=1,P6081*$F$757,Assumptions!$B$33)</f>
        <v/>
      </c>
      <c r="S6081">
        <f>IF(E6081=1,P6081*$G$757,Assumptions!$B$32)</f>
        <v/>
      </c>
      <c r="T6081">
        <f>IF(F6081=1,P6081*Assumptions!$B$14,Assumptions!$B$31)</f>
        <v/>
      </c>
      <c r="U6081">
        <f>IF(G6081=1,P6081*Assumptions!$B$13,Assumptions!$B$30)</f>
        <v/>
      </c>
      <c r="V6081">
        <f>IF(H6081=1,P6081*Assumptions!$B$12,Assumptions!$B$29)</f>
        <v/>
      </c>
      <c r="W6081">
        <f>IF(I6081=1,P6081*Assumptions!$B$11,Assumptions!$B$28)</f>
        <v/>
      </c>
      <c r="X6081">
        <f>P6081*($O$757+$S$757)</f>
        <v/>
      </c>
      <c r="Y6081">
        <f>P6081*Assumptions!$B$9</f>
        <v/>
      </c>
      <c r="Z6081">
        <f>IF(M6081=1,(P6081-Assumptions!$B$37)*Assumptions!$B$153,0)</f>
        <v/>
      </c>
      <c r="AA6081">
        <f>Q6081+R6081+S6081+T6081+U6081+V6081+W6081+X6081+Y6081+Z6081</f>
        <v/>
      </c>
      <c r="AB6081" t="n">
        <v>57</v>
      </c>
      <c r="AC6081" t="n">
        <v>121</v>
      </c>
      <c r="AD6081" t="n">
        <v>25</v>
      </c>
      <c r="AE6081" t="n">
        <v>41</v>
      </c>
      <c r="AF6081" t="n">
        <v>49</v>
      </c>
      <c r="AG6081" t="n">
        <v>61</v>
      </c>
      <c r="AH6081" t="n">
        <v>59</v>
      </c>
      <c r="AI6081" t="n">
        <v>56</v>
      </c>
      <c r="AJ6081">
        <f>INDEX($Q$6024:$Q$6151,AC6081+1)</f>
        <v/>
      </c>
      <c r="AK6081">
        <f>INDEX($R$6024:$R$6151,AD6081+1)</f>
        <v/>
      </c>
      <c r="AL6081">
        <f>INDEX($S$6024:$S$6151,AE6081+1)</f>
        <v/>
      </c>
      <c r="AM6081">
        <f>INDEX($T$6024:$T$6151,AF6081+1)</f>
        <v/>
      </c>
      <c r="AN6081">
        <f>INDEX($U$6024:$U$6151,AG6081+1)</f>
        <v/>
      </c>
      <c r="AO6081">
        <f>INDEX($V$6024:$V$6151,AH6081+1)</f>
        <v/>
      </c>
      <c r="AP6081">
        <f>INDEX($W$6024:$W$6151,AI6081+1)</f>
        <v/>
      </c>
      <c r="AQ6081">
        <f>IF(Q6081&gt;=AJ6081-0.01,1,0)</f>
        <v/>
      </c>
      <c r="AR6081">
        <f>IF(R6081&gt;=AK6081-0.01,1,0)</f>
        <v/>
      </c>
      <c r="AS6081">
        <f>IF(S6081&gt;=AL6081-0.01,1,0)</f>
        <v/>
      </c>
      <c r="AT6081">
        <f>IF(T6081&gt;=AM6081-0.01,1,0)</f>
        <v/>
      </c>
      <c r="AU6081">
        <f>IF(U6081&gt;=AN6081-0.01,1,0)</f>
        <v/>
      </c>
      <c r="AV6081">
        <f>IF(V6081&gt;=AO6081-0.01,1,0)</f>
        <v/>
      </c>
      <c r="AW6081">
        <f>IF(W6081&gt;=AP6081-0.01,1,0)</f>
        <v/>
      </c>
      <c r="AX6081">
        <f>AQ6081*AR6081*AS6081*AT6081*AU6081*AV6081*AW6081</f>
        <v/>
      </c>
    </row>
    <row r="6082">
      <c r="A6082" t="inlineStr"/>
      <c r="B6082">
        <f>Assumptions!$B$60</f>
        <v/>
      </c>
      <c r="C6082" t="n">
        <v>0</v>
      </c>
      <c r="D6082" t="n">
        <v>1</v>
      </c>
      <c r="E6082" t="n">
        <v>1</v>
      </c>
      <c r="F6082" t="n">
        <v>1</v>
      </c>
      <c r="G6082" t="n">
        <v>0</v>
      </c>
      <c r="H6082" t="n">
        <v>1</v>
      </c>
      <c r="I6082" t="n">
        <v>0</v>
      </c>
      <c r="J6082">
        <f>(1-C6082)*Assumptions!$B$41+(1-D6082)*Assumptions!$B$33+(1-E6082)*Assumptions!$B$32+(1-F6082)*Assumptions!$B$31+(1-G6082)*Assumptions!$B$30+(1-H6082)*Assumptions!$B$29+(1-I6082)*Assumptions!$B$28</f>
        <v/>
      </c>
      <c r="K6082">
        <f>C6082*$J$757+D6082*$F$757+E6082*$G$757+F6082*Assumptions!$B$14+G6082*Assumptions!$B$13+H6082*Assumptions!$B$12+I6082*Assumptions!$B$11+$O$757+$S$757+Assumptions!$B$9</f>
        <v/>
      </c>
      <c r="L6082">
        <f>B6082-J6082</f>
        <v/>
      </c>
      <c r="M6082">
        <f>IF(K6082&gt;0,IF(L6082/K6082&gt;=Assumptions!$B$37,1,0),0)</f>
        <v/>
      </c>
      <c r="N6082">
        <f>K6082+M6082*Assumptions!$B$153</f>
        <v/>
      </c>
      <c r="O6082">
        <f>L6082+M6082*Assumptions!$B$153*Assumptions!$B$37</f>
        <v/>
      </c>
      <c r="P6082">
        <f>IF(N6082&gt;0,O6082/N6082,0)</f>
        <v/>
      </c>
      <c r="Q6082">
        <f>IF(C6082=1,P6082*$J$757,Assumptions!$B$41)</f>
        <v/>
      </c>
      <c r="R6082">
        <f>IF(D6082=1,P6082*$F$757,Assumptions!$B$33)</f>
        <v/>
      </c>
      <c r="S6082">
        <f>IF(E6082=1,P6082*$G$757,Assumptions!$B$32)</f>
        <v/>
      </c>
      <c r="T6082">
        <f>IF(F6082=1,P6082*Assumptions!$B$14,Assumptions!$B$31)</f>
        <v/>
      </c>
      <c r="U6082">
        <f>IF(G6082=1,P6082*Assumptions!$B$13,Assumptions!$B$30)</f>
        <v/>
      </c>
      <c r="V6082">
        <f>IF(H6082=1,P6082*Assumptions!$B$12,Assumptions!$B$29)</f>
        <v/>
      </c>
      <c r="W6082">
        <f>IF(I6082=1,P6082*Assumptions!$B$11,Assumptions!$B$28)</f>
        <v/>
      </c>
      <c r="X6082">
        <f>P6082*($O$757+$S$757)</f>
        <v/>
      </c>
      <c r="Y6082">
        <f>P6082*Assumptions!$B$9</f>
        <v/>
      </c>
      <c r="Z6082">
        <f>IF(M6082=1,(P6082-Assumptions!$B$37)*Assumptions!$B$153,0)</f>
        <v/>
      </c>
      <c r="AA6082">
        <f>Q6082+R6082+S6082+T6082+U6082+V6082+W6082+X6082+Y6082+Z6082</f>
        <v/>
      </c>
      <c r="AB6082" t="n">
        <v>58</v>
      </c>
      <c r="AC6082" t="n">
        <v>122</v>
      </c>
      <c r="AD6082" t="n">
        <v>26</v>
      </c>
      <c r="AE6082" t="n">
        <v>42</v>
      </c>
      <c r="AF6082" t="n">
        <v>50</v>
      </c>
      <c r="AG6082" t="n">
        <v>62</v>
      </c>
      <c r="AH6082" t="n">
        <v>56</v>
      </c>
      <c r="AI6082" t="n">
        <v>59</v>
      </c>
      <c r="AJ6082">
        <f>INDEX($Q$6024:$Q$6151,AC6082+1)</f>
        <v/>
      </c>
      <c r="AK6082">
        <f>INDEX($R$6024:$R$6151,AD6082+1)</f>
        <v/>
      </c>
      <c r="AL6082">
        <f>INDEX($S$6024:$S$6151,AE6082+1)</f>
        <v/>
      </c>
      <c r="AM6082">
        <f>INDEX($T$6024:$T$6151,AF6082+1)</f>
        <v/>
      </c>
      <c r="AN6082">
        <f>INDEX($U$6024:$U$6151,AG6082+1)</f>
        <v/>
      </c>
      <c r="AO6082">
        <f>INDEX($V$6024:$V$6151,AH6082+1)</f>
        <v/>
      </c>
      <c r="AP6082">
        <f>INDEX($W$6024:$W$6151,AI6082+1)</f>
        <v/>
      </c>
      <c r="AQ6082">
        <f>IF(Q6082&gt;=AJ6082-0.01,1,0)</f>
        <v/>
      </c>
      <c r="AR6082">
        <f>IF(R6082&gt;=AK6082-0.01,1,0)</f>
        <v/>
      </c>
      <c r="AS6082">
        <f>IF(S6082&gt;=AL6082-0.01,1,0)</f>
        <v/>
      </c>
      <c r="AT6082">
        <f>IF(T6082&gt;=AM6082-0.01,1,0)</f>
        <v/>
      </c>
      <c r="AU6082">
        <f>IF(U6082&gt;=AN6082-0.01,1,0)</f>
        <v/>
      </c>
      <c r="AV6082">
        <f>IF(V6082&gt;=AO6082-0.01,1,0)</f>
        <v/>
      </c>
      <c r="AW6082">
        <f>IF(W6082&gt;=AP6082-0.01,1,0)</f>
        <v/>
      </c>
      <c r="AX6082">
        <f>AQ6082*AR6082*AS6082*AT6082*AU6082*AV6082*AW6082</f>
        <v/>
      </c>
    </row>
    <row r="6083">
      <c r="A6083" t="inlineStr"/>
      <c r="B6083">
        <f>Assumptions!$B$60</f>
        <v/>
      </c>
      <c r="C6083" t="n">
        <v>0</v>
      </c>
      <c r="D6083" t="n">
        <v>1</v>
      </c>
      <c r="E6083" t="n">
        <v>1</v>
      </c>
      <c r="F6083" t="n">
        <v>1</v>
      </c>
      <c r="G6083" t="n">
        <v>0</v>
      </c>
      <c r="H6083" t="n">
        <v>1</v>
      </c>
      <c r="I6083" t="n">
        <v>1</v>
      </c>
      <c r="J6083">
        <f>(1-C6083)*Assumptions!$B$41+(1-D6083)*Assumptions!$B$33+(1-E6083)*Assumptions!$B$32+(1-F6083)*Assumptions!$B$31+(1-G6083)*Assumptions!$B$30+(1-H6083)*Assumptions!$B$29+(1-I6083)*Assumptions!$B$28</f>
        <v/>
      </c>
      <c r="K6083">
        <f>C6083*$J$757+D6083*$F$757+E6083*$G$757+F6083*Assumptions!$B$14+G6083*Assumptions!$B$13+H6083*Assumptions!$B$12+I6083*Assumptions!$B$11+$O$757+$S$757+Assumptions!$B$9</f>
        <v/>
      </c>
      <c r="L6083">
        <f>B6083-J6083</f>
        <v/>
      </c>
      <c r="M6083">
        <f>IF(K6083&gt;0,IF(L6083/K6083&gt;=Assumptions!$B$37,1,0),0)</f>
        <v/>
      </c>
      <c r="N6083">
        <f>K6083+M6083*Assumptions!$B$153</f>
        <v/>
      </c>
      <c r="O6083">
        <f>L6083+M6083*Assumptions!$B$153*Assumptions!$B$37</f>
        <v/>
      </c>
      <c r="P6083">
        <f>IF(N6083&gt;0,O6083/N6083,0)</f>
        <v/>
      </c>
      <c r="Q6083">
        <f>IF(C6083=1,P6083*$J$757,Assumptions!$B$41)</f>
        <v/>
      </c>
      <c r="R6083">
        <f>IF(D6083=1,P6083*$F$757,Assumptions!$B$33)</f>
        <v/>
      </c>
      <c r="S6083">
        <f>IF(E6083=1,P6083*$G$757,Assumptions!$B$32)</f>
        <v/>
      </c>
      <c r="T6083">
        <f>IF(F6083=1,P6083*Assumptions!$B$14,Assumptions!$B$31)</f>
        <v/>
      </c>
      <c r="U6083">
        <f>IF(G6083=1,P6083*Assumptions!$B$13,Assumptions!$B$30)</f>
        <v/>
      </c>
      <c r="V6083">
        <f>IF(H6083=1,P6083*Assumptions!$B$12,Assumptions!$B$29)</f>
        <v/>
      </c>
      <c r="W6083">
        <f>IF(I6083=1,P6083*Assumptions!$B$11,Assumptions!$B$28)</f>
        <v/>
      </c>
      <c r="X6083">
        <f>P6083*($O$757+$S$757)</f>
        <v/>
      </c>
      <c r="Y6083">
        <f>P6083*Assumptions!$B$9</f>
        <v/>
      </c>
      <c r="Z6083">
        <f>IF(M6083=1,(P6083-Assumptions!$B$37)*Assumptions!$B$153,0)</f>
        <v/>
      </c>
      <c r="AA6083">
        <f>Q6083+R6083+S6083+T6083+U6083+V6083+W6083+X6083+Y6083+Z6083</f>
        <v/>
      </c>
      <c r="AB6083" t="n">
        <v>59</v>
      </c>
      <c r="AC6083" t="n">
        <v>123</v>
      </c>
      <c r="AD6083" t="n">
        <v>27</v>
      </c>
      <c r="AE6083" t="n">
        <v>43</v>
      </c>
      <c r="AF6083" t="n">
        <v>51</v>
      </c>
      <c r="AG6083" t="n">
        <v>63</v>
      </c>
      <c r="AH6083" t="n">
        <v>57</v>
      </c>
      <c r="AI6083" t="n">
        <v>58</v>
      </c>
      <c r="AJ6083">
        <f>INDEX($Q$6024:$Q$6151,AC6083+1)</f>
        <v/>
      </c>
      <c r="AK6083">
        <f>INDEX($R$6024:$R$6151,AD6083+1)</f>
        <v/>
      </c>
      <c r="AL6083">
        <f>INDEX($S$6024:$S$6151,AE6083+1)</f>
        <v/>
      </c>
      <c r="AM6083">
        <f>INDEX($T$6024:$T$6151,AF6083+1)</f>
        <v/>
      </c>
      <c r="AN6083">
        <f>INDEX($U$6024:$U$6151,AG6083+1)</f>
        <v/>
      </c>
      <c r="AO6083">
        <f>INDEX($V$6024:$V$6151,AH6083+1)</f>
        <v/>
      </c>
      <c r="AP6083">
        <f>INDEX($W$6024:$W$6151,AI6083+1)</f>
        <v/>
      </c>
      <c r="AQ6083">
        <f>IF(Q6083&gt;=AJ6083-0.01,1,0)</f>
        <v/>
      </c>
      <c r="AR6083">
        <f>IF(R6083&gt;=AK6083-0.01,1,0)</f>
        <v/>
      </c>
      <c r="AS6083">
        <f>IF(S6083&gt;=AL6083-0.01,1,0)</f>
        <v/>
      </c>
      <c r="AT6083">
        <f>IF(T6083&gt;=AM6083-0.01,1,0)</f>
        <v/>
      </c>
      <c r="AU6083">
        <f>IF(U6083&gt;=AN6083-0.01,1,0)</f>
        <v/>
      </c>
      <c r="AV6083">
        <f>IF(V6083&gt;=AO6083-0.01,1,0)</f>
        <v/>
      </c>
      <c r="AW6083">
        <f>IF(W6083&gt;=AP6083-0.01,1,0)</f>
        <v/>
      </c>
      <c r="AX6083">
        <f>AQ6083*AR6083*AS6083*AT6083*AU6083*AV6083*AW6083</f>
        <v/>
      </c>
    </row>
    <row r="6084">
      <c r="A6084" t="inlineStr"/>
      <c r="B6084">
        <f>Assumptions!$B$60</f>
        <v/>
      </c>
      <c r="C6084" t="n">
        <v>0</v>
      </c>
      <c r="D6084" t="n">
        <v>1</v>
      </c>
      <c r="E6084" t="n">
        <v>1</v>
      </c>
      <c r="F6084" t="n">
        <v>1</v>
      </c>
      <c r="G6084" t="n">
        <v>1</v>
      </c>
      <c r="H6084" t="n">
        <v>0</v>
      </c>
      <c r="I6084" t="n">
        <v>0</v>
      </c>
      <c r="J6084">
        <f>(1-C6084)*Assumptions!$B$41+(1-D6084)*Assumptions!$B$33+(1-E6084)*Assumptions!$B$32+(1-F6084)*Assumptions!$B$31+(1-G6084)*Assumptions!$B$30+(1-H6084)*Assumptions!$B$29+(1-I6084)*Assumptions!$B$28</f>
        <v/>
      </c>
      <c r="K6084">
        <f>C6084*$J$757+D6084*$F$757+E6084*$G$757+F6084*Assumptions!$B$14+G6084*Assumptions!$B$13+H6084*Assumptions!$B$12+I6084*Assumptions!$B$11+$O$757+$S$757+Assumptions!$B$9</f>
        <v/>
      </c>
      <c r="L6084">
        <f>B6084-J6084</f>
        <v/>
      </c>
      <c r="M6084">
        <f>IF(K6084&gt;0,IF(L6084/K6084&gt;=Assumptions!$B$37,1,0),0)</f>
        <v/>
      </c>
      <c r="N6084">
        <f>K6084+M6084*Assumptions!$B$153</f>
        <v/>
      </c>
      <c r="O6084">
        <f>L6084+M6084*Assumptions!$B$153*Assumptions!$B$37</f>
        <v/>
      </c>
      <c r="P6084">
        <f>IF(N6084&gt;0,O6084/N6084,0)</f>
        <v/>
      </c>
      <c r="Q6084">
        <f>IF(C6084=1,P6084*$J$757,Assumptions!$B$41)</f>
        <v/>
      </c>
      <c r="R6084">
        <f>IF(D6084=1,P6084*$F$757,Assumptions!$B$33)</f>
        <v/>
      </c>
      <c r="S6084">
        <f>IF(E6084=1,P6084*$G$757,Assumptions!$B$32)</f>
        <v/>
      </c>
      <c r="T6084">
        <f>IF(F6084=1,P6084*Assumptions!$B$14,Assumptions!$B$31)</f>
        <v/>
      </c>
      <c r="U6084">
        <f>IF(G6084=1,P6084*Assumptions!$B$13,Assumptions!$B$30)</f>
        <v/>
      </c>
      <c r="V6084">
        <f>IF(H6084=1,P6084*Assumptions!$B$12,Assumptions!$B$29)</f>
        <v/>
      </c>
      <c r="W6084">
        <f>IF(I6084=1,P6084*Assumptions!$B$11,Assumptions!$B$28)</f>
        <v/>
      </c>
      <c r="X6084">
        <f>P6084*($O$757+$S$757)</f>
        <v/>
      </c>
      <c r="Y6084">
        <f>P6084*Assumptions!$B$9</f>
        <v/>
      </c>
      <c r="Z6084">
        <f>IF(M6084=1,(P6084-Assumptions!$B$37)*Assumptions!$B$153,0)</f>
        <v/>
      </c>
      <c r="AA6084">
        <f>Q6084+R6084+S6084+T6084+U6084+V6084+W6084+X6084+Y6084+Z6084</f>
        <v/>
      </c>
      <c r="AB6084" t="n">
        <v>60</v>
      </c>
      <c r="AC6084" t="n">
        <v>124</v>
      </c>
      <c r="AD6084" t="n">
        <v>28</v>
      </c>
      <c r="AE6084" t="n">
        <v>44</v>
      </c>
      <c r="AF6084" t="n">
        <v>52</v>
      </c>
      <c r="AG6084" t="n">
        <v>56</v>
      </c>
      <c r="AH6084" t="n">
        <v>62</v>
      </c>
      <c r="AI6084" t="n">
        <v>61</v>
      </c>
      <c r="AJ6084">
        <f>INDEX($Q$6024:$Q$6151,AC6084+1)</f>
        <v/>
      </c>
      <c r="AK6084">
        <f>INDEX($R$6024:$R$6151,AD6084+1)</f>
        <v/>
      </c>
      <c r="AL6084">
        <f>INDEX($S$6024:$S$6151,AE6084+1)</f>
        <v/>
      </c>
      <c r="AM6084">
        <f>INDEX($T$6024:$T$6151,AF6084+1)</f>
        <v/>
      </c>
      <c r="AN6084">
        <f>INDEX($U$6024:$U$6151,AG6084+1)</f>
        <v/>
      </c>
      <c r="AO6084">
        <f>INDEX($V$6024:$V$6151,AH6084+1)</f>
        <v/>
      </c>
      <c r="AP6084">
        <f>INDEX($W$6024:$W$6151,AI6084+1)</f>
        <v/>
      </c>
      <c r="AQ6084">
        <f>IF(Q6084&gt;=AJ6084-0.01,1,0)</f>
        <v/>
      </c>
      <c r="AR6084">
        <f>IF(R6084&gt;=AK6084-0.01,1,0)</f>
        <v/>
      </c>
      <c r="AS6084">
        <f>IF(S6084&gt;=AL6084-0.01,1,0)</f>
        <v/>
      </c>
      <c r="AT6084">
        <f>IF(T6084&gt;=AM6084-0.01,1,0)</f>
        <v/>
      </c>
      <c r="AU6084">
        <f>IF(U6084&gt;=AN6084-0.01,1,0)</f>
        <v/>
      </c>
      <c r="AV6084">
        <f>IF(V6084&gt;=AO6084-0.01,1,0)</f>
        <v/>
      </c>
      <c r="AW6084">
        <f>IF(W6084&gt;=AP6084-0.01,1,0)</f>
        <v/>
      </c>
      <c r="AX6084">
        <f>AQ6084*AR6084*AS6084*AT6084*AU6084*AV6084*AW6084</f>
        <v/>
      </c>
    </row>
    <row r="6085">
      <c r="A6085" t="inlineStr"/>
      <c r="B6085">
        <f>Assumptions!$B$60</f>
        <v/>
      </c>
      <c r="C6085" t="n">
        <v>0</v>
      </c>
      <c r="D6085" t="n">
        <v>1</v>
      </c>
      <c r="E6085" t="n">
        <v>1</v>
      </c>
      <c r="F6085" t="n">
        <v>1</v>
      </c>
      <c r="G6085" t="n">
        <v>1</v>
      </c>
      <c r="H6085" t="n">
        <v>0</v>
      </c>
      <c r="I6085" t="n">
        <v>1</v>
      </c>
      <c r="J6085">
        <f>(1-C6085)*Assumptions!$B$41+(1-D6085)*Assumptions!$B$33+(1-E6085)*Assumptions!$B$32+(1-F6085)*Assumptions!$B$31+(1-G6085)*Assumptions!$B$30+(1-H6085)*Assumptions!$B$29+(1-I6085)*Assumptions!$B$28</f>
        <v/>
      </c>
      <c r="K6085">
        <f>C6085*$J$757+D6085*$F$757+E6085*$G$757+F6085*Assumptions!$B$14+G6085*Assumptions!$B$13+H6085*Assumptions!$B$12+I6085*Assumptions!$B$11+$O$757+$S$757+Assumptions!$B$9</f>
        <v/>
      </c>
      <c r="L6085">
        <f>B6085-J6085</f>
        <v/>
      </c>
      <c r="M6085">
        <f>IF(K6085&gt;0,IF(L6085/K6085&gt;=Assumptions!$B$37,1,0),0)</f>
        <v/>
      </c>
      <c r="N6085">
        <f>K6085+M6085*Assumptions!$B$153</f>
        <v/>
      </c>
      <c r="O6085">
        <f>L6085+M6085*Assumptions!$B$153*Assumptions!$B$37</f>
        <v/>
      </c>
      <c r="P6085">
        <f>IF(N6085&gt;0,O6085/N6085,0)</f>
        <v/>
      </c>
      <c r="Q6085">
        <f>IF(C6085=1,P6085*$J$757,Assumptions!$B$41)</f>
        <v/>
      </c>
      <c r="R6085">
        <f>IF(D6085=1,P6085*$F$757,Assumptions!$B$33)</f>
        <v/>
      </c>
      <c r="S6085">
        <f>IF(E6085=1,P6085*$G$757,Assumptions!$B$32)</f>
        <v/>
      </c>
      <c r="T6085">
        <f>IF(F6085=1,P6085*Assumptions!$B$14,Assumptions!$B$31)</f>
        <v/>
      </c>
      <c r="U6085">
        <f>IF(G6085=1,P6085*Assumptions!$B$13,Assumptions!$B$30)</f>
        <v/>
      </c>
      <c r="V6085">
        <f>IF(H6085=1,P6085*Assumptions!$B$12,Assumptions!$B$29)</f>
        <v/>
      </c>
      <c r="W6085">
        <f>IF(I6085=1,P6085*Assumptions!$B$11,Assumptions!$B$28)</f>
        <v/>
      </c>
      <c r="X6085">
        <f>P6085*($O$757+$S$757)</f>
        <v/>
      </c>
      <c r="Y6085">
        <f>P6085*Assumptions!$B$9</f>
        <v/>
      </c>
      <c r="Z6085">
        <f>IF(M6085=1,(P6085-Assumptions!$B$37)*Assumptions!$B$153,0)</f>
        <v/>
      </c>
      <c r="AA6085">
        <f>Q6085+R6085+S6085+T6085+U6085+V6085+W6085+X6085+Y6085+Z6085</f>
        <v/>
      </c>
      <c r="AB6085" t="n">
        <v>61</v>
      </c>
      <c r="AC6085" t="n">
        <v>125</v>
      </c>
      <c r="AD6085" t="n">
        <v>29</v>
      </c>
      <c r="AE6085" t="n">
        <v>45</v>
      </c>
      <c r="AF6085" t="n">
        <v>53</v>
      </c>
      <c r="AG6085" t="n">
        <v>57</v>
      </c>
      <c r="AH6085" t="n">
        <v>63</v>
      </c>
      <c r="AI6085" t="n">
        <v>60</v>
      </c>
      <c r="AJ6085">
        <f>INDEX($Q$6024:$Q$6151,AC6085+1)</f>
        <v/>
      </c>
      <c r="AK6085">
        <f>INDEX($R$6024:$R$6151,AD6085+1)</f>
        <v/>
      </c>
      <c r="AL6085">
        <f>INDEX($S$6024:$S$6151,AE6085+1)</f>
        <v/>
      </c>
      <c r="AM6085">
        <f>INDEX($T$6024:$T$6151,AF6085+1)</f>
        <v/>
      </c>
      <c r="AN6085">
        <f>INDEX($U$6024:$U$6151,AG6085+1)</f>
        <v/>
      </c>
      <c r="AO6085">
        <f>INDEX($V$6024:$V$6151,AH6085+1)</f>
        <v/>
      </c>
      <c r="AP6085">
        <f>INDEX($W$6024:$W$6151,AI6085+1)</f>
        <v/>
      </c>
      <c r="AQ6085">
        <f>IF(Q6085&gt;=AJ6085-0.01,1,0)</f>
        <v/>
      </c>
      <c r="AR6085">
        <f>IF(R6085&gt;=AK6085-0.01,1,0)</f>
        <v/>
      </c>
      <c r="AS6085">
        <f>IF(S6085&gt;=AL6085-0.01,1,0)</f>
        <v/>
      </c>
      <c r="AT6085">
        <f>IF(T6085&gt;=AM6085-0.01,1,0)</f>
        <v/>
      </c>
      <c r="AU6085">
        <f>IF(U6085&gt;=AN6085-0.01,1,0)</f>
        <v/>
      </c>
      <c r="AV6085">
        <f>IF(V6085&gt;=AO6085-0.01,1,0)</f>
        <v/>
      </c>
      <c r="AW6085">
        <f>IF(W6085&gt;=AP6085-0.01,1,0)</f>
        <v/>
      </c>
      <c r="AX6085">
        <f>AQ6085*AR6085*AS6085*AT6085*AU6085*AV6085*AW6085</f>
        <v/>
      </c>
    </row>
    <row r="6086">
      <c r="A6086" t="inlineStr"/>
      <c r="B6086">
        <f>Assumptions!$B$60</f>
        <v/>
      </c>
      <c r="C6086" t="n">
        <v>0</v>
      </c>
      <c r="D6086" t="n">
        <v>1</v>
      </c>
      <c r="E6086" t="n">
        <v>1</v>
      </c>
      <c r="F6086" t="n">
        <v>1</v>
      </c>
      <c r="G6086" t="n">
        <v>1</v>
      </c>
      <c r="H6086" t="n">
        <v>1</v>
      </c>
      <c r="I6086" t="n">
        <v>0</v>
      </c>
      <c r="J6086">
        <f>(1-C6086)*Assumptions!$B$41+(1-D6086)*Assumptions!$B$33+(1-E6086)*Assumptions!$B$32+(1-F6086)*Assumptions!$B$31+(1-G6086)*Assumptions!$B$30+(1-H6086)*Assumptions!$B$29+(1-I6086)*Assumptions!$B$28</f>
        <v/>
      </c>
      <c r="K6086">
        <f>C6086*$J$757+D6086*$F$757+E6086*$G$757+F6086*Assumptions!$B$14+G6086*Assumptions!$B$13+H6086*Assumptions!$B$12+I6086*Assumptions!$B$11+$O$757+$S$757+Assumptions!$B$9</f>
        <v/>
      </c>
      <c r="L6086">
        <f>B6086-J6086</f>
        <v/>
      </c>
      <c r="M6086">
        <f>IF(K6086&gt;0,IF(L6086/K6086&gt;=Assumptions!$B$37,1,0),0)</f>
        <v/>
      </c>
      <c r="N6086">
        <f>K6086+M6086*Assumptions!$B$153</f>
        <v/>
      </c>
      <c r="O6086">
        <f>L6086+M6086*Assumptions!$B$153*Assumptions!$B$37</f>
        <v/>
      </c>
      <c r="P6086">
        <f>IF(N6086&gt;0,O6086/N6086,0)</f>
        <v/>
      </c>
      <c r="Q6086">
        <f>IF(C6086=1,P6086*$J$757,Assumptions!$B$41)</f>
        <v/>
      </c>
      <c r="R6086">
        <f>IF(D6086=1,P6086*$F$757,Assumptions!$B$33)</f>
        <v/>
      </c>
      <c r="S6086">
        <f>IF(E6086=1,P6086*$G$757,Assumptions!$B$32)</f>
        <v/>
      </c>
      <c r="T6086">
        <f>IF(F6086=1,P6086*Assumptions!$B$14,Assumptions!$B$31)</f>
        <v/>
      </c>
      <c r="U6086">
        <f>IF(G6086=1,P6086*Assumptions!$B$13,Assumptions!$B$30)</f>
        <v/>
      </c>
      <c r="V6086">
        <f>IF(H6086=1,P6086*Assumptions!$B$12,Assumptions!$B$29)</f>
        <v/>
      </c>
      <c r="W6086">
        <f>IF(I6086=1,P6086*Assumptions!$B$11,Assumptions!$B$28)</f>
        <v/>
      </c>
      <c r="X6086">
        <f>P6086*($O$757+$S$757)</f>
        <v/>
      </c>
      <c r="Y6086">
        <f>P6086*Assumptions!$B$9</f>
        <v/>
      </c>
      <c r="Z6086">
        <f>IF(M6086=1,(P6086-Assumptions!$B$37)*Assumptions!$B$153,0)</f>
        <v/>
      </c>
      <c r="AA6086">
        <f>Q6086+R6086+S6086+T6086+U6086+V6086+W6086+X6086+Y6086+Z6086</f>
        <v/>
      </c>
      <c r="AB6086" t="n">
        <v>62</v>
      </c>
      <c r="AC6086" t="n">
        <v>126</v>
      </c>
      <c r="AD6086" t="n">
        <v>30</v>
      </c>
      <c r="AE6086" t="n">
        <v>46</v>
      </c>
      <c r="AF6086" t="n">
        <v>54</v>
      </c>
      <c r="AG6086" t="n">
        <v>58</v>
      </c>
      <c r="AH6086" t="n">
        <v>60</v>
      </c>
      <c r="AI6086" t="n">
        <v>63</v>
      </c>
      <c r="AJ6086">
        <f>INDEX($Q$6024:$Q$6151,AC6086+1)</f>
        <v/>
      </c>
      <c r="AK6086">
        <f>INDEX($R$6024:$R$6151,AD6086+1)</f>
        <v/>
      </c>
      <c r="AL6086">
        <f>INDEX($S$6024:$S$6151,AE6086+1)</f>
        <v/>
      </c>
      <c r="AM6086">
        <f>INDEX($T$6024:$T$6151,AF6086+1)</f>
        <v/>
      </c>
      <c r="AN6086">
        <f>INDEX($U$6024:$U$6151,AG6086+1)</f>
        <v/>
      </c>
      <c r="AO6086">
        <f>INDEX($V$6024:$V$6151,AH6086+1)</f>
        <v/>
      </c>
      <c r="AP6086">
        <f>INDEX($W$6024:$W$6151,AI6086+1)</f>
        <v/>
      </c>
      <c r="AQ6086">
        <f>IF(Q6086&gt;=AJ6086-0.01,1,0)</f>
        <v/>
      </c>
      <c r="AR6086">
        <f>IF(R6086&gt;=AK6086-0.01,1,0)</f>
        <v/>
      </c>
      <c r="AS6086">
        <f>IF(S6086&gt;=AL6086-0.01,1,0)</f>
        <v/>
      </c>
      <c r="AT6086">
        <f>IF(T6086&gt;=AM6086-0.01,1,0)</f>
        <v/>
      </c>
      <c r="AU6086">
        <f>IF(U6086&gt;=AN6086-0.01,1,0)</f>
        <v/>
      </c>
      <c r="AV6086">
        <f>IF(V6086&gt;=AO6086-0.01,1,0)</f>
        <v/>
      </c>
      <c r="AW6086">
        <f>IF(W6086&gt;=AP6086-0.01,1,0)</f>
        <v/>
      </c>
      <c r="AX6086">
        <f>AQ6086*AR6086*AS6086*AT6086*AU6086*AV6086*AW6086</f>
        <v/>
      </c>
    </row>
    <row r="6087">
      <c r="A6087" t="inlineStr"/>
      <c r="B6087">
        <f>Assumptions!$B$60</f>
        <v/>
      </c>
      <c r="C6087" t="n">
        <v>0</v>
      </c>
      <c r="D6087" t="n">
        <v>1</v>
      </c>
      <c r="E6087" t="n">
        <v>1</v>
      </c>
      <c r="F6087" t="n">
        <v>1</v>
      </c>
      <c r="G6087" t="n">
        <v>1</v>
      </c>
      <c r="H6087" t="n">
        <v>1</v>
      </c>
      <c r="I6087" t="n">
        <v>1</v>
      </c>
      <c r="J6087">
        <f>(1-C6087)*Assumptions!$B$41+(1-D6087)*Assumptions!$B$33+(1-E6087)*Assumptions!$B$32+(1-F6087)*Assumptions!$B$31+(1-G6087)*Assumptions!$B$30+(1-H6087)*Assumptions!$B$29+(1-I6087)*Assumptions!$B$28</f>
        <v/>
      </c>
      <c r="K6087">
        <f>C6087*$J$757+D6087*$F$757+E6087*$G$757+F6087*Assumptions!$B$14+G6087*Assumptions!$B$13+H6087*Assumptions!$B$12+I6087*Assumptions!$B$11+$O$757+$S$757+Assumptions!$B$9</f>
        <v/>
      </c>
      <c r="L6087">
        <f>B6087-J6087</f>
        <v/>
      </c>
      <c r="M6087">
        <f>IF(K6087&gt;0,IF(L6087/K6087&gt;=Assumptions!$B$37,1,0),0)</f>
        <v/>
      </c>
      <c r="N6087">
        <f>K6087+M6087*Assumptions!$B$153</f>
        <v/>
      </c>
      <c r="O6087">
        <f>L6087+M6087*Assumptions!$B$153*Assumptions!$B$37</f>
        <v/>
      </c>
      <c r="P6087">
        <f>IF(N6087&gt;0,O6087/N6087,0)</f>
        <v/>
      </c>
      <c r="Q6087">
        <f>IF(C6087=1,P6087*$J$757,Assumptions!$B$41)</f>
        <v/>
      </c>
      <c r="R6087">
        <f>IF(D6087=1,P6087*$F$757,Assumptions!$B$33)</f>
        <v/>
      </c>
      <c r="S6087">
        <f>IF(E6087=1,P6087*$G$757,Assumptions!$B$32)</f>
        <v/>
      </c>
      <c r="T6087">
        <f>IF(F6087=1,P6087*Assumptions!$B$14,Assumptions!$B$31)</f>
        <v/>
      </c>
      <c r="U6087">
        <f>IF(G6087=1,P6087*Assumptions!$B$13,Assumptions!$B$30)</f>
        <v/>
      </c>
      <c r="V6087">
        <f>IF(H6087=1,P6087*Assumptions!$B$12,Assumptions!$B$29)</f>
        <v/>
      </c>
      <c r="W6087">
        <f>IF(I6087=1,P6087*Assumptions!$B$11,Assumptions!$B$28)</f>
        <v/>
      </c>
      <c r="X6087">
        <f>P6087*($O$757+$S$757)</f>
        <v/>
      </c>
      <c r="Y6087">
        <f>P6087*Assumptions!$B$9</f>
        <v/>
      </c>
      <c r="Z6087">
        <f>IF(M6087=1,(P6087-Assumptions!$B$37)*Assumptions!$B$153,0)</f>
        <v/>
      </c>
      <c r="AA6087">
        <f>Q6087+R6087+S6087+T6087+U6087+V6087+W6087+X6087+Y6087+Z6087</f>
        <v/>
      </c>
      <c r="AB6087" t="n">
        <v>63</v>
      </c>
      <c r="AC6087" t="n">
        <v>127</v>
      </c>
      <c r="AD6087" t="n">
        <v>31</v>
      </c>
      <c r="AE6087" t="n">
        <v>47</v>
      </c>
      <c r="AF6087" t="n">
        <v>55</v>
      </c>
      <c r="AG6087" t="n">
        <v>59</v>
      </c>
      <c r="AH6087" t="n">
        <v>61</v>
      </c>
      <c r="AI6087" t="n">
        <v>62</v>
      </c>
      <c r="AJ6087">
        <f>INDEX($Q$6024:$Q$6151,AC6087+1)</f>
        <v/>
      </c>
      <c r="AK6087">
        <f>INDEX($R$6024:$R$6151,AD6087+1)</f>
        <v/>
      </c>
      <c r="AL6087">
        <f>INDEX($S$6024:$S$6151,AE6087+1)</f>
        <v/>
      </c>
      <c r="AM6087">
        <f>INDEX($T$6024:$T$6151,AF6087+1)</f>
        <v/>
      </c>
      <c r="AN6087">
        <f>INDEX($U$6024:$U$6151,AG6087+1)</f>
        <v/>
      </c>
      <c r="AO6087">
        <f>INDEX($V$6024:$V$6151,AH6087+1)</f>
        <v/>
      </c>
      <c r="AP6087">
        <f>INDEX($W$6024:$W$6151,AI6087+1)</f>
        <v/>
      </c>
      <c r="AQ6087">
        <f>IF(Q6087&gt;=AJ6087-0.01,1,0)</f>
        <v/>
      </c>
      <c r="AR6087">
        <f>IF(R6087&gt;=AK6087-0.01,1,0)</f>
        <v/>
      </c>
      <c r="AS6087">
        <f>IF(S6087&gt;=AL6087-0.01,1,0)</f>
        <v/>
      </c>
      <c r="AT6087">
        <f>IF(T6087&gt;=AM6087-0.01,1,0)</f>
        <v/>
      </c>
      <c r="AU6087">
        <f>IF(U6087&gt;=AN6087-0.01,1,0)</f>
        <v/>
      </c>
      <c r="AV6087">
        <f>IF(V6087&gt;=AO6087-0.01,1,0)</f>
        <v/>
      </c>
      <c r="AW6087">
        <f>IF(W6087&gt;=AP6087-0.01,1,0)</f>
        <v/>
      </c>
      <c r="AX6087">
        <f>AQ6087*AR6087*AS6087*AT6087*AU6087*AV6087*AW6087</f>
        <v/>
      </c>
    </row>
    <row r="6088">
      <c r="A6088" t="inlineStr"/>
      <c r="B6088">
        <f>Assumptions!$B$60</f>
        <v/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>
        <f>(1-C6088)*Assumptions!$B$41+(1-D6088)*Assumptions!$B$33+(1-E6088)*Assumptions!$B$32+(1-F6088)*Assumptions!$B$31+(1-G6088)*Assumptions!$B$30+(1-H6088)*Assumptions!$B$29+(1-I6088)*Assumptions!$B$28</f>
        <v/>
      </c>
      <c r="K6088">
        <f>C6088*$J$757+D6088*$F$757+E6088*$G$757+F6088*Assumptions!$B$14+G6088*Assumptions!$B$13+H6088*Assumptions!$B$12+I6088*Assumptions!$B$11+$O$757+$S$757+Assumptions!$B$9</f>
        <v/>
      </c>
      <c r="L6088">
        <f>B6088-J6088</f>
        <v/>
      </c>
      <c r="M6088">
        <f>IF(K6088&gt;0,IF(L6088/K6088&gt;=Assumptions!$B$37,1,0),0)</f>
        <v/>
      </c>
      <c r="N6088">
        <f>K6088+M6088*Assumptions!$B$153</f>
        <v/>
      </c>
      <c r="O6088">
        <f>L6088+M6088*Assumptions!$B$153*Assumptions!$B$37</f>
        <v/>
      </c>
      <c r="P6088">
        <f>IF(N6088&gt;0,O6088/N6088,0)</f>
        <v/>
      </c>
      <c r="Q6088">
        <f>IF(C6088=1,P6088*$J$757,Assumptions!$B$41)</f>
        <v/>
      </c>
      <c r="R6088">
        <f>IF(D6088=1,P6088*$F$757,Assumptions!$B$33)</f>
        <v/>
      </c>
      <c r="S6088">
        <f>IF(E6088=1,P6088*$G$757,Assumptions!$B$32)</f>
        <v/>
      </c>
      <c r="T6088">
        <f>IF(F6088=1,P6088*Assumptions!$B$14,Assumptions!$B$31)</f>
        <v/>
      </c>
      <c r="U6088">
        <f>IF(G6088=1,P6088*Assumptions!$B$13,Assumptions!$B$30)</f>
        <v/>
      </c>
      <c r="V6088">
        <f>IF(H6088=1,P6088*Assumptions!$B$12,Assumptions!$B$29)</f>
        <v/>
      </c>
      <c r="W6088">
        <f>IF(I6088=1,P6088*Assumptions!$B$11,Assumptions!$B$28)</f>
        <v/>
      </c>
      <c r="X6088">
        <f>P6088*($O$757+$S$757)</f>
        <v/>
      </c>
      <c r="Y6088">
        <f>P6088*Assumptions!$B$9</f>
        <v/>
      </c>
      <c r="Z6088">
        <f>IF(M6088=1,(P6088-Assumptions!$B$37)*Assumptions!$B$153,0)</f>
        <v/>
      </c>
      <c r="AA6088">
        <f>Q6088+R6088+S6088+T6088+U6088+V6088+W6088+X6088+Y6088+Z6088</f>
        <v/>
      </c>
      <c r="AB6088" t="n">
        <v>64</v>
      </c>
      <c r="AC6088" t="n">
        <v>0</v>
      </c>
      <c r="AD6088" t="n">
        <v>96</v>
      </c>
      <c r="AE6088" t="n">
        <v>80</v>
      </c>
      <c r="AF6088" t="n">
        <v>72</v>
      </c>
      <c r="AG6088" t="n">
        <v>68</v>
      </c>
      <c r="AH6088" t="n">
        <v>66</v>
      </c>
      <c r="AI6088" t="n">
        <v>65</v>
      </c>
      <c r="AJ6088">
        <f>INDEX($Q$6024:$Q$6151,AC6088+1)</f>
        <v/>
      </c>
      <c r="AK6088">
        <f>INDEX($R$6024:$R$6151,AD6088+1)</f>
        <v/>
      </c>
      <c r="AL6088">
        <f>INDEX($S$6024:$S$6151,AE6088+1)</f>
        <v/>
      </c>
      <c r="AM6088">
        <f>INDEX($T$6024:$T$6151,AF6088+1)</f>
        <v/>
      </c>
      <c r="AN6088">
        <f>INDEX($U$6024:$U$6151,AG6088+1)</f>
        <v/>
      </c>
      <c r="AO6088">
        <f>INDEX($V$6024:$V$6151,AH6088+1)</f>
        <v/>
      </c>
      <c r="AP6088">
        <f>INDEX($W$6024:$W$6151,AI6088+1)</f>
        <v/>
      </c>
      <c r="AQ6088">
        <f>IF(Q6088&gt;=AJ6088-0.01,1,0)</f>
        <v/>
      </c>
      <c r="AR6088">
        <f>IF(R6088&gt;=AK6088-0.01,1,0)</f>
        <v/>
      </c>
      <c r="AS6088">
        <f>IF(S6088&gt;=AL6088-0.01,1,0)</f>
        <v/>
      </c>
      <c r="AT6088">
        <f>IF(T6088&gt;=AM6088-0.01,1,0)</f>
        <v/>
      </c>
      <c r="AU6088">
        <f>IF(U6088&gt;=AN6088-0.01,1,0)</f>
        <v/>
      </c>
      <c r="AV6088">
        <f>IF(V6088&gt;=AO6088-0.01,1,0)</f>
        <v/>
      </c>
      <c r="AW6088">
        <f>IF(W6088&gt;=AP6088-0.01,1,0)</f>
        <v/>
      </c>
      <c r="AX6088">
        <f>AQ6088*AR6088*AS6088*AT6088*AU6088*AV6088*AW6088</f>
        <v/>
      </c>
    </row>
    <row r="6089">
      <c r="A6089" t="inlineStr"/>
      <c r="B6089">
        <f>Assumptions!$B$60</f>
        <v/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</v>
      </c>
      <c r="J6089">
        <f>(1-C6089)*Assumptions!$B$41+(1-D6089)*Assumptions!$B$33+(1-E6089)*Assumptions!$B$32+(1-F6089)*Assumptions!$B$31+(1-G6089)*Assumptions!$B$30+(1-H6089)*Assumptions!$B$29+(1-I6089)*Assumptions!$B$28</f>
        <v/>
      </c>
      <c r="K6089">
        <f>C6089*$J$757+D6089*$F$757+E6089*$G$757+F6089*Assumptions!$B$14+G6089*Assumptions!$B$13+H6089*Assumptions!$B$12+I6089*Assumptions!$B$11+$O$757+$S$757+Assumptions!$B$9</f>
        <v/>
      </c>
      <c r="L6089">
        <f>B6089-J6089</f>
        <v/>
      </c>
      <c r="M6089">
        <f>IF(K6089&gt;0,IF(L6089/K6089&gt;=Assumptions!$B$37,1,0),0)</f>
        <v/>
      </c>
      <c r="N6089">
        <f>K6089+M6089*Assumptions!$B$153</f>
        <v/>
      </c>
      <c r="O6089">
        <f>L6089+M6089*Assumptions!$B$153*Assumptions!$B$37</f>
        <v/>
      </c>
      <c r="P6089">
        <f>IF(N6089&gt;0,O6089/N6089,0)</f>
        <v/>
      </c>
      <c r="Q6089">
        <f>IF(C6089=1,P6089*$J$757,Assumptions!$B$41)</f>
        <v/>
      </c>
      <c r="R6089">
        <f>IF(D6089=1,P6089*$F$757,Assumptions!$B$33)</f>
        <v/>
      </c>
      <c r="S6089">
        <f>IF(E6089=1,P6089*$G$757,Assumptions!$B$32)</f>
        <v/>
      </c>
      <c r="T6089">
        <f>IF(F6089=1,P6089*Assumptions!$B$14,Assumptions!$B$31)</f>
        <v/>
      </c>
      <c r="U6089">
        <f>IF(G6089=1,P6089*Assumptions!$B$13,Assumptions!$B$30)</f>
        <v/>
      </c>
      <c r="V6089">
        <f>IF(H6089=1,P6089*Assumptions!$B$12,Assumptions!$B$29)</f>
        <v/>
      </c>
      <c r="W6089">
        <f>IF(I6089=1,P6089*Assumptions!$B$11,Assumptions!$B$28)</f>
        <v/>
      </c>
      <c r="X6089">
        <f>P6089*($O$757+$S$757)</f>
        <v/>
      </c>
      <c r="Y6089">
        <f>P6089*Assumptions!$B$9</f>
        <v/>
      </c>
      <c r="Z6089">
        <f>IF(M6089=1,(P6089-Assumptions!$B$37)*Assumptions!$B$153,0)</f>
        <v/>
      </c>
      <c r="AA6089">
        <f>Q6089+R6089+S6089+T6089+U6089+V6089+W6089+X6089+Y6089+Z6089</f>
        <v/>
      </c>
      <c r="AB6089" t="n">
        <v>65</v>
      </c>
      <c r="AC6089" t="n">
        <v>1</v>
      </c>
      <c r="AD6089" t="n">
        <v>97</v>
      </c>
      <c r="AE6089" t="n">
        <v>81</v>
      </c>
      <c r="AF6089" t="n">
        <v>73</v>
      </c>
      <c r="AG6089" t="n">
        <v>69</v>
      </c>
      <c r="AH6089" t="n">
        <v>67</v>
      </c>
      <c r="AI6089" t="n">
        <v>64</v>
      </c>
      <c r="AJ6089">
        <f>INDEX($Q$6024:$Q$6151,AC6089+1)</f>
        <v/>
      </c>
      <c r="AK6089">
        <f>INDEX($R$6024:$R$6151,AD6089+1)</f>
        <v/>
      </c>
      <c r="AL6089">
        <f>INDEX($S$6024:$S$6151,AE6089+1)</f>
        <v/>
      </c>
      <c r="AM6089">
        <f>INDEX($T$6024:$T$6151,AF6089+1)</f>
        <v/>
      </c>
      <c r="AN6089">
        <f>INDEX($U$6024:$U$6151,AG6089+1)</f>
        <v/>
      </c>
      <c r="AO6089">
        <f>INDEX($V$6024:$V$6151,AH6089+1)</f>
        <v/>
      </c>
      <c r="AP6089">
        <f>INDEX($W$6024:$W$6151,AI6089+1)</f>
        <v/>
      </c>
      <c r="AQ6089">
        <f>IF(Q6089&gt;=AJ6089-0.01,1,0)</f>
        <v/>
      </c>
      <c r="AR6089">
        <f>IF(R6089&gt;=AK6089-0.01,1,0)</f>
        <v/>
      </c>
      <c r="AS6089">
        <f>IF(S6089&gt;=AL6089-0.01,1,0)</f>
        <v/>
      </c>
      <c r="AT6089">
        <f>IF(T6089&gt;=AM6089-0.01,1,0)</f>
        <v/>
      </c>
      <c r="AU6089">
        <f>IF(U6089&gt;=AN6089-0.01,1,0)</f>
        <v/>
      </c>
      <c r="AV6089">
        <f>IF(V6089&gt;=AO6089-0.01,1,0)</f>
        <v/>
      </c>
      <c r="AW6089">
        <f>IF(W6089&gt;=AP6089-0.01,1,0)</f>
        <v/>
      </c>
      <c r="AX6089">
        <f>AQ6089*AR6089*AS6089*AT6089*AU6089*AV6089*AW6089</f>
        <v/>
      </c>
    </row>
    <row r="6090">
      <c r="A6090" t="inlineStr"/>
      <c r="B6090">
        <f>Assumptions!$B$60</f>
        <v/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0</v>
      </c>
      <c r="J6090">
        <f>(1-C6090)*Assumptions!$B$41+(1-D6090)*Assumptions!$B$33+(1-E6090)*Assumptions!$B$32+(1-F6090)*Assumptions!$B$31+(1-G6090)*Assumptions!$B$30+(1-H6090)*Assumptions!$B$29+(1-I6090)*Assumptions!$B$28</f>
        <v/>
      </c>
      <c r="K6090">
        <f>C6090*$J$757+D6090*$F$757+E6090*$G$757+F6090*Assumptions!$B$14+G6090*Assumptions!$B$13+H6090*Assumptions!$B$12+I6090*Assumptions!$B$11+$O$757+$S$757+Assumptions!$B$9</f>
        <v/>
      </c>
      <c r="L6090">
        <f>B6090-J6090</f>
        <v/>
      </c>
      <c r="M6090">
        <f>IF(K6090&gt;0,IF(L6090/K6090&gt;=Assumptions!$B$37,1,0),0)</f>
        <v/>
      </c>
      <c r="N6090">
        <f>K6090+M6090*Assumptions!$B$153</f>
        <v/>
      </c>
      <c r="O6090">
        <f>L6090+M6090*Assumptions!$B$153*Assumptions!$B$37</f>
        <v/>
      </c>
      <c r="P6090">
        <f>IF(N6090&gt;0,O6090/N6090,0)</f>
        <v/>
      </c>
      <c r="Q6090">
        <f>IF(C6090=1,P6090*$J$757,Assumptions!$B$41)</f>
        <v/>
      </c>
      <c r="R6090">
        <f>IF(D6090=1,P6090*$F$757,Assumptions!$B$33)</f>
        <v/>
      </c>
      <c r="S6090">
        <f>IF(E6090=1,P6090*$G$757,Assumptions!$B$32)</f>
        <v/>
      </c>
      <c r="T6090">
        <f>IF(F6090=1,P6090*Assumptions!$B$14,Assumptions!$B$31)</f>
        <v/>
      </c>
      <c r="U6090">
        <f>IF(G6090=1,P6090*Assumptions!$B$13,Assumptions!$B$30)</f>
        <v/>
      </c>
      <c r="V6090">
        <f>IF(H6090=1,P6090*Assumptions!$B$12,Assumptions!$B$29)</f>
        <v/>
      </c>
      <c r="W6090">
        <f>IF(I6090=1,P6090*Assumptions!$B$11,Assumptions!$B$28)</f>
        <v/>
      </c>
      <c r="X6090">
        <f>P6090*($O$757+$S$757)</f>
        <v/>
      </c>
      <c r="Y6090">
        <f>P6090*Assumptions!$B$9</f>
        <v/>
      </c>
      <c r="Z6090">
        <f>IF(M6090=1,(P6090-Assumptions!$B$37)*Assumptions!$B$153,0)</f>
        <v/>
      </c>
      <c r="AA6090">
        <f>Q6090+R6090+S6090+T6090+U6090+V6090+W6090+X6090+Y6090+Z6090</f>
        <v/>
      </c>
      <c r="AB6090" t="n">
        <v>66</v>
      </c>
      <c r="AC6090" t="n">
        <v>2</v>
      </c>
      <c r="AD6090" t="n">
        <v>98</v>
      </c>
      <c r="AE6090" t="n">
        <v>82</v>
      </c>
      <c r="AF6090" t="n">
        <v>74</v>
      </c>
      <c r="AG6090" t="n">
        <v>70</v>
      </c>
      <c r="AH6090" t="n">
        <v>64</v>
      </c>
      <c r="AI6090" t="n">
        <v>67</v>
      </c>
      <c r="AJ6090">
        <f>INDEX($Q$6024:$Q$6151,AC6090+1)</f>
        <v/>
      </c>
      <c r="AK6090">
        <f>INDEX($R$6024:$R$6151,AD6090+1)</f>
        <v/>
      </c>
      <c r="AL6090">
        <f>INDEX($S$6024:$S$6151,AE6090+1)</f>
        <v/>
      </c>
      <c r="AM6090">
        <f>INDEX($T$6024:$T$6151,AF6090+1)</f>
        <v/>
      </c>
      <c r="AN6090">
        <f>INDEX($U$6024:$U$6151,AG6090+1)</f>
        <v/>
      </c>
      <c r="AO6090">
        <f>INDEX($V$6024:$V$6151,AH6090+1)</f>
        <v/>
      </c>
      <c r="AP6090">
        <f>INDEX($W$6024:$W$6151,AI6090+1)</f>
        <v/>
      </c>
      <c r="AQ6090">
        <f>IF(Q6090&gt;=AJ6090-0.01,1,0)</f>
        <v/>
      </c>
      <c r="AR6090">
        <f>IF(R6090&gt;=AK6090-0.01,1,0)</f>
        <v/>
      </c>
      <c r="AS6090">
        <f>IF(S6090&gt;=AL6090-0.01,1,0)</f>
        <v/>
      </c>
      <c r="AT6090">
        <f>IF(T6090&gt;=AM6090-0.01,1,0)</f>
        <v/>
      </c>
      <c r="AU6090">
        <f>IF(U6090&gt;=AN6090-0.01,1,0)</f>
        <v/>
      </c>
      <c r="AV6090">
        <f>IF(V6090&gt;=AO6090-0.01,1,0)</f>
        <v/>
      </c>
      <c r="AW6090">
        <f>IF(W6090&gt;=AP6090-0.01,1,0)</f>
        <v/>
      </c>
      <c r="AX6090">
        <f>AQ6090*AR6090*AS6090*AT6090*AU6090*AV6090*AW6090</f>
        <v/>
      </c>
    </row>
    <row r="6091">
      <c r="A6091" t="inlineStr"/>
      <c r="B6091">
        <f>Assumptions!$B$60</f>
        <v/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</v>
      </c>
      <c r="J6091">
        <f>(1-C6091)*Assumptions!$B$41+(1-D6091)*Assumptions!$B$33+(1-E6091)*Assumptions!$B$32+(1-F6091)*Assumptions!$B$31+(1-G6091)*Assumptions!$B$30+(1-H6091)*Assumptions!$B$29+(1-I6091)*Assumptions!$B$28</f>
        <v/>
      </c>
      <c r="K6091">
        <f>C6091*$J$757+D6091*$F$757+E6091*$G$757+F6091*Assumptions!$B$14+G6091*Assumptions!$B$13+H6091*Assumptions!$B$12+I6091*Assumptions!$B$11+$O$757+$S$757+Assumptions!$B$9</f>
        <v/>
      </c>
      <c r="L6091">
        <f>B6091-J6091</f>
        <v/>
      </c>
      <c r="M6091">
        <f>IF(K6091&gt;0,IF(L6091/K6091&gt;=Assumptions!$B$37,1,0),0)</f>
        <v/>
      </c>
      <c r="N6091">
        <f>K6091+M6091*Assumptions!$B$153</f>
        <v/>
      </c>
      <c r="O6091">
        <f>L6091+M6091*Assumptions!$B$153*Assumptions!$B$37</f>
        <v/>
      </c>
      <c r="P6091">
        <f>IF(N6091&gt;0,O6091/N6091,0)</f>
        <v/>
      </c>
      <c r="Q6091">
        <f>IF(C6091=1,P6091*$J$757,Assumptions!$B$41)</f>
        <v/>
      </c>
      <c r="R6091">
        <f>IF(D6091=1,P6091*$F$757,Assumptions!$B$33)</f>
        <v/>
      </c>
      <c r="S6091">
        <f>IF(E6091=1,P6091*$G$757,Assumptions!$B$32)</f>
        <v/>
      </c>
      <c r="T6091">
        <f>IF(F6091=1,P6091*Assumptions!$B$14,Assumptions!$B$31)</f>
        <v/>
      </c>
      <c r="U6091">
        <f>IF(G6091=1,P6091*Assumptions!$B$13,Assumptions!$B$30)</f>
        <v/>
      </c>
      <c r="V6091">
        <f>IF(H6091=1,P6091*Assumptions!$B$12,Assumptions!$B$29)</f>
        <v/>
      </c>
      <c r="W6091">
        <f>IF(I6091=1,P6091*Assumptions!$B$11,Assumptions!$B$28)</f>
        <v/>
      </c>
      <c r="X6091">
        <f>P6091*($O$757+$S$757)</f>
        <v/>
      </c>
      <c r="Y6091">
        <f>P6091*Assumptions!$B$9</f>
        <v/>
      </c>
      <c r="Z6091">
        <f>IF(M6091=1,(P6091-Assumptions!$B$37)*Assumptions!$B$153,0)</f>
        <v/>
      </c>
      <c r="AA6091">
        <f>Q6091+R6091+S6091+T6091+U6091+V6091+W6091+X6091+Y6091+Z6091</f>
        <v/>
      </c>
      <c r="AB6091" t="n">
        <v>67</v>
      </c>
      <c r="AC6091" t="n">
        <v>3</v>
      </c>
      <c r="AD6091" t="n">
        <v>99</v>
      </c>
      <c r="AE6091" t="n">
        <v>83</v>
      </c>
      <c r="AF6091" t="n">
        <v>75</v>
      </c>
      <c r="AG6091" t="n">
        <v>71</v>
      </c>
      <c r="AH6091" t="n">
        <v>65</v>
      </c>
      <c r="AI6091" t="n">
        <v>66</v>
      </c>
      <c r="AJ6091">
        <f>INDEX($Q$6024:$Q$6151,AC6091+1)</f>
        <v/>
      </c>
      <c r="AK6091">
        <f>INDEX($R$6024:$R$6151,AD6091+1)</f>
        <v/>
      </c>
      <c r="AL6091">
        <f>INDEX($S$6024:$S$6151,AE6091+1)</f>
        <v/>
      </c>
      <c r="AM6091">
        <f>INDEX($T$6024:$T$6151,AF6091+1)</f>
        <v/>
      </c>
      <c r="AN6091">
        <f>INDEX($U$6024:$U$6151,AG6091+1)</f>
        <v/>
      </c>
      <c r="AO6091">
        <f>INDEX($V$6024:$V$6151,AH6091+1)</f>
        <v/>
      </c>
      <c r="AP6091">
        <f>INDEX($W$6024:$W$6151,AI6091+1)</f>
        <v/>
      </c>
      <c r="AQ6091">
        <f>IF(Q6091&gt;=AJ6091-0.01,1,0)</f>
        <v/>
      </c>
      <c r="AR6091">
        <f>IF(R6091&gt;=AK6091-0.01,1,0)</f>
        <v/>
      </c>
      <c r="AS6091">
        <f>IF(S6091&gt;=AL6091-0.01,1,0)</f>
        <v/>
      </c>
      <c r="AT6091">
        <f>IF(T6091&gt;=AM6091-0.01,1,0)</f>
        <v/>
      </c>
      <c r="AU6091">
        <f>IF(U6091&gt;=AN6091-0.01,1,0)</f>
        <v/>
      </c>
      <c r="AV6091">
        <f>IF(V6091&gt;=AO6091-0.01,1,0)</f>
        <v/>
      </c>
      <c r="AW6091">
        <f>IF(W6091&gt;=AP6091-0.01,1,0)</f>
        <v/>
      </c>
      <c r="AX6091">
        <f>AQ6091*AR6091*AS6091*AT6091*AU6091*AV6091*AW6091</f>
        <v/>
      </c>
    </row>
    <row r="6092">
      <c r="A6092" t="inlineStr"/>
      <c r="B6092">
        <f>Assumptions!$B$60</f>
        <v/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0</v>
      </c>
      <c r="I6092" t="n">
        <v>0</v>
      </c>
      <c r="J6092">
        <f>(1-C6092)*Assumptions!$B$41+(1-D6092)*Assumptions!$B$33+(1-E6092)*Assumptions!$B$32+(1-F6092)*Assumptions!$B$31+(1-G6092)*Assumptions!$B$30+(1-H6092)*Assumptions!$B$29+(1-I6092)*Assumptions!$B$28</f>
        <v/>
      </c>
      <c r="K6092">
        <f>C6092*$J$757+D6092*$F$757+E6092*$G$757+F6092*Assumptions!$B$14+G6092*Assumptions!$B$13+H6092*Assumptions!$B$12+I6092*Assumptions!$B$11+$O$757+$S$757+Assumptions!$B$9</f>
        <v/>
      </c>
      <c r="L6092">
        <f>B6092-J6092</f>
        <v/>
      </c>
      <c r="M6092">
        <f>IF(K6092&gt;0,IF(L6092/K6092&gt;=Assumptions!$B$37,1,0),0)</f>
        <v/>
      </c>
      <c r="N6092">
        <f>K6092+M6092*Assumptions!$B$153</f>
        <v/>
      </c>
      <c r="O6092">
        <f>L6092+M6092*Assumptions!$B$153*Assumptions!$B$37</f>
        <v/>
      </c>
      <c r="P6092">
        <f>IF(N6092&gt;0,O6092/N6092,0)</f>
        <v/>
      </c>
      <c r="Q6092">
        <f>IF(C6092=1,P6092*$J$757,Assumptions!$B$41)</f>
        <v/>
      </c>
      <c r="R6092">
        <f>IF(D6092=1,P6092*$F$757,Assumptions!$B$33)</f>
        <v/>
      </c>
      <c r="S6092">
        <f>IF(E6092=1,P6092*$G$757,Assumptions!$B$32)</f>
        <v/>
      </c>
      <c r="T6092">
        <f>IF(F6092=1,P6092*Assumptions!$B$14,Assumptions!$B$31)</f>
        <v/>
      </c>
      <c r="U6092">
        <f>IF(G6092=1,P6092*Assumptions!$B$13,Assumptions!$B$30)</f>
        <v/>
      </c>
      <c r="V6092">
        <f>IF(H6092=1,P6092*Assumptions!$B$12,Assumptions!$B$29)</f>
        <v/>
      </c>
      <c r="W6092">
        <f>IF(I6092=1,P6092*Assumptions!$B$11,Assumptions!$B$28)</f>
        <v/>
      </c>
      <c r="X6092">
        <f>P6092*($O$757+$S$757)</f>
        <v/>
      </c>
      <c r="Y6092">
        <f>P6092*Assumptions!$B$9</f>
        <v/>
      </c>
      <c r="Z6092">
        <f>IF(M6092=1,(P6092-Assumptions!$B$37)*Assumptions!$B$153,0)</f>
        <v/>
      </c>
      <c r="AA6092">
        <f>Q6092+R6092+S6092+T6092+U6092+V6092+W6092+X6092+Y6092+Z6092</f>
        <v/>
      </c>
      <c r="AB6092" t="n">
        <v>68</v>
      </c>
      <c r="AC6092" t="n">
        <v>4</v>
      </c>
      <c r="AD6092" t="n">
        <v>100</v>
      </c>
      <c r="AE6092" t="n">
        <v>84</v>
      </c>
      <c r="AF6092" t="n">
        <v>76</v>
      </c>
      <c r="AG6092" t="n">
        <v>64</v>
      </c>
      <c r="AH6092" t="n">
        <v>70</v>
      </c>
      <c r="AI6092" t="n">
        <v>69</v>
      </c>
      <c r="AJ6092">
        <f>INDEX($Q$6024:$Q$6151,AC6092+1)</f>
        <v/>
      </c>
      <c r="AK6092">
        <f>INDEX($R$6024:$R$6151,AD6092+1)</f>
        <v/>
      </c>
      <c r="AL6092">
        <f>INDEX($S$6024:$S$6151,AE6092+1)</f>
        <v/>
      </c>
      <c r="AM6092">
        <f>INDEX($T$6024:$T$6151,AF6092+1)</f>
        <v/>
      </c>
      <c r="AN6092">
        <f>INDEX($U$6024:$U$6151,AG6092+1)</f>
        <v/>
      </c>
      <c r="AO6092">
        <f>INDEX($V$6024:$V$6151,AH6092+1)</f>
        <v/>
      </c>
      <c r="AP6092">
        <f>INDEX($W$6024:$W$6151,AI6092+1)</f>
        <v/>
      </c>
      <c r="AQ6092">
        <f>IF(Q6092&gt;=AJ6092-0.01,1,0)</f>
        <v/>
      </c>
      <c r="AR6092">
        <f>IF(R6092&gt;=AK6092-0.01,1,0)</f>
        <v/>
      </c>
      <c r="AS6092">
        <f>IF(S6092&gt;=AL6092-0.01,1,0)</f>
        <v/>
      </c>
      <c r="AT6092">
        <f>IF(T6092&gt;=AM6092-0.01,1,0)</f>
        <v/>
      </c>
      <c r="AU6092">
        <f>IF(U6092&gt;=AN6092-0.01,1,0)</f>
        <v/>
      </c>
      <c r="AV6092">
        <f>IF(V6092&gt;=AO6092-0.01,1,0)</f>
        <v/>
      </c>
      <c r="AW6092">
        <f>IF(W6092&gt;=AP6092-0.01,1,0)</f>
        <v/>
      </c>
      <c r="AX6092">
        <f>AQ6092*AR6092*AS6092*AT6092*AU6092*AV6092*AW6092</f>
        <v/>
      </c>
    </row>
    <row r="6093">
      <c r="A6093" t="inlineStr"/>
      <c r="B6093">
        <f>Assumptions!$B$60</f>
        <v/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0</v>
      </c>
      <c r="I6093" t="n">
        <v>1</v>
      </c>
      <c r="J6093">
        <f>(1-C6093)*Assumptions!$B$41+(1-D6093)*Assumptions!$B$33+(1-E6093)*Assumptions!$B$32+(1-F6093)*Assumptions!$B$31+(1-G6093)*Assumptions!$B$30+(1-H6093)*Assumptions!$B$29+(1-I6093)*Assumptions!$B$28</f>
        <v/>
      </c>
      <c r="K6093">
        <f>C6093*$J$757+D6093*$F$757+E6093*$G$757+F6093*Assumptions!$B$14+G6093*Assumptions!$B$13+H6093*Assumptions!$B$12+I6093*Assumptions!$B$11+$O$757+$S$757+Assumptions!$B$9</f>
        <v/>
      </c>
      <c r="L6093">
        <f>B6093-J6093</f>
        <v/>
      </c>
      <c r="M6093">
        <f>IF(K6093&gt;0,IF(L6093/K6093&gt;=Assumptions!$B$37,1,0),0)</f>
        <v/>
      </c>
      <c r="N6093">
        <f>K6093+M6093*Assumptions!$B$153</f>
        <v/>
      </c>
      <c r="O6093">
        <f>L6093+M6093*Assumptions!$B$153*Assumptions!$B$37</f>
        <v/>
      </c>
      <c r="P6093">
        <f>IF(N6093&gt;0,O6093/N6093,0)</f>
        <v/>
      </c>
      <c r="Q6093">
        <f>IF(C6093=1,P6093*$J$757,Assumptions!$B$41)</f>
        <v/>
      </c>
      <c r="R6093">
        <f>IF(D6093=1,P6093*$F$757,Assumptions!$B$33)</f>
        <v/>
      </c>
      <c r="S6093">
        <f>IF(E6093=1,P6093*$G$757,Assumptions!$B$32)</f>
        <v/>
      </c>
      <c r="T6093">
        <f>IF(F6093=1,P6093*Assumptions!$B$14,Assumptions!$B$31)</f>
        <v/>
      </c>
      <c r="U6093">
        <f>IF(G6093=1,P6093*Assumptions!$B$13,Assumptions!$B$30)</f>
        <v/>
      </c>
      <c r="V6093">
        <f>IF(H6093=1,P6093*Assumptions!$B$12,Assumptions!$B$29)</f>
        <v/>
      </c>
      <c r="W6093">
        <f>IF(I6093=1,P6093*Assumptions!$B$11,Assumptions!$B$28)</f>
        <v/>
      </c>
      <c r="X6093">
        <f>P6093*($O$757+$S$757)</f>
        <v/>
      </c>
      <c r="Y6093">
        <f>P6093*Assumptions!$B$9</f>
        <v/>
      </c>
      <c r="Z6093">
        <f>IF(M6093=1,(P6093-Assumptions!$B$37)*Assumptions!$B$153,0)</f>
        <v/>
      </c>
      <c r="AA6093">
        <f>Q6093+R6093+S6093+T6093+U6093+V6093+W6093+X6093+Y6093+Z6093</f>
        <v/>
      </c>
      <c r="AB6093" t="n">
        <v>69</v>
      </c>
      <c r="AC6093" t="n">
        <v>5</v>
      </c>
      <c r="AD6093" t="n">
        <v>101</v>
      </c>
      <c r="AE6093" t="n">
        <v>85</v>
      </c>
      <c r="AF6093" t="n">
        <v>77</v>
      </c>
      <c r="AG6093" t="n">
        <v>65</v>
      </c>
      <c r="AH6093" t="n">
        <v>71</v>
      </c>
      <c r="AI6093" t="n">
        <v>68</v>
      </c>
      <c r="AJ6093">
        <f>INDEX($Q$6024:$Q$6151,AC6093+1)</f>
        <v/>
      </c>
      <c r="AK6093">
        <f>INDEX($R$6024:$R$6151,AD6093+1)</f>
        <v/>
      </c>
      <c r="AL6093">
        <f>INDEX($S$6024:$S$6151,AE6093+1)</f>
        <v/>
      </c>
      <c r="AM6093">
        <f>INDEX($T$6024:$T$6151,AF6093+1)</f>
        <v/>
      </c>
      <c r="AN6093">
        <f>INDEX($U$6024:$U$6151,AG6093+1)</f>
        <v/>
      </c>
      <c r="AO6093">
        <f>INDEX($V$6024:$V$6151,AH6093+1)</f>
        <v/>
      </c>
      <c r="AP6093">
        <f>INDEX($W$6024:$W$6151,AI6093+1)</f>
        <v/>
      </c>
      <c r="AQ6093">
        <f>IF(Q6093&gt;=AJ6093-0.01,1,0)</f>
        <v/>
      </c>
      <c r="AR6093">
        <f>IF(R6093&gt;=AK6093-0.01,1,0)</f>
        <v/>
      </c>
      <c r="AS6093">
        <f>IF(S6093&gt;=AL6093-0.01,1,0)</f>
        <v/>
      </c>
      <c r="AT6093">
        <f>IF(T6093&gt;=AM6093-0.01,1,0)</f>
        <v/>
      </c>
      <c r="AU6093">
        <f>IF(U6093&gt;=AN6093-0.01,1,0)</f>
        <v/>
      </c>
      <c r="AV6093">
        <f>IF(V6093&gt;=AO6093-0.01,1,0)</f>
        <v/>
      </c>
      <c r="AW6093">
        <f>IF(W6093&gt;=AP6093-0.01,1,0)</f>
        <v/>
      </c>
      <c r="AX6093">
        <f>AQ6093*AR6093*AS6093*AT6093*AU6093*AV6093*AW6093</f>
        <v/>
      </c>
    </row>
    <row r="6094">
      <c r="A6094" t="inlineStr"/>
      <c r="B6094">
        <f>Assumptions!$B$60</f>
        <v/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  <c r="I6094" t="n">
        <v>0</v>
      </c>
      <c r="J6094">
        <f>(1-C6094)*Assumptions!$B$41+(1-D6094)*Assumptions!$B$33+(1-E6094)*Assumptions!$B$32+(1-F6094)*Assumptions!$B$31+(1-G6094)*Assumptions!$B$30+(1-H6094)*Assumptions!$B$29+(1-I6094)*Assumptions!$B$28</f>
        <v/>
      </c>
      <c r="K6094">
        <f>C6094*$J$757+D6094*$F$757+E6094*$G$757+F6094*Assumptions!$B$14+G6094*Assumptions!$B$13+H6094*Assumptions!$B$12+I6094*Assumptions!$B$11+$O$757+$S$757+Assumptions!$B$9</f>
        <v/>
      </c>
      <c r="L6094">
        <f>B6094-J6094</f>
        <v/>
      </c>
      <c r="M6094">
        <f>IF(K6094&gt;0,IF(L6094/K6094&gt;=Assumptions!$B$37,1,0),0)</f>
        <v/>
      </c>
      <c r="N6094">
        <f>K6094+M6094*Assumptions!$B$153</f>
        <v/>
      </c>
      <c r="O6094">
        <f>L6094+M6094*Assumptions!$B$153*Assumptions!$B$37</f>
        <v/>
      </c>
      <c r="P6094">
        <f>IF(N6094&gt;0,O6094/N6094,0)</f>
        <v/>
      </c>
      <c r="Q6094">
        <f>IF(C6094=1,P6094*$J$757,Assumptions!$B$41)</f>
        <v/>
      </c>
      <c r="R6094">
        <f>IF(D6094=1,P6094*$F$757,Assumptions!$B$33)</f>
        <v/>
      </c>
      <c r="S6094">
        <f>IF(E6094=1,P6094*$G$757,Assumptions!$B$32)</f>
        <v/>
      </c>
      <c r="T6094">
        <f>IF(F6094=1,P6094*Assumptions!$B$14,Assumptions!$B$31)</f>
        <v/>
      </c>
      <c r="U6094">
        <f>IF(G6094=1,P6094*Assumptions!$B$13,Assumptions!$B$30)</f>
        <v/>
      </c>
      <c r="V6094">
        <f>IF(H6094=1,P6094*Assumptions!$B$12,Assumptions!$B$29)</f>
        <v/>
      </c>
      <c r="W6094">
        <f>IF(I6094=1,P6094*Assumptions!$B$11,Assumptions!$B$28)</f>
        <v/>
      </c>
      <c r="X6094">
        <f>P6094*($O$757+$S$757)</f>
        <v/>
      </c>
      <c r="Y6094">
        <f>P6094*Assumptions!$B$9</f>
        <v/>
      </c>
      <c r="Z6094">
        <f>IF(M6094=1,(P6094-Assumptions!$B$37)*Assumptions!$B$153,0)</f>
        <v/>
      </c>
      <c r="AA6094">
        <f>Q6094+R6094+S6094+T6094+U6094+V6094+W6094+X6094+Y6094+Z6094</f>
        <v/>
      </c>
      <c r="AB6094" t="n">
        <v>70</v>
      </c>
      <c r="AC6094" t="n">
        <v>6</v>
      </c>
      <c r="AD6094" t="n">
        <v>102</v>
      </c>
      <c r="AE6094" t="n">
        <v>86</v>
      </c>
      <c r="AF6094" t="n">
        <v>78</v>
      </c>
      <c r="AG6094" t="n">
        <v>66</v>
      </c>
      <c r="AH6094" t="n">
        <v>68</v>
      </c>
      <c r="AI6094" t="n">
        <v>71</v>
      </c>
      <c r="AJ6094">
        <f>INDEX($Q$6024:$Q$6151,AC6094+1)</f>
        <v/>
      </c>
      <c r="AK6094">
        <f>INDEX($R$6024:$R$6151,AD6094+1)</f>
        <v/>
      </c>
      <c r="AL6094">
        <f>INDEX($S$6024:$S$6151,AE6094+1)</f>
        <v/>
      </c>
      <c r="AM6094">
        <f>INDEX($T$6024:$T$6151,AF6094+1)</f>
        <v/>
      </c>
      <c r="AN6094">
        <f>INDEX($U$6024:$U$6151,AG6094+1)</f>
        <v/>
      </c>
      <c r="AO6094">
        <f>INDEX($V$6024:$V$6151,AH6094+1)</f>
        <v/>
      </c>
      <c r="AP6094">
        <f>INDEX($W$6024:$W$6151,AI6094+1)</f>
        <v/>
      </c>
      <c r="AQ6094">
        <f>IF(Q6094&gt;=AJ6094-0.01,1,0)</f>
        <v/>
      </c>
      <c r="AR6094">
        <f>IF(R6094&gt;=AK6094-0.01,1,0)</f>
        <v/>
      </c>
      <c r="AS6094">
        <f>IF(S6094&gt;=AL6094-0.01,1,0)</f>
        <v/>
      </c>
      <c r="AT6094">
        <f>IF(T6094&gt;=AM6094-0.01,1,0)</f>
        <v/>
      </c>
      <c r="AU6094">
        <f>IF(U6094&gt;=AN6094-0.01,1,0)</f>
        <v/>
      </c>
      <c r="AV6094">
        <f>IF(V6094&gt;=AO6094-0.01,1,0)</f>
        <v/>
      </c>
      <c r="AW6094">
        <f>IF(W6094&gt;=AP6094-0.01,1,0)</f>
        <v/>
      </c>
      <c r="AX6094">
        <f>AQ6094*AR6094*AS6094*AT6094*AU6094*AV6094*AW6094</f>
        <v/>
      </c>
    </row>
    <row r="6095">
      <c r="A6095" t="inlineStr"/>
      <c r="B6095">
        <f>Assumptions!$B$60</f>
        <v/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  <c r="I6095" t="n">
        <v>1</v>
      </c>
      <c r="J6095">
        <f>(1-C6095)*Assumptions!$B$41+(1-D6095)*Assumptions!$B$33+(1-E6095)*Assumptions!$B$32+(1-F6095)*Assumptions!$B$31+(1-G6095)*Assumptions!$B$30+(1-H6095)*Assumptions!$B$29+(1-I6095)*Assumptions!$B$28</f>
        <v/>
      </c>
      <c r="K6095">
        <f>C6095*$J$757+D6095*$F$757+E6095*$G$757+F6095*Assumptions!$B$14+G6095*Assumptions!$B$13+H6095*Assumptions!$B$12+I6095*Assumptions!$B$11+$O$757+$S$757+Assumptions!$B$9</f>
        <v/>
      </c>
      <c r="L6095">
        <f>B6095-J6095</f>
        <v/>
      </c>
      <c r="M6095">
        <f>IF(K6095&gt;0,IF(L6095/K6095&gt;=Assumptions!$B$37,1,0),0)</f>
        <v/>
      </c>
      <c r="N6095">
        <f>K6095+M6095*Assumptions!$B$153</f>
        <v/>
      </c>
      <c r="O6095">
        <f>L6095+M6095*Assumptions!$B$153*Assumptions!$B$37</f>
        <v/>
      </c>
      <c r="P6095">
        <f>IF(N6095&gt;0,O6095/N6095,0)</f>
        <v/>
      </c>
      <c r="Q6095">
        <f>IF(C6095=1,P6095*$J$757,Assumptions!$B$41)</f>
        <v/>
      </c>
      <c r="R6095">
        <f>IF(D6095=1,P6095*$F$757,Assumptions!$B$33)</f>
        <v/>
      </c>
      <c r="S6095">
        <f>IF(E6095=1,P6095*$G$757,Assumptions!$B$32)</f>
        <v/>
      </c>
      <c r="T6095">
        <f>IF(F6095=1,P6095*Assumptions!$B$14,Assumptions!$B$31)</f>
        <v/>
      </c>
      <c r="U6095">
        <f>IF(G6095=1,P6095*Assumptions!$B$13,Assumptions!$B$30)</f>
        <v/>
      </c>
      <c r="V6095">
        <f>IF(H6095=1,P6095*Assumptions!$B$12,Assumptions!$B$29)</f>
        <v/>
      </c>
      <c r="W6095">
        <f>IF(I6095=1,P6095*Assumptions!$B$11,Assumptions!$B$28)</f>
        <v/>
      </c>
      <c r="X6095">
        <f>P6095*($O$757+$S$757)</f>
        <v/>
      </c>
      <c r="Y6095">
        <f>P6095*Assumptions!$B$9</f>
        <v/>
      </c>
      <c r="Z6095">
        <f>IF(M6095=1,(P6095-Assumptions!$B$37)*Assumptions!$B$153,0)</f>
        <v/>
      </c>
      <c r="AA6095">
        <f>Q6095+R6095+S6095+T6095+U6095+V6095+W6095+X6095+Y6095+Z6095</f>
        <v/>
      </c>
      <c r="AB6095" t="n">
        <v>71</v>
      </c>
      <c r="AC6095" t="n">
        <v>7</v>
      </c>
      <c r="AD6095" t="n">
        <v>103</v>
      </c>
      <c r="AE6095" t="n">
        <v>87</v>
      </c>
      <c r="AF6095" t="n">
        <v>79</v>
      </c>
      <c r="AG6095" t="n">
        <v>67</v>
      </c>
      <c r="AH6095" t="n">
        <v>69</v>
      </c>
      <c r="AI6095" t="n">
        <v>70</v>
      </c>
      <c r="AJ6095">
        <f>INDEX($Q$6024:$Q$6151,AC6095+1)</f>
        <v/>
      </c>
      <c r="AK6095">
        <f>INDEX($R$6024:$R$6151,AD6095+1)</f>
        <v/>
      </c>
      <c r="AL6095">
        <f>INDEX($S$6024:$S$6151,AE6095+1)</f>
        <v/>
      </c>
      <c r="AM6095">
        <f>INDEX($T$6024:$T$6151,AF6095+1)</f>
        <v/>
      </c>
      <c r="AN6095">
        <f>INDEX($U$6024:$U$6151,AG6095+1)</f>
        <v/>
      </c>
      <c r="AO6095">
        <f>INDEX($V$6024:$V$6151,AH6095+1)</f>
        <v/>
      </c>
      <c r="AP6095">
        <f>INDEX($W$6024:$W$6151,AI6095+1)</f>
        <v/>
      </c>
      <c r="AQ6095">
        <f>IF(Q6095&gt;=AJ6095-0.01,1,0)</f>
        <v/>
      </c>
      <c r="AR6095">
        <f>IF(R6095&gt;=AK6095-0.01,1,0)</f>
        <v/>
      </c>
      <c r="AS6095">
        <f>IF(S6095&gt;=AL6095-0.01,1,0)</f>
        <v/>
      </c>
      <c r="AT6095">
        <f>IF(T6095&gt;=AM6095-0.01,1,0)</f>
        <v/>
      </c>
      <c r="AU6095">
        <f>IF(U6095&gt;=AN6095-0.01,1,0)</f>
        <v/>
      </c>
      <c r="AV6095">
        <f>IF(V6095&gt;=AO6095-0.01,1,0)</f>
        <v/>
      </c>
      <c r="AW6095">
        <f>IF(W6095&gt;=AP6095-0.01,1,0)</f>
        <v/>
      </c>
      <c r="AX6095">
        <f>AQ6095*AR6095*AS6095*AT6095*AU6095*AV6095*AW6095</f>
        <v/>
      </c>
    </row>
    <row r="6096">
      <c r="A6096" t="inlineStr"/>
      <c r="B6096">
        <f>Assumptions!$B$60</f>
        <v/>
      </c>
      <c r="C6096" t="n">
        <v>1</v>
      </c>
      <c r="D6096" t="n">
        <v>0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>
        <f>(1-C6096)*Assumptions!$B$41+(1-D6096)*Assumptions!$B$33+(1-E6096)*Assumptions!$B$32+(1-F6096)*Assumptions!$B$31+(1-G6096)*Assumptions!$B$30+(1-H6096)*Assumptions!$B$29+(1-I6096)*Assumptions!$B$28</f>
        <v/>
      </c>
      <c r="K6096">
        <f>C6096*$J$757+D6096*$F$757+E6096*$G$757+F6096*Assumptions!$B$14+G6096*Assumptions!$B$13+H6096*Assumptions!$B$12+I6096*Assumptions!$B$11+$O$757+$S$757+Assumptions!$B$9</f>
        <v/>
      </c>
      <c r="L6096">
        <f>B6096-J6096</f>
        <v/>
      </c>
      <c r="M6096">
        <f>IF(K6096&gt;0,IF(L6096/K6096&gt;=Assumptions!$B$37,1,0),0)</f>
        <v/>
      </c>
      <c r="N6096">
        <f>K6096+M6096*Assumptions!$B$153</f>
        <v/>
      </c>
      <c r="O6096">
        <f>L6096+M6096*Assumptions!$B$153*Assumptions!$B$37</f>
        <v/>
      </c>
      <c r="P6096">
        <f>IF(N6096&gt;0,O6096/N6096,0)</f>
        <v/>
      </c>
      <c r="Q6096">
        <f>IF(C6096=1,P6096*$J$757,Assumptions!$B$41)</f>
        <v/>
      </c>
      <c r="R6096">
        <f>IF(D6096=1,P6096*$F$757,Assumptions!$B$33)</f>
        <v/>
      </c>
      <c r="S6096">
        <f>IF(E6096=1,P6096*$G$757,Assumptions!$B$32)</f>
        <v/>
      </c>
      <c r="T6096">
        <f>IF(F6096=1,P6096*Assumptions!$B$14,Assumptions!$B$31)</f>
        <v/>
      </c>
      <c r="U6096">
        <f>IF(G6096=1,P6096*Assumptions!$B$13,Assumptions!$B$30)</f>
        <v/>
      </c>
      <c r="V6096">
        <f>IF(H6096=1,P6096*Assumptions!$B$12,Assumptions!$B$29)</f>
        <v/>
      </c>
      <c r="W6096">
        <f>IF(I6096=1,P6096*Assumptions!$B$11,Assumptions!$B$28)</f>
        <v/>
      </c>
      <c r="X6096">
        <f>P6096*($O$757+$S$757)</f>
        <v/>
      </c>
      <c r="Y6096">
        <f>P6096*Assumptions!$B$9</f>
        <v/>
      </c>
      <c r="Z6096">
        <f>IF(M6096=1,(P6096-Assumptions!$B$37)*Assumptions!$B$153,0)</f>
        <v/>
      </c>
      <c r="AA6096">
        <f>Q6096+R6096+S6096+T6096+U6096+V6096+W6096+X6096+Y6096+Z6096</f>
        <v/>
      </c>
      <c r="AB6096" t="n">
        <v>72</v>
      </c>
      <c r="AC6096" t="n">
        <v>8</v>
      </c>
      <c r="AD6096" t="n">
        <v>104</v>
      </c>
      <c r="AE6096" t="n">
        <v>88</v>
      </c>
      <c r="AF6096" t="n">
        <v>64</v>
      </c>
      <c r="AG6096" t="n">
        <v>76</v>
      </c>
      <c r="AH6096" t="n">
        <v>74</v>
      </c>
      <c r="AI6096" t="n">
        <v>73</v>
      </c>
      <c r="AJ6096">
        <f>INDEX($Q$6024:$Q$6151,AC6096+1)</f>
        <v/>
      </c>
      <c r="AK6096">
        <f>INDEX($R$6024:$R$6151,AD6096+1)</f>
        <v/>
      </c>
      <c r="AL6096">
        <f>INDEX($S$6024:$S$6151,AE6096+1)</f>
        <v/>
      </c>
      <c r="AM6096">
        <f>INDEX($T$6024:$T$6151,AF6096+1)</f>
        <v/>
      </c>
      <c r="AN6096">
        <f>INDEX($U$6024:$U$6151,AG6096+1)</f>
        <v/>
      </c>
      <c r="AO6096">
        <f>INDEX($V$6024:$V$6151,AH6096+1)</f>
        <v/>
      </c>
      <c r="AP6096">
        <f>INDEX($W$6024:$W$6151,AI6096+1)</f>
        <v/>
      </c>
      <c r="AQ6096">
        <f>IF(Q6096&gt;=AJ6096-0.01,1,0)</f>
        <v/>
      </c>
      <c r="AR6096">
        <f>IF(R6096&gt;=AK6096-0.01,1,0)</f>
        <v/>
      </c>
      <c r="AS6096">
        <f>IF(S6096&gt;=AL6096-0.01,1,0)</f>
        <v/>
      </c>
      <c r="AT6096">
        <f>IF(T6096&gt;=AM6096-0.01,1,0)</f>
        <v/>
      </c>
      <c r="AU6096">
        <f>IF(U6096&gt;=AN6096-0.01,1,0)</f>
        <v/>
      </c>
      <c r="AV6096">
        <f>IF(V6096&gt;=AO6096-0.01,1,0)</f>
        <v/>
      </c>
      <c r="AW6096">
        <f>IF(W6096&gt;=AP6096-0.01,1,0)</f>
        <v/>
      </c>
      <c r="AX6096">
        <f>AQ6096*AR6096*AS6096*AT6096*AU6096*AV6096*AW6096</f>
        <v/>
      </c>
    </row>
    <row r="6097">
      <c r="A6097" t="inlineStr"/>
      <c r="B6097">
        <f>Assumptions!$B$60</f>
        <v/>
      </c>
      <c r="C6097" t="n">
        <v>1</v>
      </c>
      <c r="D6097" t="n">
        <v>0</v>
      </c>
      <c r="E6097" t="n">
        <v>0</v>
      </c>
      <c r="F6097" t="n">
        <v>1</v>
      </c>
      <c r="G6097" t="n">
        <v>0</v>
      </c>
      <c r="H6097" t="n">
        <v>0</v>
      </c>
      <c r="I6097" t="n">
        <v>1</v>
      </c>
      <c r="J6097">
        <f>(1-C6097)*Assumptions!$B$41+(1-D6097)*Assumptions!$B$33+(1-E6097)*Assumptions!$B$32+(1-F6097)*Assumptions!$B$31+(1-G6097)*Assumptions!$B$30+(1-H6097)*Assumptions!$B$29+(1-I6097)*Assumptions!$B$28</f>
        <v/>
      </c>
      <c r="K6097">
        <f>C6097*$J$757+D6097*$F$757+E6097*$G$757+F6097*Assumptions!$B$14+G6097*Assumptions!$B$13+H6097*Assumptions!$B$12+I6097*Assumptions!$B$11+$O$757+$S$757+Assumptions!$B$9</f>
        <v/>
      </c>
      <c r="L6097">
        <f>B6097-J6097</f>
        <v/>
      </c>
      <c r="M6097">
        <f>IF(K6097&gt;0,IF(L6097/K6097&gt;=Assumptions!$B$37,1,0),0)</f>
        <v/>
      </c>
      <c r="N6097">
        <f>K6097+M6097*Assumptions!$B$153</f>
        <v/>
      </c>
      <c r="O6097">
        <f>L6097+M6097*Assumptions!$B$153*Assumptions!$B$37</f>
        <v/>
      </c>
      <c r="P6097">
        <f>IF(N6097&gt;0,O6097/N6097,0)</f>
        <v/>
      </c>
      <c r="Q6097">
        <f>IF(C6097=1,P6097*$J$757,Assumptions!$B$41)</f>
        <v/>
      </c>
      <c r="R6097">
        <f>IF(D6097=1,P6097*$F$757,Assumptions!$B$33)</f>
        <v/>
      </c>
      <c r="S6097">
        <f>IF(E6097=1,P6097*$G$757,Assumptions!$B$32)</f>
        <v/>
      </c>
      <c r="T6097">
        <f>IF(F6097=1,P6097*Assumptions!$B$14,Assumptions!$B$31)</f>
        <v/>
      </c>
      <c r="U6097">
        <f>IF(G6097=1,P6097*Assumptions!$B$13,Assumptions!$B$30)</f>
        <v/>
      </c>
      <c r="V6097">
        <f>IF(H6097=1,P6097*Assumptions!$B$12,Assumptions!$B$29)</f>
        <v/>
      </c>
      <c r="W6097">
        <f>IF(I6097=1,P6097*Assumptions!$B$11,Assumptions!$B$28)</f>
        <v/>
      </c>
      <c r="X6097">
        <f>P6097*($O$757+$S$757)</f>
        <v/>
      </c>
      <c r="Y6097">
        <f>P6097*Assumptions!$B$9</f>
        <v/>
      </c>
      <c r="Z6097">
        <f>IF(M6097=1,(P6097-Assumptions!$B$37)*Assumptions!$B$153,0)</f>
        <v/>
      </c>
      <c r="AA6097">
        <f>Q6097+R6097+S6097+T6097+U6097+V6097+W6097+X6097+Y6097+Z6097</f>
        <v/>
      </c>
      <c r="AB6097" t="n">
        <v>73</v>
      </c>
      <c r="AC6097" t="n">
        <v>9</v>
      </c>
      <c r="AD6097" t="n">
        <v>105</v>
      </c>
      <c r="AE6097" t="n">
        <v>89</v>
      </c>
      <c r="AF6097" t="n">
        <v>65</v>
      </c>
      <c r="AG6097" t="n">
        <v>77</v>
      </c>
      <c r="AH6097" t="n">
        <v>75</v>
      </c>
      <c r="AI6097" t="n">
        <v>72</v>
      </c>
      <c r="AJ6097">
        <f>INDEX($Q$6024:$Q$6151,AC6097+1)</f>
        <v/>
      </c>
      <c r="AK6097">
        <f>INDEX($R$6024:$R$6151,AD6097+1)</f>
        <v/>
      </c>
      <c r="AL6097">
        <f>INDEX($S$6024:$S$6151,AE6097+1)</f>
        <v/>
      </c>
      <c r="AM6097">
        <f>INDEX($T$6024:$T$6151,AF6097+1)</f>
        <v/>
      </c>
      <c r="AN6097">
        <f>INDEX($U$6024:$U$6151,AG6097+1)</f>
        <v/>
      </c>
      <c r="AO6097">
        <f>INDEX($V$6024:$V$6151,AH6097+1)</f>
        <v/>
      </c>
      <c r="AP6097">
        <f>INDEX($W$6024:$W$6151,AI6097+1)</f>
        <v/>
      </c>
      <c r="AQ6097">
        <f>IF(Q6097&gt;=AJ6097-0.01,1,0)</f>
        <v/>
      </c>
      <c r="AR6097">
        <f>IF(R6097&gt;=AK6097-0.01,1,0)</f>
        <v/>
      </c>
      <c r="AS6097">
        <f>IF(S6097&gt;=AL6097-0.01,1,0)</f>
        <v/>
      </c>
      <c r="AT6097">
        <f>IF(T6097&gt;=AM6097-0.01,1,0)</f>
        <v/>
      </c>
      <c r="AU6097">
        <f>IF(U6097&gt;=AN6097-0.01,1,0)</f>
        <v/>
      </c>
      <c r="AV6097">
        <f>IF(V6097&gt;=AO6097-0.01,1,0)</f>
        <v/>
      </c>
      <c r="AW6097">
        <f>IF(W6097&gt;=AP6097-0.01,1,0)</f>
        <v/>
      </c>
      <c r="AX6097">
        <f>AQ6097*AR6097*AS6097*AT6097*AU6097*AV6097*AW6097</f>
        <v/>
      </c>
    </row>
    <row r="6098">
      <c r="A6098" t="inlineStr"/>
      <c r="B6098">
        <f>Assumptions!$B$60</f>
        <v/>
      </c>
      <c r="C6098" t="n">
        <v>1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  <c r="I6098" t="n">
        <v>0</v>
      </c>
      <c r="J6098">
        <f>(1-C6098)*Assumptions!$B$41+(1-D6098)*Assumptions!$B$33+(1-E6098)*Assumptions!$B$32+(1-F6098)*Assumptions!$B$31+(1-G6098)*Assumptions!$B$30+(1-H6098)*Assumptions!$B$29+(1-I6098)*Assumptions!$B$28</f>
        <v/>
      </c>
      <c r="K6098">
        <f>C6098*$J$757+D6098*$F$757+E6098*$G$757+F6098*Assumptions!$B$14+G6098*Assumptions!$B$13+H6098*Assumptions!$B$12+I6098*Assumptions!$B$11+$O$757+$S$757+Assumptions!$B$9</f>
        <v/>
      </c>
      <c r="L6098">
        <f>B6098-J6098</f>
        <v/>
      </c>
      <c r="M6098">
        <f>IF(K6098&gt;0,IF(L6098/K6098&gt;=Assumptions!$B$37,1,0),0)</f>
        <v/>
      </c>
      <c r="N6098">
        <f>K6098+M6098*Assumptions!$B$153</f>
        <v/>
      </c>
      <c r="O6098">
        <f>L6098+M6098*Assumptions!$B$153*Assumptions!$B$37</f>
        <v/>
      </c>
      <c r="P6098">
        <f>IF(N6098&gt;0,O6098/N6098,0)</f>
        <v/>
      </c>
      <c r="Q6098">
        <f>IF(C6098=1,P6098*$J$757,Assumptions!$B$41)</f>
        <v/>
      </c>
      <c r="R6098">
        <f>IF(D6098=1,P6098*$F$757,Assumptions!$B$33)</f>
        <v/>
      </c>
      <c r="S6098">
        <f>IF(E6098=1,P6098*$G$757,Assumptions!$B$32)</f>
        <v/>
      </c>
      <c r="T6098">
        <f>IF(F6098=1,P6098*Assumptions!$B$14,Assumptions!$B$31)</f>
        <v/>
      </c>
      <c r="U6098">
        <f>IF(G6098=1,P6098*Assumptions!$B$13,Assumptions!$B$30)</f>
        <v/>
      </c>
      <c r="V6098">
        <f>IF(H6098=1,P6098*Assumptions!$B$12,Assumptions!$B$29)</f>
        <v/>
      </c>
      <c r="W6098">
        <f>IF(I6098=1,P6098*Assumptions!$B$11,Assumptions!$B$28)</f>
        <v/>
      </c>
      <c r="X6098">
        <f>P6098*($O$757+$S$757)</f>
        <v/>
      </c>
      <c r="Y6098">
        <f>P6098*Assumptions!$B$9</f>
        <v/>
      </c>
      <c r="Z6098">
        <f>IF(M6098=1,(P6098-Assumptions!$B$37)*Assumptions!$B$153,0)</f>
        <v/>
      </c>
      <c r="AA6098">
        <f>Q6098+R6098+S6098+T6098+U6098+V6098+W6098+X6098+Y6098+Z6098</f>
        <v/>
      </c>
      <c r="AB6098" t="n">
        <v>74</v>
      </c>
      <c r="AC6098" t="n">
        <v>10</v>
      </c>
      <c r="AD6098" t="n">
        <v>106</v>
      </c>
      <c r="AE6098" t="n">
        <v>90</v>
      </c>
      <c r="AF6098" t="n">
        <v>66</v>
      </c>
      <c r="AG6098" t="n">
        <v>78</v>
      </c>
      <c r="AH6098" t="n">
        <v>72</v>
      </c>
      <c r="AI6098" t="n">
        <v>75</v>
      </c>
      <c r="AJ6098">
        <f>INDEX($Q$6024:$Q$6151,AC6098+1)</f>
        <v/>
      </c>
      <c r="AK6098">
        <f>INDEX($R$6024:$R$6151,AD6098+1)</f>
        <v/>
      </c>
      <c r="AL6098">
        <f>INDEX($S$6024:$S$6151,AE6098+1)</f>
        <v/>
      </c>
      <c r="AM6098">
        <f>INDEX($T$6024:$T$6151,AF6098+1)</f>
        <v/>
      </c>
      <c r="AN6098">
        <f>INDEX($U$6024:$U$6151,AG6098+1)</f>
        <v/>
      </c>
      <c r="AO6098">
        <f>INDEX($V$6024:$V$6151,AH6098+1)</f>
        <v/>
      </c>
      <c r="AP6098">
        <f>INDEX($W$6024:$W$6151,AI6098+1)</f>
        <v/>
      </c>
      <c r="AQ6098">
        <f>IF(Q6098&gt;=AJ6098-0.01,1,0)</f>
        <v/>
      </c>
      <c r="AR6098">
        <f>IF(R6098&gt;=AK6098-0.01,1,0)</f>
        <v/>
      </c>
      <c r="AS6098">
        <f>IF(S6098&gt;=AL6098-0.01,1,0)</f>
        <v/>
      </c>
      <c r="AT6098">
        <f>IF(T6098&gt;=AM6098-0.01,1,0)</f>
        <v/>
      </c>
      <c r="AU6098">
        <f>IF(U6098&gt;=AN6098-0.01,1,0)</f>
        <v/>
      </c>
      <c r="AV6098">
        <f>IF(V6098&gt;=AO6098-0.01,1,0)</f>
        <v/>
      </c>
      <c r="AW6098">
        <f>IF(W6098&gt;=AP6098-0.01,1,0)</f>
        <v/>
      </c>
      <c r="AX6098">
        <f>AQ6098*AR6098*AS6098*AT6098*AU6098*AV6098*AW6098</f>
        <v/>
      </c>
    </row>
    <row r="6099">
      <c r="A6099" t="inlineStr"/>
      <c r="B6099">
        <f>Assumptions!$B$60</f>
        <v/>
      </c>
      <c r="C6099" t="n">
        <v>1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  <c r="I6099" t="n">
        <v>1</v>
      </c>
      <c r="J6099">
        <f>(1-C6099)*Assumptions!$B$41+(1-D6099)*Assumptions!$B$33+(1-E6099)*Assumptions!$B$32+(1-F6099)*Assumptions!$B$31+(1-G6099)*Assumptions!$B$30+(1-H6099)*Assumptions!$B$29+(1-I6099)*Assumptions!$B$28</f>
        <v/>
      </c>
      <c r="K6099">
        <f>C6099*$J$757+D6099*$F$757+E6099*$G$757+F6099*Assumptions!$B$14+G6099*Assumptions!$B$13+H6099*Assumptions!$B$12+I6099*Assumptions!$B$11+$O$757+$S$757+Assumptions!$B$9</f>
        <v/>
      </c>
      <c r="L6099">
        <f>B6099-J6099</f>
        <v/>
      </c>
      <c r="M6099">
        <f>IF(K6099&gt;0,IF(L6099/K6099&gt;=Assumptions!$B$37,1,0),0)</f>
        <v/>
      </c>
      <c r="N6099">
        <f>K6099+M6099*Assumptions!$B$153</f>
        <v/>
      </c>
      <c r="O6099">
        <f>L6099+M6099*Assumptions!$B$153*Assumptions!$B$37</f>
        <v/>
      </c>
      <c r="P6099">
        <f>IF(N6099&gt;0,O6099/N6099,0)</f>
        <v/>
      </c>
      <c r="Q6099">
        <f>IF(C6099=1,P6099*$J$757,Assumptions!$B$41)</f>
        <v/>
      </c>
      <c r="R6099">
        <f>IF(D6099=1,P6099*$F$757,Assumptions!$B$33)</f>
        <v/>
      </c>
      <c r="S6099">
        <f>IF(E6099=1,P6099*$G$757,Assumptions!$B$32)</f>
        <v/>
      </c>
      <c r="T6099">
        <f>IF(F6099=1,P6099*Assumptions!$B$14,Assumptions!$B$31)</f>
        <v/>
      </c>
      <c r="U6099">
        <f>IF(G6099=1,P6099*Assumptions!$B$13,Assumptions!$B$30)</f>
        <v/>
      </c>
      <c r="V6099">
        <f>IF(H6099=1,P6099*Assumptions!$B$12,Assumptions!$B$29)</f>
        <v/>
      </c>
      <c r="W6099">
        <f>IF(I6099=1,P6099*Assumptions!$B$11,Assumptions!$B$28)</f>
        <v/>
      </c>
      <c r="X6099">
        <f>P6099*($O$757+$S$757)</f>
        <v/>
      </c>
      <c r="Y6099">
        <f>P6099*Assumptions!$B$9</f>
        <v/>
      </c>
      <c r="Z6099">
        <f>IF(M6099=1,(P6099-Assumptions!$B$37)*Assumptions!$B$153,0)</f>
        <v/>
      </c>
      <c r="AA6099">
        <f>Q6099+R6099+S6099+T6099+U6099+V6099+W6099+X6099+Y6099+Z6099</f>
        <v/>
      </c>
      <c r="AB6099" t="n">
        <v>75</v>
      </c>
      <c r="AC6099" t="n">
        <v>11</v>
      </c>
      <c r="AD6099" t="n">
        <v>107</v>
      </c>
      <c r="AE6099" t="n">
        <v>91</v>
      </c>
      <c r="AF6099" t="n">
        <v>67</v>
      </c>
      <c r="AG6099" t="n">
        <v>79</v>
      </c>
      <c r="AH6099" t="n">
        <v>73</v>
      </c>
      <c r="AI6099" t="n">
        <v>74</v>
      </c>
      <c r="AJ6099">
        <f>INDEX($Q$6024:$Q$6151,AC6099+1)</f>
        <v/>
      </c>
      <c r="AK6099">
        <f>INDEX($R$6024:$R$6151,AD6099+1)</f>
        <v/>
      </c>
      <c r="AL6099">
        <f>INDEX($S$6024:$S$6151,AE6099+1)</f>
        <v/>
      </c>
      <c r="AM6099">
        <f>INDEX($T$6024:$T$6151,AF6099+1)</f>
        <v/>
      </c>
      <c r="AN6099">
        <f>INDEX($U$6024:$U$6151,AG6099+1)</f>
        <v/>
      </c>
      <c r="AO6099">
        <f>INDEX($V$6024:$V$6151,AH6099+1)</f>
        <v/>
      </c>
      <c r="AP6099">
        <f>INDEX($W$6024:$W$6151,AI6099+1)</f>
        <v/>
      </c>
      <c r="AQ6099">
        <f>IF(Q6099&gt;=AJ6099-0.01,1,0)</f>
        <v/>
      </c>
      <c r="AR6099">
        <f>IF(R6099&gt;=AK6099-0.01,1,0)</f>
        <v/>
      </c>
      <c r="AS6099">
        <f>IF(S6099&gt;=AL6099-0.01,1,0)</f>
        <v/>
      </c>
      <c r="AT6099">
        <f>IF(T6099&gt;=AM6099-0.01,1,0)</f>
        <v/>
      </c>
      <c r="AU6099">
        <f>IF(U6099&gt;=AN6099-0.01,1,0)</f>
        <v/>
      </c>
      <c r="AV6099">
        <f>IF(V6099&gt;=AO6099-0.01,1,0)</f>
        <v/>
      </c>
      <c r="AW6099">
        <f>IF(W6099&gt;=AP6099-0.01,1,0)</f>
        <v/>
      </c>
      <c r="AX6099">
        <f>AQ6099*AR6099*AS6099*AT6099*AU6099*AV6099*AW6099</f>
        <v/>
      </c>
    </row>
    <row r="6100">
      <c r="A6100" t="inlineStr"/>
      <c r="B6100">
        <f>Assumptions!$B$60</f>
        <v/>
      </c>
      <c r="C6100" t="n">
        <v>1</v>
      </c>
      <c r="D6100" t="n">
        <v>0</v>
      </c>
      <c r="E6100" t="n">
        <v>0</v>
      </c>
      <c r="F6100" t="n">
        <v>1</v>
      </c>
      <c r="G6100" t="n">
        <v>1</v>
      </c>
      <c r="H6100" t="n">
        <v>0</v>
      </c>
      <c r="I6100" t="n">
        <v>0</v>
      </c>
      <c r="J6100">
        <f>(1-C6100)*Assumptions!$B$41+(1-D6100)*Assumptions!$B$33+(1-E6100)*Assumptions!$B$32+(1-F6100)*Assumptions!$B$31+(1-G6100)*Assumptions!$B$30+(1-H6100)*Assumptions!$B$29+(1-I6100)*Assumptions!$B$28</f>
        <v/>
      </c>
      <c r="K6100">
        <f>C6100*$J$757+D6100*$F$757+E6100*$G$757+F6100*Assumptions!$B$14+G6100*Assumptions!$B$13+H6100*Assumptions!$B$12+I6100*Assumptions!$B$11+$O$757+$S$757+Assumptions!$B$9</f>
        <v/>
      </c>
      <c r="L6100">
        <f>B6100-J6100</f>
        <v/>
      </c>
      <c r="M6100">
        <f>IF(K6100&gt;0,IF(L6100/K6100&gt;=Assumptions!$B$37,1,0),0)</f>
        <v/>
      </c>
      <c r="N6100">
        <f>K6100+M6100*Assumptions!$B$153</f>
        <v/>
      </c>
      <c r="O6100">
        <f>L6100+M6100*Assumptions!$B$153*Assumptions!$B$37</f>
        <v/>
      </c>
      <c r="P6100">
        <f>IF(N6100&gt;0,O6100/N6100,0)</f>
        <v/>
      </c>
      <c r="Q6100">
        <f>IF(C6100=1,P6100*$J$757,Assumptions!$B$41)</f>
        <v/>
      </c>
      <c r="R6100">
        <f>IF(D6100=1,P6100*$F$757,Assumptions!$B$33)</f>
        <v/>
      </c>
      <c r="S6100">
        <f>IF(E6100=1,P6100*$G$757,Assumptions!$B$32)</f>
        <v/>
      </c>
      <c r="T6100">
        <f>IF(F6100=1,P6100*Assumptions!$B$14,Assumptions!$B$31)</f>
        <v/>
      </c>
      <c r="U6100">
        <f>IF(G6100=1,P6100*Assumptions!$B$13,Assumptions!$B$30)</f>
        <v/>
      </c>
      <c r="V6100">
        <f>IF(H6100=1,P6100*Assumptions!$B$12,Assumptions!$B$29)</f>
        <v/>
      </c>
      <c r="W6100">
        <f>IF(I6100=1,P6100*Assumptions!$B$11,Assumptions!$B$28)</f>
        <v/>
      </c>
      <c r="X6100">
        <f>P6100*($O$757+$S$757)</f>
        <v/>
      </c>
      <c r="Y6100">
        <f>P6100*Assumptions!$B$9</f>
        <v/>
      </c>
      <c r="Z6100">
        <f>IF(M6100=1,(P6100-Assumptions!$B$37)*Assumptions!$B$153,0)</f>
        <v/>
      </c>
      <c r="AA6100">
        <f>Q6100+R6100+S6100+T6100+U6100+V6100+W6100+X6100+Y6100+Z6100</f>
        <v/>
      </c>
      <c r="AB6100" t="n">
        <v>76</v>
      </c>
      <c r="AC6100" t="n">
        <v>12</v>
      </c>
      <c r="AD6100" t="n">
        <v>108</v>
      </c>
      <c r="AE6100" t="n">
        <v>92</v>
      </c>
      <c r="AF6100" t="n">
        <v>68</v>
      </c>
      <c r="AG6100" t="n">
        <v>72</v>
      </c>
      <c r="AH6100" t="n">
        <v>78</v>
      </c>
      <c r="AI6100" t="n">
        <v>77</v>
      </c>
      <c r="AJ6100">
        <f>INDEX($Q$6024:$Q$6151,AC6100+1)</f>
        <v/>
      </c>
      <c r="AK6100">
        <f>INDEX($R$6024:$R$6151,AD6100+1)</f>
        <v/>
      </c>
      <c r="AL6100">
        <f>INDEX($S$6024:$S$6151,AE6100+1)</f>
        <v/>
      </c>
      <c r="AM6100">
        <f>INDEX($T$6024:$T$6151,AF6100+1)</f>
        <v/>
      </c>
      <c r="AN6100">
        <f>INDEX($U$6024:$U$6151,AG6100+1)</f>
        <v/>
      </c>
      <c r="AO6100">
        <f>INDEX($V$6024:$V$6151,AH6100+1)</f>
        <v/>
      </c>
      <c r="AP6100">
        <f>INDEX($W$6024:$W$6151,AI6100+1)</f>
        <v/>
      </c>
      <c r="AQ6100">
        <f>IF(Q6100&gt;=AJ6100-0.01,1,0)</f>
        <v/>
      </c>
      <c r="AR6100">
        <f>IF(R6100&gt;=AK6100-0.01,1,0)</f>
        <v/>
      </c>
      <c r="AS6100">
        <f>IF(S6100&gt;=AL6100-0.01,1,0)</f>
        <v/>
      </c>
      <c r="AT6100">
        <f>IF(T6100&gt;=AM6100-0.01,1,0)</f>
        <v/>
      </c>
      <c r="AU6100">
        <f>IF(U6100&gt;=AN6100-0.01,1,0)</f>
        <v/>
      </c>
      <c r="AV6100">
        <f>IF(V6100&gt;=AO6100-0.01,1,0)</f>
        <v/>
      </c>
      <c r="AW6100">
        <f>IF(W6100&gt;=AP6100-0.01,1,0)</f>
        <v/>
      </c>
      <c r="AX6100">
        <f>AQ6100*AR6100*AS6100*AT6100*AU6100*AV6100*AW6100</f>
        <v/>
      </c>
    </row>
    <row r="6101">
      <c r="A6101" t="inlineStr"/>
      <c r="B6101">
        <f>Assumptions!$B$60</f>
        <v/>
      </c>
      <c r="C6101" t="n">
        <v>1</v>
      </c>
      <c r="D6101" t="n">
        <v>0</v>
      </c>
      <c r="E6101" t="n">
        <v>0</v>
      </c>
      <c r="F6101" t="n">
        <v>1</v>
      </c>
      <c r="G6101" t="n">
        <v>1</v>
      </c>
      <c r="H6101" t="n">
        <v>0</v>
      </c>
      <c r="I6101" t="n">
        <v>1</v>
      </c>
      <c r="J6101">
        <f>(1-C6101)*Assumptions!$B$41+(1-D6101)*Assumptions!$B$33+(1-E6101)*Assumptions!$B$32+(1-F6101)*Assumptions!$B$31+(1-G6101)*Assumptions!$B$30+(1-H6101)*Assumptions!$B$29+(1-I6101)*Assumptions!$B$28</f>
        <v/>
      </c>
      <c r="K6101">
        <f>C6101*$J$757+D6101*$F$757+E6101*$G$757+F6101*Assumptions!$B$14+G6101*Assumptions!$B$13+H6101*Assumptions!$B$12+I6101*Assumptions!$B$11+$O$757+$S$757+Assumptions!$B$9</f>
        <v/>
      </c>
      <c r="L6101">
        <f>B6101-J6101</f>
        <v/>
      </c>
      <c r="M6101">
        <f>IF(K6101&gt;0,IF(L6101/K6101&gt;=Assumptions!$B$37,1,0),0)</f>
        <v/>
      </c>
      <c r="N6101">
        <f>K6101+M6101*Assumptions!$B$153</f>
        <v/>
      </c>
      <c r="O6101">
        <f>L6101+M6101*Assumptions!$B$153*Assumptions!$B$37</f>
        <v/>
      </c>
      <c r="P6101">
        <f>IF(N6101&gt;0,O6101/N6101,0)</f>
        <v/>
      </c>
      <c r="Q6101">
        <f>IF(C6101=1,P6101*$J$757,Assumptions!$B$41)</f>
        <v/>
      </c>
      <c r="R6101">
        <f>IF(D6101=1,P6101*$F$757,Assumptions!$B$33)</f>
        <v/>
      </c>
      <c r="S6101">
        <f>IF(E6101=1,P6101*$G$757,Assumptions!$B$32)</f>
        <v/>
      </c>
      <c r="T6101">
        <f>IF(F6101=1,P6101*Assumptions!$B$14,Assumptions!$B$31)</f>
        <v/>
      </c>
      <c r="U6101">
        <f>IF(G6101=1,P6101*Assumptions!$B$13,Assumptions!$B$30)</f>
        <v/>
      </c>
      <c r="V6101">
        <f>IF(H6101=1,P6101*Assumptions!$B$12,Assumptions!$B$29)</f>
        <v/>
      </c>
      <c r="W6101">
        <f>IF(I6101=1,P6101*Assumptions!$B$11,Assumptions!$B$28)</f>
        <v/>
      </c>
      <c r="X6101">
        <f>P6101*($O$757+$S$757)</f>
        <v/>
      </c>
      <c r="Y6101">
        <f>P6101*Assumptions!$B$9</f>
        <v/>
      </c>
      <c r="Z6101">
        <f>IF(M6101=1,(P6101-Assumptions!$B$37)*Assumptions!$B$153,0)</f>
        <v/>
      </c>
      <c r="AA6101">
        <f>Q6101+R6101+S6101+T6101+U6101+V6101+W6101+X6101+Y6101+Z6101</f>
        <v/>
      </c>
      <c r="AB6101" t="n">
        <v>77</v>
      </c>
      <c r="AC6101" t="n">
        <v>13</v>
      </c>
      <c r="AD6101" t="n">
        <v>109</v>
      </c>
      <c r="AE6101" t="n">
        <v>93</v>
      </c>
      <c r="AF6101" t="n">
        <v>69</v>
      </c>
      <c r="AG6101" t="n">
        <v>73</v>
      </c>
      <c r="AH6101" t="n">
        <v>79</v>
      </c>
      <c r="AI6101" t="n">
        <v>76</v>
      </c>
      <c r="AJ6101">
        <f>INDEX($Q$6024:$Q$6151,AC6101+1)</f>
        <v/>
      </c>
      <c r="AK6101">
        <f>INDEX($R$6024:$R$6151,AD6101+1)</f>
        <v/>
      </c>
      <c r="AL6101">
        <f>INDEX($S$6024:$S$6151,AE6101+1)</f>
        <v/>
      </c>
      <c r="AM6101">
        <f>INDEX($T$6024:$T$6151,AF6101+1)</f>
        <v/>
      </c>
      <c r="AN6101">
        <f>INDEX($U$6024:$U$6151,AG6101+1)</f>
        <v/>
      </c>
      <c r="AO6101">
        <f>INDEX($V$6024:$V$6151,AH6101+1)</f>
        <v/>
      </c>
      <c r="AP6101">
        <f>INDEX($W$6024:$W$6151,AI6101+1)</f>
        <v/>
      </c>
      <c r="AQ6101">
        <f>IF(Q6101&gt;=AJ6101-0.01,1,0)</f>
        <v/>
      </c>
      <c r="AR6101">
        <f>IF(R6101&gt;=AK6101-0.01,1,0)</f>
        <v/>
      </c>
      <c r="AS6101">
        <f>IF(S6101&gt;=AL6101-0.01,1,0)</f>
        <v/>
      </c>
      <c r="AT6101">
        <f>IF(T6101&gt;=AM6101-0.01,1,0)</f>
        <v/>
      </c>
      <c r="AU6101">
        <f>IF(U6101&gt;=AN6101-0.01,1,0)</f>
        <v/>
      </c>
      <c r="AV6101">
        <f>IF(V6101&gt;=AO6101-0.01,1,0)</f>
        <v/>
      </c>
      <c r="AW6101">
        <f>IF(W6101&gt;=AP6101-0.01,1,0)</f>
        <v/>
      </c>
      <c r="AX6101">
        <f>AQ6101*AR6101*AS6101*AT6101*AU6101*AV6101*AW6101</f>
        <v/>
      </c>
    </row>
    <row r="6102">
      <c r="A6102" t="inlineStr"/>
      <c r="B6102">
        <f>Assumptions!$B$60</f>
        <v/>
      </c>
      <c r="C6102" t="n">
        <v>1</v>
      </c>
      <c r="D6102" t="n">
        <v>0</v>
      </c>
      <c r="E6102" t="n">
        <v>0</v>
      </c>
      <c r="F6102" t="n">
        <v>1</v>
      </c>
      <c r="G6102" t="n">
        <v>1</v>
      </c>
      <c r="H6102" t="n">
        <v>1</v>
      </c>
      <c r="I6102" t="n">
        <v>0</v>
      </c>
      <c r="J6102">
        <f>(1-C6102)*Assumptions!$B$41+(1-D6102)*Assumptions!$B$33+(1-E6102)*Assumptions!$B$32+(1-F6102)*Assumptions!$B$31+(1-G6102)*Assumptions!$B$30+(1-H6102)*Assumptions!$B$29+(1-I6102)*Assumptions!$B$28</f>
        <v/>
      </c>
      <c r="K6102">
        <f>C6102*$J$757+D6102*$F$757+E6102*$G$757+F6102*Assumptions!$B$14+G6102*Assumptions!$B$13+H6102*Assumptions!$B$12+I6102*Assumptions!$B$11+$O$757+$S$757+Assumptions!$B$9</f>
        <v/>
      </c>
      <c r="L6102">
        <f>B6102-J6102</f>
        <v/>
      </c>
      <c r="M6102">
        <f>IF(K6102&gt;0,IF(L6102/K6102&gt;=Assumptions!$B$37,1,0),0)</f>
        <v/>
      </c>
      <c r="N6102">
        <f>K6102+M6102*Assumptions!$B$153</f>
        <v/>
      </c>
      <c r="O6102">
        <f>L6102+M6102*Assumptions!$B$153*Assumptions!$B$37</f>
        <v/>
      </c>
      <c r="P6102">
        <f>IF(N6102&gt;0,O6102/N6102,0)</f>
        <v/>
      </c>
      <c r="Q6102">
        <f>IF(C6102=1,P6102*$J$757,Assumptions!$B$41)</f>
        <v/>
      </c>
      <c r="R6102">
        <f>IF(D6102=1,P6102*$F$757,Assumptions!$B$33)</f>
        <v/>
      </c>
      <c r="S6102">
        <f>IF(E6102=1,P6102*$G$757,Assumptions!$B$32)</f>
        <v/>
      </c>
      <c r="T6102">
        <f>IF(F6102=1,P6102*Assumptions!$B$14,Assumptions!$B$31)</f>
        <v/>
      </c>
      <c r="U6102">
        <f>IF(G6102=1,P6102*Assumptions!$B$13,Assumptions!$B$30)</f>
        <v/>
      </c>
      <c r="V6102">
        <f>IF(H6102=1,P6102*Assumptions!$B$12,Assumptions!$B$29)</f>
        <v/>
      </c>
      <c r="W6102">
        <f>IF(I6102=1,P6102*Assumptions!$B$11,Assumptions!$B$28)</f>
        <v/>
      </c>
      <c r="X6102">
        <f>P6102*($O$757+$S$757)</f>
        <v/>
      </c>
      <c r="Y6102">
        <f>P6102*Assumptions!$B$9</f>
        <v/>
      </c>
      <c r="Z6102">
        <f>IF(M6102=1,(P6102-Assumptions!$B$37)*Assumptions!$B$153,0)</f>
        <v/>
      </c>
      <c r="AA6102">
        <f>Q6102+R6102+S6102+T6102+U6102+V6102+W6102+X6102+Y6102+Z6102</f>
        <v/>
      </c>
      <c r="AB6102" t="n">
        <v>78</v>
      </c>
      <c r="AC6102" t="n">
        <v>14</v>
      </c>
      <c r="AD6102" t="n">
        <v>110</v>
      </c>
      <c r="AE6102" t="n">
        <v>94</v>
      </c>
      <c r="AF6102" t="n">
        <v>70</v>
      </c>
      <c r="AG6102" t="n">
        <v>74</v>
      </c>
      <c r="AH6102" t="n">
        <v>76</v>
      </c>
      <c r="AI6102" t="n">
        <v>79</v>
      </c>
      <c r="AJ6102">
        <f>INDEX($Q$6024:$Q$6151,AC6102+1)</f>
        <v/>
      </c>
      <c r="AK6102">
        <f>INDEX($R$6024:$R$6151,AD6102+1)</f>
        <v/>
      </c>
      <c r="AL6102">
        <f>INDEX($S$6024:$S$6151,AE6102+1)</f>
        <v/>
      </c>
      <c r="AM6102">
        <f>INDEX($T$6024:$T$6151,AF6102+1)</f>
        <v/>
      </c>
      <c r="AN6102">
        <f>INDEX($U$6024:$U$6151,AG6102+1)</f>
        <v/>
      </c>
      <c r="AO6102">
        <f>INDEX($V$6024:$V$6151,AH6102+1)</f>
        <v/>
      </c>
      <c r="AP6102">
        <f>INDEX($W$6024:$W$6151,AI6102+1)</f>
        <v/>
      </c>
      <c r="AQ6102">
        <f>IF(Q6102&gt;=AJ6102-0.01,1,0)</f>
        <v/>
      </c>
      <c r="AR6102">
        <f>IF(R6102&gt;=AK6102-0.01,1,0)</f>
        <v/>
      </c>
      <c r="AS6102">
        <f>IF(S6102&gt;=AL6102-0.01,1,0)</f>
        <v/>
      </c>
      <c r="AT6102">
        <f>IF(T6102&gt;=AM6102-0.01,1,0)</f>
        <v/>
      </c>
      <c r="AU6102">
        <f>IF(U6102&gt;=AN6102-0.01,1,0)</f>
        <v/>
      </c>
      <c r="AV6102">
        <f>IF(V6102&gt;=AO6102-0.01,1,0)</f>
        <v/>
      </c>
      <c r="AW6102">
        <f>IF(W6102&gt;=AP6102-0.01,1,0)</f>
        <v/>
      </c>
      <c r="AX6102">
        <f>AQ6102*AR6102*AS6102*AT6102*AU6102*AV6102*AW6102</f>
        <v/>
      </c>
    </row>
    <row r="6103">
      <c r="A6103" t="inlineStr"/>
      <c r="B6103">
        <f>Assumptions!$B$60</f>
        <v/>
      </c>
      <c r="C6103" t="n">
        <v>1</v>
      </c>
      <c r="D6103" t="n">
        <v>0</v>
      </c>
      <c r="E6103" t="n">
        <v>0</v>
      </c>
      <c r="F6103" t="n">
        <v>1</v>
      </c>
      <c r="G6103" t="n">
        <v>1</v>
      </c>
      <c r="H6103" t="n">
        <v>1</v>
      </c>
      <c r="I6103" t="n">
        <v>1</v>
      </c>
      <c r="J6103">
        <f>(1-C6103)*Assumptions!$B$41+(1-D6103)*Assumptions!$B$33+(1-E6103)*Assumptions!$B$32+(1-F6103)*Assumptions!$B$31+(1-G6103)*Assumptions!$B$30+(1-H6103)*Assumptions!$B$29+(1-I6103)*Assumptions!$B$28</f>
        <v/>
      </c>
      <c r="K6103">
        <f>C6103*$J$757+D6103*$F$757+E6103*$G$757+F6103*Assumptions!$B$14+G6103*Assumptions!$B$13+H6103*Assumptions!$B$12+I6103*Assumptions!$B$11+$O$757+$S$757+Assumptions!$B$9</f>
        <v/>
      </c>
      <c r="L6103">
        <f>B6103-J6103</f>
        <v/>
      </c>
      <c r="M6103">
        <f>IF(K6103&gt;0,IF(L6103/K6103&gt;=Assumptions!$B$37,1,0),0)</f>
        <v/>
      </c>
      <c r="N6103">
        <f>K6103+M6103*Assumptions!$B$153</f>
        <v/>
      </c>
      <c r="O6103">
        <f>L6103+M6103*Assumptions!$B$153*Assumptions!$B$37</f>
        <v/>
      </c>
      <c r="P6103">
        <f>IF(N6103&gt;0,O6103/N6103,0)</f>
        <v/>
      </c>
      <c r="Q6103">
        <f>IF(C6103=1,P6103*$J$757,Assumptions!$B$41)</f>
        <v/>
      </c>
      <c r="R6103">
        <f>IF(D6103=1,P6103*$F$757,Assumptions!$B$33)</f>
        <v/>
      </c>
      <c r="S6103">
        <f>IF(E6103=1,P6103*$G$757,Assumptions!$B$32)</f>
        <v/>
      </c>
      <c r="T6103">
        <f>IF(F6103=1,P6103*Assumptions!$B$14,Assumptions!$B$31)</f>
        <v/>
      </c>
      <c r="U6103">
        <f>IF(G6103=1,P6103*Assumptions!$B$13,Assumptions!$B$30)</f>
        <v/>
      </c>
      <c r="V6103">
        <f>IF(H6103=1,P6103*Assumptions!$B$12,Assumptions!$B$29)</f>
        <v/>
      </c>
      <c r="W6103">
        <f>IF(I6103=1,P6103*Assumptions!$B$11,Assumptions!$B$28)</f>
        <v/>
      </c>
      <c r="X6103">
        <f>P6103*($O$757+$S$757)</f>
        <v/>
      </c>
      <c r="Y6103">
        <f>P6103*Assumptions!$B$9</f>
        <v/>
      </c>
      <c r="Z6103">
        <f>IF(M6103=1,(P6103-Assumptions!$B$37)*Assumptions!$B$153,0)</f>
        <v/>
      </c>
      <c r="AA6103">
        <f>Q6103+R6103+S6103+T6103+U6103+V6103+W6103+X6103+Y6103+Z6103</f>
        <v/>
      </c>
      <c r="AB6103" t="n">
        <v>79</v>
      </c>
      <c r="AC6103" t="n">
        <v>15</v>
      </c>
      <c r="AD6103" t="n">
        <v>111</v>
      </c>
      <c r="AE6103" t="n">
        <v>95</v>
      </c>
      <c r="AF6103" t="n">
        <v>71</v>
      </c>
      <c r="AG6103" t="n">
        <v>75</v>
      </c>
      <c r="AH6103" t="n">
        <v>77</v>
      </c>
      <c r="AI6103" t="n">
        <v>78</v>
      </c>
      <c r="AJ6103">
        <f>INDEX($Q$6024:$Q$6151,AC6103+1)</f>
        <v/>
      </c>
      <c r="AK6103">
        <f>INDEX($R$6024:$R$6151,AD6103+1)</f>
        <v/>
      </c>
      <c r="AL6103">
        <f>INDEX($S$6024:$S$6151,AE6103+1)</f>
        <v/>
      </c>
      <c r="AM6103">
        <f>INDEX($T$6024:$T$6151,AF6103+1)</f>
        <v/>
      </c>
      <c r="AN6103">
        <f>INDEX($U$6024:$U$6151,AG6103+1)</f>
        <v/>
      </c>
      <c r="AO6103">
        <f>INDEX($V$6024:$V$6151,AH6103+1)</f>
        <v/>
      </c>
      <c r="AP6103">
        <f>INDEX($W$6024:$W$6151,AI6103+1)</f>
        <v/>
      </c>
      <c r="AQ6103">
        <f>IF(Q6103&gt;=AJ6103-0.01,1,0)</f>
        <v/>
      </c>
      <c r="AR6103">
        <f>IF(R6103&gt;=AK6103-0.01,1,0)</f>
        <v/>
      </c>
      <c r="AS6103">
        <f>IF(S6103&gt;=AL6103-0.01,1,0)</f>
        <v/>
      </c>
      <c r="AT6103">
        <f>IF(T6103&gt;=AM6103-0.01,1,0)</f>
        <v/>
      </c>
      <c r="AU6103">
        <f>IF(U6103&gt;=AN6103-0.01,1,0)</f>
        <v/>
      </c>
      <c r="AV6103">
        <f>IF(V6103&gt;=AO6103-0.01,1,0)</f>
        <v/>
      </c>
      <c r="AW6103">
        <f>IF(W6103&gt;=AP6103-0.01,1,0)</f>
        <v/>
      </c>
      <c r="AX6103">
        <f>AQ6103*AR6103*AS6103*AT6103*AU6103*AV6103*AW6103</f>
        <v/>
      </c>
    </row>
    <row r="6104">
      <c r="A6104" t="inlineStr"/>
      <c r="B6104">
        <f>Assumptions!$B$60</f>
        <v/>
      </c>
      <c r="C6104" t="n">
        <v>1</v>
      </c>
      <c r="D6104" t="n">
        <v>0</v>
      </c>
      <c r="E6104" t="n">
        <v>1</v>
      </c>
      <c r="F6104" t="n">
        <v>0</v>
      </c>
      <c r="G6104" t="n">
        <v>0</v>
      </c>
      <c r="H6104" t="n">
        <v>0</v>
      </c>
      <c r="I6104" t="n">
        <v>0</v>
      </c>
      <c r="J6104">
        <f>(1-C6104)*Assumptions!$B$41+(1-D6104)*Assumptions!$B$33+(1-E6104)*Assumptions!$B$32+(1-F6104)*Assumptions!$B$31+(1-G6104)*Assumptions!$B$30+(1-H6104)*Assumptions!$B$29+(1-I6104)*Assumptions!$B$28</f>
        <v/>
      </c>
      <c r="K6104">
        <f>C6104*$J$757+D6104*$F$757+E6104*$G$757+F6104*Assumptions!$B$14+G6104*Assumptions!$B$13+H6104*Assumptions!$B$12+I6104*Assumptions!$B$11+$O$757+$S$757+Assumptions!$B$9</f>
        <v/>
      </c>
      <c r="L6104">
        <f>B6104-J6104</f>
        <v/>
      </c>
      <c r="M6104">
        <f>IF(K6104&gt;0,IF(L6104/K6104&gt;=Assumptions!$B$37,1,0),0)</f>
        <v/>
      </c>
      <c r="N6104">
        <f>K6104+M6104*Assumptions!$B$153</f>
        <v/>
      </c>
      <c r="O6104">
        <f>L6104+M6104*Assumptions!$B$153*Assumptions!$B$37</f>
        <v/>
      </c>
      <c r="P6104">
        <f>IF(N6104&gt;0,O6104/N6104,0)</f>
        <v/>
      </c>
      <c r="Q6104">
        <f>IF(C6104=1,P6104*$J$757,Assumptions!$B$41)</f>
        <v/>
      </c>
      <c r="R6104">
        <f>IF(D6104=1,P6104*$F$757,Assumptions!$B$33)</f>
        <v/>
      </c>
      <c r="S6104">
        <f>IF(E6104=1,P6104*$G$757,Assumptions!$B$32)</f>
        <v/>
      </c>
      <c r="T6104">
        <f>IF(F6104=1,P6104*Assumptions!$B$14,Assumptions!$B$31)</f>
        <v/>
      </c>
      <c r="U6104">
        <f>IF(G6104=1,P6104*Assumptions!$B$13,Assumptions!$B$30)</f>
        <v/>
      </c>
      <c r="V6104">
        <f>IF(H6104=1,P6104*Assumptions!$B$12,Assumptions!$B$29)</f>
        <v/>
      </c>
      <c r="W6104">
        <f>IF(I6104=1,P6104*Assumptions!$B$11,Assumptions!$B$28)</f>
        <v/>
      </c>
      <c r="X6104">
        <f>P6104*($O$757+$S$757)</f>
        <v/>
      </c>
      <c r="Y6104">
        <f>P6104*Assumptions!$B$9</f>
        <v/>
      </c>
      <c r="Z6104">
        <f>IF(M6104=1,(P6104-Assumptions!$B$37)*Assumptions!$B$153,0)</f>
        <v/>
      </c>
      <c r="AA6104">
        <f>Q6104+R6104+S6104+T6104+U6104+V6104+W6104+X6104+Y6104+Z6104</f>
        <v/>
      </c>
      <c r="AB6104" t="n">
        <v>80</v>
      </c>
      <c r="AC6104" t="n">
        <v>16</v>
      </c>
      <c r="AD6104" t="n">
        <v>112</v>
      </c>
      <c r="AE6104" t="n">
        <v>64</v>
      </c>
      <c r="AF6104" t="n">
        <v>88</v>
      </c>
      <c r="AG6104" t="n">
        <v>84</v>
      </c>
      <c r="AH6104" t="n">
        <v>82</v>
      </c>
      <c r="AI6104" t="n">
        <v>81</v>
      </c>
      <c r="AJ6104">
        <f>INDEX($Q$6024:$Q$6151,AC6104+1)</f>
        <v/>
      </c>
      <c r="AK6104">
        <f>INDEX($R$6024:$R$6151,AD6104+1)</f>
        <v/>
      </c>
      <c r="AL6104">
        <f>INDEX($S$6024:$S$6151,AE6104+1)</f>
        <v/>
      </c>
      <c r="AM6104">
        <f>INDEX($T$6024:$T$6151,AF6104+1)</f>
        <v/>
      </c>
      <c r="AN6104">
        <f>INDEX($U$6024:$U$6151,AG6104+1)</f>
        <v/>
      </c>
      <c r="AO6104">
        <f>INDEX($V$6024:$V$6151,AH6104+1)</f>
        <v/>
      </c>
      <c r="AP6104">
        <f>INDEX($W$6024:$W$6151,AI6104+1)</f>
        <v/>
      </c>
      <c r="AQ6104">
        <f>IF(Q6104&gt;=AJ6104-0.01,1,0)</f>
        <v/>
      </c>
      <c r="AR6104">
        <f>IF(R6104&gt;=AK6104-0.01,1,0)</f>
        <v/>
      </c>
      <c r="AS6104">
        <f>IF(S6104&gt;=AL6104-0.01,1,0)</f>
        <v/>
      </c>
      <c r="AT6104">
        <f>IF(T6104&gt;=AM6104-0.01,1,0)</f>
        <v/>
      </c>
      <c r="AU6104">
        <f>IF(U6104&gt;=AN6104-0.01,1,0)</f>
        <v/>
      </c>
      <c r="AV6104">
        <f>IF(V6104&gt;=AO6104-0.01,1,0)</f>
        <v/>
      </c>
      <c r="AW6104">
        <f>IF(W6104&gt;=AP6104-0.01,1,0)</f>
        <v/>
      </c>
      <c r="AX6104">
        <f>AQ6104*AR6104*AS6104*AT6104*AU6104*AV6104*AW6104</f>
        <v/>
      </c>
    </row>
    <row r="6105">
      <c r="A6105" t="inlineStr"/>
      <c r="B6105">
        <f>Assumptions!$B$60</f>
        <v/>
      </c>
      <c r="C6105" t="n">
        <v>1</v>
      </c>
      <c r="D6105" t="n">
        <v>0</v>
      </c>
      <c r="E6105" t="n">
        <v>1</v>
      </c>
      <c r="F6105" t="n">
        <v>0</v>
      </c>
      <c r="G6105" t="n">
        <v>0</v>
      </c>
      <c r="H6105" t="n">
        <v>0</v>
      </c>
      <c r="I6105" t="n">
        <v>1</v>
      </c>
      <c r="J6105">
        <f>(1-C6105)*Assumptions!$B$41+(1-D6105)*Assumptions!$B$33+(1-E6105)*Assumptions!$B$32+(1-F6105)*Assumptions!$B$31+(1-G6105)*Assumptions!$B$30+(1-H6105)*Assumptions!$B$29+(1-I6105)*Assumptions!$B$28</f>
        <v/>
      </c>
      <c r="K6105">
        <f>C6105*$J$757+D6105*$F$757+E6105*$G$757+F6105*Assumptions!$B$14+G6105*Assumptions!$B$13+H6105*Assumptions!$B$12+I6105*Assumptions!$B$11+$O$757+$S$757+Assumptions!$B$9</f>
        <v/>
      </c>
      <c r="L6105">
        <f>B6105-J6105</f>
        <v/>
      </c>
      <c r="M6105">
        <f>IF(K6105&gt;0,IF(L6105/K6105&gt;=Assumptions!$B$37,1,0),0)</f>
        <v/>
      </c>
      <c r="N6105">
        <f>K6105+M6105*Assumptions!$B$153</f>
        <v/>
      </c>
      <c r="O6105">
        <f>L6105+M6105*Assumptions!$B$153*Assumptions!$B$37</f>
        <v/>
      </c>
      <c r="P6105">
        <f>IF(N6105&gt;0,O6105/N6105,0)</f>
        <v/>
      </c>
      <c r="Q6105">
        <f>IF(C6105=1,P6105*$J$757,Assumptions!$B$41)</f>
        <v/>
      </c>
      <c r="R6105">
        <f>IF(D6105=1,P6105*$F$757,Assumptions!$B$33)</f>
        <v/>
      </c>
      <c r="S6105">
        <f>IF(E6105=1,P6105*$G$757,Assumptions!$B$32)</f>
        <v/>
      </c>
      <c r="T6105">
        <f>IF(F6105=1,P6105*Assumptions!$B$14,Assumptions!$B$31)</f>
        <v/>
      </c>
      <c r="U6105">
        <f>IF(G6105=1,P6105*Assumptions!$B$13,Assumptions!$B$30)</f>
        <v/>
      </c>
      <c r="V6105">
        <f>IF(H6105=1,P6105*Assumptions!$B$12,Assumptions!$B$29)</f>
        <v/>
      </c>
      <c r="W6105">
        <f>IF(I6105=1,P6105*Assumptions!$B$11,Assumptions!$B$28)</f>
        <v/>
      </c>
      <c r="X6105">
        <f>P6105*($O$757+$S$757)</f>
        <v/>
      </c>
      <c r="Y6105">
        <f>P6105*Assumptions!$B$9</f>
        <v/>
      </c>
      <c r="Z6105">
        <f>IF(M6105=1,(P6105-Assumptions!$B$37)*Assumptions!$B$153,0)</f>
        <v/>
      </c>
      <c r="AA6105">
        <f>Q6105+R6105+S6105+T6105+U6105+V6105+W6105+X6105+Y6105+Z6105</f>
        <v/>
      </c>
      <c r="AB6105" t="n">
        <v>81</v>
      </c>
      <c r="AC6105" t="n">
        <v>17</v>
      </c>
      <c r="AD6105" t="n">
        <v>113</v>
      </c>
      <c r="AE6105" t="n">
        <v>65</v>
      </c>
      <c r="AF6105" t="n">
        <v>89</v>
      </c>
      <c r="AG6105" t="n">
        <v>85</v>
      </c>
      <c r="AH6105" t="n">
        <v>83</v>
      </c>
      <c r="AI6105" t="n">
        <v>80</v>
      </c>
      <c r="AJ6105">
        <f>INDEX($Q$6024:$Q$6151,AC6105+1)</f>
        <v/>
      </c>
      <c r="AK6105">
        <f>INDEX($R$6024:$R$6151,AD6105+1)</f>
        <v/>
      </c>
      <c r="AL6105">
        <f>INDEX($S$6024:$S$6151,AE6105+1)</f>
        <v/>
      </c>
      <c r="AM6105">
        <f>INDEX($T$6024:$T$6151,AF6105+1)</f>
        <v/>
      </c>
      <c r="AN6105">
        <f>INDEX($U$6024:$U$6151,AG6105+1)</f>
        <v/>
      </c>
      <c r="AO6105">
        <f>INDEX($V$6024:$V$6151,AH6105+1)</f>
        <v/>
      </c>
      <c r="AP6105">
        <f>INDEX($W$6024:$W$6151,AI6105+1)</f>
        <v/>
      </c>
      <c r="AQ6105">
        <f>IF(Q6105&gt;=AJ6105-0.01,1,0)</f>
        <v/>
      </c>
      <c r="AR6105">
        <f>IF(R6105&gt;=AK6105-0.01,1,0)</f>
        <v/>
      </c>
      <c r="AS6105">
        <f>IF(S6105&gt;=AL6105-0.01,1,0)</f>
        <v/>
      </c>
      <c r="AT6105">
        <f>IF(T6105&gt;=AM6105-0.01,1,0)</f>
        <v/>
      </c>
      <c r="AU6105">
        <f>IF(U6105&gt;=AN6105-0.01,1,0)</f>
        <v/>
      </c>
      <c r="AV6105">
        <f>IF(V6105&gt;=AO6105-0.01,1,0)</f>
        <v/>
      </c>
      <c r="AW6105">
        <f>IF(W6105&gt;=AP6105-0.01,1,0)</f>
        <v/>
      </c>
      <c r="AX6105">
        <f>AQ6105*AR6105*AS6105*AT6105*AU6105*AV6105*AW6105</f>
        <v/>
      </c>
    </row>
    <row r="6106">
      <c r="A6106" t="inlineStr"/>
      <c r="B6106">
        <f>Assumptions!$B$60</f>
        <v/>
      </c>
      <c r="C6106" t="n">
        <v>1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  <c r="I6106" t="n">
        <v>0</v>
      </c>
      <c r="J6106">
        <f>(1-C6106)*Assumptions!$B$41+(1-D6106)*Assumptions!$B$33+(1-E6106)*Assumptions!$B$32+(1-F6106)*Assumptions!$B$31+(1-G6106)*Assumptions!$B$30+(1-H6106)*Assumptions!$B$29+(1-I6106)*Assumptions!$B$28</f>
        <v/>
      </c>
      <c r="K6106">
        <f>C6106*$J$757+D6106*$F$757+E6106*$G$757+F6106*Assumptions!$B$14+G6106*Assumptions!$B$13+H6106*Assumptions!$B$12+I6106*Assumptions!$B$11+$O$757+$S$757+Assumptions!$B$9</f>
        <v/>
      </c>
      <c r="L6106">
        <f>B6106-J6106</f>
        <v/>
      </c>
      <c r="M6106">
        <f>IF(K6106&gt;0,IF(L6106/K6106&gt;=Assumptions!$B$37,1,0),0)</f>
        <v/>
      </c>
      <c r="N6106">
        <f>K6106+M6106*Assumptions!$B$153</f>
        <v/>
      </c>
      <c r="O6106">
        <f>L6106+M6106*Assumptions!$B$153*Assumptions!$B$37</f>
        <v/>
      </c>
      <c r="P6106">
        <f>IF(N6106&gt;0,O6106/N6106,0)</f>
        <v/>
      </c>
      <c r="Q6106">
        <f>IF(C6106=1,P6106*$J$757,Assumptions!$B$41)</f>
        <v/>
      </c>
      <c r="R6106">
        <f>IF(D6106=1,P6106*$F$757,Assumptions!$B$33)</f>
        <v/>
      </c>
      <c r="S6106">
        <f>IF(E6106=1,P6106*$G$757,Assumptions!$B$32)</f>
        <v/>
      </c>
      <c r="T6106">
        <f>IF(F6106=1,P6106*Assumptions!$B$14,Assumptions!$B$31)</f>
        <v/>
      </c>
      <c r="U6106">
        <f>IF(G6106=1,P6106*Assumptions!$B$13,Assumptions!$B$30)</f>
        <v/>
      </c>
      <c r="V6106">
        <f>IF(H6106=1,P6106*Assumptions!$B$12,Assumptions!$B$29)</f>
        <v/>
      </c>
      <c r="W6106">
        <f>IF(I6106=1,P6106*Assumptions!$B$11,Assumptions!$B$28)</f>
        <v/>
      </c>
      <c r="X6106">
        <f>P6106*($O$757+$S$757)</f>
        <v/>
      </c>
      <c r="Y6106">
        <f>P6106*Assumptions!$B$9</f>
        <v/>
      </c>
      <c r="Z6106">
        <f>IF(M6106=1,(P6106-Assumptions!$B$37)*Assumptions!$B$153,0)</f>
        <v/>
      </c>
      <c r="AA6106">
        <f>Q6106+R6106+S6106+T6106+U6106+V6106+W6106+X6106+Y6106+Z6106</f>
        <v/>
      </c>
      <c r="AB6106" t="n">
        <v>82</v>
      </c>
      <c r="AC6106" t="n">
        <v>18</v>
      </c>
      <c r="AD6106" t="n">
        <v>114</v>
      </c>
      <c r="AE6106" t="n">
        <v>66</v>
      </c>
      <c r="AF6106" t="n">
        <v>90</v>
      </c>
      <c r="AG6106" t="n">
        <v>86</v>
      </c>
      <c r="AH6106" t="n">
        <v>80</v>
      </c>
      <c r="AI6106" t="n">
        <v>83</v>
      </c>
      <c r="AJ6106">
        <f>INDEX($Q$6024:$Q$6151,AC6106+1)</f>
        <v/>
      </c>
      <c r="AK6106">
        <f>INDEX($R$6024:$R$6151,AD6106+1)</f>
        <v/>
      </c>
      <c r="AL6106">
        <f>INDEX($S$6024:$S$6151,AE6106+1)</f>
        <v/>
      </c>
      <c r="AM6106">
        <f>INDEX($T$6024:$T$6151,AF6106+1)</f>
        <v/>
      </c>
      <c r="AN6106">
        <f>INDEX($U$6024:$U$6151,AG6106+1)</f>
        <v/>
      </c>
      <c r="AO6106">
        <f>INDEX($V$6024:$V$6151,AH6106+1)</f>
        <v/>
      </c>
      <c r="AP6106">
        <f>INDEX($W$6024:$W$6151,AI6106+1)</f>
        <v/>
      </c>
      <c r="AQ6106">
        <f>IF(Q6106&gt;=AJ6106-0.01,1,0)</f>
        <v/>
      </c>
      <c r="AR6106">
        <f>IF(R6106&gt;=AK6106-0.01,1,0)</f>
        <v/>
      </c>
      <c r="AS6106">
        <f>IF(S6106&gt;=AL6106-0.01,1,0)</f>
        <v/>
      </c>
      <c r="AT6106">
        <f>IF(T6106&gt;=AM6106-0.01,1,0)</f>
        <v/>
      </c>
      <c r="AU6106">
        <f>IF(U6106&gt;=AN6106-0.01,1,0)</f>
        <v/>
      </c>
      <c r="AV6106">
        <f>IF(V6106&gt;=AO6106-0.01,1,0)</f>
        <v/>
      </c>
      <c r="AW6106">
        <f>IF(W6106&gt;=AP6106-0.01,1,0)</f>
        <v/>
      </c>
      <c r="AX6106">
        <f>AQ6106*AR6106*AS6106*AT6106*AU6106*AV6106*AW6106</f>
        <v/>
      </c>
    </row>
    <row r="6107">
      <c r="A6107" t="inlineStr"/>
      <c r="B6107">
        <f>Assumptions!$B$60</f>
        <v/>
      </c>
      <c r="C6107" t="n">
        <v>1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  <c r="I6107" t="n">
        <v>1</v>
      </c>
      <c r="J6107">
        <f>(1-C6107)*Assumptions!$B$41+(1-D6107)*Assumptions!$B$33+(1-E6107)*Assumptions!$B$32+(1-F6107)*Assumptions!$B$31+(1-G6107)*Assumptions!$B$30+(1-H6107)*Assumptions!$B$29+(1-I6107)*Assumptions!$B$28</f>
        <v/>
      </c>
      <c r="K6107">
        <f>C6107*$J$757+D6107*$F$757+E6107*$G$757+F6107*Assumptions!$B$14+G6107*Assumptions!$B$13+H6107*Assumptions!$B$12+I6107*Assumptions!$B$11+$O$757+$S$757+Assumptions!$B$9</f>
        <v/>
      </c>
      <c r="L6107">
        <f>B6107-J6107</f>
        <v/>
      </c>
      <c r="M6107">
        <f>IF(K6107&gt;0,IF(L6107/K6107&gt;=Assumptions!$B$37,1,0),0)</f>
        <v/>
      </c>
      <c r="N6107">
        <f>K6107+M6107*Assumptions!$B$153</f>
        <v/>
      </c>
      <c r="O6107">
        <f>L6107+M6107*Assumptions!$B$153*Assumptions!$B$37</f>
        <v/>
      </c>
      <c r="P6107">
        <f>IF(N6107&gt;0,O6107/N6107,0)</f>
        <v/>
      </c>
      <c r="Q6107">
        <f>IF(C6107=1,P6107*$J$757,Assumptions!$B$41)</f>
        <v/>
      </c>
      <c r="R6107">
        <f>IF(D6107=1,P6107*$F$757,Assumptions!$B$33)</f>
        <v/>
      </c>
      <c r="S6107">
        <f>IF(E6107=1,P6107*$G$757,Assumptions!$B$32)</f>
        <v/>
      </c>
      <c r="T6107">
        <f>IF(F6107=1,P6107*Assumptions!$B$14,Assumptions!$B$31)</f>
        <v/>
      </c>
      <c r="U6107">
        <f>IF(G6107=1,P6107*Assumptions!$B$13,Assumptions!$B$30)</f>
        <v/>
      </c>
      <c r="V6107">
        <f>IF(H6107=1,P6107*Assumptions!$B$12,Assumptions!$B$29)</f>
        <v/>
      </c>
      <c r="W6107">
        <f>IF(I6107=1,P6107*Assumptions!$B$11,Assumptions!$B$28)</f>
        <v/>
      </c>
      <c r="X6107">
        <f>P6107*($O$757+$S$757)</f>
        <v/>
      </c>
      <c r="Y6107">
        <f>P6107*Assumptions!$B$9</f>
        <v/>
      </c>
      <c r="Z6107">
        <f>IF(M6107=1,(P6107-Assumptions!$B$37)*Assumptions!$B$153,0)</f>
        <v/>
      </c>
      <c r="AA6107">
        <f>Q6107+R6107+S6107+T6107+U6107+V6107+W6107+X6107+Y6107+Z6107</f>
        <v/>
      </c>
      <c r="AB6107" t="n">
        <v>83</v>
      </c>
      <c r="AC6107" t="n">
        <v>19</v>
      </c>
      <c r="AD6107" t="n">
        <v>115</v>
      </c>
      <c r="AE6107" t="n">
        <v>67</v>
      </c>
      <c r="AF6107" t="n">
        <v>91</v>
      </c>
      <c r="AG6107" t="n">
        <v>87</v>
      </c>
      <c r="AH6107" t="n">
        <v>81</v>
      </c>
      <c r="AI6107" t="n">
        <v>82</v>
      </c>
      <c r="AJ6107">
        <f>INDEX($Q$6024:$Q$6151,AC6107+1)</f>
        <v/>
      </c>
      <c r="AK6107">
        <f>INDEX($R$6024:$R$6151,AD6107+1)</f>
        <v/>
      </c>
      <c r="AL6107">
        <f>INDEX($S$6024:$S$6151,AE6107+1)</f>
        <v/>
      </c>
      <c r="AM6107">
        <f>INDEX($T$6024:$T$6151,AF6107+1)</f>
        <v/>
      </c>
      <c r="AN6107">
        <f>INDEX($U$6024:$U$6151,AG6107+1)</f>
        <v/>
      </c>
      <c r="AO6107">
        <f>INDEX($V$6024:$V$6151,AH6107+1)</f>
        <v/>
      </c>
      <c r="AP6107">
        <f>INDEX($W$6024:$W$6151,AI6107+1)</f>
        <v/>
      </c>
      <c r="AQ6107">
        <f>IF(Q6107&gt;=AJ6107-0.01,1,0)</f>
        <v/>
      </c>
      <c r="AR6107">
        <f>IF(R6107&gt;=AK6107-0.01,1,0)</f>
        <v/>
      </c>
      <c r="AS6107">
        <f>IF(S6107&gt;=AL6107-0.01,1,0)</f>
        <v/>
      </c>
      <c r="AT6107">
        <f>IF(T6107&gt;=AM6107-0.01,1,0)</f>
        <v/>
      </c>
      <c r="AU6107">
        <f>IF(U6107&gt;=AN6107-0.01,1,0)</f>
        <v/>
      </c>
      <c r="AV6107">
        <f>IF(V6107&gt;=AO6107-0.01,1,0)</f>
        <v/>
      </c>
      <c r="AW6107">
        <f>IF(W6107&gt;=AP6107-0.01,1,0)</f>
        <v/>
      </c>
      <c r="AX6107">
        <f>AQ6107*AR6107*AS6107*AT6107*AU6107*AV6107*AW6107</f>
        <v/>
      </c>
    </row>
    <row r="6108">
      <c r="A6108" t="inlineStr"/>
      <c r="B6108">
        <f>Assumptions!$B$60</f>
        <v/>
      </c>
      <c r="C6108" t="n">
        <v>1</v>
      </c>
      <c r="D6108" t="n">
        <v>0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  <c r="J6108">
        <f>(1-C6108)*Assumptions!$B$41+(1-D6108)*Assumptions!$B$33+(1-E6108)*Assumptions!$B$32+(1-F6108)*Assumptions!$B$31+(1-G6108)*Assumptions!$B$30+(1-H6108)*Assumptions!$B$29+(1-I6108)*Assumptions!$B$28</f>
        <v/>
      </c>
      <c r="K6108">
        <f>C6108*$J$757+D6108*$F$757+E6108*$G$757+F6108*Assumptions!$B$14+G6108*Assumptions!$B$13+H6108*Assumptions!$B$12+I6108*Assumptions!$B$11+$O$757+$S$757+Assumptions!$B$9</f>
        <v/>
      </c>
      <c r="L6108">
        <f>B6108-J6108</f>
        <v/>
      </c>
      <c r="M6108">
        <f>IF(K6108&gt;0,IF(L6108/K6108&gt;=Assumptions!$B$37,1,0),0)</f>
        <v/>
      </c>
      <c r="N6108">
        <f>K6108+M6108*Assumptions!$B$153</f>
        <v/>
      </c>
      <c r="O6108">
        <f>L6108+M6108*Assumptions!$B$153*Assumptions!$B$37</f>
        <v/>
      </c>
      <c r="P6108">
        <f>IF(N6108&gt;0,O6108/N6108,0)</f>
        <v/>
      </c>
      <c r="Q6108">
        <f>IF(C6108=1,P6108*$J$757,Assumptions!$B$41)</f>
        <v/>
      </c>
      <c r="R6108">
        <f>IF(D6108=1,P6108*$F$757,Assumptions!$B$33)</f>
        <v/>
      </c>
      <c r="S6108">
        <f>IF(E6108=1,P6108*$G$757,Assumptions!$B$32)</f>
        <v/>
      </c>
      <c r="T6108">
        <f>IF(F6108=1,P6108*Assumptions!$B$14,Assumptions!$B$31)</f>
        <v/>
      </c>
      <c r="U6108">
        <f>IF(G6108=1,P6108*Assumptions!$B$13,Assumptions!$B$30)</f>
        <v/>
      </c>
      <c r="V6108">
        <f>IF(H6108=1,P6108*Assumptions!$B$12,Assumptions!$B$29)</f>
        <v/>
      </c>
      <c r="W6108">
        <f>IF(I6108=1,P6108*Assumptions!$B$11,Assumptions!$B$28)</f>
        <v/>
      </c>
      <c r="X6108">
        <f>P6108*($O$757+$S$757)</f>
        <v/>
      </c>
      <c r="Y6108">
        <f>P6108*Assumptions!$B$9</f>
        <v/>
      </c>
      <c r="Z6108">
        <f>IF(M6108=1,(P6108-Assumptions!$B$37)*Assumptions!$B$153,0)</f>
        <v/>
      </c>
      <c r="AA6108">
        <f>Q6108+R6108+S6108+T6108+U6108+V6108+W6108+X6108+Y6108+Z6108</f>
        <v/>
      </c>
      <c r="AB6108" t="n">
        <v>84</v>
      </c>
      <c r="AC6108" t="n">
        <v>20</v>
      </c>
      <c r="AD6108" t="n">
        <v>116</v>
      </c>
      <c r="AE6108" t="n">
        <v>68</v>
      </c>
      <c r="AF6108" t="n">
        <v>92</v>
      </c>
      <c r="AG6108" t="n">
        <v>80</v>
      </c>
      <c r="AH6108" t="n">
        <v>86</v>
      </c>
      <c r="AI6108" t="n">
        <v>85</v>
      </c>
      <c r="AJ6108">
        <f>INDEX($Q$6024:$Q$6151,AC6108+1)</f>
        <v/>
      </c>
      <c r="AK6108">
        <f>INDEX($R$6024:$R$6151,AD6108+1)</f>
        <v/>
      </c>
      <c r="AL6108">
        <f>INDEX($S$6024:$S$6151,AE6108+1)</f>
        <v/>
      </c>
      <c r="AM6108">
        <f>INDEX($T$6024:$T$6151,AF6108+1)</f>
        <v/>
      </c>
      <c r="AN6108">
        <f>INDEX($U$6024:$U$6151,AG6108+1)</f>
        <v/>
      </c>
      <c r="AO6108">
        <f>INDEX($V$6024:$V$6151,AH6108+1)</f>
        <v/>
      </c>
      <c r="AP6108">
        <f>INDEX($W$6024:$W$6151,AI6108+1)</f>
        <v/>
      </c>
      <c r="AQ6108">
        <f>IF(Q6108&gt;=AJ6108-0.01,1,0)</f>
        <v/>
      </c>
      <c r="AR6108">
        <f>IF(R6108&gt;=AK6108-0.01,1,0)</f>
        <v/>
      </c>
      <c r="AS6108">
        <f>IF(S6108&gt;=AL6108-0.01,1,0)</f>
        <v/>
      </c>
      <c r="AT6108">
        <f>IF(T6108&gt;=AM6108-0.01,1,0)</f>
        <v/>
      </c>
      <c r="AU6108">
        <f>IF(U6108&gt;=AN6108-0.01,1,0)</f>
        <v/>
      </c>
      <c r="AV6108">
        <f>IF(V6108&gt;=AO6108-0.01,1,0)</f>
        <v/>
      </c>
      <c r="AW6108">
        <f>IF(W6108&gt;=AP6108-0.01,1,0)</f>
        <v/>
      </c>
      <c r="AX6108">
        <f>AQ6108*AR6108*AS6108*AT6108*AU6108*AV6108*AW6108</f>
        <v/>
      </c>
    </row>
    <row r="6109">
      <c r="A6109" t="inlineStr"/>
      <c r="B6109">
        <f>Assumptions!$B$60</f>
        <v/>
      </c>
      <c r="C6109" t="n">
        <v>1</v>
      </c>
      <c r="D6109" t="n">
        <v>0</v>
      </c>
      <c r="E6109" t="n">
        <v>1</v>
      </c>
      <c r="F6109" t="n">
        <v>0</v>
      </c>
      <c r="G6109" t="n">
        <v>1</v>
      </c>
      <c r="H6109" t="n">
        <v>0</v>
      </c>
      <c r="I6109" t="n">
        <v>1</v>
      </c>
      <c r="J6109">
        <f>(1-C6109)*Assumptions!$B$41+(1-D6109)*Assumptions!$B$33+(1-E6109)*Assumptions!$B$32+(1-F6109)*Assumptions!$B$31+(1-G6109)*Assumptions!$B$30+(1-H6109)*Assumptions!$B$29+(1-I6109)*Assumptions!$B$28</f>
        <v/>
      </c>
      <c r="K6109">
        <f>C6109*$J$757+D6109*$F$757+E6109*$G$757+F6109*Assumptions!$B$14+G6109*Assumptions!$B$13+H6109*Assumptions!$B$12+I6109*Assumptions!$B$11+$O$757+$S$757+Assumptions!$B$9</f>
        <v/>
      </c>
      <c r="L6109">
        <f>B6109-J6109</f>
        <v/>
      </c>
      <c r="M6109">
        <f>IF(K6109&gt;0,IF(L6109/K6109&gt;=Assumptions!$B$37,1,0),0)</f>
        <v/>
      </c>
      <c r="N6109">
        <f>K6109+M6109*Assumptions!$B$153</f>
        <v/>
      </c>
      <c r="O6109">
        <f>L6109+M6109*Assumptions!$B$153*Assumptions!$B$37</f>
        <v/>
      </c>
      <c r="P6109">
        <f>IF(N6109&gt;0,O6109/N6109,0)</f>
        <v/>
      </c>
      <c r="Q6109">
        <f>IF(C6109=1,P6109*$J$757,Assumptions!$B$41)</f>
        <v/>
      </c>
      <c r="R6109">
        <f>IF(D6109=1,P6109*$F$757,Assumptions!$B$33)</f>
        <v/>
      </c>
      <c r="S6109">
        <f>IF(E6109=1,P6109*$G$757,Assumptions!$B$32)</f>
        <v/>
      </c>
      <c r="T6109">
        <f>IF(F6109=1,P6109*Assumptions!$B$14,Assumptions!$B$31)</f>
        <v/>
      </c>
      <c r="U6109">
        <f>IF(G6109=1,P6109*Assumptions!$B$13,Assumptions!$B$30)</f>
        <v/>
      </c>
      <c r="V6109">
        <f>IF(H6109=1,P6109*Assumptions!$B$12,Assumptions!$B$29)</f>
        <v/>
      </c>
      <c r="W6109">
        <f>IF(I6109=1,P6109*Assumptions!$B$11,Assumptions!$B$28)</f>
        <v/>
      </c>
      <c r="X6109">
        <f>P6109*($O$757+$S$757)</f>
        <v/>
      </c>
      <c r="Y6109">
        <f>P6109*Assumptions!$B$9</f>
        <v/>
      </c>
      <c r="Z6109">
        <f>IF(M6109=1,(P6109-Assumptions!$B$37)*Assumptions!$B$153,0)</f>
        <v/>
      </c>
      <c r="AA6109">
        <f>Q6109+R6109+S6109+T6109+U6109+V6109+W6109+X6109+Y6109+Z6109</f>
        <v/>
      </c>
      <c r="AB6109" t="n">
        <v>85</v>
      </c>
      <c r="AC6109" t="n">
        <v>21</v>
      </c>
      <c r="AD6109" t="n">
        <v>117</v>
      </c>
      <c r="AE6109" t="n">
        <v>69</v>
      </c>
      <c r="AF6109" t="n">
        <v>93</v>
      </c>
      <c r="AG6109" t="n">
        <v>81</v>
      </c>
      <c r="AH6109" t="n">
        <v>87</v>
      </c>
      <c r="AI6109" t="n">
        <v>84</v>
      </c>
      <c r="AJ6109">
        <f>INDEX($Q$6024:$Q$6151,AC6109+1)</f>
        <v/>
      </c>
      <c r="AK6109">
        <f>INDEX($R$6024:$R$6151,AD6109+1)</f>
        <v/>
      </c>
      <c r="AL6109">
        <f>INDEX($S$6024:$S$6151,AE6109+1)</f>
        <v/>
      </c>
      <c r="AM6109">
        <f>INDEX($T$6024:$T$6151,AF6109+1)</f>
        <v/>
      </c>
      <c r="AN6109">
        <f>INDEX($U$6024:$U$6151,AG6109+1)</f>
        <v/>
      </c>
      <c r="AO6109">
        <f>INDEX($V$6024:$V$6151,AH6109+1)</f>
        <v/>
      </c>
      <c r="AP6109">
        <f>INDEX($W$6024:$W$6151,AI6109+1)</f>
        <v/>
      </c>
      <c r="AQ6109">
        <f>IF(Q6109&gt;=AJ6109-0.01,1,0)</f>
        <v/>
      </c>
      <c r="AR6109">
        <f>IF(R6109&gt;=AK6109-0.01,1,0)</f>
        <v/>
      </c>
      <c r="AS6109">
        <f>IF(S6109&gt;=AL6109-0.01,1,0)</f>
        <v/>
      </c>
      <c r="AT6109">
        <f>IF(T6109&gt;=AM6109-0.01,1,0)</f>
        <v/>
      </c>
      <c r="AU6109">
        <f>IF(U6109&gt;=AN6109-0.01,1,0)</f>
        <v/>
      </c>
      <c r="AV6109">
        <f>IF(V6109&gt;=AO6109-0.01,1,0)</f>
        <v/>
      </c>
      <c r="AW6109">
        <f>IF(W6109&gt;=AP6109-0.01,1,0)</f>
        <v/>
      </c>
      <c r="AX6109">
        <f>AQ6109*AR6109*AS6109*AT6109*AU6109*AV6109*AW6109</f>
        <v/>
      </c>
    </row>
    <row r="6110">
      <c r="A6110" t="inlineStr"/>
      <c r="B6110">
        <f>Assumptions!$B$60</f>
        <v/>
      </c>
      <c r="C6110" t="n">
        <v>1</v>
      </c>
      <c r="D6110" t="n">
        <v>0</v>
      </c>
      <c r="E6110" t="n">
        <v>1</v>
      </c>
      <c r="F6110" t="n">
        <v>0</v>
      </c>
      <c r="G6110" t="n">
        <v>1</v>
      </c>
      <c r="H6110" t="n">
        <v>1</v>
      </c>
      <c r="I6110" t="n">
        <v>0</v>
      </c>
      <c r="J6110">
        <f>(1-C6110)*Assumptions!$B$41+(1-D6110)*Assumptions!$B$33+(1-E6110)*Assumptions!$B$32+(1-F6110)*Assumptions!$B$31+(1-G6110)*Assumptions!$B$30+(1-H6110)*Assumptions!$B$29+(1-I6110)*Assumptions!$B$28</f>
        <v/>
      </c>
      <c r="K6110">
        <f>C6110*$J$757+D6110*$F$757+E6110*$G$757+F6110*Assumptions!$B$14+G6110*Assumptions!$B$13+H6110*Assumptions!$B$12+I6110*Assumptions!$B$11+$O$757+$S$757+Assumptions!$B$9</f>
        <v/>
      </c>
      <c r="L6110">
        <f>B6110-J6110</f>
        <v/>
      </c>
      <c r="M6110">
        <f>IF(K6110&gt;0,IF(L6110/K6110&gt;=Assumptions!$B$37,1,0),0)</f>
        <v/>
      </c>
      <c r="N6110">
        <f>K6110+M6110*Assumptions!$B$153</f>
        <v/>
      </c>
      <c r="O6110">
        <f>L6110+M6110*Assumptions!$B$153*Assumptions!$B$37</f>
        <v/>
      </c>
      <c r="P6110">
        <f>IF(N6110&gt;0,O6110/N6110,0)</f>
        <v/>
      </c>
      <c r="Q6110">
        <f>IF(C6110=1,P6110*$J$757,Assumptions!$B$41)</f>
        <v/>
      </c>
      <c r="R6110">
        <f>IF(D6110=1,P6110*$F$757,Assumptions!$B$33)</f>
        <v/>
      </c>
      <c r="S6110">
        <f>IF(E6110=1,P6110*$G$757,Assumptions!$B$32)</f>
        <v/>
      </c>
      <c r="T6110">
        <f>IF(F6110=1,P6110*Assumptions!$B$14,Assumptions!$B$31)</f>
        <v/>
      </c>
      <c r="U6110">
        <f>IF(G6110=1,P6110*Assumptions!$B$13,Assumptions!$B$30)</f>
        <v/>
      </c>
      <c r="V6110">
        <f>IF(H6110=1,P6110*Assumptions!$B$12,Assumptions!$B$29)</f>
        <v/>
      </c>
      <c r="W6110">
        <f>IF(I6110=1,P6110*Assumptions!$B$11,Assumptions!$B$28)</f>
        <v/>
      </c>
      <c r="X6110">
        <f>P6110*($O$757+$S$757)</f>
        <v/>
      </c>
      <c r="Y6110">
        <f>P6110*Assumptions!$B$9</f>
        <v/>
      </c>
      <c r="Z6110">
        <f>IF(M6110=1,(P6110-Assumptions!$B$37)*Assumptions!$B$153,0)</f>
        <v/>
      </c>
      <c r="AA6110">
        <f>Q6110+R6110+S6110+T6110+U6110+V6110+W6110+X6110+Y6110+Z6110</f>
        <v/>
      </c>
      <c r="AB6110" t="n">
        <v>86</v>
      </c>
      <c r="AC6110" t="n">
        <v>22</v>
      </c>
      <c r="AD6110" t="n">
        <v>118</v>
      </c>
      <c r="AE6110" t="n">
        <v>70</v>
      </c>
      <c r="AF6110" t="n">
        <v>94</v>
      </c>
      <c r="AG6110" t="n">
        <v>82</v>
      </c>
      <c r="AH6110" t="n">
        <v>84</v>
      </c>
      <c r="AI6110" t="n">
        <v>87</v>
      </c>
      <c r="AJ6110">
        <f>INDEX($Q$6024:$Q$6151,AC6110+1)</f>
        <v/>
      </c>
      <c r="AK6110">
        <f>INDEX($R$6024:$R$6151,AD6110+1)</f>
        <v/>
      </c>
      <c r="AL6110">
        <f>INDEX($S$6024:$S$6151,AE6110+1)</f>
        <v/>
      </c>
      <c r="AM6110">
        <f>INDEX($T$6024:$T$6151,AF6110+1)</f>
        <v/>
      </c>
      <c r="AN6110">
        <f>INDEX($U$6024:$U$6151,AG6110+1)</f>
        <v/>
      </c>
      <c r="AO6110">
        <f>INDEX($V$6024:$V$6151,AH6110+1)</f>
        <v/>
      </c>
      <c r="AP6110">
        <f>INDEX($W$6024:$W$6151,AI6110+1)</f>
        <v/>
      </c>
      <c r="AQ6110">
        <f>IF(Q6110&gt;=AJ6110-0.01,1,0)</f>
        <v/>
      </c>
      <c r="AR6110">
        <f>IF(R6110&gt;=AK6110-0.01,1,0)</f>
        <v/>
      </c>
      <c r="AS6110">
        <f>IF(S6110&gt;=AL6110-0.01,1,0)</f>
        <v/>
      </c>
      <c r="AT6110">
        <f>IF(T6110&gt;=AM6110-0.01,1,0)</f>
        <v/>
      </c>
      <c r="AU6110">
        <f>IF(U6110&gt;=AN6110-0.01,1,0)</f>
        <v/>
      </c>
      <c r="AV6110">
        <f>IF(V6110&gt;=AO6110-0.01,1,0)</f>
        <v/>
      </c>
      <c r="AW6110">
        <f>IF(W6110&gt;=AP6110-0.01,1,0)</f>
        <v/>
      </c>
      <c r="AX6110">
        <f>AQ6110*AR6110*AS6110*AT6110*AU6110*AV6110*AW6110</f>
        <v/>
      </c>
    </row>
    <row r="6111">
      <c r="A6111" t="inlineStr"/>
      <c r="B6111">
        <f>Assumptions!$B$60</f>
        <v/>
      </c>
      <c r="C6111" t="n">
        <v>1</v>
      </c>
      <c r="D6111" t="n">
        <v>0</v>
      </c>
      <c r="E6111" t="n">
        <v>1</v>
      </c>
      <c r="F6111" t="n">
        <v>0</v>
      </c>
      <c r="G6111" t="n">
        <v>1</v>
      </c>
      <c r="H6111" t="n">
        <v>1</v>
      </c>
      <c r="I6111" t="n">
        <v>1</v>
      </c>
      <c r="J6111">
        <f>(1-C6111)*Assumptions!$B$41+(1-D6111)*Assumptions!$B$33+(1-E6111)*Assumptions!$B$32+(1-F6111)*Assumptions!$B$31+(1-G6111)*Assumptions!$B$30+(1-H6111)*Assumptions!$B$29+(1-I6111)*Assumptions!$B$28</f>
        <v/>
      </c>
      <c r="K6111">
        <f>C6111*$J$757+D6111*$F$757+E6111*$G$757+F6111*Assumptions!$B$14+G6111*Assumptions!$B$13+H6111*Assumptions!$B$12+I6111*Assumptions!$B$11+$O$757+$S$757+Assumptions!$B$9</f>
        <v/>
      </c>
      <c r="L6111">
        <f>B6111-J6111</f>
        <v/>
      </c>
      <c r="M6111">
        <f>IF(K6111&gt;0,IF(L6111/K6111&gt;=Assumptions!$B$37,1,0),0)</f>
        <v/>
      </c>
      <c r="N6111">
        <f>K6111+M6111*Assumptions!$B$153</f>
        <v/>
      </c>
      <c r="O6111">
        <f>L6111+M6111*Assumptions!$B$153*Assumptions!$B$37</f>
        <v/>
      </c>
      <c r="P6111">
        <f>IF(N6111&gt;0,O6111/N6111,0)</f>
        <v/>
      </c>
      <c r="Q6111">
        <f>IF(C6111=1,P6111*$J$757,Assumptions!$B$41)</f>
        <v/>
      </c>
      <c r="R6111">
        <f>IF(D6111=1,P6111*$F$757,Assumptions!$B$33)</f>
        <v/>
      </c>
      <c r="S6111">
        <f>IF(E6111=1,P6111*$G$757,Assumptions!$B$32)</f>
        <v/>
      </c>
      <c r="T6111">
        <f>IF(F6111=1,P6111*Assumptions!$B$14,Assumptions!$B$31)</f>
        <v/>
      </c>
      <c r="U6111">
        <f>IF(G6111=1,P6111*Assumptions!$B$13,Assumptions!$B$30)</f>
        <v/>
      </c>
      <c r="V6111">
        <f>IF(H6111=1,P6111*Assumptions!$B$12,Assumptions!$B$29)</f>
        <v/>
      </c>
      <c r="W6111">
        <f>IF(I6111=1,P6111*Assumptions!$B$11,Assumptions!$B$28)</f>
        <v/>
      </c>
      <c r="X6111">
        <f>P6111*($O$757+$S$757)</f>
        <v/>
      </c>
      <c r="Y6111">
        <f>P6111*Assumptions!$B$9</f>
        <v/>
      </c>
      <c r="Z6111">
        <f>IF(M6111=1,(P6111-Assumptions!$B$37)*Assumptions!$B$153,0)</f>
        <v/>
      </c>
      <c r="AA6111">
        <f>Q6111+R6111+S6111+T6111+U6111+V6111+W6111+X6111+Y6111+Z6111</f>
        <v/>
      </c>
      <c r="AB6111" t="n">
        <v>87</v>
      </c>
      <c r="AC6111" t="n">
        <v>23</v>
      </c>
      <c r="AD6111" t="n">
        <v>119</v>
      </c>
      <c r="AE6111" t="n">
        <v>71</v>
      </c>
      <c r="AF6111" t="n">
        <v>95</v>
      </c>
      <c r="AG6111" t="n">
        <v>83</v>
      </c>
      <c r="AH6111" t="n">
        <v>85</v>
      </c>
      <c r="AI6111" t="n">
        <v>86</v>
      </c>
      <c r="AJ6111">
        <f>INDEX($Q$6024:$Q$6151,AC6111+1)</f>
        <v/>
      </c>
      <c r="AK6111">
        <f>INDEX($R$6024:$R$6151,AD6111+1)</f>
        <v/>
      </c>
      <c r="AL6111">
        <f>INDEX($S$6024:$S$6151,AE6111+1)</f>
        <v/>
      </c>
      <c r="AM6111">
        <f>INDEX($T$6024:$T$6151,AF6111+1)</f>
        <v/>
      </c>
      <c r="AN6111">
        <f>INDEX($U$6024:$U$6151,AG6111+1)</f>
        <v/>
      </c>
      <c r="AO6111">
        <f>INDEX($V$6024:$V$6151,AH6111+1)</f>
        <v/>
      </c>
      <c r="AP6111">
        <f>INDEX($W$6024:$W$6151,AI6111+1)</f>
        <v/>
      </c>
      <c r="AQ6111">
        <f>IF(Q6111&gt;=AJ6111-0.01,1,0)</f>
        <v/>
      </c>
      <c r="AR6111">
        <f>IF(R6111&gt;=AK6111-0.01,1,0)</f>
        <v/>
      </c>
      <c r="AS6111">
        <f>IF(S6111&gt;=AL6111-0.01,1,0)</f>
        <v/>
      </c>
      <c r="AT6111">
        <f>IF(T6111&gt;=AM6111-0.01,1,0)</f>
        <v/>
      </c>
      <c r="AU6111">
        <f>IF(U6111&gt;=AN6111-0.01,1,0)</f>
        <v/>
      </c>
      <c r="AV6111">
        <f>IF(V6111&gt;=AO6111-0.01,1,0)</f>
        <v/>
      </c>
      <c r="AW6111">
        <f>IF(W6111&gt;=AP6111-0.01,1,0)</f>
        <v/>
      </c>
      <c r="AX6111">
        <f>AQ6111*AR6111*AS6111*AT6111*AU6111*AV6111*AW6111</f>
        <v/>
      </c>
    </row>
    <row r="6112">
      <c r="A6112" t="inlineStr"/>
      <c r="B6112">
        <f>Assumptions!$B$60</f>
        <v/>
      </c>
      <c r="C6112" t="n">
        <v>1</v>
      </c>
      <c r="D6112" t="n">
        <v>0</v>
      </c>
      <c r="E6112" t="n">
        <v>1</v>
      </c>
      <c r="F6112" t="n">
        <v>1</v>
      </c>
      <c r="G6112" t="n">
        <v>0</v>
      </c>
      <c r="H6112" t="n">
        <v>0</v>
      </c>
      <c r="I6112" t="n">
        <v>0</v>
      </c>
      <c r="J6112">
        <f>(1-C6112)*Assumptions!$B$41+(1-D6112)*Assumptions!$B$33+(1-E6112)*Assumptions!$B$32+(1-F6112)*Assumptions!$B$31+(1-G6112)*Assumptions!$B$30+(1-H6112)*Assumptions!$B$29+(1-I6112)*Assumptions!$B$28</f>
        <v/>
      </c>
      <c r="K6112">
        <f>C6112*$J$757+D6112*$F$757+E6112*$G$757+F6112*Assumptions!$B$14+G6112*Assumptions!$B$13+H6112*Assumptions!$B$12+I6112*Assumptions!$B$11+$O$757+$S$757+Assumptions!$B$9</f>
        <v/>
      </c>
      <c r="L6112">
        <f>B6112-J6112</f>
        <v/>
      </c>
      <c r="M6112">
        <f>IF(K6112&gt;0,IF(L6112/K6112&gt;=Assumptions!$B$37,1,0),0)</f>
        <v/>
      </c>
      <c r="N6112">
        <f>K6112+M6112*Assumptions!$B$153</f>
        <v/>
      </c>
      <c r="O6112">
        <f>L6112+M6112*Assumptions!$B$153*Assumptions!$B$37</f>
        <v/>
      </c>
      <c r="P6112">
        <f>IF(N6112&gt;0,O6112/N6112,0)</f>
        <v/>
      </c>
      <c r="Q6112">
        <f>IF(C6112=1,P6112*$J$757,Assumptions!$B$41)</f>
        <v/>
      </c>
      <c r="R6112">
        <f>IF(D6112=1,P6112*$F$757,Assumptions!$B$33)</f>
        <v/>
      </c>
      <c r="S6112">
        <f>IF(E6112=1,P6112*$G$757,Assumptions!$B$32)</f>
        <v/>
      </c>
      <c r="T6112">
        <f>IF(F6112=1,P6112*Assumptions!$B$14,Assumptions!$B$31)</f>
        <v/>
      </c>
      <c r="U6112">
        <f>IF(G6112=1,P6112*Assumptions!$B$13,Assumptions!$B$30)</f>
        <v/>
      </c>
      <c r="V6112">
        <f>IF(H6112=1,P6112*Assumptions!$B$12,Assumptions!$B$29)</f>
        <v/>
      </c>
      <c r="W6112">
        <f>IF(I6112=1,P6112*Assumptions!$B$11,Assumptions!$B$28)</f>
        <v/>
      </c>
      <c r="X6112">
        <f>P6112*($O$757+$S$757)</f>
        <v/>
      </c>
      <c r="Y6112">
        <f>P6112*Assumptions!$B$9</f>
        <v/>
      </c>
      <c r="Z6112">
        <f>IF(M6112=1,(P6112-Assumptions!$B$37)*Assumptions!$B$153,0)</f>
        <v/>
      </c>
      <c r="AA6112">
        <f>Q6112+R6112+S6112+T6112+U6112+V6112+W6112+X6112+Y6112+Z6112</f>
        <v/>
      </c>
      <c r="AB6112" t="n">
        <v>88</v>
      </c>
      <c r="AC6112" t="n">
        <v>24</v>
      </c>
      <c r="AD6112" t="n">
        <v>120</v>
      </c>
      <c r="AE6112" t="n">
        <v>72</v>
      </c>
      <c r="AF6112" t="n">
        <v>80</v>
      </c>
      <c r="AG6112" t="n">
        <v>92</v>
      </c>
      <c r="AH6112" t="n">
        <v>90</v>
      </c>
      <c r="AI6112" t="n">
        <v>89</v>
      </c>
      <c r="AJ6112">
        <f>INDEX($Q$6024:$Q$6151,AC6112+1)</f>
        <v/>
      </c>
      <c r="AK6112">
        <f>INDEX($R$6024:$R$6151,AD6112+1)</f>
        <v/>
      </c>
      <c r="AL6112">
        <f>INDEX($S$6024:$S$6151,AE6112+1)</f>
        <v/>
      </c>
      <c r="AM6112">
        <f>INDEX($T$6024:$T$6151,AF6112+1)</f>
        <v/>
      </c>
      <c r="AN6112">
        <f>INDEX($U$6024:$U$6151,AG6112+1)</f>
        <v/>
      </c>
      <c r="AO6112">
        <f>INDEX($V$6024:$V$6151,AH6112+1)</f>
        <v/>
      </c>
      <c r="AP6112">
        <f>INDEX($W$6024:$W$6151,AI6112+1)</f>
        <v/>
      </c>
      <c r="AQ6112">
        <f>IF(Q6112&gt;=AJ6112-0.01,1,0)</f>
        <v/>
      </c>
      <c r="AR6112">
        <f>IF(R6112&gt;=AK6112-0.01,1,0)</f>
        <v/>
      </c>
      <c r="AS6112">
        <f>IF(S6112&gt;=AL6112-0.01,1,0)</f>
        <v/>
      </c>
      <c r="AT6112">
        <f>IF(T6112&gt;=AM6112-0.01,1,0)</f>
        <v/>
      </c>
      <c r="AU6112">
        <f>IF(U6112&gt;=AN6112-0.01,1,0)</f>
        <v/>
      </c>
      <c r="AV6112">
        <f>IF(V6112&gt;=AO6112-0.01,1,0)</f>
        <v/>
      </c>
      <c r="AW6112">
        <f>IF(W6112&gt;=AP6112-0.01,1,0)</f>
        <v/>
      </c>
      <c r="AX6112">
        <f>AQ6112*AR6112*AS6112*AT6112*AU6112*AV6112*AW6112</f>
        <v/>
      </c>
    </row>
    <row r="6113">
      <c r="A6113" t="inlineStr"/>
      <c r="B6113">
        <f>Assumptions!$B$60</f>
        <v/>
      </c>
      <c r="C6113" t="n">
        <v>1</v>
      </c>
      <c r="D6113" t="n">
        <v>0</v>
      </c>
      <c r="E6113" t="n">
        <v>1</v>
      </c>
      <c r="F6113" t="n">
        <v>1</v>
      </c>
      <c r="G6113" t="n">
        <v>0</v>
      </c>
      <c r="H6113" t="n">
        <v>0</v>
      </c>
      <c r="I6113" t="n">
        <v>1</v>
      </c>
      <c r="J6113">
        <f>(1-C6113)*Assumptions!$B$41+(1-D6113)*Assumptions!$B$33+(1-E6113)*Assumptions!$B$32+(1-F6113)*Assumptions!$B$31+(1-G6113)*Assumptions!$B$30+(1-H6113)*Assumptions!$B$29+(1-I6113)*Assumptions!$B$28</f>
        <v/>
      </c>
      <c r="K6113">
        <f>C6113*$J$757+D6113*$F$757+E6113*$G$757+F6113*Assumptions!$B$14+G6113*Assumptions!$B$13+H6113*Assumptions!$B$12+I6113*Assumptions!$B$11+$O$757+$S$757+Assumptions!$B$9</f>
        <v/>
      </c>
      <c r="L6113">
        <f>B6113-J6113</f>
        <v/>
      </c>
      <c r="M6113">
        <f>IF(K6113&gt;0,IF(L6113/K6113&gt;=Assumptions!$B$37,1,0),0)</f>
        <v/>
      </c>
      <c r="N6113">
        <f>K6113+M6113*Assumptions!$B$153</f>
        <v/>
      </c>
      <c r="O6113">
        <f>L6113+M6113*Assumptions!$B$153*Assumptions!$B$37</f>
        <v/>
      </c>
      <c r="P6113">
        <f>IF(N6113&gt;0,O6113/N6113,0)</f>
        <v/>
      </c>
      <c r="Q6113">
        <f>IF(C6113=1,P6113*$J$757,Assumptions!$B$41)</f>
        <v/>
      </c>
      <c r="R6113">
        <f>IF(D6113=1,P6113*$F$757,Assumptions!$B$33)</f>
        <v/>
      </c>
      <c r="S6113">
        <f>IF(E6113=1,P6113*$G$757,Assumptions!$B$32)</f>
        <v/>
      </c>
      <c r="T6113">
        <f>IF(F6113=1,P6113*Assumptions!$B$14,Assumptions!$B$31)</f>
        <v/>
      </c>
      <c r="U6113">
        <f>IF(G6113=1,P6113*Assumptions!$B$13,Assumptions!$B$30)</f>
        <v/>
      </c>
      <c r="V6113">
        <f>IF(H6113=1,P6113*Assumptions!$B$12,Assumptions!$B$29)</f>
        <v/>
      </c>
      <c r="W6113">
        <f>IF(I6113=1,P6113*Assumptions!$B$11,Assumptions!$B$28)</f>
        <v/>
      </c>
      <c r="X6113">
        <f>P6113*($O$757+$S$757)</f>
        <v/>
      </c>
      <c r="Y6113">
        <f>P6113*Assumptions!$B$9</f>
        <v/>
      </c>
      <c r="Z6113">
        <f>IF(M6113=1,(P6113-Assumptions!$B$37)*Assumptions!$B$153,0)</f>
        <v/>
      </c>
      <c r="AA6113">
        <f>Q6113+R6113+S6113+T6113+U6113+V6113+W6113+X6113+Y6113+Z6113</f>
        <v/>
      </c>
      <c r="AB6113" t="n">
        <v>89</v>
      </c>
      <c r="AC6113" t="n">
        <v>25</v>
      </c>
      <c r="AD6113" t="n">
        <v>121</v>
      </c>
      <c r="AE6113" t="n">
        <v>73</v>
      </c>
      <c r="AF6113" t="n">
        <v>81</v>
      </c>
      <c r="AG6113" t="n">
        <v>93</v>
      </c>
      <c r="AH6113" t="n">
        <v>91</v>
      </c>
      <c r="AI6113" t="n">
        <v>88</v>
      </c>
      <c r="AJ6113">
        <f>INDEX($Q$6024:$Q$6151,AC6113+1)</f>
        <v/>
      </c>
      <c r="AK6113">
        <f>INDEX($R$6024:$R$6151,AD6113+1)</f>
        <v/>
      </c>
      <c r="AL6113">
        <f>INDEX($S$6024:$S$6151,AE6113+1)</f>
        <v/>
      </c>
      <c r="AM6113">
        <f>INDEX($T$6024:$T$6151,AF6113+1)</f>
        <v/>
      </c>
      <c r="AN6113">
        <f>INDEX($U$6024:$U$6151,AG6113+1)</f>
        <v/>
      </c>
      <c r="AO6113">
        <f>INDEX($V$6024:$V$6151,AH6113+1)</f>
        <v/>
      </c>
      <c r="AP6113">
        <f>INDEX($W$6024:$W$6151,AI6113+1)</f>
        <v/>
      </c>
      <c r="AQ6113">
        <f>IF(Q6113&gt;=AJ6113-0.01,1,0)</f>
        <v/>
      </c>
      <c r="AR6113">
        <f>IF(R6113&gt;=AK6113-0.01,1,0)</f>
        <v/>
      </c>
      <c r="AS6113">
        <f>IF(S6113&gt;=AL6113-0.01,1,0)</f>
        <v/>
      </c>
      <c r="AT6113">
        <f>IF(T6113&gt;=AM6113-0.01,1,0)</f>
        <v/>
      </c>
      <c r="AU6113">
        <f>IF(U6113&gt;=AN6113-0.01,1,0)</f>
        <v/>
      </c>
      <c r="AV6113">
        <f>IF(V6113&gt;=AO6113-0.01,1,0)</f>
        <v/>
      </c>
      <c r="AW6113">
        <f>IF(W6113&gt;=AP6113-0.01,1,0)</f>
        <v/>
      </c>
      <c r="AX6113">
        <f>AQ6113*AR6113*AS6113*AT6113*AU6113*AV6113*AW6113</f>
        <v/>
      </c>
    </row>
    <row r="6114">
      <c r="A6114" t="inlineStr"/>
      <c r="B6114">
        <f>Assumptions!$B$60</f>
        <v/>
      </c>
      <c r="C6114" t="n">
        <v>1</v>
      </c>
      <c r="D6114" t="n">
        <v>0</v>
      </c>
      <c r="E6114" t="n">
        <v>1</v>
      </c>
      <c r="F6114" t="n">
        <v>1</v>
      </c>
      <c r="G6114" t="n">
        <v>0</v>
      </c>
      <c r="H6114" t="n">
        <v>1</v>
      </c>
      <c r="I6114" t="n">
        <v>0</v>
      </c>
      <c r="J6114">
        <f>(1-C6114)*Assumptions!$B$41+(1-D6114)*Assumptions!$B$33+(1-E6114)*Assumptions!$B$32+(1-F6114)*Assumptions!$B$31+(1-G6114)*Assumptions!$B$30+(1-H6114)*Assumptions!$B$29+(1-I6114)*Assumptions!$B$28</f>
        <v/>
      </c>
      <c r="K6114">
        <f>C6114*$J$757+D6114*$F$757+E6114*$G$757+F6114*Assumptions!$B$14+G6114*Assumptions!$B$13+H6114*Assumptions!$B$12+I6114*Assumptions!$B$11+$O$757+$S$757+Assumptions!$B$9</f>
        <v/>
      </c>
      <c r="L6114">
        <f>B6114-J6114</f>
        <v/>
      </c>
      <c r="M6114">
        <f>IF(K6114&gt;0,IF(L6114/K6114&gt;=Assumptions!$B$37,1,0),0)</f>
        <v/>
      </c>
      <c r="N6114">
        <f>K6114+M6114*Assumptions!$B$153</f>
        <v/>
      </c>
      <c r="O6114">
        <f>L6114+M6114*Assumptions!$B$153*Assumptions!$B$37</f>
        <v/>
      </c>
      <c r="P6114">
        <f>IF(N6114&gt;0,O6114/N6114,0)</f>
        <v/>
      </c>
      <c r="Q6114">
        <f>IF(C6114=1,P6114*$J$757,Assumptions!$B$41)</f>
        <v/>
      </c>
      <c r="R6114">
        <f>IF(D6114=1,P6114*$F$757,Assumptions!$B$33)</f>
        <v/>
      </c>
      <c r="S6114">
        <f>IF(E6114=1,P6114*$G$757,Assumptions!$B$32)</f>
        <v/>
      </c>
      <c r="T6114">
        <f>IF(F6114=1,P6114*Assumptions!$B$14,Assumptions!$B$31)</f>
        <v/>
      </c>
      <c r="U6114">
        <f>IF(G6114=1,P6114*Assumptions!$B$13,Assumptions!$B$30)</f>
        <v/>
      </c>
      <c r="V6114">
        <f>IF(H6114=1,P6114*Assumptions!$B$12,Assumptions!$B$29)</f>
        <v/>
      </c>
      <c r="W6114">
        <f>IF(I6114=1,P6114*Assumptions!$B$11,Assumptions!$B$28)</f>
        <v/>
      </c>
      <c r="X6114">
        <f>P6114*($O$757+$S$757)</f>
        <v/>
      </c>
      <c r="Y6114">
        <f>P6114*Assumptions!$B$9</f>
        <v/>
      </c>
      <c r="Z6114">
        <f>IF(M6114=1,(P6114-Assumptions!$B$37)*Assumptions!$B$153,0)</f>
        <v/>
      </c>
      <c r="AA6114">
        <f>Q6114+R6114+S6114+T6114+U6114+V6114+W6114+X6114+Y6114+Z6114</f>
        <v/>
      </c>
      <c r="AB6114" t="n">
        <v>90</v>
      </c>
      <c r="AC6114" t="n">
        <v>26</v>
      </c>
      <c r="AD6114" t="n">
        <v>122</v>
      </c>
      <c r="AE6114" t="n">
        <v>74</v>
      </c>
      <c r="AF6114" t="n">
        <v>82</v>
      </c>
      <c r="AG6114" t="n">
        <v>94</v>
      </c>
      <c r="AH6114" t="n">
        <v>88</v>
      </c>
      <c r="AI6114" t="n">
        <v>91</v>
      </c>
      <c r="AJ6114">
        <f>INDEX($Q$6024:$Q$6151,AC6114+1)</f>
        <v/>
      </c>
      <c r="AK6114">
        <f>INDEX($R$6024:$R$6151,AD6114+1)</f>
        <v/>
      </c>
      <c r="AL6114">
        <f>INDEX($S$6024:$S$6151,AE6114+1)</f>
        <v/>
      </c>
      <c r="AM6114">
        <f>INDEX($T$6024:$T$6151,AF6114+1)</f>
        <v/>
      </c>
      <c r="AN6114">
        <f>INDEX($U$6024:$U$6151,AG6114+1)</f>
        <v/>
      </c>
      <c r="AO6114">
        <f>INDEX($V$6024:$V$6151,AH6114+1)</f>
        <v/>
      </c>
      <c r="AP6114">
        <f>INDEX($W$6024:$W$6151,AI6114+1)</f>
        <v/>
      </c>
      <c r="AQ6114">
        <f>IF(Q6114&gt;=AJ6114-0.01,1,0)</f>
        <v/>
      </c>
      <c r="AR6114">
        <f>IF(R6114&gt;=AK6114-0.01,1,0)</f>
        <v/>
      </c>
      <c r="AS6114">
        <f>IF(S6114&gt;=AL6114-0.01,1,0)</f>
        <v/>
      </c>
      <c r="AT6114">
        <f>IF(T6114&gt;=AM6114-0.01,1,0)</f>
        <v/>
      </c>
      <c r="AU6114">
        <f>IF(U6114&gt;=AN6114-0.01,1,0)</f>
        <v/>
      </c>
      <c r="AV6114">
        <f>IF(V6114&gt;=AO6114-0.01,1,0)</f>
        <v/>
      </c>
      <c r="AW6114">
        <f>IF(W6114&gt;=AP6114-0.01,1,0)</f>
        <v/>
      </c>
      <c r="AX6114">
        <f>AQ6114*AR6114*AS6114*AT6114*AU6114*AV6114*AW6114</f>
        <v/>
      </c>
    </row>
    <row r="6115">
      <c r="A6115" t="inlineStr"/>
      <c r="B6115">
        <f>Assumptions!$B$60</f>
        <v/>
      </c>
      <c r="C6115" t="n">
        <v>1</v>
      </c>
      <c r="D6115" t="n">
        <v>0</v>
      </c>
      <c r="E6115" t="n">
        <v>1</v>
      </c>
      <c r="F6115" t="n">
        <v>1</v>
      </c>
      <c r="G6115" t="n">
        <v>0</v>
      </c>
      <c r="H6115" t="n">
        <v>1</v>
      </c>
      <c r="I6115" t="n">
        <v>1</v>
      </c>
      <c r="J6115">
        <f>(1-C6115)*Assumptions!$B$41+(1-D6115)*Assumptions!$B$33+(1-E6115)*Assumptions!$B$32+(1-F6115)*Assumptions!$B$31+(1-G6115)*Assumptions!$B$30+(1-H6115)*Assumptions!$B$29+(1-I6115)*Assumptions!$B$28</f>
        <v/>
      </c>
      <c r="K6115">
        <f>C6115*$J$757+D6115*$F$757+E6115*$G$757+F6115*Assumptions!$B$14+G6115*Assumptions!$B$13+H6115*Assumptions!$B$12+I6115*Assumptions!$B$11+$O$757+$S$757+Assumptions!$B$9</f>
        <v/>
      </c>
      <c r="L6115">
        <f>B6115-J6115</f>
        <v/>
      </c>
      <c r="M6115">
        <f>IF(K6115&gt;0,IF(L6115/K6115&gt;=Assumptions!$B$37,1,0),0)</f>
        <v/>
      </c>
      <c r="N6115">
        <f>K6115+M6115*Assumptions!$B$153</f>
        <v/>
      </c>
      <c r="O6115">
        <f>L6115+M6115*Assumptions!$B$153*Assumptions!$B$37</f>
        <v/>
      </c>
      <c r="P6115">
        <f>IF(N6115&gt;0,O6115/N6115,0)</f>
        <v/>
      </c>
      <c r="Q6115">
        <f>IF(C6115=1,P6115*$J$757,Assumptions!$B$41)</f>
        <v/>
      </c>
      <c r="R6115">
        <f>IF(D6115=1,P6115*$F$757,Assumptions!$B$33)</f>
        <v/>
      </c>
      <c r="S6115">
        <f>IF(E6115=1,P6115*$G$757,Assumptions!$B$32)</f>
        <v/>
      </c>
      <c r="T6115">
        <f>IF(F6115=1,P6115*Assumptions!$B$14,Assumptions!$B$31)</f>
        <v/>
      </c>
      <c r="U6115">
        <f>IF(G6115=1,P6115*Assumptions!$B$13,Assumptions!$B$30)</f>
        <v/>
      </c>
      <c r="V6115">
        <f>IF(H6115=1,P6115*Assumptions!$B$12,Assumptions!$B$29)</f>
        <v/>
      </c>
      <c r="W6115">
        <f>IF(I6115=1,P6115*Assumptions!$B$11,Assumptions!$B$28)</f>
        <v/>
      </c>
      <c r="X6115">
        <f>P6115*($O$757+$S$757)</f>
        <v/>
      </c>
      <c r="Y6115">
        <f>P6115*Assumptions!$B$9</f>
        <v/>
      </c>
      <c r="Z6115">
        <f>IF(M6115=1,(P6115-Assumptions!$B$37)*Assumptions!$B$153,0)</f>
        <v/>
      </c>
      <c r="AA6115">
        <f>Q6115+R6115+S6115+T6115+U6115+V6115+W6115+X6115+Y6115+Z6115</f>
        <v/>
      </c>
      <c r="AB6115" t="n">
        <v>91</v>
      </c>
      <c r="AC6115" t="n">
        <v>27</v>
      </c>
      <c r="AD6115" t="n">
        <v>123</v>
      </c>
      <c r="AE6115" t="n">
        <v>75</v>
      </c>
      <c r="AF6115" t="n">
        <v>83</v>
      </c>
      <c r="AG6115" t="n">
        <v>95</v>
      </c>
      <c r="AH6115" t="n">
        <v>89</v>
      </c>
      <c r="AI6115" t="n">
        <v>90</v>
      </c>
      <c r="AJ6115">
        <f>INDEX($Q$6024:$Q$6151,AC6115+1)</f>
        <v/>
      </c>
      <c r="AK6115">
        <f>INDEX($R$6024:$R$6151,AD6115+1)</f>
        <v/>
      </c>
      <c r="AL6115">
        <f>INDEX($S$6024:$S$6151,AE6115+1)</f>
        <v/>
      </c>
      <c r="AM6115">
        <f>INDEX($T$6024:$T$6151,AF6115+1)</f>
        <v/>
      </c>
      <c r="AN6115">
        <f>INDEX($U$6024:$U$6151,AG6115+1)</f>
        <v/>
      </c>
      <c r="AO6115">
        <f>INDEX($V$6024:$V$6151,AH6115+1)</f>
        <v/>
      </c>
      <c r="AP6115">
        <f>INDEX($W$6024:$W$6151,AI6115+1)</f>
        <v/>
      </c>
      <c r="AQ6115">
        <f>IF(Q6115&gt;=AJ6115-0.01,1,0)</f>
        <v/>
      </c>
      <c r="AR6115">
        <f>IF(R6115&gt;=AK6115-0.01,1,0)</f>
        <v/>
      </c>
      <c r="AS6115">
        <f>IF(S6115&gt;=AL6115-0.01,1,0)</f>
        <v/>
      </c>
      <c r="AT6115">
        <f>IF(T6115&gt;=AM6115-0.01,1,0)</f>
        <v/>
      </c>
      <c r="AU6115">
        <f>IF(U6115&gt;=AN6115-0.01,1,0)</f>
        <v/>
      </c>
      <c r="AV6115">
        <f>IF(V6115&gt;=AO6115-0.01,1,0)</f>
        <v/>
      </c>
      <c r="AW6115">
        <f>IF(W6115&gt;=AP6115-0.01,1,0)</f>
        <v/>
      </c>
      <c r="AX6115">
        <f>AQ6115*AR6115*AS6115*AT6115*AU6115*AV6115*AW6115</f>
        <v/>
      </c>
    </row>
    <row r="6116">
      <c r="A6116" t="inlineStr"/>
      <c r="B6116">
        <f>Assumptions!$B$60</f>
        <v/>
      </c>
      <c r="C6116" t="n">
        <v>1</v>
      </c>
      <c r="D6116" t="n">
        <v>0</v>
      </c>
      <c r="E6116" t="n">
        <v>1</v>
      </c>
      <c r="F6116" t="n">
        <v>1</v>
      </c>
      <c r="G6116" t="n">
        <v>1</v>
      </c>
      <c r="H6116" t="n">
        <v>0</v>
      </c>
      <c r="I6116" t="n">
        <v>0</v>
      </c>
      <c r="J6116">
        <f>(1-C6116)*Assumptions!$B$41+(1-D6116)*Assumptions!$B$33+(1-E6116)*Assumptions!$B$32+(1-F6116)*Assumptions!$B$31+(1-G6116)*Assumptions!$B$30+(1-H6116)*Assumptions!$B$29+(1-I6116)*Assumptions!$B$28</f>
        <v/>
      </c>
      <c r="K6116">
        <f>C6116*$J$757+D6116*$F$757+E6116*$G$757+F6116*Assumptions!$B$14+G6116*Assumptions!$B$13+H6116*Assumptions!$B$12+I6116*Assumptions!$B$11+$O$757+$S$757+Assumptions!$B$9</f>
        <v/>
      </c>
      <c r="L6116">
        <f>B6116-J6116</f>
        <v/>
      </c>
      <c r="M6116">
        <f>IF(K6116&gt;0,IF(L6116/K6116&gt;=Assumptions!$B$37,1,0),0)</f>
        <v/>
      </c>
      <c r="N6116">
        <f>K6116+M6116*Assumptions!$B$153</f>
        <v/>
      </c>
      <c r="O6116">
        <f>L6116+M6116*Assumptions!$B$153*Assumptions!$B$37</f>
        <v/>
      </c>
      <c r="P6116">
        <f>IF(N6116&gt;0,O6116/N6116,0)</f>
        <v/>
      </c>
      <c r="Q6116">
        <f>IF(C6116=1,P6116*$J$757,Assumptions!$B$41)</f>
        <v/>
      </c>
      <c r="R6116">
        <f>IF(D6116=1,P6116*$F$757,Assumptions!$B$33)</f>
        <v/>
      </c>
      <c r="S6116">
        <f>IF(E6116=1,P6116*$G$757,Assumptions!$B$32)</f>
        <v/>
      </c>
      <c r="T6116">
        <f>IF(F6116=1,P6116*Assumptions!$B$14,Assumptions!$B$31)</f>
        <v/>
      </c>
      <c r="U6116">
        <f>IF(G6116=1,P6116*Assumptions!$B$13,Assumptions!$B$30)</f>
        <v/>
      </c>
      <c r="V6116">
        <f>IF(H6116=1,P6116*Assumptions!$B$12,Assumptions!$B$29)</f>
        <v/>
      </c>
      <c r="W6116">
        <f>IF(I6116=1,P6116*Assumptions!$B$11,Assumptions!$B$28)</f>
        <v/>
      </c>
      <c r="X6116">
        <f>P6116*($O$757+$S$757)</f>
        <v/>
      </c>
      <c r="Y6116">
        <f>P6116*Assumptions!$B$9</f>
        <v/>
      </c>
      <c r="Z6116">
        <f>IF(M6116=1,(P6116-Assumptions!$B$37)*Assumptions!$B$153,0)</f>
        <v/>
      </c>
      <c r="AA6116">
        <f>Q6116+R6116+S6116+T6116+U6116+V6116+W6116+X6116+Y6116+Z6116</f>
        <v/>
      </c>
      <c r="AB6116" t="n">
        <v>92</v>
      </c>
      <c r="AC6116" t="n">
        <v>28</v>
      </c>
      <c r="AD6116" t="n">
        <v>124</v>
      </c>
      <c r="AE6116" t="n">
        <v>76</v>
      </c>
      <c r="AF6116" t="n">
        <v>84</v>
      </c>
      <c r="AG6116" t="n">
        <v>88</v>
      </c>
      <c r="AH6116" t="n">
        <v>94</v>
      </c>
      <c r="AI6116" t="n">
        <v>93</v>
      </c>
      <c r="AJ6116">
        <f>INDEX($Q$6024:$Q$6151,AC6116+1)</f>
        <v/>
      </c>
      <c r="AK6116">
        <f>INDEX($R$6024:$R$6151,AD6116+1)</f>
        <v/>
      </c>
      <c r="AL6116">
        <f>INDEX($S$6024:$S$6151,AE6116+1)</f>
        <v/>
      </c>
      <c r="AM6116">
        <f>INDEX($T$6024:$T$6151,AF6116+1)</f>
        <v/>
      </c>
      <c r="AN6116">
        <f>INDEX($U$6024:$U$6151,AG6116+1)</f>
        <v/>
      </c>
      <c r="AO6116">
        <f>INDEX($V$6024:$V$6151,AH6116+1)</f>
        <v/>
      </c>
      <c r="AP6116">
        <f>INDEX($W$6024:$W$6151,AI6116+1)</f>
        <v/>
      </c>
      <c r="AQ6116">
        <f>IF(Q6116&gt;=AJ6116-0.01,1,0)</f>
        <v/>
      </c>
      <c r="AR6116">
        <f>IF(R6116&gt;=AK6116-0.01,1,0)</f>
        <v/>
      </c>
      <c r="AS6116">
        <f>IF(S6116&gt;=AL6116-0.01,1,0)</f>
        <v/>
      </c>
      <c r="AT6116">
        <f>IF(T6116&gt;=AM6116-0.01,1,0)</f>
        <v/>
      </c>
      <c r="AU6116">
        <f>IF(U6116&gt;=AN6116-0.01,1,0)</f>
        <v/>
      </c>
      <c r="AV6116">
        <f>IF(V6116&gt;=AO6116-0.01,1,0)</f>
        <v/>
      </c>
      <c r="AW6116">
        <f>IF(W6116&gt;=AP6116-0.01,1,0)</f>
        <v/>
      </c>
      <c r="AX6116">
        <f>AQ6116*AR6116*AS6116*AT6116*AU6116*AV6116*AW6116</f>
        <v/>
      </c>
    </row>
    <row r="6117">
      <c r="A6117" t="inlineStr"/>
      <c r="B6117">
        <f>Assumptions!$B$60</f>
        <v/>
      </c>
      <c r="C6117" t="n">
        <v>1</v>
      </c>
      <c r="D6117" t="n">
        <v>0</v>
      </c>
      <c r="E6117" t="n">
        <v>1</v>
      </c>
      <c r="F6117" t="n">
        <v>1</v>
      </c>
      <c r="G6117" t="n">
        <v>1</v>
      </c>
      <c r="H6117" t="n">
        <v>0</v>
      </c>
      <c r="I6117" t="n">
        <v>1</v>
      </c>
      <c r="J6117">
        <f>(1-C6117)*Assumptions!$B$41+(1-D6117)*Assumptions!$B$33+(1-E6117)*Assumptions!$B$32+(1-F6117)*Assumptions!$B$31+(1-G6117)*Assumptions!$B$30+(1-H6117)*Assumptions!$B$29+(1-I6117)*Assumptions!$B$28</f>
        <v/>
      </c>
      <c r="K6117">
        <f>C6117*$J$757+D6117*$F$757+E6117*$G$757+F6117*Assumptions!$B$14+G6117*Assumptions!$B$13+H6117*Assumptions!$B$12+I6117*Assumptions!$B$11+$O$757+$S$757+Assumptions!$B$9</f>
        <v/>
      </c>
      <c r="L6117">
        <f>B6117-J6117</f>
        <v/>
      </c>
      <c r="M6117">
        <f>IF(K6117&gt;0,IF(L6117/K6117&gt;=Assumptions!$B$37,1,0),0)</f>
        <v/>
      </c>
      <c r="N6117">
        <f>K6117+M6117*Assumptions!$B$153</f>
        <v/>
      </c>
      <c r="O6117">
        <f>L6117+M6117*Assumptions!$B$153*Assumptions!$B$37</f>
        <v/>
      </c>
      <c r="P6117">
        <f>IF(N6117&gt;0,O6117/N6117,0)</f>
        <v/>
      </c>
      <c r="Q6117">
        <f>IF(C6117=1,P6117*$J$757,Assumptions!$B$41)</f>
        <v/>
      </c>
      <c r="R6117">
        <f>IF(D6117=1,P6117*$F$757,Assumptions!$B$33)</f>
        <v/>
      </c>
      <c r="S6117">
        <f>IF(E6117=1,P6117*$G$757,Assumptions!$B$32)</f>
        <v/>
      </c>
      <c r="T6117">
        <f>IF(F6117=1,P6117*Assumptions!$B$14,Assumptions!$B$31)</f>
        <v/>
      </c>
      <c r="U6117">
        <f>IF(G6117=1,P6117*Assumptions!$B$13,Assumptions!$B$30)</f>
        <v/>
      </c>
      <c r="V6117">
        <f>IF(H6117=1,P6117*Assumptions!$B$12,Assumptions!$B$29)</f>
        <v/>
      </c>
      <c r="W6117">
        <f>IF(I6117=1,P6117*Assumptions!$B$11,Assumptions!$B$28)</f>
        <v/>
      </c>
      <c r="X6117">
        <f>P6117*($O$757+$S$757)</f>
        <v/>
      </c>
      <c r="Y6117">
        <f>P6117*Assumptions!$B$9</f>
        <v/>
      </c>
      <c r="Z6117">
        <f>IF(M6117=1,(P6117-Assumptions!$B$37)*Assumptions!$B$153,0)</f>
        <v/>
      </c>
      <c r="AA6117">
        <f>Q6117+R6117+S6117+T6117+U6117+V6117+W6117+X6117+Y6117+Z6117</f>
        <v/>
      </c>
      <c r="AB6117" t="n">
        <v>93</v>
      </c>
      <c r="AC6117" t="n">
        <v>29</v>
      </c>
      <c r="AD6117" t="n">
        <v>125</v>
      </c>
      <c r="AE6117" t="n">
        <v>77</v>
      </c>
      <c r="AF6117" t="n">
        <v>85</v>
      </c>
      <c r="AG6117" t="n">
        <v>89</v>
      </c>
      <c r="AH6117" t="n">
        <v>95</v>
      </c>
      <c r="AI6117" t="n">
        <v>92</v>
      </c>
      <c r="AJ6117">
        <f>INDEX($Q$6024:$Q$6151,AC6117+1)</f>
        <v/>
      </c>
      <c r="AK6117">
        <f>INDEX($R$6024:$R$6151,AD6117+1)</f>
        <v/>
      </c>
      <c r="AL6117">
        <f>INDEX($S$6024:$S$6151,AE6117+1)</f>
        <v/>
      </c>
      <c r="AM6117">
        <f>INDEX($T$6024:$T$6151,AF6117+1)</f>
        <v/>
      </c>
      <c r="AN6117">
        <f>INDEX($U$6024:$U$6151,AG6117+1)</f>
        <v/>
      </c>
      <c r="AO6117">
        <f>INDEX($V$6024:$V$6151,AH6117+1)</f>
        <v/>
      </c>
      <c r="AP6117">
        <f>INDEX($W$6024:$W$6151,AI6117+1)</f>
        <v/>
      </c>
      <c r="AQ6117">
        <f>IF(Q6117&gt;=AJ6117-0.01,1,0)</f>
        <v/>
      </c>
      <c r="AR6117">
        <f>IF(R6117&gt;=AK6117-0.01,1,0)</f>
        <v/>
      </c>
      <c r="AS6117">
        <f>IF(S6117&gt;=AL6117-0.01,1,0)</f>
        <v/>
      </c>
      <c r="AT6117">
        <f>IF(T6117&gt;=AM6117-0.01,1,0)</f>
        <v/>
      </c>
      <c r="AU6117">
        <f>IF(U6117&gt;=AN6117-0.01,1,0)</f>
        <v/>
      </c>
      <c r="AV6117">
        <f>IF(V6117&gt;=AO6117-0.01,1,0)</f>
        <v/>
      </c>
      <c r="AW6117">
        <f>IF(W6117&gt;=AP6117-0.01,1,0)</f>
        <v/>
      </c>
      <c r="AX6117">
        <f>AQ6117*AR6117*AS6117*AT6117*AU6117*AV6117*AW6117</f>
        <v/>
      </c>
    </row>
    <row r="6118">
      <c r="A6118" t="inlineStr"/>
      <c r="B6118">
        <f>Assumptions!$B$60</f>
        <v/>
      </c>
      <c r="C6118" t="n">
        <v>1</v>
      </c>
      <c r="D6118" t="n">
        <v>0</v>
      </c>
      <c r="E6118" t="n">
        <v>1</v>
      </c>
      <c r="F6118" t="n">
        <v>1</v>
      </c>
      <c r="G6118" t="n">
        <v>1</v>
      </c>
      <c r="H6118" t="n">
        <v>1</v>
      </c>
      <c r="I6118" t="n">
        <v>0</v>
      </c>
      <c r="J6118">
        <f>(1-C6118)*Assumptions!$B$41+(1-D6118)*Assumptions!$B$33+(1-E6118)*Assumptions!$B$32+(1-F6118)*Assumptions!$B$31+(1-G6118)*Assumptions!$B$30+(1-H6118)*Assumptions!$B$29+(1-I6118)*Assumptions!$B$28</f>
        <v/>
      </c>
      <c r="K6118">
        <f>C6118*$J$757+D6118*$F$757+E6118*$G$757+F6118*Assumptions!$B$14+G6118*Assumptions!$B$13+H6118*Assumptions!$B$12+I6118*Assumptions!$B$11+$O$757+$S$757+Assumptions!$B$9</f>
        <v/>
      </c>
      <c r="L6118">
        <f>B6118-J6118</f>
        <v/>
      </c>
      <c r="M6118">
        <f>IF(K6118&gt;0,IF(L6118/K6118&gt;=Assumptions!$B$37,1,0),0)</f>
        <v/>
      </c>
      <c r="N6118">
        <f>K6118+M6118*Assumptions!$B$153</f>
        <v/>
      </c>
      <c r="O6118">
        <f>L6118+M6118*Assumptions!$B$153*Assumptions!$B$37</f>
        <v/>
      </c>
      <c r="P6118">
        <f>IF(N6118&gt;0,O6118/N6118,0)</f>
        <v/>
      </c>
      <c r="Q6118">
        <f>IF(C6118=1,P6118*$J$757,Assumptions!$B$41)</f>
        <v/>
      </c>
      <c r="R6118">
        <f>IF(D6118=1,P6118*$F$757,Assumptions!$B$33)</f>
        <v/>
      </c>
      <c r="S6118">
        <f>IF(E6118=1,P6118*$G$757,Assumptions!$B$32)</f>
        <v/>
      </c>
      <c r="T6118">
        <f>IF(F6118=1,P6118*Assumptions!$B$14,Assumptions!$B$31)</f>
        <v/>
      </c>
      <c r="U6118">
        <f>IF(G6118=1,P6118*Assumptions!$B$13,Assumptions!$B$30)</f>
        <v/>
      </c>
      <c r="V6118">
        <f>IF(H6118=1,P6118*Assumptions!$B$12,Assumptions!$B$29)</f>
        <v/>
      </c>
      <c r="W6118">
        <f>IF(I6118=1,P6118*Assumptions!$B$11,Assumptions!$B$28)</f>
        <v/>
      </c>
      <c r="X6118">
        <f>P6118*($O$757+$S$757)</f>
        <v/>
      </c>
      <c r="Y6118">
        <f>P6118*Assumptions!$B$9</f>
        <v/>
      </c>
      <c r="Z6118">
        <f>IF(M6118=1,(P6118-Assumptions!$B$37)*Assumptions!$B$153,0)</f>
        <v/>
      </c>
      <c r="AA6118">
        <f>Q6118+R6118+S6118+T6118+U6118+V6118+W6118+X6118+Y6118+Z6118</f>
        <v/>
      </c>
      <c r="AB6118" t="n">
        <v>94</v>
      </c>
      <c r="AC6118" t="n">
        <v>30</v>
      </c>
      <c r="AD6118" t="n">
        <v>126</v>
      </c>
      <c r="AE6118" t="n">
        <v>78</v>
      </c>
      <c r="AF6118" t="n">
        <v>86</v>
      </c>
      <c r="AG6118" t="n">
        <v>90</v>
      </c>
      <c r="AH6118" t="n">
        <v>92</v>
      </c>
      <c r="AI6118" t="n">
        <v>95</v>
      </c>
      <c r="AJ6118">
        <f>INDEX($Q$6024:$Q$6151,AC6118+1)</f>
        <v/>
      </c>
      <c r="AK6118">
        <f>INDEX($R$6024:$R$6151,AD6118+1)</f>
        <v/>
      </c>
      <c r="AL6118">
        <f>INDEX($S$6024:$S$6151,AE6118+1)</f>
        <v/>
      </c>
      <c r="AM6118">
        <f>INDEX($T$6024:$T$6151,AF6118+1)</f>
        <v/>
      </c>
      <c r="AN6118">
        <f>INDEX($U$6024:$U$6151,AG6118+1)</f>
        <v/>
      </c>
      <c r="AO6118">
        <f>INDEX($V$6024:$V$6151,AH6118+1)</f>
        <v/>
      </c>
      <c r="AP6118">
        <f>INDEX($W$6024:$W$6151,AI6118+1)</f>
        <v/>
      </c>
      <c r="AQ6118">
        <f>IF(Q6118&gt;=AJ6118-0.01,1,0)</f>
        <v/>
      </c>
      <c r="AR6118">
        <f>IF(R6118&gt;=AK6118-0.01,1,0)</f>
        <v/>
      </c>
      <c r="AS6118">
        <f>IF(S6118&gt;=AL6118-0.01,1,0)</f>
        <v/>
      </c>
      <c r="AT6118">
        <f>IF(T6118&gt;=AM6118-0.01,1,0)</f>
        <v/>
      </c>
      <c r="AU6118">
        <f>IF(U6118&gt;=AN6118-0.01,1,0)</f>
        <v/>
      </c>
      <c r="AV6118">
        <f>IF(V6118&gt;=AO6118-0.01,1,0)</f>
        <v/>
      </c>
      <c r="AW6118">
        <f>IF(W6118&gt;=AP6118-0.01,1,0)</f>
        <v/>
      </c>
      <c r="AX6118">
        <f>AQ6118*AR6118*AS6118*AT6118*AU6118*AV6118*AW6118</f>
        <v/>
      </c>
    </row>
    <row r="6119">
      <c r="A6119" t="inlineStr"/>
      <c r="B6119">
        <f>Assumptions!$B$60</f>
        <v/>
      </c>
      <c r="C6119" t="n">
        <v>1</v>
      </c>
      <c r="D6119" t="n">
        <v>0</v>
      </c>
      <c r="E6119" t="n">
        <v>1</v>
      </c>
      <c r="F6119" t="n">
        <v>1</v>
      </c>
      <c r="G6119" t="n">
        <v>1</v>
      </c>
      <c r="H6119" t="n">
        <v>1</v>
      </c>
      <c r="I6119" t="n">
        <v>1</v>
      </c>
      <c r="J6119">
        <f>(1-C6119)*Assumptions!$B$41+(1-D6119)*Assumptions!$B$33+(1-E6119)*Assumptions!$B$32+(1-F6119)*Assumptions!$B$31+(1-G6119)*Assumptions!$B$30+(1-H6119)*Assumptions!$B$29+(1-I6119)*Assumptions!$B$28</f>
        <v/>
      </c>
      <c r="K6119">
        <f>C6119*$J$757+D6119*$F$757+E6119*$G$757+F6119*Assumptions!$B$14+G6119*Assumptions!$B$13+H6119*Assumptions!$B$12+I6119*Assumptions!$B$11+$O$757+$S$757+Assumptions!$B$9</f>
        <v/>
      </c>
      <c r="L6119">
        <f>B6119-J6119</f>
        <v/>
      </c>
      <c r="M6119">
        <f>IF(K6119&gt;0,IF(L6119/K6119&gt;=Assumptions!$B$37,1,0),0)</f>
        <v/>
      </c>
      <c r="N6119">
        <f>K6119+M6119*Assumptions!$B$153</f>
        <v/>
      </c>
      <c r="O6119">
        <f>L6119+M6119*Assumptions!$B$153*Assumptions!$B$37</f>
        <v/>
      </c>
      <c r="P6119">
        <f>IF(N6119&gt;0,O6119/N6119,0)</f>
        <v/>
      </c>
      <c r="Q6119">
        <f>IF(C6119=1,P6119*$J$757,Assumptions!$B$41)</f>
        <v/>
      </c>
      <c r="R6119">
        <f>IF(D6119=1,P6119*$F$757,Assumptions!$B$33)</f>
        <v/>
      </c>
      <c r="S6119">
        <f>IF(E6119=1,P6119*$G$757,Assumptions!$B$32)</f>
        <v/>
      </c>
      <c r="T6119">
        <f>IF(F6119=1,P6119*Assumptions!$B$14,Assumptions!$B$31)</f>
        <v/>
      </c>
      <c r="U6119">
        <f>IF(G6119=1,P6119*Assumptions!$B$13,Assumptions!$B$30)</f>
        <v/>
      </c>
      <c r="V6119">
        <f>IF(H6119=1,P6119*Assumptions!$B$12,Assumptions!$B$29)</f>
        <v/>
      </c>
      <c r="W6119">
        <f>IF(I6119=1,P6119*Assumptions!$B$11,Assumptions!$B$28)</f>
        <v/>
      </c>
      <c r="X6119">
        <f>P6119*($O$757+$S$757)</f>
        <v/>
      </c>
      <c r="Y6119">
        <f>P6119*Assumptions!$B$9</f>
        <v/>
      </c>
      <c r="Z6119">
        <f>IF(M6119=1,(P6119-Assumptions!$B$37)*Assumptions!$B$153,0)</f>
        <v/>
      </c>
      <c r="AA6119">
        <f>Q6119+R6119+S6119+T6119+U6119+V6119+W6119+X6119+Y6119+Z6119</f>
        <v/>
      </c>
      <c r="AB6119" t="n">
        <v>95</v>
      </c>
      <c r="AC6119" t="n">
        <v>31</v>
      </c>
      <c r="AD6119" t="n">
        <v>127</v>
      </c>
      <c r="AE6119" t="n">
        <v>79</v>
      </c>
      <c r="AF6119" t="n">
        <v>87</v>
      </c>
      <c r="AG6119" t="n">
        <v>91</v>
      </c>
      <c r="AH6119" t="n">
        <v>93</v>
      </c>
      <c r="AI6119" t="n">
        <v>94</v>
      </c>
      <c r="AJ6119">
        <f>INDEX($Q$6024:$Q$6151,AC6119+1)</f>
        <v/>
      </c>
      <c r="AK6119">
        <f>INDEX($R$6024:$R$6151,AD6119+1)</f>
        <v/>
      </c>
      <c r="AL6119">
        <f>INDEX($S$6024:$S$6151,AE6119+1)</f>
        <v/>
      </c>
      <c r="AM6119">
        <f>INDEX($T$6024:$T$6151,AF6119+1)</f>
        <v/>
      </c>
      <c r="AN6119">
        <f>INDEX($U$6024:$U$6151,AG6119+1)</f>
        <v/>
      </c>
      <c r="AO6119">
        <f>INDEX($V$6024:$V$6151,AH6119+1)</f>
        <v/>
      </c>
      <c r="AP6119">
        <f>INDEX($W$6024:$W$6151,AI6119+1)</f>
        <v/>
      </c>
      <c r="AQ6119">
        <f>IF(Q6119&gt;=AJ6119-0.01,1,0)</f>
        <v/>
      </c>
      <c r="AR6119">
        <f>IF(R6119&gt;=AK6119-0.01,1,0)</f>
        <v/>
      </c>
      <c r="AS6119">
        <f>IF(S6119&gt;=AL6119-0.01,1,0)</f>
        <v/>
      </c>
      <c r="AT6119">
        <f>IF(T6119&gt;=AM6119-0.01,1,0)</f>
        <v/>
      </c>
      <c r="AU6119">
        <f>IF(U6119&gt;=AN6119-0.01,1,0)</f>
        <v/>
      </c>
      <c r="AV6119">
        <f>IF(V6119&gt;=AO6119-0.01,1,0)</f>
        <v/>
      </c>
      <c r="AW6119">
        <f>IF(W6119&gt;=AP6119-0.01,1,0)</f>
        <v/>
      </c>
      <c r="AX6119">
        <f>AQ6119*AR6119*AS6119*AT6119*AU6119*AV6119*AW6119</f>
        <v/>
      </c>
    </row>
    <row r="6120">
      <c r="A6120" t="inlineStr"/>
      <c r="B6120">
        <f>Assumptions!$B$60</f>
        <v/>
      </c>
      <c r="C6120" t="n">
        <v>1</v>
      </c>
      <c r="D6120" t="n">
        <v>1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>
        <f>(1-C6120)*Assumptions!$B$41+(1-D6120)*Assumptions!$B$33+(1-E6120)*Assumptions!$B$32+(1-F6120)*Assumptions!$B$31+(1-G6120)*Assumptions!$B$30+(1-H6120)*Assumptions!$B$29+(1-I6120)*Assumptions!$B$28</f>
        <v/>
      </c>
      <c r="K6120">
        <f>C6120*$J$757+D6120*$F$757+E6120*$G$757+F6120*Assumptions!$B$14+G6120*Assumptions!$B$13+H6120*Assumptions!$B$12+I6120*Assumptions!$B$11+$O$757+$S$757+Assumptions!$B$9</f>
        <v/>
      </c>
      <c r="L6120">
        <f>B6120-J6120</f>
        <v/>
      </c>
      <c r="M6120">
        <f>IF(K6120&gt;0,IF(L6120/K6120&gt;=Assumptions!$B$37,1,0),0)</f>
        <v/>
      </c>
      <c r="N6120">
        <f>K6120+M6120*Assumptions!$B$153</f>
        <v/>
      </c>
      <c r="O6120">
        <f>L6120+M6120*Assumptions!$B$153*Assumptions!$B$37</f>
        <v/>
      </c>
      <c r="P6120">
        <f>IF(N6120&gt;0,O6120/N6120,0)</f>
        <v/>
      </c>
      <c r="Q6120">
        <f>IF(C6120=1,P6120*$J$757,Assumptions!$B$41)</f>
        <v/>
      </c>
      <c r="R6120">
        <f>IF(D6120=1,P6120*$F$757,Assumptions!$B$33)</f>
        <v/>
      </c>
      <c r="S6120">
        <f>IF(E6120=1,P6120*$G$757,Assumptions!$B$32)</f>
        <v/>
      </c>
      <c r="T6120">
        <f>IF(F6120=1,P6120*Assumptions!$B$14,Assumptions!$B$31)</f>
        <v/>
      </c>
      <c r="U6120">
        <f>IF(G6120=1,P6120*Assumptions!$B$13,Assumptions!$B$30)</f>
        <v/>
      </c>
      <c r="V6120">
        <f>IF(H6120=1,P6120*Assumptions!$B$12,Assumptions!$B$29)</f>
        <v/>
      </c>
      <c r="W6120">
        <f>IF(I6120=1,P6120*Assumptions!$B$11,Assumptions!$B$28)</f>
        <v/>
      </c>
      <c r="X6120">
        <f>P6120*($O$757+$S$757)</f>
        <v/>
      </c>
      <c r="Y6120">
        <f>P6120*Assumptions!$B$9</f>
        <v/>
      </c>
      <c r="Z6120">
        <f>IF(M6120=1,(P6120-Assumptions!$B$37)*Assumptions!$B$153,0)</f>
        <v/>
      </c>
      <c r="AA6120">
        <f>Q6120+R6120+S6120+T6120+U6120+V6120+W6120+X6120+Y6120+Z6120</f>
        <v/>
      </c>
      <c r="AB6120" t="n">
        <v>96</v>
      </c>
      <c r="AC6120" t="n">
        <v>32</v>
      </c>
      <c r="AD6120" t="n">
        <v>64</v>
      </c>
      <c r="AE6120" t="n">
        <v>112</v>
      </c>
      <c r="AF6120" t="n">
        <v>104</v>
      </c>
      <c r="AG6120" t="n">
        <v>100</v>
      </c>
      <c r="AH6120" t="n">
        <v>98</v>
      </c>
      <c r="AI6120" t="n">
        <v>97</v>
      </c>
      <c r="AJ6120">
        <f>INDEX($Q$6024:$Q$6151,AC6120+1)</f>
        <v/>
      </c>
      <c r="AK6120">
        <f>INDEX($R$6024:$R$6151,AD6120+1)</f>
        <v/>
      </c>
      <c r="AL6120">
        <f>INDEX($S$6024:$S$6151,AE6120+1)</f>
        <v/>
      </c>
      <c r="AM6120">
        <f>INDEX($T$6024:$T$6151,AF6120+1)</f>
        <v/>
      </c>
      <c r="AN6120">
        <f>INDEX($U$6024:$U$6151,AG6120+1)</f>
        <v/>
      </c>
      <c r="AO6120">
        <f>INDEX($V$6024:$V$6151,AH6120+1)</f>
        <v/>
      </c>
      <c r="AP6120">
        <f>INDEX($W$6024:$W$6151,AI6120+1)</f>
        <v/>
      </c>
      <c r="AQ6120">
        <f>IF(Q6120&gt;=AJ6120-0.01,1,0)</f>
        <v/>
      </c>
      <c r="AR6120">
        <f>IF(R6120&gt;=AK6120-0.01,1,0)</f>
        <v/>
      </c>
      <c r="AS6120">
        <f>IF(S6120&gt;=AL6120-0.01,1,0)</f>
        <v/>
      </c>
      <c r="AT6120">
        <f>IF(T6120&gt;=AM6120-0.01,1,0)</f>
        <v/>
      </c>
      <c r="AU6120">
        <f>IF(U6120&gt;=AN6120-0.01,1,0)</f>
        <v/>
      </c>
      <c r="AV6120">
        <f>IF(V6120&gt;=AO6120-0.01,1,0)</f>
        <v/>
      </c>
      <c r="AW6120">
        <f>IF(W6120&gt;=AP6120-0.01,1,0)</f>
        <v/>
      </c>
      <c r="AX6120">
        <f>AQ6120*AR6120*AS6120*AT6120*AU6120*AV6120*AW6120</f>
        <v/>
      </c>
    </row>
    <row r="6121">
      <c r="A6121" t="inlineStr"/>
      <c r="B6121">
        <f>Assumptions!$B$60</f>
        <v/>
      </c>
      <c r="C6121" t="n">
        <v>1</v>
      </c>
      <c r="D6121" t="n">
        <v>1</v>
      </c>
      <c r="E6121" t="n">
        <v>0</v>
      </c>
      <c r="F6121" t="n">
        <v>0</v>
      </c>
      <c r="G6121" t="n">
        <v>0</v>
      </c>
      <c r="H6121" t="n">
        <v>0</v>
      </c>
      <c r="I6121" t="n">
        <v>1</v>
      </c>
      <c r="J6121">
        <f>(1-C6121)*Assumptions!$B$41+(1-D6121)*Assumptions!$B$33+(1-E6121)*Assumptions!$B$32+(1-F6121)*Assumptions!$B$31+(1-G6121)*Assumptions!$B$30+(1-H6121)*Assumptions!$B$29+(1-I6121)*Assumptions!$B$28</f>
        <v/>
      </c>
      <c r="K6121">
        <f>C6121*$J$757+D6121*$F$757+E6121*$G$757+F6121*Assumptions!$B$14+G6121*Assumptions!$B$13+H6121*Assumptions!$B$12+I6121*Assumptions!$B$11+$O$757+$S$757+Assumptions!$B$9</f>
        <v/>
      </c>
      <c r="L6121">
        <f>B6121-J6121</f>
        <v/>
      </c>
      <c r="M6121">
        <f>IF(K6121&gt;0,IF(L6121/K6121&gt;=Assumptions!$B$37,1,0),0)</f>
        <v/>
      </c>
      <c r="N6121">
        <f>K6121+M6121*Assumptions!$B$153</f>
        <v/>
      </c>
      <c r="O6121">
        <f>L6121+M6121*Assumptions!$B$153*Assumptions!$B$37</f>
        <v/>
      </c>
      <c r="P6121">
        <f>IF(N6121&gt;0,O6121/N6121,0)</f>
        <v/>
      </c>
      <c r="Q6121">
        <f>IF(C6121=1,P6121*$J$757,Assumptions!$B$41)</f>
        <v/>
      </c>
      <c r="R6121">
        <f>IF(D6121=1,P6121*$F$757,Assumptions!$B$33)</f>
        <v/>
      </c>
      <c r="S6121">
        <f>IF(E6121=1,P6121*$G$757,Assumptions!$B$32)</f>
        <v/>
      </c>
      <c r="T6121">
        <f>IF(F6121=1,P6121*Assumptions!$B$14,Assumptions!$B$31)</f>
        <v/>
      </c>
      <c r="U6121">
        <f>IF(G6121=1,P6121*Assumptions!$B$13,Assumptions!$B$30)</f>
        <v/>
      </c>
      <c r="V6121">
        <f>IF(H6121=1,P6121*Assumptions!$B$12,Assumptions!$B$29)</f>
        <v/>
      </c>
      <c r="W6121">
        <f>IF(I6121=1,P6121*Assumptions!$B$11,Assumptions!$B$28)</f>
        <v/>
      </c>
      <c r="X6121">
        <f>P6121*($O$757+$S$757)</f>
        <v/>
      </c>
      <c r="Y6121">
        <f>P6121*Assumptions!$B$9</f>
        <v/>
      </c>
      <c r="Z6121">
        <f>IF(M6121=1,(P6121-Assumptions!$B$37)*Assumptions!$B$153,0)</f>
        <v/>
      </c>
      <c r="AA6121">
        <f>Q6121+R6121+S6121+T6121+U6121+V6121+W6121+X6121+Y6121+Z6121</f>
        <v/>
      </c>
      <c r="AB6121" t="n">
        <v>97</v>
      </c>
      <c r="AC6121" t="n">
        <v>33</v>
      </c>
      <c r="AD6121" t="n">
        <v>65</v>
      </c>
      <c r="AE6121" t="n">
        <v>113</v>
      </c>
      <c r="AF6121" t="n">
        <v>105</v>
      </c>
      <c r="AG6121" t="n">
        <v>101</v>
      </c>
      <c r="AH6121" t="n">
        <v>99</v>
      </c>
      <c r="AI6121" t="n">
        <v>96</v>
      </c>
      <c r="AJ6121">
        <f>INDEX($Q$6024:$Q$6151,AC6121+1)</f>
        <v/>
      </c>
      <c r="AK6121">
        <f>INDEX($R$6024:$R$6151,AD6121+1)</f>
        <v/>
      </c>
      <c r="AL6121">
        <f>INDEX($S$6024:$S$6151,AE6121+1)</f>
        <v/>
      </c>
      <c r="AM6121">
        <f>INDEX($T$6024:$T$6151,AF6121+1)</f>
        <v/>
      </c>
      <c r="AN6121">
        <f>INDEX($U$6024:$U$6151,AG6121+1)</f>
        <v/>
      </c>
      <c r="AO6121">
        <f>INDEX($V$6024:$V$6151,AH6121+1)</f>
        <v/>
      </c>
      <c r="AP6121">
        <f>INDEX($W$6024:$W$6151,AI6121+1)</f>
        <v/>
      </c>
      <c r="AQ6121">
        <f>IF(Q6121&gt;=AJ6121-0.01,1,0)</f>
        <v/>
      </c>
      <c r="AR6121">
        <f>IF(R6121&gt;=AK6121-0.01,1,0)</f>
        <v/>
      </c>
      <c r="AS6121">
        <f>IF(S6121&gt;=AL6121-0.01,1,0)</f>
        <v/>
      </c>
      <c r="AT6121">
        <f>IF(T6121&gt;=AM6121-0.01,1,0)</f>
        <v/>
      </c>
      <c r="AU6121">
        <f>IF(U6121&gt;=AN6121-0.01,1,0)</f>
        <v/>
      </c>
      <c r="AV6121">
        <f>IF(V6121&gt;=AO6121-0.01,1,0)</f>
        <v/>
      </c>
      <c r="AW6121">
        <f>IF(W6121&gt;=AP6121-0.01,1,0)</f>
        <v/>
      </c>
      <c r="AX6121">
        <f>AQ6121*AR6121*AS6121*AT6121*AU6121*AV6121*AW6121</f>
        <v/>
      </c>
    </row>
    <row r="6122">
      <c r="A6122" t="inlineStr"/>
      <c r="B6122">
        <f>Assumptions!$B$60</f>
        <v/>
      </c>
      <c r="C6122" t="n">
        <v>1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  <c r="I6122" t="n">
        <v>0</v>
      </c>
      <c r="J6122">
        <f>(1-C6122)*Assumptions!$B$41+(1-D6122)*Assumptions!$B$33+(1-E6122)*Assumptions!$B$32+(1-F6122)*Assumptions!$B$31+(1-G6122)*Assumptions!$B$30+(1-H6122)*Assumptions!$B$29+(1-I6122)*Assumptions!$B$28</f>
        <v/>
      </c>
      <c r="K6122">
        <f>C6122*$J$757+D6122*$F$757+E6122*$G$757+F6122*Assumptions!$B$14+G6122*Assumptions!$B$13+H6122*Assumptions!$B$12+I6122*Assumptions!$B$11+$O$757+$S$757+Assumptions!$B$9</f>
        <v/>
      </c>
      <c r="L6122">
        <f>B6122-J6122</f>
        <v/>
      </c>
      <c r="M6122">
        <f>IF(K6122&gt;0,IF(L6122/K6122&gt;=Assumptions!$B$37,1,0),0)</f>
        <v/>
      </c>
      <c r="N6122">
        <f>K6122+M6122*Assumptions!$B$153</f>
        <v/>
      </c>
      <c r="O6122">
        <f>L6122+M6122*Assumptions!$B$153*Assumptions!$B$37</f>
        <v/>
      </c>
      <c r="P6122">
        <f>IF(N6122&gt;0,O6122/N6122,0)</f>
        <v/>
      </c>
      <c r="Q6122">
        <f>IF(C6122=1,P6122*$J$757,Assumptions!$B$41)</f>
        <v/>
      </c>
      <c r="R6122">
        <f>IF(D6122=1,P6122*$F$757,Assumptions!$B$33)</f>
        <v/>
      </c>
      <c r="S6122">
        <f>IF(E6122=1,P6122*$G$757,Assumptions!$B$32)</f>
        <v/>
      </c>
      <c r="T6122">
        <f>IF(F6122=1,P6122*Assumptions!$B$14,Assumptions!$B$31)</f>
        <v/>
      </c>
      <c r="U6122">
        <f>IF(G6122=1,P6122*Assumptions!$B$13,Assumptions!$B$30)</f>
        <v/>
      </c>
      <c r="V6122">
        <f>IF(H6122=1,P6122*Assumptions!$B$12,Assumptions!$B$29)</f>
        <v/>
      </c>
      <c r="W6122">
        <f>IF(I6122=1,P6122*Assumptions!$B$11,Assumptions!$B$28)</f>
        <v/>
      </c>
      <c r="X6122">
        <f>P6122*($O$757+$S$757)</f>
        <v/>
      </c>
      <c r="Y6122">
        <f>P6122*Assumptions!$B$9</f>
        <v/>
      </c>
      <c r="Z6122">
        <f>IF(M6122=1,(P6122-Assumptions!$B$37)*Assumptions!$B$153,0)</f>
        <v/>
      </c>
      <c r="AA6122">
        <f>Q6122+R6122+S6122+T6122+U6122+V6122+W6122+X6122+Y6122+Z6122</f>
        <v/>
      </c>
      <c r="AB6122" t="n">
        <v>98</v>
      </c>
      <c r="AC6122" t="n">
        <v>34</v>
      </c>
      <c r="AD6122" t="n">
        <v>66</v>
      </c>
      <c r="AE6122" t="n">
        <v>114</v>
      </c>
      <c r="AF6122" t="n">
        <v>106</v>
      </c>
      <c r="AG6122" t="n">
        <v>102</v>
      </c>
      <c r="AH6122" t="n">
        <v>96</v>
      </c>
      <c r="AI6122" t="n">
        <v>99</v>
      </c>
      <c r="AJ6122">
        <f>INDEX($Q$6024:$Q$6151,AC6122+1)</f>
        <v/>
      </c>
      <c r="AK6122">
        <f>INDEX($R$6024:$R$6151,AD6122+1)</f>
        <v/>
      </c>
      <c r="AL6122">
        <f>INDEX($S$6024:$S$6151,AE6122+1)</f>
        <v/>
      </c>
      <c r="AM6122">
        <f>INDEX($T$6024:$T$6151,AF6122+1)</f>
        <v/>
      </c>
      <c r="AN6122">
        <f>INDEX($U$6024:$U$6151,AG6122+1)</f>
        <v/>
      </c>
      <c r="AO6122">
        <f>INDEX($V$6024:$V$6151,AH6122+1)</f>
        <v/>
      </c>
      <c r="AP6122">
        <f>INDEX($W$6024:$W$6151,AI6122+1)</f>
        <v/>
      </c>
      <c r="AQ6122">
        <f>IF(Q6122&gt;=AJ6122-0.01,1,0)</f>
        <v/>
      </c>
      <c r="AR6122">
        <f>IF(R6122&gt;=AK6122-0.01,1,0)</f>
        <v/>
      </c>
      <c r="AS6122">
        <f>IF(S6122&gt;=AL6122-0.01,1,0)</f>
        <v/>
      </c>
      <c r="AT6122">
        <f>IF(T6122&gt;=AM6122-0.01,1,0)</f>
        <v/>
      </c>
      <c r="AU6122">
        <f>IF(U6122&gt;=AN6122-0.01,1,0)</f>
        <v/>
      </c>
      <c r="AV6122">
        <f>IF(V6122&gt;=AO6122-0.01,1,0)</f>
        <v/>
      </c>
      <c r="AW6122">
        <f>IF(W6122&gt;=AP6122-0.01,1,0)</f>
        <v/>
      </c>
      <c r="AX6122">
        <f>AQ6122*AR6122*AS6122*AT6122*AU6122*AV6122*AW6122</f>
        <v/>
      </c>
    </row>
    <row r="6123">
      <c r="A6123" t="inlineStr"/>
      <c r="B6123">
        <f>Assumptions!$B$60</f>
        <v/>
      </c>
      <c r="C6123" t="n">
        <v>1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  <c r="I6123" t="n">
        <v>1</v>
      </c>
      <c r="J6123">
        <f>(1-C6123)*Assumptions!$B$41+(1-D6123)*Assumptions!$B$33+(1-E6123)*Assumptions!$B$32+(1-F6123)*Assumptions!$B$31+(1-G6123)*Assumptions!$B$30+(1-H6123)*Assumptions!$B$29+(1-I6123)*Assumptions!$B$28</f>
        <v/>
      </c>
      <c r="K6123">
        <f>C6123*$J$757+D6123*$F$757+E6123*$G$757+F6123*Assumptions!$B$14+G6123*Assumptions!$B$13+H6123*Assumptions!$B$12+I6123*Assumptions!$B$11+$O$757+$S$757+Assumptions!$B$9</f>
        <v/>
      </c>
      <c r="L6123">
        <f>B6123-J6123</f>
        <v/>
      </c>
      <c r="M6123">
        <f>IF(K6123&gt;0,IF(L6123/K6123&gt;=Assumptions!$B$37,1,0),0)</f>
        <v/>
      </c>
      <c r="N6123">
        <f>K6123+M6123*Assumptions!$B$153</f>
        <v/>
      </c>
      <c r="O6123">
        <f>L6123+M6123*Assumptions!$B$153*Assumptions!$B$37</f>
        <v/>
      </c>
      <c r="P6123">
        <f>IF(N6123&gt;0,O6123/N6123,0)</f>
        <v/>
      </c>
      <c r="Q6123">
        <f>IF(C6123=1,P6123*$J$757,Assumptions!$B$41)</f>
        <v/>
      </c>
      <c r="R6123">
        <f>IF(D6123=1,P6123*$F$757,Assumptions!$B$33)</f>
        <v/>
      </c>
      <c r="S6123">
        <f>IF(E6123=1,P6123*$G$757,Assumptions!$B$32)</f>
        <v/>
      </c>
      <c r="T6123">
        <f>IF(F6123=1,P6123*Assumptions!$B$14,Assumptions!$B$31)</f>
        <v/>
      </c>
      <c r="U6123">
        <f>IF(G6123=1,P6123*Assumptions!$B$13,Assumptions!$B$30)</f>
        <v/>
      </c>
      <c r="V6123">
        <f>IF(H6123=1,P6123*Assumptions!$B$12,Assumptions!$B$29)</f>
        <v/>
      </c>
      <c r="W6123">
        <f>IF(I6123=1,P6123*Assumptions!$B$11,Assumptions!$B$28)</f>
        <v/>
      </c>
      <c r="X6123">
        <f>P6123*($O$757+$S$757)</f>
        <v/>
      </c>
      <c r="Y6123">
        <f>P6123*Assumptions!$B$9</f>
        <v/>
      </c>
      <c r="Z6123">
        <f>IF(M6123=1,(P6123-Assumptions!$B$37)*Assumptions!$B$153,0)</f>
        <v/>
      </c>
      <c r="AA6123">
        <f>Q6123+R6123+S6123+T6123+U6123+V6123+W6123+X6123+Y6123+Z6123</f>
        <v/>
      </c>
      <c r="AB6123" t="n">
        <v>99</v>
      </c>
      <c r="AC6123" t="n">
        <v>35</v>
      </c>
      <c r="AD6123" t="n">
        <v>67</v>
      </c>
      <c r="AE6123" t="n">
        <v>115</v>
      </c>
      <c r="AF6123" t="n">
        <v>107</v>
      </c>
      <c r="AG6123" t="n">
        <v>103</v>
      </c>
      <c r="AH6123" t="n">
        <v>97</v>
      </c>
      <c r="AI6123" t="n">
        <v>98</v>
      </c>
      <c r="AJ6123">
        <f>INDEX($Q$6024:$Q$6151,AC6123+1)</f>
        <v/>
      </c>
      <c r="AK6123">
        <f>INDEX($R$6024:$R$6151,AD6123+1)</f>
        <v/>
      </c>
      <c r="AL6123">
        <f>INDEX($S$6024:$S$6151,AE6123+1)</f>
        <v/>
      </c>
      <c r="AM6123">
        <f>INDEX($T$6024:$T$6151,AF6123+1)</f>
        <v/>
      </c>
      <c r="AN6123">
        <f>INDEX($U$6024:$U$6151,AG6123+1)</f>
        <v/>
      </c>
      <c r="AO6123">
        <f>INDEX($V$6024:$V$6151,AH6123+1)</f>
        <v/>
      </c>
      <c r="AP6123">
        <f>INDEX($W$6024:$W$6151,AI6123+1)</f>
        <v/>
      </c>
      <c r="AQ6123">
        <f>IF(Q6123&gt;=AJ6123-0.01,1,0)</f>
        <v/>
      </c>
      <c r="AR6123">
        <f>IF(R6123&gt;=AK6123-0.01,1,0)</f>
        <v/>
      </c>
      <c r="AS6123">
        <f>IF(S6123&gt;=AL6123-0.01,1,0)</f>
        <v/>
      </c>
      <c r="AT6123">
        <f>IF(T6123&gt;=AM6123-0.01,1,0)</f>
        <v/>
      </c>
      <c r="AU6123">
        <f>IF(U6123&gt;=AN6123-0.01,1,0)</f>
        <v/>
      </c>
      <c r="AV6123">
        <f>IF(V6123&gt;=AO6123-0.01,1,0)</f>
        <v/>
      </c>
      <c r="AW6123">
        <f>IF(W6123&gt;=AP6123-0.01,1,0)</f>
        <v/>
      </c>
      <c r="AX6123">
        <f>AQ6123*AR6123*AS6123*AT6123*AU6123*AV6123*AW6123</f>
        <v/>
      </c>
    </row>
    <row r="6124">
      <c r="A6124" t="inlineStr"/>
      <c r="B6124">
        <f>Assumptions!$B$60</f>
        <v/>
      </c>
      <c r="C6124" t="n">
        <v>1</v>
      </c>
      <c r="D6124" t="n">
        <v>1</v>
      </c>
      <c r="E6124" t="n">
        <v>0</v>
      </c>
      <c r="F6124" t="n">
        <v>0</v>
      </c>
      <c r="G6124" t="n">
        <v>1</v>
      </c>
      <c r="H6124" t="n">
        <v>0</v>
      </c>
      <c r="I6124" t="n">
        <v>0</v>
      </c>
      <c r="J6124">
        <f>(1-C6124)*Assumptions!$B$41+(1-D6124)*Assumptions!$B$33+(1-E6124)*Assumptions!$B$32+(1-F6124)*Assumptions!$B$31+(1-G6124)*Assumptions!$B$30+(1-H6124)*Assumptions!$B$29+(1-I6124)*Assumptions!$B$28</f>
        <v/>
      </c>
      <c r="K6124">
        <f>C6124*$J$757+D6124*$F$757+E6124*$G$757+F6124*Assumptions!$B$14+G6124*Assumptions!$B$13+H6124*Assumptions!$B$12+I6124*Assumptions!$B$11+$O$757+$S$757+Assumptions!$B$9</f>
        <v/>
      </c>
      <c r="L6124">
        <f>B6124-J6124</f>
        <v/>
      </c>
      <c r="M6124">
        <f>IF(K6124&gt;0,IF(L6124/K6124&gt;=Assumptions!$B$37,1,0),0)</f>
        <v/>
      </c>
      <c r="N6124">
        <f>K6124+M6124*Assumptions!$B$153</f>
        <v/>
      </c>
      <c r="O6124">
        <f>L6124+M6124*Assumptions!$B$153*Assumptions!$B$37</f>
        <v/>
      </c>
      <c r="P6124">
        <f>IF(N6124&gt;0,O6124/N6124,0)</f>
        <v/>
      </c>
      <c r="Q6124">
        <f>IF(C6124=1,P6124*$J$757,Assumptions!$B$41)</f>
        <v/>
      </c>
      <c r="R6124">
        <f>IF(D6124=1,P6124*$F$757,Assumptions!$B$33)</f>
        <v/>
      </c>
      <c r="S6124">
        <f>IF(E6124=1,P6124*$G$757,Assumptions!$B$32)</f>
        <v/>
      </c>
      <c r="T6124">
        <f>IF(F6124=1,P6124*Assumptions!$B$14,Assumptions!$B$31)</f>
        <v/>
      </c>
      <c r="U6124">
        <f>IF(G6124=1,P6124*Assumptions!$B$13,Assumptions!$B$30)</f>
        <v/>
      </c>
      <c r="V6124">
        <f>IF(H6124=1,P6124*Assumptions!$B$12,Assumptions!$B$29)</f>
        <v/>
      </c>
      <c r="W6124">
        <f>IF(I6124=1,P6124*Assumptions!$B$11,Assumptions!$B$28)</f>
        <v/>
      </c>
      <c r="X6124">
        <f>P6124*($O$757+$S$757)</f>
        <v/>
      </c>
      <c r="Y6124">
        <f>P6124*Assumptions!$B$9</f>
        <v/>
      </c>
      <c r="Z6124">
        <f>IF(M6124=1,(P6124-Assumptions!$B$37)*Assumptions!$B$153,0)</f>
        <v/>
      </c>
      <c r="AA6124">
        <f>Q6124+R6124+S6124+T6124+U6124+V6124+W6124+X6124+Y6124+Z6124</f>
        <v/>
      </c>
      <c r="AB6124" t="n">
        <v>100</v>
      </c>
      <c r="AC6124" t="n">
        <v>36</v>
      </c>
      <c r="AD6124" t="n">
        <v>68</v>
      </c>
      <c r="AE6124" t="n">
        <v>116</v>
      </c>
      <c r="AF6124" t="n">
        <v>108</v>
      </c>
      <c r="AG6124" t="n">
        <v>96</v>
      </c>
      <c r="AH6124" t="n">
        <v>102</v>
      </c>
      <c r="AI6124" t="n">
        <v>101</v>
      </c>
      <c r="AJ6124">
        <f>INDEX($Q$6024:$Q$6151,AC6124+1)</f>
        <v/>
      </c>
      <c r="AK6124">
        <f>INDEX($R$6024:$R$6151,AD6124+1)</f>
        <v/>
      </c>
      <c r="AL6124">
        <f>INDEX($S$6024:$S$6151,AE6124+1)</f>
        <v/>
      </c>
      <c r="AM6124">
        <f>INDEX($T$6024:$T$6151,AF6124+1)</f>
        <v/>
      </c>
      <c r="AN6124">
        <f>INDEX($U$6024:$U$6151,AG6124+1)</f>
        <v/>
      </c>
      <c r="AO6124">
        <f>INDEX($V$6024:$V$6151,AH6124+1)</f>
        <v/>
      </c>
      <c r="AP6124">
        <f>INDEX($W$6024:$W$6151,AI6124+1)</f>
        <v/>
      </c>
      <c r="AQ6124">
        <f>IF(Q6124&gt;=AJ6124-0.01,1,0)</f>
        <v/>
      </c>
      <c r="AR6124">
        <f>IF(R6124&gt;=AK6124-0.01,1,0)</f>
        <v/>
      </c>
      <c r="AS6124">
        <f>IF(S6124&gt;=AL6124-0.01,1,0)</f>
        <v/>
      </c>
      <c r="AT6124">
        <f>IF(T6124&gt;=AM6124-0.01,1,0)</f>
        <v/>
      </c>
      <c r="AU6124">
        <f>IF(U6124&gt;=AN6124-0.01,1,0)</f>
        <v/>
      </c>
      <c r="AV6124">
        <f>IF(V6124&gt;=AO6124-0.01,1,0)</f>
        <v/>
      </c>
      <c r="AW6124">
        <f>IF(W6124&gt;=AP6124-0.01,1,0)</f>
        <v/>
      </c>
      <c r="AX6124">
        <f>AQ6124*AR6124*AS6124*AT6124*AU6124*AV6124*AW6124</f>
        <v/>
      </c>
    </row>
    <row r="6125">
      <c r="A6125" t="inlineStr"/>
      <c r="B6125">
        <f>Assumptions!$B$60</f>
        <v/>
      </c>
      <c r="C6125" t="n">
        <v>1</v>
      </c>
      <c r="D6125" t="n">
        <v>1</v>
      </c>
      <c r="E6125" t="n">
        <v>0</v>
      </c>
      <c r="F6125" t="n">
        <v>0</v>
      </c>
      <c r="G6125" t="n">
        <v>1</v>
      </c>
      <c r="H6125" t="n">
        <v>0</v>
      </c>
      <c r="I6125" t="n">
        <v>1</v>
      </c>
      <c r="J6125">
        <f>(1-C6125)*Assumptions!$B$41+(1-D6125)*Assumptions!$B$33+(1-E6125)*Assumptions!$B$32+(1-F6125)*Assumptions!$B$31+(1-G6125)*Assumptions!$B$30+(1-H6125)*Assumptions!$B$29+(1-I6125)*Assumptions!$B$28</f>
        <v/>
      </c>
      <c r="K6125">
        <f>C6125*$J$757+D6125*$F$757+E6125*$G$757+F6125*Assumptions!$B$14+G6125*Assumptions!$B$13+H6125*Assumptions!$B$12+I6125*Assumptions!$B$11+$O$757+$S$757+Assumptions!$B$9</f>
        <v/>
      </c>
      <c r="L6125">
        <f>B6125-J6125</f>
        <v/>
      </c>
      <c r="M6125">
        <f>IF(K6125&gt;0,IF(L6125/K6125&gt;=Assumptions!$B$37,1,0),0)</f>
        <v/>
      </c>
      <c r="N6125">
        <f>K6125+M6125*Assumptions!$B$153</f>
        <v/>
      </c>
      <c r="O6125">
        <f>L6125+M6125*Assumptions!$B$153*Assumptions!$B$37</f>
        <v/>
      </c>
      <c r="P6125">
        <f>IF(N6125&gt;0,O6125/N6125,0)</f>
        <v/>
      </c>
      <c r="Q6125">
        <f>IF(C6125=1,P6125*$J$757,Assumptions!$B$41)</f>
        <v/>
      </c>
      <c r="R6125">
        <f>IF(D6125=1,P6125*$F$757,Assumptions!$B$33)</f>
        <v/>
      </c>
      <c r="S6125">
        <f>IF(E6125=1,P6125*$G$757,Assumptions!$B$32)</f>
        <v/>
      </c>
      <c r="T6125">
        <f>IF(F6125=1,P6125*Assumptions!$B$14,Assumptions!$B$31)</f>
        <v/>
      </c>
      <c r="U6125">
        <f>IF(G6125=1,P6125*Assumptions!$B$13,Assumptions!$B$30)</f>
        <v/>
      </c>
      <c r="V6125">
        <f>IF(H6125=1,P6125*Assumptions!$B$12,Assumptions!$B$29)</f>
        <v/>
      </c>
      <c r="W6125">
        <f>IF(I6125=1,P6125*Assumptions!$B$11,Assumptions!$B$28)</f>
        <v/>
      </c>
      <c r="X6125">
        <f>P6125*($O$757+$S$757)</f>
        <v/>
      </c>
      <c r="Y6125">
        <f>P6125*Assumptions!$B$9</f>
        <v/>
      </c>
      <c r="Z6125">
        <f>IF(M6125=1,(P6125-Assumptions!$B$37)*Assumptions!$B$153,0)</f>
        <v/>
      </c>
      <c r="AA6125">
        <f>Q6125+R6125+S6125+T6125+U6125+V6125+W6125+X6125+Y6125+Z6125</f>
        <v/>
      </c>
      <c r="AB6125" t="n">
        <v>101</v>
      </c>
      <c r="AC6125" t="n">
        <v>37</v>
      </c>
      <c r="AD6125" t="n">
        <v>69</v>
      </c>
      <c r="AE6125" t="n">
        <v>117</v>
      </c>
      <c r="AF6125" t="n">
        <v>109</v>
      </c>
      <c r="AG6125" t="n">
        <v>97</v>
      </c>
      <c r="AH6125" t="n">
        <v>103</v>
      </c>
      <c r="AI6125" t="n">
        <v>100</v>
      </c>
      <c r="AJ6125">
        <f>INDEX($Q$6024:$Q$6151,AC6125+1)</f>
        <v/>
      </c>
      <c r="AK6125">
        <f>INDEX($R$6024:$R$6151,AD6125+1)</f>
        <v/>
      </c>
      <c r="AL6125">
        <f>INDEX($S$6024:$S$6151,AE6125+1)</f>
        <v/>
      </c>
      <c r="AM6125">
        <f>INDEX($T$6024:$T$6151,AF6125+1)</f>
        <v/>
      </c>
      <c r="AN6125">
        <f>INDEX($U$6024:$U$6151,AG6125+1)</f>
        <v/>
      </c>
      <c r="AO6125">
        <f>INDEX($V$6024:$V$6151,AH6125+1)</f>
        <v/>
      </c>
      <c r="AP6125">
        <f>INDEX($W$6024:$W$6151,AI6125+1)</f>
        <v/>
      </c>
      <c r="AQ6125">
        <f>IF(Q6125&gt;=AJ6125-0.01,1,0)</f>
        <v/>
      </c>
      <c r="AR6125">
        <f>IF(R6125&gt;=AK6125-0.01,1,0)</f>
        <v/>
      </c>
      <c r="AS6125">
        <f>IF(S6125&gt;=AL6125-0.01,1,0)</f>
        <v/>
      </c>
      <c r="AT6125">
        <f>IF(T6125&gt;=AM6125-0.01,1,0)</f>
        <v/>
      </c>
      <c r="AU6125">
        <f>IF(U6125&gt;=AN6125-0.01,1,0)</f>
        <v/>
      </c>
      <c r="AV6125">
        <f>IF(V6125&gt;=AO6125-0.01,1,0)</f>
        <v/>
      </c>
      <c r="AW6125">
        <f>IF(W6125&gt;=AP6125-0.01,1,0)</f>
        <v/>
      </c>
      <c r="AX6125">
        <f>AQ6125*AR6125*AS6125*AT6125*AU6125*AV6125*AW6125</f>
        <v/>
      </c>
    </row>
    <row r="6126">
      <c r="A6126" t="inlineStr"/>
      <c r="B6126">
        <f>Assumptions!$B$60</f>
        <v/>
      </c>
      <c r="C6126" t="n">
        <v>1</v>
      </c>
      <c r="D6126" t="n">
        <v>1</v>
      </c>
      <c r="E6126" t="n">
        <v>0</v>
      </c>
      <c r="F6126" t="n">
        <v>0</v>
      </c>
      <c r="G6126" t="n">
        <v>1</v>
      </c>
      <c r="H6126" t="n">
        <v>1</v>
      </c>
      <c r="I6126" t="n">
        <v>0</v>
      </c>
      <c r="J6126">
        <f>(1-C6126)*Assumptions!$B$41+(1-D6126)*Assumptions!$B$33+(1-E6126)*Assumptions!$B$32+(1-F6126)*Assumptions!$B$31+(1-G6126)*Assumptions!$B$30+(1-H6126)*Assumptions!$B$29+(1-I6126)*Assumptions!$B$28</f>
        <v/>
      </c>
      <c r="K6126">
        <f>C6126*$J$757+D6126*$F$757+E6126*$G$757+F6126*Assumptions!$B$14+G6126*Assumptions!$B$13+H6126*Assumptions!$B$12+I6126*Assumptions!$B$11+$O$757+$S$757+Assumptions!$B$9</f>
        <v/>
      </c>
      <c r="L6126">
        <f>B6126-J6126</f>
        <v/>
      </c>
      <c r="M6126">
        <f>IF(K6126&gt;0,IF(L6126/K6126&gt;=Assumptions!$B$37,1,0),0)</f>
        <v/>
      </c>
      <c r="N6126">
        <f>K6126+M6126*Assumptions!$B$153</f>
        <v/>
      </c>
      <c r="O6126">
        <f>L6126+M6126*Assumptions!$B$153*Assumptions!$B$37</f>
        <v/>
      </c>
      <c r="P6126">
        <f>IF(N6126&gt;0,O6126/N6126,0)</f>
        <v/>
      </c>
      <c r="Q6126">
        <f>IF(C6126=1,P6126*$J$757,Assumptions!$B$41)</f>
        <v/>
      </c>
      <c r="R6126">
        <f>IF(D6126=1,P6126*$F$757,Assumptions!$B$33)</f>
        <v/>
      </c>
      <c r="S6126">
        <f>IF(E6126=1,P6126*$G$757,Assumptions!$B$32)</f>
        <v/>
      </c>
      <c r="T6126">
        <f>IF(F6126=1,P6126*Assumptions!$B$14,Assumptions!$B$31)</f>
        <v/>
      </c>
      <c r="U6126">
        <f>IF(G6126=1,P6126*Assumptions!$B$13,Assumptions!$B$30)</f>
        <v/>
      </c>
      <c r="V6126">
        <f>IF(H6126=1,P6126*Assumptions!$B$12,Assumptions!$B$29)</f>
        <v/>
      </c>
      <c r="W6126">
        <f>IF(I6126=1,P6126*Assumptions!$B$11,Assumptions!$B$28)</f>
        <v/>
      </c>
      <c r="X6126">
        <f>P6126*($O$757+$S$757)</f>
        <v/>
      </c>
      <c r="Y6126">
        <f>P6126*Assumptions!$B$9</f>
        <v/>
      </c>
      <c r="Z6126">
        <f>IF(M6126=1,(P6126-Assumptions!$B$37)*Assumptions!$B$153,0)</f>
        <v/>
      </c>
      <c r="AA6126">
        <f>Q6126+R6126+S6126+T6126+U6126+V6126+W6126+X6126+Y6126+Z6126</f>
        <v/>
      </c>
      <c r="AB6126" t="n">
        <v>102</v>
      </c>
      <c r="AC6126" t="n">
        <v>38</v>
      </c>
      <c r="AD6126" t="n">
        <v>70</v>
      </c>
      <c r="AE6126" t="n">
        <v>118</v>
      </c>
      <c r="AF6126" t="n">
        <v>110</v>
      </c>
      <c r="AG6126" t="n">
        <v>98</v>
      </c>
      <c r="AH6126" t="n">
        <v>100</v>
      </c>
      <c r="AI6126" t="n">
        <v>103</v>
      </c>
      <c r="AJ6126">
        <f>INDEX($Q$6024:$Q$6151,AC6126+1)</f>
        <v/>
      </c>
      <c r="AK6126">
        <f>INDEX($R$6024:$R$6151,AD6126+1)</f>
        <v/>
      </c>
      <c r="AL6126">
        <f>INDEX($S$6024:$S$6151,AE6126+1)</f>
        <v/>
      </c>
      <c r="AM6126">
        <f>INDEX($T$6024:$T$6151,AF6126+1)</f>
        <v/>
      </c>
      <c r="AN6126">
        <f>INDEX($U$6024:$U$6151,AG6126+1)</f>
        <v/>
      </c>
      <c r="AO6126">
        <f>INDEX($V$6024:$V$6151,AH6126+1)</f>
        <v/>
      </c>
      <c r="AP6126">
        <f>INDEX($W$6024:$W$6151,AI6126+1)</f>
        <v/>
      </c>
      <c r="AQ6126">
        <f>IF(Q6126&gt;=AJ6126-0.01,1,0)</f>
        <v/>
      </c>
      <c r="AR6126">
        <f>IF(R6126&gt;=AK6126-0.01,1,0)</f>
        <v/>
      </c>
      <c r="AS6126">
        <f>IF(S6126&gt;=AL6126-0.01,1,0)</f>
        <v/>
      </c>
      <c r="AT6126">
        <f>IF(T6126&gt;=AM6126-0.01,1,0)</f>
        <v/>
      </c>
      <c r="AU6126">
        <f>IF(U6126&gt;=AN6126-0.01,1,0)</f>
        <v/>
      </c>
      <c r="AV6126">
        <f>IF(V6126&gt;=AO6126-0.01,1,0)</f>
        <v/>
      </c>
      <c r="AW6126">
        <f>IF(W6126&gt;=AP6126-0.01,1,0)</f>
        <v/>
      </c>
      <c r="AX6126">
        <f>AQ6126*AR6126*AS6126*AT6126*AU6126*AV6126*AW6126</f>
        <v/>
      </c>
    </row>
    <row r="6127">
      <c r="A6127" t="inlineStr"/>
      <c r="B6127">
        <f>Assumptions!$B$60</f>
        <v/>
      </c>
      <c r="C6127" t="n">
        <v>1</v>
      </c>
      <c r="D6127" t="n">
        <v>1</v>
      </c>
      <c r="E6127" t="n">
        <v>0</v>
      </c>
      <c r="F6127" t="n">
        <v>0</v>
      </c>
      <c r="G6127" t="n">
        <v>1</v>
      </c>
      <c r="H6127" t="n">
        <v>1</v>
      </c>
      <c r="I6127" t="n">
        <v>1</v>
      </c>
      <c r="J6127">
        <f>(1-C6127)*Assumptions!$B$41+(1-D6127)*Assumptions!$B$33+(1-E6127)*Assumptions!$B$32+(1-F6127)*Assumptions!$B$31+(1-G6127)*Assumptions!$B$30+(1-H6127)*Assumptions!$B$29+(1-I6127)*Assumptions!$B$28</f>
        <v/>
      </c>
      <c r="K6127">
        <f>C6127*$J$757+D6127*$F$757+E6127*$G$757+F6127*Assumptions!$B$14+G6127*Assumptions!$B$13+H6127*Assumptions!$B$12+I6127*Assumptions!$B$11+$O$757+$S$757+Assumptions!$B$9</f>
        <v/>
      </c>
      <c r="L6127">
        <f>B6127-J6127</f>
        <v/>
      </c>
      <c r="M6127">
        <f>IF(K6127&gt;0,IF(L6127/K6127&gt;=Assumptions!$B$37,1,0),0)</f>
        <v/>
      </c>
      <c r="N6127">
        <f>K6127+M6127*Assumptions!$B$153</f>
        <v/>
      </c>
      <c r="O6127">
        <f>L6127+M6127*Assumptions!$B$153*Assumptions!$B$37</f>
        <v/>
      </c>
      <c r="P6127">
        <f>IF(N6127&gt;0,O6127/N6127,0)</f>
        <v/>
      </c>
      <c r="Q6127">
        <f>IF(C6127=1,P6127*$J$757,Assumptions!$B$41)</f>
        <v/>
      </c>
      <c r="R6127">
        <f>IF(D6127=1,P6127*$F$757,Assumptions!$B$33)</f>
        <v/>
      </c>
      <c r="S6127">
        <f>IF(E6127=1,P6127*$G$757,Assumptions!$B$32)</f>
        <v/>
      </c>
      <c r="T6127">
        <f>IF(F6127=1,P6127*Assumptions!$B$14,Assumptions!$B$31)</f>
        <v/>
      </c>
      <c r="U6127">
        <f>IF(G6127=1,P6127*Assumptions!$B$13,Assumptions!$B$30)</f>
        <v/>
      </c>
      <c r="V6127">
        <f>IF(H6127=1,P6127*Assumptions!$B$12,Assumptions!$B$29)</f>
        <v/>
      </c>
      <c r="W6127">
        <f>IF(I6127=1,P6127*Assumptions!$B$11,Assumptions!$B$28)</f>
        <v/>
      </c>
      <c r="X6127">
        <f>P6127*($O$757+$S$757)</f>
        <v/>
      </c>
      <c r="Y6127">
        <f>P6127*Assumptions!$B$9</f>
        <v/>
      </c>
      <c r="Z6127">
        <f>IF(M6127=1,(P6127-Assumptions!$B$37)*Assumptions!$B$153,0)</f>
        <v/>
      </c>
      <c r="AA6127">
        <f>Q6127+R6127+S6127+T6127+U6127+V6127+W6127+X6127+Y6127+Z6127</f>
        <v/>
      </c>
      <c r="AB6127" t="n">
        <v>103</v>
      </c>
      <c r="AC6127" t="n">
        <v>39</v>
      </c>
      <c r="AD6127" t="n">
        <v>71</v>
      </c>
      <c r="AE6127" t="n">
        <v>119</v>
      </c>
      <c r="AF6127" t="n">
        <v>111</v>
      </c>
      <c r="AG6127" t="n">
        <v>99</v>
      </c>
      <c r="AH6127" t="n">
        <v>101</v>
      </c>
      <c r="AI6127" t="n">
        <v>102</v>
      </c>
      <c r="AJ6127">
        <f>INDEX($Q$6024:$Q$6151,AC6127+1)</f>
        <v/>
      </c>
      <c r="AK6127">
        <f>INDEX($R$6024:$R$6151,AD6127+1)</f>
        <v/>
      </c>
      <c r="AL6127">
        <f>INDEX($S$6024:$S$6151,AE6127+1)</f>
        <v/>
      </c>
      <c r="AM6127">
        <f>INDEX($T$6024:$T$6151,AF6127+1)</f>
        <v/>
      </c>
      <c r="AN6127">
        <f>INDEX($U$6024:$U$6151,AG6127+1)</f>
        <v/>
      </c>
      <c r="AO6127">
        <f>INDEX($V$6024:$V$6151,AH6127+1)</f>
        <v/>
      </c>
      <c r="AP6127">
        <f>INDEX($W$6024:$W$6151,AI6127+1)</f>
        <v/>
      </c>
      <c r="AQ6127">
        <f>IF(Q6127&gt;=AJ6127-0.01,1,0)</f>
        <v/>
      </c>
      <c r="AR6127">
        <f>IF(R6127&gt;=AK6127-0.01,1,0)</f>
        <v/>
      </c>
      <c r="AS6127">
        <f>IF(S6127&gt;=AL6127-0.01,1,0)</f>
        <v/>
      </c>
      <c r="AT6127">
        <f>IF(T6127&gt;=AM6127-0.01,1,0)</f>
        <v/>
      </c>
      <c r="AU6127">
        <f>IF(U6127&gt;=AN6127-0.01,1,0)</f>
        <v/>
      </c>
      <c r="AV6127">
        <f>IF(V6127&gt;=AO6127-0.01,1,0)</f>
        <v/>
      </c>
      <c r="AW6127">
        <f>IF(W6127&gt;=AP6127-0.01,1,0)</f>
        <v/>
      </c>
      <c r="AX6127">
        <f>AQ6127*AR6127*AS6127*AT6127*AU6127*AV6127*AW6127</f>
        <v/>
      </c>
    </row>
    <row r="6128">
      <c r="A6128" t="inlineStr"/>
      <c r="B6128">
        <f>Assumptions!$B$60</f>
        <v/>
      </c>
      <c r="C6128" t="n">
        <v>1</v>
      </c>
      <c r="D6128" t="n">
        <v>1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>
        <f>(1-C6128)*Assumptions!$B$41+(1-D6128)*Assumptions!$B$33+(1-E6128)*Assumptions!$B$32+(1-F6128)*Assumptions!$B$31+(1-G6128)*Assumptions!$B$30+(1-H6128)*Assumptions!$B$29+(1-I6128)*Assumptions!$B$28</f>
        <v/>
      </c>
      <c r="K6128">
        <f>C6128*$J$757+D6128*$F$757+E6128*$G$757+F6128*Assumptions!$B$14+G6128*Assumptions!$B$13+H6128*Assumptions!$B$12+I6128*Assumptions!$B$11+$O$757+$S$757+Assumptions!$B$9</f>
        <v/>
      </c>
      <c r="L6128">
        <f>B6128-J6128</f>
        <v/>
      </c>
      <c r="M6128">
        <f>IF(K6128&gt;0,IF(L6128/K6128&gt;=Assumptions!$B$37,1,0),0)</f>
        <v/>
      </c>
      <c r="N6128">
        <f>K6128+M6128*Assumptions!$B$153</f>
        <v/>
      </c>
      <c r="O6128">
        <f>L6128+M6128*Assumptions!$B$153*Assumptions!$B$37</f>
        <v/>
      </c>
      <c r="P6128">
        <f>IF(N6128&gt;0,O6128/N6128,0)</f>
        <v/>
      </c>
      <c r="Q6128">
        <f>IF(C6128=1,P6128*$J$757,Assumptions!$B$41)</f>
        <v/>
      </c>
      <c r="R6128">
        <f>IF(D6128=1,P6128*$F$757,Assumptions!$B$33)</f>
        <v/>
      </c>
      <c r="S6128">
        <f>IF(E6128=1,P6128*$G$757,Assumptions!$B$32)</f>
        <v/>
      </c>
      <c r="T6128">
        <f>IF(F6128=1,P6128*Assumptions!$B$14,Assumptions!$B$31)</f>
        <v/>
      </c>
      <c r="U6128">
        <f>IF(G6128=1,P6128*Assumptions!$B$13,Assumptions!$B$30)</f>
        <v/>
      </c>
      <c r="V6128">
        <f>IF(H6128=1,P6128*Assumptions!$B$12,Assumptions!$B$29)</f>
        <v/>
      </c>
      <c r="W6128">
        <f>IF(I6128=1,P6128*Assumptions!$B$11,Assumptions!$B$28)</f>
        <v/>
      </c>
      <c r="X6128">
        <f>P6128*($O$757+$S$757)</f>
        <v/>
      </c>
      <c r="Y6128">
        <f>P6128*Assumptions!$B$9</f>
        <v/>
      </c>
      <c r="Z6128">
        <f>IF(M6128=1,(P6128-Assumptions!$B$37)*Assumptions!$B$153,0)</f>
        <v/>
      </c>
      <c r="AA6128">
        <f>Q6128+R6128+S6128+T6128+U6128+V6128+W6128+X6128+Y6128+Z6128</f>
        <v/>
      </c>
      <c r="AB6128" t="n">
        <v>104</v>
      </c>
      <c r="AC6128" t="n">
        <v>40</v>
      </c>
      <c r="AD6128" t="n">
        <v>72</v>
      </c>
      <c r="AE6128" t="n">
        <v>120</v>
      </c>
      <c r="AF6128" t="n">
        <v>96</v>
      </c>
      <c r="AG6128" t="n">
        <v>108</v>
      </c>
      <c r="AH6128" t="n">
        <v>106</v>
      </c>
      <c r="AI6128" t="n">
        <v>105</v>
      </c>
      <c r="AJ6128">
        <f>INDEX($Q$6024:$Q$6151,AC6128+1)</f>
        <v/>
      </c>
      <c r="AK6128">
        <f>INDEX($R$6024:$R$6151,AD6128+1)</f>
        <v/>
      </c>
      <c r="AL6128">
        <f>INDEX($S$6024:$S$6151,AE6128+1)</f>
        <v/>
      </c>
      <c r="AM6128">
        <f>INDEX($T$6024:$T$6151,AF6128+1)</f>
        <v/>
      </c>
      <c r="AN6128">
        <f>INDEX($U$6024:$U$6151,AG6128+1)</f>
        <v/>
      </c>
      <c r="AO6128">
        <f>INDEX($V$6024:$V$6151,AH6128+1)</f>
        <v/>
      </c>
      <c r="AP6128">
        <f>INDEX($W$6024:$W$6151,AI6128+1)</f>
        <v/>
      </c>
      <c r="AQ6128">
        <f>IF(Q6128&gt;=AJ6128-0.01,1,0)</f>
        <v/>
      </c>
      <c r="AR6128">
        <f>IF(R6128&gt;=AK6128-0.01,1,0)</f>
        <v/>
      </c>
      <c r="AS6128">
        <f>IF(S6128&gt;=AL6128-0.01,1,0)</f>
        <v/>
      </c>
      <c r="AT6128">
        <f>IF(T6128&gt;=AM6128-0.01,1,0)</f>
        <v/>
      </c>
      <c r="AU6128">
        <f>IF(U6128&gt;=AN6128-0.01,1,0)</f>
        <v/>
      </c>
      <c r="AV6128">
        <f>IF(V6128&gt;=AO6128-0.01,1,0)</f>
        <v/>
      </c>
      <c r="AW6128">
        <f>IF(W6128&gt;=AP6128-0.01,1,0)</f>
        <v/>
      </c>
      <c r="AX6128">
        <f>AQ6128*AR6128*AS6128*AT6128*AU6128*AV6128*AW6128</f>
        <v/>
      </c>
    </row>
    <row r="6129">
      <c r="A6129" t="inlineStr"/>
      <c r="B6129">
        <f>Assumptions!$B$60</f>
        <v/>
      </c>
      <c r="C6129" t="n">
        <v>1</v>
      </c>
      <c r="D6129" t="n">
        <v>1</v>
      </c>
      <c r="E6129" t="n">
        <v>0</v>
      </c>
      <c r="F6129" t="n">
        <v>1</v>
      </c>
      <c r="G6129" t="n">
        <v>0</v>
      </c>
      <c r="H6129" t="n">
        <v>0</v>
      </c>
      <c r="I6129" t="n">
        <v>1</v>
      </c>
      <c r="J6129">
        <f>(1-C6129)*Assumptions!$B$41+(1-D6129)*Assumptions!$B$33+(1-E6129)*Assumptions!$B$32+(1-F6129)*Assumptions!$B$31+(1-G6129)*Assumptions!$B$30+(1-H6129)*Assumptions!$B$29+(1-I6129)*Assumptions!$B$28</f>
        <v/>
      </c>
      <c r="K6129">
        <f>C6129*$J$757+D6129*$F$757+E6129*$G$757+F6129*Assumptions!$B$14+G6129*Assumptions!$B$13+H6129*Assumptions!$B$12+I6129*Assumptions!$B$11+$O$757+$S$757+Assumptions!$B$9</f>
        <v/>
      </c>
      <c r="L6129">
        <f>B6129-J6129</f>
        <v/>
      </c>
      <c r="M6129">
        <f>IF(K6129&gt;0,IF(L6129/K6129&gt;=Assumptions!$B$37,1,0),0)</f>
        <v/>
      </c>
      <c r="N6129">
        <f>K6129+M6129*Assumptions!$B$153</f>
        <v/>
      </c>
      <c r="O6129">
        <f>L6129+M6129*Assumptions!$B$153*Assumptions!$B$37</f>
        <v/>
      </c>
      <c r="P6129">
        <f>IF(N6129&gt;0,O6129/N6129,0)</f>
        <v/>
      </c>
      <c r="Q6129">
        <f>IF(C6129=1,P6129*$J$757,Assumptions!$B$41)</f>
        <v/>
      </c>
      <c r="R6129">
        <f>IF(D6129=1,P6129*$F$757,Assumptions!$B$33)</f>
        <v/>
      </c>
      <c r="S6129">
        <f>IF(E6129=1,P6129*$G$757,Assumptions!$B$32)</f>
        <v/>
      </c>
      <c r="T6129">
        <f>IF(F6129=1,P6129*Assumptions!$B$14,Assumptions!$B$31)</f>
        <v/>
      </c>
      <c r="U6129">
        <f>IF(G6129=1,P6129*Assumptions!$B$13,Assumptions!$B$30)</f>
        <v/>
      </c>
      <c r="V6129">
        <f>IF(H6129=1,P6129*Assumptions!$B$12,Assumptions!$B$29)</f>
        <v/>
      </c>
      <c r="W6129">
        <f>IF(I6129=1,P6129*Assumptions!$B$11,Assumptions!$B$28)</f>
        <v/>
      </c>
      <c r="X6129">
        <f>P6129*($O$757+$S$757)</f>
        <v/>
      </c>
      <c r="Y6129">
        <f>P6129*Assumptions!$B$9</f>
        <v/>
      </c>
      <c r="Z6129">
        <f>IF(M6129=1,(P6129-Assumptions!$B$37)*Assumptions!$B$153,0)</f>
        <v/>
      </c>
      <c r="AA6129">
        <f>Q6129+R6129+S6129+T6129+U6129+V6129+W6129+X6129+Y6129+Z6129</f>
        <v/>
      </c>
      <c r="AB6129" t="n">
        <v>105</v>
      </c>
      <c r="AC6129" t="n">
        <v>41</v>
      </c>
      <c r="AD6129" t="n">
        <v>73</v>
      </c>
      <c r="AE6129" t="n">
        <v>121</v>
      </c>
      <c r="AF6129" t="n">
        <v>97</v>
      </c>
      <c r="AG6129" t="n">
        <v>109</v>
      </c>
      <c r="AH6129" t="n">
        <v>107</v>
      </c>
      <c r="AI6129" t="n">
        <v>104</v>
      </c>
      <c r="AJ6129">
        <f>INDEX($Q$6024:$Q$6151,AC6129+1)</f>
        <v/>
      </c>
      <c r="AK6129">
        <f>INDEX($R$6024:$R$6151,AD6129+1)</f>
        <v/>
      </c>
      <c r="AL6129">
        <f>INDEX($S$6024:$S$6151,AE6129+1)</f>
        <v/>
      </c>
      <c r="AM6129">
        <f>INDEX($T$6024:$T$6151,AF6129+1)</f>
        <v/>
      </c>
      <c r="AN6129">
        <f>INDEX($U$6024:$U$6151,AG6129+1)</f>
        <v/>
      </c>
      <c r="AO6129">
        <f>INDEX($V$6024:$V$6151,AH6129+1)</f>
        <v/>
      </c>
      <c r="AP6129">
        <f>INDEX($W$6024:$W$6151,AI6129+1)</f>
        <v/>
      </c>
      <c r="AQ6129">
        <f>IF(Q6129&gt;=AJ6129-0.01,1,0)</f>
        <v/>
      </c>
      <c r="AR6129">
        <f>IF(R6129&gt;=AK6129-0.01,1,0)</f>
        <v/>
      </c>
      <c r="AS6129">
        <f>IF(S6129&gt;=AL6129-0.01,1,0)</f>
        <v/>
      </c>
      <c r="AT6129">
        <f>IF(T6129&gt;=AM6129-0.01,1,0)</f>
        <v/>
      </c>
      <c r="AU6129">
        <f>IF(U6129&gt;=AN6129-0.01,1,0)</f>
        <v/>
      </c>
      <c r="AV6129">
        <f>IF(V6129&gt;=AO6129-0.01,1,0)</f>
        <v/>
      </c>
      <c r="AW6129">
        <f>IF(W6129&gt;=AP6129-0.01,1,0)</f>
        <v/>
      </c>
      <c r="AX6129">
        <f>AQ6129*AR6129*AS6129*AT6129*AU6129*AV6129*AW6129</f>
        <v/>
      </c>
    </row>
    <row r="6130">
      <c r="A6130" t="inlineStr"/>
      <c r="B6130">
        <f>Assumptions!$B$60</f>
        <v/>
      </c>
      <c r="C6130" t="n">
        <v>1</v>
      </c>
      <c r="D6130" t="n">
        <v>1</v>
      </c>
      <c r="E6130" t="n">
        <v>0</v>
      </c>
      <c r="F6130" t="n">
        <v>1</v>
      </c>
      <c r="G6130" t="n">
        <v>0</v>
      </c>
      <c r="H6130" t="n">
        <v>1</v>
      </c>
      <c r="I6130" t="n">
        <v>0</v>
      </c>
      <c r="J6130">
        <f>(1-C6130)*Assumptions!$B$41+(1-D6130)*Assumptions!$B$33+(1-E6130)*Assumptions!$B$32+(1-F6130)*Assumptions!$B$31+(1-G6130)*Assumptions!$B$30+(1-H6130)*Assumptions!$B$29+(1-I6130)*Assumptions!$B$28</f>
        <v/>
      </c>
      <c r="K6130">
        <f>C6130*$J$757+D6130*$F$757+E6130*$G$757+F6130*Assumptions!$B$14+G6130*Assumptions!$B$13+H6130*Assumptions!$B$12+I6130*Assumptions!$B$11+$O$757+$S$757+Assumptions!$B$9</f>
        <v/>
      </c>
      <c r="L6130">
        <f>B6130-J6130</f>
        <v/>
      </c>
      <c r="M6130">
        <f>IF(K6130&gt;0,IF(L6130/K6130&gt;=Assumptions!$B$37,1,0),0)</f>
        <v/>
      </c>
      <c r="N6130">
        <f>K6130+M6130*Assumptions!$B$153</f>
        <v/>
      </c>
      <c r="O6130">
        <f>L6130+M6130*Assumptions!$B$153*Assumptions!$B$37</f>
        <v/>
      </c>
      <c r="P6130">
        <f>IF(N6130&gt;0,O6130/N6130,0)</f>
        <v/>
      </c>
      <c r="Q6130">
        <f>IF(C6130=1,P6130*$J$757,Assumptions!$B$41)</f>
        <v/>
      </c>
      <c r="R6130">
        <f>IF(D6130=1,P6130*$F$757,Assumptions!$B$33)</f>
        <v/>
      </c>
      <c r="S6130">
        <f>IF(E6130=1,P6130*$G$757,Assumptions!$B$32)</f>
        <v/>
      </c>
      <c r="T6130">
        <f>IF(F6130=1,P6130*Assumptions!$B$14,Assumptions!$B$31)</f>
        <v/>
      </c>
      <c r="U6130">
        <f>IF(G6130=1,P6130*Assumptions!$B$13,Assumptions!$B$30)</f>
        <v/>
      </c>
      <c r="V6130">
        <f>IF(H6130=1,P6130*Assumptions!$B$12,Assumptions!$B$29)</f>
        <v/>
      </c>
      <c r="W6130">
        <f>IF(I6130=1,P6130*Assumptions!$B$11,Assumptions!$B$28)</f>
        <v/>
      </c>
      <c r="X6130">
        <f>P6130*($O$757+$S$757)</f>
        <v/>
      </c>
      <c r="Y6130">
        <f>P6130*Assumptions!$B$9</f>
        <v/>
      </c>
      <c r="Z6130">
        <f>IF(M6130=1,(P6130-Assumptions!$B$37)*Assumptions!$B$153,0)</f>
        <v/>
      </c>
      <c r="AA6130">
        <f>Q6130+R6130+S6130+T6130+U6130+V6130+W6130+X6130+Y6130+Z6130</f>
        <v/>
      </c>
      <c r="AB6130" t="n">
        <v>106</v>
      </c>
      <c r="AC6130" t="n">
        <v>42</v>
      </c>
      <c r="AD6130" t="n">
        <v>74</v>
      </c>
      <c r="AE6130" t="n">
        <v>122</v>
      </c>
      <c r="AF6130" t="n">
        <v>98</v>
      </c>
      <c r="AG6130" t="n">
        <v>110</v>
      </c>
      <c r="AH6130" t="n">
        <v>104</v>
      </c>
      <c r="AI6130" t="n">
        <v>107</v>
      </c>
      <c r="AJ6130">
        <f>INDEX($Q$6024:$Q$6151,AC6130+1)</f>
        <v/>
      </c>
      <c r="AK6130">
        <f>INDEX($R$6024:$R$6151,AD6130+1)</f>
        <v/>
      </c>
      <c r="AL6130">
        <f>INDEX($S$6024:$S$6151,AE6130+1)</f>
        <v/>
      </c>
      <c r="AM6130">
        <f>INDEX($T$6024:$T$6151,AF6130+1)</f>
        <v/>
      </c>
      <c r="AN6130">
        <f>INDEX($U$6024:$U$6151,AG6130+1)</f>
        <v/>
      </c>
      <c r="AO6130">
        <f>INDEX($V$6024:$V$6151,AH6130+1)</f>
        <v/>
      </c>
      <c r="AP6130">
        <f>INDEX($W$6024:$W$6151,AI6130+1)</f>
        <v/>
      </c>
      <c r="AQ6130">
        <f>IF(Q6130&gt;=AJ6130-0.01,1,0)</f>
        <v/>
      </c>
      <c r="AR6130">
        <f>IF(R6130&gt;=AK6130-0.01,1,0)</f>
        <v/>
      </c>
      <c r="AS6130">
        <f>IF(S6130&gt;=AL6130-0.01,1,0)</f>
        <v/>
      </c>
      <c r="AT6130">
        <f>IF(T6130&gt;=AM6130-0.01,1,0)</f>
        <v/>
      </c>
      <c r="AU6130">
        <f>IF(U6130&gt;=AN6130-0.01,1,0)</f>
        <v/>
      </c>
      <c r="AV6130">
        <f>IF(V6130&gt;=AO6130-0.01,1,0)</f>
        <v/>
      </c>
      <c r="AW6130">
        <f>IF(W6130&gt;=AP6130-0.01,1,0)</f>
        <v/>
      </c>
      <c r="AX6130">
        <f>AQ6130*AR6130*AS6130*AT6130*AU6130*AV6130*AW6130</f>
        <v/>
      </c>
    </row>
    <row r="6131">
      <c r="A6131" t="inlineStr"/>
      <c r="B6131">
        <f>Assumptions!$B$60</f>
        <v/>
      </c>
      <c r="C6131" t="n">
        <v>1</v>
      </c>
      <c r="D6131" t="n">
        <v>1</v>
      </c>
      <c r="E6131" t="n">
        <v>0</v>
      </c>
      <c r="F6131" t="n">
        <v>1</v>
      </c>
      <c r="G6131" t="n">
        <v>0</v>
      </c>
      <c r="H6131" t="n">
        <v>1</v>
      </c>
      <c r="I6131" t="n">
        <v>1</v>
      </c>
      <c r="J6131">
        <f>(1-C6131)*Assumptions!$B$41+(1-D6131)*Assumptions!$B$33+(1-E6131)*Assumptions!$B$32+(1-F6131)*Assumptions!$B$31+(1-G6131)*Assumptions!$B$30+(1-H6131)*Assumptions!$B$29+(1-I6131)*Assumptions!$B$28</f>
        <v/>
      </c>
      <c r="K6131">
        <f>C6131*$J$757+D6131*$F$757+E6131*$G$757+F6131*Assumptions!$B$14+G6131*Assumptions!$B$13+H6131*Assumptions!$B$12+I6131*Assumptions!$B$11+$O$757+$S$757+Assumptions!$B$9</f>
        <v/>
      </c>
      <c r="L6131">
        <f>B6131-J6131</f>
        <v/>
      </c>
      <c r="M6131">
        <f>IF(K6131&gt;0,IF(L6131/K6131&gt;=Assumptions!$B$37,1,0),0)</f>
        <v/>
      </c>
      <c r="N6131">
        <f>K6131+M6131*Assumptions!$B$153</f>
        <v/>
      </c>
      <c r="O6131">
        <f>L6131+M6131*Assumptions!$B$153*Assumptions!$B$37</f>
        <v/>
      </c>
      <c r="P6131">
        <f>IF(N6131&gt;0,O6131/N6131,0)</f>
        <v/>
      </c>
      <c r="Q6131">
        <f>IF(C6131=1,P6131*$J$757,Assumptions!$B$41)</f>
        <v/>
      </c>
      <c r="R6131">
        <f>IF(D6131=1,P6131*$F$757,Assumptions!$B$33)</f>
        <v/>
      </c>
      <c r="S6131">
        <f>IF(E6131=1,P6131*$G$757,Assumptions!$B$32)</f>
        <v/>
      </c>
      <c r="T6131">
        <f>IF(F6131=1,P6131*Assumptions!$B$14,Assumptions!$B$31)</f>
        <v/>
      </c>
      <c r="U6131">
        <f>IF(G6131=1,P6131*Assumptions!$B$13,Assumptions!$B$30)</f>
        <v/>
      </c>
      <c r="V6131">
        <f>IF(H6131=1,P6131*Assumptions!$B$12,Assumptions!$B$29)</f>
        <v/>
      </c>
      <c r="W6131">
        <f>IF(I6131=1,P6131*Assumptions!$B$11,Assumptions!$B$28)</f>
        <v/>
      </c>
      <c r="X6131">
        <f>P6131*($O$757+$S$757)</f>
        <v/>
      </c>
      <c r="Y6131">
        <f>P6131*Assumptions!$B$9</f>
        <v/>
      </c>
      <c r="Z6131">
        <f>IF(M6131=1,(P6131-Assumptions!$B$37)*Assumptions!$B$153,0)</f>
        <v/>
      </c>
      <c r="AA6131">
        <f>Q6131+R6131+S6131+T6131+U6131+V6131+W6131+X6131+Y6131+Z6131</f>
        <v/>
      </c>
      <c r="AB6131" t="n">
        <v>107</v>
      </c>
      <c r="AC6131" t="n">
        <v>43</v>
      </c>
      <c r="AD6131" t="n">
        <v>75</v>
      </c>
      <c r="AE6131" t="n">
        <v>123</v>
      </c>
      <c r="AF6131" t="n">
        <v>99</v>
      </c>
      <c r="AG6131" t="n">
        <v>111</v>
      </c>
      <c r="AH6131" t="n">
        <v>105</v>
      </c>
      <c r="AI6131" t="n">
        <v>106</v>
      </c>
      <c r="AJ6131">
        <f>INDEX($Q$6024:$Q$6151,AC6131+1)</f>
        <v/>
      </c>
      <c r="AK6131">
        <f>INDEX($R$6024:$R$6151,AD6131+1)</f>
        <v/>
      </c>
      <c r="AL6131">
        <f>INDEX($S$6024:$S$6151,AE6131+1)</f>
        <v/>
      </c>
      <c r="AM6131">
        <f>INDEX($T$6024:$T$6151,AF6131+1)</f>
        <v/>
      </c>
      <c r="AN6131">
        <f>INDEX($U$6024:$U$6151,AG6131+1)</f>
        <v/>
      </c>
      <c r="AO6131">
        <f>INDEX($V$6024:$V$6151,AH6131+1)</f>
        <v/>
      </c>
      <c r="AP6131">
        <f>INDEX($W$6024:$W$6151,AI6131+1)</f>
        <v/>
      </c>
      <c r="AQ6131">
        <f>IF(Q6131&gt;=AJ6131-0.01,1,0)</f>
        <v/>
      </c>
      <c r="AR6131">
        <f>IF(R6131&gt;=AK6131-0.01,1,0)</f>
        <v/>
      </c>
      <c r="AS6131">
        <f>IF(S6131&gt;=AL6131-0.01,1,0)</f>
        <v/>
      </c>
      <c r="AT6131">
        <f>IF(T6131&gt;=AM6131-0.01,1,0)</f>
        <v/>
      </c>
      <c r="AU6131">
        <f>IF(U6131&gt;=AN6131-0.01,1,0)</f>
        <v/>
      </c>
      <c r="AV6131">
        <f>IF(V6131&gt;=AO6131-0.01,1,0)</f>
        <v/>
      </c>
      <c r="AW6131">
        <f>IF(W6131&gt;=AP6131-0.01,1,0)</f>
        <v/>
      </c>
      <c r="AX6131">
        <f>AQ6131*AR6131*AS6131*AT6131*AU6131*AV6131*AW6131</f>
        <v/>
      </c>
    </row>
    <row r="6132">
      <c r="A6132" t="inlineStr"/>
      <c r="B6132">
        <f>Assumptions!$B$60</f>
        <v/>
      </c>
      <c r="C6132" t="n">
        <v>1</v>
      </c>
      <c r="D6132" t="n">
        <v>1</v>
      </c>
      <c r="E6132" t="n">
        <v>0</v>
      </c>
      <c r="F6132" t="n">
        <v>1</v>
      </c>
      <c r="G6132" t="n">
        <v>1</v>
      </c>
      <c r="H6132" t="n">
        <v>0</v>
      </c>
      <c r="I6132" t="n">
        <v>0</v>
      </c>
      <c r="J6132">
        <f>(1-C6132)*Assumptions!$B$41+(1-D6132)*Assumptions!$B$33+(1-E6132)*Assumptions!$B$32+(1-F6132)*Assumptions!$B$31+(1-G6132)*Assumptions!$B$30+(1-H6132)*Assumptions!$B$29+(1-I6132)*Assumptions!$B$28</f>
        <v/>
      </c>
      <c r="K6132">
        <f>C6132*$J$757+D6132*$F$757+E6132*$G$757+F6132*Assumptions!$B$14+G6132*Assumptions!$B$13+H6132*Assumptions!$B$12+I6132*Assumptions!$B$11+$O$757+$S$757+Assumptions!$B$9</f>
        <v/>
      </c>
      <c r="L6132">
        <f>B6132-J6132</f>
        <v/>
      </c>
      <c r="M6132">
        <f>IF(K6132&gt;0,IF(L6132/K6132&gt;=Assumptions!$B$37,1,0),0)</f>
        <v/>
      </c>
      <c r="N6132">
        <f>K6132+M6132*Assumptions!$B$153</f>
        <v/>
      </c>
      <c r="O6132">
        <f>L6132+M6132*Assumptions!$B$153*Assumptions!$B$37</f>
        <v/>
      </c>
      <c r="P6132">
        <f>IF(N6132&gt;0,O6132/N6132,0)</f>
        <v/>
      </c>
      <c r="Q6132">
        <f>IF(C6132=1,P6132*$J$757,Assumptions!$B$41)</f>
        <v/>
      </c>
      <c r="R6132">
        <f>IF(D6132=1,P6132*$F$757,Assumptions!$B$33)</f>
        <v/>
      </c>
      <c r="S6132">
        <f>IF(E6132=1,P6132*$G$757,Assumptions!$B$32)</f>
        <v/>
      </c>
      <c r="T6132">
        <f>IF(F6132=1,P6132*Assumptions!$B$14,Assumptions!$B$31)</f>
        <v/>
      </c>
      <c r="U6132">
        <f>IF(G6132=1,P6132*Assumptions!$B$13,Assumptions!$B$30)</f>
        <v/>
      </c>
      <c r="V6132">
        <f>IF(H6132=1,P6132*Assumptions!$B$12,Assumptions!$B$29)</f>
        <v/>
      </c>
      <c r="W6132">
        <f>IF(I6132=1,P6132*Assumptions!$B$11,Assumptions!$B$28)</f>
        <v/>
      </c>
      <c r="X6132">
        <f>P6132*($O$757+$S$757)</f>
        <v/>
      </c>
      <c r="Y6132">
        <f>P6132*Assumptions!$B$9</f>
        <v/>
      </c>
      <c r="Z6132">
        <f>IF(M6132=1,(P6132-Assumptions!$B$37)*Assumptions!$B$153,0)</f>
        <v/>
      </c>
      <c r="AA6132">
        <f>Q6132+R6132+S6132+T6132+U6132+V6132+W6132+X6132+Y6132+Z6132</f>
        <v/>
      </c>
      <c r="AB6132" t="n">
        <v>108</v>
      </c>
      <c r="AC6132" t="n">
        <v>44</v>
      </c>
      <c r="AD6132" t="n">
        <v>76</v>
      </c>
      <c r="AE6132" t="n">
        <v>124</v>
      </c>
      <c r="AF6132" t="n">
        <v>100</v>
      </c>
      <c r="AG6132" t="n">
        <v>104</v>
      </c>
      <c r="AH6132" t="n">
        <v>110</v>
      </c>
      <c r="AI6132" t="n">
        <v>109</v>
      </c>
      <c r="AJ6132">
        <f>INDEX($Q$6024:$Q$6151,AC6132+1)</f>
        <v/>
      </c>
      <c r="AK6132">
        <f>INDEX($R$6024:$R$6151,AD6132+1)</f>
        <v/>
      </c>
      <c r="AL6132">
        <f>INDEX($S$6024:$S$6151,AE6132+1)</f>
        <v/>
      </c>
      <c r="AM6132">
        <f>INDEX($T$6024:$T$6151,AF6132+1)</f>
        <v/>
      </c>
      <c r="AN6132">
        <f>INDEX($U$6024:$U$6151,AG6132+1)</f>
        <v/>
      </c>
      <c r="AO6132">
        <f>INDEX($V$6024:$V$6151,AH6132+1)</f>
        <v/>
      </c>
      <c r="AP6132">
        <f>INDEX($W$6024:$W$6151,AI6132+1)</f>
        <v/>
      </c>
      <c r="AQ6132">
        <f>IF(Q6132&gt;=AJ6132-0.01,1,0)</f>
        <v/>
      </c>
      <c r="AR6132">
        <f>IF(R6132&gt;=AK6132-0.01,1,0)</f>
        <v/>
      </c>
      <c r="AS6132">
        <f>IF(S6132&gt;=AL6132-0.01,1,0)</f>
        <v/>
      </c>
      <c r="AT6132">
        <f>IF(T6132&gt;=AM6132-0.01,1,0)</f>
        <v/>
      </c>
      <c r="AU6132">
        <f>IF(U6132&gt;=AN6132-0.01,1,0)</f>
        <v/>
      </c>
      <c r="AV6132">
        <f>IF(V6132&gt;=AO6132-0.01,1,0)</f>
        <v/>
      </c>
      <c r="AW6132">
        <f>IF(W6132&gt;=AP6132-0.01,1,0)</f>
        <v/>
      </c>
      <c r="AX6132">
        <f>AQ6132*AR6132*AS6132*AT6132*AU6132*AV6132*AW6132</f>
        <v/>
      </c>
    </row>
    <row r="6133">
      <c r="A6133" t="inlineStr"/>
      <c r="B6133">
        <f>Assumptions!$B$60</f>
        <v/>
      </c>
      <c r="C6133" t="n">
        <v>1</v>
      </c>
      <c r="D6133" t="n">
        <v>1</v>
      </c>
      <c r="E6133" t="n">
        <v>0</v>
      </c>
      <c r="F6133" t="n">
        <v>1</v>
      </c>
      <c r="G6133" t="n">
        <v>1</v>
      </c>
      <c r="H6133" t="n">
        <v>0</v>
      </c>
      <c r="I6133" t="n">
        <v>1</v>
      </c>
      <c r="J6133">
        <f>(1-C6133)*Assumptions!$B$41+(1-D6133)*Assumptions!$B$33+(1-E6133)*Assumptions!$B$32+(1-F6133)*Assumptions!$B$31+(1-G6133)*Assumptions!$B$30+(1-H6133)*Assumptions!$B$29+(1-I6133)*Assumptions!$B$28</f>
        <v/>
      </c>
      <c r="K6133">
        <f>C6133*$J$757+D6133*$F$757+E6133*$G$757+F6133*Assumptions!$B$14+G6133*Assumptions!$B$13+H6133*Assumptions!$B$12+I6133*Assumptions!$B$11+$O$757+$S$757+Assumptions!$B$9</f>
        <v/>
      </c>
      <c r="L6133">
        <f>B6133-J6133</f>
        <v/>
      </c>
      <c r="M6133">
        <f>IF(K6133&gt;0,IF(L6133/K6133&gt;=Assumptions!$B$37,1,0),0)</f>
        <v/>
      </c>
      <c r="N6133">
        <f>K6133+M6133*Assumptions!$B$153</f>
        <v/>
      </c>
      <c r="O6133">
        <f>L6133+M6133*Assumptions!$B$153*Assumptions!$B$37</f>
        <v/>
      </c>
      <c r="P6133">
        <f>IF(N6133&gt;0,O6133/N6133,0)</f>
        <v/>
      </c>
      <c r="Q6133">
        <f>IF(C6133=1,P6133*$J$757,Assumptions!$B$41)</f>
        <v/>
      </c>
      <c r="R6133">
        <f>IF(D6133=1,P6133*$F$757,Assumptions!$B$33)</f>
        <v/>
      </c>
      <c r="S6133">
        <f>IF(E6133=1,P6133*$G$757,Assumptions!$B$32)</f>
        <v/>
      </c>
      <c r="T6133">
        <f>IF(F6133=1,P6133*Assumptions!$B$14,Assumptions!$B$31)</f>
        <v/>
      </c>
      <c r="U6133">
        <f>IF(G6133=1,P6133*Assumptions!$B$13,Assumptions!$B$30)</f>
        <v/>
      </c>
      <c r="V6133">
        <f>IF(H6133=1,P6133*Assumptions!$B$12,Assumptions!$B$29)</f>
        <v/>
      </c>
      <c r="W6133">
        <f>IF(I6133=1,P6133*Assumptions!$B$11,Assumptions!$B$28)</f>
        <v/>
      </c>
      <c r="X6133">
        <f>P6133*($O$757+$S$757)</f>
        <v/>
      </c>
      <c r="Y6133">
        <f>P6133*Assumptions!$B$9</f>
        <v/>
      </c>
      <c r="Z6133">
        <f>IF(M6133=1,(P6133-Assumptions!$B$37)*Assumptions!$B$153,0)</f>
        <v/>
      </c>
      <c r="AA6133">
        <f>Q6133+R6133+S6133+T6133+U6133+V6133+W6133+X6133+Y6133+Z6133</f>
        <v/>
      </c>
      <c r="AB6133" t="n">
        <v>109</v>
      </c>
      <c r="AC6133" t="n">
        <v>45</v>
      </c>
      <c r="AD6133" t="n">
        <v>77</v>
      </c>
      <c r="AE6133" t="n">
        <v>125</v>
      </c>
      <c r="AF6133" t="n">
        <v>101</v>
      </c>
      <c r="AG6133" t="n">
        <v>105</v>
      </c>
      <c r="AH6133" t="n">
        <v>111</v>
      </c>
      <c r="AI6133" t="n">
        <v>108</v>
      </c>
      <c r="AJ6133">
        <f>INDEX($Q$6024:$Q$6151,AC6133+1)</f>
        <v/>
      </c>
      <c r="AK6133">
        <f>INDEX($R$6024:$R$6151,AD6133+1)</f>
        <v/>
      </c>
      <c r="AL6133">
        <f>INDEX($S$6024:$S$6151,AE6133+1)</f>
        <v/>
      </c>
      <c r="AM6133">
        <f>INDEX($T$6024:$T$6151,AF6133+1)</f>
        <v/>
      </c>
      <c r="AN6133">
        <f>INDEX($U$6024:$U$6151,AG6133+1)</f>
        <v/>
      </c>
      <c r="AO6133">
        <f>INDEX($V$6024:$V$6151,AH6133+1)</f>
        <v/>
      </c>
      <c r="AP6133">
        <f>INDEX($W$6024:$W$6151,AI6133+1)</f>
        <v/>
      </c>
      <c r="AQ6133">
        <f>IF(Q6133&gt;=AJ6133-0.01,1,0)</f>
        <v/>
      </c>
      <c r="AR6133">
        <f>IF(R6133&gt;=AK6133-0.01,1,0)</f>
        <v/>
      </c>
      <c r="AS6133">
        <f>IF(S6133&gt;=AL6133-0.01,1,0)</f>
        <v/>
      </c>
      <c r="AT6133">
        <f>IF(T6133&gt;=AM6133-0.01,1,0)</f>
        <v/>
      </c>
      <c r="AU6133">
        <f>IF(U6133&gt;=AN6133-0.01,1,0)</f>
        <v/>
      </c>
      <c r="AV6133">
        <f>IF(V6133&gt;=AO6133-0.01,1,0)</f>
        <v/>
      </c>
      <c r="AW6133">
        <f>IF(W6133&gt;=AP6133-0.01,1,0)</f>
        <v/>
      </c>
      <c r="AX6133">
        <f>AQ6133*AR6133*AS6133*AT6133*AU6133*AV6133*AW6133</f>
        <v/>
      </c>
    </row>
    <row r="6134">
      <c r="A6134" t="inlineStr"/>
      <c r="B6134">
        <f>Assumptions!$B$60</f>
        <v/>
      </c>
      <c r="C6134" t="n">
        <v>1</v>
      </c>
      <c r="D6134" t="n">
        <v>1</v>
      </c>
      <c r="E6134" t="n">
        <v>0</v>
      </c>
      <c r="F6134" t="n">
        <v>1</v>
      </c>
      <c r="G6134" t="n">
        <v>1</v>
      </c>
      <c r="H6134" t="n">
        <v>1</v>
      </c>
      <c r="I6134" t="n">
        <v>0</v>
      </c>
      <c r="J6134">
        <f>(1-C6134)*Assumptions!$B$41+(1-D6134)*Assumptions!$B$33+(1-E6134)*Assumptions!$B$32+(1-F6134)*Assumptions!$B$31+(1-G6134)*Assumptions!$B$30+(1-H6134)*Assumptions!$B$29+(1-I6134)*Assumptions!$B$28</f>
        <v/>
      </c>
      <c r="K6134">
        <f>C6134*$J$757+D6134*$F$757+E6134*$G$757+F6134*Assumptions!$B$14+G6134*Assumptions!$B$13+H6134*Assumptions!$B$12+I6134*Assumptions!$B$11+$O$757+$S$757+Assumptions!$B$9</f>
        <v/>
      </c>
      <c r="L6134">
        <f>B6134-J6134</f>
        <v/>
      </c>
      <c r="M6134">
        <f>IF(K6134&gt;0,IF(L6134/K6134&gt;=Assumptions!$B$37,1,0),0)</f>
        <v/>
      </c>
      <c r="N6134">
        <f>K6134+M6134*Assumptions!$B$153</f>
        <v/>
      </c>
      <c r="O6134">
        <f>L6134+M6134*Assumptions!$B$153*Assumptions!$B$37</f>
        <v/>
      </c>
      <c r="P6134">
        <f>IF(N6134&gt;0,O6134/N6134,0)</f>
        <v/>
      </c>
      <c r="Q6134">
        <f>IF(C6134=1,P6134*$J$757,Assumptions!$B$41)</f>
        <v/>
      </c>
      <c r="R6134">
        <f>IF(D6134=1,P6134*$F$757,Assumptions!$B$33)</f>
        <v/>
      </c>
      <c r="S6134">
        <f>IF(E6134=1,P6134*$G$757,Assumptions!$B$32)</f>
        <v/>
      </c>
      <c r="T6134">
        <f>IF(F6134=1,P6134*Assumptions!$B$14,Assumptions!$B$31)</f>
        <v/>
      </c>
      <c r="U6134">
        <f>IF(G6134=1,P6134*Assumptions!$B$13,Assumptions!$B$30)</f>
        <v/>
      </c>
      <c r="V6134">
        <f>IF(H6134=1,P6134*Assumptions!$B$12,Assumptions!$B$29)</f>
        <v/>
      </c>
      <c r="W6134">
        <f>IF(I6134=1,P6134*Assumptions!$B$11,Assumptions!$B$28)</f>
        <v/>
      </c>
      <c r="X6134">
        <f>P6134*($O$757+$S$757)</f>
        <v/>
      </c>
      <c r="Y6134">
        <f>P6134*Assumptions!$B$9</f>
        <v/>
      </c>
      <c r="Z6134">
        <f>IF(M6134=1,(P6134-Assumptions!$B$37)*Assumptions!$B$153,0)</f>
        <v/>
      </c>
      <c r="AA6134">
        <f>Q6134+R6134+S6134+T6134+U6134+V6134+W6134+X6134+Y6134+Z6134</f>
        <v/>
      </c>
      <c r="AB6134" t="n">
        <v>110</v>
      </c>
      <c r="AC6134" t="n">
        <v>46</v>
      </c>
      <c r="AD6134" t="n">
        <v>78</v>
      </c>
      <c r="AE6134" t="n">
        <v>126</v>
      </c>
      <c r="AF6134" t="n">
        <v>102</v>
      </c>
      <c r="AG6134" t="n">
        <v>106</v>
      </c>
      <c r="AH6134" t="n">
        <v>108</v>
      </c>
      <c r="AI6134" t="n">
        <v>111</v>
      </c>
      <c r="AJ6134">
        <f>INDEX($Q$6024:$Q$6151,AC6134+1)</f>
        <v/>
      </c>
      <c r="AK6134">
        <f>INDEX($R$6024:$R$6151,AD6134+1)</f>
        <v/>
      </c>
      <c r="AL6134">
        <f>INDEX($S$6024:$S$6151,AE6134+1)</f>
        <v/>
      </c>
      <c r="AM6134">
        <f>INDEX($T$6024:$T$6151,AF6134+1)</f>
        <v/>
      </c>
      <c r="AN6134">
        <f>INDEX($U$6024:$U$6151,AG6134+1)</f>
        <v/>
      </c>
      <c r="AO6134">
        <f>INDEX($V$6024:$V$6151,AH6134+1)</f>
        <v/>
      </c>
      <c r="AP6134">
        <f>INDEX($W$6024:$W$6151,AI6134+1)</f>
        <v/>
      </c>
      <c r="AQ6134">
        <f>IF(Q6134&gt;=AJ6134-0.01,1,0)</f>
        <v/>
      </c>
      <c r="AR6134">
        <f>IF(R6134&gt;=AK6134-0.01,1,0)</f>
        <v/>
      </c>
      <c r="AS6134">
        <f>IF(S6134&gt;=AL6134-0.01,1,0)</f>
        <v/>
      </c>
      <c r="AT6134">
        <f>IF(T6134&gt;=AM6134-0.01,1,0)</f>
        <v/>
      </c>
      <c r="AU6134">
        <f>IF(U6134&gt;=AN6134-0.01,1,0)</f>
        <v/>
      </c>
      <c r="AV6134">
        <f>IF(V6134&gt;=AO6134-0.01,1,0)</f>
        <v/>
      </c>
      <c r="AW6134">
        <f>IF(W6134&gt;=AP6134-0.01,1,0)</f>
        <v/>
      </c>
      <c r="AX6134">
        <f>AQ6134*AR6134*AS6134*AT6134*AU6134*AV6134*AW6134</f>
        <v/>
      </c>
    </row>
    <row r="6135">
      <c r="A6135" t="inlineStr"/>
      <c r="B6135">
        <f>Assumptions!$B$60</f>
        <v/>
      </c>
      <c r="C6135" t="n">
        <v>1</v>
      </c>
      <c r="D6135" t="n">
        <v>1</v>
      </c>
      <c r="E6135" t="n">
        <v>0</v>
      </c>
      <c r="F6135" t="n">
        <v>1</v>
      </c>
      <c r="G6135" t="n">
        <v>1</v>
      </c>
      <c r="H6135" t="n">
        <v>1</v>
      </c>
      <c r="I6135" t="n">
        <v>1</v>
      </c>
      <c r="J6135">
        <f>(1-C6135)*Assumptions!$B$41+(1-D6135)*Assumptions!$B$33+(1-E6135)*Assumptions!$B$32+(1-F6135)*Assumptions!$B$31+(1-G6135)*Assumptions!$B$30+(1-H6135)*Assumptions!$B$29+(1-I6135)*Assumptions!$B$28</f>
        <v/>
      </c>
      <c r="K6135">
        <f>C6135*$J$757+D6135*$F$757+E6135*$G$757+F6135*Assumptions!$B$14+G6135*Assumptions!$B$13+H6135*Assumptions!$B$12+I6135*Assumptions!$B$11+$O$757+$S$757+Assumptions!$B$9</f>
        <v/>
      </c>
      <c r="L6135">
        <f>B6135-J6135</f>
        <v/>
      </c>
      <c r="M6135">
        <f>IF(K6135&gt;0,IF(L6135/K6135&gt;=Assumptions!$B$37,1,0),0)</f>
        <v/>
      </c>
      <c r="N6135">
        <f>K6135+M6135*Assumptions!$B$153</f>
        <v/>
      </c>
      <c r="O6135">
        <f>L6135+M6135*Assumptions!$B$153*Assumptions!$B$37</f>
        <v/>
      </c>
      <c r="P6135">
        <f>IF(N6135&gt;0,O6135/N6135,0)</f>
        <v/>
      </c>
      <c r="Q6135">
        <f>IF(C6135=1,P6135*$J$757,Assumptions!$B$41)</f>
        <v/>
      </c>
      <c r="R6135">
        <f>IF(D6135=1,P6135*$F$757,Assumptions!$B$33)</f>
        <v/>
      </c>
      <c r="S6135">
        <f>IF(E6135=1,P6135*$G$757,Assumptions!$B$32)</f>
        <v/>
      </c>
      <c r="T6135">
        <f>IF(F6135=1,P6135*Assumptions!$B$14,Assumptions!$B$31)</f>
        <v/>
      </c>
      <c r="U6135">
        <f>IF(G6135=1,P6135*Assumptions!$B$13,Assumptions!$B$30)</f>
        <v/>
      </c>
      <c r="V6135">
        <f>IF(H6135=1,P6135*Assumptions!$B$12,Assumptions!$B$29)</f>
        <v/>
      </c>
      <c r="W6135">
        <f>IF(I6135=1,P6135*Assumptions!$B$11,Assumptions!$B$28)</f>
        <v/>
      </c>
      <c r="X6135">
        <f>P6135*($O$757+$S$757)</f>
        <v/>
      </c>
      <c r="Y6135">
        <f>P6135*Assumptions!$B$9</f>
        <v/>
      </c>
      <c r="Z6135">
        <f>IF(M6135=1,(P6135-Assumptions!$B$37)*Assumptions!$B$153,0)</f>
        <v/>
      </c>
      <c r="AA6135">
        <f>Q6135+R6135+S6135+T6135+U6135+V6135+W6135+X6135+Y6135+Z6135</f>
        <v/>
      </c>
      <c r="AB6135" t="n">
        <v>111</v>
      </c>
      <c r="AC6135" t="n">
        <v>47</v>
      </c>
      <c r="AD6135" t="n">
        <v>79</v>
      </c>
      <c r="AE6135" t="n">
        <v>127</v>
      </c>
      <c r="AF6135" t="n">
        <v>103</v>
      </c>
      <c r="AG6135" t="n">
        <v>107</v>
      </c>
      <c r="AH6135" t="n">
        <v>109</v>
      </c>
      <c r="AI6135" t="n">
        <v>110</v>
      </c>
      <c r="AJ6135">
        <f>INDEX($Q$6024:$Q$6151,AC6135+1)</f>
        <v/>
      </c>
      <c r="AK6135">
        <f>INDEX($R$6024:$R$6151,AD6135+1)</f>
        <v/>
      </c>
      <c r="AL6135">
        <f>INDEX($S$6024:$S$6151,AE6135+1)</f>
        <v/>
      </c>
      <c r="AM6135">
        <f>INDEX($T$6024:$T$6151,AF6135+1)</f>
        <v/>
      </c>
      <c r="AN6135">
        <f>INDEX($U$6024:$U$6151,AG6135+1)</f>
        <v/>
      </c>
      <c r="AO6135">
        <f>INDEX($V$6024:$V$6151,AH6135+1)</f>
        <v/>
      </c>
      <c r="AP6135">
        <f>INDEX($W$6024:$W$6151,AI6135+1)</f>
        <v/>
      </c>
      <c r="AQ6135">
        <f>IF(Q6135&gt;=AJ6135-0.01,1,0)</f>
        <v/>
      </c>
      <c r="AR6135">
        <f>IF(R6135&gt;=AK6135-0.01,1,0)</f>
        <v/>
      </c>
      <c r="AS6135">
        <f>IF(S6135&gt;=AL6135-0.01,1,0)</f>
        <v/>
      </c>
      <c r="AT6135">
        <f>IF(T6135&gt;=AM6135-0.01,1,0)</f>
        <v/>
      </c>
      <c r="AU6135">
        <f>IF(U6135&gt;=AN6135-0.01,1,0)</f>
        <v/>
      </c>
      <c r="AV6135">
        <f>IF(V6135&gt;=AO6135-0.01,1,0)</f>
        <v/>
      </c>
      <c r="AW6135">
        <f>IF(W6135&gt;=AP6135-0.01,1,0)</f>
        <v/>
      </c>
      <c r="AX6135">
        <f>AQ6135*AR6135*AS6135*AT6135*AU6135*AV6135*AW6135</f>
        <v/>
      </c>
    </row>
    <row r="6136">
      <c r="A6136" t="inlineStr"/>
      <c r="B6136">
        <f>Assumptions!$B$60</f>
        <v/>
      </c>
      <c r="C6136" t="n">
        <v>1</v>
      </c>
      <c r="D6136" t="n">
        <v>1</v>
      </c>
      <c r="E6136" t="n">
        <v>1</v>
      </c>
      <c r="F6136" t="n">
        <v>0</v>
      </c>
      <c r="G6136" t="n">
        <v>0</v>
      </c>
      <c r="H6136" t="n">
        <v>0</v>
      </c>
      <c r="I6136" t="n">
        <v>0</v>
      </c>
      <c r="J6136">
        <f>(1-C6136)*Assumptions!$B$41+(1-D6136)*Assumptions!$B$33+(1-E6136)*Assumptions!$B$32+(1-F6136)*Assumptions!$B$31+(1-G6136)*Assumptions!$B$30+(1-H6136)*Assumptions!$B$29+(1-I6136)*Assumptions!$B$28</f>
        <v/>
      </c>
      <c r="K6136">
        <f>C6136*$J$757+D6136*$F$757+E6136*$G$757+F6136*Assumptions!$B$14+G6136*Assumptions!$B$13+H6136*Assumptions!$B$12+I6136*Assumptions!$B$11+$O$757+$S$757+Assumptions!$B$9</f>
        <v/>
      </c>
      <c r="L6136">
        <f>B6136-J6136</f>
        <v/>
      </c>
      <c r="M6136">
        <f>IF(K6136&gt;0,IF(L6136/K6136&gt;=Assumptions!$B$37,1,0),0)</f>
        <v/>
      </c>
      <c r="N6136">
        <f>K6136+M6136*Assumptions!$B$153</f>
        <v/>
      </c>
      <c r="O6136">
        <f>L6136+M6136*Assumptions!$B$153*Assumptions!$B$37</f>
        <v/>
      </c>
      <c r="P6136">
        <f>IF(N6136&gt;0,O6136/N6136,0)</f>
        <v/>
      </c>
      <c r="Q6136">
        <f>IF(C6136=1,P6136*$J$757,Assumptions!$B$41)</f>
        <v/>
      </c>
      <c r="R6136">
        <f>IF(D6136=1,P6136*$F$757,Assumptions!$B$33)</f>
        <v/>
      </c>
      <c r="S6136">
        <f>IF(E6136=1,P6136*$G$757,Assumptions!$B$32)</f>
        <v/>
      </c>
      <c r="T6136">
        <f>IF(F6136=1,P6136*Assumptions!$B$14,Assumptions!$B$31)</f>
        <v/>
      </c>
      <c r="U6136">
        <f>IF(G6136=1,P6136*Assumptions!$B$13,Assumptions!$B$30)</f>
        <v/>
      </c>
      <c r="V6136">
        <f>IF(H6136=1,P6136*Assumptions!$B$12,Assumptions!$B$29)</f>
        <v/>
      </c>
      <c r="W6136">
        <f>IF(I6136=1,P6136*Assumptions!$B$11,Assumptions!$B$28)</f>
        <v/>
      </c>
      <c r="X6136">
        <f>P6136*($O$757+$S$757)</f>
        <v/>
      </c>
      <c r="Y6136">
        <f>P6136*Assumptions!$B$9</f>
        <v/>
      </c>
      <c r="Z6136">
        <f>IF(M6136=1,(P6136-Assumptions!$B$37)*Assumptions!$B$153,0)</f>
        <v/>
      </c>
      <c r="AA6136">
        <f>Q6136+R6136+S6136+T6136+U6136+V6136+W6136+X6136+Y6136+Z6136</f>
        <v/>
      </c>
      <c r="AB6136" t="n">
        <v>112</v>
      </c>
      <c r="AC6136" t="n">
        <v>48</v>
      </c>
      <c r="AD6136" t="n">
        <v>80</v>
      </c>
      <c r="AE6136" t="n">
        <v>96</v>
      </c>
      <c r="AF6136" t="n">
        <v>120</v>
      </c>
      <c r="AG6136" t="n">
        <v>116</v>
      </c>
      <c r="AH6136" t="n">
        <v>114</v>
      </c>
      <c r="AI6136" t="n">
        <v>113</v>
      </c>
      <c r="AJ6136">
        <f>INDEX($Q$6024:$Q$6151,AC6136+1)</f>
        <v/>
      </c>
      <c r="AK6136">
        <f>INDEX($R$6024:$R$6151,AD6136+1)</f>
        <v/>
      </c>
      <c r="AL6136">
        <f>INDEX($S$6024:$S$6151,AE6136+1)</f>
        <v/>
      </c>
      <c r="AM6136">
        <f>INDEX($T$6024:$T$6151,AF6136+1)</f>
        <v/>
      </c>
      <c r="AN6136">
        <f>INDEX($U$6024:$U$6151,AG6136+1)</f>
        <v/>
      </c>
      <c r="AO6136">
        <f>INDEX($V$6024:$V$6151,AH6136+1)</f>
        <v/>
      </c>
      <c r="AP6136">
        <f>INDEX($W$6024:$W$6151,AI6136+1)</f>
        <v/>
      </c>
      <c r="AQ6136">
        <f>IF(Q6136&gt;=AJ6136-0.01,1,0)</f>
        <v/>
      </c>
      <c r="AR6136">
        <f>IF(R6136&gt;=AK6136-0.01,1,0)</f>
        <v/>
      </c>
      <c r="AS6136">
        <f>IF(S6136&gt;=AL6136-0.01,1,0)</f>
        <v/>
      </c>
      <c r="AT6136">
        <f>IF(T6136&gt;=AM6136-0.01,1,0)</f>
        <v/>
      </c>
      <c r="AU6136">
        <f>IF(U6136&gt;=AN6136-0.01,1,0)</f>
        <v/>
      </c>
      <c r="AV6136">
        <f>IF(V6136&gt;=AO6136-0.01,1,0)</f>
        <v/>
      </c>
      <c r="AW6136">
        <f>IF(W6136&gt;=AP6136-0.01,1,0)</f>
        <v/>
      </c>
      <c r="AX6136">
        <f>AQ6136*AR6136*AS6136*AT6136*AU6136*AV6136*AW6136</f>
        <v/>
      </c>
    </row>
    <row r="6137">
      <c r="A6137" t="inlineStr"/>
      <c r="B6137">
        <f>Assumptions!$B$60</f>
        <v/>
      </c>
      <c r="C6137" t="n">
        <v>1</v>
      </c>
      <c r="D6137" t="n">
        <v>1</v>
      </c>
      <c r="E6137" t="n">
        <v>1</v>
      </c>
      <c r="F6137" t="n">
        <v>0</v>
      </c>
      <c r="G6137" t="n">
        <v>0</v>
      </c>
      <c r="H6137" t="n">
        <v>0</v>
      </c>
      <c r="I6137" t="n">
        <v>1</v>
      </c>
      <c r="J6137">
        <f>(1-C6137)*Assumptions!$B$41+(1-D6137)*Assumptions!$B$33+(1-E6137)*Assumptions!$B$32+(1-F6137)*Assumptions!$B$31+(1-G6137)*Assumptions!$B$30+(1-H6137)*Assumptions!$B$29+(1-I6137)*Assumptions!$B$28</f>
        <v/>
      </c>
      <c r="K6137">
        <f>C6137*$J$757+D6137*$F$757+E6137*$G$757+F6137*Assumptions!$B$14+G6137*Assumptions!$B$13+H6137*Assumptions!$B$12+I6137*Assumptions!$B$11+$O$757+$S$757+Assumptions!$B$9</f>
        <v/>
      </c>
      <c r="L6137">
        <f>B6137-J6137</f>
        <v/>
      </c>
      <c r="M6137">
        <f>IF(K6137&gt;0,IF(L6137/K6137&gt;=Assumptions!$B$37,1,0),0)</f>
        <v/>
      </c>
      <c r="N6137">
        <f>K6137+M6137*Assumptions!$B$153</f>
        <v/>
      </c>
      <c r="O6137">
        <f>L6137+M6137*Assumptions!$B$153*Assumptions!$B$37</f>
        <v/>
      </c>
      <c r="P6137">
        <f>IF(N6137&gt;0,O6137/N6137,0)</f>
        <v/>
      </c>
      <c r="Q6137">
        <f>IF(C6137=1,P6137*$J$757,Assumptions!$B$41)</f>
        <v/>
      </c>
      <c r="R6137">
        <f>IF(D6137=1,P6137*$F$757,Assumptions!$B$33)</f>
        <v/>
      </c>
      <c r="S6137">
        <f>IF(E6137=1,P6137*$G$757,Assumptions!$B$32)</f>
        <v/>
      </c>
      <c r="T6137">
        <f>IF(F6137=1,P6137*Assumptions!$B$14,Assumptions!$B$31)</f>
        <v/>
      </c>
      <c r="U6137">
        <f>IF(G6137=1,P6137*Assumptions!$B$13,Assumptions!$B$30)</f>
        <v/>
      </c>
      <c r="V6137">
        <f>IF(H6137=1,P6137*Assumptions!$B$12,Assumptions!$B$29)</f>
        <v/>
      </c>
      <c r="W6137">
        <f>IF(I6137=1,P6137*Assumptions!$B$11,Assumptions!$B$28)</f>
        <v/>
      </c>
      <c r="X6137">
        <f>P6137*($O$757+$S$757)</f>
        <v/>
      </c>
      <c r="Y6137">
        <f>P6137*Assumptions!$B$9</f>
        <v/>
      </c>
      <c r="Z6137">
        <f>IF(M6137=1,(P6137-Assumptions!$B$37)*Assumptions!$B$153,0)</f>
        <v/>
      </c>
      <c r="AA6137">
        <f>Q6137+R6137+S6137+T6137+U6137+V6137+W6137+X6137+Y6137+Z6137</f>
        <v/>
      </c>
      <c r="AB6137" t="n">
        <v>113</v>
      </c>
      <c r="AC6137" t="n">
        <v>49</v>
      </c>
      <c r="AD6137" t="n">
        <v>81</v>
      </c>
      <c r="AE6137" t="n">
        <v>97</v>
      </c>
      <c r="AF6137" t="n">
        <v>121</v>
      </c>
      <c r="AG6137" t="n">
        <v>117</v>
      </c>
      <c r="AH6137" t="n">
        <v>115</v>
      </c>
      <c r="AI6137" t="n">
        <v>112</v>
      </c>
      <c r="AJ6137">
        <f>INDEX($Q$6024:$Q$6151,AC6137+1)</f>
        <v/>
      </c>
      <c r="AK6137">
        <f>INDEX($R$6024:$R$6151,AD6137+1)</f>
        <v/>
      </c>
      <c r="AL6137">
        <f>INDEX($S$6024:$S$6151,AE6137+1)</f>
        <v/>
      </c>
      <c r="AM6137">
        <f>INDEX($T$6024:$T$6151,AF6137+1)</f>
        <v/>
      </c>
      <c r="AN6137">
        <f>INDEX($U$6024:$U$6151,AG6137+1)</f>
        <v/>
      </c>
      <c r="AO6137">
        <f>INDEX($V$6024:$V$6151,AH6137+1)</f>
        <v/>
      </c>
      <c r="AP6137">
        <f>INDEX($W$6024:$W$6151,AI6137+1)</f>
        <v/>
      </c>
      <c r="AQ6137">
        <f>IF(Q6137&gt;=AJ6137-0.01,1,0)</f>
        <v/>
      </c>
      <c r="AR6137">
        <f>IF(R6137&gt;=AK6137-0.01,1,0)</f>
        <v/>
      </c>
      <c r="AS6137">
        <f>IF(S6137&gt;=AL6137-0.01,1,0)</f>
        <v/>
      </c>
      <c r="AT6137">
        <f>IF(T6137&gt;=AM6137-0.01,1,0)</f>
        <v/>
      </c>
      <c r="AU6137">
        <f>IF(U6137&gt;=AN6137-0.01,1,0)</f>
        <v/>
      </c>
      <c r="AV6137">
        <f>IF(V6137&gt;=AO6137-0.01,1,0)</f>
        <v/>
      </c>
      <c r="AW6137">
        <f>IF(W6137&gt;=AP6137-0.01,1,0)</f>
        <v/>
      </c>
      <c r="AX6137">
        <f>AQ6137*AR6137*AS6137*AT6137*AU6137*AV6137*AW6137</f>
        <v/>
      </c>
    </row>
    <row r="6138">
      <c r="A6138" t="inlineStr"/>
      <c r="B6138">
        <f>Assumptions!$B$60</f>
        <v/>
      </c>
      <c r="C6138" t="n">
        <v>1</v>
      </c>
      <c r="D6138" t="n">
        <v>1</v>
      </c>
      <c r="E6138" t="n">
        <v>1</v>
      </c>
      <c r="F6138" t="n">
        <v>0</v>
      </c>
      <c r="G6138" t="n">
        <v>0</v>
      </c>
      <c r="H6138" t="n">
        <v>1</v>
      </c>
      <c r="I6138" t="n">
        <v>0</v>
      </c>
      <c r="J6138">
        <f>(1-C6138)*Assumptions!$B$41+(1-D6138)*Assumptions!$B$33+(1-E6138)*Assumptions!$B$32+(1-F6138)*Assumptions!$B$31+(1-G6138)*Assumptions!$B$30+(1-H6138)*Assumptions!$B$29+(1-I6138)*Assumptions!$B$28</f>
        <v/>
      </c>
      <c r="K6138">
        <f>C6138*$J$757+D6138*$F$757+E6138*$G$757+F6138*Assumptions!$B$14+G6138*Assumptions!$B$13+H6138*Assumptions!$B$12+I6138*Assumptions!$B$11+$O$757+$S$757+Assumptions!$B$9</f>
        <v/>
      </c>
      <c r="L6138">
        <f>B6138-J6138</f>
        <v/>
      </c>
      <c r="M6138">
        <f>IF(K6138&gt;0,IF(L6138/K6138&gt;=Assumptions!$B$37,1,0),0)</f>
        <v/>
      </c>
      <c r="N6138">
        <f>K6138+M6138*Assumptions!$B$153</f>
        <v/>
      </c>
      <c r="O6138">
        <f>L6138+M6138*Assumptions!$B$153*Assumptions!$B$37</f>
        <v/>
      </c>
      <c r="P6138">
        <f>IF(N6138&gt;0,O6138/N6138,0)</f>
        <v/>
      </c>
      <c r="Q6138">
        <f>IF(C6138=1,P6138*$J$757,Assumptions!$B$41)</f>
        <v/>
      </c>
      <c r="R6138">
        <f>IF(D6138=1,P6138*$F$757,Assumptions!$B$33)</f>
        <v/>
      </c>
      <c r="S6138">
        <f>IF(E6138=1,P6138*$G$757,Assumptions!$B$32)</f>
        <v/>
      </c>
      <c r="T6138">
        <f>IF(F6138=1,P6138*Assumptions!$B$14,Assumptions!$B$31)</f>
        <v/>
      </c>
      <c r="U6138">
        <f>IF(G6138=1,P6138*Assumptions!$B$13,Assumptions!$B$30)</f>
        <v/>
      </c>
      <c r="V6138">
        <f>IF(H6138=1,P6138*Assumptions!$B$12,Assumptions!$B$29)</f>
        <v/>
      </c>
      <c r="W6138">
        <f>IF(I6138=1,P6138*Assumptions!$B$11,Assumptions!$B$28)</f>
        <v/>
      </c>
      <c r="X6138">
        <f>P6138*($O$757+$S$757)</f>
        <v/>
      </c>
      <c r="Y6138">
        <f>P6138*Assumptions!$B$9</f>
        <v/>
      </c>
      <c r="Z6138">
        <f>IF(M6138=1,(P6138-Assumptions!$B$37)*Assumptions!$B$153,0)</f>
        <v/>
      </c>
      <c r="AA6138">
        <f>Q6138+R6138+S6138+T6138+U6138+V6138+W6138+X6138+Y6138+Z6138</f>
        <v/>
      </c>
      <c r="AB6138" t="n">
        <v>114</v>
      </c>
      <c r="AC6138" t="n">
        <v>50</v>
      </c>
      <c r="AD6138" t="n">
        <v>82</v>
      </c>
      <c r="AE6138" t="n">
        <v>98</v>
      </c>
      <c r="AF6138" t="n">
        <v>122</v>
      </c>
      <c r="AG6138" t="n">
        <v>118</v>
      </c>
      <c r="AH6138" t="n">
        <v>112</v>
      </c>
      <c r="AI6138" t="n">
        <v>115</v>
      </c>
      <c r="AJ6138">
        <f>INDEX($Q$6024:$Q$6151,AC6138+1)</f>
        <v/>
      </c>
      <c r="AK6138">
        <f>INDEX($R$6024:$R$6151,AD6138+1)</f>
        <v/>
      </c>
      <c r="AL6138">
        <f>INDEX($S$6024:$S$6151,AE6138+1)</f>
        <v/>
      </c>
      <c r="AM6138">
        <f>INDEX($T$6024:$T$6151,AF6138+1)</f>
        <v/>
      </c>
      <c r="AN6138">
        <f>INDEX($U$6024:$U$6151,AG6138+1)</f>
        <v/>
      </c>
      <c r="AO6138">
        <f>INDEX($V$6024:$V$6151,AH6138+1)</f>
        <v/>
      </c>
      <c r="AP6138">
        <f>INDEX($W$6024:$W$6151,AI6138+1)</f>
        <v/>
      </c>
      <c r="AQ6138">
        <f>IF(Q6138&gt;=AJ6138-0.01,1,0)</f>
        <v/>
      </c>
      <c r="AR6138">
        <f>IF(R6138&gt;=AK6138-0.01,1,0)</f>
        <v/>
      </c>
      <c r="AS6138">
        <f>IF(S6138&gt;=AL6138-0.01,1,0)</f>
        <v/>
      </c>
      <c r="AT6138">
        <f>IF(T6138&gt;=AM6138-0.01,1,0)</f>
        <v/>
      </c>
      <c r="AU6138">
        <f>IF(U6138&gt;=AN6138-0.01,1,0)</f>
        <v/>
      </c>
      <c r="AV6138">
        <f>IF(V6138&gt;=AO6138-0.01,1,0)</f>
        <v/>
      </c>
      <c r="AW6138">
        <f>IF(W6138&gt;=AP6138-0.01,1,0)</f>
        <v/>
      </c>
      <c r="AX6138">
        <f>AQ6138*AR6138*AS6138*AT6138*AU6138*AV6138*AW6138</f>
        <v/>
      </c>
    </row>
    <row r="6139">
      <c r="A6139" t="inlineStr"/>
      <c r="B6139">
        <f>Assumptions!$B$60</f>
        <v/>
      </c>
      <c r="C6139" t="n">
        <v>1</v>
      </c>
      <c r="D6139" t="n">
        <v>1</v>
      </c>
      <c r="E6139" t="n">
        <v>1</v>
      </c>
      <c r="F6139" t="n">
        <v>0</v>
      </c>
      <c r="G6139" t="n">
        <v>0</v>
      </c>
      <c r="H6139" t="n">
        <v>1</v>
      </c>
      <c r="I6139" t="n">
        <v>1</v>
      </c>
      <c r="J6139">
        <f>(1-C6139)*Assumptions!$B$41+(1-D6139)*Assumptions!$B$33+(1-E6139)*Assumptions!$B$32+(1-F6139)*Assumptions!$B$31+(1-G6139)*Assumptions!$B$30+(1-H6139)*Assumptions!$B$29+(1-I6139)*Assumptions!$B$28</f>
        <v/>
      </c>
      <c r="K6139">
        <f>C6139*$J$757+D6139*$F$757+E6139*$G$757+F6139*Assumptions!$B$14+G6139*Assumptions!$B$13+H6139*Assumptions!$B$12+I6139*Assumptions!$B$11+$O$757+$S$757+Assumptions!$B$9</f>
        <v/>
      </c>
      <c r="L6139">
        <f>B6139-J6139</f>
        <v/>
      </c>
      <c r="M6139">
        <f>IF(K6139&gt;0,IF(L6139/K6139&gt;=Assumptions!$B$37,1,0),0)</f>
        <v/>
      </c>
      <c r="N6139">
        <f>K6139+M6139*Assumptions!$B$153</f>
        <v/>
      </c>
      <c r="O6139">
        <f>L6139+M6139*Assumptions!$B$153*Assumptions!$B$37</f>
        <v/>
      </c>
      <c r="P6139">
        <f>IF(N6139&gt;0,O6139/N6139,0)</f>
        <v/>
      </c>
      <c r="Q6139">
        <f>IF(C6139=1,P6139*$J$757,Assumptions!$B$41)</f>
        <v/>
      </c>
      <c r="R6139">
        <f>IF(D6139=1,P6139*$F$757,Assumptions!$B$33)</f>
        <v/>
      </c>
      <c r="S6139">
        <f>IF(E6139=1,P6139*$G$757,Assumptions!$B$32)</f>
        <v/>
      </c>
      <c r="T6139">
        <f>IF(F6139=1,P6139*Assumptions!$B$14,Assumptions!$B$31)</f>
        <v/>
      </c>
      <c r="U6139">
        <f>IF(G6139=1,P6139*Assumptions!$B$13,Assumptions!$B$30)</f>
        <v/>
      </c>
      <c r="V6139">
        <f>IF(H6139=1,P6139*Assumptions!$B$12,Assumptions!$B$29)</f>
        <v/>
      </c>
      <c r="W6139">
        <f>IF(I6139=1,P6139*Assumptions!$B$11,Assumptions!$B$28)</f>
        <v/>
      </c>
      <c r="X6139">
        <f>P6139*($O$757+$S$757)</f>
        <v/>
      </c>
      <c r="Y6139">
        <f>P6139*Assumptions!$B$9</f>
        <v/>
      </c>
      <c r="Z6139">
        <f>IF(M6139=1,(P6139-Assumptions!$B$37)*Assumptions!$B$153,0)</f>
        <v/>
      </c>
      <c r="AA6139">
        <f>Q6139+R6139+S6139+T6139+U6139+V6139+W6139+X6139+Y6139+Z6139</f>
        <v/>
      </c>
      <c r="AB6139" t="n">
        <v>115</v>
      </c>
      <c r="AC6139" t="n">
        <v>51</v>
      </c>
      <c r="AD6139" t="n">
        <v>83</v>
      </c>
      <c r="AE6139" t="n">
        <v>99</v>
      </c>
      <c r="AF6139" t="n">
        <v>123</v>
      </c>
      <c r="AG6139" t="n">
        <v>119</v>
      </c>
      <c r="AH6139" t="n">
        <v>113</v>
      </c>
      <c r="AI6139" t="n">
        <v>114</v>
      </c>
      <c r="AJ6139">
        <f>INDEX($Q$6024:$Q$6151,AC6139+1)</f>
        <v/>
      </c>
      <c r="AK6139">
        <f>INDEX($R$6024:$R$6151,AD6139+1)</f>
        <v/>
      </c>
      <c r="AL6139">
        <f>INDEX($S$6024:$S$6151,AE6139+1)</f>
        <v/>
      </c>
      <c r="AM6139">
        <f>INDEX($T$6024:$T$6151,AF6139+1)</f>
        <v/>
      </c>
      <c r="AN6139">
        <f>INDEX($U$6024:$U$6151,AG6139+1)</f>
        <v/>
      </c>
      <c r="AO6139">
        <f>INDEX($V$6024:$V$6151,AH6139+1)</f>
        <v/>
      </c>
      <c r="AP6139">
        <f>INDEX($W$6024:$W$6151,AI6139+1)</f>
        <v/>
      </c>
      <c r="AQ6139">
        <f>IF(Q6139&gt;=AJ6139-0.01,1,0)</f>
        <v/>
      </c>
      <c r="AR6139">
        <f>IF(R6139&gt;=AK6139-0.01,1,0)</f>
        <v/>
      </c>
      <c r="AS6139">
        <f>IF(S6139&gt;=AL6139-0.01,1,0)</f>
        <v/>
      </c>
      <c r="AT6139">
        <f>IF(T6139&gt;=AM6139-0.01,1,0)</f>
        <v/>
      </c>
      <c r="AU6139">
        <f>IF(U6139&gt;=AN6139-0.01,1,0)</f>
        <v/>
      </c>
      <c r="AV6139">
        <f>IF(V6139&gt;=AO6139-0.01,1,0)</f>
        <v/>
      </c>
      <c r="AW6139">
        <f>IF(W6139&gt;=AP6139-0.01,1,0)</f>
        <v/>
      </c>
      <c r="AX6139">
        <f>AQ6139*AR6139*AS6139*AT6139*AU6139*AV6139*AW6139</f>
        <v/>
      </c>
    </row>
    <row r="6140">
      <c r="A6140" t="inlineStr"/>
      <c r="B6140">
        <f>Assumptions!$B$60</f>
        <v/>
      </c>
      <c r="C6140" t="n">
        <v>1</v>
      </c>
      <c r="D6140" t="n">
        <v>1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  <c r="J6140">
        <f>(1-C6140)*Assumptions!$B$41+(1-D6140)*Assumptions!$B$33+(1-E6140)*Assumptions!$B$32+(1-F6140)*Assumptions!$B$31+(1-G6140)*Assumptions!$B$30+(1-H6140)*Assumptions!$B$29+(1-I6140)*Assumptions!$B$28</f>
        <v/>
      </c>
      <c r="K6140">
        <f>C6140*$J$757+D6140*$F$757+E6140*$G$757+F6140*Assumptions!$B$14+G6140*Assumptions!$B$13+H6140*Assumptions!$B$12+I6140*Assumptions!$B$11+$O$757+$S$757+Assumptions!$B$9</f>
        <v/>
      </c>
      <c r="L6140">
        <f>B6140-J6140</f>
        <v/>
      </c>
      <c r="M6140">
        <f>IF(K6140&gt;0,IF(L6140/K6140&gt;=Assumptions!$B$37,1,0),0)</f>
        <v/>
      </c>
      <c r="N6140">
        <f>K6140+M6140*Assumptions!$B$153</f>
        <v/>
      </c>
      <c r="O6140">
        <f>L6140+M6140*Assumptions!$B$153*Assumptions!$B$37</f>
        <v/>
      </c>
      <c r="P6140">
        <f>IF(N6140&gt;0,O6140/N6140,0)</f>
        <v/>
      </c>
      <c r="Q6140">
        <f>IF(C6140=1,P6140*$J$757,Assumptions!$B$41)</f>
        <v/>
      </c>
      <c r="R6140">
        <f>IF(D6140=1,P6140*$F$757,Assumptions!$B$33)</f>
        <v/>
      </c>
      <c r="S6140">
        <f>IF(E6140=1,P6140*$G$757,Assumptions!$B$32)</f>
        <v/>
      </c>
      <c r="T6140">
        <f>IF(F6140=1,P6140*Assumptions!$B$14,Assumptions!$B$31)</f>
        <v/>
      </c>
      <c r="U6140">
        <f>IF(G6140=1,P6140*Assumptions!$B$13,Assumptions!$B$30)</f>
        <v/>
      </c>
      <c r="V6140">
        <f>IF(H6140=1,P6140*Assumptions!$B$12,Assumptions!$B$29)</f>
        <v/>
      </c>
      <c r="W6140">
        <f>IF(I6140=1,P6140*Assumptions!$B$11,Assumptions!$B$28)</f>
        <v/>
      </c>
      <c r="X6140">
        <f>P6140*($O$757+$S$757)</f>
        <v/>
      </c>
      <c r="Y6140">
        <f>P6140*Assumptions!$B$9</f>
        <v/>
      </c>
      <c r="Z6140">
        <f>IF(M6140=1,(P6140-Assumptions!$B$37)*Assumptions!$B$153,0)</f>
        <v/>
      </c>
      <c r="AA6140">
        <f>Q6140+R6140+S6140+T6140+U6140+V6140+W6140+X6140+Y6140+Z6140</f>
        <v/>
      </c>
      <c r="AB6140" t="n">
        <v>116</v>
      </c>
      <c r="AC6140" t="n">
        <v>52</v>
      </c>
      <c r="AD6140" t="n">
        <v>84</v>
      </c>
      <c r="AE6140" t="n">
        <v>100</v>
      </c>
      <c r="AF6140" t="n">
        <v>124</v>
      </c>
      <c r="AG6140" t="n">
        <v>112</v>
      </c>
      <c r="AH6140" t="n">
        <v>118</v>
      </c>
      <c r="AI6140" t="n">
        <v>117</v>
      </c>
      <c r="AJ6140">
        <f>INDEX($Q$6024:$Q$6151,AC6140+1)</f>
        <v/>
      </c>
      <c r="AK6140">
        <f>INDEX($R$6024:$R$6151,AD6140+1)</f>
        <v/>
      </c>
      <c r="AL6140">
        <f>INDEX($S$6024:$S$6151,AE6140+1)</f>
        <v/>
      </c>
      <c r="AM6140">
        <f>INDEX($T$6024:$T$6151,AF6140+1)</f>
        <v/>
      </c>
      <c r="AN6140">
        <f>INDEX($U$6024:$U$6151,AG6140+1)</f>
        <v/>
      </c>
      <c r="AO6140">
        <f>INDEX($V$6024:$V$6151,AH6140+1)</f>
        <v/>
      </c>
      <c r="AP6140">
        <f>INDEX($W$6024:$W$6151,AI6140+1)</f>
        <v/>
      </c>
      <c r="AQ6140">
        <f>IF(Q6140&gt;=AJ6140-0.01,1,0)</f>
        <v/>
      </c>
      <c r="AR6140">
        <f>IF(R6140&gt;=AK6140-0.01,1,0)</f>
        <v/>
      </c>
      <c r="AS6140">
        <f>IF(S6140&gt;=AL6140-0.01,1,0)</f>
        <v/>
      </c>
      <c r="AT6140">
        <f>IF(T6140&gt;=AM6140-0.01,1,0)</f>
        <v/>
      </c>
      <c r="AU6140">
        <f>IF(U6140&gt;=AN6140-0.01,1,0)</f>
        <v/>
      </c>
      <c r="AV6140">
        <f>IF(V6140&gt;=AO6140-0.01,1,0)</f>
        <v/>
      </c>
      <c r="AW6140">
        <f>IF(W6140&gt;=AP6140-0.01,1,0)</f>
        <v/>
      </c>
      <c r="AX6140">
        <f>AQ6140*AR6140*AS6140*AT6140*AU6140*AV6140*AW6140</f>
        <v/>
      </c>
    </row>
    <row r="6141">
      <c r="A6141" t="inlineStr"/>
      <c r="B6141">
        <f>Assumptions!$B$60</f>
        <v/>
      </c>
      <c r="C6141" t="n">
        <v>1</v>
      </c>
      <c r="D6141" t="n">
        <v>1</v>
      </c>
      <c r="E6141" t="n">
        <v>1</v>
      </c>
      <c r="F6141" t="n">
        <v>0</v>
      </c>
      <c r="G6141" t="n">
        <v>1</v>
      </c>
      <c r="H6141" t="n">
        <v>0</v>
      </c>
      <c r="I6141" t="n">
        <v>1</v>
      </c>
      <c r="J6141">
        <f>(1-C6141)*Assumptions!$B$41+(1-D6141)*Assumptions!$B$33+(1-E6141)*Assumptions!$B$32+(1-F6141)*Assumptions!$B$31+(1-G6141)*Assumptions!$B$30+(1-H6141)*Assumptions!$B$29+(1-I6141)*Assumptions!$B$28</f>
        <v/>
      </c>
      <c r="K6141">
        <f>C6141*$J$757+D6141*$F$757+E6141*$G$757+F6141*Assumptions!$B$14+G6141*Assumptions!$B$13+H6141*Assumptions!$B$12+I6141*Assumptions!$B$11+$O$757+$S$757+Assumptions!$B$9</f>
        <v/>
      </c>
      <c r="L6141">
        <f>B6141-J6141</f>
        <v/>
      </c>
      <c r="M6141">
        <f>IF(K6141&gt;0,IF(L6141/K6141&gt;=Assumptions!$B$37,1,0),0)</f>
        <v/>
      </c>
      <c r="N6141">
        <f>K6141+M6141*Assumptions!$B$153</f>
        <v/>
      </c>
      <c r="O6141">
        <f>L6141+M6141*Assumptions!$B$153*Assumptions!$B$37</f>
        <v/>
      </c>
      <c r="P6141">
        <f>IF(N6141&gt;0,O6141/N6141,0)</f>
        <v/>
      </c>
      <c r="Q6141">
        <f>IF(C6141=1,P6141*$J$757,Assumptions!$B$41)</f>
        <v/>
      </c>
      <c r="R6141">
        <f>IF(D6141=1,P6141*$F$757,Assumptions!$B$33)</f>
        <v/>
      </c>
      <c r="S6141">
        <f>IF(E6141=1,P6141*$G$757,Assumptions!$B$32)</f>
        <v/>
      </c>
      <c r="T6141">
        <f>IF(F6141=1,P6141*Assumptions!$B$14,Assumptions!$B$31)</f>
        <v/>
      </c>
      <c r="U6141">
        <f>IF(G6141=1,P6141*Assumptions!$B$13,Assumptions!$B$30)</f>
        <v/>
      </c>
      <c r="V6141">
        <f>IF(H6141=1,P6141*Assumptions!$B$12,Assumptions!$B$29)</f>
        <v/>
      </c>
      <c r="W6141">
        <f>IF(I6141=1,P6141*Assumptions!$B$11,Assumptions!$B$28)</f>
        <v/>
      </c>
      <c r="X6141">
        <f>P6141*($O$757+$S$757)</f>
        <v/>
      </c>
      <c r="Y6141">
        <f>P6141*Assumptions!$B$9</f>
        <v/>
      </c>
      <c r="Z6141">
        <f>IF(M6141=1,(P6141-Assumptions!$B$37)*Assumptions!$B$153,0)</f>
        <v/>
      </c>
      <c r="AA6141">
        <f>Q6141+R6141+S6141+T6141+U6141+V6141+W6141+X6141+Y6141+Z6141</f>
        <v/>
      </c>
      <c r="AB6141" t="n">
        <v>117</v>
      </c>
      <c r="AC6141" t="n">
        <v>53</v>
      </c>
      <c r="AD6141" t="n">
        <v>85</v>
      </c>
      <c r="AE6141" t="n">
        <v>101</v>
      </c>
      <c r="AF6141" t="n">
        <v>125</v>
      </c>
      <c r="AG6141" t="n">
        <v>113</v>
      </c>
      <c r="AH6141" t="n">
        <v>119</v>
      </c>
      <c r="AI6141" t="n">
        <v>116</v>
      </c>
      <c r="AJ6141">
        <f>INDEX($Q$6024:$Q$6151,AC6141+1)</f>
        <v/>
      </c>
      <c r="AK6141">
        <f>INDEX($R$6024:$R$6151,AD6141+1)</f>
        <v/>
      </c>
      <c r="AL6141">
        <f>INDEX($S$6024:$S$6151,AE6141+1)</f>
        <v/>
      </c>
      <c r="AM6141">
        <f>INDEX($T$6024:$T$6151,AF6141+1)</f>
        <v/>
      </c>
      <c r="AN6141">
        <f>INDEX($U$6024:$U$6151,AG6141+1)</f>
        <v/>
      </c>
      <c r="AO6141">
        <f>INDEX($V$6024:$V$6151,AH6141+1)</f>
        <v/>
      </c>
      <c r="AP6141">
        <f>INDEX($W$6024:$W$6151,AI6141+1)</f>
        <v/>
      </c>
      <c r="AQ6141">
        <f>IF(Q6141&gt;=AJ6141-0.01,1,0)</f>
        <v/>
      </c>
      <c r="AR6141">
        <f>IF(R6141&gt;=AK6141-0.01,1,0)</f>
        <v/>
      </c>
      <c r="AS6141">
        <f>IF(S6141&gt;=AL6141-0.01,1,0)</f>
        <v/>
      </c>
      <c r="AT6141">
        <f>IF(T6141&gt;=AM6141-0.01,1,0)</f>
        <v/>
      </c>
      <c r="AU6141">
        <f>IF(U6141&gt;=AN6141-0.01,1,0)</f>
        <v/>
      </c>
      <c r="AV6141">
        <f>IF(V6141&gt;=AO6141-0.01,1,0)</f>
        <v/>
      </c>
      <c r="AW6141">
        <f>IF(W6141&gt;=AP6141-0.01,1,0)</f>
        <v/>
      </c>
      <c r="AX6141">
        <f>AQ6141*AR6141*AS6141*AT6141*AU6141*AV6141*AW6141</f>
        <v/>
      </c>
    </row>
    <row r="6142">
      <c r="A6142" t="inlineStr"/>
      <c r="B6142">
        <f>Assumptions!$B$60</f>
        <v/>
      </c>
      <c r="C6142" t="n">
        <v>1</v>
      </c>
      <c r="D6142" t="n">
        <v>1</v>
      </c>
      <c r="E6142" t="n">
        <v>1</v>
      </c>
      <c r="F6142" t="n">
        <v>0</v>
      </c>
      <c r="G6142" t="n">
        <v>1</v>
      </c>
      <c r="H6142" t="n">
        <v>1</v>
      </c>
      <c r="I6142" t="n">
        <v>0</v>
      </c>
      <c r="J6142">
        <f>(1-C6142)*Assumptions!$B$41+(1-D6142)*Assumptions!$B$33+(1-E6142)*Assumptions!$B$32+(1-F6142)*Assumptions!$B$31+(1-G6142)*Assumptions!$B$30+(1-H6142)*Assumptions!$B$29+(1-I6142)*Assumptions!$B$28</f>
        <v/>
      </c>
      <c r="K6142">
        <f>C6142*$J$757+D6142*$F$757+E6142*$G$757+F6142*Assumptions!$B$14+G6142*Assumptions!$B$13+H6142*Assumptions!$B$12+I6142*Assumptions!$B$11+$O$757+$S$757+Assumptions!$B$9</f>
        <v/>
      </c>
      <c r="L6142">
        <f>B6142-J6142</f>
        <v/>
      </c>
      <c r="M6142">
        <f>IF(K6142&gt;0,IF(L6142/K6142&gt;=Assumptions!$B$37,1,0),0)</f>
        <v/>
      </c>
      <c r="N6142">
        <f>K6142+M6142*Assumptions!$B$153</f>
        <v/>
      </c>
      <c r="O6142">
        <f>L6142+M6142*Assumptions!$B$153*Assumptions!$B$37</f>
        <v/>
      </c>
      <c r="P6142">
        <f>IF(N6142&gt;0,O6142/N6142,0)</f>
        <v/>
      </c>
      <c r="Q6142">
        <f>IF(C6142=1,P6142*$J$757,Assumptions!$B$41)</f>
        <v/>
      </c>
      <c r="R6142">
        <f>IF(D6142=1,P6142*$F$757,Assumptions!$B$33)</f>
        <v/>
      </c>
      <c r="S6142">
        <f>IF(E6142=1,P6142*$G$757,Assumptions!$B$32)</f>
        <v/>
      </c>
      <c r="T6142">
        <f>IF(F6142=1,P6142*Assumptions!$B$14,Assumptions!$B$31)</f>
        <v/>
      </c>
      <c r="U6142">
        <f>IF(G6142=1,P6142*Assumptions!$B$13,Assumptions!$B$30)</f>
        <v/>
      </c>
      <c r="V6142">
        <f>IF(H6142=1,P6142*Assumptions!$B$12,Assumptions!$B$29)</f>
        <v/>
      </c>
      <c r="W6142">
        <f>IF(I6142=1,P6142*Assumptions!$B$11,Assumptions!$B$28)</f>
        <v/>
      </c>
      <c r="X6142">
        <f>P6142*($O$757+$S$757)</f>
        <v/>
      </c>
      <c r="Y6142">
        <f>P6142*Assumptions!$B$9</f>
        <v/>
      </c>
      <c r="Z6142">
        <f>IF(M6142=1,(P6142-Assumptions!$B$37)*Assumptions!$B$153,0)</f>
        <v/>
      </c>
      <c r="AA6142">
        <f>Q6142+R6142+S6142+T6142+U6142+V6142+W6142+X6142+Y6142+Z6142</f>
        <v/>
      </c>
      <c r="AB6142" t="n">
        <v>118</v>
      </c>
      <c r="AC6142" t="n">
        <v>54</v>
      </c>
      <c r="AD6142" t="n">
        <v>86</v>
      </c>
      <c r="AE6142" t="n">
        <v>102</v>
      </c>
      <c r="AF6142" t="n">
        <v>126</v>
      </c>
      <c r="AG6142" t="n">
        <v>114</v>
      </c>
      <c r="AH6142" t="n">
        <v>116</v>
      </c>
      <c r="AI6142" t="n">
        <v>119</v>
      </c>
      <c r="AJ6142">
        <f>INDEX($Q$6024:$Q$6151,AC6142+1)</f>
        <v/>
      </c>
      <c r="AK6142">
        <f>INDEX($R$6024:$R$6151,AD6142+1)</f>
        <v/>
      </c>
      <c r="AL6142">
        <f>INDEX($S$6024:$S$6151,AE6142+1)</f>
        <v/>
      </c>
      <c r="AM6142">
        <f>INDEX($T$6024:$T$6151,AF6142+1)</f>
        <v/>
      </c>
      <c r="AN6142">
        <f>INDEX($U$6024:$U$6151,AG6142+1)</f>
        <v/>
      </c>
      <c r="AO6142">
        <f>INDEX($V$6024:$V$6151,AH6142+1)</f>
        <v/>
      </c>
      <c r="AP6142">
        <f>INDEX($W$6024:$W$6151,AI6142+1)</f>
        <v/>
      </c>
      <c r="AQ6142">
        <f>IF(Q6142&gt;=AJ6142-0.01,1,0)</f>
        <v/>
      </c>
      <c r="AR6142">
        <f>IF(R6142&gt;=AK6142-0.01,1,0)</f>
        <v/>
      </c>
      <c r="AS6142">
        <f>IF(S6142&gt;=AL6142-0.01,1,0)</f>
        <v/>
      </c>
      <c r="AT6142">
        <f>IF(T6142&gt;=AM6142-0.01,1,0)</f>
        <v/>
      </c>
      <c r="AU6142">
        <f>IF(U6142&gt;=AN6142-0.01,1,0)</f>
        <v/>
      </c>
      <c r="AV6142">
        <f>IF(V6142&gt;=AO6142-0.01,1,0)</f>
        <v/>
      </c>
      <c r="AW6142">
        <f>IF(W6142&gt;=AP6142-0.01,1,0)</f>
        <v/>
      </c>
      <c r="AX6142">
        <f>AQ6142*AR6142*AS6142*AT6142*AU6142*AV6142*AW6142</f>
        <v/>
      </c>
    </row>
    <row r="6143">
      <c r="A6143" t="inlineStr"/>
      <c r="B6143">
        <f>Assumptions!$B$60</f>
        <v/>
      </c>
      <c r="C6143" t="n">
        <v>1</v>
      </c>
      <c r="D6143" t="n">
        <v>1</v>
      </c>
      <c r="E6143" t="n">
        <v>1</v>
      </c>
      <c r="F6143" t="n">
        <v>0</v>
      </c>
      <c r="G6143" t="n">
        <v>1</v>
      </c>
      <c r="H6143" t="n">
        <v>1</v>
      </c>
      <c r="I6143" t="n">
        <v>1</v>
      </c>
      <c r="J6143">
        <f>(1-C6143)*Assumptions!$B$41+(1-D6143)*Assumptions!$B$33+(1-E6143)*Assumptions!$B$32+(1-F6143)*Assumptions!$B$31+(1-G6143)*Assumptions!$B$30+(1-H6143)*Assumptions!$B$29+(1-I6143)*Assumptions!$B$28</f>
        <v/>
      </c>
      <c r="K6143">
        <f>C6143*$J$757+D6143*$F$757+E6143*$G$757+F6143*Assumptions!$B$14+G6143*Assumptions!$B$13+H6143*Assumptions!$B$12+I6143*Assumptions!$B$11+$O$757+$S$757+Assumptions!$B$9</f>
        <v/>
      </c>
      <c r="L6143">
        <f>B6143-J6143</f>
        <v/>
      </c>
      <c r="M6143">
        <f>IF(K6143&gt;0,IF(L6143/K6143&gt;=Assumptions!$B$37,1,0),0)</f>
        <v/>
      </c>
      <c r="N6143">
        <f>K6143+M6143*Assumptions!$B$153</f>
        <v/>
      </c>
      <c r="O6143">
        <f>L6143+M6143*Assumptions!$B$153*Assumptions!$B$37</f>
        <v/>
      </c>
      <c r="P6143">
        <f>IF(N6143&gt;0,O6143/N6143,0)</f>
        <v/>
      </c>
      <c r="Q6143">
        <f>IF(C6143=1,P6143*$J$757,Assumptions!$B$41)</f>
        <v/>
      </c>
      <c r="R6143">
        <f>IF(D6143=1,P6143*$F$757,Assumptions!$B$33)</f>
        <v/>
      </c>
      <c r="S6143">
        <f>IF(E6143=1,P6143*$G$757,Assumptions!$B$32)</f>
        <v/>
      </c>
      <c r="T6143">
        <f>IF(F6143=1,P6143*Assumptions!$B$14,Assumptions!$B$31)</f>
        <v/>
      </c>
      <c r="U6143">
        <f>IF(G6143=1,P6143*Assumptions!$B$13,Assumptions!$B$30)</f>
        <v/>
      </c>
      <c r="V6143">
        <f>IF(H6143=1,P6143*Assumptions!$B$12,Assumptions!$B$29)</f>
        <v/>
      </c>
      <c r="W6143">
        <f>IF(I6143=1,P6143*Assumptions!$B$11,Assumptions!$B$28)</f>
        <v/>
      </c>
      <c r="X6143">
        <f>P6143*($O$757+$S$757)</f>
        <v/>
      </c>
      <c r="Y6143">
        <f>P6143*Assumptions!$B$9</f>
        <v/>
      </c>
      <c r="Z6143">
        <f>IF(M6143=1,(P6143-Assumptions!$B$37)*Assumptions!$B$153,0)</f>
        <v/>
      </c>
      <c r="AA6143">
        <f>Q6143+R6143+S6143+T6143+U6143+V6143+W6143+X6143+Y6143+Z6143</f>
        <v/>
      </c>
      <c r="AB6143" t="n">
        <v>119</v>
      </c>
      <c r="AC6143" t="n">
        <v>55</v>
      </c>
      <c r="AD6143" t="n">
        <v>87</v>
      </c>
      <c r="AE6143" t="n">
        <v>103</v>
      </c>
      <c r="AF6143" t="n">
        <v>127</v>
      </c>
      <c r="AG6143" t="n">
        <v>115</v>
      </c>
      <c r="AH6143" t="n">
        <v>117</v>
      </c>
      <c r="AI6143" t="n">
        <v>118</v>
      </c>
      <c r="AJ6143">
        <f>INDEX($Q$6024:$Q$6151,AC6143+1)</f>
        <v/>
      </c>
      <c r="AK6143">
        <f>INDEX($R$6024:$R$6151,AD6143+1)</f>
        <v/>
      </c>
      <c r="AL6143">
        <f>INDEX($S$6024:$S$6151,AE6143+1)</f>
        <v/>
      </c>
      <c r="AM6143">
        <f>INDEX($T$6024:$T$6151,AF6143+1)</f>
        <v/>
      </c>
      <c r="AN6143">
        <f>INDEX($U$6024:$U$6151,AG6143+1)</f>
        <v/>
      </c>
      <c r="AO6143">
        <f>INDEX($V$6024:$V$6151,AH6143+1)</f>
        <v/>
      </c>
      <c r="AP6143">
        <f>INDEX($W$6024:$W$6151,AI6143+1)</f>
        <v/>
      </c>
      <c r="AQ6143">
        <f>IF(Q6143&gt;=AJ6143-0.01,1,0)</f>
        <v/>
      </c>
      <c r="AR6143">
        <f>IF(R6143&gt;=AK6143-0.01,1,0)</f>
        <v/>
      </c>
      <c r="AS6143">
        <f>IF(S6143&gt;=AL6143-0.01,1,0)</f>
        <v/>
      </c>
      <c r="AT6143">
        <f>IF(T6143&gt;=AM6143-0.01,1,0)</f>
        <v/>
      </c>
      <c r="AU6143">
        <f>IF(U6143&gt;=AN6143-0.01,1,0)</f>
        <v/>
      </c>
      <c r="AV6143">
        <f>IF(V6143&gt;=AO6143-0.01,1,0)</f>
        <v/>
      </c>
      <c r="AW6143">
        <f>IF(W6143&gt;=AP6143-0.01,1,0)</f>
        <v/>
      </c>
      <c r="AX6143">
        <f>AQ6143*AR6143*AS6143*AT6143*AU6143*AV6143*AW6143</f>
        <v/>
      </c>
    </row>
    <row r="6144">
      <c r="A6144" t="inlineStr"/>
      <c r="B6144">
        <f>Assumptions!$B$60</f>
        <v/>
      </c>
      <c r="C6144" t="n">
        <v>1</v>
      </c>
      <c r="D6144" t="n">
        <v>1</v>
      </c>
      <c r="E6144" t="n">
        <v>1</v>
      </c>
      <c r="F6144" t="n">
        <v>1</v>
      </c>
      <c r="G6144" t="n">
        <v>0</v>
      </c>
      <c r="H6144" t="n">
        <v>0</v>
      </c>
      <c r="I6144" t="n">
        <v>0</v>
      </c>
      <c r="J6144">
        <f>(1-C6144)*Assumptions!$B$41+(1-D6144)*Assumptions!$B$33+(1-E6144)*Assumptions!$B$32+(1-F6144)*Assumptions!$B$31+(1-G6144)*Assumptions!$B$30+(1-H6144)*Assumptions!$B$29+(1-I6144)*Assumptions!$B$28</f>
        <v/>
      </c>
      <c r="K6144">
        <f>C6144*$J$757+D6144*$F$757+E6144*$G$757+F6144*Assumptions!$B$14+G6144*Assumptions!$B$13+H6144*Assumptions!$B$12+I6144*Assumptions!$B$11+$O$757+$S$757+Assumptions!$B$9</f>
        <v/>
      </c>
      <c r="L6144">
        <f>B6144-J6144</f>
        <v/>
      </c>
      <c r="M6144">
        <f>IF(K6144&gt;0,IF(L6144/K6144&gt;=Assumptions!$B$37,1,0),0)</f>
        <v/>
      </c>
      <c r="N6144">
        <f>K6144+M6144*Assumptions!$B$153</f>
        <v/>
      </c>
      <c r="O6144">
        <f>L6144+M6144*Assumptions!$B$153*Assumptions!$B$37</f>
        <v/>
      </c>
      <c r="P6144">
        <f>IF(N6144&gt;0,O6144/N6144,0)</f>
        <v/>
      </c>
      <c r="Q6144">
        <f>IF(C6144=1,P6144*$J$757,Assumptions!$B$41)</f>
        <v/>
      </c>
      <c r="R6144">
        <f>IF(D6144=1,P6144*$F$757,Assumptions!$B$33)</f>
        <v/>
      </c>
      <c r="S6144">
        <f>IF(E6144=1,P6144*$G$757,Assumptions!$B$32)</f>
        <v/>
      </c>
      <c r="T6144">
        <f>IF(F6144=1,P6144*Assumptions!$B$14,Assumptions!$B$31)</f>
        <v/>
      </c>
      <c r="U6144">
        <f>IF(G6144=1,P6144*Assumptions!$B$13,Assumptions!$B$30)</f>
        <v/>
      </c>
      <c r="V6144">
        <f>IF(H6144=1,P6144*Assumptions!$B$12,Assumptions!$B$29)</f>
        <v/>
      </c>
      <c r="W6144">
        <f>IF(I6144=1,P6144*Assumptions!$B$11,Assumptions!$B$28)</f>
        <v/>
      </c>
      <c r="X6144">
        <f>P6144*($O$757+$S$757)</f>
        <v/>
      </c>
      <c r="Y6144">
        <f>P6144*Assumptions!$B$9</f>
        <v/>
      </c>
      <c r="Z6144">
        <f>IF(M6144=1,(P6144-Assumptions!$B$37)*Assumptions!$B$153,0)</f>
        <v/>
      </c>
      <c r="AA6144">
        <f>Q6144+R6144+S6144+T6144+U6144+V6144+W6144+X6144+Y6144+Z6144</f>
        <v/>
      </c>
      <c r="AB6144" t="n">
        <v>120</v>
      </c>
      <c r="AC6144" t="n">
        <v>56</v>
      </c>
      <c r="AD6144" t="n">
        <v>88</v>
      </c>
      <c r="AE6144" t="n">
        <v>104</v>
      </c>
      <c r="AF6144" t="n">
        <v>112</v>
      </c>
      <c r="AG6144" t="n">
        <v>124</v>
      </c>
      <c r="AH6144" t="n">
        <v>122</v>
      </c>
      <c r="AI6144" t="n">
        <v>121</v>
      </c>
      <c r="AJ6144">
        <f>INDEX($Q$6024:$Q$6151,AC6144+1)</f>
        <v/>
      </c>
      <c r="AK6144">
        <f>INDEX($R$6024:$R$6151,AD6144+1)</f>
        <v/>
      </c>
      <c r="AL6144">
        <f>INDEX($S$6024:$S$6151,AE6144+1)</f>
        <v/>
      </c>
      <c r="AM6144">
        <f>INDEX($T$6024:$T$6151,AF6144+1)</f>
        <v/>
      </c>
      <c r="AN6144">
        <f>INDEX($U$6024:$U$6151,AG6144+1)</f>
        <v/>
      </c>
      <c r="AO6144">
        <f>INDEX($V$6024:$V$6151,AH6144+1)</f>
        <v/>
      </c>
      <c r="AP6144">
        <f>INDEX($W$6024:$W$6151,AI6144+1)</f>
        <v/>
      </c>
      <c r="AQ6144">
        <f>IF(Q6144&gt;=AJ6144-0.01,1,0)</f>
        <v/>
      </c>
      <c r="AR6144">
        <f>IF(R6144&gt;=AK6144-0.01,1,0)</f>
        <v/>
      </c>
      <c r="AS6144">
        <f>IF(S6144&gt;=AL6144-0.01,1,0)</f>
        <v/>
      </c>
      <c r="AT6144">
        <f>IF(T6144&gt;=AM6144-0.01,1,0)</f>
        <v/>
      </c>
      <c r="AU6144">
        <f>IF(U6144&gt;=AN6144-0.01,1,0)</f>
        <v/>
      </c>
      <c r="AV6144">
        <f>IF(V6144&gt;=AO6144-0.01,1,0)</f>
        <v/>
      </c>
      <c r="AW6144">
        <f>IF(W6144&gt;=AP6144-0.01,1,0)</f>
        <v/>
      </c>
      <c r="AX6144">
        <f>AQ6144*AR6144*AS6144*AT6144*AU6144*AV6144*AW6144</f>
        <v/>
      </c>
    </row>
    <row r="6145">
      <c r="A6145" t="inlineStr"/>
      <c r="B6145">
        <f>Assumptions!$B$60</f>
        <v/>
      </c>
      <c r="C6145" t="n">
        <v>1</v>
      </c>
      <c r="D6145" t="n">
        <v>1</v>
      </c>
      <c r="E6145" t="n">
        <v>1</v>
      </c>
      <c r="F6145" t="n">
        <v>1</v>
      </c>
      <c r="G6145" t="n">
        <v>0</v>
      </c>
      <c r="H6145" t="n">
        <v>0</v>
      </c>
      <c r="I6145" t="n">
        <v>1</v>
      </c>
      <c r="J6145">
        <f>(1-C6145)*Assumptions!$B$41+(1-D6145)*Assumptions!$B$33+(1-E6145)*Assumptions!$B$32+(1-F6145)*Assumptions!$B$31+(1-G6145)*Assumptions!$B$30+(1-H6145)*Assumptions!$B$29+(1-I6145)*Assumptions!$B$28</f>
        <v/>
      </c>
      <c r="K6145">
        <f>C6145*$J$757+D6145*$F$757+E6145*$G$757+F6145*Assumptions!$B$14+G6145*Assumptions!$B$13+H6145*Assumptions!$B$12+I6145*Assumptions!$B$11+$O$757+$S$757+Assumptions!$B$9</f>
        <v/>
      </c>
      <c r="L6145">
        <f>B6145-J6145</f>
        <v/>
      </c>
      <c r="M6145">
        <f>IF(K6145&gt;0,IF(L6145/K6145&gt;=Assumptions!$B$37,1,0),0)</f>
        <v/>
      </c>
      <c r="N6145">
        <f>K6145+M6145*Assumptions!$B$153</f>
        <v/>
      </c>
      <c r="O6145">
        <f>L6145+M6145*Assumptions!$B$153*Assumptions!$B$37</f>
        <v/>
      </c>
      <c r="P6145">
        <f>IF(N6145&gt;0,O6145/N6145,0)</f>
        <v/>
      </c>
      <c r="Q6145">
        <f>IF(C6145=1,P6145*$J$757,Assumptions!$B$41)</f>
        <v/>
      </c>
      <c r="R6145">
        <f>IF(D6145=1,P6145*$F$757,Assumptions!$B$33)</f>
        <v/>
      </c>
      <c r="S6145">
        <f>IF(E6145=1,P6145*$G$757,Assumptions!$B$32)</f>
        <v/>
      </c>
      <c r="T6145">
        <f>IF(F6145=1,P6145*Assumptions!$B$14,Assumptions!$B$31)</f>
        <v/>
      </c>
      <c r="U6145">
        <f>IF(G6145=1,P6145*Assumptions!$B$13,Assumptions!$B$30)</f>
        <v/>
      </c>
      <c r="V6145">
        <f>IF(H6145=1,P6145*Assumptions!$B$12,Assumptions!$B$29)</f>
        <v/>
      </c>
      <c r="W6145">
        <f>IF(I6145=1,P6145*Assumptions!$B$11,Assumptions!$B$28)</f>
        <v/>
      </c>
      <c r="X6145">
        <f>P6145*($O$757+$S$757)</f>
        <v/>
      </c>
      <c r="Y6145">
        <f>P6145*Assumptions!$B$9</f>
        <v/>
      </c>
      <c r="Z6145">
        <f>IF(M6145=1,(P6145-Assumptions!$B$37)*Assumptions!$B$153,0)</f>
        <v/>
      </c>
      <c r="AA6145">
        <f>Q6145+R6145+S6145+T6145+U6145+V6145+W6145+X6145+Y6145+Z6145</f>
        <v/>
      </c>
      <c r="AB6145" t="n">
        <v>121</v>
      </c>
      <c r="AC6145" t="n">
        <v>57</v>
      </c>
      <c r="AD6145" t="n">
        <v>89</v>
      </c>
      <c r="AE6145" t="n">
        <v>105</v>
      </c>
      <c r="AF6145" t="n">
        <v>113</v>
      </c>
      <c r="AG6145" t="n">
        <v>125</v>
      </c>
      <c r="AH6145" t="n">
        <v>123</v>
      </c>
      <c r="AI6145" t="n">
        <v>120</v>
      </c>
      <c r="AJ6145">
        <f>INDEX($Q$6024:$Q$6151,AC6145+1)</f>
        <v/>
      </c>
      <c r="AK6145">
        <f>INDEX($R$6024:$R$6151,AD6145+1)</f>
        <v/>
      </c>
      <c r="AL6145">
        <f>INDEX($S$6024:$S$6151,AE6145+1)</f>
        <v/>
      </c>
      <c r="AM6145">
        <f>INDEX($T$6024:$T$6151,AF6145+1)</f>
        <v/>
      </c>
      <c r="AN6145">
        <f>INDEX($U$6024:$U$6151,AG6145+1)</f>
        <v/>
      </c>
      <c r="AO6145">
        <f>INDEX($V$6024:$V$6151,AH6145+1)</f>
        <v/>
      </c>
      <c r="AP6145">
        <f>INDEX($W$6024:$W$6151,AI6145+1)</f>
        <v/>
      </c>
      <c r="AQ6145">
        <f>IF(Q6145&gt;=AJ6145-0.01,1,0)</f>
        <v/>
      </c>
      <c r="AR6145">
        <f>IF(R6145&gt;=AK6145-0.01,1,0)</f>
        <v/>
      </c>
      <c r="AS6145">
        <f>IF(S6145&gt;=AL6145-0.01,1,0)</f>
        <v/>
      </c>
      <c r="AT6145">
        <f>IF(T6145&gt;=AM6145-0.01,1,0)</f>
        <v/>
      </c>
      <c r="AU6145">
        <f>IF(U6145&gt;=AN6145-0.01,1,0)</f>
        <v/>
      </c>
      <c r="AV6145">
        <f>IF(V6145&gt;=AO6145-0.01,1,0)</f>
        <v/>
      </c>
      <c r="AW6145">
        <f>IF(W6145&gt;=AP6145-0.01,1,0)</f>
        <v/>
      </c>
      <c r="AX6145">
        <f>AQ6145*AR6145*AS6145*AT6145*AU6145*AV6145*AW6145</f>
        <v/>
      </c>
    </row>
    <row r="6146">
      <c r="A6146" t="inlineStr"/>
      <c r="B6146">
        <f>Assumptions!$B$60</f>
        <v/>
      </c>
      <c r="C6146" t="n">
        <v>1</v>
      </c>
      <c r="D6146" t="n">
        <v>1</v>
      </c>
      <c r="E6146" t="n">
        <v>1</v>
      </c>
      <c r="F6146" t="n">
        <v>1</v>
      </c>
      <c r="G6146" t="n">
        <v>0</v>
      </c>
      <c r="H6146" t="n">
        <v>1</v>
      </c>
      <c r="I6146" t="n">
        <v>0</v>
      </c>
      <c r="J6146">
        <f>(1-C6146)*Assumptions!$B$41+(1-D6146)*Assumptions!$B$33+(1-E6146)*Assumptions!$B$32+(1-F6146)*Assumptions!$B$31+(1-G6146)*Assumptions!$B$30+(1-H6146)*Assumptions!$B$29+(1-I6146)*Assumptions!$B$28</f>
        <v/>
      </c>
      <c r="K6146">
        <f>C6146*$J$757+D6146*$F$757+E6146*$G$757+F6146*Assumptions!$B$14+G6146*Assumptions!$B$13+H6146*Assumptions!$B$12+I6146*Assumptions!$B$11+$O$757+$S$757+Assumptions!$B$9</f>
        <v/>
      </c>
      <c r="L6146">
        <f>B6146-J6146</f>
        <v/>
      </c>
      <c r="M6146">
        <f>IF(K6146&gt;0,IF(L6146/K6146&gt;=Assumptions!$B$37,1,0),0)</f>
        <v/>
      </c>
      <c r="N6146">
        <f>K6146+M6146*Assumptions!$B$153</f>
        <v/>
      </c>
      <c r="O6146">
        <f>L6146+M6146*Assumptions!$B$153*Assumptions!$B$37</f>
        <v/>
      </c>
      <c r="P6146">
        <f>IF(N6146&gt;0,O6146/N6146,0)</f>
        <v/>
      </c>
      <c r="Q6146">
        <f>IF(C6146=1,P6146*$J$757,Assumptions!$B$41)</f>
        <v/>
      </c>
      <c r="R6146">
        <f>IF(D6146=1,P6146*$F$757,Assumptions!$B$33)</f>
        <v/>
      </c>
      <c r="S6146">
        <f>IF(E6146=1,P6146*$G$757,Assumptions!$B$32)</f>
        <v/>
      </c>
      <c r="T6146">
        <f>IF(F6146=1,P6146*Assumptions!$B$14,Assumptions!$B$31)</f>
        <v/>
      </c>
      <c r="U6146">
        <f>IF(G6146=1,P6146*Assumptions!$B$13,Assumptions!$B$30)</f>
        <v/>
      </c>
      <c r="V6146">
        <f>IF(H6146=1,P6146*Assumptions!$B$12,Assumptions!$B$29)</f>
        <v/>
      </c>
      <c r="W6146">
        <f>IF(I6146=1,P6146*Assumptions!$B$11,Assumptions!$B$28)</f>
        <v/>
      </c>
      <c r="X6146">
        <f>P6146*($O$757+$S$757)</f>
        <v/>
      </c>
      <c r="Y6146">
        <f>P6146*Assumptions!$B$9</f>
        <v/>
      </c>
      <c r="Z6146">
        <f>IF(M6146=1,(P6146-Assumptions!$B$37)*Assumptions!$B$153,0)</f>
        <v/>
      </c>
      <c r="AA6146">
        <f>Q6146+R6146+S6146+T6146+U6146+V6146+W6146+X6146+Y6146+Z6146</f>
        <v/>
      </c>
      <c r="AB6146" t="n">
        <v>122</v>
      </c>
      <c r="AC6146" t="n">
        <v>58</v>
      </c>
      <c r="AD6146" t="n">
        <v>90</v>
      </c>
      <c r="AE6146" t="n">
        <v>106</v>
      </c>
      <c r="AF6146" t="n">
        <v>114</v>
      </c>
      <c r="AG6146" t="n">
        <v>126</v>
      </c>
      <c r="AH6146" t="n">
        <v>120</v>
      </c>
      <c r="AI6146" t="n">
        <v>123</v>
      </c>
      <c r="AJ6146">
        <f>INDEX($Q$6024:$Q$6151,AC6146+1)</f>
        <v/>
      </c>
      <c r="AK6146">
        <f>INDEX($R$6024:$R$6151,AD6146+1)</f>
        <v/>
      </c>
      <c r="AL6146">
        <f>INDEX($S$6024:$S$6151,AE6146+1)</f>
        <v/>
      </c>
      <c r="AM6146">
        <f>INDEX($T$6024:$T$6151,AF6146+1)</f>
        <v/>
      </c>
      <c r="AN6146">
        <f>INDEX($U$6024:$U$6151,AG6146+1)</f>
        <v/>
      </c>
      <c r="AO6146">
        <f>INDEX($V$6024:$V$6151,AH6146+1)</f>
        <v/>
      </c>
      <c r="AP6146">
        <f>INDEX($W$6024:$W$6151,AI6146+1)</f>
        <v/>
      </c>
      <c r="AQ6146">
        <f>IF(Q6146&gt;=AJ6146-0.01,1,0)</f>
        <v/>
      </c>
      <c r="AR6146">
        <f>IF(R6146&gt;=AK6146-0.01,1,0)</f>
        <v/>
      </c>
      <c r="AS6146">
        <f>IF(S6146&gt;=AL6146-0.01,1,0)</f>
        <v/>
      </c>
      <c r="AT6146">
        <f>IF(T6146&gt;=AM6146-0.01,1,0)</f>
        <v/>
      </c>
      <c r="AU6146">
        <f>IF(U6146&gt;=AN6146-0.01,1,0)</f>
        <v/>
      </c>
      <c r="AV6146">
        <f>IF(V6146&gt;=AO6146-0.01,1,0)</f>
        <v/>
      </c>
      <c r="AW6146">
        <f>IF(W6146&gt;=AP6146-0.01,1,0)</f>
        <v/>
      </c>
      <c r="AX6146">
        <f>AQ6146*AR6146*AS6146*AT6146*AU6146*AV6146*AW6146</f>
        <v/>
      </c>
    </row>
    <row r="6147">
      <c r="A6147" t="inlineStr"/>
      <c r="B6147">
        <f>Assumptions!$B$60</f>
        <v/>
      </c>
      <c r="C6147" t="n">
        <v>1</v>
      </c>
      <c r="D6147" t="n">
        <v>1</v>
      </c>
      <c r="E6147" t="n">
        <v>1</v>
      </c>
      <c r="F6147" t="n">
        <v>1</v>
      </c>
      <c r="G6147" t="n">
        <v>0</v>
      </c>
      <c r="H6147" t="n">
        <v>1</v>
      </c>
      <c r="I6147" t="n">
        <v>1</v>
      </c>
      <c r="J6147">
        <f>(1-C6147)*Assumptions!$B$41+(1-D6147)*Assumptions!$B$33+(1-E6147)*Assumptions!$B$32+(1-F6147)*Assumptions!$B$31+(1-G6147)*Assumptions!$B$30+(1-H6147)*Assumptions!$B$29+(1-I6147)*Assumptions!$B$28</f>
        <v/>
      </c>
      <c r="K6147">
        <f>C6147*$J$757+D6147*$F$757+E6147*$G$757+F6147*Assumptions!$B$14+G6147*Assumptions!$B$13+H6147*Assumptions!$B$12+I6147*Assumptions!$B$11+$O$757+$S$757+Assumptions!$B$9</f>
        <v/>
      </c>
      <c r="L6147">
        <f>B6147-J6147</f>
        <v/>
      </c>
      <c r="M6147">
        <f>IF(K6147&gt;0,IF(L6147/K6147&gt;=Assumptions!$B$37,1,0),0)</f>
        <v/>
      </c>
      <c r="N6147">
        <f>K6147+M6147*Assumptions!$B$153</f>
        <v/>
      </c>
      <c r="O6147">
        <f>L6147+M6147*Assumptions!$B$153*Assumptions!$B$37</f>
        <v/>
      </c>
      <c r="P6147">
        <f>IF(N6147&gt;0,O6147/N6147,0)</f>
        <v/>
      </c>
      <c r="Q6147">
        <f>IF(C6147=1,P6147*$J$757,Assumptions!$B$41)</f>
        <v/>
      </c>
      <c r="R6147">
        <f>IF(D6147=1,P6147*$F$757,Assumptions!$B$33)</f>
        <v/>
      </c>
      <c r="S6147">
        <f>IF(E6147=1,P6147*$G$757,Assumptions!$B$32)</f>
        <v/>
      </c>
      <c r="T6147">
        <f>IF(F6147=1,P6147*Assumptions!$B$14,Assumptions!$B$31)</f>
        <v/>
      </c>
      <c r="U6147">
        <f>IF(G6147=1,P6147*Assumptions!$B$13,Assumptions!$B$30)</f>
        <v/>
      </c>
      <c r="V6147">
        <f>IF(H6147=1,P6147*Assumptions!$B$12,Assumptions!$B$29)</f>
        <v/>
      </c>
      <c r="W6147">
        <f>IF(I6147=1,P6147*Assumptions!$B$11,Assumptions!$B$28)</f>
        <v/>
      </c>
      <c r="X6147">
        <f>P6147*($O$757+$S$757)</f>
        <v/>
      </c>
      <c r="Y6147">
        <f>P6147*Assumptions!$B$9</f>
        <v/>
      </c>
      <c r="Z6147">
        <f>IF(M6147=1,(P6147-Assumptions!$B$37)*Assumptions!$B$153,0)</f>
        <v/>
      </c>
      <c r="AA6147">
        <f>Q6147+R6147+S6147+T6147+U6147+V6147+W6147+X6147+Y6147+Z6147</f>
        <v/>
      </c>
      <c r="AB6147" t="n">
        <v>123</v>
      </c>
      <c r="AC6147" t="n">
        <v>59</v>
      </c>
      <c r="AD6147" t="n">
        <v>91</v>
      </c>
      <c r="AE6147" t="n">
        <v>107</v>
      </c>
      <c r="AF6147" t="n">
        <v>115</v>
      </c>
      <c r="AG6147" t="n">
        <v>127</v>
      </c>
      <c r="AH6147" t="n">
        <v>121</v>
      </c>
      <c r="AI6147" t="n">
        <v>122</v>
      </c>
      <c r="AJ6147">
        <f>INDEX($Q$6024:$Q$6151,AC6147+1)</f>
        <v/>
      </c>
      <c r="AK6147">
        <f>INDEX($R$6024:$R$6151,AD6147+1)</f>
        <v/>
      </c>
      <c r="AL6147">
        <f>INDEX($S$6024:$S$6151,AE6147+1)</f>
        <v/>
      </c>
      <c r="AM6147">
        <f>INDEX($T$6024:$T$6151,AF6147+1)</f>
        <v/>
      </c>
      <c r="AN6147">
        <f>INDEX($U$6024:$U$6151,AG6147+1)</f>
        <v/>
      </c>
      <c r="AO6147">
        <f>INDEX($V$6024:$V$6151,AH6147+1)</f>
        <v/>
      </c>
      <c r="AP6147">
        <f>INDEX($W$6024:$W$6151,AI6147+1)</f>
        <v/>
      </c>
      <c r="AQ6147">
        <f>IF(Q6147&gt;=AJ6147-0.01,1,0)</f>
        <v/>
      </c>
      <c r="AR6147">
        <f>IF(R6147&gt;=AK6147-0.01,1,0)</f>
        <v/>
      </c>
      <c r="AS6147">
        <f>IF(S6147&gt;=AL6147-0.01,1,0)</f>
        <v/>
      </c>
      <c r="AT6147">
        <f>IF(T6147&gt;=AM6147-0.01,1,0)</f>
        <v/>
      </c>
      <c r="AU6147">
        <f>IF(U6147&gt;=AN6147-0.01,1,0)</f>
        <v/>
      </c>
      <c r="AV6147">
        <f>IF(V6147&gt;=AO6147-0.01,1,0)</f>
        <v/>
      </c>
      <c r="AW6147">
        <f>IF(W6147&gt;=AP6147-0.01,1,0)</f>
        <v/>
      </c>
      <c r="AX6147">
        <f>AQ6147*AR6147*AS6147*AT6147*AU6147*AV6147*AW6147</f>
        <v/>
      </c>
    </row>
    <row r="6148">
      <c r="A6148" t="inlineStr"/>
      <c r="B6148">
        <f>Assumptions!$B$60</f>
        <v/>
      </c>
      <c r="C6148" t="n">
        <v>1</v>
      </c>
      <c r="D6148" t="n">
        <v>1</v>
      </c>
      <c r="E6148" t="n">
        <v>1</v>
      </c>
      <c r="F6148" t="n">
        <v>1</v>
      </c>
      <c r="G6148" t="n">
        <v>1</v>
      </c>
      <c r="H6148" t="n">
        <v>0</v>
      </c>
      <c r="I6148" t="n">
        <v>0</v>
      </c>
      <c r="J6148">
        <f>(1-C6148)*Assumptions!$B$41+(1-D6148)*Assumptions!$B$33+(1-E6148)*Assumptions!$B$32+(1-F6148)*Assumptions!$B$31+(1-G6148)*Assumptions!$B$30+(1-H6148)*Assumptions!$B$29+(1-I6148)*Assumptions!$B$28</f>
        <v/>
      </c>
      <c r="K6148">
        <f>C6148*$J$757+D6148*$F$757+E6148*$G$757+F6148*Assumptions!$B$14+G6148*Assumptions!$B$13+H6148*Assumptions!$B$12+I6148*Assumptions!$B$11+$O$757+$S$757+Assumptions!$B$9</f>
        <v/>
      </c>
      <c r="L6148">
        <f>B6148-J6148</f>
        <v/>
      </c>
      <c r="M6148">
        <f>IF(K6148&gt;0,IF(L6148/K6148&gt;=Assumptions!$B$37,1,0),0)</f>
        <v/>
      </c>
      <c r="N6148">
        <f>K6148+M6148*Assumptions!$B$153</f>
        <v/>
      </c>
      <c r="O6148">
        <f>L6148+M6148*Assumptions!$B$153*Assumptions!$B$37</f>
        <v/>
      </c>
      <c r="P6148">
        <f>IF(N6148&gt;0,O6148/N6148,0)</f>
        <v/>
      </c>
      <c r="Q6148">
        <f>IF(C6148=1,P6148*$J$757,Assumptions!$B$41)</f>
        <v/>
      </c>
      <c r="R6148">
        <f>IF(D6148=1,P6148*$F$757,Assumptions!$B$33)</f>
        <v/>
      </c>
      <c r="S6148">
        <f>IF(E6148=1,P6148*$G$757,Assumptions!$B$32)</f>
        <v/>
      </c>
      <c r="T6148">
        <f>IF(F6148=1,P6148*Assumptions!$B$14,Assumptions!$B$31)</f>
        <v/>
      </c>
      <c r="U6148">
        <f>IF(G6148=1,P6148*Assumptions!$B$13,Assumptions!$B$30)</f>
        <v/>
      </c>
      <c r="V6148">
        <f>IF(H6148=1,P6148*Assumptions!$B$12,Assumptions!$B$29)</f>
        <v/>
      </c>
      <c r="W6148">
        <f>IF(I6148=1,P6148*Assumptions!$B$11,Assumptions!$B$28)</f>
        <v/>
      </c>
      <c r="X6148">
        <f>P6148*($O$757+$S$757)</f>
        <v/>
      </c>
      <c r="Y6148">
        <f>P6148*Assumptions!$B$9</f>
        <v/>
      </c>
      <c r="Z6148">
        <f>IF(M6148=1,(P6148-Assumptions!$B$37)*Assumptions!$B$153,0)</f>
        <v/>
      </c>
      <c r="AA6148">
        <f>Q6148+R6148+S6148+T6148+U6148+V6148+W6148+X6148+Y6148+Z6148</f>
        <v/>
      </c>
      <c r="AB6148" t="n">
        <v>124</v>
      </c>
      <c r="AC6148" t="n">
        <v>60</v>
      </c>
      <c r="AD6148" t="n">
        <v>92</v>
      </c>
      <c r="AE6148" t="n">
        <v>108</v>
      </c>
      <c r="AF6148" t="n">
        <v>116</v>
      </c>
      <c r="AG6148" t="n">
        <v>120</v>
      </c>
      <c r="AH6148" t="n">
        <v>126</v>
      </c>
      <c r="AI6148" t="n">
        <v>125</v>
      </c>
      <c r="AJ6148">
        <f>INDEX($Q$6024:$Q$6151,AC6148+1)</f>
        <v/>
      </c>
      <c r="AK6148">
        <f>INDEX($R$6024:$R$6151,AD6148+1)</f>
        <v/>
      </c>
      <c r="AL6148">
        <f>INDEX($S$6024:$S$6151,AE6148+1)</f>
        <v/>
      </c>
      <c r="AM6148">
        <f>INDEX($T$6024:$T$6151,AF6148+1)</f>
        <v/>
      </c>
      <c r="AN6148">
        <f>INDEX($U$6024:$U$6151,AG6148+1)</f>
        <v/>
      </c>
      <c r="AO6148">
        <f>INDEX($V$6024:$V$6151,AH6148+1)</f>
        <v/>
      </c>
      <c r="AP6148">
        <f>INDEX($W$6024:$W$6151,AI6148+1)</f>
        <v/>
      </c>
      <c r="AQ6148">
        <f>IF(Q6148&gt;=AJ6148-0.01,1,0)</f>
        <v/>
      </c>
      <c r="AR6148">
        <f>IF(R6148&gt;=AK6148-0.01,1,0)</f>
        <v/>
      </c>
      <c r="AS6148">
        <f>IF(S6148&gt;=AL6148-0.01,1,0)</f>
        <v/>
      </c>
      <c r="AT6148">
        <f>IF(T6148&gt;=AM6148-0.01,1,0)</f>
        <v/>
      </c>
      <c r="AU6148">
        <f>IF(U6148&gt;=AN6148-0.01,1,0)</f>
        <v/>
      </c>
      <c r="AV6148">
        <f>IF(V6148&gt;=AO6148-0.01,1,0)</f>
        <v/>
      </c>
      <c r="AW6148">
        <f>IF(W6148&gt;=AP6148-0.01,1,0)</f>
        <v/>
      </c>
      <c r="AX6148">
        <f>AQ6148*AR6148*AS6148*AT6148*AU6148*AV6148*AW6148</f>
        <v/>
      </c>
    </row>
    <row r="6149">
      <c r="A6149" t="inlineStr"/>
      <c r="B6149">
        <f>Assumptions!$B$60</f>
        <v/>
      </c>
      <c r="C6149" t="n">
        <v>1</v>
      </c>
      <c r="D6149" t="n">
        <v>1</v>
      </c>
      <c r="E6149" t="n">
        <v>1</v>
      </c>
      <c r="F6149" t="n">
        <v>1</v>
      </c>
      <c r="G6149" t="n">
        <v>1</v>
      </c>
      <c r="H6149" t="n">
        <v>0</v>
      </c>
      <c r="I6149" t="n">
        <v>1</v>
      </c>
      <c r="J6149">
        <f>(1-C6149)*Assumptions!$B$41+(1-D6149)*Assumptions!$B$33+(1-E6149)*Assumptions!$B$32+(1-F6149)*Assumptions!$B$31+(1-G6149)*Assumptions!$B$30+(1-H6149)*Assumptions!$B$29+(1-I6149)*Assumptions!$B$28</f>
        <v/>
      </c>
      <c r="K6149">
        <f>C6149*$J$757+D6149*$F$757+E6149*$G$757+F6149*Assumptions!$B$14+G6149*Assumptions!$B$13+H6149*Assumptions!$B$12+I6149*Assumptions!$B$11+$O$757+$S$757+Assumptions!$B$9</f>
        <v/>
      </c>
      <c r="L6149">
        <f>B6149-J6149</f>
        <v/>
      </c>
      <c r="M6149">
        <f>IF(K6149&gt;0,IF(L6149/K6149&gt;=Assumptions!$B$37,1,0),0)</f>
        <v/>
      </c>
      <c r="N6149">
        <f>K6149+M6149*Assumptions!$B$153</f>
        <v/>
      </c>
      <c r="O6149">
        <f>L6149+M6149*Assumptions!$B$153*Assumptions!$B$37</f>
        <v/>
      </c>
      <c r="P6149">
        <f>IF(N6149&gt;0,O6149/N6149,0)</f>
        <v/>
      </c>
      <c r="Q6149">
        <f>IF(C6149=1,P6149*$J$757,Assumptions!$B$41)</f>
        <v/>
      </c>
      <c r="R6149">
        <f>IF(D6149=1,P6149*$F$757,Assumptions!$B$33)</f>
        <v/>
      </c>
      <c r="S6149">
        <f>IF(E6149=1,P6149*$G$757,Assumptions!$B$32)</f>
        <v/>
      </c>
      <c r="T6149">
        <f>IF(F6149=1,P6149*Assumptions!$B$14,Assumptions!$B$31)</f>
        <v/>
      </c>
      <c r="U6149">
        <f>IF(G6149=1,P6149*Assumptions!$B$13,Assumptions!$B$30)</f>
        <v/>
      </c>
      <c r="V6149">
        <f>IF(H6149=1,P6149*Assumptions!$B$12,Assumptions!$B$29)</f>
        <v/>
      </c>
      <c r="W6149">
        <f>IF(I6149=1,P6149*Assumptions!$B$11,Assumptions!$B$28)</f>
        <v/>
      </c>
      <c r="X6149">
        <f>P6149*($O$757+$S$757)</f>
        <v/>
      </c>
      <c r="Y6149">
        <f>P6149*Assumptions!$B$9</f>
        <v/>
      </c>
      <c r="Z6149">
        <f>IF(M6149=1,(P6149-Assumptions!$B$37)*Assumptions!$B$153,0)</f>
        <v/>
      </c>
      <c r="AA6149">
        <f>Q6149+R6149+S6149+T6149+U6149+V6149+W6149+X6149+Y6149+Z6149</f>
        <v/>
      </c>
      <c r="AB6149" t="n">
        <v>125</v>
      </c>
      <c r="AC6149" t="n">
        <v>61</v>
      </c>
      <c r="AD6149" t="n">
        <v>93</v>
      </c>
      <c r="AE6149" t="n">
        <v>109</v>
      </c>
      <c r="AF6149" t="n">
        <v>117</v>
      </c>
      <c r="AG6149" t="n">
        <v>121</v>
      </c>
      <c r="AH6149" t="n">
        <v>127</v>
      </c>
      <c r="AI6149" t="n">
        <v>124</v>
      </c>
      <c r="AJ6149">
        <f>INDEX($Q$6024:$Q$6151,AC6149+1)</f>
        <v/>
      </c>
      <c r="AK6149">
        <f>INDEX($R$6024:$R$6151,AD6149+1)</f>
        <v/>
      </c>
      <c r="AL6149">
        <f>INDEX($S$6024:$S$6151,AE6149+1)</f>
        <v/>
      </c>
      <c r="AM6149">
        <f>INDEX($T$6024:$T$6151,AF6149+1)</f>
        <v/>
      </c>
      <c r="AN6149">
        <f>INDEX($U$6024:$U$6151,AG6149+1)</f>
        <v/>
      </c>
      <c r="AO6149">
        <f>INDEX($V$6024:$V$6151,AH6149+1)</f>
        <v/>
      </c>
      <c r="AP6149">
        <f>INDEX($W$6024:$W$6151,AI6149+1)</f>
        <v/>
      </c>
      <c r="AQ6149">
        <f>IF(Q6149&gt;=AJ6149-0.01,1,0)</f>
        <v/>
      </c>
      <c r="AR6149">
        <f>IF(R6149&gt;=AK6149-0.01,1,0)</f>
        <v/>
      </c>
      <c r="AS6149">
        <f>IF(S6149&gt;=AL6149-0.01,1,0)</f>
        <v/>
      </c>
      <c r="AT6149">
        <f>IF(T6149&gt;=AM6149-0.01,1,0)</f>
        <v/>
      </c>
      <c r="AU6149">
        <f>IF(U6149&gt;=AN6149-0.01,1,0)</f>
        <v/>
      </c>
      <c r="AV6149">
        <f>IF(V6149&gt;=AO6149-0.01,1,0)</f>
        <v/>
      </c>
      <c r="AW6149">
        <f>IF(W6149&gt;=AP6149-0.01,1,0)</f>
        <v/>
      </c>
      <c r="AX6149">
        <f>AQ6149*AR6149*AS6149*AT6149*AU6149*AV6149*AW6149</f>
        <v/>
      </c>
    </row>
    <row r="6150">
      <c r="A6150" t="inlineStr"/>
      <c r="B6150">
        <f>Assumptions!$B$60</f>
        <v/>
      </c>
      <c r="C6150" t="n">
        <v>1</v>
      </c>
      <c r="D6150" t="n">
        <v>1</v>
      </c>
      <c r="E6150" t="n">
        <v>1</v>
      </c>
      <c r="F6150" t="n">
        <v>1</v>
      </c>
      <c r="G6150" t="n">
        <v>1</v>
      </c>
      <c r="H6150" t="n">
        <v>1</v>
      </c>
      <c r="I6150" t="n">
        <v>0</v>
      </c>
      <c r="J6150">
        <f>(1-C6150)*Assumptions!$B$41+(1-D6150)*Assumptions!$B$33+(1-E6150)*Assumptions!$B$32+(1-F6150)*Assumptions!$B$31+(1-G6150)*Assumptions!$B$30+(1-H6150)*Assumptions!$B$29+(1-I6150)*Assumptions!$B$28</f>
        <v/>
      </c>
      <c r="K6150">
        <f>C6150*$J$757+D6150*$F$757+E6150*$G$757+F6150*Assumptions!$B$14+G6150*Assumptions!$B$13+H6150*Assumptions!$B$12+I6150*Assumptions!$B$11+$O$757+$S$757+Assumptions!$B$9</f>
        <v/>
      </c>
      <c r="L6150">
        <f>B6150-J6150</f>
        <v/>
      </c>
      <c r="M6150">
        <f>IF(K6150&gt;0,IF(L6150/K6150&gt;=Assumptions!$B$37,1,0),0)</f>
        <v/>
      </c>
      <c r="N6150">
        <f>K6150+M6150*Assumptions!$B$153</f>
        <v/>
      </c>
      <c r="O6150">
        <f>L6150+M6150*Assumptions!$B$153*Assumptions!$B$37</f>
        <v/>
      </c>
      <c r="P6150">
        <f>IF(N6150&gt;0,O6150/N6150,0)</f>
        <v/>
      </c>
      <c r="Q6150">
        <f>IF(C6150=1,P6150*$J$757,Assumptions!$B$41)</f>
        <v/>
      </c>
      <c r="R6150">
        <f>IF(D6150=1,P6150*$F$757,Assumptions!$B$33)</f>
        <v/>
      </c>
      <c r="S6150">
        <f>IF(E6150=1,P6150*$G$757,Assumptions!$B$32)</f>
        <v/>
      </c>
      <c r="T6150">
        <f>IF(F6150=1,P6150*Assumptions!$B$14,Assumptions!$B$31)</f>
        <v/>
      </c>
      <c r="U6150">
        <f>IF(G6150=1,P6150*Assumptions!$B$13,Assumptions!$B$30)</f>
        <v/>
      </c>
      <c r="V6150">
        <f>IF(H6150=1,P6150*Assumptions!$B$12,Assumptions!$B$29)</f>
        <v/>
      </c>
      <c r="W6150">
        <f>IF(I6150=1,P6150*Assumptions!$B$11,Assumptions!$B$28)</f>
        <v/>
      </c>
      <c r="X6150">
        <f>P6150*($O$757+$S$757)</f>
        <v/>
      </c>
      <c r="Y6150">
        <f>P6150*Assumptions!$B$9</f>
        <v/>
      </c>
      <c r="Z6150">
        <f>IF(M6150=1,(P6150-Assumptions!$B$37)*Assumptions!$B$153,0)</f>
        <v/>
      </c>
      <c r="AA6150">
        <f>Q6150+R6150+S6150+T6150+U6150+V6150+W6150+X6150+Y6150+Z6150</f>
        <v/>
      </c>
      <c r="AB6150" t="n">
        <v>126</v>
      </c>
      <c r="AC6150" t="n">
        <v>62</v>
      </c>
      <c r="AD6150" t="n">
        <v>94</v>
      </c>
      <c r="AE6150" t="n">
        <v>110</v>
      </c>
      <c r="AF6150" t="n">
        <v>118</v>
      </c>
      <c r="AG6150" t="n">
        <v>122</v>
      </c>
      <c r="AH6150" t="n">
        <v>124</v>
      </c>
      <c r="AI6150" t="n">
        <v>127</v>
      </c>
      <c r="AJ6150">
        <f>INDEX($Q$6024:$Q$6151,AC6150+1)</f>
        <v/>
      </c>
      <c r="AK6150">
        <f>INDEX($R$6024:$R$6151,AD6150+1)</f>
        <v/>
      </c>
      <c r="AL6150">
        <f>INDEX($S$6024:$S$6151,AE6150+1)</f>
        <v/>
      </c>
      <c r="AM6150">
        <f>INDEX($T$6024:$T$6151,AF6150+1)</f>
        <v/>
      </c>
      <c r="AN6150">
        <f>INDEX($U$6024:$U$6151,AG6150+1)</f>
        <v/>
      </c>
      <c r="AO6150">
        <f>INDEX($V$6024:$V$6151,AH6150+1)</f>
        <v/>
      </c>
      <c r="AP6150">
        <f>INDEX($W$6024:$W$6151,AI6150+1)</f>
        <v/>
      </c>
      <c r="AQ6150">
        <f>IF(Q6150&gt;=AJ6150-0.01,1,0)</f>
        <v/>
      </c>
      <c r="AR6150">
        <f>IF(R6150&gt;=AK6150-0.01,1,0)</f>
        <v/>
      </c>
      <c r="AS6150">
        <f>IF(S6150&gt;=AL6150-0.01,1,0)</f>
        <v/>
      </c>
      <c r="AT6150">
        <f>IF(T6150&gt;=AM6150-0.01,1,0)</f>
        <v/>
      </c>
      <c r="AU6150">
        <f>IF(U6150&gt;=AN6150-0.01,1,0)</f>
        <v/>
      </c>
      <c r="AV6150">
        <f>IF(V6150&gt;=AO6150-0.01,1,0)</f>
        <v/>
      </c>
      <c r="AW6150">
        <f>IF(W6150&gt;=AP6150-0.01,1,0)</f>
        <v/>
      </c>
      <c r="AX6150">
        <f>AQ6150*AR6150*AS6150*AT6150*AU6150*AV6150*AW6150</f>
        <v/>
      </c>
    </row>
    <row r="6151">
      <c r="A6151" t="inlineStr"/>
      <c r="B6151">
        <f>Assumptions!$B$60</f>
        <v/>
      </c>
      <c r="C6151" t="n">
        <v>1</v>
      </c>
      <c r="D6151" t="n">
        <v>1</v>
      </c>
      <c r="E6151" t="n">
        <v>1</v>
      </c>
      <c r="F6151" t="n">
        <v>1</v>
      </c>
      <c r="G6151" t="n">
        <v>1</v>
      </c>
      <c r="H6151" t="n">
        <v>1</v>
      </c>
      <c r="I6151" t="n">
        <v>1</v>
      </c>
      <c r="J6151">
        <f>(1-C6151)*Assumptions!$B$41+(1-D6151)*Assumptions!$B$33+(1-E6151)*Assumptions!$B$32+(1-F6151)*Assumptions!$B$31+(1-G6151)*Assumptions!$B$30+(1-H6151)*Assumptions!$B$29+(1-I6151)*Assumptions!$B$28</f>
        <v/>
      </c>
      <c r="K6151">
        <f>C6151*$J$757+D6151*$F$757+E6151*$G$757+F6151*Assumptions!$B$14+G6151*Assumptions!$B$13+H6151*Assumptions!$B$12+I6151*Assumptions!$B$11+$O$757+$S$757+Assumptions!$B$9</f>
        <v/>
      </c>
      <c r="L6151">
        <f>B6151-J6151</f>
        <v/>
      </c>
      <c r="M6151">
        <f>IF(K6151&gt;0,IF(L6151/K6151&gt;=Assumptions!$B$37,1,0),0)</f>
        <v/>
      </c>
      <c r="N6151">
        <f>K6151+M6151*Assumptions!$B$153</f>
        <v/>
      </c>
      <c r="O6151">
        <f>L6151+M6151*Assumptions!$B$153*Assumptions!$B$37</f>
        <v/>
      </c>
      <c r="P6151">
        <f>IF(N6151&gt;0,O6151/N6151,0)</f>
        <v/>
      </c>
      <c r="Q6151">
        <f>IF(C6151=1,P6151*$J$757,Assumptions!$B$41)</f>
        <v/>
      </c>
      <c r="R6151">
        <f>IF(D6151=1,P6151*$F$757,Assumptions!$B$33)</f>
        <v/>
      </c>
      <c r="S6151">
        <f>IF(E6151=1,P6151*$G$757,Assumptions!$B$32)</f>
        <v/>
      </c>
      <c r="T6151">
        <f>IF(F6151=1,P6151*Assumptions!$B$14,Assumptions!$B$31)</f>
        <v/>
      </c>
      <c r="U6151">
        <f>IF(G6151=1,P6151*Assumptions!$B$13,Assumptions!$B$30)</f>
        <v/>
      </c>
      <c r="V6151">
        <f>IF(H6151=1,P6151*Assumptions!$B$12,Assumptions!$B$29)</f>
        <v/>
      </c>
      <c r="W6151">
        <f>IF(I6151=1,P6151*Assumptions!$B$11,Assumptions!$B$28)</f>
        <v/>
      </c>
      <c r="X6151">
        <f>P6151*($O$757+$S$757)</f>
        <v/>
      </c>
      <c r="Y6151">
        <f>P6151*Assumptions!$B$9</f>
        <v/>
      </c>
      <c r="Z6151">
        <f>IF(M6151=1,(P6151-Assumptions!$B$37)*Assumptions!$B$153,0)</f>
        <v/>
      </c>
      <c r="AA6151">
        <f>Q6151+R6151+S6151+T6151+U6151+V6151+W6151+X6151+Y6151+Z6151</f>
        <v/>
      </c>
      <c r="AB6151" t="n">
        <v>127</v>
      </c>
      <c r="AC6151" t="n">
        <v>63</v>
      </c>
      <c r="AD6151" t="n">
        <v>95</v>
      </c>
      <c r="AE6151" t="n">
        <v>111</v>
      </c>
      <c r="AF6151" t="n">
        <v>119</v>
      </c>
      <c r="AG6151" t="n">
        <v>123</v>
      </c>
      <c r="AH6151" t="n">
        <v>125</v>
      </c>
      <c r="AI6151" t="n">
        <v>126</v>
      </c>
      <c r="AJ6151">
        <f>INDEX($Q$6024:$Q$6151,AC6151+1)</f>
        <v/>
      </c>
      <c r="AK6151">
        <f>INDEX($R$6024:$R$6151,AD6151+1)</f>
        <v/>
      </c>
      <c r="AL6151">
        <f>INDEX($S$6024:$S$6151,AE6151+1)</f>
        <v/>
      </c>
      <c r="AM6151">
        <f>INDEX($T$6024:$T$6151,AF6151+1)</f>
        <v/>
      </c>
      <c r="AN6151">
        <f>INDEX($U$6024:$U$6151,AG6151+1)</f>
        <v/>
      </c>
      <c r="AO6151">
        <f>INDEX($V$6024:$V$6151,AH6151+1)</f>
        <v/>
      </c>
      <c r="AP6151">
        <f>INDEX($W$6024:$W$6151,AI6151+1)</f>
        <v/>
      </c>
      <c r="AQ6151">
        <f>IF(Q6151&gt;=AJ6151-0.01,1,0)</f>
        <v/>
      </c>
      <c r="AR6151">
        <f>IF(R6151&gt;=AK6151-0.01,1,0)</f>
        <v/>
      </c>
      <c r="AS6151">
        <f>IF(S6151&gt;=AL6151-0.01,1,0)</f>
        <v/>
      </c>
      <c r="AT6151">
        <f>IF(T6151&gt;=AM6151-0.01,1,0)</f>
        <v/>
      </c>
      <c r="AU6151">
        <f>IF(U6151&gt;=AN6151-0.01,1,0)</f>
        <v/>
      </c>
      <c r="AV6151">
        <f>IF(V6151&gt;=AO6151-0.01,1,0)</f>
        <v/>
      </c>
      <c r="AW6151">
        <f>IF(W6151&gt;=AP6151-0.01,1,0)</f>
        <v/>
      </c>
      <c r="AX6151">
        <f>AQ6151*AR6151*AS6151*AT6151*AU6151*AV6151*AW6151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solver</t>
        </is>
      </c>
    </row>
    <row r="3">
      <c r="A3" t="inlineStr">
        <is>
          <t>exit</t>
        </is>
      </c>
      <c r="B3" t="inlineStr">
        <is>
          <t>exit_val</t>
        </is>
      </c>
      <c r="C3" t="inlineStr">
        <is>
          <t>solver_3x_required_pct</t>
        </is>
      </c>
      <c r="D3" t="inlineStr">
        <is>
          <t>solver_4x_required_pct</t>
        </is>
      </c>
    </row>
    <row r="4">
      <c r="A4" t="inlineStr">
        <is>
          <t>700M</t>
        </is>
      </c>
      <c r="B4">
        <f>Assumptions!$B$58</f>
        <v/>
      </c>
      <c r="C4">
        <f>(3*Assumptions!$B$47)*Assumptions!$B$141/(Waterfall!$B$16*Assumptions!$B$121)</f>
        <v/>
      </c>
      <c r="D4">
        <f>(4*Assumptions!$B$47)*Assumptions!$B$141/(Waterfall!$B$16*Assumptions!$B$121)</f>
        <v/>
      </c>
    </row>
    <row r="5">
      <c r="A5" t="inlineStr">
        <is>
          <t>1200M</t>
        </is>
      </c>
      <c r="B5">
        <f>Assumptions!$B$59</f>
        <v/>
      </c>
      <c r="C5">
        <f>(3*Assumptions!$B$47)*Assumptions!$B$141/(Waterfall!$C$16*Assumptions!$B$121)</f>
        <v/>
      </c>
      <c r="D5">
        <f>(4*Assumptions!$B$47)*Assumptions!$B$141/(Waterfall!$C$16*Assumptions!$B$121)</f>
        <v/>
      </c>
    </row>
    <row r="6">
      <c r="A6" t="inlineStr">
        <is>
          <t>2000M</t>
        </is>
      </c>
      <c r="B6">
        <f>Assumptions!$B$60</f>
        <v/>
      </c>
      <c r="C6">
        <f>(3*Assumptions!$B$47)*Assumptions!$B$141/(Waterfall!$D$16*Assumptions!$B$121)</f>
        <v/>
      </c>
      <c r="D6">
        <f>(4*Assumptions!$B$47)*Assumptions!$B$141/(Waterfall!$D$16*Assumptions!$B$121)</f>
        <v/>
      </c>
    </row>
    <row r="7">
      <c r="A7" t="inlineStr">
        <is>
          <t>4000M</t>
        </is>
      </c>
      <c r="B7">
        <f>Assumptions!$B$61</f>
        <v/>
      </c>
      <c r="C7">
        <f>(3*Assumptions!$B$47)*Assumptions!$B$141/(Waterfall!$E$16*Assumptions!$B$121)</f>
        <v/>
      </c>
      <c r="D7">
        <f>(4*Assumptions!$B$47)*Assumptions!$B$141/(Waterfall!$E$16*Assumptions!$B$121)</f>
        <v/>
      </c>
    </row>
    <row r="8">
      <c r="A8" t="inlineStr">
        <is>
          <t>8000M</t>
        </is>
      </c>
      <c r="B8">
        <f>Assumptions!$B$62</f>
        <v/>
      </c>
      <c r="C8">
        <f>(3*Assumptions!$B$47)*Assumptions!$B$141/(Waterfall!$F$16*Assumptions!$B$121)</f>
        <v/>
      </c>
      <c r="D8">
        <f>(4*Assumptions!$B$47)*Assumptions!$B$141/(Waterfall!$F$16*Assumptions!$B$121)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2026-04-26T18:49:34Z</dcterms:created>
  <dcterms:modified xmlns:dcterms="http://purl.org/dc/terms/" xmlns:xsi="http://www.w3.org/2001/XMLSchema-instance" xsi:type="dcterms:W3CDTF">2026-04-26T18:49:34Z</dcterms:modified>
</cp:coreProperties>
</file>