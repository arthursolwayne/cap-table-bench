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5"/>
    <sheet sheetId="2" name="Pro-Forma" state="visible" r:id="rId6"/>
    <sheet sheetId="3" name="Return-Solver" state="visible" r:id="rId7"/>
    <sheet sheetId="4" name="Sensitivity" state="visible" r:id="rId8"/>
    <sheet sheetId="5" name="Waterfall" state="visible" r:id="rId9"/>
  </sheets>
  <calcPr calcId="171027" fullCalcOnLoad="1"/>
</workbook>
</file>

<file path=xl/sharedStrings.xml><?xml version="1.0" encoding="utf-8"?>
<sst xmlns="http://schemas.openxmlformats.org/spreadsheetml/2006/main" count="299" uniqueCount="252">
  <si>
    <t>Kelvin Dynamics — Series F Assumptions</t>
  </si>
  <si>
    <t>$ in actual dollars; shares in actual count</t>
  </si>
  <si>
    <t>Round Terms</t>
  </si>
  <si>
    <t>Series F pre-money valuation ($)</t>
  </si>
  <si>
    <t>Series F primary raise ($)</t>
  </si>
  <si>
    <t>Series F secondary raise ($)</t>
  </si>
  <si>
    <t>Tender PPS multiplier (× F PPS)</t>
  </si>
  <si>
    <t>ESOP refresh target (% of post-F FD)</t>
  </si>
  <si>
    <t>Our fund check ($)</t>
  </si>
  <si>
    <t>F_LEAD primary check ($)</t>
  </si>
  <si>
    <t>Option strike ($/share)</t>
  </si>
  <si>
    <t>Pre-F Cap Table Inputs</t>
  </si>
  <si>
    <t>Founder F1 (CEO) common shares</t>
  </si>
  <si>
    <t>Founder F2 (CTO) common shares</t>
  </si>
  <si>
    <t>Founder F3 (Chief Scientist) common shares</t>
  </si>
  <si>
    <t>Employee RSAs (10× 100k)</t>
  </si>
  <si>
    <t>Pre-F issued options</t>
  </si>
  <si>
    <t>Pre-F unissued options</t>
  </si>
  <si>
    <t>Pre-F option pool (issued + unissued)</t>
  </si>
  <si>
    <t>Pre-F broad-based FD total</t>
  </si>
  <si>
    <t>Prior-Round OCPs / PPS / Investments</t>
  </si>
  <si>
    <t>OCP-for-AD ($)</t>
  </si>
  <si>
    <t>PPS-issued ($)</t>
  </si>
  <si>
    <t>Issued shares</t>
  </si>
  <si>
    <t>Invested ($)</t>
  </si>
  <si>
    <t>Seed</t>
  </si>
  <si>
    <t>Series A</t>
  </si>
  <si>
    <t>Series B</t>
  </si>
  <si>
    <t>Series C</t>
  </si>
  <si>
    <t>Series D (post-E v3·v4 compound)</t>
  </si>
  <si>
    <t>Series E</t>
  </si>
  <si>
    <t>Convertible Notes</t>
  </si>
  <si>
    <t>Principal ($)</t>
  </si>
  <si>
    <t>Cap ($)</t>
  </si>
  <si>
    <t>Discount</t>
  </si>
  <si>
    <t>Note A</t>
  </si>
  <si>
    <t>Note B</t>
  </si>
  <si>
    <t>Exit Scenarios</t>
  </si>
  <si>
    <t>Exit 1 ($)</t>
  </si>
  <si>
    <t>Exit 2 ($)</t>
  </si>
  <si>
    <t>Exit 3 ($) — sensitivity reference</t>
  </si>
  <si>
    <t>Exit 4 ($)</t>
  </si>
  <si>
    <t>Exit 5 ($)</t>
  </si>
  <si>
    <t>Sensitivity Axes</t>
  </si>
  <si>
    <t>ESOP refresh — low</t>
  </si>
  <si>
    <t>ESOP refresh — base</t>
  </si>
  <si>
    <t>ESOP refresh — high</t>
  </si>
  <si>
    <t>Series F pre-money — low ($)</t>
  </si>
  <si>
    <t>Series F pre-money — base ($)</t>
  </si>
  <si>
    <t>Series F pre-money — high ($)</t>
  </si>
  <si>
    <t>Return Multiples</t>
  </si>
  <si>
    <t>Target multiple — 3×</t>
  </si>
  <si>
    <t>Target multiple — 4×</t>
  </si>
  <si>
    <t>Tender ($15M @ 0.85·F_PPS) transfers founder common to F_LEAD; no new shares issued.</t>
  </si>
  <si>
    <t>AD: broad-based weighted-average. NCP = OCP × (A+B) / (A+C); A=pre-F FD, B=$30M/OCP, C=$30M/F_PPS.</t>
  </si>
  <si>
    <t>Notes convert at F closing. Cap-implied PPS computed against pre-money FD excluding own note's shares.</t>
  </si>
  <si>
    <t>Kelvin Dynamics — Pro-Forma Series F Cap Table</t>
  </si>
  <si>
    <t>Round mechanics, anti-dilution, note conversions, secondary tender, post-F cap table</t>
  </si>
  <si>
    <t>Round Mechanics</t>
  </si>
  <si>
    <t>Series F pre-money ($)</t>
  </si>
  <si>
    <t>Primary raise ($)</t>
  </si>
  <si>
    <t>Pre-F broad-based FD</t>
  </si>
  <si>
    <t>Pre-F option pool</t>
  </si>
  <si>
    <t>Pre-F shares ex-options</t>
  </si>
  <si>
    <t>α_D coefficient (D AD constant)</t>
  </si>
  <si>
    <t>α_E coefficient (E AD constant)</t>
  </si>
  <si>
    <t>Note A — cap-branch test (cap+prin &lt; pre·(1−disc))</t>
  </si>
  <si>
    <t>Note A — share coefficient (c_A)</t>
  </si>
  <si>
    <t>Note B — cap-branch test</t>
  </si>
  <si>
    <t>Note B — share coefficient (c_B)</t>
  </si>
  <si>
    <t>K_const numerator</t>
  </si>
  <si>
    <t>Solver denominator</t>
  </si>
  <si>
    <t>Pre-money FD (P)</t>
  </si>
  <si>
    <t>Series F PPS ($)</t>
  </si>
  <si>
    <t>New F primary shares</t>
  </si>
  <si>
    <t>Post-F FD (T)</t>
  </si>
  <si>
    <t>ESOP pool total post-F</t>
  </si>
  <si>
    <t>ESOP top-up shares (new)</t>
  </si>
  <si>
    <t>Post-F unissued options</t>
  </si>
  <si>
    <t>Anti-Dilution Block (broad-based WA)</t>
  </si>
  <si>
    <t>Trigger?</t>
  </si>
  <si>
    <t>New Conv Price ($)</t>
  </si>
  <si>
    <t>New Ratio</t>
  </si>
  <si>
    <t>Issued Shares</t>
  </si>
  <si>
    <t>As-Converted Shares</t>
  </si>
  <si>
    <t>Series D</t>
  </si>
  <si>
    <t>Convertible Note Conversions</t>
  </si>
  <si>
    <t>Cap-Implied PPS ($)</t>
  </si>
  <si>
    <t>Disc-Implied PPS ($)</t>
  </si>
  <si>
    <t>Conv PPS ($)</t>
  </si>
  <si>
    <t>Branch</t>
  </si>
  <si>
    <t>Shares Issued</t>
  </si>
  <si>
    <t>Secondary Tender ($15M @ 0.85·F_PPS)</t>
  </si>
  <si>
    <t>Tender PPS ($)</t>
  </si>
  <si>
    <t>Tender shares (transferred to F_LEAD)</t>
  </si>
  <si>
    <t>Founder F1 share-out (50.00%)</t>
  </si>
  <si>
    <t>Founder F2 share-out (31.25%)</t>
  </si>
  <si>
    <t>Founder F3 share-out (18.75%)</t>
  </si>
  <si>
    <t>F_LEAD secondary common holding</t>
  </si>
  <si>
    <t>Post-F Cap Table by Stakeholder</t>
  </si>
  <si>
    <t>Stakeholder</t>
  </si>
  <si>
    <t>Security Class</t>
  </si>
  <si>
    <t>Shares</t>
  </si>
  <si>
    <t>% FD</t>
  </si>
  <si>
    <t>Founder F1 (CEO)</t>
  </si>
  <si>
    <t>Common</t>
  </si>
  <si>
    <t>Founder F2 (CTO)</t>
  </si>
  <si>
    <t>Founder F3 (Chief Scientist)</t>
  </si>
  <si>
    <t>Employee RSAs (10×100k)</t>
  </si>
  <si>
    <t>Common (RSA)</t>
  </si>
  <si>
    <t>F_LEAD — secondary common</t>
  </si>
  <si>
    <t>Common (tender)</t>
  </si>
  <si>
    <t>Series Seed LP</t>
  </si>
  <si>
    <t>Series Seed</t>
  </si>
  <si>
    <t>Series A LP</t>
  </si>
  <si>
    <t>Series B LP</t>
  </si>
  <si>
    <t>Series C LP</t>
  </si>
  <si>
    <t>Series D LP</t>
  </si>
  <si>
    <t>Series D (post-AD)</t>
  </si>
  <si>
    <t>Series E LPs (10 investors)</t>
  </si>
  <si>
    <t>Series E (post-AD)</t>
  </si>
  <si>
    <t>Note A holder</t>
  </si>
  <si>
    <t>Notes (F-equiv)</t>
  </si>
  <si>
    <t>Note B holder</t>
  </si>
  <si>
    <t>F_LEAD — Series F primary</t>
  </si>
  <si>
    <t>Series F</t>
  </si>
  <si>
    <t>Our Fund — Series F primary</t>
  </si>
  <si>
    <t>Issued options (vested)</t>
  </si>
  <si>
    <t>Options</t>
  </si>
  <si>
    <t>Unissued options</t>
  </si>
  <si>
    <t>Options pool</t>
  </si>
  <si>
    <t>TOTAL post-F FD</t>
  </si>
  <si>
    <t>Check</t>
  </si>
  <si>
    <t>Kelvin Dynamics — Return Solver</t>
  </si>
  <si>
    <t>Required Series F ownership % for our $10M to return 3× ($30M) and 4× ($40M), per exit</t>
  </si>
  <si>
    <t>Base Case Inputs (from Pro-Forma)</t>
  </si>
  <si>
    <t>F primary total shares</t>
  </si>
  <si>
    <t>F primary aggregate liquidation pref ($)</t>
  </si>
  <si>
    <t>Our $10M check</t>
  </si>
  <si>
    <t>Our F primary shares</t>
  </si>
  <si>
    <t>Target proceeds — 3× ($)</t>
  </si>
  <si>
    <t>Target proceeds — 4× ($)</t>
  </si>
  <si>
    <t>Required Series F Ownership % per Exit</t>
  </si>
  <si>
    <t>Exit value ($)</t>
  </si>
  <si>
    <t>Equilibrium per-share ($)</t>
  </si>
  <si>
    <t>F election</t>
  </si>
  <si>
    <t>— 3× return target ($30M) —</t>
  </si>
  <si>
    <t>Required F ownership % (3×)</t>
  </si>
  <si>
    <t>Feasibility (3×)</t>
  </si>
  <si>
    <t>Implied $ check (sanity recon)</t>
  </si>
  <si>
    <t>— 4× return target ($40M) —</t>
  </si>
  <si>
    <t>Required F ownership % (4×)</t>
  </si>
  <si>
    <t>Feasibility (4×)</t>
  </si>
  <si>
    <t>Reference: actual base-case position (our $10M = 1/3 of F)</t>
  </si>
  <si>
    <t>Our actual F ownership %</t>
  </si>
  <si>
    <t>Our proceeds (base case, $)</t>
  </si>
  <si>
    <t>Our actual return multiple</t>
  </si>
  <si>
    <t>Note: 3× / 4× pcts &gt; 100% are infeasible (our $10M cannot own &gt;100% of Series F primary).</t>
  </si>
  <si>
    <t>At low exits (where F elects preference), required pct = target / F_pref ($30M); 4× target requires $40M / $30M = 133% which is infeasible.</t>
  </si>
  <si>
    <t>Kelvin Dynamics — Sensitivity Analysis</t>
  </si>
  <si>
    <t>3×3: ESOP refresh × Series F pre-money. Each cell re-solves round + waterfall at $2B exit.</t>
  </si>
  <si>
    <t>Scenario Engine — Round Fixed Point + Waterfall at $2B</t>
  </si>
  <si>
    <t>Scenario</t>
  </si>
  <si>
    <t>Pre-money ($)</t>
  </si>
  <si>
    <t>ESOP target</t>
  </si>
  <si>
    <t>c_A (Note A coef given pre)</t>
  </si>
  <si>
    <t>c_B (Note B coef given pre)</t>
  </si>
  <si>
    <t>α_D coefficient</t>
  </si>
  <si>
    <t>α_E coefficient</t>
  </si>
  <si>
    <t>Denom (form 1, top-up positive)</t>
  </si>
  <si>
    <t>P1 (form 1)</t>
  </si>
  <si>
    <t>T1 (form 1)</t>
  </si>
  <si>
    <t>Form 1 ESOP target $T1</t>
  </si>
  <si>
    <t>Form 1 valid? (target &gt; pre-F pool)</t>
  </si>
  <si>
    <t>Denom (form 2, pool stays at pre-F)</t>
  </si>
  <si>
    <t>P2 (form 2)</t>
  </si>
  <si>
    <t>Pre-money FD (P, chosen)</t>
  </si>
  <si>
    <t>ESOP pool (post-F)</t>
  </si>
  <si>
    <t>AD_D as-converted shares</t>
  </si>
  <si>
    <t>AD_E as-converted shares</t>
  </si>
  <si>
    <t>Note A shares (= c_A × P)</t>
  </si>
  <si>
    <t>Note B shares (= c_B × P)</t>
  </si>
  <si>
    <t>Note A branch</t>
  </si>
  <si>
    <t>Note B branch</t>
  </si>
  <si>
    <t>ψ_Seed</t>
  </si>
  <si>
    <t>ψ_A</t>
  </si>
  <si>
    <t>ψ_B</t>
  </si>
  <si>
    <t>ψ_C</t>
  </si>
  <si>
    <t>ψ_F (= F_PPS)</t>
  </si>
  <si>
    <t>ψ_E (= 300M / AD_E shares)</t>
  </si>
  <si>
    <t>ψ_D (= 100M / AD_D shares)</t>
  </si>
  <si>
    <t>PS_{k=0} candidate</t>
  </si>
  <si>
    <t>PS_{k=1} candidate</t>
  </si>
  <si>
    <t>PS_{k=2} candidate</t>
  </si>
  <si>
    <t>PS_{k=3} candidate</t>
  </si>
  <si>
    <t>PS_{k=4} candidate</t>
  </si>
  <si>
    <t>PS_{k=5} candidate</t>
  </si>
  <si>
    <t>PS_{k=6} candidate</t>
  </si>
  <si>
    <t>PS_{k=7} candidate</t>
  </si>
  <si>
    <t>Equilibrium per-share at $2B ($)</t>
  </si>
  <si>
    <t>F election at $2B</t>
  </si>
  <si>
    <t>Our post-F ownership %</t>
  </si>
  <si>
    <t>Our proceeds at $2B exit ($)</t>
  </si>
  <si>
    <t>Sensitivity Grid — Our Post-F Ownership %</t>
  </si>
  <si>
    <t>ESOP \ Pre-money</t>
  </si>
  <si>
    <t>Sensitivity Grid — Our Proceeds at $2B Exit</t>
  </si>
  <si>
    <t>Note: yellow cell = base case ($1.4B pre, 13% ESOP). Form 2 (pool stays at pre-F) used when target × T &lt; pre-F pool.</t>
  </si>
  <si>
    <t>At pre=$1.2B, Note A's branch flips from cap to discount (cap+prin &gt; pre·(1−disc)).</t>
  </si>
  <si>
    <t>Kelvin Dynamics — Exit Waterfall</t>
  </si>
  <si>
    <t>1× non-participating with conversion election; 5 exit scenarios; 7 priced classes</t>
  </si>
  <si>
    <t>Inputs (from Pro-Forma)</t>
  </si>
  <si>
    <t>Liquidation Pref ($)</t>
  </si>
  <si>
    <t>ψ = Pref / Shares</t>
  </si>
  <si>
    <t>Common + RSAs (founders + employees, post-tender total unchanged)</t>
  </si>
  <si>
    <t>Notes (Note A + Note B converted, common-equivalent)</t>
  </si>
  <si>
    <t>Issued options</t>
  </si>
  <si>
    <t>Option strike ($)</t>
  </si>
  <si>
    <t>Total preferred prefs (all 7)</t>
  </si>
  <si>
    <t>Per-Share Equilibrium (k = # of converting classes, sorted by ψ asc)</t>
  </si>
  <si>
    <t>k (# converting)</t>
  </si>
  <si>
    <t>ψ_k</t>
  </si>
  <si>
    <t>Cum Conv Shares</t>
  </si>
  <si>
    <t>Cum Conv Prefs ($)</t>
  </si>
  <si>
    <t>ψ_{k+1}</t>
  </si>
  <si>
    <t>PS_k Exit 1</t>
  </si>
  <si>
    <t>PS_k Exit 2</t>
  </si>
  <si>
    <t>PS_k Exit 3</t>
  </si>
  <si>
    <t>PS_k Exit 4</t>
  </si>
  <si>
    <t>PS_k Exit 5</t>
  </si>
  <si>
    <t>k=0 (no converters)</t>
  </si>
  <si>
    <t>k=1 (1 converter)</t>
  </si>
  <si>
    <t>k=2 (2 converters)</t>
  </si>
  <si>
    <t>k=3 (3 converters)</t>
  </si>
  <si>
    <t>k=4 (4 converters)</t>
  </si>
  <si>
    <t>k=5 (5 converters)</t>
  </si>
  <si>
    <t>k=6 (6 converters)</t>
  </si>
  <si>
    <t>k=7 (all converters)</t>
  </si>
  <si>
    <t>Options ITM at equilibrium?</t>
  </si>
  <si>
    <t>Class Elections (preference vs convert, given Nash equilibrium)</t>
  </si>
  <si>
    <t>Series F — election</t>
  </si>
  <si>
    <t>Series E — election</t>
  </si>
  <si>
    <t>Series D — election</t>
  </si>
  <si>
    <t>Series C — election</t>
  </si>
  <si>
    <t>Series B — election</t>
  </si>
  <si>
    <t>Series A — election</t>
  </si>
  <si>
    <t>Series Seed — election</t>
  </si>
  <si>
    <t>Proceeds by Class ($)</t>
  </si>
  <si>
    <t>Notes (Note A + Note B, common-equiv)</t>
  </si>
  <si>
    <t>Common + RSAs</t>
  </si>
  <si>
    <t>Issued options (net of strike if ITM)</t>
  </si>
  <si>
    <t>TOTAL proceeds</t>
  </si>
  <si>
    <t>Reconciliation diff vs exit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</si>
</sst>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&quot;$&quot;#,##0_);\(&quot;$&quot;#,##0\);\-\-_)"/>
    <numFmt numFmtId="165" formatCode="0.0%"/>
    <numFmt numFmtId="166" formatCode="#,##0_);\(#,##0\);\-\-_)"/>
    <numFmt numFmtId="167" formatCode="0.0&quot;x&quot;_);\(0.0&quot;x&quot;\);\-\-_)"/>
    <numFmt numFmtId="168" formatCode="0.0%_);\(0.0%\);\-\-_)"/>
    <numFmt numFmtId="169" formatCode="0.000000%_);\(0.000000%\);\-\-_)"/>
    <numFmt numFmtId="170" formatCode="&quot;$&quot;#,##0.0,,&quot;M&quot;_);\(&quot;$&quot;#,##0.0,,&quot;M&quot;\);\-\-_)"/>
    <numFmt numFmtId="171" formatCode="0.0000%_);\(0.0000%\);\-\-_)"/>
  </numFmts>
  <fonts count="10" x14ac:knownFonts="1">
    <font>
      <color theme="1"/>
      <family val="2"/>
      <scheme val="minor"/>
      <sz val="11"/>
      <name val="Calibri"/>
    </font>
    <font>
      <b/>
      <charset val="134"/>
      <color rgb="FF000000"/>
      <family val="1"/>
      <sz val="14"/>
      <name val="Arial"/>
    </font>
    <font>
      <i/>
      <charset val="134"/>
      <color rgb="FF666666"/>
      <family val="1"/>
      <sz val="10"/>
      <name val="Arial"/>
    </font>
    <font>
      <b/>
      <charset val="134"/>
      <color rgb="FFFFFFFF"/>
      <family val="1"/>
      <sz val="10"/>
      <name val="Arial"/>
    </font>
    <font>
      <charset val="134"/>
      <color rgb="FF000000"/>
      <family val="1"/>
      <sz val="10"/>
      <name val="Arial"/>
    </font>
    <font>
      <charset val="134"/>
      <color rgb="FF0000FF"/>
      <family val="1"/>
      <sz val="10"/>
      <name val="Arial"/>
    </font>
    <font>
      <b/>
      <charset val="134"/>
      <color rgb="FF000000"/>
      <family val="1"/>
      <sz val="10"/>
      <name val="Arial"/>
    </font>
    <font>
      <i/>
      <charset val="134"/>
      <color rgb="FF666666"/>
      <family val="1"/>
      <sz val="8"/>
      <name val="Arial"/>
    </font>
    <font>
      <charset val="134"/>
      <color rgb="FF00B050"/>
      <family val="1"/>
      <sz val="10"/>
      <name val="Arial"/>
    </font>
    <font>
      <b/>
      <charset val="134"/>
      <color rgb="FF7030A0"/>
      <family val="1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CF8E3"/>
      </patternFill>
    </fill>
    <fill>
      <patternFill patternType="solid">
        <fgColor rgb="FFDCE6F1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164" fontId="5" fillId="3" borderId="0" xfId="0" applyNumberFormat="1" applyFont="1" applyFill="1" applyAlignment="1">
      <alignment horizontal="right"/>
    </xf>
    <xf numFmtId="165" fontId="5" fillId="3" borderId="0" xfId="0" applyNumberFormat="1" applyFont="1" applyFill="1" applyAlignment="1">
      <alignment horizontal="right"/>
    </xf>
    <xf numFmtId="166" fontId="5" fillId="3" borderId="0" xfId="0" applyNumberFormat="1" applyFont="1" applyFill="1" applyAlignment="1">
      <alignment horizontal="right"/>
    </xf>
    <xf numFmtId="0" fontId="6" fillId="0" borderId="0" xfId="0" applyFont="1" applyAlignment="1">
      <alignment horizontal="left"/>
    </xf>
    <xf numFmtId="166" fontId="4" fillId="0" borderId="0" xfId="0" applyNumberFormat="1" applyFont="1" applyAlignment="1">
      <alignment horizontal="right"/>
    </xf>
    <xf numFmtId="0" fontId="6" fillId="0" borderId="1" xfId="0" applyFont="1" applyBorder="1" applyAlignment="1">
      <alignment horizontal="center"/>
    </xf>
    <xf numFmtId="167" fontId="5" fillId="3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164" fontId="8" fillId="0" borderId="0" xfId="0" applyNumberFormat="1" applyFont="1" applyAlignment="1">
      <alignment horizontal="right"/>
    </xf>
    <xf numFmtId="168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166" fontId="6" fillId="0" borderId="2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6" fontId="6" fillId="0" borderId="3" xfId="0" applyNumberFormat="1" applyFont="1" applyBorder="1" applyAlignment="1">
      <alignment horizontal="right"/>
    </xf>
    <xf numFmtId="169" fontId="6" fillId="0" borderId="3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right"/>
    </xf>
    <xf numFmtId="168" fontId="9" fillId="0" borderId="0" xfId="0" applyNumberFormat="1" applyFont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3" fillId="2" borderId="0" xfId="0" applyFont="1" applyFill="1" applyAlignment="1">
      <alignment horizontal="center" vertical="center"/>
    </xf>
    <xf numFmtId="170" fontId="6" fillId="4" borderId="0" xfId="0" applyNumberFormat="1" applyFont="1" applyFill="1" applyAlignment="1">
      <alignment horizontal="center"/>
    </xf>
    <xf numFmtId="168" fontId="6" fillId="4" borderId="0" xfId="0" applyNumberFormat="1" applyFont="1" applyFill="1" applyAlignment="1">
      <alignment horizontal="right"/>
    </xf>
    <xf numFmtId="171" fontId="4" fillId="0" borderId="0" xfId="0" applyNumberFormat="1" applyFont="1" applyAlignment="1">
      <alignment horizontal="right"/>
    </xf>
    <xf numFmtId="171" fontId="6" fillId="5" borderId="0" xfId="0" applyNumberFormat="1" applyFont="1" applyFill="1" applyAlignment="1">
      <alignment horizontal="right"/>
    </xf>
    <xf numFmtId="164" fontId="6" fillId="5" borderId="0" xfId="0" applyNumberFormat="1" applyFont="1" applyFill="1" applyAlignment="1">
      <alignment horizontal="right"/>
    </xf>
    <xf numFmtId="164" fontId="6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0"/>
  <sheetViews>
    <sheetView workbookViewId="0" showGridLines="0"/>
  </sheetViews>
  <sheetFormatPr defaultRowHeight="12.75" outlineLevelRow="0" outlineLevelCol="0" x14ac:dyDescent="0" defaultColWidth="11.455" customHeight="1"/>
  <cols>
    <col min="1" max="1" width="1.705" customWidth="1"/>
    <col min="2" max="2" width="40.205" customWidth="1"/>
    <col min="3" max="6" width="16.455" customWidth="1"/>
  </cols>
  <sheetData>
    <row r="2" ht="18" customHeight="1" spans="2:2" x14ac:dyDescent="0.25">
      <c r="B2" s="1" t="s">
        <v>0</v>
      </c>
    </row>
    <row r="3" spans="2:2" x14ac:dyDescent="0.25">
      <c r="B3" s="2" t="s">
        <v>1</v>
      </c>
    </row>
    <row r="5" spans="2:6" x14ac:dyDescent="0.25">
      <c r="B5" s="3" t="s">
        <v>2</v>
      </c>
      <c r="C5" s="4"/>
      <c r="D5" s="4"/>
      <c r="E5" s="4"/>
      <c r="F5" s="4"/>
    </row>
    <row r="6" spans="2:3" x14ac:dyDescent="0.25">
      <c r="B6" s="5" t="s">
        <v>3</v>
      </c>
      <c r="C6" s="6">
        <v>1400000000</v>
      </c>
    </row>
    <row r="7" spans="2:3" x14ac:dyDescent="0.25">
      <c r="B7" s="5" t="s">
        <v>4</v>
      </c>
      <c r="C7" s="6">
        <v>30000000</v>
      </c>
    </row>
    <row r="8" spans="2:3" x14ac:dyDescent="0.25">
      <c r="B8" s="5" t="s">
        <v>5</v>
      </c>
      <c r="C8" s="6">
        <v>15000000</v>
      </c>
    </row>
    <row r="9" spans="2:3" x14ac:dyDescent="0.25">
      <c r="B9" s="5" t="s">
        <v>6</v>
      </c>
      <c r="C9" s="7">
        <v>0.85</v>
      </c>
    </row>
    <row r="10" spans="2:3" x14ac:dyDescent="0.25">
      <c r="B10" s="5" t="s">
        <v>7</v>
      </c>
      <c r="C10" s="7">
        <v>0.13</v>
      </c>
    </row>
    <row r="11" spans="2:3" x14ac:dyDescent="0.25">
      <c r="B11" s="5" t="s">
        <v>8</v>
      </c>
      <c r="C11" s="6">
        <v>10000000</v>
      </c>
    </row>
    <row r="12" spans="2:3" x14ac:dyDescent="0.25">
      <c r="B12" s="5" t="s">
        <v>9</v>
      </c>
      <c r="C12" s="6">
        <v>20000000</v>
      </c>
    </row>
    <row r="13" spans="2:3" x14ac:dyDescent="0.25">
      <c r="B13" s="5" t="s">
        <v>10</v>
      </c>
      <c r="C13" s="6">
        <v>1</v>
      </c>
    </row>
    <row r="15" spans="2:6" x14ac:dyDescent="0.25">
      <c r="B15" s="3" t="s">
        <v>11</v>
      </c>
      <c r="C15" s="4"/>
      <c r="D15" s="4"/>
      <c r="E15" s="4"/>
      <c r="F15" s="4"/>
    </row>
    <row r="16" spans="2:3" x14ac:dyDescent="0.25">
      <c r="B16" s="5" t="s">
        <v>12</v>
      </c>
      <c r="C16" s="8">
        <v>4000000</v>
      </c>
    </row>
    <row r="17" spans="2:3" x14ac:dyDescent="0.25">
      <c r="B17" s="5" t="s">
        <v>13</v>
      </c>
      <c r="C17" s="8">
        <v>2500000</v>
      </c>
    </row>
    <row r="18" spans="2:3" x14ac:dyDescent="0.25">
      <c r="B18" s="5" t="s">
        <v>14</v>
      </c>
      <c r="C18" s="8">
        <v>1500000</v>
      </c>
    </row>
    <row r="19" spans="2:3" x14ac:dyDescent="0.25">
      <c r="B19" s="5" t="s">
        <v>15</v>
      </c>
      <c r="C19" s="8">
        <v>1000000</v>
      </c>
    </row>
    <row r="20" spans="2:3" x14ac:dyDescent="0.25">
      <c r="B20" s="5" t="s">
        <v>16</v>
      </c>
      <c r="C20" s="8">
        <v>2500000</v>
      </c>
    </row>
    <row r="21" spans="2:3" x14ac:dyDescent="0.25">
      <c r="B21" s="5" t="s">
        <v>17</v>
      </c>
      <c r="C21" s="8">
        <v>1894667</v>
      </c>
    </row>
    <row r="22" spans="2:3" x14ac:dyDescent="0.25">
      <c r="B22" s="9" t="s">
        <v>18</v>
      </c>
      <c r="C22" s="10">
        <f>C20+C21</f>
        <v>4394667</v>
      </c>
    </row>
    <row r="23" spans="2:3" x14ac:dyDescent="0.25">
      <c r="B23" s="9" t="s">
        <v>19</v>
      </c>
      <c r="C23" s="8">
        <v>36617961</v>
      </c>
    </row>
    <row r="25" spans="2:6" x14ac:dyDescent="0.25">
      <c r="B25" s="3" t="s">
        <v>20</v>
      </c>
      <c r="C25" s="4"/>
      <c r="D25" s="4"/>
      <c r="E25" s="4"/>
      <c r="F25" s="4"/>
    </row>
    <row r="26" spans="3:6" x14ac:dyDescent="0.25">
      <c r="C26" s="11" t="s">
        <v>21</v>
      </c>
      <c r="D26" s="11" t="s">
        <v>22</v>
      </c>
      <c r="E26" s="11" t="s">
        <v>23</v>
      </c>
      <c r="F26" s="11" t="s">
        <v>24</v>
      </c>
    </row>
    <row r="27" spans="2:6" x14ac:dyDescent="0.25">
      <c r="B27" s="5" t="s">
        <v>25</v>
      </c>
      <c r="C27" s="6">
        <v>1</v>
      </c>
      <c r="D27" s="6">
        <v>1</v>
      </c>
      <c r="E27" s="8">
        <v>5000000</v>
      </c>
      <c r="F27" s="6">
        <v>5000000</v>
      </c>
    </row>
    <row r="28" spans="2:6" x14ac:dyDescent="0.25">
      <c r="B28" s="5" t="s">
        <v>26</v>
      </c>
      <c r="C28" s="6">
        <v>3</v>
      </c>
      <c r="D28" s="6">
        <v>3</v>
      </c>
      <c r="E28" s="8">
        <v>5000000</v>
      </c>
      <c r="F28" s="6">
        <v>15000000</v>
      </c>
    </row>
    <row r="29" spans="2:6" x14ac:dyDescent="0.25">
      <c r="B29" s="5" t="s">
        <v>27</v>
      </c>
      <c r="C29" s="6">
        <v>10</v>
      </c>
      <c r="D29" s="6">
        <v>10</v>
      </c>
      <c r="E29" s="8">
        <v>3000000</v>
      </c>
      <c r="F29" s="6">
        <v>30000000</v>
      </c>
    </row>
    <row r="30" spans="2:6" x14ac:dyDescent="0.25">
      <c r="B30" s="5" t="s">
        <v>28</v>
      </c>
      <c r="C30" s="6">
        <v>25</v>
      </c>
      <c r="D30" s="6">
        <v>25</v>
      </c>
      <c r="E30" s="8">
        <v>2400000</v>
      </c>
      <c r="F30" s="6">
        <v>60000000</v>
      </c>
    </row>
    <row r="31" spans="2:6" x14ac:dyDescent="0.25">
      <c r="B31" s="5" t="s">
        <v>29</v>
      </c>
      <c r="C31" s="8">
        <v>58.118347</v>
      </c>
      <c r="D31" s="6">
        <v>60</v>
      </c>
      <c r="E31" s="8">
        <v>1720627</v>
      </c>
      <c r="F31" s="6">
        <v>100000000</v>
      </c>
    </row>
    <row r="32" spans="2:6" x14ac:dyDescent="0.25">
      <c r="B32" s="5" t="s">
        <v>30</v>
      </c>
      <c r="C32" s="8">
        <v>49.158311</v>
      </c>
      <c r="D32" s="8">
        <v>49.158311</v>
      </c>
      <c r="E32" s="8">
        <v>6102667</v>
      </c>
      <c r="F32" s="6">
        <v>300000000</v>
      </c>
    </row>
    <row r="34" spans="2:6" x14ac:dyDescent="0.25">
      <c r="B34" s="3" t="s">
        <v>31</v>
      </c>
      <c r="C34" s="4"/>
      <c r="D34" s="4"/>
      <c r="E34" s="4"/>
      <c r="F34" s="4"/>
    </row>
    <row r="35" spans="3:5" x14ac:dyDescent="0.25">
      <c r="C35" s="11" t="s">
        <v>32</v>
      </c>
      <c r="D35" s="11" t="s">
        <v>33</v>
      </c>
      <c r="E35" s="11" t="s">
        <v>34</v>
      </c>
    </row>
    <row r="36" spans="2:5" x14ac:dyDescent="0.25">
      <c r="B36" s="5" t="s">
        <v>35</v>
      </c>
      <c r="C36" s="6">
        <v>5000000</v>
      </c>
      <c r="D36" s="6">
        <v>1000000000</v>
      </c>
      <c r="E36" s="7">
        <v>0.2</v>
      </c>
    </row>
    <row r="37" spans="2:5" x14ac:dyDescent="0.25">
      <c r="B37" s="5" t="s">
        <v>36</v>
      </c>
      <c r="C37" s="6">
        <v>3000000</v>
      </c>
      <c r="D37" s="6">
        <v>1600000000</v>
      </c>
      <c r="E37" s="7">
        <v>0.15</v>
      </c>
    </row>
    <row r="39" spans="2:6" x14ac:dyDescent="0.25">
      <c r="B39" s="3" t="s">
        <v>37</v>
      </c>
      <c r="C39" s="4"/>
      <c r="D39" s="4"/>
      <c r="E39" s="4"/>
      <c r="F39" s="4"/>
    </row>
    <row r="40" spans="2:3" x14ac:dyDescent="0.25">
      <c r="B40" s="5" t="s">
        <v>38</v>
      </c>
      <c r="C40" s="6">
        <v>700000000</v>
      </c>
    </row>
    <row r="41" spans="2:3" x14ac:dyDescent="0.25">
      <c r="B41" s="5" t="s">
        <v>39</v>
      </c>
      <c r="C41" s="6">
        <v>1200000000</v>
      </c>
    </row>
    <row r="42" spans="2:3" x14ac:dyDescent="0.25">
      <c r="B42" s="5" t="s">
        <v>40</v>
      </c>
      <c r="C42" s="6">
        <v>2000000000</v>
      </c>
    </row>
    <row r="43" spans="2:3" x14ac:dyDescent="0.25">
      <c r="B43" s="5" t="s">
        <v>41</v>
      </c>
      <c r="C43" s="6">
        <v>4000000000</v>
      </c>
    </row>
    <row r="44" spans="2:3" x14ac:dyDescent="0.25">
      <c r="B44" s="5" t="s">
        <v>42</v>
      </c>
      <c r="C44" s="6">
        <v>8000000000</v>
      </c>
    </row>
    <row r="46" spans="2:6" x14ac:dyDescent="0.25">
      <c r="B46" s="3" t="s">
        <v>43</v>
      </c>
      <c r="C46" s="4"/>
      <c r="D46" s="4"/>
      <c r="E46" s="4"/>
      <c r="F46" s="4"/>
    </row>
    <row r="47" spans="2:3" x14ac:dyDescent="0.25">
      <c r="B47" s="5" t="s">
        <v>44</v>
      </c>
      <c r="C47" s="7">
        <v>0.11</v>
      </c>
    </row>
    <row r="48" spans="2:3" x14ac:dyDescent="0.25">
      <c r="B48" s="5" t="s">
        <v>45</v>
      </c>
      <c r="C48" s="7">
        <v>0.13</v>
      </c>
    </row>
    <row r="49" spans="2:3" x14ac:dyDescent="0.25">
      <c r="B49" s="5" t="s">
        <v>46</v>
      </c>
      <c r="C49" s="7">
        <v>0.15</v>
      </c>
    </row>
    <row r="50" spans="2:3" x14ac:dyDescent="0.25">
      <c r="B50" s="5" t="s">
        <v>47</v>
      </c>
      <c r="C50" s="6">
        <v>1200000000</v>
      </c>
    </row>
    <row r="51" spans="2:3" x14ac:dyDescent="0.25">
      <c r="B51" s="5" t="s">
        <v>48</v>
      </c>
      <c r="C51" s="6">
        <v>1400000000</v>
      </c>
    </row>
    <row r="52" spans="2:3" x14ac:dyDescent="0.25">
      <c r="B52" s="5" t="s">
        <v>49</v>
      </c>
      <c r="C52" s="6">
        <v>1800000000</v>
      </c>
    </row>
    <row r="54" spans="2:6" x14ac:dyDescent="0.25">
      <c r="B54" s="3" t="s">
        <v>50</v>
      </c>
      <c r="C54" s="4"/>
      <c r="D54" s="4"/>
      <c r="E54" s="4"/>
      <c r="F54" s="4"/>
    </row>
    <row r="55" spans="2:3" x14ac:dyDescent="0.25">
      <c r="B55" s="5" t="s">
        <v>51</v>
      </c>
      <c r="C55" s="12">
        <v>3</v>
      </c>
    </row>
    <row r="56" spans="2:3" x14ac:dyDescent="0.25">
      <c r="B56" s="5" t="s">
        <v>52</v>
      </c>
      <c r="C56" s="12">
        <v>4</v>
      </c>
    </row>
    <row r="58" spans="2:2" x14ac:dyDescent="0.25">
      <c r="B58" s="13" t="s">
        <v>53</v>
      </c>
    </row>
    <row r="59" spans="2:2" x14ac:dyDescent="0.25">
      <c r="B59" s="13" t="s">
        <v>54</v>
      </c>
    </row>
    <row r="60" spans="2:2" x14ac:dyDescent="0.25">
      <c r="B60" s="1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70"/>
  <sheetViews>
    <sheetView workbookViewId="0" showGridLines="0"/>
  </sheetViews>
  <sheetFormatPr defaultRowHeight="12.75" outlineLevelRow="0" outlineLevelCol="0" x14ac:dyDescent="0" defaultColWidth="11.455" customHeight="1"/>
  <cols>
    <col min="1" max="1" width="1.705" customWidth="1"/>
    <col min="2" max="2" width="35.205" customWidth="1"/>
    <col min="3" max="3" width="18.955" customWidth="1"/>
    <col min="4" max="4" width="16.455" customWidth="1"/>
    <col min="5" max="5" width="13.955" customWidth="1"/>
    <col min="6" max="7" width="16.455" customWidth="1"/>
    <col min="8" max="8" width="18.955" customWidth="1"/>
  </cols>
  <sheetData>
    <row r="2" ht="18" customHeight="1" spans="2:2" x14ac:dyDescent="0.25">
      <c r="B2" s="1" t="s">
        <v>56</v>
      </c>
    </row>
    <row r="3" spans="2:2" x14ac:dyDescent="0.25">
      <c r="B3" s="2" t="s">
        <v>57</v>
      </c>
    </row>
    <row r="5" spans="2:8" x14ac:dyDescent="0.25">
      <c r="B5" s="3" t="s">
        <v>58</v>
      </c>
      <c r="C5" s="4"/>
      <c r="D5" s="4"/>
      <c r="E5" s="4"/>
      <c r="F5" s="4"/>
      <c r="G5" s="4"/>
      <c r="H5" s="4"/>
    </row>
    <row r="6" spans="2:3" x14ac:dyDescent="0.25">
      <c r="B6" s="5" t="s">
        <v>59</v>
      </c>
      <c r="C6" s="14">
        <f>Assumptions!C6</f>
        <v>1400000000</v>
      </c>
    </row>
    <row r="7" spans="2:3" x14ac:dyDescent="0.25">
      <c r="B7" s="5" t="s">
        <v>60</v>
      </c>
      <c r="C7" s="14">
        <f>Assumptions!C7</f>
        <v>30000000</v>
      </c>
    </row>
    <row r="8" spans="2:3" x14ac:dyDescent="0.25">
      <c r="B8" s="5" t="s">
        <v>7</v>
      </c>
      <c r="C8" s="15">
        <f>Assumptions!C10</f>
        <v>0.13</v>
      </c>
    </row>
    <row r="9" spans="2:3" x14ac:dyDescent="0.25">
      <c r="B9" s="5" t="s">
        <v>61</v>
      </c>
      <c r="C9" s="16">
        <f>Assumptions!C23</f>
        <v>36617961</v>
      </c>
    </row>
    <row r="10" spans="2:3" x14ac:dyDescent="0.25">
      <c r="B10" s="5" t="s">
        <v>62</v>
      </c>
      <c r="C10" s="16">
        <f>Assumptions!C22</f>
        <v>4394667</v>
      </c>
    </row>
    <row r="11" spans="2:3" x14ac:dyDescent="0.25">
      <c r="B11" s="10" t="s">
        <v>63</v>
      </c>
      <c r="C11" s="10">
        <f>C9-C10</f>
        <v>32223294</v>
      </c>
    </row>
    <row r="12" spans="2:3" x14ac:dyDescent="0.25">
      <c r="B12" s="5" t="s">
        <v>64</v>
      </c>
      <c r="C12" s="10">
        <f>Assumptions!F31/(Assumptions!C31*(C9+C7/Assumptions!C31))</f>
        <v>0.046335437646046355</v>
      </c>
    </row>
    <row r="13" spans="2:3" x14ac:dyDescent="0.25">
      <c r="B13" s="5" t="s">
        <v>65</v>
      </c>
      <c r="C13" s="10">
        <f>Assumptions!F32/(Assumptions!C32*(C9+C7/Assumptions!C32))</f>
        <v>0.16392751842923672</v>
      </c>
    </row>
    <row r="14" spans="2:3" x14ac:dyDescent="0.25">
      <c r="B14" s="5" t="s">
        <v>66</v>
      </c>
      <c r="C14" s="10">
        <f>IF(Assumptions!D36+Assumptions!C36&lt;C6*(1-Assumptions!E36),1,0)</f>
        <v>1</v>
      </c>
    </row>
    <row r="15" spans="2:3" x14ac:dyDescent="0.25">
      <c r="B15" s="5" t="s">
        <v>67</v>
      </c>
      <c r="C15" s="10">
        <f>IF(C14=1,Assumptions!C36/(Assumptions!D36+Assumptions!C36),Assumptions!C36/(C6*(1-Assumptions!E36)))</f>
        <v>0.004975124378109453</v>
      </c>
    </row>
    <row r="16" spans="2:3" x14ac:dyDescent="0.25">
      <c r="B16" s="5" t="s">
        <v>68</v>
      </c>
      <c r="C16" s="10">
        <f>IF(Assumptions!D37+Assumptions!C37&lt;C6*(1-Assumptions!E37),1,0)</f>
        <v>0</v>
      </c>
    </row>
    <row r="17" spans="2:3" x14ac:dyDescent="0.25">
      <c r="B17" s="5" t="s">
        <v>69</v>
      </c>
      <c r="C17" s="10">
        <f>IF(C16=1,Assumptions!C37/(Assumptions!D37+Assumptions!C37),Assumptions!C37/(C6*(1-Assumptions!E37)))</f>
        <v>0.0025210084033613447</v>
      </c>
    </row>
    <row r="18" spans="2:3" x14ac:dyDescent="0.25">
      <c r="B18" s="5" t="s">
        <v>70</v>
      </c>
      <c r="C18" s="10">
        <f>C11-Assumptions!E31-Assumptions!E32+(C12+C13)*C9</f>
        <v>32099400.72530943</v>
      </c>
    </row>
    <row r="19" spans="2:3" x14ac:dyDescent="0.25">
      <c r="B19" s="5" t="s">
        <v>71</v>
      </c>
      <c r="C19" s="10">
        <f>(1-C8)-(C12+C13+C8)*C7/C6-C15-C17</f>
        <v>0.8552125181597731</v>
      </c>
    </row>
    <row r="20" spans="2:3" x14ac:dyDescent="0.25">
      <c r="B20" s="9" t="s">
        <v>72</v>
      </c>
      <c r="C20" s="17">
        <f>C18/C19</f>
        <v>37533829.36253107</v>
      </c>
    </row>
    <row r="21" spans="2:3" x14ac:dyDescent="0.25">
      <c r="B21" s="9" t="s">
        <v>73</v>
      </c>
      <c r="C21" s="18">
        <f>C6/C20</f>
        <v>37.29968467852575</v>
      </c>
    </row>
    <row r="22" spans="2:3" x14ac:dyDescent="0.25">
      <c r="B22" s="9" t="s">
        <v>74</v>
      </c>
      <c r="C22" s="17">
        <f>C7/C21</f>
        <v>804296.3434828086</v>
      </c>
    </row>
    <row r="23" spans="2:3" x14ac:dyDescent="0.25">
      <c r="B23" s="9" t="s">
        <v>75</v>
      </c>
      <c r="C23" s="17">
        <f>C20+C22</f>
        <v>38338125.70601388</v>
      </c>
    </row>
    <row r="24" spans="2:3" x14ac:dyDescent="0.25">
      <c r="B24" s="5" t="s">
        <v>76</v>
      </c>
      <c r="C24" s="10">
        <f>C8*C23</f>
        <v>4983956.341781804</v>
      </c>
    </row>
    <row r="25" spans="2:3" x14ac:dyDescent="0.25">
      <c r="B25" s="5" t="s">
        <v>77</v>
      </c>
      <c r="C25" s="10">
        <f>C24-C10</f>
        <v>589289.341781804</v>
      </c>
    </row>
    <row r="26" spans="2:3" x14ac:dyDescent="0.25">
      <c r="B26" s="5" t="s">
        <v>78</v>
      </c>
      <c r="C26" s="10">
        <f>C24-Assumptions!C20</f>
        <v>2483956.341781804</v>
      </c>
    </row>
    <row r="28" spans="2:8" x14ac:dyDescent="0.25">
      <c r="B28" s="3" t="s">
        <v>79</v>
      </c>
      <c r="C28" s="4"/>
      <c r="D28" s="4"/>
      <c r="E28" s="4"/>
      <c r="F28" s="4"/>
      <c r="G28" s="4"/>
      <c r="H28" s="4"/>
    </row>
    <row r="29" spans="3:8" x14ac:dyDescent="0.25">
      <c r="C29" s="11" t="s">
        <v>21</v>
      </c>
      <c r="D29" s="11" t="s">
        <v>80</v>
      </c>
      <c r="E29" s="11" t="s">
        <v>81</v>
      </c>
      <c r="F29" s="11" t="s">
        <v>82</v>
      </c>
      <c r="G29" s="11" t="s">
        <v>83</v>
      </c>
      <c r="H29" s="11" t="s">
        <v>84</v>
      </c>
    </row>
    <row r="30" spans="2:8" x14ac:dyDescent="0.25">
      <c r="B30" s="5" t="s">
        <v>25</v>
      </c>
      <c r="C30" s="16">
        <f>Assumptions!C27</f>
        <v>1</v>
      </c>
      <c r="D30" s="10" t="str">
        <f>IF($C$21&lt;C30,"YES","no")</f>
        <v>no</v>
      </c>
      <c r="E30" s="19">
        <f>IF($C$21&lt;C30,C30*($C$9+$C$7/C30)/($C$9+$C$7/$C$21),C30)</f>
        <v>1</v>
      </c>
      <c r="F30" s="20">
        <f>Assumptions!D27/E30</f>
        <v>1</v>
      </c>
      <c r="G30" s="16">
        <f>Assumptions!E27</f>
        <v>5000000</v>
      </c>
      <c r="H30" s="10">
        <f>IF($C$21&lt;C30,Assumptions!F27/E30,G30)</f>
        <v>5000000</v>
      </c>
    </row>
    <row r="31" spans="2:8" x14ac:dyDescent="0.25">
      <c r="B31" s="5" t="s">
        <v>26</v>
      </c>
      <c r="C31" s="16">
        <f>Assumptions!C28</f>
        <v>3</v>
      </c>
      <c r="D31" s="10" t="str">
        <f>IF($C$21&lt;C31,"YES","no")</f>
        <v>no</v>
      </c>
      <c r="E31" s="19">
        <f>IF($C$21&lt;C31,C31*($C$9+$C$7/C31)/($C$9+$C$7/$C$21),C31)</f>
        <v>3</v>
      </c>
      <c r="F31" s="20">
        <f>Assumptions!D28/E31</f>
        <v>1</v>
      </c>
      <c r="G31" s="16">
        <f>Assumptions!E28</f>
        <v>5000000</v>
      </c>
      <c r="H31" s="10">
        <f>IF($C$21&lt;C31,Assumptions!F28/E31,G31)</f>
        <v>5000000</v>
      </c>
    </row>
    <row r="32" spans="2:8" x14ac:dyDescent="0.25">
      <c r="B32" s="5" t="s">
        <v>27</v>
      </c>
      <c r="C32" s="16">
        <f>Assumptions!C29</f>
        <v>10</v>
      </c>
      <c r="D32" s="10" t="str">
        <f>IF($C$21&lt;C32,"YES","no")</f>
        <v>no</v>
      </c>
      <c r="E32" s="19">
        <f>IF($C$21&lt;C32,C32*($C$9+$C$7/C32)/($C$9+$C$7/$C$21),C32)</f>
        <v>10</v>
      </c>
      <c r="F32" s="20">
        <f>Assumptions!D29/E32</f>
        <v>1</v>
      </c>
      <c r="G32" s="16">
        <f>Assumptions!E29</f>
        <v>3000000</v>
      </c>
      <c r="H32" s="10">
        <f>IF($C$21&lt;C32,Assumptions!F29/E32,G32)</f>
        <v>3000000</v>
      </c>
    </row>
    <row r="33" spans="2:8" x14ac:dyDescent="0.25">
      <c r="B33" s="5" t="s">
        <v>28</v>
      </c>
      <c r="C33" s="16">
        <f>Assumptions!C30</f>
        <v>25</v>
      </c>
      <c r="D33" s="10" t="str">
        <f>IF($C$21&lt;C33,"YES","no")</f>
        <v>no</v>
      </c>
      <c r="E33" s="19">
        <f>IF($C$21&lt;C33,C33*($C$9+$C$7/C33)/($C$9+$C$7/$C$21),C33)</f>
        <v>25</v>
      </c>
      <c r="F33" s="20">
        <f>Assumptions!D30/E33</f>
        <v>1</v>
      </c>
      <c r="G33" s="16">
        <f>Assumptions!E30</f>
        <v>2400000</v>
      </c>
      <c r="H33" s="10">
        <f>IF($C$21&lt;C33,Assumptions!F30/E33,G33)</f>
        <v>2400000</v>
      </c>
    </row>
    <row r="34" spans="2:8" x14ac:dyDescent="0.25">
      <c r="B34" s="5" t="s">
        <v>85</v>
      </c>
      <c r="C34" s="16">
        <f>Assumptions!C31</f>
        <v>58.118347</v>
      </c>
      <c r="D34" s="10" t="str">
        <f>IF($C$21&lt;C34,"YES","no")</f>
        <v>YES</v>
      </c>
      <c r="E34" s="19">
        <f>IF($C$21&lt;C34,C34*($C$9+$C$7/C34)/($C$9+$C$7/$C$21),C34)</f>
        <v>57.67090274703375</v>
      </c>
      <c r="F34" s="20">
        <f>Assumptions!D31/E34</f>
        <v>1.0403860030279488</v>
      </c>
      <c r="G34" s="16">
        <f>Assumptions!E31</f>
        <v>1720627</v>
      </c>
      <c r="H34" s="10">
        <f>IF($C$21&lt;C34,Assumptions!F31/E34,G34)</f>
        <v>1733976.6717132481</v>
      </c>
    </row>
    <row r="35" spans="2:8" x14ac:dyDescent="0.25">
      <c r="B35" s="5" t="s">
        <v>30</v>
      </c>
      <c r="C35" s="16">
        <f>Assumptions!C32</f>
        <v>49.158311</v>
      </c>
      <c r="D35" s="10" t="str">
        <f>IF($C$21&lt;C35,"YES","no")</f>
        <v>YES</v>
      </c>
      <c r="E35" s="19">
        <f>IF($C$21&lt;C35,C35*($C$9+$C$7/C35)/($C$9+$C$7/$C$21),C35)</f>
        <v>48.90343995623727</v>
      </c>
      <c r="F35" s="20">
        <f>Assumptions!D32/E35</f>
        <v>1.0052117201569217</v>
      </c>
      <c r="G35" s="16">
        <f>Assumptions!E32</f>
        <v>6102667</v>
      </c>
      <c r="H35" s="10">
        <f>IF($C$21&lt;C35,Assumptions!F32/E35,G35)</f>
        <v>6134537.780337418</v>
      </c>
    </row>
    <row r="37" spans="2:8" x14ac:dyDescent="0.25">
      <c r="B37" s="3" t="s">
        <v>86</v>
      </c>
      <c r="C37" s="4"/>
      <c r="D37" s="4"/>
      <c r="E37" s="4"/>
      <c r="F37" s="4"/>
      <c r="G37" s="4"/>
      <c r="H37" s="4"/>
    </row>
    <row r="38" spans="3:8" x14ac:dyDescent="0.25">
      <c r="C38" s="11" t="s">
        <v>87</v>
      </c>
      <c r="D38" s="11" t="s">
        <v>88</v>
      </c>
      <c r="E38" s="11" t="s">
        <v>89</v>
      </c>
      <c r="F38" s="11" t="s">
        <v>90</v>
      </c>
      <c r="G38" s="11" t="s">
        <v>32</v>
      </c>
      <c r="H38" s="11" t="s">
        <v>91</v>
      </c>
    </row>
    <row r="39" spans="2:8" x14ac:dyDescent="0.25">
      <c r="B39" s="5" t="s">
        <v>35</v>
      </c>
      <c r="C39" s="19">
        <f>Assumptions!D36/($C$20-$C$15*$C$20)</f>
        <v>26.77584507279884</v>
      </c>
      <c r="D39" s="19">
        <f>$C$21*(1-Assumptions!E36)</f>
        <v>29.8397477428206</v>
      </c>
      <c r="E39" s="19">
        <f>MIN(C39,D39)</f>
        <v>26.77584507279884</v>
      </c>
      <c r="F39" s="10" t="str">
        <f>IF(C39&lt;D39,"cap","discount")</f>
        <v>cap</v>
      </c>
      <c r="G39" s="14">
        <f>Assumptions!C36</f>
        <v>5000000</v>
      </c>
      <c r="H39" s="10">
        <f>G39/E39</f>
        <v>186735.4694653287</v>
      </c>
    </row>
    <row r="40" spans="2:8" x14ac:dyDescent="0.25">
      <c r="B40" s="5" t="s">
        <v>36</v>
      </c>
      <c r="C40" s="19">
        <f>Assumptions!D37/($C$20-$C$17*$C$20)</f>
        <v>42.73594874708932</v>
      </c>
      <c r="D40" s="19">
        <f>$C$21*(1-Assumptions!E37)</f>
        <v>31.70473197674689</v>
      </c>
      <c r="E40" s="19">
        <f>MIN(C40,D40)</f>
        <v>31.70473197674689</v>
      </c>
      <c r="F40" s="10" t="str">
        <f>IF(C40&lt;D40,"cap","discount")</f>
        <v>discount</v>
      </c>
      <c r="G40" s="14">
        <f>Assumptions!C37</f>
        <v>3000000</v>
      </c>
      <c r="H40" s="10">
        <f>G40/E40</f>
        <v>94623.0992332716</v>
      </c>
    </row>
    <row r="42" spans="2:8" x14ac:dyDescent="0.25">
      <c r="B42" s="3" t="s">
        <v>92</v>
      </c>
      <c r="C42" s="4"/>
      <c r="D42" s="4"/>
      <c r="E42" s="4"/>
      <c r="F42" s="4"/>
      <c r="G42" s="4"/>
      <c r="H42" s="4"/>
    </row>
    <row r="43" spans="2:3" x14ac:dyDescent="0.25">
      <c r="B43" s="5" t="s">
        <v>93</v>
      </c>
      <c r="C43" s="19">
        <f>Assumptions!C9*$C$21</f>
        <v>31.70473197674689</v>
      </c>
    </row>
    <row r="44" spans="2:3" x14ac:dyDescent="0.25">
      <c r="B44" s="5" t="s">
        <v>94</v>
      </c>
      <c r="C44" s="10">
        <f>Assumptions!C8/C43</f>
        <v>473115.49616635795</v>
      </c>
    </row>
    <row r="45" spans="2:3" x14ac:dyDescent="0.25">
      <c r="B45" s="5" t="s">
        <v>95</v>
      </c>
      <c r="C45" s="10">
        <f>C44*Assumptions!C16/(Assumptions!C16+Assumptions!C17+Assumptions!C18)</f>
        <v>236557.748083179</v>
      </c>
    </row>
    <row r="46" spans="2:3" x14ac:dyDescent="0.25">
      <c r="B46" s="5" t="s">
        <v>96</v>
      </c>
      <c r="C46" s="10">
        <f>C44*Assumptions!C17/(Assumptions!C16+Assumptions!C17+Assumptions!C18)</f>
        <v>147848.59255198686</v>
      </c>
    </row>
    <row r="47" spans="2:3" x14ac:dyDescent="0.25">
      <c r="B47" s="5" t="s">
        <v>97</v>
      </c>
      <c r="C47" s="10">
        <f>C44*Assumptions!C18/(Assumptions!C16+Assumptions!C17+Assumptions!C18)</f>
        <v>88709.15553119211</v>
      </c>
    </row>
    <row r="48" spans="2:3" x14ac:dyDescent="0.25">
      <c r="B48" s="9" t="s">
        <v>98</v>
      </c>
      <c r="C48" s="17">
        <f>C44</f>
        <v>473115.49616635795</v>
      </c>
    </row>
    <row r="50" spans="2:8" x14ac:dyDescent="0.25">
      <c r="B50" s="3" t="s">
        <v>99</v>
      </c>
      <c r="C50" s="4"/>
      <c r="D50" s="4"/>
      <c r="E50" s="4"/>
      <c r="F50" s="4"/>
      <c r="G50" s="4"/>
      <c r="H50" s="4"/>
    </row>
    <row r="51" spans="2:5" x14ac:dyDescent="0.25">
      <c r="B51" s="11" t="s">
        <v>100</v>
      </c>
      <c r="C51" s="11" t="s">
        <v>101</v>
      </c>
      <c r="D51" s="11" t="s">
        <v>102</v>
      </c>
      <c r="E51" s="11" t="s">
        <v>103</v>
      </c>
    </row>
    <row r="52" spans="2:5" x14ac:dyDescent="0.25">
      <c r="B52" s="5" t="s">
        <v>104</v>
      </c>
      <c r="C52" s="5" t="s">
        <v>105</v>
      </c>
      <c r="D52" s="10">
        <f>Assumptions!C16-C45</f>
        <v>3763442.251916821</v>
      </c>
      <c r="E52" s="21">
        <f>D52/$C$23</f>
        <v>0.09816448202960719</v>
      </c>
    </row>
    <row r="53" spans="2:5" x14ac:dyDescent="0.25">
      <c r="B53" s="5" t="s">
        <v>106</v>
      </c>
      <c r="C53" s="5" t="s">
        <v>105</v>
      </c>
      <c r="D53" s="10">
        <f>Assumptions!C17-C46</f>
        <v>2352151.4074480133</v>
      </c>
      <c r="E53" s="21">
        <f>D53/$C$23</f>
        <v>0.0613528012685045</v>
      </c>
    </row>
    <row r="54" spans="2:5" x14ac:dyDescent="0.25">
      <c r="B54" s="5" t="s">
        <v>107</v>
      </c>
      <c r="C54" s="5" t="s">
        <v>105</v>
      </c>
      <c r="D54" s="10">
        <f>Assumptions!C18-C47</f>
        <v>1411290.8444688078</v>
      </c>
      <c r="E54" s="21">
        <f>D54/$C$23</f>
        <v>0.036811680761102694</v>
      </c>
    </row>
    <row r="55" spans="2:5" x14ac:dyDescent="0.25">
      <c r="B55" s="5" t="s">
        <v>108</v>
      </c>
      <c r="C55" s="5" t="s">
        <v>109</v>
      </c>
      <c r="D55" s="16">
        <f>Assumptions!C19</f>
        <v>1000000</v>
      </c>
      <c r="E55" s="21">
        <f>D55/$C$23</f>
        <v>0.026083695579388635</v>
      </c>
    </row>
    <row r="56" spans="2:5" x14ac:dyDescent="0.25">
      <c r="B56" s="5" t="s">
        <v>110</v>
      </c>
      <c r="C56" s="5" t="s">
        <v>111</v>
      </c>
      <c r="D56" s="10">
        <f>C44</f>
        <v>473115.49616635795</v>
      </c>
      <c r="E56" s="21">
        <f>D56/$C$23</f>
        <v>0.012340600575894691</v>
      </c>
    </row>
    <row r="57" spans="2:5" x14ac:dyDescent="0.25">
      <c r="B57" s="5" t="s">
        <v>112</v>
      </c>
      <c r="C57" s="5" t="s">
        <v>113</v>
      </c>
      <c r="D57" s="10">
        <f>H30</f>
        <v>5000000</v>
      </c>
      <c r="E57" s="21">
        <f>D57/$C$23</f>
        <v>0.13041847789694316</v>
      </c>
    </row>
    <row r="58" spans="2:5" x14ac:dyDescent="0.25">
      <c r="B58" s="5" t="s">
        <v>114</v>
      </c>
      <c r="C58" s="5" t="s">
        <v>26</v>
      </c>
      <c r="D58" s="10">
        <f>H31</f>
        <v>5000000</v>
      </c>
      <c r="E58" s="21">
        <f>D58/$C$23</f>
        <v>0.13041847789694316</v>
      </c>
    </row>
    <row r="59" spans="2:5" x14ac:dyDescent="0.25">
      <c r="B59" s="5" t="s">
        <v>115</v>
      </c>
      <c r="C59" s="5" t="s">
        <v>27</v>
      </c>
      <c r="D59" s="10">
        <f>H32</f>
        <v>3000000</v>
      </c>
      <c r="E59" s="21">
        <f>D59/$C$23</f>
        <v>0.0782510867381659</v>
      </c>
    </row>
    <row r="60" spans="2:5" x14ac:dyDescent="0.25">
      <c r="B60" s="5" t="s">
        <v>116</v>
      </c>
      <c r="C60" s="5" t="s">
        <v>28</v>
      </c>
      <c r="D60" s="10">
        <f>H33</f>
        <v>2400000</v>
      </c>
      <c r="E60" s="21">
        <f>D60/$C$23</f>
        <v>0.06260086939053272</v>
      </c>
    </row>
    <row r="61" spans="2:5" x14ac:dyDescent="0.25">
      <c r="B61" s="5" t="s">
        <v>117</v>
      </c>
      <c r="C61" s="5" t="s">
        <v>118</v>
      </c>
      <c r="D61" s="10">
        <f>H34</f>
        <v>1733976.6717132481</v>
      </c>
      <c r="E61" s="21">
        <f>D61/$C$23</f>
        <v>0.045228519646729866</v>
      </c>
    </row>
    <row r="62" spans="2:5" x14ac:dyDescent="0.25">
      <c r="B62" s="5" t="s">
        <v>119</v>
      </c>
      <c r="C62" s="5" t="s">
        <v>120</v>
      </c>
      <c r="D62" s="10">
        <f>H35</f>
        <v>6134537.780337418</v>
      </c>
      <c r="E62" s="21">
        <f>D62/$C$23</f>
        <v>0.16001141598257967</v>
      </c>
    </row>
    <row r="63" spans="2:5" x14ac:dyDescent="0.25">
      <c r="B63" s="5" t="s">
        <v>121</v>
      </c>
      <c r="C63" s="5" t="s">
        <v>122</v>
      </c>
      <c r="D63" s="10">
        <f>H39</f>
        <v>186735.4694653287</v>
      </c>
      <c r="E63" s="21">
        <f>D63/$C$23</f>
        <v>0.0048707511394078555</v>
      </c>
    </row>
    <row r="64" spans="2:5" x14ac:dyDescent="0.25">
      <c r="B64" s="5" t="s">
        <v>123</v>
      </c>
      <c r="C64" s="5" t="s">
        <v>122</v>
      </c>
      <c r="D64" s="10">
        <f>H40</f>
        <v>94623.0992332716</v>
      </c>
      <c r="E64" s="21">
        <f>D64/$C$23</f>
        <v>0.0024681201151789383</v>
      </c>
    </row>
    <row r="65" spans="2:5" x14ac:dyDescent="0.25">
      <c r="B65" s="5" t="s">
        <v>124</v>
      </c>
      <c r="C65" s="5" t="s">
        <v>125</v>
      </c>
      <c r="D65" s="10">
        <f>Assumptions!C12/$C$21</f>
        <v>536197.5623218725</v>
      </c>
      <c r="E65" s="21">
        <f>D65/$C$23</f>
        <v>0.013986013986013988</v>
      </c>
    </row>
    <row r="66" spans="2:5" x14ac:dyDescent="0.25">
      <c r="B66" s="5" t="s">
        <v>126</v>
      </c>
      <c r="C66" s="5" t="s">
        <v>125</v>
      </c>
      <c r="D66" s="10">
        <f>Assumptions!C11/$C$21</f>
        <v>268098.7811609362</v>
      </c>
      <c r="E66" s="21">
        <f>D66/$C$23</f>
        <v>0.006993006993006992</v>
      </c>
    </row>
    <row r="67" spans="2:5" x14ac:dyDescent="0.25">
      <c r="B67" s="5" t="s">
        <v>127</v>
      </c>
      <c r="C67" s="5" t="s">
        <v>128</v>
      </c>
      <c r="D67" s="16">
        <f>Assumptions!C20</f>
        <v>2500000</v>
      </c>
      <c r="E67" s="21">
        <f>D67/$C$23</f>
        <v>0.06520923894847158</v>
      </c>
    </row>
    <row r="68" spans="2:5" x14ac:dyDescent="0.25">
      <c r="B68" s="5" t="s">
        <v>129</v>
      </c>
      <c r="C68" s="5" t="s">
        <v>130</v>
      </c>
      <c r="D68" s="10">
        <f>$C$26</f>
        <v>2483956.341781804</v>
      </c>
      <c r="E68" s="21">
        <f>D68/$C$23</f>
        <v>0.06479076105152841</v>
      </c>
    </row>
    <row r="69" spans="2:5" x14ac:dyDescent="0.25">
      <c r="B69" s="9" t="s">
        <v>131</v>
      </c>
      <c r="D69" s="22">
        <f>SUM(D52:D68)</f>
        <v>38338125.70601387</v>
      </c>
      <c r="E69" s="23">
        <f>SUM(E52:E68)</f>
        <v>1</v>
      </c>
    </row>
    <row r="70" spans="2:4" x14ac:dyDescent="0.25">
      <c r="B70" s="5" t="s">
        <v>132</v>
      </c>
      <c r="D70" s="24">
        <f>ROUND(D69-$C$23,2)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8"/>
  <sheetViews>
    <sheetView workbookViewId="0" showGridLines="0"/>
  </sheetViews>
  <sheetFormatPr defaultRowHeight="12.75" outlineLevelRow="0" outlineLevelCol="0" x14ac:dyDescent="0" defaultColWidth="11.455" customHeight="1"/>
  <cols>
    <col min="1" max="1" width="1.705" customWidth="1"/>
    <col min="2" max="2" width="40.205" customWidth="1"/>
    <col min="3" max="8" width="16.455" customWidth="1"/>
  </cols>
  <sheetData>
    <row r="2" ht="18" customHeight="1" spans="2:2" x14ac:dyDescent="0.25">
      <c r="B2" s="1" t="s">
        <v>133</v>
      </c>
    </row>
    <row r="3" spans="2:2" x14ac:dyDescent="0.25">
      <c r="B3" s="2" t="s">
        <v>134</v>
      </c>
    </row>
    <row r="5" spans="2:8" x14ac:dyDescent="0.25">
      <c r="B5" s="3" t="s">
        <v>135</v>
      </c>
      <c r="C5" s="4"/>
      <c r="D5" s="4"/>
      <c r="E5" s="4"/>
      <c r="F5" s="4"/>
      <c r="G5" s="4"/>
      <c r="H5" s="4"/>
    </row>
    <row r="6" spans="2:3" x14ac:dyDescent="0.25">
      <c r="B6" s="5" t="s">
        <v>73</v>
      </c>
      <c r="C6" s="14">
        <f>'Pro-Forma'!C21</f>
        <v>37.29968467852575</v>
      </c>
    </row>
    <row r="7" spans="2:3" x14ac:dyDescent="0.25">
      <c r="B7" s="5" t="s">
        <v>136</v>
      </c>
      <c r="C7" s="16">
        <f>'Pro-Forma'!C22</f>
        <v>804296.3434828086</v>
      </c>
    </row>
    <row r="8" spans="2:3" x14ac:dyDescent="0.25">
      <c r="B8" s="5" t="s">
        <v>137</v>
      </c>
      <c r="C8" s="14">
        <f>Assumptions!C7</f>
        <v>30000000</v>
      </c>
    </row>
    <row r="9" spans="2:3" x14ac:dyDescent="0.25">
      <c r="B9" s="5" t="s">
        <v>75</v>
      </c>
      <c r="C9" s="16">
        <f>'Pro-Forma'!C23</f>
        <v>38338125.70601388</v>
      </c>
    </row>
    <row r="10" spans="2:3" x14ac:dyDescent="0.25">
      <c r="B10" s="5" t="s">
        <v>138</v>
      </c>
      <c r="C10" s="14">
        <f>Assumptions!C11</f>
        <v>10000000</v>
      </c>
    </row>
    <row r="11" spans="2:3" x14ac:dyDescent="0.25">
      <c r="B11" s="5" t="s">
        <v>139</v>
      </c>
      <c r="C11" s="10">
        <f>C10/C6</f>
        <v>268098.7811609362</v>
      </c>
    </row>
    <row r="12" spans="2:3" x14ac:dyDescent="0.25">
      <c r="B12" s="5" t="s">
        <v>51</v>
      </c>
      <c r="C12" s="16">
        <f>Assumptions!C55</f>
        <v>3</v>
      </c>
    </row>
    <row r="13" spans="2:3" x14ac:dyDescent="0.25">
      <c r="B13" s="5" t="s">
        <v>52</v>
      </c>
      <c r="C13" s="16">
        <f>Assumptions!C56</f>
        <v>4</v>
      </c>
    </row>
    <row r="14" spans="2:3" x14ac:dyDescent="0.25">
      <c r="B14" s="5" t="s">
        <v>140</v>
      </c>
      <c r="C14" s="19">
        <f>C10*C12</f>
        <v>30000000</v>
      </c>
    </row>
    <row r="15" spans="2:3" x14ac:dyDescent="0.25">
      <c r="B15" s="5" t="s">
        <v>141</v>
      </c>
      <c r="C15" s="19">
        <f>C10*C13</f>
        <v>40000000</v>
      </c>
    </row>
    <row r="17" spans="2:8" x14ac:dyDescent="0.25">
      <c r="B17" s="3" t="s">
        <v>142</v>
      </c>
      <c r="C17" s="4"/>
      <c r="D17" s="4"/>
      <c r="E17" s="4"/>
      <c r="F17" s="4"/>
      <c r="G17" s="4"/>
      <c r="H17" s="4"/>
    </row>
    <row r="18" spans="2:8" x14ac:dyDescent="0.25">
      <c r="B18" s="9" t="s">
        <v>143</v>
      </c>
      <c r="D18" s="14">
        <f>Assumptions!C40</f>
        <v>700000000</v>
      </c>
      <c r="E18" s="14">
        <f>Assumptions!C41</f>
        <v>1200000000</v>
      </c>
      <c r="F18" s="14">
        <f>Assumptions!C42</f>
        <v>2000000000</v>
      </c>
      <c r="G18" s="14">
        <f>Assumptions!C43</f>
        <v>4000000000</v>
      </c>
      <c r="H18" s="14">
        <f>Assumptions!C44</f>
        <v>8000000000</v>
      </c>
    </row>
    <row r="19" spans="2:8" x14ac:dyDescent="0.25">
      <c r="B19" s="5" t="s">
        <v>144</v>
      </c>
      <c r="D19" s="14">
        <f>'Waterfall'!I33</f>
        <v>8.378724376828625</v>
      </c>
      <c r="E19" s="14">
        <f>'Waterfall'!J33</f>
        <v>28.42021299441568</v>
      </c>
      <c r="F19" s="14">
        <f>'Waterfall'!K33</f>
        <v>55.75877068294344</v>
      </c>
      <c r="G19" s="14">
        <f>'Waterfall'!L33</f>
        <v>111.63276324546158</v>
      </c>
      <c r="H19" s="14">
        <f>'Waterfall'!M33</f>
        <v>223.1957995932058</v>
      </c>
    </row>
    <row r="20" spans="2:8" x14ac:dyDescent="0.25">
      <c r="B20" s="5" t="s">
        <v>145</v>
      </c>
      <c r="D20" s="16" t="str">
        <f>'Waterfall'!I37</f>
        <v>preference</v>
      </c>
      <c r="E20" s="16" t="str">
        <f>'Waterfall'!J37</f>
        <v>preference</v>
      </c>
      <c r="F20" s="16" t="str">
        <f>'Waterfall'!K37</f>
        <v>convert</v>
      </c>
      <c r="G20" s="16" t="str">
        <f>'Waterfall'!L37</f>
        <v>convert</v>
      </c>
      <c r="H20" s="16" t="str">
        <f>'Waterfall'!M37</f>
        <v>convert</v>
      </c>
    </row>
    <row r="22" spans="2:2" x14ac:dyDescent="0.25">
      <c r="B22" s="9" t="s">
        <v>146</v>
      </c>
    </row>
    <row r="23" spans="2:8" x14ac:dyDescent="0.25">
      <c r="B23" s="5" t="s">
        <v>147</v>
      </c>
      <c r="D23" s="25">
        <f>IF(D$20="preference",$C$14/$C$8,$C$14/($C$7*D$19))</f>
        <v>1</v>
      </c>
      <c r="E23" s="25">
        <f>IF(E$20="preference",$C$14/$C$8,$C$14/($C$7*E$19))</f>
        <v>1</v>
      </c>
      <c r="F23" s="25">
        <f>IF(F$20="preference",$C$14/$C$8,$C$14/($C$7*F$19))</f>
        <v>0.668947400053346</v>
      </c>
      <c r="G23" s="25">
        <f>IF(G$20="preference",$C$14/$C$8,$C$14/($C$7*G$19))</f>
        <v>0.3341284726286856</v>
      </c>
      <c r="H23" s="25">
        <f>IF(H$20="preference",$C$14/$C$8,$C$14/($C$7*H$19))</f>
        <v>0.16711642757842102</v>
      </c>
    </row>
    <row r="24" spans="2:8" x14ac:dyDescent="0.25">
      <c r="B24" s="5" t="s">
        <v>148</v>
      </c>
      <c r="D24" s="10" t="str">
        <f>IF(OR(D$23&lt;=0,D$23&gt;1),"INFEASIBLE","OK")</f>
        <v>OK</v>
      </c>
      <c r="E24" s="10" t="str">
        <f>IF(OR(E$23&lt;=0,E$23&gt;1),"INFEASIBLE","OK")</f>
        <v>OK</v>
      </c>
      <c r="F24" s="10" t="str">
        <f>IF(OR(F$23&lt;=0,F$23&gt;1),"INFEASIBLE","OK")</f>
        <v>OK</v>
      </c>
      <c r="G24" s="10" t="str">
        <f>IF(OR(G$23&lt;=0,G$23&gt;1),"INFEASIBLE","OK")</f>
        <v>OK</v>
      </c>
      <c r="H24" s="10" t="str">
        <f>IF(OR(H$23&lt;=0,H$23&gt;1),"INFEASIBLE","OK")</f>
        <v>OK</v>
      </c>
    </row>
    <row r="25" spans="2:8" x14ac:dyDescent="0.25">
      <c r="B25" s="5" t="s">
        <v>149</v>
      </c>
      <c r="D25" s="19">
        <f>IF(D$20="preference",D$23*$C$8,D$23*$C$7*D$19)</f>
        <v>30000000</v>
      </c>
      <c r="E25" s="19">
        <f>IF(E$20="preference",E$23*$C$8,E$23*$C$7*E$19)</f>
        <v>30000000</v>
      </c>
      <c r="F25" s="19">
        <f>IF(F$20="preference",F$23*$C$8,F$23*$C$7*F$19)</f>
        <v>30000000</v>
      </c>
      <c r="G25" s="19">
        <f>IF(G$20="preference",G$23*$C$8,G$23*$C$7*G$19)</f>
        <v>30000000</v>
      </c>
      <c r="H25" s="19">
        <f>IF(H$20="preference",H$23*$C$8,H$23*$C$7*H$19)</f>
        <v>30000000</v>
      </c>
    </row>
    <row r="27" spans="2:2" x14ac:dyDescent="0.25">
      <c r="B27" s="9" t="s">
        <v>150</v>
      </c>
    </row>
    <row r="28" spans="2:8" x14ac:dyDescent="0.25">
      <c r="B28" s="5" t="s">
        <v>151</v>
      </c>
      <c r="D28" s="25">
        <f>IF(D$20="preference",$C$15/$C$8,$C$15/($C$7*D$19))</f>
        <v>1.3333333333333333</v>
      </c>
      <c r="E28" s="25">
        <f>IF(E$20="preference",$C$15/$C$8,$C$15/($C$7*E$19))</f>
        <v>1.3333333333333333</v>
      </c>
      <c r="F28" s="25">
        <f>IF(F$20="preference",$C$15/$C$8,$C$15/($C$7*F$19))</f>
        <v>0.8919298667377946</v>
      </c>
      <c r="G28" s="25">
        <f>IF(G$20="preference",$C$15/$C$8,$C$15/($C$7*G$19))</f>
        <v>0.4455046301715808</v>
      </c>
      <c r="H28" s="25">
        <f>IF(H$20="preference",$C$15/$C$8,$C$15/($C$7*H$19))</f>
        <v>0.2228219034378947</v>
      </c>
    </row>
    <row r="29" spans="2:8" x14ac:dyDescent="0.25">
      <c r="B29" s="5" t="s">
        <v>152</v>
      </c>
      <c r="D29" s="10" t="str">
        <f>IF(OR(D$28&lt;=0,D$28&gt;1),"INFEASIBLE","OK")</f>
        <v>INFEASIBLE</v>
      </c>
      <c r="E29" s="10" t="str">
        <f>IF(OR(E$28&lt;=0,E$28&gt;1),"INFEASIBLE","OK")</f>
        <v>INFEASIBLE</v>
      </c>
      <c r="F29" s="10" t="str">
        <f>IF(OR(F$28&lt;=0,F$28&gt;1),"INFEASIBLE","OK")</f>
        <v>OK</v>
      </c>
      <c r="G29" s="10" t="str">
        <f>IF(OR(G$28&lt;=0,G$28&gt;1),"INFEASIBLE","OK")</f>
        <v>OK</v>
      </c>
      <c r="H29" s="10" t="str">
        <f>IF(OR(H$28&lt;=0,H$28&gt;1),"INFEASIBLE","OK")</f>
        <v>OK</v>
      </c>
    </row>
    <row r="30" spans="2:8" x14ac:dyDescent="0.25">
      <c r="B30" s="5" t="s">
        <v>149</v>
      </c>
      <c r="D30" s="19">
        <f>IF(D$20="preference",D$28*$C$8,D$28*$C$7*D$19)</f>
        <v>40000000</v>
      </c>
      <c r="E30" s="19">
        <f>IF(E$20="preference",E$28*$C$8,E$28*$C$7*E$19)</f>
        <v>40000000</v>
      </c>
      <c r="F30" s="19">
        <f>IF(F$20="preference",F$28*$C$8,F$28*$C$7*F$19)</f>
        <v>39999999.99999999</v>
      </c>
      <c r="G30" s="19">
        <f>IF(G$20="preference",G$28*$C$8,G$28*$C$7*G$19)</f>
        <v>40000000</v>
      </c>
      <c r="H30" s="19">
        <f>IF(H$20="preference",H$28*$C$8,H$28*$C$7*H$19)</f>
        <v>40000000</v>
      </c>
    </row>
    <row r="32" spans="2:8" x14ac:dyDescent="0.25">
      <c r="B32" s="3" t="s">
        <v>153</v>
      </c>
      <c r="C32" s="4"/>
      <c r="D32" s="4"/>
      <c r="E32" s="4"/>
      <c r="F32" s="4"/>
      <c r="G32" s="4"/>
      <c r="H32" s="4"/>
    </row>
    <row r="33" spans="2:8" x14ac:dyDescent="0.25">
      <c r="B33" s="5" t="s">
        <v>154</v>
      </c>
      <c r="D33" s="21">
        <f>$C$11/$C$7</f>
        <v>0.3333333333333333</v>
      </c>
      <c r="E33" s="21">
        <f>$C$11/$C$7</f>
        <v>0.3333333333333333</v>
      </c>
      <c r="F33" s="21">
        <f>$C$11/$C$7</f>
        <v>0.3333333333333333</v>
      </c>
      <c r="G33" s="21">
        <f>$C$11/$C$7</f>
        <v>0.3333333333333333</v>
      </c>
      <c r="H33" s="21">
        <f>$C$11/$C$7</f>
        <v>0.3333333333333333</v>
      </c>
    </row>
    <row r="34" spans="2:8" x14ac:dyDescent="0.25">
      <c r="B34" s="5" t="s">
        <v>155</v>
      </c>
      <c r="D34" s="19">
        <f>IF(D$20="preference",($C$11/$C$7)*$C$8,$C$11*D$19)</f>
        <v>10000000</v>
      </c>
      <c r="E34" s="19">
        <f>IF(E$20="preference",($C$11/$C$7)*$C$8,$C$11*E$19)</f>
        <v>10000000</v>
      </c>
      <c r="F34" s="19">
        <f>IF(F$20="preference",($C$11/$C$7)*$C$8,$C$11*F$19)</f>
        <v>14948858.459129278</v>
      </c>
      <c r="G34" s="19">
        <f>IF(G$20="preference",($C$11/$C$7)*$C$8,$C$11*G$19)</f>
        <v>29928607.763735607</v>
      </c>
      <c r="H34" s="19">
        <f>IF(H$20="preference",($C$11/$C$7)*$C$8,$C$11*H$19)</f>
        <v>59838521.83117905</v>
      </c>
    </row>
    <row r="35" spans="2:8" x14ac:dyDescent="0.25">
      <c r="B35" s="5" t="s">
        <v>156</v>
      </c>
      <c r="D35" s="20">
        <f>D$34/$C$10</f>
        <v>1</v>
      </c>
      <c r="E35" s="20">
        <f>E$34/$C$10</f>
        <v>1</v>
      </c>
      <c r="F35" s="20">
        <f>F$34/$C$10</f>
        <v>1.4948858459129277</v>
      </c>
      <c r="G35" s="20">
        <f>G$34/$C$10</f>
        <v>2.992860776373561</v>
      </c>
      <c r="H35" s="20">
        <f>H$34/$C$10</f>
        <v>5.983852183117905</v>
      </c>
    </row>
    <row r="37" spans="2:2" x14ac:dyDescent="0.25">
      <c r="B37" s="13" t="s">
        <v>157</v>
      </c>
    </row>
    <row r="38" spans="2:2" x14ac:dyDescent="0.25">
      <c r="B38" s="13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71"/>
  <sheetViews>
    <sheetView workbookViewId="0" showGridLines="0"/>
  </sheetViews>
  <sheetFormatPr defaultRowHeight="12.75" outlineLevelRow="0" outlineLevelCol="0" x14ac:dyDescent="0" defaultColWidth="11.455" customHeight="1"/>
  <cols>
    <col min="1" max="1" width="1.705" customWidth="1"/>
    <col min="2" max="2" width="40.205" customWidth="1"/>
    <col min="3" max="11" width="13.955" customWidth="1"/>
  </cols>
  <sheetData>
    <row r="2" ht="18" customHeight="1" spans="2:2" x14ac:dyDescent="0.25">
      <c r="B2" s="1" t="s">
        <v>159</v>
      </c>
    </row>
    <row r="3" spans="2:2" x14ac:dyDescent="0.25">
      <c r="B3" s="2" t="s">
        <v>160</v>
      </c>
    </row>
    <row r="5" spans="2:11" x14ac:dyDescent="0.25">
      <c r="B5" s="3" t="s">
        <v>161</v>
      </c>
      <c r="C5" s="4"/>
      <c r="D5" s="4"/>
      <c r="E5" s="4"/>
      <c r="F5" s="4"/>
      <c r="G5" s="4"/>
      <c r="H5" s="4"/>
      <c r="I5" s="4"/>
      <c r="J5" s="4"/>
      <c r="K5" s="4"/>
    </row>
    <row r="6" spans="2:11" x14ac:dyDescent="0.25">
      <c r="B6" s="5" t="s">
        <v>162</v>
      </c>
      <c r="C6" s="11" t="str">
        <f>"$"&amp;TEXT(Assumptions!C50/1000000000,"0.0")&amp;"B / "&amp;TEXT(Assumptions!C47,"0%")</f>
        <v>$1.2B / 11%</v>
      </c>
      <c r="D6" s="11" t="str">
        <f>"$"&amp;TEXT(Assumptions!C50/1000000000,"0.0")&amp;"B / "&amp;TEXT(Assumptions!C48,"0%")</f>
        <v>$1.2B / 13%</v>
      </c>
      <c r="E6" s="11" t="str">
        <f>"$"&amp;TEXT(Assumptions!C50/1000000000,"0.0")&amp;"B / "&amp;TEXT(Assumptions!C49,"0%")</f>
        <v>$1.2B / 15%</v>
      </c>
      <c r="F6" s="11" t="str">
        <f>"$"&amp;TEXT(Assumptions!C51/1000000000,"0.0")&amp;"B / "&amp;TEXT(Assumptions!C47,"0%")</f>
        <v>$1.4B / 11%</v>
      </c>
      <c r="G6" s="11" t="str">
        <f>"$"&amp;TEXT(Assumptions!C51/1000000000,"0.0")&amp;"B / "&amp;TEXT(Assumptions!C48,"0%")</f>
        <v>$1.4B / 13%</v>
      </c>
      <c r="H6" s="11" t="str">
        <f>"$"&amp;TEXT(Assumptions!C51/1000000000,"0.0")&amp;"B / "&amp;TEXT(Assumptions!C49,"0%")</f>
        <v>$1.4B / 15%</v>
      </c>
      <c r="I6" s="11" t="str">
        <f>"$"&amp;TEXT(Assumptions!C52/1000000000,"0.0")&amp;"B / "&amp;TEXT(Assumptions!C47,"0%")</f>
        <v>$1.8B / 11%</v>
      </c>
      <c r="J6" s="11" t="str">
        <f>"$"&amp;TEXT(Assumptions!C52/1000000000,"0.0")&amp;"B / "&amp;TEXT(Assumptions!C48,"0%")</f>
        <v>$1.8B / 13%</v>
      </c>
      <c r="K6" s="11" t="str">
        <f>"$"&amp;TEXT(Assumptions!C52/1000000000,"0.0")&amp;"B / "&amp;TEXT(Assumptions!C49,"0%")</f>
        <v>$1.8B / 15%</v>
      </c>
    </row>
    <row r="7" spans="2:11" x14ac:dyDescent="0.25">
      <c r="B7" s="5" t="s">
        <v>163</v>
      </c>
      <c r="C7" s="14">
        <f>Assumptions!C50</f>
        <v>1200000000</v>
      </c>
      <c r="D7" s="14">
        <f>Assumptions!C50</f>
        <v>1200000000</v>
      </c>
      <c r="E7" s="14">
        <f>Assumptions!C50</f>
        <v>1200000000</v>
      </c>
      <c r="F7" s="14">
        <f>Assumptions!C51</f>
        <v>1400000000</v>
      </c>
      <c r="G7" s="14">
        <f>Assumptions!C51</f>
        <v>1400000000</v>
      </c>
      <c r="H7" s="14">
        <f>Assumptions!C51</f>
        <v>1400000000</v>
      </c>
      <c r="I7" s="14">
        <f>Assumptions!C52</f>
        <v>1800000000</v>
      </c>
      <c r="J7" s="14">
        <f>Assumptions!C52</f>
        <v>1800000000</v>
      </c>
      <c r="K7" s="14">
        <f>Assumptions!C52</f>
        <v>1800000000</v>
      </c>
    </row>
    <row r="8" spans="2:11" x14ac:dyDescent="0.25">
      <c r="B8" s="5" t="s">
        <v>164</v>
      </c>
      <c r="C8" s="15">
        <f>Assumptions!C47</f>
        <v>0.11</v>
      </c>
      <c r="D8" s="15">
        <f>Assumptions!C48</f>
        <v>0.13</v>
      </c>
      <c r="E8" s="15">
        <f>Assumptions!C49</f>
        <v>0.15</v>
      </c>
      <c r="F8" s="15">
        <f>Assumptions!C47</f>
        <v>0.11</v>
      </c>
      <c r="G8" s="15">
        <f>Assumptions!C48</f>
        <v>0.13</v>
      </c>
      <c r="H8" s="15">
        <f>Assumptions!C49</f>
        <v>0.15</v>
      </c>
      <c r="I8" s="15">
        <f>Assumptions!C47</f>
        <v>0.11</v>
      </c>
      <c r="J8" s="15">
        <f>Assumptions!C48</f>
        <v>0.13</v>
      </c>
      <c r="K8" s="15">
        <f>Assumptions!C49</f>
        <v>0.15</v>
      </c>
    </row>
    <row r="10" spans="2:11" x14ac:dyDescent="0.25">
      <c r="B10" s="5" t="s">
        <v>165</v>
      </c>
      <c r="C10" s="10">
        <f>IF(Assumptions!$D$36+Assumptions!$C$36&lt;C$7*(1-Assumptions!$E$36),Assumptions!$C$36/(Assumptions!$D$36+Assumptions!$C$36),Assumptions!$C$36/(C$7*(1-Assumptions!$E$36)))</f>
        <v>0.005208333333333333</v>
      </c>
      <c r="D10" s="10">
        <f>IF(Assumptions!$D$36+Assumptions!$C$36&lt;D$7*(1-Assumptions!$E$36),Assumptions!$C$36/(Assumptions!$D$36+Assumptions!$C$36),Assumptions!$C$36/(D$7*(1-Assumptions!$E$36)))</f>
        <v>0.005208333333333333</v>
      </c>
      <c r="E10" s="10">
        <f>IF(Assumptions!$D$36+Assumptions!$C$36&lt;E$7*(1-Assumptions!$E$36),Assumptions!$C$36/(Assumptions!$D$36+Assumptions!$C$36),Assumptions!$C$36/(E$7*(1-Assumptions!$E$36)))</f>
        <v>0.005208333333333333</v>
      </c>
      <c r="F10" s="10">
        <f>IF(Assumptions!$D$36+Assumptions!$C$36&lt;F$7*(1-Assumptions!$E$36),Assumptions!$C$36/(Assumptions!$D$36+Assumptions!$C$36),Assumptions!$C$36/(F$7*(1-Assumptions!$E$36)))</f>
        <v>0.004975124378109453</v>
      </c>
      <c r="G10" s="10">
        <f>IF(Assumptions!$D$36+Assumptions!$C$36&lt;G$7*(1-Assumptions!$E$36),Assumptions!$C$36/(Assumptions!$D$36+Assumptions!$C$36),Assumptions!$C$36/(G$7*(1-Assumptions!$E$36)))</f>
        <v>0.004975124378109453</v>
      </c>
      <c r="H10" s="10">
        <f>IF(Assumptions!$D$36+Assumptions!$C$36&lt;H$7*(1-Assumptions!$E$36),Assumptions!$C$36/(Assumptions!$D$36+Assumptions!$C$36),Assumptions!$C$36/(H$7*(1-Assumptions!$E$36)))</f>
        <v>0.004975124378109453</v>
      </c>
      <c r="I10" s="10">
        <f>IF(Assumptions!$D$36+Assumptions!$C$36&lt;I$7*(1-Assumptions!$E$36),Assumptions!$C$36/(Assumptions!$D$36+Assumptions!$C$36),Assumptions!$C$36/(I$7*(1-Assumptions!$E$36)))</f>
        <v>0.004975124378109453</v>
      </c>
      <c r="J10" s="10">
        <f>IF(Assumptions!$D$36+Assumptions!$C$36&lt;J$7*(1-Assumptions!$E$36),Assumptions!$C$36/(Assumptions!$D$36+Assumptions!$C$36),Assumptions!$C$36/(J$7*(1-Assumptions!$E$36)))</f>
        <v>0.004975124378109453</v>
      </c>
      <c r="K10" s="10">
        <f>IF(Assumptions!$D$36+Assumptions!$C$36&lt;K$7*(1-Assumptions!$E$36),Assumptions!$C$36/(Assumptions!$D$36+Assumptions!$C$36),Assumptions!$C$36/(K$7*(1-Assumptions!$E$36)))</f>
        <v>0.004975124378109453</v>
      </c>
    </row>
    <row r="11" spans="2:11" x14ac:dyDescent="0.25">
      <c r="B11" s="5" t="s">
        <v>166</v>
      </c>
      <c r="C11" s="10">
        <f>IF(Assumptions!$D$37+Assumptions!$C$37&lt;C$7*(1-Assumptions!$E$37),Assumptions!$C$37/(Assumptions!$D$37+Assumptions!$C$37),Assumptions!$C$37/(C$7*(1-Assumptions!$E$37)))</f>
        <v>0.0029411764705882353</v>
      </c>
      <c r="D11" s="10">
        <f>IF(Assumptions!$D$37+Assumptions!$C$37&lt;D$7*(1-Assumptions!$E$37),Assumptions!$C$37/(Assumptions!$D$37+Assumptions!$C$37),Assumptions!$C$37/(D$7*(1-Assumptions!$E$37)))</f>
        <v>0.0029411764705882353</v>
      </c>
      <c r="E11" s="10">
        <f>IF(Assumptions!$D$37+Assumptions!$C$37&lt;E$7*(1-Assumptions!$E$37),Assumptions!$C$37/(Assumptions!$D$37+Assumptions!$C$37),Assumptions!$C$37/(E$7*(1-Assumptions!$E$37)))</f>
        <v>0.0029411764705882353</v>
      </c>
      <c r="F11" s="10">
        <f>IF(Assumptions!$D$37+Assumptions!$C$37&lt;F$7*(1-Assumptions!$E$37),Assumptions!$C$37/(Assumptions!$D$37+Assumptions!$C$37),Assumptions!$C$37/(F$7*(1-Assumptions!$E$37)))</f>
        <v>0.0025210084033613447</v>
      </c>
      <c r="G11" s="10">
        <f>IF(Assumptions!$D$37+Assumptions!$C$37&lt;G$7*(1-Assumptions!$E$37),Assumptions!$C$37/(Assumptions!$D$37+Assumptions!$C$37),Assumptions!$C$37/(G$7*(1-Assumptions!$E$37)))</f>
        <v>0.0025210084033613447</v>
      </c>
      <c r="H11" s="10">
        <f>IF(Assumptions!$D$37+Assumptions!$C$37&lt;H$7*(1-Assumptions!$E$37),Assumptions!$C$37/(Assumptions!$D$37+Assumptions!$C$37),Assumptions!$C$37/(H$7*(1-Assumptions!$E$37)))</f>
        <v>0.0025210084033613447</v>
      </c>
      <c r="I11" s="10">
        <f>IF(Assumptions!$D$37+Assumptions!$C$37&lt;I$7*(1-Assumptions!$E$37),Assumptions!$C$37/(Assumptions!$D$37+Assumptions!$C$37),Assumptions!$C$37/(I$7*(1-Assumptions!$E$37)))</f>
        <v>0.00196078431372549</v>
      </c>
      <c r="J11" s="10">
        <f>IF(Assumptions!$D$37+Assumptions!$C$37&lt;J$7*(1-Assumptions!$E$37),Assumptions!$C$37/(Assumptions!$D$37+Assumptions!$C$37),Assumptions!$C$37/(J$7*(1-Assumptions!$E$37)))</f>
        <v>0.00196078431372549</v>
      </c>
      <c r="K11" s="10">
        <f>IF(Assumptions!$D$37+Assumptions!$C$37&lt;K$7*(1-Assumptions!$E$37),Assumptions!$C$37/(Assumptions!$D$37+Assumptions!$C$37),Assumptions!$C$37/(K$7*(1-Assumptions!$E$37)))</f>
        <v>0.00196078431372549</v>
      </c>
    </row>
    <row r="12" spans="2:11" x14ac:dyDescent="0.25">
      <c r="B12" s="5" t="s">
        <v>167</v>
      </c>
      <c r="C12" s="10">
        <f>Assumptions!F31/(Assumptions!C31*(Assumptions!C23+Assumptions!C7/Assumptions!C31))</f>
        <v>0.046335437646046355</v>
      </c>
      <c r="D12" s="10">
        <f>Assumptions!F31/(Assumptions!C31*(Assumptions!C23+Assumptions!C7/Assumptions!C31))</f>
        <v>0.046335437646046355</v>
      </c>
      <c r="E12" s="10">
        <f>Assumptions!F31/(Assumptions!C31*(Assumptions!C23+Assumptions!C7/Assumptions!C31))</f>
        <v>0.046335437646046355</v>
      </c>
      <c r="F12" s="10">
        <f>Assumptions!F31/(Assumptions!C31*(Assumptions!C23+Assumptions!C7/Assumptions!C31))</f>
        <v>0.046335437646046355</v>
      </c>
      <c r="G12" s="10">
        <f>Assumptions!F31/(Assumptions!C31*(Assumptions!C23+Assumptions!C7/Assumptions!C31))</f>
        <v>0.046335437646046355</v>
      </c>
      <c r="H12" s="10">
        <f>Assumptions!F31/(Assumptions!C31*(Assumptions!C23+Assumptions!C7/Assumptions!C31))</f>
        <v>0.046335437646046355</v>
      </c>
      <c r="I12" s="10">
        <f>Assumptions!F31/(Assumptions!C31*(Assumptions!C23+Assumptions!C7/Assumptions!C31))</f>
        <v>0.046335437646046355</v>
      </c>
      <c r="J12" s="10">
        <f>Assumptions!F31/(Assumptions!C31*(Assumptions!C23+Assumptions!C7/Assumptions!C31))</f>
        <v>0.046335437646046355</v>
      </c>
      <c r="K12" s="10">
        <f>Assumptions!F31/(Assumptions!C31*(Assumptions!C23+Assumptions!C7/Assumptions!C31))</f>
        <v>0.046335437646046355</v>
      </c>
    </row>
    <row r="13" spans="2:11" x14ac:dyDescent="0.25">
      <c r="B13" s="5" t="s">
        <v>168</v>
      </c>
      <c r="C13" s="10">
        <f>Assumptions!F32/(Assumptions!C32*(Assumptions!C23+Assumptions!C7/Assumptions!C32))</f>
        <v>0.16392751842923672</v>
      </c>
      <c r="D13" s="10">
        <f>Assumptions!F32/(Assumptions!C32*(Assumptions!C23+Assumptions!C7/Assumptions!C32))</f>
        <v>0.16392751842923672</v>
      </c>
      <c r="E13" s="10">
        <f>Assumptions!F32/(Assumptions!C32*(Assumptions!C23+Assumptions!C7/Assumptions!C32))</f>
        <v>0.16392751842923672</v>
      </c>
      <c r="F13" s="10">
        <f>Assumptions!F32/(Assumptions!C32*(Assumptions!C23+Assumptions!C7/Assumptions!C32))</f>
        <v>0.16392751842923672</v>
      </c>
      <c r="G13" s="10">
        <f>Assumptions!F32/(Assumptions!C32*(Assumptions!C23+Assumptions!C7/Assumptions!C32))</f>
        <v>0.16392751842923672</v>
      </c>
      <c r="H13" s="10">
        <f>Assumptions!F32/(Assumptions!C32*(Assumptions!C23+Assumptions!C7/Assumptions!C32))</f>
        <v>0.16392751842923672</v>
      </c>
      <c r="I13" s="10">
        <f>Assumptions!F32/(Assumptions!C32*(Assumptions!C23+Assumptions!C7/Assumptions!C32))</f>
        <v>0.16392751842923672</v>
      </c>
      <c r="J13" s="10">
        <f>Assumptions!F32/(Assumptions!C32*(Assumptions!C23+Assumptions!C7/Assumptions!C32))</f>
        <v>0.16392751842923672</v>
      </c>
      <c r="K13" s="10">
        <f>Assumptions!F32/(Assumptions!C32*(Assumptions!C23+Assumptions!C7/Assumptions!C32))</f>
        <v>0.16392751842923672</v>
      </c>
    </row>
    <row r="14" spans="2:11" x14ac:dyDescent="0.25">
      <c r="B14" s="5" t="s">
        <v>70</v>
      </c>
      <c r="C14" s="10">
        <f>(Assumptions!$C$23-Assumptions!$C$22)-Assumptions!$E$31-Assumptions!$E$32+(C$12+C$13)*Assumptions!$C$23</f>
        <v>32099400.72530943</v>
      </c>
      <c r="D14" s="10">
        <f>(Assumptions!$C$23-Assumptions!$C$22)-Assumptions!$E$31-Assumptions!$E$32+(D$12+D$13)*Assumptions!$C$23</f>
        <v>32099400.72530943</v>
      </c>
      <c r="E14" s="10">
        <f>(Assumptions!$C$23-Assumptions!$C$22)-Assumptions!$E$31-Assumptions!$E$32+(E$12+E$13)*Assumptions!$C$23</f>
        <v>32099400.72530943</v>
      </c>
      <c r="F14" s="10">
        <f>(Assumptions!$C$23-Assumptions!$C$22)-Assumptions!$E$31-Assumptions!$E$32+(F$12+F$13)*Assumptions!$C$23</f>
        <v>32099400.72530943</v>
      </c>
      <c r="G14" s="10">
        <f>(Assumptions!$C$23-Assumptions!$C$22)-Assumptions!$E$31-Assumptions!$E$32+(G$12+G$13)*Assumptions!$C$23</f>
        <v>32099400.72530943</v>
      </c>
      <c r="H14" s="10">
        <f>(Assumptions!$C$23-Assumptions!$C$22)-Assumptions!$E$31-Assumptions!$E$32+(H$12+H$13)*Assumptions!$C$23</f>
        <v>32099400.72530943</v>
      </c>
      <c r="I14" s="10">
        <f>(Assumptions!$C$23-Assumptions!$C$22)-Assumptions!$E$31-Assumptions!$E$32+(I$12+I$13)*Assumptions!$C$23</f>
        <v>32099400.72530943</v>
      </c>
      <c r="J14" s="10">
        <f>(Assumptions!$C$23-Assumptions!$C$22)-Assumptions!$E$31-Assumptions!$E$32+(J$12+J$13)*Assumptions!$C$23</f>
        <v>32099400.72530943</v>
      </c>
      <c r="K14" s="10">
        <f>(Assumptions!$C$23-Assumptions!$C$22)-Assumptions!$E$31-Assumptions!$E$32+(K$12+K$13)*Assumptions!$C$23</f>
        <v>32099400.72530943</v>
      </c>
    </row>
    <row r="15" spans="2:11" x14ac:dyDescent="0.25">
      <c r="B15" s="5" t="s">
        <v>169</v>
      </c>
      <c r="C15" s="10">
        <f>(1-C$8)-(C$12+C$13+C$8)*Assumptions!$C$7/C$7-C$10-C$11</f>
        <v>0.8738439162941963</v>
      </c>
      <c r="D15" s="10">
        <f>(1-D$8)-(D$12+D$13+D$8)*Assumptions!$C$7/D$7-D$10-D$11</f>
        <v>0.8533439162941965</v>
      </c>
      <c r="E15" s="10">
        <f>(1-E$8)-(E$12+E$13+E$8)*Assumptions!$C$7/E$7-E$10-E$11</f>
        <v>0.8328439162941963</v>
      </c>
      <c r="F15" s="10">
        <f>(1-F$8)-(F$12+F$13+F$8)*Assumptions!$C$7/F$7-F$10-F$11</f>
        <v>0.8756410895883446</v>
      </c>
      <c r="G15" s="10">
        <f>(1-G$8)-(G$12+G$13+G$8)*Assumptions!$C$7/G$7-G$10-G$11</f>
        <v>0.8552125181597731</v>
      </c>
      <c r="H15" s="10">
        <f>(1-H$8)-(H$12+H$13+H$8)*Assumptions!$C$7/H$7-H$10-H$11</f>
        <v>0.8347839467312017</v>
      </c>
      <c r="I15" s="10">
        <f>(1-I$8)-(I$12+I$13+I$8)*Assumptions!$C$7/I$7-I$10-I$11</f>
        <v>0.877726375373577</v>
      </c>
      <c r="J15" s="10">
        <f>(1-J$8)-(J$12+J$13+J$8)*Assumptions!$C$7/J$7-J$10-J$11</f>
        <v>0.8573930420402437</v>
      </c>
      <c r="K15" s="10">
        <f>(1-K$8)-(K$12+K$13+K$8)*Assumptions!$C$7/K$7-K$10-K$11</f>
        <v>0.8370597087069104</v>
      </c>
    </row>
    <row r="16" spans="2:11" x14ac:dyDescent="0.25">
      <c r="B16" s="5" t="s">
        <v>170</v>
      </c>
      <c r="C16" s="10">
        <f>C$14/C$15</f>
        <v>36733563.19906283</v>
      </c>
      <c r="D16" s="10">
        <f>D$14/D$15</f>
        <v>37616018.71459634</v>
      </c>
      <c r="E16" s="10">
        <f>E$14/E$15</f>
        <v>38541916.55519105</v>
      </c>
      <c r="F16" s="10">
        <f>F$14/F$15</f>
        <v>36658170.918406725</v>
      </c>
      <c r="G16" s="10">
        <f>G$14/G$15</f>
        <v>37533829.36253107</v>
      </c>
      <c r="H16" s="10">
        <f>H$14/H$15</f>
        <v>38452345.48532275</v>
      </c>
      <c r="I16" s="10">
        <f>I$14/I$15</f>
        <v>36571079.12662111</v>
      </c>
      <c r="J16" s="10">
        <f>J$14/J$15</f>
        <v>37438373.2446977</v>
      </c>
      <c r="K16" s="10">
        <f>K$14/K$15</f>
        <v>38347802.900340974</v>
      </c>
    </row>
    <row r="17" spans="2:11" x14ac:dyDescent="0.25">
      <c r="B17" s="5" t="s">
        <v>171</v>
      </c>
      <c r="C17" s="10">
        <f>C$16*(C$7+Assumptions!$C$7)/C$7</f>
        <v>37651902.2790394</v>
      </c>
      <c r="D17" s="10">
        <f>D$16*(D$7+Assumptions!$C$7)/D$7</f>
        <v>38556419.18246125</v>
      </c>
      <c r="E17" s="10">
        <f>E$16*(E$7+Assumptions!$C$7)/E$7</f>
        <v>39505464.46907082</v>
      </c>
      <c r="F17" s="10">
        <f>F$16*(F$7+Assumptions!$C$7)/F$7</f>
        <v>37443703.152372584</v>
      </c>
      <c r="G17" s="10">
        <f>G$16*(G$7+Assumptions!$C$7)/G$7</f>
        <v>38338125.70601388</v>
      </c>
      <c r="H17" s="10">
        <f>H$16*(H$7+Assumptions!$C$7)/H$7</f>
        <v>39276324.3171511</v>
      </c>
      <c r="I17" s="10">
        <f>I$16*(I$7+Assumptions!$C$7)/I$7</f>
        <v>37180597.11206479</v>
      </c>
      <c r="J17" s="10">
        <f>J$16*(J$7+Assumptions!$C$7)/J$7</f>
        <v>38062346.13210933</v>
      </c>
      <c r="K17" s="10">
        <f>K$16*(K$7+Assumptions!$C$7)/K$7</f>
        <v>38986932.94867999</v>
      </c>
    </row>
    <row r="18" spans="2:11" x14ac:dyDescent="0.25">
      <c r="B18" s="5" t="s">
        <v>172</v>
      </c>
      <c r="C18" s="10">
        <f>C$8*C$17</f>
        <v>4141709.250694334</v>
      </c>
      <c r="D18" s="10">
        <f>D$8*D$17</f>
        <v>5012334.493719962</v>
      </c>
      <c r="E18" s="10">
        <f>E$8*E$17</f>
        <v>5925819.670360623</v>
      </c>
      <c r="F18" s="10">
        <f>F$8*F$17</f>
        <v>4118807.346760984</v>
      </c>
      <c r="G18" s="10">
        <f>G$8*G$17</f>
        <v>4983956.341781804</v>
      </c>
      <c r="H18" s="10">
        <f>H$8*H$17</f>
        <v>5891448.647572665</v>
      </c>
      <c r="I18" s="10">
        <f>I$8*I$17</f>
        <v>4089865.682327127</v>
      </c>
      <c r="J18" s="10">
        <f>J$8*J$17</f>
        <v>4948104.997174213</v>
      </c>
      <c r="K18" s="10">
        <f>K$8*K$17</f>
        <v>5848039.942301999</v>
      </c>
    </row>
    <row r="19" spans="2:11" x14ac:dyDescent="0.25">
      <c r="B19" s="5" t="s">
        <v>173</v>
      </c>
      <c r="C19" s="10">
        <f>IF(C$18&gt;Assumptions!$C$22,1,0)</f>
        <v>0</v>
      </c>
      <c r="D19" s="10">
        <f>IF(D$18&gt;Assumptions!$C$22,1,0)</f>
        <v>1</v>
      </c>
      <c r="E19" s="10">
        <f>IF(E$18&gt;Assumptions!$C$22,1,0)</f>
        <v>1</v>
      </c>
      <c r="F19" s="10">
        <f>IF(F$18&gt;Assumptions!$C$22,1,0)</f>
        <v>0</v>
      </c>
      <c r="G19" s="10">
        <f>IF(G$18&gt;Assumptions!$C$22,1,0)</f>
        <v>1</v>
      </c>
      <c r="H19" s="10">
        <f>IF(H$18&gt;Assumptions!$C$22,1,0)</f>
        <v>1</v>
      </c>
      <c r="I19" s="10">
        <f>IF(I$18&gt;Assumptions!$C$22,1,0)</f>
        <v>0</v>
      </c>
      <c r="J19" s="10">
        <f>IF(J$18&gt;Assumptions!$C$22,1,0)</f>
        <v>1</v>
      </c>
      <c r="K19" s="10">
        <f>IF(K$18&gt;Assumptions!$C$22,1,0)</f>
        <v>1</v>
      </c>
    </row>
    <row r="20" spans="2:11" x14ac:dyDescent="0.25">
      <c r="B20" s="5" t="s">
        <v>174</v>
      </c>
      <c r="C20" s="10">
        <f>(1-C$10-C$11)-(C$12+C$13)*Assumptions!$C$7/C$7</f>
        <v>0.9865939162941963</v>
      </c>
      <c r="D20" s="10">
        <f>(1-D$10-D$11)-(D$12+D$13)*Assumptions!$C$7/D$7</f>
        <v>0.9865939162941963</v>
      </c>
      <c r="E20" s="10">
        <f>(1-E$10-E$11)-(E$12+E$13)*Assumptions!$C$7/E$7</f>
        <v>0.9865939162941963</v>
      </c>
      <c r="F20" s="10">
        <f>(1-F$10-F$11)-(F$12+F$13)*Assumptions!$C$7/F$7</f>
        <v>0.9879982324454875</v>
      </c>
      <c r="G20" s="10">
        <f>(1-G$10-G$11)-(G$12+G$13)*Assumptions!$C$7/G$7</f>
        <v>0.9879982324454875</v>
      </c>
      <c r="H20" s="10">
        <f>(1-H$10-H$11)-(H$12+H$13)*Assumptions!$C$7/H$7</f>
        <v>0.9879982324454875</v>
      </c>
      <c r="I20" s="10">
        <f>(1-I$10-I$11)-(I$12+I$13)*Assumptions!$C$7/I$7</f>
        <v>0.9895597087069103</v>
      </c>
      <c r="J20" s="10">
        <f>(1-J$10-J$11)-(J$12+J$13)*Assumptions!$C$7/J$7</f>
        <v>0.9895597087069103</v>
      </c>
      <c r="K20" s="10">
        <f>(1-K$10-K$11)-(K$12+K$13)*Assumptions!$C$7/K$7</f>
        <v>0.9895597087069103</v>
      </c>
    </row>
    <row r="21" spans="2:11" x14ac:dyDescent="0.25">
      <c r="B21" s="5" t="s">
        <v>175</v>
      </c>
      <c r="C21" s="10">
        <f>(C$14+Assumptions!$C$22)/C$20</f>
        <v>36989958.20122929</v>
      </c>
      <c r="D21" s="10">
        <f>(D$14+Assumptions!$C$22)/D$20</f>
        <v>36989958.20122929</v>
      </c>
      <c r="E21" s="10">
        <f>(E$14+Assumptions!$C$22)/E$20</f>
        <v>36989958.20122929</v>
      </c>
      <c r="F21" s="10">
        <f>(F$14+Assumptions!$C$22)/F$20</f>
        <v>36937381.59326412</v>
      </c>
      <c r="G21" s="10">
        <f>(G$14+Assumptions!$C$22)/G$20</f>
        <v>36937381.59326412</v>
      </c>
      <c r="H21" s="10">
        <f>(H$14+Assumptions!$C$22)/H$20</f>
        <v>36937381.59326412</v>
      </c>
      <c r="I21" s="10">
        <f>(I$14+Assumptions!$C$22)/I$20</f>
        <v>36879096.2326037</v>
      </c>
      <c r="J21" s="10">
        <f>(J$14+Assumptions!$C$22)/J$20</f>
        <v>36879096.2326037</v>
      </c>
      <c r="K21" s="10">
        <f>(K$14+Assumptions!$C$22)/K$20</f>
        <v>36879096.2326037</v>
      </c>
    </row>
    <row r="22" spans="2:11" x14ac:dyDescent="0.25">
      <c r="B22" s="9" t="s">
        <v>176</v>
      </c>
      <c r="C22" s="17">
        <f>IF(C$19=1,C$16,C$21)</f>
        <v>36989958.20122929</v>
      </c>
      <c r="D22" s="17">
        <f>IF(D$19=1,D$16,D$21)</f>
        <v>37616018.71459634</v>
      </c>
      <c r="E22" s="17">
        <f>IF(E$19=1,E$16,E$21)</f>
        <v>38541916.55519105</v>
      </c>
      <c r="F22" s="17">
        <f>IF(F$19=1,F$16,F$21)</f>
        <v>36937381.59326412</v>
      </c>
      <c r="G22" s="17">
        <f>IF(G$19=1,G$16,G$21)</f>
        <v>37533829.36253107</v>
      </c>
      <c r="H22" s="17">
        <f>IF(H$19=1,H$16,H$21)</f>
        <v>38452345.48532275</v>
      </c>
      <c r="I22" s="17">
        <f>IF(I$19=1,I$16,I$21)</f>
        <v>36879096.2326037</v>
      </c>
      <c r="J22" s="17">
        <f>IF(J$19=1,J$16,J$21)</f>
        <v>37438373.2446977</v>
      </c>
      <c r="K22" s="17">
        <f>IF(K$19=1,K$16,K$21)</f>
        <v>38347802.900340974</v>
      </c>
    </row>
    <row r="23" spans="2:11" x14ac:dyDescent="0.25">
      <c r="B23" s="9" t="s">
        <v>73</v>
      </c>
      <c r="C23" s="18">
        <f>C$7/C$22</f>
        <v>32.44123698307181</v>
      </c>
      <c r="D23" s="18">
        <f>D$7/D$22</f>
        <v>31.901302716397197</v>
      </c>
      <c r="E23" s="18">
        <f>E$7/E$22</f>
        <v>31.134933268864053</v>
      </c>
      <c r="F23" s="18">
        <f>F$7/F$22</f>
        <v>37.90198275059387</v>
      </c>
      <c r="G23" s="18">
        <f>G$7/G$22</f>
        <v>37.29968467852575</v>
      </c>
      <c r="H23" s="18">
        <f>H$7/H$22</f>
        <v>36.408702312694544</v>
      </c>
      <c r="I23" s="18">
        <f>I$7/I$22</f>
        <v>48.80813750551387</v>
      </c>
      <c r="J23" s="18">
        <f>J$7/J$22</f>
        <v>48.07901209369265</v>
      </c>
      <c r="K23" s="18">
        <f>K$7/K$22</f>
        <v>46.93880389126531</v>
      </c>
    </row>
    <row r="24" spans="2:11" x14ac:dyDescent="0.25">
      <c r="B24" s="5" t="s">
        <v>74</v>
      </c>
      <c r="C24" s="10">
        <f>Assumptions!$C$7/C$23</f>
        <v>924748.9550307322</v>
      </c>
      <c r="D24" s="10">
        <f>Assumptions!$C$7/D$23</f>
        <v>940400.4678649085</v>
      </c>
      <c r="E24" s="10">
        <f>Assumptions!$C$7/E$23</f>
        <v>963547.9138797763</v>
      </c>
      <c r="F24" s="10">
        <f>Assumptions!$C$7/F$23</f>
        <v>791515.3198556596</v>
      </c>
      <c r="G24" s="10">
        <f>Assumptions!$C$7/G$23</f>
        <v>804296.3434828086</v>
      </c>
      <c r="H24" s="10">
        <f>Assumptions!$C$7/H$23</f>
        <v>823978.8318283446</v>
      </c>
      <c r="I24" s="10">
        <f>Assumptions!$C$7/I$23</f>
        <v>614651.6038767283</v>
      </c>
      <c r="J24" s="10">
        <f>Assumptions!$C$7/J$23</f>
        <v>623972.8874116283</v>
      </c>
      <c r="K24" s="10">
        <f>Assumptions!$C$7/K$23</f>
        <v>639130.0483390163</v>
      </c>
    </row>
    <row r="25" spans="2:11" x14ac:dyDescent="0.25">
      <c r="B25" s="9" t="s">
        <v>75</v>
      </c>
      <c r="C25" s="17">
        <f>C$22+C$24</f>
        <v>37914707.15626002</v>
      </c>
      <c r="D25" s="17">
        <f>D$22+D$24</f>
        <v>38556419.18246125</v>
      </c>
      <c r="E25" s="17">
        <f>E$22+E$24</f>
        <v>39505464.46907083</v>
      </c>
      <c r="F25" s="17">
        <f>F$22+F$24</f>
        <v>37728896.91311978</v>
      </c>
      <c r="G25" s="17">
        <f>G$22+G$24</f>
        <v>38338125.70601388</v>
      </c>
      <c r="H25" s="17">
        <f>H$22+H$24</f>
        <v>39276324.31715109</v>
      </c>
      <c r="I25" s="17">
        <f>I$22+I$24</f>
        <v>37493747.83648043</v>
      </c>
      <c r="J25" s="17">
        <f>J$22+J$24</f>
        <v>38062346.13210933</v>
      </c>
      <c r="K25" s="17">
        <f>K$22+K$24</f>
        <v>38986932.94867999</v>
      </c>
    </row>
    <row r="26" spans="2:11" x14ac:dyDescent="0.25">
      <c r="B26" s="5" t="s">
        <v>177</v>
      </c>
      <c r="C26" s="10">
        <f>MAX(C$8*C$25,Assumptions!$C$22)</f>
        <v>4394667</v>
      </c>
      <c r="D26" s="10">
        <f>MAX(D$8*D$25,Assumptions!$C$22)</f>
        <v>5012334.493719962</v>
      </c>
      <c r="E26" s="10">
        <f>MAX(E$8*E$25,Assumptions!$C$22)</f>
        <v>5925819.670360625</v>
      </c>
      <c r="F26" s="10">
        <f>MAX(F$8*F$25,Assumptions!$C$22)</f>
        <v>4394667</v>
      </c>
      <c r="G26" s="10">
        <f>MAX(G$8*G$25,Assumptions!$C$22)</f>
        <v>4983956.341781804</v>
      </c>
      <c r="H26" s="10">
        <f>MAX(H$8*H$25,Assumptions!$C$22)</f>
        <v>5891448.647572664</v>
      </c>
      <c r="I26" s="10">
        <f>MAX(I$8*I$25,Assumptions!$C$22)</f>
        <v>4394667</v>
      </c>
      <c r="J26" s="10">
        <f>MAX(J$8*J$25,Assumptions!$C$22)</f>
        <v>4948104.997174213</v>
      </c>
      <c r="K26" s="10">
        <f>MAX(K$8*K$25,Assumptions!$C$22)</f>
        <v>5848039.942301999</v>
      </c>
    </row>
    <row r="27" spans="2:11" x14ac:dyDescent="0.25">
      <c r="B27" s="5" t="s">
        <v>178</v>
      </c>
      <c r="C27" s="10">
        <f>Assumptions!$F$31*(Assumptions!$C$23+C$24)/(Assumptions!$C$31*(Assumptions!$C$23+Assumptions!$C$7/Assumptions!$C$31))</f>
        <v>1739557.89618493</v>
      </c>
      <c r="D27" s="10">
        <f>Assumptions!$F$31*(Assumptions!$C$23+D$24)/(Assumptions!$C$31*(Assumptions!$C$23+Assumptions!$C$7/Assumptions!$C$31))</f>
        <v>1740283.1158819248</v>
      </c>
      <c r="E27" s="10">
        <f>Assumptions!$F$31*(Assumptions!$C$23+E$24)/(Assumptions!$C$31*(Assumptions!$C$23+Assumptions!$C$7/Assumptions!$C$31))</f>
        <v>1741355.6629234117</v>
      </c>
      <c r="F27" s="10">
        <f>Assumptions!$F$31*(Assumptions!$C$23+F$24)/(Assumptions!$C$31*(Assumptions!$C$23+Assumptions!$C$7/Assumptions!$C$31))</f>
        <v>1733384.4573899198</v>
      </c>
      <c r="G27" s="10">
        <f>Assumptions!$F$31*(Assumptions!$C$23+G$24)/(Assumptions!$C$31*(Assumptions!$C$23+Assumptions!$C$7/Assumptions!$C$31))</f>
        <v>1733976.6717132481</v>
      </c>
      <c r="H27" s="10">
        <f>Assumptions!$F$31*(Assumptions!$C$23+H$24)/(Assumptions!$C$31*(Assumptions!$C$23+Assumptions!$C$7/Assumptions!$C$31))</f>
        <v>1734888.6684247016</v>
      </c>
      <c r="I27" s="10">
        <f>Assumptions!$F$31*(Assumptions!$C$23+I$24)/(Assumptions!$C$31*(Assumptions!$C$23+Assumptions!$C$7/Assumptions!$C$31))</f>
        <v>1725189.3997063297</v>
      </c>
      <c r="J27" s="10">
        <f>Assumptions!$F$31*(Assumptions!$C$23+J$24)/(Assumptions!$C$31*(Assumptions!$C$23+Assumptions!$C$7/Assumptions!$C$31))</f>
        <v>1725621.3054583424</v>
      </c>
      <c r="K27" s="10">
        <f>Assumptions!$F$31*(Assumptions!$C$23+K$24)/(Assumptions!$C$31*(Assumptions!$C$23+Assumptions!$C$7/Assumptions!$C$31))</f>
        <v>1726323.6191433845</v>
      </c>
    </row>
    <row r="28" spans="2:11" x14ac:dyDescent="0.25">
      <c r="B28" s="5" t="s">
        <v>179</v>
      </c>
      <c r="C28" s="10">
        <f>Assumptions!$F$32*(Assumptions!$C$23+C$24)/(Assumptions!$C$32*(Assumptions!$C$23+Assumptions!$C$7/Assumptions!$C$32))</f>
        <v>6154283.27803679</v>
      </c>
      <c r="D28" s="10">
        <f>Assumptions!$F$32*(Assumptions!$C$23+D$24)/(Assumptions!$C$32*(Assumptions!$C$23+Assumptions!$C$7/Assumptions!$C$32))</f>
        <v>6156848.991695359</v>
      </c>
      <c r="E28" s="10">
        <f>Assumptions!$F$32*(Assumptions!$C$23+E$24)/(Assumptions!$C$32*(Assumptions!$C$23+Assumptions!$C$7/Assumptions!$C$32))</f>
        <v>6160643.495078551</v>
      </c>
      <c r="F28" s="10">
        <f>Assumptions!$F$32*(Assumptions!$C$23+F$24)/(Assumptions!$C$32*(Assumptions!$C$23+Assumptions!$C$7/Assumptions!$C$32))</f>
        <v>6132442.618851234</v>
      </c>
      <c r="G28" s="10">
        <f>Assumptions!$F$32*(Assumptions!$C$23+G$24)/(Assumptions!$C$32*(Assumptions!$C$23+Assumptions!$C$7/Assumptions!$C$32))</f>
        <v>6134537.780337418</v>
      </c>
      <c r="H28" s="10">
        <f>Assumptions!$F$32*(Assumptions!$C$23+H$24)/(Assumptions!$C$32*(Assumptions!$C$23+Assumptions!$C$7/Assumptions!$C$32))</f>
        <v>6137764.281808413</v>
      </c>
      <c r="I28" s="10">
        <f>Assumptions!$F$32*(Assumptions!$C$23+I$24)/(Assumptions!$C$32*(Assumptions!$C$23+Assumptions!$C$7/Assumptions!$C$32))</f>
        <v>6103449.788790634</v>
      </c>
      <c r="J28" s="10">
        <f>Assumptions!$F$32*(Assumptions!$C$23+J$24)/(Assumptions!$C$32*(Assumptions!$C$23+Assumptions!$C$7/Assumptions!$C$32))</f>
        <v>6104977.803669086</v>
      </c>
      <c r="K28" s="10">
        <f>Assumptions!$F$32*(Assumptions!$C$23+K$24)/(Assumptions!$C$32*(Assumptions!$C$23+Assumptions!$C$7/Assumptions!$C$32))</f>
        <v>6107462.479446346</v>
      </c>
    </row>
    <row r="29" spans="2:11" x14ac:dyDescent="0.25">
      <c r="B29" s="5" t="s">
        <v>180</v>
      </c>
      <c r="C29" s="10">
        <f>C$10*C$22</f>
        <v>192656.0322980692</v>
      </c>
      <c r="D29" s="10">
        <f>D$10*D$22</f>
        <v>195916.7641385226</v>
      </c>
      <c r="E29" s="10">
        <f>E$10*E$22</f>
        <v>200739.14872495338</v>
      </c>
      <c r="F29" s="10">
        <f>F$10*F$22</f>
        <v>183768.0676281797</v>
      </c>
      <c r="G29" s="10">
        <f>G$10*G$22</f>
        <v>186735.46946532873</v>
      </c>
      <c r="H29" s="10">
        <f>H$10*H$22</f>
        <v>191305.20141951618</v>
      </c>
      <c r="I29" s="10">
        <f>I$10*I$22</f>
        <v>183478.09070947114</v>
      </c>
      <c r="J29" s="10">
        <f>J$10*J$22</f>
        <v>186260.56340645623</v>
      </c>
      <c r="K29" s="10">
        <f>K$10*K$22</f>
        <v>190785.08905642276</v>
      </c>
    </row>
    <row r="30" spans="2:11" x14ac:dyDescent="0.25">
      <c r="B30" s="5" t="s">
        <v>181</v>
      </c>
      <c r="C30" s="10">
        <f>C$11*C$22</f>
        <v>108793.99470949791</v>
      </c>
      <c r="D30" s="10">
        <f>D$11*D$22</f>
        <v>110635.34916057748</v>
      </c>
      <c r="E30" s="10">
        <f>E$11*E$22</f>
        <v>113358.57810350308</v>
      </c>
      <c r="F30" s="10">
        <f>F$11*F$22</f>
        <v>93119.4493947835</v>
      </c>
      <c r="G30" s="10">
        <f>G$11*G$22</f>
        <v>94623.09923327161</v>
      </c>
      <c r="H30" s="10">
        <f>H$11*H$22</f>
        <v>96938.68609745232</v>
      </c>
      <c r="I30" s="10">
        <f>I$11*I$22</f>
        <v>72311.95339726214</v>
      </c>
      <c r="J30" s="10">
        <f>J$11*J$22</f>
        <v>73408.57498960332</v>
      </c>
      <c r="K30" s="10">
        <f>K$11*K$22</f>
        <v>75191.77039282543</v>
      </c>
    </row>
    <row r="31" spans="2:11" x14ac:dyDescent="0.25">
      <c r="B31" s="5" t="s">
        <v>182</v>
      </c>
      <c r="C31" s="10" t="str">
        <f>IF(Assumptions!$D$36+Assumptions!$C$36&lt;C$7*(1-Assumptions!$E$36),"cap","discount")</f>
        <v>discount</v>
      </c>
      <c r="D31" s="10" t="str">
        <f>IF(Assumptions!$D$36+Assumptions!$C$36&lt;D$7*(1-Assumptions!$E$36),"cap","discount")</f>
        <v>discount</v>
      </c>
      <c r="E31" s="10" t="str">
        <f>IF(Assumptions!$D$36+Assumptions!$C$36&lt;E$7*(1-Assumptions!$E$36),"cap","discount")</f>
        <v>discount</v>
      </c>
      <c r="F31" s="10" t="str">
        <f>IF(Assumptions!$D$36+Assumptions!$C$36&lt;F$7*(1-Assumptions!$E$36),"cap","discount")</f>
        <v>cap</v>
      </c>
      <c r="G31" s="10" t="str">
        <f>IF(Assumptions!$D$36+Assumptions!$C$36&lt;G$7*(1-Assumptions!$E$36),"cap","discount")</f>
        <v>cap</v>
      </c>
      <c r="H31" s="10" t="str">
        <f>IF(Assumptions!$D$36+Assumptions!$C$36&lt;H$7*(1-Assumptions!$E$36),"cap","discount")</f>
        <v>cap</v>
      </c>
      <c r="I31" s="10" t="str">
        <f>IF(Assumptions!$D$36+Assumptions!$C$36&lt;I$7*(1-Assumptions!$E$36),"cap","discount")</f>
        <v>cap</v>
      </c>
      <c r="J31" s="10" t="str">
        <f>IF(Assumptions!$D$36+Assumptions!$C$36&lt;J$7*(1-Assumptions!$E$36),"cap","discount")</f>
        <v>cap</v>
      </c>
      <c r="K31" s="10" t="str">
        <f>IF(Assumptions!$D$36+Assumptions!$C$36&lt;K$7*(1-Assumptions!$E$36),"cap","discount")</f>
        <v>cap</v>
      </c>
    </row>
    <row r="32" spans="2:11" x14ac:dyDescent="0.25">
      <c r="B32" s="5" t="s">
        <v>183</v>
      </c>
      <c r="C32" s="10" t="str">
        <f>IF(Assumptions!$D$37+Assumptions!$C$37&lt;C$7*(1-Assumptions!$E$37),"cap","discount")</f>
        <v>discount</v>
      </c>
      <c r="D32" s="10" t="str">
        <f>IF(Assumptions!$D$37+Assumptions!$C$37&lt;D$7*(1-Assumptions!$E$37),"cap","discount")</f>
        <v>discount</v>
      </c>
      <c r="E32" s="10" t="str">
        <f>IF(Assumptions!$D$37+Assumptions!$C$37&lt;E$7*(1-Assumptions!$E$37),"cap","discount")</f>
        <v>discount</v>
      </c>
      <c r="F32" s="10" t="str">
        <f>IF(Assumptions!$D$37+Assumptions!$C$37&lt;F$7*(1-Assumptions!$E$37),"cap","discount")</f>
        <v>discount</v>
      </c>
      <c r="G32" s="10" t="str">
        <f>IF(Assumptions!$D$37+Assumptions!$C$37&lt;G$7*(1-Assumptions!$E$37),"cap","discount")</f>
        <v>discount</v>
      </c>
      <c r="H32" s="10" t="str">
        <f>IF(Assumptions!$D$37+Assumptions!$C$37&lt;H$7*(1-Assumptions!$E$37),"cap","discount")</f>
        <v>discount</v>
      </c>
      <c r="I32" s="10" t="str">
        <f>IF(Assumptions!$D$37+Assumptions!$C$37&lt;I$7*(1-Assumptions!$E$37),"cap","discount")</f>
        <v>discount</v>
      </c>
      <c r="J32" s="10" t="str">
        <f>IF(Assumptions!$D$37+Assumptions!$C$37&lt;J$7*(1-Assumptions!$E$37),"cap","discount")</f>
        <v>discount</v>
      </c>
      <c r="K32" s="10" t="str">
        <f>IF(Assumptions!$D$37+Assumptions!$C$37&lt;K$7*(1-Assumptions!$E$37),"cap","discount")</f>
        <v>discount</v>
      </c>
    </row>
    <row r="34" spans="2:11" x14ac:dyDescent="0.25">
      <c r="B34" s="5" t="s">
        <v>184</v>
      </c>
      <c r="C34" s="19">
        <f>Assumptions!$F$27/Assumptions!$E$27</f>
        <v>1</v>
      </c>
      <c r="D34" s="19">
        <f>Assumptions!$F$27/Assumptions!$E$27</f>
        <v>1</v>
      </c>
      <c r="E34" s="19">
        <f>Assumptions!$F$27/Assumptions!$E$27</f>
        <v>1</v>
      </c>
      <c r="F34" s="19">
        <f>Assumptions!$F$27/Assumptions!$E$27</f>
        <v>1</v>
      </c>
      <c r="G34" s="19">
        <f>Assumptions!$F$27/Assumptions!$E$27</f>
        <v>1</v>
      </c>
      <c r="H34" s="19">
        <f>Assumptions!$F$27/Assumptions!$E$27</f>
        <v>1</v>
      </c>
      <c r="I34" s="19">
        <f>Assumptions!$F$27/Assumptions!$E$27</f>
        <v>1</v>
      </c>
      <c r="J34" s="19">
        <f>Assumptions!$F$27/Assumptions!$E$27</f>
        <v>1</v>
      </c>
      <c r="K34" s="19">
        <f>Assumptions!$F$27/Assumptions!$E$27</f>
        <v>1</v>
      </c>
    </row>
    <row r="35" spans="2:11" x14ac:dyDescent="0.25">
      <c r="B35" s="5" t="s">
        <v>185</v>
      </c>
      <c r="C35" s="19">
        <f>Assumptions!$F$28/Assumptions!$E$28</f>
        <v>3</v>
      </c>
      <c r="D35" s="19">
        <f>Assumptions!$F$28/Assumptions!$E$28</f>
        <v>3</v>
      </c>
      <c r="E35" s="19">
        <f>Assumptions!$F$28/Assumptions!$E$28</f>
        <v>3</v>
      </c>
      <c r="F35" s="19">
        <f>Assumptions!$F$28/Assumptions!$E$28</f>
        <v>3</v>
      </c>
      <c r="G35" s="19">
        <f>Assumptions!$F$28/Assumptions!$E$28</f>
        <v>3</v>
      </c>
      <c r="H35" s="19">
        <f>Assumptions!$F$28/Assumptions!$E$28</f>
        <v>3</v>
      </c>
      <c r="I35" s="19">
        <f>Assumptions!$F$28/Assumptions!$E$28</f>
        <v>3</v>
      </c>
      <c r="J35" s="19">
        <f>Assumptions!$F$28/Assumptions!$E$28</f>
        <v>3</v>
      </c>
      <c r="K35" s="19">
        <f>Assumptions!$F$28/Assumptions!$E$28</f>
        <v>3</v>
      </c>
    </row>
    <row r="36" spans="2:11" x14ac:dyDescent="0.25">
      <c r="B36" s="5" t="s">
        <v>186</v>
      </c>
      <c r="C36" s="19">
        <f>Assumptions!$F$29/Assumptions!$E$29</f>
        <v>10</v>
      </c>
      <c r="D36" s="19">
        <f>Assumptions!$F$29/Assumptions!$E$29</f>
        <v>10</v>
      </c>
      <c r="E36" s="19">
        <f>Assumptions!$F$29/Assumptions!$E$29</f>
        <v>10</v>
      </c>
      <c r="F36" s="19">
        <f>Assumptions!$F$29/Assumptions!$E$29</f>
        <v>10</v>
      </c>
      <c r="G36" s="19">
        <f>Assumptions!$F$29/Assumptions!$E$29</f>
        <v>10</v>
      </c>
      <c r="H36" s="19">
        <f>Assumptions!$F$29/Assumptions!$E$29</f>
        <v>10</v>
      </c>
      <c r="I36" s="19">
        <f>Assumptions!$F$29/Assumptions!$E$29</f>
        <v>10</v>
      </c>
      <c r="J36" s="19">
        <f>Assumptions!$F$29/Assumptions!$E$29</f>
        <v>10</v>
      </c>
      <c r="K36" s="19">
        <f>Assumptions!$F$29/Assumptions!$E$29</f>
        <v>10</v>
      </c>
    </row>
    <row r="37" spans="2:11" x14ac:dyDescent="0.25">
      <c r="B37" s="5" t="s">
        <v>187</v>
      </c>
      <c r="C37" s="19">
        <f>Assumptions!$F$30/Assumptions!$E$30</f>
        <v>25</v>
      </c>
      <c r="D37" s="19">
        <f>Assumptions!$F$30/Assumptions!$E$30</f>
        <v>25</v>
      </c>
      <c r="E37" s="19">
        <f>Assumptions!$F$30/Assumptions!$E$30</f>
        <v>25</v>
      </c>
      <c r="F37" s="19">
        <f>Assumptions!$F$30/Assumptions!$E$30</f>
        <v>25</v>
      </c>
      <c r="G37" s="19">
        <f>Assumptions!$F$30/Assumptions!$E$30</f>
        <v>25</v>
      </c>
      <c r="H37" s="19">
        <f>Assumptions!$F$30/Assumptions!$E$30</f>
        <v>25</v>
      </c>
      <c r="I37" s="19">
        <f>Assumptions!$F$30/Assumptions!$E$30</f>
        <v>25</v>
      </c>
      <c r="J37" s="19">
        <f>Assumptions!$F$30/Assumptions!$E$30</f>
        <v>25</v>
      </c>
      <c r="K37" s="19">
        <f>Assumptions!$F$30/Assumptions!$E$30</f>
        <v>25</v>
      </c>
    </row>
    <row r="38" spans="2:11" x14ac:dyDescent="0.25">
      <c r="B38" s="5" t="s">
        <v>188</v>
      </c>
      <c r="C38" s="19">
        <f>C$23</f>
        <v>32.44123698307181</v>
      </c>
      <c r="D38" s="19">
        <f>D$23</f>
        <v>31.901302716397197</v>
      </c>
      <c r="E38" s="19">
        <f>E$23</f>
        <v>31.134933268864053</v>
      </c>
      <c r="F38" s="19">
        <f>F$23</f>
        <v>37.90198275059387</v>
      </c>
      <c r="G38" s="19">
        <f>G$23</f>
        <v>37.29968467852575</v>
      </c>
      <c r="H38" s="19">
        <f>H$23</f>
        <v>36.408702312694544</v>
      </c>
      <c r="I38" s="19">
        <f>I$23</f>
        <v>48.80813750551387</v>
      </c>
      <c r="J38" s="19">
        <f>J$23</f>
        <v>48.07901209369265</v>
      </c>
      <c r="K38" s="19">
        <f>K$23</f>
        <v>46.93880389126531</v>
      </c>
    </row>
    <row r="39" spans="2:11" x14ac:dyDescent="0.25">
      <c r="B39" s="5" t="s">
        <v>189</v>
      </c>
      <c r="C39" s="19">
        <f>Assumptions!$F$32/C$28</f>
        <v>48.74653740275987</v>
      </c>
      <c r="D39" s="19">
        <f>Assumptions!$F$32/D$28</f>
        <v>48.72622349592361</v>
      </c>
      <c r="E39" s="19">
        <f>Assumptions!$F$32/E$28</f>
        <v>48.69621172522901</v>
      </c>
      <c r="F39" s="19">
        <f>Assumptions!$F$32/F$28</f>
        <v>48.92014791590464</v>
      </c>
      <c r="G39" s="19">
        <f>Assumptions!$F$32/G$28</f>
        <v>48.90343995623727</v>
      </c>
      <c r="H39" s="19">
        <f>Assumptions!$F$32/H$28</f>
        <v>48.87773238362436</v>
      </c>
      <c r="I39" s="19">
        <f>Assumptions!$F$32/I$28</f>
        <v>49.15253018890541</v>
      </c>
      <c r="J39" s="19">
        <f>Assumptions!$F$32/J$28</f>
        <v>49.14022780225348</v>
      </c>
      <c r="K39" s="19">
        <f>Assumptions!$F$32/K$28</f>
        <v>49.120236269907565</v>
      </c>
    </row>
    <row r="40" spans="2:11" x14ac:dyDescent="0.25">
      <c r="B40" s="5" t="s">
        <v>190</v>
      </c>
      <c r="C40" s="19">
        <f>Assumptions!$F$31/C$27</f>
        <v>57.48587053027244</v>
      </c>
      <c r="D40" s="19">
        <f>Assumptions!$F$31/D$27</f>
        <v>57.46191472375626</v>
      </c>
      <c r="E40" s="19">
        <f>Assumptions!$F$31/E$27</f>
        <v>57.42652240962575</v>
      </c>
      <c r="F40" s="19">
        <f>Assumptions!$F$31/F$27</f>
        <v>57.690606128185266</v>
      </c>
      <c r="G40" s="19">
        <f>Assumptions!$F$31/G$27</f>
        <v>57.67090274703375</v>
      </c>
      <c r="H40" s="19">
        <f>Assumptions!$F$31/H$27</f>
        <v>57.6405862923764</v>
      </c>
      <c r="I40" s="19">
        <f>Assumptions!$F$31/I$27</f>
        <v>57.96465015204852</v>
      </c>
      <c r="J40" s="19">
        <f>Assumptions!$F$31/J$27</f>
        <v>57.950142179914145</v>
      </c>
      <c r="K40" s="19">
        <f>Assumptions!$F$31/K$27</f>
        <v>57.92656654354344</v>
      </c>
    </row>
    <row r="42" spans="2:11" x14ac:dyDescent="0.25">
      <c r="B42" s="5" t="s">
        <v>191</v>
      </c>
      <c r="C42" s="19">
        <f>IF((Assumptions!$C$42-(Assumptions!$F$27+Assumptions!$F$28+Assumptions!$F$29+Assumptions!$F$30+Assumptions!$F$31+Assumptions!$F$32+Assumptions!$C$7)+0)&gt;Assumptions!$C$13*((Assumptions!$C$16+Assumptions!$C$17+Assumptions!$C$18+Assumptions!$C$19)+(C$29+C$30)+0),((Assumptions!$C$42-(Assumptions!$F$27+Assumptions!$F$28+Assumptions!$F$29+Assumptions!$F$30+Assumptions!$F$31+Assumptions!$F$32+Assumptions!$C$7)+0)+Assumptions!$C$13*Assumptions!$C$20)/(((Assumptions!$C$16+Assumptions!$C$17+Assumptions!$C$18+Assumptions!$C$19)+(C$29+C$30)+0)+Assumptions!$C$20),(Assumptions!$C$42-(Assumptions!$F$27+Assumptions!$F$28+Assumptions!$F$29+Assumptions!$F$30+Assumptions!$F$31+Assumptions!$F$32+Assumptions!$C$7)+0)/((Assumptions!$C$16+Assumptions!$C$17+Assumptions!$C$18+Assumptions!$C$19)+(C$29+C$30)+0))</f>
        <v>123.92544955518814</v>
      </c>
      <c r="D42" s="19">
        <f>IF((Assumptions!$C$42-(Assumptions!$F$27+Assumptions!$F$28+Assumptions!$F$29+Assumptions!$F$30+Assumptions!$F$31+Assumptions!$F$32+Assumptions!$C$7)+0)&gt;Assumptions!$C$13*((Assumptions!$C$16+Assumptions!$C$17+Assumptions!$C$18+Assumptions!$C$19)+(D$29+D$30)+0),((Assumptions!$C$42-(Assumptions!$F$27+Assumptions!$F$28+Assumptions!$F$29+Assumptions!$F$30+Assumptions!$F$31+Assumptions!$F$32+Assumptions!$C$7)+0)+Assumptions!$C$13*Assumptions!$C$20)/(((Assumptions!$C$16+Assumptions!$C$17+Assumptions!$C$18+Assumptions!$C$19)+(D$29+D$30)+0)+Assumptions!$C$20),(Assumptions!$C$42-(Assumptions!$F$27+Assumptions!$F$28+Assumptions!$F$29+Assumptions!$F$30+Assumptions!$F$31+Assumptions!$F$32+Assumptions!$C$7)+0)/((Assumptions!$C$16+Assumptions!$C$17+Assumptions!$C$18+Assumptions!$C$19)+(D$29+D$30)+0))</f>
        <v>123.8718963813843</v>
      </c>
      <c r="E42" s="19">
        <f>IF((Assumptions!$C$42-(Assumptions!$F$27+Assumptions!$F$28+Assumptions!$F$29+Assumptions!$F$30+Assumptions!$F$31+Assumptions!$F$32+Assumptions!$C$7)+0)&gt;Assumptions!$C$13*((Assumptions!$C$16+Assumptions!$C$17+Assumptions!$C$18+Assumptions!$C$19)+(E$29+E$30)+0),((Assumptions!$C$42-(Assumptions!$F$27+Assumptions!$F$28+Assumptions!$F$29+Assumptions!$F$30+Assumptions!$F$31+Assumptions!$F$32+Assumptions!$C$7)+0)+Assumptions!$C$13*Assumptions!$C$20)/(((Assumptions!$C$16+Assumptions!$C$17+Assumptions!$C$18+Assumptions!$C$19)+(E$29+E$30)+0)+Assumptions!$C$20),(Assumptions!$C$42-(Assumptions!$F$27+Assumptions!$F$28+Assumptions!$F$29+Assumptions!$F$30+Assumptions!$F$31+Assumptions!$F$32+Assumptions!$C$7)+0)/((Assumptions!$C$16+Assumptions!$C$17+Assumptions!$C$18+Assumptions!$C$19)+(E$29+E$30)+0))</f>
        <v>123.7927799326419</v>
      </c>
      <c r="F42" s="19">
        <f>IF((Assumptions!$C$42-(Assumptions!$F$27+Assumptions!$F$28+Assumptions!$F$29+Assumptions!$F$30+Assumptions!$F$31+Assumptions!$F$32+Assumptions!$C$7)+0)&gt;Assumptions!$C$13*((Assumptions!$C$16+Assumptions!$C$17+Assumptions!$C$18+Assumptions!$C$19)+(F$29+F$30)+0),((Assumptions!$C$42-(Assumptions!$F$27+Assumptions!$F$28+Assumptions!$F$29+Assumptions!$F$30+Assumptions!$F$31+Assumptions!$F$32+Assumptions!$C$7)+0)+Assumptions!$C$13*Assumptions!$C$20)/(((Assumptions!$C$16+Assumptions!$C$17+Assumptions!$C$18+Assumptions!$C$19)+(F$29+F$30)+0)+Assumptions!$C$20),(Assumptions!$C$42-(Assumptions!$F$27+Assumptions!$F$28+Assumptions!$F$29+Assumptions!$F$30+Assumptions!$F$31+Assumptions!$F$32+Assumptions!$C$7)+0)/((Assumptions!$C$16+Assumptions!$C$17+Assumptions!$C$18+Assumptions!$C$19)+(F$29+F$30)+0))</f>
        <v>124.18391513768147</v>
      </c>
      <c r="G42" s="19">
        <f>IF((Assumptions!$C$42-(Assumptions!$F$27+Assumptions!$F$28+Assumptions!$F$29+Assumptions!$F$30+Assumptions!$F$31+Assumptions!$F$32+Assumptions!$C$7)+0)&gt;Assumptions!$C$13*((Assumptions!$C$16+Assumptions!$C$17+Assumptions!$C$18+Assumptions!$C$19)+(G$29+G$30)+0),((Assumptions!$C$42-(Assumptions!$F$27+Assumptions!$F$28+Assumptions!$F$29+Assumptions!$F$30+Assumptions!$F$31+Assumptions!$F$32+Assumptions!$C$7)+0)+Assumptions!$C$13*Assumptions!$C$20)/(((Assumptions!$C$16+Assumptions!$C$17+Assumptions!$C$18+Assumptions!$C$19)+(G$29+G$30)+0)+Assumptions!$C$20),(Assumptions!$C$42-(Assumptions!$F$27+Assumptions!$F$28+Assumptions!$F$29+Assumptions!$F$30+Assumptions!$F$31+Assumptions!$F$32+Assumptions!$C$7)+0)/((Assumptions!$C$16+Assumptions!$C$17+Assumptions!$C$18+Assumptions!$C$19)+(G$29+G$30)+0))</f>
        <v>124.13678706678661</v>
      </c>
      <c r="H42" s="19">
        <f>IF((Assumptions!$C$42-(Assumptions!$F$27+Assumptions!$F$28+Assumptions!$F$29+Assumptions!$F$30+Assumptions!$F$31+Assumptions!$F$32+Assumptions!$C$7)+0)&gt;Assumptions!$C$13*((Assumptions!$C$16+Assumptions!$C$17+Assumptions!$C$18+Assumptions!$C$19)+(H$29+H$30)+0),((Assumptions!$C$42-(Assumptions!$F$27+Assumptions!$F$28+Assumptions!$F$29+Assumptions!$F$30+Assumptions!$F$31+Assumptions!$F$32+Assumptions!$C$7)+0)+Assumptions!$C$13*Assumptions!$C$20)/(((Assumptions!$C$16+Assumptions!$C$17+Assumptions!$C$18+Assumptions!$C$19)+(H$29+H$30)+0)+Assumptions!$C$20),(Assumptions!$C$42-(Assumptions!$F$27+Assumptions!$F$28+Assumptions!$F$29+Assumptions!$F$30+Assumptions!$F$31+Assumptions!$F$32+Assumptions!$C$7)+0)/((Assumptions!$C$16+Assumptions!$C$17+Assumptions!$C$18+Assumptions!$C$19)+(H$29+H$30)+0))</f>
        <v>124.06428081698398</v>
      </c>
      <c r="I42" s="19">
        <f>IF((Assumptions!$C$42-(Assumptions!$F$27+Assumptions!$F$28+Assumptions!$F$29+Assumptions!$F$30+Assumptions!$F$31+Assumptions!$F$32+Assumptions!$C$7)+0)&gt;Assumptions!$C$13*((Assumptions!$C$16+Assumptions!$C$17+Assumptions!$C$18+Assumptions!$C$19)+(I$29+I$30)+0),((Assumptions!$C$42-(Assumptions!$F$27+Assumptions!$F$28+Assumptions!$F$29+Assumptions!$F$30+Assumptions!$F$31+Assumptions!$F$32+Assumptions!$C$7)+0)+Assumptions!$C$13*Assumptions!$C$20)/(((Assumptions!$C$16+Assumptions!$C$17+Assumptions!$C$18+Assumptions!$C$19)+(I$29+I$30)+0)+Assumptions!$C$20),(Assumptions!$C$42-(Assumptions!$F$27+Assumptions!$F$28+Assumptions!$F$29+Assumptions!$F$30+Assumptions!$F$31+Assumptions!$F$32+Assumptions!$C$7)+0)/((Assumptions!$C$16+Assumptions!$C$17+Assumptions!$C$18+Assumptions!$C$19)+(I$29+I$30)+0))</f>
        <v>124.40678121273206</v>
      </c>
      <c r="J42" s="19">
        <f>IF((Assumptions!$C$42-(Assumptions!$F$27+Assumptions!$F$28+Assumptions!$F$29+Assumptions!$F$30+Assumptions!$F$31+Assumptions!$F$32+Assumptions!$C$7)+0)&gt;Assumptions!$C$13*((Assumptions!$C$16+Assumptions!$C$17+Assumptions!$C$18+Assumptions!$C$19)+(J$29+J$30)+0),((Assumptions!$C$42-(Assumptions!$F$27+Assumptions!$F$28+Assumptions!$F$29+Assumptions!$F$30+Assumptions!$F$31+Assumptions!$F$32+Assumptions!$C$7)+0)+Assumptions!$C$13*Assumptions!$C$20)/(((Assumptions!$C$16+Assumptions!$C$17+Assumptions!$C$18+Assumptions!$C$19)+(J$29+J$30)+0)+Assumptions!$C$20),(Assumptions!$C$42-(Assumptions!$F$27+Assumptions!$F$28+Assumptions!$F$29+Assumptions!$F$30+Assumptions!$F$31+Assumptions!$F$32+Assumptions!$C$7)+0)/((Assumptions!$C$16+Assumptions!$C$17+Assumptions!$C$18+Assumptions!$C$19)+(J$29+J$30)+0))</f>
        <v>124.36574386475257</v>
      </c>
      <c r="K42" s="19">
        <f>IF((Assumptions!$C$42-(Assumptions!$F$27+Assumptions!$F$28+Assumptions!$F$29+Assumptions!$F$30+Assumptions!$F$31+Assumptions!$F$32+Assumptions!$C$7)+0)&gt;Assumptions!$C$13*((Assumptions!$C$16+Assumptions!$C$17+Assumptions!$C$18+Assumptions!$C$19)+(K$29+K$30)+0),((Assumptions!$C$42-(Assumptions!$F$27+Assumptions!$F$28+Assumptions!$F$29+Assumptions!$F$30+Assumptions!$F$31+Assumptions!$F$32+Assumptions!$C$7)+0)+Assumptions!$C$13*Assumptions!$C$20)/(((Assumptions!$C$16+Assumptions!$C$17+Assumptions!$C$18+Assumptions!$C$19)+(K$29+K$30)+0)+Assumptions!$C$20),(Assumptions!$C$42-(Assumptions!$F$27+Assumptions!$F$28+Assumptions!$F$29+Assumptions!$F$30+Assumptions!$F$31+Assumptions!$F$32+Assumptions!$C$7)+0)/((Assumptions!$C$16+Assumptions!$C$17+Assumptions!$C$18+Assumptions!$C$19)+(K$29+K$30)+0))</f>
        <v>124.29907159178774</v>
      </c>
    </row>
    <row r="43" spans="2:11" x14ac:dyDescent="0.25">
      <c r="B43" s="5" t="s">
        <v>192</v>
      </c>
      <c r="C43" s="19">
        <f>IF((Assumptions!$C$42-(Assumptions!$F$27+Assumptions!$F$28+Assumptions!$F$29+Assumptions!$F$30+Assumptions!$F$31+Assumptions!$F$32+Assumptions!$C$7)+Assumptions!$F$27)&gt;Assumptions!$C$13*((Assumptions!$C$16+Assumptions!$C$17+Assumptions!$C$18+Assumptions!$C$19)+(C$29+C$30)+Assumptions!$E$27),((Assumptions!$C$42-(Assumptions!$F$27+Assumptions!$F$28+Assumptions!$F$29+Assumptions!$F$30+Assumptions!$F$31+Assumptions!$F$32+Assumptions!$C$7)+Assumptions!$F$27)+Assumptions!$C$13*Assumptions!$C$20)/(((Assumptions!$C$16+Assumptions!$C$17+Assumptions!$C$18+Assumptions!$C$19)+(C$29+C$30)+Assumptions!$E$27)+Assumptions!$C$20),(Assumptions!$C$42-(Assumptions!$F$27+Assumptions!$F$28+Assumptions!$F$29+Assumptions!$F$30+Assumptions!$F$31+Assumptions!$F$32+Assumptions!$C$7)+Assumptions!$F$27)/((Assumptions!$C$16+Assumptions!$C$17+Assumptions!$C$18+Assumptions!$C$19)+(C$29+C$30)+Assumptions!$E$27))</f>
        <v>87.34365174678734</v>
      </c>
      <c r="D43" s="19">
        <f>IF((Assumptions!$C$42-(Assumptions!$F$27+Assumptions!$F$28+Assumptions!$F$29+Assumptions!$F$30+Assumptions!$F$31+Assumptions!$F$32+Assumptions!$C$7)+Assumptions!$F$27)&gt;Assumptions!$C$13*((Assumptions!$C$16+Assumptions!$C$17+Assumptions!$C$18+Assumptions!$C$19)+(D$29+D$30)+Assumptions!$E$27),((Assumptions!$C$42-(Assumptions!$F$27+Assumptions!$F$28+Assumptions!$F$29+Assumptions!$F$30+Assumptions!$F$31+Assumptions!$F$32+Assumptions!$C$7)+Assumptions!$F$27)+Assumptions!$C$13*Assumptions!$C$20)/(((Assumptions!$C$16+Assumptions!$C$17+Assumptions!$C$18+Assumptions!$C$19)+(D$29+D$30)+Assumptions!$E$27)+Assumptions!$C$20),(Assumptions!$C$42-(Assumptions!$F$27+Assumptions!$F$28+Assumptions!$F$29+Assumptions!$F$30+Assumptions!$F$31+Assumptions!$F$32+Assumptions!$C$7)+Assumptions!$F$27)/((Assumptions!$C$16+Assumptions!$C$17+Assumptions!$C$18+Assumptions!$C$19)+(D$29+D$30)+Assumptions!$E$27))</f>
        <v>87.31713620420459</v>
      </c>
      <c r="E43" s="19">
        <f>IF((Assumptions!$C$42-(Assumptions!$F$27+Assumptions!$F$28+Assumptions!$F$29+Assumptions!$F$30+Assumptions!$F$31+Assumptions!$F$32+Assumptions!$C$7)+Assumptions!$F$27)&gt;Assumptions!$C$13*((Assumptions!$C$16+Assumptions!$C$17+Assumptions!$C$18+Assumptions!$C$19)+(E$29+E$30)+Assumptions!$E$27),((Assumptions!$C$42-(Assumptions!$F$27+Assumptions!$F$28+Assumptions!$F$29+Assumptions!$F$30+Assumptions!$F$31+Assumptions!$F$32+Assumptions!$C$7)+Assumptions!$F$27)+Assumptions!$C$13*Assumptions!$C$20)/(((Assumptions!$C$16+Assumptions!$C$17+Assumptions!$C$18+Assumptions!$C$19)+(E$29+E$30)+Assumptions!$E$27)+Assumptions!$C$20),(Assumptions!$C$42-(Assumptions!$F$27+Assumptions!$F$28+Assumptions!$F$29+Assumptions!$F$30+Assumptions!$F$31+Assumptions!$F$32+Assumptions!$C$7)+Assumptions!$F$27)/((Assumptions!$C$16+Assumptions!$C$17+Assumptions!$C$18+Assumptions!$C$19)+(E$29+E$30)+Assumptions!$E$27))</f>
        <v>87.27795114801</v>
      </c>
      <c r="F43" s="19">
        <f>IF((Assumptions!$C$42-(Assumptions!$F$27+Assumptions!$F$28+Assumptions!$F$29+Assumptions!$F$30+Assumptions!$F$31+Assumptions!$F$32+Assumptions!$C$7)+Assumptions!$F$27)&gt;Assumptions!$C$13*((Assumptions!$C$16+Assumptions!$C$17+Assumptions!$C$18+Assumptions!$C$19)+(F$29+F$30)+Assumptions!$E$27),((Assumptions!$C$42-(Assumptions!$F$27+Assumptions!$F$28+Assumptions!$F$29+Assumptions!$F$30+Assumptions!$F$31+Assumptions!$F$32+Assumptions!$C$7)+Assumptions!$F$27)+Assumptions!$C$13*Assumptions!$C$20)/(((Assumptions!$C$16+Assumptions!$C$17+Assumptions!$C$18+Assumptions!$C$19)+(F$29+F$30)+Assumptions!$E$27)+Assumptions!$C$20),(Assumptions!$C$42-(Assumptions!$F$27+Assumptions!$F$28+Assumptions!$F$29+Assumptions!$F$30+Assumptions!$F$31+Assumptions!$F$32+Assumptions!$C$7)+Assumptions!$F$27)/((Assumptions!$C$16+Assumptions!$C$17+Assumptions!$C$18+Assumptions!$C$19)+(F$29+F$30)+Assumptions!$E$27))</f>
        <v>87.47152882267198</v>
      </c>
      <c r="G43" s="19">
        <f>IF((Assumptions!$C$42-(Assumptions!$F$27+Assumptions!$F$28+Assumptions!$F$29+Assumptions!$F$30+Assumptions!$F$31+Assumptions!$F$32+Assumptions!$C$7)+Assumptions!$F$27)&gt;Assumptions!$C$13*((Assumptions!$C$16+Assumptions!$C$17+Assumptions!$C$18+Assumptions!$C$19)+(G$29+G$30)+Assumptions!$E$27),((Assumptions!$C$42-(Assumptions!$F$27+Assumptions!$F$28+Assumptions!$F$29+Assumptions!$F$30+Assumptions!$F$31+Assumptions!$F$32+Assumptions!$C$7)+Assumptions!$F$27)+Assumptions!$C$13*Assumptions!$C$20)/(((Assumptions!$C$16+Assumptions!$C$17+Assumptions!$C$18+Assumptions!$C$19)+(G$29+G$30)+Assumptions!$E$27)+Assumptions!$C$20),(Assumptions!$C$42-(Assumptions!$F$27+Assumptions!$F$28+Assumptions!$F$29+Assumptions!$F$30+Assumptions!$F$31+Assumptions!$F$32+Assumptions!$C$7)+Assumptions!$F$27)/((Assumptions!$C$16+Assumptions!$C$17+Assumptions!$C$18+Assumptions!$C$19)+(G$29+G$30)+Assumptions!$E$27))</f>
        <v>87.4482238128951</v>
      </c>
      <c r="H43" s="19">
        <f>IF((Assumptions!$C$42-(Assumptions!$F$27+Assumptions!$F$28+Assumptions!$F$29+Assumptions!$F$30+Assumptions!$F$31+Assumptions!$F$32+Assumptions!$C$7)+Assumptions!$F$27)&gt;Assumptions!$C$13*((Assumptions!$C$16+Assumptions!$C$17+Assumptions!$C$18+Assumptions!$C$19)+(H$29+H$30)+Assumptions!$E$27),((Assumptions!$C$42-(Assumptions!$F$27+Assumptions!$F$28+Assumptions!$F$29+Assumptions!$F$30+Assumptions!$F$31+Assumptions!$F$32+Assumptions!$C$7)+Assumptions!$F$27)+Assumptions!$C$13*Assumptions!$C$20)/(((Assumptions!$C$16+Assumptions!$C$17+Assumptions!$C$18+Assumptions!$C$19)+(H$29+H$30)+Assumptions!$E$27)+Assumptions!$C$20),(Assumptions!$C$42-(Assumptions!$F$27+Assumptions!$F$28+Assumptions!$F$29+Assumptions!$F$30+Assumptions!$F$31+Assumptions!$F$32+Assumptions!$C$7)+Assumptions!$F$27)/((Assumptions!$C$16+Assumptions!$C$17+Assumptions!$C$18+Assumptions!$C$19)+(H$29+H$30)+Assumptions!$E$27))</f>
        <v>87.41235890021656</v>
      </c>
      <c r="I43" s="19">
        <f>IF((Assumptions!$C$42-(Assumptions!$F$27+Assumptions!$F$28+Assumptions!$F$29+Assumptions!$F$30+Assumptions!$F$31+Assumptions!$F$32+Assumptions!$C$7)+Assumptions!$F$27)&gt;Assumptions!$C$13*((Assumptions!$C$16+Assumptions!$C$17+Assumptions!$C$18+Assumptions!$C$19)+(I$29+I$30)+Assumptions!$E$27),((Assumptions!$C$42-(Assumptions!$F$27+Assumptions!$F$28+Assumptions!$F$29+Assumptions!$F$30+Assumptions!$F$31+Assumptions!$F$32+Assumptions!$C$7)+Assumptions!$F$27)+Assumptions!$C$13*Assumptions!$C$20)/(((Assumptions!$C$16+Assumptions!$C$17+Assumptions!$C$18+Assumptions!$C$19)+(I$29+I$30)+Assumptions!$E$27)+Assumptions!$C$20),(Assumptions!$C$42-(Assumptions!$F$27+Assumptions!$F$28+Assumptions!$F$29+Assumptions!$F$30+Assumptions!$F$31+Assumptions!$F$32+Assumptions!$C$7)+Assumptions!$F$27)/((Assumptions!$C$16+Assumptions!$C$17+Assumptions!$C$18+Assumptions!$C$19)+(I$29+I$30)+Assumptions!$E$27))</f>
        <v>87.58166556975581</v>
      </c>
      <c r="J43" s="19">
        <f>IF((Assumptions!$C$42-(Assumptions!$F$27+Assumptions!$F$28+Assumptions!$F$29+Assumptions!$F$30+Assumptions!$F$31+Assumptions!$F$32+Assumptions!$C$7)+Assumptions!$F$27)&gt;Assumptions!$C$13*((Assumptions!$C$16+Assumptions!$C$17+Assumptions!$C$18+Assumptions!$C$19)+(J$29+J$30)+Assumptions!$E$27),((Assumptions!$C$42-(Assumptions!$F$27+Assumptions!$F$28+Assumptions!$F$29+Assumptions!$F$30+Assumptions!$F$31+Assumptions!$F$32+Assumptions!$C$7)+Assumptions!$F$27)+Assumptions!$C$13*Assumptions!$C$20)/(((Assumptions!$C$16+Assumptions!$C$17+Assumptions!$C$18+Assumptions!$C$19)+(J$29+J$30)+Assumptions!$E$27)+Assumptions!$C$20),(Assumptions!$C$42-(Assumptions!$F$27+Assumptions!$F$28+Assumptions!$F$29+Assumptions!$F$30+Assumptions!$F$31+Assumptions!$F$32+Assumptions!$C$7)+Assumptions!$F$27)/((Assumptions!$C$16+Assumptions!$C$17+Assumptions!$C$18+Assumptions!$C$19)+(J$29+J$30)+Assumptions!$E$27))</f>
        <v>87.56139443337742</v>
      </c>
      <c r="K43" s="19">
        <f>IF((Assumptions!$C$42-(Assumptions!$F$27+Assumptions!$F$28+Assumptions!$F$29+Assumptions!$F$30+Assumptions!$F$31+Assumptions!$F$32+Assumptions!$C$7)+Assumptions!$F$27)&gt;Assumptions!$C$13*((Assumptions!$C$16+Assumptions!$C$17+Assumptions!$C$18+Assumptions!$C$19)+(K$29+K$30)+Assumptions!$E$27),((Assumptions!$C$42-(Assumptions!$F$27+Assumptions!$F$28+Assumptions!$F$29+Assumptions!$F$30+Assumptions!$F$31+Assumptions!$F$32+Assumptions!$C$7)+Assumptions!$F$27)+Assumptions!$C$13*Assumptions!$C$20)/(((Assumptions!$C$16+Assumptions!$C$17+Assumptions!$C$18+Assumptions!$C$19)+(K$29+K$30)+Assumptions!$E$27)+Assumptions!$C$20),(Assumptions!$C$42-(Assumptions!$F$27+Assumptions!$F$28+Assumptions!$F$29+Assumptions!$F$30+Assumptions!$F$31+Assumptions!$F$32+Assumptions!$C$7)+Assumptions!$F$27)/((Assumptions!$C$16+Assumptions!$C$17+Assumptions!$C$18+Assumptions!$C$19)+(K$29+K$30)+Assumptions!$E$27))</f>
        <v>87.52845195375072</v>
      </c>
    </row>
    <row r="44" spans="2:11" x14ac:dyDescent="0.25">
      <c r="B44" s="5" t="s">
        <v>193</v>
      </c>
      <c r="C44" s="19">
        <f>IF((Assumptions!$C$42-(Assumptions!$F$27+Assumptions!$F$28+Assumptions!$F$29+Assumptions!$F$30+Assumptions!$F$31+Assumptions!$F$32+Assumptions!$C$7)+Assumptions!$F$27+Assumptions!$F$28)&gt;Assumptions!$C$13*((Assumptions!$C$16+Assumptions!$C$17+Assumptions!$C$18+Assumptions!$C$19)+(C$29+C$30)+Assumptions!$E$27+Assumptions!$E$28),((Assumptions!$C$42-(Assumptions!$F$27+Assumptions!$F$28+Assumptions!$F$29+Assumptions!$F$30+Assumptions!$F$31+Assumptions!$F$32+Assumptions!$C$7)+Assumptions!$F$27+Assumptions!$F$28)+Assumptions!$C$13*Assumptions!$C$20)/(((Assumptions!$C$16+Assumptions!$C$17+Assumptions!$C$18+Assumptions!$C$19)+(C$29+C$30)+Assumptions!$E$27+Assumptions!$E$28)+Assumptions!$C$20),(Assumptions!$C$42-(Assumptions!$F$27+Assumptions!$F$28+Assumptions!$F$29+Assumptions!$F$30+Assumptions!$F$31+Assumptions!$F$32+Assumptions!$C$7)+Assumptions!$F$27+Assumptions!$F$28)/((Assumptions!$C$16+Assumptions!$C$17+Assumptions!$C$18+Assumptions!$C$19)+(C$29+C$30)+Assumptions!$E$27+Assumptions!$E$28))</f>
        <v>68.00006413167397</v>
      </c>
      <c r="D44" s="19">
        <f>IF((Assumptions!$C$42-(Assumptions!$F$27+Assumptions!$F$28+Assumptions!$F$29+Assumptions!$F$30+Assumptions!$F$31+Assumptions!$F$32+Assumptions!$C$7)+Assumptions!$F$27+Assumptions!$F$28)&gt;Assumptions!$C$13*((Assumptions!$C$16+Assumptions!$C$17+Assumptions!$C$18+Assumptions!$C$19)+(D$29+D$30)+Assumptions!$E$27+Assumptions!$E$28),((Assumptions!$C$42-(Assumptions!$F$27+Assumptions!$F$28+Assumptions!$F$29+Assumptions!$F$30+Assumptions!$F$31+Assumptions!$F$32+Assumptions!$C$7)+Assumptions!$F$27+Assumptions!$F$28)+Assumptions!$C$13*Assumptions!$C$20)/(((Assumptions!$C$16+Assumptions!$C$17+Assumptions!$C$18+Assumptions!$C$19)+(D$29+D$30)+Assumptions!$E$27+Assumptions!$E$28)+Assumptions!$C$20),(Assumptions!$C$42-(Assumptions!$F$27+Assumptions!$F$28+Assumptions!$F$29+Assumptions!$F$30+Assumptions!$F$31+Assumptions!$F$32+Assumptions!$C$7)+Assumptions!$F$27+Assumptions!$F$28)/((Assumptions!$C$16+Assumptions!$C$17+Assumptions!$C$18+Assumptions!$C$19)+(D$29+D$30)+Assumptions!$E$27+Assumptions!$E$28))</f>
        <v>67.98415413392527</v>
      </c>
      <c r="E44" s="19">
        <f>IF((Assumptions!$C$42-(Assumptions!$F$27+Assumptions!$F$28+Assumptions!$F$29+Assumptions!$F$30+Assumptions!$F$31+Assumptions!$F$32+Assumptions!$C$7)+Assumptions!$F$27+Assumptions!$F$28)&gt;Assumptions!$C$13*((Assumptions!$C$16+Assumptions!$C$17+Assumptions!$C$18+Assumptions!$C$19)+(E$29+E$30)+Assumptions!$E$27+Assumptions!$E$28),((Assumptions!$C$42-(Assumptions!$F$27+Assumptions!$F$28+Assumptions!$F$29+Assumptions!$F$30+Assumptions!$F$31+Assumptions!$F$32+Assumptions!$C$7)+Assumptions!$F$27+Assumptions!$F$28)+Assumptions!$C$13*Assumptions!$C$20)/(((Assumptions!$C$16+Assumptions!$C$17+Assumptions!$C$18+Assumptions!$C$19)+(E$29+E$30)+Assumptions!$E$27+Assumptions!$E$28)+Assumptions!$C$20),(Assumptions!$C$42-(Assumptions!$F$27+Assumptions!$F$28+Assumptions!$F$29+Assumptions!$F$30+Assumptions!$F$31+Assumptions!$F$32+Assumptions!$C$7)+Assumptions!$F$27+Assumptions!$F$28)/((Assumptions!$C$16+Assumptions!$C$17+Assumptions!$C$18+Assumptions!$C$19)+(E$29+E$30)+Assumptions!$E$27+Assumptions!$E$28))</f>
        <v>67.96063804998549</v>
      </c>
      <c r="F44" s="19">
        <f>IF((Assumptions!$C$42-(Assumptions!$F$27+Assumptions!$F$28+Assumptions!$F$29+Assumptions!$F$30+Assumptions!$F$31+Assumptions!$F$32+Assumptions!$C$7)+Assumptions!$F$27+Assumptions!$F$28)&gt;Assumptions!$C$13*((Assumptions!$C$16+Assumptions!$C$17+Assumptions!$C$18+Assumptions!$C$19)+(F$29+F$30)+Assumptions!$E$27+Assumptions!$E$28),((Assumptions!$C$42-(Assumptions!$F$27+Assumptions!$F$28+Assumptions!$F$29+Assumptions!$F$30+Assumptions!$F$31+Assumptions!$F$32+Assumptions!$C$7)+Assumptions!$F$27+Assumptions!$F$28)+Assumptions!$C$13*Assumptions!$C$20)/(((Assumptions!$C$16+Assumptions!$C$17+Assumptions!$C$18+Assumptions!$C$19)+(F$29+F$30)+Assumptions!$E$27+Assumptions!$E$28)+Assumptions!$C$20),(Assumptions!$C$42-(Assumptions!$F$27+Assumptions!$F$28+Assumptions!$F$29+Assumptions!$F$30+Assumptions!$F$31+Assumptions!$F$32+Assumptions!$C$7)+Assumptions!$F$27+Assumptions!$F$28)/((Assumptions!$C$16+Assumptions!$C$17+Assumptions!$C$18+Assumptions!$C$19)+(F$29+F$30)+Assumptions!$E$27+Assumptions!$E$28))</f>
        <v>68.07676252362197</v>
      </c>
      <c r="G44" s="19">
        <f>IF((Assumptions!$C$42-(Assumptions!$F$27+Assumptions!$F$28+Assumptions!$F$29+Assumptions!$F$30+Assumptions!$F$31+Assumptions!$F$32+Assumptions!$C$7)+Assumptions!$F$27+Assumptions!$F$28)&gt;Assumptions!$C$13*((Assumptions!$C$16+Assumptions!$C$17+Assumptions!$C$18+Assumptions!$C$19)+(G$29+G$30)+Assumptions!$E$27+Assumptions!$E$28),((Assumptions!$C$42-(Assumptions!$F$27+Assumptions!$F$28+Assumptions!$F$29+Assumptions!$F$30+Assumptions!$F$31+Assumptions!$F$32+Assumptions!$C$7)+Assumptions!$F$27+Assumptions!$F$28)+Assumptions!$C$13*Assumptions!$C$20)/(((Assumptions!$C$16+Assumptions!$C$17+Assumptions!$C$18+Assumptions!$C$19)+(G$29+G$30)+Assumptions!$E$27+Assumptions!$E$28)+Assumptions!$C$20),(Assumptions!$C$42-(Assumptions!$F$27+Assumptions!$F$28+Assumptions!$F$29+Assumptions!$F$30+Assumptions!$F$31+Assumptions!$F$32+Assumptions!$C$7)+Assumptions!$F$27+Assumptions!$F$28)/((Assumptions!$C$16+Assumptions!$C$17+Assumptions!$C$18+Assumptions!$C$19)+(G$29+G$30)+Assumptions!$E$27+Assumptions!$E$28))</f>
        <v>68.06278843095033</v>
      </c>
      <c r="H44" s="19">
        <f>IF((Assumptions!$C$42-(Assumptions!$F$27+Assumptions!$F$28+Assumptions!$F$29+Assumptions!$F$30+Assumptions!$F$31+Assumptions!$F$32+Assumptions!$C$7)+Assumptions!$F$27+Assumptions!$F$28)&gt;Assumptions!$C$13*((Assumptions!$C$16+Assumptions!$C$17+Assumptions!$C$18+Assumptions!$C$19)+(H$29+H$30)+Assumptions!$E$27+Assumptions!$E$28),((Assumptions!$C$42-(Assumptions!$F$27+Assumptions!$F$28+Assumptions!$F$29+Assumptions!$F$30+Assumptions!$F$31+Assumptions!$F$32+Assumptions!$C$7)+Assumptions!$F$27+Assumptions!$F$28)+Assumptions!$C$13*Assumptions!$C$20)/(((Assumptions!$C$16+Assumptions!$C$17+Assumptions!$C$18+Assumptions!$C$19)+(H$29+H$30)+Assumptions!$E$27+Assumptions!$E$28)+Assumptions!$C$20),(Assumptions!$C$42-(Assumptions!$F$27+Assumptions!$F$28+Assumptions!$F$29+Assumptions!$F$30+Assumptions!$F$31+Assumptions!$F$32+Assumptions!$C$7)+Assumptions!$F$27+Assumptions!$F$28)/((Assumptions!$C$16+Assumptions!$C$17+Assumptions!$C$18+Assumptions!$C$19)+(H$29+H$30)+Assumptions!$E$27+Assumptions!$E$28))</f>
        <v>68.04127985961097</v>
      </c>
      <c r="I44" s="19">
        <f>IF((Assumptions!$C$42-(Assumptions!$F$27+Assumptions!$F$28+Assumptions!$F$29+Assumptions!$F$30+Assumptions!$F$31+Assumptions!$F$32+Assumptions!$C$7)+Assumptions!$F$27+Assumptions!$F$28)&gt;Assumptions!$C$13*((Assumptions!$C$16+Assumptions!$C$17+Assumptions!$C$18+Assumptions!$C$19)+(I$29+I$30)+Assumptions!$E$27+Assumptions!$E$28),((Assumptions!$C$42-(Assumptions!$F$27+Assumptions!$F$28+Assumptions!$F$29+Assumptions!$F$30+Assumptions!$F$31+Assumptions!$F$32+Assumptions!$C$7)+Assumptions!$F$27+Assumptions!$F$28)+Assumptions!$C$13*Assumptions!$C$20)/(((Assumptions!$C$16+Assumptions!$C$17+Assumptions!$C$18+Assumptions!$C$19)+(I$29+I$30)+Assumptions!$E$27+Assumptions!$E$28)+Assumptions!$C$20),(Assumptions!$C$42-(Assumptions!$F$27+Assumptions!$F$28+Assumptions!$F$29+Assumptions!$F$30+Assumptions!$F$31+Assumptions!$F$32+Assumptions!$C$7)+Assumptions!$F$27+Assumptions!$F$28)/((Assumptions!$C$16+Assumptions!$C$17+Assumptions!$C$18+Assumptions!$C$19)+(I$29+I$30)+Assumptions!$E$27+Assumptions!$E$28))</f>
        <v>68.14277932423711</v>
      </c>
      <c r="J44" s="19">
        <f>IF((Assumptions!$C$42-(Assumptions!$F$27+Assumptions!$F$28+Assumptions!$F$29+Assumptions!$F$30+Assumptions!$F$31+Assumptions!$F$32+Assumptions!$C$7)+Assumptions!$F$27+Assumptions!$F$28)&gt;Assumptions!$C$13*((Assumptions!$C$16+Assumptions!$C$17+Assumptions!$C$18+Assumptions!$C$19)+(J$29+J$30)+Assumptions!$E$27+Assumptions!$E$28),((Assumptions!$C$42-(Assumptions!$F$27+Assumptions!$F$28+Assumptions!$F$29+Assumptions!$F$30+Assumptions!$F$31+Assumptions!$F$32+Assumptions!$C$7)+Assumptions!$F$27+Assumptions!$F$28)+Assumptions!$C$13*Assumptions!$C$20)/(((Assumptions!$C$16+Assumptions!$C$17+Assumptions!$C$18+Assumptions!$C$19)+(J$29+J$30)+Assumptions!$E$27+Assumptions!$E$28)+Assumptions!$C$20),(Assumptions!$C$42-(Assumptions!$F$27+Assumptions!$F$28+Assumptions!$F$29+Assumptions!$F$30+Assumptions!$F$31+Assumptions!$F$32+Assumptions!$C$7)+Assumptions!$F$27+Assumptions!$F$28)/((Assumptions!$C$16+Assumptions!$C$17+Assumptions!$C$18+Assumptions!$C$19)+(J$29+J$30)+Assumptions!$E$27+Assumptions!$E$28))</f>
        <v>68.13063151700464</v>
      </c>
      <c r="K44" s="19">
        <f>IF((Assumptions!$C$42-(Assumptions!$F$27+Assumptions!$F$28+Assumptions!$F$29+Assumptions!$F$30+Assumptions!$F$31+Assumptions!$F$32+Assumptions!$C$7)+Assumptions!$F$27+Assumptions!$F$28)&gt;Assumptions!$C$13*((Assumptions!$C$16+Assumptions!$C$17+Assumptions!$C$18+Assumptions!$C$19)+(K$29+K$30)+Assumptions!$E$27+Assumptions!$E$28),((Assumptions!$C$42-(Assumptions!$F$27+Assumptions!$F$28+Assumptions!$F$29+Assumptions!$F$30+Assumptions!$F$31+Assumptions!$F$32+Assumptions!$C$7)+Assumptions!$F$27+Assumptions!$F$28)+Assumptions!$C$13*Assumptions!$C$20)/(((Assumptions!$C$16+Assumptions!$C$17+Assumptions!$C$18+Assumptions!$C$19)+(K$29+K$30)+Assumptions!$E$27+Assumptions!$E$28)+Assumptions!$C$20),(Assumptions!$C$42-(Assumptions!$F$27+Assumptions!$F$28+Assumptions!$F$29+Assumptions!$F$30+Assumptions!$F$31+Assumptions!$F$32+Assumptions!$C$7)+Assumptions!$F$27+Assumptions!$F$28)/((Assumptions!$C$16+Assumptions!$C$17+Assumptions!$C$18+Assumptions!$C$19)+(K$29+K$30)+Assumptions!$E$27+Assumptions!$E$28))</f>
        <v>68.11088744479682</v>
      </c>
    </row>
    <row r="45" spans="2:11" x14ac:dyDescent="0.25">
      <c r="B45" s="5" t="s">
        <v>194</v>
      </c>
      <c r="C45" s="19">
        <f>IF((Assumptions!$C$42-(Assumptions!$F$27+Assumptions!$F$28+Assumptions!$F$29+Assumptions!$F$30+Assumptions!$F$31+Assumptions!$F$32+Assumptions!$C$7)+Assumptions!$F$27+Assumptions!$F$28+Assumptions!$F$29)&gt;Assumptions!$C$13*((Assumptions!$C$16+Assumptions!$C$17+Assumptions!$C$18+Assumptions!$C$19)+(C$29+C$30)+Assumptions!$E$27+Assumptions!$E$28+Assumptions!$E$29),((Assumptions!$C$42-(Assumptions!$F$27+Assumptions!$F$28+Assumptions!$F$29+Assumptions!$F$30+Assumptions!$F$31+Assumptions!$F$32+Assumptions!$C$7)+Assumptions!$F$27+Assumptions!$F$28+Assumptions!$F$29)+Assumptions!$C$13*Assumptions!$C$20)/(((Assumptions!$C$16+Assumptions!$C$17+Assumptions!$C$18+Assumptions!$C$19)+(C$29+C$30)+Assumptions!$E$27+Assumptions!$E$28+Assumptions!$E$29)+Assumptions!$C$20),(Assumptions!$C$42-(Assumptions!$F$27+Assumptions!$F$28+Assumptions!$F$29+Assumptions!$F$30+Assumptions!$F$31+Assumptions!$F$32+Assumptions!$C$7)+Assumptions!$F$27+Assumptions!$F$28+Assumptions!$F$29)/((Assumptions!$C$16+Assumptions!$C$17+Assumptions!$C$18+Assumptions!$C$19)+(C$29+C$30)+Assumptions!$E$27+Assumptions!$E$28+Assumptions!$E$29))</f>
        <v>60.984337542884035</v>
      </c>
      <c r="D45" s="19">
        <f>IF((Assumptions!$C$42-(Assumptions!$F$27+Assumptions!$F$28+Assumptions!$F$29+Assumptions!$F$30+Assumptions!$F$31+Assumptions!$F$32+Assumptions!$C$7)+Assumptions!$F$27+Assumptions!$F$28+Assumptions!$F$29)&gt;Assumptions!$C$13*((Assumptions!$C$16+Assumptions!$C$17+Assumptions!$C$18+Assumptions!$C$19)+(D$29+D$30)+Assumptions!$E$27+Assumptions!$E$28+Assumptions!$E$29),((Assumptions!$C$42-(Assumptions!$F$27+Assumptions!$F$28+Assumptions!$F$29+Assumptions!$F$30+Assumptions!$F$31+Assumptions!$F$32+Assumptions!$C$7)+Assumptions!$F$27+Assumptions!$F$28+Assumptions!$F$29)+Assumptions!$C$13*Assumptions!$C$20)/(((Assumptions!$C$16+Assumptions!$C$17+Assumptions!$C$18+Assumptions!$C$19)+(D$29+D$30)+Assumptions!$E$27+Assumptions!$E$28+Assumptions!$E$29)+Assumptions!$C$20),(Assumptions!$C$42-(Assumptions!$F$27+Assumptions!$F$28+Assumptions!$F$29+Assumptions!$F$30+Assumptions!$F$31+Assumptions!$F$32+Assumptions!$C$7)+Assumptions!$F$27+Assumptions!$F$28+Assumptions!$F$29)/((Assumptions!$C$16+Assumptions!$C$17+Assumptions!$C$18+Assumptions!$C$19)+(D$29+D$30)+Assumptions!$E$27+Assumptions!$E$28+Assumptions!$E$29))</f>
        <v>60.97179459249115</v>
      </c>
      <c r="E45" s="19">
        <f>IF((Assumptions!$C$42-(Assumptions!$F$27+Assumptions!$F$28+Assumptions!$F$29+Assumptions!$F$30+Assumptions!$F$31+Assumptions!$F$32+Assumptions!$C$7)+Assumptions!$F$27+Assumptions!$F$28+Assumptions!$F$29)&gt;Assumptions!$C$13*((Assumptions!$C$16+Assumptions!$C$17+Assumptions!$C$18+Assumptions!$C$19)+(E$29+E$30)+Assumptions!$E$27+Assumptions!$E$28+Assumptions!$E$29),((Assumptions!$C$42-(Assumptions!$F$27+Assumptions!$F$28+Assumptions!$F$29+Assumptions!$F$30+Assumptions!$F$31+Assumptions!$F$32+Assumptions!$C$7)+Assumptions!$F$27+Assumptions!$F$28+Assumptions!$F$29)+Assumptions!$C$13*Assumptions!$C$20)/(((Assumptions!$C$16+Assumptions!$C$17+Assumptions!$C$18+Assumptions!$C$19)+(E$29+E$30)+Assumptions!$E$27+Assumptions!$E$28+Assumptions!$E$29)+Assumptions!$C$20),(Assumptions!$C$42-(Assumptions!$F$27+Assumptions!$F$28+Assumptions!$F$29+Assumptions!$F$30+Assumptions!$F$31+Assumptions!$F$32+Assumptions!$C$7)+Assumptions!$F$27+Assumptions!$F$28+Assumptions!$F$29)/((Assumptions!$C$16+Assumptions!$C$17+Assumptions!$C$18+Assumptions!$C$19)+(E$29+E$30)+Assumptions!$E$27+Assumptions!$E$28+Assumptions!$E$29))</f>
        <v>60.953253938575344</v>
      </c>
      <c r="F45" s="19">
        <f>IF((Assumptions!$C$42-(Assumptions!$F$27+Assumptions!$F$28+Assumptions!$F$29+Assumptions!$F$30+Assumptions!$F$31+Assumptions!$F$32+Assumptions!$C$7)+Assumptions!$F$27+Assumptions!$F$28+Assumptions!$F$29)&gt;Assumptions!$C$13*((Assumptions!$C$16+Assumptions!$C$17+Assumptions!$C$18+Assumptions!$C$19)+(F$29+F$30)+Assumptions!$E$27+Assumptions!$E$28+Assumptions!$E$29),((Assumptions!$C$42-(Assumptions!$F$27+Assumptions!$F$28+Assumptions!$F$29+Assumptions!$F$30+Assumptions!$F$31+Assumptions!$F$32+Assumptions!$C$7)+Assumptions!$F$27+Assumptions!$F$28+Assumptions!$F$29)+Assumptions!$C$13*Assumptions!$C$20)/(((Assumptions!$C$16+Assumptions!$C$17+Assumptions!$C$18+Assumptions!$C$19)+(F$29+F$30)+Assumptions!$E$27+Assumptions!$E$28+Assumptions!$E$29)+Assumptions!$C$20),(Assumptions!$C$42-(Assumptions!$F$27+Assumptions!$F$28+Assumptions!$F$29+Assumptions!$F$30+Assumptions!$F$31+Assumptions!$F$32+Assumptions!$C$7)+Assumptions!$F$27+Assumptions!$F$28+Assumptions!$F$29)/((Assumptions!$C$16+Assumptions!$C$17+Assumptions!$C$18+Assumptions!$C$19)+(F$29+F$30)+Assumptions!$E$27+Assumptions!$E$28+Assumptions!$E$29))</f>
        <v>61.04479422448993</v>
      </c>
      <c r="G45" s="19">
        <f>IF((Assumptions!$C$42-(Assumptions!$F$27+Assumptions!$F$28+Assumptions!$F$29+Assumptions!$F$30+Assumptions!$F$31+Assumptions!$F$32+Assumptions!$C$7)+Assumptions!$F$27+Assumptions!$F$28+Assumptions!$F$29)&gt;Assumptions!$C$13*((Assumptions!$C$16+Assumptions!$C$17+Assumptions!$C$18+Assumptions!$C$19)+(G$29+G$30)+Assumptions!$E$27+Assumptions!$E$28+Assumptions!$E$29),((Assumptions!$C$42-(Assumptions!$F$27+Assumptions!$F$28+Assumptions!$F$29+Assumptions!$F$30+Assumptions!$F$31+Assumptions!$F$32+Assumptions!$C$7)+Assumptions!$F$27+Assumptions!$F$28+Assumptions!$F$29)+Assumptions!$C$13*Assumptions!$C$20)/(((Assumptions!$C$16+Assumptions!$C$17+Assumptions!$C$18+Assumptions!$C$19)+(G$29+G$30)+Assumptions!$E$27+Assumptions!$E$28+Assumptions!$E$29)+Assumptions!$C$20),(Assumptions!$C$42-(Assumptions!$F$27+Assumptions!$F$28+Assumptions!$F$29+Assumptions!$F$30+Assumptions!$F$31+Assumptions!$F$32+Assumptions!$C$7)+Assumptions!$F$27+Assumptions!$F$28+Assumptions!$F$29)/((Assumptions!$C$16+Assumptions!$C$17+Assumptions!$C$18+Assumptions!$C$19)+(G$29+G$30)+Assumptions!$E$27+Assumptions!$E$28+Assumptions!$E$29))</f>
        <v>61.03378052527123</v>
      </c>
      <c r="H45" s="19">
        <f>IF((Assumptions!$C$42-(Assumptions!$F$27+Assumptions!$F$28+Assumptions!$F$29+Assumptions!$F$30+Assumptions!$F$31+Assumptions!$F$32+Assumptions!$C$7)+Assumptions!$F$27+Assumptions!$F$28+Assumptions!$F$29)&gt;Assumptions!$C$13*((Assumptions!$C$16+Assumptions!$C$17+Assumptions!$C$18+Assumptions!$C$19)+(H$29+H$30)+Assumptions!$E$27+Assumptions!$E$28+Assumptions!$E$29),((Assumptions!$C$42-(Assumptions!$F$27+Assumptions!$F$28+Assumptions!$F$29+Assumptions!$F$30+Assumptions!$F$31+Assumptions!$F$32+Assumptions!$C$7)+Assumptions!$F$27+Assumptions!$F$28+Assumptions!$F$29)+Assumptions!$C$13*Assumptions!$C$20)/(((Assumptions!$C$16+Assumptions!$C$17+Assumptions!$C$18+Assumptions!$C$19)+(H$29+H$30)+Assumptions!$E$27+Assumptions!$E$28+Assumptions!$E$29)+Assumptions!$C$20),(Assumptions!$C$42-(Assumptions!$F$27+Assumptions!$F$28+Assumptions!$F$29+Assumptions!$F$30+Assumptions!$F$31+Assumptions!$F$32+Assumptions!$C$7)+Assumptions!$F$27+Assumptions!$F$28+Assumptions!$F$29)/((Assumptions!$C$16+Assumptions!$C$17+Assumptions!$C$18+Assumptions!$C$19)+(H$29+H$30)+Assumptions!$E$27+Assumptions!$E$28+Assumptions!$E$29))</f>
        <v>61.01682744704941</v>
      </c>
      <c r="I45" s="19">
        <f>IF((Assumptions!$C$42-(Assumptions!$F$27+Assumptions!$F$28+Assumptions!$F$29+Assumptions!$F$30+Assumptions!$F$31+Assumptions!$F$32+Assumptions!$C$7)+Assumptions!$F$27+Assumptions!$F$28+Assumptions!$F$29)&gt;Assumptions!$C$13*((Assumptions!$C$16+Assumptions!$C$17+Assumptions!$C$18+Assumptions!$C$19)+(I$29+I$30)+Assumptions!$E$27+Assumptions!$E$28+Assumptions!$E$29),((Assumptions!$C$42-(Assumptions!$F$27+Assumptions!$F$28+Assumptions!$F$29+Assumptions!$F$30+Assumptions!$F$31+Assumptions!$F$32+Assumptions!$C$7)+Assumptions!$F$27+Assumptions!$F$28+Assumptions!$F$29)+Assumptions!$C$13*Assumptions!$C$20)/(((Assumptions!$C$16+Assumptions!$C$17+Assumptions!$C$18+Assumptions!$C$19)+(I$29+I$30)+Assumptions!$E$27+Assumptions!$E$28+Assumptions!$E$29)+Assumptions!$C$20),(Assumptions!$C$42-(Assumptions!$F$27+Assumptions!$F$28+Assumptions!$F$29+Assumptions!$F$30+Assumptions!$F$31+Assumptions!$F$32+Assumptions!$C$7)+Assumptions!$F$27+Assumptions!$F$28+Assumptions!$F$29)/((Assumptions!$C$16+Assumptions!$C$17+Assumptions!$C$18+Assumptions!$C$19)+(I$29+I$30)+Assumptions!$E$27+Assumptions!$E$28+Assumptions!$E$29))</f>
        <v>61.09681804964491</v>
      </c>
      <c r="J45" s="19">
        <f>IF((Assumptions!$C$42-(Assumptions!$F$27+Assumptions!$F$28+Assumptions!$F$29+Assumptions!$F$30+Assumptions!$F$31+Assumptions!$F$32+Assumptions!$C$7)+Assumptions!$F$27+Assumptions!$F$28+Assumptions!$F$29)&gt;Assumptions!$C$13*((Assumptions!$C$16+Assumptions!$C$17+Assumptions!$C$18+Assumptions!$C$19)+(J$29+J$30)+Assumptions!$E$27+Assumptions!$E$28+Assumptions!$E$29),((Assumptions!$C$42-(Assumptions!$F$27+Assumptions!$F$28+Assumptions!$F$29+Assumptions!$F$30+Assumptions!$F$31+Assumptions!$F$32+Assumptions!$C$7)+Assumptions!$F$27+Assumptions!$F$28+Assumptions!$F$29)+Assumptions!$C$13*Assumptions!$C$20)/(((Assumptions!$C$16+Assumptions!$C$17+Assumptions!$C$18+Assumptions!$C$19)+(J$29+J$30)+Assumptions!$E$27+Assumptions!$E$28+Assumptions!$E$29)+Assumptions!$C$20),(Assumptions!$C$42-(Assumptions!$F$27+Assumptions!$F$28+Assumptions!$F$29+Assumptions!$F$30+Assumptions!$F$31+Assumptions!$F$32+Assumptions!$C$7)+Assumptions!$F$27+Assumptions!$F$28+Assumptions!$F$29)/((Assumptions!$C$16+Assumptions!$C$17+Assumptions!$C$18+Assumptions!$C$19)+(J$29+J$30)+Assumptions!$E$27+Assumptions!$E$28+Assumptions!$E$29))</f>
        <v>61.087246018747905</v>
      </c>
      <c r="K45" s="19">
        <f>IF((Assumptions!$C$42-(Assumptions!$F$27+Assumptions!$F$28+Assumptions!$F$29+Assumptions!$F$30+Assumptions!$F$31+Assumptions!$F$32+Assumptions!$C$7)+Assumptions!$F$27+Assumptions!$F$28+Assumptions!$F$29)&gt;Assumptions!$C$13*((Assumptions!$C$16+Assumptions!$C$17+Assumptions!$C$18+Assumptions!$C$19)+(K$29+K$30)+Assumptions!$E$27+Assumptions!$E$28+Assumptions!$E$29),((Assumptions!$C$42-(Assumptions!$F$27+Assumptions!$F$28+Assumptions!$F$29+Assumptions!$F$30+Assumptions!$F$31+Assumptions!$F$32+Assumptions!$C$7)+Assumptions!$F$27+Assumptions!$F$28+Assumptions!$F$29)+Assumptions!$C$13*Assumptions!$C$20)/(((Assumptions!$C$16+Assumptions!$C$17+Assumptions!$C$18+Assumptions!$C$19)+(K$29+K$30)+Assumptions!$E$27+Assumptions!$E$28+Assumptions!$E$29)+Assumptions!$C$20),(Assumptions!$C$42-(Assumptions!$F$27+Assumptions!$F$28+Assumptions!$F$29+Assumptions!$F$30+Assumptions!$F$31+Assumptions!$F$32+Assumptions!$C$7)+Assumptions!$F$27+Assumptions!$F$28+Assumptions!$F$29)/((Assumptions!$C$16+Assumptions!$C$17+Assumptions!$C$18+Assumptions!$C$19)+(K$29+K$30)+Assumptions!$E$27+Assumptions!$E$28+Assumptions!$E$29))</f>
        <v>61.071687524528976</v>
      </c>
    </row>
    <row r="46" spans="2:11" x14ac:dyDescent="0.25">
      <c r="B46" s="5" t="s">
        <v>195</v>
      </c>
      <c r="C46" s="19">
        <f>IF((Assumptions!$C$42-(Assumptions!$F$27+Assumptions!$F$28+Assumptions!$F$29+Assumptions!$F$30+Assumptions!$F$31+Assumptions!$F$32+Assumptions!$C$7)+Assumptions!$F$27+Assumptions!$F$28+Assumptions!$F$29+Assumptions!$F$30)&gt;Assumptions!$C$13*((Assumptions!$C$16+Assumptions!$C$17+Assumptions!$C$18+Assumptions!$C$19)+(C$29+C$30)+Assumptions!$E$27+Assumptions!$E$28+Assumptions!$E$29+Assumptions!$E$30),((Assumptions!$C$42-(Assumptions!$F$27+Assumptions!$F$28+Assumptions!$F$29+Assumptions!$F$30+Assumptions!$F$31+Assumptions!$F$32+Assumptions!$C$7)+Assumptions!$F$27+Assumptions!$F$28+Assumptions!$F$29+Assumptions!$F$30)+Assumptions!$C$13*Assumptions!$C$20)/(((Assumptions!$C$16+Assumptions!$C$17+Assumptions!$C$18+Assumptions!$C$19)+(C$29+C$30)+Assumptions!$E$27+Assumptions!$E$28+Assumptions!$E$29+Assumptions!$E$30)+Assumptions!$C$20),(Assumptions!$C$42-(Assumptions!$F$27+Assumptions!$F$28+Assumptions!$F$29+Assumptions!$F$30+Assumptions!$F$31+Assumptions!$F$32+Assumptions!$C$7)+Assumptions!$F$27+Assumptions!$F$28+Assumptions!$F$29+Assumptions!$F$30)/((Assumptions!$C$16+Assumptions!$C$17+Assumptions!$C$18+Assumptions!$C$19)+(C$29+C$30)+Assumptions!$E$27+Assumptions!$E$28+Assumptions!$E$29+Assumptions!$E$30))</f>
        <v>57.809418190526905</v>
      </c>
      <c r="D46" s="19">
        <f>IF((Assumptions!$C$42-(Assumptions!$F$27+Assumptions!$F$28+Assumptions!$F$29+Assumptions!$F$30+Assumptions!$F$31+Assumptions!$F$32+Assumptions!$C$7)+Assumptions!$F$27+Assumptions!$F$28+Assumptions!$F$29+Assumptions!$F$30)&gt;Assumptions!$C$13*((Assumptions!$C$16+Assumptions!$C$17+Assumptions!$C$18+Assumptions!$C$19)+(D$29+D$30)+Assumptions!$E$27+Assumptions!$E$28+Assumptions!$E$29+Assumptions!$E$30),((Assumptions!$C$42-(Assumptions!$F$27+Assumptions!$F$28+Assumptions!$F$29+Assumptions!$F$30+Assumptions!$F$31+Assumptions!$F$32+Assumptions!$C$7)+Assumptions!$F$27+Assumptions!$F$28+Assumptions!$F$29+Assumptions!$F$30)+Assumptions!$C$13*Assumptions!$C$20)/(((Assumptions!$C$16+Assumptions!$C$17+Assumptions!$C$18+Assumptions!$C$19)+(D$29+D$30)+Assumptions!$E$27+Assumptions!$E$28+Assumptions!$E$29+Assumptions!$E$30)+Assumptions!$C$20),(Assumptions!$C$42-(Assumptions!$F$27+Assumptions!$F$28+Assumptions!$F$29+Assumptions!$F$30+Assumptions!$F$31+Assumptions!$F$32+Assumptions!$C$7)+Assumptions!$F$27+Assumptions!$F$28+Assumptions!$F$29+Assumptions!$F$30)/((Assumptions!$C$16+Assumptions!$C$17+Assumptions!$C$18+Assumptions!$C$19)+(D$29+D$30)+Assumptions!$E$27+Assumptions!$E$28+Assumptions!$E$29+Assumptions!$E$30))</f>
        <v>57.79857710199636</v>
      </c>
      <c r="E46" s="19">
        <f>IF((Assumptions!$C$42-(Assumptions!$F$27+Assumptions!$F$28+Assumptions!$F$29+Assumptions!$F$30+Assumptions!$F$31+Assumptions!$F$32+Assumptions!$C$7)+Assumptions!$F$27+Assumptions!$F$28+Assumptions!$F$29+Assumptions!$F$30)&gt;Assumptions!$C$13*((Assumptions!$C$16+Assumptions!$C$17+Assumptions!$C$18+Assumptions!$C$19)+(E$29+E$30)+Assumptions!$E$27+Assumptions!$E$28+Assumptions!$E$29+Assumptions!$E$30),((Assumptions!$C$42-(Assumptions!$F$27+Assumptions!$F$28+Assumptions!$F$29+Assumptions!$F$30+Assumptions!$F$31+Assumptions!$F$32+Assumptions!$C$7)+Assumptions!$F$27+Assumptions!$F$28+Assumptions!$F$29+Assumptions!$F$30)+Assumptions!$C$13*Assumptions!$C$20)/(((Assumptions!$C$16+Assumptions!$C$17+Assumptions!$C$18+Assumptions!$C$19)+(E$29+E$30)+Assumptions!$E$27+Assumptions!$E$28+Assumptions!$E$29+Assumptions!$E$30)+Assumptions!$C$20),(Assumptions!$C$42-(Assumptions!$F$27+Assumptions!$F$28+Assumptions!$F$29+Assumptions!$F$30+Assumptions!$F$31+Assumptions!$F$32+Assumptions!$C$7)+Assumptions!$F$27+Assumptions!$F$28+Assumptions!$F$29+Assumptions!$F$30)/((Assumptions!$C$16+Assumptions!$C$17+Assumptions!$C$18+Assumptions!$C$19)+(E$29+E$30)+Assumptions!$E$27+Assumptions!$E$28+Assumptions!$E$29+Assumptions!$E$30))</f>
        <v>57.782551374091064</v>
      </c>
      <c r="F46" s="19">
        <f>IF((Assumptions!$C$42-(Assumptions!$F$27+Assumptions!$F$28+Assumptions!$F$29+Assumptions!$F$30+Assumptions!$F$31+Assumptions!$F$32+Assumptions!$C$7)+Assumptions!$F$27+Assumptions!$F$28+Assumptions!$F$29+Assumptions!$F$30)&gt;Assumptions!$C$13*((Assumptions!$C$16+Assumptions!$C$17+Assumptions!$C$18+Assumptions!$C$19)+(F$29+F$30)+Assumptions!$E$27+Assumptions!$E$28+Assumptions!$E$29+Assumptions!$E$30),((Assumptions!$C$42-(Assumptions!$F$27+Assumptions!$F$28+Assumptions!$F$29+Assumptions!$F$30+Assumptions!$F$31+Assumptions!$F$32+Assumptions!$C$7)+Assumptions!$F$27+Assumptions!$F$28+Assumptions!$F$29+Assumptions!$F$30)+Assumptions!$C$13*Assumptions!$C$20)/(((Assumptions!$C$16+Assumptions!$C$17+Assumptions!$C$18+Assumptions!$C$19)+(F$29+F$30)+Assumptions!$E$27+Assumptions!$E$28+Assumptions!$E$29+Assumptions!$E$30)+Assumptions!$C$20),(Assumptions!$C$42-(Assumptions!$F$27+Assumptions!$F$28+Assumptions!$F$29+Assumptions!$F$30+Assumptions!$F$31+Assumptions!$F$32+Assumptions!$C$7)+Assumptions!$F$27+Assumptions!$F$28+Assumptions!$F$29+Assumptions!$F$30)/((Assumptions!$C$16+Assumptions!$C$17+Assumptions!$C$18+Assumptions!$C$19)+(F$29+F$30)+Assumptions!$E$27+Assumptions!$E$28+Assumptions!$E$29+Assumptions!$E$30))</f>
        <v>57.86166642574588</v>
      </c>
      <c r="G46" s="19">
        <f>IF((Assumptions!$C$42-(Assumptions!$F$27+Assumptions!$F$28+Assumptions!$F$29+Assumptions!$F$30+Assumptions!$F$31+Assumptions!$F$32+Assumptions!$C$7)+Assumptions!$F$27+Assumptions!$F$28+Assumptions!$F$29+Assumptions!$F$30)&gt;Assumptions!$C$13*((Assumptions!$C$16+Assumptions!$C$17+Assumptions!$C$18+Assumptions!$C$19)+(G$29+G$30)+Assumptions!$E$27+Assumptions!$E$28+Assumptions!$E$29+Assumptions!$E$30),((Assumptions!$C$42-(Assumptions!$F$27+Assumptions!$F$28+Assumptions!$F$29+Assumptions!$F$30+Assumptions!$F$31+Assumptions!$F$32+Assumptions!$C$7)+Assumptions!$F$27+Assumptions!$F$28+Assumptions!$F$29+Assumptions!$F$30)+Assumptions!$C$13*Assumptions!$C$20)/(((Assumptions!$C$16+Assumptions!$C$17+Assumptions!$C$18+Assumptions!$C$19)+(G$29+G$30)+Assumptions!$E$27+Assumptions!$E$28+Assumptions!$E$29+Assumptions!$E$30)+Assumptions!$C$20),(Assumptions!$C$42-(Assumptions!$F$27+Assumptions!$F$28+Assumptions!$F$29+Assumptions!$F$30+Assumptions!$F$31+Assumptions!$F$32+Assumptions!$C$7)+Assumptions!$F$27+Assumptions!$F$28+Assumptions!$F$29+Assumptions!$F$30)/((Assumptions!$C$16+Assumptions!$C$17+Assumptions!$C$18+Assumptions!$C$19)+(G$29+G$30)+Assumptions!$E$27+Assumptions!$E$28+Assumptions!$E$29+Assumptions!$E$30))</f>
        <v>57.85214878151283</v>
      </c>
      <c r="H46" s="19">
        <f>IF((Assumptions!$C$42-(Assumptions!$F$27+Assumptions!$F$28+Assumptions!$F$29+Assumptions!$F$30+Assumptions!$F$31+Assumptions!$F$32+Assumptions!$C$7)+Assumptions!$F$27+Assumptions!$F$28+Assumptions!$F$29+Assumptions!$F$30)&gt;Assumptions!$C$13*((Assumptions!$C$16+Assumptions!$C$17+Assumptions!$C$18+Assumptions!$C$19)+(H$29+H$30)+Assumptions!$E$27+Assumptions!$E$28+Assumptions!$E$29+Assumptions!$E$30),((Assumptions!$C$42-(Assumptions!$F$27+Assumptions!$F$28+Assumptions!$F$29+Assumptions!$F$30+Assumptions!$F$31+Assumptions!$F$32+Assumptions!$C$7)+Assumptions!$F$27+Assumptions!$F$28+Assumptions!$F$29+Assumptions!$F$30)+Assumptions!$C$13*Assumptions!$C$20)/(((Assumptions!$C$16+Assumptions!$C$17+Assumptions!$C$18+Assumptions!$C$19)+(H$29+H$30)+Assumptions!$E$27+Assumptions!$E$28+Assumptions!$E$29+Assumptions!$E$30)+Assumptions!$C$20),(Assumptions!$C$42-(Assumptions!$F$27+Assumptions!$F$28+Assumptions!$F$29+Assumptions!$F$30+Assumptions!$F$31+Assumptions!$F$32+Assumptions!$C$7)+Assumptions!$F$27+Assumptions!$F$28+Assumptions!$F$29+Assumptions!$F$30)/((Assumptions!$C$16+Assumptions!$C$17+Assumptions!$C$18+Assumptions!$C$19)+(H$29+H$30)+Assumptions!$E$27+Assumptions!$E$28+Assumptions!$E$29+Assumptions!$E$30))</f>
        <v>57.83749794601436</v>
      </c>
      <c r="I46" s="19">
        <f>IF((Assumptions!$C$42-(Assumptions!$F$27+Assumptions!$F$28+Assumptions!$F$29+Assumptions!$F$30+Assumptions!$F$31+Assumptions!$F$32+Assumptions!$C$7)+Assumptions!$F$27+Assumptions!$F$28+Assumptions!$F$29+Assumptions!$F$30)&gt;Assumptions!$C$13*((Assumptions!$C$16+Assumptions!$C$17+Assumptions!$C$18+Assumptions!$C$19)+(I$29+I$30)+Assumptions!$E$27+Assumptions!$E$28+Assumptions!$E$29+Assumptions!$E$30),((Assumptions!$C$42-(Assumptions!$F$27+Assumptions!$F$28+Assumptions!$F$29+Assumptions!$F$30+Assumptions!$F$31+Assumptions!$F$32+Assumptions!$C$7)+Assumptions!$F$27+Assumptions!$F$28+Assumptions!$F$29+Assumptions!$F$30)+Assumptions!$C$13*Assumptions!$C$20)/(((Assumptions!$C$16+Assumptions!$C$17+Assumptions!$C$18+Assumptions!$C$19)+(I$29+I$30)+Assumptions!$E$27+Assumptions!$E$28+Assumptions!$E$29+Assumptions!$E$30)+Assumptions!$C$20),(Assumptions!$C$42-(Assumptions!$F$27+Assumptions!$F$28+Assumptions!$F$29+Assumptions!$F$30+Assumptions!$F$31+Assumptions!$F$32+Assumptions!$C$7)+Assumptions!$F$27+Assumptions!$F$28+Assumptions!$F$29+Assumptions!$F$30)/((Assumptions!$C$16+Assumptions!$C$17+Assumptions!$C$18+Assumptions!$C$19)+(I$29+I$30)+Assumptions!$E$27+Assumptions!$E$28+Assumptions!$E$29+Assumptions!$E$30))</f>
        <v>57.90661945190798</v>
      </c>
      <c r="J46" s="19">
        <f>IF((Assumptions!$C$42-(Assumptions!$F$27+Assumptions!$F$28+Assumptions!$F$29+Assumptions!$F$30+Assumptions!$F$31+Assumptions!$F$32+Assumptions!$C$7)+Assumptions!$F$27+Assumptions!$F$28+Assumptions!$F$29+Assumptions!$F$30)&gt;Assumptions!$C$13*((Assumptions!$C$16+Assumptions!$C$17+Assumptions!$C$18+Assumptions!$C$19)+(J$29+J$30)+Assumptions!$E$27+Assumptions!$E$28+Assumptions!$E$29+Assumptions!$E$30),((Assumptions!$C$42-(Assumptions!$F$27+Assumptions!$F$28+Assumptions!$F$29+Assumptions!$F$30+Assumptions!$F$31+Assumptions!$F$32+Assumptions!$C$7)+Assumptions!$F$27+Assumptions!$F$28+Assumptions!$F$29+Assumptions!$F$30)+Assumptions!$C$13*Assumptions!$C$20)/(((Assumptions!$C$16+Assumptions!$C$17+Assumptions!$C$18+Assumptions!$C$19)+(J$29+J$30)+Assumptions!$E$27+Assumptions!$E$28+Assumptions!$E$29+Assumptions!$E$30)+Assumptions!$C$20),(Assumptions!$C$42-(Assumptions!$F$27+Assumptions!$F$28+Assumptions!$F$29+Assumptions!$F$30+Assumptions!$F$31+Assumptions!$F$32+Assumptions!$C$7)+Assumptions!$F$27+Assumptions!$F$28+Assumptions!$F$29+Assumptions!$F$30)/((Assumptions!$C$16+Assumptions!$C$17+Assumptions!$C$18+Assumptions!$C$19)+(J$29+J$30)+Assumptions!$E$27+Assumptions!$E$28+Assumptions!$E$29+Assumptions!$E$30))</f>
        <v>57.898348907974416</v>
      </c>
      <c r="K46" s="19">
        <f>IF((Assumptions!$C$42-(Assumptions!$F$27+Assumptions!$F$28+Assumptions!$F$29+Assumptions!$F$30+Assumptions!$F$31+Assumptions!$F$32+Assumptions!$C$7)+Assumptions!$F$27+Assumptions!$F$28+Assumptions!$F$29+Assumptions!$F$30)&gt;Assumptions!$C$13*((Assumptions!$C$16+Assumptions!$C$17+Assumptions!$C$18+Assumptions!$C$19)+(K$29+K$30)+Assumptions!$E$27+Assumptions!$E$28+Assumptions!$E$29+Assumptions!$E$30),((Assumptions!$C$42-(Assumptions!$F$27+Assumptions!$F$28+Assumptions!$F$29+Assumptions!$F$30+Assumptions!$F$31+Assumptions!$F$32+Assumptions!$C$7)+Assumptions!$F$27+Assumptions!$F$28+Assumptions!$F$29+Assumptions!$F$30)+Assumptions!$C$13*Assumptions!$C$20)/(((Assumptions!$C$16+Assumptions!$C$17+Assumptions!$C$18+Assumptions!$C$19)+(K$29+K$30)+Assumptions!$E$27+Assumptions!$E$28+Assumptions!$E$29+Assumptions!$E$30)+Assumptions!$C$20),(Assumptions!$C$42-(Assumptions!$F$27+Assumptions!$F$28+Assumptions!$F$29+Assumptions!$F$30+Assumptions!$F$31+Assumptions!$F$32+Assumptions!$C$7)+Assumptions!$F$27+Assumptions!$F$28+Assumptions!$F$29+Assumptions!$F$30)/((Assumptions!$C$16+Assumptions!$C$17+Assumptions!$C$18+Assumptions!$C$19)+(K$29+K$30)+Assumptions!$E$27+Assumptions!$E$28+Assumptions!$E$29+Assumptions!$E$30))</f>
        <v>57.8849053776261</v>
      </c>
    </row>
    <row r="47" spans="2:11" x14ac:dyDescent="0.25">
      <c r="B47" s="5" t="s">
        <v>196</v>
      </c>
      <c r="C47" s="19">
        <f>IF((Assumptions!$C$42-(Assumptions!$F$27+Assumptions!$F$28+Assumptions!$F$29+Assumptions!$F$30+Assumptions!$F$31+Assumptions!$F$32+Assumptions!$C$7)+Assumptions!$F$27+Assumptions!$F$28+Assumptions!$F$29+Assumptions!$F$30+Assumptions!$C$7)&gt;Assumptions!$C$13*((Assumptions!$C$16+Assumptions!$C$17+Assumptions!$C$18+Assumptions!$C$19)+(C$29+C$30)+Assumptions!$E$27+Assumptions!$E$28+Assumptions!$E$29+Assumptions!$E$30+C$24),((Assumptions!$C$42-(Assumptions!$F$27+Assumptions!$F$28+Assumptions!$F$29+Assumptions!$F$30+Assumptions!$F$31+Assumptions!$F$32+Assumptions!$C$7)+Assumptions!$F$27+Assumptions!$F$28+Assumptions!$F$29+Assumptions!$F$30+Assumptions!$C$7)+Assumptions!$C$13*Assumptions!$C$20)/(((Assumptions!$C$16+Assumptions!$C$17+Assumptions!$C$18+Assumptions!$C$19)+(C$29+C$30)+Assumptions!$E$27+Assumptions!$E$28+Assumptions!$E$29+Assumptions!$E$30+C$24)+Assumptions!$C$20),(Assumptions!$C$42-(Assumptions!$F$27+Assumptions!$F$28+Assumptions!$F$29+Assumptions!$F$30+Assumptions!$F$31+Assumptions!$F$32+Assumptions!$C$7)+Assumptions!$F$27+Assumptions!$F$28+Assumptions!$F$29+Assumptions!$F$30+Assumptions!$C$7)/((Assumptions!$C$16+Assumptions!$C$17+Assumptions!$C$18+Assumptions!$C$19)+(C$29+C$30)+Assumptions!$E$27+Assumptions!$E$28+Assumptions!$E$29+Assumptions!$E$30+C$24))</f>
        <v>56.975348891735216</v>
      </c>
      <c r="D47" s="19">
        <f>IF((Assumptions!$C$42-(Assumptions!$F$27+Assumptions!$F$28+Assumptions!$F$29+Assumptions!$F$30+Assumptions!$F$31+Assumptions!$F$32+Assumptions!$C$7)+Assumptions!$F$27+Assumptions!$F$28+Assumptions!$F$29+Assumptions!$F$30+Assumptions!$C$7)&gt;Assumptions!$C$13*((Assumptions!$C$16+Assumptions!$C$17+Assumptions!$C$18+Assumptions!$C$19)+(D$29+D$30)+Assumptions!$E$27+Assumptions!$E$28+Assumptions!$E$29+Assumptions!$E$30+D$24),((Assumptions!$C$42-(Assumptions!$F$27+Assumptions!$F$28+Assumptions!$F$29+Assumptions!$F$30+Assumptions!$F$31+Assumptions!$F$32+Assumptions!$C$7)+Assumptions!$F$27+Assumptions!$F$28+Assumptions!$F$29+Assumptions!$F$30+Assumptions!$C$7)+Assumptions!$C$13*Assumptions!$C$20)/(((Assumptions!$C$16+Assumptions!$C$17+Assumptions!$C$18+Assumptions!$C$19)+(D$29+D$30)+Assumptions!$E$27+Assumptions!$E$28+Assumptions!$E$29+Assumptions!$E$30+D$24)+Assumptions!$C$20),(Assumptions!$C$42-(Assumptions!$F$27+Assumptions!$F$28+Assumptions!$F$29+Assumptions!$F$30+Assumptions!$F$31+Assumptions!$F$32+Assumptions!$C$7)+Assumptions!$F$27+Assumptions!$F$28+Assumptions!$F$29+Assumptions!$F$30+Assumptions!$C$7)/((Assumptions!$C$16+Assumptions!$C$17+Assumptions!$C$18+Assumptions!$C$19)+(D$29+D$30)+Assumptions!$E$27+Assumptions!$E$28+Assumptions!$E$29+Assumptions!$E$30+D$24))</f>
        <v>56.933339244419514</v>
      </c>
      <c r="E47" s="19">
        <f>IF((Assumptions!$C$42-(Assumptions!$F$27+Assumptions!$F$28+Assumptions!$F$29+Assumptions!$F$30+Assumptions!$F$31+Assumptions!$F$32+Assumptions!$C$7)+Assumptions!$F$27+Assumptions!$F$28+Assumptions!$F$29+Assumptions!$F$30+Assumptions!$C$7)&gt;Assumptions!$C$13*((Assumptions!$C$16+Assumptions!$C$17+Assumptions!$C$18+Assumptions!$C$19)+(E$29+E$30)+Assumptions!$E$27+Assumptions!$E$28+Assumptions!$E$29+Assumptions!$E$30+E$24),((Assumptions!$C$42-(Assumptions!$F$27+Assumptions!$F$28+Assumptions!$F$29+Assumptions!$F$30+Assumptions!$F$31+Assumptions!$F$32+Assumptions!$C$7)+Assumptions!$F$27+Assumptions!$F$28+Assumptions!$F$29+Assumptions!$F$30+Assumptions!$C$7)+Assumptions!$C$13*Assumptions!$C$20)/(((Assumptions!$C$16+Assumptions!$C$17+Assumptions!$C$18+Assumptions!$C$19)+(E$29+E$30)+Assumptions!$E$27+Assumptions!$E$28+Assumptions!$E$29+Assumptions!$E$30+E$24)+Assumptions!$C$20),(Assumptions!$C$42-(Assumptions!$F$27+Assumptions!$F$28+Assumptions!$F$29+Assumptions!$F$30+Assumptions!$F$31+Assumptions!$F$32+Assumptions!$C$7)+Assumptions!$F$27+Assumptions!$F$28+Assumptions!$F$29+Assumptions!$F$30+Assumptions!$C$7)/((Assumptions!$C$16+Assumptions!$C$17+Assumptions!$C$18+Assumptions!$C$19)+(E$29+E$30)+Assumptions!$E$27+Assumptions!$E$28+Assumptions!$E$29+Assumptions!$E$30+E$24))</f>
        <v>56.87132347511918</v>
      </c>
      <c r="F47" s="19">
        <f>IF((Assumptions!$C$42-(Assumptions!$F$27+Assumptions!$F$28+Assumptions!$F$29+Assumptions!$F$30+Assumptions!$F$31+Assumptions!$F$32+Assumptions!$C$7)+Assumptions!$F$27+Assumptions!$F$28+Assumptions!$F$29+Assumptions!$F$30+Assumptions!$C$7)&gt;Assumptions!$C$13*((Assumptions!$C$16+Assumptions!$C$17+Assumptions!$C$18+Assumptions!$C$19)+(F$29+F$30)+Assumptions!$E$27+Assumptions!$E$28+Assumptions!$E$29+Assumptions!$E$30+F$24),((Assumptions!$C$42-(Assumptions!$F$27+Assumptions!$F$28+Assumptions!$F$29+Assumptions!$F$30+Assumptions!$F$31+Assumptions!$F$32+Assumptions!$C$7)+Assumptions!$F$27+Assumptions!$F$28+Assumptions!$F$29+Assumptions!$F$30+Assumptions!$C$7)+Assumptions!$C$13*Assumptions!$C$20)/(((Assumptions!$C$16+Assumptions!$C$17+Assumptions!$C$18+Assumptions!$C$19)+(F$29+F$30)+Assumptions!$E$27+Assumptions!$E$28+Assumptions!$E$29+Assumptions!$E$30+F$24)+Assumptions!$C$20),(Assumptions!$C$42-(Assumptions!$F$27+Assumptions!$F$28+Assumptions!$F$29+Assumptions!$F$30+Assumptions!$F$31+Assumptions!$F$32+Assumptions!$C$7)+Assumptions!$F$27+Assumptions!$F$28+Assumptions!$F$29+Assumptions!$F$30+Assumptions!$C$7)/((Assumptions!$C$16+Assumptions!$C$17+Assumptions!$C$18+Assumptions!$C$19)+(F$29+F$30)+Assumptions!$E$27+Assumptions!$E$28+Assumptions!$E$29+Assumptions!$E$30+F$24))</f>
        <v>57.2968005840853</v>
      </c>
      <c r="G47" s="19">
        <f>IF((Assumptions!$C$42-(Assumptions!$F$27+Assumptions!$F$28+Assumptions!$F$29+Assumptions!$F$30+Assumptions!$F$31+Assumptions!$F$32+Assumptions!$C$7)+Assumptions!$F$27+Assumptions!$F$28+Assumptions!$F$29+Assumptions!$F$30+Assumptions!$C$7)&gt;Assumptions!$C$13*((Assumptions!$C$16+Assumptions!$C$17+Assumptions!$C$18+Assumptions!$C$19)+(G$29+G$30)+Assumptions!$E$27+Assumptions!$E$28+Assumptions!$E$29+Assumptions!$E$30+G$24),((Assumptions!$C$42-(Assumptions!$F$27+Assumptions!$F$28+Assumptions!$F$29+Assumptions!$F$30+Assumptions!$F$31+Assumptions!$F$32+Assumptions!$C$7)+Assumptions!$F$27+Assumptions!$F$28+Assumptions!$F$29+Assumptions!$F$30+Assumptions!$C$7)+Assumptions!$C$13*Assumptions!$C$20)/(((Assumptions!$C$16+Assumptions!$C$17+Assumptions!$C$18+Assumptions!$C$19)+(G$29+G$30)+Assumptions!$E$27+Assumptions!$E$28+Assumptions!$E$29+Assumptions!$E$30+G$24)+Assumptions!$C$20),(Assumptions!$C$42-(Assumptions!$F$27+Assumptions!$F$28+Assumptions!$F$29+Assumptions!$F$30+Assumptions!$F$31+Assumptions!$F$32+Assumptions!$C$7)+Assumptions!$F$27+Assumptions!$F$28+Assumptions!$F$29+Assumptions!$F$30+Assumptions!$C$7)/((Assumptions!$C$16+Assumptions!$C$17+Assumptions!$C$18+Assumptions!$C$19)+(G$29+G$30)+Assumptions!$E$27+Assumptions!$E$28+Assumptions!$E$29+Assumptions!$E$30+G$24))</f>
        <v>57.26147931962366</v>
      </c>
      <c r="H47" s="19">
        <f>IF((Assumptions!$C$42-(Assumptions!$F$27+Assumptions!$F$28+Assumptions!$F$29+Assumptions!$F$30+Assumptions!$F$31+Assumptions!$F$32+Assumptions!$C$7)+Assumptions!$F$27+Assumptions!$F$28+Assumptions!$F$29+Assumptions!$F$30+Assumptions!$C$7)&gt;Assumptions!$C$13*((Assumptions!$C$16+Assumptions!$C$17+Assumptions!$C$18+Assumptions!$C$19)+(H$29+H$30)+Assumptions!$E$27+Assumptions!$E$28+Assumptions!$E$29+Assumptions!$E$30+H$24),((Assumptions!$C$42-(Assumptions!$F$27+Assumptions!$F$28+Assumptions!$F$29+Assumptions!$F$30+Assumptions!$F$31+Assumptions!$F$32+Assumptions!$C$7)+Assumptions!$F$27+Assumptions!$F$28+Assumptions!$F$29+Assumptions!$F$30+Assumptions!$C$7)+Assumptions!$C$13*Assumptions!$C$20)/(((Assumptions!$C$16+Assumptions!$C$17+Assumptions!$C$18+Assumptions!$C$19)+(H$29+H$30)+Assumptions!$E$27+Assumptions!$E$28+Assumptions!$E$29+Assumptions!$E$30+H$24)+Assumptions!$C$20),(Assumptions!$C$42-(Assumptions!$F$27+Assumptions!$F$28+Assumptions!$F$29+Assumptions!$F$30+Assumptions!$F$31+Assumptions!$F$32+Assumptions!$C$7)+Assumptions!$F$27+Assumptions!$F$28+Assumptions!$F$29+Assumptions!$F$30+Assumptions!$C$7)/((Assumptions!$C$16+Assumptions!$C$17+Assumptions!$C$18+Assumptions!$C$19)+(H$29+H$30)+Assumptions!$E$27+Assumptions!$E$28+Assumptions!$E$29+Assumptions!$E$30+H$24))</f>
        <v>57.20717045753422</v>
      </c>
      <c r="I47" s="19">
        <f>IF((Assumptions!$C$42-(Assumptions!$F$27+Assumptions!$F$28+Assumptions!$F$29+Assumptions!$F$30+Assumptions!$F$31+Assumptions!$F$32+Assumptions!$C$7)+Assumptions!$F$27+Assumptions!$F$28+Assumptions!$F$29+Assumptions!$F$30+Assumptions!$C$7)&gt;Assumptions!$C$13*((Assumptions!$C$16+Assumptions!$C$17+Assumptions!$C$18+Assumptions!$C$19)+(I$29+I$30)+Assumptions!$E$27+Assumptions!$E$28+Assumptions!$E$29+Assumptions!$E$30+I$24),((Assumptions!$C$42-(Assumptions!$F$27+Assumptions!$F$28+Assumptions!$F$29+Assumptions!$F$30+Assumptions!$F$31+Assumptions!$F$32+Assumptions!$C$7)+Assumptions!$F$27+Assumptions!$F$28+Assumptions!$F$29+Assumptions!$F$30+Assumptions!$C$7)+Assumptions!$C$13*Assumptions!$C$20)/(((Assumptions!$C$16+Assumptions!$C$17+Assumptions!$C$18+Assumptions!$C$19)+(I$29+I$30)+Assumptions!$E$27+Assumptions!$E$28+Assumptions!$E$29+Assumptions!$E$30+I$24)+Assumptions!$C$20),(Assumptions!$C$42-(Assumptions!$F$27+Assumptions!$F$28+Assumptions!$F$29+Assumptions!$F$30+Assumptions!$F$31+Assumptions!$F$32+Assumptions!$C$7)+Assumptions!$F$27+Assumptions!$F$28+Assumptions!$F$29+Assumptions!$F$30+Assumptions!$C$7)/((Assumptions!$C$16+Assumptions!$C$17+Assumptions!$C$18+Assumptions!$C$19)+(I$29+I$30)+Assumptions!$E$27+Assumptions!$E$28+Assumptions!$E$29+Assumptions!$E$30+I$24))</f>
        <v>57.70523999269435</v>
      </c>
      <c r="J47" s="19">
        <f>IF((Assumptions!$C$42-(Assumptions!$F$27+Assumptions!$F$28+Assumptions!$F$29+Assumptions!$F$30+Assumptions!$F$31+Assumptions!$F$32+Assumptions!$C$7)+Assumptions!$F$27+Assumptions!$F$28+Assumptions!$F$29+Assumptions!$F$30+Assumptions!$C$7)&gt;Assumptions!$C$13*((Assumptions!$C$16+Assumptions!$C$17+Assumptions!$C$18+Assumptions!$C$19)+(J$29+J$30)+Assumptions!$E$27+Assumptions!$E$28+Assumptions!$E$29+Assumptions!$E$30+J$24),((Assumptions!$C$42-(Assumptions!$F$27+Assumptions!$F$28+Assumptions!$F$29+Assumptions!$F$30+Assumptions!$F$31+Assumptions!$F$32+Assumptions!$C$7)+Assumptions!$F$27+Assumptions!$F$28+Assumptions!$F$29+Assumptions!$F$30+Assumptions!$C$7)+Assumptions!$C$13*Assumptions!$C$20)/(((Assumptions!$C$16+Assumptions!$C$17+Assumptions!$C$18+Assumptions!$C$19)+(J$29+J$30)+Assumptions!$E$27+Assumptions!$E$28+Assumptions!$E$29+Assumptions!$E$30+J$24)+Assumptions!$C$20),(Assumptions!$C$42-(Assumptions!$F$27+Assumptions!$F$28+Assumptions!$F$29+Assumptions!$F$30+Assumptions!$F$31+Assumptions!$F$32+Assumptions!$C$7)+Assumptions!$F$27+Assumptions!$F$28+Assumptions!$F$29+Assumptions!$F$30+Assumptions!$C$7)/((Assumptions!$C$16+Assumptions!$C$17+Assumptions!$C$18+Assumptions!$C$19)+(J$29+J$30)+Assumptions!$E$27+Assumptions!$E$28+Assumptions!$E$29+Assumptions!$E$30+J$24))</f>
        <v>57.67782346574537</v>
      </c>
      <c r="K47" s="19">
        <f>IF((Assumptions!$C$42-(Assumptions!$F$27+Assumptions!$F$28+Assumptions!$F$29+Assumptions!$F$30+Assumptions!$F$31+Assumptions!$F$32+Assumptions!$C$7)+Assumptions!$F$27+Assumptions!$F$28+Assumptions!$F$29+Assumptions!$F$30+Assumptions!$C$7)&gt;Assumptions!$C$13*((Assumptions!$C$16+Assumptions!$C$17+Assumptions!$C$18+Assumptions!$C$19)+(K$29+K$30)+Assumptions!$E$27+Assumptions!$E$28+Assumptions!$E$29+Assumptions!$E$30+K$24),((Assumptions!$C$42-(Assumptions!$F$27+Assumptions!$F$28+Assumptions!$F$29+Assumptions!$F$30+Assumptions!$F$31+Assumptions!$F$32+Assumptions!$C$7)+Assumptions!$F$27+Assumptions!$F$28+Assumptions!$F$29+Assumptions!$F$30+Assumptions!$C$7)+Assumptions!$C$13*Assumptions!$C$20)/(((Assumptions!$C$16+Assumptions!$C$17+Assumptions!$C$18+Assumptions!$C$19)+(K$29+K$30)+Assumptions!$E$27+Assumptions!$E$28+Assumptions!$E$29+Assumptions!$E$30+K$24)+Assumptions!$C$20),(Assumptions!$C$42-(Assumptions!$F$27+Assumptions!$F$28+Assumptions!$F$29+Assumptions!$F$30+Assumptions!$F$31+Assumptions!$F$32+Assumptions!$C$7)+Assumptions!$F$27+Assumptions!$F$28+Assumptions!$F$29+Assumptions!$F$30+Assumptions!$C$7)/((Assumptions!$C$16+Assumptions!$C$17+Assumptions!$C$18+Assumptions!$C$19)+(K$29+K$30)+Assumptions!$E$27+Assumptions!$E$28+Assumptions!$E$29+Assumptions!$E$30+K$24))</f>
        <v>57.633297556253474</v>
      </c>
    </row>
    <row r="48" spans="2:11" x14ac:dyDescent="0.25">
      <c r="B48" s="5" t="s">
        <v>197</v>
      </c>
      <c r="C48" s="19">
        <f>IF((Assumptions!$C$42-(Assumptions!$F$27+Assumptions!$F$28+Assumptions!$F$29+Assumptions!$F$30+Assumptions!$F$31+Assumptions!$F$32+Assumptions!$C$7)+Assumptions!$F$27+Assumptions!$F$28+Assumptions!$F$29+Assumptions!$F$30+Assumptions!$C$7+Assumptions!$F$32)&gt;Assumptions!$C$13*((Assumptions!$C$16+Assumptions!$C$17+Assumptions!$C$18+Assumptions!$C$19)+(C$29+C$30)+Assumptions!$E$27+Assumptions!$E$28+Assumptions!$E$29+Assumptions!$E$30+C$24+C$28),((Assumptions!$C$42-(Assumptions!$F$27+Assumptions!$F$28+Assumptions!$F$29+Assumptions!$F$30+Assumptions!$F$31+Assumptions!$F$32+Assumptions!$C$7)+Assumptions!$F$27+Assumptions!$F$28+Assumptions!$F$29+Assumptions!$F$30+Assumptions!$C$7+Assumptions!$F$32)+Assumptions!$C$13*Assumptions!$C$20)/(((Assumptions!$C$16+Assumptions!$C$17+Assumptions!$C$18+Assumptions!$C$19)+(C$29+C$30)+Assumptions!$E$27+Assumptions!$E$28+Assumptions!$E$29+Assumptions!$E$30+C$24+C$28)+Assumptions!$C$20),(Assumptions!$C$42-(Assumptions!$F$27+Assumptions!$F$28+Assumptions!$F$29+Assumptions!$F$30+Assumptions!$F$31+Assumptions!$F$32+Assumptions!$C$7)+Assumptions!$F$27+Assumptions!$F$28+Assumptions!$F$29+Assumptions!$F$30+Assumptions!$C$7+Assumptions!$F$32)/((Assumptions!$C$16+Assumptions!$C$17+Assumptions!$C$18+Assumptions!$C$19)+(C$29+C$30)+Assumptions!$E$27+Assumptions!$E$28+Assumptions!$E$29+Assumptions!$E$30+C$24+C$28))</f>
        <v>55.49805237762815</v>
      </c>
      <c r="D48" s="19">
        <f>IF((Assumptions!$C$42-(Assumptions!$F$27+Assumptions!$F$28+Assumptions!$F$29+Assumptions!$F$30+Assumptions!$F$31+Assumptions!$F$32+Assumptions!$C$7)+Assumptions!$F$27+Assumptions!$F$28+Assumptions!$F$29+Assumptions!$F$30+Assumptions!$C$7+Assumptions!$F$32)&gt;Assumptions!$C$13*((Assumptions!$C$16+Assumptions!$C$17+Assumptions!$C$18+Assumptions!$C$19)+(D$29+D$30)+Assumptions!$E$27+Assumptions!$E$28+Assumptions!$E$29+Assumptions!$E$30+D$24+D$28),((Assumptions!$C$42-(Assumptions!$F$27+Assumptions!$F$28+Assumptions!$F$29+Assumptions!$F$30+Assumptions!$F$31+Assumptions!$F$32+Assumptions!$C$7)+Assumptions!$F$27+Assumptions!$F$28+Assumptions!$F$29+Assumptions!$F$30+Assumptions!$C$7+Assumptions!$F$32)+Assumptions!$C$13*Assumptions!$C$20)/(((Assumptions!$C$16+Assumptions!$C$17+Assumptions!$C$18+Assumptions!$C$19)+(D$29+D$30)+Assumptions!$E$27+Assumptions!$E$28+Assumptions!$E$29+Assumptions!$E$30+D$24+D$28)+Assumptions!$C$20),(Assumptions!$C$42-(Assumptions!$F$27+Assumptions!$F$28+Assumptions!$F$29+Assumptions!$F$30+Assumptions!$F$31+Assumptions!$F$32+Assumptions!$C$7)+Assumptions!$F$27+Assumptions!$F$28+Assumptions!$F$29+Assumptions!$F$30+Assumptions!$C$7+Assumptions!$F$32)/((Assumptions!$C$16+Assumptions!$C$17+Assumptions!$C$18+Assumptions!$C$19)+(D$29+D$30)+Assumptions!$E$27+Assumptions!$E$28+Assumptions!$E$29+Assumptions!$E$30+D$24+D$28))</f>
        <v>55.460325467403244</v>
      </c>
      <c r="E48" s="19">
        <f>IF((Assumptions!$C$42-(Assumptions!$F$27+Assumptions!$F$28+Assumptions!$F$29+Assumptions!$F$30+Assumptions!$F$31+Assumptions!$F$32+Assumptions!$C$7)+Assumptions!$F$27+Assumptions!$F$28+Assumptions!$F$29+Assumptions!$F$30+Assumptions!$C$7+Assumptions!$F$32)&gt;Assumptions!$C$13*((Assumptions!$C$16+Assumptions!$C$17+Assumptions!$C$18+Assumptions!$C$19)+(E$29+E$30)+Assumptions!$E$27+Assumptions!$E$28+Assumptions!$E$29+Assumptions!$E$30+E$24+E$28),((Assumptions!$C$42-(Assumptions!$F$27+Assumptions!$F$28+Assumptions!$F$29+Assumptions!$F$30+Assumptions!$F$31+Assumptions!$F$32+Assumptions!$C$7)+Assumptions!$F$27+Assumptions!$F$28+Assumptions!$F$29+Assumptions!$F$30+Assumptions!$C$7+Assumptions!$F$32)+Assumptions!$C$13*Assumptions!$C$20)/(((Assumptions!$C$16+Assumptions!$C$17+Assumptions!$C$18+Assumptions!$C$19)+(E$29+E$30)+Assumptions!$E$27+Assumptions!$E$28+Assumptions!$E$29+Assumptions!$E$30+E$24+E$28)+Assumptions!$C$20),(Assumptions!$C$42-(Assumptions!$F$27+Assumptions!$F$28+Assumptions!$F$29+Assumptions!$F$30+Assumptions!$F$31+Assumptions!$F$32+Assumptions!$C$7)+Assumptions!$F$27+Assumptions!$F$28+Assumptions!$F$29+Assumptions!$F$30+Assumptions!$C$7+Assumptions!$F$32)/((Assumptions!$C$16+Assumptions!$C$17+Assumptions!$C$18+Assumptions!$C$19)+(E$29+E$30)+Assumptions!$E$27+Assumptions!$E$28+Assumptions!$E$29+Assumptions!$E$30+E$24+E$28))</f>
        <v>55.40462404742368</v>
      </c>
      <c r="F48" s="19">
        <f>IF((Assumptions!$C$42-(Assumptions!$F$27+Assumptions!$F$28+Assumptions!$F$29+Assumptions!$F$30+Assumptions!$F$31+Assumptions!$F$32+Assumptions!$C$7)+Assumptions!$F$27+Assumptions!$F$28+Assumptions!$F$29+Assumptions!$F$30+Assumptions!$C$7+Assumptions!$F$32)&gt;Assumptions!$C$13*((Assumptions!$C$16+Assumptions!$C$17+Assumptions!$C$18+Assumptions!$C$19)+(F$29+F$30)+Assumptions!$E$27+Assumptions!$E$28+Assumptions!$E$29+Assumptions!$E$30+F$24+F$28),((Assumptions!$C$42-(Assumptions!$F$27+Assumptions!$F$28+Assumptions!$F$29+Assumptions!$F$30+Assumptions!$F$31+Assumptions!$F$32+Assumptions!$C$7)+Assumptions!$F$27+Assumptions!$F$28+Assumptions!$F$29+Assumptions!$F$30+Assumptions!$C$7+Assumptions!$F$32)+Assumptions!$C$13*Assumptions!$C$20)/(((Assumptions!$C$16+Assumptions!$C$17+Assumptions!$C$18+Assumptions!$C$19)+(F$29+F$30)+Assumptions!$E$27+Assumptions!$E$28+Assumptions!$E$29+Assumptions!$E$30+F$24+F$28)+Assumptions!$C$20),(Assumptions!$C$42-(Assumptions!$F$27+Assumptions!$F$28+Assumptions!$F$29+Assumptions!$F$30+Assumptions!$F$31+Assumptions!$F$32+Assumptions!$C$7)+Assumptions!$F$27+Assumptions!$F$28+Assumptions!$F$29+Assumptions!$F$30+Assumptions!$C$7+Assumptions!$F$32)/((Assumptions!$C$16+Assumptions!$C$17+Assumptions!$C$18+Assumptions!$C$19)+(F$29+F$30)+Assumptions!$E$27+Assumptions!$E$28+Assumptions!$E$29+Assumptions!$E$30+F$24+F$28))</f>
        <v>55.79040562116998</v>
      </c>
      <c r="G48" s="19">
        <f>IF((Assumptions!$C$42-(Assumptions!$F$27+Assumptions!$F$28+Assumptions!$F$29+Assumptions!$F$30+Assumptions!$F$31+Assumptions!$F$32+Assumptions!$C$7)+Assumptions!$F$27+Assumptions!$F$28+Assumptions!$F$29+Assumptions!$F$30+Assumptions!$C$7+Assumptions!$F$32)&gt;Assumptions!$C$13*((Assumptions!$C$16+Assumptions!$C$17+Assumptions!$C$18+Assumptions!$C$19)+(G$29+G$30)+Assumptions!$E$27+Assumptions!$E$28+Assumptions!$E$29+Assumptions!$E$30+G$24+G$28),((Assumptions!$C$42-(Assumptions!$F$27+Assumptions!$F$28+Assumptions!$F$29+Assumptions!$F$30+Assumptions!$F$31+Assumptions!$F$32+Assumptions!$C$7)+Assumptions!$F$27+Assumptions!$F$28+Assumptions!$F$29+Assumptions!$F$30+Assumptions!$C$7+Assumptions!$F$32)+Assumptions!$C$13*Assumptions!$C$20)/(((Assumptions!$C$16+Assumptions!$C$17+Assumptions!$C$18+Assumptions!$C$19)+(G$29+G$30)+Assumptions!$E$27+Assumptions!$E$28+Assumptions!$E$29+Assumptions!$E$30+G$24+G$28)+Assumptions!$C$20),(Assumptions!$C$42-(Assumptions!$F$27+Assumptions!$F$28+Assumptions!$F$29+Assumptions!$F$30+Assumptions!$F$31+Assumptions!$F$32+Assumptions!$C$7)+Assumptions!$F$27+Assumptions!$F$28+Assumptions!$F$29+Assumptions!$F$30+Assumptions!$C$7+Assumptions!$F$32)/((Assumptions!$C$16+Assumptions!$C$17+Assumptions!$C$18+Assumptions!$C$19)+(G$29+G$30)+Assumptions!$E$27+Assumptions!$E$28+Assumptions!$E$29+Assumptions!$E$30+G$24+G$28))</f>
        <v>55.75877068294344</v>
      </c>
      <c r="H48" s="19">
        <f>IF((Assumptions!$C$42-(Assumptions!$F$27+Assumptions!$F$28+Assumptions!$F$29+Assumptions!$F$30+Assumptions!$F$31+Assumptions!$F$32+Assumptions!$C$7)+Assumptions!$F$27+Assumptions!$F$28+Assumptions!$F$29+Assumptions!$F$30+Assumptions!$C$7+Assumptions!$F$32)&gt;Assumptions!$C$13*((Assumptions!$C$16+Assumptions!$C$17+Assumptions!$C$18+Assumptions!$C$19)+(H$29+H$30)+Assumptions!$E$27+Assumptions!$E$28+Assumptions!$E$29+Assumptions!$E$30+H$24+H$28),((Assumptions!$C$42-(Assumptions!$F$27+Assumptions!$F$28+Assumptions!$F$29+Assumptions!$F$30+Assumptions!$F$31+Assumptions!$F$32+Assumptions!$C$7)+Assumptions!$F$27+Assumptions!$F$28+Assumptions!$F$29+Assumptions!$F$30+Assumptions!$C$7+Assumptions!$F$32)+Assumptions!$C$13*Assumptions!$C$20)/(((Assumptions!$C$16+Assumptions!$C$17+Assumptions!$C$18+Assumptions!$C$19)+(H$29+H$30)+Assumptions!$E$27+Assumptions!$E$28+Assumptions!$E$29+Assumptions!$E$30+H$24+H$28)+Assumptions!$C$20),(Assumptions!$C$42-(Assumptions!$F$27+Assumptions!$F$28+Assumptions!$F$29+Assumptions!$F$30+Assumptions!$F$31+Assumptions!$F$32+Assumptions!$C$7)+Assumptions!$F$27+Assumptions!$F$28+Assumptions!$F$29+Assumptions!$F$30+Assumptions!$C$7+Assumptions!$F$32)/((Assumptions!$C$16+Assumptions!$C$17+Assumptions!$C$18+Assumptions!$C$19)+(H$29+H$30)+Assumptions!$E$27+Assumptions!$E$28+Assumptions!$E$29+Assumptions!$E$30+H$24+H$28))</f>
        <v>55.71012369450466</v>
      </c>
      <c r="I48" s="19">
        <f>IF((Assumptions!$C$42-(Assumptions!$F$27+Assumptions!$F$28+Assumptions!$F$29+Assumptions!$F$30+Assumptions!$F$31+Assumptions!$F$32+Assumptions!$C$7)+Assumptions!$F$27+Assumptions!$F$28+Assumptions!$F$29+Assumptions!$F$30+Assumptions!$C$7+Assumptions!$F$32)&gt;Assumptions!$C$13*((Assumptions!$C$16+Assumptions!$C$17+Assumptions!$C$18+Assumptions!$C$19)+(I$29+I$30)+Assumptions!$E$27+Assumptions!$E$28+Assumptions!$E$29+Assumptions!$E$30+I$24+I$28),((Assumptions!$C$42-(Assumptions!$F$27+Assumptions!$F$28+Assumptions!$F$29+Assumptions!$F$30+Assumptions!$F$31+Assumptions!$F$32+Assumptions!$C$7)+Assumptions!$F$27+Assumptions!$F$28+Assumptions!$F$29+Assumptions!$F$30+Assumptions!$C$7+Assumptions!$F$32)+Assumptions!$C$13*Assumptions!$C$20)/(((Assumptions!$C$16+Assumptions!$C$17+Assumptions!$C$18+Assumptions!$C$19)+(I$29+I$30)+Assumptions!$E$27+Assumptions!$E$28+Assumptions!$E$29+Assumptions!$E$30+I$24+I$28)+Assumptions!$C$20),(Assumptions!$C$42-(Assumptions!$F$27+Assumptions!$F$28+Assumptions!$F$29+Assumptions!$F$30+Assumptions!$F$31+Assumptions!$F$32+Assumptions!$C$7)+Assumptions!$F$27+Assumptions!$F$28+Assumptions!$F$29+Assumptions!$F$30+Assumptions!$C$7+Assumptions!$F$32)/((Assumptions!$C$16+Assumptions!$C$17+Assumptions!$C$18+Assumptions!$C$19)+(I$29+I$30)+Assumptions!$E$27+Assumptions!$E$28+Assumptions!$E$29+Assumptions!$E$30+I$24+I$28))</f>
        <v>56.16419960343299</v>
      </c>
      <c r="J48" s="19">
        <f>IF((Assumptions!$C$42-(Assumptions!$F$27+Assumptions!$F$28+Assumptions!$F$29+Assumptions!$F$30+Assumptions!$F$31+Assumptions!$F$32+Assumptions!$C$7)+Assumptions!$F$27+Assumptions!$F$28+Assumptions!$F$29+Assumptions!$F$30+Assumptions!$C$7+Assumptions!$F$32)&gt;Assumptions!$C$13*((Assumptions!$C$16+Assumptions!$C$17+Assumptions!$C$18+Assumptions!$C$19)+(J$29+J$30)+Assumptions!$E$27+Assumptions!$E$28+Assumptions!$E$29+Assumptions!$E$30+J$24+J$28),((Assumptions!$C$42-(Assumptions!$F$27+Assumptions!$F$28+Assumptions!$F$29+Assumptions!$F$30+Assumptions!$F$31+Assumptions!$F$32+Assumptions!$C$7)+Assumptions!$F$27+Assumptions!$F$28+Assumptions!$F$29+Assumptions!$F$30+Assumptions!$C$7+Assumptions!$F$32)+Assumptions!$C$13*Assumptions!$C$20)/(((Assumptions!$C$16+Assumptions!$C$17+Assumptions!$C$18+Assumptions!$C$19)+(J$29+J$30)+Assumptions!$E$27+Assumptions!$E$28+Assumptions!$E$29+Assumptions!$E$30+J$24+J$28)+Assumptions!$C$20),(Assumptions!$C$42-(Assumptions!$F$27+Assumptions!$F$28+Assumptions!$F$29+Assumptions!$F$30+Assumptions!$F$31+Assumptions!$F$32+Assumptions!$C$7)+Assumptions!$F$27+Assumptions!$F$28+Assumptions!$F$29+Assumptions!$F$30+Assumptions!$C$7+Assumptions!$F$32)/((Assumptions!$C$16+Assumptions!$C$17+Assumptions!$C$18+Assumptions!$C$19)+(J$29+J$30)+Assumptions!$E$27+Assumptions!$E$28+Assumptions!$E$29+Assumptions!$E$30+J$24+J$28))</f>
        <v>56.139789981803276</v>
      </c>
      <c r="K48" s="19">
        <f>IF((Assumptions!$C$42-(Assumptions!$F$27+Assumptions!$F$28+Assumptions!$F$29+Assumptions!$F$30+Assumptions!$F$31+Assumptions!$F$32+Assumptions!$C$7)+Assumptions!$F$27+Assumptions!$F$28+Assumptions!$F$29+Assumptions!$F$30+Assumptions!$C$7+Assumptions!$F$32)&gt;Assumptions!$C$13*((Assumptions!$C$16+Assumptions!$C$17+Assumptions!$C$18+Assumptions!$C$19)+(K$29+K$30)+Assumptions!$E$27+Assumptions!$E$28+Assumptions!$E$29+Assumptions!$E$30+K$24+K$28),((Assumptions!$C$42-(Assumptions!$F$27+Assumptions!$F$28+Assumptions!$F$29+Assumptions!$F$30+Assumptions!$F$31+Assumptions!$F$32+Assumptions!$C$7)+Assumptions!$F$27+Assumptions!$F$28+Assumptions!$F$29+Assumptions!$F$30+Assumptions!$C$7+Assumptions!$F$32)+Assumptions!$C$13*Assumptions!$C$20)/(((Assumptions!$C$16+Assumptions!$C$17+Assumptions!$C$18+Assumptions!$C$19)+(K$29+K$30)+Assumptions!$E$27+Assumptions!$E$28+Assumptions!$E$29+Assumptions!$E$30+K$24+K$28)+Assumptions!$C$20),(Assumptions!$C$42-(Assumptions!$F$27+Assumptions!$F$28+Assumptions!$F$29+Assumptions!$F$30+Assumptions!$F$31+Assumptions!$F$32+Assumptions!$C$7)+Assumptions!$F$27+Assumptions!$F$28+Assumptions!$F$29+Assumptions!$F$30+Assumptions!$C$7+Assumptions!$F$32)/((Assumptions!$C$16+Assumptions!$C$17+Assumptions!$C$18+Assumptions!$C$19)+(K$29+K$30)+Assumptions!$E$27+Assumptions!$E$28+Assumptions!$E$29+Assumptions!$E$30+K$24+K$28))</f>
        <v>56.10014323232436</v>
      </c>
    </row>
    <row r="49" spans="2:11" x14ac:dyDescent="0.25">
      <c r="B49" s="5" t="s">
        <v>198</v>
      </c>
      <c r="C49" s="19">
        <f>IF((Assumptions!$C$42-(Assumptions!$F$27+Assumptions!$F$28+Assumptions!$F$29+Assumptions!$F$30+Assumptions!$F$31+Assumptions!$F$32+Assumptions!$C$7)+Assumptions!$F$27+Assumptions!$F$28+Assumptions!$F$29+Assumptions!$F$30+Assumptions!$C$7+Assumptions!$F$32+Assumptions!$F$31)&gt;Assumptions!$C$13*((Assumptions!$C$16+Assumptions!$C$17+Assumptions!$C$18+Assumptions!$C$19)+(C$29+C$30)+Assumptions!$E$27+Assumptions!$E$28+Assumptions!$E$29+Assumptions!$E$30+C$24+C$28+C$27),((Assumptions!$C$42-(Assumptions!$F$27+Assumptions!$F$28+Assumptions!$F$29+Assumptions!$F$30+Assumptions!$F$31+Assumptions!$F$32+Assumptions!$C$7)+Assumptions!$F$27+Assumptions!$F$28+Assumptions!$F$29+Assumptions!$F$30+Assumptions!$C$7+Assumptions!$F$32+Assumptions!$F$31)+Assumptions!$C$13*Assumptions!$C$20)/(((Assumptions!$C$16+Assumptions!$C$17+Assumptions!$C$18+Assumptions!$C$19)+(C$29+C$30)+Assumptions!$E$27+Assumptions!$E$28+Assumptions!$E$29+Assumptions!$E$30+C$24+C$28+C$27)+Assumptions!$C$20),(Assumptions!$C$42-(Assumptions!$F$27+Assumptions!$F$28+Assumptions!$F$29+Assumptions!$F$30+Assumptions!$F$31+Assumptions!$F$32+Assumptions!$C$7)+Assumptions!$F$27+Assumptions!$F$28+Assumptions!$F$29+Assumptions!$F$30+Assumptions!$C$7+Assumptions!$F$32+Assumptions!$F$31)/((Assumptions!$C$16+Assumptions!$C$17+Assumptions!$C$18+Assumptions!$C$19)+(C$29+C$30)+Assumptions!$E$27+Assumptions!$E$28+Assumptions!$E$29+Assumptions!$E$30+C$24+C$28+C$27))</f>
        <v>55.59405240285331</v>
      </c>
      <c r="D49" s="19">
        <f>IF((Assumptions!$C$42-(Assumptions!$F$27+Assumptions!$F$28+Assumptions!$F$29+Assumptions!$F$30+Assumptions!$F$31+Assumptions!$F$32+Assumptions!$C$7)+Assumptions!$F$27+Assumptions!$F$28+Assumptions!$F$29+Assumptions!$F$30+Assumptions!$C$7+Assumptions!$F$32+Assumptions!$F$31)&gt;Assumptions!$C$13*((Assumptions!$C$16+Assumptions!$C$17+Assumptions!$C$18+Assumptions!$C$19)+(D$29+D$30)+Assumptions!$E$27+Assumptions!$E$28+Assumptions!$E$29+Assumptions!$E$30+D$24+D$28+D$27),((Assumptions!$C$42-(Assumptions!$F$27+Assumptions!$F$28+Assumptions!$F$29+Assumptions!$F$30+Assumptions!$F$31+Assumptions!$F$32+Assumptions!$C$7)+Assumptions!$F$27+Assumptions!$F$28+Assumptions!$F$29+Assumptions!$F$30+Assumptions!$C$7+Assumptions!$F$32+Assumptions!$F$31)+Assumptions!$C$13*Assumptions!$C$20)/(((Assumptions!$C$16+Assumptions!$C$17+Assumptions!$C$18+Assumptions!$C$19)+(D$29+D$30)+Assumptions!$E$27+Assumptions!$E$28+Assumptions!$E$29+Assumptions!$E$30+D$24+D$28+D$27)+Assumptions!$C$20),(Assumptions!$C$42-(Assumptions!$F$27+Assumptions!$F$28+Assumptions!$F$29+Assumptions!$F$30+Assumptions!$F$31+Assumptions!$F$32+Assumptions!$C$7)+Assumptions!$F$27+Assumptions!$F$28+Assumptions!$F$29+Assumptions!$F$30+Assumptions!$C$7+Assumptions!$F$32+Assumptions!$F$31)/((Assumptions!$C$16+Assumptions!$C$17+Assumptions!$C$18+Assumptions!$C$19)+(D$29+D$30)+Assumptions!$E$27+Assumptions!$E$28+Assumptions!$E$29+Assumptions!$E$30+D$24+D$28+D$27))</f>
        <v>55.55696634531267</v>
      </c>
      <c r="E49" s="19">
        <f>IF((Assumptions!$C$42-(Assumptions!$F$27+Assumptions!$F$28+Assumptions!$F$29+Assumptions!$F$30+Assumptions!$F$31+Assumptions!$F$32+Assumptions!$C$7)+Assumptions!$F$27+Assumptions!$F$28+Assumptions!$F$29+Assumptions!$F$30+Assumptions!$C$7+Assumptions!$F$32+Assumptions!$F$31)&gt;Assumptions!$C$13*((Assumptions!$C$16+Assumptions!$C$17+Assumptions!$C$18+Assumptions!$C$19)+(E$29+E$30)+Assumptions!$E$27+Assumptions!$E$28+Assumptions!$E$29+Assumptions!$E$30+E$24+E$28+E$27),((Assumptions!$C$42-(Assumptions!$F$27+Assumptions!$F$28+Assumptions!$F$29+Assumptions!$F$30+Assumptions!$F$31+Assumptions!$F$32+Assumptions!$C$7)+Assumptions!$F$27+Assumptions!$F$28+Assumptions!$F$29+Assumptions!$F$30+Assumptions!$C$7+Assumptions!$F$32+Assumptions!$F$31)+Assumptions!$C$13*Assumptions!$C$20)/(((Assumptions!$C$16+Assumptions!$C$17+Assumptions!$C$18+Assumptions!$C$19)+(E$29+E$30)+Assumptions!$E$27+Assumptions!$E$28+Assumptions!$E$29+Assumptions!$E$30+E$24+E$28+E$27)+Assumptions!$C$20),(Assumptions!$C$42-(Assumptions!$F$27+Assumptions!$F$28+Assumptions!$F$29+Assumptions!$F$30+Assumptions!$F$31+Assumptions!$F$32+Assumptions!$C$7)+Assumptions!$F$27+Assumptions!$F$28+Assumptions!$F$29+Assumptions!$F$30+Assumptions!$C$7+Assumptions!$F$32+Assumptions!$F$31)/((Assumptions!$C$16+Assumptions!$C$17+Assumptions!$C$18+Assumptions!$C$19)+(E$29+E$30)+Assumptions!$E$27+Assumptions!$E$28+Assumptions!$E$29+Assumptions!$E$30+E$24+E$28+E$27))</f>
        <v>55.50220938071948</v>
      </c>
      <c r="F49" s="19">
        <f>IF((Assumptions!$C$42-(Assumptions!$F$27+Assumptions!$F$28+Assumptions!$F$29+Assumptions!$F$30+Assumptions!$F$31+Assumptions!$F$32+Assumptions!$C$7)+Assumptions!$F$27+Assumptions!$F$28+Assumptions!$F$29+Assumptions!$F$30+Assumptions!$C$7+Assumptions!$F$32+Assumptions!$F$31)&gt;Assumptions!$C$13*((Assumptions!$C$16+Assumptions!$C$17+Assumptions!$C$18+Assumptions!$C$19)+(F$29+F$30)+Assumptions!$E$27+Assumptions!$E$28+Assumptions!$E$29+Assumptions!$E$30+F$24+F$28+F$27),((Assumptions!$C$42-(Assumptions!$F$27+Assumptions!$F$28+Assumptions!$F$29+Assumptions!$F$30+Assumptions!$F$31+Assumptions!$F$32+Assumptions!$C$7)+Assumptions!$F$27+Assumptions!$F$28+Assumptions!$F$29+Assumptions!$F$30+Assumptions!$C$7+Assumptions!$F$32+Assumptions!$F$31)+Assumptions!$C$13*Assumptions!$C$20)/(((Assumptions!$C$16+Assumptions!$C$17+Assumptions!$C$18+Assumptions!$C$19)+(F$29+F$30)+Assumptions!$E$27+Assumptions!$E$28+Assumptions!$E$29+Assumptions!$E$30+F$24+F$28+F$27)+Assumptions!$C$20),(Assumptions!$C$42-(Assumptions!$F$27+Assumptions!$F$28+Assumptions!$F$29+Assumptions!$F$30+Assumptions!$F$31+Assumptions!$F$32+Assumptions!$C$7)+Assumptions!$F$27+Assumptions!$F$28+Assumptions!$F$29+Assumptions!$F$30+Assumptions!$C$7+Assumptions!$F$32+Assumptions!$F$31)/((Assumptions!$C$16+Assumptions!$C$17+Assumptions!$C$18+Assumptions!$C$19)+(F$29+F$30)+Assumptions!$E$27+Assumptions!$E$28+Assumptions!$E$29+Assumptions!$E$30+F$24+F$28+F$27))</f>
        <v>55.88232270806624</v>
      </c>
      <c r="G49" s="19">
        <f>IF((Assumptions!$C$42-(Assumptions!$F$27+Assumptions!$F$28+Assumptions!$F$29+Assumptions!$F$30+Assumptions!$F$31+Assumptions!$F$32+Assumptions!$C$7)+Assumptions!$F$27+Assumptions!$F$28+Assumptions!$F$29+Assumptions!$F$30+Assumptions!$C$7+Assumptions!$F$32+Assumptions!$F$31)&gt;Assumptions!$C$13*((Assumptions!$C$16+Assumptions!$C$17+Assumptions!$C$18+Assumptions!$C$19)+(G$29+G$30)+Assumptions!$E$27+Assumptions!$E$28+Assumptions!$E$29+Assumptions!$E$30+G$24+G$28+G$27),((Assumptions!$C$42-(Assumptions!$F$27+Assumptions!$F$28+Assumptions!$F$29+Assumptions!$F$30+Assumptions!$F$31+Assumptions!$F$32+Assumptions!$C$7)+Assumptions!$F$27+Assumptions!$F$28+Assumptions!$F$29+Assumptions!$F$30+Assumptions!$C$7+Assumptions!$F$32+Assumptions!$F$31)+Assumptions!$C$13*Assumptions!$C$20)/(((Assumptions!$C$16+Assumptions!$C$17+Assumptions!$C$18+Assumptions!$C$19)+(G$29+G$30)+Assumptions!$E$27+Assumptions!$E$28+Assumptions!$E$29+Assumptions!$E$30+G$24+G$28+G$27)+Assumptions!$C$20),(Assumptions!$C$42-(Assumptions!$F$27+Assumptions!$F$28+Assumptions!$F$29+Assumptions!$F$30+Assumptions!$F$31+Assumptions!$F$32+Assumptions!$C$7)+Assumptions!$F$27+Assumptions!$F$28+Assumptions!$F$29+Assumptions!$F$30+Assumptions!$C$7+Assumptions!$F$32+Assumptions!$F$31)/((Assumptions!$C$16+Assumptions!$C$17+Assumptions!$C$18+Assumptions!$C$19)+(G$29+G$30)+Assumptions!$E$27+Assumptions!$E$28+Assumptions!$E$29+Assumptions!$E$30+G$24+G$28+G$27))</f>
        <v>55.85124507158945</v>
      </c>
      <c r="H49" s="19">
        <f>IF((Assumptions!$C$42-(Assumptions!$F$27+Assumptions!$F$28+Assumptions!$F$29+Assumptions!$F$30+Assumptions!$F$31+Assumptions!$F$32+Assumptions!$C$7)+Assumptions!$F$27+Assumptions!$F$28+Assumptions!$F$29+Assumptions!$F$30+Assumptions!$C$7+Assumptions!$F$32+Assumptions!$F$31)&gt;Assumptions!$C$13*((Assumptions!$C$16+Assumptions!$C$17+Assumptions!$C$18+Assumptions!$C$19)+(H$29+H$30)+Assumptions!$E$27+Assumptions!$E$28+Assumptions!$E$29+Assumptions!$E$30+H$24+H$28+H$27),((Assumptions!$C$42-(Assumptions!$F$27+Assumptions!$F$28+Assumptions!$F$29+Assumptions!$F$30+Assumptions!$F$31+Assumptions!$F$32+Assumptions!$C$7)+Assumptions!$F$27+Assumptions!$F$28+Assumptions!$F$29+Assumptions!$F$30+Assumptions!$C$7+Assumptions!$F$32+Assumptions!$F$31)+Assumptions!$C$13*Assumptions!$C$20)/(((Assumptions!$C$16+Assumptions!$C$17+Assumptions!$C$18+Assumptions!$C$19)+(H$29+H$30)+Assumptions!$E$27+Assumptions!$E$28+Assumptions!$E$29+Assumptions!$E$30+H$24+H$28+H$27)+Assumptions!$C$20),(Assumptions!$C$42-(Assumptions!$F$27+Assumptions!$F$28+Assumptions!$F$29+Assumptions!$F$30+Assumptions!$F$31+Assumptions!$F$32+Assumptions!$C$7)+Assumptions!$F$27+Assumptions!$F$28+Assumptions!$F$29+Assumptions!$F$30+Assumptions!$C$7+Assumptions!$F$32+Assumptions!$F$31)/((Assumptions!$C$16+Assumptions!$C$17+Assumptions!$C$18+Assumptions!$C$19)+(H$29+H$30)+Assumptions!$E$27+Assumptions!$E$28+Assumptions!$E$29+Assumptions!$E$30+H$24+H$28+H$27))</f>
        <v>55.803453756916</v>
      </c>
      <c r="I49" s="19">
        <f>IF((Assumptions!$C$42-(Assumptions!$F$27+Assumptions!$F$28+Assumptions!$F$29+Assumptions!$F$30+Assumptions!$F$31+Assumptions!$F$32+Assumptions!$C$7)+Assumptions!$F$27+Assumptions!$F$28+Assumptions!$F$29+Assumptions!$F$30+Assumptions!$C$7+Assumptions!$F$32+Assumptions!$F$31)&gt;Assumptions!$C$13*((Assumptions!$C$16+Assumptions!$C$17+Assumptions!$C$18+Assumptions!$C$19)+(I$29+I$30)+Assumptions!$E$27+Assumptions!$E$28+Assumptions!$E$29+Assumptions!$E$30+I$24+I$28+I$27),((Assumptions!$C$42-(Assumptions!$F$27+Assumptions!$F$28+Assumptions!$F$29+Assumptions!$F$30+Assumptions!$F$31+Assumptions!$F$32+Assumptions!$C$7)+Assumptions!$F$27+Assumptions!$F$28+Assumptions!$F$29+Assumptions!$F$30+Assumptions!$C$7+Assumptions!$F$32+Assumptions!$F$31)+Assumptions!$C$13*Assumptions!$C$20)/(((Assumptions!$C$16+Assumptions!$C$17+Assumptions!$C$18+Assumptions!$C$19)+(I$29+I$30)+Assumptions!$E$27+Assumptions!$E$28+Assumptions!$E$29+Assumptions!$E$30+I$24+I$28+I$27)+Assumptions!$C$20),(Assumptions!$C$42-(Assumptions!$F$27+Assumptions!$F$28+Assumptions!$F$29+Assumptions!$F$30+Assumptions!$F$31+Assumptions!$F$32+Assumptions!$C$7)+Assumptions!$F$27+Assumptions!$F$28+Assumptions!$F$29+Assumptions!$F$30+Assumptions!$C$7+Assumptions!$F$32+Assumptions!$F$31)/((Assumptions!$C$16+Assumptions!$C$17+Assumptions!$C$18+Assumptions!$C$19)+(I$29+I$30)+Assumptions!$E$27+Assumptions!$E$28+Assumptions!$E$29+Assumptions!$E$30+I$24+I$28+I$27))</f>
        <v>56.251452367498295</v>
      </c>
      <c r="J49" s="19">
        <f>IF((Assumptions!$C$42-(Assumptions!$F$27+Assumptions!$F$28+Assumptions!$F$29+Assumptions!$F$30+Assumptions!$F$31+Assumptions!$F$32+Assumptions!$C$7)+Assumptions!$F$27+Assumptions!$F$28+Assumptions!$F$29+Assumptions!$F$30+Assumptions!$C$7+Assumptions!$F$32+Assumptions!$F$31)&gt;Assumptions!$C$13*((Assumptions!$C$16+Assumptions!$C$17+Assumptions!$C$18+Assumptions!$C$19)+(J$29+J$30)+Assumptions!$E$27+Assumptions!$E$28+Assumptions!$E$29+Assumptions!$E$30+J$24+J$28+J$27),((Assumptions!$C$42-(Assumptions!$F$27+Assumptions!$F$28+Assumptions!$F$29+Assumptions!$F$30+Assumptions!$F$31+Assumptions!$F$32+Assumptions!$C$7)+Assumptions!$F$27+Assumptions!$F$28+Assumptions!$F$29+Assumptions!$F$30+Assumptions!$C$7+Assumptions!$F$32+Assumptions!$F$31)+Assumptions!$C$13*Assumptions!$C$20)/(((Assumptions!$C$16+Assumptions!$C$17+Assumptions!$C$18+Assumptions!$C$19)+(J$29+J$30)+Assumptions!$E$27+Assumptions!$E$28+Assumptions!$E$29+Assumptions!$E$30+J$24+J$28+J$27)+Assumptions!$C$20),(Assumptions!$C$42-(Assumptions!$F$27+Assumptions!$F$28+Assumptions!$F$29+Assumptions!$F$30+Assumptions!$F$31+Assumptions!$F$32+Assumptions!$C$7)+Assumptions!$F$27+Assumptions!$F$28+Assumptions!$F$29+Assumptions!$F$30+Assumptions!$C$7+Assumptions!$F$32+Assumptions!$F$31)/((Assumptions!$C$16+Assumptions!$C$17+Assumptions!$C$18+Assumptions!$C$19)+(J$29+J$30)+Assumptions!$E$27+Assumptions!$E$28+Assumptions!$E$29+Assumptions!$E$30+J$24+J$28+J$27))</f>
        <v>56.227507204573996</v>
      </c>
      <c r="K49" s="19">
        <f>IF((Assumptions!$C$42-(Assumptions!$F$27+Assumptions!$F$28+Assumptions!$F$29+Assumptions!$F$30+Assumptions!$F$31+Assumptions!$F$32+Assumptions!$C$7)+Assumptions!$F$27+Assumptions!$F$28+Assumptions!$F$29+Assumptions!$F$30+Assumptions!$C$7+Assumptions!$F$32+Assumptions!$F$31)&gt;Assumptions!$C$13*((Assumptions!$C$16+Assumptions!$C$17+Assumptions!$C$18+Assumptions!$C$19)+(K$29+K$30)+Assumptions!$E$27+Assumptions!$E$28+Assumptions!$E$29+Assumptions!$E$30+K$24+K$28+K$27),((Assumptions!$C$42-(Assumptions!$F$27+Assumptions!$F$28+Assumptions!$F$29+Assumptions!$F$30+Assumptions!$F$31+Assumptions!$F$32+Assumptions!$C$7)+Assumptions!$F$27+Assumptions!$F$28+Assumptions!$F$29+Assumptions!$F$30+Assumptions!$C$7+Assumptions!$F$32+Assumptions!$F$31)+Assumptions!$C$13*Assumptions!$C$20)/(((Assumptions!$C$16+Assumptions!$C$17+Assumptions!$C$18+Assumptions!$C$19)+(K$29+K$30)+Assumptions!$E$27+Assumptions!$E$28+Assumptions!$E$29+Assumptions!$E$30+K$24+K$28+K$27)+Assumptions!$C$20),(Assumptions!$C$42-(Assumptions!$F$27+Assumptions!$F$28+Assumptions!$F$29+Assumptions!$F$30+Assumptions!$F$31+Assumptions!$F$32+Assumptions!$C$7)+Assumptions!$F$27+Assumptions!$F$28+Assumptions!$F$29+Assumptions!$F$30+Assumptions!$C$7+Assumptions!$F$32+Assumptions!$F$31)/((Assumptions!$C$16+Assumptions!$C$17+Assumptions!$C$18+Assumptions!$C$19)+(K$29+K$30)+Assumptions!$E$27+Assumptions!$E$28+Assumptions!$E$29+Assumptions!$E$30+K$24+K$28+K$27))</f>
        <v>56.18861392921574</v>
      </c>
    </row>
    <row r="50" spans="2:11" x14ac:dyDescent="0.25">
      <c r="B50" s="9" t="s">
        <v>199</v>
      </c>
      <c r="C50" s="26">
        <f>IF(AND(0&lt;=C42,C42&lt;C$34),C42,0)+IF(AND(C$34&lt;=C43,C43&lt;C$35),C43,0)+IF(AND(C$35&lt;=C44,C44&lt;C$36),C44,0)+IF(AND(C$36&lt;=C45,C45&lt;C$37),C45,0)+IF(AND(C$37&lt;=C46,C46&lt;C$38),C46,0)+IF(AND(C$38&lt;=C47,C47&lt;C$39),C47,0)+IF(AND(C$39&lt;=C48,C48&lt;C$40),C48,0)+IF(AND(C$40&lt;=C49,C49&lt;1E18),C49,0)</f>
        <v>55.49805237762815</v>
      </c>
      <c r="D50" s="26">
        <f>IF(AND(0&lt;=D42,D42&lt;D$34),D42,0)+IF(AND(D$34&lt;=D43,D43&lt;D$35),D43,0)+IF(AND(D$35&lt;=D44,D44&lt;D$36),D44,0)+IF(AND(D$36&lt;=D45,D45&lt;D$37),D45,0)+IF(AND(D$37&lt;=D46,D46&lt;D$38),D46,0)+IF(AND(D$38&lt;=D47,D47&lt;D$39),D47,0)+IF(AND(D$39&lt;=D48,D48&lt;D$40),D48,0)+IF(AND(D$40&lt;=D49,D49&lt;1E18),D49,0)</f>
        <v>55.460325467403244</v>
      </c>
      <c r="E50" s="26">
        <f>IF(AND(0&lt;=E42,E42&lt;E$34),E42,0)+IF(AND(E$34&lt;=E43,E43&lt;E$35),E43,0)+IF(AND(E$35&lt;=E44,E44&lt;E$36),E44,0)+IF(AND(E$36&lt;=E45,E45&lt;E$37),E45,0)+IF(AND(E$37&lt;=E46,E46&lt;E$38),E46,0)+IF(AND(E$38&lt;=E47,E47&lt;E$39),E47,0)+IF(AND(E$39&lt;=E48,E48&lt;E$40),E48,0)+IF(AND(E$40&lt;=E49,E49&lt;1E18),E49,0)</f>
        <v>55.40462404742368</v>
      </c>
      <c r="F50" s="26">
        <f>IF(AND(0&lt;=F42,F42&lt;F$34),F42,0)+IF(AND(F$34&lt;=F43,F43&lt;F$35),F43,0)+IF(AND(F$35&lt;=F44,F44&lt;F$36),F44,0)+IF(AND(F$36&lt;=F45,F45&lt;F$37),F45,0)+IF(AND(F$37&lt;=F46,F46&lt;F$38),F46,0)+IF(AND(F$38&lt;=F47,F47&lt;F$39),F47,0)+IF(AND(F$39&lt;=F48,F48&lt;F$40),F48,0)+IF(AND(F$40&lt;=F49,F49&lt;1E18),F49,0)</f>
        <v>55.79040562116998</v>
      </c>
      <c r="G50" s="26">
        <f>IF(AND(0&lt;=G42,G42&lt;G$34),G42,0)+IF(AND(G$34&lt;=G43,G43&lt;G$35),G43,0)+IF(AND(G$35&lt;=G44,G44&lt;G$36),G44,0)+IF(AND(G$36&lt;=G45,G45&lt;G$37),G45,0)+IF(AND(G$37&lt;=G46,G46&lt;G$38),G46,0)+IF(AND(G$38&lt;=G47,G47&lt;G$39),G47,0)+IF(AND(G$39&lt;=G48,G48&lt;G$40),G48,0)+IF(AND(G$40&lt;=G49,G49&lt;1E18),G49,0)</f>
        <v>55.75877068294344</v>
      </c>
      <c r="H50" s="26">
        <f>IF(AND(0&lt;=H42,H42&lt;H$34),H42,0)+IF(AND(H$34&lt;=H43,H43&lt;H$35),H43,0)+IF(AND(H$35&lt;=H44,H44&lt;H$36),H44,0)+IF(AND(H$36&lt;=H45,H45&lt;H$37),H45,0)+IF(AND(H$37&lt;=H46,H46&lt;H$38),H46,0)+IF(AND(H$38&lt;=H47,H47&lt;H$39),H47,0)+IF(AND(H$39&lt;=H48,H48&lt;H$40),H48,0)+IF(AND(H$40&lt;=H49,H49&lt;1E18),H49,0)</f>
        <v>55.71012369450466</v>
      </c>
      <c r="I50" s="26">
        <f>IF(AND(0&lt;=I42,I42&lt;I$34),I42,0)+IF(AND(I$34&lt;=I43,I43&lt;I$35),I43,0)+IF(AND(I$35&lt;=I44,I44&lt;I$36),I44,0)+IF(AND(I$36&lt;=I45,I45&lt;I$37),I45,0)+IF(AND(I$37&lt;=I46,I46&lt;I$38),I46,0)+IF(AND(I$38&lt;=I47,I47&lt;I$39),I47,0)+IF(AND(I$39&lt;=I48,I48&lt;I$40),I48,0)+IF(AND(I$40&lt;=I49,I49&lt;1E18),I49,0)</f>
        <v>56.16419960343299</v>
      </c>
      <c r="J50" s="26">
        <f>IF(AND(0&lt;=J42,J42&lt;J$34),J42,0)+IF(AND(J$34&lt;=J43,J43&lt;J$35),J43,0)+IF(AND(J$35&lt;=J44,J44&lt;J$36),J44,0)+IF(AND(J$36&lt;=J45,J45&lt;J$37),J45,0)+IF(AND(J$37&lt;=J46,J46&lt;J$38),J46,0)+IF(AND(J$38&lt;=J47,J47&lt;J$39),J47,0)+IF(AND(J$39&lt;=J48,J48&lt;J$40),J48,0)+IF(AND(J$40&lt;=J49,J49&lt;1E18),J49,0)</f>
        <v>56.139789981803276</v>
      </c>
      <c r="K50" s="26">
        <f>IF(AND(0&lt;=K42,K42&lt;K$34),K42,0)+IF(AND(K$34&lt;=K43,K43&lt;K$35),K43,0)+IF(AND(K$35&lt;=K44,K44&lt;K$36),K44,0)+IF(AND(K$36&lt;=K45,K45&lt;K$37),K45,0)+IF(AND(K$37&lt;=K46,K46&lt;K$38),K46,0)+IF(AND(K$38&lt;=K47,K47&lt;K$39),K47,0)+IF(AND(K$39&lt;=K48,K48&lt;K$40),K48,0)+IF(AND(K$40&lt;=K49,K49&lt;1E18),K49,0)</f>
        <v>56.10014323232436</v>
      </c>
    </row>
    <row r="52" spans="2:11" x14ac:dyDescent="0.25">
      <c r="B52" s="5" t="s">
        <v>200</v>
      </c>
      <c r="C52" s="10" t="str">
        <f>IF(Assumptions!$C$7&gt;C$24*C$50,"preference","convert")</f>
        <v>convert</v>
      </c>
      <c r="D52" s="10" t="str">
        <f>IF(Assumptions!$C$7&gt;D$24*D$50,"preference","convert")</f>
        <v>convert</v>
      </c>
      <c r="E52" s="10" t="str">
        <f>IF(Assumptions!$C$7&gt;E$24*E$50,"preference","convert")</f>
        <v>convert</v>
      </c>
      <c r="F52" s="10" t="str">
        <f>IF(Assumptions!$C$7&gt;F$24*F$50,"preference","convert")</f>
        <v>convert</v>
      </c>
      <c r="G52" s="10" t="str">
        <f>IF(Assumptions!$C$7&gt;G$24*G$50,"preference","convert")</f>
        <v>convert</v>
      </c>
      <c r="H52" s="10" t="str">
        <f>IF(Assumptions!$C$7&gt;H$24*H$50,"preference","convert")</f>
        <v>convert</v>
      </c>
      <c r="I52" s="10" t="str">
        <f>IF(Assumptions!$C$7&gt;I$24*I$50,"preference","convert")</f>
        <v>convert</v>
      </c>
      <c r="J52" s="10" t="str">
        <f>IF(Assumptions!$C$7&gt;J$24*J$50,"preference","convert")</f>
        <v>convert</v>
      </c>
      <c r="K52" s="10" t="str">
        <f>IF(Assumptions!$C$7&gt;K$24*K$50,"preference","convert")</f>
        <v>convert</v>
      </c>
    </row>
    <row r="53" spans="2:11" x14ac:dyDescent="0.25">
      <c r="B53" s="5" t="s">
        <v>139</v>
      </c>
      <c r="C53" s="10">
        <f>Assumptions!$C$11/C$23</f>
        <v>308249.65167691075</v>
      </c>
      <c r="D53" s="10">
        <f>Assumptions!$C$11/D$23</f>
        <v>313466.82262163615</v>
      </c>
      <c r="E53" s="10">
        <f>Assumptions!$C$11/E$23</f>
        <v>321182.6379599254</v>
      </c>
      <c r="F53" s="10">
        <f>Assumptions!$C$11/F$23</f>
        <v>263838.43995188654</v>
      </c>
      <c r="G53" s="10">
        <f>Assumptions!$C$11/G$23</f>
        <v>268098.7811609362</v>
      </c>
      <c r="H53" s="10">
        <f>Assumptions!$C$11/H$23</f>
        <v>274659.6106094482</v>
      </c>
      <c r="I53" s="10">
        <f>Assumptions!$C$11/I$23</f>
        <v>204883.86795890945</v>
      </c>
      <c r="J53" s="10">
        <f>Assumptions!$C$11/J$23</f>
        <v>207990.96247054279</v>
      </c>
      <c r="K53" s="10">
        <f>Assumptions!$C$11/K$23</f>
        <v>213043.34944633875</v>
      </c>
    </row>
    <row r="54" spans="2:11" x14ac:dyDescent="0.25">
      <c r="B54" s="9" t="s">
        <v>201</v>
      </c>
      <c r="C54" s="25">
        <f>C$53/C$25</f>
        <v>0.008130081300813009</v>
      </c>
      <c r="D54" s="25">
        <f>D$53/D$25</f>
        <v>0.008130081300813007</v>
      </c>
      <c r="E54" s="25">
        <f>E$53/E$25</f>
        <v>0.008130081300813007</v>
      </c>
      <c r="F54" s="25">
        <f>F$53/F$25</f>
        <v>0.006993006993006992</v>
      </c>
      <c r="G54" s="25">
        <f>G$53/G$25</f>
        <v>0.006993006993006992</v>
      </c>
      <c r="H54" s="25">
        <f>H$53/H$25</f>
        <v>0.006993006993006994</v>
      </c>
      <c r="I54" s="25">
        <f>I$53/I$25</f>
        <v>0.00546448087431694</v>
      </c>
      <c r="J54" s="25">
        <f>J$53/J$25</f>
        <v>0.00546448087431694</v>
      </c>
      <c r="K54" s="25">
        <f>K$53/K$25</f>
        <v>0.00546448087431694</v>
      </c>
    </row>
    <row r="55" spans="2:11" x14ac:dyDescent="0.25">
      <c r="B55" s="9" t="s">
        <v>202</v>
      </c>
      <c r="C55" s="18">
        <f>IF(C$52="preference",Assumptions!$C$11,C$53*C$50)</f>
        <v>17107255.314150825</v>
      </c>
      <c r="D55" s="18">
        <f>IF(D$52="preference",Assumptions!$C$11,D$53*D$50)</f>
        <v>17384972.0058287</v>
      </c>
      <c r="E55" s="18">
        <f>IF(E$52="preference",Assumptions!$C$11,E$53*E$50)</f>
        <v>17795003.30672946</v>
      </c>
      <c r="F55" s="18">
        <f>IF(F$52="preference",Assumptions!$C$11,F$53*F$50)</f>
        <v>14719653.58337245</v>
      </c>
      <c r="G55" s="18">
        <f>IF(G$52="preference",Assumptions!$C$11,G$53*G$50)</f>
        <v>14948858.459129278</v>
      </c>
      <c r="H55" s="18">
        <f>IF(H$52="preference",Assumptions!$C$11,H$53*H$50)</f>
        <v>15301320.880936844</v>
      </c>
      <c r="I55" s="18">
        <f>IF(I$52="preference",Assumptions!$C$11,I$53*I$50)</f>
        <v>11507138.455567598</v>
      </c>
      <c r="J55" s="18">
        <f>IF(J$52="preference",Assumptions!$C$11,J$53*J$50)</f>
        <v>11676568.9512094</v>
      </c>
      <c r="K55" s="18">
        <f>IF(K$52="preference",Assumptions!$C$11,K$53*K$50)</f>
        <v>11951762.418633735</v>
      </c>
    </row>
    <row r="58" spans="2:11" x14ac:dyDescent="0.25">
      <c r="B58" s="3" t="s">
        <v>203</v>
      </c>
      <c r="C58" s="4"/>
      <c r="D58" s="4"/>
      <c r="E58" s="4"/>
      <c r="F58" s="4"/>
      <c r="G58" s="4"/>
      <c r="H58" s="4"/>
      <c r="I58" s="4"/>
      <c r="J58" s="4"/>
      <c r="K58" s="4"/>
    </row>
    <row r="59" spans="2:5" x14ac:dyDescent="0.25">
      <c r="B59" s="27" t="s">
        <v>204</v>
      </c>
      <c r="C59" s="28">
        <f>Assumptions!C50</f>
        <v>1200000000</v>
      </c>
      <c r="D59" s="28">
        <f>Assumptions!C51</f>
        <v>1400000000</v>
      </c>
      <c r="E59" s="28">
        <f>Assumptions!C52</f>
        <v>1800000000</v>
      </c>
    </row>
    <row r="60" spans="2:5" x14ac:dyDescent="0.25">
      <c r="B60" s="29">
        <f>Assumptions!C47</f>
        <v>0.11</v>
      </c>
      <c r="C60" s="30">
        <f>C54</f>
        <v>0.008130081300813009</v>
      </c>
      <c r="D60" s="30">
        <f>F54</f>
        <v>0.006993006993006992</v>
      </c>
      <c r="E60" s="30">
        <f>I54</f>
        <v>0.00546448087431694</v>
      </c>
    </row>
    <row r="61" spans="2:5" x14ac:dyDescent="0.25">
      <c r="B61" s="29">
        <f>Assumptions!C48</f>
        <v>0.13</v>
      </c>
      <c r="C61" s="30">
        <f>D54</f>
        <v>0.008130081300813007</v>
      </c>
      <c r="D61" s="31">
        <f>G54</f>
        <v>0.006993006993006992</v>
      </c>
      <c r="E61" s="30">
        <f>J54</f>
        <v>0.00546448087431694</v>
      </c>
    </row>
    <row r="62" spans="2:5" x14ac:dyDescent="0.25">
      <c r="B62" s="29">
        <f>Assumptions!C49</f>
        <v>0.15</v>
      </c>
      <c r="C62" s="30">
        <f>E54</f>
        <v>0.008130081300813007</v>
      </c>
      <c r="D62" s="30">
        <f>H54</f>
        <v>0.006993006993006994</v>
      </c>
      <c r="E62" s="30">
        <f>K54</f>
        <v>0.00546448087431694</v>
      </c>
    </row>
    <row r="64" spans="2:11" x14ac:dyDescent="0.25">
      <c r="B64" s="3" t="s">
        <v>205</v>
      </c>
      <c r="C64" s="4"/>
      <c r="D64" s="4"/>
      <c r="E64" s="4"/>
      <c r="F64" s="4"/>
      <c r="G64" s="4"/>
      <c r="H64" s="4"/>
      <c r="I64" s="4"/>
      <c r="J64" s="4"/>
      <c r="K64" s="4"/>
    </row>
    <row r="65" spans="2:5" x14ac:dyDescent="0.25">
      <c r="B65" s="27" t="s">
        <v>204</v>
      </c>
      <c r="C65" s="28">
        <f>Assumptions!C50</f>
        <v>1200000000</v>
      </c>
      <c r="D65" s="28">
        <f>Assumptions!C51</f>
        <v>1400000000</v>
      </c>
      <c r="E65" s="28">
        <f>Assumptions!C52</f>
        <v>1800000000</v>
      </c>
    </row>
    <row r="66" spans="2:5" x14ac:dyDescent="0.25">
      <c r="B66" s="29">
        <f>Assumptions!C47</f>
        <v>0.11</v>
      </c>
      <c r="C66" s="19">
        <f>C55</f>
        <v>17107255.314150825</v>
      </c>
      <c r="D66" s="19">
        <f>F55</f>
        <v>14719653.58337245</v>
      </c>
      <c r="E66" s="19">
        <f>I55</f>
        <v>11507138.455567598</v>
      </c>
    </row>
    <row r="67" spans="2:5" x14ac:dyDescent="0.25">
      <c r="B67" s="29">
        <f>Assumptions!C48</f>
        <v>0.13</v>
      </c>
      <c r="C67" s="19">
        <f>D55</f>
        <v>17384972.0058287</v>
      </c>
      <c r="D67" s="32">
        <f>G55</f>
        <v>14948858.459129278</v>
      </c>
      <c r="E67" s="19">
        <f>J55</f>
        <v>11676568.9512094</v>
      </c>
    </row>
    <row r="68" spans="2:5" x14ac:dyDescent="0.25">
      <c r="B68" s="29">
        <f>Assumptions!C49</f>
        <v>0.15</v>
      </c>
      <c r="C68" s="19">
        <f>E55</f>
        <v>17795003.30672946</v>
      </c>
      <c r="D68" s="19">
        <f>H55</f>
        <v>15301320.880936844</v>
      </c>
      <c r="E68" s="19">
        <f>K55</f>
        <v>11951762.418633735</v>
      </c>
    </row>
    <row r="70" spans="2:2" x14ac:dyDescent="0.25">
      <c r="B70" s="13" t="s">
        <v>206</v>
      </c>
    </row>
    <row r="71" spans="2:2" x14ac:dyDescent="0.25">
      <c r="B71" s="13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8"/>
  <sheetViews>
    <sheetView workbookViewId="0" showGridLines="0"/>
  </sheetViews>
  <sheetFormatPr defaultRowHeight="12.75" outlineLevelRow="0" outlineLevelCol="0" x14ac:dyDescent="0" defaultColWidth="11.455" customHeight="1"/>
  <cols>
    <col min="1" max="1" width="1.705" customWidth="1"/>
    <col min="2" max="2" width="35.205" customWidth="1"/>
    <col min="3" max="5" width="16.455" customWidth="1"/>
    <col min="6" max="6" width="13.955" customWidth="1"/>
    <col min="7" max="8" width="12.705" customWidth="1"/>
    <col min="9" max="13" width="16.455" customWidth="1"/>
  </cols>
  <sheetData>
    <row r="2" ht="18" customHeight="1" spans="2:2" x14ac:dyDescent="0.25">
      <c r="B2" s="1" t="s">
        <v>208</v>
      </c>
    </row>
    <row r="3" spans="2:2" x14ac:dyDescent="0.25">
      <c r="B3" s="2" t="s">
        <v>209</v>
      </c>
    </row>
    <row r="5" spans="2:13" x14ac:dyDescent="0.25">
      <c r="B5" s="3" t="s">
        <v>210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3:5" x14ac:dyDescent="0.25">
      <c r="C6" s="11" t="s">
        <v>211</v>
      </c>
      <c r="D6" s="11" t="s">
        <v>84</v>
      </c>
      <c r="E6" s="11" t="s">
        <v>212</v>
      </c>
    </row>
    <row r="7" spans="2:5" x14ac:dyDescent="0.25">
      <c r="B7" s="5" t="s">
        <v>113</v>
      </c>
      <c r="C7" s="14">
        <f>Assumptions!F27</f>
        <v>5000000</v>
      </c>
      <c r="D7" s="16">
        <f>'Pro-Forma'!H30</f>
        <v>5000000</v>
      </c>
      <c r="E7" s="19">
        <f>C7/D7</f>
        <v>1</v>
      </c>
    </row>
    <row r="8" spans="2:5" x14ac:dyDescent="0.25">
      <c r="B8" s="5" t="s">
        <v>26</v>
      </c>
      <c r="C8" s="14">
        <f>Assumptions!F28</f>
        <v>15000000</v>
      </c>
      <c r="D8" s="16">
        <f>'Pro-Forma'!H31</f>
        <v>5000000</v>
      </c>
      <c r="E8" s="19">
        <f>C8/D8</f>
        <v>3</v>
      </c>
    </row>
    <row r="9" spans="2:5" x14ac:dyDescent="0.25">
      <c r="B9" s="5" t="s">
        <v>27</v>
      </c>
      <c r="C9" s="14">
        <f>Assumptions!F29</f>
        <v>30000000</v>
      </c>
      <c r="D9" s="16">
        <f>'Pro-Forma'!H32</f>
        <v>3000000</v>
      </c>
      <c r="E9" s="19">
        <f>C9/D9</f>
        <v>10</v>
      </c>
    </row>
    <row r="10" spans="2:5" x14ac:dyDescent="0.25">
      <c r="B10" s="5" t="s">
        <v>28</v>
      </c>
      <c r="C10" s="14">
        <f>Assumptions!F30</f>
        <v>60000000</v>
      </c>
      <c r="D10" s="16">
        <f>'Pro-Forma'!H33</f>
        <v>2400000</v>
      </c>
      <c r="E10" s="19">
        <f>C10/D10</f>
        <v>25</v>
      </c>
    </row>
    <row r="11" spans="2:5" x14ac:dyDescent="0.25">
      <c r="B11" s="5" t="s">
        <v>85</v>
      </c>
      <c r="C11" s="14">
        <f>Assumptions!F31</f>
        <v>100000000</v>
      </c>
      <c r="D11" s="16">
        <f>'Pro-Forma'!H34</f>
        <v>1733976.6717132481</v>
      </c>
      <c r="E11" s="19">
        <f>C11/D11</f>
        <v>57.67090274703375</v>
      </c>
    </row>
    <row r="12" spans="2:5" x14ac:dyDescent="0.25">
      <c r="B12" s="5" t="s">
        <v>30</v>
      </c>
      <c r="C12" s="14">
        <f>Assumptions!F32</f>
        <v>300000000</v>
      </c>
      <c r="D12" s="16">
        <f>'Pro-Forma'!H35</f>
        <v>6134537.780337418</v>
      </c>
      <c r="E12" s="19">
        <f>C12/D12</f>
        <v>48.90343995623727</v>
      </c>
    </row>
    <row r="13" spans="2:5" x14ac:dyDescent="0.25">
      <c r="B13" s="5" t="s">
        <v>125</v>
      </c>
      <c r="C13" s="14">
        <f>Assumptions!C7</f>
        <v>30000000</v>
      </c>
      <c r="D13" s="16">
        <f>'Pro-Forma'!C22</f>
        <v>804296.3434828086</v>
      </c>
      <c r="E13" s="19">
        <f>C13/D13</f>
        <v>37.29968467852575</v>
      </c>
    </row>
    <row r="14" spans="2:4" x14ac:dyDescent="0.25">
      <c r="B14" s="5" t="s">
        <v>213</v>
      </c>
      <c r="D14" s="10">
        <f>Assumptions!C16+Assumptions!C17+Assumptions!C18+Assumptions!C19</f>
        <v>9000000</v>
      </c>
    </row>
    <row r="15" spans="2:4" x14ac:dyDescent="0.25">
      <c r="B15" s="5" t="s">
        <v>214</v>
      </c>
      <c r="D15" s="16">
        <f>'Pro-Forma'!H39+'Pro-Forma'!H40</f>
        <v>281358.5686986003</v>
      </c>
    </row>
    <row r="16" spans="2:4" x14ac:dyDescent="0.25">
      <c r="B16" s="5" t="s">
        <v>215</v>
      </c>
      <c r="D16" s="16">
        <f>Assumptions!C20</f>
        <v>2500000</v>
      </c>
    </row>
    <row r="17" spans="2:4" x14ac:dyDescent="0.25">
      <c r="B17" s="5" t="s">
        <v>216</v>
      </c>
      <c r="D17" s="14">
        <f>Assumptions!C13</f>
        <v>1</v>
      </c>
    </row>
    <row r="18" spans="2:3" x14ac:dyDescent="0.25">
      <c r="B18" s="5" t="s">
        <v>217</v>
      </c>
      <c r="C18" s="26">
        <f>SUM(C7:C13)</f>
        <v>540000000</v>
      </c>
    </row>
    <row r="20" spans="2:13" x14ac:dyDescent="0.25">
      <c r="B20" s="3" t="s">
        <v>37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2:13" x14ac:dyDescent="0.25">
      <c r="B21" s="9" t="s">
        <v>143</v>
      </c>
      <c r="I21" s="14">
        <f>Assumptions!C40</f>
        <v>700000000</v>
      </c>
      <c r="J21" s="14">
        <f>Assumptions!C41</f>
        <v>1200000000</v>
      </c>
      <c r="K21" s="14">
        <f>Assumptions!C42</f>
        <v>2000000000</v>
      </c>
      <c r="L21" s="14">
        <f>Assumptions!C43</f>
        <v>4000000000</v>
      </c>
      <c r="M21" s="14">
        <f>Assumptions!C44</f>
        <v>8000000000</v>
      </c>
    </row>
    <row r="23" spans="2:13" x14ac:dyDescent="0.25">
      <c r="B23" s="3" t="s">
        <v>218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2:13" x14ac:dyDescent="0.25">
      <c r="B24" s="11" t="s">
        <v>219</v>
      </c>
      <c r="C24" s="11" t="s">
        <v>220</v>
      </c>
      <c r="D24" s="11" t="s">
        <v>221</v>
      </c>
      <c r="E24" s="11" t="s">
        <v>222</v>
      </c>
      <c r="F24" s="11" t="s">
        <v>223</v>
      </c>
      <c r="I24" s="11" t="s">
        <v>224</v>
      </c>
      <c r="J24" s="11" t="s">
        <v>225</v>
      </c>
      <c r="K24" s="11" t="s">
        <v>226</v>
      </c>
      <c r="L24" s="11" t="s">
        <v>227</v>
      </c>
      <c r="M24" s="11" t="s">
        <v>228</v>
      </c>
    </row>
    <row r="25" spans="2:13" x14ac:dyDescent="0.25">
      <c r="B25" s="5" t="s">
        <v>229</v>
      </c>
      <c r="C25" s="19">
        <v>0</v>
      </c>
      <c r="D25" s="10">
        <v>0</v>
      </c>
      <c r="E25" s="19">
        <v>0</v>
      </c>
      <c r="F25" s="19">
        <f>E7</f>
        <v>1</v>
      </c>
      <c r="I25" s="19">
        <f>IF((I$21-$C$18+$E25)&gt;$D$17*($D$14+$D$15+$D25),((I$21-$C$18+$E25)+$D$17*$D$16)/($D$14+$D$15+$D25+$D$16),(I$21-$C$18+$E25)/($D$14+$D$15+$D25))</f>
        <v>13.792976340754068</v>
      </c>
      <c r="J25" s="19">
        <f>IF((J$21-$C$18+$E25)&gt;$D$17*($D$14+$D$15+$D25),((J$21-$C$18+$E25)+$D$17*$D$16)/($D$14+$D$15+$D25+$D$16),(J$21-$C$18+$E25)/($D$14+$D$15+$D25))</f>
        <v>56.23290354307428</v>
      </c>
      <c r="K25" s="19">
        <f>IF((K$21-$C$18+$E25)&gt;$D$17*($D$14+$D$15+$D25),((K$21-$C$18+$E25)+$D$17*$D$16)/($D$14+$D$15+$D25+$D$16),(K$21-$C$18+$E25)/($D$14+$D$15+$D25))</f>
        <v>124.13678706678661</v>
      </c>
      <c r="L25" s="19">
        <f>IF((L$21-$C$18+$E25)&gt;$D$17*($D$14+$D$15+$D25),((L$21-$C$18+$E25)+$D$17*$D$16)/($D$14+$D$15+$D25+$D$16),(L$21-$C$18+$E25)/($D$14+$D$15+$D25))</f>
        <v>293.89649587606743</v>
      </c>
      <c r="M25" s="19">
        <f>IF((M$21-$C$18+$E25)&gt;$D$17*($D$14+$D$15+$D25),((M$21-$C$18+$E25)+$D$17*$D$16)/($D$14+$D$15+$D25+$D$16),(M$21-$C$18+$E25)/($D$14+$D$15+$D25))</f>
        <v>633.4159134946291</v>
      </c>
    </row>
    <row r="26" spans="2:13" x14ac:dyDescent="0.25">
      <c r="B26" s="5" t="s">
        <v>230</v>
      </c>
      <c r="C26" s="19">
        <f>E7</f>
        <v>1</v>
      </c>
      <c r="D26" s="10">
        <f>D25+D7</f>
        <v>5000000</v>
      </c>
      <c r="E26" s="19">
        <f>C7</f>
        <v>5000000</v>
      </c>
      <c r="F26" s="19">
        <f>E8</f>
        <v>3</v>
      </c>
      <c r="I26" s="19">
        <f>IF((I$21-$C$18+$E26)&gt;$D$17*($D$14+$D$15+$D26),((I$21-$C$18+$E26)+$D$17*$D$16)/($D$14+$D$15+$D26+$D$16),(I$21-$C$18+$E26)/($D$14+$D$15+$D26))</f>
        <v>9.981313450534874</v>
      </c>
      <c r="J26" s="19">
        <f>IF((J$21-$C$18+$E26)&gt;$D$17*($D$14+$D$15+$D26),((J$21-$C$18+$E26)+$D$17*$D$16)/($D$14+$D$15+$D26+$D$16),(J$21-$C$18+$E26)/($D$14+$D$15+$D26))</f>
        <v>39.77627897451957</v>
      </c>
      <c r="K26" s="19">
        <f>IF((K$21-$C$18+$E26)&gt;$D$17*($D$14+$D$15+$D26),((K$21-$C$18+$E26)+$D$17*$D$16)/($D$14+$D$15+$D26+$D$16),(K$21-$C$18+$E26)/($D$14+$D$15+$D26))</f>
        <v>87.4482238128951</v>
      </c>
      <c r="L26" s="19">
        <f>IF((L$21-$C$18+$E26)&gt;$D$17*($D$14+$D$15+$D26),((L$21-$C$18+$E26)+$D$17*$D$16)/($D$14+$D$15+$D26+$D$16),(L$21-$C$18+$E26)/($D$14+$D$15+$D26))</f>
        <v>206.6280859088339</v>
      </c>
      <c r="M26" s="19">
        <f>IF((M$21-$C$18+$E26)&gt;$D$17*($D$14+$D$15+$D26),((M$21-$C$18+$E26)+$D$17*$D$16)/($D$14+$D$15+$D26+$D$16),(M$21-$C$18+$E26)/($D$14+$D$15+$D26))</f>
        <v>444.9878101007115</v>
      </c>
    </row>
    <row r="27" spans="2:13" x14ac:dyDescent="0.25">
      <c r="B27" s="5" t="s">
        <v>231</v>
      </c>
      <c r="C27" s="19">
        <f>E8</f>
        <v>3</v>
      </c>
      <c r="D27" s="10">
        <f>D26+D8</f>
        <v>10000000</v>
      </c>
      <c r="E27" s="19">
        <f>C7+C8</f>
        <v>20000000</v>
      </c>
      <c r="F27" s="19">
        <f>E9</f>
        <v>10</v>
      </c>
      <c r="I27" s="19">
        <f>IF((I$21-$C$18+$E27)&gt;$D$17*($D$14+$D$15+$D27),((I$21-$C$18+$E27)+$D$17*$D$16)/($D$14+$D$15+$D27+$D$16),(I$21-$C$18+$E27)/($D$14+$D$15+$D27))</f>
        <v>8.378724376828625</v>
      </c>
      <c r="J27" s="19">
        <f>IF((J$21-$C$18+$E27)&gt;$D$17*($D$14+$D$15+$D27),((J$21-$C$18+$E27)+$D$17*$D$16)/($D$14+$D$15+$D27+$D$16),(J$21-$C$18+$E27)/($D$14+$D$15+$D27))</f>
        <v>31.3341336284139</v>
      </c>
      <c r="K27" s="19">
        <f>IF((K$21-$C$18+$E27)&gt;$D$17*($D$14+$D$15+$D27),((K$21-$C$18+$E27)+$D$17*$D$16)/($D$14+$D$15+$D27+$D$16),(K$21-$C$18+$E27)/($D$14+$D$15+$D27))</f>
        <v>68.06278843095033</v>
      </c>
      <c r="L27" s="19">
        <f>IF((L$21-$C$18+$E27)&gt;$D$17*($D$14+$D$15+$D27),((L$21-$C$18+$E27)+$D$17*$D$16)/($D$14+$D$15+$D27+$D$16),(L$21-$C$18+$E27)/($D$14+$D$15+$D27))</f>
        <v>159.8844254372914</v>
      </c>
      <c r="M27" s="19">
        <f>IF((M$21-$C$18+$E27)&gt;$D$17*($D$14+$D$15+$D27),((M$21-$C$18+$E27)+$D$17*$D$16)/($D$14+$D$15+$D27+$D$16),(M$21-$C$18+$E27)/($D$14+$D$15+$D27))</f>
        <v>343.5276994499736</v>
      </c>
    </row>
    <row r="28" spans="2:13" x14ac:dyDescent="0.25">
      <c r="B28" s="5" t="s">
        <v>232</v>
      </c>
      <c r="C28" s="19">
        <f>E9</f>
        <v>10</v>
      </c>
      <c r="D28" s="10">
        <f>D27+D9</f>
        <v>13000000</v>
      </c>
      <c r="E28" s="19">
        <f>C7+C8+C9</f>
        <v>50000000</v>
      </c>
      <c r="F28" s="19">
        <f>E10</f>
        <v>25</v>
      </c>
      <c r="I28" s="19">
        <f>IF((I$21-$C$18+$E28)&gt;$D$17*($D$14+$D$15+$D28),((I$21-$C$18+$E28)+$D$17*$D$16)/($D$14+$D$15+$D28+$D$16),(I$21-$C$18+$E28)/($D$14+$D$15+$D28))</f>
        <v>8.574993958095959</v>
      </c>
      <c r="J28" s="19">
        <f>IF((J$21-$C$18+$E28)&gt;$D$17*($D$14+$D$15+$D28),((J$21-$C$18+$E28)+$D$17*$D$16)/($D$14+$D$15+$D28+$D$16),(J$21-$C$18+$E28)/($D$14+$D$15+$D28))</f>
        <v>28.75145033008645</v>
      </c>
      <c r="K28" s="19">
        <f>IF((K$21-$C$18+$E28)&gt;$D$17*($D$14+$D$15+$D28),((K$21-$C$18+$E28)+$D$17*$D$16)/($D$14+$D$15+$D28+$D$16),(K$21-$C$18+$E28)/($D$14+$D$15+$D28))</f>
        <v>61.03378052527123</v>
      </c>
      <c r="L28" s="19">
        <f>IF((L$21-$C$18+$E28)&gt;$D$17*($D$14+$D$15+$D28),((L$21-$C$18+$E28)+$D$17*$D$16)/($D$14+$D$15+$D28+$D$16),(L$21-$C$18+$E28)/($D$14+$D$15+$D28))</f>
        <v>141.73960601323319</v>
      </c>
      <c r="M28" s="19">
        <f>IF((M$21-$C$18+$E28)&gt;$D$17*($D$14+$D$15+$D28),((M$21-$C$18+$E28)+$D$17*$D$16)/($D$14+$D$15+$D28+$D$16),(M$21-$C$18+$E28)/($D$14+$D$15+$D28))</f>
        <v>303.1512569891571</v>
      </c>
    </row>
    <row r="29" spans="2:13" x14ac:dyDescent="0.25">
      <c r="B29" s="5" t="s">
        <v>233</v>
      </c>
      <c r="C29" s="19">
        <f>E10</f>
        <v>25</v>
      </c>
      <c r="D29" s="10">
        <f>D28+D10</f>
        <v>15400000</v>
      </c>
      <c r="E29" s="19">
        <f>C7+C8+C9+C10</f>
        <v>110000000</v>
      </c>
      <c r="F29" s="19">
        <f>E13</f>
        <v>37.29968467852575</v>
      </c>
      <c r="I29" s="19">
        <f>IF((I$21-$C$18+$E29)&gt;$D$17*($D$14+$D$15+$D29),((I$21-$C$18+$E29)+$D$17*$D$16)/($D$14+$D$15+$D29+$D$16),(I$21-$C$18+$E29)/($D$14+$D$15+$D29))</f>
        <v>10.025253127479965</v>
      </c>
      <c r="J29" s="19">
        <f>IF((J$21-$C$18+$E29)&gt;$D$17*($D$14+$D$15+$D29),((J$21-$C$18+$E29)+$D$17*$D$16)/($D$14+$D$15+$D29+$D$16),(J$21-$C$18+$E29)/($D$14+$D$15+$D29))</f>
        <v>28.42021299441568</v>
      </c>
      <c r="K29" s="19">
        <f>IF((K$21-$C$18+$E29)&gt;$D$17*($D$14+$D$15+$D29),((K$21-$C$18+$E29)+$D$17*$D$16)/($D$14+$D$15+$D29+$D$16),(K$21-$C$18+$E29)/($D$14+$D$15+$D29))</f>
        <v>57.85214878151283</v>
      </c>
      <c r="L29" s="19">
        <f>IF((L$21-$C$18+$E29)&gt;$D$17*($D$14+$D$15+$D29),((L$21-$C$18+$E29)+$D$17*$D$16)/($D$14+$D$15+$D29+$D$16),(L$21-$C$18+$E29)/($D$14+$D$15+$D29))</f>
        <v>131.43198824925568</v>
      </c>
      <c r="M29" s="19">
        <f>IF((M$21-$C$18+$E29)&gt;$D$17*($D$14+$D$15+$D29),((M$21-$C$18+$E29)+$D$17*$D$16)/($D$14+$D$15+$D29+$D$16),(M$21-$C$18+$E29)/($D$14+$D$15+$D29))</f>
        <v>278.5916671847414</v>
      </c>
    </row>
    <row r="30" spans="2:13" x14ac:dyDescent="0.25">
      <c r="B30" s="5" t="s">
        <v>234</v>
      </c>
      <c r="C30" s="19">
        <f>E13</f>
        <v>37.29968467852575</v>
      </c>
      <c r="D30" s="10">
        <f>D29+D13</f>
        <v>16204296.34348281</v>
      </c>
      <c r="E30" s="19">
        <f>C7+C8+C9+C10+C13</f>
        <v>140000000</v>
      </c>
      <c r="F30" s="19">
        <f>E12</f>
        <v>48.90343995623727</v>
      </c>
      <c r="I30" s="19">
        <f>IF((I$21-$C$18+$E30)&gt;$D$17*($D$14+$D$15+$D30),((I$21-$C$18+$E30)+$D$17*$D$16)/($D$14+$D$15+$D30+$D$16),(I$21-$C$18+$E30)/($D$14+$D$15+$D30))</f>
        <v>10.80910920074019</v>
      </c>
      <c r="J30" s="19">
        <f>IF((J$21-$C$18+$E30)&gt;$D$17*($D$14+$D$15+$D30),((J$21-$C$18+$E30)+$D$17*$D$16)/($D$14+$D$15+$D30+$D$16),(J$21-$C$18+$E30)/($D$14+$D$15+$D30))</f>
        <v>28.675405400310755</v>
      </c>
      <c r="K30" s="19">
        <f>IF((K$21-$C$18+$E30)&gt;$D$17*($D$14+$D$15+$D30),((K$21-$C$18+$E30)+$D$17*$D$16)/($D$14+$D$15+$D30+$D$16),(K$21-$C$18+$E30)/($D$14+$D$15+$D30))</f>
        <v>57.26147931962365</v>
      </c>
      <c r="L30" s="19">
        <f>IF((L$21-$C$18+$E30)&gt;$D$17*($D$14+$D$15+$D30),((L$21-$C$18+$E30)+$D$17*$D$16)/($D$14+$D$15+$D30+$D$16),(L$21-$C$18+$E30)/($D$14+$D$15+$D30))</f>
        <v>128.7266641179059</v>
      </c>
      <c r="M30" s="19">
        <f>IF((M$21-$C$18+$E30)&gt;$D$17*($D$14+$D$15+$D30),((M$21-$C$18+$E30)+$D$17*$D$16)/($D$14+$D$15+$D30+$D$16),(M$21-$C$18+$E30)/($D$14+$D$15+$D30))</f>
        <v>271.6570337144704</v>
      </c>
    </row>
    <row r="31" spans="2:13" x14ac:dyDescent="0.25">
      <c r="B31" s="5" t="s">
        <v>235</v>
      </c>
      <c r="C31" s="19">
        <f>E12</f>
        <v>48.90343995623727</v>
      </c>
      <c r="D31" s="10">
        <f>D30+D12</f>
        <v>22338834.123820227</v>
      </c>
      <c r="E31" s="19">
        <f>C7+C8+C9+C10+C13+C12</f>
        <v>440000000</v>
      </c>
      <c r="F31" s="19">
        <f>E11</f>
        <v>57.67090274703375</v>
      </c>
      <c r="I31" s="19">
        <f>IF((I$21-$C$18+$E31)&gt;$D$17*($D$14+$D$15+$D31),((I$21-$C$18+$E31)+$D$17*$D$16)/($D$14+$D$15+$D31+$D$16),(I$21-$C$18+$E31)/($D$14+$D$15+$D31))</f>
        <v>17.658165222850684</v>
      </c>
      <c r="J31" s="19">
        <f>IF((J$21-$C$18+$E31)&gt;$D$17*($D$14+$D$15+$D31),((J$21-$C$18+$E31)+$D$17*$D$16)/($D$14+$D$15+$D31+$D$16),(J$21-$C$18+$E31)/($D$14+$D$15+$D31))</f>
        <v>32.312244245963285</v>
      </c>
      <c r="K31" s="19">
        <f>IF((K$21-$C$18+$E31)&gt;$D$17*($D$14+$D$15+$D31),((K$21-$C$18+$E31)+$D$17*$D$16)/($D$14+$D$15+$D31+$D$16),(K$21-$C$18+$E31)/($D$14+$D$15+$D31))</f>
        <v>55.75877068294344</v>
      </c>
      <c r="L31" s="19">
        <f>IF((L$21-$C$18+$E31)&gt;$D$17*($D$14+$D$15+$D31),((L$21-$C$18+$E31)+$D$17*$D$16)/($D$14+$D$15+$D31+$D$16),(L$21-$C$18+$E31)/($D$14+$D$15+$D31))</f>
        <v>114.37508677539384</v>
      </c>
      <c r="M31" s="19">
        <f>IF((M$21-$C$18+$E31)&gt;$D$17*($D$14+$D$15+$D31),((M$21-$C$18+$E31)+$D$17*$D$16)/($D$14+$D$15+$D31+$D$16),(M$21-$C$18+$E31)/($D$14+$D$15+$D31))</f>
        <v>231.60771896029465</v>
      </c>
    </row>
    <row r="32" spans="2:13" x14ac:dyDescent="0.25">
      <c r="B32" s="5" t="s">
        <v>236</v>
      </c>
      <c r="C32" s="19">
        <f>E11</f>
        <v>57.67090274703375</v>
      </c>
      <c r="D32" s="10">
        <f>D7+D8+D9+D10+D13+D12+D11</f>
        <v>24072810.795533475</v>
      </c>
      <c r="E32" s="19">
        <f>C7+C8+C9+C10+C13+C12+C11</f>
        <v>540000000</v>
      </c>
      <c r="F32" s="19">
        <v>1000000000000000000</v>
      </c>
      <c r="I32" s="19">
        <f>IF((I$21-$C$18+$E32)&gt;$D$17*($D$14+$D$15+$D32),((I$21-$C$18+$E32)+$D$17*$D$16)/($D$14+$D$15+$D32+$D$16),(I$21-$C$18+$E32)/($D$14+$D$15+$D32))</f>
        <v>19.59325825857258</v>
      </c>
      <c r="J32" s="19">
        <f>IF((J$21-$C$18+$E32)&gt;$D$17*($D$14+$D$15+$D32),((J$21-$C$18+$E32)+$D$17*$D$16)/($D$14+$D$15+$D32+$D$16),(J$21-$C$18+$E32)/($D$14+$D$15+$D32))</f>
        <v>33.53863780204061</v>
      </c>
      <c r="K32" s="19">
        <f>IF((K$21-$C$18+$E32)&gt;$D$17*($D$14+$D$15+$D32),((K$21-$C$18+$E32)+$D$17*$D$16)/($D$14+$D$15+$D32+$D$16),(K$21-$C$18+$E32)/($D$14+$D$15+$D32))</f>
        <v>55.85124507158945</v>
      </c>
      <c r="L32" s="19">
        <f>IF((L$21-$C$18+$E32)&gt;$D$17*($D$14+$D$15+$D32),((L$21-$C$18+$E32)+$D$17*$D$16)/($D$14+$D$15+$D32+$D$16),(L$21-$C$18+$E32)/($D$14+$D$15+$D32))</f>
        <v>111.63276324546158</v>
      </c>
      <c r="M32" s="19">
        <f>IF((M$21-$C$18+$E32)&gt;$D$17*($D$14+$D$15+$D32),((M$21-$C$18+$E32)+$D$17*$D$16)/($D$14+$D$15+$D32+$D$16),(M$21-$C$18+$E32)/($D$14+$D$15+$D32))</f>
        <v>223.1957995932058</v>
      </c>
    </row>
    <row r="33" spans="2:13" x14ac:dyDescent="0.25">
      <c r="B33" s="9" t="s">
        <v>144</v>
      </c>
      <c r="I33" s="26">
        <f>SUMPRODUCT(($C$25:$C$32&lt;=I$25:I$32)*(I$25:I$32&lt;$F$25:$F$32)*I$25:I$32)</f>
        <v>8.378724376828625</v>
      </c>
      <c r="J33" s="26">
        <f>SUMPRODUCT(($C$25:$C$32&lt;=J$25:J$32)*(J$25:J$32&lt;$F$25:$F$32)*J$25:J$32)</f>
        <v>28.42021299441568</v>
      </c>
      <c r="K33" s="26">
        <f>SUMPRODUCT(($C$25:$C$32&lt;=K$25:K$32)*(K$25:K$32&lt;$F$25:$F$32)*K$25:K$32)</f>
        <v>55.75877068294344</v>
      </c>
      <c r="L33" s="26">
        <f>SUMPRODUCT(($C$25:$C$32&lt;=L$25:L$32)*(L$25:L$32&lt;$F$25:$F$32)*L$25:L$32)</f>
        <v>111.63276324546158</v>
      </c>
      <c r="M33" s="26">
        <f>SUMPRODUCT(($C$25:$C$32&lt;=M$25:M$32)*(M$25:M$32&lt;$F$25:$F$32)*M$25:M$32)</f>
        <v>223.1957995932058</v>
      </c>
    </row>
    <row r="34" spans="2:13" x14ac:dyDescent="0.25">
      <c r="B34" s="5" t="s">
        <v>237</v>
      </c>
      <c r="I34" s="10" t="str">
        <f>IF(I$33&gt;$D$17,"YES","no")</f>
        <v>YES</v>
      </c>
      <c r="J34" s="10" t="str">
        <f>IF(J$33&gt;$D$17,"YES","no")</f>
        <v>YES</v>
      </c>
      <c r="K34" s="10" t="str">
        <f>IF(K$33&gt;$D$17,"YES","no")</f>
        <v>YES</v>
      </c>
      <c r="L34" s="10" t="str">
        <f>IF(L$33&gt;$D$17,"YES","no")</f>
        <v>YES</v>
      </c>
      <c r="M34" s="10" t="str">
        <f>IF(M$33&gt;$D$17,"YES","no")</f>
        <v>YES</v>
      </c>
    </row>
    <row r="36" spans="2:13" x14ac:dyDescent="0.25">
      <c r="B36" s="3" t="s">
        <v>238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2:13" x14ac:dyDescent="0.25">
      <c r="B37" s="5" t="s">
        <v>239</v>
      </c>
      <c r="I37" s="10" t="str">
        <f>IF(C13&gt;D13*I$33,"preference","convert")</f>
        <v>preference</v>
      </c>
      <c r="J37" s="10" t="str">
        <f>IF(C13&gt;D13*J$33,"preference","convert")</f>
        <v>preference</v>
      </c>
      <c r="K37" s="10" t="str">
        <f>IF(C13&gt;D13*K$33,"preference","convert")</f>
        <v>convert</v>
      </c>
      <c r="L37" s="10" t="str">
        <f>IF(C13&gt;D13*L$33,"preference","convert")</f>
        <v>convert</v>
      </c>
      <c r="M37" s="10" t="str">
        <f>IF(C13&gt;D13*M$33,"preference","convert")</f>
        <v>convert</v>
      </c>
    </row>
    <row r="38" spans="2:13" x14ac:dyDescent="0.25">
      <c r="B38" s="5" t="s">
        <v>240</v>
      </c>
      <c r="I38" s="10" t="str">
        <f>IF(C12&gt;D12*I$33,"preference","convert")</f>
        <v>preference</v>
      </c>
      <c r="J38" s="10" t="str">
        <f>IF(C12&gt;D12*J$33,"preference","convert")</f>
        <v>preference</v>
      </c>
      <c r="K38" s="10" t="str">
        <f>IF(C12&gt;D12*K$33,"preference","convert")</f>
        <v>convert</v>
      </c>
      <c r="L38" s="10" t="str">
        <f>IF(C12&gt;D12*L$33,"preference","convert")</f>
        <v>convert</v>
      </c>
      <c r="M38" s="10" t="str">
        <f>IF(C12&gt;D12*M$33,"preference","convert")</f>
        <v>convert</v>
      </c>
    </row>
    <row r="39" spans="2:13" x14ac:dyDescent="0.25">
      <c r="B39" s="5" t="s">
        <v>241</v>
      </c>
      <c r="I39" s="10" t="str">
        <f>IF(C11&gt;D11*I$33,"preference","convert")</f>
        <v>preference</v>
      </c>
      <c r="J39" s="10" t="str">
        <f>IF(C11&gt;D11*J$33,"preference","convert")</f>
        <v>preference</v>
      </c>
      <c r="K39" s="10" t="str">
        <f>IF(C11&gt;D11*K$33,"preference","convert")</f>
        <v>preference</v>
      </c>
      <c r="L39" s="10" t="str">
        <f>IF(C11&gt;D11*L$33,"preference","convert")</f>
        <v>convert</v>
      </c>
      <c r="M39" s="10" t="str">
        <f>IF(C11&gt;D11*M$33,"preference","convert")</f>
        <v>convert</v>
      </c>
    </row>
    <row r="40" spans="2:13" x14ac:dyDescent="0.25">
      <c r="B40" s="5" t="s">
        <v>242</v>
      </c>
      <c r="I40" s="10" t="str">
        <f>IF(C10&gt;D10*I$33,"preference","convert")</f>
        <v>preference</v>
      </c>
      <c r="J40" s="10" t="str">
        <f>IF(C10&gt;D10*J$33,"preference","convert")</f>
        <v>convert</v>
      </c>
      <c r="K40" s="10" t="str">
        <f>IF(C10&gt;D10*K$33,"preference","convert")</f>
        <v>convert</v>
      </c>
      <c r="L40" s="10" t="str">
        <f>IF(C10&gt;D10*L$33,"preference","convert")</f>
        <v>convert</v>
      </c>
      <c r="M40" s="10" t="str">
        <f>IF(C10&gt;D10*M$33,"preference","convert")</f>
        <v>convert</v>
      </c>
    </row>
    <row r="41" spans="2:13" x14ac:dyDescent="0.25">
      <c r="B41" s="5" t="s">
        <v>243</v>
      </c>
      <c r="I41" s="10" t="str">
        <f>IF(C9&gt;D9*I$33,"preference","convert")</f>
        <v>preference</v>
      </c>
      <c r="J41" s="10" t="str">
        <f>IF(C9&gt;D9*J$33,"preference","convert")</f>
        <v>convert</v>
      </c>
      <c r="K41" s="10" t="str">
        <f>IF(C9&gt;D9*K$33,"preference","convert")</f>
        <v>convert</v>
      </c>
      <c r="L41" s="10" t="str">
        <f>IF(C9&gt;D9*L$33,"preference","convert")</f>
        <v>convert</v>
      </c>
      <c r="M41" s="10" t="str">
        <f>IF(C9&gt;D9*M$33,"preference","convert")</f>
        <v>convert</v>
      </c>
    </row>
    <row r="42" spans="2:13" x14ac:dyDescent="0.25">
      <c r="B42" s="5" t="s">
        <v>244</v>
      </c>
      <c r="I42" s="10" t="str">
        <f>IF(C8&gt;D8*I$33,"preference","convert")</f>
        <v>convert</v>
      </c>
      <c r="J42" s="10" t="str">
        <f>IF(C8&gt;D8*J$33,"preference","convert")</f>
        <v>convert</v>
      </c>
      <c r="K42" s="10" t="str">
        <f>IF(C8&gt;D8*K$33,"preference","convert")</f>
        <v>convert</v>
      </c>
      <c r="L42" s="10" t="str">
        <f>IF(C8&gt;D8*L$33,"preference","convert")</f>
        <v>convert</v>
      </c>
      <c r="M42" s="10" t="str">
        <f>IF(C8&gt;D8*M$33,"preference","convert")</f>
        <v>convert</v>
      </c>
    </row>
    <row r="43" spans="2:13" x14ac:dyDescent="0.25">
      <c r="B43" s="5" t="s">
        <v>245</v>
      </c>
      <c r="I43" s="10" t="str">
        <f>IF(C7&gt;D7*I$33,"preference","convert")</f>
        <v>convert</v>
      </c>
      <c r="J43" s="10" t="str">
        <f>IF(C7&gt;D7*J$33,"preference","convert")</f>
        <v>convert</v>
      </c>
      <c r="K43" s="10" t="str">
        <f>IF(C7&gt;D7*K$33,"preference","convert")</f>
        <v>convert</v>
      </c>
      <c r="L43" s="10" t="str">
        <f>IF(C7&gt;D7*L$33,"preference","convert")</f>
        <v>convert</v>
      </c>
      <c r="M43" s="10" t="str">
        <f>IF(C7&gt;D7*M$33,"preference","convert")</f>
        <v>convert</v>
      </c>
    </row>
    <row r="45" spans="2:13" x14ac:dyDescent="0.25">
      <c r="B45" s="3" t="s">
        <v>246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2:13" x14ac:dyDescent="0.25">
      <c r="B46" s="5" t="s">
        <v>125</v>
      </c>
      <c r="I46" s="19">
        <f>IF(I37="preference",C13,D13*I$33)</f>
        <v>30000000</v>
      </c>
      <c r="J46" s="19">
        <f>IF(J37="preference",C13,D13*J$33)</f>
        <v>30000000</v>
      </c>
      <c r="K46" s="19">
        <f>IF(K37="preference",C13,D13*K$33)</f>
        <v>44846575.37738784</v>
      </c>
      <c r="L46" s="19">
        <f>IF(L37="preference",C13,D13*L$33)</f>
        <v>89785823.29120682</v>
      </c>
      <c r="M46" s="19">
        <f>IF(M37="preference",C13,D13*M$33)</f>
        <v>179515565.49353716</v>
      </c>
    </row>
    <row r="47" spans="2:13" x14ac:dyDescent="0.25">
      <c r="B47" s="5" t="s">
        <v>30</v>
      </c>
      <c r="I47" s="19">
        <f>IF(I38="preference",C12,D12*I$33)</f>
        <v>300000000</v>
      </c>
      <c r="J47" s="19">
        <f>IF(J38="preference",C12,D12*J$33)</f>
        <v>300000000</v>
      </c>
      <c r="K47" s="19">
        <f>IF(K38="preference",C12,D12*K$33)</f>
        <v>342054285.33968693</v>
      </c>
      <c r="L47" s="19">
        <f>IF(L38="preference",C12,D12*L$33)</f>
        <v>684815403.6527464</v>
      </c>
      <c r="M47" s="19">
        <f>IF(M38="preference",C12,D12*M$33)</f>
        <v>1369203065.01714</v>
      </c>
    </row>
    <row r="48" spans="2:13" x14ac:dyDescent="0.25">
      <c r="B48" s="5" t="s">
        <v>85</v>
      </c>
      <c r="I48" s="19">
        <f>IF(I39="preference",C11,D11*I$33)</f>
        <v>100000000</v>
      </c>
      <c r="J48" s="19">
        <f>IF(J39="preference",C11,D11*J$33)</f>
        <v>100000000</v>
      </c>
      <c r="K48" s="19">
        <f>IF(K39="preference",C11,D11*K$33)</f>
        <v>100000000</v>
      </c>
      <c r="L48" s="19">
        <f>IF(L39="preference",C11,D11*L$33)</f>
        <v>193568607.26651847</v>
      </c>
      <c r="M48" s="19">
        <f>IF(M39="preference",C11,D11*M$33)</f>
        <v>387016309.71900415</v>
      </c>
    </row>
    <row r="49" spans="2:13" x14ac:dyDescent="0.25">
      <c r="B49" s="5" t="s">
        <v>28</v>
      </c>
      <c r="I49" s="19">
        <f>IF(I40="preference",C10,D10*I$33)</f>
        <v>60000000</v>
      </c>
      <c r="J49" s="19">
        <f>IF(J40="preference",C10,D10*J$33)</f>
        <v>68208511.18659763</v>
      </c>
      <c r="K49" s="19">
        <f>IF(K40="preference",C10,D10*K$33)</f>
        <v>133821049.63906425</v>
      </c>
      <c r="L49" s="19">
        <f>IF(L40="preference",C10,D10*L$33)</f>
        <v>267918631.7891078</v>
      </c>
      <c r="M49" s="19">
        <f>IF(M40="preference",C10,D10*M$33)</f>
        <v>535669919.0236939</v>
      </c>
    </row>
    <row r="50" spans="2:13" x14ac:dyDescent="0.25">
      <c r="B50" s="5" t="s">
        <v>27</v>
      </c>
      <c r="I50" s="19">
        <f>IF(I41="preference",C9,D9*I$33)</f>
        <v>30000000</v>
      </c>
      <c r="J50" s="19">
        <f>IF(J41="preference",C9,D9*J$33)</f>
        <v>85260638.98324704</v>
      </c>
      <c r="K50" s="19">
        <f>IF(K41="preference",C9,D9*K$33)</f>
        <v>167276312.04883033</v>
      </c>
      <c r="L50" s="19">
        <f>IF(L41="preference",C9,D9*L$33)</f>
        <v>334898289.73638475</v>
      </c>
      <c r="M50" s="19">
        <f>IF(M41="preference",C9,D9*M$33)</f>
        <v>669587398.7796174</v>
      </c>
    </row>
    <row r="51" spans="2:13" x14ac:dyDescent="0.25">
      <c r="B51" s="5" t="s">
        <v>26</v>
      </c>
      <c r="I51" s="19">
        <f>IF(I42="preference",C8,D8*I$33)</f>
        <v>41893621.88414312</v>
      </c>
      <c r="J51" s="19">
        <f>IF(J42="preference",C8,D8*J$33)</f>
        <v>142101064.9720784</v>
      </c>
      <c r="K51" s="19">
        <f>IF(K42="preference",C8,D8*K$33)</f>
        <v>278793853.4147172</v>
      </c>
      <c r="L51" s="19">
        <f>IF(L42="preference",C8,D8*L$33)</f>
        <v>558163816.2273079</v>
      </c>
      <c r="M51" s="19">
        <f>IF(M42="preference",C8,D8*M$33)</f>
        <v>1115978997.966029</v>
      </c>
    </row>
    <row r="52" spans="2:13" x14ac:dyDescent="0.25">
      <c r="B52" s="5" t="s">
        <v>113</v>
      </c>
      <c r="I52" s="19">
        <f>IF(I43="preference",C7,D7*I$33)</f>
        <v>41893621.88414312</v>
      </c>
      <c r="J52" s="19">
        <f>IF(J43="preference",C7,D7*J$33)</f>
        <v>142101064.9720784</v>
      </c>
      <c r="K52" s="19">
        <f>IF(K43="preference",C7,D7*K$33)</f>
        <v>278793853.4147172</v>
      </c>
      <c r="L52" s="19">
        <f>IF(L43="preference",C7,D7*L$33)</f>
        <v>558163816.2273079</v>
      </c>
      <c r="M52" s="19">
        <f>IF(M43="preference",C7,D7*M$33)</f>
        <v>1115978997.966029</v>
      </c>
    </row>
    <row r="53" spans="2:13" x14ac:dyDescent="0.25">
      <c r="B53" s="5" t="s">
        <v>247</v>
      </c>
      <c r="I53" s="19">
        <f>$D$15*I$33</f>
        <v>2357425.8981845737</v>
      </c>
      <c r="J53" s="19">
        <f>$D$15*J$33</f>
        <v>7996270.450218157</v>
      </c>
      <c r="K53" s="19">
        <f>$D$15*K$33</f>
        <v>15688207.911746442</v>
      </c>
      <c r="L53" s="19">
        <f>$D$15*L$33</f>
        <v>31408834.486612786</v>
      </c>
      <c r="M53" s="19">
        <f>$D$15*M$33</f>
        <v>62798050.71308402</v>
      </c>
    </row>
    <row r="54" spans="2:13" x14ac:dyDescent="0.25">
      <c r="B54" s="5" t="s">
        <v>248</v>
      </c>
      <c r="I54" s="19">
        <f>$D$14*I$33</f>
        <v>75408519.39145763</v>
      </c>
      <c r="J54" s="19">
        <f>$D$14*J$33</f>
        <v>255781916.94974113</v>
      </c>
      <c r="K54" s="19">
        <f>$D$14*K$33</f>
        <v>501828936.14649093</v>
      </c>
      <c r="L54" s="19">
        <f>$D$14*L$33</f>
        <v>1004694869.2091542</v>
      </c>
      <c r="M54" s="19">
        <f>$D$14*M$33</f>
        <v>2008762196.3388522</v>
      </c>
    </row>
    <row r="55" spans="2:13" x14ac:dyDescent="0.25">
      <c r="B55" s="5" t="s">
        <v>249</v>
      </c>
      <c r="I55" s="19">
        <f>IF(I$33&gt;$D$17,$D$16*(I$33-$D$17),0)</f>
        <v>18446810.94207156</v>
      </c>
      <c r="J55" s="19">
        <f>IF(J$33&gt;$D$17,$D$16*(J$33-$D$17),0)</f>
        <v>68550532.4860392</v>
      </c>
      <c r="K55" s="19">
        <f>IF(K$33&gt;$D$17,$D$16*(K$33-$D$17),0)</f>
        <v>136896926.7073586</v>
      </c>
      <c r="L55" s="19">
        <f>IF(L$33&gt;$D$17,$D$16*(L$33-$D$17),0)</f>
        <v>276581908.11365396</v>
      </c>
      <c r="M55" s="19">
        <f>IF(M$33&gt;$D$17,$D$16*(M$33-$D$17),0)</f>
        <v>555489498.9830145</v>
      </c>
    </row>
    <row r="56" spans="2:13" x14ac:dyDescent="0.25">
      <c r="B56" s="9" t="s">
        <v>250</v>
      </c>
      <c r="I56" s="33">
        <f>SUM(I46:I55)</f>
        <v>700000000</v>
      </c>
      <c r="J56" s="33">
        <f>SUM(J46:J55)</f>
        <v>1200000000</v>
      </c>
      <c r="K56" s="33">
        <f>SUM(K46:K55)</f>
        <v>1999999999.9999995</v>
      </c>
      <c r="L56" s="33">
        <f>SUM(L46:L55)</f>
        <v>4000000000.000001</v>
      </c>
      <c r="M56" s="33">
        <f>SUM(M46:M55)</f>
        <v>8000000000.000002</v>
      </c>
    </row>
    <row r="57" spans="2:13" x14ac:dyDescent="0.25">
      <c r="B57" s="5" t="s">
        <v>251</v>
      </c>
      <c r="I57" s="19">
        <f>ROUND(I56-I$21,2)</f>
        <v>0</v>
      </c>
      <c r="J57" s="19">
        <f>ROUND(J56-J$21,2)</f>
        <v>0</v>
      </c>
      <c r="K57" s="19">
        <f>ROUND(K56-K$21,2)</f>
        <v>0</v>
      </c>
      <c r="L57" s="19">
        <f>ROUND(L56-L$21,2)</f>
        <v>0</v>
      </c>
      <c r="M57" s="19">
        <f>ROUND(M56-M$21,2)</f>
        <v>0</v>
      </c>
    </row>
    <row r="58" spans="2:13" x14ac:dyDescent="0.25">
      <c r="B58" s="5" t="s">
        <v>132</v>
      </c>
      <c r="I58" s="24">
        <f>ROUND(I56-I$21,2)</f>
        <v>0</v>
      </c>
      <c r="J58" s="24">
        <f>ROUND(J56-J$21,2)</f>
        <v>0</v>
      </c>
      <c r="K58" s="24">
        <f>ROUND(K56-K$21,2)</f>
        <v>0</v>
      </c>
      <c r="L58" s="24">
        <f>ROUND(L56-L$21,2)</f>
        <v>0</v>
      </c>
      <c r="M58" s="24">
        <f>ROUND(M56-M$21,2)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Pro-Forma</vt:lpstr>
      <vt:lpstr>Return-Solver</vt:lpstr>
      <vt:lpstr>Sensitivity</vt:lpstr>
      <vt:lpstr>Waterfall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2026-04-27T02:34:21Z</dcterms:created>
  <dcterms:modified xsi:type="dcterms:W3CDTF">2026-04-27T02:34:21Z</dcterms:modified>
</cp:coreProperties>
</file>